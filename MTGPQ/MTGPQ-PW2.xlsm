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9029" codeName="{320AAD7A-AEEB-3B57-35EE-6C7AAB037B02}"/>
  <workbookPr codeName="ThisWorkbook"/>
  <mc:AlternateContent xmlns:mc="http://schemas.openxmlformats.org/markup-compatibility/2006">
    <mc:Choice Requires="x15">
      <x15ac:absPath xmlns:x15ac="http://schemas.microsoft.com/office/spreadsheetml/2010/11/ac" url="C:\Users\komamura\Documents\MTGPQ\MM\MM\MTG\MTGPQ\"/>
    </mc:Choice>
  </mc:AlternateContent>
  <bookViews>
    <workbookView xWindow="0" yWindow="0" windowWidth="17640" windowHeight="9825" firstSheet="20" activeTab="23"/>
  </bookViews>
  <sheets>
    <sheet name="tnpl" sheetId="1" r:id="rId1"/>
    <sheet name="Gideon1" sheetId="2" r:id="rId2"/>
    <sheet name="Gideon2" sheetId="3" r:id="rId3"/>
    <sheet name="Gideon3" sheetId="33" r:id="rId4"/>
    <sheet name="peth1" sheetId="34" r:id="rId5"/>
    <sheet name="Jace1" sheetId="4" r:id="rId6"/>
    <sheet name="Tezz1" sheetId="5" r:id="rId7"/>
    <sheet name="Jace2" sheetId="6" r:id="rId8"/>
    <sheet name="Jace3" sheetId="41" r:id="rId9"/>
    <sheet name="Lilliana1" sheetId="7" r:id="rId10"/>
    <sheet name="ob" sheetId="8" r:id="rId11"/>
    <sheet name="Lilliana2" sheetId="9" r:id="rId12"/>
    <sheet name="Lilliana3" sheetId="35" r:id="rId13"/>
    <sheet name="Chandra1" sheetId="10" r:id="rId14"/>
    <sheet name="Koth" sheetId="11" r:id="rId15"/>
    <sheet name="Chandra2" sheetId="12" r:id="rId16"/>
    <sheet name="Nissa1" sheetId="13" r:id="rId17"/>
    <sheet name="Garruk1" sheetId="14" r:id="rId18"/>
    <sheet name="Nissa2" sheetId="15" r:id="rId19"/>
    <sheet name="Dovin" sheetId="16" r:id="rId20"/>
    <sheet name="Tezz2" sheetId="17" r:id="rId21"/>
    <sheet name="Sarkhan1" sheetId="18" r:id="rId22"/>
    <sheet name="Angrath" sheetId="42" r:id="rId23"/>
    <sheet name="PW平均" sheetId="27" r:id="rId24"/>
    <sheet name="Arlinn" sheetId="19" r:id="rId25"/>
    <sheet name="samut" sheetId="36" r:id="rId26"/>
    <sheet name="Sorin1" sheetId="20" r:id="rId27"/>
    <sheet name="Saheeli" sheetId="21" r:id="rId28"/>
    <sheet name="Vraska" sheetId="40" r:id="rId29"/>
    <sheet name="Ajani1" sheetId="22" r:id="rId30"/>
    <sheet name="Nahiri" sheetId="23" r:id="rId31"/>
    <sheet name="Huatli" sheetId="39" r:id="rId32"/>
    <sheet name="Kiora1" sheetId="24" r:id="rId33"/>
    <sheet name="Nissa3" sheetId="37" r:id="rId34"/>
    <sheet name="Bolas" sheetId="38" r:id="rId35"/>
  </sheets>
  <definedNames>
    <definedName name="_xlnm._FilterDatabase" localSheetId="22" hidden="1">Angrath!$C$129:$I$195</definedName>
    <definedName name="_xlnm._FilterDatabase" localSheetId="24" hidden="1">Arlinn!$C$130:$I$195</definedName>
    <definedName name="_xlnm._FilterDatabase" localSheetId="34" hidden="1">Bolas!$C$132:$I$198</definedName>
    <definedName name="_xlnm._FilterDatabase" localSheetId="15" hidden="1">Chandra2!$C$97:$I$162</definedName>
    <definedName name="_xlnm._FilterDatabase" localSheetId="19" hidden="1">Dovin!$C$98:$I$163</definedName>
    <definedName name="_xlnm._FilterDatabase" localSheetId="17" hidden="1">Garruk1!$C$98:$I$163</definedName>
    <definedName name="_xlnm._FilterDatabase" localSheetId="2" hidden="1">Gideon2!$C$98:$I$163</definedName>
    <definedName name="_xlnm._FilterDatabase" localSheetId="3" hidden="1">Gideon3!$C$127:$I$193</definedName>
    <definedName name="_xlnm._FilterDatabase" localSheetId="31" hidden="1">Huatli!$C$129:$I$195</definedName>
    <definedName name="_xlnm._FilterDatabase" localSheetId="5" hidden="1">Jace1!$C$89:$I$153</definedName>
    <definedName name="_xlnm._FilterDatabase" localSheetId="7" hidden="1">Jace2!$C$98:$I$163</definedName>
    <definedName name="_xlnm._FilterDatabase" localSheetId="8" hidden="1">Jace3!$C$129:$I$195</definedName>
    <definedName name="_xlnm._FilterDatabase" localSheetId="32" hidden="1">Kiora1!$C$99:$I$164</definedName>
    <definedName name="_xlnm._FilterDatabase" localSheetId="14" hidden="1">Koth!$C$98:$I$163</definedName>
    <definedName name="_xlnm._FilterDatabase" localSheetId="9" hidden="1">Lilliana1!$C$89:$H$154</definedName>
    <definedName name="_xlnm._FilterDatabase" localSheetId="11" hidden="1">Lilliana2!$C$97:$H$162</definedName>
    <definedName name="_xlnm._FilterDatabase" localSheetId="12" hidden="1">Lilliana3!$C$150:$I$216</definedName>
    <definedName name="_xlnm._FilterDatabase" localSheetId="30" hidden="1">Nahiri!$C$97:$I$162</definedName>
    <definedName name="_xlnm._FilterDatabase" localSheetId="18" hidden="1">Nissa2!$C$97:$I$162</definedName>
    <definedName name="_xlnm._FilterDatabase" localSheetId="33" hidden="1">Nissa3!$C$129:$I$195</definedName>
    <definedName name="_xlnm._FilterDatabase" localSheetId="10" hidden="1">ob!$C$97:$I$162</definedName>
    <definedName name="_xlnm._FilterDatabase" localSheetId="4" hidden="1">peth1!$C$131:$I$197</definedName>
    <definedName name="_xlnm._FilterDatabase" localSheetId="27" hidden="1">Saheeli!$C$127:$I$192</definedName>
    <definedName name="_xlnm._FilterDatabase" localSheetId="25" hidden="1">samut!$C$132:$I$198</definedName>
    <definedName name="_xlnm._FilterDatabase" localSheetId="21" hidden="1">Sarkhan1!$C$100:$I$165</definedName>
    <definedName name="_xlnm._FilterDatabase" localSheetId="26" hidden="1">Sorin1!$C$118:$I$183</definedName>
    <definedName name="_xlnm._FilterDatabase" localSheetId="6" hidden="1">Tezz1!$C$98:$I$163</definedName>
    <definedName name="_xlnm._FilterDatabase" localSheetId="20" hidden="1">Tezz2!$C$98:$I$163</definedName>
    <definedName name="_xlnm._FilterDatabase" localSheetId="0" hidden="1">tnpl!$C$135:$I$201</definedName>
    <definedName name="_xlnm._FilterDatabase" localSheetId="28" hidden="1">Vraska!$C$128:$I$194</definedName>
  </definedNames>
  <calcPr calcId="162913"/>
</workbook>
</file>

<file path=xl/calcChain.xml><?xml version="1.0" encoding="utf-8"?>
<calcChain xmlns="http://schemas.openxmlformats.org/spreadsheetml/2006/main">
  <c r="F25" i="27" l="1"/>
  <c r="H25" i="27"/>
  <c r="J25" i="27"/>
  <c r="L25" i="27"/>
  <c r="N25" i="27"/>
  <c r="P25" i="27"/>
  <c r="R25" i="27"/>
  <c r="T25" i="27"/>
  <c r="V25" i="27"/>
  <c r="X25" i="27"/>
  <c r="Z25" i="27"/>
  <c r="AB25" i="27"/>
  <c r="AD25" i="27"/>
  <c r="AF25" i="27"/>
  <c r="AH25" i="27"/>
  <c r="AJ25" i="27"/>
  <c r="AL25" i="27"/>
  <c r="AN25" i="27"/>
  <c r="G188" i="42"/>
  <c r="G187" i="42"/>
  <c r="G186" i="42"/>
  <c r="A186" i="42" s="1"/>
  <c r="G185" i="42"/>
  <c r="A185" i="42" s="1"/>
  <c r="G184" i="42"/>
  <c r="G183" i="42"/>
  <c r="G182" i="42"/>
  <c r="A181" i="42"/>
  <c r="G180" i="42"/>
  <c r="G179" i="42"/>
  <c r="G178" i="42"/>
  <c r="G177" i="42"/>
  <c r="G176" i="42"/>
  <c r="G175" i="42"/>
  <c r="G174" i="42"/>
  <c r="A174" i="42" s="1"/>
  <c r="G173" i="42"/>
  <c r="G172" i="42"/>
  <c r="G171" i="42"/>
  <c r="G170" i="42"/>
  <c r="G169" i="42"/>
  <c r="G168" i="42"/>
  <c r="G167" i="42"/>
  <c r="G166" i="42"/>
  <c r="G165" i="42"/>
  <c r="G164" i="42"/>
  <c r="G163" i="42"/>
  <c r="G162" i="42"/>
  <c r="G161" i="42"/>
  <c r="G160" i="42"/>
  <c r="G159" i="42"/>
  <c r="G158" i="42"/>
  <c r="A158" i="42" s="1"/>
  <c r="G157" i="42"/>
  <c r="G156" i="42"/>
  <c r="G155" i="42"/>
  <c r="G154" i="42"/>
  <c r="A154" i="42" s="1"/>
  <c r="G153" i="42"/>
  <c r="G152" i="42"/>
  <c r="G151" i="42"/>
  <c r="G150" i="42"/>
  <c r="G149" i="42"/>
  <c r="G148" i="42"/>
  <c r="G147" i="42"/>
  <c r="G146" i="42"/>
  <c r="A146" i="42" s="1"/>
  <c r="G144" i="42"/>
  <c r="A144" i="42" s="1"/>
  <c r="G143" i="42"/>
  <c r="G142" i="42"/>
  <c r="G141" i="42"/>
  <c r="G140" i="42"/>
  <c r="A140" i="42" s="1"/>
  <c r="G139" i="42"/>
  <c r="G138" i="42"/>
  <c r="A138" i="42" s="1"/>
  <c r="G137" i="42"/>
  <c r="G136" i="42"/>
  <c r="G135" i="42"/>
  <c r="G134" i="42"/>
  <c r="G133" i="42"/>
  <c r="G132" i="42"/>
  <c r="G131" i="42"/>
  <c r="G130" i="42"/>
  <c r="G145" i="42"/>
  <c r="A183" i="42"/>
  <c r="H182" i="42"/>
  <c r="H176" i="42"/>
  <c r="A176" i="42" s="1"/>
  <c r="H172" i="42"/>
  <c r="A172" i="42" s="1"/>
  <c r="H171" i="42"/>
  <c r="A171" i="42" s="1"/>
  <c r="H170" i="42"/>
  <c r="H169" i="42"/>
  <c r="H167" i="42"/>
  <c r="A167" i="42" s="1"/>
  <c r="H166" i="42"/>
  <c r="H165" i="42"/>
  <c r="H163" i="42"/>
  <c r="A163" i="42" s="1"/>
  <c r="H162" i="42"/>
  <c r="A162" i="42" s="1"/>
  <c r="H161" i="42"/>
  <c r="H160" i="42"/>
  <c r="H159" i="42"/>
  <c r="A159" i="42" s="1"/>
  <c r="H157" i="42"/>
  <c r="H156" i="42"/>
  <c r="H155" i="42"/>
  <c r="H153" i="42"/>
  <c r="H151" i="42"/>
  <c r="A151" i="42" s="1"/>
  <c r="H150" i="42"/>
  <c r="H149" i="42"/>
  <c r="A148" i="42"/>
  <c r="H147" i="42"/>
  <c r="H145" i="42"/>
  <c r="H143" i="42"/>
  <c r="A143" i="42" s="1"/>
  <c r="H142" i="42"/>
  <c r="A142" i="42" s="1"/>
  <c r="H141" i="42"/>
  <c r="H139" i="42"/>
  <c r="A139" i="42" s="1"/>
  <c r="H137" i="42"/>
  <c r="H136" i="42"/>
  <c r="H135" i="42"/>
  <c r="A135" i="42" s="1"/>
  <c r="H133" i="42"/>
  <c r="H132" i="42"/>
  <c r="H131" i="42"/>
  <c r="A131" i="42" s="1"/>
  <c r="H130" i="42"/>
  <c r="A130" i="42" s="1"/>
  <c r="A180" i="42"/>
  <c r="A175" i="42"/>
  <c r="A160" i="42"/>
  <c r="A155" i="42"/>
  <c r="A195" i="42"/>
  <c r="A194" i="42"/>
  <c r="A193" i="42"/>
  <c r="A192" i="42"/>
  <c r="A191" i="42"/>
  <c r="A190" i="42"/>
  <c r="A189" i="42"/>
  <c r="A188" i="42"/>
  <c r="A187" i="42"/>
  <c r="A184" i="42"/>
  <c r="A179" i="42"/>
  <c r="A168" i="42"/>
  <c r="A164" i="42"/>
  <c r="A152" i="42"/>
  <c r="A147" i="42"/>
  <c r="A134" i="42"/>
  <c r="A129" i="42"/>
  <c r="A128" i="42"/>
  <c r="A127" i="42"/>
  <c r="A126" i="42"/>
  <c r="A125" i="42"/>
  <c r="H122" i="42"/>
  <c r="A122" i="42" s="1"/>
  <c r="A121" i="42"/>
  <c r="A120" i="42"/>
  <c r="A119" i="42"/>
  <c r="R118" i="42"/>
  <c r="R11" i="42" s="1"/>
  <c r="A118" i="42"/>
  <c r="A117" i="42"/>
  <c r="A116" i="42"/>
  <c r="H113" i="42"/>
  <c r="H114" i="42" s="1"/>
  <c r="A113" i="42"/>
  <c r="A112" i="42"/>
  <c r="A111" i="42"/>
  <c r="A110" i="42"/>
  <c r="R109" i="42"/>
  <c r="R9" i="42" s="1"/>
  <c r="A109" i="42"/>
  <c r="A108" i="42"/>
  <c r="A107" i="42"/>
  <c r="H104" i="42"/>
  <c r="H105" i="42" s="1"/>
  <c r="A104" i="42"/>
  <c r="A103" i="42"/>
  <c r="A102" i="42"/>
  <c r="A101" i="42"/>
  <c r="R100" i="42"/>
  <c r="R7" i="42" s="1"/>
  <c r="A100" i="42"/>
  <c r="A99" i="42"/>
  <c r="A98" i="42"/>
  <c r="A97" i="42"/>
  <c r="F96" i="42"/>
  <c r="F95" i="42"/>
  <c r="F94" i="42"/>
  <c r="F93" i="42"/>
  <c r="F92" i="42"/>
  <c r="F91" i="42"/>
  <c r="F90" i="42"/>
  <c r="F89" i="42"/>
  <c r="F88" i="42"/>
  <c r="L87" i="42"/>
  <c r="J87" i="42"/>
  <c r="H87" i="42"/>
  <c r="A86" i="42"/>
  <c r="A85" i="42"/>
  <c r="A84" i="42"/>
  <c r="A83" i="42"/>
  <c r="A82" i="42"/>
  <c r="A81" i="42"/>
  <c r="F80" i="42"/>
  <c r="F79" i="42"/>
  <c r="F78" i="42"/>
  <c r="F77" i="42"/>
  <c r="F76" i="42"/>
  <c r="F75" i="42"/>
  <c r="F74" i="42"/>
  <c r="F73" i="42"/>
  <c r="Q72" i="42"/>
  <c r="Q73" i="42" s="1"/>
  <c r="Q74" i="42" s="1"/>
  <c r="Q75" i="42" s="1"/>
  <c r="Q76" i="42" s="1"/>
  <c r="Q77" i="42" s="1"/>
  <c r="Q78" i="42" s="1"/>
  <c r="Q79" i="42" s="1"/>
  <c r="Q80" i="42" s="1"/>
  <c r="O72" i="42"/>
  <c r="O73" i="42" s="1"/>
  <c r="O74" i="42" s="1"/>
  <c r="O75" i="42" s="1"/>
  <c r="O76" i="42" s="1"/>
  <c r="O77" i="42" s="1"/>
  <c r="O78" i="42" s="1"/>
  <c r="O79" i="42" s="1"/>
  <c r="O80" i="42" s="1"/>
  <c r="M72" i="42"/>
  <c r="M73" i="42" s="1"/>
  <c r="M74" i="42" s="1"/>
  <c r="M75" i="42" s="1"/>
  <c r="M76" i="42" s="1"/>
  <c r="M77" i="42" s="1"/>
  <c r="M78" i="42" s="1"/>
  <c r="M79" i="42" s="1"/>
  <c r="M80" i="42" s="1"/>
  <c r="K72" i="42"/>
  <c r="K73" i="42" s="1"/>
  <c r="K74" i="42" s="1"/>
  <c r="K75" i="42" s="1"/>
  <c r="K76" i="42" s="1"/>
  <c r="K77" i="42" s="1"/>
  <c r="K78" i="42" s="1"/>
  <c r="K79" i="42" s="1"/>
  <c r="K80" i="42" s="1"/>
  <c r="I72" i="42"/>
  <c r="I73" i="42" s="1"/>
  <c r="I74" i="42" s="1"/>
  <c r="I75" i="42" s="1"/>
  <c r="I76" i="42" s="1"/>
  <c r="I77" i="42" s="1"/>
  <c r="I78" i="42" s="1"/>
  <c r="I79" i="42" s="1"/>
  <c r="I80" i="42" s="1"/>
  <c r="F72" i="42"/>
  <c r="P71" i="42"/>
  <c r="N71" i="42"/>
  <c r="L71" i="42"/>
  <c r="J71" i="42"/>
  <c r="H71" i="42"/>
  <c r="A70" i="42"/>
  <c r="A69" i="42"/>
  <c r="A68" i="42"/>
  <c r="A67" i="42"/>
  <c r="A66" i="42"/>
  <c r="F39" i="42"/>
  <c r="A39" i="42" s="1"/>
  <c r="A38" i="42"/>
  <c r="A37" i="42"/>
  <c r="A36" i="42"/>
  <c r="A35" i="42"/>
  <c r="A34" i="42"/>
  <c r="A33" i="42"/>
  <c r="A32" i="42"/>
  <c r="A31" i="42"/>
  <c r="A30" i="42"/>
  <c r="A29" i="42"/>
  <c r="A28" i="42"/>
  <c r="A27" i="42"/>
  <c r="A26" i="42"/>
  <c r="A25" i="42"/>
  <c r="A24" i="42"/>
  <c r="A23" i="42"/>
  <c r="A22" i="42"/>
  <c r="A21" i="42"/>
  <c r="A20" i="42"/>
  <c r="A19" i="42"/>
  <c r="A18" i="42"/>
  <c r="A17" i="42"/>
  <c r="A14" i="42"/>
  <c r="A13" i="42"/>
  <c r="T12" i="42"/>
  <c r="A12" i="42" s="1"/>
  <c r="T10" i="42"/>
  <c r="A10" i="42" s="1"/>
  <c r="T8" i="42"/>
  <c r="A8" i="42" s="1"/>
  <c r="A6" i="42"/>
  <c r="A4" i="42"/>
  <c r="A3" i="42"/>
  <c r="A2" i="42"/>
  <c r="A1" i="42"/>
  <c r="AQ25" i="27" l="1"/>
  <c r="A87" i="42"/>
  <c r="F40" i="42"/>
  <c r="F41" i="42" s="1"/>
  <c r="A41" i="42" s="1"/>
  <c r="H123" i="42"/>
  <c r="A170" i="42"/>
  <c r="A182" i="42"/>
  <c r="A136" i="42"/>
  <c r="A149" i="42"/>
  <c r="A161" i="42"/>
  <c r="A165" i="42"/>
  <c r="A169" i="42"/>
  <c r="A145" i="42"/>
  <c r="A137" i="42"/>
  <c r="A141" i="42"/>
  <c r="A156" i="42"/>
  <c r="A166" i="42"/>
  <c r="A150" i="42"/>
  <c r="A157" i="42"/>
  <c r="A177" i="42"/>
  <c r="A133" i="42"/>
  <c r="A173" i="42"/>
  <c r="A178" i="42"/>
  <c r="A153" i="42"/>
  <c r="A132" i="42"/>
  <c r="J72" i="42"/>
  <c r="J73" i="42" s="1"/>
  <c r="J74" i="42" s="1"/>
  <c r="J75" i="42" s="1"/>
  <c r="J76" i="42" s="1"/>
  <c r="J77" i="42" s="1"/>
  <c r="J78" i="42" s="1"/>
  <c r="J79" i="42" s="1"/>
  <c r="J80" i="42" s="1"/>
  <c r="H88" i="42"/>
  <c r="H89" i="42" s="1"/>
  <c r="H90" i="42" s="1"/>
  <c r="J88" i="42"/>
  <c r="J89" i="42" s="1"/>
  <c r="J90" i="42" s="1"/>
  <c r="J91" i="42" s="1"/>
  <c r="J92" i="42" s="1"/>
  <c r="J93" i="42" s="1"/>
  <c r="J94" i="42" s="1"/>
  <c r="J95" i="42" s="1"/>
  <c r="J96" i="42" s="1"/>
  <c r="A71" i="42"/>
  <c r="H72" i="42"/>
  <c r="H73" i="42" s="1"/>
  <c r="A40" i="42"/>
  <c r="N72" i="42"/>
  <c r="N73" i="42" s="1"/>
  <c r="N74" i="42" s="1"/>
  <c r="N75" i="42" s="1"/>
  <c r="N76" i="42" s="1"/>
  <c r="N77" i="42" s="1"/>
  <c r="N78" i="42" s="1"/>
  <c r="N79" i="42" s="1"/>
  <c r="N80" i="42" s="1"/>
  <c r="L88" i="42"/>
  <c r="L89" i="42" s="1"/>
  <c r="L90" i="42" s="1"/>
  <c r="L91" i="42" s="1"/>
  <c r="L92" i="42" s="1"/>
  <c r="L93" i="42" s="1"/>
  <c r="L94" i="42" s="1"/>
  <c r="L95" i="42" s="1"/>
  <c r="L96" i="42" s="1"/>
  <c r="P72" i="42"/>
  <c r="P73" i="42" s="1"/>
  <c r="P74" i="42" s="1"/>
  <c r="P75" i="42" s="1"/>
  <c r="P76" i="42" s="1"/>
  <c r="P77" i="42" s="1"/>
  <c r="P78" i="42" s="1"/>
  <c r="P79" i="42" s="1"/>
  <c r="P80" i="42" s="1"/>
  <c r="L72" i="42"/>
  <c r="L73" i="42" s="1"/>
  <c r="L74" i="42" s="1"/>
  <c r="L75" i="42" s="1"/>
  <c r="L76" i="42" s="1"/>
  <c r="L77" i="42" s="1"/>
  <c r="L78" i="42" s="1"/>
  <c r="L79" i="42" s="1"/>
  <c r="L80" i="42" s="1"/>
  <c r="A114" i="42"/>
  <c r="H115" i="42"/>
  <c r="H106" i="42"/>
  <c r="A105" i="42"/>
  <c r="H112" i="40"/>
  <c r="H124" i="42" l="1"/>
  <c r="A123" i="42"/>
  <c r="T5" i="42"/>
  <c r="R5" i="42"/>
  <c r="L5" i="42"/>
  <c r="N5" i="42"/>
  <c r="H5" i="42"/>
  <c r="J5" i="42"/>
  <c r="F42" i="42"/>
  <c r="F43" i="42" s="1"/>
  <c r="A43" i="42" s="1"/>
  <c r="A88" i="42"/>
  <c r="A73" i="42"/>
  <c r="H74" i="42"/>
  <c r="H75" i="42" s="1"/>
  <c r="T7" i="42"/>
  <c r="A7" i="42" s="1"/>
  <c r="A106" i="42"/>
  <c r="A72" i="42"/>
  <c r="A90" i="42"/>
  <c r="H91" i="42"/>
  <c r="A115" i="42"/>
  <c r="T9" i="42"/>
  <c r="A9" i="42" s="1"/>
  <c r="A89" i="42"/>
  <c r="F11" i="27"/>
  <c r="H11" i="27"/>
  <c r="J11" i="27"/>
  <c r="L11" i="27"/>
  <c r="N11" i="27"/>
  <c r="P11" i="27"/>
  <c r="R11" i="27"/>
  <c r="T11" i="27"/>
  <c r="V11" i="27"/>
  <c r="X11" i="27"/>
  <c r="Z11" i="27"/>
  <c r="AB11" i="27"/>
  <c r="AD11" i="27"/>
  <c r="AF11" i="27"/>
  <c r="AH11" i="27"/>
  <c r="AJ11" i="27"/>
  <c r="AL11" i="27"/>
  <c r="AN11" i="27"/>
  <c r="G166" i="41"/>
  <c r="A166" i="41" s="1"/>
  <c r="A195" i="41"/>
  <c r="A194" i="41"/>
  <c r="A193" i="41"/>
  <c r="A192" i="41"/>
  <c r="A191" i="41"/>
  <c r="A190" i="41"/>
  <c r="A189" i="41"/>
  <c r="G188" i="41"/>
  <c r="A188" i="41" s="1"/>
  <c r="H187" i="41"/>
  <c r="G187" i="41"/>
  <c r="G186" i="41"/>
  <c r="A186" i="41" s="1"/>
  <c r="H185" i="41"/>
  <c r="G185" i="41"/>
  <c r="G184" i="41"/>
  <c r="A184" i="41" s="1"/>
  <c r="H183" i="41"/>
  <c r="G183" i="41"/>
  <c r="H182" i="41"/>
  <c r="G182" i="41"/>
  <c r="H181" i="41"/>
  <c r="G181" i="41"/>
  <c r="G180" i="41"/>
  <c r="A180" i="41" s="1"/>
  <c r="H179" i="41"/>
  <c r="G179" i="41"/>
  <c r="H177" i="41"/>
  <c r="G177" i="41"/>
  <c r="H176" i="41"/>
  <c r="G176" i="41"/>
  <c r="H175" i="41"/>
  <c r="G175" i="41"/>
  <c r="A174" i="41"/>
  <c r="H173" i="41"/>
  <c r="G173" i="41"/>
  <c r="H172" i="41"/>
  <c r="G172" i="41"/>
  <c r="H171" i="41"/>
  <c r="G171" i="41"/>
  <c r="H170" i="41"/>
  <c r="G170" i="41"/>
  <c r="H169" i="41"/>
  <c r="G169" i="41"/>
  <c r="A168" i="41"/>
  <c r="H167" i="41"/>
  <c r="G167" i="41"/>
  <c r="H165" i="41"/>
  <c r="G165" i="41"/>
  <c r="A164" i="41"/>
  <c r="A163" i="41"/>
  <c r="H162" i="41"/>
  <c r="G162" i="41"/>
  <c r="H161" i="41"/>
  <c r="G161" i="41"/>
  <c r="H160" i="41"/>
  <c r="G160" i="41"/>
  <c r="H159" i="41"/>
  <c r="G159" i="41"/>
  <c r="A158" i="41"/>
  <c r="G157" i="41"/>
  <c r="A157" i="41" s="1"/>
  <c r="H156" i="41"/>
  <c r="G156" i="41"/>
  <c r="H155" i="41"/>
  <c r="G155" i="41"/>
  <c r="A154" i="41"/>
  <c r="H153" i="41"/>
  <c r="G153" i="41"/>
  <c r="G152" i="41"/>
  <c r="A152" i="41" s="1"/>
  <c r="H151" i="41"/>
  <c r="G151" i="41"/>
  <c r="H150" i="41"/>
  <c r="G150" i="41"/>
  <c r="G149" i="41"/>
  <c r="A148" i="41"/>
  <c r="H147" i="41"/>
  <c r="G147" i="41"/>
  <c r="G146" i="41"/>
  <c r="A146" i="41" s="1"/>
  <c r="H145" i="41"/>
  <c r="G145" i="41"/>
  <c r="A144" i="41"/>
  <c r="G143" i="41"/>
  <c r="A143" i="41" s="1"/>
  <c r="G142" i="41"/>
  <c r="G141" i="41"/>
  <c r="A141" i="41" s="1"/>
  <c r="G140" i="41"/>
  <c r="A140" i="41" s="1"/>
  <c r="G139" i="41"/>
  <c r="A138" i="41"/>
  <c r="G137" i="41"/>
  <c r="A137" i="41" s="1"/>
  <c r="G136" i="41"/>
  <c r="A136" i="41" s="1"/>
  <c r="G135" i="41"/>
  <c r="G134" i="41"/>
  <c r="A134" i="41" s="1"/>
  <c r="G133" i="41"/>
  <c r="A133" i="41" s="1"/>
  <c r="G132" i="41"/>
  <c r="G131" i="41"/>
  <c r="A131" i="41" s="1"/>
  <c r="G130" i="41"/>
  <c r="A130" i="41" s="1"/>
  <c r="A129" i="41"/>
  <c r="A128" i="41"/>
  <c r="A127" i="41"/>
  <c r="A126" i="41"/>
  <c r="A125" i="41"/>
  <c r="H122" i="41"/>
  <c r="A122" i="41" s="1"/>
  <c r="A121" i="41"/>
  <c r="A120" i="41"/>
  <c r="A119" i="41"/>
  <c r="R118" i="41"/>
  <c r="R11" i="41" s="1"/>
  <c r="A118" i="41"/>
  <c r="A117" i="41"/>
  <c r="A116" i="41"/>
  <c r="H113" i="41"/>
  <c r="H114" i="41" s="1"/>
  <c r="A113" i="41"/>
  <c r="A112" i="41"/>
  <c r="A111" i="41"/>
  <c r="A110" i="41"/>
  <c r="R109" i="41"/>
  <c r="R9" i="41" s="1"/>
  <c r="A109" i="41"/>
  <c r="A108" i="41"/>
  <c r="A107" i="41"/>
  <c r="H104" i="41"/>
  <c r="H105" i="41" s="1"/>
  <c r="A103" i="41"/>
  <c r="A102" i="41"/>
  <c r="A101" i="41"/>
  <c r="R100" i="41"/>
  <c r="R7" i="41" s="1"/>
  <c r="A100" i="41"/>
  <c r="A99" i="41"/>
  <c r="A98" i="41"/>
  <c r="A97" i="41"/>
  <c r="F96" i="41"/>
  <c r="F95" i="41"/>
  <c r="F94" i="41"/>
  <c r="F93" i="41"/>
  <c r="F92" i="41"/>
  <c r="F91" i="41"/>
  <c r="F90" i="41"/>
  <c r="F89" i="41"/>
  <c r="F88" i="41"/>
  <c r="J88" i="41" s="1"/>
  <c r="L87" i="41"/>
  <c r="J87" i="41"/>
  <c r="H87" i="41"/>
  <c r="A87" i="41" s="1"/>
  <c r="A86" i="41"/>
  <c r="A85" i="41"/>
  <c r="A84" i="41"/>
  <c r="A83" i="41"/>
  <c r="A82" i="41"/>
  <c r="A81" i="41"/>
  <c r="F80" i="41"/>
  <c r="F79" i="41"/>
  <c r="F78" i="41"/>
  <c r="F77" i="41"/>
  <c r="F76" i="41"/>
  <c r="F75" i="41"/>
  <c r="F74" i="41"/>
  <c r="F73" i="41"/>
  <c r="Q72" i="41"/>
  <c r="Q73" i="41" s="1"/>
  <c r="Q74" i="41" s="1"/>
  <c r="Q75" i="41" s="1"/>
  <c r="Q76" i="41" s="1"/>
  <c r="Q77" i="41" s="1"/>
  <c r="Q78" i="41" s="1"/>
  <c r="Q79" i="41" s="1"/>
  <c r="Q80" i="41" s="1"/>
  <c r="O72" i="41"/>
  <c r="O73" i="41" s="1"/>
  <c r="O74" i="41" s="1"/>
  <c r="O75" i="41" s="1"/>
  <c r="O76" i="41" s="1"/>
  <c r="O77" i="41" s="1"/>
  <c r="O78" i="41" s="1"/>
  <c r="O79" i="41" s="1"/>
  <c r="O80" i="41" s="1"/>
  <c r="M72" i="41"/>
  <c r="M73" i="41" s="1"/>
  <c r="M74" i="41" s="1"/>
  <c r="M75" i="41" s="1"/>
  <c r="M76" i="41" s="1"/>
  <c r="M77" i="41" s="1"/>
  <c r="M78" i="41" s="1"/>
  <c r="M79" i="41" s="1"/>
  <c r="M80" i="41" s="1"/>
  <c r="K72" i="41"/>
  <c r="K73" i="41" s="1"/>
  <c r="K74" i="41" s="1"/>
  <c r="K75" i="41" s="1"/>
  <c r="K76" i="41" s="1"/>
  <c r="K77" i="41" s="1"/>
  <c r="K78" i="41" s="1"/>
  <c r="K79" i="41" s="1"/>
  <c r="K80" i="41" s="1"/>
  <c r="I72" i="41"/>
  <c r="I73" i="41" s="1"/>
  <c r="I74" i="41" s="1"/>
  <c r="I75" i="41" s="1"/>
  <c r="I76" i="41" s="1"/>
  <c r="I77" i="41" s="1"/>
  <c r="I78" i="41" s="1"/>
  <c r="I79" i="41" s="1"/>
  <c r="I80" i="41" s="1"/>
  <c r="F72" i="41"/>
  <c r="P71" i="41"/>
  <c r="N71" i="41"/>
  <c r="L71" i="41"/>
  <c r="J71" i="41"/>
  <c r="H71" i="41"/>
  <c r="A70" i="41"/>
  <c r="A69" i="41"/>
  <c r="A68" i="41"/>
  <c r="A67" i="41"/>
  <c r="A66" i="41"/>
  <c r="F39" i="41"/>
  <c r="A39" i="41" s="1"/>
  <c r="A38" i="41"/>
  <c r="A37" i="41"/>
  <c r="A36" i="41"/>
  <c r="A35" i="41"/>
  <c r="A34" i="41"/>
  <c r="A33" i="41"/>
  <c r="A32" i="41"/>
  <c r="A31" i="41"/>
  <c r="A30" i="41"/>
  <c r="A29" i="41"/>
  <c r="A28" i="41"/>
  <c r="A27" i="41"/>
  <c r="A26" i="41"/>
  <c r="A25" i="41"/>
  <c r="A24" i="41"/>
  <c r="A23" i="41"/>
  <c r="A22" i="41"/>
  <c r="A21" i="41"/>
  <c r="A20" i="41"/>
  <c r="A19" i="41"/>
  <c r="A18" i="41"/>
  <c r="A17" i="41"/>
  <c r="A14" i="41"/>
  <c r="A13" i="41"/>
  <c r="T12" i="41"/>
  <c r="A12" i="41" s="1"/>
  <c r="T10" i="41"/>
  <c r="A10" i="41" s="1"/>
  <c r="T8" i="41"/>
  <c r="A8" i="41" s="1"/>
  <c r="A6" i="41"/>
  <c r="A4" i="41"/>
  <c r="A3" i="41"/>
  <c r="A2" i="41"/>
  <c r="A1" i="41"/>
  <c r="AQ11" i="27" l="1"/>
  <c r="A124" i="42"/>
  <c r="T11" i="42"/>
  <c r="A11" i="42" s="1"/>
  <c r="F44" i="42"/>
  <c r="F45" i="42" s="1"/>
  <c r="A45" i="42" s="1"/>
  <c r="A42" i="42"/>
  <c r="H92" i="42"/>
  <c r="A91" i="42"/>
  <c r="A74" i="42"/>
  <c r="A71" i="41"/>
  <c r="A150" i="41"/>
  <c r="A170" i="41"/>
  <c r="A171" i="41"/>
  <c r="H123" i="41"/>
  <c r="A147" i="41"/>
  <c r="A104" i="41"/>
  <c r="A153" i="41"/>
  <c r="A151" i="41"/>
  <c r="A169" i="41"/>
  <c r="A177" i="41"/>
  <c r="A145" i="41"/>
  <c r="A155" i="41"/>
  <c r="A159" i="41"/>
  <c r="A161" i="41"/>
  <c r="A167" i="41"/>
  <c r="A173" i="41"/>
  <c r="A176" i="41"/>
  <c r="J72" i="41"/>
  <c r="J73" i="41" s="1"/>
  <c r="J74" i="41" s="1"/>
  <c r="J75" i="41" s="1"/>
  <c r="J76" i="41" s="1"/>
  <c r="J77" i="41" s="1"/>
  <c r="J78" i="41" s="1"/>
  <c r="J79" i="41" s="1"/>
  <c r="J80" i="41" s="1"/>
  <c r="A160" i="41"/>
  <c r="A156" i="41"/>
  <c r="A172" i="41"/>
  <c r="A178" i="41"/>
  <c r="A182" i="41"/>
  <c r="A142" i="41"/>
  <c r="H88" i="41"/>
  <c r="H89" i="41" s="1"/>
  <c r="H90" i="41" s="1"/>
  <c r="L88" i="41"/>
  <c r="L89" i="41" s="1"/>
  <c r="L90" i="41" s="1"/>
  <c r="L91" i="41" s="1"/>
  <c r="L92" i="41" s="1"/>
  <c r="L93" i="41" s="1"/>
  <c r="L94" i="41" s="1"/>
  <c r="L95" i="41" s="1"/>
  <c r="J89" i="41"/>
  <c r="J90" i="41" s="1"/>
  <c r="J91" i="41" s="1"/>
  <c r="J92" i="41" s="1"/>
  <c r="J93" i="41" s="1"/>
  <c r="J94" i="41" s="1"/>
  <c r="J95" i="41" s="1"/>
  <c r="A132" i="41"/>
  <c r="A162" i="41"/>
  <c r="A135" i="41"/>
  <c r="A139" i="41"/>
  <c r="F40" i="41"/>
  <c r="F41" i="41" s="1"/>
  <c r="A41" i="41" s="1"/>
  <c r="A149" i="41"/>
  <c r="A175" i="41"/>
  <c r="A187" i="41"/>
  <c r="A165" i="41"/>
  <c r="A179" i="41"/>
  <c r="A181" i="41"/>
  <c r="A183" i="41"/>
  <c r="A185" i="41"/>
  <c r="L72" i="41"/>
  <c r="L73" i="41" s="1"/>
  <c r="L74" i="41" s="1"/>
  <c r="L75" i="41" s="1"/>
  <c r="L76" i="41" s="1"/>
  <c r="L77" i="41" s="1"/>
  <c r="L78" i="41" s="1"/>
  <c r="L79" i="41" s="1"/>
  <c r="L80" i="41" s="1"/>
  <c r="H72" i="41"/>
  <c r="H106" i="41"/>
  <c r="A105" i="41"/>
  <c r="N72" i="41"/>
  <c r="N73" i="41" s="1"/>
  <c r="N74" i="41" s="1"/>
  <c r="N75" i="41" s="1"/>
  <c r="N76" i="41" s="1"/>
  <c r="N77" i="41" s="1"/>
  <c r="N78" i="41" s="1"/>
  <c r="N79" i="41" s="1"/>
  <c r="N80" i="41" s="1"/>
  <c r="P72" i="41"/>
  <c r="P73" i="41" s="1"/>
  <c r="P74" i="41" s="1"/>
  <c r="P75" i="41" s="1"/>
  <c r="P76" i="41" s="1"/>
  <c r="A114" i="41"/>
  <c r="H115" i="41"/>
  <c r="AA38" i="27"/>
  <c r="F31" i="27"/>
  <c r="H31" i="27"/>
  <c r="J31" i="27"/>
  <c r="L31" i="27"/>
  <c r="N31" i="27"/>
  <c r="P31" i="27"/>
  <c r="R31" i="27"/>
  <c r="T31" i="27"/>
  <c r="V31" i="27"/>
  <c r="X31" i="27"/>
  <c r="Z31" i="27"/>
  <c r="AB31" i="27"/>
  <c r="AD31" i="27"/>
  <c r="AF31" i="27"/>
  <c r="AH31" i="27"/>
  <c r="AJ31" i="27"/>
  <c r="AL31" i="27"/>
  <c r="AN31" i="27"/>
  <c r="A194" i="40"/>
  <c r="A193" i="40"/>
  <c r="A192" i="40"/>
  <c r="A191" i="40"/>
  <c r="A190" i="40"/>
  <c r="A189" i="40"/>
  <c r="A188" i="40"/>
  <c r="G187" i="40"/>
  <c r="A187" i="40" s="1"/>
  <c r="H186" i="40"/>
  <c r="G186" i="40"/>
  <c r="G185" i="40"/>
  <c r="A185" i="40" s="1"/>
  <c r="H184" i="40"/>
  <c r="G184" i="40"/>
  <c r="A183" i="40"/>
  <c r="H182" i="40"/>
  <c r="G182" i="40"/>
  <c r="A182" i="40" s="1"/>
  <c r="H181" i="40"/>
  <c r="G181" i="40"/>
  <c r="H180" i="40"/>
  <c r="G180" i="40"/>
  <c r="G179" i="40"/>
  <c r="A179" i="40" s="1"/>
  <c r="H178" i="40"/>
  <c r="G178" i="40"/>
  <c r="A177" i="40"/>
  <c r="H176" i="40"/>
  <c r="G176" i="40"/>
  <c r="H175" i="40"/>
  <c r="G175" i="40"/>
  <c r="H174" i="40"/>
  <c r="G174" i="40"/>
  <c r="A173" i="40"/>
  <c r="H172" i="40"/>
  <c r="G172" i="40"/>
  <c r="H171" i="40"/>
  <c r="G171" i="40"/>
  <c r="H170" i="40"/>
  <c r="G170" i="40"/>
  <c r="H169" i="40"/>
  <c r="G169" i="40"/>
  <c r="H168" i="40"/>
  <c r="G168" i="40"/>
  <c r="A167" i="40"/>
  <c r="H166" i="40"/>
  <c r="G166" i="40"/>
  <c r="A166" i="40" s="1"/>
  <c r="H165" i="40"/>
  <c r="G165" i="40"/>
  <c r="H164" i="40"/>
  <c r="G164" i="40"/>
  <c r="A163" i="40"/>
  <c r="H162" i="40"/>
  <c r="G162" i="40"/>
  <c r="H161" i="40"/>
  <c r="G161" i="40"/>
  <c r="H160" i="40"/>
  <c r="G160" i="40"/>
  <c r="H159" i="40"/>
  <c r="G159" i="40"/>
  <c r="H158" i="40"/>
  <c r="G158" i="40"/>
  <c r="A157" i="40"/>
  <c r="H156" i="40"/>
  <c r="G156" i="40"/>
  <c r="H155" i="40"/>
  <c r="G155" i="40"/>
  <c r="H154" i="40"/>
  <c r="G154" i="40"/>
  <c r="A153" i="40"/>
  <c r="H152" i="40"/>
  <c r="G152" i="40"/>
  <c r="G151" i="40"/>
  <c r="A151" i="40" s="1"/>
  <c r="H150" i="40"/>
  <c r="G150" i="40"/>
  <c r="A150" i="40" s="1"/>
  <c r="H149" i="40"/>
  <c r="G149" i="40"/>
  <c r="H148" i="40"/>
  <c r="G148" i="40"/>
  <c r="A147" i="40"/>
  <c r="H146" i="40"/>
  <c r="G146" i="40"/>
  <c r="G145" i="40"/>
  <c r="A145" i="40" s="1"/>
  <c r="H144" i="40"/>
  <c r="G144" i="40"/>
  <c r="A143" i="40"/>
  <c r="H142" i="40"/>
  <c r="A142" i="40" s="1"/>
  <c r="G142" i="40"/>
  <c r="H141" i="40"/>
  <c r="G141" i="40"/>
  <c r="H140" i="40"/>
  <c r="A140" i="40" s="1"/>
  <c r="G140" i="40"/>
  <c r="G139" i="40"/>
  <c r="A139" i="40" s="1"/>
  <c r="H138" i="40"/>
  <c r="G138" i="40"/>
  <c r="A137" i="40"/>
  <c r="H136" i="40"/>
  <c r="G136" i="40"/>
  <c r="H135" i="40"/>
  <c r="G135" i="40"/>
  <c r="H134" i="40"/>
  <c r="G134" i="40"/>
  <c r="G133" i="40"/>
  <c r="A133" i="40" s="1"/>
  <c r="H132" i="40"/>
  <c r="G132" i="40"/>
  <c r="H131" i="40"/>
  <c r="G131" i="40"/>
  <c r="H130" i="40"/>
  <c r="G130" i="40"/>
  <c r="H129" i="40"/>
  <c r="G129" i="40"/>
  <c r="A129" i="40" s="1"/>
  <c r="A128" i="40"/>
  <c r="A127" i="40"/>
  <c r="A126" i="40"/>
  <c r="A125" i="40"/>
  <c r="A124" i="40"/>
  <c r="H121" i="40"/>
  <c r="A121" i="40" s="1"/>
  <c r="A120" i="40"/>
  <c r="A119" i="40"/>
  <c r="A118" i="40"/>
  <c r="R117" i="40"/>
  <c r="R11" i="40" s="1"/>
  <c r="A117" i="40"/>
  <c r="A116" i="40"/>
  <c r="A115" i="40"/>
  <c r="H113" i="40"/>
  <c r="A111" i="40"/>
  <c r="A110" i="40"/>
  <c r="A109" i="40"/>
  <c r="R108" i="40"/>
  <c r="R9" i="40" s="1"/>
  <c r="A108" i="40"/>
  <c r="A107" i="40"/>
  <c r="A106" i="40"/>
  <c r="H103" i="40"/>
  <c r="H104" i="40" s="1"/>
  <c r="A102" i="40"/>
  <c r="A101" i="40"/>
  <c r="A100" i="40"/>
  <c r="R99" i="40"/>
  <c r="R7" i="40" s="1"/>
  <c r="A99" i="40"/>
  <c r="A98" i="40"/>
  <c r="A97" i="40"/>
  <c r="A96" i="40"/>
  <c r="F95" i="40"/>
  <c r="F94" i="40"/>
  <c r="F93" i="40"/>
  <c r="F92" i="40"/>
  <c r="F91" i="40"/>
  <c r="F90" i="40"/>
  <c r="F89" i="40"/>
  <c r="F88" i="40"/>
  <c r="F87" i="40"/>
  <c r="L86" i="40"/>
  <c r="J86" i="40"/>
  <c r="H86" i="40"/>
  <c r="A85" i="40"/>
  <c r="A84" i="40"/>
  <c r="A83" i="40"/>
  <c r="A82" i="40"/>
  <c r="A81" i="40"/>
  <c r="A80" i="40"/>
  <c r="F79" i="40"/>
  <c r="F78" i="40"/>
  <c r="F77" i="40"/>
  <c r="F76" i="40"/>
  <c r="F75" i="40"/>
  <c r="F74" i="40"/>
  <c r="F73" i="40"/>
  <c r="F72" i="40"/>
  <c r="Q71" i="40"/>
  <c r="Q72" i="40" s="1"/>
  <c r="Q73" i="40" s="1"/>
  <c r="Q74" i="40" s="1"/>
  <c r="Q75" i="40" s="1"/>
  <c r="Q76" i="40" s="1"/>
  <c r="Q77" i="40" s="1"/>
  <c r="Q78" i="40" s="1"/>
  <c r="Q79" i="40" s="1"/>
  <c r="O71" i="40"/>
  <c r="O72" i="40" s="1"/>
  <c r="O73" i="40" s="1"/>
  <c r="O74" i="40" s="1"/>
  <c r="O75" i="40" s="1"/>
  <c r="O76" i="40" s="1"/>
  <c r="O77" i="40" s="1"/>
  <c r="O78" i="40" s="1"/>
  <c r="O79" i="40" s="1"/>
  <c r="M71" i="40"/>
  <c r="M72" i="40" s="1"/>
  <c r="M73" i="40" s="1"/>
  <c r="M74" i="40" s="1"/>
  <c r="M75" i="40" s="1"/>
  <c r="M76" i="40" s="1"/>
  <c r="M77" i="40" s="1"/>
  <c r="M78" i="40" s="1"/>
  <c r="M79" i="40" s="1"/>
  <c r="K71" i="40"/>
  <c r="K72" i="40" s="1"/>
  <c r="K73" i="40" s="1"/>
  <c r="K74" i="40" s="1"/>
  <c r="K75" i="40" s="1"/>
  <c r="K76" i="40" s="1"/>
  <c r="K77" i="40" s="1"/>
  <c r="K78" i="40" s="1"/>
  <c r="K79" i="40" s="1"/>
  <c r="I71" i="40"/>
  <c r="I72" i="40" s="1"/>
  <c r="I73" i="40" s="1"/>
  <c r="I74" i="40" s="1"/>
  <c r="I75" i="40" s="1"/>
  <c r="I76" i="40" s="1"/>
  <c r="I77" i="40" s="1"/>
  <c r="I78" i="40" s="1"/>
  <c r="I79" i="40" s="1"/>
  <c r="F71" i="40"/>
  <c r="P70" i="40"/>
  <c r="N70" i="40"/>
  <c r="L70" i="40"/>
  <c r="J70" i="40"/>
  <c r="H70" i="40"/>
  <c r="A69" i="40"/>
  <c r="A68" i="40"/>
  <c r="A67" i="40"/>
  <c r="A66" i="40"/>
  <c r="A65" i="40"/>
  <c r="F39" i="40"/>
  <c r="F40" i="40" s="1"/>
  <c r="A40" i="40" s="1"/>
  <c r="A38" i="40"/>
  <c r="A37" i="40"/>
  <c r="A36" i="40"/>
  <c r="A35" i="40"/>
  <c r="A34" i="40"/>
  <c r="A33" i="40"/>
  <c r="A32" i="40"/>
  <c r="A31" i="40"/>
  <c r="A30" i="40"/>
  <c r="A29" i="40"/>
  <c r="A28" i="40"/>
  <c r="A27" i="40"/>
  <c r="A26" i="40"/>
  <c r="A25" i="40"/>
  <c r="A24" i="40"/>
  <c r="A23" i="40"/>
  <c r="A22" i="40"/>
  <c r="A21" i="40"/>
  <c r="A20" i="40"/>
  <c r="A19" i="40"/>
  <c r="A18" i="40"/>
  <c r="A17" i="40"/>
  <c r="A14" i="40"/>
  <c r="A13" i="40"/>
  <c r="T12" i="40"/>
  <c r="A12" i="40" s="1"/>
  <c r="T10" i="40"/>
  <c r="A10" i="40" s="1"/>
  <c r="T8" i="40"/>
  <c r="A8" i="40" s="1"/>
  <c r="A6" i="40"/>
  <c r="A4" i="40"/>
  <c r="A3" i="40"/>
  <c r="A2" i="40"/>
  <c r="A1" i="40"/>
  <c r="F46" i="42" l="1"/>
  <c r="F47" i="42" s="1"/>
  <c r="A44" i="42"/>
  <c r="H93" i="42"/>
  <c r="A92" i="42"/>
  <c r="A75" i="42"/>
  <c r="H76" i="42"/>
  <c r="L96" i="41"/>
  <c r="T5" i="41"/>
  <c r="J96" i="41"/>
  <c r="R5" i="41"/>
  <c r="P77" i="41"/>
  <c r="P78" i="41" s="1"/>
  <c r="P79" i="41" s="1"/>
  <c r="P80" i="41" s="1"/>
  <c r="N5" i="41" s="1"/>
  <c r="H124" i="41"/>
  <c r="A123" i="41"/>
  <c r="L5" i="41"/>
  <c r="H5" i="41"/>
  <c r="J5" i="41"/>
  <c r="A88" i="41"/>
  <c r="A89" i="41"/>
  <c r="F42" i="41"/>
  <c r="F43" i="41" s="1"/>
  <c r="A43" i="41" s="1"/>
  <c r="A40" i="41"/>
  <c r="A72" i="41"/>
  <c r="H73" i="41"/>
  <c r="A115" i="41"/>
  <c r="T9" i="41"/>
  <c r="A9" i="41" s="1"/>
  <c r="A90" i="41"/>
  <c r="H91" i="41"/>
  <c r="T7" i="41"/>
  <c r="A7" i="41" s="1"/>
  <c r="A106" i="41"/>
  <c r="AQ31" i="27"/>
  <c r="A176" i="40"/>
  <c r="A103" i="40"/>
  <c r="A160" i="40"/>
  <c r="A169" i="40"/>
  <c r="A132" i="40"/>
  <c r="A156" i="40"/>
  <c r="A168" i="40"/>
  <c r="A170" i="40"/>
  <c r="A172" i="40"/>
  <c r="A136" i="40"/>
  <c r="A112" i="40"/>
  <c r="H122" i="40"/>
  <c r="A130" i="40"/>
  <c r="A158" i="40"/>
  <c r="A39" i="40"/>
  <c r="P71" i="40"/>
  <c r="P72" i="40" s="1"/>
  <c r="P73" i="40" s="1"/>
  <c r="P74" i="40" s="1"/>
  <c r="P75" i="40" s="1"/>
  <c r="P76" i="40" s="1"/>
  <c r="P77" i="40" s="1"/>
  <c r="P78" i="40" s="1"/>
  <c r="P79" i="40" s="1"/>
  <c r="A152" i="40"/>
  <c r="A146" i="40"/>
  <c r="A159" i="40"/>
  <c r="A165" i="40"/>
  <c r="A180" i="40"/>
  <c r="A135" i="40"/>
  <c r="A144" i="40"/>
  <c r="A149" i="40"/>
  <c r="A164" i="40"/>
  <c r="A186" i="40"/>
  <c r="A181" i="40"/>
  <c r="A175" i="40"/>
  <c r="A162" i="40"/>
  <c r="A161" i="40"/>
  <c r="A155" i="40"/>
  <c r="J71" i="40"/>
  <c r="J72" i="40" s="1"/>
  <c r="J73" i="40" s="1"/>
  <c r="J74" i="40" s="1"/>
  <c r="J75" i="40" s="1"/>
  <c r="J76" i="40" s="1"/>
  <c r="J77" i="40" s="1"/>
  <c r="J78" i="40" s="1"/>
  <c r="J79" i="40" s="1"/>
  <c r="A141" i="40"/>
  <c r="H87" i="40"/>
  <c r="H88" i="40" s="1"/>
  <c r="J87" i="40"/>
  <c r="J88" i="40" s="1"/>
  <c r="J89" i="40" s="1"/>
  <c r="J90" i="40" s="1"/>
  <c r="J91" i="40" s="1"/>
  <c r="J92" i="40" s="1"/>
  <c r="J93" i="40" s="1"/>
  <c r="J94" i="40" s="1"/>
  <c r="J95" i="40" s="1"/>
  <c r="A134" i="40"/>
  <c r="A154" i="40"/>
  <c r="A171" i="40"/>
  <c r="A178" i="40"/>
  <c r="A184" i="40"/>
  <c r="A131" i="40"/>
  <c r="A138" i="40"/>
  <c r="A148" i="40"/>
  <c r="A174" i="40"/>
  <c r="L71" i="40"/>
  <c r="L72" i="40" s="1"/>
  <c r="L73" i="40" s="1"/>
  <c r="L74" i="40" s="1"/>
  <c r="L75" i="40" s="1"/>
  <c r="L76" i="40" s="1"/>
  <c r="L77" i="40" s="1"/>
  <c r="L78" i="40" s="1"/>
  <c r="L79" i="40" s="1"/>
  <c r="H71" i="40"/>
  <c r="H72" i="40" s="1"/>
  <c r="F41" i="40"/>
  <c r="A70" i="40"/>
  <c r="N71" i="40"/>
  <c r="N72" i="40" s="1"/>
  <c r="N73" i="40" s="1"/>
  <c r="N74" i="40" s="1"/>
  <c r="N75" i="40" s="1"/>
  <c r="N76" i="40" s="1"/>
  <c r="N77" i="40" s="1"/>
  <c r="N78" i="40" s="1"/>
  <c r="N79" i="40" s="1"/>
  <c r="A104" i="40"/>
  <c r="H105" i="40"/>
  <c r="A113" i="40"/>
  <c r="H114" i="40"/>
  <c r="L87" i="40"/>
  <c r="L88" i="40" s="1"/>
  <c r="L89" i="40" s="1"/>
  <c r="L90" i="40" s="1"/>
  <c r="L91" i="40" s="1"/>
  <c r="L92" i="40" s="1"/>
  <c r="L93" i="40" s="1"/>
  <c r="L94" i="40" s="1"/>
  <c r="L95" i="40" s="1"/>
  <c r="A86" i="40"/>
  <c r="G38" i="27"/>
  <c r="X1" i="42" s="1"/>
  <c r="AM38" i="27"/>
  <c r="AI38" i="27"/>
  <c r="AE38" i="27"/>
  <c r="W38" i="27"/>
  <c r="S38" i="27"/>
  <c r="O38" i="27"/>
  <c r="K38" i="27"/>
  <c r="F34" i="27"/>
  <c r="H34" i="27"/>
  <c r="J34" i="27"/>
  <c r="L34" i="27"/>
  <c r="N34" i="27"/>
  <c r="P34" i="27"/>
  <c r="R34" i="27"/>
  <c r="T34" i="27"/>
  <c r="V34" i="27"/>
  <c r="X34" i="27"/>
  <c r="Z34" i="27"/>
  <c r="AB34" i="27"/>
  <c r="AD34" i="27"/>
  <c r="AF34" i="27"/>
  <c r="AH34" i="27"/>
  <c r="AJ34" i="27"/>
  <c r="AL34" i="27"/>
  <c r="AN34" i="27"/>
  <c r="G186" i="39"/>
  <c r="H186" i="39"/>
  <c r="H180" i="39"/>
  <c r="G152" i="39"/>
  <c r="G146" i="39"/>
  <c r="H146" i="39"/>
  <c r="G140" i="39"/>
  <c r="H140" i="39"/>
  <c r="A195" i="39"/>
  <c r="A194" i="39"/>
  <c r="A193" i="39"/>
  <c r="A192" i="39"/>
  <c r="A191" i="39"/>
  <c r="A190" i="39"/>
  <c r="A189" i="39"/>
  <c r="G188" i="39"/>
  <c r="A188" i="39" s="1"/>
  <c r="G187" i="39"/>
  <c r="A186" i="39"/>
  <c r="H185" i="39"/>
  <c r="G185" i="39"/>
  <c r="G184" i="39"/>
  <c r="A184" i="39" s="1"/>
  <c r="H183" i="39"/>
  <c r="G183" i="39"/>
  <c r="H182" i="39"/>
  <c r="G182" i="39"/>
  <c r="H181" i="39"/>
  <c r="G181" i="39"/>
  <c r="G180" i="39"/>
  <c r="H179" i="39"/>
  <c r="G179" i="39"/>
  <c r="A178" i="39"/>
  <c r="H177" i="39"/>
  <c r="G177" i="39"/>
  <c r="H176" i="39"/>
  <c r="G176" i="39"/>
  <c r="H175" i="39"/>
  <c r="G175" i="39"/>
  <c r="G174" i="39"/>
  <c r="A174" i="39" s="1"/>
  <c r="H173" i="39"/>
  <c r="G173" i="39"/>
  <c r="H172" i="39"/>
  <c r="G172" i="39"/>
  <c r="H171" i="39"/>
  <c r="G171" i="39"/>
  <c r="H170" i="39"/>
  <c r="G170" i="39"/>
  <c r="H169" i="39"/>
  <c r="G169" i="39"/>
  <c r="G168" i="39"/>
  <c r="A168" i="39" s="1"/>
  <c r="H167" i="39"/>
  <c r="G167" i="39"/>
  <c r="H166" i="39"/>
  <c r="G166" i="39"/>
  <c r="H165" i="39"/>
  <c r="G165" i="39"/>
  <c r="H163" i="39"/>
  <c r="G163" i="39"/>
  <c r="H162" i="39"/>
  <c r="G162" i="39"/>
  <c r="H161" i="39"/>
  <c r="G161" i="39"/>
  <c r="H160" i="39"/>
  <c r="G160" i="39"/>
  <c r="H159" i="39"/>
  <c r="G159" i="39"/>
  <c r="A158" i="39"/>
  <c r="H157" i="39"/>
  <c r="G157" i="39"/>
  <c r="H156" i="39"/>
  <c r="G156" i="39"/>
  <c r="G155" i="39"/>
  <c r="A154" i="39"/>
  <c r="H153" i="39"/>
  <c r="G153" i="39"/>
  <c r="H151" i="39"/>
  <c r="G151" i="39"/>
  <c r="H150" i="39"/>
  <c r="G150" i="39"/>
  <c r="H149" i="39"/>
  <c r="G149" i="39"/>
  <c r="A148" i="39"/>
  <c r="H147" i="39"/>
  <c r="G147" i="39"/>
  <c r="H145" i="39"/>
  <c r="G145" i="39"/>
  <c r="A144" i="39"/>
  <c r="H143" i="39"/>
  <c r="G143" i="39"/>
  <c r="H142" i="39"/>
  <c r="G142" i="39"/>
  <c r="H141" i="39"/>
  <c r="G141" i="39"/>
  <c r="H139" i="39"/>
  <c r="G139" i="39"/>
  <c r="A138" i="39"/>
  <c r="H137" i="39"/>
  <c r="G137" i="39"/>
  <c r="H136" i="39"/>
  <c r="G136" i="39"/>
  <c r="H135" i="39"/>
  <c r="G135" i="39"/>
  <c r="G134" i="39"/>
  <c r="A134" i="39" s="1"/>
  <c r="H133" i="39"/>
  <c r="G133" i="39"/>
  <c r="H132" i="39"/>
  <c r="G132" i="39"/>
  <c r="H131" i="39"/>
  <c r="G131" i="39"/>
  <c r="H130" i="39"/>
  <c r="G130" i="39"/>
  <c r="A129" i="39"/>
  <c r="A128" i="39"/>
  <c r="A127" i="39"/>
  <c r="A126" i="39"/>
  <c r="A125" i="39"/>
  <c r="H122" i="39"/>
  <c r="H123" i="39" s="1"/>
  <c r="A121" i="39"/>
  <c r="A120" i="39"/>
  <c r="A119" i="39"/>
  <c r="R118" i="39"/>
  <c r="R11" i="39" s="1"/>
  <c r="A118" i="39"/>
  <c r="A117" i="39"/>
  <c r="A116" i="39"/>
  <c r="H113" i="39"/>
  <c r="H114" i="39" s="1"/>
  <c r="A112" i="39"/>
  <c r="A111" i="39"/>
  <c r="A110" i="39"/>
  <c r="R109" i="39"/>
  <c r="R9" i="39" s="1"/>
  <c r="A109" i="39"/>
  <c r="A108" i="39"/>
  <c r="A107" i="39"/>
  <c r="H104" i="39"/>
  <c r="H105" i="39" s="1"/>
  <c r="A103" i="39"/>
  <c r="A102" i="39"/>
  <c r="A101" i="39"/>
  <c r="R100" i="39"/>
  <c r="R7" i="39" s="1"/>
  <c r="A100" i="39"/>
  <c r="A99" i="39"/>
  <c r="A98" i="39"/>
  <c r="A97" i="39"/>
  <c r="F96" i="39"/>
  <c r="F95" i="39"/>
  <c r="F94" i="39"/>
  <c r="F93" i="39"/>
  <c r="F92" i="39"/>
  <c r="F91" i="39"/>
  <c r="F90" i="39"/>
  <c r="F89" i="39"/>
  <c r="F88" i="39"/>
  <c r="L87" i="39"/>
  <c r="J87" i="39"/>
  <c r="H87" i="39"/>
  <c r="A86" i="39"/>
  <c r="A85" i="39"/>
  <c r="A84" i="39"/>
  <c r="A83" i="39"/>
  <c r="A82" i="39"/>
  <c r="A81" i="39"/>
  <c r="F80" i="39"/>
  <c r="F79" i="39"/>
  <c r="F78" i="39"/>
  <c r="F77" i="39"/>
  <c r="F76" i="39"/>
  <c r="F75" i="39"/>
  <c r="F74" i="39"/>
  <c r="F73" i="39"/>
  <c r="Q72" i="39"/>
  <c r="Q73" i="39" s="1"/>
  <c r="Q74" i="39" s="1"/>
  <c r="Q75" i="39" s="1"/>
  <c r="Q76" i="39" s="1"/>
  <c r="Q77" i="39" s="1"/>
  <c r="Q78" i="39" s="1"/>
  <c r="Q79" i="39" s="1"/>
  <c r="Q80" i="39" s="1"/>
  <c r="O72" i="39"/>
  <c r="O73" i="39" s="1"/>
  <c r="O74" i="39" s="1"/>
  <c r="O75" i="39" s="1"/>
  <c r="O76" i="39" s="1"/>
  <c r="O77" i="39" s="1"/>
  <c r="O78" i="39" s="1"/>
  <c r="O79" i="39" s="1"/>
  <c r="O80" i="39" s="1"/>
  <c r="M72" i="39"/>
  <c r="M73" i="39" s="1"/>
  <c r="M74" i="39" s="1"/>
  <c r="M75" i="39" s="1"/>
  <c r="M76" i="39" s="1"/>
  <c r="M77" i="39" s="1"/>
  <c r="M78" i="39" s="1"/>
  <c r="M79" i="39" s="1"/>
  <c r="M80" i="39" s="1"/>
  <c r="K72" i="39"/>
  <c r="K73" i="39" s="1"/>
  <c r="K74" i="39" s="1"/>
  <c r="K75" i="39" s="1"/>
  <c r="K76" i="39" s="1"/>
  <c r="K77" i="39" s="1"/>
  <c r="K78" i="39" s="1"/>
  <c r="K79" i="39" s="1"/>
  <c r="K80" i="39" s="1"/>
  <c r="I72" i="39"/>
  <c r="I73" i="39" s="1"/>
  <c r="I74" i="39" s="1"/>
  <c r="I75" i="39" s="1"/>
  <c r="I76" i="39" s="1"/>
  <c r="I77" i="39" s="1"/>
  <c r="I78" i="39" s="1"/>
  <c r="I79" i="39" s="1"/>
  <c r="I80" i="39" s="1"/>
  <c r="F72" i="39"/>
  <c r="P71" i="39"/>
  <c r="N71" i="39"/>
  <c r="L71" i="39"/>
  <c r="J71" i="39"/>
  <c r="H71" i="39"/>
  <c r="A70" i="39"/>
  <c r="A69" i="39"/>
  <c r="A68" i="39"/>
  <c r="A67" i="39"/>
  <c r="A66" i="39"/>
  <c r="F39" i="39"/>
  <c r="A38" i="39"/>
  <c r="A37" i="39"/>
  <c r="A36" i="39"/>
  <c r="A35" i="39"/>
  <c r="A34" i="39"/>
  <c r="A33" i="39"/>
  <c r="A32" i="39"/>
  <c r="A31" i="39"/>
  <c r="A30" i="39"/>
  <c r="A29" i="39"/>
  <c r="A28" i="39"/>
  <c r="A27" i="39"/>
  <c r="A26" i="39"/>
  <c r="A25" i="39"/>
  <c r="A24" i="39"/>
  <c r="A23" i="39"/>
  <c r="A22" i="39"/>
  <c r="A21" i="39"/>
  <c r="A20" i="39"/>
  <c r="A19" i="39"/>
  <c r="A18" i="39"/>
  <c r="A17" i="39"/>
  <c r="A14" i="39"/>
  <c r="A13" i="39"/>
  <c r="T12" i="39"/>
  <c r="A12" i="39" s="1"/>
  <c r="T10" i="39"/>
  <c r="A10" i="39" s="1"/>
  <c r="T8" i="39"/>
  <c r="A8" i="39" s="1"/>
  <c r="A6" i="39"/>
  <c r="A4" i="39"/>
  <c r="A3" i="39"/>
  <c r="A2" i="39"/>
  <c r="A1" i="39"/>
  <c r="A46" i="42" l="1"/>
  <c r="A76" i="42"/>
  <c r="H77" i="42"/>
  <c r="A47" i="42"/>
  <c r="F48" i="42"/>
  <c r="A93" i="42"/>
  <c r="H94" i="42"/>
  <c r="X1" i="41"/>
  <c r="X1" i="40"/>
  <c r="X1" i="1"/>
  <c r="T11" i="41"/>
  <c r="A11" i="41" s="1"/>
  <c r="A124" i="41"/>
  <c r="A42" i="41"/>
  <c r="F44" i="41"/>
  <c r="A73" i="41"/>
  <c r="H74" i="41"/>
  <c r="H92" i="41"/>
  <c r="A91" i="41"/>
  <c r="AQ34" i="27"/>
  <c r="T5" i="40"/>
  <c r="R5" i="40"/>
  <c r="N5" i="40"/>
  <c r="H5" i="40"/>
  <c r="L5" i="40"/>
  <c r="J5" i="40"/>
  <c r="H123" i="40"/>
  <c r="A122" i="40"/>
  <c r="A72" i="40"/>
  <c r="H73" i="40"/>
  <c r="F42" i="40"/>
  <c r="A41" i="40"/>
  <c r="A87" i="40"/>
  <c r="A71" i="40"/>
  <c r="T7" i="40"/>
  <c r="A7" i="40" s="1"/>
  <c r="A105" i="40"/>
  <c r="A88" i="40"/>
  <c r="H89" i="40"/>
  <c r="T9" i="40"/>
  <c r="A9" i="40" s="1"/>
  <c r="A114" i="40"/>
  <c r="A104" i="39"/>
  <c r="A122" i="39"/>
  <c r="A161" i="39"/>
  <c r="A171" i="39"/>
  <c r="A113" i="39"/>
  <c r="A153" i="39"/>
  <c r="A176" i="39"/>
  <c r="A141" i="39"/>
  <c r="A151" i="39"/>
  <c r="A175" i="39"/>
  <c r="A177" i="39"/>
  <c r="A165" i="39"/>
  <c r="H124" i="39"/>
  <c r="A123" i="39"/>
  <c r="A140" i="39"/>
  <c r="A152" i="39"/>
  <c r="A146" i="39"/>
  <c r="P72" i="39"/>
  <c r="P73" i="39" s="1"/>
  <c r="P74" i="39" s="1"/>
  <c r="P75" i="39" s="1"/>
  <c r="P76" i="39" s="1"/>
  <c r="P77" i="39" s="1"/>
  <c r="P78" i="39" s="1"/>
  <c r="P79" i="39" s="1"/>
  <c r="P80" i="39" s="1"/>
  <c r="A132" i="39"/>
  <c r="A149" i="39"/>
  <c r="A133" i="39"/>
  <c r="A137" i="39"/>
  <c r="A159" i="39"/>
  <c r="A139" i="39"/>
  <c r="A163" i="39"/>
  <c r="A143" i="39"/>
  <c r="A160" i="39"/>
  <c r="A169" i="39"/>
  <c r="A145" i="39"/>
  <c r="A157" i="39"/>
  <c r="A166" i="39"/>
  <c r="A131" i="39"/>
  <c r="A147" i="39"/>
  <c r="A156" i="39"/>
  <c r="A167" i="39"/>
  <c r="A170" i="39"/>
  <c r="A173" i="39"/>
  <c r="A180" i="39"/>
  <c r="A181" i="39"/>
  <c r="A164" i="39"/>
  <c r="A150" i="39"/>
  <c r="J72" i="39"/>
  <c r="J73" i="39" s="1"/>
  <c r="J74" i="39" s="1"/>
  <c r="J75" i="39" s="1"/>
  <c r="J76" i="39" s="1"/>
  <c r="J77" i="39" s="1"/>
  <c r="J78" i="39" s="1"/>
  <c r="J79" i="39" s="1"/>
  <c r="J80" i="39" s="1"/>
  <c r="A136" i="39"/>
  <c r="A182" i="39"/>
  <c r="F40" i="39"/>
  <c r="A40" i="39" s="1"/>
  <c r="A135" i="39"/>
  <c r="A155" i="39"/>
  <c r="A172" i="39"/>
  <c r="A179" i="39"/>
  <c r="A187" i="39"/>
  <c r="A130" i="39"/>
  <c r="A142" i="39"/>
  <c r="A162" i="39"/>
  <c r="A183" i="39"/>
  <c r="A185" i="39"/>
  <c r="L72" i="39"/>
  <c r="L73" i="39" s="1"/>
  <c r="L74" i="39" s="1"/>
  <c r="H88" i="39"/>
  <c r="H89" i="39" s="1"/>
  <c r="J88" i="39"/>
  <c r="J89" i="39" s="1"/>
  <c r="J90" i="39" s="1"/>
  <c r="J91" i="39" s="1"/>
  <c r="J92" i="39" s="1"/>
  <c r="J93" i="39" s="1"/>
  <c r="J94" i="39" s="1"/>
  <c r="J95" i="39" s="1"/>
  <c r="J96" i="39" s="1"/>
  <c r="H72" i="39"/>
  <c r="H73" i="39" s="1"/>
  <c r="H74" i="39" s="1"/>
  <c r="A39" i="39"/>
  <c r="A71" i="39"/>
  <c r="N72" i="39"/>
  <c r="N73" i="39" s="1"/>
  <c r="N74" i="39" s="1"/>
  <c r="N75" i="39" s="1"/>
  <c r="N76" i="39" s="1"/>
  <c r="N77" i="39" s="1"/>
  <c r="N78" i="39" s="1"/>
  <c r="N79" i="39" s="1"/>
  <c r="N80" i="39" s="1"/>
  <c r="A114" i="39"/>
  <c r="H115" i="39"/>
  <c r="A105" i="39"/>
  <c r="H106" i="39"/>
  <c r="L88" i="39"/>
  <c r="L89" i="39" s="1"/>
  <c r="L90" i="39" s="1"/>
  <c r="L91" i="39" s="1"/>
  <c r="L92" i="39" s="1"/>
  <c r="L93" i="39" s="1"/>
  <c r="L94" i="39" s="1"/>
  <c r="L95" i="39" s="1"/>
  <c r="L96" i="39" s="1"/>
  <c r="A87" i="39"/>
  <c r="A20" i="38"/>
  <c r="A21" i="38"/>
  <c r="A22" i="38"/>
  <c r="A198" i="38"/>
  <c r="A197" i="38"/>
  <c r="A196" i="38"/>
  <c r="A195" i="38"/>
  <c r="A194" i="38"/>
  <c r="A193" i="38"/>
  <c r="A192" i="38"/>
  <c r="G191" i="38"/>
  <c r="A191" i="38" s="1"/>
  <c r="H190" i="38"/>
  <c r="G190" i="38"/>
  <c r="A189" i="38"/>
  <c r="G188" i="38"/>
  <c r="A187" i="38"/>
  <c r="H186" i="38"/>
  <c r="G186" i="38"/>
  <c r="H185" i="38"/>
  <c r="G185" i="38"/>
  <c r="H184" i="38"/>
  <c r="G184" i="38"/>
  <c r="A183" i="38"/>
  <c r="G182" i="38"/>
  <c r="G181" i="38"/>
  <c r="A181" i="38" s="1"/>
  <c r="G180" i="38"/>
  <c r="A180" i="38" s="1"/>
  <c r="A179" i="38"/>
  <c r="G179" i="38"/>
  <c r="G178" i="38"/>
  <c r="A177" i="38"/>
  <c r="A176" i="38"/>
  <c r="G176" i="38"/>
  <c r="G175" i="38"/>
  <c r="G174" i="38"/>
  <c r="A174" i="38" s="1"/>
  <c r="G173" i="38"/>
  <c r="G172" i="38"/>
  <c r="A172" i="38" s="1"/>
  <c r="A171" i="38"/>
  <c r="G170" i="38"/>
  <c r="A170" i="38" s="1"/>
  <c r="G169" i="38"/>
  <c r="G168" i="38"/>
  <c r="A167" i="38"/>
  <c r="G166" i="38"/>
  <c r="A166" i="38" s="1"/>
  <c r="A164" i="38"/>
  <c r="G164" i="38"/>
  <c r="G163" i="38"/>
  <c r="A163" i="38" s="1"/>
  <c r="G162" i="38"/>
  <c r="A162" i="38" s="1"/>
  <c r="G161" i="38"/>
  <c r="A161" i="38" s="1"/>
  <c r="G160" i="38"/>
  <c r="A160" i="38" s="1"/>
  <c r="G159" i="38"/>
  <c r="A159" i="38" s="1"/>
  <c r="G158" i="38"/>
  <c r="G157" i="38"/>
  <c r="A157" i="38" s="1"/>
  <c r="G156" i="38"/>
  <c r="A156" i="38" s="1"/>
  <c r="G155" i="38"/>
  <c r="A155" i="38" s="1"/>
  <c r="G154" i="38"/>
  <c r="A154" i="38" s="1"/>
  <c r="G153" i="38"/>
  <c r="G152" i="38"/>
  <c r="G151" i="38"/>
  <c r="G150" i="38"/>
  <c r="A150" i="38" s="1"/>
  <c r="A149" i="38"/>
  <c r="G148" i="38"/>
  <c r="A147" i="38"/>
  <c r="G146" i="38"/>
  <c r="A146" i="38" s="1"/>
  <c r="G145" i="38"/>
  <c r="G144" i="38"/>
  <c r="A144" i="38" s="1"/>
  <c r="G143" i="38"/>
  <c r="A143" i="38" s="1"/>
  <c r="G142" i="38"/>
  <c r="A142" i="38" s="1"/>
  <c r="G141" i="38"/>
  <c r="G140" i="38"/>
  <c r="A140" i="38" s="1"/>
  <c r="G139" i="38"/>
  <c r="A139" i="38" s="1"/>
  <c r="G138" i="38"/>
  <c r="G137" i="38"/>
  <c r="A137" i="38" s="1"/>
  <c r="G136" i="38"/>
  <c r="A136" i="38" s="1"/>
  <c r="G135" i="38"/>
  <c r="G134" i="38"/>
  <c r="G133" i="38"/>
  <c r="A132" i="38"/>
  <c r="A131" i="38"/>
  <c r="A130" i="38"/>
  <c r="A129" i="38"/>
  <c r="A128" i="38"/>
  <c r="H125" i="38"/>
  <c r="H126" i="38" s="1"/>
  <c r="A126" i="38" s="1"/>
  <c r="A125" i="38"/>
  <c r="A124" i="38"/>
  <c r="A123" i="38"/>
  <c r="A122" i="38"/>
  <c r="R121" i="38"/>
  <c r="R11" i="38" s="1"/>
  <c r="A121" i="38"/>
  <c r="A120" i="38"/>
  <c r="A119" i="38"/>
  <c r="H116" i="38"/>
  <c r="H117" i="38" s="1"/>
  <c r="A115" i="38"/>
  <c r="A114" i="38"/>
  <c r="A113" i="38"/>
  <c r="R112" i="38"/>
  <c r="R9" i="38" s="1"/>
  <c r="A112" i="38"/>
  <c r="A111" i="38"/>
  <c r="A110" i="38"/>
  <c r="H107" i="38"/>
  <c r="A107" i="38" s="1"/>
  <c r="A106" i="38"/>
  <c r="A105" i="38"/>
  <c r="A104" i="38"/>
  <c r="R103" i="38"/>
  <c r="R7" i="38" s="1"/>
  <c r="A103" i="38"/>
  <c r="A102" i="38"/>
  <c r="A101" i="38"/>
  <c r="A100" i="38"/>
  <c r="F99" i="38"/>
  <c r="F98" i="38"/>
  <c r="F97" i="38"/>
  <c r="F96" i="38"/>
  <c r="F95" i="38"/>
  <c r="F94" i="38"/>
  <c r="F93" i="38"/>
  <c r="L92" i="38"/>
  <c r="J92" i="38"/>
  <c r="H92" i="38"/>
  <c r="A91" i="38"/>
  <c r="A90" i="38"/>
  <c r="A89" i="38"/>
  <c r="A88" i="38"/>
  <c r="A87" i="38"/>
  <c r="A86" i="38"/>
  <c r="F85" i="38"/>
  <c r="F84" i="38"/>
  <c r="F83" i="38"/>
  <c r="F82" i="38"/>
  <c r="F81" i="38"/>
  <c r="F80" i="38"/>
  <c r="F79" i="38"/>
  <c r="Q78" i="38"/>
  <c r="Q79" i="38" s="1"/>
  <c r="Q80" i="38" s="1"/>
  <c r="Q81" i="38" s="1"/>
  <c r="Q82" i="38" s="1"/>
  <c r="Q83" i="38" s="1"/>
  <c r="Q84" i="38" s="1"/>
  <c r="Q85" i="38" s="1"/>
  <c r="O78" i="38"/>
  <c r="O79" i="38" s="1"/>
  <c r="O80" i="38" s="1"/>
  <c r="O81" i="38" s="1"/>
  <c r="O82" i="38" s="1"/>
  <c r="O83" i="38" s="1"/>
  <c r="O84" i="38" s="1"/>
  <c r="O85" i="38" s="1"/>
  <c r="M78" i="38"/>
  <c r="M79" i="38" s="1"/>
  <c r="M80" i="38" s="1"/>
  <c r="M81" i="38" s="1"/>
  <c r="M82" i="38" s="1"/>
  <c r="M83" i="38" s="1"/>
  <c r="M84" i="38" s="1"/>
  <c r="M85" i="38" s="1"/>
  <c r="K78" i="38"/>
  <c r="K79" i="38" s="1"/>
  <c r="K80" i="38" s="1"/>
  <c r="K81" i="38" s="1"/>
  <c r="K82" i="38" s="1"/>
  <c r="K83" i="38" s="1"/>
  <c r="K84" i="38" s="1"/>
  <c r="K85" i="38" s="1"/>
  <c r="I78" i="38"/>
  <c r="I79" i="38" s="1"/>
  <c r="I80" i="38" s="1"/>
  <c r="I81" i="38" s="1"/>
  <c r="I82" i="38" s="1"/>
  <c r="I83" i="38" s="1"/>
  <c r="I84" i="38" s="1"/>
  <c r="I85" i="38" s="1"/>
  <c r="F78" i="38"/>
  <c r="P77" i="38"/>
  <c r="N77" i="38"/>
  <c r="L77" i="38"/>
  <c r="J77" i="38"/>
  <c r="H77" i="38"/>
  <c r="A76" i="38"/>
  <c r="A75" i="38"/>
  <c r="A74" i="38"/>
  <c r="A73" i="38"/>
  <c r="A72" i="38"/>
  <c r="F43" i="38"/>
  <c r="A42" i="38"/>
  <c r="A41" i="38"/>
  <c r="A40" i="38"/>
  <c r="A39" i="38"/>
  <c r="A38" i="38"/>
  <c r="A37" i="38"/>
  <c r="A36" i="38"/>
  <c r="A35" i="38"/>
  <c r="A34" i="38"/>
  <c r="A33" i="38"/>
  <c r="A32" i="38"/>
  <c r="A31" i="38"/>
  <c r="A30" i="38"/>
  <c r="A29" i="38"/>
  <c r="A28" i="38"/>
  <c r="A27" i="38"/>
  <c r="A26" i="38"/>
  <c r="A25" i="38"/>
  <c r="A24" i="38"/>
  <c r="A19" i="38"/>
  <c r="A18" i="38"/>
  <c r="A17" i="38"/>
  <c r="A14" i="38"/>
  <c r="A13" i="38"/>
  <c r="T12" i="38"/>
  <c r="A12" i="38" s="1"/>
  <c r="T10" i="38"/>
  <c r="A10" i="38" s="1"/>
  <c r="T8" i="38"/>
  <c r="A8" i="38" s="1"/>
  <c r="A6" i="38"/>
  <c r="A4" i="38"/>
  <c r="A3" i="38"/>
  <c r="A2" i="38"/>
  <c r="A1" i="38"/>
  <c r="F96" i="37"/>
  <c r="F39" i="37"/>
  <c r="F49" i="42" l="1"/>
  <c r="A48" i="42"/>
  <c r="A94" i="42"/>
  <c r="H95" i="42"/>
  <c r="A77" i="42"/>
  <c r="H78" i="42"/>
  <c r="A44" i="41"/>
  <c r="F45" i="41"/>
  <c r="H93" i="41"/>
  <c r="A92" i="41"/>
  <c r="A74" i="41"/>
  <c r="H75" i="41"/>
  <c r="A123" i="40"/>
  <c r="T11" i="40"/>
  <c r="A11" i="40" s="1"/>
  <c r="A73" i="40"/>
  <c r="H74" i="40"/>
  <c r="A89" i="40"/>
  <c r="H90" i="40"/>
  <c r="A42" i="40"/>
  <c r="F43" i="40"/>
  <c r="L75" i="39"/>
  <c r="L76" i="39" s="1"/>
  <c r="L77" i="39" s="1"/>
  <c r="L78" i="39" s="1"/>
  <c r="L79" i="39" s="1"/>
  <c r="L80" i="39" s="1"/>
  <c r="J5" i="39" s="1"/>
  <c r="L5" i="39"/>
  <c r="A124" i="39"/>
  <c r="T11" i="39"/>
  <c r="A11" i="39" s="1"/>
  <c r="R5" i="39"/>
  <c r="T5" i="39"/>
  <c r="N5" i="39"/>
  <c r="H5" i="39"/>
  <c r="F41" i="39"/>
  <c r="F42" i="39" s="1"/>
  <c r="A72" i="39"/>
  <c r="A88" i="39"/>
  <c r="H90" i="39"/>
  <c r="A89" i="39"/>
  <c r="A74" i="39"/>
  <c r="H75" i="39"/>
  <c r="T7" i="39"/>
  <c r="A7" i="39" s="1"/>
  <c r="A106" i="39"/>
  <c r="T9" i="39"/>
  <c r="A9" i="39" s="1"/>
  <c r="A115" i="39"/>
  <c r="A73" i="39"/>
  <c r="A77" i="38"/>
  <c r="P78" i="38"/>
  <c r="A116" i="38"/>
  <c r="A190" i="38"/>
  <c r="A184" i="38"/>
  <c r="A173" i="38"/>
  <c r="A169" i="38"/>
  <c r="A153" i="38"/>
  <c r="A152" i="38"/>
  <c r="P79" i="38"/>
  <c r="P80" i="38" s="1"/>
  <c r="P81" i="38" s="1"/>
  <c r="P82" i="38" s="1"/>
  <c r="P83" i="38" s="1"/>
  <c r="P84" i="38" s="1"/>
  <c r="P85" i="38" s="1"/>
  <c r="H93" i="38"/>
  <c r="H94" i="38" s="1"/>
  <c r="A133" i="38"/>
  <c r="A148" i="38"/>
  <c r="A165" i="38"/>
  <c r="A178" i="38"/>
  <c r="A141" i="38"/>
  <c r="A145" i="38"/>
  <c r="A151" i="38"/>
  <c r="A138" i="38"/>
  <c r="A168" i="38"/>
  <c r="J78" i="38"/>
  <c r="J79" i="38" s="1"/>
  <c r="J80" i="38" s="1"/>
  <c r="J81" i="38" s="1"/>
  <c r="J82" i="38" s="1"/>
  <c r="J83" i="38" s="1"/>
  <c r="J84" i="38" s="1"/>
  <c r="J85" i="38" s="1"/>
  <c r="A135" i="38"/>
  <c r="J93" i="38"/>
  <c r="J94" i="38" s="1"/>
  <c r="J95" i="38" s="1"/>
  <c r="J96" i="38" s="1"/>
  <c r="J97" i="38" s="1"/>
  <c r="J98" i="38" s="1"/>
  <c r="J99" i="38" s="1"/>
  <c r="A185" i="38"/>
  <c r="A134" i="38"/>
  <c r="A158" i="38"/>
  <c r="A175" i="38"/>
  <c r="A182" i="38"/>
  <c r="A186" i="38"/>
  <c r="A188" i="38"/>
  <c r="L78" i="38"/>
  <c r="L79" i="38" s="1"/>
  <c r="L80" i="38" s="1"/>
  <c r="L81" i="38" s="1"/>
  <c r="L82" i="38" s="1"/>
  <c r="L83" i="38" s="1"/>
  <c r="L84" i="38" s="1"/>
  <c r="L85" i="38" s="1"/>
  <c r="H78" i="38"/>
  <c r="H79" i="38" s="1"/>
  <c r="A92" i="38"/>
  <c r="L93" i="38"/>
  <c r="L94" i="38" s="1"/>
  <c r="L95" i="38" s="1"/>
  <c r="L96" i="38" s="1"/>
  <c r="L97" i="38" s="1"/>
  <c r="L98" i="38" s="1"/>
  <c r="L99" i="38" s="1"/>
  <c r="A117" i="38"/>
  <c r="H118" i="38"/>
  <c r="A43" i="38"/>
  <c r="F44" i="38"/>
  <c r="N78" i="38"/>
  <c r="N79" i="38" s="1"/>
  <c r="N80" i="38" s="1"/>
  <c r="N81" i="38" s="1"/>
  <c r="N82" i="38" s="1"/>
  <c r="N83" i="38" s="1"/>
  <c r="N84" i="38" s="1"/>
  <c r="N85" i="38" s="1"/>
  <c r="H108" i="38"/>
  <c r="H127" i="38"/>
  <c r="A195" i="37"/>
  <c r="A194" i="37"/>
  <c r="A193" i="37"/>
  <c r="A192" i="37"/>
  <c r="A191" i="37"/>
  <c r="A190" i="37"/>
  <c r="A189" i="37"/>
  <c r="G188" i="37"/>
  <c r="A188" i="37" s="1"/>
  <c r="H187" i="37"/>
  <c r="G187" i="37"/>
  <c r="G186" i="37"/>
  <c r="A186" i="37" s="1"/>
  <c r="H185" i="37"/>
  <c r="G185" i="37"/>
  <c r="G184" i="37"/>
  <c r="A184" i="37" s="1"/>
  <c r="H183" i="37"/>
  <c r="G183" i="37"/>
  <c r="H182" i="37"/>
  <c r="G182" i="37"/>
  <c r="H181" i="37"/>
  <c r="G181" i="37"/>
  <c r="G180" i="37"/>
  <c r="A180" i="37" s="1"/>
  <c r="H179" i="37"/>
  <c r="G179" i="37"/>
  <c r="H178" i="37"/>
  <c r="G178" i="37"/>
  <c r="H177" i="37"/>
  <c r="G177" i="37"/>
  <c r="H176" i="37"/>
  <c r="G176" i="37"/>
  <c r="H175" i="37"/>
  <c r="G175" i="37"/>
  <c r="A175" i="37" s="1"/>
  <c r="G174" i="37"/>
  <c r="A174" i="37" s="1"/>
  <c r="H173" i="37"/>
  <c r="G173" i="37"/>
  <c r="H172" i="37"/>
  <c r="G172" i="37"/>
  <c r="H171" i="37"/>
  <c r="G171" i="37"/>
  <c r="H170" i="37"/>
  <c r="G170" i="37"/>
  <c r="H169" i="37"/>
  <c r="G169" i="37"/>
  <c r="G168" i="37"/>
  <c r="A168" i="37" s="1"/>
  <c r="H167" i="37"/>
  <c r="G167" i="37"/>
  <c r="H166" i="37"/>
  <c r="G166" i="37"/>
  <c r="H165" i="37"/>
  <c r="G165" i="37"/>
  <c r="G164" i="37"/>
  <c r="A164" i="37" s="1"/>
  <c r="H163" i="37"/>
  <c r="G163" i="37"/>
  <c r="H162" i="37"/>
  <c r="G162" i="37"/>
  <c r="H161" i="37"/>
  <c r="G161" i="37"/>
  <c r="A161" i="37" s="1"/>
  <c r="H160" i="37"/>
  <c r="G160" i="37"/>
  <c r="H159" i="37"/>
  <c r="G159" i="37"/>
  <c r="G158" i="37"/>
  <c r="A158" i="37" s="1"/>
  <c r="H157" i="37"/>
  <c r="G157" i="37"/>
  <c r="H156" i="37"/>
  <c r="G156" i="37"/>
  <c r="H155" i="37"/>
  <c r="G155" i="37"/>
  <c r="H154" i="37"/>
  <c r="G154" i="37"/>
  <c r="H153" i="37"/>
  <c r="G153" i="37"/>
  <c r="A153" i="37" s="1"/>
  <c r="G152" i="37"/>
  <c r="A152" i="37" s="1"/>
  <c r="H151" i="37"/>
  <c r="G151" i="37"/>
  <c r="H150" i="37"/>
  <c r="G150" i="37"/>
  <c r="H149" i="37"/>
  <c r="G149" i="37"/>
  <c r="H148" i="37"/>
  <c r="G148" i="37"/>
  <c r="H147" i="37"/>
  <c r="A147" i="37" s="1"/>
  <c r="G147" i="37"/>
  <c r="G146" i="37"/>
  <c r="A146" i="37" s="1"/>
  <c r="H145" i="37"/>
  <c r="G145" i="37"/>
  <c r="H144" i="37"/>
  <c r="G144" i="37"/>
  <c r="A144" i="37" s="1"/>
  <c r="H143" i="37"/>
  <c r="G143" i="37"/>
  <c r="H142" i="37"/>
  <c r="G142" i="37"/>
  <c r="H141" i="37"/>
  <c r="G141" i="37"/>
  <c r="G140" i="37"/>
  <c r="A140" i="37" s="1"/>
  <c r="H139" i="37"/>
  <c r="G139" i="37"/>
  <c r="H138" i="37"/>
  <c r="G138" i="37"/>
  <c r="H137" i="37"/>
  <c r="G137" i="37"/>
  <c r="H136" i="37"/>
  <c r="A136" i="37" s="1"/>
  <c r="G136" i="37"/>
  <c r="H135" i="37"/>
  <c r="G135" i="37"/>
  <c r="G134" i="37"/>
  <c r="A134" i="37" s="1"/>
  <c r="H133" i="37"/>
  <c r="G133" i="37"/>
  <c r="H132" i="37"/>
  <c r="G132" i="37"/>
  <c r="H131" i="37"/>
  <c r="G131" i="37"/>
  <c r="A131" i="37" s="1"/>
  <c r="H130" i="37"/>
  <c r="G130" i="37"/>
  <c r="A129" i="37"/>
  <c r="A128" i="37"/>
  <c r="A127" i="37"/>
  <c r="A126" i="37"/>
  <c r="A125" i="37"/>
  <c r="H122" i="37"/>
  <c r="A122" i="37" s="1"/>
  <c r="A121" i="37"/>
  <c r="A120" i="37"/>
  <c r="A119" i="37"/>
  <c r="R118" i="37"/>
  <c r="R11" i="37" s="1"/>
  <c r="A118" i="37"/>
  <c r="A117" i="37"/>
  <c r="A116" i="37"/>
  <c r="H113" i="37"/>
  <c r="H114" i="37" s="1"/>
  <c r="A112" i="37"/>
  <c r="A111" i="37"/>
  <c r="A110" i="37"/>
  <c r="R109" i="37"/>
  <c r="R9" i="37" s="1"/>
  <c r="A109" i="37"/>
  <c r="A108" i="37"/>
  <c r="A107" i="37"/>
  <c r="H104" i="37"/>
  <c r="H105" i="37" s="1"/>
  <c r="A105" i="37" s="1"/>
  <c r="A103" i="37"/>
  <c r="A102" i="37"/>
  <c r="A101" i="37"/>
  <c r="R100" i="37"/>
  <c r="R7" i="37" s="1"/>
  <c r="A100" i="37"/>
  <c r="A99" i="37"/>
  <c r="A98" i="37"/>
  <c r="A97" i="37"/>
  <c r="F95" i="37"/>
  <c r="F94" i="37"/>
  <c r="F93" i="37"/>
  <c r="F92" i="37"/>
  <c r="F91" i="37"/>
  <c r="L90" i="37"/>
  <c r="J90" i="37"/>
  <c r="H90" i="37"/>
  <c r="A89" i="37"/>
  <c r="A88" i="37"/>
  <c r="A87" i="37"/>
  <c r="A86" i="37"/>
  <c r="A85" i="37"/>
  <c r="A84" i="37"/>
  <c r="F83" i="37"/>
  <c r="F82" i="37"/>
  <c r="F81" i="37"/>
  <c r="F80" i="37"/>
  <c r="F79" i="37"/>
  <c r="F78" i="37"/>
  <c r="F77" i="37"/>
  <c r="F76" i="37"/>
  <c r="F75" i="37"/>
  <c r="Q74" i="37"/>
  <c r="Q75" i="37" s="1"/>
  <c r="Q76" i="37" s="1"/>
  <c r="Q77" i="37" s="1"/>
  <c r="Q78" i="37" s="1"/>
  <c r="Q79" i="37" s="1"/>
  <c r="Q80" i="37" s="1"/>
  <c r="Q81" i="37" s="1"/>
  <c r="Q82" i="37" s="1"/>
  <c r="Q83" i="37" s="1"/>
  <c r="O74" i="37"/>
  <c r="O75" i="37" s="1"/>
  <c r="O76" i="37" s="1"/>
  <c r="O77" i="37" s="1"/>
  <c r="O78" i="37" s="1"/>
  <c r="O79" i="37" s="1"/>
  <c r="O80" i="37" s="1"/>
  <c r="O81" i="37" s="1"/>
  <c r="O82" i="37" s="1"/>
  <c r="O83" i="37" s="1"/>
  <c r="M74" i="37"/>
  <c r="M75" i="37" s="1"/>
  <c r="M76" i="37" s="1"/>
  <c r="M77" i="37" s="1"/>
  <c r="M78" i="37" s="1"/>
  <c r="M79" i="37" s="1"/>
  <c r="M80" i="37" s="1"/>
  <c r="M81" i="37" s="1"/>
  <c r="M82" i="37" s="1"/>
  <c r="M83" i="37" s="1"/>
  <c r="K74" i="37"/>
  <c r="K75" i="37" s="1"/>
  <c r="K76" i="37" s="1"/>
  <c r="K77" i="37" s="1"/>
  <c r="K78" i="37" s="1"/>
  <c r="K79" i="37" s="1"/>
  <c r="K80" i="37" s="1"/>
  <c r="K81" i="37" s="1"/>
  <c r="K82" i="37" s="1"/>
  <c r="K83" i="37" s="1"/>
  <c r="I74" i="37"/>
  <c r="I75" i="37" s="1"/>
  <c r="I76" i="37" s="1"/>
  <c r="I77" i="37" s="1"/>
  <c r="I78" i="37" s="1"/>
  <c r="I79" i="37" s="1"/>
  <c r="I80" i="37" s="1"/>
  <c r="I81" i="37" s="1"/>
  <c r="I82" i="37" s="1"/>
  <c r="I83" i="37" s="1"/>
  <c r="F74" i="37"/>
  <c r="P74" i="37" s="1"/>
  <c r="P73" i="37"/>
  <c r="N73" i="37"/>
  <c r="L73" i="37"/>
  <c r="J73" i="37"/>
  <c r="H73" i="37"/>
  <c r="A72" i="37"/>
  <c r="A71" i="37"/>
  <c r="A70" i="37"/>
  <c r="A69" i="37"/>
  <c r="A68" i="37"/>
  <c r="F40" i="37"/>
  <c r="F41" i="37" s="1"/>
  <c r="A39" i="37"/>
  <c r="A38" i="37"/>
  <c r="A37" i="37"/>
  <c r="A36" i="37"/>
  <c r="A35" i="37"/>
  <c r="A34" i="37"/>
  <c r="A33" i="37"/>
  <c r="A32" i="37"/>
  <c r="A31" i="37"/>
  <c r="A30" i="37"/>
  <c r="A29" i="37"/>
  <c r="A28" i="37"/>
  <c r="A27" i="37"/>
  <c r="A26" i="37"/>
  <c r="A25" i="37"/>
  <c r="A24" i="37"/>
  <c r="A23" i="37"/>
  <c r="A22" i="37"/>
  <c r="A21" i="37"/>
  <c r="A20" i="37"/>
  <c r="A19" i="37"/>
  <c r="A18" i="37"/>
  <c r="A17" i="37"/>
  <c r="A14" i="37"/>
  <c r="A13" i="37"/>
  <c r="T12" i="37"/>
  <c r="A12" i="37" s="1"/>
  <c r="T10" i="37"/>
  <c r="A10" i="37" s="1"/>
  <c r="T8" i="37"/>
  <c r="A8" i="37" s="1"/>
  <c r="A6" i="37"/>
  <c r="A4" i="37"/>
  <c r="A3" i="37"/>
  <c r="A2" i="37"/>
  <c r="A1" i="37"/>
  <c r="H96" i="42" l="1"/>
  <c r="P5" i="42" s="1"/>
  <c r="A95" i="42"/>
  <c r="A78" i="42"/>
  <c r="H79" i="42"/>
  <c r="A49" i="42"/>
  <c r="F50" i="42"/>
  <c r="A45" i="41"/>
  <c r="F46" i="41"/>
  <c r="A75" i="41"/>
  <c r="H76" i="41"/>
  <c r="A93" i="41"/>
  <c r="H94" i="41"/>
  <c r="H91" i="40"/>
  <c r="A90" i="40"/>
  <c r="F44" i="40"/>
  <c r="A43" i="40"/>
  <c r="A74" i="40"/>
  <c r="H75" i="40"/>
  <c r="A41" i="39"/>
  <c r="A42" i="39"/>
  <c r="F43" i="39"/>
  <c r="A90" i="39"/>
  <c r="H91" i="39"/>
  <c r="A75" i="39"/>
  <c r="H76" i="39"/>
  <c r="R5" i="38"/>
  <c r="T5" i="38"/>
  <c r="L5" i="38"/>
  <c r="J5" i="38"/>
  <c r="N5" i="38"/>
  <c r="H5" i="38"/>
  <c r="A93" i="38"/>
  <c r="H95" i="38"/>
  <c r="A94" i="38"/>
  <c r="A118" i="38"/>
  <c r="T9" i="38"/>
  <c r="A9" i="38" s="1"/>
  <c r="A78" i="38"/>
  <c r="A79" i="38"/>
  <c r="H80" i="38"/>
  <c r="T11" i="38"/>
  <c r="A11" i="38" s="1"/>
  <c r="A127" i="38"/>
  <c r="A108" i="38"/>
  <c r="H109" i="38"/>
  <c r="A44" i="38"/>
  <c r="F45" i="38"/>
  <c r="H106" i="37"/>
  <c r="A106" i="37" s="1"/>
  <c r="A104" i="37"/>
  <c r="A176" i="37"/>
  <c r="A157" i="37"/>
  <c r="A181" i="37"/>
  <c r="A171" i="37"/>
  <c r="A137" i="37"/>
  <c r="A139" i="37"/>
  <c r="A159" i="37"/>
  <c r="A167" i="37"/>
  <c r="H123" i="37"/>
  <c r="A177" i="37"/>
  <c r="A182" i="37"/>
  <c r="A187" i="37"/>
  <c r="A90" i="37"/>
  <c r="A113" i="37"/>
  <c r="A154" i="37"/>
  <c r="A170" i="37"/>
  <c r="A179" i="37"/>
  <c r="F42" i="37"/>
  <c r="F43" i="37" s="1"/>
  <c r="F44" i="37" s="1"/>
  <c r="A141" i="37"/>
  <c r="A151" i="37"/>
  <c r="A160" i="37"/>
  <c r="A163" i="37"/>
  <c r="A169" i="37"/>
  <c r="A133" i="37"/>
  <c r="A150" i="37"/>
  <c r="A173" i="37"/>
  <c r="A130" i="37"/>
  <c r="A143" i="37"/>
  <c r="A145" i="37"/>
  <c r="A165" i="37"/>
  <c r="A183" i="37"/>
  <c r="A185" i="37"/>
  <c r="A166" i="37"/>
  <c r="A138" i="37"/>
  <c r="A142" i="37"/>
  <c r="A155" i="37"/>
  <c r="A178" i="37"/>
  <c r="A73" i="37"/>
  <c r="J91" i="37"/>
  <c r="J92" i="37" s="1"/>
  <c r="J93" i="37" s="1"/>
  <c r="J94" i="37" s="1"/>
  <c r="J95" i="37" s="1"/>
  <c r="J96" i="37" s="1"/>
  <c r="R5" i="37" s="1"/>
  <c r="A172" i="37"/>
  <c r="A162" i="37"/>
  <c r="A148" i="37"/>
  <c r="A40" i="37"/>
  <c r="P75" i="37"/>
  <c r="P76" i="37" s="1"/>
  <c r="P77" i="37" s="1"/>
  <c r="P78" i="37" s="1"/>
  <c r="P79" i="37" s="1"/>
  <c r="P80" i="37" s="1"/>
  <c r="P81" i="37" s="1"/>
  <c r="P82" i="37" s="1"/>
  <c r="P83" i="37" s="1"/>
  <c r="N5" i="37" s="1"/>
  <c r="H91" i="37"/>
  <c r="H92" i="37" s="1"/>
  <c r="T7" i="37"/>
  <c r="A7" i="37" s="1"/>
  <c r="H74" i="37"/>
  <c r="A114" i="37"/>
  <c r="H115" i="37"/>
  <c r="A135" i="37"/>
  <c r="J74" i="37"/>
  <c r="J75" i="37" s="1"/>
  <c r="J76" i="37" s="1"/>
  <c r="J77" i="37" s="1"/>
  <c r="J78" i="37" s="1"/>
  <c r="J79" i="37" s="1"/>
  <c r="J80" i="37" s="1"/>
  <c r="J81" i="37" s="1"/>
  <c r="J82" i="37" s="1"/>
  <c r="J83" i="37" s="1"/>
  <c r="H5" i="37" s="1"/>
  <c r="L74" i="37"/>
  <c r="L75" i="37" s="1"/>
  <c r="L76" i="37" s="1"/>
  <c r="L77" i="37" s="1"/>
  <c r="L78" i="37" s="1"/>
  <c r="L79" i="37" s="1"/>
  <c r="L80" i="37" s="1"/>
  <c r="L81" i="37" s="1"/>
  <c r="L82" i="37" s="1"/>
  <c r="L83" i="37" s="1"/>
  <c r="J5" i="37" s="1"/>
  <c r="A123" i="37"/>
  <c r="H124" i="37"/>
  <c r="N74" i="37"/>
  <c r="N75" i="37" s="1"/>
  <c r="N76" i="37" s="1"/>
  <c r="N77" i="37" s="1"/>
  <c r="N78" i="37" s="1"/>
  <c r="N79" i="37" s="1"/>
  <c r="N80" i="37" s="1"/>
  <c r="N81" i="37" s="1"/>
  <c r="N82" i="37" s="1"/>
  <c r="N83" i="37" s="1"/>
  <c r="L5" i="37" s="1"/>
  <c r="L91" i="37"/>
  <c r="L92" i="37" s="1"/>
  <c r="L93" i="37" s="1"/>
  <c r="L94" i="37" s="1"/>
  <c r="L95" i="37" s="1"/>
  <c r="L96" i="37" s="1"/>
  <c r="A41" i="37"/>
  <c r="A132" i="37"/>
  <c r="A149" i="37"/>
  <c r="A156" i="37"/>
  <c r="G181" i="36"/>
  <c r="H181" i="36"/>
  <c r="H136" i="36"/>
  <c r="A25" i="36"/>
  <c r="A26" i="36"/>
  <c r="A198" i="36"/>
  <c r="A197" i="36"/>
  <c r="A196" i="36"/>
  <c r="A195" i="36"/>
  <c r="A194" i="36"/>
  <c r="A193" i="36"/>
  <c r="A192" i="36"/>
  <c r="G191" i="36"/>
  <c r="A191" i="36" s="1"/>
  <c r="H190" i="36"/>
  <c r="A190" i="36" s="1"/>
  <c r="G190" i="36"/>
  <c r="G189" i="36"/>
  <c r="A189" i="36" s="1"/>
  <c r="H188" i="36"/>
  <c r="G188" i="36"/>
  <c r="G187" i="36"/>
  <c r="A187" i="36"/>
  <c r="H186" i="36"/>
  <c r="G186" i="36"/>
  <c r="H185" i="36"/>
  <c r="G185" i="36"/>
  <c r="H184" i="36"/>
  <c r="G184" i="36"/>
  <c r="G183" i="36"/>
  <c r="A183" i="36" s="1"/>
  <c r="H182" i="36"/>
  <c r="G182" i="36"/>
  <c r="H180" i="36"/>
  <c r="G180" i="36"/>
  <c r="H179" i="36"/>
  <c r="G179" i="36"/>
  <c r="H178" i="36"/>
  <c r="G178" i="36"/>
  <c r="A177" i="36"/>
  <c r="H176" i="36"/>
  <c r="G176" i="36"/>
  <c r="H175" i="36"/>
  <c r="G175" i="36"/>
  <c r="H174" i="36"/>
  <c r="G174" i="36"/>
  <c r="H173" i="36"/>
  <c r="G173" i="36"/>
  <c r="H172" i="36"/>
  <c r="G172" i="36"/>
  <c r="A172" i="36" s="1"/>
  <c r="G171" i="36"/>
  <c r="A171" i="36" s="1"/>
  <c r="H170" i="36"/>
  <c r="G170" i="36"/>
  <c r="H169" i="36"/>
  <c r="G169" i="36"/>
  <c r="H168" i="36"/>
  <c r="G168" i="36"/>
  <c r="G167" i="36"/>
  <c r="A167" i="36" s="1"/>
  <c r="H166" i="36"/>
  <c r="G166" i="36"/>
  <c r="H165" i="36"/>
  <c r="G165" i="36"/>
  <c r="H164" i="36"/>
  <c r="G164" i="36"/>
  <c r="H163" i="36"/>
  <c r="G163" i="36"/>
  <c r="H162" i="36"/>
  <c r="G162" i="36"/>
  <c r="G161" i="36"/>
  <c r="A161" i="36" s="1"/>
  <c r="H160" i="36"/>
  <c r="G160" i="36"/>
  <c r="H159" i="36"/>
  <c r="G159" i="36"/>
  <c r="H158" i="36"/>
  <c r="G158" i="36"/>
  <c r="H157" i="36"/>
  <c r="G157" i="36"/>
  <c r="H156" i="36"/>
  <c r="G156" i="36"/>
  <c r="G155" i="36"/>
  <c r="A155" i="36" s="1"/>
  <c r="H154" i="36"/>
  <c r="G154" i="36"/>
  <c r="H153" i="36"/>
  <c r="G153" i="36"/>
  <c r="H152" i="36"/>
  <c r="G152" i="36"/>
  <c r="H151" i="36"/>
  <c r="G151" i="36"/>
  <c r="H150" i="36"/>
  <c r="G150" i="36"/>
  <c r="G149" i="36"/>
  <c r="A149" i="36" s="1"/>
  <c r="H148" i="36"/>
  <c r="G148" i="36"/>
  <c r="H147" i="36"/>
  <c r="G147" i="36"/>
  <c r="H146" i="36"/>
  <c r="G146" i="36"/>
  <c r="H145" i="36"/>
  <c r="G145" i="36"/>
  <c r="H144" i="36"/>
  <c r="G144" i="36"/>
  <c r="G143" i="36"/>
  <c r="A143" i="36" s="1"/>
  <c r="H142" i="36"/>
  <c r="G142" i="36"/>
  <c r="H141" i="36"/>
  <c r="G141" i="36"/>
  <c r="H140" i="36"/>
  <c r="G140" i="36"/>
  <c r="H139" i="36"/>
  <c r="G139" i="36"/>
  <c r="H138" i="36"/>
  <c r="G138" i="36"/>
  <c r="G137" i="36"/>
  <c r="A137" i="36" s="1"/>
  <c r="G136" i="36"/>
  <c r="H135" i="36"/>
  <c r="G135" i="36"/>
  <c r="H134" i="36"/>
  <c r="G134" i="36"/>
  <c r="H133" i="36"/>
  <c r="G133" i="36"/>
  <c r="A132" i="36"/>
  <c r="A131" i="36"/>
  <c r="A130" i="36"/>
  <c r="A129" i="36"/>
  <c r="A128" i="36"/>
  <c r="H125" i="36"/>
  <c r="A125" i="36" s="1"/>
  <c r="A124" i="36"/>
  <c r="A123" i="36"/>
  <c r="A122" i="36"/>
  <c r="R121" i="36"/>
  <c r="R11" i="36" s="1"/>
  <c r="A121" i="36"/>
  <c r="A120" i="36"/>
  <c r="A119" i="36"/>
  <c r="H116" i="36"/>
  <c r="H117" i="36" s="1"/>
  <c r="A115" i="36"/>
  <c r="A114" i="36"/>
  <c r="A113" i="36"/>
  <c r="R112" i="36"/>
  <c r="R9" i="36" s="1"/>
  <c r="A112" i="36"/>
  <c r="A111" i="36"/>
  <c r="A110" i="36"/>
  <c r="H107" i="36"/>
  <c r="H108" i="36" s="1"/>
  <c r="A106" i="36"/>
  <c r="A105" i="36"/>
  <c r="A104" i="36"/>
  <c r="R103" i="36"/>
  <c r="R7" i="36" s="1"/>
  <c r="A103" i="36"/>
  <c r="A102" i="36"/>
  <c r="A101" i="36"/>
  <c r="A100" i="36"/>
  <c r="F99" i="36"/>
  <c r="F98" i="36"/>
  <c r="F97" i="36"/>
  <c r="F96" i="36"/>
  <c r="F95" i="36"/>
  <c r="F94" i="36"/>
  <c r="F93" i="36"/>
  <c r="F92" i="36"/>
  <c r="L91" i="36"/>
  <c r="J91" i="36"/>
  <c r="H91" i="36"/>
  <c r="A90" i="36"/>
  <c r="A89" i="36"/>
  <c r="A88" i="36"/>
  <c r="A87" i="36"/>
  <c r="A86" i="36"/>
  <c r="A85" i="36"/>
  <c r="F84" i="36"/>
  <c r="F83" i="36"/>
  <c r="F82" i="36"/>
  <c r="F81" i="36"/>
  <c r="F80" i="36"/>
  <c r="F79" i="36"/>
  <c r="F78" i="36"/>
  <c r="F77" i="36"/>
  <c r="Q76" i="36"/>
  <c r="Q77" i="36" s="1"/>
  <c r="Q78" i="36" s="1"/>
  <c r="Q79" i="36" s="1"/>
  <c r="Q80" i="36" s="1"/>
  <c r="Q81" i="36" s="1"/>
  <c r="Q82" i="36" s="1"/>
  <c r="Q83" i="36" s="1"/>
  <c r="Q84" i="36" s="1"/>
  <c r="O76" i="36"/>
  <c r="O77" i="36" s="1"/>
  <c r="O78" i="36" s="1"/>
  <c r="O79" i="36" s="1"/>
  <c r="O80" i="36" s="1"/>
  <c r="O81" i="36" s="1"/>
  <c r="O82" i="36" s="1"/>
  <c r="O83" i="36" s="1"/>
  <c r="O84" i="36" s="1"/>
  <c r="M76" i="36"/>
  <c r="M77" i="36" s="1"/>
  <c r="M78" i="36" s="1"/>
  <c r="M79" i="36" s="1"/>
  <c r="M80" i="36" s="1"/>
  <c r="M81" i="36" s="1"/>
  <c r="M82" i="36" s="1"/>
  <c r="M83" i="36" s="1"/>
  <c r="M84" i="36" s="1"/>
  <c r="K76" i="36"/>
  <c r="K77" i="36" s="1"/>
  <c r="K78" i="36" s="1"/>
  <c r="K79" i="36" s="1"/>
  <c r="K80" i="36" s="1"/>
  <c r="K81" i="36" s="1"/>
  <c r="K82" i="36" s="1"/>
  <c r="K83" i="36" s="1"/>
  <c r="K84" i="36" s="1"/>
  <c r="I76" i="36"/>
  <c r="I77" i="36" s="1"/>
  <c r="I78" i="36" s="1"/>
  <c r="I79" i="36" s="1"/>
  <c r="I80" i="36" s="1"/>
  <c r="I81" i="36" s="1"/>
  <c r="I82" i="36" s="1"/>
  <c r="I83" i="36" s="1"/>
  <c r="I84" i="36" s="1"/>
  <c r="F76" i="36"/>
  <c r="P75" i="36"/>
  <c r="N75" i="36"/>
  <c r="L75" i="36"/>
  <c r="J75" i="36"/>
  <c r="H75" i="36"/>
  <c r="A74" i="36"/>
  <c r="A73" i="36"/>
  <c r="A72" i="36"/>
  <c r="A71" i="36"/>
  <c r="A70" i="36"/>
  <c r="F41" i="36"/>
  <c r="A40" i="36"/>
  <c r="A39" i="36"/>
  <c r="A38" i="36"/>
  <c r="A37" i="36"/>
  <c r="A36" i="36"/>
  <c r="A35" i="36"/>
  <c r="A34" i="36"/>
  <c r="A33" i="36"/>
  <c r="A32" i="36"/>
  <c r="A31" i="36"/>
  <c r="A30" i="36"/>
  <c r="A29" i="36"/>
  <c r="A28" i="36"/>
  <c r="A27" i="36"/>
  <c r="A24" i="36"/>
  <c r="A23" i="36"/>
  <c r="A22" i="36"/>
  <c r="A21" i="36"/>
  <c r="A20" i="36"/>
  <c r="A19" i="36"/>
  <c r="A18" i="36"/>
  <c r="A17" i="36"/>
  <c r="A14" i="36"/>
  <c r="A13" i="36"/>
  <c r="T12" i="36"/>
  <c r="A12" i="36" s="1"/>
  <c r="T10" i="36"/>
  <c r="A10" i="36" s="1"/>
  <c r="T8" i="36"/>
  <c r="A8" i="36" s="1"/>
  <c r="A6" i="36"/>
  <c r="A4" i="36"/>
  <c r="A3" i="36"/>
  <c r="A2" i="36"/>
  <c r="A1" i="36"/>
  <c r="A79" i="42" l="1"/>
  <c r="H80" i="42"/>
  <c r="F5" i="42" s="1"/>
  <c r="D16" i="42" s="1"/>
  <c r="F51" i="42"/>
  <c r="A50" i="42"/>
  <c r="A96" i="42"/>
  <c r="F47" i="41"/>
  <c r="A46" i="41"/>
  <c r="A76" i="41"/>
  <c r="H77" i="41"/>
  <c r="A94" i="41"/>
  <c r="H95" i="41"/>
  <c r="A44" i="40"/>
  <c r="F45" i="40"/>
  <c r="A75" i="40"/>
  <c r="H76" i="40"/>
  <c r="A91" i="40"/>
  <c r="H92" i="40"/>
  <c r="F44" i="39"/>
  <c r="A43" i="39"/>
  <c r="H92" i="39"/>
  <c r="A91" i="39"/>
  <c r="A76" i="39"/>
  <c r="H77" i="39"/>
  <c r="A45" i="38"/>
  <c r="F46" i="38"/>
  <c r="A95" i="38"/>
  <c r="H96" i="38"/>
  <c r="A109" i="38"/>
  <c r="T7" i="38"/>
  <c r="A7" i="38" s="1"/>
  <c r="A80" i="38"/>
  <c r="H81" i="38"/>
  <c r="A42" i="37"/>
  <c r="A43" i="37"/>
  <c r="T5" i="37"/>
  <c r="A124" i="37"/>
  <c r="T11" i="37"/>
  <c r="A11" i="37" s="1"/>
  <c r="A74" i="37"/>
  <c r="H75" i="37"/>
  <c r="F45" i="37"/>
  <c r="A44" i="37"/>
  <c r="A92" i="37"/>
  <c r="H93" i="37"/>
  <c r="T9" i="37"/>
  <c r="A9" i="37" s="1"/>
  <c r="A115" i="37"/>
  <c r="A91" i="37"/>
  <c r="A174" i="36"/>
  <c r="A147" i="36"/>
  <c r="A156" i="36"/>
  <c r="A160" i="36"/>
  <c r="H76" i="36"/>
  <c r="A144" i="36"/>
  <c r="A146" i="36"/>
  <c r="A134" i="36"/>
  <c r="A163" i="36"/>
  <c r="A168" i="36"/>
  <c r="A138" i="36"/>
  <c r="A157" i="36"/>
  <c r="A164" i="36"/>
  <c r="A166" i="36"/>
  <c r="A107" i="36"/>
  <c r="A140" i="36"/>
  <c r="A153" i="36"/>
  <c r="A150" i="36"/>
  <c r="A141" i="36"/>
  <c r="A148" i="36"/>
  <c r="F42" i="36"/>
  <c r="A42" i="36" s="1"/>
  <c r="J92" i="36"/>
  <c r="A116" i="36"/>
  <c r="A139" i="36"/>
  <c r="A154" i="36"/>
  <c r="A170" i="36"/>
  <c r="A180" i="36"/>
  <c r="A136" i="36"/>
  <c r="H126" i="36"/>
  <c r="A151" i="36"/>
  <c r="A184" i="36"/>
  <c r="A181" i="36"/>
  <c r="A173" i="36"/>
  <c r="A145" i="36"/>
  <c r="H92" i="36"/>
  <c r="H93" i="36" s="1"/>
  <c r="H94" i="36" s="1"/>
  <c r="A159" i="36"/>
  <c r="A176" i="36"/>
  <c r="A178" i="36"/>
  <c r="A185" i="36"/>
  <c r="A133" i="36"/>
  <c r="A142" i="36"/>
  <c r="A152" i="36"/>
  <c r="A165" i="36"/>
  <c r="A169" i="36"/>
  <c r="A182" i="36"/>
  <c r="A158" i="36"/>
  <c r="A162" i="36"/>
  <c r="A175" i="36"/>
  <c r="A179" i="36"/>
  <c r="A186" i="36"/>
  <c r="A188" i="36"/>
  <c r="A135" i="36"/>
  <c r="F43" i="36"/>
  <c r="F44" i="36" s="1"/>
  <c r="A44" i="36" s="1"/>
  <c r="J93" i="36"/>
  <c r="J94" i="36" s="1"/>
  <c r="J95" i="36" s="1"/>
  <c r="J96" i="36" s="1"/>
  <c r="J97" i="36" s="1"/>
  <c r="J98" i="36" s="1"/>
  <c r="J99" i="36" s="1"/>
  <c r="J76" i="36"/>
  <c r="J77" i="36" s="1"/>
  <c r="J78" i="36" s="1"/>
  <c r="J79" i="36" s="1"/>
  <c r="J80" i="36" s="1"/>
  <c r="J81" i="36" s="1"/>
  <c r="J82" i="36" s="1"/>
  <c r="J83" i="36" s="1"/>
  <c r="J84" i="36" s="1"/>
  <c r="A75" i="36"/>
  <c r="H77" i="36"/>
  <c r="N76" i="36"/>
  <c r="N77" i="36" s="1"/>
  <c r="N78" i="36" s="1"/>
  <c r="N79" i="36" s="1"/>
  <c r="N80" i="36" s="1"/>
  <c r="N81" i="36" s="1"/>
  <c r="N82" i="36" s="1"/>
  <c r="N83" i="36" s="1"/>
  <c r="N84" i="36" s="1"/>
  <c r="L92" i="36"/>
  <c r="L93" i="36" s="1"/>
  <c r="L94" i="36" s="1"/>
  <c r="L95" i="36" s="1"/>
  <c r="L96" i="36" s="1"/>
  <c r="L97" i="36" s="1"/>
  <c r="L98" i="36" s="1"/>
  <c r="L99" i="36" s="1"/>
  <c r="A41" i="36"/>
  <c r="P76" i="36"/>
  <c r="P77" i="36" s="1"/>
  <c r="P78" i="36" s="1"/>
  <c r="P79" i="36" s="1"/>
  <c r="P80" i="36" s="1"/>
  <c r="P81" i="36" s="1"/>
  <c r="P82" i="36" s="1"/>
  <c r="P83" i="36" s="1"/>
  <c r="P84" i="36" s="1"/>
  <c r="A91" i="36"/>
  <c r="L76" i="36"/>
  <c r="L77" i="36" s="1"/>
  <c r="L78" i="36" s="1"/>
  <c r="L79" i="36" s="1"/>
  <c r="L80" i="36" s="1"/>
  <c r="L81" i="36" s="1"/>
  <c r="L82" i="36" s="1"/>
  <c r="L83" i="36" s="1"/>
  <c r="L84" i="36" s="1"/>
  <c r="A117" i="36"/>
  <c r="H118" i="36"/>
  <c r="H109" i="36"/>
  <c r="A108" i="36"/>
  <c r="A27" i="35"/>
  <c r="A26" i="35"/>
  <c r="A44" i="35"/>
  <c r="A45" i="35"/>
  <c r="A46" i="35"/>
  <c r="A47" i="35"/>
  <c r="A48" i="35"/>
  <c r="A49" i="35"/>
  <c r="A50" i="35"/>
  <c r="A51" i="35"/>
  <c r="A52" i="35"/>
  <c r="A53" i="35"/>
  <c r="A43" i="35"/>
  <c r="A38" i="35"/>
  <c r="A42" i="35"/>
  <c r="A41" i="35"/>
  <c r="A20" i="35"/>
  <c r="A37" i="35"/>
  <c r="A40" i="35"/>
  <c r="H136" i="1"/>
  <c r="H193" i="1"/>
  <c r="H191" i="1"/>
  <c r="H189" i="1"/>
  <c r="H188" i="1"/>
  <c r="H187" i="1"/>
  <c r="H185" i="1"/>
  <c r="H184" i="1"/>
  <c r="H183" i="1"/>
  <c r="H182" i="1"/>
  <c r="H181" i="1"/>
  <c r="H179" i="1"/>
  <c r="H178" i="1"/>
  <c r="H177" i="1"/>
  <c r="H176" i="1"/>
  <c r="H175" i="1"/>
  <c r="H173" i="1"/>
  <c r="H172" i="1"/>
  <c r="H171" i="1"/>
  <c r="H169" i="1"/>
  <c r="H168" i="1"/>
  <c r="H167" i="1"/>
  <c r="H166" i="1"/>
  <c r="H165" i="1"/>
  <c r="H163" i="1"/>
  <c r="H162" i="1"/>
  <c r="H161" i="1"/>
  <c r="H160" i="1"/>
  <c r="H159" i="1"/>
  <c r="H157" i="1"/>
  <c r="H156" i="1"/>
  <c r="H155" i="1"/>
  <c r="H154" i="1"/>
  <c r="H153" i="1"/>
  <c r="H151" i="1"/>
  <c r="H150" i="1"/>
  <c r="H149" i="1"/>
  <c r="H148" i="1"/>
  <c r="H147" i="1"/>
  <c r="H145" i="1"/>
  <c r="H144" i="1"/>
  <c r="H143" i="1"/>
  <c r="H142" i="1"/>
  <c r="H141" i="1"/>
  <c r="H139" i="1"/>
  <c r="H138" i="1"/>
  <c r="H137" i="1"/>
  <c r="H152" i="35"/>
  <c r="H153" i="35"/>
  <c r="H154" i="35"/>
  <c r="H156" i="35"/>
  <c r="H157" i="35"/>
  <c r="H158" i="35"/>
  <c r="H159" i="35"/>
  <c r="H160" i="35"/>
  <c r="H162" i="35"/>
  <c r="H163" i="35"/>
  <c r="H164" i="35"/>
  <c r="H165" i="35"/>
  <c r="H166" i="35"/>
  <c r="H168" i="35"/>
  <c r="H169" i="35"/>
  <c r="H170" i="35"/>
  <c r="H171" i="35"/>
  <c r="H172" i="35"/>
  <c r="H174" i="35"/>
  <c r="H175" i="35"/>
  <c r="H176" i="35"/>
  <c r="H177" i="35"/>
  <c r="H178" i="35"/>
  <c r="H180" i="35"/>
  <c r="H181" i="35"/>
  <c r="H182" i="35"/>
  <c r="H183" i="35"/>
  <c r="H184" i="35"/>
  <c r="H186" i="35"/>
  <c r="H187" i="35"/>
  <c r="H188" i="35"/>
  <c r="H190" i="35"/>
  <c r="H191" i="35"/>
  <c r="H192" i="35"/>
  <c r="H193" i="35"/>
  <c r="H194" i="35"/>
  <c r="H196" i="35"/>
  <c r="H197" i="35"/>
  <c r="H198" i="35"/>
  <c r="H199" i="35"/>
  <c r="H200" i="35"/>
  <c r="H202" i="35"/>
  <c r="H203" i="35"/>
  <c r="H204" i="35"/>
  <c r="H206" i="35"/>
  <c r="H208" i="35"/>
  <c r="H151" i="35"/>
  <c r="A216" i="35"/>
  <c r="A215" i="35"/>
  <c r="A214" i="35"/>
  <c r="A213" i="35"/>
  <c r="A212" i="35"/>
  <c r="A211" i="35"/>
  <c r="A210" i="35"/>
  <c r="G209" i="35"/>
  <c r="G208" i="35"/>
  <c r="G207" i="35"/>
  <c r="G206" i="35"/>
  <c r="G205" i="35"/>
  <c r="A205" i="35" s="1"/>
  <c r="G204" i="35"/>
  <c r="A204" i="35" s="1"/>
  <c r="G203" i="35"/>
  <c r="G202" i="35"/>
  <c r="A202" i="35" s="1"/>
  <c r="G201" i="35"/>
  <c r="A201" i="35" s="1"/>
  <c r="G200" i="35"/>
  <c r="G199" i="35"/>
  <c r="G198" i="35"/>
  <c r="G197" i="35"/>
  <c r="A197" i="35" s="1"/>
  <c r="G196" i="35"/>
  <c r="G195" i="35"/>
  <c r="A195" i="35" s="1"/>
  <c r="G194" i="35"/>
  <c r="G193" i="35"/>
  <c r="G192" i="35"/>
  <c r="G191" i="35"/>
  <c r="G190" i="35"/>
  <c r="G189" i="35"/>
  <c r="A189" i="35" s="1"/>
  <c r="G188" i="35"/>
  <c r="G187" i="35"/>
  <c r="G186" i="35"/>
  <c r="G185" i="35"/>
  <c r="A185" i="35" s="1"/>
  <c r="G184" i="35"/>
  <c r="G183" i="35"/>
  <c r="G182" i="35"/>
  <c r="A182" i="35" s="1"/>
  <c r="G181" i="35"/>
  <c r="G180" i="35"/>
  <c r="A180" i="35" s="1"/>
  <c r="G179" i="35"/>
  <c r="A179" i="35" s="1"/>
  <c r="G178" i="35"/>
  <c r="G177" i="35"/>
  <c r="A177" i="35" s="1"/>
  <c r="G176" i="35"/>
  <c r="G175" i="35"/>
  <c r="G174" i="35"/>
  <c r="G173" i="35"/>
  <c r="G172" i="35"/>
  <c r="G171" i="35"/>
  <c r="G170" i="35"/>
  <c r="G169" i="35"/>
  <c r="A169" i="35" s="1"/>
  <c r="G168" i="35"/>
  <c r="G167" i="35"/>
  <c r="G166" i="35"/>
  <c r="G165" i="35"/>
  <c r="G164" i="35"/>
  <c r="G163" i="35"/>
  <c r="G162" i="35"/>
  <c r="G161" i="35"/>
  <c r="A161" i="35" s="1"/>
  <c r="G160" i="35"/>
  <c r="A160" i="35" s="1"/>
  <c r="G159" i="35"/>
  <c r="G158" i="35"/>
  <c r="A158" i="35" s="1"/>
  <c r="G157" i="35"/>
  <c r="G156" i="35"/>
  <c r="A156" i="35" s="1"/>
  <c r="G155" i="35"/>
  <c r="A155" i="35" s="1"/>
  <c r="G154" i="35"/>
  <c r="G153" i="35"/>
  <c r="G152" i="35"/>
  <c r="G151" i="35"/>
  <c r="A150" i="35"/>
  <c r="A149" i="35"/>
  <c r="A148" i="35"/>
  <c r="A147" i="35"/>
  <c r="A146" i="35"/>
  <c r="H143" i="35"/>
  <c r="A143" i="35" s="1"/>
  <c r="A142" i="35"/>
  <c r="A141" i="35"/>
  <c r="A140" i="35"/>
  <c r="R139" i="35"/>
  <c r="R11" i="35" s="1"/>
  <c r="A139" i="35"/>
  <c r="A138" i="35"/>
  <c r="A137" i="35"/>
  <c r="H134" i="35"/>
  <c r="H135" i="35" s="1"/>
  <c r="A133" i="35"/>
  <c r="A132" i="35"/>
  <c r="A131" i="35"/>
  <c r="R130" i="35"/>
  <c r="R9" i="35" s="1"/>
  <c r="A130" i="35"/>
  <c r="A129" i="35"/>
  <c r="A128" i="35"/>
  <c r="H125" i="35"/>
  <c r="A125" i="35" s="1"/>
  <c r="A124" i="35"/>
  <c r="A123" i="35"/>
  <c r="A122" i="35"/>
  <c r="R121" i="35"/>
  <c r="R7" i="35" s="1"/>
  <c r="A121" i="35"/>
  <c r="A120" i="35"/>
  <c r="A119" i="35"/>
  <c r="A118" i="35"/>
  <c r="F117" i="35"/>
  <c r="F116" i="35"/>
  <c r="F115" i="35"/>
  <c r="F114" i="35"/>
  <c r="F113" i="35"/>
  <c r="L112" i="35"/>
  <c r="J112" i="35"/>
  <c r="H112" i="35"/>
  <c r="A111" i="35"/>
  <c r="A110" i="35"/>
  <c r="A109" i="35"/>
  <c r="A108" i="35"/>
  <c r="A107" i="35"/>
  <c r="A106" i="35"/>
  <c r="F105" i="35"/>
  <c r="F104" i="35"/>
  <c r="F103" i="35"/>
  <c r="F102" i="35"/>
  <c r="F101" i="35"/>
  <c r="F100" i="35"/>
  <c r="F99" i="35"/>
  <c r="F98" i="35"/>
  <c r="F97" i="35"/>
  <c r="Q96" i="35"/>
  <c r="Q97" i="35" s="1"/>
  <c r="Q98" i="35" s="1"/>
  <c r="Q99" i="35" s="1"/>
  <c r="Q100" i="35" s="1"/>
  <c r="Q101" i="35" s="1"/>
  <c r="Q102" i="35" s="1"/>
  <c r="Q103" i="35" s="1"/>
  <c r="Q104" i="35" s="1"/>
  <c r="Q105" i="35" s="1"/>
  <c r="O96" i="35"/>
  <c r="O97" i="35" s="1"/>
  <c r="O98" i="35" s="1"/>
  <c r="O99" i="35" s="1"/>
  <c r="O100" i="35" s="1"/>
  <c r="O101" i="35" s="1"/>
  <c r="O102" i="35" s="1"/>
  <c r="O103" i="35" s="1"/>
  <c r="O104" i="35" s="1"/>
  <c r="O105" i="35" s="1"/>
  <c r="M96" i="35"/>
  <c r="M97" i="35" s="1"/>
  <c r="M98" i="35" s="1"/>
  <c r="M99" i="35" s="1"/>
  <c r="M100" i="35" s="1"/>
  <c r="M101" i="35" s="1"/>
  <c r="M102" i="35" s="1"/>
  <c r="M103" i="35" s="1"/>
  <c r="M104" i="35" s="1"/>
  <c r="M105" i="35" s="1"/>
  <c r="K96" i="35"/>
  <c r="K97" i="35" s="1"/>
  <c r="K98" i="35" s="1"/>
  <c r="K99" i="35" s="1"/>
  <c r="K100" i="35" s="1"/>
  <c r="K101" i="35" s="1"/>
  <c r="K102" i="35" s="1"/>
  <c r="K103" i="35" s="1"/>
  <c r="K104" i="35" s="1"/>
  <c r="K105" i="35" s="1"/>
  <c r="I96" i="35"/>
  <c r="I97" i="35" s="1"/>
  <c r="I98" i="35" s="1"/>
  <c r="I99" i="35" s="1"/>
  <c r="I100" i="35" s="1"/>
  <c r="I101" i="35" s="1"/>
  <c r="I102" i="35" s="1"/>
  <c r="I103" i="35" s="1"/>
  <c r="I104" i="35" s="1"/>
  <c r="I105" i="35" s="1"/>
  <c r="F96" i="35"/>
  <c r="P95" i="35"/>
  <c r="N95" i="35"/>
  <c r="L95" i="35"/>
  <c r="J95" i="35"/>
  <c r="H95" i="35"/>
  <c r="A94" i="35"/>
  <c r="A93" i="35"/>
  <c r="A92" i="35"/>
  <c r="A91" i="35"/>
  <c r="A90" i="35"/>
  <c r="F61" i="35"/>
  <c r="A60" i="35"/>
  <c r="A59" i="35"/>
  <c r="A58" i="35"/>
  <c r="A57" i="35"/>
  <c r="A56" i="35"/>
  <c r="A55" i="35"/>
  <c r="A54" i="35"/>
  <c r="A34" i="35"/>
  <c r="A33" i="35"/>
  <c r="A32" i="35"/>
  <c r="A31" i="35"/>
  <c r="A30" i="35"/>
  <c r="A29" i="35"/>
  <c r="A28" i="35"/>
  <c r="A25" i="35"/>
  <c r="A24" i="35"/>
  <c r="A23" i="35"/>
  <c r="A22" i="35"/>
  <c r="A21" i="35"/>
  <c r="A19" i="35"/>
  <c r="A18" i="35"/>
  <c r="A17" i="35"/>
  <c r="A14" i="35"/>
  <c r="A13" i="35"/>
  <c r="T12" i="35"/>
  <c r="A12" i="35" s="1"/>
  <c r="T10" i="35"/>
  <c r="A10" i="35" s="1"/>
  <c r="T8" i="35"/>
  <c r="A8" i="35" s="1"/>
  <c r="A6" i="35"/>
  <c r="A4" i="35"/>
  <c r="A3" i="35"/>
  <c r="A2" i="35"/>
  <c r="A1" i="35"/>
  <c r="A51" i="42" l="1"/>
  <c r="F52" i="42"/>
  <c r="A80" i="42"/>
  <c r="F48" i="41"/>
  <c r="A47" i="41"/>
  <c r="H96" i="41"/>
  <c r="P5" i="41" s="1"/>
  <c r="A95" i="41"/>
  <c r="A77" i="41"/>
  <c r="H78" i="41"/>
  <c r="A76" i="40"/>
  <c r="H77" i="40"/>
  <c r="A92" i="40"/>
  <c r="H93" i="40"/>
  <c r="F46" i="40"/>
  <c r="A45" i="40"/>
  <c r="A44" i="39"/>
  <c r="F45" i="39"/>
  <c r="A77" i="39"/>
  <c r="H78" i="39"/>
  <c r="A92" i="39"/>
  <c r="H93" i="39"/>
  <c r="A96" i="38"/>
  <c r="H97" i="38"/>
  <c r="A81" i="38"/>
  <c r="H82" i="38"/>
  <c r="A46" i="38"/>
  <c r="F47" i="38"/>
  <c r="A93" i="37"/>
  <c r="H94" i="37"/>
  <c r="A75" i="37"/>
  <c r="H76" i="37"/>
  <c r="F46" i="37"/>
  <c r="A45" i="37"/>
  <c r="N5" i="36"/>
  <c r="J5" i="36"/>
  <c r="L5" i="36"/>
  <c r="H5" i="36"/>
  <c r="R5" i="36"/>
  <c r="T5" i="36"/>
  <c r="H127" i="36"/>
  <c r="A126" i="36"/>
  <c r="A92" i="36"/>
  <c r="F45" i="36"/>
  <c r="A45" i="36" s="1"/>
  <c r="A43" i="36"/>
  <c r="A77" i="36"/>
  <c r="H78" i="36"/>
  <c r="T9" i="36"/>
  <c r="A9" i="36" s="1"/>
  <c r="A118" i="36"/>
  <c r="A76" i="36"/>
  <c r="T7" i="36"/>
  <c r="A7" i="36" s="1"/>
  <c r="A109" i="36"/>
  <c r="A94" i="36"/>
  <c r="H95" i="36"/>
  <c r="A93" i="36"/>
  <c r="A178" i="35"/>
  <c r="A187" i="35"/>
  <c r="A154" i="35"/>
  <c r="A174" i="35"/>
  <c r="A198" i="35"/>
  <c r="A164" i="35"/>
  <c r="A168" i="35"/>
  <c r="A172" i="35"/>
  <c r="A188" i="35"/>
  <c r="A192" i="35"/>
  <c r="A208" i="35"/>
  <c r="H144" i="35"/>
  <c r="A144" i="35" s="1"/>
  <c r="A165" i="35"/>
  <c r="A190" i="35"/>
  <c r="A175" i="35"/>
  <c r="A199" i="35"/>
  <c r="L96" i="35"/>
  <c r="A134" i="35"/>
  <c r="A184" i="35"/>
  <c r="A194" i="35"/>
  <c r="A200" i="35"/>
  <c r="A171" i="35"/>
  <c r="A191" i="35"/>
  <c r="A166" i="35"/>
  <c r="A176" i="35"/>
  <c r="A157" i="35"/>
  <c r="A152" i="35"/>
  <c r="A181" i="35"/>
  <c r="A196" i="35"/>
  <c r="J96" i="35"/>
  <c r="J97" i="35" s="1"/>
  <c r="J98" i="35" s="1"/>
  <c r="J99" i="35" s="1"/>
  <c r="J100" i="35" s="1"/>
  <c r="J101" i="35" s="1"/>
  <c r="J102" i="35" s="1"/>
  <c r="J103" i="35" s="1"/>
  <c r="J104" i="35" s="1"/>
  <c r="J113" i="35"/>
  <c r="J114" i="35" s="1"/>
  <c r="J115" i="35" s="1"/>
  <c r="J116" i="35" s="1"/>
  <c r="J117" i="35" s="1"/>
  <c r="R5" i="35" s="1"/>
  <c r="H113" i="35"/>
  <c r="H114" i="35" s="1"/>
  <c r="A170" i="35"/>
  <c r="A159" i="35"/>
  <c r="A162" i="35"/>
  <c r="A173" i="35"/>
  <c r="A186" i="35"/>
  <c r="A193" i="35"/>
  <c r="A206" i="35"/>
  <c r="A163" i="35"/>
  <c r="A203" i="35"/>
  <c r="A209" i="35"/>
  <c r="A183" i="35"/>
  <c r="A207" i="35"/>
  <c r="A167" i="35"/>
  <c r="A151" i="35"/>
  <c r="L97" i="35"/>
  <c r="L98" i="35" s="1"/>
  <c r="L99" i="35" s="1"/>
  <c r="L100" i="35" s="1"/>
  <c r="L101" i="35" s="1"/>
  <c r="L102" i="35" s="1"/>
  <c r="L103" i="35" s="1"/>
  <c r="L104" i="35" s="1"/>
  <c r="L113" i="35"/>
  <c r="L114" i="35" s="1"/>
  <c r="L115" i="35" s="1"/>
  <c r="L116" i="35" s="1"/>
  <c r="L117" i="35" s="1"/>
  <c r="A153" i="35"/>
  <c r="P96" i="35"/>
  <c r="P97" i="35" s="1"/>
  <c r="P98" i="35" s="1"/>
  <c r="P99" i="35" s="1"/>
  <c r="P100" i="35" s="1"/>
  <c r="P101" i="35" s="1"/>
  <c r="P102" i="35" s="1"/>
  <c r="P103" i="35" s="1"/>
  <c r="P104" i="35" s="1"/>
  <c r="H96" i="35"/>
  <c r="H97" i="35" s="1"/>
  <c r="H98" i="35" s="1"/>
  <c r="A95" i="35"/>
  <c r="A112" i="35"/>
  <c r="N96" i="35"/>
  <c r="N97" i="35" s="1"/>
  <c r="N98" i="35" s="1"/>
  <c r="N99" i="35" s="1"/>
  <c r="N100" i="35" s="1"/>
  <c r="N101" i="35" s="1"/>
  <c r="N102" i="35" s="1"/>
  <c r="N103" i="35" s="1"/>
  <c r="N104" i="35" s="1"/>
  <c r="N105" i="35" s="1"/>
  <c r="A135" i="35"/>
  <c r="H136" i="35"/>
  <c r="A61" i="35"/>
  <c r="F62" i="35"/>
  <c r="H126" i="35"/>
  <c r="H145" i="35"/>
  <c r="F53" i="42" l="1"/>
  <c r="A52" i="42"/>
  <c r="A48" i="41"/>
  <c r="F49" i="41"/>
  <c r="A78" i="41"/>
  <c r="H79" i="41"/>
  <c r="A96" i="41"/>
  <c r="A77" i="40"/>
  <c r="H78" i="40"/>
  <c r="A93" i="40"/>
  <c r="H94" i="40"/>
  <c r="A46" i="40"/>
  <c r="F47" i="40"/>
  <c r="F46" i="39"/>
  <c r="A45" i="39"/>
  <c r="A93" i="39"/>
  <c r="H94" i="39"/>
  <c r="A78" i="39"/>
  <c r="H79" i="39"/>
  <c r="A82" i="38"/>
  <c r="H83" i="38"/>
  <c r="A47" i="38"/>
  <c r="F48" i="38"/>
  <c r="H98" i="38"/>
  <c r="A97" i="38"/>
  <c r="A46" i="37"/>
  <c r="F47" i="37"/>
  <c r="A76" i="37"/>
  <c r="H77" i="37"/>
  <c r="H95" i="37"/>
  <c r="A94" i="37"/>
  <c r="A127" i="36"/>
  <c r="T11" i="36"/>
  <c r="A11" i="36" s="1"/>
  <c r="F46" i="36"/>
  <c r="A46" i="36" s="1"/>
  <c r="A78" i="36"/>
  <c r="H79" i="36"/>
  <c r="H96" i="36"/>
  <c r="A95" i="36"/>
  <c r="J105" i="35"/>
  <c r="H5" i="35" s="1"/>
  <c r="P105" i="35"/>
  <c r="N5" i="35"/>
  <c r="L105" i="35"/>
  <c r="L5" i="35"/>
  <c r="T5" i="35"/>
  <c r="A113" i="35"/>
  <c r="T9" i="35"/>
  <c r="A9" i="35" s="1"/>
  <c r="A136" i="35"/>
  <c r="A126" i="35"/>
  <c r="H127" i="35"/>
  <c r="A62" i="35"/>
  <c r="F63" i="35"/>
  <c r="H99" i="35"/>
  <c r="A98" i="35"/>
  <c r="T11" i="35"/>
  <c r="A11" i="35" s="1"/>
  <c r="A145" i="35"/>
  <c r="H115" i="35"/>
  <c r="A114" i="35"/>
  <c r="A96" i="35"/>
  <c r="A97" i="35"/>
  <c r="A53" i="42" l="1"/>
  <c r="F54" i="42"/>
  <c r="A49" i="41"/>
  <c r="F50" i="41"/>
  <c r="A79" i="41"/>
  <c r="H80" i="41"/>
  <c r="F5" i="41" s="1"/>
  <c r="D16" i="41" s="1"/>
  <c r="H95" i="40"/>
  <c r="P5" i="40" s="1"/>
  <c r="A94" i="40"/>
  <c r="F48" i="40"/>
  <c r="A47" i="40"/>
  <c r="A78" i="40"/>
  <c r="H79" i="40"/>
  <c r="F5" i="40" s="1"/>
  <c r="D16" i="40" s="1"/>
  <c r="A46" i="39"/>
  <c r="F47" i="39"/>
  <c r="A94" i="39"/>
  <c r="H95" i="39"/>
  <c r="A79" i="39"/>
  <c r="H80" i="39"/>
  <c r="F5" i="39" s="1"/>
  <c r="D16" i="39" s="1"/>
  <c r="G16" i="39" s="1"/>
  <c r="A16" i="39" s="1"/>
  <c r="A83" i="38"/>
  <c r="H84" i="38"/>
  <c r="A48" i="38"/>
  <c r="F49" i="38"/>
  <c r="H99" i="38"/>
  <c r="P5" i="38" s="1"/>
  <c r="A98" i="38"/>
  <c r="P5" i="37"/>
  <c r="H96" i="37"/>
  <c r="A96" i="37" s="1"/>
  <c r="A95" i="37"/>
  <c r="A77" i="37"/>
  <c r="H78" i="37"/>
  <c r="F48" i="37"/>
  <c r="A47" i="37"/>
  <c r="F47" i="36"/>
  <c r="A79" i="36"/>
  <c r="H80" i="36"/>
  <c r="F48" i="36"/>
  <c r="A47" i="36"/>
  <c r="H97" i="36"/>
  <c r="A96" i="36"/>
  <c r="J5" i="35"/>
  <c r="A63" i="35"/>
  <c r="F64" i="35"/>
  <c r="A127" i="35"/>
  <c r="T7" i="35"/>
  <c r="A7" i="35" s="1"/>
  <c r="A115" i="35"/>
  <c r="H116" i="35"/>
  <c r="H100" i="35"/>
  <c r="A99" i="35"/>
  <c r="F55" i="42" l="1"/>
  <c r="A54" i="42"/>
  <c r="F51" i="41"/>
  <c r="A50" i="41"/>
  <c r="A80" i="41"/>
  <c r="A48" i="40"/>
  <c r="F49" i="40"/>
  <c r="A79" i="40"/>
  <c r="A95" i="40"/>
  <c r="F48" i="39"/>
  <c r="A47" i="39"/>
  <c r="A80" i="39"/>
  <c r="H96" i="39"/>
  <c r="P5" i="39" s="1"/>
  <c r="A95" i="39"/>
  <c r="A49" i="38"/>
  <c r="F50" i="38"/>
  <c r="H85" i="38"/>
  <c r="F5" i="38" s="1"/>
  <c r="D16" i="38" s="1"/>
  <c r="G16" i="38" s="1"/>
  <c r="A16" i="38" s="1"/>
  <c r="A84" i="38"/>
  <c r="A99" i="38"/>
  <c r="A78" i="37"/>
  <c r="H79" i="37"/>
  <c r="A48" i="37"/>
  <c r="F49" i="37"/>
  <c r="A97" i="36"/>
  <c r="H98" i="36"/>
  <c r="A48" i="36"/>
  <c r="F49" i="36"/>
  <c r="A80" i="36"/>
  <c r="H81" i="36"/>
  <c r="H101" i="35"/>
  <c r="A100" i="35"/>
  <c r="A116" i="35"/>
  <c r="H117" i="35"/>
  <c r="P5" i="35" s="1"/>
  <c r="A64" i="35"/>
  <c r="F65" i="35"/>
  <c r="A55" i="42" l="1"/>
  <c r="F56" i="42"/>
  <c r="F52" i="41"/>
  <c r="A51" i="41"/>
  <c r="F50" i="40"/>
  <c r="A49" i="40"/>
  <c r="A48" i="39"/>
  <c r="F49" i="39"/>
  <c r="A96" i="39"/>
  <c r="A85" i="38"/>
  <c r="A50" i="38"/>
  <c r="F51" i="38"/>
  <c r="F50" i="37"/>
  <c r="A49" i="37"/>
  <c r="A79" i="37"/>
  <c r="H80" i="37"/>
  <c r="F50" i="36"/>
  <c r="A49" i="36"/>
  <c r="A81" i="36"/>
  <c r="H82" i="36"/>
  <c r="A98" i="36"/>
  <c r="H99" i="36"/>
  <c r="P5" i="36" s="1"/>
  <c r="A117" i="35"/>
  <c r="A65" i="35"/>
  <c r="F66" i="35"/>
  <c r="H102" i="35"/>
  <c r="A101" i="35"/>
  <c r="F57" i="42" l="1"/>
  <c r="A56" i="42"/>
  <c r="F53" i="41"/>
  <c r="A52" i="41"/>
  <c r="A50" i="40"/>
  <c r="F51" i="40"/>
  <c r="A49" i="39"/>
  <c r="F50" i="39"/>
  <c r="A51" i="38"/>
  <c r="F52" i="38"/>
  <c r="F51" i="37"/>
  <c r="A50" i="37"/>
  <c r="A80" i="37"/>
  <c r="H81" i="37"/>
  <c r="A82" i="36"/>
  <c r="H83" i="36"/>
  <c r="A99" i="36"/>
  <c r="A50" i="36"/>
  <c r="F51" i="36"/>
  <c r="A66" i="35"/>
  <c r="F67" i="35"/>
  <c r="A102" i="35"/>
  <c r="H103" i="35"/>
  <c r="A57" i="42" l="1"/>
  <c r="F58" i="42"/>
  <c r="A53" i="41"/>
  <c r="F54" i="41"/>
  <c r="F52" i="40"/>
  <c r="A51" i="40"/>
  <c r="F51" i="39"/>
  <c r="A50" i="39"/>
  <c r="A52" i="38"/>
  <c r="F53" i="38"/>
  <c r="A81" i="37"/>
  <c r="H82" i="37"/>
  <c r="F52" i="37"/>
  <c r="A51" i="37"/>
  <c r="F52" i="36"/>
  <c r="A51" i="36"/>
  <c r="A83" i="36"/>
  <c r="H84" i="36"/>
  <c r="F5" i="36" s="1"/>
  <c r="D16" i="36" s="1"/>
  <c r="G16" i="36" s="1"/>
  <c r="A16" i="36" s="1"/>
  <c r="A67" i="35"/>
  <c r="F68" i="35"/>
  <c r="A103" i="35"/>
  <c r="H104" i="35"/>
  <c r="F59" i="42" l="1"/>
  <c r="A58" i="42"/>
  <c r="F55" i="41"/>
  <c r="A54" i="41"/>
  <c r="A52" i="40"/>
  <c r="F53" i="40"/>
  <c r="F52" i="39"/>
  <c r="A51" i="39"/>
  <c r="A53" i="38"/>
  <c r="F54" i="38"/>
  <c r="F53" i="37"/>
  <c r="A52" i="37"/>
  <c r="A82" i="37"/>
  <c r="H83" i="37"/>
  <c r="A52" i="36"/>
  <c r="F53" i="36"/>
  <c r="A84" i="36"/>
  <c r="A104" i="35"/>
  <c r="H105" i="35"/>
  <c r="F5" i="35" s="1"/>
  <c r="D16" i="35" s="1"/>
  <c r="G16" i="35" s="1"/>
  <c r="A16" i="35" s="1"/>
  <c r="A68" i="35"/>
  <c r="F69" i="35"/>
  <c r="A59" i="42" l="1"/>
  <c r="F60" i="42"/>
  <c r="A55" i="41"/>
  <c r="F56" i="41"/>
  <c r="F54" i="40"/>
  <c r="A53" i="40"/>
  <c r="A52" i="39"/>
  <c r="F53" i="39"/>
  <c r="A54" i="38"/>
  <c r="F55" i="38"/>
  <c r="A83" i="37"/>
  <c r="F54" i="37"/>
  <c r="A53" i="37"/>
  <c r="F54" i="36"/>
  <c r="A53" i="36"/>
  <c r="A69" i="35"/>
  <c r="F70" i="35"/>
  <c r="A105" i="35"/>
  <c r="F61" i="42" l="1"/>
  <c r="A60" i="42"/>
  <c r="F57" i="41"/>
  <c r="A56" i="41"/>
  <c r="A54" i="40"/>
  <c r="F55" i="40"/>
  <c r="F54" i="39"/>
  <c r="A53" i="39"/>
  <c r="A55" i="38"/>
  <c r="F56" i="38"/>
  <c r="F5" i="37"/>
  <c r="D16" i="37" s="1"/>
  <c r="G16" i="37" s="1"/>
  <c r="A16" i="37" s="1"/>
  <c r="A54" i="37"/>
  <c r="F55" i="37"/>
  <c r="A54" i="36"/>
  <c r="F55" i="36"/>
  <c r="A70" i="35"/>
  <c r="F71" i="35"/>
  <c r="A61" i="42" l="1"/>
  <c r="F62" i="42"/>
  <c r="A57" i="41"/>
  <c r="F58" i="41"/>
  <c r="F56" i="40"/>
  <c r="A55" i="40"/>
  <c r="F55" i="39"/>
  <c r="A54" i="39"/>
  <c r="A56" i="38"/>
  <c r="F57" i="38"/>
  <c r="F56" i="37"/>
  <c r="A55" i="37"/>
  <c r="F56" i="36"/>
  <c r="A55" i="36"/>
  <c r="A71" i="35"/>
  <c r="F72" i="35"/>
  <c r="F63" i="42" l="1"/>
  <c r="A62" i="42"/>
  <c r="F59" i="41"/>
  <c r="A58" i="41"/>
  <c r="A56" i="40"/>
  <c r="F57" i="40"/>
  <c r="F56" i="39"/>
  <c r="A55" i="39"/>
  <c r="A57" i="38"/>
  <c r="F58" i="38"/>
  <c r="A56" i="37"/>
  <c r="F57" i="37"/>
  <c r="A56" i="36"/>
  <c r="F57" i="36"/>
  <c r="A72" i="35"/>
  <c r="F73" i="35"/>
  <c r="A63" i="42" l="1"/>
  <c r="F64" i="42"/>
  <c r="A59" i="41"/>
  <c r="F60" i="41"/>
  <c r="F58" i="40"/>
  <c r="A57" i="40"/>
  <c r="A56" i="39"/>
  <c r="F57" i="39"/>
  <c r="A58" i="38"/>
  <c r="F59" i="38"/>
  <c r="F58" i="37"/>
  <c r="A57" i="37"/>
  <c r="F58" i="36"/>
  <c r="A57" i="36"/>
  <c r="A73" i="35"/>
  <c r="F74" i="35"/>
  <c r="F65" i="42" l="1"/>
  <c r="A64" i="42"/>
  <c r="F61" i="41"/>
  <c r="A60" i="41"/>
  <c r="A58" i="40"/>
  <c r="F59" i="40"/>
  <c r="A57" i="39"/>
  <c r="F58" i="39"/>
  <c r="A59" i="38"/>
  <c r="F60" i="38"/>
  <c r="A58" i="37"/>
  <c r="F59" i="37"/>
  <c r="A58" i="36"/>
  <c r="F59" i="36"/>
  <c r="A74" i="35"/>
  <c r="F75" i="35"/>
  <c r="A65" i="42" l="1"/>
  <c r="F62" i="41"/>
  <c r="A61" i="41"/>
  <c r="F60" i="40"/>
  <c r="A59" i="40"/>
  <c r="A58" i="39"/>
  <c r="F59" i="39"/>
  <c r="A60" i="38"/>
  <c r="F61" i="38"/>
  <c r="F60" i="37"/>
  <c r="A59" i="37"/>
  <c r="F60" i="36"/>
  <c r="A59" i="36"/>
  <c r="A75" i="35"/>
  <c r="F76" i="35"/>
  <c r="F63" i="41" l="1"/>
  <c r="A62" i="41"/>
  <c r="A60" i="40"/>
  <c r="F61" i="40"/>
  <c r="F60" i="39"/>
  <c r="A59" i="39"/>
  <c r="A61" i="38"/>
  <c r="F62" i="38"/>
  <c r="A60" i="37"/>
  <c r="F61" i="37"/>
  <c r="A60" i="36"/>
  <c r="F61" i="36"/>
  <c r="A76" i="35"/>
  <c r="F77" i="35"/>
  <c r="D5" i="42" l="1"/>
  <c r="A63" i="41"/>
  <c r="F64" i="41"/>
  <c r="F62" i="40"/>
  <c r="A61" i="40"/>
  <c r="A60" i="39"/>
  <c r="F61" i="39"/>
  <c r="A62" i="38"/>
  <c r="F63" i="38"/>
  <c r="F62" i="37"/>
  <c r="A61" i="37"/>
  <c r="F62" i="36"/>
  <c r="A61" i="36"/>
  <c r="A77" i="35"/>
  <c r="F78" i="35"/>
  <c r="A5" i="42" l="1"/>
  <c r="D15" i="42"/>
  <c r="A15" i="42" s="1"/>
  <c r="F65" i="41"/>
  <c r="A64" i="41"/>
  <c r="A62" i="40"/>
  <c r="F63" i="40"/>
  <c r="F62" i="39"/>
  <c r="A61" i="39"/>
  <c r="A63" i="38"/>
  <c r="F64" i="38"/>
  <c r="A62" i="37"/>
  <c r="F63" i="37"/>
  <c r="A62" i="36"/>
  <c r="F63" i="36"/>
  <c r="A78" i="35"/>
  <c r="F79" i="35"/>
  <c r="A65" i="41" l="1"/>
  <c r="F64" i="40"/>
  <c r="A63" i="40"/>
  <c r="A62" i="39"/>
  <c r="F63" i="39"/>
  <c r="A64" i="38"/>
  <c r="F65" i="38"/>
  <c r="F64" i="37"/>
  <c r="A63" i="37"/>
  <c r="F64" i="36"/>
  <c r="A63" i="36"/>
  <c r="A79" i="35"/>
  <c r="F80" i="35"/>
  <c r="A197" i="34"/>
  <c r="A196" i="34"/>
  <c r="A195" i="34"/>
  <c r="A194" i="34"/>
  <c r="A193" i="34"/>
  <c r="A192" i="34"/>
  <c r="A191" i="34"/>
  <c r="G190" i="34"/>
  <c r="A190" i="34" s="1"/>
  <c r="H189" i="34"/>
  <c r="G189" i="34"/>
  <c r="G188" i="34"/>
  <c r="A188" i="34" s="1"/>
  <c r="H187" i="34"/>
  <c r="G187" i="34"/>
  <c r="G186" i="34"/>
  <c r="A186" i="34" s="1"/>
  <c r="H185" i="34"/>
  <c r="G185" i="34"/>
  <c r="H184" i="34"/>
  <c r="G184" i="34"/>
  <c r="H183" i="34"/>
  <c r="G183" i="34"/>
  <c r="G182" i="34"/>
  <c r="A182" i="34" s="1"/>
  <c r="H181" i="34"/>
  <c r="G181" i="34"/>
  <c r="H180" i="34"/>
  <c r="G180" i="34"/>
  <c r="H179" i="34"/>
  <c r="G179" i="34"/>
  <c r="H178" i="34"/>
  <c r="G178" i="34"/>
  <c r="H177" i="34"/>
  <c r="G177" i="34"/>
  <c r="G176" i="34"/>
  <c r="A176" i="34" s="1"/>
  <c r="H175" i="34"/>
  <c r="G175" i="34"/>
  <c r="H174" i="34"/>
  <c r="G174" i="34"/>
  <c r="H173" i="34"/>
  <c r="G173" i="34"/>
  <c r="H172" i="34"/>
  <c r="G172" i="34"/>
  <c r="H171" i="34"/>
  <c r="G171" i="34"/>
  <c r="G170" i="34"/>
  <c r="A170" i="34" s="1"/>
  <c r="H169" i="34"/>
  <c r="G169" i="34"/>
  <c r="H168" i="34"/>
  <c r="G168" i="34"/>
  <c r="H167" i="34"/>
  <c r="G167" i="34"/>
  <c r="G166" i="34"/>
  <c r="A166" i="34" s="1"/>
  <c r="H165" i="34"/>
  <c r="A165" i="34" s="1"/>
  <c r="G165" i="34"/>
  <c r="H164" i="34"/>
  <c r="G164" i="34"/>
  <c r="H163" i="34"/>
  <c r="G163" i="34"/>
  <c r="H162" i="34"/>
  <c r="G162" i="34"/>
  <c r="H161" i="34"/>
  <c r="A161" i="34" s="1"/>
  <c r="G161" i="34"/>
  <c r="G160" i="34"/>
  <c r="A160" i="34" s="1"/>
  <c r="H159" i="34"/>
  <c r="G159" i="34"/>
  <c r="H158" i="34"/>
  <c r="G158" i="34"/>
  <c r="H157" i="34"/>
  <c r="G157" i="34"/>
  <c r="H156" i="34"/>
  <c r="G156" i="34"/>
  <c r="A156" i="34" s="1"/>
  <c r="H155" i="34"/>
  <c r="G155" i="34"/>
  <c r="G154" i="34"/>
  <c r="A154" i="34" s="1"/>
  <c r="H153" i="34"/>
  <c r="G153" i="34"/>
  <c r="H152" i="34"/>
  <c r="G152" i="34"/>
  <c r="H151" i="34"/>
  <c r="G151" i="34"/>
  <c r="H150" i="34"/>
  <c r="G150" i="34"/>
  <c r="H149" i="34"/>
  <c r="G149" i="34"/>
  <c r="G148" i="34"/>
  <c r="A148" i="34" s="1"/>
  <c r="H147" i="34"/>
  <c r="G147" i="34"/>
  <c r="A147" i="34" s="1"/>
  <c r="H146" i="34"/>
  <c r="G146" i="34"/>
  <c r="H145" i="34"/>
  <c r="G145" i="34"/>
  <c r="A145" i="34" s="1"/>
  <c r="H144" i="34"/>
  <c r="G144" i="34"/>
  <c r="H143" i="34"/>
  <c r="G143" i="34"/>
  <c r="G142" i="34"/>
  <c r="A142" i="34" s="1"/>
  <c r="H141" i="34"/>
  <c r="G141" i="34"/>
  <c r="H140" i="34"/>
  <c r="G140" i="34"/>
  <c r="H139" i="34"/>
  <c r="G139" i="34"/>
  <c r="H138" i="34"/>
  <c r="G138" i="34"/>
  <c r="H137" i="34"/>
  <c r="G137" i="34"/>
  <c r="G136" i="34"/>
  <c r="A136" i="34" s="1"/>
  <c r="H135" i="34"/>
  <c r="G135" i="34"/>
  <c r="H134" i="34"/>
  <c r="G134" i="34"/>
  <c r="H133" i="34"/>
  <c r="G133" i="34"/>
  <c r="H132" i="34"/>
  <c r="G132" i="34"/>
  <c r="A131" i="34"/>
  <c r="A130" i="34"/>
  <c r="A129" i="34"/>
  <c r="A128" i="34"/>
  <c r="A127" i="34"/>
  <c r="H124" i="34"/>
  <c r="H125" i="34" s="1"/>
  <c r="A123" i="34"/>
  <c r="A122" i="34"/>
  <c r="A121" i="34"/>
  <c r="R120" i="34"/>
  <c r="R11" i="34" s="1"/>
  <c r="A120" i="34"/>
  <c r="A119" i="34"/>
  <c r="A118" i="34"/>
  <c r="H115" i="34"/>
  <c r="H116" i="34" s="1"/>
  <c r="A114" i="34"/>
  <c r="A113" i="34"/>
  <c r="A112" i="34"/>
  <c r="R111" i="34"/>
  <c r="R9" i="34" s="1"/>
  <c r="A111" i="34"/>
  <c r="A110" i="34"/>
  <c r="A109" i="34"/>
  <c r="H106" i="34"/>
  <c r="H107" i="34" s="1"/>
  <c r="A105" i="34"/>
  <c r="A104" i="34"/>
  <c r="A103" i="34"/>
  <c r="R102" i="34"/>
  <c r="R7" i="34" s="1"/>
  <c r="A102" i="34"/>
  <c r="A101" i="34"/>
  <c r="A100" i="34"/>
  <c r="A99" i="34"/>
  <c r="F98" i="34"/>
  <c r="F97" i="34"/>
  <c r="F96" i="34"/>
  <c r="F95" i="34"/>
  <c r="F94" i="34"/>
  <c r="F93" i="34"/>
  <c r="F92" i="34"/>
  <c r="L91" i="34"/>
  <c r="J91" i="34"/>
  <c r="H91" i="34"/>
  <c r="A90" i="34"/>
  <c r="A89" i="34"/>
  <c r="A88" i="34"/>
  <c r="A87" i="34"/>
  <c r="A86" i="34"/>
  <c r="A85" i="34"/>
  <c r="F84" i="34"/>
  <c r="F83" i="34"/>
  <c r="F82" i="34"/>
  <c r="F81" i="34"/>
  <c r="F80" i="34"/>
  <c r="F79" i="34"/>
  <c r="F78" i="34"/>
  <c r="F77" i="34"/>
  <c r="F76" i="34"/>
  <c r="Q75" i="34"/>
  <c r="Q76" i="34" s="1"/>
  <c r="Q77" i="34" s="1"/>
  <c r="Q78" i="34" s="1"/>
  <c r="Q79" i="34" s="1"/>
  <c r="Q80" i="34" s="1"/>
  <c r="Q81" i="34" s="1"/>
  <c r="Q82" i="34" s="1"/>
  <c r="Q83" i="34" s="1"/>
  <c r="Q84" i="34" s="1"/>
  <c r="O75" i="34"/>
  <c r="O76" i="34" s="1"/>
  <c r="O77" i="34" s="1"/>
  <c r="O78" i="34" s="1"/>
  <c r="O79" i="34" s="1"/>
  <c r="O80" i="34" s="1"/>
  <c r="O81" i="34" s="1"/>
  <c r="O82" i="34" s="1"/>
  <c r="O83" i="34" s="1"/>
  <c r="O84" i="34" s="1"/>
  <c r="M75" i="34"/>
  <c r="M76" i="34" s="1"/>
  <c r="M77" i="34" s="1"/>
  <c r="M78" i="34" s="1"/>
  <c r="M79" i="34" s="1"/>
  <c r="M80" i="34" s="1"/>
  <c r="M81" i="34" s="1"/>
  <c r="M82" i="34" s="1"/>
  <c r="M83" i="34" s="1"/>
  <c r="M84" i="34" s="1"/>
  <c r="K75" i="34"/>
  <c r="K76" i="34" s="1"/>
  <c r="K77" i="34" s="1"/>
  <c r="K78" i="34" s="1"/>
  <c r="K79" i="34" s="1"/>
  <c r="K80" i="34" s="1"/>
  <c r="K81" i="34" s="1"/>
  <c r="K82" i="34" s="1"/>
  <c r="K83" i="34" s="1"/>
  <c r="K84" i="34" s="1"/>
  <c r="I75" i="34"/>
  <c r="I76" i="34" s="1"/>
  <c r="I77" i="34" s="1"/>
  <c r="I78" i="34" s="1"/>
  <c r="I79" i="34" s="1"/>
  <c r="I80" i="34" s="1"/>
  <c r="I81" i="34" s="1"/>
  <c r="I82" i="34" s="1"/>
  <c r="I83" i="34" s="1"/>
  <c r="I84" i="34" s="1"/>
  <c r="F75" i="34"/>
  <c r="P74" i="34"/>
  <c r="N74" i="34"/>
  <c r="L74" i="34"/>
  <c r="J74" i="34"/>
  <c r="H74" i="34"/>
  <c r="A73" i="34"/>
  <c r="A72" i="34"/>
  <c r="A71" i="34"/>
  <c r="A70" i="34"/>
  <c r="A69" i="34"/>
  <c r="F40" i="34"/>
  <c r="A40" i="34" s="1"/>
  <c r="A39" i="34"/>
  <c r="A38" i="34"/>
  <c r="A37" i="34"/>
  <c r="A36" i="34"/>
  <c r="A35" i="34"/>
  <c r="A34" i="34"/>
  <c r="A33" i="34"/>
  <c r="A32" i="34"/>
  <c r="A31" i="34"/>
  <c r="A30" i="34"/>
  <c r="A29" i="34"/>
  <c r="A28" i="34"/>
  <c r="A26" i="34"/>
  <c r="A27" i="34"/>
  <c r="A25" i="34"/>
  <c r="A24" i="34"/>
  <c r="A23" i="34"/>
  <c r="A22" i="34"/>
  <c r="A21" i="34"/>
  <c r="A19" i="34"/>
  <c r="A18" i="34"/>
  <c r="A17" i="34"/>
  <c r="A14" i="34"/>
  <c r="A13" i="34"/>
  <c r="T12" i="34"/>
  <c r="A12" i="34" s="1"/>
  <c r="T10" i="34"/>
  <c r="A10" i="34" s="1"/>
  <c r="T8" i="34"/>
  <c r="A8" i="34" s="1"/>
  <c r="A6" i="34"/>
  <c r="A4" i="34"/>
  <c r="A3" i="34"/>
  <c r="A2" i="34"/>
  <c r="A1" i="34"/>
  <c r="AN37" i="27"/>
  <c r="AN36" i="27"/>
  <c r="AN35" i="27"/>
  <c r="AN33" i="27"/>
  <c r="AN32" i="27"/>
  <c r="AN30" i="27"/>
  <c r="AN29" i="27"/>
  <c r="AN28" i="27"/>
  <c r="AN27" i="27"/>
  <c r="AN26" i="27"/>
  <c r="AN24" i="27"/>
  <c r="AN23" i="27"/>
  <c r="AN22" i="27"/>
  <c r="AN21" i="27"/>
  <c r="AN20" i="27"/>
  <c r="AN19" i="27"/>
  <c r="AN18" i="27"/>
  <c r="AN17" i="27"/>
  <c r="AN16" i="27"/>
  <c r="AN15" i="27"/>
  <c r="AN14" i="27"/>
  <c r="AN13" i="27"/>
  <c r="AN12" i="27"/>
  <c r="AN10" i="27"/>
  <c r="AN9" i="27"/>
  <c r="AN8" i="27"/>
  <c r="AN7" i="27"/>
  <c r="AN6" i="27"/>
  <c r="AN5" i="27"/>
  <c r="AN4" i="27"/>
  <c r="AJ37" i="27"/>
  <c r="AJ36" i="27"/>
  <c r="AJ35" i="27"/>
  <c r="AJ33" i="27"/>
  <c r="AJ32" i="27"/>
  <c r="AJ30" i="27"/>
  <c r="AJ29" i="27"/>
  <c r="AJ28" i="27"/>
  <c r="AJ27" i="27"/>
  <c r="AJ26" i="27"/>
  <c r="AJ24" i="27"/>
  <c r="AJ23" i="27"/>
  <c r="AJ22" i="27"/>
  <c r="AJ21" i="27"/>
  <c r="AJ20" i="27"/>
  <c r="AJ19" i="27"/>
  <c r="AJ18" i="27"/>
  <c r="AJ17" i="27"/>
  <c r="AJ16" i="27"/>
  <c r="AJ15" i="27"/>
  <c r="AJ14" i="27"/>
  <c r="AJ13" i="27"/>
  <c r="AJ12" i="27"/>
  <c r="AJ10" i="27"/>
  <c r="AJ9" i="27"/>
  <c r="AJ8" i="27"/>
  <c r="AJ7" i="27"/>
  <c r="AJ6" i="27"/>
  <c r="AJ5" i="27"/>
  <c r="AJ4" i="27"/>
  <c r="AF37" i="27"/>
  <c r="AF36" i="27"/>
  <c r="AF35" i="27"/>
  <c r="AF33" i="27"/>
  <c r="AF32" i="27"/>
  <c r="AF30" i="27"/>
  <c r="AF29" i="27"/>
  <c r="AF28" i="27"/>
  <c r="AF27" i="27"/>
  <c r="AF26" i="27"/>
  <c r="AF24" i="27"/>
  <c r="AF23" i="27"/>
  <c r="AF22" i="27"/>
  <c r="AF21" i="27"/>
  <c r="AF20" i="27"/>
  <c r="AF19" i="27"/>
  <c r="AF18" i="27"/>
  <c r="AF17" i="27"/>
  <c r="AF16" i="27"/>
  <c r="AF15" i="27"/>
  <c r="AF14" i="27"/>
  <c r="AF13" i="27"/>
  <c r="AF12" i="27"/>
  <c r="AF10" i="27"/>
  <c r="AF9" i="27"/>
  <c r="AF8" i="27"/>
  <c r="AF7" i="27"/>
  <c r="AF6" i="27"/>
  <c r="AF5" i="27"/>
  <c r="AF4" i="27"/>
  <c r="AB37" i="27"/>
  <c r="AB36" i="27"/>
  <c r="AB35" i="27"/>
  <c r="AB33" i="27"/>
  <c r="AB32" i="27"/>
  <c r="AB30" i="27"/>
  <c r="AB29" i="27"/>
  <c r="AB28" i="27"/>
  <c r="AB27" i="27"/>
  <c r="AB26" i="27"/>
  <c r="AB24" i="27"/>
  <c r="AB23" i="27"/>
  <c r="AB22" i="27"/>
  <c r="AB21" i="27"/>
  <c r="AB20" i="27"/>
  <c r="AB19" i="27"/>
  <c r="AB18" i="27"/>
  <c r="AB17" i="27"/>
  <c r="AB16" i="27"/>
  <c r="AB15" i="27"/>
  <c r="AB14" i="27"/>
  <c r="AB13" i="27"/>
  <c r="AB12" i="27"/>
  <c r="AB10" i="27"/>
  <c r="AB9" i="27"/>
  <c r="AB8" i="27"/>
  <c r="AB7" i="27"/>
  <c r="AB6" i="27"/>
  <c r="AB5" i="27"/>
  <c r="AB4" i="27"/>
  <c r="X37" i="27"/>
  <c r="X36" i="27"/>
  <c r="X35" i="27"/>
  <c r="X33" i="27"/>
  <c r="X32" i="27"/>
  <c r="X30" i="27"/>
  <c r="X29" i="27"/>
  <c r="X28" i="27"/>
  <c r="X27" i="27"/>
  <c r="X26" i="27"/>
  <c r="X24" i="27"/>
  <c r="X23" i="27"/>
  <c r="X22" i="27"/>
  <c r="X21" i="27"/>
  <c r="X20" i="27"/>
  <c r="X19" i="27"/>
  <c r="X18" i="27"/>
  <c r="X17" i="27"/>
  <c r="X16" i="27"/>
  <c r="X15" i="27"/>
  <c r="X14" i="27"/>
  <c r="X13" i="27"/>
  <c r="X12" i="27"/>
  <c r="X10" i="27"/>
  <c r="X9" i="27"/>
  <c r="X8" i="27"/>
  <c r="X7" i="27"/>
  <c r="X6" i="27"/>
  <c r="X5" i="27"/>
  <c r="X4" i="27"/>
  <c r="T37" i="27"/>
  <c r="T36" i="27"/>
  <c r="T35" i="27"/>
  <c r="T33" i="27"/>
  <c r="T32" i="27"/>
  <c r="T30" i="27"/>
  <c r="T29" i="27"/>
  <c r="T28" i="27"/>
  <c r="T27" i="27"/>
  <c r="T26" i="27"/>
  <c r="T24" i="27"/>
  <c r="T23" i="27"/>
  <c r="T22" i="27"/>
  <c r="T21" i="27"/>
  <c r="T20" i="27"/>
  <c r="T19" i="27"/>
  <c r="T18" i="27"/>
  <c r="T17" i="27"/>
  <c r="T16" i="27"/>
  <c r="T15" i="27"/>
  <c r="T14" i="27"/>
  <c r="T13" i="27"/>
  <c r="T12" i="27"/>
  <c r="T10" i="27"/>
  <c r="T9" i="27"/>
  <c r="T8" i="27"/>
  <c r="T7" i="27"/>
  <c r="T6" i="27"/>
  <c r="T5" i="27"/>
  <c r="T4" i="27"/>
  <c r="P37" i="27"/>
  <c r="P36" i="27"/>
  <c r="P35" i="27"/>
  <c r="P33" i="27"/>
  <c r="P32" i="27"/>
  <c r="P30" i="27"/>
  <c r="P29" i="27"/>
  <c r="P28" i="27"/>
  <c r="P27" i="27"/>
  <c r="P26" i="27"/>
  <c r="P24" i="27"/>
  <c r="P23" i="27"/>
  <c r="P22" i="27"/>
  <c r="P21" i="27"/>
  <c r="P20" i="27"/>
  <c r="P19" i="27"/>
  <c r="P18" i="27"/>
  <c r="P17" i="27"/>
  <c r="P16" i="27"/>
  <c r="P15" i="27"/>
  <c r="P14" i="27"/>
  <c r="P13" i="27"/>
  <c r="P12" i="27"/>
  <c r="P10" i="27"/>
  <c r="P9" i="27"/>
  <c r="P8" i="27"/>
  <c r="P7" i="27"/>
  <c r="P6" i="27"/>
  <c r="P5" i="27"/>
  <c r="P4" i="27"/>
  <c r="L37" i="27"/>
  <c r="L36" i="27"/>
  <c r="L35" i="27"/>
  <c r="L33" i="27"/>
  <c r="L32" i="27"/>
  <c r="L30" i="27"/>
  <c r="L29" i="27"/>
  <c r="L28" i="27"/>
  <c r="L27" i="27"/>
  <c r="L26" i="27"/>
  <c r="L24" i="27"/>
  <c r="L23" i="27"/>
  <c r="L22" i="27"/>
  <c r="L21" i="27"/>
  <c r="L20" i="27"/>
  <c r="L19" i="27"/>
  <c r="L18" i="27"/>
  <c r="L17" i="27"/>
  <c r="L16" i="27"/>
  <c r="L15" i="27"/>
  <c r="L14" i="27"/>
  <c r="L13" i="27"/>
  <c r="L12" i="27"/>
  <c r="L10" i="27"/>
  <c r="L9" i="27"/>
  <c r="L8" i="27"/>
  <c r="L7" i="27"/>
  <c r="L6" i="27"/>
  <c r="L5" i="27"/>
  <c r="L4" i="27"/>
  <c r="AL37" i="27"/>
  <c r="AL36" i="27"/>
  <c r="AL35" i="27"/>
  <c r="AL33" i="27"/>
  <c r="AL32" i="27"/>
  <c r="AL30" i="27"/>
  <c r="AL29" i="27"/>
  <c r="AL28" i="27"/>
  <c r="AL27" i="27"/>
  <c r="AL26" i="27"/>
  <c r="AL24" i="27"/>
  <c r="AL23" i="27"/>
  <c r="AL22" i="27"/>
  <c r="AL21" i="27"/>
  <c r="AL20" i="27"/>
  <c r="AL19" i="27"/>
  <c r="AL18" i="27"/>
  <c r="AL17" i="27"/>
  <c r="AL16" i="27"/>
  <c r="AL15" i="27"/>
  <c r="AL14" i="27"/>
  <c r="AL13" i="27"/>
  <c r="AL12" i="27"/>
  <c r="AL10" i="27"/>
  <c r="AL9" i="27"/>
  <c r="AL8" i="27"/>
  <c r="AL7" i="27"/>
  <c r="AL6" i="27"/>
  <c r="AL5" i="27"/>
  <c r="AL4" i="27"/>
  <c r="AH37" i="27"/>
  <c r="AH36" i="27"/>
  <c r="AH35" i="27"/>
  <c r="AH33" i="27"/>
  <c r="AH32" i="27"/>
  <c r="AH30" i="27"/>
  <c r="AH29" i="27"/>
  <c r="AH28" i="27"/>
  <c r="AH27" i="27"/>
  <c r="AH26" i="27"/>
  <c r="AH24" i="27"/>
  <c r="AH23" i="27"/>
  <c r="AH22" i="27"/>
  <c r="AH21" i="27"/>
  <c r="AH20" i="27"/>
  <c r="AH19" i="27"/>
  <c r="AH18" i="27"/>
  <c r="AH17" i="27"/>
  <c r="AH16" i="27"/>
  <c r="AH15" i="27"/>
  <c r="AH14" i="27"/>
  <c r="AH13" i="27"/>
  <c r="AH12" i="27"/>
  <c r="AH10" i="27"/>
  <c r="AH9" i="27"/>
  <c r="AH8" i="27"/>
  <c r="AH7" i="27"/>
  <c r="AH6" i="27"/>
  <c r="AH5" i="27"/>
  <c r="AH4" i="27"/>
  <c r="AD37" i="27"/>
  <c r="AD36" i="27"/>
  <c r="AD35" i="27"/>
  <c r="AD33" i="27"/>
  <c r="AD32" i="27"/>
  <c r="AD30" i="27"/>
  <c r="AD29" i="27"/>
  <c r="AD28" i="27"/>
  <c r="AD27" i="27"/>
  <c r="AD26" i="27"/>
  <c r="AD24" i="27"/>
  <c r="AD23" i="27"/>
  <c r="AD22" i="27"/>
  <c r="AD21" i="27"/>
  <c r="AD20" i="27"/>
  <c r="AD19" i="27"/>
  <c r="AD18" i="27"/>
  <c r="AD17" i="27"/>
  <c r="AD16" i="27"/>
  <c r="AD15" i="27"/>
  <c r="AD14" i="27"/>
  <c r="AD13" i="27"/>
  <c r="AD12" i="27"/>
  <c r="AD10" i="27"/>
  <c r="AD9" i="27"/>
  <c r="AD8" i="27"/>
  <c r="AD7" i="27"/>
  <c r="AD6" i="27"/>
  <c r="AD5" i="27"/>
  <c r="AD4" i="27"/>
  <c r="Z37" i="27"/>
  <c r="Z36" i="27"/>
  <c r="Z35" i="27"/>
  <c r="Z33" i="27"/>
  <c r="Z32" i="27"/>
  <c r="Z30" i="27"/>
  <c r="Z29" i="27"/>
  <c r="Z28" i="27"/>
  <c r="Z27" i="27"/>
  <c r="Z26" i="27"/>
  <c r="Z24" i="27"/>
  <c r="Z23" i="27"/>
  <c r="Z22" i="27"/>
  <c r="Z21" i="27"/>
  <c r="Z20" i="27"/>
  <c r="Z19" i="27"/>
  <c r="Z18" i="27"/>
  <c r="Z17" i="27"/>
  <c r="Z16" i="27"/>
  <c r="Z15" i="27"/>
  <c r="Z14" i="27"/>
  <c r="Z13" i="27"/>
  <c r="Z12" i="27"/>
  <c r="Z10" i="27"/>
  <c r="Z9" i="27"/>
  <c r="Z8" i="27"/>
  <c r="Z7" i="27"/>
  <c r="Z6" i="27"/>
  <c r="Z5" i="27"/>
  <c r="Z4" i="27"/>
  <c r="V37" i="27"/>
  <c r="V36" i="27"/>
  <c r="V35" i="27"/>
  <c r="V33" i="27"/>
  <c r="V32" i="27"/>
  <c r="V30" i="27"/>
  <c r="V29" i="27"/>
  <c r="V28" i="27"/>
  <c r="V27" i="27"/>
  <c r="V26" i="27"/>
  <c r="V24" i="27"/>
  <c r="V23" i="27"/>
  <c r="V22" i="27"/>
  <c r="V21" i="27"/>
  <c r="V20" i="27"/>
  <c r="V19" i="27"/>
  <c r="V18" i="27"/>
  <c r="V17" i="27"/>
  <c r="V16" i="27"/>
  <c r="V15" i="27"/>
  <c r="V14" i="27"/>
  <c r="V13" i="27"/>
  <c r="V12" i="27"/>
  <c r="V10" i="27"/>
  <c r="V9" i="27"/>
  <c r="V8" i="27"/>
  <c r="V7" i="27"/>
  <c r="V6" i="27"/>
  <c r="V5" i="27"/>
  <c r="V4" i="27"/>
  <c r="R37" i="27"/>
  <c r="R36" i="27"/>
  <c r="R35" i="27"/>
  <c r="R33" i="27"/>
  <c r="R32" i="27"/>
  <c r="R30" i="27"/>
  <c r="R29" i="27"/>
  <c r="R28" i="27"/>
  <c r="R27" i="27"/>
  <c r="R26" i="27"/>
  <c r="R24" i="27"/>
  <c r="R23" i="27"/>
  <c r="R22" i="27"/>
  <c r="R21" i="27"/>
  <c r="R20" i="27"/>
  <c r="R19" i="27"/>
  <c r="R18" i="27"/>
  <c r="R17" i="27"/>
  <c r="R16" i="27"/>
  <c r="R15" i="27"/>
  <c r="R14" i="27"/>
  <c r="R13" i="27"/>
  <c r="R12" i="27"/>
  <c r="R10" i="27"/>
  <c r="R9" i="27"/>
  <c r="R8" i="27"/>
  <c r="R7" i="27"/>
  <c r="R6" i="27"/>
  <c r="R5" i="27"/>
  <c r="R4" i="27"/>
  <c r="N37" i="27"/>
  <c r="N36" i="27"/>
  <c r="N35" i="27"/>
  <c r="N33" i="27"/>
  <c r="N32" i="27"/>
  <c r="N30" i="27"/>
  <c r="N29" i="27"/>
  <c r="N28" i="27"/>
  <c r="N27" i="27"/>
  <c r="N26" i="27"/>
  <c r="N24" i="27"/>
  <c r="N23" i="27"/>
  <c r="N22" i="27"/>
  <c r="N21" i="27"/>
  <c r="N20" i="27"/>
  <c r="N19" i="27"/>
  <c r="N18" i="27"/>
  <c r="N17" i="27"/>
  <c r="N16" i="27"/>
  <c r="N15" i="27"/>
  <c r="N14" i="27"/>
  <c r="N13" i="27"/>
  <c r="N12" i="27"/>
  <c r="N10" i="27"/>
  <c r="N9" i="27"/>
  <c r="N8" i="27"/>
  <c r="N7" i="27"/>
  <c r="N6" i="27"/>
  <c r="N5" i="27"/>
  <c r="N4" i="27"/>
  <c r="J37" i="27"/>
  <c r="J36" i="27"/>
  <c r="J35" i="27"/>
  <c r="J33" i="27"/>
  <c r="J32" i="27"/>
  <c r="J30" i="27"/>
  <c r="J29" i="27"/>
  <c r="J28" i="27"/>
  <c r="J27" i="27"/>
  <c r="J26" i="27"/>
  <c r="J24" i="27"/>
  <c r="J23" i="27"/>
  <c r="J22" i="27"/>
  <c r="J21" i="27"/>
  <c r="J20" i="27"/>
  <c r="J19" i="27"/>
  <c r="J18" i="27"/>
  <c r="J17" i="27"/>
  <c r="J16" i="27"/>
  <c r="J15" i="27"/>
  <c r="J14" i="27"/>
  <c r="J13" i="27"/>
  <c r="J12" i="27"/>
  <c r="J10" i="27"/>
  <c r="J9" i="27"/>
  <c r="J8" i="27"/>
  <c r="J7" i="27"/>
  <c r="J6" i="27"/>
  <c r="J5" i="27"/>
  <c r="J4" i="27"/>
  <c r="H5" i="27"/>
  <c r="H6" i="27"/>
  <c r="H7" i="27"/>
  <c r="H8" i="27"/>
  <c r="H9" i="27"/>
  <c r="H10" i="27"/>
  <c r="H12" i="27"/>
  <c r="H13" i="27"/>
  <c r="H14" i="27"/>
  <c r="H15" i="27"/>
  <c r="H16" i="27"/>
  <c r="H17" i="27"/>
  <c r="H18" i="27"/>
  <c r="H19" i="27"/>
  <c r="H20" i="27"/>
  <c r="H21" i="27"/>
  <c r="H22" i="27"/>
  <c r="H23" i="27"/>
  <c r="H24" i="27"/>
  <c r="H26" i="27"/>
  <c r="H27" i="27"/>
  <c r="H28" i="27"/>
  <c r="H29" i="27"/>
  <c r="H30" i="27"/>
  <c r="H32" i="27"/>
  <c r="H33" i="27"/>
  <c r="H35" i="27"/>
  <c r="H36" i="27"/>
  <c r="H37" i="27"/>
  <c r="H4" i="27"/>
  <c r="F5" i="27"/>
  <c r="F6" i="27"/>
  <c r="F7" i="27"/>
  <c r="F8" i="27"/>
  <c r="F9" i="27"/>
  <c r="F10" i="27"/>
  <c r="F12" i="27"/>
  <c r="F13" i="27"/>
  <c r="F14" i="27"/>
  <c r="F15" i="27"/>
  <c r="F16" i="27"/>
  <c r="F17" i="27"/>
  <c r="F18" i="27"/>
  <c r="F19" i="27"/>
  <c r="F20" i="27"/>
  <c r="F21" i="27"/>
  <c r="F22" i="27"/>
  <c r="F23" i="27"/>
  <c r="F24" i="27"/>
  <c r="F26" i="27"/>
  <c r="F27" i="27"/>
  <c r="F28" i="27"/>
  <c r="F29" i="27"/>
  <c r="F30" i="27"/>
  <c r="F32" i="27"/>
  <c r="F33" i="27"/>
  <c r="F35" i="27"/>
  <c r="F36" i="27"/>
  <c r="F37" i="27"/>
  <c r="F4" i="27"/>
  <c r="A64" i="40" l="1"/>
  <c r="F64" i="39"/>
  <c r="A63" i="39"/>
  <c r="A65" i="38"/>
  <c r="F66" i="38"/>
  <c r="A64" i="37"/>
  <c r="F65" i="37"/>
  <c r="A64" i="36"/>
  <c r="F65" i="36"/>
  <c r="A80" i="35"/>
  <c r="F81" i="35"/>
  <c r="A138" i="34"/>
  <c r="A140" i="34"/>
  <c r="A162" i="34"/>
  <c r="A179" i="34"/>
  <c r="A106" i="34"/>
  <c r="H108" i="34"/>
  <c r="A107" i="34"/>
  <c r="A124" i="34"/>
  <c r="A137" i="34"/>
  <c r="A141" i="34"/>
  <c r="A159" i="34"/>
  <c r="A172" i="34"/>
  <c r="A174" i="34"/>
  <c r="A134" i="34"/>
  <c r="A143" i="34"/>
  <c r="A149" i="34"/>
  <c r="A155" i="34"/>
  <c r="A135" i="34"/>
  <c r="A152" i="34"/>
  <c r="A169" i="34"/>
  <c r="A171" i="34"/>
  <c r="A175" i="34"/>
  <c r="A158" i="34"/>
  <c r="A168" i="34"/>
  <c r="A178" i="34"/>
  <c r="A180" i="34"/>
  <c r="A184" i="34"/>
  <c r="A133" i="34"/>
  <c r="A144" i="34"/>
  <c r="A151" i="34"/>
  <c r="A153" i="34"/>
  <c r="A157" i="34"/>
  <c r="A163" i="34"/>
  <c r="A167" i="34"/>
  <c r="A173" i="34"/>
  <c r="A177" i="34"/>
  <c r="A189" i="34"/>
  <c r="A139" i="34"/>
  <c r="A146" i="34"/>
  <c r="A150" i="34"/>
  <c r="A181" i="34"/>
  <c r="A183" i="34"/>
  <c r="A185" i="34"/>
  <c r="A187" i="34"/>
  <c r="A164" i="34"/>
  <c r="J75" i="34"/>
  <c r="J76" i="34" s="1"/>
  <c r="J77" i="34" s="1"/>
  <c r="J78" i="34" s="1"/>
  <c r="J79" i="34" s="1"/>
  <c r="J80" i="34" s="1"/>
  <c r="J81" i="34" s="1"/>
  <c r="J82" i="34" s="1"/>
  <c r="J83" i="34" s="1"/>
  <c r="J84" i="34" s="1"/>
  <c r="J92" i="34"/>
  <c r="J93" i="34" s="1"/>
  <c r="J94" i="34" s="1"/>
  <c r="J95" i="34" s="1"/>
  <c r="J96" i="34" s="1"/>
  <c r="J97" i="34" s="1"/>
  <c r="J98" i="34" s="1"/>
  <c r="L75" i="34"/>
  <c r="L76" i="34" s="1"/>
  <c r="L77" i="34" s="1"/>
  <c r="L78" i="34" s="1"/>
  <c r="L79" i="34" s="1"/>
  <c r="L80" i="34" s="1"/>
  <c r="L81" i="34" s="1"/>
  <c r="L82" i="34" s="1"/>
  <c r="L83" i="34" s="1"/>
  <c r="L84" i="34" s="1"/>
  <c r="N75" i="34"/>
  <c r="N76" i="34" s="1"/>
  <c r="N77" i="34" s="1"/>
  <c r="N78" i="34" s="1"/>
  <c r="N79" i="34" s="1"/>
  <c r="N80" i="34" s="1"/>
  <c r="N81" i="34" s="1"/>
  <c r="N82" i="34" s="1"/>
  <c r="N83" i="34" s="1"/>
  <c r="N84" i="34" s="1"/>
  <c r="A132" i="34"/>
  <c r="L92" i="34"/>
  <c r="L93" i="34" s="1"/>
  <c r="L94" i="34" s="1"/>
  <c r="L95" i="34" s="1"/>
  <c r="L96" i="34" s="1"/>
  <c r="L97" i="34" s="1"/>
  <c r="L98" i="34" s="1"/>
  <c r="A116" i="34"/>
  <c r="H117" i="34"/>
  <c r="A125" i="34"/>
  <c r="H126" i="34"/>
  <c r="H75" i="34"/>
  <c r="A74" i="34"/>
  <c r="P75" i="34"/>
  <c r="P76" i="34" s="1"/>
  <c r="P77" i="34" s="1"/>
  <c r="P78" i="34" s="1"/>
  <c r="P79" i="34" s="1"/>
  <c r="P80" i="34" s="1"/>
  <c r="P81" i="34" s="1"/>
  <c r="P82" i="34" s="1"/>
  <c r="P83" i="34" s="1"/>
  <c r="P84" i="34" s="1"/>
  <c r="A91" i="34"/>
  <c r="A115" i="34"/>
  <c r="F41" i="34"/>
  <c r="H92" i="34"/>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36" i="1"/>
  <c r="G129" i="33"/>
  <c r="G130" i="33"/>
  <c r="G131" i="33"/>
  <c r="G132" i="33"/>
  <c r="G133" i="33"/>
  <c r="G134" i="33"/>
  <c r="G135" i="33"/>
  <c r="G136" i="33"/>
  <c r="G137" i="33"/>
  <c r="G138" i="33"/>
  <c r="G139" i="33"/>
  <c r="A139" i="33" s="1"/>
  <c r="G140" i="33"/>
  <c r="G141" i="33"/>
  <c r="G142" i="33"/>
  <c r="G143" i="33"/>
  <c r="G144" i="33"/>
  <c r="A144" i="33" s="1"/>
  <c r="G145" i="33"/>
  <c r="G146" i="33"/>
  <c r="G147" i="33"/>
  <c r="G148" i="33"/>
  <c r="G149" i="33"/>
  <c r="G150" i="33"/>
  <c r="G151" i="33"/>
  <c r="A151" i="33" s="1"/>
  <c r="G152" i="33"/>
  <c r="G153" i="33"/>
  <c r="G154" i="33"/>
  <c r="G155" i="33"/>
  <c r="G156" i="33"/>
  <c r="A156" i="33" s="1"/>
  <c r="G157" i="33"/>
  <c r="G158" i="33"/>
  <c r="G159" i="33"/>
  <c r="A159" i="33" s="1"/>
  <c r="G160" i="33"/>
  <c r="G161" i="33"/>
  <c r="G162" i="33"/>
  <c r="G163" i="33"/>
  <c r="A163" i="33" s="1"/>
  <c r="G164" i="33"/>
  <c r="G165" i="33"/>
  <c r="G166" i="33"/>
  <c r="G167" i="33"/>
  <c r="G168" i="33"/>
  <c r="G169" i="33"/>
  <c r="G170" i="33"/>
  <c r="G171" i="33"/>
  <c r="A171" i="33" s="1"/>
  <c r="G172" i="33"/>
  <c r="A172" i="33" s="1"/>
  <c r="G173" i="33"/>
  <c r="G174" i="33"/>
  <c r="G175" i="33"/>
  <c r="G176" i="33"/>
  <c r="G177" i="33"/>
  <c r="G178" i="33"/>
  <c r="G179" i="33"/>
  <c r="A179" i="33" s="1"/>
  <c r="G180" i="33"/>
  <c r="G181" i="33"/>
  <c r="G182" i="33"/>
  <c r="A182" i="33" s="1"/>
  <c r="G183" i="33"/>
  <c r="A183" i="33" s="1"/>
  <c r="G184" i="33"/>
  <c r="A184" i="33" s="1"/>
  <c r="G185" i="33"/>
  <c r="G186" i="33"/>
  <c r="A186" i="33" s="1"/>
  <c r="G128" i="33"/>
  <c r="G99" i="17"/>
  <c r="H168" i="33"/>
  <c r="H136" i="33"/>
  <c r="H185" i="33"/>
  <c r="A185" i="33" s="1"/>
  <c r="H181" i="33"/>
  <c r="H180" i="33"/>
  <c r="H177" i="33"/>
  <c r="H176" i="33"/>
  <c r="H174" i="33"/>
  <c r="A174" i="33" s="1"/>
  <c r="H173" i="33"/>
  <c r="H170" i="33"/>
  <c r="A170" i="33" s="1"/>
  <c r="H169" i="33"/>
  <c r="A169" i="33"/>
  <c r="A166" i="33"/>
  <c r="H165" i="33"/>
  <c r="A165" i="33" s="1"/>
  <c r="H164" i="33"/>
  <c r="H161" i="33"/>
  <c r="H160" i="33"/>
  <c r="H158" i="33"/>
  <c r="H157" i="33"/>
  <c r="A157" i="33" s="1"/>
  <c r="H154" i="33"/>
  <c r="A154" i="33"/>
  <c r="H153" i="33"/>
  <c r="A153" i="33" s="1"/>
  <c r="H152" i="33"/>
  <c r="H149" i="33"/>
  <c r="A149" i="33"/>
  <c r="H148" i="33"/>
  <c r="H146" i="33"/>
  <c r="H145" i="33"/>
  <c r="A143" i="33"/>
  <c r="H142" i="33"/>
  <c r="A142" i="33" s="1"/>
  <c r="H141" i="33"/>
  <c r="A141" i="33" s="1"/>
  <c r="H140" i="33"/>
  <c r="A140" i="33" s="1"/>
  <c r="H137" i="33"/>
  <c r="A135" i="33"/>
  <c r="H134" i="33"/>
  <c r="H133" i="33"/>
  <c r="A132" i="33"/>
  <c r="A131" i="33"/>
  <c r="H130" i="33"/>
  <c r="H129" i="33"/>
  <c r="H128" i="33"/>
  <c r="A193" i="33"/>
  <c r="A192" i="33"/>
  <c r="A191" i="33"/>
  <c r="A190" i="33"/>
  <c r="A189" i="33"/>
  <c r="A188" i="33"/>
  <c r="A187" i="33"/>
  <c r="A178" i="33"/>
  <c r="A175" i="33"/>
  <c r="A173" i="33"/>
  <c r="A167" i="33"/>
  <c r="A162" i="33"/>
  <c r="A155" i="33"/>
  <c r="A150" i="33"/>
  <c r="A147" i="33"/>
  <c r="A145" i="33"/>
  <c r="A138" i="33"/>
  <c r="A127" i="33"/>
  <c r="A126" i="33"/>
  <c r="A125" i="33"/>
  <c r="A124" i="33"/>
  <c r="A123" i="33"/>
  <c r="H121" i="33"/>
  <c r="H120" i="33"/>
  <c r="A120" i="33"/>
  <c r="A119" i="33"/>
  <c r="A118" i="33"/>
  <c r="A117" i="33"/>
  <c r="R116" i="33"/>
  <c r="R11" i="33" s="1"/>
  <c r="A116" i="33"/>
  <c r="A115" i="33"/>
  <c r="A114" i="33"/>
  <c r="H111" i="33"/>
  <c r="H112" i="33" s="1"/>
  <c r="A112" i="33" s="1"/>
  <c r="A111" i="33"/>
  <c r="A110" i="33"/>
  <c r="A109" i="33"/>
  <c r="A108" i="33"/>
  <c r="R107" i="33"/>
  <c r="R9" i="33" s="1"/>
  <c r="A107" i="33"/>
  <c r="A106" i="33"/>
  <c r="A105" i="33"/>
  <c r="H102" i="33"/>
  <c r="H103" i="33" s="1"/>
  <c r="A103" i="33" s="1"/>
  <c r="A101" i="33"/>
  <c r="A100" i="33"/>
  <c r="A99" i="33"/>
  <c r="R98" i="33"/>
  <c r="R7" i="33" s="1"/>
  <c r="A98" i="33"/>
  <c r="A97" i="33"/>
  <c r="A96" i="33"/>
  <c r="A95" i="33"/>
  <c r="F94" i="33"/>
  <c r="F93" i="33"/>
  <c r="F92" i="33"/>
  <c r="F91" i="33"/>
  <c r="F90" i="33"/>
  <c r="L89" i="33"/>
  <c r="J89" i="33"/>
  <c r="H89" i="33"/>
  <c r="A88" i="33"/>
  <c r="A87" i="33"/>
  <c r="A86" i="33"/>
  <c r="A85" i="33"/>
  <c r="A84" i="33"/>
  <c r="A83" i="33"/>
  <c r="F82" i="33"/>
  <c r="F81" i="33"/>
  <c r="F80" i="33"/>
  <c r="F79" i="33"/>
  <c r="F78" i="33"/>
  <c r="F77" i="33"/>
  <c r="F76" i="33"/>
  <c r="F75" i="33"/>
  <c r="Q74" i="33"/>
  <c r="Q75" i="33" s="1"/>
  <c r="Q76" i="33" s="1"/>
  <c r="Q77" i="33" s="1"/>
  <c r="Q78" i="33" s="1"/>
  <c r="Q79" i="33" s="1"/>
  <c r="Q80" i="33" s="1"/>
  <c r="Q81" i="33" s="1"/>
  <c r="Q82" i="33" s="1"/>
  <c r="O74" i="33"/>
  <c r="O75" i="33" s="1"/>
  <c r="O76" i="33" s="1"/>
  <c r="O77" i="33" s="1"/>
  <c r="O78" i="33" s="1"/>
  <c r="O79" i="33" s="1"/>
  <c r="O80" i="33" s="1"/>
  <c r="O81" i="33" s="1"/>
  <c r="O82" i="33" s="1"/>
  <c r="M74" i="33"/>
  <c r="M75" i="33" s="1"/>
  <c r="M76" i="33" s="1"/>
  <c r="M77" i="33" s="1"/>
  <c r="M78" i="33" s="1"/>
  <c r="M79" i="33" s="1"/>
  <c r="M80" i="33" s="1"/>
  <c r="M81" i="33" s="1"/>
  <c r="M82" i="33" s="1"/>
  <c r="K74" i="33"/>
  <c r="K75" i="33" s="1"/>
  <c r="K76" i="33" s="1"/>
  <c r="K77" i="33" s="1"/>
  <c r="K78" i="33" s="1"/>
  <c r="K79" i="33" s="1"/>
  <c r="K80" i="33" s="1"/>
  <c r="K81" i="33" s="1"/>
  <c r="K82" i="33" s="1"/>
  <c r="I74" i="33"/>
  <c r="I75" i="33" s="1"/>
  <c r="I76" i="33" s="1"/>
  <c r="I77" i="33" s="1"/>
  <c r="I78" i="33" s="1"/>
  <c r="I79" i="33" s="1"/>
  <c r="I80" i="33" s="1"/>
  <c r="I81" i="33" s="1"/>
  <c r="I82" i="33" s="1"/>
  <c r="F74" i="33"/>
  <c r="P73" i="33"/>
  <c r="N73" i="33"/>
  <c r="L73" i="33"/>
  <c r="J73" i="33"/>
  <c r="H73" i="33"/>
  <c r="A72" i="33"/>
  <c r="A71" i="33"/>
  <c r="A70" i="33"/>
  <c r="A69" i="33"/>
  <c r="A68" i="33"/>
  <c r="F39" i="33"/>
  <c r="A39" i="33" s="1"/>
  <c r="A38" i="33"/>
  <c r="A37" i="33"/>
  <c r="A36" i="33"/>
  <c r="A35" i="33"/>
  <c r="A34" i="33"/>
  <c r="A33" i="33"/>
  <c r="A32" i="33"/>
  <c r="A31" i="33"/>
  <c r="A30" i="33"/>
  <c r="A29" i="33"/>
  <c r="A28" i="33"/>
  <c r="A27" i="33"/>
  <c r="A26" i="33"/>
  <c r="A25" i="33"/>
  <c r="A24" i="33"/>
  <c r="A23" i="33"/>
  <c r="A22" i="33"/>
  <c r="A21" i="33"/>
  <c r="A20" i="33"/>
  <c r="A19" i="33"/>
  <c r="A18" i="33"/>
  <c r="A17" i="33"/>
  <c r="A14" i="33"/>
  <c r="A13" i="33"/>
  <c r="T12" i="33"/>
  <c r="A12" i="33"/>
  <c r="T10" i="33"/>
  <c r="A10" i="33" s="1"/>
  <c r="T8" i="33"/>
  <c r="A8" i="33" s="1"/>
  <c r="A6" i="33"/>
  <c r="A4" i="33"/>
  <c r="A3" i="33"/>
  <c r="A2" i="33"/>
  <c r="A1" i="33"/>
  <c r="L91" i="1"/>
  <c r="T5" i="1" s="1"/>
  <c r="J91" i="1"/>
  <c r="H91" i="1"/>
  <c r="P5" i="1" s="1"/>
  <c r="P73" i="1"/>
  <c r="N5" i="1" s="1"/>
  <c r="N73" i="1"/>
  <c r="L5" i="1" s="1"/>
  <c r="L73" i="1"/>
  <c r="J73" i="1"/>
  <c r="H5" i="1" s="1"/>
  <c r="H73" i="1"/>
  <c r="F5" i="1" s="1"/>
  <c r="F39" i="1"/>
  <c r="H128" i="1"/>
  <c r="H129" i="1" s="1"/>
  <c r="H130" i="1" s="1"/>
  <c r="T11" i="1" s="1"/>
  <c r="H119" i="1"/>
  <c r="H120" i="1" s="1"/>
  <c r="H121" i="1" s="1"/>
  <c r="T9" i="1" s="1"/>
  <c r="H110" i="1"/>
  <c r="H111" i="1" s="1"/>
  <c r="H112" i="1" s="1"/>
  <c r="T7" i="1" s="1"/>
  <c r="A196" i="1"/>
  <c r="R124" i="1"/>
  <c r="R11" i="1" s="1"/>
  <c r="R115" i="1"/>
  <c r="R9" i="1" s="1"/>
  <c r="R106" i="1"/>
  <c r="R7" i="1" s="1"/>
  <c r="A106" i="1"/>
  <c r="A20" i="1"/>
  <c r="A21" i="1"/>
  <c r="A22" i="1"/>
  <c r="A23" i="1"/>
  <c r="A24" i="1"/>
  <c r="A25" i="1"/>
  <c r="A26" i="1"/>
  <c r="A27" i="1"/>
  <c r="A28" i="1"/>
  <c r="A29" i="1"/>
  <c r="A30" i="1"/>
  <c r="A31" i="1"/>
  <c r="A32" i="1"/>
  <c r="A33" i="1"/>
  <c r="T12" i="1"/>
  <c r="T10" i="1"/>
  <c r="A10" i="1" s="1"/>
  <c r="T8" i="1"/>
  <c r="A8" i="1" s="1"/>
  <c r="R5" i="1"/>
  <c r="J5" i="1"/>
  <c r="A19" i="1"/>
  <c r="A18" i="1"/>
  <c r="A17" i="1"/>
  <c r="A14" i="1"/>
  <c r="A13" i="1"/>
  <c r="A12" i="1"/>
  <c r="A6" i="1"/>
  <c r="A4" i="1"/>
  <c r="A3" i="1"/>
  <c r="A2" i="1"/>
  <c r="A1" i="1"/>
  <c r="D5" i="41" l="1"/>
  <c r="D16" i="1"/>
  <c r="A64" i="39"/>
  <c r="F65" i="39"/>
  <c r="A66" i="38"/>
  <c r="F67" i="38"/>
  <c r="F66" i="37"/>
  <c r="A65" i="37"/>
  <c r="A168" i="33"/>
  <c r="A164" i="33"/>
  <c r="F66" i="36"/>
  <c r="A65" i="36"/>
  <c r="A81" i="35"/>
  <c r="F82" i="35"/>
  <c r="A108" i="34"/>
  <c r="T7" i="34"/>
  <c r="A7" i="34" s="1"/>
  <c r="T5" i="34"/>
  <c r="R5" i="34"/>
  <c r="H5" i="34"/>
  <c r="L5" i="34"/>
  <c r="N5" i="34"/>
  <c r="J5" i="34"/>
  <c r="A75" i="34"/>
  <c r="H76" i="34"/>
  <c r="T9" i="34"/>
  <c r="A9" i="34" s="1"/>
  <c r="A117" i="34"/>
  <c r="H93" i="34"/>
  <c r="A92" i="34"/>
  <c r="F42" i="34"/>
  <c r="A41" i="34"/>
  <c r="T11" i="34"/>
  <c r="A11" i="34" s="1"/>
  <c r="A126" i="34"/>
  <c r="A176" i="33"/>
  <c r="A160" i="33"/>
  <c r="H104" i="33"/>
  <c r="A104" i="33" s="1"/>
  <c r="J90" i="33"/>
  <c r="J91" i="33" s="1"/>
  <c r="J92" i="33" s="1"/>
  <c r="J93" i="33" s="1"/>
  <c r="J94" i="33" s="1"/>
  <c r="A102" i="33"/>
  <c r="F40" i="33"/>
  <c r="A40" i="33" s="1"/>
  <c r="A133" i="33"/>
  <c r="A129" i="33"/>
  <c r="A134" i="33"/>
  <c r="A146" i="33"/>
  <c r="A177" i="33"/>
  <c r="A180" i="33"/>
  <c r="A152" i="33"/>
  <c r="A73" i="33"/>
  <c r="A89" i="33"/>
  <c r="A128" i="33"/>
  <c r="A130" i="33"/>
  <c r="A148" i="33"/>
  <c r="A158" i="33"/>
  <c r="A181" i="33"/>
  <c r="T7" i="33"/>
  <c r="A7" i="33" s="1"/>
  <c r="H74" i="33"/>
  <c r="H75" i="33" s="1"/>
  <c r="H76" i="33" s="1"/>
  <c r="A137" i="33"/>
  <c r="A161" i="33"/>
  <c r="A136" i="33"/>
  <c r="H90" i="33"/>
  <c r="H91" i="33" s="1"/>
  <c r="J74" i="33"/>
  <c r="J75" i="33" s="1"/>
  <c r="J76" i="33" s="1"/>
  <c r="J77" i="33" s="1"/>
  <c r="J78" i="33" s="1"/>
  <c r="J79" i="33" s="1"/>
  <c r="J80" i="33" s="1"/>
  <c r="J81" i="33" s="1"/>
  <c r="J82" i="33" s="1"/>
  <c r="N74" i="33"/>
  <c r="N75" i="33" s="1"/>
  <c r="N76" i="33" s="1"/>
  <c r="N77" i="33" s="1"/>
  <c r="N78" i="33" s="1"/>
  <c r="N79" i="33" s="1"/>
  <c r="N80" i="33" s="1"/>
  <c r="N81" i="33" s="1"/>
  <c r="N82" i="33" s="1"/>
  <c r="P74" i="33"/>
  <c r="P75" i="33" s="1"/>
  <c r="P76" i="33" s="1"/>
  <c r="P77" i="33" s="1"/>
  <c r="P78" i="33" s="1"/>
  <c r="P79" i="33" s="1"/>
  <c r="P80" i="33" s="1"/>
  <c r="P81" i="33" s="1"/>
  <c r="P82" i="33" s="1"/>
  <c r="L74" i="33"/>
  <c r="L75" i="33" s="1"/>
  <c r="L76" i="33" s="1"/>
  <c r="L77" i="33" s="1"/>
  <c r="L78" i="33" s="1"/>
  <c r="L79" i="33" s="1"/>
  <c r="L80" i="33" s="1"/>
  <c r="L81" i="33" s="1"/>
  <c r="L82" i="33" s="1"/>
  <c r="J5" i="33" s="1"/>
  <c r="L90" i="33"/>
  <c r="L91" i="33" s="1"/>
  <c r="L92" i="33" s="1"/>
  <c r="L93" i="33" s="1"/>
  <c r="L94" i="33" s="1"/>
  <c r="A121" i="33"/>
  <c r="H122" i="33"/>
  <c r="H113" i="33"/>
  <c r="A11" i="1"/>
  <c r="A9" i="1"/>
  <c r="A7" i="1"/>
  <c r="F9" i="4"/>
  <c r="AQ37" i="27"/>
  <c r="AQ36" i="27"/>
  <c r="AQ35" i="27"/>
  <c r="AQ33" i="27"/>
  <c r="AQ32" i="27"/>
  <c r="AQ30" i="27"/>
  <c r="AQ29" i="27"/>
  <c r="AQ28" i="27"/>
  <c r="AQ27" i="27"/>
  <c r="AQ26" i="27"/>
  <c r="AQ24" i="27"/>
  <c r="AQ23" i="27"/>
  <c r="AQ22" i="27"/>
  <c r="AQ21" i="27"/>
  <c r="AQ20" i="27"/>
  <c r="AQ19" i="27"/>
  <c r="AQ18" i="27"/>
  <c r="AQ17" i="27"/>
  <c r="AQ16" i="27"/>
  <c r="AQ15" i="27"/>
  <c r="AQ14" i="27"/>
  <c r="AQ13" i="27"/>
  <c r="AQ12" i="27"/>
  <c r="AQ10" i="27"/>
  <c r="AQ9" i="27"/>
  <c r="AQ8" i="27"/>
  <c r="AQ7" i="27"/>
  <c r="AQ6" i="27"/>
  <c r="AQ5" i="27"/>
  <c r="AQ4" i="27"/>
  <c r="A164" i="24"/>
  <c r="A163" i="24"/>
  <c r="A162" i="24"/>
  <c r="A161" i="24"/>
  <c r="A160" i="24"/>
  <c r="A159" i="24"/>
  <c r="A158" i="24"/>
  <c r="G157" i="24"/>
  <c r="A157" i="24" s="1"/>
  <c r="G156" i="24"/>
  <c r="A156" i="24"/>
  <c r="G155" i="24"/>
  <c r="A155" i="24" s="1"/>
  <c r="G154" i="24"/>
  <c r="A154" i="24"/>
  <c r="G153" i="24"/>
  <c r="A153" i="24" s="1"/>
  <c r="G152" i="24"/>
  <c r="A152" i="24"/>
  <c r="G151" i="24"/>
  <c r="A151" i="24" s="1"/>
  <c r="G150" i="24"/>
  <c r="A150" i="24" s="1"/>
  <c r="G149" i="24"/>
  <c r="A149" i="24" s="1"/>
  <c r="G148" i="24"/>
  <c r="A148" i="24"/>
  <c r="G147" i="24"/>
  <c r="A147" i="24" s="1"/>
  <c r="G146" i="24"/>
  <c r="A146" i="24" s="1"/>
  <c r="G145" i="24"/>
  <c r="A145" i="24" s="1"/>
  <c r="G144" i="24"/>
  <c r="A144" i="24"/>
  <c r="G143" i="24"/>
  <c r="A143" i="24" s="1"/>
  <c r="G142" i="24"/>
  <c r="A142" i="24" s="1"/>
  <c r="G141" i="24"/>
  <c r="A141" i="24" s="1"/>
  <c r="G140" i="24"/>
  <c r="A140" i="24"/>
  <c r="G139" i="24"/>
  <c r="A139" i="24" s="1"/>
  <c r="G138" i="24"/>
  <c r="A138" i="24" s="1"/>
  <c r="G137" i="24"/>
  <c r="A137" i="24" s="1"/>
  <c r="G136" i="24"/>
  <c r="A136" i="24"/>
  <c r="G135" i="24"/>
  <c r="A135" i="24" s="1"/>
  <c r="G134" i="24"/>
  <c r="A134" i="24" s="1"/>
  <c r="G133" i="24"/>
  <c r="A133" i="24" s="1"/>
  <c r="G132" i="24"/>
  <c r="A132" i="24"/>
  <c r="G131" i="24"/>
  <c r="A131" i="24" s="1"/>
  <c r="G130" i="24"/>
  <c r="A130" i="24" s="1"/>
  <c r="G129" i="24"/>
  <c r="A129" i="24" s="1"/>
  <c r="G128" i="24"/>
  <c r="A128" i="24"/>
  <c r="G127" i="24"/>
  <c r="A127" i="24" s="1"/>
  <c r="G126" i="24"/>
  <c r="A126" i="24" s="1"/>
  <c r="G125" i="24"/>
  <c r="A125" i="24" s="1"/>
  <c r="G124" i="24"/>
  <c r="A124" i="24"/>
  <c r="G123" i="24"/>
  <c r="A123" i="24" s="1"/>
  <c r="G122" i="24"/>
  <c r="A122" i="24" s="1"/>
  <c r="G121" i="24"/>
  <c r="A121" i="24" s="1"/>
  <c r="G120" i="24"/>
  <c r="A120" i="24"/>
  <c r="G119" i="24"/>
  <c r="A119" i="24" s="1"/>
  <c r="G118" i="24"/>
  <c r="A118" i="24" s="1"/>
  <c r="G117" i="24"/>
  <c r="A117" i="24" s="1"/>
  <c r="G116" i="24"/>
  <c r="A116" i="24"/>
  <c r="G115" i="24"/>
  <c r="A115" i="24" s="1"/>
  <c r="G114" i="24"/>
  <c r="A114" i="24" s="1"/>
  <c r="G113" i="24"/>
  <c r="A113" i="24" s="1"/>
  <c r="G112" i="24"/>
  <c r="A112" i="24"/>
  <c r="G111" i="24"/>
  <c r="A111" i="24" s="1"/>
  <c r="G110" i="24"/>
  <c r="A110" i="24" s="1"/>
  <c r="G109" i="24"/>
  <c r="A109" i="24" s="1"/>
  <c r="G108" i="24"/>
  <c r="A108" i="24"/>
  <c r="G107" i="24"/>
  <c r="A107" i="24" s="1"/>
  <c r="G106" i="24"/>
  <c r="A106" i="24" s="1"/>
  <c r="G105" i="24"/>
  <c r="A105" i="24" s="1"/>
  <c r="G104" i="24"/>
  <c r="A104" i="24" s="1"/>
  <c r="G103" i="24"/>
  <c r="A103" i="24" s="1"/>
  <c r="G102" i="24"/>
  <c r="A102" i="24" s="1"/>
  <c r="G101" i="24"/>
  <c r="A101" i="24" s="1"/>
  <c r="G100" i="24"/>
  <c r="A100" i="24" s="1"/>
  <c r="A99" i="24"/>
  <c r="A98" i="24"/>
  <c r="A97" i="24"/>
  <c r="A96" i="24"/>
  <c r="A95" i="24"/>
  <c r="A94" i="24"/>
  <c r="A93" i="24"/>
  <c r="A92" i="24"/>
  <c r="A91" i="24"/>
  <c r="A90" i="24"/>
  <c r="A89" i="24"/>
  <c r="A88" i="24"/>
  <c r="A87" i="24"/>
  <c r="A86" i="24"/>
  <c r="A85" i="24"/>
  <c r="A84" i="24"/>
  <c r="A83" i="24"/>
  <c r="A82" i="24"/>
  <c r="A81" i="24"/>
  <c r="A80" i="24"/>
  <c r="A79" i="24"/>
  <c r="A78" i="24"/>
  <c r="A77" i="24"/>
  <c r="A76" i="24"/>
  <c r="A75" i="24"/>
  <c r="T74" i="24"/>
  <c r="A74" i="24"/>
  <c r="T73" i="24"/>
  <c r="R73" i="24"/>
  <c r="A73" i="24"/>
  <c r="T72" i="24"/>
  <c r="A72" i="24"/>
  <c r="T71" i="24"/>
  <c r="R71" i="24"/>
  <c r="A71" i="24"/>
  <c r="T70" i="24"/>
  <c r="A70" i="24"/>
  <c r="T69" i="24"/>
  <c r="R69" i="24"/>
  <c r="A69" i="24"/>
  <c r="A68" i="24"/>
  <c r="A67" i="24"/>
  <c r="A66" i="24"/>
  <c r="F65" i="24"/>
  <c r="F64" i="24"/>
  <c r="F63" i="24"/>
  <c r="F62" i="24"/>
  <c r="F61" i="24"/>
  <c r="F60" i="24"/>
  <c r="F59" i="24"/>
  <c r="F58" i="24"/>
  <c r="F57" i="24"/>
  <c r="A56" i="24"/>
  <c r="A55" i="24"/>
  <c r="A54" i="24"/>
  <c r="A53" i="24"/>
  <c r="A52" i="24"/>
  <c r="A51" i="24"/>
  <c r="A50" i="24"/>
  <c r="F49" i="24"/>
  <c r="F48" i="24"/>
  <c r="F47" i="24"/>
  <c r="F46" i="24"/>
  <c r="F45" i="24"/>
  <c r="J44" i="24"/>
  <c r="J45" i="24" s="1"/>
  <c r="J46" i="24" s="1"/>
  <c r="J47" i="24" s="1"/>
  <c r="J48" i="24" s="1"/>
  <c r="J49" i="24" s="1"/>
  <c r="F44" i="24"/>
  <c r="Q43" i="24"/>
  <c r="Q44" i="24" s="1"/>
  <c r="Q45" i="24" s="1"/>
  <c r="Q46" i="24" s="1"/>
  <c r="Q47" i="24" s="1"/>
  <c r="Q48" i="24" s="1"/>
  <c r="Q49" i="24" s="1"/>
  <c r="P43" i="24"/>
  <c r="P44" i="24" s="1"/>
  <c r="P45" i="24" s="1"/>
  <c r="P46" i="24" s="1"/>
  <c r="P47" i="24" s="1"/>
  <c r="P48" i="24" s="1"/>
  <c r="P49" i="24" s="1"/>
  <c r="O43" i="24"/>
  <c r="O44" i="24" s="1"/>
  <c r="O45" i="24" s="1"/>
  <c r="O46" i="24" s="1"/>
  <c r="O47" i="24" s="1"/>
  <c r="O48" i="24" s="1"/>
  <c r="O49" i="24" s="1"/>
  <c r="N43" i="24"/>
  <c r="N44" i="24" s="1"/>
  <c r="N45" i="24" s="1"/>
  <c r="N46" i="24" s="1"/>
  <c r="N47" i="24" s="1"/>
  <c r="N48" i="24" s="1"/>
  <c r="N49" i="24" s="1"/>
  <c r="M43" i="24"/>
  <c r="M44" i="24" s="1"/>
  <c r="M45" i="24" s="1"/>
  <c r="M46" i="24" s="1"/>
  <c r="M47" i="24" s="1"/>
  <c r="M48" i="24" s="1"/>
  <c r="M49" i="24" s="1"/>
  <c r="L43" i="24"/>
  <c r="L44" i="24" s="1"/>
  <c r="L45" i="24" s="1"/>
  <c r="L46" i="24" s="1"/>
  <c r="L47" i="24" s="1"/>
  <c r="L48" i="24" s="1"/>
  <c r="L49" i="24" s="1"/>
  <c r="K43" i="24"/>
  <c r="K44" i="24" s="1"/>
  <c r="K45" i="24" s="1"/>
  <c r="K46" i="24" s="1"/>
  <c r="K47" i="24" s="1"/>
  <c r="K48" i="24" s="1"/>
  <c r="K49" i="24" s="1"/>
  <c r="J43" i="24"/>
  <c r="I43" i="24"/>
  <c r="I44" i="24" s="1"/>
  <c r="I45" i="24" s="1"/>
  <c r="I46" i="24" s="1"/>
  <c r="I47" i="24" s="1"/>
  <c r="I48" i="24" s="1"/>
  <c r="I49" i="24" s="1"/>
  <c r="H43" i="24"/>
  <c r="H44" i="24" s="1"/>
  <c r="F43" i="24"/>
  <c r="A43" i="24"/>
  <c r="A42" i="24"/>
  <c r="A41" i="24"/>
  <c r="A40" i="24"/>
  <c r="A39" i="24"/>
  <c r="A38" i="24"/>
  <c r="A37" i="24"/>
  <c r="F8" i="24"/>
  <c r="F9" i="24" s="1"/>
  <c r="A8" i="24"/>
  <c r="A7" i="24"/>
  <c r="A6" i="24"/>
  <c r="A5" i="24"/>
  <c r="A4" i="24"/>
  <c r="A3" i="24"/>
  <c r="A2" i="24"/>
  <c r="A1" i="24"/>
  <c r="A162" i="23"/>
  <c r="A161" i="23"/>
  <c r="A160" i="23"/>
  <c r="A159" i="23"/>
  <c r="A158" i="23"/>
  <c r="A157" i="23"/>
  <c r="A156" i="23"/>
  <c r="G155" i="23"/>
  <c r="A155" i="23"/>
  <c r="G154" i="23"/>
  <c r="A154" i="23"/>
  <c r="G153" i="23"/>
  <c r="A153" i="23"/>
  <c r="G152" i="23"/>
  <c r="A152" i="23"/>
  <c r="G151" i="23"/>
  <c r="A151" i="23"/>
  <c r="G150" i="23"/>
  <c r="A150" i="23"/>
  <c r="G149" i="23"/>
  <c r="A149" i="23"/>
  <c r="G148" i="23"/>
  <c r="A148" i="23"/>
  <c r="G147" i="23"/>
  <c r="A147" i="23"/>
  <c r="G146" i="23"/>
  <c r="A146" i="23"/>
  <c r="G145" i="23"/>
  <c r="A145" i="23"/>
  <c r="G144" i="23"/>
  <c r="A144" i="23"/>
  <c r="G143" i="23"/>
  <c r="A143" i="23"/>
  <c r="G142" i="23"/>
  <c r="A142" i="23"/>
  <c r="G141" i="23"/>
  <c r="A141" i="23"/>
  <c r="G140" i="23"/>
  <c r="A140" i="23"/>
  <c r="G139" i="23"/>
  <c r="A139" i="23"/>
  <c r="G138" i="23"/>
  <c r="A138" i="23"/>
  <c r="G137" i="23"/>
  <c r="A137" i="23"/>
  <c r="G136" i="23"/>
  <c r="A136" i="23"/>
  <c r="G135" i="23"/>
  <c r="A135" i="23"/>
  <c r="G134" i="23"/>
  <c r="A134" i="23"/>
  <c r="G133" i="23"/>
  <c r="A133" i="23"/>
  <c r="G132" i="23"/>
  <c r="A132" i="23"/>
  <c r="G131" i="23"/>
  <c r="A131" i="23"/>
  <c r="G130" i="23"/>
  <c r="A130" i="23"/>
  <c r="G129" i="23"/>
  <c r="A129" i="23"/>
  <c r="G128" i="23"/>
  <c r="A128" i="23"/>
  <c r="G127" i="23"/>
  <c r="A127" i="23"/>
  <c r="G126" i="23"/>
  <c r="A126" i="23"/>
  <c r="G125" i="23"/>
  <c r="A125" i="23"/>
  <c r="G124" i="23"/>
  <c r="A124" i="23"/>
  <c r="G123" i="23"/>
  <c r="A123" i="23"/>
  <c r="G122" i="23"/>
  <c r="A122" i="23"/>
  <c r="G121" i="23"/>
  <c r="A121" i="23"/>
  <c r="G120" i="23"/>
  <c r="A120" i="23"/>
  <c r="G119" i="23"/>
  <c r="A119" i="23"/>
  <c r="G118" i="23"/>
  <c r="A118" i="23"/>
  <c r="G117" i="23"/>
  <c r="A117" i="23"/>
  <c r="G116" i="23"/>
  <c r="A116" i="23"/>
  <c r="G115" i="23"/>
  <c r="A115" i="23"/>
  <c r="G114" i="23"/>
  <c r="A114" i="23"/>
  <c r="G113" i="23"/>
  <c r="A113" i="23"/>
  <c r="G112" i="23"/>
  <c r="A112" i="23"/>
  <c r="G111" i="23"/>
  <c r="A111" i="23"/>
  <c r="G110" i="23"/>
  <c r="A110" i="23"/>
  <c r="G109" i="23"/>
  <c r="A109" i="23"/>
  <c r="G108" i="23"/>
  <c r="A108" i="23"/>
  <c r="G107" i="23"/>
  <c r="A107" i="23"/>
  <c r="G106" i="23"/>
  <c r="A106" i="23"/>
  <c r="G105" i="23"/>
  <c r="A105" i="23"/>
  <c r="G104" i="23"/>
  <c r="A104" i="23"/>
  <c r="G103" i="23"/>
  <c r="A103" i="23"/>
  <c r="G102" i="23"/>
  <c r="A102" i="23"/>
  <c r="G101" i="23"/>
  <c r="A101" i="23"/>
  <c r="G100" i="23"/>
  <c r="A100" i="23"/>
  <c r="G99" i="23"/>
  <c r="A99" i="23"/>
  <c r="G98" i="23"/>
  <c r="A98" i="23"/>
  <c r="A97" i="23"/>
  <c r="A96" i="23"/>
  <c r="A95" i="23"/>
  <c r="A94" i="23"/>
  <c r="A93" i="23"/>
  <c r="A92" i="23"/>
  <c r="A91" i="23"/>
  <c r="A90" i="23"/>
  <c r="A89" i="23"/>
  <c r="A88" i="23"/>
  <c r="A87" i="23"/>
  <c r="A86" i="23"/>
  <c r="A85" i="23"/>
  <c r="A84" i="23"/>
  <c r="A83" i="23"/>
  <c r="A82" i="23"/>
  <c r="A81" i="23"/>
  <c r="A80" i="23"/>
  <c r="A79" i="23"/>
  <c r="A78" i="23"/>
  <c r="A77" i="23"/>
  <c r="A76" i="23"/>
  <c r="A75" i="23"/>
  <c r="A74" i="23"/>
  <c r="T73" i="23"/>
  <c r="A73" i="23"/>
  <c r="T72" i="23"/>
  <c r="R72" i="23"/>
  <c r="A72" i="23"/>
  <c r="T71" i="23"/>
  <c r="A71" i="23"/>
  <c r="T70" i="23"/>
  <c r="R70" i="23"/>
  <c r="A70" i="23"/>
  <c r="T69" i="23"/>
  <c r="A69" i="23"/>
  <c r="T68" i="23"/>
  <c r="R68" i="23"/>
  <c r="A68" i="23"/>
  <c r="A67" i="23"/>
  <c r="A66" i="23"/>
  <c r="A65" i="23"/>
  <c r="F64" i="23"/>
  <c r="F63" i="23"/>
  <c r="F62" i="23"/>
  <c r="F61" i="23"/>
  <c r="F60" i="23"/>
  <c r="F59" i="23"/>
  <c r="F58" i="23"/>
  <c r="A57" i="23"/>
  <c r="A56" i="23"/>
  <c r="A55" i="23"/>
  <c r="A54" i="23"/>
  <c r="A53" i="23"/>
  <c r="A52" i="23"/>
  <c r="A51" i="23"/>
  <c r="F50" i="23"/>
  <c r="F49" i="23"/>
  <c r="L48" i="23"/>
  <c r="L49" i="23" s="1"/>
  <c r="L50" i="23" s="1"/>
  <c r="F48" i="23"/>
  <c r="F47" i="23"/>
  <c r="P46" i="23"/>
  <c r="P47" i="23" s="1"/>
  <c r="P48" i="23" s="1"/>
  <c r="P49" i="23" s="1"/>
  <c r="P50" i="23" s="1"/>
  <c r="F46" i="23"/>
  <c r="F45" i="23"/>
  <c r="L44" i="23"/>
  <c r="L45" i="23" s="1"/>
  <c r="L46" i="23" s="1"/>
  <c r="L47" i="23" s="1"/>
  <c r="F44" i="23"/>
  <c r="Q43" i="23"/>
  <c r="Q44" i="23" s="1"/>
  <c r="Q45" i="23" s="1"/>
  <c r="Q46" i="23" s="1"/>
  <c r="Q47" i="23" s="1"/>
  <c r="Q48" i="23" s="1"/>
  <c r="Q49" i="23" s="1"/>
  <c r="Q50" i="23" s="1"/>
  <c r="P43" i="23"/>
  <c r="P44" i="23" s="1"/>
  <c r="P45" i="23" s="1"/>
  <c r="O43" i="23"/>
  <c r="O44" i="23" s="1"/>
  <c r="O45" i="23" s="1"/>
  <c r="O46" i="23" s="1"/>
  <c r="O47" i="23" s="1"/>
  <c r="O48" i="23" s="1"/>
  <c r="O49" i="23" s="1"/>
  <c r="O50" i="23" s="1"/>
  <c r="N43" i="23"/>
  <c r="N44" i="23" s="1"/>
  <c r="N45" i="23" s="1"/>
  <c r="N46" i="23" s="1"/>
  <c r="N47" i="23" s="1"/>
  <c r="N48" i="23" s="1"/>
  <c r="N49" i="23" s="1"/>
  <c r="N50" i="23" s="1"/>
  <c r="M43" i="23"/>
  <c r="M44" i="23" s="1"/>
  <c r="M45" i="23" s="1"/>
  <c r="M46" i="23" s="1"/>
  <c r="M47" i="23" s="1"/>
  <c r="M48" i="23" s="1"/>
  <c r="M49" i="23" s="1"/>
  <c r="M50" i="23" s="1"/>
  <c r="L43" i="23"/>
  <c r="K43" i="23"/>
  <c r="K44" i="23" s="1"/>
  <c r="K45" i="23" s="1"/>
  <c r="K46" i="23" s="1"/>
  <c r="K47" i="23" s="1"/>
  <c r="K48" i="23" s="1"/>
  <c r="K49" i="23" s="1"/>
  <c r="K50" i="23" s="1"/>
  <c r="J43" i="23"/>
  <c r="J44" i="23" s="1"/>
  <c r="J45" i="23" s="1"/>
  <c r="J46" i="23" s="1"/>
  <c r="J47" i="23" s="1"/>
  <c r="J48" i="23" s="1"/>
  <c r="J49" i="23" s="1"/>
  <c r="J50" i="23" s="1"/>
  <c r="I43" i="23"/>
  <c r="I44" i="23" s="1"/>
  <c r="I45" i="23" s="1"/>
  <c r="I46" i="23" s="1"/>
  <c r="I47" i="23" s="1"/>
  <c r="I48" i="23" s="1"/>
  <c r="I49" i="23" s="1"/>
  <c r="I50" i="23" s="1"/>
  <c r="H43" i="23"/>
  <c r="H44" i="23" s="1"/>
  <c r="H45" i="23" s="1"/>
  <c r="F43" i="23"/>
  <c r="A43" i="23"/>
  <c r="A42" i="23"/>
  <c r="A41" i="23"/>
  <c r="A40" i="23"/>
  <c r="A39" i="23"/>
  <c r="A38" i="23"/>
  <c r="A37" i="23"/>
  <c r="F11" i="23"/>
  <c r="A10" i="23"/>
  <c r="F9" i="23"/>
  <c r="F10" i="23" s="1"/>
  <c r="A9" i="23"/>
  <c r="F8" i="23"/>
  <c r="A8" i="23"/>
  <c r="A7" i="23"/>
  <c r="A6" i="23"/>
  <c r="A5" i="23"/>
  <c r="A4" i="23"/>
  <c r="A3" i="23"/>
  <c r="A2" i="23"/>
  <c r="A1" i="23"/>
  <c r="A163" i="22"/>
  <c r="A162" i="22"/>
  <c r="A161" i="22"/>
  <c r="A160" i="22"/>
  <c r="A159" i="22"/>
  <c r="A158" i="22"/>
  <c r="A157" i="22"/>
  <c r="A156" i="22"/>
  <c r="A155" i="22"/>
  <c r="A154" i="22"/>
  <c r="A153" i="22"/>
  <c r="A152" i="22"/>
  <c r="A151" i="22"/>
  <c r="A150" i="22"/>
  <c r="A149" i="22"/>
  <c r="A148" i="22"/>
  <c r="A147" i="22"/>
  <c r="A146" i="22"/>
  <c r="A145" i="22"/>
  <c r="A144" i="22"/>
  <c r="A143" i="22"/>
  <c r="A142" i="22"/>
  <c r="A141" i="22"/>
  <c r="A140" i="22"/>
  <c r="A139" i="22"/>
  <c r="A138" i="22"/>
  <c r="A137" i="22"/>
  <c r="A136" i="22"/>
  <c r="A135" i="22"/>
  <c r="A134" i="22"/>
  <c r="A133" i="22"/>
  <c r="A132" i="22"/>
  <c r="A131" i="22"/>
  <c r="A130" i="22"/>
  <c r="A129" i="22"/>
  <c r="A128" i="22"/>
  <c r="A127" i="22"/>
  <c r="A126" i="22"/>
  <c r="A125" i="22"/>
  <c r="A124" i="22"/>
  <c r="A123" i="22"/>
  <c r="A122" i="22"/>
  <c r="A121" i="22"/>
  <c r="A120" i="22"/>
  <c r="A119" i="22"/>
  <c r="A118" i="22"/>
  <c r="A117" i="22"/>
  <c r="A116" i="22"/>
  <c r="A115" i="22"/>
  <c r="A114" i="22"/>
  <c r="A113" i="22"/>
  <c r="A112" i="22"/>
  <c r="A111" i="22"/>
  <c r="A110" i="22"/>
  <c r="A109" i="22"/>
  <c r="A108" i="22"/>
  <c r="A107" i="22"/>
  <c r="A106" i="22"/>
  <c r="A105" i="22"/>
  <c r="A104" i="22"/>
  <c r="A103" i="22"/>
  <c r="A102" i="22"/>
  <c r="A101" i="22"/>
  <c r="A100" i="22"/>
  <c r="A99" i="22"/>
  <c r="A98" i="22"/>
  <c r="A97" i="22"/>
  <c r="A96" i="22"/>
  <c r="A95" i="22"/>
  <c r="A94" i="22"/>
  <c r="A93" i="22"/>
  <c r="A92" i="22"/>
  <c r="A91" i="22"/>
  <c r="A90" i="22"/>
  <c r="A89" i="22"/>
  <c r="A88" i="22"/>
  <c r="A87" i="22"/>
  <c r="A86" i="22"/>
  <c r="A85" i="22"/>
  <c r="A84" i="22"/>
  <c r="A83" i="22"/>
  <c r="A82" i="22"/>
  <c r="A81" i="22"/>
  <c r="A80" i="22"/>
  <c r="A79" i="22"/>
  <c r="A78" i="22"/>
  <c r="A77" i="22"/>
  <c r="A76" i="22"/>
  <c r="A75" i="22"/>
  <c r="T74" i="22"/>
  <c r="A74" i="22"/>
  <c r="T73" i="22"/>
  <c r="R73" i="22"/>
  <c r="A73" i="22"/>
  <c r="T72" i="22"/>
  <c r="A72" i="22"/>
  <c r="T71" i="22"/>
  <c r="R71" i="22"/>
  <c r="A71" i="22"/>
  <c r="T70" i="22"/>
  <c r="A70" i="22"/>
  <c r="T69" i="22"/>
  <c r="R69" i="22"/>
  <c r="A69" i="22"/>
  <c r="A68" i="22"/>
  <c r="A67" i="22"/>
  <c r="A66" i="22"/>
  <c r="A65" i="22"/>
  <c r="A64" i="22"/>
  <c r="A63" i="22"/>
  <c r="A62" i="22"/>
  <c r="A61" i="22"/>
  <c r="A60" i="22"/>
  <c r="A59" i="22"/>
  <c r="A58" i="22"/>
  <c r="A57" i="22"/>
  <c r="A56" i="22"/>
  <c r="A55" i="22"/>
  <c r="A54" i="22"/>
  <c r="A53" i="22"/>
  <c r="A52" i="22"/>
  <c r="A51" i="22"/>
  <c r="A50" i="22"/>
  <c r="A49" i="22"/>
  <c r="A48" i="22"/>
  <c r="A47" i="22"/>
  <c r="A46" i="22"/>
  <c r="A45" i="22"/>
  <c r="A44" i="22"/>
  <c r="A43" i="22"/>
  <c r="A42" i="22"/>
  <c r="A41" i="22"/>
  <c r="A40" i="22"/>
  <c r="A39" i="22"/>
  <c r="A38" i="22"/>
  <c r="A37" i="22"/>
  <c r="F10" i="22"/>
  <c r="F11" i="22" s="1"/>
  <c r="F12" i="22" s="1"/>
  <c r="F13" i="22" s="1"/>
  <c r="F14" i="22" s="1"/>
  <c r="F15" i="22" s="1"/>
  <c r="F16" i="22" s="1"/>
  <c r="F17" i="22" s="1"/>
  <c r="F18" i="22" s="1"/>
  <c r="F19" i="22" s="1"/>
  <c r="F20" i="22" s="1"/>
  <c r="F21" i="22" s="1"/>
  <c r="F22" i="22" s="1"/>
  <c r="F23" i="22" s="1"/>
  <c r="F24" i="22" s="1"/>
  <c r="F25" i="22" s="1"/>
  <c r="F26" i="22" s="1"/>
  <c r="F27" i="22" s="1"/>
  <c r="F28" i="22" s="1"/>
  <c r="F29" i="22" s="1"/>
  <c r="F30" i="22" s="1"/>
  <c r="F31" i="22" s="1"/>
  <c r="F32" i="22" s="1"/>
  <c r="F33" i="22" s="1"/>
  <c r="F34" i="22" s="1"/>
  <c r="F35" i="22" s="1"/>
  <c r="F36" i="22" s="1"/>
  <c r="D9" i="22"/>
  <c r="F8" i="22"/>
  <c r="F9" i="22" s="1"/>
  <c r="D8" i="22"/>
  <c r="A8" i="22"/>
  <c r="A7" i="22"/>
  <c r="A6" i="22"/>
  <c r="A5" i="22"/>
  <c r="A4" i="22"/>
  <c r="A3" i="22"/>
  <c r="A2" i="22"/>
  <c r="A1" i="22"/>
  <c r="A192" i="21"/>
  <c r="A191" i="21"/>
  <c r="A190" i="21"/>
  <c r="A189" i="21"/>
  <c r="A188" i="21"/>
  <c r="A187" i="21"/>
  <c r="A186" i="21"/>
  <c r="G185" i="21"/>
  <c r="A185" i="21"/>
  <c r="G184" i="21"/>
  <c r="A184" i="21"/>
  <c r="G183" i="21"/>
  <c r="A183" i="21"/>
  <c r="G182" i="21"/>
  <c r="A182" i="21"/>
  <c r="G181" i="21"/>
  <c r="A181" i="21"/>
  <c r="G180" i="21"/>
  <c r="A180" i="21"/>
  <c r="G179" i="21"/>
  <c r="A179" i="21"/>
  <c r="G178" i="21"/>
  <c r="A178" i="21"/>
  <c r="G177" i="21"/>
  <c r="A177" i="21"/>
  <c r="G176" i="21"/>
  <c r="A176" i="21"/>
  <c r="G175" i="21"/>
  <c r="A175" i="21"/>
  <c r="G174" i="21"/>
  <c r="A174" i="21"/>
  <c r="G173" i="21"/>
  <c r="A173" i="21"/>
  <c r="G172" i="21"/>
  <c r="A172" i="21"/>
  <c r="G171" i="21"/>
  <c r="A171" i="21"/>
  <c r="G170" i="21"/>
  <c r="A170" i="21"/>
  <c r="G169" i="21"/>
  <c r="A169" i="21"/>
  <c r="G168" i="21"/>
  <c r="A168" i="21"/>
  <c r="G167" i="21"/>
  <c r="A167" i="21"/>
  <c r="G166" i="21"/>
  <c r="A166" i="21"/>
  <c r="G165" i="21"/>
  <c r="A165" i="21"/>
  <c r="G164" i="21"/>
  <c r="A164" i="21"/>
  <c r="G163" i="21"/>
  <c r="A163" i="21"/>
  <c r="G162" i="21"/>
  <c r="A162" i="21"/>
  <c r="G161" i="21"/>
  <c r="A161" i="21"/>
  <c r="G160" i="21"/>
  <c r="A160" i="21"/>
  <c r="G159" i="21"/>
  <c r="A159" i="21"/>
  <c r="G158" i="21"/>
  <c r="A158" i="21"/>
  <c r="G157" i="21"/>
  <c r="A157" i="21"/>
  <c r="G156" i="21"/>
  <c r="A156" i="21"/>
  <c r="G155" i="21"/>
  <c r="A155" i="21"/>
  <c r="G154" i="21"/>
  <c r="A154" i="21"/>
  <c r="G153" i="21"/>
  <c r="A153" i="21"/>
  <c r="G152" i="21"/>
  <c r="A152" i="21"/>
  <c r="G151" i="21"/>
  <c r="A151" i="21"/>
  <c r="G150" i="21"/>
  <c r="A150" i="21"/>
  <c r="G149" i="21"/>
  <c r="A149" i="21"/>
  <c r="G148" i="21"/>
  <c r="A148" i="21"/>
  <c r="G147" i="21"/>
  <c r="A147" i="21"/>
  <c r="G146" i="21"/>
  <c r="A146" i="21"/>
  <c r="G145" i="21"/>
  <c r="A145" i="21"/>
  <c r="G144" i="21"/>
  <c r="A144" i="21"/>
  <c r="G143" i="21"/>
  <c r="A143" i="21"/>
  <c r="G142" i="21"/>
  <c r="A142" i="21"/>
  <c r="G141" i="21"/>
  <c r="A141" i="21"/>
  <c r="G140" i="21"/>
  <c r="A140" i="21"/>
  <c r="G139" i="21"/>
  <c r="A139" i="21"/>
  <c r="G138" i="21"/>
  <c r="A138" i="21"/>
  <c r="G137" i="21"/>
  <c r="A137" i="21"/>
  <c r="G136" i="21"/>
  <c r="A136" i="21"/>
  <c r="G135" i="21"/>
  <c r="A135" i="21"/>
  <c r="G134" i="21"/>
  <c r="A134" i="21"/>
  <c r="G133" i="21"/>
  <c r="A133" i="21"/>
  <c r="G132" i="21"/>
  <c r="A132" i="21"/>
  <c r="G131" i="21"/>
  <c r="A131" i="21"/>
  <c r="G130" i="21"/>
  <c r="A130" i="21"/>
  <c r="G129" i="21"/>
  <c r="A129" i="21"/>
  <c r="G128" i="21"/>
  <c r="A128" i="21"/>
  <c r="A127" i="21"/>
  <c r="A126" i="21"/>
  <c r="A125" i="21"/>
  <c r="A124" i="21"/>
  <c r="A123" i="21"/>
  <c r="A122" i="21"/>
  <c r="A121" i="21"/>
  <c r="A120" i="21"/>
  <c r="A119" i="21"/>
  <c r="A118" i="21"/>
  <c r="A117" i="21"/>
  <c r="A116" i="21"/>
  <c r="A115" i="21"/>
  <c r="A114" i="21"/>
  <c r="A113" i="21"/>
  <c r="A112" i="21"/>
  <c r="A111" i="21"/>
  <c r="A110" i="21"/>
  <c r="A109" i="21"/>
  <c r="A108" i="21"/>
  <c r="A107" i="21"/>
  <c r="A106" i="21"/>
  <c r="A105" i="21"/>
  <c r="A104" i="21"/>
  <c r="A103" i="21"/>
  <c r="A102" i="21"/>
  <c r="A101" i="21"/>
  <c r="A100" i="21"/>
  <c r="A99" i="21"/>
  <c r="A98" i="21"/>
  <c r="A97" i="21"/>
  <c r="A96" i="21"/>
  <c r="A95" i="21"/>
  <c r="A94" i="21"/>
  <c r="A93" i="21"/>
  <c r="A92" i="21"/>
  <c r="A91" i="21"/>
  <c r="A90" i="21"/>
  <c r="A89" i="21"/>
  <c r="A88" i="21"/>
  <c r="A87" i="21"/>
  <c r="A86" i="21"/>
  <c r="A85" i="21"/>
  <c r="A84" i="21"/>
  <c r="A83" i="21"/>
  <c r="A82" i="21"/>
  <c r="A81" i="21"/>
  <c r="A80" i="21"/>
  <c r="A79" i="21"/>
  <c r="A78" i="21"/>
  <c r="A77" i="21"/>
  <c r="A76" i="21"/>
  <c r="A75" i="21"/>
  <c r="T74" i="21"/>
  <c r="A74" i="21"/>
  <c r="T73" i="21"/>
  <c r="R73" i="21"/>
  <c r="A73" i="21"/>
  <c r="T72" i="21"/>
  <c r="A72" i="21"/>
  <c r="T71" i="21"/>
  <c r="R71" i="21"/>
  <c r="A71" i="21"/>
  <c r="T70" i="21"/>
  <c r="A70" i="21"/>
  <c r="T69" i="21"/>
  <c r="R69" i="21"/>
  <c r="A69" i="21"/>
  <c r="A68" i="21"/>
  <c r="A67" i="21"/>
  <c r="A66" i="21"/>
  <c r="F65" i="21"/>
  <c r="F64" i="21"/>
  <c r="F63" i="21"/>
  <c r="F62" i="21"/>
  <c r="F61" i="21"/>
  <c r="F60" i="21"/>
  <c r="L59" i="21"/>
  <c r="L60" i="21" s="1"/>
  <c r="L61" i="21" s="1"/>
  <c r="H59" i="21"/>
  <c r="H60" i="21" s="1"/>
  <c r="F59" i="21"/>
  <c r="J59" i="21" s="1"/>
  <c r="A59" i="21" s="1"/>
  <c r="A58" i="21"/>
  <c r="A57" i="21"/>
  <c r="A56" i="21"/>
  <c r="A55" i="21"/>
  <c r="A54" i="21"/>
  <c r="A53" i="21"/>
  <c r="A52" i="21"/>
  <c r="F51" i="21"/>
  <c r="F50" i="21"/>
  <c r="F49" i="21"/>
  <c r="F48" i="21"/>
  <c r="F47" i="21"/>
  <c r="F46" i="21"/>
  <c r="I45" i="21"/>
  <c r="I46" i="21" s="1"/>
  <c r="I47" i="21" s="1"/>
  <c r="I48" i="21" s="1"/>
  <c r="I49" i="21" s="1"/>
  <c r="I50" i="21" s="1"/>
  <c r="I51" i="21" s="1"/>
  <c r="F45" i="21"/>
  <c r="I44" i="21"/>
  <c r="F44" i="21"/>
  <c r="Q43" i="21"/>
  <c r="Q44" i="21" s="1"/>
  <c r="Q45" i="21" s="1"/>
  <c r="Q46" i="21" s="1"/>
  <c r="Q47" i="21" s="1"/>
  <c r="Q48" i="21" s="1"/>
  <c r="Q49" i="21" s="1"/>
  <c r="Q50" i="21" s="1"/>
  <c r="Q51" i="21" s="1"/>
  <c r="O43" i="21"/>
  <c r="O44" i="21" s="1"/>
  <c r="O45" i="21" s="1"/>
  <c r="O46" i="21" s="1"/>
  <c r="O47" i="21" s="1"/>
  <c r="O48" i="21" s="1"/>
  <c r="O49" i="21" s="1"/>
  <c r="O50" i="21" s="1"/>
  <c r="O51" i="21" s="1"/>
  <c r="M43" i="21"/>
  <c r="M44" i="21" s="1"/>
  <c r="M45" i="21" s="1"/>
  <c r="M46" i="21" s="1"/>
  <c r="M47" i="21" s="1"/>
  <c r="M48" i="21" s="1"/>
  <c r="M49" i="21" s="1"/>
  <c r="M50" i="21" s="1"/>
  <c r="M51" i="21" s="1"/>
  <c r="K43" i="21"/>
  <c r="K44" i="21" s="1"/>
  <c r="K45" i="21" s="1"/>
  <c r="K46" i="21" s="1"/>
  <c r="K47" i="21" s="1"/>
  <c r="K48" i="21" s="1"/>
  <c r="K49" i="21" s="1"/>
  <c r="K50" i="21" s="1"/>
  <c r="K51" i="21" s="1"/>
  <c r="I43" i="21"/>
  <c r="F43" i="21"/>
  <c r="P43" i="21" s="1"/>
  <c r="P44" i="21" s="1"/>
  <c r="P45" i="21" s="1"/>
  <c r="P46" i="21" s="1"/>
  <c r="P47" i="21" s="1"/>
  <c r="P48" i="21" s="1"/>
  <c r="P49" i="21" s="1"/>
  <c r="P50" i="21" s="1"/>
  <c r="P51" i="21" s="1"/>
  <c r="A42" i="21"/>
  <c r="A41" i="21"/>
  <c r="A40" i="21"/>
  <c r="A39" i="21"/>
  <c r="A38" i="21"/>
  <c r="A37" i="21"/>
  <c r="F10" i="21"/>
  <c r="F9" i="21"/>
  <c r="A9" i="21" s="1"/>
  <c r="F8" i="21"/>
  <c r="A8" i="21" s="1"/>
  <c r="A7" i="21"/>
  <c r="A6" i="21"/>
  <c r="A5" i="21"/>
  <c r="A4" i="21"/>
  <c r="A3" i="21"/>
  <c r="A2" i="21"/>
  <c r="A1" i="21"/>
  <c r="A183" i="20"/>
  <c r="A182" i="20"/>
  <c r="A181" i="20"/>
  <c r="A180" i="20"/>
  <c r="A179" i="20"/>
  <c r="A178" i="20"/>
  <c r="A177" i="20"/>
  <c r="G176" i="20"/>
  <c r="A176" i="20" s="1"/>
  <c r="G175" i="20"/>
  <c r="A175" i="20" s="1"/>
  <c r="G174" i="20"/>
  <c r="A174" i="20" s="1"/>
  <c r="G173" i="20"/>
  <c r="A173" i="20" s="1"/>
  <c r="G172" i="20"/>
  <c r="A172" i="20" s="1"/>
  <c r="G171" i="20"/>
  <c r="A171" i="20" s="1"/>
  <c r="G170" i="20"/>
  <c r="A170" i="20" s="1"/>
  <c r="G169" i="20"/>
  <c r="A169" i="20" s="1"/>
  <c r="G168" i="20"/>
  <c r="A168" i="20" s="1"/>
  <c r="G167" i="20"/>
  <c r="A167" i="20" s="1"/>
  <c r="G166" i="20"/>
  <c r="A166" i="20" s="1"/>
  <c r="G165" i="20"/>
  <c r="A165" i="20" s="1"/>
  <c r="G164" i="20"/>
  <c r="A164" i="20" s="1"/>
  <c r="G163" i="20"/>
  <c r="A163" i="20" s="1"/>
  <c r="G162" i="20"/>
  <c r="A162" i="20" s="1"/>
  <c r="G161" i="20"/>
  <c r="A161" i="20" s="1"/>
  <c r="G160" i="20"/>
  <c r="A160" i="20" s="1"/>
  <c r="G159" i="20"/>
  <c r="A159" i="20" s="1"/>
  <c r="G158" i="20"/>
  <c r="A158" i="20" s="1"/>
  <c r="G157" i="20"/>
  <c r="A157" i="20" s="1"/>
  <c r="G156" i="20"/>
  <c r="A156" i="20" s="1"/>
  <c r="G155" i="20"/>
  <c r="A155" i="20" s="1"/>
  <c r="G154" i="20"/>
  <c r="A154" i="20" s="1"/>
  <c r="G153" i="20"/>
  <c r="A153" i="20" s="1"/>
  <c r="G152" i="20"/>
  <c r="A152" i="20" s="1"/>
  <c r="G151" i="20"/>
  <c r="A151" i="20" s="1"/>
  <c r="G150" i="20"/>
  <c r="A150" i="20" s="1"/>
  <c r="G149" i="20"/>
  <c r="A149" i="20" s="1"/>
  <c r="G148" i="20"/>
  <c r="A148" i="20" s="1"/>
  <c r="G147" i="20"/>
  <c r="A147" i="20" s="1"/>
  <c r="G146" i="20"/>
  <c r="A146" i="20" s="1"/>
  <c r="G145" i="20"/>
  <c r="A145" i="20" s="1"/>
  <c r="G144" i="20"/>
  <c r="A144" i="20" s="1"/>
  <c r="G143" i="20"/>
  <c r="A143" i="20" s="1"/>
  <c r="G142" i="20"/>
  <c r="A142" i="20" s="1"/>
  <c r="G141" i="20"/>
  <c r="A141" i="20" s="1"/>
  <c r="G140" i="20"/>
  <c r="A140" i="20" s="1"/>
  <c r="G139" i="20"/>
  <c r="A139" i="20" s="1"/>
  <c r="G138" i="20"/>
  <c r="A138" i="20" s="1"/>
  <c r="G137" i="20"/>
  <c r="A137" i="20" s="1"/>
  <c r="G136" i="20"/>
  <c r="A136" i="20" s="1"/>
  <c r="G135" i="20"/>
  <c r="A135" i="20" s="1"/>
  <c r="G134" i="20"/>
  <c r="A134" i="20" s="1"/>
  <c r="G133" i="20"/>
  <c r="A133" i="20" s="1"/>
  <c r="G132" i="20"/>
  <c r="A132" i="20" s="1"/>
  <c r="G131" i="20"/>
  <c r="A131" i="20" s="1"/>
  <c r="G130" i="20"/>
  <c r="A130" i="20" s="1"/>
  <c r="G129" i="20"/>
  <c r="A129" i="20" s="1"/>
  <c r="G128" i="20"/>
  <c r="A128" i="20" s="1"/>
  <c r="G127" i="20"/>
  <c r="A127" i="20" s="1"/>
  <c r="G126" i="20"/>
  <c r="A126" i="20" s="1"/>
  <c r="G125" i="20"/>
  <c r="A125" i="20" s="1"/>
  <c r="G124" i="20"/>
  <c r="A124" i="20" s="1"/>
  <c r="G123" i="20"/>
  <c r="A123" i="20" s="1"/>
  <c r="G122" i="20"/>
  <c r="A122" i="20" s="1"/>
  <c r="G121" i="20"/>
  <c r="A121" i="20" s="1"/>
  <c r="G120" i="20"/>
  <c r="A120" i="20" s="1"/>
  <c r="G119" i="20"/>
  <c r="A119" i="20" s="1"/>
  <c r="A118" i="20"/>
  <c r="A117" i="20"/>
  <c r="A116" i="20"/>
  <c r="A115" i="20"/>
  <c r="A114" i="20"/>
  <c r="A113" i="20"/>
  <c r="A112" i="20"/>
  <c r="A111" i="20"/>
  <c r="A110" i="20"/>
  <c r="A109" i="20"/>
  <c r="A108" i="20"/>
  <c r="A107" i="20"/>
  <c r="A106" i="20"/>
  <c r="A105" i="20"/>
  <c r="A104" i="20"/>
  <c r="A103" i="20"/>
  <c r="A102" i="20"/>
  <c r="A101" i="20"/>
  <c r="A100" i="20"/>
  <c r="A99" i="20"/>
  <c r="A98" i="20"/>
  <c r="A97" i="20"/>
  <c r="A96" i="20"/>
  <c r="A95" i="20"/>
  <c r="A94" i="20"/>
  <c r="A93" i="20"/>
  <c r="A92" i="20"/>
  <c r="A91" i="20"/>
  <c r="A90" i="20"/>
  <c r="A89" i="20"/>
  <c r="A88" i="20"/>
  <c r="A87" i="20"/>
  <c r="A86" i="20"/>
  <c r="A85" i="20"/>
  <c r="A84" i="20"/>
  <c r="A83" i="20"/>
  <c r="A82" i="20"/>
  <c r="A81" i="20"/>
  <c r="A80" i="20"/>
  <c r="A79" i="20"/>
  <c r="A78" i="20"/>
  <c r="A77" i="20"/>
  <c r="A76" i="20"/>
  <c r="A75" i="20"/>
  <c r="T74" i="20"/>
  <c r="A74" i="20"/>
  <c r="T73" i="20"/>
  <c r="R73" i="20"/>
  <c r="A73" i="20"/>
  <c r="T72" i="20"/>
  <c r="A72" i="20"/>
  <c r="T71" i="20"/>
  <c r="R71" i="20"/>
  <c r="A71" i="20"/>
  <c r="T70" i="20"/>
  <c r="A70" i="20"/>
  <c r="T69" i="20"/>
  <c r="R69" i="20"/>
  <c r="A69" i="20"/>
  <c r="A68" i="20"/>
  <c r="A67" i="20"/>
  <c r="A66" i="20"/>
  <c r="A65" i="20"/>
  <c r="F64" i="20"/>
  <c r="F63" i="20"/>
  <c r="F62" i="20"/>
  <c r="F61" i="20"/>
  <c r="F60" i="20"/>
  <c r="L59" i="20"/>
  <c r="J59" i="20"/>
  <c r="H59" i="20"/>
  <c r="F59" i="20"/>
  <c r="A58" i="20"/>
  <c r="A57" i="20"/>
  <c r="A56" i="20"/>
  <c r="A55" i="20"/>
  <c r="A54" i="20"/>
  <c r="A53" i="20"/>
  <c r="A52" i="20"/>
  <c r="F51" i="20"/>
  <c r="F50" i="20"/>
  <c r="F49" i="20"/>
  <c r="F48" i="20"/>
  <c r="F47" i="20"/>
  <c r="F46" i="20"/>
  <c r="F45" i="20"/>
  <c r="F44" i="20"/>
  <c r="P43" i="20"/>
  <c r="P44" i="20" s="1"/>
  <c r="P45" i="20" s="1"/>
  <c r="P46" i="20" s="1"/>
  <c r="P47" i="20" s="1"/>
  <c r="P48" i="20" s="1"/>
  <c r="P49" i="20" s="1"/>
  <c r="P50" i="20" s="1"/>
  <c r="P51" i="20" s="1"/>
  <c r="H43" i="20"/>
  <c r="F43" i="20"/>
  <c r="Q42" i="20"/>
  <c r="Q43" i="20" s="1"/>
  <c r="Q44" i="20" s="1"/>
  <c r="Q45" i="20" s="1"/>
  <c r="Q46" i="20" s="1"/>
  <c r="Q47" i="20" s="1"/>
  <c r="Q48" i="20" s="1"/>
  <c r="Q49" i="20" s="1"/>
  <c r="Q50" i="20" s="1"/>
  <c r="Q51" i="20" s="1"/>
  <c r="O42" i="20"/>
  <c r="O43" i="20" s="1"/>
  <c r="O44" i="20" s="1"/>
  <c r="O45" i="20" s="1"/>
  <c r="O46" i="20" s="1"/>
  <c r="O47" i="20" s="1"/>
  <c r="O48" i="20" s="1"/>
  <c r="O49" i="20" s="1"/>
  <c r="O50" i="20" s="1"/>
  <c r="O51" i="20" s="1"/>
  <c r="M42" i="20"/>
  <c r="M43" i="20" s="1"/>
  <c r="M44" i="20" s="1"/>
  <c r="M45" i="20" s="1"/>
  <c r="M46" i="20" s="1"/>
  <c r="M47" i="20" s="1"/>
  <c r="M48" i="20" s="1"/>
  <c r="M49" i="20" s="1"/>
  <c r="M50" i="20" s="1"/>
  <c r="M51" i="20" s="1"/>
  <c r="K42" i="20"/>
  <c r="K43" i="20" s="1"/>
  <c r="K44" i="20" s="1"/>
  <c r="K45" i="20" s="1"/>
  <c r="K46" i="20" s="1"/>
  <c r="K47" i="20" s="1"/>
  <c r="K48" i="20" s="1"/>
  <c r="K49" i="20" s="1"/>
  <c r="K50" i="20" s="1"/>
  <c r="K51" i="20" s="1"/>
  <c r="I42" i="20"/>
  <c r="I43" i="20" s="1"/>
  <c r="I44" i="20" s="1"/>
  <c r="I45" i="20" s="1"/>
  <c r="I46" i="20" s="1"/>
  <c r="I47" i="20" s="1"/>
  <c r="I48" i="20" s="1"/>
  <c r="I49" i="20" s="1"/>
  <c r="I50" i="20" s="1"/>
  <c r="I51" i="20" s="1"/>
  <c r="H42" i="20"/>
  <c r="F42" i="20"/>
  <c r="P42" i="20" s="1"/>
  <c r="A41" i="20"/>
  <c r="A40" i="20"/>
  <c r="A39" i="20"/>
  <c r="A38" i="20"/>
  <c r="A37" i="20"/>
  <c r="A36" i="20"/>
  <c r="F9" i="20"/>
  <c r="F8" i="20"/>
  <c r="A8" i="20"/>
  <c r="A7" i="20"/>
  <c r="A6" i="20"/>
  <c r="A5" i="20"/>
  <c r="A4" i="20"/>
  <c r="A3" i="20"/>
  <c r="A2" i="20"/>
  <c r="A1" i="20"/>
  <c r="A195" i="19"/>
  <c r="A194" i="19"/>
  <c r="A193" i="19"/>
  <c r="A192" i="19"/>
  <c r="A191" i="19"/>
  <c r="A190" i="19"/>
  <c r="A189" i="19"/>
  <c r="G188" i="19"/>
  <c r="A188" i="19"/>
  <c r="G187" i="19"/>
  <c r="A187" i="19" s="1"/>
  <c r="G186" i="19"/>
  <c r="A186" i="19"/>
  <c r="G185" i="19"/>
  <c r="A185" i="19" s="1"/>
  <c r="G184" i="19"/>
  <c r="A184" i="19"/>
  <c r="G183" i="19"/>
  <c r="A183" i="19" s="1"/>
  <c r="G182" i="19"/>
  <c r="A182" i="19"/>
  <c r="G181" i="19"/>
  <c r="A181" i="19" s="1"/>
  <c r="G180" i="19"/>
  <c r="A180" i="19"/>
  <c r="G179" i="19"/>
  <c r="A179" i="19" s="1"/>
  <c r="G178" i="19"/>
  <c r="A178" i="19"/>
  <c r="G177" i="19"/>
  <c r="A177" i="19" s="1"/>
  <c r="G176" i="19"/>
  <c r="A176" i="19"/>
  <c r="G175" i="19"/>
  <c r="A175" i="19" s="1"/>
  <c r="G174" i="19"/>
  <c r="A174" i="19"/>
  <c r="G173" i="19"/>
  <c r="A173" i="19" s="1"/>
  <c r="G172" i="19"/>
  <c r="A172" i="19"/>
  <c r="G171" i="19"/>
  <c r="A171" i="19" s="1"/>
  <c r="G170" i="19"/>
  <c r="A170" i="19"/>
  <c r="G169" i="19"/>
  <c r="A169" i="19" s="1"/>
  <c r="G168" i="19"/>
  <c r="A168" i="19"/>
  <c r="G167" i="19"/>
  <c r="A167" i="19" s="1"/>
  <c r="G166" i="19"/>
  <c r="A166" i="19"/>
  <c r="G165" i="19"/>
  <c r="A165" i="19" s="1"/>
  <c r="G164" i="19"/>
  <c r="A164" i="19"/>
  <c r="G163" i="19"/>
  <c r="A163" i="19" s="1"/>
  <c r="G162" i="19"/>
  <c r="A162" i="19"/>
  <c r="G161" i="19"/>
  <c r="A161" i="19" s="1"/>
  <c r="G160" i="19"/>
  <c r="A160" i="19"/>
  <c r="G159" i="19"/>
  <c r="A159" i="19" s="1"/>
  <c r="G158" i="19"/>
  <c r="A158" i="19"/>
  <c r="G157" i="19"/>
  <c r="A157" i="19" s="1"/>
  <c r="G156" i="19"/>
  <c r="A156" i="19"/>
  <c r="G155" i="19"/>
  <c r="A155" i="19" s="1"/>
  <c r="G154" i="19"/>
  <c r="A154" i="19"/>
  <c r="G153" i="19"/>
  <c r="A153" i="19" s="1"/>
  <c r="G152" i="19"/>
  <c r="A152" i="19"/>
  <c r="G151" i="19"/>
  <c r="A151" i="19" s="1"/>
  <c r="G150" i="19"/>
  <c r="A150" i="19"/>
  <c r="G149" i="19"/>
  <c r="A149" i="19" s="1"/>
  <c r="G148" i="19"/>
  <c r="A148" i="19"/>
  <c r="G147" i="19"/>
  <c r="A147" i="19" s="1"/>
  <c r="G146" i="19"/>
  <c r="A146" i="19"/>
  <c r="G145" i="19"/>
  <c r="A145" i="19" s="1"/>
  <c r="G144" i="19"/>
  <c r="A144" i="19"/>
  <c r="G143" i="19"/>
  <c r="A143" i="19" s="1"/>
  <c r="G142" i="19"/>
  <c r="A142" i="19"/>
  <c r="G141" i="19"/>
  <c r="A141" i="19" s="1"/>
  <c r="G140" i="19"/>
  <c r="A140" i="19"/>
  <c r="G139" i="19"/>
  <c r="A139" i="19" s="1"/>
  <c r="G138" i="19"/>
  <c r="A138" i="19"/>
  <c r="G137" i="19"/>
  <c r="A137" i="19" s="1"/>
  <c r="G136" i="19"/>
  <c r="A136" i="19"/>
  <c r="G135" i="19"/>
  <c r="A135" i="19" s="1"/>
  <c r="G134" i="19"/>
  <c r="A134" i="19"/>
  <c r="G133" i="19"/>
  <c r="A133" i="19" s="1"/>
  <c r="G132" i="19"/>
  <c r="A132" i="19"/>
  <c r="G131" i="19"/>
  <c r="A131" i="19" s="1"/>
  <c r="A130" i="19"/>
  <c r="A129" i="19"/>
  <c r="A128" i="19"/>
  <c r="A127" i="19"/>
  <c r="A126" i="19"/>
  <c r="A125" i="19"/>
  <c r="A124" i="19"/>
  <c r="A123" i="19"/>
  <c r="A122" i="19"/>
  <c r="A121" i="19"/>
  <c r="A120" i="19"/>
  <c r="A119" i="19"/>
  <c r="A118" i="19"/>
  <c r="A117" i="19"/>
  <c r="A116" i="19"/>
  <c r="A115" i="19"/>
  <c r="A114" i="19"/>
  <c r="A113" i="19"/>
  <c r="A112" i="19"/>
  <c r="A111" i="19"/>
  <c r="A110" i="19"/>
  <c r="A109" i="19"/>
  <c r="A108" i="19"/>
  <c r="A107" i="19"/>
  <c r="A106" i="19"/>
  <c r="T105" i="19"/>
  <c r="A105" i="19"/>
  <c r="T104" i="19"/>
  <c r="R104" i="19"/>
  <c r="A104" i="19"/>
  <c r="T103" i="19"/>
  <c r="A103" i="19"/>
  <c r="T102" i="19"/>
  <c r="R102" i="19"/>
  <c r="A102" i="19"/>
  <c r="T101" i="19"/>
  <c r="A101" i="19"/>
  <c r="T100" i="19"/>
  <c r="R100" i="19"/>
  <c r="A100" i="19"/>
  <c r="A99" i="19"/>
  <c r="A98" i="19"/>
  <c r="A97" i="19"/>
  <c r="A96" i="19"/>
  <c r="A95" i="19"/>
  <c r="A94" i="19"/>
  <c r="A93" i="19"/>
  <c r="A92" i="19"/>
  <c r="A91" i="19"/>
  <c r="A90" i="19"/>
  <c r="A89" i="19"/>
  <c r="A88" i="19"/>
  <c r="A87" i="19"/>
  <c r="A86" i="19"/>
  <c r="A85" i="19"/>
  <c r="A84" i="19"/>
  <c r="A83" i="19"/>
  <c r="A82" i="19"/>
  <c r="A81" i="19"/>
  <c r="A80" i="19"/>
  <c r="A79" i="19"/>
  <c r="A78" i="19"/>
  <c r="A77" i="19"/>
  <c r="T76" i="19"/>
  <c r="A76" i="19"/>
  <c r="T75" i="19"/>
  <c r="R75" i="19"/>
  <c r="A75" i="19"/>
  <c r="T74" i="19"/>
  <c r="A74" i="19"/>
  <c r="T73" i="19"/>
  <c r="R73" i="19"/>
  <c r="A73" i="19"/>
  <c r="T72" i="19"/>
  <c r="A72" i="19"/>
  <c r="T71" i="19"/>
  <c r="R71" i="19"/>
  <c r="A71" i="19"/>
  <c r="A70" i="19"/>
  <c r="A69" i="19"/>
  <c r="A68" i="19"/>
  <c r="A67" i="19"/>
  <c r="A66" i="19"/>
  <c r="A65" i="19"/>
  <c r="F64" i="19"/>
  <c r="F63" i="19"/>
  <c r="F62" i="19"/>
  <c r="F61" i="19"/>
  <c r="J60" i="19"/>
  <c r="J61" i="19" s="1"/>
  <c r="J62" i="19" s="1"/>
  <c r="J63" i="19" s="1"/>
  <c r="J64" i="19" s="1"/>
  <c r="F60" i="19"/>
  <c r="J59" i="19"/>
  <c r="F59" i="19"/>
  <c r="L58" i="19"/>
  <c r="L59" i="19" s="1"/>
  <c r="L60" i="19" s="1"/>
  <c r="L61" i="19" s="1"/>
  <c r="L62" i="19" s="1"/>
  <c r="L63" i="19" s="1"/>
  <c r="L64" i="19" s="1"/>
  <c r="H58" i="19"/>
  <c r="H59" i="19" s="1"/>
  <c r="H60" i="19" s="1"/>
  <c r="F58" i="19"/>
  <c r="J58" i="19" s="1"/>
  <c r="A57" i="19"/>
  <c r="A56" i="19"/>
  <c r="A55" i="19"/>
  <c r="A54" i="19"/>
  <c r="A53" i="19"/>
  <c r="A52" i="19"/>
  <c r="A51" i="19"/>
  <c r="F50" i="19"/>
  <c r="F49" i="19"/>
  <c r="M48" i="19"/>
  <c r="M49" i="19" s="1"/>
  <c r="M50" i="19" s="1"/>
  <c r="F48" i="19"/>
  <c r="I47" i="19"/>
  <c r="I48" i="19" s="1"/>
  <c r="I49" i="19" s="1"/>
  <c r="I50" i="19" s="1"/>
  <c r="F47" i="19"/>
  <c r="J46" i="19"/>
  <c r="J47" i="19" s="1"/>
  <c r="J48" i="19" s="1"/>
  <c r="J49" i="19" s="1"/>
  <c r="J50" i="19" s="1"/>
  <c r="F46" i="19"/>
  <c r="Q45" i="19"/>
  <c r="Q46" i="19" s="1"/>
  <c r="Q47" i="19" s="1"/>
  <c r="Q48" i="19" s="1"/>
  <c r="Q49" i="19" s="1"/>
  <c r="Q50" i="19" s="1"/>
  <c r="K45" i="19"/>
  <c r="K46" i="19" s="1"/>
  <c r="K47" i="19" s="1"/>
  <c r="K48" i="19" s="1"/>
  <c r="K49" i="19" s="1"/>
  <c r="K50" i="19" s="1"/>
  <c r="F45" i="19"/>
  <c r="Q44" i="19"/>
  <c r="M44" i="19"/>
  <c r="M45" i="19" s="1"/>
  <c r="M46" i="19" s="1"/>
  <c r="M47" i="19" s="1"/>
  <c r="K44" i="19"/>
  <c r="F44" i="19"/>
  <c r="Q43" i="19"/>
  <c r="N43" i="19"/>
  <c r="M43" i="19"/>
  <c r="K43" i="19"/>
  <c r="I43" i="19"/>
  <c r="I44" i="19" s="1"/>
  <c r="I45" i="19" s="1"/>
  <c r="I46" i="19" s="1"/>
  <c r="F43" i="19"/>
  <c r="Q42" i="19"/>
  <c r="O42" i="19"/>
  <c r="O43" i="19" s="1"/>
  <c r="O44" i="19" s="1"/>
  <c r="O45" i="19" s="1"/>
  <c r="O46" i="19" s="1"/>
  <c r="O47" i="19" s="1"/>
  <c r="O48" i="19" s="1"/>
  <c r="O49" i="19" s="1"/>
  <c r="O50" i="19" s="1"/>
  <c r="N42" i="19"/>
  <c r="M42" i="19"/>
  <c r="K42" i="19"/>
  <c r="J42" i="19"/>
  <c r="J43" i="19" s="1"/>
  <c r="J44" i="19" s="1"/>
  <c r="J45" i="19" s="1"/>
  <c r="I42" i="19"/>
  <c r="F42" i="19"/>
  <c r="A41" i="19"/>
  <c r="A40" i="19"/>
  <c r="A39" i="19"/>
  <c r="A38" i="19"/>
  <c r="A37" i="19"/>
  <c r="A36" i="19"/>
  <c r="F10" i="19"/>
  <c r="F9" i="19"/>
  <c r="A9" i="19" s="1"/>
  <c r="F8" i="19"/>
  <c r="A8" i="19" s="1"/>
  <c r="A7" i="19"/>
  <c r="A6" i="19"/>
  <c r="A5" i="19"/>
  <c r="A4" i="19"/>
  <c r="A3" i="19"/>
  <c r="A2" i="19"/>
  <c r="A1" i="19"/>
  <c r="A165" i="18"/>
  <c r="A164" i="18"/>
  <c r="A163" i="18"/>
  <c r="A162" i="18"/>
  <c r="A161" i="18"/>
  <c r="A160" i="18"/>
  <c r="A159" i="18"/>
  <c r="G158" i="18"/>
  <c r="A158" i="18" s="1"/>
  <c r="G157" i="18"/>
  <c r="A157" i="18"/>
  <c r="G156" i="18"/>
  <c r="A156" i="18" s="1"/>
  <c r="G155" i="18"/>
  <c r="A155" i="18" s="1"/>
  <c r="G154" i="18"/>
  <c r="A154" i="18" s="1"/>
  <c r="G153" i="18"/>
  <c r="A153" i="18" s="1"/>
  <c r="G152" i="18"/>
  <c r="A152" i="18" s="1"/>
  <c r="G151" i="18"/>
  <c r="A151" i="18" s="1"/>
  <c r="G150" i="18"/>
  <c r="A150" i="18" s="1"/>
  <c r="G149" i="18"/>
  <c r="A149" i="18"/>
  <c r="G148" i="18"/>
  <c r="A148" i="18" s="1"/>
  <c r="G147" i="18"/>
  <c r="A147" i="18" s="1"/>
  <c r="G146" i="18"/>
  <c r="A146" i="18" s="1"/>
  <c r="G145" i="18"/>
  <c r="A145" i="18" s="1"/>
  <c r="G144" i="18"/>
  <c r="A144" i="18" s="1"/>
  <c r="G143" i="18"/>
  <c r="A143" i="18" s="1"/>
  <c r="G142" i="18"/>
  <c r="A142" i="18" s="1"/>
  <c r="G141" i="18"/>
  <c r="A141" i="18"/>
  <c r="G140" i="18"/>
  <c r="A140" i="18" s="1"/>
  <c r="G139" i="18"/>
  <c r="A139" i="18" s="1"/>
  <c r="G138" i="18"/>
  <c r="A138" i="18" s="1"/>
  <c r="G137" i="18"/>
  <c r="A137" i="18" s="1"/>
  <c r="G136" i="18"/>
  <c r="A136" i="18" s="1"/>
  <c r="G135" i="18"/>
  <c r="A135" i="18" s="1"/>
  <c r="G134" i="18"/>
  <c r="A134" i="18" s="1"/>
  <c r="G133" i="18"/>
  <c r="A133" i="18"/>
  <c r="G132" i="18"/>
  <c r="A132" i="18" s="1"/>
  <c r="G131" i="18"/>
  <c r="A131" i="18" s="1"/>
  <c r="G130" i="18"/>
  <c r="A130" i="18" s="1"/>
  <c r="G129" i="18"/>
  <c r="A129" i="18" s="1"/>
  <c r="G128" i="18"/>
  <c r="A128" i="18" s="1"/>
  <c r="G127" i="18"/>
  <c r="A127" i="18" s="1"/>
  <c r="G126" i="18"/>
  <c r="A126" i="18" s="1"/>
  <c r="G125" i="18"/>
  <c r="A125" i="18"/>
  <c r="G124" i="18"/>
  <c r="A124" i="18" s="1"/>
  <c r="G123" i="18"/>
  <c r="A123" i="18" s="1"/>
  <c r="G122" i="18"/>
  <c r="A122" i="18" s="1"/>
  <c r="G121" i="18"/>
  <c r="A121" i="18" s="1"/>
  <c r="G120" i="18"/>
  <c r="A120" i="18" s="1"/>
  <c r="G119" i="18"/>
  <c r="A119" i="18" s="1"/>
  <c r="G118" i="18"/>
  <c r="A118" i="18" s="1"/>
  <c r="G117" i="18"/>
  <c r="A117" i="18" s="1"/>
  <c r="G116" i="18"/>
  <c r="A116" i="18" s="1"/>
  <c r="G115" i="18"/>
  <c r="A115" i="18" s="1"/>
  <c r="G114" i="18"/>
  <c r="A114" i="18" s="1"/>
  <c r="G113" i="18"/>
  <c r="A113" i="18" s="1"/>
  <c r="G112" i="18"/>
  <c r="A112" i="18" s="1"/>
  <c r="G111" i="18"/>
  <c r="A111" i="18" s="1"/>
  <c r="G110" i="18"/>
  <c r="A110" i="18" s="1"/>
  <c r="G109" i="18"/>
  <c r="A109" i="18" s="1"/>
  <c r="G108" i="18"/>
  <c r="A108" i="18" s="1"/>
  <c r="G107" i="18"/>
  <c r="A107" i="18" s="1"/>
  <c r="G106" i="18"/>
  <c r="A106" i="18" s="1"/>
  <c r="G105" i="18"/>
  <c r="A105" i="18" s="1"/>
  <c r="G104" i="18"/>
  <c r="A104" i="18" s="1"/>
  <c r="G103" i="18"/>
  <c r="A103" i="18" s="1"/>
  <c r="G102" i="18"/>
  <c r="A102" i="18" s="1"/>
  <c r="G101" i="18"/>
  <c r="A101" i="18" s="1"/>
  <c r="A100" i="18"/>
  <c r="A99" i="18"/>
  <c r="A98" i="18"/>
  <c r="A97" i="18"/>
  <c r="A96" i="18"/>
  <c r="A95" i="18"/>
  <c r="A94" i="18"/>
  <c r="A93" i="18"/>
  <c r="A92" i="18"/>
  <c r="A91" i="18"/>
  <c r="A90" i="18"/>
  <c r="A89" i="18"/>
  <c r="A88" i="18"/>
  <c r="A87" i="18"/>
  <c r="A86" i="18"/>
  <c r="A85" i="18"/>
  <c r="A84" i="18"/>
  <c r="A83" i="18"/>
  <c r="A82" i="18"/>
  <c r="A81" i="18"/>
  <c r="A80" i="18"/>
  <c r="A79" i="18"/>
  <c r="A78" i="18"/>
  <c r="A77" i="18"/>
  <c r="T76" i="18"/>
  <c r="A76" i="18"/>
  <c r="T75" i="18"/>
  <c r="R75" i="18"/>
  <c r="A75" i="18"/>
  <c r="T74" i="18"/>
  <c r="A74" i="18"/>
  <c r="T73" i="18"/>
  <c r="R73" i="18"/>
  <c r="A73" i="18"/>
  <c r="T72" i="18"/>
  <c r="A72" i="18"/>
  <c r="T71" i="18"/>
  <c r="R71" i="18"/>
  <c r="A71" i="18"/>
  <c r="A70" i="18"/>
  <c r="A69" i="18"/>
  <c r="A68" i="18"/>
  <c r="F67" i="18"/>
  <c r="F66" i="18"/>
  <c r="F65" i="18"/>
  <c r="F64" i="18"/>
  <c r="F63" i="18"/>
  <c r="F62" i="18"/>
  <c r="F61" i="18"/>
  <c r="F60" i="18"/>
  <c r="H59" i="18"/>
  <c r="F59" i="18"/>
  <c r="J58" i="18"/>
  <c r="J59" i="18" s="1"/>
  <c r="H58" i="18"/>
  <c r="A58" i="18" s="1"/>
  <c r="F58" i="18"/>
  <c r="L58" i="18" s="1"/>
  <c r="L59" i="18" s="1"/>
  <c r="A57" i="18"/>
  <c r="A56" i="18"/>
  <c r="A55" i="18"/>
  <c r="A54" i="18"/>
  <c r="A53" i="18"/>
  <c r="A52" i="18"/>
  <c r="A51" i="18"/>
  <c r="F50" i="18"/>
  <c r="F49" i="18"/>
  <c r="F48" i="18"/>
  <c r="F47" i="18"/>
  <c r="F46" i="18"/>
  <c r="F45" i="18"/>
  <c r="H44" i="18"/>
  <c r="F44" i="18"/>
  <c r="Q43" i="18"/>
  <c r="Q44" i="18" s="1"/>
  <c r="Q45" i="18" s="1"/>
  <c r="Q46" i="18" s="1"/>
  <c r="Q47" i="18" s="1"/>
  <c r="Q48" i="18" s="1"/>
  <c r="Q49" i="18" s="1"/>
  <c r="Q50" i="18" s="1"/>
  <c r="P43" i="18"/>
  <c r="P44" i="18" s="1"/>
  <c r="O43" i="18"/>
  <c r="O44" i="18" s="1"/>
  <c r="O45" i="18" s="1"/>
  <c r="O46" i="18" s="1"/>
  <c r="O47" i="18" s="1"/>
  <c r="O48" i="18" s="1"/>
  <c r="O49" i="18" s="1"/>
  <c r="O50" i="18" s="1"/>
  <c r="M43" i="18"/>
  <c r="M44" i="18" s="1"/>
  <c r="M45" i="18" s="1"/>
  <c r="M46" i="18" s="1"/>
  <c r="M47" i="18" s="1"/>
  <c r="M48" i="18" s="1"/>
  <c r="M49" i="18" s="1"/>
  <c r="M50" i="18" s="1"/>
  <c r="K43" i="18"/>
  <c r="K44" i="18" s="1"/>
  <c r="K45" i="18" s="1"/>
  <c r="K46" i="18" s="1"/>
  <c r="K47" i="18" s="1"/>
  <c r="K48" i="18" s="1"/>
  <c r="K49" i="18" s="1"/>
  <c r="K50" i="18" s="1"/>
  <c r="I43" i="18"/>
  <c r="I44" i="18" s="1"/>
  <c r="I45" i="18" s="1"/>
  <c r="I46" i="18" s="1"/>
  <c r="I47" i="18" s="1"/>
  <c r="I48" i="18" s="1"/>
  <c r="I49" i="18" s="1"/>
  <c r="I50" i="18" s="1"/>
  <c r="H43" i="18"/>
  <c r="F43" i="18"/>
  <c r="A42" i="18"/>
  <c r="A41" i="18"/>
  <c r="A40" i="18"/>
  <c r="A39" i="18"/>
  <c r="A38" i="18"/>
  <c r="A37" i="18"/>
  <c r="F8" i="18"/>
  <c r="A7" i="18"/>
  <c r="A6" i="18"/>
  <c r="A5" i="18"/>
  <c r="A4" i="18"/>
  <c r="A3" i="18"/>
  <c r="A2" i="18"/>
  <c r="A1" i="18"/>
  <c r="A163" i="17"/>
  <c r="A162" i="17"/>
  <c r="A161" i="17"/>
  <c r="A160" i="17"/>
  <c r="A159" i="17"/>
  <c r="A158" i="17"/>
  <c r="A157" i="17"/>
  <c r="G156" i="17"/>
  <c r="A156" i="17" s="1"/>
  <c r="G155" i="17"/>
  <c r="A155" i="17"/>
  <c r="G154" i="17"/>
  <c r="A154" i="17" s="1"/>
  <c r="G153" i="17"/>
  <c r="A153" i="17"/>
  <c r="G152" i="17"/>
  <c r="A152" i="17" s="1"/>
  <c r="G151" i="17"/>
  <c r="A151" i="17"/>
  <c r="G150" i="17"/>
  <c r="A150" i="17" s="1"/>
  <c r="G149" i="17"/>
  <c r="A149" i="17"/>
  <c r="G148" i="17"/>
  <c r="A148" i="17" s="1"/>
  <c r="G147" i="17"/>
  <c r="A147" i="17"/>
  <c r="G146" i="17"/>
  <c r="A146" i="17" s="1"/>
  <c r="G145" i="17"/>
  <c r="A145" i="17"/>
  <c r="G144" i="17"/>
  <c r="A144" i="17" s="1"/>
  <c r="G143" i="17"/>
  <c r="A143" i="17"/>
  <c r="G142" i="17"/>
  <c r="A142" i="17" s="1"/>
  <c r="G141" i="17"/>
  <c r="A141" i="17"/>
  <c r="G140" i="17"/>
  <c r="A140" i="17" s="1"/>
  <c r="G139" i="17"/>
  <c r="A139" i="17"/>
  <c r="G138" i="17"/>
  <c r="A138" i="17" s="1"/>
  <c r="G137" i="17"/>
  <c r="A137" i="17"/>
  <c r="G136" i="17"/>
  <c r="A136" i="17" s="1"/>
  <c r="G135" i="17"/>
  <c r="A135" i="17"/>
  <c r="G134" i="17"/>
  <c r="A134" i="17" s="1"/>
  <c r="G133" i="17"/>
  <c r="A133" i="17"/>
  <c r="G132" i="17"/>
  <c r="A132" i="17" s="1"/>
  <c r="G131" i="17"/>
  <c r="A131" i="17"/>
  <c r="G130" i="17"/>
  <c r="A130" i="17" s="1"/>
  <c r="G129" i="17"/>
  <c r="A129" i="17"/>
  <c r="G128" i="17"/>
  <c r="A128" i="17" s="1"/>
  <c r="G127" i="17"/>
  <c r="A127" i="17"/>
  <c r="G126" i="17"/>
  <c r="A126" i="17" s="1"/>
  <c r="G125" i="17"/>
  <c r="A125" i="17"/>
  <c r="G124" i="17"/>
  <c r="A124" i="17" s="1"/>
  <c r="G123" i="17"/>
  <c r="A123" i="17"/>
  <c r="G122" i="17"/>
  <c r="A122" i="17" s="1"/>
  <c r="G121" i="17"/>
  <c r="A121" i="17"/>
  <c r="G120" i="17"/>
  <c r="A120" i="17" s="1"/>
  <c r="G119" i="17"/>
  <c r="A119" i="17"/>
  <c r="G118" i="17"/>
  <c r="A118" i="17" s="1"/>
  <c r="G117" i="17"/>
  <c r="A117" i="17"/>
  <c r="G116" i="17"/>
  <c r="A116" i="17" s="1"/>
  <c r="G115" i="17"/>
  <c r="A115" i="17"/>
  <c r="G114" i="17"/>
  <c r="A114" i="17" s="1"/>
  <c r="G113" i="17"/>
  <c r="A113" i="17"/>
  <c r="G112" i="17"/>
  <c r="A112" i="17" s="1"/>
  <c r="G111" i="17"/>
  <c r="A111" i="17"/>
  <c r="G110" i="17"/>
  <c r="A110" i="17" s="1"/>
  <c r="G109" i="17"/>
  <c r="A109" i="17"/>
  <c r="G108" i="17"/>
  <c r="A108" i="17" s="1"/>
  <c r="G107" i="17"/>
  <c r="A107" i="17"/>
  <c r="G106" i="17"/>
  <c r="A106" i="17" s="1"/>
  <c r="G105" i="17"/>
  <c r="A105" i="17"/>
  <c r="G104" i="17"/>
  <c r="A104" i="17" s="1"/>
  <c r="G103" i="17"/>
  <c r="A103" i="17"/>
  <c r="G102" i="17"/>
  <c r="A102" i="17" s="1"/>
  <c r="G101" i="17"/>
  <c r="A101" i="17"/>
  <c r="G100" i="17"/>
  <c r="A100" i="17" s="1"/>
  <c r="A99" i="17"/>
  <c r="A98" i="17"/>
  <c r="A97" i="17"/>
  <c r="A96" i="17"/>
  <c r="A95" i="17"/>
  <c r="A94" i="17"/>
  <c r="A93" i="17"/>
  <c r="A92" i="17"/>
  <c r="A91" i="17"/>
  <c r="A90" i="17"/>
  <c r="A89" i="17"/>
  <c r="A88" i="17"/>
  <c r="A87" i="17"/>
  <c r="A86" i="17"/>
  <c r="A85" i="17"/>
  <c r="A84" i="17"/>
  <c r="A83" i="17"/>
  <c r="A82" i="17"/>
  <c r="A81" i="17"/>
  <c r="A80" i="17"/>
  <c r="A79" i="17"/>
  <c r="A78" i="17"/>
  <c r="A77" i="17"/>
  <c r="A76" i="17"/>
  <c r="A75" i="17"/>
  <c r="T74" i="17"/>
  <c r="A74" i="17"/>
  <c r="T73" i="17"/>
  <c r="R73" i="17"/>
  <c r="A73" i="17"/>
  <c r="T72" i="17"/>
  <c r="A72" i="17"/>
  <c r="T71" i="17"/>
  <c r="R71" i="17"/>
  <c r="A71" i="17"/>
  <c r="T70" i="17"/>
  <c r="A70" i="17"/>
  <c r="T69" i="17"/>
  <c r="R69" i="17"/>
  <c r="A69" i="17"/>
  <c r="A68" i="17"/>
  <c r="A67" i="17"/>
  <c r="A66" i="17"/>
  <c r="F65" i="17"/>
  <c r="F64" i="17"/>
  <c r="F63" i="17"/>
  <c r="F62" i="17"/>
  <c r="F61" i="17"/>
  <c r="F60" i="17"/>
  <c r="L59" i="17"/>
  <c r="L60" i="17" s="1"/>
  <c r="L61" i="17" s="1"/>
  <c r="L62" i="17" s="1"/>
  <c r="L63" i="17" s="1"/>
  <c r="L64" i="17" s="1"/>
  <c r="L65" i="17" s="1"/>
  <c r="F59" i="17"/>
  <c r="A58" i="17"/>
  <c r="A57" i="17"/>
  <c r="A56" i="17"/>
  <c r="A55" i="17"/>
  <c r="A54" i="17"/>
  <c r="A53" i="17"/>
  <c r="A52" i="17"/>
  <c r="F51" i="17"/>
  <c r="F50" i="17"/>
  <c r="J49" i="17"/>
  <c r="J50" i="17" s="1"/>
  <c r="J51" i="17" s="1"/>
  <c r="F49" i="17"/>
  <c r="F48" i="17"/>
  <c r="F47" i="17"/>
  <c r="F46" i="17"/>
  <c r="J45" i="17"/>
  <c r="J46" i="17" s="1"/>
  <c r="J47" i="17" s="1"/>
  <c r="J48" i="17" s="1"/>
  <c r="F45" i="17"/>
  <c r="Q44" i="17"/>
  <c r="Q45" i="17" s="1"/>
  <c r="Q46" i="17" s="1"/>
  <c r="Q47" i="17" s="1"/>
  <c r="Q48" i="17" s="1"/>
  <c r="Q49" i="17" s="1"/>
  <c r="Q50" i="17" s="1"/>
  <c r="Q51" i="17" s="1"/>
  <c r="F44" i="17"/>
  <c r="N43" i="17"/>
  <c r="N44" i="17" s="1"/>
  <c r="N45" i="17" s="1"/>
  <c r="N46" i="17" s="1"/>
  <c r="N47" i="17" s="1"/>
  <c r="N48" i="17" s="1"/>
  <c r="N49" i="17" s="1"/>
  <c r="N50" i="17" s="1"/>
  <c r="N51" i="17" s="1"/>
  <c r="M43" i="17"/>
  <c r="M44" i="17" s="1"/>
  <c r="M45" i="17" s="1"/>
  <c r="M46" i="17" s="1"/>
  <c r="M47" i="17" s="1"/>
  <c r="M48" i="17" s="1"/>
  <c r="M49" i="17" s="1"/>
  <c r="M50" i="17" s="1"/>
  <c r="M51" i="17" s="1"/>
  <c r="F43" i="17"/>
  <c r="Q42" i="17"/>
  <c r="Q43" i="17" s="1"/>
  <c r="P42" i="17"/>
  <c r="P43" i="17" s="1"/>
  <c r="P44" i="17" s="1"/>
  <c r="P45" i="17" s="1"/>
  <c r="P46" i="17" s="1"/>
  <c r="P47" i="17" s="1"/>
  <c r="P48" i="17" s="1"/>
  <c r="P49" i="17" s="1"/>
  <c r="P50" i="17" s="1"/>
  <c r="P51" i="17" s="1"/>
  <c r="O42" i="17"/>
  <c r="O43" i="17" s="1"/>
  <c r="O44" i="17" s="1"/>
  <c r="O45" i="17" s="1"/>
  <c r="O46" i="17" s="1"/>
  <c r="O47" i="17" s="1"/>
  <c r="O48" i="17" s="1"/>
  <c r="O49" i="17" s="1"/>
  <c r="O50" i="17" s="1"/>
  <c r="O51" i="17" s="1"/>
  <c r="N42" i="17"/>
  <c r="M42" i="17"/>
  <c r="L42" i="17"/>
  <c r="L43" i="17" s="1"/>
  <c r="L44" i="17" s="1"/>
  <c r="L45" i="17" s="1"/>
  <c r="L46" i="17" s="1"/>
  <c r="L47" i="17" s="1"/>
  <c r="L48" i="17" s="1"/>
  <c r="L49" i="17" s="1"/>
  <c r="L50" i="17" s="1"/>
  <c r="L51" i="17" s="1"/>
  <c r="K42" i="17"/>
  <c r="K43" i="17" s="1"/>
  <c r="K44" i="17" s="1"/>
  <c r="K45" i="17" s="1"/>
  <c r="K46" i="17" s="1"/>
  <c r="K47" i="17" s="1"/>
  <c r="K48" i="17" s="1"/>
  <c r="K49" i="17" s="1"/>
  <c r="K50" i="17" s="1"/>
  <c r="K51" i="17" s="1"/>
  <c r="J42" i="17"/>
  <c r="J43" i="17" s="1"/>
  <c r="J44" i="17" s="1"/>
  <c r="I42" i="17"/>
  <c r="I43" i="17" s="1"/>
  <c r="H42" i="17"/>
  <c r="H43" i="17" s="1"/>
  <c r="H44" i="17" s="1"/>
  <c r="H45" i="17" s="1"/>
  <c r="H46" i="17" s="1"/>
  <c r="H47" i="17" s="1"/>
  <c r="H48" i="17" s="1"/>
  <c r="H49" i="17" s="1"/>
  <c r="H50" i="17" s="1"/>
  <c r="H51" i="17" s="1"/>
  <c r="F42" i="17"/>
  <c r="A42" i="17"/>
  <c r="A41" i="17"/>
  <c r="A40" i="17"/>
  <c r="A39" i="17"/>
  <c r="A38" i="17"/>
  <c r="A37" i="17"/>
  <c r="A36" i="17"/>
  <c r="F8" i="17"/>
  <c r="A7" i="17"/>
  <c r="A6" i="17"/>
  <c r="A5" i="17"/>
  <c r="A4" i="17"/>
  <c r="A3" i="17"/>
  <c r="A2" i="17"/>
  <c r="A1" i="17"/>
  <c r="A163" i="16"/>
  <c r="A162" i="16"/>
  <c r="A161" i="16"/>
  <c r="A160" i="16"/>
  <c r="A159" i="16"/>
  <c r="A158" i="16"/>
  <c r="A157" i="16"/>
  <c r="G156" i="16"/>
  <c r="A156" i="16" s="1"/>
  <c r="G155" i="16"/>
  <c r="A155" i="16"/>
  <c r="G154" i="16"/>
  <c r="A154" i="16" s="1"/>
  <c r="G153" i="16"/>
  <c r="A153" i="16"/>
  <c r="G152" i="16"/>
  <c r="A152" i="16" s="1"/>
  <c r="G151" i="16"/>
  <c r="A151" i="16"/>
  <c r="G150" i="16"/>
  <c r="A150" i="16" s="1"/>
  <c r="G149" i="16"/>
  <c r="A149" i="16"/>
  <c r="G148" i="16"/>
  <c r="A148" i="16" s="1"/>
  <c r="G147" i="16"/>
  <c r="A147" i="16"/>
  <c r="G146" i="16"/>
  <c r="A146" i="16" s="1"/>
  <c r="G145" i="16"/>
  <c r="A145" i="16"/>
  <c r="G144" i="16"/>
  <c r="A144" i="16" s="1"/>
  <c r="G143" i="16"/>
  <c r="A143" i="16"/>
  <c r="G142" i="16"/>
  <c r="A142" i="16" s="1"/>
  <c r="G141" i="16"/>
  <c r="A141" i="16"/>
  <c r="G140" i="16"/>
  <c r="A140" i="16" s="1"/>
  <c r="G139" i="16"/>
  <c r="A139" i="16"/>
  <c r="G138" i="16"/>
  <c r="A138" i="16" s="1"/>
  <c r="G137" i="16"/>
  <c r="A137" i="16"/>
  <c r="G136" i="16"/>
  <c r="A136" i="16" s="1"/>
  <c r="G135" i="16"/>
  <c r="A135" i="16"/>
  <c r="G134" i="16"/>
  <c r="A134" i="16" s="1"/>
  <c r="G133" i="16"/>
  <c r="A133" i="16"/>
  <c r="G132" i="16"/>
  <c r="A132" i="16" s="1"/>
  <c r="G131" i="16"/>
  <c r="A131" i="16"/>
  <c r="G130" i="16"/>
  <c r="A130" i="16" s="1"/>
  <c r="G129" i="16"/>
  <c r="A129" i="16"/>
  <c r="G128" i="16"/>
  <c r="A128" i="16" s="1"/>
  <c r="G127" i="16"/>
  <c r="A127" i="16"/>
  <c r="G126" i="16"/>
  <c r="A126" i="16" s="1"/>
  <c r="G125" i="16"/>
  <c r="A125" i="16"/>
  <c r="G124" i="16"/>
  <c r="A124" i="16" s="1"/>
  <c r="G123" i="16"/>
  <c r="A123" i="16"/>
  <c r="G122" i="16"/>
  <c r="A122" i="16" s="1"/>
  <c r="G121" i="16"/>
  <c r="A121" i="16"/>
  <c r="G120" i="16"/>
  <c r="A120" i="16" s="1"/>
  <c r="G119" i="16"/>
  <c r="A119" i="16"/>
  <c r="G118" i="16"/>
  <c r="A118" i="16" s="1"/>
  <c r="G117" i="16"/>
  <c r="A117" i="16"/>
  <c r="G116" i="16"/>
  <c r="A116" i="16" s="1"/>
  <c r="G115" i="16"/>
  <c r="A115" i="16"/>
  <c r="G114" i="16"/>
  <c r="A114" i="16" s="1"/>
  <c r="G113" i="16"/>
  <c r="A113" i="16"/>
  <c r="G112" i="16"/>
  <c r="A112" i="16" s="1"/>
  <c r="G111" i="16"/>
  <c r="A111" i="16"/>
  <c r="G110" i="16"/>
  <c r="A110" i="16" s="1"/>
  <c r="G109" i="16"/>
  <c r="A109" i="16"/>
  <c r="G108" i="16"/>
  <c r="A108" i="16" s="1"/>
  <c r="G107" i="16"/>
  <c r="A107" i="16"/>
  <c r="G106" i="16"/>
  <c r="A106" i="16" s="1"/>
  <c r="G105" i="16"/>
  <c r="A105" i="16"/>
  <c r="G104" i="16"/>
  <c r="A104" i="16" s="1"/>
  <c r="G103" i="16"/>
  <c r="A103" i="16"/>
  <c r="G102" i="16"/>
  <c r="A102" i="16" s="1"/>
  <c r="G101" i="16"/>
  <c r="A101" i="16"/>
  <c r="G100" i="16"/>
  <c r="A100" i="16" s="1"/>
  <c r="G99" i="16"/>
  <c r="A99" i="16"/>
  <c r="A98" i="16"/>
  <c r="A97" i="16"/>
  <c r="A96" i="16"/>
  <c r="A95" i="16"/>
  <c r="A94" i="16"/>
  <c r="A93" i="16"/>
  <c r="A92" i="16"/>
  <c r="A91" i="16"/>
  <c r="A90" i="16"/>
  <c r="A89" i="16"/>
  <c r="A88" i="16"/>
  <c r="A87" i="16"/>
  <c r="A86" i="16"/>
  <c r="A85" i="16"/>
  <c r="A84" i="16"/>
  <c r="A83" i="16"/>
  <c r="A82" i="16"/>
  <c r="A81" i="16"/>
  <c r="A80" i="16"/>
  <c r="A79" i="16"/>
  <c r="A78" i="16"/>
  <c r="A77" i="16"/>
  <c r="A76" i="16"/>
  <c r="A75" i="16"/>
  <c r="A74" i="16"/>
  <c r="A73" i="16"/>
  <c r="A72" i="16"/>
  <c r="A71" i="16"/>
  <c r="A70" i="16"/>
  <c r="A69" i="16"/>
  <c r="A68" i="16"/>
  <c r="A67" i="16"/>
  <c r="A66" i="16"/>
  <c r="F65" i="16"/>
  <c r="F64" i="16"/>
  <c r="F63" i="16"/>
  <c r="J62" i="16"/>
  <c r="J63" i="16" s="1"/>
  <c r="J64" i="16" s="1"/>
  <c r="J65" i="16" s="1"/>
  <c r="F62" i="16"/>
  <c r="F61" i="16"/>
  <c r="H60" i="16"/>
  <c r="F60" i="16"/>
  <c r="J59" i="16"/>
  <c r="J60" i="16" s="1"/>
  <c r="J61" i="16" s="1"/>
  <c r="H59" i="16"/>
  <c r="F59" i="16"/>
  <c r="L58" i="16"/>
  <c r="L59" i="16" s="1"/>
  <c r="L60" i="16" s="1"/>
  <c r="L61" i="16" s="1"/>
  <c r="L62" i="16" s="1"/>
  <c r="L63" i="16" s="1"/>
  <c r="L64" i="16" s="1"/>
  <c r="L65" i="16" s="1"/>
  <c r="J58" i="16"/>
  <c r="H58" i="16"/>
  <c r="F58" i="16"/>
  <c r="A58" i="16"/>
  <c r="A57" i="16"/>
  <c r="A56" i="16"/>
  <c r="A55" i="16"/>
  <c r="A54" i="16"/>
  <c r="A53" i="16"/>
  <c r="A52" i="16"/>
  <c r="A51" i="16"/>
  <c r="F50" i="16"/>
  <c r="F49" i="16"/>
  <c r="F48" i="16"/>
  <c r="F47" i="16"/>
  <c r="F46" i="16"/>
  <c r="F45" i="16"/>
  <c r="F44" i="16"/>
  <c r="F43" i="16"/>
  <c r="Q42" i="16"/>
  <c r="Q43" i="16" s="1"/>
  <c r="Q44" i="16" s="1"/>
  <c r="Q45" i="16" s="1"/>
  <c r="Q46" i="16" s="1"/>
  <c r="Q47" i="16" s="1"/>
  <c r="Q48" i="16" s="1"/>
  <c r="Q49" i="16" s="1"/>
  <c r="Q50" i="16" s="1"/>
  <c r="P42" i="16"/>
  <c r="P43" i="16" s="1"/>
  <c r="P44" i="16" s="1"/>
  <c r="P45" i="16" s="1"/>
  <c r="P46" i="16" s="1"/>
  <c r="P47" i="16" s="1"/>
  <c r="P48" i="16" s="1"/>
  <c r="P49" i="16" s="1"/>
  <c r="P50" i="16" s="1"/>
  <c r="O42" i="16"/>
  <c r="O43" i="16" s="1"/>
  <c r="O44" i="16" s="1"/>
  <c r="O45" i="16" s="1"/>
  <c r="O46" i="16" s="1"/>
  <c r="O47" i="16" s="1"/>
  <c r="O48" i="16" s="1"/>
  <c r="O49" i="16" s="1"/>
  <c r="O50" i="16" s="1"/>
  <c r="M42" i="16"/>
  <c r="M43" i="16" s="1"/>
  <c r="M44" i="16" s="1"/>
  <c r="M45" i="16" s="1"/>
  <c r="M46" i="16" s="1"/>
  <c r="M47" i="16" s="1"/>
  <c r="M48" i="16" s="1"/>
  <c r="M49" i="16" s="1"/>
  <c r="M50" i="16" s="1"/>
  <c r="L42" i="16"/>
  <c r="L43" i="16" s="1"/>
  <c r="L44" i="16" s="1"/>
  <c r="L45" i="16" s="1"/>
  <c r="L46" i="16" s="1"/>
  <c r="L47" i="16" s="1"/>
  <c r="L48" i="16" s="1"/>
  <c r="L49" i="16" s="1"/>
  <c r="L50" i="16" s="1"/>
  <c r="K42" i="16"/>
  <c r="K43" i="16" s="1"/>
  <c r="K44" i="16" s="1"/>
  <c r="K45" i="16" s="1"/>
  <c r="K46" i="16" s="1"/>
  <c r="K47" i="16" s="1"/>
  <c r="K48" i="16" s="1"/>
  <c r="K49" i="16" s="1"/>
  <c r="K50" i="16" s="1"/>
  <c r="I42" i="16"/>
  <c r="I43" i="16" s="1"/>
  <c r="I44" i="16" s="1"/>
  <c r="I45" i="16" s="1"/>
  <c r="I46" i="16" s="1"/>
  <c r="I47" i="16" s="1"/>
  <c r="I48" i="16" s="1"/>
  <c r="I49" i="16" s="1"/>
  <c r="I50" i="16" s="1"/>
  <c r="H42" i="16"/>
  <c r="H43" i="16" s="1"/>
  <c r="F42" i="16"/>
  <c r="N42" i="16" s="1"/>
  <c r="N43" i="16" s="1"/>
  <c r="N44" i="16" s="1"/>
  <c r="N45" i="16" s="1"/>
  <c r="N46" i="16" s="1"/>
  <c r="N47" i="16" s="1"/>
  <c r="N48" i="16" s="1"/>
  <c r="N49" i="16" s="1"/>
  <c r="N50" i="16" s="1"/>
  <c r="A41" i="16"/>
  <c r="A40" i="16"/>
  <c r="A39" i="16"/>
  <c r="A38" i="16"/>
  <c r="A37" i="16"/>
  <c r="A36" i="16"/>
  <c r="F8" i="16"/>
  <c r="A7" i="16"/>
  <c r="A6" i="16"/>
  <c r="A5" i="16"/>
  <c r="A4" i="16"/>
  <c r="A3" i="16"/>
  <c r="A2" i="16"/>
  <c r="A1" i="16"/>
  <c r="A162" i="15"/>
  <c r="A161" i="15"/>
  <c r="A160" i="15"/>
  <c r="A159" i="15"/>
  <c r="A158" i="15"/>
  <c r="A157" i="15"/>
  <c r="A156" i="15"/>
  <c r="G155" i="15"/>
  <c r="A155" i="15" s="1"/>
  <c r="A154" i="15"/>
  <c r="A153" i="15"/>
  <c r="A152" i="15"/>
  <c r="G151" i="15"/>
  <c r="A151" i="15" s="1"/>
  <c r="G150" i="15"/>
  <c r="A150" i="15"/>
  <c r="G149" i="15"/>
  <c r="A149" i="15" s="1"/>
  <c r="A148" i="15"/>
  <c r="G147" i="15"/>
  <c r="A147" i="15" s="1"/>
  <c r="G146" i="15"/>
  <c r="A146" i="15" s="1"/>
  <c r="G145" i="15"/>
  <c r="A145" i="15" s="1"/>
  <c r="G144" i="15"/>
  <c r="A144" i="15" s="1"/>
  <c r="G143" i="15"/>
  <c r="A143" i="15" s="1"/>
  <c r="A142" i="15"/>
  <c r="G141" i="15"/>
  <c r="A141" i="15"/>
  <c r="G140" i="15"/>
  <c r="A140" i="15" s="1"/>
  <c r="G139" i="15"/>
  <c r="A139" i="15"/>
  <c r="G138" i="15"/>
  <c r="A138" i="15" s="1"/>
  <c r="G137" i="15"/>
  <c r="A137" i="15"/>
  <c r="A136" i="15"/>
  <c r="G135" i="15"/>
  <c r="A135" i="15" s="1"/>
  <c r="G134" i="15"/>
  <c r="A134" i="15" s="1"/>
  <c r="G133" i="15"/>
  <c r="A133" i="15" s="1"/>
  <c r="A132" i="15"/>
  <c r="G131" i="15"/>
  <c r="A131" i="15" s="1"/>
  <c r="G130" i="15"/>
  <c r="A130" i="15"/>
  <c r="G129" i="15"/>
  <c r="A129" i="15" s="1"/>
  <c r="G128" i="15"/>
  <c r="A128" i="15"/>
  <c r="G127" i="15"/>
  <c r="A127" i="15" s="1"/>
  <c r="G126" i="15"/>
  <c r="A126" i="15"/>
  <c r="G125" i="15"/>
  <c r="A125" i="15" s="1"/>
  <c r="G124" i="15"/>
  <c r="A124" i="15"/>
  <c r="G123" i="15"/>
  <c r="A123" i="15" s="1"/>
  <c r="G122" i="15"/>
  <c r="A122" i="15"/>
  <c r="G121" i="15"/>
  <c r="A121" i="15" s="1"/>
  <c r="G120" i="15"/>
  <c r="A120" i="15"/>
  <c r="G119" i="15"/>
  <c r="A119" i="15" s="1"/>
  <c r="G118" i="15"/>
  <c r="A118" i="15"/>
  <c r="G117" i="15"/>
  <c r="A117" i="15" s="1"/>
  <c r="G116" i="15"/>
  <c r="A116" i="15"/>
  <c r="G115" i="15"/>
  <c r="A115" i="15" s="1"/>
  <c r="G114" i="15"/>
  <c r="A114" i="15"/>
  <c r="G113" i="15"/>
  <c r="A113" i="15" s="1"/>
  <c r="G112" i="15"/>
  <c r="A112" i="15"/>
  <c r="G111" i="15"/>
  <c r="A111" i="15" s="1"/>
  <c r="G110" i="15"/>
  <c r="A110" i="15"/>
  <c r="G109" i="15"/>
  <c r="A109" i="15" s="1"/>
  <c r="G108" i="15"/>
  <c r="A108" i="15"/>
  <c r="G107" i="15"/>
  <c r="A107" i="15" s="1"/>
  <c r="G106" i="15"/>
  <c r="A106" i="15"/>
  <c r="G105" i="15"/>
  <c r="A105" i="15" s="1"/>
  <c r="G104" i="15"/>
  <c r="A104" i="15"/>
  <c r="G103" i="15"/>
  <c r="A103" i="15" s="1"/>
  <c r="G102" i="15"/>
  <c r="A102" i="15"/>
  <c r="G101" i="15"/>
  <c r="A101" i="15" s="1"/>
  <c r="G100" i="15"/>
  <c r="A100" i="15"/>
  <c r="G99" i="15"/>
  <c r="A99" i="15" s="1"/>
  <c r="G98" i="15"/>
  <c r="A98" i="15"/>
  <c r="A97" i="15"/>
  <c r="A96" i="15"/>
  <c r="A95" i="15"/>
  <c r="A94" i="15"/>
  <c r="A93" i="15"/>
  <c r="A92" i="15"/>
  <c r="A91" i="15"/>
  <c r="A90" i="15"/>
  <c r="A89" i="15"/>
  <c r="A88" i="15"/>
  <c r="A87" i="15"/>
  <c r="A86" i="15"/>
  <c r="A85" i="15"/>
  <c r="A84" i="15"/>
  <c r="A83" i="15"/>
  <c r="A82" i="15"/>
  <c r="A81" i="15"/>
  <c r="A80" i="15"/>
  <c r="A79" i="15"/>
  <c r="A78" i="15"/>
  <c r="A77" i="15"/>
  <c r="A76" i="15"/>
  <c r="A75" i="15"/>
  <c r="A74" i="15"/>
  <c r="T73" i="15"/>
  <c r="A73" i="15"/>
  <c r="T72" i="15"/>
  <c r="R72" i="15"/>
  <c r="A72" i="15"/>
  <c r="T71" i="15"/>
  <c r="A71" i="15"/>
  <c r="T70" i="15"/>
  <c r="R70" i="15"/>
  <c r="A70" i="15"/>
  <c r="T69" i="15"/>
  <c r="A69" i="15"/>
  <c r="T68" i="15"/>
  <c r="R68" i="15"/>
  <c r="A68" i="15"/>
  <c r="A67" i="15"/>
  <c r="A66" i="15"/>
  <c r="A65" i="15"/>
  <c r="F64" i="15"/>
  <c r="F63" i="15"/>
  <c r="F62" i="15"/>
  <c r="H61" i="15"/>
  <c r="F61" i="15"/>
  <c r="J60" i="15"/>
  <c r="J61" i="15" s="1"/>
  <c r="H60" i="15"/>
  <c r="F60" i="15"/>
  <c r="L59" i="15"/>
  <c r="L60" i="15" s="1"/>
  <c r="L61" i="15" s="1"/>
  <c r="L62" i="15" s="1"/>
  <c r="L63" i="15" s="1"/>
  <c r="L64" i="15" s="1"/>
  <c r="J59" i="15"/>
  <c r="H59" i="15"/>
  <c r="F59" i="15"/>
  <c r="A59" i="15"/>
  <c r="A58" i="15"/>
  <c r="A57" i="15"/>
  <c r="A56" i="15"/>
  <c r="A55" i="15"/>
  <c r="A54" i="15"/>
  <c r="A53" i="15"/>
  <c r="A52" i="15"/>
  <c r="F51" i="15"/>
  <c r="F50" i="15"/>
  <c r="F49" i="15"/>
  <c r="F48" i="15"/>
  <c r="F47" i="15"/>
  <c r="F46" i="15"/>
  <c r="F45" i="15"/>
  <c r="F44" i="15"/>
  <c r="Q43" i="15"/>
  <c r="Q44" i="15" s="1"/>
  <c r="Q45" i="15" s="1"/>
  <c r="Q46" i="15" s="1"/>
  <c r="Q47" i="15" s="1"/>
  <c r="Q48" i="15" s="1"/>
  <c r="Q49" i="15" s="1"/>
  <c r="Q50" i="15" s="1"/>
  <c r="Q51" i="15" s="1"/>
  <c r="F43" i="15"/>
  <c r="Q42" i="15"/>
  <c r="P42" i="15"/>
  <c r="P43" i="15" s="1"/>
  <c r="P44" i="15" s="1"/>
  <c r="P45" i="15" s="1"/>
  <c r="P46" i="15" s="1"/>
  <c r="P47" i="15" s="1"/>
  <c r="P48" i="15" s="1"/>
  <c r="P49" i="15" s="1"/>
  <c r="P50" i="15" s="1"/>
  <c r="P51" i="15" s="1"/>
  <c r="O42" i="15"/>
  <c r="O43" i="15" s="1"/>
  <c r="O44" i="15" s="1"/>
  <c r="O45" i="15" s="1"/>
  <c r="O46" i="15" s="1"/>
  <c r="O47" i="15" s="1"/>
  <c r="O48" i="15" s="1"/>
  <c r="O49" i="15" s="1"/>
  <c r="O50" i="15" s="1"/>
  <c r="O51" i="15" s="1"/>
  <c r="M42" i="15"/>
  <c r="M43" i="15" s="1"/>
  <c r="M44" i="15" s="1"/>
  <c r="M45" i="15" s="1"/>
  <c r="M46" i="15" s="1"/>
  <c r="M47" i="15" s="1"/>
  <c r="M48" i="15" s="1"/>
  <c r="M49" i="15" s="1"/>
  <c r="M50" i="15" s="1"/>
  <c r="M51" i="15" s="1"/>
  <c r="L42" i="15"/>
  <c r="L43" i="15" s="1"/>
  <c r="L44" i="15" s="1"/>
  <c r="L45" i="15" s="1"/>
  <c r="L46" i="15" s="1"/>
  <c r="L47" i="15" s="1"/>
  <c r="L48" i="15" s="1"/>
  <c r="L49" i="15" s="1"/>
  <c r="L50" i="15" s="1"/>
  <c r="L51" i="15" s="1"/>
  <c r="K42" i="15"/>
  <c r="K43" i="15" s="1"/>
  <c r="K44" i="15" s="1"/>
  <c r="K45" i="15" s="1"/>
  <c r="K46" i="15" s="1"/>
  <c r="K47" i="15" s="1"/>
  <c r="K48" i="15" s="1"/>
  <c r="K49" i="15" s="1"/>
  <c r="K50" i="15" s="1"/>
  <c r="K51" i="15" s="1"/>
  <c r="I42" i="15"/>
  <c r="I43" i="15" s="1"/>
  <c r="I44" i="15" s="1"/>
  <c r="I45" i="15" s="1"/>
  <c r="I46" i="15" s="1"/>
  <c r="I47" i="15" s="1"/>
  <c r="I48" i="15" s="1"/>
  <c r="I49" i="15" s="1"/>
  <c r="I50" i="15" s="1"/>
  <c r="I51" i="15" s="1"/>
  <c r="H42" i="15"/>
  <c r="H43" i="15" s="1"/>
  <c r="F42" i="15"/>
  <c r="N42" i="15" s="1"/>
  <c r="N43" i="15" s="1"/>
  <c r="N44" i="15" s="1"/>
  <c r="N45" i="15" s="1"/>
  <c r="N46" i="15" s="1"/>
  <c r="N47" i="15" s="1"/>
  <c r="N48" i="15" s="1"/>
  <c r="N49" i="15" s="1"/>
  <c r="N50" i="15" s="1"/>
  <c r="N51" i="15" s="1"/>
  <c r="A41" i="15"/>
  <c r="A40" i="15"/>
  <c r="A39" i="15"/>
  <c r="A38" i="15"/>
  <c r="A37" i="15"/>
  <c r="A36" i="15"/>
  <c r="F8" i="15"/>
  <c r="A7" i="15"/>
  <c r="A6" i="15"/>
  <c r="A5" i="15"/>
  <c r="A4" i="15"/>
  <c r="A3" i="15"/>
  <c r="A2" i="15"/>
  <c r="A1" i="15"/>
  <c r="A163" i="14"/>
  <c r="A162" i="14"/>
  <c r="A161" i="14"/>
  <c r="A160" i="14"/>
  <c r="A159" i="14"/>
  <c r="A158" i="14"/>
  <c r="A157" i="14"/>
  <c r="G156" i="14"/>
  <c r="A156" i="14" s="1"/>
  <c r="G155" i="14"/>
  <c r="A155" i="14" s="1"/>
  <c r="G154" i="14"/>
  <c r="A154" i="14" s="1"/>
  <c r="G153" i="14"/>
  <c r="A153" i="14" s="1"/>
  <c r="G152" i="14"/>
  <c r="A152" i="14" s="1"/>
  <c r="G151" i="14"/>
  <c r="A151" i="14" s="1"/>
  <c r="G150" i="14"/>
  <c r="A150" i="14" s="1"/>
  <c r="G149" i="14"/>
  <c r="A149" i="14" s="1"/>
  <c r="G148" i="14"/>
  <c r="A148" i="14" s="1"/>
  <c r="G147" i="14"/>
  <c r="A147" i="14" s="1"/>
  <c r="G146" i="14"/>
  <c r="A146" i="14" s="1"/>
  <c r="G145" i="14"/>
  <c r="A145" i="14" s="1"/>
  <c r="G144" i="14"/>
  <c r="A144" i="14" s="1"/>
  <c r="G143" i="14"/>
  <c r="A143" i="14" s="1"/>
  <c r="G142" i="14"/>
  <c r="A142" i="14" s="1"/>
  <c r="G141" i="14"/>
  <c r="A141" i="14" s="1"/>
  <c r="G140" i="14"/>
  <c r="A140" i="14" s="1"/>
  <c r="G139" i="14"/>
  <c r="A139" i="14" s="1"/>
  <c r="G138" i="14"/>
  <c r="A138" i="14" s="1"/>
  <c r="G137" i="14"/>
  <c r="A137" i="14" s="1"/>
  <c r="G136" i="14"/>
  <c r="A136" i="14" s="1"/>
  <c r="G135" i="14"/>
  <c r="A135" i="14" s="1"/>
  <c r="G134" i="14"/>
  <c r="A134" i="14" s="1"/>
  <c r="G133" i="14"/>
  <c r="A133" i="14" s="1"/>
  <c r="G132" i="14"/>
  <c r="A132" i="14" s="1"/>
  <c r="G131" i="14"/>
  <c r="A131" i="14" s="1"/>
  <c r="G130" i="14"/>
  <c r="A130" i="14" s="1"/>
  <c r="G129" i="14"/>
  <c r="A129" i="14" s="1"/>
  <c r="G128" i="14"/>
  <c r="A128" i="14" s="1"/>
  <c r="G127" i="14"/>
  <c r="A127" i="14" s="1"/>
  <c r="G126" i="14"/>
  <c r="A126" i="14" s="1"/>
  <c r="G125" i="14"/>
  <c r="A125" i="14" s="1"/>
  <c r="G124" i="14"/>
  <c r="A124" i="14" s="1"/>
  <c r="G123" i="14"/>
  <c r="A123" i="14" s="1"/>
  <c r="G122" i="14"/>
  <c r="A122" i="14" s="1"/>
  <c r="G121" i="14"/>
  <c r="A121" i="14" s="1"/>
  <c r="G120" i="14"/>
  <c r="A120" i="14" s="1"/>
  <c r="G119" i="14"/>
  <c r="A119" i="14" s="1"/>
  <c r="G118" i="14"/>
  <c r="A118" i="14" s="1"/>
  <c r="G117" i="14"/>
  <c r="A117" i="14" s="1"/>
  <c r="G116" i="14"/>
  <c r="A116" i="14" s="1"/>
  <c r="G115" i="14"/>
  <c r="A115" i="14" s="1"/>
  <c r="G114" i="14"/>
  <c r="A114" i="14" s="1"/>
  <c r="G113" i="14"/>
  <c r="A113" i="14" s="1"/>
  <c r="G112" i="14"/>
  <c r="A112" i="14" s="1"/>
  <c r="G111" i="14"/>
  <c r="A111" i="14" s="1"/>
  <c r="G110" i="14"/>
  <c r="A110" i="14" s="1"/>
  <c r="G109" i="14"/>
  <c r="A109" i="14" s="1"/>
  <c r="G108" i="14"/>
  <c r="A108" i="14" s="1"/>
  <c r="G107" i="14"/>
  <c r="A107" i="14" s="1"/>
  <c r="G106" i="14"/>
  <c r="A106" i="14" s="1"/>
  <c r="G105" i="14"/>
  <c r="A105" i="14" s="1"/>
  <c r="G104" i="14"/>
  <c r="A104" i="14" s="1"/>
  <c r="G103" i="14"/>
  <c r="A103" i="14" s="1"/>
  <c r="G102" i="14"/>
  <c r="A102" i="14"/>
  <c r="G101" i="14"/>
  <c r="A101" i="14" s="1"/>
  <c r="G100" i="14"/>
  <c r="A100" i="14" s="1"/>
  <c r="G99" i="14"/>
  <c r="A99" i="14" s="1"/>
  <c r="A98" i="14"/>
  <c r="A97" i="14"/>
  <c r="A96" i="14"/>
  <c r="A95" i="14"/>
  <c r="A94" i="14"/>
  <c r="A93" i="14"/>
  <c r="A92" i="14"/>
  <c r="A91" i="14"/>
  <c r="A90" i="14"/>
  <c r="A89" i="14"/>
  <c r="A88" i="14"/>
  <c r="A87" i="14"/>
  <c r="A86" i="14"/>
  <c r="A85" i="14"/>
  <c r="A84" i="14"/>
  <c r="A83" i="14"/>
  <c r="A82" i="14"/>
  <c r="A81" i="14"/>
  <c r="A80" i="14"/>
  <c r="A79" i="14"/>
  <c r="A78" i="14"/>
  <c r="A77" i="14"/>
  <c r="A76" i="14"/>
  <c r="A75" i="14"/>
  <c r="T74" i="14"/>
  <c r="A74" i="14"/>
  <c r="T73" i="14"/>
  <c r="R73" i="14"/>
  <c r="A73" i="14"/>
  <c r="T72" i="14"/>
  <c r="A72" i="14"/>
  <c r="T71" i="14"/>
  <c r="R71" i="14"/>
  <c r="A71" i="14"/>
  <c r="T70" i="14"/>
  <c r="A70" i="14"/>
  <c r="T69" i="14"/>
  <c r="R69" i="14"/>
  <c r="A69" i="14"/>
  <c r="A68" i="14"/>
  <c r="A67" i="14"/>
  <c r="A66" i="14"/>
  <c r="F65" i="14"/>
  <c r="F64" i="14"/>
  <c r="F63" i="14"/>
  <c r="F62" i="14"/>
  <c r="F61" i="14"/>
  <c r="H60" i="14"/>
  <c r="F60" i="14"/>
  <c r="L59" i="14"/>
  <c r="L60" i="14" s="1"/>
  <c r="L61" i="14" s="1"/>
  <c r="L62" i="14" s="1"/>
  <c r="L63" i="14" s="1"/>
  <c r="L64" i="14" s="1"/>
  <c r="L65" i="14" s="1"/>
  <c r="J59" i="14"/>
  <c r="J60" i="14" s="1"/>
  <c r="J61" i="14" s="1"/>
  <c r="J62" i="14" s="1"/>
  <c r="J63" i="14" s="1"/>
  <c r="J64" i="14" s="1"/>
  <c r="J65" i="14" s="1"/>
  <c r="H59" i="14"/>
  <c r="F59" i="14"/>
  <c r="A59" i="14"/>
  <c r="A58" i="14"/>
  <c r="A57" i="14"/>
  <c r="A56" i="14"/>
  <c r="A55" i="14"/>
  <c r="A54" i="14"/>
  <c r="A53" i="14"/>
  <c r="A52" i="14"/>
  <c r="F51" i="14"/>
  <c r="F50" i="14"/>
  <c r="F49" i="14"/>
  <c r="P48" i="14"/>
  <c r="P49" i="14" s="1"/>
  <c r="P50" i="14" s="1"/>
  <c r="P51" i="14" s="1"/>
  <c r="F48" i="14"/>
  <c r="M47" i="14"/>
  <c r="M48" i="14" s="1"/>
  <c r="M49" i="14" s="1"/>
  <c r="M50" i="14" s="1"/>
  <c r="M51" i="14" s="1"/>
  <c r="F47" i="14"/>
  <c r="F46" i="14"/>
  <c r="Q45" i="14"/>
  <c r="Q46" i="14" s="1"/>
  <c r="Q47" i="14" s="1"/>
  <c r="Q48" i="14" s="1"/>
  <c r="Q49" i="14" s="1"/>
  <c r="Q50" i="14" s="1"/>
  <c r="Q51" i="14" s="1"/>
  <c r="F45" i="14"/>
  <c r="P44" i="14"/>
  <c r="P45" i="14" s="1"/>
  <c r="P46" i="14" s="1"/>
  <c r="P47" i="14" s="1"/>
  <c r="H44" i="14"/>
  <c r="F44" i="14"/>
  <c r="Q43" i="14"/>
  <c r="Q44" i="14" s="1"/>
  <c r="P43" i="14"/>
  <c r="O43" i="14"/>
  <c r="O44" i="14" s="1"/>
  <c r="O45" i="14" s="1"/>
  <c r="O46" i="14" s="1"/>
  <c r="O47" i="14" s="1"/>
  <c r="O48" i="14" s="1"/>
  <c r="O49" i="14" s="1"/>
  <c r="O50" i="14" s="1"/>
  <c r="O51" i="14" s="1"/>
  <c r="M43" i="14"/>
  <c r="M44" i="14" s="1"/>
  <c r="M45" i="14" s="1"/>
  <c r="M46" i="14" s="1"/>
  <c r="L43" i="14"/>
  <c r="L44" i="14" s="1"/>
  <c r="L45" i="14" s="1"/>
  <c r="L46" i="14" s="1"/>
  <c r="L47" i="14" s="1"/>
  <c r="L48" i="14" s="1"/>
  <c r="L49" i="14" s="1"/>
  <c r="L50" i="14" s="1"/>
  <c r="L51" i="14" s="1"/>
  <c r="K43" i="14"/>
  <c r="K44" i="14" s="1"/>
  <c r="K45" i="14" s="1"/>
  <c r="K46" i="14" s="1"/>
  <c r="K47" i="14" s="1"/>
  <c r="K48" i="14" s="1"/>
  <c r="K49" i="14" s="1"/>
  <c r="K50" i="14" s="1"/>
  <c r="K51" i="14" s="1"/>
  <c r="I43" i="14"/>
  <c r="I44" i="14" s="1"/>
  <c r="I45" i="14" s="1"/>
  <c r="I46" i="14" s="1"/>
  <c r="I47" i="14" s="1"/>
  <c r="I48" i="14" s="1"/>
  <c r="I49" i="14" s="1"/>
  <c r="I50" i="14" s="1"/>
  <c r="I51" i="14" s="1"/>
  <c r="H43" i="14"/>
  <c r="F43" i="14"/>
  <c r="N43" i="14" s="1"/>
  <c r="N44" i="14" s="1"/>
  <c r="N45" i="14" s="1"/>
  <c r="N46" i="14" s="1"/>
  <c r="N47" i="14" s="1"/>
  <c r="N48" i="14" s="1"/>
  <c r="N49" i="14" s="1"/>
  <c r="N50" i="14" s="1"/>
  <c r="N51" i="14" s="1"/>
  <c r="A42" i="14"/>
  <c r="A41" i="14"/>
  <c r="A40" i="14"/>
  <c r="A39" i="14"/>
  <c r="A38" i="14"/>
  <c r="A37" i="14"/>
  <c r="F9" i="14"/>
  <c r="F10" i="14" s="1"/>
  <c r="A10" i="14" s="1"/>
  <c r="A9" i="14"/>
  <c r="F8" i="14"/>
  <c r="A8" i="14" s="1"/>
  <c r="A7" i="14"/>
  <c r="A6" i="14"/>
  <c r="A5" i="14"/>
  <c r="A4" i="14"/>
  <c r="A3" i="14"/>
  <c r="A2" i="14"/>
  <c r="A1" i="14"/>
  <c r="A151" i="13"/>
  <c r="A150" i="13"/>
  <c r="A149" i="13"/>
  <c r="A148" i="13"/>
  <c r="A147" i="13"/>
  <c r="A146" i="13"/>
  <c r="A145" i="13"/>
  <c r="A144" i="13"/>
  <c r="A143" i="13"/>
  <c r="A142" i="13"/>
  <c r="A141" i="13"/>
  <c r="A140" i="13"/>
  <c r="A139" i="13"/>
  <c r="A138" i="13"/>
  <c r="A137" i="13"/>
  <c r="A136" i="13"/>
  <c r="A135" i="13"/>
  <c r="A134" i="13"/>
  <c r="A133" i="13"/>
  <c r="A132" i="13"/>
  <c r="A131" i="13"/>
  <c r="A130" i="13"/>
  <c r="A129" i="13"/>
  <c r="A128" i="13"/>
  <c r="A127" i="13"/>
  <c r="A126" i="13"/>
  <c r="A125" i="13"/>
  <c r="A124" i="13"/>
  <c r="A123" i="13"/>
  <c r="A122" i="13"/>
  <c r="A121" i="13"/>
  <c r="A120" i="13"/>
  <c r="A119" i="13"/>
  <c r="A118" i="13"/>
  <c r="A117" i="13"/>
  <c r="A116" i="13"/>
  <c r="A115" i="13"/>
  <c r="A114" i="13"/>
  <c r="A113" i="13"/>
  <c r="A112" i="13"/>
  <c r="A111" i="13"/>
  <c r="A110" i="13"/>
  <c r="A109" i="13"/>
  <c r="A108" i="13"/>
  <c r="A107" i="13"/>
  <c r="A106" i="13"/>
  <c r="A105" i="13"/>
  <c r="A104" i="13"/>
  <c r="A103" i="13"/>
  <c r="A102" i="13"/>
  <c r="A101" i="13"/>
  <c r="A100" i="13"/>
  <c r="A99" i="13"/>
  <c r="A98" i="13"/>
  <c r="A97" i="13"/>
  <c r="A96" i="13"/>
  <c r="A95" i="13"/>
  <c r="A94" i="13"/>
  <c r="A93" i="13"/>
  <c r="A92" i="13"/>
  <c r="A91" i="13"/>
  <c r="A90" i="13"/>
  <c r="A89" i="13"/>
  <c r="A88" i="13"/>
  <c r="A87" i="13"/>
  <c r="A86" i="13"/>
  <c r="A85" i="13"/>
  <c r="A84" i="13"/>
  <c r="A83" i="13"/>
  <c r="A82" i="13"/>
  <c r="A81" i="13"/>
  <c r="A80" i="13"/>
  <c r="A79" i="13"/>
  <c r="A78" i="13"/>
  <c r="A77" i="13"/>
  <c r="A76" i="13"/>
  <c r="A75" i="13"/>
  <c r="A74" i="13"/>
  <c r="A73" i="13"/>
  <c r="A72" i="13"/>
  <c r="A71" i="13"/>
  <c r="A70" i="13"/>
  <c r="A69" i="13"/>
  <c r="A68" i="13"/>
  <c r="A67" i="13"/>
  <c r="A66" i="13"/>
  <c r="A65" i="13"/>
  <c r="A64" i="13"/>
  <c r="A63" i="13"/>
  <c r="T62" i="13"/>
  <c r="A62" i="13"/>
  <c r="T61" i="13"/>
  <c r="R61" i="13"/>
  <c r="A61" i="13"/>
  <c r="T60" i="13"/>
  <c r="A60" i="13"/>
  <c r="T59" i="13"/>
  <c r="R59" i="13"/>
  <c r="A59" i="13"/>
  <c r="T58" i="13"/>
  <c r="A58" i="13"/>
  <c r="T57" i="13"/>
  <c r="R57" i="13"/>
  <c r="A57" i="13"/>
  <c r="A56" i="13"/>
  <c r="A55" i="13"/>
  <c r="A54" i="13"/>
  <c r="A53" i="13"/>
  <c r="M49" i="13"/>
  <c r="M50" i="13" s="1"/>
  <c r="M51" i="13" s="1"/>
  <c r="M52" i="13" s="1"/>
  <c r="M46" i="13"/>
  <c r="M47" i="13" s="1"/>
  <c r="M48" i="13" s="1"/>
  <c r="H46" i="13"/>
  <c r="L45" i="13"/>
  <c r="L46" i="13" s="1"/>
  <c r="L47" i="13" s="1"/>
  <c r="L48" i="13" s="1"/>
  <c r="L49" i="13" s="1"/>
  <c r="L50" i="13" s="1"/>
  <c r="L51" i="13" s="1"/>
  <c r="L52" i="13" s="1"/>
  <c r="L44" i="13"/>
  <c r="K44" i="13"/>
  <c r="K45" i="13" s="1"/>
  <c r="K46" i="13" s="1"/>
  <c r="K47" i="13" s="1"/>
  <c r="K48" i="13" s="1"/>
  <c r="K49" i="13" s="1"/>
  <c r="K50" i="13" s="1"/>
  <c r="K51" i="13" s="1"/>
  <c r="K52" i="13" s="1"/>
  <c r="H44" i="13"/>
  <c r="H45" i="13" s="1"/>
  <c r="M43" i="13"/>
  <c r="M44" i="13" s="1"/>
  <c r="M45" i="13" s="1"/>
  <c r="L43" i="13"/>
  <c r="K43" i="13"/>
  <c r="J43" i="13"/>
  <c r="J44" i="13" s="1"/>
  <c r="J45" i="13" s="1"/>
  <c r="J46" i="13" s="1"/>
  <c r="J47" i="13" s="1"/>
  <c r="J48" i="13" s="1"/>
  <c r="J49" i="13" s="1"/>
  <c r="J50" i="13" s="1"/>
  <c r="J51" i="13" s="1"/>
  <c r="J52" i="13" s="1"/>
  <c r="I43" i="13"/>
  <c r="H43" i="13"/>
  <c r="A42" i="13"/>
  <c r="A41" i="13"/>
  <c r="A40" i="13"/>
  <c r="A39" i="13"/>
  <c r="A38" i="13"/>
  <c r="A37" i="13"/>
  <c r="A36" i="13"/>
  <c r="O35" i="13"/>
  <c r="O33" i="13"/>
  <c r="O34" i="13" s="1"/>
  <c r="J33" i="13"/>
  <c r="J34" i="13" s="1"/>
  <c r="J35" i="13" s="1"/>
  <c r="J32" i="13"/>
  <c r="Q31" i="13"/>
  <c r="Q32" i="13" s="1"/>
  <c r="Q33" i="13" s="1"/>
  <c r="Q34" i="13" s="1"/>
  <c r="Q35" i="13" s="1"/>
  <c r="P31" i="13"/>
  <c r="P32" i="13" s="1"/>
  <c r="P33" i="13" s="1"/>
  <c r="P34" i="13" s="1"/>
  <c r="P35" i="13" s="1"/>
  <c r="M31" i="13"/>
  <c r="M32" i="13" s="1"/>
  <c r="M33" i="13" s="1"/>
  <c r="M34" i="13" s="1"/>
  <c r="M35" i="13" s="1"/>
  <c r="L31" i="13"/>
  <c r="L32" i="13" s="1"/>
  <c r="L33" i="13" s="1"/>
  <c r="L34" i="13" s="1"/>
  <c r="L35" i="13" s="1"/>
  <c r="K31" i="13"/>
  <c r="K32" i="13" s="1"/>
  <c r="K33" i="13" s="1"/>
  <c r="K34" i="13" s="1"/>
  <c r="K35" i="13" s="1"/>
  <c r="I31" i="13"/>
  <c r="I32" i="13" s="1"/>
  <c r="I33" i="13" s="1"/>
  <c r="I34" i="13" s="1"/>
  <c r="I35" i="13" s="1"/>
  <c r="H31" i="13"/>
  <c r="H32" i="13" s="1"/>
  <c r="Q30" i="13"/>
  <c r="P30" i="13"/>
  <c r="O30" i="13"/>
  <c r="O31" i="13" s="1"/>
  <c r="O32" i="13" s="1"/>
  <c r="N30" i="13"/>
  <c r="N31" i="13" s="1"/>
  <c r="N32" i="13" s="1"/>
  <c r="N33" i="13" s="1"/>
  <c r="N34" i="13" s="1"/>
  <c r="N35" i="13" s="1"/>
  <c r="M30" i="13"/>
  <c r="L30" i="13"/>
  <c r="K30" i="13"/>
  <c r="J30" i="13"/>
  <c r="J31" i="13" s="1"/>
  <c r="I30" i="13"/>
  <c r="H30" i="13"/>
  <c r="A30" i="13"/>
  <c r="A29" i="13"/>
  <c r="A28" i="13"/>
  <c r="A27" i="13"/>
  <c r="A26" i="13"/>
  <c r="A25" i="13"/>
  <c r="A24" i="13"/>
  <c r="D23" i="13"/>
  <c r="F8" i="13"/>
  <c r="F9" i="13" s="1"/>
  <c r="F10" i="13" s="1"/>
  <c r="F11" i="13" s="1"/>
  <c r="F12" i="13" s="1"/>
  <c r="F13" i="13" s="1"/>
  <c r="F14" i="13" s="1"/>
  <c r="F15" i="13" s="1"/>
  <c r="F16" i="13" s="1"/>
  <c r="F17" i="13" s="1"/>
  <c r="F18" i="13" s="1"/>
  <c r="D8" i="13"/>
  <c r="A7" i="13"/>
  <c r="A6" i="13"/>
  <c r="A5" i="13"/>
  <c r="A4" i="13"/>
  <c r="A3" i="13"/>
  <c r="A2" i="13"/>
  <c r="A1" i="13"/>
  <c r="A162" i="12"/>
  <c r="A161" i="12"/>
  <c r="A160" i="12"/>
  <c r="A159" i="12"/>
  <c r="A158" i="12"/>
  <c r="A157" i="12"/>
  <c r="A156" i="12"/>
  <c r="G155" i="12"/>
  <c r="A155" i="12" s="1"/>
  <c r="G154" i="12"/>
  <c r="A154" i="12"/>
  <c r="G153" i="12"/>
  <c r="A153" i="12" s="1"/>
  <c r="G152" i="12"/>
  <c r="A152" i="12"/>
  <c r="G151" i="12"/>
  <c r="A151" i="12" s="1"/>
  <c r="G150" i="12"/>
  <c r="A150" i="12"/>
  <c r="G149" i="12"/>
  <c r="A149" i="12" s="1"/>
  <c r="G148" i="12"/>
  <c r="A148" i="12"/>
  <c r="G147" i="12"/>
  <c r="A147" i="12" s="1"/>
  <c r="G146" i="12"/>
  <c r="A146" i="12"/>
  <c r="G145" i="12"/>
  <c r="A145" i="12" s="1"/>
  <c r="G144" i="12"/>
  <c r="A144" i="12"/>
  <c r="G143" i="12"/>
  <c r="A143" i="12" s="1"/>
  <c r="G142" i="12"/>
  <c r="A142" i="12"/>
  <c r="G141" i="12"/>
  <c r="A141" i="12" s="1"/>
  <c r="G140" i="12"/>
  <c r="A140" i="12"/>
  <c r="G139" i="12"/>
  <c r="A139" i="12" s="1"/>
  <c r="G138" i="12"/>
  <c r="A138" i="12"/>
  <c r="G137" i="12"/>
  <c r="A137" i="12" s="1"/>
  <c r="G136" i="12"/>
  <c r="A136" i="12"/>
  <c r="G135" i="12"/>
  <c r="A135" i="12" s="1"/>
  <c r="G134" i="12"/>
  <c r="A134" i="12"/>
  <c r="G133" i="12"/>
  <c r="A133" i="12" s="1"/>
  <c r="G132" i="12"/>
  <c r="A132" i="12"/>
  <c r="G131" i="12"/>
  <c r="A131" i="12" s="1"/>
  <c r="G130" i="12"/>
  <c r="A130" i="12"/>
  <c r="G129" i="12"/>
  <c r="A129" i="12" s="1"/>
  <c r="G128" i="12"/>
  <c r="A128" i="12"/>
  <c r="G127" i="12"/>
  <c r="A127" i="12" s="1"/>
  <c r="G126" i="12"/>
  <c r="A126" i="12"/>
  <c r="G125" i="12"/>
  <c r="A125" i="12" s="1"/>
  <c r="G124" i="12"/>
  <c r="A124" i="12"/>
  <c r="G123" i="12"/>
  <c r="A123" i="12" s="1"/>
  <c r="G122" i="12"/>
  <c r="A122" i="12"/>
  <c r="G121" i="12"/>
  <c r="A121" i="12" s="1"/>
  <c r="G120" i="12"/>
  <c r="A120" i="12"/>
  <c r="G119" i="12"/>
  <c r="A119" i="12" s="1"/>
  <c r="G118" i="12"/>
  <c r="A118" i="12"/>
  <c r="G117" i="12"/>
  <c r="A117" i="12" s="1"/>
  <c r="G116" i="12"/>
  <c r="A116" i="12"/>
  <c r="G115" i="12"/>
  <c r="A115" i="12" s="1"/>
  <c r="G114" i="12"/>
  <c r="A114" i="12"/>
  <c r="G113" i="12"/>
  <c r="A113" i="12" s="1"/>
  <c r="G112" i="12"/>
  <c r="A112" i="12"/>
  <c r="G111" i="12"/>
  <c r="A111" i="12" s="1"/>
  <c r="G110" i="12"/>
  <c r="A110" i="12"/>
  <c r="G109" i="12"/>
  <c r="A109" i="12" s="1"/>
  <c r="G108" i="12"/>
  <c r="A108" i="12"/>
  <c r="G107" i="12"/>
  <c r="A107" i="12" s="1"/>
  <c r="G106" i="12"/>
  <c r="A106" i="12"/>
  <c r="G105" i="12"/>
  <c r="A105" i="12" s="1"/>
  <c r="G104" i="12"/>
  <c r="A104" i="12"/>
  <c r="G103" i="12"/>
  <c r="A103" i="12" s="1"/>
  <c r="G102" i="12"/>
  <c r="A102" i="12"/>
  <c r="G101" i="12"/>
  <c r="A101" i="12" s="1"/>
  <c r="G100" i="12"/>
  <c r="A100" i="12"/>
  <c r="G99" i="12"/>
  <c r="A99" i="12" s="1"/>
  <c r="G98" i="12"/>
  <c r="A98" i="12"/>
  <c r="A97" i="12"/>
  <c r="A96" i="12"/>
  <c r="A95" i="12"/>
  <c r="A94" i="12"/>
  <c r="A93" i="12"/>
  <c r="A92" i="12"/>
  <c r="A91" i="12"/>
  <c r="A90" i="12"/>
  <c r="A89" i="12"/>
  <c r="A88" i="12"/>
  <c r="A87" i="12"/>
  <c r="A86" i="12"/>
  <c r="A85" i="12"/>
  <c r="A84" i="12"/>
  <c r="A83" i="12"/>
  <c r="A82" i="12"/>
  <c r="A81" i="12"/>
  <c r="A80" i="12"/>
  <c r="A79" i="12"/>
  <c r="A78" i="12"/>
  <c r="A77" i="12"/>
  <c r="A76" i="12"/>
  <c r="A75" i="12"/>
  <c r="A74" i="12"/>
  <c r="T73" i="12"/>
  <c r="A73" i="12"/>
  <c r="T72" i="12"/>
  <c r="R72" i="12"/>
  <c r="A72" i="12"/>
  <c r="T71" i="12"/>
  <c r="A71" i="12"/>
  <c r="T70" i="12"/>
  <c r="R70" i="12"/>
  <c r="A70" i="12"/>
  <c r="T69" i="12"/>
  <c r="A69" i="12"/>
  <c r="T68" i="12"/>
  <c r="R68" i="12"/>
  <c r="A68" i="12"/>
  <c r="A67" i="12"/>
  <c r="A66" i="12"/>
  <c r="A65" i="12"/>
  <c r="F64" i="12"/>
  <c r="F63" i="12"/>
  <c r="F62" i="12"/>
  <c r="F61" i="12"/>
  <c r="F60" i="12"/>
  <c r="L59" i="12"/>
  <c r="L60" i="12" s="1"/>
  <c r="J59" i="12"/>
  <c r="J60" i="12" s="1"/>
  <c r="F59" i="12"/>
  <c r="H59" i="12" s="1"/>
  <c r="A58" i="12"/>
  <c r="A57" i="12"/>
  <c r="A56" i="12"/>
  <c r="A55" i="12"/>
  <c r="A54" i="12"/>
  <c r="A53" i="12"/>
  <c r="A52" i="12"/>
  <c r="F51" i="12"/>
  <c r="F50" i="12"/>
  <c r="F49" i="12"/>
  <c r="F48" i="12"/>
  <c r="F47" i="12"/>
  <c r="F46" i="12"/>
  <c r="F45" i="12"/>
  <c r="F44" i="12"/>
  <c r="P43" i="12"/>
  <c r="P44" i="12" s="1"/>
  <c r="P45" i="12" s="1"/>
  <c r="P46" i="12" s="1"/>
  <c r="P47" i="12" s="1"/>
  <c r="P48" i="12" s="1"/>
  <c r="P49" i="12" s="1"/>
  <c r="P50" i="12" s="1"/>
  <c r="P51" i="12" s="1"/>
  <c r="F43" i="12"/>
  <c r="Q42" i="12"/>
  <c r="Q43" i="12" s="1"/>
  <c r="Q44" i="12" s="1"/>
  <c r="Q45" i="12" s="1"/>
  <c r="Q46" i="12" s="1"/>
  <c r="Q47" i="12" s="1"/>
  <c r="Q48" i="12" s="1"/>
  <c r="Q49" i="12" s="1"/>
  <c r="Q50" i="12" s="1"/>
  <c r="Q51" i="12" s="1"/>
  <c r="P42" i="12"/>
  <c r="O42" i="12"/>
  <c r="O43" i="12" s="1"/>
  <c r="O44" i="12" s="1"/>
  <c r="O45" i="12" s="1"/>
  <c r="O46" i="12" s="1"/>
  <c r="O47" i="12" s="1"/>
  <c r="O48" i="12" s="1"/>
  <c r="O49" i="12" s="1"/>
  <c r="O50" i="12" s="1"/>
  <c r="O51" i="12" s="1"/>
  <c r="N42" i="12"/>
  <c r="N43" i="12" s="1"/>
  <c r="N44" i="12" s="1"/>
  <c r="N45" i="12" s="1"/>
  <c r="N46" i="12" s="1"/>
  <c r="N47" i="12" s="1"/>
  <c r="N48" i="12" s="1"/>
  <c r="N49" i="12" s="1"/>
  <c r="N50" i="12" s="1"/>
  <c r="N51" i="12" s="1"/>
  <c r="M42" i="12"/>
  <c r="M43" i="12" s="1"/>
  <c r="M44" i="12" s="1"/>
  <c r="M45" i="12" s="1"/>
  <c r="M46" i="12" s="1"/>
  <c r="M47" i="12" s="1"/>
  <c r="M48" i="12" s="1"/>
  <c r="M49" i="12" s="1"/>
  <c r="M50" i="12" s="1"/>
  <c r="M51" i="12" s="1"/>
  <c r="L42" i="12"/>
  <c r="L43" i="12" s="1"/>
  <c r="L44" i="12" s="1"/>
  <c r="L45" i="12" s="1"/>
  <c r="L46" i="12" s="1"/>
  <c r="L47" i="12" s="1"/>
  <c r="L48" i="12" s="1"/>
  <c r="L49" i="12" s="1"/>
  <c r="L50" i="12" s="1"/>
  <c r="L51" i="12" s="1"/>
  <c r="K42" i="12"/>
  <c r="K43" i="12" s="1"/>
  <c r="K44" i="12" s="1"/>
  <c r="K45" i="12" s="1"/>
  <c r="K46" i="12" s="1"/>
  <c r="K47" i="12" s="1"/>
  <c r="K48" i="12" s="1"/>
  <c r="K49" i="12" s="1"/>
  <c r="K50" i="12" s="1"/>
  <c r="K51" i="12" s="1"/>
  <c r="J42" i="12"/>
  <c r="J43" i="12" s="1"/>
  <c r="J44" i="12" s="1"/>
  <c r="J45" i="12" s="1"/>
  <c r="J46" i="12" s="1"/>
  <c r="J47" i="12" s="1"/>
  <c r="J48" i="12" s="1"/>
  <c r="J49" i="12" s="1"/>
  <c r="J50" i="12" s="1"/>
  <c r="J51" i="12" s="1"/>
  <c r="I42" i="12"/>
  <c r="I43" i="12" s="1"/>
  <c r="I44" i="12" s="1"/>
  <c r="I45" i="12" s="1"/>
  <c r="I46" i="12" s="1"/>
  <c r="I47" i="12" s="1"/>
  <c r="I48" i="12" s="1"/>
  <c r="I49" i="12" s="1"/>
  <c r="I50" i="12" s="1"/>
  <c r="I51" i="12" s="1"/>
  <c r="H42" i="12"/>
  <c r="A42" i="12" s="1"/>
  <c r="F42" i="12"/>
  <c r="A41" i="12"/>
  <c r="A40" i="12"/>
  <c r="A39" i="12"/>
  <c r="A38" i="12"/>
  <c r="A37" i="12"/>
  <c r="A36" i="12"/>
  <c r="F8" i="12"/>
  <c r="F9" i="12" s="1"/>
  <c r="A8" i="12"/>
  <c r="A7" i="12"/>
  <c r="A6" i="12"/>
  <c r="A5" i="12"/>
  <c r="A4" i="12"/>
  <c r="A3" i="12"/>
  <c r="A2" i="12"/>
  <c r="A1" i="12"/>
  <c r="A163" i="11"/>
  <c r="A162" i="11"/>
  <c r="A161" i="11"/>
  <c r="A160" i="11"/>
  <c r="A159" i="11"/>
  <c r="A158" i="11"/>
  <c r="A157" i="11"/>
  <c r="G156" i="11"/>
  <c r="A156" i="11"/>
  <c r="G155" i="11"/>
  <c r="A155" i="11"/>
  <c r="G154" i="11"/>
  <c r="A154" i="11"/>
  <c r="G153" i="11"/>
  <c r="A153" i="11"/>
  <c r="G152" i="11"/>
  <c r="A152" i="11"/>
  <c r="G151" i="11"/>
  <c r="A151" i="11"/>
  <c r="G150" i="11"/>
  <c r="A150" i="11"/>
  <c r="G149" i="11"/>
  <c r="A149" i="11"/>
  <c r="G148" i="11"/>
  <c r="A148" i="11"/>
  <c r="G147" i="11"/>
  <c r="A147" i="11"/>
  <c r="G146" i="11"/>
  <c r="A146" i="11"/>
  <c r="G145" i="11"/>
  <c r="A145" i="11"/>
  <c r="G144" i="11"/>
  <c r="A144" i="11"/>
  <c r="G143" i="11"/>
  <c r="A143" i="11"/>
  <c r="G142" i="11"/>
  <c r="A142" i="11"/>
  <c r="G141" i="11"/>
  <c r="A141" i="11"/>
  <c r="G140" i="11"/>
  <c r="A140" i="11"/>
  <c r="G139" i="11"/>
  <c r="A139" i="11"/>
  <c r="G138" i="11"/>
  <c r="A138" i="11"/>
  <c r="G137" i="11"/>
  <c r="A137" i="11"/>
  <c r="G136" i="11"/>
  <c r="A136" i="11"/>
  <c r="G135" i="11"/>
  <c r="A135" i="11"/>
  <c r="G134" i="11"/>
  <c r="A134" i="11"/>
  <c r="G133" i="11"/>
  <c r="A133" i="11"/>
  <c r="G132" i="11"/>
  <c r="A132" i="11"/>
  <c r="G131" i="11"/>
  <c r="A131" i="11"/>
  <c r="G130" i="11"/>
  <c r="A130" i="11"/>
  <c r="G129" i="11"/>
  <c r="A129" i="11"/>
  <c r="G128" i="11"/>
  <c r="A128" i="11"/>
  <c r="G127" i="11"/>
  <c r="A127" i="11"/>
  <c r="G126" i="11"/>
  <c r="A126" i="11"/>
  <c r="G125" i="11"/>
  <c r="A125" i="11"/>
  <c r="G124" i="11"/>
  <c r="A124" i="11"/>
  <c r="G123" i="11"/>
  <c r="A123" i="11"/>
  <c r="G122" i="11"/>
  <c r="A122" i="11"/>
  <c r="G121" i="11"/>
  <c r="A121" i="11"/>
  <c r="G120" i="11"/>
  <c r="A120" i="11"/>
  <c r="G119" i="11"/>
  <c r="A119" i="11"/>
  <c r="G118" i="11"/>
  <c r="A118" i="11"/>
  <c r="G117" i="11"/>
  <c r="A117" i="11"/>
  <c r="G116" i="11"/>
  <c r="A116" i="11"/>
  <c r="G115" i="11"/>
  <c r="A115" i="11"/>
  <c r="G114" i="11"/>
  <c r="A114" i="11"/>
  <c r="G113" i="11"/>
  <c r="A113" i="11"/>
  <c r="G112" i="11"/>
  <c r="A112" i="11"/>
  <c r="G111" i="11"/>
  <c r="A111" i="11"/>
  <c r="G110" i="11"/>
  <c r="A110" i="11"/>
  <c r="G109" i="11"/>
  <c r="A109" i="11"/>
  <c r="G108" i="11"/>
  <c r="A108" i="11"/>
  <c r="G107" i="11"/>
  <c r="A107" i="11"/>
  <c r="G106" i="11"/>
  <c r="A106" i="11"/>
  <c r="G105" i="11"/>
  <c r="A105" i="11"/>
  <c r="G104" i="11"/>
  <c r="A104" i="11"/>
  <c r="G103" i="11"/>
  <c r="A103" i="11"/>
  <c r="G102" i="11"/>
  <c r="A102" i="11"/>
  <c r="G101" i="11"/>
  <c r="A101" i="11"/>
  <c r="G100" i="11"/>
  <c r="A100" i="11"/>
  <c r="G99" i="11"/>
  <c r="A99" i="11"/>
  <c r="A98" i="11"/>
  <c r="A97" i="11"/>
  <c r="A96" i="11"/>
  <c r="A95" i="11"/>
  <c r="A94" i="11"/>
  <c r="A93" i="11"/>
  <c r="A92" i="11"/>
  <c r="A91" i="11"/>
  <c r="A90" i="11"/>
  <c r="A89" i="11"/>
  <c r="A88" i="11"/>
  <c r="A87" i="11"/>
  <c r="A86" i="11"/>
  <c r="A85" i="11"/>
  <c r="A84" i="11"/>
  <c r="A83" i="11"/>
  <c r="A82" i="11"/>
  <c r="A81" i="11"/>
  <c r="A80" i="11"/>
  <c r="A79" i="11"/>
  <c r="A78" i="11"/>
  <c r="A77" i="11"/>
  <c r="A76" i="11"/>
  <c r="A75" i="11"/>
  <c r="T74" i="11"/>
  <c r="A74" i="11"/>
  <c r="T73" i="11"/>
  <c r="R73" i="11"/>
  <c r="A73" i="11"/>
  <c r="T72" i="11"/>
  <c r="A72" i="11"/>
  <c r="T71" i="11"/>
  <c r="R71" i="11"/>
  <c r="A71" i="11"/>
  <c r="T70" i="11"/>
  <c r="A70" i="11"/>
  <c r="T69" i="11"/>
  <c r="R69" i="11"/>
  <c r="A69" i="11"/>
  <c r="A68" i="11"/>
  <c r="A67" i="11"/>
  <c r="A66" i="11"/>
  <c r="F65" i="11"/>
  <c r="F64" i="11"/>
  <c r="F63" i="11"/>
  <c r="F62" i="11"/>
  <c r="F61" i="11"/>
  <c r="F60" i="11"/>
  <c r="F59" i="11"/>
  <c r="L58" i="11"/>
  <c r="L59" i="11" s="1"/>
  <c r="L60" i="11" s="1"/>
  <c r="H58" i="11"/>
  <c r="H59" i="11" s="1"/>
  <c r="F58" i="11"/>
  <c r="J58" i="11" s="1"/>
  <c r="A58" i="11" s="1"/>
  <c r="A57" i="11"/>
  <c r="A56" i="11"/>
  <c r="A55" i="11"/>
  <c r="A54" i="11"/>
  <c r="A53" i="11"/>
  <c r="A52" i="11"/>
  <c r="A51" i="11"/>
  <c r="F50" i="11"/>
  <c r="F49" i="11"/>
  <c r="F48" i="11"/>
  <c r="F47" i="11"/>
  <c r="F46" i="11"/>
  <c r="F45" i="11"/>
  <c r="F44" i="11"/>
  <c r="Q43" i="11"/>
  <c r="Q44" i="11" s="1"/>
  <c r="Q45" i="11" s="1"/>
  <c r="Q46" i="11" s="1"/>
  <c r="Q47" i="11" s="1"/>
  <c r="Q48" i="11" s="1"/>
  <c r="Q49" i="11" s="1"/>
  <c r="Q50" i="11" s="1"/>
  <c r="O43" i="11"/>
  <c r="O44" i="11" s="1"/>
  <c r="O45" i="11" s="1"/>
  <c r="O46" i="11" s="1"/>
  <c r="O47" i="11" s="1"/>
  <c r="O48" i="11" s="1"/>
  <c r="O49" i="11" s="1"/>
  <c r="O50" i="11" s="1"/>
  <c r="M43" i="11"/>
  <c r="M44" i="11" s="1"/>
  <c r="M45" i="11" s="1"/>
  <c r="M46" i="11" s="1"/>
  <c r="M47" i="11" s="1"/>
  <c r="M48" i="11" s="1"/>
  <c r="M49" i="11" s="1"/>
  <c r="M50" i="11" s="1"/>
  <c r="K43" i="11"/>
  <c r="K44" i="11" s="1"/>
  <c r="K45" i="11" s="1"/>
  <c r="K46" i="11" s="1"/>
  <c r="K47" i="11" s="1"/>
  <c r="K48" i="11" s="1"/>
  <c r="K49" i="11" s="1"/>
  <c r="K50" i="11" s="1"/>
  <c r="I43" i="11"/>
  <c r="I44" i="11" s="1"/>
  <c r="I45" i="11" s="1"/>
  <c r="I46" i="11" s="1"/>
  <c r="I47" i="11" s="1"/>
  <c r="I48" i="11" s="1"/>
  <c r="I49" i="11" s="1"/>
  <c r="I50" i="11" s="1"/>
  <c r="F43" i="11"/>
  <c r="P43" i="11" s="1"/>
  <c r="P44" i="11" s="1"/>
  <c r="P45" i="11" s="1"/>
  <c r="P46" i="11" s="1"/>
  <c r="P47" i="11" s="1"/>
  <c r="P48" i="11" s="1"/>
  <c r="P49" i="11" s="1"/>
  <c r="P50" i="11" s="1"/>
  <c r="A42" i="11"/>
  <c r="A41" i="11"/>
  <c r="A40" i="11"/>
  <c r="A39" i="11"/>
  <c r="A38" i="11"/>
  <c r="A37" i="11"/>
  <c r="F9" i="11"/>
  <c r="F8" i="11"/>
  <c r="A8" i="11" s="1"/>
  <c r="A7" i="11"/>
  <c r="A6" i="11"/>
  <c r="A5" i="11"/>
  <c r="A4" i="11"/>
  <c r="A3" i="11"/>
  <c r="A2" i="11"/>
  <c r="A1" i="11"/>
  <c r="A152" i="10"/>
  <c r="A151" i="10"/>
  <c r="A150" i="10"/>
  <c r="A149" i="10"/>
  <c r="A148" i="10"/>
  <c r="A147" i="10"/>
  <c r="A146" i="10"/>
  <c r="A145" i="10"/>
  <c r="A144" i="10"/>
  <c r="A143" i="10"/>
  <c r="A142" i="10"/>
  <c r="A141" i="10"/>
  <c r="A140" i="10"/>
  <c r="A139" i="10"/>
  <c r="A138" i="10"/>
  <c r="A137" i="10"/>
  <c r="A136" i="10"/>
  <c r="A135" i="10"/>
  <c r="A134" i="10"/>
  <c r="A133" i="10"/>
  <c r="A132" i="10"/>
  <c r="A131" i="10"/>
  <c r="A130" i="10"/>
  <c r="A129" i="10"/>
  <c r="A128" i="10"/>
  <c r="A127" i="10"/>
  <c r="A126" i="10"/>
  <c r="A125" i="10"/>
  <c r="A124" i="10"/>
  <c r="A123" i="10"/>
  <c r="A122" i="10"/>
  <c r="A121" i="10"/>
  <c r="A120" i="10"/>
  <c r="A119" i="10"/>
  <c r="A118" i="10"/>
  <c r="A117" i="10"/>
  <c r="A116" i="10"/>
  <c r="A115" i="10"/>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T63" i="10"/>
  <c r="A63" i="10"/>
  <c r="T62" i="10"/>
  <c r="R62" i="10"/>
  <c r="A62" i="10"/>
  <c r="T61" i="10"/>
  <c r="A61" i="10"/>
  <c r="T60" i="10"/>
  <c r="R60" i="10"/>
  <c r="A60" i="10"/>
  <c r="T59" i="10"/>
  <c r="A59" i="10"/>
  <c r="T58" i="10"/>
  <c r="R58" i="10"/>
  <c r="A58" i="10"/>
  <c r="A57" i="10"/>
  <c r="A56" i="10"/>
  <c r="A55" i="10"/>
  <c r="A54" i="10"/>
  <c r="A53" i="10"/>
  <c r="A52" i="10"/>
  <c r="A51" i="10"/>
  <c r="A50" i="10"/>
  <c r="A49" i="10"/>
  <c r="A48" i="10"/>
  <c r="A47" i="10"/>
  <c r="A46" i="10"/>
  <c r="A45" i="10"/>
  <c r="A44" i="10"/>
  <c r="A43" i="10"/>
  <c r="A42" i="10"/>
  <c r="A41" i="10"/>
  <c r="A40" i="10"/>
  <c r="A39" i="10"/>
  <c r="A38" i="10"/>
  <c r="A37" i="10"/>
  <c r="A36" i="10"/>
  <c r="A35" i="10"/>
  <c r="A34" i="10"/>
  <c r="A33" i="10"/>
  <c r="A32" i="10"/>
  <c r="A31" i="10"/>
  <c r="A30" i="10"/>
  <c r="A29" i="10"/>
  <c r="A28" i="10"/>
  <c r="A27" i="10"/>
  <c r="A26" i="10"/>
  <c r="A25" i="10"/>
  <c r="A24" i="10"/>
  <c r="A23" i="10"/>
  <c r="A22" i="10"/>
  <c r="A21" i="10"/>
  <c r="F9" i="10"/>
  <c r="A8" i="10"/>
  <c r="A7" i="10"/>
  <c r="A6" i="10"/>
  <c r="A5" i="10"/>
  <c r="A4" i="10"/>
  <c r="A3" i="10"/>
  <c r="A2" i="10"/>
  <c r="A1" i="10"/>
  <c r="A162" i="9"/>
  <c r="A161" i="9"/>
  <c r="A160" i="9"/>
  <c r="A159" i="9"/>
  <c r="A158" i="9"/>
  <c r="A157" i="9"/>
  <c r="G156" i="9"/>
  <c r="A156" i="9" s="1"/>
  <c r="G155" i="9"/>
  <c r="A155" i="9" s="1"/>
  <c r="G154" i="9"/>
  <c r="A154" i="9"/>
  <c r="G153" i="9"/>
  <c r="A153" i="9" s="1"/>
  <c r="G152" i="9"/>
  <c r="A152" i="9" s="1"/>
  <c r="G151" i="9"/>
  <c r="A151" i="9" s="1"/>
  <c r="G150" i="9"/>
  <c r="A150" i="9"/>
  <c r="G149" i="9"/>
  <c r="A149" i="9" s="1"/>
  <c r="G148" i="9"/>
  <c r="A148" i="9" s="1"/>
  <c r="G147" i="9"/>
  <c r="A147" i="9" s="1"/>
  <c r="G146" i="9"/>
  <c r="A146" i="9"/>
  <c r="G145" i="9"/>
  <c r="A145" i="9" s="1"/>
  <c r="G144" i="9"/>
  <c r="A144" i="9" s="1"/>
  <c r="G143" i="9"/>
  <c r="A143" i="9" s="1"/>
  <c r="G142" i="9"/>
  <c r="A142" i="9"/>
  <c r="G141" i="9"/>
  <c r="A141" i="9" s="1"/>
  <c r="G140" i="9"/>
  <c r="A140" i="9" s="1"/>
  <c r="G139" i="9"/>
  <c r="A139" i="9" s="1"/>
  <c r="G138" i="9"/>
  <c r="A138" i="9"/>
  <c r="G137" i="9"/>
  <c r="A137" i="9" s="1"/>
  <c r="G136" i="9"/>
  <c r="A136" i="9" s="1"/>
  <c r="G135" i="9"/>
  <c r="A135" i="9" s="1"/>
  <c r="G134" i="9"/>
  <c r="A134" i="9"/>
  <c r="G133" i="9"/>
  <c r="A133" i="9" s="1"/>
  <c r="G132" i="9"/>
  <c r="A132" i="9" s="1"/>
  <c r="G131" i="9"/>
  <c r="A131" i="9" s="1"/>
  <c r="G130" i="9"/>
  <c r="A130" i="9"/>
  <c r="G129" i="9"/>
  <c r="A129" i="9" s="1"/>
  <c r="G128" i="9"/>
  <c r="A128" i="9" s="1"/>
  <c r="G127" i="9"/>
  <c r="A127" i="9" s="1"/>
  <c r="G126" i="9"/>
  <c r="A126" i="9"/>
  <c r="G125" i="9"/>
  <c r="A125" i="9" s="1"/>
  <c r="G124" i="9"/>
  <c r="A124" i="9" s="1"/>
  <c r="G123" i="9"/>
  <c r="A123" i="9" s="1"/>
  <c r="G122" i="9"/>
  <c r="A122" i="9"/>
  <c r="G121" i="9"/>
  <c r="A121" i="9" s="1"/>
  <c r="G120" i="9"/>
  <c r="A120" i="9" s="1"/>
  <c r="G119" i="9"/>
  <c r="A119" i="9" s="1"/>
  <c r="G118" i="9"/>
  <c r="A118" i="9"/>
  <c r="G117" i="9"/>
  <c r="A117" i="9" s="1"/>
  <c r="G116" i="9"/>
  <c r="A116" i="9" s="1"/>
  <c r="G115" i="9"/>
  <c r="A115" i="9" s="1"/>
  <c r="G114" i="9"/>
  <c r="A114" i="9"/>
  <c r="G113" i="9"/>
  <c r="A113" i="9" s="1"/>
  <c r="G112" i="9"/>
  <c r="A112" i="9" s="1"/>
  <c r="G111" i="9"/>
  <c r="A111" i="9" s="1"/>
  <c r="G110" i="9"/>
  <c r="A110" i="9"/>
  <c r="G109" i="9"/>
  <c r="A109" i="9" s="1"/>
  <c r="G108" i="9"/>
  <c r="A108" i="9" s="1"/>
  <c r="G107" i="9"/>
  <c r="A107" i="9" s="1"/>
  <c r="G106" i="9"/>
  <c r="A106" i="9"/>
  <c r="G105" i="9"/>
  <c r="A105" i="9" s="1"/>
  <c r="G104" i="9"/>
  <c r="A104" i="9" s="1"/>
  <c r="G103" i="9"/>
  <c r="A103" i="9" s="1"/>
  <c r="G102" i="9"/>
  <c r="A102" i="9"/>
  <c r="G101" i="9"/>
  <c r="A101" i="9" s="1"/>
  <c r="G100" i="9"/>
  <c r="A100" i="9" s="1"/>
  <c r="G99" i="9"/>
  <c r="A99" i="9" s="1"/>
  <c r="G98" i="9"/>
  <c r="A98" i="9"/>
  <c r="A97" i="9"/>
  <c r="A96" i="9"/>
  <c r="A95" i="9"/>
  <c r="A94" i="9"/>
  <c r="A93" i="9"/>
  <c r="A92" i="9"/>
  <c r="A91" i="9"/>
  <c r="A90" i="9"/>
  <c r="A89" i="9"/>
  <c r="A88" i="9"/>
  <c r="A87" i="9"/>
  <c r="A86" i="9"/>
  <c r="A85" i="9"/>
  <c r="A84" i="9"/>
  <c r="A83" i="9"/>
  <c r="A82" i="9"/>
  <c r="A81" i="9"/>
  <c r="A80" i="9"/>
  <c r="A79" i="9"/>
  <c r="A78" i="9"/>
  <c r="A77" i="9"/>
  <c r="A76" i="9"/>
  <c r="A75" i="9"/>
  <c r="A74" i="9"/>
  <c r="T73" i="9"/>
  <c r="A73" i="9"/>
  <c r="T72" i="9"/>
  <c r="R72" i="9"/>
  <c r="A72" i="9"/>
  <c r="T71" i="9"/>
  <c r="A71" i="9"/>
  <c r="T70" i="9"/>
  <c r="R70" i="9"/>
  <c r="A70" i="9"/>
  <c r="T69" i="9"/>
  <c r="A69" i="9"/>
  <c r="T68" i="9"/>
  <c r="R68" i="9"/>
  <c r="A68" i="9"/>
  <c r="A67" i="9"/>
  <c r="A66" i="9"/>
  <c r="A65" i="9"/>
  <c r="F64" i="9"/>
  <c r="F63" i="9"/>
  <c r="F62" i="9"/>
  <c r="F61" i="9"/>
  <c r="K60" i="9"/>
  <c r="K61" i="9" s="1"/>
  <c r="K62" i="9" s="1"/>
  <c r="K63" i="9" s="1"/>
  <c r="K64" i="9" s="1"/>
  <c r="F60" i="9"/>
  <c r="M59" i="9"/>
  <c r="M60" i="9" s="1"/>
  <c r="M61" i="9" s="1"/>
  <c r="M62" i="9" s="1"/>
  <c r="M63" i="9" s="1"/>
  <c r="M64" i="9" s="1"/>
  <c r="K59" i="9"/>
  <c r="I59" i="9"/>
  <c r="I60" i="9" s="1"/>
  <c r="I61" i="9" s="1"/>
  <c r="I62" i="9" s="1"/>
  <c r="I63" i="9" s="1"/>
  <c r="I64" i="9" s="1"/>
  <c r="F59" i="9"/>
  <c r="J59" i="9" s="1"/>
  <c r="A58" i="9"/>
  <c r="A57" i="9"/>
  <c r="A56" i="9"/>
  <c r="A55" i="9"/>
  <c r="A54" i="9"/>
  <c r="A53" i="9"/>
  <c r="A52" i="9"/>
  <c r="F51" i="9"/>
  <c r="F50" i="9"/>
  <c r="F49" i="9"/>
  <c r="F48" i="9"/>
  <c r="F47" i="9"/>
  <c r="O46" i="9"/>
  <c r="O47" i="9" s="1"/>
  <c r="O48" i="9" s="1"/>
  <c r="O49" i="9" s="1"/>
  <c r="O50" i="9" s="1"/>
  <c r="O51" i="9" s="1"/>
  <c r="F46" i="9"/>
  <c r="F45" i="9"/>
  <c r="F44" i="9"/>
  <c r="N43" i="9"/>
  <c r="K43" i="9"/>
  <c r="K44" i="9" s="1"/>
  <c r="K45" i="9" s="1"/>
  <c r="K46" i="9" s="1"/>
  <c r="K47" i="9" s="1"/>
  <c r="K48" i="9" s="1"/>
  <c r="K49" i="9" s="1"/>
  <c r="K50" i="9" s="1"/>
  <c r="K51" i="9" s="1"/>
  <c r="F43" i="9"/>
  <c r="Q42" i="9"/>
  <c r="Q43" i="9" s="1"/>
  <c r="Q44" i="9" s="1"/>
  <c r="Q45" i="9" s="1"/>
  <c r="Q46" i="9" s="1"/>
  <c r="Q47" i="9" s="1"/>
  <c r="Q48" i="9" s="1"/>
  <c r="Q49" i="9" s="1"/>
  <c r="Q50" i="9" s="1"/>
  <c r="Q51" i="9" s="1"/>
  <c r="P42" i="9"/>
  <c r="P43" i="9" s="1"/>
  <c r="P44" i="9" s="1"/>
  <c r="P45" i="9" s="1"/>
  <c r="P46" i="9" s="1"/>
  <c r="P47" i="9" s="1"/>
  <c r="P48" i="9" s="1"/>
  <c r="P49" i="9" s="1"/>
  <c r="P50" i="9" s="1"/>
  <c r="P51" i="9" s="1"/>
  <c r="O42" i="9"/>
  <c r="O43" i="9" s="1"/>
  <c r="O44" i="9" s="1"/>
  <c r="O45" i="9" s="1"/>
  <c r="N42" i="9"/>
  <c r="M42" i="9"/>
  <c r="M43" i="9" s="1"/>
  <c r="M44" i="9" s="1"/>
  <c r="M45" i="9" s="1"/>
  <c r="M46" i="9" s="1"/>
  <c r="M47" i="9" s="1"/>
  <c r="M48" i="9" s="1"/>
  <c r="M49" i="9" s="1"/>
  <c r="M50" i="9" s="1"/>
  <c r="M51" i="9" s="1"/>
  <c r="L42" i="9"/>
  <c r="L43" i="9" s="1"/>
  <c r="L44" i="9" s="1"/>
  <c r="L45" i="9" s="1"/>
  <c r="L46" i="9" s="1"/>
  <c r="L47" i="9" s="1"/>
  <c r="L48" i="9" s="1"/>
  <c r="L49" i="9" s="1"/>
  <c r="L50" i="9" s="1"/>
  <c r="L51" i="9" s="1"/>
  <c r="K42" i="9"/>
  <c r="J42" i="9"/>
  <c r="J43" i="9" s="1"/>
  <c r="J44" i="9" s="1"/>
  <c r="J45" i="9" s="1"/>
  <c r="J46" i="9" s="1"/>
  <c r="J47" i="9" s="1"/>
  <c r="J48" i="9" s="1"/>
  <c r="J49" i="9" s="1"/>
  <c r="J50" i="9" s="1"/>
  <c r="J51" i="9" s="1"/>
  <c r="I42" i="9"/>
  <c r="I43" i="9" s="1"/>
  <c r="I44" i="9" s="1"/>
  <c r="I45" i="9" s="1"/>
  <c r="I46" i="9" s="1"/>
  <c r="I47" i="9" s="1"/>
  <c r="I48" i="9" s="1"/>
  <c r="I49" i="9" s="1"/>
  <c r="I50" i="9" s="1"/>
  <c r="I51" i="9" s="1"/>
  <c r="H42" i="9"/>
  <c r="A42" i="9" s="1"/>
  <c r="F42" i="9"/>
  <c r="A41" i="9"/>
  <c r="A40" i="9"/>
  <c r="A39" i="9"/>
  <c r="A38" i="9"/>
  <c r="A37" i="9"/>
  <c r="A36" i="9"/>
  <c r="A35" i="9"/>
  <c r="A34" i="9"/>
  <c r="A33" i="9"/>
  <c r="A32" i="9"/>
  <c r="A31" i="9"/>
  <c r="A30" i="9"/>
  <c r="A29" i="9"/>
  <c r="A28" i="9"/>
  <c r="A27" i="9"/>
  <c r="A26" i="9"/>
  <c r="A25" i="9"/>
  <c r="A24" i="9"/>
  <c r="A23" i="9"/>
  <c r="A22" i="9"/>
  <c r="A21" i="9"/>
  <c r="A20" i="9"/>
  <c r="A19" i="9"/>
  <c r="A18" i="9"/>
  <c r="A17" i="9"/>
  <c r="A16" i="9"/>
  <c r="A15" i="9"/>
  <c r="A14" i="9"/>
  <c r="A13" i="9"/>
  <c r="A12" i="9"/>
  <c r="A11" i="9"/>
  <c r="A10" i="9"/>
  <c r="A9" i="9"/>
  <c r="A8" i="9"/>
  <c r="A7" i="9"/>
  <c r="A6" i="9"/>
  <c r="A5" i="9"/>
  <c r="A4" i="9"/>
  <c r="A3" i="9"/>
  <c r="A2" i="9"/>
  <c r="A1" i="9"/>
  <c r="A162" i="8"/>
  <c r="A161" i="8"/>
  <c r="A160" i="8"/>
  <c r="A159" i="8"/>
  <c r="A158" i="8"/>
  <c r="A157" i="8"/>
  <c r="A156" i="8"/>
  <c r="G155" i="8"/>
  <c r="A155" i="8"/>
  <c r="G154" i="8"/>
  <c r="A154" i="8"/>
  <c r="G153" i="8"/>
  <c r="A153" i="8"/>
  <c r="G152" i="8"/>
  <c r="A152" i="8"/>
  <c r="G151" i="8"/>
  <c r="A151" i="8"/>
  <c r="G150" i="8"/>
  <c r="A150" i="8"/>
  <c r="G149" i="8"/>
  <c r="A149" i="8"/>
  <c r="G148" i="8"/>
  <c r="A148" i="8"/>
  <c r="G147" i="8"/>
  <c r="A147" i="8"/>
  <c r="G146" i="8"/>
  <c r="A146" i="8"/>
  <c r="G145" i="8"/>
  <c r="A145" i="8"/>
  <c r="G144" i="8"/>
  <c r="A144" i="8"/>
  <c r="G143" i="8"/>
  <c r="A143" i="8"/>
  <c r="G142" i="8"/>
  <c r="A142" i="8"/>
  <c r="G141" i="8"/>
  <c r="A141" i="8"/>
  <c r="G140" i="8"/>
  <c r="A140" i="8"/>
  <c r="G139" i="8"/>
  <c r="A139" i="8"/>
  <c r="G138" i="8"/>
  <c r="A138" i="8"/>
  <c r="G137" i="8"/>
  <c r="A137" i="8"/>
  <c r="G136" i="8"/>
  <c r="A136" i="8"/>
  <c r="G135" i="8"/>
  <c r="A135" i="8"/>
  <c r="G134" i="8"/>
  <c r="A134" i="8"/>
  <c r="G133" i="8"/>
  <c r="A133" i="8"/>
  <c r="G132" i="8"/>
  <c r="A132" i="8"/>
  <c r="G131" i="8"/>
  <c r="A131" i="8"/>
  <c r="G130" i="8"/>
  <c r="A130" i="8"/>
  <c r="G129" i="8"/>
  <c r="A129" i="8"/>
  <c r="G128" i="8"/>
  <c r="A128" i="8"/>
  <c r="G127" i="8"/>
  <c r="A127" i="8"/>
  <c r="G126" i="8"/>
  <c r="A126" i="8"/>
  <c r="G125" i="8"/>
  <c r="A125" i="8"/>
  <c r="G124" i="8"/>
  <c r="A124" i="8"/>
  <c r="G123" i="8"/>
  <c r="A123" i="8"/>
  <c r="G122" i="8"/>
  <c r="A122" i="8"/>
  <c r="G121" i="8"/>
  <c r="A121" i="8"/>
  <c r="G120" i="8"/>
  <c r="A120" i="8"/>
  <c r="G119" i="8"/>
  <c r="A119" i="8"/>
  <c r="G118" i="8"/>
  <c r="A118" i="8"/>
  <c r="G117" i="8"/>
  <c r="A117" i="8"/>
  <c r="G116" i="8"/>
  <c r="A116" i="8"/>
  <c r="G115" i="8"/>
  <c r="A115" i="8"/>
  <c r="G114" i="8"/>
  <c r="A114" i="8"/>
  <c r="G113" i="8"/>
  <c r="A113" i="8"/>
  <c r="G112" i="8"/>
  <c r="A112" i="8"/>
  <c r="G111" i="8"/>
  <c r="A111" i="8"/>
  <c r="G110" i="8"/>
  <c r="A110" i="8"/>
  <c r="G109" i="8"/>
  <c r="A109" i="8"/>
  <c r="G108" i="8"/>
  <c r="A108" i="8"/>
  <c r="G107" i="8"/>
  <c r="A107" i="8"/>
  <c r="G106" i="8"/>
  <c r="A106" i="8"/>
  <c r="G105" i="8"/>
  <c r="A105" i="8"/>
  <c r="G104" i="8"/>
  <c r="A104" i="8"/>
  <c r="G103" i="8"/>
  <c r="A103" i="8"/>
  <c r="G102" i="8"/>
  <c r="A102" i="8"/>
  <c r="G101" i="8"/>
  <c r="A101" i="8"/>
  <c r="G100" i="8"/>
  <c r="A100" i="8"/>
  <c r="G99" i="8"/>
  <c r="A99" i="8"/>
  <c r="G98" i="8"/>
  <c r="A98" i="8"/>
  <c r="A97" i="8"/>
  <c r="A96" i="8"/>
  <c r="A95" i="8"/>
  <c r="A94" i="8"/>
  <c r="A93" i="8"/>
  <c r="A92" i="8"/>
  <c r="A91" i="8"/>
  <c r="A90" i="8"/>
  <c r="A89" i="8"/>
  <c r="A88" i="8"/>
  <c r="A87" i="8"/>
  <c r="A86" i="8"/>
  <c r="A85" i="8"/>
  <c r="A84" i="8"/>
  <c r="A83" i="8"/>
  <c r="A82" i="8"/>
  <c r="A81" i="8"/>
  <c r="A80" i="8"/>
  <c r="A79" i="8"/>
  <c r="A78" i="8"/>
  <c r="A77" i="8"/>
  <c r="A76" i="8"/>
  <c r="A75" i="8"/>
  <c r="A74" i="8"/>
  <c r="T73" i="8"/>
  <c r="A73" i="8"/>
  <c r="T72" i="8"/>
  <c r="R72" i="8"/>
  <c r="A72" i="8"/>
  <c r="T71" i="8"/>
  <c r="A71" i="8"/>
  <c r="T70" i="8"/>
  <c r="R70" i="8"/>
  <c r="A70" i="8"/>
  <c r="T69" i="8"/>
  <c r="A69" i="8"/>
  <c r="T68" i="8"/>
  <c r="R68" i="8"/>
  <c r="A68" i="8"/>
  <c r="A67" i="8"/>
  <c r="A66" i="8"/>
  <c r="A65" i="8"/>
  <c r="F64" i="8"/>
  <c r="F63" i="8"/>
  <c r="F62" i="8"/>
  <c r="F61" i="8"/>
  <c r="F60" i="8"/>
  <c r="F59" i="8"/>
  <c r="F58" i="8"/>
  <c r="L57" i="8"/>
  <c r="L58" i="8" s="1"/>
  <c r="L59" i="8" s="1"/>
  <c r="L60" i="8" s="1"/>
  <c r="L61" i="8" s="1"/>
  <c r="L62" i="8" s="1"/>
  <c r="L63" i="8" s="1"/>
  <c r="L64" i="8" s="1"/>
  <c r="H57" i="8"/>
  <c r="H58" i="8" s="1"/>
  <c r="F57" i="8"/>
  <c r="A57" i="8"/>
  <c r="L56" i="8"/>
  <c r="J56" i="8"/>
  <c r="J57" i="8" s="1"/>
  <c r="J58" i="8" s="1"/>
  <c r="J59" i="8" s="1"/>
  <c r="J60" i="8" s="1"/>
  <c r="J61" i="8" s="1"/>
  <c r="J62" i="8" s="1"/>
  <c r="J63" i="8" s="1"/>
  <c r="J64" i="8" s="1"/>
  <c r="F56" i="8"/>
  <c r="H56" i="8" s="1"/>
  <c r="A56" i="8"/>
  <c r="A55" i="8"/>
  <c r="A54" i="8"/>
  <c r="A53" i="8"/>
  <c r="A52" i="8"/>
  <c r="A51" i="8"/>
  <c r="A50" i="8"/>
  <c r="A49" i="8"/>
  <c r="F48" i="8"/>
  <c r="N47" i="8"/>
  <c r="N48" i="8" s="1"/>
  <c r="F47" i="8"/>
  <c r="F46" i="8"/>
  <c r="N45" i="8"/>
  <c r="N46" i="8" s="1"/>
  <c r="F45" i="8"/>
  <c r="Q44" i="8"/>
  <c r="Q45" i="8" s="1"/>
  <c r="Q46" i="8" s="1"/>
  <c r="Q47" i="8" s="1"/>
  <c r="Q48" i="8" s="1"/>
  <c r="P44" i="8"/>
  <c r="P45" i="8" s="1"/>
  <c r="P46" i="8" s="1"/>
  <c r="P47" i="8" s="1"/>
  <c r="P48" i="8" s="1"/>
  <c r="N44" i="8"/>
  <c r="L44" i="8"/>
  <c r="L45" i="8" s="1"/>
  <c r="L46" i="8" s="1"/>
  <c r="L47" i="8" s="1"/>
  <c r="L48" i="8" s="1"/>
  <c r="F44" i="8"/>
  <c r="Q43" i="8"/>
  <c r="P43" i="8"/>
  <c r="O43" i="8"/>
  <c r="O44" i="8" s="1"/>
  <c r="O45" i="8" s="1"/>
  <c r="O46" i="8" s="1"/>
  <c r="O47" i="8" s="1"/>
  <c r="O48" i="8" s="1"/>
  <c r="N43" i="8"/>
  <c r="M43" i="8"/>
  <c r="M44" i="8" s="1"/>
  <c r="M45" i="8" s="1"/>
  <c r="M46" i="8" s="1"/>
  <c r="M47" i="8" s="1"/>
  <c r="M48" i="8" s="1"/>
  <c r="L43" i="8"/>
  <c r="K43" i="8"/>
  <c r="K44" i="8" s="1"/>
  <c r="K45" i="8" s="1"/>
  <c r="K46" i="8" s="1"/>
  <c r="K47" i="8" s="1"/>
  <c r="K48" i="8" s="1"/>
  <c r="J43" i="8"/>
  <c r="J44" i="8" s="1"/>
  <c r="J45" i="8" s="1"/>
  <c r="J46" i="8" s="1"/>
  <c r="J47" i="8" s="1"/>
  <c r="J48" i="8" s="1"/>
  <c r="I43" i="8"/>
  <c r="A43" i="8" s="1"/>
  <c r="H43" i="8"/>
  <c r="H44" i="8" s="1"/>
  <c r="F43" i="8"/>
  <c r="A42" i="8"/>
  <c r="A41" i="8"/>
  <c r="A40" i="8"/>
  <c r="A39" i="8"/>
  <c r="A38" i="8"/>
  <c r="A37" i="8"/>
  <c r="F9" i="8"/>
  <c r="F8" i="8"/>
  <c r="A8" i="8"/>
  <c r="A7" i="8"/>
  <c r="A6" i="8"/>
  <c r="A5" i="8"/>
  <c r="A4" i="8"/>
  <c r="A3" i="8"/>
  <c r="A2" i="8"/>
  <c r="A1" i="8"/>
  <c r="A154" i="7"/>
  <c r="A153" i="7"/>
  <c r="A152" i="7"/>
  <c r="A151" i="7"/>
  <c r="A150" i="7"/>
  <c r="A149" i="7"/>
  <c r="G148" i="7"/>
  <c r="A148" i="7" s="1"/>
  <c r="G147" i="7"/>
  <c r="A147" i="7" s="1"/>
  <c r="G146" i="7"/>
  <c r="A146" i="7" s="1"/>
  <c r="G145" i="7"/>
  <c r="A145" i="7"/>
  <c r="G144" i="7"/>
  <c r="A144" i="7" s="1"/>
  <c r="G143" i="7"/>
  <c r="A143" i="7" s="1"/>
  <c r="G142" i="7"/>
  <c r="A142" i="7" s="1"/>
  <c r="G141" i="7"/>
  <c r="A141" i="7"/>
  <c r="G140" i="7"/>
  <c r="A140" i="7" s="1"/>
  <c r="G139" i="7"/>
  <c r="A139" i="7" s="1"/>
  <c r="G138" i="7"/>
  <c r="A138" i="7" s="1"/>
  <c r="G137" i="7"/>
  <c r="A137" i="7"/>
  <c r="G136" i="7"/>
  <c r="A136" i="7" s="1"/>
  <c r="G135" i="7"/>
  <c r="A135" i="7" s="1"/>
  <c r="G134" i="7"/>
  <c r="A134" i="7" s="1"/>
  <c r="G133" i="7"/>
  <c r="A133" i="7"/>
  <c r="G132" i="7"/>
  <c r="A132" i="7" s="1"/>
  <c r="G131" i="7"/>
  <c r="A131" i="7" s="1"/>
  <c r="G130" i="7"/>
  <c r="A130" i="7" s="1"/>
  <c r="G129" i="7"/>
  <c r="A129" i="7"/>
  <c r="G128" i="7"/>
  <c r="A128" i="7" s="1"/>
  <c r="G127" i="7"/>
  <c r="A127" i="7" s="1"/>
  <c r="G126" i="7"/>
  <c r="A126" i="7" s="1"/>
  <c r="G125" i="7"/>
  <c r="A125" i="7"/>
  <c r="G124" i="7"/>
  <c r="A124" i="7" s="1"/>
  <c r="G123" i="7"/>
  <c r="A123" i="7" s="1"/>
  <c r="G122" i="7"/>
  <c r="A122" i="7" s="1"/>
  <c r="G121" i="7"/>
  <c r="A121" i="7"/>
  <c r="G120" i="7"/>
  <c r="A120" i="7" s="1"/>
  <c r="G119" i="7"/>
  <c r="A119" i="7" s="1"/>
  <c r="G118" i="7"/>
  <c r="A118" i="7" s="1"/>
  <c r="G117" i="7"/>
  <c r="A117" i="7"/>
  <c r="G116" i="7"/>
  <c r="A116" i="7" s="1"/>
  <c r="G115" i="7"/>
  <c r="A115" i="7" s="1"/>
  <c r="G114" i="7"/>
  <c r="A114" i="7" s="1"/>
  <c r="G113" i="7"/>
  <c r="A113" i="7"/>
  <c r="G112" i="7"/>
  <c r="A112" i="7" s="1"/>
  <c r="G111" i="7"/>
  <c r="A111" i="7" s="1"/>
  <c r="G110" i="7"/>
  <c r="A110" i="7" s="1"/>
  <c r="G109" i="7"/>
  <c r="A109" i="7"/>
  <c r="G108" i="7"/>
  <c r="A108" i="7" s="1"/>
  <c r="G107" i="7"/>
  <c r="A107" i="7" s="1"/>
  <c r="G106" i="7"/>
  <c r="A106" i="7" s="1"/>
  <c r="G105" i="7"/>
  <c r="A105" i="7"/>
  <c r="G104" i="7"/>
  <c r="A104" i="7" s="1"/>
  <c r="G103" i="7"/>
  <c r="A103" i="7" s="1"/>
  <c r="G102" i="7"/>
  <c r="A102" i="7" s="1"/>
  <c r="G101" i="7"/>
  <c r="A101" i="7"/>
  <c r="G100" i="7"/>
  <c r="A100" i="7" s="1"/>
  <c r="G99" i="7"/>
  <c r="A99" i="7" s="1"/>
  <c r="G98" i="7"/>
  <c r="A98" i="7" s="1"/>
  <c r="G97" i="7"/>
  <c r="A97" i="7"/>
  <c r="G96" i="7"/>
  <c r="A96" i="7" s="1"/>
  <c r="G95" i="7"/>
  <c r="A95" i="7" s="1"/>
  <c r="G94" i="7"/>
  <c r="A94" i="7" s="1"/>
  <c r="G93" i="7"/>
  <c r="A93" i="7" s="1"/>
  <c r="G92" i="7"/>
  <c r="A92" i="7" s="1"/>
  <c r="G91" i="7"/>
  <c r="A91" i="7" s="1"/>
  <c r="G90" i="7"/>
  <c r="A90" i="7" s="1"/>
  <c r="A89" i="7"/>
  <c r="A88" i="7"/>
  <c r="A87" i="7"/>
  <c r="A86" i="7"/>
  <c r="A85" i="7"/>
  <c r="A84" i="7"/>
  <c r="A83" i="7"/>
  <c r="A82" i="7"/>
  <c r="A81" i="7"/>
  <c r="A80" i="7"/>
  <c r="A79" i="7"/>
  <c r="A78" i="7"/>
  <c r="A77" i="7"/>
  <c r="A76" i="7"/>
  <c r="A75" i="7"/>
  <c r="A74" i="7"/>
  <c r="A73" i="7"/>
  <c r="A72" i="7"/>
  <c r="A71" i="7"/>
  <c r="A70" i="7"/>
  <c r="A69" i="7"/>
  <c r="A68" i="7"/>
  <c r="A67" i="7"/>
  <c r="A66" i="7"/>
  <c r="T65" i="7"/>
  <c r="A65" i="7"/>
  <c r="T64" i="7"/>
  <c r="R64" i="7"/>
  <c r="A64" i="7"/>
  <c r="T63" i="7"/>
  <c r="A63" i="7"/>
  <c r="T62" i="7"/>
  <c r="R62" i="7"/>
  <c r="A62" i="7"/>
  <c r="T61" i="7"/>
  <c r="A61" i="7"/>
  <c r="T60" i="7"/>
  <c r="R60" i="7"/>
  <c r="A60" i="7"/>
  <c r="A59" i="7"/>
  <c r="A58" i="7"/>
  <c r="A57" i="7"/>
  <c r="F56" i="7"/>
  <c r="F55" i="7"/>
  <c r="F54" i="7"/>
  <c r="F53" i="7"/>
  <c r="F52" i="7"/>
  <c r="F51" i="7"/>
  <c r="F50" i="7"/>
  <c r="F49" i="7"/>
  <c r="F48" i="7"/>
  <c r="F47" i="7"/>
  <c r="F46" i="7"/>
  <c r="K45" i="7"/>
  <c r="K46" i="7" s="1"/>
  <c r="K47" i="7" s="1"/>
  <c r="K48" i="7" s="1"/>
  <c r="K49" i="7" s="1"/>
  <c r="K50" i="7" s="1"/>
  <c r="K51" i="7" s="1"/>
  <c r="K52" i="7" s="1"/>
  <c r="K53" i="7" s="1"/>
  <c r="K54" i="7" s="1"/>
  <c r="K55" i="7" s="1"/>
  <c r="K56" i="7" s="1"/>
  <c r="F45" i="7"/>
  <c r="K44" i="7"/>
  <c r="F44" i="7"/>
  <c r="M43" i="7"/>
  <c r="M44" i="7" s="1"/>
  <c r="M45" i="7" s="1"/>
  <c r="M46" i="7" s="1"/>
  <c r="M47" i="7" s="1"/>
  <c r="M48" i="7" s="1"/>
  <c r="M49" i="7" s="1"/>
  <c r="M50" i="7" s="1"/>
  <c r="M51" i="7" s="1"/>
  <c r="M52" i="7" s="1"/>
  <c r="M53" i="7" s="1"/>
  <c r="M54" i="7" s="1"/>
  <c r="M55" i="7" s="1"/>
  <c r="M56" i="7" s="1"/>
  <c r="K43" i="7"/>
  <c r="I43" i="7"/>
  <c r="I44" i="7" s="1"/>
  <c r="I45" i="7" s="1"/>
  <c r="I46" i="7" s="1"/>
  <c r="I47" i="7" s="1"/>
  <c r="I48" i="7" s="1"/>
  <c r="I49" i="7" s="1"/>
  <c r="I50" i="7" s="1"/>
  <c r="I51" i="7" s="1"/>
  <c r="I52" i="7" s="1"/>
  <c r="I53" i="7" s="1"/>
  <c r="I54" i="7" s="1"/>
  <c r="I55" i="7" s="1"/>
  <c r="I56" i="7" s="1"/>
  <c r="F43" i="7"/>
  <c r="A42" i="7"/>
  <c r="A41" i="7"/>
  <c r="A40" i="7"/>
  <c r="A39" i="7"/>
  <c r="A38" i="7"/>
  <c r="A37" i="7"/>
  <c r="A36" i="7"/>
  <c r="F35" i="7"/>
  <c r="F34" i="7"/>
  <c r="F33" i="7"/>
  <c r="F32" i="7"/>
  <c r="J31" i="7"/>
  <c r="J32" i="7" s="1"/>
  <c r="J33" i="7" s="1"/>
  <c r="J34" i="7" s="1"/>
  <c r="J35" i="7" s="1"/>
  <c r="F31" i="7"/>
  <c r="Q30" i="7"/>
  <c r="Q31" i="7" s="1"/>
  <c r="Q32" i="7" s="1"/>
  <c r="Q33" i="7" s="1"/>
  <c r="Q34" i="7" s="1"/>
  <c r="Q35" i="7" s="1"/>
  <c r="P30" i="7"/>
  <c r="P31" i="7" s="1"/>
  <c r="P32" i="7" s="1"/>
  <c r="P33" i="7" s="1"/>
  <c r="P34" i="7" s="1"/>
  <c r="P35" i="7" s="1"/>
  <c r="O30" i="7"/>
  <c r="O31" i="7" s="1"/>
  <c r="O32" i="7" s="1"/>
  <c r="O33" i="7" s="1"/>
  <c r="O34" i="7" s="1"/>
  <c r="O35" i="7" s="1"/>
  <c r="N30" i="7"/>
  <c r="N31" i="7" s="1"/>
  <c r="N32" i="7" s="1"/>
  <c r="N33" i="7" s="1"/>
  <c r="N34" i="7" s="1"/>
  <c r="N35" i="7" s="1"/>
  <c r="M30" i="7"/>
  <c r="M31" i="7" s="1"/>
  <c r="M32" i="7" s="1"/>
  <c r="M33" i="7" s="1"/>
  <c r="M34" i="7" s="1"/>
  <c r="M35" i="7" s="1"/>
  <c r="L30" i="7"/>
  <c r="L31" i="7" s="1"/>
  <c r="L32" i="7" s="1"/>
  <c r="L33" i="7" s="1"/>
  <c r="L34" i="7" s="1"/>
  <c r="L35" i="7" s="1"/>
  <c r="K30" i="7"/>
  <c r="K31" i="7" s="1"/>
  <c r="K32" i="7" s="1"/>
  <c r="K33" i="7" s="1"/>
  <c r="K34" i="7" s="1"/>
  <c r="K35" i="7" s="1"/>
  <c r="J30" i="7"/>
  <c r="I30" i="7"/>
  <c r="I31" i="7" s="1"/>
  <c r="I32" i="7" s="1"/>
  <c r="I33" i="7" s="1"/>
  <c r="I34" i="7" s="1"/>
  <c r="I35" i="7" s="1"/>
  <c r="H30" i="7"/>
  <c r="H31" i="7" s="1"/>
  <c r="H32" i="7" s="1"/>
  <c r="H33" i="7" s="1"/>
  <c r="H34" i="7" s="1"/>
  <c r="H35" i="7" s="1"/>
  <c r="A35" i="7" s="1"/>
  <c r="F30" i="7"/>
  <c r="A30" i="7"/>
  <c r="A29" i="7"/>
  <c r="A28" i="7"/>
  <c r="A27" i="7"/>
  <c r="A26" i="7"/>
  <c r="A25" i="7"/>
  <c r="A24" i="7"/>
  <c r="A9" i="7"/>
  <c r="F8" i="7"/>
  <c r="F9" i="7" s="1"/>
  <c r="F10" i="7" s="1"/>
  <c r="A8" i="7"/>
  <c r="A7" i="7"/>
  <c r="A6" i="7"/>
  <c r="A5" i="7"/>
  <c r="A4" i="7"/>
  <c r="A3" i="7"/>
  <c r="A2" i="7"/>
  <c r="A1" i="7"/>
  <c r="A163" i="6"/>
  <c r="A162" i="6"/>
  <c r="A161" i="6"/>
  <c r="A160" i="6"/>
  <c r="A159" i="6"/>
  <c r="A158" i="6"/>
  <c r="G157" i="6"/>
  <c r="A157" i="6" s="1"/>
  <c r="G156" i="6"/>
  <c r="A156" i="6" s="1"/>
  <c r="G155" i="6"/>
  <c r="A155" i="6" s="1"/>
  <c r="G154" i="6"/>
  <c r="A154" i="6" s="1"/>
  <c r="G153" i="6"/>
  <c r="A153" i="6" s="1"/>
  <c r="G152" i="6"/>
  <c r="A152" i="6" s="1"/>
  <c r="G151" i="6"/>
  <c r="A151" i="6" s="1"/>
  <c r="G150" i="6"/>
  <c r="A150" i="6" s="1"/>
  <c r="G149" i="6"/>
  <c r="A149" i="6" s="1"/>
  <c r="G148" i="6"/>
  <c r="A148" i="6" s="1"/>
  <c r="G147" i="6"/>
  <c r="A147" i="6" s="1"/>
  <c r="G146" i="6"/>
  <c r="A146" i="6" s="1"/>
  <c r="G145" i="6"/>
  <c r="A145" i="6" s="1"/>
  <c r="G144" i="6"/>
  <c r="A144" i="6" s="1"/>
  <c r="A143" i="6"/>
  <c r="G142" i="6"/>
  <c r="A142" i="6"/>
  <c r="G141" i="6"/>
  <c r="A141" i="6"/>
  <c r="G140" i="6"/>
  <c r="A140" i="6"/>
  <c r="G139" i="6"/>
  <c r="A139" i="6"/>
  <c r="G138" i="6"/>
  <c r="A138" i="6"/>
  <c r="G137" i="6"/>
  <c r="A137" i="6"/>
  <c r="G136" i="6"/>
  <c r="A136" i="6"/>
  <c r="G135" i="6"/>
  <c r="A135" i="6"/>
  <c r="G134" i="6"/>
  <c r="A134" i="6"/>
  <c r="G133" i="6"/>
  <c r="A133" i="6"/>
  <c r="G132" i="6"/>
  <c r="A132" i="6"/>
  <c r="G131" i="6"/>
  <c r="A131" i="6"/>
  <c r="G130" i="6"/>
  <c r="A130" i="6"/>
  <c r="G129" i="6"/>
  <c r="A129" i="6"/>
  <c r="G128" i="6"/>
  <c r="A128" i="6"/>
  <c r="G127" i="6"/>
  <c r="A127" i="6"/>
  <c r="G126" i="6"/>
  <c r="A126" i="6"/>
  <c r="G125" i="6"/>
  <c r="A125" i="6"/>
  <c r="G124" i="6"/>
  <c r="A124" i="6"/>
  <c r="G123" i="6"/>
  <c r="A123" i="6"/>
  <c r="G122" i="6"/>
  <c r="A122" i="6"/>
  <c r="G121" i="6"/>
  <c r="A121" i="6"/>
  <c r="G120" i="6"/>
  <c r="A120" i="6"/>
  <c r="G119" i="6"/>
  <c r="A119" i="6"/>
  <c r="G118" i="6"/>
  <c r="A118" i="6"/>
  <c r="G117" i="6"/>
  <c r="A117" i="6"/>
  <c r="G116" i="6"/>
  <c r="A116" i="6"/>
  <c r="G115" i="6"/>
  <c r="A115" i="6"/>
  <c r="G114" i="6"/>
  <c r="A114" i="6"/>
  <c r="G113" i="6"/>
  <c r="A113" i="6"/>
  <c r="G112" i="6"/>
  <c r="A112" i="6"/>
  <c r="G111" i="6"/>
  <c r="A111" i="6"/>
  <c r="G110" i="6"/>
  <c r="A110" i="6"/>
  <c r="G109" i="6"/>
  <c r="A109" i="6"/>
  <c r="G108" i="6"/>
  <c r="A108" i="6"/>
  <c r="G107" i="6"/>
  <c r="A107" i="6"/>
  <c r="G106" i="6"/>
  <c r="A106" i="6"/>
  <c r="G105" i="6"/>
  <c r="A105" i="6"/>
  <c r="G104" i="6"/>
  <c r="A104" i="6"/>
  <c r="G103" i="6"/>
  <c r="A103" i="6"/>
  <c r="G102" i="6"/>
  <c r="A102" i="6"/>
  <c r="G101" i="6"/>
  <c r="A101" i="6"/>
  <c r="G100" i="6"/>
  <c r="A100" i="6"/>
  <c r="G99" i="6"/>
  <c r="A99" i="6"/>
  <c r="A98" i="6"/>
  <c r="A97" i="6"/>
  <c r="A96" i="6"/>
  <c r="A95" i="6"/>
  <c r="A94" i="6"/>
  <c r="A93" i="6"/>
  <c r="A92" i="6"/>
  <c r="A91" i="6"/>
  <c r="A90" i="6"/>
  <c r="A89" i="6"/>
  <c r="A88" i="6"/>
  <c r="R87" i="6"/>
  <c r="A87" i="6"/>
  <c r="A86" i="6"/>
  <c r="A85" i="6"/>
  <c r="A84" i="6"/>
  <c r="A83" i="6"/>
  <c r="A82" i="6"/>
  <c r="A81" i="6"/>
  <c r="A80" i="6"/>
  <c r="A79" i="6"/>
  <c r="R78" i="6"/>
  <c r="A78" i="6"/>
  <c r="A77" i="6"/>
  <c r="A76" i="6"/>
  <c r="A75" i="6"/>
  <c r="A74" i="6"/>
  <c r="A73" i="6"/>
  <c r="A72" i="6"/>
  <c r="A71" i="6"/>
  <c r="A70" i="6"/>
  <c r="R69" i="6"/>
  <c r="A69" i="6"/>
  <c r="A68" i="6"/>
  <c r="A67" i="6"/>
  <c r="A66" i="6"/>
  <c r="F65" i="6"/>
  <c r="F64" i="6"/>
  <c r="F63" i="6"/>
  <c r="F62" i="6"/>
  <c r="F61" i="6"/>
  <c r="H60" i="6"/>
  <c r="F60" i="6"/>
  <c r="J59" i="6"/>
  <c r="J60" i="6" s="1"/>
  <c r="J61" i="6" s="1"/>
  <c r="J62" i="6" s="1"/>
  <c r="J63" i="6" s="1"/>
  <c r="J64" i="6" s="1"/>
  <c r="J65" i="6" s="1"/>
  <c r="F59" i="6"/>
  <c r="H59" i="6" s="1"/>
  <c r="A58" i="6"/>
  <c r="A57" i="6"/>
  <c r="A56" i="6"/>
  <c r="A55" i="6"/>
  <c r="A54" i="6"/>
  <c r="A53" i="6"/>
  <c r="A52" i="6"/>
  <c r="F51" i="6"/>
  <c r="F50" i="6"/>
  <c r="F49" i="6"/>
  <c r="F48" i="6"/>
  <c r="F47" i="6"/>
  <c r="F46" i="6"/>
  <c r="F45" i="6"/>
  <c r="F44" i="6"/>
  <c r="F43" i="6"/>
  <c r="Q42" i="6"/>
  <c r="Q43" i="6" s="1"/>
  <c r="Q44" i="6" s="1"/>
  <c r="Q45" i="6" s="1"/>
  <c r="Q46" i="6" s="1"/>
  <c r="Q47" i="6" s="1"/>
  <c r="Q48" i="6" s="1"/>
  <c r="Q49" i="6" s="1"/>
  <c r="Q50" i="6" s="1"/>
  <c r="Q51" i="6" s="1"/>
  <c r="P42" i="6"/>
  <c r="P43" i="6" s="1"/>
  <c r="P44" i="6" s="1"/>
  <c r="P45" i="6" s="1"/>
  <c r="P46" i="6" s="1"/>
  <c r="P47" i="6" s="1"/>
  <c r="P48" i="6" s="1"/>
  <c r="P49" i="6" s="1"/>
  <c r="P50" i="6" s="1"/>
  <c r="P51" i="6" s="1"/>
  <c r="O42" i="6"/>
  <c r="O43" i="6" s="1"/>
  <c r="O44" i="6" s="1"/>
  <c r="O45" i="6" s="1"/>
  <c r="O46" i="6" s="1"/>
  <c r="O47" i="6" s="1"/>
  <c r="O48" i="6" s="1"/>
  <c r="O49" i="6" s="1"/>
  <c r="O50" i="6" s="1"/>
  <c r="O51" i="6" s="1"/>
  <c r="N42" i="6"/>
  <c r="N43" i="6" s="1"/>
  <c r="N44" i="6" s="1"/>
  <c r="N45" i="6" s="1"/>
  <c r="N46" i="6" s="1"/>
  <c r="N47" i="6" s="1"/>
  <c r="N48" i="6" s="1"/>
  <c r="N49" i="6" s="1"/>
  <c r="N50" i="6" s="1"/>
  <c r="N51" i="6" s="1"/>
  <c r="M42" i="6"/>
  <c r="M43" i="6" s="1"/>
  <c r="M44" i="6" s="1"/>
  <c r="M45" i="6" s="1"/>
  <c r="M46" i="6" s="1"/>
  <c r="M47" i="6" s="1"/>
  <c r="M48" i="6" s="1"/>
  <c r="M49" i="6" s="1"/>
  <c r="M50" i="6" s="1"/>
  <c r="M51" i="6" s="1"/>
  <c r="L42" i="6"/>
  <c r="L43" i="6" s="1"/>
  <c r="L44" i="6" s="1"/>
  <c r="L45" i="6" s="1"/>
  <c r="L46" i="6" s="1"/>
  <c r="L47" i="6" s="1"/>
  <c r="L48" i="6" s="1"/>
  <c r="L49" i="6" s="1"/>
  <c r="L50" i="6" s="1"/>
  <c r="L51" i="6" s="1"/>
  <c r="K42" i="6"/>
  <c r="K43" i="6" s="1"/>
  <c r="K44" i="6" s="1"/>
  <c r="K45" i="6" s="1"/>
  <c r="K46" i="6" s="1"/>
  <c r="K47" i="6" s="1"/>
  <c r="K48" i="6" s="1"/>
  <c r="K49" i="6" s="1"/>
  <c r="K50" i="6" s="1"/>
  <c r="K51" i="6" s="1"/>
  <c r="J42" i="6"/>
  <c r="J43" i="6" s="1"/>
  <c r="J44" i="6" s="1"/>
  <c r="J45" i="6" s="1"/>
  <c r="J46" i="6" s="1"/>
  <c r="J47" i="6" s="1"/>
  <c r="J48" i="6" s="1"/>
  <c r="J49" i="6" s="1"/>
  <c r="J50" i="6" s="1"/>
  <c r="J51" i="6" s="1"/>
  <c r="I42" i="6"/>
  <c r="I43" i="6" s="1"/>
  <c r="I44" i="6" s="1"/>
  <c r="I45" i="6" s="1"/>
  <c r="I46" i="6" s="1"/>
  <c r="I47" i="6" s="1"/>
  <c r="I48" i="6" s="1"/>
  <c r="I49" i="6" s="1"/>
  <c r="I50" i="6" s="1"/>
  <c r="I51" i="6" s="1"/>
  <c r="H42" i="6"/>
  <c r="A42" i="6" s="1"/>
  <c r="F42" i="6"/>
  <c r="A41" i="6"/>
  <c r="A40" i="6"/>
  <c r="A39" i="6"/>
  <c r="A38" i="6"/>
  <c r="A37" i="6"/>
  <c r="A36" i="6"/>
  <c r="A10" i="6"/>
  <c r="F9" i="6"/>
  <c r="F10" i="6" s="1"/>
  <c r="F11" i="6" s="1"/>
  <c r="A9" i="6"/>
  <c r="F8" i="6"/>
  <c r="A8" i="6"/>
  <c r="A7" i="6"/>
  <c r="A6" i="6"/>
  <c r="A5" i="6"/>
  <c r="A4" i="6"/>
  <c r="A3" i="6"/>
  <c r="A2" i="6"/>
  <c r="A1" i="6"/>
  <c r="A163" i="5"/>
  <c r="A162" i="5"/>
  <c r="A161" i="5"/>
  <c r="A160" i="5"/>
  <c r="A159" i="5"/>
  <c r="A158" i="5"/>
  <c r="A157" i="5"/>
  <c r="G156" i="5"/>
  <c r="A156" i="5"/>
  <c r="G155" i="5"/>
  <c r="A155" i="5"/>
  <c r="G154" i="5"/>
  <c r="A154" i="5"/>
  <c r="G153" i="5"/>
  <c r="A153" i="5"/>
  <c r="G152" i="5"/>
  <c r="A152" i="5"/>
  <c r="G151" i="5"/>
  <c r="A151" i="5"/>
  <c r="G150" i="5"/>
  <c r="A150" i="5"/>
  <c r="G149" i="5"/>
  <c r="A149" i="5"/>
  <c r="G148" i="5"/>
  <c r="A148" i="5"/>
  <c r="G147" i="5"/>
  <c r="A147" i="5"/>
  <c r="G146" i="5"/>
  <c r="A146" i="5"/>
  <c r="G145" i="5"/>
  <c r="A145" i="5"/>
  <c r="G144" i="5"/>
  <c r="A144" i="5"/>
  <c r="G143" i="5"/>
  <c r="A143" i="5"/>
  <c r="G142" i="5"/>
  <c r="A142" i="5"/>
  <c r="G141" i="5"/>
  <c r="A141" i="5"/>
  <c r="G140" i="5"/>
  <c r="A140" i="5"/>
  <c r="G139" i="5"/>
  <c r="A139" i="5"/>
  <c r="G138" i="5"/>
  <c r="A138" i="5"/>
  <c r="G137" i="5"/>
  <c r="A137" i="5"/>
  <c r="G136" i="5"/>
  <c r="A136" i="5"/>
  <c r="G135" i="5"/>
  <c r="A135" i="5"/>
  <c r="G134" i="5"/>
  <c r="A134" i="5"/>
  <c r="G133" i="5"/>
  <c r="A133" i="5"/>
  <c r="G132" i="5"/>
  <c r="A132" i="5"/>
  <c r="G131" i="5"/>
  <c r="A131" i="5"/>
  <c r="G130" i="5"/>
  <c r="A130" i="5"/>
  <c r="G129" i="5"/>
  <c r="A129" i="5"/>
  <c r="G128" i="5"/>
  <c r="A128" i="5"/>
  <c r="G127" i="5"/>
  <c r="A127" i="5"/>
  <c r="G126" i="5"/>
  <c r="A126" i="5"/>
  <c r="G125" i="5"/>
  <c r="A125" i="5"/>
  <c r="G124" i="5"/>
  <c r="A124" i="5"/>
  <c r="G123" i="5"/>
  <c r="A123" i="5"/>
  <c r="G122" i="5"/>
  <c r="A122" i="5"/>
  <c r="G121" i="5"/>
  <c r="A121" i="5"/>
  <c r="G120" i="5"/>
  <c r="A120" i="5"/>
  <c r="G119" i="5"/>
  <c r="A119" i="5"/>
  <c r="G118" i="5"/>
  <c r="A118" i="5"/>
  <c r="G117" i="5"/>
  <c r="A117" i="5"/>
  <c r="G116" i="5"/>
  <c r="A116" i="5"/>
  <c r="G115" i="5"/>
  <c r="A115" i="5"/>
  <c r="G114" i="5"/>
  <c r="A114" i="5"/>
  <c r="G113" i="5"/>
  <c r="A113" i="5"/>
  <c r="G112" i="5"/>
  <c r="A112" i="5"/>
  <c r="G111" i="5"/>
  <c r="A111" i="5"/>
  <c r="G110" i="5"/>
  <c r="A110" i="5"/>
  <c r="G109" i="5"/>
  <c r="A109" i="5"/>
  <c r="G108" i="5"/>
  <c r="A108" i="5"/>
  <c r="G107" i="5"/>
  <c r="A107" i="5"/>
  <c r="G106" i="5"/>
  <c r="A106" i="5"/>
  <c r="G105" i="5"/>
  <c r="A105" i="5"/>
  <c r="G104" i="5"/>
  <c r="A104" i="5"/>
  <c r="G103" i="5"/>
  <c r="A103" i="5"/>
  <c r="G102" i="5"/>
  <c r="A102" i="5"/>
  <c r="G101" i="5"/>
  <c r="A101" i="5"/>
  <c r="G100" i="5"/>
  <c r="A100" i="5"/>
  <c r="G99" i="5"/>
  <c r="A99" i="5"/>
  <c r="A98" i="5"/>
  <c r="A97" i="5"/>
  <c r="A96" i="5"/>
  <c r="A95" i="5"/>
  <c r="A94" i="5"/>
  <c r="A93" i="5"/>
  <c r="A92" i="5"/>
  <c r="A91" i="5"/>
  <c r="A90" i="5"/>
  <c r="A89" i="5"/>
  <c r="A88" i="5"/>
  <c r="R87" i="5"/>
  <c r="A87" i="5"/>
  <c r="A86" i="5"/>
  <c r="A85" i="5"/>
  <c r="A84" i="5"/>
  <c r="A83" i="5"/>
  <c r="A82" i="5"/>
  <c r="A81" i="5"/>
  <c r="A80" i="5"/>
  <c r="A79" i="5"/>
  <c r="R78" i="5"/>
  <c r="A78" i="5"/>
  <c r="A77" i="5"/>
  <c r="A76" i="5"/>
  <c r="A75" i="5"/>
  <c r="A74" i="5"/>
  <c r="A73" i="5"/>
  <c r="A72" i="5"/>
  <c r="A71" i="5"/>
  <c r="A70" i="5"/>
  <c r="R69" i="5"/>
  <c r="A69" i="5"/>
  <c r="A68" i="5"/>
  <c r="A67" i="5"/>
  <c r="A66" i="5"/>
  <c r="F65" i="5"/>
  <c r="F64" i="5"/>
  <c r="F63" i="5"/>
  <c r="F62" i="5"/>
  <c r="F61" i="5"/>
  <c r="F60" i="5"/>
  <c r="F59" i="5"/>
  <c r="L58" i="5"/>
  <c r="H58" i="5"/>
  <c r="H59" i="5" s="1"/>
  <c r="F58" i="5"/>
  <c r="J58" i="5" s="1"/>
  <c r="J59" i="5" s="1"/>
  <c r="J60" i="5" s="1"/>
  <c r="J61" i="5" s="1"/>
  <c r="J62" i="5" s="1"/>
  <c r="J63" i="5" s="1"/>
  <c r="J64" i="5" s="1"/>
  <c r="J65" i="5" s="1"/>
  <c r="A57" i="5"/>
  <c r="A56" i="5"/>
  <c r="A55" i="5"/>
  <c r="A54" i="5"/>
  <c r="A53" i="5"/>
  <c r="A52" i="5"/>
  <c r="A51" i="5"/>
  <c r="F50" i="5"/>
  <c r="F49" i="5"/>
  <c r="F48" i="5"/>
  <c r="F47" i="5"/>
  <c r="F46" i="5"/>
  <c r="F45" i="5"/>
  <c r="O44" i="5"/>
  <c r="O45" i="5" s="1"/>
  <c r="O46" i="5" s="1"/>
  <c r="O47" i="5" s="1"/>
  <c r="O48" i="5" s="1"/>
  <c r="O49" i="5" s="1"/>
  <c r="O50" i="5" s="1"/>
  <c r="M44" i="5"/>
  <c r="M45" i="5" s="1"/>
  <c r="M46" i="5" s="1"/>
  <c r="M47" i="5" s="1"/>
  <c r="M48" i="5" s="1"/>
  <c r="M49" i="5" s="1"/>
  <c r="M50" i="5" s="1"/>
  <c r="F44" i="5"/>
  <c r="Q43" i="5"/>
  <c r="Q44" i="5" s="1"/>
  <c r="Q45" i="5" s="1"/>
  <c r="Q46" i="5" s="1"/>
  <c r="Q47" i="5" s="1"/>
  <c r="Q48" i="5" s="1"/>
  <c r="Q49" i="5" s="1"/>
  <c r="Q50" i="5" s="1"/>
  <c r="O43" i="5"/>
  <c r="M43" i="5"/>
  <c r="K43" i="5"/>
  <c r="K44" i="5" s="1"/>
  <c r="K45" i="5" s="1"/>
  <c r="K46" i="5" s="1"/>
  <c r="K47" i="5" s="1"/>
  <c r="K48" i="5" s="1"/>
  <c r="K49" i="5" s="1"/>
  <c r="K50" i="5" s="1"/>
  <c r="I43" i="5"/>
  <c r="I44" i="5" s="1"/>
  <c r="I45" i="5" s="1"/>
  <c r="I46" i="5" s="1"/>
  <c r="I47" i="5" s="1"/>
  <c r="I48" i="5" s="1"/>
  <c r="I49" i="5" s="1"/>
  <c r="I50" i="5" s="1"/>
  <c r="F43" i="5"/>
  <c r="A42" i="5"/>
  <c r="A41" i="5"/>
  <c r="A40" i="5"/>
  <c r="A39" i="5"/>
  <c r="A38" i="5"/>
  <c r="A37" i="5"/>
  <c r="F8" i="5"/>
  <c r="A8" i="5" s="1"/>
  <c r="A7" i="5"/>
  <c r="A6" i="5"/>
  <c r="A5" i="5"/>
  <c r="A4" i="5"/>
  <c r="A3" i="5"/>
  <c r="A2" i="5"/>
  <c r="A1" i="5"/>
  <c r="A153" i="4"/>
  <c r="A152" i="4"/>
  <c r="A151" i="4"/>
  <c r="A150" i="4"/>
  <c r="A149" i="4"/>
  <c r="A148" i="4"/>
  <c r="G147" i="4"/>
  <c r="A147" i="4"/>
  <c r="G146" i="4"/>
  <c r="A146" i="4"/>
  <c r="G145" i="4"/>
  <c r="A145" i="4"/>
  <c r="G144" i="4"/>
  <c r="A144" i="4"/>
  <c r="G143" i="4"/>
  <c r="A143" i="4"/>
  <c r="G142" i="4"/>
  <c r="A142" i="4"/>
  <c r="G141" i="4"/>
  <c r="A141" i="4"/>
  <c r="G140" i="4"/>
  <c r="A140" i="4"/>
  <c r="G139" i="4"/>
  <c r="A139" i="4"/>
  <c r="G138" i="4"/>
  <c r="A138" i="4"/>
  <c r="G137" i="4"/>
  <c r="A137" i="4"/>
  <c r="G136" i="4"/>
  <c r="A136" i="4"/>
  <c r="G135" i="4"/>
  <c r="A135" i="4"/>
  <c r="G134" i="4"/>
  <c r="A134" i="4"/>
  <c r="G133" i="4"/>
  <c r="A133" i="4"/>
  <c r="G132" i="4"/>
  <c r="A132" i="4"/>
  <c r="G131" i="4"/>
  <c r="A131" i="4"/>
  <c r="G130" i="4"/>
  <c r="A130" i="4"/>
  <c r="G129" i="4"/>
  <c r="A129" i="4"/>
  <c r="G128" i="4"/>
  <c r="A128" i="4"/>
  <c r="G127" i="4"/>
  <c r="A127" i="4"/>
  <c r="G126" i="4"/>
  <c r="A126" i="4"/>
  <c r="G125" i="4"/>
  <c r="A125" i="4"/>
  <c r="G124" i="4"/>
  <c r="A124" i="4"/>
  <c r="G123" i="4"/>
  <c r="A123" i="4"/>
  <c r="G122" i="4"/>
  <c r="A122" i="4"/>
  <c r="G121" i="4"/>
  <c r="A121" i="4"/>
  <c r="G120" i="4"/>
  <c r="A120" i="4"/>
  <c r="G119" i="4"/>
  <c r="A119" i="4"/>
  <c r="G118" i="4"/>
  <c r="A118" i="4"/>
  <c r="G117" i="4"/>
  <c r="A117" i="4"/>
  <c r="G116" i="4"/>
  <c r="A116" i="4"/>
  <c r="G115" i="4"/>
  <c r="A115" i="4"/>
  <c r="G114" i="4"/>
  <c r="A114" i="4"/>
  <c r="G113" i="4"/>
  <c r="A113" i="4"/>
  <c r="G112" i="4"/>
  <c r="A112" i="4"/>
  <c r="G111" i="4"/>
  <c r="A111" i="4"/>
  <c r="G110" i="4"/>
  <c r="A110" i="4"/>
  <c r="G109" i="4"/>
  <c r="A109" i="4"/>
  <c r="G108" i="4"/>
  <c r="A108" i="4"/>
  <c r="G107" i="4"/>
  <c r="A107" i="4"/>
  <c r="G106" i="4"/>
  <c r="A106" i="4"/>
  <c r="G105" i="4"/>
  <c r="A105" i="4"/>
  <c r="G104" i="4"/>
  <c r="A104" i="4"/>
  <c r="G103" i="4"/>
  <c r="A103" i="4"/>
  <c r="G102" i="4"/>
  <c r="A102" i="4"/>
  <c r="G101" i="4"/>
  <c r="A101" i="4"/>
  <c r="G100" i="4"/>
  <c r="A100" i="4"/>
  <c r="G99" i="4"/>
  <c r="A99" i="4"/>
  <c r="G98" i="4"/>
  <c r="A98" i="4"/>
  <c r="G97" i="4"/>
  <c r="A97" i="4"/>
  <c r="G96" i="4"/>
  <c r="A96" i="4"/>
  <c r="G95" i="4"/>
  <c r="A95" i="4"/>
  <c r="G94" i="4"/>
  <c r="A94" i="4"/>
  <c r="G93" i="4"/>
  <c r="A93" i="4"/>
  <c r="G92" i="4"/>
  <c r="A92" i="4"/>
  <c r="G91" i="4"/>
  <c r="A91" i="4"/>
  <c r="G90" i="4"/>
  <c r="A90" i="4"/>
  <c r="G89" i="4"/>
  <c r="A89" i="4"/>
  <c r="A88" i="4"/>
  <c r="A87" i="4"/>
  <c r="A86" i="4"/>
  <c r="A85" i="4"/>
  <c r="A84" i="4"/>
  <c r="A83" i="4"/>
  <c r="A82" i="4"/>
  <c r="A81" i="4"/>
  <c r="A80" i="4"/>
  <c r="A79" i="4"/>
  <c r="A78" i="4"/>
  <c r="R77" i="4"/>
  <c r="A77" i="4"/>
  <c r="A76" i="4"/>
  <c r="A75" i="4"/>
  <c r="A74" i="4"/>
  <c r="A73" i="4"/>
  <c r="A72" i="4"/>
  <c r="A71" i="4"/>
  <c r="A70" i="4"/>
  <c r="A69" i="4"/>
  <c r="R68" i="4"/>
  <c r="A68" i="4"/>
  <c r="A67" i="4"/>
  <c r="A66" i="4"/>
  <c r="A65" i="4"/>
  <c r="A64" i="4"/>
  <c r="A63" i="4"/>
  <c r="A62" i="4"/>
  <c r="A61" i="4"/>
  <c r="A60" i="4"/>
  <c r="R59" i="4"/>
  <c r="A59" i="4"/>
  <c r="A58" i="4"/>
  <c r="A57" i="4"/>
  <c r="A56" i="4"/>
  <c r="F55" i="4"/>
  <c r="F54" i="4"/>
  <c r="F53" i="4"/>
  <c r="F52" i="4"/>
  <c r="F51" i="4"/>
  <c r="F50" i="4"/>
  <c r="F49" i="4"/>
  <c r="F48" i="4"/>
  <c r="F47" i="4"/>
  <c r="F46" i="4"/>
  <c r="F45" i="4"/>
  <c r="F44" i="4"/>
  <c r="F43" i="4"/>
  <c r="L42" i="4"/>
  <c r="L43" i="4" s="1"/>
  <c r="L44" i="4" s="1"/>
  <c r="L45" i="4" s="1"/>
  <c r="L46" i="4" s="1"/>
  <c r="L47" i="4" s="1"/>
  <c r="L48" i="4" s="1"/>
  <c r="L49" i="4" s="1"/>
  <c r="L50" i="4" s="1"/>
  <c r="L51" i="4" s="1"/>
  <c r="L52" i="4" s="1"/>
  <c r="L53" i="4" s="1"/>
  <c r="L54" i="4" s="1"/>
  <c r="L55" i="4" s="1"/>
  <c r="F42" i="4"/>
  <c r="M41" i="4"/>
  <c r="M42" i="4" s="1"/>
  <c r="M43" i="4" s="1"/>
  <c r="M44" i="4" s="1"/>
  <c r="M45" i="4" s="1"/>
  <c r="M46" i="4" s="1"/>
  <c r="M47" i="4" s="1"/>
  <c r="M48" i="4" s="1"/>
  <c r="M49" i="4" s="1"/>
  <c r="M50" i="4" s="1"/>
  <c r="M51" i="4" s="1"/>
  <c r="M52" i="4" s="1"/>
  <c r="M53" i="4" s="1"/>
  <c r="M54" i="4" s="1"/>
  <c r="M55" i="4" s="1"/>
  <c r="L41" i="4"/>
  <c r="K41" i="4"/>
  <c r="K42" i="4" s="1"/>
  <c r="K43" i="4" s="1"/>
  <c r="K44" i="4" s="1"/>
  <c r="K45" i="4" s="1"/>
  <c r="K46" i="4" s="1"/>
  <c r="K47" i="4" s="1"/>
  <c r="K48" i="4" s="1"/>
  <c r="K49" i="4" s="1"/>
  <c r="K50" i="4" s="1"/>
  <c r="K51" i="4" s="1"/>
  <c r="K52" i="4" s="1"/>
  <c r="K53" i="4" s="1"/>
  <c r="K54" i="4" s="1"/>
  <c r="K55" i="4" s="1"/>
  <c r="J41" i="4"/>
  <c r="J42" i="4" s="1"/>
  <c r="J43" i="4" s="1"/>
  <c r="J44" i="4" s="1"/>
  <c r="J45" i="4" s="1"/>
  <c r="J46" i="4" s="1"/>
  <c r="J47" i="4" s="1"/>
  <c r="J48" i="4" s="1"/>
  <c r="J49" i="4" s="1"/>
  <c r="J50" i="4" s="1"/>
  <c r="J51" i="4" s="1"/>
  <c r="J52" i="4" s="1"/>
  <c r="J53" i="4" s="1"/>
  <c r="J54" i="4" s="1"/>
  <c r="J55" i="4" s="1"/>
  <c r="I41" i="4"/>
  <c r="I42" i="4" s="1"/>
  <c r="I43" i="4" s="1"/>
  <c r="I44" i="4" s="1"/>
  <c r="I45" i="4" s="1"/>
  <c r="I46" i="4" s="1"/>
  <c r="I47" i="4" s="1"/>
  <c r="I48" i="4" s="1"/>
  <c r="I49" i="4" s="1"/>
  <c r="I50" i="4" s="1"/>
  <c r="I51" i="4" s="1"/>
  <c r="I52" i="4" s="1"/>
  <c r="I53" i="4" s="1"/>
  <c r="I54" i="4" s="1"/>
  <c r="I55" i="4" s="1"/>
  <c r="H41" i="4"/>
  <c r="A41" i="4" s="1"/>
  <c r="F41" i="4"/>
  <c r="A40" i="4"/>
  <c r="A39" i="4"/>
  <c r="A38" i="4"/>
  <c r="A37" i="4"/>
  <c r="A36" i="4"/>
  <c r="A35" i="4"/>
  <c r="A34" i="4"/>
  <c r="F33" i="4"/>
  <c r="F32" i="4"/>
  <c r="F31" i="4"/>
  <c r="F30" i="4"/>
  <c r="M29" i="4"/>
  <c r="M30" i="4" s="1"/>
  <c r="M31" i="4" s="1"/>
  <c r="M32" i="4" s="1"/>
  <c r="M33" i="4" s="1"/>
  <c r="K29" i="4"/>
  <c r="K30" i="4" s="1"/>
  <c r="K31" i="4" s="1"/>
  <c r="K32" i="4" s="1"/>
  <c r="K33" i="4" s="1"/>
  <c r="F29" i="4"/>
  <c r="Q28" i="4"/>
  <c r="Q29" i="4" s="1"/>
  <c r="Q30" i="4" s="1"/>
  <c r="Q31" i="4" s="1"/>
  <c r="Q32" i="4" s="1"/>
  <c r="Q33" i="4" s="1"/>
  <c r="O28" i="4"/>
  <c r="O29" i="4" s="1"/>
  <c r="O30" i="4" s="1"/>
  <c r="O31" i="4" s="1"/>
  <c r="O32" i="4" s="1"/>
  <c r="O33" i="4" s="1"/>
  <c r="M28" i="4"/>
  <c r="K28" i="4"/>
  <c r="I28" i="4"/>
  <c r="I29" i="4" s="1"/>
  <c r="I30" i="4" s="1"/>
  <c r="I31" i="4" s="1"/>
  <c r="I32" i="4" s="1"/>
  <c r="I33" i="4" s="1"/>
  <c r="F28" i="4"/>
  <c r="P28" i="4" s="1"/>
  <c r="P29" i="4" s="1"/>
  <c r="P30" i="4" s="1"/>
  <c r="P31" i="4" s="1"/>
  <c r="P32" i="4" s="1"/>
  <c r="P33" i="4" s="1"/>
  <c r="A27" i="4"/>
  <c r="A26" i="4"/>
  <c r="A25" i="4"/>
  <c r="A24" i="4"/>
  <c r="A23" i="4"/>
  <c r="F10" i="4"/>
  <c r="F11" i="4" s="1"/>
  <c r="A11" i="4" s="1"/>
  <c r="A9" i="4"/>
  <c r="F8" i="4"/>
  <c r="A8" i="4"/>
  <c r="A7" i="4"/>
  <c r="A6" i="4"/>
  <c r="A5" i="4"/>
  <c r="A4" i="4"/>
  <c r="A3" i="4"/>
  <c r="A2" i="4"/>
  <c r="A1" i="4"/>
  <c r="A163" i="3"/>
  <c r="A162" i="3"/>
  <c r="A161" i="3"/>
  <c r="A160" i="3"/>
  <c r="A159" i="3"/>
  <c r="A158" i="3"/>
  <c r="G157" i="3"/>
  <c r="A157" i="3" s="1"/>
  <c r="G156" i="3"/>
  <c r="A156" i="3" s="1"/>
  <c r="G155" i="3"/>
  <c r="A155" i="3"/>
  <c r="G154" i="3"/>
  <c r="A154" i="3" s="1"/>
  <c r="G153" i="3"/>
  <c r="A153" i="3" s="1"/>
  <c r="G152" i="3"/>
  <c r="A152" i="3" s="1"/>
  <c r="G151" i="3"/>
  <c r="A151" i="3"/>
  <c r="G150" i="3"/>
  <c r="A150" i="3" s="1"/>
  <c r="G149" i="3"/>
  <c r="A149" i="3" s="1"/>
  <c r="G148" i="3"/>
  <c r="A148" i="3" s="1"/>
  <c r="G147" i="3"/>
  <c r="A147" i="3"/>
  <c r="G146" i="3"/>
  <c r="A146" i="3" s="1"/>
  <c r="G145" i="3"/>
  <c r="A145" i="3" s="1"/>
  <c r="G144" i="3"/>
  <c r="A144" i="3" s="1"/>
  <c r="G143" i="3"/>
  <c r="A143" i="3"/>
  <c r="G142" i="3"/>
  <c r="A142" i="3" s="1"/>
  <c r="G141" i="3"/>
  <c r="A141" i="3" s="1"/>
  <c r="G140" i="3"/>
  <c r="A140" i="3" s="1"/>
  <c r="G139" i="3"/>
  <c r="A139" i="3"/>
  <c r="G138" i="3"/>
  <c r="A138" i="3" s="1"/>
  <c r="G137" i="3"/>
  <c r="A137" i="3" s="1"/>
  <c r="G136" i="3"/>
  <c r="A136" i="3" s="1"/>
  <c r="G135" i="3"/>
  <c r="A135" i="3"/>
  <c r="G134" i="3"/>
  <c r="A134" i="3" s="1"/>
  <c r="G133" i="3"/>
  <c r="A133" i="3" s="1"/>
  <c r="G132" i="3"/>
  <c r="A132" i="3" s="1"/>
  <c r="G131" i="3"/>
  <c r="A131" i="3"/>
  <c r="G130" i="3"/>
  <c r="A130" i="3" s="1"/>
  <c r="G129" i="3"/>
  <c r="A129" i="3" s="1"/>
  <c r="G128" i="3"/>
  <c r="A128" i="3" s="1"/>
  <c r="G127" i="3"/>
  <c r="A127" i="3"/>
  <c r="G126" i="3"/>
  <c r="A126" i="3" s="1"/>
  <c r="G125" i="3"/>
  <c r="A125" i="3" s="1"/>
  <c r="G124" i="3"/>
  <c r="A124" i="3" s="1"/>
  <c r="G123" i="3"/>
  <c r="A123" i="3"/>
  <c r="G122" i="3"/>
  <c r="A122" i="3" s="1"/>
  <c r="G121" i="3"/>
  <c r="A121" i="3" s="1"/>
  <c r="G120" i="3"/>
  <c r="A120" i="3" s="1"/>
  <c r="G119" i="3"/>
  <c r="A119" i="3"/>
  <c r="G118" i="3"/>
  <c r="A118" i="3" s="1"/>
  <c r="G117" i="3"/>
  <c r="A117" i="3" s="1"/>
  <c r="G116" i="3"/>
  <c r="A116" i="3" s="1"/>
  <c r="G115" i="3"/>
  <c r="A115" i="3"/>
  <c r="G114" i="3"/>
  <c r="A114" i="3" s="1"/>
  <c r="G113" i="3"/>
  <c r="A113" i="3" s="1"/>
  <c r="G112" i="3"/>
  <c r="A112" i="3" s="1"/>
  <c r="G111" i="3"/>
  <c r="A111" i="3"/>
  <c r="G110" i="3"/>
  <c r="A110" i="3" s="1"/>
  <c r="G109" i="3"/>
  <c r="A109" i="3" s="1"/>
  <c r="G108" i="3"/>
  <c r="A108" i="3" s="1"/>
  <c r="G107" i="3"/>
  <c r="A107" i="3"/>
  <c r="G106" i="3"/>
  <c r="A106" i="3" s="1"/>
  <c r="G105" i="3"/>
  <c r="A105" i="3" s="1"/>
  <c r="G104" i="3"/>
  <c r="A104" i="3" s="1"/>
  <c r="G103" i="3"/>
  <c r="A103" i="3"/>
  <c r="G102" i="3"/>
  <c r="A102" i="3" s="1"/>
  <c r="G101" i="3"/>
  <c r="A101" i="3" s="1"/>
  <c r="G100" i="3"/>
  <c r="A100" i="3" s="1"/>
  <c r="G99" i="3"/>
  <c r="A99" i="3"/>
  <c r="A98" i="3"/>
  <c r="A97" i="3"/>
  <c r="A96" i="3"/>
  <c r="A95" i="3"/>
  <c r="A94" i="3"/>
  <c r="A93" i="3"/>
  <c r="A92" i="3"/>
  <c r="A91" i="3"/>
  <c r="A90" i="3"/>
  <c r="A89" i="3"/>
  <c r="A88" i="3"/>
  <c r="R87" i="3"/>
  <c r="A87" i="3"/>
  <c r="A86" i="3"/>
  <c r="A85" i="3"/>
  <c r="A84" i="3"/>
  <c r="A83" i="3"/>
  <c r="A82" i="3"/>
  <c r="A81" i="3"/>
  <c r="A80" i="3"/>
  <c r="A79" i="3"/>
  <c r="R78" i="3"/>
  <c r="A78" i="3"/>
  <c r="A77" i="3"/>
  <c r="A76" i="3"/>
  <c r="A75" i="3"/>
  <c r="A74" i="3"/>
  <c r="A73" i="3"/>
  <c r="A72" i="3"/>
  <c r="A71" i="3"/>
  <c r="A70" i="3"/>
  <c r="R69" i="3"/>
  <c r="A69" i="3"/>
  <c r="A68" i="3"/>
  <c r="A67" i="3"/>
  <c r="A66" i="3"/>
  <c r="F65" i="3"/>
  <c r="F64" i="3"/>
  <c r="F63" i="3"/>
  <c r="F62" i="3"/>
  <c r="F61" i="3"/>
  <c r="F60" i="3"/>
  <c r="H59" i="3"/>
  <c r="H60" i="3" s="1"/>
  <c r="F59" i="3"/>
  <c r="J58" i="3"/>
  <c r="J59" i="3" s="1"/>
  <c r="F58" i="3"/>
  <c r="H58" i="3" s="1"/>
  <c r="A57" i="3"/>
  <c r="A56" i="3"/>
  <c r="A55" i="3"/>
  <c r="A54" i="3"/>
  <c r="A53" i="3"/>
  <c r="A52" i="3"/>
  <c r="A51" i="3"/>
  <c r="F50" i="3"/>
  <c r="F49" i="3"/>
  <c r="F48" i="3"/>
  <c r="F47" i="3"/>
  <c r="F46" i="3"/>
  <c r="F45" i="3"/>
  <c r="F44" i="3"/>
  <c r="Q43" i="3"/>
  <c r="Q44" i="3" s="1"/>
  <c r="Q45" i="3" s="1"/>
  <c r="Q46" i="3" s="1"/>
  <c r="Q47" i="3" s="1"/>
  <c r="Q48" i="3" s="1"/>
  <c r="Q49" i="3" s="1"/>
  <c r="Q50" i="3" s="1"/>
  <c r="O43" i="3"/>
  <c r="O44" i="3" s="1"/>
  <c r="O45" i="3" s="1"/>
  <c r="O46" i="3" s="1"/>
  <c r="O47" i="3" s="1"/>
  <c r="O48" i="3" s="1"/>
  <c r="O49" i="3" s="1"/>
  <c r="O50" i="3" s="1"/>
  <c r="M43" i="3"/>
  <c r="M44" i="3" s="1"/>
  <c r="M45" i="3" s="1"/>
  <c r="M46" i="3" s="1"/>
  <c r="M47" i="3" s="1"/>
  <c r="M48" i="3" s="1"/>
  <c r="M49" i="3" s="1"/>
  <c r="M50" i="3" s="1"/>
  <c r="K43" i="3"/>
  <c r="K44" i="3" s="1"/>
  <c r="K45" i="3" s="1"/>
  <c r="K46" i="3" s="1"/>
  <c r="K47" i="3" s="1"/>
  <c r="K48" i="3" s="1"/>
  <c r="K49" i="3" s="1"/>
  <c r="K50" i="3" s="1"/>
  <c r="I43" i="3"/>
  <c r="I44" i="3" s="1"/>
  <c r="I45" i="3" s="1"/>
  <c r="I46" i="3" s="1"/>
  <c r="I47" i="3" s="1"/>
  <c r="I48" i="3" s="1"/>
  <c r="I49" i="3" s="1"/>
  <c r="I50" i="3" s="1"/>
  <c r="F43" i="3"/>
  <c r="P43" i="3" s="1"/>
  <c r="P44" i="3" s="1"/>
  <c r="P45" i="3" s="1"/>
  <c r="P46" i="3" s="1"/>
  <c r="P47" i="3" s="1"/>
  <c r="P48" i="3" s="1"/>
  <c r="P49" i="3" s="1"/>
  <c r="P50" i="3" s="1"/>
  <c r="A42" i="3"/>
  <c r="A41" i="3"/>
  <c r="A40" i="3"/>
  <c r="A39" i="3"/>
  <c r="A38" i="3"/>
  <c r="A37" i="3"/>
  <c r="F9" i="3"/>
  <c r="A9" i="3" s="1"/>
  <c r="F8" i="3"/>
  <c r="A8" i="3" s="1"/>
  <c r="A7" i="3"/>
  <c r="A6" i="3"/>
  <c r="A5" i="3"/>
  <c r="A4" i="3"/>
  <c r="A3" i="3"/>
  <c r="A2" i="3"/>
  <c r="A1" i="3"/>
  <c r="A151" i="2"/>
  <c r="A150" i="2"/>
  <c r="A149" i="2"/>
  <c r="A148" i="2"/>
  <c r="A147" i="2"/>
  <c r="A146" i="2"/>
  <c r="A145" i="2"/>
  <c r="A144" i="2"/>
  <c r="A143" i="2"/>
  <c r="A142" i="2"/>
  <c r="A141" i="2"/>
  <c r="A140" i="2"/>
  <c r="A139" i="2"/>
  <c r="A138" i="2"/>
  <c r="A137" i="2"/>
  <c r="A136" i="2"/>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J45" i="2"/>
  <c r="J46" i="2" s="1"/>
  <c r="J47" i="2" s="1"/>
  <c r="J48" i="2" s="1"/>
  <c r="J49" i="2" s="1"/>
  <c r="J50" i="2" s="1"/>
  <c r="J51" i="2" s="1"/>
  <c r="J52" i="2" s="1"/>
  <c r="J53" i="2" s="1"/>
  <c r="H45" i="2"/>
  <c r="H46" i="2" s="1"/>
  <c r="H47" i="2" s="1"/>
  <c r="H48" i="2" s="1"/>
  <c r="H49" i="2" s="1"/>
  <c r="H50" i="2" s="1"/>
  <c r="H51" i="2" s="1"/>
  <c r="F45" i="2"/>
  <c r="F46" i="2" s="1"/>
  <c r="K44" i="2"/>
  <c r="K45" i="2" s="1"/>
  <c r="K46" i="2" s="1"/>
  <c r="K47" i="2" s="1"/>
  <c r="K48" i="2" s="1"/>
  <c r="K49" i="2" s="1"/>
  <c r="K50" i="2" s="1"/>
  <c r="K51" i="2" s="1"/>
  <c r="J44" i="2"/>
  <c r="I44" i="2"/>
  <c r="I45" i="2" s="1"/>
  <c r="I46" i="2" s="1"/>
  <c r="I47" i="2" s="1"/>
  <c r="I48" i="2" s="1"/>
  <c r="I49" i="2" s="1"/>
  <c r="I50" i="2" s="1"/>
  <c r="I51" i="2" s="1"/>
  <c r="H44" i="2"/>
  <c r="G44" i="2"/>
  <c r="G45" i="2" s="1"/>
  <c r="G46" i="2" s="1"/>
  <c r="G47" i="2" s="1"/>
  <c r="G48" i="2" s="1"/>
  <c r="G49" i="2" s="1"/>
  <c r="G50" i="2" s="1"/>
  <c r="G51" i="2" s="1"/>
  <c r="F44" i="2"/>
  <c r="A43" i="2"/>
  <c r="A42" i="2"/>
  <c r="A41" i="2"/>
  <c r="A40" i="2"/>
  <c r="A39" i="2"/>
  <c r="A38" i="2"/>
  <c r="A37" i="2"/>
  <c r="A36" i="2"/>
  <c r="M32" i="2"/>
  <c r="M33" i="2" s="1"/>
  <c r="M34" i="2" s="1"/>
  <c r="M35" i="2" s="1"/>
  <c r="L32" i="2"/>
  <c r="L33" i="2" s="1"/>
  <c r="L34" i="2" s="1"/>
  <c r="L35" i="2" s="1"/>
  <c r="I32" i="2"/>
  <c r="I33" i="2" s="1"/>
  <c r="I34" i="2" s="1"/>
  <c r="I35" i="2" s="1"/>
  <c r="H32" i="2"/>
  <c r="H33" i="2" s="1"/>
  <c r="H34" i="2" s="1"/>
  <c r="H35" i="2" s="1"/>
  <c r="O31" i="2"/>
  <c r="O32" i="2" s="1"/>
  <c r="O33" i="2" s="1"/>
  <c r="O34" i="2" s="1"/>
  <c r="O35" i="2" s="1"/>
  <c r="N31" i="2"/>
  <c r="N32" i="2" s="1"/>
  <c r="N33" i="2" s="1"/>
  <c r="N34" i="2" s="1"/>
  <c r="N35" i="2" s="1"/>
  <c r="M31" i="2"/>
  <c r="L31" i="2"/>
  <c r="K31" i="2"/>
  <c r="K32" i="2" s="1"/>
  <c r="K33" i="2" s="1"/>
  <c r="K34" i="2" s="1"/>
  <c r="K35" i="2" s="1"/>
  <c r="J31" i="2"/>
  <c r="J32" i="2" s="1"/>
  <c r="J33" i="2" s="1"/>
  <c r="J34" i="2" s="1"/>
  <c r="J35" i="2" s="1"/>
  <c r="I31" i="2"/>
  <c r="H31" i="2"/>
  <c r="F31" i="2"/>
  <c r="F32" i="2" s="1"/>
  <c r="A31" i="2"/>
  <c r="A30" i="2"/>
  <c r="A29" i="2"/>
  <c r="A28" i="2"/>
  <c r="A27" i="2"/>
  <c r="A26" i="2"/>
  <c r="A25" i="2"/>
  <c r="D9" i="2"/>
  <c r="D10" i="2" s="1"/>
  <c r="F8" i="2"/>
  <c r="F9" i="2" s="1"/>
  <c r="F10" i="2" s="1"/>
  <c r="F11" i="2" s="1"/>
  <c r="F12" i="2" s="1"/>
  <c r="F13" i="2" s="1"/>
  <c r="F14" i="2" s="1"/>
  <c r="F15" i="2" s="1"/>
  <c r="F16" i="2" s="1"/>
  <c r="F17" i="2" s="1"/>
  <c r="F18" i="2" s="1"/>
  <c r="F19" i="2" s="1"/>
  <c r="F20" i="2" s="1"/>
  <c r="F21" i="2" s="1"/>
  <c r="F22" i="2" s="1"/>
  <c r="F23" i="2" s="1"/>
  <c r="F24" i="2" s="1"/>
  <c r="A24" i="2" s="1"/>
  <c r="D8" i="2"/>
  <c r="A8" i="2"/>
  <c r="A7" i="2"/>
  <c r="A6" i="2"/>
  <c r="A5" i="2"/>
  <c r="A4" i="2"/>
  <c r="A3" i="2"/>
  <c r="A2" i="2"/>
  <c r="A1" i="2"/>
  <c r="A201" i="1"/>
  <c r="A200" i="1"/>
  <c r="A199" i="1"/>
  <c r="A198" i="1"/>
  <c r="A197"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5" i="1"/>
  <c r="A104" i="1"/>
  <c r="A103" i="1"/>
  <c r="F102" i="1"/>
  <c r="F101" i="1"/>
  <c r="F100" i="1"/>
  <c r="F99" i="1"/>
  <c r="F98" i="1"/>
  <c r="F97" i="1"/>
  <c r="F96" i="1"/>
  <c r="F95" i="1"/>
  <c r="F94" i="1"/>
  <c r="F93" i="1"/>
  <c r="F92" i="1"/>
  <c r="H92" i="1" s="1"/>
  <c r="A91" i="1"/>
  <c r="A90" i="1"/>
  <c r="A89" i="1"/>
  <c r="A88" i="1"/>
  <c r="A87" i="1"/>
  <c r="A86" i="1"/>
  <c r="A85" i="1"/>
  <c r="F84" i="1"/>
  <c r="F83" i="1"/>
  <c r="F82" i="1"/>
  <c r="F81" i="1"/>
  <c r="F80" i="1"/>
  <c r="F79" i="1"/>
  <c r="F78" i="1"/>
  <c r="F77" i="1"/>
  <c r="F76" i="1"/>
  <c r="F75" i="1"/>
  <c r="Q74" i="1"/>
  <c r="Q75" i="1" s="1"/>
  <c r="Q76" i="1" s="1"/>
  <c r="Q77" i="1" s="1"/>
  <c r="Q78" i="1" s="1"/>
  <c r="Q79" i="1" s="1"/>
  <c r="Q80" i="1" s="1"/>
  <c r="Q81" i="1" s="1"/>
  <c r="Q82" i="1" s="1"/>
  <c r="Q83" i="1" s="1"/>
  <c r="Q84" i="1" s="1"/>
  <c r="O74" i="1"/>
  <c r="O75" i="1" s="1"/>
  <c r="O76" i="1" s="1"/>
  <c r="O77" i="1" s="1"/>
  <c r="O78" i="1" s="1"/>
  <c r="O79" i="1" s="1"/>
  <c r="O80" i="1" s="1"/>
  <c r="O81" i="1" s="1"/>
  <c r="O82" i="1" s="1"/>
  <c r="O83" i="1" s="1"/>
  <c r="O84" i="1" s="1"/>
  <c r="M74" i="1"/>
  <c r="M75" i="1" s="1"/>
  <c r="M76" i="1" s="1"/>
  <c r="M77" i="1" s="1"/>
  <c r="M78" i="1" s="1"/>
  <c r="M79" i="1" s="1"/>
  <c r="M80" i="1" s="1"/>
  <c r="M81" i="1" s="1"/>
  <c r="M82" i="1" s="1"/>
  <c r="M83" i="1" s="1"/>
  <c r="M84" i="1" s="1"/>
  <c r="K74" i="1"/>
  <c r="K75" i="1" s="1"/>
  <c r="K76" i="1" s="1"/>
  <c r="K77" i="1" s="1"/>
  <c r="K78" i="1" s="1"/>
  <c r="K79" i="1" s="1"/>
  <c r="K80" i="1" s="1"/>
  <c r="K81" i="1" s="1"/>
  <c r="K82" i="1" s="1"/>
  <c r="K83" i="1" s="1"/>
  <c r="K84" i="1" s="1"/>
  <c r="I74" i="1"/>
  <c r="I75" i="1" s="1"/>
  <c r="I76" i="1" s="1"/>
  <c r="I77" i="1" s="1"/>
  <c r="I78" i="1" s="1"/>
  <c r="I79" i="1" s="1"/>
  <c r="I80" i="1" s="1"/>
  <c r="I81" i="1" s="1"/>
  <c r="I82" i="1" s="1"/>
  <c r="I83" i="1" s="1"/>
  <c r="I84" i="1" s="1"/>
  <c r="F74" i="1"/>
  <c r="N74" i="1" s="1"/>
  <c r="A73" i="1"/>
  <c r="A72" i="1"/>
  <c r="A71" i="1"/>
  <c r="A70" i="1"/>
  <c r="A69" i="1"/>
  <c r="A68" i="1"/>
  <c r="F40" i="1"/>
  <c r="F41" i="1" s="1"/>
  <c r="A41" i="1" s="1"/>
  <c r="A39" i="1"/>
  <c r="A38" i="1"/>
  <c r="A37" i="1"/>
  <c r="A36" i="1"/>
  <c r="A35" i="1"/>
  <c r="A34" i="1"/>
  <c r="AR25" i="27" l="1"/>
  <c r="AP25" i="27"/>
  <c r="AR11" i="27"/>
  <c r="AP11" i="27"/>
  <c r="A5" i="41"/>
  <c r="D15" i="41"/>
  <c r="A15" i="41" s="1"/>
  <c r="AR31" i="27"/>
  <c r="AP31" i="27"/>
  <c r="AQ38" i="27"/>
  <c r="X2" i="42" s="1"/>
  <c r="G16" i="42" s="1"/>
  <c r="A16" i="42" s="1"/>
  <c r="AR8" i="27"/>
  <c r="AR17" i="27"/>
  <c r="AR30" i="27"/>
  <c r="AR5" i="27"/>
  <c r="AR9" i="27"/>
  <c r="AR14" i="27"/>
  <c r="AR18" i="27"/>
  <c r="AR22" i="27"/>
  <c r="AR27" i="27"/>
  <c r="AR32" i="27"/>
  <c r="AR37" i="27"/>
  <c r="AR34" i="27"/>
  <c r="AP34" i="27"/>
  <c r="AR4" i="27"/>
  <c r="AR26" i="27"/>
  <c r="AR6" i="27"/>
  <c r="AR10" i="27"/>
  <c r="AR15" i="27"/>
  <c r="AR19" i="27"/>
  <c r="AR23" i="27"/>
  <c r="AR28" i="27"/>
  <c r="AR33" i="27"/>
  <c r="AR13" i="27"/>
  <c r="AR21" i="27"/>
  <c r="AR36" i="27"/>
  <c r="AP7" i="27"/>
  <c r="AR7" i="27"/>
  <c r="AR12" i="27"/>
  <c r="AR16" i="27"/>
  <c r="AR20" i="27"/>
  <c r="AR24" i="27"/>
  <c r="AR29" i="27"/>
  <c r="AR35" i="27"/>
  <c r="A65" i="39"/>
  <c r="A67" i="38"/>
  <c r="F68" i="38"/>
  <c r="A66" i="37"/>
  <c r="F67" i="37"/>
  <c r="A66" i="36"/>
  <c r="F67" i="36"/>
  <c r="A82" i="35"/>
  <c r="F83" i="35"/>
  <c r="A76" i="34"/>
  <c r="H77" i="34"/>
  <c r="A42" i="34"/>
  <c r="F43" i="34"/>
  <c r="A93" i="34"/>
  <c r="H94" i="34"/>
  <c r="AP16" i="27"/>
  <c r="AP24" i="27"/>
  <c r="AP4" i="27"/>
  <c r="AP8" i="27"/>
  <c r="AP13" i="27"/>
  <c r="AP17" i="27"/>
  <c r="AP21" i="27"/>
  <c r="AP26" i="27"/>
  <c r="AP30" i="27"/>
  <c r="AP36" i="27"/>
  <c r="AP12" i="27"/>
  <c r="AP35" i="27"/>
  <c r="AP5" i="27"/>
  <c r="AP9" i="27"/>
  <c r="AP14" i="27"/>
  <c r="AP18" i="27"/>
  <c r="AP22" i="27"/>
  <c r="AP27" i="27"/>
  <c r="AP32" i="27"/>
  <c r="AP20" i="27"/>
  <c r="AP29" i="27"/>
  <c r="AP6" i="27"/>
  <c r="AP10" i="27"/>
  <c r="AP15" i="27"/>
  <c r="AP19" i="27"/>
  <c r="AP23" i="27"/>
  <c r="AP28" i="27"/>
  <c r="AP33" i="27"/>
  <c r="F41" i="33"/>
  <c r="T5" i="33"/>
  <c r="R5" i="33"/>
  <c r="N5" i="33"/>
  <c r="L5" i="33"/>
  <c r="H5" i="33"/>
  <c r="A74" i="33"/>
  <c r="A113" i="33"/>
  <c r="T9" i="33"/>
  <c r="A9" i="33" s="1"/>
  <c r="A91" i="33"/>
  <c r="H92" i="33"/>
  <c r="A76" i="33"/>
  <c r="H77" i="33"/>
  <c r="A122" i="33"/>
  <c r="T11" i="33"/>
  <c r="A11" i="33" s="1"/>
  <c r="A75" i="33"/>
  <c r="A41" i="33"/>
  <c r="F42" i="33"/>
  <c r="A90" i="33"/>
  <c r="F42" i="1"/>
  <c r="A40" i="1"/>
  <c r="N75" i="1"/>
  <c r="N76" i="1" s="1"/>
  <c r="N77" i="1" s="1"/>
  <c r="N78" i="1" s="1"/>
  <c r="N79" i="1" s="1"/>
  <c r="N80" i="1" s="1"/>
  <c r="N81" i="1" s="1"/>
  <c r="N82" i="1" s="1"/>
  <c r="N83" i="1" s="1"/>
  <c r="N84" i="1" s="1"/>
  <c r="J92" i="1"/>
  <c r="J93" i="1" s="1"/>
  <c r="J94" i="1" s="1"/>
  <c r="J95" i="1" s="1"/>
  <c r="J96" i="1" s="1"/>
  <c r="J97" i="1" s="1"/>
  <c r="J98" i="1" s="1"/>
  <c r="J99" i="1" s="1"/>
  <c r="J100" i="1" s="1"/>
  <c r="J101" i="1" s="1"/>
  <c r="J102" i="1" s="1"/>
  <c r="L92" i="1"/>
  <c r="L93" i="1" s="1"/>
  <c r="L94" i="1" s="1"/>
  <c r="L95" i="1" s="1"/>
  <c r="L96" i="1" s="1"/>
  <c r="L97" i="1" s="1"/>
  <c r="L98" i="1" s="1"/>
  <c r="L99" i="1" s="1"/>
  <c r="L100" i="1" s="1"/>
  <c r="L101" i="1" s="1"/>
  <c r="L102" i="1" s="1"/>
  <c r="G53" i="2"/>
  <c r="G52" i="2"/>
  <c r="K53" i="2"/>
  <c r="K52" i="2"/>
  <c r="H61" i="3"/>
  <c r="A46" i="2"/>
  <c r="F47" i="2"/>
  <c r="D11" i="2"/>
  <c r="A10" i="2"/>
  <c r="A32" i="2"/>
  <c r="F33" i="2"/>
  <c r="I52" i="2"/>
  <c r="I53" i="2"/>
  <c r="H53" i="2"/>
  <c r="H52" i="2"/>
  <c r="J60" i="3"/>
  <c r="J61" i="3" s="1"/>
  <c r="J62" i="3" s="1"/>
  <c r="J63" i="3" s="1"/>
  <c r="J64" i="3" s="1"/>
  <c r="J65" i="3" s="1"/>
  <c r="H45" i="14"/>
  <c r="H74" i="1"/>
  <c r="L74" i="1"/>
  <c r="L75" i="1" s="1"/>
  <c r="L76" i="1" s="1"/>
  <c r="L77" i="1" s="1"/>
  <c r="L78" i="1" s="1"/>
  <c r="L79" i="1" s="1"/>
  <c r="L80" i="1" s="1"/>
  <c r="L81" i="1" s="1"/>
  <c r="L82" i="1" s="1"/>
  <c r="L83" i="1" s="1"/>
  <c r="L84" i="1" s="1"/>
  <c r="P74" i="1"/>
  <c r="P75" i="1" s="1"/>
  <c r="P76" i="1" s="1"/>
  <c r="P77" i="1" s="1"/>
  <c r="P78" i="1" s="1"/>
  <c r="P79" i="1" s="1"/>
  <c r="P80" i="1" s="1"/>
  <c r="P81" i="1" s="1"/>
  <c r="P82" i="1" s="1"/>
  <c r="P83" i="1" s="1"/>
  <c r="P84" i="1" s="1"/>
  <c r="H93" i="1"/>
  <c r="A45" i="2"/>
  <c r="J43" i="3"/>
  <c r="J44" i="3" s="1"/>
  <c r="J45" i="3" s="1"/>
  <c r="J46" i="3" s="1"/>
  <c r="J47" i="3" s="1"/>
  <c r="J48" i="3" s="1"/>
  <c r="J49" i="3" s="1"/>
  <c r="J50" i="3" s="1"/>
  <c r="N43" i="3"/>
  <c r="N44" i="3" s="1"/>
  <c r="N45" i="3" s="1"/>
  <c r="N46" i="3" s="1"/>
  <c r="N47" i="3" s="1"/>
  <c r="N48" i="3" s="1"/>
  <c r="N49" i="3" s="1"/>
  <c r="N50" i="3" s="1"/>
  <c r="A10" i="4"/>
  <c r="F12" i="4"/>
  <c r="H42" i="4"/>
  <c r="F9" i="5"/>
  <c r="L59" i="5"/>
  <c r="L60" i="5" s="1"/>
  <c r="L61" i="5" s="1"/>
  <c r="L62" i="5" s="1"/>
  <c r="L63" i="5" s="1"/>
  <c r="L64" i="5" s="1"/>
  <c r="L65" i="5" s="1"/>
  <c r="J43" i="7"/>
  <c r="J44" i="7" s="1"/>
  <c r="J45" i="7" s="1"/>
  <c r="J46" i="7" s="1"/>
  <c r="J47" i="7" s="1"/>
  <c r="J48" i="7" s="1"/>
  <c r="J49" i="7" s="1"/>
  <c r="J50" i="7" s="1"/>
  <c r="J51" i="7" s="1"/>
  <c r="J52" i="7" s="1"/>
  <c r="J53" i="7" s="1"/>
  <c r="J54" i="7" s="1"/>
  <c r="J55" i="7" s="1"/>
  <c r="J56" i="7" s="1"/>
  <c r="L43" i="7"/>
  <c r="L44" i="7" s="1"/>
  <c r="L45" i="7" s="1"/>
  <c r="L46" i="7" s="1"/>
  <c r="L47" i="7" s="1"/>
  <c r="L48" i="7" s="1"/>
  <c r="L49" i="7" s="1"/>
  <c r="L50" i="7" s="1"/>
  <c r="L51" i="7" s="1"/>
  <c r="L52" i="7" s="1"/>
  <c r="L53" i="7" s="1"/>
  <c r="L54" i="7" s="1"/>
  <c r="L55" i="7" s="1"/>
  <c r="L56" i="7" s="1"/>
  <c r="H43" i="7"/>
  <c r="N44" i="9"/>
  <c r="N45" i="9" s="1"/>
  <c r="N46" i="9" s="1"/>
  <c r="N47" i="9" s="1"/>
  <c r="N48" i="9" s="1"/>
  <c r="N49" i="9" s="1"/>
  <c r="N50" i="9" s="1"/>
  <c r="N51" i="9" s="1"/>
  <c r="A60" i="6"/>
  <c r="H61" i="6"/>
  <c r="F10" i="8"/>
  <c r="A9" i="8"/>
  <c r="F10" i="3"/>
  <c r="N28" i="4"/>
  <c r="N29" i="4" s="1"/>
  <c r="N30" i="4" s="1"/>
  <c r="N31" i="4" s="1"/>
  <c r="N32" i="4" s="1"/>
  <c r="N33" i="4" s="1"/>
  <c r="J28" i="4"/>
  <c r="J29" i="4" s="1"/>
  <c r="J30" i="4" s="1"/>
  <c r="J31" i="4" s="1"/>
  <c r="J32" i="4" s="1"/>
  <c r="J33" i="4" s="1"/>
  <c r="L28" i="4"/>
  <c r="L29" i="4" s="1"/>
  <c r="L30" i="4" s="1"/>
  <c r="L31" i="4" s="1"/>
  <c r="L32" i="4" s="1"/>
  <c r="L33" i="4" s="1"/>
  <c r="A58" i="5"/>
  <c r="H60" i="5"/>
  <c r="A31" i="7"/>
  <c r="A32" i="7"/>
  <c r="A33" i="7"/>
  <c r="A34" i="7"/>
  <c r="H45" i="8"/>
  <c r="A58" i="8"/>
  <c r="H59" i="8"/>
  <c r="A9" i="10"/>
  <c r="F10" i="10"/>
  <c r="J59" i="11"/>
  <c r="J60" i="11" s="1"/>
  <c r="J61" i="11" s="1"/>
  <c r="J62" i="11" s="1"/>
  <c r="J63" i="11" s="1"/>
  <c r="J64" i="11" s="1"/>
  <c r="J65" i="11" s="1"/>
  <c r="A18" i="13"/>
  <c r="F19" i="13"/>
  <c r="A60" i="14"/>
  <c r="H61" i="14"/>
  <c r="H45" i="24"/>
  <c r="A44" i="24"/>
  <c r="A44" i="2"/>
  <c r="J74" i="1"/>
  <c r="J75" i="1" s="1"/>
  <c r="J76" i="1" s="1"/>
  <c r="J77" i="1" s="1"/>
  <c r="J78" i="1" s="1"/>
  <c r="J79" i="1" s="1"/>
  <c r="J80" i="1" s="1"/>
  <c r="J81" i="1" s="1"/>
  <c r="J82" i="1" s="1"/>
  <c r="J83" i="1" s="1"/>
  <c r="J84" i="1" s="1"/>
  <c r="A9" i="2"/>
  <c r="H43" i="3"/>
  <c r="L43" i="3"/>
  <c r="L44" i="3" s="1"/>
  <c r="L45" i="3" s="1"/>
  <c r="L46" i="3" s="1"/>
  <c r="L47" i="3" s="1"/>
  <c r="L48" i="3" s="1"/>
  <c r="L49" i="3" s="1"/>
  <c r="L50" i="3" s="1"/>
  <c r="L58" i="3"/>
  <c r="H28" i="4"/>
  <c r="N43" i="5"/>
  <c r="N44" i="5" s="1"/>
  <c r="N45" i="5" s="1"/>
  <c r="N46" i="5" s="1"/>
  <c r="N47" i="5" s="1"/>
  <c r="N48" i="5" s="1"/>
  <c r="N49" i="5" s="1"/>
  <c r="N50" i="5" s="1"/>
  <c r="J43" i="5"/>
  <c r="J44" i="5" s="1"/>
  <c r="J45" i="5" s="1"/>
  <c r="J46" i="5" s="1"/>
  <c r="J47" i="5" s="1"/>
  <c r="J48" i="5" s="1"/>
  <c r="J49" i="5" s="1"/>
  <c r="J50" i="5" s="1"/>
  <c r="P43" i="5"/>
  <c r="P44" i="5" s="1"/>
  <c r="P45" i="5" s="1"/>
  <c r="P46" i="5" s="1"/>
  <c r="P47" i="5" s="1"/>
  <c r="P48" i="5" s="1"/>
  <c r="P49" i="5" s="1"/>
  <c r="P50" i="5" s="1"/>
  <c r="L43" i="5"/>
  <c r="L44" i="5" s="1"/>
  <c r="L45" i="5" s="1"/>
  <c r="L46" i="5" s="1"/>
  <c r="L47" i="5" s="1"/>
  <c r="L48" i="5" s="1"/>
  <c r="L49" i="5" s="1"/>
  <c r="L50" i="5" s="1"/>
  <c r="H43" i="5"/>
  <c r="A11" i="6"/>
  <c r="F12" i="6"/>
  <c r="H43" i="6"/>
  <c r="A10" i="7"/>
  <c r="F11" i="7"/>
  <c r="H43" i="9"/>
  <c r="J61" i="12"/>
  <c r="J62" i="12" s="1"/>
  <c r="J63" i="12" s="1"/>
  <c r="J64" i="12" s="1"/>
  <c r="L59" i="6"/>
  <c r="L60" i="6" s="1"/>
  <c r="L61" i="6" s="1"/>
  <c r="L62" i="6" s="1"/>
  <c r="L63" i="6" s="1"/>
  <c r="L64" i="6" s="1"/>
  <c r="L65" i="6" s="1"/>
  <c r="A9" i="12"/>
  <c r="F10" i="12"/>
  <c r="H43" i="12"/>
  <c r="L61" i="12"/>
  <c r="L62" i="12" s="1"/>
  <c r="L63" i="12" s="1"/>
  <c r="L64" i="12" s="1"/>
  <c r="I44" i="13"/>
  <c r="I45" i="13" s="1"/>
  <c r="I46" i="13" s="1"/>
  <c r="I47" i="13" s="1"/>
  <c r="I48" i="13" s="1"/>
  <c r="I49" i="13" s="1"/>
  <c r="I50" i="13" s="1"/>
  <c r="I51" i="13" s="1"/>
  <c r="I52" i="13" s="1"/>
  <c r="A43" i="13"/>
  <c r="I44" i="8"/>
  <c r="I45" i="8" s="1"/>
  <c r="I46" i="8" s="1"/>
  <c r="I47" i="8" s="1"/>
  <c r="I48" i="8" s="1"/>
  <c r="J60" i="9"/>
  <c r="J61" i="9" s="1"/>
  <c r="J62" i="9" s="1"/>
  <c r="J63" i="9" s="1"/>
  <c r="J64" i="9" s="1"/>
  <c r="L59" i="9"/>
  <c r="L60" i="9" s="1"/>
  <c r="L61" i="9" s="1"/>
  <c r="L62" i="9" s="1"/>
  <c r="L63" i="9" s="1"/>
  <c r="L64" i="9" s="1"/>
  <c r="A9" i="11"/>
  <c r="F10" i="11"/>
  <c r="L61" i="11"/>
  <c r="L62" i="11" s="1"/>
  <c r="L63" i="11" s="1"/>
  <c r="L64" i="11" s="1"/>
  <c r="L65" i="11" s="1"/>
  <c r="H60" i="11"/>
  <c r="H33" i="13"/>
  <c r="A32" i="13"/>
  <c r="H59" i="9"/>
  <c r="A59" i="12"/>
  <c r="H60" i="12"/>
  <c r="A8" i="13"/>
  <c r="D9" i="13"/>
  <c r="H47" i="13"/>
  <c r="A8" i="15"/>
  <c r="F9" i="15"/>
  <c r="H44" i="16"/>
  <c r="A60" i="16"/>
  <c r="H61" i="16"/>
  <c r="J43" i="11"/>
  <c r="J44" i="11" s="1"/>
  <c r="J45" i="11" s="1"/>
  <c r="J46" i="11" s="1"/>
  <c r="J47" i="11" s="1"/>
  <c r="J48" i="11" s="1"/>
  <c r="J49" i="11" s="1"/>
  <c r="J50" i="11" s="1"/>
  <c r="N43" i="11"/>
  <c r="N44" i="11" s="1"/>
  <c r="N45" i="11" s="1"/>
  <c r="N46" i="11" s="1"/>
  <c r="N47" i="11" s="1"/>
  <c r="N48" i="11" s="1"/>
  <c r="N49" i="11" s="1"/>
  <c r="N50" i="11" s="1"/>
  <c r="A31" i="13"/>
  <c r="A44" i="13"/>
  <c r="H44" i="15"/>
  <c r="A61" i="15"/>
  <c r="H62" i="15"/>
  <c r="A59" i="16"/>
  <c r="A60" i="15"/>
  <c r="A43" i="17"/>
  <c r="H45" i="18"/>
  <c r="H43" i="11"/>
  <c r="L43" i="11"/>
  <c r="L44" i="11" s="1"/>
  <c r="L45" i="11" s="1"/>
  <c r="L46" i="11" s="1"/>
  <c r="L47" i="11" s="1"/>
  <c r="L48" i="11" s="1"/>
  <c r="L49" i="11" s="1"/>
  <c r="L50" i="11" s="1"/>
  <c r="F11" i="14"/>
  <c r="A43" i="14"/>
  <c r="J62" i="15"/>
  <c r="J63" i="15" s="1"/>
  <c r="J64" i="15" s="1"/>
  <c r="A8" i="16"/>
  <c r="F9" i="16"/>
  <c r="I44" i="17"/>
  <c r="I45" i="17" s="1"/>
  <c r="I46" i="17" s="1"/>
  <c r="P45" i="18"/>
  <c r="P46" i="18" s="1"/>
  <c r="P47" i="18" s="1"/>
  <c r="P48" i="18" s="1"/>
  <c r="P49" i="18" s="1"/>
  <c r="P50" i="18" s="1"/>
  <c r="J43" i="14"/>
  <c r="J44" i="14" s="1"/>
  <c r="J45" i="14" s="1"/>
  <c r="J46" i="14" s="1"/>
  <c r="J47" i="14" s="1"/>
  <c r="J48" i="14" s="1"/>
  <c r="J49" i="14" s="1"/>
  <c r="J50" i="14" s="1"/>
  <c r="J51" i="14" s="1"/>
  <c r="J42" i="15"/>
  <c r="J43" i="15" s="1"/>
  <c r="J44" i="15" s="1"/>
  <c r="J45" i="15" s="1"/>
  <c r="J46" i="15" s="1"/>
  <c r="J47" i="15" s="1"/>
  <c r="J48" i="15" s="1"/>
  <c r="J49" i="15" s="1"/>
  <c r="J50" i="15" s="1"/>
  <c r="J51" i="15" s="1"/>
  <c r="A42" i="16"/>
  <c r="J42" i="16"/>
  <c r="J43" i="16" s="1"/>
  <c r="J44" i="16" s="1"/>
  <c r="J45" i="16" s="1"/>
  <c r="J46" i="16" s="1"/>
  <c r="J47" i="16" s="1"/>
  <c r="J48" i="16" s="1"/>
  <c r="J49" i="16" s="1"/>
  <c r="J50" i="16" s="1"/>
  <c r="A8" i="17"/>
  <c r="F9" i="17"/>
  <c r="N43" i="18"/>
  <c r="N44" i="18" s="1"/>
  <c r="N45" i="18" s="1"/>
  <c r="N46" i="18" s="1"/>
  <c r="N47" i="18" s="1"/>
  <c r="N48" i="18" s="1"/>
  <c r="N49" i="18" s="1"/>
  <c r="N50" i="18" s="1"/>
  <c r="J43" i="18"/>
  <c r="J44" i="18" s="1"/>
  <c r="J45" i="18" s="1"/>
  <c r="J46" i="18" s="1"/>
  <c r="J47" i="18" s="1"/>
  <c r="J48" i="18" s="1"/>
  <c r="J49" i="18" s="1"/>
  <c r="J50" i="18" s="1"/>
  <c r="L43" i="18"/>
  <c r="L44" i="18" s="1"/>
  <c r="L45" i="18" s="1"/>
  <c r="L46" i="18" s="1"/>
  <c r="L47" i="18" s="1"/>
  <c r="L48" i="18" s="1"/>
  <c r="L49" i="18" s="1"/>
  <c r="L50" i="18" s="1"/>
  <c r="J60" i="18"/>
  <c r="J61" i="18" s="1"/>
  <c r="J62" i="18" s="1"/>
  <c r="J63" i="18" s="1"/>
  <c r="J64" i="18" s="1"/>
  <c r="J65" i="18" s="1"/>
  <c r="J66" i="18" s="1"/>
  <c r="J67" i="18" s="1"/>
  <c r="A10" i="19"/>
  <c r="F11" i="19"/>
  <c r="N44" i="19"/>
  <c r="N45" i="19" s="1"/>
  <c r="N46" i="19" s="1"/>
  <c r="N47" i="19" s="1"/>
  <c r="N48" i="19" s="1"/>
  <c r="N49" i="19" s="1"/>
  <c r="N50" i="19" s="1"/>
  <c r="H44" i="20"/>
  <c r="A44" i="17"/>
  <c r="J59" i="17"/>
  <c r="J60" i="17" s="1"/>
  <c r="J61" i="17" s="1"/>
  <c r="J62" i="17" s="1"/>
  <c r="J63" i="17" s="1"/>
  <c r="J64" i="17" s="1"/>
  <c r="J65" i="17" s="1"/>
  <c r="H59" i="17"/>
  <c r="A8" i="18"/>
  <c r="F9" i="18"/>
  <c r="H61" i="19"/>
  <c r="A60" i="19"/>
  <c r="L60" i="18"/>
  <c r="L61" i="18" s="1"/>
  <c r="L62" i="18" s="1"/>
  <c r="L63" i="18" s="1"/>
  <c r="L64" i="18" s="1"/>
  <c r="L65" i="18" s="1"/>
  <c r="L66" i="18" s="1"/>
  <c r="L67" i="18" s="1"/>
  <c r="A59" i="18"/>
  <c r="H60" i="18"/>
  <c r="H61" i="21"/>
  <c r="A58" i="19"/>
  <c r="A59" i="19"/>
  <c r="A9" i="20"/>
  <c r="F10" i="20"/>
  <c r="A59" i="20"/>
  <c r="H60" i="20"/>
  <c r="P42" i="19"/>
  <c r="P43" i="19" s="1"/>
  <c r="P44" i="19" s="1"/>
  <c r="P45" i="19" s="1"/>
  <c r="P46" i="19" s="1"/>
  <c r="P47" i="19" s="1"/>
  <c r="P48" i="19" s="1"/>
  <c r="P49" i="19" s="1"/>
  <c r="P50" i="19" s="1"/>
  <c r="L42" i="19"/>
  <c r="L43" i="19" s="1"/>
  <c r="L44" i="19" s="1"/>
  <c r="L45" i="19" s="1"/>
  <c r="L46" i="19" s="1"/>
  <c r="L47" i="19" s="1"/>
  <c r="L48" i="19" s="1"/>
  <c r="L49" i="19" s="1"/>
  <c r="L50" i="19" s="1"/>
  <c r="H42" i="19"/>
  <c r="N42" i="20"/>
  <c r="N43" i="20" s="1"/>
  <c r="N44" i="20" s="1"/>
  <c r="N45" i="20" s="1"/>
  <c r="N46" i="20" s="1"/>
  <c r="N47" i="20" s="1"/>
  <c r="N48" i="20" s="1"/>
  <c r="N49" i="20" s="1"/>
  <c r="N50" i="20" s="1"/>
  <c r="N51" i="20" s="1"/>
  <c r="J42" i="20"/>
  <c r="J43" i="20" s="1"/>
  <c r="J44" i="20" s="1"/>
  <c r="J45" i="20" s="1"/>
  <c r="J46" i="20" s="1"/>
  <c r="J47" i="20" s="1"/>
  <c r="J48" i="20" s="1"/>
  <c r="J49" i="20" s="1"/>
  <c r="J50" i="20" s="1"/>
  <c r="J51" i="20" s="1"/>
  <c r="L42" i="20"/>
  <c r="L43" i="20" s="1"/>
  <c r="L44" i="20" s="1"/>
  <c r="L45" i="20" s="1"/>
  <c r="L46" i="20" s="1"/>
  <c r="L47" i="20" s="1"/>
  <c r="L48" i="20" s="1"/>
  <c r="L49" i="20" s="1"/>
  <c r="L50" i="20" s="1"/>
  <c r="L51" i="20" s="1"/>
  <c r="J60" i="20"/>
  <c r="J61" i="20" s="1"/>
  <c r="J62" i="20" s="1"/>
  <c r="J63" i="20" s="1"/>
  <c r="J64" i="20" s="1"/>
  <c r="A42" i="20"/>
  <c r="L60" i="20"/>
  <c r="L61" i="20" s="1"/>
  <c r="L62" i="20" s="1"/>
  <c r="L63" i="20" s="1"/>
  <c r="L64" i="20" s="1"/>
  <c r="A10" i="21"/>
  <c r="F11" i="21"/>
  <c r="J60" i="21"/>
  <c r="J61" i="21" s="1"/>
  <c r="J62" i="21" s="1"/>
  <c r="J63" i="21" s="1"/>
  <c r="J64" i="21" s="1"/>
  <c r="J65" i="21" s="1"/>
  <c r="A44" i="23"/>
  <c r="L62" i="21"/>
  <c r="L63" i="21" s="1"/>
  <c r="L64" i="21" s="1"/>
  <c r="L65" i="21" s="1"/>
  <c r="H58" i="23"/>
  <c r="L58" i="23"/>
  <c r="L59" i="23" s="1"/>
  <c r="L60" i="23" s="1"/>
  <c r="L61" i="23" s="1"/>
  <c r="L62" i="23" s="1"/>
  <c r="L63" i="23" s="1"/>
  <c r="L64" i="23" s="1"/>
  <c r="J58" i="23"/>
  <c r="J59" i="23" s="1"/>
  <c r="J60" i="23" s="1"/>
  <c r="J61" i="23" s="1"/>
  <c r="J62" i="23" s="1"/>
  <c r="J63" i="23" s="1"/>
  <c r="J64" i="23" s="1"/>
  <c r="D10" i="22"/>
  <c r="A9" i="22"/>
  <c r="A45" i="23"/>
  <c r="H46" i="23"/>
  <c r="F12" i="23"/>
  <c r="A11" i="23"/>
  <c r="J43" i="21"/>
  <c r="J44" i="21" s="1"/>
  <c r="J45" i="21" s="1"/>
  <c r="J46" i="21" s="1"/>
  <c r="J47" i="21" s="1"/>
  <c r="J48" i="21" s="1"/>
  <c r="J49" i="21" s="1"/>
  <c r="J50" i="21" s="1"/>
  <c r="J51" i="21" s="1"/>
  <c r="N43" i="21"/>
  <c r="N44" i="21" s="1"/>
  <c r="N45" i="21" s="1"/>
  <c r="N46" i="21" s="1"/>
  <c r="N47" i="21" s="1"/>
  <c r="N48" i="21" s="1"/>
  <c r="N49" i="21" s="1"/>
  <c r="N50" i="21" s="1"/>
  <c r="N51" i="21" s="1"/>
  <c r="A9" i="24"/>
  <c r="F10" i="24"/>
  <c r="L57" i="24"/>
  <c r="L58" i="24" s="1"/>
  <c r="L59" i="24" s="1"/>
  <c r="L60" i="24" s="1"/>
  <c r="L61" i="24" s="1"/>
  <c r="L62" i="24" s="1"/>
  <c r="L63" i="24" s="1"/>
  <c r="L64" i="24" s="1"/>
  <c r="L65" i="24" s="1"/>
  <c r="J57" i="24"/>
  <c r="J58" i="24" s="1"/>
  <c r="J59" i="24" s="1"/>
  <c r="J60" i="24" s="1"/>
  <c r="J61" i="24" s="1"/>
  <c r="J62" i="24" s="1"/>
  <c r="J63" i="24" s="1"/>
  <c r="J64" i="24" s="1"/>
  <c r="J65" i="24" s="1"/>
  <c r="H57" i="24"/>
  <c r="H43" i="21"/>
  <c r="L43" i="21"/>
  <c r="L44" i="21" s="1"/>
  <c r="L45" i="21" s="1"/>
  <c r="L46" i="21" s="1"/>
  <c r="L47" i="21" s="1"/>
  <c r="L48" i="21" s="1"/>
  <c r="L49" i="21" s="1"/>
  <c r="L50" i="21" s="1"/>
  <c r="L51" i="21" s="1"/>
  <c r="X2" i="41" l="1"/>
  <c r="G16" i="41" s="1"/>
  <c r="A16" i="41" s="1"/>
  <c r="X2" i="1"/>
  <c r="G16" i="1" s="1"/>
  <c r="A16" i="1" s="1"/>
  <c r="X2" i="40"/>
  <c r="G16" i="40" s="1"/>
  <c r="A16" i="40" s="1"/>
  <c r="A68" i="38"/>
  <c r="F69" i="38"/>
  <c r="A67" i="37"/>
  <c r="F68" i="36"/>
  <c r="A67" i="36"/>
  <c r="A83" i="35"/>
  <c r="F84" i="35"/>
  <c r="F44" i="34"/>
  <c r="A43" i="34"/>
  <c r="H95" i="34"/>
  <c r="A94" i="34"/>
  <c r="A77" i="34"/>
  <c r="H78" i="34"/>
  <c r="A77" i="33"/>
  <c r="H78" i="33"/>
  <c r="A92" i="33"/>
  <c r="H93" i="33"/>
  <c r="A42" i="33"/>
  <c r="F43" i="33"/>
  <c r="A42" i="1"/>
  <c r="F43" i="1"/>
  <c r="A92" i="1"/>
  <c r="I47" i="17"/>
  <c r="A46" i="17"/>
  <c r="A45" i="18"/>
  <c r="H46" i="18"/>
  <c r="H62" i="16"/>
  <c r="A61" i="16"/>
  <c r="F13" i="6"/>
  <c r="A12" i="6"/>
  <c r="A61" i="14"/>
  <c r="H62" i="14"/>
  <c r="F34" i="2"/>
  <c r="A33" i="2"/>
  <c r="F48" i="2"/>
  <c r="A47" i="2"/>
  <c r="H44" i="21"/>
  <c r="A43" i="21"/>
  <c r="F11" i="24"/>
  <c r="A10" i="24"/>
  <c r="A58" i="23"/>
  <c r="H59" i="23"/>
  <c r="A11" i="21"/>
  <c r="F12" i="21"/>
  <c r="H43" i="19"/>
  <c r="A42" i="19"/>
  <c r="A61" i="19"/>
  <c r="H62" i="19"/>
  <c r="H60" i="17"/>
  <c r="A59" i="17"/>
  <c r="A44" i="20"/>
  <c r="H45" i="20"/>
  <c r="A42" i="15"/>
  <c r="A9" i="16"/>
  <c r="F10" i="16"/>
  <c r="F12" i="14"/>
  <c r="A11" i="14"/>
  <c r="A45" i="13"/>
  <c r="A59" i="11"/>
  <c r="F12" i="7"/>
  <c r="A11" i="7"/>
  <c r="A10" i="10"/>
  <c r="F11" i="10"/>
  <c r="A44" i="8"/>
  <c r="A59" i="6"/>
  <c r="F13" i="4"/>
  <c r="A12" i="4"/>
  <c r="A74" i="1"/>
  <c r="H75" i="1"/>
  <c r="A59" i="5"/>
  <c r="F10" i="17"/>
  <c r="A9" i="17"/>
  <c r="A9" i="15"/>
  <c r="F10" i="15"/>
  <c r="D10" i="13"/>
  <c r="A9" i="13"/>
  <c r="A59" i="9"/>
  <c r="H60" i="9"/>
  <c r="A60" i="11"/>
  <c r="H61" i="11"/>
  <c r="L59" i="3"/>
  <c r="A58" i="3"/>
  <c r="A10" i="3"/>
  <c r="F11" i="3"/>
  <c r="A42" i="4"/>
  <c r="H43" i="4"/>
  <c r="A57" i="24"/>
  <c r="H58" i="24"/>
  <c r="F13" i="23"/>
  <c r="A12" i="23"/>
  <c r="D11" i="22"/>
  <c r="A10" i="22"/>
  <c r="F11" i="20"/>
  <c r="A10" i="20"/>
  <c r="A61" i="21"/>
  <c r="H62" i="21"/>
  <c r="A43" i="18"/>
  <c r="A43" i="20"/>
  <c r="A43" i="15"/>
  <c r="A43" i="16"/>
  <c r="A46" i="13"/>
  <c r="A60" i="12"/>
  <c r="H61" i="12"/>
  <c r="A10" i="11"/>
  <c r="F11" i="11"/>
  <c r="A43" i="12"/>
  <c r="H44" i="12"/>
  <c r="A43" i="5"/>
  <c r="H44" i="5"/>
  <c r="H44" i="3"/>
  <c r="A43" i="3"/>
  <c r="F20" i="13"/>
  <c r="A19" i="13"/>
  <c r="H46" i="8"/>
  <c r="A45" i="8"/>
  <c r="F11" i="8"/>
  <c r="A10" i="8"/>
  <c r="A43" i="7"/>
  <c r="H44" i="7"/>
  <c r="A93" i="1"/>
  <c r="H94" i="1"/>
  <c r="A45" i="14"/>
  <c r="H46" i="14"/>
  <c r="H62" i="3"/>
  <c r="A60" i="20"/>
  <c r="H61" i="20"/>
  <c r="A60" i="18"/>
  <c r="H61" i="18"/>
  <c r="F12" i="19"/>
  <c r="A11" i="19"/>
  <c r="A62" i="15"/>
  <c r="H63" i="15"/>
  <c r="A43" i="9"/>
  <c r="H44" i="9"/>
  <c r="H47" i="23"/>
  <c r="A46" i="23"/>
  <c r="A60" i="21"/>
  <c r="A44" i="18"/>
  <c r="A9" i="18"/>
  <c r="F10" i="18"/>
  <c r="A45" i="17"/>
  <c r="H44" i="11"/>
  <c r="A43" i="11"/>
  <c r="H45" i="15"/>
  <c r="A44" i="15"/>
  <c r="H45" i="16"/>
  <c r="A44" i="16"/>
  <c r="H48" i="13"/>
  <c r="A47" i="13"/>
  <c r="H34" i="13"/>
  <c r="A33" i="13"/>
  <c r="F11" i="12"/>
  <c r="A10" i="12"/>
  <c r="A43" i="6"/>
  <c r="H44" i="6"/>
  <c r="A28" i="4"/>
  <c r="H29" i="4"/>
  <c r="H46" i="24"/>
  <c r="A45" i="24"/>
  <c r="H60" i="8"/>
  <c r="A59" i="8"/>
  <c r="H61" i="5"/>
  <c r="A60" i="5"/>
  <c r="A61" i="6"/>
  <c r="H62" i="6"/>
  <c r="A9" i="5"/>
  <c r="F10" i="5"/>
  <c r="A44" i="14"/>
  <c r="D12" i="2"/>
  <c r="A11" i="2"/>
  <c r="D5" i="40" l="1"/>
  <c r="D15" i="40" s="1"/>
  <c r="A69" i="38"/>
  <c r="F70" i="38"/>
  <c r="D5" i="37"/>
  <c r="A68" i="36"/>
  <c r="F69" i="36"/>
  <c r="A84" i="35"/>
  <c r="F85" i="35"/>
  <c r="A95" i="34"/>
  <c r="H96" i="34"/>
  <c r="A78" i="34"/>
  <c r="H79" i="34"/>
  <c r="A44" i="34"/>
  <c r="F45" i="34"/>
  <c r="H94" i="33"/>
  <c r="P5" i="33" s="1"/>
  <c r="A93" i="33"/>
  <c r="F44" i="33"/>
  <c r="A43" i="33"/>
  <c r="A78" i="33"/>
  <c r="H79" i="33"/>
  <c r="A43" i="1"/>
  <c r="F44" i="1"/>
  <c r="H63" i="3"/>
  <c r="F12" i="8"/>
  <c r="A11" i="8"/>
  <c r="F21" i="13"/>
  <c r="A20" i="13"/>
  <c r="A62" i="21"/>
  <c r="H63" i="21"/>
  <c r="A61" i="11"/>
  <c r="H62" i="11"/>
  <c r="F14" i="4"/>
  <c r="A13" i="4"/>
  <c r="A46" i="18"/>
  <c r="H47" i="18"/>
  <c r="A61" i="5"/>
  <c r="H62" i="5"/>
  <c r="H47" i="24"/>
  <c r="A46" i="24"/>
  <c r="H35" i="13"/>
  <c r="A35" i="13" s="1"/>
  <c r="A34" i="13"/>
  <c r="H46" i="16"/>
  <c r="A45" i="16"/>
  <c r="H45" i="11"/>
  <c r="A44" i="11"/>
  <c r="A44" i="9"/>
  <c r="H45" i="9"/>
  <c r="H62" i="20"/>
  <c r="A61" i="20"/>
  <c r="A46" i="14"/>
  <c r="H47" i="14"/>
  <c r="A44" i="7"/>
  <c r="H45" i="7"/>
  <c r="A44" i="12"/>
  <c r="H45" i="12"/>
  <c r="A61" i="12"/>
  <c r="H62" i="12"/>
  <c r="D12" i="22"/>
  <c r="A11" i="22"/>
  <c r="D11" i="13"/>
  <c r="A10" i="13"/>
  <c r="A10" i="17"/>
  <c r="F11" i="17"/>
  <c r="A75" i="1"/>
  <c r="H76" i="1"/>
  <c r="H61" i="17"/>
  <c r="A60" i="17"/>
  <c r="H44" i="19"/>
  <c r="A43" i="19"/>
  <c r="H45" i="21"/>
  <c r="A44" i="21"/>
  <c r="A34" i="2"/>
  <c r="F35" i="2"/>
  <c r="A35" i="2" s="1"/>
  <c r="A13" i="6"/>
  <c r="F14" i="6"/>
  <c r="A44" i="6"/>
  <c r="H45" i="6"/>
  <c r="H48" i="23"/>
  <c r="A47" i="23"/>
  <c r="H59" i="24"/>
  <c r="A58" i="24"/>
  <c r="H60" i="23"/>
  <c r="A59" i="23"/>
  <c r="A12" i="19"/>
  <c r="F13" i="19"/>
  <c r="H47" i="8"/>
  <c r="A46" i="8"/>
  <c r="H45" i="3"/>
  <c r="A44" i="3"/>
  <c r="H44" i="4"/>
  <c r="A43" i="4"/>
  <c r="A60" i="9"/>
  <c r="H61" i="9"/>
  <c r="A10" i="15"/>
  <c r="F11" i="15"/>
  <c r="A12" i="7"/>
  <c r="F13" i="7"/>
  <c r="A12" i="14"/>
  <c r="F13" i="14"/>
  <c r="A45" i="20"/>
  <c r="H46" i="20"/>
  <c r="H63" i="19"/>
  <c r="A62" i="19"/>
  <c r="A12" i="21"/>
  <c r="F13" i="21"/>
  <c r="H63" i="14"/>
  <c r="A62" i="14"/>
  <c r="A10" i="5"/>
  <c r="F11" i="5"/>
  <c r="A11" i="3"/>
  <c r="F12" i="3"/>
  <c r="D13" i="2"/>
  <c r="A12" i="2"/>
  <c r="H63" i="6"/>
  <c r="A62" i="6"/>
  <c r="A29" i="4"/>
  <c r="H30" i="4"/>
  <c r="H61" i="8"/>
  <c r="A60" i="8"/>
  <c r="A11" i="12"/>
  <c r="F12" i="12"/>
  <c r="A48" i="13"/>
  <c r="H49" i="13"/>
  <c r="H46" i="15"/>
  <c r="A45" i="15"/>
  <c r="A10" i="18"/>
  <c r="F11" i="18"/>
  <c r="H64" i="15"/>
  <c r="A64" i="15" s="1"/>
  <c r="A63" i="15"/>
  <c r="H62" i="18"/>
  <c r="A61" i="18"/>
  <c r="H95" i="1"/>
  <c r="A94" i="1"/>
  <c r="A44" i="5"/>
  <c r="H45" i="5"/>
  <c r="A11" i="11"/>
  <c r="F12" i="11"/>
  <c r="A11" i="20"/>
  <c r="F12" i="20"/>
  <c r="F14" i="23"/>
  <c r="A13" i="23"/>
  <c r="L60" i="3"/>
  <c r="A59" i="3"/>
  <c r="A11" i="10"/>
  <c r="F12" i="10"/>
  <c r="A10" i="16"/>
  <c r="F11" i="16"/>
  <c r="A11" i="24"/>
  <c r="F12" i="24"/>
  <c r="F49" i="2"/>
  <c r="A48" i="2"/>
  <c r="A62" i="16"/>
  <c r="H63" i="16"/>
  <c r="A47" i="17"/>
  <c r="I48" i="17"/>
  <c r="A15" i="40" l="1"/>
  <c r="A5" i="40"/>
  <c r="D5" i="39"/>
  <c r="A70" i="38"/>
  <c r="F71" i="38"/>
  <c r="D15" i="37"/>
  <c r="A15" i="37" s="1"/>
  <c r="A5" i="37"/>
  <c r="D5" i="36"/>
  <c r="D15" i="36" s="1"/>
  <c r="A69" i="36"/>
  <c r="A85" i="35"/>
  <c r="F86" i="35"/>
  <c r="A79" i="34"/>
  <c r="H80" i="34"/>
  <c r="F46" i="34"/>
  <c r="A45" i="34"/>
  <c r="H97" i="34"/>
  <c r="A96" i="34"/>
  <c r="A44" i="33"/>
  <c r="F45" i="33"/>
  <c r="A79" i="33"/>
  <c r="H80" i="33"/>
  <c r="A94" i="33"/>
  <c r="A44" i="1"/>
  <c r="F45" i="1"/>
  <c r="I49" i="17"/>
  <c r="A48" i="17"/>
  <c r="F12" i="18"/>
  <c r="A11" i="18"/>
  <c r="F13" i="3"/>
  <c r="A12" i="3"/>
  <c r="A47" i="14"/>
  <c r="H48" i="14"/>
  <c r="A47" i="18"/>
  <c r="H48" i="18"/>
  <c r="F50" i="2"/>
  <c r="A49" i="2"/>
  <c r="L61" i="3"/>
  <c r="A60" i="3"/>
  <c r="A62" i="18"/>
  <c r="H63" i="18"/>
  <c r="H62" i="8"/>
  <c r="A61" i="8"/>
  <c r="A63" i="6"/>
  <c r="H64" i="6"/>
  <c r="A63" i="14"/>
  <c r="H64" i="14"/>
  <c r="H64" i="19"/>
  <c r="A64" i="19" s="1"/>
  <c r="A63" i="19"/>
  <c r="H45" i="4"/>
  <c r="A44" i="4"/>
  <c r="H48" i="8"/>
  <c r="A48" i="8" s="1"/>
  <c r="A47" i="8"/>
  <c r="A60" i="23"/>
  <c r="H61" i="23"/>
  <c r="H49" i="23"/>
  <c r="A48" i="23"/>
  <c r="H46" i="21"/>
  <c r="A45" i="21"/>
  <c r="A61" i="17"/>
  <c r="H62" i="17"/>
  <c r="D13" i="22"/>
  <c r="A12" i="22"/>
  <c r="H47" i="16"/>
  <c r="A46" i="16"/>
  <c r="H48" i="24"/>
  <c r="A47" i="24"/>
  <c r="F22" i="13"/>
  <c r="A21" i="13"/>
  <c r="H64" i="3"/>
  <c r="A45" i="5"/>
  <c r="H46" i="5"/>
  <c r="A49" i="13"/>
  <c r="H50" i="13"/>
  <c r="F14" i="14"/>
  <c r="A13" i="14"/>
  <c r="F15" i="6"/>
  <c r="A14" i="6"/>
  <c r="F12" i="17"/>
  <c r="A11" i="17"/>
  <c r="A45" i="12"/>
  <c r="H46" i="12"/>
  <c r="H46" i="9"/>
  <c r="A45" i="9"/>
  <c r="H63" i="11"/>
  <c r="A62" i="11"/>
  <c r="A63" i="16"/>
  <c r="H64" i="16"/>
  <c r="F13" i="24"/>
  <c r="A12" i="24"/>
  <c r="A12" i="10"/>
  <c r="F13" i="10"/>
  <c r="A12" i="11"/>
  <c r="F13" i="11"/>
  <c r="F13" i="12"/>
  <c r="A12" i="12"/>
  <c r="A30" i="4"/>
  <c r="H31" i="4"/>
  <c r="A11" i="5"/>
  <c r="F12" i="5"/>
  <c r="A13" i="21"/>
  <c r="F14" i="21"/>
  <c r="A46" i="20"/>
  <c r="H47" i="20"/>
  <c r="F14" i="7"/>
  <c r="A13" i="7"/>
  <c r="A61" i="9"/>
  <c r="H62" i="9"/>
  <c r="F14" i="19"/>
  <c r="A13" i="19"/>
  <c r="A45" i="6"/>
  <c r="H46" i="6"/>
  <c r="A76" i="1"/>
  <c r="H77" i="1"/>
  <c r="H63" i="12"/>
  <c r="A62" i="12"/>
  <c r="A45" i="7"/>
  <c r="H46" i="7"/>
  <c r="H63" i="5"/>
  <c r="A62" i="5"/>
  <c r="H64" i="21"/>
  <c r="A63" i="21"/>
  <c r="A11" i="16"/>
  <c r="F12" i="16"/>
  <c r="F13" i="20"/>
  <c r="A12" i="20"/>
  <c r="A11" i="15"/>
  <c r="F12" i="15"/>
  <c r="F15" i="23"/>
  <c r="A14" i="23"/>
  <c r="A95" i="1"/>
  <c r="H96" i="1"/>
  <c r="H47" i="15"/>
  <c r="A46" i="15"/>
  <c r="D14" i="2"/>
  <c r="A13" i="2"/>
  <c r="H46" i="3"/>
  <c r="A45" i="3"/>
  <c r="A59" i="24"/>
  <c r="H60" i="24"/>
  <c r="H45" i="19"/>
  <c r="A44" i="19"/>
  <c r="A11" i="13"/>
  <c r="D12" i="13"/>
  <c r="H63" i="20"/>
  <c r="A62" i="20"/>
  <c r="H46" i="11"/>
  <c r="A45" i="11"/>
  <c r="F15" i="4"/>
  <c r="A14" i="4"/>
  <c r="F13" i="8"/>
  <c r="A12" i="8"/>
  <c r="D15" i="39" l="1"/>
  <c r="A15" i="39" s="1"/>
  <c r="A5" i="39"/>
  <c r="A71" i="38"/>
  <c r="A86" i="35"/>
  <c r="F87" i="35"/>
  <c r="A46" i="34"/>
  <c r="F47" i="34"/>
  <c r="A80" i="34"/>
  <c r="H81" i="34"/>
  <c r="A97" i="34"/>
  <c r="H98" i="34"/>
  <c r="P5" i="34" s="1"/>
  <c r="A80" i="33"/>
  <c r="H81" i="33"/>
  <c r="F46" i="33"/>
  <c r="A45" i="33"/>
  <c r="A45" i="1"/>
  <c r="F46" i="1"/>
  <c r="A46" i="7"/>
  <c r="H47" i="7"/>
  <c r="A77" i="1"/>
  <c r="H78" i="1"/>
  <c r="A64" i="14"/>
  <c r="H65" i="14"/>
  <c r="A65" i="14" s="1"/>
  <c r="A48" i="18"/>
  <c r="H49" i="18"/>
  <c r="F16" i="4"/>
  <c r="A15" i="4"/>
  <c r="A63" i="20"/>
  <c r="H64" i="20"/>
  <c r="A64" i="20" s="1"/>
  <c r="H46" i="19"/>
  <c r="A45" i="19"/>
  <c r="H47" i="3"/>
  <c r="A46" i="3"/>
  <c r="H48" i="15"/>
  <c r="A47" i="15"/>
  <c r="F16" i="23"/>
  <c r="A15" i="23"/>
  <c r="A13" i="20"/>
  <c r="F14" i="20"/>
  <c r="A64" i="21"/>
  <c r="H65" i="21"/>
  <c r="A65" i="21" s="1"/>
  <c r="A14" i="19"/>
  <c r="F15" i="19"/>
  <c r="A14" i="7"/>
  <c r="F15" i="7"/>
  <c r="A13" i="24"/>
  <c r="F14" i="24"/>
  <c r="A63" i="11"/>
  <c r="H64" i="11"/>
  <c r="A15" i="6"/>
  <c r="F16" i="6"/>
  <c r="H49" i="24"/>
  <c r="A49" i="24" s="1"/>
  <c r="A48" i="24"/>
  <c r="D14" i="22"/>
  <c r="A13" i="22"/>
  <c r="H47" i="21"/>
  <c r="A46" i="21"/>
  <c r="H46" i="4"/>
  <c r="A45" i="4"/>
  <c r="A62" i="8"/>
  <c r="H63" i="8"/>
  <c r="L62" i="3"/>
  <c r="A61" i="3"/>
  <c r="A13" i="3"/>
  <c r="F14" i="3"/>
  <c r="I50" i="17"/>
  <c r="A49" i="17"/>
  <c r="A14" i="21"/>
  <c r="F15" i="21"/>
  <c r="H51" i="13"/>
  <c r="A50" i="13"/>
  <c r="H65" i="3"/>
  <c r="H62" i="23"/>
  <c r="A61" i="23"/>
  <c r="D13" i="13"/>
  <c r="A12" i="13"/>
  <c r="A60" i="24"/>
  <c r="H61" i="24"/>
  <c r="A96" i="1"/>
  <c r="H97" i="1"/>
  <c r="A12" i="15"/>
  <c r="F13" i="15"/>
  <c r="A12" i="16"/>
  <c r="F13" i="16"/>
  <c r="A46" i="6"/>
  <c r="H47" i="6"/>
  <c r="A62" i="9"/>
  <c r="H63" i="9"/>
  <c r="A47" i="20"/>
  <c r="H48" i="20"/>
  <c r="A12" i="5"/>
  <c r="F13" i="5"/>
  <c r="F14" i="10"/>
  <c r="A13" i="10"/>
  <c r="A64" i="16"/>
  <c r="H65" i="16"/>
  <c r="A65" i="16" s="1"/>
  <c r="A46" i="5"/>
  <c r="H47" i="5"/>
  <c r="A62" i="17"/>
  <c r="H63" i="17"/>
  <c r="A64" i="6"/>
  <c r="H65" i="6"/>
  <c r="A65" i="6" s="1"/>
  <c r="A63" i="18"/>
  <c r="H64" i="18"/>
  <c r="A48" i="14"/>
  <c r="H49" i="14"/>
  <c r="A31" i="4"/>
  <c r="H32" i="4"/>
  <c r="A13" i="11"/>
  <c r="F14" i="11"/>
  <c r="A46" i="12"/>
  <c r="H47" i="12"/>
  <c r="F14" i="8"/>
  <c r="A13" i="8"/>
  <c r="H47" i="11"/>
  <c r="A46" i="11"/>
  <c r="A14" i="2"/>
  <c r="D15" i="2"/>
  <c r="A63" i="5"/>
  <c r="H64" i="5"/>
  <c r="A63" i="12"/>
  <c r="H64" i="12"/>
  <c r="A64" i="12" s="1"/>
  <c r="A13" i="12"/>
  <c r="F14" i="12"/>
  <c r="A46" i="9"/>
  <c r="H47" i="9"/>
  <c r="A12" i="17"/>
  <c r="F13" i="17"/>
  <c r="A14" i="14"/>
  <c r="F15" i="14"/>
  <c r="F23" i="13"/>
  <c r="A23" i="13" s="1"/>
  <c r="A22" i="13"/>
  <c r="H48" i="16"/>
  <c r="A47" i="16"/>
  <c r="A49" i="23"/>
  <c r="H50" i="23"/>
  <c r="A50" i="23" s="1"/>
  <c r="F51" i="2"/>
  <c r="A50" i="2"/>
  <c r="A12" i="18"/>
  <c r="F13" i="18"/>
  <c r="D5" i="38" l="1"/>
  <c r="A15" i="36"/>
  <c r="A5" i="36"/>
  <c r="A87" i="35"/>
  <c r="F88" i="35"/>
  <c r="A81" i="34"/>
  <c r="H82" i="34"/>
  <c r="A98" i="34"/>
  <c r="F48" i="34"/>
  <c r="A47" i="34"/>
  <c r="A81" i="33"/>
  <c r="H82" i="33"/>
  <c r="F5" i="33" s="1"/>
  <c r="D16" i="33" s="1"/>
  <c r="G16" i="33" s="1"/>
  <c r="A16" i="33" s="1"/>
  <c r="A46" i="33"/>
  <c r="F47" i="33"/>
  <c r="A46" i="1"/>
  <c r="F47" i="1"/>
  <c r="A47" i="9"/>
  <c r="H48" i="9"/>
  <c r="A64" i="18"/>
  <c r="H65" i="18"/>
  <c r="A13" i="5"/>
  <c r="F14" i="5"/>
  <c r="A13" i="16"/>
  <c r="F14" i="16"/>
  <c r="F15" i="3"/>
  <c r="A14" i="3"/>
  <c r="A49" i="18"/>
  <c r="H50" i="18"/>
  <c r="A50" i="18" s="1"/>
  <c r="H49" i="16"/>
  <c r="A48" i="16"/>
  <c r="A14" i="8"/>
  <c r="F15" i="8"/>
  <c r="D14" i="13"/>
  <c r="A13" i="13"/>
  <c r="H48" i="21"/>
  <c r="A47" i="21"/>
  <c r="F17" i="23"/>
  <c r="A16" i="23"/>
  <c r="H48" i="3"/>
  <c r="A47" i="3"/>
  <c r="F16" i="14"/>
  <c r="A15" i="14"/>
  <c r="A63" i="9"/>
  <c r="H64" i="9"/>
  <c r="A64" i="9" s="1"/>
  <c r="A97" i="1"/>
  <c r="H98" i="1"/>
  <c r="A15" i="21"/>
  <c r="F16" i="21"/>
  <c r="A64" i="11"/>
  <c r="H65" i="11"/>
  <c r="A65" i="11" s="1"/>
  <c r="A78" i="1"/>
  <c r="H79" i="1"/>
  <c r="F52" i="2"/>
  <c r="A52" i="2" s="1"/>
  <c r="A51" i="2"/>
  <c r="F53" i="2"/>
  <c r="A53" i="2" s="1"/>
  <c r="A13" i="18"/>
  <c r="F14" i="18"/>
  <c r="F14" i="17"/>
  <c r="A13" i="17"/>
  <c r="F15" i="12"/>
  <c r="A14" i="12"/>
  <c r="H65" i="5"/>
  <c r="A65" i="5" s="1"/>
  <c r="A64" i="5"/>
  <c r="A47" i="12"/>
  <c r="H48" i="12"/>
  <c r="A32" i="4"/>
  <c r="H33" i="4"/>
  <c r="A33" i="4" s="1"/>
  <c r="A49" i="14"/>
  <c r="H50" i="14"/>
  <c r="A47" i="5"/>
  <c r="H48" i="5"/>
  <c r="A48" i="20"/>
  <c r="H49" i="20"/>
  <c r="A47" i="6"/>
  <c r="H48" i="6"/>
  <c r="A13" i="15"/>
  <c r="F14" i="15"/>
  <c r="A61" i="24"/>
  <c r="H62" i="24"/>
  <c r="F17" i="6"/>
  <c r="A16" i="6"/>
  <c r="F15" i="24"/>
  <c r="A14" i="24"/>
  <c r="A15" i="19"/>
  <c r="F16" i="19"/>
  <c r="F15" i="20"/>
  <c r="A14" i="20"/>
  <c r="A47" i="7"/>
  <c r="H48" i="7"/>
  <c r="D16" i="2"/>
  <c r="A15" i="2"/>
  <c r="A14" i="11"/>
  <c r="F15" i="11"/>
  <c r="H64" i="17"/>
  <c r="A63" i="17"/>
  <c r="H64" i="8"/>
  <c r="A64" i="8" s="1"/>
  <c r="A63" i="8"/>
  <c r="F16" i="7"/>
  <c r="A15" i="7"/>
  <c r="H48" i="11"/>
  <c r="A47" i="11"/>
  <c r="A14" i="10"/>
  <c r="F15" i="10"/>
  <c r="A62" i="23"/>
  <c r="H63" i="23"/>
  <c r="A51" i="13"/>
  <c r="H52" i="13"/>
  <c r="A52" i="13" s="1"/>
  <c r="I51" i="17"/>
  <c r="A51" i="17" s="1"/>
  <c r="A50" i="17"/>
  <c r="L63" i="3"/>
  <c r="A62" i="3"/>
  <c r="A46" i="4"/>
  <c r="H47" i="4"/>
  <c r="D15" i="22"/>
  <c r="A14" i="22"/>
  <c r="H49" i="15"/>
  <c r="A48" i="15"/>
  <c r="H47" i="19"/>
  <c r="A46" i="19"/>
  <c r="F17" i="4"/>
  <c r="A16" i="4"/>
  <c r="D15" i="38" l="1"/>
  <c r="A15" i="38" s="1"/>
  <c r="A5" i="38"/>
  <c r="A88" i="35"/>
  <c r="F89" i="35"/>
  <c r="A48" i="34"/>
  <c r="F49" i="34"/>
  <c r="A82" i="34"/>
  <c r="H83" i="34"/>
  <c r="A82" i="33"/>
  <c r="A47" i="33"/>
  <c r="F48" i="33"/>
  <c r="A47" i="1"/>
  <c r="F48" i="1"/>
  <c r="A15" i="11"/>
  <c r="F16" i="11"/>
  <c r="A16" i="19"/>
  <c r="F17" i="19"/>
  <c r="A49" i="20"/>
  <c r="H50" i="20"/>
  <c r="A16" i="14"/>
  <c r="F17" i="14"/>
  <c r="A14" i="13"/>
  <c r="D15" i="13"/>
  <c r="A14" i="5"/>
  <c r="F15" i="5"/>
  <c r="A17" i="4"/>
  <c r="F18" i="4"/>
  <c r="H50" i="15"/>
  <c r="A49" i="15"/>
  <c r="H49" i="11"/>
  <c r="A48" i="11"/>
  <c r="A17" i="6"/>
  <c r="F18" i="6"/>
  <c r="A15" i="12"/>
  <c r="F16" i="12"/>
  <c r="A79" i="1"/>
  <c r="H80" i="1"/>
  <c r="A16" i="21"/>
  <c r="F17" i="21"/>
  <c r="F16" i="8"/>
  <c r="A15" i="8"/>
  <c r="A48" i="7"/>
  <c r="H49" i="7"/>
  <c r="A14" i="15"/>
  <c r="F15" i="15"/>
  <c r="A50" i="14"/>
  <c r="H51" i="14"/>
  <c r="A51" i="14" s="1"/>
  <c r="A48" i="12"/>
  <c r="H49" i="12"/>
  <c r="A14" i="18"/>
  <c r="F15" i="18"/>
  <c r="A15" i="3"/>
  <c r="F16" i="3"/>
  <c r="F16" i="10"/>
  <c r="A15" i="10"/>
  <c r="H63" i="24"/>
  <c r="A62" i="24"/>
  <c r="A48" i="6"/>
  <c r="H49" i="6"/>
  <c r="A48" i="5"/>
  <c r="H49" i="5"/>
  <c r="H49" i="3"/>
  <c r="A48" i="3"/>
  <c r="H49" i="21"/>
  <c r="A48" i="21"/>
  <c r="A14" i="16"/>
  <c r="F15" i="16"/>
  <c r="H66" i="18"/>
  <c r="A65" i="18"/>
  <c r="A48" i="9"/>
  <c r="H49" i="9"/>
  <c r="H48" i="4"/>
  <c r="A47" i="4"/>
  <c r="H64" i="23"/>
  <c r="A64" i="23" s="1"/>
  <c r="A63" i="23"/>
  <c r="F18" i="23"/>
  <c r="A17" i="23"/>
  <c r="H50" i="16"/>
  <c r="A50" i="16" s="1"/>
  <c r="A49" i="16"/>
  <c r="H48" i="19"/>
  <c r="A47" i="19"/>
  <c r="D16" i="22"/>
  <c r="A15" i="22"/>
  <c r="L64" i="3"/>
  <c r="A63" i="3"/>
  <c r="A16" i="7"/>
  <c r="F17" i="7"/>
  <c r="H65" i="17"/>
  <c r="A65" i="17" s="1"/>
  <c r="A64" i="17"/>
  <c r="D17" i="2"/>
  <c r="A16" i="2"/>
  <c r="A15" i="20"/>
  <c r="F16" i="20"/>
  <c r="A15" i="24"/>
  <c r="F16" i="24"/>
  <c r="A14" i="17"/>
  <c r="F15" i="17"/>
  <c r="H99" i="1"/>
  <c r="A98" i="1"/>
  <c r="A89" i="35" l="1"/>
  <c r="A83" i="34"/>
  <c r="H84" i="34"/>
  <c r="F5" i="34" s="1"/>
  <c r="F50" i="34"/>
  <c r="A49" i="34"/>
  <c r="A48" i="33"/>
  <c r="F49" i="33"/>
  <c r="A48" i="1"/>
  <c r="F49" i="1"/>
  <c r="F18" i="7"/>
  <c r="A17" i="7"/>
  <c r="A49" i="5"/>
  <c r="H50" i="5"/>
  <c r="A50" i="5" s="1"/>
  <c r="F17" i="3"/>
  <c r="A16" i="3"/>
  <c r="A15" i="5"/>
  <c r="F16" i="5"/>
  <c r="F18" i="14"/>
  <c r="A17" i="14"/>
  <c r="A17" i="19"/>
  <c r="F18" i="19"/>
  <c r="H100" i="1"/>
  <c r="A99" i="1"/>
  <c r="D18" i="2"/>
  <c r="A17" i="2"/>
  <c r="A16" i="22"/>
  <c r="D17" i="22"/>
  <c r="F19" i="23"/>
  <c r="A18" i="23"/>
  <c r="H49" i="4"/>
  <c r="A48" i="4"/>
  <c r="A66" i="18"/>
  <c r="H67" i="18"/>
  <c r="A67" i="18" s="1"/>
  <c r="H50" i="21"/>
  <c r="A49" i="21"/>
  <c r="A63" i="24"/>
  <c r="H64" i="24"/>
  <c r="A16" i="8"/>
  <c r="F17" i="8"/>
  <c r="H51" i="15"/>
  <c r="A51" i="15" s="1"/>
  <c r="A50" i="15"/>
  <c r="A49" i="12"/>
  <c r="H50" i="12"/>
  <c r="A15" i="15"/>
  <c r="F16" i="15"/>
  <c r="A80" i="1"/>
  <c r="H81" i="1"/>
  <c r="F19" i="6"/>
  <c r="A18" i="6"/>
  <c r="F16" i="17"/>
  <c r="A15" i="17"/>
  <c r="F17" i="20"/>
  <c r="A16" i="20"/>
  <c r="H50" i="9"/>
  <c r="A49" i="9"/>
  <c r="A15" i="16"/>
  <c r="F16" i="16"/>
  <c r="A49" i="6"/>
  <c r="H50" i="6"/>
  <c r="F16" i="18"/>
  <c r="A15" i="18"/>
  <c r="A49" i="7"/>
  <c r="H50" i="7"/>
  <c r="A17" i="21"/>
  <c r="F18" i="21"/>
  <c r="F17" i="12"/>
  <c r="A16" i="12"/>
  <c r="F19" i="4"/>
  <c r="A18" i="4"/>
  <c r="A15" i="13"/>
  <c r="D16" i="13"/>
  <c r="A50" i="20"/>
  <c r="H51" i="20"/>
  <c r="A51" i="20" s="1"/>
  <c r="A16" i="11"/>
  <c r="F17" i="11"/>
  <c r="F17" i="24"/>
  <c r="A16" i="24"/>
  <c r="L65" i="3"/>
  <c r="A65" i="3" s="1"/>
  <c r="A64" i="3"/>
  <c r="H49" i="19"/>
  <c r="A48" i="19"/>
  <c r="H50" i="3"/>
  <c r="A50" i="3" s="1"/>
  <c r="A49" i="3"/>
  <c r="A16" i="10"/>
  <c r="F17" i="10"/>
  <c r="H50" i="11"/>
  <c r="A50" i="11" s="1"/>
  <c r="A49" i="11"/>
  <c r="D5" i="35" l="1"/>
  <c r="D16" i="34"/>
  <c r="G16" i="34" s="1"/>
  <c r="A16" i="34" s="1"/>
  <c r="A84" i="34"/>
  <c r="A50" i="34"/>
  <c r="F51" i="34"/>
  <c r="F50" i="33"/>
  <c r="A49" i="33"/>
  <c r="A49" i="1"/>
  <c r="F50" i="1"/>
  <c r="F18" i="8"/>
  <c r="A17" i="8"/>
  <c r="A17" i="12"/>
  <c r="F18" i="12"/>
  <c r="A50" i="9"/>
  <c r="H51" i="9"/>
  <c r="A51" i="9" s="1"/>
  <c r="A16" i="17"/>
  <c r="F17" i="17"/>
  <c r="H51" i="21"/>
  <c r="A51" i="21" s="1"/>
  <c r="A50" i="21"/>
  <c r="A49" i="4"/>
  <c r="H50" i="4"/>
  <c r="A100" i="1"/>
  <c r="H101" i="1"/>
  <c r="A18" i="14"/>
  <c r="F19" i="14"/>
  <c r="A17" i="3"/>
  <c r="F18" i="3"/>
  <c r="A81" i="1"/>
  <c r="H82" i="1"/>
  <c r="A18" i="21"/>
  <c r="F19" i="21"/>
  <c r="A16" i="16"/>
  <c r="F17" i="16"/>
  <c r="A16" i="15"/>
  <c r="F17" i="15"/>
  <c r="A64" i="24"/>
  <c r="H65" i="24"/>
  <c r="A65" i="24" s="1"/>
  <c r="A18" i="19"/>
  <c r="F19" i="19"/>
  <c r="A16" i="5"/>
  <c r="F17" i="5"/>
  <c r="A17" i="11"/>
  <c r="F18" i="11"/>
  <c r="A16" i="13"/>
  <c r="D17" i="13"/>
  <c r="A17" i="13" s="1"/>
  <c r="A50" i="7"/>
  <c r="H51" i="7"/>
  <c r="A50" i="6"/>
  <c r="H51" i="6"/>
  <c r="A51" i="6" s="1"/>
  <c r="A50" i="12"/>
  <c r="H51" i="12"/>
  <c r="A51" i="12" s="1"/>
  <c r="D18" i="22"/>
  <c r="A17" i="22"/>
  <c r="A17" i="10"/>
  <c r="F18" i="10"/>
  <c r="H50" i="19"/>
  <c r="A50" i="19" s="1"/>
  <c r="A49" i="19"/>
  <c r="A17" i="24"/>
  <c r="F18" i="24"/>
  <c r="A19" i="4"/>
  <c r="F20" i="4"/>
  <c r="A16" i="18"/>
  <c r="F17" i="18"/>
  <c r="A17" i="20"/>
  <c r="F18" i="20"/>
  <c r="A19" i="6"/>
  <c r="F20" i="6"/>
  <c r="F20" i="23"/>
  <c r="A19" i="23"/>
  <c r="D19" i="2"/>
  <c r="A18" i="2"/>
  <c r="A18" i="7"/>
  <c r="F19" i="7"/>
  <c r="D15" i="35" l="1"/>
  <c r="A15" i="35" s="1"/>
  <c r="A5" i="35"/>
  <c r="F52" i="34"/>
  <c r="A51" i="34"/>
  <c r="A50" i="33"/>
  <c r="F51" i="33"/>
  <c r="A50" i="1"/>
  <c r="F51" i="1"/>
  <c r="A17" i="18"/>
  <c r="F18" i="18"/>
  <c r="F19" i="24"/>
  <c r="A18" i="24"/>
  <c r="A18" i="10"/>
  <c r="F19" i="10"/>
  <c r="A82" i="1"/>
  <c r="H83" i="1"/>
  <c r="F20" i="14"/>
  <c r="A19" i="14"/>
  <c r="A50" i="4"/>
  <c r="H51" i="4"/>
  <c r="F18" i="17"/>
  <c r="A17" i="17"/>
  <c r="F19" i="12"/>
  <c r="A18" i="12"/>
  <c r="D20" i="2"/>
  <c r="A19" i="2"/>
  <c r="D19" i="22"/>
  <c r="A18" i="22"/>
  <c r="F20" i="7"/>
  <c r="A19" i="7"/>
  <c r="F19" i="20"/>
  <c r="A18" i="20"/>
  <c r="F21" i="4"/>
  <c r="A20" i="4"/>
  <c r="A51" i="7"/>
  <c r="H52" i="7"/>
  <c r="A18" i="11"/>
  <c r="F19" i="11"/>
  <c r="F20" i="19"/>
  <c r="A19" i="19"/>
  <c r="A17" i="15"/>
  <c r="F18" i="15"/>
  <c r="A19" i="21"/>
  <c r="F20" i="21"/>
  <c r="F19" i="3"/>
  <c r="A18" i="3"/>
  <c r="A101" i="1"/>
  <c r="H102" i="1"/>
  <c r="A102" i="1" s="1"/>
  <c r="F21" i="6"/>
  <c r="A20" i="6"/>
  <c r="A17" i="5"/>
  <c r="F18" i="5"/>
  <c r="A17" i="16"/>
  <c r="F18" i="16"/>
  <c r="F21" i="23"/>
  <c r="A20" i="23"/>
  <c r="F19" i="8"/>
  <c r="A18" i="8"/>
  <c r="A52" i="34" l="1"/>
  <c r="F53" i="34"/>
  <c r="F52" i="33"/>
  <c r="A51" i="33"/>
  <c r="A51" i="1"/>
  <c r="F52" i="1"/>
  <c r="A18" i="15"/>
  <c r="F19" i="15"/>
  <c r="A19" i="11"/>
  <c r="F20" i="11"/>
  <c r="A18" i="18"/>
  <c r="F19" i="18"/>
  <c r="F20" i="8"/>
  <c r="A19" i="8"/>
  <c r="A18" i="5"/>
  <c r="F19" i="5"/>
  <c r="A20" i="21"/>
  <c r="F21" i="21"/>
  <c r="A52" i="7"/>
  <c r="H53" i="7"/>
  <c r="H52" i="4"/>
  <c r="A51" i="4"/>
  <c r="A83" i="1"/>
  <c r="H84" i="1"/>
  <c r="A84" i="1" s="1"/>
  <c r="A18" i="16"/>
  <c r="F19" i="16"/>
  <c r="A19" i="10"/>
  <c r="F20" i="10"/>
  <c r="A20" i="10" s="1"/>
  <c r="A21" i="6"/>
  <c r="F22" i="6"/>
  <c r="A19" i="3"/>
  <c r="F20" i="3"/>
  <c r="F22" i="4"/>
  <c r="A22" i="4" s="1"/>
  <c r="A21" i="4"/>
  <c r="A20" i="7"/>
  <c r="F21" i="7"/>
  <c r="D21" i="2"/>
  <c r="A20" i="2"/>
  <c r="A18" i="17"/>
  <c r="F19" i="17"/>
  <c r="A20" i="14"/>
  <c r="F21" i="14"/>
  <c r="F22" i="23"/>
  <c r="A21" i="23"/>
  <c r="A20" i="19"/>
  <c r="F21" i="19"/>
  <c r="A19" i="20"/>
  <c r="F20" i="20"/>
  <c r="D20" i="22"/>
  <c r="A19" i="22"/>
  <c r="A19" i="12"/>
  <c r="F20" i="12"/>
  <c r="A19" i="24"/>
  <c r="F20" i="24"/>
  <c r="F54" i="34" l="1"/>
  <c r="A53" i="34"/>
  <c r="A52" i="33"/>
  <c r="F53" i="33"/>
  <c r="A52" i="1"/>
  <c r="F53" i="1"/>
  <c r="F20" i="18"/>
  <c r="A19" i="18"/>
  <c r="F21" i="24"/>
  <c r="A20" i="24"/>
  <c r="F22" i="19"/>
  <c r="A21" i="19"/>
  <c r="F22" i="14"/>
  <c r="A21" i="14"/>
  <c r="F23" i="6"/>
  <c r="A22" i="6"/>
  <c r="A19" i="16"/>
  <c r="F20" i="16"/>
  <c r="A21" i="21"/>
  <c r="F22" i="21"/>
  <c r="A20" i="11"/>
  <c r="F21" i="11"/>
  <c r="F21" i="12"/>
  <c r="A20" i="12"/>
  <c r="F21" i="20"/>
  <c r="A20" i="20"/>
  <c r="F20" i="17"/>
  <c r="A19" i="17"/>
  <c r="F22" i="7"/>
  <c r="A21" i="7"/>
  <c r="F21" i="3"/>
  <c r="A20" i="3"/>
  <c r="A53" i="7"/>
  <c r="H54" i="7"/>
  <c r="A19" i="5"/>
  <c r="F20" i="5"/>
  <c r="A19" i="15"/>
  <c r="F20" i="15"/>
  <c r="F23" i="23"/>
  <c r="A22" i="23"/>
  <c r="D21" i="22"/>
  <c r="A20" i="22"/>
  <c r="D22" i="2"/>
  <c r="A21" i="2"/>
  <c r="H53" i="4"/>
  <c r="A52" i="4"/>
  <c r="F21" i="8"/>
  <c r="A20" i="8"/>
  <c r="A54" i="34" l="1"/>
  <c r="F55" i="34"/>
  <c r="F54" i="33"/>
  <c r="A53" i="33"/>
  <c r="A53" i="1"/>
  <c r="F54" i="1"/>
  <c r="A20" i="16"/>
  <c r="F21" i="16"/>
  <c r="F22" i="8"/>
  <c r="A21" i="8"/>
  <c r="A22" i="2"/>
  <c r="D23" i="2"/>
  <c r="A23" i="2" s="1"/>
  <c r="F24" i="23"/>
  <c r="A23" i="23"/>
  <c r="A21" i="3"/>
  <c r="F22" i="3"/>
  <c r="A20" i="15"/>
  <c r="F21" i="15"/>
  <c r="A54" i="7"/>
  <c r="H55" i="7"/>
  <c r="A22" i="21"/>
  <c r="F23" i="21"/>
  <c r="A20" i="5"/>
  <c r="F21" i="5"/>
  <c r="A21" i="11"/>
  <c r="F22" i="11"/>
  <c r="A20" i="17"/>
  <c r="F21" i="17"/>
  <c r="A21" i="12"/>
  <c r="F22" i="12"/>
  <c r="A22" i="14"/>
  <c r="F23" i="14"/>
  <c r="A21" i="24"/>
  <c r="F22" i="24"/>
  <c r="A53" i="4"/>
  <c r="H54" i="4"/>
  <c r="D22" i="22"/>
  <c r="A21" i="22"/>
  <c r="A22" i="7"/>
  <c r="F23" i="7"/>
  <c r="A23" i="7" s="1"/>
  <c r="A21" i="20"/>
  <c r="F22" i="20"/>
  <c r="A23" i="6"/>
  <c r="F24" i="6"/>
  <c r="A22" i="19"/>
  <c r="F23" i="19"/>
  <c r="A20" i="18"/>
  <c r="F21" i="18"/>
  <c r="F56" i="34" l="1"/>
  <c r="A55" i="34"/>
  <c r="F55" i="33"/>
  <c r="A54" i="33"/>
  <c r="A54" i="1"/>
  <c r="F55" i="1"/>
  <c r="F25" i="6"/>
  <c r="A24" i="6"/>
  <c r="F24" i="14"/>
  <c r="A23" i="14"/>
  <c r="F22" i="17"/>
  <c r="A21" i="17"/>
  <c r="A21" i="5"/>
  <c r="F22" i="5"/>
  <c r="A21" i="15"/>
  <c r="F22" i="15"/>
  <c r="F25" i="23"/>
  <c r="A24" i="23"/>
  <c r="A22" i="8"/>
  <c r="F23" i="8"/>
  <c r="A23" i="19"/>
  <c r="F24" i="19"/>
  <c r="F23" i="20"/>
  <c r="A22" i="20"/>
  <c r="F23" i="24"/>
  <c r="A22" i="24"/>
  <c r="F23" i="12"/>
  <c r="A22" i="12"/>
  <c r="A22" i="11"/>
  <c r="F23" i="11"/>
  <c r="A23" i="21"/>
  <c r="F24" i="21"/>
  <c r="A55" i="7"/>
  <c r="H56" i="7"/>
  <c r="A56" i="7" s="1"/>
  <c r="F23" i="3"/>
  <c r="A22" i="3"/>
  <c r="A21" i="16"/>
  <c r="F22" i="16"/>
  <c r="A21" i="18"/>
  <c r="F22" i="18"/>
  <c r="A54" i="4"/>
  <c r="H55" i="4"/>
  <c r="A55" i="4" s="1"/>
  <c r="D23" i="22"/>
  <c r="A22" i="22"/>
  <c r="A56" i="34" l="1"/>
  <c r="F57" i="34"/>
  <c r="F56" i="33"/>
  <c r="A55" i="33"/>
  <c r="A55" i="1"/>
  <c r="F56" i="1"/>
  <c r="A22" i="18"/>
  <c r="F23" i="18"/>
  <c r="A24" i="21"/>
  <c r="F25" i="21"/>
  <c r="F24" i="8"/>
  <c r="A23" i="8"/>
  <c r="A22" i="15"/>
  <c r="F23" i="15"/>
  <c r="D24" i="22"/>
  <c r="A23" i="22"/>
  <c r="A22" i="16"/>
  <c r="F23" i="16"/>
  <c r="A23" i="11"/>
  <c r="F24" i="11"/>
  <c r="A24" i="19"/>
  <c r="F25" i="19"/>
  <c r="A22" i="5"/>
  <c r="F23" i="5"/>
  <c r="A23" i="3"/>
  <c r="F24" i="3"/>
  <c r="A23" i="12"/>
  <c r="F24" i="12"/>
  <c r="A23" i="20"/>
  <c r="F24" i="20"/>
  <c r="A24" i="14"/>
  <c r="F25" i="14"/>
  <c r="A23" i="24"/>
  <c r="F24" i="24"/>
  <c r="F26" i="23"/>
  <c r="A25" i="23"/>
  <c r="A22" i="17"/>
  <c r="F23" i="17"/>
  <c r="A25" i="6"/>
  <c r="F26" i="6"/>
  <c r="F58" i="34" l="1"/>
  <c r="A57" i="34"/>
  <c r="F57" i="33"/>
  <c r="A56" i="33"/>
  <c r="A56" i="1"/>
  <c r="F57" i="1"/>
  <c r="A23" i="5"/>
  <c r="F24" i="5"/>
  <c r="A23" i="15"/>
  <c r="F24" i="15"/>
  <c r="F26" i="14"/>
  <c r="A25" i="14"/>
  <c r="A25" i="19"/>
  <c r="F26" i="19"/>
  <c r="A25" i="21"/>
  <c r="F26" i="21"/>
  <c r="F27" i="23"/>
  <c r="A26" i="23"/>
  <c r="F24" i="17"/>
  <c r="A23" i="17"/>
  <c r="F25" i="24"/>
  <c r="A24" i="24"/>
  <c r="F25" i="20"/>
  <c r="A24" i="20"/>
  <c r="F25" i="3"/>
  <c r="A24" i="3"/>
  <c r="A24" i="11"/>
  <c r="F25" i="11"/>
  <c r="F24" i="18"/>
  <c r="A23" i="18"/>
  <c r="F27" i="6"/>
  <c r="A26" i="6"/>
  <c r="F25" i="12"/>
  <c r="A24" i="12"/>
  <c r="A23" i="16"/>
  <c r="F24" i="16"/>
  <c r="D25" i="22"/>
  <c r="A24" i="22"/>
  <c r="A24" i="8"/>
  <c r="F25" i="8"/>
  <c r="A58" i="34" l="1"/>
  <c r="F59" i="34"/>
  <c r="F58" i="33"/>
  <c r="A57" i="33"/>
  <c r="A57" i="1"/>
  <c r="F58" i="1"/>
  <c r="A24" i="16"/>
  <c r="F25" i="16"/>
  <c r="A25" i="11"/>
  <c r="F26" i="11"/>
  <c r="A27" i="6"/>
  <c r="F28" i="6"/>
  <c r="A25" i="3"/>
  <c r="F26" i="3"/>
  <c r="A25" i="24"/>
  <c r="F26" i="24"/>
  <c r="F28" i="23"/>
  <c r="A27" i="23"/>
  <c r="F26" i="8"/>
  <c r="A25" i="8"/>
  <c r="A26" i="21"/>
  <c r="F27" i="21"/>
  <c r="A24" i="5"/>
  <c r="F25" i="5"/>
  <c r="A26" i="19"/>
  <c r="F27" i="19"/>
  <c r="A24" i="15"/>
  <c r="F25" i="15"/>
  <c r="D26" i="22"/>
  <c r="A25" i="22"/>
  <c r="A25" i="12"/>
  <c r="F26" i="12"/>
  <c r="A24" i="18"/>
  <c r="F25" i="18"/>
  <c r="A25" i="20"/>
  <c r="F26" i="20"/>
  <c r="A24" i="17"/>
  <c r="F25" i="17"/>
  <c r="A26" i="14"/>
  <c r="F27" i="14"/>
  <c r="F60" i="34" l="1"/>
  <c r="A59" i="34"/>
  <c r="A58" i="33"/>
  <c r="F59" i="33"/>
  <c r="A58" i="1"/>
  <c r="F59" i="1"/>
  <c r="F28" i="14"/>
  <c r="A27" i="14"/>
  <c r="F29" i="6"/>
  <c r="A28" i="6"/>
  <c r="F27" i="8"/>
  <c r="A26" i="8"/>
  <c r="F27" i="20"/>
  <c r="A26" i="20"/>
  <c r="A25" i="15"/>
  <c r="F26" i="15"/>
  <c r="F27" i="24"/>
  <c r="A26" i="24"/>
  <c r="F26" i="17"/>
  <c r="A25" i="17"/>
  <c r="A25" i="18"/>
  <c r="F26" i="18"/>
  <c r="F28" i="19"/>
  <c r="A27" i="19"/>
  <c r="A27" i="21"/>
  <c r="F28" i="21"/>
  <c r="F27" i="3"/>
  <c r="A26" i="3"/>
  <c r="A26" i="11"/>
  <c r="F27" i="11"/>
  <c r="F27" i="12"/>
  <c r="A26" i="12"/>
  <c r="A25" i="5"/>
  <c r="F26" i="5"/>
  <c r="A25" i="16"/>
  <c r="F26" i="16"/>
  <c r="D27" i="22"/>
  <c r="A26" i="22"/>
  <c r="F29" i="23"/>
  <c r="A28" i="23"/>
  <c r="A60" i="34" l="1"/>
  <c r="F61" i="34"/>
  <c r="F60" i="33"/>
  <c r="A59" i="33"/>
  <c r="A59" i="1"/>
  <c r="F60" i="1"/>
  <c r="A26" i="15"/>
  <c r="F27" i="15"/>
  <c r="F30" i="23"/>
  <c r="A29" i="23"/>
  <c r="A27" i="12"/>
  <c r="F28" i="12"/>
  <c r="A27" i="3"/>
  <c r="F28" i="3"/>
  <c r="A28" i="19"/>
  <c r="F29" i="19"/>
  <c r="A26" i="17"/>
  <c r="F27" i="17"/>
  <c r="F28" i="8"/>
  <c r="A27" i="8"/>
  <c r="A28" i="14"/>
  <c r="F29" i="14"/>
  <c r="A26" i="16"/>
  <c r="F27" i="16"/>
  <c r="A26" i="5"/>
  <c r="F27" i="5"/>
  <c r="A27" i="11"/>
  <c r="F28" i="11"/>
  <c r="A28" i="21"/>
  <c r="F29" i="21"/>
  <c r="A26" i="18"/>
  <c r="F27" i="18"/>
  <c r="D28" i="22"/>
  <c r="A27" i="22"/>
  <c r="A27" i="24"/>
  <c r="F28" i="24"/>
  <c r="A27" i="20"/>
  <c r="F28" i="20"/>
  <c r="A29" i="6"/>
  <c r="F30" i="6"/>
  <c r="F62" i="34" l="1"/>
  <c r="A61" i="34"/>
  <c r="A60" i="33"/>
  <c r="F61" i="33"/>
  <c r="A60" i="1"/>
  <c r="F61" i="1"/>
  <c r="F31" i="6"/>
  <c r="A30" i="6"/>
  <c r="F29" i="12"/>
  <c r="A28" i="12"/>
  <c r="F29" i="8"/>
  <c r="A28" i="8"/>
  <c r="F29" i="24"/>
  <c r="A28" i="24"/>
  <c r="A28" i="11"/>
  <c r="F29" i="11"/>
  <c r="F30" i="19"/>
  <c r="A29" i="19"/>
  <c r="A27" i="15"/>
  <c r="F28" i="15"/>
  <c r="F29" i="20"/>
  <c r="A28" i="20"/>
  <c r="A29" i="21"/>
  <c r="F30" i="21"/>
  <c r="A27" i="5"/>
  <c r="F28" i="5"/>
  <c r="F30" i="14"/>
  <c r="A29" i="14"/>
  <c r="F28" i="17"/>
  <c r="A27" i="17"/>
  <c r="F29" i="3"/>
  <c r="A28" i="3"/>
  <c r="F28" i="18"/>
  <c r="A27" i="18"/>
  <c r="A27" i="16"/>
  <c r="F28" i="16"/>
  <c r="D29" i="22"/>
  <c r="A28" i="22"/>
  <c r="F31" i="23"/>
  <c r="A30" i="23"/>
  <c r="A62" i="34" l="1"/>
  <c r="F63" i="34"/>
  <c r="F62" i="33"/>
  <c r="A61" i="33"/>
  <c r="A61" i="1"/>
  <c r="F62" i="1"/>
  <c r="F32" i="23"/>
  <c r="A31" i="23"/>
  <c r="A29" i="3"/>
  <c r="F30" i="3"/>
  <c r="A30" i="14"/>
  <c r="F31" i="14"/>
  <c r="F30" i="8"/>
  <c r="A29" i="8"/>
  <c r="A31" i="6"/>
  <c r="F32" i="6"/>
  <c r="A28" i="16"/>
  <c r="F29" i="16"/>
  <c r="A28" i="15"/>
  <c r="F29" i="15"/>
  <c r="A28" i="5"/>
  <c r="F29" i="5"/>
  <c r="A30" i="21"/>
  <c r="F31" i="21"/>
  <c r="A29" i="11"/>
  <c r="F30" i="11"/>
  <c r="D30" i="22"/>
  <c r="A29" i="22"/>
  <c r="A28" i="18"/>
  <c r="F29" i="18"/>
  <c r="A28" i="17"/>
  <c r="F29" i="17"/>
  <c r="A29" i="20"/>
  <c r="F30" i="20"/>
  <c r="A30" i="19"/>
  <c r="F31" i="19"/>
  <c r="A29" i="24"/>
  <c r="F30" i="24"/>
  <c r="A29" i="12"/>
  <c r="F30" i="12"/>
  <c r="F64" i="34" l="1"/>
  <c r="A63" i="34"/>
  <c r="F63" i="33"/>
  <c r="A62" i="33"/>
  <c r="A62" i="1"/>
  <c r="F63" i="1"/>
  <c r="F31" i="3"/>
  <c r="A30" i="3"/>
  <c r="A30" i="8"/>
  <c r="F31" i="8"/>
  <c r="F31" i="12"/>
  <c r="A30" i="12"/>
  <c r="A31" i="19"/>
  <c r="F32" i="19"/>
  <c r="F30" i="17"/>
  <c r="A29" i="17"/>
  <c r="A31" i="21"/>
  <c r="F32" i="21"/>
  <c r="A29" i="5"/>
  <c r="F30" i="5"/>
  <c r="A29" i="16"/>
  <c r="F30" i="16"/>
  <c r="D31" i="22"/>
  <c r="A30" i="22"/>
  <c r="F31" i="24"/>
  <c r="A30" i="24"/>
  <c r="F31" i="20"/>
  <c r="A30" i="20"/>
  <c r="A29" i="18"/>
  <c r="F30" i="18"/>
  <c r="A30" i="11"/>
  <c r="F31" i="11"/>
  <c r="A29" i="15"/>
  <c r="F30" i="15"/>
  <c r="F33" i="6"/>
  <c r="A32" i="6"/>
  <c r="F32" i="14"/>
  <c r="A31" i="14"/>
  <c r="F33" i="23"/>
  <c r="A32" i="23"/>
  <c r="A64" i="34" l="1"/>
  <c r="F65" i="34"/>
  <c r="F64" i="33"/>
  <c r="A63" i="33"/>
  <c r="A63" i="1"/>
  <c r="F64" i="1"/>
  <c r="A31" i="11"/>
  <c r="F32" i="11"/>
  <c r="A33" i="6"/>
  <c r="F34" i="6"/>
  <c r="A31" i="20"/>
  <c r="F32" i="20"/>
  <c r="D32" i="22"/>
  <c r="A31" i="22"/>
  <c r="A30" i="17"/>
  <c r="F31" i="17"/>
  <c r="A31" i="12"/>
  <c r="F32" i="12"/>
  <c r="A31" i="3"/>
  <c r="F32" i="3"/>
  <c r="A30" i="5"/>
  <c r="F31" i="5"/>
  <c r="F34" i="23"/>
  <c r="A33" i="23"/>
  <c r="A30" i="15"/>
  <c r="F31" i="15"/>
  <c r="A30" i="18"/>
  <c r="F31" i="18"/>
  <c r="A30" i="16"/>
  <c r="F31" i="16"/>
  <c r="A32" i="21"/>
  <c r="F33" i="21"/>
  <c r="A32" i="19"/>
  <c r="F33" i="19"/>
  <c r="F32" i="8"/>
  <c r="A31" i="8"/>
  <c r="A32" i="14"/>
  <c r="F33" i="14"/>
  <c r="A31" i="24"/>
  <c r="F32" i="24"/>
  <c r="F66" i="34" l="1"/>
  <c r="A65" i="34"/>
  <c r="F65" i="33"/>
  <c r="A64" i="33"/>
  <c r="A64" i="1"/>
  <c r="F65" i="1"/>
  <c r="F32" i="18"/>
  <c r="A31" i="18"/>
  <c r="F32" i="17"/>
  <c r="A31" i="17"/>
  <c r="A32" i="11"/>
  <c r="F33" i="11"/>
  <c r="F33" i="20"/>
  <c r="A32" i="20"/>
  <c r="A32" i="8"/>
  <c r="F33" i="8"/>
  <c r="F35" i="23"/>
  <c r="A34" i="23"/>
  <c r="F34" i="14"/>
  <c r="A33" i="14"/>
  <c r="A33" i="19"/>
  <c r="F34" i="19"/>
  <c r="A31" i="16"/>
  <c r="F32" i="16"/>
  <c r="A31" i="15"/>
  <c r="F32" i="15"/>
  <c r="A31" i="5"/>
  <c r="F32" i="5"/>
  <c r="F33" i="12"/>
  <c r="A32" i="12"/>
  <c r="F35" i="6"/>
  <c r="A35" i="6" s="1"/>
  <c r="A34" i="6"/>
  <c r="F33" i="24"/>
  <c r="A32" i="24"/>
  <c r="A33" i="21"/>
  <c r="F34" i="21"/>
  <c r="F33" i="3"/>
  <c r="A32" i="3"/>
  <c r="A32" i="22"/>
  <c r="D33" i="22"/>
  <c r="A66" i="34" l="1"/>
  <c r="F67" i="34"/>
  <c r="F66" i="33"/>
  <c r="A65" i="33"/>
  <c r="A65" i="1"/>
  <c r="F66" i="1"/>
  <c r="A33" i="11"/>
  <c r="F34" i="11"/>
  <c r="A34" i="14"/>
  <c r="F35" i="14"/>
  <c r="A32" i="18"/>
  <c r="F33" i="18"/>
  <c r="A32" i="16"/>
  <c r="F33" i="16"/>
  <c r="F34" i="8"/>
  <c r="A33" i="8"/>
  <c r="A32" i="15"/>
  <c r="F33" i="15"/>
  <c r="A34" i="19"/>
  <c r="F35" i="19"/>
  <c r="A35" i="19" s="1"/>
  <c r="D34" i="22"/>
  <c r="A33" i="22"/>
  <c r="A34" i="21"/>
  <c r="F35" i="21"/>
  <c r="A32" i="5"/>
  <c r="F33" i="5"/>
  <c r="A33" i="3"/>
  <c r="F34" i="3"/>
  <c r="A33" i="24"/>
  <c r="F34" i="24"/>
  <c r="A33" i="12"/>
  <c r="F34" i="12"/>
  <c r="F36" i="23"/>
  <c r="A36" i="23" s="1"/>
  <c r="A35" i="23"/>
  <c r="A33" i="20"/>
  <c r="F34" i="20"/>
  <c r="A32" i="17"/>
  <c r="F33" i="17"/>
  <c r="F68" i="34" l="1"/>
  <c r="A67" i="34"/>
  <c r="A66" i="33"/>
  <c r="F67" i="33"/>
  <c r="A66" i="1"/>
  <c r="F67" i="1"/>
  <c r="F35" i="12"/>
  <c r="A35" i="12" s="1"/>
  <c r="A34" i="12"/>
  <c r="F35" i="3"/>
  <c r="A34" i="3"/>
  <c r="A35" i="21"/>
  <c r="F36" i="21"/>
  <c r="A36" i="21" s="1"/>
  <c r="A34" i="11"/>
  <c r="F35" i="11"/>
  <c r="F35" i="8"/>
  <c r="A34" i="8"/>
  <c r="A33" i="18"/>
  <c r="F34" i="18"/>
  <c r="F34" i="17"/>
  <c r="A33" i="17"/>
  <c r="F35" i="24"/>
  <c r="A34" i="24"/>
  <c r="A33" i="5"/>
  <c r="F34" i="5"/>
  <c r="A33" i="15"/>
  <c r="F34" i="15"/>
  <c r="A33" i="16"/>
  <c r="F34" i="16"/>
  <c r="F36" i="14"/>
  <c r="A36" i="14" s="1"/>
  <c r="A35" i="14"/>
  <c r="F35" i="20"/>
  <c r="A35" i="20" s="1"/>
  <c r="A34" i="20"/>
  <c r="D35" i="22"/>
  <c r="A34" i="22"/>
  <c r="A68" i="34" l="1"/>
  <c r="A67" i="33"/>
  <c r="A67" i="1"/>
  <c r="A34" i="16"/>
  <c r="F35" i="16"/>
  <c r="A35" i="16" s="1"/>
  <c r="A34" i="17"/>
  <c r="F35" i="17"/>
  <c r="A35" i="17" s="1"/>
  <c r="F36" i="8"/>
  <c r="A36" i="8" s="1"/>
  <c r="A35" i="8"/>
  <c r="A34" i="15"/>
  <c r="F35" i="15"/>
  <c r="A35" i="15" s="1"/>
  <c r="A34" i="18"/>
  <c r="F35" i="18"/>
  <c r="A35" i="11"/>
  <c r="F36" i="11"/>
  <c r="A36" i="11" s="1"/>
  <c r="A34" i="5"/>
  <c r="F35" i="5"/>
  <c r="D36" i="22"/>
  <c r="A36" i="22" s="1"/>
  <c r="A35" i="22"/>
  <c r="A35" i="24"/>
  <c r="F36" i="24"/>
  <c r="A36" i="24" s="1"/>
  <c r="A35" i="3"/>
  <c r="F36" i="3"/>
  <c r="A36" i="3" s="1"/>
  <c r="D5" i="34" l="1"/>
  <c r="D15" i="34" s="1"/>
  <c r="D5" i="33"/>
  <c r="D5" i="1"/>
  <c r="D15" i="1" s="1"/>
  <c r="F36" i="18"/>
  <c r="A36" i="18" s="1"/>
  <c r="A35" i="18"/>
  <c r="A35" i="5"/>
  <c r="F36" i="5"/>
  <c r="A36" i="5" s="1"/>
  <c r="A5" i="34" l="1"/>
  <c r="A15" i="34"/>
  <c r="D15" i="33"/>
  <c r="A15" i="33" s="1"/>
  <c r="A5" i="33"/>
  <c r="A15" i="1"/>
  <c r="A5" i="1"/>
</calcChain>
</file>

<file path=xl/sharedStrings.xml><?xml version="1.0" encoding="utf-8"?>
<sst xmlns="http://schemas.openxmlformats.org/spreadsheetml/2006/main" count="32126" uniqueCount="907">
  <si>
    <t>&amp;br;</t>
  </si>
  <si>
    <t>#contents()</t>
  </si>
  <si>
    <t>*HP [#f569d8c6]</t>
  </si>
  <si>
    <t>|</t>
  </si>
  <si>
    <t>LEFT:50</t>
  </si>
  <si>
    <t>c</t>
  </si>
  <si>
    <t>レベル</t>
  </si>
  <si>
    <t>HP</t>
  </si>
  <si>
    <t>Lv</t>
  </si>
  <si>
    <t>*マナボーナス [#q1a26f54]</t>
  </si>
  <si>
    <t>上昇色</t>
  </si>
  <si>
    <t>白</t>
  </si>
  <si>
    <t>青</t>
  </si>
  <si>
    <t>黒</t>
  </si>
  <si>
    <t>赤</t>
  </si>
  <si>
    <t>緑</t>
  </si>
  <si>
    <t>*デッキ構築枚数上限 [#e6f382eb]</t>
  </si>
  <si>
    <t>構築枚数上限を越える枚数はデッキに入れられない。</t>
  </si>
  <si>
    <t>LEFT:80</t>
  </si>
  <si>
    <t>上昇種</t>
  </si>
  <si>
    <t>クリーチャー</t>
  </si>
  <si>
    <t>呪文</t>
  </si>
  <si>
    <t>サポート</t>
  </si>
  <si>
    <t>*PW能力一覧 [#a469e89f]</t>
  </si>
  <si>
    <t>**第1能力：</t>
  </si>
  <si>
    <t>/</t>
  </si>
  <si>
    <t>LEFT:300</t>
  </si>
  <si>
    <t>解放Lv</t>
  </si>
  <si>
    <t>コスト</t>
  </si>
  <si>
    <t>効果</t>
  </si>
  <si>
    <t>Lv1</t>
  </si>
  <si>
    <t>Lv2</t>
  </si>
  <si>
    <t>Lv3</t>
  </si>
  <si>
    <t>Lv4</t>
  </si>
  <si>
    <t>**第2能力：</t>
  </si>
  <si>
    <t>**第3能力：</t>
  </si>
  <si>
    <t>*レベルアップ報酬一覧 [#k0cef29c]</t>
  </si>
  <si>
    <t>LEFT:100</t>
  </si>
  <si>
    <t>報酬</t>
  </si>
  <si>
    <t>Lｖ</t>
  </si>
  <si>
    <t>第1能力Lv</t>
  </si>
  <si>
    <t>第2能力Lv</t>
  </si>
  <si>
    <t>第3能力Lv</t>
  </si>
  <si>
    <t>回復速度上昇</t>
  </si>
  <si>
    <t/>
  </si>
  <si>
    <t>必要総経験値：</t>
  </si>
  <si>
    <t>ルーン</t>
  </si>
  <si>
    <t>#back(text=戻る,left)</t>
  </si>
  <si>
    <t>#comment(above,nsize=[15],size=[30],num=[10])</t>
  </si>
  <si>
    <t>[[プレインズウォーカーリスト&gt;プレインズウォーカーリスト]]</t>
  </si>
  <si>
    <t>対象のクリーチャーに+1/+1の修正を与える</t>
  </si>
  <si>
    <t>対象のクリーチャーに+1/+1の修正と飛行を与える</t>
  </si>
  <si>
    <t>対象のクリーチャーに+1/+1の修正と飛行と警戒を与える</t>
  </si>
  <si>
    <t>対象のクリーチャーに+1/+1の修正と飛行と警戒と再生1を与える</t>
  </si>
  <si>
    <t>あなたがコントロールするクリーチャーすべてに+1/+1の修正を与える。</t>
  </si>
  <si>
    <t>あなたがコントロールするクリーチャーすべてに+2/+2の修正を与える。</t>
  </si>
  <si>
    <t>あなたがコントロールするクリーチャーすべてに+3/+3の修正を与える。</t>
  </si>
  <si>
    <t>あなたがコントロールするクリーチャーすべてに+4/+4の修正を与える。</t>
  </si>
  <si>
    <t>対象のクリーチャーに+4/+4の修正とバーサーカーを与える</t>
  </si>
  <si>
    <t>対象のクリーチャーに+4/+4の修正とバーサーカーとディフェンダーを与える</t>
  </si>
  <si>
    <t>対象のクリーチャーに+4/+4の修正とバーサーカーとディフェンダーと再生3を与える</t>
  </si>
  <si>
    <t>対象のクリーチャーに+6/+6の修正とバーサーカーとディフェンダーと再生5を与える</t>
  </si>
  <si>
    <t>HP+</t>
  </si>
  <si>
    <t>Lｖ2</t>
  </si>
  <si>
    <t>クリーチャー+</t>
  </si>
  <si>
    <t>Lｖ3</t>
  </si>
  <si>
    <t>呪文+</t>
  </si>
  <si>
    <t>Lｖ4</t>
  </si>
  <si>
    <t>サポート+</t>
  </si>
  <si>
    <t>Lｖ5</t>
  </si>
  <si>
    <t>白+</t>
  </si>
  <si>
    <t>Lｖ6</t>
  </si>
  <si>
    <t>青+</t>
  </si>
  <si>
    <t>Lｖ7</t>
  </si>
  <si>
    <t>黒+</t>
  </si>
  <si>
    <t>Lｖ8</t>
  </si>
  <si>
    <t>赤+</t>
  </si>
  <si>
    <t>Lｖ9</t>
  </si>
  <si>
    <t>緑+</t>
  </si>
  <si>
    <t>Lｖ10</t>
  </si>
  <si>
    <t>Lｖ11</t>
  </si>
  <si>
    <t>Lｖ12</t>
  </si>
  <si>
    <t>Lｖ13</t>
  </si>
  <si>
    <t>Lｖ14</t>
  </si>
  <si>
    <t>Lｖ15</t>
  </si>
  <si>
    <t>Lｖ16</t>
  </si>
  <si>
    <t>Lｖ17</t>
  </si>
  <si>
    <t>Lｖ18</t>
  </si>
  <si>
    <t>Lｖ19</t>
  </si>
  <si>
    <t>Lｖ20</t>
  </si>
  <si>
    <t>Lｖ21</t>
  </si>
  <si>
    <t>Lｖ22</t>
  </si>
  <si>
    <t>Lｖ23</t>
  </si>
  <si>
    <t>Lｖ24</t>
  </si>
  <si>
    <t>Lｖ25</t>
  </si>
  <si>
    <t>Lｖ26</t>
  </si>
  <si>
    <t>Lｖ27</t>
  </si>
  <si>
    <t>Lｖ28</t>
  </si>
  <si>
    <t>Lｖ29</t>
  </si>
  <si>
    <t>Lｖ30</t>
  </si>
  <si>
    <t>Lｖ31</t>
  </si>
  <si>
    <t>Lｖ32</t>
  </si>
  <si>
    <t>Lｖ33</t>
  </si>
  <si>
    <t>Lｖ34</t>
  </si>
  <si>
    <t>Lｖ35</t>
  </si>
  <si>
    <t>Lｖ36</t>
  </si>
  <si>
    <t>Lｖ37</t>
  </si>
  <si>
    <t>Lｖ38</t>
  </si>
  <si>
    <t>Lｖ39</t>
  </si>
  <si>
    <t>Lｖ40</t>
  </si>
  <si>
    <t>Lｖ41</t>
  </si>
  <si>
    <t>Lｖ42</t>
  </si>
  <si>
    <t>Lｖ43</t>
  </si>
  <si>
    <t>Lｖ44</t>
  </si>
  <si>
    <t>Lｖ45</t>
  </si>
  <si>
    <t>Lｖ46</t>
  </si>
  <si>
    <t>Lｖ47</t>
  </si>
  <si>
    <t>Lｖ48</t>
  </si>
  <si>
    <t>Lｖ49</t>
  </si>
  <si>
    <t>Lｖ50</t>
  </si>
  <si>
    <t>Lｖ51</t>
  </si>
  <si>
    <t>Lｖ52</t>
  </si>
  <si>
    <t>Lｖ53</t>
  </si>
  <si>
    <t>Lｖ54</t>
  </si>
  <si>
    <t>Lｖ55</t>
  </si>
  <si>
    <t>Lｖ56</t>
  </si>
  <si>
    <t>Lｖ57</t>
  </si>
  <si>
    <t>Lｖ58</t>
  </si>
  <si>
    <t>Lｖ59</t>
  </si>
  <si>
    <t>Lｖ60</t>
  </si>
  <si>
    <t>特別オファーで購入するか、期間限定でMCを支払い購入することで入手できる。</t>
  </si>
  <si>
    <t>散兵の召集</t>
  </si>
  <si>
    <t>Echo of Gideon</t>
  </si>
  <si>
    <t>速攻を持つ2/2の重装歩兵・トークンを1体召喚する。あなたのターン終了時に、それは死亡する。</t>
  </si>
  <si>
    <t>速攻を持つ3/3の重装歩兵・トークンを1体召喚する。あなたのターン終了時に、それは死亡する。</t>
  </si>
  <si>
    <t>速攻を持つ4/4の重装歩兵・トークンを1体召喚する。あなたのターン終了時に、それは死亡する。</t>
  </si>
  <si>
    <t>速攻と警戒を持つ4/4の重装歩兵・トークンを1体召喚する。あなたの次のターン開始時に、それは死亡する。</t>
  </si>
  <si>
    <t>徴兵</t>
  </si>
  <si>
    <t>Conscription</t>
  </si>
  <si>
    <t>2/2の白の騎士・同盟者・トークンを1体召喚する。</t>
  </si>
  <si>
    <t>2/2の白の騎士・同盟者・トークンを2体召喚する。</t>
  </si>
  <si>
    <t>2/2の白の騎士・同盟者・トークンを3体召喚する。</t>
  </si>
  <si>
    <t>2/2の白の騎士・同盟者・トークンを4体召喚する。</t>
  </si>
  <si>
    <t>軍の結集</t>
  </si>
  <si>
    <t>Rally the Troops</t>
  </si>
  <si>
    <t>あなたがコントロールする各同盟者・クリーチャーに+2/+2の修整を与える。</t>
  </si>
  <si>
    <t>あなたがコントロールする各同盟者・クリーチャーに+3/+3の修整を与える。</t>
  </si>
  <si>
    <t>あなたがコントロールする各同盟者・クリーチャーに+4/+4の修整を与える。</t>
  </si>
  <si>
    <t>あなたがコントロールする各同盟者・クリーチャーに+5/+5の修整を与える。</t>
  </si>
  <si>
    <t>10マナクリスタルで購入する事で入手できる。</t>
  </si>
  <si>
    <t>レベル間隔</t>
  </si>
  <si>
    <t>上昇値</t>
  </si>
  <si>
    <t>困惑</t>
  </si>
  <si>
    <t>Confusion</t>
  </si>
  <si>
    <t>クリーチャーを1体対象とする。あなたの次のターン開始時まで、それに-2/-0の修正を与える。</t>
  </si>
  <si>
    <t>クリーチャーを1体対象とする。あなたの次のターン開始時まで、それに-3/-0の修正を与える。</t>
  </si>
  <si>
    <t>クリーチャーを1体対象とする。あなたの次のターン開始時まで、それに-4/-0の修正を与える。</t>
  </si>
  <si>
    <t>クリーチャーを1体対象とする。あなたの次のターン開始時まで、それに-5/-0の修正を与える。</t>
  </si>
  <si>
    <t>創意工夫</t>
  </si>
  <si>
    <t>Ingenuity</t>
  </si>
  <si>
    <t>あなたが最後に唱えた呪文または最後に破壊された呪文を手札に移動させる。そのマナコストが1少なくなる。</t>
  </si>
  <si>
    <t>あなたが最後に唱えた呪文または最後に破壊された呪文を手札に移動させる。そのマナコストが2少なくなる。</t>
  </si>
  <si>
    <t>あなたが最後に唱えた呪文または最後に破壊された呪文を手札に移動させる。そのマナコストが3少なくなる。</t>
  </si>
  <si>
    <t>あなたが最後に唱えた呪文または最後に破壊された呪文を手札に移動させる。そのマナコストが4少なくなる。</t>
  </si>
  <si>
    <t>精神刻み</t>
  </si>
  <si>
    <t>Mind Sculpt</t>
  </si>
  <si>
    <t>ジェム5個に罠をかける：3マナ吸収する。</t>
  </si>
  <si>
    <t>ジェム7個に罠をかける：3マナ吸収する。</t>
  </si>
  <si>
    <t>ジェム7個に罠をかける：6マナ吸収する。</t>
  </si>
  <si>
    <t>ジェム9個に罠をかける：6マナ吸収する。</t>
  </si>
  <si>
    <t>イベント上位報酬で入手するか、期間限定でMCを支払い購入することで入手できる。</t>
  </si>
  <si>
    <t>金線の障壁</t>
  </si>
  <si>
    <t>Filigree Barrier</t>
  </si>
  <si>
    <t>あなたのサポート1つに+1シールドを与える。</t>
  </si>
  <si>
    <t>あなたのサポート2つに+1シールドを与える。</t>
  </si>
  <si>
    <t>あなたのサポート3つに+1シールドを与える。</t>
  </si>
  <si>
    <t>あなたのサポートすべてに+1シールドを与える。</t>
  </si>
  <si>
    <t>変成</t>
  </si>
  <si>
    <t>Transmute</t>
  </si>
  <si>
    <t>あなたのライブラリーから次のサポートを取ってくる。それは6マナを得る。</t>
  </si>
  <si>
    <t>あなたのライブラリーから次のサポートを取ってくる。それは9マナを得る。</t>
  </si>
  <si>
    <t>あなたのライブラリーから次のサポートを取ってくる。それは12マナを得る。</t>
  </si>
  <si>
    <t>あなたのライブラリーから次のサポートを取ってきてそれを戦場に置く。</t>
  </si>
  <si>
    <t>工匠の技巧</t>
  </si>
  <si>
    <t>Artificer’s Skill</t>
  </si>
  <si>
    <t>あなたのターン終了時まで、クリーチャー1体に+X/+Xの修正を与える。Xはあなたがコントロールするサポートの総数の3倍に等しい。</t>
  </si>
  <si>
    <t>あなたのターン終了時まで、クリーチャー1体に+X/+Xの修正を与える。Xはあなたがコントロールするサポートの総数の5倍に等しい。</t>
  </si>
  <si>
    <t>あなたのターン終了時まで、クリーチャー1体に+X/+Xの修正を与える。Xはあなたがコントロールするサポートの総数の7倍に等しい。</t>
  </si>
  <si>
    <t>あなたのターン終了時まで、クリーチャー1体に+X/+Xの修正を与える。Xはあなたがコントロールするサポートの総数の10倍に等しい。</t>
  </si>
  <si>
    <t>調査</t>
  </si>
  <si>
    <t>Investigation</t>
  </si>
  <si>
    <t>あなたがコントロールするサポートの数1つにつき1マナ得る。</t>
  </si>
  <si>
    <t>あなたがコントロールするサポートの数1つにつき2マナ得る。</t>
  </si>
  <si>
    <t>あなたがコントロールするサポートの数1つにつき3マナ得る。</t>
  </si>
  <si>
    <t>あなたがコントロールするサポートの数1つにつき4マナ得る。</t>
  </si>
  <si>
    <t>研究</t>
  </si>
  <si>
    <t>Study</t>
  </si>
  <si>
    <t>手札を1枚捨てる。その後、調査1を行う。</t>
  </si>
  <si>
    <t>手札を1枚捨てる。その後、調査2を行う。</t>
  </si>
  <si>
    <t>手札を1枚捨てる。その後、調査3を行う。</t>
  </si>
  <si>
    <t>手札を1枚捨てる。その後、調査4を行う。</t>
  </si>
  <si>
    <t>解明</t>
  </si>
  <si>
    <t>Unravel</t>
  </si>
  <si>
    <t>「あなたがカード引くたび、あなたがコントロールする各クリーチャーは+1/+1の修正を得る」を持つサポート(シールド数6)を生成する。</t>
  </si>
  <si>
    <t>「あなたがカード引くたび、あなたがコントロールする各クリーチャーは+2/+2の修正を得る」を持つサポート(シールド数6)を生成する。</t>
  </si>
  <si>
    <t>「あなたがカード引くたび、あなたがコントロールする各クリーチャーは+3/+3の修正を得る」を持つサポート(シールド数6)を生成する。</t>
  </si>
  <si>
    <t>「あなたがカード引くたび、あなたがコントロールする各クリーチャーは+4/+4の修正を得る」を持つサポート(シールド数6)を生成する。</t>
  </si>
  <si>
    <t>堕落/</t>
  </si>
  <si>
    <t>Corrupt</t>
  </si>
  <si>
    <t>&gt;</t>
  </si>
  <si>
    <t>あなたと対戦相手は手札の最後のカードを捨てる。</t>
  </si>
  <si>
    <t>あなたと対戦相手は手札の最後のカードを2枚捨てる。</t>
  </si>
  <si>
    <t>あなたは手札の最後のカードを2枚捨て、対戦相手は手札の最初と最後のカードを捨てる。</t>
  </si>
  <si>
    <t>墓の霧</t>
  </si>
  <si>
    <t>Grave Mist</t>
  </si>
  <si>
    <t>ジェム5個を起動する：すべてのクリーチャーとプレイヤーに1点のダメージを与える。</t>
  </si>
  <si>
    <t>ジェム5個を起動する：あなたとあなたのすべてのクリーチャーに1点のダメージを与え、対戦相手と対戦相手のクリーチャーに2点のダメージを与える。</t>
  </si>
  <si>
    <t>ジェム5個を起動する：あなたとあなたのすべてのクリーチャーに1点のダメージを与え、対戦相手と対戦相手のクリーチャーに3点のダメージを与える。</t>
  </si>
  <si>
    <t>ジェム5個を起動する：あなたとあなたのすべてのクリーチャーに1点のダメージを与え、対戦相手と対戦相手のクリーチャーに5点のダメージを与える。</t>
  </si>
  <si>
    <t>死者再生</t>
  </si>
  <si>
    <t>Raise Dead</t>
  </si>
  <si>
    <t>あなたが最後にコントロールしていて破壊されたクリーチャーを戦場に戻す。</t>
  </si>
  <si>
    <t>あなたが最後にコントロールしていて破壊されたクリーチャー2体を戦場に戻す。</t>
  </si>
  <si>
    <t>あなたが最後にコントロールしていて破壊されたクリーチャー3体を戦場に戻す。</t>
  </si>
  <si>
    <t>闇の契約</t>
  </si>
  <si>
    <t>Dark Pact</t>
  </si>
  <si>
    <t>5点のライフを失い、カードを1枚引く。</t>
  </si>
  <si>
    <t>3点のライフを失い、カードを1枚引く。</t>
  </si>
  <si>
    <t>1点のライフを失い、カードを1枚引く。</t>
  </si>
  <si>
    <t>1点のライフを失い、カードを2枚引く。</t>
  </si>
  <si>
    <t>苦汁</t>
  </si>
  <si>
    <t>Torment</t>
  </si>
  <si>
    <t>5点のライフを失う。パワーが4以下のクリーチャー1体を対象とし、それを破壊する。</t>
  </si>
  <si>
    <t>5点のライフを失う。パワーが6以下のクリーチャー1体を対象とし、それを破壊する。</t>
  </si>
  <si>
    <t>5点のライフを失う。クリーチャー1体を対象とし、それを破壊する。</t>
  </si>
  <si>
    <t>3点のライフを失う。クリーチャー1体を対象とし、それを破壊する。</t>
  </si>
  <si>
    <t>禁忌の知識</t>
  </si>
  <si>
    <t>Forbidden Knowledge</t>
  </si>
  <si>
    <t>「プレーヤー1人がカードを引くたび、対戦相手に2点のダメージを与える。」を持つサポート(シールド数5)を生成する。</t>
  </si>
  <si>
    <t>「プレーヤー1人がカードを引くたび、対戦相手に4点のダメージを与える。」を持つサポート(シールド数5)を生成する。</t>
  </si>
  <si>
    <t>「プレーヤー1人がカードを引くたび、対戦相手に6点のダメージを与える。」を持つサポート(シールド数5)を生成する。</t>
  </si>
  <si>
    <t>「プレーヤー1人がカードを引くたび、対戦相手に8点のダメージを与える。」を持つサポート(シールド数5)を生成する。</t>
  </si>
  <si>
    <t>屍術的吸収</t>
  </si>
  <si>
    <t>Necromantic Absorption</t>
  </si>
  <si>
    <t>Lv6</t>
  </si>
  <si>
    <t>カード1枚捨てて、その後3マナを得る。</t>
  </si>
  <si>
    <t>Lv24</t>
  </si>
  <si>
    <t>カード1枚捨てて、その後4マナを得る。</t>
  </si>
  <si>
    <t>Lv40</t>
  </si>
  <si>
    <t>カード1枚捨てて、その後5マナを得る。</t>
  </si>
  <si>
    <t>Lv56</t>
  </si>
  <si>
    <t>カード1枚捨てて、その後6マナを得る。</t>
  </si>
  <si>
    <t>応用屍術</t>
  </si>
  <si>
    <t>Applied Necromancy</t>
  </si>
  <si>
    <t>Lv12</t>
  </si>
  <si>
    <t>あなたの各ゾンビに+1/+1の修正を与える。</t>
  </si>
  <si>
    <t>Lv30</t>
  </si>
  <si>
    <t>あなたの各ゾンビに+2/+2の修正を与える。</t>
  </si>
  <si>
    <t>Lv46</t>
  </si>
  <si>
    <t>あなたの各ゾンビに+3/+3の修正を与える。</t>
  </si>
  <si>
    <t>Lv58</t>
  </si>
  <si>
    <t>あなたの各ゾンビに+4/+4の修正を与える。</t>
  </si>
  <si>
    <t>執拗な大群</t>
  </si>
  <si>
    <t>Relentless Hordes</t>
  </si>
  <si>
    <t>Lv18</t>
  </si>
  <si>
    <t>「あなたのゾンビが1体死亡したとき、2/2のゾンビを1体召喚する」を持つサポート(シールド数5)を生成する。</t>
  </si>
  <si>
    <t>Lv36</t>
  </si>
  <si>
    <t>「あなたのゾンビが1体死亡したとき、2/2のゾンビを2体召喚する」を持つサポート(シールド数5)を生成する。</t>
  </si>
  <si>
    <t>Lv52</t>
  </si>
  <si>
    <t>「あなたのゾンビが1体死亡したとき、2/2のゾンビを3体召喚する」を持つサポート(シールド数5)を生成する。</t>
  </si>
  <si>
    <t>Lv60</t>
  </si>
  <si>
    <t>「あなたのゾンビが1体死亡したとき、2/2のゾンビを4体召喚する」を持つサポート(シールド数5)を生成する。</t>
  </si>
  <si>
    <t>対戦相手に2点のダメージを与える。</t>
  </si>
  <si>
    <t>対戦相手に3点のダメージを与える。</t>
  </si>
  <si>
    <t>対戦相手に3点のダメージを与える。ジェム3×3のエリアを破壊</t>
  </si>
  <si>
    <t>対戦相手に4点のダメージを与える。ジェム3×3のエリアを破壊</t>
  </si>
  <si>
    <t>クリーチャー1体に2点のダメージを与える。</t>
  </si>
  <si>
    <t>クリーチャー1体に3点のダメージを与える。</t>
  </si>
  <si>
    <t>対戦相手がコントロールするすべてのクリーチャーに3点のダメージを与える。</t>
  </si>
  <si>
    <t>対戦相手がコントロールするすべてのクリーチャーに4点のダメージを与える。</t>
  </si>
  <si>
    <t>対戦相手に10点のダメージを与える。</t>
  </si>
  <si>
    <t>対戦相手に15点のダメージを与える。ジェム3×3のエリアを2つ破壊する。</t>
  </si>
  <si>
    <t>対戦相手に20点のダメージを与える。ジェム5×5のエリアを2つ破壊する。</t>
  </si>
  <si>
    <t>対戦相手に25点のダメージを与える。ジェム5×5のエリアを2つ破壊する。</t>
  </si>
  <si>
    <t>土地の再形成</t>
  </si>
  <si>
    <t>Reshape the Land</t>
  </si>
  <si>
    <t>赤でないジェムを3個破壊する。</t>
  </si>
  <si>
    <t>赤でないジェムを6個破壊する。</t>
  </si>
  <si>
    <t>赤でないジェムを9個破壊する。</t>
  </si>
  <si>
    <t>赤でないジェムを12個破壊する。</t>
  </si>
  <si>
    <t>山の憤怒</t>
  </si>
  <si>
    <t>Rage of the Mountain</t>
  </si>
  <si>
    <t>あなたのターン終了時まで、あなたのクリーチャーに+2/0の修正を与えるとともに、トランプルとバーサーカーを与える。</t>
  </si>
  <si>
    <t>あなたのターン終了時まで、あなたのクリーチャーに+4/0の修正を与えるとともに、トランプルとバーサーカーを与える。</t>
  </si>
  <si>
    <t>あなたのターン終了時まで、あなたのクリーチャーに+6/0の修正を与えるとともに、トランプルとバーサーカーを与える。</t>
  </si>
  <si>
    <t>あなたのターン終了時まで、あなたのクリーチャーに+8/0の修正を与えるとともに、トランプルとバーサーカーを与える。</t>
  </si>
  <si>
    <t>山の活力</t>
  </si>
  <si>
    <t>Strength of the Mountain</t>
  </si>
  <si>
    <t>「プレイヤー1人が赤ジェムをマッチさせるたびに、あなたのすべてのクリーチャーは+1/+1の修正を受ける。」を持つサポート(シールド数10)に生成する。</t>
  </si>
  <si>
    <t>「プレイヤー1人が赤ジェムをマッチさせるたびに、あなたのすべてのクリーチャーは+2/+2の修正を受ける。」を持つサポート(シールド数10)に生成する。</t>
  </si>
  <si>
    <t>「プレイヤー1人が赤ジェムをマッチさせるたびに、あなたのすべてのクリーチャーは+3/+3の修正を受ける。」を持つサポート(シールド数10)に生成する。</t>
  </si>
  <si>
    <t>「プレイヤー1人が赤ジェムをマッチさせるたびに、あなたのすべてのクリーチャーは+4/+4の修正を受ける。」を持つサポート(シールド数10)に生成する。</t>
  </si>
  <si>
    <t>霊気建造</t>
  </si>
  <si>
    <t>Build Aether</t>
  </si>
  <si>
    <t>ジェムを1個破壊し、エネルギー化1を行う。</t>
  </si>
  <si>
    <t>ジェムを2個破壊し、エネルギー化2を行う。</t>
  </si>
  <si>
    <t>ジェムを3個破壊し、エネルギー化3を行う。</t>
  </si>
  <si>
    <t>ジェムを4個破壊し、エネルギー化4を行う。</t>
  </si>
  <si>
    <t>霊気解放</t>
  </si>
  <si>
    <t>Liberate Aether</t>
  </si>
  <si>
    <t>ボードからエネルギー化ジェムを2つ取り除く。クリーチャー1体を対象とし、それに6点のダメージを与える。</t>
  </si>
  <si>
    <t>ボードからエネルギー化ジェムを2つ取り除く。クリーチャー1体を対象とし、それに9点のダメージを与える。</t>
  </si>
  <si>
    <t>ボードからエネルギー化ジェムを2つ取り除く。クリーチャー1体を対象とし、それに12点のダメージを与える。</t>
  </si>
  <si>
    <t>ボードからエネルギー化ジェムを2つ取り除く。クリーチャー1体を対象とし、それに15点のダメージを与える。</t>
  </si>
  <si>
    <t>霊気回収</t>
  </si>
  <si>
    <t>Reclaim Aether</t>
  </si>
  <si>
    <t>「あなたがカードを唱えたとき、ボードからエネルギー化ジェムを1個取り除き、対戦相手に2点のダメージを与える。」を持つサポート(シールド数3)を生成する。</t>
  </si>
  <si>
    <t>「あなたがカードを唱えたとき、ボードからエネルギー化ジェムを1個取り除き、対戦相手に4点のダメージを与える。」を持つサポート(シールド数3)を生成する。</t>
  </si>
  <si>
    <t>「あなたがカードを唱えたとき、ボードからエネルギー化ジェムを1個取り除き、対戦相手に6点のダメージを与える。」を持つサポート(シールド数3)を生成する。</t>
  </si>
  <si>
    <t>「あなたがカードを唱えたとき、ボードからエネルギー化ジェムを1個取り除き、対戦相手に8点のダメージを与える。」を持つサポート(シールド数3)を生成する。</t>
  </si>
  <si>
    <t>チュートリアルをクリアすることで手に入れることの出来るプレインズウォーカー。</t>
  </si>
  <si>
    <t>・日本語版では翻訳ミスにより第1能力と第2能力の名称が同一である。</t>
  </si>
  <si>
    <t>自然の恵み/</t>
  </si>
  <si>
    <t>Nature's Bounty</t>
  </si>
  <si>
    <t>カードを1枚引く。</t>
  </si>
  <si>
    <t>カードを1枚引き、3マナを得る。</t>
  </si>
  <si>
    <t>カードを1枚引き、3マナを得る。3個のジェムを緑に変換する。</t>
  </si>
  <si>
    <t>カードを1枚引き、3マナを得る。&amp;br;3個のジェムを緑に変換して、3点のライフを得る。</t>
  </si>
  <si>
    <t>Nature's gift</t>
  </si>
  <si>
    <t>自然の再生/</t>
  </si>
  <si>
    <t>Nature's Regrowth</t>
  </si>
  <si>
    <t>10個のジェムを緑に変換する。</t>
  </si>
  <si>
    <t>15個のジェムを緑に変換する。</t>
  </si>
  <si>
    <t>20個のジェムを緑に変換する。</t>
  </si>
  <si>
    <t>25個のジェムを緑に変換する。</t>
  </si>
  <si>
    <t>蛇呼び</t>
  </si>
  <si>
    <t>Call Snake</t>
  </si>
  <si>
    <t>1/1の緑の蛇・トークンを1体召喚する。</t>
  </si>
  <si>
    <t>1/1の緑の蛇・トークンを2体召喚する。</t>
  </si>
  <si>
    <t>1/1の緑の蛇・トークンを3体召喚する。</t>
  </si>
  <si>
    <t>1/1の緑の蛇・トークンを4体召喚する。</t>
  </si>
  <si>
    <t>狼呼び</t>
  </si>
  <si>
    <t>Call Wolf</t>
  </si>
  <si>
    <t>2/2の緑の狼・トークンを1体召喚する。</t>
  </si>
  <si>
    <t>2/2の緑の狼・トークンを2体召喚する。</t>
  </si>
  <si>
    <t>2/2の緑の狼・トークンを3体召喚する。</t>
  </si>
  <si>
    <t>2/2の緑の狼・トークンを4体召喚する。</t>
  </si>
  <si>
    <t>ビースト呼び</t>
  </si>
  <si>
    <t>Call Beast</t>
  </si>
  <si>
    <t>3/3の緑のビースト・トークンを1体召喚する。</t>
  </si>
  <si>
    <t>3/3の緑のビースト・トークンを2体召喚する。</t>
  </si>
  <si>
    <t>3/3の緑のビースト・トークンを3体召喚する。</t>
  </si>
  <si>
    <t>3/3の緑のビースト・トークンを4体召喚する。</t>
  </si>
  <si>
    <t>Touch of Aether</t>
  </si>
  <si>
    <t>ジェム1つを緑に変換する。エネルギー化1をする。</t>
  </si>
  <si>
    <t>ジェム2つを緑に変換する。エネルギー化2をする。</t>
  </si>
  <si>
    <t>ジェム3つを緑に変換する。エネルギー化3をする。</t>
  </si>
  <si>
    <t>ジェム4つを緑に変換する。エネルギー化4をする。</t>
  </si>
  <si>
    <t>Draw Aether</t>
  </si>
  <si>
    <t>「いずれかのプレイヤーが緑ジェムを3つ以上マッチするたび、エネルギー化1を行う。」を持つサポート(シールド数3)を生成する。</t>
  </si>
  <si>
    <t>「いずれかのプレイヤーが緑ジェムを3つ以上マッチするたび、エネルギー化2を行う。」を持つサポート(シールド数3)を生成する。</t>
  </si>
  <si>
    <t>「いずれかのプレイヤーが緑ジェムを3つ以上マッチするたび、エネルギー化3を行う。」を持つサポート(シールド数3)を生成する。</t>
  </si>
  <si>
    <t>「いずれかのプレイヤーが緑ジェムを3つ以上マッチするたび、エネルギー化4を行う。」を持つサポート(シールド数3)を生成する。</t>
  </si>
  <si>
    <t>Aether Inspiration</t>
  </si>
  <si>
    <t>エネルギー化5を行い、あなたがコントロールするクリーチャーすべてに+X/+Xの修正を与える。Xはボード上にあるエネルギージェムの総数である。</t>
  </si>
  <si>
    <t>エネルギー化5を行い、あなたがコントロールするクリーチャーすべてに+X/+Xの修正を与える。Xはボード上にあるエネルギージェムの2倍の数である。</t>
  </si>
  <si>
    <t>エネルギー化5を行い、あなたがコントロールするクリーチャーすべてに+X/+Xの修正を与える。Xはボード上にあるエネルギージェムの3倍の数である。</t>
  </si>
  <si>
    <t>エネルギー化5を行い、あなたがコントロールするクリーチャーすべてに+X/+Xの修正を与える。Xはボード上にあるエネルギージェムの4倍の数である。</t>
  </si>
  <si>
    <t>+</t>
  </si>
  <si>
    <t>特別オファーで購入するか、マナクリスタルで購入する事で入手できる。</t>
  </si>
  <si>
    <t>霊気利用</t>
  </si>
  <si>
    <t>Tap the Aether</t>
  </si>
  <si>
    <t>エネルギー化1を行い、3マナ得る。</t>
  </si>
  <si>
    <t>エネルギー化2を行い、4マナ得る。</t>
  </si>
  <si>
    <t>エネルギー化3を行い、5マナ得る。</t>
  </si>
  <si>
    <t>エネルギー化4を行い、6マナ得る。</t>
  </si>
  <si>
    <t>霊気収集</t>
  </si>
  <si>
    <t>Aether Siphon</t>
  </si>
  <si>
    <t>「あなたのターン開始時にエネルギー化1を行う。超過3：1ドローする」を持つサポート(シールド数3)を生成する。</t>
  </si>
  <si>
    <t>「あなたのターン開始時にエネルギー化1を行う。超過2：1ドローする」を持つサポート(シールド数3)を生成する。</t>
  </si>
  <si>
    <t>「あなたのターン開始時にエネルギー化1を行う。超過1：1ドローする」を持つサポート(シールド数3)を生成する。</t>
  </si>
  <si>
    <t>「あなたのターン開始時にエネルギー化2を行う。超過1：1ドローする」を持つサポート(シールド数3)を生成する。</t>
  </si>
  <si>
    <t>霊気革新</t>
  </si>
  <si>
    <t>Aether Innovation</t>
  </si>
  <si>
    <t>「超過1：あなたがコントロールする各クリーチャーは+3/+3の修正を得る」を持つサポート(シールド数3)を生成する。</t>
  </si>
  <si>
    <t>「超過1：あなたがコントロールする各クリーチャーは+4/+4の修正を得る」を持つサポート(シールド数3)を生成する。</t>
  </si>
  <si>
    <t>「超過1：あなたがコントロールする各クリーチャーは+5/+5の修正を得る」を持つサポート(シールド数3)を生成する。</t>
  </si>
  <si>
    <t>「超過1：あなたがコントロールする各クリーチャーは+6/+6の修正を得る」を持つサポート(シールド数3)を生成する。</t>
  </si>
  <si>
    <t>160720 </t>
  </si>
  <si>
    <t>企図</t>
  </si>
  <si>
    <t>Plot</t>
  </si>
  <si>
    <t>エネルギー化1を行い、製造1を行う。</t>
  </si>
  <si>
    <t>エネルギー化2を行い、製造1を行う。</t>
  </si>
  <si>
    <t>エネルギー化3を行い、製造2を行う。</t>
  </si>
  <si>
    <t>エネルギー化4を行い、製造2を行う。</t>
  </si>
  <si>
    <t>策謀</t>
  </si>
  <si>
    <t>Design</t>
  </si>
  <si>
    <t>「超過1：このクリーチャーに+1/+1の修正と製造1を行う」を持つ1/1の構築物・トークンを1体生成する。</t>
  </si>
  <si>
    <t>「超過1：このクリーチャーに+1/+1の修正と製造1を行う」を持つ2/2の構築物・トークンを1体生成する。</t>
  </si>
  <si>
    <t>「超過1：このクリーチャーに+1/+1の修正と製造2を行う」を持つ3/3の構築物・トークンを1体生成する。</t>
  </si>
  <si>
    <t>「超過1：このクリーチャーに+1/+1の修正と製造2を行う」を持つ4/4の構築物・トークンを1体生成する。</t>
  </si>
  <si>
    <t>憤怒</t>
  </si>
  <si>
    <t>Rage</t>
  </si>
  <si>
    <t>「あなたがコントロールするサポートが破壊されるたび、対戦相手に4点のダメージを与える」を持つサポート(シールド数3)を生成する。</t>
  </si>
  <si>
    <t>「あなたがコントロールするサポートが破壊されるたび、対戦相手に6点のダメージを与える」を持つサポート(シールド数3)を生成する。</t>
  </si>
  <si>
    <t>「あなたがコントロールするサポートが破壊されるたび、対戦相手に8点のダメージを与える」を持つサポート(シールド数3)を生成する。</t>
  </si>
  <si>
    <t>「あなたがコントロールするサポートが破壊されるたび、対戦相手に10点のダメージを与える」を持つサポート(シールド数3)を生成する。</t>
  </si>
  <si>
    <t>炎の生け贄</t>
  </si>
  <si>
    <t>Fiery Sacrifice</t>
  </si>
  <si>
    <t>カードを1枚引き、3点のライフを失う。</t>
  </si>
  <si>
    <t>カードを1枚引き、2点のライフを失う。</t>
  </si>
  <si>
    <t>カードを1枚引き、1点のライフを失う。</t>
  </si>
  <si>
    <t>ドラゴン呼び</t>
  </si>
  <si>
    <t>Call Dragon</t>
  </si>
  <si>
    <t>あなたのクリーチャー1体を破壊し、飛行を持つ3/3の赤のドラゴンを1体召喚する。</t>
  </si>
  <si>
    <t>あなたのクリーチャー1体を破壊し、飛行を持つ4/4の赤のドラゴンを1体召喚する。</t>
  </si>
  <si>
    <t>あなたのクリーチャー1体を破壊し、飛行を持つ5/5の赤のドラゴンを1体召喚する。</t>
  </si>
  <si>
    <t>あなたのクリーチャー1体を破壊し、飛行を持つ6/6の赤のドラゴンを1体召喚する。</t>
  </si>
  <si>
    <t>炎の息</t>
  </si>
  <si>
    <t>Fiery Breath</t>
  </si>
  <si>
    <t>このターン、あなたのドラゴンが攻撃したとき、そのパワーに等しいダメージを対戦相手に与える。</t>
  </si>
  <si>
    <t>このターン、あなたのドラゴンが攻撃したとき、そのパワーの2倍に等しいダメージを対戦相手に与える。</t>
  </si>
  <si>
    <t>このターン、あなたのドラゴンが攻撃したとき、そのパワーの3倍に等しいダメージを対戦相手に与える。</t>
  </si>
  <si>
    <t>このターン、あなたのドラゴンが攻撃したとき、そのパワーの4倍に等しいダメージを対戦相手に与える。</t>
  </si>
  <si>
    <t>アーリン・コードは変身能力を持っており、変身前後で能力が変化する。</t>
  </si>
  <si>
    <t>変身後の能力解放Lvは変身前の能力解放Lvと同期している。</t>
  </si>
  <si>
    <t>**変身前</t>
  </si>
  <si>
    <t>狼の力</t>
  </si>
  <si>
    <t>Strength of the Wolf</t>
  </si>
  <si>
    <t>あなたがコントロールするクリーチャー1体を対象とし、ターン終了時まで+1/+1の修正と速攻とトランプルを得る。</t>
  </si>
  <si>
    <t>あなたがコントロールするクリーチャー1体を対象とし、ターン終了時まで+2/+2の修正と速攻とトランプルを得る。</t>
  </si>
  <si>
    <t>あなたがコントロールするクリーチャー1体を対象とし、ターン終了時まで+3/+3の修正と速攻とトランプルを得る。</t>
  </si>
  <si>
    <t>あなたがコントロールするクリーチャー1体を対象とし、ターン終了時まで+4/+4の修正と速攻とトランプルを得る。</t>
  </si>
  <si>
    <t>群れの呼び出し</t>
  </si>
  <si>
    <t>Call the Pack</t>
  </si>
  <si>
    <t>あなたのライブラリーから次の狼男を取ってくる。</t>
  </si>
  <si>
    <t>あなたのライブラリーから次の狼男を取ってくる。それは3マナを得る。</t>
  </si>
  <si>
    <t>あなたのライブラリーから次の狼男を取ってくる。それは6マナを得る。</t>
  </si>
  <si>
    <t>あなたのライブラリーから次の狼男を取ってくる。それは9マナを得る。</t>
  </si>
  <si>
    <t>月の接触</t>
  </si>
  <si>
    <t>Touch of the Moon</t>
  </si>
  <si>
    <t>あなたがコントロールする各狼男は+1/+1の修正を得る。アーリン・コードを変身させる。</t>
  </si>
  <si>
    <t>あなたがコントロールする各狼男は+2/+2の修正を得る。アーリン・コードを変身させる。</t>
  </si>
  <si>
    <t>あなたがコントロールする各狼男は+3/+3の修正を得る。アーリン・コードを変身させる。</t>
  </si>
  <si>
    <t>あなたがコントロールする各狼男は+4/+4の修正を得る。アーリン・コードを変身させる。</t>
  </si>
  <si>
    <t>・自分のコントロールするクリーチャーに狼男がいない場合、この能力は起動できない。</t>
  </si>
  <si>
    <t>**変身後</t>
  </si>
  <si>
    <t>月の抱擁</t>
  </si>
  <si>
    <t>Moon's Embrace</t>
  </si>
  <si>
    <t>狼男1体を対象とし、それを変身させる。</t>
  </si>
  <si>
    <t>狼男1体を対象とし、それを変身させる。それは+1/+1の修正を得る。</t>
  </si>
  <si>
    <t>狼男1体を対象とし、それを変身させる。それは+2/+2の修正を得る。</t>
  </si>
  <si>
    <t>狼男1体を対象とし、それを変身させる。それは+3/+3の修正を得る。</t>
  </si>
  <si>
    <t>狩りの群れ</t>
  </si>
  <si>
    <t>Hunt with the Pack</t>
  </si>
  <si>
    <t>トランプルとバーサーカーを持つ2/2の狼男・トークンを1体生成する。</t>
  </si>
  <si>
    <t>トランプルとバーサーカーを持つ2/2の狼男・トークンを2体生成する。</t>
  </si>
  <si>
    <t>トランプルとバーサーカーを持つ2/2の狼男・トークンを3体生成する。</t>
  </si>
  <si>
    <t>トランプルとバーサーカーを持つ2/2の狼男・トークンを4体生成する。</t>
  </si>
  <si>
    <t>獣人の激情</t>
  </si>
  <si>
    <t>Lycanthropic Frenzy</t>
  </si>
  <si>
    <t>あなたがコントロールする各狼男は+6/+6の修正を得る。アーリン・コードを変身させる。</t>
  </si>
  <si>
    <t>あなたがコントロールする各狼男は+8/+8の修正を得る。アーリン・コードを変身させる。</t>
  </si>
  <si>
    <t>あなたがコントロールする各狼男は+10/+10の修正を得る。アーリン・コードを変身させる。</t>
  </si>
  <si>
    <t>v1.7より修正が入った。以前は呪文とサポート共に1からスタートだった。</t>
  </si>
  <si>
    <t>吸血鬼の吸収/Vampiric Drain</t>
  </si>
  <si>
    <t>あなたがコントロールするクリーチャー1体につき1点のライフと1マナを得る。</t>
  </si>
  <si>
    <t>あなたがコントロールするクリーチャー1体につき2点のライフと1マナを得る。</t>
  </si>
  <si>
    <t>あなたがコントロールするクリーチャー1体につき3点のライフと2マナを得る。</t>
  </si>
  <si>
    <t>あなたがコントロールするクリーチャー1体につき4点のライフと2マナを得る。</t>
  </si>
  <si>
    <t>吸血の力/Vampiric Power</t>
  </si>
  <si>
    <t>「あなたがコントロールする各クリーチャーが攻撃したとき、あなたは1点のライフを得る」を持つサポート(シールド数3)を生成する。</t>
  </si>
  <si>
    <t>「あなたがコントロールする各クリーチャーが攻撃したとき、あなたは2点のライフを得る」を持つサポート(シールド数3)を生成する。</t>
  </si>
  <si>
    <t>「あなたがコントロールする各クリーチャーが攻撃したとき、あなたは3点のライフを得る」を持つサポート(シールド数3)を生成する。</t>
  </si>
  <si>
    <t>「あなたがコントロールする各クリーチャーが攻撃したとき、あなたは4点のライフを得る」を持つサポート(シールド数3)を生成する。</t>
  </si>
  <si>
    <t>吸血鬼の力/Vampiric Embrace</t>
  </si>
  <si>
    <t>「あなたがライフを得たとき、あなたの各クリーチャーは+1/0の修正を受ける」を持つサポート(シールド数5)を生成する。</t>
  </si>
  <si>
    <t>「あなたがライフを得たとき、あなたの各クリーチャーは+2/0の修正を受ける」を持つサポート(シールド数5)を生成する。</t>
  </si>
  <si>
    <t>「あなたがライフを得たとき、あなたの各クリーチャーは+3/0の修正を受ける」を持つサポート(シールド数5)を生成する。</t>
  </si>
  <si>
    <t>「あなたがライフを得たとき、あなたの各クリーチャーは+4/0の修正を受ける」を持つサポート(シールド数5)を生成する。</t>
  </si>
  <si>
    <t>**旧能力</t>
  </si>
  <si>
    <t>v1.7より修正が入った。以下は修正前の能力。第3能力は変更なし。</t>
  </si>
  <si>
    <t>あなたがコントロールするクリーチャーすべてに1点のダメージを与え、あなたがコントロールするクリーチャー1体につき1点のライフを得る。</t>
  </si>
  <si>
    <t>あなたがコントロールするクリーチャーすべてに1点のダメージを与え、あなたがコントロールするクリーチャー1体につき2点のライフを得る。</t>
  </si>
  <si>
    <t>あなたがコントロールするクリーチャーすべてに1点のダメージを与え、あなたがコントロールするクリーチャー1体につき3点のライフを得る。</t>
  </si>
  <si>
    <t>あなたがコントロールするクリーチャーすべてに1点のダメージを与え、あなたがコントロールするクリーチャー1体につき4点のライフを得る。</t>
  </si>
  <si>
    <t>再生</t>
  </si>
  <si>
    <t>Regenerate</t>
  </si>
  <si>
    <t>あなたがコントロールするサポート1つにつき1点のライフを得、あなたがコントロールするサポートをすべて破壊する。</t>
  </si>
  <si>
    <t>あなたがコントロールするサポート1つにつき2点のライフを得、あなたがコントロールするサポートをすべて破壊する。</t>
  </si>
  <si>
    <t>あなたがコントロールするサポート1つにつき4点のライフを得、あなたがコントロールするサポートをすべて破壊する。</t>
  </si>
  <si>
    <t>あなたがコントロールするサポート1つにつき8点のライフを得、あなたがコントロールするサポートをすべて破壊する。</t>
  </si>
  <si>
    <t>競争</t>
  </si>
  <si>
    <t>Whirlermaker</t>
  </si>
  <si>
    <t>飛行を持つ1/1の無色の飛行機械・アーティファクト・トークンを1体生成する。エネルギー化1を行う。</t>
  </si>
  <si>
    <t>飛行を持つ1/1の無色の飛行機械・アーティファクト・トークンを2体生成する。エネルギー化2を行う。</t>
  </si>
  <si>
    <t>飛行を持つ1/1の無色の飛行機械・アーティファクト・トークンを3体生成する。エネルギー化3を行う。</t>
  </si>
  <si>
    <t>飛行を持つ1/1の無色の飛行機械・アーティファクト・トークンを4体生成する。エネルギー化4を行う。</t>
  </si>
  <si>
    <t>速製</t>
  </si>
  <si>
    <t>Construct Artistry</t>
  </si>
  <si>
    <t>ボードからエネルギー化ジェムを2つ取り除く。あなたがコントロールする各構築物・クリーチャーに+3/+3の修正を与える。</t>
  </si>
  <si>
    <t>ボードからエネルギー化ジェムを2つ取り除く。あなたがコントロールする各構築物・クリーチャーに+4/+4の修正を与える。</t>
  </si>
  <si>
    <t>ボードからエネルギー化ジェムを2つ取り除く。あなたがコントロールする各構築物・クリーチャーに+5/+5の修正を与える。</t>
  </si>
  <si>
    <t>ボードからエネルギー化ジェムを2つ取り除く。あなたがコントロールする各構築物・クリーチャーに+6/+6の修正を与える。</t>
  </si>
  <si>
    <t>発明</t>
  </si>
  <si>
    <t>Vehicular Assembly</t>
  </si>
  <si>
    <t>あなたのライブラリーから次の機体を1つ取ってきて、それを戦場に出す。</t>
  </si>
  <si>
    <t>あなたのライブラリーから次の機体を2つ取ってきて、それを戦場に出す。</t>
  </si>
  <si>
    <t>あなたのライブラリーから次の機体を3つ取ってきて、それを戦場に出す。</t>
  </si>
  <si>
    <t>あなたのライブラリーから次の機体を4つ取ってきて、それを戦場に出す。</t>
  </si>
  <si>
    <t>v1.9.0のカラデシュ導入に伴い、サヒーリ・ライのPW能力は変更された。以下は変更前の能力。</t>
  </si>
  <si>
    <t>つむじ風製造機</t>
  </si>
  <si>
    <t>飛行を持つ1/1の無色の飛行機械・アーティファクト・トークンを1体生成する。</t>
  </si>
  <si>
    <t>飛行を持つ1/1の無色の飛行機械・アーティファクト・トークンを2体生成する。</t>
  </si>
  <si>
    <t>飛行を持つ1/1の無色の飛行機械・アーティファクト・トークンを3体生成する。</t>
  </si>
  <si>
    <t>飛行を持つ1/1の無色の飛行機械・アーティファクト・トークンを4体生成する。</t>
  </si>
  <si>
    <t>構築物の芸術</t>
  </si>
  <si>
    <t>あなたがコントロールする各構築物・クリーチャーに+2/+2の修正を与える。</t>
  </si>
  <si>
    <t>あなたがコントロールする各構築物・クリーチャーに+3/+3の修正を与える。</t>
  </si>
  <si>
    <t>あなたがコントロールする各構築物・クリーチャーに+4/+4の修正を与える。</t>
  </si>
  <si>
    <t>あなたがコントロールする各構築物・クリーチャーに+5/+5の修正を与える。</t>
  </si>
  <si>
    <t>アーティファクト編成</t>
  </si>
  <si>
    <t>あなたのライブラリーから次のサポートを1つ取ってきて、それを戦場に出す。</t>
  </si>
  <si>
    <t>あなたのライブラリーから次のサポートを2つ取ってきて、それを戦場に出す。</t>
  </si>
  <si>
    <t>あなたのライブラリーから次のサポートを3つ取ってきて、それを戦場に出す。</t>
  </si>
  <si>
    <t>あなたのライブラリーから次のサポートを4つ取ってきて、それを戦場に出す。</t>
  </si>
  <si>
    <t>**第1能力：隔離する一撃/Sundering Slash [#qad5ae1f]</t>
  </si>
  <si>
    <t>ディフェンダー、到達または警戒を持つクリーチャー1体を対象とする。あなたのターン終了時まで、それを無効化する。</t>
  </si>
  <si>
    <t>ディフェンダー、到達または警戒を持つクリーチャー1体を対象とする。あなたの次のターン開始時まで、それを無効化する。</t>
  </si>
  <si>
    <t>クリーチャー1体を対象とする。あなたの次のターン開始時まで、それを無効化する。</t>
  </si>
  <si>
    <t>**第2能力：稲妻のらせん/Lightning Helix [#v5af73a1]</t>
  </si>
  <si>
    <t>クリーチャー1体を対象とし、それに3点のダメージを与え、3点のライフを得る。</t>
  </si>
  <si>
    <t>クリーチャー1体を対象とし、それに4点のダメージを与え、4点のライフを得る。</t>
  </si>
  <si>
    <t>クリーチャー1体を対象とし、それに5点のダメージを与え、5点のライフを得る。</t>
  </si>
  <si>
    <t>クリーチャー1体を対象とし、それに6点のダメージを与え、6点のライフを得る。</t>
  </si>
  <si>
    <t>**第3能力：復仇/Reprisal [#td944270]</t>
  </si>
  <si>
    <t>対戦相手の色のジェムを優先して5個破壊する。</t>
  </si>
  <si>
    <t>対戦相手の色のジェムを優先して10個破壊する。</t>
  </si>
  <si>
    <t>対戦相手の色のジェムを優先して15個破壊する。</t>
  </si>
  <si>
    <t>対戦相手の色のジェムを優先して18個破壊する。</t>
  </si>
  <si>
    <t>石鍛冶</t>
  </si>
  <si>
    <t>Stoneforge</t>
  </si>
  <si>
    <t>あなたがコントロールする各クリーチャーは+1/+1の修正を得る。</t>
  </si>
  <si>
    <t>あなたがコントロールする各クリーチャーは+2/+2の修正を得る。</t>
  </si>
  <si>
    <t>あなたがコントロールする各クリーチャーは+3/+3の修正を得る。</t>
  </si>
  <si>
    <t>あなたがコントロールする各クリーチャーは+4/+4の修正を得る。</t>
  </si>
  <si>
    <t>石術</t>
  </si>
  <si>
    <t>Lithomancy</t>
  </si>
  <si>
    <t>手札を1枚捨てる。その後、1枚ドローし、白ジェムを1つ破壊する。</t>
  </si>
  <si>
    <t>手札を1枚捨てる。その後、2枚ドローし、白ジェムを1つ破壊する。</t>
  </si>
  <si>
    <t>手札を1枚捨てる。その後、2枚ドローし、白ジェムを2つ破壊する。</t>
  </si>
  <si>
    <t>手札を1枚捨てる。その後、2枚ドローし、白ジェムを3つ破壊する。</t>
  </si>
  <si>
    <t>先駆け</t>
  </si>
  <si>
    <t>Harbinger</t>
  </si>
  <si>
    <t>あなたがコントロールするクリーチャー1体を対象とする。それはターン終了時まで速攻とトランプルを持つ。その後そのクリーチャーを補強する。</t>
  </si>
  <si>
    <t>あなたがコントロールするクリーチャー1体を対象とする。それはターン終了時まで速攻とトランプルを持つ。その後そのクリーチャーを2回補強する。</t>
  </si>
  <si>
    <t>あなたがコントロールするクリーチャー1体を対象とする。それはターン終了時まで速攻とトランプルを持つ。その後そのクリーチャーを3回補強する。</t>
  </si>
  <si>
    <t>あなたがコントロールするクリーチャー1体を対象とする。それはターン終了時まで速攻とトランプルを持つ。その後そのクリーチャーを4回補強する。</t>
  </si>
  <si>
    <t>砕ける波</t>
  </si>
  <si>
    <t>Crashing Waves</t>
  </si>
  <si>
    <t>対戦相手から3マナを吸収し、3マナを得る。</t>
  </si>
  <si>
    <t>対戦相手から4マナを吸収し、4マナを得る。</t>
  </si>
  <si>
    <t>対戦相手から5マナを吸収し、5マナを得る。</t>
  </si>
  <si>
    <t>対戦相手から6マナを吸収し、6マナを得る。</t>
  </si>
  <si>
    <t>v1.X.Xより修正。忠誠コスト6→9に。</t>
  </si>
  <si>
    <t>渦巻く水塊</t>
  </si>
  <si>
    <t>Swirling Waters</t>
  </si>
  <si>
    <t>次のクリーチャーをあなたのライブラリーから取ってくる。それは3マナを得る。</t>
  </si>
  <si>
    <t>次のクリーチャーをあなたのライブラリーから取ってくる。それは6マナを得る。</t>
  </si>
  <si>
    <t>次のクリーチャーをあなたのライブラリーから取ってくる。それは12マナを得る。</t>
  </si>
  <si>
    <t>次のクリーチャーをあなたのライブラリーから取ってくる。それは16マナを得る。</t>
  </si>
  <si>
    <t>深みより</t>
  </si>
  <si>
    <t>From the Depths</t>
  </si>
  <si>
    <t>到達とトランプルを持つ8/8の青のタコ・トークンを1体生成する。</t>
  </si>
  <si>
    <t>到達とトランプルを持つ8/8の青のタコ・トークンを2体生成する。</t>
  </si>
  <si>
    <t>到達とトランプルを持つ8/8の青のタコ・トークンを3体生成する。</t>
  </si>
  <si>
    <t>到達とトランプルを持つ8/8の青のタコ・トークンを4体生成する。</t>
  </si>
  <si>
    <t>*Lv60時ステータス</t>
  </si>
  <si>
    <t>LEFT:70</t>
  </si>
  <si>
    <t>LEFT:30</t>
  </si>
  <si>
    <t>LEFT:60</t>
  </si>
  <si>
    <t>マナボーナス</t>
  </si>
  <si>
    <t>デッキ構築枚数上限</t>
  </si>
  <si>
    <t>^</t>
  </si>
  <si>
    <t>PW能力</t>
  </si>
  <si>
    <t>第1能力</t>
  </si>
  <si>
    <t>蠍の一刺し</t>
  </si>
  <si>
    <t>第2能力</t>
  </si>
  <si>
    <t>蝗の疫病</t>
  </si>
  <si>
    <t>あなたはカードを2枚引き、2/2のゾンビ・トークンを4体召喚する</t>
  </si>
  <si>
    <t>第3能力</t>
  </si>
  <si>
    <t>スカラベの呼び声</t>
  </si>
  <si>
    <t>*</t>
  </si>
  <si>
    <t>評価</t>
  </si>
  <si>
    <t>・</t>
  </si>
  <si>
    <t>マナボーナス合計は+</t>
  </si>
  <si>
    <t>。</t>
  </si>
  <si>
    <t>平均</t>
  </si>
  <si>
    <t>#region(close,text=Lv60までの詳細データ)</t>
  </si>
  <si>
    <t>#endregion</t>
  </si>
  <si>
    <t>LEFT:200</t>
  </si>
  <si>
    <t>LEFT:75</t>
  </si>
  <si>
    <t>デッキ投入上限</t>
  </si>
  <si>
    <t>PW名</t>
  </si>
  <si>
    <t>生物</t>
  </si>
  <si>
    <t>置物</t>
  </si>
  <si>
    <t>合計</t>
  </si>
  <si>
    <t>[[</t>
  </si>
  <si>
    <t>歴戦の戦士、ギデオン</t>
  </si>
  <si>
    <t>]]</t>
  </si>
  <si>
    <t>ゼンディカーの同盟者、ギデオン</t>
  </si>
  <si>
    <t>試練に臨むギデオン</t>
  </si>
  <si>
    <t>太陽の勇者、エルズペス</t>
  </si>
  <si>
    <t>束縛なきテレパス、ジェイス</t>
  </si>
  <si>
    <t>秘密の解明者、ジェイス</t>
  </si>
  <si>
    <t>求道者テゼレット</t>
  </si>
  <si>
    <t>反抗する屍術師、リリアナ</t>
  </si>
  <si>
    <t>最後の望み、リリアナ</t>
  </si>
  <si>
    <t>灯の再覚醒、オブ・ニクシリス</t>
  </si>
  <si>
    <t>死の権威、リリアナ</t>
  </si>
  <si>
    <t>燃え盛る炎、チャンドラ</t>
  </si>
  <si>
    <t>反逆の先導者、チャンドラ</t>
  </si>
  <si>
    <t>槌のコス</t>
  </si>
  <si>
    <t>精霊信者の賢人、ニッサ</t>
  </si>
  <si>
    <t>生命の力、ニッサ</t>
  </si>
  <si>
    <t>野生語りのガラク</t>
  </si>
  <si>
    <t>ドビン・バーン</t>
  </si>
  <si>
    <t>策謀家テゼレット</t>
  </si>
  <si>
    <t>狂乱のサルカン</t>
  </si>
  <si>
    <t>アーリン・コード</t>
  </si>
  <si>
    <t>試練を超えた者、サムト</t>
  </si>
  <si>
    <t>不撓のアジャニ</t>
  </si>
  <si>
    <t>死の宿敵、ソリン</t>
  </si>
  <si>
    <t>サヒーリ・ライ</t>
  </si>
  <si>
    <t>復讐のアジャニ</t>
  </si>
  <si>
    <t>先駆ける者、ナヒリ</t>
  </si>
  <si>
    <t>深海の主、キオーラ</t>
  </si>
  <si>
    <t>自然に仕える者、ニッサ</t>
  </si>
  <si>
    <t>王神、ニコル・ボーラス</t>
  </si>
  <si>
    <t>平均値</t>
  </si>
  <si>
    <t>*カラー別</t>
  </si>
  <si>
    <t>**</t>
  </si>
  <si>
    <t>多色</t>
  </si>
  <si>
    <t>自色平均</t>
  </si>
  <si>
    <t>*HP</t>
    <phoneticPr fontId="4"/>
  </si>
  <si>
    <t>・色が合えば採用候補レベルのものではなく、PWに合った採用候補を紹介</t>
  </si>
  <si>
    <t>スタンダード(ORI/KLD/AKH/HOU期)</t>
  </si>
  <si>
    <t>《[[</t>
    <phoneticPr fontId="4"/>
  </si>
  <si>
    <t>]]》</t>
  </si>
  <si>
    <t>：</t>
    <phoneticPr fontId="4"/>
  </si>
  <si>
    <t>**スタンダード</t>
    <phoneticPr fontId="4"/>
  </si>
  <si>
    <t>**レガシー</t>
    <phoneticPr fontId="4"/>
  </si>
  <si>
    <t>*採用候補</t>
    <phoneticPr fontId="4"/>
  </si>
  <si>
    <t>HPは平均</t>
    <phoneticPr fontId="4"/>
  </si>
  <si>
    <t>固定上昇値</t>
    <rPh sb="0" eb="2">
      <t>コテイ</t>
    </rPh>
    <rPh sb="2" eb="4">
      <t>ジョウショウ</t>
    </rPh>
    <rPh sb="4" eb="5">
      <t>チ</t>
    </rPh>
    <phoneticPr fontId="4"/>
  </si>
  <si>
    <t>初期ステータス</t>
    <rPh sb="0" eb="2">
      <t>ショキ</t>
    </rPh>
    <phoneticPr fontId="4"/>
  </si>
  <si>
    <t>HP</t>
    <phoneticPr fontId="4"/>
  </si>
  <si>
    <t>クリーチャー</t>
    <phoneticPr fontId="4"/>
  </si>
  <si>
    <t>呪文</t>
    <rPh sb="0" eb="2">
      <t>ジュモン</t>
    </rPh>
    <phoneticPr fontId="4"/>
  </si>
  <si>
    <t>サポート</t>
    <phoneticPr fontId="4"/>
  </si>
  <si>
    <t>白</t>
    <rPh sb="0" eb="1">
      <t>シロ</t>
    </rPh>
    <phoneticPr fontId="4"/>
  </si>
  <si>
    <t>青</t>
    <rPh sb="0" eb="1">
      <t>アオ</t>
    </rPh>
    <phoneticPr fontId="4"/>
  </si>
  <si>
    <t>黒</t>
    <rPh sb="0" eb="1">
      <t>クロ</t>
    </rPh>
    <phoneticPr fontId="4"/>
  </si>
  <si>
    <t>赤</t>
    <rPh sb="0" eb="1">
      <t>アカ</t>
    </rPh>
    <phoneticPr fontId="4"/>
  </si>
  <si>
    <t>緑</t>
    <rPh sb="0" eb="1">
      <t>ミドリ</t>
    </rPh>
    <phoneticPr fontId="4"/>
  </si>
  <si>
    <t xml:space="preserve"> </t>
    <phoneticPr fontId="4"/>
  </si>
  <si>
    <t>*レベルアップ報酬一覧</t>
    <phoneticPr fontId="4"/>
  </si>
  <si>
    <t>Oketra's Initiates</t>
  </si>
  <si>
    <t>Forged by Might</t>
  </si>
  <si>
    <t>Return from Exile</t>
  </si>
  <si>
    <t>オケチラの修練者</t>
  </si>
  <si>
    <t>力の鍛錬</t>
  </si>
  <si>
    <t>追放からの召還</t>
  </si>
  <si>
    <t>到達を持つ1/1のオケチラの修練者・トークンを4体召喚。</t>
    <phoneticPr fontId="4"/>
  </si>
  <si>
    <t>あなたがコントロールするクリーチャー1体を追放する。あなたがコントロールする他の各クリーチャーは+X/+Yの修整を得る。Xは追放したクリーチャーのパワーに3を足した数に等しい。Yは追放したクリーチャーのタフネスに3を足した数に等しい。</t>
    <phoneticPr fontId="4"/>
  </si>
  <si>
    <t>最後に追放したクリーチャー3枚を戦場に戻す。</t>
    <phoneticPr fontId="4"/>
  </si>
  <si>
    <t>到達を持つ1/1のオケチラの修練者・トークンを1体召喚。</t>
  </si>
  <si>
    <t>到達を持つ1/1のオケチラの修練者・トークンを2体召喚。</t>
  </si>
  <si>
    <t>到達を持つ1/1のオケチラの修練者・トークンを3体召喚。</t>
  </si>
  <si>
    <t>あなたがコントロールするクリーチャー1体を追放する。あなたがコントロールする他の各クリーチャーは+X/+Yの修整を得る。Xは追放したクリーチャーのパワーに等しい。Yは追放したクリーチャーのタフネスに等しい。</t>
    <phoneticPr fontId="4"/>
  </si>
  <si>
    <t>あなたがコントロールするクリーチャー1体を追放する。あなたがコントロールする他の各クリーチャーは+X/+Yの修整を得る。Xは追放したクリーチャーのパワーに1を足した数に等しい。Yは追放したクリーチャーのタフネスに1を足した数に等しい。</t>
    <phoneticPr fontId="4"/>
  </si>
  <si>
    <t>あなたがコントロールするクリーチャー1体を追放する。あなたがコントロールする他の各クリーチャーは+X/+Yの修整を得る。Xは追放したクリーチャーのパワーに2を足した数に等しい。Yは追放したクリーチャーのタフネスに2を足した数に等しい。</t>
    <phoneticPr fontId="4"/>
  </si>
  <si>
    <t>最後に追放したクリーチャー1枚を戦場に戻す。</t>
  </si>
  <si>
    <t>最後に追放したクリーチャー2枚を戦場に戻す。</t>
  </si>
  <si>
    <t>最後に追放したクリーチャーを手札に戻す。</t>
    <rPh sb="14" eb="16">
      <t>テフダ</t>
    </rPh>
    <phoneticPr fontId="4"/>
  </si>
  <si>
    <t>あなたの次のターン開始時まで、あなたの各クリーチャーは+3/+3の修正を受ける。</t>
    <rPh sb="4" eb="5">
      <t>ツギ</t>
    </rPh>
    <rPh sb="9" eb="11">
      <t>カイシ</t>
    </rPh>
    <rPh sb="11" eb="12">
      <t>ジ</t>
    </rPh>
    <phoneticPr fontId="4"/>
  </si>
  <si>
    <t>あなたの次のターン開始時まで、あなたの各クリーチャーは+4/+4の修正を受ける。</t>
    <phoneticPr fontId="4"/>
  </si>
  <si>
    <t>あなたの次のターン開始時まで、あなたの各クリーチャーは+5/+5の修正を受ける。</t>
    <phoneticPr fontId="4"/>
  </si>
  <si>
    <t>あなたの次のターン開始時まで、あなたの各クリーチャーは+7/+7の修正を受ける。</t>
    <phoneticPr fontId="4"/>
  </si>
  <si>
    <t>Summon Sun-Soldier</t>
  </si>
  <si>
    <t>Bathe in the Sun</t>
  </si>
  <si>
    <t>Solar Power</t>
  </si>
  <si>
    <r>
      <t>「[[</t>
    </r>
    <r>
      <rPr>
        <sz val="11"/>
        <color theme="1"/>
        <rFont val="ＭＳ Ｐゴシック"/>
        <family val="3"/>
        <charset val="128"/>
        <scheme val="minor"/>
      </rPr>
      <t>督励</t>
    </r>
    <r>
      <rPr>
        <sz val="11"/>
        <color theme="1"/>
        <rFont val="ＭＳ Ｐゴシック"/>
        <family val="3"/>
        <charset val="128"/>
        <scheme val="minor"/>
      </rPr>
      <t>]]</t>
    </r>
    <r>
      <rPr>
        <sz val="11"/>
        <color theme="1"/>
        <rFont val="ＭＳ Ｐゴシック"/>
        <family val="3"/>
        <charset val="128"/>
        <scheme val="minor"/>
      </rPr>
      <t>6：対戦相手の最初のクリーチャーを</t>
    </r>
    <r>
      <rPr>
        <sz val="11"/>
        <color theme="1"/>
        <rFont val="ＭＳ Ｐゴシック"/>
        <family val="3"/>
        <charset val="128"/>
        <scheme val="minor"/>
      </rPr>
      <t>[[</t>
    </r>
    <r>
      <rPr>
        <sz val="11"/>
        <color theme="1"/>
        <rFont val="ＭＳ Ｐゴシック"/>
        <family val="3"/>
        <charset val="128"/>
        <scheme val="minor"/>
      </rPr>
      <t>破壊</t>
    </r>
    <r>
      <rPr>
        <sz val="11"/>
        <color theme="1"/>
        <rFont val="ＭＳ Ｐゴシック"/>
        <family val="3"/>
        <charset val="128"/>
        <scheme val="minor"/>
      </rPr>
      <t>]]</t>
    </r>
    <r>
      <rPr>
        <sz val="11"/>
        <color theme="1"/>
        <rFont val="ＭＳ Ｐゴシック"/>
        <family val="3"/>
        <charset val="128"/>
        <scheme val="minor"/>
      </rPr>
      <t>する」を持つ1/1の兵士トークンを4体召喚する。</t>
    </r>
    <phoneticPr fontId="4"/>
  </si>
  <si>
    <r>
      <t>「[[</t>
    </r>
    <r>
      <rPr>
        <sz val="11"/>
        <color theme="1"/>
        <rFont val="ＭＳ Ｐゴシック"/>
        <family val="3"/>
        <charset val="128"/>
        <scheme val="minor"/>
      </rPr>
      <t>督励</t>
    </r>
    <r>
      <rPr>
        <sz val="11"/>
        <color theme="1"/>
        <rFont val="ＭＳ Ｐゴシック"/>
        <family val="3"/>
        <charset val="128"/>
        <scheme val="minor"/>
      </rPr>
      <t>]]</t>
    </r>
    <r>
      <rPr>
        <sz val="11"/>
        <color theme="1"/>
        <rFont val="ＭＳ Ｐゴシック"/>
        <family val="3"/>
        <charset val="128"/>
        <scheme val="minor"/>
      </rPr>
      <t>6：対戦相手の最初のクリーチャーを</t>
    </r>
    <r>
      <rPr>
        <sz val="11"/>
        <color theme="1"/>
        <rFont val="ＭＳ Ｐゴシック"/>
        <family val="3"/>
        <charset val="128"/>
        <scheme val="minor"/>
      </rPr>
      <t>[[</t>
    </r>
    <r>
      <rPr>
        <sz val="11"/>
        <color theme="1"/>
        <rFont val="ＭＳ Ｐゴシック"/>
        <family val="3"/>
        <charset val="128"/>
        <scheme val="minor"/>
      </rPr>
      <t>破壊</t>
    </r>
    <r>
      <rPr>
        <sz val="11"/>
        <color theme="1"/>
        <rFont val="ＭＳ Ｐゴシック"/>
        <family val="3"/>
        <charset val="128"/>
        <scheme val="minor"/>
      </rPr>
      <t>]]</t>
    </r>
    <r>
      <rPr>
        <sz val="11"/>
        <color theme="1"/>
        <rFont val="ＭＳ Ｐゴシック"/>
        <family val="3"/>
        <charset val="128"/>
        <scheme val="minor"/>
      </rPr>
      <t>する」を持つ1/1の兵士トークンを1体召喚する。</t>
    </r>
    <r>
      <rPr>
        <sz val="11"/>
        <color theme="1"/>
        <rFont val="ＭＳ Ｐゴシック"/>
        <family val="2"/>
        <charset val="128"/>
        <scheme val="minor"/>
      </rPr>
      <t/>
    </r>
  </si>
  <si>
    <r>
      <t>「[[</t>
    </r>
    <r>
      <rPr>
        <sz val="11"/>
        <color theme="1"/>
        <rFont val="ＭＳ Ｐゴシック"/>
        <family val="3"/>
        <charset val="128"/>
        <scheme val="minor"/>
      </rPr>
      <t>督励</t>
    </r>
    <r>
      <rPr>
        <sz val="11"/>
        <color theme="1"/>
        <rFont val="ＭＳ Ｐゴシック"/>
        <family val="3"/>
        <charset val="128"/>
        <scheme val="minor"/>
      </rPr>
      <t>]]</t>
    </r>
    <r>
      <rPr>
        <sz val="11"/>
        <color theme="1"/>
        <rFont val="ＭＳ Ｐゴシック"/>
        <family val="3"/>
        <charset val="128"/>
        <scheme val="minor"/>
      </rPr>
      <t>6：対戦相手の最初のクリーチャーを</t>
    </r>
    <r>
      <rPr>
        <sz val="11"/>
        <color theme="1"/>
        <rFont val="ＭＳ Ｐゴシック"/>
        <family val="3"/>
        <charset val="128"/>
        <scheme val="minor"/>
      </rPr>
      <t>[[</t>
    </r>
    <r>
      <rPr>
        <sz val="11"/>
        <color theme="1"/>
        <rFont val="ＭＳ Ｐゴシック"/>
        <family val="3"/>
        <charset val="128"/>
        <scheme val="minor"/>
      </rPr>
      <t>破壊</t>
    </r>
    <r>
      <rPr>
        <sz val="11"/>
        <color theme="1"/>
        <rFont val="ＭＳ Ｐゴシック"/>
        <family val="3"/>
        <charset val="128"/>
        <scheme val="minor"/>
      </rPr>
      <t>]]</t>
    </r>
    <r>
      <rPr>
        <sz val="11"/>
        <color theme="1"/>
        <rFont val="ＭＳ Ｐゴシック"/>
        <family val="3"/>
        <charset val="128"/>
        <scheme val="minor"/>
      </rPr>
      <t>する」を持つ1/1の兵士トークンを2体召喚する。</t>
    </r>
    <r>
      <rPr>
        <sz val="11"/>
        <color theme="1"/>
        <rFont val="ＭＳ Ｐゴシック"/>
        <family val="2"/>
        <charset val="128"/>
        <scheme val="minor"/>
      </rPr>
      <t/>
    </r>
  </si>
  <si>
    <r>
      <t>「[[</t>
    </r>
    <r>
      <rPr>
        <sz val="11"/>
        <color theme="1"/>
        <rFont val="ＭＳ Ｐゴシック"/>
        <family val="3"/>
        <charset val="128"/>
        <scheme val="minor"/>
      </rPr>
      <t>督励</t>
    </r>
    <r>
      <rPr>
        <sz val="11"/>
        <color theme="1"/>
        <rFont val="ＭＳ Ｐゴシック"/>
        <family val="3"/>
        <charset val="128"/>
        <scheme val="minor"/>
      </rPr>
      <t>]]</t>
    </r>
    <r>
      <rPr>
        <sz val="11"/>
        <color theme="1"/>
        <rFont val="ＭＳ Ｐゴシック"/>
        <family val="3"/>
        <charset val="128"/>
        <scheme val="minor"/>
      </rPr>
      <t>6：対戦相手の最初のクリーチャーを</t>
    </r>
    <r>
      <rPr>
        <sz val="11"/>
        <color theme="1"/>
        <rFont val="ＭＳ Ｐゴシック"/>
        <family val="3"/>
        <charset val="128"/>
        <scheme val="minor"/>
      </rPr>
      <t>[[</t>
    </r>
    <r>
      <rPr>
        <sz val="11"/>
        <color theme="1"/>
        <rFont val="ＭＳ Ｐゴシック"/>
        <family val="3"/>
        <charset val="128"/>
        <scheme val="minor"/>
      </rPr>
      <t>破壊</t>
    </r>
    <r>
      <rPr>
        <sz val="11"/>
        <color theme="1"/>
        <rFont val="ＭＳ Ｐゴシック"/>
        <family val="3"/>
        <charset val="128"/>
        <scheme val="minor"/>
      </rPr>
      <t>]]</t>
    </r>
    <r>
      <rPr>
        <sz val="11"/>
        <color theme="1"/>
        <rFont val="ＭＳ Ｐゴシック"/>
        <family val="3"/>
        <charset val="128"/>
        <scheme val="minor"/>
      </rPr>
      <t>する」を持つ1/1の兵士トークンを3体召喚する。</t>
    </r>
    <r>
      <rPr>
        <sz val="11"/>
        <color theme="1"/>
        <rFont val="ＭＳ Ｐゴシック"/>
        <family val="2"/>
        <charset val="128"/>
        <scheme val="minor"/>
      </rPr>
      <t/>
    </r>
  </si>
  <si>
    <t>太陽の兵士の召喚</t>
  </si>
  <si>
    <t>太陽浴</t>
  </si>
  <si>
    <t>ジェムを2個起動する：あなたの各クリーチャーは+4/+4の修整を受ける。</t>
  </si>
  <si>
    <r>
      <t>ジェムを2個起動する：あなたの各クリーチャーは+</t>
    </r>
    <r>
      <rPr>
        <sz val="11"/>
        <color theme="1"/>
        <rFont val="ＭＳ Ｐゴシック"/>
        <family val="3"/>
        <charset val="128"/>
        <scheme val="minor"/>
      </rPr>
      <t>1</t>
    </r>
    <r>
      <rPr>
        <sz val="11"/>
        <color theme="1"/>
        <rFont val="ＭＳ Ｐゴシック"/>
        <family val="3"/>
        <charset val="128"/>
        <scheme val="minor"/>
      </rPr>
      <t>/+1の修整を受ける。</t>
    </r>
    <phoneticPr fontId="4"/>
  </si>
  <si>
    <r>
      <t>ジェムを2個起動する：あなたの各クリーチャーは+</t>
    </r>
    <r>
      <rPr>
        <sz val="11"/>
        <color theme="1"/>
        <rFont val="ＭＳ Ｐゴシック"/>
        <family val="3"/>
        <charset val="128"/>
        <scheme val="minor"/>
      </rPr>
      <t>2</t>
    </r>
    <r>
      <rPr>
        <sz val="11"/>
        <color theme="1"/>
        <rFont val="ＭＳ Ｐゴシック"/>
        <family val="3"/>
        <charset val="128"/>
        <scheme val="minor"/>
      </rPr>
      <t>/+2の修整を受ける。</t>
    </r>
    <phoneticPr fontId="4"/>
  </si>
  <si>
    <r>
      <t>ジェムを2個起動する：あなたの各クリーチャーは+</t>
    </r>
    <r>
      <rPr>
        <sz val="11"/>
        <color theme="1"/>
        <rFont val="ＭＳ Ｐゴシック"/>
        <family val="3"/>
        <charset val="128"/>
        <scheme val="minor"/>
      </rPr>
      <t>3</t>
    </r>
    <r>
      <rPr>
        <sz val="11"/>
        <color theme="1"/>
        <rFont val="ＭＳ Ｐゴシック"/>
        <family val="3"/>
        <charset val="128"/>
        <scheme val="minor"/>
      </rPr>
      <t>/+3の修整を受ける。</t>
    </r>
    <phoneticPr fontId="4"/>
  </si>
  <si>
    <r>
      <t>あなたが[</t>
    </r>
    <r>
      <rPr>
        <sz val="11"/>
        <color theme="1"/>
        <rFont val="ＭＳ Ｐゴシック"/>
        <family val="3"/>
        <charset val="128"/>
        <scheme val="minor"/>
      </rPr>
      <t>[</t>
    </r>
    <r>
      <rPr>
        <sz val="11"/>
        <color theme="1"/>
        <rFont val="ＭＳ Ｐゴシック"/>
        <family val="3"/>
        <charset val="128"/>
        <scheme val="minor"/>
      </rPr>
      <t>起動</t>
    </r>
    <r>
      <rPr>
        <sz val="11"/>
        <color theme="1"/>
        <rFont val="ＭＳ Ｐゴシック"/>
        <family val="3"/>
        <charset val="128"/>
        <scheme val="minor"/>
      </rPr>
      <t>]]</t>
    </r>
    <r>
      <rPr>
        <sz val="11"/>
        <color theme="1"/>
        <rFont val="ＭＳ Ｐゴシック"/>
        <family val="3"/>
        <charset val="128"/>
        <scheme val="minor"/>
      </rPr>
      <t>したジェムを1つ</t>
    </r>
    <r>
      <rPr>
        <sz val="11"/>
        <color theme="1"/>
        <rFont val="ＭＳ Ｐゴシック"/>
        <family val="3"/>
        <charset val="128"/>
        <scheme val="minor"/>
      </rPr>
      <t>[[</t>
    </r>
    <r>
      <rPr>
        <sz val="11"/>
        <color theme="1"/>
        <rFont val="ＭＳ Ｐゴシック"/>
        <family val="3"/>
        <charset val="128"/>
        <scheme val="minor"/>
      </rPr>
      <t>破壊</t>
    </r>
    <r>
      <rPr>
        <sz val="11"/>
        <color theme="1"/>
        <rFont val="ＭＳ Ｐゴシック"/>
        <family val="3"/>
        <charset val="128"/>
        <scheme val="minor"/>
      </rPr>
      <t>]]</t>
    </r>
    <r>
      <rPr>
        <sz val="11"/>
        <color theme="1"/>
        <rFont val="ＭＳ Ｐゴシック"/>
        <family val="3"/>
        <charset val="128"/>
        <scheme val="minor"/>
      </rPr>
      <t>する。それらは起動効果を解決する。</t>
    </r>
    <phoneticPr fontId="4"/>
  </si>
  <si>
    <r>
      <t>あなたが[</t>
    </r>
    <r>
      <rPr>
        <sz val="11"/>
        <color theme="1"/>
        <rFont val="ＭＳ Ｐゴシック"/>
        <family val="3"/>
        <charset val="128"/>
        <scheme val="minor"/>
      </rPr>
      <t>[</t>
    </r>
    <r>
      <rPr>
        <sz val="11"/>
        <color theme="1"/>
        <rFont val="ＭＳ Ｐゴシック"/>
        <family val="3"/>
        <charset val="128"/>
        <scheme val="minor"/>
      </rPr>
      <t>起動</t>
    </r>
    <r>
      <rPr>
        <sz val="11"/>
        <color theme="1"/>
        <rFont val="ＭＳ Ｐゴシック"/>
        <family val="3"/>
        <charset val="128"/>
        <scheme val="minor"/>
      </rPr>
      <t>]]</t>
    </r>
    <r>
      <rPr>
        <sz val="11"/>
        <color theme="1"/>
        <rFont val="ＭＳ Ｐゴシック"/>
        <family val="3"/>
        <charset val="128"/>
        <scheme val="minor"/>
      </rPr>
      <t>したジェムを2つ[[破壊]]する。それらは起動効果を解決する。</t>
    </r>
  </si>
  <si>
    <r>
      <t>あなたが[</t>
    </r>
    <r>
      <rPr>
        <sz val="11"/>
        <color theme="1"/>
        <rFont val="ＭＳ Ｐゴシック"/>
        <family val="3"/>
        <charset val="128"/>
        <scheme val="minor"/>
      </rPr>
      <t>[</t>
    </r>
    <r>
      <rPr>
        <sz val="11"/>
        <color theme="1"/>
        <rFont val="ＭＳ Ｐゴシック"/>
        <family val="3"/>
        <charset val="128"/>
        <scheme val="minor"/>
      </rPr>
      <t>起動</t>
    </r>
    <r>
      <rPr>
        <sz val="11"/>
        <color theme="1"/>
        <rFont val="ＭＳ Ｐゴシック"/>
        <family val="3"/>
        <charset val="128"/>
        <scheme val="minor"/>
      </rPr>
      <t>]]</t>
    </r>
    <r>
      <rPr>
        <sz val="11"/>
        <color theme="1"/>
        <rFont val="ＭＳ Ｐゴシック"/>
        <family val="3"/>
        <charset val="128"/>
        <scheme val="minor"/>
      </rPr>
      <t>したジェムを3つ[[破壊]]する。それらは起動効果を解決する。</t>
    </r>
  </si>
  <si>
    <r>
      <t>あなたが[</t>
    </r>
    <r>
      <rPr>
        <sz val="11"/>
        <color theme="1"/>
        <rFont val="ＭＳ Ｐゴシック"/>
        <family val="3"/>
        <charset val="128"/>
        <scheme val="minor"/>
      </rPr>
      <t>[</t>
    </r>
    <r>
      <rPr>
        <sz val="11"/>
        <color theme="1"/>
        <rFont val="ＭＳ Ｐゴシック"/>
        <family val="3"/>
        <charset val="128"/>
        <scheme val="minor"/>
      </rPr>
      <t>起動</t>
    </r>
    <r>
      <rPr>
        <sz val="11"/>
        <color theme="1"/>
        <rFont val="ＭＳ Ｐゴシック"/>
        <family val="3"/>
        <charset val="128"/>
        <scheme val="minor"/>
      </rPr>
      <t>]]</t>
    </r>
    <r>
      <rPr>
        <sz val="11"/>
        <color theme="1"/>
        <rFont val="ＭＳ Ｐゴシック"/>
        <family val="3"/>
        <charset val="128"/>
        <scheme val="minor"/>
      </rPr>
      <t>したジェムを4つ[[破壊]]する。それらは起動効果を解決する。</t>
    </r>
  </si>
  <si>
    <t>陽光の力</t>
  </si>
  <si>
    <t>マナボーナスの偏り方だけを見ると、白の[[槌のコス]]である。ただし、コスと違って低コストなPW能力でジェムを破壊しに行くことができない。</t>
  </si>
  <si>
    <t>紅蓮術師のゴーグル</t>
  </si>
  <si>
    <t>第3能力との相性が良い。強い呪文だけをデッキに入れ、ゴーグルの起動ジェムを第3能力で破壊し起動すれば3枚の呪文がタダで唱えられる。</t>
    <rPh sb="6" eb="8">
      <t>アイショウ</t>
    </rPh>
    <rPh sb="9" eb="10">
      <t>ヨ</t>
    </rPh>
    <rPh sb="12" eb="13">
      <t>ツヨ</t>
    </rPh>
    <rPh sb="14" eb="16">
      <t>ジュモン</t>
    </rPh>
    <rPh sb="23" eb="24">
      <t>イ</t>
    </rPh>
    <rPh sb="31" eb="33">
      <t>キドウ</t>
    </rPh>
    <rPh sb="37" eb="38">
      <t>ダイ</t>
    </rPh>
    <rPh sb="39" eb="41">
      <t>ノウリョク</t>
    </rPh>
    <rPh sb="42" eb="44">
      <t>ハカイ</t>
    </rPh>
    <rPh sb="45" eb="47">
      <t>キドウ</t>
    </rPh>
    <rPh sb="51" eb="52">
      <t>マイ</t>
    </rPh>
    <rPh sb="53" eb="55">
      <t>ジュモン</t>
    </rPh>
    <rPh sb="59" eb="60">
      <t>トナ</t>
    </rPh>
    <phoneticPr fontId="4"/>
  </si>
  <si>
    <t>第1能力が強い。9コストで4/4という白にしては割と普通なスペックに加え、上手くいけば毎ターン、上手くいかなくても時限爆弾のように相手のクリーチャーを破壊しに行ける。ただしその反面、除去能力を即時に使えないというデメリットがある。</t>
    <rPh sb="0" eb="1">
      <t>ダイ</t>
    </rPh>
    <rPh sb="2" eb="4">
      <t>ノウリョク</t>
    </rPh>
    <rPh sb="5" eb="6">
      <t>ツヨ</t>
    </rPh>
    <rPh sb="19" eb="20">
      <t>シロ</t>
    </rPh>
    <rPh sb="24" eb="25">
      <t>ワリ</t>
    </rPh>
    <rPh sb="26" eb="28">
      <t>フツウ</t>
    </rPh>
    <rPh sb="34" eb="35">
      <t>クワ</t>
    </rPh>
    <rPh sb="37" eb="39">
      <t>ウマ</t>
    </rPh>
    <rPh sb="43" eb="44">
      <t>マイ</t>
    </rPh>
    <rPh sb="48" eb="50">
      <t>ウマ</t>
    </rPh>
    <rPh sb="57" eb="59">
      <t>ジゲン</t>
    </rPh>
    <rPh sb="59" eb="61">
      <t>バクダン</t>
    </rPh>
    <rPh sb="65" eb="67">
      <t>アイテ</t>
    </rPh>
    <rPh sb="75" eb="77">
      <t>ハカイ</t>
    </rPh>
    <rPh sb="79" eb="80">
      <t>イ</t>
    </rPh>
    <rPh sb="88" eb="90">
      <t>ハンメン</t>
    </rPh>
    <rPh sb="91" eb="93">
      <t>ジョキョ</t>
    </rPh>
    <rPh sb="93" eb="95">
      <t>ノウリョク</t>
    </rPh>
    <rPh sb="96" eb="98">
      <t>ソクジ</t>
    </rPh>
    <rPh sb="99" eb="100">
      <t>ツカ</t>
    </rPh>
    <phoneticPr fontId="4"/>
  </si>
  <si>
    <t>選定された行進</t>
  </si>
  <si>
    <r>
      <t>]]》</t>
    </r>
    <r>
      <rPr>
        <sz val="11"/>
        <color theme="1"/>
        <rFont val="ＭＳ Ｐゴシック"/>
        <family val="3"/>
        <charset val="128"/>
        <scheme val="minor"/>
      </rPr>
      <t>[</t>
    </r>
    <phoneticPr fontId="4"/>
  </si>
  <si>
    <t>]：</t>
  </si>
  <si>
    <t>]：</t>
    <phoneticPr fontId="4"/>
  </si>
  <si>
    <t>AKH</t>
    <phoneticPr fontId="4"/>
  </si>
  <si>
    <t>ORI</t>
    <phoneticPr fontId="4"/>
  </si>
  <si>
    <t>第1能力との相性が良い。起動すれば8/8の兵士トークンが生まれる。</t>
    <rPh sb="0" eb="1">
      <t>ダイ</t>
    </rPh>
    <rPh sb="2" eb="4">
      <t>ノウリョク</t>
    </rPh>
    <rPh sb="6" eb="8">
      <t>アイショウ</t>
    </rPh>
    <rPh sb="9" eb="10">
      <t>ヨ</t>
    </rPh>
    <rPh sb="12" eb="14">
      <t>キドウ</t>
    </rPh>
    <rPh sb="21" eb="23">
      <t>ヘイシ</t>
    </rPh>
    <rPh sb="28" eb="29">
      <t>ウ</t>
    </rPh>
    <phoneticPr fontId="4"/>
  </si>
  <si>
    <t>《[[</t>
  </si>
  <si>
    <t>]]》[</t>
  </si>
  <si>
    <t>HPモード</t>
    <phoneticPr fontId="4"/>
  </si>
  <si>
    <t>交互</t>
  </si>
  <si>
    <t>Anoint </t>
  </si>
  <si>
    <t>Raise Zombie</t>
  </si>
  <si>
    <t>Horde </t>
  </si>
  <si>
    <t>「ゾンビ1体が戦場に出るたび、対戦相手は4点のダメージを受ける」という能力を持つサポート(シールド値3)トークンをボード上に生成する。それは強化されない。</t>
  </si>
  <si>
    <t>あなたがコントロールしていて最後に破壊されたゾンビを戦場に戻す。それは+6/+6の修整を受ける。</t>
  </si>
  <si>
    <t>あなたがコントロールするクリーチャー1体を破壊する。それを+3/+3の修整とゾンビを持った状態で戦場に戻す。</t>
  </si>
  <si>
    <r>
      <t>あなたがコントロールするクリーチャー1体を破壊する。それを+</t>
    </r>
    <r>
      <rPr>
        <sz val="11"/>
        <color theme="1"/>
        <rFont val="ＭＳ Ｐゴシック"/>
        <family val="3"/>
        <charset val="128"/>
        <scheme val="minor"/>
      </rPr>
      <t>2</t>
    </r>
    <r>
      <rPr>
        <sz val="11"/>
        <color theme="1"/>
        <rFont val="ＭＳ Ｐゴシック"/>
        <family val="3"/>
        <charset val="128"/>
        <scheme val="minor"/>
      </rPr>
      <t>/+2の修整とゾンビを持った状態で戦場に戻す。</t>
    </r>
    <phoneticPr fontId="4"/>
  </si>
  <si>
    <r>
      <t>あなたがコントロールするクリーチャー1体を破壊する。それを+</t>
    </r>
    <r>
      <rPr>
        <sz val="11"/>
        <color theme="1"/>
        <rFont val="ＭＳ Ｐゴシック"/>
        <family val="3"/>
        <charset val="128"/>
        <scheme val="minor"/>
      </rPr>
      <t>1</t>
    </r>
    <r>
      <rPr>
        <sz val="11"/>
        <color theme="1"/>
        <rFont val="ＭＳ Ｐゴシック"/>
        <family val="3"/>
        <charset val="128"/>
        <scheme val="minor"/>
      </rPr>
      <t>/+1の修整とゾンビを持った状態で戦場に戻す。</t>
    </r>
    <phoneticPr fontId="4"/>
  </si>
  <si>
    <t>あなたがコントロールするクリーチャー1体を破壊する。それをゾンビを持った状態で戦場に戻す。</t>
    <phoneticPr fontId="4"/>
  </si>
  <si>
    <r>
      <t>あなたがコントロールしていて最後に破壊されたゾンビを戦場に戻す。それは+</t>
    </r>
    <r>
      <rPr>
        <sz val="11"/>
        <color theme="1"/>
        <rFont val="ＭＳ Ｐゴシック"/>
        <family val="3"/>
        <charset val="128"/>
        <scheme val="minor"/>
      </rPr>
      <t>4</t>
    </r>
    <r>
      <rPr>
        <sz val="11"/>
        <color theme="1"/>
        <rFont val="ＭＳ Ｐゴシック"/>
        <family val="3"/>
        <charset val="128"/>
        <scheme val="minor"/>
      </rPr>
      <t>/+</t>
    </r>
    <r>
      <rPr>
        <sz val="11"/>
        <color theme="1"/>
        <rFont val="ＭＳ Ｐゴシック"/>
        <family val="3"/>
        <charset val="128"/>
        <scheme val="minor"/>
      </rPr>
      <t>4</t>
    </r>
    <r>
      <rPr>
        <sz val="11"/>
        <color theme="1"/>
        <rFont val="ＭＳ Ｐゴシック"/>
        <family val="3"/>
        <charset val="128"/>
        <scheme val="minor"/>
      </rPr>
      <t>の修整を受ける。</t>
    </r>
    <phoneticPr fontId="4"/>
  </si>
  <si>
    <r>
      <t>あなたがコントロールしていて最後に破壊されたゾンビを戦場に戻す。それは+</t>
    </r>
    <r>
      <rPr>
        <sz val="11"/>
        <color theme="1"/>
        <rFont val="ＭＳ Ｐゴシック"/>
        <family val="3"/>
        <charset val="128"/>
        <scheme val="minor"/>
      </rPr>
      <t>2</t>
    </r>
    <r>
      <rPr>
        <sz val="11"/>
        <color theme="1"/>
        <rFont val="ＭＳ Ｐゴシック"/>
        <family val="3"/>
        <charset val="128"/>
        <scheme val="minor"/>
      </rPr>
      <t>/+</t>
    </r>
    <r>
      <rPr>
        <sz val="11"/>
        <color theme="1"/>
        <rFont val="ＭＳ Ｐゴシック"/>
        <family val="3"/>
        <charset val="128"/>
        <scheme val="minor"/>
      </rPr>
      <t>2</t>
    </r>
    <r>
      <rPr>
        <sz val="11"/>
        <color theme="1"/>
        <rFont val="ＭＳ Ｐゴシック"/>
        <family val="3"/>
        <charset val="128"/>
        <scheme val="minor"/>
      </rPr>
      <t>の修整を受ける。</t>
    </r>
    <phoneticPr fontId="4"/>
  </si>
  <si>
    <t>あなたがコントロールしていて最後に破壊されたゾンビを戦場に戻す。</t>
    <phoneticPr fontId="4"/>
  </si>
  <si>
    <r>
      <t>「ゾンビ1体が戦場に出るたび、対戦相手は</t>
    </r>
    <r>
      <rPr>
        <sz val="11"/>
        <color theme="1"/>
        <rFont val="ＭＳ Ｐゴシック"/>
        <family val="3"/>
        <charset val="128"/>
        <scheme val="minor"/>
      </rPr>
      <t>1</t>
    </r>
    <r>
      <rPr>
        <sz val="11"/>
        <color theme="1"/>
        <rFont val="ＭＳ Ｐゴシック"/>
        <family val="3"/>
        <charset val="128"/>
        <scheme val="minor"/>
      </rPr>
      <t>点のダメージを受ける」という能力を持つサポート(シールド値3)トークンをボード上に生成する。それは強化されない。</t>
    </r>
    <phoneticPr fontId="4"/>
  </si>
  <si>
    <r>
      <t>「ゾンビ1体が戦場に出るたび、対戦相手は</t>
    </r>
    <r>
      <rPr>
        <sz val="11"/>
        <color theme="1"/>
        <rFont val="ＭＳ Ｐゴシック"/>
        <family val="3"/>
        <charset val="128"/>
        <scheme val="minor"/>
      </rPr>
      <t>2</t>
    </r>
    <r>
      <rPr>
        <sz val="11"/>
        <color theme="1"/>
        <rFont val="ＭＳ Ｐゴシック"/>
        <family val="3"/>
        <charset val="128"/>
        <scheme val="minor"/>
      </rPr>
      <t>点のダメージを受ける」という能力を持つサポート(シールド値3)トークンをボード上に生成する。それは強化されない。</t>
    </r>
    <phoneticPr fontId="4"/>
  </si>
  <si>
    <r>
      <t>「ゾンビ1体が戦場に出るたび、対戦相手は</t>
    </r>
    <r>
      <rPr>
        <sz val="11"/>
        <color theme="1"/>
        <rFont val="ＭＳ Ｐゴシック"/>
        <family val="3"/>
        <charset val="128"/>
        <scheme val="minor"/>
      </rPr>
      <t>3</t>
    </r>
    <r>
      <rPr>
        <sz val="11"/>
        <color theme="1"/>
        <rFont val="ＭＳ Ｐゴシック"/>
        <family val="3"/>
        <charset val="128"/>
        <scheme val="minor"/>
      </rPr>
      <t>点のダメージを受ける」という能力を持つサポート(シールド値3)トークンをボード上に生成する。それは強化されない。</t>
    </r>
    <phoneticPr fontId="4"/>
  </si>
  <si>
    <t>選定</t>
  </si>
  <si>
    <t>ゾンビ蘇生</t>
  </si>
  <si>
    <t>大群</t>
  </si>
  <si>
    <t>3つ目のリリアナ。[[最後の望み、リリアナ]]同様にゾンビシナジーを持つ。ただこちらはゾンビを1枚も入れずとも全てのPW能力が噛み合うようになっている。</t>
    <rPh sb="2" eb="3">
      <t>メ</t>
    </rPh>
    <rPh sb="23" eb="25">
      <t>ドウヨウ</t>
    </rPh>
    <rPh sb="34" eb="35">
      <t>モ</t>
    </rPh>
    <rPh sb="48" eb="49">
      <t>マイ</t>
    </rPh>
    <rPh sb="50" eb="51">
      <t>イ</t>
    </rPh>
    <rPh sb="55" eb="56">
      <t>スベ</t>
    </rPh>
    <rPh sb="60" eb="62">
      <t>ノウリョク</t>
    </rPh>
    <rPh sb="63" eb="64">
      <t>カ</t>
    </rPh>
    <rPh sb="65" eb="66">
      <t>ア</t>
    </rPh>
    <phoneticPr fontId="4"/>
  </si>
  <si>
    <t>**第1能力：選定の仕様</t>
    <rPh sb="7" eb="9">
      <t>センテイ</t>
    </rPh>
    <rPh sb="10" eb="12">
      <t>シヨウ</t>
    </rPh>
    <phoneticPr fontId="4"/>
  </si>
  <si>
    <t>***戻されたクリーチャーのクリーチャータイプ</t>
    <rPh sb="3" eb="4">
      <t>モド</t>
    </rPh>
    <phoneticPr fontId="4"/>
  </si>
  <si>
    <t>・</t>
    <phoneticPr fontId="4"/>
  </si>
  <si>
    <t>・戻されたクリーチャーは、クリーチャータイプ・ゾンビを保有した状態で戦場に出る。そのため、「ゾンビが戦場に出たとき」の誘発条件を持つ誘発型能力は誘発する。</t>
    <rPh sb="1" eb="2">
      <t>モド</t>
    </rPh>
    <rPh sb="27" eb="29">
      <t>ホユウ</t>
    </rPh>
    <rPh sb="31" eb="33">
      <t>ジョウタイ</t>
    </rPh>
    <rPh sb="34" eb="36">
      <t>センジョウ</t>
    </rPh>
    <rPh sb="37" eb="38">
      <t>デ</t>
    </rPh>
    <rPh sb="50" eb="52">
      <t>センジョウ</t>
    </rPh>
    <rPh sb="53" eb="54">
      <t>デ</t>
    </rPh>
    <rPh sb="59" eb="61">
      <t>ユウハツ</t>
    </rPh>
    <rPh sb="61" eb="63">
      <t>ジョウケン</t>
    </rPh>
    <rPh sb="64" eb="65">
      <t>モ</t>
    </rPh>
    <rPh sb="66" eb="69">
      <t>ユウハツガタ</t>
    </rPh>
    <rPh sb="69" eb="71">
      <t>ノウリョク</t>
    </rPh>
    <rPh sb="72" eb="74">
      <t>ユウハツ</t>
    </rPh>
    <phoneticPr fontId="4"/>
  </si>
  <si>
    <t>・戻されたクリーチャーが戦場以外の領域(手札や墓地)に移動した場合、それはクリーチャータイプ・ゾンビを保有を保有した状態で領域移動を行う。</t>
    <rPh sb="1" eb="2">
      <t>モド</t>
    </rPh>
    <rPh sb="12" eb="14">
      <t>センジョウ</t>
    </rPh>
    <rPh sb="14" eb="16">
      <t>イガイ</t>
    </rPh>
    <rPh sb="17" eb="19">
      <t>リョウイキ</t>
    </rPh>
    <rPh sb="20" eb="22">
      <t>テフダ</t>
    </rPh>
    <rPh sb="23" eb="25">
      <t>ボチ</t>
    </rPh>
    <rPh sb="27" eb="29">
      <t>イドウ</t>
    </rPh>
    <rPh sb="31" eb="33">
      <t>バアイ</t>
    </rPh>
    <rPh sb="51" eb="53">
      <t>ホユウ</t>
    </rPh>
    <rPh sb="54" eb="56">
      <t>ホユウ</t>
    </rPh>
    <rPh sb="58" eb="60">
      <t>ジョウタイ</t>
    </rPh>
    <rPh sb="61" eb="63">
      <t>リョウイキ</t>
    </rPh>
    <rPh sb="63" eb="65">
      <t>イドウ</t>
    </rPh>
    <rPh sb="66" eb="67">
      <t>オコナ</t>
    </rPh>
    <phoneticPr fontId="4"/>
  </si>
  <si>
    <t>・上記の仕様により、戻されたクリーチャーが墓地に移動したら、《[[残酷な蘇生]]》の対象になる。戻されたクリーチャーが手札に戻されたら、次にそのクリーチャーカードを唱える時は「ゾンビ・クリーチャー(もちろん他のタイプを保有したまま)を唱えた」事となる。</t>
    <rPh sb="1" eb="3">
      <t>ジョウキ</t>
    </rPh>
    <rPh sb="4" eb="6">
      <t>シヨウ</t>
    </rPh>
    <rPh sb="10" eb="11">
      <t>モド</t>
    </rPh>
    <rPh sb="21" eb="23">
      <t>ボチ</t>
    </rPh>
    <rPh sb="24" eb="26">
      <t>イドウ</t>
    </rPh>
    <rPh sb="42" eb="44">
      <t>タイショウ</t>
    </rPh>
    <rPh sb="48" eb="49">
      <t>モド</t>
    </rPh>
    <rPh sb="59" eb="61">
      <t>テフダ</t>
    </rPh>
    <rPh sb="62" eb="63">
      <t>モド</t>
    </rPh>
    <rPh sb="68" eb="69">
      <t>ツギ</t>
    </rPh>
    <rPh sb="82" eb="83">
      <t>トナ</t>
    </rPh>
    <rPh sb="85" eb="86">
      <t>トキ</t>
    </rPh>
    <rPh sb="103" eb="104">
      <t>タ</t>
    </rPh>
    <rPh sb="109" eb="111">
      <t>ホユウ</t>
    </rPh>
    <rPh sb="117" eb="118">
      <t>トナ</t>
    </rPh>
    <rPh sb="121" eb="122">
      <t>コト</t>
    </rPh>
    <phoneticPr fontId="4"/>
  </si>
  <si>
    <t>***戻されたクリーチャーの補強</t>
    <rPh sb="3" eb="4">
      <t>モド</t>
    </rPh>
    <rPh sb="14" eb="16">
      <t>ホキョウ</t>
    </rPh>
    <phoneticPr fontId="4"/>
  </si>
  <si>
    <t>・戻されたクリーチャーと同名のカードが戦場で永続コントロールされている場合、それはクリーチャータイプが異なっていても補強される。</t>
    <rPh sb="1" eb="2">
      <t>モド</t>
    </rPh>
    <rPh sb="12" eb="14">
      <t>ドウメイ</t>
    </rPh>
    <rPh sb="19" eb="21">
      <t>センジョウ</t>
    </rPh>
    <rPh sb="22" eb="24">
      <t>エイゾク</t>
    </rPh>
    <rPh sb="35" eb="37">
      <t>バアイ</t>
    </rPh>
    <rPh sb="51" eb="52">
      <t>コト</t>
    </rPh>
    <rPh sb="58" eb="60">
      <t>ホキョウ</t>
    </rPh>
    <phoneticPr fontId="4"/>
  </si>
  <si>
    <t>・補強後のクリーチャータイプは、補強元のクリーチャータイプに依存する。</t>
    <rPh sb="1" eb="3">
      <t>ホキョウ</t>
    </rPh>
    <rPh sb="3" eb="4">
      <t>ゴ</t>
    </rPh>
    <rPh sb="16" eb="18">
      <t>ホキョウ</t>
    </rPh>
    <rPh sb="18" eb="19">
      <t>モト</t>
    </rPh>
    <rPh sb="30" eb="32">
      <t>イゾン</t>
    </rPh>
    <phoneticPr fontId="4"/>
  </si>
  <si>
    <t>｜</t>
    <phoneticPr fontId="4"/>
  </si>
  <si>
    <t>当項目では第1能力によって戦場に出たクリーチャーの事を「戻されたクリーチャー」と定義する。また前提として、ゾンビ出ないクリーチャーを第1能力の対象にした場合の話とする。</t>
    <rPh sb="0" eb="1">
      <t>トウ</t>
    </rPh>
    <rPh sb="1" eb="3">
      <t>コウモク</t>
    </rPh>
    <rPh sb="5" eb="6">
      <t>ダイ</t>
    </rPh>
    <rPh sb="7" eb="9">
      <t>ノウリョク</t>
    </rPh>
    <rPh sb="13" eb="15">
      <t>センジョウ</t>
    </rPh>
    <rPh sb="16" eb="17">
      <t>デ</t>
    </rPh>
    <rPh sb="25" eb="26">
      <t>コト</t>
    </rPh>
    <rPh sb="28" eb="29">
      <t>モド</t>
    </rPh>
    <rPh sb="40" eb="42">
      <t>テイギ</t>
    </rPh>
    <rPh sb="47" eb="49">
      <t>ゼンテイ</t>
    </rPh>
    <rPh sb="56" eb="57">
      <t>デ</t>
    </rPh>
    <rPh sb="66" eb="67">
      <t>ダイ</t>
    </rPh>
    <rPh sb="68" eb="70">
      <t>ノウリョク</t>
    </rPh>
    <rPh sb="71" eb="73">
      <t>タイショウ</t>
    </rPh>
    <rPh sb="76" eb="78">
      <t>バアイ</t>
    </rPh>
    <rPh sb="79" eb="80">
      <t>ハナシ</t>
    </rPh>
    <phoneticPr fontId="4"/>
  </si>
  <si>
    <t>→戦場に通常のクリーチャーがいる状態で第1能力を使用した場合、それはゾンビを持たない。</t>
    <rPh sb="1" eb="3">
      <t>センジョウ</t>
    </rPh>
    <rPh sb="4" eb="6">
      <t>ツウジョウ</t>
    </rPh>
    <rPh sb="16" eb="18">
      <t>ジョウタイ</t>
    </rPh>
    <rPh sb="19" eb="20">
      <t>ダイ</t>
    </rPh>
    <rPh sb="21" eb="23">
      <t>ノウリョク</t>
    </rPh>
    <rPh sb="24" eb="26">
      <t>シヨウ</t>
    </rPh>
    <rPh sb="28" eb="30">
      <t>バアイ</t>
    </rPh>
    <rPh sb="38" eb="39">
      <t>モ</t>
    </rPh>
    <phoneticPr fontId="4"/>
  </si>
  <si>
    <t>第1能力で戦場に戻したクリーチャーは、以降どの領域に移動してもクリーチャータイプ・ゾンビを保有し続ける。その他細かい仕様は本ページ下部個別項目にて解説。</t>
    <rPh sb="0" eb="1">
      <t>ダイ</t>
    </rPh>
    <rPh sb="2" eb="4">
      <t>ノウリョク</t>
    </rPh>
    <rPh sb="5" eb="7">
      <t>センジョウ</t>
    </rPh>
    <rPh sb="8" eb="9">
      <t>モド</t>
    </rPh>
    <rPh sb="19" eb="21">
      <t>イコウ</t>
    </rPh>
    <rPh sb="23" eb="25">
      <t>リョウイキ</t>
    </rPh>
    <rPh sb="26" eb="28">
      <t>イドウ</t>
    </rPh>
    <rPh sb="45" eb="47">
      <t>ホユウ</t>
    </rPh>
    <rPh sb="48" eb="49">
      <t>ツヅ</t>
    </rPh>
    <rPh sb="54" eb="55">
      <t>タ</t>
    </rPh>
    <rPh sb="55" eb="56">
      <t>コマ</t>
    </rPh>
    <rPh sb="58" eb="60">
      <t>シヨウ</t>
    </rPh>
    <rPh sb="61" eb="62">
      <t>ホン</t>
    </rPh>
    <rPh sb="65" eb="67">
      <t>カブ</t>
    </rPh>
    <rPh sb="67" eb="69">
      <t>コベツ</t>
    </rPh>
    <rPh sb="69" eb="71">
      <t>コウモク</t>
    </rPh>
    <rPh sb="73" eb="75">
      <t>カイセツ</t>
    </rPh>
    <phoneticPr fontId="4"/>
  </si>
  <si>
    <t>→戦場に戻されたクリーチャーがいる状態で通常のクリーチャーを唱えた場合、それはゾンビを持つ。</t>
    <rPh sb="1" eb="3">
      <t>センジョウ</t>
    </rPh>
    <rPh sb="4" eb="5">
      <t>モド</t>
    </rPh>
    <rPh sb="17" eb="19">
      <t>ジョウタイ</t>
    </rPh>
    <rPh sb="20" eb="22">
      <t>ツウジョウ</t>
    </rPh>
    <rPh sb="30" eb="31">
      <t>トナ</t>
    </rPh>
    <rPh sb="33" eb="35">
      <t>バアイ</t>
    </rPh>
    <rPh sb="43" eb="44">
      <t>モ</t>
    </rPh>
    <phoneticPr fontId="4"/>
  </si>
  <si>
    <t>&amp;link_anchor(Trigger_CIP,page=能力){CIP能力}の誘発条件は補強元のクリーチャータイプに依存する。</t>
    <rPh sb="41" eb="43">
      <t>ユウハツ</t>
    </rPh>
    <rPh sb="43" eb="45">
      <t>ジョウケン</t>
    </rPh>
    <rPh sb="46" eb="48">
      <t>ホキョウ</t>
    </rPh>
    <rPh sb="48" eb="49">
      <t>モト</t>
    </rPh>
    <rPh sb="60" eb="62">
      <t>イゾン</t>
    </rPh>
    <phoneticPr fontId="4"/>
  </si>
  <si>
    <t>→戦場に通常のクリーチャーがいる状態で第1能力を使用した場合、それは「ゾンビが戦場に出たとき」の誘発条件を持つ誘発型能力は誘発しない。</t>
    <rPh sb="1" eb="3">
      <t>センジョウ</t>
    </rPh>
    <rPh sb="4" eb="6">
      <t>ツウジョウ</t>
    </rPh>
    <rPh sb="16" eb="18">
      <t>ジョウタイ</t>
    </rPh>
    <rPh sb="19" eb="20">
      <t>ダイ</t>
    </rPh>
    <rPh sb="21" eb="23">
      <t>ノウリョク</t>
    </rPh>
    <rPh sb="24" eb="26">
      <t>シヨウ</t>
    </rPh>
    <rPh sb="28" eb="30">
      <t>バアイ</t>
    </rPh>
    <phoneticPr fontId="4"/>
  </si>
  <si>
    <t>→戦場に戻されたクリーチャーがいる状態で通常のクリーチャーを唱えた場合、それは「ゾンビが戦場に出たとき」の誘発条件を持つ誘発型能力は誘発する。</t>
    <rPh sb="1" eb="3">
      <t>センジョウ</t>
    </rPh>
    <rPh sb="4" eb="5">
      <t>モド</t>
    </rPh>
    <rPh sb="17" eb="19">
      <t>ジョウタイ</t>
    </rPh>
    <rPh sb="20" eb="22">
      <t>ツウジョウ</t>
    </rPh>
    <rPh sb="30" eb="31">
      <t>トナ</t>
    </rPh>
    <rPh sb="33" eb="35">
      <t>バアイ</t>
    </rPh>
    <phoneticPr fontId="4"/>
  </si>
  <si>
    <t>残酷な蘇生</t>
    <rPh sb="0" eb="2">
      <t>ザンコク</t>
    </rPh>
    <rPh sb="3" eb="5">
      <t>ソセイ</t>
    </rPh>
    <phoneticPr fontId="4"/>
  </si>
  <si>
    <t>第1能力との相性が良い。本ページ下部の項目でも解説しているが、第1能力でゾンビを持たせたクリーチャーが死亡した場合、このカードで戻すことが可能となる。</t>
    <rPh sb="0" eb="1">
      <t>ダイ</t>
    </rPh>
    <rPh sb="2" eb="4">
      <t>ノウリョク</t>
    </rPh>
    <rPh sb="6" eb="8">
      <t>アイショウ</t>
    </rPh>
    <rPh sb="9" eb="10">
      <t>ヨ</t>
    </rPh>
    <rPh sb="12" eb="13">
      <t>ホン</t>
    </rPh>
    <rPh sb="16" eb="18">
      <t>カブ</t>
    </rPh>
    <rPh sb="19" eb="21">
      <t>コウモク</t>
    </rPh>
    <rPh sb="23" eb="25">
      <t>カイセツ</t>
    </rPh>
    <rPh sb="31" eb="32">
      <t>ダイ</t>
    </rPh>
    <rPh sb="33" eb="35">
      <t>ノウリョク</t>
    </rPh>
    <rPh sb="40" eb="41">
      <t>モ</t>
    </rPh>
    <rPh sb="51" eb="53">
      <t>シボウ</t>
    </rPh>
    <rPh sb="55" eb="57">
      <t>バアイ</t>
    </rPh>
    <rPh sb="64" eb="65">
      <t>モド</t>
    </rPh>
    <rPh sb="69" eb="71">
      <t>カノウ</t>
    </rPh>
    <phoneticPr fontId="4"/>
  </si>
  <si>
    <r>
      <t>&amp;link_anchor(Trigger_CIP,page=能力){CIP能力}を持つクリーチャー全般：第</t>
    </r>
    <r>
      <rPr>
        <sz val="11"/>
        <color theme="1"/>
        <rFont val="ＭＳ Ｐゴシック"/>
        <family val="3"/>
        <charset val="128"/>
        <scheme val="minor"/>
      </rPr>
      <t>1</t>
    </r>
    <r>
      <rPr>
        <sz val="11"/>
        <color theme="1"/>
        <rFont val="ＭＳ Ｐゴシック"/>
        <family val="3"/>
        <charset val="128"/>
        <scheme val="minor"/>
      </rPr>
      <t>能力との相性が良い。改めて戦場に出るため、</t>
    </r>
    <r>
      <rPr>
        <sz val="11"/>
        <color theme="1"/>
        <rFont val="ＭＳ Ｐゴシック"/>
        <family val="3"/>
        <charset val="128"/>
        <scheme val="minor"/>
      </rPr>
      <t>CIP能力を使いまわせる。</t>
    </r>
    <rPh sb="41" eb="42">
      <t>モ</t>
    </rPh>
    <rPh sb="49" eb="51">
      <t>ゼンパン</t>
    </rPh>
    <rPh sb="52" eb="53">
      <t>ダイ</t>
    </rPh>
    <rPh sb="54" eb="56">
      <t>ノウリョク</t>
    </rPh>
    <rPh sb="58" eb="60">
      <t>アイショウ</t>
    </rPh>
    <rPh sb="61" eb="62">
      <t>ヨ</t>
    </rPh>
    <rPh sb="64" eb="65">
      <t>アラタ</t>
    </rPh>
    <rPh sb="67" eb="69">
      <t>センジョウ</t>
    </rPh>
    <rPh sb="70" eb="71">
      <t>デ</t>
    </rPh>
    <rPh sb="78" eb="80">
      <t>ノウリョク</t>
    </rPh>
    <rPh sb="81" eb="82">
      <t>ツカ</t>
    </rPh>
    <phoneticPr fontId="4"/>
  </si>
  <si>
    <t>&amp;link_anchor(Trigger_Die,page=能力){死亡誘発}を持つクリーチャー全般：第1能力との相性が良い。死亡→戦場に出るをするため、能動的に死亡誘発を行わせることができる。</t>
    <rPh sb="34" eb="36">
      <t>シボウ</t>
    </rPh>
    <rPh sb="36" eb="38">
      <t>ユウハツ</t>
    </rPh>
    <rPh sb="40" eb="41">
      <t>モ</t>
    </rPh>
    <rPh sb="48" eb="50">
      <t>ゼンパン</t>
    </rPh>
    <rPh sb="51" eb="52">
      <t>ダイ</t>
    </rPh>
    <rPh sb="53" eb="55">
      <t>ノウリョク</t>
    </rPh>
    <rPh sb="57" eb="59">
      <t>アイショウ</t>
    </rPh>
    <rPh sb="60" eb="61">
      <t>ヨ</t>
    </rPh>
    <rPh sb="63" eb="65">
      <t>シボウ</t>
    </rPh>
    <rPh sb="66" eb="68">
      <t>センジョウ</t>
    </rPh>
    <rPh sb="69" eb="70">
      <t>デ</t>
    </rPh>
    <rPh sb="77" eb="80">
      <t>ノウドウテキ</t>
    </rPh>
    <rPh sb="81" eb="83">
      <t>シボウ</t>
    </rPh>
    <rPh sb="83" eb="85">
      <t>ユウハツ</t>
    </rPh>
    <rPh sb="86" eb="87">
      <t>オコナ</t>
    </rPh>
    <phoneticPr fontId="4"/>
  </si>
  <si>
    <t>むら気な召使い</t>
  </si>
  <si>
    <t>ゾンビシナジーの中でもPW能力のどれにでも相性が良い。</t>
    <rPh sb="8" eb="9">
      <t>ナカ</t>
    </rPh>
    <rPh sb="13" eb="15">
      <t>ノウリョク</t>
    </rPh>
    <rPh sb="21" eb="23">
      <t>アイショウ</t>
    </rPh>
    <rPh sb="24" eb="25">
      <t>ヨ</t>
    </rPh>
    <phoneticPr fontId="4"/>
  </si>
  <si>
    <t>[[バーサーカー持ちクリーチャー&gt;バーサーカー一覧]]:第1能力で二段攻撃が持たせて一方的に攻撃できるため相性が良い。</t>
  </si>
  <si>
    <t>[[先制攻撃、二段攻撃持ちクリーチャー&gt;先制/二段攻撃一覧]]:同様に、第2能力で加虐/バーサーカー/トランプルを持たせて一方的に攻撃できるため相性が良い。</t>
  </si>
  <si>
    <t>蓋世の英雄の短剣</t>
  </si>
  <si>
    <t>HOU</t>
  </si>
  <si>
    <t>第2能力で加虐を重複させれるため、相性が良い。</t>
  </si>
  <si>
    <t>既に赤緑PWとして存在している[[アーリン・コード]]と比べると、マナボーナスが他色にマイナス付いている代わりに自色が+5からのため、自色が消せた時の爆発力はアーリンより高い。緑絡みのPWのため、なおさら自色での爆発力が期待できる。</t>
  </si>
  <si>
    <t>攻撃の巧者</t>
  </si>
  <si>
    <t>Striker</t>
  </si>
  <si>
    <t>あなたがコントロールするクリーチャー1体を対象とする。ターン終了時までそれは+2/+2の修整と[[二段攻撃&gt;先制攻撃：二段攻撃]]を得る。</t>
  </si>
  <si>
    <t>加虐行為</t>
  </si>
  <si>
    <t>Affliction</t>
  </si>
  <si>
    <t>あなたがコントロールする各クリーチャーは[[加虐]]と[[バーサーカー]]と[[トランプル]]を得る。これにより得る加虐は重複する。</t>
  </si>
  <si>
    <t>力試し</t>
  </si>
  <si>
    <t>Test of Might</t>
  </si>
  <si>
    <t>「あなたがコントロールするクリーチャーが攻撃するたびに、対戦相手は8点のダメージを受ける」という能力を持つサポートトークン(シールド値3)を生成する。</t>
  </si>
  <si>
    <t>あなたがコントロールするクリーチャー1体を対象とする。ターン終了時までそれは[[先制攻撃&gt;先制攻撃：二段攻撃]]を得る。</t>
    <rPh sb="40" eb="42">
      <t>センセイ</t>
    </rPh>
    <phoneticPr fontId="4"/>
  </si>
  <si>
    <t>「あなたがコントロールするクリーチャーが攻撃するたびに、対戦相手は2点のダメージを受ける」という能力を持つサポートトークン(シールド値3)を生成する。</t>
    <phoneticPr fontId="4"/>
  </si>
  <si>
    <t>「あなたがコントロールするクリーチャーが攻撃するたびに、対戦相手は4点のダメージを受ける」という能力を持つサポートトークン(シールド値3)を生成する。</t>
    <phoneticPr fontId="4"/>
  </si>
  <si>
    <t>「あなたがコントロールするクリーチャーが攻撃するたびに、対戦相手は6点のダメージを受ける」という能力を持つサポートトークン(シールド値3)を生成する。</t>
    <phoneticPr fontId="4"/>
  </si>
  <si>
    <t>あなたがコントロールするクリーチャー1体を対象とする。ターン終了時までそれは[[二段攻撃&gt;先制攻撃：二段攻撃]]を得る。</t>
    <phoneticPr fontId="4"/>
  </si>
  <si>
    <t>あなたがコントロールするクリーチャー1体を対象とし、それは[[加虐]]を得る。これにより得る加虐は重複する。</t>
    <rPh sb="19" eb="20">
      <t>タイ</t>
    </rPh>
    <rPh sb="21" eb="23">
      <t>タイショウ</t>
    </rPh>
    <phoneticPr fontId="4"/>
  </si>
  <si>
    <t>あなたがコントロールするクリーチャー1体を対象とし、それは[[加虐]]と[[バーサーカー]]を得る。これにより得る加虐は重複する。</t>
    <phoneticPr fontId="4"/>
  </si>
  <si>
    <r>
      <t>あなたがコントロールするクリーチャー1体を対象とする。ターン終了時までそれは+</t>
    </r>
    <r>
      <rPr>
        <sz val="11"/>
        <color theme="1"/>
        <rFont val="ＭＳ Ｐゴシック"/>
        <family val="3"/>
        <charset val="128"/>
        <scheme val="minor"/>
      </rPr>
      <t>1</t>
    </r>
    <r>
      <rPr>
        <sz val="11"/>
        <color theme="1"/>
        <rFont val="ＭＳ Ｐゴシック"/>
        <family val="3"/>
        <charset val="128"/>
        <scheme val="minor"/>
      </rPr>
      <t>/+</t>
    </r>
    <r>
      <rPr>
        <sz val="11"/>
        <color theme="1"/>
        <rFont val="ＭＳ Ｐゴシック"/>
        <family val="3"/>
        <charset val="128"/>
        <scheme val="minor"/>
      </rPr>
      <t>1</t>
    </r>
    <r>
      <rPr>
        <sz val="11"/>
        <color theme="1"/>
        <rFont val="ＭＳ Ｐゴシック"/>
        <family val="3"/>
        <charset val="128"/>
        <scheme val="minor"/>
      </rPr>
      <t>の修整と[[二段攻撃&gt;先制攻撃：二段攻撃]]を得る。</t>
    </r>
    <phoneticPr fontId="4"/>
  </si>
  <si>
    <t>あなたがコントロールするクリーチャー1体を対象とし、それは[[加虐]]と[[バーサーカー]]と[[トランプル]]を得る。これにより得る加虐は重複する。</t>
    <phoneticPr fontId="4"/>
  </si>
  <si>
    <t>手綱</t>
  </si>
  <si>
    <t>Harness</t>
  </si>
  <si>
    <t>自分の最初の手札に3マナ、それ以外の自分の各手札は1マナ得る。</t>
  </si>
  <si>
    <r>
      <t>自分の[</t>
    </r>
    <r>
      <rPr>
        <sz val="11"/>
        <color theme="1"/>
        <rFont val="ＭＳ Ｐゴシック"/>
        <family val="3"/>
        <charset val="128"/>
        <scheme val="minor"/>
      </rPr>
      <t>[サイクリング]]を持たない</t>
    </r>
    <r>
      <rPr>
        <sz val="11"/>
        <color theme="1"/>
        <rFont val="ＭＳ Ｐゴシック"/>
        <family val="3"/>
        <charset val="128"/>
        <scheme val="minor"/>
      </rPr>
      <t>最初の手札は3マナ得る。</t>
    </r>
    <rPh sb="14" eb="15">
      <t>モ</t>
    </rPh>
    <phoneticPr fontId="5"/>
  </si>
  <si>
    <r>
      <t>自分の</t>
    </r>
    <r>
      <rPr>
        <sz val="11"/>
        <color theme="1"/>
        <rFont val="ＭＳ Ｐゴシック"/>
        <family val="3"/>
        <charset val="128"/>
        <scheme val="minor"/>
      </rPr>
      <t>最初の手札は3マナ得る。</t>
    </r>
    <phoneticPr fontId="5"/>
  </si>
  <si>
    <r>
      <t>自分の最初の手札に3マナ、他の</t>
    </r>
    <r>
      <rPr>
        <sz val="11"/>
        <color theme="1"/>
        <rFont val="ＭＳ Ｐゴシック"/>
        <family val="3"/>
        <charset val="128"/>
        <scheme val="minor"/>
      </rPr>
      <t>[[</t>
    </r>
    <r>
      <rPr>
        <sz val="11"/>
        <color theme="1"/>
        <rFont val="ＭＳ Ｐゴシック"/>
        <family val="3"/>
        <charset val="128"/>
        <scheme val="minor"/>
      </rPr>
      <t>サイクリング</t>
    </r>
    <r>
      <rPr>
        <sz val="11"/>
        <color theme="1"/>
        <rFont val="ＭＳ Ｐゴシック"/>
        <family val="3"/>
        <charset val="128"/>
        <scheme val="minor"/>
      </rPr>
      <t>]]</t>
    </r>
    <r>
      <rPr>
        <sz val="11"/>
        <color theme="1"/>
        <rFont val="ＭＳ Ｐゴシック"/>
        <family val="3"/>
        <charset val="128"/>
        <scheme val="minor"/>
      </rPr>
      <t>を持たない各手札は1マナ得る。</t>
    </r>
    <rPh sb="13" eb="14">
      <t>タ</t>
    </rPh>
    <phoneticPr fontId="5"/>
  </si>
  <si>
    <t>落葉</t>
  </si>
  <si>
    <t>Shed</t>
  </si>
  <si>
    <r>
      <t>[[サイクリング]]を持たない各手札はサイクリング</t>
    </r>
    <r>
      <rPr>
        <sz val="11"/>
        <color theme="1"/>
        <rFont val="ＭＳ Ｐゴシック"/>
        <family val="3"/>
        <charset val="128"/>
        <scheme val="minor"/>
      </rPr>
      <t>4</t>
    </r>
    <r>
      <rPr>
        <sz val="11"/>
        <color theme="1"/>
        <rFont val="ＭＳ Ｐゴシック"/>
        <family val="3"/>
        <charset val="128"/>
        <scheme val="minor"/>
      </rPr>
      <t>を得る。</t>
    </r>
    <phoneticPr fontId="5"/>
  </si>
  <si>
    <r>
      <t>[[サイクリング]]を持たない各手札はサイクリング3</t>
    </r>
    <r>
      <rPr>
        <sz val="11"/>
        <color theme="1"/>
        <rFont val="ＭＳ Ｐゴシック"/>
        <family val="3"/>
        <charset val="128"/>
        <scheme val="minor"/>
      </rPr>
      <t>を得る。</t>
    </r>
    <phoneticPr fontId="5"/>
  </si>
  <si>
    <r>
      <t>[[サイクリング]]を持たない各手札はサイクリング</t>
    </r>
    <r>
      <rPr>
        <sz val="11"/>
        <color theme="1"/>
        <rFont val="ＭＳ Ｐゴシック"/>
        <family val="3"/>
        <charset val="128"/>
        <scheme val="minor"/>
      </rPr>
      <t>2を得る。</t>
    </r>
    <r>
      <rPr>
        <sz val="11"/>
        <color theme="1"/>
        <rFont val="ＭＳ Ｐゴシック"/>
        <family val="3"/>
        <charset val="128"/>
        <scheme val="minor"/>
      </rPr>
      <t/>
    </r>
  </si>
  <si>
    <r>
      <t>[[サイクリング]]を持たない各手札はサイクリング1を得る。</t>
    </r>
    <r>
      <rPr>
        <sz val="11"/>
        <color theme="1"/>
        <rFont val="ＭＳ Ｐゴシック"/>
        <family val="3"/>
        <charset val="128"/>
        <scheme val="minor"/>
      </rPr>
      <t/>
    </r>
  </si>
  <si>
    <t>熱望</t>
  </si>
  <si>
    <t>Aspire</t>
  </si>
  <si>
    <t>「あなたがサイクリングするたびに、あなたの各手札は2マナ得ると共にあなたのコントロールする各クリーチャーは+4/+4の修整を得る」という能力を持つサポートトークン(シールド値3）を生成する。</t>
  </si>
  <si>
    <r>
      <t>「あなたがサイクリングするたびに、あなたの各手札は1マナ得ると共にあなたのコントロールする各クリーチャーは+</t>
    </r>
    <r>
      <rPr>
        <sz val="11"/>
        <color theme="1"/>
        <rFont val="ＭＳ Ｐゴシック"/>
        <family val="3"/>
        <charset val="128"/>
        <scheme val="minor"/>
      </rPr>
      <t>1/+1</t>
    </r>
    <r>
      <rPr>
        <sz val="11"/>
        <color theme="1"/>
        <rFont val="ＭＳ Ｐゴシック"/>
        <family val="3"/>
        <charset val="128"/>
        <scheme val="minor"/>
      </rPr>
      <t>修整を得る」という能力を持つサポートトークン(シールド値3）を生成する。</t>
    </r>
    <phoneticPr fontId="5"/>
  </si>
  <si>
    <r>
      <t>「あなたがサイクリングするたびに、あなたの各手札は2マナ得ると共にあなたのコントロールする各クリーチャーは+</t>
    </r>
    <r>
      <rPr>
        <sz val="11"/>
        <color theme="1"/>
        <rFont val="ＭＳ Ｐゴシック"/>
        <family val="3"/>
        <charset val="128"/>
        <scheme val="minor"/>
      </rPr>
      <t>3/+3</t>
    </r>
    <r>
      <rPr>
        <sz val="11"/>
        <color theme="1"/>
        <rFont val="ＭＳ Ｐゴシック"/>
        <family val="3"/>
        <charset val="128"/>
        <scheme val="minor"/>
      </rPr>
      <t>の修整を得る」という能力を持つサポートトークン(シールド値3）を生成する。</t>
    </r>
    <phoneticPr fontId="5"/>
  </si>
  <si>
    <r>
      <t>「あなたがサイクリングするたびに、あなたの各手札は1マナ得ると共にあなたのコントロールする各クリーチャーは+2/+2</t>
    </r>
    <r>
      <rPr>
        <sz val="11"/>
        <color theme="1"/>
        <rFont val="ＭＳ Ｐゴシック"/>
        <family val="3"/>
        <charset val="128"/>
        <scheme val="minor"/>
      </rPr>
      <t>の修整を得る」という能力を持つサポートトークン(シールド値3）を生成する。</t>
    </r>
    <phoneticPr fontId="5"/>
  </si>
  <si>
    <t>対戦相手がコントロールするクリーチャー1体を対象とし、それを破壊する。</t>
    <rPh sb="20" eb="21">
      <t>タイ</t>
    </rPh>
    <rPh sb="22" eb="24">
      <t>タイショウ</t>
    </rPh>
    <rPh sb="30" eb="32">
      <t>ハカイ</t>
    </rPh>
    <phoneticPr fontId="4"/>
  </si>
  <si>
    <t>あなたの墓地に置かれた最後のクリーチャーはゾンビを得て戦場に戻る。その後、対戦相手はX点のダメージを受ける。Xはあなたがコントロールするゾンビの総数の9倍に等しい。</t>
  </si>
  <si>
    <t>Scorpion's Sting</t>
  </si>
  <si>
    <t>Plague of Locusts</t>
  </si>
  <si>
    <t>Call of the Scarab</t>
  </si>
  <si>
    <t>対戦相手がコントロールするクリーチャー1体を対象とし、-1/-1の修正を与える。</t>
    <rPh sb="20" eb="21">
      <t>タイ</t>
    </rPh>
    <rPh sb="22" eb="24">
      <t>タイショウ</t>
    </rPh>
    <rPh sb="33" eb="35">
      <t>シュウセイ</t>
    </rPh>
    <rPh sb="36" eb="37">
      <t>アタ</t>
    </rPh>
    <phoneticPr fontId="4"/>
  </si>
  <si>
    <t>対戦相手がコントロールするクリーチャー1体を対象とし、-2/-2の修正を与える。</t>
    <rPh sb="20" eb="21">
      <t>タイ</t>
    </rPh>
    <rPh sb="22" eb="24">
      <t>タイショウ</t>
    </rPh>
    <rPh sb="33" eb="35">
      <t>シュウセイ</t>
    </rPh>
    <rPh sb="36" eb="37">
      <t>アタ</t>
    </rPh>
    <phoneticPr fontId="4"/>
  </si>
  <si>
    <t>対戦相手がコントロールするクリーチャー1体を対象とし、-3/-3の修正を与える。</t>
    <rPh sb="20" eb="21">
      <t>タイ</t>
    </rPh>
    <rPh sb="22" eb="24">
      <t>タイショウ</t>
    </rPh>
    <rPh sb="33" eb="35">
      <t>シュウセイ</t>
    </rPh>
    <rPh sb="36" eb="37">
      <t>アタ</t>
    </rPh>
    <phoneticPr fontId="4"/>
  </si>
  <si>
    <r>
      <t>あなたはカードを1枚引き、2/2のゾンビ・トークンを</t>
    </r>
    <r>
      <rPr>
        <sz val="11"/>
        <color theme="1"/>
        <rFont val="ＭＳ Ｐゴシック"/>
        <family val="3"/>
        <charset val="128"/>
        <scheme val="minor"/>
      </rPr>
      <t>1</t>
    </r>
    <r>
      <rPr>
        <sz val="11"/>
        <color theme="1"/>
        <rFont val="ＭＳ Ｐゴシック"/>
        <family val="3"/>
        <charset val="128"/>
        <scheme val="minor"/>
      </rPr>
      <t>体召喚する</t>
    </r>
    <phoneticPr fontId="4"/>
  </si>
  <si>
    <r>
      <t>あなたはカードを</t>
    </r>
    <r>
      <rPr>
        <sz val="11"/>
        <color theme="1"/>
        <rFont val="ＭＳ Ｐゴシック"/>
        <family val="3"/>
        <charset val="128"/>
        <scheme val="minor"/>
      </rPr>
      <t>1</t>
    </r>
    <r>
      <rPr>
        <sz val="11"/>
        <color theme="1"/>
        <rFont val="ＭＳ Ｐゴシック"/>
        <family val="3"/>
        <charset val="128"/>
        <scheme val="minor"/>
      </rPr>
      <t>枚引き、2/2のゾンビ・トークンを</t>
    </r>
    <r>
      <rPr>
        <sz val="11"/>
        <color theme="1"/>
        <rFont val="ＭＳ Ｐゴシック"/>
        <family val="3"/>
        <charset val="128"/>
        <scheme val="minor"/>
      </rPr>
      <t>2</t>
    </r>
    <r>
      <rPr>
        <sz val="11"/>
        <color theme="1"/>
        <rFont val="ＭＳ Ｐゴシック"/>
        <family val="3"/>
        <charset val="128"/>
        <scheme val="minor"/>
      </rPr>
      <t>体召喚する</t>
    </r>
    <phoneticPr fontId="4"/>
  </si>
  <si>
    <r>
      <t>あなたはカードを2枚引き、2/2のゾンビ・トークンを</t>
    </r>
    <r>
      <rPr>
        <sz val="11"/>
        <color theme="1"/>
        <rFont val="ＭＳ Ｐゴシック"/>
        <family val="3"/>
        <charset val="128"/>
        <scheme val="minor"/>
      </rPr>
      <t>3</t>
    </r>
    <r>
      <rPr>
        <sz val="11"/>
        <color theme="1"/>
        <rFont val="ＭＳ Ｐゴシック"/>
        <family val="3"/>
        <charset val="128"/>
        <scheme val="minor"/>
      </rPr>
      <t>体召喚する</t>
    </r>
    <phoneticPr fontId="4"/>
  </si>
  <si>
    <t>あなたの墓地に置かれた最後のクリーチャーはゾンビを得て戦場に戻る。その後、対戦相手はX点のダメージを受ける。Xはあなたがコントロールするゾンビの総数に等しい。</t>
    <phoneticPr fontId="4"/>
  </si>
  <si>
    <r>
      <t>あなたの墓地に置かれた最後のクリーチャーはゾンビを得て戦場に戻る。その後、対戦相手はX点のダメージを受ける。Xはあなたがコントロールするゾンビの総数の</t>
    </r>
    <r>
      <rPr>
        <sz val="11"/>
        <color theme="1"/>
        <rFont val="ＭＳ Ｐゴシック"/>
        <family val="3"/>
        <charset val="128"/>
        <scheme val="minor"/>
      </rPr>
      <t>3</t>
    </r>
    <r>
      <rPr>
        <sz val="11"/>
        <color theme="1"/>
        <rFont val="ＭＳ Ｐゴシック"/>
        <family val="3"/>
        <charset val="128"/>
        <scheme val="minor"/>
      </rPr>
      <t>倍に等しい。</t>
    </r>
    <phoneticPr fontId="4"/>
  </si>
  <si>
    <r>
      <t>あなたの墓地に置かれた最後のクリーチャーはゾンビを得て戦場に戻る。その後、対戦相手はX点のダメージを受ける。Xはあなたがコントロールするゾンビの総数の</t>
    </r>
    <r>
      <rPr>
        <sz val="11"/>
        <color theme="1"/>
        <rFont val="ＭＳ Ｐゴシック"/>
        <family val="3"/>
        <charset val="128"/>
        <scheme val="minor"/>
      </rPr>
      <t>6</t>
    </r>
    <r>
      <rPr>
        <sz val="11"/>
        <color theme="1"/>
        <rFont val="ＭＳ Ｐゴシック"/>
        <family val="3"/>
        <charset val="128"/>
        <scheme val="minor"/>
      </rPr>
      <t>倍に等しい。</t>
    </r>
    <phoneticPr fontId="4"/>
  </si>
  <si>
    <t>要求経験値が高いがその分早い段階(Lv44)で各自色+3が揃うため、LvMAXにしなくても多少運用可能となる。</t>
  </si>
  <si>
    <t>PW能力のLvアップも比較的他のPWより早い。Lv60で第3能力Lv4にならないPWは初。</t>
  </si>
  <si>
    <t>第1能力が非常に強力。LV1～3の時点でも永続マイナス修正のため、非常に厄介。</t>
  </si>
  <si>
    <t>ver2.2.5でとうとう現れた3色PW。</t>
  </si>
  <si>
    <t>あなたがコントロールするクリーチャーのパワーの最小値に等しいライフを得る。</t>
    <rPh sb="23" eb="26">
      <t>サイショウチ</t>
    </rPh>
    <rPh sb="27" eb="28">
      <t>ヒト</t>
    </rPh>
    <rPh sb="34" eb="35">
      <t>エ</t>
    </rPh>
    <phoneticPr fontId="4"/>
  </si>
  <si>
    <t>トランプルを持つ3/3の恐竜・トークンを1体生成する。</t>
    <rPh sb="6" eb="7">
      <t>モ</t>
    </rPh>
    <rPh sb="12" eb="14">
      <t>キョウリュウ</t>
    </rPh>
    <rPh sb="21" eb="22">
      <t>タイ</t>
    </rPh>
    <rPh sb="22" eb="24">
      <t>セイセイ</t>
    </rPh>
    <phoneticPr fontId="4"/>
  </si>
  <si>
    <t>あなたのクリーチャーにそれぞれ1点のダメージを与える。その後、対戦相手のクリーチャーにそれぞれ3点のダメージを与える。</t>
    <rPh sb="16" eb="17">
      <t>テン</t>
    </rPh>
    <rPh sb="23" eb="24">
      <t>アタ</t>
    </rPh>
    <rPh sb="29" eb="30">
      <t>ゴ</t>
    </rPh>
    <rPh sb="31" eb="33">
      <t>タイセン</t>
    </rPh>
    <rPh sb="33" eb="35">
      <t>アイテ</t>
    </rPh>
    <rPh sb="48" eb="49">
      <t>テン</t>
    </rPh>
    <rPh sb="55" eb="56">
      <t>アタ</t>
    </rPh>
    <phoneticPr fontId="4"/>
  </si>
  <si>
    <t>太陽帝国の怒り</t>
    <rPh sb="0" eb="2">
      <t>タイヨウ</t>
    </rPh>
    <rPh sb="2" eb="4">
      <t>テイコク</t>
    </rPh>
    <rPh sb="5" eb="6">
      <t>イカ</t>
    </rPh>
    <phoneticPr fontId="4"/>
  </si>
  <si>
    <t>恐竜呼び</t>
    <rPh sb="0" eb="2">
      <t>キョウリュウ</t>
    </rPh>
    <rPh sb="2" eb="3">
      <t>ヨ</t>
    </rPh>
    <phoneticPr fontId="4"/>
  </si>
  <si>
    <t>太陽帝国の祝福</t>
    <rPh sb="0" eb="2">
      <t>タイヨウ</t>
    </rPh>
    <rPh sb="2" eb="4">
      <t>テイコク</t>
    </rPh>
    <rPh sb="5" eb="7">
      <t>シュクフク</t>
    </rPh>
    <phoneticPr fontId="4"/>
  </si>
  <si>
    <t>トランプルを持つ3/3の恐竜・トークンを2体生成する。</t>
    <rPh sb="6" eb="7">
      <t>モ</t>
    </rPh>
    <rPh sb="12" eb="14">
      <t>キョウリュウ</t>
    </rPh>
    <rPh sb="21" eb="22">
      <t>タイ</t>
    </rPh>
    <rPh sb="22" eb="24">
      <t>セイセイ</t>
    </rPh>
    <phoneticPr fontId="4"/>
  </si>
  <si>
    <t>トランプルを持つ3/3の恐竜・トークンを2体と、「あなたがコントロールする恐竜はバーサーカーを持つ」という能力を持つサポートトークン(シールド値1)を生成する。</t>
    <rPh sb="6" eb="7">
      <t>モ</t>
    </rPh>
    <rPh sb="12" eb="14">
      <t>キョウリュウ</t>
    </rPh>
    <rPh sb="21" eb="22">
      <t>タイ</t>
    </rPh>
    <rPh sb="37" eb="39">
      <t>キョウリュウ</t>
    </rPh>
    <rPh sb="47" eb="48">
      <t>モ</t>
    </rPh>
    <rPh sb="75" eb="77">
      <t>セイセイ</t>
    </rPh>
    <phoneticPr fontId="4"/>
  </si>
  <si>
    <t>あなたがコントロールするクリーチャーのパワーの最大値に等しいライフを得る。</t>
    <rPh sb="23" eb="26">
      <t>サイダイチ</t>
    </rPh>
    <rPh sb="27" eb="28">
      <t>ヒト</t>
    </rPh>
    <rPh sb="34" eb="35">
      <t>エ</t>
    </rPh>
    <phoneticPr fontId="4"/>
  </si>
  <si>
    <t>あなたがコントロールするクリーチャーは+1/+0の修正を受け、あなたがコントロールするクリーチャーのパワーの最大値に等しいライフを得る。</t>
    <rPh sb="25" eb="27">
      <t>シュウセイ</t>
    </rPh>
    <rPh sb="28" eb="29">
      <t>ウ</t>
    </rPh>
    <rPh sb="54" eb="57">
      <t>サイダイチ</t>
    </rPh>
    <rPh sb="58" eb="59">
      <t>ヒト</t>
    </rPh>
    <rPh sb="65" eb="66">
      <t>エ</t>
    </rPh>
    <phoneticPr fontId="4"/>
  </si>
  <si>
    <t>あなたがコントロールするクリーチャーは+2/+0の修正を受け、あなたがコントロールするクリーチャーのパワーの最大値に等しいライフを得る。</t>
    <rPh sb="25" eb="27">
      <t>シュウセイ</t>
    </rPh>
    <rPh sb="28" eb="29">
      <t>ウ</t>
    </rPh>
    <rPh sb="54" eb="57">
      <t>サイダイチ</t>
    </rPh>
    <rPh sb="58" eb="59">
      <t>ヒト</t>
    </rPh>
    <rPh sb="65" eb="66">
      <t>エ</t>
    </rPh>
    <phoneticPr fontId="4"/>
  </si>
  <si>
    <t>あなたのクリーチャーにそれぞれ1点のダメージを与える。その後、対戦相手のクリーチャーにそれぞれ4点のダメージを与える。</t>
    <rPh sb="16" eb="17">
      <t>テン</t>
    </rPh>
    <rPh sb="23" eb="24">
      <t>アタ</t>
    </rPh>
    <rPh sb="29" eb="30">
      <t>ゴ</t>
    </rPh>
    <rPh sb="31" eb="33">
      <t>タイセン</t>
    </rPh>
    <rPh sb="33" eb="35">
      <t>アイテ</t>
    </rPh>
    <rPh sb="48" eb="49">
      <t>テン</t>
    </rPh>
    <rPh sb="55" eb="56">
      <t>アタ</t>
    </rPh>
    <phoneticPr fontId="4"/>
  </si>
  <si>
    <t>あなたのクリーチャーにそれぞれ1点のダメージを与える。その後、対戦相手のクリーチャーにそれぞれ4点のダメージを与え、それらはディフェンダーを失う。</t>
    <rPh sb="16" eb="17">
      <t>テン</t>
    </rPh>
    <rPh sb="23" eb="24">
      <t>アタ</t>
    </rPh>
    <rPh sb="29" eb="30">
      <t>ゴ</t>
    </rPh>
    <rPh sb="31" eb="33">
      <t>タイセン</t>
    </rPh>
    <rPh sb="33" eb="35">
      <t>アイテ</t>
    </rPh>
    <rPh sb="48" eb="49">
      <t>テン</t>
    </rPh>
    <rPh sb="55" eb="56">
      <t>アタ</t>
    </rPh>
    <rPh sb="70" eb="71">
      <t>ウシナ</t>
    </rPh>
    <phoneticPr fontId="4"/>
  </si>
  <si>
    <t>Sun Empire's Rage</t>
  </si>
  <si>
    <t>Call Dinosaur</t>
  </si>
  <si>
    <t>Sun Empire's Blessing</t>
  </si>
  <si>
    <t>光輝の勇者、ファートリ</t>
  </si>
  <si>
    <t>まさかの3枚目の赤白PW。</t>
    <rPh sb="5" eb="7">
      <t>マイメ</t>
    </rPh>
    <rPh sb="8" eb="10">
      <t>アカシロ</t>
    </rPh>
    <phoneticPr fontId="4"/>
  </si>
  <si>
    <t>Loot Is Good</t>
  </si>
  <si>
    <t>Yarghhh!!!</t>
  </si>
  <si>
    <t>Gorgon's Gaze</t>
  </si>
  <si>
    <t>お宝最高</t>
    <rPh sb="1" eb="2">
      <t>タカラ</t>
    </rPh>
    <rPh sb="2" eb="4">
      <t>サイコウ</t>
    </rPh>
    <phoneticPr fontId="4"/>
  </si>
  <si>
    <t>ヤッハー！</t>
    <phoneticPr fontId="4"/>
  </si>
  <si>
    <t>ゴルゴンの凝視</t>
    <rPh sb="5" eb="7">
      <t>ギョウシ</t>
    </rPh>
    <phoneticPr fontId="4"/>
  </si>
  <si>
    <r>
      <t>対戦相手のサポートのうち最大のシールドを持つものを1個破壊する。宝物を</t>
    </r>
    <r>
      <rPr>
        <sz val="11"/>
        <color theme="1"/>
        <rFont val="ＭＳ Ｐゴシック"/>
        <family val="3"/>
        <charset val="128"/>
        <scheme val="minor"/>
      </rPr>
      <t>2つ見つける。</t>
    </r>
    <rPh sb="0" eb="2">
      <t>タイセン</t>
    </rPh>
    <rPh sb="2" eb="4">
      <t>アイテ</t>
    </rPh>
    <rPh sb="12" eb="14">
      <t>サイダイ</t>
    </rPh>
    <rPh sb="20" eb="21">
      <t>モ</t>
    </rPh>
    <rPh sb="26" eb="27">
      <t>コ</t>
    </rPh>
    <rPh sb="27" eb="29">
      <t>ハカイ</t>
    </rPh>
    <rPh sb="32" eb="34">
      <t>タカラモノ</t>
    </rPh>
    <rPh sb="37" eb="38">
      <t>ミ</t>
    </rPh>
    <phoneticPr fontId="4"/>
  </si>
  <si>
    <r>
      <t>威迫を持つ2/2の黒の海賊・トークンを</t>
    </r>
    <r>
      <rPr>
        <sz val="11"/>
        <color theme="1"/>
        <rFont val="ＭＳ Ｐゴシック"/>
        <family val="3"/>
        <charset val="128"/>
        <scheme val="minor"/>
      </rPr>
      <t>2体と、「あなたがコントロールする海賊がダメージを与えるたび、これは探検1を行い、宝物を1つ見つける。」を持つサポートを生成する。</t>
    </r>
    <rPh sb="0" eb="2">
      <t>イハク</t>
    </rPh>
    <rPh sb="3" eb="4">
      <t>モ</t>
    </rPh>
    <rPh sb="9" eb="10">
      <t>クロ</t>
    </rPh>
    <rPh sb="11" eb="13">
      <t>カイゾク</t>
    </rPh>
    <rPh sb="20" eb="21">
      <t>タイ</t>
    </rPh>
    <rPh sb="36" eb="38">
      <t>カイゾク</t>
    </rPh>
    <rPh sb="44" eb="45">
      <t>アタ</t>
    </rPh>
    <rPh sb="53" eb="55">
      <t>タンケン</t>
    </rPh>
    <rPh sb="57" eb="58">
      <t>オコナ</t>
    </rPh>
    <rPh sb="60" eb="62">
      <t>タカラモノ</t>
    </rPh>
    <rPh sb="65" eb="66">
      <t>ミ</t>
    </rPh>
    <rPh sb="72" eb="73">
      <t>モ</t>
    </rPh>
    <rPh sb="79" eb="81">
      <t>セイセイ</t>
    </rPh>
    <phoneticPr fontId="4"/>
  </si>
  <si>
    <t>シールドが2以下のサポートを1個破壊する。宝物を1つ見つける。</t>
    <rPh sb="6" eb="8">
      <t>イカ</t>
    </rPh>
    <rPh sb="15" eb="16">
      <t>コ</t>
    </rPh>
    <rPh sb="16" eb="18">
      <t>ハカイ</t>
    </rPh>
    <rPh sb="21" eb="23">
      <t>タカラモノ</t>
    </rPh>
    <rPh sb="26" eb="27">
      <t>ミ</t>
    </rPh>
    <phoneticPr fontId="4"/>
  </si>
  <si>
    <r>
      <t>威迫を持つ2/2の黒の海賊・トークンを</t>
    </r>
    <r>
      <rPr>
        <sz val="11"/>
        <color theme="1"/>
        <rFont val="ＭＳ Ｐゴシック"/>
        <family val="3"/>
        <charset val="128"/>
        <scheme val="minor"/>
      </rPr>
      <t>1</t>
    </r>
    <r>
      <rPr>
        <sz val="11"/>
        <color theme="1"/>
        <rFont val="ＭＳ Ｐゴシック"/>
        <family val="3"/>
        <charset val="128"/>
        <scheme val="minor"/>
      </rPr>
      <t>体生成する。</t>
    </r>
    <rPh sb="21" eb="23">
      <t>セイセイ</t>
    </rPh>
    <phoneticPr fontId="4"/>
  </si>
  <si>
    <t>3シールドと「各ターン開始時に、対戦相手のクリーチャーは-1/-1の修正を受け、対戦相手は2点のライフを失う。このサポートは1シールドを失う。」を持つサポートを生成する。</t>
    <rPh sb="7" eb="8">
      <t>カク</t>
    </rPh>
    <rPh sb="11" eb="13">
      <t>カイシ</t>
    </rPh>
    <rPh sb="13" eb="14">
      <t>ジ</t>
    </rPh>
    <rPh sb="16" eb="18">
      <t>タイセン</t>
    </rPh>
    <rPh sb="18" eb="20">
      <t>アイテ</t>
    </rPh>
    <rPh sb="34" eb="36">
      <t>シュウセイ</t>
    </rPh>
    <rPh sb="37" eb="38">
      <t>ウ</t>
    </rPh>
    <rPh sb="40" eb="42">
      <t>タイセン</t>
    </rPh>
    <rPh sb="42" eb="44">
      <t>アイテ</t>
    </rPh>
    <rPh sb="46" eb="47">
      <t>テン</t>
    </rPh>
    <rPh sb="52" eb="53">
      <t>ウシナ</t>
    </rPh>
    <rPh sb="68" eb="69">
      <t>ウシナ</t>
    </rPh>
    <rPh sb="73" eb="74">
      <t>モ</t>
    </rPh>
    <rPh sb="80" eb="82">
      <t>セイセイ</t>
    </rPh>
    <phoneticPr fontId="4"/>
  </si>
  <si>
    <t>シールドが3以下のサポートを1個破壊する。宝物を1つ見つける。</t>
    <rPh sb="6" eb="8">
      <t>イカ</t>
    </rPh>
    <rPh sb="15" eb="16">
      <t>コ</t>
    </rPh>
    <rPh sb="16" eb="18">
      <t>ハカイ</t>
    </rPh>
    <rPh sb="21" eb="23">
      <t>タカラモノ</t>
    </rPh>
    <rPh sb="26" eb="27">
      <t>ミ</t>
    </rPh>
    <phoneticPr fontId="4"/>
  </si>
  <si>
    <r>
      <t>対戦相手のサポートを1個破壊する。宝物を</t>
    </r>
    <r>
      <rPr>
        <sz val="11"/>
        <color theme="1"/>
        <rFont val="ＭＳ Ｐゴシック"/>
        <family val="3"/>
        <charset val="128"/>
        <scheme val="minor"/>
      </rPr>
      <t>1つ見つける。</t>
    </r>
    <r>
      <rPr>
        <sz val="11"/>
        <color theme="1"/>
        <rFont val="ＭＳ Ｐゴシック"/>
        <family val="2"/>
        <charset val="128"/>
        <scheme val="minor"/>
      </rPr>
      <t/>
    </r>
    <rPh sb="0" eb="2">
      <t>タイセン</t>
    </rPh>
    <rPh sb="2" eb="4">
      <t>アイテ</t>
    </rPh>
    <rPh sb="11" eb="12">
      <t>コ</t>
    </rPh>
    <rPh sb="12" eb="14">
      <t>ハカイ</t>
    </rPh>
    <rPh sb="17" eb="19">
      <t>タカラモノ</t>
    </rPh>
    <rPh sb="22" eb="23">
      <t>ミ</t>
    </rPh>
    <phoneticPr fontId="4"/>
  </si>
  <si>
    <r>
      <t>威迫を持つ2/2の黒の海賊・トークンを</t>
    </r>
    <r>
      <rPr>
        <sz val="11"/>
        <color theme="1"/>
        <rFont val="ＭＳ Ｐゴシック"/>
        <family val="3"/>
        <charset val="128"/>
        <scheme val="minor"/>
      </rPr>
      <t>2体生成する。</t>
    </r>
    <r>
      <rPr>
        <sz val="11"/>
        <color theme="1"/>
        <rFont val="ＭＳ Ｐゴシック"/>
        <family val="3"/>
        <charset val="128"/>
        <scheme val="minor"/>
      </rPr>
      <t/>
    </r>
    <rPh sb="21" eb="23">
      <t>セイセイ</t>
    </rPh>
    <phoneticPr fontId="4"/>
  </si>
  <si>
    <r>
      <t>威迫を持つ2/2の黒の海賊・トークンを</t>
    </r>
    <r>
      <rPr>
        <sz val="11"/>
        <color theme="1"/>
        <rFont val="ＭＳ Ｐゴシック"/>
        <family val="3"/>
        <charset val="128"/>
        <scheme val="minor"/>
      </rPr>
      <t>2体と、「あなたがコントロールする海賊がダメージを与えるたび、これは探検1を行う。」を持つサポートを生成する。</t>
    </r>
    <rPh sb="0" eb="2">
      <t>イハク</t>
    </rPh>
    <rPh sb="3" eb="4">
      <t>モ</t>
    </rPh>
    <rPh sb="9" eb="10">
      <t>クロ</t>
    </rPh>
    <rPh sb="11" eb="13">
      <t>カイゾク</t>
    </rPh>
    <rPh sb="20" eb="21">
      <t>タイ</t>
    </rPh>
    <rPh sb="36" eb="38">
      <t>カイゾク</t>
    </rPh>
    <rPh sb="44" eb="45">
      <t>アタ</t>
    </rPh>
    <rPh sb="53" eb="55">
      <t>タンケン</t>
    </rPh>
    <rPh sb="57" eb="58">
      <t>オコナ</t>
    </rPh>
    <rPh sb="62" eb="63">
      <t>モ</t>
    </rPh>
    <rPh sb="69" eb="71">
      <t>セイセイ</t>
    </rPh>
    <phoneticPr fontId="4"/>
  </si>
  <si>
    <r>
      <t>3シールドと「各ターン開始時に、対戦相手のクリーチャーは</t>
    </r>
    <r>
      <rPr>
        <sz val="11"/>
        <color theme="1"/>
        <rFont val="ＭＳ Ｐゴシック"/>
        <family val="3"/>
        <charset val="128"/>
        <scheme val="minor"/>
      </rPr>
      <t>-2/-2</t>
    </r>
    <r>
      <rPr>
        <sz val="11"/>
        <color theme="1"/>
        <rFont val="ＭＳ Ｐゴシック"/>
        <family val="3"/>
        <charset val="128"/>
        <scheme val="minor"/>
      </rPr>
      <t>の修正を受け、対戦相手は</t>
    </r>
    <r>
      <rPr>
        <sz val="11"/>
        <color theme="1"/>
        <rFont val="ＭＳ Ｐゴシック"/>
        <family val="3"/>
        <charset val="128"/>
        <scheme val="minor"/>
      </rPr>
      <t>3</t>
    </r>
    <r>
      <rPr>
        <sz val="11"/>
        <color theme="1"/>
        <rFont val="ＭＳ Ｐゴシック"/>
        <family val="3"/>
        <charset val="128"/>
        <scheme val="minor"/>
      </rPr>
      <t>点のライフを失う。このサポートは1シールドを失う。」を持つサポートを生成する。</t>
    </r>
    <rPh sb="7" eb="8">
      <t>カク</t>
    </rPh>
    <rPh sb="11" eb="13">
      <t>カイシ</t>
    </rPh>
    <rPh sb="13" eb="14">
      <t>ジ</t>
    </rPh>
    <rPh sb="16" eb="18">
      <t>タイセン</t>
    </rPh>
    <rPh sb="18" eb="20">
      <t>アイテ</t>
    </rPh>
    <rPh sb="34" eb="36">
      <t>シュウセイ</t>
    </rPh>
    <rPh sb="37" eb="38">
      <t>ウ</t>
    </rPh>
    <rPh sb="40" eb="42">
      <t>タイセン</t>
    </rPh>
    <rPh sb="42" eb="44">
      <t>アイテ</t>
    </rPh>
    <rPh sb="46" eb="47">
      <t>テン</t>
    </rPh>
    <rPh sb="52" eb="53">
      <t>ウシナ</t>
    </rPh>
    <rPh sb="68" eb="69">
      <t>ウシナ</t>
    </rPh>
    <rPh sb="73" eb="74">
      <t>モ</t>
    </rPh>
    <rPh sb="80" eb="82">
      <t>セイセイ</t>
    </rPh>
    <phoneticPr fontId="4"/>
  </si>
  <si>
    <t>秘宝探究者、ヴラスカ</t>
  </si>
  <si>
    <t>HP平均</t>
    <rPh sb="2" eb="4">
      <t>ヘイキン</t>
    </rPh>
    <phoneticPr fontId="4"/>
  </si>
  <si>
    <t>マナボ平均</t>
    <rPh sb="3" eb="5">
      <t>ヘイキン</t>
    </rPh>
    <phoneticPr fontId="4"/>
  </si>
  <si>
    <t>とうとう現れた黒緑のPW</t>
    <rPh sb="4" eb="5">
      <t>アラワ</t>
    </rPh>
    <rPh sb="7" eb="8">
      <t>クロ</t>
    </rPh>
    <rPh sb="8" eb="9">
      <t>ミドリ</t>
    </rPh>
    <phoneticPr fontId="4"/>
  </si>
  <si>
    <t>第2能力が海賊部族デッキシナジーに見えて、能力が自己完結しているので海賊部族デッキにしなくても成立する。</t>
    <rPh sb="0" eb="1">
      <t>ダイ</t>
    </rPh>
    <rPh sb="2" eb="4">
      <t>ノウリョク</t>
    </rPh>
    <rPh sb="5" eb="7">
      <t>カイゾク</t>
    </rPh>
    <rPh sb="7" eb="9">
      <t>ブゾク</t>
    </rPh>
    <rPh sb="17" eb="18">
      <t>ミ</t>
    </rPh>
    <rPh sb="21" eb="23">
      <t>ノウリョク</t>
    </rPh>
    <rPh sb="24" eb="26">
      <t>ジコ</t>
    </rPh>
    <rPh sb="26" eb="28">
      <t>カンケツ</t>
    </rPh>
    <rPh sb="34" eb="36">
      <t>カイゾク</t>
    </rPh>
    <rPh sb="36" eb="38">
      <t>ブゾク</t>
    </rPh>
    <rPh sb="47" eb="49">
      <t>セイリツ</t>
    </rPh>
    <phoneticPr fontId="4"/>
  </si>
  <si>
    <r>
      <t>スタンダード(ORI/KLD/AKH/HOU</t>
    </r>
    <r>
      <rPr>
        <sz val="11"/>
        <color theme="1"/>
        <rFont val="ＭＳ Ｐゴシック"/>
        <family val="3"/>
        <charset val="128"/>
        <scheme val="minor"/>
      </rPr>
      <t>/XLN</t>
    </r>
    <r>
      <rPr>
        <sz val="11"/>
        <color theme="1"/>
        <rFont val="ＭＳ Ｐゴシック"/>
        <family val="3"/>
        <charset val="128"/>
        <scheme val="minor"/>
      </rPr>
      <t>期)</t>
    </r>
    <phoneticPr fontId="4"/>
  </si>
  <si>
    <t>I'm Over Here</t>
  </si>
  <si>
    <t>Illusionists's Illusion</t>
  </si>
  <si>
    <t>Fight And Steal</t>
  </si>
  <si>
    <t>戦場荒らし</t>
    <rPh sb="0" eb="2">
      <t>センジョウ</t>
    </rPh>
    <rPh sb="2" eb="3">
      <t>ア</t>
    </rPh>
    <phoneticPr fontId="4"/>
  </si>
  <si>
    <t>「ターン終了時に、このターンにあなたがコントロールするクリーチャーが戦闘ダメージを与えた場合、カードを1枚捨てて2枚引く。」を持つサポートを生成する。</t>
    <rPh sb="4" eb="7">
      <t>シュウリョウジ</t>
    </rPh>
    <rPh sb="34" eb="36">
      <t>セントウ</t>
    </rPh>
    <rPh sb="41" eb="42">
      <t>アタ</t>
    </rPh>
    <rPh sb="44" eb="46">
      <t>バアイ</t>
    </rPh>
    <rPh sb="52" eb="53">
      <t>マイ</t>
    </rPh>
    <rPh sb="53" eb="54">
      <t>ス</t>
    </rPh>
    <rPh sb="57" eb="58">
      <t>マイ</t>
    </rPh>
    <rPh sb="58" eb="59">
      <t>ヒ</t>
    </rPh>
    <rPh sb="63" eb="64">
      <t>モ</t>
    </rPh>
    <rPh sb="70" eb="72">
      <t>セイセイ</t>
    </rPh>
    <phoneticPr fontId="4"/>
  </si>
  <si>
    <t>幻術師の幻影</t>
    <rPh sb="0" eb="2">
      <t>ゲンジュツ</t>
    </rPh>
    <rPh sb="2" eb="3">
      <t>シ</t>
    </rPh>
    <rPh sb="4" eb="6">
      <t>ゲンエイ</t>
    </rPh>
    <phoneticPr fontId="4"/>
  </si>
  <si>
    <t>「このクリーチャーが呪文の対象となったとき、これを破壊する。」を持つ2/2の青のイリュージョン・トークンを1体生成する。</t>
    <rPh sb="10" eb="12">
      <t>ジュモン</t>
    </rPh>
    <rPh sb="13" eb="15">
      <t>タイショウ</t>
    </rPh>
    <rPh sb="25" eb="27">
      <t>ハカイ</t>
    </rPh>
    <rPh sb="32" eb="33">
      <t>モ</t>
    </rPh>
    <rPh sb="38" eb="39">
      <t>アオ</t>
    </rPh>
    <rPh sb="54" eb="55">
      <t>タイ</t>
    </rPh>
    <rPh sb="55" eb="57">
      <t>セイセイ</t>
    </rPh>
    <phoneticPr fontId="4"/>
  </si>
  <si>
    <t>こっちだ</t>
    <phoneticPr fontId="4"/>
  </si>
  <si>
    <t>「ターン終了時に、このターンにあなたがコントロールするクリーチャーが戦闘ダメージを与えた場合、カードを1枚捨てて3枚引く。」を持つサポートを生成する。</t>
    <rPh sb="4" eb="7">
      <t>シュウリョウジ</t>
    </rPh>
    <rPh sb="34" eb="36">
      <t>セントウ</t>
    </rPh>
    <rPh sb="41" eb="42">
      <t>アタ</t>
    </rPh>
    <rPh sb="44" eb="46">
      <t>バアイ</t>
    </rPh>
    <rPh sb="52" eb="53">
      <t>マイ</t>
    </rPh>
    <rPh sb="53" eb="54">
      <t>ス</t>
    </rPh>
    <rPh sb="57" eb="58">
      <t>マイ</t>
    </rPh>
    <rPh sb="58" eb="59">
      <t>ヒ</t>
    </rPh>
    <rPh sb="63" eb="64">
      <t>モ</t>
    </rPh>
    <rPh sb="70" eb="72">
      <t>セイセイ</t>
    </rPh>
    <phoneticPr fontId="4"/>
  </si>
  <si>
    <t>クリーチャーを1体対象とし、それはブロックされないを得る。その後「ターン終了時に、このターンにあなたがコントロールするクリーチャーが戦闘ダメージを与えた場合、カードを1枚捨てて3枚引く。」を持つサポートを生成する。</t>
    <rPh sb="8" eb="9">
      <t>タイ</t>
    </rPh>
    <rPh sb="9" eb="11">
      <t>タイショウ</t>
    </rPh>
    <rPh sb="26" eb="27">
      <t>エ</t>
    </rPh>
    <rPh sb="31" eb="32">
      <t>ゴ</t>
    </rPh>
    <rPh sb="36" eb="39">
      <t>シュウリョウジ</t>
    </rPh>
    <rPh sb="66" eb="68">
      <t>セントウ</t>
    </rPh>
    <rPh sb="73" eb="74">
      <t>アタ</t>
    </rPh>
    <rPh sb="76" eb="78">
      <t>バアイ</t>
    </rPh>
    <rPh sb="84" eb="85">
      <t>マイ</t>
    </rPh>
    <rPh sb="85" eb="86">
      <t>ス</t>
    </rPh>
    <rPh sb="89" eb="90">
      <t>マイ</t>
    </rPh>
    <rPh sb="90" eb="91">
      <t>ヒ</t>
    </rPh>
    <rPh sb="95" eb="96">
      <t>モ</t>
    </rPh>
    <rPh sb="102" eb="104">
      <t>セイセイ</t>
    </rPh>
    <phoneticPr fontId="4"/>
  </si>
  <si>
    <t>クリーチャーを1体対象とし、それはターン終了時までブロックされないを得る。その後「ターン終了時に、このターンにあなたがコントロールするクリーチャーが戦闘ダメージを与えた場合、カードを1枚捨てて3枚引く。」を持つサポートを生成する。</t>
    <rPh sb="8" eb="9">
      <t>タイ</t>
    </rPh>
    <rPh sb="9" eb="11">
      <t>タイショウ</t>
    </rPh>
    <rPh sb="20" eb="23">
      <t>シュウリョウジ</t>
    </rPh>
    <rPh sb="34" eb="35">
      <t>エ</t>
    </rPh>
    <rPh sb="39" eb="40">
      <t>ゴ</t>
    </rPh>
    <rPh sb="44" eb="47">
      <t>シュウリョウジ</t>
    </rPh>
    <rPh sb="74" eb="76">
      <t>セントウ</t>
    </rPh>
    <rPh sb="81" eb="82">
      <t>アタ</t>
    </rPh>
    <rPh sb="84" eb="86">
      <t>バアイ</t>
    </rPh>
    <rPh sb="92" eb="93">
      <t>マイ</t>
    </rPh>
    <rPh sb="93" eb="94">
      <t>ス</t>
    </rPh>
    <rPh sb="97" eb="98">
      <t>マイ</t>
    </rPh>
    <rPh sb="98" eb="99">
      <t>ヒ</t>
    </rPh>
    <rPh sb="103" eb="104">
      <t>モ</t>
    </rPh>
    <rPh sb="110" eb="112">
      <t>セイセイ</t>
    </rPh>
    <phoneticPr fontId="4"/>
  </si>
  <si>
    <t>「このクリーチャーが呪文の対象となったとき、これを破壊する。」を持つ2/2の青のイリュージョン・トークンを2体生成する。</t>
    <rPh sb="10" eb="12">
      <t>ジュモン</t>
    </rPh>
    <rPh sb="13" eb="15">
      <t>タイショウ</t>
    </rPh>
    <rPh sb="25" eb="27">
      <t>ハカイ</t>
    </rPh>
    <rPh sb="32" eb="33">
      <t>モ</t>
    </rPh>
    <rPh sb="38" eb="39">
      <t>アオ</t>
    </rPh>
    <rPh sb="54" eb="55">
      <t>タイ</t>
    </rPh>
    <rPh sb="55" eb="57">
      <t>セイセイ</t>
    </rPh>
    <phoneticPr fontId="4"/>
  </si>
  <si>
    <t>「このクリーチャーが呪文の対象となったとき、これを破壊する。」を持つ2/2の青のイリュージョン・トークンを2体生成する。その後、「あなたがコントロールする最初のイリュージョン・クリーチャーは呪禁を得る。」を持つサポートを生成する。</t>
    <rPh sb="10" eb="12">
      <t>ジュモン</t>
    </rPh>
    <rPh sb="13" eb="15">
      <t>タイショウ</t>
    </rPh>
    <rPh sb="25" eb="27">
      <t>ハカイ</t>
    </rPh>
    <rPh sb="32" eb="33">
      <t>モ</t>
    </rPh>
    <rPh sb="38" eb="39">
      <t>アオ</t>
    </rPh>
    <rPh sb="54" eb="55">
      <t>タイ</t>
    </rPh>
    <rPh sb="55" eb="57">
      <t>セイセイ</t>
    </rPh>
    <rPh sb="62" eb="63">
      <t>ゴ</t>
    </rPh>
    <rPh sb="77" eb="79">
      <t>サイショ</t>
    </rPh>
    <rPh sb="95" eb="96">
      <t>ジュ</t>
    </rPh>
    <rPh sb="96" eb="97">
      <t>キン</t>
    </rPh>
    <rPh sb="98" eb="99">
      <t>エ</t>
    </rPh>
    <rPh sb="103" eb="104">
      <t>モ</t>
    </rPh>
    <rPh sb="110" eb="112">
      <t>セイセイ</t>
    </rPh>
    <phoneticPr fontId="4"/>
  </si>
  <si>
    <t>狡猾な漂流者、ジェイス</t>
  </si>
  <si>
    <t>4シールドと「各ターン開始時に、対戦相手のクリーチャーは-2/-2の修正を受け、対戦相手は4点のライフを失う。このサポートは1シールドを失う。」を持つサポートを生成する。</t>
    <rPh sb="7" eb="8">
      <t>カク</t>
    </rPh>
    <rPh sb="11" eb="13">
      <t>カイシ</t>
    </rPh>
    <rPh sb="13" eb="14">
      <t>ジ</t>
    </rPh>
    <rPh sb="16" eb="18">
      <t>タイセン</t>
    </rPh>
    <rPh sb="18" eb="20">
      <t>アイテ</t>
    </rPh>
    <rPh sb="34" eb="36">
      <t>シュウセイ</t>
    </rPh>
    <rPh sb="37" eb="38">
      <t>ウ</t>
    </rPh>
    <rPh sb="40" eb="42">
      <t>タイセン</t>
    </rPh>
    <rPh sb="42" eb="44">
      <t>アイテ</t>
    </rPh>
    <rPh sb="46" eb="47">
      <t>テン</t>
    </rPh>
    <rPh sb="52" eb="53">
      <t>ウシナ</t>
    </rPh>
    <rPh sb="68" eb="69">
      <t>ウシナ</t>
    </rPh>
    <rPh sb="73" eb="74">
      <t>モ</t>
    </rPh>
    <rPh sb="80" eb="82">
      <t>セイセイ</t>
    </rPh>
    <phoneticPr fontId="4"/>
  </si>
  <si>
    <t>5シールドと「各ターン開始時に、対戦相手のクリーチャーは-2/-2の修正を受け、対戦相手は5点のライフを失う。このサポートは1シールドを失う。」を持つサポートを生成する。</t>
    <rPh sb="7" eb="8">
      <t>カク</t>
    </rPh>
    <rPh sb="11" eb="13">
      <t>カイシ</t>
    </rPh>
    <rPh sb="13" eb="14">
      <t>ジ</t>
    </rPh>
    <rPh sb="16" eb="18">
      <t>タイセン</t>
    </rPh>
    <rPh sb="18" eb="20">
      <t>アイテ</t>
    </rPh>
    <rPh sb="34" eb="36">
      <t>シュウセイ</t>
    </rPh>
    <rPh sb="37" eb="38">
      <t>ウ</t>
    </rPh>
    <rPh sb="40" eb="42">
      <t>タイセン</t>
    </rPh>
    <rPh sb="42" eb="44">
      <t>アイテ</t>
    </rPh>
    <rPh sb="46" eb="47">
      <t>テン</t>
    </rPh>
    <rPh sb="52" eb="53">
      <t>ウシナ</t>
    </rPh>
    <rPh sb="68" eb="69">
      <t>ウシナ</t>
    </rPh>
    <rPh sb="73" eb="74">
      <t>モ</t>
    </rPh>
    <rPh sb="80" eb="82">
      <t>セイセイ</t>
    </rPh>
    <phoneticPr fontId="4"/>
  </si>
  <si>
    <t>トランプルと「恐竜・トークンが先王に出るたび、このクリーチャーを補強する」を持つ6/6の太陽恵みの乗用恐竜トークンを1体と、「あなたがコントロールする恐竜はバーサーカーを持つ」という能力を持つサポートトークン(シールド値1)を生成する。</t>
    <rPh sb="7" eb="9">
      <t>キョウリュウ</t>
    </rPh>
    <rPh sb="15" eb="17">
      <t>センオウ</t>
    </rPh>
    <rPh sb="18" eb="19">
      <t>デ</t>
    </rPh>
    <rPh sb="32" eb="34">
      <t>ホキョウ</t>
    </rPh>
    <rPh sb="38" eb="39">
      <t>モ</t>
    </rPh>
    <rPh sb="59" eb="60">
      <t>タイ</t>
    </rPh>
    <phoneticPr fontId="4"/>
  </si>
  <si>
    <t>あなたのクリーチャーにそれぞれ1点のダメージを与える。その後、対戦相手のクリーチャーにそれぞれ6点のダメージを与え、それらはディフェンダー・到達・警戒を失う。</t>
    <rPh sb="16" eb="17">
      <t>テン</t>
    </rPh>
    <rPh sb="23" eb="24">
      <t>アタ</t>
    </rPh>
    <rPh sb="29" eb="30">
      <t>ゴ</t>
    </rPh>
    <rPh sb="31" eb="33">
      <t>タイセン</t>
    </rPh>
    <rPh sb="33" eb="35">
      <t>アイテ</t>
    </rPh>
    <rPh sb="48" eb="49">
      <t>テン</t>
    </rPh>
    <rPh sb="55" eb="56">
      <t>アタ</t>
    </rPh>
    <rPh sb="70" eb="72">
      <t>トウタツ</t>
    </rPh>
    <rPh sb="73" eb="75">
      <t>ケイカイ</t>
    </rPh>
    <rPh sb="76" eb="77">
      <t>ウシナ</t>
    </rPh>
    <phoneticPr fontId="4"/>
  </si>
  <si>
    <t>「このクリーチャーが呪文の対象となったとき、これを破壊する。」を持つ2/2の青のイリュージョン・トークンを4体生成する。その後、「あなたがコントロールするイリュージョン・クリーチャーは呪禁を得る。」を持つサポートを生成する。</t>
    <rPh sb="10" eb="12">
      <t>ジュモン</t>
    </rPh>
    <rPh sb="13" eb="15">
      <t>タイショウ</t>
    </rPh>
    <rPh sb="25" eb="27">
      <t>ハカイ</t>
    </rPh>
    <rPh sb="32" eb="33">
      <t>モ</t>
    </rPh>
    <rPh sb="38" eb="39">
      <t>アオ</t>
    </rPh>
    <rPh sb="54" eb="55">
      <t>タイ</t>
    </rPh>
    <rPh sb="55" eb="57">
      <t>セイセイ</t>
    </rPh>
    <rPh sb="62" eb="63">
      <t>ゴ</t>
    </rPh>
    <rPh sb="92" eb="93">
      <t>ジュ</t>
    </rPh>
    <rPh sb="93" eb="94">
      <t>キン</t>
    </rPh>
    <rPh sb="95" eb="96">
      <t>エ</t>
    </rPh>
    <rPh sb="100" eb="101">
      <t>モ</t>
    </rPh>
    <rPh sb="107" eb="109">
      <t>セイセイ</t>
    </rPh>
    <phoneticPr fontId="4"/>
  </si>
  <si>
    <t>「ジェム2個を起動する：忠誠度が5上がる。」を持つ2/2の青のイリュージョン・ウィザード・トークンを1体生成する。</t>
    <rPh sb="5" eb="6">
      <t>コ</t>
    </rPh>
    <rPh sb="7" eb="9">
      <t>キドウ</t>
    </rPh>
    <rPh sb="12" eb="14">
      <t>チュウセイ</t>
    </rPh>
    <rPh sb="14" eb="15">
      <t>ド</t>
    </rPh>
    <rPh sb="17" eb="18">
      <t>ア</t>
    </rPh>
    <rPh sb="23" eb="24">
      <t>モ</t>
    </rPh>
    <rPh sb="29" eb="30">
      <t>アオ</t>
    </rPh>
    <rPh sb="51" eb="54">
      <t>タイセイセイ</t>
    </rPh>
    <phoneticPr fontId="4"/>
  </si>
  <si>
    <t>「ジェム2個を起動する：忠誠度が6上がる。」を持つ2/2の青のイリュージョン・ウィザード・トークンを1体生成する。</t>
    <rPh sb="5" eb="6">
      <t>コ</t>
    </rPh>
    <rPh sb="7" eb="9">
      <t>キドウ</t>
    </rPh>
    <rPh sb="12" eb="14">
      <t>チュウセイ</t>
    </rPh>
    <rPh sb="14" eb="15">
      <t>ド</t>
    </rPh>
    <rPh sb="17" eb="18">
      <t>ア</t>
    </rPh>
    <rPh sb="23" eb="24">
      <t>モ</t>
    </rPh>
    <rPh sb="29" eb="30">
      <t>アオ</t>
    </rPh>
    <rPh sb="51" eb="54">
      <t>タイセイセイ</t>
    </rPh>
    <phoneticPr fontId="4"/>
  </si>
  <si>
    <t>「ジェム2個を起動する：忠誠度が6上がる。」を持つ2/2の青のイリュージョン・ウィザード・トークンを3体生成する。</t>
    <rPh sb="5" eb="6">
      <t>コ</t>
    </rPh>
    <rPh sb="7" eb="9">
      <t>キドウ</t>
    </rPh>
    <rPh sb="12" eb="14">
      <t>チュウセイ</t>
    </rPh>
    <rPh sb="14" eb="15">
      <t>ド</t>
    </rPh>
    <rPh sb="17" eb="18">
      <t>ア</t>
    </rPh>
    <rPh sb="23" eb="24">
      <t>モ</t>
    </rPh>
    <rPh sb="29" eb="30">
      <t>アオ</t>
    </rPh>
    <rPh sb="51" eb="54">
      <t>タイセイセイ</t>
    </rPh>
    <phoneticPr fontId="4"/>
  </si>
  <si>
    <t>「ジェム2個を起動する：忠誠度が8上がる。」を持つ2/2の青のイリュージョン・ウィザード・トークンを4体生成する。</t>
    <rPh sb="5" eb="6">
      <t>コ</t>
    </rPh>
    <rPh sb="7" eb="9">
      <t>キドウ</t>
    </rPh>
    <rPh sb="12" eb="14">
      <t>チュウセイ</t>
    </rPh>
    <rPh sb="14" eb="15">
      <t>ド</t>
    </rPh>
    <rPh sb="17" eb="18">
      <t>ア</t>
    </rPh>
    <rPh sb="23" eb="24">
      <t>モ</t>
    </rPh>
    <rPh sb="29" eb="30">
      <t>アオ</t>
    </rPh>
    <rPh sb="51" eb="54">
      <t>タイセイセイ</t>
    </rPh>
    <phoneticPr fontId="4"/>
  </si>
  <si>
    <t xml:space="preserve"> </t>
  </si>
  <si>
    <t>Flaming Chain</t>
  </si>
  <si>
    <t>Captain's Command</t>
  </si>
  <si>
    <t>Fiery Demise</t>
  </si>
  <si>
    <t>燃える連鎖</t>
    <rPh sb="0" eb="1">
      <t>モ</t>
    </rPh>
    <rPh sb="3" eb="5">
      <t>レンサ</t>
    </rPh>
    <phoneticPr fontId="4"/>
  </si>
  <si>
    <t>対戦相手に2点のダメージを与える。</t>
    <rPh sb="0" eb="2">
      <t>タイセン</t>
    </rPh>
    <rPh sb="2" eb="4">
      <t>アイテ</t>
    </rPh>
    <rPh sb="6" eb="7">
      <t>テン</t>
    </rPh>
    <rPh sb="13" eb="14">
      <t>アタ</t>
    </rPh>
    <phoneticPr fontId="4"/>
  </si>
  <si>
    <t>対戦相手に2点のダメージを与える。その後、対戦相手はカードを1枚捨てる。</t>
    <rPh sb="0" eb="2">
      <t>タイセン</t>
    </rPh>
    <rPh sb="2" eb="4">
      <t>アイテ</t>
    </rPh>
    <rPh sb="6" eb="7">
      <t>テン</t>
    </rPh>
    <rPh sb="13" eb="14">
      <t>アタ</t>
    </rPh>
    <rPh sb="19" eb="20">
      <t>ゴ</t>
    </rPh>
    <rPh sb="21" eb="23">
      <t>タイセン</t>
    </rPh>
    <rPh sb="23" eb="25">
      <t>アイテ</t>
    </rPh>
    <rPh sb="31" eb="32">
      <t>マイ</t>
    </rPh>
    <rPh sb="32" eb="33">
      <t>ス</t>
    </rPh>
    <phoneticPr fontId="4"/>
  </si>
  <si>
    <t>船長の命令</t>
    <rPh sb="0" eb="2">
      <t>センチョウ</t>
    </rPh>
    <rPh sb="3" eb="5">
      <t>メイレイ</t>
    </rPh>
    <phoneticPr fontId="4"/>
  </si>
  <si>
    <t>マナ・コストが10以下のクリーチャー1体を対象とし、ターン終了時まで、それのコントロールを得る。それは速攻を得る。</t>
    <rPh sb="9" eb="11">
      <t>イカ</t>
    </rPh>
    <rPh sb="19" eb="20">
      <t>タイ</t>
    </rPh>
    <rPh sb="21" eb="23">
      <t>タイショウ</t>
    </rPh>
    <rPh sb="29" eb="32">
      <t>シュウリョウジ</t>
    </rPh>
    <rPh sb="45" eb="46">
      <t>エ</t>
    </rPh>
    <rPh sb="51" eb="53">
      <t>ソッコウ</t>
    </rPh>
    <rPh sb="54" eb="55">
      <t>エ</t>
    </rPh>
    <phoneticPr fontId="4"/>
  </si>
  <si>
    <t>マナ・コストが5以下のクリーチャー1体を対象とし、ターン終了時まで、それのコントロールを得る。それは速攻を得る。</t>
    <rPh sb="8" eb="10">
      <t>イカ</t>
    </rPh>
    <rPh sb="18" eb="19">
      <t>タイ</t>
    </rPh>
    <rPh sb="20" eb="22">
      <t>タイショウ</t>
    </rPh>
    <rPh sb="28" eb="31">
      <t>シュウリョウジ</t>
    </rPh>
    <rPh sb="44" eb="45">
      <t>エ</t>
    </rPh>
    <rPh sb="50" eb="52">
      <t>ソッコウ</t>
    </rPh>
    <rPh sb="53" eb="54">
      <t>エ</t>
    </rPh>
    <phoneticPr fontId="4"/>
  </si>
  <si>
    <t>マナ・コストが15以下のクリーチャー1体を対象とし、ターン終了時まで、それのコントロールを得る。それは速攻を得る。</t>
    <rPh sb="9" eb="11">
      <t>イカ</t>
    </rPh>
    <rPh sb="19" eb="20">
      <t>タイ</t>
    </rPh>
    <rPh sb="21" eb="23">
      <t>タイショウ</t>
    </rPh>
    <rPh sb="29" eb="32">
      <t>シュウリョウジ</t>
    </rPh>
    <rPh sb="45" eb="46">
      <t>エ</t>
    </rPh>
    <rPh sb="51" eb="53">
      <t>ソッコウ</t>
    </rPh>
    <rPh sb="54" eb="55">
      <t>エ</t>
    </rPh>
    <phoneticPr fontId="4"/>
  </si>
  <si>
    <t>マナ・コストが15以下のクリーチャー1体を対象とし、ターン終了時まで、それのコントロールを得る。それは速攻と「ターン終了時にこのクリーチャーを破壊する」を得る。</t>
    <rPh sb="9" eb="11">
      <t>イカ</t>
    </rPh>
    <rPh sb="19" eb="20">
      <t>タイ</t>
    </rPh>
    <rPh sb="21" eb="23">
      <t>タイショウ</t>
    </rPh>
    <rPh sb="29" eb="32">
      <t>シュウリョウジ</t>
    </rPh>
    <rPh sb="45" eb="46">
      <t>エ</t>
    </rPh>
    <rPh sb="51" eb="53">
      <t>ソッコウ</t>
    </rPh>
    <rPh sb="58" eb="61">
      <t>シュウリョウジ</t>
    </rPh>
    <rPh sb="71" eb="73">
      <t>ハカイ</t>
    </rPh>
    <rPh sb="77" eb="78">
      <t>エ</t>
    </rPh>
    <phoneticPr fontId="4"/>
  </si>
  <si>
    <t>焦熱の死</t>
    <rPh sb="0" eb="2">
      <t>ショウネツ</t>
    </rPh>
    <rPh sb="3" eb="4">
      <t>シ</t>
    </rPh>
    <phoneticPr fontId="4"/>
  </si>
  <si>
    <t>「いずれかの領域からクリーチャーかサポートが対戦相手の墓地の置かれるたび、対戦相手に3点のダメージを与える。」を持つサポートを生成する。</t>
    <rPh sb="6" eb="8">
      <t>リョウイキ</t>
    </rPh>
    <rPh sb="22" eb="24">
      <t>タイセン</t>
    </rPh>
    <rPh sb="24" eb="26">
      <t>アイテ</t>
    </rPh>
    <rPh sb="27" eb="29">
      <t>ボチ</t>
    </rPh>
    <rPh sb="30" eb="31">
      <t>オ</t>
    </rPh>
    <rPh sb="37" eb="39">
      <t>タイセン</t>
    </rPh>
    <rPh sb="39" eb="41">
      <t>アイテ</t>
    </rPh>
    <rPh sb="43" eb="44">
      <t>テン</t>
    </rPh>
    <rPh sb="50" eb="51">
      <t>アタ</t>
    </rPh>
    <rPh sb="56" eb="57">
      <t>モ</t>
    </rPh>
    <rPh sb="63" eb="65">
      <t>セイセイ</t>
    </rPh>
    <phoneticPr fontId="4"/>
  </si>
  <si>
    <t>「いずれかの領域からクリーチャーかサポートが対戦相手の墓地の置かれるたび、対戦相手に6点のダメージを与える。」を持つサポートを生成する。</t>
    <rPh sb="6" eb="8">
      <t>リョウイキ</t>
    </rPh>
    <rPh sb="22" eb="24">
      <t>タイセン</t>
    </rPh>
    <rPh sb="24" eb="26">
      <t>アイテ</t>
    </rPh>
    <rPh sb="27" eb="29">
      <t>ボチ</t>
    </rPh>
    <rPh sb="30" eb="31">
      <t>オ</t>
    </rPh>
    <rPh sb="37" eb="39">
      <t>タイセン</t>
    </rPh>
    <rPh sb="39" eb="41">
      <t>アイテ</t>
    </rPh>
    <rPh sb="43" eb="44">
      <t>テン</t>
    </rPh>
    <rPh sb="50" eb="51">
      <t>アタ</t>
    </rPh>
    <rPh sb="56" eb="57">
      <t>モ</t>
    </rPh>
    <rPh sb="63" eb="65">
      <t>セイセイ</t>
    </rPh>
    <phoneticPr fontId="4"/>
  </si>
  <si>
    <t>対戦相手に2点のダメージを与え、宝物を1つ見つける。その後、対戦相手はカードを1枚捨てる。</t>
    <rPh sb="0" eb="2">
      <t>タイセン</t>
    </rPh>
    <rPh sb="2" eb="4">
      <t>アイテ</t>
    </rPh>
    <rPh sb="6" eb="7">
      <t>テン</t>
    </rPh>
    <rPh sb="13" eb="14">
      <t>アタ</t>
    </rPh>
    <rPh sb="16" eb="18">
      <t>タカラモノ</t>
    </rPh>
    <rPh sb="21" eb="22">
      <t>ミ</t>
    </rPh>
    <rPh sb="28" eb="29">
      <t>ゴ</t>
    </rPh>
    <rPh sb="30" eb="32">
      <t>タイセン</t>
    </rPh>
    <rPh sb="32" eb="34">
      <t>アイテ</t>
    </rPh>
    <rPh sb="40" eb="41">
      <t>マイ</t>
    </rPh>
    <rPh sb="41" eb="42">
      <t>ス</t>
    </rPh>
    <phoneticPr fontId="4"/>
  </si>
  <si>
    <t>対戦相手に2点のダメージを与え、宝物を2つ見つける。その後、対戦相手はカードを1枚捨てる。</t>
    <rPh sb="0" eb="2">
      <t>タイセン</t>
    </rPh>
    <rPh sb="2" eb="4">
      <t>アイテ</t>
    </rPh>
    <rPh sb="6" eb="7">
      <t>テン</t>
    </rPh>
    <rPh sb="13" eb="14">
      <t>アタ</t>
    </rPh>
    <rPh sb="16" eb="18">
      <t>タカラモノ</t>
    </rPh>
    <rPh sb="21" eb="22">
      <t>ミ</t>
    </rPh>
    <rPh sb="28" eb="29">
      <t>ゴ</t>
    </rPh>
    <rPh sb="30" eb="32">
      <t>タイセン</t>
    </rPh>
    <rPh sb="32" eb="34">
      <t>アイテ</t>
    </rPh>
    <rPh sb="40" eb="41">
      <t>マイ</t>
    </rPh>
    <rPh sb="41" eb="42">
      <t>ス</t>
    </rPh>
    <phoneticPr fontId="4"/>
  </si>
  <si>
    <t>「いずれかの領域からクリーチャーが対戦相手の墓地の置かれるたび、対戦相手に2点のダメージを与える。」を持つサポートを生成する。</t>
    <rPh sb="6" eb="8">
      <t>リョウイキ</t>
    </rPh>
    <rPh sb="17" eb="19">
      <t>タイセン</t>
    </rPh>
    <rPh sb="19" eb="21">
      <t>アイテ</t>
    </rPh>
    <rPh sb="22" eb="24">
      <t>ボチ</t>
    </rPh>
    <rPh sb="25" eb="26">
      <t>オ</t>
    </rPh>
    <rPh sb="32" eb="34">
      <t>タイセン</t>
    </rPh>
    <rPh sb="34" eb="36">
      <t>アイテ</t>
    </rPh>
    <rPh sb="38" eb="39">
      <t>テン</t>
    </rPh>
    <rPh sb="45" eb="46">
      <t>アタ</t>
    </rPh>
    <rPh sb="51" eb="52">
      <t>モ</t>
    </rPh>
    <rPh sb="58" eb="60">
      <t>セイセイ</t>
    </rPh>
    <phoneticPr fontId="4"/>
  </si>
  <si>
    <t>「いずれかの領域からカードが対戦相手の墓地の置かれるたび、対戦相手に6点のダメージを与える。」を持つサポートを生成する。</t>
    <rPh sb="6" eb="8">
      <t>リョウイキ</t>
    </rPh>
    <rPh sb="14" eb="16">
      <t>タイセン</t>
    </rPh>
    <rPh sb="16" eb="18">
      <t>アイテ</t>
    </rPh>
    <rPh sb="19" eb="21">
      <t>ボチ</t>
    </rPh>
    <rPh sb="22" eb="23">
      <t>オ</t>
    </rPh>
    <rPh sb="29" eb="31">
      <t>タイセン</t>
    </rPh>
    <rPh sb="31" eb="33">
      <t>アイテ</t>
    </rPh>
    <rPh sb="35" eb="36">
      <t>テン</t>
    </rPh>
    <rPh sb="42" eb="43">
      <t>アタ</t>
    </rPh>
    <rPh sb="48" eb="49">
      <t>モ</t>
    </rPh>
    <rPh sb="55" eb="57">
      <t>セイセイ</t>
    </rPh>
    <phoneticPr fontId="4"/>
  </si>
  <si>
    <t>炎鎖のアングラス</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</si>
</sst>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ＭＳ Ｐゴシック"/>
      <charset val="128"/>
      <scheme val="minor"/>
    </font>
    <font>
      <sz val="11"/>
      <color theme="1"/>
      <name val="ＭＳ Ｐゴシック"/>
      <family val="2"/>
      <charset val="128"/>
      <scheme val="minor"/>
    </font>
    <font>
      <sz val="10"/>
      <color rgb="FF707070"/>
      <name val="Verdana"/>
      <family val="2"/>
    </font>
    <font>
      <sz val="11"/>
      <color theme="1"/>
      <name val="ＭＳ Ｐゴシック"/>
      <family val="3"/>
      <charset val="128"/>
      <scheme val="minor"/>
    </font>
    <font>
      <sz val="6"/>
      <name val="ＭＳ Ｐゴシック"/>
      <family val="3"/>
      <charset val="128"/>
      <scheme val="minor"/>
    </font>
    <font>
      <sz val="6"/>
      <name val="ＭＳ Ｐゴシック"/>
      <family val="3"/>
      <charset val="128"/>
      <scheme val="minor"/>
    </font>
    <font>
      <sz val="11"/>
      <color rgb="FF000000"/>
      <name val="ＭＳ Ｐゴシック"/>
      <family val="3"/>
      <charset val="128"/>
    </font>
  </fonts>
  <fills count="3">
    <fill>
      <patternFill patternType="none"/>
    </fill>
    <fill>
      <patternFill patternType="gray125"/>
    </fill>
    <fill>
      <patternFill patternType="solid">
        <fgColor rgb="FFFFFF00"/>
        <bgColor indexed="64"/>
      </patternFill>
    </fill>
  </fills>
  <borders count="4">
    <border>
      <left/>
      <right/>
      <top/>
      <bottom/>
      <diagonal/>
    </border>
    <border>
      <left style="thin">
        <color auto="1"/>
      </left>
      <right/>
      <top/>
      <bottom/>
      <diagonal/>
    </border>
    <border>
      <left/>
      <right style="thin">
        <color auto="1"/>
      </right>
      <top/>
      <bottom/>
      <diagonal/>
    </border>
    <border>
      <left style="thin">
        <color auto="1"/>
      </left>
      <right style="thin">
        <color auto="1"/>
      </right>
      <top style="thin">
        <color auto="1"/>
      </top>
      <bottom style="thin">
        <color auto="1"/>
      </bottom>
      <diagonal/>
    </border>
  </borders>
  <cellStyleXfs count="1">
    <xf numFmtId="0" fontId="0" fillId="0" borderId="0">
      <alignment vertical="center"/>
    </xf>
  </cellStyleXfs>
  <cellXfs count="12">
    <xf numFmtId="0" fontId="0" fillId="0" borderId="0" xfId="0">
      <alignment vertical="center"/>
    </xf>
    <xf numFmtId="0" fontId="0" fillId="0" borderId="1" xfId="0" applyBorder="1">
      <alignment vertical="center"/>
    </xf>
    <xf numFmtId="0" fontId="0" fillId="0" borderId="2" xfId="0" applyBorder="1">
      <alignment vertical="center"/>
    </xf>
    <xf numFmtId="0" fontId="0" fillId="0" borderId="0" xfId="0" applyFill="1" applyBorder="1">
      <alignment vertical="center"/>
    </xf>
    <xf numFmtId="0" fontId="0" fillId="0" borderId="0" xfId="0" applyFill="1">
      <alignment vertical="center"/>
    </xf>
    <xf numFmtId="0" fontId="0" fillId="0" borderId="0" xfId="0" applyBorder="1">
      <alignment vertical="center"/>
    </xf>
    <xf numFmtId="0" fontId="2" fillId="0" borderId="0" xfId="0" applyFont="1" applyAlignment="1">
      <alignment horizontal="left" vertical="center" wrapText="1"/>
    </xf>
    <xf numFmtId="0" fontId="0" fillId="0" borderId="3" xfId="0" applyBorder="1">
      <alignment vertical="center"/>
    </xf>
    <xf numFmtId="0" fontId="3" fillId="0" borderId="0" xfId="0" applyFont="1">
      <alignment vertical="center"/>
    </xf>
    <xf numFmtId="0" fontId="3" fillId="0" borderId="3" xfId="0" applyFont="1" applyBorder="1">
      <alignment vertical="center"/>
    </xf>
    <xf numFmtId="0" fontId="2" fillId="0" borderId="0" xfId="0" applyFont="1">
      <alignment vertical="center"/>
    </xf>
    <xf numFmtId="0" fontId="0" fillId="2" borderId="0" xfId="0" applyFill="1">
      <alignment vertical="center"/>
    </xf>
  </cellXfs>
  <cellStyles count="1">
    <cellStyle name="標準" xfId="0" builtinId="0"/>
  </cellStyles>
  <dxfs count="142">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
      <fill>
        <patternFill patternType="solid">
          <bgColor theme="9" tint="0.59996337778862885"/>
        </patternFill>
      </fill>
    </dxf>
    <dxf>
      <fill>
        <patternFill patternType="solid">
          <bgColor theme="8" tint="0.39991454817346722"/>
        </patternFill>
      </fill>
    </dxf>
  </dxfs>
  <tableStyles count="0"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209550</xdr:colOff>
          <xdr:row>130</xdr:row>
          <xdr:rowOff>152400</xdr:rowOff>
        </xdr:from>
        <xdr:to>
          <xdr:col>6</xdr:col>
          <xdr:colOff>85725</xdr:colOff>
          <xdr:row>132</xdr:row>
          <xdr:rowOff>66675</xdr:rowOff>
        </xdr:to>
        <xdr:sp macro="" textlink="">
          <xdr:nvSpPr>
            <xdr:cNvPr id="2050" name="ボタン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色fil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130</xdr:row>
          <xdr:rowOff>161925</xdr:rowOff>
        </xdr:from>
        <xdr:to>
          <xdr:col>7</xdr:col>
          <xdr:colOff>666750</xdr:colOff>
          <xdr:row>132</xdr:row>
          <xdr:rowOff>76200</xdr:rowOff>
        </xdr:to>
        <xdr:sp macro="" textlink="">
          <xdr:nvSpPr>
            <xdr:cNvPr id="2052" name="ボタン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種fil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209550</xdr:colOff>
          <xdr:row>124</xdr:row>
          <xdr:rowOff>152400</xdr:rowOff>
        </xdr:from>
        <xdr:to>
          <xdr:col>6</xdr:col>
          <xdr:colOff>85725</xdr:colOff>
          <xdr:row>126</xdr:row>
          <xdr:rowOff>66675</xdr:rowOff>
        </xdr:to>
        <xdr:sp macro="" textlink="">
          <xdr:nvSpPr>
            <xdr:cNvPr id="77825" name="Button 1"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色fil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124</xdr:row>
          <xdr:rowOff>161925</xdr:rowOff>
        </xdr:from>
        <xdr:to>
          <xdr:col>7</xdr:col>
          <xdr:colOff>666750</xdr:colOff>
          <xdr:row>126</xdr:row>
          <xdr:rowOff>76200</xdr:rowOff>
        </xdr:to>
        <xdr:sp macro="" textlink="">
          <xdr:nvSpPr>
            <xdr:cNvPr id="77826" name="Button 2"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種fil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209550</xdr:colOff>
          <xdr:row>124</xdr:row>
          <xdr:rowOff>152400</xdr:rowOff>
        </xdr:from>
        <xdr:to>
          <xdr:col>6</xdr:col>
          <xdr:colOff>85725</xdr:colOff>
          <xdr:row>126</xdr:row>
          <xdr:rowOff>66675</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54362032-6EBF-4391-9F97-116FA45EFB1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色fil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124</xdr:row>
          <xdr:rowOff>161925</xdr:rowOff>
        </xdr:from>
        <xdr:to>
          <xdr:col>7</xdr:col>
          <xdr:colOff>666750</xdr:colOff>
          <xdr:row>126</xdr:row>
          <xdr:rowOff>76200</xdr:rowOff>
        </xdr:to>
        <xdr:sp macro="" textlink="">
          <xdr:nvSpPr>
            <xdr:cNvPr id="82946" name="Button 2" hidden="1">
              <a:extLst>
                <a:ext uri="{63B3BB69-23CF-44E3-9099-C40C66FF867C}">
                  <a14:compatExt spid="_x0000_s82946"/>
                </a:ext>
                <a:ext uri="{FF2B5EF4-FFF2-40B4-BE49-F238E27FC236}">
                  <a16:creationId xmlns:a16="http://schemas.microsoft.com/office/drawing/2014/main" id="{889983C5-731A-40D7-9A98-7A5D5A14BF4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種fil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209550</xdr:colOff>
          <xdr:row>123</xdr:row>
          <xdr:rowOff>152400</xdr:rowOff>
        </xdr:from>
        <xdr:to>
          <xdr:col>6</xdr:col>
          <xdr:colOff>85725</xdr:colOff>
          <xdr:row>125</xdr:row>
          <xdr:rowOff>66675</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1A00-0000012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色fil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123</xdr:row>
          <xdr:rowOff>161925</xdr:rowOff>
        </xdr:from>
        <xdr:to>
          <xdr:col>7</xdr:col>
          <xdr:colOff>666750</xdr:colOff>
          <xdr:row>125</xdr:row>
          <xdr:rowOff>76200</xdr:rowOff>
        </xdr:to>
        <xdr:sp macro="" textlink="">
          <xdr:nvSpPr>
            <xdr:cNvPr id="73730" name="Button 2" hidden="1">
              <a:extLst>
                <a:ext uri="{63B3BB69-23CF-44E3-9099-C40C66FF867C}">
                  <a14:compatExt spid="_x0000_s73730"/>
                </a:ext>
                <a:ext uri="{FF2B5EF4-FFF2-40B4-BE49-F238E27FC236}">
                  <a16:creationId xmlns:a16="http://schemas.microsoft.com/office/drawing/2014/main" id="{00000000-0008-0000-1A00-0000022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種fil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209550</xdr:colOff>
          <xdr:row>124</xdr:row>
          <xdr:rowOff>152400</xdr:rowOff>
        </xdr:from>
        <xdr:to>
          <xdr:col>6</xdr:col>
          <xdr:colOff>85725</xdr:colOff>
          <xdr:row>126</xdr:row>
          <xdr:rowOff>66675</xdr:rowOff>
        </xdr:to>
        <xdr:sp macro="" textlink="">
          <xdr:nvSpPr>
            <xdr:cNvPr id="70657" name="Button 1" hidden="1">
              <a:extLst>
                <a:ext uri="{63B3BB69-23CF-44E3-9099-C40C66FF867C}">
                  <a14:compatExt spid="_x0000_s70657"/>
                </a:ext>
                <a:ext uri="{FF2B5EF4-FFF2-40B4-BE49-F238E27FC236}">
                  <a16:creationId xmlns:a16="http://schemas.microsoft.com/office/drawing/2014/main" id="{00000000-0008-0000-1D00-0000011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色fil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124</xdr:row>
          <xdr:rowOff>161925</xdr:rowOff>
        </xdr:from>
        <xdr:to>
          <xdr:col>7</xdr:col>
          <xdr:colOff>666750</xdr:colOff>
          <xdr:row>126</xdr:row>
          <xdr:rowOff>76200</xdr:rowOff>
        </xdr:to>
        <xdr:sp macro="" textlink="">
          <xdr:nvSpPr>
            <xdr:cNvPr id="70658" name="Button 2" hidden="1">
              <a:extLst>
                <a:ext uri="{63B3BB69-23CF-44E3-9099-C40C66FF867C}">
                  <a14:compatExt spid="_x0000_s70658"/>
                </a:ext>
                <a:ext uri="{FF2B5EF4-FFF2-40B4-BE49-F238E27FC236}">
                  <a16:creationId xmlns:a16="http://schemas.microsoft.com/office/drawing/2014/main" id="{00000000-0008-0000-1D00-0000021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種fil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209550</xdr:colOff>
          <xdr:row>124</xdr:row>
          <xdr:rowOff>152400</xdr:rowOff>
        </xdr:from>
        <xdr:to>
          <xdr:col>6</xdr:col>
          <xdr:colOff>85725</xdr:colOff>
          <xdr:row>126</xdr:row>
          <xdr:rowOff>66675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1F00-0000018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色fil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124</xdr:row>
          <xdr:rowOff>161925</xdr:rowOff>
        </xdr:from>
        <xdr:to>
          <xdr:col>7</xdr:col>
          <xdr:colOff>666750</xdr:colOff>
          <xdr:row>126</xdr:row>
          <xdr:rowOff>76200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1F00-0000028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種fil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209550</xdr:colOff>
          <xdr:row>127</xdr:row>
          <xdr:rowOff>152400</xdr:rowOff>
        </xdr:from>
        <xdr:to>
          <xdr:col>6</xdr:col>
          <xdr:colOff>85725</xdr:colOff>
          <xdr:row>129</xdr:row>
          <xdr:rowOff>66675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2000-0000011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色fil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127</xdr:row>
          <xdr:rowOff>161925</xdr:rowOff>
        </xdr:from>
        <xdr:to>
          <xdr:col>7</xdr:col>
          <xdr:colOff>666750</xdr:colOff>
          <xdr:row>129</xdr:row>
          <xdr:rowOff>76200</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00000000-0008-0000-2000-0000021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種fil</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214"/>
  <sheetViews>
    <sheetView topLeftCell="A124" workbookViewId="0">
      <selection activeCell="H136" sqref="H136:H194"/>
    </sheetView>
  </sheetViews>
  <sheetFormatPr defaultColWidth="9" defaultRowHeight="13.5" x14ac:dyDescent="0.15"/>
  <cols>
    <col min="2" max="2" width="3.5" customWidth="1"/>
    <col min="3" max="3" width="7.875" customWidth="1"/>
    <col min="4" max="4" width="5.5" customWidth="1"/>
    <col min="5" max="5" width="2.875" customWidth="1"/>
    <col min="7" max="7" width="2" customWidth="1"/>
    <col min="9" max="9" width="2" customWidth="1"/>
    <col min="11" max="11" width="2" customWidth="1"/>
    <col min="13" max="13" width="2" customWidth="1"/>
    <col min="15" max="15" width="2" customWidth="1"/>
    <col min="17" max="17" width="2.75" customWidth="1"/>
  </cols>
  <sheetData>
    <row r="1" spans="1:24" x14ac:dyDescent="0.15">
      <c r="A1" t="str">
        <f t="shared" ref="A1:A13" si="0">C1&amp;D1&amp;E1&amp;F1&amp;G1&amp;H1&amp;I1&amp;J1&amp;K1&amp;L1&amp;M1&amp;N1&amp;O1&amp;P1&amp;Q1&amp;R1&amp;S1&amp;T1&amp;U1&amp;V1</f>
        <v>*Lv60時ステータス</v>
      </c>
      <c r="C1" t="s">
        <v>577</v>
      </c>
      <c r="W1" s="8" t="s">
        <v>859</v>
      </c>
      <c r="X1">
        <f>PW平均!G38</f>
        <v>109.3</v>
      </c>
    </row>
    <row r="2" spans="1:24" x14ac:dyDescent="0.15">
      <c r="A2" t="str">
        <f t="shared" si="0"/>
        <v>|LEFT:70|LEFT:30|LEFT:30|LEFT:30|LEFT:30|LEFT:30|LEFT:70|LEFT:50|LEFT:60|c</v>
      </c>
      <c r="C2" t="s">
        <v>3</v>
      </c>
      <c r="D2" t="s">
        <v>578</v>
      </c>
      <c r="E2" t="s">
        <v>3</v>
      </c>
      <c r="F2" t="s">
        <v>579</v>
      </c>
      <c r="G2" t="s">
        <v>3</v>
      </c>
      <c r="H2" t="s">
        <v>579</v>
      </c>
      <c r="I2" t="s">
        <v>3</v>
      </c>
      <c r="J2" t="s">
        <v>579</v>
      </c>
      <c r="K2" t="s">
        <v>3</v>
      </c>
      <c r="L2" t="s">
        <v>579</v>
      </c>
      <c r="M2" t="s">
        <v>3</v>
      </c>
      <c r="N2" t="s">
        <v>579</v>
      </c>
      <c r="O2" t="s">
        <v>3</v>
      </c>
      <c r="P2" t="s">
        <v>578</v>
      </c>
      <c r="Q2" t="s">
        <v>3</v>
      </c>
      <c r="R2" t="s">
        <v>4</v>
      </c>
      <c r="S2" t="s">
        <v>3</v>
      </c>
      <c r="T2" t="s">
        <v>580</v>
      </c>
      <c r="U2" t="s">
        <v>3</v>
      </c>
      <c r="V2" t="s">
        <v>5</v>
      </c>
      <c r="W2" s="8" t="s">
        <v>860</v>
      </c>
      <c r="X2">
        <f>PW平均!AQ38</f>
        <v>7.4</v>
      </c>
    </row>
    <row r="3" spans="1:24" x14ac:dyDescent="0.15">
      <c r="A3" t="str">
        <f t="shared" si="0"/>
        <v>|HP|&gt;|&gt;|&gt;|&gt;|マナボーナス|&gt;|&gt;|デッキ構築枚数上限|</v>
      </c>
      <c r="C3" t="s">
        <v>3</v>
      </c>
      <c r="D3" t="s">
        <v>7</v>
      </c>
      <c r="E3" t="s">
        <v>3</v>
      </c>
      <c r="F3" t="s">
        <v>209</v>
      </c>
      <c r="G3" t="s">
        <v>3</v>
      </c>
      <c r="H3" t="s">
        <v>209</v>
      </c>
      <c r="I3" t="s">
        <v>3</v>
      </c>
      <c r="J3" t="s">
        <v>209</v>
      </c>
      <c r="K3" t="s">
        <v>3</v>
      </c>
      <c r="L3" t="s">
        <v>209</v>
      </c>
      <c r="M3" t="s">
        <v>3</v>
      </c>
      <c r="N3" t="s">
        <v>581</v>
      </c>
      <c r="O3" t="s">
        <v>3</v>
      </c>
      <c r="P3" t="s">
        <v>209</v>
      </c>
      <c r="Q3" t="s">
        <v>3</v>
      </c>
      <c r="R3" t="s">
        <v>209</v>
      </c>
      <c r="S3" t="s">
        <v>3</v>
      </c>
      <c r="T3" t="s">
        <v>582</v>
      </c>
      <c r="U3" t="s">
        <v>3</v>
      </c>
    </row>
    <row r="4" spans="1:24" x14ac:dyDescent="0.15">
      <c r="A4" t="str">
        <f t="shared" si="0"/>
        <v>|^|白|青|黒|赤|緑|クリーチャー|呪文|サポート|</v>
      </c>
      <c r="C4" t="s">
        <v>3</v>
      </c>
      <c r="D4" t="s">
        <v>583</v>
      </c>
      <c r="E4" t="s">
        <v>3</v>
      </c>
      <c r="F4" t="s">
        <v>11</v>
      </c>
      <c r="G4" t="s">
        <v>3</v>
      </c>
      <c r="H4" t="s">
        <v>12</v>
      </c>
      <c r="I4" t="s">
        <v>3</v>
      </c>
      <c r="J4" t="s">
        <v>13</v>
      </c>
      <c r="K4" t="s">
        <v>3</v>
      </c>
      <c r="L4" t="s">
        <v>14</v>
      </c>
      <c r="M4" t="s">
        <v>3</v>
      </c>
      <c r="N4" t="s">
        <v>15</v>
      </c>
      <c r="O4" t="s">
        <v>3</v>
      </c>
      <c r="P4" t="s">
        <v>20</v>
      </c>
      <c r="Q4" t="s">
        <v>3</v>
      </c>
      <c r="R4" t="s">
        <v>21</v>
      </c>
      <c r="S4" t="s">
        <v>3</v>
      </c>
      <c r="T4" t="s">
        <v>22</v>
      </c>
      <c r="U4" t="s">
        <v>3</v>
      </c>
    </row>
    <row r="5" spans="1:24" x14ac:dyDescent="0.15">
      <c r="A5" t="str">
        <f t="shared" si="0"/>
        <v>|70|0|0|0|0|0|0|0|0|</v>
      </c>
      <c r="C5" t="s">
        <v>3</v>
      </c>
      <c r="D5">
        <f>VLOOKUP(MAX(D39:D67),D39:F67,3,TRUE)</f>
        <v>70</v>
      </c>
      <c r="E5" t="s">
        <v>3</v>
      </c>
      <c r="F5">
        <f>VLOOKUP(MAX($D$73:$D$84),$D$73:$P$84,5,TRUE)</f>
        <v>0</v>
      </c>
      <c r="G5" t="s">
        <v>3</v>
      </c>
      <c r="H5">
        <f>VLOOKUP(MAX($D$73:$D$84),$D$73:$P$84,7,TRUE)</f>
        <v>0</v>
      </c>
      <c r="I5" t="s">
        <v>3</v>
      </c>
      <c r="J5">
        <f>VLOOKUP(MAX($D$73:$D$84),$D$73:$P$84,9,TRUE)</f>
        <v>0</v>
      </c>
      <c r="K5" t="s">
        <v>3</v>
      </c>
      <c r="L5">
        <f>VLOOKUP(MAX($D$73:$D$84),$D$73:$P$84,11,TRUE)</f>
        <v>0</v>
      </c>
      <c r="M5" t="s">
        <v>3</v>
      </c>
      <c r="N5">
        <f>VLOOKUP(MAX($D$73:$D$84),$D$73:$P$84,13,TRUE)</f>
        <v>0</v>
      </c>
      <c r="O5" t="s">
        <v>3</v>
      </c>
      <c r="P5">
        <f>VLOOKUP(MAX($D$91:$D$102),$D$91:$L$102,5,TRUE)</f>
        <v>0</v>
      </c>
      <c r="Q5" t="s">
        <v>3</v>
      </c>
      <c r="R5">
        <f>VLOOKUP(MAX($D$91:$D$102),$D$91:$L$102,7,TRUE)</f>
        <v>0</v>
      </c>
      <c r="S5" t="s">
        <v>3</v>
      </c>
      <c r="T5">
        <f>VLOOKUP(MAX($D$91:$D$102),$D$91:$L$102,9,TRUE)</f>
        <v>0</v>
      </c>
      <c r="U5" t="s">
        <v>3</v>
      </c>
    </row>
    <row r="6" spans="1:24" x14ac:dyDescent="0.15">
      <c r="A6" t="str">
        <f t="shared" si="0"/>
        <v>||&gt;|&gt;|&gt;|&gt;|&gt;|&gt;|PW能力|コスト|</v>
      </c>
      <c r="C6" t="s">
        <v>3</v>
      </c>
      <c r="E6" t="s">
        <v>3</v>
      </c>
      <c r="F6" t="s">
        <v>209</v>
      </c>
      <c r="G6" t="s">
        <v>3</v>
      </c>
      <c r="H6" t="s">
        <v>209</v>
      </c>
      <c r="I6" t="s">
        <v>3</v>
      </c>
      <c r="J6" t="s">
        <v>209</v>
      </c>
      <c r="K6" t="s">
        <v>3</v>
      </c>
      <c r="L6" t="s">
        <v>209</v>
      </c>
      <c r="M6" t="s">
        <v>3</v>
      </c>
      <c r="N6" t="s">
        <v>209</v>
      </c>
      <c r="O6" t="s">
        <v>3</v>
      </c>
      <c r="P6" t="s">
        <v>209</v>
      </c>
      <c r="Q6" t="s">
        <v>3</v>
      </c>
      <c r="R6" t="s">
        <v>584</v>
      </c>
      <c r="S6" t="s">
        <v>3</v>
      </c>
      <c r="T6" t="s">
        <v>28</v>
      </c>
      <c r="U6" t="s">
        <v>3</v>
      </c>
    </row>
    <row r="7" spans="1:24" x14ac:dyDescent="0.15">
      <c r="A7" t="str">
        <f t="shared" si="0"/>
        <v>|第1能力|&gt;|&gt;|&gt;|&gt;|&gt;|&gt;|/|0|</v>
      </c>
      <c r="C7" t="s">
        <v>3</v>
      </c>
      <c r="D7" t="s">
        <v>585</v>
      </c>
      <c r="E7" t="s">
        <v>3</v>
      </c>
      <c r="F7" t="s">
        <v>209</v>
      </c>
      <c r="G7" t="s">
        <v>3</v>
      </c>
      <c r="H7" t="s">
        <v>209</v>
      </c>
      <c r="I7" t="s">
        <v>3</v>
      </c>
      <c r="J7" t="s">
        <v>209</v>
      </c>
      <c r="K7" t="s">
        <v>3</v>
      </c>
      <c r="L7" t="s">
        <v>209</v>
      </c>
      <c r="M7" t="s">
        <v>3</v>
      </c>
      <c r="N7" t="s">
        <v>209</v>
      </c>
      <c r="O7" t="s">
        <v>3</v>
      </c>
      <c r="P7" t="s">
        <v>209</v>
      </c>
      <c r="Q7" t="s">
        <v>3</v>
      </c>
      <c r="R7" t="str">
        <f>R106</f>
        <v>/</v>
      </c>
      <c r="S7" t="s">
        <v>3</v>
      </c>
      <c r="T7">
        <f>H112</f>
        <v>0</v>
      </c>
      <c r="U7" t="s">
        <v>3</v>
      </c>
    </row>
    <row r="8" spans="1:24" x14ac:dyDescent="0.15">
      <c r="A8" t="str">
        <f t="shared" si="0"/>
        <v>|&gt;|&gt;|&gt;|&gt;|&gt;|&gt;|&gt;|&gt;|0|</v>
      </c>
      <c r="C8" t="s">
        <v>3</v>
      </c>
      <c r="D8" t="s">
        <v>209</v>
      </c>
      <c r="E8" t="s">
        <v>3</v>
      </c>
      <c r="F8" t="s">
        <v>209</v>
      </c>
      <c r="G8" t="s">
        <v>3</v>
      </c>
      <c r="H8" t="s">
        <v>209</v>
      </c>
      <c r="I8" t="s">
        <v>3</v>
      </c>
      <c r="J8" t="s">
        <v>209</v>
      </c>
      <c r="K8" t="s">
        <v>3</v>
      </c>
      <c r="L8" t="s">
        <v>209</v>
      </c>
      <c r="M8" t="s">
        <v>3</v>
      </c>
      <c r="N8" t="s">
        <v>209</v>
      </c>
      <c r="O8" t="s">
        <v>3</v>
      </c>
      <c r="P8" t="s">
        <v>209</v>
      </c>
      <c r="Q8" t="s">
        <v>3</v>
      </c>
      <c r="R8" t="s">
        <v>209</v>
      </c>
      <c r="S8" t="s">
        <v>3</v>
      </c>
      <c r="T8">
        <f>J112</f>
        <v>0</v>
      </c>
      <c r="U8" t="s">
        <v>3</v>
      </c>
    </row>
    <row r="9" spans="1:24" x14ac:dyDescent="0.15">
      <c r="A9" t="str">
        <f t="shared" si="0"/>
        <v>|第2能力|&gt;|&gt;|&gt;|&gt;|&gt;|&gt;|/|0|</v>
      </c>
      <c r="C9" t="s">
        <v>3</v>
      </c>
      <c r="D9" t="s">
        <v>587</v>
      </c>
      <c r="E9" t="s">
        <v>3</v>
      </c>
      <c r="F9" t="s">
        <v>209</v>
      </c>
      <c r="G9" t="s">
        <v>3</v>
      </c>
      <c r="H9" t="s">
        <v>209</v>
      </c>
      <c r="I9" t="s">
        <v>3</v>
      </c>
      <c r="J9" t="s">
        <v>209</v>
      </c>
      <c r="K9" t="s">
        <v>3</v>
      </c>
      <c r="L9" t="s">
        <v>209</v>
      </c>
      <c r="M9" t="s">
        <v>3</v>
      </c>
      <c r="N9" t="s">
        <v>209</v>
      </c>
      <c r="O9" t="s">
        <v>3</v>
      </c>
      <c r="P9" t="s">
        <v>209</v>
      </c>
      <c r="Q9" t="s">
        <v>3</v>
      </c>
      <c r="R9" t="str">
        <f>R115</f>
        <v>/</v>
      </c>
      <c r="S9" t="s">
        <v>3</v>
      </c>
      <c r="T9">
        <f>H121</f>
        <v>0</v>
      </c>
      <c r="U9" t="s">
        <v>3</v>
      </c>
    </row>
    <row r="10" spans="1:24" x14ac:dyDescent="0.15">
      <c r="A10" t="str">
        <f t="shared" si="0"/>
        <v>|&gt;|&gt;|&gt;|&gt;|&gt;|&gt;|&gt;|&gt;|0|</v>
      </c>
      <c r="C10" t="s">
        <v>3</v>
      </c>
      <c r="D10" t="s">
        <v>209</v>
      </c>
      <c r="E10" t="s">
        <v>3</v>
      </c>
      <c r="F10" t="s">
        <v>209</v>
      </c>
      <c r="G10" t="s">
        <v>3</v>
      </c>
      <c r="H10" t="s">
        <v>209</v>
      </c>
      <c r="I10" t="s">
        <v>3</v>
      </c>
      <c r="J10" t="s">
        <v>209</v>
      </c>
      <c r="K10" t="s">
        <v>3</v>
      </c>
      <c r="L10" t="s">
        <v>209</v>
      </c>
      <c r="M10" t="s">
        <v>3</v>
      </c>
      <c r="N10" t="s">
        <v>209</v>
      </c>
      <c r="O10" t="s">
        <v>3</v>
      </c>
      <c r="P10" t="s">
        <v>209</v>
      </c>
      <c r="Q10" t="s">
        <v>3</v>
      </c>
      <c r="R10" t="s">
        <v>209</v>
      </c>
      <c r="S10" t="s">
        <v>3</v>
      </c>
      <c r="T10">
        <f>J121</f>
        <v>0</v>
      </c>
      <c r="U10" t="s">
        <v>3</v>
      </c>
    </row>
    <row r="11" spans="1:24" x14ac:dyDescent="0.15">
      <c r="A11" t="str">
        <f t="shared" si="0"/>
        <v>|第3能力|&gt;|&gt;|&gt;|&gt;|&gt;|&gt;|/|0|</v>
      </c>
      <c r="C11" t="s">
        <v>3</v>
      </c>
      <c r="D11" t="s">
        <v>590</v>
      </c>
      <c r="E11" t="s">
        <v>3</v>
      </c>
      <c r="F11" t="s">
        <v>209</v>
      </c>
      <c r="G11" t="s">
        <v>3</v>
      </c>
      <c r="H11" t="s">
        <v>209</v>
      </c>
      <c r="I11" t="s">
        <v>3</v>
      </c>
      <c r="J11" t="s">
        <v>209</v>
      </c>
      <c r="K11" t="s">
        <v>3</v>
      </c>
      <c r="L11" t="s">
        <v>209</v>
      </c>
      <c r="M11" t="s">
        <v>3</v>
      </c>
      <c r="N11" t="s">
        <v>209</v>
      </c>
      <c r="O11" t="s">
        <v>3</v>
      </c>
      <c r="P11" t="s">
        <v>209</v>
      </c>
      <c r="Q11" t="s">
        <v>3</v>
      </c>
      <c r="R11" t="str">
        <f>R124</f>
        <v>/</v>
      </c>
      <c r="S11" t="s">
        <v>3</v>
      </c>
      <c r="T11">
        <f>H130</f>
        <v>0</v>
      </c>
      <c r="U11" t="s">
        <v>3</v>
      </c>
    </row>
    <row r="12" spans="1:24" x14ac:dyDescent="0.15">
      <c r="A12" t="str">
        <f t="shared" si="0"/>
        <v>|&gt;|&gt;|&gt;|&gt;|&gt;|&gt;|&gt;|&gt;|0|</v>
      </c>
      <c r="C12" t="s">
        <v>3</v>
      </c>
      <c r="D12" t="s">
        <v>209</v>
      </c>
      <c r="E12" t="s">
        <v>3</v>
      </c>
      <c r="F12" t="s">
        <v>209</v>
      </c>
      <c r="G12" t="s">
        <v>3</v>
      </c>
      <c r="H12" t="s">
        <v>209</v>
      </c>
      <c r="I12" t="s">
        <v>3</v>
      </c>
      <c r="J12" t="s">
        <v>209</v>
      </c>
      <c r="K12" t="s">
        <v>3</v>
      </c>
      <c r="L12" t="s">
        <v>209</v>
      </c>
      <c r="M12" t="s">
        <v>3</v>
      </c>
      <c r="N12" t="s">
        <v>209</v>
      </c>
      <c r="O12" t="s">
        <v>3</v>
      </c>
      <c r="P12" t="s">
        <v>209</v>
      </c>
      <c r="Q12" t="s">
        <v>3</v>
      </c>
      <c r="R12" t="s">
        <v>209</v>
      </c>
      <c r="S12" t="s">
        <v>3</v>
      </c>
      <c r="T12">
        <f>J130</f>
        <v>0</v>
      </c>
      <c r="U12" t="s">
        <v>3</v>
      </c>
    </row>
    <row r="13" spans="1:24" x14ac:dyDescent="0.15">
      <c r="A13" t="str">
        <f t="shared" si="0"/>
        <v/>
      </c>
    </row>
    <row r="14" spans="1:24" x14ac:dyDescent="0.15">
      <c r="A14" t="str">
        <f t="shared" ref="A14:A33" si="1">B14&amp;C14&amp;D14&amp;E14&amp;F14&amp;G14&amp;H14&amp;I14&amp;J14&amp;K14&amp;L14&amp;M14&amp;N14&amp;O14&amp;P14&amp;Q14&amp;R14&amp;S14&amp;T14&amp;U14</f>
        <v>*評価</v>
      </c>
      <c r="B14" t="s">
        <v>592</v>
      </c>
      <c r="C14" t="s">
        <v>593</v>
      </c>
    </row>
    <row r="15" spans="1:24" x14ac:dyDescent="0.15">
      <c r="A15" t="str">
        <f t="shared" si="1"/>
        <v>・HPは平均以下</v>
      </c>
      <c r="B15" t="s">
        <v>594</v>
      </c>
      <c r="C15" s="8" t="s">
        <v>653</v>
      </c>
      <c r="D15" t="str">
        <f>IF(D5&gt;X1+5,"以上",IF(D5&gt;X1-5,"","以下"))</f>
        <v>以下</v>
      </c>
    </row>
    <row r="16" spans="1:24" x14ac:dyDescent="0.15">
      <c r="A16" t="str">
        <f t="shared" si="1"/>
        <v>・マナボーナス合計は+0。平均以下。</v>
      </c>
      <c r="B16" t="s">
        <v>594</v>
      </c>
      <c r="C16" t="s">
        <v>595</v>
      </c>
      <c r="D16">
        <f>SUM(F5:N5)</f>
        <v>0</v>
      </c>
      <c r="E16" t="s">
        <v>596</v>
      </c>
      <c r="F16" t="s">
        <v>597</v>
      </c>
      <c r="G16" t="str">
        <f>IF(D16&gt;X2,"以上",IF(D16&gt;X2,"","以下"))</f>
        <v>以下</v>
      </c>
      <c r="H16" t="s">
        <v>596</v>
      </c>
    </row>
    <row r="17" spans="1:6" x14ac:dyDescent="0.15">
      <c r="A17" t="str">
        <f t="shared" si="1"/>
        <v>・</v>
      </c>
      <c r="B17" t="s">
        <v>594</v>
      </c>
    </row>
    <row r="18" spans="1:6" x14ac:dyDescent="0.15">
      <c r="A18" t="str">
        <f t="shared" si="1"/>
        <v>・</v>
      </c>
      <c r="B18" t="s">
        <v>594</v>
      </c>
    </row>
    <row r="19" spans="1:6" x14ac:dyDescent="0.15">
      <c r="A19" t="str">
        <f t="shared" si="1"/>
        <v>・</v>
      </c>
      <c r="B19" t="s">
        <v>594</v>
      </c>
    </row>
    <row r="20" spans="1:6" x14ac:dyDescent="0.15">
      <c r="A20" t="str">
        <f t="shared" si="1"/>
        <v>*採用候補</v>
      </c>
      <c r="B20" s="8" t="s">
        <v>652</v>
      </c>
    </row>
    <row r="21" spans="1:6" x14ac:dyDescent="0.15">
      <c r="A21" t="str">
        <f t="shared" si="1"/>
        <v>・色が合えば採用候補レベルのものではなく、PWに合った採用候補を紹介</v>
      </c>
      <c r="B21" t="s">
        <v>645</v>
      </c>
    </row>
    <row r="22" spans="1:6" x14ac:dyDescent="0.15">
      <c r="A22" t="str">
        <f t="shared" si="1"/>
        <v/>
      </c>
    </row>
    <row r="23" spans="1:6" x14ac:dyDescent="0.15">
      <c r="A23" t="str">
        <f t="shared" si="1"/>
        <v>**スタンダード</v>
      </c>
      <c r="B23" s="8" t="s">
        <v>650</v>
      </c>
    </row>
    <row r="24" spans="1:6" x14ac:dyDescent="0.15">
      <c r="A24" t="str">
        <f t="shared" si="1"/>
        <v>スタンダード(ORI/KLD/AKH/HOU期)</v>
      </c>
      <c r="B24" t="s">
        <v>646</v>
      </c>
    </row>
    <row r="25" spans="1:6" x14ac:dyDescent="0.15">
      <c r="A25" t="str">
        <f t="shared" si="1"/>
        <v>《[[]]》[]：</v>
      </c>
      <c r="B25" s="8" t="s">
        <v>718</v>
      </c>
      <c r="D25" t="s">
        <v>719</v>
      </c>
      <c r="E25" s="8"/>
      <c r="F25" t="s">
        <v>713</v>
      </c>
    </row>
    <row r="26" spans="1:6" x14ac:dyDescent="0.15">
      <c r="A26" t="str">
        <f t="shared" si="1"/>
        <v>《[[]]》[]：</v>
      </c>
      <c r="B26" s="8" t="s">
        <v>718</v>
      </c>
      <c r="D26" t="s">
        <v>719</v>
      </c>
      <c r="E26" s="8"/>
      <c r="F26" t="s">
        <v>713</v>
      </c>
    </row>
    <row r="27" spans="1:6" x14ac:dyDescent="0.15">
      <c r="A27" t="str">
        <f t="shared" si="1"/>
        <v/>
      </c>
    </row>
    <row r="28" spans="1:6" x14ac:dyDescent="0.15">
      <c r="A28" t="str">
        <f t="shared" si="1"/>
        <v/>
      </c>
    </row>
    <row r="29" spans="1:6" x14ac:dyDescent="0.15">
      <c r="A29" t="str">
        <f t="shared" si="1"/>
        <v>**レガシー</v>
      </c>
      <c r="B29" s="8" t="s">
        <v>651</v>
      </c>
    </row>
    <row r="30" spans="1:6" x14ac:dyDescent="0.15">
      <c r="A30" t="str">
        <f t="shared" si="1"/>
        <v>《[[]]》[]：</v>
      </c>
      <c r="B30" s="8" t="s">
        <v>718</v>
      </c>
      <c r="D30" t="s">
        <v>719</v>
      </c>
      <c r="E30" s="8"/>
      <c r="F30" t="s">
        <v>713</v>
      </c>
    </row>
    <row r="31" spans="1:6" x14ac:dyDescent="0.15">
      <c r="A31" t="str">
        <f t="shared" si="1"/>
        <v>《[[]]》[]：</v>
      </c>
      <c r="B31" s="8" t="s">
        <v>718</v>
      </c>
      <c r="D31" t="s">
        <v>719</v>
      </c>
      <c r="E31" s="8"/>
      <c r="F31" t="s">
        <v>713</v>
      </c>
    </row>
    <row r="32" spans="1:6" x14ac:dyDescent="0.15">
      <c r="A32" t="str">
        <f t="shared" si="1"/>
        <v/>
      </c>
    </row>
    <row r="33" spans="1:8" x14ac:dyDescent="0.15">
      <c r="A33" t="str">
        <f t="shared" si="1"/>
        <v>#region(close,text=Lv60までの詳細データ)</v>
      </c>
      <c r="B33" t="s">
        <v>598</v>
      </c>
    </row>
    <row r="34" spans="1:8" x14ac:dyDescent="0.15">
      <c r="A34" t="str">
        <f>B34&amp;C34&amp;D34&amp;E34&amp;F34&amp;G34&amp;H34&amp;I34&amp;J34&amp;K34&amp;L34&amp;M34&amp;N34&amp;O34&amp;P34</f>
        <v/>
      </c>
    </row>
    <row r="35" spans="1:8" x14ac:dyDescent="0.15">
      <c r="A35" t="str">
        <f>B35&amp;C35&amp;D35&amp;E35&amp;F35&amp;G35&amp;H35&amp;I35&amp;J35&amp;K35&amp;L35&amp;M35&amp;N35&amp;O35&amp;P35</f>
        <v>&amp;br;</v>
      </c>
      <c r="B35" t="s">
        <v>0</v>
      </c>
    </row>
    <row r="36" spans="1:8" x14ac:dyDescent="0.15">
      <c r="A36" t="str">
        <f>B36&amp;C36&amp;D36&amp;E36&amp;F36&amp;G36&amp;H36&amp;I36&amp;J36&amp;K36&amp;L36&amp;M36&amp;N36&amp;O36&amp;P36</f>
        <v>*HP</v>
      </c>
      <c r="B36" s="8" t="s">
        <v>644</v>
      </c>
    </row>
    <row r="37" spans="1:8" x14ac:dyDescent="0.15">
      <c r="A37" t="str">
        <f>B37&amp;C37&amp;D37&amp;E37&amp;F37&amp;G37&amp;H37</f>
        <v>|LEFT:50|LEFT:50|c</v>
      </c>
      <c r="B37" t="s">
        <v>3</v>
      </c>
      <c r="C37" t="s">
        <v>4</v>
      </c>
      <c r="E37" t="s">
        <v>3</v>
      </c>
      <c r="F37" t="s">
        <v>4</v>
      </c>
      <c r="G37" t="s">
        <v>3</v>
      </c>
      <c r="H37" t="s">
        <v>5</v>
      </c>
    </row>
    <row r="38" spans="1:8" x14ac:dyDescent="0.15">
      <c r="A38" t="str">
        <f t="shared" ref="A38:A67" si="2">B38&amp;C38&amp;D38&amp;E38&amp;F38&amp;G38&amp;H38</f>
        <v>|レベル|HP|</v>
      </c>
      <c r="B38" t="s">
        <v>3</v>
      </c>
      <c r="C38" t="s">
        <v>6</v>
      </c>
      <c r="E38" t="s">
        <v>3</v>
      </c>
      <c r="F38" t="s">
        <v>7</v>
      </c>
      <c r="G38" t="s">
        <v>3</v>
      </c>
    </row>
    <row r="39" spans="1:8" x14ac:dyDescent="0.15">
      <c r="A39" t="str">
        <f t="shared" si="2"/>
        <v>|Lv1|0|</v>
      </c>
      <c r="B39" t="s">
        <v>3</v>
      </c>
      <c r="C39" t="s">
        <v>8</v>
      </c>
      <c r="D39">
        <v>1</v>
      </c>
      <c r="E39" t="s">
        <v>3</v>
      </c>
      <c r="F39">
        <f>B210</f>
        <v>0</v>
      </c>
      <c r="G39" t="s">
        <v>3</v>
      </c>
    </row>
    <row r="40" spans="1:8" x14ac:dyDescent="0.15">
      <c r="A40" t="str">
        <f t="shared" si="2"/>
        <v>|Lv3|3|</v>
      </c>
      <c r="B40" t="s">
        <v>3</v>
      </c>
      <c r="C40" t="s">
        <v>8</v>
      </c>
      <c r="D40">
        <v>3</v>
      </c>
      <c r="E40" t="s">
        <v>3</v>
      </c>
      <c r="F40">
        <f t="shared" ref="F40:F67" si="3">IF(ISBLANK(D40),"",F39+INDEX($H$135:$H$194,D40))</f>
        <v>3</v>
      </c>
      <c r="G40" t="s">
        <v>3</v>
      </c>
    </row>
    <row r="41" spans="1:8" x14ac:dyDescent="0.15">
      <c r="A41" t="str">
        <f t="shared" si="2"/>
        <v>|Lv5|5|</v>
      </c>
      <c r="B41" t="s">
        <v>3</v>
      </c>
      <c r="C41" t="s">
        <v>8</v>
      </c>
      <c r="D41">
        <v>5</v>
      </c>
      <c r="E41" t="s">
        <v>3</v>
      </c>
      <c r="F41">
        <f t="shared" si="3"/>
        <v>5</v>
      </c>
      <c r="G41" t="s">
        <v>3</v>
      </c>
    </row>
    <row r="42" spans="1:8" x14ac:dyDescent="0.15">
      <c r="A42" t="str">
        <f t="shared" si="2"/>
        <v>|Lv7|8|</v>
      </c>
      <c r="B42" t="s">
        <v>3</v>
      </c>
      <c r="C42" t="s">
        <v>8</v>
      </c>
      <c r="D42">
        <v>7</v>
      </c>
      <c r="E42" t="s">
        <v>3</v>
      </c>
      <c r="F42">
        <f t="shared" si="3"/>
        <v>8</v>
      </c>
      <c r="G42" t="s">
        <v>3</v>
      </c>
    </row>
    <row r="43" spans="1:8" x14ac:dyDescent="0.15">
      <c r="A43" t="str">
        <f t="shared" si="2"/>
        <v>|Lv9|10|</v>
      </c>
      <c r="B43" t="s">
        <v>3</v>
      </c>
      <c r="C43" t="s">
        <v>8</v>
      </c>
      <c r="D43">
        <v>9</v>
      </c>
      <c r="E43" t="s">
        <v>3</v>
      </c>
      <c r="F43">
        <f t="shared" si="3"/>
        <v>10</v>
      </c>
      <c r="G43" t="s">
        <v>3</v>
      </c>
    </row>
    <row r="44" spans="1:8" x14ac:dyDescent="0.15">
      <c r="A44" t="str">
        <f t="shared" si="2"/>
        <v>|Lv11|13|</v>
      </c>
      <c r="B44" t="s">
        <v>3</v>
      </c>
      <c r="C44" t="s">
        <v>8</v>
      </c>
      <c r="D44">
        <v>11</v>
      </c>
      <c r="E44" t="s">
        <v>3</v>
      </c>
      <c r="F44">
        <f t="shared" si="3"/>
        <v>13</v>
      </c>
      <c r="G44" t="s">
        <v>3</v>
      </c>
    </row>
    <row r="45" spans="1:8" x14ac:dyDescent="0.15">
      <c r="A45" t="str">
        <f t="shared" si="2"/>
        <v>|Lv13|15|</v>
      </c>
      <c r="B45" t="s">
        <v>3</v>
      </c>
      <c r="C45" t="s">
        <v>8</v>
      </c>
      <c r="D45">
        <v>13</v>
      </c>
      <c r="E45" t="s">
        <v>3</v>
      </c>
      <c r="F45">
        <f t="shared" si="3"/>
        <v>15</v>
      </c>
      <c r="G45" t="s">
        <v>3</v>
      </c>
    </row>
    <row r="46" spans="1:8" x14ac:dyDescent="0.15">
      <c r="A46" t="str">
        <f t="shared" si="2"/>
        <v>|Lv15|18|</v>
      </c>
      <c r="B46" t="s">
        <v>3</v>
      </c>
      <c r="C46" t="s">
        <v>8</v>
      </c>
      <c r="D46">
        <v>15</v>
      </c>
      <c r="E46" t="s">
        <v>3</v>
      </c>
      <c r="F46">
        <f t="shared" si="3"/>
        <v>18</v>
      </c>
      <c r="G46" t="s">
        <v>3</v>
      </c>
    </row>
    <row r="47" spans="1:8" x14ac:dyDescent="0.15">
      <c r="A47" t="str">
        <f t="shared" si="2"/>
        <v>|Lv17|20|</v>
      </c>
      <c r="B47" t="s">
        <v>3</v>
      </c>
      <c r="C47" t="s">
        <v>8</v>
      </c>
      <c r="D47">
        <v>17</v>
      </c>
      <c r="E47" t="s">
        <v>3</v>
      </c>
      <c r="F47">
        <f t="shared" si="3"/>
        <v>20</v>
      </c>
      <c r="G47" t="s">
        <v>3</v>
      </c>
    </row>
    <row r="48" spans="1:8" x14ac:dyDescent="0.15">
      <c r="A48" t="str">
        <f t="shared" si="2"/>
        <v>|Lv19|23|</v>
      </c>
      <c r="B48" t="s">
        <v>3</v>
      </c>
      <c r="C48" t="s">
        <v>8</v>
      </c>
      <c r="D48">
        <v>19</v>
      </c>
      <c r="E48" t="s">
        <v>3</v>
      </c>
      <c r="F48">
        <f t="shared" si="3"/>
        <v>23</v>
      </c>
      <c r="G48" t="s">
        <v>3</v>
      </c>
    </row>
    <row r="49" spans="1:7" x14ac:dyDescent="0.15">
      <c r="A49" t="str">
        <f t="shared" si="2"/>
        <v>|Lv21|25|</v>
      </c>
      <c r="B49" t="s">
        <v>3</v>
      </c>
      <c r="C49" t="s">
        <v>8</v>
      </c>
      <c r="D49">
        <v>21</v>
      </c>
      <c r="E49" t="s">
        <v>3</v>
      </c>
      <c r="F49">
        <f t="shared" si="3"/>
        <v>25</v>
      </c>
      <c r="G49" t="s">
        <v>3</v>
      </c>
    </row>
    <row r="50" spans="1:7" x14ac:dyDescent="0.15">
      <c r="A50" t="str">
        <f t="shared" si="2"/>
        <v>|Lv23|28|</v>
      </c>
      <c r="B50" t="s">
        <v>3</v>
      </c>
      <c r="C50" t="s">
        <v>8</v>
      </c>
      <c r="D50">
        <v>23</v>
      </c>
      <c r="E50" t="s">
        <v>3</v>
      </c>
      <c r="F50">
        <f t="shared" si="3"/>
        <v>28</v>
      </c>
      <c r="G50" t="s">
        <v>3</v>
      </c>
    </row>
    <row r="51" spans="1:7" x14ac:dyDescent="0.15">
      <c r="A51" t="str">
        <f t="shared" si="2"/>
        <v>|Lv25|30|</v>
      </c>
      <c r="B51" t="s">
        <v>3</v>
      </c>
      <c r="C51" t="s">
        <v>8</v>
      </c>
      <c r="D51">
        <v>25</v>
      </c>
      <c r="E51" t="s">
        <v>3</v>
      </c>
      <c r="F51">
        <f t="shared" si="3"/>
        <v>30</v>
      </c>
      <c r="G51" t="s">
        <v>3</v>
      </c>
    </row>
    <row r="52" spans="1:7" x14ac:dyDescent="0.15">
      <c r="A52" t="str">
        <f t="shared" si="2"/>
        <v>|Lv27|33|</v>
      </c>
      <c r="B52" t="s">
        <v>3</v>
      </c>
      <c r="C52" t="s">
        <v>8</v>
      </c>
      <c r="D52">
        <v>27</v>
      </c>
      <c r="E52" t="s">
        <v>3</v>
      </c>
      <c r="F52">
        <f t="shared" si="3"/>
        <v>33</v>
      </c>
      <c r="G52" t="s">
        <v>3</v>
      </c>
    </row>
    <row r="53" spans="1:7" x14ac:dyDescent="0.15">
      <c r="A53" t="str">
        <f t="shared" si="2"/>
        <v>|Lv29|35|</v>
      </c>
      <c r="B53" t="s">
        <v>3</v>
      </c>
      <c r="C53" t="s">
        <v>8</v>
      </c>
      <c r="D53">
        <v>29</v>
      </c>
      <c r="E53" t="s">
        <v>3</v>
      </c>
      <c r="F53">
        <f t="shared" si="3"/>
        <v>35</v>
      </c>
      <c r="G53" t="s">
        <v>3</v>
      </c>
    </row>
    <row r="54" spans="1:7" x14ac:dyDescent="0.15">
      <c r="A54" t="str">
        <f t="shared" si="2"/>
        <v>|Lv31|38|</v>
      </c>
      <c r="B54" t="s">
        <v>3</v>
      </c>
      <c r="C54" t="s">
        <v>8</v>
      </c>
      <c r="D54">
        <v>31</v>
      </c>
      <c r="E54" t="s">
        <v>3</v>
      </c>
      <c r="F54">
        <f t="shared" si="3"/>
        <v>38</v>
      </c>
      <c r="G54" t="s">
        <v>3</v>
      </c>
    </row>
    <row r="55" spans="1:7" x14ac:dyDescent="0.15">
      <c r="A55" t="str">
        <f t="shared" si="2"/>
        <v>|Lv33|40|</v>
      </c>
      <c r="B55" t="s">
        <v>3</v>
      </c>
      <c r="C55" t="s">
        <v>8</v>
      </c>
      <c r="D55">
        <v>33</v>
      </c>
      <c r="E55" t="s">
        <v>3</v>
      </c>
      <c r="F55">
        <f t="shared" si="3"/>
        <v>40</v>
      </c>
      <c r="G55" t="s">
        <v>3</v>
      </c>
    </row>
    <row r="56" spans="1:7" x14ac:dyDescent="0.15">
      <c r="A56" t="str">
        <f t="shared" si="2"/>
        <v>|Lv35|43|</v>
      </c>
      <c r="B56" t="s">
        <v>3</v>
      </c>
      <c r="C56" t="s">
        <v>8</v>
      </c>
      <c r="D56">
        <v>35</v>
      </c>
      <c r="E56" t="s">
        <v>3</v>
      </c>
      <c r="F56">
        <f t="shared" si="3"/>
        <v>43</v>
      </c>
      <c r="G56" t="s">
        <v>3</v>
      </c>
    </row>
    <row r="57" spans="1:7" x14ac:dyDescent="0.15">
      <c r="A57" t="str">
        <f t="shared" si="2"/>
        <v>|Lv37|45|</v>
      </c>
      <c r="B57" t="s">
        <v>3</v>
      </c>
      <c r="C57" t="s">
        <v>8</v>
      </c>
      <c r="D57">
        <v>37</v>
      </c>
      <c r="E57" t="s">
        <v>3</v>
      </c>
      <c r="F57">
        <f t="shared" si="3"/>
        <v>45</v>
      </c>
      <c r="G57" t="s">
        <v>3</v>
      </c>
    </row>
    <row r="58" spans="1:7" x14ac:dyDescent="0.15">
      <c r="A58" t="str">
        <f t="shared" si="2"/>
        <v>|Lv39|48|</v>
      </c>
      <c r="B58" t="s">
        <v>3</v>
      </c>
      <c r="C58" t="s">
        <v>8</v>
      </c>
      <c r="D58">
        <v>39</v>
      </c>
      <c r="E58" t="s">
        <v>3</v>
      </c>
      <c r="F58">
        <f t="shared" si="3"/>
        <v>48</v>
      </c>
      <c r="G58" t="s">
        <v>3</v>
      </c>
    </row>
    <row r="59" spans="1:7" x14ac:dyDescent="0.15">
      <c r="A59" t="str">
        <f t="shared" si="2"/>
        <v>|Lv41|50|</v>
      </c>
      <c r="B59" t="s">
        <v>3</v>
      </c>
      <c r="C59" t="s">
        <v>8</v>
      </c>
      <c r="D59">
        <v>41</v>
      </c>
      <c r="E59" t="s">
        <v>3</v>
      </c>
      <c r="F59">
        <f t="shared" si="3"/>
        <v>50</v>
      </c>
      <c r="G59" t="s">
        <v>3</v>
      </c>
    </row>
    <row r="60" spans="1:7" x14ac:dyDescent="0.15">
      <c r="A60" t="str">
        <f t="shared" si="2"/>
        <v>|Lv43|53|</v>
      </c>
      <c r="B60" t="s">
        <v>3</v>
      </c>
      <c r="C60" t="s">
        <v>8</v>
      </c>
      <c r="D60">
        <v>43</v>
      </c>
      <c r="E60" t="s">
        <v>3</v>
      </c>
      <c r="F60">
        <f t="shared" si="3"/>
        <v>53</v>
      </c>
      <c r="G60" t="s">
        <v>3</v>
      </c>
    </row>
    <row r="61" spans="1:7" x14ac:dyDescent="0.15">
      <c r="A61" t="str">
        <f t="shared" si="2"/>
        <v>|Lv45|55|</v>
      </c>
      <c r="B61" t="s">
        <v>3</v>
      </c>
      <c r="C61" t="s">
        <v>8</v>
      </c>
      <c r="D61">
        <v>45</v>
      </c>
      <c r="E61" t="s">
        <v>3</v>
      </c>
      <c r="F61">
        <f t="shared" si="3"/>
        <v>55</v>
      </c>
      <c r="G61" t="s">
        <v>3</v>
      </c>
    </row>
    <row r="62" spans="1:7" x14ac:dyDescent="0.15">
      <c r="A62" t="str">
        <f t="shared" si="2"/>
        <v>|Lv47|58|</v>
      </c>
      <c r="B62" t="s">
        <v>3</v>
      </c>
      <c r="C62" t="s">
        <v>8</v>
      </c>
      <c r="D62">
        <v>47</v>
      </c>
      <c r="E62" t="s">
        <v>3</v>
      </c>
      <c r="F62">
        <f t="shared" si="3"/>
        <v>58</v>
      </c>
      <c r="G62" t="s">
        <v>3</v>
      </c>
    </row>
    <row r="63" spans="1:7" x14ac:dyDescent="0.15">
      <c r="A63" t="str">
        <f t="shared" si="2"/>
        <v>|Lv49|60|</v>
      </c>
      <c r="B63" t="s">
        <v>3</v>
      </c>
      <c r="C63" t="s">
        <v>8</v>
      </c>
      <c r="D63">
        <v>49</v>
      </c>
      <c r="E63" t="s">
        <v>3</v>
      </c>
      <c r="F63">
        <f t="shared" si="3"/>
        <v>60</v>
      </c>
      <c r="G63" t="s">
        <v>3</v>
      </c>
    </row>
    <row r="64" spans="1:7" x14ac:dyDescent="0.15">
      <c r="A64" t="str">
        <f t="shared" si="2"/>
        <v>|Lv51|63|</v>
      </c>
      <c r="B64" t="s">
        <v>3</v>
      </c>
      <c r="C64" t="s">
        <v>8</v>
      </c>
      <c r="D64">
        <v>51</v>
      </c>
      <c r="E64" t="s">
        <v>3</v>
      </c>
      <c r="F64">
        <f t="shared" si="3"/>
        <v>63</v>
      </c>
      <c r="G64" t="s">
        <v>3</v>
      </c>
    </row>
    <row r="65" spans="1:19" x14ac:dyDescent="0.15">
      <c r="A65" t="str">
        <f t="shared" si="2"/>
        <v>|Lv53|65|</v>
      </c>
      <c r="B65" t="s">
        <v>3</v>
      </c>
      <c r="C65" t="s">
        <v>8</v>
      </c>
      <c r="D65">
        <v>53</v>
      </c>
      <c r="E65" t="s">
        <v>3</v>
      </c>
      <c r="F65">
        <f t="shared" si="3"/>
        <v>65</v>
      </c>
      <c r="G65" t="s">
        <v>3</v>
      </c>
    </row>
    <row r="66" spans="1:19" x14ac:dyDescent="0.15">
      <c r="A66" t="str">
        <f t="shared" si="2"/>
        <v>|Lv55|68|</v>
      </c>
      <c r="B66" t="s">
        <v>3</v>
      </c>
      <c r="C66" t="s">
        <v>8</v>
      </c>
      <c r="D66">
        <v>55</v>
      </c>
      <c r="E66" t="s">
        <v>3</v>
      </c>
      <c r="F66">
        <f t="shared" si="3"/>
        <v>68</v>
      </c>
      <c r="G66" t="s">
        <v>3</v>
      </c>
    </row>
    <row r="67" spans="1:19" x14ac:dyDescent="0.15">
      <c r="A67" t="str">
        <f t="shared" si="2"/>
        <v>|Lv57|70|</v>
      </c>
      <c r="B67" t="s">
        <v>3</v>
      </c>
      <c r="C67" t="s">
        <v>8</v>
      </c>
      <c r="D67">
        <v>57</v>
      </c>
      <c r="E67" t="s">
        <v>3</v>
      </c>
      <c r="F67">
        <f t="shared" si="3"/>
        <v>70</v>
      </c>
      <c r="G67" t="s">
        <v>3</v>
      </c>
    </row>
    <row r="68" spans="1:19" x14ac:dyDescent="0.15">
      <c r="A68" t="str">
        <f>B68&amp;C68&amp;D68&amp;E68&amp;F68&amp;G68&amp;H68&amp;I68&amp;J68&amp;K68&amp;L68&amp;M68&amp;N68&amp;O68&amp;P68</f>
        <v>&amp;br;</v>
      </c>
      <c r="B68" t="s">
        <v>0</v>
      </c>
    </row>
    <row r="69" spans="1:19" x14ac:dyDescent="0.15">
      <c r="A69" t="str">
        <f>B69&amp;C69&amp;D69&amp;E69&amp;F69&amp;G69&amp;H69&amp;I69&amp;J69&amp;K69&amp;L69&amp;M69&amp;N69&amp;O69&amp;P69</f>
        <v>&amp;br;</v>
      </c>
      <c r="B69" t="s">
        <v>0</v>
      </c>
    </row>
    <row r="70" spans="1:19" x14ac:dyDescent="0.15">
      <c r="A70" t="str">
        <f>B70&amp;C70&amp;D70&amp;E70&amp;F70&amp;G70&amp;H70&amp;I70&amp;J70&amp;K70&amp;L70&amp;M70&amp;N70&amp;O70&amp;P70</f>
        <v>*マナボーナス [#q1a26f54]</v>
      </c>
      <c r="B70" t="s">
        <v>9</v>
      </c>
    </row>
    <row r="71" spans="1:19" x14ac:dyDescent="0.15">
      <c r="A71" t="str">
        <f t="shared" ref="A71:A80" si="4">B71&amp;C71&amp;D71&amp;G71&amp;H71&amp;I71&amp;J71&amp;K71&amp;L71&amp;M71&amp;N71&amp;O71&amp;P71&amp;Q71&amp;R71</f>
        <v>|LEFT:50|LEFT:50|LEFT:50|LEFT:50|LEFT:50|LEFT:50|c</v>
      </c>
      <c r="B71" t="s">
        <v>3</v>
      </c>
      <c r="C71" t="s">
        <v>4</v>
      </c>
      <c r="E71" t="s">
        <v>3</v>
      </c>
      <c r="G71" t="s">
        <v>3</v>
      </c>
      <c r="H71" t="s">
        <v>4</v>
      </c>
      <c r="I71" t="s">
        <v>3</v>
      </c>
      <c r="J71" t="s">
        <v>4</v>
      </c>
      <c r="K71" t="s">
        <v>3</v>
      </c>
      <c r="L71" t="s">
        <v>4</v>
      </c>
      <c r="M71" t="s">
        <v>3</v>
      </c>
      <c r="N71" t="s">
        <v>4</v>
      </c>
      <c r="O71" t="s">
        <v>3</v>
      </c>
      <c r="P71" t="s">
        <v>4</v>
      </c>
      <c r="Q71" t="s">
        <v>3</v>
      </c>
      <c r="R71" t="s">
        <v>5</v>
      </c>
    </row>
    <row r="72" spans="1:19" x14ac:dyDescent="0.15">
      <c r="A72" t="str">
        <f t="shared" si="4"/>
        <v>|レベル|白|青|黒|赤|緑|</v>
      </c>
      <c r="B72" t="s">
        <v>3</v>
      </c>
      <c r="C72" t="s">
        <v>6</v>
      </c>
      <c r="E72" t="s">
        <v>3</v>
      </c>
      <c r="F72" t="s">
        <v>10</v>
      </c>
      <c r="G72" t="s">
        <v>3</v>
      </c>
      <c r="H72" t="s">
        <v>11</v>
      </c>
      <c r="I72" t="s">
        <v>3</v>
      </c>
      <c r="J72" t="s">
        <v>12</v>
      </c>
      <c r="K72" t="s">
        <v>3</v>
      </c>
      <c r="L72" t="s">
        <v>13</v>
      </c>
      <c r="M72" t="s">
        <v>3</v>
      </c>
      <c r="N72" t="s">
        <v>14</v>
      </c>
      <c r="O72" t="s">
        <v>3</v>
      </c>
      <c r="P72" t="s">
        <v>15</v>
      </c>
      <c r="Q72" t="s">
        <v>3</v>
      </c>
      <c r="S72" t="s">
        <v>11</v>
      </c>
    </row>
    <row r="73" spans="1:19" x14ac:dyDescent="0.15">
      <c r="A73" t="str">
        <f t="shared" si="4"/>
        <v>|Lv1|0|0|0|0|0|</v>
      </c>
      <c r="B73" t="s">
        <v>3</v>
      </c>
      <c r="C73" t="s">
        <v>8</v>
      </c>
      <c r="D73">
        <v>1</v>
      </c>
      <c r="E73" t="s">
        <v>3</v>
      </c>
      <c r="G73" t="s">
        <v>3</v>
      </c>
      <c r="H73">
        <f>B214</f>
        <v>0</v>
      </c>
      <c r="I73" t="s">
        <v>3</v>
      </c>
      <c r="J73">
        <f>C214</f>
        <v>0</v>
      </c>
      <c r="K73" t="s">
        <v>3</v>
      </c>
      <c r="L73">
        <f>D214</f>
        <v>0</v>
      </c>
      <c r="M73" t="s">
        <v>3</v>
      </c>
      <c r="N73">
        <f>E214</f>
        <v>0</v>
      </c>
      <c r="O73" t="s">
        <v>3</v>
      </c>
      <c r="P73">
        <f>F214</f>
        <v>0</v>
      </c>
      <c r="Q73" t="s">
        <v>3</v>
      </c>
      <c r="S73" t="s">
        <v>12</v>
      </c>
    </row>
    <row r="74" spans="1:19" x14ac:dyDescent="0.15">
      <c r="A74" t="str">
        <f t="shared" si="4"/>
        <v>|Lv|0|0|0|0|0|</v>
      </c>
      <c r="B74" t="s">
        <v>3</v>
      </c>
      <c r="C74" t="s">
        <v>8</v>
      </c>
      <c r="E74" t="s">
        <v>3</v>
      </c>
      <c r="F74" t="str">
        <f t="shared" ref="F74:F80" si="5">IF(ISBLANK(D74),"",INDEX($F$135:$F$194,D74))</f>
        <v/>
      </c>
      <c r="G74" t="s">
        <v>3</v>
      </c>
      <c r="H74">
        <f>H73+IF(H$72=$F74,1,0)</f>
        <v>0</v>
      </c>
      <c r="I74" t="str">
        <f t="shared" ref="I74:Q74" si="6">I73</f>
        <v>|</v>
      </c>
      <c r="J74">
        <f>J73+IF(J$72=$F74,1,0)</f>
        <v>0</v>
      </c>
      <c r="K74" t="str">
        <f t="shared" si="6"/>
        <v>|</v>
      </c>
      <c r="L74">
        <f>L73+IF(L$72=$F74,1,0)</f>
        <v>0</v>
      </c>
      <c r="M74" t="str">
        <f t="shared" si="6"/>
        <v>|</v>
      </c>
      <c r="N74">
        <f>N73+IF(N$72=$F74,1,0)</f>
        <v>0</v>
      </c>
      <c r="O74" t="str">
        <f t="shared" si="6"/>
        <v>|</v>
      </c>
      <c r="P74">
        <f>P73+IF(P$72=$F74,1,0)</f>
        <v>0</v>
      </c>
      <c r="Q74" t="str">
        <f t="shared" si="6"/>
        <v>|</v>
      </c>
      <c r="S74" t="s">
        <v>13</v>
      </c>
    </row>
    <row r="75" spans="1:19" x14ac:dyDescent="0.15">
      <c r="A75" t="str">
        <f t="shared" si="4"/>
        <v>|Lv|0|0|0|0|0|</v>
      </c>
      <c r="B75" t="s">
        <v>3</v>
      </c>
      <c r="C75" t="s">
        <v>8</v>
      </c>
      <c r="E75" t="s">
        <v>3</v>
      </c>
      <c r="F75" t="str">
        <f t="shared" si="5"/>
        <v/>
      </c>
      <c r="G75" t="s">
        <v>3</v>
      </c>
      <c r="H75">
        <f t="shared" ref="H75:P80" si="7">H74+IF(H$72=$F75,1,0)</f>
        <v>0</v>
      </c>
      <c r="I75" t="str">
        <f t="shared" ref="I75:I84" si="8">I74</f>
        <v>|</v>
      </c>
      <c r="J75">
        <f t="shared" si="7"/>
        <v>0</v>
      </c>
      <c r="K75" t="str">
        <f t="shared" ref="K75:K84" si="9">K74</f>
        <v>|</v>
      </c>
      <c r="L75">
        <f t="shared" si="7"/>
        <v>0</v>
      </c>
      <c r="M75" t="str">
        <f t="shared" ref="M75:M84" si="10">M74</f>
        <v>|</v>
      </c>
      <c r="N75">
        <f>N74+IF(N$72=$F75,1,0)</f>
        <v>0</v>
      </c>
      <c r="O75" t="str">
        <f t="shared" ref="O75:O84" si="11">O74</f>
        <v>|</v>
      </c>
      <c r="P75">
        <f t="shared" si="7"/>
        <v>0</v>
      </c>
      <c r="Q75" t="str">
        <f t="shared" ref="Q75:Q84" si="12">Q74</f>
        <v>|</v>
      </c>
      <c r="S75" t="s">
        <v>14</v>
      </c>
    </row>
    <row r="76" spans="1:19" x14ac:dyDescent="0.15">
      <c r="A76" t="str">
        <f t="shared" si="4"/>
        <v>|Lv|0|0|0|0|0|</v>
      </c>
      <c r="B76" t="s">
        <v>3</v>
      </c>
      <c r="C76" t="s">
        <v>8</v>
      </c>
      <c r="E76" t="s">
        <v>3</v>
      </c>
      <c r="F76" t="str">
        <f t="shared" si="5"/>
        <v/>
      </c>
      <c r="G76" t="s">
        <v>3</v>
      </c>
      <c r="H76">
        <f t="shared" si="7"/>
        <v>0</v>
      </c>
      <c r="I76" t="str">
        <f t="shared" si="8"/>
        <v>|</v>
      </c>
      <c r="J76">
        <f t="shared" si="7"/>
        <v>0</v>
      </c>
      <c r="K76" t="str">
        <f t="shared" si="9"/>
        <v>|</v>
      </c>
      <c r="L76">
        <f t="shared" si="7"/>
        <v>0</v>
      </c>
      <c r="M76" t="str">
        <f t="shared" si="10"/>
        <v>|</v>
      </c>
      <c r="N76">
        <f t="shared" si="7"/>
        <v>0</v>
      </c>
      <c r="O76" t="str">
        <f t="shared" si="11"/>
        <v>|</v>
      </c>
      <c r="P76">
        <f t="shared" si="7"/>
        <v>0</v>
      </c>
      <c r="Q76" t="str">
        <f t="shared" si="12"/>
        <v>|</v>
      </c>
      <c r="S76" t="s">
        <v>15</v>
      </c>
    </row>
    <row r="77" spans="1:19" x14ac:dyDescent="0.15">
      <c r="A77" t="str">
        <f t="shared" si="4"/>
        <v>|Lv|0|0|0|0|0|</v>
      </c>
      <c r="B77" t="s">
        <v>3</v>
      </c>
      <c r="C77" t="s">
        <v>8</v>
      </c>
      <c r="E77" t="s">
        <v>3</v>
      </c>
      <c r="F77" t="str">
        <f t="shared" si="5"/>
        <v/>
      </c>
      <c r="G77" t="s">
        <v>3</v>
      </c>
      <c r="H77">
        <f t="shared" si="7"/>
        <v>0</v>
      </c>
      <c r="I77" t="str">
        <f t="shared" si="8"/>
        <v>|</v>
      </c>
      <c r="J77">
        <f t="shared" si="7"/>
        <v>0</v>
      </c>
      <c r="K77" t="str">
        <f t="shared" si="9"/>
        <v>|</v>
      </c>
      <c r="L77">
        <f t="shared" si="7"/>
        <v>0</v>
      </c>
      <c r="M77" t="str">
        <f t="shared" si="10"/>
        <v>|</v>
      </c>
      <c r="N77">
        <f t="shared" si="7"/>
        <v>0</v>
      </c>
      <c r="O77" t="str">
        <f t="shared" si="11"/>
        <v>|</v>
      </c>
      <c r="P77">
        <f>P76+IF(P$72=$F77,1,0)</f>
        <v>0</v>
      </c>
      <c r="Q77" t="str">
        <f t="shared" si="12"/>
        <v>|</v>
      </c>
    </row>
    <row r="78" spans="1:19" x14ac:dyDescent="0.15">
      <c r="A78" t="str">
        <f t="shared" si="4"/>
        <v>|Lv|0|0|0|0|0|</v>
      </c>
      <c r="B78" t="s">
        <v>3</v>
      </c>
      <c r="C78" t="s">
        <v>8</v>
      </c>
      <c r="E78" t="s">
        <v>3</v>
      </c>
      <c r="F78" t="str">
        <f t="shared" si="5"/>
        <v/>
      </c>
      <c r="G78" t="s">
        <v>3</v>
      </c>
      <c r="H78">
        <f t="shared" si="7"/>
        <v>0</v>
      </c>
      <c r="I78" t="str">
        <f t="shared" si="8"/>
        <v>|</v>
      </c>
      <c r="J78">
        <f t="shared" si="7"/>
        <v>0</v>
      </c>
      <c r="K78" t="str">
        <f t="shared" si="9"/>
        <v>|</v>
      </c>
      <c r="L78">
        <f t="shared" si="7"/>
        <v>0</v>
      </c>
      <c r="M78" t="str">
        <f t="shared" si="10"/>
        <v>|</v>
      </c>
      <c r="N78">
        <f t="shared" si="7"/>
        <v>0</v>
      </c>
      <c r="O78" t="str">
        <f t="shared" si="11"/>
        <v>|</v>
      </c>
      <c r="P78">
        <f t="shared" si="7"/>
        <v>0</v>
      </c>
      <c r="Q78" t="str">
        <f t="shared" si="12"/>
        <v>|</v>
      </c>
    </row>
    <row r="79" spans="1:19" x14ac:dyDescent="0.15">
      <c r="A79" t="str">
        <f t="shared" si="4"/>
        <v>|Lv|0|0|0|0|0|</v>
      </c>
      <c r="B79" t="s">
        <v>3</v>
      </c>
      <c r="C79" t="s">
        <v>8</v>
      </c>
      <c r="E79" t="s">
        <v>3</v>
      </c>
      <c r="F79" t="str">
        <f t="shared" si="5"/>
        <v/>
      </c>
      <c r="G79" t="s">
        <v>3</v>
      </c>
      <c r="H79">
        <f t="shared" si="7"/>
        <v>0</v>
      </c>
      <c r="I79" t="str">
        <f t="shared" si="8"/>
        <v>|</v>
      </c>
      <c r="J79">
        <f t="shared" si="7"/>
        <v>0</v>
      </c>
      <c r="K79" t="str">
        <f t="shared" si="9"/>
        <v>|</v>
      </c>
      <c r="L79">
        <f t="shared" si="7"/>
        <v>0</v>
      </c>
      <c r="M79" t="str">
        <f t="shared" si="10"/>
        <v>|</v>
      </c>
      <c r="N79">
        <f t="shared" si="7"/>
        <v>0</v>
      </c>
      <c r="O79" t="str">
        <f t="shared" si="11"/>
        <v>|</v>
      </c>
      <c r="P79">
        <f t="shared" si="7"/>
        <v>0</v>
      </c>
      <c r="Q79" t="str">
        <f t="shared" si="12"/>
        <v>|</v>
      </c>
    </row>
    <row r="80" spans="1:19" x14ac:dyDescent="0.15">
      <c r="A80" t="str">
        <f t="shared" si="4"/>
        <v>|Lv|0|0|0|0|0|</v>
      </c>
      <c r="B80" t="s">
        <v>3</v>
      </c>
      <c r="C80" t="s">
        <v>8</v>
      </c>
      <c r="E80" t="s">
        <v>3</v>
      </c>
      <c r="F80" t="str">
        <f t="shared" si="5"/>
        <v/>
      </c>
      <c r="G80" t="s">
        <v>3</v>
      </c>
      <c r="H80">
        <f t="shared" si="7"/>
        <v>0</v>
      </c>
      <c r="I80" t="str">
        <f t="shared" si="8"/>
        <v>|</v>
      </c>
      <c r="J80">
        <f t="shared" si="7"/>
        <v>0</v>
      </c>
      <c r="K80" t="str">
        <f t="shared" si="9"/>
        <v>|</v>
      </c>
      <c r="L80">
        <f t="shared" si="7"/>
        <v>0</v>
      </c>
      <c r="M80" t="str">
        <f t="shared" si="10"/>
        <v>|</v>
      </c>
      <c r="N80">
        <f t="shared" si="7"/>
        <v>0</v>
      </c>
      <c r="O80" t="str">
        <f t="shared" si="11"/>
        <v>|</v>
      </c>
      <c r="P80">
        <f>P79+IF(P$72=$F80,1,0)</f>
        <v>0</v>
      </c>
      <c r="Q80" t="str">
        <f t="shared" si="12"/>
        <v>|</v>
      </c>
    </row>
    <row r="81" spans="1:19" x14ac:dyDescent="0.15">
      <c r="A81" t="str">
        <f>B81&amp;C81&amp;D81&amp;G81&amp;H81&amp;I81&amp;J81&amp;K81&amp;L81&amp;M81&amp;N81&amp;O81&amp;P81&amp;Q81&amp;R81</f>
        <v>|Lv|0|0|0|0|0|</v>
      </c>
      <c r="B81" t="s">
        <v>3</v>
      </c>
      <c r="C81" t="s">
        <v>8</v>
      </c>
      <c r="E81" t="s">
        <v>3</v>
      </c>
      <c r="F81" t="str">
        <f>IF(ISBLANK(D81),"",INDEX($F$135:$F$194,D81))</f>
        <v/>
      </c>
      <c r="G81" t="s">
        <v>3</v>
      </c>
      <c r="H81">
        <f>H80+IF(H$72=$F81,1,0)</f>
        <v>0</v>
      </c>
      <c r="I81" t="str">
        <f t="shared" si="8"/>
        <v>|</v>
      </c>
      <c r="J81">
        <f>J80+IF(J$72=$F81,1,0)</f>
        <v>0</v>
      </c>
      <c r="K81" t="str">
        <f t="shared" si="9"/>
        <v>|</v>
      </c>
      <c r="L81">
        <f>L80+IF(L$72=$F81,1,0)</f>
        <v>0</v>
      </c>
      <c r="M81" t="str">
        <f t="shared" si="10"/>
        <v>|</v>
      </c>
      <c r="N81">
        <f>N80+IF(N$72=$F81,1,0)</f>
        <v>0</v>
      </c>
      <c r="O81" t="str">
        <f t="shared" si="11"/>
        <v>|</v>
      </c>
      <c r="P81">
        <f>P80+IF(P$72=$F81,1,0)</f>
        <v>0</v>
      </c>
      <c r="Q81" t="str">
        <f t="shared" si="12"/>
        <v>|</v>
      </c>
    </row>
    <row r="82" spans="1:19" x14ac:dyDescent="0.15">
      <c r="A82" t="str">
        <f>B82&amp;C82&amp;D82&amp;G82&amp;H82&amp;I82&amp;J82&amp;K82&amp;L82&amp;M82&amp;N82&amp;O82&amp;P82&amp;Q82&amp;R82</f>
        <v>|Lv|0|0|0|0|0|</v>
      </c>
      <c r="B82" t="s">
        <v>3</v>
      </c>
      <c r="C82" t="s">
        <v>8</v>
      </c>
      <c r="E82" t="s">
        <v>3</v>
      </c>
      <c r="F82" t="str">
        <f>IF(ISBLANK(D82),"",INDEX($F$135:$F$194,D82))</f>
        <v/>
      </c>
      <c r="G82" t="s">
        <v>3</v>
      </c>
      <c r="H82">
        <f>H81+IF(H$72=$F82,1,0)</f>
        <v>0</v>
      </c>
      <c r="I82" t="str">
        <f t="shared" si="8"/>
        <v>|</v>
      </c>
      <c r="J82">
        <f>J81+IF(J$72=$F82,1,0)</f>
        <v>0</v>
      </c>
      <c r="K82" t="str">
        <f t="shared" si="9"/>
        <v>|</v>
      </c>
      <c r="L82">
        <f>L81+IF(L$72=$F82,1,0)</f>
        <v>0</v>
      </c>
      <c r="M82" t="str">
        <f t="shared" si="10"/>
        <v>|</v>
      </c>
      <c r="N82">
        <f>N81+IF(N$72=$F82,1,0)</f>
        <v>0</v>
      </c>
      <c r="O82" t="str">
        <f t="shared" si="11"/>
        <v>|</v>
      </c>
      <c r="P82">
        <f>P81+IF(P$72=$F82,1,0)</f>
        <v>0</v>
      </c>
      <c r="Q82" t="str">
        <f t="shared" si="12"/>
        <v>|</v>
      </c>
    </row>
    <row r="83" spans="1:19" x14ac:dyDescent="0.15">
      <c r="A83" t="str">
        <f>B83&amp;C83&amp;D83&amp;G83&amp;H83&amp;I83&amp;J83&amp;K83&amp;L83&amp;M83&amp;N83&amp;O83&amp;P83&amp;Q83&amp;R83</f>
        <v>|Lv|0|0|0|0|0|</v>
      </c>
      <c r="B83" t="s">
        <v>3</v>
      </c>
      <c r="C83" t="s">
        <v>8</v>
      </c>
      <c r="E83" t="s">
        <v>3</v>
      </c>
      <c r="F83" t="str">
        <f>IF(ISBLANK(D83),"",INDEX($F$135:$F$194,D83))</f>
        <v/>
      </c>
      <c r="G83" t="s">
        <v>3</v>
      </c>
      <c r="H83">
        <f>H82+IF(H$72=$F83,1,0)</f>
        <v>0</v>
      </c>
      <c r="I83" t="str">
        <f t="shared" si="8"/>
        <v>|</v>
      </c>
      <c r="J83">
        <f>J82+IF(J$72=$F83,1,0)</f>
        <v>0</v>
      </c>
      <c r="K83" t="str">
        <f t="shared" si="9"/>
        <v>|</v>
      </c>
      <c r="L83">
        <f>L82+IF(L$72=$F83,1,0)</f>
        <v>0</v>
      </c>
      <c r="M83" t="str">
        <f t="shared" si="10"/>
        <v>|</v>
      </c>
      <c r="N83">
        <f>N82+IF(N$72=$F83,1,0)</f>
        <v>0</v>
      </c>
      <c r="O83" t="str">
        <f t="shared" si="11"/>
        <v>|</v>
      </c>
      <c r="P83">
        <f>P82+IF(P$72=$F83,1,0)</f>
        <v>0</v>
      </c>
      <c r="Q83" t="str">
        <f t="shared" si="12"/>
        <v>|</v>
      </c>
    </row>
    <row r="84" spans="1:19" x14ac:dyDescent="0.15">
      <c r="A84" t="str">
        <f>B84&amp;C84&amp;D84&amp;G84&amp;H84&amp;I84&amp;J84&amp;K84&amp;L84&amp;M84&amp;N84&amp;O84&amp;P84&amp;Q84&amp;R84</f>
        <v>|Lv|0|0|0|0|0|</v>
      </c>
      <c r="B84" t="s">
        <v>3</v>
      </c>
      <c r="C84" t="s">
        <v>8</v>
      </c>
      <c r="E84" t="s">
        <v>3</v>
      </c>
      <c r="F84" t="str">
        <f>IF(ISBLANK(D84),"",INDEX($F$135:$F$194,D84))</f>
        <v/>
      </c>
      <c r="G84" t="s">
        <v>3</v>
      </c>
      <c r="H84">
        <f>H83+IF(H$72=$F84,1,0)</f>
        <v>0</v>
      </c>
      <c r="I84" t="str">
        <f t="shared" si="8"/>
        <v>|</v>
      </c>
      <c r="J84">
        <f>J83+IF(J$72=$F84,1,0)</f>
        <v>0</v>
      </c>
      <c r="K84" t="str">
        <f t="shared" si="9"/>
        <v>|</v>
      </c>
      <c r="L84">
        <f>L83+IF(L$72=$F84,1,0)</f>
        <v>0</v>
      </c>
      <c r="M84" t="str">
        <f t="shared" si="10"/>
        <v>|</v>
      </c>
      <c r="N84">
        <f>N83+IF(N$72=$F84,1,0)</f>
        <v>0</v>
      </c>
      <c r="O84" t="str">
        <f t="shared" si="11"/>
        <v>|</v>
      </c>
      <c r="P84">
        <f>P83+IF(P$72=$F84,1,0)</f>
        <v>0</v>
      </c>
      <c r="Q84" t="str">
        <f t="shared" si="12"/>
        <v>|</v>
      </c>
    </row>
    <row r="85" spans="1:19" x14ac:dyDescent="0.15">
      <c r="A85" t="str">
        <f>B85&amp;C85&amp;D85&amp;E85&amp;F85&amp;G85&amp;H85&amp;I85&amp;J85&amp;K85&amp;L85&amp;M85&amp;N85&amp;O85&amp;P85</f>
        <v>&amp;br;</v>
      </c>
      <c r="B85" t="s">
        <v>0</v>
      </c>
    </row>
    <row r="86" spans="1:19" x14ac:dyDescent="0.15">
      <c r="A86" t="str">
        <f>B86&amp;C86&amp;D86&amp;E86&amp;F86&amp;G86&amp;H86&amp;I86&amp;J86&amp;K86&amp;L86&amp;M86&amp;N86&amp;O86&amp;P86</f>
        <v>&amp;br;</v>
      </c>
      <c r="B86" t="s">
        <v>0</v>
      </c>
    </row>
    <row r="87" spans="1:19" x14ac:dyDescent="0.15">
      <c r="A87" t="str">
        <f>B87&amp;C87&amp;D87&amp;E87&amp;F87&amp;G87&amp;H87&amp;I87&amp;J87&amp;K87&amp;L87&amp;M87&amp;N87&amp;O87&amp;P87</f>
        <v>*デッキ構築枚数上限 [#e6f382eb]</v>
      </c>
      <c r="B87" t="s">
        <v>16</v>
      </c>
    </row>
    <row r="88" spans="1:19" x14ac:dyDescent="0.15">
      <c r="A88" t="str">
        <f>B88&amp;C88&amp;D88&amp;E88&amp;F88&amp;G88&amp;H88&amp;I88&amp;J88&amp;K88&amp;L88&amp;M88&amp;N88&amp;O88&amp;P88</f>
        <v>構築枚数上限を越える枚数はデッキに入れられない。</v>
      </c>
      <c r="B88" t="s">
        <v>17</v>
      </c>
    </row>
    <row r="89" spans="1:19" x14ac:dyDescent="0.15">
      <c r="A89" t="str">
        <f t="shared" ref="A89:A98" si="13">B89&amp;C89&amp;D89&amp;G89&amp;H89&amp;I89&amp;J89&amp;K89&amp;L89&amp;M89&amp;N89&amp;O89&amp;P89&amp;Q89&amp;R89</f>
        <v>|LEFT:50|LEFT:80|LEFT:80|LEFT:80|c</v>
      </c>
      <c r="B89" t="s">
        <v>3</v>
      </c>
      <c r="C89" t="s">
        <v>4</v>
      </c>
      <c r="E89" t="s">
        <v>3</v>
      </c>
      <c r="G89" t="s">
        <v>3</v>
      </c>
      <c r="H89" t="s">
        <v>18</v>
      </c>
      <c r="I89" t="s">
        <v>3</v>
      </c>
      <c r="J89" t="s">
        <v>18</v>
      </c>
      <c r="K89" t="s">
        <v>3</v>
      </c>
      <c r="L89" t="s">
        <v>18</v>
      </c>
      <c r="M89" t="s">
        <v>3</v>
      </c>
      <c r="N89" t="s">
        <v>5</v>
      </c>
    </row>
    <row r="90" spans="1:19" x14ac:dyDescent="0.15">
      <c r="A90" t="str">
        <f t="shared" si="13"/>
        <v>|レベル|クリーチャー|呪文|サポート|</v>
      </c>
      <c r="B90" t="s">
        <v>3</v>
      </c>
      <c r="C90" t="s">
        <v>6</v>
      </c>
      <c r="E90" t="s">
        <v>3</v>
      </c>
      <c r="F90" t="s">
        <v>19</v>
      </c>
      <c r="G90" t="s">
        <v>3</v>
      </c>
      <c r="H90" t="s">
        <v>20</v>
      </c>
      <c r="I90" t="s">
        <v>3</v>
      </c>
      <c r="J90" t="s">
        <v>21</v>
      </c>
      <c r="K90" t="s">
        <v>3</v>
      </c>
      <c r="L90" t="s">
        <v>22</v>
      </c>
      <c r="M90" t="s">
        <v>3</v>
      </c>
      <c r="S90" t="s">
        <v>20</v>
      </c>
    </row>
    <row r="91" spans="1:19" x14ac:dyDescent="0.15">
      <c r="A91" t="str">
        <f t="shared" si="13"/>
        <v>|Lv1|0|0|0|</v>
      </c>
      <c r="B91" t="s">
        <v>3</v>
      </c>
      <c r="C91" t="s">
        <v>8</v>
      </c>
      <c r="D91">
        <v>1</v>
      </c>
      <c r="E91" t="s">
        <v>3</v>
      </c>
      <c r="G91" t="s">
        <v>3</v>
      </c>
      <c r="H91">
        <f>B212</f>
        <v>0</v>
      </c>
      <c r="I91" t="s">
        <v>3</v>
      </c>
      <c r="J91">
        <f>C212</f>
        <v>0</v>
      </c>
      <c r="K91" t="s">
        <v>3</v>
      </c>
      <c r="L91">
        <f>D212</f>
        <v>0</v>
      </c>
      <c r="M91" t="s">
        <v>3</v>
      </c>
      <c r="S91" t="s">
        <v>21</v>
      </c>
    </row>
    <row r="92" spans="1:19" x14ac:dyDescent="0.15">
      <c r="A92" t="str">
        <f t="shared" si="13"/>
        <v>|Lv|0|0|0|</v>
      </c>
      <c r="B92" t="s">
        <v>3</v>
      </c>
      <c r="C92" t="s">
        <v>8</v>
      </c>
      <c r="E92" t="s">
        <v>3</v>
      </c>
      <c r="F92" t="str">
        <f t="shared" ref="F92:F98" si="14">IF(ISBLANK(D92),"",INDEX($F$135:$F$194,D92))</f>
        <v/>
      </c>
      <c r="G92" t="s">
        <v>3</v>
      </c>
      <c r="H92">
        <f t="shared" ref="H92:H98" si="15">H91+IF(H$90=$F92,INDEX($H$135:$H$194,D92),0)</f>
        <v>0</v>
      </c>
      <c r="I92" t="s">
        <v>3</v>
      </c>
      <c r="J92">
        <f t="shared" ref="J92:J98" si="16">J91+IF(J$90=$F92,INDEX($H$135:$H$194,D92),0)</f>
        <v>0</v>
      </c>
      <c r="K92" t="s">
        <v>3</v>
      </c>
      <c r="L92">
        <f t="shared" ref="L92:L98" si="17">L91+IF(L$90=$F92,INDEX($H$135:$H$194,D92),0)</f>
        <v>0</v>
      </c>
      <c r="M92" t="s">
        <v>3</v>
      </c>
      <c r="S92" t="s">
        <v>22</v>
      </c>
    </row>
    <row r="93" spans="1:19" x14ac:dyDescent="0.15">
      <c r="A93" t="str">
        <f t="shared" si="13"/>
        <v>|Lv|0|0|0|</v>
      </c>
      <c r="B93" t="s">
        <v>3</v>
      </c>
      <c r="C93" t="s">
        <v>8</v>
      </c>
      <c r="E93" t="s">
        <v>3</v>
      </c>
      <c r="F93" t="str">
        <f t="shared" si="14"/>
        <v/>
      </c>
      <c r="G93" t="s">
        <v>3</v>
      </c>
      <c r="H93">
        <f t="shared" si="15"/>
        <v>0</v>
      </c>
      <c r="I93" t="s">
        <v>3</v>
      </c>
      <c r="J93">
        <f t="shared" si="16"/>
        <v>0</v>
      </c>
      <c r="K93" t="s">
        <v>3</v>
      </c>
      <c r="L93">
        <f t="shared" si="17"/>
        <v>0</v>
      </c>
      <c r="M93" t="s">
        <v>3</v>
      </c>
    </row>
    <row r="94" spans="1:19" x14ac:dyDescent="0.15">
      <c r="A94" t="str">
        <f t="shared" si="13"/>
        <v>|Lv|0|0|0|</v>
      </c>
      <c r="B94" t="s">
        <v>3</v>
      </c>
      <c r="C94" t="s">
        <v>8</v>
      </c>
      <c r="E94" t="s">
        <v>3</v>
      </c>
      <c r="F94" t="str">
        <f t="shared" si="14"/>
        <v/>
      </c>
      <c r="G94" t="s">
        <v>3</v>
      </c>
      <c r="H94">
        <f t="shared" si="15"/>
        <v>0</v>
      </c>
      <c r="I94" t="s">
        <v>3</v>
      </c>
      <c r="J94">
        <f t="shared" si="16"/>
        <v>0</v>
      </c>
      <c r="K94" t="s">
        <v>3</v>
      </c>
      <c r="L94">
        <f t="shared" si="17"/>
        <v>0</v>
      </c>
      <c r="M94" t="s">
        <v>3</v>
      </c>
    </row>
    <row r="95" spans="1:19" x14ac:dyDescent="0.15">
      <c r="A95" t="str">
        <f t="shared" si="13"/>
        <v>|Lv|0|0|0|</v>
      </c>
      <c r="B95" t="s">
        <v>3</v>
      </c>
      <c r="C95" t="s">
        <v>8</v>
      </c>
      <c r="E95" t="s">
        <v>3</v>
      </c>
      <c r="F95" t="str">
        <f t="shared" si="14"/>
        <v/>
      </c>
      <c r="G95" t="s">
        <v>3</v>
      </c>
      <c r="H95">
        <f t="shared" si="15"/>
        <v>0</v>
      </c>
      <c r="I95" t="s">
        <v>3</v>
      </c>
      <c r="J95">
        <f t="shared" si="16"/>
        <v>0</v>
      </c>
      <c r="K95" t="s">
        <v>3</v>
      </c>
      <c r="L95">
        <f t="shared" si="17"/>
        <v>0</v>
      </c>
      <c r="M95" t="s">
        <v>3</v>
      </c>
    </row>
    <row r="96" spans="1:19" x14ac:dyDescent="0.15">
      <c r="A96" t="str">
        <f t="shared" si="13"/>
        <v>|Lv|0|0|0|</v>
      </c>
      <c r="B96" t="s">
        <v>3</v>
      </c>
      <c r="C96" t="s">
        <v>8</v>
      </c>
      <c r="E96" t="s">
        <v>3</v>
      </c>
      <c r="F96" t="str">
        <f t="shared" si="14"/>
        <v/>
      </c>
      <c r="G96" t="s">
        <v>3</v>
      </c>
      <c r="H96">
        <f t="shared" si="15"/>
        <v>0</v>
      </c>
      <c r="I96" t="s">
        <v>3</v>
      </c>
      <c r="J96">
        <f t="shared" si="16"/>
        <v>0</v>
      </c>
      <c r="K96" t="s">
        <v>3</v>
      </c>
      <c r="L96">
        <f t="shared" si="17"/>
        <v>0</v>
      </c>
      <c r="M96" t="s">
        <v>3</v>
      </c>
    </row>
    <row r="97" spans="1:18" x14ac:dyDescent="0.15">
      <c r="A97" t="str">
        <f t="shared" si="13"/>
        <v>|Lv|0|0|0|</v>
      </c>
      <c r="B97" t="s">
        <v>3</v>
      </c>
      <c r="C97" t="s">
        <v>8</v>
      </c>
      <c r="E97" t="s">
        <v>3</v>
      </c>
      <c r="F97" t="str">
        <f t="shared" si="14"/>
        <v/>
      </c>
      <c r="G97" t="s">
        <v>3</v>
      </c>
      <c r="H97">
        <f t="shared" si="15"/>
        <v>0</v>
      </c>
      <c r="I97" t="s">
        <v>3</v>
      </c>
      <c r="J97">
        <f t="shared" si="16"/>
        <v>0</v>
      </c>
      <c r="K97" t="s">
        <v>3</v>
      </c>
      <c r="L97">
        <f t="shared" si="17"/>
        <v>0</v>
      </c>
      <c r="M97" t="s">
        <v>3</v>
      </c>
    </row>
    <row r="98" spans="1:18" x14ac:dyDescent="0.15">
      <c r="A98" t="str">
        <f t="shared" si="13"/>
        <v>|Lv|0|0|0|</v>
      </c>
      <c r="B98" t="s">
        <v>3</v>
      </c>
      <c r="C98" t="s">
        <v>8</v>
      </c>
      <c r="E98" t="s">
        <v>3</v>
      </c>
      <c r="F98" t="str">
        <f t="shared" si="14"/>
        <v/>
      </c>
      <c r="G98" t="s">
        <v>3</v>
      </c>
      <c r="H98">
        <f t="shared" si="15"/>
        <v>0</v>
      </c>
      <c r="I98" t="s">
        <v>3</v>
      </c>
      <c r="J98">
        <f t="shared" si="16"/>
        <v>0</v>
      </c>
      <c r="K98" t="s">
        <v>3</v>
      </c>
      <c r="L98">
        <f t="shared" si="17"/>
        <v>0</v>
      </c>
      <c r="M98" t="s">
        <v>3</v>
      </c>
    </row>
    <row r="99" spans="1:18" x14ac:dyDescent="0.15">
      <c r="A99" t="str">
        <f>B99&amp;C99&amp;D99&amp;G99&amp;H99&amp;I99&amp;J99&amp;K99&amp;L99&amp;M99&amp;N99&amp;O99&amp;P99&amp;Q99&amp;R99</f>
        <v>|Lv|0|0|0|</v>
      </c>
      <c r="B99" t="s">
        <v>3</v>
      </c>
      <c r="C99" t="s">
        <v>8</v>
      </c>
      <c r="E99" t="s">
        <v>3</v>
      </c>
      <c r="F99" t="str">
        <f>IF(ISBLANK(D99),"",INDEX($F$135:$F$194,D99))</f>
        <v/>
      </c>
      <c r="G99" t="s">
        <v>3</v>
      </c>
      <c r="H99">
        <f>H98+IF(H$90=$F99,INDEX($H$135:$H$194,D99),0)</f>
        <v>0</v>
      </c>
      <c r="I99" t="s">
        <v>3</v>
      </c>
      <c r="J99">
        <f>J98+IF(J$90=$F99,INDEX($H$135:$H$194,D99),0)</f>
        <v>0</v>
      </c>
      <c r="K99" t="s">
        <v>3</v>
      </c>
      <c r="L99">
        <f>L98+IF(L$90=$F99,INDEX($H$135:$H$194,D99),0)</f>
        <v>0</v>
      </c>
      <c r="M99" t="s">
        <v>3</v>
      </c>
    </row>
    <row r="100" spans="1:18" x14ac:dyDescent="0.15">
      <c r="A100" t="str">
        <f>B100&amp;C100&amp;D100&amp;G100&amp;H100&amp;I100&amp;J100&amp;K100&amp;L100&amp;M100&amp;N100&amp;O100&amp;P100&amp;Q100&amp;R100</f>
        <v>|Lv|0|0|0|</v>
      </c>
      <c r="B100" t="s">
        <v>3</v>
      </c>
      <c r="C100" t="s">
        <v>8</v>
      </c>
      <c r="E100" t="s">
        <v>3</v>
      </c>
      <c r="F100" t="str">
        <f>IF(ISBLANK(D100),"",INDEX($F$135:$F$194,D100))</f>
        <v/>
      </c>
      <c r="G100" t="s">
        <v>3</v>
      </c>
      <c r="H100">
        <f>H99+IF(H$90=$F100,INDEX($H$135:$H$194,D100),0)</f>
        <v>0</v>
      </c>
      <c r="I100" t="s">
        <v>3</v>
      </c>
      <c r="J100">
        <f>J99+IF(J$90=$F100,INDEX($H$135:$H$194,D100),0)</f>
        <v>0</v>
      </c>
      <c r="K100" t="s">
        <v>3</v>
      </c>
      <c r="L100">
        <f>L99+IF(L$90=$F100,INDEX($H$135:$H$194,D100),0)</f>
        <v>0</v>
      </c>
      <c r="M100" t="s">
        <v>3</v>
      </c>
    </row>
    <row r="101" spans="1:18" x14ac:dyDescent="0.15">
      <c r="A101" t="str">
        <f>B101&amp;C101&amp;D101&amp;G101&amp;H101&amp;I101&amp;J101&amp;K101&amp;L101&amp;M101&amp;N101&amp;O101&amp;P101&amp;Q101&amp;R101</f>
        <v>|Lv|0|0|0|</v>
      </c>
      <c r="B101" t="s">
        <v>3</v>
      </c>
      <c r="C101" t="s">
        <v>8</v>
      </c>
      <c r="E101" t="s">
        <v>3</v>
      </c>
      <c r="F101" t="str">
        <f>IF(ISBLANK(D101),"",INDEX($F$135:$F$194,D101))</f>
        <v/>
      </c>
      <c r="G101" t="s">
        <v>3</v>
      </c>
      <c r="H101">
        <f>H100+IF(H$90=$F101,INDEX($H$135:$H$194,D101),0)</f>
        <v>0</v>
      </c>
      <c r="I101" t="s">
        <v>3</v>
      </c>
      <c r="J101">
        <f>J100+IF(J$90=$F101,INDEX($H$135:$H$194,D101),0)</f>
        <v>0</v>
      </c>
      <c r="K101" t="s">
        <v>3</v>
      </c>
      <c r="L101">
        <f>L100+IF(L$90=$F101,INDEX($H$135:$H$194,D101),0)</f>
        <v>0</v>
      </c>
      <c r="M101" t="s">
        <v>3</v>
      </c>
    </row>
    <row r="102" spans="1:18" x14ac:dyDescent="0.15">
      <c r="A102" t="str">
        <f>B102&amp;C102&amp;D102&amp;G102&amp;H102&amp;I102&amp;J102&amp;K102&amp;L102&amp;M102&amp;N102&amp;O102&amp;P102&amp;Q102&amp;R102</f>
        <v>|Lv|0|0|0|</v>
      </c>
      <c r="B102" t="s">
        <v>3</v>
      </c>
      <c r="C102" t="s">
        <v>8</v>
      </c>
      <c r="E102" t="s">
        <v>3</v>
      </c>
      <c r="F102" t="str">
        <f>IF(ISBLANK(D102),"",INDEX($F$135:$F$194,D102))</f>
        <v/>
      </c>
      <c r="G102" t="s">
        <v>3</v>
      </c>
      <c r="H102">
        <f>H101+IF(H$90=$F102,INDEX($H$135:$H$194,D102),0)</f>
        <v>0</v>
      </c>
      <c r="I102" t="s">
        <v>3</v>
      </c>
      <c r="J102">
        <f>J101+IF(J$90=$F102,INDEX($H$135:$H$194,D102),0)</f>
        <v>0</v>
      </c>
      <c r="K102" t="s">
        <v>3</v>
      </c>
      <c r="L102">
        <f>L101+IF(L$90=$F102,INDEX($H$135:$H$194,D102),0)</f>
        <v>0</v>
      </c>
      <c r="M102" t="s">
        <v>3</v>
      </c>
    </row>
    <row r="103" spans="1:18" x14ac:dyDescent="0.15">
      <c r="A103" t="str">
        <f t="shared" ref="A103:A124" si="18">B103&amp;C103&amp;D103&amp;E103&amp;F103&amp;G103&amp;H103&amp;I103&amp;J103&amp;K103&amp;L103&amp;M103&amp;N103&amp;O103&amp;P103</f>
        <v>&amp;br;</v>
      </c>
      <c r="B103" t="s">
        <v>0</v>
      </c>
    </row>
    <row r="104" spans="1:18" x14ac:dyDescent="0.15">
      <c r="A104" t="str">
        <f t="shared" si="18"/>
        <v>&amp;br;</v>
      </c>
      <c r="B104" t="s">
        <v>0</v>
      </c>
    </row>
    <row r="105" spans="1:18" x14ac:dyDescent="0.15">
      <c r="A105" t="str">
        <f t="shared" si="18"/>
        <v>*PW能力一覧 [#a469e89f]</v>
      </c>
      <c r="B105" t="s">
        <v>23</v>
      </c>
    </row>
    <row r="106" spans="1:18" x14ac:dyDescent="0.15">
      <c r="A106" t="str">
        <f t="shared" si="18"/>
        <v>**第1能力：/</v>
      </c>
      <c r="B106" t="s">
        <v>24</v>
      </c>
      <c r="E106" t="s">
        <v>25</v>
      </c>
      <c r="R106" t="str">
        <f>D106&amp;E106&amp;F106</f>
        <v>/</v>
      </c>
    </row>
    <row r="107" spans="1:18" x14ac:dyDescent="0.15">
      <c r="A107" t="str">
        <f t="shared" si="18"/>
        <v>|LEFT:50|LEFT:50|LEFT:50|LEFT:300|c</v>
      </c>
      <c r="B107" t="s">
        <v>3</v>
      </c>
      <c r="C107" t="s">
        <v>4</v>
      </c>
      <c r="E107" t="s">
        <v>3</v>
      </c>
      <c r="F107" t="s">
        <v>4</v>
      </c>
      <c r="G107" t="s">
        <v>3</v>
      </c>
      <c r="H107" t="s">
        <v>4</v>
      </c>
      <c r="I107" t="s">
        <v>3</v>
      </c>
      <c r="J107" t="s">
        <v>26</v>
      </c>
      <c r="K107" t="s">
        <v>3</v>
      </c>
      <c r="L107" t="s">
        <v>5</v>
      </c>
    </row>
    <row r="108" spans="1:18" x14ac:dyDescent="0.15">
      <c r="A108" t="str">
        <f t="shared" si="18"/>
        <v>|解放Lv|レベル|コスト|効果|</v>
      </c>
      <c r="B108" t="s">
        <v>3</v>
      </c>
      <c r="C108" t="s">
        <v>27</v>
      </c>
      <c r="E108" t="s">
        <v>3</v>
      </c>
      <c r="F108" t="s">
        <v>6</v>
      </c>
      <c r="G108" t="s">
        <v>3</v>
      </c>
      <c r="H108" t="s">
        <v>28</v>
      </c>
      <c r="I108" t="s">
        <v>3</v>
      </c>
      <c r="J108" t="s">
        <v>29</v>
      </c>
      <c r="K108" t="s">
        <v>3</v>
      </c>
    </row>
    <row r="109" spans="1:18" x14ac:dyDescent="0.15">
      <c r="A109" t="str">
        <f t="shared" si="18"/>
        <v>|Lv6|Lv1|||</v>
      </c>
      <c r="B109" t="s">
        <v>3</v>
      </c>
      <c r="C109" t="s">
        <v>8</v>
      </c>
      <c r="D109">
        <v>6</v>
      </c>
      <c r="E109" t="s">
        <v>3</v>
      </c>
      <c r="F109" t="s">
        <v>30</v>
      </c>
      <c r="G109" t="s">
        <v>3</v>
      </c>
      <c r="I109" t="s">
        <v>3</v>
      </c>
      <c r="K109" t="s">
        <v>3</v>
      </c>
    </row>
    <row r="110" spans="1:18" x14ac:dyDescent="0.15">
      <c r="A110" t="str">
        <f t="shared" si="18"/>
        <v>|Lv24|Lv2|0||</v>
      </c>
      <c r="B110" t="s">
        <v>3</v>
      </c>
      <c r="C110" t="s">
        <v>8</v>
      </c>
      <c r="D110">
        <v>24</v>
      </c>
      <c r="E110" t="s">
        <v>3</v>
      </c>
      <c r="F110" t="s">
        <v>31</v>
      </c>
      <c r="G110" t="s">
        <v>3</v>
      </c>
      <c r="H110">
        <f>H109</f>
        <v>0</v>
      </c>
      <c r="I110" t="s">
        <v>3</v>
      </c>
      <c r="K110" t="s">
        <v>3</v>
      </c>
    </row>
    <row r="111" spans="1:18" x14ac:dyDescent="0.15">
      <c r="A111" t="str">
        <f t="shared" si="18"/>
        <v>|Lv40|Lv3|0||</v>
      </c>
      <c r="B111" t="s">
        <v>3</v>
      </c>
      <c r="C111" t="s">
        <v>8</v>
      </c>
      <c r="D111">
        <v>40</v>
      </c>
      <c r="E111" t="s">
        <v>3</v>
      </c>
      <c r="F111" t="s">
        <v>32</v>
      </c>
      <c r="G111" t="s">
        <v>3</v>
      </c>
      <c r="H111">
        <f>H110</f>
        <v>0</v>
      </c>
      <c r="I111" t="s">
        <v>3</v>
      </c>
      <c r="K111" t="s">
        <v>3</v>
      </c>
    </row>
    <row r="112" spans="1:18" x14ac:dyDescent="0.15">
      <c r="A112" t="str">
        <f t="shared" si="18"/>
        <v>|Lv56|Lv4|0||</v>
      </c>
      <c r="B112" t="s">
        <v>3</v>
      </c>
      <c r="C112" t="s">
        <v>8</v>
      </c>
      <c r="D112">
        <v>56</v>
      </c>
      <c r="E112" t="s">
        <v>3</v>
      </c>
      <c r="F112" t="s">
        <v>33</v>
      </c>
      <c r="G112" t="s">
        <v>3</v>
      </c>
      <c r="H112">
        <f>H111</f>
        <v>0</v>
      </c>
      <c r="I112" t="s">
        <v>3</v>
      </c>
      <c r="K112" t="s">
        <v>3</v>
      </c>
    </row>
    <row r="113" spans="1:18" x14ac:dyDescent="0.15">
      <c r="A113" t="str">
        <f t="shared" si="18"/>
        <v>&amp;br;</v>
      </c>
      <c r="B113" t="s">
        <v>0</v>
      </c>
    </row>
    <row r="114" spans="1:18" x14ac:dyDescent="0.15">
      <c r="A114" t="str">
        <f t="shared" si="18"/>
        <v>&amp;br;</v>
      </c>
      <c r="B114" t="s">
        <v>0</v>
      </c>
    </row>
    <row r="115" spans="1:18" x14ac:dyDescent="0.15">
      <c r="A115" t="str">
        <f t="shared" si="18"/>
        <v>**第2能力：/</v>
      </c>
      <c r="B115" t="s">
        <v>34</v>
      </c>
      <c r="E115" t="s">
        <v>25</v>
      </c>
      <c r="R115" t="str">
        <f>D115&amp;E115&amp;F115</f>
        <v>/</v>
      </c>
    </row>
    <row r="116" spans="1:18" x14ac:dyDescent="0.15">
      <c r="A116" t="str">
        <f t="shared" si="18"/>
        <v>|LEFT:50|LEFT:50|LEFT:50|LEFT:300|c</v>
      </c>
      <c r="B116" t="s">
        <v>3</v>
      </c>
      <c r="C116" t="s">
        <v>4</v>
      </c>
      <c r="E116" t="s">
        <v>3</v>
      </c>
      <c r="F116" t="s">
        <v>4</v>
      </c>
      <c r="G116" t="s">
        <v>3</v>
      </c>
      <c r="H116" t="s">
        <v>4</v>
      </c>
      <c r="I116" t="s">
        <v>3</v>
      </c>
      <c r="J116" t="s">
        <v>26</v>
      </c>
      <c r="K116" t="s">
        <v>3</v>
      </c>
      <c r="L116" t="s">
        <v>5</v>
      </c>
    </row>
    <row r="117" spans="1:18" x14ac:dyDescent="0.15">
      <c r="A117" t="str">
        <f t="shared" si="18"/>
        <v>|解放Lv|レベル|コスト|効果|</v>
      </c>
      <c r="B117" t="s">
        <v>3</v>
      </c>
      <c r="C117" t="s">
        <v>27</v>
      </c>
      <c r="E117" t="s">
        <v>3</v>
      </c>
      <c r="F117" t="s">
        <v>6</v>
      </c>
      <c r="G117" t="s">
        <v>3</v>
      </c>
      <c r="H117" t="s">
        <v>28</v>
      </c>
      <c r="I117" t="s">
        <v>3</v>
      </c>
      <c r="J117" t="s">
        <v>29</v>
      </c>
      <c r="K117" t="s">
        <v>3</v>
      </c>
    </row>
    <row r="118" spans="1:18" x14ac:dyDescent="0.15">
      <c r="A118" t="str">
        <f t="shared" si="18"/>
        <v>|Lv12|Lv1|||</v>
      </c>
      <c r="B118" t="s">
        <v>3</v>
      </c>
      <c r="C118" t="s">
        <v>8</v>
      </c>
      <c r="D118">
        <v>12</v>
      </c>
      <c r="E118" t="s">
        <v>3</v>
      </c>
      <c r="F118" t="s">
        <v>30</v>
      </c>
      <c r="G118" t="s">
        <v>3</v>
      </c>
      <c r="I118" t="s">
        <v>3</v>
      </c>
      <c r="K118" t="s">
        <v>3</v>
      </c>
    </row>
    <row r="119" spans="1:18" x14ac:dyDescent="0.15">
      <c r="A119" t="str">
        <f t="shared" si="18"/>
        <v>|Lv30|Lv2|0||</v>
      </c>
      <c r="B119" t="s">
        <v>3</v>
      </c>
      <c r="C119" t="s">
        <v>8</v>
      </c>
      <c r="D119">
        <v>30</v>
      </c>
      <c r="E119" t="s">
        <v>3</v>
      </c>
      <c r="F119" t="s">
        <v>31</v>
      </c>
      <c r="G119" t="s">
        <v>3</v>
      </c>
      <c r="H119">
        <f>H118</f>
        <v>0</v>
      </c>
      <c r="I119" t="s">
        <v>3</v>
      </c>
      <c r="K119" t="s">
        <v>3</v>
      </c>
    </row>
    <row r="120" spans="1:18" x14ac:dyDescent="0.15">
      <c r="A120" t="str">
        <f t="shared" si="18"/>
        <v>|Lv46|Lv3|0||</v>
      </c>
      <c r="B120" t="s">
        <v>3</v>
      </c>
      <c r="C120" t="s">
        <v>8</v>
      </c>
      <c r="D120">
        <v>46</v>
      </c>
      <c r="E120" t="s">
        <v>3</v>
      </c>
      <c r="F120" t="s">
        <v>32</v>
      </c>
      <c r="G120" t="s">
        <v>3</v>
      </c>
      <c r="H120">
        <f>H119</f>
        <v>0</v>
      </c>
      <c r="I120" t="s">
        <v>3</v>
      </c>
      <c r="K120" t="s">
        <v>3</v>
      </c>
    </row>
    <row r="121" spans="1:18" x14ac:dyDescent="0.15">
      <c r="A121" t="str">
        <f t="shared" si="18"/>
        <v>|Lv58|Lv4|0||</v>
      </c>
      <c r="B121" t="s">
        <v>3</v>
      </c>
      <c r="C121" t="s">
        <v>8</v>
      </c>
      <c r="D121">
        <v>58</v>
      </c>
      <c r="E121" t="s">
        <v>3</v>
      </c>
      <c r="F121" t="s">
        <v>33</v>
      </c>
      <c r="G121" t="s">
        <v>3</v>
      </c>
      <c r="H121">
        <f>H120</f>
        <v>0</v>
      </c>
      <c r="I121" t="s">
        <v>3</v>
      </c>
      <c r="K121" t="s">
        <v>3</v>
      </c>
    </row>
    <row r="122" spans="1:18" x14ac:dyDescent="0.15">
      <c r="A122" t="str">
        <f t="shared" si="18"/>
        <v>&amp;br;</v>
      </c>
      <c r="B122" t="s">
        <v>0</v>
      </c>
    </row>
    <row r="123" spans="1:18" x14ac:dyDescent="0.15">
      <c r="A123" t="str">
        <f t="shared" si="18"/>
        <v>&amp;br;</v>
      </c>
      <c r="B123" t="s">
        <v>0</v>
      </c>
    </row>
    <row r="124" spans="1:18" x14ac:dyDescent="0.15">
      <c r="A124" t="str">
        <f t="shared" si="18"/>
        <v>**第3能力：/</v>
      </c>
      <c r="B124" t="s">
        <v>35</v>
      </c>
      <c r="E124" t="s">
        <v>25</v>
      </c>
      <c r="R124" t="str">
        <f>D124&amp;E124&amp;F124</f>
        <v>/</v>
      </c>
    </row>
    <row r="125" spans="1:18" x14ac:dyDescent="0.15">
      <c r="A125" t="str">
        <f t="shared" ref="A125:A187" si="19">B125&amp;C125&amp;D125&amp;E125&amp;F125&amp;G125&amp;H125&amp;I125&amp;J125&amp;K125&amp;L125&amp;M125&amp;N125&amp;O125&amp;P125</f>
        <v>|LEFT:50|LEFT:50|LEFT:50|LEFT:300|c</v>
      </c>
      <c r="B125" t="s">
        <v>3</v>
      </c>
      <c r="C125" t="s">
        <v>4</v>
      </c>
      <c r="E125" t="s">
        <v>3</v>
      </c>
      <c r="F125" t="s">
        <v>4</v>
      </c>
      <c r="G125" t="s">
        <v>3</v>
      </c>
      <c r="H125" t="s">
        <v>4</v>
      </c>
      <c r="I125" t="s">
        <v>3</v>
      </c>
      <c r="J125" t="s">
        <v>26</v>
      </c>
      <c r="K125" t="s">
        <v>3</v>
      </c>
      <c r="L125" t="s">
        <v>5</v>
      </c>
    </row>
    <row r="126" spans="1:18" x14ac:dyDescent="0.15">
      <c r="A126" t="str">
        <f t="shared" si="19"/>
        <v>|解放Lv|レベル|コスト|効果|</v>
      </c>
      <c r="B126" t="s">
        <v>3</v>
      </c>
      <c r="C126" t="s">
        <v>27</v>
      </c>
      <c r="E126" t="s">
        <v>3</v>
      </c>
      <c r="F126" t="s">
        <v>6</v>
      </c>
      <c r="G126" t="s">
        <v>3</v>
      </c>
      <c r="H126" t="s">
        <v>28</v>
      </c>
      <c r="I126" t="s">
        <v>3</v>
      </c>
      <c r="J126" t="s">
        <v>29</v>
      </c>
      <c r="K126" t="s">
        <v>3</v>
      </c>
    </row>
    <row r="127" spans="1:18" x14ac:dyDescent="0.15">
      <c r="A127" t="str">
        <f t="shared" si="19"/>
        <v>|Lv18|Lv1|||</v>
      </c>
      <c r="B127" t="s">
        <v>3</v>
      </c>
      <c r="C127" t="s">
        <v>8</v>
      </c>
      <c r="D127">
        <v>18</v>
      </c>
      <c r="E127" t="s">
        <v>3</v>
      </c>
      <c r="F127" t="s">
        <v>30</v>
      </c>
      <c r="G127" t="s">
        <v>3</v>
      </c>
      <c r="I127" t="s">
        <v>3</v>
      </c>
      <c r="K127" t="s">
        <v>3</v>
      </c>
    </row>
    <row r="128" spans="1:18" x14ac:dyDescent="0.15">
      <c r="A128" t="str">
        <f t="shared" si="19"/>
        <v>|Lv36|Lv2|0||</v>
      </c>
      <c r="B128" t="s">
        <v>3</v>
      </c>
      <c r="C128" t="s">
        <v>8</v>
      </c>
      <c r="D128">
        <v>36</v>
      </c>
      <c r="E128" t="s">
        <v>3</v>
      </c>
      <c r="F128" t="s">
        <v>31</v>
      </c>
      <c r="G128" t="s">
        <v>3</v>
      </c>
      <c r="H128">
        <f>H127</f>
        <v>0</v>
      </c>
      <c r="I128" t="s">
        <v>3</v>
      </c>
      <c r="K128" t="s">
        <v>3</v>
      </c>
    </row>
    <row r="129" spans="1:19" x14ac:dyDescent="0.15">
      <c r="A129" t="str">
        <f t="shared" si="19"/>
        <v>|Lv52|Lv3|0||</v>
      </c>
      <c r="B129" t="s">
        <v>3</v>
      </c>
      <c r="C129" t="s">
        <v>8</v>
      </c>
      <c r="D129">
        <v>52</v>
      </c>
      <c r="E129" t="s">
        <v>3</v>
      </c>
      <c r="F129" t="s">
        <v>32</v>
      </c>
      <c r="G129" t="s">
        <v>3</v>
      </c>
      <c r="H129">
        <f>H128</f>
        <v>0</v>
      </c>
      <c r="I129" t="s">
        <v>3</v>
      </c>
      <c r="K129" t="s">
        <v>3</v>
      </c>
    </row>
    <row r="130" spans="1:19" x14ac:dyDescent="0.15">
      <c r="A130" t="str">
        <f t="shared" si="19"/>
        <v>|Lv60|Lv4|0||</v>
      </c>
      <c r="B130" t="s">
        <v>3</v>
      </c>
      <c r="C130" t="s">
        <v>8</v>
      </c>
      <c r="D130">
        <v>60</v>
      </c>
      <c r="E130" t="s">
        <v>3</v>
      </c>
      <c r="F130" t="s">
        <v>33</v>
      </c>
      <c r="G130" t="s">
        <v>3</v>
      </c>
      <c r="H130">
        <f>H129</f>
        <v>0</v>
      </c>
      <c r="I130" t="s">
        <v>3</v>
      </c>
      <c r="K130" t="s">
        <v>3</v>
      </c>
    </row>
    <row r="131" spans="1:19" x14ac:dyDescent="0.15">
      <c r="A131" t="str">
        <f t="shared" si="19"/>
        <v>&amp;br;</v>
      </c>
      <c r="B131" t="s">
        <v>0</v>
      </c>
    </row>
    <row r="132" spans="1:19" x14ac:dyDescent="0.15">
      <c r="A132" t="str">
        <f t="shared" si="19"/>
        <v>&amp;br;</v>
      </c>
      <c r="B132" t="s">
        <v>0</v>
      </c>
    </row>
    <row r="133" spans="1:19" x14ac:dyDescent="0.15">
      <c r="A133" t="str">
        <f t="shared" si="19"/>
        <v>*レベルアップ報酬一覧</v>
      </c>
      <c r="B133" s="8" t="s">
        <v>666</v>
      </c>
      <c r="S133" s="8" t="s">
        <v>720</v>
      </c>
    </row>
    <row r="134" spans="1:19" x14ac:dyDescent="0.15">
      <c r="A134" t="str">
        <f t="shared" si="19"/>
        <v>|LEFT:50|LEFT:100|c</v>
      </c>
      <c r="B134" t="s">
        <v>3</v>
      </c>
      <c r="C134" t="s">
        <v>4</v>
      </c>
      <c r="E134" t="s">
        <v>3</v>
      </c>
      <c r="F134" t="s">
        <v>37</v>
      </c>
      <c r="I134" t="s">
        <v>3</v>
      </c>
      <c r="J134" t="s">
        <v>5</v>
      </c>
      <c r="R134" s="8" t="s">
        <v>654</v>
      </c>
      <c r="S134" t="s">
        <v>721</v>
      </c>
    </row>
    <row r="135" spans="1:19" x14ac:dyDescent="0.15">
      <c r="A135" t="str">
        <f t="shared" si="19"/>
        <v>|レベル|報酬|</v>
      </c>
      <c r="B135" t="s">
        <v>3</v>
      </c>
      <c r="C135" t="s">
        <v>6</v>
      </c>
      <c r="E135" t="s">
        <v>3</v>
      </c>
      <c r="F135" t="s">
        <v>38</v>
      </c>
      <c r="I135" t="s">
        <v>3</v>
      </c>
      <c r="Q135" t="s">
        <v>7</v>
      </c>
      <c r="R135">
        <v>3</v>
      </c>
      <c r="S135">
        <v>2</v>
      </c>
    </row>
    <row r="136" spans="1:19" x14ac:dyDescent="0.15">
      <c r="A136" t="str">
        <f t="shared" si="19"/>
        <v>|Lｖ2||</v>
      </c>
      <c r="B136" t="s">
        <v>3</v>
      </c>
      <c r="C136" t="s">
        <v>39</v>
      </c>
      <c r="D136">
        <v>2</v>
      </c>
      <c r="E136" t="s">
        <v>3</v>
      </c>
      <c r="G136" t="str">
        <f>IF(OR(F136=$Q$144,F136=$Q$145,F136=$Q$146,F136=$Q$147,ISBLANK(F136)),"","+")</f>
        <v/>
      </c>
      <c r="H136" t="str">
        <f>IF(F136="HP",IF($S$134="交互",IF(ISODD((D136-1)/2),$R$135,$S$135),$R$135),IF(F136="","",VLOOKUP(F136,$Q$135:$R$148,2,FALSE)))</f>
        <v/>
      </c>
      <c r="I136" t="s">
        <v>3</v>
      </c>
      <c r="Q136" t="s">
        <v>20</v>
      </c>
      <c r="R136">
        <v>1</v>
      </c>
    </row>
    <row r="137" spans="1:19" x14ac:dyDescent="0.15">
      <c r="A137" t="str">
        <f t="shared" si="19"/>
        <v>|Lｖ3|HP+3|</v>
      </c>
      <c r="B137" t="s">
        <v>3</v>
      </c>
      <c r="C137" t="s">
        <v>39</v>
      </c>
      <c r="D137">
        <v>3</v>
      </c>
      <c r="E137" t="s">
        <v>3</v>
      </c>
      <c r="F137" t="s">
        <v>7</v>
      </c>
      <c r="G137" t="str">
        <f t="shared" ref="G137:G194" si="20">IF(OR(F137=$Q$144,F137=$Q$145,F137=$Q$146,F137=$Q$147,ISBLANK(F137)),"","+")</f>
        <v>+</v>
      </c>
      <c r="H137">
        <f t="shared" ref="H137:H193" si="21">IF(F137="HP",IF($S$134="交互",IF(ISODD((D137-1)/2),$R$135,$S$135),$R$135),IF(F137="","",VLOOKUP(F137,$Q$135:$R$148,2,FALSE)))</f>
        <v>3</v>
      </c>
      <c r="I137" t="s">
        <v>3</v>
      </c>
      <c r="Q137" t="s">
        <v>21</v>
      </c>
      <c r="R137">
        <v>1</v>
      </c>
    </row>
    <row r="138" spans="1:19" x14ac:dyDescent="0.15">
      <c r="A138" t="str">
        <f t="shared" si="19"/>
        <v>|Lｖ4||</v>
      </c>
      <c r="B138" t="s">
        <v>3</v>
      </c>
      <c r="C138" t="s">
        <v>39</v>
      </c>
      <c r="D138">
        <v>4</v>
      </c>
      <c r="E138" t="s">
        <v>3</v>
      </c>
      <c r="G138" t="str">
        <f t="shared" si="20"/>
        <v/>
      </c>
      <c r="H138" t="str">
        <f t="shared" si="21"/>
        <v/>
      </c>
      <c r="I138" t="s">
        <v>3</v>
      </c>
      <c r="Q138" t="s">
        <v>22</v>
      </c>
      <c r="R138">
        <v>1</v>
      </c>
    </row>
    <row r="139" spans="1:19" x14ac:dyDescent="0.15">
      <c r="A139" t="str">
        <f t="shared" si="19"/>
        <v>|Lｖ5|HP+2|</v>
      </c>
      <c r="B139" t="s">
        <v>3</v>
      </c>
      <c r="C139" t="s">
        <v>39</v>
      </c>
      <c r="D139">
        <v>5</v>
      </c>
      <c r="E139" t="s">
        <v>3</v>
      </c>
      <c r="F139" t="s">
        <v>7</v>
      </c>
      <c r="G139" t="str">
        <f t="shared" si="20"/>
        <v>+</v>
      </c>
      <c r="H139">
        <f t="shared" si="21"/>
        <v>2</v>
      </c>
      <c r="I139" t="s">
        <v>3</v>
      </c>
      <c r="Q139" t="s">
        <v>11</v>
      </c>
      <c r="R139">
        <v>1</v>
      </c>
    </row>
    <row r="140" spans="1:19" x14ac:dyDescent="0.15">
      <c r="A140" t="str">
        <f t="shared" si="19"/>
        <v>|Lｖ6|第1能力Lv1|</v>
      </c>
      <c r="B140" t="s">
        <v>3</v>
      </c>
      <c r="C140" t="s">
        <v>39</v>
      </c>
      <c r="D140">
        <v>6</v>
      </c>
      <c r="E140" t="s">
        <v>3</v>
      </c>
      <c r="F140" t="s">
        <v>40</v>
      </c>
      <c r="G140" t="str">
        <f t="shared" si="20"/>
        <v/>
      </c>
      <c r="H140">
        <v>1</v>
      </c>
      <c r="I140" t="s">
        <v>3</v>
      </c>
      <c r="Q140" t="s">
        <v>12</v>
      </c>
      <c r="R140">
        <v>1</v>
      </c>
    </row>
    <row r="141" spans="1:19" x14ac:dyDescent="0.15">
      <c r="A141" t="str">
        <f t="shared" si="19"/>
        <v>|Lｖ7|HP+3|</v>
      </c>
      <c r="B141" t="s">
        <v>3</v>
      </c>
      <c r="C141" t="s">
        <v>39</v>
      </c>
      <c r="D141">
        <v>7</v>
      </c>
      <c r="E141" t="s">
        <v>3</v>
      </c>
      <c r="F141" t="s">
        <v>7</v>
      </c>
      <c r="G141" t="str">
        <f t="shared" si="20"/>
        <v>+</v>
      </c>
      <c r="H141">
        <f t="shared" si="21"/>
        <v>3</v>
      </c>
      <c r="I141" t="s">
        <v>3</v>
      </c>
      <c r="Q141" t="s">
        <v>13</v>
      </c>
      <c r="R141">
        <v>1</v>
      </c>
    </row>
    <row r="142" spans="1:19" x14ac:dyDescent="0.15">
      <c r="A142" t="str">
        <f t="shared" si="19"/>
        <v>|Lｖ8||</v>
      </c>
      <c r="B142" t="s">
        <v>3</v>
      </c>
      <c r="C142" t="s">
        <v>39</v>
      </c>
      <c r="D142">
        <v>8</v>
      </c>
      <c r="E142" t="s">
        <v>3</v>
      </c>
      <c r="G142" t="str">
        <f t="shared" si="20"/>
        <v/>
      </c>
      <c r="H142" t="str">
        <f t="shared" si="21"/>
        <v/>
      </c>
      <c r="I142" t="s">
        <v>3</v>
      </c>
      <c r="Q142" t="s">
        <v>14</v>
      </c>
      <c r="R142">
        <v>1</v>
      </c>
    </row>
    <row r="143" spans="1:19" x14ac:dyDescent="0.15">
      <c r="A143" t="str">
        <f t="shared" si="19"/>
        <v>|Lｖ9|HP+2|</v>
      </c>
      <c r="B143" t="s">
        <v>3</v>
      </c>
      <c r="C143" t="s">
        <v>39</v>
      </c>
      <c r="D143">
        <v>9</v>
      </c>
      <c r="E143" t="s">
        <v>3</v>
      </c>
      <c r="F143" t="s">
        <v>7</v>
      </c>
      <c r="G143" t="str">
        <f t="shared" si="20"/>
        <v>+</v>
      </c>
      <c r="H143">
        <f t="shared" si="21"/>
        <v>2</v>
      </c>
      <c r="I143" t="s">
        <v>3</v>
      </c>
      <c r="Q143" t="s">
        <v>15</v>
      </c>
      <c r="R143">
        <v>1</v>
      </c>
    </row>
    <row r="144" spans="1:19" x14ac:dyDescent="0.15">
      <c r="A144" t="str">
        <f t="shared" si="19"/>
        <v>|Lｖ10||</v>
      </c>
      <c r="B144" t="s">
        <v>3</v>
      </c>
      <c r="C144" t="s">
        <v>39</v>
      </c>
      <c r="D144">
        <v>10</v>
      </c>
      <c r="E144" t="s">
        <v>3</v>
      </c>
      <c r="G144" t="str">
        <f t="shared" si="20"/>
        <v/>
      </c>
      <c r="H144" t="str">
        <f t="shared" si="21"/>
        <v/>
      </c>
      <c r="I144" t="s">
        <v>3</v>
      </c>
      <c r="Q144" t="s">
        <v>40</v>
      </c>
    </row>
    <row r="145" spans="1:18" x14ac:dyDescent="0.15">
      <c r="A145" t="str">
        <f t="shared" si="19"/>
        <v>|Lｖ11|HP+3|</v>
      </c>
      <c r="B145" t="s">
        <v>3</v>
      </c>
      <c r="C145" t="s">
        <v>39</v>
      </c>
      <c r="D145">
        <v>11</v>
      </c>
      <c r="E145" t="s">
        <v>3</v>
      </c>
      <c r="F145" t="s">
        <v>7</v>
      </c>
      <c r="G145" t="str">
        <f t="shared" si="20"/>
        <v>+</v>
      </c>
      <c r="H145">
        <f t="shared" si="21"/>
        <v>3</v>
      </c>
      <c r="I145" t="s">
        <v>3</v>
      </c>
      <c r="Q145" t="s">
        <v>41</v>
      </c>
    </row>
    <row r="146" spans="1:18" x14ac:dyDescent="0.15">
      <c r="A146" t="str">
        <f t="shared" si="19"/>
        <v>|Lｖ12|第2能力Lv1|</v>
      </c>
      <c r="B146" t="s">
        <v>3</v>
      </c>
      <c r="C146" t="s">
        <v>39</v>
      </c>
      <c r="D146">
        <v>12</v>
      </c>
      <c r="E146" t="s">
        <v>3</v>
      </c>
      <c r="F146" t="s">
        <v>41</v>
      </c>
      <c r="G146" t="str">
        <f t="shared" si="20"/>
        <v/>
      </c>
      <c r="H146">
        <v>1</v>
      </c>
      <c r="I146" t="s">
        <v>3</v>
      </c>
      <c r="Q146" t="s">
        <v>42</v>
      </c>
    </row>
    <row r="147" spans="1:18" x14ac:dyDescent="0.15">
      <c r="A147" t="str">
        <f t="shared" si="19"/>
        <v>|Lｖ13|HP+2|</v>
      </c>
      <c r="B147" t="s">
        <v>3</v>
      </c>
      <c r="C147" t="s">
        <v>39</v>
      </c>
      <c r="D147">
        <v>13</v>
      </c>
      <c r="E147" t="s">
        <v>3</v>
      </c>
      <c r="F147" t="s">
        <v>7</v>
      </c>
      <c r="G147" t="str">
        <f t="shared" si="20"/>
        <v>+</v>
      </c>
      <c r="H147">
        <f t="shared" si="21"/>
        <v>2</v>
      </c>
      <c r="I147" t="s">
        <v>3</v>
      </c>
      <c r="Q147" t="s">
        <v>43</v>
      </c>
      <c r="R147" s="8" t="s">
        <v>665</v>
      </c>
    </row>
    <row r="148" spans="1:18" x14ac:dyDescent="0.15">
      <c r="A148" t="str">
        <f t="shared" si="19"/>
        <v>|Lｖ14||</v>
      </c>
      <c r="B148" t="s">
        <v>3</v>
      </c>
      <c r="C148" t="s">
        <v>39</v>
      </c>
      <c r="D148">
        <v>14</v>
      </c>
      <c r="E148" t="s">
        <v>3</v>
      </c>
      <c r="G148" t="str">
        <f t="shared" si="20"/>
        <v/>
      </c>
      <c r="H148" t="str">
        <f t="shared" si="21"/>
        <v/>
      </c>
      <c r="I148" t="s">
        <v>3</v>
      </c>
    </row>
    <row r="149" spans="1:18" x14ac:dyDescent="0.15">
      <c r="A149" t="str">
        <f t="shared" si="19"/>
        <v>|Lｖ15|HP+3|</v>
      </c>
      <c r="B149" t="s">
        <v>3</v>
      </c>
      <c r="C149" t="s">
        <v>39</v>
      </c>
      <c r="D149">
        <v>15</v>
      </c>
      <c r="E149" t="s">
        <v>3</v>
      </c>
      <c r="F149" t="s">
        <v>7</v>
      </c>
      <c r="G149" t="str">
        <f t="shared" si="20"/>
        <v>+</v>
      </c>
      <c r="H149">
        <f t="shared" si="21"/>
        <v>3</v>
      </c>
      <c r="I149" t="s">
        <v>3</v>
      </c>
    </row>
    <row r="150" spans="1:18" x14ac:dyDescent="0.15">
      <c r="A150" t="str">
        <f t="shared" si="19"/>
        <v>|Lｖ16||</v>
      </c>
      <c r="B150" t="s">
        <v>3</v>
      </c>
      <c r="C150" t="s">
        <v>39</v>
      </c>
      <c r="D150">
        <v>16</v>
      </c>
      <c r="E150" t="s">
        <v>3</v>
      </c>
      <c r="G150" t="str">
        <f t="shared" si="20"/>
        <v/>
      </c>
      <c r="H150" t="str">
        <f t="shared" si="21"/>
        <v/>
      </c>
      <c r="I150" t="s">
        <v>3</v>
      </c>
    </row>
    <row r="151" spans="1:18" x14ac:dyDescent="0.15">
      <c r="A151" t="str">
        <f t="shared" si="19"/>
        <v>|Lｖ17|HP+2|</v>
      </c>
      <c r="B151" t="s">
        <v>3</v>
      </c>
      <c r="C151" t="s">
        <v>39</v>
      </c>
      <c r="D151">
        <v>17</v>
      </c>
      <c r="E151" t="s">
        <v>3</v>
      </c>
      <c r="F151" t="s">
        <v>7</v>
      </c>
      <c r="G151" t="str">
        <f t="shared" si="20"/>
        <v>+</v>
      </c>
      <c r="H151">
        <f t="shared" si="21"/>
        <v>2</v>
      </c>
      <c r="I151" t="s">
        <v>3</v>
      </c>
    </row>
    <row r="152" spans="1:18" x14ac:dyDescent="0.15">
      <c r="A152" t="str">
        <f t="shared" si="19"/>
        <v>|Lｖ18|第3能力Lv1|</v>
      </c>
      <c r="B152" t="s">
        <v>3</v>
      </c>
      <c r="C152" t="s">
        <v>39</v>
      </c>
      <c r="D152">
        <v>18</v>
      </c>
      <c r="E152" t="s">
        <v>3</v>
      </c>
      <c r="F152" t="s">
        <v>42</v>
      </c>
      <c r="G152" t="str">
        <f t="shared" si="20"/>
        <v/>
      </c>
      <c r="H152">
        <v>1</v>
      </c>
      <c r="I152" t="s">
        <v>3</v>
      </c>
    </row>
    <row r="153" spans="1:18" x14ac:dyDescent="0.15">
      <c r="A153" t="str">
        <f t="shared" si="19"/>
        <v>|Lｖ19|HP+3|</v>
      </c>
      <c r="B153" t="s">
        <v>3</v>
      </c>
      <c r="C153" t="s">
        <v>39</v>
      </c>
      <c r="D153">
        <v>19</v>
      </c>
      <c r="E153" t="s">
        <v>3</v>
      </c>
      <c r="F153" t="s">
        <v>7</v>
      </c>
      <c r="G153" t="str">
        <f t="shared" si="20"/>
        <v>+</v>
      </c>
      <c r="H153">
        <f t="shared" si="21"/>
        <v>3</v>
      </c>
      <c r="I153" t="s">
        <v>3</v>
      </c>
    </row>
    <row r="154" spans="1:18" x14ac:dyDescent="0.15">
      <c r="A154" t="str">
        <f t="shared" si="19"/>
        <v>|Lｖ20||</v>
      </c>
      <c r="B154" t="s">
        <v>3</v>
      </c>
      <c r="C154" t="s">
        <v>39</v>
      </c>
      <c r="D154">
        <v>20</v>
      </c>
      <c r="E154" t="s">
        <v>3</v>
      </c>
      <c r="G154" t="str">
        <f t="shared" si="20"/>
        <v/>
      </c>
      <c r="H154" t="str">
        <f t="shared" si="21"/>
        <v/>
      </c>
      <c r="I154" t="s">
        <v>3</v>
      </c>
    </row>
    <row r="155" spans="1:18" x14ac:dyDescent="0.15">
      <c r="A155" t="str">
        <f t="shared" si="19"/>
        <v>|Lｖ21|HP+2|</v>
      </c>
      <c r="B155" t="s">
        <v>3</v>
      </c>
      <c r="C155" t="s">
        <v>39</v>
      </c>
      <c r="D155">
        <v>21</v>
      </c>
      <c r="E155" t="s">
        <v>3</v>
      </c>
      <c r="F155" t="s">
        <v>7</v>
      </c>
      <c r="G155" t="str">
        <f t="shared" si="20"/>
        <v>+</v>
      </c>
      <c r="H155">
        <f t="shared" si="21"/>
        <v>2</v>
      </c>
      <c r="I155" t="s">
        <v>3</v>
      </c>
    </row>
    <row r="156" spans="1:18" x14ac:dyDescent="0.15">
      <c r="A156" t="str">
        <f t="shared" si="19"/>
        <v>|Lｖ22|回復速度上昇 |</v>
      </c>
      <c r="B156" t="s">
        <v>3</v>
      </c>
      <c r="C156" t="s">
        <v>39</v>
      </c>
      <c r="D156">
        <v>22</v>
      </c>
      <c r="E156" t="s">
        <v>3</v>
      </c>
      <c r="F156" t="s">
        <v>43</v>
      </c>
      <c r="G156" t="str">
        <f t="shared" si="20"/>
        <v/>
      </c>
      <c r="H156" t="str">
        <f t="shared" si="21"/>
        <v xml:space="preserve"> </v>
      </c>
      <c r="I156" t="s">
        <v>3</v>
      </c>
    </row>
    <row r="157" spans="1:18" x14ac:dyDescent="0.15">
      <c r="A157" t="str">
        <f t="shared" si="19"/>
        <v>|Lｖ23|HP+3|</v>
      </c>
      <c r="B157" t="s">
        <v>3</v>
      </c>
      <c r="C157" t="s">
        <v>39</v>
      </c>
      <c r="D157">
        <v>23</v>
      </c>
      <c r="E157" t="s">
        <v>3</v>
      </c>
      <c r="F157" t="s">
        <v>7</v>
      </c>
      <c r="G157" t="str">
        <f t="shared" si="20"/>
        <v>+</v>
      </c>
      <c r="H157">
        <f t="shared" si="21"/>
        <v>3</v>
      </c>
      <c r="I157" t="s">
        <v>3</v>
      </c>
    </row>
    <row r="158" spans="1:18" x14ac:dyDescent="0.15">
      <c r="A158" t="str">
        <f t="shared" si="19"/>
        <v>|Lｖ24|第1能力Lv2|</v>
      </c>
      <c r="B158" t="s">
        <v>3</v>
      </c>
      <c r="C158" t="s">
        <v>39</v>
      </c>
      <c r="D158">
        <v>24</v>
      </c>
      <c r="E158" t="s">
        <v>3</v>
      </c>
      <c r="F158" t="s">
        <v>40</v>
      </c>
      <c r="G158" t="str">
        <f t="shared" si="20"/>
        <v/>
      </c>
      <c r="H158">
        <v>2</v>
      </c>
      <c r="I158" t="s">
        <v>3</v>
      </c>
    </row>
    <row r="159" spans="1:18" x14ac:dyDescent="0.15">
      <c r="A159" t="str">
        <f t="shared" si="19"/>
        <v>|Lｖ25|HP+2|</v>
      </c>
      <c r="B159" t="s">
        <v>3</v>
      </c>
      <c r="C159" t="s">
        <v>39</v>
      </c>
      <c r="D159">
        <v>25</v>
      </c>
      <c r="E159" t="s">
        <v>3</v>
      </c>
      <c r="F159" t="s">
        <v>7</v>
      </c>
      <c r="G159" t="str">
        <f t="shared" si="20"/>
        <v>+</v>
      </c>
      <c r="H159">
        <f t="shared" si="21"/>
        <v>2</v>
      </c>
      <c r="I159" t="s">
        <v>3</v>
      </c>
    </row>
    <row r="160" spans="1:18" x14ac:dyDescent="0.15">
      <c r="A160" t="str">
        <f t="shared" si="19"/>
        <v>|Lｖ26||</v>
      </c>
      <c r="B160" t="s">
        <v>3</v>
      </c>
      <c r="C160" t="s">
        <v>39</v>
      </c>
      <c r="D160">
        <v>26</v>
      </c>
      <c r="E160" t="s">
        <v>3</v>
      </c>
      <c r="G160" t="str">
        <f t="shared" si="20"/>
        <v/>
      </c>
      <c r="H160" t="str">
        <f t="shared" si="21"/>
        <v/>
      </c>
      <c r="I160" t="s">
        <v>3</v>
      </c>
    </row>
    <row r="161" spans="1:9" x14ac:dyDescent="0.15">
      <c r="A161" t="str">
        <f t="shared" si="19"/>
        <v>|Lｖ27|HP+3|</v>
      </c>
      <c r="B161" t="s">
        <v>3</v>
      </c>
      <c r="C161" t="s">
        <v>39</v>
      </c>
      <c r="D161">
        <v>27</v>
      </c>
      <c r="E161" t="s">
        <v>3</v>
      </c>
      <c r="F161" t="s">
        <v>7</v>
      </c>
      <c r="G161" t="str">
        <f t="shared" si="20"/>
        <v>+</v>
      </c>
      <c r="H161">
        <f t="shared" si="21"/>
        <v>3</v>
      </c>
      <c r="I161" t="s">
        <v>3</v>
      </c>
    </row>
    <row r="162" spans="1:9" x14ac:dyDescent="0.15">
      <c r="A162" t="str">
        <f t="shared" si="19"/>
        <v>|Lｖ28||</v>
      </c>
      <c r="B162" t="s">
        <v>3</v>
      </c>
      <c r="C162" t="s">
        <v>39</v>
      </c>
      <c r="D162">
        <v>28</v>
      </c>
      <c r="E162" t="s">
        <v>3</v>
      </c>
      <c r="G162" t="str">
        <f t="shared" si="20"/>
        <v/>
      </c>
      <c r="H162" t="str">
        <f t="shared" si="21"/>
        <v/>
      </c>
      <c r="I162" t="s">
        <v>3</v>
      </c>
    </row>
    <row r="163" spans="1:9" x14ac:dyDescent="0.15">
      <c r="A163" t="str">
        <f t="shared" si="19"/>
        <v>|Lｖ29|HP+2|</v>
      </c>
      <c r="B163" t="s">
        <v>3</v>
      </c>
      <c r="C163" t="s">
        <v>39</v>
      </c>
      <c r="D163">
        <v>29</v>
      </c>
      <c r="E163" t="s">
        <v>3</v>
      </c>
      <c r="F163" t="s">
        <v>7</v>
      </c>
      <c r="G163" t="str">
        <f t="shared" si="20"/>
        <v>+</v>
      </c>
      <c r="H163">
        <f t="shared" si="21"/>
        <v>2</v>
      </c>
      <c r="I163" t="s">
        <v>3</v>
      </c>
    </row>
    <row r="164" spans="1:9" x14ac:dyDescent="0.15">
      <c r="A164" t="str">
        <f t="shared" si="19"/>
        <v>|Lｖ30|第2能力Lv2|</v>
      </c>
      <c r="B164" t="s">
        <v>3</v>
      </c>
      <c r="C164" t="s">
        <v>39</v>
      </c>
      <c r="D164">
        <v>30</v>
      </c>
      <c r="E164" t="s">
        <v>3</v>
      </c>
      <c r="F164" t="s">
        <v>41</v>
      </c>
      <c r="G164" t="str">
        <f t="shared" si="20"/>
        <v/>
      </c>
      <c r="H164">
        <v>2</v>
      </c>
      <c r="I164" t="s">
        <v>3</v>
      </c>
    </row>
    <row r="165" spans="1:9" x14ac:dyDescent="0.15">
      <c r="A165" t="str">
        <f t="shared" si="19"/>
        <v>|Lｖ31|HP+3|</v>
      </c>
      <c r="B165" t="s">
        <v>3</v>
      </c>
      <c r="C165" t="s">
        <v>39</v>
      </c>
      <c r="D165">
        <v>31</v>
      </c>
      <c r="E165" t="s">
        <v>3</v>
      </c>
      <c r="F165" t="s">
        <v>7</v>
      </c>
      <c r="G165" t="str">
        <f t="shared" si="20"/>
        <v>+</v>
      </c>
      <c r="H165">
        <f t="shared" si="21"/>
        <v>3</v>
      </c>
      <c r="I165" t="s">
        <v>3</v>
      </c>
    </row>
    <row r="166" spans="1:9" x14ac:dyDescent="0.15">
      <c r="A166" t="str">
        <f t="shared" si="19"/>
        <v>|Lｖ32||</v>
      </c>
      <c r="B166" t="s">
        <v>3</v>
      </c>
      <c r="C166" t="s">
        <v>39</v>
      </c>
      <c r="D166">
        <v>32</v>
      </c>
      <c r="E166" t="s">
        <v>3</v>
      </c>
      <c r="G166" t="str">
        <f t="shared" si="20"/>
        <v/>
      </c>
      <c r="H166" t="str">
        <f t="shared" si="21"/>
        <v/>
      </c>
      <c r="I166" t="s">
        <v>3</v>
      </c>
    </row>
    <row r="167" spans="1:9" x14ac:dyDescent="0.15">
      <c r="A167" t="str">
        <f t="shared" si="19"/>
        <v>|Lｖ33|HP+2|</v>
      </c>
      <c r="B167" t="s">
        <v>3</v>
      </c>
      <c r="C167" t="s">
        <v>39</v>
      </c>
      <c r="D167">
        <v>33</v>
      </c>
      <c r="E167" t="s">
        <v>3</v>
      </c>
      <c r="F167" t="s">
        <v>7</v>
      </c>
      <c r="G167" t="str">
        <f t="shared" si="20"/>
        <v>+</v>
      </c>
      <c r="H167">
        <f t="shared" si="21"/>
        <v>2</v>
      </c>
      <c r="I167" t="s">
        <v>3</v>
      </c>
    </row>
    <row r="168" spans="1:9" x14ac:dyDescent="0.15">
      <c r="A168" t="str">
        <f t="shared" si="19"/>
        <v>|Lｖ34||</v>
      </c>
      <c r="B168" t="s">
        <v>3</v>
      </c>
      <c r="C168" t="s">
        <v>39</v>
      </c>
      <c r="D168">
        <v>34</v>
      </c>
      <c r="E168" t="s">
        <v>3</v>
      </c>
      <c r="G168" t="str">
        <f t="shared" si="20"/>
        <v/>
      </c>
      <c r="H168" t="str">
        <f t="shared" si="21"/>
        <v/>
      </c>
      <c r="I168" t="s">
        <v>3</v>
      </c>
    </row>
    <row r="169" spans="1:9" x14ac:dyDescent="0.15">
      <c r="A169" t="str">
        <f t="shared" si="19"/>
        <v>|Lｖ35|HP+3|</v>
      </c>
      <c r="B169" t="s">
        <v>3</v>
      </c>
      <c r="C169" t="s">
        <v>39</v>
      </c>
      <c r="D169">
        <v>35</v>
      </c>
      <c r="E169" t="s">
        <v>3</v>
      </c>
      <c r="F169" t="s">
        <v>7</v>
      </c>
      <c r="G169" t="str">
        <f t="shared" si="20"/>
        <v>+</v>
      </c>
      <c r="H169">
        <f t="shared" si="21"/>
        <v>3</v>
      </c>
      <c r="I169" t="s">
        <v>3</v>
      </c>
    </row>
    <row r="170" spans="1:9" x14ac:dyDescent="0.15">
      <c r="A170" t="str">
        <f t="shared" si="19"/>
        <v>|Lｖ36|第3能力Lv2|</v>
      </c>
      <c r="B170" t="s">
        <v>3</v>
      </c>
      <c r="C170" t="s">
        <v>39</v>
      </c>
      <c r="D170">
        <v>36</v>
      </c>
      <c r="E170" t="s">
        <v>3</v>
      </c>
      <c r="F170" t="s">
        <v>42</v>
      </c>
      <c r="G170" t="str">
        <f t="shared" si="20"/>
        <v/>
      </c>
      <c r="H170">
        <v>2</v>
      </c>
      <c r="I170" t="s">
        <v>3</v>
      </c>
    </row>
    <row r="171" spans="1:9" x14ac:dyDescent="0.15">
      <c r="A171" t="str">
        <f t="shared" si="19"/>
        <v>|Lｖ37|HP+2|</v>
      </c>
      <c r="B171" t="s">
        <v>3</v>
      </c>
      <c r="C171" t="s">
        <v>39</v>
      </c>
      <c r="D171">
        <v>37</v>
      </c>
      <c r="E171" t="s">
        <v>3</v>
      </c>
      <c r="F171" t="s">
        <v>7</v>
      </c>
      <c r="G171" t="str">
        <f t="shared" si="20"/>
        <v>+</v>
      </c>
      <c r="H171">
        <f t="shared" si="21"/>
        <v>2</v>
      </c>
      <c r="I171" t="s">
        <v>3</v>
      </c>
    </row>
    <row r="172" spans="1:9" x14ac:dyDescent="0.15">
      <c r="A172" t="str">
        <f t="shared" si="19"/>
        <v>|Lｖ38||</v>
      </c>
      <c r="B172" t="s">
        <v>3</v>
      </c>
      <c r="C172" t="s">
        <v>39</v>
      </c>
      <c r="D172">
        <v>38</v>
      </c>
      <c r="E172" t="s">
        <v>3</v>
      </c>
      <c r="G172" t="str">
        <f t="shared" si="20"/>
        <v/>
      </c>
      <c r="H172" t="str">
        <f t="shared" si="21"/>
        <v/>
      </c>
      <c r="I172" t="s">
        <v>3</v>
      </c>
    </row>
    <row r="173" spans="1:9" x14ac:dyDescent="0.15">
      <c r="A173" t="str">
        <f t="shared" si="19"/>
        <v>|Lｖ39|HP+3|</v>
      </c>
      <c r="B173" t="s">
        <v>3</v>
      </c>
      <c r="C173" t="s">
        <v>39</v>
      </c>
      <c r="D173">
        <v>39</v>
      </c>
      <c r="E173" t="s">
        <v>3</v>
      </c>
      <c r="F173" t="s">
        <v>7</v>
      </c>
      <c r="G173" t="str">
        <f t="shared" si="20"/>
        <v>+</v>
      </c>
      <c r="H173">
        <f t="shared" si="21"/>
        <v>3</v>
      </c>
      <c r="I173" t="s">
        <v>3</v>
      </c>
    </row>
    <row r="174" spans="1:9" x14ac:dyDescent="0.15">
      <c r="A174" t="str">
        <f t="shared" si="19"/>
        <v>|Lｖ40|第1能力Lv3|</v>
      </c>
      <c r="B174" t="s">
        <v>3</v>
      </c>
      <c r="C174" t="s">
        <v>39</v>
      </c>
      <c r="D174">
        <v>40</v>
      </c>
      <c r="E174" t="s">
        <v>3</v>
      </c>
      <c r="F174" t="s">
        <v>40</v>
      </c>
      <c r="G174" t="str">
        <f t="shared" si="20"/>
        <v/>
      </c>
      <c r="H174">
        <v>3</v>
      </c>
      <c r="I174" t="s">
        <v>3</v>
      </c>
    </row>
    <row r="175" spans="1:9" x14ac:dyDescent="0.15">
      <c r="A175" t="str">
        <f t="shared" si="19"/>
        <v>|Lｖ41|HP+2|</v>
      </c>
      <c r="B175" t="s">
        <v>3</v>
      </c>
      <c r="C175" t="s">
        <v>39</v>
      </c>
      <c r="D175">
        <v>41</v>
      </c>
      <c r="E175" t="s">
        <v>3</v>
      </c>
      <c r="F175" t="s">
        <v>7</v>
      </c>
      <c r="G175" t="str">
        <f t="shared" si="20"/>
        <v>+</v>
      </c>
      <c r="H175">
        <f t="shared" si="21"/>
        <v>2</v>
      </c>
      <c r="I175" t="s">
        <v>3</v>
      </c>
    </row>
    <row r="176" spans="1:9" x14ac:dyDescent="0.15">
      <c r="A176" t="str">
        <f t="shared" si="19"/>
        <v>|Lｖ42||</v>
      </c>
      <c r="B176" t="s">
        <v>3</v>
      </c>
      <c r="C176" t="s">
        <v>39</v>
      </c>
      <c r="D176">
        <v>42</v>
      </c>
      <c r="E176" t="s">
        <v>3</v>
      </c>
      <c r="G176" t="str">
        <f t="shared" si="20"/>
        <v/>
      </c>
      <c r="H176" t="str">
        <f t="shared" si="21"/>
        <v/>
      </c>
      <c r="I176" t="s">
        <v>3</v>
      </c>
    </row>
    <row r="177" spans="1:9" x14ac:dyDescent="0.15">
      <c r="A177" t="str">
        <f t="shared" si="19"/>
        <v>|Lｖ43|HP+3|</v>
      </c>
      <c r="B177" t="s">
        <v>3</v>
      </c>
      <c r="C177" t="s">
        <v>39</v>
      </c>
      <c r="D177">
        <v>43</v>
      </c>
      <c r="E177" t="s">
        <v>3</v>
      </c>
      <c r="F177" t="s">
        <v>7</v>
      </c>
      <c r="G177" t="str">
        <f t="shared" si="20"/>
        <v>+</v>
      </c>
      <c r="H177">
        <f t="shared" si="21"/>
        <v>3</v>
      </c>
      <c r="I177" t="s">
        <v>3</v>
      </c>
    </row>
    <row r="178" spans="1:9" x14ac:dyDescent="0.15">
      <c r="A178" t="str">
        <f t="shared" si="19"/>
        <v>|Lｖ44||</v>
      </c>
      <c r="B178" t="s">
        <v>3</v>
      </c>
      <c r="C178" t="s">
        <v>39</v>
      </c>
      <c r="D178">
        <v>44</v>
      </c>
      <c r="E178" t="s">
        <v>3</v>
      </c>
      <c r="G178" t="str">
        <f t="shared" si="20"/>
        <v/>
      </c>
      <c r="H178" t="str">
        <f t="shared" si="21"/>
        <v/>
      </c>
      <c r="I178" t="s">
        <v>3</v>
      </c>
    </row>
    <row r="179" spans="1:9" x14ac:dyDescent="0.15">
      <c r="A179" t="str">
        <f t="shared" si="19"/>
        <v>|Lｖ45|HP+2|</v>
      </c>
      <c r="B179" t="s">
        <v>3</v>
      </c>
      <c r="C179" t="s">
        <v>39</v>
      </c>
      <c r="D179">
        <v>45</v>
      </c>
      <c r="E179" t="s">
        <v>3</v>
      </c>
      <c r="F179" t="s">
        <v>7</v>
      </c>
      <c r="G179" t="str">
        <f t="shared" si="20"/>
        <v>+</v>
      </c>
      <c r="H179">
        <f t="shared" si="21"/>
        <v>2</v>
      </c>
      <c r="I179" t="s">
        <v>3</v>
      </c>
    </row>
    <row r="180" spans="1:9" x14ac:dyDescent="0.15">
      <c r="A180" t="str">
        <f t="shared" si="19"/>
        <v>|Lｖ46|第2能力Lv3|</v>
      </c>
      <c r="B180" t="s">
        <v>3</v>
      </c>
      <c r="C180" t="s">
        <v>39</v>
      </c>
      <c r="D180">
        <v>46</v>
      </c>
      <c r="E180" t="s">
        <v>3</v>
      </c>
      <c r="F180" t="s">
        <v>41</v>
      </c>
      <c r="G180" t="str">
        <f t="shared" si="20"/>
        <v/>
      </c>
      <c r="H180">
        <v>3</v>
      </c>
      <c r="I180" t="s">
        <v>3</v>
      </c>
    </row>
    <row r="181" spans="1:9" x14ac:dyDescent="0.15">
      <c r="A181" t="str">
        <f t="shared" si="19"/>
        <v>|Lｖ47|HP+3|</v>
      </c>
      <c r="B181" t="s">
        <v>3</v>
      </c>
      <c r="C181" t="s">
        <v>39</v>
      </c>
      <c r="D181">
        <v>47</v>
      </c>
      <c r="E181" t="s">
        <v>3</v>
      </c>
      <c r="F181" t="s">
        <v>7</v>
      </c>
      <c r="G181" t="str">
        <f t="shared" si="20"/>
        <v>+</v>
      </c>
      <c r="H181">
        <f t="shared" si="21"/>
        <v>3</v>
      </c>
      <c r="I181" t="s">
        <v>3</v>
      </c>
    </row>
    <row r="182" spans="1:9" x14ac:dyDescent="0.15">
      <c r="A182" t="str">
        <f t="shared" si="19"/>
        <v>|Lｖ48|回復速度上昇 |</v>
      </c>
      <c r="B182" t="s">
        <v>3</v>
      </c>
      <c r="C182" t="s">
        <v>39</v>
      </c>
      <c r="D182">
        <v>48</v>
      </c>
      <c r="E182" t="s">
        <v>3</v>
      </c>
      <c r="F182" t="s">
        <v>43</v>
      </c>
      <c r="G182" t="str">
        <f t="shared" si="20"/>
        <v/>
      </c>
      <c r="H182" t="str">
        <f t="shared" si="21"/>
        <v xml:space="preserve"> </v>
      </c>
      <c r="I182" t="s">
        <v>3</v>
      </c>
    </row>
    <row r="183" spans="1:9" x14ac:dyDescent="0.15">
      <c r="A183" t="str">
        <f t="shared" si="19"/>
        <v>|Lｖ49|HP+2|</v>
      </c>
      <c r="B183" t="s">
        <v>3</v>
      </c>
      <c r="C183" t="s">
        <v>39</v>
      </c>
      <c r="D183">
        <v>49</v>
      </c>
      <c r="E183" t="s">
        <v>3</v>
      </c>
      <c r="F183" t="s">
        <v>7</v>
      </c>
      <c r="G183" t="str">
        <f t="shared" si="20"/>
        <v>+</v>
      </c>
      <c r="H183">
        <f t="shared" si="21"/>
        <v>2</v>
      </c>
      <c r="I183" t="s">
        <v>3</v>
      </c>
    </row>
    <row r="184" spans="1:9" x14ac:dyDescent="0.15">
      <c r="A184" t="str">
        <f t="shared" si="19"/>
        <v>|Lｖ50||</v>
      </c>
      <c r="B184" t="s">
        <v>3</v>
      </c>
      <c r="C184" t="s">
        <v>39</v>
      </c>
      <c r="D184">
        <v>50</v>
      </c>
      <c r="E184" t="s">
        <v>3</v>
      </c>
      <c r="G184" t="str">
        <f t="shared" si="20"/>
        <v/>
      </c>
      <c r="H184" t="str">
        <f t="shared" si="21"/>
        <v/>
      </c>
      <c r="I184" t="s">
        <v>3</v>
      </c>
    </row>
    <row r="185" spans="1:9" x14ac:dyDescent="0.15">
      <c r="A185" t="str">
        <f t="shared" si="19"/>
        <v>|Lｖ51|HP+3|</v>
      </c>
      <c r="B185" t="s">
        <v>3</v>
      </c>
      <c r="C185" t="s">
        <v>39</v>
      </c>
      <c r="D185">
        <v>51</v>
      </c>
      <c r="E185" t="s">
        <v>3</v>
      </c>
      <c r="F185" t="s">
        <v>7</v>
      </c>
      <c r="G185" t="str">
        <f t="shared" si="20"/>
        <v>+</v>
      </c>
      <c r="H185">
        <f t="shared" si="21"/>
        <v>3</v>
      </c>
      <c r="I185" t="s">
        <v>3</v>
      </c>
    </row>
    <row r="186" spans="1:9" x14ac:dyDescent="0.15">
      <c r="A186" t="str">
        <f t="shared" si="19"/>
        <v>|Lｖ52|第3能力Lv3|</v>
      </c>
      <c r="B186" t="s">
        <v>3</v>
      </c>
      <c r="C186" t="s">
        <v>39</v>
      </c>
      <c r="D186">
        <v>52</v>
      </c>
      <c r="E186" t="s">
        <v>3</v>
      </c>
      <c r="F186" t="s">
        <v>42</v>
      </c>
      <c r="G186" t="str">
        <f t="shared" si="20"/>
        <v/>
      </c>
      <c r="H186">
        <v>3</v>
      </c>
      <c r="I186" t="s">
        <v>3</v>
      </c>
    </row>
    <row r="187" spans="1:9" x14ac:dyDescent="0.15">
      <c r="A187" t="str">
        <f t="shared" si="19"/>
        <v>|Lｖ53|HP+2|</v>
      </c>
      <c r="B187" t="s">
        <v>3</v>
      </c>
      <c r="C187" t="s">
        <v>39</v>
      </c>
      <c r="D187">
        <v>53</v>
      </c>
      <c r="E187" t="s">
        <v>3</v>
      </c>
      <c r="F187" t="s">
        <v>7</v>
      </c>
      <c r="G187" t="str">
        <f t="shared" si="20"/>
        <v>+</v>
      </c>
      <c r="H187">
        <f t="shared" si="21"/>
        <v>2</v>
      </c>
      <c r="I187" t="s">
        <v>3</v>
      </c>
    </row>
    <row r="188" spans="1:9" x14ac:dyDescent="0.15">
      <c r="A188" t="str">
        <f t="shared" ref="A188:A201" si="22">B188&amp;C188&amp;D188&amp;E188&amp;F188&amp;G188&amp;H188&amp;I188&amp;J188&amp;K188&amp;L188&amp;M188&amp;N188&amp;O188&amp;P188</f>
        <v>|Lｖ54||</v>
      </c>
      <c r="B188" t="s">
        <v>3</v>
      </c>
      <c r="C188" t="s">
        <v>39</v>
      </c>
      <c r="D188">
        <v>54</v>
      </c>
      <c r="E188" t="s">
        <v>3</v>
      </c>
      <c r="G188" t="str">
        <f t="shared" si="20"/>
        <v/>
      </c>
      <c r="H188" t="str">
        <f t="shared" si="21"/>
        <v/>
      </c>
      <c r="I188" t="s">
        <v>3</v>
      </c>
    </row>
    <row r="189" spans="1:9" x14ac:dyDescent="0.15">
      <c r="A189" t="str">
        <f t="shared" si="22"/>
        <v>|Lｖ55|HP+3|</v>
      </c>
      <c r="B189" t="s">
        <v>3</v>
      </c>
      <c r="C189" t="s">
        <v>39</v>
      </c>
      <c r="D189">
        <v>55</v>
      </c>
      <c r="E189" t="s">
        <v>3</v>
      </c>
      <c r="F189" t="s">
        <v>7</v>
      </c>
      <c r="G189" t="str">
        <f t="shared" si="20"/>
        <v>+</v>
      </c>
      <c r="H189">
        <f t="shared" si="21"/>
        <v>3</v>
      </c>
      <c r="I189" t="s">
        <v>3</v>
      </c>
    </row>
    <row r="190" spans="1:9" x14ac:dyDescent="0.15">
      <c r="A190" t="str">
        <f t="shared" si="22"/>
        <v>|Lｖ56|第1能力Lv4|</v>
      </c>
      <c r="B190" t="s">
        <v>3</v>
      </c>
      <c r="C190" t="s">
        <v>39</v>
      </c>
      <c r="D190">
        <v>56</v>
      </c>
      <c r="E190" t="s">
        <v>3</v>
      </c>
      <c r="F190" t="s">
        <v>40</v>
      </c>
      <c r="G190" t="str">
        <f t="shared" si="20"/>
        <v/>
      </c>
      <c r="H190">
        <v>4</v>
      </c>
      <c r="I190" t="s">
        <v>3</v>
      </c>
    </row>
    <row r="191" spans="1:9" x14ac:dyDescent="0.15">
      <c r="A191" t="str">
        <f t="shared" si="22"/>
        <v>|Lｖ57|HP+2|</v>
      </c>
      <c r="B191" t="s">
        <v>3</v>
      </c>
      <c r="C191" t="s">
        <v>39</v>
      </c>
      <c r="D191">
        <v>57</v>
      </c>
      <c r="E191" t="s">
        <v>3</v>
      </c>
      <c r="F191" t="s">
        <v>7</v>
      </c>
      <c r="G191" t="str">
        <f t="shared" si="20"/>
        <v>+</v>
      </c>
      <c r="H191">
        <f t="shared" si="21"/>
        <v>2</v>
      </c>
      <c r="I191" t="s">
        <v>3</v>
      </c>
    </row>
    <row r="192" spans="1:9" x14ac:dyDescent="0.15">
      <c r="A192" t="str">
        <f t="shared" si="22"/>
        <v>|Lｖ58|第2能力Lv4|</v>
      </c>
      <c r="B192" t="s">
        <v>3</v>
      </c>
      <c r="C192" t="s">
        <v>39</v>
      </c>
      <c r="D192">
        <v>58</v>
      </c>
      <c r="E192" t="s">
        <v>3</v>
      </c>
      <c r="F192" t="s">
        <v>41</v>
      </c>
      <c r="G192" t="str">
        <f t="shared" si="20"/>
        <v/>
      </c>
      <c r="H192">
        <v>4</v>
      </c>
      <c r="I192" t="s">
        <v>3</v>
      </c>
    </row>
    <row r="193" spans="1:9" x14ac:dyDescent="0.15">
      <c r="A193" t="str">
        <f t="shared" si="22"/>
        <v>|Lｖ59||</v>
      </c>
      <c r="B193" t="s">
        <v>3</v>
      </c>
      <c r="C193" t="s">
        <v>39</v>
      </c>
      <c r="D193">
        <v>59</v>
      </c>
      <c r="E193" t="s">
        <v>3</v>
      </c>
      <c r="G193" t="str">
        <f t="shared" si="20"/>
        <v/>
      </c>
      <c r="H193" t="str">
        <f t="shared" si="21"/>
        <v/>
      </c>
      <c r="I193" t="s">
        <v>3</v>
      </c>
    </row>
    <row r="194" spans="1:9" x14ac:dyDescent="0.15">
      <c r="A194" t="str">
        <f t="shared" si="22"/>
        <v>|Lｖ60|第3能力Lv4|</v>
      </c>
      <c r="B194" t="s">
        <v>3</v>
      </c>
      <c r="C194" t="s">
        <v>39</v>
      </c>
      <c r="D194">
        <v>60</v>
      </c>
      <c r="E194" t="s">
        <v>3</v>
      </c>
      <c r="F194" t="s">
        <v>42</v>
      </c>
      <c r="G194" t="str">
        <f t="shared" si="20"/>
        <v/>
      </c>
      <c r="H194">
        <v>4</v>
      </c>
      <c r="I194" t="s">
        <v>3</v>
      </c>
    </row>
    <row r="195" spans="1:9" x14ac:dyDescent="0.15">
      <c r="A195" t="str">
        <f t="shared" si="22"/>
        <v>必要総経験値：79920ルーン</v>
      </c>
      <c r="B195" t="s">
        <v>45</v>
      </c>
      <c r="C195">
        <v>79920</v>
      </c>
      <c r="F195" t="s">
        <v>46</v>
      </c>
    </row>
    <row r="196" spans="1:9" x14ac:dyDescent="0.15">
      <c r="A196" t="str">
        <f t="shared" si="22"/>
        <v>#endregion</v>
      </c>
      <c r="B196" t="s">
        <v>599</v>
      </c>
    </row>
    <row r="197" spans="1:9" x14ac:dyDescent="0.15">
      <c r="A197" t="str">
        <f t="shared" si="22"/>
        <v>&amp;br;</v>
      </c>
      <c r="B197" t="s">
        <v>0</v>
      </c>
    </row>
    <row r="198" spans="1:9" x14ac:dyDescent="0.15">
      <c r="A198" t="str">
        <f t="shared" si="22"/>
        <v>#back(text=戻る,left)</v>
      </c>
      <c r="B198" t="s">
        <v>47</v>
      </c>
    </row>
    <row r="199" spans="1:9" x14ac:dyDescent="0.15">
      <c r="A199" t="str">
        <f t="shared" si="22"/>
        <v>&amp;br;</v>
      </c>
      <c r="B199" t="s">
        <v>0</v>
      </c>
    </row>
    <row r="200" spans="1:9" x14ac:dyDescent="0.15">
      <c r="A200" t="str">
        <f t="shared" si="22"/>
        <v>#comment(above,nsize=[15],size=[30],num=[10])</v>
      </c>
      <c r="B200" t="s">
        <v>48</v>
      </c>
    </row>
    <row r="201" spans="1:9" x14ac:dyDescent="0.15">
      <c r="A201" t="str">
        <f t="shared" si="22"/>
        <v>[[プレインズウォーカーリスト&gt;プレインズウォーカーリスト]]</v>
      </c>
      <c r="B201" t="s">
        <v>49</v>
      </c>
    </row>
    <row r="208" spans="1:9" x14ac:dyDescent="0.15">
      <c r="B208" s="9" t="s">
        <v>655</v>
      </c>
    </row>
    <row r="209" spans="2:6" x14ac:dyDescent="0.15">
      <c r="B209" s="9" t="s">
        <v>656</v>
      </c>
      <c r="D209" s="8"/>
      <c r="E209" s="8"/>
    </row>
    <row r="210" spans="2:6" x14ac:dyDescent="0.15">
      <c r="B210" s="7"/>
    </row>
    <row r="211" spans="2:6" x14ac:dyDescent="0.15">
      <c r="B211" s="9" t="s">
        <v>657</v>
      </c>
      <c r="C211" s="9" t="s">
        <v>658</v>
      </c>
      <c r="D211" s="9" t="s">
        <v>659</v>
      </c>
    </row>
    <row r="212" spans="2:6" x14ac:dyDescent="0.15">
      <c r="B212" s="7"/>
      <c r="C212" s="7"/>
      <c r="D212" s="7"/>
    </row>
    <row r="213" spans="2:6" x14ac:dyDescent="0.15">
      <c r="B213" s="9" t="s">
        <v>660</v>
      </c>
      <c r="C213" s="9" t="s">
        <v>661</v>
      </c>
      <c r="D213" s="9" t="s">
        <v>662</v>
      </c>
      <c r="E213" s="9" t="s">
        <v>663</v>
      </c>
      <c r="F213" s="9" t="s">
        <v>664</v>
      </c>
    </row>
    <row r="214" spans="2:6" x14ac:dyDescent="0.15">
      <c r="B214" s="7"/>
      <c r="C214" s="7"/>
      <c r="D214" s="7"/>
      <c r="E214" s="7"/>
      <c r="F214" s="7"/>
    </row>
  </sheetData>
  <autoFilter ref="C135:I201"/>
  <phoneticPr fontId="4"/>
  <dataValidations count="3">
    <dataValidation type="list" allowBlank="1" showInputMessage="1" showErrorMessage="1" sqref="F195:F196">
      <formula1>$Q$125:$Q$137</formula1>
    </dataValidation>
    <dataValidation type="list" allowBlank="1" showInputMessage="1" showErrorMessage="1" sqref="F136:F194">
      <formula1>$Q$135:$Q$147</formula1>
    </dataValidation>
    <dataValidation type="list" showInputMessage="1" showErrorMessage="1" sqref="S134">
      <formula1>",交互"</formula1>
    </dataValidation>
  </dataValidations>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色フィルター">
                <anchor moveWithCells="1" sizeWithCells="1">
                  <from>
                    <xdr:col>5</xdr:col>
                    <xdr:colOff>209550</xdr:colOff>
                    <xdr:row>130</xdr:row>
                    <xdr:rowOff>152400</xdr:rowOff>
                  </from>
                  <to>
                    <xdr:col>6</xdr:col>
                    <xdr:colOff>85725</xdr:colOff>
                    <xdr:row>132</xdr:row>
                    <xdr:rowOff>66675</xdr:rowOff>
                  </to>
                </anchor>
              </controlPr>
            </control>
          </mc:Choice>
        </mc:AlternateContent>
        <mc:AlternateContent xmlns:mc="http://schemas.openxmlformats.org/markup-compatibility/2006">
          <mc:Choice Requires="x14">
            <control shapeId="2052" r:id="rId5" name="Button 4">
              <controlPr defaultSize="0" print="0" autoFill="0" autoPict="0" macro="[0]!種別フィルター">
                <anchor moveWithCells="1" sizeWithCells="1">
                  <from>
                    <xdr:col>7</xdr:col>
                    <xdr:colOff>104775</xdr:colOff>
                    <xdr:row>130</xdr:row>
                    <xdr:rowOff>161925</xdr:rowOff>
                  </from>
                  <to>
                    <xdr:col>7</xdr:col>
                    <xdr:colOff>666750</xdr:colOff>
                    <xdr:row>132</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151"/>
  <sheetViews>
    <sheetView topLeftCell="A91" workbookViewId="0">
      <selection activeCell="H102" sqref="H102"/>
    </sheetView>
  </sheetViews>
  <sheetFormatPr defaultColWidth="9" defaultRowHeight="13.5" x14ac:dyDescent="0.15"/>
  <cols>
    <col min="2" max="2" width="3.5" customWidth="1"/>
    <col min="3" max="3" width="7.875" customWidth="1"/>
    <col min="4" max="4" width="5.5" customWidth="1"/>
    <col min="5" max="5" width="2" customWidth="1"/>
    <col min="7" max="7" width="2" customWidth="1"/>
    <col min="9" max="9" width="2" customWidth="1"/>
    <col min="11" max="11" width="2" customWidth="1"/>
    <col min="13" max="13" width="2" customWidth="1"/>
    <col min="15" max="15" width="2" customWidth="1"/>
  </cols>
  <sheetData>
    <row r="1" spans="1:8" x14ac:dyDescent="0.15">
      <c r="A1" t="str">
        <f>B1&amp;C1&amp;D1&amp;E1&amp;F1&amp;G1&amp;H1&amp;I1&amp;J1&amp;K1&amp;L1&amp;M1&amp;N1&amp;O1&amp;P1</f>
        <v/>
      </c>
    </row>
    <row r="2" spans="1:8" x14ac:dyDescent="0.15">
      <c r="A2" t="str">
        <f t="shared" ref="A2:A75" si="0">B2&amp;C2&amp;D2&amp;E2&amp;F2&amp;G2&amp;H2&amp;I2&amp;J2&amp;K2&amp;L2&amp;M2&amp;N2&amp;O2&amp;P2</f>
        <v>&amp;br;</v>
      </c>
      <c r="B2" t="s">
        <v>0</v>
      </c>
    </row>
    <row r="3" spans="1:8" x14ac:dyDescent="0.15">
      <c r="A3" t="str">
        <f t="shared" si="0"/>
        <v>#contents()</v>
      </c>
      <c r="B3" t="s">
        <v>1</v>
      </c>
    </row>
    <row r="4" spans="1:8" x14ac:dyDescent="0.15">
      <c r="A4" t="str">
        <f t="shared" si="0"/>
        <v>*HP [#f569d8c6]</v>
      </c>
      <c r="B4" t="s">
        <v>2</v>
      </c>
    </row>
    <row r="5" spans="1:8" x14ac:dyDescent="0.15">
      <c r="A5" t="str">
        <f t="shared" si="0"/>
        <v>|LEFT:50|LEFT:50|c</v>
      </c>
      <c r="B5" t="s">
        <v>3</v>
      </c>
      <c r="C5" t="s">
        <v>4</v>
      </c>
      <c r="E5" t="s">
        <v>3</v>
      </c>
      <c r="F5" t="s">
        <v>4</v>
      </c>
      <c r="G5" t="s">
        <v>3</v>
      </c>
      <c r="H5" t="s">
        <v>5</v>
      </c>
    </row>
    <row r="6" spans="1:8" x14ac:dyDescent="0.15">
      <c r="A6" t="str">
        <f t="shared" si="0"/>
        <v>|レベル|HP|</v>
      </c>
      <c r="B6" t="s">
        <v>3</v>
      </c>
      <c r="C6" t="s">
        <v>6</v>
      </c>
      <c r="E6" t="s">
        <v>3</v>
      </c>
      <c r="F6" t="s">
        <v>7</v>
      </c>
      <c r="G6" t="s">
        <v>3</v>
      </c>
    </row>
    <row r="7" spans="1:8" x14ac:dyDescent="0.15">
      <c r="A7" t="str">
        <f t="shared" si="0"/>
        <v>|Lv1|32|</v>
      </c>
      <c r="B7" t="s">
        <v>3</v>
      </c>
      <c r="C7" t="s">
        <v>8</v>
      </c>
      <c r="D7">
        <v>1</v>
      </c>
      <c r="E7" t="s">
        <v>3</v>
      </c>
      <c r="F7">
        <v>32</v>
      </c>
      <c r="G7" t="s">
        <v>3</v>
      </c>
    </row>
    <row r="8" spans="1:8" x14ac:dyDescent="0.15">
      <c r="A8" t="str">
        <f t="shared" si="0"/>
        <v>|Lv4|36|</v>
      </c>
      <c r="B8" t="s">
        <v>3</v>
      </c>
      <c r="C8" t="s">
        <v>8</v>
      </c>
      <c r="D8">
        <f>D7+3</f>
        <v>4</v>
      </c>
      <c r="E8" t="s">
        <v>3</v>
      </c>
      <c r="F8">
        <f>F7+4</f>
        <v>36</v>
      </c>
      <c r="G8" t="s">
        <v>3</v>
      </c>
    </row>
    <row r="9" spans="1:8" x14ac:dyDescent="0.15">
      <c r="A9" t="str">
        <f t="shared" si="0"/>
        <v>|Lv7|40|</v>
      </c>
      <c r="B9" t="s">
        <v>3</v>
      </c>
      <c r="C9" t="s">
        <v>8</v>
      </c>
      <c r="D9">
        <f t="shared" ref="D9:D17" si="1">D8+3</f>
        <v>7</v>
      </c>
      <c r="E9" t="s">
        <v>3</v>
      </c>
      <c r="F9">
        <f t="shared" ref="F9:F17" si="2">F8+4</f>
        <v>40</v>
      </c>
      <c r="G9" t="s">
        <v>3</v>
      </c>
    </row>
    <row r="10" spans="1:8" x14ac:dyDescent="0.15">
      <c r="A10" t="str">
        <f t="shared" si="0"/>
        <v>|Lv10|44|</v>
      </c>
      <c r="B10" t="s">
        <v>3</v>
      </c>
      <c r="C10" t="s">
        <v>8</v>
      </c>
      <c r="D10">
        <f t="shared" si="1"/>
        <v>10</v>
      </c>
      <c r="E10" t="s">
        <v>3</v>
      </c>
      <c r="F10">
        <f t="shared" si="2"/>
        <v>44</v>
      </c>
      <c r="G10" t="s">
        <v>3</v>
      </c>
    </row>
    <row r="11" spans="1:8" x14ac:dyDescent="0.15">
      <c r="A11" t="str">
        <f t="shared" si="0"/>
        <v>|Lv13|48|</v>
      </c>
      <c r="B11" t="s">
        <v>3</v>
      </c>
      <c r="C11" t="s">
        <v>8</v>
      </c>
      <c r="D11">
        <f t="shared" si="1"/>
        <v>13</v>
      </c>
      <c r="E11" t="s">
        <v>3</v>
      </c>
      <c r="F11">
        <f t="shared" si="2"/>
        <v>48</v>
      </c>
      <c r="G11" t="s">
        <v>3</v>
      </c>
    </row>
    <row r="12" spans="1:8" x14ac:dyDescent="0.15">
      <c r="A12" t="str">
        <f t="shared" si="0"/>
        <v>|Lv16|52|</v>
      </c>
      <c r="B12" t="s">
        <v>3</v>
      </c>
      <c r="C12" t="s">
        <v>8</v>
      </c>
      <c r="D12">
        <f t="shared" si="1"/>
        <v>16</v>
      </c>
      <c r="E12" t="s">
        <v>3</v>
      </c>
      <c r="F12">
        <f t="shared" si="2"/>
        <v>52</v>
      </c>
      <c r="G12" t="s">
        <v>3</v>
      </c>
    </row>
    <row r="13" spans="1:8" x14ac:dyDescent="0.15">
      <c r="A13" t="str">
        <f t="shared" si="0"/>
        <v>|Lv19|56|</v>
      </c>
      <c r="B13" t="s">
        <v>3</v>
      </c>
      <c r="C13" t="s">
        <v>8</v>
      </c>
      <c r="D13">
        <f t="shared" si="1"/>
        <v>19</v>
      </c>
      <c r="E13" t="s">
        <v>3</v>
      </c>
      <c r="F13">
        <f t="shared" si="2"/>
        <v>56</v>
      </c>
      <c r="G13" t="s">
        <v>3</v>
      </c>
    </row>
    <row r="14" spans="1:8" x14ac:dyDescent="0.15">
      <c r="A14" t="str">
        <f t="shared" si="0"/>
        <v>|Lv22|60|</v>
      </c>
      <c r="B14" t="s">
        <v>3</v>
      </c>
      <c r="C14" t="s">
        <v>8</v>
      </c>
      <c r="D14">
        <f t="shared" si="1"/>
        <v>22</v>
      </c>
      <c r="E14" t="s">
        <v>3</v>
      </c>
      <c r="F14">
        <f t="shared" si="2"/>
        <v>60</v>
      </c>
      <c r="G14" t="s">
        <v>3</v>
      </c>
    </row>
    <row r="15" spans="1:8" x14ac:dyDescent="0.15">
      <c r="A15" t="str">
        <f t="shared" si="0"/>
        <v>|Lv25|64|</v>
      </c>
      <c r="B15" t="s">
        <v>3</v>
      </c>
      <c r="C15" t="s">
        <v>8</v>
      </c>
      <c r="D15">
        <f t="shared" si="1"/>
        <v>25</v>
      </c>
      <c r="E15" t="s">
        <v>3</v>
      </c>
      <c r="F15">
        <f t="shared" si="2"/>
        <v>64</v>
      </c>
      <c r="G15" t="s">
        <v>3</v>
      </c>
    </row>
    <row r="16" spans="1:8" x14ac:dyDescent="0.15">
      <c r="A16" t="str">
        <f t="shared" si="0"/>
        <v>|Lv28|68|</v>
      </c>
      <c r="B16" t="s">
        <v>3</v>
      </c>
      <c r="C16" t="s">
        <v>8</v>
      </c>
      <c r="D16">
        <f t="shared" si="1"/>
        <v>28</v>
      </c>
      <c r="E16" t="s">
        <v>3</v>
      </c>
      <c r="F16">
        <f t="shared" si="2"/>
        <v>68</v>
      </c>
      <c r="G16" t="s">
        <v>3</v>
      </c>
    </row>
    <row r="17" spans="1:16" x14ac:dyDescent="0.15">
      <c r="A17" t="str">
        <f t="shared" si="0"/>
        <v>|Lv31|72|</v>
      </c>
      <c r="B17" t="s">
        <v>3</v>
      </c>
      <c r="C17" t="s">
        <v>8</v>
      </c>
      <c r="D17">
        <f t="shared" si="1"/>
        <v>31</v>
      </c>
      <c r="E17" t="s">
        <v>3</v>
      </c>
      <c r="F17">
        <f t="shared" si="2"/>
        <v>72</v>
      </c>
      <c r="G17" t="s">
        <v>3</v>
      </c>
    </row>
    <row r="18" spans="1:16" x14ac:dyDescent="0.15">
      <c r="A18" t="str">
        <f t="shared" si="0"/>
        <v>|Lv34|76|</v>
      </c>
      <c r="B18" t="s">
        <v>3</v>
      </c>
      <c r="C18" t="s">
        <v>8</v>
      </c>
      <c r="D18">
        <f t="shared" ref="D18:D23" si="3">D17+3</f>
        <v>34</v>
      </c>
      <c r="E18" t="s">
        <v>3</v>
      </c>
      <c r="F18">
        <f t="shared" ref="F18:F23" si="4">F17+4</f>
        <v>76</v>
      </c>
      <c r="G18" t="s">
        <v>3</v>
      </c>
    </row>
    <row r="19" spans="1:16" x14ac:dyDescent="0.15">
      <c r="A19" t="str">
        <f t="shared" si="0"/>
        <v>|Lv37|80|</v>
      </c>
      <c r="B19" t="s">
        <v>3</v>
      </c>
      <c r="C19" t="s">
        <v>8</v>
      </c>
      <c r="D19">
        <f t="shared" si="3"/>
        <v>37</v>
      </c>
      <c r="E19" t="s">
        <v>3</v>
      </c>
      <c r="F19">
        <f t="shared" si="4"/>
        <v>80</v>
      </c>
      <c r="G19" t="s">
        <v>3</v>
      </c>
    </row>
    <row r="20" spans="1:16" x14ac:dyDescent="0.15">
      <c r="A20" t="str">
        <f t="shared" si="0"/>
        <v>|Lv40|84|</v>
      </c>
      <c r="B20" t="s">
        <v>3</v>
      </c>
      <c r="C20" t="s">
        <v>8</v>
      </c>
      <c r="D20">
        <f t="shared" si="3"/>
        <v>40</v>
      </c>
      <c r="E20" t="s">
        <v>3</v>
      </c>
      <c r="F20">
        <f t="shared" si="4"/>
        <v>84</v>
      </c>
      <c r="G20" t="s">
        <v>3</v>
      </c>
    </row>
    <row r="21" spans="1:16" x14ac:dyDescent="0.15">
      <c r="A21" t="str">
        <f t="shared" si="0"/>
        <v>|Lv43|88|</v>
      </c>
      <c r="B21" t="s">
        <v>3</v>
      </c>
      <c r="C21" t="s">
        <v>8</v>
      </c>
      <c r="D21">
        <f t="shared" si="3"/>
        <v>43</v>
      </c>
      <c r="E21" t="s">
        <v>3</v>
      </c>
      <c r="F21">
        <f t="shared" si="4"/>
        <v>88</v>
      </c>
      <c r="G21" t="s">
        <v>3</v>
      </c>
    </row>
    <row r="22" spans="1:16" x14ac:dyDescent="0.15">
      <c r="A22" t="str">
        <f t="shared" si="0"/>
        <v>|Lv46|92|</v>
      </c>
      <c r="B22" t="s">
        <v>3</v>
      </c>
      <c r="C22" t="s">
        <v>8</v>
      </c>
      <c r="D22">
        <f t="shared" si="3"/>
        <v>46</v>
      </c>
      <c r="E22" t="s">
        <v>3</v>
      </c>
      <c r="F22">
        <f t="shared" si="4"/>
        <v>92</v>
      </c>
      <c r="G22" t="s">
        <v>3</v>
      </c>
    </row>
    <row r="23" spans="1:16" x14ac:dyDescent="0.15">
      <c r="A23" t="str">
        <f t="shared" si="0"/>
        <v>|Lv49|96|</v>
      </c>
      <c r="B23" t="s">
        <v>3</v>
      </c>
      <c r="C23" t="s">
        <v>8</v>
      </c>
      <c r="D23">
        <f t="shared" si="3"/>
        <v>49</v>
      </c>
      <c r="E23" t="s">
        <v>3</v>
      </c>
      <c r="F23">
        <f t="shared" si="4"/>
        <v>96</v>
      </c>
      <c r="G23" t="s">
        <v>3</v>
      </c>
    </row>
    <row r="24" spans="1:16" x14ac:dyDescent="0.15">
      <c r="A24" t="str">
        <f t="shared" si="0"/>
        <v>|Lv52|104|</v>
      </c>
      <c r="B24" t="s">
        <v>3</v>
      </c>
      <c r="C24" t="s">
        <v>8</v>
      </c>
      <c r="D24">
        <v>52</v>
      </c>
      <c r="E24" t="s">
        <v>3</v>
      </c>
      <c r="F24">
        <f>F23+8</f>
        <v>104</v>
      </c>
      <c r="G24" t="s">
        <v>3</v>
      </c>
    </row>
    <row r="25" spans="1:16" x14ac:dyDescent="0.15">
      <c r="A25" t="str">
        <f t="shared" si="0"/>
        <v>&amp;br;</v>
      </c>
      <c r="B25" t="s">
        <v>0</v>
      </c>
    </row>
    <row r="26" spans="1:16" x14ac:dyDescent="0.15">
      <c r="A26" t="str">
        <f t="shared" si="0"/>
        <v>&amp;br;</v>
      </c>
      <c r="B26" t="s">
        <v>0</v>
      </c>
    </row>
    <row r="27" spans="1:16" x14ac:dyDescent="0.15">
      <c r="A27" t="str">
        <f t="shared" si="0"/>
        <v>*マナボーナス [#q1a26f54]</v>
      </c>
      <c r="B27" t="s">
        <v>9</v>
      </c>
    </row>
    <row r="28" spans="1:16" x14ac:dyDescent="0.15">
      <c r="A28" t="str">
        <f t="shared" si="0"/>
        <v>|LEFT:50|LEFT:50|LEFT:50|LEFT:50|LEFT:50|LEFT:50|c</v>
      </c>
      <c r="B28" t="s">
        <v>3</v>
      </c>
      <c r="C28" t="s">
        <v>4</v>
      </c>
      <c r="E28" t="s">
        <v>3</v>
      </c>
      <c r="F28" t="s">
        <v>4</v>
      </c>
      <c r="G28" t="s">
        <v>3</v>
      </c>
      <c r="H28" t="s">
        <v>4</v>
      </c>
      <c r="I28" t="s">
        <v>3</v>
      </c>
      <c r="J28" t="s">
        <v>4</v>
      </c>
      <c r="K28" t="s">
        <v>3</v>
      </c>
      <c r="L28" t="s">
        <v>4</v>
      </c>
      <c r="M28" t="s">
        <v>3</v>
      </c>
      <c r="N28" t="s">
        <v>4</v>
      </c>
      <c r="O28" t="s">
        <v>3</v>
      </c>
      <c r="P28" t="s">
        <v>5</v>
      </c>
    </row>
    <row r="29" spans="1:16" x14ac:dyDescent="0.15">
      <c r="A29" t="str">
        <f t="shared" si="0"/>
        <v>|レベル|白|青|黒|赤|緑|</v>
      </c>
      <c r="B29" t="s">
        <v>3</v>
      </c>
      <c r="C29" t="s">
        <v>6</v>
      </c>
      <c r="E29" t="s">
        <v>3</v>
      </c>
      <c r="F29" t="s">
        <v>11</v>
      </c>
      <c r="G29" t="s">
        <v>3</v>
      </c>
      <c r="H29" t="s">
        <v>12</v>
      </c>
      <c r="I29" t="s">
        <v>3</v>
      </c>
      <c r="J29" t="s">
        <v>13</v>
      </c>
      <c r="K29" t="s">
        <v>3</v>
      </c>
      <c r="L29" t="s">
        <v>14</v>
      </c>
      <c r="M29" t="s">
        <v>3</v>
      </c>
      <c r="N29" t="s">
        <v>15</v>
      </c>
      <c r="O29" t="s">
        <v>3</v>
      </c>
    </row>
    <row r="30" spans="1:16" x14ac:dyDescent="0.15">
      <c r="A30" t="str">
        <f t="shared" si="0"/>
        <v>|Lv1|1|0|-1|-1|0|</v>
      </c>
      <c r="B30" t="s">
        <v>3</v>
      </c>
      <c r="C30" t="s">
        <v>8</v>
      </c>
      <c r="D30">
        <v>1</v>
      </c>
      <c r="E30" t="s">
        <v>3</v>
      </c>
      <c r="F30">
        <v>1</v>
      </c>
      <c r="G30" t="s">
        <v>3</v>
      </c>
      <c r="H30">
        <v>0</v>
      </c>
      <c r="I30" t="s">
        <v>3</v>
      </c>
      <c r="J30">
        <v>-1</v>
      </c>
      <c r="K30" t="s">
        <v>3</v>
      </c>
      <c r="L30">
        <v>-1</v>
      </c>
      <c r="M30" t="s">
        <v>3</v>
      </c>
      <c r="N30">
        <v>0</v>
      </c>
      <c r="O30" t="s">
        <v>3</v>
      </c>
    </row>
    <row r="31" spans="1:16" x14ac:dyDescent="0.15">
      <c r="A31" t="str">
        <f t="shared" si="0"/>
        <v>|Lv6|2|0|-1|-1|0|</v>
      </c>
      <c r="B31" t="s">
        <v>3</v>
      </c>
      <c r="C31" t="s">
        <v>8</v>
      </c>
      <c r="D31">
        <v>6</v>
      </c>
      <c r="E31" t="s">
        <v>3</v>
      </c>
      <c r="F31">
        <f>F30+1</f>
        <v>2</v>
      </c>
      <c r="G31" t="s">
        <v>3</v>
      </c>
      <c r="H31">
        <f>H30</f>
        <v>0</v>
      </c>
      <c r="I31" t="str">
        <f t="shared" ref="I31:O31" si="5">I30</f>
        <v>|</v>
      </c>
      <c r="J31">
        <f t="shared" si="5"/>
        <v>-1</v>
      </c>
      <c r="K31" t="str">
        <f t="shared" si="5"/>
        <v>|</v>
      </c>
      <c r="L31">
        <f t="shared" si="5"/>
        <v>-1</v>
      </c>
      <c r="M31" t="str">
        <f t="shared" si="5"/>
        <v>|</v>
      </c>
      <c r="N31">
        <f t="shared" si="5"/>
        <v>0</v>
      </c>
      <c r="O31" t="str">
        <f t="shared" si="5"/>
        <v>|</v>
      </c>
    </row>
    <row r="32" spans="1:16" x14ac:dyDescent="0.15">
      <c r="A32" t="str">
        <f t="shared" si="0"/>
        <v>|Lv11|2|0|-1|-1|1|</v>
      </c>
      <c r="B32" t="s">
        <v>3</v>
      </c>
      <c r="C32" t="s">
        <v>8</v>
      </c>
      <c r="D32">
        <v>11</v>
      </c>
      <c r="E32" t="s">
        <v>3</v>
      </c>
      <c r="F32">
        <f>F31</f>
        <v>2</v>
      </c>
      <c r="G32" t="s">
        <v>3</v>
      </c>
      <c r="H32">
        <f>H31</f>
        <v>0</v>
      </c>
      <c r="I32" t="str">
        <f t="shared" ref="I32:M33" si="6">I31</f>
        <v>|</v>
      </c>
      <c r="J32">
        <f t="shared" si="6"/>
        <v>-1</v>
      </c>
      <c r="K32" t="str">
        <f t="shared" si="6"/>
        <v>|</v>
      </c>
      <c r="L32">
        <f t="shared" si="6"/>
        <v>-1</v>
      </c>
      <c r="M32" t="str">
        <f t="shared" si="6"/>
        <v>|</v>
      </c>
      <c r="N32">
        <f>N31+1</f>
        <v>1</v>
      </c>
      <c r="O32" t="str">
        <f>O31</f>
        <v>|</v>
      </c>
    </row>
    <row r="33" spans="1:15" x14ac:dyDescent="0.15">
      <c r="A33" t="str">
        <f t="shared" si="0"/>
        <v>|Lv24|2|1|-1|-1|1|</v>
      </c>
      <c r="B33" t="s">
        <v>3</v>
      </c>
      <c r="C33" t="s">
        <v>8</v>
      </c>
      <c r="D33">
        <v>24</v>
      </c>
      <c r="E33" t="s">
        <v>3</v>
      </c>
      <c r="F33">
        <f>F32</f>
        <v>2</v>
      </c>
      <c r="G33" t="s">
        <v>3</v>
      </c>
      <c r="H33">
        <f>H32+1</f>
        <v>1</v>
      </c>
      <c r="I33" t="str">
        <f t="shared" si="6"/>
        <v>|</v>
      </c>
      <c r="J33">
        <f t="shared" si="6"/>
        <v>-1</v>
      </c>
      <c r="K33" t="str">
        <f t="shared" si="6"/>
        <v>|</v>
      </c>
      <c r="L33">
        <f t="shared" si="6"/>
        <v>-1</v>
      </c>
      <c r="M33" t="str">
        <f t="shared" si="6"/>
        <v>|</v>
      </c>
      <c r="N33">
        <f>N32</f>
        <v>1</v>
      </c>
      <c r="O33" t="str">
        <f>O32</f>
        <v>|</v>
      </c>
    </row>
    <row r="34" spans="1:15" x14ac:dyDescent="0.15">
      <c r="A34" t="str">
        <f t="shared" si="0"/>
        <v>|Lv33|2|1|0|-1|1|</v>
      </c>
      <c r="B34" t="s">
        <v>3</v>
      </c>
      <c r="C34" t="s">
        <v>8</v>
      </c>
      <c r="D34">
        <v>33</v>
      </c>
      <c r="E34" t="s">
        <v>3</v>
      </c>
      <c r="F34">
        <f>F33</f>
        <v>2</v>
      </c>
      <c r="G34" t="s">
        <v>3</v>
      </c>
      <c r="H34">
        <f>H33</f>
        <v>1</v>
      </c>
      <c r="I34" t="str">
        <f>I33</f>
        <v>|</v>
      </c>
      <c r="J34">
        <f>J33+1</f>
        <v>0</v>
      </c>
      <c r="K34" t="str">
        <f>K33</f>
        <v>|</v>
      </c>
      <c r="L34">
        <f>L33</f>
        <v>-1</v>
      </c>
      <c r="M34" t="str">
        <f>M33</f>
        <v>|</v>
      </c>
      <c r="N34">
        <f>N33</f>
        <v>1</v>
      </c>
      <c r="O34" t="str">
        <f>O33</f>
        <v>|</v>
      </c>
    </row>
    <row r="35" spans="1:15" x14ac:dyDescent="0.15">
      <c r="A35" t="str">
        <f t="shared" si="0"/>
        <v>|Lv48|2|1|0|0|1|</v>
      </c>
      <c r="B35" t="s">
        <v>3</v>
      </c>
      <c r="C35" t="s">
        <v>8</v>
      </c>
      <c r="D35">
        <v>48</v>
      </c>
      <c r="E35" t="s">
        <v>3</v>
      </c>
      <c r="F35">
        <f>F34</f>
        <v>2</v>
      </c>
      <c r="G35" t="s">
        <v>3</v>
      </c>
      <c r="H35">
        <f>H34</f>
        <v>1</v>
      </c>
      <c r="I35" t="str">
        <f>I34</f>
        <v>|</v>
      </c>
      <c r="J35">
        <f>J34</f>
        <v>0</v>
      </c>
      <c r="K35" t="str">
        <f>K34</f>
        <v>|</v>
      </c>
      <c r="L35">
        <f>L34+1</f>
        <v>0</v>
      </c>
      <c r="M35" t="str">
        <f>M34</f>
        <v>|</v>
      </c>
      <c r="N35">
        <f>N34</f>
        <v>1</v>
      </c>
      <c r="O35" t="str">
        <f>O34</f>
        <v>|</v>
      </c>
    </row>
    <row r="36" spans="1:15" x14ac:dyDescent="0.15">
      <c r="A36" t="str">
        <f t="shared" si="0"/>
        <v>|Lv59|3|1|0|0|1|</v>
      </c>
      <c r="B36" t="s">
        <v>3</v>
      </c>
      <c r="C36" t="s">
        <v>8</v>
      </c>
      <c r="D36">
        <v>59</v>
      </c>
      <c r="E36" t="s">
        <v>3</v>
      </c>
      <c r="F36">
        <v>3</v>
      </c>
      <c r="G36" t="s">
        <v>3</v>
      </c>
      <c r="H36">
        <v>1</v>
      </c>
      <c r="I36" t="s">
        <v>3</v>
      </c>
      <c r="J36">
        <v>0</v>
      </c>
      <c r="K36" t="s">
        <v>3</v>
      </c>
      <c r="L36">
        <v>0</v>
      </c>
      <c r="M36" t="s">
        <v>3</v>
      </c>
      <c r="N36">
        <v>1</v>
      </c>
      <c r="O36" t="s">
        <v>3</v>
      </c>
    </row>
    <row r="37" spans="1:15" x14ac:dyDescent="0.15">
      <c r="A37" t="str">
        <f t="shared" si="0"/>
        <v>&amp;br;</v>
      </c>
      <c r="B37" t="s">
        <v>0</v>
      </c>
    </row>
    <row r="38" spans="1:15" x14ac:dyDescent="0.15">
      <c r="A38" t="str">
        <f t="shared" si="0"/>
        <v>&amp;br;</v>
      </c>
      <c r="B38" t="s">
        <v>0</v>
      </c>
    </row>
    <row r="39" spans="1:15" x14ac:dyDescent="0.15">
      <c r="A39" t="str">
        <f t="shared" si="0"/>
        <v>*デッキ構築枚数上限 [#e6f382eb]</v>
      </c>
      <c r="B39" t="s">
        <v>16</v>
      </c>
    </row>
    <row r="40" spans="1:15" x14ac:dyDescent="0.15">
      <c r="A40" t="str">
        <f t="shared" si="0"/>
        <v>構築枚数上限を越える枚数はデッキに入れられない。</v>
      </c>
      <c r="B40" t="s">
        <v>17</v>
      </c>
    </row>
    <row r="41" spans="1:15" x14ac:dyDescent="0.15">
      <c r="A41" t="str">
        <f t="shared" si="0"/>
        <v>|LEFT:50|LEFT:80|LEFT:80|LEFT:80|c</v>
      </c>
      <c r="B41" t="s">
        <v>3</v>
      </c>
      <c r="C41" t="s">
        <v>4</v>
      </c>
      <c r="E41" t="s">
        <v>3</v>
      </c>
      <c r="F41" t="s">
        <v>18</v>
      </c>
      <c r="G41" t="s">
        <v>3</v>
      </c>
      <c r="H41" t="s">
        <v>18</v>
      </c>
      <c r="I41" t="s">
        <v>3</v>
      </c>
      <c r="J41" t="s">
        <v>18</v>
      </c>
      <c r="K41" t="s">
        <v>3</v>
      </c>
      <c r="L41" t="s">
        <v>5</v>
      </c>
    </row>
    <row r="42" spans="1:15" x14ac:dyDescent="0.15">
      <c r="A42" t="str">
        <f t="shared" si="0"/>
        <v>|レベル|クリーチャー|呪文|サポート|</v>
      </c>
      <c r="B42" t="s">
        <v>3</v>
      </c>
      <c r="C42" t="s">
        <v>6</v>
      </c>
      <c r="E42" t="s">
        <v>3</v>
      </c>
      <c r="F42" t="s">
        <v>20</v>
      </c>
      <c r="G42" t="s">
        <v>3</v>
      </c>
      <c r="H42" t="s">
        <v>21</v>
      </c>
      <c r="I42" t="s">
        <v>3</v>
      </c>
      <c r="J42" t="s">
        <v>22</v>
      </c>
      <c r="K42" t="s">
        <v>3</v>
      </c>
    </row>
    <row r="43" spans="1:15" x14ac:dyDescent="0.15">
      <c r="A43" t="str">
        <f t="shared" si="0"/>
        <v>|Lv1|5|2|3|</v>
      </c>
      <c r="B43" t="s">
        <v>3</v>
      </c>
      <c r="C43" t="s">
        <v>8</v>
      </c>
      <c r="D43">
        <v>1</v>
      </c>
      <c r="E43" t="s">
        <v>3</v>
      </c>
      <c r="F43">
        <v>5</v>
      </c>
      <c r="G43" t="s">
        <v>3</v>
      </c>
      <c r="H43">
        <v>2</v>
      </c>
      <c r="I43" t="s">
        <v>3</v>
      </c>
      <c r="J43">
        <v>3</v>
      </c>
      <c r="K43" t="s">
        <v>3</v>
      </c>
    </row>
    <row r="44" spans="1:15" x14ac:dyDescent="0.15">
      <c r="A44" t="str">
        <f t="shared" si="0"/>
        <v>|Lv5|6|2|3|</v>
      </c>
      <c r="B44" t="s">
        <v>3</v>
      </c>
      <c r="C44" t="s">
        <v>8</v>
      </c>
      <c r="D44">
        <v>5</v>
      </c>
      <c r="E44" t="s">
        <v>3</v>
      </c>
      <c r="F44">
        <f t="shared" ref="F44:F49" si="7">F43+1</f>
        <v>6</v>
      </c>
      <c r="G44" t="str">
        <f>G43</f>
        <v>|</v>
      </c>
      <c r="H44">
        <f>H43</f>
        <v>2</v>
      </c>
      <c r="I44" t="str">
        <f>I43</f>
        <v>|</v>
      </c>
      <c r="J44">
        <f>J43</f>
        <v>3</v>
      </c>
      <c r="K44" t="str">
        <f>K43</f>
        <v>|</v>
      </c>
    </row>
    <row r="45" spans="1:15" x14ac:dyDescent="0.15">
      <c r="A45" t="str">
        <f t="shared" si="0"/>
        <v>|Lv9|6|2|4|</v>
      </c>
      <c r="B45" t="s">
        <v>3</v>
      </c>
      <c r="C45" t="s">
        <v>8</v>
      </c>
      <c r="D45">
        <v>9</v>
      </c>
      <c r="E45" t="s">
        <v>3</v>
      </c>
      <c r="F45">
        <f t="shared" ref="F45:F50" si="8">F44</f>
        <v>6</v>
      </c>
      <c r="G45" t="str">
        <f t="shared" ref="G45:G50" si="9">G44</f>
        <v>|</v>
      </c>
      <c r="H45">
        <f t="shared" ref="H45:H50" si="10">H44</f>
        <v>2</v>
      </c>
      <c r="I45" t="str">
        <f t="shared" ref="I45:I50" si="11">I44</f>
        <v>|</v>
      </c>
      <c r="J45">
        <f>J44+1</f>
        <v>4</v>
      </c>
      <c r="K45" t="str">
        <f t="shared" ref="K45:K50" si="12">K44</f>
        <v>|</v>
      </c>
    </row>
    <row r="46" spans="1:15" x14ac:dyDescent="0.15">
      <c r="A46" t="str">
        <f t="shared" si="0"/>
        <v>|Lv17|6|3|4|</v>
      </c>
      <c r="B46" t="s">
        <v>3</v>
      </c>
      <c r="C46" t="s">
        <v>8</v>
      </c>
      <c r="D46">
        <v>17</v>
      </c>
      <c r="E46" t="s">
        <v>3</v>
      </c>
      <c r="F46">
        <f t="shared" si="8"/>
        <v>6</v>
      </c>
      <c r="G46" t="str">
        <f t="shared" si="9"/>
        <v>|</v>
      </c>
      <c r="H46">
        <f>H45+1</f>
        <v>3</v>
      </c>
      <c r="I46" t="str">
        <f t="shared" si="11"/>
        <v>|</v>
      </c>
      <c r="J46">
        <f>J45</f>
        <v>4</v>
      </c>
      <c r="K46" t="str">
        <f t="shared" si="12"/>
        <v>|</v>
      </c>
    </row>
    <row r="47" spans="1:15" x14ac:dyDescent="0.15">
      <c r="A47" t="str">
        <f t="shared" si="0"/>
        <v>|Lv21|7|3|4|</v>
      </c>
      <c r="B47" t="s">
        <v>3</v>
      </c>
      <c r="C47" t="s">
        <v>8</v>
      </c>
      <c r="D47">
        <v>21</v>
      </c>
      <c r="E47" t="s">
        <v>3</v>
      </c>
      <c r="F47">
        <f t="shared" si="7"/>
        <v>7</v>
      </c>
      <c r="G47" t="str">
        <f t="shared" si="9"/>
        <v>|</v>
      </c>
      <c r="H47">
        <f t="shared" si="10"/>
        <v>3</v>
      </c>
      <c r="I47" t="str">
        <f t="shared" si="11"/>
        <v>|</v>
      </c>
      <c r="J47">
        <f>J46</f>
        <v>4</v>
      </c>
      <c r="K47" t="str">
        <f t="shared" si="12"/>
        <v>|</v>
      </c>
    </row>
    <row r="48" spans="1:15" x14ac:dyDescent="0.15">
      <c r="A48" t="str">
        <f t="shared" si="0"/>
        <v>|Lv30|7|4|4|</v>
      </c>
      <c r="B48" t="s">
        <v>3</v>
      </c>
      <c r="C48" t="s">
        <v>8</v>
      </c>
      <c r="D48">
        <v>30</v>
      </c>
      <c r="E48" t="s">
        <v>3</v>
      </c>
      <c r="F48">
        <f t="shared" si="8"/>
        <v>7</v>
      </c>
      <c r="G48" t="str">
        <f t="shared" si="9"/>
        <v>|</v>
      </c>
      <c r="H48">
        <f>H47+1</f>
        <v>4</v>
      </c>
      <c r="I48" t="str">
        <f t="shared" si="11"/>
        <v>|</v>
      </c>
      <c r="J48">
        <f>J47</f>
        <v>4</v>
      </c>
      <c r="K48" t="str">
        <f t="shared" si="12"/>
        <v>|</v>
      </c>
    </row>
    <row r="49" spans="1:12" x14ac:dyDescent="0.15">
      <c r="A49" t="str">
        <f t="shared" si="0"/>
        <v>|Lv35|8|4|4|</v>
      </c>
      <c r="B49" t="s">
        <v>3</v>
      </c>
      <c r="C49" t="s">
        <v>8</v>
      </c>
      <c r="D49">
        <v>35</v>
      </c>
      <c r="E49" t="s">
        <v>3</v>
      </c>
      <c r="F49">
        <f t="shared" si="7"/>
        <v>8</v>
      </c>
      <c r="G49" t="str">
        <f t="shared" si="9"/>
        <v>|</v>
      </c>
      <c r="H49">
        <f t="shared" si="10"/>
        <v>4</v>
      </c>
      <c r="I49" t="str">
        <f t="shared" si="11"/>
        <v>|</v>
      </c>
      <c r="J49">
        <f>J48</f>
        <v>4</v>
      </c>
      <c r="K49" t="str">
        <f t="shared" si="12"/>
        <v>|</v>
      </c>
    </row>
    <row r="50" spans="1:12" x14ac:dyDescent="0.15">
      <c r="A50" t="str">
        <f t="shared" si="0"/>
        <v>|Lv45|8|4|5|</v>
      </c>
      <c r="B50" t="s">
        <v>3</v>
      </c>
      <c r="C50" t="s">
        <v>8</v>
      </c>
      <c r="D50">
        <v>45</v>
      </c>
      <c r="E50" t="s">
        <v>3</v>
      </c>
      <c r="F50">
        <f t="shared" si="8"/>
        <v>8</v>
      </c>
      <c r="G50" t="str">
        <f t="shared" si="9"/>
        <v>|</v>
      </c>
      <c r="H50">
        <f t="shared" si="10"/>
        <v>4</v>
      </c>
      <c r="I50" t="str">
        <f t="shared" si="11"/>
        <v>|</v>
      </c>
      <c r="J50">
        <f>J49+1</f>
        <v>5</v>
      </c>
      <c r="K50" t="str">
        <f t="shared" si="12"/>
        <v>|</v>
      </c>
    </row>
    <row r="51" spans="1:12" x14ac:dyDescent="0.15">
      <c r="A51" t="str">
        <f>B51&amp;C51&amp;D51&amp;E51&amp;F51&amp;G51&amp;H51&amp;I51&amp;J51&amp;K51&amp;L51&amp;M51&amp;N51&amp;O51&amp;P51</f>
        <v>|Lv54|8|6|5|</v>
      </c>
      <c r="B51" t="s">
        <v>3</v>
      </c>
      <c r="C51" t="s">
        <v>8</v>
      </c>
      <c r="D51">
        <v>54</v>
      </c>
      <c r="E51" t="s">
        <v>3</v>
      </c>
      <c r="F51">
        <f>F50</f>
        <v>8</v>
      </c>
      <c r="G51" t="str">
        <f>G50</f>
        <v>|</v>
      </c>
      <c r="H51">
        <f>H50+2</f>
        <v>6</v>
      </c>
      <c r="I51" t="str">
        <f>I50</f>
        <v>|</v>
      </c>
      <c r="J51">
        <f>J50</f>
        <v>5</v>
      </c>
      <c r="K51" t="str">
        <f>K50</f>
        <v>|</v>
      </c>
    </row>
    <row r="52" spans="1:12" x14ac:dyDescent="0.15">
      <c r="A52" t="str">
        <f>B52&amp;C52&amp;D52&amp;E52&amp;F52&amp;G52&amp;H52&amp;I52&amp;J52&amp;K52&amp;L52&amp;M52&amp;N52&amp;O52&amp;P52</f>
        <v>|Lv56|8|6|7|</v>
      </c>
      <c r="B52" t="s">
        <v>3</v>
      </c>
      <c r="C52" t="s">
        <v>8</v>
      </c>
      <c r="D52">
        <v>56</v>
      </c>
      <c r="E52" t="s">
        <v>3</v>
      </c>
      <c r="F52">
        <f>F51</f>
        <v>8</v>
      </c>
      <c r="G52" t="str">
        <f>G51</f>
        <v>|</v>
      </c>
      <c r="H52">
        <f>H51</f>
        <v>6</v>
      </c>
      <c r="I52" t="str">
        <f>I51</f>
        <v>|</v>
      </c>
      <c r="J52">
        <f>J51+2</f>
        <v>7</v>
      </c>
      <c r="K52" t="str">
        <f>K51</f>
        <v>|</v>
      </c>
    </row>
    <row r="53" spans="1:12" x14ac:dyDescent="0.15">
      <c r="A53" t="str">
        <f>B53&amp;C53&amp;D53&amp;E53&amp;F53&amp;G53&amp;H53&amp;I53&amp;J53&amp;K53&amp;L53&amp;M53&amp;N53&amp;O53&amp;P53</f>
        <v>|Lv57|9|6|7|</v>
      </c>
      <c r="B53" t="s">
        <v>3</v>
      </c>
      <c r="C53" t="s">
        <v>8</v>
      </c>
      <c r="D53">
        <v>57</v>
      </c>
      <c r="E53" t="s">
        <v>3</v>
      </c>
      <c r="F53">
        <f>F51+1</f>
        <v>9</v>
      </c>
      <c r="G53" t="str">
        <f>G51</f>
        <v>|</v>
      </c>
      <c r="H53">
        <f>H51</f>
        <v>6</v>
      </c>
      <c r="I53" t="str">
        <f>I51</f>
        <v>|</v>
      </c>
      <c r="J53">
        <f>J52</f>
        <v>7</v>
      </c>
      <c r="K53" t="str">
        <f>K51</f>
        <v>|</v>
      </c>
    </row>
    <row r="54" spans="1:12" x14ac:dyDescent="0.15">
      <c r="A54" t="str">
        <f t="shared" si="0"/>
        <v>&amp;br;</v>
      </c>
      <c r="B54" t="s">
        <v>0</v>
      </c>
    </row>
    <row r="55" spans="1:12" x14ac:dyDescent="0.15">
      <c r="A55" t="str">
        <f t="shared" si="0"/>
        <v>&amp;br;</v>
      </c>
      <c r="B55" t="s">
        <v>0</v>
      </c>
    </row>
    <row r="56" spans="1:12" x14ac:dyDescent="0.15">
      <c r="A56" t="str">
        <f t="shared" si="0"/>
        <v>*PW能力一覧 [#a469e89f]</v>
      </c>
      <c r="B56" t="s">
        <v>23</v>
      </c>
    </row>
    <row r="57" spans="1:12" x14ac:dyDescent="0.15">
      <c r="A57" t="str">
        <f t="shared" si="0"/>
        <v>**第1能力：</v>
      </c>
      <c r="B57" t="s">
        <v>24</v>
      </c>
    </row>
    <row r="58" spans="1:12" x14ac:dyDescent="0.15">
      <c r="A58" t="str">
        <f t="shared" si="0"/>
        <v>|LEFT:50|LEFT:50|LEFT:50|LEFT:300|c</v>
      </c>
      <c r="B58" t="s">
        <v>3</v>
      </c>
      <c r="C58" t="s">
        <v>4</v>
      </c>
      <c r="E58" t="s">
        <v>3</v>
      </c>
      <c r="F58" t="s">
        <v>4</v>
      </c>
      <c r="G58" t="s">
        <v>3</v>
      </c>
      <c r="H58" t="s">
        <v>4</v>
      </c>
      <c r="I58" t="s">
        <v>3</v>
      </c>
      <c r="J58" t="s">
        <v>26</v>
      </c>
      <c r="K58" t="s">
        <v>3</v>
      </c>
      <c r="L58" t="s">
        <v>5</v>
      </c>
    </row>
    <row r="59" spans="1:12" x14ac:dyDescent="0.15">
      <c r="A59" t="str">
        <f t="shared" si="0"/>
        <v>|解放Lv|レベル|コスト|効果|</v>
      </c>
      <c r="B59" t="s">
        <v>3</v>
      </c>
      <c r="C59" t="s">
        <v>27</v>
      </c>
      <c r="E59" t="s">
        <v>3</v>
      </c>
      <c r="F59" t="s">
        <v>6</v>
      </c>
      <c r="G59" t="s">
        <v>3</v>
      </c>
      <c r="H59" t="s">
        <v>28</v>
      </c>
      <c r="I59" t="s">
        <v>3</v>
      </c>
      <c r="J59" t="s">
        <v>29</v>
      </c>
      <c r="K59" t="s">
        <v>3</v>
      </c>
    </row>
    <row r="60" spans="1:12" x14ac:dyDescent="0.15">
      <c r="A60" t="str">
        <f t="shared" si="0"/>
        <v>|Lv2|Lv1|9|対象のクリーチャーに+1/+1の修正を与える|</v>
      </c>
      <c r="B60" t="s">
        <v>3</v>
      </c>
      <c r="C60" t="s">
        <v>8</v>
      </c>
      <c r="D60">
        <v>2</v>
      </c>
      <c r="E60" t="s">
        <v>3</v>
      </c>
      <c r="F60" t="s">
        <v>30</v>
      </c>
      <c r="G60" t="s">
        <v>3</v>
      </c>
      <c r="H60">
        <v>9</v>
      </c>
      <c r="I60" t="s">
        <v>3</v>
      </c>
      <c r="J60" t="s">
        <v>50</v>
      </c>
      <c r="K60" t="s">
        <v>3</v>
      </c>
    </row>
    <row r="61" spans="1:12" x14ac:dyDescent="0.15">
      <c r="A61" t="str">
        <f t="shared" si="0"/>
        <v>|Lv8|Lv2|9|対象のクリーチャーに+1/+1の修正と飛行を与える|</v>
      </c>
      <c r="B61" t="s">
        <v>3</v>
      </c>
      <c r="C61" t="s">
        <v>8</v>
      </c>
      <c r="D61">
        <v>8</v>
      </c>
      <c r="E61" t="s">
        <v>3</v>
      </c>
      <c r="F61" t="s">
        <v>31</v>
      </c>
      <c r="G61" t="s">
        <v>3</v>
      </c>
      <c r="H61">
        <v>9</v>
      </c>
      <c r="I61" t="s">
        <v>3</v>
      </c>
      <c r="J61" t="s">
        <v>51</v>
      </c>
      <c r="K61" t="s">
        <v>3</v>
      </c>
    </row>
    <row r="62" spans="1:12" x14ac:dyDescent="0.15">
      <c r="A62" t="str">
        <f t="shared" si="0"/>
        <v>|Lv38|Lv3|9|対象のクリーチャーに+1/+1の修正と飛行と警戒を与える|</v>
      </c>
      <c r="B62" t="s">
        <v>3</v>
      </c>
      <c r="C62" t="s">
        <v>8</v>
      </c>
      <c r="D62">
        <v>38</v>
      </c>
      <c r="E62" t="s">
        <v>3</v>
      </c>
      <c r="F62" t="s">
        <v>32</v>
      </c>
      <c r="G62" t="s">
        <v>3</v>
      </c>
      <c r="H62">
        <v>9</v>
      </c>
      <c r="I62" t="s">
        <v>3</v>
      </c>
      <c r="J62" t="s">
        <v>52</v>
      </c>
      <c r="K62" t="s">
        <v>3</v>
      </c>
    </row>
    <row r="63" spans="1:12" x14ac:dyDescent="0.15">
      <c r="A63" t="str">
        <f t="shared" si="0"/>
        <v>|Lv51|Lv4|9|対象のクリーチャーに+1/+1の修正と飛行と警戒と再生1を与える|</v>
      </c>
      <c r="B63" t="s">
        <v>3</v>
      </c>
      <c r="C63" t="s">
        <v>8</v>
      </c>
      <c r="D63">
        <v>51</v>
      </c>
      <c r="E63" t="s">
        <v>3</v>
      </c>
      <c r="F63" t="s">
        <v>33</v>
      </c>
      <c r="G63" t="s">
        <v>3</v>
      </c>
      <c r="H63">
        <v>9</v>
      </c>
      <c r="I63" t="s">
        <v>3</v>
      </c>
      <c r="J63" t="s">
        <v>53</v>
      </c>
      <c r="K63" t="s">
        <v>3</v>
      </c>
    </row>
    <row r="64" spans="1:12" x14ac:dyDescent="0.15">
      <c r="A64" t="str">
        <f t="shared" si="0"/>
        <v>&amp;br;</v>
      </c>
      <c r="B64" t="s">
        <v>0</v>
      </c>
    </row>
    <row r="65" spans="1:12" x14ac:dyDescent="0.15">
      <c r="A65" t="str">
        <f t="shared" si="0"/>
        <v>&amp;br;</v>
      </c>
      <c r="B65" t="s">
        <v>0</v>
      </c>
    </row>
    <row r="66" spans="1:12" x14ac:dyDescent="0.15">
      <c r="A66" t="str">
        <f t="shared" si="0"/>
        <v>**第2能力：</v>
      </c>
      <c r="B66" t="s">
        <v>34</v>
      </c>
    </row>
    <row r="67" spans="1:12" x14ac:dyDescent="0.15">
      <c r="A67" t="str">
        <f t="shared" si="0"/>
        <v>|LEFT:50|LEFT:50|LEFT:50|LEFT:300|c</v>
      </c>
      <c r="B67" t="s">
        <v>3</v>
      </c>
      <c r="C67" t="s">
        <v>4</v>
      </c>
      <c r="E67" t="s">
        <v>3</v>
      </c>
      <c r="F67" t="s">
        <v>4</v>
      </c>
      <c r="G67" t="s">
        <v>3</v>
      </c>
      <c r="H67" t="s">
        <v>4</v>
      </c>
      <c r="I67" t="s">
        <v>3</v>
      </c>
      <c r="J67" t="s">
        <v>26</v>
      </c>
      <c r="K67" t="s">
        <v>3</v>
      </c>
      <c r="L67" t="s">
        <v>5</v>
      </c>
    </row>
    <row r="68" spans="1:12" x14ac:dyDescent="0.15">
      <c r="A68" t="str">
        <f t="shared" si="0"/>
        <v>|解放Lv|レベル|コスト|効果|</v>
      </c>
      <c r="B68" t="s">
        <v>3</v>
      </c>
      <c r="C68" t="s">
        <v>27</v>
      </c>
      <c r="E68" t="s">
        <v>3</v>
      </c>
      <c r="F68" t="s">
        <v>6</v>
      </c>
      <c r="G68" t="s">
        <v>3</v>
      </c>
      <c r="H68" t="s">
        <v>28</v>
      </c>
      <c r="I68" t="s">
        <v>3</v>
      </c>
      <c r="J68" t="s">
        <v>29</v>
      </c>
      <c r="K68" t="s">
        <v>3</v>
      </c>
    </row>
    <row r="69" spans="1:12" x14ac:dyDescent="0.15">
      <c r="A69" t="str">
        <f t="shared" si="0"/>
        <v>|Lv14|Lv1|15|あなたがコントロールするクリーチャーすべてに+1/+1の修正を与える。|</v>
      </c>
      <c r="B69" t="s">
        <v>3</v>
      </c>
      <c r="C69" t="s">
        <v>8</v>
      </c>
      <c r="D69">
        <v>14</v>
      </c>
      <c r="E69" t="s">
        <v>3</v>
      </c>
      <c r="F69" t="s">
        <v>30</v>
      </c>
      <c r="G69" t="s">
        <v>3</v>
      </c>
      <c r="H69">
        <v>15</v>
      </c>
      <c r="I69" t="s">
        <v>3</v>
      </c>
      <c r="J69" t="s">
        <v>54</v>
      </c>
      <c r="K69" t="s">
        <v>3</v>
      </c>
    </row>
    <row r="70" spans="1:12" x14ac:dyDescent="0.15">
      <c r="A70" t="str">
        <f t="shared" si="0"/>
        <v>|Lv20|Lv2|15|あなたがコントロールするクリーチャーすべてに+2/+2の修正を与える。|</v>
      </c>
      <c r="B70" t="s">
        <v>3</v>
      </c>
      <c r="C70" t="s">
        <v>8</v>
      </c>
      <c r="D70">
        <v>20</v>
      </c>
      <c r="E70" t="s">
        <v>3</v>
      </c>
      <c r="F70" t="s">
        <v>31</v>
      </c>
      <c r="G70" t="s">
        <v>3</v>
      </c>
      <c r="H70">
        <v>15</v>
      </c>
      <c r="I70" t="s">
        <v>3</v>
      </c>
      <c r="J70" t="s">
        <v>55</v>
      </c>
      <c r="K70" t="s">
        <v>3</v>
      </c>
    </row>
    <row r="71" spans="1:12" x14ac:dyDescent="0.15">
      <c r="A71" t="str">
        <f t="shared" si="0"/>
        <v>|Lv44|Lv3|15|あなたがコントロールするクリーチャーすべてに+3/+3の修正を与える。|</v>
      </c>
      <c r="B71" t="s">
        <v>3</v>
      </c>
      <c r="C71" t="s">
        <v>8</v>
      </c>
      <c r="D71">
        <v>44</v>
      </c>
      <c r="E71" t="s">
        <v>3</v>
      </c>
      <c r="F71" t="s">
        <v>32</v>
      </c>
      <c r="G71" t="s">
        <v>3</v>
      </c>
      <c r="H71">
        <v>15</v>
      </c>
      <c r="I71" t="s">
        <v>3</v>
      </c>
      <c r="J71" t="s">
        <v>56</v>
      </c>
      <c r="K71" t="s">
        <v>3</v>
      </c>
    </row>
    <row r="72" spans="1:12" x14ac:dyDescent="0.15">
      <c r="A72" t="str">
        <f t="shared" si="0"/>
        <v>|Lv55|Lv4|15|あなたがコントロールするクリーチャーすべてに+4/+4の修正を与える。|</v>
      </c>
      <c r="B72" t="s">
        <v>3</v>
      </c>
      <c r="C72" t="s">
        <v>8</v>
      </c>
      <c r="D72">
        <v>55</v>
      </c>
      <c r="E72" t="s">
        <v>3</v>
      </c>
      <c r="F72" t="s">
        <v>33</v>
      </c>
      <c r="G72" t="s">
        <v>3</v>
      </c>
      <c r="H72">
        <v>15</v>
      </c>
      <c r="I72" t="s">
        <v>3</v>
      </c>
      <c r="J72" t="s">
        <v>57</v>
      </c>
      <c r="K72" t="s">
        <v>3</v>
      </c>
    </row>
    <row r="73" spans="1:12" x14ac:dyDescent="0.15">
      <c r="A73" t="str">
        <f t="shared" si="0"/>
        <v>&amp;br;</v>
      </c>
      <c r="B73" t="s">
        <v>0</v>
      </c>
    </row>
    <row r="74" spans="1:12" x14ac:dyDescent="0.15">
      <c r="A74" t="str">
        <f t="shared" si="0"/>
        <v>&amp;br;</v>
      </c>
      <c r="B74" t="s">
        <v>0</v>
      </c>
    </row>
    <row r="75" spans="1:12" x14ac:dyDescent="0.15">
      <c r="A75" t="str">
        <f t="shared" si="0"/>
        <v>**第3能力：</v>
      </c>
      <c r="B75" t="s">
        <v>35</v>
      </c>
    </row>
    <row r="76" spans="1:12" x14ac:dyDescent="0.15">
      <c r="A76" t="str">
        <f t="shared" ref="A76:A139" si="13">B76&amp;C76&amp;D76&amp;E76&amp;F76&amp;G76&amp;H76&amp;I76&amp;J76&amp;K76&amp;L76&amp;M76&amp;N76&amp;O76&amp;P76</f>
        <v>|LEFT:50|LEFT:50|LEFT:50|LEFT:300|c</v>
      </c>
      <c r="B76" t="s">
        <v>3</v>
      </c>
      <c r="C76" t="s">
        <v>4</v>
      </c>
      <c r="E76" t="s">
        <v>3</v>
      </c>
      <c r="F76" t="s">
        <v>4</v>
      </c>
      <c r="G76" t="s">
        <v>3</v>
      </c>
      <c r="H76" t="s">
        <v>4</v>
      </c>
      <c r="I76" t="s">
        <v>3</v>
      </c>
      <c r="J76" t="s">
        <v>26</v>
      </c>
      <c r="K76" t="s">
        <v>3</v>
      </c>
      <c r="L76" t="s">
        <v>5</v>
      </c>
    </row>
    <row r="77" spans="1:12" x14ac:dyDescent="0.15">
      <c r="A77" t="str">
        <f t="shared" si="13"/>
        <v>|解放Lv|レベル|コスト|効果|</v>
      </c>
      <c r="B77" t="s">
        <v>3</v>
      </c>
      <c r="C77" t="s">
        <v>27</v>
      </c>
      <c r="E77" t="s">
        <v>3</v>
      </c>
      <c r="F77" t="s">
        <v>6</v>
      </c>
      <c r="G77" t="s">
        <v>3</v>
      </c>
      <c r="H77" t="s">
        <v>28</v>
      </c>
      <c r="I77" t="s">
        <v>3</v>
      </c>
      <c r="J77" t="s">
        <v>29</v>
      </c>
      <c r="K77" t="s">
        <v>3</v>
      </c>
    </row>
    <row r="78" spans="1:12" x14ac:dyDescent="0.15">
      <c r="A78" t="str">
        <f t="shared" si="13"/>
        <v>|Lv26|Lv1|21|対象のクリーチャーに+4/+4の修正とバーサーカーを与える|</v>
      </c>
      <c r="B78" t="s">
        <v>3</v>
      </c>
      <c r="C78" t="s">
        <v>8</v>
      </c>
      <c r="D78">
        <v>26</v>
      </c>
      <c r="E78" t="s">
        <v>3</v>
      </c>
      <c r="F78" t="s">
        <v>30</v>
      </c>
      <c r="G78" t="s">
        <v>3</v>
      </c>
      <c r="H78">
        <v>21</v>
      </c>
      <c r="I78" t="s">
        <v>3</v>
      </c>
      <c r="J78" t="s">
        <v>58</v>
      </c>
      <c r="K78" t="s">
        <v>3</v>
      </c>
    </row>
    <row r="79" spans="1:12" x14ac:dyDescent="0.15">
      <c r="A79" t="str">
        <f t="shared" si="13"/>
        <v>|Lv32|Lv2|21|対象のクリーチャーに+4/+4の修正とバーサーカーとディフェンダーを与える|</v>
      </c>
      <c r="B79" t="s">
        <v>3</v>
      </c>
      <c r="C79" t="s">
        <v>8</v>
      </c>
      <c r="D79">
        <v>32</v>
      </c>
      <c r="E79" t="s">
        <v>3</v>
      </c>
      <c r="F79" t="s">
        <v>31</v>
      </c>
      <c r="G79" t="s">
        <v>3</v>
      </c>
      <c r="H79">
        <v>21</v>
      </c>
      <c r="I79" t="s">
        <v>3</v>
      </c>
      <c r="J79" t="s">
        <v>59</v>
      </c>
      <c r="K79" t="s">
        <v>3</v>
      </c>
    </row>
    <row r="80" spans="1:12" x14ac:dyDescent="0.15">
      <c r="A80" t="str">
        <f t="shared" si="13"/>
        <v>|Lv50|Lv3|21|対象のクリーチャーに+4/+4の修正とバーサーカーとディフェンダーと再生3を与える|</v>
      </c>
      <c r="B80" t="s">
        <v>3</v>
      </c>
      <c r="C80" t="s">
        <v>8</v>
      </c>
      <c r="D80">
        <v>50</v>
      </c>
      <c r="E80" t="s">
        <v>3</v>
      </c>
      <c r="F80" t="s">
        <v>32</v>
      </c>
      <c r="G80" t="s">
        <v>3</v>
      </c>
      <c r="H80">
        <v>21</v>
      </c>
      <c r="I80" t="s">
        <v>3</v>
      </c>
      <c r="J80" t="s">
        <v>60</v>
      </c>
      <c r="K80" t="s">
        <v>3</v>
      </c>
    </row>
    <row r="81" spans="1:17" x14ac:dyDescent="0.15">
      <c r="A81" t="str">
        <f t="shared" si="13"/>
        <v>|Lv60|Lv4|21|対象のクリーチャーに+6/+6の修正とバーサーカーとディフェンダーと再生5を与える|</v>
      </c>
      <c r="B81" t="s">
        <v>3</v>
      </c>
      <c r="C81" t="s">
        <v>8</v>
      </c>
      <c r="D81">
        <v>60</v>
      </c>
      <c r="E81" t="s">
        <v>3</v>
      </c>
      <c r="F81" t="s">
        <v>33</v>
      </c>
      <c r="G81" t="s">
        <v>3</v>
      </c>
      <c r="H81">
        <v>21</v>
      </c>
      <c r="I81" t="s">
        <v>3</v>
      </c>
      <c r="J81" t="s">
        <v>61</v>
      </c>
      <c r="K81" t="s">
        <v>3</v>
      </c>
    </row>
    <row r="82" spans="1:17" x14ac:dyDescent="0.15">
      <c r="A82" t="str">
        <f t="shared" si="13"/>
        <v>&amp;br;</v>
      </c>
      <c r="B82" t="s">
        <v>0</v>
      </c>
    </row>
    <row r="83" spans="1:17" x14ac:dyDescent="0.15">
      <c r="A83" t="str">
        <f t="shared" si="13"/>
        <v>&amp;br;</v>
      </c>
      <c r="B83" t="s">
        <v>0</v>
      </c>
    </row>
    <row r="84" spans="1:17" x14ac:dyDescent="0.15">
      <c r="A84" t="str">
        <f t="shared" si="13"/>
        <v>*レベルアップ報酬一覧 [#k0cef29c]</v>
      </c>
      <c r="B84" t="s">
        <v>36</v>
      </c>
    </row>
    <row r="85" spans="1:17" x14ac:dyDescent="0.15">
      <c r="A85" t="str">
        <f t="shared" si="13"/>
        <v>|LEFT:50|LEFT:100|c</v>
      </c>
      <c r="B85" t="s">
        <v>3</v>
      </c>
      <c r="C85" t="s">
        <v>4</v>
      </c>
      <c r="E85" t="s">
        <v>3</v>
      </c>
      <c r="F85" t="s">
        <v>37</v>
      </c>
      <c r="I85" t="s">
        <v>3</v>
      </c>
      <c r="J85" t="s">
        <v>5</v>
      </c>
    </row>
    <row r="86" spans="1:17" x14ac:dyDescent="0.15">
      <c r="A86" t="str">
        <f t="shared" si="13"/>
        <v>|レベル|報酬|</v>
      </c>
      <c r="B86" t="s">
        <v>3</v>
      </c>
      <c r="C86" t="s">
        <v>6</v>
      </c>
      <c r="E86" t="s">
        <v>3</v>
      </c>
      <c r="F86" t="s">
        <v>38</v>
      </c>
      <c r="I86" t="s">
        <v>3</v>
      </c>
      <c r="Q86" t="s">
        <v>62</v>
      </c>
    </row>
    <row r="87" spans="1:17" x14ac:dyDescent="0.15">
      <c r="A87" t="str">
        <f t="shared" si="13"/>
        <v>|Lｖ2|第1能力Lv1|</v>
      </c>
      <c r="B87" t="s">
        <v>3</v>
      </c>
      <c r="C87" t="s">
        <v>63</v>
      </c>
      <c r="E87" t="s">
        <v>3</v>
      </c>
      <c r="F87" t="s">
        <v>40</v>
      </c>
      <c r="H87">
        <v>1</v>
      </c>
      <c r="I87" t="s">
        <v>3</v>
      </c>
      <c r="Q87" t="s">
        <v>64</v>
      </c>
    </row>
    <row r="88" spans="1:17" x14ac:dyDescent="0.15">
      <c r="A88" t="str">
        <f t="shared" si="13"/>
        <v>|Lｖ3|回復速度上昇|</v>
      </c>
      <c r="B88" t="s">
        <v>3</v>
      </c>
      <c r="C88" t="s">
        <v>65</v>
      </c>
      <c r="E88" t="s">
        <v>3</v>
      </c>
      <c r="F88" t="s">
        <v>43</v>
      </c>
      <c r="I88" t="s">
        <v>3</v>
      </c>
      <c r="Q88" t="s">
        <v>66</v>
      </c>
    </row>
    <row r="89" spans="1:17" x14ac:dyDescent="0.15">
      <c r="A89" t="str">
        <f t="shared" si="13"/>
        <v>|Lｖ4|HP+4|</v>
      </c>
      <c r="B89" t="s">
        <v>3</v>
      </c>
      <c r="C89" t="s">
        <v>67</v>
      </c>
      <c r="E89" t="s">
        <v>3</v>
      </c>
      <c r="F89" t="s">
        <v>62</v>
      </c>
      <c r="H89">
        <v>4</v>
      </c>
      <c r="I89" t="s">
        <v>3</v>
      </c>
      <c r="Q89" t="s">
        <v>68</v>
      </c>
    </row>
    <row r="90" spans="1:17" x14ac:dyDescent="0.15">
      <c r="A90" t="str">
        <f t="shared" si="13"/>
        <v>|Lｖ5|クリーチャー+1|</v>
      </c>
      <c r="B90" t="s">
        <v>3</v>
      </c>
      <c r="C90" t="s">
        <v>69</v>
      </c>
      <c r="E90" t="s">
        <v>3</v>
      </c>
      <c r="F90" t="s">
        <v>64</v>
      </c>
      <c r="H90">
        <v>1</v>
      </c>
      <c r="I90" t="s">
        <v>3</v>
      </c>
      <c r="Q90" t="s">
        <v>70</v>
      </c>
    </row>
    <row r="91" spans="1:17" x14ac:dyDescent="0.15">
      <c r="A91" t="str">
        <f t="shared" si="13"/>
        <v>|Lｖ6|白+1|</v>
      </c>
      <c r="B91" t="s">
        <v>3</v>
      </c>
      <c r="C91" t="s">
        <v>71</v>
      </c>
      <c r="E91" t="s">
        <v>3</v>
      </c>
      <c r="F91" t="s">
        <v>70</v>
      </c>
      <c r="H91">
        <v>1</v>
      </c>
      <c r="I91" t="s">
        <v>3</v>
      </c>
      <c r="Q91" t="s">
        <v>72</v>
      </c>
    </row>
    <row r="92" spans="1:17" x14ac:dyDescent="0.15">
      <c r="A92" t="str">
        <f t="shared" si="13"/>
        <v>|Lｖ7|HP+4|</v>
      </c>
      <c r="B92" t="s">
        <v>3</v>
      </c>
      <c r="C92" t="s">
        <v>73</v>
      </c>
      <c r="E92" t="s">
        <v>3</v>
      </c>
      <c r="F92" t="s">
        <v>62</v>
      </c>
      <c r="H92">
        <v>4</v>
      </c>
      <c r="I92" t="s">
        <v>3</v>
      </c>
      <c r="Q92" t="s">
        <v>74</v>
      </c>
    </row>
    <row r="93" spans="1:17" x14ac:dyDescent="0.15">
      <c r="A93" t="str">
        <f t="shared" si="13"/>
        <v>|Lｖ8|第1能力Lv2|</v>
      </c>
      <c r="B93" t="s">
        <v>3</v>
      </c>
      <c r="C93" t="s">
        <v>75</v>
      </c>
      <c r="E93" t="s">
        <v>3</v>
      </c>
      <c r="F93" t="s">
        <v>40</v>
      </c>
      <c r="H93">
        <v>2</v>
      </c>
      <c r="I93" t="s">
        <v>3</v>
      </c>
      <c r="Q93" t="s">
        <v>76</v>
      </c>
    </row>
    <row r="94" spans="1:17" x14ac:dyDescent="0.15">
      <c r="A94" t="str">
        <f t="shared" si="13"/>
        <v>|Lｖ9|サポート+1|</v>
      </c>
      <c r="B94" t="s">
        <v>3</v>
      </c>
      <c r="C94" t="s">
        <v>77</v>
      </c>
      <c r="E94" t="s">
        <v>3</v>
      </c>
      <c r="F94" t="s">
        <v>68</v>
      </c>
      <c r="H94">
        <v>1</v>
      </c>
      <c r="I94" t="s">
        <v>3</v>
      </c>
      <c r="Q94" t="s">
        <v>78</v>
      </c>
    </row>
    <row r="95" spans="1:17" x14ac:dyDescent="0.15">
      <c r="A95" t="str">
        <f t="shared" si="13"/>
        <v>|Lｖ10|HP+4|</v>
      </c>
      <c r="B95" t="s">
        <v>3</v>
      </c>
      <c r="C95" t="s">
        <v>79</v>
      </c>
      <c r="E95" t="s">
        <v>3</v>
      </c>
      <c r="F95" t="s">
        <v>62</v>
      </c>
      <c r="H95">
        <v>4</v>
      </c>
      <c r="I95" t="s">
        <v>3</v>
      </c>
      <c r="Q95" t="s">
        <v>40</v>
      </c>
    </row>
    <row r="96" spans="1:17" x14ac:dyDescent="0.15">
      <c r="A96" t="str">
        <f t="shared" si="13"/>
        <v>|Lｖ11|緑+1|</v>
      </c>
      <c r="B96" t="s">
        <v>3</v>
      </c>
      <c r="C96" t="s">
        <v>80</v>
      </c>
      <c r="E96" t="s">
        <v>3</v>
      </c>
      <c r="F96" t="s">
        <v>78</v>
      </c>
      <c r="H96">
        <v>1</v>
      </c>
      <c r="I96" t="s">
        <v>3</v>
      </c>
      <c r="Q96" t="s">
        <v>41</v>
      </c>
    </row>
    <row r="97" spans="1:17" x14ac:dyDescent="0.15">
      <c r="A97" t="str">
        <f t="shared" si="13"/>
        <v>|Lｖ12|回復速度上昇|</v>
      </c>
      <c r="B97" t="s">
        <v>3</v>
      </c>
      <c r="C97" t="s">
        <v>81</v>
      </c>
      <c r="E97" t="s">
        <v>3</v>
      </c>
      <c r="F97" t="s">
        <v>43</v>
      </c>
      <c r="I97" t="s">
        <v>3</v>
      </c>
      <c r="Q97" t="s">
        <v>42</v>
      </c>
    </row>
    <row r="98" spans="1:17" x14ac:dyDescent="0.15">
      <c r="A98" t="str">
        <f t="shared" si="13"/>
        <v>|Lｖ13|HP+4|</v>
      </c>
      <c r="B98" t="s">
        <v>3</v>
      </c>
      <c r="C98" t="s">
        <v>82</v>
      </c>
      <c r="E98" t="s">
        <v>3</v>
      </c>
      <c r="F98" t="s">
        <v>62</v>
      </c>
      <c r="H98">
        <v>4</v>
      </c>
      <c r="I98" t="s">
        <v>3</v>
      </c>
      <c r="Q98" t="s">
        <v>43</v>
      </c>
    </row>
    <row r="99" spans="1:17" x14ac:dyDescent="0.15">
      <c r="A99" t="str">
        <f t="shared" si="13"/>
        <v>|Lｖ14|第2能力Lv1|</v>
      </c>
      <c r="B99" t="s">
        <v>3</v>
      </c>
      <c r="C99" t="s">
        <v>83</v>
      </c>
      <c r="E99" t="s">
        <v>3</v>
      </c>
      <c r="F99" t="s">
        <v>41</v>
      </c>
      <c r="H99">
        <v>1</v>
      </c>
      <c r="I99" t="s">
        <v>3</v>
      </c>
    </row>
    <row r="100" spans="1:17" x14ac:dyDescent="0.15">
      <c r="A100" t="str">
        <f t="shared" si="13"/>
        <v>|Lｖ15|回復速度上昇|</v>
      </c>
      <c r="B100" t="s">
        <v>3</v>
      </c>
      <c r="C100" t="s">
        <v>84</v>
      </c>
      <c r="E100" t="s">
        <v>3</v>
      </c>
      <c r="F100" t="s">
        <v>43</v>
      </c>
      <c r="I100" t="s">
        <v>3</v>
      </c>
    </row>
    <row r="101" spans="1:17" x14ac:dyDescent="0.15">
      <c r="A101" t="str">
        <f t="shared" si="13"/>
        <v>|Lｖ16|HP+4|</v>
      </c>
      <c r="B101" t="s">
        <v>3</v>
      </c>
      <c r="C101" t="s">
        <v>85</v>
      </c>
      <c r="E101" t="s">
        <v>3</v>
      </c>
      <c r="F101" t="s">
        <v>62</v>
      </c>
      <c r="H101">
        <v>4</v>
      </c>
      <c r="I101" t="s">
        <v>3</v>
      </c>
    </row>
    <row r="102" spans="1:17" x14ac:dyDescent="0.15">
      <c r="A102" t="str">
        <f t="shared" si="13"/>
        <v>|Lｖ17|呪文+1|</v>
      </c>
      <c r="B102" t="s">
        <v>3</v>
      </c>
      <c r="C102" t="s">
        <v>86</v>
      </c>
      <c r="E102" t="s">
        <v>3</v>
      </c>
      <c r="F102" t="s">
        <v>66</v>
      </c>
      <c r="H102">
        <v>1</v>
      </c>
      <c r="I102" t="s">
        <v>3</v>
      </c>
    </row>
    <row r="103" spans="1:17" x14ac:dyDescent="0.15">
      <c r="A103" t="str">
        <f t="shared" si="13"/>
        <v>|Lｖ18|回復速度上昇|</v>
      </c>
      <c r="B103" t="s">
        <v>3</v>
      </c>
      <c r="C103" t="s">
        <v>87</v>
      </c>
      <c r="E103" t="s">
        <v>3</v>
      </c>
      <c r="F103" t="s">
        <v>43</v>
      </c>
      <c r="I103" t="s">
        <v>3</v>
      </c>
    </row>
    <row r="104" spans="1:17" x14ac:dyDescent="0.15">
      <c r="A104" t="str">
        <f t="shared" si="13"/>
        <v>|Lｖ19|HP+4|</v>
      </c>
      <c r="B104" t="s">
        <v>3</v>
      </c>
      <c r="C104" t="s">
        <v>88</v>
      </c>
      <c r="E104" t="s">
        <v>3</v>
      </c>
      <c r="F104" t="s">
        <v>62</v>
      </c>
      <c r="H104">
        <v>4</v>
      </c>
      <c r="I104" t="s">
        <v>3</v>
      </c>
    </row>
    <row r="105" spans="1:17" x14ac:dyDescent="0.15">
      <c r="A105" t="str">
        <f t="shared" si="13"/>
        <v>|Lｖ20|第2能力Lv2|</v>
      </c>
      <c r="B105" t="s">
        <v>3</v>
      </c>
      <c r="C105" t="s">
        <v>89</v>
      </c>
      <c r="E105" t="s">
        <v>3</v>
      </c>
      <c r="F105" t="s">
        <v>41</v>
      </c>
      <c r="H105">
        <v>2</v>
      </c>
      <c r="I105" t="s">
        <v>3</v>
      </c>
    </row>
    <row r="106" spans="1:17" x14ac:dyDescent="0.15">
      <c r="A106" t="str">
        <f t="shared" si="13"/>
        <v>|Lｖ21|クリーチャー+1|</v>
      </c>
      <c r="B106" t="s">
        <v>3</v>
      </c>
      <c r="C106" t="s">
        <v>90</v>
      </c>
      <c r="E106" t="s">
        <v>3</v>
      </c>
      <c r="F106" t="s">
        <v>64</v>
      </c>
      <c r="H106">
        <v>1</v>
      </c>
      <c r="I106" t="s">
        <v>3</v>
      </c>
    </row>
    <row r="107" spans="1:17" x14ac:dyDescent="0.15">
      <c r="A107" t="str">
        <f t="shared" si="13"/>
        <v>|Lｖ22|HP+4|</v>
      </c>
      <c r="B107" t="s">
        <v>3</v>
      </c>
      <c r="C107" t="s">
        <v>91</v>
      </c>
      <c r="E107" t="s">
        <v>3</v>
      </c>
      <c r="F107" t="s">
        <v>62</v>
      </c>
      <c r="H107">
        <v>4</v>
      </c>
      <c r="I107" t="s">
        <v>3</v>
      </c>
    </row>
    <row r="108" spans="1:17" x14ac:dyDescent="0.15">
      <c r="A108" t="str">
        <f t="shared" si="13"/>
        <v>|Lｖ23|回復速度上昇|</v>
      </c>
      <c r="B108" t="s">
        <v>3</v>
      </c>
      <c r="C108" t="s">
        <v>92</v>
      </c>
      <c r="E108" t="s">
        <v>3</v>
      </c>
      <c r="F108" t="s">
        <v>43</v>
      </c>
      <c r="I108" t="s">
        <v>3</v>
      </c>
    </row>
    <row r="109" spans="1:17" x14ac:dyDescent="0.15">
      <c r="A109" t="str">
        <f t="shared" si="13"/>
        <v>|Lｖ24|青+1|</v>
      </c>
      <c r="B109" t="s">
        <v>3</v>
      </c>
      <c r="C109" t="s">
        <v>93</v>
      </c>
      <c r="E109" t="s">
        <v>3</v>
      </c>
      <c r="F109" t="s">
        <v>72</v>
      </c>
      <c r="H109">
        <v>1</v>
      </c>
      <c r="I109" t="s">
        <v>3</v>
      </c>
    </row>
    <row r="110" spans="1:17" x14ac:dyDescent="0.15">
      <c r="A110" t="str">
        <f t="shared" si="13"/>
        <v>|Lｖ25|HP+4|</v>
      </c>
      <c r="B110" t="s">
        <v>3</v>
      </c>
      <c r="C110" t="s">
        <v>94</v>
      </c>
      <c r="E110" t="s">
        <v>3</v>
      </c>
      <c r="F110" t="s">
        <v>62</v>
      </c>
      <c r="H110">
        <v>4</v>
      </c>
      <c r="I110" t="s">
        <v>3</v>
      </c>
    </row>
    <row r="111" spans="1:17" x14ac:dyDescent="0.15">
      <c r="A111" t="str">
        <f t="shared" si="13"/>
        <v>|Lｖ26|第3能力Lv1|</v>
      </c>
      <c r="B111" t="s">
        <v>3</v>
      </c>
      <c r="C111" t="s">
        <v>95</v>
      </c>
      <c r="E111" t="s">
        <v>3</v>
      </c>
      <c r="F111" t="s">
        <v>42</v>
      </c>
      <c r="H111">
        <v>1</v>
      </c>
      <c r="I111" t="s">
        <v>3</v>
      </c>
    </row>
    <row r="112" spans="1:17" x14ac:dyDescent="0.15">
      <c r="A112" t="str">
        <f t="shared" si="13"/>
        <v>|Lｖ27|回復速度上昇|</v>
      </c>
      <c r="B112" t="s">
        <v>3</v>
      </c>
      <c r="C112" t="s">
        <v>96</v>
      </c>
      <c r="E112" t="s">
        <v>3</v>
      </c>
      <c r="F112" t="s">
        <v>43</v>
      </c>
      <c r="I112" t="s">
        <v>3</v>
      </c>
    </row>
    <row r="113" spans="1:9" x14ac:dyDescent="0.15">
      <c r="A113" t="str">
        <f t="shared" si="13"/>
        <v>|Lｖ28|HP+4|</v>
      </c>
      <c r="B113" t="s">
        <v>3</v>
      </c>
      <c r="C113" t="s">
        <v>97</v>
      </c>
      <c r="E113" t="s">
        <v>3</v>
      </c>
      <c r="F113" t="s">
        <v>62</v>
      </c>
      <c r="H113">
        <v>4</v>
      </c>
      <c r="I113" t="s">
        <v>3</v>
      </c>
    </row>
    <row r="114" spans="1:9" x14ac:dyDescent="0.15">
      <c r="A114" t="str">
        <f t="shared" si="13"/>
        <v>|Lｖ29|回復速度上昇|</v>
      </c>
      <c r="B114" t="s">
        <v>3</v>
      </c>
      <c r="C114" t="s">
        <v>98</v>
      </c>
      <c r="E114" t="s">
        <v>3</v>
      </c>
      <c r="F114" t="s">
        <v>43</v>
      </c>
      <c r="I114" t="s">
        <v>3</v>
      </c>
    </row>
    <row r="115" spans="1:9" x14ac:dyDescent="0.15">
      <c r="A115" t="str">
        <f t="shared" si="13"/>
        <v>|Lｖ30|呪文+1|</v>
      </c>
      <c r="B115" t="s">
        <v>3</v>
      </c>
      <c r="C115" t="s">
        <v>99</v>
      </c>
      <c r="E115" t="s">
        <v>3</v>
      </c>
      <c r="F115" t="s">
        <v>66</v>
      </c>
      <c r="H115">
        <v>1</v>
      </c>
      <c r="I115" t="s">
        <v>3</v>
      </c>
    </row>
    <row r="116" spans="1:9" x14ac:dyDescent="0.15">
      <c r="A116" t="str">
        <f t="shared" si="13"/>
        <v>|Lｖ31|HP+4|</v>
      </c>
      <c r="B116" t="s">
        <v>3</v>
      </c>
      <c r="C116" t="s">
        <v>100</v>
      </c>
      <c r="E116" t="s">
        <v>3</v>
      </c>
      <c r="F116" t="s">
        <v>62</v>
      </c>
      <c r="H116">
        <v>4</v>
      </c>
      <c r="I116" t="s">
        <v>3</v>
      </c>
    </row>
    <row r="117" spans="1:9" x14ac:dyDescent="0.15">
      <c r="A117" t="str">
        <f t="shared" si="13"/>
        <v>|Lｖ32|第3能力Lv2|</v>
      </c>
      <c r="B117" t="s">
        <v>3</v>
      </c>
      <c r="C117" t="s">
        <v>101</v>
      </c>
      <c r="E117" t="s">
        <v>3</v>
      </c>
      <c r="F117" t="s">
        <v>42</v>
      </c>
      <c r="H117">
        <v>2</v>
      </c>
      <c r="I117" t="s">
        <v>3</v>
      </c>
    </row>
    <row r="118" spans="1:9" x14ac:dyDescent="0.15">
      <c r="A118" t="str">
        <f t="shared" si="13"/>
        <v>|Lｖ33|黒+1|</v>
      </c>
      <c r="B118" t="s">
        <v>3</v>
      </c>
      <c r="C118" t="s">
        <v>102</v>
      </c>
      <c r="E118" t="s">
        <v>3</v>
      </c>
      <c r="F118" t="s">
        <v>74</v>
      </c>
      <c r="H118">
        <v>1</v>
      </c>
      <c r="I118" t="s">
        <v>3</v>
      </c>
    </row>
    <row r="119" spans="1:9" x14ac:dyDescent="0.15">
      <c r="A119" t="str">
        <f t="shared" si="13"/>
        <v>|Lｖ34|HP+4|</v>
      </c>
      <c r="B119" t="s">
        <v>3</v>
      </c>
      <c r="C119" t="s">
        <v>103</v>
      </c>
      <c r="E119" t="s">
        <v>3</v>
      </c>
      <c r="F119" t="s">
        <v>62</v>
      </c>
      <c r="H119">
        <v>4</v>
      </c>
      <c r="I119" t="s">
        <v>3</v>
      </c>
    </row>
    <row r="120" spans="1:9" x14ac:dyDescent="0.15">
      <c r="A120" t="str">
        <f t="shared" si="13"/>
        <v>|Lｖ35|クリーチャー+1|</v>
      </c>
      <c r="B120" t="s">
        <v>3</v>
      </c>
      <c r="C120" t="s">
        <v>104</v>
      </c>
      <c r="E120" t="s">
        <v>3</v>
      </c>
      <c r="F120" t="s">
        <v>64</v>
      </c>
      <c r="H120">
        <v>1</v>
      </c>
      <c r="I120" t="s">
        <v>3</v>
      </c>
    </row>
    <row r="121" spans="1:9" x14ac:dyDescent="0.15">
      <c r="A121" t="str">
        <f t="shared" si="13"/>
        <v>|Lｖ36|回復速度上昇|</v>
      </c>
      <c r="B121" t="s">
        <v>3</v>
      </c>
      <c r="C121" t="s">
        <v>105</v>
      </c>
      <c r="E121" t="s">
        <v>3</v>
      </c>
      <c r="F121" t="s">
        <v>43</v>
      </c>
      <c r="I121" t="s">
        <v>3</v>
      </c>
    </row>
    <row r="122" spans="1:9" x14ac:dyDescent="0.15">
      <c r="A122" t="str">
        <f t="shared" si="13"/>
        <v>|Lｖ37|HP+4|</v>
      </c>
      <c r="B122" t="s">
        <v>3</v>
      </c>
      <c r="C122" t="s">
        <v>106</v>
      </c>
      <c r="E122" t="s">
        <v>3</v>
      </c>
      <c r="F122" t="s">
        <v>62</v>
      </c>
      <c r="H122">
        <v>4</v>
      </c>
      <c r="I122" t="s">
        <v>3</v>
      </c>
    </row>
    <row r="123" spans="1:9" x14ac:dyDescent="0.15">
      <c r="A123" t="str">
        <f t="shared" si="13"/>
        <v>|Lｖ38|第1能力Lv3|</v>
      </c>
      <c r="B123" t="s">
        <v>3</v>
      </c>
      <c r="C123" t="s">
        <v>107</v>
      </c>
      <c r="E123" t="s">
        <v>3</v>
      </c>
      <c r="F123" t="s">
        <v>40</v>
      </c>
      <c r="H123">
        <v>3</v>
      </c>
      <c r="I123" t="s">
        <v>3</v>
      </c>
    </row>
    <row r="124" spans="1:9" x14ac:dyDescent="0.15">
      <c r="A124" t="str">
        <f t="shared" si="13"/>
        <v>|Lｖ39|回復速度上昇|</v>
      </c>
      <c r="B124" t="s">
        <v>3</v>
      </c>
      <c r="C124" t="s">
        <v>108</v>
      </c>
      <c r="E124" t="s">
        <v>3</v>
      </c>
      <c r="F124" t="s">
        <v>43</v>
      </c>
      <c r="I124" t="s">
        <v>3</v>
      </c>
    </row>
    <row r="125" spans="1:9" x14ac:dyDescent="0.15">
      <c r="A125" t="str">
        <f t="shared" si="13"/>
        <v>|Lｖ40|HP+4|</v>
      </c>
      <c r="B125" t="s">
        <v>3</v>
      </c>
      <c r="C125" t="s">
        <v>109</v>
      </c>
      <c r="E125" t="s">
        <v>3</v>
      </c>
      <c r="F125" t="s">
        <v>62</v>
      </c>
      <c r="H125">
        <v>4</v>
      </c>
      <c r="I125" t="s">
        <v>3</v>
      </c>
    </row>
    <row r="126" spans="1:9" x14ac:dyDescent="0.15">
      <c r="A126" t="str">
        <f t="shared" si="13"/>
        <v>|Lｖ41|回復速度上昇|</v>
      </c>
      <c r="B126" t="s">
        <v>3</v>
      </c>
      <c r="C126" t="s">
        <v>110</v>
      </c>
      <c r="E126" t="s">
        <v>3</v>
      </c>
      <c r="F126" t="s">
        <v>43</v>
      </c>
      <c r="I126" t="s">
        <v>3</v>
      </c>
    </row>
    <row r="127" spans="1:9" x14ac:dyDescent="0.15">
      <c r="A127" t="str">
        <f t="shared" si="13"/>
        <v>|Lｖ42|回復速度上昇|</v>
      </c>
      <c r="B127" t="s">
        <v>3</v>
      </c>
      <c r="C127" t="s">
        <v>111</v>
      </c>
      <c r="E127" t="s">
        <v>3</v>
      </c>
      <c r="F127" t="s">
        <v>43</v>
      </c>
      <c r="I127" t="s">
        <v>3</v>
      </c>
    </row>
    <row r="128" spans="1:9" x14ac:dyDescent="0.15">
      <c r="A128" t="str">
        <f t="shared" si="13"/>
        <v>|Lｖ43|HP+4|</v>
      </c>
      <c r="B128" t="s">
        <v>3</v>
      </c>
      <c r="C128" t="s">
        <v>112</v>
      </c>
      <c r="E128" t="s">
        <v>3</v>
      </c>
      <c r="F128" t="s">
        <v>62</v>
      </c>
      <c r="H128">
        <v>4</v>
      </c>
      <c r="I128" t="s">
        <v>3</v>
      </c>
    </row>
    <row r="129" spans="1:9" x14ac:dyDescent="0.15">
      <c r="A129" t="str">
        <f t="shared" si="13"/>
        <v>|Lｖ44|第2能力Lv3|</v>
      </c>
      <c r="B129" t="s">
        <v>3</v>
      </c>
      <c r="C129" t="s">
        <v>113</v>
      </c>
      <c r="E129" t="s">
        <v>3</v>
      </c>
      <c r="F129" t="s">
        <v>41</v>
      </c>
      <c r="H129">
        <v>3</v>
      </c>
      <c r="I129" t="s">
        <v>3</v>
      </c>
    </row>
    <row r="130" spans="1:9" x14ac:dyDescent="0.15">
      <c r="A130" t="str">
        <f t="shared" si="13"/>
        <v>|Lｖ45|サポート+1|</v>
      </c>
      <c r="B130" t="s">
        <v>3</v>
      </c>
      <c r="C130" t="s">
        <v>114</v>
      </c>
      <c r="E130" t="s">
        <v>3</v>
      </c>
      <c r="F130" t="s">
        <v>68</v>
      </c>
      <c r="H130">
        <v>1</v>
      </c>
      <c r="I130" t="s">
        <v>3</v>
      </c>
    </row>
    <row r="131" spans="1:9" x14ac:dyDescent="0.15">
      <c r="A131" t="str">
        <f t="shared" si="13"/>
        <v>|Lｖ46|HP+4|</v>
      </c>
      <c r="B131" t="s">
        <v>3</v>
      </c>
      <c r="C131" t="s">
        <v>115</v>
      </c>
      <c r="E131" t="s">
        <v>3</v>
      </c>
      <c r="F131" t="s">
        <v>62</v>
      </c>
      <c r="H131">
        <v>4</v>
      </c>
      <c r="I131" t="s">
        <v>3</v>
      </c>
    </row>
    <row r="132" spans="1:9" x14ac:dyDescent="0.15">
      <c r="A132" t="str">
        <f t="shared" si="13"/>
        <v>|Lｖ47|回復速度上昇|</v>
      </c>
      <c r="B132" t="s">
        <v>3</v>
      </c>
      <c r="C132" t="s">
        <v>116</v>
      </c>
      <c r="E132" t="s">
        <v>3</v>
      </c>
      <c r="F132" t="s">
        <v>43</v>
      </c>
      <c r="I132" t="s">
        <v>3</v>
      </c>
    </row>
    <row r="133" spans="1:9" x14ac:dyDescent="0.15">
      <c r="A133" t="str">
        <f t="shared" si="13"/>
        <v>|Lｖ48|赤+1|</v>
      </c>
      <c r="B133" t="s">
        <v>3</v>
      </c>
      <c r="C133" t="s">
        <v>117</v>
      </c>
      <c r="E133" t="s">
        <v>3</v>
      </c>
      <c r="F133" t="s">
        <v>76</v>
      </c>
      <c r="H133">
        <v>1</v>
      </c>
      <c r="I133" t="s">
        <v>3</v>
      </c>
    </row>
    <row r="134" spans="1:9" x14ac:dyDescent="0.15">
      <c r="A134" t="str">
        <f t="shared" si="13"/>
        <v>|Lｖ49|HP+4|</v>
      </c>
      <c r="B134" t="s">
        <v>3</v>
      </c>
      <c r="C134" t="s">
        <v>118</v>
      </c>
      <c r="E134" t="s">
        <v>3</v>
      </c>
      <c r="F134" t="s">
        <v>62</v>
      </c>
      <c r="H134">
        <v>4</v>
      </c>
      <c r="I134" t="s">
        <v>3</v>
      </c>
    </row>
    <row r="135" spans="1:9" x14ac:dyDescent="0.15">
      <c r="A135" t="str">
        <f t="shared" si="13"/>
        <v>|Lｖ50|第3能力Lv3|</v>
      </c>
      <c r="B135" t="s">
        <v>3</v>
      </c>
      <c r="C135" t="s">
        <v>119</v>
      </c>
      <c r="E135" t="s">
        <v>3</v>
      </c>
      <c r="F135" t="s">
        <v>42</v>
      </c>
      <c r="H135">
        <v>3</v>
      </c>
      <c r="I135" t="s">
        <v>3</v>
      </c>
    </row>
    <row r="136" spans="1:9" x14ac:dyDescent="0.15">
      <c r="A136" t="str">
        <f t="shared" si="13"/>
        <v>|Lｖ51|第1能力Lv4|</v>
      </c>
      <c r="B136" t="s">
        <v>3</v>
      </c>
      <c r="C136" t="s">
        <v>120</v>
      </c>
      <c r="E136" t="s">
        <v>3</v>
      </c>
      <c r="F136" t="s">
        <v>40</v>
      </c>
      <c r="H136">
        <v>4</v>
      </c>
      <c r="I136" t="s">
        <v>3</v>
      </c>
    </row>
    <row r="137" spans="1:9" x14ac:dyDescent="0.15">
      <c r="A137" t="str">
        <f t="shared" si="13"/>
        <v>|Lｖ52|HP+8|</v>
      </c>
      <c r="B137" t="s">
        <v>3</v>
      </c>
      <c r="C137" t="s">
        <v>121</v>
      </c>
      <c r="E137" t="s">
        <v>3</v>
      </c>
      <c r="F137" t="s">
        <v>62</v>
      </c>
      <c r="H137">
        <v>8</v>
      </c>
      <c r="I137" t="s">
        <v>3</v>
      </c>
    </row>
    <row r="138" spans="1:9" x14ac:dyDescent="0.15">
      <c r="A138" t="str">
        <f t="shared" si="13"/>
        <v>|Lｖ53|回復速度上昇|</v>
      </c>
      <c r="B138" t="s">
        <v>3</v>
      </c>
      <c r="C138" t="s">
        <v>122</v>
      </c>
      <c r="E138" t="s">
        <v>3</v>
      </c>
      <c r="F138" t="s">
        <v>43</v>
      </c>
      <c r="I138" t="s">
        <v>3</v>
      </c>
    </row>
    <row r="139" spans="1:9" x14ac:dyDescent="0.15">
      <c r="A139" t="str">
        <f t="shared" si="13"/>
        <v>|Lｖ54|呪文+2|</v>
      </c>
      <c r="B139" t="s">
        <v>3</v>
      </c>
      <c r="C139" t="s">
        <v>123</v>
      </c>
      <c r="E139" t="s">
        <v>3</v>
      </c>
      <c r="F139" t="s">
        <v>66</v>
      </c>
      <c r="H139">
        <v>2</v>
      </c>
      <c r="I139" t="s">
        <v>3</v>
      </c>
    </row>
    <row r="140" spans="1:9" x14ac:dyDescent="0.15">
      <c r="A140" t="str">
        <f t="shared" ref="A140:A151" si="14">B140&amp;C140&amp;D140&amp;E140&amp;F140&amp;G140&amp;H140&amp;I140&amp;J140&amp;K140&amp;L140&amp;M140&amp;N140&amp;O140&amp;P140</f>
        <v>|Lｖ55|第2能力Lv4|</v>
      </c>
      <c r="B140" t="s">
        <v>3</v>
      </c>
      <c r="C140" t="s">
        <v>124</v>
      </c>
      <c r="E140" t="s">
        <v>3</v>
      </c>
      <c r="F140" t="s">
        <v>41</v>
      </c>
      <c r="H140">
        <v>4</v>
      </c>
      <c r="I140" t="s">
        <v>3</v>
      </c>
    </row>
    <row r="141" spans="1:9" x14ac:dyDescent="0.15">
      <c r="A141" t="str">
        <f t="shared" si="14"/>
        <v>|Lｖ56|サポート+2|</v>
      </c>
      <c r="B141" t="s">
        <v>3</v>
      </c>
      <c r="C141" t="s">
        <v>125</v>
      </c>
      <c r="E141" t="s">
        <v>3</v>
      </c>
      <c r="F141" t="s">
        <v>68</v>
      </c>
      <c r="H141">
        <v>2</v>
      </c>
      <c r="I141" t="s">
        <v>3</v>
      </c>
    </row>
    <row r="142" spans="1:9" x14ac:dyDescent="0.15">
      <c r="A142" t="str">
        <f t="shared" si="14"/>
        <v>|Lｖ57|クリーチャー+1|</v>
      </c>
      <c r="B142" t="s">
        <v>3</v>
      </c>
      <c r="C142" t="s">
        <v>126</v>
      </c>
      <c r="E142" t="s">
        <v>3</v>
      </c>
      <c r="F142" t="s">
        <v>64</v>
      </c>
      <c r="H142">
        <v>1</v>
      </c>
      <c r="I142" t="s">
        <v>3</v>
      </c>
    </row>
    <row r="143" spans="1:9" x14ac:dyDescent="0.15">
      <c r="A143" t="str">
        <f t="shared" si="14"/>
        <v>|Lｖ58|回復速度上昇|</v>
      </c>
      <c r="B143" t="s">
        <v>3</v>
      </c>
      <c r="C143" t="s">
        <v>127</v>
      </c>
      <c r="E143" t="s">
        <v>3</v>
      </c>
      <c r="F143" t="s">
        <v>43</v>
      </c>
      <c r="I143" t="s">
        <v>3</v>
      </c>
    </row>
    <row r="144" spans="1:9" x14ac:dyDescent="0.15">
      <c r="A144" t="str">
        <f t="shared" si="14"/>
        <v>|Lｖ59|白+1|</v>
      </c>
      <c r="B144" t="s">
        <v>3</v>
      </c>
      <c r="C144" t="s">
        <v>128</v>
      </c>
      <c r="E144" t="s">
        <v>3</v>
      </c>
      <c r="F144" t="s">
        <v>70</v>
      </c>
      <c r="H144">
        <v>1</v>
      </c>
      <c r="I144" t="s">
        <v>3</v>
      </c>
    </row>
    <row r="145" spans="1:9" x14ac:dyDescent="0.15">
      <c r="A145" t="str">
        <f t="shared" si="14"/>
        <v>|Lｖ60|第3能力Lv4|</v>
      </c>
      <c r="B145" t="s">
        <v>3</v>
      </c>
      <c r="C145" t="s">
        <v>129</v>
      </c>
      <c r="E145" t="s">
        <v>3</v>
      </c>
      <c r="F145" t="s">
        <v>42</v>
      </c>
      <c r="H145">
        <v>4</v>
      </c>
      <c r="I145" t="s">
        <v>3</v>
      </c>
    </row>
    <row r="146" spans="1:9" x14ac:dyDescent="0.15">
      <c r="A146" t="str">
        <f>B146&amp;C146&amp;D146&amp;E146&amp;F146&amp;G146&amp;H146&amp;I146&amp;J146&amp;K146&amp;L146&amp;M146&amp;N146&amp;O146&amp;P146</f>
        <v>必要総経験値：79920ルーン</v>
      </c>
      <c r="B146" t="s">
        <v>45</v>
      </c>
      <c r="C146">
        <v>79920</v>
      </c>
      <c r="F146" t="s">
        <v>46</v>
      </c>
    </row>
    <row r="147" spans="1:9" x14ac:dyDescent="0.15">
      <c r="A147" t="str">
        <f t="shared" si="14"/>
        <v>&amp;br;</v>
      </c>
      <c r="B147" t="s">
        <v>0</v>
      </c>
    </row>
    <row r="148" spans="1:9" x14ac:dyDescent="0.15">
      <c r="A148" t="str">
        <f t="shared" si="14"/>
        <v>#back(text=戻る,left)</v>
      </c>
      <c r="B148" t="s">
        <v>47</v>
      </c>
    </row>
    <row r="149" spans="1:9" x14ac:dyDescent="0.15">
      <c r="A149" t="str">
        <f t="shared" si="14"/>
        <v>&amp;br;</v>
      </c>
      <c r="B149" t="s">
        <v>0</v>
      </c>
    </row>
    <row r="150" spans="1:9" x14ac:dyDescent="0.15">
      <c r="A150" t="str">
        <f t="shared" si="14"/>
        <v>#comment(above,nsize=[15],size=[30],num=[10])</v>
      </c>
      <c r="B150" t="s">
        <v>48</v>
      </c>
    </row>
    <row r="151" spans="1:9" x14ac:dyDescent="0.15">
      <c r="A151" t="str">
        <f t="shared" si="14"/>
        <v>[[プレインズウォーカーリスト&gt;プレインズウォーカーリスト]]</v>
      </c>
      <c r="B151" t="s">
        <v>49</v>
      </c>
    </row>
  </sheetData>
  <phoneticPr fontId="4"/>
  <dataValidations count="1">
    <dataValidation type="list" allowBlank="1" showInputMessage="1" showErrorMessage="1" sqref="L139 F87:F146">
      <formula1>$Q$86:$Q$98</formula1>
    </dataValidation>
  </dataValidations>
  <pageMargins left="0.69930555555555596" right="0.69930555555555596"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163"/>
  <sheetViews>
    <sheetView workbookViewId="0">
      <selection activeCell="R87" sqref="R87"/>
    </sheetView>
  </sheetViews>
  <sheetFormatPr defaultColWidth="9" defaultRowHeight="13.5" x14ac:dyDescent="0.15"/>
  <cols>
    <col min="2" max="2" width="3.5" customWidth="1"/>
    <col min="3" max="3" width="7.875" customWidth="1"/>
    <col min="4" max="4" width="5.5" customWidth="1"/>
    <col min="5" max="5" width="2" customWidth="1"/>
    <col min="7" max="7" width="2" customWidth="1"/>
    <col min="9" max="9" width="2" customWidth="1"/>
    <col min="11" max="11" width="2" customWidth="1"/>
    <col min="13" max="13" width="2" customWidth="1"/>
    <col min="15" max="15" width="2" customWidth="1"/>
    <col min="17" max="17" width="2.75" customWidth="1"/>
  </cols>
  <sheetData>
    <row r="1" spans="1:8" x14ac:dyDescent="0.15">
      <c r="A1" t="str">
        <f>B1&amp;C1&amp;D1&amp;E1&amp;F1&amp;G1&amp;H1&amp;I1&amp;J1&amp;K1&amp;L1&amp;M1&amp;N1&amp;O1&amp;P1</f>
        <v>特別オファーで購入するか、期間限定でMCを支払い購入することで入手できる。</v>
      </c>
      <c r="B1" t="s">
        <v>130</v>
      </c>
    </row>
    <row r="2" spans="1:8" x14ac:dyDescent="0.15">
      <c r="A2" t="str">
        <f>B2&amp;C2&amp;D2&amp;E2&amp;F2&amp;G2&amp;H2&amp;I2&amp;J2&amp;K2&amp;L2&amp;M2&amp;N2&amp;O2&amp;P2</f>
        <v>&amp;br;</v>
      </c>
      <c r="B2" t="s">
        <v>0</v>
      </c>
    </row>
    <row r="3" spans="1:8" x14ac:dyDescent="0.15">
      <c r="A3" t="str">
        <f>B3&amp;C3&amp;D3&amp;E3&amp;F3&amp;G3&amp;H3&amp;I3&amp;J3&amp;K3&amp;L3&amp;M3&amp;N3&amp;O3&amp;P3</f>
        <v>#contents()</v>
      </c>
      <c r="B3" t="s">
        <v>1</v>
      </c>
    </row>
    <row r="4" spans="1:8" x14ac:dyDescent="0.15">
      <c r="A4" t="str">
        <f>B4&amp;C4&amp;D4&amp;E4&amp;F4&amp;G4&amp;H4&amp;I4&amp;J4&amp;K4&amp;L4&amp;M4&amp;N4&amp;O4&amp;P4</f>
        <v>*HP [#f569d8c6]</v>
      </c>
      <c r="B4" t="s">
        <v>2</v>
      </c>
    </row>
    <row r="5" spans="1:8" x14ac:dyDescent="0.15">
      <c r="A5" t="str">
        <f>B5&amp;C5&amp;D5&amp;E5&amp;F5&amp;G5&amp;H5</f>
        <v>|LEFT:50|LEFT:50|c</v>
      </c>
      <c r="B5" t="s">
        <v>3</v>
      </c>
      <c r="C5" t="s">
        <v>4</v>
      </c>
      <c r="E5" t="s">
        <v>3</v>
      </c>
      <c r="F5" t="s">
        <v>4</v>
      </c>
      <c r="G5" t="s">
        <v>3</v>
      </c>
      <c r="H5" t="s">
        <v>5</v>
      </c>
    </row>
    <row r="6" spans="1:8" x14ac:dyDescent="0.15">
      <c r="A6" t="str">
        <f t="shared" ref="A6:A36" si="0">B6&amp;C6&amp;D6&amp;E6&amp;F6&amp;G6&amp;H6</f>
        <v>|レベル|HP|</v>
      </c>
      <c r="B6" t="s">
        <v>3</v>
      </c>
      <c r="C6" t="s">
        <v>6</v>
      </c>
      <c r="E6" t="s">
        <v>3</v>
      </c>
      <c r="F6" t="s">
        <v>7</v>
      </c>
      <c r="G6" t="s">
        <v>3</v>
      </c>
    </row>
    <row r="7" spans="1:8" x14ac:dyDescent="0.15">
      <c r="A7" t="str">
        <f t="shared" si="0"/>
        <v>|Lv1|32|</v>
      </c>
      <c r="B7" t="s">
        <v>3</v>
      </c>
      <c r="C7" t="s">
        <v>8</v>
      </c>
      <c r="D7">
        <v>1</v>
      </c>
      <c r="E7" t="s">
        <v>3</v>
      </c>
      <c r="F7">
        <v>32</v>
      </c>
      <c r="G7" t="s">
        <v>3</v>
      </c>
    </row>
    <row r="8" spans="1:8" x14ac:dyDescent="0.15">
      <c r="A8" t="str">
        <f t="shared" si="0"/>
        <v>|Lv3|34|</v>
      </c>
      <c r="B8" t="s">
        <v>3</v>
      </c>
      <c r="C8" t="s">
        <v>8</v>
      </c>
      <c r="D8">
        <v>3</v>
      </c>
      <c r="E8" t="s">
        <v>3</v>
      </c>
      <c r="F8">
        <f>IF(ISBLANK(D8),"",F7+INDEX($H$98:$H$157,D8))</f>
        <v>34</v>
      </c>
      <c r="G8" t="s">
        <v>3</v>
      </c>
    </row>
    <row r="9" spans="1:8" x14ac:dyDescent="0.15">
      <c r="A9" t="str">
        <f t="shared" si="0"/>
        <v>|Lv5|37|</v>
      </c>
      <c r="B9" t="s">
        <v>3</v>
      </c>
      <c r="C9" t="s">
        <v>8</v>
      </c>
      <c r="D9">
        <v>5</v>
      </c>
      <c r="E9" t="s">
        <v>3</v>
      </c>
      <c r="F9">
        <f>IF(ISBLANK(D9),"",F8+INDEX($H$98:$H$157,D9))</f>
        <v>37</v>
      </c>
      <c r="G9" t="s">
        <v>3</v>
      </c>
    </row>
    <row r="10" spans="1:8" x14ac:dyDescent="0.15">
      <c r="A10" t="str">
        <f t="shared" si="0"/>
        <v>|Lv7|39|</v>
      </c>
      <c r="B10" t="s">
        <v>3</v>
      </c>
      <c r="C10" t="s">
        <v>8</v>
      </c>
      <c r="D10">
        <v>7</v>
      </c>
      <c r="E10" t="s">
        <v>3</v>
      </c>
      <c r="F10">
        <f t="shared" ref="F10:F36" si="1">IF(ISBLANK(D10),"",F9+INDEX($H$98:$H$157,D10))</f>
        <v>39</v>
      </c>
      <c r="G10" t="s">
        <v>3</v>
      </c>
    </row>
    <row r="11" spans="1:8" x14ac:dyDescent="0.15">
      <c r="A11" t="str">
        <f t="shared" si="0"/>
        <v>|Lv9|42|</v>
      </c>
      <c r="B11" t="s">
        <v>3</v>
      </c>
      <c r="C11" t="s">
        <v>8</v>
      </c>
      <c r="D11">
        <v>9</v>
      </c>
      <c r="E11" t="s">
        <v>3</v>
      </c>
      <c r="F11">
        <f t="shared" si="1"/>
        <v>42</v>
      </c>
      <c r="G11" t="s">
        <v>3</v>
      </c>
    </row>
    <row r="12" spans="1:8" x14ac:dyDescent="0.15">
      <c r="A12" t="str">
        <f t="shared" si="0"/>
        <v>|Lv11|44|</v>
      </c>
      <c r="B12" t="s">
        <v>3</v>
      </c>
      <c r="C12" t="s">
        <v>8</v>
      </c>
      <c r="D12">
        <v>11</v>
      </c>
      <c r="E12" t="s">
        <v>3</v>
      </c>
      <c r="F12">
        <f t="shared" si="1"/>
        <v>44</v>
      </c>
      <c r="G12" t="s">
        <v>3</v>
      </c>
    </row>
    <row r="13" spans="1:8" x14ac:dyDescent="0.15">
      <c r="A13" t="str">
        <f t="shared" si="0"/>
        <v>|Lv13|47|</v>
      </c>
      <c r="B13" t="s">
        <v>3</v>
      </c>
      <c r="C13" t="s">
        <v>8</v>
      </c>
      <c r="D13">
        <v>13</v>
      </c>
      <c r="E13" t="s">
        <v>3</v>
      </c>
      <c r="F13">
        <f t="shared" si="1"/>
        <v>47</v>
      </c>
      <c r="G13" t="s">
        <v>3</v>
      </c>
    </row>
    <row r="14" spans="1:8" x14ac:dyDescent="0.15">
      <c r="A14" t="str">
        <f t="shared" si="0"/>
        <v>|Lv15|49|</v>
      </c>
      <c r="B14" t="s">
        <v>3</v>
      </c>
      <c r="C14" t="s">
        <v>8</v>
      </c>
      <c r="D14">
        <v>15</v>
      </c>
      <c r="E14" t="s">
        <v>3</v>
      </c>
      <c r="F14">
        <f t="shared" si="1"/>
        <v>49</v>
      </c>
      <c r="G14" t="s">
        <v>3</v>
      </c>
    </row>
    <row r="15" spans="1:8" x14ac:dyDescent="0.15">
      <c r="A15" t="str">
        <f t="shared" si="0"/>
        <v>|Lv17|52|</v>
      </c>
      <c r="B15" t="s">
        <v>3</v>
      </c>
      <c r="C15" t="s">
        <v>8</v>
      </c>
      <c r="D15">
        <v>17</v>
      </c>
      <c r="E15" t="s">
        <v>3</v>
      </c>
      <c r="F15">
        <f t="shared" si="1"/>
        <v>52</v>
      </c>
      <c r="G15" t="s">
        <v>3</v>
      </c>
    </row>
    <row r="16" spans="1:8" x14ac:dyDescent="0.15">
      <c r="A16" t="str">
        <f t="shared" si="0"/>
        <v>|Lv19|54|</v>
      </c>
      <c r="B16" t="s">
        <v>3</v>
      </c>
      <c r="C16" t="s">
        <v>8</v>
      </c>
      <c r="D16">
        <v>19</v>
      </c>
      <c r="E16" t="s">
        <v>3</v>
      </c>
      <c r="F16">
        <f t="shared" si="1"/>
        <v>54</v>
      </c>
      <c r="G16" t="s">
        <v>3</v>
      </c>
    </row>
    <row r="17" spans="1:7" x14ac:dyDescent="0.15">
      <c r="A17" t="str">
        <f t="shared" si="0"/>
        <v>|Lv21|57|</v>
      </c>
      <c r="B17" t="s">
        <v>3</v>
      </c>
      <c r="C17" t="s">
        <v>8</v>
      </c>
      <c r="D17">
        <v>21</v>
      </c>
      <c r="E17" t="s">
        <v>3</v>
      </c>
      <c r="F17">
        <f t="shared" si="1"/>
        <v>57</v>
      </c>
      <c r="G17" t="s">
        <v>3</v>
      </c>
    </row>
    <row r="18" spans="1:7" x14ac:dyDescent="0.15">
      <c r="A18" t="str">
        <f t="shared" si="0"/>
        <v>|Lv23|59|</v>
      </c>
      <c r="B18" t="s">
        <v>3</v>
      </c>
      <c r="C18" t="s">
        <v>8</v>
      </c>
      <c r="D18">
        <v>23</v>
      </c>
      <c r="E18" t="s">
        <v>3</v>
      </c>
      <c r="F18">
        <f t="shared" si="1"/>
        <v>59</v>
      </c>
      <c r="G18" t="s">
        <v>3</v>
      </c>
    </row>
    <row r="19" spans="1:7" x14ac:dyDescent="0.15">
      <c r="A19" t="str">
        <f t="shared" si="0"/>
        <v>|Lv25|62|</v>
      </c>
      <c r="B19" t="s">
        <v>3</v>
      </c>
      <c r="C19" t="s">
        <v>8</v>
      </c>
      <c r="D19">
        <v>25</v>
      </c>
      <c r="E19" t="s">
        <v>3</v>
      </c>
      <c r="F19">
        <f t="shared" si="1"/>
        <v>62</v>
      </c>
      <c r="G19" t="s">
        <v>3</v>
      </c>
    </row>
    <row r="20" spans="1:7" x14ac:dyDescent="0.15">
      <c r="A20" t="str">
        <f t="shared" si="0"/>
        <v>|Lv27|64|</v>
      </c>
      <c r="B20" t="s">
        <v>3</v>
      </c>
      <c r="C20" t="s">
        <v>8</v>
      </c>
      <c r="D20">
        <v>27</v>
      </c>
      <c r="E20" t="s">
        <v>3</v>
      </c>
      <c r="F20">
        <f t="shared" si="1"/>
        <v>64</v>
      </c>
      <c r="G20" t="s">
        <v>3</v>
      </c>
    </row>
    <row r="21" spans="1:7" x14ac:dyDescent="0.15">
      <c r="A21" t="str">
        <f t="shared" si="0"/>
        <v>|Lv29|67|</v>
      </c>
      <c r="B21" t="s">
        <v>3</v>
      </c>
      <c r="C21" t="s">
        <v>8</v>
      </c>
      <c r="D21">
        <v>29</v>
      </c>
      <c r="E21" t="s">
        <v>3</v>
      </c>
      <c r="F21">
        <f t="shared" si="1"/>
        <v>67</v>
      </c>
      <c r="G21" t="s">
        <v>3</v>
      </c>
    </row>
    <row r="22" spans="1:7" x14ac:dyDescent="0.15">
      <c r="A22" t="str">
        <f t="shared" si="0"/>
        <v>|Lv31|69|</v>
      </c>
      <c r="B22" t="s">
        <v>3</v>
      </c>
      <c r="C22" t="s">
        <v>8</v>
      </c>
      <c r="D22">
        <v>31</v>
      </c>
      <c r="E22" t="s">
        <v>3</v>
      </c>
      <c r="F22">
        <f t="shared" si="1"/>
        <v>69</v>
      </c>
      <c r="G22" t="s">
        <v>3</v>
      </c>
    </row>
    <row r="23" spans="1:7" x14ac:dyDescent="0.15">
      <c r="A23" t="str">
        <f t="shared" si="0"/>
        <v>|Lv33|72|</v>
      </c>
      <c r="B23" t="s">
        <v>3</v>
      </c>
      <c r="C23" t="s">
        <v>8</v>
      </c>
      <c r="D23">
        <v>33</v>
      </c>
      <c r="E23" t="s">
        <v>3</v>
      </c>
      <c r="F23">
        <f t="shared" si="1"/>
        <v>72</v>
      </c>
      <c r="G23" t="s">
        <v>3</v>
      </c>
    </row>
    <row r="24" spans="1:7" x14ac:dyDescent="0.15">
      <c r="A24" t="str">
        <f t="shared" si="0"/>
        <v>|Lv35|74|</v>
      </c>
      <c r="B24" t="s">
        <v>3</v>
      </c>
      <c r="C24" t="s">
        <v>8</v>
      </c>
      <c r="D24">
        <v>35</v>
      </c>
      <c r="E24" t="s">
        <v>3</v>
      </c>
      <c r="F24">
        <f t="shared" si="1"/>
        <v>74</v>
      </c>
      <c r="G24" t="s">
        <v>3</v>
      </c>
    </row>
    <row r="25" spans="1:7" x14ac:dyDescent="0.15">
      <c r="A25" t="str">
        <f t="shared" si="0"/>
        <v>|Lv37|77|</v>
      </c>
      <c r="B25" t="s">
        <v>3</v>
      </c>
      <c r="C25" t="s">
        <v>8</v>
      </c>
      <c r="D25">
        <v>37</v>
      </c>
      <c r="E25" t="s">
        <v>3</v>
      </c>
      <c r="F25">
        <f t="shared" si="1"/>
        <v>77</v>
      </c>
      <c r="G25" t="s">
        <v>3</v>
      </c>
    </row>
    <row r="26" spans="1:7" x14ac:dyDescent="0.15">
      <c r="A26" t="str">
        <f t="shared" si="0"/>
        <v>|Lv39|79|</v>
      </c>
      <c r="B26" t="s">
        <v>3</v>
      </c>
      <c r="C26" t="s">
        <v>8</v>
      </c>
      <c r="D26">
        <v>39</v>
      </c>
      <c r="E26" t="s">
        <v>3</v>
      </c>
      <c r="F26">
        <f t="shared" si="1"/>
        <v>79</v>
      </c>
      <c r="G26" t="s">
        <v>3</v>
      </c>
    </row>
    <row r="27" spans="1:7" x14ac:dyDescent="0.15">
      <c r="A27" t="str">
        <f t="shared" si="0"/>
        <v>|Lv41|82|</v>
      </c>
      <c r="B27" t="s">
        <v>3</v>
      </c>
      <c r="C27" t="s">
        <v>8</v>
      </c>
      <c r="D27">
        <v>41</v>
      </c>
      <c r="E27" t="s">
        <v>3</v>
      </c>
      <c r="F27">
        <f t="shared" si="1"/>
        <v>82</v>
      </c>
      <c r="G27" t="s">
        <v>3</v>
      </c>
    </row>
    <row r="28" spans="1:7" x14ac:dyDescent="0.15">
      <c r="A28" t="str">
        <f t="shared" si="0"/>
        <v>|Lv43|84|</v>
      </c>
      <c r="B28" t="s">
        <v>3</v>
      </c>
      <c r="C28" t="s">
        <v>8</v>
      </c>
      <c r="D28">
        <v>43</v>
      </c>
      <c r="E28" t="s">
        <v>3</v>
      </c>
      <c r="F28">
        <f t="shared" si="1"/>
        <v>84</v>
      </c>
      <c r="G28" t="s">
        <v>3</v>
      </c>
    </row>
    <row r="29" spans="1:7" x14ac:dyDescent="0.15">
      <c r="A29" t="str">
        <f t="shared" si="0"/>
        <v>|Lv45|87|</v>
      </c>
      <c r="B29" t="s">
        <v>3</v>
      </c>
      <c r="C29" t="s">
        <v>8</v>
      </c>
      <c r="D29">
        <v>45</v>
      </c>
      <c r="E29" t="s">
        <v>3</v>
      </c>
      <c r="F29">
        <f t="shared" si="1"/>
        <v>87</v>
      </c>
      <c r="G29" t="s">
        <v>3</v>
      </c>
    </row>
    <row r="30" spans="1:7" x14ac:dyDescent="0.15">
      <c r="A30" t="str">
        <f t="shared" si="0"/>
        <v>|Lv47|89|</v>
      </c>
      <c r="B30" t="s">
        <v>3</v>
      </c>
      <c r="C30" t="s">
        <v>8</v>
      </c>
      <c r="D30">
        <v>47</v>
      </c>
      <c r="E30" t="s">
        <v>3</v>
      </c>
      <c r="F30">
        <f t="shared" si="1"/>
        <v>89</v>
      </c>
      <c r="G30" t="s">
        <v>3</v>
      </c>
    </row>
    <row r="31" spans="1:7" x14ac:dyDescent="0.15">
      <c r="A31" t="str">
        <f t="shared" si="0"/>
        <v>|Lv49|92|</v>
      </c>
      <c r="B31" t="s">
        <v>3</v>
      </c>
      <c r="C31" t="s">
        <v>8</v>
      </c>
      <c r="D31">
        <v>49</v>
      </c>
      <c r="E31" t="s">
        <v>3</v>
      </c>
      <c r="F31">
        <f t="shared" si="1"/>
        <v>92</v>
      </c>
      <c r="G31" t="s">
        <v>3</v>
      </c>
    </row>
    <row r="32" spans="1:7" x14ac:dyDescent="0.15">
      <c r="A32" t="str">
        <f t="shared" si="0"/>
        <v>|Lv51|94|</v>
      </c>
      <c r="B32" t="s">
        <v>3</v>
      </c>
      <c r="C32" t="s">
        <v>8</v>
      </c>
      <c r="D32">
        <v>51</v>
      </c>
      <c r="E32" t="s">
        <v>3</v>
      </c>
      <c r="F32">
        <f t="shared" si="1"/>
        <v>94</v>
      </c>
      <c r="G32" t="s">
        <v>3</v>
      </c>
    </row>
    <row r="33" spans="1:19" x14ac:dyDescent="0.15">
      <c r="A33" t="str">
        <f t="shared" si="0"/>
        <v>|Lv53|97|</v>
      </c>
      <c r="B33" t="s">
        <v>3</v>
      </c>
      <c r="C33" t="s">
        <v>8</v>
      </c>
      <c r="D33">
        <v>53</v>
      </c>
      <c r="E33" t="s">
        <v>3</v>
      </c>
      <c r="F33">
        <f t="shared" si="1"/>
        <v>97</v>
      </c>
      <c r="G33" t="s">
        <v>3</v>
      </c>
    </row>
    <row r="34" spans="1:19" x14ac:dyDescent="0.15">
      <c r="A34" t="str">
        <f t="shared" si="0"/>
        <v>|Lv55|99|</v>
      </c>
      <c r="B34" t="s">
        <v>3</v>
      </c>
      <c r="C34" t="s">
        <v>8</v>
      </c>
      <c r="D34">
        <v>55</v>
      </c>
      <c r="E34" t="s">
        <v>3</v>
      </c>
      <c r="F34">
        <f t="shared" si="1"/>
        <v>99</v>
      </c>
      <c r="G34" t="s">
        <v>3</v>
      </c>
    </row>
    <row r="35" spans="1:19" x14ac:dyDescent="0.15">
      <c r="A35" t="str">
        <f t="shared" si="0"/>
        <v>|Lv57|102|</v>
      </c>
      <c r="B35" t="s">
        <v>3</v>
      </c>
      <c r="C35" t="s">
        <v>8</v>
      </c>
      <c r="D35">
        <v>57</v>
      </c>
      <c r="E35" t="s">
        <v>3</v>
      </c>
      <c r="F35">
        <f t="shared" si="1"/>
        <v>102</v>
      </c>
      <c r="G35" t="s">
        <v>3</v>
      </c>
    </row>
    <row r="36" spans="1:19" x14ac:dyDescent="0.15">
      <c r="A36" t="str">
        <f t="shared" si="0"/>
        <v>|Lv59|104|</v>
      </c>
      <c r="B36" t="s">
        <v>3</v>
      </c>
      <c r="C36" t="s">
        <v>8</v>
      </c>
      <c r="D36">
        <v>59</v>
      </c>
      <c r="E36" t="s">
        <v>3</v>
      </c>
      <c r="F36">
        <f t="shared" si="1"/>
        <v>104</v>
      </c>
      <c r="G36" t="s">
        <v>3</v>
      </c>
    </row>
    <row r="37" spans="1:19" x14ac:dyDescent="0.15">
      <c r="A37" t="str">
        <f>B37&amp;C37&amp;D37&amp;E37&amp;F37&amp;G37&amp;H37&amp;I37&amp;J37&amp;K37&amp;L37&amp;M37&amp;N37&amp;O37&amp;P37</f>
        <v>&amp;br;</v>
      </c>
      <c r="B37" t="s">
        <v>0</v>
      </c>
    </row>
    <row r="38" spans="1:19" x14ac:dyDescent="0.15">
      <c r="A38" t="str">
        <f>B38&amp;C38&amp;D38&amp;E38&amp;F38&amp;G38&amp;H38&amp;I38&amp;J38&amp;K38&amp;L38&amp;M38&amp;N38&amp;O38&amp;P38</f>
        <v>&amp;br;</v>
      </c>
      <c r="B38" t="s">
        <v>0</v>
      </c>
    </row>
    <row r="39" spans="1:19" x14ac:dyDescent="0.15">
      <c r="A39" t="str">
        <f>B39&amp;C39&amp;D39&amp;E39&amp;F39&amp;G39&amp;H39&amp;I39&amp;J39&amp;K39&amp;L39&amp;M39&amp;N39&amp;O39&amp;P39</f>
        <v>*マナボーナス [#q1a26f54]</v>
      </c>
      <c r="B39" t="s">
        <v>9</v>
      </c>
    </row>
    <row r="40" spans="1:19" x14ac:dyDescent="0.15">
      <c r="A40" t="str">
        <f t="shared" ref="A40:A49" si="2">B40&amp;C40&amp;D40&amp;G40&amp;H40&amp;I40&amp;J40&amp;K40&amp;L40&amp;M40&amp;N40&amp;O40&amp;P40&amp;Q40&amp;R40</f>
        <v>|LEFT:50|LEFT:50|LEFT:50|LEFT:50|LEFT:50|LEFT:50|c</v>
      </c>
      <c r="B40" t="s">
        <v>3</v>
      </c>
      <c r="C40" t="s">
        <v>4</v>
      </c>
      <c r="E40" t="s">
        <v>3</v>
      </c>
      <c r="G40" t="s">
        <v>3</v>
      </c>
      <c r="H40" t="s">
        <v>4</v>
      </c>
      <c r="I40" t="s">
        <v>3</v>
      </c>
      <c r="J40" t="s">
        <v>4</v>
      </c>
      <c r="K40" t="s">
        <v>3</v>
      </c>
      <c r="L40" t="s">
        <v>4</v>
      </c>
      <c r="M40" t="s">
        <v>3</v>
      </c>
      <c r="N40" t="s">
        <v>4</v>
      </c>
      <c r="O40" t="s">
        <v>3</v>
      </c>
      <c r="P40" t="s">
        <v>4</v>
      </c>
      <c r="Q40" t="s">
        <v>3</v>
      </c>
      <c r="R40" t="s">
        <v>5</v>
      </c>
    </row>
    <row r="41" spans="1:19" x14ac:dyDescent="0.15">
      <c r="A41" t="str">
        <f t="shared" si="2"/>
        <v>|レベル|白|青|黒|赤|緑|</v>
      </c>
      <c r="B41" t="s">
        <v>3</v>
      </c>
      <c r="C41" t="s">
        <v>6</v>
      </c>
      <c r="E41" t="s">
        <v>3</v>
      </c>
      <c r="F41" t="s">
        <v>10</v>
      </c>
      <c r="G41" t="s">
        <v>3</v>
      </c>
      <c r="H41" t="s">
        <v>11</v>
      </c>
      <c r="I41" t="s">
        <v>3</v>
      </c>
      <c r="J41" t="s">
        <v>12</v>
      </c>
      <c r="K41" t="s">
        <v>3</v>
      </c>
      <c r="L41" t="s">
        <v>13</v>
      </c>
      <c r="M41" t="s">
        <v>3</v>
      </c>
      <c r="N41" t="s">
        <v>14</v>
      </c>
      <c r="O41" t="s">
        <v>3</v>
      </c>
      <c r="P41" t="s">
        <v>15</v>
      </c>
      <c r="Q41" t="s">
        <v>3</v>
      </c>
      <c r="S41" t="s">
        <v>11</v>
      </c>
    </row>
    <row r="42" spans="1:19" x14ac:dyDescent="0.15">
      <c r="A42" t="str">
        <f t="shared" si="2"/>
        <v>|Lv1|1|0|-1|-1|0|</v>
      </c>
      <c r="B42" t="s">
        <v>3</v>
      </c>
      <c r="C42" t="s">
        <v>8</v>
      </c>
      <c r="D42">
        <v>1</v>
      </c>
      <c r="E42" t="s">
        <v>3</v>
      </c>
      <c r="G42" t="s">
        <v>3</v>
      </c>
      <c r="H42">
        <v>1</v>
      </c>
      <c r="I42" t="s">
        <v>3</v>
      </c>
      <c r="J42">
        <v>0</v>
      </c>
      <c r="K42" t="s">
        <v>3</v>
      </c>
      <c r="L42">
        <v>-1</v>
      </c>
      <c r="M42" t="s">
        <v>3</v>
      </c>
      <c r="N42">
        <v>-1</v>
      </c>
      <c r="O42" t="s">
        <v>3</v>
      </c>
      <c r="P42">
        <v>0</v>
      </c>
      <c r="Q42" t="s">
        <v>3</v>
      </c>
      <c r="S42" t="s">
        <v>12</v>
      </c>
    </row>
    <row r="43" spans="1:19" x14ac:dyDescent="0.15">
      <c r="A43" t="str">
        <f t="shared" si="2"/>
        <v>|Lv2|2|0|-1|-1|0|</v>
      </c>
      <c r="B43" t="s">
        <v>3</v>
      </c>
      <c r="C43" t="s">
        <v>8</v>
      </c>
      <c r="D43">
        <v>2</v>
      </c>
      <c r="E43" t="s">
        <v>3</v>
      </c>
      <c r="F43" t="str">
        <f t="shared" ref="F43:F50" si="3">IF(ISBLANK(D43),"",INDEX($F$98:$F$157,D43))</f>
        <v>白</v>
      </c>
      <c r="G43" t="s">
        <v>3</v>
      </c>
      <c r="H43">
        <f>H42+IF(H$41=$F43,1,0)</f>
        <v>2</v>
      </c>
      <c r="I43" t="str">
        <f t="shared" ref="I43:Q50" si="4">I42</f>
        <v>|</v>
      </c>
      <c r="J43">
        <f>J42+IF(J$41=$F43,1,0)</f>
        <v>0</v>
      </c>
      <c r="K43" t="str">
        <f t="shared" si="4"/>
        <v>|</v>
      </c>
      <c r="L43">
        <f>L42+IF(L$41=$F43,1,0)</f>
        <v>-1</v>
      </c>
      <c r="M43" t="str">
        <f t="shared" si="4"/>
        <v>|</v>
      </c>
      <c r="N43">
        <f>N42+IF(N$41=$F43,1,0)</f>
        <v>-1</v>
      </c>
      <c r="O43" t="str">
        <f t="shared" si="4"/>
        <v>|</v>
      </c>
      <c r="P43">
        <f>P42+IF(P$41=$F43,1,0)</f>
        <v>0</v>
      </c>
      <c r="Q43" t="str">
        <f t="shared" si="4"/>
        <v>|</v>
      </c>
      <c r="S43" t="s">
        <v>13</v>
      </c>
    </row>
    <row r="44" spans="1:19" x14ac:dyDescent="0.15">
      <c r="A44" t="str">
        <f t="shared" si="2"/>
        <v>|Lv8|2|1|-1|-1|0|</v>
      </c>
      <c r="B44" t="s">
        <v>3</v>
      </c>
      <c r="C44" t="s">
        <v>8</v>
      </c>
      <c r="D44">
        <v>8</v>
      </c>
      <c r="E44" t="s">
        <v>3</v>
      </c>
      <c r="F44" t="str">
        <f t="shared" si="3"/>
        <v>青</v>
      </c>
      <c r="G44" t="s">
        <v>3</v>
      </c>
      <c r="H44">
        <f t="shared" ref="H44:P50" si="5">H43+IF(H$41=$F44,1,0)</f>
        <v>2</v>
      </c>
      <c r="I44" t="str">
        <f t="shared" si="4"/>
        <v>|</v>
      </c>
      <c r="J44">
        <f t="shared" si="5"/>
        <v>1</v>
      </c>
      <c r="K44" t="str">
        <f t="shared" si="4"/>
        <v>|</v>
      </c>
      <c r="L44">
        <f t="shared" si="5"/>
        <v>-1</v>
      </c>
      <c r="M44" t="str">
        <f t="shared" si="4"/>
        <v>|</v>
      </c>
      <c r="N44">
        <f>N43+IF(N$41=$F44,1,0)</f>
        <v>-1</v>
      </c>
      <c r="O44" t="str">
        <f t="shared" si="4"/>
        <v>|</v>
      </c>
      <c r="P44">
        <f t="shared" si="5"/>
        <v>0</v>
      </c>
      <c r="Q44" t="str">
        <f t="shared" si="4"/>
        <v>|</v>
      </c>
      <c r="S44" t="s">
        <v>14</v>
      </c>
    </row>
    <row r="45" spans="1:19" x14ac:dyDescent="0.15">
      <c r="A45" t="str">
        <f t="shared" si="2"/>
        <v>|Lv14|2|1|-1|-1|1|</v>
      </c>
      <c r="B45" t="s">
        <v>3</v>
      </c>
      <c r="C45" t="s">
        <v>8</v>
      </c>
      <c r="D45">
        <v>14</v>
      </c>
      <c r="E45" t="s">
        <v>3</v>
      </c>
      <c r="F45" t="str">
        <f t="shared" si="3"/>
        <v>緑</v>
      </c>
      <c r="G45" t="s">
        <v>3</v>
      </c>
      <c r="H45">
        <f t="shared" si="5"/>
        <v>2</v>
      </c>
      <c r="I45" t="str">
        <f t="shared" si="4"/>
        <v>|</v>
      </c>
      <c r="J45">
        <f t="shared" si="5"/>
        <v>1</v>
      </c>
      <c r="K45" t="str">
        <f t="shared" si="4"/>
        <v>|</v>
      </c>
      <c r="L45">
        <f t="shared" si="5"/>
        <v>-1</v>
      </c>
      <c r="M45" t="str">
        <f t="shared" si="4"/>
        <v>|</v>
      </c>
      <c r="N45">
        <f t="shared" si="5"/>
        <v>-1</v>
      </c>
      <c r="O45" t="str">
        <f t="shared" si="4"/>
        <v>|</v>
      </c>
      <c r="P45">
        <f t="shared" si="5"/>
        <v>1</v>
      </c>
      <c r="Q45" t="str">
        <f t="shared" si="4"/>
        <v>|</v>
      </c>
      <c r="S45" t="s">
        <v>15</v>
      </c>
    </row>
    <row r="46" spans="1:19" x14ac:dyDescent="0.15">
      <c r="A46" t="str">
        <f t="shared" si="2"/>
        <v>|Lv20|2|1|-1|0|1|</v>
      </c>
      <c r="B46" t="s">
        <v>3</v>
      </c>
      <c r="C46" t="s">
        <v>8</v>
      </c>
      <c r="D46">
        <v>20</v>
      </c>
      <c r="E46" t="s">
        <v>3</v>
      </c>
      <c r="F46" t="str">
        <f t="shared" si="3"/>
        <v>赤</v>
      </c>
      <c r="G46" t="s">
        <v>3</v>
      </c>
      <c r="H46">
        <f t="shared" si="5"/>
        <v>2</v>
      </c>
      <c r="I46" t="str">
        <f t="shared" si="4"/>
        <v>|</v>
      </c>
      <c r="J46">
        <f t="shared" si="5"/>
        <v>1</v>
      </c>
      <c r="K46" t="str">
        <f t="shared" si="4"/>
        <v>|</v>
      </c>
      <c r="L46">
        <f t="shared" si="5"/>
        <v>-1</v>
      </c>
      <c r="M46" t="str">
        <f t="shared" si="4"/>
        <v>|</v>
      </c>
      <c r="N46">
        <f t="shared" si="5"/>
        <v>0</v>
      </c>
      <c r="O46" t="str">
        <f t="shared" si="4"/>
        <v>|</v>
      </c>
      <c r="P46">
        <f>P45+IF(P$41=$F46,1,0)</f>
        <v>1</v>
      </c>
      <c r="Q46" t="str">
        <f t="shared" si="4"/>
        <v>|</v>
      </c>
    </row>
    <row r="47" spans="1:19" x14ac:dyDescent="0.15">
      <c r="A47" t="str">
        <f t="shared" si="2"/>
        <v>|Lv26|2|1|0|0|1|</v>
      </c>
      <c r="B47" t="s">
        <v>3</v>
      </c>
      <c r="C47" t="s">
        <v>8</v>
      </c>
      <c r="D47">
        <v>26</v>
      </c>
      <c r="E47" t="s">
        <v>3</v>
      </c>
      <c r="F47" t="str">
        <f t="shared" si="3"/>
        <v>黒</v>
      </c>
      <c r="G47" t="s">
        <v>3</v>
      </c>
      <c r="H47">
        <f t="shared" si="5"/>
        <v>2</v>
      </c>
      <c r="I47" t="str">
        <f t="shared" si="4"/>
        <v>|</v>
      </c>
      <c r="J47">
        <f t="shared" si="5"/>
        <v>1</v>
      </c>
      <c r="K47" t="str">
        <f t="shared" si="4"/>
        <v>|</v>
      </c>
      <c r="L47">
        <f t="shared" si="5"/>
        <v>0</v>
      </c>
      <c r="M47" t="str">
        <f t="shared" si="4"/>
        <v>|</v>
      </c>
      <c r="N47">
        <f t="shared" si="5"/>
        <v>0</v>
      </c>
      <c r="O47" t="str">
        <f t="shared" si="4"/>
        <v>|</v>
      </c>
      <c r="P47">
        <f t="shared" si="5"/>
        <v>1</v>
      </c>
      <c r="Q47" t="str">
        <f t="shared" si="4"/>
        <v>|</v>
      </c>
    </row>
    <row r="48" spans="1:19" x14ac:dyDescent="0.15">
      <c r="A48" t="str">
        <f t="shared" si="2"/>
        <v>|Lv32|3|1|0|0|1|</v>
      </c>
      <c r="B48" t="s">
        <v>3</v>
      </c>
      <c r="C48" t="s">
        <v>8</v>
      </c>
      <c r="D48">
        <v>32</v>
      </c>
      <c r="E48" t="s">
        <v>3</v>
      </c>
      <c r="F48" t="str">
        <f t="shared" si="3"/>
        <v>白</v>
      </c>
      <c r="G48" t="s">
        <v>3</v>
      </c>
      <c r="H48">
        <f t="shared" si="5"/>
        <v>3</v>
      </c>
      <c r="I48" t="str">
        <f t="shared" si="4"/>
        <v>|</v>
      </c>
      <c r="J48">
        <f t="shared" si="5"/>
        <v>1</v>
      </c>
      <c r="K48" t="str">
        <f t="shared" si="4"/>
        <v>|</v>
      </c>
      <c r="L48">
        <f t="shared" si="5"/>
        <v>0</v>
      </c>
      <c r="M48" t="str">
        <f t="shared" si="4"/>
        <v>|</v>
      </c>
      <c r="N48">
        <f t="shared" si="5"/>
        <v>0</v>
      </c>
      <c r="O48" t="str">
        <f t="shared" si="4"/>
        <v>|</v>
      </c>
      <c r="P48">
        <f t="shared" si="5"/>
        <v>1</v>
      </c>
      <c r="Q48" t="str">
        <f t="shared" si="4"/>
        <v>|</v>
      </c>
    </row>
    <row r="49" spans="1:19" x14ac:dyDescent="0.15">
      <c r="A49" t="str">
        <f t="shared" si="2"/>
        <v>|Lv38|3|2|0|0|1|</v>
      </c>
      <c r="B49" t="s">
        <v>3</v>
      </c>
      <c r="C49" t="s">
        <v>8</v>
      </c>
      <c r="D49">
        <v>38</v>
      </c>
      <c r="E49" t="s">
        <v>3</v>
      </c>
      <c r="F49" t="str">
        <f t="shared" si="3"/>
        <v>青</v>
      </c>
      <c r="G49" t="s">
        <v>3</v>
      </c>
      <c r="H49">
        <f t="shared" si="5"/>
        <v>3</v>
      </c>
      <c r="I49" t="str">
        <f t="shared" si="4"/>
        <v>|</v>
      </c>
      <c r="J49">
        <f t="shared" si="5"/>
        <v>2</v>
      </c>
      <c r="K49" t="str">
        <f t="shared" si="4"/>
        <v>|</v>
      </c>
      <c r="L49">
        <f t="shared" si="5"/>
        <v>0</v>
      </c>
      <c r="M49" t="str">
        <f t="shared" si="4"/>
        <v>|</v>
      </c>
      <c r="N49">
        <f t="shared" si="5"/>
        <v>0</v>
      </c>
      <c r="O49" t="str">
        <f t="shared" si="4"/>
        <v>|</v>
      </c>
      <c r="P49">
        <f>P48+IF(P$41=$F49,1,0)</f>
        <v>1</v>
      </c>
      <c r="Q49" t="str">
        <f t="shared" si="4"/>
        <v>|</v>
      </c>
    </row>
    <row r="50" spans="1:19" x14ac:dyDescent="0.15">
      <c r="A50" t="str">
        <f>B50&amp;C50&amp;D50&amp;G50&amp;H50&amp;I50&amp;J50&amp;K50&amp;L50&amp;M50&amp;N50&amp;O50&amp;P50&amp;Q50&amp;R50</f>
        <v>|Lv44|3|2|0|0|2|</v>
      </c>
      <c r="B50" t="s">
        <v>3</v>
      </c>
      <c r="C50" t="s">
        <v>8</v>
      </c>
      <c r="D50">
        <v>44</v>
      </c>
      <c r="E50" t="s">
        <v>3</v>
      </c>
      <c r="F50" t="str">
        <f t="shared" si="3"/>
        <v>緑</v>
      </c>
      <c r="G50" t="s">
        <v>3</v>
      </c>
      <c r="H50">
        <f t="shared" si="5"/>
        <v>3</v>
      </c>
      <c r="I50" t="str">
        <f t="shared" si="4"/>
        <v>|</v>
      </c>
      <c r="J50">
        <f t="shared" si="5"/>
        <v>2</v>
      </c>
      <c r="K50" t="str">
        <f t="shared" si="4"/>
        <v>|</v>
      </c>
      <c r="L50">
        <f t="shared" si="5"/>
        <v>0</v>
      </c>
      <c r="M50" t="str">
        <f t="shared" si="4"/>
        <v>|</v>
      </c>
      <c r="N50">
        <f t="shared" si="5"/>
        <v>0</v>
      </c>
      <c r="O50" t="str">
        <f t="shared" si="4"/>
        <v>|</v>
      </c>
      <c r="P50">
        <f>P49+IF(P$41=$F50,1,0)</f>
        <v>2</v>
      </c>
      <c r="Q50" t="str">
        <f t="shared" si="4"/>
        <v>|</v>
      </c>
    </row>
    <row r="51" spans="1:19" x14ac:dyDescent="0.15">
      <c r="A51" t="str">
        <f>B51&amp;C51&amp;D51&amp;E51&amp;F51&amp;G51&amp;H51&amp;I51&amp;J51&amp;K51&amp;L51&amp;M51&amp;N51&amp;O51&amp;P51</f>
        <v>&amp;br;</v>
      </c>
      <c r="B51" t="s">
        <v>0</v>
      </c>
    </row>
    <row r="52" spans="1:19" x14ac:dyDescent="0.15">
      <c r="A52" t="str">
        <f>B52&amp;C52&amp;D52&amp;E52&amp;F52&amp;G52&amp;H52&amp;I52&amp;J52&amp;K52&amp;L52&amp;M52&amp;N52&amp;O52&amp;P52</f>
        <v>&amp;br;</v>
      </c>
      <c r="B52" t="s">
        <v>0</v>
      </c>
    </row>
    <row r="53" spans="1:19" x14ac:dyDescent="0.15">
      <c r="A53" t="str">
        <f>B53&amp;C53&amp;D53&amp;E53&amp;F53&amp;G53&amp;H53&amp;I53&amp;J53&amp;K53&amp;L53&amp;M53&amp;N53&amp;O53&amp;P53</f>
        <v>*デッキ構築枚数上限 [#e6f382eb]</v>
      </c>
      <c r="B53" t="s">
        <v>16</v>
      </c>
    </row>
    <row r="54" spans="1:19" x14ac:dyDescent="0.15">
      <c r="A54" t="str">
        <f>B54&amp;C54&amp;D54&amp;E54&amp;F54&amp;G54&amp;H54&amp;I54&amp;J54&amp;K54&amp;L54&amp;M54&amp;N54&amp;O54&amp;P54</f>
        <v>構築枚数上限を越える枚数はデッキに入れられない。</v>
      </c>
      <c r="B54" t="s">
        <v>17</v>
      </c>
    </row>
    <row r="55" spans="1:19" x14ac:dyDescent="0.15">
      <c r="A55" t="str">
        <f t="shared" ref="A55:A64" si="6">B55&amp;C55&amp;D55&amp;G55&amp;H55&amp;I55&amp;J55&amp;K55&amp;L55&amp;M55&amp;N55&amp;O55&amp;P55&amp;Q55&amp;R55</f>
        <v>|LEFT:50|LEFT:80|LEFT:80|LEFT:80|c</v>
      </c>
      <c r="B55" t="s">
        <v>3</v>
      </c>
      <c r="C55" t="s">
        <v>4</v>
      </c>
      <c r="E55" t="s">
        <v>3</v>
      </c>
      <c r="G55" t="s">
        <v>3</v>
      </c>
      <c r="H55" t="s">
        <v>18</v>
      </c>
      <c r="I55" t="s">
        <v>3</v>
      </c>
      <c r="J55" t="s">
        <v>18</v>
      </c>
      <c r="K55" t="s">
        <v>3</v>
      </c>
      <c r="L55" t="s">
        <v>18</v>
      </c>
      <c r="M55" t="s">
        <v>3</v>
      </c>
      <c r="N55" t="s">
        <v>5</v>
      </c>
    </row>
    <row r="56" spans="1:19" x14ac:dyDescent="0.15">
      <c r="A56" t="str">
        <f t="shared" si="6"/>
        <v>|レベル|クリーチャー|呪文|サポート|</v>
      </c>
      <c r="B56" t="s">
        <v>3</v>
      </c>
      <c r="C56" t="s">
        <v>6</v>
      </c>
      <c r="E56" t="s">
        <v>3</v>
      </c>
      <c r="F56" t="s">
        <v>19</v>
      </c>
      <c r="G56" t="s">
        <v>3</v>
      </c>
      <c r="H56" t="s">
        <v>20</v>
      </c>
      <c r="I56" t="s">
        <v>3</v>
      </c>
      <c r="J56" t="s">
        <v>21</v>
      </c>
      <c r="K56" t="s">
        <v>3</v>
      </c>
      <c r="L56" t="s">
        <v>22</v>
      </c>
      <c r="M56" t="s">
        <v>3</v>
      </c>
      <c r="S56" t="s">
        <v>20</v>
      </c>
    </row>
    <row r="57" spans="1:19" x14ac:dyDescent="0.15">
      <c r="A57" t="str">
        <f t="shared" si="6"/>
        <v>|Lv1|3|5|2|</v>
      </c>
      <c r="B57" t="s">
        <v>3</v>
      </c>
      <c r="C57" t="s">
        <v>8</v>
      </c>
      <c r="D57">
        <v>1</v>
      </c>
      <c r="E57" t="s">
        <v>3</v>
      </c>
      <c r="G57" t="s">
        <v>3</v>
      </c>
      <c r="H57">
        <v>3</v>
      </c>
      <c r="I57" t="s">
        <v>3</v>
      </c>
      <c r="J57">
        <v>5</v>
      </c>
      <c r="K57" t="s">
        <v>3</v>
      </c>
      <c r="L57">
        <v>2</v>
      </c>
      <c r="M57" t="s">
        <v>3</v>
      </c>
      <c r="S57" t="s">
        <v>21</v>
      </c>
    </row>
    <row r="58" spans="1:19" x14ac:dyDescent="0.15">
      <c r="A58" t="str">
        <f t="shared" si="6"/>
        <v>|Lv4|3|7|2|</v>
      </c>
      <c r="B58" t="s">
        <v>3</v>
      </c>
      <c r="C58" t="s">
        <v>8</v>
      </c>
      <c r="D58">
        <v>4</v>
      </c>
      <c r="E58" t="s">
        <v>3</v>
      </c>
      <c r="F58" t="str">
        <f t="shared" ref="F58:F65" si="7">IF(ISBLANK(D58),"",INDEX($F$98:$F$157,D58))</f>
        <v>呪文</v>
      </c>
      <c r="G58" t="s">
        <v>3</v>
      </c>
      <c r="H58">
        <f t="shared" ref="H58:H65" si="8">H57+IF(H$56=$F58,INDEX($H$98:$H$157,D58),0)</f>
        <v>3</v>
      </c>
      <c r="I58" t="s">
        <v>3</v>
      </c>
      <c r="J58">
        <f t="shared" ref="J58:J65" si="9">J57+IF(J$56=$F58,INDEX($H$98:$H$157,D58),0)</f>
        <v>7</v>
      </c>
      <c r="K58" t="s">
        <v>3</v>
      </c>
      <c r="L58">
        <f t="shared" ref="L58:L65" si="10">L57+IF(L$56=$F58,INDEX($H$98:$H$157,D58),0)</f>
        <v>2</v>
      </c>
      <c r="M58" t="s">
        <v>3</v>
      </c>
      <c r="S58" t="s">
        <v>22</v>
      </c>
    </row>
    <row r="59" spans="1:19" x14ac:dyDescent="0.15">
      <c r="A59" t="str">
        <f t="shared" si="6"/>
        <v>|Lv10|3|7|4|</v>
      </c>
      <c r="B59" t="s">
        <v>3</v>
      </c>
      <c r="C59" t="s">
        <v>8</v>
      </c>
      <c r="D59">
        <v>10</v>
      </c>
      <c r="E59" t="s">
        <v>3</v>
      </c>
      <c r="F59" t="str">
        <f t="shared" si="7"/>
        <v>サポート</v>
      </c>
      <c r="G59" t="s">
        <v>3</v>
      </c>
      <c r="H59">
        <f t="shared" si="8"/>
        <v>3</v>
      </c>
      <c r="I59" t="s">
        <v>3</v>
      </c>
      <c r="J59">
        <f t="shared" si="9"/>
        <v>7</v>
      </c>
      <c r="K59" t="s">
        <v>3</v>
      </c>
      <c r="L59">
        <f t="shared" si="10"/>
        <v>4</v>
      </c>
      <c r="M59" t="s">
        <v>3</v>
      </c>
    </row>
    <row r="60" spans="1:19" x14ac:dyDescent="0.15">
      <c r="A60" t="str">
        <f t="shared" si="6"/>
        <v>|Lv16|4|7|4|</v>
      </c>
      <c r="B60" t="s">
        <v>3</v>
      </c>
      <c r="C60" t="s">
        <v>8</v>
      </c>
      <c r="D60">
        <v>16</v>
      </c>
      <c r="E60" t="s">
        <v>3</v>
      </c>
      <c r="F60" t="str">
        <f t="shared" si="7"/>
        <v>クリーチャー</v>
      </c>
      <c r="G60" t="s">
        <v>3</v>
      </c>
      <c r="H60">
        <f t="shared" si="8"/>
        <v>4</v>
      </c>
      <c r="I60" t="s">
        <v>3</v>
      </c>
      <c r="J60">
        <f t="shared" si="9"/>
        <v>7</v>
      </c>
      <c r="K60" t="s">
        <v>3</v>
      </c>
      <c r="L60">
        <f t="shared" si="10"/>
        <v>4</v>
      </c>
      <c r="M60" t="s">
        <v>3</v>
      </c>
    </row>
    <row r="61" spans="1:19" x14ac:dyDescent="0.15">
      <c r="A61" t="str">
        <f t="shared" si="6"/>
        <v>|Lv28|4|8|4|</v>
      </c>
      <c r="B61" t="s">
        <v>3</v>
      </c>
      <c r="C61" t="s">
        <v>8</v>
      </c>
      <c r="D61">
        <v>28</v>
      </c>
      <c r="E61" t="s">
        <v>3</v>
      </c>
      <c r="F61" t="str">
        <f t="shared" si="7"/>
        <v>呪文</v>
      </c>
      <c r="G61" t="s">
        <v>3</v>
      </c>
      <c r="H61">
        <f t="shared" si="8"/>
        <v>4</v>
      </c>
      <c r="I61" t="s">
        <v>3</v>
      </c>
      <c r="J61">
        <f t="shared" si="9"/>
        <v>8</v>
      </c>
      <c r="K61" t="s">
        <v>3</v>
      </c>
      <c r="L61">
        <f t="shared" si="10"/>
        <v>4</v>
      </c>
      <c r="M61" t="s">
        <v>3</v>
      </c>
    </row>
    <row r="62" spans="1:19" x14ac:dyDescent="0.15">
      <c r="A62" t="str">
        <f t="shared" si="6"/>
        <v>|Lv34|4|8|6|</v>
      </c>
      <c r="B62" t="s">
        <v>3</v>
      </c>
      <c r="C62" t="s">
        <v>8</v>
      </c>
      <c r="D62">
        <v>34</v>
      </c>
      <c r="E62" t="s">
        <v>3</v>
      </c>
      <c r="F62" t="str">
        <f t="shared" si="7"/>
        <v>サポート</v>
      </c>
      <c r="G62" t="s">
        <v>3</v>
      </c>
      <c r="H62">
        <f t="shared" si="8"/>
        <v>4</v>
      </c>
      <c r="I62" t="s">
        <v>3</v>
      </c>
      <c r="J62">
        <f t="shared" si="9"/>
        <v>8</v>
      </c>
      <c r="K62" t="s">
        <v>3</v>
      </c>
      <c r="L62">
        <f t="shared" si="10"/>
        <v>6</v>
      </c>
      <c r="M62" t="s">
        <v>3</v>
      </c>
    </row>
    <row r="63" spans="1:19" x14ac:dyDescent="0.15">
      <c r="A63" t="str">
        <f t="shared" si="6"/>
        <v>|Lv42|5|8|6|</v>
      </c>
      <c r="B63" t="s">
        <v>3</v>
      </c>
      <c r="C63" t="s">
        <v>8</v>
      </c>
      <c r="D63">
        <v>42</v>
      </c>
      <c r="E63" t="s">
        <v>3</v>
      </c>
      <c r="F63" t="str">
        <f t="shared" si="7"/>
        <v>クリーチャー</v>
      </c>
      <c r="G63" t="s">
        <v>3</v>
      </c>
      <c r="H63">
        <f t="shared" si="8"/>
        <v>5</v>
      </c>
      <c r="I63" t="s">
        <v>3</v>
      </c>
      <c r="J63">
        <f t="shared" si="9"/>
        <v>8</v>
      </c>
      <c r="K63" t="s">
        <v>3</v>
      </c>
      <c r="L63">
        <f t="shared" si="10"/>
        <v>6</v>
      </c>
      <c r="M63" t="s">
        <v>3</v>
      </c>
    </row>
    <row r="64" spans="1:19" x14ac:dyDescent="0.15">
      <c r="A64" t="str">
        <f t="shared" si="6"/>
        <v>|Lv50|5|9|6|</v>
      </c>
      <c r="B64" t="s">
        <v>3</v>
      </c>
      <c r="C64" t="s">
        <v>8</v>
      </c>
      <c r="D64">
        <v>50</v>
      </c>
      <c r="E64" t="s">
        <v>3</v>
      </c>
      <c r="F64" t="str">
        <f t="shared" si="7"/>
        <v>呪文</v>
      </c>
      <c r="G64" t="s">
        <v>3</v>
      </c>
      <c r="H64">
        <f t="shared" si="8"/>
        <v>5</v>
      </c>
      <c r="I64" t="s">
        <v>3</v>
      </c>
      <c r="J64">
        <f t="shared" si="9"/>
        <v>9</v>
      </c>
      <c r="K64" t="s">
        <v>3</v>
      </c>
      <c r="L64">
        <f t="shared" si="10"/>
        <v>6</v>
      </c>
      <c r="M64" t="s">
        <v>3</v>
      </c>
    </row>
    <row r="65" spans="1:18" x14ac:dyDescent="0.15">
      <c r="A65" t="str">
        <f>B65&amp;C65&amp;D65&amp;G65&amp;H65&amp;I65&amp;J65&amp;K65&amp;L65&amp;M65&amp;N65&amp;O65&amp;P65&amp;Q65&amp;R65</f>
        <v>|Lv54|5|9|7|</v>
      </c>
      <c r="B65" t="s">
        <v>3</v>
      </c>
      <c r="C65" t="s">
        <v>8</v>
      </c>
      <c r="D65">
        <v>54</v>
      </c>
      <c r="E65" t="s">
        <v>3</v>
      </c>
      <c r="F65" t="str">
        <f t="shared" si="7"/>
        <v>サポート</v>
      </c>
      <c r="G65" t="s">
        <v>3</v>
      </c>
      <c r="H65">
        <f t="shared" si="8"/>
        <v>5</v>
      </c>
      <c r="I65" t="s">
        <v>3</v>
      </c>
      <c r="J65">
        <f t="shared" si="9"/>
        <v>9</v>
      </c>
      <c r="K65" t="s">
        <v>3</v>
      </c>
      <c r="L65">
        <f t="shared" si="10"/>
        <v>7</v>
      </c>
      <c r="M65" t="s">
        <v>3</v>
      </c>
    </row>
    <row r="66" spans="1:18" x14ac:dyDescent="0.15">
      <c r="A66" t="str">
        <f t="shared" ref="A66:A87" si="11">B66&amp;C66&amp;D66&amp;E66&amp;F66&amp;G66&amp;H66&amp;I66&amp;J66&amp;K66&amp;L66&amp;M66&amp;N66&amp;O66&amp;P66</f>
        <v>&amp;br;</v>
      </c>
      <c r="B66" t="s">
        <v>0</v>
      </c>
    </row>
    <row r="67" spans="1:18" x14ac:dyDescent="0.15">
      <c r="A67" t="str">
        <f t="shared" si="11"/>
        <v>&amp;br;</v>
      </c>
      <c r="B67" t="s">
        <v>0</v>
      </c>
    </row>
    <row r="68" spans="1:18" x14ac:dyDescent="0.15">
      <c r="A68" t="str">
        <f t="shared" si="11"/>
        <v>*PW能力一覧 [#a469e89f]</v>
      </c>
      <c r="B68" t="s">
        <v>23</v>
      </c>
    </row>
    <row r="69" spans="1:18" x14ac:dyDescent="0.15">
      <c r="A69" t="str">
        <f t="shared" si="11"/>
        <v>**第1能力：散兵の召集/Echo of Gideon</v>
      </c>
      <c r="B69" t="s">
        <v>24</v>
      </c>
      <c r="D69" t="s">
        <v>131</v>
      </c>
      <c r="E69" t="s">
        <v>25</v>
      </c>
      <c r="F69" t="s">
        <v>132</v>
      </c>
      <c r="R69" t="str">
        <f>D69&amp;E69&amp;F69</f>
        <v>散兵の召集/Echo of Gideon</v>
      </c>
    </row>
    <row r="70" spans="1:18" x14ac:dyDescent="0.15">
      <c r="A70" t="str">
        <f t="shared" si="11"/>
        <v>|LEFT:50|LEFT:50|LEFT:50|LEFT:300|c</v>
      </c>
      <c r="B70" t="s">
        <v>3</v>
      </c>
      <c r="C70" t="s">
        <v>4</v>
      </c>
      <c r="E70" t="s">
        <v>3</v>
      </c>
      <c r="F70" t="s">
        <v>4</v>
      </c>
      <c r="G70" t="s">
        <v>3</v>
      </c>
      <c r="H70" t="s">
        <v>4</v>
      </c>
      <c r="I70" t="s">
        <v>3</v>
      </c>
      <c r="J70" t="s">
        <v>26</v>
      </c>
      <c r="K70" t="s">
        <v>3</v>
      </c>
      <c r="L70" t="s">
        <v>5</v>
      </c>
    </row>
    <row r="71" spans="1:18" x14ac:dyDescent="0.15">
      <c r="A71" t="str">
        <f t="shared" si="11"/>
        <v>|解放Lv|レベル|コスト|効果|</v>
      </c>
      <c r="B71" t="s">
        <v>3</v>
      </c>
      <c r="C71" t="s">
        <v>27</v>
      </c>
      <c r="E71" t="s">
        <v>3</v>
      </c>
      <c r="F71" t="s">
        <v>6</v>
      </c>
      <c r="G71" t="s">
        <v>3</v>
      </c>
      <c r="H71" t="s">
        <v>28</v>
      </c>
      <c r="I71" t="s">
        <v>3</v>
      </c>
      <c r="J71" t="s">
        <v>29</v>
      </c>
      <c r="K71" t="s">
        <v>3</v>
      </c>
    </row>
    <row r="72" spans="1:18" x14ac:dyDescent="0.15">
      <c r="A72" t="str">
        <f t="shared" si="11"/>
        <v>|Lv6|Lv1|6|速攻を持つ2/2の重装歩兵・トークンを1体召喚する。あなたのターン終了時に、それは死亡する。|</v>
      </c>
      <c r="B72" t="s">
        <v>3</v>
      </c>
      <c r="C72" t="s">
        <v>8</v>
      </c>
      <c r="D72">
        <v>6</v>
      </c>
      <c r="E72" t="s">
        <v>3</v>
      </c>
      <c r="F72" t="s">
        <v>30</v>
      </c>
      <c r="G72" t="s">
        <v>3</v>
      </c>
      <c r="H72">
        <v>6</v>
      </c>
      <c r="I72" t="s">
        <v>3</v>
      </c>
      <c r="J72" t="s">
        <v>133</v>
      </c>
      <c r="K72" t="s">
        <v>3</v>
      </c>
    </row>
    <row r="73" spans="1:18" x14ac:dyDescent="0.15">
      <c r="A73" t="str">
        <f t="shared" si="11"/>
        <v>|Lv24|Lv2|6|速攻を持つ3/3の重装歩兵・トークンを1体召喚する。あなたのターン終了時に、それは死亡する。|</v>
      </c>
      <c r="B73" t="s">
        <v>3</v>
      </c>
      <c r="C73" t="s">
        <v>8</v>
      </c>
      <c r="D73">
        <v>24</v>
      </c>
      <c r="E73" t="s">
        <v>3</v>
      </c>
      <c r="F73" t="s">
        <v>31</v>
      </c>
      <c r="G73" t="s">
        <v>3</v>
      </c>
      <c r="H73">
        <v>6</v>
      </c>
      <c r="I73" t="s">
        <v>3</v>
      </c>
      <c r="J73" t="s">
        <v>134</v>
      </c>
      <c r="K73" t="s">
        <v>3</v>
      </c>
    </row>
    <row r="74" spans="1:18" x14ac:dyDescent="0.15">
      <c r="A74" t="str">
        <f t="shared" si="11"/>
        <v>|Lv40|Lv3|6|速攻を持つ4/4の重装歩兵・トークンを1体召喚する。あなたのターン終了時に、それは死亡する。|</v>
      </c>
      <c r="B74" t="s">
        <v>3</v>
      </c>
      <c r="C74" t="s">
        <v>8</v>
      </c>
      <c r="D74">
        <v>40</v>
      </c>
      <c r="E74" t="s">
        <v>3</v>
      </c>
      <c r="F74" t="s">
        <v>32</v>
      </c>
      <c r="G74" t="s">
        <v>3</v>
      </c>
      <c r="H74">
        <v>6</v>
      </c>
      <c r="I74" t="s">
        <v>3</v>
      </c>
      <c r="J74" t="s">
        <v>135</v>
      </c>
      <c r="K74" t="s">
        <v>3</v>
      </c>
    </row>
    <row r="75" spans="1:18" x14ac:dyDescent="0.15">
      <c r="A75" t="str">
        <f t="shared" si="11"/>
        <v>|Lv56|Lv4|6|速攻と警戒を持つ4/4の重装歩兵・トークンを1体召喚する。あなたの次のターン開始時に、それは死亡する。|</v>
      </c>
      <c r="B75" t="s">
        <v>3</v>
      </c>
      <c r="C75" t="s">
        <v>8</v>
      </c>
      <c r="D75">
        <v>56</v>
      </c>
      <c r="E75" t="s">
        <v>3</v>
      </c>
      <c r="F75" t="s">
        <v>33</v>
      </c>
      <c r="G75" t="s">
        <v>3</v>
      </c>
      <c r="H75">
        <v>6</v>
      </c>
      <c r="I75" t="s">
        <v>3</v>
      </c>
      <c r="J75" t="s">
        <v>136</v>
      </c>
      <c r="K75" t="s">
        <v>3</v>
      </c>
    </row>
    <row r="76" spans="1:18" x14ac:dyDescent="0.15">
      <c r="A76" t="str">
        <f t="shared" si="11"/>
        <v>&amp;br;</v>
      </c>
      <c r="B76" t="s">
        <v>0</v>
      </c>
    </row>
    <row r="77" spans="1:18" x14ac:dyDescent="0.15">
      <c r="A77" t="str">
        <f t="shared" si="11"/>
        <v>&amp;br;</v>
      </c>
      <c r="B77" t="s">
        <v>0</v>
      </c>
    </row>
    <row r="78" spans="1:18" x14ac:dyDescent="0.15">
      <c r="A78" t="str">
        <f t="shared" si="11"/>
        <v>**第2能力：徴兵/Conscription</v>
      </c>
      <c r="B78" t="s">
        <v>34</v>
      </c>
      <c r="D78" t="s">
        <v>137</v>
      </c>
      <c r="E78" t="s">
        <v>25</v>
      </c>
      <c r="F78" t="s">
        <v>138</v>
      </c>
      <c r="R78" t="str">
        <f>D78&amp;E78&amp;F78</f>
        <v>徴兵/Conscription</v>
      </c>
    </row>
    <row r="79" spans="1:18" x14ac:dyDescent="0.15">
      <c r="A79" t="str">
        <f t="shared" si="11"/>
        <v>|LEFT:50|LEFT:50|LEFT:50|LEFT:300|c</v>
      </c>
      <c r="B79" t="s">
        <v>3</v>
      </c>
      <c r="C79" t="s">
        <v>4</v>
      </c>
      <c r="E79" t="s">
        <v>3</v>
      </c>
      <c r="F79" t="s">
        <v>4</v>
      </c>
      <c r="G79" t="s">
        <v>3</v>
      </c>
      <c r="H79" t="s">
        <v>4</v>
      </c>
      <c r="I79" t="s">
        <v>3</v>
      </c>
      <c r="J79" t="s">
        <v>26</v>
      </c>
      <c r="K79" t="s">
        <v>3</v>
      </c>
      <c r="L79" t="s">
        <v>5</v>
      </c>
    </row>
    <row r="80" spans="1:18" x14ac:dyDescent="0.15">
      <c r="A80" t="str">
        <f t="shared" si="11"/>
        <v>|解放Lv|レベル|コスト|効果|</v>
      </c>
      <c r="B80" t="s">
        <v>3</v>
      </c>
      <c r="C80" t="s">
        <v>27</v>
      </c>
      <c r="E80" t="s">
        <v>3</v>
      </c>
      <c r="F80" t="s">
        <v>6</v>
      </c>
      <c r="G80" t="s">
        <v>3</v>
      </c>
      <c r="H80" t="s">
        <v>28</v>
      </c>
      <c r="I80" t="s">
        <v>3</v>
      </c>
      <c r="J80" t="s">
        <v>29</v>
      </c>
      <c r="K80" t="s">
        <v>3</v>
      </c>
    </row>
    <row r="81" spans="1:18" x14ac:dyDescent="0.15">
      <c r="A81" t="str">
        <f t="shared" si="11"/>
        <v>|Lv12|Lv1|9|2/2の白の騎士・同盟者・トークンを1体召喚する。|</v>
      </c>
      <c r="B81" t="s">
        <v>3</v>
      </c>
      <c r="C81" t="s">
        <v>8</v>
      </c>
      <c r="D81">
        <v>12</v>
      </c>
      <c r="E81" t="s">
        <v>3</v>
      </c>
      <c r="F81" t="s">
        <v>30</v>
      </c>
      <c r="G81" t="s">
        <v>3</v>
      </c>
      <c r="H81">
        <v>9</v>
      </c>
      <c r="I81" t="s">
        <v>3</v>
      </c>
      <c r="J81" t="s">
        <v>139</v>
      </c>
      <c r="K81" t="s">
        <v>3</v>
      </c>
    </row>
    <row r="82" spans="1:18" x14ac:dyDescent="0.15">
      <c r="A82" t="str">
        <f t="shared" si="11"/>
        <v>|Lv30|Lv2|9|2/2の白の騎士・同盟者・トークンを2体召喚する。|</v>
      </c>
      <c r="B82" t="s">
        <v>3</v>
      </c>
      <c r="C82" t="s">
        <v>8</v>
      </c>
      <c r="D82">
        <v>30</v>
      </c>
      <c r="E82" t="s">
        <v>3</v>
      </c>
      <c r="F82" t="s">
        <v>31</v>
      </c>
      <c r="G82" t="s">
        <v>3</v>
      </c>
      <c r="H82">
        <v>9</v>
      </c>
      <c r="I82" t="s">
        <v>3</v>
      </c>
      <c r="J82" t="s">
        <v>140</v>
      </c>
      <c r="K82" t="s">
        <v>3</v>
      </c>
    </row>
    <row r="83" spans="1:18" x14ac:dyDescent="0.15">
      <c r="A83" t="str">
        <f t="shared" si="11"/>
        <v>|Lv46|Lv3|9|2/2の白の騎士・同盟者・トークンを3体召喚する。|</v>
      </c>
      <c r="B83" t="s">
        <v>3</v>
      </c>
      <c r="C83" t="s">
        <v>8</v>
      </c>
      <c r="D83">
        <v>46</v>
      </c>
      <c r="E83" t="s">
        <v>3</v>
      </c>
      <c r="F83" t="s">
        <v>32</v>
      </c>
      <c r="G83" t="s">
        <v>3</v>
      </c>
      <c r="H83">
        <v>9</v>
      </c>
      <c r="I83" t="s">
        <v>3</v>
      </c>
      <c r="J83" t="s">
        <v>141</v>
      </c>
      <c r="K83" t="s">
        <v>3</v>
      </c>
    </row>
    <row r="84" spans="1:18" x14ac:dyDescent="0.15">
      <c r="A84" t="str">
        <f t="shared" si="11"/>
        <v>|Lv58|Lv4|9|2/2の白の騎士・同盟者・トークンを4体召喚する。|</v>
      </c>
      <c r="B84" t="s">
        <v>3</v>
      </c>
      <c r="C84" t="s">
        <v>8</v>
      </c>
      <c r="D84">
        <v>58</v>
      </c>
      <c r="E84" t="s">
        <v>3</v>
      </c>
      <c r="F84" t="s">
        <v>33</v>
      </c>
      <c r="G84" t="s">
        <v>3</v>
      </c>
      <c r="H84">
        <v>9</v>
      </c>
      <c r="I84" t="s">
        <v>3</v>
      </c>
      <c r="J84" t="s">
        <v>142</v>
      </c>
      <c r="K84" t="s">
        <v>3</v>
      </c>
    </row>
    <row r="85" spans="1:18" x14ac:dyDescent="0.15">
      <c r="A85" t="str">
        <f t="shared" si="11"/>
        <v>&amp;br;</v>
      </c>
      <c r="B85" t="s">
        <v>0</v>
      </c>
    </row>
    <row r="86" spans="1:18" x14ac:dyDescent="0.15">
      <c r="A86" t="str">
        <f t="shared" si="11"/>
        <v>&amp;br;</v>
      </c>
      <c r="B86" t="s">
        <v>0</v>
      </c>
    </row>
    <row r="87" spans="1:18" x14ac:dyDescent="0.15">
      <c r="A87" t="str">
        <f t="shared" si="11"/>
        <v>**第3能力：軍の結集/Rally the Troops</v>
      </c>
      <c r="B87" t="s">
        <v>35</v>
      </c>
      <c r="D87" t="s">
        <v>143</v>
      </c>
      <c r="E87" t="s">
        <v>25</v>
      </c>
      <c r="F87" t="s">
        <v>144</v>
      </c>
      <c r="R87" t="str">
        <f>D87&amp;E87&amp;F87</f>
        <v>軍の結集/Rally the Troops</v>
      </c>
    </row>
    <row r="88" spans="1:18" x14ac:dyDescent="0.15">
      <c r="A88" t="str">
        <f t="shared" ref="A88:A151" si="12">B88&amp;C88&amp;D88&amp;E88&amp;F88&amp;G88&amp;H88&amp;I88&amp;J88&amp;K88&amp;L88&amp;M88&amp;N88&amp;O88&amp;P88</f>
        <v>|LEFT:50|LEFT:50|LEFT:50|LEFT:300|c</v>
      </c>
      <c r="B88" t="s">
        <v>3</v>
      </c>
      <c r="C88" t="s">
        <v>4</v>
      </c>
      <c r="E88" t="s">
        <v>3</v>
      </c>
      <c r="F88" t="s">
        <v>4</v>
      </c>
      <c r="G88" t="s">
        <v>3</v>
      </c>
      <c r="H88" t="s">
        <v>4</v>
      </c>
      <c r="I88" t="s">
        <v>3</v>
      </c>
      <c r="J88" t="s">
        <v>26</v>
      </c>
      <c r="K88" t="s">
        <v>3</v>
      </c>
      <c r="L88" t="s">
        <v>5</v>
      </c>
    </row>
    <row r="89" spans="1:18" x14ac:dyDescent="0.15">
      <c r="A89" t="str">
        <f t="shared" si="12"/>
        <v>|解放Lv|レベル|コスト|効果|</v>
      </c>
      <c r="B89" t="s">
        <v>3</v>
      </c>
      <c r="C89" t="s">
        <v>27</v>
      </c>
      <c r="E89" t="s">
        <v>3</v>
      </c>
      <c r="F89" t="s">
        <v>6</v>
      </c>
      <c r="G89" t="s">
        <v>3</v>
      </c>
      <c r="H89" t="s">
        <v>28</v>
      </c>
      <c r="I89" t="s">
        <v>3</v>
      </c>
      <c r="J89" t="s">
        <v>29</v>
      </c>
      <c r="K89" t="s">
        <v>3</v>
      </c>
    </row>
    <row r="90" spans="1:18" x14ac:dyDescent="0.15">
      <c r="A90" t="str">
        <f t="shared" si="12"/>
        <v>|Lv18|Lv1|12|あなたがコントロールする各同盟者・クリーチャーに+2/+2の修整を与える。|</v>
      </c>
      <c r="B90" t="s">
        <v>3</v>
      </c>
      <c r="C90" t="s">
        <v>8</v>
      </c>
      <c r="D90">
        <v>18</v>
      </c>
      <c r="E90" t="s">
        <v>3</v>
      </c>
      <c r="F90" t="s">
        <v>30</v>
      </c>
      <c r="G90" t="s">
        <v>3</v>
      </c>
      <c r="H90">
        <v>12</v>
      </c>
      <c r="I90" t="s">
        <v>3</v>
      </c>
      <c r="J90" t="s">
        <v>145</v>
      </c>
      <c r="K90" t="s">
        <v>3</v>
      </c>
    </row>
    <row r="91" spans="1:18" x14ac:dyDescent="0.15">
      <c r="A91" t="str">
        <f t="shared" si="12"/>
        <v>|Lv36|Lv2|12|あなたがコントロールする各同盟者・クリーチャーに+3/+3の修整を与える。|</v>
      </c>
      <c r="B91" t="s">
        <v>3</v>
      </c>
      <c r="C91" t="s">
        <v>8</v>
      </c>
      <c r="D91">
        <v>36</v>
      </c>
      <c r="E91" t="s">
        <v>3</v>
      </c>
      <c r="F91" t="s">
        <v>31</v>
      </c>
      <c r="G91" t="s">
        <v>3</v>
      </c>
      <c r="H91">
        <v>12</v>
      </c>
      <c r="I91" t="s">
        <v>3</v>
      </c>
      <c r="J91" t="s">
        <v>146</v>
      </c>
      <c r="K91" t="s">
        <v>3</v>
      </c>
    </row>
    <row r="92" spans="1:18" x14ac:dyDescent="0.15">
      <c r="A92" t="str">
        <f t="shared" si="12"/>
        <v>|Lv52|Lv3|12|あなたがコントロールする各同盟者・クリーチャーに+4/+4の修整を与える。|</v>
      </c>
      <c r="B92" t="s">
        <v>3</v>
      </c>
      <c r="C92" t="s">
        <v>8</v>
      </c>
      <c r="D92">
        <v>52</v>
      </c>
      <c r="E92" t="s">
        <v>3</v>
      </c>
      <c r="F92" t="s">
        <v>32</v>
      </c>
      <c r="G92" t="s">
        <v>3</v>
      </c>
      <c r="H92">
        <v>12</v>
      </c>
      <c r="I92" t="s">
        <v>3</v>
      </c>
      <c r="J92" t="s">
        <v>147</v>
      </c>
      <c r="K92" t="s">
        <v>3</v>
      </c>
    </row>
    <row r="93" spans="1:18" x14ac:dyDescent="0.15">
      <c r="A93" t="str">
        <f t="shared" si="12"/>
        <v>|Lv60|Lv4|12|あなたがコントロールする各同盟者・クリーチャーに+5/+5の修整を与える。|</v>
      </c>
      <c r="B93" t="s">
        <v>3</v>
      </c>
      <c r="C93" t="s">
        <v>8</v>
      </c>
      <c r="D93">
        <v>60</v>
      </c>
      <c r="E93" t="s">
        <v>3</v>
      </c>
      <c r="F93" t="s">
        <v>33</v>
      </c>
      <c r="G93" t="s">
        <v>3</v>
      </c>
      <c r="H93">
        <v>12</v>
      </c>
      <c r="I93" t="s">
        <v>3</v>
      </c>
      <c r="J93" t="s">
        <v>148</v>
      </c>
      <c r="K93" t="s">
        <v>3</v>
      </c>
    </row>
    <row r="94" spans="1:18" x14ac:dyDescent="0.15">
      <c r="A94" t="str">
        <f t="shared" si="12"/>
        <v>&amp;br;</v>
      </c>
      <c r="B94" t="s">
        <v>0</v>
      </c>
    </row>
    <row r="95" spans="1:18" x14ac:dyDescent="0.15">
      <c r="A95" t="str">
        <f t="shared" si="12"/>
        <v>&amp;br;</v>
      </c>
      <c r="B95" t="s">
        <v>0</v>
      </c>
    </row>
    <row r="96" spans="1:18" x14ac:dyDescent="0.15">
      <c r="A96" t="str">
        <f t="shared" si="12"/>
        <v>*レベルアップ報酬一覧 [#k0cef29c]</v>
      </c>
      <c r="B96" t="s">
        <v>36</v>
      </c>
    </row>
    <row r="97" spans="1:17" x14ac:dyDescent="0.15">
      <c r="A97" t="str">
        <f t="shared" si="12"/>
        <v>|LEFT:50|LEFT:100|c</v>
      </c>
      <c r="B97" t="s">
        <v>3</v>
      </c>
      <c r="C97" t="s">
        <v>4</v>
      </c>
      <c r="E97" t="s">
        <v>3</v>
      </c>
      <c r="F97" t="s">
        <v>37</v>
      </c>
      <c r="I97" t="s">
        <v>3</v>
      </c>
      <c r="J97" t="s">
        <v>5</v>
      </c>
    </row>
    <row r="98" spans="1:17" x14ac:dyDescent="0.15">
      <c r="A98" t="str">
        <f t="shared" si="12"/>
        <v>|レベル|報酬|</v>
      </c>
      <c r="B98" t="s">
        <v>3</v>
      </c>
      <c r="C98" t="s">
        <v>6</v>
      </c>
      <c r="E98" t="s">
        <v>3</v>
      </c>
      <c r="F98" t="s">
        <v>38</v>
      </c>
      <c r="I98" t="s">
        <v>3</v>
      </c>
      <c r="Q98" t="s">
        <v>7</v>
      </c>
    </row>
    <row r="99" spans="1:17" x14ac:dyDescent="0.15">
      <c r="A99" t="str">
        <f t="shared" si="12"/>
        <v>|Lｖ2|白+1|</v>
      </c>
      <c r="B99" t="s">
        <v>3</v>
      </c>
      <c r="C99" t="s">
        <v>39</v>
      </c>
      <c r="D99">
        <v>2</v>
      </c>
      <c r="E99" t="s">
        <v>3</v>
      </c>
      <c r="F99" t="s">
        <v>11</v>
      </c>
      <c r="G99" t="str">
        <f>IF(OR(F99=$Q$107,F99=$Q$108,F99=$Q$109,F99=$Q$110,ISBLANK(F99)),"","+")</f>
        <v>+</v>
      </c>
      <c r="H99">
        <v>1</v>
      </c>
      <c r="I99" t="s">
        <v>3</v>
      </c>
      <c r="Q99" t="s">
        <v>20</v>
      </c>
    </row>
    <row r="100" spans="1:17" x14ac:dyDescent="0.15">
      <c r="A100" t="str">
        <f t="shared" si="12"/>
        <v>|Lｖ3|HP+2|</v>
      </c>
      <c r="B100" t="s">
        <v>3</v>
      </c>
      <c r="C100" t="s">
        <v>39</v>
      </c>
      <c r="D100">
        <v>3</v>
      </c>
      <c r="E100" t="s">
        <v>3</v>
      </c>
      <c r="F100" t="s">
        <v>7</v>
      </c>
      <c r="G100" t="str">
        <f t="shared" ref="G100:G157" si="13">IF(OR(F100=$Q$107,F100=$Q$108,F100=$Q$109,F100=$Q$110,ISBLANK(F100)),"","+")</f>
        <v>+</v>
      </c>
      <c r="H100">
        <v>2</v>
      </c>
      <c r="I100" t="s">
        <v>3</v>
      </c>
      <c r="Q100" t="s">
        <v>21</v>
      </c>
    </row>
    <row r="101" spans="1:17" x14ac:dyDescent="0.15">
      <c r="A101" t="str">
        <f t="shared" si="12"/>
        <v>|Lｖ4|呪文+2|</v>
      </c>
      <c r="B101" t="s">
        <v>3</v>
      </c>
      <c r="C101" t="s">
        <v>39</v>
      </c>
      <c r="D101">
        <v>4</v>
      </c>
      <c r="E101" t="s">
        <v>3</v>
      </c>
      <c r="F101" t="s">
        <v>21</v>
      </c>
      <c r="G101" t="str">
        <f t="shared" si="13"/>
        <v>+</v>
      </c>
      <c r="H101">
        <v>2</v>
      </c>
      <c r="I101" t="s">
        <v>3</v>
      </c>
      <c r="Q101" t="s">
        <v>22</v>
      </c>
    </row>
    <row r="102" spans="1:17" x14ac:dyDescent="0.15">
      <c r="A102" t="str">
        <f t="shared" si="12"/>
        <v>|Lｖ5|HP+3|</v>
      </c>
      <c r="B102" t="s">
        <v>3</v>
      </c>
      <c r="C102" t="s">
        <v>39</v>
      </c>
      <c r="D102">
        <v>5</v>
      </c>
      <c r="E102" t="s">
        <v>3</v>
      </c>
      <c r="F102" t="s">
        <v>7</v>
      </c>
      <c r="G102" t="str">
        <f t="shared" si="13"/>
        <v>+</v>
      </c>
      <c r="H102">
        <v>3</v>
      </c>
      <c r="I102" t="s">
        <v>3</v>
      </c>
      <c r="Q102" t="s">
        <v>11</v>
      </c>
    </row>
    <row r="103" spans="1:17" x14ac:dyDescent="0.15">
      <c r="A103" t="str">
        <f t="shared" si="12"/>
        <v>|Lｖ6|第1能力Lv1|</v>
      </c>
      <c r="B103" t="s">
        <v>3</v>
      </c>
      <c r="C103" t="s">
        <v>39</v>
      </c>
      <c r="D103">
        <v>6</v>
      </c>
      <c r="E103" t="s">
        <v>3</v>
      </c>
      <c r="F103" t="s">
        <v>40</v>
      </c>
      <c r="G103" t="str">
        <f t="shared" si="13"/>
        <v/>
      </c>
      <c r="H103">
        <v>1</v>
      </c>
      <c r="I103" t="s">
        <v>3</v>
      </c>
      <c r="Q103" t="s">
        <v>12</v>
      </c>
    </row>
    <row r="104" spans="1:17" x14ac:dyDescent="0.15">
      <c r="A104" t="str">
        <f t="shared" si="12"/>
        <v>|Lｖ7|HP+2|</v>
      </c>
      <c r="B104" t="s">
        <v>3</v>
      </c>
      <c r="C104" t="s">
        <v>39</v>
      </c>
      <c r="D104">
        <v>7</v>
      </c>
      <c r="E104" t="s">
        <v>3</v>
      </c>
      <c r="F104" t="s">
        <v>7</v>
      </c>
      <c r="G104" t="str">
        <f t="shared" si="13"/>
        <v>+</v>
      </c>
      <c r="H104">
        <v>2</v>
      </c>
      <c r="I104" t="s">
        <v>3</v>
      </c>
      <c r="Q104" t="s">
        <v>13</v>
      </c>
    </row>
    <row r="105" spans="1:17" x14ac:dyDescent="0.15">
      <c r="A105" t="str">
        <f t="shared" si="12"/>
        <v>|Lｖ8|青+1|</v>
      </c>
      <c r="B105" t="s">
        <v>3</v>
      </c>
      <c r="C105" t="s">
        <v>39</v>
      </c>
      <c r="D105">
        <v>8</v>
      </c>
      <c r="E105" t="s">
        <v>3</v>
      </c>
      <c r="F105" t="s">
        <v>12</v>
      </c>
      <c r="G105" t="str">
        <f t="shared" si="13"/>
        <v>+</v>
      </c>
      <c r="H105">
        <v>1</v>
      </c>
      <c r="I105" t="s">
        <v>3</v>
      </c>
      <c r="Q105" t="s">
        <v>14</v>
      </c>
    </row>
    <row r="106" spans="1:17" x14ac:dyDescent="0.15">
      <c r="A106" t="str">
        <f t="shared" si="12"/>
        <v>|Lｖ9|HP+3|</v>
      </c>
      <c r="B106" t="s">
        <v>3</v>
      </c>
      <c r="C106" t="s">
        <v>39</v>
      </c>
      <c r="D106">
        <v>9</v>
      </c>
      <c r="E106" t="s">
        <v>3</v>
      </c>
      <c r="F106" t="s">
        <v>7</v>
      </c>
      <c r="G106" t="str">
        <f t="shared" si="13"/>
        <v>+</v>
      </c>
      <c r="H106">
        <v>3</v>
      </c>
      <c r="I106" t="s">
        <v>3</v>
      </c>
      <c r="Q106" t="s">
        <v>15</v>
      </c>
    </row>
    <row r="107" spans="1:17" x14ac:dyDescent="0.15">
      <c r="A107" t="str">
        <f t="shared" si="12"/>
        <v>|Lｖ10|サポート+2|</v>
      </c>
      <c r="B107" t="s">
        <v>3</v>
      </c>
      <c r="C107" t="s">
        <v>39</v>
      </c>
      <c r="D107">
        <v>10</v>
      </c>
      <c r="E107" t="s">
        <v>3</v>
      </c>
      <c r="F107" t="s">
        <v>22</v>
      </c>
      <c r="G107" t="str">
        <f t="shared" si="13"/>
        <v>+</v>
      </c>
      <c r="H107">
        <v>2</v>
      </c>
      <c r="I107" t="s">
        <v>3</v>
      </c>
      <c r="Q107" t="s">
        <v>40</v>
      </c>
    </row>
    <row r="108" spans="1:17" x14ac:dyDescent="0.15">
      <c r="A108" t="str">
        <f t="shared" si="12"/>
        <v>|Lｖ11|HP+2|</v>
      </c>
      <c r="B108" t="s">
        <v>3</v>
      </c>
      <c r="C108" t="s">
        <v>39</v>
      </c>
      <c r="D108">
        <v>11</v>
      </c>
      <c r="E108" t="s">
        <v>3</v>
      </c>
      <c r="F108" t="s">
        <v>7</v>
      </c>
      <c r="G108" t="str">
        <f t="shared" si="13"/>
        <v>+</v>
      </c>
      <c r="H108">
        <v>2</v>
      </c>
      <c r="I108" t="s">
        <v>3</v>
      </c>
      <c r="Q108" t="s">
        <v>41</v>
      </c>
    </row>
    <row r="109" spans="1:17" x14ac:dyDescent="0.15">
      <c r="A109" t="str">
        <f t="shared" si="12"/>
        <v>|Lｖ12|第2能力Lv1|</v>
      </c>
      <c r="B109" t="s">
        <v>3</v>
      </c>
      <c r="C109" t="s">
        <v>39</v>
      </c>
      <c r="D109">
        <v>12</v>
      </c>
      <c r="E109" t="s">
        <v>3</v>
      </c>
      <c r="F109" t="s">
        <v>41</v>
      </c>
      <c r="G109" t="str">
        <f t="shared" si="13"/>
        <v/>
      </c>
      <c r="H109">
        <v>1</v>
      </c>
      <c r="I109" t="s">
        <v>3</v>
      </c>
      <c r="Q109" t="s">
        <v>42</v>
      </c>
    </row>
    <row r="110" spans="1:17" x14ac:dyDescent="0.15">
      <c r="A110" t="str">
        <f t="shared" si="12"/>
        <v>|Lｖ13|HP+3|</v>
      </c>
      <c r="B110" t="s">
        <v>3</v>
      </c>
      <c r="C110" t="s">
        <v>39</v>
      </c>
      <c r="D110">
        <v>13</v>
      </c>
      <c r="E110" t="s">
        <v>3</v>
      </c>
      <c r="F110" t="s">
        <v>7</v>
      </c>
      <c r="G110" t="str">
        <f t="shared" si="13"/>
        <v>+</v>
      </c>
      <c r="H110">
        <v>3</v>
      </c>
      <c r="I110" t="s">
        <v>3</v>
      </c>
      <c r="Q110" t="s">
        <v>43</v>
      </c>
    </row>
    <row r="111" spans="1:17" x14ac:dyDescent="0.15">
      <c r="A111" t="str">
        <f t="shared" si="12"/>
        <v>|Lｖ14|緑+1|</v>
      </c>
      <c r="B111" t="s">
        <v>3</v>
      </c>
      <c r="C111" t="s">
        <v>39</v>
      </c>
      <c r="D111">
        <v>14</v>
      </c>
      <c r="E111" t="s">
        <v>3</v>
      </c>
      <c r="F111" t="s">
        <v>15</v>
      </c>
      <c r="G111" t="str">
        <f t="shared" si="13"/>
        <v>+</v>
      </c>
      <c r="H111">
        <v>1</v>
      </c>
      <c r="I111" t="s">
        <v>3</v>
      </c>
    </row>
    <row r="112" spans="1:17" x14ac:dyDescent="0.15">
      <c r="A112" t="str">
        <f t="shared" si="12"/>
        <v>|Lｖ15|HP+2|</v>
      </c>
      <c r="B112" t="s">
        <v>3</v>
      </c>
      <c r="C112" t="s">
        <v>39</v>
      </c>
      <c r="D112">
        <v>15</v>
      </c>
      <c r="E112" t="s">
        <v>3</v>
      </c>
      <c r="F112" t="s">
        <v>7</v>
      </c>
      <c r="G112" t="str">
        <f t="shared" si="13"/>
        <v>+</v>
      </c>
      <c r="H112">
        <v>2</v>
      </c>
      <c r="I112" t="s">
        <v>3</v>
      </c>
    </row>
    <row r="113" spans="1:9" x14ac:dyDescent="0.15">
      <c r="A113" t="str">
        <f t="shared" si="12"/>
        <v>|Lｖ16|クリーチャー+1|</v>
      </c>
      <c r="B113" t="s">
        <v>3</v>
      </c>
      <c r="C113" t="s">
        <v>39</v>
      </c>
      <c r="D113">
        <v>16</v>
      </c>
      <c r="E113" t="s">
        <v>3</v>
      </c>
      <c r="F113" t="s">
        <v>20</v>
      </c>
      <c r="G113" t="str">
        <f t="shared" si="13"/>
        <v>+</v>
      </c>
      <c r="H113">
        <v>1</v>
      </c>
      <c r="I113" t="s">
        <v>3</v>
      </c>
    </row>
    <row r="114" spans="1:9" x14ac:dyDescent="0.15">
      <c r="A114" t="str">
        <f t="shared" si="12"/>
        <v>|Lｖ17|HP+3|</v>
      </c>
      <c r="B114" t="s">
        <v>3</v>
      </c>
      <c r="C114" t="s">
        <v>39</v>
      </c>
      <c r="D114">
        <v>17</v>
      </c>
      <c r="E114" t="s">
        <v>3</v>
      </c>
      <c r="F114" t="s">
        <v>7</v>
      </c>
      <c r="G114" t="str">
        <f t="shared" si="13"/>
        <v>+</v>
      </c>
      <c r="H114">
        <v>3</v>
      </c>
      <c r="I114" t="s">
        <v>3</v>
      </c>
    </row>
    <row r="115" spans="1:9" x14ac:dyDescent="0.15">
      <c r="A115" t="str">
        <f t="shared" si="12"/>
        <v>|Lｖ18|第3能力Lv1|</v>
      </c>
      <c r="B115" t="s">
        <v>3</v>
      </c>
      <c r="C115" t="s">
        <v>39</v>
      </c>
      <c r="D115">
        <v>18</v>
      </c>
      <c r="E115" t="s">
        <v>3</v>
      </c>
      <c r="F115" t="s">
        <v>42</v>
      </c>
      <c r="G115" t="str">
        <f t="shared" si="13"/>
        <v/>
      </c>
      <c r="H115">
        <v>1</v>
      </c>
      <c r="I115" t="s">
        <v>3</v>
      </c>
    </row>
    <row r="116" spans="1:9" x14ac:dyDescent="0.15">
      <c r="A116" t="str">
        <f t="shared" si="12"/>
        <v>|Lｖ19|HP+2|</v>
      </c>
      <c r="B116" t="s">
        <v>3</v>
      </c>
      <c r="C116" t="s">
        <v>39</v>
      </c>
      <c r="D116">
        <v>19</v>
      </c>
      <c r="E116" t="s">
        <v>3</v>
      </c>
      <c r="F116" t="s">
        <v>7</v>
      </c>
      <c r="G116" t="str">
        <f t="shared" si="13"/>
        <v>+</v>
      </c>
      <c r="H116">
        <v>2</v>
      </c>
      <c r="I116" t="s">
        <v>3</v>
      </c>
    </row>
    <row r="117" spans="1:9" x14ac:dyDescent="0.15">
      <c r="A117" t="str">
        <f t="shared" si="12"/>
        <v>|Lｖ20|赤+1|</v>
      </c>
      <c r="B117" t="s">
        <v>3</v>
      </c>
      <c r="C117" t="s">
        <v>39</v>
      </c>
      <c r="D117">
        <v>20</v>
      </c>
      <c r="E117" t="s">
        <v>3</v>
      </c>
      <c r="F117" t="s">
        <v>14</v>
      </c>
      <c r="G117" t="str">
        <f t="shared" si="13"/>
        <v>+</v>
      </c>
      <c r="H117">
        <v>1</v>
      </c>
      <c r="I117" t="s">
        <v>3</v>
      </c>
    </row>
    <row r="118" spans="1:9" x14ac:dyDescent="0.15">
      <c r="A118" t="str">
        <f t="shared" si="12"/>
        <v>|Lｖ21|HP+3|</v>
      </c>
      <c r="B118" t="s">
        <v>3</v>
      </c>
      <c r="C118" t="s">
        <v>39</v>
      </c>
      <c r="D118">
        <v>21</v>
      </c>
      <c r="E118" t="s">
        <v>3</v>
      </c>
      <c r="F118" t="s">
        <v>7</v>
      </c>
      <c r="G118" t="str">
        <f t="shared" si="13"/>
        <v>+</v>
      </c>
      <c r="H118">
        <v>3</v>
      </c>
      <c r="I118" t="s">
        <v>3</v>
      </c>
    </row>
    <row r="119" spans="1:9" x14ac:dyDescent="0.15">
      <c r="A119" t="str">
        <f t="shared" si="12"/>
        <v>|Lｖ22|回復速度上昇|</v>
      </c>
      <c r="B119" t="s">
        <v>3</v>
      </c>
      <c r="C119" t="s">
        <v>39</v>
      </c>
      <c r="D119">
        <v>22</v>
      </c>
      <c r="E119" t="s">
        <v>3</v>
      </c>
      <c r="F119" t="s">
        <v>43</v>
      </c>
      <c r="G119" t="str">
        <f t="shared" si="13"/>
        <v/>
      </c>
      <c r="I119" t="s">
        <v>3</v>
      </c>
    </row>
    <row r="120" spans="1:9" x14ac:dyDescent="0.15">
      <c r="A120" t="str">
        <f t="shared" si="12"/>
        <v>|Lｖ23|HP+2|</v>
      </c>
      <c r="B120" t="s">
        <v>3</v>
      </c>
      <c r="C120" t="s">
        <v>39</v>
      </c>
      <c r="D120">
        <v>23</v>
      </c>
      <c r="E120" t="s">
        <v>3</v>
      </c>
      <c r="F120" t="s">
        <v>7</v>
      </c>
      <c r="G120" t="str">
        <f t="shared" si="13"/>
        <v>+</v>
      </c>
      <c r="H120">
        <v>2</v>
      </c>
      <c r="I120" t="s">
        <v>3</v>
      </c>
    </row>
    <row r="121" spans="1:9" x14ac:dyDescent="0.15">
      <c r="A121" t="str">
        <f t="shared" si="12"/>
        <v>|Lｖ24|第1能力Lv2|</v>
      </c>
      <c r="B121" t="s">
        <v>3</v>
      </c>
      <c r="C121" t="s">
        <v>39</v>
      </c>
      <c r="D121">
        <v>24</v>
      </c>
      <c r="E121" t="s">
        <v>3</v>
      </c>
      <c r="F121" t="s">
        <v>40</v>
      </c>
      <c r="G121" t="str">
        <f t="shared" si="13"/>
        <v/>
      </c>
      <c r="H121">
        <v>2</v>
      </c>
      <c r="I121" t="s">
        <v>3</v>
      </c>
    </row>
    <row r="122" spans="1:9" x14ac:dyDescent="0.15">
      <c r="A122" t="str">
        <f t="shared" si="12"/>
        <v>|Lｖ25|HP+3|</v>
      </c>
      <c r="B122" t="s">
        <v>3</v>
      </c>
      <c r="C122" t="s">
        <v>39</v>
      </c>
      <c r="D122">
        <v>25</v>
      </c>
      <c r="E122" t="s">
        <v>3</v>
      </c>
      <c r="F122" t="s">
        <v>7</v>
      </c>
      <c r="G122" t="str">
        <f t="shared" si="13"/>
        <v>+</v>
      </c>
      <c r="H122">
        <v>3</v>
      </c>
      <c r="I122" t="s">
        <v>3</v>
      </c>
    </row>
    <row r="123" spans="1:9" x14ac:dyDescent="0.15">
      <c r="A123" t="str">
        <f t="shared" si="12"/>
        <v>|Lｖ26|黒+1|</v>
      </c>
      <c r="B123" t="s">
        <v>3</v>
      </c>
      <c r="C123" t="s">
        <v>39</v>
      </c>
      <c r="D123">
        <v>26</v>
      </c>
      <c r="E123" t="s">
        <v>3</v>
      </c>
      <c r="F123" t="s">
        <v>13</v>
      </c>
      <c r="G123" t="str">
        <f t="shared" si="13"/>
        <v>+</v>
      </c>
      <c r="H123">
        <v>1</v>
      </c>
      <c r="I123" t="s">
        <v>3</v>
      </c>
    </row>
    <row r="124" spans="1:9" x14ac:dyDescent="0.15">
      <c r="A124" t="str">
        <f t="shared" si="12"/>
        <v>|Lｖ27|HP+2|</v>
      </c>
      <c r="B124" t="s">
        <v>3</v>
      </c>
      <c r="C124" t="s">
        <v>39</v>
      </c>
      <c r="D124">
        <v>27</v>
      </c>
      <c r="E124" t="s">
        <v>3</v>
      </c>
      <c r="F124" t="s">
        <v>7</v>
      </c>
      <c r="G124" t="str">
        <f t="shared" si="13"/>
        <v>+</v>
      </c>
      <c r="H124">
        <v>2</v>
      </c>
      <c r="I124" t="s">
        <v>3</v>
      </c>
    </row>
    <row r="125" spans="1:9" x14ac:dyDescent="0.15">
      <c r="A125" t="str">
        <f t="shared" si="12"/>
        <v>|Lｖ28|呪文+1|</v>
      </c>
      <c r="B125" t="s">
        <v>3</v>
      </c>
      <c r="C125" t="s">
        <v>39</v>
      </c>
      <c r="D125">
        <v>28</v>
      </c>
      <c r="E125" t="s">
        <v>3</v>
      </c>
      <c r="F125" t="s">
        <v>21</v>
      </c>
      <c r="G125" t="str">
        <f t="shared" si="13"/>
        <v>+</v>
      </c>
      <c r="H125">
        <v>1</v>
      </c>
      <c r="I125" t="s">
        <v>3</v>
      </c>
    </row>
    <row r="126" spans="1:9" x14ac:dyDescent="0.15">
      <c r="A126" t="str">
        <f t="shared" si="12"/>
        <v>|Lｖ29|HP+3|</v>
      </c>
      <c r="B126" t="s">
        <v>3</v>
      </c>
      <c r="C126" t="s">
        <v>39</v>
      </c>
      <c r="D126">
        <v>29</v>
      </c>
      <c r="E126" t="s">
        <v>3</v>
      </c>
      <c r="F126" t="s">
        <v>7</v>
      </c>
      <c r="G126" t="str">
        <f t="shared" si="13"/>
        <v>+</v>
      </c>
      <c r="H126">
        <v>3</v>
      </c>
      <c r="I126" t="s">
        <v>3</v>
      </c>
    </row>
    <row r="127" spans="1:9" x14ac:dyDescent="0.15">
      <c r="A127" t="str">
        <f t="shared" si="12"/>
        <v>|Lｖ30|第2能力Lv2|</v>
      </c>
      <c r="B127" t="s">
        <v>3</v>
      </c>
      <c r="C127" t="s">
        <v>39</v>
      </c>
      <c r="D127">
        <v>30</v>
      </c>
      <c r="E127" t="s">
        <v>3</v>
      </c>
      <c r="F127" t="s">
        <v>41</v>
      </c>
      <c r="G127" t="str">
        <f t="shared" si="13"/>
        <v/>
      </c>
      <c r="H127">
        <v>2</v>
      </c>
      <c r="I127" t="s">
        <v>3</v>
      </c>
    </row>
    <row r="128" spans="1:9" x14ac:dyDescent="0.15">
      <c r="A128" t="str">
        <f t="shared" si="12"/>
        <v>|Lｖ31|HP+2|</v>
      </c>
      <c r="B128" t="s">
        <v>3</v>
      </c>
      <c r="C128" t="s">
        <v>39</v>
      </c>
      <c r="D128">
        <v>31</v>
      </c>
      <c r="E128" t="s">
        <v>3</v>
      </c>
      <c r="F128" t="s">
        <v>7</v>
      </c>
      <c r="G128" t="str">
        <f t="shared" si="13"/>
        <v>+</v>
      </c>
      <c r="H128">
        <v>2</v>
      </c>
      <c r="I128" t="s">
        <v>3</v>
      </c>
    </row>
    <row r="129" spans="1:9" x14ac:dyDescent="0.15">
      <c r="A129" t="str">
        <f t="shared" si="12"/>
        <v>|Lｖ32|白+1|</v>
      </c>
      <c r="B129" t="s">
        <v>3</v>
      </c>
      <c r="C129" t="s">
        <v>39</v>
      </c>
      <c r="D129">
        <v>32</v>
      </c>
      <c r="E129" t="s">
        <v>3</v>
      </c>
      <c r="F129" t="s">
        <v>11</v>
      </c>
      <c r="G129" t="str">
        <f t="shared" si="13"/>
        <v>+</v>
      </c>
      <c r="H129">
        <v>1</v>
      </c>
      <c r="I129" t="s">
        <v>3</v>
      </c>
    </row>
    <row r="130" spans="1:9" x14ac:dyDescent="0.15">
      <c r="A130" t="str">
        <f t="shared" si="12"/>
        <v>|Lｖ33|HP+3|</v>
      </c>
      <c r="B130" t="s">
        <v>3</v>
      </c>
      <c r="C130" t="s">
        <v>39</v>
      </c>
      <c r="D130">
        <v>33</v>
      </c>
      <c r="E130" t="s">
        <v>3</v>
      </c>
      <c r="F130" t="s">
        <v>7</v>
      </c>
      <c r="G130" t="str">
        <f t="shared" si="13"/>
        <v>+</v>
      </c>
      <c r="H130">
        <v>3</v>
      </c>
      <c r="I130" t="s">
        <v>3</v>
      </c>
    </row>
    <row r="131" spans="1:9" x14ac:dyDescent="0.15">
      <c r="A131" t="str">
        <f t="shared" si="12"/>
        <v>|Lｖ34|サポート+2|</v>
      </c>
      <c r="B131" t="s">
        <v>3</v>
      </c>
      <c r="C131" t="s">
        <v>39</v>
      </c>
      <c r="D131">
        <v>34</v>
      </c>
      <c r="E131" t="s">
        <v>3</v>
      </c>
      <c r="F131" t="s">
        <v>22</v>
      </c>
      <c r="G131" t="str">
        <f t="shared" si="13"/>
        <v>+</v>
      </c>
      <c r="H131">
        <v>2</v>
      </c>
      <c r="I131" t="s">
        <v>3</v>
      </c>
    </row>
    <row r="132" spans="1:9" x14ac:dyDescent="0.15">
      <c r="A132" t="str">
        <f t="shared" si="12"/>
        <v>|Lｖ35|HP+2|</v>
      </c>
      <c r="B132" t="s">
        <v>3</v>
      </c>
      <c r="C132" t="s">
        <v>39</v>
      </c>
      <c r="D132">
        <v>35</v>
      </c>
      <c r="E132" t="s">
        <v>3</v>
      </c>
      <c r="F132" t="s">
        <v>7</v>
      </c>
      <c r="G132" t="str">
        <f t="shared" si="13"/>
        <v>+</v>
      </c>
      <c r="H132">
        <v>2</v>
      </c>
      <c r="I132" t="s">
        <v>3</v>
      </c>
    </row>
    <row r="133" spans="1:9" x14ac:dyDescent="0.15">
      <c r="A133" t="str">
        <f t="shared" si="12"/>
        <v>|Lｖ36|第3能力Lv2|</v>
      </c>
      <c r="B133" t="s">
        <v>3</v>
      </c>
      <c r="C133" t="s">
        <v>39</v>
      </c>
      <c r="D133">
        <v>36</v>
      </c>
      <c r="E133" t="s">
        <v>3</v>
      </c>
      <c r="F133" t="s">
        <v>42</v>
      </c>
      <c r="G133" t="str">
        <f t="shared" si="13"/>
        <v/>
      </c>
      <c r="H133">
        <v>2</v>
      </c>
      <c r="I133" t="s">
        <v>3</v>
      </c>
    </row>
    <row r="134" spans="1:9" x14ac:dyDescent="0.15">
      <c r="A134" t="str">
        <f t="shared" si="12"/>
        <v>|Lｖ37|HP+3|</v>
      </c>
      <c r="B134" t="s">
        <v>3</v>
      </c>
      <c r="C134" t="s">
        <v>39</v>
      </c>
      <c r="D134">
        <v>37</v>
      </c>
      <c r="E134" t="s">
        <v>3</v>
      </c>
      <c r="F134" t="s">
        <v>7</v>
      </c>
      <c r="G134" t="str">
        <f t="shared" si="13"/>
        <v>+</v>
      </c>
      <c r="H134">
        <v>3</v>
      </c>
      <c r="I134" t="s">
        <v>3</v>
      </c>
    </row>
    <row r="135" spans="1:9" x14ac:dyDescent="0.15">
      <c r="A135" t="str">
        <f t="shared" si="12"/>
        <v>|Lｖ38|青+1|</v>
      </c>
      <c r="B135" t="s">
        <v>3</v>
      </c>
      <c r="C135" t="s">
        <v>39</v>
      </c>
      <c r="D135">
        <v>38</v>
      </c>
      <c r="E135" t="s">
        <v>3</v>
      </c>
      <c r="F135" t="s">
        <v>12</v>
      </c>
      <c r="G135" t="str">
        <f t="shared" si="13"/>
        <v>+</v>
      </c>
      <c r="H135">
        <v>1</v>
      </c>
      <c r="I135" t="s">
        <v>3</v>
      </c>
    </row>
    <row r="136" spans="1:9" x14ac:dyDescent="0.15">
      <c r="A136" t="str">
        <f t="shared" si="12"/>
        <v>|Lｖ39|HP+2|</v>
      </c>
      <c r="B136" t="s">
        <v>3</v>
      </c>
      <c r="C136" t="s">
        <v>39</v>
      </c>
      <c r="D136">
        <v>39</v>
      </c>
      <c r="E136" t="s">
        <v>3</v>
      </c>
      <c r="F136" t="s">
        <v>7</v>
      </c>
      <c r="G136" t="str">
        <f t="shared" si="13"/>
        <v>+</v>
      </c>
      <c r="H136">
        <v>2</v>
      </c>
      <c r="I136" t="s">
        <v>3</v>
      </c>
    </row>
    <row r="137" spans="1:9" x14ac:dyDescent="0.15">
      <c r="A137" t="str">
        <f t="shared" si="12"/>
        <v>|Lｖ40|第1能力Lv3|</v>
      </c>
      <c r="B137" t="s">
        <v>3</v>
      </c>
      <c r="C137" t="s">
        <v>39</v>
      </c>
      <c r="D137">
        <v>40</v>
      </c>
      <c r="E137" t="s">
        <v>3</v>
      </c>
      <c r="F137" t="s">
        <v>40</v>
      </c>
      <c r="G137" t="str">
        <f t="shared" si="13"/>
        <v/>
      </c>
      <c r="H137">
        <v>3</v>
      </c>
      <c r="I137" t="s">
        <v>3</v>
      </c>
    </row>
    <row r="138" spans="1:9" x14ac:dyDescent="0.15">
      <c r="A138" t="str">
        <f t="shared" si="12"/>
        <v>|Lｖ41|HP+3|</v>
      </c>
      <c r="B138" t="s">
        <v>3</v>
      </c>
      <c r="C138" t="s">
        <v>39</v>
      </c>
      <c r="D138">
        <v>41</v>
      </c>
      <c r="E138" t="s">
        <v>3</v>
      </c>
      <c r="F138" t="s">
        <v>7</v>
      </c>
      <c r="G138" t="str">
        <f t="shared" si="13"/>
        <v>+</v>
      </c>
      <c r="H138">
        <v>3</v>
      </c>
      <c r="I138" t="s">
        <v>3</v>
      </c>
    </row>
    <row r="139" spans="1:9" x14ac:dyDescent="0.15">
      <c r="A139" t="str">
        <f t="shared" si="12"/>
        <v>|Lｖ42|クリーチャー+1|</v>
      </c>
      <c r="B139" t="s">
        <v>3</v>
      </c>
      <c r="C139" t="s">
        <v>39</v>
      </c>
      <c r="D139">
        <v>42</v>
      </c>
      <c r="E139" t="s">
        <v>3</v>
      </c>
      <c r="F139" t="s">
        <v>20</v>
      </c>
      <c r="G139" t="str">
        <f t="shared" si="13"/>
        <v>+</v>
      </c>
      <c r="H139">
        <v>1</v>
      </c>
      <c r="I139" t="s">
        <v>3</v>
      </c>
    </row>
    <row r="140" spans="1:9" x14ac:dyDescent="0.15">
      <c r="A140" t="str">
        <f t="shared" si="12"/>
        <v>|Lｖ43|HP+2|</v>
      </c>
      <c r="B140" t="s">
        <v>3</v>
      </c>
      <c r="C140" t="s">
        <v>39</v>
      </c>
      <c r="D140">
        <v>43</v>
      </c>
      <c r="E140" t="s">
        <v>3</v>
      </c>
      <c r="F140" t="s">
        <v>7</v>
      </c>
      <c r="G140" t="str">
        <f t="shared" si="13"/>
        <v>+</v>
      </c>
      <c r="H140">
        <v>2</v>
      </c>
      <c r="I140" t="s">
        <v>3</v>
      </c>
    </row>
    <row r="141" spans="1:9" x14ac:dyDescent="0.15">
      <c r="A141" t="str">
        <f t="shared" si="12"/>
        <v>|Lｖ44|緑+1|</v>
      </c>
      <c r="B141" t="s">
        <v>3</v>
      </c>
      <c r="C141" t="s">
        <v>39</v>
      </c>
      <c r="D141">
        <v>44</v>
      </c>
      <c r="E141" t="s">
        <v>3</v>
      </c>
      <c r="F141" t="s">
        <v>15</v>
      </c>
      <c r="G141" t="str">
        <f t="shared" si="13"/>
        <v>+</v>
      </c>
      <c r="H141">
        <v>1</v>
      </c>
      <c r="I141" t="s">
        <v>3</v>
      </c>
    </row>
    <row r="142" spans="1:9" x14ac:dyDescent="0.15">
      <c r="A142" t="str">
        <f t="shared" si="12"/>
        <v>|Lｖ45|HP+3|</v>
      </c>
      <c r="B142" t="s">
        <v>3</v>
      </c>
      <c r="C142" t="s">
        <v>39</v>
      </c>
      <c r="D142">
        <v>45</v>
      </c>
      <c r="E142" t="s">
        <v>3</v>
      </c>
      <c r="F142" t="s">
        <v>7</v>
      </c>
      <c r="G142" t="str">
        <f t="shared" si="13"/>
        <v>+</v>
      </c>
      <c r="H142">
        <v>3</v>
      </c>
      <c r="I142" t="s">
        <v>3</v>
      </c>
    </row>
    <row r="143" spans="1:9" x14ac:dyDescent="0.15">
      <c r="A143" t="str">
        <f t="shared" si="12"/>
        <v>|Lｖ46|第2能力Lv3|</v>
      </c>
      <c r="B143" t="s">
        <v>3</v>
      </c>
      <c r="C143" t="s">
        <v>39</v>
      </c>
      <c r="D143">
        <v>46</v>
      </c>
      <c r="E143" t="s">
        <v>3</v>
      </c>
      <c r="F143" t="s">
        <v>41</v>
      </c>
      <c r="G143" t="str">
        <f t="shared" si="13"/>
        <v/>
      </c>
      <c r="H143">
        <v>3</v>
      </c>
      <c r="I143" t="s">
        <v>3</v>
      </c>
    </row>
    <row r="144" spans="1:9" x14ac:dyDescent="0.15">
      <c r="A144" t="str">
        <f t="shared" si="12"/>
        <v>|Lｖ47|HP+2|</v>
      </c>
      <c r="B144" t="s">
        <v>3</v>
      </c>
      <c r="C144" t="s">
        <v>39</v>
      </c>
      <c r="D144">
        <v>47</v>
      </c>
      <c r="E144" t="s">
        <v>3</v>
      </c>
      <c r="F144" t="s">
        <v>7</v>
      </c>
      <c r="G144" t="str">
        <f t="shared" si="13"/>
        <v>+</v>
      </c>
      <c r="H144">
        <v>2</v>
      </c>
      <c r="I144" t="s">
        <v>3</v>
      </c>
    </row>
    <row r="145" spans="1:9" x14ac:dyDescent="0.15">
      <c r="A145" t="str">
        <f t="shared" si="12"/>
        <v>|Lｖ48|回復速度上昇|</v>
      </c>
      <c r="B145" t="s">
        <v>3</v>
      </c>
      <c r="C145" t="s">
        <v>39</v>
      </c>
      <c r="D145">
        <v>48</v>
      </c>
      <c r="E145" t="s">
        <v>3</v>
      </c>
      <c r="F145" t="s">
        <v>43</v>
      </c>
      <c r="G145" t="str">
        <f t="shared" si="13"/>
        <v/>
      </c>
      <c r="I145" t="s">
        <v>3</v>
      </c>
    </row>
    <row r="146" spans="1:9" x14ac:dyDescent="0.15">
      <c r="A146" t="str">
        <f t="shared" si="12"/>
        <v>|Lｖ49|HP+3|</v>
      </c>
      <c r="B146" t="s">
        <v>3</v>
      </c>
      <c r="C146" t="s">
        <v>39</v>
      </c>
      <c r="D146">
        <v>49</v>
      </c>
      <c r="E146" t="s">
        <v>3</v>
      </c>
      <c r="F146" t="s">
        <v>7</v>
      </c>
      <c r="G146" t="str">
        <f t="shared" si="13"/>
        <v>+</v>
      </c>
      <c r="H146">
        <v>3</v>
      </c>
      <c r="I146" t="s">
        <v>3</v>
      </c>
    </row>
    <row r="147" spans="1:9" x14ac:dyDescent="0.15">
      <c r="A147" t="str">
        <f t="shared" si="12"/>
        <v>|Lｖ50|呪文+1|</v>
      </c>
      <c r="B147" t="s">
        <v>3</v>
      </c>
      <c r="C147" t="s">
        <v>39</v>
      </c>
      <c r="D147">
        <v>50</v>
      </c>
      <c r="E147" t="s">
        <v>3</v>
      </c>
      <c r="F147" t="s">
        <v>21</v>
      </c>
      <c r="G147" t="str">
        <f t="shared" si="13"/>
        <v>+</v>
      </c>
      <c r="H147">
        <v>1</v>
      </c>
      <c r="I147" t="s">
        <v>3</v>
      </c>
    </row>
    <row r="148" spans="1:9" x14ac:dyDescent="0.15">
      <c r="A148" t="str">
        <f t="shared" si="12"/>
        <v>|Lｖ51|HP+2|</v>
      </c>
      <c r="B148" t="s">
        <v>3</v>
      </c>
      <c r="C148" t="s">
        <v>39</v>
      </c>
      <c r="D148">
        <v>51</v>
      </c>
      <c r="E148" t="s">
        <v>3</v>
      </c>
      <c r="F148" t="s">
        <v>7</v>
      </c>
      <c r="G148" t="str">
        <f t="shared" si="13"/>
        <v>+</v>
      </c>
      <c r="H148">
        <v>2</v>
      </c>
      <c r="I148" t="s">
        <v>3</v>
      </c>
    </row>
    <row r="149" spans="1:9" x14ac:dyDescent="0.15">
      <c r="A149" t="str">
        <f t="shared" si="12"/>
        <v>|Lｖ52|第3能力Lv3|</v>
      </c>
      <c r="B149" t="s">
        <v>3</v>
      </c>
      <c r="C149" t="s">
        <v>39</v>
      </c>
      <c r="D149">
        <v>52</v>
      </c>
      <c r="E149" t="s">
        <v>3</v>
      </c>
      <c r="F149" t="s">
        <v>42</v>
      </c>
      <c r="G149" t="str">
        <f t="shared" si="13"/>
        <v/>
      </c>
      <c r="H149">
        <v>3</v>
      </c>
      <c r="I149" t="s">
        <v>3</v>
      </c>
    </row>
    <row r="150" spans="1:9" x14ac:dyDescent="0.15">
      <c r="A150" t="str">
        <f t="shared" si="12"/>
        <v>|Lｖ53|HP+3|</v>
      </c>
      <c r="B150" t="s">
        <v>3</v>
      </c>
      <c r="C150" t="s">
        <v>39</v>
      </c>
      <c r="D150">
        <v>53</v>
      </c>
      <c r="E150" t="s">
        <v>3</v>
      </c>
      <c r="F150" t="s">
        <v>7</v>
      </c>
      <c r="G150" t="str">
        <f t="shared" si="13"/>
        <v>+</v>
      </c>
      <c r="H150">
        <v>3</v>
      </c>
      <c r="I150" t="s">
        <v>3</v>
      </c>
    </row>
    <row r="151" spans="1:9" x14ac:dyDescent="0.15">
      <c r="A151" t="str">
        <f t="shared" si="12"/>
        <v>|Lｖ54|サポート+1|</v>
      </c>
      <c r="B151" t="s">
        <v>3</v>
      </c>
      <c r="C151" t="s">
        <v>39</v>
      </c>
      <c r="D151">
        <v>54</v>
      </c>
      <c r="E151" t="s">
        <v>3</v>
      </c>
      <c r="F151" t="s">
        <v>22</v>
      </c>
      <c r="G151" t="str">
        <f t="shared" si="13"/>
        <v>+</v>
      </c>
      <c r="H151">
        <v>1</v>
      </c>
      <c r="I151" t="s">
        <v>3</v>
      </c>
    </row>
    <row r="152" spans="1:9" x14ac:dyDescent="0.15">
      <c r="A152" t="str">
        <f t="shared" ref="A152:A163" si="14">B152&amp;C152&amp;D152&amp;E152&amp;F152&amp;G152&amp;H152&amp;I152&amp;J152&amp;K152&amp;L152&amp;M152&amp;N152&amp;O152&amp;P152</f>
        <v>|Lｖ55|HP+2|</v>
      </c>
      <c r="B152" t="s">
        <v>3</v>
      </c>
      <c r="C152" t="s">
        <v>39</v>
      </c>
      <c r="D152">
        <v>55</v>
      </c>
      <c r="E152" t="s">
        <v>3</v>
      </c>
      <c r="F152" t="s">
        <v>7</v>
      </c>
      <c r="G152" t="str">
        <f t="shared" si="13"/>
        <v>+</v>
      </c>
      <c r="H152">
        <v>2</v>
      </c>
      <c r="I152" t="s">
        <v>3</v>
      </c>
    </row>
    <row r="153" spans="1:9" x14ac:dyDescent="0.15">
      <c r="A153" t="str">
        <f t="shared" si="14"/>
        <v>|Lｖ56|第1能力Lv4|</v>
      </c>
      <c r="B153" t="s">
        <v>3</v>
      </c>
      <c r="C153" t="s">
        <v>39</v>
      </c>
      <c r="D153">
        <v>56</v>
      </c>
      <c r="E153" t="s">
        <v>3</v>
      </c>
      <c r="F153" t="s">
        <v>40</v>
      </c>
      <c r="G153" t="str">
        <f t="shared" si="13"/>
        <v/>
      </c>
      <c r="H153">
        <v>4</v>
      </c>
      <c r="I153" t="s">
        <v>3</v>
      </c>
    </row>
    <row r="154" spans="1:9" x14ac:dyDescent="0.15">
      <c r="A154" t="str">
        <f t="shared" si="14"/>
        <v>|Lｖ57|HP+3|</v>
      </c>
      <c r="B154" t="s">
        <v>3</v>
      </c>
      <c r="C154" t="s">
        <v>39</v>
      </c>
      <c r="D154">
        <v>57</v>
      </c>
      <c r="E154" t="s">
        <v>3</v>
      </c>
      <c r="F154" t="s">
        <v>7</v>
      </c>
      <c r="G154" t="str">
        <f t="shared" si="13"/>
        <v>+</v>
      </c>
      <c r="H154">
        <v>3</v>
      </c>
      <c r="I154" t="s">
        <v>3</v>
      </c>
    </row>
    <row r="155" spans="1:9" x14ac:dyDescent="0.15">
      <c r="A155" t="str">
        <f t="shared" si="14"/>
        <v>|Lｖ58|第2能力Lv4|</v>
      </c>
      <c r="B155" t="s">
        <v>3</v>
      </c>
      <c r="C155" t="s">
        <v>39</v>
      </c>
      <c r="D155">
        <v>58</v>
      </c>
      <c r="E155" t="s">
        <v>3</v>
      </c>
      <c r="F155" t="s">
        <v>41</v>
      </c>
      <c r="G155" t="str">
        <f t="shared" si="13"/>
        <v/>
      </c>
      <c r="H155">
        <v>4</v>
      </c>
      <c r="I155" t="s">
        <v>3</v>
      </c>
    </row>
    <row r="156" spans="1:9" x14ac:dyDescent="0.15">
      <c r="A156" t="str">
        <f t="shared" si="14"/>
        <v>|Lｖ59|HP+2|</v>
      </c>
      <c r="B156" t="s">
        <v>3</v>
      </c>
      <c r="C156" t="s">
        <v>39</v>
      </c>
      <c r="D156">
        <v>59</v>
      </c>
      <c r="E156" t="s">
        <v>3</v>
      </c>
      <c r="F156" t="s">
        <v>7</v>
      </c>
      <c r="G156" t="str">
        <f t="shared" si="13"/>
        <v>+</v>
      </c>
      <c r="H156">
        <v>2</v>
      </c>
      <c r="I156" t="s">
        <v>3</v>
      </c>
    </row>
    <row r="157" spans="1:9" x14ac:dyDescent="0.15">
      <c r="A157" t="str">
        <f t="shared" si="14"/>
        <v>|Lｖ60|第3能力Lv4|</v>
      </c>
      <c r="B157" t="s">
        <v>3</v>
      </c>
      <c r="C157" t="s">
        <v>39</v>
      </c>
      <c r="D157">
        <v>60</v>
      </c>
      <c r="E157" t="s">
        <v>3</v>
      </c>
      <c r="F157" t="s">
        <v>42</v>
      </c>
      <c r="G157" t="str">
        <f t="shared" si="13"/>
        <v/>
      </c>
      <c r="H157">
        <v>4</v>
      </c>
      <c r="I157" t="s">
        <v>3</v>
      </c>
    </row>
    <row r="158" spans="1:9" x14ac:dyDescent="0.15">
      <c r="A158" t="str">
        <f t="shared" si="14"/>
        <v>必要総経験値：79920ルーン</v>
      </c>
      <c r="B158" t="s">
        <v>45</v>
      </c>
      <c r="C158">
        <v>79920</v>
      </c>
      <c r="F158" t="s">
        <v>46</v>
      </c>
    </row>
    <row r="159" spans="1:9" x14ac:dyDescent="0.15">
      <c r="A159" t="str">
        <f t="shared" si="14"/>
        <v>&amp;br;</v>
      </c>
      <c r="B159" t="s">
        <v>0</v>
      </c>
    </row>
    <row r="160" spans="1:9" x14ac:dyDescent="0.15">
      <c r="A160" t="str">
        <f t="shared" si="14"/>
        <v>#back(text=戻る,left)</v>
      </c>
      <c r="B160" t="s">
        <v>47</v>
      </c>
    </row>
    <row r="161" spans="1:2" x14ac:dyDescent="0.15">
      <c r="A161" t="str">
        <f t="shared" si="14"/>
        <v>&amp;br;</v>
      </c>
      <c r="B161" t="s">
        <v>0</v>
      </c>
    </row>
    <row r="162" spans="1:2" x14ac:dyDescent="0.15">
      <c r="A162" t="str">
        <f t="shared" si="14"/>
        <v>#comment(above,nsize=[15],size=[30],num=[10])</v>
      </c>
      <c r="B162" t="s">
        <v>48</v>
      </c>
    </row>
    <row r="163" spans="1:2" x14ac:dyDescent="0.15">
      <c r="A163" t="str">
        <f t="shared" si="14"/>
        <v>[[プレインズウォーカーリスト&gt;プレインズウォーカーリスト]]</v>
      </c>
      <c r="B163" t="s">
        <v>49</v>
      </c>
    </row>
  </sheetData>
  <autoFilter ref="C98:I163"/>
  <phoneticPr fontId="4"/>
  <dataValidations count="2">
    <dataValidation type="list" allowBlank="1" showInputMessage="1" showErrorMessage="1" sqref="F158">
      <formula1>$Q$88:$Q$100</formula1>
    </dataValidation>
    <dataValidation type="list" allowBlank="1" showInputMessage="1" showErrorMessage="1" sqref="F99:F157">
      <formula1>$Q$98:$Q$110</formula1>
    </dataValidation>
  </dataValidations>
  <pageMargins left="0.69930555555555596" right="0.69930555555555596"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W206"/>
  <sheetViews>
    <sheetView topLeftCell="A119" workbookViewId="0">
      <selection activeCell="J146" sqref="J146"/>
    </sheetView>
  </sheetViews>
  <sheetFormatPr defaultColWidth="9" defaultRowHeight="13.5" x14ac:dyDescent="0.15"/>
  <cols>
    <col min="2" max="2" width="3.5" customWidth="1"/>
    <col min="3" max="3" width="7.875" customWidth="1"/>
    <col min="4" max="4" width="5.5" customWidth="1"/>
    <col min="5" max="5" width="2.875" customWidth="1"/>
    <col min="7" max="7" width="2" customWidth="1"/>
    <col min="9" max="9" width="2" customWidth="1"/>
    <col min="11" max="11" width="2" customWidth="1"/>
    <col min="13" max="13" width="2" customWidth="1"/>
    <col min="15" max="15" width="2" customWidth="1"/>
    <col min="17" max="17" width="2.75" customWidth="1"/>
  </cols>
  <sheetData>
    <row r="1" spans="1:23" x14ac:dyDescent="0.15">
      <c r="A1" t="str">
        <f t="shared" ref="A1:A13" si="0">C1&amp;D1&amp;E1&amp;F1&amp;G1&amp;H1&amp;I1&amp;J1&amp;K1&amp;L1&amp;M1&amp;N1&amp;O1&amp;P1&amp;Q1&amp;R1&amp;S1&amp;T1&amp;U1&amp;V1</f>
        <v>*Lv60時ステータス</v>
      </c>
      <c r="C1" t="s">
        <v>577</v>
      </c>
      <c r="W1">
        <v>107.142857142857</v>
      </c>
    </row>
    <row r="2" spans="1:23" x14ac:dyDescent="0.15">
      <c r="A2" t="str">
        <f t="shared" si="0"/>
        <v>|LEFT:70|LEFT:30|LEFT:30|LEFT:30|LEFT:30|LEFT:30|LEFT:70|LEFT:50|LEFT:60|c</v>
      </c>
      <c r="C2" t="s">
        <v>3</v>
      </c>
      <c r="D2" t="s">
        <v>578</v>
      </c>
      <c r="E2" t="s">
        <v>3</v>
      </c>
      <c r="F2" t="s">
        <v>579</v>
      </c>
      <c r="G2" t="s">
        <v>3</v>
      </c>
      <c r="H2" t="s">
        <v>579</v>
      </c>
      <c r="I2" t="s">
        <v>3</v>
      </c>
      <c r="J2" t="s">
        <v>579</v>
      </c>
      <c r="K2" t="s">
        <v>3</v>
      </c>
      <c r="L2" t="s">
        <v>579</v>
      </c>
      <c r="M2" t="s">
        <v>3</v>
      </c>
      <c r="N2" t="s">
        <v>579</v>
      </c>
      <c r="O2" t="s">
        <v>3</v>
      </c>
      <c r="P2" t="s">
        <v>578</v>
      </c>
      <c r="Q2" t="s">
        <v>3</v>
      </c>
      <c r="R2" t="s">
        <v>4</v>
      </c>
      <c r="S2" t="s">
        <v>3</v>
      </c>
      <c r="T2" t="s">
        <v>580</v>
      </c>
      <c r="U2" t="s">
        <v>3</v>
      </c>
      <c r="V2" t="s">
        <v>5</v>
      </c>
    </row>
    <row r="3" spans="1:23" x14ac:dyDescent="0.15">
      <c r="A3" t="str">
        <f t="shared" si="0"/>
        <v>|HP|&gt;|&gt;|&gt;|&gt;|マナボーナス|&gt;|&gt;|デッキ構築枚数上限|</v>
      </c>
      <c r="C3" t="s">
        <v>3</v>
      </c>
      <c r="D3" t="s">
        <v>7</v>
      </c>
      <c r="E3" t="s">
        <v>3</v>
      </c>
      <c r="F3" t="s">
        <v>209</v>
      </c>
      <c r="G3" t="s">
        <v>3</v>
      </c>
      <c r="H3" t="s">
        <v>209</v>
      </c>
      <c r="I3" t="s">
        <v>3</v>
      </c>
      <c r="J3" t="s">
        <v>209</v>
      </c>
      <c r="K3" t="s">
        <v>3</v>
      </c>
      <c r="L3" t="s">
        <v>209</v>
      </c>
      <c r="M3" t="s">
        <v>3</v>
      </c>
      <c r="N3" t="s">
        <v>581</v>
      </c>
      <c r="O3" t="s">
        <v>3</v>
      </c>
      <c r="P3" t="s">
        <v>209</v>
      </c>
      <c r="Q3" t="s">
        <v>3</v>
      </c>
      <c r="R3" t="s">
        <v>209</v>
      </c>
      <c r="S3" t="s">
        <v>3</v>
      </c>
      <c r="T3" t="s">
        <v>582</v>
      </c>
      <c r="U3" t="s">
        <v>3</v>
      </c>
    </row>
    <row r="4" spans="1:23" x14ac:dyDescent="0.15">
      <c r="A4" t="str">
        <f t="shared" si="0"/>
        <v>|^|白|青|黒|赤|緑|クリーチャー|呪文|サポート|</v>
      </c>
      <c r="C4" t="s">
        <v>3</v>
      </c>
      <c r="D4" t="s">
        <v>583</v>
      </c>
      <c r="E4" t="s">
        <v>3</v>
      </c>
      <c r="F4" t="s">
        <v>11</v>
      </c>
      <c r="G4" t="s">
        <v>3</v>
      </c>
      <c r="H4" t="s">
        <v>12</v>
      </c>
      <c r="I4" t="s">
        <v>3</v>
      </c>
      <c r="J4" t="s">
        <v>13</v>
      </c>
      <c r="K4" t="s">
        <v>3</v>
      </c>
      <c r="L4" t="s">
        <v>14</v>
      </c>
      <c r="M4" t="s">
        <v>3</v>
      </c>
      <c r="N4" t="s">
        <v>15</v>
      </c>
      <c r="O4" t="s">
        <v>3</v>
      </c>
      <c r="P4" t="s">
        <v>20</v>
      </c>
      <c r="Q4" t="s">
        <v>3</v>
      </c>
      <c r="R4" t="s">
        <v>21</v>
      </c>
      <c r="S4" t="s">
        <v>3</v>
      </c>
      <c r="T4" t="s">
        <v>22</v>
      </c>
      <c r="U4" t="s">
        <v>3</v>
      </c>
    </row>
    <row r="5" spans="1:23" x14ac:dyDescent="0.15">
      <c r="A5" t="str">
        <f t="shared" si="0"/>
        <v>|115|5|0|0|0|4|5|5|5|</v>
      </c>
      <c r="C5" t="s">
        <v>3</v>
      </c>
      <c r="D5">
        <f>VLOOKUP(MAX(D39:D67),D39:F67,3,TRUE)</f>
        <v>115</v>
      </c>
      <c r="E5" t="s">
        <v>3</v>
      </c>
      <c r="F5">
        <f>VLOOKUP(MAX($D$73:$D$82),$D$73:$P$82,5,TRUE)</f>
        <v>5</v>
      </c>
      <c r="G5" t="s">
        <v>3</v>
      </c>
      <c r="H5">
        <f>VLOOKUP(MAX($D$73:$D$82),$D$73:$P$82,7,TRUE)</f>
        <v>0</v>
      </c>
      <c r="I5" t="s">
        <v>3</v>
      </c>
      <c r="J5">
        <f>VLOOKUP(MAX($D$73:$D$82),$D$73:$P$82,9,TRUE)</f>
        <v>0</v>
      </c>
      <c r="K5" t="s">
        <v>3</v>
      </c>
      <c r="L5">
        <f>VLOOKUP(MAX($D$73:$D$82),$D$73:$P$82,11,TRUE)</f>
        <v>0</v>
      </c>
      <c r="M5" t="s">
        <v>3</v>
      </c>
      <c r="N5">
        <f>VLOOKUP(MAX($D$73:$D$82),$D$73:$P$82,13,TRUE)</f>
        <v>4</v>
      </c>
      <c r="O5" t="s">
        <v>3</v>
      </c>
      <c r="P5">
        <f>VLOOKUP(MAX($D$89:$D$94),$D$89:$L$94,5,TRUE)</f>
        <v>5</v>
      </c>
      <c r="Q5" t="s">
        <v>3</v>
      </c>
      <c r="R5">
        <f>VLOOKUP(MAX($D$89:$D$94),$D$89:$L$94,7,TRUE)</f>
        <v>5</v>
      </c>
      <c r="S5" t="s">
        <v>3</v>
      </c>
      <c r="T5">
        <f>VLOOKUP(MAX($D$89:$D$94),$D$89:$L$94,9,TRUE)</f>
        <v>5</v>
      </c>
      <c r="U5" t="s">
        <v>3</v>
      </c>
    </row>
    <row r="6" spans="1:23" x14ac:dyDescent="0.15">
      <c r="A6" t="str">
        <f t="shared" si="0"/>
        <v>||&gt;|&gt;|&gt;|&gt;|&gt;|&gt;|PW能力|コスト|</v>
      </c>
      <c r="C6" t="s">
        <v>3</v>
      </c>
      <c r="E6" t="s">
        <v>3</v>
      </c>
      <c r="F6" t="s">
        <v>209</v>
      </c>
      <c r="G6" t="s">
        <v>3</v>
      </c>
      <c r="H6" t="s">
        <v>209</v>
      </c>
      <c r="I6" t="s">
        <v>3</v>
      </c>
      <c r="J6" t="s">
        <v>209</v>
      </c>
      <c r="K6" t="s">
        <v>3</v>
      </c>
      <c r="L6" t="s">
        <v>209</v>
      </c>
      <c r="M6" t="s">
        <v>3</v>
      </c>
      <c r="N6" t="s">
        <v>209</v>
      </c>
      <c r="O6" t="s">
        <v>3</v>
      </c>
      <c r="P6" t="s">
        <v>209</v>
      </c>
      <c r="Q6" t="s">
        <v>3</v>
      </c>
      <c r="R6" t="s">
        <v>584</v>
      </c>
      <c r="S6" t="s">
        <v>3</v>
      </c>
      <c r="T6" t="s">
        <v>28</v>
      </c>
      <c r="U6" t="s">
        <v>3</v>
      </c>
    </row>
    <row r="7" spans="1:23" x14ac:dyDescent="0.15">
      <c r="A7" t="str">
        <f t="shared" si="0"/>
        <v>|第1能力|&gt;|&gt;|&gt;|&gt;|&gt;|&gt;|オケチラの修練者/Oketra's Initiates|9|</v>
      </c>
      <c r="C7" t="s">
        <v>3</v>
      </c>
      <c r="D7" t="s">
        <v>585</v>
      </c>
      <c r="E7" t="s">
        <v>3</v>
      </c>
      <c r="F7" t="s">
        <v>209</v>
      </c>
      <c r="G7" t="s">
        <v>3</v>
      </c>
      <c r="H7" t="s">
        <v>209</v>
      </c>
      <c r="I7" t="s">
        <v>3</v>
      </c>
      <c r="J7" t="s">
        <v>209</v>
      </c>
      <c r="K7" t="s">
        <v>3</v>
      </c>
      <c r="L7" t="s">
        <v>209</v>
      </c>
      <c r="M7" t="s">
        <v>3</v>
      </c>
      <c r="N7" t="s">
        <v>209</v>
      </c>
      <c r="O7" t="s">
        <v>3</v>
      </c>
      <c r="P7" t="s">
        <v>209</v>
      </c>
      <c r="Q7" t="s">
        <v>3</v>
      </c>
      <c r="R7" t="str">
        <f>R98</f>
        <v>オケチラの修練者/Oketra's Initiates</v>
      </c>
      <c r="S7" t="s">
        <v>3</v>
      </c>
      <c r="T7">
        <f>H104</f>
        <v>9</v>
      </c>
      <c r="U7" t="s">
        <v>3</v>
      </c>
    </row>
    <row r="8" spans="1:23" x14ac:dyDescent="0.15">
      <c r="A8" t="str">
        <f t="shared" si="0"/>
        <v>|&gt;|&gt;|&gt;|&gt;|&gt;|&gt;|&gt;|&gt;|到達を持つ1/1のオケチラの修練者・トークンを4体召喚。|</v>
      </c>
      <c r="C8" t="s">
        <v>3</v>
      </c>
      <c r="D8" t="s">
        <v>209</v>
      </c>
      <c r="E8" t="s">
        <v>3</v>
      </c>
      <c r="F8" t="s">
        <v>209</v>
      </c>
      <c r="G8" t="s">
        <v>3</v>
      </c>
      <c r="H8" t="s">
        <v>209</v>
      </c>
      <c r="I8" t="s">
        <v>3</v>
      </c>
      <c r="J8" t="s">
        <v>209</v>
      </c>
      <c r="K8" t="s">
        <v>3</v>
      </c>
      <c r="L8" t="s">
        <v>209</v>
      </c>
      <c r="M8" t="s">
        <v>3</v>
      </c>
      <c r="N8" t="s">
        <v>209</v>
      </c>
      <c r="O8" t="s">
        <v>3</v>
      </c>
      <c r="P8" t="s">
        <v>209</v>
      </c>
      <c r="Q8" t="s">
        <v>3</v>
      </c>
      <c r="R8" t="s">
        <v>209</v>
      </c>
      <c r="S8" t="s">
        <v>3</v>
      </c>
      <c r="T8" t="str">
        <f>J104</f>
        <v>到達を持つ1/1のオケチラの修練者・トークンを4体召喚。</v>
      </c>
      <c r="U8" t="s">
        <v>3</v>
      </c>
    </row>
    <row r="9" spans="1:23" x14ac:dyDescent="0.15">
      <c r="A9" t="str">
        <f t="shared" si="0"/>
        <v>|第2能力|&gt;|&gt;|&gt;|&gt;|&gt;|&gt;|力の鍛錬/Forged by Might|12|</v>
      </c>
      <c r="C9" t="s">
        <v>3</v>
      </c>
      <c r="D9" t="s">
        <v>587</v>
      </c>
      <c r="E9" t="s">
        <v>3</v>
      </c>
      <c r="F9" t="s">
        <v>209</v>
      </c>
      <c r="G9" t="s">
        <v>3</v>
      </c>
      <c r="H9" t="s">
        <v>209</v>
      </c>
      <c r="I9" t="s">
        <v>3</v>
      </c>
      <c r="J9" t="s">
        <v>209</v>
      </c>
      <c r="K9" t="s">
        <v>3</v>
      </c>
      <c r="L9" t="s">
        <v>209</v>
      </c>
      <c r="M9" t="s">
        <v>3</v>
      </c>
      <c r="N9" t="s">
        <v>209</v>
      </c>
      <c r="O9" t="s">
        <v>3</v>
      </c>
      <c r="P9" t="s">
        <v>209</v>
      </c>
      <c r="Q9" t="s">
        <v>3</v>
      </c>
      <c r="R9" t="str">
        <f>R107</f>
        <v>力の鍛錬/Forged by Might</v>
      </c>
      <c r="S9" t="s">
        <v>3</v>
      </c>
      <c r="T9">
        <f>H113</f>
        <v>12</v>
      </c>
      <c r="U9" t="s">
        <v>3</v>
      </c>
    </row>
    <row r="10" spans="1:23" x14ac:dyDescent="0.15">
      <c r="A10" t="str">
        <f t="shared" si="0"/>
        <v>|&gt;|&gt;|&gt;|&gt;|&gt;|&gt;|&gt;|&gt;|あなたがコントロールするクリーチャー1体を追放する。あなたがコントロールする他の各クリーチャーは+X/+Yの修整を得る。Xは追放したクリーチャーのパワーに3を足した数に等しい。Yは追放したクリーチャーのタフネスに3を足した数に等しい。|</v>
      </c>
      <c r="C10" t="s">
        <v>3</v>
      </c>
      <c r="D10" t="s">
        <v>209</v>
      </c>
      <c r="E10" t="s">
        <v>3</v>
      </c>
      <c r="F10" t="s">
        <v>209</v>
      </c>
      <c r="G10" t="s">
        <v>3</v>
      </c>
      <c r="H10" t="s">
        <v>209</v>
      </c>
      <c r="I10" t="s">
        <v>3</v>
      </c>
      <c r="J10" t="s">
        <v>209</v>
      </c>
      <c r="K10" t="s">
        <v>3</v>
      </c>
      <c r="L10" t="s">
        <v>209</v>
      </c>
      <c r="M10" t="s">
        <v>3</v>
      </c>
      <c r="N10" t="s">
        <v>209</v>
      </c>
      <c r="O10" t="s">
        <v>3</v>
      </c>
      <c r="P10" t="s">
        <v>209</v>
      </c>
      <c r="Q10" t="s">
        <v>3</v>
      </c>
      <c r="R10" t="s">
        <v>209</v>
      </c>
      <c r="S10" t="s">
        <v>3</v>
      </c>
      <c r="T10" t="str">
        <f>J113</f>
        <v>あなたがコントロールするクリーチャー1体を追放する。あなたがコントロールする他の各クリーチャーは+X/+Yの修整を得る。Xは追放したクリーチャーのパワーに3を足した数に等しい。Yは追放したクリーチャーのタフネスに3を足した数に等しい。</v>
      </c>
      <c r="U10" t="s">
        <v>3</v>
      </c>
    </row>
    <row r="11" spans="1:23" x14ac:dyDescent="0.15">
      <c r="A11" t="str">
        <f t="shared" si="0"/>
        <v>|第3能力|&gt;|&gt;|&gt;|&gt;|&gt;|&gt;|追放からの召還/Return from Exile|18|</v>
      </c>
      <c r="C11" t="s">
        <v>3</v>
      </c>
      <c r="D11" t="s">
        <v>590</v>
      </c>
      <c r="E11" t="s">
        <v>3</v>
      </c>
      <c r="F11" t="s">
        <v>209</v>
      </c>
      <c r="G11" t="s">
        <v>3</v>
      </c>
      <c r="H11" t="s">
        <v>209</v>
      </c>
      <c r="I11" t="s">
        <v>3</v>
      </c>
      <c r="J11" t="s">
        <v>209</v>
      </c>
      <c r="K11" t="s">
        <v>3</v>
      </c>
      <c r="L11" t="s">
        <v>209</v>
      </c>
      <c r="M11" t="s">
        <v>3</v>
      </c>
      <c r="N11" t="s">
        <v>209</v>
      </c>
      <c r="O11" t="s">
        <v>3</v>
      </c>
      <c r="P11" t="s">
        <v>209</v>
      </c>
      <c r="Q11" t="s">
        <v>3</v>
      </c>
      <c r="R11" t="str">
        <f>R116</f>
        <v>追放からの召還/Return from Exile</v>
      </c>
      <c r="S11" t="s">
        <v>3</v>
      </c>
      <c r="T11">
        <f>H122</f>
        <v>18</v>
      </c>
      <c r="U11" t="s">
        <v>3</v>
      </c>
    </row>
    <row r="12" spans="1:23" x14ac:dyDescent="0.15">
      <c r="A12" t="str">
        <f t="shared" si="0"/>
        <v>|&gt;|&gt;|&gt;|&gt;|&gt;|&gt;|&gt;|&gt;|最後に追放したクリーチャー3枚を戦場に戻す。|</v>
      </c>
      <c r="C12" t="s">
        <v>3</v>
      </c>
      <c r="D12" t="s">
        <v>209</v>
      </c>
      <c r="E12" t="s">
        <v>3</v>
      </c>
      <c r="F12" t="s">
        <v>209</v>
      </c>
      <c r="G12" t="s">
        <v>3</v>
      </c>
      <c r="H12" t="s">
        <v>209</v>
      </c>
      <c r="I12" t="s">
        <v>3</v>
      </c>
      <c r="J12" t="s">
        <v>209</v>
      </c>
      <c r="K12" t="s">
        <v>3</v>
      </c>
      <c r="L12" t="s">
        <v>209</v>
      </c>
      <c r="M12" t="s">
        <v>3</v>
      </c>
      <c r="N12" t="s">
        <v>209</v>
      </c>
      <c r="O12" t="s">
        <v>3</v>
      </c>
      <c r="P12" t="s">
        <v>209</v>
      </c>
      <c r="Q12" t="s">
        <v>3</v>
      </c>
      <c r="R12" t="s">
        <v>209</v>
      </c>
      <c r="S12" t="s">
        <v>3</v>
      </c>
      <c r="T12" t="str">
        <f>J122</f>
        <v>最後に追放したクリーチャー3枚を戦場に戻す。</v>
      </c>
      <c r="U12" t="s">
        <v>3</v>
      </c>
    </row>
    <row r="13" spans="1:23" x14ac:dyDescent="0.15">
      <c r="A13" t="str">
        <f t="shared" si="0"/>
        <v/>
      </c>
    </row>
    <row r="14" spans="1:23" x14ac:dyDescent="0.15">
      <c r="A14" t="str">
        <f t="shared" ref="A14:A33" si="1">B14&amp;C14&amp;D14&amp;E14&amp;F14&amp;G14&amp;H14&amp;I14&amp;J14&amp;K14&amp;L14&amp;M14&amp;N14&amp;O14&amp;P14&amp;Q14&amp;R14&amp;S14&amp;T14&amp;U14</f>
        <v>*評価</v>
      </c>
      <c r="B14" t="s">
        <v>592</v>
      </c>
      <c r="C14" t="s">
        <v>593</v>
      </c>
    </row>
    <row r="15" spans="1:23" x14ac:dyDescent="0.15">
      <c r="A15" t="str">
        <f t="shared" si="1"/>
        <v>・HPは平均以上</v>
      </c>
      <c r="B15" t="s">
        <v>594</v>
      </c>
      <c r="C15" s="8" t="s">
        <v>653</v>
      </c>
      <c r="D15" t="str">
        <f>IF(D5&gt;110,"以上",IF(D5&gt;104,"","以下"))</f>
        <v>以上</v>
      </c>
    </row>
    <row r="16" spans="1:23" x14ac:dyDescent="0.15">
      <c r="A16" t="str">
        <f t="shared" si="1"/>
        <v>・マナボーナス合計は+9。平均以上。</v>
      </c>
      <c r="B16" t="s">
        <v>594</v>
      </c>
      <c r="C16" t="s">
        <v>595</v>
      </c>
      <c r="D16">
        <f>SUM(F5:N5)</f>
        <v>9</v>
      </c>
      <c r="E16" t="s">
        <v>596</v>
      </c>
      <c r="F16" t="s">
        <v>597</v>
      </c>
      <c r="G16" t="str">
        <f>IF(D16&gt;8,"以上",IF(D16&gt;6,"","以下"))</f>
        <v>以上</v>
      </c>
      <c r="H16" t="s">
        <v>596</v>
      </c>
    </row>
    <row r="17" spans="1:5" x14ac:dyDescent="0.15">
      <c r="A17" t="str">
        <f t="shared" si="1"/>
        <v>・</v>
      </c>
      <c r="B17" t="s">
        <v>594</v>
      </c>
    </row>
    <row r="18" spans="1:5" x14ac:dyDescent="0.15">
      <c r="A18" t="str">
        <f t="shared" si="1"/>
        <v>・</v>
      </c>
      <c r="B18" t="s">
        <v>594</v>
      </c>
    </row>
    <row r="19" spans="1:5" x14ac:dyDescent="0.15">
      <c r="A19" t="str">
        <f t="shared" si="1"/>
        <v>・</v>
      </c>
      <c r="B19" t="s">
        <v>594</v>
      </c>
    </row>
    <row r="20" spans="1:5" x14ac:dyDescent="0.15">
      <c r="A20" t="str">
        <f t="shared" si="1"/>
        <v>*採用候補</v>
      </c>
      <c r="B20" s="8" t="s">
        <v>652</v>
      </c>
    </row>
    <row r="21" spans="1:5" x14ac:dyDescent="0.15">
      <c r="A21" t="str">
        <f t="shared" si="1"/>
        <v>・色が合えば採用候補レベルのものではなく、PWに合った採用候補を紹介</v>
      </c>
      <c r="B21" t="s">
        <v>645</v>
      </c>
    </row>
    <row r="22" spans="1:5" x14ac:dyDescent="0.15">
      <c r="A22" t="str">
        <f t="shared" si="1"/>
        <v/>
      </c>
    </row>
    <row r="23" spans="1:5" x14ac:dyDescent="0.15">
      <c r="A23" t="str">
        <f t="shared" si="1"/>
        <v>**スタンダード</v>
      </c>
      <c r="B23" s="8" t="s">
        <v>650</v>
      </c>
    </row>
    <row r="24" spans="1:5" x14ac:dyDescent="0.15">
      <c r="A24" t="str">
        <f t="shared" si="1"/>
        <v>スタンダード(ORI/KLD/AKH/HOU期)</v>
      </c>
      <c r="B24" t="s">
        <v>646</v>
      </c>
    </row>
    <row r="25" spans="1:5" x14ac:dyDescent="0.15">
      <c r="A25" t="str">
        <f t="shared" si="1"/>
        <v>《[[]]》：</v>
      </c>
      <c r="B25" s="8" t="s">
        <v>647</v>
      </c>
      <c r="D25" t="s">
        <v>648</v>
      </c>
      <c r="E25" s="8" t="s">
        <v>649</v>
      </c>
    </row>
    <row r="26" spans="1:5" x14ac:dyDescent="0.15">
      <c r="A26" t="str">
        <f t="shared" si="1"/>
        <v>《[[]]》：</v>
      </c>
      <c r="B26" s="8" t="s">
        <v>647</v>
      </c>
      <c r="D26" t="s">
        <v>648</v>
      </c>
      <c r="E26" s="8" t="s">
        <v>649</v>
      </c>
    </row>
    <row r="27" spans="1:5" x14ac:dyDescent="0.15">
      <c r="A27" t="str">
        <f t="shared" si="1"/>
        <v/>
      </c>
    </row>
    <row r="28" spans="1:5" x14ac:dyDescent="0.15">
      <c r="A28" t="str">
        <f t="shared" si="1"/>
        <v/>
      </c>
    </row>
    <row r="29" spans="1:5" x14ac:dyDescent="0.15">
      <c r="A29" t="str">
        <f t="shared" si="1"/>
        <v>**レガシー</v>
      </c>
      <c r="B29" s="8" t="s">
        <v>651</v>
      </c>
    </row>
    <row r="30" spans="1:5" x14ac:dyDescent="0.15">
      <c r="A30" t="str">
        <f t="shared" si="1"/>
        <v>《[[]]》：</v>
      </c>
      <c r="B30" s="8" t="s">
        <v>647</v>
      </c>
      <c r="D30" t="s">
        <v>648</v>
      </c>
      <c r="E30" s="8" t="s">
        <v>649</v>
      </c>
    </row>
    <row r="31" spans="1:5" x14ac:dyDescent="0.15">
      <c r="A31" t="str">
        <f t="shared" si="1"/>
        <v>《[[]]》：</v>
      </c>
      <c r="B31" s="8" t="s">
        <v>647</v>
      </c>
      <c r="D31" t="s">
        <v>648</v>
      </c>
      <c r="E31" s="8" t="s">
        <v>649</v>
      </c>
    </row>
    <row r="32" spans="1:5" x14ac:dyDescent="0.15">
      <c r="A32" t="str">
        <f t="shared" si="1"/>
        <v/>
      </c>
    </row>
    <row r="33" spans="1:8" x14ac:dyDescent="0.15">
      <c r="A33" t="str">
        <f t="shared" si="1"/>
        <v>#region(close,text=Lv60までの詳細データ)</v>
      </c>
      <c r="B33" t="s">
        <v>598</v>
      </c>
    </row>
    <row r="34" spans="1:8" x14ac:dyDescent="0.15">
      <c r="A34" t="str">
        <f>B34&amp;C34&amp;D34&amp;E34&amp;F34&amp;G34&amp;H34&amp;I34&amp;J34&amp;K34&amp;L34&amp;M34&amp;N34&amp;O34&amp;P34</f>
        <v/>
      </c>
    </row>
    <row r="35" spans="1:8" x14ac:dyDescent="0.15">
      <c r="A35" t="str">
        <f>B35&amp;C35&amp;D35&amp;E35&amp;F35&amp;G35&amp;H35&amp;I35&amp;J35&amp;K35&amp;L35&amp;M35&amp;N35&amp;O35&amp;P35</f>
        <v>&amp;br;</v>
      </c>
      <c r="B35" t="s">
        <v>0</v>
      </c>
    </row>
    <row r="36" spans="1:8" x14ac:dyDescent="0.15">
      <c r="A36" t="str">
        <f>B36&amp;C36&amp;D36&amp;E36&amp;F36&amp;G36&amp;H36&amp;I36&amp;J36&amp;K36&amp;L36&amp;M36&amp;N36&amp;O36&amp;P36</f>
        <v>*HP</v>
      </c>
      <c r="B36" s="8" t="s">
        <v>644</v>
      </c>
    </row>
    <row r="37" spans="1:8" x14ac:dyDescent="0.15">
      <c r="A37" t="str">
        <f>B37&amp;C37&amp;D37&amp;E37&amp;F37&amp;G37&amp;H37</f>
        <v>|LEFT:50|LEFT:50|c</v>
      </c>
      <c r="B37" t="s">
        <v>3</v>
      </c>
      <c r="C37" t="s">
        <v>4</v>
      </c>
      <c r="E37" t="s">
        <v>3</v>
      </c>
      <c r="F37" t="s">
        <v>4</v>
      </c>
      <c r="G37" t="s">
        <v>3</v>
      </c>
      <c r="H37" t="s">
        <v>5</v>
      </c>
    </row>
    <row r="38" spans="1:8" x14ac:dyDescent="0.15">
      <c r="A38" t="str">
        <f t="shared" ref="A38:A67" si="2">B38&amp;C38&amp;D38&amp;E38&amp;F38&amp;G38&amp;H38</f>
        <v>|レベル|HP|</v>
      </c>
      <c r="B38" t="s">
        <v>3</v>
      </c>
      <c r="C38" t="s">
        <v>6</v>
      </c>
      <c r="E38" t="s">
        <v>3</v>
      </c>
      <c r="F38" t="s">
        <v>7</v>
      </c>
      <c r="G38" t="s">
        <v>3</v>
      </c>
    </row>
    <row r="39" spans="1:8" x14ac:dyDescent="0.15">
      <c r="A39" t="str">
        <f t="shared" si="2"/>
        <v>|Lv1|45|</v>
      </c>
      <c r="B39" t="s">
        <v>3</v>
      </c>
      <c r="C39" t="s">
        <v>8</v>
      </c>
      <c r="D39">
        <v>1</v>
      </c>
      <c r="E39" t="s">
        <v>3</v>
      </c>
      <c r="F39">
        <f>B202</f>
        <v>45</v>
      </c>
      <c r="G39" t="s">
        <v>3</v>
      </c>
    </row>
    <row r="40" spans="1:8" x14ac:dyDescent="0.15">
      <c r="A40" t="str">
        <f t="shared" si="2"/>
        <v>|Lv3|48|</v>
      </c>
      <c r="B40" t="s">
        <v>3</v>
      </c>
      <c r="C40" t="s">
        <v>8</v>
      </c>
      <c r="D40">
        <v>3</v>
      </c>
      <c r="E40" t="s">
        <v>3</v>
      </c>
      <c r="F40">
        <f t="shared" ref="F40:F67" si="3">IF(ISBLANK(D40),"",F39+INDEX($H$127:$H$186,D40))</f>
        <v>48</v>
      </c>
      <c r="G40" t="s">
        <v>3</v>
      </c>
    </row>
    <row r="41" spans="1:8" x14ac:dyDescent="0.15">
      <c r="A41" t="str">
        <f t="shared" si="2"/>
        <v>|Lv5|50|</v>
      </c>
      <c r="B41" t="s">
        <v>3</v>
      </c>
      <c r="C41" t="s">
        <v>8</v>
      </c>
      <c r="D41">
        <v>5</v>
      </c>
      <c r="E41" t="s">
        <v>3</v>
      </c>
      <c r="F41">
        <f t="shared" si="3"/>
        <v>50</v>
      </c>
      <c r="G41" t="s">
        <v>3</v>
      </c>
    </row>
    <row r="42" spans="1:8" x14ac:dyDescent="0.15">
      <c r="A42" t="str">
        <f t="shared" si="2"/>
        <v>|Lv7|53|</v>
      </c>
      <c r="B42" t="s">
        <v>3</v>
      </c>
      <c r="C42" t="s">
        <v>8</v>
      </c>
      <c r="D42">
        <v>7</v>
      </c>
      <c r="E42" t="s">
        <v>3</v>
      </c>
      <c r="F42">
        <f t="shared" si="3"/>
        <v>53</v>
      </c>
      <c r="G42" t="s">
        <v>3</v>
      </c>
    </row>
    <row r="43" spans="1:8" x14ac:dyDescent="0.15">
      <c r="A43" t="str">
        <f t="shared" si="2"/>
        <v>|Lv9|55|</v>
      </c>
      <c r="B43" t="s">
        <v>3</v>
      </c>
      <c r="C43" t="s">
        <v>8</v>
      </c>
      <c r="D43">
        <v>9</v>
      </c>
      <c r="E43" t="s">
        <v>3</v>
      </c>
      <c r="F43">
        <f t="shared" si="3"/>
        <v>55</v>
      </c>
      <c r="G43" t="s">
        <v>3</v>
      </c>
    </row>
    <row r="44" spans="1:8" x14ac:dyDescent="0.15">
      <c r="A44" t="str">
        <f t="shared" si="2"/>
        <v>|Lv11|58|</v>
      </c>
      <c r="B44" t="s">
        <v>3</v>
      </c>
      <c r="C44" t="s">
        <v>8</v>
      </c>
      <c r="D44">
        <v>11</v>
      </c>
      <c r="E44" t="s">
        <v>3</v>
      </c>
      <c r="F44">
        <f t="shared" si="3"/>
        <v>58</v>
      </c>
      <c r="G44" t="s">
        <v>3</v>
      </c>
    </row>
    <row r="45" spans="1:8" x14ac:dyDescent="0.15">
      <c r="A45" t="str">
        <f t="shared" si="2"/>
        <v>|Lv13|60|</v>
      </c>
      <c r="B45" t="s">
        <v>3</v>
      </c>
      <c r="C45" t="s">
        <v>8</v>
      </c>
      <c r="D45">
        <v>13</v>
      </c>
      <c r="E45" t="s">
        <v>3</v>
      </c>
      <c r="F45">
        <f t="shared" si="3"/>
        <v>60</v>
      </c>
      <c r="G45" t="s">
        <v>3</v>
      </c>
    </row>
    <row r="46" spans="1:8" x14ac:dyDescent="0.15">
      <c r="A46" t="str">
        <f t="shared" si="2"/>
        <v>|Lv15|63|</v>
      </c>
      <c r="B46" t="s">
        <v>3</v>
      </c>
      <c r="C46" t="s">
        <v>8</v>
      </c>
      <c r="D46">
        <v>15</v>
      </c>
      <c r="E46" t="s">
        <v>3</v>
      </c>
      <c r="F46">
        <f t="shared" si="3"/>
        <v>63</v>
      </c>
      <c r="G46" t="s">
        <v>3</v>
      </c>
    </row>
    <row r="47" spans="1:8" x14ac:dyDescent="0.15">
      <c r="A47" t="str">
        <f t="shared" si="2"/>
        <v>|Lv17|65|</v>
      </c>
      <c r="B47" t="s">
        <v>3</v>
      </c>
      <c r="C47" t="s">
        <v>8</v>
      </c>
      <c r="D47">
        <v>17</v>
      </c>
      <c r="E47" t="s">
        <v>3</v>
      </c>
      <c r="F47">
        <f t="shared" si="3"/>
        <v>65</v>
      </c>
      <c r="G47" t="s">
        <v>3</v>
      </c>
    </row>
    <row r="48" spans="1:8" x14ac:dyDescent="0.15">
      <c r="A48" t="str">
        <f t="shared" si="2"/>
        <v>|Lv19|68|</v>
      </c>
      <c r="B48" t="s">
        <v>3</v>
      </c>
      <c r="C48" t="s">
        <v>8</v>
      </c>
      <c r="D48">
        <v>19</v>
      </c>
      <c r="E48" t="s">
        <v>3</v>
      </c>
      <c r="F48">
        <f t="shared" si="3"/>
        <v>68</v>
      </c>
      <c r="G48" t="s">
        <v>3</v>
      </c>
    </row>
    <row r="49" spans="1:7" x14ac:dyDescent="0.15">
      <c r="A49" t="str">
        <f t="shared" si="2"/>
        <v>|Lv21|70|</v>
      </c>
      <c r="B49" t="s">
        <v>3</v>
      </c>
      <c r="C49" t="s">
        <v>8</v>
      </c>
      <c r="D49">
        <v>21</v>
      </c>
      <c r="E49" t="s">
        <v>3</v>
      </c>
      <c r="F49">
        <f t="shared" si="3"/>
        <v>70</v>
      </c>
      <c r="G49" t="s">
        <v>3</v>
      </c>
    </row>
    <row r="50" spans="1:7" x14ac:dyDescent="0.15">
      <c r="A50" t="str">
        <f t="shared" si="2"/>
        <v>|Lv23|73|</v>
      </c>
      <c r="B50" t="s">
        <v>3</v>
      </c>
      <c r="C50" t="s">
        <v>8</v>
      </c>
      <c r="D50">
        <v>23</v>
      </c>
      <c r="E50" t="s">
        <v>3</v>
      </c>
      <c r="F50">
        <f t="shared" si="3"/>
        <v>73</v>
      </c>
      <c r="G50" t="s">
        <v>3</v>
      </c>
    </row>
    <row r="51" spans="1:7" x14ac:dyDescent="0.15">
      <c r="A51" t="str">
        <f t="shared" si="2"/>
        <v>|Lv25|75|</v>
      </c>
      <c r="B51" t="s">
        <v>3</v>
      </c>
      <c r="C51" t="s">
        <v>8</v>
      </c>
      <c r="D51">
        <v>25</v>
      </c>
      <c r="E51" t="s">
        <v>3</v>
      </c>
      <c r="F51">
        <f t="shared" si="3"/>
        <v>75</v>
      </c>
      <c r="G51" t="s">
        <v>3</v>
      </c>
    </row>
    <row r="52" spans="1:7" x14ac:dyDescent="0.15">
      <c r="A52" t="str">
        <f t="shared" si="2"/>
        <v>|Lv27|78|</v>
      </c>
      <c r="B52" t="s">
        <v>3</v>
      </c>
      <c r="C52" t="s">
        <v>8</v>
      </c>
      <c r="D52">
        <v>27</v>
      </c>
      <c r="E52" t="s">
        <v>3</v>
      </c>
      <c r="F52">
        <f t="shared" si="3"/>
        <v>78</v>
      </c>
      <c r="G52" t="s">
        <v>3</v>
      </c>
    </row>
    <row r="53" spans="1:7" x14ac:dyDescent="0.15">
      <c r="A53" t="str">
        <f t="shared" si="2"/>
        <v>|Lv29|80|</v>
      </c>
      <c r="B53" t="s">
        <v>3</v>
      </c>
      <c r="C53" t="s">
        <v>8</v>
      </c>
      <c r="D53">
        <v>29</v>
      </c>
      <c r="E53" t="s">
        <v>3</v>
      </c>
      <c r="F53">
        <f t="shared" si="3"/>
        <v>80</v>
      </c>
      <c r="G53" t="s">
        <v>3</v>
      </c>
    </row>
    <row r="54" spans="1:7" x14ac:dyDescent="0.15">
      <c r="A54" t="str">
        <f t="shared" si="2"/>
        <v>|Lv31|83|</v>
      </c>
      <c r="B54" t="s">
        <v>3</v>
      </c>
      <c r="C54" t="s">
        <v>8</v>
      </c>
      <c r="D54">
        <v>31</v>
      </c>
      <c r="E54" t="s">
        <v>3</v>
      </c>
      <c r="F54">
        <f t="shared" si="3"/>
        <v>83</v>
      </c>
      <c r="G54" t="s">
        <v>3</v>
      </c>
    </row>
    <row r="55" spans="1:7" x14ac:dyDescent="0.15">
      <c r="A55" t="str">
        <f t="shared" si="2"/>
        <v>|Lv33|85|</v>
      </c>
      <c r="B55" t="s">
        <v>3</v>
      </c>
      <c r="C55" t="s">
        <v>8</v>
      </c>
      <c r="D55">
        <v>33</v>
      </c>
      <c r="E55" t="s">
        <v>3</v>
      </c>
      <c r="F55">
        <f t="shared" si="3"/>
        <v>85</v>
      </c>
      <c r="G55" t="s">
        <v>3</v>
      </c>
    </row>
    <row r="56" spans="1:7" x14ac:dyDescent="0.15">
      <c r="A56" t="str">
        <f t="shared" si="2"/>
        <v>|Lv35|88|</v>
      </c>
      <c r="B56" t="s">
        <v>3</v>
      </c>
      <c r="C56" t="s">
        <v>8</v>
      </c>
      <c r="D56">
        <v>35</v>
      </c>
      <c r="E56" t="s">
        <v>3</v>
      </c>
      <c r="F56">
        <f t="shared" si="3"/>
        <v>88</v>
      </c>
      <c r="G56" t="s">
        <v>3</v>
      </c>
    </row>
    <row r="57" spans="1:7" x14ac:dyDescent="0.15">
      <c r="A57" t="str">
        <f t="shared" si="2"/>
        <v>|Lv37|90|</v>
      </c>
      <c r="B57" t="s">
        <v>3</v>
      </c>
      <c r="C57" t="s">
        <v>8</v>
      </c>
      <c r="D57">
        <v>37</v>
      </c>
      <c r="E57" t="s">
        <v>3</v>
      </c>
      <c r="F57">
        <f t="shared" si="3"/>
        <v>90</v>
      </c>
      <c r="G57" t="s">
        <v>3</v>
      </c>
    </row>
    <row r="58" spans="1:7" x14ac:dyDescent="0.15">
      <c r="A58" t="str">
        <f t="shared" si="2"/>
        <v>|Lv39|93|</v>
      </c>
      <c r="B58" t="s">
        <v>3</v>
      </c>
      <c r="C58" t="s">
        <v>8</v>
      </c>
      <c r="D58">
        <v>39</v>
      </c>
      <c r="E58" t="s">
        <v>3</v>
      </c>
      <c r="F58">
        <f t="shared" si="3"/>
        <v>93</v>
      </c>
      <c r="G58" t="s">
        <v>3</v>
      </c>
    </row>
    <row r="59" spans="1:7" x14ac:dyDescent="0.15">
      <c r="A59" t="str">
        <f t="shared" si="2"/>
        <v>|Lv41|95|</v>
      </c>
      <c r="B59" t="s">
        <v>3</v>
      </c>
      <c r="C59" t="s">
        <v>8</v>
      </c>
      <c r="D59">
        <v>41</v>
      </c>
      <c r="E59" t="s">
        <v>3</v>
      </c>
      <c r="F59">
        <f t="shared" si="3"/>
        <v>95</v>
      </c>
      <c r="G59" t="s">
        <v>3</v>
      </c>
    </row>
    <row r="60" spans="1:7" x14ac:dyDescent="0.15">
      <c r="A60" t="str">
        <f t="shared" si="2"/>
        <v>|Lv43|98|</v>
      </c>
      <c r="B60" t="s">
        <v>3</v>
      </c>
      <c r="C60" t="s">
        <v>8</v>
      </c>
      <c r="D60">
        <v>43</v>
      </c>
      <c r="E60" t="s">
        <v>3</v>
      </c>
      <c r="F60">
        <f t="shared" si="3"/>
        <v>98</v>
      </c>
      <c r="G60" t="s">
        <v>3</v>
      </c>
    </row>
    <row r="61" spans="1:7" x14ac:dyDescent="0.15">
      <c r="A61" t="str">
        <f t="shared" si="2"/>
        <v>|Lv45|100|</v>
      </c>
      <c r="B61" t="s">
        <v>3</v>
      </c>
      <c r="C61" t="s">
        <v>8</v>
      </c>
      <c r="D61">
        <v>45</v>
      </c>
      <c r="E61" t="s">
        <v>3</v>
      </c>
      <c r="F61">
        <f t="shared" si="3"/>
        <v>100</v>
      </c>
      <c r="G61" t="s">
        <v>3</v>
      </c>
    </row>
    <row r="62" spans="1:7" x14ac:dyDescent="0.15">
      <c r="A62" t="str">
        <f t="shared" si="2"/>
        <v>|Lv47|103|</v>
      </c>
      <c r="B62" t="s">
        <v>3</v>
      </c>
      <c r="C62" t="s">
        <v>8</v>
      </c>
      <c r="D62">
        <v>47</v>
      </c>
      <c r="E62" t="s">
        <v>3</v>
      </c>
      <c r="F62">
        <f t="shared" si="3"/>
        <v>103</v>
      </c>
      <c r="G62" t="s">
        <v>3</v>
      </c>
    </row>
    <row r="63" spans="1:7" x14ac:dyDescent="0.15">
      <c r="A63" t="str">
        <f t="shared" si="2"/>
        <v>|Lv49|105|</v>
      </c>
      <c r="B63" t="s">
        <v>3</v>
      </c>
      <c r="C63" t="s">
        <v>8</v>
      </c>
      <c r="D63">
        <v>49</v>
      </c>
      <c r="E63" t="s">
        <v>3</v>
      </c>
      <c r="F63">
        <f t="shared" si="3"/>
        <v>105</v>
      </c>
      <c r="G63" t="s">
        <v>3</v>
      </c>
    </row>
    <row r="64" spans="1:7" x14ac:dyDescent="0.15">
      <c r="A64" t="str">
        <f t="shared" si="2"/>
        <v>|Lv51|108|</v>
      </c>
      <c r="B64" t="s">
        <v>3</v>
      </c>
      <c r="C64" t="s">
        <v>8</v>
      </c>
      <c r="D64">
        <v>51</v>
      </c>
      <c r="E64" t="s">
        <v>3</v>
      </c>
      <c r="F64">
        <f t="shared" si="3"/>
        <v>108</v>
      </c>
      <c r="G64" t="s">
        <v>3</v>
      </c>
    </row>
    <row r="65" spans="1:19" x14ac:dyDescent="0.15">
      <c r="A65" t="str">
        <f t="shared" si="2"/>
        <v>|Lv53|110|</v>
      </c>
      <c r="B65" t="s">
        <v>3</v>
      </c>
      <c r="C65" t="s">
        <v>8</v>
      </c>
      <c r="D65">
        <v>53</v>
      </c>
      <c r="E65" t="s">
        <v>3</v>
      </c>
      <c r="F65">
        <f t="shared" si="3"/>
        <v>110</v>
      </c>
      <c r="G65" t="s">
        <v>3</v>
      </c>
    </row>
    <row r="66" spans="1:19" x14ac:dyDescent="0.15">
      <c r="A66" t="str">
        <f t="shared" si="2"/>
        <v>|Lv55|113|</v>
      </c>
      <c r="B66" t="s">
        <v>3</v>
      </c>
      <c r="C66" t="s">
        <v>8</v>
      </c>
      <c r="D66">
        <v>55</v>
      </c>
      <c r="E66" t="s">
        <v>3</v>
      </c>
      <c r="F66">
        <f t="shared" si="3"/>
        <v>113</v>
      </c>
      <c r="G66" t="s">
        <v>3</v>
      </c>
    </row>
    <row r="67" spans="1:19" x14ac:dyDescent="0.15">
      <c r="A67" t="str">
        <f t="shared" si="2"/>
        <v>|Lv57|115|</v>
      </c>
      <c r="B67" t="s">
        <v>3</v>
      </c>
      <c r="C67" t="s">
        <v>8</v>
      </c>
      <c r="D67">
        <v>57</v>
      </c>
      <c r="E67" t="s">
        <v>3</v>
      </c>
      <c r="F67">
        <f t="shared" si="3"/>
        <v>115</v>
      </c>
      <c r="G67" t="s">
        <v>3</v>
      </c>
    </row>
    <row r="68" spans="1:19" x14ac:dyDescent="0.15">
      <c r="A68" t="str">
        <f>B68&amp;C68&amp;D68&amp;E68&amp;F68&amp;G68&amp;H68&amp;I68&amp;J68&amp;K68&amp;L68&amp;M68&amp;N68&amp;O68&amp;P68</f>
        <v>&amp;br;</v>
      </c>
      <c r="B68" t="s">
        <v>0</v>
      </c>
    </row>
    <row r="69" spans="1:19" x14ac:dyDescent="0.15">
      <c r="A69" t="str">
        <f>B69&amp;C69&amp;D69&amp;E69&amp;F69&amp;G69&amp;H69&amp;I69&amp;J69&amp;K69&amp;L69&amp;M69&amp;N69&amp;O69&amp;P69</f>
        <v>&amp;br;</v>
      </c>
      <c r="B69" t="s">
        <v>0</v>
      </c>
    </row>
    <row r="70" spans="1:19" x14ac:dyDescent="0.15">
      <c r="A70" t="str">
        <f>B70&amp;C70&amp;D70&amp;E70&amp;F70&amp;G70&amp;H70&amp;I70&amp;J70&amp;K70&amp;L70&amp;M70&amp;N70&amp;O70&amp;P70</f>
        <v>*マナボーナス [#q1a26f54]</v>
      </c>
      <c r="B70" t="s">
        <v>9</v>
      </c>
    </row>
    <row r="71" spans="1:19" x14ac:dyDescent="0.15">
      <c r="A71" t="str">
        <f t="shared" ref="A71:A82" si="4">B71&amp;C71&amp;D71&amp;G71&amp;H71&amp;I71&amp;J71&amp;K71&amp;L71&amp;M71&amp;N71&amp;O71&amp;P71&amp;Q71&amp;R71</f>
        <v>|LEFT:50|LEFT:50|LEFT:50|LEFT:50|LEFT:50|LEFT:50|c</v>
      </c>
      <c r="B71" t="s">
        <v>3</v>
      </c>
      <c r="C71" t="s">
        <v>4</v>
      </c>
      <c r="E71" t="s">
        <v>3</v>
      </c>
      <c r="G71" t="s">
        <v>3</v>
      </c>
      <c r="H71" t="s">
        <v>4</v>
      </c>
      <c r="I71" t="s">
        <v>3</v>
      </c>
      <c r="J71" t="s">
        <v>4</v>
      </c>
      <c r="K71" t="s">
        <v>3</v>
      </c>
      <c r="L71" t="s">
        <v>4</v>
      </c>
      <c r="M71" t="s">
        <v>3</v>
      </c>
      <c r="N71" t="s">
        <v>4</v>
      </c>
      <c r="O71" t="s">
        <v>3</v>
      </c>
      <c r="P71" t="s">
        <v>4</v>
      </c>
      <c r="Q71" t="s">
        <v>3</v>
      </c>
      <c r="R71" t="s">
        <v>5</v>
      </c>
    </row>
    <row r="72" spans="1:19" x14ac:dyDescent="0.15">
      <c r="A72" t="str">
        <f t="shared" si="4"/>
        <v>|レベル|白|青|黒|赤|緑|</v>
      </c>
      <c r="B72" t="s">
        <v>3</v>
      </c>
      <c r="C72" t="s">
        <v>6</v>
      </c>
      <c r="E72" t="s">
        <v>3</v>
      </c>
      <c r="F72" t="s">
        <v>10</v>
      </c>
      <c r="G72" t="s">
        <v>3</v>
      </c>
      <c r="H72" t="s">
        <v>11</v>
      </c>
      <c r="I72" t="s">
        <v>3</v>
      </c>
      <c r="J72" t="s">
        <v>12</v>
      </c>
      <c r="K72" t="s">
        <v>3</v>
      </c>
      <c r="L72" t="s">
        <v>13</v>
      </c>
      <c r="M72" t="s">
        <v>3</v>
      </c>
      <c r="N72" t="s">
        <v>14</v>
      </c>
      <c r="O72" t="s">
        <v>3</v>
      </c>
      <c r="P72" t="s">
        <v>15</v>
      </c>
      <c r="Q72" t="s">
        <v>3</v>
      </c>
      <c r="S72" t="s">
        <v>11</v>
      </c>
    </row>
    <row r="73" spans="1:19" x14ac:dyDescent="0.15">
      <c r="A73" t="str">
        <f t="shared" si="4"/>
        <v>|Lv1|2|-1|-1|-1|1|</v>
      </c>
      <c r="B73" t="s">
        <v>3</v>
      </c>
      <c r="C73" t="s">
        <v>8</v>
      </c>
      <c r="D73">
        <v>1</v>
      </c>
      <c r="E73" t="s">
        <v>3</v>
      </c>
      <c r="G73" t="s">
        <v>3</v>
      </c>
      <c r="H73">
        <f>B206</f>
        <v>2</v>
      </c>
      <c r="I73" t="s">
        <v>3</v>
      </c>
      <c r="J73">
        <f>C206</f>
        <v>-1</v>
      </c>
      <c r="K73" t="s">
        <v>3</v>
      </c>
      <c r="L73">
        <f>D206</f>
        <v>-1</v>
      </c>
      <c r="M73" t="s">
        <v>3</v>
      </c>
      <c r="N73">
        <f>E206</f>
        <v>-1</v>
      </c>
      <c r="O73" t="s">
        <v>3</v>
      </c>
      <c r="P73">
        <f>F206</f>
        <v>1</v>
      </c>
      <c r="Q73" t="s">
        <v>3</v>
      </c>
      <c r="S73" t="s">
        <v>12</v>
      </c>
    </row>
    <row r="74" spans="1:19" x14ac:dyDescent="0.15">
      <c r="A74" t="str">
        <f t="shared" si="4"/>
        <v>|Lv2|3|-1|-1|-1|1|</v>
      </c>
      <c r="B74" t="s">
        <v>3</v>
      </c>
      <c r="C74" t="s">
        <v>8</v>
      </c>
      <c r="D74">
        <v>2</v>
      </c>
      <c r="E74" t="s">
        <v>3</v>
      </c>
      <c r="F74" t="str">
        <f t="shared" ref="F74:F82" si="5">IF(ISBLANK(D74),"",INDEX($F$127:$F$186,D74))</f>
        <v>白</v>
      </c>
      <c r="G74" t="s">
        <v>3</v>
      </c>
      <c r="H74">
        <f t="shared" ref="H74:H82" si="6">H73+IF(H$72=$F74,1,0)</f>
        <v>3</v>
      </c>
      <c r="I74" t="str">
        <f t="shared" ref="I74:Q82" si="7">I73</f>
        <v>|</v>
      </c>
      <c r="J74">
        <f t="shared" ref="J74:J82" si="8">J73+IF(J$72=$F74,1,0)</f>
        <v>-1</v>
      </c>
      <c r="K74" t="str">
        <f t="shared" si="7"/>
        <v>|</v>
      </c>
      <c r="L74">
        <f t="shared" ref="L74:L82" si="9">L73+IF(L$72=$F74,1,0)</f>
        <v>-1</v>
      </c>
      <c r="M74" t="str">
        <f t="shared" si="7"/>
        <v>|</v>
      </c>
      <c r="N74">
        <f t="shared" ref="N74:N82" si="10">N73+IF(N$72=$F74,1,0)</f>
        <v>-1</v>
      </c>
      <c r="O74" t="str">
        <f t="shared" si="7"/>
        <v>|</v>
      </c>
      <c r="P74">
        <f t="shared" ref="P74:P82" si="11">P73+IF(P$72=$F74,1,0)</f>
        <v>1</v>
      </c>
      <c r="Q74" t="str">
        <f t="shared" si="7"/>
        <v>|</v>
      </c>
      <c r="S74" t="s">
        <v>13</v>
      </c>
    </row>
    <row r="75" spans="1:19" x14ac:dyDescent="0.15">
      <c r="A75" t="str">
        <f t="shared" si="4"/>
        <v>|Lv8|3|-1|-1|-1|2|</v>
      </c>
      <c r="B75" t="s">
        <v>3</v>
      </c>
      <c r="C75" t="s">
        <v>8</v>
      </c>
      <c r="D75">
        <v>8</v>
      </c>
      <c r="E75" t="s">
        <v>3</v>
      </c>
      <c r="F75" t="str">
        <f t="shared" si="5"/>
        <v>緑</v>
      </c>
      <c r="G75" t="s">
        <v>3</v>
      </c>
      <c r="H75">
        <f t="shared" si="6"/>
        <v>3</v>
      </c>
      <c r="I75" t="str">
        <f t="shared" si="7"/>
        <v>|</v>
      </c>
      <c r="J75">
        <f t="shared" si="8"/>
        <v>-1</v>
      </c>
      <c r="K75" t="str">
        <f t="shared" si="7"/>
        <v>|</v>
      </c>
      <c r="L75">
        <f t="shared" si="9"/>
        <v>-1</v>
      </c>
      <c r="M75" t="str">
        <f t="shared" si="7"/>
        <v>|</v>
      </c>
      <c r="N75">
        <f t="shared" si="10"/>
        <v>-1</v>
      </c>
      <c r="O75" t="str">
        <f t="shared" si="7"/>
        <v>|</v>
      </c>
      <c r="P75">
        <f t="shared" si="11"/>
        <v>2</v>
      </c>
      <c r="Q75" t="str">
        <f t="shared" si="7"/>
        <v>|</v>
      </c>
      <c r="S75" t="s">
        <v>14</v>
      </c>
    </row>
    <row r="76" spans="1:19" x14ac:dyDescent="0.15">
      <c r="A76" t="str">
        <f t="shared" si="4"/>
        <v>|Lv14|3|-1|0|-1|2|</v>
      </c>
      <c r="B76" t="s">
        <v>3</v>
      </c>
      <c r="C76" t="s">
        <v>8</v>
      </c>
      <c r="D76">
        <v>14</v>
      </c>
      <c r="E76" t="s">
        <v>3</v>
      </c>
      <c r="F76" t="str">
        <f t="shared" si="5"/>
        <v>黒</v>
      </c>
      <c r="G76" t="s">
        <v>3</v>
      </c>
      <c r="H76">
        <f t="shared" si="6"/>
        <v>3</v>
      </c>
      <c r="I76" t="str">
        <f t="shared" si="7"/>
        <v>|</v>
      </c>
      <c r="J76">
        <f t="shared" si="8"/>
        <v>-1</v>
      </c>
      <c r="K76" t="str">
        <f t="shared" si="7"/>
        <v>|</v>
      </c>
      <c r="L76">
        <f t="shared" si="9"/>
        <v>0</v>
      </c>
      <c r="M76" t="str">
        <f t="shared" si="7"/>
        <v>|</v>
      </c>
      <c r="N76">
        <f t="shared" si="10"/>
        <v>-1</v>
      </c>
      <c r="O76" t="str">
        <f t="shared" si="7"/>
        <v>|</v>
      </c>
      <c r="P76">
        <f t="shared" si="11"/>
        <v>2</v>
      </c>
      <c r="Q76" t="str">
        <f t="shared" si="7"/>
        <v>|</v>
      </c>
      <c r="S76" t="s">
        <v>15</v>
      </c>
    </row>
    <row r="77" spans="1:19" x14ac:dyDescent="0.15">
      <c r="A77" t="str">
        <f t="shared" si="4"/>
        <v>|Lv20|3|0|0|-1|2|</v>
      </c>
      <c r="B77" t="s">
        <v>3</v>
      </c>
      <c r="C77" t="s">
        <v>8</v>
      </c>
      <c r="D77">
        <v>20</v>
      </c>
      <c r="E77" t="s">
        <v>3</v>
      </c>
      <c r="F77" t="str">
        <f t="shared" si="5"/>
        <v>青</v>
      </c>
      <c r="G77" t="s">
        <v>3</v>
      </c>
      <c r="H77">
        <f t="shared" si="6"/>
        <v>3</v>
      </c>
      <c r="I77" t="str">
        <f t="shared" si="7"/>
        <v>|</v>
      </c>
      <c r="J77">
        <f t="shared" si="8"/>
        <v>0</v>
      </c>
      <c r="K77" t="str">
        <f t="shared" si="7"/>
        <v>|</v>
      </c>
      <c r="L77">
        <f t="shared" si="9"/>
        <v>0</v>
      </c>
      <c r="M77" t="str">
        <f t="shared" si="7"/>
        <v>|</v>
      </c>
      <c r="N77">
        <f t="shared" si="10"/>
        <v>-1</v>
      </c>
      <c r="O77" t="str">
        <f t="shared" si="7"/>
        <v>|</v>
      </c>
      <c r="P77">
        <f t="shared" si="11"/>
        <v>2</v>
      </c>
      <c r="Q77" t="str">
        <f t="shared" si="7"/>
        <v>|</v>
      </c>
    </row>
    <row r="78" spans="1:19" x14ac:dyDescent="0.15">
      <c r="A78" t="str">
        <f t="shared" si="4"/>
        <v>|Lv28|4|0|0|-1|2|</v>
      </c>
      <c r="B78" t="s">
        <v>3</v>
      </c>
      <c r="C78" t="s">
        <v>8</v>
      </c>
      <c r="D78">
        <v>28</v>
      </c>
      <c r="E78" t="s">
        <v>3</v>
      </c>
      <c r="F78" t="str">
        <f t="shared" si="5"/>
        <v>白</v>
      </c>
      <c r="G78" t="s">
        <v>3</v>
      </c>
      <c r="H78">
        <f t="shared" si="6"/>
        <v>4</v>
      </c>
      <c r="I78" t="str">
        <f t="shared" si="7"/>
        <v>|</v>
      </c>
      <c r="J78">
        <f t="shared" si="8"/>
        <v>0</v>
      </c>
      <c r="K78" t="str">
        <f t="shared" si="7"/>
        <v>|</v>
      </c>
      <c r="L78">
        <f t="shared" si="9"/>
        <v>0</v>
      </c>
      <c r="M78" t="str">
        <f t="shared" si="7"/>
        <v>|</v>
      </c>
      <c r="N78">
        <f t="shared" si="10"/>
        <v>-1</v>
      </c>
      <c r="O78" t="str">
        <f t="shared" si="7"/>
        <v>|</v>
      </c>
      <c r="P78">
        <f t="shared" si="11"/>
        <v>2</v>
      </c>
      <c r="Q78" t="str">
        <f t="shared" si="7"/>
        <v>|</v>
      </c>
    </row>
    <row r="79" spans="1:19" x14ac:dyDescent="0.15">
      <c r="A79" t="str">
        <f t="shared" si="4"/>
        <v>|Lv34|4|0|0|0|2|</v>
      </c>
      <c r="B79" t="s">
        <v>3</v>
      </c>
      <c r="C79" t="s">
        <v>8</v>
      </c>
      <c r="D79">
        <v>34</v>
      </c>
      <c r="E79" t="s">
        <v>3</v>
      </c>
      <c r="F79" t="str">
        <f t="shared" si="5"/>
        <v>赤</v>
      </c>
      <c r="G79" t="s">
        <v>3</v>
      </c>
      <c r="H79">
        <f t="shared" si="6"/>
        <v>4</v>
      </c>
      <c r="I79" t="str">
        <f t="shared" si="7"/>
        <v>|</v>
      </c>
      <c r="J79">
        <f t="shared" si="8"/>
        <v>0</v>
      </c>
      <c r="K79" t="str">
        <f t="shared" si="7"/>
        <v>|</v>
      </c>
      <c r="L79">
        <f t="shared" si="9"/>
        <v>0</v>
      </c>
      <c r="M79" t="str">
        <f t="shared" si="7"/>
        <v>|</v>
      </c>
      <c r="N79">
        <f t="shared" si="10"/>
        <v>0</v>
      </c>
      <c r="O79" t="str">
        <f t="shared" si="7"/>
        <v>|</v>
      </c>
      <c r="P79">
        <f t="shared" si="11"/>
        <v>2</v>
      </c>
      <c r="Q79" t="str">
        <f t="shared" si="7"/>
        <v>|</v>
      </c>
    </row>
    <row r="80" spans="1:19" x14ac:dyDescent="0.15">
      <c r="A80" t="str">
        <f t="shared" si="4"/>
        <v>|Lv42|4|0|0|0|3|</v>
      </c>
      <c r="B80" t="s">
        <v>3</v>
      </c>
      <c r="C80" t="s">
        <v>8</v>
      </c>
      <c r="D80">
        <v>42</v>
      </c>
      <c r="E80" t="s">
        <v>3</v>
      </c>
      <c r="F80" t="str">
        <f t="shared" si="5"/>
        <v>緑</v>
      </c>
      <c r="G80" t="s">
        <v>3</v>
      </c>
      <c r="H80">
        <f t="shared" si="6"/>
        <v>4</v>
      </c>
      <c r="I80" t="str">
        <f t="shared" si="7"/>
        <v>|</v>
      </c>
      <c r="J80">
        <f t="shared" si="8"/>
        <v>0</v>
      </c>
      <c r="K80" t="str">
        <f t="shared" si="7"/>
        <v>|</v>
      </c>
      <c r="L80">
        <f t="shared" si="9"/>
        <v>0</v>
      </c>
      <c r="M80" t="str">
        <f t="shared" si="7"/>
        <v>|</v>
      </c>
      <c r="N80">
        <f t="shared" si="10"/>
        <v>0</v>
      </c>
      <c r="O80" t="str">
        <f t="shared" si="7"/>
        <v>|</v>
      </c>
      <c r="P80">
        <f t="shared" si="11"/>
        <v>3</v>
      </c>
      <c r="Q80" t="str">
        <f t="shared" si="7"/>
        <v>|</v>
      </c>
    </row>
    <row r="81" spans="1:19" x14ac:dyDescent="0.15">
      <c r="A81" t="str">
        <f t="shared" si="4"/>
        <v>|Lv50|5|0|0|0|3|</v>
      </c>
      <c r="B81" t="s">
        <v>3</v>
      </c>
      <c r="C81" t="s">
        <v>8</v>
      </c>
      <c r="D81">
        <v>50</v>
      </c>
      <c r="E81" t="s">
        <v>3</v>
      </c>
      <c r="F81" t="str">
        <f t="shared" si="5"/>
        <v>白</v>
      </c>
      <c r="G81" t="s">
        <v>3</v>
      </c>
      <c r="H81">
        <f t="shared" si="6"/>
        <v>5</v>
      </c>
      <c r="I81" t="str">
        <f t="shared" si="7"/>
        <v>|</v>
      </c>
      <c r="J81">
        <f t="shared" si="8"/>
        <v>0</v>
      </c>
      <c r="K81" t="str">
        <f t="shared" si="7"/>
        <v>|</v>
      </c>
      <c r="L81">
        <f t="shared" si="9"/>
        <v>0</v>
      </c>
      <c r="M81" t="str">
        <f t="shared" si="7"/>
        <v>|</v>
      </c>
      <c r="N81">
        <f t="shared" si="10"/>
        <v>0</v>
      </c>
      <c r="O81" t="str">
        <f t="shared" si="7"/>
        <v>|</v>
      </c>
      <c r="P81">
        <f t="shared" si="11"/>
        <v>3</v>
      </c>
      <c r="Q81" t="str">
        <f t="shared" si="7"/>
        <v>|</v>
      </c>
    </row>
    <row r="82" spans="1:19" x14ac:dyDescent="0.15">
      <c r="A82" t="str">
        <f t="shared" si="4"/>
        <v>|Lv59|5|0|0|0|4|</v>
      </c>
      <c r="B82" t="s">
        <v>3</v>
      </c>
      <c r="C82" t="s">
        <v>8</v>
      </c>
      <c r="D82">
        <v>59</v>
      </c>
      <c r="E82" t="s">
        <v>3</v>
      </c>
      <c r="F82" t="str">
        <f t="shared" si="5"/>
        <v>緑</v>
      </c>
      <c r="G82" t="s">
        <v>3</v>
      </c>
      <c r="H82">
        <f t="shared" si="6"/>
        <v>5</v>
      </c>
      <c r="I82" t="str">
        <f t="shared" si="7"/>
        <v>|</v>
      </c>
      <c r="J82">
        <f t="shared" si="8"/>
        <v>0</v>
      </c>
      <c r="K82" t="str">
        <f t="shared" si="7"/>
        <v>|</v>
      </c>
      <c r="L82">
        <f t="shared" si="9"/>
        <v>0</v>
      </c>
      <c r="M82" t="str">
        <f t="shared" si="7"/>
        <v>|</v>
      </c>
      <c r="N82">
        <f t="shared" si="10"/>
        <v>0</v>
      </c>
      <c r="O82" t="str">
        <f t="shared" si="7"/>
        <v>|</v>
      </c>
      <c r="P82">
        <f t="shared" si="11"/>
        <v>4</v>
      </c>
      <c r="Q82" t="str">
        <f t="shared" si="7"/>
        <v>|</v>
      </c>
    </row>
    <row r="83" spans="1:19" x14ac:dyDescent="0.15">
      <c r="A83" t="str">
        <f>B83&amp;C83&amp;D83&amp;E83&amp;F83&amp;G83&amp;H83&amp;I83&amp;J83&amp;K83&amp;L83&amp;M83&amp;N83&amp;O83&amp;P83</f>
        <v>&amp;br;</v>
      </c>
      <c r="B83" t="s">
        <v>0</v>
      </c>
    </row>
    <row r="84" spans="1:19" x14ac:dyDescent="0.15">
      <c r="A84" t="str">
        <f>B84&amp;C84&amp;D84&amp;E84&amp;F84&amp;G84&amp;H84&amp;I84&amp;J84&amp;K84&amp;L84&amp;M84&amp;N84&amp;O84&amp;P84</f>
        <v>&amp;br;</v>
      </c>
      <c r="B84" t="s">
        <v>0</v>
      </c>
    </row>
    <row r="85" spans="1:19" x14ac:dyDescent="0.15">
      <c r="A85" t="str">
        <f>B85&amp;C85&amp;D85&amp;E85&amp;F85&amp;G85&amp;H85&amp;I85&amp;J85&amp;K85&amp;L85&amp;M85&amp;N85&amp;O85&amp;P85</f>
        <v>*デッキ構築枚数上限 [#e6f382eb]</v>
      </c>
      <c r="B85" t="s">
        <v>16</v>
      </c>
    </row>
    <row r="86" spans="1:19" x14ac:dyDescent="0.15">
      <c r="A86" t="str">
        <f>B86&amp;C86&amp;D86&amp;E86&amp;F86&amp;G86&amp;H86&amp;I86&amp;J86&amp;K86&amp;L86&amp;M86&amp;N86&amp;O86&amp;P86</f>
        <v>構築枚数上限を越える枚数はデッキに入れられない。</v>
      </c>
      <c r="B86" t="s">
        <v>17</v>
      </c>
    </row>
    <row r="87" spans="1:19" x14ac:dyDescent="0.15">
      <c r="A87" t="str">
        <f t="shared" ref="A87:A94" si="12">B87&amp;C87&amp;D87&amp;G87&amp;H87&amp;I87&amp;J87&amp;K87&amp;L87&amp;M87&amp;N87&amp;O87&amp;P87&amp;Q87&amp;R87</f>
        <v>|LEFT:50|LEFT:80|LEFT:80|LEFT:80|c</v>
      </c>
      <c r="B87" t="s">
        <v>3</v>
      </c>
      <c r="C87" t="s">
        <v>4</v>
      </c>
      <c r="E87" t="s">
        <v>3</v>
      </c>
      <c r="G87" t="s">
        <v>3</v>
      </c>
      <c r="H87" t="s">
        <v>18</v>
      </c>
      <c r="I87" t="s">
        <v>3</v>
      </c>
      <c r="J87" t="s">
        <v>18</v>
      </c>
      <c r="K87" t="s">
        <v>3</v>
      </c>
      <c r="L87" t="s">
        <v>18</v>
      </c>
      <c r="M87" t="s">
        <v>3</v>
      </c>
      <c r="N87" t="s">
        <v>5</v>
      </c>
    </row>
    <row r="88" spans="1:19" x14ac:dyDescent="0.15">
      <c r="A88" t="str">
        <f t="shared" si="12"/>
        <v>|レベル|クリーチャー|呪文|サポート|</v>
      </c>
      <c r="B88" t="s">
        <v>3</v>
      </c>
      <c r="C88" t="s">
        <v>6</v>
      </c>
      <c r="E88" t="s">
        <v>3</v>
      </c>
      <c r="F88" t="s">
        <v>19</v>
      </c>
      <c r="G88" t="s">
        <v>3</v>
      </c>
      <c r="H88" t="s">
        <v>20</v>
      </c>
      <c r="I88" t="s">
        <v>3</v>
      </c>
      <c r="J88" t="s">
        <v>21</v>
      </c>
      <c r="K88" t="s">
        <v>3</v>
      </c>
      <c r="L88" t="s">
        <v>22</v>
      </c>
      <c r="M88" t="s">
        <v>3</v>
      </c>
      <c r="S88" t="s">
        <v>20</v>
      </c>
    </row>
    <row r="89" spans="1:19" x14ac:dyDescent="0.15">
      <c r="A89" t="str">
        <f t="shared" si="12"/>
        <v>|Lv1|4|3|3|</v>
      </c>
      <c r="B89" t="s">
        <v>3</v>
      </c>
      <c r="C89" t="s">
        <v>8</v>
      </c>
      <c r="D89">
        <v>1</v>
      </c>
      <c r="E89" t="s">
        <v>3</v>
      </c>
      <c r="G89" t="s">
        <v>3</v>
      </c>
      <c r="H89">
        <f>B204</f>
        <v>4</v>
      </c>
      <c r="I89" t="s">
        <v>3</v>
      </c>
      <c r="J89">
        <f>C204</f>
        <v>3</v>
      </c>
      <c r="K89" t="s">
        <v>3</v>
      </c>
      <c r="L89">
        <f>D204</f>
        <v>3</v>
      </c>
      <c r="M89" t="s">
        <v>3</v>
      </c>
      <c r="S89" t="s">
        <v>21</v>
      </c>
    </row>
    <row r="90" spans="1:19" x14ac:dyDescent="0.15">
      <c r="A90" t="str">
        <f t="shared" si="12"/>
        <v>|Lv4|5|3|3|</v>
      </c>
      <c r="B90" t="s">
        <v>3</v>
      </c>
      <c r="C90" t="s">
        <v>8</v>
      </c>
      <c r="D90">
        <v>4</v>
      </c>
      <c r="E90" t="s">
        <v>3</v>
      </c>
      <c r="F90" t="str">
        <f>IF(ISBLANK(D90),"",INDEX($F$127:$F$186,D90))</f>
        <v>クリーチャー</v>
      </c>
      <c r="G90" t="s">
        <v>3</v>
      </c>
      <c r="H90">
        <f>H89+IF(H$88=$F90,INDEX($H$127:$H$186,D90),0)</f>
        <v>5</v>
      </c>
      <c r="I90" t="s">
        <v>3</v>
      </c>
      <c r="J90">
        <f>J89+IF(J$88=$F90,INDEX($H$127:$H$186,D90),0)</f>
        <v>3</v>
      </c>
      <c r="K90" t="s">
        <v>3</v>
      </c>
      <c r="L90">
        <f>L89+IF(L$88=$F90,INDEX($H$127:$H$186,D90),0)</f>
        <v>3</v>
      </c>
      <c r="M90" t="s">
        <v>3</v>
      </c>
      <c r="S90" t="s">
        <v>22</v>
      </c>
    </row>
    <row r="91" spans="1:19" x14ac:dyDescent="0.15">
      <c r="A91" t="str">
        <f t="shared" si="12"/>
        <v>|Lv10|5|3|4|</v>
      </c>
      <c r="B91" t="s">
        <v>3</v>
      </c>
      <c r="C91" t="s">
        <v>8</v>
      </c>
      <c r="D91">
        <v>10</v>
      </c>
      <c r="E91" t="s">
        <v>3</v>
      </c>
      <c r="F91" t="str">
        <f>IF(ISBLANK(D91),"",INDEX($F$127:$F$186,D91))</f>
        <v>サポート</v>
      </c>
      <c r="G91" t="s">
        <v>3</v>
      </c>
      <c r="H91">
        <f>H90+IF(H$88=$F91,INDEX($H$127:$H$186,D91),0)</f>
        <v>5</v>
      </c>
      <c r="I91" t="s">
        <v>3</v>
      </c>
      <c r="J91">
        <f>J90+IF(J$88=$F91,INDEX($H$127:$H$186,D91),0)</f>
        <v>3</v>
      </c>
      <c r="K91" t="s">
        <v>3</v>
      </c>
      <c r="L91">
        <f>L90+IF(L$88=$F91,INDEX($H$127:$H$186,D91),0)</f>
        <v>4</v>
      </c>
      <c r="M91" t="s">
        <v>3</v>
      </c>
    </row>
    <row r="92" spans="1:19" x14ac:dyDescent="0.15">
      <c r="A92" t="str">
        <f t="shared" si="12"/>
        <v>|Lv16|5|4|4|</v>
      </c>
      <c r="B92" t="s">
        <v>3</v>
      </c>
      <c r="C92" t="s">
        <v>8</v>
      </c>
      <c r="D92">
        <v>16</v>
      </c>
      <c r="E92" t="s">
        <v>3</v>
      </c>
      <c r="F92" t="str">
        <f>IF(ISBLANK(D92),"",INDEX($F$127:$F$186,D92))</f>
        <v>呪文</v>
      </c>
      <c r="G92" t="s">
        <v>3</v>
      </c>
      <c r="H92">
        <f>H91+IF(H$88=$F92,INDEX($H$127:$H$186,D92),0)</f>
        <v>5</v>
      </c>
      <c r="I92" t="s">
        <v>3</v>
      </c>
      <c r="J92">
        <f>J91+IF(J$88=$F92,INDEX($H$127:$H$186,D92),0)</f>
        <v>4</v>
      </c>
      <c r="K92" t="s">
        <v>3</v>
      </c>
      <c r="L92">
        <f>L91+IF(L$88=$F92,INDEX($H$127:$H$186,D92),0)</f>
        <v>4</v>
      </c>
      <c r="M92" t="s">
        <v>3</v>
      </c>
    </row>
    <row r="93" spans="1:19" x14ac:dyDescent="0.15">
      <c r="A93" t="str">
        <f t="shared" si="12"/>
        <v>|Lv32|5|4|5|</v>
      </c>
      <c r="B93" t="s">
        <v>3</v>
      </c>
      <c r="C93" t="s">
        <v>8</v>
      </c>
      <c r="D93">
        <v>32</v>
      </c>
      <c r="E93" t="s">
        <v>3</v>
      </c>
      <c r="F93" t="str">
        <f>IF(ISBLANK(D93),"",INDEX($F$127:$F$186,D93))</f>
        <v>サポート</v>
      </c>
      <c r="G93" t="s">
        <v>3</v>
      </c>
      <c r="H93">
        <f>H92+IF(H$88=$F93,INDEX($H$127:$H$186,D93),0)</f>
        <v>5</v>
      </c>
      <c r="I93" t="s">
        <v>3</v>
      </c>
      <c r="J93">
        <f>J92+IF(J$88=$F93,INDEX($H$127:$H$186,D93),0)</f>
        <v>4</v>
      </c>
      <c r="K93" t="s">
        <v>3</v>
      </c>
      <c r="L93">
        <f>L92+IF(L$88=$F93,INDEX($H$127:$H$186,D93),0)</f>
        <v>5</v>
      </c>
      <c r="M93" t="s">
        <v>3</v>
      </c>
    </row>
    <row r="94" spans="1:19" x14ac:dyDescent="0.15">
      <c r="A94" t="str">
        <f t="shared" si="12"/>
        <v>|Lv38|5|5|5|</v>
      </c>
      <c r="B94" t="s">
        <v>3</v>
      </c>
      <c r="C94" t="s">
        <v>8</v>
      </c>
      <c r="D94">
        <v>38</v>
      </c>
      <c r="E94" t="s">
        <v>3</v>
      </c>
      <c r="F94" t="str">
        <f>IF(ISBLANK(D94),"",INDEX($F$127:$F$186,D94))</f>
        <v>呪文</v>
      </c>
      <c r="G94" t="s">
        <v>3</v>
      </c>
      <c r="H94">
        <f>H93+IF(H$88=$F94,INDEX($H$127:$H$186,D94),0)</f>
        <v>5</v>
      </c>
      <c r="I94" t="s">
        <v>3</v>
      </c>
      <c r="J94">
        <f>J93+IF(J$88=$F94,INDEX($H$127:$H$186,D94),0)</f>
        <v>5</v>
      </c>
      <c r="K94" t="s">
        <v>3</v>
      </c>
      <c r="L94">
        <f>L93+IF(L$88=$F94,INDEX($H$127:$H$186,D94),0)</f>
        <v>5</v>
      </c>
      <c r="M94" t="s">
        <v>3</v>
      </c>
    </row>
    <row r="95" spans="1:19" x14ac:dyDescent="0.15">
      <c r="A95" t="str">
        <f t="shared" ref="A95:A116" si="13">B95&amp;C95&amp;D95&amp;E95&amp;F95&amp;G95&amp;H95&amp;I95&amp;J95&amp;K95&amp;L95&amp;M95&amp;N95&amp;O95&amp;P95</f>
        <v>&amp;br;</v>
      </c>
      <c r="B95" t="s">
        <v>0</v>
      </c>
    </row>
    <row r="96" spans="1:19" x14ac:dyDescent="0.15">
      <c r="A96" t="str">
        <f t="shared" si="13"/>
        <v>&amp;br;</v>
      </c>
      <c r="B96" t="s">
        <v>0</v>
      </c>
    </row>
    <row r="97" spans="1:18" x14ac:dyDescent="0.15">
      <c r="A97" t="str">
        <f t="shared" si="13"/>
        <v>*PW能力一覧 [#a469e89f]</v>
      </c>
      <c r="B97" t="s">
        <v>23</v>
      </c>
    </row>
    <row r="98" spans="1:18" x14ac:dyDescent="0.15">
      <c r="A98" t="str">
        <f t="shared" si="13"/>
        <v>**第1能力：オケチラの修練者/Oketra's Initiates</v>
      </c>
      <c r="B98" t="s">
        <v>24</v>
      </c>
      <c r="D98" s="10" t="s">
        <v>670</v>
      </c>
      <c r="E98" t="s">
        <v>25</v>
      </c>
      <c r="F98" t="s">
        <v>667</v>
      </c>
      <c r="R98" t="str">
        <f>D98&amp;E98&amp;F98</f>
        <v>オケチラの修練者/Oketra's Initiates</v>
      </c>
    </row>
    <row r="99" spans="1:18" x14ac:dyDescent="0.15">
      <c r="A99" t="str">
        <f t="shared" si="13"/>
        <v>|LEFT:50|LEFT:50|LEFT:50|LEFT:300|c</v>
      </c>
      <c r="B99" t="s">
        <v>3</v>
      </c>
      <c r="C99" t="s">
        <v>4</v>
      </c>
      <c r="E99" t="s">
        <v>3</v>
      </c>
      <c r="F99" t="s">
        <v>4</v>
      </c>
      <c r="G99" t="s">
        <v>3</v>
      </c>
      <c r="H99" t="s">
        <v>4</v>
      </c>
      <c r="I99" t="s">
        <v>3</v>
      </c>
      <c r="J99" t="s">
        <v>26</v>
      </c>
      <c r="K99" t="s">
        <v>3</v>
      </c>
      <c r="L99" t="s">
        <v>5</v>
      </c>
    </row>
    <row r="100" spans="1:18" x14ac:dyDescent="0.15">
      <c r="A100" t="str">
        <f t="shared" si="13"/>
        <v>|解放Lv|レベル|コスト|効果|</v>
      </c>
      <c r="B100" t="s">
        <v>3</v>
      </c>
      <c r="C100" t="s">
        <v>27</v>
      </c>
      <c r="E100" t="s">
        <v>3</v>
      </c>
      <c r="F100" t="s">
        <v>6</v>
      </c>
      <c r="G100" t="s">
        <v>3</v>
      </c>
      <c r="H100" t="s">
        <v>28</v>
      </c>
      <c r="I100" t="s">
        <v>3</v>
      </c>
      <c r="J100" t="s">
        <v>29</v>
      </c>
      <c r="K100" t="s">
        <v>3</v>
      </c>
    </row>
    <row r="101" spans="1:18" x14ac:dyDescent="0.15">
      <c r="A101" t="str">
        <f t="shared" si="13"/>
        <v>|Lv6|Lv1|9|到達を持つ1/1のオケチラの修練者・トークンを1体召喚。|</v>
      </c>
      <c r="B101" t="s">
        <v>3</v>
      </c>
      <c r="C101" t="s">
        <v>8</v>
      </c>
      <c r="D101">
        <v>6</v>
      </c>
      <c r="E101" t="s">
        <v>3</v>
      </c>
      <c r="F101" t="s">
        <v>30</v>
      </c>
      <c r="G101" t="s">
        <v>3</v>
      </c>
      <c r="H101">
        <v>9</v>
      </c>
      <c r="I101" t="s">
        <v>3</v>
      </c>
      <c r="J101" s="8" t="s">
        <v>676</v>
      </c>
      <c r="K101" t="s">
        <v>3</v>
      </c>
    </row>
    <row r="102" spans="1:18" x14ac:dyDescent="0.15">
      <c r="A102" t="str">
        <f t="shared" si="13"/>
        <v>|Lv24|Lv2|9|到達を持つ1/1のオケチラの修練者・トークンを2体召喚。|</v>
      </c>
      <c r="B102" t="s">
        <v>3</v>
      </c>
      <c r="C102" t="s">
        <v>8</v>
      </c>
      <c r="D102">
        <v>24</v>
      </c>
      <c r="E102" t="s">
        <v>3</v>
      </c>
      <c r="F102" t="s">
        <v>31</v>
      </c>
      <c r="G102" t="s">
        <v>3</v>
      </c>
      <c r="H102">
        <f>H101</f>
        <v>9</v>
      </c>
      <c r="I102" t="s">
        <v>3</v>
      </c>
      <c r="J102" s="8" t="s">
        <v>677</v>
      </c>
      <c r="K102" t="s">
        <v>3</v>
      </c>
    </row>
    <row r="103" spans="1:18" x14ac:dyDescent="0.15">
      <c r="A103" t="str">
        <f t="shared" si="13"/>
        <v>|Lv40|Lv3|9|到達を持つ1/1のオケチラの修練者・トークンを3体召喚。|</v>
      </c>
      <c r="B103" t="s">
        <v>3</v>
      </c>
      <c r="C103" t="s">
        <v>8</v>
      </c>
      <c r="D103">
        <v>40</v>
      </c>
      <c r="E103" t="s">
        <v>3</v>
      </c>
      <c r="F103" t="s">
        <v>32</v>
      </c>
      <c r="G103" t="s">
        <v>3</v>
      </c>
      <c r="H103">
        <f>H102</f>
        <v>9</v>
      </c>
      <c r="I103" t="s">
        <v>3</v>
      </c>
      <c r="J103" s="8" t="s">
        <v>678</v>
      </c>
      <c r="K103" t="s">
        <v>3</v>
      </c>
    </row>
    <row r="104" spans="1:18" x14ac:dyDescent="0.15">
      <c r="A104" t="str">
        <f t="shared" si="13"/>
        <v>|Lv56|Lv4|9|到達を持つ1/1のオケチラの修練者・トークンを4体召喚。|</v>
      </c>
      <c r="B104" t="s">
        <v>3</v>
      </c>
      <c r="C104" t="s">
        <v>8</v>
      </c>
      <c r="D104">
        <v>56</v>
      </c>
      <c r="E104" t="s">
        <v>3</v>
      </c>
      <c r="F104" t="s">
        <v>33</v>
      </c>
      <c r="G104" t="s">
        <v>3</v>
      </c>
      <c r="H104">
        <f>H103</f>
        <v>9</v>
      </c>
      <c r="I104" t="s">
        <v>3</v>
      </c>
      <c r="J104" s="8" t="s">
        <v>673</v>
      </c>
      <c r="K104" t="s">
        <v>3</v>
      </c>
    </row>
    <row r="105" spans="1:18" x14ac:dyDescent="0.15">
      <c r="A105" t="str">
        <f t="shared" si="13"/>
        <v>&amp;br;</v>
      </c>
      <c r="B105" t="s">
        <v>0</v>
      </c>
    </row>
    <row r="106" spans="1:18" x14ac:dyDescent="0.15">
      <c r="A106" t="str">
        <f t="shared" si="13"/>
        <v>&amp;br;</v>
      </c>
      <c r="B106" t="s">
        <v>0</v>
      </c>
    </row>
    <row r="107" spans="1:18" x14ac:dyDescent="0.15">
      <c r="A107" t="str">
        <f t="shared" si="13"/>
        <v>**第2能力：力の鍛錬/Forged by Might</v>
      </c>
      <c r="B107" t="s">
        <v>34</v>
      </c>
      <c r="D107" s="10" t="s">
        <v>671</v>
      </c>
      <c r="E107" t="s">
        <v>25</v>
      </c>
      <c r="F107" t="s">
        <v>668</v>
      </c>
      <c r="R107" t="str">
        <f>D107&amp;E107&amp;F107</f>
        <v>力の鍛錬/Forged by Might</v>
      </c>
    </row>
    <row r="108" spans="1:18" x14ac:dyDescent="0.15">
      <c r="A108" t="str">
        <f t="shared" si="13"/>
        <v>|LEFT:50|LEFT:50|LEFT:50|LEFT:300|c</v>
      </c>
      <c r="B108" t="s">
        <v>3</v>
      </c>
      <c r="C108" t="s">
        <v>4</v>
      </c>
      <c r="E108" t="s">
        <v>3</v>
      </c>
      <c r="F108" t="s">
        <v>4</v>
      </c>
      <c r="G108" t="s">
        <v>3</v>
      </c>
      <c r="H108" t="s">
        <v>4</v>
      </c>
      <c r="I108" t="s">
        <v>3</v>
      </c>
      <c r="J108" t="s">
        <v>26</v>
      </c>
      <c r="K108" t="s">
        <v>3</v>
      </c>
      <c r="L108" t="s">
        <v>5</v>
      </c>
    </row>
    <row r="109" spans="1:18" x14ac:dyDescent="0.15">
      <c r="A109" t="str">
        <f t="shared" si="13"/>
        <v>|解放Lv|レベル|コスト|効果|</v>
      </c>
      <c r="B109" t="s">
        <v>3</v>
      </c>
      <c r="C109" t="s">
        <v>27</v>
      </c>
      <c r="E109" t="s">
        <v>3</v>
      </c>
      <c r="F109" t="s">
        <v>6</v>
      </c>
      <c r="G109" t="s">
        <v>3</v>
      </c>
      <c r="H109" t="s">
        <v>28</v>
      </c>
      <c r="I109" t="s">
        <v>3</v>
      </c>
      <c r="J109" t="s">
        <v>29</v>
      </c>
      <c r="K109" t="s">
        <v>3</v>
      </c>
    </row>
    <row r="110" spans="1:18" x14ac:dyDescent="0.15">
      <c r="A110" t="str">
        <f t="shared" si="13"/>
        <v>|Lv12|Lv1|12|あなたがコントロールするクリーチャー1体を追放する。あなたがコントロールする他の各クリーチャーは+X/+Yの修整を得る。Xは追放したクリーチャーのパワーに等しい。Yは追放したクリーチャーのタフネスに等しい。|</v>
      </c>
      <c r="B110" t="s">
        <v>3</v>
      </c>
      <c r="C110" t="s">
        <v>8</v>
      </c>
      <c r="D110">
        <v>12</v>
      </c>
      <c r="E110" t="s">
        <v>3</v>
      </c>
      <c r="F110" t="s">
        <v>30</v>
      </c>
      <c r="G110" t="s">
        <v>3</v>
      </c>
      <c r="H110">
        <v>12</v>
      </c>
      <c r="I110" t="s">
        <v>3</v>
      </c>
      <c r="J110" s="8" t="s">
        <v>679</v>
      </c>
      <c r="K110" t="s">
        <v>3</v>
      </c>
    </row>
    <row r="111" spans="1:18" x14ac:dyDescent="0.15">
      <c r="A111" t="str">
        <f t="shared" si="13"/>
        <v>|Lv30|Lv2|12|あなたがコントロールするクリーチャー1体を追放する。あなたがコントロールする他の各クリーチャーは+X/+Yの修整を得る。Xは追放したクリーチャーのパワーに1を足した数に等しい。Yは追放したクリーチャーのタフネスに1を足した数に等しい。|</v>
      </c>
      <c r="B111" t="s">
        <v>3</v>
      </c>
      <c r="C111" t="s">
        <v>8</v>
      </c>
      <c r="D111">
        <v>30</v>
      </c>
      <c r="E111" t="s">
        <v>3</v>
      </c>
      <c r="F111" t="s">
        <v>31</v>
      </c>
      <c r="G111" t="s">
        <v>3</v>
      </c>
      <c r="H111">
        <f>H110</f>
        <v>12</v>
      </c>
      <c r="I111" t="s">
        <v>3</v>
      </c>
      <c r="J111" s="8" t="s">
        <v>680</v>
      </c>
      <c r="K111" t="s">
        <v>3</v>
      </c>
    </row>
    <row r="112" spans="1:18" x14ac:dyDescent="0.15">
      <c r="A112" t="str">
        <f t="shared" si="13"/>
        <v>|Lv46|Lv3|12|あなたがコントロールするクリーチャー1体を追放する。あなたがコントロールする他の各クリーチャーは+X/+Yの修整を得る。Xは追放したクリーチャーのパワーに2を足した数に等しい。Yは追放したクリーチャーのタフネスに2を足した数に等しい。|</v>
      </c>
      <c r="B112" t="s">
        <v>3</v>
      </c>
      <c r="C112" t="s">
        <v>8</v>
      </c>
      <c r="D112">
        <v>46</v>
      </c>
      <c r="E112" t="s">
        <v>3</v>
      </c>
      <c r="F112" t="s">
        <v>32</v>
      </c>
      <c r="G112" t="s">
        <v>3</v>
      </c>
      <c r="H112">
        <f>H111</f>
        <v>12</v>
      </c>
      <c r="I112" t="s">
        <v>3</v>
      </c>
      <c r="J112" s="8" t="s">
        <v>681</v>
      </c>
      <c r="K112" t="s">
        <v>3</v>
      </c>
    </row>
    <row r="113" spans="1:18" x14ac:dyDescent="0.15">
      <c r="A113" t="str">
        <f t="shared" si="13"/>
        <v>|Lv58|Lv4|12|あなたがコントロールするクリーチャー1体を追放する。あなたがコントロールする他の各クリーチャーは+X/+Yの修整を得る。Xは追放したクリーチャーのパワーに3を足した数に等しい。Yは追放したクリーチャーのタフネスに3を足した数に等しい。|</v>
      </c>
      <c r="B113" t="s">
        <v>3</v>
      </c>
      <c r="C113" t="s">
        <v>8</v>
      </c>
      <c r="D113">
        <v>58</v>
      </c>
      <c r="E113" t="s">
        <v>3</v>
      </c>
      <c r="F113" t="s">
        <v>33</v>
      </c>
      <c r="G113" t="s">
        <v>3</v>
      </c>
      <c r="H113">
        <f>H112</f>
        <v>12</v>
      </c>
      <c r="I113" t="s">
        <v>3</v>
      </c>
      <c r="J113" s="8" t="s">
        <v>674</v>
      </c>
      <c r="K113" t="s">
        <v>3</v>
      </c>
    </row>
    <row r="114" spans="1:18" x14ac:dyDescent="0.15">
      <c r="A114" t="str">
        <f t="shared" si="13"/>
        <v>&amp;br;</v>
      </c>
      <c r="B114" t="s">
        <v>0</v>
      </c>
    </row>
    <row r="115" spans="1:18" x14ac:dyDescent="0.15">
      <c r="A115" t="str">
        <f t="shared" si="13"/>
        <v>&amp;br;</v>
      </c>
      <c r="B115" t="s">
        <v>0</v>
      </c>
    </row>
    <row r="116" spans="1:18" x14ac:dyDescent="0.15">
      <c r="A116" t="str">
        <f t="shared" si="13"/>
        <v>**第3能力：追放からの召還/Return from Exile</v>
      </c>
      <c r="B116" t="s">
        <v>35</v>
      </c>
      <c r="D116" s="10" t="s">
        <v>672</v>
      </c>
      <c r="E116" t="s">
        <v>25</v>
      </c>
      <c r="F116" t="s">
        <v>669</v>
      </c>
      <c r="R116" t="str">
        <f>D116&amp;E116&amp;F116</f>
        <v>追放からの召還/Return from Exile</v>
      </c>
    </row>
    <row r="117" spans="1:18" x14ac:dyDescent="0.15">
      <c r="A117" t="str">
        <f t="shared" ref="A117:A180" si="14">B117&amp;C117&amp;D117&amp;E117&amp;F117&amp;G117&amp;H117&amp;I117&amp;J117&amp;K117&amp;L117&amp;M117&amp;N117&amp;O117&amp;P117</f>
        <v>|LEFT:50|LEFT:50|LEFT:50|LEFT:300|c</v>
      </c>
      <c r="B117" t="s">
        <v>3</v>
      </c>
      <c r="C117" t="s">
        <v>4</v>
      </c>
      <c r="E117" t="s">
        <v>3</v>
      </c>
      <c r="F117" t="s">
        <v>4</v>
      </c>
      <c r="G117" t="s">
        <v>3</v>
      </c>
      <c r="H117" t="s">
        <v>4</v>
      </c>
      <c r="I117" t="s">
        <v>3</v>
      </c>
      <c r="J117" t="s">
        <v>26</v>
      </c>
      <c r="K117" t="s">
        <v>3</v>
      </c>
      <c r="L117" t="s">
        <v>5</v>
      </c>
    </row>
    <row r="118" spans="1:18" x14ac:dyDescent="0.15">
      <c r="A118" t="str">
        <f t="shared" si="14"/>
        <v>|解放Lv|レベル|コスト|効果|</v>
      </c>
      <c r="B118" t="s">
        <v>3</v>
      </c>
      <c r="C118" t="s">
        <v>27</v>
      </c>
      <c r="E118" t="s">
        <v>3</v>
      </c>
      <c r="F118" t="s">
        <v>6</v>
      </c>
      <c r="G118" t="s">
        <v>3</v>
      </c>
      <c r="H118" t="s">
        <v>28</v>
      </c>
      <c r="I118" t="s">
        <v>3</v>
      </c>
      <c r="J118" t="s">
        <v>29</v>
      </c>
      <c r="K118" t="s">
        <v>3</v>
      </c>
    </row>
    <row r="119" spans="1:18" x14ac:dyDescent="0.15">
      <c r="A119" t="str">
        <f t="shared" si="14"/>
        <v>|Lv18|Lv1|18|最後に追放したクリーチャーを手札に戻す。|</v>
      </c>
      <c r="B119" t="s">
        <v>3</v>
      </c>
      <c r="C119" t="s">
        <v>8</v>
      </c>
      <c r="D119">
        <v>18</v>
      </c>
      <c r="E119" t="s">
        <v>3</v>
      </c>
      <c r="F119" t="s">
        <v>30</v>
      </c>
      <c r="G119" t="s">
        <v>3</v>
      </c>
      <c r="H119">
        <v>18</v>
      </c>
      <c r="I119" t="s">
        <v>3</v>
      </c>
      <c r="J119" s="8" t="s">
        <v>684</v>
      </c>
      <c r="K119" t="s">
        <v>3</v>
      </c>
    </row>
    <row r="120" spans="1:18" x14ac:dyDescent="0.15">
      <c r="A120" t="str">
        <f t="shared" si="14"/>
        <v>|Lv36|Lv2|18|最後に追放したクリーチャー1枚を戦場に戻す。|</v>
      </c>
      <c r="B120" t="s">
        <v>3</v>
      </c>
      <c r="C120" t="s">
        <v>8</v>
      </c>
      <c r="D120">
        <v>36</v>
      </c>
      <c r="E120" t="s">
        <v>3</v>
      </c>
      <c r="F120" t="s">
        <v>31</v>
      </c>
      <c r="G120" t="s">
        <v>3</v>
      </c>
      <c r="H120">
        <f>H119</f>
        <v>18</v>
      </c>
      <c r="I120" t="s">
        <v>3</v>
      </c>
      <c r="J120" s="8" t="s">
        <v>682</v>
      </c>
      <c r="K120" t="s">
        <v>3</v>
      </c>
    </row>
    <row r="121" spans="1:18" x14ac:dyDescent="0.15">
      <c r="A121" t="str">
        <f t="shared" si="14"/>
        <v>|Lv52|Lv3|18|最後に追放したクリーチャー2枚を戦場に戻す。|</v>
      </c>
      <c r="B121" t="s">
        <v>3</v>
      </c>
      <c r="C121" t="s">
        <v>8</v>
      </c>
      <c r="D121">
        <v>52</v>
      </c>
      <c r="E121" t="s">
        <v>3</v>
      </c>
      <c r="F121" t="s">
        <v>32</v>
      </c>
      <c r="G121" t="s">
        <v>3</v>
      </c>
      <c r="H121">
        <f>H120</f>
        <v>18</v>
      </c>
      <c r="I121" t="s">
        <v>3</v>
      </c>
      <c r="J121" s="8" t="s">
        <v>683</v>
      </c>
      <c r="K121" t="s">
        <v>3</v>
      </c>
    </row>
    <row r="122" spans="1:18" x14ac:dyDescent="0.15">
      <c r="A122" t="str">
        <f t="shared" si="14"/>
        <v>|Lv60|Lv4|18|最後に追放したクリーチャー3枚を戦場に戻す。|</v>
      </c>
      <c r="B122" t="s">
        <v>3</v>
      </c>
      <c r="C122" t="s">
        <v>8</v>
      </c>
      <c r="D122">
        <v>60</v>
      </c>
      <c r="E122" t="s">
        <v>3</v>
      </c>
      <c r="F122" t="s">
        <v>33</v>
      </c>
      <c r="G122" t="s">
        <v>3</v>
      </c>
      <c r="H122">
        <f>H121</f>
        <v>18</v>
      </c>
      <c r="I122" t="s">
        <v>3</v>
      </c>
      <c r="J122" s="8" t="s">
        <v>675</v>
      </c>
      <c r="K122" t="s">
        <v>3</v>
      </c>
    </row>
    <row r="123" spans="1:18" x14ac:dyDescent="0.15">
      <c r="A123" t="str">
        <f t="shared" si="14"/>
        <v>&amp;br;</v>
      </c>
      <c r="B123" t="s">
        <v>0</v>
      </c>
    </row>
    <row r="124" spans="1:18" x14ac:dyDescent="0.15">
      <c r="A124" t="str">
        <f t="shared" si="14"/>
        <v>&amp;br;</v>
      </c>
      <c r="B124" t="s">
        <v>0</v>
      </c>
    </row>
    <row r="125" spans="1:18" x14ac:dyDescent="0.15">
      <c r="A125" t="str">
        <f t="shared" si="14"/>
        <v>*レベルアップ報酬一覧</v>
      </c>
      <c r="B125" s="8" t="s">
        <v>666</v>
      </c>
    </row>
    <row r="126" spans="1:18" x14ac:dyDescent="0.15">
      <c r="A126" t="str">
        <f t="shared" si="14"/>
        <v>|LEFT:50|LEFT:100|c</v>
      </c>
      <c r="B126" t="s">
        <v>3</v>
      </c>
      <c r="C126" t="s">
        <v>4</v>
      </c>
      <c r="E126" t="s">
        <v>3</v>
      </c>
      <c r="F126" t="s">
        <v>37</v>
      </c>
      <c r="I126" t="s">
        <v>3</v>
      </c>
      <c r="J126" t="s">
        <v>5</v>
      </c>
      <c r="R126" s="8" t="s">
        <v>654</v>
      </c>
    </row>
    <row r="127" spans="1:18" x14ac:dyDescent="0.15">
      <c r="A127" t="str">
        <f t="shared" si="14"/>
        <v>|レベル|報酬|</v>
      </c>
      <c r="B127" t="s">
        <v>3</v>
      </c>
      <c r="C127" t="s">
        <v>6</v>
      </c>
      <c r="E127" t="s">
        <v>3</v>
      </c>
      <c r="F127" t="s">
        <v>38</v>
      </c>
      <c r="I127" t="s">
        <v>3</v>
      </c>
      <c r="Q127" t="s">
        <v>7</v>
      </c>
      <c r="R127">
        <v>3</v>
      </c>
    </row>
    <row r="128" spans="1:18" x14ac:dyDescent="0.15">
      <c r="A128" t="str">
        <f t="shared" si="14"/>
        <v>|Lｖ2|白+1|</v>
      </c>
      <c r="B128" t="s">
        <v>3</v>
      </c>
      <c r="C128" t="s">
        <v>39</v>
      </c>
      <c r="D128">
        <v>2</v>
      </c>
      <c r="E128" t="s">
        <v>3</v>
      </c>
      <c r="F128" t="s">
        <v>11</v>
      </c>
      <c r="G128" t="str">
        <f>IF(OR(F128=$Q$136,F128=$Q$137,F128=$Q$138,F128=$Q$139,ISBLANK(F128)),"","+")</f>
        <v>+</v>
      </c>
      <c r="H128">
        <f>IF(F128="","",VLOOKUP(F128,$Q$127:$R$140,2,FALSE))</f>
        <v>1</v>
      </c>
      <c r="I128" t="s">
        <v>3</v>
      </c>
      <c r="Q128" t="s">
        <v>20</v>
      </c>
      <c r="R128">
        <v>1</v>
      </c>
    </row>
    <row r="129" spans="1:18" hidden="1" x14ac:dyDescent="0.15">
      <c r="A129" t="str">
        <f t="shared" si="14"/>
        <v>|Lｖ3|HP+3|</v>
      </c>
      <c r="B129" t="s">
        <v>3</v>
      </c>
      <c r="C129" t="s">
        <v>39</v>
      </c>
      <c r="D129">
        <v>3</v>
      </c>
      <c r="E129" t="s">
        <v>3</v>
      </c>
      <c r="F129" t="s">
        <v>7</v>
      </c>
      <c r="G129" t="str">
        <f t="shared" ref="G129:G186" si="15">IF(OR(F129=$Q$136,F129=$Q$137,F129=$Q$138,F129=$Q$139,ISBLANK(F129)),"","+")</f>
        <v>+</v>
      </c>
      <c r="H129">
        <f>IF(F129="","",VLOOKUP(F129,$Q$127:$R$140,2,FALSE))</f>
        <v>3</v>
      </c>
      <c r="I129" t="s">
        <v>3</v>
      </c>
      <c r="Q129" t="s">
        <v>21</v>
      </c>
      <c r="R129">
        <v>1</v>
      </c>
    </row>
    <row r="130" spans="1:18" hidden="1" x14ac:dyDescent="0.15">
      <c r="A130" t="str">
        <f t="shared" si="14"/>
        <v>|Lｖ4|クリーチャー+1|</v>
      </c>
      <c r="B130" t="s">
        <v>3</v>
      </c>
      <c r="C130" t="s">
        <v>39</v>
      </c>
      <c r="D130">
        <v>4</v>
      </c>
      <c r="E130" t="s">
        <v>3</v>
      </c>
      <c r="F130" t="s">
        <v>20</v>
      </c>
      <c r="G130" t="str">
        <f t="shared" si="15"/>
        <v>+</v>
      </c>
      <c r="H130">
        <f>IF(F130="","",VLOOKUP(F130,$Q$127:$R$140,2,FALSE))</f>
        <v>1</v>
      </c>
      <c r="I130" t="s">
        <v>3</v>
      </c>
      <c r="Q130" t="s">
        <v>22</v>
      </c>
      <c r="R130">
        <v>1</v>
      </c>
    </row>
    <row r="131" spans="1:18" hidden="1" x14ac:dyDescent="0.15">
      <c r="A131" t="str">
        <f t="shared" si="14"/>
        <v>|Lｖ5|HP+2|</v>
      </c>
      <c r="B131" t="s">
        <v>3</v>
      </c>
      <c r="C131" t="s">
        <v>39</v>
      </c>
      <c r="D131">
        <v>5</v>
      </c>
      <c r="E131" t="s">
        <v>3</v>
      </c>
      <c r="F131" t="s">
        <v>7</v>
      </c>
      <c r="G131" t="str">
        <f t="shared" si="15"/>
        <v>+</v>
      </c>
      <c r="H131">
        <v>2</v>
      </c>
      <c r="I131" t="s">
        <v>3</v>
      </c>
      <c r="Q131" t="s">
        <v>11</v>
      </c>
      <c r="R131">
        <v>1</v>
      </c>
    </row>
    <row r="132" spans="1:18" hidden="1" x14ac:dyDescent="0.15">
      <c r="A132" t="str">
        <f t="shared" si="14"/>
        <v>|Lｖ6|第1能力Lv1|</v>
      </c>
      <c r="B132" t="s">
        <v>3</v>
      </c>
      <c r="C132" t="s">
        <v>39</v>
      </c>
      <c r="D132">
        <v>6</v>
      </c>
      <c r="E132" t="s">
        <v>3</v>
      </c>
      <c r="F132" t="s">
        <v>40</v>
      </c>
      <c r="G132" t="str">
        <f t="shared" si="15"/>
        <v/>
      </c>
      <c r="H132">
        <v>1</v>
      </c>
      <c r="I132" t="s">
        <v>3</v>
      </c>
      <c r="Q132" t="s">
        <v>12</v>
      </c>
      <c r="R132">
        <v>1</v>
      </c>
    </row>
    <row r="133" spans="1:18" hidden="1" x14ac:dyDescent="0.15">
      <c r="A133" t="str">
        <f t="shared" si="14"/>
        <v>|Lｖ7|HP+3|</v>
      </c>
      <c r="B133" t="s">
        <v>3</v>
      </c>
      <c r="C133" t="s">
        <v>39</v>
      </c>
      <c r="D133">
        <v>7</v>
      </c>
      <c r="E133" t="s">
        <v>3</v>
      </c>
      <c r="F133" t="s">
        <v>7</v>
      </c>
      <c r="G133" t="str">
        <f t="shared" si="15"/>
        <v>+</v>
      </c>
      <c r="H133">
        <f>IF(F133="","",VLOOKUP(F133,$Q$127:$R$140,2,FALSE))</f>
        <v>3</v>
      </c>
      <c r="I133" t="s">
        <v>3</v>
      </c>
      <c r="Q133" t="s">
        <v>13</v>
      </c>
      <c r="R133">
        <v>1</v>
      </c>
    </row>
    <row r="134" spans="1:18" x14ac:dyDescent="0.15">
      <c r="A134" t="str">
        <f t="shared" si="14"/>
        <v>|Lｖ8|緑+1|</v>
      </c>
      <c r="B134" t="s">
        <v>3</v>
      </c>
      <c r="C134" t="s">
        <v>39</v>
      </c>
      <c r="D134">
        <v>8</v>
      </c>
      <c r="E134" t="s">
        <v>3</v>
      </c>
      <c r="F134" t="s">
        <v>15</v>
      </c>
      <c r="G134" t="str">
        <f t="shared" si="15"/>
        <v>+</v>
      </c>
      <c r="H134">
        <f>IF(F134="","",VLOOKUP(F134,$Q$127:$R$140,2,FALSE))</f>
        <v>1</v>
      </c>
      <c r="I134" t="s">
        <v>3</v>
      </c>
      <c r="Q134" t="s">
        <v>14</v>
      </c>
      <c r="R134">
        <v>1</v>
      </c>
    </row>
    <row r="135" spans="1:18" hidden="1" x14ac:dyDescent="0.15">
      <c r="A135" t="str">
        <f t="shared" si="14"/>
        <v>|Lｖ9|HP+2|</v>
      </c>
      <c r="B135" t="s">
        <v>3</v>
      </c>
      <c r="C135" t="s">
        <v>39</v>
      </c>
      <c r="D135">
        <v>9</v>
      </c>
      <c r="E135" t="s">
        <v>3</v>
      </c>
      <c r="F135" t="s">
        <v>7</v>
      </c>
      <c r="G135" t="str">
        <f t="shared" si="15"/>
        <v>+</v>
      </c>
      <c r="H135">
        <v>2</v>
      </c>
      <c r="I135" t="s">
        <v>3</v>
      </c>
      <c r="Q135" t="s">
        <v>15</v>
      </c>
      <c r="R135">
        <v>1</v>
      </c>
    </row>
    <row r="136" spans="1:18" hidden="1" x14ac:dyDescent="0.15">
      <c r="A136" t="str">
        <f t="shared" si="14"/>
        <v>|Lｖ10|サポート+1|</v>
      </c>
      <c r="B136" t="s">
        <v>3</v>
      </c>
      <c r="C136" t="s">
        <v>39</v>
      </c>
      <c r="D136">
        <v>10</v>
      </c>
      <c r="E136" t="s">
        <v>3</v>
      </c>
      <c r="F136" t="s">
        <v>22</v>
      </c>
      <c r="G136" t="str">
        <f t="shared" si="15"/>
        <v>+</v>
      </c>
      <c r="H136">
        <f>IF(F136="","",VLOOKUP(F136,$Q$127:$R$140,2,FALSE))</f>
        <v>1</v>
      </c>
      <c r="I136" t="s">
        <v>3</v>
      </c>
      <c r="Q136" t="s">
        <v>40</v>
      </c>
    </row>
    <row r="137" spans="1:18" hidden="1" x14ac:dyDescent="0.15">
      <c r="A137" t="str">
        <f t="shared" si="14"/>
        <v>|Lｖ11|HP+3|</v>
      </c>
      <c r="B137" t="s">
        <v>3</v>
      </c>
      <c r="C137" t="s">
        <v>39</v>
      </c>
      <c r="D137">
        <v>11</v>
      </c>
      <c r="E137" t="s">
        <v>3</v>
      </c>
      <c r="F137" t="s">
        <v>7</v>
      </c>
      <c r="G137" t="str">
        <f t="shared" si="15"/>
        <v>+</v>
      </c>
      <c r="H137">
        <f>IF(F137="","",VLOOKUP(F137,$Q$127:$R$140,2,FALSE))</f>
        <v>3</v>
      </c>
      <c r="I137" t="s">
        <v>3</v>
      </c>
      <c r="Q137" t="s">
        <v>41</v>
      </c>
    </row>
    <row r="138" spans="1:18" hidden="1" x14ac:dyDescent="0.15">
      <c r="A138" t="str">
        <f t="shared" si="14"/>
        <v>|Lｖ12|第2能力Lv1|</v>
      </c>
      <c r="B138" t="s">
        <v>3</v>
      </c>
      <c r="C138" t="s">
        <v>39</v>
      </c>
      <c r="D138">
        <v>12</v>
      </c>
      <c r="E138" t="s">
        <v>3</v>
      </c>
      <c r="F138" t="s">
        <v>41</v>
      </c>
      <c r="G138" t="str">
        <f t="shared" si="15"/>
        <v/>
      </c>
      <c r="H138">
        <v>1</v>
      </c>
      <c r="I138" t="s">
        <v>3</v>
      </c>
      <c r="Q138" t="s">
        <v>42</v>
      </c>
    </row>
    <row r="139" spans="1:18" hidden="1" x14ac:dyDescent="0.15">
      <c r="A139" t="str">
        <f t="shared" si="14"/>
        <v>|Lｖ13|HP+2|</v>
      </c>
      <c r="B139" t="s">
        <v>3</v>
      </c>
      <c r="C139" t="s">
        <v>39</v>
      </c>
      <c r="D139">
        <v>13</v>
      </c>
      <c r="E139" t="s">
        <v>3</v>
      </c>
      <c r="F139" t="s">
        <v>7</v>
      </c>
      <c r="G139" t="str">
        <f t="shared" si="15"/>
        <v>+</v>
      </c>
      <c r="H139">
        <v>2</v>
      </c>
      <c r="I139" t="s">
        <v>3</v>
      </c>
      <c r="Q139" t="s">
        <v>43</v>
      </c>
      <c r="R139" s="8" t="s">
        <v>665</v>
      </c>
    </row>
    <row r="140" spans="1:18" x14ac:dyDescent="0.15">
      <c r="A140" t="str">
        <f t="shared" si="14"/>
        <v>|Lｖ14|黒+1|</v>
      </c>
      <c r="B140" t="s">
        <v>3</v>
      </c>
      <c r="C140" t="s">
        <v>39</v>
      </c>
      <c r="D140">
        <v>14</v>
      </c>
      <c r="E140" t="s">
        <v>3</v>
      </c>
      <c r="F140" t="s">
        <v>13</v>
      </c>
      <c r="G140" t="str">
        <f t="shared" si="15"/>
        <v>+</v>
      </c>
      <c r="H140">
        <f>IF(F140="","",VLOOKUP(F140,$Q$127:$R$140,2,FALSE))</f>
        <v>1</v>
      </c>
      <c r="I140" t="s">
        <v>3</v>
      </c>
    </row>
    <row r="141" spans="1:18" hidden="1" x14ac:dyDescent="0.15">
      <c r="A141" t="str">
        <f t="shared" si="14"/>
        <v>|Lｖ15|HP+3|</v>
      </c>
      <c r="B141" t="s">
        <v>3</v>
      </c>
      <c r="C141" t="s">
        <v>39</v>
      </c>
      <c r="D141">
        <v>15</v>
      </c>
      <c r="E141" t="s">
        <v>3</v>
      </c>
      <c r="F141" t="s">
        <v>7</v>
      </c>
      <c r="G141" t="str">
        <f t="shared" si="15"/>
        <v>+</v>
      </c>
      <c r="H141">
        <f>IF(F141="","",VLOOKUP(F141,$Q$127:$R$140,2,FALSE))</f>
        <v>3</v>
      </c>
      <c r="I141" t="s">
        <v>3</v>
      </c>
    </row>
    <row r="142" spans="1:18" hidden="1" x14ac:dyDescent="0.15">
      <c r="A142" t="str">
        <f t="shared" si="14"/>
        <v>|Lｖ16|呪文+1|</v>
      </c>
      <c r="B142" t="s">
        <v>3</v>
      </c>
      <c r="C142" t="s">
        <v>39</v>
      </c>
      <c r="D142">
        <v>16</v>
      </c>
      <c r="E142" t="s">
        <v>3</v>
      </c>
      <c r="F142" t="s">
        <v>21</v>
      </c>
      <c r="G142" t="str">
        <f t="shared" si="15"/>
        <v>+</v>
      </c>
      <c r="H142">
        <f>IF(F142="","",VLOOKUP(F142,$Q$127:$R$140,2,FALSE))</f>
        <v>1</v>
      </c>
      <c r="I142" t="s">
        <v>3</v>
      </c>
    </row>
    <row r="143" spans="1:18" hidden="1" x14ac:dyDescent="0.15">
      <c r="A143" t="str">
        <f t="shared" si="14"/>
        <v>|Lｖ17|HP+2|</v>
      </c>
      <c r="B143" t="s">
        <v>3</v>
      </c>
      <c r="C143" t="s">
        <v>39</v>
      </c>
      <c r="D143">
        <v>17</v>
      </c>
      <c r="E143" t="s">
        <v>3</v>
      </c>
      <c r="F143" t="s">
        <v>7</v>
      </c>
      <c r="G143" t="str">
        <f t="shared" si="15"/>
        <v>+</v>
      </c>
      <c r="H143">
        <v>2</v>
      </c>
      <c r="I143" t="s">
        <v>3</v>
      </c>
    </row>
    <row r="144" spans="1:18" hidden="1" x14ac:dyDescent="0.15">
      <c r="A144" t="str">
        <f t="shared" si="14"/>
        <v>|Lｖ18|第3能力Lv1|</v>
      </c>
      <c r="B144" t="s">
        <v>3</v>
      </c>
      <c r="C144" t="s">
        <v>39</v>
      </c>
      <c r="D144">
        <v>18</v>
      </c>
      <c r="E144" t="s">
        <v>3</v>
      </c>
      <c r="F144" t="s">
        <v>42</v>
      </c>
      <c r="G144" t="str">
        <f t="shared" si="15"/>
        <v/>
      </c>
      <c r="H144">
        <v>1</v>
      </c>
      <c r="I144" t="s">
        <v>3</v>
      </c>
    </row>
    <row r="145" spans="1:9" hidden="1" x14ac:dyDescent="0.15">
      <c r="A145" t="str">
        <f t="shared" si="14"/>
        <v>|Lｖ19|HP+3|</v>
      </c>
      <c r="B145" t="s">
        <v>3</v>
      </c>
      <c r="C145" t="s">
        <v>39</v>
      </c>
      <c r="D145">
        <v>19</v>
      </c>
      <c r="E145" t="s">
        <v>3</v>
      </c>
      <c r="F145" t="s">
        <v>7</v>
      </c>
      <c r="G145" t="str">
        <f t="shared" si="15"/>
        <v>+</v>
      </c>
      <c r="H145">
        <f>IF(F145="","",VLOOKUP(F145,$Q$127:$R$140,2,FALSE))</f>
        <v>3</v>
      </c>
      <c r="I145" t="s">
        <v>3</v>
      </c>
    </row>
    <row r="146" spans="1:9" x14ac:dyDescent="0.15">
      <c r="A146" t="str">
        <f t="shared" si="14"/>
        <v>|Lｖ20|青+1|</v>
      </c>
      <c r="B146" t="s">
        <v>3</v>
      </c>
      <c r="C146" t="s">
        <v>39</v>
      </c>
      <c r="D146">
        <v>20</v>
      </c>
      <c r="E146" t="s">
        <v>3</v>
      </c>
      <c r="F146" t="s">
        <v>12</v>
      </c>
      <c r="G146" t="str">
        <f t="shared" si="15"/>
        <v>+</v>
      </c>
      <c r="H146">
        <f>IF(F146="","",VLOOKUP(F146,$Q$127:$R$140,2,FALSE))</f>
        <v>1</v>
      </c>
      <c r="I146" t="s">
        <v>3</v>
      </c>
    </row>
    <row r="147" spans="1:9" hidden="1" x14ac:dyDescent="0.15">
      <c r="A147" t="str">
        <f t="shared" si="14"/>
        <v>|Lｖ21|HP+2|</v>
      </c>
      <c r="B147" t="s">
        <v>3</v>
      </c>
      <c r="C147" t="s">
        <v>39</v>
      </c>
      <c r="D147">
        <v>21</v>
      </c>
      <c r="E147" t="s">
        <v>3</v>
      </c>
      <c r="F147" t="s">
        <v>7</v>
      </c>
      <c r="G147" t="str">
        <f t="shared" si="15"/>
        <v>+</v>
      </c>
      <c r="H147">
        <v>2</v>
      </c>
      <c r="I147" t="s">
        <v>3</v>
      </c>
    </row>
    <row r="148" spans="1:9" hidden="1" x14ac:dyDescent="0.15">
      <c r="A148" t="str">
        <f t="shared" si="14"/>
        <v>|Lｖ22|回復速度上昇 |</v>
      </c>
      <c r="B148" t="s">
        <v>3</v>
      </c>
      <c r="C148" t="s">
        <v>39</v>
      </c>
      <c r="D148">
        <v>22</v>
      </c>
      <c r="E148" t="s">
        <v>3</v>
      </c>
      <c r="F148" t="s">
        <v>43</v>
      </c>
      <c r="G148" t="str">
        <f t="shared" si="15"/>
        <v/>
      </c>
      <c r="H148" t="str">
        <f>IF(F148="","",VLOOKUP(F148,$Q$127:$R$140,2,FALSE))</f>
        <v xml:space="preserve"> </v>
      </c>
      <c r="I148" t="s">
        <v>3</v>
      </c>
    </row>
    <row r="149" spans="1:9" hidden="1" x14ac:dyDescent="0.15">
      <c r="A149" t="str">
        <f t="shared" si="14"/>
        <v>|Lｖ23|HP+3|</v>
      </c>
      <c r="B149" t="s">
        <v>3</v>
      </c>
      <c r="C149" t="s">
        <v>39</v>
      </c>
      <c r="D149">
        <v>23</v>
      </c>
      <c r="E149" t="s">
        <v>3</v>
      </c>
      <c r="F149" t="s">
        <v>7</v>
      </c>
      <c r="G149" t="str">
        <f t="shared" si="15"/>
        <v>+</v>
      </c>
      <c r="H149">
        <f>IF(F149="","",VLOOKUP(F149,$Q$127:$R$140,2,FALSE))</f>
        <v>3</v>
      </c>
      <c r="I149" t="s">
        <v>3</v>
      </c>
    </row>
    <row r="150" spans="1:9" hidden="1" x14ac:dyDescent="0.15">
      <c r="A150" t="str">
        <f t="shared" si="14"/>
        <v>|Lｖ24|第1能力Lv2|</v>
      </c>
      <c r="B150" t="s">
        <v>3</v>
      </c>
      <c r="C150" t="s">
        <v>39</v>
      </c>
      <c r="D150">
        <v>24</v>
      </c>
      <c r="E150" t="s">
        <v>3</v>
      </c>
      <c r="F150" t="s">
        <v>40</v>
      </c>
      <c r="G150" t="str">
        <f t="shared" si="15"/>
        <v/>
      </c>
      <c r="H150">
        <v>2</v>
      </c>
      <c r="I150" t="s">
        <v>3</v>
      </c>
    </row>
    <row r="151" spans="1:9" hidden="1" x14ac:dyDescent="0.15">
      <c r="A151" t="str">
        <f t="shared" si="14"/>
        <v>|Lｖ25|HP+2|</v>
      </c>
      <c r="B151" t="s">
        <v>3</v>
      </c>
      <c r="C151" t="s">
        <v>39</v>
      </c>
      <c r="D151">
        <v>25</v>
      </c>
      <c r="E151" t="s">
        <v>3</v>
      </c>
      <c r="F151" t="s">
        <v>7</v>
      </c>
      <c r="G151" t="str">
        <f t="shared" si="15"/>
        <v>+</v>
      </c>
      <c r="H151">
        <v>2</v>
      </c>
      <c r="I151" t="s">
        <v>3</v>
      </c>
    </row>
    <row r="152" spans="1:9" hidden="1" x14ac:dyDescent="0.15">
      <c r="A152" t="str">
        <f t="shared" si="14"/>
        <v>|Lｖ26|回復速度上昇 |</v>
      </c>
      <c r="B152" t="s">
        <v>3</v>
      </c>
      <c r="C152" t="s">
        <v>39</v>
      </c>
      <c r="D152">
        <v>26</v>
      </c>
      <c r="E152" t="s">
        <v>3</v>
      </c>
      <c r="F152" t="s">
        <v>43</v>
      </c>
      <c r="G152" t="str">
        <f t="shared" si="15"/>
        <v/>
      </c>
      <c r="H152" t="str">
        <f>IF(F152="","",VLOOKUP(F152,$Q$127:$R$140,2,FALSE))</f>
        <v xml:space="preserve"> </v>
      </c>
      <c r="I152" t="s">
        <v>3</v>
      </c>
    </row>
    <row r="153" spans="1:9" hidden="1" x14ac:dyDescent="0.15">
      <c r="A153" t="str">
        <f t="shared" si="14"/>
        <v>|Lｖ27|HP+3|</v>
      </c>
      <c r="B153" t="s">
        <v>3</v>
      </c>
      <c r="C153" t="s">
        <v>39</v>
      </c>
      <c r="D153">
        <v>27</v>
      </c>
      <c r="E153" t="s">
        <v>3</v>
      </c>
      <c r="F153" t="s">
        <v>7</v>
      </c>
      <c r="G153" t="str">
        <f t="shared" si="15"/>
        <v>+</v>
      </c>
      <c r="H153">
        <f>IF(F153="","",VLOOKUP(F153,$Q$127:$R$140,2,FALSE))</f>
        <v>3</v>
      </c>
      <c r="I153" t="s">
        <v>3</v>
      </c>
    </row>
    <row r="154" spans="1:9" x14ac:dyDescent="0.15">
      <c r="A154" t="str">
        <f t="shared" si="14"/>
        <v>|Lｖ28|白+1|</v>
      </c>
      <c r="B154" t="s">
        <v>3</v>
      </c>
      <c r="C154" t="s">
        <v>39</v>
      </c>
      <c r="D154">
        <v>28</v>
      </c>
      <c r="E154" t="s">
        <v>3</v>
      </c>
      <c r="F154" t="s">
        <v>11</v>
      </c>
      <c r="G154" t="str">
        <f t="shared" si="15"/>
        <v>+</v>
      </c>
      <c r="H154">
        <f>IF(F154="","",VLOOKUP(F154,$Q$127:$R$140,2,FALSE))</f>
        <v>1</v>
      </c>
      <c r="I154" t="s">
        <v>3</v>
      </c>
    </row>
    <row r="155" spans="1:9" hidden="1" x14ac:dyDescent="0.15">
      <c r="A155" t="str">
        <f t="shared" si="14"/>
        <v>|Lｖ29|HP+2|</v>
      </c>
      <c r="B155" t="s">
        <v>3</v>
      </c>
      <c r="C155" t="s">
        <v>39</v>
      </c>
      <c r="D155">
        <v>29</v>
      </c>
      <c r="E155" t="s">
        <v>3</v>
      </c>
      <c r="F155" t="s">
        <v>7</v>
      </c>
      <c r="G155" t="str">
        <f t="shared" si="15"/>
        <v>+</v>
      </c>
      <c r="H155">
        <v>2</v>
      </c>
      <c r="I155" t="s">
        <v>3</v>
      </c>
    </row>
    <row r="156" spans="1:9" hidden="1" x14ac:dyDescent="0.15">
      <c r="A156" t="str">
        <f t="shared" si="14"/>
        <v>|Lｖ30|第2能力Lv2|</v>
      </c>
      <c r="B156" t="s">
        <v>3</v>
      </c>
      <c r="C156" t="s">
        <v>39</v>
      </c>
      <c r="D156">
        <v>30</v>
      </c>
      <c r="E156" t="s">
        <v>3</v>
      </c>
      <c r="F156" t="s">
        <v>41</v>
      </c>
      <c r="G156" t="str">
        <f t="shared" si="15"/>
        <v/>
      </c>
      <c r="H156">
        <v>2</v>
      </c>
      <c r="I156" t="s">
        <v>3</v>
      </c>
    </row>
    <row r="157" spans="1:9" hidden="1" x14ac:dyDescent="0.15">
      <c r="A157" t="str">
        <f t="shared" si="14"/>
        <v>|Lｖ31|HP+3|</v>
      </c>
      <c r="B157" t="s">
        <v>3</v>
      </c>
      <c r="C157" t="s">
        <v>39</v>
      </c>
      <c r="D157">
        <v>31</v>
      </c>
      <c r="E157" t="s">
        <v>3</v>
      </c>
      <c r="F157" t="s">
        <v>7</v>
      </c>
      <c r="G157" t="str">
        <f t="shared" si="15"/>
        <v>+</v>
      </c>
      <c r="H157">
        <f>IF(F157="","",VLOOKUP(F157,$Q$127:$R$140,2,FALSE))</f>
        <v>3</v>
      </c>
      <c r="I157" t="s">
        <v>3</v>
      </c>
    </row>
    <row r="158" spans="1:9" hidden="1" x14ac:dyDescent="0.15">
      <c r="A158" t="str">
        <f t="shared" si="14"/>
        <v>|Lｖ32|サポート+1|</v>
      </c>
      <c r="B158" t="s">
        <v>3</v>
      </c>
      <c r="C158" t="s">
        <v>39</v>
      </c>
      <c r="D158">
        <v>32</v>
      </c>
      <c r="E158" t="s">
        <v>3</v>
      </c>
      <c r="F158" t="s">
        <v>22</v>
      </c>
      <c r="G158" t="str">
        <f t="shared" si="15"/>
        <v>+</v>
      </c>
      <c r="H158">
        <f>IF(F158="","",VLOOKUP(F158,$Q$127:$R$140,2,FALSE))</f>
        <v>1</v>
      </c>
      <c r="I158" t="s">
        <v>3</v>
      </c>
    </row>
    <row r="159" spans="1:9" hidden="1" x14ac:dyDescent="0.15">
      <c r="A159" t="str">
        <f t="shared" si="14"/>
        <v>|Lｖ33|HP+2|</v>
      </c>
      <c r="B159" t="s">
        <v>3</v>
      </c>
      <c r="C159" t="s">
        <v>39</v>
      </c>
      <c r="D159">
        <v>33</v>
      </c>
      <c r="E159" t="s">
        <v>3</v>
      </c>
      <c r="F159" t="s">
        <v>7</v>
      </c>
      <c r="G159" t="str">
        <f t="shared" si="15"/>
        <v>+</v>
      </c>
      <c r="H159">
        <v>2</v>
      </c>
      <c r="I159" t="s">
        <v>3</v>
      </c>
    </row>
    <row r="160" spans="1:9" x14ac:dyDescent="0.15">
      <c r="A160" t="str">
        <f t="shared" si="14"/>
        <v>|Lｖ34|赤+1|</v>
      </c>
      <c r="B160" t="s">
        <v>3</v>
      </c>
      <c r="C160" t="s">
        <v>39</v>
      </c>
      <c r="D160">
        <v>34</v>
      </c>
      <c r="E160" t="s">
        <v>3</v>
      </c>
      <c r="F160" t="s">
        <v>14</v>
      </c>
      <c r="G160" t="str">
        <f t="shared" si="15"/>
        <v>+</v>
      </c>
      <c r="H160">
        <f>IF(F160="","",VLOOKUP(F160,$Q$127:$R$140,2,FALSE))</f>
        <v>1</v>
      </c>
      <c r="I160" t="s">
        <v>3</v>
      </c>
    </row>
    <row r="161" spans="1:9" hidden="1" x14ac:dyDescent="0.15">
      <c r="A161" t="str">
        <f t="shared" si="14"/>
        <v>|Lｖ35|HP+3|</v>
      </c>
      <c r="B161" t="s">
        <v>3</v>
      </c>
      <c r="C161" t="s">
        <v>39</v>
      </c>
      <c r="D161">
        <v>35</v>
      </c>
      <c r="E161" t="s">
        <v>3</v>
      </c>
      <c r="F161" t="s">
        <v>7</v>
      </c>
      <c r="G161" t="str">
        <f t="shared" si="15"/>
        <v>+</v>
      </c>
      <c r="H161">
        <f>IF(F161="","",VLOOKUP(F161,$Q$127:$R$140,2,FALSE))</f>
        <v>3</v>
      </c>
      <c r="I161" t="s">
        <v>3</v>
      </c>
    </row>
    <row r="162" spans="1:9" hidden="1" x14ac:dyDescent="0.15">
      <c r="A162" t="str">
        <f t="shared" si="14"/>
        <v>|Lｖ36|第3能力Lv2|</v>
      </c>
      <c r="B162" t="s">
        <v>3</v>
      </c>
      <c r="C162" t="s">
        <v>39</v>
      </c>
      <c r="D162">
        <v>36</v>
      </c>
      <c r="E162" t="s">
        <v>3</v>
      </c>
      <c r="F162" t="s">
        <v>42</v>
      </c>
      <c r="G162" t="str">
        <f t="shared" si="15"/>
        <v/>
      </c>
      <c r="H162">
        <v>2</v>
      </c>
      <c r="I162" t="s">
        <v>3</v>
      </c>
    </row>
    <row r="163" spans="1:9" hidden="1" x14ac:dyDescent="0.15">
      <c r="A163" t="str">
        <f t="shared" si="14"/>
        <v>|Lｖ37|HP+2|</v>
      </c>
      <c r="B163" t="s">
        <v>3</v>
      </c>
      <c r="C163" t="s">
        <v>39</v>
      </c>
      <c r="D163">
        <v>37</v>
      </c>
      <c r="E163" t="s">
        <v>3</v>
      </c>
      <c r="F163" t="s">
        <v>7</v>
      </c>
      <c r="G163" t="str">
        <f t="shared" si="15"/>
        <v>+</v>
      </c>
      <c r="H163">
        <v>2</v>
      </c>
      <c r="I163" t="s">
        <v>3</v>
      </c>
    </row>
    <row r="164" spans="1:9" hidden="1" x14ac:dyDescent="0.15">
      <c r="A164" t="str">
        <f t="shared" si="14"/>
        <v>|Lｖ38|呪文+1|</v>
      </c>
      <c r="B164" t="s">
        <v>3</v>
      </c>
      <c r="C164" t="s">
        <v>39</v>
      </c>
      <c r="D164">
        <v>38</v>
      </c>
      <c r="E164" t="s">
        <v>3</v>
      </c>
      <c r="F164" t="s">
        <v>21</v>
      </c>
      <c r="G164" t="str">
        <f t="shared" si="15"/>
        <v>+</v>
      </c>
      <c r="H164">
        <f>IF(F164="","",VLOOKUP(F164,$Q$127:$R$140,2,FALSE))</f>
        <v>1</v>
      </c>
      <c r="I164" t="s">
        <v>3</v>
      </c>
    </row>
    <row r="165" spans="1:9" hidden="1" x14ac:dyDescent="0.15">
      <c r="A165" t="str">
        <f t="shared" si="14"/>
        <v>|Lｖ39|HP+3|</v>
      </c>
      <c r="B165" t="s">
        <v>3</v>
      </c>
      <c r="C165" t="s">
        <v>39</v>
      </c>
      <c r="D165">
        <v>39</v>
      </c>
      <c r="E165" t="s">
        <v>3</v>
      </c>
      <c r="F165" t="s">
        <v>7</v>
      </c>
      <c r="G165" t="str">
        <f t="shared" si="15"/>
        <v>+</v>
      </c>
      <c r="H165">
        <f>IF(F165="","",VLOOKUP(F165,$Q$127:$R$140,2,FALSE))</f>
        <v>3</v>
      </c>
      <c r="I165" t="s">
        <v>3</v>
      </c>
    </row>
    <row r="166" spans="1:9" hidden="1" x14ac:dyDescent="0.15">
      <c r="A166" t="str">
        <f t="shared" si="14"/>
        <v>|Lｖ40|第1能力Lv3|</v>
      </c>
      <c r="B166" t="s">
        <v>3</v>
      </c>
      <c r="C166" t="s">
        <v>39</v>
      </c>
      <c r="D166">
        <v>40</v>
      </c>
      <c r="E166" t="s">
        <v>3</v>
      </c>
      <c r="F166" t="s">
        <v>40</v>
      </c>
      <c r="G166" t="str">
        <f t="shared" si="15"/>
        <v/>
      </c>
      <c r="H166">
        <v>3</v>
      </c>
      <c r="I166" t="s">
        <v>3</v>
      </c>
    </row>
    <row r="167" spans="1:9" hidden="1" x14ac:dyDescent="0.15">
      <c r="A167" t="str">
        <f t="shared" si="14"/>
        <v>|Lｖ41|HP+2|</v>
      </c>
      <c r="B167" t="s">
        <v>3</v>
      </c>
      <c r="C167" t="s">
        <v>39</v>
      </c>
      <c r="D167">
        <v>41</v>
      </c>
      <c r="E167" t="s">
        <v>3</v>
      </c>
      <c r="F167" t="s">
        <v>7</v>
      </c>
      <c r="G167" t="str">
        <f t="shared" si="15"/>
        <v>+</v>
      </c>
      <c r="H167">
        <v>2</v>
      </c>
      <c r="I167" t="s">
        <v>3</v>
      </c>
    </row>
    <row r="168" spans="1:9" x14ac:dyDescent="0.15">
      <c r="A168" t="str">
        <f t="shared" si="14"/>
        <v>|Lｖ42|緑+1|</v>
      </c>
      <c r="B168" t="s">
        <v>3</v>
      </c>
      <c r="C168" t="s">
        <v>39</v>
      </c>
      <c r="D168">
        <v>42</v>
      </c>
      <c r="E168" t="s">
        <v>3</v>
      </c>
      <c r="F168" t="s">
        <v>15</v>
      </c>
      <c r="G168" t="str">
        <f t="shared" si="15"/>
        <v>+</v>
      </c>
      <c r="H168">
        <f>IF(F168="","",VLOOKUP(F168,$Q$127:$R$140,2,FALSE))</f>
        <v>1</v>
      </c>
      <c r="I168" t="s">
        <v>3</v>
      </c>
    </row>
    <row r="169" spans="1:9" hidden="1" x14ac:dyDescent="0.15">
      <c r="A169" t="str">
        <f t="shared" si="14"/>
        <v>|Lｖ43|HP+3|</v>
      </c>
      <c r="B169" t="s">
        <v>3</v>
      </c>
      <c r="C169" t="s">
        <v>39</v>
      </c>
      <c r="D169">
        <v>43</v>
      </c>
      <c r="E169" t="s">
        <v>3</v>
      </c>
      <c r="F169" t="s">
        <v>7</v>
      </c>
      <c r="G169" t="str">
        <f t="shared" si="15"/>
        <v>+</v>
      </c>
      <c r="H169">
        <f>IF(F169="","",VLOOKUP(F169,$Q$127:$R$140,2,FALSE))</f>
        <v>3</v>
      </c>
      <c r="I169" t="s">
        <v>3</v>
      </c>
    </row>
    <row r="170" spans="1:9" hidden="1" x14ac:dyDescent="0.15">
      <c r="A170" t="str">
        <f t="shared" si="14"/>
        <v>|Lｖ44|回復速度上昇 |</v>
      </c>
      <c r="B170" t="s">
        <v>3</v>
      </c>
      <c r="C170" t="s">
        <v>39</v>
      </c>
      <c r="D170">
        <v>44</v>
      </c>
      <c r="E170" t="s">
        <v>3</v>
      </c>
      <c r="F170" t="s">
        <v>43</v>
      </c>
      <c r="G170" t="str">
        <f t="shared" si="15"/>
        <v/>
      </c>
      <c r="H170" t="str">
        <f>IF(F170="","",VLOOKUP(F170,$Q$127:$R$140,2,FALSE))</f>
        <v xml:space="preserve"> </v>
      </c>
      <c r="I170" t="s">
        <v>3</v>
      </c>
    </row>
    <row r="171" spans="1:9" hidden="1" x14ac:dyDescent="0.15">
      <c r="A171" t="str">
        <f t="shared" si="14"/>
        <v>|Lｖ45|HP+2|</v>
      </c>
      <c r="B171" t="s">
        <v>3</v>
      </c>
      <c r="C171" t="s">
        <v>39</v>
      </c>
      <c r="D171">
        <v>45</v>
      </c>
      <c r="E171" t="s">
        <v>3</v>
      </c>
      <c r="F171" t="s">
        <v>7</v>
      </c>
      <c r="G171" t="str">
        <f t="shared" si="15"/>
        <v>+</v>
      </c>
      <c r="H171">
        <v>2</v>
      </c>
      <c r="I171" t="s">
        <v>3</v>
      </c>
    </row>
    <row r="172" spans="1:9" hidden="1" x14ac:dyDescent="0.15">
      <c r="A172" t="str">
        <f t="shared" si="14"/>
        <v>|Lｖ46|第2能力Lv3|</v>
      </c>
      <c r="B172" t="s">
        <v>3</v>
      </c>
      <c r="C172" t="s">
        <v>39</v>
      </c>
      <c r="D172">
        <v>46</v>
      </c>
      <c r="E172" t="s">
        <v>3</v>
      </c>
      <c r="F172" t="s">
        <v>41</v>
      </c>
      <c r="G172" t="str">
        <f t="shared" si="15"/>
        <v/>
      </c>
      <c r="H172">
        <v>3</v>
      </c>
      <c r="I172" t="s">
        <v>3</v>
      </c>
    </row>
    <row r="173" spans="1:9" hidden="1" x14ac:dyDescent="0.15">
      <c r="A173" t="str">
        <f t="shared" si="14"/>
        <v>|Lｖ47|HP+3|</v>
      </c>
      <c r="B173" t="s">
        <v>3</v>
      </c>
      <c r="C173" t="s">
        <v>39</v>
      </c>
      <c r="D173">
        <v>47</v>
      </c>
      <c r="E173" t="s">
        <v>3</v>
      </c>
      <c r="F173" t="s">
        <v>7</v>
      </c>
      <c r="G173" t="str">
        <f t="shared" si="15"/>
        <v>+</v>
      </c>
      <c r="H173">
        <f>IF(F173="","",VLOOKUP(F173,$Q$127:$R$140,2,FALSE))</f>
        <v>3</v>
      </c>
      <c r="I173" t="s">
        <v>3</v>
      </c>
    </row>
    <row r="174" spans="1:9" hidden="1" x14ac:dyDescent="0.15">
      <c r="A174" t="str">
        <f t="shared" si="14"/>
        <v>|Lｖ48|回復速度上昇 |</v>
      </c>
      <c r="B174" t="s">
        <v>3</v>
      </c>
      <c r="C174" t="s">
        <v>39</v>
      </c>
      <c r="D174">
        <v>48</v>
      </c>
      <c r="E174" t="s">
        <v>3</v>
      </c>
      <c r="F174" t="s">
        <v>43</v>
      </c>
      <c r="G174" t="str">
        <f t="shared" si="15"/>
        <v/>
      </c>
      <c r="H174" t="str">
        <f>IF(F174="","",VLOOKUP(F174,$Q$127:$R$140,2,FALSE))</f>
        <v xml:space="preserve"> </v>
      </c>
      <c r="I174" t="s">
        <v>3</v>
      </c>
    </row>
    <row r="175" spans="1:9" hidden="1" x14ac:dyDescent="0.15">
      <c r="A175" t="str">
        <f t="shared" si="14"/>
        <v>|Lｖ49|HP+2|</v>
      </c>
      <c r="B175" t="s">
        <v>3</v>
      </c>
      <c r="C175" t="s">
        <v>39</v>
      </c>
      <c r="D175">
        <v>49</v>
      </c>
      <c r="E175" t="s">
        <v>3</v>
      </c>
      <c r="F175" t="s">
        <v>7</v>
      </c>
      <c r="G175" t="str">
        <f t="shared" si="15"/>
        <v>+</v>
      </c>
      <c r="H175">
        <v>2</v>
      </c>
      <c r="I175" t="s">
        <v>3</v>
      </c>
    </row>
    <row r="176" spans="1:9" x14ac:dyDescent="0.15">
      <c r="A176" t="str">
        <f t="shared" si="14"/>
        <v>|Lｖ50|白+1|</v>
      </c>
      <c r="B176" t="s">
        <v>3</v>
      </c>
      <c r="C176" t="s">
        <v>39</v>
      </c>
      <c r="D176">
        <v>50</v>
      </c>
      <c r="E176" t="s">
        <v>3</v>
      </c>
      <c r="F176" t="s">
        <v>11</v>
      </c>
      <c r="G176" t="str">
        <f t="shared" si="15"/>
        <v>+</v>
      </c>
      <c r="H176">
        <f>IF(F176="","",VLOOKUP(F176,$Q$127:$R$140,2,FALSE))</f>
        <v>1</v>
      </c>
      <c r="I176" t="s">
        <v>3</v>
      </c>
    </row>
    <row r="177" spans="1:9" hidden="1" x14ac:dyDescent="0.15">
      <c r="A177" t="str">
        <f t="shared" si="14"/>
        <v>|Lｖ51|HP+3|</v>
      </c>
      <c r="B177" t="s">
        <v>3</v>
      </c>
      <c r="C177" t="s">
        <v>39</v>
      </c>
      <c r="D177">
        <v>51</v>
      </c>
      <c r="E177" t="s">
        <v>3</v>
      </c>
      <c r="F177" t="s">
        <v>7</v>
      </c>
      <c r="G177" t="str">
        <f t="shared" si="15"/>
        <v>+</v>
      </c>
      <c r="H177">
        <f>IF(F177="","",VLOOKUP(F177,$Q$127:$R$140,2,FALSE))</f>
        <v>3</v>
      </c>
      <c r="I177" t="s">
        <v>3</v>
      </c>
    </row>
    <row r="178" spans="1:9" hidden="1" x14ac:dyDescent="0.15">
      <c r="A178" t="str">
        <f t="shared" si="14"/>
        <v>|Lｖ52|第3能力Lv3|</v>
      </c>
      <c r="B178" t="s">
        <v>3</v>
      </c>
      <c r="C178" t="s">
        <v>39</v>
      </c>
      <c r="D178">
        <v>52</v>
      </c>
      <c r="E178" t="s">
        <v>3</v>
      </c>
      <c r="F178" t="s">
        <v>42</v>
      </c>
      <c r="G178" t="str">
        <f t="shared" si="15"/>
        <v/>
      </c>
      <c r="H178">
        <v>3</v>
      </c>
      <c r="I178" t="s">
        <v>3</v>
      </c>
    </row>
    <row r="179" spans="1:9" hidden="1" x14ac:dyDescent="0.15">
      <c r="A179" t="str">
        <f t="shared" si="14"/>
        <v>|Lｖ53|HP+2|</v>
      </c>
      <c r="B179" t="s">
        <v>3</v>
      </c>
      <c r="C179" t="s">
        <v>39</v>
      </c>
      <c r="D179">
        <v>53</v>
      </c>
      <c r="E179" t="s">
        <v>3</v>
      </c>
      <c r="F179" t="s">
        <v>7</v>
      </c>
      <c r="G179" t="str">
        <f t="shared" si="15"/>
        <v>+</v>
      </c>
      <c r="H179">
        <v>2</v>
      </c>
      <c r="I179" t="s">
        <v>3</v>
      </c>
    </row>
    <row r="180" spans="1:9" hidden="1" x14ac:dyDescent="0.15">
      <c r="A180" t="str">
        <f t="shared" si="14"/>
        <v>|Lｖ54|回復速度上昇 |</v>
      </c>
      <c r="B180" t="s">
        <v>3</v>
      </c>
      <c r="C180" t="s">
        <v>39</v>
      </c>
      <c r="D180">
        <v>54</v>
      </c>
      <c r="E180" t="s">
        <v>3</v>
      </c>
      <c r="F180" t="s">
        <v>43</v>
      </c>
      <c r="G180" t="str">
        <f t="shared" si="15"/>
        <v/>
      </c>
      <c r="H180" t="str">
        <f>IF(F180="","",VLOOKUP(F180,$Q$127:$R$140,2,FALSE))</f>
        <v xml:space="preserve"> </v>
      </c>
      <c r="I180" t="s">
        <v>3</v>
      </c>
    </row>
    <row r="181" spans="1:9" hidden="1" x14ac:dyDescent="0.15">
      <c r="A181" t="str">
        <f t="shared" ref="A181:A193" si="16">B181&amp;C181&amp;D181&amp;E181&amp;F181&amp;G181&amp;H181&amp;I181&amp;J181&amp;K181&amp;L181&amp;M181&amp;N181&amp;O181&amp;P181</f>
        <v>|Lｖ55|HP+3|</v>
      </c>
      <c r="B181" t="s">
        <v>3</v>
      </c>
      <c r="C181" t="s">
        <v>39</v>
      </c>
      <c r="D181">
        <v>55</v>
      </c>
      <c r="E181" t="s">
        <v>3</v>
      </c>
      <c r="F181" t="s">
        <v>7</v>
      </c>
      <c r="G181" t="str">
        <f t="shared" si="15"/>
        <v>+</v>
      </c>
      <c r="H181">
        <f>IF(F181="","",VLOOKUP(F181,$Q$127:$R$140,2,FALSE))</f>
        <v>3</v>
      </c>
      <c r="I181" t="s">
        <v>3</v>
      </c>
    </row>
    <row r="182" spans="1:9" hidden="1" x14ac:dyDescent="0.15">
      <c r="A182" t="str">
        <f t="shared" si="16"/>
        <v>|Lｖ56|第1能力Lv4|</v>
      </c>
      <c r="B182" t="s">
        <v>3</v>
      </c>
      <c r="C182" t="s">
        <v>39</v>
      </c>
      <c r="D182">
        <v>56</v>
      </c>
      <c r="E182" t="s">
        <v>3</v>
      </c>
      <c r="F182" t="s">
        <v>40</v>
      </c>
      <c r="G182" t="str">
        <f t="shared" si="15"/>
        <v/>
      </c>
      <c r="H182">
        <v>4</v>
      </c>
      <c r="I182" t="s">
        <v>3</v>
      </c>
    </row>
    <row r="183" spans="1:9" hidden="1" x14ac:dyDescent="0.15">
      <c r="A183" t="str">
        <f t="shared" si="16"/>
        <v>|Lｖ57|HP+2|</v>
      </c>
      <c r="B183" t="s">
        <v>3</v>
      </c>
      <c r="C183" t="s">
        <v>39</v>
      </c>
      <c r="D183">
        <v>57</v>
      </c>
      <c r="E183" t="s">
        <v>3</v>
      </c>
      <c r="F183" t="s">
        <v>7</v>
      </c>
      <c r="G183" t="str">
        <f t="shared" si="15"/>
        <v>+</v>
      </c>
      <c r="H183">
        <v>2</v>
      </c>
      <c r="I183" t="s">
        <v>3</v>
      </c>
    </row>
    <row r="184" spans="1:9" hidden="1" x14ac:dyDescent="0.15">
      <c r="A184" t="str">
        <f t="shared" si="16"/>
        <v>|Lｖ58|第2能力Lv4|</v>
      </c>
      <c r="B184" t="s">
        <v>3</v>
      </c>
      <c r="C184" t="s">
        <v>39</v>
      </c>
      <c r="D184">
        <v>58</v>
      </c>
      <c r="E184" t="s">
        <v>3</v>
      </c>
      <c r="F184" t="s">
        <v>41</v>
      </c>
      <c r="G184" t="str">
        <f t="shared" si="15"/>
        <v/>
      </c>
      <c r="H184">
        <v>4</v>
      </c>
      <c r="I184" t="s">
        <v>3</v>
      </c>
    </row>
    <row r="185" spans="1:9" x14ac:dyDescent="0.15">
      <c r="A185" t="str">
        <f t="shared" si="16"/>
        <v>|Lｖ59|緑+1|</v>
      </c>
      <c r="B185" t="s">
        <v>3</v>
      </c>
      <c r="C185" t="s">
        <v>39</v>
      </c>
      <c r="D185">
        <v>59</v>
      </c>
      <c r="E185" t="s">
        <v>3</v>
      </c>
      <c r="F185" t="s">
        <v>15</v>
      </c>
      <c r="G185" t="str">
        <f t="shared" si="15"/>
        <v>+</v>
      </c>
      <c r="H185">
        <f>IF(F185="","",VLOOKUP(F185,$Q$127:$R$140,2,FALSE))</f>
        <v>1</v>
      </c>
      <c r="I185" t="s">
        <v>3</v>
      </c>
    </row>
    <row r="186" spans="1:9" hidden="1" x14ac:dyDescent="0.15">
      <c r="A186" t="str">
        <f t="shared" si="16"/>
        <v>|Lｖ60|第3能力Lv4|</v>
      </c>
      <c r="B186" t="s">
        <v>3</v>
      </c>
      <c r="C186" t="s">
        <v>39</v>
      </c>
      <c r="D186">
        <v>60</v>
      </c>
      <c r="E186" t="s">
        <v>3</v>
      </c>
      <c r="F186" t="s">
        <v>42</v>
      </c>
      <c r="G186" t="str">
        <f t="shared" si="15"/>
        <v/>
      </c>
      <c r="H186">
        <v>4</v>
      </c>
      <c r="I186" t="s">
        <v>3</v>
      </c>
    </row>
    <row r="187" spans="1:9" hidden="1" x14ac:dyDescent="0.15">
      <c r="A187" t="str">
        <f t="shared" si="16"/>
        <v>必要総経験値：79920ルーン</v>
      </c>
      <c r="B187" t="s">
        <v>45</v>
      </c>
      <c r="C187">
        <v>79920</v>
      </c>
      <c r="F187" t="s">
        <v>46</v>
      </c>
    </row>
    <row r="188" spans="1:9" hidden="1" x14ac:dyDescent="0.15">
      <c r="A188" t="str">
        <f t="shared" si="16"/>
        <v>#endregion</v>
      </c>
      <c r="B188" t="s">
        <v>599</v>
      </c>
    </row>
    <row r="189" spans="1:9" hidden="1" x14ac:dyDescent="0.15">
      <c r="A189" t="str">
        <f t="shared" si="16"/>
        <v>&amp;br;</v>
      </c>
      <c r="B189" t="s">
        <v>0</v>
      </c>
    </row>
    <row r="190" spans="1:9" hidden="1" x14ac:dyDescent="0.15">
      <c r="A190" t="str">
        <f t="shared" si="16"/>
        <v>#back(text=戻る,left)</v>
      </c>
      <c r="B190" t="s">
        <v>47</v>
      </c>
    </row>
    <row r="191" spans="1:9" hidden="1" x14ac:dyDescent="0.15">
      <c r="A191" t="str">
        <f t="shared" si="16"/>
        <v>&amp;br;</v>
      </c>
      <c r="B191" t="s">
        <v>0</v>
      </c>
    </row>
    <row r="192" spans="1:9" hidden="1" x14ac:dyDescent="0.15">
      <c r="A192" t="str">
        <f t="shared" si="16"/>
        <v>#comment(above,nsize=[15],size=[30],num=[10])</v>
      </c>
      <c r="B192" t="s">
        <v>48</v>
      </c>
    </row>
    <row r="193" spans="1:6" hidden="1" x14ac:dyDescent="0.15">
      <c r="A193" t="str">
        <f t="shared" si="16"/>
        <v>[[プレインズウォーカーリスト&gt;プレインズウォーカーリスト]]</v>
      </c>
      <c r="B193" t="s">
        <v>49</v>
      </c>
    </row>
    <row r="200" spans="1:6" x14ac:dyDescent="0.15">
      <c r="B200" s="9" t="s">
        <v>655</v>
      </c>
    </row>
    <row r="201" spans="1:6" x14ac:dyDescent="0.15">
      <c r="B201" s="9" t="s">
        <v>656</v>
      </c>
      <c r="D201" s="8"/>
      <c r="E201" s="8"/>
    </row>
    <row r="202" spans="1:6" x14ac:dyDescent="0.15">
      <c r="B202" s="7">
        <v>45</v>
      </c>
    </row>
    <row r="203" spans="1:6" x14ac:dyDescent="0.15">
      <c r="B203" s="9" t="s">
        <v>657</v>
      </c>
      <c r="C203" s="9" t="s">
        <v>658</v>
      </c>
      <c r="D203" s="9" t="s">
        <v>659</v>
      </c>
    </row>
    <row r="204" spans="1:6" x14ac:dyDescent="0.15">
      <c r="B204" s="7">
        <v>4</v>
      </c>
      <c r="C204" s="7">
        <v>3</v>
      </c>
      <c r="D204" s="7">
        <v>3</v>
      </c>
    </row>
    <row r="205" spans="1:6" x14ac:dyDescent="0.15">
      <c r="B205" s="9" t="s">
        <v>660</v>
      </c>
      <c r="C205" s="9" t="s">
        <v>661</v>
      </c>
      <c r="D205" s="9" t="s">
        <v>662</v>
      </c>
      <c r="E205" s="9" t="s">
        <v>663</v>
      </c>
      <c r="F205" s="9" t="s">
        <v>664</v>
      </c>
    </row>
    <row r="206" spans="1:6" x14ac:dyDescent="0.15">
      <c r="B206" s="7">
        <v>2</v>
      </c>
      <c r="C206" s="7">
        <v>-1</v>
      </c>
      <c r="D206" s="7">
        <v>-1</v>
      </c>
      <c r="E206" s="7">
        <v>-1</v>
      </c>
      <c r="F206" s="7">
        <v>1</v>
      </c>
    </row>
  </sheetData>
  <autoFilter ref="C127:I193">
    <filterColumn colId="3">
      <filters>
        <filter val="黒"/>
        <filter val="青"/>
        <filter val="赤"/>
        <filter val="白"/>
        <filter val="緑"/>
      </filters>
    </filterColumn>
  </autoFilter>
  <phoneticPr fontId="4"/>
  <dataValidations count="2">
    <dataValidation type="list" allowBlank="1" showInputMessage="1" showErrorMessage="1" sqref="F128:F186">
      <formula1>$Q$127:$Q$139</formula1>
    </dataValidation>
    <dataValidation type="list" allowBlank="1" showInputMessage="1" showErrorMessage="1" sqref="F187:F188">
      <formula1>$Q$117:$Q$129</formula1>
    </dataValidation>
  </dataValidations>
  <pageMargins left="0.69930555555555596" right="0.69930555555555596"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210"/>
  <sheetViews>
    <sheetView topLeftCell="A130" workbookViewId="0">
      <selection activeCell="J136" sqref="J136"/>
    </sheetView>
  </sheetViews>
  <sheetFormatPr defaultColWidth="9" defaultRowHeight="13.5" x14ac:dyDescent="0.15"/>
  <cols>
    <col min="2" max="2" width="3.5" customWidth="1"/>
    <col min="3" max="3" width="7.875" customWidth="1"/>
    <col min="4" max="4" width="5.5" customWidth="1"/>
    <col min="5" max="5" width="2.875" customWidth="1"/>
    <col min="7" max="7" width="2" customWidth="1"/>
    <col min="9" max="9" width="2" customWidth="1"/>
    <col min="11" max="11" width="2" customWidth="1"/>
    <col min="13" max="13" width="2" customWidth="1"/>
    <col min="15" max="15" width="2" customWidth="1"/>
    <col min="17" max="17" width="2.75" customWidth="1"/>
  </cols>
  <sheetData>
    <row r="1" spans="1:23" x14ac:dyDescent="0.15">
      <c r="A1" t="str">
        <f t="shared" ref="A1:A13" si="0">C1&amp;D1&amp;E1&amp;F1&amp;G1&amp;H1&amp;I1&amp;J1&amp;K1&amp;L1&amp;M1&amp;N1&amp;O1&amp;P1&amp;Q1&amp;R1&amp;S1&amp;T1&amp;U1&amp;V1</f>
        <v>*Lv60時ステータス</v>
      </c>
      <c r="C1" t="s">
        <v>577</v>
      </c>
      <c r="W1">
        <v>107.142857142857</v>
      </c>
    </row>
    <row r="2" spans="1:23" x14ac:dyDescent="0.15">
      <c r="A2" t="str">
        <f t="shared" si="0"/>
        <v>|LEFT:70|LEFT:30|LEFT:30|LEFT:30|LEFT:30|LEFT:30|LEFT:70|LEFT:50|LEFT:60|c</v>
      </c>
      <c r="C2" t="s">
        <v>3</v>
      </c>
      <c r="D2" t="s">
        <v>578</v>
      </c>
      <c r="E2" t="s">
        <v>3</v>
      </c>
      <c r="F2" t="s">
        <v>579</v>
      </c>
      <c r="G2" t="s">
        <v>3</v>
      </c>
      <c r="H2" t="s">
        <v>579</v>
      </c>
      <c r="I2" t="s">
        <v>3</v>
      </c>
      <c r="J2" t="s">
        <v>579</v>
      </c>
      <c r="K2" t="s">
        <v>3</v>
      </c>
      <c r="L2" t="s">
        <v>579</v>
      </c>
      <c r="M2" t="s">
        <v>3</v>
      </c>
      <c r="N2" t="s">
        <v>579</v>
      </c>
      <c r="O2" t="s">
        <v>3</v>
      </c>
      <c r="P2" t="s">
        <v>578</v>
      </c>
      <c r="Q2" t="s">
        <v>3</v>
      </c>
      <c r="R2" t="s">
        <v>4</v>
      </c>
      <c r="S2" t="s">
        <v>3</v>
      </c>
      <c r="T2" t="s">
        <v>580</v>
      </c>
      <c r="U2" t="s">
        <v>3</v>
      </c>
      <c r="V2" t="s">
        <v>5</v>
      </c>
    </row>
    <row r="3" spans="1:23" x14ac:dyDescent="0.15">
      <c r="A3" t="str">
        <f t="shared" si="0"/>
        <v>|HP|&gt;|&gt;|&gt;|&gt;|マナボーナス|&gt;|&gt;|デッキ構築枚数上限|</v>
      </c>
      <c r="C3" t="s">
        <v>3</v>
      </c>
      <c r="D3" t="s">
        <v>7</v>
      </c>
      <c r="E3" t="s">
        <v>3</v>
      </c>
      <c r="F3" t="s">
        <v>209</v>
      </c>
      <c r="G3" t="s">
        <v>3</v>
      </c>
      <c r="H3" t="s">
        <v>209</v>
      </c>
      <c r="I3" t="s">
        <v>3</v>
      </c>
      <c r="J3" t="s">
        <v>209</v>
      </c>
      <c r="K3" t="s">
        <v>3</v>
      </c>
      <c r="L3" t="s">
        <v>209</v>
      </c>
      <c r="M3" t="s">
        <v>3</v>
      </c>
      <c r="N3" t="s">
        <v>581</v>
      </c>
      <c r="O3" t="s">
        <v>3</v>
      </c>
      <c r="P3" t="s">
        <v>209</v>
      </c>
      <c r="Q3" t="s">
        <v>3</v>
      </c>
      <c r="R3" t="s">
        <v>209</v>
      </c>
      <c r="S3" t="s">
        <v>3</v>
      </c>
      <c r="T3" t="s">
        <v>582</v>
      </c>
      <c r="U3" t="s">
        <v>3</v>
      </c>
    </row>
    <row r="4" spans="1:23" x14ac:dyDescent="0.15">
      <c r="A4" t="str">
        <f t="shared" si="0"/>
        <v>|^|白|青|黒|赤|緑|クリーチャー|呪文|サポート|</v>
      </c>
      <c r="C4" t="s">
        <v>3</v>
      </c>
      <c r="D4" t="s">
        <v>583</v>
      </c>
      <c r="E4" t="s">
        <v>3</v>
      </c>
      <c r="F4" t="s">
        <v>11</v>
      </c>
      <c r="G4" t="s">
        <v>3</v>
      </c>
      <c r="H4" t="s">
        <v>12</v>
      </c>
      <c r="I4" t="s">
        <v>3</v>
      </c>
      <c r="J4" t="s">
        <v>13</v>
      </c>
      <c r="K4" t="s">
        <v>3</v>
      </c>
      <c r="L4" t="s">
        <v>14</v>
      </c>
      <c r="M4" t="s">
        <v>3</v>
      </c>
      <c r="N4" t="s">
        <v>15</v>
      </c>
      <c r="O4" t="s">
        <v>3</v>
      </c>
      <c r="P4" t="s">
        <v>20</v>
      </c>
      <c r="Q4" t="s">
        <v>3</v>
      </c>
      <c r="R4" t="s">
        <v>21</v>
      </c>
      <c r="S4" t="s">
        <v>3</v>
      </c>
      <c r="T4" t="s">
        <v>22</v>
      </c>
      <c r="U4" t="s">
        <v>3</v>
      </c>
    </row>
    <row r="5" spans="1:23" x14ac:dyDescent="0.15">
      <c r="A5" t="str">
        <f t="shared" si="0"/>
        <v>|114|7|3|-2|-2|3|6|6|5|</v>
      </c>
      <c r="C5" t="s">
        <v>3</v>
      </c>
      <c r="D5">
        <f>VLOOKUP(MAX(D40:D68),D40:F68,3,TRUE)</f>
        <v>114</v>
      </c>
      <c r="E5" t="s">
        <v>3</v>
      </c>
      <c r="F5">
        <f>VLOOKUP(MAX($D$74:$D$84),$D$74:$P$84,5,TRUE)</f>
        <v>7</v>
      </c>
      <c r="G5" t="s">
        <v>3</v>
      </c>
      <c r="H5">
        <f>VLOOKUP(MAX($D$74:$D$84),$D$74:$P$84,7,TRUE)</f>
        <v>3</v>
      </c>
      <c r="I5" t="s">
        <v>3</v>
      </c>
      <c r="J5">
        <f>VLOOKUP(MAX($D$74:$D$84),$D$74:$P$84,9,TRUE)</f>
        <v>-2</v>
      </c>
      <c r="K5" t="s">
        <v>3</v>
      </c>
      <c r="L5">
        <f>VLOOKUP(MAX($D$74:$D$84),$D$74:$P$84,11,TRUE)</f>
        <v>-2</v>
      </c>
      <c r="M5" t="s">
        <v>3</v>
      </c>
      <c r="N5">
        <f>VLOOKUP(MAX($D$74:$D$84),$D$74:$P$84,13,TRUE)</f>
        <v>3</v>
      </c>
      <c r="O5" t="s">
        <v>3</v>
      </c>
      <c r="P5">
        <f>VLOOKUP(MAX($D$91:$D$98),$D$91:$L$98,5,TRUE)</f>
        <v>6</v>
      </c>
      <c r="Q5" t="s">
        <v>3</v>
      </c>
      <c r="R5">
        <f>VLOOKUP(MAX($D$91:$D$98),$D$91:$L$98,7,TRUE)</f>
        <v>6</v>
      </c>
      <c r="S5" t="s">
        <v>3</v>
      </c>
      <c r="T5">
        <f>VLOOKUP(MAX($D$91:$D$98),$D$91:$L$98,9,TRUE)</f>
        <v>5</v>
      </c>
      <c r="U5" t="s">
        <v>3</v>
      </c>
    </row>
    <row r="6" spans="1:23" x14ac:dyDescent="0.15">
      <c r="A6" t="str">
        <f t="shared" si="0"/>
        <v>||&gt;|&gt;|&gt;|&gt;|&gt;|&gt;|PW能力|コスト|</v>
      </c>
      <c r="C6" t="s">
        <v>3</v>
      </c>
      <c r="E6" t="s">
        <v>3</v>
      </c>
      <c r="F6" t="s">
        <v>209</v>
      </c>
      <c r="G6" t="s">
        <v>3</v>
      </c>
      <c r="H6" t="s">
        <v>209</v>
      </c>
      <c r="I6" t="s">
        <v>3</v>
      </c>
      <c r="J6" t="s">
        <v>209</v>
      </c>
      <c r="K6" t="s">
        <v>3</v>
      </c>
      <c r="L6" t="s">
        <v>209</v>
      </c>
      <c r="M6" t="s">
        <v>3</v>
      </c>
      <c r="N6" t="s">
        <v>209</v>
      </c>
      <c r="O6" t="s">
        <v>3</v>
      </c>
      <c r="P6" t="s">
        <v>209</v>
      </c>
      <c r="Q6" t="s">
        <v>3</v>
      </c>
      <c r="R6" t="s">
        <v>584</v>
      </c>
      <c r="S6" t="s">
        <v>3</v>
      </c>
      <c r="T6" t="s">
        <v>28</v>
      </c>
      <c r="U6" t="s">
        <v>3</v>
      </c>
    </row>
    <row r="7" spans="1:23" x14ac:dyDescent="0.15">
      <c r="A7" t="str">
        <f t="shared" si="0"/>
        <v>|第1能力|&gt;|&gt;|&gt;|&gt;|&gt;|&gt;|太陽の兵士の召喚/Summon Sun-Soldier|9|</v>
      </c>
      <c r="C7" t="s">
        <v>3</v>
      </c>
      <c r="D7" t="s">
        <v>585</v>
      </c>
      <c r="E7" t="s">
        <v>3</v>
      </c>
      <c r="F7" t="s">
        <v>209</v>
      </c>
      <c r="G7" t="s">
        <v>3</v>
      </c>
      <c r="H7" t="s">
        <v>209</v>
      </c>
      <c r="I7" t="s">
        <v>3</v>
      </c>
      <c r="J7" t="s">
        <v>209</v>
      </c>
      <c r="K7" t="s">
        <v>3</v>
      </c>
      <c r="L7" t="s">
        <v>209</v>
      </c>
      <c r="M7" t="s">
        <v>3</v>
      </c>
      <c r="N7" t="s">
        <v>209</v>
      </c>
      <c r="O7" t="s">
        <v>3</v>
      </c>
      <c r="P7" t="s">
        <v>209</v>
      </c>
      <c r="Q7" t="s">
        <v>3</v>
      </c>
      <c r="R7" t="str">
        <f>R102</f>
        <v>太陽の兵士の召喚/Summon Sun-Soldier</v>
      </c>
      <c r="S7" t="s">
        <v>3</v>
      </c>
      <c r="T7">
        <f>H108</f>
        <v>9</v>
      </c>
      <c r="U7" t="s">
        <v>3</v>
      </c>
    </row>
    <row r="8" spans="1:23" x14ac:dyDescent="0.15">
      <c r="A8" t="str">
        <f t="shared" si="0"/>
        <v>|&gt;|&gt;|&gt;|&gt;|&gt;|&gt;|&gt;|&gt;|「[[督励]]6：対戦相手の最初のクリーチャーを[[破壊]]する」を持つ1/1の兵士トークンを4体召喚する。|</v>
      </c>
      <c r="C8" t="s">
        <v>3</v>
      </c>
      <c r="D8" t="s">
        <v>209</v>
      </c>
      <c r="E8" t="s">
        <v>3</v>
      </c>
      <c r="F8" t="s">
        <v>209</v>
      </c>
      <c r="G8" t="s">
        <v>3</v>
      </c>
      <c r="H8" t="s">
        <v>209</v>
      </c>
      <c r="I8" t="s">
        <v>3</v>
      </c>
      <c r="J8" t="s">
        <v>209</v>
      </c>
      <c r="K8" t="s">
        <v>3</v>
      </c>
      <c r="L8" t="s">
        <v>209</v>
      </c>
      <c r="M8" t="s">
        <v>3</v>
      </c>
      <c r="N8" t="s">
        <v>209</v>
      </c>
      <c r="O8" t="s">
        <v>3</v>
      </c>
      <c r="P8" t="s">
        <v>209</v>
      </c>
      <c r="Q8" t="s">
        <v>3</v>
      </c>
      <c r="R8" t="s">
        <v>209</v>
      </c>
      <c r="S8" t="s">
        <v>3</v>
      </c>
      <c r="T8" t="str">
        <f>J108</f>
        <v>「[[督励]]6：対戦相手の最初のクリーチャーを[[破壊]]する」を持つ1/1の兵士トークンを4体召喚する。</v>
      </c>
      <c r="U8" t="s">
        <v>3</v>
      </c>
    </row>
    <row r="9" spans="1:23" x14ac:dyDescent="0.15">
      <c r="A9" t="str">
        <f t="shared" si="0"/>
        <v>|第2能力|&gt;|&gt;|&gt;|&gt;|&gt;|&gt;|太陽浴/Bathe in the Sun|12|</v>
      </c>
      <c r="C9" t="s">
        <v>3</v>
      </c>
      <c r="D9" t="s">
        <v>587</v>
      </c>
      <c r="E9" t="s">
        <v>3</v>
      </c>
      <c r="F9" t="s">
        <v>209</v>
      </c>
      <c r="G9" t="s">
        <v>3</v>
      </c>
      <c r="H9" t="s">
        <v>209</v>
      </c>
      <c r="I9" t="s">
        <v>3</v>
      </c>
      <c r="J9" t="s">
        <v>209</v>
      </c>
      <c r="K9" t="s">
        <v>3</v>
      </c>
      <c r="L9" t="s">
        <v>209</v>
      </c>
      <c r="M9" t="s">
        <v>3</v>
      </c>
      <c r="N9" t="s">
        <v>209</v>
      </c>
      <c r="O9" t="s">
        <v>3</v>
      </c>
      <c r="P9" t="s">
        <v>209</v>
      </c>
      <c r="Q9" t="s">
        <v>3</v>
      </c>
      <c r="R9" t="str">
        <f>R111</f>
        <v>太陽浴/Bathe in the Sun</v>
      </c>
      <c r="S9" t="s">
        <v>3</v>
      </c>
      <c r="T9">
        <f>H117</f>
        <v>12</v>
      </c>
      <c r="U9" t="s">
        <v>3</v>
      </c>
    </row>
    <row r="10" spans="1:23" x14ac:dyDescent="0.15">
      <c r="A10" t="str">
        <f t="shared" si="0"/>
        <v>|&gt;|&gt;|&gt;|&gt;|&gt;|&gt;|&gt;|&gt;|ジェムを2個起動する：あなたの各クリーチャーは+4/+4の修整を受ける。|</v>
      </c>
      <c r="C10" t="s">
        <v>3</v>
      </c>
      <c r="D10" t="s">
        <v>209</v>
      </c>
      <c r="E10" t="s">
        <v>3</v>
      </c>
      <c r="F10" t="s">
        <v>209</v>
      </c>
      <c r="G10" t="s">
        <v>3</v>
      </c>
      <c r="H10" t="s">
        <v>209</v>
      </c>
      <c r="I10" t="s">
        <v>3</v>
      </c>
      <c r="J10" t="s">
        <v>209</v>
      </c>
      <c r="K10" t="s">
        <v>3</v>
      </c>
      <c r="L10" t="s">
        <v>209</v>
      </c>
      <c r="M10" t="s">
        <v>3</v>
      </c>
      <c r="N10" t="s">
        <v>209</v>
      </c>
      <c r="O10" t="s">
        <v>3</v>
      </c>
      <c r="P10" t="s">
        <v>209</v>
      </c>
      <c r="Q10" t="s">
        <v>3</v>
      </c>
      <c r="R10" t="s">
        <v>209</v>
      </c>
      <c r="S10" t="s">
        <v>3</v>
      </c>
      <c r="T10" t="str">
        <f>J117</f>
        <v>ジェムを2個起動する：あなたの各クリーチャーは+4/+4の修整を受ける。</v>
      </c>
      <c r="U10" t="s">
        <v>3</v>
      </c>
    </row>
    <row r="11" spans="1:23" x14ac:dyDescent="0.15">
      <c r="A11" t="str">
        <f t="shared" si="0"/>
        <v>|第3能力|&gt;|&gt;|&gt;|&gt;|&gt;|&gt;|陽光の力/Solar Power|15|</v>
      </c>
      <c r="C11" t="s">
        <v>3</v>
      </c>
      <c r="D11" t="s">
        <v>590</v>
      </c>
      <c r="E11" t="s">
        <v>3</v>
      </c>
      <c r="F11" t="s">
        <v>209</v>
      </c>
      <c r="G11" t="s">
        <v>3</v>
      </c>
      <c r="H11" t="s">
        <v>209</v>
      </c>
      <c r="I11" t="s">
        <v>3</v>
      </c>
      <c r="J11" t="s">
        <v>209</v>
      </c>
      <c r="K11" t="s">
        <v>3</v>
      </c>
      <c r="L11" t="s">
        <v>209</v>
      </c>
      <c r="M11" t="s">
        <v>3</v>
      </c>
      <c r="N11" t="s">
        <v>209</v>
      </c>
      <c r="O11" t="s">
        <v>3</v>
      </c>
      <c r="P11" t="s">
        <v>209</v>
      </c>
      <c r="Q11" t="s">
        <v>3</v>
      </c>
      <c r="R11" t="str">
        <f>R120</f>
        <v>陽光の力/Solar Power</v>
      </c>
      <c r="S11" t="s">
        <v>3</v>
      </c>
      <c r="T11">
        <f>H126</f>
        <v>15</v>
      </c>
      <c r="U11" t="s">
        <v>3</v>
      </c>
    </row>
    <row r="12" spans="1:23" x14ac:dyDescent="0.15">
      <c r="A12" t="str">
        <f t="shared" si="0"/>
        <v>|&gt;|&gt;|&gt;|&gt;|&gt;|&gt;|&gt;|&gt;|あなたが[[起動]]したジェムを4つ[[破壊]]する。それらは起動効果を解決する。|</v>
      </c>
      <c r="C12" t="s">
        <v>3</v>
      </c>
      <c r="D12" t="s">
        <v>209</v>
      </c>
      <c r="E12" t="s">
        <v>3</v>
      </c>
      <c r="F12" t="s">
        <v>209</v>
      </c>
      <c r="G12" t="s">
        <v>3</v>
      </c>
      <c r="H12" t="s">
        <v>209</v>
      </c>
      <c r="I12" t="s">
        <v>3</v>
      </c>
      <c r="J12" t="s">
        <v>209</v>
      </c>
      <c r="K12" t="s">
        <v>3</v>
      </c>
      <c r="L12" t="s">
        <v>209</v>
      </c>
      <c r="M12" t="s">
        <v>3</v>
      </c>
      <c r="N12" t="s">
        <v>209</v>
      </c>
      <c r="O12" t="s">
        <v>3</v>
      </c>
      <c r="P12" t="s">
        <v>209</v>
      </c>
      <c r="Q12" t="s">
        <v>3</v>
      </c>
      <c r="R12" t="s">
        <v>209</v>
      </c>
      <c r="S12" t="s">
        <v>3</v>
      </c>
      <c r="T12" t="str">
        <f>J126</f>
        <v>あなたが[[起動]]したジェムを4つ[[破壊]]する。それらは起動効果を解決する。</v>
      </c>
      <c r="U12" t="s">
        <v>3</v>
      </c>
    </row>
    <row r="13" spans="1:23" x14ac:dyDescent="0.15">
      <c r="A13" t="str">
        <f t="shared" si="0"/>
        <v/>
      </c>
    </row>
    <row r="14" spans="1:23" x14ac:dyDescent="0.15">
      <c r="A14" t="str">
        <f t="shared" ref="A14:A34" si="1">B14&amp;C14&amp;D14&amp;E14&amp;F14&amp;G14&amp;H14&amp;I14&amp;J14&amp;K14&amp;L14&amp;M14&amp;N14&amp;O14&amp;P14&amp;Q14&amp;R14&amp;S14&amp;T14&amp;U14</f>
        <v>*評価</v>
      </c>
      <c r="B14" t="s">
        <v>592</v>
      </c>
      <c r="C14" t="s">
        <v>593</v>
      </c>
    </row>
    <row r="15" spans="1:23" x14ac:dyDescent="0.15">
      <c r="A15" t="str">
        <f t="shared" si="1"/>
        <v>・HPは平均以上</v>
      </c>
      <c r="B15" t="s">
        <v>594</v>
      </c>
      <c r="C15" s="8" t="s">
        <v>653</v>
      </c>
      <c r="D15" t="str">
        <f>IF(D5&gt;110,"以上",IF(D5&gt;104,"","以下"))</f>
        <v>以上</v>
      </c>
    </row>
    <row r="16" spans="1:23" x14ac:dyDescent="0.15">
      <c r="A16" t="str">
        <f t="shared" si="1"/>
        <v>・マナボーナス合計は+9。平均以上。</v>
      </c>
      <c r="B16" t="s">
        <v>594</v>
      </c>
      <c r="C16" t="s">
        <v>595</v>
      </c>
      <c r="D16">
        <f>SUM(F5:N5)</f>
        <v>9</v>
      </c>
      <c r="E16" t="s">
        <v>596</v>
      </c>
      <c r="F16" t="s">
        <v>597</v>
      </c>
      <c r="G16" t="str">
        <f>IF(D16&gt;8,"以上",IF(D16&gt;6,"","以下"))</f>
        <v>以上</v>
      </c>
      <c r="H16" t="s">
        <v>596</v>
      </c>
    </row>
    <row r="17" spans="1:7" x14ac:dyDescent="0.15">
      <c r="A17" t="str">
        <f t="shared" si="1"/>
        <v>・マナボーナスの偏り方だけを見ると、白の[[槌のコス]]である。ただし、コスと違って低コストなPW能力でジェムを破壊しに行くことができない。</v>
      </c>
      <c r="B17" t="s">
        <v>594</v>
      </c>
      <c r="C17" t="s">
        <v>707</v>
      </c>
    </row>
    <row r="18" spans="1:7" x14ac:dyDescent="0.15">
      <c r="A18" t="str">
        <f t="shared" si="1"/>
        <v>・第1能力が強い。9コストで4/4という白にしては割と普通なスペックに加え、上手くいけば毎ターン、上手くいかなくても時限爆弾のように相手のクリーチャーを破壊しに行ける。ただしその反面、除去能力を即時に使えないというデメリットがある。</v>
      </c>
      <c r="B18" t="s">
        <v>594</v>
      </c>
      <c r="C18" s="8" t="s">
        <v>710</v>
      </c>
    </row>
    <row r="19" spans="1:7" x14ac:dyDescent="0.15">
      <c r="A19" t="str">
        <f t="shared" si="1"/>
        <v>・</v>
      </c>
      <c r="B19" t="s">
        <v>594</v>
      </c>
    </row>
    <row r="21" spans="1:7" x14ac:dyDescent="0.15">
      <c r="A21" t="str">
        <f t="shared" si="1"/>
        <v>*採用候補</v>
      </c>
      <c r="B21" s="8" t="s">
        <v>652</v>
      </c>
    </row>
    <row r="22" spans="1:7" x14ac:dyDescent="0.15">
      <c r="A22" t="str">
        <f t="shared" si="1"/>
        <v>・色が合えば採用候補レベルのものではなく、PWに合った採用候補を紹介</v>
      </c>
      <c r="B22" t="s">
        <v>645</v>
      </c>
    </row>
    <row r="23" spans="1:7" x14ac:dyDescent="0.15">
      <c r="A23" t="str">
        <f t="shared" si="1"/>
        <v/>
      </c>
    </row>
    <row r="24" spans="1:7" x14ac:dyDescent="0.15">
      <c r="A24" t="str">
        <f t="shared" si="1"/>
        <v>**スタンダード</v>
      </c>
      <c r="B24" s="8" t="s">
        <v>650</v>
      </c>
    </row>
    <row r="25" spans="1:7" x14ac:dyDescent="0.15">
      <c r="A25" t="str">
        <f t="shared" si="1"/>
        <v>スタンダード(ORI/KLD/AKH/HOU期)</v>
      </c>
      <c r="B25" t="s">
        <v>646</v>
      </c>
    </row>
    <row r="26" spans="1:7" x14ac:dyDescent="0.15">
      <c r="A26" t="str">
        <f>B26&amp;C26&amp;D26&amp;E26&amp;F26&amp;G26&amp;H26&amp;I26&amp;J26&amp;K26&amp;L26&amp;M26&amp;N26&amp;O26&amp;P26&amp;Q26&amp;R26&amp;S26&amp;T26&amp;U26</f>
        <v>《[[選定された行進]]》[AKH]：第1能力との相性が良い。起動すれば8/8の兵士トークンが生まれる。</v>
      </c>
      <c r="B26" s="8" t="s">
        <v>647</v>
      </c>
      <c r="C26" t="s">
        <v>711</v>
      </c>
      <c r="D26" s="8" t="s">
        <v>712</v>
      </c>
      <c r="E26" s="8" t="s">
        <v>715</v>
      </c>
      <c r="F26" s="8" t="s">
        <v>714</v>
      </c>
      <c r="G26" s="8" t="s">
        <v>717</v>
      </c>
    </row>
    <row r="27" spans="1:7" x14ac:dyDescent="0.15">
      <c r="A27" t="str">
        <f t="shared" si="1"/>
        <v>《[[紅蓮術師のゴーグル]]》[ORI]：第3能力との相性が良い。強い呪文だけをデッキに入れ、ゴーグルの起動ジェムを第3能力で破壊し起動すれば3枚の呪文がタダで唱えられる。</v>
      </c>
      <c r="B27" s="8" t="s">
        <v>647</v>
      </c>
      <c r="C27" t="s">
        <v>708</v>
      </c>
      <c r="D27" s="8" t="s">
        <v>712</v>
      </c>
      <c r="E27" s="8" t="s">
        <v>716</v>
      </c>
      <c r="F27" s="8" t="s">
        <v>714</v>
      </c>
      <c r="G27" t="s">
        <v>709</v>
      </c>
    </row>
    <row r="28" spans="1:7" x14ac:dyDescent="0.15">
      <c r="A28" t="str">
        <f t="shared" si="1"/>
        <v/>
      </c>
    </row>
    <row r="29" spans="1:7" x14ac:dyDescent="0.15">
      <c r="A29" t="str">
        <f t="shared" si="1"/>
        <v/>
      </c>
    </row>
    <row r="30" spans="1:7" x14ac:dyDescent="0.15">
      <c r="A30" t="str">
        <f t="shared" si="1"/>
        <v>**レガシー</v>
      </c>
      <c r="B30" s="8" t="s">
        <v>651</v>
      </c>
    </row>
    <row r="31" spans="1:7" x14ac:dyDescent="0.15">
      <c r="A31" t="str">
        <f t="shared" si="1"/>
        <v>《[[]]》：</v>
      </c>
      <c r="B31" s="8" t="s">
        <v>647</v>
      </c>
      <c r="D31" t="s">
        <v>648</v>
      </c>
      <c r="E31" s="8" t="s">
        <v>649</v>
      </c>
    </row>
    <row r="32" spans="1:7" x14ac:dyDescent="0.15">
      <c r="A32" t="str">
        <f t="shared" si="1"/>
        <v>《[[]]》：</v>
      </c>
      <c r="B32" s="8" t="s">
        <v>647</v>
      </c>
      <c r="D32" t="s">
        <v>648</v>
      </c>
      <c r="E32" s="8" t="s">
        <v>649</v>
      </c>
    </row>
    <row r="33" spans="1:8" x14ac:dyDescent="0.15">
      <c r="A33" t="str">
        <f t="shared" si="1"/>
        <v/>
      </c>
    </row>
    <row r="34" spans="1:8" x14ac:dyDescent="0.15">
      <c r="A34" t="str">
        <f t="shared" si="1"/>
        <v>#region(close,text=Lv60までの詳細データ)</v>
      </c>
      <c r="B34" t="s">
        <v>598</v>
      </c>
    </row>
    <row r="35" spans="1:8" x14ac:dyDescent="0.15">
      <c r="A35" t="str">
        <f>B35&amp;C35&amp;D35&amp;E35&amp;F35&amp;G35&amp;H35&amp;I35&amp;J35&amp;K35&amp;L35&amp;M35&amp;N35&amp;O35&amp;P35</f>
        <v/>
      </c>
    </row>
    <row r="36" spans="1:8" x14ac:dyDescent="0.15">
      <c r="A36" t="str">
        <f>B36&amp;C36&amp;D36&amp;E36&amp;F36&amp;G36&amp;H36&amp;I36&amp;J36&amp;K36&amp;L36&amp;M36&amp;N36&amp;O36&amp;P36</f>
        <v>&amp;br;</v>
      </c>
      <c r="B36" t="s">
        <v>0</v>
      </c>
    </row>
    <row r="37" spans="1:8" x14ac:dyDescent="0.15">
      <c r="A37" t="str">
        <f>B37&amp;C37&amp;D37&amp;E37&amp;F37&amp;G37&amp;H37&amp;I37&amp;J37&amp;K37&amp;L37&amp;M37&amp;N37&amp;O37&amp;P37</f>
        <v>*HP</v>
      </c>
      <c r="B37" s="8" t="s">
        <v>644</v>
      </c>
    </row>
    <row r="38" spans="1:8" x14ac:dyDescent="0.15">
      <c r="A38" t="str">
        <f>B38&amp;C38&amp;D38&amp;E38&amp;F38&amp;G38&amp;H38</f>
        <v>|LEFT:50|LEFT:50|c</v>
      </c>
      <c r="B38" t="s">
        <v>3</v>
      </c>
      <c r="C38" t="s">
        <v>4</v>
      </c>
      <c r="E38" t="s">
        <v>3</v>
      </c>
      <c r="F38" t="s">
        <v>4</v>
      </c>
      <c r="G38" t="s">
        <v>3</v>
      </c>
      <c r="H38" t="s">
        <v>5</v>
      </c>
    </row>
    <row r="39" spans="1:8" x14ac:dyDescent="0.15">
      <c r="A39" t="str">
        <f t="shared" ref="A39:A68" si="2">B39&amp;C39&amp;D39&amp;E39&amp;F39&amp;G39&amp;H39</f>
        <v>|レベル|HP|</v>
      </c>
      <c r="B39" t="s">
        <v>3</v>
      </c>
      <c r="C39" t="s">
        <v>6</v>
      </c>
      <c r="E39" t="s">
        <v>3</v>
      </c>
      <c r="F39" t="s">
        <v>7</v>
      </c>
      <c r="G39" t="s">
        <v>3</v>
      </c>
    </row>
    <row r="40" spans="1:8" x14ac:dyDescent="0.15">
      <c r="A40" t="str">
        <f t="shared" si="2"/>
        <v>|Lv1|30|</v>
      </c>
      <c r="B40" t="s">
        <v>3</v>
      </c>
      <c r="C40" t="s">
        <v>8</v>
      </c>
      <c r="D40">
        <v>1</v>
      </c>
      <c r="E40" t="s">
        <v>3</v>
      </c>
      <c r="F40">
        <f>B206</f>
        <v>30</v>
      </c>
      <c r="G40" t="s">
        <v>3</v>
      </c>
    </row>
    <row r="41" spans="1:8" x14ac:dyDescent="0.15">
      <c r="A41" t="str">
        <f t="shared" si="2"/>
        <v>|Lv3|33|</v>
      </c>
      <c r="B41" t="s">
        <v>3</v>
      </c>
      <c r="C41" t="s">
        <v>8</v>
      </c>
      <c r="D41">
        <v>3</v>
      </c>
      <c r="E41" t="s">
        <v>3</v>
      </c>
      <c r="F41">
        <f t="shared" ref="F41:F68" si="3">IF(ISBLANK(D41),"",F40+INDEX($H$131:$H$190,D41))</f>
        <v>33</v>
      </c>
      <c r="G41" t="s">
        <v>3</v>
      </c>
    </row>
    <row r="42" spans="1:8" x14ac:dyDescent="0.15">
      <c r="A42" t="str">
        <f t="shared" si="2"/>
        <v>|Lv5|36|</v>
      </c>
      <c r="B42" t="s">
        <v>3</v>
      </c>
      <c r="C42" t="s">
        <v>8</v>
      </c>
      <c r="D42">
        <v>5</v>
      </c>
      <c r="E42" t="s">
        <v>3</v>
      </c>
      <c r="F42">
        <f t="shared" si="3"/>
        <v>36</v>
      </c>
      <c r="G42" t="s">
        <v>3</v>
      </c>
    </row>
    <row r="43" spans="1:8" x14ac:dyDescent="0.15">
      <c r="A43" t="str">
        <f t="shared" si="2"/>
        <v>|Lv7|39|</v>
      </c>
      <c r="B43" t="s">
        <v>3</v>
      </c>
      <c r="C43" t="s">
        <v>8</v>
      </c>
      <c r="D43">
        <v>7</v>
      </c>
      <c r="E43" t="s">
        <v>3</v>
      </c>
      <c r="F43">
        <f t="shared" si="3"/>
        <v>39</v>
      </c>
      <c r="G43" t="s">
        <v>3</v>
      </c>
    </row>
    <row r="44" spans="1:8" x14ac:dyDescent="0.15">
      <c r="A44" t="str">
        <f t="shared" si="2"/>
        <v>|Lv9|42|</v>
      </c>
      <c r="B44" t="s">
        <v>3</v>
      </c>
      <c r="C44" t="s">
        <v>8</v>
      </c>
      <c r="D44">
        <v>9</v>
      </c>
      <c r="E44" t="s">
        <v>3</v>
      </c>
      <c r="F44">
        <f t="shared" si="3"/>
        <v>42</v>
      </c>
      <c r="G44" t="s">
        <v>3</v>
      </c>
    </row>
    <row r="45" spans="1:8" x14ac:dyDescent="0.15">
      <c r="A45" t="str">
        <f t="shared" si="2"/>
        <v>|Lv11|45|</v>
      </c>
      <c r="B45" t="s">
        <v>3</v>
      </c>
      <c r="C45" t="s">
        <v>8</v>
      </c>
      <c r="D45">
        <v>11</v>
      </c>
      <c r="E45" t="s">
        <v>3</v>
      </c>
      <c r="F45">
        <f t="shared" si="3"/>
        <v>45</v>
      </c>
      <c r="G45" t="s">
        <v>3</v>
      </c>
    </row>
    <row r="46" spans="1:8" x14ac:dyDescent="0.15">
      <c r="A46" t="str">
        <f t="shared" si="2"/>
        <v>|Lv13|48|</v>
      </c>
      <c r="B46" t="s">
        <v>3</v>
      </c>
      <c r="C46" t="s">
        <v>8</v>
      </c>
      <c r="D46">
        <v>13</v>
      </c>
      <c r="E46" t="s">
        <v>3</v>
      </c>
      <c r="F46">
        <f t="shared" si="3"/>
        <v>48</v>
      </c>
      <c r="G46" t="s">
        <v>3</v>
      </c>
    </row>
    <row r="47" spans="1:8" x14ac:dyDescent="0.15">
      <c r="A47" t="str">
        <f t="shared" si="2"/>
        <v>|Lv15|51|</v>
      </c>
      <c r="B47" t="s">
        <v>3</v>
      </c>
      <c r="C47" t="s">
        <v>8</v>
      </c>
      <c r="D47">
        <v>15</v>
      </c>
      <c r="E47" t="s">
        <v>3</v>
      </c>
      <c r="F47">
        <f t="shared" si="3"/>
        <v>51</v>
      </c>
      <c r="G47" t="s">
        <v>3</v>
      </c>
    </row>
    <row r="48" spans="1:8" x14ac:dyDescent="0.15">
      <c r="A48" t="str">
        <f t="shared" si="2"/>
        <v>|Lv17|54|</v>
      </c>
      <c r="B48" t="s">
        <v>3</v>
      </c>
      <c r="C48" t="s">
        <v>8</v>
      </c>
      <c r="D48">
        <v>17</v>
      </c>
      <c r="E48" t="s">
        <v>3</v>
      </c>
      <c r="F48">
        <f t="shared" si="3"/>
        <v>54</v>
      </c>
      <c r="G48" t="s">
        <v>3</v>
      </c>
    </row>
    <row r="49" spans="1:7" x14ac:dyDescent="0.15">
      <c r="A49" t="str">
        <f t="shared" si="2"/>
        <v>|Lv19|57|</v>
      </c>
      <c r="B49" t="s">
        <v>3</v>
      </c>
      <c r="C49" t="s">
        <v>8</v>
      </c>
      <c r="D49">
        <v>19</v>
      </c>
      <c r="E49" t="s">
        <v>3</v>
      </c>
      <c r="F49">
        <f t="shared" si="3"/>
        <v>57</v>
      </c>
      <c r="G49" t="s">
        <v>3</v>
      </c>
    </row>
    <row r="50" spans="1:7" x14ac:dyDescent="0.15">
      <c r="A50" t="str">
        <f t="shared" si="2"/>
        <v>|Lv21|60|</v>
      </c>
      <c r="B50" t="s">
        <v>3</v>
      </c>
      <c r="C50" t="s">
        <v>8</v>
      </c>
      <c r="D50">
        <v>21</v>
      </c>
      <c r="E50" t="s">
        <v>3</v>
      </c>
      <c r="F50">
        <f t="shared" si="3"/>
        <v>60</v>
      </c>
      <c r="G50" t="s">
        <v>3</v>
      </c>
    </row>
    <row r="51" spans="1:7" x14ac:dyDescent="0.15">
      <c r="A51" t="str">
        <f t="shared" si="2"/>
        <v>|Lv23|63|</v>
      </c>
      <c r="B51" t="s">
        <v>3</v>
      </c>
      <c r="C51" t="s">
        <v>8</v>
      </c>
      <c r="D51">
        <v>23</v>
      </c>
      <c r="E51" t="s">
        <v>3</v>
      </c>
      <c r="F51">
        <f t="shared" si="3"/>
        <v>63</v>
      </c>
      <c r="G51" t="s">
        <v>3</v>
      </c>
    </row>
    <row r="52" spans="1:7" x14ac:dyDescent="0.15">
      <c r="A52" t="str">
        <f t="shared" si="2"/>
        <v>|Lv25|66|</v>
      </c>
      <c r="B52" t="s">
        <v>3</v>
      </c>
      <c r="C52" t="s">
        <v>8</v>
      </c>
      <c r="D52">
        <v>25</v>
      </c>
      <c r="E52" t="s">
        <v>3</v>
      </c>
      <c r="F52">
        <f t="shared" si="3"/>
        <v>66</v>
      </c>
      <c r="G52" t="s">
        <v>3</v>
      </c>
    </row>
    <row r="53" spans="1:7" x14ac:dyDescent="0.15">
      <c r="A53" t="str">
        <f t="shared" si="2"/>
        <v>|Lv27|69|</v>
      </c>
      <c r="B53" t="s">
        <v>3</v>
      </c>
      <c r="C53" t="s">
        <v>8</v>
      </c>
      <c r="D53">
        <v>27</v>
      </c>
      <c r="E53" t="s">
        <v>3</v>
      </c>
      <c r="F53">
        <f t="shared" si="3"/>
        <v>69</v>
      </c>
      <c r="G53" t="s">
        <v>3</v>
      </c>
    </row>
    <row r="54" spans="1:7" x14ac:dyDescent="0.15">
      <c r="A54" t="str">
        <f t="shared" si="2"/>
        <v>|Lv29|72|</v>
      </c>
      <c r="B54" t="s">
        <v>3</v>
      </c>
      <c r="C54" t="s">
        <v>8</v>
      </c>
      <c r="D54">
        <v>29</v>
      </c>
      <c r="E54" t="s">
        <v>3</v>
      </c>
      <c r="F54">
        <f t="shared" si="3"/>
        <v>72</v>
      </c>
      <c r="G54" t="s">
        <v>3</v>
      </c>
    </row>
    <row r="55" spans="1:7" x14ac:dyDescent="0.15">
      <c r="A55" t="str">
        <f t="shared" si="2"/>
        <v>|Lv31|75|</v>
      </c>
      <c r="B55" t="s">
        <v>3</v>
      </c>
      <c r="C55" t="s">
        <v>8</v>
      </c>
      <c r="D55">
        <v>31</v>
      </c>
      <c r="E55" t="s">
        <v>3</v>
      </c>
      <c r="F55">
        <f t="shared" si="3"/>
        <v>75</v>
      </c>
      <c r="G55" t="s">
        <v>3</v>
      </c>
    </row>
    <row r="56" spans="1:7" x14ac:dyDescent="0.15">
      <c r="A56" t="str">
        <f t="shared" si="2"/>
        <v>|Lv33|78|</v>
      </c>
      <c r="B56" t="s">
        <v>3</v>
      </c>
      <c r="C56" t="s">
        <v>8</v>
      </c>
      <c r="D56">
        <v>33</v>
      </c>
      <c r="E56" t="s">
        <v>3</v>
      </c>
      <c r="F56">
        <f t="shared" si="3"/>
        <v>78</v>
      </c>
      <c r="G56" t="s">
        <v>3</v>
      </c>
    </row>
    <row r="57" spans="1:7" x14ac:dyDescent="0.15">
      <c r="A57" t="str">
        <f t="shared" si="2"/>
        <v>|Lv35|81|</v>
      </c>
      <c r="B57" t="s">
        <v>3</v>
      </c>
      <c r="C57" t="s">
        <v>8</v>
      </c>
      <c r="D57">
        <v>35</v>
      </c>
      <c r="E57" t="s">
        <v>3</v>
      </c>
      <c r="F57">
        <f t="shared" si="3"/>
        <v>81</v>
      </c>
      <c r="G57" t="s">
        <v>3</v>
      </c>
    </row>
    <row r="58" spans="1:7" x14ac:dyDescent="0.15">
      <c r="A58" t="str">
        <f t="shared" si="2"/>
        <v>|Lv37|84|</v>
      </c>
      <c r="B58" t="s">
        <v>3</v>
      </c>
      <c r="C58" t="s">
        <v>8</v>
      </c>
      <c r="D58">
        <v>37</v>
      </c>
      <c r="E58" t="s">
        <v>3</v>
      </c>
      <c r="F58">
        <f t="shared" si="3"/>
        <v>84</v>
      </c>
      <c r="G58" t="s">
        <v>3</v>
      </c>
    </row>
    <row r="59" spans="1:7" x14ac:dyDescent="0.15">
      <c r="A59" t="str">
        <f t="shared" si="2"/>
        <v>|Lv39|87|</v>
      </c>
      <c r="B59" t="s">
        <v>3</v>
      </c>
      <c r="C59" t="s">
        <v>8</v>
      </c>
      <c r="D59">
        <v>39</v>
      </c>
      <c r="E59" t="s">
        <v>3</v>
      </c>
      <c r="F59">
        <f t="shared" si="3"/>
        <v>87</v>
      </c>
      <c r="G59" t="s">
        <v>3</v>
      </c>
    </row>
    <row r="60" spans="1:7" x14ac:dyDescent="0.15">
      <c r="A60" t="str">
        <f t="shared" si="2"/>
        <v>|Lv41|90|</v>
      </c>
      <c r="B60" t="s">
        <v>3</v>
      </c>
      <c r="C60" t="s">
        <v>8</v>
      </c>
      <c r="D60">
        <v>41</v>
      </c>
      <c r="E60" t="s">
        <v>3</v>
      </c>
      <c r="F60">
        <f t="shared" si="3"/>
        <v>90</v>
      </c>
      <c r="G60" t="s">
        <v>3</v>
      </c>
    </row>
    <row r="61" spans="1:7" x14ac:dyDescent="0.15">
      <c r="A61" t="str">
        <f t="shared" si="2"/>
        <v>|Lv43|93|</v>
      </c>
      <c r="B61" t="s">
        <v>3</v>
      </c>
      <c r="C61" t="s">
        <v>8</v>
      </c>
      <c r="D61">
        <v>43</v>
      </c>
      <c r="E61" t="s">
        <v>3</v>
      </c>
      <c r="F61">
        <f t="shared" si="3"/>
        <v>93</v>
      </c>
      <c r="G61" t="s">
        <v>3</v>
      </c>
    </row>
    <row r="62" spans="1:7" x14ac:dyDescent="0.15">
      <c r="A62" t="str">
        <f t="shared" si="2"/>
        <v>|Lv45|96|</v>
      </c>
      <c r="B62" t="s">
        <v>3</v>
      </c>
      <c r="C62" t="s">
        <v>8</v>
      </c>
      <c r="D62">
        <v>45</v>
      </c>
      <c r="E62" t="s">
        <v>3</v>
      </c>
      <c r="F62">
        <f t="shared" si="3"/>
        <v>96</v>
      </c>
      <c r="G62" t="s">
        <v>3</v>
      </c>
    </row>
    <row r="63" spans="1:7" x14ac:dyDescent="0.15">
      <c r="A63" t="str">
        <f t="shared" si="2"/>
        <v>|Lv47|99|</v>
      </c>
      <c r="B63" t="s">
        <v>3</v>
      </c>
      <c r="C63" t="s">
        <v>8</v>
      </c>
      <c r="D63">
        <v>47</v>
      </c>
      <c r="E63" t="s">
        <v>3</v>
      </c>
      <c r="F63">
        <f t="shared" si="3"/>
        <v>99</v>
      </c>
      <c r="G63" t="s">
        <v>3</v>
      </c>
    </row>
    <row r="64" spans="1:7" x14ac:dyDescent="0.15">
      <c r="A64" t="str">
        <f t="shared" si="2"/>
        <v>|Lv49|102|</v>
      </c>
      <c r="B64" t="s">
        <v>3</v>
      </c>
      <c r="C64" t="s">
        <v>8</v>
      </c>
      <c r="D64">
        <v>49</v>
      </c>
      <c r="E64" t="s">
        <v>3</v>
      </c>
      <c r="F64">
        <f t="shared" si="3"/>
        <v>102</v>
      </c>
      <c r="G64" t="s">
        <v>3</v>
      </c>
    </row>
    <row r="65" spans="1:19" x14ac:dyDescent="0.15">
      <c r="A65" t="str">
        <f t="shared" si="2"/>
        <v>|Lv51|105|</v>
      </c>
      <c r="B65" t="s">
        <v>3</v>
      </c>
      <c r="C65" t="s">
        <v>8</v>
      </c>
      <c r="D65">
        <v>51</v>
      </c>
      <c r="E65" t="s">
        <v>3</v>
      </c>
      <c r="F65">
        <f t="shared" si="3"/>
        <v>105</v>
      </c>
      <c r="G65" t="s">
        <v>3</v>
      </c>
    </row>
    <row r="66" spans="1:19" x14ac:dyDescent="0.15">
      <c r="A66" t="str">
        <f t="shared" si="2"/>
        <v>|Lv53|108|</v>
      </c>
      <c r="B66" t="s">
        <v>3</v>
      </c>
      <c r="C66" t="s">
        <v>8</v>
      </c>
      <c r="D66">
        <v>53</v>
      </c>
      <c r="E66" t="s">
        <v>3</v>
      </c>
      <c r="F66">
        <f t="shared" si="3"/>
        <v>108</v>
      </c>
      <c r="G66" t="s">
        <v>3</v>
      </c>
    </row>
    <row r="67" spans="1:19" x14ac:dyDescent="0.15">
      <c r="A67" t="str">
        <f t="shared" si="2"/>
        <v>|Lv55|111|</v>
      </c>
      <c r="B67" t="s">
        <v>3</v>
      </c>
      <c r="C67" t="s">
        <v>8</v>
      </c>
      <c r="D67">
        <v>55</v>
      </c>
      <c r="E67" t="s">
        <v>3</v>
      </c>
      <c r="F67">
        <f t="shared" si="3"/>
        <v>111</v>
      </c>
      <c r="G67" t="s">
        <v>3</v>
      </c>
    </row>
    <row r="68" spans="1:19" x14ac:dyDescent="0.15">
      <c r="A68" t="str">
        <f t="shared" si="2"/>
        <v>|Lv57|114|</v>
      </c>
      <c r="B68" t="s">
        <v>3</v>
      </c>
      <c r="C68" t="s">
        <v>8</v>
      </c>
      <c r="D68">
        <v>57</v>
      </c>
      <c r="E68" t="s">
        <v>3</v>
      </c>
      <c r="F68">
        <f t="shared" si="3"/>
        <v>114</v>
      </c>
      <c r="G68" t="s">
        <v>3</v>
      </c>
    </row>
    <row r="69" spans="1:19" x14ac:dyDescent="0.15">
      <c r="A69" t="str">
        <f>B69&amp;C69&amp;D69&amp;E69&amp;F69&amp;G69&amp;H69&amp;I69&amp;J69&amp;K69&amp;L69&amp;M69&amp;N69&amp;O69&amp;P69</f>
        <v>&amp;br;</v>
      </c>
      <c r="B69" t="s">
        <v>0</v>
      </c>
    </row>
    <row r="70" spans="1:19" x14ac:dyDescent="0.15">
      <c r="A70" t="str">
        <f>B70&amp;C70&amp;D70&amp;E70&amp;F70&amp;G70&amp;H70&amp;I70&amp;J70&amp;K70&amp;L70&amp;M70&amp;N70&amp;O70&amp;P70</f>
        <v>&amp;br;</v>
      </c>
      <c r="B70" t="s">
        <v>0</v>
      </c>
    </row>
    <row r="71" spans="1:19" x14ac:dyDescent="0.15">
      <c r="A71" t="str">
        <f>B71&amp;C71&amp;D71&amp;E71&amp;F71&amp;G71&amp;H71&amp;I71&amp;J71&amp;K71&amp;L71&amp;M71&amp;N71&amp;O71&amp;P71</f>
        <v>*マナボーナス [#q1a26f54]</v>
      </c>
      <c r="B71" t="s">
        <v>9</v>
      </c>
    </row>
    <row r="72" spans="1:19" x14ac:dyDescent="0.15">
      <c r="A72" t="str">
        <f t="shared" ref="A72:A84" si="4">B72&amp;C72&amp;D72&amp;G72&amp;H72&amp;I72&amp;J72&amp;K72&amp;L72&amp;M72&amp;N72&amp;O72&amp;P72&amp;Q72&amp;R72</f>
        <v>|LEFT:50|LEFT:50|LEFT:50|LEFT:50|LEFT:50|LEFT:50|c</v>
      </c>
      <c r="B72" t="s">
        <v>3</v>
      </c>
      <c r="C72" t="s">
        <v>4</v>
      </c>
      <c r="E72" t="s">
        <v>3</v>
      </c>
      <c r="G72" t="s">
        <v>3</v>
      </c>
      <c r="H72" t="s">
        <v>4</v>
      </c>
      <c r="I72" t="s">
        <v>3</v>
      </c>
      <c r="J72" t="s">
        <v>4</v>
      </c>
      <c r="K72" t="s">
        <v>3</v>
      </c>
      <c r="L72" t="s">
        <v>4</v>
      </c>
      <c r="M72" t="s">
        <v>3</v>
      </c>
      <c r="N72" t="s">
        <v>4</v>
      </c>
      <c r="O72" t="s">
        <v>3</v>
      </c>
      <c r="P72" t="s">
        <v>4</v>
      </c>
      <c r="Q72" t="s">
        <v>3</v>
      </c>
      <c r="R72" t="s">
        <v>5</v>
      </c>
    </row>
    <row r="73" spans="1:19" x14ac:dyDescent="0.15">
      <c r="A73" t="str">
        <f t="shared" si="4"/>
        <v>|レベル|白|青|黒|赤|緑|</v>
      </c>
      <c r="B73" t="s">
        <v>3</v>
      </c>
      <c r="C73" t="s">
        <v>6</v>
      </c>
      <c r="E73" t="s">
        <v>3</v>
      </c>
      <c r="F73" t="s">
        <v>10</v>
      </c>
      <c r="G73" t="s">
        <v>3</v>
      </c>
      <c r="H73" t="s">
        <v>11</v>
      </c>
      <c r="I73" t="s">
        <v>3</v>
      </c>
      <c r="J73" t="s">
        <v>12</v>
      </c>
      <c r="K73" t="s">
        <v>3</v>
      </c>
      <c r="L73" t="s">
        <v>13</v>
      </c>
      <c r="M73" t="s">
        <v>3</v>
      </c>
      <c r="N73" t="s">
        <v>14</v>
      </c>
      <c r="O73" t="s">
        <v>3</v>
      </c>
      <c r="P73" t="s">
        <v>15</v>
      </c>
      <c r="Q73" t="s">
        <v>3</v>
      </c>
      <c r="S73" t="s">
        <v>11</v>
      </c>
    </row>
    <row r="74" spans="1:19" x14ac:dyDescent="0.15">
      <c r="A74" t="str">
        <f t="shared" si="4"/>
        <v>|Lv1|3|0|-2|-2|0|</v>
      </c>
      <c r="B74" t="s">
        <v>3</v>
      </c>
      <c r="C74" t="s">
        <v>8</v>
      </c>
      <c r="D74">
        <v>1</v>
      </c>
      <c r="E74" t="s">
        <v>3</v>
      </c>
      <c r="G74" t="s">
        <v>3</v>
      </c>
      <c r="H74">
        <f>B210</f>
        <v>3</v>
      </c>
      <c r="I74" t="s">
        <v>3</v>
      </c>
      <c r="J74">
        <f>C210</f>
        <v>0</v>
      </c>
      <c r="K74" t="s">
        <v>3</v>
      </c>
      <c r="L74">
        <f>D210</f>
        <v>-2</v>
      </c>
      <c r="M74" t="s">
        <v>3</v>
      </c>
      <c r="N74">
        <f>E210</f>
        <v>-2</v>
      </c>
      <c r="O74" t="s">
        <v>3</v>
      </c>
      <c r="P74">
        <f>F210</f>
        <v>0</v>
      </c>
      <c r="Q74" t="s">
        <v>3</v>
      </c>
      <c r="S74" t="s">
        <v>12</v>
      </c>
    </row>
    <row r="75" spans="1:19" x14ac:dyDescent="0.15">
      <c r="A75" t="str">
        <f t="shared" si="4"/>
        <v>|Lv2|4|0|-2|-2|0|</v>
      </c>
      <c r="B75" t="s">
        <v>3</v>
      </c>
      <c r="C75" t="s">
        <v>8</v>
      </c>
      <c r="D75">
        <v>2</v>
      </c>
      <c r="E75" t="s">
        <v>3</v>
      </c>
      <c r="F75" t="str">
        <f t="shared" ref="F75:F84" si="5">IF(ISBLANK(D75),"",INDEX($F$131:$F$190,D75))</f>
        <v>白</v>
      </c>
      <c r="G75" t="s">
        <v>3</v>
      </c>
      <c r="H75">
        <f t="shared" ref="H75:H84" si="6">H74+IF(H$73=$F75,1,0)</f>
        <v>4</v>
      </c>
      <c r="I75" t="str">
        <f t="shared" ref="I75:Q84" si="7">I74</f>
        <v>|</v>
      </c>
      <c r="J75">
        <f t="shared" ref="J75:J84" si="8">J74+IF(J$73=$F75,1,0)</f>
        <v>0</v>
      </c>
      <c r="K75" t="str">
        <f t="shared" si="7"/>
        <v>|</v>
      </c>
      <c r="L75">
        <f t="shared" ref="L75:L84" si="9">L74+IF(L$73=$F75,1,0)</f>
        <v>-2</v>
      </c>
      <c r="M75" t="str">
        <f t="shared" si="7"/>
        <v>|</v>
      </c>
      <c r="N75">
        <f t="shared" ref="N75:N84" si="10">N74+IF(N$73=$F75,1,0)</f>
        <v>-2</v>
      </c>
      <c r="O75" t="str">
        <f t="shared" si="7"/>
        <v>|</v>
      </c>
      <c r="P75">
        <f t="shared" ref="P75:P84" si="11">P74+IF(P$73=$F75,1,0)</f>
        <v>0</v>
      </c>
      <c r="Q75" t="str">
        <f t="shared" si="7"/>
        <v>|</v>
      </c>
      <c r="S75" t="s">
        <v>13</v>
      </c>
    </row>
    <row r="76" spans="1:19" x14ac:dyDescent="0.15">
      <c r="A76" t="str">
        <f t="shared" si="4"/>
        <v>|Lv8|4|1|-2|-2|0|</v>
      </c>
      <c r="B76" t="s">
        <v>3</v>
      </c>
      <c r="C76" t="s">
        <v>8</v>
      </c>
      <c r="D76">
        <v>8</v>
      </c>
      <c r="E76" t="s">
        <v>3</v>
      </c>
      <c r="F76" t="str">
        <f t="shared" si="5"/>
        <v>青</v>
      </c>
      <c r="G76" t="s">
        <v>3</v>
      </c>
      <c r="H76">
        <f t="shared" si="6"/>
        <v>4</v>
      </c>
      <c r="I76" t="str">
        <f t="shared" si="7"/>
        <v>|</v>
      </c>
      <c r="J76">
        <f t="shared" si="8"/>
        <v>1</v>
      </c>
      <c r="K76" t="str">
        <f t="shared" si="7"/>
        <v>|</v>
      </c>
      <c r="L76">
        <f t="shared" si="9"/>
        <v>-2</v>
      </c>
      <c r="M76" t="str">
        <f t="shared" si="7"/>
        <v>|</v>
      </c>
      <c r="N76">
        <f t="shared" si="10"/>
        <v>-2</v>
      </c>
      <c r="O76" t="str">
        <f t="shared" si="7"/>
        <v>|</v>
      </c>
      <c r="P76">
        <f t="shared" si="11"/>
        <v>0</v>
      </c>
      <c r="Q76" t="str">
        <f t="shared" si="7"/>
        <v>|</v>
      </c>
      <c r="S76" t="s">
        <v>14</v>
      </c>
    </row>
    <row r="77" spans="1:19" x14ac:dyDescent="0.15">
      <c r="A77" t="str">
        <f t="shared" si="4"/>
        <v>|Lv14|4|1|-2|-2|1|</v>
      </c>
      <c r="B77" t="s">
        <v>3</v>
      </c>
      <c r="C77" t="s">
        <v>8</v>
      </c>
      <c r="D77">
        <v>14</v>
      </c>
      <c r="E77" t="s">
        <v>3</v>
      </c>
      <c r="F77" t="str">
        <f t="shared" si="5"/>
        <v>緑</v>
      </c>
      <c r="G77" t="s">
        <v>3</v>
      </c>
      <c r="H77">
        <f t="shared" si="6"/>
        <v>4</v>
      </c>
      <c r="I77" t="str">
        <f t="shared" si="7"/>
        <v>|</v>
      </c>
      <c r="J77">
        <f t="shared" si="8"/>
        <v>1</v>
      </c>
      <c r="K77" t="str">
        <f t="shared" si="7"/>
        <v>|</v>
      </c>
      <c r="L77">
        <f t="shared" si="9"/>
        <v>-2</v>
      </c>
      <c r="M77" t="str">
        <f t="shared" si="7"/>
        <v>|</v>
      </c>
      <c r="N77">
        <f t="shared" si="10"/>
        <v>-2</v>
      </c>
      <c r="O77" t="str">
        <f t="shared" si="7"/>
        <v>|</v>
      </c>
      <c r="P77">
        <f t="shared" si="11"/>
        <v>1</v>
      </c>
      <c r="Q77" t="str">
        <f t="shared" si="7"/>
        <v>|</v>
      </c>
      <c r="S77" t="s">
        <v>15</v>
      </c>
    </row>
    <row r="78" spans="1:19" x14ac:dyDescent="0.15">
      <c r="A78" t="str">
        <f t="shared" si="4"/>
        <v>|Lv20|5|1|-2|-2|1|</v>
      </c>
      <c r="B78" t="s">
        <v>3</v>
      </c>
      <c r="C78" t="s">
        <v>8</v>
      </c>
      <c r="D78">
        <v>20</v>
      </c>
      <c r="E78" t="s">
        <v>3</v>
      </c>
      <c r="F78" t="str">
        <f t="shared" si="5"/>
        <v>白</v>
      </c>
      <c r="G78" t="s">
        <v>3</v>
      </c>
      <c r="H78">
        <f t="shared" si="6"/>
        <v>5</v>
      </c>
      <c r="I78" t="str">
        <f t="shared" si="7"/>
        <v>|</v>
      </c>
      <c r="J78">
        <f t="shared" si="8"/>
        <v>1</v>
      </c>
      <c r="K78" t="str">
        <f t="shared" si="7"/>
        <v>|</v>
      </c>
      <c r="L78">
        <f t="shared" si="9"/>
        <v>-2</v>
      </c>
      <c r="M78" t="str">
        <f t="shared" si="7"/>
        <v>|</v>
      </c>
      <c r="N78">
        <f t="shared" si="10"/>
        <v>-2</v>
      </c>
      <c r="O78" t="str">
        <f t="shared" si="7"/>
        <v>|</v>
      </c>
      <c r="P78">
        <f t="shared" si="11"/>
        <v>1</v>
      </c>
      <c r="Q78" t="str">
        <f t="shared" si="7"/>
        <v>|</v>
      </c>
    </row>
    <row r="79" spans="1:19" x14ac:dyDescent="0.15">
      <c r="A79" t="str">
        <f t="shared" si="4"/>
        <v>|Lv26|5|2|-2|-2|1|</v>
      </c>
      <c r="B79" t="s">
        <v>3</v>
      </c>
      <c r="C79" t="s">
        <v>8</v>
      </c>
      <c r="D79">
        <v>26</v>
      </c>
      <c r="E79" t="s">
        <v>3</v>
      </c>
      <c r="F79" t="str">
        <f t="shared" si="5"/>
        <v>青</v>
      </c>
      <c r="G79" t="s">
        <v>3</v>
      </c>
      <c r="H79">
        <f t="shared" si="6"/>
        <v>5</v>
      </c>
      <c r="I79" t="str">
        <f t="shared" si="7"/>
        <v>|</v>
      </c>
      <c r="J79">
        <f t="shared" si="8"/>
        <v>2</v>
      </c>
      <c r="K79" t="str">
        <f t="shared" si="7"/>
        <v>|</v>
      </c>
      <c r="L79">
        <f t="shared" si="9"/>
        <v>-2</v>
      </c>
      <c r="M79" t="str">
        <f t="shared" si="7"/>
        <v>|</v>
      </c>
      <c r="N79">
        <f t="shared" si="10"/>
        <v>-2</v>
      </c>
      <c r="O79" t="str">
        <f t="shared" si="7"/>
        <v>|</v>
      </c>
      <c r="P79">
        <f t="shared" si="11"/>
        <v>1</v>
      </c>
      <c r="Q79" t="str">
        <f t="shared" si="7"/>
        <v>|</v>
      </c>
    </row>
    <row r="80" spans="1:19" x14ac:dyDescent="0.15">
      <c r="A80" t="str">
        <f t="shared" si="4"/>
        <v>|Lv32|5|2|-2|-2|2|</v>
      </c>
      <c r="B80" t="s">
        <v>3</v>
      </c>
      <c r="C80" t="s">
        <v>8</v>
      </c>
      <c r="D80">
        <v>32</v>
      </c>
      <c r="E80" t="s">
        <v>3</v>
      </c>
      <c r="F80" t="str">
        <f t="shared" si="5"/>
        <v>緑</v>
      </c>
      <c r="G80" t="s">
        <v>3</v>
      </c>
      <c r="H80">
        <f t="shared" si="6"/>
        <v>5</v>
      </c>
      <c r="I80" t="str">
        <f t="shared" si="7"/>
        <v>|</v>
      </c>
      <c r="J80">
        <f t="shared" si="8"/>
        <v>2</v>
      </c>
      <c r="K80" t="str">
        <f t="shared" si="7"/>
        <v>|</v>
      </c>
      <c r="L80">
        <f t="shared" si="9"/>
        <v>-2</v>
      </c>
      <c r="M80" t="str">
        <f t="shared" si="7"/>
        <v>|</v>
      </c>
      <c r="N80">
        <f t="shared" si="10"/>
        <v>-2</v>
      </c>
      <c r="O80" t="str">
        <f t="shared" si="7"/>
        <v>|</v>
      </c>
      <c r="P80">
        <f t="shared" si="11"/>
        <v>2</v>
      </c>
      <c r="Q80" t="str">
        <f t="shared" si="7"/>
        <v>|</v>
      </c>
    </row>
    <row r="81" spans="1:19" x14ac:dyDescent="0.15">
      <c r="A81" t="str">
        <f t="shared" si="4"/>
        <v>|Lv38|6|2|-2|-2|2|</v>
      </c>
      <c r="B81" t="s">
        <v>3</v>
      </c>
      <c r="C81" t="s">
        <v>8</v>
      </c>
      <c r="D81">
        <v>38</v>
      </c>
      <c r="E81" t="s">
        <v>3</v>
      </c>
      <c r="F81" t="str">
        <f t="shared" si="5"/>
        <v>白</v>
      </c>
      <c r="G81" t="s">
        <v>3</v>
      </c>
      <c r="H81">
        <f t="shared" si="6"/>
        <v>6</v>
      </c>
      <c r="I81" t="str">
        <f t="shared" si="7"/>
        <v>|</v>
      </c>
      <c r="J81">
        <f t="shared" si="8"/>
        <v>2</v>
      </c>
      <c r="K81" t="str">
        <f t="shared" si="7"/>
        <v>|</v>
      </c>
      <c r="L81">
        <f t="shared" si="9"/>
        <v>-2</v>
      </c>
      <c r="M81" t="str">
        <f t="shared" si="7"/>
        <v>|</v>
      </c>
      <c r="N81">
        <f t="shared" si="10"/>
        <v>-2</v>
      </c>
      <c r="O81" t="str">
        <f t="shared" si="7"/>
        <v>|</v>
      </c>
      <c r="P81">
        <f t="shared" si="11"/>
        <v>2</v>
      </c>
      <c r="Q81" t="str">
        <f t="shared" si="7"/>
        <v>|</v>
      </c>
    </row>
    <row r="82" spans="1:19" x14ac:dyDescent="0.15">
      <c r="A82" t="str">
        <f t="shared" si="4"/>
        <v>|Lv44|6|3|-2|-2|2|</v>
      </c>
      <c r="B82" t="s">
        <v>3</v>
      </c>
      <c r="C82" t="s">
        <v>8</v>
      </c>
      <c r="D82">
        <v>44</v>
      </c>
      <c r="E82" t="s">
        <v>3</v>
      </c>
      <c r="F82" t="str">
        <f t="shared" si="5"/>
        <v>青</v>
      </c>
      <c r="G82" t="s">
        <v>3</v>
      </c>
      <c r="H82">
        <f t="shared" si="6"/>
        <v>6</v>
      </c>
      <c r="I82" t="str">
        <f t="shared" si="7"/>
        <v>|</v>
      </c>
      <c r="J82">
        <f t="shared" si="8"/>
        <v>3</v>
      </c>
      <c r="K82" t="str">
        <f t="shared" si="7"/>
        <v>|</v>
      </c>
      <c r="L82">
        <f t="shared" si="9"/>
        <v>-2</v>
      </c>
      <c r="M82" t="str">
        <f t="shared" si="7"/>
        <v>|</v>
      </c>
      <c r="N82">
        <f t="shared" si="10"/>
        <v>-2</v>
      </c>
      <c r="O82" t="str">
        <f t="shared" si="7"/>
        <v>|</v>
      </c>
      <c r="P82">
        <f t="shared" si="11"/>
        <v>2</v>
      </c>
      <c r="Q82" t="str">
        <f t="shared" si="7"/>
        <v>|</v>
      </c>
    </row>
    <row r="83" spans="1:19" x14ac:dyDescent="0.15">
      <c r="A83" t="str">
        <f t="shared" si="4"/>
        <v>|Lv50|6|3|-2|-2|3|</v>
      </c>
      <c r="B83" t="s">
        <v>3</v>
      </c>
      <c r="C83" t="s">
        <v>8</v>
      </c>
      <c r="D83">
        <v>50</v>
      </c>
      <c r="E83" t="s">
        <v>3</v>
      </c>
      <c r="F83" t="str">
        <f t="shared" si="5"/>
        <v>緑</v>
      </c>
      <c r="G83" t="s">
        <v>3</v>
      </c>
      <c r="H83">
        <f t="shared" si="6"/>
        <v>6</v>
      </c>
      <c r="I83" t="str">
        <f t="shared" si="7"/>
        <v>|</v>
      </c>
      <c r="J83">
        <f t="shared" si="8"/>
        <v>3</v>
      </c>
      <c r="K83" t="str">
        <f t="shared" si="7"/>
        <v>|</v>
      </c>
      <c r="L83">
        <f t="shared" si="9"/>
        <v>-2</v>
      </c>
      <c r="M83" t="str">
        <f t="shared" si="7"/>
        <v>|</v>
      </c>
      <c r="N83">
        <f t="shared" si="10"/>
        <v>-2</v>
      </c>
      <c r="O83" t="str">
        <f t="shared" si="7"/>
        <v>|</v>
      </c>
      <c r="P83">
        <f t="shared" si="11"/>
        <v>3</v>
      </c>
      <c r="Q83" t="str">
        <f t="shared" si="7"/>
        <v>|</v>
      </c>
    </row>
    <row r="84" spans="1:19" x14ac:dyDescent="0.15">
      <c r="A84" t="str">
        <f t="shared" si="4"/>
        <v>|Lv59|7|3|-2|-2|3|</v>
      </c>
      <c r="B84" t="s">
        <v>3</v>
      </c>
      <c r="C84" t="s">
        <v>8</v>
      </c>
      <c r="D84">
        <v>59</v>
      </c>
      <c r="E84" t="s">
        <v>3</v>
      </c>
      <c r="F84" t="str">
        <f t="shared" si="5"/>
        <v>白</v>
      </c>
      <c r="G84" t="s">
        <v>3</v>
      </c>
      <c r="H84">
        <f t="shared" si="6"/>
        <v>7</v>
      </c>
      <c r="I84" t="str">
        <f t="shared" si="7"/>
        <v>|</v>
      </c>
      <c r="J84">
        <f t="shared" si="8"/>
        <v>3</v>
      </c>
      <c r="K84" t="str">
        <f t="shared" si="7"/>
        <v>|</v>
      </c>
      <c r="L84">
        <f t="shared" si="9"/>
        <v>-2</v>
      </c>
      <c r="M84" t="str">
        <f t="shared" si="7"/>
        <v>|</v>
      </c>
      <c r="N84">
        <f t="shared" si="10"/>
        <v>-2</v>
      </c>
      <c r="O84" t="str">
        <f t="shared" si="7"/>
        <v>|</v>
      </c>
      <c r="P84">
        <f t="shared" si="11"/>
        <v>3</v>
      </c>
      <c r="Q84" t="str">
        <f t="shared" si="7"/>
        <v>|</v>
      </c>
    </row>
    <row r="85" spans="1:19" x14ac:dyDescent="0.15">
      <c r="A85" t="str">
        <f>B85&amp;C85&amp;D85&amp;E85&amp;F85&amp;G85&amp;H85&amp;I85&amp;J85&amp;K85&amp;L85&amp;M85&amp;N85&amp;O85&amp;P85</f>
        <v>&amp;br;</v>
      </c>
      <c r="B85" t="s">
        <v>0</v>
      </c>
    </row>
    <row r="86" spans="1:19" x14ac:dyDescent="0.15">
      <c r="A86" t="str">
        <f>B86&amp;C86&amp;D86&amp;E86&amp;F86&amp;G86&amp;H86&amp;I86&amp;J86&amp;K86&amp;L86&amp;M86&amp;N86&amp;O86&amp;P86</f>
        <v>&amp;br;</v>
      </c>
      <c r="B86" t="s">
        <v>0</v>
      </c>
    </row>
    <row r="87" spans="1:19" x14ac:dyDescent="0.15">
      <c r="A87" t="str">
        <f>B87&amp;C87&amp;D87&amp;E87&amp;F87&amp;G87&amp;H87&amp;I87&amp;J87&amp;K87&amp;L87&amp;M87&amp;N87&amp;O87&amp;P87</f>
        <v>*デッキ構築枚数上限 [#e6f382eb]</v>
      </c>
      <c r="B87" t="s">
        <v>16</v>
      </c>
    </row>
    <row r="88" spans="1:19" x14ac:dyDescent="0.15">
      <c r="A88" t="str">
        <f>B88&amp;C88&amp;D88&amp;E88&amp;F88&amp;G88&amp;H88&amp;I88&amp;J88&amp;K88&amp;L88&amp;M88&amp;N88&amp;O88&amp;P88</f>
        <v>構築枚数上限を越える枚数はデッキに入れられない。</v>
      </c>
      <c r="B88" t="s">
        <v>17</v>
      </c>
    </row>
    <row r="89" spans="1:19" x14ac:dyDescent="0.15">
      <c r="A89" t="str">
        <f t="shared" ref="A89:A98" si="12">B89&amp;C89&amp;D89&amp;G89&amp;H89&amp;I89&amp;J89&amp;K89&amp;L89&amp;M89&amp;N89&amp;O89&amp;P89&amp;Q89&amp;R89</f>
        <v>|LEFT:50|LEFT:80|LEFT:80|LEFT:80|c</v>
      </c>
      <c r="B89" t="s">
        <v>3</v>
      </c>
      <c r="C89" t="s">
        <v>4</v>
      </c>
      <c r="E89" t="s">
        <v>3</v>
      </c>
      <c r="G89" t="s">
        <v>3</v>
      </c>
      <c r="H89" t="s">
        <v>18</v>
      </c>
      <c r="I89" t="s">
        <v>3</v>
      </c>
      <c r="J89" t="s">
        <v>18</v>
      </c>
      <c r="K89" t="s">
        <v>3</v>
      </c>
      <c r="L89" t="s">
        <v>18</v>
      </c>
      <c r="M89" t="s">
        <v>3</v>
      </c>
      <c r="N89" t="s">
        <v>5</v>
      </c>
    </row>
    <row r="90" spans="1:19" x14ac:dyDescent="0.15">
      <c r="A90" t="str">
        <f t="shared" si="12"/>
        <v>|レベル|クリーチャー|呪文|サポート|</v>
      </c>
      <c r="B90" t="s">
        <v>3</v>
      </c>
      <c r="C90" t="s">
        <v>6</v>
      </c>
      <c r="E90" t="s">
        <v>3</v>
      </c>
      <c r="F90" t="s">
        <v>19</v>
      </c>
      <c r="G90" t="s">
        <v>3</v>
      </c>
      <c r="H90" t="s">
        <v>20</v>
      </c>
      <c r="I90" t="s">
        <v>3</v>
      </c>
      <c r="J90" t="s">
        <v>21</v>
      </c>
      <c r="K90" t="s">
        <v>3</v>
      </c>
      <c r="L90" t="s">
        <v>22</v>
      </c>
      <c r="M90" t="s">
        <v>3</v>
      </c>
      <c r="S90" t="s">
        <v>20</v>
      </c>
    </row>
    <row r="91" spans="1:19" x14ac:dyDescent="0.15">
      <c r="A91" t="str">
        <f t="shared" si="12"/>
        <v>|Lv1|3|4|3|</v>
      </c>
      <c r="B91" t="s">
        <v>3</v>
      </c>
      <c r="C91" t="s">
        <v>8</v>
      </c>
      <c r="D91">
        <v>1</v>
      </c>
      <c r="E91" t="s">
        <v>3</v>
      </c>
      <c r="G91" t="s">
        <v>3</v>
      </c>
      <c r="H91">
        <f>B208</f>
        <v>3</v>
      </c>
      <c r="I91" t="s">
        <v>3</v>
      </c>
      <c r="J91">
        <f>C208</f>
        <v>4</v>
      </c>
      <c r="K91" t="s">
        <v>3</v>
      </c>
      <c r="L91">
        <f>D208</f>
        <v>3</v>
      </c>
      <c r="M91" t="s">
        <v>3</v>
      </c>
      <c r="S91" t="s">
        <v>21</v>
      </c>
    </row>
    <row r="92" spans="1:19" x14ac:dyDescent="0.15">
      <c r="A92" t="str">
        <f t="shared" si="12"/>
        <v>|Lv4|4|4|3|</v>
      </c>
      <c r="B92" t="s">
        <v>3</v>
      </c>
      <c r="C92" t="s">
        <v>8</v>
      </c>
      <c r="D92">
        <v>4</v>
      </c>
      <c r="E92" t="s">
        <v>3</v>
      </c>
      <c r="F92" t="str">
        <f t="shared" ref="F92:F98" si="13">IF(ISBLANK(D92),"",INDEX($F$131:$F$190,D92))</f>
        <v>クリーチャー</v>
      </c>
      <c r="G92" t="s">
        <v>3</v>
      </c>
      <c r="H92">
        <f t="shared" ref="H92:H98" si="14">H91+IF(H$90=$F92,INDEX($H$131:$H$190,D92),0)</f>
        <v>4</v>
      </c>
      <c r="I92" t="s">
        <v>3</v>
      </c>
      <c r="J92">
        <f t="shared" ref="J92:J98" si="15">J91+IF(J$90=$F92,INDEX($H$131:$H$190,D92),0)</f>
        <v>4</v>
      </c>
      <c r="K92" t="s">
        <v>3</v>
      </c>
      <c r="L92">
        <f t="shared" ref="L92:L98" si="16">L91+IF(L$90=$F92,INDEX($H$131:$H$190,D92),0)</f>
        <v>3</v>
      </c>
      <c r="M92" t="s">
        <v>3</v>
      </c>
      <c r="S92" t="s">
        <v>22</v>
      </c>
    </row>
    <row r="93" spans="1:19" x14ac:dyDescent="0.15">
      <c r="A93" t="str">
        <f t="shared" si="12"/>
        <v>|Lv10|4|4|4|</v>
      </c>
      <c r="B93" t="s">
        <v>3</v>
      </c>
      <c r="C93" t="s">
        <v>8</v>
      </c>
      <c r="D93">
        <v>10</v>
      </c>
      <c r="E93" t="s">
        <v>3</v>
      </c>
      <c r="F93" t="str">
        <f t="shared" si="13"/>
        <v>サポート</v>
      </c>
      <c r="G93" t="s">
        <v>3</v>
      </c>
      <c r="H93">
        <f t="shared" si="14"/>
        <v>4</v>
      </c>
      <c r="I93" t="s">
        <v>3</v>
      </c>
      <c r="J93">
        <f t="shared" si="15"/>
        <v>4</v>
      </c>
      <c r="K93" t="s">
        <v>3</v>
      </c>
      <c r="L93">
        <f t="shared" si="16"/>
        <v>4</v>
      </c>
      <c r="M93" t="s">
        <v>3</v>
      </c>
    </row>
    <row r="94" spans="1:19" x14ac:dyDescent="0.15">
      <c r="A94" t="str">
        <f t="shared" si="12"/>
        <v>|Lv16|4|5|4|</v>
      </c>
      <c r="B94" t="s">
        <v>3</v>
      </c>
      <c r="C94" t="s">
        <v>8</v>
      </c>
      <c r="D94">
        <v>16</v>
      </c>
      <c r="E94" t="s">
        <v>3</v>
      </c>
      <c r="F94" t="str">
        <f t="shared" si="13"/>
        <v>呪文</v>
      </c>
      <c r="G94" t="s">
        <v>3</v>
      </c>
      <c r="H94">
        <f t="shared" si="14"/>
        <v>4</v>
      </c>
      <c r="I94" t="s">
        <v>3</v>
      </c>
      <c r="J94">
        <f t="shared" si="15"/>
        <v>5</v>
      </c>
      <c r="K94" t="s">
        <v>3</v>
      </c>
      <c r="L94">
        <f t="shared" si="16"/>
        <v>4</v>
      </c>
      <c r="M94" t="s">
        <v>3</v>
      </c>
    </row>
    <row r="95" spans="1:19" x14ac:dyDescent="0.15">
      <c r="A95" t="str">
        <f t="shared" si="12"/>
        <v>|Lv28|5|5|4|</v>
      </c>
      <c r="B95" t="s">
        <v>3</v>
      </c>
      <c r="C95" t="s">
        <v>8</v>
      </c>
      <c r="D95">
        <v>28</v>
      </c>
      <c r="E95" t="s">
        <v>3</v>
      </c>
      <c r="F95" t="str">
        <f t="shared" si="13"/>
        <v>クリーチャー</v>
      </c>
      <c r="G95" t="s">
        <v>3</v>
      </c>
      <c r="H95">
        <f t="shared" si="14"/>
        <v>5</v>
      </c>
      <c r="I95" t="s">
        <v>3</v>
      </c>
      <c r="J95">
        <f t="shared" si="15"/>
        <v>5</v>
      </c>
      <c r="K95" t="s">
        <v>3</v>
      </c>
      <c r="L95">
        <f t="shared" si="16"/>
        <v>4</v>
      </c>
      <c r="M95" t="s">
        <v>3</v>
      </c>
    </row>
    <row r="96" spans="1:19" x14ac:dyDescent="0.15">
      <c r="A96" t="str">
        <f t="shared" si="12"/>
        <v>|Lv34|5|5|5|</v>
      </c>
      <c r="B96" t="s">
        <v>3</v>
      </c>
      <c r="C96" t="s">
        <v>8</v>
      </c>
      <c r="D96">
        <v>34</v>
      </c>
      <c r="E96" t="s">
        <v>3</v>
      </c>
      <c r="F96" t="str">
        <f t="shared" si="13"/>
        <v>サポート</v>
      </c>
      <c r="G96" t="s">
        <v>3</v>
      </c>
      <c r="H96">
        <f t="shared" si="14"/>
        <v>5</v>
      </c>
      <c r="I96" t="s">
        <v>3</v>
      </c>
      <c r="J96">
        <f t="shared" si="15"/>
        <v>5</v>
      </c>
      <c r="K96" t="s">
        <v>3</v>
      </c>
      <c r="L96">
        <f t="shared" si="16"/>
        <v>5</v>
      </c>
      <c r="M96" t="s">
        <v>3</v>
      </c>
    </row>
    <row r="97" spans="1:18" x14ac:dyDescent="0.15">
      <c r="A97" t="str">
        <f t="shared" si="12"/>
        <v>|Lv42|5|6|5|</v>
      </c>
      <c r="B97" t="s">
        <v>3</v>
      </c>
      <c r="C97" t="s">
        <v>8</v>
      </c>
      <c r="D97">
        <v>42</v>
      </c>
      <c r="E97" t="s">
        <v>3</v>
      </c>
      <c r="F97" t="str">
        <f t="shared" si="13"/>
        <v>呪文</v>
      </c>
      <c r="G97" t="s">
        <v>3</v>
      </c>
      <c r="H97">
        <f t="shared" si="14"/>
        <v>5</v>
      </c>
      <c r="I97" t="s">
        <v>3</v>
      </c>
      <c r="J97">
        <f t="shared" si="15"/>
        <v>6</v>
      </c>
      <c r="K97" t="s">
        <v>3</v>
      </c>
      <c r="L97">
        <f t="shared" si="16"/>
        <v>5</v>
      </c>
      <c r="M97" t="s">
        <v>3</v>
      </c>
    </row>
    <row r="98" spans="1:18" x14ac:dyDescent="0.15">
      <c r="A98" t="str">
        <f t="shared" si="12"/>
        <v>|Lv54|6|6|5|</v>
      </c>
      <c r="B98" t="s">
        <v>3</v>
      </c>
      <c r="C98" t="s">
        <v>8</v>
      </c>
      <c r="D98">
        <v>54</v>
      </c>
      <c r="E98" t="s">
        <v>3</v>
      </c>
      <c r="F98" t="str">
        <f t="shared" si="13"/>
        <v>クリーチャー</v>
      </c>
      <c r="G98" t="s">
        <v>3</v>
      </c>
      <c r="H98">
        <f t="shared" si="14"/>
        <v>6</v>
      </c>
      <c r="I98" t="s">
        <v>3</v>
      </c>
      <c r="J98">
        <f t="shared" si="15"/>
        <v>6</v>
      </c>
      <c r="K98" t="s">
        <v>3</v>
      </c>
      <c r="L98">
        <f t="shared" si="16"/>
        <v>5</v>
      </c>
      <c r="M98" t="s">
        <v>3</v>
      </c>
    </row>
    <row r="99" spans="1:18" x14ac:dyDescent="0.15">
      <c r="A99" t="str">
        <f t="shared" ref="A99:A120" si="17">B99&amp;C99&amp;D99&amp;E99&amp;F99&amp;G99&amp;H99&amp;I99&amp;J99&amp;K99&amp;L99&amp;M99&amp;N99&amp;O99&amp;P99</f>
        <v>&amp;br;</v>
      </c>
      <c r="B99" t="s">
        <v>0</v>
      </c>
    </row>
    <row r="100" spans="1:18" x14ac:dyDescent="0.15">
      <c r="A100" t="str">
        <f t="shared" si="17"/>
        <v>&amp;br;</v>
      </c>
      <c r="B100" t="s">
        <v>0</v>
      </c>
    </row>
    <row r="101" spans="1:18" x14ac:dyDescent="0.15">
      <c r="A101" t="str">
        <f t="shared" si="17"/>
        <v>*PW能力一覧 [#a469e89f]</v>
      </c>
      <c r="B101" t="s">
        <v>23</v>
      </c>
    </row>
    <row r="102" spans="1:18" x14ac:dyDescent="0.15">
      <c r="A102" t="str">
        <f t="shared" si="17"/>
        <v>**第1能力：太陽の兵士の召喚/Summon Sun-Soldier</v>
      </c>
      <c r="B102" t="s">
        <v>24</v>
      </c>
      <c r="D102" t="s">
        <v>696</v>
      </c>
      <c r="E102" t="s">
        <v>25</v>
      </c>
      <c r="F102" t="s">
        <v>689</v>
      </c>
      <c r="R102" t="str">
        <f>D102&amp;E102&amp;F102</f>
        <v>太陽の兵士の召喚/Summon Sun-Soldier</v>
      </c>
    </row>
    <row r="103" spans="1:18" x14ac:dyDescent="0.15">
      <c r="A103" t="str">
        <f t="shared" si="17"/>
        <v>|LEFT:50|LEFT:50|LEFT:50|LEFT:300|c</v>
      </c>
      <c r="B103" t="s">
        <v>3</v>
      </c>
      <c r="C103" t="s">
        <v>4</v>
      </c>
      <c r="E103" t="s">
        <v>3</v>
      </c>
      <c r="F103" t="s">
        <v>4</v>
      </c>
      <c r="G103" t="s">
        <v>3</v>
      </c>
      <c r="H103" t="s">
        <v>4</v>
      </c>
      <c r="I103" t="s">
        <v>3</v>
      </c>
      <c r="J103" t="s">
        <v>26</v>
      </c>
      <c r="K103" t="s">
        <v>3</v>
      </c>
      <c r="L103" t="s">
        <v>5</v>
      </c>
    </row>
    <row r="104" spans="1:18" x14ac:dyDescent="0.15">
      <c r="A104" t="str">
        <f t="shared" si="17"/>
        <v>|解放Lv|レベル|コスト|効果|</v>
      </c>
      <c r="B104" t="s">
        <v>3</v>
      </c>
      <c r="C104" t="s">
        <v>27</v>
      </c>
      <c r="E104" t="s">
        <v>3</v>
      </c>
      <c r="F104" t="s">
        <v>6</v>
      </c>
      <c r="G104" t="s">
        <v>3</v>
      </c>
      <c r="H104" t="s">
        <v>28</v>
      </c>
      <c r="I104" t="s">
        <v>3</v>
      </c>
      <c r="J104" t="s">
        <v>29</v>
      </c>
      <c r="K104" t="s">
        <v>3</v>
      </c>
    </row>
    <row r="105" spans="1:18" x14ac:dyDescent="0.15">
      <c r="A105" t="str">
        <f t="shared" si="17"/>
        <v>|Lv6|Lv1|9|「[[督励]]6：対戦相手の最初のクリーチャーを[[破壊]]する」を持つ1/1の兵士トークンを1体召喚する。|</v>
      </c>
      <c r="B105" t="s">
        <v>3</v>
      </c>
      <c r="C105" t="s">
        <v>8</v>
      </c>
      <c r="D105">
        <v>6</v>
      </c>
      <c r="E105" t="s">
        <v>3</v>
      </c>
      <c r="F105" t="s">
        <v>30</v>
      </c>
      <c r="G105" t="s">
        <v>3</v>
      </c>
      <c r="H105">
        <v>9</v>
      </c>
      <c r="I105" t="s">
        <v>3</v>
      </c>
      <c r="J105" s="8" t="s">
        <v>693</v>
      </c>
      <c r="K105" t="s">
        <v>3</v>
      </c>
    </row>
    <row r="106" spans="1:18" x14ac:dyDescent="0.15">
      <c r="A106" t="str">
        <f t="shared" si="17"/>
        <v>|Lv24|Lv2|9|「[[督励]]6：対戦相手の最初のクリーチャーを[[破壊]]する」を持つ1/1の兵士トークンを2体召喚する。|</v>
      </c>
      <c r="B106" t="s">
        <v>3</v>
      </c>
      <c r="C106" t="s">
        <v>8</v>
      </c>
      <c r="D106">
        <v>24</v>
      </c>
      <c r="E106" t="s">
        <v>3</v>
      </c>
      <c r="F106" t="s">
        <v>31</v>
      </c>
      <c r="G106" t="s">
        <v>3</v>
      </c>
      <c r="H106">
        <f>H105</f>
        <v>9</v>
      </c>
      <c r="I106" t="s">
        <v>3</v>
      </c>
      <c r="J106" s="8" t="s">
        <v>694</v>
      </c>
      <c r="K106" t="s">
        <v>3</v>
      </c>
    </row>
    <row r="107" spans="1:18" x14ac:dyDescent="0.15">
      <c r="A107" t="str">
        <f t="shared" si="17"/>
        <v>|Lv40|Lv3|9|「[[督励]]6：対戦相手の最初のクリーチャーを[[破壊]]する」を持つ1/1の兵士トークンを3体召喚する。|</v>
      </c>
      <c r="B107" t="s">
        <v>3</v>
      </c>
      <c r="C107" t="s">
        <v>8</v>
      </c>
      <c r="D107">
        <v>40</v>
      </c>
      <c r="E107" t="s">
        <v>3</v>
      </c>
      <c r="F107" t="s">
        <v>32</v>
      </c>
      <c r="G107" t="s">
        <v>3</v>
      </c>
      <c r="H107">
        <f>H106</f>
        <v>9</v>
      </c>
      <c r="I107" t="s">
        <v>3</v>
      </c>
      <c r="J107" s="8" t="s">
        <v>695</v>
      </c>
      <c r="K107" t="s">
        <v>3</v>
      </c>
    </row>
    <row r="108" spans="1:18" x14ac:dyDescent="0.15">
      <c r="A108" t="str">
        <f t="shared" si="17"/>
        <v>|Lv56|Lv4|9|「[[督励]]6：対戦相手の最初のクリーチャーを[[破壊]]する」を持つ1/1の兵士トークンを4体召喚する。|</v>
      </c>
      <c r="B108" t="s">
        <v>3</v>
      </c>
      <c r="C108" t="s">
        <v>8</v>
      </c>
      <c r="D108">
        <v>56</v>
      </c>
      <c r="E108" t="s">
        <v>3</v>
      </c>
      <c r="F108" t="s">
        <v>33</v>
      </c>
      <c r="G108" t="s">
        <v>3</v>
      </c>
      <c r="H108">
        <f>H107</f>
        <v>9</v>
      </c>
      <c r="I108" t="s">
        <v>3</v>
      </c>
      <c r="J108" s="8" t="s">
        <v>692</v>
      </c>
      <c r="K108" t="s">
        <v>3</v>
      </c>
    </row>
    <row r="109" spans="1:18" x14ac:dyDescent="0.15">
      <c r="A109" t="str">
        <f t="shared" si="17"/>
        <v>&amp;br;</v>
      </c>
      <c r="B109" t="s">
        <v>0</v>
      </c>
    </row>
    <row r="110" spans="1:18" x14ac:dyDescent="0.15">
      <c r="A110" t="str">
        <f t="shared" si="17"/>
        <v>&amp;br;</v>
      </c>
      <c r="B110" t="s">
        <v>0</v>
      </c>
    </row>
    <row r="111" spans="1:18" x14ac:dyDescent="0.15">
      <c r="A111" t="str">
        <f t="shared" si="17"/>
        <v>**第2能力：太陽浴/Bathe in the Sun</v>
      </c>
      <c r="B111" t="s">
        <v>34</v>
      </c>
      <c r="D111" t="s">
        <v>697</v>
      </c>
      <c r="E111" t="s">
        <v>25</v>
      </c>
      <c r="F111" t="s">
        <v>690</v>
      </c>
      <c r="R111" t="str">
        <f>D111&amp;E111&amp;F111</f>
        <v>太陽浴/Bathe in the Sun</v>
      </c>
    </row>
    <row r="112" spans="1:18" x14ac:dyDescent="0.15">
      <c r="A112" t="str">
        <f t="shared" si="17"/>
        <v>|LEFT:50|LEFT:50|LEFT:50|LEFT:300|c</v>
      </c>
      <c r="B112" t="s">
        <v>3</v>
      </c>
      <c r="C112" t="s">
        <v>4</v>
      </c>
      <c r="E112" t="s">
        <v>3</v>
      </c>
      <c r="F112" t="s">
        <v>4</v>
      </c>
      <c r="G112" t="s">
        <v>3</v>
      </c>
      <c r="H112" t="s">
        <v>4</v>
      </c>
      <c r="I112" t="s">
        <v>3</v>
      </c>
      <c r="J112" t="s">
        <v>26</v>
      </c>
      <c r="K112" t="s">
        <v>3</v>
      </c>
      <c r="L112" t="s">
        <v>5</v>
      </c>
    </row>
    <row r="113" spans="1:18" x14ac:dyDescent="0.15">
      <c r="A113" t="str">
        <f t="shared" si="17"/>
        <v>|解放Lv|レベル|コスト|効果|</v>
      </c>
      <c r="B113" t="s">
        <v>3</v>
      </c>
      <c r="C113" t="s">
        <v>27</v>
      </c>
      <c r="E113" t="s">
        <v>3</v>
      </c>
      <c r="F113" t="s">
        <v>6</v>
      </c>
      <c r="G113" t="s">
        <v>3</v>
      </c>
      <c r="H113" t="s">
        <v>28</v>
      </c>
      <c r="I113" t="s">
        <v>3</v>
      </c>
      <c r="J113" t="s">
        <v>29</v>
      </c>
      <c r="K113" t="s">
        <v>3</v>
      </c>
    </row>
    <row r="114" spans="1:18" x14ac:dyDescent="0.15">
      <c r="A114" t="str">
        <f t="shared" si="17"/>
        <v>|Lv12|Lv1|12|ジェムを2個起動する：あなたの各クリーチャーは+1/+1の修整を受ける。|</v>
      </c>
      <c r="B114" t="s">
        <v>3</v>
      </c>
      <c r="C114" t="s">
        <v>8</v>
      </c>
      <c r="D114">
        <v>12</v>
      </c>
      <c r="E114" t="s">
        <v>3</v>
      </c>
      <c r="F114" t="s">
        <v>30</v>
      </c>
      <c r="G114" t="s">
        <v>3</v>
      </c>
      <c r="H114">
        <v>12</v>
      </c>
      <c r="I114" t="s">
        <v>3</v>
      </c>
      <c r="J114" s="8" t="s">
        <v>699</v>
      </c>
      <c r="K114" t="s">
        <v>3</v>
      </c>
    </row>
    <row r="115" spans="1:18" x14ac:dyDescent="0.15">
      <c r="A115" t="str">
        <f t="shared" si="17"/>
        <v>|Lv30|Lv2|12|ジェムを2個起動する：あなたの各クリーチャーは+2/+2の修整を受ける。|</v>
      </c>
      <c r="B115" t="s">
        <v>3</v>
      </c>
      <c r="C115" t="s">
        <v>8</v>
      </c>
      <c r="D115">
        <v>30</v>
      </c>
      <c r="E115" t="s">
        <v>3</v>
      </c>
      <c r="F115" t="s">
        <v>31</v>
      </c>
      <c r="G115" t="s">
        <v>3</v>
      </c>
      <c r="H115">
        <f>H114</f>
        <v>12</v>
      </c>
      <c r="I115" t="s">
        <v>3</v>
      </c>
      <c r="J115" s="8" t="s">
        <v>700</v>
      </c>
      <c r="K115" t="s">
        <v>3</v>
      </c>
    </row>
    <row r="116" spans="1:18" x14ac:dyDescent="0.15">
      <c r="A116" t="str">
        <f t="shared" si="17"/>
        <v>|Lv46|Lv3|12|ジェムを2個起動する：あなたの各クリーチャーは+3/+3の修整を受ける。|</v>
      </c>
      <c r="B116" t="s">
        <v>3</v>
      </c>
      <c r="C116" t="s">
        <v>8</v>
      </c>
      <c r="D116">
        <v>46</v>
      </c>
      <c r="E116" t="s">
        <v>3</v>
      </c>
      <c r="F116" t="s">
        <v>32</v>
      </c>
      <c r="G116" t="s">
        <v>3</v>
      </c>
      <c r="H116">
        <f>H115</f>
        <v>12</v>
      </c>
      <c r="I116" t="s">
        <v>3</v>
      </c>
      <c r="J116" s="8" t="s">
        <v>701</v>
      </c>
      <c r="K116" t="s">
        <v>3</v>
      </c>
    </row>
    <row r="117" spans="1:18" x14ac:dyDescent="0.15">
      <c r="A117" t="str">
        <f t="shared" si="17"/>
        <v>|Lv58|Lv4|12|ジェムを2個起動する：あなたの各クリーチャーは+4/+4の修整を受ける。|</v>
      </c>
      <c r="B117" t="s">
        <v>3</v>
      </c>
      <c r="C117" t="s">
        <v>8</v>
      </c>
      <c r="D117">
        <v>58</v>
      </c>
      <c r="E117" t="s">
        <v>3</v>
      </c>
      <c r="F117" t="s">
        <v>33</v>
      </c>
      <c r="G117" t="s">
        <v>3</v>
      </c>
      <c r="H117">
        <f>H116</f>
        <v>12</v>
      </c>
      <c r="I117" t="s">
        <v>3</v>
      </c>
      <c r="J117" t="s">
        <v>698</v>
      </c>
      <c r="K117" t="s">
        <v>3</v>
      </c>
    </row>
    <row r="118" spans="1:18" x14ac:dyDescent="0.15">
      <c r="A118" t="str">
        <f t="shared" si="17"/>
        <v>&amp;br;</v>
      </c>
      <c r="B118" t="s">
        <v>0</v>
      </c>
    </row>
    <row r="119" spans="1:18" x14ac:dyDescent="0.15">
      <c r="A119" t="str">
        <f t="shared" si="17"/>
        <v>&amp;br;</v>
      </c>
      <c r="B119" t="s">
        <v>0</v>
      </c>
    </row>
    <row r="120" spans="1:18" x14ac:dyDescent="0.15">
      <c r="A120" t="str">
        <f t="shared" si="17"/>
        <v>**第3能力：陽光の力/Solar Power</v>
      </c>
      <c r="B120" t="s">
        <v>35</v>
      </c>
      <c r="D120" t="s">
        <v>706</v>
      </c>
      <c r="E120" t="s">
        <v>25</v>
      </c>
      <c r="F120" t="s">
        <v>691</v>
      </c>
      <c r="R120" t="str">
        <f>D120&amp;E120&amp;F120</f>
        <v>陽光の力/Solar Power</v>
      </c>
    </row>
    <row r="121" spans="1:18" x14ac:dyDescent="0.15">
      <c r="A121" t="str">
        <f t="shared" ref="A121:A184" si="18">B121&amp;C121&amp;D121&amp;E121&amp;F121&amp;G121&amp;H121&amp;I121&amp;J121&amp;K121&amp;L121&amp;M121&amp;N121&amp;O121&amp;P121</f>
        <v>|LEFT:50|LEFT:50|LEFT:50|LEFT:300|c</v>
      </c>
      <c r="B121" t="s">
        <v>3</v>
      </c>
      <c r="C121" t="s">
        <v>4</v>
      </c>
      <c r="E121" t="s">
        <v>3</v>
      </c>
      <c r="F121" t="s">
        <v>4</v>
      </c>
      <c r="G121" t="s">
        <v>3</v>
      </c>
      <c r="H121" t="s">
        <v>4</v>
      </c>
      <c r="I121" t="s">
        <v>3</v>
      </c>
      <c r="J121" t="s">
        <v>26</v>
      </c>
      <c r="K121" t="s">
        <v>3</v>
      </c>
      <c r="L121" t="s">
        <v>5</v>
      </c>
    </row>
    <row r="122" spans="1:18" x14ac:dyDescent="0.15">
      <c r="A122" t="str">
        <f t="shared" si="18"/>
        <v>|解放Lv|レベル|コスト|効果|</v>
      </c>
      <c r="B122" t="s">
        <v>3</v>
      </c>
      <c r="C122" t="s">
        <v>27</v>
      </c>
      <c r="E122" t="s">
        <v>3</v>
      </c>
      <c r="F122" t="s">
        <v>6</v>
      </c>
      <c r="G122" t="s">
        <v>3</v>
      </c>
      <c r="H122" t="s">
        <v>28</v>
      </c>
      <c r="I122" t="s">
        <v>3</v>
      </c>
      <c r="J122" t="s">
        <v>29</v>
      </c>
      <c r="K122" t="s">
        <v>3</v>
      </c>
    </row>
    <row r="123" spans="1:18" x14ac:dyDescent="0.15">
      <c r="A123" t="str">
        <f t="shared" si="18"/>
        <v>|Lv18|Lv1|15|あなたが[[起動]]したジェムを1つ[[破壊]]する。それらは起動効果を解決する。|</v>
      </c>
      <c r="B123" t="s">
        <v>3</v>
      </c>
      <c r="C123" t="s">
        <v>8</v>
      </c>
      <c r="D123">
        <v>18</v>
      </c>
      <c r="E123" t="s">
        <v>3</v>
      </c>
      <c r="F123" t="s">
        <v>30</v>
      </c>
      <c r="G123" t="s">
        <v>3</v>
      </c>
      <c r="H123">
        <v>15</v>
      </c>
      <c r="I123" t="s">
        <v>3</v>
      </c>
      <c r="J123" s="8" t="s">
        <v>702</v>
      </c>
      <c r="K123" t="s">
        <v>3</v>
      </c>
    </row>
    <row r="124" spans="1:18" x14ac:dyDescent="0.15">
      <c r="A124" t="str">
        <f t="shared" si="18"/>
        <v>|Lv36|Lv2|15|あなたが[[起動]]したジェムを2つ[[破壊]]する。それらは起動効果を解決する。|</v>
      </c>
      <c r="B124" t="s">
        <v>3</v>
      </c>
      <c r="C124" t="s">
        <v>8</v>
      </c>
      <c r="D124">
        <v>36</v>
      </c>
      <c r="E124" t="s">
        <v>3</v>
      </c>
      <c r="F124" t="s">
        <v>31</v>
      </c>
      <c r="G124" t="s">
        <v>3</v>
      </c>
      <c r="H124">
        <f>H123</f>
        <v>15</v>
      </c>
      <c r="I124" t="s">
        <v>3</v>
      </c>
      <c r="J124" s="8" t="s">
        <v>703</v>
      </c>
      <c r="K124" t="s">
        <v>3</v>
      </c>
    </row>
    <row r="125" spans="1:18" x14ac:dyDescent="0.15">
      <c r="A125" t="str">
        <f t="shared" si="18"/>
        <v>|Lv52|Lv3|15|あなたが[[起動]]したジェムを3つ[[破壊]]する。それらは起動効果を解決する。|</v>
      </c>
      <c r="B125" t="s">
        <v>3</v>
      </c>
      <c r="C125" t="s">
        <v>8</v>
      </c>
      <c r="D125">
        <v>52</v>
      </c>
      <c r="E125" t="s">
        <v>3</v>
      </c>
      <c r="F125" t="s">
        <v>32</v>
      </c>
      <c r="G125" t="s">
        <v>3</v>
      </c>
      <c r="H125">
        <f>H124</f>
        <v>15</v>
      </c>
      <c r="I125" t="s">
        <v>3</v>
      </c>
      <c r="J125" s="8" t="s">
        <v>704</v>
      </c>
      <c r="K125" t="s">
        <v>3</v>
      </c>
    </row>
    <row r="126" spans="1:18" x14ac:dyDescent="0.15">
      <c r="A126" t="str">
        <f t="shared" si="18"/>
        <v>|Lv60|Lv4|15|あなたが[[起動]]したジェムを4つ[[破壊]]する。それらは起動効果を解決する。|</v>
      </c>
      <c r="B126" t="s">
        <v>3</v>
      </c>
      <c r="C126" t="s">
        <v>8</v>
      </c>
      <c r="D126">
        <v>60</v>
      </c>
      <c r="E126" t="s">
        <v>3</v>
      </c>
      <c r="F126" t="s">
        <v>33</v>
      </c>
      <c r="G126" t="s">
        <v>3</v>
      </c>
      <c r="H126">
        <f>H125</f>
        <v>15</v>
      </c>
      <c r="I126" t="s">
        <v>3</v>
      </c>
      <c r="J126" s="8" t="s">
        <v>705</v>
      </c>
      <c r="K126" t="s">
        <v>3</v>
      </c>
    </row>
    <row r="127" spans="1:18" x14ac:dyDescent="0.15">
      <c r="A127" t="str">
        <f t="shared" si="18"/>
        <v>&amp;br;</v>
      </c>
      <c r="B127" t="s">
        <v>0</v>
      </c>
    </row>
    <row r="128" spans="1:18" x14ac:dyDescent="0.15">
      <c r="A128" t="str">
        <f t="shared" si="18"/>
        <v>&amp;br;</v>
      </c>
      <c r="B128" t="s">
        <v>0</v>
      </c>
    </row>
    <row r="129" spans="1:18" x14ac:dyDescent="0.15">
      <c r="A129" t="str">
        <f t="shared" si="18"/>
        <v>*レベルアップ報酬一覧</v>
      </c>
      <c r="B129" s="8" t="s">
        <v>666</v>
      </c>
    </row>
    <row r="130" spans="1:18" x14ac:dyDescent="0.15">
      <c r="A130" t="str">
        <f t="shared" si="18"/>
        <v>|LEFT:50|LEFT:100|c</v>
      </c>
      <c r="B130" t="s">
        <v>3</v>
      </c>
      <c r="C130" t="s">
        <v>4</v>
      </c>
      <c r="E130" t="s">
        <v>3</v>
      </c>
      <c r="F130" t="s">
        <v>37</v>
      </c>
      <c r="I130" t="s">
        <v>3</v>
      </c>
      <c r="J130" t="s">
        <v>5</v>
      </c>
      <c r="R130" s="8" t="s">
        <v>654</v>
      </c>
    </row>
    <row r="131" spans="1:18" x14ac:dyDescent="0.15">
      <c r="A131" t="str">
        <f t="shared" si="18"/>
        <v>|レベル|報酬|</v>
      </c>
      <c r="B131" t="s">
        <v>3</v>
      </c>
      <c r="C131" t="s">
        <v>6</v>
      </c>
      <c r="E131" t="s">
        <v>3</v>
      </c>
      <c r="F131" t="s">
        <v>38</v>
      </c>
      <c r="I131" t="s">
        <v>3</v>
      </c>
      <c r="Q131" t="s">
        <v>7</v>
      </c>
      <c r="R131">
        <v>3</v>
      </c>
    </row>
    <row r="132" spans="1:18" x14ac:dyDescent="0.15">
      <c r="A132" t="str">
        <f t="shared" si="18"/>
        <v>|Lｖ2|白+1|</v>
      </c>
      <c r="B132" t="s">
        <v>3</v>
      </c>
      <c r="C132" t="s">
        <v>39</v>
      </c>
      <c r="D132">
        <v>2</v>
      </c>
      <c r="E132" t="s">
        <v>3</v>
      </c>
      <c r="F132" t="s">
        <v>11</v>
      </c>
      <c r="G132" t="str">
        <f>IF(OR(F132=$Q$140,F132=$Q$141,F132=$Q$142,F132=$Q$143,ISBLANK(F132)),"","+")</f>
        <v>+</v>
      </c>
      <c r="H132">
        <f>IF(F132="","",VLOOKUP(F132,$Q$131:$R$144,2,FALSE))</f>
        <v>1</v>
      </c>
      <c r="I132" t="s">
        <v>3</v>
      </c>
      <c r="Q132" t="s">
        <v>20</v>
      </c>
      <c r="R132">
        <v>1</v>
      </c>
    </row>
    <row r="133" spans="1:18" x14ac:dyDescent="0.15">
      <c r="A133" t="str">
        <f t="shared" si="18"/>
        <v>|Lｖ3|HP+3|</v>
      </c>
      <c r="B133" t="s">
        <v>3</v>
      </c>
      <c r="C133" t="s">
        <v>39</v>
      </c>
      <c r="D133">
        <v>3</v>
      </c>
      <c r="E133" t="s">
        <v>3</v>
      </c>
      <c r="F133" t="s">
        <v>7</v>
      </c>
      <c r="G133" t="str">
        <f t="shared" ref="G133:G190" si="19">IF(OR(F133=$Q$140,F133=$Q$141,F133=$Q$142,F133=$Q$143,ISBLANK(F133)),"","+")</f>
        <v>+</v>
      </c>
      <c r="H133">
        <f t="shared" ref="H133:H189" si="20">IF(F133="","",VLOOKUP(F133,$Q$131:$R$144,2,FALSE))</f>
        <v>3</v>
      </c>
      <c r="I133" t="s">
        <v>3</v>
      </c>
      <c r="Q133" t="s">
        <v>21</v>
      </c>
      <c r="R133">
        <v>1</v>
      </c>
    </row>
    <row r="134" spans="1:18" x14ac:dyDescent="0.15">
      <c r="A134" t="str">
        <f t="shared" si="18"/>
        <v>|Lｖ4|クリーチャー+1|</v>
      </c>
      <c r="B134" t="s">
        <v>3</v>
      </c>
      <c r="C134" t="s">
        <v>39</v>
      </c>
      <c r="D134">
        <v>4</v>
      </c>
      <c r="E134" t="s">
        <v>3</v>
      </c>
      <c r="F134" t="s">
        <v>20</v>
      </c>
      <c r="G134" t="str">
        <f t="shared" si="19"/>
        <v>+</v>
      </c>
      <c r="H134">
        <f t="shared" si="20"/>
        <v>1</v>
      </c>
      <c r="I134" t="s">
        <v>3</v>
      </c>
      <c r="Q134" t="s">
        <v>22</v>
      </c>
      <c r="R134">
        <v>1</v>
      </c>
    </row>
    <row r="135" spans="1:18" x14ac:dyDescent="0.15">
      <c r="A135" t="str">
        <f t="shared" si="18"/>
        <v>|Lｖ5|HP+3|</v>
      </c>
      <c r="B135" t="s">
        <v>3</v>
      </c>
      <c r="C135" t="s">
        <v>39</v>
      </c>
      <c r="D135">
        <v>5</v>
      </c>
      <c r="E135" t="s">
        <v>3</v>
      </c>
      <c r="F135" t="s">
        <v>7</v>
      </c>
      <c r="G135" t="str">
        <f t="shared" si="19"/>
        <v>+</v>
      </c>
      <c r="H135">
        <f t="shared" si="20"/>
        <v>3</v>
      </c>
      <c r="I135" t="s">
        <v>3</v>
      </c>
      <c r="Q135" t="s">
        <v>11</v>
      </c>
      <c r="R135">
        <v>1</v>
      </c>
    </row>
    <row r="136" spans="1:18" x14ac:dyDescent="0.15">
      <c r="A136" t="str">
        <f t="shared" si="18"/>
        <v>|Lｖ6|第1能力Lv1|</v>
      </c>
      <c r="B136" t="s">
        <v>3</v>
      </c>
      <c r="C136" t="s">
        <v>39</v>
      </c>
      <c r="D136">
        <v>6</v>
      </c>
      <c r="E136" t="s">
        <v>3</v>
      </c>
      <c r="F136" t="s">
        <v>40</v>
      </c>
      <c r="G136" t="str">
        <f t="shared" si="19"/>
        <v/>
      </c>
      <c r="H136">
        <v>1</v>
      </c>
      <c r="I136" t="s">
        <v>3</v>
      </c>
      <c r="Q136" t="s">
        <v>12</v>
      </c>
      <c r="R136">
        <v>1</v>
      </c>
    </row>
    <row r="137" spans="1:18" x14ac:dyDescent="0.15">
      <c r="A137" t="str">
        <f t="shared" si="18"/>
        <v>|Lｖ7|HP+3|</v>
      </c>
      <c r="B137" t="s">
        <v>3</v>
      </c>
      <c r="C137" t="s">
        <v>39</v>
      </c>
      <c r="D137">
        <v>7</v>
      </c>
      <c r="E137" t="s">
        <v>3</v>
      </c>
      <c r="F137" t="s">
        <v>7</v>
      </c>
      <c r="G137" t="str">
        <f t="shared" si="19"/>
        <v>+</v>
      </c>
      <c r="H137">
        <f t="shared" si="20"/>
        <v>3</v>
      </c>
      <c r="I137" t="s">
        <v>3</v>
      </c>
      <c r="Q137" t="s">
        <v>13</v>
      </c>
      <c r="R137">
        <v>1</v>
      </c>
    </row>
    <row r="138" spans="1:18" x14ac:dyDescent="0.15">
      <c r="A138" t="str">
        <f t="shared" si="18"/>
        <v>|Lｖ8|青+1|</v>
      </c>
      <c r="B138" t="s">
        <v>3</v>
      </c>
      <c r="C138" t="s">
        <v>39</v>
      </c>
      <c r="D138">
        <v>8</v>
      </c>
      <c r="E138" t="s">
        <v>3</v>
      </c>
      <c r="F138" t="s">
        <v>12</v>
      </c>
      <c r="G138" t="str">
        <f t="shared" si="19"/>
        <v>+</v>
      </c>
      <c r="H138">
        <f t="shared" si="20"/>
        <v>1</v>
      </c>
      <c r="I138" t="s">
        <v>3</v>
      </c>
      <c r="Q138" t="s">
        <v>14</v>
      </c>
      <c r="R138">
        <v>1</v>
      </c>
    </row>
    <row r="139" spans="1:18" x14ac:dyDescent="0.15">
      <c r="A139" t="str">
        <f t="shared" si="18"/>
        <v>|Lｖ9|HP+3|</v>
      </c>
      <c r="B139" t="s">
        <v>3</v>
      </c>
      <c r="C139" t="s">
        <v>39</v>
      </c>
      <c r="D139">
        <v>9</v>
      </c>
      <c r="E139" t="s">
        <v>3</v>
      </c>
      <c r="F139" t="s">
        <v>7</v>
      </c>
      <c r="G139" t="str">
        <f t="shared" si="19"/>
        <v>+</v>
      </c>
      <c r="H139">
        <f t="shared" si="20"/>
        <v>3</v>
      </c>
      <c r="I139" t="s">
        <v>3</v>
      </c>
      <c r="Q139" t="s">
        <v>15</v>
      </c>
      <c r="R139">
        <v>1</v>
      </c>
    </row>
    <row r="140" spans="1:18" x14ac:dyDescent="0.15">
      <c r="A140" t="str">
        <f t="shared" si="18"/>
        <v>|Lｖ10|サポート+1|</v>
      </c>
      <c r="B140" t="s">
        <v>3</v>
      </c>
      <c r="C140" t="s">
        <v>39</v>
      </c>
      <c r="D140">
        <v>10</v>
      </c>
      <c r="E140" t="s">
        <v>3</v>
      </c>
      <c r="F140" t="s">
        <v>22</v>
      </c>
      <c r="G140" t="str">
        <f t="shared" si="19"/>
        <v>+</v>
      </c>
      <c r="H140">
        <f t="shared" si="20"/>
        <v>1</v>
      </c>
      <c r="I140" t="s">
        <v>3</v>
      </c>
      <c r="Q140" t="s">
        <v>40</v>
      </c>
    </row>
    <row r="141" spans="1:18" x14ac:dyDescent="0.15">
      <c r="A141" t="str">
        <f t="shared" si="18"/>
        <v>|Lｖ11|HP+3|</v>
      </c>
      <c r="B141" t="s">
        <v>3</v>
      </c>
      <c r="C141" t="s">
        <v>39</v>
      </c>
      <c r="D141">
        <v>11</v>
      </c>
      <c r="E141" t="s">
        <v>3</v>
      </c>
      <c r="F141" t="s">
        <v>7</v>
      </c>
      <c r="G141" t="str">
        <f t="shared" si="19"/>
        <v>+</v>
      </c>
      <c r="H141">
        <f t="shared" si="20"/>
        <v>3</v>
      </c>
      <c r="I141" t="s">
        <v>3</v>
      </c>
      <c r="Q141" t="s">
        <v>41</v>
      </c>
    </row>
    <row r="142" spans="1:18" x14ac:dyDescent="0.15">
      <c r="A142" t="str">
        <f t="shared" si="18"/>
        <v>|Lｖ12|第2能力Lv1|</v>
      </c>
      <c r="B142" t="s">
        <v>3</v>
      </c>
      <c r="C142" t="s">
        <v>39</v>
      </c>
      <c r="D142">
        <v>12</v>
      </c>
      <c r="E142" t="s">
        <v>3</v>
      </c>
      <c r="F142" t="s">
        <v>41</v>
      </c>
      <c r="G142" t="str">
        <f t="shared" si="19"/>
        <v/>
      </c>
      <c r="H142">
        <v>1</v>
      </c>
      <c r="I142" t="s">
        <v>3</v>
      </c>
      <c r="Q142" t="s">
        <v>42</v>
      </c>
    </row>
    <row r="143" spans="1:18" x14ac:dyDescent="0.15">
      <c r="A143" t="str">
        <f t="shared" si="18"/>
        <v>|Lｖ13|HP+3|</v>
      </c>
      <c r="B143" t="s">
        <v>3</v>
      </c>
      <c r="C143" t="s">
        <v>39</v>
      </c>
      <c r="D143">
        <v>13</v>
      </c>
      <c r="E143" t="s">
        <v>3</v>
      </c>
      <c r="F143" t="s">
        <v>7</v>
      </c>
      <c r="G143" t="str">
        <f t="shared" si="19"/>
        <v>+</v>
      </c>
      <c r="H143">
        <f t="shared" si="20"/>
        <v>3</v>
      </c>
      <c r="I143" t="s">
        <v>3</v>
      </c>
      <c r="Q143" t="s">
        <v>43</v>
      </c>
      <c r="R143" s="8" t="s">
        <v>665</v>
      </c>
    </row>
    <row r="144" spans="1:18" x14ac:dyDescent="0.15">
      <c r="A144" t="str">
        <f t="shared" si="18"/>
        <v>|Lｖ14|緑+1|</v>
      </c>
      <c r="B144" t="s">
        <v>3</v>
      </c>
      <c r="C144" t="s">
        <v>39</v>
      </c>
      <c r="D144">
        <v>14</v>
      </c>
      <c r="E144" t="s">
        <v>3</v>
      </c>
      <c r="F144" t="s">
        <v>15</v>
      </c>
      <c r="G144" t="str">
        <f t="shared" si="19"/>
        <v>+</v>
      </c>
      <c r="H144">
        <f t="shared" si="20"/>
        <v>1</v>
      </c>
      <c r="I144" t="s">
        <v>3</v>
      </c>
    </row>
    <row r="145" spans="1:9" x14ac:dyDescent="0.15">
      <c r="A145" t="str">
        <f t="shared" si="18"/>
        <v>|Lｖ15|HP+3|</v>
      </c>
      <c r="B145" t="s">
        <v>3</v>
      </c>
      <c r="C145" t="s">
        <v>39</v>
      </c>
      <c r="D145">
        <v>15</v>
      </c>
      <c r="E145" t="s">
        <v>3</v>
      </c>
      <c r="F145" t="s">
        <v>7</v>
      </c>
      <c r="G145" t="str">
        <f t="shared" si="19"/>
        <v>+</v>
      </c>
      <c r="H145">
        <f t="shared" si="20"/>
        <v>3</v>
      </c>
      <c r="I145" t="s">
        <v>3</v>
      </c>
    </row>
    <row r="146" spans="1:9" x14ac:dyDescent="0.15">
      <c r="A146" t="str">
        <f t="shared" si="18"/>
        <v>|Lｖ16|呪文+1|</v>
      </c>
      <c r="B146" t="s">
        <v>3</v>
      </c>
      <c r="C146" t="s">
        <v>39</v>
      </c>
      <c r="D146">
        <v>16</v>
      </c>
      <c r="E146" t="s">
        <v>3</v>
      </c>
      <c r="F146" t="s">
        <v>21</v>
      </c>
      <c r="G146" t="str">
        <f t="shared" si="19"/>
        <v>+</v>
      </c>
      <c r="H146">
        <f t="shared" si="20"/>
        <v>1</v>
      </c>
      <c r="I146" t="s">
        <v>3</v>
      </c>
    </row>
    <row r="147" spans="1:9" x14ac:dyDescent="0.15">
      <c r="A147" t="str">
        <f t="shared" si="18"/>
        <v>|Lｖ17|HP+3|</v>
      </c>
      <c r="B147" t="s">
        <v>3</v>
      </c>
      <c r="C147" t="s">
        <v>39</v>
      </c>
      <c r="D147">
        <v>17</v>
      </c>
      <c r="E147" t="s">
        <v>3</v>
      </c>
      <c r="F147" t="s">
        <v>7</v>
      </c>
      <c r="G147" t="str">
        <f t="shared" si="19"/>
        <v>+</v>
      </c>
      <c r="H147">
        <f t="shared" si="20"/>
        <v>3</v>
      </c>
      <c r="I147" t="s">
        <v>3</v>
      </c>
    </row>
    <row r="148" spans="1:9" x14ac:dyDescent="0.15">
      <c r="A148" t="str">
        <f t="shared" si="18"/>
        <v>|Lｖ18|第3能力Lv1|</v>
      </c>
      <c r="B148" t="s">
        <v>3</v>
      </c>
      <c r="C148" t="s">
        <v>39</v>
      </c>
      <c r="D148">
        <v>18</v>
      </c>
      <c r="E148" t="s">
        <v>3</v>
      </c>
      <c r="F148" t="s">
        <v>42</v>
      </c>
      <c r="G148" t="str">
        <f t="shared" si="19"/>
        <v/>
      </c>
      <c r="H148">
        <v>1</v>
      </c>
      <c r="I148" t="s">
        <v>3</v>
      </c>
    </row>
    <row r="149" spans="1:9" x14ac:dyDescent="0.15">
      <c r="A149" t="str">
        <f t="shared" si="18"/>
        <v>|Lｖ19|HP+3|</v>
      </c>
      <c r="B149" t="s">
        <v>3</v>
      </c>
      <c r="C149" t="s">
        <v>39</v>
      </c>
      <c r="D149">
        <v>19</v>
      </c>
      <c r="E149" t="s">
        <v>3</v>
      </c>
      <c r="F149" t="s">
        <v>7</v>
      </c>
      <c r="G149" t="str">
        <f t="shared" si="19"/>
        <v>+</v>
      </c>
      <c r="H149">
        <f t="shared" si="20"/>
        <v>3</v>
      </c>
      <c r="I149" t="s">
        <v>3</v>
      </c>
    </row>
    <row r="150" spans="1:9" x14ac:dyDescent="0.15">
      <c r="A150" t="str">
        <f t="shared" si="18"/>
        <v>|Lｖ20|白+1|</v>
      </c>
      <c r="B150" t="s">
        <v>3</v>
      </c>
      <c r="C150" t="s">
        <v>39</v>
      </c>
      <c r="D150">
        <v>20</v>
      </c>
      <c r="E150" t="s">
        <v>3</v>
      </c>
      <c r="F150" t="s">
        <v>11</v>
      </c>
      <c r="G150" t="str">
        <f t="shared" si="19"/>
        <v>+</v>
      </c>
      <c r="H150">
        <f t="shared" si="20"/>
        <v>1</v>
      </c>
      <c r="I150" t="s">
        <v>3</v>
      </c>
    </row>
    <row r="151" spans="1:9" x14ac:dyDescent="0.15">
      <c r="A151" t="str">
        <f t="shared" si="18"/>
        <v>|Lｖ21|HP+3|</v>
      </c>
      <c r="B151" t="s">
        <v>3</v>
      </c>
      <c r="C151" t="s">
        <v>39</v>
      </c>
      <c r="D151">
        <v>21</v>
      </c>
      <c r="E151" t="s">
        <v>3</v>
      </c>
      <c r="F151" t="s">
        <v>7</v>
      </c>
      <c r="G151" t="str">
        <f t="shared" si="19"/>
        <v>+</v>
      </c>
      <c r="H151">
        <f t="shared" si="20"/>
        <v>3</v>
      </c>
      <c r="I151" t="s">
        <v>3</v>
      </c>
    </row>
    <row r="152" spans="1:9" x14ac:dyDescent="0.15">
      <c r="A152" t="str">
        <f t="shared" si="18"/>
        <v>|Lｖ22|回復速度上昇 |</v>
      </c>
      <c r="B152" t="s">
        <v>3</v>
      </c>
      <c r="C152" t="s">
        <v>39</v>
      </c>
      <c r="D152">
        <v>22</v>
      </c>
      <c r="E152" t="s">
        <v>3</v>
      </c>
      <c r="F152" t="s">
        <v>43</v>
      </c>
      <c r="G152" t="str">
        <f t="shared" si="19"/>
        <v/>
      </c>
      <c r="H152" t="str">
        <f t="shared" si="20"/>
        <v xml:space="preserve"> </v>
      </c>
      <c r="I152" t="s">
        <v>3</v>
      </c>
    </row>
    <row r="153" spans="1:9" x14ac:dyDescent="0.15">
      <c r="A153" t="str">
        <f t="shared" si="18"/>
        <v>|Lｖ23|HP+3|</v>
      </c>
      <c r="B153" t="s">
        <v>3</v>
      </c>
      <c r="C153" t="s">
        <v>39</v>
      </c>
      <c r="D153">
        <v>23</v>
      </c>
      <c r="E153" t="s">
        <v>3</v>
      </c>
      <c r="F153" t="s">
        <v>7</v>
      </c>
      <c r="G153" t="str">
        <f t="shared" si="19"/>
        <v>+</v>
      </c>
      <c r="H153">
        <f t="shared" si="20"/>
        <v>3</v>
      </c>
      <c r="I153" t="s">
        <v>3</v>
      </c>
    </row>
    <row r="154" spans="1:9" x14ac:dyDescent="0.15">
      <c r="A154" t="str">
        <f t="shared" si="18"/>
        <v>|Lｖ24|第1能力Lv2|</v>
      </c>
      <c r="B154" t="s">
        <v>3</v>
      </c>
      <c r="C154" t="s">
        <v>39</v>
      </c>
      <c r="D154">
        <v>24</v>
      </c>
      <c r="E154" t="s">
        <v>3</v>
      </c>
      <c r="F154" t="s">
        <v>40</v>
      </c>
      <c r="G154" t="str">
        <f t="shared" si="19"/>
        <v/>
      </c>
      <c r="H154">
        <v>2</v>
      </c>
      <c r="I154" t="s">
        <v>3</v>
      </c>
    </row>
    <row r="155" spans="1:9" x14ac:dyDescent="0.15">
      <c r="A155" t="str">
        <f t="shared" si="18"/>
        <v>|Lｖ25|HP+3|</v>
      </c>
      <c r="B155" t="s">
        <v>3</v>
      </c>
      <c r="C155" t="s">
        <v>39</v>
      </c>
      <c r="D155">
        <v>25</v>
      </c>
      <c r="E155" t="s">
        <v>3</v>
      </c>
      <c r="F155" t="s">
        <v>7</v>
      </c>
      <c r="G155" t="str">
        <f t="shared" si="19"/>
        <v>+</v>
      </c>
      <c r="H155">
        <f t="shared" si="20"/>
        <v>3</v>
      </c>
      <c r="I155" t="s">
        <v>3</v>
      </c>
    </row>
    <row r="156" spans="1:9" x14ac:dyDescent="0.15">
      <c r="A156" t="str">
        <f t="shared" si="18"/>
        <v>|Lｖ26|青+1|</v>
      </c>
      <c r="B156" t="s">
        <v>3</v>
      </c>
      <c r="C156" t="s">
        <v>39</v>
      </c>
      <c r="D156">
        <v>26</v>
      </c>
      <c r="E156" t="s">
        <v>3</v>
      </c>
      <c r="F156" t="s">
        <v>12</v>
      </c>
      <c r="G156" t="str">
        <f t="shared" si="19"/>
        <v>+</v>
      </c>
      <c r="H156">
        <f t="shared" si="20"/>
        <v>1</v>
      </c>
      <c r="I156" t="s">
        <v>3</v>
      </c>
    </row>
    <row r="157" spans="1:9" x14ac:dyDescent="0.15">
      <c r="A157" t="str">
        <f t="shared" si="18"/>
        <v>|Lｖ27|HP+3|</v>
      </c>
      <c r="B157" t="s">
        <v>3</v>
      </c>
      <c r="C157" t="s">
        <v>39</v>
      </c>
      <c r="D157">
        <v>27</v>
      </c>
      <c r="E157" t="s">
        <v>3</v>
      </c>
      <c r="F157" t="s">
        <v>7</v>
      </c>
      <c r="G157" t="str">
        <f t="shared" si="19"/>
        <v>+</v>
      </c>
      <c r="H157">
        <f t="shared" si="20"/>
        <v>3</v>
      </c>
      <c r="I157" t="s">
        <v>3</v>
      </c>
    </row>
    <row r="158" spans="1:9" x14ac:dyDescent="0.15">
      <c r="A158" t="str">
        <f t="shared" si="18"/>
        <v>|Lｖ28|クリーチャー+1|</v>
      </c>
      <c r="B158" t="s">
        <v>3</v>
      </c>
      <c r="C158" t="s">
        <v>39</v>
      </c>
      <c r="D158">
        <v>28</v>
      </c>
      <c r="E158" t="s">
        <v>3</v>
      </c>
      <c r="F158" t="s">
        <v>20</v>
      </c>
      <c r="G158" t="str">
        <f t="shared" si="19"/>
        <v>+</v>
      </c>
      <c r="H158">
        <f t="shared" si="20"/>
        <v>1</v>
      </c>
      <c r="I158" t="s">
        <v>3</v>
      </c>
    </row>
    <row r="159" spans="1:9" x14ac:dyDescent="0.15">
      <c r="A159" t="str">
        <f t="shared" si="18"/>
        <v>|Lｖ29|HP+3|</v>
      </c>
      <c r="B159" t="s">
        <v>3</v>
      </c>
      <c r="C159" t="s">
        <v>39</v>
      </c>
      <c r="D159">
        <v>29</v>
      </c>
      <c r="E159" t="s">
        <v>3</v>
      </c>
      <c r="F159" t="s">
        <v>7</v>
      </c>
      <c r="G159" t="str">
        <f t="shared" si="19"/>
        <v>+</v>
      </c>
      <c r="H159">
        <f t="shared" si="20"/>
        <v>3</v>
      </c>
      <c r="I159" t="s">
        <v>3</v>
      </c>
    </row>
    <row r="160" spans="1:9" x14ac:dyDescent="0.15">
      <c r="A160" t="str">
        <f t="shared" si="18"/>
        <v>|Lｖ30|第2能力Lv2|</v>
      </c>
      <c r="B160" t="s">
        <v>3</v>
      </c>
      <c r="C160" t="s">
        <v>39</v>
      </c>
      <c r="D160">
        <v>30</v>
      </c>
      <c r="E160" t="s">
        <v>3</v>
      </c>
      <c r="F160" t="s">
        <v>41</v>
      </c>
      <c r="G160" t="str">
        <f t="shared" si="19"/>
        <v/>
      </c>
      <c r="H160">
        <v>2</v>
      </c>
      <c r="I160" t="s">
        <v>3</v>
      </c>
    </row>
    <row r="161" spans="1:9" x14ac:dyDescent="0.15">
      <c r="A161" t="str">
        <f t="shared" si="18"/>
        <v>|Lｖ31|HP+3|</v>
      </c>
      <c r="B161" t="s">
        <v>3</v>
      </c>
      <c r="C161" t="s">
        <v>39</v>
      </c>
      <c r="D161">
        <v>31</v>
      </c>
      <c r="E161" t="s">
        <v>3</v>
      </c>
      <c r="F161" t="s">
        <v>7</v>
      </c>
      <c r="G161" t="str">
        <f t="shared" si="19"/>
        <v>+</v>
      </c>
      <c r="H161">
        <f t="shared" si="20"/>
        <v>3</v>
      </c>
      <c r="I161" t="s">
        <v>3</v>
      </c>
    </row>
    <row r="162" spans="1:9" x14ac:dyDescent="0.15">
      <c r="A162" t="str">
        <f t="shared" si="18"/>
        <v>|Lｖ32|緑+1|</v>
      </c>
      <c r="B162" t="s">
        <v>3</v>
      </c>
      <c r="C162" t="s">
        <v>39</v>
      </c>
      <c r="D162">
        <v>32</v>
      </c>
      <c r="E162" t="s">
        <v>3</v>
      </c>
      <c r="F162" t="s">
        <v>15</v>
      </c>
      <c r="G162" t="str">
        <f t="shared" si="19"/>
        <v>+</v>
      </c>
      <c r="H162">
        <f t="shared" si="20"/>
        <v>1</v>
      </c>
      <c r="I162" t="s">
        <v>3</v>
      </c>
    </row>
    <row r="163" spans="1:9" x14ac:dyDescent="0.15">
      <c r="A163" t="str">
        <f t="shared" si="18"/>
        <v>|Lｖ33|HP+3|</v>
      </c>
      <c r="B163" t="s">
        <v>3</v>
      </c>
      <c r="C163" t="s">
        <v>39</v>
      </c>
      <c r="D163">
        <v>33</v>
      </c>
      <c r="E163" t="s">
        <v>3</v>
      </c>
      <c r="F163" t="s">
        <v>7</v>
      </c>
      <c r="G163" t="str">
        <f t="shared" si="19"/>
        <v>+</v>
      </c>
      <c r="H163">
        <f t="shared" si="20"/>
        <v>3</v>
      </c>
      <c r="I163" t="s">
        <v>3</v>
      </c>
    </row>
    <row r="164" spans="1:9" x14ac:dyDescent="0.15">
      <c r="A164" t="str">
        <f t="shared" si="18"/>
        <v>|Lｖ34|サポート+1|</v>
      </c>
      <c r="B164" t="s">
        <v>3</v>
      </c>
      <c r="C164" t="s">
        <v>39</v>
      </c>
      <c r="D164">
        <v>34</v>
      </c>
      <c r="E164" t="s">
        <v>3</v>
      </c>
      <c r="F164" t="s">
        <v>22</v>
      </c>
      <c r="G164" t="str">
        <f t="shared" si="19"/>
        <v>+</v>
      </c>
      <c r="H164">
        <f t="shared" si="20"/>
        <v>1</v>
      </c>
      <c r="I164" t="s">
        <v>3</v>
      </c>
    </row>
    <row r="165" spans="1:9" x14ac:dyDescent="0.15">
      <c r="A165" t="str">
        <f t="shared" si="18"/>
        <v>|Lｖ35|HP+3|</v>
      </c>
      <c r="B165" t="s">
        <v>3</v>
      </c>
      <c r="C165" t="s">
        <v>39</v>
      </c>
      <c r="D165">
        <v>35</v>
      </c>
      <c r="E165" t="s">
        <v>3</v>
      </c>
      <c r="F165" t="s">
        <v>7</v>
      </c>
      <c r="G165" t="str">
        <f t="shared" si="19"/>
        <v>+</v>
      </c>
      <c r="H165">
        <f t="shared" si="20"/>
        <v>3</v>
      </c>
      <c r="I165" t="s">
        <v>3</v>
      </c>
    </row>
    <row r="166" spans="1:9" x14ac:dyDescent="0.15">
      <c r="A166" t="str">
        <f t="shared" si="18"/>
        <v>|Lｖ36|第3能力Lv2|</v>
      </c>
      <c r="B166" t="s">
        <v>3</v>
      </c>
      <c r="C166" t="s">
        <v>39</v>
      </c>
      <c r="D166">
        <v>36</v>
      </c>
      <c r="E166" t="s">
        <v>3</v>
      </c>
      <c r="F166" t="s">
        <v>42</v>
      </c>
      <c r="G166" t="str">
        <f t="shared" si="19"/>
        <v/>
      </c>
      <c r="H166">
        <v>2</v>
      </c>
      <c r="I166" t="s">
        <v>3</v>
      </c>
    </row>
    <row r="167" spans="1:9" x14ac:dyDescent="0.15">
      <c r="A167" t="str">
        <f t="shared" si="18"/>
        <v>|Lｖ37|HP+3|</v>
      </c>
      <c r="B167" t="s">
        <v>3</v>
      </c>
      <c r="C167" t="s">
        <v>39</v>
      </c>
      <c r="D167">
        <v>37</v>
      </c>
      <c r="E167" t="s">
        <v>3</v>
      </c>
      <c r="F167" t="s">
        <v>7</v>
      </c>
      <c r="G167" t="str">
        <f t="shared" si="19"/>
        <v>+</v>
      </c>
      <c r="H167">
        <f t="shared" si="20"/>
        <v>3</v>
      </c>
      <c r="I167" t="s">
        <v>3</v>
      </c>
    </row>
    <row r="168" spans="1:9" x14ac:dyDescent="0.15">
      <c r="A168" t="str">
        <f t="shared" si="18"/>
        <v>|Lｖ38|白+1|</v>
      </c>
      <c r="B168" t="s">
        <v>3</v>
      </c>
      <c r="C168" t="s">
        <v>39</v>
      </c>
      <c r="D168">
        <v>38</v>
      </c>
      <c r="E168" t="s">
        <v>3</v>
      </c>
      <c r="F168" t="s">
        <v>11</v>
      </c>
      <c r="G168" t="str">
        <f t="shared" si="19"/>
        <v>+</v>
      </c>
      <c r="H168">
        <f t="shared" si="20"/>
        <v>1</v>
      </c>
      <c r="I168" t="s">
        <v>3</v>
      </c>
    </row>
    <row r="169" spans="1:9" x14ac:dyDescent="0.15">
      <c r="A169" t="str">
        <f t="shared" si="18"/>
        <v>|Lｖ39|HP+3|</v>
      </c>
      <c r="B169" t="s">
        <v>3</v>
      </c>
      <c r="C169" t="s">
        <v>39</v>
      </c>
      <c r="D169">
        <v>39</v>
      </c>
      <c r="E169" t="s">
        <v>3</v>
      </c>
      <c r="F169" t="s">
        <v>7</v>
      </c>
      <c r="G169" t="str">
        <f t="shared" si="19"/>
        <v>+</v>
      </c>
      <c r="H169">
        <f t="shared" si="20"/>
        <v>3</v>
      </c>
      <c r="I169" t="s">
        <v>3</v>
      </c>
    </row>
    <row r="170" spans="1:9" x14ac:dyDescent="0.15">
      <c r="A170" t="str">
        <f t="shared" si="18"/>
        <v>|Lｖ40|第1能力Lv3|</v>
      </c>
      <c r="B170" t="s">
        <v>3</v>
      </c>
      <c r="C170" t="s">
        <v>39</v>
      </c>
      <c r="D170">
        <v>40</v>
      </c>
      <c r="E170" t="s">
        <v>3</v>
      </c>
      <c r="F170" t="s">
        <v>40</v>
      </c>
      <c r="G170" t="str">
        <f t="shared" si="19"/>
        <v/>
      </c>
      <c r="H170">
        <v>3</v>
      </c>
      <c r="I170" t="s">
        <v>3</v>
      </c>
    </row>
    <row r="171" spans="1:9" x14ac:dyDescent="0.15">
      <c r="A171" t="str">
        <f t="shared" si="18"/>
        <v>|Lｖ41|HP+3|</v>
      </c>
      <c r="B171" t="s">
        <v>3</v>
      </c>
      <c r="C171" t="s">
        <v>39</v>
      </c>
      <c r="D171">
        <v>41</v>
      </c>
      <c r="E171" t="s">
        <v>3</v>
      </c>
      <c r="F171" t="s">
        <v>7</v>
      </c>
      <c r="G171" t="str">
        <f t="shared" si="19"/>
        <v>+</v>
      </c>
      <c r="H171">
        <f t="shared" si="20"/>
        <v>3</v>
      </c>
      <c r="I171" t="s">
        <v>3</v>
      </c>
    </row>
    <row r="172" spans="1:9" x14ac:dyDescent="0.15">
      <c r="A172" t="str">
        <f t="shared" si="18"/>
        <v>|Lｖ42|呪文+1|</v>
      </c>
      <c r="B172" t="s">
        <v>3</v>
      </c>
      <c r="C172" t="s">
        <v>39</v>
      </c>
      <c r="D172">
        <v>42</v>
      </c>
      <c r="E172" t="s">
        <v>3</v>
      </c>
      <c r="F172" t="s">
        <v>21</v>
      </c>
      <c r="G172" t="str">
        <f t="shared" si="19"/>
        <v>+</v>
      </c>
      <c r="H172">
        <f t="shared" si="20"/>
        <v>1</v>
      </c>
      <c r="I172" t="s">
        <v>3</v>
      </c>
    </row>
    <row r="173" spans="1:9" x14ac:dyDescent="0.15">
      <c r="A173" t="str">
        <f t="shared" si="18"/>
        <v>|Lｖ43|HP+3|</v>
      </c>
      <c r="B173" t="s">
        <v>3</v>
      </c>
      <c r="C173" t="s">
        <v>39</v>
      </c>
      <c r="D173">
        <v>43</v>
      </c>
      <c r="E173" t="s">
        <v>3</v>
      </c>
      <c r="F173" t="s">
        <v>7</v>
      </c>
      <c r="G173" t="str">
        <f t="shared" si="19"/>
        <v>+</v>
      </c>
      <c r="H173">
        <f t="shared" si="20"/>
        <v>3</v>
      </c>
      <c r="I173" t="s">
        <v>3</v>
      </c>
    </row>
    <row r="174" spans="1:9" x14ac:dyDescent="0.15">
      <c r="A174" t="str">
        <f t="shared" si="18"/>
        <v>|Lｖ44|青+1|</v>
      </c>
      <c r="B174" t="s">
        <v>3</v>
      </c>
      <c r="C174" t="s">
        <v>39</v>
      </c>
      <c r="D174">
        <v>44</v>
      </c>
      <c r="E174" t="s">
        <v>3</v>
      </c>
      <c r="F174" t="s">
        <v>12</v>
      </c>
      <c r="G174" t="str">
        <f t="shared" si="19"/>
        <v>+</v>
      </c>
      <c r="H174">
        <f t="shared" si="20"/>
        <v>1</v>
      </c>
      <c r="I174" t="s">
        <v>3</v>
      </c>
    </row>
    <row r="175" spans="1:9" x14ac:dyDescent="0.15">
      <c r="A175" t="str">
        <f t="shared" si="18"/>
        <v>|Lｖ45|HP+3|</v>
      </c>
      <c r="B175" t="s">
        <v>3</v>
      </c>
      <c r="C175" t="s">
        <v>39</v>
      </c>
      <c r="D175">
        <v>45</v>
      </c>
      <c r="E175" t="s">
        <v>3</v>
      </c>
      <c r="F175" t="s">
        <v>7</v>
      </c>
      <c r="G175" t="str">
        <f t="shared" si="19"/>
        <v>+</v>
      </c>
      <c r="H175">
        <f t="shared" si="20"/>
        <v>3</v>
      </c>
      <c r="I175" t="s">
        <v>3</v>
      </c>
    </row>
    <row r="176" spans="1:9" x14ac:dyDescent="0.15">
      <c r="A176" t="str">
        <f t="shared" si="18"/>
        <v>|Lｖ46|第2能力Lv3|</v>
      </c>
      <c r="B176" t="s">
        <v>3</v>
      </c>
      <c r="C176" t="s">
        <v>39</v>
      </c>
      <c r="D176">
        <v>46</v>
      </c>
      <c r="E176" t="s">
        <v>3</v>
      </c>
      <c r="F176" t="s">
        <v>41</v>
      </c>
      <c r="G176" t="str">
        <f t="shared" si="19"/>
        <v/>
      </c>
      <c r="H176">
        <v>3</v>
      </c>
      <c r="I176" t="s">
        <v>3</v>
      </c>
    </row>
    <row r="177" spans="1:9" x14ac:dyDescent="0.15">
      <c r="A177" t="str">
        <f t="shared" si="18"/>
        <v>|Lｖ47|HP+3|</v>
      </c>
      <c r="B177" t="s">
        <v>3</v>
      </c>
      <c r="C177" t="s">
        <v>39</v>
      </c>
      <c r="D177">
        <v>47</v>
      </c>
      <c r="E177" t="s">
        <v>3</v>
      </c>
      <c r="F177" t="s">
        <v>7</v>
      </c>
      <c r="G177" t="str">
        <f t="shared" si="19"/>
        <v>+</v>
      </c>
      <c r="H177">
        <f t="shared" si="20"/>
        <v>3</v>
      </c>
      <c r="I177" t="s">
        <v>3</v>
      </c>
    </row>
    <row r="178" spans="1:9" x14ac:dyDescent="0.15">
      <c r="A178" t="str">
        <f t="shared" si="18"/>
        <v>|Lｖ48|回復速度上昇 |</v>
      </c>
      <c r="B178" t="s">
        <v>3</v>
      </c>
      <c r="C178" t="s">
        <v>39</v>
      </c>
      <c r="D178">
        <v>48</v>
      </c>
      <c r="E178" t="s">
        <v>3</v>
      </c>
      <c r="F178" t="s">
        <v>43</v>
      </c>
      <c r="G178" t="str">
        <f t="shared" si="19"/>
        <v/>
      </c>
      <c r="H178" t="str">
        <f t="shared" si="20"/>
        <v xml:space="preserve"> </v>
      </c>
      <c r="I178" t="s">
        <v>3</v>
      </c>
    </row>
    <row r="179" spans="1:9" x14ac:dyDescent="0.15">
      <c r="A179" t="str">
        <f t="shared" si="18"/>
        <v>|Lｖ49|HP+3|</v>
      </c>
      <c r="B179" t="s">
        <v>3</v>
      </c>
      <c r="C179" t="s">
        <v>39</v>
      </c>
      <c r="D179">
        <v>49</v>
      </c>
      <c r="E179" t="s">
        <v>3</v>
      </c>
      <c r="F179" t="s">
        <v>7</v>
      </c>
      <c r="G179" t="str">
        <f t="shared" si="19"/>
        <v>+</v>
      </c>
      <c r="H179">
        <f t="shared" si="20"/>
        <v>3</v>
      </c>
      <c r="I179" t="s">
        <v>3</v>
      </c>
    </row>
    <row r="180" spans="1:9" x14ac:dyDescent="0.15">
      <c r="A180" t="str">
        <f t="shared" si="18"/>
        <v>|Lｖ50|緑+1|</v>
      </c>
      <c r="B180" t="s">
        <v>3</v>
      </c>
      <c r="C180" t="s">
        <v>39</v>
      </c>
      <c r="D180">
        <v>50</v>
      </c>
      <c r="E180" t="s">
        <v>3</v>
      </c>
      <c r="F180" t="s">
        <v>15</v>
      </c>
      <c r="G180" t="str">
        <f t="shared" si="19"/>
        <v>+</v>
      </c>
      <c r="H180">
        <f t="shared" si="20"/>
        <v>1</v>
      </c>
      <c r="I180" t="s">
        <v>3</v>
      </c>
    </row>
    <row r="181" spans="1:9" x14ac:dyDescent="0.15">
      <c r="A181" t="str">
        <f t="shared" si="18"/>
        <v>|Lｖ51|HP+3|</v>
      </c>
      <c r="B181" t="s">
        <v>3</v>
      </c>
      <c r="C181" t="s">
        <v>39</v>
      </c>
      <c r="D181">
        <v>51</v>
      </c>
      <c r="E181" t="s">
        <v>3</v>
      </c>
      <c r="F181" t="s">
        <v>7</v>
      </c>
      <c r="G181" t="str">
        <f t="shared" si="19"/>
        <v>+</v>
      </c>
      <c r="H181">
        <f t="shared" si="20"/>
        <v>3</v>
      </c>
      <c r="I181" t="s">
        <v>3</v>
      </c>
    </row>
    <row r="182" spans="1:9" x14ac:dyDescent="0.15">
      <c r="A182" t="str">
        <f t="shared" si="18"/>
        <v>|Lｖ52|第3能力Lv3|</v>
      </c>
      <c r="B182" t="s">
        <v>3</v>
      </c>
      <c r="C182" t="s">
        <v>39</v>
      </c>
      <c r="D182">
        <v>52</v>
      </c>
      <c r="E182" t="s">
        <v>3</v>
      </c>
      <c r="F182" t="s">
        <v>42</v>
      </c>
      <c r="G182" t="str">
        <f t="shared" si="19"/>
        <v/>
      </c>
      <c r="H182">
        <v>3</v>
      </c>
      <c r="I182" t="s">
        <v>3</v>
      </c>
    </row>
    <row r="183" spans="1:9" x14ac:dyDescent="0.15">
      <c r="A183" t="str">
        <f t="shared" si="18"/>
        <v>|Lｖ53|HP+3|</v>
      </c>
      <c r="B183" t="s">
        <v>3</v>
      </c>
      <c r="C183" t="s">
        <v>39</v>
      </c>
      <c r="D183">
        <v>53</v>
      </c>
      <c r="E183" t="s">
        <v>3</v>
      </c>
      <c r="F183" t="s">
        <v>7</v>
      </c>
      <c r="G183" t="str">
        <f t="shared" si="19"/>
        <v>+</v>
      </c>
      <c r="H183">
        <f t="shared" si="20"/>
        <v>3</v>
      </c>
      <c r="I183" t="s">
        <v>3</v>
      </c>
    </row>
    <row r="184" spans="1:9" x14ac:dyDescent="0.15">
      <c r="A184" t="str">
        <f t="shared" si="18"/>
        <v>|Lｖ54|クリーチャー+1|</v>
      </c>
      <c r="B184" t="s">
        <v>3</v>
      </c>
      <c r="C184" t="s">
        <v>39</v>
      </c>
      <c r="D184">
        <v>54</v>
      </c>
      <c r="E184" t="s">
        <v>3</v>
      </c>
      <c r="F184" t="s">
        <v>20</v>
      </c>
      <c r="G184" t="str">
        <f t="shared" si="19"/>
        <v>+</v>
      </c>
      <c r="H184">
        <f t="shared" si="20"/>
        <v>1</v>
      </c>
      <c r="I184" t="s">
        <v>3</v>
      </c>
    </row>
    <row r="185" spans="1:9" x14ac:dyDescent="0.15">
      <c r="A185" t="str">
        <f t="shared" ref="A185:A197" si="21">B185&amp;C185&amp;D185&amp;E185&amp;F185&amp;G185&amp;H185&amp;I185&amp;J185&amp;K185&amp;L185&amp;M185&amp;N185&amp;O185&amp;P185</f>
        <v>|Lｖ55|HP+3|</v>
      </c>
      <c r="B185" t="s">
        <v>3</v>
      </c>
      <c r="C185" t="s">
        <v>39</v>
      </c>
      <c r="D185">
        <v>55</v>
      </c>
      <c r="E185" t="s">
        <v>3</v>
      </c>
      <c r="F185" t="s">
        <v>7</v>
      </c>
      <c r="G185" t="str">
        <f t="shared" si="19"/>
        <v>+</v>
      </c>
      <c r="H185">
        <f t="shared" si="20"/>
        <v>3</v>
      </c>
      <c r="I185" t="s">
        <v>3</v>
      </c>
    </row>
    <row r="186" spans="1:9" x14ac:dyDescent="0.15">
      <c r="A186" t="str">
        <f t="shared" si="21"/>
        <v>|Lｖ56|第1能力Lv4|</v>
      </c>
      <c r="B186" t="s">
        <v>3</v>
      </c>
      <c r="C186" t="s">
        <v>39</v>
      </c>
      <c r="D186">
        <v>56</v>
      </c>
      <c r="E186" t="s">
        <v>3</v>
      </c>
      <c r="F186" t="s">
        <v>40</v>
      </c>
      <c r="G186" t="str">
        <f t="shared" si="19"/>
        <v/>
      </c>
      <c r="H186">
        <v>4</v>
      </c>
      <c r="I186" t="s">
        <v>3</v>
      </c>
    </row>
    <row r="187" spans="1:9" x14ac:dyDescent="0.15">
      <c r="A187" t="str">
        <f t="shared" si="21"/>
        <v>|Lｖ57|HP+3|</v>
      </c>
      <c r="B187" t="s">
        <v>3</v>
      </c>
      <c r="C187" t="s">
        <v>39</v>
      </c>
      <c r="D187">
        <v>57</v>
      </c>
      <c r="E187" t="s">
        <v>3</v>
      </c>
      <c r="F187" t="s">
        <v>7</v>
      </c>
      <c r="G187" t="str">
        <f t="shared" si="19"/>
        <v>+</v>
      </c>
      <c r="H187">
        <f t="shared" si="20"/>
        <v>3</v>
      </c>
      <c r="I187" t="s">
        <v>3</v>
      </c>
    </row>
    <row r="188" spans="1:9" x14ac:dyDescent="0.15">
      <c r="A188" t="str">
        <f t="shared" si="21"/>
        <v>|Lｖ58|第2能力Lv4|</v>
      </c>
      <c r="B188" t="s">
        <v>3</v>
      </c>
      <c r="C188" t="s">
        <v>39</v>
      </c>
      <c r="D188">
        <v>58</v>
      </c>
      <c r="E188" t="s">
        <v>3</v>
      </c>
      <c r="F188" t="s">
        <v>41</v>
      </c>
      <c r="G188" t="str">
        <f t="shared" si="19"/>
        <v/>
      </c>
      <c r="H188">
        <v>4</v>
      </c>
      <c r="I188" t="s">
        <v>3</v>
      </c>
    </row>
    <row r="189" spans="1:9" x14ac:dyDescent="0.15">
      <c r="A189" t="str">
        <f t="shared" si="21"/>
        <v>|Lｖ59|白+1|</v>
      </c>
      <c r="B189" t="s">
        <v>3</v>
      </c>
      <c r="C189" t="s">
        <v>39</v>
      </c>
      <c r="D189">
        <v>59</v>
      </c>
      <c r="E189" t="s">
        <v>3</v>
      </c>
      <c r="F189" t="s">
        <v>11</v>
      </c>
      <c r="G189" t="str">
        <f t="shared" si="19"/>
        <v>+</v>
      </c>
      <c r="H189">
        <f t="shared" si="20"/>
        <v>1</v>
      </c>
      <c r="I189" t="s">
        <v>3</v>
      </c>
    </row>
    <row r="190" spans="1:9" x14ac:dyDescent="0.15">
      <c r="A190" t="str">
        <f t="shared" si="21"/>
        <v>|Lｖ60|第3能力Lv4|</v>
      </c>
      <c r="B190" t="s">
        <v>3</v>
      </c>
      <c r="C190" t="s">
        <v>39</v>
      </c>
      <c r="D190">
        <v>60</v>
      </c>
      <c r="E190" t="s">
        <v>3</v>
      </c>
      <c r="F190" t="s">
        <v>42</v>
      </c>
      <c r="G190" t="str">
        <f t="shared" si="19"/>
        <v/>
      </c>
      <c r="H190">
        <v>4</v>
      </c>
      <c r="I190" t="s">
        <v>3</v>
      </c>
    </row>
    <row r="191" spans="1:9" x14ac:dyDescent="0.15">
      <c r="A191" t="str">
        <f t="shared" si="21"/>
        <v>必要総経験値：79920ルーン</v>
      </c>
      <c r="B191" t="s">
        <v>45</v>
      </c>
      <c r="C191">
        <v>79920</v>
      </c>
      <c r="F191" t="s">
        <v>46</v>
      </c>
    </row>
    <row r="192" spans="1:9" x14ac:dyDescent="0.15">
      <c r="A192" t="str">
        <f t="shared" si="21"/>
        <v>#endregion</v>
      </c>
      <c r="B192" t="s">
        <v>599</v>
      </c>
    </row>
    <row r="193" spans="1:5" x14ac:dyDescent="0.15">
      <c r="A193" t="str">
        <f t="shared" si="21"/>
        <v>&amp;br;</v>
      </c>
      <c r="B193" t="s">
        <v>0</v>
      </c>
    </row>
    <row r="194" spans="1:5" x14ac:dyDescent="0.15">
      <c r="A194" t="str">
        <f t="shared" si="21"/>
        <v>#back(text=戻る,left)</v>
      </c>
      <c r="B194" t="s">
        <v>47</v>
      </c>
    </row>
    <row r="195" spans="1:5" x14ac:dyDescent="0.15">
      <c r="A195" t="str">
        <f t="shared" si="21"/>
        <v>&amp;br;</v>
      </c>
      <c r="B195" t="s">
        <v>0</v>
      </c>
    </row>
    <row r="196" spans="1:5" x14ac:dyDescent="0.15">
      <c r="A196" t="str">
        <f t="shared" si="21"/>
        <v>#comment(above,nsize=[15],size=[30],num=[10])</v>
      </c>
      <c r="B196" t="s">
        <v>48</v>
      </c>
    </row>
    <row r="197" spans="1:5" x14ac:dyDescent="0.15">
      <c r="A197" t="str">
        <f t="shared" si="21"/>
        <v>[[プレインズウォーカーリスト&gt;プレインズウォーカーリスト]]</v>
      </c>
      <c r="B197" t="s">
        <v>49</v>
      </c>
    </row>
    <row r="204" spans="1:5" x14ac:dyDescent="0.15">
      <c r="B204" s="9" t="s">
        <v>655</v>
      </c>
    </row>
    <row r="205" spans="1:5" x14ac:dyDescent="0.15">
      <c r="B205" s="9" t="s">
        <v>656</v>
      </c>
      <c r="D205" s="8"/>
      <c r="E205" s="8"/>
    </row>
    <row r="206" spans="1:5" x14ac:dyDescent="0.15">
      <c r="B206" s="7">
        <v>30</v>
      </c>
    </row>
    <row r="207" spans="1:5" x14ac:dyDescent="0.15">
      <c r="B207" s="9" t="s">
        <v>657</v>
      </c>
      <c r="C207" s="9" t="s">
        <v>658</v>
      </c>
      <c r="D207" s="9" t="s">
        <v>659</v>
      </c>
    </row>
    <row r="208" spans="1:5" x14ac:dyDescent="0.15">
      <c r="B208" s="7">
        <v>3</v>
      </c>
      <c r="C208" s="7">
        <v>4</v>
      </c>
      <c r="D208" s="7">
        <v>3</v>
      </c>
    </row>
    <row r="209" spans="2:6" x14ac:dyDescent="0.15">
      <c r="B209" s="9" t="s">
        <v>660</v>
      </c>
      <c r="C209" s="9" t="s">
        <v>661</v>
      </c>
      <c r="D209" s="9" t="s">
        <v>662</v>
      </c>
      <c r="E209" s="9" t="s">
        <v>663</v>
      </c>
      <c r="F209" s="9" t="s">
        <v>664</v>
      </c>
    </row>
    <row r="210" spans="2:6" x14ac:dyDescent="0.15">
      <c r="B210" s="7">
        <v>3</v>
      </c>
      <c r="C210" s="7">
        <v>0</v>
      </c>
      <c r="D210" s="7">
        <v>-2</v>
      </c>
      <c r="E210" s="7">
        <v>-2</v>
      </c>
      <c r="F210" s="7">
        <v>0</v>
      </c>
    </row>
  </sheetData>
  <autoFilter ref="C131:I197"/>
  <phoneticPr fontId="4"/>
  <dataValidations count="2">
    <dataValidation type="list" allowBlank="1" showInputMessage="1" showErrorMessage="1" sqref="F132:F190">
      <formula1>$Q$131:$Q$143</formula1>
    </dataValidation>
    <dataValidation type="list" allowBlank="1" showInputMessage="1" showErrorMessage="1" sqref="F191:F192">
      <formula1>$Q$121:$Q$133</formula1>
    </dataValidation>
  </dataValidations>
  <pageMargins left="0.69930555555555596" right="0.69930555555555596"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153"/>
  <sheetViews>
    <sheetView workbookViewId="0">
      <selection activeCell="L9" sqref="L9"/>
    </sheetView>
  </sheetViews>
  <sheetFormatPr defaultColWidth="9" defaultRowHeight="13.5" x14ac:dyDescent="0.15"/>
  <cols>
    <col min="2" max="2" width="3.5" customWidth="1"/>
    <col min="3" max="3" width="7.875" customWidth="1"/>
    <col min="4" max="4" width="5.5" customWidth="1"/>
    <col min="5" max="5" width="2" customWidth="1"/>
    <col min="7" max="7" width="2" customWidth="1"/>
    <col min="9" max="9" width="2" customWidth="1"/>
    <col min="11" max="11" width="2" customWidth="1"/>
    <col min="13" max="13" width="2" customWidth="1"/>
    <col min="15" max="15" width="2" customWidth="1"/>
    <col min="17" max="17" width="2.75" customWidth="1"/>
  </cols>
  <sheetData>
    <row r="1" spans="1:10" x14ac:dyDescent="0.15">
      <c r="A1" t="str">
        <f>B1&amp;C1&amp;D1&amp;E1&amp;F1&amp;G1&amp;H1&amp;I1&amp;J1&amp;K1&amp;L1&amp;M1&amp;N1&amp;O1&amp;P1</f>
        <v>10マナクリスタルで購入する事で入手できる。</v>
      </c>
      <c r="B1" t="s">
        <v>149</v>
      </c>
    </row>
    <row r="2" spans="1:10" x14ac:dyDescent="0.15">
      <c r="A2" t="str">
        <f>B2&amp;C2&amp;D2&amp;E2&amp;F2&amp;G2&amp;H2&amp;I2&amp;J2&amp;K2&amp;L2&amp;M2&amp;N2&amp;O2&amp;P2</f>
        <v>&amp;br;</v>
      </c>
      <c r="B2" t="s">
        <v>0</v>
      </c>
    </row>
    <row r="3" spans="1:10" x14ac:dyDescent="0.15">
      <c r="A3" t="str">
        <f>B3&amp;C3&amp;D3&amp;E3&amp;F3&amp;G3&amp;H3&amp;I3&amp;J3&amp;K3&amp;L3&amp;M3&amp;N3&amp;O3&amp;P3</f>
        <v>#contents()</v>
      </c>
      <c r="B3" t="s">
        <v>1</v>
      </c>
    </row>
    <row r="4" spans="1:10" x14ac:dyDescent="0.15">
      <c r="A4" t="str">
        <f>B4&amp;C4&amp;D4&amp;E4&amp;F4&amp;G4&amp;H4&amp;I4&amp;J4&amp;K4&amp;L4&amp;M4&amp;N4&amp;O4&amp;P4</f>
        <v>*HP [#f569d8c6]</v>
      </c>
      <c r="B4" t="s">
        <v>2</v>
      </c>
    </row>
    <row r="5" spans="1:10" x14ac:dyDescent="0.15">
      <c r="A5" t="str">
        <f>B5&amp;C5&amp;D5&amp;E5&amp;F5&amp;G5&amp;H5</f>
        <v>|LEFT:50|LEFT:50|c</v>
      </c>
      <c r="B5" t="s">
        <v>3</v>
      </c>
      <c r="C5" t="s">
        <v>4</v>
      </c>
      <c r="E5" t="s">
        <v>3</v>
      </c>
      <c r="F5" t="s">
        <v>4</v>
      </c>
      <c r="G5" t="s">
        <v>3</v>
      </c>
      <c r="H5" t="s">
        <v>5</v>
      </c>
    </row>
    <row r="6" spans="1:10" x14ac:dyDescent="0.15">
      <c r="A6" t="str">
        <f t="shared" ref="A6:A21" si="0">B6&amp;C6&amp;D6&amp;E6&amp;F6&amp;G6&amp;H6</f>
        <v>|レベル|HP|</v>
      </c>
      <c r="B6" t="s">
        <v>3</v>
      </c>
      <c r="C6" t="s">
        <v>6</v>
      </c>
      <c r="E6" t="s">
        <v>3</v>
      </c>
      <c r="F6" t="s">
        <v>7</v>
      </c>
      <c r="G6" t="s">
        <v>3</v>
      </c>
    </row>
    <row r="7" spans="1:10" x14ac:dyDescent="0.15">
      <c r="A7" t="str">
        <f t="shared" si="0"/>
        <v>|Lv1|24|</v>
      </c>
      <c r="B7" t="s">
        <v>3</v>
      </c>
      <c r="C7" t="s">
        <v>8</v>
      </c>
      <c r="D7">
        <v>1</v>
      </c>
      <c r="E7" t="s">
        <v>3</v>
      </c>
      <c r="F7">
        <v>24</v>
      </c>
      <c r="G7" t="s">
        <v>3</v>
      </c>
      <c r="J7" t="s">
        <v>150</v>
      </c>
    </row>
    <row r="8" spans="1:10" x14ac:dyDescent="0.15">
      <c r="A8" t="str">
        <f t="shared" si="0"/>
        <v>|Lv4|28|</v>
      </c>
      <c r="B8" t="s">
        <v>3</v>
      </c>
      <c r="C8" t="s">
        <v>8</v>
      </c>
      <c r="D8">
        <v>4</v>
      </c>
      <c r="E8" t="s">
        <v>3</v>
      </c>
      <c r="F8">
        <f>F7+$J$10</f>
        <v>28</v>
      </c>
      <c r="G8" t="s">
        <v>3</v>
      </c>
      <c r="J8" s="7">
        <v>2</v>
      </c>
    </row>
    <row r="9" spans="1:10" x14ac:dyDescent="0.15">
      <c r="A9" t="str">
        <f t="shared" si="0"/>
        <v>|Lv7|32|</v>
      </c>
      <c r="B9" t="s">
        <v>3</v>
      </c>
      <c r="C9" t="s">
        <v>8</v>
      </c>
      <c r="D9">
        <v>7</v>
      </c>
      <c r="E9" t="s">
        <v>3</v>
      </c>
      <c r="F9">
        <f>F8+$J$10</f>
        <v>32</v>
      </c>
      <c r="G9" t="s">
        <v>3</v>
      </c>
      <c r="J9" t="s">
        <v>151</v>
      </c>
    </row>
    <row r="10" spans="1:10" x14ac:dyDescent="0.15">
      <c r="A10" t="str">
        <f t="shared" si="0"/>
        <v>|Lv9|36|</v>
      </c>
      <c r="B10" t="s">
        <v>3</v>
      </c>
      <c r="C10" t="s">
        <v>8</v>
      </c>
      <c r="D10">
        <v>9</v>
      </c>
      <c r="E10" t="s">
        <v>3</v>
      </c>
      <c r="F10">
        <f t="shared" ref="F10:F21" si="1">F9+$J$10</f>
        <v>36</v>
      </c>
      <c r="G10" t="s">
        <v>3</v>
      </c>
      <c r="J10" s="7">
        <v>4</v>
      </c>
    </row>
    <row r="11" spans="1:10" x14ac:dyDescent="0.15">
      <c r="A11" t="str">
        <f t="shared" si="0"/>
        <v>|Lv13|40|</v>
      </c>
      <c r="B11" t="s">
        <v>3</v>
      </c>
      <c r="C11" t="s">
        <v>8</v>
      </c>
      <c r="D11">
        <v>13</v>
      </c>
      <c r="E11" t="s">
        <v>3</v>
      </c>
      <c r="F11">
        <f t="shared" si="1"/>
        <v>40</v>
      </c>
      <c r="G11" t="s">
        <v>3</v>
      </c>
    </row>
    <row r="12" spans="1:10" x14ac:dyDescent="0.15">
      <c r="A12" t="str">
        <f t="shared" si="0"/>
        <v>|Lv17|44|</v>
      </c>
      <c r="B12" t="s">
        <v>3</v>
      </c>
      <c r="C12" t="s">
        <v>8</v>
      </c>
      <c r="D12">
        <v>17</v>
      </c>
      <c r="E12" t="s">
        <v>3</v>
      </c>
      <c r="F12">
        <f t="shared" si="1"/>
        <v>44</v>
      </c>
      <c r="G12" t="s">
        <v>3</v>
      </c>
    </row>
    <row r="13" spans="1:10" x14ac:dyDescent="0.15">
      <c r="A13" t="str">
        <f t="shared" si="0"/>
        <v>|Lv21|48|</v>
      </c>
      <c r="B13" t="s">
        <v>3</v>
      </c>
      <c r="C13" t="s">
        <v>8</v>
      </c>
      <c r="D13">
        <v>21</v>
      </c>
      <c r="E13" t="s">
        <v>3</v>
      </c>
      <c r="F13">
        <f t="shared" si="1"/>
        <v>48</v>
      </c>
      <c r="G13" t="s">
        <v>3</v>
      </c>
    </row>
    <row r="14" spans="1:10" x14ac:dyDescent="0.15">
      <c r="A14" t="str">
        <f t="shared" si="0"/>
        <v>|Lv23|52|</v>
      </c>
      <c r="B14" t="s">
        <v>3</v>
      </c>
      <c r="C14" t="s">
        <v>8</v>
      </c>
      <c r="D14">
        <v>23</v>
      </c>
      <c r="E14" t="s">
        <v>3</v>
      </c>
      <c r="F14">
        <f t="shared" si="1"/>
        <v>52</v>
      </c>
      <c r="G14" t="s">
        <v>3</v>
      </c>
    </row>
    <row r="15" spans="1:10" x14ac:dyDescent="0.15">
      <c r="A15" t="str">
        <f t="shared" si="0"/>
        <v>|Lv25|56|</v>
      </c>
      <c r="B15" t="s">
        <v>3</v>
      </c>
      <c r="C15" t="s">
        <v>8</v>
      </c>
      <c r="D15">
        <v>25</v>
      </c>
      <c r="E15" t="s">
        <v>3</v>
      </c>
      <c r="F15">
        <f t="shared" si="1"/>
        <v>56</v>
      </c>
      <c r="G15" t="s">
        <v>3</v>
      </c>
    </row>
    <row r="16" spans="1:10" x14ac:dyDescent="0.15">
      <c r="A16" t="str">
        <f t="shared" si="0"/>
        <v>|Lv29|60|</v>
      </c>
      <c r="B16" t="s">
        <v>3</v>
      </c>
      <c r="C16" t="s">
        <v>8</v>
      </c>
      <c r="D16">
        <v>29</v>
      </c>
      <c r="E16" t="s">
        <v>3</v>
      </c>
      <c r="F16">
        <f t="shared" si="1"/>
        <v>60</v>
      </c>
      <c r="G16" t="s">
        <v>3</v>
      </c>
    </row>
    <row r="17" spans="1:19" x14ac:dyDescent="0.15">
      <c r="A17" t="str">
        <f t="shared" si="0"/>
        <v>|Lv33|64|</v>
      </c>
      <c r="B17" t="s">
        <v>3</v>
      </c>
      <c r="C17" t="s">
        <v>8</v>
      </c>
      <c r="D17">
        <v>33</v>
      </c>
      <c r="E17" t="s">
        <v>3</v>
      </c>
      <c r="F17">
        <f t="shared" si="1"/>
        <v>64</v>
      </c>
      <c r="G17" t="s">
        <v>3</v>
      </c>
    </row>
    <row r="18" spans="1:19" x14ac:dyDescent="0.15">
      <c r="A18" t="str">
        <f t="shared" si="0"/>
        <v>|Lv37|68|</v>
      </c>
      <c r="B18" t="s">
        <v>3</v>
      </c>
      <c r="C18" t="s">
        <v>8</v>
      </c>
      <c r="D18">
        <v>37</v>
      </c>
      <c r="E18" t="s">
        <v>3</v>
      </c>
      <c r="F18">
        <f t="shared" si="1"/>
        <v>68</v>
      </c>
      <c r="G18" t="s">
        <v>3</v>
      </c>
    </row>
    <row r="19" spans="1:19" x14ac:dyDescent="0.15">
      <c r="A19" t="str">
        <f t="shared" si="0"/>
        <v>|Lv41|72|</v>
      </c>
      <c r="B19" t="s">
        <v>3</v>
      </c>
      <c r="C19" t="s">
        <v>8</v>
      </c>
      <c r="D19">
        <v>41</v>
      </c>
      <c r="E19" t="s">
        <v>3</v>
      </c>
      <c r="F19">
        <f t="shared" si="1"/>
        <v>72</v>
      </c>
      <c r="G19" t="s">
        <v>3</v>
      </c>
    </row>
    <row r="20" spans="1:19" x14ac:dyDescent="0.15">
      <c r="A20" t="str">
        <f t="shared" si="0"/>
        <v>|Lv45|76|</v>
      </c>
      <c r="B20" t="s">
        <v>3</v>
      </c>
      <c r="C20" t="s">
        <v>8</v>
      </c>
      <c r="D20">
        <v>45</v>
      </c>
      <c r="E20" t="s">
        <v>3</v>
      </c>
      <c r="F20">
        <f t="shared" si="1"/>
        <v>76</v>
      </c>
      <c r="G20" t="s">
        <v>3</v>
      </c>
    </row>
    <row r="21" spans="1:19" x14ac:dyDescent="0.15">
      <c r="A21" t="str">
        <f t="shared" si="0"/>
        <v>|Lv49|80|</v>
      </c>
      <c r="B21" t="s">
        <v>3</v>
      </c>
      <c r="C21" t="s">
        <v>8</v>
      </c>
      <c r="D21">
        <v>49</v>
      </c>
      <c r="E21" t="s">
        <v>3</v>
      </c>
      <c r="F21">
        <f t="shared" si="1"/>
        <v>80</v>
      </c>
      <c r="G21" t="s">
        <v>3</v>
      </c>
    </row>
    <row r="22" spans="1:19" x14ac:dyDescent="0.15">
      <c r="A22" t="str">
        <f>B22&amp;C22&amp;D22&amp;E22&amp;F22&amp;G22&amp;H22</f>
        <v>|Lv52|88|</v>
      </c>
      <c r="B22" t="s">
        <v>3</v>
      </c>
      <c r="C22" t="s">
        <v>8</v>
      </c>
      <c r="D22">
        <v>52</v>
      </c>
      <c r="E22" t="s">
        <v>3</v>
      </c>
      <c r="F22">
        <f>F21+8</f>
        <v>88</v>
      </c>
      <c r="G22" t="s">
        <v>3</v>
      </c>
    </row>
    <row r="23" spans="1:19" x14ac:dyDescent="0.15">
      <c r="A23" t="str">
        <f>B23&amp;C23&amp;D23&amp;E23&amp;F23&amp;G23&amp;H23&amp;I23&amp;J23&amp;K23&amp;L23&amp;M23&amp;N23&amp;O23&amp;P23</f>
        <v>&amp;br;</v>
      </c>
      <c r="B23" t="s">
        <v>0</v>
      </c>
    </row>
    <row r="24" spans="1:19" x14ac:dyDescent="0.15">
      <c r="A24" t="str">
        <f>B24&amp;C24&amp;D24&amp;E24&amp;F24&amp;G24&amp;H24&amp;I24&amp;J24&amp;K24&amp;L24&amp;M24&amp;N24&amp;O24&amp;P24</f>
        <v>*マナボーナス [#q1a26f54]</v>
      </c>
      <c r="B24" t="s">
        <v>9</v>
      </c>
    </row>
    <row r="25" spans="1:19" x14ac:dyDescent="0.15">
      <c r="A25" t="str">
        <f t="shared" ref="A25:A33" si="2">B25&amp;C25&amp;D25&amp;G25&amp;H25&amp;I25&amp;J25&amp;K25&amp;L25&amp;M25&amp;N25&amp;O25&amp;P25&amp;Q25&amp;R25</f>
        <v>|LEFT:50|LEFT:50|LEFT:50|LEFT:50|LEFT:50|LEFT:50|c</v>
      </c>
      <c r="B25" t="s">
        <v>3</v>
      </c>
      <c r="C25" t="s">
        <v>4</v>
      </c>
      <c r="E25" t="s">
        <v>3</v>
      </c>
      <c r="G25" t="s">
        <v>3</v>
      </c>
      <c r="H25" t="s">
        <v>4</v>
      </c>
      <c r="I25" t="s">
        <v>3</v>
      </c>
      <c r="J25" t="s">
        <v>4</v>
      </c>
      <c r="K25" t="s">
        <v>3</v>
      </c>
      <c r="L25" t="s">
        <v>4</v>
      </c>
      <c r="M25" t="s">
        <v>3</v>
      </c>
      <c r="N25" t="s">
        <v>4</v>
      </c>
      <c r="O25" t="s">
        <v>3</v>
      </c>
      <c r="P25" t="s">
        <v>4</v>
      </c>
      <c r="Q25" t="s">
        <v>3</v>
      </c>
      <c r="R25" t="s">
        <v>5</v>
      </c>
    </row>
    <row r="26" spans="1:19" x14ac:dyDescent="0.15">
      <c r="A26" t="str">
        <f t="shared" si="2"/>
        <v>|レベル|白|青|黒|赤|緑|</v>
      </c>
      <c r="B26" t="s">
        <v>3</v>
      </c>
      <c r="C26" t="s">
        <v>6</v>
      </c>
      <c r="E26" t="s">
        <v>3</v>
      </c>
      <c r="F26" t="s">
        <v>10</v>
      </c>
      <c r="G26" t="s">
        <v>3</v>
      </c>
      <c r="H26" t="s">
        <v>11</v>
      </c>
      <c r="I26" t="s">
        <v>3</v>
      </c>
      <c r="J26" t="s">
        <v>12</v>
      </c>
      <c r="K26" t="s">
        <v>3</v>
      </c>
      <c r="L26" t="s">
        <v>13</v>
      </c>
      <c r="M26" t="s">
        <v>3</v>
      </c>
      <c r="N26" t="s">
        <v>14</v>
      </c>
      <c r="O26" t="s">
        <v>3</v>
      </c>
      <c r="P26" t="s">
        <v>15</v>
      </c>
      <c r="Q26" t="s">
        <v>3</v>
      </c>
      <c r="S26" t="s">
        <v>11</v>
      </c>
    </row>
    <row r="27" spans="1:19" x14ac:dyDescent="0.15">
      <c r="A27" t="str">
        <f t="shared" si="2"/>
        <v>|Lv1|0|1|0|-1|-1|</v>
      </c>
      <c r="B27" t="s">
        <v>3</v>
      </c>
      <c r="C27" t="s">
        <v>8</v>
      </c>
      <c r="D27">
        <v>1</v>
      </c>
      <c r="E27" t="s">
        <v>3</v>
      </c>
      <c r="G27" t="s">
        <v>3</v>
      </c>
      <c r="H27">
        <v>0</v>
      </c>
      <c r="I27" t="s">
        <v>3</v>
      </c>
      <c r="J27">
        <v>1</v>
      </c>
      <c r="K27" t="s">
        <v>3</v>
      </c>
      <c r="L27">
        <v>0</v>
      </c>
      <c r="M27" t="s">
        <v>3</v>
      </c>
      <c r="N27">
        <v>-1</v>
      </c>
      <c r="O27" t="s">
        <v>3</v>
      </c>
      <c r="P27">
        <v>-1</v>
      </c>
      <c r="Q27" t="s">
        <v>3</v>
      </c>
      <c r="S27" t="s">
        <v>12</v>
      </c>
    </row>
    <row r="28" spans="1:19" x14ac:dyDescent="0.15">
      <c r="A28" t="str">
        <f t="shared" si="2"/>
        <v>|Lv3|1|1|0|-1|-1|</v>
      </c>
      <c r="B28" t="s">
        <v>3</v>
      </c>
      <c r="C28" t="s">
        <v>8</v>
      </c>
      <c r="D28">
        <v>3</v>
      </c>
      <c r="E28" t="s">
        <v>3</v>
      </c>
      <c r="F28" t="str">
        <f t="shared" ref="F28:F33" si="3">IF(ISBLANK(D28),"",INDEX($F$88:$F$147,D28))</f>
        <v>白</v>
      </c>
      <c r="G28" t="s">
        <v>3</v>
      </c>
      <c r="H28">
        <f>H27+IF(H$26=$F28,1,0)</f>
        <v>1</v>
      </c>
      <c r="I28" t="str">
        <f t="shared" ref="I28:Q33" si="4">I27</f>
        <v>|</v>
      </c>
      <c r="J28">
        <f>J27+IF(J$26=$F28,1,0)</f>
        <v>1</v>
      </c>
      <c r="K28" t="str">
        <f t="shared" si="4"/>
        <v>|</v>
      </c>
      <c r="L28">
        <f>L27+IF(L$26=$F28,1,0)</f>
        <v>0</v>
      </c>
      <c r="M28" t="str">
        <f t="shared" si="4"/>
        <v>|</v>
      </c>
      <c r="N28">
        <f>N27+IF(N$26=$F28,1,0)</f>
        <v>-1</v>
      </c>
      <c r="O28" t="str">
        <f t="shared" si="4"/>
        <v>|</v>
      </c>
      <c r="P28">
        <f>P27+IF(P$26=$F28,1,0)</f>
        <v>-1</v>
      </c>
      <c r="Q28" t="str">
        <f t="shared" si="4"/>
        <v>|</v>
      </c>
      <c r="S28" t="s">
        <v>13</v>
      </c>
    </row>
    <row r="29" spans="1:19" x14ac:dyDescent="0.15">
      <c r="A29" t="str">
        <f t="shared" si="2"/>
        <v>|Lv10|1|1|1|-1|-1|</v>
      </c>
      <c r="B29" t="s">
        <v>3</v>
      </c>
      <c r="C29" t="s">
        <v>8</v>
      </c>
      <c r="D29">
        <v>10</v>
      </c>
      <c r="E29" t="s">
        <v>3</v>
      </c>
      <c r="F29" t="str">
        <f t="shared" si="3"/>
        <v>黒</v>
      </c>
      <c r="G29" t="s">
        <v>3</v>
      </c>
      <c r="H29">
        <f t="shared" ref="H29:P33" si="5">H28+IF(H$26=$F29,1,0)</f>
        <v>1</v>
      </c>
      <c r="I29" t="str">
        <f t="shared" si="4"/>
        <v>|</v>
      </c>
      <c r="J29">
        <f t="shared" si="5"/>
        <v>1</v>
      </c>
      <c r="K29" t="str">
        <f t="shared" si="4"/>
        <v>|</v>
      </c>
      <c r="L29">
        <f t="shared" si="5"/>
        <v>1</v>
      </c>
      <c r="M29" t="str">
        <f t="shared" si="4"/>
        <v>|</v>
      </c>
      <c r="N29">
        <f>N28+IF(N$26=$F29,1,0)</f>
        <v>-1</v>
      </c>
      <c r="O29" t="str">
        <f t="shared" si="4"/>
        <v>|</v>
      </c>
      <c r="P29">
        <f t="shared" si="5"/>
        <v>-1</v>
      </c>
      <c r="Q29" t="str">
        <f t="shared" si="4"/>
        <v>|</v>
      </c>
      <c r="S29" t="s">
        <v>14</v>
      </c>
    </row>
    <row r="30" spans="1:19" x14ac:dyDescent="0.15">
      <c r="A30" t="str">
        <f t="shared" si="2"/>
        <v>|Lv15|1|2|1|-1|-1|</v>
      </c>
      <c r="B30" t="s">
        <v>3</v>
      </c>
      <c r="C30" t="s">
        <v>8</v>
      </c>
      <c r="D30">
        <v>15</v>
      </c>
      <c r="E30" t="s">
        <v>3</v>
      </c>
      <c r="F30" t="str">
        <f t="shared" si="3"/>
        <v>青</v>
      </c>
      <c r="G30" t="s">
        <v>3</v>
      </c>
      <c r="H30">
        <f t="shared" si="5"/>
        <v>1</v>
      </c>
      <c r="I30" t="str">
        <f t="shared" si="4"/>
        <v>|</v>
      </c>
      <c r="J30">
        <f t="shared" si="5"/>
        <v>2</v>
      </c>
      <c r="K30" t="str">
        <f t="shared" si="4"/>
        <v>|</v>
      </c>
      <c r="L30">
        <f t="shared" si="5"/>
        <v>1</v>
      </c>
      <c r="M30" t="str">
        <f t="shared" si="4"/>
        <v>|</v>
      </c>
      <c r="N30">
        <f t="shared" si="5"/>
        <v>-1</v>
      </c>
      <c r="O30" t="str">
        <f t="shared" si="4"/>
        <v>|</v>
      </c>
      <c r="P30">
        <f t="shared" si="5"/>
        <v>-1</v>
      </c>
      <c r="Q30" t="str">
        <f t="shared" si="4"/>
        <v>|</v>
      </c>
      <c r="S30" t="s">
        <v>15</v>
      </c>
    </row>
    <row r="31" spans="1:19" x14ac:dyDescent="0.15">
      <c r="A31" t="str">
        <f t="shared" si="2"/>
        <v>|Lv28|1|3|1|-1|-1|</v>
      </c>
      <c r="B31" t="s">
        <v>3</v>
      </c>
      <c r="C31" t="s">
        <v>8</v>
      </c>
      <c r="D31">
        <v>28</v>
      </c>
      <c r="E31" t="s">
        <v>3</v>
      </c>
      <c r="F31" t="str">
        <f t="shared" si="3"/>
        <v>青</v>
      </c>
      <c r="G31" t="s">
        <v>3</v>
      </c>
      <c r="H31">
        <f t="shared" si="5"/>
        <v>1</v>
      </c>
      <c r="I31" t="str">
        <f t="shared" si="4"/>
        <v>|</v>
      </c>
      <c r="J31">
        <f t="shared" si="5"/>
        <v>3</v>
      </c>
      <c r="K31" t="str">
        <f t="shared" si="4"/>
        <v>|</v>
      </c>
      <c r="L31">
        <f t="shared" si="5"/>
        <v>1</v>
      </c>
      <c r="M31" t="str">
        <f t="shared" si="4"/>
        <v>|</v>
      </c>
      <c r="N31">
        <f t="shared" si="5"/>
        <v>-1</v>
      </c>
      <c r="O31" t="str">
        <f t="shared" si="4"/>
        <v>|</v>
      </c>
      <c r="P31">
        <f>P30+IF(P$26=$F31,1,0)</f>
        <v>-1</v>
      </c>
      <c r="Q31" t="str">
        <f t="shared" si="4"/>
        <v>|</v>
      </c>
    </row>
    <row r="32" spans="1:19" x14ac:dyDescent="0.15">
      <c r="A32" t="str">
        <f t="shared" si="2"/>
        <v>|Lv39|1|3|1|0|-1|</v>
      </c>
      <c r="B32" t="s">
        <v>3</v>
      </c>
      <c r="C32" t="s">
        <v>8</v>
      </c>
      <c r="D32">
        <v>39</v>
      </c>
      <c r="E32" t="s">
        <v>3</v>
      </c>
      <c r="F32" t="str">
        <f t="shared" si="3"/>
        <v>赤</v>
      </c>
      <c r="G32" t="s">
        <v>3</v>
      </c>
      <c r="H32">
        <f t="shared" si="5"/>
        <v>1</v>
      </c>
      <c r="I32" t="str">
        <f t="shared" si="4"/>
        <v>|</v>
      </c>
      <c r="J32">
        <f t="shared" si="5"/>
        <v>3</v>
      </c>
      <c r="K32" t="str">
        <f t="shared" si="4"/>
        <v>|</v>
      </c>
      <c r="L32">
        <f t="shared" si="5"/>
        <v>1</v>
      </c>
      <c r="M32" t="str">
        <f t="shared" si="4"/>
        <v>|</v>
      </c>
      <c r="N32">
        <f t="shared" si="5"/>
        <v>0</v>
      </c>
      <c r="O32" t="str">
        <f t="shared" si="4"/>
        <v>|</v>
      </c>
      <c r="P32">
        <f t="shared" si="5"/>
        <v>-1</v>
      </c>
      <c r="Q32" t="str">
        <f t="shared" si="4"/>
        <v>|</v>
      </c>
    </row>
    <row r="33" spans="1:19" x14ac:dyDescent="0.15">
      <c r="A33" t="str">
        <f t="shared" si="2"/>
        <v>|Lv47|1|3|1|0|0|</v>
      </c>
      <c r="B33" t="s">
        <v>3</v>
      </c>
      <c r="C33" t="s">
        <v>8</v>
      </c>
      <c r="D33">
        <v>47</v>
      </c>
      <c r="E33" t="s">
        <v>3</v>
      </c>
      <c r="F33" t="str">
        <f t="shared" si="3"/>
        <v>緑</v>
      </c>
      <c r="G33" t="s">
        <v>3</v>
      </c>
      <c r="H33">
        <f t="shared" si="5"/>
        <v>1</v>
      </c>
      <c r="I33" t="str">
        <f t="shared" si="4"/>
        <v>|</v>
      </c>
      <c r="J33">
        <f t="shared" si="5"/>
        <v>3</v>
      </c>
      <c r="K33" t="str">
        <f t="shared" si="4"/>
        <v>|</v>
      </c>
      <c r="L33">
        <f t="shared" si="5"/>
        <v>1</v>
      </c>
      <c r="M33" t="str">
        <f t="shared" si="4"/>
        <v>|</v>
      </c>
      <c r="N33">
        <f t="shared" si="5"/>
        <v>0</v>
      </c>
      <c r="O33" t="str">
        <f t="shared" si="4"/>
        <v>|</v>
      </c>
      <c r="P33">
        <f t="shared" si="5"/>
        <v>0</v>
      </c>
      <c r="Q33" t="str">
        <f t="shared" si="4"/>
        <v>|</v>
      </c>
    </row>
    <row r="34" spans="1:19" x14ac:dyDescent="0.15">
      <c r="A34" t="str">
        <f>B34&amp;C34&amp;D34&amp;E34&amp;F34&amp;G34&amp;H34&amp;I34&amp;J34&amp;K34&amp;L34&amp;M34&amp;N34&amp;O34&amp;P34</f>
        <v>&amp;br;</v>
      </c>
      <c r="B34" t="s">
        <v>0</v>
      </c>
    </row>
    <row r="35" spans="1:19" x14ac:dyDescent="0.15">
      <c r="A35" t="str">
        <f>B35&amp;C35&amp;D35&amp;E35&amp;F35&amp;G35&amp;H35&amp;I35&amp;J35&amp;K35&amp;L35&amp;M35&amp;N35&amp;O35&amp;P35</f>
        <v>&amp;br;</v>
      </c>
      <c r="B35" t="s">
        <v>0</v>
      </c>
    </row>
    <row r="36" spans="1:19" x14ac:dyDescent="0.15">
      <c r="A36" t="str">
        <f>B36&amp;C36&amp;D36&amp;E36&amp;F36&amp;G36&amp;H36&amp;I36&amp;J36&amp;K36&amp;L36&amp;M36&amp;N36&amp;O36&amp;P36</f>
        <v>*デッキ構築枚数上限 [#e6f382eb]</v>
      </c>
      <c r="B36" t="s">
        <v>16</v>
      </c>
    </row>
    <row r="37" spans="1:19" x14ac:dyDescent="0.15">
      <c r="A37" t="str">
        <f>B37&amp;C37&amp;D37&amp;E37&amp;F37&amp;G37&amp;H37&amp;I37&amp;J37&amp;K37&amp;L37&amp;M37&amp;N37&amp;O37&amp;P37</f>
        <v>構築枚数上限を越える枚数はデッキに入れられない。</v>
      </c>
      <c r="B37" t="s">
        <v>17</v>
      </c>
    </row>
    <row r="38" spans="1:19" x14ac:dyDescent="0.15">
      <c r="A38" t="str">
        <f t="shared" ref="A38:A47" si="6">B38&amp;C38&amp;D38&amp;G38&amp;H38&amp;I38&amp;J38&amp;K38&amp;L38&amp;M38&amp;N38&amp;O38&amp;P38&amp;Q38&amp;R38</f>
        <v>|LEFT:50|LEFT:80|LEFT:80|LEFT:80|c</v>
      </c>
      <c r="B38" t="s">
        <v>3</v>
      </c>
      <c r="C38" t="s">
        <v>4</v>
      </c>
      <c r="E38" t="s">
        <v>3</v>
      </c>
      <c r="G38" t="s">
        <v>3</v>
      </c>
      <c r="H38" t="s">
        <v>18</v>
      </c>
      <c r="I38" t="s">
        <v>3</v>
      </c>
      <c r="J38" t="s">
        <v>18</v>
      </c>
      <c r="K38" t="s">
        <v>3</v>
      </c>
      <c r="L38" t="s">
        <v>18</v>
      </c>
      <c r="M38" t="s">
        <v>3</v>
      </c>
      <c r="N38" t="s">
        <v>5</v>
      </c>
    </row>
    <row r="39" spans="1:19" x14ac:dyDescent="0.15">
      <c r="A39" t="str">
        <f t="shared" si="6"/>
        <v>|レベル|クリーチャー|呪文|サポート|</v>
      </c>
      <c r="B39" t="s">
        <v>3</v>
      </c>
      <c r="C39" t="s">
        <v>6</v>
      </c>
      <c r="E39" t="s">
        <v>3</v>
      </c>
      <c r="F39" t="s">
        <v>19</v>
      </c>
      <c r="G39" t="s">
        <v>3</v>
      </c>
      <c r="H39" t="s">
        <v>20</v>
      </c>
      <c r="I39" t="s">
        <v>3</v>
      </c>
      <c r="J39" t="s">
        <v>21</v>
      </c>
      <c r="K39" t="s">
        <v>3</v>
      </c>
      <c r="L39" t="s">
        <v>22</v>
      </c>
      <c r="M39" t="s">
        <v>3</v>
      </c>
      <c r="S39" t="s">
        <v>20</v>
      </c>
    </row>
    <row r="40" spans="1:19" x14ac:dyDescent="0.15">
      <c r="A40" t="str">
        <f t="shared" si="6"/>
        <v>|Lv1|5|2|3|</v>
      </c>
      <c r="B40" t="s">
        <v>3</v>
      </c>
      <c r="C40" t="s">
        <v>8</v>
      </c>
      <c r="D40">
        <v>1</v>
      </c>
      <c r="E40" t="s">
        <v>3</v>
      </c>
      <c r="G40" t="s">
        <v>3</v>
      </c>
      <c r="H40">
        <v>5</v>
      </c>
      <c r="I40" t="s">
        <v>3</v>
      </c>
      <c r="J40">
        <v>2</v>
      </c>
      <c r="K40" t="s">
        <v>3</v>
      </c>
      <c r="L40">
        <v>3</v>
      </c>
      <c r="M40" t="s">
        <v>3</v>
      </c>
      <c r="S40" t="s">
        <v>21</v>
      </c>
    </row>
    <row r="41" spans="1:19" x14ac:dyDescent="0.15">
      <c r="A41" t="str">
        <f t="shared" si="6"/>
        <v>|Lv6|5|2|4|</v>
      </c>
      <c r="B41" t="s">
        <v>3</v>
      </c>
      <c r="C41" t="s">
        <v>8</v>
      </c>
      <c r="D41">
        <v>6</v>
      </c>
      <c r="E41" t="s">
        <v>3</v>
      </c>
      <c r="F41" t="str">
        <f t="shared" ref="F41:F55" si="7">IF(ISBLANK(D41),"",INDEX($F$88:$F$147,D41))</f>
        <v>サポート</v>
      </c>
      <c r="G41" t="s">
        <v>3</v>
      </c>
      <c r="H41">
        <f>H40+IF(H$39=$F41,1,0)</f>
        <v>5</v>
      </c>
      <c r="I41" t="str">
        <f t="shared" ref="I41:M47" si="8">I40</f>
        <v>|</v>
      </c>
      <c r="J41">
        <f>J40+IF(J$39=$F41,1,0)</f>
        <v>2</v>
      </c>
      <c r="K41" t="str">
        <f t="shared" si="8"/>
        <v>|</v>
      </c>
      <c r="L41">
        <f>L40+IF(L$39=$F41,1,0)</f>
        <v>4</v>
      </c>
      <c r="M41" t="str">
        <f t="shared" si="8"/>
        <v>|</v>
      </c>
      <c r="S41" t="s">
        <v>22</v>
      </c>
    </row>
    <row r="42" spans="1:19" x14ac:dyDescent="0.15">
      <c r="A42" t="str">
        <f t="shared" si="6"/>
        <v>|Lv11|5|3|4|</v>
      </c>
      <c r="B42" t="s">
        <v>3</v>
      </c>
      <c r="C42" t="s">
        <v>8</v>
      </c>
      <c r="D42">
        <v>11</v>
      </c>
      <c r="E42" t="s">
        <v>3</v>
      </c>
      <c r="F42" t="str">
        <f t="shared" si="7"/>
        <v>呪文</v>
      </c>
      <c r="G42" t="s">
        <v>3</v>
      </c>
      <c r="H42">
        <f t="shared" ref="H42:L47" si="9">H41+IF(H$39=$F42,1,0)</f>
        <v>5</v>
      </c>
      <c r="I42" t="str">
        <f t="shared" si="8"/>
        <v>|</v>
      </c>
      <c r="J42">
        <f t="shared" si="9"/>
        <v>3</v>
      </c>
      <c r="K42" t="str">
        <f t="shared" si="8"/>
        <v>|</v>
      </c>
      <c r="L42">
        <f t="shared" si="9"/>
        <v>4</v>
      </c>
      <c r="M42" t="str">
        <f t="shared" si="8"/>
        <v>|</v>
      </c>
    </row>
    <row r="43" spans="1:19" x14ac:dyDescent="0.15">
      <c r="A43" t="str">
        <f t="shared" si="6"/>
        <v>|Lv16|5|4|4|</v>
      </c>
      <c r="B43" t="s">
        <v>3</v>
      </c>
      <c r="C43" t="s">
        <v>8</v>
      </c>
      <c r="D43">
        <v>16</v>
      </c>
      <c r="E43" t="s">
        <v>3</v>
      </c>
      <c r="F43" t="str">
        <f t="shared" si="7"/>
        <v>呪文</v>
      </c>
      <c r="G43" t="s">
        <v>3</v>
      </c>
      <c r="H43">
        <f t="shared" si="9"/>
        <v>5</v>
      </c>
      <c r="I43" t="str">
        <f t="shared" si="8"/>
        <v>|</v>
      </c>
      <c r="J43">
        <f t="shared" si="9"/>
        <v>4</v>
      </c>
      <c r="K43" t="str">
        <f t="shared" si="8"/>
        <v>|</v>
      </c>
      <c r="L43">
        <f t="shared" si="9"/>
        <v>4</v>
      </c>
      <c r="M43" t="str">
        <f t="shared" si="8"/>
        <v>|</v>
      </c>
    </row>
    <row r="44" spans="1:19" x14ac:dyDescent="0.15">
      <c r="A44" t="str">
        <f t="shared" si="6"/>
        <v>|Lv18|5|4|5|</v>
      </c>
      <c r="B44" t="s">
        <v>3</v>
      </c>
      <c r="C44" t="s">
        <v>8</v>
      </c>
      <c r="D44">
        <v>18</v>
      </c>
      <c r="E44" t="s">
        <v>3</v>
      </c>
      <c r="F44" t="str">
        <f t="shared" si="7"/>
        <v>サポート</v>
      </c>
      <c r="G44" t="s">
        <v>3</v>
      </c>
      <c r="H44">
        <f t="shared" si="9"/>
        <v>5</v>
      </c>
      <c r="I44" t="str">
        <f t="shared" si="8"/>
        <v>|</v>
      </c>
      <c r="J44">
        <f t="shared" si="9"/>
        <v>4</v>
      </c>
      <c r="K44" t="str">
        <f t="shared" si="8"/>
        <v>|</v>
      </c>
      <c r="L44">
        <f t="shared" si="9"/>
        <v>5</v>
      </c>
      <c r="M44" t="str">
        <f t="shared" si="8"/>
        <v>|</v>
      </c>
    </row>
    <row r="45" spans="1:19" x14ac:dyDescent="0.15">
      <c r="A45" t="str">
        <f t="shared" si="6"/>
        <v>|Lv24|5|5|5|</v>
      </c>
      <c r="B45" t="s">
        <v>3</v>
      </c>
      <c r="C45" t="s">
        <v>8</v>
      </c>
      <c r="D45">
        <v>24</v>
      </c>
      <c r="E45" t="s">
        <v>3</v>
      </c>
      <c r="F45" t="str">
        <f t="shared" si="7"/>
        <v>呪文</v>
      </c>
      <c r="G45" t="s">
        <v>3</v>
      </c>
      <c r="H45">
        <f t="shared" si="9"/>
        <v>5</v>
      </c>
      <c r="I45" t="str">
        <f t="shared" si="8"/>
        <v>|</v>
      </c>
      <c r="J45">
        <f t="shared" si="9"/>
        <v>5</v>
      </c>
      <c r="K45" t="str">
        <f t="shared" si="8"/>
        <v>|</v>
      </c>
      <c r="L45">
        <f t="shared" si="9"/>
        <v>5</v>
      </c>
      <c r="M45" t="str">
        <f t="shared" si="8"/>
        <v>|</v>
      </c>
    </row>
    <row r="46" spans="1:19" x14ac:dyDescent="0.15">
      <c r="A46" t="str">
        <f t="shared" si="6"/>
        <v>|Lv30|5|5|6|</v>
      </c>
      <c r="B46" t="s">
        <v>3</v>
      </c>
      <c r="C46" t="s">
        <v>8</v>
      </c>
      <c r="D46">
        <v>30</v>
      </c>
      <c r="E46" t="s">
        <v>3</v>
      </c>
      <c r="F46" t="str">
        <f t="shared" si="7"/>
        <v>サポート</v>
      </c>
      <c r="G46" t="s">
        <v>3</v>
      </c>
      <c r="H46">
        <f t="shared" si="9"/>
        <v>5</v>
      </c>
      <c r="I46" t="str">
        <f t="shared" si="8"/>
        <v>|</v>
      </c>
      <c r="J46">
        <f t="shared" si="9"/>
        <v>5</v>
      </c>
      <c r="K46" t="str">
        <f t="shared" si="8"/>
        <v>|</v>
      </c>
      <c r="L46">
        <f>L45+IF(L$39=$F46,1,0)</f>
        <v>6</v>
      </c>
      <c r="M46" t="str">
        <f t="shared" si="8"/>
        <v>|</v>
      </c>
    </row>
    <row r="47" spans="1:19" x14ac:dyDescent="0.15">
      <c r="A47" t="str">
        <f t="shared" si="6"/>
        <v>|Lv31|5|6|6|</v>
      </c>
      <c r="B47" t="s">
        <v>3</v>
      </c>
      <c r="C47" t="s">
        <v>8</v>
      </c>
      <c r="D47">
        <v>31</v>
      </c>
      <c r="E47" t="s">
        <v>3</v>
      </c>
      <c r="F47" t="str">
        <f t="shared" si="7"/>
        <v>呪文</v>
      </c>
      <c r="G47" t="s">
        <v>3</v>
      </c>
      <c r="H47">
        <f t="shared" si="9"/>
        <v>5</v>
      </c>
      <c r="I47" t="str">
        <f t="shared" si="8"/>
        <v>|</v>
      </c>
      <c r="J47">
        <f t="shared" si="9"/>
        <v>6</v>
      </c>
      <c r="K47" t="str">
        <f t="shared" si="8"/>
        <v>|</v>
      </c>
      <c r="L47">
        <f t="shared" si="9"/>
        <v>6</v>
      </c>
      <c r="M47" t="str">
        <f t="shared" si="8"/>
        <v>|</v>
      </c>
    </row>
    <row r="48" spans="1:19" x14ac:dyDescent="0.15">
      <c r="A48" t="str">
        <f t="shared" ref="A48:A55" si="10">B48&amp;C48&amp;D48&amp;G48&amp;H48&amp;I48&amp;J48&amp;K48&amp;L48&amp;M48&amp;N48&amp;O48&amp;P48&amp;Q48&amp;R48</f>
        <v>|Lv36|5|7|6|</v>
      </c>
      <c r="B48" t="s">
        <v>3</v>
      </c>
      <c r="C48" t="s">
        <v>8</v>
      </c>
      <c r="D48">
        <v>36</v>
      </c>
      <c r="E48" t="s">
        <v>3</v>
      </c>
      <c r="F48" t="str">
        <f t="shared" si="7"/>
        <v>呪文</v>
      </c>
      <c r="G48" t="s">
        <v>3</v>
      </c>
      <c r="H48">
        <f t="shared" ref="H48:H55" si="11">H47+IF(H$39=$F48,1,0)</f>
        <v>5</v>
      </c>
      <c r="I48" t="str">
        <f t="shared" ref="I48:I55" si="12">I47</f>
        <v>|</v>
      </c>
      <c r="J48">
        <f t="shared" ref="J48:J55" si="13">J47+IF(J$39=$F48,1,0)</f>
        <v>7</v>
      </c>
      <c r="K48" t="str">
        <f t="shared" ref="K48:K55" si="14">K47</f>
        <v>|</v>
      </c>
      <c r="L48">
        <f t="shared" ref="L48:L55" si="15">L47+IF(L$39=$F48,1,0)</f>
        <v>6</v>
      </c>
      <c r="M48" t="str">
        <f t="shared" ref="M48:M55" si="16">M47</f>
        <v>|</v>
      </c>
    </row>
    <row r="49" spans="1:18" x14ac:dyDescent="0.15">
      <c r="A49" t="str">
        <f t="shared" si="10"/>
        <v>|Lv42|5|7|7|</v>
      </c>
      <c r="B49" t="s">
        <v>3</v>
      </c>
      <c r="C49" t="s">
        <v>8</v>
      </c>
      <c r="D49">
        <v>42</v>
      </c>
      <c r="E49" t="s">
        <v>3</v>
      </c>
      <c r="F49" t="str">
        <f t="shared" si="7"/>
        <v>サポート</v>
      </c>
      <c r="G49" t="s">
        <v>3</v>
      </c>
      <c r="H49">
        <f t="shared" si="11"/>
        <v>5</v>
      </c>
      <c r="I49" t="str">
        <f t="shared" si="12"/>
        <v>|</v>
      </c>
      <c r="J49">
        <f t="shared" si="13"/>
        <v>7</v>
      </c>
      <c r="K49" t="str">
        <f t="shared" si="14"/>
        <v>|</v>
      </c>
      <c r="L49">
        <f t="shared" si="15"/>
        <v>7</v>
      </c>
      <c r="M49" t="str">
        <f t="shared" si="16"/>
        <v>|</v>
      </c>
    </row>
    <row r="50" spans="1:18" x14ac:dyDescent="0.15">
      <c r="A50" t="str">
        <f t="shared" si="10"/>
        <v>|Lv43|5|8|7|</v>
      </c>
      <c r="B50" t="s">
        <v>3</v>
      </c>
      <c r="C50" t="s">
        <v>8</v>
      </c>
      <c r="D50">
        <v>43</v>
      </c>
      <c r="E50" t="s">
        <v>3</v>
      </c>
      <c r="F50" t="str">
        <f t="shared" si="7"/>
        <v>呪文</v>
      </c>
      <c r="G50" t="s">
        <v>3</v>
      </c>
      <c r="H50">
        <f t="shared" si="11"/>
        <v>5</v>
      </c>
      <c r="I50" t="str">
        <f t="shared" si="12"/>
        <v>|</v>
      </c>
      <c r="J50">
        <f t="shared" si="13"/>
        <v>8</v>
      </c>
      <c r="K50" t="str">
        <f t="shared" si="14"/>
        <v>|</v>
      </c>
      <c r="L50">
        <f t="shared" si="15"/>
        <v>7</v>
      </c>
      <c r="M50" t="str">
        <f t="shared" si="16"/>
        <v>|</v>
      </c>
    </row>
    <row r="51" spans="1:18" x14ac:dyDescent="0.15">
      <c r="A51" t="str">
        <f t="shared" si="10"/>
        <v>|Lv48|5|9|7|</v>
      </c>
      <c r="B51" t="s">
        <v>3</v>
      </c>
      <c r="C51" t="s">
        <v>8</v>
      </c>
      <c r="D51">
        <v>48</v>
      </c>
      <c r="E51" t="s">
        <v>3</v>
      </c>
      <c r="F51" t="str">
        <f t="shared" si="7"/>
        <v>呪文</v>
      </c>
      <c r="G51" t="s">
        <v>3</v>
      </c>
      <c r="H51">
        <f t="shared" si="11"/>
        <v>5</v>
      </c>
      <c r="I51" t="str">
        <f t="shared" si="12"/>
        <v>|</v>
      </c>
      <c r="J51">
        <f t="shared" si="13"/>
        <v>9</v>
      </c>
      <c r="K51" t="str">
        <f t="shared" si="14"/>
        <v>|</v>
      </c>
      <c r="L51">
        <f t="shared" si="15"/>
        <v>7</v>
      </c>
      <c r="M51" t="str">
        <f t="shared" si="16"/>
        <v>|</v>
      </c>
    </row>
    <row r="52" spans="1:18" x14ac:dyDescent="0.15">
      <c r="A52" t="str">
        <f t="shared" si="10"/>
        <v>|Lv54|6|9|7|</v>
      </c>
      <c r="B52" t="s">
        <v>3</v>
      </c>
      <c r="C52" t="s">
        <v>8</v>
      </c>
      <c r="D52">
        <v>54</v>
      </c>
      <c r="E52" t="s">
        <v>3</v>
      </c>
      <c r="F52" t="str">
        <f t="shared" si="7"/>
        <v>クリーチャー</v>
      </c>
      <c r="G52" t="s">
        <v>3</v>
      </c>
      <c r="H52">
        <f t="shared" si="11"/>
        <v>6</v>
      </c>
      <c r="I52" t="str">
        <f t="shared" si="12"/>
        <v>|</v>
      </c>
      <c r="J52">
        <f t="shared" si="13"/>
        <v>9</v>
      </c>
      <c r="K52" t="str">
        <f t="shared" si="14"/>
        <v>|</v>
      </c>
      <c r="L52">
        <f t="shared" si="15"/>
        <v>7</v>
      </c>
      <c r="M52" t="str">
        <f t="shared" si="16"/>
        <v>|</v>
      </c>
    </row>
    <row r="53" spans="1:18" x14ac:dyDescent="0.15">
      <c r="A53" t="str">
        <f t="shared" si="10"/>
        <v>|Lv56|6|9|8|</v>
      </c>
      <c r="B53" t="s">
        <v>3</v>
      </c>
      <c r="C53" t="s">
        <v>8</v>
      </c>
      <c r="D53">
        <v>56</v>
      </c>
      <c r="E53" t="s">
        <v>3</v>
      </c>
      <c r="F53" t="str">
        <f t="shared" si="7"/>
        <v>サポート</v>
      </c>
      <c r="G53" t="s">
        <v>3</v>
      </c>
      <c r="H53">
        <f t="shared" si="11"/>
        <v>6</v>
      </c>
      <c r="I53" t="str">
        <f t="shared" si="12"/>
        <v>|</v>
      </c>
      <c r="J53">
        <f t="shared" si="13"/>
        <v>9</v>
      </c>
      <c r="K53" t="str">
        <f t="shared" si="14"/>
        <v>|</v>
      </c>
      <c r="L53">
        <f t="shared" si="15"/>
        <v>8</v>
      </c>
      <c r="M53" t="str">
        <f t="shared" si="16"/>
        <v>|</v>
      </c>
    </row>
    <row r="54" spans="1:18" x14ac:dyDescent="0.15">
      <c r="A54" t="str">
        <f t="shared" si="10"/>
        <v>|Lv57|6|10|8|</v>
      </c>
      <c r="B54" t="s">
        <v>3</v>
      </c>
      <c r="C54" t="s">
        <v>8</v>
      </c>
      <c r="D54">
        <v>57</v>
      </c>
      <c r="E54" t="s">
        <v>3</v>
      </c>
      <c r="F54" t="str">
        <f t="shared" si="7"/>
        <v>呪文</v>
      </c>
      <c r="G54" t="s">
        <v>3</v>
      </c>
      <c r="H54">
        <f t="shared" si="11"/>
        <v>6</v>
      </c>
      <c r="I54" t="str">
        <f t="shared" si="12"/>
        <v>|</v>
      </c>
      <c r="J54">
        <f t="shared" si="13"/>
        <v>10</v>
      </c>
      <c r="K54" t="str">
        <f t="shared" si="14"/>
        <v>|</v>
      </c>
      <c r="L54">
        <f t="shared" si="15"/>
        <v>8</v>
      </c>
      <c r="M54" t="str">
        <f t="shared" si="16"/>
        <v>|</v>
      </c>
    </row>
    <row r="55" spans="1:18" x14ac:dyDescent="0.15">
      <c r="A55" t="str">
        <f t="shared" si="10"/>
        <v>|Lv59|7|10|8|</v>
      </c>
      <c r="B55" t="s">
        <v>3</v>
      </c>
      <c r="C55" t="s">
        <v>8</v>
      </c>
      <c r="D55">
        <v>59</v>
      </c>
      <c r="E55" t="s">
        <v>3</v>
      </c>
      <c r="F55" t="str">
        <f t="shared" si="7"/>
        <v>クリーチャー</v>
      </c>
      <c r="G55" t="s">
        <v>3</v>
      </c>
      <c r="H55">
        <f t="shared" si="11"/>
        <v>7</v>
      </c>
      <c r="I55" t="str">
        <f t="shared" si="12"/>
        <v>|</v>
      </c>
      <c r="J55">
        <f t="shared" si="13"/>
        <v>10</v>
      </c>
      <c r="K55" t="str">
        <f t="shared" si="14"/>
        <v>|</v>
      </c>
      <c r="L55">
        <f t="shared" si="15"/>
        <v>8</v>
      </c>
      <c r="M55" t="str">
        <f t="shared" si="16"/>
        <v>|</v>
      </c>
    </row>
    <row r="56" spans="1:18" x14ac:dyDescent="0.15">
      <c r="A56" t="str">
        <f t="shared" ref="A56:A77" si="17">B56&amp;C56&amp;D56&amp;E56&amp;F56&amp;G56&amp;H56&amp;I56&amp;J56&amp;K56&amp;L56&amp;M56&amp;N56&amp;O56&amp;P56</f>
        <v>&amp;br;</v>
      </c>
      <c r="B56" t="s">
        <v>0</v>
      </c>
    </row>
    <row r="57" spans="1:18" x14ac:dyDescent="0.15">
      <c r="A57" t="str">
        <f t="shared" si="17"/>
        <v>&amp;br;</v>
      </c>
      <c r="B57" t="s">
        <v>0</v>
      </c>
    </row>
    <row r="58" spans="1:18" x14ac:dyDescent="0.15">
      <c r="A58" t="str">
        <f t="shared" si="17"/>
        <v>*PW能力一覧 [#a469e89f]</v>
      </c>
      <c r="B58" t="s">
        <v>23</v>
      </c>
    </row>
    <row r="59" spans="1:18" x14ac:dyDescent="0.15">
      <c r="A59" t="str">
        <f t="shared" si="17"/>
        <v>**第1能力：困惑/Confusion</v>
      </c>
      <c r="B59" t="s">
        <v>24</v>
      </c>
      <c r="D59" t="s">
        <v>152</v>
      </c>
      <c r="E59" t="s">
        <v>25</v>
      </c>
      <c r="F59" t="s">
        <v>153</v>
      </c>
      <c r="R59" t="str">
        <f>D59&amp;E59&amp;F59</f>
        <v>困惑/Confusion</v>
      </c>
    </row>
    <row r="60" spans="1:18" x14ac:dyDescent="0.15">
      <c r="A60" t="str">
        <f t="shared" si="17"/>
        <v>|LEFT:50|LEFT:50|LEFT:50|LEFT:300|c</v>
      </c>
      <c r="B60" t="s">
        <v>3</v>
      </c>
      <c r="C60" t="s">
        <v>4</v>
      </c>
      <c r="E60" t="s">
        <v>3</v>
      </c>
      <c r="F60" t="s">
        <v>4</v>
      </c>
      <c r="G60" t="s">
        <v>3</v>
      </c>
      <c r="H60" t="s">
        <v>4</v>
      </c>
      <c r="I60" t="s">
        <v>3</v>
      </c>
      <c r="J60" t="s">
        <v>26</v>
      </c>
      <c r="K60" t="s">
        <v>3</v>
      </c>
      <c r="L60" t="s">
        <v>5</v>
      </c>
    </row>
    <row r="61" spans="1:18" x14ac:dyDescent="0.15">
      <c r="A61" t="str">
        <f t="shared" si="17"/>
        <v>|解放Lv|レベル|コスト|効果|</v>
      </c>
      <c r="B61" t="s">
        <v>3</v>
      </c>
      <c r="C61" t="s">
        <v>27</v>
      </c>
      <c r="E61" t="s">
        <v>3</v>
      </c>
      <c r="F61" t="s">
        <v>6</v>
      </c>
      <c r="G61" t="s">
        <v>3</v>
      </c>
      <c r="H61" t="s">
        <v>28</v>
      </c>
      <c r="I61" t="s">
        <v>3</v>
      </c>
      <c r="J61" t="s">
        <v>29</v>
      </c>
      <c r="K61" t="s">
        <v>3</v>
      </c>
    </row>
    <row r="62" spans="1:18" x14ac:dyDescent="0.15">
      <c r="A62" t="str">
        <f t="shared" si="17"/>
        <v>|Lv2|Lv1|6|クリーチャーを1体対象とする。あなたの次のターン開始時まで、それに-2/-0の修正を与える。|</v>
      </c>
      <c r="B62" t="s">
        <v>3</v>
      </c>
      <c r="C62" t="s">
        <v>8</v>
      </c>
      <c r="D62">
        <v>2</v>
      </c>
      <c r="E62" t="s">
        <v>3</v>
      </c>
      <c r="F62" t="s">
        <v>30</v>
      </c>
      <c r="G62" t="s">
        <v>3</v>
      </c>
      <c r="H62">
        <v>6</v>
      </c>
      <c r="I62" t="s">
        <v>3</v>
      </c>
      <c r="J62" t="s">
        <v>154</v>
      </c>
      <c r="K62" t="s">
        <v>3</v>
      </c>
    </row>
    <row r="63" spans="1:18" x14ac:dyDescent="0.15">
      <c r="A63" t="str">
        <f t="shared" si="17"/>
        <v>|Lv8|Lv2|6|クリーチャーを1体対象とする。あなたの次のターン開始時まで、それに-3/-0の修正を与える。|</v>
      </c>
      <c r="B63" t="s">
        <v>3</v>
      </c>
      <c r="C63" t="s">
        <v>8</v>
      </c>
      <c r="D63">
        <v>8</v>
      </c>
      <c r="E63" t="s">
        <v>3</v>
      </c>
      <c r="F63" t="s">
        <v>31</v>
      </c>
      <c r="G63" t="s">
        <v>3</v>
      </c>
      <c r="H63">
        <v>6</v>
      </c>
      <c r="I63" t="s">
        <v>3</v>
      </c>
      <c r="J63" t="s">
        <v>155</v>
      </c>
      <c r="K63" t="s">
        <v>3</v>
      </c>
    </row>
    <row r="64" spans="1:18" x14ac:dyDescent="0.15">
      <c r="A64" t="str">
        <f t="shared" si="17"/>
        <v>|Lv38|Lv3|6|クリーチャーを1体対象とする。あなたの次のターン開始時まで、それに-4/-0の修正を与える。|</v>
      </c>
      <c r="B64" t="s">
        <v>3</v>
      </c>
      <c r="C64" t="s">
        <v>8</v>
      </c>
      <c r="D64">
        <v>38</v>
      </c>
      <c r="E64" t="s">
        <v>3</v>
      </c>
      <c r="F64" t="s">
        <v>32</v>
      </c>
      <c r="G64" t="s">
        <v>3</v>
      </c>
      <c r="H64">
        <v>6</v>
      </c>
      <c r="I64" t="s">
        <v>3</v>
      </c>
      <c r="J64" t="s">
        <v>156</v>
      </c>
      <c r="K64" t="s">
        <v>3</v>
      </c>
    </row>
    <row r="65" spans="1:18" x14ac:dyDescent="0.15">
      <c r="A65" t="str">
        <f t="shared" si="17"/>
        <v>|Lv51|Lv4|6|クリーチャーを1体対象とする。あなたの次のターン開始時まで、それに-5/-0の修正を与える。|</v>
      </c>
      <c r="B65" t="s">
        <v>3</v>
      </c>
      <c r="C65" t="s">
        <v>8</v>
      </c>
      <c r="D65">
        <v>51</v>
      </c>
      <c r="E65" t="s">
        <v>3</v>
      </c>
      <c r="F65" t="s">
        <v>33</v>
      </c>
      <c r="G65" t="s">
        <v>3</v>
      </c>
      <c r="H65">
        <v>6</v>
      </c>
      <c r="I65" t="s">
        <v>3</v>
      </c>
      <c r="J65" t="s">
        <v>157</v>
      </c>
      <c r="K65" t="s">
        <v>3</v>
      </c>
    </row>
    <row r="66" spans="1:18" x14ac:dyDescent="0.15">
      <c r="A66" t="str">
        <f t="shared" si="17"/>
        <v>&amp;br;</v>
      </c>
      <c r="B66" t="s">
        <v>0</v>
      </c>
    </row>
    <row r="67" spans="1:18" x14ac:dyDescent="0.15">
      <c r="A67" t="str">
        <f t="shared" si="17"/>
        <v>&amp;br;</v>
      </c>
      <c r="B67" t="s">
        <v>0</v>
      </c>
    </row>
    <row r="68" spans="1:18" x14ac:dyDescent="0.15">
      <c r="A68" t="str">
        <f t="shared" si="17"/>
        <v>**第2能力：創意工夫/Ingenuity</v>
      </c>
      <c r="B68" t="s">
        <v>34</v>
      </c>
      <c r="D68" t="s">
        <v>158</v>
      </c>
      <c r="E68" t="s">
        <v>25</v>
      </c>
      <c r="F68" t="s">
        <v>159</v>
      </c>
      <c r="R68" t="str">
        <f>D68&amp;E68&amp;F68</f>
        <v>創意工夫/Ingenuity</v>
      </c>
    </row>
    <row r="69" spans="1:18" x14ac:dyDescent="0.15">
      <c r="A69" t="str">
        <f t="shared" si="17"/>
        <v>|LEFT:50|LEFT:50|LEFT:50|LEFT:300|c</v>
      </c>
      <c r="B69" t="s">
        <v>3</v>
      </c>
      <c r="C69" t="s">
        <v>4</v>
      </c>
      <c r="E69" t="s">
        <v>3</v>
      </c>
      <c r="F69" t="s">
        <v>4</v>
      </c>
      <c r="G69" t="s">
        <v>3</v>
      </c>
      <c r="H69" t="s">
        <v>4</v>
      </c>
      <c r="I69" t="s">
        <v>3</v>
      </c>
      <c r="J69" t="s">
        <v>26</v>
      </c>
      <c r="K69" t="s">
        <v>3</v>
      </c>
      <c r="L69" t="s">
        <v>5</v>
      </c>
    </row>
    <row r="70" spans="1:18" x14ac:dyDescent="0.15">
      <c r="A70" t="str">
        <f t="shared" si="17"/>
        <v>|解放Lv|レベル|コスト|効果|</v>
      </c>
      <c r="B70" t="s">
        <v>3</v>
      </c>
      <c r="C70" t="s">
        <v>27</v>
      </c>
      <c r="E70" t="s">
        <v>3</v>
      </c>
      <c r="F70" t="s">
        <v>6</v>
      </c>
      <c r="G70" t="s">
        <v>3</v>
      </c>
      <c r="H70" t="s">
        <v>28</v>
      </c>
      <c r="I70" t="s">
        <v>3</v>
      </c>
      <c r="J70" t="s">
        <v>29</v>
      </c>
      <c r="K70" t="s">
        <v>3</v>
      </c>
    </row>
    <row r="71" spans="1:18" x14ac:dyDescent="0.15">
      <c r="A71" t="str">
        <f t="shared" si="17"/>
        <v>|Lv14|Lv1|12|あなたが最後に唱えた呪文または最後に破壊された呪文を手札に移動させる。そのマナコストが1少なくなる。|</v>
      </c>
      <c r="B71" t="s">
        <v>3</v>
      </c>
      <c r="C71" t="s">
        <v>8</v>
      </c>
      <c r="D71">
        <v>14</v>
      </c>
      <c r="E71" t="s">
        <v>3</v>
      </c>
      <c r="F71" t="s">
        <v>30</v>
      </c>
      <c r="G71" t="s">
        <v>3</v>
      </c>
      <c r="H71">
        <v>12</v>
      </c>
      <c r="I71" t="s">
        <v>3</v>
      </c>
      <c r="J71" t="s">
        <v>160</v>
      </c>
      <c r="K71" t="s">
        <v>3</v>
      </c>
    </row>
    <row r="72" spans="1:18" x14ac:dyDescent="0.15">
      <c r="A72" t="str">
        <f t="shared" si="17"/>
        <v>|Lv20|Lv2|12|あなたが最後に唱えた呪文または最後に破壊された呪文を手札に移動させる。そのマナコストが2少なくなる。|</v>
      </c>
      <c r="B72" t="s">
        <v>3</v>
      </c>
      <c r="C72" t="s">
        <v>8</v>
      </c>
      <c r="D72">
        <v>20</v>
      </c>
      <c r="E72" t="s">
        <v>3</v>
      </c>
      <c r="F72" t="s">
        <v>31</v>
      </c>
      <c r="G72" t="s">
        <v>3</v>
      </c>
      <c r="H72">
        <v>12</v>
      </c>
      <c r="I72" t="s">
        <v>3</v>
      </c>
      <c r="J72" t="s">
        <v>161</v>
      </c>
      <c r="K72" t="s">
        <v>3</v>
      </c>
    </row>
    <row r="73" spans="1:18" x14ac:dyDescent="0.15">
      <c r="A73" t="str">
        <f t="shared" si="17"/>
        <v>|Lv44|Lv3|12|あなたが最後に唱えた呪文または最後に破壊された呪文を手札に移動させる。そのマナコストが3少なくなる。|</v>
      </c>
      <c r="B73" t="s">
        <v>3</v>
      </c>
      <c r="C73" t="s">
        <v>8</v>
      </c>
      <c r="D73">
        <v>44</v>
      </c>
      <c r="E73" t="s">
        <v>3</v>
      </c>
      <c r="F73" t="s">
        <v>32</v>
      </c>
      <c r="G73" t="s">
        <v>3</v>
      </c>
      <c r="H73">
        <v>12</v>
      </c>
      <c r="I73" t="s">
        <v>3</v>
      </c>
      <c r="J73" t="s">
        <v>162</v>
      </c>
      <c r="K73" t="s">
        <v>3</v>
      </c>
    </row>
    <row r="74" spans="1:18" x14ac:dyDescent="0.15">
      <c r="A74" t="str">
        <f t="shared" si="17"/>
        <v>|Lv55|Lv4|12|あなたが最後に唱えた呪文または最後に破壊された呪文を手札に移動させる。そのマナコストが4少なくなる。|</v>
      </c>
      <c r="B74" t="s">
        <v>3</v>
      </c>
      <c r="C74" t="s">
        <v>8</v>
      </c>
      <c r="D74">
        <v>55</v>
      </c>
      <c r="E74" t="s">
        <v>3</v>
      </c>
      <c r="F74" t="s">
        <v>33</v>
      </c>
      <c r="G74" t="s">
        <v>3</v>
      </c>
      <c r="H74">
        <v>12</v>
      </c>
      <c r="I74" t="s">
        <v>3</v>
      </c>
      <c r="J74" t="s">
        <v>163</v>
      </c>
      <c r="K74" t="s">
        <v>3</v>
      </c>
    </row>
    <row r="75" spans="1:18" x14ac:dyDescent="0.15">
      <c r="A75" t="str">
        <f t="shared" si="17"/>
        <v>&amp;br;</v>
      </c>
      <c r="B75" t="s">
        <v>0</v>
      </c>
    </row>
    <row r="76" spans="1:18" x14ac:dyDescent="0.15">
      <c r="A76" t="str">
        <f t="shared" si="17"/>
        <v>&amp;br;</v>
      </c>
      <c r="B76" t="s">
        <v>0</v>
      </c>
    </row>
    <row r="77" spans="1:18" x14ac:dyDescent="0.15">
      <c r="A77" t="str">
        <f t="shared" si="17"/>
        <v>**第3能力：精神刻み/Mind Sculpt</v>
      </c>
      <c r="B77" t="s">
        <v>35</v>
      </c>
      <c r="D77" t="s">
        <v>164</v>
      </c>
      <c r="E77" t="s">
        <v>25</v>
      </c>
      <c r="F77" t="s">
        <v>165</v>
      </c>
      <c r="R77" t="str">
        <f>D77&amp;E77&amp;F77</f>
        <v>精神刻み/Mind Sculpt</v>
      </c>
    </row>
    <row r="78" spans="1:18" x14ac:dyDescent="0.15">
      <c r="A78" t="str">
        <f t="shared" ref="A78:A141" si="18">B78&amp;C78&amp;D78&amp;E78&amp;F78&amp;G78&amp;H78&amp;I78&amp;J78&amp;K78&amp;L78&amp;M78&amp;N78&amp;O78&amp;P78</f>
        <v>|LEFT:50|LEFT:50|LEFT:50|LEFT:300|c</v>
      </c>
      <c r="B78" t="s">
        <v>3</v>
      </c>
      <c r="C78" t="s">
        <v>4</v>
      </c>
      <c r="E78" t="s">
        <v>3</v>
      </c>
      <c r="F78" t="s">
        <v>4</v>
      </c>
      <c r="G78" t="s">
        <v>3</v>
      </c>
      <c r="H78" t="s">
        <v>4</v>
      </c>
      <c r="I78" t="s">
        <v>3</v>
      </c>
      <c r="J78" t="s">
        <v>26</v>
      </c>
      <c r="K78" t="s">
        <v>3</v>
      </c>
      <c r="L78" t="s">
        <v>5</v>
      </c>
    </row>
    <row r="79" spans="1:18" x14ac:dyDescent="0.15">
      <c r="A79" t="str">
        <f t="shared" si="18"/>
        <v>|解放Lv|レベル|コスト|効果|</v>
      </c>
      <c r="B79" t="s">
        <v>3</v>
      </c>
      <c r="C79" t="s">
        <v>27</v>
      </c>
      <c r="E79" t="s">
        <v>3</v>
      </c>
      <c r="F79" t="s">
        <v>6</v>
      </c>
      <c r="G79" t="s">
        <v>3</v>
      </c>
      <c r="H79" t="s">
        <v>28</v>
      </c>
      <c r="I79" t="s">
        <v>3</v>
      </c>
      <c r="J79" t="s">
        <v>29</v>
      </c>
      <c r="K79" t="s">
        <v>3</v>
      </c>
    </row>
    <row r="80" spans="1:18" x14ac:dyDescent="0.15">
      <c r="A80" t="str">
        <f t="shared" si="18"/>
        <v>|Lv26|Lv1|15|ジェム5個に罠をかける：3マナ吸収する。|</v>
      </c>
      <c r="B80" t="s">
        <v>3</v>
      </c>
      <c r="C80" t="s">
        <v>8</v>
      </c>
      <c r="D80">
        <v>26</v>
      </c>
      <c r="E80" t="s">
        <v>3</v>
      </c>
      <c r="F80" t="s">
        <v>30</v>
      </c>
      <c r="G80" t="s">
        <v>3</v>
      </c>
      <c r="H80">
        <v>15</v>
      </c>
      <c r="I80" t="s">
        <v>3</v>
      </c>
      <c r="J80" t="s">
        <v>166</v>
      </c>
      <c r="K80" t="s">
        <v>3</v>
      </c>
    </row>
    <row r="81" spans="1:17" x14ac:dyDescent="0.15">
      <c r="A81" t="str">
        <f t="shared" si="18"/>
        <v>|Lv32|Lv2|15|ジェム7個に罠をかける：3マナ吸収する。|</v>
      </c>
      <c r="B81" t="s">
        <v>3</v>
      </c>
      <c r="C81" t="s">
        <v>8</v>
      </c>
      <c r="D81">
        <v>32</v>
      </c>
      <c r="E81" t="s">
        <v>3</v>
      </c>
      <c r="F81" t="s">
        <v>31</v>
      </c>
      <c r="G81" t="s">
        <v>3</v>
      </c>
      <c r="H81">
        <v>15</v>
      </c>
      <c r="I81" t="s">
        <v>3</v>
      </c>
      <c r="J81" t="s">
        <v>167</v>
      </c>
      <c r="K81" t="s">
        <v>3</v>
      </c>
    </row>
    <row r="82" spans="1:17" x14ac:dyDescent="0.15">
      <c r="A82" t="str">
        <f t="shared" si="18"/>
        <v>|Lv50|Lv3|15|ジェム7個に罠をかける：6マナ吸収する。|</v>
      </c>
      <c r="B82" t="s">
        <v>3</v>
      </c>
      <c r="C82" t="s">
        <v>8</v>
      </c>
      <c r="D82">
        <v>50</v>
      </c>
      <c r="E82" t="s">
        <v>3</v>
      </c>
      <c r="F82" t="s">
        <v>32</v>
      </c>
      <c r="G82" t="s">
        <v>3</v>
      </c>
      <c r="H82">
        <v>15</v>
      </c>
      <c r="I82" t="s">
        <v>3</v>
      </c>
      <c r="J82" t="s">
        <v>168</v>
      </c>
      <c r="K82" t="s">
        <v>3</v>
      </c>
    </row>
    <row r="83" spans="1:17" x14ac:dyDescent="0.15">
      <c r="A83" t="str">
        <f t="shared" si="18"/>
        <v>|Lv60|Lv4|15|ジェム9個に罠をかける：6マナ吸収する。|</v>
      </c>
      <c r="B83" t="s">
        <v>3</v>
      </c>
      <c r="C83" t="s">
        <v>8</v>
      </c>
      <c r="D83">
        <v>60</v>
      </c>
      <c r="E83" t="s">
        <v>3</v>
      </c>
      <c r="F83" t="s">
        <v>33</v>
      </c>
      <c r="G83" t="s">
        <v>3</v>
      </c>
      <c r="H83">
        <v>15</v>
      </c>
      <c r="I83" t="s">
        <v>3</v>
      </c>
      <c r="J83" t="s">
        <v>169</v>
      </c>
      <c r="K83" t="s">
        <v>3</v>
      </c>
    </row>
    <row r="84" spans="1:17" x14ac:dyDescent="0.15">
      <c r="A84" t="str">
        <f t="shared" si="18"/>
        <v>&amp;br;</v>
      </c>
      <c r="B84" t="s">
        <v>0</v>
      </c>
    </row>
    <row r="85" spans="1:17" x14ac:dyDescent="0.15">
      <c r="A85" t="str">
        <f t="shared" si="18"/>
        <v>&amp;br;</v>
      </c>
      <c r="B85" t="s">
        <v>0</v>
      </c>
    </row>
    <row r="86" spans="1:17" x14ac:dyDescent="0.15">
      <c r="A86" t="str">
        <f t="shared" si="18"/>
        <v>*レベルアップ報酬一覧 [#k0cef29c]</v>
      </c>
      <c r="B86" t="s">
        <v>36</v>
      </c>
    </row>
    <row r="87" spans="1:17" x14ac:dyDescent="0.15">
      <c r="A87" t="str">
        <f t="shared" si="18"/>
        <v>|LEFT:50|LEFT:100|c</v>
      </c>
      <c r="B87" t="s">
        <v>3</v>
      </c>
      <c r="C87" t="s">
        <v>4</v>
      </c>
      <c r="E87" t="s">
        <v>3</v>
      </c>
      <c r="F87" t="s">
        <v>37</v>
      </c>
      <c r="I87" t="s">
        <v>3</v>
      </c>
      <c r="J87" t="s">
        <v>5</v>
      </c>
    </row>
    <row r="88" spans="1:17" x14ac:dyDescent="0.15">
      <c r="A88" t="str">
        <f t="shared" si="18"/>
        <v>|レベル|報酬|</v>
      </c>
      <c r="B88" t="s">
        <v>3</v>
      </c>
      <c r="C88" t="s">
        <v>6</v>
      </c>
      <c r="E88" t="s">
        <v>3</v>
      </c>
      <c r="F88" t="s">
        <v>38</v>
      </c>
      <c r="I88" t="s">
        <v>3</v>
      </c>
      <c r="Q88" t="s">
        <v>7</v>
      </c>
    </row>
    <row r="89" spans="1:17" x14ac:dyDescent="0.15">
      <c r="A89" t="str">
        <f t="shared" si="18"/>
        <v>|Lｖ2|第1能力Lv1|</v>
      </c>
      <c r="B89" t="s">
        <v>3</v>
      </c>
      <c r="C89" t="s">
        <v>39</v>
      </c>
      <c r="D89">
        <v>2</v>
      </c>
      <c r="E89" t="s">
        <v>3</v>
      </c>
      <c r="F89" t="s">
        <v>40</v>
      </c>
      <c r="G89" t="str">
        <f t="shared" ref="G89:G120" si="19">IF(OR(F89=$Q$97,F89=$Q$98,F89=$Q$99,F89=$Q$100,ISBLANK(F89)),"","+")</f>
        <v/>
      </c>
      <c r="H89">
        <v>1</v>
      </c>
      <c r="I89" t="s">
        <v>3</v>
      </c>
      <c r="Q89" t="s">
        <v>20</v>
      </c>
    </row>
    <row r="90" spans="1:17" x14ac:dyDescent="0.15">
      <c r="A90" t="str">
        <f t="shared" si="18"/>
        <v>|Lｖ3|白+1|</v>
      </c>
      <c r="B90" t="s">
        <v>3</v>
      </c>
      <c r="C90" t="s">
        <v>39</v>
      </c>
      <c r="D90">
        <v>3</v>
      </c>
      <c r="E90" t="s">
        <v>3</v>
      </c>
      <c r="F90" t="s">
        <v>11</v>
      </c>
      <c r="G90" t="str">
        <f t="shared" si="19"/>
        <v>+</v>
      </c>
      <c r="H90">
        <v>1</v>
      </c>
      <c r="I90" t="s">
        <v>3</v>
      </c>
      <c r="Q90" t="s">
        <v>21</v>
      </c>
    </row>
    <row r="91" spans="1:17" x14ac:dyDescent="0.15">
      <c r="A91" t="str">
        <f t="shared" si="18"/>
        <v>|Lｖ4|HP+4|</v>
      </c>
      <c r="B91" t="s">
        <v>3</v>
      </c>
      <c r="C91" t="s">
        <v>39</v>
      </c>
      <c r="D91">
        <v>4</v>
      </c>
      <c r="E91" t="s">
        <v>3</v>
      </c>
      <c r="F91" t="s">
        <v>7</v>
      </c>
      <c r="G91" t="str">
        <f t="shared" si="19"/>
        <v>+</v>
      </c>
      <c r="H91">
        <v>4</v>
      </c>
      <c r="I91" t="s">
        <v>3</v>
      </c>
      <c r="Q91" t="s">
        <v>22</v>
      </c>
    </row>
    <row r="92" spans="1:17" x14ac:dyDescent="0.15">
      <c r="A92" t="str">
        <f t="shared" si="18"/>
        <v>|Lｖ5|回復速度上昇|</v>
      </c>
      <c r="B92" t="s">
        <v>3</v>
      </c>
      <c r="C92" t="s">
        <v>39</v>
      </c>
      <c r="D92">
        <v>5</v>
      </c>
      <c r="E92" t="s">
        <v>3</v>
      </c>
      <c r="F92" t="s">
        <v>43</v>
      </c>
      <c r="G92" t="str">
        <f t="shared" si="19"/>
        <v/>
      </c>
      <c r="I92" t="s">
        <v>3</v>
      </c>
      <c r="Q92" t="s">
        <v>11</v>
      </c>
    </row>
    <row r="93" spans="1:17" x14ac:dyDescent="0.15">
      <c r="A93" t="str">
        <f t="shared" si="18"/>
        <v>|Lｖ6|サポート+1|</v>
      </c>
      <c r="B93" t="s">
        <v>3</v>
      </c>
      <c r="C93" t="s">
        <v>39</v>
      </c>
      <c r="D93">
        <v>6</v>
      </c>
      <c r="E93" t="s">
        <v>3</v>
      </c>
      <c r="F93" t="s">
        <v>22</v>
      </c>
      <c r="G93" t="str">
        <f t="shared" si="19"/>
        <v>+</v>
      </c>
      <c r="H93">
        <v>1</v>
      </c>
      <c r="I93" t="s">
        <v>3</v>
      </c>
      <c r="Q93" t="s">
        <v>12</v>
      </c>
    </row>
    <row r="94" spans="1:17" x14ac:dyDescent="0.15">
      <c r="A94" t="str">
        <f t="shared" si="18"/>
        <v>|Lｖ7|HP+4|</v>
      </c>
      <c r="B94" t="s">
        <v>3</v>
      </c>
      <c r="C94" t="s">
        <v>39</v>
      </c>
      <c r="D94">
        <v>7</v>
      </c>
      <c r="E94" t="s">
        <v>3</v>
      </c>
      <c r="F94" t="s">
        <v>7</v>
      </c>
      <c r="G94" t="str">
        <f t="shared" si="19"/>
        <v>+</v>
      </c>
      <c r="H94">
        <v>4</v>
      </c>
      <c r="I94" t="s">
        <v>3</v>
      </c>
      <c r="Q94" t="s">
        <v>13</v>
      </c>
    </row>
    <row r="95" spans="1:17" x14ac:dyDescent="0.15">
      <c r="A95" t="str">
        <f t="shared" si="18"/>
        <v>|Lｖ8|第1能力Lv2|</v>
      </c>
      <c r="B95" t="s">
        <v>3</v>
      </c>
      <c r="C95" t="s">
        <v>39</v>
      </c>
      <c r="D95">
        <v>8</v>
      </c>
      <c r="E95" t="s">
        <v>3</v>
      </c>
      <c r="F95" t="s">
        <v>40</v>
      </c>
      <c r="G95" t="str">
        <f t="shared" si="19"/>
        <v/>
      </c>
      <c r="H95">
        <v>2</v>
      </c>
      <c r="I95" t="s">
        <v>3</v>
      </c>
      <c r="Q95" t="s">
        <v>14</v>
      </c>
    </row>
    <row r="96" spans="1:17" x14ac:dyDescent="0.15">
      <c r="A96" t="str">
        <f t="shared" si="18"/>
        <v>|Lｖ9|HP+4|</v>
      </c>
      <c r="B96" t="s">
        <v>3</v>
      </c>
      <c r="C96" t="s">
        <v>39</v>
      </c>
      <c r="D96">
        <v>9</v>
      </c>
      <c r="E96" t="s">
        <v>3</v>
      </c>
      <c r="F96" t="s">
        <v>7</v>
      </c>
      <c r="G96" t="str">
        <f t="shared" si="19"/>
        <v>+</v>
      </c>
      <c r="H96">
        <v>4</v>
      </c>
      <c r="I96" t="s">
        <v>3</v>
      </c>
      <c r="Q96" t="s">
        <v>15</v>
      </c>
    </row>
    <row r="97" spans="1:17" x14ac:dyDescent="0.15">
      <c r="A97" t="str">
        <f t="shared" si="18"/>
        <v>|Lｖ10|黒+1|</v>
      </c>
      <c r="B97" t="s">
        <v>3</v>
      </c>
      <c r="C97" t="s">
        <v>39</v>
      </c>
      <c r="D97">
        <v>10</v>
      </c>
      <c r="E97" t="s">
        <v>3</v>
      </c>
      <c r="F97" t="s">
        <v>13</v>
      </c>
      <c r="G97" t="str">
        <f t="shared" si="19"/>
        <v>+</v>
      </c>
      <c r="H97">
        <v>1</v>
      </c>
      <c r="I97" t="s">
        <v>3</v>
      </c>
      <c r="Q97" t="s">
        <v>40</v>
      </c>
    </row>
    <row r="98" spans="1:17" x14ac:dyDescent="0.15">
      <c r="A98" t="str">
        <f t="shared" si="18"/>
        <v>|Lｖ11|呪文+1|</v>
      </c>
      <c r="B98" t="s">
        <v>3</v>
      </c>
      <c r="C98" t="s">
        <v>39</v>
      </c>
      <c r="D98">
        <v>11</v>
      </c>
      <c r="E98" t="s">
        <v>3</v>
      </c>
      <c r="F98" t="s">
        <v>21</v>
      </c>
      <c r="G98" t="str">
        <f t="shared" si="19"/>
        <v>+</v>
      </c>
      <c r="H98">
        <v>1</v>
      </c>
      <c r="I98" t="s">
        <v>3</v>
      </c>
      <c r="Q98" t="s">
        <v>41</v>
      </c>
    </row>
    <row r="99" spans="1:17" x14ac:dyDescent="0.15">
      <c r="A99" t="str">
        <f t="shared" si="18"/>
        <v>|Lｖ12|回復速度上昇|</v>
      </c>
      <c r="B99" t="s">
        <v>3</v>
      </c>
      <c r="C99" t="s">
        <v>39</v>
      </c>
      <c r="D99">
        <v>12</v>
      </c>
      <c r="E99" t="s">
        <v>3</v>
      </c>
      <c r="F99" t="s">
        <v>43</v>
      </c>
      <c r="G99" t="str">
        <f t="shared" si="19"/>
        <v/>
      </c>
      <c r="I99" t="s">
        <v>3</v>
      </c>
      <c r="Q99" t="s">
        <v>42</v>
      </c>
    </row>
    <row r="100" spans="1:17" x14ac:dyDescent="0.15">
      <c r="A100" t="str">
        <f t="shared" si="18"/>
        <v>|Lｖ13|HP+4|</v>
      </c>
      <c r="B100" t="s">
        <v>3</v>
      </c>
      <c r="C100" t="s">
        <v>39</v>
      </c>
      <c r="D100">
        <v>13</v>
      </c>
      <c r="E100" t="s">
        <v>3</v>
      </c>
      <c r="F100" t="s">
        <v>7</v>
      </c>
      <c r="G100" t="str">
        <f t="shared" si="19"/>
        <v>+</v>
      </c>
      <c r="H100">
        <v>4</v>
      </c>
      <c r="I100" t="s">
        <v>3</v>
      </c>
      <c r="Q100" t="s">
        <v>43</v>
      </c>
    </row>
    <row r="101" spans="1:17" x14ac:dyDescent="0.15">
      <c r="A101" t="str">
        <f t="shared" si="18"/>
        <v>|Lｖ14|第2能力Lv1|</v>
      </c>
      <c r="B101" t="s">
        <v>3</v>
      </c>
      <c r="C101" t="s">
        <v>39</v>
      </c>
      <c r="D101">
        <v>14</v>
      </c>
      <c r="E101" t="s">
        <v>3</v>
      </c>
      <c r="F101" t="s">
        <v>41</v>
      </c>
      <c r="G101" t="str">
        <f t="shared" si="19"/>
        <v/>
      </c>
      <c r="H101">
        <v>1</v>
      </c>
      <c r="I101" t="s">
        <v>3</v>
      </c>
    </row>
    <row r="102" spans="1:17" x14ac:dyDescent="0.15">
      <c r="A102" t="str">
        <f t="shared" si="18"/>
        <v>|Lｖ15|青+1|</v>
      </c>
      <c r="B102" t="s">
        <v>3</v>
      </c>
      <c r="C102" t="s">
        <v>39</v>
      </c>
      <c r="D102">
        <v>15</v>
      </c>
      <c r="E102" t="s">
        <v>3</v>
      </c>
      <c r="F102" t="s">
        <v>12</v>
      </c>
      <c r="G102" t="str">
        <f t="shared" si="19"/>
        <v>+</v>
      </c>
      <c r="H102">
        <v>1</v>
      </c>
      <c r="I102" t="s">
        <v>3</v>
      </c>
    </row>
    <row r="103" spans="1:17" x14ac:dyDescent="0.15">
      <c r="A103" t="str">
        <f t="shared" si="18"/>
        <v>|Lｖ16|呪文+1|</v>
      </c>
      <c r="B103" t="s">
        <v>3</v>
      </c>
      <c r="C103" t="s">
        <v>39</v>
      </c>
      <c r="D103">
        <v>16</v>
      </c>
      <c r="E103" t="s">
        <v>3</v>
      </c>
      <c r="F103" t="s">
        <v>21</v>
      </c>
      <c r="G103" t="str">
        <f t="shared" si="19"/>
        <v>+</v>
      </c>
      <c r="H103">
        <v>1</v>
      </c>
      <c r="I103" t="s">
        <v>3</v>
      </c>
    </row>
    <row r="104" spans="1:17" x14ac:dyDescent="0.15">
      <c r="A104" t="str">
        <f t="shared" si="18"/>
        <v>|Lｖ17|HP+4|</v>
      </c>
      <c r="B104" t="s">
        <v>3</v>
      </c>
      <c r="C104" t="s">
        <v>39</v>
      </c>
      <c r="D104">
        <v>17</v>
      </c>
      <c r="E104" t="s">
        <v>3</v>
      </c>
      <c r="F104" t="s">
        <v>7</v>
      </c>
      <c r="G104" t="str">
        <f t="shared" si="19"/>
        <v>+</v>
      </c>
      <c r="H104">
        <v>4</v>
      </c>
      <c r="I104" t="s">
        <v>3</v>
      </c>
    </row>
    <row r="105" spans="1:17" x14ac:dyDescent="0.15">
      <c r="A105" t="str">
        <f t="shared" si="18"/>
        <v>|Lｖ18|サポート+1|</v>
      </c>
      <c r="B105" t="s">
        <v>3</v>
      </c>
      <c r="C105" t="s">
        <v>39</v>
      </c>
      <c r="D105">
        <v>18</v>
      </c>
      <c r="E105" t="s">
        <v>3</v>
      </c>
      <c r="F105" t="s">
        <v>22</v>
      </c>
      <c r="G105" t="str">
        <f t="shared" si="19"/>
        <v>+</v>
      </c>
      <c r="H105">
        <v>1</v>
      </c>
      <c r="I105" t="s">
        <v>3</v>
      </c>
    </row>
    <row r="106" spans="1:17" x14ac:dyDescent="0.15">
      <c r="A106" t="str">
        <f t="shared" si="18"/>
        <v>|Lｖ19|回復速度上昇|</v>
      </c>
      <c r="B106" t="s">
        <v>3</v>
      </c>
      <c r="C106" t="s">
        <v>39</v>
      </c>
      <c r="D106">
        <v>19</v>
      </c>
      <c r="E106" t="s">
        <v>3</v>
      </c>
      <c r="F106" t="s">
        <v>43</v>
      </c>
      <c r="G106" t="str">
        <f t="shared" si="19"/>
        <v/>
      </c>
      <c r="I106" t="s">
        <v>3</v>
      </c>
    </row>
    <row r="107" spans="1:17" x14ac:dyDescent="0.15">
      <c r="A107" t="str">
        <f t="shared" si="18"/>
        <v>|Lｖ20|第2能力Lv2|</v>
      </c>
      <c r="B107" t="s">
        <v>3</v>
      </c>
      <c r="C107" t="s">
        <v>39</v>
      </c>
      <c r="D107">
        <v>20</v>
      </c>
      <c r="E107" t="s">
        <v>3</v>
      </c>
      <c r="F107" t="s">
        <v>41</v>
      </c>
      <c r="G107" t="str">
        <f t="shared" si="19"/>
        <v/>
      </c>
      <c r="H107">
        <v>2</v>
      </c>
      <c r="I107" t="s">
        <v>3</v>
      </c>
    </row>
    <row r="108" spans="1:17" x14ac:dyDescent="0.15">
      <c r="A108" t="str">
        <f t="shared" si="18"/>
        <v>|Lｖ21|HP+4|</v>
      </c>
      <c r="B108" t="s">
        <v>3</v>
      </c>
      <c r="C108" t="s">
        <v>39</v>
      </c>
      <c r="D108">
        <v>21</v>
      </c>
      <c r="E108" t="s">
        <v>3</v>
      </c>
      <c r="F108" t="s">
        <v>7</v>
      </c>
      <c r="G108" t="str">
        <f t="shared" si="19"/>
        <v>+</v>
      </c>
      <c r="H108">
        <v>4</v>
      </c>
      <c r="I108" t="s">
        <v>3</v>
      </c>
    </row>
    <row r="109" spans="1:17" x14ac:dyDescent="0.15">
      <c r="A109" t="str">
        <f t="shared" si="18"/>
        <v>|Lｖ22|回復速度上昇|</v>
      </c>
      <c r="B109" t="s">
        <v>3</v>
      </c>
      <c r="C109" t="s">
        <v>39</v>
      </c>
      <c r="D109">
        <v>22</v>
      </c>
      <c r="E109" t="s">
        <v>3</v>
      </c>
      <c r="F109" t="s">
        <v>43</v>
      </c>
      <c r="G109" t="str">
        <f t="shared" si="19"/>
        <v/>
      </c>
      <c r="I109" t="s">
        <v>3</v>
      </c>
    </row>
    <row r="110" spans="1:17" x14ac:dyDescent="0.15">
      <c r="A110" t="str">
        <f t="shared" si="18"/>
        <v>|Lｖ23|HP+4|</v>
      </c>
      <c r="B110" t="s">
        <v>3</v>
      </c>
      <c r="C110" t="s">
        <v>39</v>
      </c>
      <c r="D110">
        <v>23</v>
      </c>
      <c r="E110" t="s">
        <v>3</v>
      </c>
      <c r="F110" t="s">
        <v>7</v>
      </c>
      <c r="G110" t="str">
        <f t="shared" si="19"/>
        <v>+</v>
      </c>
      <c r="H110">
        <v>4</v>
      </c>
      <c r="I110" t="s">
        <v>3</v>
      </c>
    </row>
    <row r="111" spans="1:17" x14ac:dyDescent="0.15">
      <c r="A111" t="str">
        <f t="shared" si="18"/>
        <v>|Lｖ24|呪文+1|</v>
      </c>
      <c r="B111" t="s">
        <v>3</v>
      </c>
      <c r="C111" t="s">
        <v>39</v>
      </c>
      <c r="D111">
        <v>24</v>
      </c>
      <c r="E111" t="s">
        <v>3</v>
      </c>
      <c r="F111" t="s">
        <v>21</v>
      </c>
      <c r="G111" t="str">
        <f t="shared" si="19"/>
        <v>+</v>
      </c>
      <c r="H111">
        <v>1</v>
      </c>
      <c r="I111" t="s">
        <v>3</v>
      </c>
    </row>
    <row r="112" spans="1:17" x14ac:dyDescent="0.15">
      <c r="A112" t="str">
        <f t="shared" si="18"/>
        <v>|Lｖ25|HP+4|</v>
      </c>
      <c r="B112" t="s">
        <v>3</v>
      </c>
      <c r="C112" t="s">
        <v>39</v>
      </c>
      <c r="D112">
        <v>25</v>
      </c>
      <c r="E112" t="s">
        <v>3</v>
      </c>
      <c r="F112" t="s">
        <v>7</v>
      </c>
      <c r="G112" t="str">
        <f t="shared" si="19"/>
        <v>+</v>
      </c>
      <c r="H112">
        <v>4</v>
      </c>
      <c r="I112" t="s">
        <v>3</v>
      </c>
    </row>
    <row r="113" spans="1:9" x14ac:dyDescent="0.15">
      <c r="A113" t="str">
        <f t="shared" si="18"/>
        <v>|Lｖ26|第3能力Lv1|</v>
      </c>
      <c r="B113" t="s">
        <v>3</v>
      </c>
      <c r="C113" t="s">
        <v>39</v>
      </c>
      <c r="D113">
        <v>26</v>
      </c>
      <c r="E113" t="s">
        <v>3</v>
      </c>
      <c r="F113" t="s">
        <v>42</v>
      </c>
      <c r="G113" t="str">
        <f t="shared" si="19"/>
        <v/>
      </c>
      <c r="H113">
        <v>1</v>
      </c>
      <c r="I113" t="s">
        <v>3</v>
      </c>
    </row>
    <row r="114" spans="1:9" x14ac:dyDescent="0.15">
      <c r="A114" t="str">
        <f t="shared" si="18"/>
        <v>|Lｖ27|回復速度上昇|</v>
      </c>
      <c r="B114" t="s">
        <v>3</v>
      </c>
      <c r="C114" t="s">
        <v>39</v>
      </c>
      <c r="D114">
        <v>27</v>
      </c>
      <c r="E114" t="s">
        <v>3</v>
      </c>
      <c r="F114" t="s">
        <v>43</v>
      </c>
      <c r="G114" t="str">
        <f t="shared" si="19"/>
        <v/>
      </c>
      <c r="I114" t="s">
        <v>3</v>
      </c>
    </row>
    <row r="115" spans="1:9" x14ac:dyDescent="0.15">
      <c r="A115" t="str">
        <f t="shared" si="18"/>
        <v>|Lｖ28|青+1|</v>
      </c>
      <c r="B115" t="s">
        <v>3</v>
      </c>
      <c r="C115" t="s">
        <v>39</v>
      </c>
      <c r="D115">
        <v>28</v>
      </c>
      <c r="E115" t="s">
        <v>3</v>
      </c>
      <c r="F115" t="s">
        <v>12</v>
      </c>
      <c r="G115" t="str">
        <f t="shared" si="19"/>
        <v>+</v>
      </c>
      <c r="H115">
        <v>1</v>
      </c>
      <c r="I115" t="s">
        <v>3</v>
      </c>
    </row>
    <row r="116" spans="1:9" x14ac:dyDescent="0.15">
      <c r="A116" t="str">
        <f t="shared" si="18"/>
        <v>|Lｖ29|HP+4|</v>
      </c>
      <c r="B116" t="s">
        <v>3</v>
      </c>
      <c r="C116" t="s">
        <v>39</v>
      </c>
      <c r="D116">
        <v>29</v>
      </c>
      <c r="E116" t="s">
        <v>3</v>
      </c>
      <c r="F116" t="s">
        <v>7</v>
      </c>
      <c r="G116" t="str">
        <f t="shared" si="19"/>
        <v>+</v>
      </c>
      <c r="H116">
        <v>4</v>
      </c>
      <c r="I116" t="s">
        <v>3</v>
      </c>
    </row>
    <row r="117" spans="1:9" x14ac:dyDescent="0.15">
      <c r="A117" t="str">
        <f t="shared" si="18"/>
        <v>|Lｖ30|サポート+1|</v>
      </c>
      <c r="B117" t="s">
        <v>3</v>
      </c>
      <c r="C117" t="s">
        <v>39</v>
      </c>
      <c r="D117">
        <v>30</v>
      </c>
      <c r="E117" t="s">
        <v>3</v>
      </c>
      <c r="F117" t="s">
        <v>22</v>
      </c>
      <c r="G117" t="str">
        <f t="shared" si="19"/>
        <v>+</v>
      </c>
      <c r="H117">
        <v>1</v>
      </c>
      <c r="I117" t="s">
        <v>3</v>
      </c>
    </row>
    <row r="118" spans="1:9" x14ac:dyDescent="0.15">
      <c r="A118" t="str">
        <f t="shared" si="18"/>
        <v>|Lｖ31|呪文+1|</v>
      </c>
      <c r="B118" t="s">
        <v>3</v>
      </c>
      <c r="C118" t="s">
        <v>39</v>
      </c>
      <c r="D118">
        <v>31</v>
      </c>
      <c r="E118" t="s">
        <v>3</v>
      </c>
      <c r="F118" t="s">
        <v>21</v>
      </c>
      <c r="G118" t="str">
        <f t="shared" si="19"/>
        <v>+</v>
      </c>
      <c r="H118">
        <v>1</v>
      </c>
      <c r="I118" t="s">
        <v>3</v>
      </c>
    </row>
    <row r="119" spans="1:9" x14ac:dyDescent="0.15">
      <c r="A119" t="str">
        <f t="shared" si="18"/>
        <v>|Lｖ32|第3能力Lv2|</v>
      </c>
      <c r="B119" t="s">
        <v>3</v>
      </c>
      <c r="C119" t="s">
        <v>39</v>
      </c>
      <c r="D119">
        <v>32</v>
      </c>
      <c r="E119" t="s">
        <v>3</v>
      </c>
      <c r="F119" t="s">
        <v>42</v>
      </c>
      <c r="G119" t="str">
        <f t="shared" si="19"/>
        <v/>
      </c>
      <c r="H119">
        <v>2</v>
      </c>
      <c r="I119" t="s">
        <v>3</v>
      </c>
    </row>
    <row r="120" spans="1:9" x14ac:dyDescent="0.15">
      <c r="A120" t="str">
        <f t="shared" si="18"/>
        <v>|Lｖ33|HP+4|</v>
      </c>
      <c r="B120" t="s">
        <v>3</v>
      </c>
      <c r="C120" t="s">
        <v>39</v>
      </c>
      <c r="D120">
        <v>33</v>
      </c>
      <c r="E120" t="s">
        <v>3</v>
      </c>
      <c r="F120" t="s">
        <v>7</v>
      </c>
      <c r="G120" t="str">
        <f t="shared" si="19"/>
        <v>+</v>
      </c>
      <c r="H120">
        <v>4</v>
      </c>
      <c r="I120" t="s">
        <v>3</v>
      </c>
    </row>
    <row r="121" spans="1:9" x14ac:dyDescent="0.15">
      <c r="A121" t="str">
        <f t="shared" si="18"/>
        <v>|Lｖ34|回復速度上昇|</v>
      </c>
      <c r="B121" t="s">
        <v>3</v>
      </c>
      <c r="C121" t="s">
        <v>39</v>
      </c>
      <c r="D121">
        <v>34</v>
      </c>
      <c r="E121" t="s">
        <v>3</v>
      </c>
      <c r="F121" t="s">
        <v>43</v>
      </c>
      <c r="G121" t="str">
        <f t="shared" ref="G121:G147" si="20">IF(OR(F121=$Q$97,F121=$Q$98,F121=$Q$99,F121=$Q$100,ISBLANK(F121)),"","+")</f>
        <v/>
      </c>
      <c r="I121" t="s">
        <v>3</v>
      </c>
    </row>
    <row r="122" spans="1:9" x14ac:dyDescent="0.15">
      <c r="A122" t="str">
        <f t="shared" si="18"/>
        <v>|Lｖ35|回復速度上昇|</v>
      </c>
      <c r="B122" t="s">
        <v>3</v>
      </c>
      <c r="C122" t="s">
        <v>39</v>
      </c>
      <c r="D122">
        <v>35</v>
      </c>
      <c r="E122" t="s">
        <v>3</v>
      </c>
      <c r="F122" t="s">
        <v>43</v>
      </c>
      <c r="G122" t="str">
        <f t="shared" si="20"/>
        <v/>
      </c>
      <c r="I122" t="s">
        <v>3</v>
      </c>
    </row>
    <row r="123" spans="1:9" x14ac:dyDescent="0.15">
      <c r="A123" t="str">
        <f t="shared" si="18"/>
        <v>|Lｖ36|呪文+1|</v>
      </c>
      <c r="B123" t="s">
        <v>3</v>
      </c>
      <c r="C123" t="s">
        <v>39</v>
      </c>
      <c r="D123">
        <v>36</v>
      </c>
      <c r="E123" t="s">
        <v>3</v>
      </c>
      <c r="F123" t="s">
        <v>21</v>
      </c>
      <c r="G123" t="str">
        <f t="shared" si="20"/>
        <v>+</v>
      </c>
      <c r="H123">
        <v>1</v>
      </c>
      <c r="I123" t="s">
        <v>3</v>
      </c>
    </row>
    <row r="124" spans="1:9" x14ac:dyDescent="0.15">
      <c r="A124" t="str">
        <f t="shared" si="18"/>
        <v>|Lｖ37|HP+4|</v>
      </c>
      <c r="B124" t="s">
        <v>3</v>
      </c>
      <c r="C124" t="s">
        <v>39</v>
      </c>
      <c r="D124">
        <v>37</v>
      </c>
      <c r="E124" t="s">
        <v>3</v>
      </c>
      <c r="F124" t="s">
        <v>7</v>
      </c>
      <c r="G124" t="str">
        <f t="shared" si="20"/>
        <v>+</v>
      </c>
      <c r="H124">
        <v>4</v>
      </c>
      <c r="I124" t="s">
        <v>3</v>
      </c>
    </row>
    <row r="125" spans="1:9" x14ac:dyDescent="0.15">
      <c r="A125" t="str">
        <f t="shared" si="18"/>
        <v>|Lｖ38|第1能力Lv3|</v>
      </c>
      <c r="B125" t="s">
        <v>3</v>
      </c>
      <c r="C125" t="s">
        <v>39</v>
      </c>
      <c r="D125">
        <v>38</v>
      </c>
      <c r="E125" t="s">
        <v>3</v>
      </c>
      <c r="F125" t="s">
        <v>40</v>
      </c>
      <c r="G125" t="str">
        <f t="shared" si="20"/>
        <v/>
      </c>
      <c r="H125">
        <v>3</v>
      </c>
      <c r="I125" t="s">
        <v>3</v>
      </c>
    </row>
    <row r="126" spans="1:9" x14ac:dyDescent="0.15">
      <c r="A126" t="str">
        <f t="shared" si="18"/>
        <v>|Lｖ39|赤+1|</v>
      </c>
      <c r="B126" t="s">
        <v>3</v>
      </c>
      <c r="C126" t="s">
        <v>39</v>
      </c>
      <c r="D126">
        <v>39</v>
      </c>
      <c r="E126" t="s">
        <v>3</v>
      </c>
      <c r="F126" t="s">
        <v>14</v>
      </c>
      <c r="G126" t="str">
        <f t="shared" si="20"/>
        <v>+</v>
      </c>
      <c r="H126">
        <v>1</v>
      </c>
      <c r="I126" t="s">
        <v>3</v>
      </c>
    </row>
    <row r="127" spans="1:9" x14ac:dyDescent="0.15">
      <c r="A127" t="str">
        <f t="shared" si="18"/>
        <v>|Lｖ40|回復速度上昇|</v>
      </c>
      <c r="B127" t="s">
        <v>3</v>
      </c>
      <c r="C127" t="s">
        <v>39</v>
      </c>
      <c r="D127">
        <v>40</v>
      </c>
      <c r="E127" t="s">
        <v>3</v>
      </c>
      <c r="F127" t="s">
        <v>43</v>
      </c>
      <c r="G127" t="str">
        <f t="shared" si="20"/>
        <v/>
      </c>
      <c r="I127" t="s">
        <v>3</v>
      </c>
    </row>
    <row r="128" spans="1:9" x14ac:dyDescent="0.15">
      <c r="A128" t="str">
        <f t="shared" si="18"/>
        <v>|Lｖ41|HP+4|</v>
      </c>
      <c r="B128" t="s">
        <v>3</v>
      </c>
      <c r="C128" t="s">
        <v>39</v>
      </c>
      <c r="D128">
        <v>41</v>
      </c>
      <c r="E128" t="s">
        <v>3</v>
      </c>
      <c r="F128" t="s">
        <v>7</v>
      </c>
      <c r="G128" t="str">
        <f t="shared" si="20"/>
        <v>+</v>
      </c>
      <c r="H128">
        <v>4</v>
      </c>
      <c r="I128" t="s">
        <v>3</v>
      </c>
    </row>
    <row r="129" spans="1:9" x14ac:dyDescent="0.15">
      <c r="A129" t="str">
        <f t="shared" si="18"/>
        <v>|Lｖ42|サポート+1|</v>
      </c>
      <c r="B129" t="s">
        <v>3</v>
      </c>
      <c r="C129" t="s">
        <v>39</v>
      </c>
      <c r="D129">
        <v>42</v>
      </c>
      <c r="E129" t="s">
        <v>3</v>
      </c>
      <c r="F129" t="s">
        <v>22</v>
      </c>
      <c r="G129" t="str">
        <f t="shared" si="20"/>
        <v>+</v>
      </c>
      <c r="H129">
        <v>1</v>
      </c>
      <c r="I129" t="s">
        <v>3</v>
      </c>
    </row>
    <row r="130" spans="1:9" x14ac:dyDescent="0.15">
      <c r="A130" t="str">
        <f t="shared" si="18"/>
        <v>|Lｖ43|呪文+1|</v>
      </c>
      <c r="B130" t="s">
        <v>3</v>
      </c>
      <c r="C130" t="s">
        <v>39</v>
      </c>
      <c r="D130">
        <v>43</v>
      </c>
      <c r="E130" t="s">
        <v>3</v>
      </c>
      <c r="F130" t="s">
        <v>21</v>
      </c>
      <c r="G130" t="str">
        <f t="shared" si="20"/>
        <v>+</v>
      </c>
      <c r="H130">
        <v>1</v>
      </c>
      <c r="I130" t="s">
        <v>3</v>
      </c>
    </row>
    <row r="131" spans="1:9" x14ac:dyDescent="0.15">
      <c r="A131" t="str">
        <f t="shared" si="18"/>
        <v>|Lｖ44|第2能力Lv3|</v>
      </c>
      <c r="B131" t="s">
        <v>3</v>
      </c>
      <c r="C131" t="s">
        <v>39</v>
      </c>
      <c r="D131">
        <v>44</v>
      </c>
      <c r="E131" t="s">
        <v>3</v>
      </c>
      <c r="F131" t="s">
        <v>41</v>
      </c>
      <c r="G131" t="str">
        <f t="shared" si="20"/>
        <v/>
      </c>
      <c r="H131">
        <v>3</v>
      </c>
      <c r="I131" t="s">
        <v>3</v>
      </c>
    </row>
    <row r="132" spans="1:9" x14ac:dyDescent="0.15">
      <c r="A132" t="str">
        <f t="shared" si="18"/>
        <v>|Lｖ45|HP+4|</v>
      </c>
      <c r="B132" t="s">
        <v>3</v>
      </c>
      <c r="C132" t="s">
        <v>39</v>
      </c>
      <c r="D132">
        <v>45</v>
      </c>
      <c r="E132" t="s">
        <v>3</v>
      </c>
      <c r="F132" t="s">
        <v>7</v>
      </c>
      <c r="G132" t="str">
        <f t="shared" si="20"/>
        <v>+</v>
      </c>
      <c r="H132">
        <v>4</v>
      </c>
      <c r="I132" t="s">
        <v>3</v>
      </c>
    </row>
    <row r="133" spans="1:9" x14ac:dyDescent="0.15">
      <c r="A133" t="str">
        <f t="shared" si="18"/>
        <v>|Lｖ46|回復速度上昇|</v>
      </c>
      <c r="B133" t="s">
        <v>3</v>
      </c>
      <c r="C133" t="s">
        <v>39</v>
      </c>
      <c r="D133">
        <v>46</v>
      </c>
      <c r="E133" t="s">
        <v>3</v>
      </c>
      <c r="F133" t="s">
        <v>43</v>
      </c>
      <c r="G133" t="str">
        <f t="shared" si="20"/>
        <v/>
      </c>
      <c r="I133" t="s">
        <v>3</v>
      </c>
    </row>
    <row r="134" spans="1:9" x14ac:dyDescent="0.15">
      <c r="A134" t="str">
        <f t="shared" si="18"/>
        <v>|Lｖ47|緑+1|</v>
      </c>
      <c r="B134" t="s">
        <v>3</v>
      </c>
      <c r="C134" t="s">
        <v>39</v>
      </c>
      <c r="D134">
        <v>47</v>
      </c>
      <c r="E134" t="s">
        <v>3</v>
      </c>
      <c r="F134" t="s">
        <v>15</v>
      </c>
      <c r="G134" t="str">
        <f t="shared" si="20"/>
        <v>+</v>
      </c>
      <c r="H134">
        <v>1</v>
      </c>
      <c r="I134" t="s">
        <v>3</v>
      </c>
    </row>
    <row r="135" spans="1:9" x14ac:dyDescent="0.15">
      <c r="A135" t="str">
        <f t="shared" si="18"/>
        <v>|Lｖ48|呪文+1|</v>
      </c>
      <c r="B135" t="s">
        <v>3</v>
      </c>
      <c r="C135" t="s">
        <v>39</v>
      </c>
      <c r="D135">
        <v>48</v>
      </c>
      <c r="E135" t="s">
        <v>3</v>
      </c>
      <c r="F135" t="s">
        <v>21</v>
      </c>
      <c r="G135" t="str">
        <f t="shared" si="20"/>
        <v>+</v>
      </c>
      <c r="H135">
        <v>1</v>
      </c>
      <c r="I135" t="s">
        <v>3</v>
      </c>
    </row>
    <row r="136" spans="1:9" x14ac:dyDescent="0.15">
      <c r="A136" t="str">
        <f t="shared" si="18"/>
        <v>|Lｖ49|HP+4|</v>
      </c>
      <c r="B136" t="s">
        <v>3</v>
      </c>
      <c r="C136" t="s">
        <v>39</v>
      </c>
      <c r="D136">
        <v>49</v>
      </c>
      <c r="E136" t="s">
        <v>3</v>
      </c>
      <c r="F136" t="s">
        <v>7</v>
      </c>
      <c r="G136" t="str">
        <f t="shared" si="20"/>
        <v>+</v>
      </c>
      <c r="H136">
        <v>4</v>
      </c>
      <c r="I136" t="s">
        <v>3</v>
      </c>
    </row>
    <row r="137" spans="1:9" x14ac:dyDescent="0.15">
      <c r="A137" t="str">
        <f t="shared" si="18"/>
        <v>|Lｖ50|第3能力Lv3|</v>
      </c>
      <c r="B137" t="s">
        <v>3</v>
      </c>
      <c r="C137" t="s">
        <v>39</v>
      </c>
      <c r="D137">
        <v>50</v>
      </c>
      <c r="E137" t="s">
        <v>3</v>
      </c>
      <c r="F137" t="s">
        <v>42</v>
      </c>
      <c r="G137" t="str">
        <f t="shared" si="20"/>
        <v/>
      </c>
      <c r="H137">
        <v>3</v>
      </c>
      <c r="I137" t="s">
        <v>3</v>
      </c>
    </row>
    <row r="138" spans="1:9" x14ac:dyDescent="0.15">
      <c r="A138" t="str">
        <f t="shared" si="18"/>
        <v>|Lｖ51|第1能力Lv4|</v>
      </c>
      <c r="B138" t="s">
        <v>3</v>
      </c>
      <c r="C138" t="s">
        <v>39</v>
      </c>
      <c r="D138">
        <v>51</v>
      </c>
      <c r="E138" t="s">
        <v>3</v>
      </c>
      <c r="F138" t="s">
        <v>40</v>
      </c>
      <c r="G138" t="str">
        <f t="shared" si="20"/>
        <v/>
      </c>
      <c r="H138">
        <v>4</v>
      </c>
      <c r="I138" t="s">
        <v>3</v>
      </c>
    </row>
    <row r="139" spans="1:9" x14ac:dyDescent="0.15">
      <c r="A139" t="str">
        <f t="shared" si="18"/>
        <v>|Lｖ52|HP+8|</v>
      </c>
      <c r="B139" t="s">
        <v>3</v>
      </c>
      <c r="C139" t="s">
        <v>39</v>
      </c>
      <c r="D139">
        <v>52</v>
      </c>
      <c r="E139" t="s">
        <v>3</v>
      </c>
      <c r="F139" t="s">
        <v>7</v>
      </c>
      <c r="G139" t="str">
        <f t="shared" si="20"/>
        <v>+</v>
      </c>
      <c r="H139">
        <v>8</v>
      </c>
      <c r="I139" t="s">
        <v>3</v>
      </c>
    </row>
    <row r="140" spans="1:9" x14ac:dyDescent="0.15">
      <c r="A140" t="str">
        <f t="shared" si="18"/>
        <v>|Lｖ53|回復速度上昇|</v>
      </c>
      <c r="B140" t="s">
        <v>3</v>
      </c>
      <c r="C140" t="s">
        <v>39</v>
      </c>
      <c r="D140">
        <v>53</v>
      </c>
      <c r="E140" t="s">
        <v>3</v>
      </c>
      <c r="F140" t="s">
        <v>43</v>
      </c>
      <c r="G140" t="str">
        <f t="shared" si="20"/>
        <v/>
      </c>
      <c r="I140" t="s">
        <v>3</v>
      </c>
    </row>
    <row r="141" spans="1:9" x14ac:dyDescent="0.15">
      <c r="A141" t="str">
        <f t="shared" si="18"/>
        <v>|Lｖ54|クリーチャー+2|</v>
      </c>
      <c r="B141" t="s">
        <v>3</v>
      </c>
      <c r="C141" t="s">
        <v>39</v>
      </c>
      <c r="D141">
        <v>54</v>
      </c>
      <c r="E141" t="s">
        <v>3</v>
      </c>
      <c r="F141" t="s">
        <v>20</v>
      </c>
      <c r="G141" t="str">
        <f t="shared" si="20"/>
        <v>+</v>
      </c>
      <c r="H141">
        <v>2</v>
      </c>
      <c r="I141" t="s">
        <v>3</v>
      </c>
    </row>
    <row r="142" spans="1:9" x14ac:dyDescent="0.15">
      <c r="A142" t="str">
        <f t="shared" ref="A142:A153" si="21">B142&amp;C142&amp;D142&amp;E142&amp;F142&amp;G142&amp;H142&amp;I142&amp;J142&amp;K142&amp;L142&amp;M142&amp;N142&amp;O142&amp;P142</f>
        <v>|Lｖ55|第2能力Lv4|</v>
      </c>
      <c r="B142" t="s">
        <v>3</v>
      </c>
      <c r="C142" t="s">
        <v>39</v>
      </c>
      <c r="D142">
        <v>55</v>
      </c>
      <c r="E142" t="s">
        <v>3</v>
      </c>
      <c r="F142" t="s">
        <v>41</v>
      </c>
      <c r="G142" t="str">
        <f t="shared" si="20"/>
        <v/>
      </c>
      <c r="H142">
        <v>4</v>
      </c>
      <c r="I142" t="s">
        <v>3</v>
      </c>
    </row>
    <row r="143" spans="1:9" x14ac:dyDescent="0.15">
      <c r="A143" t="str">
        <f t="shared" si="21"/>
        <v>|Lｖ56|サポート+1|</v>
      </c>
      <c r="B143" t="s">
        <v>3</v>
      </c>
      <c r="C143" t="s">
        <v>39</v>
      </c>
      <c r="D143">
        <v>56</v>
      </c>
      <c r="E143" t="s">
        <v>3</v>
      </c>
      <c r="F143" t="s">
        <v>22</v>
      </c>
      <c r="G143" t="str">
        <f t="shared" si="20"/>
        <v>+</v>
      </c>
      <c r="H143">
        <v>1</v>
      </c>
      <c r="I143" t="s">
        <v>3</v>
      </c>
    </row>
    <row r="144" spans="1:9" x14ac:dyDescent="0.15">
      <c r="A144" t="str">
        <f t="shared" si="21"/>
        <v>|Lｖ57|呪文+1|</v>
      </c>
      <c r="B144" t="s">
        <v>3</v>
      </c>
      <c r="C144" t="s">
        <v>39</v>
      </c>
      <c r="D144">
        <v>57</v>
      </c>
      <c r="E144" t="s">
        <v>3</v>
      </c>
      <c r="F144" t="s">
        <v>21</v>
      </c>
      <c r="G144" t="str">
        <f t="shared" si="20"/>
        <v>+</v>
      </c>
      <c r="H144">
        <v>1</v>
      </c>
      <c r="I144" t="s">
        <v>3</v>
      </c>
    </row>
    <row r="145" spans="1:9" x14ac:dyDescent="0.15">
      <c r="A145" t="str">
        <f t="shared" si="21"/>
        <v>|Lｖ58|回復速度上昇|</v>
      </c>
      <c r="B145" t="s">
        <v>3</v>
      </c>
      <c r="C145" t="s">
        <v>39</v>
      </c>
      <c r="D145">
        <v>58</v>
      </c>
      <c r="E145" t="s">
        <v>3</v>
      </c>
      <c r="F145" t="s">
        <v>43</v>
      </c>
      <c r="G145" t="str">
        <f t="shared" si="20"/>
        <v/>
      </c>
      <c r="I145" t="s">
        <v>3</v>
      </c>
    </row>
    <row r="146" spans="1:9" x14ac:dyDescent="0.15">
      <c r="A146" t="str">
        <f t="shared" si="21"/>
        <v>|Lｖ59|クリーチャー+1|</v>
      </c>
      <c r="B146" t="s">
        <v>3</v>
      </c>
      <c r="C146" t="s">
        <v>39</v>
      </c>
      <c r="D146">
        <v>59</v>
      </c>
      <c r="E146" t="s">
        <v>3</v>
      </c>
      <c r="F146" t="s">
        <v>20</v>
      </c>
      <c r="G146" t="str">
        <f t="shared" si="20"/>
        <v>+</v>
      </c>
      <c r="H146">
        <v>1</v>
      </c>
      <c r="I146" t="s">
        <v>3</v>
      </c>
    </row>
    <row r="147" spans="1:9" x14ac:dyDescent="0.15">
      <c r="A147" t="str">
        <f t="shared" si="21"/>
        <v>|Lｖ60|第3能力Lv4|</v>
      </c>
      <c r="B147" t="s">
        <v>3</v>
      </c>
      <c r="C147" t="s">
        <v>39</v>
      </c>
      <c r="D147">
        <v>60</v>
      </c>
      <c r="E147" t="s">
        <v>3</v>
      </c>
      <c r="F147" t="s">
        <v>42</v>
      </c>
      <c r="G147" t="str">
        <f t="shared" si="20"/>
        <v/>
      </c>
      <c r="H147">
        <v>4</v>
      </c>
      <c r="I147" t="s">
        <v>3</v>
      </c>
    </row>
    <row r="148" spans="1:9" x14ac:dyDescent="0.15">
      <c r="A148" t="str">
        <f t="shared" si="21"/>
        <v>必要総経験値：79920ルーン</v>
      </c>
      <c r="B148" t="s">
        <v>45</v>
      </c>
      <c r="C148">
        <v>79920</v>
      </c>
      <c r="F148" t="s">
        <v>46</v>
      </c>
    </row>
    <row r="149" spans="1:9" x14ac:dyDescent="0.15">
      <c r="A149" t="str">
        <f t="shared" si="21"/>
        <v>&amp;br;</v>
      </c>
      <c r="B149" t="s">
        <v>0</v>
      </c>
    </row>
    <row r="150" spans="1:9" x14ac:dyDescent="0.15">
      <c r="A150" t="str">
        <f t="shared" si="21"/>
        <v>#back(text=戻る,left)</v>
      </c>
      <c r="B150" t="s">
        <v>47</v>
      </c>
    </row>
    <row r="151" spans="1:9" x14ac:dyDescent="0.15">
      <c r="A151" t="str">
        <f t="shared" si="21"/>
        <v>&amp;br;</v>
      </c>
      <c r="B151" t="s">
        <v>0</v>
      </c>
    </row>
    <row r="152" spans="1:9" x14ac:dyDescent="0.15">
      <c r="A152" t="str">
        <f t="shared" si="21"/>
        <v>#comment(above,nsize=[15],size=[30],num=[10])</v>
      </c>
      <c r="B152" t="s">
        <v>48</v>
      </c>
    </row>
    <row r="153" spans="1:9" x14ac:dyDescent="0.15">
      <c r="A153" t="str">
        <f t="shared" si="21"/>
        <v>[[プレインズウォーカーリスト&gt;プレインズウォーカーリスト]]</v>
      </c>
      <c r="B153" t="s">
        <v>49</v>
      </c>
    </row>
  </sheetData>
  <phoneticPr fontId="4"/>
  <dataValidations count="2">
    <dataValidation type="list" allowBlank="1" showInputMessage="1" showErrorMessage="1" sqref="F148">
      <formula1>$Q$78:$Q$90</formula1>
    </dataValidation>
    <dataValidation type="list" allowBlank="1" showInputMessage="1" showErrorMessage="1" sqref="F89:F147">
      <formula1>$Q$88:$Q$100</formula1>
    </dataValidation>
  </dataValidations>
  <pageMargins left="0.69930555555555596" right="0.69930555555555596"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163"/>
  <sheetViews>
    <sheetView workbookViewId="0">
      <selection activeCell="R87" sqref="R69:R87"/>
    </sheetView>
  </sheetViews>
  <sheetFormatPr defaultColWidth="9" defaultRowHeight="13.5" x14ac:dyDescent="0.15"/>
  <cols>
    <col min="2" max="2" width="3.5" customWidth="1"/>
    <col min="3" max="3" width="7.875" customWidth="1"/>
    <col min="4" max="4" width="5.5" customWidth="1"/>
    <col min="5" max="5" width="2" customWidth="1"/>
    <col min="7" max="7" width="2" customWidth="1"/>
    <col min="9" max="9" width="2" customWidth="1"/>
    <col min="11" max="11" width="2" customWidth="1"/>
    <col min="13" max="13" width="2" customWidth="1"/>
    <col min="15" max="15" width="2" customWidth="1"/>
    <col min="17" max="17" width="2.75" customWidth="1"/>
  </cols>
  <sheetData>
    <row r="1" spans="1:8" x14ac:dyDescent="0.15">
      <c r="A1" t="str">
        <f>B1&amp;C1&amp;D1&amp;E1&amp;F1&amp;G1&amp;H1&amp;I1&amp;J1&amp;K1&amp;L1&amp;M1&amp;N1&amp;O1&amp;P1</f>
        <v>イベント上位報酬で入手するか、期間限定でMCを支払い購入することで入手できる。</v>
      </c>
      <c r="B1" t="s">
        <v>170</v>
      </c>
    </row>
    <row r="2" spans="1:8" x14ac:dyDescent="0.15">
      <c r="A2" t="str">
        <f>B2&amp;C2&amp;D2&amp;E2&amp;F2&amp;G2&amp;H2&amp;I2&amp;J2&amp;K2&amp;L2&amp;M2&amp;N2&amp;O2&amp;P2</f>
        <v>&amp;br;</v>
      </c>
      <c r="B2" t="s">
        <v>0</v>
      </c>
    </row>
    <row r="3" spans="1:8" x14ac:dyDescent="0.15">
      <c r="A3" t="str">
        <f>B3&amp;C3&amp;D3&amp;E3&amp;F3&amp;G3&amp;H3&amp;I3&amp;J3&amp;K3&amp;L3&amp;M3&amp;N3&amp;O3&amp;P3</f>
        <v>#contents()</v>
      </c>
      <c r="B3" t="s">
        <v>1</v>
      </c>
    </row>
    <row r="4" spans="1:8" x14ac:dyDescent="0.15">
      <c r="A4" t="str">
        <f>B4&amp;C4&amp;D4&amp;E4&amp;F4&amp;G4&amp;H4&amp;I4&amp;J4&amp;K4&amp;L4&amp;M4&amp;N4&amp;O4&amp;P4</f>
        <v>*HP [#f569d8c6]</v>
      </c>
      <c r="B4" t="s">
        <v>2</v>
      </c>
    </row>
    <row r="5" spans="1:8" x14ac:dyDescent="0.15">
      <c r="A5" t="str">
        <f>B5&amp;C5&amp;D5&amp;E5&amp;F5&amp;G5&amp;H5</f>
        <v>|LEFT:50|LEFT:50|c</v>
      </c>
      <c r="B5" t="s">
        <v>3</v>
      </c>
      <c r="C5" t="s">
        <v>4</v>
      </c>
      <c r="E5" t="s">
        <v>3</v>
      </c>
      <c r="F5" t="s">
        <v>4</v>
      </c>
      <c r="G5" t="s">
        <v>3</v>
      </c>
      <c r="H5" t="s">
        <v>5</v>
      </c>
    </row>
    <row r="6" spans="1:8" x14ac:dyDescent="0.15">
      <c r="A6" t="str">
        <f t="shared" ref="A6:A36" si="0">B6&amp;C6&amp;D6&amp;E6&amp;F6&amp;G6&amp;H6</f>
        <v>|レベル|HP|</v>
      </c>
      <c r="B6" t="s">
        <v>3</v>
      </c>
      <c r="C6" t="s">
        <v>6</v>
      </c>
      <c r="E6" t="s">
        <v>3</v>
      </c>
      <c r="F6" t="s">
        <v>7</v>
      </c>
      <c r="G6" t="s">
        <v>3</v>
      </c>
    </row>
    <row r="7" spans="1:8" x14ac:dyDescent="0.15">
      <c r="A7" t="str">
        <f t="shared" si="0"/>
        <v>|Lv1|32|</v>
      </c>
      <c r="B7" t="s">
        <v>3</v>
      </c>
      <c r="C7" t="s">
        <v>8</v>
      </c>
      <c r="D7">
        <v>1</v>
      </c>
      <c r="E7" t="s">
        <v>3</v>
      </c>
      <c r="F7">
        <v>32</v>
      </c>
      <c r="G7" t="s">
        <v>3</v>
      </c>
    </row>
    <row r="8" spans="1:8" x14ac:dyDescent="0.15">
      <c r="A8" t="str">
        <f t="shared" si="0"/>
        <v>|Lv3|34|</v>
      </c>
      <c r="B8" t="s">
        <v>3</v>
      </c>
      <c r="C8" t="s">
        <v>8</v>
      </c>
      <c r="D8">
        <v>3</v>
      </c>
      <c r="E8" t="s">
        <v>3</v>
      </c>
      <c r="F8">
        <f t="shared" ref="F8:F36" si="1">IF(ISBLANK(D8),"",F7+INDEX($H$98:$H$157,D8))</f>
        <v>34</v>
      </c>
      <c r="G8" t="s">
        <v>3</v>
      </c>
    </row>
    <row r="9" spans="1:8" x14ac:dyDescent="0.15">
      <c r="A9" t="str">
        <f t="shared" si="0"/>
        <v>|Lv5|36|</v>
      </c>
      <c r="B9" t="s">
        <v>3</v>
      </c>
      <c r="C9" t="s">
        <v>8</v>
      </c>
      <c r="D9">
        <v>5</v>
      </c>
      <c r="E9" t="s">
        <v>3</v>
      </c>
      <c r="F9">
        <f t="shared" si="1"/>
        <v>36</v>
      </c>
      <c r="G9" t="s">
        <v>3</v>
      </c>
    </row>
    <row r="10" spans="1:8" x14ac:dyDescent="0.15">
      <c r="A10" t="str">
        <f t="shared" si="0"/>
        <v>|Lv7|39|</v>
      </c>
      <c r="B10" t="s">
        <v>3</v>
      </c>
      <c r="C10" t="s">
        <v>8</v>
      </c>
      <c r="D10">
        <v>7</v>
      </c>
      <c r="E10" t="s">
        <v>3</v>
      </c>
      <c r="F10">
        <f t="shared" si="1"/>
        <v>39</v>
      </c>
      <c r="G10" t="s">
        <v>3</v>
      </c>
    </row>
    <row r="11" spans="1:8" x14ac:dyDescent="0.15">
      <c r="A11" t="str">
        <f t="shared" si="0"/>
        <v>|Lv9|41|</v>
      </c>
      <c r="B11" t="s">
        <v>3</v>
      </c>
      <c r="C11" t="s">
        <v>8</v>
      </c>
      <c r="D11">
        <v>9</v>
      </c>
      <c r="E11" t="s">
        <v>3</v>
      </c>
      <c r="F11">
        <f t="shared" si="1"/>
        <v>41</v>
      </c>
      <c r="G11" t="s">
        <v>3</v>
      </c>
    </row>
    <row r="12" spans="1:8" x14ac:dyDescent="0.15">
      <c r="A12" t="str">
        <f t="shared" si="0"/>
        <v>|Lv11|43|</v>
      </c>
      <c r="B12" t="s">
        <v>3</v>
      </c>
      <c r="C12" t="s">
        <v>8</v>
      </c>
      <c r="D12">
        <v>11</v>
      </c>
      <c r="E12" t="s">
        <v>3</v>
      </c>
      <c r="F12">
        <f t="shared" si="1"/>
        <v>43</v>
      </c>
      <c r="G12" t="s">
        <v>3</v>
      </c>
    </row>
    <row r="13" spans="1:8" x14ac:dyDescent="0.15">
      <c r="A13" t="str">
        <f t="shared" si="0"/>
        <v>|Lv13|46|</v>
      </c>
      <c r="B13" t="s">
        <v>3</v>
      </c>
      <c r="C13" t="s">
        <v>8</v>
      </c>
      <c r="D13">
        <v>13</v>
      </c>
      <c r="E13" t="s">
        <v>3</v>
      </c>
      <c r="F13">
        <f t="shared" si="1"/>
        <v>46</v>
      </c>
      <c r="G13" t="s">
        <v>3</v>
      </c>
    </row>
    <row r="14" spans="1:8" x14ac:dyDescent="0.15">
      <c r="A14" t="str">
        <f t="shared" si="0"/>
        <v>|Lv15|48|</v>
      </c>
      <c r="B14" t="s">
        <v>3</v>
      </c>
      <c r="C14" t="s">
        <v>8</v>
      </c>
      <c r="D14">
        <v>15</v>
      </c>
      <c r="E14" t="s">
        <v>3</v>
      </c>
      <c r="F14">
        <f t="shared" si="1"/>
        <v>48</v>
      </c>
      <c r="G14" t="s">
        <v>3</v>
      </c>
    </row>
    <row r="15" spans="1:8" x14ac:dyDescent="0.15">
      <c r="A15" t="str">
        <f t="shared" si="0"/>
        <v>|Lv17|50|</v>
      </c>
      <c r="B15" t="s">
        <v>3</v>
      </c>
      <c r="C15" t="s">
        <v>8</v>
      </c>
      <c r="D15">
        <v>17</v>
      </c>
      <c r="E15" t="s">
        <v>3</v>
      </c>
      <c r="F15">
        <f t="shared" si="1"/>
        <v>50</v>
      </c>
      <c r="G15" t="s">
        <v>3</v>
      </c>
    </row>
    <row r="16" spans="1:8" x14ac:dyDescent="0.15">
      <c r="A16" t="str">
        <f t="shared" si="0"/>
        <v>|Lv19|53|</v>
      </c>
      <c r="B16" t="s">
        <v>3</v>
      </c>
      <c r="C16" t="s">
        <v>8</v>
      </c>
      <c r="D16">
        <v>19</v>
      </c>
      <c r="E16" t="s">
        <v>3</v>
      </c>
      <c r="F16">
        <f t="shared" si="1"/>
        <v>53</v>
      </c>
      <c r="G16" t="s">
        <v>3</v>
      </c>
    </row>
    <row r="17" spans="1:7" x14ac:dyDescent="0.15">
      <c r="A17" t="str">
        <f t="shared" si="0"/>
        <v>|Lv21|55|</v>
      </c>
      <c r="B17" t="s">
        <v>3</v>
      </c>
      <c r="C17" t="s">
        <v>8</v>
      </c>
      <c r="D17">
        <v>21</v>
      </c>
      <c r="E17" t="s">
        <v>3</v>
      </c>
      <c r="F17">
        <f t="shared" si="1"/>
        <v>55</v>
      </c>
      <c r="G17" t="s">
        <v>3</v>
      </c>
    </row>
    <row r="18" spans="1:7" x14ac:dyDescent="0.15">
      <c r="A18" t="str">
        <f t="shared" si="0"/>
        <v>|Lv23|57|</v>
      </c>
      <c r="B18" t="s">
        <v>3</v>
      </c>
      <c r="C18" t="s">
        <v>8</v>
      </c>
      <c r="D18">
        <v>23</v>
      </c>
      <c r="E18" t="s">
        <v>3</v>
      </c>
      <c r="F18">
        <f t="shared" si="1"/>
        <v>57</v>
      </c>
      <c r="G18" t="s">
        <v>3</v>
      </c>
    </row>
    <row r="19" spans="1:7" x14ac:dyDescent="0.15">
      <c r="A19" t="str">
        <f t="shared" si="0"/>
        <v>|Lv25|60|</v>
      </c>
      <c r="B19" t="s">
        <v>3</v>
      </c>
      <c r="C19" t="s">
        <v>8</v>
      </c>
      <c r="D19">
        <v>25</v>
      </c>
      <c r="E19" t="s">
        <v>3</v>
      </c>
      <c r="F19">
        <f t="shared" si="1"/>
        <v>60</v>
      </c>
      <c r="G19" t="s">
        <v>3</v>
      </c>
    </row>
    <row r="20" spans="1:7" x14ac:dyDescent="0.15">
      <c r="A20" t="str">
        <f t="shared" si="0"/>
        <v>|Lv27|62|</v>
      </c>
      <c r="B20" t="s">
        <v>3</v>
      </c>
      <c r="C20" t="s">
        <v>8</v>
      </c>
      <c r="D20">
        <v>27</v>
      </c>
      <c r="E20" t="s">
        <v>3</v>
      </c>
      <c r="F20">
        <f t="shared" si="1"/>
        <v>62</v>
      </c>
      <c r="G20" t="s">
        <v>3</v>
      </c>
    </row>
    <row r="21" spans="1:7" x14ac:dyDescent="0.15">
      <c r="A21" t="str">
        <f t="shared" si="0"/>
        <v>|Lv29|64|</v>
      </c>
      <c r="B21" t="s">
        <v>3</v>
      </c>
      <c r="C21" t="s">
        <v>8</v>
      </c>
      <c r="D21">
        <v>29</v>
      </c>
      <c r="E21" t="s">
        <v>3</v>
      </c>
      <c r="F21">
        <f t="shared" si="1"/>
        <v>64</v>
      </c>
      <c r="G21" t="s">
        <v>3</v>
      </c>
    </row>
    <row r="22" spans="1:7" x14ac:dyDescent="0.15">
      <c r="A22" t="str">
        <f t="shared" si="0"/>
        <v>|Lv31|67|</v>
      </c>
      <c r="B22" t="s">
        <v>3</v>
      </c>
      <c r="C22" t="s">
        <v>8</v>
      </c>
      <c r="D22">
        <v>31</v>
      </c>
      <c r="E22" t="s">
        <v>3</v>
      </c>
      <c r="F22">
        <f t="shared" si="1"/>
        <v>67</v>
      </c>
      <c r="G22" t="s">
        <v>3</v>
      </c>
    </row>
    <row r="23" spans="1:7" x14ac:dyDescent="0.15">
      <c r="A23" t="str">
        <f t="shared" si="0"/>
        <v>|Lv33|69|</v>
      </c>
      <c r="B23" t="s">
        <v>3</v>
      </c>
      <c r="C23" t="s">
        <v>8</v>
      </c>
      <c r="D23">
        <v>33</v>
      </c>
      <c r="E23" t="s">
        <v>3</v>
      </c>
      <c r="F23">
        <f t="shared" si="1"/>
        <v>69</v>
      </c>
      <c r="G23" t="s">
        <v>3</v>
      </c>
    </row>
    <row r="24" spans="1:7" x14ac:dyDescent="0.15">
      <c r="A24" t="str">
        <f t="shared" si="0"/>
        <v>|Lv35|71|</v>
      </c>
      <c r="B24" t="s">
        <v>3</v>
      </c>
      <c r="C24" t="s">
        <v>8</v>
      </c>
      <c r="D24">
        <v>35</v>
      </c>
      <c r="E24" t="s">
        <v>3</v>
      </c>
      <c r="F24">
        <f t="shared" si="1"/>
        <v>71</v>
      </c>
      <c r="G24" t="s">
        <v>3</v>
      </c>
    </row>
    <row r="25" spans="1:7" x14ac:dyDescent="0.15">
      <c r="A25" t="str">
        <f t="shared" si="0"/>
        <v>|Lv37|74|</v>
      </c>
      <c r="B25" t="s">
        <v>3</v>
      </c>
      <c r="C25" t="s">
        <v>8</v>
      </c>
      <c r="D25">
        <v>37</v>
      </c>
      <c r="E25" t="s">
        <v>3</v>
      </c>
      <c r="F25">
        <f t="shared" si="1"/>
        <v>74</v>
      </c>
      <c r="G25" t="s">
        <v>3</v>
      </c>
    </row>
    <row r="26" spans="1:7" x14ac:dyDescent="0.15">
      <c r="A26" t="str">
        <f t="shared" si="0"/>
        <v>|Lv39|76|</v>
      </c>
      <c r="B26" t="s">
        <v>3</v>
      </c>
      <c r="C26" t="s">
        <v>8</v>
      </c>
      <c r="D26">
        <v>39</v>
      </c>
      <c r="E26" t="s">
        <v>3</v>
      </c>
      <c r="F26">
        <f t="shared" si="1"/>
        <v>76</v>
      </c>
      <c r="G26" t="s">
        <v>3</v>
      </c>
    </row>
    <row r="27" spans="1:7" x14ac:dyDescent="0.15">
      <c r="A27" t="str">
        <f t="shared" si="0"/>
        <v>|Lv41|78|</v>
      </c>
      <c r="B27" t="s">
        <v>3</v>
      </c>
      <c r="C27" t="s">
        <v>8</v>
      </c>
      <c r="D27">
        <v>41</v>
      </c>
      <c r="E27" t="s">
        <v>3</v>
      </c>
      <c r="F27">
        <f t="shared" si="1"/>
        <v>78</v>
      </c>
      <c r="G27" t="s">
        <v>3</v>
      </c>
    </row>
    <row r="28" spans="1:7" x14ac:dyDescent="0.15">
      <c r="A28" t="str">
        <f t="shared" si="0"/>
        <v>|Lv43|81|</v>
      </c>
      <c r="B28" t="s">
        <v>3</v>
      </c>
      <c r="C28" t="s">
        <v>8</v>
      </c>
      <c r="D28">
        <v>43</v>
      </c>
      <c r="E28" t="s">
        <v>3</v>
      </c>
      <c r="F28">
        <f t="shared" si="1"/>
        <v>81</v>
      </c>
      <c r="G28" t="s">
        <v>3</v>
      </c>
    </row>
    <row r="29" spans="1:7" x14ac:dyDescent="0.15">
      <c r="A29" t="str">
        <f t="shared" si="0"/>
        <v>|Lv45|83|</v>
      </c>
      <c r="B29" t="s">
        <v>3</v>
      </c>
      <c r="C29" t="s">
        <v>8</v>
      </c>
      <c r="D29">
        <v>45</v>
      </c>
      <c r="E29" t="s">
        <v>3</v>
      </c>
      <c r="F29">
        <f t="shared" si="1"/>
        <v>83</v>
      </c>
      <c r="G29" t="s">
        <v>3</v>
      </c>
    </row>
    <row r="30" spans="1:7" x14ac:dyDescent="0.15">
      <c r="A30" t="str">
        <f t="shared" si="0"/>
        <v>|Lv47|85|</v>
      </c>
      <c r="B30" t="s">
        <v>3</v>
      </c>
      <c r="C30" t="s">
        <v>8</v>
      </c>
      <c r="D30">
        <v>47</v>
      </c>
      <c r="E30" t="s">
        <v>3</v>
      </c>
      <c r="F30">
        <f t="shared" si="1"/>
        <v>85</v>
      </c>
      <c r="G30" t="s">
        <v>3</v>
      </c>
    </row>
    <row r="31" spans="1:7" x14ac:dyDescent="0.15">
      <c r="A31" t="str">
        <f t="shared" si="0"/>
        <v>|Lv49|88|</v>
      </c>
      <c r="B31" t="s">
        <v>3</v>
      </c>
      <c r="C31" t="s">
        <v>8</v>
      </c>
      <c r="D31">
        <v>49</v>
      </c>
      <c r="E31" t="s">
        <v>3</v>
      </c>
      <c r="F31">
        <f t="shared" si="1"/>
        <v>88</v>
      </c>
      <c r="G31" t="s">
        <v>3</v>
      </c>
    </row>
    <row r="32" spans="1:7" x14ac:dyDescent="0.15">
      <c r="A32" t="str">
        <f t="shared" si="0"/>
        <v>|Lv51|90|</v>
      </c>
      <c r="B32" t="s">
        <v>3</v>
      </c>
      <c r="C32" t="s">
        <v>8</v>
      </c>
      <c r="D32">
        <v>51</v>
      </c>
      <c r="E32" t="s">
        <v>3</v>
      </c>
      <c r="F32">
        <f t="shared" si="1"/>
        <v>90</v>
      </c>
      <c r="G32" t="s">
        <v>3</v>
      </c>
    </row>
    <row r="33" spans="1:19" x14ac:dyDescent="0.15">
      <c r="A33" t="str">
        <f t="shared" si="0"/>
        <v>|Lv53|92|</v>
      </c>
      <c r="B33" t="s">
        <v>3</v>
      </c>
      <c r="C33" t="s">
        <v>8</v>
      </c>
      <c r="D33">
        <v>53</v>
      </c>
      <c r="E33" t="s">
        <v>3</v>
      </c>
      <c r="F33">
        <f t="shared" si="1"/>
        <v>92</v>
      </c>
      <c r="G33" t="s">
        <v>3</v>
      </c>
    </row>
    <row r="34" spans="1:19" x14ac:dyDescent="0.15">
      <c r="A34" t="str">
        <f t="shared" si="0"/>
        <v>|Lv55|95|</v>
      </c>
      <c r="B34" t="s">
        <v>3</v>
      </c>
      <c r="C34" t="s">
        <v>8</v>
      </c>
      <c r="D34">
        <v>55</v>
      </c>
      <c r="E34" t="s">
        <v>3</v>
      </c>
      <c r="F34">
        <f t="shared" si="1"/>
        <v>95</v>
      </c>
      <c r="G34" t="s">
        <v>3</v>
      </c>
    </row>
    <row r="35" spans="1:19" x14ac:dyDescent="0.15">
      <c r="A35" t="str">
        <f t="shared" si="0"/>
        <v>|Lv57|97|</v>
      </c>
      <c r="B35" t="s">
        <v>3</v>
      </c>
      <c r="C35" t="s">
        <v>8</v>
      </c>
      <c r="D35">
        <v>57</v>
      </c>
      <c r="E35" t="s">
        <v>3</v>
      </c>
      <c r="F35">
        <f t="shared" si="1"/>
        <v>97</v>
      </c>
      <c r="G35" t="s">
        <v>3</v>
      </c>
    </row>
    <row r="36" spans="1:19" x14ac:dyDescent="0.15">
      <c r="A36" t="str">
        <f t="shared" si="0"/>
        <v>|Lv59|99|</v>
      </c>
      <c r="B36" t="s">
        <v>3</v>
      </c>
      <c r="C36" t="s">
        <v>8</v>
      </c>
      <c r="D36">
        <v>59</v>
      </c>
      <c r="E36" t="s">
        <v>3</v>
      </c>
      <c r="F36">
        <f t="shared" si="1"/>
        <v>99</v>
      </c>
      <c r="G36" t="s">
        <v>3</v>
      </c>
    </row>
    <row r="37" spans="1:19" x14ac:dyDescent="0.15">
      <c r="A37" t="str">
        <f>B37&amp;C37&amp;D37&amp;E37&amp;F37&amp;G37&amp;H37&amp;I37&amp;J37&amp;K37&amp;L37&amp;M37&amp;N37&amp;O37&amp;P37</f>
        <v>&amp;br;</v>
      </c>
      <c r="B37" t="s">
        <v>0</v>
      </c>
    </row>
    <row r="38" spans="1:19" x14ac:dyDescent="0.15">
      <c r="A38" t="str">
        <f>B38&amp;C38&amp;D38&amp;E38&amp;F38&amp;G38&amp;H38&amp;I38&amp;J38&amp;K38&amp;L38&amp;M38&amp;N38&amp;O38&amp;P38</f>
        <v>&amp;br;</v>
      </c>
      <c r="B38" t="s">
        <v>0</v>
      </c>
    </row>
    <row r="39" spans="1:19" x14ac:dyDescent="0.15">
      <c r="A39" t="str">
        <f>B39&amp;C39&amp;D39&amp;E39&amp;F39&amp;G39&amp;H39&amp;I39&amp;J39&amp;K39&amp;L39&amp;M39&amp;N39&amp;O39&amp;P39</f>
        <v>*マナボーナス [#q1a26f54]</v>
      </c>
      <c r="B39" t="s">
        <v>9</v>
      </c>
    </row>
    <row r="40" spans="1:19" x14ac:dyDescent="0.15">
      <c r="A40" t="str">
        <f t="shared" ref="A40:A49" si="2">B40&amp;C40&amp;D40&amp;G40&amp;H40&amp;I40&amp;J40&amp;K40&amp;L40&amp;M40&amp;N40&amp;O40&amp;P40&amp;Q40&amp;R40</f>
        <v>|LEFT:50|LEFT:50|LEFT:50|LEFT:50|LEFT:50|LEFT:50|c</v>
      </c>
      <c r="B40" t="s">
        <v>3</v>
      </c>
      <c r="C40" t="s">
        <v>4</v>
      </c>
      <c r="E40" t="s">
        <v>3</v>
      </c>
      <c r="G40" t="s">
        <v>3</v>
      </c>
      <c r="H40" t="s">
        <v>4</v>
      </c>
      <c r="I40" t="s">
        <v>3</v>
      </c>
      <c r="J40" t="s">
        <v>4</v>
      </c>
      <c r="K40" t="s">
        <v>3</v>
      </c>
      <c r="L40" t="s">
        <v>4</v>
      </c>
      <c r="M40" t="s">
        <v>3</v>
      </c>
      <c r="N40" t="s">
        <v>4</v>
      </c>
      <c r="O40" t="s">
        <v>3</v>
      </c>
      <c r="P40" t="s">
        <v>4</v>
      </c>
      <c r="Q40" t="s">
        <v>3</v>
      </c>
      <c r="R40" t="s">
        <v>5</v>
      </c>
    </row>
    <row r="41" spans="1:19" x14ac:dyDescent="0.15">
      <c r="A41" t="str">
        <f t="shared" si="2"/>
        <v>|レベル|白|青|黒|赤|緑|</v>
      </c>
      <c r="B41" t="s">
        <v>3</v>
      </c>
      <c r="C41" t="s">
        <v>6</v>
      </c>
      <c r="E41" t="s">
        <v>3</v>
      </c>
      <c r="F41" t="s">
        <v>10</v>
      </c>
      <c r="G41" t="s">
        <v>3</v>
      </c>
      <c r="H41" t="s">
        <v>11</v>
      </c>
      <c r="I41" t="s">
        <v>3</v>
      </c>
      <c r="J41" t="s">
        <v>12</v>
      </c>
      <c r="K41" t="s">
        <v>3</v>
      </c>
      <c r="L41" t="s">
        <v>13</v>
      </c>
      <c r="M41" t="s">
        <v>3</v>
      </c>
      <c r="N41" t="s">
        <v>14</v>
      </c>
      <c r="O41" t="s">
        <v>3</v>
      </c>
      <c r="P41" t="s">
        <v>15</v>
      </c>
      <c r="Q41" t="s">
        <v>3</v>
      </c>
      <c r="S41" t="s">
        <v>11</v>
      </c>
    </row>
    <row r="42" spans="1:19" x14ac:dyDescent="0.15">
      <c r="A42" t="str">
        <f t="shared" si="2"/>
        <v>|Lv1|0|1|0|-1|-1|</v>
      </c>
      <c r="B42" t="s">
        <v>3</v>
      </c>
      <c r="C42" t="s">
        <v>8</v>
      </c>
      <c r="D42">
        <v>1</v>
      </c>
      <c r="E42" t="s">
        <v>3</v>
      </c>
      <c r="G42" t="s">
        <v>3</v>
      </c>
      <c r="H42">
        <v>0</v>
      </c>
      <c r="I42" t="s">
        <v>3</v>
      </c>
      <c r="J42">
        <v>1</v>
      </c>
      <c r="K42" t="s">
        <v>3</v>
      </c>
      <c r="L42">
        <v>0</v>
      </c>
      <c r="M42" t="s">
        <v>3</v>
      </c>
      <c r="N42">
        <v>-1</v>
      </c>
      <c r="O42" t="s">
        <v>3</v>
      </c>
      <c r="P42">
        <v>-1</v>
      </c>
      <c r="Q42" t="s">
        <v>3</v>
      </c>
      <c r="S42" t="s">
        <v>12</v>
      </c>
    </row>
    <row r="43" spans="1:19" x14ac:dyDescent="0.15">
      <c r="A43" t="str">
        <f t="shared" si="2"/>
        <v>|Lv4|0|2|0|-1|-1|</v>
      </c>
      <c r="B43" t="s">
        <v>3</v>
      </c>
      <c r="C43" t="s">
        <v>8</v>
      </c>
      <c r="D43">
        <v>4</v>
      </c>
      <c r="E43" t="s">
        <v>3</v>
      </c>
      <c r="F43" t="str">
        <f t="shared" ref="F43:F50" si="3">IF(ISBLANK(D43),"",INDEX($F$98:$F$157,D43))</f>
        <v>青</v>
      </c>
      <c r="G43" t="s">
        <v>3</v>
      </c>
      <c r="H43">
        <f>H42+IF(H$41=$F43,1,0)</f>
        <v>0</v>
      </c>
      <c r="I43" t="str">
        <f t="shared" ref="I43:Q50" si="4">I42</f>
        <v>|</v>
      </c>
      <c r="J43">
        <f>J42+IF(J$41=$F43,1,0)</f>
        <v>2</v>
      </c>
      <c r="K43" t="str">
        <f t="shared" si="4"/>
        <v>|</v>
      </c>
      <c r="L43">
        <f>L42+IF(L$41=$F43,1,0)</f>
        <v>0</v>
      </c>
      <c r="M43" t="str">
        <f t="shared" si="4"/>
        <v>|</v>
      </c>
      <c r="N43">
        <f>N42+IF(N$41=$F43,1,0)</f>
        <v>-1</v>
      </c>
      <c r="O43" t="str">
        <f t="shared" si="4"/>
        <v>|</v>
      </c>
      <c r="P43">
        <f>P42+IF(P$41=$F43,1,0)</f>
        <v>-1</v>
      </c>
      <c r="Q43" t="str">
        <f t="shared" si="4"/>
        <v>|</v>
      </c>
      <c r="S43" t="s">
        <v>13</v>
      </c>
    </row>
    <row r="44" spans="1:19" x14ac:dyDescent="0.15">
      <c r="A44" t="str">
        <f t="shared" si="2"/>
        <v>|Lv10|0|2|1|-1|-1|</v>
      </c>
      <c r="B44" t="s">
        <v>3</v>
      </c>
      <c r="C44" t="s">
        <v>8</v>
      </c>
      <c r="D44">
        <v>10</v>
      </c>
      <c r="E44" t="s">
        <v>3</v>
      </c>
      <c r="F44" t="str">
        <f t="shared" si="3"/>
        <v>黒</v>
      </c>
      <c r="G44" t="s">
        <v>3</v>
      </c>
      <c r="H44">
        <f t="shared" ref="H44:P50" si="5">H43+IF(H$41=$F44,1,0)</f>
        <v>0</v>
      </c>
      <c r="I44" t="str">
        <f t="shared" si="4"/>
        <v>|</v>
      </c>
      <c r="J44">
        <f t="shared" si="5"/>
        <v>2</v>
      </c>
      <c r="K44" t="str">
        <f t="shared" si="4"/>
        <v>|</v>
      </c>
      <c r="L44">
        <f t="shared" si="5"/>
        <v>1</v>
      </c>
      <c r="M44" t="str">
        <f t="shared" si="4"/>
        <v>|</v>
      </c>
      <c r="N44">
        <f>N43+IF(N$41=$F44,1,0)</f>
        <v>-1</v>
      </c>
      <c r="O44" t="str">
        <f t="shared" si="4"/>
        <v>|</v>
      </c>
      <c r="P44">
        <f t="shared" si="5"/>
        <v>-1</v>
      </c>
      <c r="Q44" t="str">
        <f t="shared" si="4"/>
        <v>|</v>
      </c>
      <c r="S44" t="s">
        <v>14</v>
      </c>
    </row>
    <row r="45" spans="1:19" x14ac:dyDescent="0.15">
      <c r="A45" t="str">
        <f t="shared" si="2"/>
        <v>|Lv16|1|2|1|-1|-1|</v>
      </c>
      <c r="B45" t="s">
        <v>3</v>
      </c>
      <c r="C45" t="s">
        <v>8</v>
      </c>
      <c r="D45">
        <v>16</v>
      </c>
      <c r="E45" t="s">
        <v>3</v>
      </c>
      <c r="F45" t="str">
        <f t="shared" si="3"/>
        <v>白</v>
      </c>
      <c r="G45" t="s">
        <v>3</v>
      </c>
      <c r="H45">
        <f t="shared" si="5"/>
        <v>1</v>
      </c>
      <c r="I45" t="str">
        <f t="shared" si="4"/>
        <v>|</v>
      </c>
      <c r="J45">
        <f t="shared" si="5"/>
        <v>2</v>
      </c>
      <c r="K45" t="str">
        <f t="shared" si="4"/>
        <v>|</v>
      </c>
      <c r="L45">
        <f t="shared" si="5"/>
        <v>1</v>
      </c>
      <c r="M45" t="str">
        <f t="shared" si="4"/>
        <v>|</v>
      </c>
      <c r="N45">
        <f t="shared" si="5"/>
        <v>-1</v>
      </c>
      <c r="O45" t="str">
        <f t="shared" si="4"/>
        <v>|</v>
      </c>
      <c r="P45">
        <f t="shared" si="5"/>
        <v>-1</v>
      </c>
      <c r="Q45" t="str">
        <f t="shared" si="4"/>
        <v>|</v>
      </c>
      <c r="S45" t="s">
        <v>15</v>
      </c>
    </row>
    <row r="46" spans="1:19" x14ac:dyDescent="0.15">
      <c r="A46" t="str">
        <f t="shared" si="2"/>
        <v>|Lv22|1|2|1|0|-1|</v>
      </c>
      <c r="B46" t="s">
        <v>3</v>
      </c>
      <c r="C46" t="s">
        <v>8</v>
      </c>
      <c r="D46">
        <v>22</v>
      </c>
      <c r="E46" t="s">
        <v>3</v>
      </c>
      <c r="F46" t="str">
        <f t="shared" si="3"/>
        <v>赤</v>
      </c>
      <c r="G46" t="s">
        <v>3</v>
      </c>
      <c r="H46">
        <f t="shared" si="5"/>
        <v>1</v>
      </c>
      <c r="I46" t="str">
        <f t="shared" si="4"/>
        <v>|</v>
      </c>
      <c r="J46">
        <f t="shared" si="5"/>
        <v>2</v>
      </c>
      <c r="K46" t="str">
        <f t="shared" si="4"/>
        <v>|</v>
      </c>
      <c r="L46">
        <f t="shared" si="5"/>
        <v>1</v>
      </c>
      <c r="M46" t="str">
        <f t="shared" si="4"/>
        <v>|</v>
      </c>
      <c r="N46">
        <f t="shared" si="5"/>
        <v>0</v>
      </c>
      <c r="O46" t="str">
        <f t="shared" si="4"/>
        <v>|</v>
      </c>
      <c r="P46">
        <f>P45+IF(P$41=$F46,1,0)</f>
        <v>-1</v>
      </c>
      <c r="Q46" t="str">
        <f t="shared" si="4"/>
        <v>|</v>
      </c>
    </row>
    <row r="47" spans="1:19" x14ac:dyDescent="0.15">
      <c r="A47" t="str">
        <f t="shared" si="2"/>
        <v>|Lv28|1|2|1|0|0|</v>
      </c>
      <c r="B47" t="s">
        <v>3</v>
      </c>
      <c r="C47" t="s">
        <v>8</v>
      </c>
      <c r="D47">
        <v>28</v>
      </c>
      <c r="E47" t="s">
        <v>3</v>
      </c>
      <c r="F47" t="str">
        <f t="shared" si="3"/>
        <v>緑</v>
      </c>
      <c r="G47" t="s">
        <v>3</v>
      </c>
      <c r="H47">
        <f t="shared" si="5"/>
        <v>1</v>
      </c>
      <c r="I47" t="str">
        <f t="shared" si="4"/>
        <v>|</v>
      </c>
      <c r="J47">
        <f t="shared" si="5"/>
        <v>2</v>
      </c>
      <c r="K47" t="str">
        <f t="shared" si="4"/>
        <v>|</v>
      </c>
      <c r="L47">
        <f t="shared" si="5"/>
        <v>1</v>
      </c>
      <c r="M47" t="str">
        <f t="shared" si="4"/>
        <v>|</v>
      </c>
      <c r="N47">
        <f t="shared" si="5"/>
        <v>0</v>
      </c>
      <c r="O47" t="str">
        <f t="shared" si="4"/>
        <v>|</v>
      </c>
      <c r="P47">
        <f t="shared" si="5"/>
        <v>0</v>
      </c>
      <c r="Q47" t="str">
        <f t="shared" si="4"/>
        <v>|</v>
      </c>
    </row>
    <row r="48" spans="1:19" x14ac:dyDescent="0.15">
      <c r="A48" t="str">
        <f t="shared" si="2"/>
        <v>|Lv34|1|3|1|0|0|</v>
      </c>
      <c r="B48" t="s">
        <v>3</v>
      </c>
      <c r="C48" t="s">
        <v>8</v>
      </c>
      <c r="D48">
        <v>34</v>
      </c>
      <c r="E48" t="s">
        <v>3</v>
      </c>
      <c r="F48" t="str">
        <f t="shared" si="3"/>
        <v>青</v>
      </c>
      <c r="G48" t="s">
        <v>3</v>
      </c>
      <c r="H48">
        <f t="shared" si="5"/>
        <v>1</v>
      </c>
      <c r="I48" t="str">
        <f t="shared" si="4"/>
        <v>|</v>
      </c>
      <c r="J48">
        <f t="shared" si="5"/>
        <v>3</v>
      </c>
      <c r="K48" t="str">
        <f t="shared" si="4"/>
        <v>|</v>
      </c>
      <c r="L48">
        <f t="shared" si="5"/>
        <v>1</v>
      </c>
      <c r="M48" t="str">
        <f t="shared" si="4"/>
        <v>|</v>
      </c>
      <c r="N48">
        <f t="shared" si="5"/>
        <v>0</v>
      </c>
      <c r="O48" t="str">
        <f t="shared" si="4"/>
        <v>|</v>
      </c>
      <c r="P48">
        <f t="shared" si="5"/>
        <v>0</v>
      </c>
      <c r="Q48" t="str">
        <f t="shared" si="4"/>
        <v>|</v>
      </c>
    </row>
    <row r="49" spans="1:19" x14ac:dyDescent="0.15">
      <c r="A49" t="str">
        <f t="shared" si="2"/>
        <v>|Lv42|1|3|2|0|0|</v>
      </c>
      <c r="B49" t="s">
        <v>3</v>
      </c>
      <c r="C49" t="s">
        <v>8</v>
      </c>
      <c r="D49">
        <v>42</v>
      </c>
      <c r="E49" t="s">
        <v>3</v>
      </c>
      <c r="F49" t="str">
        <f t="shared" si="3"/>
        <v>黒</v>
      </c>
      <c r="G49" t="s">
        <v>3</v>
      </c>
      <c r="H49">
        <f t="shared" si="5"/>
        <v>1</v>
      </c>
      <c r="I49" t="str">
        <f t="shared" si="4"/>
        <v>|</v>
      </c>
      <c r="J49">
        <f t="shared" si="5"/>
        <v>3</v>
      </c>
      <c r="K49" t="str">
        <f t="shared" si="4"/>
        <v>|</v>
      </c>
      <c r="L49">
        <f t="shared" si="5"/>
        <v>2</v>
      </c>
      <c r="M49" t="str">
        <f t="shared" si="4"/>
        <v>|</v>
      </c>
      <c r="N49">
        <f t="shared" si="5"/>
        <v>0</v>
      </c>
      <c r="O49" t="str">
        <f t="shared" si="4"/>
        <v>|</v>
      </c>
      <c r="P49">
        <f>P48+IF(P$41=$F49,1,0)</f>
        <v>0</v>
      </c>
      <c r="Q49" t="str">
        <f t="shared" si="4"/>
        <v>|</v>
      </c>
    </row>
    <row r="50" spans="1:19" x14ac:dyDescent="0.15">
      <c r="A50" t="str">
        <f>B50&amp;C50&amp;D50&amp;G50&amp;H50&amp;I50&amp;J50&amp;K50&amp;L50&amp;M50&amp;N50&amp;O50&amp;P50&amp;Q50&amp;R50</f>
        <v>|Lv48|2|3|2|0|0|</v>
      </c>
      <c r="B50" t="s">
        <v>3</v>
      </c>
      <c r="C50" t="s">
        <v>8</v>
      </c>
      <c r="D50">
        <v>48</v>
      </c>
      <c r="E50" t="s">
        <v>3</v>
      </c>
      <c r="F50" t="str">
        <f t="shared" si="3"/>
        <v>白</v>
      </c>
      <c r="G50" t="s">
        <v>3</v>
      </c>
      <c r="H50">
        <f t="shared" si="5"/>
        <v>2</v>
      </c>
      <c r="I50" t="str">
        <f t="shared" si="4"/>
        <v>|</v>
      </c>
      <c r="J50">
        <f t="shared" si="5"/>
        <v>3</v>
      </c>
      <c r="K50" t="str">
        <f t="shared" si="4"/>
        <v>|</v>
      </c>
      <c r="L50">
        <f t="shared" si="5"/>
        <v>2</v>
      </c>
      <c r="M50" t="str">
        <f t="shared" si="4"/>
        <v>|</v>
      </c>
      <c r="N50">
        <f t="shared" si="5"/>
        <v>0</v>
      </c>
      <c r="O50" t="str">
        <f t="shared" si="4"/>
        <v>|</v>
      </c>
      <c r="P50">
        <f>P49+IF(P$41=$F50,1,0)</f>
        <v>0</v>
      </c>
      <c r="Q50" t="str">
        <f t="shared" si="4"/>
        <v>|</v>
      </c>
    </row>
    <row r="51" spans="1:19" x14ac:dyDescent="0.15">
      <c r="A51" t="str">
        <f>B51&amp;C51&amp;D51&amp;E51&amp;F51&amp;G51&amp;H51&amp;I51&amp;J51&amp;K51&amp;L51&amp;M51&amp;N51&amp;O51&amp;P51</f>
        <v>&amp;br;</v>
      </c>
      <c r="B51" t="s">
        <v>0</v>
      </c>
    </row>
    <row r="52" spans="1:19" x14ac:dyDescent="0.15">
      <c r="A52" t="str">
        <f>B52&amp;C52&amp;D52&amp;E52&amp;F52&amp;G52&amp;H52&amp;I52&amp;J52&amp;K52&amp;L52&amp;M52&amp;N52&amp;O52&amp;P52</f>
        <v>&amp;br;</v>
      </c>
      <c r="B52" t="s">
        <v>0</v>
      </c>
    </row>
    <row r="53" spans="1:19" x14ac:dyDescent="0.15">
      <c r="A53" t="str">
        <f>B53&amp;C53&amp;D53&amp;E53&amp;F53&amp;G53&amp;H53&amp;I53&amp;J53&amp;K53&amp;L53&amp;M53&amp;N53&amp;O53&amp;P53</f>
        <v>*デッキ構築枚数上限 [#e6f382eb]</v>
      </c>
      <c r="B53" t="s">
        <v>16</v>
      </c>
    </row>
    <row r="54" spans="1:19" x14ac:dyDescent="0.15">
      <c r="A54" t="str">
        <f>B54&amp;C54&amp;D54&amp;E54&amp;F54&amp;G54&amp;H54&amp;I54&amp;J54&amp;K54&amp;L54&amp;M54&amp;N54&amp;O54&amp;P54</f>
        <v>構築枚数上限を越える枚数はデッキに入れられない。</v>
      </c>
      <c r="B54" t="s">
        <v>17</v>
      </c>
    </row>
    <row r="55" spans="1:19" x14ac:dyDescent="0.15">
      <c r="A55" t="str">
        <f t="shared" ref="A55:A64" si="6">B55&amp;C55&amp;D55&amp;G55&amp;H55&amp;I55&amp;J55&amp;K55&amp;L55&amp;M55&amp;N55&amp;O55&amp;P55&amp;Q55&amp;R55</f>
        <v>|LEFT:50|LEFT:80|LEFT:80|LEFT:80|c</v>
      </c>
      <c r="B55" t="s">
        <v>3</v>
      </c>
      <c r="C55" t="s">
        <v>4</v>
      </c>
      <c r="E55" t="s">
        <v>3</v>
      </c>
      <c r="G55" t="s">
        <v>3</v>
      </c>
      <c r="H55" t="s">
        <v>18</v>
      </c>
      <c r="I55" t="s">
        <v>3</v>
      </c>
      <c r="J55" t="s">
        <v>18</v>
      </c>
      <c r="K55" t="s">
        <v>3</v>
      </c>
      <c r="L55" t="s">
        <v>18</v>
      </c>
      <c r="M55" t="s">
        <v>3</v>
      </c>
      <c r="N55" t="s">
        <v>5</v>
      </c>
    </row>
    <row r="56" spans="1:19" x14ac:dyDescent="0.15">
      <c r="A56" t="str">
        <f t="shared" si="6"/>
        <v>|レベル|クリーチャー|呪文|サポート|</v>
      </c>
      <c r="B56" t="s">
        <v>3</v>
      </c>
      <c r="C56" t="s">
        <v>6</v>
      </c>
      <c r="E56" t="s">
        <v>3</v>
      </c>
      <c r="F56" t="s">
        <v>19</v>
      </c>
      <c r="G56" t="s">
        <v>3</v>
      </c>
      <c r="H56" t="s">
        <v>20</v>
      </c>
      <c r="I56" t="s">
        <v>3</v>
      </c>
      <c r="J56" t="s">
        <v>21</v>
      </c>
      <c r="K56" t="s">
        <v>3</v>
      </c>
      <c r="L56" t="s">
        <v>22</v>
      </c>
      <c r="M56" t="s">
        <v>3</v>
      </c>
      <c r="S56" t="s">
        <v>20</v>
      </c>
    </row>
    <row r="57" spans="1:19" x14ac:dyDescent="0.15">
      <c r="A57" t="str">
        <f t="shared" si="6"/>
        <v>|Lv1|2|2|6|</v>
      </c>
      <c r="B57" t="s">
        <v>3</v>
      </c>
      <c r="C57" t="s">
        <v>8</v>
      </c>
      <c r="D57">
        <v>1</v>
      </c>
      <c r="E57" t="s">
        <v>3</v>
      </c>
      <c r="G57" t="s">
        <v>3</v>
      </c>
      <c r="H57">
        <v>2</v>
      </c>
      <c r="I57" t="s">
        <v>3</v>
      </c>
      <c r="J57">
        <v>2</v>
      </c>
      <c r="K57" t="s">
        <v>3</v>
      </c>
      <c r="L57">
        <v>6</v>
      </c>
      <c r="M57" t="s">
        <v>3</v>
      </c>
      <c r="S57" t="s">
        <v>21</v>
      </c>
    </row>
    <row r="58" spans="1:19" x14ac:dyDescent="0.15">
      <c r="A58" t="str">
        <f t="shared" si="6"/>
        <v>|Lv2|2|2|7|</v>
      </c>
      <c r="B58" t="s">
        <v>3</v>
      </c>
      <c r="C58" t="s">
        <v>8</v>
      </c>
      <c r="D58">
        <v>2</v>
      </c>
      <c r="E58" t="s">
        <v>3</v>
      </c>
      <c r="F58" t="str">
        <f t="shared" ref="F58:F65" si="7">IF(ISBLANK(D58),"",INDEX($F$98:$F$157,D58))</f>
        <v>サポート</v>
      </c>
      <c r="G58" t="s">
        <v>3</v>
      </c>
      <c r="H58">
        <f t="shared" ref="H58:H65" si="8">H57+IF(H$56=$F58,INDEX($H$98:$H$157,D58),0)</f>
        <v>2</v>
      </c>
      <c r="I58" t="s">
        <v>3</v>
      </c>
      <c r="J58">
        <f t="shared" ref="J58:J65" si="9">J57+IF(J$56=$F58,INDEX($H$98:$H$157,D58),0)</f>
        <v>2</v>
      </c>
      <c r="K58" t="s">
        <v>3</v>
      </c>
      <c r="L58">
        <f t="shared" ref="L58:L65" si="10">L57+IF(L$56=$F58,INDEX($H$98:$H$157,D58),0)</f>
        <v>7</v>
      </c>
      <c r="M58" t="s">
        <v>3</v>
      </c>
      <c r="S58" t="s">
        <v>22</v>
      </c>
    </row>
    <row r="59" spans="1:19" x14ac:dyDescent="0.15">
      <c r="A59" t="str">
        <f t="shared" si="6"/>
        <v>|Lv8|3|2|7|</v>
      </c>
      <c r="B59" t="s">
        <v>3</v>
      </c>
      <c r="C59" t="s">
        <v>8</v>
      </c>
      <c r="D59">
        <v>8</v>
      </c>
      <c r="E59" t="s">
        <v>3</v>
      </c>
      <c r="F59" t="str">
        <f t="shared" si="7"/>
        <v>クリーチャー</v>
      </c>
      <c r="G59" t="s">
        <v>3</v>
      </c>
      <c r="H59">
        <f t="shared" si="8"/>
        <v>3</v>
      </c>
      <c r="I59" t="s">
        <v>3</v>
      </c>
      <c r="J59">
        <f t="shared" si="9"/>
        <v>2</v>
      </c>
      <c r="K59" t="s">
        <v>3</v>
      </c>
      <c r="L59">
        <f t="shared" si="10"/>
        <v>7</v>
      </c>
      <c r="M59" t="s">
        <v>3</v>
      </c>
    </row>
    <row r="60" spans="1:19" x14ac:dyDescent="0.15">
      <c r="A60" t="str">
        <f t="shared" si="6"/>
        <v>|Lv14|3|4|7|</v>
      </c>
      <c r="B60" t="s">
        <v>3</v>
      </c>
      <c r="C60" t="s">
        <v>8</v>
      </c>
      <c r="D60">
        <v>14</v>
      </c>
      <c r="E60" t="s">
        <v>3</v>
      </c>
      <c r="F60" t="str">
        <f t="shared" si="7"/>
        <v>呪文</v>
      </c>
      <c r="G60" t="s">
        <v>3</v>
      </c>
      <c r="H60">
        <f t="shared" si="8"/>
        <v>3</v>
      </c>
      <c r="I60" t="s">
        <v>3</v>
      </c>
      <c r="J60">
        <f t="shared" si="9"/>
        <v>4</v>
      </c>
      <c r="K60" t="s">
        <v>3</v>
      </c>
      <c r="L60">
        <f t="shared" si="10"/>
        <v>7</v>
      </c>
      <c r="M60" t="s">
        <v>3</v>
      </c>
    </row>
    <row r="61" spans="1:19" x14ac:dyDescent="0.15">
      <c r="A61" t="str">
        <f t="shared" si="6"/>
        <v>|Lv26|3|6|7|</v>
      </c>
      <c r="B61" t="s">
        <v>3</v>
      </c>
      <c r="C61" t="s">
        <v>8</v>
      </c>
      <c r="D61">
        <v>26</v>
      </c>
      <c r="E61" t="s">
        <v>3</v>
      </c>
      <c r="F61" t="str">
        <f t="shared" si="7"/>
        <v>呪文</v>
      </c>
      <c r="G61" t="s">
        <v>3</v>
      </c>
      <c r="H61">
        <f t="shared" si="8"/>
        <v>3</v>
      </c>
      <c r="I61" t="s">
        <v>3</v>
      </c>
      <c r="J61">
        <f t="shared" si="9"/>
        <v>6</v>
      </c>
      <c r="K61" t="s">
        <v>3</v>
      </c>
      <c r="L61">
        <f t="shared" si="10"/>
        <v>7</v>
      </c>
      <c r="M61" t="s">
        <v>3</v>
      </c>
    </row>
    <row r="62" spans="1:19" x14ac:dyDescent="0.15">
      <c r="A62" t="str">
        <f t="shared" si="6"/>
        <v>|Lv32|4|6|7|</v>
      </c>
      <c r="B62" t="s">
        <v>3</v>
      </c>
      <c r="C62" t="s">
        <v>8</v>
      </c>
      <c r="D62">
        <v>32</v>
      </c>
      <c r="E62" t="s">
        <v>3</v>
      </c>
      <c r="F62" t="str">
        <f t="shared" si="7"/>
        <v>クリーチャー</v>
      </c>
      <c r="G62" t="s">
        <v>3</v>
      </c>
      <c r="H62">
        <f t="shared" si="8"/>
        <v>4</v>
      </c>
      <c r="I62" t="s">
        <v>3</v>
      </c>
      <c r="J62">
        <f t="shared" si="9"/>
        <v>6</v>
      </c>
      <c r="K62" t="s">
        <v>3</v>
      </c>
      <c r="L62">
        <f t="shared" si="10"/>
        <v>7</v>
      </c>
      <c r="M62" t="s">
        <v>3</v>
      </c>
    </row>
    <row r="63" spans="1:19" x14ac:dyDescent="0.15">
      <c r="A63" t="str">
        <f t="shared" si="6"/>
        <v>|Lv44|5|6|7|</v>
      </c>
      <c r="B63" t="s">
        <v>3</v>
      </c>
      <c r="C63" t="s">
        <v>8</v>
      </c>
      <c r="D63">
        <v>44</v>
      </c>
      <c r="E63" t="s">
        <v>3</v>
      </c>
      <c r="F63" t="str">
        <f t="shared" si="7"/>
        <v>クリーチャー</v>
      </c>
      <c r="G63" t="s">
        <v>3</v>
      </c>
      <c r="H63">
        <f t="shared" si="8"/>
        <v>5</v>
      </c>
      <c r="I63" t="s">
        <v>3</v>
      </c>
      <c r="J63">
        <f t="shared" si="9"/>
        <v>6</v>
      </c>
      <c r="K63" t="s">
        <v>3</v>
      </c>
      <c r="L63">
        <f t="shared" si="10"/>
        <v>7</v>
      </c>
      <c r="M63" t="s">
        <v>3</v>
      </c>
    </row>
    <row r="64" spans="1:19" x14ac:dyDescent="0.15">
      <c r="A64" t="str">
        <f t="shared" si="6"/>
        <v>|Lv50|5|6|9|</v>
      </c>
      <c r="B64" t="s">
        <v>3</v>
      </c>
      <c r="C64" t="s">
        <v>8</v>
      </c>
      <c r="D64">
        <v>50</v>
      </c>
      <c r="E64" t="s">
        <v>3</v>
      </c>
      <c r="F64" t="str">
        <f t="shared" si="7"/>
        <v>サポート</v>
      </c>
      <c r="G64" t="s">
        <v>3</v>
      </c>
      <c r="H64">
        <f t="shared" si="8"/>
        <v>5</v>
      </c>
      <c r="I64" t="s">
        <v>3</v>
      </c>
      <c r="J64">
        <f t="shared" si="9"/>
        <v>6</v>
      </c>
      <c r="K64" t="s">
        <v>3</v>
      </c>
      <c r="L64">
        <f t="shared" si="10"/>
        <v>9</v>
      </c>
      <c r="M64" t="s">
        <v>3</v>
      </c>
    </row>
    <row r="65" spans="1:18" x14ac:dyDescent="0.15">
      <c r="A65" t="str">
        <f>B65&amp;C65&amp;D65&amp;G65&amp;H65&amp;I65&amp;J65&amp;K65&amp;L65&amp;M65&amp;N65&amp;O65&amp;P65&amp;Q65&amp;R65</f>
        <v>|Lv54|5|8|9|</v>
      </c>
      <c r="B65" t="s">
        <v>3</v>
      </c>
      <c r="C65" t="s">
        <v>8</v>
      </c>
      <c r="D65">
        <v>54</v>
      </c>
      <c r="E65" t="s">
        <v>3</v>
      </c>
      <c r="F65" t="str">
        <f t="shared" si="7"/>
        <v>呪文</v>
      </c>
      <c r="G65" t="s">
        <v>3</v>
      </c>
      <c r="H65">
        <f t="shared" si="8"/>
        <v>5</v>
      </c>
      <c r="I65" t="s">
        <v>3</v>
      </c>
      <c r="J65">
        <f t="shared" si="9"/>
        <v>8</v>
      </c>
      <c r="K65" t="s">
        <v>3</v>
      </c>
      <c r="L65">
        <f t="shared" si="10"/>
        <v>9</v>
      </c>
      <c r="M65" t="s">
        <v>3</v>
      </c>
    </row>
    <row r="66" spans="1:18" x14ac:dyDescent="0.15">
      <c r="A66" t="str">
        <f t="shared" ref="A66:A87" si="11">B66&amp;C66&amp;D66&amp;E66&amp;F66&amp;G66&amp;H66&amp;I66&amp;J66&amp;K66&amp;L66&amp;M66&amp;N66&amp;O66&amp;P66</f>
        <v>&amp;br;</v>
      </c>
      <c r="B66" t="s">
        <v>0</v>
      </c>
    </row>
    <row r="67" spans="1:18" x14ac:dyDescent="0.15">
      <c r="A67" t="str">
        <f t="shared" si="11"/>
        <v>&amp;br;</v>
      </c>
      <c r="B67" t="s">
        <v>0</v>
      </c>
    </row>
    <row r="68" spans="1:18" x14ac:dyDescent="0.15">
      <c r="A68" t="str">
        <f t="shared" si="11"/>
        <v>*PW能力一覧 [#a469e89f]</v>
      </c>
      <c r="B68" t="s">
        <v>23</v>
      </c>
    </row>
    <row r="69" spans="1:18" x14ac:dyDescent="0.15">
      <c r="A69" t="str">
        <f t="shared" si="11"/>
        <v>**第1能力：金線の障壁/Filigree Barrier</v>
      </c>
      <c r="B69" t="s">
        <v>24</v>
      </c>
      <c r="D69" t="s">
        <v>171</v>
      </c>
      <c r="E69" t="s">
        <v>25</v>
      </c>
      <c r="F69" t="s">
        <v>172</v>
      </c>
      <c r="R69" t="str">
        <f>D69&amp;E69&amp;F69</f>
        <v>金線の障壁/Filigree Barrier</v>
      </c>
    </row>
    <row r="70" spans="1:18" x14ac:dyDescent="0.15">
      <c r="A70" t="str">
        <f t="shared" si="11"/>
        <v>|LEFT:50|LEFT:50|LEFT:50|LEFT:300|c</v>
      </c>
      <c r="B70" t="s">
        <v>3</v>
      </c>
      <c r="C70" t="s">
        <v>4</v>
      </c>
      <c r="E70" t="s">
        <v>3</v>
      </c>
      <c r="F70" t="s">
        <v>4</v>
      </c>
      <c r="G70" t="s">
        <v>3</v>
      </c>
      <c r="H70" t="s">
        <v>4</v>
      </c>
      <c r="I70" t="s">
        <v>3</v>
      </c>
      <c r="J70" t="s">
        <v>26</v>
      </c>
      <c r="K70" t="s">
        <v>3</v>
      </c>
      <c r="L70" t="s">
        <v>5</v>
      </c>
    </row>
    <row r="71" spans="1:18" x14ac:dyDescent="0.15">
      <c r="A71" t="str">
        <f t="shared" si="11"/>
        <v>|解放Lv|レベル|コスト|効果|</v>
      </c>
      <c r="B71" t="s">
        <v>3</v>
      </c>
      <c r="C71" t="s">
        <v>27</v>
      </c>
      <c r="E71" t="s">
        <v>3</v>
      </c>
      <c r="F71" t="s">
        <v>6</v>
      </c>
      <c r="G71" t="s">
        <v>3</v>
      </c>
      <c r="H71" t="s">
        <v>28</v>
      </c>
      <c r="I71" t="s">
        <v>3</v>
      </c>
      <c r="J71" t="s">
        <v>29</v>
      </c>
      <c r="K71" t="s">
        <v>3</v>
      </c>
    </row>
    <row r="72" spans="1:18" x14ac:dyDescent="0.15">
      <c r="A72" t="str">
        <f t="shared" si="11"/>
        <v>|Lv6|Lv1|6|あなたのサポート1つに+1シールドを与える。|</v>
      </c>
      <c r="B72" t="s">
        <v>3</v>
      </c>
      <c r="C72" t="s">
        <v>8</v>
      </c>
      <c r="D72">
        <v>6</v>
      </c>
      <c r="E72" t="s">
        <v>3</v>
      </c>
      <c r="F72" t="s">
        <v>30</v>
      </c>
      <c r="G72" t="s">
        <v>3</v>
      </c>
      <c r="H72">
        <v>6</v>
      </c>
      <c r="I72" t="s">
        <v>3</v>
      </c>
      <c r="J72" t="s">
        <v>173</v>
      </c>
      <c r="K72" t="s">
        <v>3</v>
      </c>
    </row>
    <row r="73" spans="1:18" x14ac:dyDescent="0.15">
      <c r="A73" t="str">
        <f t="shared" si="11"/>
        <v>|Lv24|Lv2|6|あなたのサポート2つに+1シールドを与える。|</v>
      </c>
      <c r="B73" t="s">
        <v>3</v>
      </c>
      <c r="C73" t="s">
        <v>8</v>
      </c>
      <c r="D73">
        <v>24</v>
      </c>
      <c r="E73" t="s">
        <v>3</v>
      </c>
      <c r="F73" t="s">
        <v>31</v>
      </c>
      <c r="G73" t="s">
        <v>3</v>
      </c>
      <c r="H73">
        <v>6</v>
      </c>
      <c r="I73" t="s">
        <v>3</v>
      </c>
      <c r="J73" t="s">
        <v>174</v>
      </c>
      <c r="K73" t="s">
        <v>3</v>
      </c>
    </row>
    <row r="74" spans="1:18" x14ac:dyDescent="0.15">
      <c r="A74" t="str">
        <f t="shared" si="11"/>
        <v>|Lv40|Lv3|6|あなたのサポート3つに+1シールドを与える。|</v>
      </c>
      <c r="B74" t="s">
        <v>3</v>
      </c>
      <c r="C74" t="s">
        <v>8</v>
      </c>
      <c r="D74">
        <v>40</v>
      </c>
      <c r="E74" t="s">
        <v>3</v>
      </c>
      <c r="F74" t="s">
        <v>32</v>
      </c>
      <c r="G74" t="s">
        <v>3</v>
      </c>
      <c r="H74">
        <v>6</v>
      </c>
      <c r="I74" t="s">
        <v>3</v>
      </c>
      <c r="J74" t="s">
        <v>175</v>
      </c>
      <c r="K74" t="s">
        <v>3</v>
      </c>
    </row>
    <row r="75" spans="1:18" x14ac:dyDescent="0.15">
      <c r="A75" t="str">
        <f t="shared" si="11"/>
        <v>|Lv56|Lv4|6|あなたのサポートすべてに+1シールドを与える。|</v>
      </c>
      <c r="B75" t="s">
        <v>3</v>
      </c>
      <c r="C75" t="s">
        <v>8</v>
      </c>
      <c r="D75">
        <v>56</v>
      </c>
      <c r="E75" t="s">
        <v>3</v>
      </c>
      <c r="F75" t="s">
        <v>33</v>
      </c>
      <c r="G75" t="s">
        <v>3</v>
      </c>
      <c r="H75">
        <v>6</v>
      </c>
      <c r="I75" t="s">
        <v>3</v>
      </c>
      <c r="J75" t="s">
        <v>176</v>
      </c>
      <c r="K75" t="s">
        <v>3</v>
      </c>
    </row>
    <row r="76" spans="1:18" x14ac:dyDescent="0.15">
      <c r="A76" t="str">
        <f t="shared" si="11"/>
        <v>&amp;br;</v>
      </c>
      <c r="B76" t="s">
        <v>0</v>
      </c>
    </row>
    <row r="77" spans="1:18" x14ac:dyDescent="0.15">
      <c r="A77" t="str">
        <f t="shared" si="11"/>
        <v>&amp;br;</v>
      </c>
      <c r="B77" t="s">
        <v>0</v>
      </c>
    </row>
    <row r="78" spans="1:18" x14ac:dyDescent="0.15">
      <c r="A78" t="str">
        <f t="shared" si="11"/>
        <v>**第2能力：変成/Transmute</v>
      </c>
      <c r="B78" t="s">
        <v>34</v>
      </c>
      <c r="D78" t="s">
        <v>177</v>
      </c>
      <c r="E78" t="s">
        <v>25</v>
      </c>
      <c r="F78" t="s">
        <v>178</v>
      </c>
      <c r="R78" t="str">
        <f>D78&amp;E78&amp;F78</f>
        <v>変成/Transmute</v>
      </c>
    </row>
    <row r="79" spans="1:18" x14ac:dyDescent="0.15">
      <c r="A79" t="str">
        <f t="shared" si="11"/>
        <v>|LEFT:50|LEFT:50|LEFT:50|LEFT:300|c</v>
      </c>
      <c r="B79" t="s">
        <v>3</v>
      </c>
      <c r="C79" t="s">
        <v>4</v>
      </c>
      <c r="E79" t="s">
        <v>3</v>
      </c>
      <c r="F79" t="s">
        <v>4</v>
      </c>
      <c r="G79" t="s">
        <v>3</v>
      </c>
      <c r="H79" t="s">
        <v>4</v>
      </c>
      <c r="I79" t="s">
        <v>3</v>
      </c>
      <c r="J79" t="s">
        <v>26</v>
      </c>
      <c r="K79" t="s">
        <v>3</v>
      </c>
      <c r="L79" t="s">
        <v>5</v>
      </c>
    </row>
    <row r="80" spans="1:18" x14ac:dyDescent="0.15">
      <c r="A80" t="str">
        <f t="shared" si="11"/>
        <v>|解放Lv|レベル|コスト|効果|</v>
      </c>
      <c r="B80" t="s">
        <v>3</v>
      </c>
      <c r="C80" t="s">
        <v>27</v>
      </c>
      <c r="E80" t="s">
        <v>3</v>
      </c>
      <c r="F80" t="s">
        <v>6</v>
      </c>
      <c r="G80" t="s">
        <v>3</v>
      </c>
      <c r="H80" t="s">
        <v>28</v>
      </c>
      <c r="I80" t="s">
        <v>3</v>
      </c>
      <c r="J80" t="s">
        <v>29</v>
      </c>
      <c r="K80" t="s">
        <v>3</v>
      </c>
    </row>
    <row r="81" spans="1:18" x14ac:dyDescent="0.15">
      <c r="A81" t="str">
        <f t="shared" si="11"/>
        <v>|Lv12|Lv1|12|あなたのライブラリーから次のサポートを取ってくる。それは6マナを得る。|</v>
      </c>
      <c r="B81" t="s">
        <v>3</v>
      </c>
      <c r="C81" t="s">
        <v>8</v>
      </c>
      <c r="D81">
        <v>12</v>
      </c>
      <c r="E81" t="s">
        <v>3</v>
      </c>
      <c r="F81" t="s">
        <v>30</v>
      </c>
      <c r="G81" t="s">
        <v>3</v>
      </c>
      <c r="H81">
        <v>12</v>
      </c>
      <c r="I81" t="s">
        <v>3</v>
      </c>
      <c r="J81" t="s">
        <v>179</v>
      </c>
      <c r="K81" t="s">
        <v>3</v>
      </c>
    </row>
    <row r="82" spans="1:18" x14ac:dyDescent="0.15">
      <c r="A82" t="str">
        <f t="shared" si="11"/>
        <v>|Lv30|Lv2|12|あなたのライブラリーから次のサポートを取ってくる。それは9マナを得る。|</v>
      </c>
      <c r="B82" t="s">
        <v>3</v>
      </c>
      <c r="C82" t="s">
        <v>8</v>
      </c>
      <c r="D82">
        <v>30</v>
      </c>
      <c r="E82" t="s">
        <v>3</v>
      </c>
      <c r="F82" t="s">
        <v>31</v>
      </c>
      <c r="G82" t="s">
        <v>3</v>
      </c>
      <c r="H82">
        <v>12</v>
      </c>
      <c r="I82" t="s">
        <v>3</v>
      </c>
      <c r="J82" t="s">
        <v>180</v>
      </c>
      <c r="K82" t="s">
        <v>3</v>
      </c>
    </row>
    <row r="83" spans="1:18" x14ac:dyDescent="0.15">
      <c r="A83" t="str">
        <f t="shared" si="11"/>
        <v>|Lv46|Lv3|12|あなたのライブラリーから次のサポートを取ってくる。それは12マナを得る。|</v>
      </c>
      <c r="B83" t="s">
        <v>3</v>
      </c>
      <c r="C83" t="s">
        <v>8</v>
      </c>
      <c r="D83">
        <v>46</v>
      </c>
      <c r="E83" t="s">
        <v>3</v>
      </c>
      <c r="F83" t="s">
        <v>32</v>
      </c>
      <c r="G83" t="s">
        <v>3</v>
      </c>
      <c r="H83">
        <v>12</v>
      </c>
      <c r="I83" t="s">
        <v>3</v>
      </c>
      <c r="J83" t="s">
        <v>181</v>
      </c>
      <c r="K83" t="s">
        <v>3</v>
      </c>
    </row>
    <row r="84" spans="1:18" x14ac:dyDescent="0.15">
      <c r="A84" t="str">
        <f t="shared" si="11"/>
        <v>|Lv58|Lv4|12|あなたのライブラリーから次のサポートを取ってきてそれを戦場に置く。|</v>
      </c>
      <c r="B84" t="s">
        <v>3</v>
      </c>
      <c r="C84" t="s">
        <v>8</v>
      </c>
      <c r="D84">
        <v>58</v>
      </c>
      <c r="E84" t="s">
        <v>3</v>
      </c>
      <c r="F84" t="s">
        <v>33</v>
      </c>
      <c r="G84" t="s">
        <v>3</v>
      </c>
      <c r="H84">
        <v>12</v>
      </c>
      <c r="I84" t="s">
        <v>3</v>
      </c>
      <c r="J84" t="s">
        <v>182</v>
      </c>
      <c r="K84" t="s">
        <v>3</v>
      </c>
    </row>
    <row r="85" spans="1:18" x14ac:dyDescent="0.15">
      <c r="A85" t="str">
        <f t="shared" si="11"/>
        <v>&amp;br;</v>
      </c>
      <c r="B85" t="s">
        <v>0</v>
      </c>
    </row>
    <row r="86" spans="1:18" x14ac:dyDescent="0.15">
      <c r="A86" t="str">
        <f t="shared" si="11"/>
        <v>&amp;br;</v>
      </c>
      <c r="B86" t="s">
        <v>0</v>
      </c>
    </row>
    <row r="87" spans="1:18" x14ac:dyDescent="0.15">
      <c r="A87" t="str">
        <f t="shared" si="11"/>
        <v>**第3能力：工匠の技巧/Artificer’s Skill</v>
      </c>
      <c r="B87" t="s">
        <v>35</v>
      </c>
      <c r="D87" t="s">
        <v>183</v>
      </c>
      <c r="E87" t="s">
        <v>25</v>
      </c>
      <c r="F87" t="s">
        <v>184</v>
      </c>
      <c r="R87" t="str">
        <f>D87&amp;E87&amp;F87</f>
        <v>工匠の技巧/Artificer’s Skill</v>
      </c>
    </row>
    <row r="88" spans="1:18" x14ac:dyDescent="0.15">
      <c r="A88" t="str">
        <f t="shared" ref="A88:A151" si="12">B88&amp;C88&amp;D88&amp;E88&amp;F88&amp;G88&amp;H88&amp;I88&amp;J88&amp;K88&amp;L88&amp;M88&amp;N88&amp;O88&amp;P88</f>
        <v>|LEFT:50|LEFT:50|LEFT:50|LEFT:300|c</v>
      </c>
      <c r="B88" t="s">
        <v>3</v>
      </c>
      <c r="C88" t="s">
        <v>4</v>
      </c>
      <c r="E88" t="s">
        <v>3</v>
      </c>
      <c r="F88" t="s">
        <v>4</v>
      </c>
      <c r="G88" t="s">
        <v>3</v>
      </c>
      <c r="H88" t="s">
        <v>4</v>
      </c>
      <c r="I88" t="s">
        <v>3</v>
      </c>
      <c r="J88" t="s">
        <v>26</v>
      </c>
      <c r="K88" t="s">
        <v>3</v>
      </c>
      <c r="L88" t="s">
        <v>5</v>
      </c>
    </row>
    <row r="89" spans="1:18" x14ac:dyDescent="0.15">
      <c r="A89" t="str">
        <f t="shared" si="12"/>
        <v>|解放Lv|レベル|コスト|効果|</v>
      </c>
      <c r="B89" t="s">
        <v>3</v>
      </c>
      <c r="C89" t="s">
        <v>27</v>
      </c>
      <c r="E89" t="s">
        <v>3</v>
      </c>
      <c r="F89" t="s">
        <v>6</v>
      </c>
      <c r="G89" t="s">
        <v>3</v>
      </c>
      <c r="H89" t="s">
        <v>28</v>
      </c>
      <c r="I89" t="s">
        <v>3</v>
      </c>
      <c r="J89" t="s">
        <v>29</v>
      </c>
      <c r="K89" t="s">
        <v>3</v>
      </c>
    </row>
    <row r="90" spans="1:18" x14ac:dyDescent="0.15">
      <c r="A90" t="str">
        <f t="shared" si="12"/>
        <v>|Lv18|Lv1|24|あなたのターン終了時まで、クリーチャー1体に+X/+Xの修正を与える。Xはあなたがコントロールするサポートの総数の3倍に等しい。|</v>
      </c>
      <c r="B90" t="s">
        <v>3</v>
      </c>
      <c r="C90" t="s">
        <v>8</v>
      </c>
      <c r="D90">
        <v>18</v>
      </c>
      <c r="E90" t="s">
        <v>3</v>
      </c>
      <c r="F90" t="s">
        <v>30</v>
      </c>
      <c r="G90" t="s">
        <v>3</v>
      </c>
      <c r="H90">
        <v>24</v>
      </c>
      <c r="I90" t="s">
        <v>3</v>
      </c>
      <c r="J90" t="s">
        <v>185</v>
      </c>
      <c r="K90" t="s">
        <v>3</v>
      </c>
    </row>
    <row r="91" spans="1:18" x14ac:dyDescent="0.15">
      <c r="A91" t="str">
        <f t="shared" si="12"/>
        <v>|Lv36|Lv2|24|あなたのターン終了時まで、クリーチャー1体に+X/+Xの修正を与える。Xはあなたがコントロールするサポートの総数の5倍に等しい。|</v>
      </c>
      <c r="B91" t="s">
        <v>3</v>
      </c>
      <c r="C91" t="s">
        <v>8</v>
      </c>
      <c r="D91">
        <v>36</v>
      </c>
      <c r="E91" t="s">
        <v>3</v>
      </c>
      <c r="F91" t="s">
        <v>31</v>
      </c>
      <c r="G91" t="s">
        <v>3</v>
      </c>
      <c r="H91">
        <v>24</v>
      </c>
      <c r="I91" t="s">
        <v>3</v>
      </c>
      <c r="J91" t="s">
        <v>186</v>
      </c>
      <c r="K91" t="s">
        <v>3</v>
      </c>
    </row>
    <row r="92" spans="1:18" x14ac:dyDescent="0.15">
      <c r="A92" t="str">
        <f t="shared" si="12"/>
        <v>|Lv52|Lv3|24|あなたのターン終了時まで、クリーチャー1体に+X/+Xの修正を与える。Xはあなたがコントロールするサポートの総数の7倍に等しい。|</v>
      </c>
      <c r="B92" t="s">
        <v>3</v>
      </c>
      <c r="C92" t="s">
        <v>8</v>
      </c>
      <c r="D92">
        <v>52</v>
      </c>
      <c r="E92" t="s">
        <v>3</v>
      </c>
      <c r="F92" t="s">
        <v>32</v>
      </c>
      <c r="G92" t="s">
        <v>3</v>
      </c>
      <c r="H92">
        <v>24</v>
      </c>
      <c r="I92" t="s">
        <v>3</v>
      </c>
      <c r="J92" t="s">
        <v>187</v>
      </c>
      <c r="K92" t="s">
        <v>3</v>
      </c>
    </row>
    <row r="93" spans="1:18" x14ac:dyDescent="0.15">
      <c r="A93" t="str">
        <f t="shared" si="12"/>
        <v>|Lv60|Lv4|24|あなたのターン終了時まで、クリーチャー1体に+X/+Xの修正を与える。Xはあなたがコントロールするサポートの総数の10倍に等しい。|</v>
      </c>
      <c r="B93" t="s">
        <v>3</v>
      </c>
      <c r="C93" t="s">
        <v>8</v>
      </c>
      <c r="D93">
        <v>60</v>
      </c>
      <c r="E93" t="s">
        <v>3</v>
      </c>
      <c r="F93" t="s">
        <v>33</v>
      </c>
      <c r="G93" t="s">
        <v>3</v>
      </c>
      <c r="H93">
        <v>24</v>
      </c>
      <c r="I93" t="s">
        <v>3</v>
      </c>
      <c r="J93" t="s">
        <v>188</v>
      </c>
      <c r="K93" t="s">
        <v>3</v>
      </c>
    </row>
    <row r="94" spans="1:18" x14ac:dyDescent="0.15">
      <c r="A94" t="str">
        <f t="shared" si="12"/>
        <v>&amp;br;</v>
      </c>
      <c r="B94" t="s">
        <v>0</v>
      </c>
    </row>
    <row r="95" spans="1:18" x14ac:dyDescent="0.15">
      <c r="A95" t="str">
        <f t="shared" si="12"/>
        <v>&amp;br;</v>
      </c>
      <c r="B95" t="s">
        <v>0</v>
      </c>
    </row>
    <row r="96" spans="1:18" x14ac:dyDescent="0.15">
      <c r="A96" t="str">
        <f t="shared" si="12"/>
        <v>*レベルアップ報酬一覧 [#k0cef29c]</v>
      </c>
      <c r="B96" t="s">
        <v>36</v>
      </c>
    </row>
    <row r="97" spans="1:17" x14ac:dyDescent="0.15">
      <c r="A97" t="str">
        <f t="shared" si="12"/>
        <v>|LEFT:50|LEFT:100|c</v>
      </c>
      <c r="B97" t="s">
        <v>3</v>
      </c>
      <c r="C97" t="s">
        <v>4</v>
      </c>
      <c r="E97" t="s">
        <v>3</v>
      </c>
      <c r="F97" t="s">
        <v>37</v>
      </c>
      <c r="I97" t="s">
        <v>3</v>
      </c>
      <c r="J97" t="s">
        <v>5</v>
      </c>
    </row>
    <row r="98" spans="1:17" x14ac:dyDescent="0.15">
      <c r="A98" t="str">
        <f t="shared" si="12"/>
        <v>|レベル|報酬|</v>
      </c>
      <c r="B98" t="s">
        <v>3</v>
      </c>
      <c r="C98" t="s">
        <v>6</v>
      </c>
      <c r="E98" t="s">
        <v>3</v>
      </c>
      <c r="F98" t="s">
        <v>38</v>
      </c>
      <c r="I98" t="s">
        <v>3</v>
      </c>
      <c r="Q98" t="s">
        <v>7</v>
      </c>
    </row>
    <row r="99" spans="1:17" x14ac:dyDescent="0.15">
      <c r="A99" t="str">
        <f t="shared" si="12"/>
        <v>|Lｖ2|サポート+1|</v>
      </c>
      <c r="B99" t="s">
        <v>3</v>
      </c>
      <c r="C99" t="s">
        <v>39</v>
      </c>
      <c r="D99">
        <v>2</v>
      </c>
      <c r="E99" t="s">
        <v>3</v>
      </c>
      <c r="F99" t="s">
        <v>22</v>
      </c>
      <c r="G99" t="str">
        <f>IF(OR(F99=$Q$107,F99=$Q$108,F99=$Q$109,F99=$Q$110,ISBLANK(F99)),"","+")</f>
        <v>+</v>
      </c>
      <c r="H99">
        <v>1</v>
      </c>
      <c r="I99" t="s">
        <v>3</v>
      </c>
      <c r="Q99" t="s">
        <v>20</v>
      </c>
    </row>
    <row r="100" spans="1:17" x14ac:dyDescent="0.15">
      <c r="A100" t="str">
        <f t="shared" si="12"/>
        <v>|Lｖ3|HP+2|</v>
      </c>
      <c r="B100" t="s">
        <v>3</v>
      </c>
      <c r="C100" t="s">
        <v>39</v>
      </c>
      <c r="D100">
        <v>3</v>
      </c>
      <c r="E100" t="s">
        <v>3</v>
      </c>
      <c r="F100" t="s">
        <v>7</v>
      </c>
      <c r="G100" t="str">
        <f>IF(OR(F100=$Q$107,F100=$Q$108,F100=$Q$109,F100=$Q$110,ISBLANK(F100)),"","+")</f>
        <v>+</v>
      </c>
      <c r="H100">
        <v>2</v>
      </c>
      <c r="I100" t="s">
        <v>3</v>
      </c>
      <c r="Q100" t="s">
        <v>21</v>
      </c>
    </row>
    <row r="101" spans="1:17" x14ac:dyDescent="0.15">
      <c r="A101" t="str">
        <f t="shared" si="12"/>
        <v>|Lｖ4|青+1|</v>
      </c>
      <c r="B101" t="s">
        <v>3</v>
      </c>
      <c r="C101" t="s">
        <v>39</v>
      </c>
      <c r="D101">
        <v>4</v>
      </c>
      <c r="E101" t="s">
        <v>3</v>
      </c>
      <c r="F101" t="s">
        <v>12</v>
      </c>
      <c r="G101" t="str">
        <f>IF(OR(F101=$Q$107,F101=$Q$108,F101=$Q$109,F101=$Q$110,ISBLANK(F101)),"","+")</f>
        <v>+</v>
      </c>
      <c r="H101">
        <v>1</v>
      </c>
      <c r="I101" t="s">
        <v>3</v>
      </c>
      <c r="Q101" t="s">
        <v>22</v>
      </c>
    </row>
    <row r="102" spans="1:17" x14ac:dyDescent="0.15">
      <c r="A102" t="str">
        <f t="shared" si="12"/>
        <v>|Lｖ5|HP+2|</v>
      </c>
      <c r="B102" t="s">
        <v>3</v>
      </c>
      <c r="C102" t="s">
        <v>39</v>
      </c>
      <c r="D102">
        <v>5</v>
      </c>
      <c r="E102" t="s">
        <v>3</v>
      </c>
      <c r="F102" t="s">
        <v>7</v>
      </c>
      <c r="G102" t="str">
        <f>IF(OR(F102=$Q$107,F102=$Q$108,F102=$Q$109,F102=$Q$110,ISBLANK(F102)),"","+")</f>
        <v>+</v>
      </c>
      <c r="H102">
        <v>2</v>
      </c>
      <c r="I102" t="s">
        <v>3</v>
      </c>
      <c r="Q102" t="s">
        <v>11</v>
      </c>
    </row>
    <row r="103" spans="1:17" x14ac:dyDescent="0.15">
      <c r="A103" t="str">
        <f t="shared" si="12"/>
        <v>|Lｖ6|第1能力Lv1|</v>
      </c>
      <c r="B103" t="s">
        <v>3</v>
      </c>
      <c r="C103" t="s">
        <v>39</v>
      </c>
      <c r="D103">
        <v>6</v>
      </c>
      <c r="E103" t="s">
        <v>3</v>
      </c>
      <c r="F103" t="s">
        <v>40</v>
      </c>
      <c r="G103" t="str">
        <f>IF(OR(F103=$Q$107,F103=$Q$108,F103=$Q$109,F103=$Q$110,ISBLANK(F103)),"","+")</f>
        <v/>
      </c>
      <c r="H103">
        <v>1</v>
      </c>
      <c r="I103" t="s">
        <v>3</v>
      </c>
      <c r="Q103" t="s">
        <v>12</v>
      </c>
    </row>
    <row r="104" spans="1:17" x14ac:dyDescent="0.15">
      <c r="A104" t="str">
        <f t="shared" si="12"/>
        <v>|Lｖ7|HP+3|</v>
      </c>
      <c r="B104" t="s">
        <v>3</v>
      </c>
      <c r="C104" t="s">
        <v>39</v>
      </c>
      <c r="D104">
        <v>7</v>
      </c>
      <c r="E104" t="s">
        <v>3</v>
      </c>
      <c r="F104" t="s">
        <v>7</v>
      </c>
      <c r="G104" t="str">
        <f t="shared" ref="G104:G156" si="13">IF(OR(F104=$Q$107,F104=$Q$108,F104=$Q$109,F104=$Q$110,ISBLANK(F104)),"","+")</f>
        <v>+</v>
      </c>
      <c r="H104">
        <v>3</v>
      </c>
      <c r="I104" t="s">
        <v>3</v>
      </c>
      <c r="Q104" t="s">
        <v>13</v>
      </c>
    </row>
    <row r="105" spans="1:17" x14ac:dyDescent="0.15">
      <c r="A105" t="str">
        <f t="shared" si="12"/>
        <v>|Lｖ8|クリーチャー+1|</v>
      </c>
      <c r="B105" t="s">
        <v>3</v>
      </c>
      <c r="C105" t="s">
        <v>39</v>
      </c>
      <c r="D105">
        <v>8</v>
      </c>
      <c r="E105" t="s">
        <v>3</v>
      </c>
      <c r="F105" t="s">
        <v>20</v>
      </c>
      <c r="G105" t="str">
        <f t="shared" si="13"/>
        <v>+</v>
      </c>
      <c r="H105">
        <v>1</v>
      </c>
      <c r="I105" t="s">
        <v>3</v>
      </c>
      <c r="Q105" t="s">
        <v>14</v>
      </c>
    </row>
    <row r="106" spans="1:17" x14ac:dyDescent="0.15">
      <c r="A106" t="str">
        <f t="shared" si="12"/>
        <v>|Lｖ9|HP+2|</v>
      </c>
      <c r="B106" t="s">
        <v>3</v>
      </c>
      <c r="C106" t="s">
        <v>39</v>
      </c>
      <c r="D106">
        <v>9</v>
      </c>
      <c r="E106" t="s">
        <v>3</v>
      </c>
      <c r="F106" t="s">
        <v>7</v>
      </c>
      <c r="G106" t="str">
        <f t="shared" si="13"/>
        <v>+</v>
      </c>
      <c r="H106">
        <v>2</v>
      </c>
      <c r="I106" t="s">
        <v>3</v>
      </c>
      <c r="Q106" t="s">
        <v>15</v>
      </c>
    </row>
    <row r="107" spans="1:17" x14ac:dyDescent="0.15">
      <c r="A107" t="str">
        <f t="shared" si="12"/>
        <v>|Lｖ10|黒+1|</v>
      </c>
      <c r="B107" t="s">
        <v>3</v>
      </c>
      <c r="C107" t="s">
        <v>39</v>
      </c>
      <c r="D107">
        <v>10</v>
      </c>
      <c r="E107" t="s">
        <v>3</v>
      </c>
      <c r="F107" t="s">
        <v>13</v>
      </c>
      <c r="G107" t="str">
        <f t="shared" si="13"/>
        <v>+</v>
      </c>
      <c r="H107">
        <v>1</v>
      </c>
      <c r="I107" t="s">
        <v>3</v>
      </c>
      <c r="Q107" t="s">
        <v>40</v>
      </c>
    </row>
    <row r="108" spans="1:17" x14ac:dyDescent="0.15">
      <c r="A108" t="str">
        <f t="shared" si="12"/>
        <v>|Lｖ11|HP+2|</v>
      </c>
      <c r="B108" t="s">
        <v>3</v>
      </c>
      <c r="C108" t="s">
        <v>39</v>
      </c>
      <c r="D108">
        <v>11</v>
      </c>
      <c r="E108" t="s">
        <v>3</v>
      </c>
      <c r="F108" t="s">
        <v>7</v>
      </c>
      <c r="G108" t="str">
        <f t="shared" si="13"/>
        <v>+</v>
      </c>
      <c r="H108">
        <v>2</v>
      </c>
      <c r="I108" t="s">
        <v>3</v>
      </c>
      <c r="Q108" t="s">
        <v>41</v>
      </c>
    </row>
    <row r="109" spans="1:17" x14ac:dyDescent="0.15">
      <c r="A109" t="str">
        <f t="shared" si="12"/>
        <v>|Lｖ12|第2能力Lv1|</v>
      </c>
      <c r="B109" t="s">
        <v>3</v>
      </c>
      <c r="C109" t="s">
        <v>39</v>
      </c>
      <c r="D109">
        <v>12</v>
      </c>
      <c r="E109" t="s">
        <v>3</v>
      </c>
      <c r="F109" t="s">
        <v>41</v>
      </c>
      <c r="G109" t="str">
        <f t="shared" si="13"/>
        <v/>
      </c>
      <c r="H109">
        <v>1</v>
      </c>
      <c r="I109" t="s">
        <v>3</v>
      </c>
      <c r="Q109" t="s">
        <v>42</v>
      </c>
    </row>
    <row r="110" spans="1:17" x14ac:dyDescent="0.15">
      <c r="A110" t="str">
        <f t="shared" si="12"/>
        <v>|Lｖ13|HP+3|</v>
      </c>
      <c r="B110" t="s">
        <v>3</v>
      </c>
      <c r="C110" t="s">
        <v>39</v>
      </c>
      <c r="D110">
        <v>13</v>
      </c>
      <c r="E110" t="s">
        <v>3</v>
      </c>
      <c r="F110" t="s">
        <v>7</v>
      </c>
      <c r="G110" t="str">
        <f t="shared" si="13"/>
        <v>+</v>
      </c>
      <c r="H110">
        <v>3</v>
      </c>
      <c r="I110" t="s">
        <v>3</v>
      </c>
      <c r="Q110" t="s">
        <v>43</v>
      </c>
    </row>
    <row r="111" spans="1:17" x14ac:dyDescent="0.15">
      <c r="A111" t="str">
        <f t="shared" si="12"/>
        <v>|Lｖ14|呪文+2|</v>
      </c>
      <c r="B111" t="s">
        <v>3</v>
      </c>
      <c r="C111" t="s">
        <v>39</v>
      </c>
      <c r="D111">
        <v>14</v>
      </c>
      <c r="E111" t="s">
        <v>3</v>
      </c>
      <c r="F111" t="s">
        <v>21</v>
      </c>
      <c r="G111" t="str">
        <f t="shared" si="13"/>
        <v>+</v>
      </c>
      <c r="H111">
        <v>2</v>
      </c>
      <c r="I111" t="s">
        <v>3</v>
      </c>
    </row>
    <row r="112" spans="1:17" x14ac:dyDescent="0.15">
      <c r="A112" t="str">
        <f t="shared" si="12"/>
        <v>|Lｖ15|HP+2|</v>
      </c>
      <c r="B112" t="s">
        <v>3</v>
      </c>
      <c r="C112" t="s">
        <v>39</v>
      </c>
      <c r="D112">
        <v>15</v>
      </c>
      <c r="E112" t="s">
        <v>3</v>
      </c>
      <c r="F112" t="s">
        <v>7</v>
      </c>
      <c r="G112" t="str">
        <f t="shared" si="13"/>
        <v>+</v>
      </c>
      <c r="H112">
        <v>2</v>
      </c>
      <c r="I112" t="s">
        <v>3</v>
      </c>
    </row>
    <row r="113" spans="1:9" x14ac:dyDescent="0.15">
      <c r="A113" t="str">
        <f t="shared" si="12"/>
        <v>|Lｖ16|白+1|</v>
      </c>
      <c r="B113" t="s">
        <v>3</v>
      </c>
      <c r="C113" t="s">
        <v>39</v>
      </c>
      <c r="D113">
        <v>16</v>
      </c>
      <c r="E113" t="s">
        <v>3</v>
      </c>
      <c r="F113" t="s">
        <v>11</v>
      </c>
      <c r="G113" t="str">
        <f t="shared" si="13"/>
        <v>+</v>
      </c>
      <c r="H113">
        <v>1</v>
      </c>
      <c r="I113" t="s">
        <v>3</v>
      </c>
    </row>
    <row r="114" spans="1:9" x14ac:dyDescent="0.15">
      <c r="A114" t="str">
        <f t="shared" si="12"/>
        <v>|Lｖ17|HP+2|</v>
      </c>
      <c r="B114" t="s">
        <v>3</v>
      </c>
      <c r="C114" t="s">
        <v>39</v>
      </c>
      <c r="D114">
        <v>17</v>
      </c>
      <c r="E114" t="s">
        <v>3</v>
      </c>
      <c r="F114" t="s">
        <v>7</v>
      </c>
      <c r="G114" t="str">
        <f t="shared" si="13"/>
        <v>+</v>
      </c>
      <c r="H114">
        <v>2</v>
      </c>
      <c r="I114" t="s">
        <v>3</v>
      </c>
    </row>
    <row r="115" spans="1:9" x14ac:dyDescent="0.15">
      <c r="A115" t="str">
        <f t="shared" si="12"/>
        <v>|Lｖ18|第3能力Lv1|</v>
      </c>
      <c r="B115" t="s">
        <v>3</v>
      </c>
      <c r="C115" t="s">
        <v>39</v>
      </c>
      <c r="D115">
        <v>18</v>
      </c>
      <c r="E115" t="s">
        <v>3</v>
      </c>
      <c r="F115" t="s">
        <v>42</v>
      </c>
      <c r="G115" t="str">
        <f t="shared" si="13"/>
        <v/>
      </c>
      <c r="H115">
        <v>1</v>
      </c>
      <c r="I115" t="s">
        <v>3</v>
      </c>
    </row>
    <row r="116" spans="1:9" x14ac:dyDescent="0.15">
      <c r="A116" t="str">
        <f t="shared" si="12"/>
        <v>|Lｖ19|HP+3|</v>
      </c>
      <c r="B116" t="s">
        <v>3</v>
      </c>
      <c r="C116" t="s">
        <v>39</v>
      </c>
      <c r="D116">
        <v>19</v>
      </c>
      <c r="E116" t="s">
        <v>3</v>
      </c>
      <c r="F116" t="s">
        <v>7</v>
      </c>
      <c r="G116" t="str">
        <f t="shared" si="13"/>
        <v>+</v>
      </c>
      <c r="H116">
        <v>3</v>
      </c>
      <c r="I116" t="s">
        <v>3</v>
      </c>
    </row>
    <row r="117" spans="1:9" x14ac:dyDescent="0.15">
      <c r="A117" t="str">
        <f t="shared" si="12"/>
        <v>|Lｖ20|回復速度上昇|</v>
      </c>
      <c r="B117" t="s">
        <v>3</v>
      </c>
      <c r="C117" t="s">
        <v>39</v>
      </c>
      <c r="D117">
        <v>20</v>
      </c>
      <c r="E117" t="s">
        <v>3</v>
      </c>
      <c r="F117" t="s">
        <v>43</v>
      </c>
      <c r="G117" t="str">
        <f t="shared" si="13"/>
        <v/>
      </c>
      <c r="I117" t="s">
        <v>3</v>
      </c>
    </row>
    <row r="118" spans="1:9" x14ac:dyDescent="0.15">
      <c r="A118" t="str">
        <f t="shared" si="12"/>
        <v>|Lｖ21|HP+2|</v>
      </c>
      <c r="B118" t="s">
        <v>3</v>
      </c>
      <c r="C118" t="s">
        <v>39</v>
      </c>
      <c r="D118">
        <v>21</v>
      </c>
      <c r="E118" t="s">
        <v>3</v>
      </c>
      <c r="F118" t="s">
        <v>7</v>
      </c>
      <c r="G118" t="str">
        <f t="shared" si="13"/>
        <v>+</v>
      </c>
      <c r="H118">
        <v>2</v>
      </c>
      <c r="I118" t="s">
        <v>3</v>
      </c>
    </row>
    <row r="119" spans="1:9" x14ac:dyDescent="0.15">
      <c r="A119" t="str">
        <f t="shared" si="12"/>
        <v>|Lｖ22|赤+1|</v>
      </c>
      <c r="B119" t="s">
        <v>3</v>
      </c>
      <c r="C119" t="s">
        <v>39</v>
      </c>
      <c r="D119">
        <v>22</v>
      </c>
      <c r="E119" t="s">
        <v>3</v>
      </c>
      <c r="F119" t="s">
        <v>14</v>
      </c>
      <c r="G119" t="str">
        <f t="shared" si="13"/>
        <v>+</v>
      </c>
      <c r="H119">
        <v>1</v>
      </c>
      <c r="I119" t="s">
        <v>3</v>
      </c>
    </row>
    <row r="120" spans="1:9" x14ac:dyDescent="0.15">
      <c r="A120" t="str">
        <f t="shared" si="12"/>
        <v>|Lｖ23|HP+2|</v>
      </c>
      <c r="B120" t="s">
        <v>3</v>
      </c>
      <c r="C120" t="s">
        <v>39</v>
      </c>
      <c r="D120">
        <v>23</v>
      </c>
      <c r="E120" t="s">
        <v>3</v>
      </c>
      <c r="F120" t="s">
        <v>7</v>
      </c>
      <c r="G120" t="str">
        <f t="shared" si="13"/>
        <v>+</v>
      </c>
      <c r="H120">
        <v>2</v>
      </c>
      <c r="I120" t="s">
        <v>3</v>
      </c>
    </row>
    <row r="121" spans="1:9" x14ac:dyDescent="0.15">
      <c r="A121" t="str">
        <f t="shared" si="12"/>
        <v>|Lｖ24|第1能力Lv2|</v>
      </c>
      <c r="B121" t="s">
        <v>3</v>
      </c>
      <c r="C121" t="s">
        <v>39</v>
      </c>
      <c r="D121">
        <v>24</v>
      </c>
      <c r="E121" t="s">
        <v>3</v>
      </c>
      <c r="F121" t="s">
        <v>40</v>
      </c>
      <c r="G121" t="str">
        <f t="shared" si="13"/>
        <v/>
      </c>
      <c r="H121">
        <v>2</v>
      </c>
      <c r="I121" t="s">
        <v>3</v>
      </c>
    </row>
    <row r="122" spans="1:9" x14ac:dyDescent="0.15">
      <c r="A122" t="str">
        <f t="shared" si="12"/>
        <v>|Lｖ25|HP+3|</v>
      </c>
      <c r="B122" t="s">
        <v>3</v>
      </c>
      <c r="C122" t="s">
        <v>39</v>
      </c>
      <c r="D122">
        <v>25</v>
      </c>
      <c r="E122" t="s">
        <v>3</v>
      </c>
      <c r="F122" t="s">
        <v>7</v>
      </c>
      <c r="G122" t="str">
        <f t="shared" si="13"/>
        <v>+</v>
      </c>
      <c r="H122">
        <v>3</v>
      </c>
      <c r="I122" t="s">
        <v>3</v>
      </c>
    </row>
    <row r="123" spans="1:9" x14ac:dyDescent="0.15">
      <c r="A123" t="str">
        <f t="shared" si="12"/>
        <v>|Lｖ26|呪文+2|</v>
      </c>
      <c r="B123" t="s">
        <v>3</v>
      </c>
      <c r="C123" t="s">
        <v>39</v>
      </c>
      <c r="D123">
        <v>26</v>
      </c>
      <c r="E123" t="s">
        <v>3</v>
      </c>
      <c r="F123" t="s">
        <v>21</v>
      </c>
      <c r="G123" t="str">
        <f t="shared" si="13"/>
        <v>+</v>
      </c>
      <c r="H123">
        <v>2</v>
      </c>
      <c r="I123" t="s">
        <v>3</v>
      </c>
    </row>
    <row r="124" spans="1:9" x14ac:dyDescent="0.15">
      <c r="A124" t="str">
        <f t="shared" si="12"/>
        <v>|Lｖ27|HP+2|</v>
      </c>
      <c r="B124" t="s">
        <v>3</v>
      </c>
      <c r="C124" t="s">
        <v>39</v>
      </c>
      <c r="D124">
        <v>27</v>
      </c>
      <c r="E124" t="s">
        <v>3</v>
      </c>
      <c r="F124" t="s">
        <v>7</v>
      </c>
      <c r="G124" t="str">
        <f t="shared" si="13"/>
        <v>+</v>
      </c>
      <c r="H124">
        <v>2</v>
      </c>
      <c r="I124" t="s">
        <v>3</v>
      </c>
    </row>
    <row r="125" spans="1:9" x14ac:dyDescent="0.15">
      <c r="A125" t="str">
        <f t="shared" si="12"/>
        <v>|Lｖ28|緑+1|</v>
      </c>
      <c r="B125" t="s">
        <v>3</v>
      </c>
      <c r="C125" t="s">
        <v>39</v>
      </c>
      <c r="D125">
        <v>28</v>
      </c>
      <c r="E125" t="s">
        <v>3</v>
      </c>
      <c r="F125" t="s">
        <v>15</v>
      </c>
      <c r="G125" t="str">
        <f t="shared" si="13"/>
        <v>+</v>
      </c>
      <c r="H125">
        <v>1</v>
      </c>
      <c r="I125" t="s">
        <v>3</v>
      </c>
    </row>
    <row r="126" spans="1:9" x14ac:dyDescent="0.15">
      <c r="A126" t="str">
        <f t="shared" si="12"/>
        <v>|Lｖ29|HP+2|</v>
      </c>
      <c r="B126" t="s">
        <v>3</v>
      </c>
      <c r="C126" t="s">
        <v>39</v>
      </c>
      <c r="D126">
        <v>29</v>
      </c>
      <c r="E126" t="s">
        <v>3</v>
      </c>
      <c r="F126" t="s">
        <v>7</v>
      </c>
      <c r="G126" t="str">
        <f t="shared" si="13"/>
        <v>+</v>
      </c>
      <c r="H126">
        <v>2</v>
      </c>
      <c r="I126" t="s">
        <v>3</v>
      </c>
    </row>
    <row r="127" spans="1:9" x14ac:dyDescent="0.15">
      <c r="A127" t="str">
        <f t="shared" si="12"/>
        <v>|Lｖ30|第2能力Lv2|</v>
      </c>
      <c r="B127" t="s">
        <v>3</v>
      </c>
      <c r="C127" t="s">
        <v>39</v>
      </c>
      <c r="D127">
        <v>30</v>
      </c>
      <c r="E127" t="s">
        <v>3</v>
      </c>
      <c r="F127" t="s">
        <v>41</v>
      </c>
      <c r="G127" t="str">
        <f t="shared" si="13"/>
        <v/>
      </c>
      <c r="H127">
        <v>2</v>
      </c>
      <c r="I127" t="s">
        <v>3</v>
      </c>
    </row>
    <row r="128" spans="1:9" x14ac:dyDescent="0.15">
      <c r="A128" t="str">
        <f t="shared" si="12"/>
        <v>|Lｖ31|HP+3|</v>
      </c>
      <c r="B128" t="s">
        <v>3</v>
      </c>
      <c r="C128" t="s">
        <v>39</v>
      </c>
      <c r="D128">
        <v>31</v>
      </c>
      <c r="E128" t="s">
        <v>3</v>
      </c>
      <c r="F128" t="s">
        <v>7</v>
      </c>
      <c r="G128" t="str">
        <f t="shared" si="13"/>
        <v>+</v>
      </c>
      <c r="H128">
        <v>3</v>
      </c>
      <c r="I128" t="s">
        <v>3</v>
      </c>
    </row>
    <row r="129" spans="1:9" x14ac:dyDescent="0.15">
      <c r="A129" t="str">
        <f t="shared" si="12"/>
        <v>|Lｖ32|クリーチャー+1|</v>
      </c>
      <c r="B129" t="s">
        <v>3</v>
      </c>
      <c r="C129" t="s">
        <v>39</v>
      </c>
      <c r="D129">
        <v>32</v>
      </c>
      <c r="E129" t="s">
        <v>3</v>
      </c>
      <c r="F129" t="s">
        <v>20</v>
      </c>
      <c r="G129" t="str">
        <f t="shared" si="13"/>
        <v>+</v>
      </c>
      <c r="H129">
        <v>1</v>
      </c>
      <c r="I129" t="s">
        <v>3</v>
      </c>
    </row>
    <row r="130" spans="1:9" x14ac:dyDescent="0.15">
      <c r="A130" t="str">
        <f t="shared" si="12"/>
        <v>|Lｖ33|HP+2|</v>
      </c>
      <c r="B130" t="s">
        <v>3</v>
      </c>
      <c r="C130" t="s">
        <v>39</v>
      </c>
      <c r="D130">
        <v>33</v>
      </c>
      <c r="E130" t="s">
        <v>3</v>
      </c>
      <c r="F130" t="s">
        <v>7</v>
      </c>
      <c r="G130" t="str">
        <f t="shared" si="13"/>
        <v>+</v>
      </c>
      <c r="H130">
        <v>2</v>
      </c>
      <c r="I130" t="s">
        <v>3</v>
      </c>
    </row>
    <row r="131" spans="1:9" x14ac:dyDescent="0.15">
      <c r="A131" t="str">
        <f t="shared" si="12"/>
        <v>|Lｖ34|青+1|</v>
      </c>
      <c r="B131" t="s">
        <v>3</v>
      </c>
      <c r="C131" t="s">
        <v>39</v>
      </c>
      <c r="D131">
        <v>34</v>
      </c>
      <c r="E131" t="s">
        <v>3</v>
      </c>
      <c r="F131" t="s">
        <v>12</v>
      </c>
      <c r="G131" t="str">
        <f t="shared" si="13"/>
        <v>+</v>
      </c>
      <c r="H131">
        <v>1</v>
      </c>
      <c r="I131" t="s">
        <v>3</v>
      </c>
    </row>
    <row r="132" spans="1:9" x14ac:dyDescent="0.15">
      <c r="A132" t="str">
        <f t="shared" si="12"/>
        <v>|Lｖ35|HP+2|</v>
      </c>
      <c r="B132" t="s">
        <v>3</v>
      </c>
      <c r="C132" t="s">
        <v>39</v>
      </c>
      <c r="D132">
        <v>35</v>
      </c>
      <c r="E132" t="s">
        <v>3</v>
      </c>
      <c r="F132" t="s">
        <v>7</v>
      </c>
      <c r="G132" t="str">
        <f t="shared" si="13"/>
        <v>+</v>
      </c>
      <c r="H132">
        <v>2</v>
      </c>
      <c r="I132" t="s">
        <v>3</v>
      </c>
    </row>
    <row r="133" spans="1:9" x14ac:dyDescent="0.15">
      <c r="A133" t="str">
        <f t="shared" si="12"/>
        <v>|Lｖ36|第3能力Lv2|</v>
      </c>
      <c r="B133" t="s">
        <v>3</v>
      </c>
      <c r="C133" t="s">
        <v>39</v>
      </c>
      <c r="D133">
        <v>36</v>
      </c>
      <c r="E133" t="s">
        <v>3</v>
      </c>
      <c r="F133" t="s">
        <v>42</v>
      </c>
      <c r="G133" t="str">
        <f t="shared" si="13"/>
        <v/>
      </c>
      <c r="H133">
        <v>2</v>
      </c>
      <c r="I133" t="s">
        <v>3</v>
      </c>
    </row>
    <row r="134" spans="1:9" x14ac:dyDescent="0.15">
      <c r="A134" t="str">
        <f t="shared" si="12"/>
        <v>|Lｖ37|HP+3|</v>
      </c>
      <c r="B134" t="s">
        <v>3</v>
      </c>
      <c r="C134" t="s">
        <v>39</v>
      </c>
      <c r="D134">
        <v>37</v>
      </c>
      <c r="E134" t="s">
        <v>3</v>
      </c>
      <c r="F134" t="s">
        <v>7</v>
      </c>
      <c r="G134" t="str">
        <f t="shared" si="13"/>
        <v>+</v>
      </c>
      <c r="H134">
        <v>3</v>
      </c>
      <c r="I134" t="s">
        <v>3</v>
      </c>
    </row>
    <row r="135" spans="1:9" x14ac:dyDescent="0.15">
      <c r="A135" t="str">
        <f t="shared" si="12"/>
        <v>|Lｖ38|回復速度上昇|</v>
      </c>
      <c r="B135" t="s">
        <v>3</v>
      </c>
      <c r="C135" t="s">
        <v>39</v>
      </c>
      <c r="D135">
        <v>38</v>
      </c>
      <c r="E135" t="s">
        <v>3</v>
      </c>
      <c r="F135" t="s">
        <v>43</v>
      </c>
      <c r="G135" t="str">
        <f t="shared" si="13"/>
        <v/>
      </c>
      <c r="I135" t="s">
        <v>3</v>
      </c>
    </row>
    <row r="136" spans="1:9" x14ac:dyDescent="0.15">
      <c r="A136" t="str">
        <f t="shared" si="12"/>
        <v>|Lｖ39|HP+2|</v>
      </c>
      <c r="B136" t="s">
        <v>3</v>
      </c>
      <c r="C136" t="s">
        <v>39</v>
      </c>
      <c r="D136">
        <v>39</v>
      </c>
      <c r="E136" t="s">
        <v>3</v>
      </c>
      <c r="F136" t="s">
        <v>7</v>
      </c>
      <c r="G136" t="str">
        <f t="shared" si="13"/>
        <v>+</v>
      </c>
      <c r="H136">
        <v>2</v>
      </c>
      <c r="I136" t="s">
        <v>3</v>
      </c>
    </row>
    <row r="137" spans="1:9" x14ac:dyDescent="0.15">
      <c r="A137" t="str">
        <f t="shared" si="12"/>
        <v>|Lｖ40|第1能力Lv3|</v>
      </c>
      <c r="B137" t="s">
        <v>3</v>
      </c>
      <c r="C137" t="s">
        <v>39</v>
      </c>
      <c r="D137">
        <v>40</v>
      </c>
      <c r="E137" t="s">
        <v>3</v>
      </c>
      <c r="F137" t="s">
        <v>40</v>
      </c>
      <c r="G137" t="str">
        <f t="shared" si="13"/>
        <v/>
      </c>
      <c r="H137">
        <v>3</v>
      </c>
      <c r="I137" t="s">
        <v>3</v>
      </c>
    </row>
    <row r="138" spans="1:9" x14ac:dyDescent="0.15">
      <c r="A138" t="str">
        <f t="shared" si="12"/>
        <v>|Lｖ41|HP+2|</v>
      </c>
      <c r="B138" t="s">
        <v>3</v>
      </c>
      <c r="C138" t="s">
        <v>39</v>
      </c>
      <c r="D138">
        <v>41</v>
      </c>
      <c r="E138" t="s">
        <v>3</v>
      </c>
      <c r="F138" t="s">
        <v>7</v>
      </c>
      <c r="G138" t="str">
        <f t="shared" si="13"/>
        <v>+</v>
      </c>
      <c r="H138">
        <v>2</v>
      </c>
      <c r="I138" t="s">
        <v>3</v>
      </c>
    </row>
    <row r="139" spans="1:9" x14ac:dyDescent="0.15">
      <c r="A139" t="str">
        <f t="shared" si="12"/>
        <v>|Lｖ42|黒+1|</v>
      </c>
      <c r="B139" t="s">
        <v>3</v>
      </c>
      <c r="C139" t="s">
        <v>39</v>
      </c>
      <c r="D139">
        <v>42</v>
      </c>
      <c r="E139" t="s">
        <v>3</v>
      </c>
      <c r="F139" t="s">
        <v>13</v>
      </c>
      <c r="G139" t="str">
        <f t="shared" si="13"/>
        <v>+</v>
      </c>
      <c r="H139">
        <v>1</v>
      </c>
      <c r="I139" t="s">
        <v>3</v>
      </c>
    </row>
    <row r="140" spans="1:9" x14ac:dyDescent="0.15">
      <c r="A140" t="str">
        <f t="shared" si="12"/>
        <v>|Lｖ43|HP+3|</v>
      </c>
      <c r="B140" t="s">
        <v>3</v>
      </c>
      <c r="C140" t="s">
        <v>39</v>
      </c>
      <c r="D140">
        <v>43</v>
      </c>
      <c r="E140" t="s">
        <v>3</v>
      </c>
      <c r="F140" t="s">
        <v>7</v>
      </c>
      <c r="G140" t="str">
        <f t="shared" si="13"/>
        <v>+</v>
      </c>
      <c r="H140">
        <v>3</v>
      </c>
      <c r="I140" t="s">
        <v>3</v>
      </c>
    </row>
    <row r="141" spans="1:9" x14ac:dyDescent="0.15">
      <c r="A141" t="str">
        <f t="shared" si="12"/>
        <v>|Lｖ44|クリーチャー+1|</v>
      </c>
      <c r="B141" t="s">
        <v>3</v>
      </c>
      <c r="C141" t="s">
        <v>39</v>
      </c>
      <c r="D141">
        <v>44</v>
      </c>
      <c r="E141" t="s">
        <v>3</v>
      </c>
      <c r="F141" t="s">
        <v>20</v>
      </c>
      <c r="G141" t="str">
        <f t="shared" si="13"/>
        <v>+</v>
      </c>
      <c r="H141">
        <v>1</v>
      </c>
      <c r="I141" t="s">
        <v>3</v>
      </c>
    </row>
    <row r="142" spans="1:9" x14ac:dyDescent="0.15">
      <c r="A142" t="str">
        <f t="shared" si="12"/>
        <v>|Lｖ45|HP+2|</v>
      </c>
      <c r="B142" t="s">
        <v>3</v>
      </c>
      <c r="C142" t="s">
        <v>39</v>
      </c>
      <c r="D142">
        <v>45</v>
      </c>
      <c r="E142" t="s">
        <v>3</v>
      </c>
      <c r="F142" t="s">
        <v>7</v>
      </c>
      <c r="G142" t="str">
        <f t="shared" si="13"/>
        <v>+</v>
      </c>
      <c r="H142">
        <v>2</v>
      </c>
      <c r="I142" t="s">
        <v>3</v>
      </c>
    </row>
    <row r="143" spans="1:9" x14ac:dyDescent="0.15">
      <c r="A143" t="str">
        <f t="shared" si="12"/>
        <v>|Lｖ46|第2能力Lv3|</v>
      </c>
      <c r="B143" t="s">
        <v>3</v>
      </c>
      <c r="C143" t="s">
        <v>39</v>
      </c>
      <c r="D143">
        <v>46</v>
      </c>
      <c r="E143" t="s">
        <v>3</v>
      </c>
      <c r="F143" t="s">
        <v>41</v>
      </c>
      <c r="G143" t="str">
        <f t="shared" si="13"/>
        <v/>
      </c>
      <c r="H143">
        <v>3</v>
      </c>
      <c r="I143" t="s">
        <v>3</v>
      </c>
    </row>
    <row r="144" spans="1:9" x14ac:dyDescent="0.15">
      <c r="A144" t="str">
        <f t="shared" si="12"/>
        <v>|Lｖ47|HP+2|</v>
      </c>
      <c r="B144" t="s">
        <v>3</v>
      </c>
      <c r="C144" t="s">
        <v>39</v>
      </c>
      <c r="D144">
        <v>47</v>
      </c>
      <c r="E144" t="s">
        <v>3</v>
      </c>
      <c r="F144" t="s">
        <v>7</v>
      </c>
      <c r="G144" t="str">
        <f t="shared" si="13"/>
        <v>+</v>
      </c>
      <c r="H144">
        <v>2</v>
      </c>
      <c r="I144" t="s">
        <v>3</v>
      </c>
    </row>
    <row r="145" spans="1:9" x14ac:dyDescent="0.15">
      <c r="A145" t="str">
        <f t="shared" si="12"/>
        <v>|Lｖ48|白+1|</v>
      </c>
      <c r="B145" t="s">
        <v>3</v>
      </c>
      <c r="C145" t="s">
        <v>39</v>
      </c>
      <c r="D145">
        <v>48</v>
      </c>
      <c r="E145" t="s">
        <v>3</v>
      </c>
      <c r="F145" t="s">
        <v>11</v>
      </c>
      <c r="G145" t="str">
        <f t="shared" si="13"/>
        <v>+</v>
      </c>
      <c r="H145">
        <v>1</v>
      </c>
      <c r="I145" t="s">
        <v>3</v>
      </c>
    </row>
    <row r="146" spans="1:9" x14ac:dyDescent="0.15">
      <c r="A146" t="str">
        <f t="shared" si="12"/>
        <v>|Lｖ49|HP+3|</v>
      </c>
      <c r="B146" t="s">
        <v>3</v>
      </c>
      <c r="C146" t="s">
        <v>39</v>
      </c>
      <c r="D146">
        <v>49</v>
      </c>
      <c r="E146" t="s">
        <v>3</v>
      </c>
      <c r="F146" t="s">
        <v>7</v>
      </c>
      <c r="G146" t="str">
        <f t="shared" si="13"/>
        <v>+</v>
      </c>
      <c r="H146">
        <v>3</v>
      </c>
      <c r="I146" t="s">
        <v>3</v>
      </c>
    </row>
    <row r="147" spans="1:9" x14ac:dyDescent="0.15">
      <c r="A147" t="str">
        <f t="shared" si="12"/>
        <v>|Lｖ50|サポート+2|</v>
      </c>
      <c r="B147" t="s">
        <v>3</v>
      </c>
      <c r="C147" t="s">
        <v>39</v>
      </c>
      <c r="D147">
        <v>50</v>
      </c>
      <c r="E147" t="s">
        <v>3</v>
      </c>
      <c r="F147" t="s">
        <v>22</v>
      </c>
      <c r="G147" t="str">
        <f t="shared" si="13"/>
        <v>+</v>
      </c>
      <c r="H147">
        <v>2</v>
      </c>
      <c r="I147" t="s">
        <v>3</v>
      </c>
    </row>
    <row r="148" spans="1:9" x14ac:dyDescent="0.15">
      <c r="A148" t="str">
        <f t="shared" si="12"/>
        <v>|Lｖ51|HP+2|</v>
      </c>
      <c r="B148" t="s">
        <v>3</v>
      </c>
      <c r="C148" t="s">
        <v>39</v>
      </c>
      <c r="D148">
        <v>51</v>
      </c>
      <c r="E148" t="s">
        <v>3</v>
      </c>
      <c r="F148" t="s">
        <v>7</v>
      </c>
      <c r="G148" t="str">
        <f t="shared" si="13"/>
        <v>+</v>
      </c>
      <c r="H148">
        <v>2</v>
      </c>
      <c r="I148" t="s">
        <v>3</v>
      </c>
    </row>
    <row r="149" spans="1:9" x14ac:dyDescent="0.15">
      <c r="A149" t="str">
        <f t="shared" si="12"/>
        <v>|Lｖ52|第3能力Lv3|</v>
      </c>
      <c r="B149" t="s">
        <v>3</v>
      </c>
      <c r="C149" t="s">
        <v>39</v>
      </c>
      <c r="D149">
        <v>52</v>
      </c>
      <c r="E149" t="s">
        <v>3</v>
      </c>
      <c r="F149" t="s">
        <v>42</v>
      </c>
      <c r="G149" t="str">
        <f t="shared" si="13"/>
        <v/>
      </c>
      <c r="H149">
        <v>3</v>
      </c>
      <c r="I149" t="s">
        <v>3</v>
      </c>
    </row>
    <row r="150" spans="1:9" x14ac:dyDescent="0.15">
      <c r="A150" t="str">
        <f t="shared" si="12"/>
        <v>|Lｖ53|HP+2|</v>
      </c>
      <c r="B150" t="s">
        <v>3</v>
      </c>
      <c r="C150" t="s">
        <v>39</v>
      </c>
      <c r="D150">
        <v>53</v>
      </c>
      <c r="E150" t="s">
        <v>3</v>
      </c>
      <c r="F150" t="s">
        <v>7</v>
      </c>
      <c r="G150" t="str">
        <f t="shared" si="13"/>
        <v>+</v>
      </c>
      <c r="H150">
        <v>2</v>
      </c>
      <c r="I150" t="s">
        <v>3</v>
      </c>
    </row>
    <row r="151" spans="1:9" x14ac:dyDescent="0.15">
      <c r="A151" t="str">
        <f t="shared" si="12"/>
        <v>|Lｖ54|呪文+2|</v>
      </c>
      <c r="B151" t="s">
        <v>3</v>
      </c>
      <c r="C151" t="s">
        <v>39</v>
      </c>
      <c r="D151">
        <v>54</v>
      </c>
      <c r="E151" t="s">
        <v>3</v>
      </c>
      <c r="F151" t="s">
        <v>21</v>
      </c>
      <c r="G151" t="str">
        <f t="shared" si="13"/>
        <v>+</v>
      </c>
      <c r="H151">
        <v>2</v>
      </c>
      <c r="I151" t="s">
        <v>3</v>
      </c>
    </row>
    <row r="152" spans="1:9" x14ac:dyDescent="0.15">
      <c r="A152" t="str">
        <f t="shared" ref="A152:A163" si="14">B152&amp;C152&amp;D152&amp;E152&amp;F152&amp;G152&amp;H152&amp;I152&amp;J152&amp;K152&amp;L152&amp;M152&amp;N152&amp;O152&amp;P152</f>
        <v>|Lｖ55|HP+3|</v>
      </c>
      <c r="B152" t="s">
        <v>3</v>
      </c>
      <c r="C152" t="s">
        <v>39</v>
      </c>
      <c r="D152">
        <v>55</v>
      </c>
      <c r="E152" t="s">
        <v>3</v>
      </c>
      <c r="F152" t="s">
        <v>7</v>
      </c>
      <c r="G152" t="str">
        <f t="shared" si="13"/>
        <v>+</v>
      </c>
      <c r="H152">
        <v>3</v>
      </c>
      <c r="I152" t="s">
        <v>3</v>
      </c>
    </row>
    <row r="153" spans="1:9" x14ac:dyDescent="0.15">
      <c r="A153" t="str">
        <f t="shared" si="14"/>
        <v>|Lｖ56|第1能力Lv4|</v>
      </c>
      <c r="B153" t="s">
        <v>3</v>
      </c>
      <c r="C153" t="s">
        <v>39</v>
      </c>
      <c r="D153">
        <v>56</v>
      </c>
      <c r="E153" t="s">
        <v>3</v>
      </c>
      <c r="F153" t="s">
        <v>40</v>
      </c>
      <c r="G153" t="str">
        <f t="shared" si="13"/>
        <v/>
      </c>
      <c r="H153">
        <v>4</v>
      </c>
      <c r="I153" t="s">
        <v>3</v>
      </c>
    </row>
    <row r="154" spans="1:9" x14ac:dyDescent="0.15">
      <c r="A154" t="str">
        <f t="shared" si="14"/>
        <v>|Lｖ57|HP+2|</v>
      </c>
      <c r="B154" t="s">
        <v>3</v>
      </c>
      <c r="C154" t="s">
        <v>39</v>
      </c>
      <c r="D154">
        <v>57</v>
      </c>
      <c r="E154" t="s">
        <v>3</v>
      </c>
      <c r="F154" t="s">
        <v>7</v>
      </c>
      <c r="G154" t="str">
        <f t="shared" si="13"/>
        <v>+</v>
      </c>
      <c r="H154">
        <v>2</v>
      </c>
      <c r="I154" t="s">
        <v>3</v>
      </c>
    </row>
    <row r="155" spans="1:9" x14ac:dyDescent="0.15">
      <c r="A155" t="str">
        <f t="shared" si="14"/>
        <v>|Lｖ58|第2能力Lv4|</v>
      </c>
      <c r="B155" t="s">
        <v>3</v>
      </c>
      <c r="C155" t="s">
        <v>39</v>
      </c>
      <c r="D155">
        <v>58</v>
      </c>
      <c r="E155" t="s">
        <v>3</v>
      </c>
      <c r="F155" t="s">
        <v>41</v>
      </c>
      <c r="G155" t="str">
        <f t="shared" si="13"/>
        <v/>
      </c>
      <c r="H155">
        <v>4</v>
      </c>
      <c r="I155" t="s">
        <v>3</v>
      </c>
    </row>
    <row r="156" spans="1:9" x14ac:dyDescent="0.15">
      <c r="A156" t="str">
        <f t="shared" si="14"/>
        <v>|Lｖ59|HP+2|</v>
      </c>
      <c r="B156" t="s">
        <v>3</v>
      </c>
      <c r="C156" t="s">
        <v>39</v>
      </c>
      <c r="D156">
        <v>59</v>
      </c>
      <c r="E156" t="s">
        <v>3</v>
      </c>
      <c r="F156" t="s">
        <v>7</v>
      </c>
      <c r="G156" t="str">
        <f t="shared" si="13"/>
        <v>+</v>
      </c>
      <c r="H156">
        <v>2</v>
      </c>
      <c r="I156" t="s">
        <v>3</v>
      </c>
    </row>
    <row r="157" spans="1:9" x14ac:dyDescent="0.15">
      <c r="A157" t="str">
        <f t="shared" si="14"/>
        <v>|Lｖ60|第3能力Lv4|</v>
      </c>
      <c r="B157" t="s">
        <v>3</v>
      </c>
      <c r="C157" t="s">
        <v>39</v>
      </c>
      <c r="D157">
        <v>60</v>
      </c>
      <c r="E157" t="s">
        <v>3</v>
      </c>
      <c r="F157" t="s">
        <v>42</v>
      </c>
      <c r="G157" t="s">
        <v>44</v>
      </c>
      <c r="H157">
        <v>4</v>
      </c>
      <c r="I157" t="s">
        <v>3</v>
      </c>
    </row>
    <row r="158" spans="1:9" x14ac:dyDescent="0.15">
      <c r="A158" t="str">
        <f t="shared" si="14"/>
        <v>必要総経験値：79920ルーン</v>
      </c>
      <c r="B158" t="s">
        <v>45</v>
      </c>
      <c r="C158">
        <v>79920</v>
      </c>
      <c r="F158" t="s">
        <v>46</v>
      </c>
    </row>
    <row r="159" spans="1:9" x14ac:dyDescent="0.15">
      <c r="A159" t="str">
        <f t="shared" si="14"/>
        <v>&amp;br;</v>
      </c>
      <c r="B159" t="s">
        <v>0</v>
      </c>
    </row>
    <row r="160" spans="1:9" x14ac:dyDescent="0.15">
      <c r="A160" t="str">
        <f t="shared" si="14"/>
        <v>#back(text=戻る,left)</v>
      </c>
      <c r="B160" t="s">
        <v>47</v>
      </c>
    </row>
    <row r="161" spans="1:2" x14ac:dyDescent="0.15">
      <c r="A161" t="str">
        <f t="shared" si="14"/>
        <v>&amp;br;</v>
      </c>
      <c r="B161" t="s">
        <v>0</v>
      </c>
    </row>
    <row r="162" spans="1:2" x14ac:dyDescent="0.15">
      <c r="A162" t="str">
        <f t="shared" si="14"/>
        <v>#comment(above,nsize=[15],size=[30],num=[10])</v>
      </c>
      <c r="B162" t="s">
        <v>48</v>
      </c>
    </row>
    <row r="163" spans="1:2" x14ac:dyDescent="0.15">
      <c r="A163" t="str">
        <f t="shared" si="14"/>
        <v>[[プレインズウォーカーリスト&gt;プレインズウォーカーリスト]]</v>
      </c>
      <c r="B163" t="s">
        <v>49</v>
      </c>
    </row>
  </sheetData>
  <autoFilter ref="C98:I163"/>
  <phoneticPr fontId="4"/>
  <dataValidations count="2">
    <dataValidation type="list" allowBlank="1" showInputMessage="1" showErrorMessage="1" sqref="F158">
      <formula1>$Q$88:$Q$100</formula1>
    </dataValidation>
    <dataValidation type="list" allowBlank="1" showInputMessage="1" showErrorMessage="1" sqref="F99:F157">
      <formula1>$Q$98:$Q$110</formula1>
    </dataValidation>
  </dataValidations>
  <pageMargins left="0.69930555555555596" right="0.69930555555555596"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S163"/>
  <sheetViews>
    <sheetView workbookViewId="0">
      <selection activeCell="R69" sqref="R69:R88"/>
    </sheetView>
  </sheetViews>
  <sheetFormatPr defaultColWidth="9" defaultRowHeight="13.5" x14ac:dyDescent="0.15"/>
  <cols>
    <col min="2" max="2" width="3.5" customWidth="1"/>
    <col min="3" max="3" width="7.875" customWidth="1"/>
    <col min="4" max="4" width="5.5" customWidth="1"/>
    <col min="5" max="5" width="2" customWidth="1"/>
    <col min="7" max="7" width="2" customWidth="1"/>
    <col min="9" max="9" width="2" customWidth="1"/>
    <col min="11" max="11" width="2" customWidth="1"/>
    <col min="13" max="13" width="2" customWidth="1"/>
    <col min="15" max="15" width="2" customWidth="1"/>
    <col min="17" max="17" width="2.75" customWidth="1"/>
  </cols>
  <sheetData>
    <row r="1" spans="1:8" x14ac:dyDescent="0.15">
      <c r="A1" t="str">
        <f>B1&amp;C1&amp;D1&amp;E1&amp;F1&amp;G1&amp;H1&amp;I1&amp;J1&amp;K1&amp;L1&amp;M1&amp;N1&amp;O1&amp;P1</f>
        <v>特別オファーで購入するか、期間限定でMCを支払い購入することで入手できる。</v>
      </c>
      <c r="B1" t="s">
        <v>130</v>
      </c>
    </row>
    <row r="2" spans="1:8" x14ac:dyDescent="0.15">
      <c r="A2" t="str">
        <f>B2&amp;C2&amp;D2&amp;E2&amp;F2&amp;G2&amp;H2&amp;I2&amp;J2&amp;K2&amp;L2&amp;M2&amp;N2&amp;O2&amp;P2</f>
        <v>&amp;br;</v>
      </c>
      <c r="B2" t="s">
        <v>0</v>
      </c>
    </row>
    <row r="3" spans="1:8" x14ac:dyDescent="0.15">
      <c r="A3" t="str">
        <f>B3&amp;C3&amp;D3&amp;E3&amp;F3&amp;G3&amp;H3&amp;I3&amp;J3&amp;K3&amp;L3&amp;M3&amp;N3&amp;O3&amp;P3</f>
        <v>#contents()</v>
      </c>
      <c r="B3" t="s">
        <v>1</v>
      </c>
    </row>
    <row r="4" spans="1:8" x14ac:dyDescent="0.15">
      <c r="A4" t="str">
        <f>B4&amp;C4&amp;D4&amp;E4&amp;F4&amp;G4&amp;H4&amp;I4&amp;J4&amp;K4&amp;L4&amp;M4&amp;N4&amp;O4&amp;P4</f>
        <v>*HP [#f569d8c6]</v>
      </c>
      <c r="B4" t="s">
        <v>2</v>
      </c>
    </row>
    <row r="5" spans="1:8" x14ac:dyDescent="0.15">
      <c r="A5" t="str">
        <f>B5&amp;C5&amp;D5&amp;E5&amp;F5&amp;G5&amp;H5</f>
        <v>|LEFT:50|LEFT:50|c</v>
      </c>
      <c r="B5" t="s">
        <v>3</v>
      </c>
      <c r="C5" t="s">
        <v>4</v>
      </c>
      <c r="E5" t="s">
        <v>3</v>
      </c>
      <c r="F5" t="s">
        <v>4</v>
      </c>
      <c r="G5" t="s">
        <v>3</v>
      </c>
      <c r="H5" t="s">
        <v>5</v>
      </c>
    </row>
    <row r="6" spans="1:8" x14ac:dyDescent="0.15">
      <c r="A6" t="str">
        <f t="shared" ref="A6:A35" si="0">B6&amp;C6&amp;D6&amp;E6&amp;F6&amp;G6&amp;H6</f>
        <v>|レベル|HP|</v>
      </c>
      <c r="B6" t="s">
        <v>3</v>
      </c>
      <c r="C6" t="s">
        <v>6</v>
      </c>
      <c r="E6" t="s">
        <v>3</v>
      </c>
      <c r="F6" t="s">
        <v>7</v>
      </c>
      <c r="G6" t="s">
        <v>3</v>
      </c>
    </row>
    <row r="7" spans="1:8" x14ac:dyDescent="0.15">
      <c r="A7" t="str">
        <f t="shared" si="0"/>
        <v>|Lv1|20|</v>
      </c>
      <c r="B7" t="s">
        <v>3</v>
      </c>
      <c r="C7" t="s">
        <v>8</v>
      </c>
      <c r="D7">
        <v>1</v>
      </c>
      <c r="E7" t="s">
        <v>3</v>
      </c>
      <c r="F7">
        <v>20</v>
      </c>
      <c r="G7" t="s">
        <v>3</v>
      </c>
    </row>
    <row r="8" spans="1:8" x14ac:dyDescent="0.15">
      <c r="A8" t="str">
        <f t="shared" si="0"/>
        <v>|Lv3|23|</v>
      </c>
      <c r="B8" t="s">
        <v>3</v>
      </c>
      <c r="C8" t="s">
        <v>8</v>
      </c>
      <c r="D8">
        <v>3</v>
      </c>
      <c r="E8" t="s">
        <v>3</v>
      </c>
      <c r="F8">
        <f t="shared" ref="F8:F35" si="1">IF(ISBLANK(D8),"",F7+INDEX($H$98:$H$157,D8))</f>
        <v>23</v>
      </c>
      <c r="G8" t="s">
        <v>3</v>
      </c>
    </row>
    <row r="9" spans="1:8" x14ac:dyDescent="0.15">
      <c r="A9" t="str">
        <f t="shared" si="0"/>
        <v>|Lv5|26|</v>
      </c>
      <c r="B9" t="s">
        <v>3</v>
      </c>
      <c r="C9" t="s">
        <v>8</v>
      </c>
      <c r="D9">
        <v>5</v>
      </c>
      <c r="E9" t="s">
        <v>3</v>
      </c>
      <c r="F9">
        <f t="shared" si="1"/>
        <v>26</v>
      </c>
      <c r="G9" t="s">
        <v>3</v>
      </c>
    </row>
    <row r="10" spans="1:8" x14ac:dyDescent="0.15">
      <c r="A10" t="str">
        <f t="shared" si="0"/>
        <v>|Lv7|29|</v>
      </c>
      <c r="B10" t="s">
        <v>3</v>
      </c>
      <c r="C10" t="s">
        <v>8</v>
      </c>
      <c r="D10">
        <v>7</v>
      </c>
      <c r="E10" t="s">
        <v>3</v>
      </c>
      <c r="F10">
        <f t="shared" si="1"/>
        <v>29</v>
      </c>
      <c r="G10" t="s">
        <v>3</v>
      </c>
    </row>
    <row r="11" spans="1:8" x14ac:dyDescent="0.15">
      <c r="A11" t="str">
        <f t="shared" si="0"/>
        <v>|Lv9|32|</v>
      </c>
      <c r="B11" t="s">
        <v>3</v>
      </c>
      <c r="C11" t="s">
        <v>8</v>
      </c>
      <c r="D11">
        <v>9</v>
      </c>
      <c r="E11" t="s">
        <v>3</v>
      </c>
      <c r="F11">
        <f t="shared" si="1"/>
        <v>32</v>
      </c>
      <c r="G11" t="s">
        <v>3</v>
      </c>
    </row>
    <row r="12" spans="1:8" x14ac:dyDescent="0.15">
      <c r="A12" t="str">
        <f t="shared" si="0"/>
        <v>|Lv11|35|</v>
      </c>
      <c r="B12" t="s">
        <v>3</v>
      </c>
      <c r="C12" t="s">
        <v>8</v>
      </c>
      <c r="D12">
        <v>11</v>
      </c>
      <c r="E12" t="s">
        <v>3</v>
      </c>
      <c r="F12">
        <f t="shared" si="1"/>
        <v>35</v>
      </c>
      <c r="G12" t="s">
        <v>3</v>
      </c>
    </row>
    <row r="13" spans="1:8" x14ac:dyDescent="0.15">
      <c r="A13" t="str">
        <f t="shared" si="0"/>
        <v>|Lv13|38|</v>
      </c>
      <c r="B13" t="s">
        <v>3</v>
      </c>
      <c r="C13" t="s">
        <v>8</v>
      </c>
      <c r="D13">
        <v>13</v>
      </c>
      <c r="E13" t="s">
        <v>3</v>
      </c>
      <c r="F13">
        <f t="shared" si="1"/>
        <v>38</v>
      </c>
      <c r="G13" t="s">
        <v>3</v>
      </c>
    </row>
    <row r="14" spans="1:8" x14ac:dyDescent="0.15">
      <c r="A14" t="str">
        <f t="shared" si="0"/>
        <v>|Lv15|41|</v>
      </c>
      <c r="B14" t="s">
        <v>3</v>
      </c>
      <c r="C14" t="s">
        <v>8</v>
      </c>
      <c r="D14">
        <v>15</v>
      </c>
      <c r="E14" t="s">
        <v>3</v>
      </c>
      <c r="F14">
        <f t="shared" si="1"/>
        <v>41</v>
      </c>
      <c r="G14" t="s">
        <v>3</v>
      </c>
    </row>
    <row r="15" spans="1:8" x14ac:dyDescent="0.15">
      <c r="A15" t="str">
        <f t="shared" si="0"/>
        <v>|Lv17|44|</v>
      </c>
      <c r="B15" t="s">
        <v>3</v>
      </c>
      <c r="C15" t="s">
        <v>8</v>
      </c>
      <c r="D15">
        <v>17</v>
      </c>
      <c r="E15" t="s">
        <v>3</v>
      </c>
      <c r="F15">
        <f t="shared" si="1"/>
        <v>44</v>
      </c>
      <c r="G15" t="s">
        <v>3</v>
      </c>
    </row>
    <row r="16" spans="1:8" x14ac:dyDescent="0.15">
      <c r="A16" t="str">
        <f t="shared" si="0"/>
        <v>|Lv19|47|</v>
      </c>
      <c r="B16" t="s">
        <v>3</v>
      </c>
      <c r="C16" t="s">
        <v>8</v>
      </c>
      <c r="D16">
        <v>19</v>
      </c>
      <c r="E16" t="s">
        <v>3</v>
      </c>
      <c r="F16">
        <f t="shared" si="1"/>
        <v>47</v>
      </c>
      <c r="G16" t="s">
        <v>3</v>
      </c>
    </row>
    <row r="17" spans="1:7" x14ac:dyDescent="0.15">
      <c r="A17" t="str">
        <f t="shared" si="0"/>
        <v>|Lv21|50|</v>
      </c>
      <c r="B17" t="s">
        <v>3</v>
      </c>
      <c r="C17" t="s">
        <v>8</v>
      </c>
      <c r="D17">
        <v>21</v>
      </c>
      <c r="E17" t="s">
        <v>3</v>
      </c>
      <c r="F17">
        <f t="shared" si="1"/>
        <v>50</v>
      </c>
      <c r="G17" t="s">
        <v>3</v>
      </c>
    </row>
    <row r="18" spans="1:7" x14ac:dyDescent="0.15">
      <c r="A18" t="str">
        <f t="shared" si="0"/>
        <v>|Lv23|53|</v>
      </c>
      <c r="B18" t="s">
        <v>3</v>
      </c>
      <c r="C18" t="s">
        <v>8</v>
      </c>
      <c r="D18">
        <v>23</v>
      </c>
      <c r="E18" t="s">
        <v>3</v>
      </c>
      <c r="F18">
        <f t="shared" si="1"/>
        <v>53</v>
      </c>
      <c r="G18" t="s">
        <v>3</v>
      </c>
    </row>
    <row r="19" spans="1:7" x14ac:dyDescent="0.15">
      <c r="A19" t="str">
        <f t="shared" si="0"/>
        <v>|Lv25|56|</v>
      </c>
      <c r="B19" t="s">
        <v>3</v>
      </c>
      <c r="C19" t="s">
        <v>8</v>
      </c>
      <c r="D19">
        <v>25</v>
      </c>
      <c r="E19" t="s">
        <v>3</v>
      </c>
      <c r="F19">
        <f t="shared" si="1"/>
        <v>56</v>
      </c>
      <c r="G19" t="s">
        <v>3</v>
      </c>
    </row>
    <row r="20" spans="1:7" x14ac:dyDescent="0.15">
      <c r="A20" t="str">
        <f t="shared" si="0"/>
        <v>|Lv27|59|</v>
      </c>
      <c r="B20" t="s">
        <v>3</v>
      </c>
      <c r="C20" t="s">
        <v>8</v>
      </c>
      <c r="D20">
        <v>27</v>
      </c>
      <c r="E20" t="s">
        <v>3</v>
      </c>
      <c r="F20">
        <f t="shared" si="1"/>
        <v>59</v>
      </c>
      <c r="G20" t="s">
        <v>3</v>
      </c>
    </row>
    <row r="21" spans="1:7" x14ac:dyDescent="0.15">
      <c r="A21" t="str">
        <f t="shared" si="0"/>
        <v>|Lv29|62|</v>
      </c>
      <c r="B21" t="s">
        <v>3</v>
      </c>
      <c r="C21" t="s">
        <v>8</v>
      </c>
      <c r="D21">
        <v>29</v>
      </c>
      <c r="E21" t="s">
        <v>3</v>
      </c>
      <c r="F21">
        <f t="shared" si="1"/>
        <v>62</v>
      </c>
      <c r="G21" t="s">
        <v>3</v>
      </c>
    </row>
    <row r="22" spans="1:7" x14ac:dyDescent="0.15">
      <c r="A22" t="str">
        <f t="shared" si="0"/>
        <v>|Lv31|65|</v>
      </c>
      <c r="B22" t="s">
        <v>3</v>
      </c>
      <c r="C22" t="s">
        <v>8</v>
      </c>
      <c r="D22">
        <v>31</v>
      </c>
      <c r="E22" t="s">
        <v>3</v>
      </c>
      <c r="F22">
        <f t="shared" si="1"/>
        <v>65</v>
      </c>
      <c r="G22" t="s">
        <v>3</v>
      </c>
    </row>
    <row r="23" spans="1:7" x14ac:dyDescent="0.15">
      <c r="A23" t="str">
        <f t="shared" si="0"/>
        <v>|Lv33|68|</v>
      </c>
      <c r="B23" t="s">
        <v>3</v>
      </c>
      <c r="C23" t="s">
        <v>8</v>
      </c>
      <c r="D23">
        <v>33</v>
      </c>
      <c r="E23" t="s">
        <v>3</v>
      </c>
      <c r="F23">
        <f t="shared" si="1"/>
        <v>68</v>
      </c>
      <c r="G23" t="s">
        <v>3</v>
      </c>
    </row>
    <row r="24" spans="1:7" x14ac:dyDescent="0.15">
      <c r="A24" t="str">
        <f t="shared" si="0"/>
        <v>|Lv35|71|</v>
      </c>
      <c r="B24" t="s">
        <v>3</v>
      </c>
      <c r="C24" t="s">
        <v>8</v>
      </c>
      <c r="D24">
        <v>35</v>
      </c>
      <c r="E24" t="s">
        <v>3</v>
      </c>
      <c r="F24">
        <f t="shared" si="1"/>
        <v>71</v>
      </c>
      <c r="G24" t="s">
        <v>3</v>
      </c>
    </row>
    <row r="25" spans="1:7" x14ac:dyDescent="0.15">
      <c r="A25" t="str">
        <f t="shared" si="0"/>
        <v>|Lv37|74|</v>
      </c>
      <c r="B25" t="s">
        <v>3</v>
      </c>
      <c r="C25" t="s">
        <v>8</v>
      </c>
      <c r="D25">
        <v>37</v>
      </c>
      <c r="E25" t="s">
        <v>3</v>
      </c>
      <c r="F25">
        <f t="shared" si="1"/>
        <v>74</v>
      </c>
      <c r="G25" t="s">
        <v>3</v>
      </c>
    </row>
    <row r="26" spans="1:7" x14ac:dyDescent="0.15">
      <c r="A26" t="str">
        <f t="shared" si="0"/>
        <v>|Lv39|77|</v>
      </c>
      <c r="B26" t="s">
        <v>3</v>
      </c>
      <c r="C26" t="s">
        <v>8</v>
      </c>
      <c r="D26">
        <v>39</v>
      </c>
      <c r="E26" t="s">
        <v>3</v>
      </c>
      <c r="F26">
        <f t="shared" si="1"/>
        <v>77</v>
      </c>
      <c r="G26" t="s">
        <v>3</v>
      </c>
    </row>
    <row r="27" spans="1:7" x14ac:dyDescent="0.15">
      <c r="A27" t="str">
        <f t="shared" si="0"/>
        <v>|Lv41|80|</v>
      </c>
      <c r="B27" t="s">
        <v>3</v>
      </c>
      <c r="C27" t="s">
        <v>8</v>
      </c>
      <c r="D27">
        <v>41</v>
      </c>
      <c r="E27" t="s">
        <v>3</v>
      </c>
      <c r="F27">
        <f t="shared" si="1"/>
        <v>80</v>
      </c>
      <c r="G27" t="s">
        <v>3</v>
      </c>
    </row>
    <row r="28" spans="1:7" x14ac:dyDescent="0.15">
      <c r="A28" t="str">
        <f t="shared" si="0"/>
        <v>|Lv43|83|</v>
      </c>
      <c r="B28" t="s">
        <v>3</v>
      </c>
      <c r="C28" t="s">
        <v>8</v>
      </c>
      <c r="D28">
        <v>43</v>
      </c>
      <c r="E28" t="s">
        <v>3</v>
      </c>
      <c r="F28">
        <f t="shared" si="1"/>
        <v>83</v>
      </c>
      <c r="G28" t="s">
        <v>3</v>
      </c>
    </row>
    <row r="29" spans="1:7" x14ac:dyDescent="0.15">
      <c r="A29" t="str">
        <f t="shared" si="0"/>
        <v>|Lv45|86|</v>
      </c>
      <c r="B29" t="s">
        <v>3</v>
      </c>
      <c r="C29" t="s">
        <v>8</v>
      </c>
      <c r="D29">
        <v>45</v>
      </c>
      <c r="E29" t="s">
        <v>3</v>
      </c>
      <c r="F29">
        <f t="shared" si="1"/>
        <v>86</v>
      </c>
      <c r="G29" t="s">
        <v>3</v>
      </c>
    </row>
    <row r="30" spans="1:7" x14ac:dyDescent="0.15">
      <c r="A30" t="str">
        <f t="shared" si="0"/>
        <v>|Lv47|89|</v>
      </c>
      <c r="B30" t="s">
        <v>3</v>
      </c>
      <c r="C30" t="s">
        <v>8</v>
      </c>
      <c r="D30">
        <v>47</v>
      </c>
      <c r="E30" t="s">
        <v>3</v>
      </c>
      <c r="F30">
        <f t="shared" si="1"/>
        <v>89</v>
      </c>
      <c r="G30" t="s">
        <v>3</v>
      </c>
    </row>
    <row r="31" spans="1:7" x14ac:dyDescent="0.15">
      <c r="A31" t="str">
        <f t="shared" si="0"/>
        <v>|Lv49|92|</v>
      </c>
      <c r="B31" t="s">
        <v>3</v>
      </c>
      <c r="C31" t="s">
        <v>8</v>
      </c>
      <c r="D31">
        <v>49</v>
      </c>
      <c r="E31" t="s">
        <v>3</v>
      </c>
      <c r="F31">
        <f t="shared" si="1"/>
        <v>92</v>
      </c>
      <c r="G31" t="s">
        <v>3</v>
      </c>
    </row>
    <row r="32" spans="1:7" x14ac:dyDescent="0.15">
      <c r="A32" t="str">
        <f t="shared" si="0"/>
        <v>|Lv51|95|</v>
      </c>
      <c r="B32" t="s">
        <v>3</v>
      </c>
      <c r="C32" t="s">
        <v>8</v>
      </c>
      <c r="D32">
        <v>51</v>
      </c>
      <c r="E32" t="s">
        <v>3</v>
      </c>
      <c r="F32">
        <f t="shared" si="1"/>
        <v>95</v>
      </c>
      <c r="G32" t="s">
        <v>3</v>
      </c>
    </row>
    <row r="33" spans="1:19" x14ac:dyDescent="0.15">
      <c r="A33" t="str">
        <f t="shared" si="0"/>
        <v>|Lv53|98|</v>
      </c>
      <c r="B33" t="s">
        <v>3</v>
      </c>
      <c r="C33" t="s">
        <v>8</v>
      </c>
      <c r="D33">
        <v>53</v>
      </c>
      <c r="E33" t="s">
        <v>3</v>
      </c>
      <c r="F33">
        <f t="shared" si="1"/>
        <v>98</v>
      </c>
      <c r="G33" t="s">
        <v>3</v>
      </c>
    </row>
    <row r="34" spans="1:19" x14ac:dyDescent="0.15">
      <c r="A34" t="str">
        <f t="shared" si="0"/>
        <v>|Lv55|101|</v>
      </c>
      <c r="B34" t="s">
        <v>3</v>
      </c>
      <c r="C34" t="s">
        <v>8</v>
      </c>
      <c r="D34">
        <v>55</v>
      </c>
      <c r="E34" t="s">
        <v>3</v>
      </c>
      <c r="F34">
        <f t="shared" si="1"/>
        <v>101</v>
      </c>
      <c r="G34" t="s">
        <v>3</v>
      </c>
    </row>
    <row r="35" spans="1:19" x14ac:dyDescent="0.15">
      <c r="A35" t="str">
        <f t="shared" si="0"/>
        <v>|Lv57|104|</v>
      </c>
      <c r="B35" t="s">
        <v>3</v>
      </c>
      <c r="C35" t="s">
        <v>8</v>
      </c>
      <c r="D35">
        <v>57</v>
      </c>
      <c r="E35" t="s">
        <v>3</v>
      </c>
      <c r="F35">
        <f t="shared" si="1"/>
        <v>104</v>
      </c>
      <c r="G35" t="s">
        <v>3</v>
      </c>
    </row>
    <row r="36" spans="1:19" x14ac:dyDescent="0.15">
      <c r="A36" t="str">
        <f>B36&amp;C36&amp;D36&amp;E36&amp;F36&amp;G36&amp;H36&amp;I36&amp;J36&amp;K36&amp;L36&amp;M36&amp;N36&amp;O36&amp;P36</f>
        <v>&amp;br;</v>
      </c>
      <c r="B36" t="s">
        <v>0</v>
      </c>
    </row>
    <row r="37" spans="1:19" x14ac:dyDescent="0.15">
      <c r="A37" t="str">
        <f>B37&amp;C37&amp;D37&amp;E37&amp;F37&amp;G37&amp;H37&amp;I37&amp;J37&amp;K37&amp;L37&amp;M37&amp;N37&amp;O37&amp;P37</f>
        <v>&amp;br;</v>
      </c>
      <c r="B37" t="s">
        <v>0</v>
      </c>
    </row>
    <row r="38" spans="1:19" x14ac:dyDescent="0.15">
      <c r="A38" t="str">
        <f>B38&amp;C38&amp;D38&amp;E38&amp;F38&amp;G38&amp;H38&amp;I38&amp;J38&amp;K38&amp;L38&amp;M38&amp;N38&amp;O38&amp;P38</f>
        <v>*マナボーナス [#q1a26f54]</v>
      </c>
      <c r="B38" t="s">
        <v>9</v>
      </c>
    </row>
    <row r="39" spans="1:19" x14ac:dyDescent="0.15">
      <c r="A39" t="str">
        <f t="shared" ref="A39:A48" si="2">B39&amp;C39&amp;D39&amp;G39&amp;H39&amp;I39&amp;J39&amp;K39&amp;L39&amp;M39&amp;N39&amp;O39&amp;P39&amp;Q39&amp;R39</f>
        <v>|LEFT:50|LEFT:50|LEFT:50|LEFT:50|LEFT:50|LEFT:50|c</v>
      </c>
      <c r="B39" t="s">
        <v>3</v>
      </c>
      <c r="C39" t="s">
        <v>4</v>
      </c>
      <c r="E39" t="s">
        <v>3</v>
      </c>
      <c r="G39" t="s">
        <v>3</v>
      </c>
      <c r="H39" t="s">
        <v>4</v>
      </c>
      <c r="I39" t="s">
        <v>3</v>
      </c>
      <c r="J39" t="s">
        <v>4</v>
      </c>
      <c r="K39" t="s">
        <v>3</v>
      </c>
      <c r="L39" t="s">
        <v>4</v>
      </c>
      <c r="M39" t="s">
        <v>3</v>
      </c>
      <c r="N39" t="s">
        <v>4</v>
      </c>
      <c r="O39" t="s">
        <v>3</v>
      </c>
      <c r="P39" t="s">
        <v>4</v>
      </c>
      <c r="Q39" t="s">
        <v>3</v>
      </c>
      <c r="R39" t="s">
        <v>5</v>
      </c>
    </row>
    <row r="40" spans="1:19" x14ac:dyDescent="0.15">
      <c r="A40" t="str">
        <f t="shared" si="2"/>
        <v>|レベル|白|青|黒|赤|緑|</v>
      </c>
      <c r="B40" t="s">
        <v>3</v>
      </c>
      <c r="C40" t="s">
        <v>6</v>
      </c>
      <c r="E40" t="s">
        <v>3</v>
      </c>
      <c r="F40" t="s">
        <v>10</v>
      </c>
      <c r="G40" t="s">
        <v>3</v>
      </c>
      <c r="H40" t="s">
        <v>11</v>
      </c>
      <c r="I40" t="s">
        <v>3</v>
      </c>
      <c r="J40" t="s">
        <v>12</v>
      </c>
      <c r="K40" t="s">
        <v>3</v>
      </c>
      <c r="L40" t="s">
        <v>13</v>
      </c>
      <c r="M40" t="s">
        <v>3</v>
      </c>
      <c r="N40" t="s">
        <v>14</v>
      </c>
      <c r="O40" t="s">
        <v>3</v>
      </c>
      <c r="P40" t="s">
        <v>15</v>
      </c>
      <c r="Q40" t="s">
        <v>3</v>
      </c>
      <c r="S40" t="s">
        <v>11</v>
      </c>
    </row>
    <row r="41" spans="1:19" x14ac:dyDescent="0.15">
      <c r="A41" t="str">
        <f t="shared" si="2"/>
        <v>|Lv1|-2|3|2|-2|-2|</v>
      </c>
      <c r="B41" t="s">
        <v>3</v>
      </c>
      <c r="C41" t="s">
        <v>8</v>
      </c>
      <c r="D41">
        <v>1</v>
      </c>
      <c r="E41" t="s">
        <v>3</v>
      </c>
      <c r="G41" t="s">
        <v>3</v>
      </c>
      <c r="H41">
        <v>-2</v>
      </c>
      <c r="I41" t="s">
        <v>3</v>
      </c>
      <c r="J41">
        <v>3</v>
      </c>
      <c r="K41" t="s">
        <v>3</v>
      </c>
      <c r="L41">
        <v>2</v>
      </c>
      <c r="M41" t="s">
        <v>3</v>
      </c>
      <c r="N41">
        <v>-2</v>
      </c>
      <c r="O41" t="s">
        <v>3</v>
      </c>
      <c r="P41">
        <v>-2</v>
      </c>
      <c r="Q41" t="s">
        <v>3</v>
      </c>
      <c r="S41" t="s">
        <v>12</v>
      </c>
    </row>
    <row r="42" spans="1:19" x14ac:dyDescent="0.15">
      <c r="A42" t="str">
        <f t="shared" si="2"/>
        <v>|Lv4|-2|4|2|-2|-2|</v>
      </c>
      <c r="B42" t="s">
        <v>3</v>
      </c>
      <c r="C42" t="s">
        <v>8</v>
      </c>
      <c r="D42">
        <v>4</v>
      </c>
      <c r="E42" t="s">
        <v>3</v>
      </c>
      <c r="F42" t="str">
        <f t="shared" ref="F42:F51" si="3">IF(ISBLANK(D42),"",INDEX($F$98:$F$157,D42))</f>
        <v>青</v>
      </c>
      <c r="G42" t="s">
        <v>3</v>
      </c>
      <c r="H42">
        <f t="shared" ref="H42:H51" si="4">H41+IF(H$40=$F42,1,0)</f>
        <v>-2</v>
      </c>
      <c r="I42" t="str">
        <f t="shared" ref="I42:Q51" si="5">I41</f>
        <v>|</v>
      </c>
      <c r="J42">
        <f t="shared" ref="J42:J51" si="6">J41+IF(J$40=$F42,1,0)</f>
        <v>4</v>
      </c>
      <c r="K42" t="str">
        <f t="shared" si="5"/>
        <v>|</v>
      </c>
      <c r="L42">
        <f t="shared" ref="L42:L51" si="7">L41+IF(L$40=$F42,1,0)</f>
        <v>2</v>
      </c>
      <c r="M42" t="str">
        <f t="shared" si="5"/>
        <v>|</v>
      </c>
      <c r="N42">
        <f t="shared" ref="N42:N51" si="8">N41+IF(N$40=$F42,1,0)</f>
        <v>-2</v>
      </c>
      <c r="O42" t="str">
        <f t="shared" si="5"/>
        <v>|</v>
      </c>
      <c r="P42">
        <f>P41+IF(P$40=$F42,1,0)</f>
        <v>-2</v>
      </c>
      <c r="Q42" t="str">
        <f t="shared" si="5"/>
        <v>|</v>
      </c>
      <c r="S42" t="s">
        <v>13</v>
      </c>
    </row>
    <row r="43" spans="1:19" x14ac:dyDescent="0.15">
      <c r="A43" t="str">
        <f t="shared" si="2"/>
        <v>|Lv10|-2|4|3|-2|-2|</v>
      </c>
      <c r="B43" t="s">
        <v>3</v>
      </c>
      <c r="C43" t="s">
        <v>8</v>
      </c>
      <c r="D43">
        <v>10</v>
      </c>
      <c r="E43" t="s">
        <v>3</v>
      </c>
      <c r="F43" t="str">
        <f t="shared" si="3"/>
        <v>黒</v>
      </c>
      <c r="G43" t="s">
        <v>3</v>
      </c>
      <c r="H43">
        <f t="shared" si="4"/>
        <v>-2</v>
      </c>
      <c r="I43" t="str">
        <f t="shared" si="5"/>
        <v>|</v>
      </c>
      <c r="J43">
        <f t="shared" si="6"/>
        <v>4</v>
      </c>
      <c r="K43" t="str">
        <f t="shared" si="5"/>
        <v>|</v>
      </c>
      <c r="L43">
        <f t="shared" si="7"/>
        <v>3</v>
      </c>
      <c r="M43" t="str">
        <f t="shared" si="5"/>
        <v>|</v>
      </c>
      <c r="N43">
        <f t="shared" si="8"/>
        <v>-2</v>
      </c>
      <c r="O43" t="str">
        <f t="shared" si="5"/>
        <v>|</v>
      </c>
      <c r="P43">
        <f>P42+IF(P$40=$F43,1,0)</f>
        <v>-2</v>
      </c>
      <c r="Q43" t="str">
        <f t="shared" si="5"/>
        <v>|</v>
      </c>
      <c r="S43" t="s">
        <v>14</v>
      </c>
    </row>
    <row r="44" spans="1:19" x14ac:dyDescent="0.15">
      <c r="A44" t="str">
        <f t="shared" si="2"/>
        <v>|Lv16|-1|4|3|-2|-2|</v>
      </c>
      <c r="B44" t="s">
        <v>3</v>
      </c>
      <c r="C44" t="s">
        <v>8</v>
      </c>
      <c r="D44">
        <v>16</v>
      </c>
      <c r="E44" t="s">
        <v>3</v>
      </c>
      <c r="F44" t="str">
        <f t="shared" si="3"/>
        <v>白</v>
      </c>
      <c r="G44" t="s">
        <v>3</v>
      </c>
      <c r="H44">
        <f t="shared" si="4"/>
        <v>-1</v>
      </c>
      <c r="I44" t="str">
        <f t="shared" si="5"/>
        <v>|</v>
      </c>
      <c r="J44">
        <f t="shared" si="6"/>
        <v>4</v>
      </c>
      <c r="K44" t="str">
        <f t="shared" si="5"/>
        <v>|</v>
      </c>
      <c r="L44">
        <f t="shared" si="7"/>
        <v>3</v>
      </c>
      <c r="M44" t="str">
        <f t="shared" si="5"/>
        <v>|</v>
      </c>
      <c r="N44">
        <f t="shared" si="8"/>
        <v>-2</v>
      </c>
      <c r="O44" t="str">
        <f t="shared" si="5"/>
        <v>|</v>
      </c>
      <c r="P44">
        <f>P43+IF(P$40=$F44,1,0)</f>
        <v>-2</v>
      </c>
      <c r="Q44" t="str">
        <f t="shared" si="5"/>
        <v>|</v>
      </c>
      <c r="S44" t="s">
        <v>15</v>
      </c>
    </row>
    <row r="45" spans="1:19" x14ac:dyDescent="0.15">
      <c r="A45" t="str">
        <f t="shared" si="2"/>
        <v>|Lv22|-1|4|3|-1|-2|</v>
      </c>
      <c r="B45" t="s">
        <v>3</v>
      </c>
      <c r="C45" t="s">
        <v>8</v>
      </c>
      <c r="D45">
        <v>22</v>
      </c>
      <c r="E45" t="s">
        <v>3</v>
      </c>
      <c r="F45" t="str">
        <f t="shared" si="3"/>
        <v>赤</v>
      </c>
      <c r="G45" t="s">
        <v>3</v>
      </c>
      <c r="H45">
        <f t="shared" si="4"/>
        <v>-1</v>
      </c>
      <c r="I45" t="str">
        <f t="shared" si="5"/>
        <v>|</v>
      </c>
      <c r="J45">
        <f t="shared" si="6"/>
        <v>4</v>
      </c>
      <c r="K45" t="str">
        <f t="shared" si="5"/>
        <v>|</v>
      </c>
      <c r="L45">
        <f t="shared" si="7"/>
        <v>3</v>
      </c>
      <c r="M45" t="str">
        <f t="shared" si="5"/>
        <v>|</v>
      </c>
      <c r="N45">
        <f t="shared" si="8"/>
        <v>-1</v>
      </c>
      <c r="O45" t="str">
        <f t="shared" si="5"/>
        <v>|</v>
      </c>
      <c r="P45">
        <f t="shared" ref="P45:P51" si="9">P44+IF(P$40=$F45,1,0)</f>
        <v>-2</v>
      </c>
      <c r="Q45" t="str">
        <f t="shared" si="5"/>
        <v>|</v>
      </c>
    </row>
    <row r="46" spans="1:19" x14ac:dyDescent="0.15">
      <c r="A46" t="str">
        <f t="shared" si="2"/>
        <v>|Lv28|-1|4|3|-1|-1|</v>
      </c>
      <c r="B46" t="s">
        <v>3</v>
      </c>
      <c r="C46" t="s">
        <v>8</v>
      </c>
      <c r="D46">
        <v>28</v>
      </c>
      <c r="E46" t="s">
        <v>3</v>
      </c>
      <c r="F46" t="str">
        <f t="shared" si="3"/>
        <v>緑</v>
      </c>
      <c r="G46" t="s">
        <v>3</v>
      </c>
      <c r="H46">
        <f t="shared" si="4"/>
        <v>-1</v>
      </c>
      <c r="I46" t="str">
        <f t="shared" si="5"/>
        <v>|</v>
      </c>
      <c r="J46">
        <f t="shared" si="6"/>
        <v>4</v>
      </c>
      <c r="K46" t="str">
        <f t="shared" si="5"/>
        <v>|</v>
      </c>
      <c r="L46">
        <f t="shared" si="7"/>
        <v>3</v>
      </c>
      <c r="M46" t="str">
        <f t="shared" si="5"/>
        <v>|</v>
      </c>
      <c r="N46">
        <f t="shared" si="8"/>
        <v>-1</v>
      </c>
      <c r="O46" t="str">
        <f t="shared" si="5"/>
        <v>|</v>
      </c>
      <c r="P46">
        <f>P45+IF(P$40=$F46,1,0)</f>
        <v>-1</v>
      </c>
      <c r="Q46" t="str">
        <f t="shared" si="5"/>
        <v>|</v>
      </c>
    </row>
    <row r="47" spans="1:19" x14ac:dyDescent="0.15">
      <c r="A47" t="str">
        <f t="shared" si="2"/>
        <v>|Lv34|-1|5|3|-1|-1|</v>
      </c>
      <c r="B47" t="s">
        <v>3</v>
      </c>
      <c r="C47" t="s">
        <v>8</v>
      </c>
      <c r="D47">
        <v>34</v>
      </c>
      <c r="E47" t="s">
        <v>3</v>
      </c>
      <c r="F47" t="str">
        <f t="shared" si="3"/>
        <v>青</v>
      </c>
      <c r="G47" t="s">
        <v>3</v>
      </c>
      <c r="H47">
        <f t="shared" si="4"/>
        <v>-1</v>
      </c>
      <c r="I47" t="str">
        <f t="shared" si="5"/>
        <v>|</v>
      </c>
      <c r="J47">
        <f t="shared" si="6"/>
        <v>5</v>
      </c>
      <c r="K47" t="str">
        <f t="shared" si="5"/>
        <v>|</v>
      </c>
      <c r="L47">
        <f t="shared" si="7"/>
        <v>3</v>
      </c>
      <c r="M47" t="str">
        <f t="shared" si="5"/>
        <v>|</v>
      </c>
      <c r="N47">
        <f t="shared" si="8"/>
        <v>-1</v>
      </c>
      <c r="O47" t="str">
        <f t="shared" si="5"/>
        <v>|</v>
      </c>
      <c r="P47">
        <f>P46+IF(P$40=$F47,1,0)</f>
        <v>-1</v>
      </c>
      <c r="Q47" t="str">
        <f t="shared" si="5"/>
        <v>|</v>
      </c>
    </row>
    <row r="48" spans="1:19" x14ac:dyDescent="0.15">
      <c r="A48" t="str">
        <f t="shared" si="2"/>
        <v>|Lv42|-1|5|4|-1|-1|</v>
      </c>
      <c r="B48" t="s">
        <v>3</v>
      </c>
      <c r="C48" t="s">
        <v>8</v>
      </c>
      <c r="D48">
        <v>42</v>
      </c>
      <c r="E48" t="s">
        <v>3</v>
      </c>
      <c r="F48" t="str">
        <f t="shared" si="3"/>
        <v>黒</v>
      </c>
      <c r="G48" t="s">
        <v>3</v>
      </c>
      <c r="H48">
        <f t="shared" si="4"/>
        <v>-1</v>
      </c>
      <c r="I48" t="str">
        <f t="shared" si="5"/>
        <v>|</v>
      </c>
      <c r="J48">
        <f t="shared" si="6"/>
        <v>5</v>
      </c>
      <c r="K48" t="str">
        <f t="shared" si="5"/>
        <v>|</v>
      </c>
      <c r="L48">
        <f t="shared" si="7"/>
        <v>4</v>
      </c>
      <c r="M48" t="str">
        <f t="shared" si="5"/>
        <v>|</v>
      </c>
      <c r="N48">
        <f t="shared" si="8"/>
        <v>-1</v>
      </c>
      <c r="O48" t="str">
        <f t="shared" si="5"/>
        <v>|</v>
      </c>
      <c r="P48">
        <f t="shared" si="9"/>
        <v>-1</v>
      </c>
      <c r="Q48" t="str">
        <f t="shared" si="5"/>
        <v>|</v>
      </c>
    </row>
    <row r="49" spans="1:19" x14ac:dyDescent="0.15">
      <c r="A49" t="str">
        <f>B49&amp;C49&amp;D49&amp;G49&amp;H49&amp;I49&amp;J49&amp;K49&amp;L49&amp;M49&amp;N49&amp;O49&amp;P49&amp;Q49&amp;R49</f>
        <v>|Lv48|0|5|4|-1|-1|</v>
      </c>
      <c r="B49" t="s">
        <v>3</v>
      </c>
      <c r="C49" t="s">
        <v>8</v>
      </c>
      <c r="D49">
        <v>48</v>
      </c>
      <c r="E49" t="s">
        <v>3</v>
      </c>
      <c r="F49" t="str">
        <f t="shared" si="3"/>
        <v>白</v>
      </c>
      <c r="G49" t="s">
        <v>3</v>
      </c>
      <c r="H49">
        <f t="shared" si="4"/>
        <v>0</v>
      </c>
      <c r="I49" t="str">
        <f t="shared" si="5"/>
        <v>|</v>
      </c>
      <c r="J49">
        <f t="shared" si="6"/>
        <v>5</v>
      </c>
      <c r="K49" t="str">
        <f t="shared" si="5"/>
        <v>|</v>
      </c>
      <c r="L49">
        <f t="shared" si="7"/>
        <v>4</v>
      </c>
      <c r="M49" t="str">
        <f t="shared" si="5"/>
        <v>|</v>
      </c>
      <c r="N49">
        <f t="shared" si="8"/>
        <v>-1</v>
      </c>
      <c r="O49" t="str">
        <f t="shared" si="5"/>
        <v>|</v>
      </c>
      <c r="P49">
        <f t="shared" si="9"/>
        <v>-1</v>
      </c>
      <c r="Q49" t="str">
        <f t="shared" si="5"/>
        <v>|</v>
      </c>
    </row>
    <row r="50" spans="1:19" x14ac:dyDescent="0.15">
      <c r="A50" t="str">
        <f>B50&amp;C50&amp;D50&amp;G50&amp;H50&amp;I50&amp;J50&amp;K50&amp;L50&amp;M50&amp;N50&amp;O50&amp;P50&amp;Q50&amp;R50</f>
        <v>|Lv54|0|5|4|0|-1|</v>
      </c>
      <c r="B50" t="s">
        <v>3</v>
      </c>
      <c r="C50" t="s">
        <v>8</v>
      </c>
      <c r="D50">
        <v>54</v>
      </c>
      <c r="E50" t="s">
        <v>3</v>
      </c>
      <c r="F50" t="str">
        <f t="shared" si="3"/>
        <v>赤</v>
      </c>
      <c r="G50" t="s">
        <v>3</v>
      </c>
      <c r="H50">
        <f t="shared" si="4"/>
        <v>0</v>
      </c>
      <c r="I50" t="str">
        <f t="shared" si="5"/>
        <v>|</v>
      </c>
      <c r="J50">
        <f t="shared" si="6"/>
        <v>5</v>
      </c>
      <c r="K50" t="str">
        <f t="shared" si="5"/>
        <v>|</v>
      </c>
      <c r="L50">
        <f t="shared" si="7"/>
        <v>4</v>
      </c>
      <c r="M50" t="str">
        <f t="shared" si="5"/>
        <v>|</v>
      </c>
      <c r="N50">
        <f t="shared" si="8"/>
        <v>0</v>
      </c>
      <c r="O50" t="str">
        <f t="shared" si="5"/>
        <v>|</v>
      </c>
      <c r="P50">
        <f t="shared" si="9"/>
        <v>-1</v>
      </c>
      <c r="Q50" t="str">
        <f t="shared" si="5"/>
        <v>|</v>
      </c>
    </row>
    <row r="51" spans="1:19" x14ac:dyDescent="0.15">
      <c r="A51" t="str">
        <f>B51&amp;C51&amp;D51&amp;G51&amp;H51&amp;I51&amp;J51&amp;K51&amp;L51&amp;M51&amp;N51&amp;O51&amp;P51&amp;Q51&amp;R51</f>
        <v>|Lv59|0|5|4|0|0|</v>
      </c>
      <c r="B51" t="s">
        <v>3</v>
      </c>
      <c r="C51" t="s">
        <v>8</v>
      </c>
      <c r="D51">
        <v>59</v>
      </c>
      <c r="E51" t="s">
        <v>3</v>
      </c>
      <c r="F51" t="str">
        <f t="shared" si="3"/>
        <v>緑</v>
      </c>
      <c r="G51" t="s">
        <v>3</v>
      </c>
      <c r="H51">
        <f t="shared" si="4"/>
        <v>0</v>
      </c>
      <c r="I51" t="str">
        <f t="shared" si="5"/>
        <v>|</v>
      </c>
      <c r="J51">
        <f t="shared" si="6"/>
        <v>5</v>
      </c>
      <c r="K51" t="str">
        <f t="shared" si="5"/>
        <v>|</v>
      </c>
      <c r="L51">
        <f t="shared" si="7"/>
        <v>4</v>
      </c>
      <c r="M51" t="str">
        <f t="shared" si="5"/>
        <v>|</v>
      </c>
      <c r="N51">
        <f t="shared" si="8"/>
        <v>0</v>
      </c>
      <c r="O51" t="str">
        <f t="shared" si="5"/>
        <v>|</v>
      </c>
      <c r="P51">
        <f t="shared" si="9"/>
        <v>0</v>
      </c>
      <c r="Q51" t="str">
        <f t="shared" si="5"/>
        <v>|</v>
      </c>
    </row>
    <row r="52" spans="1:19" x14ac:dyDescent="0.15">
      <c r="A52" t="str">
        <f>B52&amp;C52&amp;D52&amp;E52&amp;F52&amp;G52&amp;H52&amp;I52&amp;J52&amp;K52&amp;L52&amp;M52&amp;N52&amp;O52&amp;P52</f>
        <v>&amp;br;</v>
      </c>
      <c r="B52" t="s">
        <v>0</v>
      </c>
    </row>
    <row r="53" spans="1:19" x14ac:dyDescent="0.15">
      <c r="A53" t="str">
        <f>B53&amp;C53&amp;D53&amp;E53&amp;F53&amp;G53&amp;H53&amp;I53&amp;J53&amp;K53&amp;L53&amp;M53&amp;N53&amp;O53&amp;P53</f>
        <v>&amp;br;</v>
      </c>
      <c r="B53" t="s">
        <v>0</v>
      </c>
    </row>
    <row r="54" spans="1:19" x14ac:dyDescent="0.15">
      <c r="A54" t="str">
        <f>B54&amp;C54&amp;D54&amp;E54&amp;F54&amp;G54&amp;H54&amp;I54&amp;J54&amp;K54&amp;L54&amp;M54&amp;N54&amp;O54&amp;P54</f>
        <v>*デッキ構築枚数上限 [#e6f382eb]</v>
      </c>
      <c r="B54" t="s">
        <v>16</v>
      </c>
    </row>
    <row r="55" spans="1:19" x14ac:dyDescent="0.15">
      <c r="A55" t="str">
        <f>B55&amp;C55&amp;D55&amp;E55&amp;F55&amp;G55&amp;H55&amp;I55&amp;J55&amp;K55&amp;L55&amp;M55&amp;N55&amp;O55&amp;P55</f>
        <v>構築枚数上限を越える枚数はデッキに入れられない。</v>
      </c>
      <c r="B55" t="s">
        <v>17</v>
      </c>
    </row>
    <row r="56" spans="1:19" x14ac:dyDescent="0.15">
      <c r="A56" t="str">
        <f t="shared" ref="A56:A65" si="10">B56&amp;C56&amp;D56&amp;G56&amp;H56&amp;I56&amp;J56&amp;K56&amp;L56&amp;M56&amp;N56&amp;O56&amp;P56&amp;Q56&amp;R56</f>
        <v>|LEFT:50|LEFT:80|LEFT:80|LEFT:80|c</v>
      </c>
      <c r="B56" t="s">
        <v>3</v>
      </c>
      <c r="C56" t="s">
        <v>4</v>
      </c>
      <c r="E56" t="s">
        <v>3</v>
      </c>
      <c r="G56" t="s">
        <v>3</v>
      </c>
      <c r="H56" t="s">
        <v>18</v>
      </c>
      <c r="I56" t="s">
        <v>3</v>
      </c>
      <c r="J56" t="s">
        <v>18</v>
      </c>
      <c r="K56" t="s">
        <v>3</v>
      </c>
      <c r="L56" t="s">
        <v>18</v>
      </c>
      <c r="M56" t="s">
        <v>3</v>
      </c>
      <c r="N56" t="s">
        <v>5</v>
      </c>
    </row>
    <row r="57" spans="1:19" x14ac:dyDescent="0.15">
      <c r="A57" t="str">
        <f t="shared" si="10"/>
        <v>|レベル|クリーチャー|呪文|サポート|</v>
      </c>
      <c r="B57" t="s">
        <v>3</v>
      </c>
      <c r="C57" t="s">
        <v>6</v>
      </c>
      <c r="E57" t="s">
        <v>3</v>
      </c>
      <c r="F57" t="s">
        <v>19</v>
      </c>
      <c r="G57" t="s">
        <v>3</v>
      </c>
      <c r="H57" t="s">
        <v>20</v>
      </c>
      <c r="I57" t="s">
        <v>3</v>
      </c>
      <c r="J57" t="s">
        <v>21</v>
      </c>
      <c r="K57" t="s">
        <v>3</v>
      </c>
      <c r="L57" t="s">
        <v>22</v>
      </c>
      <c r="M57" t="s">
        <v>3</v>
      </c>
      <c r="S57" t="s">
        <v>20</v>
      </c>
    </row>
    <row r="58" spans="1:19" x14ac:dyDescent="0.15">
      <c r="A58" t="str">
        <f t="shared" si="10"/>
        <v>|Lv1|4|3|3|</v>
      </c>
      <c r="B58" t="s">
        <v>3</v>
      </c>
      <c r="C58" t="s">
        <v>8</v>
      </c>
      <c r="D58">
        <v>1</v>
      </c>
      <c r="E58" t="s">
        <v>3</v>
      </c>
      <c r="G58" t="s">
        <v>3</v>
      </c>
      <c r="H58">
        <v>4</v>
      </c>
      <c r="I58" t="s">
        <v>3</v>
      </c>
      <c r="J58">
        <v>3</v>
      </c>
      <c r="K58" t="s">
        <v>3</v>
      </c>
      <c r="L58">
        <v>3</v>
      </c>
      <c r="M58" t="s">
        <v>3</v>
      </c>
      <c r="S58" t="s">
        <v>21</v>
      </c>
    </row>
    <row r="59" spans="1:19" x14ac:dyDescent="0.15">
      <c r="A59" t="str">
        <f t="shared" si="10"/>
        <v>|Lv2|5|3|3|</v>
      </c>
      <c r="B59" t="s">
        <v>3</v>
      </c>
      <c r="C59" t="s">
        <v>8</v>
      </c>
      <c r="D59">
        <v>2</v>
      </c>
      <c r="E59" t="s">
        <v>3</v>
      </c>
      <c r="F59" t="str">
        <f t="shared" ref="F59:F65" si="11">IF(ISBLANK(D59),"",INDEX($F$98:$F$157,D59))</f>
        <v>クリーチャー</v>
      </c>
      <c r="G59" t="s">
        <v>3</v>
      </c>
      <c r="H59">
        <f t="shared" ref="H59:H65" si="12">H58+IF(H$57=$F59,INDEX($H$98:$H$157,D59),0)</f>
        <v>5</v>
      </c>
      <c r="I59" t="s">
        <v>3</v>
      </c>
      <c r="J59">
        <f t="shared" ref="J59:J65" si="13">J58+IF(J$57=$F59,INDEX($H$98:$H$157,D59),0)</f>
        <v>3</v>
      </c>
      <c r="K59" t="s">
        <v>3</v>
      </c>
      <c r="L59">
        <f t="shared" ref="L59:L65" si="14">L58+IF(L$57=$F59,INDEX($H$98:$H$157,D59),0)</f>
        <v>3</v>
      </c>
      <c r="M59" t="s">
        <v>3</v>
      </c>
      <c r="S59" t="s">
        <v>22</v>
      </c>
    </row>
    <row r="60" spans="1:19" x14ac:dyDescent="0.15">
      <c r="A60" t="str">
        <f t="shared" si="10"/>
        <v>|Lv8|5|3|4|</v>
      </c>
      <c r="B60" t="s">
        <v>3</v>
      </c>
      <c r="C60" t="s">
        <v>8</v>
      </c>
      <c r="D60">
        <v>8</v>
      </c>
      <c r="E60" t="s">
        <v>3</v>
      </c>
      <c r="F60" t="str">
        <f t="shared" si="11"/>
        <v>サポート</v>
      </c>
      <c r="G60" t="s">
        <v>3</v>
      </c>
      <c r="H60">
        <f t="shared" si="12"/>
        <v>5</v>
      </c>
      <c r="I60" t="s">
        <v>3</v>
      </c>
      <c r="J60">
        <f t="shared" si="13"/>
        <v>3</v>
      </c>
      <c r="K60" t="s">
        <v>3</v>
      </c>
      <c r="L60">
        <f t="shared" si="14"/>
        <v>4</v>
      </c>
      <c r="M60" t="s">
        <v>3</v>
      </c>
    </row>
    <row r="61" spans="1:19" x14ac:dyDescent="0.15">
      <c r="A61" t="str">
        <f t="shared" si="10"/>
        <v>|Lv14|5|4|4|</v>
      </c>
      <c r="B61" t="s">
        <v>3</v>
      </c>
      <c r="C61" t="s">
        <v>8</v>
      </c>
      <c r="D61">
        <v>14</v>
      </c>
      <c r="E61" t="s">
        <v>3</v>
      </c>
      <c r="F61" t="str">
        <f t="shared" si="11"/>
        <v>呪文</v>
      </c>
      <c r="G61" t="s">
        <v>3</v>
      </c>
      <c r="H61">
        <f t="shared" si="12"/>
        <v>5</v>
      </c>
      <c r="I61" t="s">
        <v>3</v>
      </c>
      <c r="J61">
        <f t="shared" si="13"/>
        <v>4</v>
      </c>
      <c r="K61" t="s">
        <v>3</v>
      </c>
      <c r="L61">
        <f t="shared" si="14"/>
        <v>4</v>
      </c>
      <c r="M61" t="s">
        <v>3</v>
      </c>
    </row>
    <row r="62" spans="1:19" x14ac:dyDescent="0.15">
      <c r="A62" t="str">
        <f t="shared" si="10"/>
        <v>|Lv26|6|4|4|</v>
      </c>
      <c r="B62" t="s">
        <v>3</v>
      </c>
      <c r="C62" t="s">
        <v>8</v>
      </c>
      <c r="D62">
        <v>26</v>
      </c>
      <c r="E62" t="s">
        <v>3</v>
      </c>
      <c r="F62" t="str">
        <f t="shared" si="11"/>
        <v>クリーチャー</v>
      </c>
      <c r="G62" t="s">
        <v>3</v>
      </c>
      <c r="H62">
        <f t="shared" si="12"/>
        <v>6</v>
      </c>
      <c r="I62" t="s">
        <v>3</v>
      </c>
      <c r="J62">
        <f t="shared" si="13"/>
        <v>4</v>
      </c>
      <c r="K62" t="s">
        <v>3</v>
      </c>
      <c r="L62">
        <f t="shared" si="14"/>
        <v>4</v>
      </c>
      <c r="M62" t="s">
        <v>3</v>
      </c>
    </row>
    <row r="63" spans="1:19" x14ac:dyDescent="0.15">
      <c r="A63" t="str">
        <f t="shared" si="10"/>
        <v>|Lv32|6|4|5|</v>
      </c>
      <c r="B63" t="s">
        <v>3</v>
      </c>
      <c r="C63" t="s">
        <v>8</v>
      </c>
      <c r="D63">
        <v>32</v>
      </c>
      <c r="E63" t="s">
        <v>3</v>
      </c>
      <c r="F63" t="str">
        <f t="shared" si="11"/>
        <v>サポート</v>
      </c>
      <c r="G63" t="s">
        <v>3</v>
      </c>
      <c r="H63">
        <f t="shared" si="12"/>
        <v>6</v>
      </c>
      <c r="I63" t="s">
        <v>3</v>
      </c>
      <c r="J63">
        <f t="shared" si="13"/>
        <v>4</v>
      </c>
      <c r="K63" t="s">
        <v>3</v>
      </c>
      <c r="L63">
        <f t="shared" si="14"/>
        <v>5</v>
      </c>
      <c r="M63" t="s">
        <v>3</v>
      </c>
    </row>
    <row r="64" spans="1:19" x14ac:dyDescent="0.15">
      <c r="A64" t="str">
        <f t="shared" si="10"/>
        <v>|Lv38|6|5|5|</v>
      </c>
      <c r="B64" t="s">
        <v>3</v>
      </c>
      <c r="C64" t="s">
        <v>8</v>
      </c>
      <c r="D64">
        <v>38</v>
      </c>
      <c r="E64" t="s">
        <v>3</v>
      </c>
      <c r="F64" t="str">
        <f t="shared" si="11"/>
        <v>呪文</v>
      </c>
      <c r="G64" t="s">
        <v>3</v>
      </c>
      <c r="H64">
        <f t="shared" si="12"/>
        <v>6</v>
      </c>
      <c r="I64" t="s">
        <v>3</v>
      </c>
      <c r="J64">
        <f t="shared" si="13"/>
        <v>5</v>
      </c>
      <c r="K64" t="s">
        <v>3</v>
      </c>
      <c r="L64">
        <f t="shared" si="14"/>
        <v>5</v>
      </c>
      <c r="M64" t="s">
        <v>3</v>
      </c>
    </row>
    <row r="65" spans="1:18" x14ac:dyDescent="0.15">
      <c r="A65" t="str">
        <f t="shared" si="10"/>
        <v>|Lv50|7|5|5|</v>
      </c>
      <c r="B65" t="s">
        <v>3</v>
      </c>
      <c r="C65" t="s">
        <v>8</v>
      </c>
      <c r="D65">
        <v>50</v>
      </c>
      <c r="E65" t="s">
        <v>3</v>
      </c>
      <c r="F65" t="str">
        <f t="shared" si="11"/>
        <v>クリーチャー</v>
      </c>
      <c r="G65" t="s">
        <v>3</v>
      </c>
      <c r="H65">
        <f t="shared" si="12"/>
        <v>7</v>
      </c>
      <c r="I65" t="s">
        <v>3</v>
      </c>
      <c r="J65">
        <f t="shared" si="13"/>
        <v>5</v>
      </c>
      <c r="K65" t="s">
        <v>3</v>
      </c>
      <c r="L65">
        <f t="shared" si="14"/>
        <v>5</v>
      </c>
      <c r="M65" t="s">
        <v>3</v>
      </c>
    </row>
    <row r="66" spans="1:18" x14ac:dyDescent="0.15">
      <c r="A66" t="str">
        <f t="shared" ref="A66:A87" si="15">B66&amp;C66&amp;D66&amp;E66&amp;F66&amp;G66&amp;H66&amp;I66&amp;J66&amp;K66&amp;L66&amp;M66&amp;N66&amp;O66&amp;P66</f>
        <v>&amp;br;</v>
      </c>
      <c r="B66" t="s">
        <v>0</v>
      </c>
    </row>
    <row r="67" spans="1:18" x14ac:dyDescent="0.15">
      <c r="A67" t="str">
        <f t="shared" si="15"/>
        <v>&amp;br;</v>
      </c>
      <c r="B67" t="s">
        <v>0</v>
      </c>
    </row>
    <row r="68" spans="1:18" x14ac:dyDescent="0.15">
      <c r="A68" t="str">
        <f t="shared" si="15"/>
        <v>*PW能力一覧 [#a469e89f]</v>
      </c>
      <c r="B68" t="s">
        <v>23</v>
      </c>
    </row>
    <row r="69" spans="1:18" x14ac:dyDescent="0.15">
      <c r="A69" t="str">
        <f t="shared" si="15"/>
        <v>**第1能力：調査/Investigation</v>
      </c>
      <c r="B69" t="s">
        <v>24</v>
      </c>
      <c r="D69" t="s">
        <v>189</v>
      </c>
      <c r="E69" t="s">
        <v>25</v>
      </c>
      <c r="F69" t="s">
        <v>190</v>
      </c>
      <c r="R69" t="str">
        <f>D69&amp;E69&amp;F69</f>
        <v>調査/Investigation</v>
      </c>
    </row>
    <row r="70" spans="1:18" x14ac:dyDescent="0.15">
      <c r="A70" t="str">
        <f t="shared" si="15"/>
        <v>|LEFT:50|LEFT:50|LEFT:50|LEFT:300|c</v>
      </c>
      <c r="B70" t="s">
        <v>3</v>
      </c>
      <c r="C70" t="s">
        <v>4</v>
      </c>
      <c r="E70" t="s">
        <v>3</v>
      </c>
      <c r="F70" t="s">
        <v>4</v>
      </c>
      <c r="G70" t="s">
        <v>3</v>
      </c>
      <c r="H70" t="s">
        <v>4</v>
      </c>
      <c r="I70" t="s">
        <v>3</v>
      </c>
      <c r="J70" t="s">
        <v>26</v>
      </c>
      <c r="K70" t="s">
        <v>3</v>
      </c>
      <c r="L70" t="s">
        <v>5</v>
      </c>
    </row>
    <row r="71" spans="1:18" x14ac:dyDescent="0.15">
      <c r="A71" t="str">
        <f t="shared" si="15"/>
        <v>|解放Lv|レベル|コスト|効果|</v>
      </c>
      <c r="B71" t="s">
        <v>3</v>
      </c>
      <c r="C71" t="s">
        <v>27</v>
      </c>
      <c r="E71" t="s">
        <v>3</v>
      </c>
      <c r="F71" t="s">
        <v>6</v>
      </c>
      <c r="G71" t="s">
        <v>3</v>
      </c>
      <c r="H71" t="s">
        <v>28</v>
      </c>
      <c r="I71" t="s">
        <v>3</v>
      </c>
      <c r="J71" t="s">
        <v>29</v>
      </c>
      <c r="K71" t="s">
        <v>3</v>
      </c>
    </row>
    <row r="72" spans="1:18" x14ac:dyDescent="0.15">
      <c r="A72" t="str">
        <f t="shared" si="15"/>
        <v>|Lv6|Lv1|9|あなたがコントロールするサポートの数1つにつき1マナ得る。|</v>
      </c>
      <c r="B72" t="s">
        <v>3</v>
      </c>
      <c r="C72" t="s">
        <v>8</v>
      </c>
      <c r="D72">
        <v>6</v>
      </c>
      <c r="E72" t="s">
        <v>3</v>
      </c>
      <c r="F72" t="s">
        <v>30</v>
      </c>
      <c r="G72" t="s">
        <v>3</v>
      </c>
      <c r="H72">
        <v>9</v>
      </c>
      <c r="I72" t="s">
        <v>3</v>
      </c>
      <c r="J72" t="s">
        <v>191</v>
      </c>
      <c r="K72" t="s">
        <v>3</v>
      </c>
    </row>
    <row r="73" spans="1:18" x14ac:dyDescent="0.15">
      <c r="A73" t="str">
        <f t="shared" si="15"/>
        <v>|Lv24|Lv2|9|あなたがコントロールするサポートの数1つにつき2マナ得る。|</v>
      </c>
      <c r="B73" t="s">
        <v>3</v>
      </c>
      <c r="C73" t="s">
        <v>8</v>
      </c>
      <c r="D73">
        <v>24</v>
      </c>
      <c r="E73" t="s">
        <v>3</v>
      </c>
      <c r="F73" t="s">
        <v>31</v>
      </c>
      <c r="G73" t="s">
        <v>3</v>
      </c>
      <c r="H73">
        <v>9</v>
      </c>
      <c r="I73" t="s">
        <v>3</v>
      </c>
      <c r="J73" t="s">
        <v>192</v>
      </c>
      <c r="K73" t="s">
        <v>3</v>
      </c>
    </row>
    <row r="74" spans="1:18" x14ac:dyDescent="0.15">
      <c r="A74" t="str">
        <f t="shared" si="15"/>
        <v>|Lv40|Lv3|9|あなたがコントロールするサポートの数1つにつき3マナ得る。|</v>
      </c>
      <c r="B74" t="s">
        <v>3</v>
      </c>
      <c r="C74" t="s">
        <v>8</v>
      </c>
      <c r="D74">
        <v>40</v>
      </c>
      <c r="E74" t="s">
        <v>3</v>
      </c>
      <c r="F74" t="s">
        <v>32</v>
      </c>
      <c r="G74" t="s">
        <v>3</v>
      </c>
      <c r="H74">
        <v>9</v>
      </c>
      <c r="I74" t="s">
        <v>3</v>
      </c>
      <c r="J74" t="s">
        <v>193</v>
      </c>
      <c r="K74" t="s">
        <v>3</v>
      </c>
    </row>
    <row r="75" spans="1:18" x14ac:dyDescent="0.15">
      <c r="A75" t="str">
        <f t="shared" si="15"/>
        <v>|Lv56|Lv4|9|あなたがコントロールするサポートの数1つにつき4マナ得る。|</v>
      </c>
      <c r="B75" t="s">
        <v>3</v>
      </c>
      <c r="C75" t="s">
        <v>8</v>
      </c>
      <c r="D75">
        <v>56</v>
      </c>
      <c r="E75" t="s">
        <v>3</v>
      </c>
      <c r="F75" t="s">
        <v>33</v>
      </c>
      <c r="G75" t="s">
        <v>3</v>
      </c>
      <c r="H75">
        <v>9</v>
      </c>
      <c r="I75" t="s">
        <v>3</v>
      </c>
      <c r="J75" t="s">
        <v>194</v>
      </c>
      <c r="K75" t="s">
        <v>3</v>
      </c>
    </row>
    <row r="76" spans="1:18" x14ac:dyDescent="0.15">
      <c r="A76" t="str">
        <f t="shared" si="15"/>
        <v>&amp;br;</v>
      </c>
      <c r="B76" t="s">
        <v>0</v>
      </c>
    </row>
    <row r="77" spans="1:18" x14ac:dyDescent="0.15">
      <c r="A77" t="str">
        <f t="shared" si="15"/>
        <v>&amp;br;</v>
      </c>
      <c r="B77" t="s">
        <v>0</v>
      </c>
    </row>
    <row r="78" spans="1:18" x14ac:dyDescent="0.15">
      <c r="A78" t="str">
        <f t="shared" si="15"/>
        <v>**第2能力：研究/Study</v>
      </c>
      <c r="B78" t="s">
        <v>34</v>
      </c>
      <c r="D78" t="s">
        <v>195</v>
      </c>
      <c r="E78" t="s">
        <v>25</v>
      </c>
      <c r="F78" t="s">
        <v>196</v>
      </c>
      <c r="R78" t="str">
        <f>D78&amp;E78&amp;F78</f>
        <v>研究/Study</v>
      </c>
    </row>
    <row r="79" spans="1:18" x14ac:dyDescent="0.15">
      <c r="A79" t="str">
        <f t="shared" si="15"/>
        <v>|LEFT:50|LEFT:50|LEFT:50|LEFT:300|c</v>
      </c>
      <c r="B79" t="s">
        <v>3</v>
      </c>
      <c r="C79" t="s">
        <v>4</v>
      </c>
      <c r="E79" t="s">
        <v>3</v>
      </c>
      <c r="F79" t="s">
        <v>4</v>
      </c>
      <c r="G79" t="s">
        <v>3</v>
      </c>
      <c r="H79" t="s">
        <v>4</v>
      </c>
      <c r="I79" t="s">
        <v>3</v>
      </c>
      <c r="J79" t="s">
        <v>26</v>
      </c>
      <c r="K79" t="s">
        <v>3</v>
      </c>
      <c r="L79" t="s">
        <v>5</v>
      </c>
    </row>
    <row r="80" spans="1:18" x14ac:dyDescent="0.15">
      <c r="A80" t="str">
        <f t="shared" si="15"/>
        <v>|解放Lv|レベル|コスト|効果|</v>
      </c>
      <c r="B80" t="s">
        <v>3</v>
      </c>
      <c r="C80" t="s">
        <v>27</v>
      </c>
      <c r="E80" t="s">
        <v>3</v>
      </c>
      <c r="F80" t="s">
        <v>6</v>
      </c>
      <c r="G80" t="s">
        <v>3</v>
      </c>
      <c r="H80" t="s">
        <v>28</v>
      </c>
      <c r="I80" t="s">
        <v>3</v>
      </c>
      <c r="J80" t="s">
        <v>29</v>
      </c>
      <c r="K80" t="s">
        <v>3</v>
      </c>
    </row>
    <row r="81" spans="1:18" x14ac:dyDescent="0.15">
      <c r="A81" t="str">
        <f t="shared" si="15"/>
        <v>|Lv12|Lv1|12|手札を1枚捨てる。その後、調査1を行う。|</v>
      </c>
      <c r="B81" t="s">
        <v>3</v>
      </c>
      <c r="C81" t="s">
        <v>8</v>
      </c>
      <c r="D81">
        <v>12</v>
      </c>
      <c r="E81" t="s">
        <v>3</v>
      </c>
      <c r="F81" t="s">
        <v>30</v>
      </c>
      <c r="G81" t="s">
        <v>3</v>
      </c>
      <c r="H81">
        <v>12</v>
      </c>
      <c r="I81" t="s">
        <v>3</v>
      </c>
      <c r="J81" t="s">
        <v>197</v>
      </c>
      <c r="K81" t="s">
        <v>3</v>
      </c>
    </row>
    <row r="82" spans="1:18" x14ac:dyDescent="0.15">
      <c r="A82" t="str">
        <f t="shared" si="15"/>
        <v>|Lv30|Lv2|12|手札を1枚捨てる。その後、調査2を行う。|</v>
      </c>
      <c r="B82" t="s">
        <v>3</v>
      </c>
      <c r="C82" t="s">
        <v>8</v>
      </c>
      <c r="D82">
        <v>30</v>
      </c>
      <c r="E82" t="s">
        <v>3</v>
      </c>
      <c r="F82" t="s">
        <v>31</v>
      </c>
      <c r="G82" t="s">
        <v>3</v>
      </c>
      <c r="H82">
        <v>12</v>
      </c>
      <c r="I82" t="s">
        <v>3</v>
      </c>
      <c r="J82" t="s">
        <v>198</v>
      </c>
      <c r="K82" t="s">
        <v>3</v>
      </c>
    </row>
    <row r="83" spans="1:18" x14ac:dyDescent="0.15">
      <c r="A83" t="str">
        <f t="shared" si="15"/>
        <v>|Lv46|Lv3|12|手札を1枚捨てる。その後、調査3を行う。|</v>
      </c>
      <c r="B83" t="s">
        <v>3</v>
      </c>
      <c r="C83" t="s">
        <v>8</v>
      </c>
      <c r="D83">
        <v>46</v>
      </c>
      <c r="E83" t="s">
        <v>3</v>
      </c>
      <c r="F83" t="s">
        <v>32</v>
      </c>
      <c r="G83" t="s">
        <v>3</v>
      </c>
      <c r="H83">
        <v>12</v>
      </c>
      <c r="I83" t="s">
        <v>3</v>
      </c>
      <c r="J83" t="s">
        <v>199</v>
      </c>
      <c r="K83" t="s">
        <v>3</v>
      </c>
    </row>
    <row r="84" spans="1:18" x14ac:dyDescent="0.15">
      <c r="A84" t="str">
        <f t="shared" si="15"/>
        <v>|Lv58|Lv4|12|手札を1枚捨てる。その後、調査4を行う。|</v>
      </c>
      <c r="B84" t="s">
        <v>3</v>
      </c>
      <c r="C84" t="s">
        <v>8</v>
      </c>
      <c r="D84">
        <v>58</v>
      </c>
      <c r="E84" t="s">
        <v>3</v>
      </c>
      <c r="F84" t="s">
        <v>33</v>
      </c>
      <c r="G84" t="s">
        <v>3</v>
      </c>
      <c r="H84">
        <v>12</v>
      </c>
      <c r="I84" t="s">
        <v>3</v>
      </c>
      <c r="J84" t="s">
        <v>200</v>
      </c>
      <c r="K84" t="s">
        <v>3</v>
      </c>
    </row>
    <row r="85" spans="1:18" x14ac:dyDescent="0.15">
      <c r="A85" t="str">
        <f t="shared" si="15"/>
        <v>&amp;br;</v>
      </c>
      <c r="B85" t="s">
        <v>0</v>
      </c>
    </row>
    <row r="86" spans="1:18" x14ac:dyDescent="0.15">
      <c r="A86" t="str">
        <f t="shared" si="15"/>
        <v>&amp;br;</v>
      </c>
      <c r="B86" t="s">
        <v>0</v>
      </c>
    </row>
    <row r="87" spans="1:18" x14ac:dyDescent="0.15">
      <c r="A87" t="str">
        <f t="shared" si="15"/>
        <v>**第3能力：解明/Unravel</v>
      </c>
      <c r="B87" t="s">
        <v>35</v>
      </c>
      <c r="D87" t="s">
        <v>201</v>
      </c>
      <c r="E87" t="s">
        <v>25</v>
      </c>
      <c r="F87" t="s">
        <v>202</v>
      </c>
      <c r="R87" t="str">
        <f>D87&amp;E87&amp;F87</f>
        <v>解明/Unravel</v>
      </c>
    </row>
    <row r="88" spans="1:18" x14ac:dyDescent="0.15">
      <c r="A88" t="str">
        <f t="shared" ref="A88:A151" si="16">B88&amp;C88&amp;D88&amp;E88&amp;F88&amp;G88&amp;H88&amp;I88&amp;J88&amp;K88&amp;L88&amp;M88&amp;N88&amp;O88&amp;P88</f>
        <v>|LEFT:50|LEFT:50|LEFT:50|LEFT:300|c</v>
      </c>
      <c r="B88" t="s">
        <v>3</v>
      </c>
      <c r="C88" t="s">
        <v>4</v>
      </c>
      <c r="E88" t="s">
        <v>3</v>
      </c>
      <c r="F88" t="s">
        <v>4</v>
      </c>
      <c r="G88" t="s">
        <v>3</v>
      </c>
      <c r="H88" t="s">
        <v>4</v>
      </c>
      <c r="I88" t="s">
        <v>3</v>
      </c>
      <c r="J88" t="s">
        <v>26</v>
      </c>
      <c r="K88" t="s">
        <v>3</v>
      </c>
      <c r="L88" t="s">
        <v>5</v>
      </c>
    </row>
    <row r="89" spans="1:18" x14ac:dyDescent="0.15">
      <c r="A89" t="str">
        <f t="shared" si="16"/>
        <v>|解放Lv|レベル|コスト|効果|</v>
      </c>
      <c r="B89" t="s">
        <v>3</v>
      </c>
      <c r="C89" t="s">
        <v>27</v>
      </c>
      <c r="E89" t="s">
        <v>3</v>
      </c>
      <c r="F89" t="s">
        <v>6</v>
      </c>
      <c r="G89" t="s">
        <v>3</v>
      </c>
      <c r="H89" t="s">
        <v>28</v>
      </c>
      <c r="I89" t="s">
        <v>3</v>
      </c>
      <c r="J89" t="s">
        <v>29</v>
      </c>
      <c r="K89" t="s">
        <v>3</v>
      </c>
    </row>
    <row r="90" spans="1:18" x14ac:dyDescent="0.15">
      <c r="A90" t="str">
        <f t="shared" si="16"/>
        <v>|Lv18|Lv1|21|「あなたがカード引くたび、あなたがコントロールする各クリーチャーは+1/+1の修正を得る」を持つサポート(シールド数6)を生成する。|</v>
      </c>
      <c r="B90" t="s">
        <v>3</v>
      </c>
      <c r="C90" t="s">
        <v>8</v>
      </c>
      <c r="D90">
        <v>18</v>
      </c>
      <c r="E90" t="s">
        <v>3</v>
      </c>
      <c r="F90" t="s">
        <v>30</v>
      </c>
      <c r="G90" t="s">
        <v>3</v>
      </c>
      <c r="H90">
        <v>21</v>
      </c>
      <c r="I90" t="s">
        <v>3</v>
      </c>
      <c r="J90" t="s">
        <v>203</v>
      </c>
      <c r="K90" t="s">
        <v>3</v>
      </c>
    </row>
    <row r="91" spans="1:18" x14ac:dyDescent="0.15">
      <c r="A91" t="str">
        <f t="shared" si="16"/>
        <v>|Lv36|Lv2|21|「あなたがカード引くたび、あなたがコントロールする各クリーチャーは+2/+2の修正を得る」を持つサポート(シールド数6)を生成する。|</v>
      </c>
      <c r="B91" t="s">
        <v>3</v>
      </c>
      <c r="C91" t="s">
        <v>8</v>
      </c>
      <c r="D91">
        <v>36</v>
      </c>
      <c r="E91" t="s">
        <v>3</v>
      </c>
      <c r="F91" t="s">
        <v>31</v>
      </c>
      <c r="G91" t="s">
        <v>3</v>
      </c>
      <c r="H91">
        <v>21</v>
      </c>
      <c r="I91" t="s">
        <v>3</v>
      </c>
      <c r="J91" t="s">
        <v>204</v>
      </c>
      <c r="K91" t="s">
        <v>3</v>
      </c>
    </row>
    <row r="92" spans="1:18" x14ac:dyDescent="0.15">
      <c r="A92" t="str">
        <f t="shared" si="16"/>
        <v>|Lv52|Lv3|21|「あなたがカード引くたび、あなたがコントロールする各クリーチャーは+3/+3の修正を得る」を持つサポート(シールド数6)を生成する。|</v>
      </c>
      <c r="B92" t="s">
        <v>3</v>
      </c>
      <c r="C92" t="s">
        <v>8</v>
      </c>
      <c r="D92">
        <v>52</v>
      </c>
      <c r="E92" t="s">
        <v>3</v>
      </c>
      <c r="F92" t="s">
        <v>32</v>
      </c>
      <c r="G92" t="s">
        <v>3</v>
      </c>
      <c r="H92">
        <v>21</v>
      </c>
      <c r="I92" t="s">
        <v>3</v>
      </c>
      <c r="J92" t="s">
        <v>205</v>
      </c>
      <c r="K92" t="s">
        <v>3</v>
      </c>
    </row>
    <row r="93" spans="1:18" x14ac:dyDescent="0.15">
      <c r="A93" t="str">
        <f t="shared" si="16"/>
        <v>|Lv60|Lv4|21|「あなたがカード引くたび、あなたがコントロールする各クリーチャーは+4/+4の修正を得る」を持つサポート(シールド数6)を生成する。|</v>
      </c>
      <c r="B93" t="s">
        <v>3</v>
      </c>
      <c r="C93" t="s">
        <v>8</v>
      </c>
      <c r="D93">
        <v>60</v>
      </c>
      <c r="E93" t="s">
        <v>3</v>
      </c>
      <c r="F93" t="s">
        <v>33</v>
      </c>
      <c r="G93" t="s">
        <v>3</v>
      </c>
      <c r="H93">
        <v>21</v>
      </c>
      <c r="I93" t="s">
        <v>3</v>
      </c>
      <c r="J93" t="s">
        <v>206</v>
      </c>
      <c r="K93" t="s">
        <v>3</v>
      </c>
    </row>
    <row r="94" spans="1:18" x14ac:dyDescent="0.15">
      <c r="A94" t="str">
        <f t="shared" si="16"/>
        <v>&amp;br;</v>
      </c>
      <c r="B94" t="s">
        <v>0</v>
      </c>
    </row>
    <row r="95" spans="1:18" x14ac:dyDescent="0.15">
      <c r="A95" t="str">
        <f t="shared" si="16"/>
        <v>&amp;br;</v>
      </c>
      <c r="B95" t="s">
        <v>0</v>
      </c>
    </row>
    <row r="96" spans="1:18" x14ac:dyDescent="0.15">
      <c r="A96" t="str">
        <f t="shared" si="16"/>
        <v>*レベルアップ報酬一覧 [#k0cef29c]</v>
      </c>
      <c r="B96" t="s">
        <v>36</v>
      </c>
    </row>
    <row r="97" spans="1:17" x14ac:dyDescent="0.15">
      <c r="A97" t="str">
        <f t="shared" si="16"/>
        <v>|LEFT:50|LEFT:100|c</v>
      </c>
      <c r="B97" t="s">
        <v>3</v>
      </c>
      <c r="C97" t="s">
        <v>4</v>
      </c>
      <c r="E97" t="s">
        <v>3</v>
      </c>
      <c r="F97" t="s">
        <v>37</v>
      </c>
      <c r="I97" t="s">
        <v>3</v>
      </c>
      <c r="J97" t="s">
        <v>5</v>
      </c>
    </row>
    <row r="98" spans="1:17" x14ac:dyDescent="0.15">
      <c r="A98" t="str">
        <f t="shared" si="16"/>
        <v>|レベル|報酬|</v>
      </c>
      <c r="B98" t="s">
        <v>3</v>
      </c>
      <c r="C98" t="s">
        <v>6</v>
      </c>
      <c r="E98" t="s">
        <v>3</v>
      </c>
      <c r="F98" t="s">
        <v>38</v>
      </c>
      <c r="I98" t="s">
        <v>3</v>
      </c>
      <c r="Q98" t="s">
        <v>7</v>
      </c>
    </row>
    <row r="99" spans="1:17" x14ac:dyDescent="0.15">
      <c r="A99" t="str">
        <f t="shared" si="16"/>
        <v>|Lｖ2|クリーチャー+1|</v>
      </c>
      <c r="B99" t="s">
        <v>3</v>
      </c>
      <c r="C99" t="s">
        <v>39</v>
      </c>
      <c r="D99">
        <v>2</v>
      </c>
      <c r="E99" t="s">
        <v>3</v>
      </c>
      <c r="F99" t="s">
        <v>20</v>
      </c>
      <c r="G99" t="str">
        <f t="shared" ref="G99:G142" si="17">IF(OR(F99=$Q$107,F99=$Q$108,F99=$Q$109,F99=$Q$110,ISBLANK(F99)),"","+")</f>
        <v>+</v>
      </c>
      <c r="H99">
        <v>1</v>
      </c>
      <c r="I99" t="s">
        <v>3</v>
      </c>
      <c r="Q99" t="s">
        <v>20</v>
      </c>
    </row>
    <row r="100" spans="1:17" x14ac:dyDescent="0.15">
      <c r="A100" t="str">
        <f t="shared" si="16"/>
        <v>|Lｖ3|HP+3|</v>
      </c>
      <c r="B100" t="s">
        <v>3</v>
      </c>
      <c r="C100" t="s">
        <v>39</v>
      </c>
      <c r="D100">
        <v>3</v>
      </c>
      <c r="E100" t="s">
        <v>3</v>
      </c>
      <c r="F100" t="s">
        <v>7</v>
      </c>
      <c r="G100" t="str">
        <f t="shared" si="17"/>
        <v>+</v>
      </c>
      <c r="H100">
        <v>3</v>
      </c>
      <c r="I100" t="s">
        <v>3</v>
      </c>
      <c r="Q100" t="s">
        <v>21</v>
      </c>
    </row>
    <row r="101" spans="1:17" x14ac:dyDescent="0.15">
      <c r="A101" t="str">
        <f t="shared" si="16"/>
        <v>|Lｖ4|青+1|</v>
      </c>
      <c r="B101" t="s">
        <v>3</v>
      </c>
      <c r="C101" t="s">
        <v>39</v>
      </c>
      <c r="D101">
        <v>4</v>
      </c>
      <c r="E101" t="s">
        <v>3</v>
      </c>
      <c r="F101" t="s">
        <v>12</v>
      </c>
      <c r="G101" t="str">
        <f t="shared" si="17"/>
        <v>+</v>
      </c>
      <c r="H101">
        <v>1</v>
      </c>
      <c r="I101" t="s">
        <v>3</v>
      </c>
      <c r="Q101" t="s">
        <v>22</v>
      </c>
    </row>
    <row r="102" spans="1:17" x14ac:dyDescent="0.15">
      <c r="A102" t="str">
        <f t="shared" si="16"/>
        <v>|Lｖ5|HP+3|</v>
      </c>
      <c r="B102" t="s">
        <v>3</v>
      </c>
      <c r="C102" t="s">
        <v>39</v>
      </c>
      <c r="D102">
        <v>5</v>
      </c>
      <c r="E102" t="s">
        <v>3</v>
      </c>
      <c r="F102" t="s">
        <v>7</v>
      </c>
      <c r="G102" t="str">
        <f t="shared" si="17"/>
        <v>+</v>
      </c>
      <c r="H102">
        <v>3</v>
      </c>
      <c r="I102" t="s">
        <v>3</v>
      </c>
      <c r="Q102" t="s">
        <v>11</v>
      </c>
    </row>
    <row r="103" spans="1:17" x14ac:dyDescent="0.15">
      <c r="A103" t="str">
        <f t="shared" si="16"/>
        <v>|Lｖ6|第1能力Lv1|</v>
      </c>
      <c r="B103" t="s">
        <v>3</v>
      </c>
      <c r="C103" t="s">
        <v>39</v>
      </c>
      <c r="D103">
        <v>6</v>
      </c>
      <c r="E103" t="s">
        <v>3</v>
      </c>
      <c r="F103" t="s">
        <v>40</v>
      </c>
      <c r="G103" t="str">
        <f t="shared" si="17"/>
        <v/>
      </c>
      <c r="H103">
        <v>1</v>
      </c>
      <c r="I103" t="s">
        <v>3</v>
      </c>
      <c r="Q103" t="s">
        <v>12</v>
      </c>
    </row>
    <row r="104" spans="1:17" x14ac:dyDescent="0.15">
      <c r="A104" t="str">
        <f t="shared" si="16"/>
        <v>|Lｖ7|HP+3|</v>
      </c>
      <c r="B104" t="s">
        <v>3</v>
      </c>
      <c r="C104" t="s">
        <v>39</v>
      </c>
      <c r="D104">
        <v>7</v>
      </c>
      <c r="E104" t="s">
        <v>3</v>
      </c>
      <c r="F104" t="s">
        <v>7</v>
      </c>
      <c r="G104" t="str">
        <f t="shared" si="17"/>
        <v>+</v>
      </c>
      <c r="H104">
        <v>3</v>
      </c>
      <c r="I104" t="s">
        <v>3</v>
      </c>
      <c r="Q104" t="s">
        <v>13</v>
      </c>
    </row>
    <row r="105" spans="1:17" x14ac:dyDescent="0.15">
      <c r="A105" t="str">
        <f t="shared" si="16"/>
        <v>|Lｖ8|サポート+1|</v>
      </c>
      <c r="B105" t="s">
        <v>3</v>
      </c>
      <c r="C105" t="s">
        <v>39</v>
      </c>
      <c r="D105">
        <v>8</v>
      </c>
      <c r="E105" t="s">
        <v>3</v>
      </c>
      <c r="F105" t="s">
        <v>22</v>
      </c>
      <c r="G105" t="str">
        <f t="shared" si="17"/>
        <v>+</v>
      </c>
      <c r="H105">
        <v>1</v>
      </c>
      <c r="I105" t="s">
        <v>3</v>
      </c>
      <c r="Q105" t="s">
        <v>14</v>
      </c>
    </row>
    <row r="106" spans="1:17" x14ac:dyDescent="0.15">
      <c r="A106" t="str">
        <f t="shared" si="16"/>
        <v>|Lｖ9|HP+3|</v>
      </c>
      <c r="B106" t="s">
        <v>3</v>
      </c>
      <c r="C106" t="s">
        <v>39</v>
      </c>
      <c r="D106">
        <v>9</v>
      </c>
      <c r="E106" t="s">
        <v>3</v>
      </c>
      <c r="F106" t="s">
        <v>7</v>
      </c>
      <c r="G106" t="str">
        <f t="shared" si="17"/>
        <v>+</v>
      </c>
      <c r="H106">
        <v>3</v>
      </c>
      <c r="I106" t="s">
        <v>3</v>
      </c>
      <c r="Q106" t="s">
        <v>15</v>
      </c>
    </row>
    <row r="107" spans="1:17" x14ac:dyDescent="0.15">
      <c r="A107" t="str">
        <f t="shared" si="16"/>
        <v>|Lｖ10|黒+1|</v>
      </c>
      <c r="B107" t="s">
        <v>3</v>
      </c>
      <c r="C107" t="s">
        <v>39</v>
      </c>
      <c r="D107">
        <v>10</v>
      </c>
      <c r="E107" t="s">
        <v>3</v>
      </c>
      <c r="F107" t="s">
        <v>13</v>
      </c>
      <c r="G107" t="str">
        <f t="shared" si="17"/>
        <v>+</v>
      </c>
      <c r="H107">
        <v>1</v>
      </c>
      <c r="I107" t="s">
        <v>3</v>
      </c>
      <c r="Q107" t="s">
        <v>40</v>
      </c>
    </row>
    <row r="108" spans="1:17" x14ac:dyDescent="0.15">
      <c r="A108" t="str">
        <f t="shared" si="16"/>
        <v>|Lｖ11|HP+3|</v>
      </c>
      <c r="B108" t="s">
        <v>3</v>
      </c>
      <c r="C108" t="s">
        <v>39</v>
      </c>
      <c r="D108">
        <v>11</v>
      </c>
      <c r="E108" t="s">
        <v>3</v>
      </c>
      <c r="F108" t="s">
        <v>7</v>
      </c>
      <c r="G108" t="str">
        <f t="shared" si="17"/>
        <v>+</v>
      </c>
      <c r="H108">
        <v>3</v>
      </c>
      <c r="I108" t="s">
        <v>3</v>
      </c>
      <c r="Q108" t="s">
        <v>41</v>
      </c>
    </row>
    <row r="109" spans="1:17" x14ac:dyDescent="0.15">
      <c r="A109" t="str">
        <f t="shared" si="16"/>
        <v>|Lｖ12|第2能力Lv1|</v>
      </c>
      <c r="B109" t="s">
        <v>3</v>
      </c>
      <c r="C109" t="s">
        <v>39</v>
      </c>
      <c r="D109">
        <v>12</v>
      </c>
      <c r="E109" t="s">
        <v>3</v>
      </c>
      <c r="F109" t="s">
        <v>41</v>
      </c>
      <c r="G109" t="str">
        <f t="shared" si="17"/>
        <v/>
      </c>
      <c r="H109">
        <v>1</v>
      </c>
      <c r="I109" t="s">
        <v>3</v>
      </c>
      <c r="Q109" t="s">
        <v>42</v>
      </c>
    </row>
    <row r="110" spans="1:17" x14ac:dyDescent="0.15">
      <c r="A110" t="str">
        <f t="shared" si="16"/>
        <v>|Lｖ13|HP+3|</v>
      </c>
      <c r="B110" t="s">
        <v>3</v>
      </c>
      <c r="C110" t="s">
        <v>39</v>
      </c>
      <c r="D110">
        <v>13</v>
      </c>
      <c r="E110" t="s">
        <v>3</v>
      </c>
      <c r="F110" t="s">
        <v>7</v>
      </c>
      <c r="G110" t="str">
        <f t="shared" si="17"/>
        <v>+</v>
      </c>
      <c r="H110">
        <v>3</v>
      </c>
      <c r="I110" t="s">
        <v>3</v>
      </c>
      <c r="Q110" t="s">
        <v>43</v>
      </c>
    </row>
    <row r="111" spans="1:17" x14ac:dyDescent="0.15">
      <c r="A111" t="str">
        <f t="shared" si="16"/>
        <v>|Lｖ14|呪文+1|</v>
      </c>
      <c r="B111" t="s">
        <v>3</v>
      </c>
      <c r="C111" t="s">
        <v>39</v>
      </c>
      <c r="D111">
        <v>14</v>
      </c>
      <c r="E111" t="s">
        <v>3</v>
      </c>
      <c r="F111" t="s">
        <v>21</v>
      </c>
      <c r="G111" t="str">
        <f t="shared" si="17"/>
        <v>+</v>
      </c>
      <c r="H111">
        <v>1</v>
      </c>
      <c r="I111" t="s">
        <v>3</v>
      </c>
    </row>
    <row r="112" spans="1:17" x14ac:dyDescent="0.15">
      <c r="A112" t="str">
        <f t="shared" si="16"/>
        <v>|Lｖ15|HP+3|</v>
      </c>
      <c r="B112" t="s">
        <v>3</v>
      </c>
      <c r="C112" t="s">
        <v>39</v>
      </c>
      <c r="D112">
        <v>15</v>
      </c>
      <c r="E112" t="s">
        <v>3</v>
      </c>
      <c r="F112" t="s">
        <v>7</v>
      </c>
      <c r="G112" t="str">
        <f t="shared" si="17"/>
        <v>+</v>
      </c>
      <c r="H112">
        <v>3</v>
      </c>
      <c r="I112" t="s">
        <v>3</v>
      </c>
    </row>
    <row r="113" spans="1:9" x14ac:dyDescent="0.15">
      <c r="A113" t="str">
        <f t="shared" si="16"/>
        <v>|Lｖ16|白+1|</v>
      </c>
      <c r="B113" t="s">
        <v>3</v>
      </c>
      <c r="C113" t="s">
        <v>39</v>
      </c>
      <c r="D113">
        <v>16</v>
      </c>
      <c r="E113" t="s">
        <v>3</v>
      </c>
      <c r="F113" t="s">
        <v>11</v>
      </c>
      <c r="G113" t="str">
        <f t="shared" si="17"/>
        <v>+</v>
      </c>
      <c r="H113">
        <v>1</v>
      </c>
      <c r="I113" t="s">
        <v>3</v>
      </c>
    </row>
    <row r="114" spans="1:9" x14ac:dyDescent="0.15">
      <c r="A114" t="str">
        <f t="shared" si="16"/>
        <v>|Lｖ17|HP+3|</v>
      </c>
      <c r="B114" t="s">
        <v>3</v>
      </c>
      <c r="C114" t="s">
        <v>39</v>
      </c>
      <c r="D114">
        <v>17</v>
      </c>
      <c r="E114" t="s">
        <v>3</v>
      </c>
      <c r="F114" t="s">
        <v>7</v>
      </c>
      <c r="G114" t="str">
        <f t="shared" si="17"/>
        <v>+</v>
      </c>
      <c r="H114">
        <v>3</v>
      </c>
      <c r="I114" t="s">
        <v>3</v>
      </c>
    </row>
    <row r="115" spans="1:9" x14ac:dyDescent="0.15">
      <c r="A115" t="str">
        <f t="shared" si="16"/>
        <v>|Lｖ18|第3能力Lv1|</v>
      </c>
      <c r="B115" t="s">
        <v>3</v>
      </c>
      <c r="C115" t="s">
        <v>39</v>
      </c>
      <c r="D115">
        <v>18</v>
      </c>
      <c r="E115" t="s">
        <v>3</v>
      </c>
      <c r="F115" t="s">
        <v>42</v>
      </c>
      <c r="G115" t="str">
        <f t="shared" si="17"/>
        <v/>
      </c>
      <c r="H115">
        <v>1</v>
      </c>
      <c r="I115" t="s">
        <v>3</v>
      </c>
    </row>
    <row r="116" spans="1:9" x14ac:dyDescent="0.15">
      <c r="A116" t="str">
        <f t="shared" si="16"/>
        <v>|Lｖ19|HP+3|</v>
      </c>
      <c r="B116" t="s">
        <v>3</v>
      </c>
      <c r="C116" t="s">
        <v>39</v>
      </c>
      <c r="D116">
        <v>19</v>
      </c>
      <c r="E116" t="s">
        <v>3</v>
      </c>
      <c r="F116" t="s">
        <v>7</v>
      </c>
      <c r="G116" t="str">
        <f t="shared" si="17"/>
        <v>+</v>
      </c>
      <c r="H116">
        <v>3</v>
      </c>
      <c r="I116" t="s">
        <v>3</v>
      </c>
    </row>
    <row r="117" spans="1:9" x14ac:dyDescent="0.15">
      <c r="A117" t="str">
        <f t="shared" si="16"/>
        <v>|Lｖ20|回復速度上昇|</v>
      </c>
      <c r="B117" t="s">
        <v>3</v>
      </c>
      <c r="C117" t="s">
        <v>39</v>
      </c>
      <c r="D117">
        <v>20</v>
      </c>
      <c r="E117" t="s">
        <v>3</v>
      </c>
      <c r="F117" t="s">
        <v>43</v>
      </c>
      <c r="G117" t="str">
        <f t="shared" si="17"/>
        <v/>
      </c>
      <c r="I117" t="s">
        <v>3</v>
      </c>
    </row>
    <row r="118" spans="1:9" x14ac:dyDescent="0.15">
      <c r="A118" t="str">
        <f t="shared" si="16"/>
        <v>|Lｖ21|HP+3|</v>
      </c>
      <c r="B118" t="s">
        <v>3</v>
      </c>
      <c r="C118" t="s">
        <v>39</v>
      </c>
      <c r="D118">
        <v>21</v>
      </c>
      <c r="E118" t="s">
        <v>3</v>
      </c>
      <c r="F118" t="s">
        <v>7</v>
      </c>
      <c r="G118" t="str">
        <f t="shared" si="17"/>
        <v>+</v>
      </c>
      <c r="H118">
        <v>3</v>
      </c>
      <c r="I118" t="s">
        <v>3</v>
      </c>
    </row>
    <row r="119" spans="1:9" x14ac:dyDescent="0.15">
      <c r="A119" t="str">
        <f t="shared" si="16"/>
        <v>|Lｖ22|赤+1|</v>
      </c>
      <c r="B119" t="s">
        <v>3</v>
      </c>
      <c r="C119" t="s">
        <v>39</v>
      </c>
      <c r="D119">
        <v>22</v>
      </c>
      <c r="E119" t="s">
        <v>3</v>
      </c>
      <c r="F119" t="s">
        <v>14</v>
      </c>
      <c r="G119" t="str">
        <f t="shared" si="17"/>
        <v>+</v>
      </c>
      <c r="H119">
        <v>1</v>
      </c>
      <c r="I119" t="s">
        <v>3</v>
      </c>
    </row>
    <row r="120" spans="1:9" x14ac:dyDescent="0.15">
      <c r="A120" t="str">
        <f t="shared" si="16"/>
        <v>|Lｖ23|HP+3|</v>
      </c>
      <c r="B120" t="s">
        <v>3</v>
      </c>
      <c r="C120" t="s">
        <v>39</v>
      </c>
      <c r="D120">
        <v>23</v>
      </c>
      <c r="E120" t="s">
        <v>3</v>
      </c>
      <c r="F120" t="s">
        <v>7</v>
      </c>
      <c r="G120" t="str">
        <f t="shared" si="17"/>
        <v>+</v>
      </c>
      <c r="H120">
        <v>3</v>
      </c>
      <c r="I120" t="s">
        <v>3</v>
      </c>
    </row>
    <row r="121" spans="1:9" x14ac:dyDescent="0.15">
      <c r="A121" t="str">
        <f t="shared" si="16"/>
        <v>|Lｖ24|第1能力Lv2|</v>
      </c>
      <c r="B121" t="s">
        <v>3</v>
      </c>
      <c r="C121" t="s">
        <v>39</v>
      </c>
      <c r="D121">
        <v>24</v>
      </c>
      <c r="E121" t="s">
        <v>3</v>
      </c>
      <c r="F121" t="s">
        <v>40</v>
      </c>
      <c r="G121" t="str">
        <f t="shared" si="17"/>
        <v/>
      </c>
      <c r="H121">
        <v>2</v>
      </c>
      <c r="I121" t="s">
        <v>3</v>
      </c>
    </row>
    <row r="122" spans="1:9" x14ac:dyDescent="0.15">
      <c r="A122" t="str">
        <f t="shared" si="16"/>
        <v>|Lｖ25|HP+3|</v>
      </c>
      <c r="B122" t="s">
        <v>3</v>
      </c>
      <c r="C122" t="s">
        <v>39</v>
      </c>
      <c r="D122">
        <v>25</v>
      </c>
      <c r="E122" t="s">
        <v>3</v>
      </c>
      <c r="F122" t="s">
        <v>7</v>
      </c>
      <c r="G122" t="str">
        <f t="shared" si="17"/>
        <v>+</v>
      </c>
      <c r="H122">
        <v>3</v>
      </c>
      <c r="I122" t="s">
        <v>3</v>
      </c>
    </row>
    <row r="123" spans="1:9" x14ac:dyDescent="0.15">
      <c r="A123" t="str">
        <f t="shared" si="16"/>
        <v>|Lｖ26|クリーチャー+1|</v>
      </c>
      <c r="B123" t="s">
        <v>3</v>
      </c>
      <c r="C123" t="s">
        <v>39</v>
      </c>
      <c r="D123">
        <v>26</v>
      </c>
      <c r="E123" t="s">
        <v>3</v>
      </c>
      <c r="F123" t="s">
        <v>20</v>
      </c>
      <c r="G123" t="str">
        <f t="shared" si="17"/>
        <v>+</v>
      </c>
      <c r="H123">
        <v>1</v>
      </c>
      <c r="I123" t="s">
        <v>3</v>
      </c>
    </row>
    <row r="124" spans="1:9" x14ac:dyDescent="0.15">
      <c r="A124" t="str">
        <f t="shared" si="16"/>
        <v>|Lｖ27|HP+3|</v>
      </c>
      <c r="B124" t="s">
        <v>3</v>
      </c>
      <c r="C124" t="s">
        <v>39</v>
      </c>
      <c r="D124">
        <v>27</v>
      </c>
      <c r="E124" t="s">
        <v>3</v>
      </c>
      <c r="F124" t="s">
        <v>7</v>
      </c>
      <c r="G124" t="str">
        <f t="shared" si="17"/>
        <v>+</v>
      </c>
      <c r="H124">
        <v>3</v>
      </c>
      <c r="I124" t="s">
        <v>3</v>
      </c>
    </row>
    <row r="125" spans="1:9" x14ac:dyDescent="0.15">
      <c r="A125" t="str">
        <f t="shared" si="16"/>
        <v>|Lｖ28|緑+1|</v>
      </c>
      <c r="B125" t="s">
        <v>3</v>
      </c>
      <c r="C125" t="s">
        <v>39</v>
      </c>
      <c r="D125">
        <v>28</v>
      </c>
      <c r="E125" t="s">
        <v>3</v>
      </c>
      <c r="F125" t="s">
        <v>15</v>
      </c>
      <c r="G125" t="str">
        <f t="shared" si="17"/>
        <v>+</v>
      </c>
      <c r="H125">
        <v>1</v>
      </c>
      <c r="I125" t="s">
        <v>3</v>
      </c>
    </row>
    <row r="126" spans="1:9" x14ac:dyDescent="0.15">
      <c r="A126" t="str">
        <f t="shared" si="16"/>
        <v>|Lｖ29|HP+3|</v>
      </c>
      <c r="B126" t="s">
        <v>3</v>
      </c>
      <c r="C126" t="s">
        <v>39</v>
      </c>
      <c r="D126">
        <v>29</v>
      </c>
      <c r="E126" t="s">
        <v>3</v>
      </c>
      <c r="F126" t="s">
        <v>7</v>
      </c>
      <c r="G126" t="str">
        <f t="shared" si="17"/>
        <v>+</v>
      </c>
      <c r="H126">
        <v>3</v>
      </c>
      <c r="I126" t="s">
        <v>3</v>
      </c>
    </row>
    <row r="127" spans="1:9" x14ac:dyDescent="0.15">
      <c r="A127" t="str">
        <f t="shared" si="16"/>
        <v>|Lｖ30|第2能力Lv2|</v>
      </c>
      <c r="B127" t="s">
        <v>3</v>
      </c>
      <c r="C127" t="s">
        <v>39</v>
      </c>
      <c r="D127">
        <v>30</v>
      </c>
      <c r="E127" t="s">
        <v>3</v>
      </c>
      <c r="F127" t="s">
        <v>41</v>
      </c>
      <c r="G127" t="str">
        <f t="shared" si="17"/>
        <v/>
      </c>
      <c r="H127">
        <v>2</v>
      </c>
      <c r="I127" t="s">
        <v>3</v>
      </c>
    </row>
    <row r="128" spans="1:9" x14ac:dyDescent="0.15">
      <c r="A128" t="str">
        <f t="shared" si="16"/>
        <v>|Lｖ31|HP+3|</v>
      </c>
      <c r="B128" t="s">
        <v>3</v>
      </c>
      <c r="C128" t="s">
        <v>39</v>
      </c>
      <c r="D128">
        <v>31</v>
      </c>
      <c r="E128" t="s">
        <v>3</v>
      </c>
      <c r="F128" t="s">
        <v>7</v>
      </c>
      <c r="G128" t="str">
        <f t="shared" si="17"/>
        <v>+</v>
      </c>
      <c r="H128">
        <v>3</v>
      </c>
      <c r="I128" t="s">
        <v>3</v>
      </c>
    </row>
    <row r="129" spans="1:9" x14ac:dyDescent="0.15">
      <c r="A129" t="str">
        <f t="shared" si="16"/>
        <v>|Lｖ32|サポート+1|</v>
      </c>
      <c r="B129" t="s">
        <v>3</v>
      </c>
      <c r="C129" t="s">
        <v>39</v>
      </c>
      <c r="D129">
        <v>32</v>
      </c>
      <c r="E129" t="s">
        <v>3</v>
      </c>
      <c r="F129" t="s">
        <v>22</v>
      </c>
      <c r="G129" t="str">
        <f t="shared" si="17"/>
        <v>+</v>
      </c>
      <c r="H129">
        <v>1</v>
      </c>
      <c r="I129" t="s">
        <v>3</v>
      </c>
    </row>
    <row r="130" spans="1:9" x14ac:dyDescent="0.15">
      <c r="A130" t="str">
        <f t="shared" si="16"/>
        <v>|Lｖ33|HP+3|</v>
      </c>
      <c r="B130" t="s">
        <v>3</v>
      </c>
      <c r="C130" t="s">
        <v>39</v>
      </c>
      <c r="D130">
        <v>33</v>
      </c>
      <c r="E130" t="s">
        <v>3</v>
      </c>
      <c r="F130" t="s">
        <v>7</v>
      </c>
      <c r="G130" t="str">
        <f t="shared" si="17"/>
        <v>+</v>
      </c>
      <c r="H130">
        <v>3</v>
      </c>
      <c r="I130" t="s">
        <v>3</v>
      </c>
    </row>
    <row r="131" spans="1:9" x14ac:dyDescent="0.15">
      <c r="A131" t="str">
        <f t="shared" si="16"/>
        <v>|Lｖ34|青+1|</v>
      </c>
      <c r="B131" t="s">
        <v>3</v>
      </c>
      <c r="C131" t="s">
        <v>39</v>
      </c>
      <c r="D131">
        <v>34</v>
      </c>
      <c r="E131" t="s">
        <v>3</v>
      </c>
      <c r="F131" t="s">
        <v>12</v>
      </c>
      <c r="G131" t="str">
        <f t="shared" si="17"/>
        <v>+</v>
      </c>
      <c r="H131">
        <v>1</v>
      </c>
      <c r="I131" t="s">
        <v>3</v>
      </c>
    </row>
    <row r="132" spans="1:9" x14ac:dyDescent="0.15">
      <c r="A132" t="str">
        <f t="shared" si="16"/>
        <v>|Lｖ35|HP+3|</v>
      </c>
      <c r="B132" t="s">
        <v>3</v>
      </c>
      <c r="C132" t="s">
        <v>39</v>
      </c>
      <c r="D132">
        <v>35</v>
      </c>
      <c r="E132" t="s">
        <v>3</v>
      </c>
      <c r="F132" t="s">
        <v>7</v>
      </c>
      <c r="G132" t="str">
        <f t="shared" si="17"/>
        <v>+</v>
      </c>
      <c r="H132">
        <v>3</v>
      </c>
      <c r="I132" t="s">
        <v>3</v>
      </c>
    </row>
    <row r="133" spans="1:9" x14ac:dyDescent="0.15">
      <c r="A133" t="str">
        <f t="shared" si="16"/>
        <v>|Lｖ36|第3能力Lv2|</v>
      </c>
      <c r="B133" t="s">
        <v>3</v>
      </c>
      <c r="C133" t="s">
        <v>39</v>
      </c>
      <c r="D133">
        <v>36</v>
      </c>
      <c r="E133" t="s">
        <v>3</v>
      </c>
      <c r="F133" t="s">
        <v>42</v>
      </c>
      <c r="G133" t="str">
        <f t="shared" si="17"/>
        <v/>
      </c>
      <c r="H133">
        <v>2</v>
      </c>
      <c r="I133" t="s">
        <v>3</v>
      </c>
    </row>
    <row r="134" spans="1:9" x14ac:dyDescent="0.15">
      <c r="A134" t="str">
        <f t="shared" si="16"/>
        <v>|Lｖ37|HP+3|</v>
      </c>
      <c r="B134" t="s">
        <v>3</v>
      </c>
      <c r="C134" t="s">
        <v>39</v>
      </c>
      <c r="D134">
        <v>37</v>
      </c>
      <c r="E134" t="s">
        <v>3</v>
      </c>
      <c r="F134" t="s">
        <v>7</v>
      </c>
      <c r="G134" t="str">
        <f t="shared" si="17"/>
        <v>+</v>
      </c>
      <c r="H134">
        <v>3</v>
      </c>
      <c r="I134" t="s">
        <v>3</v>
      </c>
    </row>
    <row r="135" spans="1:9" x14ac:dyDescent="0.15">
      <c r="A135" t="str">
        <f t="shared" si="16"/>
        <v>|Lｖ38|呪文+1|</v>
      </c>
      <c r="B135" t="s">
        <v>3</v>
      </c>
      <c r="C135" t="s">
        <v>39</v>
      </c>
      <c r="D135">
        <v>38</v>
      </c>
      <c r="E135" t="s">
        <v>3</v>
      </c>
      <c r="F135" t="s">
        <v>21</v>
      </c>
      <c r="G135" t="str">
        <f t="shared" si="17"/>
        <v>+</v>
      </c>
      <c r="H135">
        <v>1</v>
      </c>
      <c r="I135" t="s">
        <v>3</v>
      </c>
    </row>
    <row r="136" spans="1:9" x14ac:dyDescent="0.15">
      <c r="A136" t="str">
        <f t="shared" si="16"/>
        <v>|Lｖ39|HP+3|</v>
      </c>
      <c r="B136" t="s">
        <v>3</v>
      </c>
      <c r="C136" t="s">
        <v>39</v>
      </c>
      <c r="D136">
        <v>39</v>
      </c>
      <c r="E136" t="s">
        <v>3</v>
      </c>
      <c r="F136" t="s">
        <v>7</v>
      </c>
      <c r="G136" t="str">
        <f t="shared" si="17"/>
        <v>+</v>
      </c>
      <c r="H136">
        <v>3</v>
      </c>
      <c r="I136" t="s">
        <v>3</v>
      </c>
    </row>
    <row r="137" spans="1:9" x14ac:dyDescent="0.15">
      <c r="A137" t="str">
        <f t="shared" si="16"/>
        <v>|Lｖ40|第1能力Lv3|</v>
      </c>
      <c r="B137" t="s">
        <v>3</v>
      </c>
      <c r="C137" t="s">
        <v>39</v>
      </c>
      <c r="D137">
        <v>40</v>
      </c>
      <c r="E137" t="s">
        <v>3</v>
      </c>
      <c r="F137" t="s">
        <v>40</v>
      </c>
      <c r="G137" t="str">
        <f t="shared" si="17"/>
        <v/>
      </c>
      <c r="H137">
        <v>3</v>
      </c>
      <c r="I137" t="s">
        <v>3</v>
      </c>
    </row>
    <row r="138" spans="1:9" x14ac:dyDescent="0.15">
      <c r="A138" t="str">
        <f t="shared" si="16"/>
        <v>|Lｖ41|HP+3|</v>
      </c>
      <c r="B138" t="s">
        <v>3</v>
      </c>
      <c r="C138" t="s">
        <v>39</v>
      </c>
      <c r="D138">
        <v>41</v>
      </c>
      <c r="E138" t="s">
        <v>3</v>
      </c>
      <c r="F138" t="s">
        <v>7</v>
      </c>
      <c r="G138" t="str">
        <f t="shared" si="17"/>
        <v>+</v>
      </c>
      <c r="H138">
        <v>3</v>
      </c>
      <c r="I138" t="s">
        <v>3</v>
      </c>
    </row>
    <row r="139" spans="1:9" x14ac:dyDescent="0.15">
      <c r="A139" t="str">
        <f t="shared" si="16"/>
        <v>|Lｖ42|黒+1|</v>
      </c>
      <c r="B139" t="s">
        <v>3</v>
      </c>
      <c r="C139" t="s">
        <v>39</v>
      </c>
      <c r="D139">
        <v>42</v>
      </c>
      <c r="E139" t="s">
        <v>3</v>
      </c>
      <c r="F139" t="s">
        <v>13</v>
      </c>
      <c r="G139" t="str">
        <f t="shared" si="17"/>
        <v>+</v>
      </c>
      <c r="H139">
        <v>1</v>
      </c>
      <c r="I139" t="s">
        <v>3</v>
      </c>
    </row>
    <row r="140" spans="1:9" x14ac:dyDescent="0.15">
      <c r="A140" t="str">
        <f t="shared" si="16"/>
        <v>|Lｖ43|HP+3|</v>
      </c>
      <c r="B140" t="s">
        <v>3</v>
      </c>
      <c r="C140" t="s">
        <v>39</v>
      </c>
      <c r="D140">
        <v>43</v>
      </c>
      <c r="E140" t="s">
        <v>3</v>
      </c>
      <c r="F140" t="s">
        <v>7</v>
      </c>
      <c r="G140" t="str">
        <f t="shared" si="17"/>
        <v>+</v>
      </c>
      <c r="H140">
        <v>3</v>
      </c>
      <c r="I140" t="s">
        <v>3</v>
      </c>
    </row>
    <row r="141" spans="1:9" x14ac:dyDescent="0.15">
      <c r="A141" t="str">
        <f t="shared" si="16"/>
        <v>|Lｖ44|回復速度上昇|</v>
      </c>
      <c r="B141" t="s">
        <v>3</v>
      </c>
      <c r="C141" t="s">
        <v>39</v>
      </c>
      <c r="D141">
        <v>44</v>
      </c>
      <c r="E141" t="s">
        <v>3</v>
      </c>
      <c r="F141" t="s">
        <v>43</v>
      </c>
      <c r="G141" t="str">
        <f t="shared" si="17"/>
        <v/>
      </c>
      <c r="I141" t="s">
        <v>3</v>
      </c>
    </row>
    <row r="142" spans="1:9" x14ac:dyDescent="0.15">
      <c r="A142" t="str">
        <f t="shared" si="16"/>
        <v>|Lｖ45|HP+3|</v>
      </c>
      <c r="B142" t="s">
        <v>3</v>
      </c>
      <c r="C142" t="s">
        <v>39</v>
      </c>
      <c r="D142">
        <v>45</v>
      </c>
      <c r="E142" t="s">
        <v>3</v>
      </c>
      <c r="F142" t="s">
        <v>7</v>
      </c>
      <c r="G142" t="str">
        <f t="shared" si="17"/>
        <v>+</v>
      </c>
      <c r="H142">
        <v>3</v>
      </c>
      <c r="I142" t="s">
        <v>3</v>
      </c>
    </row>
    <row r="143" spans="1:9" x14ac:dyDescent="0.15">
      <c r="A143" t="str">
        <f t="shared" si="16"/>
        <v>|Lｖ46|第2能力Lv3|</v>
      </c>
      <c r="B143" t="s">
        <v>3</v>
      </c>
      <c r="C143" t="s">
        <v>39</v>
      </c>
      <c r="D143">
        <v>46</v>
      </c>
      <c r="E143" t="s">
        <v>3</v>
      </c>
      <c r="F143" t="s">
        <v>41</v>
      </c>
      <c r="G143" t="s">
        <v>44</v>
      </c>
      <c r="H143">
        <v>3</v>
      </c>
      <c r="I143" t="s">
        <v>3</v>
      </c>
    </row>
    <row r="144" spans="1:9" x14ac:dyDescent="0.15">
      <c r="A144" t="str">
        <f t="shared" si="16"/>
        <v>|Lｖ47|HP+3|</v>
      </c>
      <c r="B144" t="s">
        <v>3</v>
      </c>
      <c r="C144" t="s">
        <v>39</v>
      </c>
      <c r="D144">
        <v>47</v>
      </c>
      <c r="E144" t="s">
        <v>3</v>
      </c>
      <c r="F144" t="s">
        <v>7</v>
      </c>
      <c r="G144" t="str">
        <f t="shared" ref="G144:G157" si="18">IF(OR(F144=$Q$107,F144=$Q$108,F144=$Q$109,F144=$Q$110,ISBLANK(F144)),"","+")</f>
        <v>+</v>
      </c>
      <c r="H144">
        <v>3</v>
      </c>
      <c r="I144" t="s">
        <v>3</v>
      </c>
    </row>
    <row r="145" spans="1:9" x14ac:dyDescent="0.15">
      <c r="A145" t="str">
        <f t="shared" si="16"/>
        <v>|Lｖ48|白+1|</v>
      </c>
      <c r="B145" t="s">
        <v>3</v>
      </c>
      <c r="C145" t="s">
        <v>39</v>
      </c>
      <c r="D145">
        <v>48</v>
      </c>
      <c r="E145" t="s">
        <v>3</v>
      </c>
      <c r="F145" t="s">
        <v>11</v>
      </c>
      <c r="G145" t="str">
        <f t="shared" si="18"/>
        <v>+</v>
      </c>
      <c r="H145">
        <v>1</v>
      </c>
      <c r="I145" t="s">
        <v>3</v>
      </c>
    </row>
    <row r="146" spans="1:9" x14ac:dyDescent="0.15">
      <c r="A146" t="str">
        <f t="shared" si="16"/>
        <v>|Lｖ49|HP+3|</v>
      </c>
      <c r="B146" t="s">
        <v>3</v>
      </c>
      <c r="C146" t="s">
        <v>39</v>
      </c>
      <c r="D146">
        <v>49</v>
      </c>
      <c r="E146" t="s">
        <v>3</v>
      </c>
      <c r="F146" t="s">
        <v>7</v>
      </c>
      <c r="G146" t="str">
        <f t="shared" si="18"/>
        <v>+</v>
      </c>
      <c r="H146">
        <v>3</v>
      </c>
      <c r="I146" t="s">
        <v>3</v>
      </c>
    </row>
    <row r="147" spans="1:9" x14ac:dyDescent="0.15">
      <c r="A147" t="str">
        <f t="shared" si="16"/>
        <v>|Lｖ50|クリーチャー+1|</v>
      </c>
      <c r="B147" t="s">
        <v>3</v>
      </c>
      <c r="C147" t="s">
        <v>39</v>
      </c>
      <c r="D147">
        <v>50</v>
      </c>
      <c r="E147" t="s">
        <v>3</v>
      </c>
      <c r="F147" t="s">
        <v>20</v>
      </c>
      <c r="G147" t="str">
        <f t="shared" si="18"/>
        <v>+</v>
      </c>
      <c r="H147">
        <v>1</v>
      </c>
      <c r="I147" t="s">
        <v>3</v>
      </c>
    </row>
    <row r="148" spans="1:9" x14ac:dyDescent="0.15">
      <c r="A148" t="str">
        <f t="shared" si="16"/>
        <v>|Lｖ51|HP+3|</v>
      </c>
      <c r="B148" t="s">
        <v>3</v>
      </c>
      <c r="C148" t="s">
        <v>39</v>
      </c>
      <c r="D148">
        <v>51</v>
      </c>
      <c r="E148" t="s">
        <v>3</v>
      </c>
      <c r="F148" t="s">
        <v>7</v>
      </c>
      <c r="G148" t="str">
        <f t="shared" si="18"/>
        <v>+</v>
      </c>
      <c r="H148">
        <v>3</v>
      </c>
      <c r="I148" t="s">
        <v>3</v>
      </c>
    </row>
    <row r="149" spans="1:9" x14ac:dyDescent="0.15">
      <c r="A149" t="str">
        <f t="shared" si="16"/>
        <v>|Lｖ52|第3能力Lv3|</v>
      </c>
      <c r="B149" t="s">
        <v>3</v>
      </c>
      <c r="C149" t="s">
        <v>39</v>
      </c>
      <c r="D149">
        <v>52</v>
      </c>
      <c r="E149" t="s">
        <v>3</v>
      </c>
      <c r="F149" t="s">
        <v>42</v>
      </c>
      <c r="G149" t="str">
        <f t="shared" si="18"/>
        <v/>
      </c>
      <c r="H149">
        <v>3</v>
      </c>
      <c r="I149" t="s">
        <v>3</v>
      </c>
    </row>
    <row r="150" spans="1:9" x14ac:dyDescent="0.15">
      <c r="A150" t="str">
        <f t="shared" si="16"/>
        <v>|Lｖ53|HP+3|</v>
      </c>
      <c r="B150" t="s">
        <v>3</v>
      </c>
      <c r="C150" t="s">
        <v>39</v>
      </c>
      <c r="D150">
        <v>53</v>
      </c>
      <c r="E150" t="s">
        <v>3</v>
      </c>
      <c r="F150" t="s">
        <v>7</v>
      </c>
      <c r="G150" t="str">
        <f t="shared" si="18"/>
        <v>+</v>
      </c>
      <c r="H150">
        <v>3</v>
      </c>
      <c r="I150" t="s">
        <v>3</v>
      </c>
    </row>
    <row r="151" spans="1:9" x14ac:dyDescent="0.15">
      <c r="A151" t="str">
        <f t="shared" si="16"/>
        <v>|Lｖ54|赤+1|</v>
      </c>
      <c r="B151" t="s">
        <v>3</v>
      </c>
      <c r="C151" t="s">
        <v>39</v>
      </c>
      <c r="D151">
        <v>54</v>
      </c>
      <c r="E151" t="s">
        <v>3</v>
      </c>
      <c r="F151" t="s">
        <v>14</v>
      </c>
      <c r="G151" t="str">
        <f t="shared" si="18"/>
        <v>+</v>
      </c>
      <c r="H151">
        <v>1</v>
      </c>
      <c r="I151" t="s">
        <v>3</v>
      </c>
    </row>
    <row r="152" spans="1:9" x14ac:dyDescent="0.15">
      <c r="A152" t="str">
        <f t="shared" ref="A152:A163" si="19">B152&amp;C152&amp;D152&amp;E152&amp;F152&amp;G152&amp;H152&amp;I152&amp;J152&amp;K152&amp;L152&amp;M152&amp;N152&amp;O152&amp;P152</f>
        <v>|Lｖ55|HP+3|</v>
      </c>
      <c r="B152" t="s">
        <v>3</v>
      </c>
      <c r="C152" t="s">
        <v>39</v>
      </c>
      <c r="D152">
        <v>55</v>
      </c>
      <c r="E152" t="s">
        <v>3</v>
      </c>
      <c r="F152" t="s">
        <v>7</v>
      </c>
      <c r="G152" t="str">
        <f t="shared" si="18"/>
        <v>+</v>
      </c>
      <c r="H152">
        <v>3</v>
      </c>
      <c r="I152" t="s">
        <v>3</v>
      </c>
    </row>
    <row r="153" spans="1:9" x14ac:dyDescent="0.15">
      <c r="A153" t="str">
        <f t="shared" si="19"/>
        <v>|Lｖ56|第1能力Lv4|</v>
      </c>
      <c r="B153" t="s">
        <v>3</v>
      </c>
      <c r="C153" t="s">
        <v>39</v>
      </c>
      <c r="D153">
        <v>56</v>
      </c>
      <c r="E153" t="s">
        <v>3</v>
      </c>
      <c r="F153" t="s">
        <v>40</v>
      </c>
      <c r="G153" t="str">
        <f t="shared" si="18"/>
        <v/>
      </c>
      <c r="H153">
        <v>4</v>
      </c>
      <c r="I153" t="s">
        <v>3</v>
      </c>
    </row>
    <row r="154" spans="1:9" x14ac:dyDescent="0.15">
      <c r="A154" t="str">
        <f t="shared" si="19"/>
        <v>|Lｖ57|HP+3|</v>
      </c>
      <c r="B154" t="s">
        <v>3</v>
      </c>
      <c r="C154" t="s">
        <v>39</v>
      </c>
      <c r="D154">
        <v>57</v>
      </c>
      <c r="E154" t="s">
        <v>3</v>
      </c>
      <c r="F154" t="s">
        <v>7</v>
      </c>
      <c r="G154" t="str">
        <f t="shared" si="18"/>
        <v>+</v>
      </c>
      <c r="H154">
        <v>3</v>
      </c>
      <c r="I154" t="s">
        <v>3</v>
      </c>
    </row>
    <row r="155" spans="1:9" x14ac:dyDescent="0.15">
      <c r="A155" t="str">
        <f t="shared" si="19"/>
        <v>|Lｖ58|第2能力Lv4|</v>
      </c>
      <c r="B155" t="s">
        <v>3</v>
      </c>
      <c r="C155" t="s">
        <v>39</v>
      </c>
      <c r="D155">
        <v>58</v>
      </c>
      <c r="E155" t="s">
        <v>3</v>
      </c>
      <c r="F155" t="s">
        <v>41</v>
      </c>
      <c r="G155" t="str">
        <f t="shared" si="18"/>
        <v/>
      </c>
      <c r="H155">
        <v>4</v>
      </c>
      <c r="I155" t="s">
        <v>3</v>
      </c>
    </row>
    <row r="156" spans="1:9" x14ac:dyDescent="0.15">
      <c r="A156" t="str">
        <f t="shared" si="19"/>
        <v>|Lｖ59|緑+1|</v>
      </c>
      <c r="B156" t="s">
        <v>3</v>
      </c>
      <c r="C156" t="s">
        <v>39</v>
      </c>
      <c r="D156">
        <v>59</v>
      </c>
      <c r="E156" t="s">
        <v>3</v>
      </c>
      <c r="F156" t="s">
        <v>15</v>
      </c>
      <c r="G156" t="str">
        <f t="shared" si="18"/>
        <v>+</v>
      </c>
      <c r="H156">
        <v>1</v>
      </c>
      <c r="I156" t="s">
        <v>3</v>
      </c>
    </row>
    <row r="157" spans="1:9" x14ac:dyDescent="0.15">
      <c r="A157" t="str">
        <f t="shared" si="19"/>
        <v>|Lｖ60|第3能力Lv4|</v>
      </c>
      <c r="B157" t="s">
        <v>3</v>
      </c>
      <c r="C157" t="s">
        <v>39</v>
      </c>
      <c r="D157">
        <v>60</v>
      </c>
      <c r="E157" t="s">
        <v>3</v>
      </c>
      <c r="F157" t="s">
        <v>42</v>
      </c>
      <c r="G157" t="str">
        <f t="shared" si="18"/>
        <v/>
      </c>
      <c r="H157">
        <v>4</v>
      </c>
      <c r="I157" t="s">
        <v>3</v>
      </c>
    </row>
    <row r="158" spans="1:9" x14ac:dyDescent="0.15">
      <c r="A158" t="str">
        <f t="shared" si="19"/>
        <v>必要総経験値：79920ルーン</v>
      </c>
      <c r="B158" t="s">
        <v>45</v>
      </c>
      <c r="C158">
        <v>79920</v>
      </c>
      <c r="F158" t="s">
        <v>46</v>
      </c>
    </row>
    <row r="159" spans="1:9" x14ac:dyDescent="0.15">
      <c r="A159" t="str">
        <f t="shared" si="19"/>
        <v>&amp;br;</v>
      </c>
      <c r="B159" t="s">
        <v>0</v>
      </c>
    </row>
    <row r="160" spans="1:9" x14ac:dyDescent="0.15">
      <c r="A160" t="str">
        <f t="shared" si="19"/>
        <v>#back(text=戻る,left)</v>
      </c>
      <c r="B160" t="s">
        <v>47</v>
      </c>
    </row>
    <row r="161" spans="1:2" x14ac:dyDescent="0.15">
      <c r="A161" t="str">
        <f t="shared" si="19"/>
        <v>&amp;br;</v>
      </c>
      <c r="B161" t="s">
        <v>0</v>
      </c>
    </row>
    <row r="162" spans="1:2" x14ac:dyDescent="0.15">
      <c r="A162" t="str">
        <f t="shared" si="19"/>
        <v>#comment(above,nsize=[15],size=[30],num=[10])</v>
      </c>
      <c r="B162" t="s">
        <v>48</v>
      </c>
    </row>
    <row r="163" spans="1:2" x14ac:dyDescent="0.15">
      <c r="A163" t="str">
        <f t="shared" si="19"/>
        <v>[[プレインズウォーカーリスト&gt;プレインズウォーカーリスト]]</v>
      </c>
      <c r="B163" t="s">
        <v>49</v>
      </c>
    </row>
  </sheetData>
  <autoFilter ref="C98:I163"/>
  <phoneticPr fontId="4"/>
  <dataValidations count="2">
    <dataValidation type="list" allowBlank="1" showInputMessage="1" showErrorMessage="1" sqref="F158">
      <formula1>$Q$88:$Q$100</formula1>
    </dataValidation>
    <dataValidation type="list" allowBlank="1" showInputMessage="1" showErrorMessage="1" sqref="F99:F157">
      <formula1>$Q$98:$Q$110</formula1>
    </dataValidation>
  </dataValidations>
  <pageMargins left="0.69930555555555596" right="0.69930555555555596"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dimension ref="A1:X208"/>
  <sheetViews>
    <sheetView topLeftCell="A94" workbookViewId="0">
      <selection activeCell="D124" sqref="D100:D124"/>
    </sheetView>
  </sheetViews>
  <sheetFormatPr defaultColWidth="9" defaultRowHeight="13.5" x14ac:dyDescent="0.15"/>
  <cols>
    <col min="2" max="2" width="3.5" customWidth="1"/>
    <col min="3" max="3" width="7.875" customWidth="1"/>
    <col min="4" max="4" width="5.5" customWidth="1"/>
    <col min="5" max="5" width="2.875" customWidth="1"/>
    <col min="7" max="7" width="2" customWidth="1"/>
    <col min="9" max="9" width="2" customWidth="1"/>
    <col min="11" max="11" width="2" customWidth="1"/>
    <col min="13" max="13" width="2" customWidth="1"/>
    <col min="15" max="15" width="2" customWidth="1"/>
    <col min="17" max="17" width="2.75" customWidth="1"/>
  </cols>
  <sheetData>
    <row r="1" spans="1:24" x14ac:dyDescent="0.15">
      <c r="A1" t="str">
        <f t="shared" ref="A1:A13" si="0">C1&amp;D1&amp;E1&amp;F1&amp;G1&amp;H1&amp;I1&amp;J1&amp;K1&amp;L1&amp;M1&amp;N1&amp;O1&amp;P1&amp;Q1&amp;R1&amp;S1&amp;T1&amp;U1&amp;V1</f>
        <v>*Lv60時ステータス</v>
      </c>
      <c r="C1" t="s">
        <v>577</v>
      </c>
      <c r="W1" s="8" t="s">
        <v>859</v>
      </c>
      <c r="X1">
        <f>PW平均!G38</f>
        <v>109.3</v>
      </c>
    </row>
    <row r="2" spans="1:24" x14ac:dyDescent="0.15">
      <c r="A2" t="str">
        <f t="shared" si="0"/>
        <v>|LEFT:70|LEFT:30|LEFT:30|LEFT:30|LEFT:30|LEFT:30|LEFT:70|LEFT:50|LEFT:60|c</v>
      </c>
      <c r="C2" t="s">
        <v>3</v>
      </c>
      <c r="D2" t="s">
        <v>578</v>
      </c>
      <c r="E2" t="s">
        <v>3</v>
      </c>
      <c r="F2" t="s">
        <v>579</v>
      </c>
      <c r="G2" t="s">
        <v>3</v>
      </c>
      <c r="H2" t="s">
        <v>579</v>
      </c>
      <c r="I2" t="s">
        <v>3</v>
      </c>
      <c r="J2" t="s">
        <v>579</v>
      </c>
      <c r="K2" t="s">
        <v>3</v>
      </c>
      <c r="L2" t="s">
        <v>579</v>
      </c>
      <c r="M2" t="s">
        <v>3</v>
      </c>
      <c r="N2" t="s">
        <v>579</v>
      </c>
      <c r="O2" t="s">
        <v>3</v>
      </c>
      <c r="P2" t="s">
        <v>578</v>
      </c>
      <c r="Q2" t="s">
        <v>3</v>
      </c>
      <c r="R2" t="s">
        <v>4</v>
      </c>
      <c r="S2" t="s">
        <v>3</v>
      </c>
      <c r="T2" t="s">
        <v>580</v>
      </c>
      <c r="U2" t="s">
        <v>3</v>
      </c>
      <c r="V2" t="s">
        <v>5</v>
      </c>
      <c r="W2" s="8" t="s">
        <v>860</v>
      </c>
      <c r="X2">
        <f>PW平均!AQ38</f>
        <v>7.4</v>
      </c>
    </row>
    <row r="3" spans="1:24" x14ac:dyDescent="0.15">
      <c r="A3" t="str">
        <f t="shared" si="0"/>
        <v>|HP|&gt;|&gt;|&gt;|&gt;|マナボーナス|&gt;|&gt;|デッキ構築枚数上限|</v>
      </c>
      <c r="C3" t="s">
        <v>3</v>
      </c>
      <c r="D3" t="s">
        <v>7</v>
      </c>
      <c r="E3" t="s">
        <v>3</v>
      </c>
      <c r="F3" t="s">
        <v>209</v>
      </c>
      <c r="G3" t="s">
        <v>3</v>
      </c>
      <c r="H3" t="s">
        <v>209</v>
      </c>
      <c r="I3" t="s">
        <v>3</v>
      </c>
      <c r="J3" t="s">
        <v>209</v>
      </c>
      <c r="K3" t="s">
        <v>3</v>
      </c>
      <c r="L3" t="s">
        <v>209</v>
      </c>
      <c r="M3" t="s">
        <v>3</v>
      </c>
      <c r="N3" t="s">
        <v>581</v>
      </c>
      <c r="O3" t="s">
        <v>3</v>
      </c>
      <c r="P3" t="s">
        <v>209</v>
      </c>
      <c r="Q3" t="s">
        <v>3</v>
      </c>
      <c r="R3" t="s">
        <v>209</v>
      </c>
      <c r="S3" t="s">
        <v>3</v>
      </c>
      <c r="T3" t="s">
        <v>582</v>
      </c>
      <c r="U3" t="s">
        <v>3</v>
      </c>
    </row>
    <row r="4" spans="1:24" x14ac:dyDescent="0.15">
      <c r="A4" t="str">
        <f t="shared" si="0"/>
        <v>|^|白|青|黒|赤|緑|クリーチャー|呪文|サポート|</v>
      </c>
      <c r="C4" t="s">
        <v>3</v>
      </c>
      <c r="D4" t="s">
        <v>583</v>
      </c>
      <c r="E4" t="s">
        <v>3</v>
      </c>
      <c r="F4" t="s">
        <v>11</v>
      </c>
      <c r="G4" t="s">
        <v>3</v>
      </c>
      <c r="H4" t="s">
        <v>12</v>
      </c>
      <c r="I4" t="s">
        <v>3</v>
      </c>
      <c r="J4" t="s">
        <v>13</v>
      </c>
      <c r="K4" t="s">
        <v>3</v>
      </c>
      <c r="L4" t="s">
        <v>14</v>
      </c>
      <c r="M4" t="s">
        <v>3</v>
      </c>
      <c r="N4" t="s">
        <v>15</v>
      </c>
      <c r="O4" t="s">
        <v>3</v>
      </c>
      <c r="P4" t="s">
        <v>20</v>
      </c>
      <c r="Q4" t="s">
        <v>3</v>
      </c>
      <c r="R4" t="s">
        <v>21</v>
      </c>
      <c r="S4" t="s">
        <v>3</v>
      </c>
      <c r="T4" t="s">
        <v>22</v>
      </c>
      <c r="U4" t="s">
        <v>3</v>
      </c>
    </row>
    <row r="5" spans="1:24" x14ac:dyDescent="0.15">
      <c r="A5" t="str">
        <f t="shared" si="0"/>
        <v>|96|2|3|2|1|1|6|9|4|</v>
      </c>
      <c r="C5" t="s">
        <v>3</v>
      </c>
      <c r="D5">
        <f>VLOOKUP(MAX(D39:D65),D39:F65,3,TRUE)</f>
        <v>96</v>
      </c>
      <c r="E5" t="s">
        <v>3</v>
      </c>
      <c r="F5">
        <f>VLOOKUP(MAX($D$71:$D$80),$D$71:$P$80,5,TRUE)</f>
        <v>2</v>
      </c>
      <c r="G5" t="s">
        <v>3</v>
      </c>
      <c r="H5">
        <f>VLOOKUP(MAX($D$71:$D$80),$D$71:$P$80,7,TRUE)</f>
        <v>3</v>
      </c>
      <c r="I5" t="s">
        <v>3</v>
      </c>
      <c r="J5">
        <f>VLOOKUP(MAX($D$71:$D$80),$D$71:$P$80,9,TRUE)</f>
        <v>2</v>
      </c>
      <c r="K5" t="s">
        <v>3</v>
      </c>
      <c r="L5">
        <f>VLOOKUP(MAX($D$71:$D$80),$D$71:$P$80,11,TRUE)</f>
        <v>1</v>
      </c>
      <c r="M5" t="s">
        <v>3</v>
      </c>
      <c r="N5">
        <f>VLOOKUP(MAX($D$71:$D$80),$D$71:$P$80,13,TRUE)</f>
        <v>1</v>
      </c>
      <c r="O5" t="s">
        <v>3</v>
      </c>
      <c r="P5">
        <f>VLOOKUP(MAX($D$87:$D$96),$D$87:$L$96,5,TRUE)</f>
        <v>6</v>
      </c>
      <c r="Q5" t="s">
        <v>3</v>
      </c>
      <c r="R5">
        <f>VLOOKUP(MAX($D$87:$D$96),$D$87:$L$96,7,TRUE)</f>
        <v>9</v>
      </c>
      <c r="S5" t="s">
        <v>3</v>
      </c>
      <c r="T5">
        <f>VLOOKUP(MAX($D$87:$D$96),$D$87:$L$96,9,TRUE)</f>
        <v>4</v>
      </c>
      <c r="U5" t="s">
        <v>3</v>
      </c>
    </row>
    <row r="6" spans="1:24" x14ac:dyDescent="0.15">
      <c r="A6" t="str">
        <f t="shared" si="0"/>
        <v>||&gt;|&gt;|&gt;|&gt;|&gt;|&gt;|PW能力|コスト|</v>
      </c>
      <c r="C6" t="s">
        <v>3</v>
      </c>
      <c r="E6" t="s">
        <v>3</v>
      </c>
      <c r="F6" t="s">
        <v>209</v>
      </c>
      <c r="G6" t="s">
        <v>3</v>
      </c>
      <c r="H6" t="s">
        <v>209</v>
      </c>
      <c r="I6" t="s">
        <v>3</v>
      </c>
      <c r="J6" t="s">
        <v>209</v>
      </c>
      <c r="K6" t="s">
        <v>3</v>
      </c>
      <c r="L6" t="s">
        <v>209</v>
      </c>
      <c r="M6" t="s">
        <v>3</v>
      </c>
      <c r="N6" t="s">
        <v>209</v>
      </c>
      <c r="O6" t="s">
        <v>3</v>
      </c>
      <c r="P6" t="s">
        <v>209</v>
      </c>
      <c r="Q6" t="s">
        <v>3</v>
      </c>
      <c r="R6" t="s">
        <v>584</v>
      </c>
      <c r="S6" t="s">
        <v>3</v>
      </c>
      <c r="T6" t="s">
        <v>28</v>
      </c>
      <c r="U6" t="s">
        <v>3</v>
      </c>
    </row>
    <row r="7" spans="1:24" x14ac:dyDescent="0.15">
      <c r="A7" t="str">
        <f t="shared" si="0"/>
        <v>|第1能力|&gt;|&gt;|&gt;|&gt;|&gt;|&gt;|戦場荒らし/Fight And Steal|6|</v>
      </c>
      <c r="C7" t="s">
        <v>3</v>
      </c>
      <c r="D7" t="s">
        <v>585</v>
      </c>
      <c r="E7" t="s">
        <v>3</v>
      </c>
      <c r="F7" t="s">
        <v>209</v>
      </c>
      <c r="G7" t="s">
        <v>3</v>
      </c>
      <c r="H7" t="s">
        <v>209</v>
      </c>
      <c r="I7" t="s">
        <v>3</v>
      </c>
      <c r="J7" t="s">
        <v>209</v>
      </c>
      <c r="K7" t="s">
        <v>3</v>
      </c>
      <c r="L7" t="s">
        <v>209</v>
      </c>
      <c r="M7" t="s">
        <v>3</v>
      </c>
      <c r="N7" t="s">
        <v>209</v>
      </c>
      <c r="O7" t="s">
        <v>3</v>
      </c>
      <c r="P7" t="s">
        <v>209</v>
      </c>
      <c r="Q7" t="s">
        <v>3</v>
      </c>
      <c r="R7" t="str">
        <f>R100</f>
        <v>戦場荒らし/Fight And Steal</v>
      </c>
      <c r="S7" t="s">
        <v>3</v>
      </c>
      <c r="T7">
        <f>H106</f>
        <v>6</v>
      </c>
      <c r="U7" t="s">
        <v>3</v>
      </c>
    </row>
    <row r="8" spans="1:24" x14ac:dyDescent="0.15">
      <c r="A8" t="str">
        <f t="shared" si="0"/>
        <v>|&gt;|&gt;|&gt;|&gt;|&gt;|&gt;|&gt;|&gt;|クリーチャーを1体対象とし、それはブロックされないを得る。その後「ターン終了時に、このターンにあなたがコントロールするクリーチャーが戦闘ダメージを与えた場合、カードを1枚捨てて3枚引く。」を持つサポートを生成する。|</v>
      </c>
      <c r="C8" t="s">
        <v>3</v>
      </c>
      <c r="D8" t="s">
        <v>209</v>
      </c>
      <c r="E8" t="s">
        <v>3</v>
      </c>
      <c r="F8" t="s">
        <v>209</v>
      </c>
      <c r="G8" t="s">
        <v>3</v>
      </c>
      <c r="H8" t="s">
        <v>209</v>
      </c>
      <c r="I8" t="s">
        <v>3</v>
      </c>
      <c r="J8" t="s">
        <v>209</v>
      </c>
      <c r="K8" t="s">
        <v>3</v>
      </c>
      <c r="L8" t="s">
        <v>209</v>
      </c>
      <c r="M8" t="s">
        <v>3</v>
      </c>
      <c r="N8" t="s">
        <v>209</v>
      </c>
      <c r="O8" t="s">
        <v>3</v>
      </c>
      <c r="P8" t="s">
        <v>209</v>
      </c>
      <c r="Q8" t="s">
        <v>3</v>
      </c>
      <c r="R8" t="s">
        <v>209</v>
      </c>
      <c r="S8" t="s">
        <v>3</v>
      </c>
      <c r="T8" t="str">
        <f>J106</f>
        <v>クリーチャーを1体対象とし、それはブロックされないを得る。その後「ターン終了時に、このターンにあなたがコントロールするクリーチャーが戦闘ダメージを与えた場合、カードを1枚捨てて3枚引く。」を持つサポートを生成する。</v>
      </c>
      <c r="U8" t="s">
        <v>3</v>
      </c>
    </row>
    <row r="9" spans="1:24" x14ac:dyDescent="0.15">
      <c r="A9" t="str">
        <f t="shared" si="0"/>
        <v>|第2能力|&gt;|&gt;|&gt;|&gt;|&gt;|&gt;|幻術師の幻影/Illusionists's Illusion|12|</v>
      </c>
      <c r="C9" t="s">
        <v>3</v>
      </c>
      <c r="D9" t="s">
        <v>587</v>
      </c>
      <c r="E9" t="s">
        <v>3</v>
      </c>
      <c r="F9" t="s">
        <v>209</v>
      </c>
      <c r="G9" t="s">
        <v>3</v>
      </c>
      <c r="H9" t="s">
        <v>209</v>
      </c>
      <c r="I9" t="s">
        <v>3</v>
      </c>
      <c r="J9" t="s">
        <v>209</v>
      </c>
      <c r="K9" t="s">
        <v>3</v>
      </c>
      <c r="L9" t="s">
        <v>209</v>
      </c>
      <c r="M9" t="s">
        <v>3</v>
      </c>
      <c r="N9" t="s">
        <v>209</v>
      </c>
      <c r="O9" t="s">
        <v>3</v>
      </c>
      <c r="P9" t="s">
        <v>209</v>
      </c>
      <c r="Q9" t="s">
        <v>3</v>
      </c>
      <c r="R9" t="str">
        <f>R109</f>
        <v>幻術師の幻影/Illusionists's Illusion</v>
      </c>
      <c r="S9" t="s">
        <v>3</v>
      </c>
      <c r="T9">
        <f>H115</f>
        <v>12</v>
      </c>
      <c r="U9" t="s">
        <v>3</v>
      </c>
    </row>
    <row r="10" spans="1:24" x14ac:dyDescent="0.15">
      <c r="A10" t="str">
        <f t="shared" si="0"/>
        <v>|&gt;|&gt;|&gt;|&gt;|&gt;|&gt;|&gt;|&gt;|「このクリーチャーが呪文の対象となったとき、これを破壊する。」を持つ2/2の青のイリュージョン・トークンを4体生成する。その後、「あなたがコントロールするイリュージョン・クリーチャーは呪禁を得る。」を持つサポートを生成する。|</v>
      </c>
      <c r="C10" t="s">
        <v>3</v>
      </c>
      <c r="D10" t="s">
        <v>209</v>
      </c>
      <c r="E10" t="s">
        <v>3</v>
      </c>
      <c r="F10" t="s">
        <v>209</v>
      </c>
      <c r="G10" t="s">
        <v>3</v>
      </c>
      <c r="H10" t="s">
        <v>209</v>
      </c>
      <c r="I10" t="s">
        <v>3</v>
      </c>
      <c r="J10" t="s">
        <v>209</v>
      </c>
      <c r="K10" t="s">
        <v>3</v>
      </c>
      <c r="L10" t="s">
        <v>209</v>
      </c>
      <c r="M10" t="s">
        <v>3</v>
      </c>
      <c r="N10" t="s">
        <v>209</v>
      </c>
      <c r="O10" t="s">
        <v>3</v>
      </c>
      <c r="P10" t="s">
        <v>209</v>
      </c>
      <c r="Q10" t="s">
        <v>3</v>
      </c>
      <c r="R10" t="s">
        <v>209</v>
      </c>
      <c r="S10" t="s">
        <v>3</v>
      </c>
      <c r="T10" t="str">
        <f>J115</f>
        <v>「このクリーチャーが呪文の対象となったとき、これを破壊する。」を持つ2/2の青のイリュージョン・トークンを4体生成する。その後、「あなたがコントロールするイリュージョン・クリーチャーは呪禁を得る。」を持つサポートを生成する。</v>
      </c>
      <c r="U10" t="s">
        <v>3</v>
      </c>
    </row>
    <row r="11" spans="1:24" x14ac:dyDescent="0.15">
      <c r="A11" t="str">
        <f t="shared" si="0"/>
        <v>|第3能力|&gt;|&gt;|&gt;|&gt;|&gt;|&gt;|こっちだ/I'm Over Here|18|</v>
      </c>
      <c r="C11" t="s">
        <v>3</v>
      </c>
      <c r="D11" t="s">
        <v>590</v>
      </c>
      <c r="E11" t="s">
        <v>3</v>
      </c>
      <c r="F11" t="s">
        <v>209</v>
      </c>
      <c r="G11" t="s">
        <v>3</v>
      </c>
      <c r="H11" t="s">
        <v>209</v>
      </c>
      <c r="I11" t="s">
        <v>3</v>
      </c>
      <c r="J11" t="s">
        <v>209</v>
      </c>
      <c r="K11" t="s">
        <v>3</v>
      </c>
      <c r="L11" t="s">
        <v>209</v>
      </c>
      <c r="M11" t="s">
        <v>3</v>
      </c>
      <c r="N11" t="s">
        <v>209</v>
      </c>
      <c r="O11" t="s">
        <v>3</v>
      </c>
      <c r="P11" t="s">
        <v>209</v>
      </c>
      <c r="Q11" t="s">
        <v>3</v>
      </c>
      <c r="R11" t="str">
        <f>R118</f>
        <v>こっちだ/I'm Over Here</v>
      </c>
      <c r="S11" t="s">
        <v>3</v>
      </c>
      <c r="T11">
        <f>H124</f>
        <v>18</v>
      </c>
      <c r="U11" t="s">
        <v>3</v>
      </c>
    </row>
    <row r="12" spans="1:24" x14ac:dyDescent="0.15">
      <c r="A12" t="str">
        <f t="shared" si="0"/>
        <v>|&gt;|&gt;|&gt;|&gt;|&gt;|&gt;|&gt;|&gt;|「ジェム2個を起動する：忠誠度が8上がる。」を持つ2/2の青のイリュージョン・ウィザード・トークンを4体生成する。|</v>
      </c>
      <c r="C12" t="s">
        <v>3</v>
      </c>
      <c r="D12" t="s">
        <v>209</v>
      </c>
      <c r="E12" t="s">
        <v>3</v>
      </c>
      <c r="F12" t="s">
        <v>209</v>
      </c>
      <c r="G12" t="s">
        <v>3</v>
      </c>
      <c r="H12" t="s">
        <v>209</v>
      </c>
      <c r="I12" t="s">
        <v>3</v>
      </c>
      <c r="J12" t="s">
        <v>209</v>
      </c>
      <c r="K12" t="s">
        <v>3</v>
      </c>
      <c r="L12" t="s">
        <v>209</v>
      </c>
      <c r="M12" t="s">
        <v>3</v>
      </c>
      <c r="N12" t="s">
        <v>209</v>
      </c>
      <c r="O12" t="s">
        <v>3</v>
      </c>
      <c r="P12" t="s">
        <v>209</v>
      </c>
      <c r="Q12" t="s">
        <v>3</v>
      </c>
      <c r="R12" t="s">
        <v>209</v>
      </c>
      <c r="S12" t="s">
        <v>3</v>
      </c>
      <c r="T12" t="str">
        <f>J124</f>
        <v>「ジェム2個を起動する：忠誠度が8上がる。」を持つ2/2の青のイリュージョン・ウィザード・トークンを4体生成する。</v>
      </c>
      <c r="U12" t="s">
        <v>3</v>
      </c>
    </row>
    <row r="13" spans="1:24" x14ac:dyDescent="0.15">
      <c r="A13" t="str">
        <f t="shared" si="0"/>
        <v/>
      </c>
    </row>
    <row r="14" spans="1:24" x14ac:dyDescent="0.15">
      <c r="A14" t="str">
        <f t="shared" ref="A14:A33" si="1">B14&amp;C14&amp;D14&amp;E14&amp;F14&amp;G14&amp;H14&amp;I14&amp;J14&amp;K14&amp;L14&amp;M14&amp;N14&amp;O14&amp;P14&amp;Q14&amp;R14&amp;S14&amp;T14&amp;U14</f>
        <v>*評価</v>
      </c>
      <c r="B14" t="s">
        <v>592</v>
      </c>
      <c r="C14" t="s">
        <v>593</v>
      </c>
    </row>
    <row r="15" spans="1:24" x14ac:dyDescent="0.15">
      <c r="A15" t="str">
        <f t="shared" si="1"/>
        <v>・HPは平均以下</v>
      </c>
      <c r="B15" t="s">
        <v>594</v>
      </c>
      <c r="C15" s="8" t="s">
        <v>653</v>
      </c>
      <c r="D15" t="str">
        <f>IF(D5&gt;X1+5,"以上",IF(D5&gt;X1-5,"","以下"))</f>
        <v>以下</v>
      </c>
    </row>
    <row r="16" spans="1:24" x14ac:dyDescent="0.15">
      <c r="A16" t="str">
        <f t="shared" si="1"/>
        <v>・マナボーナス合計は+9。平均以上。</v>
      </c>
      <c r="B16" t="s">
        <v>594</v>
      </c>
      <c r="C16" t="s">
        <v>595</v>
      </c>
      <c r="D16">
        <f>SUM(F5:N5)</f>
        <v>9</v>
      </c>
      <c r="E16" t="s">
        <v>596</v>
      </c>
      <c r="F16" t="s">
        <v>597</v>
      </c>
      <c r="G16" t="str">
        <f>IF(D16&gt;X2,"以上",IF(D16&gt;X2,"","以下"))</f>
        <v>以上</v>
      </c>
      <c r="H16" t="s">
        <v>596</v>
      </c>
    </row>
    <row r="17" spans="1:6" x14ac:dyDescent="0.15">
      <c r="A17" t="str">
        <f t="shared" si="1"/>
        <v>・</v>
      </c>
      <c r="B17" t="s">
        <v>594</v>
      </c>
    </row>
    <row r="18" spans="1:6" x14ac:dyDescent="0.15">
      <c r="A18" t="str">
        <f t="shared" si="1"/>
        <v>・</v>
      </c>
      <c r="B18" t="s">
        <v>594</v>
      </c>
    </row>
    <row r="19" spans="1:6" x14ac:dyDescent="0.15">
      <c r="A19" t="str">
        <f t="shared" si="1"/>
        <v>・</v>
      </c>
      <c r="B19" t="s">
        <v>594</v>
      </c>
    </row>
    <row r="20" spans="1:6" x14ac:dyDescent="0.15">
      <c r="A20" t="str">
        <f t="shared" si="1"/>
        <v>*採用候補</v>
      </c>
      <c r="B20" s="8" t="s">
        <v>652</v>
      </c>
    </row>
    <row r="21" spans="1:6" x14ac:dyDescent="0.15">
      <c r="A21" t="str">
        <f t="shared" si="1"/>
        <v>・色が合えば採用候補レベルのものではなく、PWに合った採用候補を紹介</v>
      </c>
      <c r="B21" t="s">
        <v>645</v>
      </c>
    </row>
    <row r="22" spans="1:6" x14ac:dyDescent="0.15">
      <c r="A22" t="str">
        <f t="shared" si="1"/>
        <v/>
      </c>
    </row>
    <row r="23" spans="1:6" x14ac:dyDescent="0.15">
      <c r="A23" t="str">
        <f t="shared" si="1"/>
        <v>**スタンダード</v>
      </c>
      <c r="B23" s="8" t="s">
        <v>650</v>
      </c>
    </row>
    <row r="24" spans="1:6" x14ac:dyDescent="0.15">
      <c r="A24" t="str">
        <f t="shared" si="1"/>
        <v>スタンダード(ORI/KLD/AKH/HOU期)</v>
      </c>
      <c r="B24" t="s">
        <v>646</v>
      </c>
    </row>
    <row r="25" spans="1:6" x14ac:dyDescent="0.15">
      <c r="A25" t="str">
        <f t="shared" si="1"/>
        <v>《[[]]》[]：</v>
      </c>
      <c r="B25" s="8" t="s">
        <v>718</v>
      </c>
      <c r="D25" t="s">
        <v>719</v>
      </c>
      <c r="E25" s="8"/>
      <c r="F25" t="s">
        <v>713</v>
      </c>
    </row>
    <row r="26" spans="1:6" x14ac:dyDescent="0.15">
      <c r="A26" t="str">
        <f t="shared" si="1"/>
        <v>《[[]]》[]：</v>
      </c>
      <c r="B26" s="8" t="s">
        <v>718</v>
      </c>
      <c r="D26" t="s">
        <v>719</v>
      </c>
      <c r="E26" s="8"/>
      <c r="F26" t="s">
        <v>713</v>
      </c>
    </row>
    <row r="27" spans="1:6" x14ac:dyDescent="0.15">
      <c r="A27" t="str">
        <f t="shared" si="1"/>
        <v/>
      </c>
    </row>
    <row r="28" spans="1:6" x14ac:dyDescent="0.15">
      <c r="A28" t="str">
        <f t="shared" si="1"/>
        <v/>
      </c>
    </row>
    <row r="29" spans="1:6" x14ac:dyDescent="0.15">
      <c r="A29" t="str">
        <f t="shared" si="1"/>
        <v>**レガシー</v>
      </c>
      <c r="B29" s="8" t="s">
        <v>651</v>
      </c>
    </row>
    <row r="30" spans="1:6" x14ac:dyDescent="0.15">
      <c r="A30" t="str">
        <f t="shared" si="1"/>
        <v>《[[]]》[]：</v>
      </c>
      <c r="B30" s="8" t="s">
        <v>718</v>
      </c>
      <c r="D30" t="s">
        <v>719</v>
      </c>
      <c r="E30" s="8"/>
      <c r="F30" t="s">
        <v>713</v>
      </c>
    </row>
    <row r="31" spans="1:6" x14ac:dyDescent="0.15">
      <c r="A31" t="str">
        <f t="shared" si="1"/>
        <v>《[[]]》[]：</v>
      </c>
      <c r="B31" s="8" t="s">
        <v>718</v>
      </c>
      <c r="D31" t="s">
        <v>719</v>
      </c>
      <c r="E31" s="8"/>
      <c r="F31" t="s">
        <v>713</v>
      </c>
    </row>
    <row r="32" spans="1:6" x14ac:dyDescent="0.15">
      <c r="A32" t="str">
        <f t="shared" si="1"/>
        <v/>
      </c>
    </row>
    <row r="33" spans="1:8" x14ac:dyDescent="0.15">
      <c r="A33" t="str">
        <f t="shared" si="1"/>
        <v>#region(close,text=Lv60までの詳細データ)</v>
      </c>
      <c r="B33" t="s">
        <v>598</v>
      </c>
    </row>
    <row r="34" spans="1:8" x14ac:dyDescent="0.15">
      <c r="A34" t="str">
        <f>B34&amp;C34&amp;D34&amp;E34&amp;F34&amp;G34&amp;H34&amp;I34&amp;J34&amp;K34&amp;L34&amp;M34&amp;N34&amp;O34&amp;P34</f>
        <v/>
      </c>
    </row>
    <row r="35" spans="1:8" x14ac:dyDescent="0.15">
      <c r="A35" t="str">
        <f>B35&amp;C35&amp;D35&amp;E35&amp;F35&amp;G35&amp;H35&amp;I35&amp;J35&amp;K35&amp;L35&amp;M35&amp;N35&amp;O35&amp;P35</f>
        <v>&amp;br;</v>
      </c>
      <c r="B35" t="s">
        <v>0</v>
      </c>
    </row>
    <row r="36" spans="1:8" x14ac:dyDescent="0.15">
      <c r="A36" t="str">
        <f>B36&amp;C36&amp;D36&amp;E36&amp;F36&amp;G36&amp;H36&amp;I36&amp;J36&amp;K36&amp;L36&amp;M36&amp;N36&amp;O36&amp;P36</f>
        <v>*HP</v>
      </c>
      <c r="B36" s="8" t="s">
        <v>644</v>
      </c>
    </row>
    <row r="37" spans="1:8" x14ac:dyDescent="0.15">
      <c r="A37" t="str">
        <f>B37&amp;C37&amp;D37&amp;E37&amp;F37&amp;G37&amp;H37</f>
        <v>|LEFT:50|LEFT:50|c</v>
      </c>
      <c r="B37" t="s">
        <v>3</v>
      </c>
      <c r="C37" t="s">
        <v>4</v>
      </c>
      <c r="E37" t="s">
        <v>3</v>
      </c>
      <c r="F37" t="s">
        <v>4</v>
      </c>
      <c r="G37" t="s">
        <v>3</v>
      </c>
      <c r="H37" t="s">
        <v>5</v>
      </c>
    </row>
    <row r="38" spans="1:8" x14ac:dyDescent="0.15">
      <c r="A38" t="str">
        <f t="shared" ref="A38:A65" si="2">B38&amp;C38&amp;D38&amp;E38&amp;F38&amp;G38&amp;H38</f>
        <v>|レベル|HP|</v>
      </c>
      <c r="B38" t="s">
        <v>3</v>
      </c>
      <c r="C38" t="s">
        <v>6</v>
      </c>
      <c r="E38" t="s">
        <v>3</v>
      </c>
      <c r="F38" t="s">
        <v>7</v>
      </c>
      <c r="G38" t="s">
        <v>3</v>
      </c>
    </row>
    <row r="39" spans="1:8" x14ac:dyDescent="0.15">
      <c r="A39" t="str">
        <f t="shared" si="2"/>
        <v>|Lv1|26|</v>
      </c>
      <c r="B39" t="s">
        <v>3</v>
      </c>
      <c r="C39" t="s">
        <v>8</v>
      </c>
      <c r="D39">
        <v>1</v>
      </c>
      <c r="E39" t="s">
        <v>3</v>
      </c>
      <c r="F39">
        <f>B204</f>
        <v>26</v>
      </c>
      <c r="G39" t="s">
        <v>3</v>
      </c>
    </row>
    <row r="40" spans="1:8" x14ac:dyDescent="0.15">
      <c r="A40" t="str">
        <f t="shared" si="2"/>
        <v>|Lv3|28|</v>
      </c>
      <c r="B40" t="s">
        <v>3</v>
      </c>
      <c r="C40" t="s">
        <v>8</v>
      </c>
      <c r="D40">
        <v>3</v>
      </c>
      <c r="E40" t="s">
        <v>3</v>
      </c>
      <c r="F40">
        <f t="shared" ref="F40:F65" si="3">IF(ISBLANK(D40),"",F39+INDEX($H$129:$H$188,D40))</f>
        <v>28</v>
      </c>
      <c r="G40" t="s">
        <v>3</v>
      </c>
    </row>
    <row r="41" spans="1:8" x14ac:dyDescent="0.15">
      <c r="A41" t="str">
        <f t="shared" si="2"/>
        <v>|Lv5|30|</v>
      </c>
      <c r="B41" t="s">
        <v>3</v>
      </c>
      <c r="C41" t="s">
        <v>8</v>
      </c>
      <c r="D41">
        <v>5</v>
      </c>
      <c r="E41" t="s">
        <v>3</v>
      </c>
      <c r="F41">
        <f t="shared" si="3"/>
        <v>30</v>
      </c>
      <c r="G41" t="s">
        <v>3</v>
      </c>
    </row>
    <row r="42" spans="1:8" x14ac:dyDescent="0.15">
      <c r="A42" t="str">
        <f t="shared" si="2"/>
        <v>|Lv7|32|</v>
      </c>
      <c r="B42" t="s">
        <v>3</v>
      </c>
      <c r="C42" t="s">
        <v>8</v>
      </c>
      <c r="D42">
        <v>7</v>
      </c>
      <c r="E42" t="s">
        <v>3</v>
      </c>
      <c r="F42">
        <f t="shared" si="3"/>
        <v>32</v>
      </c>
      <c r="G42" t="s">
        <v>3</v>
      </c>
    </row>
    <row r="43" spans="1:8" x14ac:dyDescent="0.15">
      <c r="A43" t="str">
        <f t="shared" si="2"/>
        <v>|Lv9|34|</v>
      </c>
      <c r="B43" t="s">
        <v>3</v>
      </c>
      <c r="C43" t="s">
        <v>8</v>
      </c>
      <c r="D43">
        <v>9</v>
      </c>
      <c r="E43" t="s">
        <v>3</v>
      </c>
      <c r="F43">
        <f t="shared" si="3"/>
        <v>34</v>
      </c>
      <c r="G43" t="s">
        <v>3</v>
      </c>
    </row>
    <row r="44" spans="1:8" x14ac:dyDescent="0.15">
      <c r="A44" t="str">
        <f t="shared" si="2"/>
        <v>|Lv11|36|</v>
      </c>
      <c r="B44" t="s">
        <v>3</v>
      </c>
      <c r="C44" t="s">
        <v>8</v>
      </c>
      <c r="D44">
        <v>11</v>
      </c>
      <c r="E44" t="s">
        <v>3</v>
      </c>
      <c r="F44">
        <f t="shared" si="3"/>
        <v>36</v>
      </c>
      <c r="G44" t="s">
        <v>3</v>
      </c>
    </row>
    <row r="45" spans="1:8" x14ac:dyDescent="0.15">
      <c r="A45" t="str">
        <f t="shared" si="2"/>
        <v>|Lv13|38|</v>
      </c>
      <c r="B45" t="s">
        <v>3</v>
      </c>
      <c r="C45" t="s">
        <v>8</v>
      </c>
      <c r="D45">
        <v>13</v>
      </c>
      <c r="E45" t="s">
        <v>3</v>
      </c>
      <c r="F45">
        <f t="shared" si="3"/>
        <v>38</v>
      </c>
      <c r="G45" t="s">
        <v>3</v>
      </c>
    </row>
    <row r="46" spans="1:8" x14ac:dyDescent="0.15">
      <c r="A46" t="str">
        <f t="shared" si="2"/>
        <v>|Lv15|41|</v>
      </c>
      <c r="B46" t="s">
        <v>3</v>
      </c>
      <c r="C46" t="s">
        <v>8</v>
      </c>
      <c r="D46">
        <v>15</v>
      </c>
      <c r="E46" t="s">
        <v>3</v>
      </c>
      <c r="F46">
        <f t="shared" si="3"/>
        <v>41</v>
      </c>
      <c r="G46" t="s">
        <v>3</v>
      </c>
    </row>
    <row r="47" spans="1:8" x14ac:dyDescent="0.15">
      <c r="A47" t="str">
        <f t="shared" si="2"/>
        <v>|Lv19|44|</v>
      </c>
      <c r="B47" t="s">
        <v>3</v>
      </c>
      <c r="C47" t="s">
        <v>8</v>
      </c>
      <c r="D47">
        <v>19</v>
      </c>
      <c r="E47" t="s">
        <v>3</v>
      </c>
      <c r="F47">
        <f t="shared" si="3"/>
        <v>44</v>
      </c>
      <c r="G47" t="s">
        <v>3</v>
      </c>
    </row>
    <row r="48" spans="1:8" x14ac:dyDescent="0.15">
      <c r="A48" t="str">
        <f t="shared" si="2"/>
        <v>|Lv21|46|</v>
      </c>
      <c r="B48" t="s">
        <v>3</v>
      </c>
      <c r="C48" t="s">
        <v>8</v>
      </c>
      <c r="D48">
        <v>21</v>
      </c>
      <c r="E48" t="s">
        <v>3</v>
      </c>
      <c r="F48">
        <f t="shared" si="3"/>
        <v>46</v>
      </c>
      <c r="G48" t="s">
        <v>3</v>
      </c>
    </row>
    <row r="49" spans="1:7" x14ac:dyDescent="0.15">
      <c r="A49" t="str">
        <f t="shared" si="2"/>
        <v>|Lv23|49|</v>
      </c>
      <c r="B49" t="s">
        <v>3</v>
      </c>
      <c r="C49" t="s">
        <v>8</v>
      </c>
      <c r="D49">
        <v>23</v>
      </c>
      <c r="E49" t="s">
        <v>3</v>
      </c>
      <c r="F49">
        <f t="shared" si="3"/>
        <v>49</v>
      </c>
      <c r="G49" t="s">
        <v>3</v>
      </c>
    </row>
    <row r="50" spans="1:7" x14ac:dyDescent="0.15">
      <c r="A50" t="str">
        <f t="shared" si="2"/>
        <v>|Lv25|52|</v>
      </c>
      <c r="B50" t="s">
        <v>3</v>
      </c>
      <c r="C50" t="s">
        <v>8</v>
      </c>
      <c r="D50">
        <v>25</v>
      </c>
      <c r="E50" t="s">
        <v>3</v>
      </c>
      <c r="F50">
        <f t="shared" si="3"/>
        <v>52</v>
      </c>
      <c r="G50" t="s">
        <v>3</v>
      </c>
    </row>
    <row r="51" spans="1:7" x14ac:dyDescent="0.15">
      <c r="A51" t="str">
        <f t="shared" si="2"/>
        <v>|Lv27|55|</v>
      </c>
      <c r="B51" t="s">
        <v>3</v>
      </c>
      <c r="C51" t="s">
        <v>8</v>
      </c>
      <c r="D51">
        <v>27</v>
      </c>
      <c r="E51" t="s">
        <v>3</v>
      </c>
      <c r="F51">
        <f t="shared" si="3"/>
        <v>55</v>
      </c>
      <c r="G51" t="s">
        <v>3</v>
      </c>
    </row>
    <row r="52" spans="1:7" x14ac:dyDescent="0.15">
      <c r="A52" t="str">
        <f t="shared" si="2"/>
        <v>|Lv29|57|</v>
      </c>
      <c r="B52" t="s">
        <v>3</v>
      </c>
      <c r="C52" t="s">
        <v>8</v>
      </c>
      <c r="D52">
        <v>29</v>
      </c>
      <c r="E52" t="s">
        <v>3</v>
      </c>
      <c r="F52">
        <f t="shared" si="3"/>
        <v>57</v>
      </c>
      <c r="G52" t="s">
        <v>3</v>
      </c>
    </row>
    <row r="53" spans="1:7" x14ac:dyDescent="0.15">
      <c r="A53" t="str">
        <f t="shared" si="2"/>
        <v>|Lv31|60|</v>
      </c>
      <c r="B53" t="s">
        <v>3</v>
      </c>
      <c r="C53" t="s">
        <v>8</v>
      </c>
      <c r="D53">
        <v>31</v>
      </c>
      <c r="E53" t="s">
        <v>3</v>
      </c>
      <c r="F53">
        <f t="shared" si="3"/>
        <v>60</v>
      </c>
      <c r="G53" t="s">
        <v>3</v>
      </c>
    </row>
    <row r="54" spans="1:7" x14ac:dyDescent="0.15">
      <c r="A54" t="str">
        <f t="shared" si="2"/>
        <v>|Lv33|63|</v>
      </c>
      <c r="B54" t="s">
        <v>3</v>
      </c>
      <c r="C54" t="s">
        <v>8</v>
      </c>
      <c r="D54">
        <v>33</v>
      </c>
      <c r="E54" t="s">
        <v>3</v>
      </c>
      <c r="F54">
        <f t="shared" si="3"/>
        <v>63</v>
      </c>
      <c r="G54" t="s">
        <v>3</v>
      </c>
    </row>
    <row r="55" spans="1:7" x14ac:dyDescent="0.15">
      <c r="A55" t="str">
        <f t="shared" si="2"/>
        <v>|Lv37|66|</v>
      </c>
      <c r="B55" t="s">
        <v>3</v>
      </c>
      <c r="C55" t="s">
        <v>8</v>
      </c>
      <c r="D55">
        <v>37</v>
      </c>
      <c r="E55" t="s">
        <v>3</v>
      </c>
      <c r="F55">
        <f t="shared" si="3"/>
        <v>66</v>
      </c>
      <c r="G55" t="s">
        <v>3</v>
      </c>
    </row>
    <row r="56" spans="1:7" x14ac:dyDescent="0.15">
      <c r="A56" t="str">
        <f t="shared" si="2"/>
        <v>|Lv39|69|</v>
      </c>
      <c r="B56" t="s">
        <v>3</v>
      </c>
      <c r="C56" t="s">
        <v>8</v>
      </c>
      <c r="D56">
        <v>39</v>
      </c>
      <c r="E56" t="s">
        <v>3</v>
      </c>
      <c r="F56">
        <f t="shared" si="3"/>
        <v>69</v>
      </c>
      <c r="G56" t="s">
        <v>3</v>
      </c>
    </row>
    <row r="57" spans="1:7" x14ac:dyDescent="0.15">
      <c r="A57" t="str">
        <f t="shared" si="2"/>
        <v>|Lv41|72|</v>
      </c>
      <c r="B57" t="s">
        <v>3</v>
      </c>
      <c r="C57" t="s">
        <v>8</v>
      </c>
      <c r="D57">
        <v>41</v>
      </c>
      <c r="E57" t="s">
        <v>3</v>
      </c>
      <c r="F57">
        <f t="shared" si="3"/>
        <v>72</v>
      </c>
      <c r="G57" t="s">
        <v>3</v>
      </c>
    </row>
    <row r="58" spans="1:7" x14ac:dyDescent="0.15">
      <c r="A58" t="str">
        <f t="shared" si="2"/>
        <v>|Lv43|75|</v>
      </c>
      <c r="B58" t="s">
        <v>3</v>
      </c>
      <c r="C58" t="s">
        <v>8</v>
      </c>
      <c r="D58">
        <v>43</v>
      </c>
      <c r="E58" t="s">
        <v>3</v>
      </c>
      <c r="F58">
        <f t="shared" si="3"/>
        <v>75</v>
      </c>
      <c r="G58" t="s">
        <v>3</v>
      </c>
    </row>
    <row r="59" spans="1:7" x14ac:dyDescent="0.15">
      <c r="A59" t="str">
        <f t="shared" si="2"/>
        <v>|Lv45|78|</v>
      </c>
      <c r="B59" t="s">
        <v>3</v>
      </c>
      <c r="C59" t="s">
        <v>8</v>
      </c>
      <c r="D59">
        <v>45</v>
      </c>
      <c r="E59" t="s">
        <v>3</v>
      </c>
      <c r="F59">
        <f t="shared" si="3"/>
        <v>78</v>
      </c>
      <c r="G59" t="s">
        <v>3</v>
      </c>
    </row>
    <row r="60" spans="1:7" x14ac:dyDescent="0.15">
      <c r="A60" t="str">
        <f t="shared" si="2"/>
        <v>|Lv47|81|</v>
      </c>
      <c r="B60" t="s">
        <v>3</v>
      </c>
      <c r="C60" t="s">
        <v>8</v>
      </c>
      <c r="D60">
        <v>47</v>
      </c>
      <c r="E60" t="s">
        <v>3</v>
      </c>
      <c r="F60">
        <f t="shared" si="3"/>
        <v>81</v>
      </c>
      <c r="G60" t="s">
        <v>3</v>
      </c>
    </row>
    <row r="61" spans="1:7" x14ac:dyDescent="0.15">
      <c r="A61" t="str">
        <f t="shared" si="2"/>
        <v>|Lv49|84|</v>
      </c>
      <c r="B61" t="s">
        <v>3</v>
      </c>
      <c r="C61" t="s">
        <v>8</v>
      </c>
      <c r="D61">
        <v>49</v>
      </c>
      <c r="E61" t="s">
        <v>3</v>
      </c>
      <c r="F61">
        <f t="shared" si="3"/>
        <v>84</v>
      </c>
      <c r="G61" t="s">
        <v>3</v>
      </c>
    </row>
    <row r="62" spans="1:7" x14ac:dyDescent="0.15">
      <c r="A62" t="str">
        <f t="shared" si="2"/>
        <v>|Lv51|87|</v>
      </c>
      <c r="B62" t="s">
        <v>3</v>
      </c>
      <c r="C62" t="s">
        <v>8</v>
      </c>
      <c r="D62">
        <v>51</v>
      </c>
      <c r="E62" t="s">
        <v>3</v>
      </c>
      <c r="F62">
        <f t="shared" si="3"/>
        <v>87</v>
      </c>
      <c r="G62" t="s">
        <v>3</v>
      </c>
    </row>
    <row r="63" spans="1:7" x14ac:dyDescent="0.15">
      <c r="A63" t="str">
        <f t="shared" si="2"/>
        <v>|Lv53|90|</v>
      </c>
      <c r="B63" t="s">
        <v>3</v>
      </c>
      <c r="C63" t="s">
        <v>8</v>
      </c>
      <c r="D63">
        <v>53</v>
      </c>
      <c r="E63" t="s">
        <v>3</v>
      </c>
      <c r="F63">
        <f t="shared" si="3"/>
        <v>90</v>
      </c>
      <c r="G63" t="s">
        <v>3</v>
      </c>
    </row>
    <row r="64" spans="1:7" x14ac:dyDescent="0.15">
      <c r="A64" t="str">
        <f t="shared" si="2"/>
        <v>|Lv57|93|</v>
      </c>
      <c r="B64" t="s">
        <v>3</v>
      </c>
      <c r="C64" t="s">
        <v>8</v>
      </c>
      <c r="D64">
        <v>57</v>
      </c>
      <c r="E64" t="s">
        <v>3</v>
      </c>
      <c r="F64">
        <f t="shared" si="3"/>
        <v>93</v>
      </c>
      <c r="G64" t="s">
        <v>3</v>
      </c>
    </row>
    <row r="65" spans="1:19" x14ac:dyDescent="0.15">
      <c r="A65" t="str">
        <f t="shared" si="2"/>
        <v>|Lv59|96|</v>
      </c>
      <c r="B65" t="s">
        <v>3</v>
      </c>
      <c r="C65" t="s">
        <v>8</v>
      </c>
      <c r="D65">
        <v>59</v>
      </c>
      <c r="E65" t="s">
        <v>3</v>
      </c>
      <c r="F65">
        <f t="shared" si="3"/>
        <v>96</v>
      </c>
      <c r="G65" t="s">
        <v>3</v>
      </c>
    </row>
    <row r="66" spans="1:19" x14ac:dyDescent="0.15">
      <c r="A66" t="str">
        <f>B66&amp;C66&amp;D66&amp;E66&amp;F66&amp;G66&amp;H66&amp;I66&amp;J66&amp;K66&amp;L66&amp;M66&amp;N66&amp;O66&amp;P66</f>
        <v>&amp;br;</v>
      </c>
      <c r="B66" t="s">
        <v>0</v>
      </c>
    </row>
    <row r="67" spans="1:19" x14ac:dyDescent="0.15">
      <c r="A67" t="str">
        <f>B67&amp;C67&amp;D67&amp;E67&amp;F67&amp;G67&amp;H67&amp;I67&amp;J67&amp;K67&amp;L67&amp;M67&amp;N67&amp;O67&amp;P67</f>
        <v>&amp;br;</v>
      </c>
      <c r="B67" t="s">
        <v>0</v>
      </c>
    </row>
    <row r="68" spans="1:19" x14ac:dyDescent="0.15">
      <c r="A68" t="str">
        <f>B68&amp;C68&amp;D68&amp;E68&amp;F68&amp;G68&amp;H68&amp;I68&amp;J68&amp;K68&amp;L68&amp;M68&amp;N68&amp;O68&amp;P68</f>
        <v>*マナボーナス [#q1a26f54]</v>
      </c>
      <c r="B68" t="s">
        <v>9</v>
      </c>
    </row>
    <row r="69" spans="1:19" x14ac:dyDescent="0.15">
      <c r="A69" t="str">
        <f t="shared" ref="A69:A78" si="4">B69&amp;C69&amp;D69&amp;G69&amp;H69&amp;I69&amp;J69&amp;K69&amp;L69&amp;M69&amp;N69&amp;O69&amp;P69&amp;Q69&amp;R69</f>
        <v>|LEFT:50|LEFT:50|LEFT:50|LEFT:50|LEFT:50|LEFT:50|c</v>
      </c>
      <c r="B69" t="s">
        <v>3</v>
      </c>
      <c r="C69" t="s">
        <v>4</v>
      </c>
      <c r="E69" t="s">
        <v>3</v>
      </c>
      <c r="G69" t="s">
        <v>3</v>
      </c>
      <c r="H69" t="s">
        <v>4</v>
      </c>
      <c r="I69" t="s">
        <v>3</v>
      </c>
      <c r="J69" t="s">
        <v>4</v>
      </c>
      <c r="K69" t="s">
        <v>3</v>
      </c>
      <c r="L69" t="s">
        <v>4</v>
      </c>
      <c r="M69" t="s">
        <v>3</v>
      </c>
      <c r="N69" t="s">
        <v>4</v>
      </c>
      <c r="O69" t="s">
        <v>3</v>
      </c>
      <c r="P69" t="s">
        <v>4</v>
      </c>
      <c r="Q69" t="s">
        <v>3</v>
      </c>
      <c r="R69" t="s">
        <v>5</v>
      </c>
    </row>
    <row r="70" spans="1:19" x14ac:dyDescent="0.15">
      <c r="A70" t="str">
        <f t="shared" si="4"/>
        <v>|レベル|白|青|黒|赤|緑|</v>
      </c>
      <c r="B70" t="s">
        <v>3</v>
      </c>
      <c r="C70" t="s">
        <v>6</v>
      </c>
      <c r="E70" t="s">
        <v>3</v>
      </c>
      <c r="F70" t="s">
        <v>10</v>
      </c>
      <c r="G70" t="s">
        <v>3</v>
      </c>
      <c r="H70" t="s">
        <v>11</v>
      </c>
      <c r="I70" t="s">
        <v>3</v>
      </c>
      <c r="J70" t="s">
        <v>12</v>
      </c>
      <c r="K70" t="s">
        <v>3</v>
      </c>
      <c r="L70" t="s">
        <v>13</v>
      </c>
      <c r="M70" t="s">
        <v>3</v>
      </c>
      <c r="N70" t="s">
        <v>14</v>
      </c>
      <c r="O70" t="s">
        <v>3</v>
      </c>
      <c r="P70" t="s">
        <v>15</v>
      </c>
      <c r="Q70" t="s">
        <v>3</v>
      </c>
      <c r="S70" t="s">
        <v>11</v>
      </c>
    </row>
    <row r="71" spans="1:19" x14ac:dyDescent="0.15">
      <c r="A71" t="str">
        <f t="shared" si="4"/>
        <v>|Lv1|1|1|1|-2|-2|</v>
      </c>
      <c r="B71" t="s">
        <v>3</v>
      </c>
      <c r="C71" t="s">
        <v>8</v>
      </c>
      <c r="D71">
        <v>1</v>
      </c>
      <c r="E71" t="s">
        <v>3</v>
      </c>
      <c r="G71" t="s">
        <v>3</v>
      </c>
      <c r="H71">
        <f>B208</f>
        <v>1</v>
      </c>
      <c r="I71" t="s">
        <v>3</v>
      </c>
      <c r="J71">
        <f>C208</f>
        <v>1</v>
      </c>
      <c r="K71" t="s">
        <v>3</v>
      </c>
      <c r="L71">
        <f>D208</f>
        <v>1</v>
      </c>
      <c r="M71" t="s">
        <v>3</v>
      </c>
      <c r="N71">
        <f>E208</f>
        <v>-2</v>
      </c>
      <c r="O71" t="s">
        <v>3</v>
      </c>
      <c r="P71">
        <f>F208</f>
        <v>-2</v>
      </c>
      <c r="Q71" t="s">
        <v>3</v>
      </c>
      <c r="S71" t="s">
        <v>12</v>
      </c>
    </row>
    <row r="72" spans="1:19" x14ac:dyDescent="0.15">
      <c r="A72" t="str">
        <f t="shared" si="4"/>
        <v>|Lv4|1|2|1|-2|-2|</v>
      </c>
      <c r="B72" t="s">
        <v>3</v>
      </c>
      <c r="C72" t="s">
        <v>8</v>
      </c>
      <c r="D72">
        <v>4</v>
      </c>
      <c r="E72" t="s">
        <v>3</v>
      </c>
      <c r="F72" t="str">
        <f t="shared" ref="F72:F80" si="5">IF(ISBLANK(D72),"",INDEX($F$129:$F$188,D72))</f>
        <v>青</v>
      </c>
      <c r="G72" t="s">
        <v>3</v>
      </c>
      <c r="H72">
        <f>H71+IF(H$70=$F72,1,0)</f>
        <v>1</v>
      </c>
      <c r="I72" t="str">
        <f t="shared" ref="I72:Q80" si="6">I71</f>
        <v>|</v>
      </c>
      <c r="J72">
        <f>J71+IF(J$70=$F72,1,0)</f>
        <v>2</v>
      </c>
      <c r="K72" t="str">
        <f t="shared" si="6"/>
        <v>|</v>
      </c>
      <c r="L72">
        <f>L71+IF(L$70=$F72,1,0)</f>
        <v>1</v>
      </c>
      <c r="M72" t="str">
        <f t="shared" si="6"/>
        <v>|</v>
      </c>
      <c r="N72">
        <f>N71+IF(N$70=$F72,1,0)</f>
        <v>-2</v>
      </c>
      <c r="O72" t="str">
        <f t="shared" si="6"/>
        <v>|</v>
      </c>
      <c r="P72">
        <f>P71+IF(P$70=$F72,1,0)</f>
        <v>-2</v>
      </c>
      <c r="Q72" t="str">
        <f t="shared" si="6"/>
        <v>|</v>
      </c>
      <c r="S72" t="s">
        <v>13</v>
      </c>
    </row>
    <row r="73" spans="1:19" x14ac:dyDescent="0.15">
      <c r="A73" t="str">
        <f t="shared" si="4"/>
        <v>|Lv12|1|2|1|-1|-2|</v>
      </c>
      <c r="B73" t="s">
        <v>3</v>
      </c>
      <c r="C73" t="s">
        <v>8</v>
      </c>
      <c r="D73">
        <v>12</v>
      </c>
      <c r="E73" t="s">
        <v>3</v>
      </c>
      <c r="F73" t="str">
        <f t="shared" si="5"/>
        <v>赤</v>
      </c>
      <c r="G73" t="s">
        <v>3</v>
      </c>
      <c r="H73">
        <f t="shared" ref="H73:P78" si="7">H72+IF(H$70=$F73,1,0)</f>
        <v>1</v>
      </c>
      <c r="I73" t="str">
        <f t="shared" si="6"/>
        <v>|</v>
      </c>
      <c r="J73">
        <f t="shared" si="7"/>
        <v>2</v>
      </c>
      <c r="K73" t="str">
        <f t="shared" si="6"/>
        <v>|</v>
      </c>
      <c r="L73">
        <f t="shared" si="7"/>
        <v>1</v>
      </c>
      <c r="M73" t="str">
        <f t="shared" si="6"/>
        <v>|</v>
      </c>
      <c r="N73">
        <f>N72+IF(N$70=$F73,1,0)</f>
        <v>-1</v>
      </c>
      <c r="O73" t="str">
        <f t="shared" si="6"/>
        <v>|</v>
      </c>
      <c r="P73">
        <f t="shared" si="7"/>
        <v>-2</v>
      </c>
      <c r="Q73" t="str">
        <f t="shared" si="6"/>
        <v>|</v>
      </c>
      <c r="S73" t="s">
        <v>14</v>
      </c>
    </row>
    <row r="74" spans="1:19" x14ac:dyDescent="0.15">
      <c r="A74" t="str">
        <f t="shared" si="4"/>
        <v>|Lv18|1|2|2|-1|-2|</v>
      </c>
      <c r="B74" t="s">
        <v>3</v>
      </c>
      <c r="C74" t="s">
        <v>8</v>
      </c>
      <c r="D74">
        <v>18</v>
      </c>
      <c r="E74" t="s">
        <v>3</v>
      </c>
      <c r="F74" t="str">
        <f t="shared" si="5"/>
        <v>黒</v>
      </c>
      <c r="G74" t="s">
        <v>3</v>
      </c>
      <c r="H74">
        <f t="shared" si="7"/>
        <v>1</v>
      </c>
      <c r="I74" t="str">
        <f t="shared" si="6"/>
        <v>|</v>
      </c>
      <c r="J74">
        <f t="shared" si="7"/>
        <v>2</v>
      </c>
      <c r="K74" t="str">
        <f t="shared" si="6"/>
        <v>|</v>
      </c>
      <c r="L74">
        <f t="shared" si="7"/>
        <v>2</v>
      </c>
      <c r="M74" t="str">
        <f t="shared" si="6"/>
        <v>|</v>
      </c>
      <c r="N74">
        <f t="shared" si="7"/>
        <v>-1</v>
      </c>
      <c r="O74" t="str">
        <f t="shared" si="6"/>
        <v>|</v>
      </c>
      <c r="P74">
        <f t="shared" si="7"/>
        <v>-2</v>
      </c>
      <c r="Q74" t="str">
        <f t="shared" si="6"/>
        <v>|</v>
      </c>
      <c r="S74" t="s">
        <v>15</v>
      </c>
    </row>
    <row r="75" spans="1:19" x14ac:dyDescent="0.15">
      <c r="A75" t="str">
        <f t="shared" si="4"/>
        <v>|Lv24|2|2|2|-1|-2|</v>
      </c>
      <c r="B75" t="s">
        <v>3</v>
      </c>
      <c r="C75" t="s">
        <v>8</v>
      </c>
      <c r="D75">
        <v>24</v>
      </c>
      <c r="E75" t="s">
        <v>3</v>
      </c>
      <c r="F75" t="str">
        <f t="shared" si="5"/>
        <v>白</v>
      </c>
      <c r="G75" t="s">
        <v>3</v>
      </c>
      <c r="H75">
        <f t="shared" si="7"/>
        <v>2</v>
      </c>
      <c r="I75" t="str">
        <f t="shared" si="6"/>
        <v>|</v>
      </c>
      <c r="J75">
        <f t="shared" si="7"/>
        <v>2</v>
      </c>
      <c r="K75" t="str">
        <f t="shared" si="6"/>
        <v>|</v>
      </c>
      <c r="L75">
        <f t="shared" si="7"/>
        <v>2</v>
      </c>
      <c r="M75" t="str">
        <f t="shared" si="6"/>
        <v>|</v>
      </c>
      <c r="N75">
        <f t="shared" si="7"/>
        <v>-1</v>
      </c>
      <c r="O75" t="str">
        <f t="shared" si="6"/>
        <v>|</v>
      </c>
      <c r="P75">
        <f>P74+IF(P$70=$F75,1,0)</f>
        <v>-2</v>
      </c>
      <c r="Q75" t="str">
        <f t="shared" si="6"/>
        <v>|</v>
      </c>
    </row>
    <row r="76" spans="1:19" x14ac:dyDescent="0.15">
      <c r="A76" t="str">
        <f t="shared" si="4"/>
        <v>|Lv32|2|3|2|-1|-2|</v>
      </c>
      <c r="B76" t="s">
        <v>3</v>
      </c>
      <c r="C76" t="s">
        <v>8</v>
      </c>
      <c r="D76">
        <v>32</v>
      </c>
      <c r="E76" t="s">
        <v>3</v>
      </c>
      <c r="F76" t="str">
        <f t="shared" si="5"/>
        <v>青</v>
      </c>
      <c r="G76" t="s">
        <v>3</v>
      </c>
      <c r="H76">
        <f t="shared" si="7"/>
        <v>2</v>
      </c>
      <c r="I76" t="str">
        <f t="shared" si="6"/>
        <v>|</v>
      </c>
      <c r="J76">
        <f t="shared" si="7"/>
        <v>3</v>
      </c>
      <c r="K76" t="str">
        <f t="shared" si="6"/>
        <v>|</v>
      </c>
      <c r="L76">
        <f t="shared" si="7"/>
        <v>2</v>
      </c>
      <c r="M76" t="str">
        <f t="shared" si="6"/>
        <v>|</v>
      </c>
      <c r="N76">
        <f t="shared" si="7"/>
        <v>-1</v>
      </c>
      <c r="O76" t="str">
        <f t="shared" si="6"/>
        <v>|</v>
      </c>
      <c r="P76">
        <f t="shared" si="7"/>
        <v>-2</v>
      </c>
      <c r="Q76" t="str">
        <f t="shared" si="6"/>
        <v>|</v>
      </c>
    </row>
    <row r="77" spans="1:19" x14ac:dyDescent="0.15">
      <c r="A77" t="str">
        <f t="shared" si="4"/>
        <v>|Lv38|2|3|2|-1|0|</v>
      </c>
      <c r="B77" t="s">
        <v>3</v>
      </c>
      <c r="C77" t="s">
        <v>8</v>
      </c>
      <c r="D77">
        <v>38</v>
      </c>
      <c r="E77" t="s">
        <v>3</v>
      </c>
      <c r="F77" t="str">
        <f t="shared" si="5"/>
        <v>緑</v>
      </c>
      <c r="G77" t="s">
        <v>3</v>
      </c>
      <c r="H77">
        <f t="shared" si="7"/>
        <v>2</v>
      </c>
      <c r="I77" t="str">
        <f t="shared" si="6"/>
        <v>|</v>
      </c>
      <c r="J77">
        <f t="shared" si="7"/>
        <v>3</v>
      </c>
      <c r="K77" t="str">
        <f t="shared" si="6"/>
        <v>|</v>
      </c>
      <c r="L77">
        <f t="shared" si="7"/>
        <v>2</v>
      </c>
      <c r="M77" t="str">
        <f t="shared" si="6"/>
        <v>|</v>
      </c>
      <c r="N77">
        <f t="shared" si="7"/>
        <v>-1</v>
      </c>
      <c r="O77" t="str">
        <f t="shared" si="6"/>
        <v>|</v>
      </c>
      <c r="P77">
        <f>P76+IF(P$70=$F77,2,0)</f>
        <v>0</v>
      </c>
      <c r="Q77" t="str">
        <f t="shared" si="6"/>
        <v>|</v>
      </c>
    </row>
    <row r="78" spans="1:19" x14ac:dyDescent="0.15">
      <c r="A78" t="str">
        <f t="shared" si="4"/>
        <v>|Lv44|2|3|2|0|0|</v>
      </c>
      <c r="B78" t="s">
        <v>3</v>
      </c>
      <c r="C78" t="s">
        <v>8</v>
      </c>
      <c r="D78">
        <v>44</v>
      </c>
      <c r="E78" t="s">
        <v>3</v>
      </c>
      <c r="F78" t="str">
        <f t="shared" si="5"/>
        <v>赤</v>
      </c>
      <c r="G78" t="s">
        <v>3</v>
      </c>
      <c r="H78">
        <f t="shared" si="7"/>
        <v>2</v>
      </c>
      <c r="I78" t="str">
        <f t="shared" si="6"/>
        <v>|</v>
      </c>
      <c r="J78">
        <f t="shared" si="7"/>
        <v>3</v>
      </c>
      <c r="K78" t="str">
        <f t="shared" si="6"/>
        <v>|</v>
      </c>
      <c r="L78">
        <f t="shared" si="7"/>
        <v>2</v>
      </c>
      <c r="M78" t="str">
        <f t="shared" si="6"/>
        <v>|</v>
      </c>
      <c r="N78">
        <f t="shared" si="7"/>
        <v>0</v>
      </c>
      <c r="O78" t="str">
        <f t="shared" si="6"/>
        <v>|</v>
      </c>
      <c r="P78">
        <f>P77+IF(P$70=$F78,1,0)</f>
        <v>0</v>
      </c>
      <c r="Q78" t="str">
        <f t="shared" si="6"/>
        <v>|</v>
      </c>
    </row>
    <row r="79" spans="1:19" x14ac:dyDescent="0.15">
      <c r="A79" t="str">
        <f>B79&amp;C79&amp;D79&amp;G79&amp;H79&amp;I79&amp;J79&amp;K79&amp;L79&amp;M79&amp;N79&amp;O79&amp;P79&amp;Q79&amp;R79</f>
        <v>|Lv52|2|3|2|0|1|</v>
      </c>
      <c r="B79" t="s">
        <v>3</v>
      </c>
      <c r="C79" t="s">
        <v>8</v>
      </c>
      <c r="D79">
        <v>52</v>
      </c>
      <c r="E79" t="s">
        <v>3</v>
      </c>
      <c r="F79" t="str">
        <f t="shared" si="5"/>
        <v>緑</v>
      </c>
      <c r="G79" t="s">
        <v>3</v>
      </c>
      <c r="H79">
        <f>H78+IF(H$70=$F79,1,0)</f>
        <v>2</v>
      </c>
      <c r="I79" t="str">
        <f t="shared" si="6"/>
        <v>|</v>
      </c>
      <c r="J79">
        <f>J78+IF(J$70=$F79,1,0)</f>
        <v>3</v>
      </c>
      <c r="K79" t="str">
        <f t="shared" si="6"/>
        <v>|</v>
      </c>
      <c r="L79">
        <f>L78+IF(L$70=$F79,1,0)</f>
        <v>2</v>
      </c>
      <c r="M79" t="str">
        <f t="shared" si="6"/>
        <v>|</v>
      </c>
      <c r="N79">
        <f>N78+IF(N$70=$F79,1,0)</f>
        <v>0</v>
      </c>
      <c r="O79" t="str">
        <f t="shared" si="6"/>
        <v>|</v>
      </c>
      <c r="P79">
        <f>P78+IF(P$70=$F79,1,0)</f>
        <v>1</v>
      </c>
      <c r="Q79" t="str">
        <f t="shared" si="6"/>
        <v>|</v>
      </c>
    </row>
    <row r="80" spans="1:19" x14ac:dyDescent="0.15">
      <c r="A80" t="str">
        <f>B80&amp;C80&amp;D80&amp;G80&amp;H80&amp;I80&amp;J80&amp;K80&amp;L80&amp;M80&amp;N80&amp;O80&amp;P80&amp;Q80&amp;R80</f>
        <v>|Lv58|2|3|2|1|1|</v>
      </c>
      <c r="B80" t="s">
        <v>3</v>
      </c>
      <c r="C80" t="s">
        <v>8</v>
      </c>
      <c r="D80">
        <v>58</v>
      </c>
      <c r="E80" t="s">
        <v>3</v>
      </c>
      <c r="F80" t="str">
        <f t="shared" si="5"/>
        <v>赤</v>
      </c>
      <c r="G80" t="s">
        <v>3</v>
      </c>
      <c r="H80">
        <f>H79+IF(H$70=$F80,1,0)</f>
        <v>2</v>
      </c>
      <c r="I80" t="str">
        <f t="shared" si="6"/>
        <v>|</v>
      </c>
      <c r="J80">
        <f>J79+IF(J$70=$F80,1,0)</f>
        <v>3</v>
      </c>
      <c r="K80" t="str">
        <f t="shared" si="6"/>
        <v>|</v>
      </c>
      <c r="L80">
        <f>L79+IF(L$70=$F80,1,0)</f>
        <v>2</v>
      </c>
      <c r="M80" t="str">
        <f t="shared" si="6"/>
        <v>|</v>
      </c>
      <c r="N80">
        <f>N79+IF(N$70=$F80,1,0)</f>
        <v>1</v>
      </c>
      <c r="O80" t="str">
        <f t="shared" si="6"/>
        <v>|</v>
      </c>
      <c r="P80">
        <f>P79+IF(P$70=$F80,1,0)</f>
        <v>1</v>
      </c>
      <c r="Q80" t="str">
        <f t="shared" si="6"/>
        <v>|</v>
      </c>
    </row>
    <row r="81" spans="1:19" x14ac:dyDescent="0.15">
      <c r="A81" t="str">
        <f>B81&amp;C81&amp;D81&amp;E81&amp;F81&amp;G81&amp;H81&amp;I81&amp;J81&amp;K81&amp;L81&amp;M81&amp;N81&amp;O81&amp;P81</f>
        <v>&amp;br;</v>
      </c>
      <c r="B81" t="s">
        <v>0</v>
      </c>
    </row>
    <row r="82" spans="1:19" x14ac:dyDescent="0.15">
      <c r="A82" t="str">
        <f>B82&amp;C82&amp;D82&amp;E82&amp;F82&amp;G82&amp;H82&amp;I82&amp;J82&amp;K82&amp;L82&amp;M82&amp;N82&amp;O82&amp;P82</f>
        <v>&amp;br;</v>
      </c>
      <c r="B82" t="s">
        <v>0</v>
      </c>
    </row>
    <row r="83" spans="1:19" x14ac:dyDescent="0.15">
      <c r="A83" t="str">
        <f>B83&amp;C83&amp;D83&amp;E83&amp;F83&amp;G83&amp;H83&amp;I83&amp;J83&amp;K83&amp;L83&amp;M83&amp;N83&amp;O83&amp;P83</f>
        <v>*デッキ構築枚数上限 [#e6f382eb]</v>
      </c>
      <c r="B83" t="s">
        <v>16</v>
      </c>
    </row>
    <row r="84" spans="1:19" x14ac:dyDescent="0.15">
      <c r="A84" t="str">
        <f>B84&amp;C84&amp;D84&amp;E84&amp;F84&amp;G84&amp;H84&amp;I84&amp;J84&amp;K84&amp;L84&amp;M84&amp;N84&amp;O84&amp;P84</f>
        <v>構築枚数上限を越える枚数はデッキに入れられない。</v>
      </c>
      <c r="B84" t="s">
        <v>17</v>
      </c>
    </row>
    <row r="85" spans="1:19" x14ac:dyDescent="0.15">
      <c r="A85" t="str">
        <f t="shared" ref="A85:A94" si="8">B85&amp;C85&amp;D85&amp;G85&amp;H85&amp;I85&amp;J85&amp;K85&amp;L85&amp;M85&amp;N85&amp;O85&amp;P85&amp;Q85&amp;R85</f>
        <v>|LEFT:50|LEFT:80|LEFT:80|LEFT:80|c</v>
      </c>
      <c r="B85" t="s">
        <v>3</v>
      </c>
      <c r="C85" t="s">
        <v>4</v>
      </c>
      <c r="E85" t="s">
        <v>3</v>
      </c>
      <c r="G85" t="s">
        <v>3</v>
      </c>
      <c r="H85" t="s">
        <v>18</v>
      </c>
      <c r="I85" t="s">
        <v>3</v>
      </c>
      <c r="J85" t="s">
        <v>18</v>
      </c>
      <c r="K85" t="s">
        <v>3</v>
      </c>
      <c r="L85" t="s">
        <v>18</v>
      </c>
      <c r="M85" t="s">
        <v>3</v>
      </c>
      <c r="N85" t="s">
        <v>5</v>
      </c>
    </row>
    <row r="86" spans="1:19" x14ac:dyDescent="0.15">
      <c r="A86" t="str">
        <f t="shared" si="8"/>
        <v>|レベル|クリーチャー|呪文|サポート|</v>
      </c>
      <c r="B86" t="s">
        <v>3</v>
      </c>
      <c r="C86" t="s">
        <v>6</v>
      </c>
      <c r="E86" t="s">
        <v>3</v>
      </c>
      <c r="F86" t="s">
        <v>19</v>
      </c>
      <c r="G86" t="s">
        <v>3</v>
      </c>
      <c r="H86" t="s">
        <v>20</v>
      </c>
      <c r="I86" t="s">
        <v>3</v>
      </c>
      <c r="J86" t="s">
        <v>21</v>
      </c>
      <c r="K86" t="s">
        <v>3</v>
      </c>
      <c r="L86" t="s">
        <v>22</v>
      </c>
      <c r="M86" t="s">
        <v>3</v>
      </c>
      <c r="S86" t="s">
        <v>20</v>
      </c>
    </row>
    <row r="87" spans="1:19" x14ac:dyDescent="0.15">
      <c r="A87" t="str">
        <f t="shared" si="8"/>
        <v>|Lv1|3|6|1|</v>
      </c>
      <c r="B87" t="s">
        <v>3</v>
      </c>
      <c r="C87" t="s">
        <v>8</v>
      </c>
      <c r="D87">
        <v>1</v>
      </c>
      <c r="E87" t="s">
        <v>3</v>
      </c>
      <c r="G87" t="s">
        <v>3</v>
      </c>
      <c r="H87">
        <f>B206</f>
        <v>3</v>
      </c>
      <c r="I87" t="s">
        <v>3</v>
      </c>
      <c r="J87">
        <f>C206</f>
        <v>6</v>
      </c>
      <c r="K87" t="s">
        <v>3</v>
      </c>
      <c r="L87">
        <f>D206</f>
        <v>1</v>
      </c>
      <c r="M87" t="s">
        <v>3</v>
      </c>
      <c r="S87" t="s">
        <v>21</v>
      </c>
    </row>
    <row r="88" spans="1:19" x14ac:dyDescent="0.15">
      <c r="A88" t="str">
        <f t="shared" si="8"/>
        <v>|Lv2|3|7|1|</v>
      </c>
      <c r="B88" t="s">
        <v>3</v>
      </c>
      <c r="C88" t="s">
        <v>8</v>
      </c>
      <c r="D88">
        <v>2</v>
      </c>
      <c r="E88" t="s">
        <v>3</v>
      </c>
      <c r="F88" t="str">
        <f t="shared" ref="F88:F96" si="9">IF(ISBLANK(D88),"",INDEX($F$129:$F$188,D88))</f>
        <v>呪文</v>
      </c>
      <c r="G88" t="s">
        <v>3</v>
      </c>
      <c r="H88">
        <f t="shared" ref="H88:H96" si="10">H87+IF(H$86=$F88,INDEX($H$129:$H$188,D88),0)</f>
        <v>3</v>
      </c>
      <c r="I88" t="s">
        <v>3</v>
      </c>
      <c r="J88">
        <f t="shared" ref="J88:J96" si="11">J87+IF(J$86=$F88,INDEX($H$129:$H$188,D88),0)</f>
        <v>7</v>
      </c>
      <c r="K88" t="s">
        <v>3</v>
      </c>
      <c r="L88">
        <f t="shared" ref="L88:L96" si="12">L87+IF(L$86=$F88,INDEX($H$129:$H$188,D88),0)</f>
        <v>1</v>
      </c>
      <c r="M88" t="s">
        <v>3</v>
      </c>
      <c r="S88" t="s">
        <v>22</v>
      </c>
    </row>
    <row r="89" spans="1:19" x14ac:dyDescent="0.15">
      <c r="A89" t="str">
        <f t="shared" si="8"/>
        <v>|Lv8|4|7|1|</v>
      </c>
      <c r="B89" t="s">
        <v>3</v>
      </c>
      <c r="C89" t="s">
        <v>8</v>
      </c>
      <c r="D89">
        <v>8</v>
      </c>
      <c r="E89" t="s">
        <v>3</v>
      </c>
      <c r="F89" t="str">
        <f t="shared" si="9"/>
        <v>クリーチャー</v>
      </c>
      <c r="G89" t="s">
        <v>3</v>
      </c>
      <c r="H89">
        <f t="shared" si="10"/>
        <v>4</v>
      </c>
      <c r="I89" t="s">
        <v>3</v>
      </c>
      <c r="J89">
        <f t="shared" si="11"/>
        <v>7</v>
      </c>
      <c r="K89" t="s">
        <v>3</v>
      </c>
      <c r="L89">
        <f t="shared" si="12"/>
        <v>1</v>
      </c>
      <c r="M89" t="s">
        <v>3</v>
      </c>
    </row>
    <row r="90" spans="1:19" x14ac:dyDescent="0.15">
      <c r="A90" t="str">
        <f t="shared" si="8"/>
        <v>|Lv14|4|7|2|</v>
      </c>
      <c r="B90" t="s">
        <v>3</v>
      </c>
      <c r="C90" t="s">
        <v>8</v>
      </c>
      <c r="D90">
        <v>14</v>
      </c>
      <c r="E90" t="s">
        <v>3</v>
      </c>
      <c r="F90" t="str">
        <f t="shared" si="9"/>
        <v>サポート</v>
      </c>
      <c r="G90" t="s">
        <v>3</v>
      </c>
      <c r="H90">
        <f t="shared" si="10"/>
        <v>4</v>
      </c>
      <c r="I90" t="s">
        <v>3</v>
      </c>
      <c r="J90">
        <f t="shared" si="11"/>
        <v>7</v>
      </c>
      <c r="K90" t="s">
        <v>3</v>
      </c>
      <c r="L90">
        <f t="shared" si="12"/>
        <v>2</v>
      </c>
      <c r="M90" t="s">
        <v>3</v>
      </c>
    </row>
    <row r="91" spans="1:19" x14ac:dyDescent="0.15">
      <c r="A91" t="str">
        <f t="shared" si="8"/>
        <v>|Lv22|4|8|2|</v>
      </c>
      <c r="B91" t="s">
        <v>3</v>
      </c>
      <c r="C91" t="s">
        <v>8</v>
      </c>
      <c r="D91">
        <v>22</v>
      </c>
      <c r="E91" t="s">
        <v>3</v>
      </c>
      <c r="F91" t="str">
        <f t="shared" si="9"/>
        <v>呪文</v>
      </c>
      <c r="G91" t="s">
        <v>3</v>
      </c>
      <c r="H91">
        <f t="shared" si="10"/>
        <v>4</v>
      </c>
      <c r="I91" t="s">
        <v>3</v>
      </c>
      <c r="J91">
        <f t="shared" si="11"/>
        <v>8</v>
      </c>
      <c r="K91" t="s">
        <v>3</v>
      </c>
      <c r="L91">
        <f t="shared" si="12"/>
        <v>2</v>
      </c>
      <c r="M91" t="s">
        <v>3</v>
      </c>
    </row>
    <row r="92" spans="1:19" x14ac:dyDescent="0.15">
      <c r="A92" t="str">
        <f t="shared" si="8"/>
        <v>|Lv28|5|8|2|</v>
      </c>
      <c r="B92" t="s">
        <v>3</v>
      </c>
      <c r="C92" t="s">
        <v>8</v>
      </c>
      <c r="D92">
        <v>28</v>
      </c>
      <c r="E92" t="s">
        <v>3</v>
      </c>
      <c r="F92" t="str">
        <f t="shared" si="9"/>
        <v>クリーチャー</v>
      </c>
      <c r="G92" t="s">
        <v>3</v>
      </c>
      <c r="H92">
        <f t="shared" si="10"/>
        <v>5</v>
      </c>
      <c r="I92" t="s">
        <v>3</v>
      </c>
      <c r="J92">
        <f t="shared" si="11"/>
        <v>8</v>
      </c>
      <c r="K92" t="s">
        <v>3</v>
      </c>
      <c r="L92">
        <f t="shared" si="12"/>
        <v>2</v>
      </c>
      <c r="M92" t="s">
        <v>3</v>
      </c>
    </row>
    <row r="93" spans="1:19" x14ac:dyDescent="0.15">
      <c r="A93" t="str">
        <f t="shared" si="8"/>
        <v>|Lv34|5|8|3|</v>
      </c>
      <c r="B93" t="s">
        <v>3</v>
      </c>
      <c r="C93" t="s">
        <v>8</v>
      </c>
      <c r="D93">
        <v>34</v>
      </c>
      <c r="E93" t="s">
        <v>3</v>
      </c>
      <c r="F93" t="str">
        <f t="shared" si="9"/>
        <v>サポート</v>
      </c>
      <c r="G93" t="s">
        <v>3</v>
      </c>
      <c r="H93">
        <f t="shared" si="10"/>
        <v>5</v>
      </c>
      <c r="I93" t="s">
        <v>3</v>
      </c>
      <c r="J93">
        <f t="shared" si="11"/>
        <v>8</v>
      </c>
      <c r="K93" t="s">
        <v>3</v>
      </c>
      <c r="L93">
        <f t="shared" si="12"/>
        <v>3</v>
      </c>
      <c r="M93" t="s">
        <v>3</v>
      </c>
    </row>
    <row r="94" spans="1:19" x14ac:dyDescent="0.15">
      <c r="A94" t="str">
        <f t="shared" si="8"/>
        <v>|Lv42|5|9|3|</v>
      </c>
      <c r="B94" t="s">
        <v>3</v>
      </c>
      <c r="C94" t="s">
        <v>8</v>
      </c>
      <c r="D94">
        <v>42</v>
      </c>
      <c r="E94" t="s">
        <v>3</v>
      </c>
      <c r="F94" t="str">
        <f t="shared" si="9"/>
        <v>呪文</v>
      </c>
      <c r="G94" t="s">
        <v>3</v>
      </c>
      <c r="H94">
        <f t="shared" si="10"/>
        <v>5</v>
      </c>
      <c r="I94" t="s">
        <v>3</v>
      </c>
      <c r="J94">
        <f t="shared" si="11"/>
        <v>9</v>
      </c>
      <c r="K94" t="s">
        <v>3</v>
      </c>
      <c r="L94">
        <f t="shared" si="12"/>
        <v>3</v>
      </c>
      <c r="M94" t="s">
        <v>3</v>
      </c>
    </row>
    <row r="95" spans="1:19" x14ac:dyDescent="0.15">
      <c r="A95" t="str">
        <f>B95&amp;C95&amp;D95&amp;G95&amp;H95&amp;I95&amp;J95&amp;K95&amp;L95&amp;M95&amp;N95&amp;O95&amp;P95&amp;Q95&amp;R95</f>
        <v>|Lv48|6|9|3|</v>
      </c>
      <c r="B95" t="s">
        <v>3</v>
      </c>
      <c r="C95" t="s">
        <v>8</v>
      </c>
      <c r="D95">
        <v>48</v>
      </c>
      <c r="E95" t="s">
        <v>3</v>
      </c>
      <c r="F95" t="str">
        <f t="shared" si="9"/>
        <v>クリーチャー</v>
      </c>
      <c r="G95" t="s">
        <v>3</v>
      </c>
      <c r="H95">
        <f t="shared" si="10"/>
        <v>6</v>
      </c>
      <c r="I95" t="s">
        <v>3</v>
      </c>
      <c r="J95">
        <f t="shared" si="11"/>
        <v>9</v>
      </c>
      <c r="K95" t="s">
        <v>3</v>
      </c>
      <c r="L95">
        <f t="shared" si="12"/>
        <v>3</v>
      </c>
      <c r="M95" t="s">
        <v>3</v>
      </c>
    </row>
    <row r="96" spans="1:19" x14ac:dyDescent="0.15">
      <c r="A96" t="str">
        <f>B96&amp;C96&amp;D96&amp;G96&amp;H96&amp;I96&amp;J96&amp;K96&amp;L96&amp;M96&amp;N96&amp;O96&amp;P96&amp;Q96&amp;R96</f>
        <v>|Lv54|6|9|4|</v>
      </c>
      <c r="B96" t="s">
        <v>3</v>
      </c>
      <c r="C96" t="s">
        <v>8</v>
      </c>
      <c r="D96">
        <v>54</v>
      </c>
      <c r="E96" t="s">
        <v>3</v>
      </c>
      <c r="F96" t="str">
        <f t="shared" si="9"/>
        <v>サポート</v>
      </c>
      <c r="G96" t="s">
        <v>3</v>
      </c>
      <c r="H96">
        <f t="shared" si="10"/>
        <v>6</v>
      </c>
      <c r="I96" t="s">
        <v>3</v>
      </c>
      <c r="J96">
        <f t="shared" si="11"/>
        <v>9</v>
      </c>
      <c r="K96" t="s">
        <v>3</v>
      </c>
      <c r="L96">
        <f t="shared" si="12"/>
        <v>4</v>
      </c>
      <c r="M96" t="s">
        <v>3</v>
      </c>
    </row>
    <row r="97" spans="1:18" x14ac:dyDescent="0.15">
      <c r="A97" t="str">
        <f t="shared" ref="A97:A160" si="13">B97&amp;C97&amp;D97&amp;E97&amp;F97&amp;G97&amp;H97&amp;I97&amp;J97&amp;K97&amp;L97&amp;M97&amp;N97&amp;O97&amp;P97</f>
        <v>&amp;br;</v>
      </c>
      <c r="B97" t="s">
        <v>0</v>
      </c>
    </row>
    <row r="98" spans="1:18" x14ac:dyDescent="0.15">
      <c r="A98" t="str">
        <f t="shared" si="13"/>
        <v>&amp;br;</v>
      </c>
      <c r="B98" t="s">
        <v>0</v>
      </c>
    </row>
    <row r="99" spans="1:18" x14ac:dyDescent="0.15">
      <c r="A99" t="str">
        <f t="shared" si="13"/>
        <v>*PW能力一覧 [#a469e89f]</v>
      </c>
      <c r="B99" t="s">
        <v>23</v>
      </c>
    </row>
    <row r="100" spans="1:18" x14ac:dyDescent="0.15">
      <c r="A100" t="str">
        <f t="shared" si="13"/>
        <v>**第1能力：戦場荒らし/Fight And Steal</v>
      </c>
      <c r="B100" t="s">
        <v>24</v>
      </c>
      <c r="D100" s="8" t="s">
        <v>867</v>
      </c>
      <c r="E100" t="s">
        <v>25</v>
      </c>
      <c r="F100" t="s">
        <v>866</v>
      </c>
      <c r="R100" t="str">
        <f>D100&amp;E100&amp;F100</f>
        <v>戦場荒らし/Fight And Steal</v>
      </c>
    </row>
    <row r="101" spans="1:18" x14ac:dyDescent="0.15">
      <c r="A101" t="str">
        <f t="shared" si="13"/>
        <v>|LEFT:50|LEFT:50|LEFT:50|LEFT:300|c</v>
      </c>
      <c r="B101" t="s">
        <v>3</v>
      </c>
      <c r="C101" t="s">
        <v>4</v>
      </c>
      <c r="E101" t="s">
        <v>3</v>
      </c>
      <c r="F101" t="s">
        <v>4</v>
      </c>
      <c r="G101" t="s">
        <v>3</v>
      </c>
      <c r="H101" t="s">
        <v>4</v>
      </c>
      <c r="I101" t="s">
        <v>3</v>
      </c>
      <c r="J101" t="s">
        <v>26</v>
      </c>
      <c r="K101" t="s">
        <v>3</v>
      </c>
      <c r="L101" t="s">
        <v>5</v>
      </c>
    </row>
    <row r="102" spans="1:18" x14ac:dyDescent="0.15">
      <c r="A102" t="str">
        <f t="shared" si="13"/>
        <v>|解放Lv|レベル|コスト|効果|</v>
      </c>
      <c r="B102" t="s">
        <v>3</v>
      </c>
      <c r="C102" t="s">
        <v>27</v>
      </c>
      <c r="E102" t="s">
        <v>3</v>
      </c>
      <c r="F102" t="s">
        <v>6</v>
      </c>
      <c r="G102" t="s">
        <v>3</v>
      </c>
      <c r="H102" t="s">
        <v>28</v>
      </c>
      <c r="I102" t="s">
        <v>3</v>
      </c>
      <c r="J102" t="s">
        <v>29</v>
      </c>
      <c r="K102" t="s">
        <v>3</v>
      </c>
    </row>
    <row r="103" spans="1:18" x14ac:dyDescent="0.15">
      <c r="A103" t="str">
        <f t="shared" si="13"/>
        <v>|Lv6|Lv1|6|「ターン終了時に、このターンにあなたがコントロールするクリーチャーが戦闘ダメージを与えた場合、カードを1枚捨てて2枚引く。」を持つサポートを生成する。|</v>
      </c>
      <c r="B103" t="s">
        <v>3</v>
      </c>
      <c r="C103" t="s">
        <v>8</v>
      </c>
      <c r="D103">
        <v>6</v>
      </c>
      <c r="E103" t="s">
        <v>3</v>
      </c>
      <c r="F103" t="s">
        <v>30</v>
      </c>
      <c r="G103" t="s">
        <v>3</v>
      </c>
      <c r="H103">
        <v>6</v>
      </c>
      <c r="I103" t="s">
        <v>3</v>
      </c>
      <c r="J103" s="8" t="s">
        <v>868</v>
      </c>
      <c r="K103" t="s">
        <v>3</v>
      </c>
    </row>
    <row r="104" spans="1:18" x14ac:dyDescent="0.15">
      <c r="A104" t="str">
        <f t="shared" si="13"/>
        <v>|Lv20|Lv2|6|「ターン終了時に、このターンにあなたがコントロールするクリーチャーが戦闘ダメージを与えた場合、カードを1枚捨てて3枚引く。」を持つサポートを生成する。|</v>
      </c>
      <c r="B104" t="s">
        <v>3</v>
      </c>
      <c r="C104" t="s">
        <v>8</v>
      </c>
      <c r="D104">
        <v>20</v>
      </c>
      <c r="E104" t="s">
        <v>3</v>
      </c>
      <c r="F104" t="s">
        <v>31</v>
      </c>
      <c r="G104" t="s">
        <v>3</v>
      </c>
      <c r="H104">
        <f>H103</f>
        <v>6</v>
      </c>
      <c r="I104" t="s">
        <v>3</v>
      </c>
      <c r="J104" s="8" t="s">
        <v>872</v>
      </c>
      <c r="K104" t="s">
        <v>3</v>
      </c>
    </row>
    <row r="105" spans="1:18" x14ac:dyDescent="0.15">
      <c r="A105" t="str">
        <f t="shared" si="13"/>
        <v>|Lv36|Lv3|6|クリーチャーを1体対象とし、それはターン終了時までブロックされないを得る。その後「ターン終了時に、このターンにあなたがコントロールするクリーチャーが戦闘ダメージを与えた場合、カードを1枚捨てて3枚引く。」を持つサポートを生成する。|</v>
      </c>
      <c r="B105" t="s">
        <v>3</v>
      </c>
      <c r="C105" t="s">
        <v>8</v>
      </c>
      <c r="D105">
        <v>36</v>
      </c>
      <c r="E105" t="s">
        <v>3</v>
      </c>
      <c r="F105" t="s">
        <v>32</v>
      </c>
      <c r="G105" t="s">
        <v>3</v>
      </c>
      <c r="H105">
        <f>H104</f>
        <v>6</v>
      </c>
      <c r="I105" t="s">
        <v>3</v>
      </c>
      <c r="J105" s="8" t="s">
        <v>874</v>
      </c>
      <c r="K105" t="s">
        <v>3</v>
      </c>
    </row>
    <row r="106" spans="1:18" x14ac:dyDescent="0.15">
      <c r="A106" t="str">
        <f t="shared" si="13"/>
        <v>|Lv50|Lv4|6|クリーチャーを1体対象とし、それはブロックされないを得る。その後「ターン終了時に、このターンにあなたがコントロールするクリーチャーが戦闘ダメージを与えた場合、カードを1枚捨てて3枚引く。」を持つサポートを生成する。|</v>
      </c>
      <c r="B106" t="s">
        <v>3</v>
      </c>
      <c r="C106" t="s">
        <v>8</v>
      </c>
      <c r="D106">
        <v>50</v>
      </c>
      <c r="E106" t="s">
        <v>3</v>
      </c>
      <c r="F106" t="s">
        <v>33</v>
      </c>
      <c r="G106" t="s">
        <v>3</v>
      </c>
      <c r="H106">
        <f>H105</f>
        <v>6</v>
      </c>
      <c r="I106" t="s">
        <v>3</v>
      </c>
      <c r="J106" s="8" t="s">
        <v>873</v>
      </c>
      <c r="K106" t="s">
        <v>3</v>
      </c>
    </row>
    <row r="107" spans="1:18" x14ac:dyDescent="0.15">
      <c r="A107" t="str">
        <f t="shared" si="13"/>
        <v>&amp;br;</v>
      </c>
      <c r="B107" t="s">
        <v>0</v>
      </c>
    </row>
    <row r="108" spans="1:18" x14ac:dyDescent="0.15">
      <c r="A108" t="str">
        <f t="shared" si="13"/>
        <v>&amp;br;</v>
      </c>
      <c r="B108" t="s">
        <v>0</v>
      </c>
    </row>
    <row r="109" spans="1:18" x14ac:dyDescent="0.15">
      <c r="A109" t="str">
        <f t="shared" si="13"/>
        <v>**第2能力：幻術師の幻影/Illusionists's Illusion</v>
      </c>
      <c r="B109" t="s">
        <v>34</v>
      </c>
      <c r="D109" s="8" t="s">
        <v>869</v>
      </c>
      <c r="E109" t="s">
        <v>25</v>
      </c>
      <c r="F109" t="s">
        <v>865</v>
      </c>
      <c r="R109" t="str">
        <f>D109&amp;E109&amp;F109</f>
        <v>幻術師の幻影/Illusionists's Illusion</v>
      </c>
    </row>
    <row r="110" spans="1:18" x14ac:dyDescent="0.15">
      <c r="A110" t="str">
        <f t="shared" si="13"/>
        <v>|LEFT:50|LEFT:50|LEFT:50|LEFT:300|c</v>
      </c>
      <c r="B110" t="s">
        <v>3</v>
      </c>
      <c r="C110" t="s">
        <v>4</v>
      </c>
      <c r="E110" t="s">
        <v>3</v>
      </c>
      <c r="F110" t="s">
        <v>4</v>
      </c>
      <c r="G110" t="s">
        <v>3</v>
      </c>
      <c r="H110" t="s">
        <v>4</v>
      </c>
      <c r="I110" t="s">
        <v>3</v>
      </c>
      <c r="J110" t="s">
        <v>26</v>
      </c>
      <c r="K110" t="s">
        <v>3</v>
      </c>
      <c r="L110" t="s">
        <v>5</v>
      </c>
    </row>
    <row r="111" spans="1:18" x14ac:dyDescent="0.15">
      <c r="A111" t="str">
        <f t="shared" si="13"/>
        <v>|解放Lv|レベル|コスト|効果|</v>
      </c>
      <c r="B111" t="s">
        <v>3</v>
      </c>
      <c r="C111" t="s">
        <v>27</v>
      </c>
      <c r="E111" t="s">
        <v>3</v>
      </c>
      <c r="F111" t="s">
        <v>6</v>
      </c>
      <c r="G111" t="s">
        <v>3</v>
      </c>
      <c r="H111" t="s">
        <v>28</v>
      </c>
      <c r="I111" t="s">
        <v>3</v>
      </c>
      <c r="J111" t="s">
        <v>29</v>
      </c>
      <c r="K111" t="s">
        <v>3</v>
      </c>
    </row>
    <row r="112" spans="1:18" x14ac:dyDescent="0.15">
      <c r="A112" t="str">
        <f t="shared" si="13"/>
        <v>|Lv10|Lv1|12|「このクリーチャーが呪文の対象となったとき、これを破壊する。」を持つ2/2の青のイリュージョン・トークンを1体生成する。|</v>
      </c>
      <c r="B112" t="s">
        <v>3</v>
      </c>
      <c r="C112" t="s">
        <v>8</v>
      </c>
      <c r="D112">
        <v>10</v>
      </c>
      <c r="E112" t="s">
        <v>3</v>
      </c>
      <c r="F112" t="s">
        <v>30</v>
      </c>
      <c r="G112" t="s">
        <v>3</v>
      </c>
      <c r="H112">
        <v>12</v>
      </c>
      <c r="I112" t="s">
        <v>3</v>
      </c>
      <c r="J112" s="8" t="s">
        <v>870</v>
      </c>
      <c r="K112" t="s">
        <v>3</v>
      </c>
    </row>
    <row r="113" spans="1:19" x14ac:dyDescent="0.15">
      <c r="A113" t="str">
        <f t="shared" si="13"/>
        <v>|Lv26|Lv2|12|「このクリーチャーが呪文の対象となったとき、これを破壊する。」を持つ2/2の青のイリュージョン・トークンを2体生成する。|</v>
      </c>
      <c r="B113" t="s">
        <v>3</v>
      </c>
      <c r="C113" t="s">
        <v>8</v>
      </c>
      <c r="D113">
        <v>26</v>
      </c>
      <c r="E113" t="s">
        <v>3</v>
      </c>
      <c r="F113" t="s">
        <v>31</v>
      </c>
      <c r="G113" t="s">
        <v>3</v>
      </c>
      <c r="H113">
        <f>H112</f>
        <v>12</v>
      </c>
      <c r="I113" t="s">
        <v>3</v>
      </c>
      <c r="J113" s="8" t="s">
        <v>875</v>
      </c>
      <c r="K113" t="s">
        <v>3</v>
      </c>
    </row>
    <row r="114" spans="1:19" x14ac:dyDescent="0.15">
      <c r="A114" t="str">
        <f t="shared" si="13"/>
        <v>|Lv40|Lv3|12|「このクリーチャーが呪文の対象となったとき、これを破壊する。」を持つ2/2の青のイリュージョン・トークンを2体生成する。その後、「あなたがコントロールする最初のイリュージョン・クリーチャーは呪禁を得る。」を持つサポートを生成する。|</v>
      </c>
      <c r="B114" t="s">
        <v>3</v>
      </c>
      <c r="C114" t="s">
        <v>8</v>
      </c>
      <c r="D114">
        <v>40</v>
      </c>
      <c r="E114" t="s">
        <v>3</v>
      </c>
      <c r="F114" t="s">
        <v>32</v>
      </c>
      <c r="G114" t="s">
        <v>3</v>
      </c>
      <c r="H114">
        <f>H113</f>
        <v>12</v>
      </c>
      <c r="I114" t="s">
        <v>3</v>
      </c>
      <c r="J114" s="8" t="s">
        <v>876</v>
      </c>
      <c r="K114" t="s">
        <v>3</v>
      </c>
    </row>
    <row r="115" spans="1:19" x14ac:dyDescent="0.15">
      <c r="A115" t="str">
        <f t="shared" si="13"/>
        <v>|Lv56|Lv4|12|「このクリーチャーが呪文の対象となったとき、これを破壊する。」を持つ2/2の青のイリュージョン・トークンを4体生成する。その後、「あなたがコントロールするイリュージョン・クリーチャーは呪禁を得る。」を持つサポートを生成する。|</v>
      </c>
      <c r="B115" t="s">
        <v>3</v>
      </c>
      <c r="C115" t="s">
        <v>8</v>
      </c>
      <c r="D115">
        <v>56</v>
      </c>
      <c r="E115" t="s">
        <v>3</v>
      </c>
      <c r="F115" t="s">
        <v>33</v>
      </c>
      <c r="G115" t="s">
        <v>3</v>
      </c>
      <c r="H115">
        <f>H114</f>
        <v>12</v>
      </c>
      <c r="I115" t="s">
        <v>3</v>
      </c>
      <c r="J115" s="8" t="s">
        <v>882</v>
      </c>
      <c r="K115" t="s">
        <v>3</v>
      </c>
    </row>
    <row r="116" spans="1:19" x14ac:dyDescent="0.15">
      <c r="A116" t="str">
        <f t="shared" si="13"/>
        <v>&amp;br;</v>
      </c>
      <c r="B116" t="s">
        <v>0</v>
      </c>
    </row>
    <row r="117" spans="1:19" x14ac:dyDescent="0.15">
      <c r="A117" t="str">
        <f t="shared" si="13"/>
        <v>&amp;br;</v>
      </c>
      <c r="B117" t="s">
        <v>0</v>
      </c>
    </row>
    <row r="118" spans="1:19" x14ac:dyDescent="0.15">
      <c r="A118" t="str">
        <f t="shared" si="13"/>
        <v>**第3能力：こっちだ/I'm Over Here</v>
      </c>
      <c r="B118" t="s">
        <v>35</v>
      </c>
      <c r="D118" s="8" t="s">
        <v>871</v>
      </c>
      <c r="E118" t="s">
        <v>25</v>
      </c>
      <c r="F118" t="s">
        <v>864</v>
      </c>
      <c r="R118" t="str">
        <f>D118&amp;E118&amp;F118</f>
        <v>こっちだ/I'm Over Here</v>
      </c>
    </row>
    <row r="119" spans="1:19" x14ac:dyDescent="0.15">
      <c r="A119" t="str">
        <f t="shared" si="13"/>
        <v>|LEFT:50|LEFT:50|LEFT:50|LEFT:300|c</v>
      </c>
      <c r="B119" t="s">
        <v>3</v>
      </c>
      <c r="C119" t="s">
        <v>4</v>
      </c>
      <c r="E119" t="s">
        <v>3</v>
      </c>
      <c r="F119" t="s">
        <v>4</v>
      </c>
      <c r="G119" t="s">
        <v>3</v>
      </c>
      <c r="H119" t="s">
        <v>4</v>
      </c>
      <c r="I119" t="s">
        <v>3</v>
      </c>
      <c r="J119" t="s">
        <v>26</v>
      </c>
      <c r="K119" t="s">
        <v>3</v>
      </c>
      <c r="L119" t="s">
        <v>5</v>
      </c>
    </row>
    <row r="120" spans="1:19" x14ac:dyDescent="0.15">
      <c r="A120" t="str">
        <f t="shared" si="13"/>
        <v>|解放Lv|レベル|コスト|効果|</v>
      </c>
      <c r="B120" t="s">
        <v>3</v>
      </c>
      <c r="C120" t="s">
        <v>27</v>
      </c>
      <c r="E120" t="s">
        <v>3</v>
      </c>
      <c r="F120" t="s">
        <v>6</v>
      </c>
      <c r="G120" t="s">
        <v>3</v>
      </c>
      <c r="H120" t="s">
        <v>28</v>
      </c>
      <c r="I120" t="s">
        <v>3</v>
      </c>
      <c r="J120" t="s">
        <v>29</v>
      </c>
      <c r="K120" t="s">
        <v>3</v>
      </c>
    </row>
    <row r="121" spans="1:19" x14ac:dyDescent="0.15">
      <c r="A121" t="str">
        <f t="shared" si="13"/>
        <v>|Lv16|Lv1|18|「ジェム2個を起動する：忠誠度が5上がる。」を持つ2/2の青のイリュージョン・ウィザード・トークンを1体生成する。|</v>
      </c>
      <c r="B121" t="s">
        <v>3</v>
      </c>
      <c r="C121" t="s">
        <v>8</v>
      </c>
      <c r="D121">
        <v>16</v>
      </c>
      <c r="E121" t="s">
        <v>3</v>
      </c>
      <c r="F121" t="s">
        <v>30</v>
      </c>
      <c r="G121" t="s">
        <v>3</v>
      </c>
      <c r="H121">
        <v>18</v>
      </c>
      <c r="I121" t="s">
        <v>3</v>
      </c>
      <c r="J121" s="8" t="s">
        <v>883</v>
      </c>
      <c r="K121" t="s">
        <v>3</v>
      </c>
    </row>
    <row r="122" spans="1:19" x14ac:dyDescent="0.15">
      <c r="A122" t="str">
        <f t="shared" si="13"/>
        <v>|Lv30|Lv2|18|「ジェム2個を起動する：忠誠度が6上がる。」を持つ2/2の青のイリュージョン・ウィザード・トークンを1体生成する。|</v>
      </c>
      <c r="B122" t="s">
        <v>3</v>
      </c>
      <c r="C122" t="s">
        <v>8</v>
      </c>
      <c r="D122">
        <v>30</v>
      </c>
      <c r="E122" t="s">
        <v>3</v>
      </c>
      <c r="F122" t="s">
        <v>31</v>
      </c>
      <c r="G122" t="s">
        <v>3</v>
      </c>
      <c r="H122">
        <f>H121</f>
        <v>18</v>
      </c>
      <c r="I122" t="s">
        <v>3</v>
      </c>
      <c r="J122" s="8" t="s">
        <v>884</v>
      </c>
      <c r="K122" t="s">
        <v>3</v>
      </c>
    </row>
    <row r="123" spans="1:19" x14ac:dyDescent="0.15">
      <c r="A123" t="str">
        <f t="shared" si="13"/>
        <v>|Lv46|Lv3|18|「ジェム2個を起動する：忠誠度が6上がる。」を持つ2/2の青のイリュージョン・ウィザード・トークンを3体生成する。|</v>
      </c>
      <c r="B123" t="s">
        <v>3</v>
      </c>
      <c r="C123" t="s">
        <v>8</v>
      </c>
      <c r="D123">
        <v>46</v>
      </c>
      <c r="E123" t="s">
        <v>3</v>
      </c>
      <c r="F123" t="s">
        <v>32</v>
      </c>
      <c r="G123" t="s">
        <v>3</v>
      </c>
      <c r="H123">
        <f>H122</f>
        <v>18</v>
      </c>
      <c r="I123" t="s">
        <v>3</v>
      </c>
      <c r="J123" s="8" t="s">
        <v>885</v>
      </c>
      <c r="K123" t="s">
        <v>3</v>
      </c>
    </row>
    <row r="124" spans="1:19" x14ac:dyDescent="0.15">
      <c r="A124" t="str">
        <f t="shared" si="13"/>
        <v>|Lv60|Lv4|18|「ジェム2個を起動する：忠誠度が8上がる。」を持つ2/2の青のイリュージョン・ウィザード・トークンを4体生成する。|</v>
      </c>
      <c r="B124" t="s">
        <v>3</v>
      </c>
      <c r="C124" t="s">
        <v>8</v>
      </c>
      <c r="D124">
        <v>60</v>
      </c>
      <c r="E124" t="s">
        <v>3</v>
      </c>
      <c r="F124" t="s">
        <v>33</v>
      </c>
      <c r="G124" t="s">
        <v>3</v>
      </c>
      <c r="H124">
        <f>H123</f>
        <v>18</v>
      </c>
      <c r="I124" t="s">
        <v>3</v>
      </c>
      <c r="J124" s="8" t="s">
        <v>886</v>
      </c>
      <c r="K124" t="s">
        <v>3</v>
      </c>
    </row>
    <row r="125" spans="1:19" x14ac:dyDescent="0.15">
      <c r="A125" t="str">
        <f t="shared" si="13"/>
        <v>&amp;br;</v>
      </c>
      <c r="B125" t="s">
        <v>0</v>
      </c>
    </row>
    <row r="126" spans="1:19" x14ac:dyDescent="0.15">
      <c r="A126" t="str">
        <f t="shared" si="13"/>
        <v>&amp;br;</v>
      </c>
      <c r="B126" t="s">
        <v>0</v>
      </c>
    </row>
    <row r="127" spans="1:19" x14ac:dyDescent="0.15">
      <c r="A127" t="str">
        <f t="shared" si="13"/>
        <v>*レベルアップ報酬一覧</v>
      </c>
      <c r="B127" s="8" t="s">
        <v>666</v>
      </c>
      <c r="S127" s="8" t="s">
        <v>720</v>
      </c>
    </row>
    <row r="128" spans="1:19" x14ac:dyDescent="0.15">
      <c r="A128" t="str">
        <f t="shared" si="13"/>
        <v>|LEFT:50|LEFT:100|c</v>
      </c>
      <c r="B128" t="s">
        <v>3</v>
      </c>
      <c r="C128" t="s">
        <v>4</v>
      </c>
      <c r="E128" t="s">
        <v>3</v>
      </c>
      <c r="F128" t="s">
        <v>37</v>
      </c>
      <c r="I128" t="s">
        <v>3</v>
      </c>
      <c r="J128" t="s">
        <v>5</v>
      </c>
      <c r="R128" s="8" t="s">
        <v>654</v>
      </c>
    </row>
    <row r="129" spans="1:19" x14ac:dyDescent="0.15">
      <c r="A129" t="str">
        <f t="shared" si="13"/>
        <v>|レベル|報酬|</v>
      </c>
      <c r="B129" t="s">
        <v>3</v>
      </c>
      <c r="C129" t="s">
        <v>6</v>
      </c>
      <c r="E129" t="s">
        <v>3</v>
      </c>
      <c r="F129" t="s">
        <v>38</v>
      </c>
      <c r="I129" t="s">
        <v>3</v>
      </c>
      <c r="Q129" t="s">
        <v>7</v>
      </c>
      <c r="R129">
        <v>3</v>
      </c>
      <c r="S129">
        <v>2</v>
      </c>
    </row>
    <row r="130" spans="1:19" x14ac:dyDescent="0.15">
      <c r="A130" t="str">
        <f t="shared" si="13"/>
        <v>|Lｖ2|呪文+1|</v>
      </c>
      <c r="B130" t="s">
        <v>3</v>
      </c>
      <c r="C130" t="s">
        <v>39</v>
      </c>
      <c r="D130">
        <v>2</v>
      </c>
      <c r="E130" t="s">
        <v>3</v>
      </c>
      <c r="F130" t="s">
        <v>21</v>
      </c>
      <c r="G130" t="str">
        <f>IF(OR(F130=$Q$138,F130=$Q$139,F130=$Q$140,F130=$Q$141,ISBLANK(F130)),"","+")</f>
        <v>+</v>
      </c>
      <c r="H130">
        <v>1</v>
      </c>
      <c r="I130" t="s">
        <v>3</v>
      </c>
      <c r="Q130" t="s">
        <v>20</v>
      </c>
      <c r="R130">
        <v>1</v>
      </c>
    </row>
    <row r="131" spans="1:19" x14ac:dyDescent="0.15">
      <c r="A131" t="str">
        <f t="shared" si="13"/>
        <v>|Lｖ3|HP+2|</v>
      </c>
      <c r="B131" t="s">
        <v>3</v>
      </c>
      <c r="C131" t="s">
        <v>39</v>
      </c>
      <c r="D131">
        <v>3</v>
      </c>
      <c r="E131" t="s">
        <v>3</v>
      </c>
      <c r="F131" t="s">
        <v>7</v>
      </c>
      <c r="G131" t="str">
        <f t="shared" ref="G131:G188" si="14">IF(OR(F131=$Q$138,F131=$Q$139,F131=$Q$140,F131=$Q$141,ISBLANK(F131)),"","+")</f>
        <v>+</v>
      </c>
      <c r="H131">
        <v>2</v>
      </c>
      <c r="I131" t="s">
        <v>3</v>
      </c>
      <c r="Q131" t="s">
        <v>21</v>
      </c>
      <c r="R131">
        <v>1</v>
      </c>
    </row>
    <row r="132" spans="1:19" x14ac:dyDescent="0.15">
      <c r="A132" t="str">
        <f t="shared" si="13"/>
        <v>|Lｖ4|青+1|</v>
      </c>
      <c r="B132" t="s">
        <v>3</v>
      </c>
      <c r="C132" t="s">
        <v>39</v>
      </c>
      <c r="D132">
        <v>4</v>
      </c>
      <c r="E132" t="s">
        <v>3</v>
      </c>
      <c r="F132" t="s">
        <v>12</v>
      </c>
      <c r="G132" t="str">
        <f t="shared" si="14"/>
        <v>+</v>
      </c>
      <c r="H132">
        <v>1</v>
      </c>
      <c r="I132" t="s">
        <v>3</v>
      </c>
      <c r="Q132" t="s">
        <v>22</v>
      </c>
      <c r="R132">
        <v>1</v>
      </c>
    </row>
    <row r="133" spans="1:19" x14ac:dyDescent="0.15">
      <c r="A133" t="str">
        <f t="shared" si="13"/>
        <v>|Lｖ5|HP+2|</v>
      </c>
      <c r="B133" t="s">
        <v>3</v>
      </c>
      <c r="C133" t="s">
        <v>39</v>
      </c>
      <c r="D133">
        <v>5</v>
      </c>
      <c r="E133" t="s">
        <v>3</v>
      </c>
      <c r="F133" t="s">
        <v>7</v>
      </c>
      <c r="G133" t="str">
        <f t="shared" si="14"/>
        <v>+</v>
      </c>
      <c r="H133">
        <v>2</v>
      </c>
      <c r="I133" t="s">
        <v>3</v>
      </c>
      <c r="Q133" t="s">
        <v>11</v>
      </c>
      <c r="R133">
        <v>1</v>
      </c>
    </row>
    <row r="134" spans="1:19" x14ac:dyDescent="0.15">
      <c r="A134" t="str">
        <f t="shared" si="13"/>
        <v>|Lｖ6|第1能力Lv1|</v>
      </c>
      <c r="B134" t="s">
        <v>3</v>
      </c>
      <c r="C134" t="s">
        <v>39</v>
      </c>
      <c r="D134">
        <v>6</v>
      </c>
      <c r="E134" t="s">
        <v>3</v>
      </c>
      <c r="F134" t="s">
        <v>40</v>
      </c>
      <c r="G134" t="str">
        <f t="shared" si="14"/>
        <v/>
      </c>
      <c r="H134">
        <v>1</v>
      </c>
      <c r="I134" t="s">
        <v>3</v>
      </c>
      <c r="Q134" t="s">
        <v>12</v>
      </c>
      <c r="R134">
        <v>1</v>
      </c>
    </row>
    <row r="135" spans="1:19" x14ac:dyDescent="0.15">
      <c r="A135" t="str">
        <f t="shared" si="13"/>
        <v>|Lｖ7|HP+2|</v>
      </c>
      <c r="B135" t="s">
        <v>3</v>
      </c>
      <c r="C135" t="s">
        <v>39</v>
      </c>
      <c r="D135">
        <v>7</v>
      </c>
      <c r="E135" t="s">
        <v>3</v>
      </c>
      <c r="F135" t="s">
        <v>7</v>
      </c>
      <c r="G135" t="str">
        <f t="shared" si="14"/>
        <v>+</v>
      </c>
      <c r="H135">
        <v>2</v>
      </c>
      <c r="I135" t="s">
        <v>3</v>
      </c>
      <c r="Q135" t="s">
        <v>13</v>
      </c>
      <c r="R135">
        <v>1</v>
      </c>
    </row>
    <row r="136" spans="1:19" x14ac:dyDescent="0.15">
      <c r="A136" t="str">
        <f t="shared" si="13"/>
        <v>|Lｖ8|クリーチャー+1|</v>
      </c>
      <c r="B136" t="s">
        <v>3</v>
      </c>
      <c r="C136" t="s">
        <v>39</v>
      </c>
      <c r="D136">
        <v>8</v>
      </c>
      <c r="E136" t="s">
        <v>3</v>
      </c>
      <c r="F136" t="s">
        <v>20</v>
      </c>
      <c r="G136" t="str">
        <f t="shared" si="14"/>
        <v>+</v>
      </c>
      <c r="H136">
        <v>1</v>
      </c>
      <c r="I136" t="s">
        <v>3</v>
      </c>
      <c r="Q136" t="s">
        <v>14</v>
      </c>
      <c r="R136">
        <v>1</v>
      </c>
    </row>
    <row r="137" spans="1:19" x14ac:dyDescent="0.15">
      <c r="A137" t="str">
        <f t="shared" si="13"/>
        <v>|Lｖ9|HP+2|</v>
      </c>
      <c r="B137" t="s">
        <v>3</v>
      </c>
      <c r="C137" t="s">
        <v>39</v>
      </c>
      <c r="D137">
        <v>9</v>
      </c>
      <c r="E137" t="s">
        <v>3</v>
      </c>
      <c r="F137" t="s">
        <v>7</v>
      </c>
      <c r="G137" t="str">
        <f t="shared" si="14"/>
        <v>+</v>
      </c>
      <c r="H137">
        <v>2</v>
      </c>
      <c r="I137" t="s">
        <v>3</v>
      </c>
      <c r="Q137" t="s">
        <v>15</v>
      </c>
      <c r="R137">
        <v>1</v>
      </c>
    </row>
    <row r="138" spans="1:19" x14ac:dyDescent="0.15">
      <c r="A138" t="str">
        <f t="shared" si="13"/>
        <v>|Lｖ10|第2能力Lv1|</v>
      </c>
      <c r="B138" t="s">
        <v>3</v>
      </c>
      <c r="C138" t="s">
        <v>39</v>
      </c>
      <c r="D138">
        <v>10</v>
      </c>
      <c r="E138" t="s">
        <v>3</v>
      </c>
      <c r="F138" t="s">
        <v>41</v>
      </c>
      <c r="G138" t="s">
        <v>44</v>
      </c>
      <c r="H138">
        <v>1</v>
      </c>
      <c r="I138" t="s">
        <v>3</v>
      </c>
      <c r="Q138" t="s">
        <v>40</v>
      </c>
    </row>
    <row r="139" spans="1:19" x14ac:dyDescent="0.15">
      <c r="A139" t="str">
        <f t="shared" si="13"/>
        <v>|Lｖ11|HP+2|</v>
      </c>
      <c r="B139" t="s">
        <v>3</v>
      </c>
      <c r="C139" t="s">
        <v>39</v>
      </c>
      <c r="D139">
        <v>11</v>
      </c>
      <c r="E139" t="s">
        <v>3</v>
      </c>
      <c r="F139" t="s">
        <v>7</v>
      </c>
      <c r="G139" t="str">
        <f t="shared" si="14"/>
        <v>+</v>
      </c>
      <c r="H139">
        <v>2</v>
      </c>
      <c r="I139" t="s">
        <v>3</v>
      </c>
      <c r="Q139" t="s">
        <v>41</v>
      </c>
    </row>
    <row r="140" spans="1:19" x14ac:dyDescent="0.15">
      <c r="A140" t="str">
        <f t="shared" si="13"/>
        <v>|Lｖ12|赤+1|</v>
      </c>
      <c r="B140" t="s">
        <v>3</v>
      </c>
      <c r="C140" t="s">
        <v>39</v>
      </c>
      <c r="D140">
        <v>12</v>
      </c>
      <c r="E140" t="s">
        <v>3</v>
      </c>
      <c r="F140" t="s">
        <v>14</v>
      </c>
      <c r="G140" t="str">
        <f t="shared" si="14"/>
        <v>+</v>
      </c>
      <c r="H140">
        <v>1</v>
      </c>
      <c r="I140" t="s">
        <v>3</v>
      </c>
      <c r="Q140" t="s">
        <v>42</v>
      </c>
    </row>
    <row r="141" spans="1:19" x14ac:dyDescent="0.15">
      <c r="A141" t="str">
        <f t="shared" si="13"/>
        <v>|Lｖ13|HP+2|</v>
      </c>
      <c r="B141" t="s">
        <v>3</v>
      </c>
      <c r="C141" t="s">
        <v>39</v>
      </c>
      <c r="D141">
        <v>13</v>
      </c>
      <c r="E141" t="s">
        <v>3</v>
      </c>
      <c r="F141" t="s">
        <v>7</v>
      </c>
      <c r="G141" t="str">
        <f t="shared" si="14"/>
        <v>+</v>
      </c>
      <c r="H141">
        <v>2</v>
      </c>
      <c r="I141" t="s">
        <v>3</v>
      </c>
      <c r="Q141" t="s">
        <v>43</v>
      </c>
      <c r="R141" s="8" t="s">
        <v>665</v>
      </c>
    </row>
    <row r="142" spans="1:19" x14ac:dyDescent="0.15">
      <c r="A142" t="str">
        <f t="shared" si="13"/>
        <v>|Lｖ14|サポート+1|</v>
      </c>
      <c r="B142" t="s">
        <v>3</v>
      </c>
      <c r="C142" t="s">
        <v>39</v>
      </c>
      <c r="D142">
        <v>14</v>
      </c>
      <c r="E142" t="s">
        <v>3</v>
      </c>
      <c r="F142" t="s">
        <v>22</v>
      </c>
      <c r="G142" t="str">
        <f t="shared" si="14"/>
        <v>+</v>
      </c>
      <c r="H142">
        <v>1</v>
      </c>
      <c r="I142" t="s">
        <v>3</v>
      </c>
    </row>
    <row r="143" spans="1:19" x14ac:dyDescent="0.15">
      <c r="A143" t="str">
        <f t="shared" si="13"/>
        <v>|Lｖ15|HP+3|</v>
      </c>
      <c r="B143" t="s">
        <v>3</v>
      </c>
      <c r="C143" t="s">
        <v>39</v>
      </c>
      <c r="D143">
        <v>15</v>
      </c>
      <c r="E143" t="s">
        <v>3</v>
      </c>
      <c r="F143" t="s">
        <v>7</v>
      </c>
      <c r="G143" t="str">
        <f t="shared" si="14"/>
        <v>+</v>
      </c>
      <c r="H143">
        <v>3</v>
      </c>
      <c r="I143" t="s">
        <v>3</v>
      </c>
    </row>
    <row r="144" spans="1:19" x14ac:dyDescent="0.15">
      <c r="A144" t="str">
        <f t="shared" si="13"/>
        <v>|Lｖ16|第3能力Lv1|</v>
      </c>
      <c r="B144" t="s">
        <v>3</v>
      </c>
      <c r="C144" t="s">
        <v>39</v>
      </c>
      <c r="D144">
        <v>16</v>
      </c>
      <c r="E144" t="s">
        <v>3</v>
      </c>
      <c r="F144" t="s">
        <v>42</v>
      </c>
      <c r="G144" t="s">
        <v>44</v>
      </c>
      <c r="H144">
        <v>1</v>
      </c>
      <c r="I144" t="s">
        <v>3</v>
      </c>
    </row>
    <row r="145" spans="1:9" x14ac:dyDescent="0.15">
      <c r="A145" t="str">
        <f t="shared" si="13"/>
        <v>|Lｖ17|回復速度上昇 |</v>
      </c>
      <c r="B145" t="s">
        <v>3</v>
      </c>
      <c r="C145" t="s">
        <v>39</v>
      </c>
      <c r="D145">
        <v>17</v>
      </c>
      <c r="E145" t="s">
        <v>3</v>
      </c>
      <c r="F145" t="s">
        <v>43</v>
      </c>
      <c r="G145" t="str">
        <f t="shared" si="14"/>
        <v/>
      </c>
      <c r="H145" t="str">
        <f t="shared" ref="H145:H187" si="15">IF(F145="HP",IF($S$128="交互",IF(ISODD((D145-1)/2),$R$129,$S$129),$R$129),IF(F145="","",VLOOKUP(F145,$Q$129:$R$142,2,FALSE)))</f>
        <v xml:space="preserve"> </v>
      </c>
      <c r="I145" t="s">
        <v>3</v>
      </c>
    </row>
    <row r="146" spans="1:9" x14ac:dyDescent="0.15">
      <c r="A146" t="str">
        <f t="shared" si="13"/>
        <v>|Lｖ18|黒+1|</v>
      </c>
      <c r="B146" t="s">
        <v>3</v>
      </c>
      <c r="C146" t="s">
        <v>39</v>
      </c>
      <c r="D146">
        <v>18</v>
      </c>
      <c r="E146" t="s">
        <v>3</v>
      </c>
      <c r="F146" t="s">
        <v>13</v>
      </c>
      <c r="G146" t="str">
        <f t="shared" si="14"/>
        <v>+</v>
      </c>
      <c r="H146">
        <v>1</v>
      </c>
      <c r="I146" t="s">
        <v>3</v>
      </c>
    </row>
    <row r="147" spans="1:9" x14ac:dyDescent="0.15">
      <c r="A147" t="str">
        <f t="shared" si="13"/>
        <v>|Lｖ19|HP+3|</v>
      </c>
      <c r="B147" t="s">
        <v>3</v>
      </c>
      <c r="C147" t="s">
        <v>39</v>
      </c>
      <c r="D147">
        <v>19</v>
      </c>
      <c r="E147" t="s">
        <v>3</v>
      </c>
      <c r="F147" t="s">
        <v>7</v>
      </c>
      <c r="G147" t="str">
        <f t="shared" si="14"/>
        <v>+</v>
      </c>
      <c r="H147">
        <f t="shared" si="15"/>
        <v>3</v>
      </c>
      <c r="I147" t="s">
        <v>3</v>
      </c>
    </row>
    <row r="148" spans="1:9" x14ac:dyDescent="0.15">
      <c r="A148" t="str">
        <f t="shared" si="13"/>
        <v>|Lｖ20|第1能力Lv2|</v>
      </c>
      <c r="B148" t="s">
        <v>3</v>
      </c>
      <c r="C148" t="s">
        <v>39</v>
      </c>
      <c r="D148">
        <v>20</v>
      </c>
      <c r="E148" t="s">
        <v>3</v>
      </c>
      <c r="F148" t="s">
        <v>40</v>
      </c>
      <c r="G148" t="s">
        <v>44</v>
      </c>
      <c r="H148">
        <v>2</v>
      </c>
      <c r="I148" t="s">
        <v>3</v>
      </c>
    </row>
    <row r="149" spans="1:9" x14ac:dyDescent="0.15">
      <c r="A149" t="str">
        <f t="shared" si="13"/>
        <v>|Lｖ21|HP+2|</v>
      </c>
      <c r="B149" t="s">
        <v>3</v>
      </c>
      <c r="C149" t="s">
        <v>39</v>
      </c>
      <c r="D149">
        <v>21</v>
      </c>
      <c r="E149" t="s">
        <v>3</v>
      </c>
      <c r="F149" t="s">
        <v>7</v>
      </c>
      <c r="G149" t="str">
        <f t="shared" si="14"/>
        <v>+</v>
      </c>
      <c r="H149">
        <v>2</v>
      </c>
      <c r="I149" t="s">
        <v>3</v>
      </c>
    </row>
    <row r="150" spans="1:9" x14ac:dyDescent="0.15">
      <c r="A150" t="str">
        <f t="shared" si="13"/>
        <v>|Lｖ22|呪文+1|</v>
      </c>
      <c r="B150" t="s">
        <v>3</v>
      </c>
      <c r="C150" t="s">
        <v>39</v>
      </c>
      <c r="D150">
        <v>22</v>
      </c>
      <c r="E150" t="s">
        <v>3</v>
      </c>
      <c r="F150" t="s">
        <v>21</v>
      </c>
      <c r="G150" t="str">
        <f t="shared" si="14"/>
        <v>+</v>
      </c>
      <c r="H150">
        <f t="shared" si="15"/>
        <v>1</v>
      </c>
      <c r="I150" t="s">
        <v>3</v>
      </c>
    </row>
    <row r="151" spans="1:9" x14ac:dyDescent="0.15">
      <c r="A151" t="str">
        <f t="shared" si="13"/>
        <v>|Lｖ23|HP+3|</v>
      </c>
      <c r="B151" t="s">
        <v>3</v>
      </c>
      <c r="C151" t="s">
        <v>39</v>
      </c>
      <c r="D151">
        <v>23</v>
      </c>
      <c r="E151" t="s">
        <v>3</v>
      </c>
      <c r="F151" t="s">
        <v>7</v>
      </c>
      <c r="G151" t="str">
        <f t="shared" si="14"/>
        <v>+</v>
      </c>
      <c r="H151">
        <f t="shared" si="15"/>
        <v>3</v>
      </c>
      <c r="I151" t="s">
        <v>3</v>
      </c>
    </row>
    <row r="152" spans="1:9" x14ac:dyDescent="0.15">
      <c r="A152" t="str">
        <f t="shared" si="13"/>
        <v>|Lｖ24|白+1|</v>
      </c>
      <c r="B152" t="s">
        <v>3</v>
      </c>
      <c r="C152" t="s">
        <v>39</v>
      </c>
      <c r="D152">
        <v>24</v>
      </c>
      <c r="E152" t="s">
        <v>3</v>
      </c>
      <c r="F152" t="s">
        <v>11</v>
      </c>
      <c r="G152" t="str">
        <f t="shared" si="14"/>
        <v>+</v>
      </c>
      <c r="H152">
        <v>1</v>
      </c>
      <c r="I152" t="s">
        <v>3</v>
      </c>
    </row>
    <row r="153" spans="1:9" x14ac:dyDescent="0.15">
      <c r="A153" t="str">
        <f t="shared" si="13"/>
        <v>|Lｖ25|HP+3|</v>
      </c>
      <c r="B153" t="s">
        <v>3</v>
      </c>
      <c r="C153" t="s">
        <v>39</v>
      </c>
      <c r="D153">
        <v>25</v>
      </c>
      <c r="E153" t="s">
        <v>3</v>
      </c>
      <c r="F153" t="s">
        <v>7</v>
      </c>
      <c r="G153" t="str">
        <f t="shared" si="14"/>
        <v>+</v>
      </c>
      <c r="H153">
        <f t="shared" si="15"/>
        <v>3</v>
      </c>
      <c r="I153" t="s">
        <v>3</v>
      </c>
    </row>
    <row r="154" spans="1:9" x14ac:dyDescent="0.15">
      <c r="A154" t="str">
        <f t="shared" si="13"/>
        <v>|Lｖ26|第2能力Lv2|</v>
      </c>
      <c r="B154" t="s">
        <v>3</v>
      </c>
      <c r="C154" t="s">
        <v>39</v>
      </c>
      <c r="D154">
        <v>26</v>
      </c>
      <c r="E154" t="s">
        <v>3</v>
      </c>
      <c r="F154" t="s">
        <v>41</v>
      </c>
      <c r="G154" t="s">
        <v>44</v>
      </c>
      <c r="H154">
        <v>2</v>
      </c>
      <c r="I154" t="s">
        <v>3</v>
      </c>
    </row>
    <row r="155" spans="1:9" x14ac:dyDescent="0.15">
      <c r="A155" t="str">
        <f t="shared" si="13"/>
        <v>|Lｖ27|HP+3|</v>
      </c>
      <c r="B155" t="s">
        <v>3</v>
      </c>
      <c r="C155" t="s">
        <v>39</v>
      </c>
      <c r="D155">
        <v>27</v>
      </c>
      <c r="E155" t="s">
        <v>3</v>
      </c>
      <c r="F155" t="s">
        <v>7</v>
      </c>
      <c r="G155" t="str">
        <f t="shared" si="14"/>
        <v>+</v>
      </c>
      <c r="H155">
        <f t="shared" si="15"/>
        <v>3</v>
      </c>
      <c r="I155" t="s">
        <v>3</v>
      </c>
    </row>
    <row r="156" spans="1:9" x14ac:dyDescent="0.15">
      <c r="A156" t="str">
        <f t="shared" si="13"/>
        <v>|Lｖ28|クリーチャー+1|</v>
      </c>
      <c r="B156" t="s">
        <v>3</v>
      </c>
      <c r="C156" t="s">
        <v>39</v>
      </c>
      <c r="D156">
        <v>28</v>
      </c>
      <c r="E156" t="s">
        <v>3</v>
      </c>
      <c r="F156" t="s">
        <v>20</v>
      </c>
      <c r="G156" t="str">
        <f t="shared" si="14"/>
        <v>+</v>
      </c>
      <c r="H156">
        <f t="shared" si="15"/>
        <v>1</v>
      </c>
      <c r="I156" t="s">
        <v>3</v>
      </c>
    </row>
    <row r="157" spans="1:9" x14ac:dyDescent="0.15">
      <c r="A157" t="str">
        <f t="shared" si="13"/>
        <v>|Lｖ29|HP+2|</v>
      </c>
      <c r="B157" t="s">
        <v>3</v>
      </c>
      <c r="C157" t="s">
        <v>39</v>
      </c>
      <c r="D157">
        <v>29</v>
      </c>
      <c r="E157" t="s">
        <v>3</v>
      </c>
      <c r="F157" t="s">
        <v>7</v>
      </c>
      <c r="G157" t="str">
        <f t="shared" si="14"/>
        <v>+</v>
      </c>
      <c r="H157">
        <v>2</v>
      </c>
      <c r="I157" t="s">
        <v>3</v>
      </c>
    </row>
    <row r="158" spans="1:9" x14ac:dyDescent="0.15">
      <c r="A158" t="str">
        <f t="shared" si="13"/>
        <v>|Lｖ30|第3能力Lv2|</v>
      </c>
      <c r="B158" t="s">
        <v>3</v>
      </c>
      <c r="C158" t="s">
        <v>39</v>
      </c>
      <c r="D158">
        <v>30</v>
      </c>
      <c r="E158" t="s">
        <v>3</v>
      </c>
      <c r="F158" t="s">
        <v>42</v>
      </c>
      <c r="G158" t="s">
        <v>44</v>
      </c>
      <c r="H158">
        <v>2</v>
      </c>
      <c r="I158" t="s">
        <v>3</v>
      </c>
    </row>
    <row r="159" spans="1:9" x14ac:dyDescent="0.15">
      <c r="A159" t="str">
        <f t="shared" si="13"/>
        <v>|Lｖ31|HP+3|</v>
      </c>
      <c r="B159" t="s">
        <v>3</v>
      </c>
      <c r="C159" t="s">
        <v>39</v>
      </c>
      <c r="D159">
        <v>31</v>
      </c>
      <c r="E159" t="s">
        <v>3</v>
      </c>
      <c r="F159" t="s">
        <v>7</v>
      </c>
      <c r="G159" t="str">
        <f t="shared" si="14"/>
        <v>+</v>
      </c>
      <c r="H159">
        <f t="shared" si="15"/>
        <v>3</v>
      </c>
      <c r="I159" t="s">
        <v>3</v>
      </c>
    </row>
    <row r="160" spans="1:9" x14ac:dyDescent="0.15">
      <c r="A160" t="str">
        <f t="shared" si="13"/>
        <v>|Lｖ32|青+1|</v>
      </c>
      <c r="B160" t="s">
        <v>3</v>
      </c>
      <c r="C160" t="s">
        <v>39</v>
      </c>
      <c r="D160">
        <v>32</v>
      </c>
      <c r="E160" t="s">
        <v>3</v>
      </c>
      <c r="F160" t="s">
        <v>12</v>
      </c>
      <c r="G160" t="str">
        <f t="shared" si="14"/>
        <v>+</v>
      </c>
      <c r="H160">
        <f t="shared" si="15"/>
        <v>1</v>
      </c>
      <c r="I160" t="s">
        <v>3</v>
      </c>
    </row>
    <row r="161" spans="1:9" x14ac:dyDescent="0.15">
      <c r="A161" t="str">
        <f t="shared" ref="A161:A195" si="16">B161&amp;C161&amp;D161&amp;E161&amp;F161&amp;G161&amp;H161&amp;I161&amp;J161&amp;K161&amp;L161&amp;M161&amp;N161&amp;O161&amp;P161</f>
        <v>|Lｖ33|HP+3|</v>
      </c>
      <c r="B161" t="s">
        <v>3</v>
      </c>
      <c r="C161" t="s">
        <v>39</v>
      </c>
      <c r="D161">
        <v>33</v>
      </c>
      <c r="E161" t="s">
        <v>3</v>
      </c>
      <c r="F161" t="s">
        <v>7</v>
      </c>
      <c r="G161" t="str">
        <f t="shared" si="14"/>
        <v>+</v>
      </c>
      <c r="H161">
        <f t="shared" si="15"/>
        <v>3</v>
      </c>
      <c r="I161" t="s">
        <v>3</v>
      </c>
    </row>
    <row r="162" spans="1:9" x14ac:dyDescent="0.15">
      <c r="A162" t="str">
        <f t="shared" si="16"/>
        <v>|Lｖ34|サポート+1|</v>
      </c>
      <c r="B162" t="s">
        <v>3</v>
      </c>
      <c r="C162" t="s">
        <v>39</v>
      </c>
      <c r="D162">
        <v>34</v>
      </c>
      <c r="E162" t="s">
        <v>3</v>
      </c>
      <c r="F162" t="s">
        <v>22</v>
      </c>
      <c r="G162" t="str">
        <f t="shared" si="14"/>
        <v>+</v>
      </c>
      <c r="H162">
        <f t="shared" si="15"/>
        <v>1</v>
      </c>
      <c r="I162" t="s">
        <v>3</v>
      </c>
    </row>
    <row r="163" spans="1:9" x14ac:dyDescent="0.15">
      <c r="A163" t="str">
        <f t="shared" si="16"/>
        <v>|Lｖ35|回復速度上昇|</v>
      </c>
      <c r="B163" t="s">
        <v>3</v>
      </c>
      <c r="C163" t="s">
        <v>39</v>
      </c>
      <c r="D163">
        <v>35</v>
      </c>
      <c r="E163" t="s">
        <v>3</v>
      </c>
      <c r="F163" t="s">
        <v>43</v>
      </c>
      <c r="G163" t="s">
        <v>44</v>
      </c>
      <c r="I163" t="s">
        <v>3</v>
      </c>
    </row>
    <row r="164" spans="1:9" x14ac:dyDescent="0.15">
      <c r="A164" t="str">
        <f t="shared" si="16"/>
        <v>|Lｖ36|第1能力Lv3|</v>
      </c>
      <c r="B164" t="s">
        <v>3</v>
      </c>
      <c r="C164" t="s">
        <v>39</v>
      </c>
      <c r="D164">
        <v>36</v>
      </c>
      <c r="E164" t="s">
        <v>3</v>
      </c>
      <c r="F164" t="s">
        <v>40</v>
      </c>
      <c r="G164" t="s">
        <v>44</v>
      </c>
      <c r="H164">
        <v>3</v>
      </c>
      <c r="I164" t="s">
        <v>3</v>
      </c>
    </row>
    <row r="165" spans="1:9" x14ac:dyDescent="0.15">
      <c r="A165" t="str">
        <f t="shared" si="16"/>
        <v>|Lｖ37|HP+3|</v>
      </c>
      <c r="B165" t="s">
        <v>3</v>
      </c>
      <c r="C165" t="s">
        <v>39</v>
      </c>
      <c r="D165">
        <v>37</v>
      </c>
      <c r="E165" t="s">
        <v>3</v>
      </c>
      <c r="F165" t="s">
        <v>7</v>
      </c>
      <c r="G165" t="str">
        <f t="shared" si="14"/>
        <v>+</v>
      </c>
      <c r="H165">
        <f t="shared" si="15"/>
        <v>3</v>
      </c>
      <c r="I165" t="s">
        <v>3</v>
      </c>
    </row>
    <row r="166" spans="1:9" x14ac:dyDescent="0.15">
      <c r="A166" t="str">
        <f t="shared" si="16"/>
        <v>|Lｖ38|緑+2|</v>
      </c>
      <c r="B166" t="s">
        <v>3</v>
      </c>
      <c r="C166" t="s">
        <v>39</v>
      </c>
      <c r="D166">
        <v>38</v>
      </c>
      <c r="E166" t="s">
        <v>3</v>
      </c>
      <c r="F166" t="s">
        <v>15</v>
      </c>
      <c r="G166" t="str">
        <f t="shared" si="14"/>
        <v>+</v>
      </c>
      <c r="H166">
        <v>2</v>
      </c>
      <c r="I166" t="s">
        <v>3</v>
      </c>
    </row>
    <row r="167" spans="1:9" x14ac:dyDescent="0.15">
      <c r="A167" t="str">
        <f t="shared" si="16"/>
        <v>|Lｖ39|HP+3|</v>
      </c>
      <c r="B167" t="s">
        <v>3</v>
      </c>
      <c r="C167" t="s">
        <v>39</v>
      </c>
      <c r="D167">
        <v>39</v>
      </c>
      <c r="E167" t="s">
        <v>3</v>
      </c>
      <c r="F167" t="s">
        <v>7</v>
      </c>
      <c r="G167" t="str">
        <f t="shared" si="14"/>
        <v>+</v>
      </c>
      <c r="H167">
        <f t="shared" si="15"/>
        <v>3</v>
      </c>
      <c r="I167" t="s">
        <v>3</v>
      </c>
    </row>
    <row r="168" spans="1:9" x14ac:dyDescent="0.15">
      <c r="A168" t="str">
        <f t="shared" si="16"/>
        <v>|Lｖ40|第2能力Lv3|</v>
      </c>
      <c r="B168" t="s">
        <v>3</v>
      </c>
      <c r="C168" t="s">
        <v>39</v>
      </c>
      <c r="D168">
        <v>40</v>
      </c>
      <c r="E168" t="s">
        <v>3</v>
      </c>
      <c r="F168" t="s">
        <v>41</v>
      </c>
      <c r="G168" t="s">
        <v>44</v>
      </c>
      <c r="H168">
        <v>3</v>
      </c>
      <c r="I168" t="s">
        <v>3</v>
      </c>
    </row>
    <row r="169" spans="1:9" x14ac:dyDescent="0.15">
      <c r="A169" t="str">
        <f t="shared" si="16"/>
        <v>|Lｖ41|HP+3|</v>
      </c>
      <c r="B169" t="s">
        <v>3</v>
      </c>
      <c r="C169" t="s">
        <v>39</v>
      </c>
      <c r="D169">
        <v>41</v>
      </c>
      <c r="E169" t="s">
        <v>3</v>
      </c>
      <c r="F169" t="s">
        <v>7</v>
      </c>
      <c r="G169" t="str">
        <f t="shared" si="14"/>
        <v>+</v>
      </c>
      <c r="H169">
        <f t="shared" si="15"/>
        <v>3</v>
      </c>
      <c r="I169" t="s">
        <v>3</v>
      </c>
    </row>
    <row r="170" spans="1:9" x14ac:dyDescent="0.15">
      <c r="A170" t="str">
        <f t="shared" si="16"/>
        <v>|Lｖ42|呪文+1|</v>
      </c>
      <c r="B170" t="s">
        <v>3</v>
      </c>
      <c r="C170" t="s">
        <v>39</v>
      </c>
      <c r="D170">
        <v>42</v>
      </c>
      <c r="E170" t="s">
        <v>3</v>
      </c>
      <c r="F170" t="s">
        <v>21</v>
      </c>
      <c r="G170" t="str">
        <f t="shared" si="14"/>
        <v>+</v>
      </c>
      <c r="H170">
        <f t="shared" si="15"/>
        <v>1</v>
      </c>
      <c r="I170" t="s">
        <v>3</v>
      </c>
    </row>
    <row r="171" spans="1:9" x14ac:dyDescent="0.15">
      <c r="A171" t="str">
        <f t="shared" si="16"/>
        <v>|Lｖ43|HP+3|</v>
      </c>
      <c r="B171" t="s">
        <v>3</v>
      </c>
      <c r="C171" t="s">
        <v>39</v>
      </c>
      <c r="D171">
        <v>43</v>
      </c>
      <c r="E171" t="s">
        <v>3</v>
      </c>
      <c r="F171" t="s">
        <v>7</v>
      </c>
      <c r="G171" t="str">
        <f t="shared" si="14"/>
        <v>+</v>
      </c>
      <c r="H171">
        <f t="shared" si="15"/>
        <v>3</v>
      </c>
      <c r="I171" t="s">
        <v>3</v>
      </c>
    </row>
    <row r="172" spans="1:9" x14ac:dyDescent="0.15">
      <c r="A172" t="str">
        <f t="shared" si="16"/>
        <v>|Lｖ44|赤+1|</v>
      </c>
      <c r="B172" t="s">
        <v>3</v>
      </c>
      <c r="C172" t="s">
        <v>39</v>
      </c>
      <c r="D172">
        <v>44</v>
      </c>
      <c r="E172" t="s">
        <v>3</v>
      </c>
      <c r="F172" t="s">
        <v>14</v>
      </c>
      <c r="G172" t="str">
        <f t="shared" si="14"/>
        <v>+</v>
      </c>
      <c r="H172">
        <f t="shared" si="15"/>
        <v>1</v>
      </c>
      <c r="I172" t="s">
        <v>3</v>
      </c>
    </row>
    <row r="173" spans="1:9" x14ac:dyDescent="0.15">
      <c r="A173" t="str">
        <f t="shared" si="16"/>
        <v>|Lｖ45|HP+3|</v>
      </c>
      <c r="B173" t="s">
        <v>3</v>
      </c>
      <c r="C173" t="s">
        <v>39</v>
      </c>
      <c r="D173">
        <v>45</v>
      </c>
      <c r="E173" t="s">
        <v>3</v>
      </c>
      <c r="F173" t="s">
        <v>7</v>
      </c>
      <c r="G173" t="str">
        <f t="shared" si="14"/>
        <v>+</v>
      </c>
      <c r="H173">
        <f t="shared" si="15"/>
        <v>3</v>
      </c>
      <c r="I173" t="s">
        <v>3</v>
      </c>
    </row>
    <row r="174" spans="1:9" x14ac:dyDescent="0.15">
      <c r="A174" t="str">
        <f t="shared" si="16"/>
        <v>|Lｖ46|第3能力Lv3|</v>
      </c>
      <c r="B174" t="s">
        <v>3</v>
      </c>
      <c r="C174" t="s">
        <v>39</v>
      </c>
      <c r="D174">
        <v>46</v>
      </c>
      <c r="E174" t="s">
        <v>3</v>
      </c>
      <c r="F174" t="s">
        <v>42</v>
      </c>
      <c r="G174" t="s">
        <v>44</v>
      </c>
      <c r="H174">
        <v>3</v>
      </c>
      <c r="I174" t="s">
        <v>3</v>
      </c>
    </row>
    <row r="175" spans="1:9" x14ac:dyDescent="0.15">
      <c r="A175" t="str">
        <f t="shared" si="16"/>
        <v>|Lｖ47|HP+3|</v>
      </c>
      <c r="B175" t="s">
        <v>3</v>
      </c>
      <c r="C175" t="s">
        <v>39</v>
      </c>
      <c r="D175">
        <v>47</v>
      </c>
      <c r="E175" t="s">
        <v>3</v>
      </c>
      <c r="F175" t="s">
        <v>7</v>
      </c>
      <c r="G175" t="str">
        <f t="shared" si="14"/>
        <v>+</v>
      </c>
      <c r="H175">
        <f t="shared" si="15"/>
        <v>3</v>
      </c>
      <c r="I175" t="s">
        <v>3</v>
      </c>
    </row>
    <row r="176" spans="1:9" x14ac:dyDescent="0.15">
      <c r="A176" t="str">
        <f t="shared" si="16"/>
        <v>|Lｖ48|クリーチャー+1|</v>
      </c>
      <c r="B176" t="s">
        <v>3</v>
      </c>
      <c r="C176" t="s">
        <v>39</v>
      </c>
      <c r="D176">
        <v>48</v>
      </c>
      <c r="E176" t="s">
        <v>3</v>
      </c>
      <c r="F176" t="s">
        <v>20</v>
      </c>
      <c r="G176" t="str">
        <f t="shared" si="14"/>
        <v>+</v>
      </c>
      <c r="H176">
        <f t="shared" si="15"/>
        <v>1</v>
      </c>
      <c r="I176" t="s">
        <v>3</v>
      </c>
    </row>
    <row r="177" spans="1:9" x14ac:dyDescent="0.15">
      <c r="A177" t="str">
        <f t="shared" si="16"/>
        <v>|Lｖ49|HP+3|</v>
      </c>
      <c r="B177" t="s">
        <v>3</v>
      </c>
      <c r="C177" t="s">
        <v>39</v>
      </c>
      <c r="D177">
        <v>49</v>
      </c>
      <c r="E177" t="s">
        <v>3</v>
      </c>
      <c r="F177" t="s">
        <v>7</v>
      </c>
      <c r="G177" t="str">
        <f t="shared" si="14"/>
        <v>+</v>
      </c>
      <c r="H177">
        <f t="shared" si="15"/>
        <v>3</v>
      </c>
      <c r="I177" t="s">
        <v>3</v>
      </c>
    </row>
    <row r="178" spans="1:9" x14ac:dyDescent="0.15">
      <c r="A178" t="str">
        <f t="shared" si="16"/>
        <v>|Lｖ50|第1能力Lv4|</v>
      </c>
      <c r="B178" t="s">
        <v>3</v>
      </c>
      <c r="C178" t="s">
        <v>39</v>
      </c>
      <c r="D178">
        <v>50</v>
      </c>
      <c r="E178" t="s">
        <v>3</v>
      </c>
      <c r="F178" t="s">
        <v>40</v>
      </c>
      <c r="G178" t="s">
        <v>44</v>
      </c>
      <c r="H178">
        <v>4</v>
      </c>
      <c r="I178" t="s">
        <v>3</v>
      </c>
    </row>
    <row r="179" spans="1:9" x14ac:dyDescent="0.15">
      <c r="A179" t="str">
        <f t="shared" si="16"/>
        <v>|Lｖ51|HP+3|</v>
      </c>
      <c r="B179" t="s">
        <v>3</v>
      </c>
      <c r="C179" t="s">
        <v>39</v>
      </c>
      <c r="D179">
        <v>51</v>
      </c>
      <c r="E179" t="s">
        <v>3</v>
      </c>
      <c r="F179" t="s">
        <v>7</v>
      </c>
      <c r="G179" t="str">
        <f t="shared" si="14"/>
        <v>+</v>
      </c>
      <c r="H179">
        <f t="shared" si="15"/>
        <v>3</v>
      </c>
      <c r="I179" t="s">
        <v>3</v>
      </c>
    </row>
    <row r="180" spans="1:9" x14ac:dyDescent="0.15">
      <c r="A180" t="str">
        <f t="shared" si="16"/>
        <v>|Lｖ52|緑+3|</v>
      </c>
      <c r="B180" t="s">
        <v>3</v>
      </c>
      <c r="C180" t="s">
        <v>39</v>
      </c>
      <c r="D180">
        <v>52</v>
      </c>
      <c r="E180" t="s">
        <v>3</v>
      </c>
      <c r="F180" t="s">
        <v>15</v>
      </c>
      <c r="G180" t="str">
        <f t="shared" si="14"/>
        <v>+</v>
      </c>
      <c r="H180">
        <v>3</v>
      </c>
      <c r="I180" t="s">
        <v>3</v>
      </c>
    </row>
    <row r="181" spans="1:9" x14ac:dyDescent="0.15">
      <c r="A181" t="str">
        <f t="shared" si="16"/>
        <v>|Lｖ53|HP+3|</v>
      </c>
      <c r="B181" t="s">
        <v>3</v>
      </c>
      <c r="C181" t="s">
        <v>39</v>
      </c>
      <c r="D181">
        <v>53</v>
      </c>
      <c r="E181" t="s">
        <v>3</v>
      </c>
      <c r="F181" t="s">
        <v>7</v>
      </c>
      <c r="G181" t="str">
        <f t="shared" si="14"/>
        <v>+</v>
      </c>
      <c r="H181">
        <f t="shared" si="15"/>
        <v>3</v>
      </c>
      <c r="I181" t="s">
        <v>3</v>
      </c>
    </row>
    <row r="182" spans="1:9" x14ac:dyDescent="0.15">
      <c r="A182" t="str">
        <f t="shared" si="16"/>
        <v>|Lｖ54|サポート+1|</v>
      </c>
      <c r="B182" t="s">
        <v>3</v>
      </c>
      <c r="C182" t="s">
        <v>39</v>
      </c>
      <c r="D182">
        <v>54</v>
      </c>
      <c r="E182" t="s">
        <v>3</v>
      </c>
      <c r="F182" t="s">
        <v>22</v>
      </c>
      <c r="G182" t="str">
        <f t="shared" si="14"/>
        <v>+</v>
      </c>
      <c r="H182">
        <f t="shared" si="15"/>
        <v>1</v>
      </c>
      <c r="I182" t="s">
        <v>3</v>
      </c>
    </row>
    <row r="183" spans="1:9" x14ac:dyDescent="0.15">
      <c r="A183" t="str">
        <f t="shared" si="16"/>
        <v>|Lｖ55|回復速度上昇 |</v>
      </c>
      <c r="B183" t="s">
        <v>3</v>
      </c>
      <c r="C183" t="s">
        <v>39</v>
      </c>
      <c r="D183">
        <v>55</v>
      </c>
      <c r="E183" t="s">
        <v>3</v>
      </c>
      <c r="F183" t="s">
        <v>43</v>
      </c>
      <c r="G183" t="str">
        <f t="shared" si="14"/>
        <v/>
      </c>
      <c r="H183" t="str">
        <f t="shared" si="15"/>
        <v xml:space="preserve"> </v>
      </c>
      <c r="I183" t="s">
        <v>3</v>
      </c>
    </row>
    <row r="184" spans="1:9" x14ac:dyDescent="0.15">
      <c r="A184" t="str">
        <f t="shared" si="16"/>
        <v>|Lｖ56|第2能力Lv4|</v>
      </c>
      <c r="B184" t="s">
        <v>3</v>
      </c>
      <c r="C184" t="s">
        <v>39</v>
      </c>
      <c r="D184">
        <v>56</v>
      </c>
      <c r="E184" t="s">
        <v>3</v>
      </c>
      <c r="F184" t="s">
        <v>41</v>
      </c>
      <c r="G184" t="str">
        <f t="shared" si="14"/>
        <v/>
      </c>
      <c r="H184">
        <v>4</v>
      </c>
      <c r="I184" t="s">
        <v>3</v>
      </c>
    </row>
    <row r="185" spans="1:9" x14ac:dyDescent="0.15">
      <c r="A185" t="str">
        <f t="shared" si="16"/>
        <v>|Lｖ57|HP+3|</v>
      </c>
      <c r="B185" t="s">
        <v>3</v>
      </c>
      <c r="C185" t="s">
        <v>39</v>
      </c>
      <c r="D185">
        <v>57</v>
      </c>
      <c r="E185" t="s">
        <v>3</v>
      </c>
      <c r="F185" t="s">
        <v>7</v>
      </c>
      <c r="G185" t="str">
        <f t="shared" si="14"/>
        <v>+</v>
      </c>
      <c r="H185">
        <f t="shared" si="15"/>
        <v>3</v>
      </c>
      <c r="I185" t="s">
        <v>3</v>
      </c>
    </row>
    <row r="186" spans="1:9" x14ac:dyDescent="0.15">
      <c r="A186" t="str">
        <f t="shared" si="16"/>
        <v>|Lｖ58|赤+4|</v>
      </c>
      <c r="B186" t="s">
        <v>3</v>
      </c>
      <c r="C186" t="s">
        <v>39</v>
      </c>
      <c r="D186">
        <v>58</v>
      </c>
      <c r="E186" t="s">
        <v>3</v>
      </c>
      <c r="F186" t="s">
        <v>14</v>
      </c>
      <c r="G186" t="str">
        <f t="shared" si="14"/>
        <v>+</v>
      </c>
      <c r="H186">
        <v>4</v>
      </c>
      <c r="I186" t="s">
        <v>3</v>
      </c>
    </row>
    <row r="187" spans="1:9" x14ac:dyDescent="0.15">
      <c r="A187" t="str">
        <f t="shared" si="16"/>
        <v>|Lｖ59|HP+3|</v>
      </c>
      <c r="B187" t="s">
        <v>3</v>
      </c>
      <c r="C187" t="s">
        <v>39</v>
      </c>
      <c r="D187">
        <v>59</v>
      </c>
      <c r="E187" t="s">
        <v>3</v>
      </c>
      <c r="F187" t="s">
        <v>7</v>
      </c>
      <c r="G187" t="str">
        <f t="shared" si="14"/>
        <v>+</v>
      </c>
      <c r="H187">
        <f t="shared" si="15"/>
        <v>3</v>
      </c>
      <c r="I187" t="s">
        <v>3</v>
      </c>
    </row>
    <row r="188" spans="1:9" x14ac:dyDescent="0.15">
      <c r="A188" t="str">
        <f t="shared" si="16"/>
        <v>|Lｖ60|第3能力Lv4|</v>
      </c>
      <c r="B188" t="s">
        <v>3</v>
      </c>
      <c r="C188" t="s">
        <v>39</v>
      </c>
      <c r="D188">
        <v>60</v>
      </c>
      <c r="E188" t="s">
        <v>3</v>
      </c>
      <c r="F188" t="s">
        <v>42</v>
      </c>
      <c r="G188" t="str">
        <f t="shared" si="14"/>
        <v/>
      </c>
      <c r="H188">
        <v>4</v>
      </c>
      <c r="I188" t="s">
        <v>3</v>
      </c>
    </row>
    <row r="189" spans="1:9" x14ac:dyDescent="0.15">
      <c r="A189" t="str">
        <f t="shared" si="16"/>
        <v>必要総経験値：79920ルーン</v>
      </c>
      <c r="B189" t="s">
        <v>45</v>
      </c>
      <c r="C189">
        <v>79920</v>
      </c>
      <c r="F189" t="s">
        <v>46</v>
      </c>
    </row>
    <row r="190" spans="1:9" x14ac:dyDescent="0.15">
      <c r="A190" t="str">
        <f t="shared" si="16"/>
        <v>#endregion</v>
      </c>
      <c r="B190" t="s">
        <v>599</v>
      </c>
    </row>
    <row r="191" spans="1:9" x14ac:dyDescent="0.15">
      <c r="A191" t="str">
        <f t="shared" si="16"/>
        <v>&amp;br;</v>
      </c>
      <c r="B191" t="s">
        <v>0</v>
      </c>
    </row>
    <row r="192" spans="1:9" x14ac:dyDescent="0.15">
      <c r="A192" t="str">
        <f t="shared" si="16"/>
        <v>#back(text=戻る,left)</v>
      </c>
      <c r="B192" t="s">
        <v>47</v>
      </c>
    </row>
    <row r="193" spans="1:6" x14ac:dyDescent="0.15">
      <c r="A193" t="str">
        <f t="shared" si="16"/>
        <v>&amp;br;</v>
      </c>
      <c r="B193" t="s">
        <v>0</v>
      </c>
    </row>
    <row r="194" spans="1:6" x14ac:dyDescent="0.15">
      <c r="A194" t="str">
        <f t="shared" si="16"/>
        <v>#comment(above,nsize=[15],size=[30],num=[10])</v>
      </c>
      <c r="B194" t="s">
        <v>48</v>
      </c>
    </row>
    <row r="195" spans="1:6" x14ac:dyDescent="0.15">
      <c r="A195" t="str">
        <f t="shared" si="16"/>
        <v>[[プレインズウォーカーリスト&gt;プレインズウォーカーリスト]]</v>
      </c>
      <c r="B195" t="s">
        <v>49</v>
      </c>
    </row>
    <row r="202" spans="1:6" x14ac:dyDescent="0.15">
      <c r="B202" s="9" t="s">
        <v>655</v>
      </c>
    </row>
    <row r="203" spans="1:6" x14ac:dyDescent="0.15">
      <c r="B203" s="9" t="s">
        <v>656</v>
      </c>
      <c r="D203" s="8"/>
      <c r="E203" s="8"/>
    </row>
    <row r="204" spans="1:6" x14ac:dyDescent="0.15">
      <c r="B204" s="7">
        <v>26</v>
      </c>
    </row>
    <row r="205" spans="1:6" x14ac:dyDescent="0.15">
      <c r="B205" s="9" t="s">
        <v>657</v>
      </c>
      <c r="C205" s="9" t="s">
        <v>658</v>
      </c>
      <c r="D205" s="9" t="s">
        <v>659</v>
      </c>
    </row>
    <row r="206" spans="1:6" x14ac:dyDescent="0.15">
      <c r="B206" s="7">
        <v>3</v>
      </c>
      <c r="C206" s="7">
        <v>6</v>
      </c>
      <c r="D206" s="7">
        <v>1</v>
      </c>
    </row>
    <row r="207" spans="1:6" x14ac:dyDescent="0.15">
      <c r="B207" s="9" t="s">
        <v>660</v>
      </c>
      <c r="C207" s="9" t="s">
        <v>661</v>
      </c>
      <c r="D207" s="9" t="s">
        <v>662</v>
      </c>
      <c r="E207" s="9" t="s">
        <v>663</v>
      </c>
      <c r="F207" s="9" t="s">
        <v>664</v>
      </c>
    </row>
    <row r="208" spans="1:6" x14ac:dyDescent="0.15">
      <c r="B208" s="7">
        <v>1</v>
      </c>
      <c r="C208" s="7">
        <v>1</v>
      </c>
      <c r="D208" s="7">
        <v>1</v>
      </c>
      <c r="E208" s="7">
        <v>-2</v>
      </c>
      <c r="F208" s="7">
        <v>-2</v>
      </c>
    </row>
  </sheetData>
  <autoFilter ref="C129:I195"/>
  <phoneticPr fontId="4"/>
  <dataValidations count="3">
    <dataValidation type="list" showInputMessage="1" showErrorMessage="1" sqref="S128">
      <formula1>",交互"</formula1>
    </dataValidation>
    <dataValidation type="list" allowBlank="1" showInputMessage="1" showErrorMessage="1" sqref="F130:F188">
      <formula1>$Q$129:$Q$141</formula1>
    </dataValidation>
    <dataValidation type="list" allowBlank="1" showInputMessage="1" showErrorMessage="1" sqref="F189:F190">
      <formula1>$Q$119:$Q$131</formula1>
    </dataValidation>
  </dataValidations>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色フィルター">
                <anchor moveWithCells="1" sizeWithCells="1">
                  <from>
                    <xdr:col>5</xdr:col>
                    <xdr:colOff>209550</xdr:colOff>
                    <xdr:row>124</xdr:row>
                    <xdr:rowOff>152400</xdr:rowOff>
                  </from>
                  <to>
                    <xdr:col>6</xdr:col>
                    <xdr:colOff>85725</xdr:colOff>
                    <xdr:row>126</xdr:row>
                    <xdr:rowOff>66675</xdr:rowOff>
                  </to>
                </anchor>
              </controlPr>
            </control>
          </mc:Choice>
        </mc:AlternateContent>
        <mc:AlternateContent xmlns:mc="http://schemas.openxmlformats.org/markup-compatibility/2006">
          <mc:Choice Requires="x14">
            <control shapeId="77826" r:id="rId5" name="Button 2">
              <controlPr defaultSize="0" print="0" autoFill="0" autoPict="0" macro="[0]!種別フィルター">
                <anchor moveWithCells="1" sizeWithCells="1">
                  <from>
                    <xdr:col>7</xdr:col>
                    <xdr:colOff>104775</xdr:colOff>
                    <xdr:row>124</xdr:row>
                    <xdr:rowOff>161925</xdr:rowOff>
                  </from>
                  <to>
                    <xdr:col>7</xdr:col>
                    <xdr:colOff>666750</xdr:colOff>
                    <xdr:row>126</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154"/>
  <sheetViews>
    <sheetView workbookViewId="0">
      <selection activeCell="D13" sqref="D13"/>
    </sheetView>
  </sheetViews>
  <sheetFormatPr defaultColWidth="9" defaultRowHeight="13.5" x14ac:dyDescent="0.15"/>
  <cols>
    <col min="2" max="2" width="3.5" customWidth="1"/>
    <col min="3" max="3" width="7.875" customWidth="1"/>
    <col min="4" max="4" width="5.5" customWidth="1"/>
    <col min="5" max="5" width="2" customWidth="1"/>
    <col min="7" max="7" width="2" customWidth="1"/>
    <col min="9" max="9" width="2" customWidth="1"/>
    <col min="11" max="11" width="2" customWidth="1"/>
    <col min="13" max="13" width="2" customWidth="1"/>
    <col min="15" max="15" width="2" customWidth="1"/>
    <col min="17" max="17" width="2.75" customWidth="1"/>
  </cols>
  <sheetData>
    <row r="1" spans="1:10" x14ac:dyDescent="0.15">
      <c r="A1" t="str">
        <f>B1&amp;C1&amp;D1&amp;E1&amp;F1&amp;G1&amp;H1&amp;I1&amp;J1&amp;K1&amp;L1&amp;M1&amp;N1&amp;O1&amp;P1</f>
        <v>10マナクリスタルで購入する事で入手できる。</v>
      </c>
      <c r="B1" t="s">
        <v>149</v>
      </c>
    </row>
    <row r="2" spans="1:10" x14ac:dyDescent="0.15">
      <c r="A2" t="str">
        <f>B2&amp;C2&amp;D2&amp;E2&amp;F2&amp;G2&amp;H2&amp;I2&amp;J2&amp;K2&amp;L2&amp;M2&amp;N2&amp;O2&amp;P2</f>
        <v>&amp;br;</v>
      </c>
      <c r="B2" t="s">
        <v>0</v>
      </c>
    </row>
    <row r="3" spans="1:10" x14ac:dyDescent="0.15">
      <c r="A3" t="str">
        <f>B3&amp;C3&amp;D3&amp;E3&amp;F3&amp;G3&amp;H3&amp;I3&amp;J3&amp;K3&amp;L3&amp;M3&amp;N3&amp;O3&amp;P3</f>
        <v>#contents()</v>
      </c>
      <c r="B3" t="s">
        <v>1</v>
      </c>
    </row>
    <row r="4" spans="1:10" x14ac:dyDescent="0.15">
      <c r="A4" t="str">
        <f>B4&amp;C4&amp;D4&amp;E4&amp;F4&amp;G4&amp;H4&amp;I4&amp;J4&amp;K4&amp;L4&amp;M4&amp;N4&amp;O4&amp;P4</f>
        <v>*HP [#f569d8c6]</v>
      </c>
      <c r="B4" t="s">
        <v>2</v>
      </c>
    </row>
    <row r="5" spans="1:10" x14ac:dyDescent="0.15">
      <c r="A5" t="str">
        <f>B5&amp;C5&amp;D5&amp;E5&amp;F5&amp;G5&amp;H5</f>
        <v>|LEFT:50|LEFT:50|c</v>
      </c>
      <c r="B5" t="s">
        <v>3</v>
      </c>
      <c r="C5" t="s">
        <v>4</v>
      </c>
      <c r="E5" t="s">
        <v>3</v>
      </c>
      <c r="F5" t="s">
        <v>4</v>
      </c>
      <c r="G5" t="s">
        <v>3</v>
      </c>
      <c r="H5" t="s">
        <v>5</v>
      </c>
    </row>
    <row r="6" spans="1:10" x14ac:dyDescent="0.15">
      <c r="A6" t="str">
        <f t="shared" ref="A6:A23" si="0">B6&amp;C6&amp;D6&amp;E6&amp;F6&amp;G6&amp;H6</f>
        <v>|レベル|HP|</v>
      </c>
      <c r="B6" t="s">
        <v>3</v>
      </c>
      <c r="C6" t="s">
        <v>6</v>
      </c>
      <c r="E6" t="s">
        <v>3</v>
      </c>
      <c r="F6" t="s">
        <v>7</v>
      </c>
      <c r="G6" t="s">
        <v>3</v>
      </c>
    </row>
    <row r="7" spans="1:10" x14ac:dyDescent="0.15">
      <c r="A7" t="str">
        <f t="shared" si="0"/>
        <v>|Lv1|26|</v>
      </c>
      <c r="B7" t="s">
        <v>3</v>
      </c>
      <c r="C7" t="s">
        <v>8</v>
      </c>
      <c r="D7">
        <v>1</v>
      </c>
      <c r="E7" t="s">
        <v>3</v>
      </c>
      <c r="F7">
        <v>26</v>
      </c>
      <c r="G7" t="s">
        <v>3</v>
      </c>
      <c r="J7" t="s">
        <v>150</v>
      </c>
    </row>
    <row r="8" spans="1:10" x14ac:dyDescent="0.15">
      <c r="A8" t="str">
        <f t="shared" si="0"/>
        <v>|Lv3|30|</v>
      </c>
      <c r="B8" t="s">
        <v>3</v>
      </c>
      <c r="C8" t="s">
        <v>8</v>
      </c>
      <c r="D8">
        <v>3</v>
      </c>
      <c r="E8" t="s">
        <v>3</v>
      </c>
      <c r="F8">
        <f>F7+$J$10</f>
        <v>30</v>
      </c>
      <c r="G8" t="s">
        <v>3</v>
      </c>
      <c r="J8" s="7">
        <v>2</v>
      </c>
    </row>
    <row r="9" spans="1:10" x14ac:dyDescent="0.15">
      <c r="A9" t="str">
        <f t="shared" si="0"/>
        <v>|Lv5|34|</v>
      </c>
      <c r="B9" t="s">
        <v>3</v>
      </c>
      <c r="C9" t="s">
        <v>8</v>
      </c>
      <c r="D9">
        <v>5</v>
      </c>
      <c r="E9" t="s">
        <v>3</v>
      </c>
      <c r="F9">
        <f t="shared" ref="F9:F22" si="1">F8+$J$10</f>
        <v>34</v>
      </c>
      <c r="G9" t="s">
        <v>3</v>
      </c>
      <c r="J9" t="s">
        <v>151</v>
      </c>
    </row>
    <row r="10" spans="1:10" x14ac:dyDescent="0.15">
      <c r="A10" t="str">
        <f t="shared" si="0"/>
        <v>|Lv7|38|</v>
      </c>
      <c r="B10" t="s">
        <v>3</v>
      </c>
      <c r="C10" t="s">
        <v>8</v>
      </c>
      <c r="D10">
        <v>7</v>
      </c>
      <c r="E10" t="s">
        <v>3</v>
      </c>
      <c r="F10">
        <f t="shared" si="1"/>
        <v>38</v>
      </c>
      <c r="G10" t="s">
        <v>3</v>
      </c>
      <c r="J10" s="7">
        <v>4</v>
      </c>
    </row>
    <row r="11" spans="1:10" x14ac:dyDescent="0.15">
      <c r="A11" t="str">
        <f t="shared" si="0"/>
        <v>|Lv11|42|</v>
      </c>
      <c r="B11" t="s">
        <v>3</v>
      </c>
      <c r="C11" t="s">
        <v>8</v>
      </c>
      <c r="D11">
        <v>11</v>
      </c>
      <c r="E11" t="s">
        <v>3</v>
      </c>
      <c r="F11">
        <f t="shared" si="1"/>
        <v>42</v>
      </c>
      <c r="G11" t="s">
        <v>3</v>
      </c>
    </row>
    <row r="12" spans="1:10" x14ac:dyDescent="0.15">
      <c r="A12" t="str">
        <f t="shared" si="0"/>
        <v>|Lv15|46|</v>
      </c>
      <c r="B12" t="s">
        <v>3</v>
      </c>
      <c r="C12" t="s">
        <v>8</v>
      </c>
      <c r="D12">
        <v>15</v>
      </c>
      <c r="E12" t="s">
        <v>3</v>
      </c>
      <c r="F12">
        <f t="shared" si="1"/>
        <v>46</v>
      </c>
      <c r="G12" t="s">
        <v>3</v>
      </c>
    </row>
    <row r="13" spans="1:10" x14ac:dyDescent="0.15">
      <c r="A13" t="str">
        <f t="shared" si="0"/>
        <v>|Lv19|50|</v>
      </c>
      <c r="B13" t="s">
        <v>3</v>
      </c>
      <c r="C13" t="s">
        <v>8</v>
      </c>
      <c r="D13">
        <v>19</v>
      </c>
      <c r="E13" t="s">
        <v>3</v>
      </c>
      <c r="F13">
        <f t="shared" si="1"/>
        <v>50</v>
      </c>
      <c r="G13" t="s">
        <v>3</v>
      </c>
    </row>
    <row r="14" spans="1:10" x14ac:dyDescent="0.15">
      <c r="A14" t="str">
        <f t="shared" si="0"/>
        <v>|Lv23|54|</v>
      </c>
      <c r="B14" t="s">
        <v>3</v>
      </c>
      <c r="C14" t="s">
        <v>8</v>
      </c>
      <c r="D14">
        <v>23</v>
      </c>
      <c r="E14" t="s">
        <v>3</v>
      </c>
      <c r="F14">
        <f t="shared" si="1"/>
        <v>54</v>
      </c>
      <c r="G14" t="s">
        <v>3</v>
      </c>
    </row>
    <row r="15" spans="1:10" x14ac:dyDescent="0.15">
      <c r="A15" t="str">
        <f t="shared" si="0"/>
        <v>|Lv28|58|</v>
      </c>
      <c r="B15" t="s">
        <v>3</v>
      </c>
      <c r="C15" t="s">
        <v>8</v>
      </c>
      <c r="D15">
        <v>28</v>
      </c>
      <c r="E15" t="s">
        <v>3</v>
      </c>
      <c r="F15">
        <f t="shared" si="1"/>
        <v>58</v>
      </c>
      <c r="G15" t="s">
        <v>3</v>
      </c>
    </row>
    <row r="16" spans="1:10" x14ac:dyDescent="0.15">
      <c r="A16" t="str">
        <f t="shared" si="0"/>
        <v>|Lv30|62|</v>
      </c>
      <c r="B16" t="s">
        <v>3</v>
      </c>
      <c r="C16" t="s">
        <v>8</v>
      </c>
      <c r="D16">
        <v>30</v>
      </c>
      <c r="E16" t="s">
        <v>3</v>
      </c>
      <c r="F16">
        <f t="shared" si="1"/>
        <v>62</v>
      </c>
      <c r="G16" t="s">
        <v>3</v>
      </c>
    </row>
    <row r="17" spans="1:19" x14ac:dyDescent="0.15">
      <c r="A17" t="str">
        <f t="shared" si="0"/>
        <v>|Lv32|66|</v>
      </c>
      <c r="B17" t="s">
        <v>3</v>
      </c>
      <c r="C17" t="s">
        <v>8</v>
      </c>
      <c r="D17">
        <v>32</v>
      </c>
      <c r="E17" t="s">
        <v>3</v>
      </c>
      <c r="F17">
        <f t="shared" si="1"/>
        <v>66</v>
      </c>
      <c r="G17" t="s">
        <v>3</v>
      </c>
    </row>
    <row r="18" spans="1:19" x14ac:dyDescent="0.15">
      <c r="A18" t="str">
        <f t="shared" si="0"/>
        <v>|Lv36|70|</v>
      </c>
      <c r="B18" t="s">
        <v>3</v>
      </c>
      <c r="C18" t="s">
        <v>8</v>
      </c>
      <c r="D18">
        <v>36</v>
      </c>
      <c r="E18" t="s">
        <v>3</v>
      </c>
      <c r="F18">
        <f t="shared" si="1"/>
        <v>70</v>
      </c>
      <c r="G18" t="s">
        <v>3</v>
      </c>
    </row>
    <row r="19" spans="1:19" x14ac:dyDescent="0.15">
      <c r="A19" t="str">
        <f t="shared" si="0"/>
        <v>|Lv40|74|</v>
      </c>
      <c r="B19" t="s">
        <v>3</v>
      </c>
      <c r="C19" t="s">
        <v>8</v>
      </c>
      <c r="D19">
        <v>40</v>
      </c>
      <c r="E19" t="s">
        <v>3</v>
      </c>
      <c r="F19">
        <f t="shared" si="1"/>
        <v>74</v>
      </c>
      <c r="G19" t="s">
        <v>3</v>
      </c>
    </row>
    <row r="20" spans="1:19" x14ac:dyDescent="0.15">
      <c r="A20" t="str">
        <f t="shared" si="0"/>
        <v>|Lv42|78|</v>
      </c>
      <c r="B20" t="s">
        <v>3</v>
      </c>
      <c r="C20" t="s">
        <v>8</v>
      </c>
      <c r="D20">
        <v>42</v>
      </c>
      <c r="E20" t="s">
        <v>3</v>
      </c>
      <c r="F20">
        <f t="shared" si="1"/>
        <v>78</v>
      </c>
      <c r="G20" t="s">
        <v>3</v>
      </c>
    </row>
    <row r="21" spans="1:19" x14ac:dyDescent="0.15">
      <c r="A21" t="str">
        <f t="shared" si="0"/>
        <v>|Lv44|82|</v>
      </c>
      <c r="B21" t="s">
        <v>3</v>
      </c>
      <c r="C21" t="s">
        <v>8</v>
      </c>
      <c r="D21">
        <v>44</v>
      </c>
      <c r="E21" t="s">
        <v>3</v>
      </c>
      <c r="F21">
        <f t="shared" si="1"/>
        <v>82</v>
      </c>
      <c r="G21" t="s">
        <v>3</v>
      </c>
    </row>
    <row r="22" spans="1:19" x14ac:dyDescent="0.15">
      <c r="A22" t="str">
        <f t="shared" si="0"/>
        <v>|Lv48|86|</v>
      </c>
      <c r="B22" t="s">
        <v>3</v>
      </c>
      <c r="C22" t="s">
        <v>8</v>
      </c>
      <c r="D22">
        <v>48</v>
      </c>
      <c r="E22" t="s">
        <v>3</v>
      </c>
      <c r="F22">
        <f t="shared" si="1"/>
        <v>86</v>
      </c>
      <c r="G22" t="s">
        <v>3</v>
      </c>
    </row>
    <row r="23" spans="1:19" x14ac:dyDescent="0.15">
      <c r="A23" t="str">
        <f t="shared" si="0"/>
        <v>|Lv52|94|</v>
      </c>
      <c r="B23" t="s">
        <v>3</v>
      </c>
      <c r="C23" t="s">
        <v>8</v>
      </c>
      <c r="D23">
        <v>52</v>
      </c>
      <c r="E23" t="s">
        <v>3</v>
      </c>
      <c r="F23">
        <f>F22+8</f>
        <v>94</v>
      </c>
      <c r="G23" t="s">
        <v>3</v>
      </c>
    </row>
    <row r="24" spans="1:19" x14ac:dyDescent="0.15">
      <c r="A24" t="str">
        <f>B24&amp;C24&amp;D24&amp;E24&amp;F24&amp;G24&amp;H24&amp;I24&amp;J24&amp;K24&amp;L24&amp;M24&amp;N24&amp;O24&amp;P24</f>
        <v>&amp;br;</v>
      </c>
      <c r="B24" t="s">
        <v>0</v>
      </c>
    </row>
    <row r="25" spans="1:19" x14ac:dyDescent="0.15">
      <c r="A25" t="str">
        <f>B25&amp;C25&amp;D25&amp;E25&amp;F25&amp;G25&amp;H25&amp;I25&amp;J25&amp;K25&amp;L25&amp;M25&amp;N25&amp;O25&amp;P25</f>
        <v>&amp;br;</v>
      </c>
      <c r="B25" t="s">
        <v>0</v>
      </c>
    </row>
    <row r="26" spans="1:19" x14ac:dyDescent="0.15">
      <c r="A26" t="str">
        <f>B26&amp;C26&amp;D26&amp;E26&amp;F26&amp;G26&amp;H26&amp;I26&amp;J26&amp;K26&amp;L26&amp;M26&amp;N26&amp;O26&amp;P26</f>
        <v>*マナボーナス [#q1a26f54]</v>
      </c>
      <c r="B26" t="s">
        <v>9</v>
      </c>
    </row>
    <row r="27" spans="1:19" x14ac:dyDescent="0.15">
      <c r="A27" t="str">
        <f t="shared" ref="A27:A35" si="2">B27&amp;C27&amp;D27&amp;G27&amp;H27&amp;I27&amp;J27&amp;K27&amp;L27&amp;M27&amp;N27&amp;O27&amp;P27&amp;Q27&amp;R27</f>
        <v>|LEFT:50|LEFT:50|LEFT:50|LEFT:50|LEFT:50|LEFT:50|c</v>
      </c>
      <c r="B27" t="s">
        <v>3</v>
      </c>
      <c r="C27" t="s">
        <v>4</v>
      </c>
      <c r="E27" t="s">
        <v>3</v>
      </c>
      <c r="G27" t="s">
        <v>3</v>
      </c>
      <c r="H27" t="s">
        <v>4</v>
      </c>
      <c r="I27" t="s">
        <v>3</v>
      </c>
      <c r="J27" t="s">
        <v>4</v>
      </c>
      <c r="K27" t="s">
        <v>3</v>
      </c>
      <c r="L27" t="s">
        <v>4</v>
      </c>
      <c r="M27" t="s">
        <v>3</v>
      </c>
      <c r="N27" t="s">
        <v>4</v>
      </c>
      <c r="O27" t="s">
        <v>3</v>
      </c>
      <c r="P27" t="s">
        <v>4</v>
      </c>
      <c r="Q27" t="s">
        <v>3</v>
      </c>
      <c r="R27" t="s">
        <v>5</v>
      </c>
    </row>
    <row r="28" spans="1:19" x14ac:dyDescent="0.15">
      <c r="A28" t="str">
        <f t="shared" si="2"/>
        <v>|レベル|白|青|黒|赤|緑|</v>
      </c>
      <c r="B28" t="s">
        <v>3</v>
      </c>
      <c r="C28" t="s">
        <v>6</v>
      </c>
      <c r="E28" t="s">
        <v>3</v>
      </c>
      <c r="F28" t="s">
        <v>10</v>
      </c>
      <c r="G28" t="s">
        <v>3</v>
      </c>
      <c r="H28" t="s">
        <v>11</v>
      </c>
      <c r="I28" t="s">
        <v>3</v>
      </c>
      <c r="J28" t="s">
        <v>12</v>
      </c>
      <c r="K28" t="s">
        <v>3</v>
      </c>
      <c r="L28" t="s">
        <v>13</v>
      </c>
      <c r="M28" t="s">
        <v>3</v>
      </c>
      <c r="N28" t="s">
        <v>14</v>
      </c>
      <c r="O28" t="s">
        <v>3</v>
      </c>
      <c r="P28" t="s">
        <v>15</v>
      </c>
      <c r="Q28" t="s">
        <v>3</v>
      </c>
      <c r="S28" t="s">
        <v>11</v>
      </c>
    </row>
    <row r="29" spans="1:19" x14ac:dyDescent="0.15">
      <c r="A29" t="str">
        <f t="shared" si="2"/>
        <v>|Lv1|-1|0|1|0|-1|</v>
      </c>
      <c r="B29" t="s">
        <v>3</v>
      </c>
      <c r="C29" t="s">
        <v>8</v>
      </c>
      <c r="D29">
        <v>1</v>
      </c>
      <c r="E29" t="s">
        <v>3</v>
      </c>
      <c r="G29" t="s">
        <v>3</v>
      </c>
      <c r="H29">
        <v>-1</v>
      </c>
      <c r="I29" t="s">
        <v>3</v>
      </c>
      <c r="J29">
        <v>0</v>
      </c>
      <c r="K29" t="s">
        <v>3</v>
      </c>
      <c r="L29">
        <v>1</v>
      </c>
      <c r="M29" t="s">
        <v>3</v>
      </c>
      <c r="N29">
        <v>0</v>
      </c>
      <c r="O29" t="s">
        <v>3</v>
      </c>
      <c r="P29">
        <v>-1</v>
      </c>
      <c r="Q29" t="s">
        <v>3</v>
      </c>
      <c r="S29" t="s">
        <v>12</v>
      </c>
    </row>
    <row r="30" spans="1:19" x14ac:dyDescent="0.15">
      <c r="A30" t="str">
        <f t="shared" si="2"/>
        <v>|Lv9|-1|0|2|0|-1|</v>
      </c>
      <c r="B30" t="s">
        <v>3</v>
      </c>
      <c r="C30" t="s">
        <v>8</v>
      </c>
      <c r="D30">
        <v>9</v>
      </c>
      <c r="E30" t="s">
        <v>3</v>
      </c>
      <c r="F30" t="str">
        <f t="shared" ref="F30:F35" si="3">IF(ISBLANK(D30),"",INDEX($F$89:$F$148,D30))</f>
        <v>黒</v>
      </c>
      <c r="G30" t="s">
        <v>3</v>
      </c>
      <c r="H30">
        <f>H29+IF(H$28=$F30,1,0)</f>
        <v>-1</v>
      </c>
      <c r="I30" t="str">
        <f t="shared" ref="I30:Q35" si="4">I29</f>
        <v>|</v>
      </c>
      <c r="J30">
        <f>J29+IF(J$28=$F30,1,0)</f>
        <v>0</v>
      </c>
      <c r="K30" t="str">
        <f t="shared" si="4"/>
        <v>|</v>
      </c>
      <c r="L30">
        <f>L29+IF(L$28=$F30,1,0)</f>
        <v>2</v>
      </c>
      <c r="M30" t="str">
        <f t="shared" si="4"/>
        <v>|</v>
      </c>
      <c r="N30">
        <f>N29+IF(N$28=$F30,1,0)</f>
        <v>0</v>
      </c>
      <c r="O30" t="str">
        <f t="shared" si="4"/>
        <v>|</v>
      </c>
      <c r="P30">
        <f>P29+IF(P$28=$F30,1,0)</f>
        <v>-1</v>
      </c>
      <c r="Q30" t="str">
        <f t="shared" si="4"/>
        <v>|</v>
      </c>
      <c r="S30" t="s">
        <v>13</v>
      </c>
    </row>
    <row r="31" spans="1:19" x14ac:dyDescent="0.15">
      <c r="A31" t="str">
        <f t="shared" si="2"/>
        <v>|Lv17|-1|1|2|0|-1|</v>
      </c>
      <c r="B31" t="s">
        <v>3</v>
      </c>
      <c r="C31" t="s">
        <v>8</v>
      </c>
      <c r="D31">
        <v>17</v>
      </c>
      <c r="E31" t="s">
        <v>3</v>
      </c>
      <c r="F31" t="str">
        <f t="shared" si="3"/>
        <v>青</v>
      </c>
      <c r="G31" t="s">
        <v>3</v>
      </c>
      <c r="H31">
        <f t="shared" ref="H31:P35" si="5">H30+IF(H$28=$F31,1,0)</f>
        <v>-1</v>
      </c>
      <c r="I31" t="str">
        <f t="shared" si="4"/>
        <v>|</v>
      </c>
      <c r="J31">
        <f t="shared" si="5"/>
        <v>1</v>
      </c>
      <c r="K31" t="str">
        <f t="shared" si="4"/>
        <v>|</v>
      </c>
      <c r="L31">
        <f t="shared" si="5"/>
        <v>2</v>
      </c>
      <c r="M31" t="str">
        <f t="shared" si="4"/>
        <v>|</v>
      </c>
      <c r="N31">
        <f>N30+IF(N$28=$F31,1,0)</f>
        <v>0</v>
      </c>
      <c r="O31" t="str">
        <f t="shared" si="4"/>
        <v>|</v>
      </c>
      <c r="P31">
        <f t="shared" si="5"/>
        <v>-1</v>
      </c>
      <c r="Q31" t="str">
        <f t="shared" si="4"/>
        <v>|</v>
      </c>
      <c r="S31" t="s">
        <v>14</v>
      </c>
    </row>
    <row r="32" spans="1:19" x14ac:dyDescent="0.15">
      <c r="A32" t="str">
        <f t="shared" si="2"/>
        <v>|Lv24|0|1|2|0|-1|</v>
      </c>
      <c r="B32" t="s">
        <v>3</v>
      </c>
      <c r="C32" t="s">
        <v>8</v>
      </c>
      <c r="D32">
        <v>24</v>
      </c>
      <c r="E32" t="s">
        <v>3</v>
      </c>
      <c r="F32" t="str">
        <f t="shared" si="3"/>
        <v>白</v>
      </c>
      <c r="G32" t="s">
        <v>3</v>
      </c>
      <c r="H32">
        <f t="shared" si="5"/>
        <v>0</v>
      </c>
      <c r="I32" t="str">
        <f t="shared" si="4"/>
        <v>|</v>
      </c>
      <c r="J32">
        <f t="shared" si="5"/>
        <v>1</v>
      </c>
      <c r="K32" t="str">
        <f t="shared" si="4"/>
        <v>|</v>
      </c>
      <c r="L32">
        <f t="shared" si="5"/>
        <v>2</v>
      </c>
      <c r="M32" t="str">
        <f t="shared" si="4"/>
        <v>|</v>
      </c>
      <c r="N32">
        <f t="shared" si="5"/>
        <v>0</v>
      </c>
      <c r="O32" t="str">
        <f t="shared" si="4"/>
        <v>|</v>
      </c>
      <c r="P32">
        <f t="shared" si="5"/>
        <v>-1</v>
      </c>
      <c r="Q32" t="str">
        <f t="shared" si="4"/>
        <v>|</v>
      </c>
      <c r="S32" t="s">
        <v>15</v>
      </c>
    </row>
    <row r="33" spans="1:19" x14ac:dyDescent="0.15">
      <c r="A33" t="str">
        <f t="shared" si="2"/>
        <v>|Lv34|0|1|2|1|-1|</v>
      </c>
      <c r="B33" t="s">
        <v>3</v>
      </c>
      <c r="C33" t="s">
        <v>8</v>
      </c>
      <c r="D33">
        <v>34</v>
      </c>
      <c r="E33" t="s">
        <v>3</v>
      </c>
      <c r="F33" t="str">
        <f t="shared" si="3"/>
        <v>赤</v>
      </c>
      <c r="G33" t="s">
        <v>3</v>
      </c>
      <c r="H33">
        <f t="shared" si="5"/>
        <v>0</v>
      </c>
      <c r="I33" t="str">
        <f t="shared" si="4"/>
        <v>|</v>
      </c>
      <c r="J33">
        <f t="shared" si="5"/>
        <v>1</v>
      </c>
      <c r="K33" t="str">
        <f t="shared" si="4"/>
        <v>|</v>
      </c>
      <c r="L33">
        <f t="shared" si="5"/>
        <v>2</v>
      </c>
      <c r="M33" t="str">
        <f t="shared" si="4"/>
        <v>|</v>
      </c>
      <c r="N33">
        <f t="shared" si="5"/>
        <v>1</v>
      </c>
      <c r="O33" t="str">
        <f t="shared" si="4"/>
        <v>|</v>
      </c>
      <c r="P33">
        <f>P32+IF(P$28=$F33,1,0)</f>
        <v>-1</v>
      </c>
      <c r="Q33" t="str">
        <f t="shared" si="4"/>
        <v>|</v>
      </c>
    </row>
    <row r="34" spans="1:19" x14ac:dyDescent="0.15">
      <c r="A34" t="str">
        <f t="shared" si="2"/>
        <v>|Lv37|0|1|2|1|0|</v>
      </c>
      <c r="B34" t="s">
        <v>3</v>
      </c>
      <c r="C34" t="s">
        <v>8</v>
      </c>
      <c r="D34">
        <v>37</v>
      </c>
      <c r="E34" t="s">
        <v>3</v>
      </c>
      <c r="F34" t="str">
        <f t="shared" si="3"/>
        <v>緑</v>
      </c>
      <c r="G34" t="s">
        <v>3</v>
      </c>
      <c r="H34">
        <f t="shared" si="5"/>
        <v>0</v>
      </c>
      <c r="I34" t="str">
        <f t="shared" si="4"/>
        <v>|</v>
      </c>
      <c r="J34">
        <f t="shared" si="5"/>
        <v>1</v>
      </c>
      <c r="K34" t="str">
        <f t="shared" si="4"/>
        <v>|</v>
      </c>
      <c r="L34">
        <f t="shared" si="5"/>
        <v>2</v>
      </c>
      <c r="M34" t="str">
        <f t="shared" si="4"/>
        <v>|</v>
      </c>
      <c r="N34">
        <f t="shared" si="5"/>
        <v>1</v>
      </c>
      <c r="O34" t="str">
        <f t="shared" si="4"/>
        <v>|</v>
      </c>
      <c r="P34">
        <f t="shared" si="5"/>
        <v>0</v>
      </c>
      <c r="Q34" t="str">
        <f t="shared" si="4"/>
        <v>|</v>
      </c>
    </row>
    <row r="35" spans="1:19" x14ac:dyDescent="0.15">
      <c r="A35" t="str">
        <f t="shared" si="2"/>
        <v>|Lv41|0|1|3|1|0|</v>
      </c>
      <c r="B35" t="s">
        <v>3</v>
      </c>
      <c r="C35" t="s">
        <v>8</v>
      </c>
      <c r="D35">
        <v>41</v>
      </c>
      <c r="E35" t="s">
        <v>3</v>
      </c>
      <c r="F35" t="str">
        <f t="shared" si="3"/>
        <v>黒</v>
      </c>
      <c r="G35" t="s">
        <v>3</v>
      </c>
      <c r="H35">
        <f t="shared" si="5"/>
        <v>0</v>
      </c>
      <c r="I35" t="str">
        <f t="shared" si="4"/>
        <v>|</v>
      </c>
      <c r="J35">
        <f t="shared" si="5"/>
        <v>1</v>
      </c>
      <c r="K35" t="str">
        <f t="shared" si="4"/>
        <v>|</v>
      </c>
      <c r="L35">
        <f t="shared" si="5"/>
        <v>3</v>
      </c>
      <c r="M35" t="str">
        <f t="shared" si="4"/>
        <v>|</v>
      </c>
      <c r="N35">
        <f t="shared" si="5"/>
        <v>1</v>
      </c>
      <c r="O35" t="str">
        <f t="shared" si="4"/>
        <v>|</v>
      </c>
      <c r="P35">
        <f t="shared" si="5"/>
        <v>0</v>
      </c>
      <c r="Q35" t="str">
        <f t="shared" si="4"/>
        <v>|</v>
      </c>
    </row>
    <row r="36" spans="1:19" x14ac:dyDescent="0.15">
      <c r="A36" t="str">
        <f>B36&amp;C36&amp;D36&amp;E36&amp;F36&amp;G36&amp;H36&amp;I36&amp;J36&amp;K36&amp;L36&amp;M36&amp;N36&amp;O36&amp;P36</f>
        <v>&amp;br;</v>
      </c>
      <c r="B36" t="s">
        <v>0</v>
      </c>
    </row>
    <row r="37" spans="1:19" x14ac:dyDescent="0.15">
      <c r="A37" t="str">
        <f>B37&amp;C37&amp;D37&amp;E37&amp;F37&amp;G37&amp;H37&amp;I37&amp;J37&amp;K37&amp;L37&amp;M37&amp;N37&amp;O37&amp;P37</f>
        <v>&amp;br;</v>
      </c>
      <c r="B37" t="s">
        <v>0</v>
      </c>
    </row>
    <row r="38" spans="1:19" x14ac:dyDescent="0.15">
      <c r="A38" t="str">
        <f>B38&amp;C38&amp;D38&amp;E38&amp;F38&amp;G38&amp;H38&amp;I38&amp;J38&amp;K38&amp;L38&amp;M38&amp;N38&amp;O38&amp;P38</f>
        <v>*デッキ構築枚数上限 [#e6f382eb]</v>
      </c>
      <c r="B38" t="s">
        <v>16</v>
      </c>
    </row>
    <row r="39" spans="1:19" x14ac:dyDescent="0.15">
      <c r="A39" t="str">
        <f>B39&amp;C39&amp;D39&amp;E39&amp;F39&amp;G39&amp;H39&amp;I39&amp;J39&amp;K39&amp;L39&amp;M39&amp;N39&amp;O39&amp;P39</f>
        <v>構築枚数上限を越える枚数はデッキに入れられない。</v>
      </c>
      <c r="B39" t="s">
        <v>17</v>
      </c>
    </row>
    <row r="40" spans="1:19" x14ac:dyDescent="0.15">
      <c r="A40" t="str">
        <f t="shared" ref="A40:A47" si="6">B40&amp;C40&amp;D40&amp;G40&amp;H40&amp;I40&amp;J40&amp;K40&amp;L40&amp;M40&amp;N40&amp;O40&amp;P40&amp;Q40&amp;R40</f>
        <v>|LEFT:50|LEFT:80|LEFT:80|LEFT:80|c</v>
      </c>
      <c r="B40" t="s">
        <v>3</v>
      </c>
      <c r="C40" t="s">
        <v>4</v>
      </c>
      <c r="E40" t="s">
        <v>3</v>
      </c>
      <c r="G40" t="s">
        <v>3</v>
      </c>
      <c r="H40" t="s">
        <v>18</v>
      </c>
      <c r="I40" t="s">
        <v>3</v>
      </c>
      <c r="J40" t="s">
        <v>18</v>
      </c>
      <c r="K40" t="s">
        <v>3</v>
      </c>
      <c r="L40" t="s">
        <v>18</v>
      </c>
      <c r="M40" t="s">
        <v>3</v>
      </c>
      <c r="N40" t="s">
        <v>5</v>
      </c>
    </row>
    <row r="41" spans="1:19" x14ac:dyDescent="0.15">
      <c r="A41" t="str">
        <f t="shared" si="6"/>
        <v>|レベル|クリーチャー|呪文|サポート|</v>
      </c>
      <c r="B41" t="s">
        <v>3</v>
      </c>
      <c r="C41" t="s">
        <v>6</v>
      </c>
      <c r="E41" t="s">
        <v>3</v>
      </c>
      <c r="F41" t="s">
        <v>19</v>
      </c>
      <c r="G41" t="s">
        <v>3</v>
      </c>
      <c r="H41" t="s">
        <v>20</v>
      </c>
      <c r="I41" t="s">
        <v>3</v>
      </c>
      <c r="J41" t="s">
        <v>21</v>
      </c>
      <c r="K41" t="s">
        <v>3</v>
      </c>
      <c r="L41" t="s">
        <v>22</v>
      </c>
      <c r="M41" t="s">
        <v>3</v>
      </c>
      <c r="S41" t="s">
        <v>20</v>
      </c>
    </row>
    <row r="42" spans="1:19" x14ac:dyDescent="0.15">
      <c r="A42" t="str">
        <f t="shared" si="6"/>
        <v>|Lv1|5|3|2|</v>
      </c>
      <c r="B42" t="s">
        <v>3</v>
      </c>
      <c r="C42" t="s">
        <v>8</v>
      </c>
      <c r="D42">
        <v>1</v>
      </c>
      <c r="E42" t="s">
        <v>3</v>
      </c>
      <c r="G42" t="s">
        <v>3</v>
      </c>
      <c r="H42">
        <v>5</v>
      </c>
      <c r="I42" t="s">
        <v>3</v>
      </c>
      <c r="J42">
        <v>3</v>
      </c>
      <c r="K42" t="s">
        <v>3</v>
      </c>
      <c r="L42">
        <v>2</v>
      </c>
      <c r="M42" t="s">
        <v>3</v>
      </c>
      <c r="S42" t="s">
        <v>21</v>
      </c>
    </row>
    <row r="43" spans="1:19" x14ac:dyDescent="0.15">
      <c r="A43" t="str">
        <f t="shared" si="6"/>
        <v>|Lv4|5|3|3|</v>
      </c>
      <c r="B43" t="s">
        <v>3</v>
      </c>
      <c r="C43" t="s">
        <v>8</v>
      </c>
      <c r="D43">
        <v>4</v>
      </c>
      <c r="E43" t="s">
        <v>3</v>
      </c>
      <c r="F43" t="str">
        <f t="shared" ref="F43:F56" si="7">IF(ISBLANK(D43),"",INDEX($F$89:$F$148,D43))</f>
        <v>サポート</v>
      </c>
      <c r="G43" t="s">
        <v>3</v>
      </c>
      <c r="H43">
        <f t="shared" ref="H43:H56" si="8">H42+IF(H$41=$F43,1,0)</f>
        <v>5</v>
      </c>
      <c r="I43" t="str">
        <f t="shared" ref="I43:M56" si="9">I42</f>
        <v>|</v>
      </c>
      <c r="J43">
        <f t="shared" ref="J43:J52" si="10">J42+IF(J$41=$F43,1,0)</f>
        <v>3</v>
      </c>
      <c r="K43" t="str">
        <f t="shared" si="9"/>
        <v>|</v>
      </c>
      <c r="L43">
        <f t="shared" ref="L43:L53" si="11">L42+IF(L$41=$F43,1,0)</f>
        <v>3</v>
      </c>
      <c r="M43" t="str">
        <f t="shared" si="9"/>
        <v>|</v>
      </c>
      <c r="S43" t="s">
        <v>22</v>
      </c>
    </row>
    <row r="44" spans="1:19" x14ac:dyDescent="0.15">
      <c r="A44" t="str">
        <f t="shared" si="6"/>
        <v>|Lv6|6|3|3|</v>
      </c>
      <c r="B44" t="s">
        <v>3</v>
      </c>
      <c r="C44" t="s">
        <v>8</v>
      </c>
      <c r="D44">
        <v>6</v>
      </c>
      <c r="E44" t="s">
        <v>3</v>
      </c>
      <c r="F44" t="str">
        <f t="shared" si="7"/>
        <v>クリーチャー</v>
      </c>
      <c r="G44" t="s">
        <v>3</v>
      </c>
      <c r="H44">
        <f t="shared" si="8"/>
        <v>6</v>
      </c>
      <c r="I44" t="str">
        <f t="shared" si="9"/>
        <v>|</v>
      </c>
      <c r="J44">
        <f t="shared" si="10"/>
        <v>3</v>
      </c>
      <c r="K44" t="str">
        <f t="shared" si="9"/>
        <v>|</v>
      </c>
      <c r="L44">
        <f t="shared" si="11"/>
        <v>3</v>
      </c>
      <c r="M44" t="str">
        <f t="shared" si="9"/>
        <v>|</v>
      </c>
    </row>
    <row r="45" spans="1:19" x14ac:dyDescent="0.15">
      <c r="A45" t="str">
        <f t="shared" si="6"/>
        <v>|Lv10|6|4|3|</v>
      </c>
      <c r="B45" t="s">
        <v>3</v>
      </c>
      <c r="C45" t="s">
        <v>8</v>
      </c>
      <c r="D45">
        <v>10</v>
      </c>
      <c r="E45" t="s">
        <v>3</v>
      </c>
      <c r="F45" t="str">
        <f t="shared" si="7"/>
        <v>呪文</v>
      </c>
      <c r="G45" t="s">
        <v>3</v>
      </c>
      <c r="H45">
        <f t="shared" si="8"/>
        <v>6</v>
      </c>
      <c r="I45" t="str">
        <f t="shared" si="9"/>
        <v>|</v>
      </c>
      <c r="J45">
        <f t="shared" si="10"/>
        <v>4</v>
      </c>
      <c r="K45" t="str">
        <f t="shared" si="9"/>
        <v>|</v>
      </c>
      <c r="L45">
        <f t="shared" si="11"/>
        <v>3</v>
      </c>
      <c r="M45" t="str">
        <f t="shared" si="9"/>
        <v>|</v>
      </c>
    </row>
    <row r="46" spans="1:19" x14ac:dyDescent="0.15">
      <c r="A46" t="str">
        <f t="shared" si="6"/>
        <v>|Lv13|6|4|4|</v>
      </c>
      <c r="B46" t="s">
        <v>3</v>
      </c>
      <c r="C46" t="s">
        <v>8</v>
      </c>
      <c r="D46">
        <v>13</v>
      </c>
      <c r="E46" t="s">
        <v>3</v>
      </c>
      <c r="F46" t="str">
        <f t="shared" si="7"/>
        <v>サポート</v>
      </c>
      <c r="G46" t="s">
        <v>3</v>
      </c>
      <c r="H46">
        <f t="shared" si="8"/>
        <v>6</v>
      </c>
      <c r="I46" t="str">
        <f t="shared" si="9"/>
        <v>|</v>
      </c>
      <c r="J46">
        <f t="shared" si="10"/>
        <v>4</v>
      </c>
      <c r="K46" t="str">
        <f t="shared" si="9"/>
        <v>|</v>
      </c>
      <c r="L46">
        <f t="shared" si="11"/>
        <v>4</v>
      </c>
      <c r="M46" t="str">
        <f t="shared" si="9"/>
        <v>|</v>
      </c>
    </row>
    <row r="47" spans="1:19" x14ac:dyDescent="0.15">
      <c r="A47" t="str">
        <f t="shared" si="6"/>
        <v>|Lv22|6|5|4|</v>
      </c>
      <c r="B47" t="s">
        <v>3</v>
      </c>
      <c r="C47" t="s">
        <v>8</v>
      </c>
      <c r="D47">
        <v>22</v>
      </c>
      <c r="E47" t="s">
        <v>3</v>
      </c>
      <c r="F47" t="str">
        <f t="shared" si="7"/>
        <v>呪文</v>
      </c>
      <c r="G47" t="s">
        <v>3</v>
      </c>
      <c r="H47">
        <f t="shared" si="8"/>
        <v>6</v>
      </c>
      <c r="I47" t="str">
        <f t="shared" si="9"/>
        <v>|</v>
      </c>
      <c r="J47">
        <f t="shared" si="10"/>
        <v>5</v>
      </c>
      <c r="K47" t="str">
        <f t="shared" si="9"/>
        <v>|</v>
      </c>
      <c r="L47">
        <f t="shared" si="11"/>
        <v>4</v>
      </c>
      <c r="M47" t="str">
        <f t="shared" si="9"/>
        <v>|</v>
      </c>
    </row>
    <row r="48" spans="1:19" x14ac:dyDescent="0.15">
      <c r="A48" t="str">
        <f t="shared" ref="A48:A56" si="12">B48&amp;C48&amp;D48&amp;G48&amp;H48&amp;I48&amp;J48&amp;K48&amp;L48&amp;M48&amp;N48&amp;O48&amp;P48&amp;Q48&amp;R48</f>
        <v>|Lv25|7|5|4|</v>
      </c>
      <c r="B48" t="s">
        <v>3</v>
      </c>
      <c r="C48" t="s">
        <v>8</v>
      </c>
      <c r="D48">
        <v>25</v>
      </c>
      <c r="E48" t="s">
        <v>3</v>
      </c>
      <c r="F48" t="str">
        <f t="shared" si="7"/>
        <v>クリーチャー</v>
      </c>
      <c r="G48" t="s">
        <v>3</v>
      </c>
      <c r="H48">
        <f t="shared" si="8"/>
        <v>7</v>
      </c>
      <c r="I48" t="str">
        <f t="shared" si="9"/>
        <v>|</v>
      </c>
      <c r="J48">
        <f t="shared" si="10"/>
        <v>5</v>
      </c>
      <c r="K48" t="str">
        <f t="shared" si="9"/>
        <v>|</v>
      </c>
      <c r="L48">
        <f t="shared" si="11"/>
        <v>4</v>
      </c>
      <c r="M48" t="str">
        <f t="shared" si="9"/>
        <v>|</v>
      </c>
    </row>
    <row r="49" spans="1:20" x14ac:dyDescent="0.15">
      <c r="A49" t="str">
        <f t="shared" si="12"/>
        <v>|Lv29|7|5|5|</v>
      </c>
      <c r="B49" t="s">
        <v>3</v>
      </c>
      <c r="C49" t="s">
        <v>8</v>
      </c>
      <c r="D49">
        <v>29</v>
      </c>
      <c r="E49" t="s">
        <v>3</v>
      </c>
      <c r="F49" t="str">
        <f t="shared" si="7"/>
        <v>サポート</v>
      </c>
      <c r="G49" t="s">
        <v>3</v>
      </c>
      <c r="H49">
        <f t="shared" si="8"/>
        <v>7</v>
      </c>
      <c r="I49" t="str">
        <f t="shared" si="9"/>
        <v>|</v>
      </c>
      <c r="J49">
        <f t="shared" si="10"/>
        <v>5</v>
      </c>
      <c r="K49" t="str">
        <f t="shared" si="9"/>
        <v>|</v>
      </c>
      <c r="L49">
        <f t="shared" si="11"/>
        <v>5</v>
      </c>
      <c r="M49" t="str">
        <f t="shared" si="9"/>
        <v>|</v>
      </c>
    </row>
    <row r="50" spans="1:20" x14ac:dyDescent="0.15">
      <c r="A50" t="str">
        <f t="shared" si="12"/>
        <v>|Lv39|7|6|5|</v>
      </c>
      <c r="B50" t="s">
        <v>3</v>
      </c>
      <c r="C50" t="s">
        <v>8</v>
      </c>
      <c r="D50">
        <v>39</v>
      </c>
      <c r="E50" t="s">
        <v>3</v>
      </c>
      <c r="F50" t="str">
        <f t="shared" si="7"/>
        <v>呪文</v>
      </c>
      <c r="G50" t="s">
        <v>3</v>
      </c>
      <c r="H50">
        <f t="shared" si="8"/>
        <v>7</v>
      </c>
      <c r="I50" t="str">
        <f t="shared" si="9"/>
        <v>|</v>
      </c>
      <c r="J50">
        <f t="shared" si="10"/>
        <v>6</v>
      </c>
      <c r="K50" t="str">
        <f t="shared" si="9"/>
        <v>|</v>
      </c>
      <c r="L50">
        <f t="shared" si="11"/>
        <v>5</v>
      </c>
      <c r="M50" t="str">
        <f t="shared" si="9"/>
        <v>|</v>
      </c>
    </row>
    <row r="51" spans="1:20" x14ac:dyDescent="0.15">
      <c r="A51" t="str">
        <f t="shared" si="12"/>
        <v>|Lv43|8|6|5|</v>
      </c>
      <c r="B51" t="s">
        <v>3</v>
      </c>
      <c r="C51" t="s">
        <v>8</v>
      </c>
      <c r="D51">
        <v>43</v>
      </c>
      <c r="E51" t="s">
        <v>3</v>
      </c>
      <c r="F51" t="str">
        <f t="shared" si="7"/>
        <v>クリーチャー</v>
      </c>
      <c r="G51" t="s">
        <v>3</v>
      </c>
      <c r="H51">
        <f t="shared" si="8"/>
        <v>8</v>
      </c>
      <c r="I51" t="str">
        <f t="shared" si="9"/>
        <v>|</v>
      </c>
      <c r="J51">
        <f t="shared" si="10"/>
        <v>6</v>
      </c>
      <c r="K51" t="str">
        <f t="shared" si="9"/>
        <v>|</v>
      </c>
      <c r="L51">
        <f t="shared" si="11"/>
        <v>5</v>
      </c>
      <c r="M51" t="str">
        <f t="shared" si="9"/>
        <v>|</v>
      </c>
    </row>
    <row r="52" spans="1:20" x14ac:dyDescent="0.15">
      <c r="A52" t="str">
        <f t="shared" si="12"/>
        <v>|Lv47|8|6|6|</v>
      </c>
      <c r="B52" t="s">
        <v>3</v>
      </c>
      <c r="C52" t="s">
        <v>8</v>
      </c>
      <c r="D52">
        <v>47</v>
      </c>
      <c r="E52" t="s">
        <v>3</v>
      </c>
      <c r="F52" t="str">
        <f t="shared" si="7"/>
        <v>サポート</v>
      </c>
      <c r="G52" t="s">
        <v>3</v>
      </c>
      <c r="H52">
        <f t="shared" si="8"/>
        <v>8</v>
      </c>
      <c r="I52" t="str">
        <f t="shared" si="9"/>
        <v>|</v>
      </c>
      <c r="J52">
        <f t="shared" si="10"/>
        <v>6</v>
      </c>
      <c r="K52" t="str">
        <f t="shared" si="9"/>
        <v>|</v>
      </c>
      <c r="L52">
        <f t="shared" si="11"/>
        <v>6</v>
      </c>
      <c r="M52" t="str">
        <f t="shared" si="9"/>
        <v>|</v>
      </c>
    </row>
    <row r="53" spans="1:20" x14ac:dyDescent="0.15">
      <c r="A53" t="str">
        <f t="shared" si="12"/>
        <v>|Lv54|8|8|6|</v>
      </c>
      <c r="B53" t="s">
        <v>3</v>
      </c>
      <c r="C53" t="s">
        <v>8</v>
      </c>
      <c r="D53">
        <v>54</v>
      </c>
      <c r="E53" t="s">
        <v>3</v>
      </c>
      <c r="F53" t="str">
        <f t="shared" si="7"/>
        <v>呪文</v>
      </c>
      <c r="G53" t="s">
        <v>3</v>
      </c>
      <c r="H53">
        <f t="shared" si="8"/>
        <v>8</v>
      </c>
      <c r="I53" t="str">
        <f t="shared" si="9"/>
        <v>|</v>
      </c>
      <c r="J53">
        <f>J52+IF(J$41=$F53,2,0)</f>
        <v>8</v>
      </c>
      <c r="K53" t="str">
        <f t="shared" si="9"/>
        <v>|</v>
      </c>
      <c r="L53">
        <f t="shared" si="11"/>
        <v>6</v>
      </c>
      <c r="M53" t="str">
        <f t="shared" si="9"/>
        <v>|</v>
      </c>
    </row>
    <row r="54" spans="1:20" x14ac:dyDescent="0.15">
      <c r="A54" t="str">
        <f t="shared" si="12"/>
        <v>|Lv56|8|8|8|</v>
      </c>
      <c r="B54" t="s">
        <v>3</v>
      </c>
      <c r="C54" t="s">
        <v>8</v>
      </c>
      <c r="D54">
        <v>56</v>
      </c>
      <c r="E54" t="s">
        <v>3</v>
      </c>
      <c r="F54" t="str">
        <f t="shared" si="7"/>
        <v>サポート</v>
      </c>
      <c r="G54" t="s">
        <v>3</v>
      </c>
      <c r="H54">
        <f t="shared" si="8"/>
        <v>8</v>
      </c>
      <c r="I54" t="str">
        <f t="shared" si="9"/>
        <v>|</v>
      </c>
      <c r="J54">
        <f>J53+IF(J$41=$F54,1,0)</f>
        <v>8</v>
      </c>
      <c r="K54" t="str">
        <f t="shared" si="9"/>
        <v>|</v>
      </c>
      <c r="L54">
        <f>L53+IF(L$41=$F54,2,0)</f>
        <v>8</v>
      </c>
      <c r="M54" t="str">
        <f t="shared" si="9"/>
        <v>|</v>
      </c>
    </row>
    <row r="55" spans="1:20" x14ac:dyDescent="0.15">
      <c r="A55" t="str">
        <f t="shared" si="12"/>
        <v>|Lv57|8|10|8|</v>
      </c>
      <c r="B55" t="s">
        <v>3</v>
      </c>
      <c r="C55" t="s">
        <v>8</v>
      </c>
      <c r="D55">
        <v>57</v>
      </c>
      <c r="E55" t="s">
        <v>3</v>
      </c>
      <c r="F55" t="str">
        <f t="shared" si="7"/>
        <v>呪文</v>
      </c>
      <c r="G55" t="s">
        <v>3</v>
      </c>
      <c r="H55">
        <f t="shared" si="8"/>
        <v>8</v>
      </c>
      <c r="I55" t="str">
        <f t="shared" si="9"/>
        <v>|</v>
      </c>
      <c r="J55">
        <f>J54+IF(J$41=$F55,2,0)</f>
        <v>10</v>
      </c>
      <c r="K55" t="str">
        <f t="shared" si="9"/>
        <v>|</v>
      </c>
      <c r="L55">
        <f>L54+IF(L$41=$F55,1,0)</f>
        <v>8</v>
      </c>
      <c r="M55" t="str">
        <f t="shared" si="9"/>
        <v>|</v>
      </c>
    </row>
    <row r="56" spans="1:20" x14ac:dyDescent="0.15">
      <c r="A56" t="str">
        <f t="shared" si="12"/>
        <v>|Lv58|9|10|8|</v>
      </c>
      <c r="B56" t="s">
        <v>3</v>
      </c>
      <c r="C56" t="s">
        <v>8</v>
      </c>
      <c r="D56">
        <v>58</v>
      </c>
      <c r="E56" t="s">
        <v>3</v>
      </c>
      <c r="F56" t="str">
        <f t="shared" si="7"/>
        <v>クリーチャー</v>
      </c>
      <c r="G56" t="s">
        <v>3</v>
      </c>
      <c r="H56">
        <f t="shared" si="8"/>
        <v>9</v>
      </c>
      <c r="I56" t="str">
        <f t="shared" si="9"/>
        <v>|</v>
      </c>
      <c r="J56">
        <f>J55+IF(J$41=$F56,1,0)</f>
        <v>10</v>
      </c>
      <c r="K56" t="str">
        <f t="shared" si="9"/>
        <v>|</v>
      </c>
      <c r="L56">
        <f>L55+IF(L$41=$F56,1,0)</f>
        <v>8</v>
      </c>
      <c r="M56" t="str">
        <f t="shared" si="9"/>
        <v>|</v>
      </c>
    </row>
    <row r="57" spans="1:20" x14ac:dyDescent="0.15">
      <c r="A57" t="str">
        <f t="shared" ref="A57:A78" si="13">B57&amp;C57&amp;D57&amp;E57&amp;F57&amp;G57&amp;H57&amp;I57&amp;J57&amp;K57&amp;L57&amp;M57&amp;N57&amp;O57&amp;P57</f>
        <v>&amp;br;</v>
      </c>
      <c r="B57" t="s">
        <v>0</v>
      </c>
    </row>
    <row r="58" spans="1:20" x14ac:dyDescent="0.15">
      <c r="A58" t="str">
        <f t="shared" si="13"/>
        <v>&amp;br;</v>
      </c>
      <c r="B58" t="s">
        <v>0</v>
      </c>
    </row>
    <row r="59" spans="1:20" x14ac:dyDescent="0.15">
      <c r="A59" t="str">
        <f t="shared" si="13"/>
        <v>*PW能力一覧 [#a469e89f]</v>
      </c>
      <c r="B59" t="s">
        <v>23</v>
      </c>
    </row>
    <row r="60" spans="1:20" x14ac:dyDescent="0.15">
      <c r="A60" t="str">
        <f t="shared" si="13"/>
        <v>**第1能力：堕落/Corrupt</v>
      </c>
      <c r="B60" t="s">
        <v>24</v>
      </c>
      <c r="D60" t="s">
        <v>207</v>
      </c>
      <c r="F60" t="s">
        <v>208</v>
      </c>
      <c r="R60" t="str">
        <f>D60&amp;E60&amp;F60</f>
        <v>堕落/Corrupt</v>
      </c>
      <c r="S60" t="s">
        <v>3</v>
      </c>
      <c r="T60">
        <f>H66</f>
        <v>6</v>
      </c>
    </row>
    <row r="61" spans="1:20" x14ac:dyDescent="0.15">
      <c r="A61" t="str">
        <f t="shared" si="13"/>
        <v>|LEFT:50|LEFT:50|LEFT:50|LEFT:300|c</v>
      </c>
      <c r="B61" t="s">
        <v>3</v>
      </c>
      <c r="C61" t="s">
        <v>4</v>
      </c>
      <c r="E61" t="s">
        <v>3</v>
      </c>
      <c r="F61" t="s">
        <v>4</v>
      </c>
      <c r="G61" t="s">
        <v>3</v>
      </c>
      <c r="H61" t="s">
        <v>4</v>
      </c>
      <c r="I61" t="s">
        <v>3</v>
      </c>
      <c r="J61" t="s">
        <v>26</v>
      </c>
      <c r="K61" t="s">
        <v>3</v>
      </c>
      <c r="L61" t="s">
        <v>5</v>
      </c>
      <c r="R61" t="s">
        <v>209</v>
      </c>
      <c r="S61" t="s">
        <v>3</v>
      </c>
      <c r="T61" t="str">
        <f>J66</f>
        <v>あなたは手札の最後のカードを2枚捨て、対戦相手は手札の最初と最後のカードを捨てる。</v>
      </c>
    </row>
    <row r="62" spans="1:20" x14ac:dyDescent="0.15">
      <c r="A62" t="str">
        <f t="shared" si="13"/>
        <v>|解放Lv|レベル|コスト|効果|</v>
      </c>
      <c r="B62" t="s">
        <v>3</v>
      </c>
      <c r="C62" t="s">
        <v>27</v>
      </c>
      <c r="E62" t="s">
        <v>3</v>
      </c>
      <c r="F62" t="s">
        <v>6</v>
      </c>
      <c r="G62" t="s">
        <v>3</v>
      </c>
      <c r="H62" t="s">
        <v>28</v>
      </c>
      <c r="I62" t="s">
        <v>3</v>
      </c>
      <c r="J62" t="s">
        <v>29</v>
      </c>
      <c r="K62" t="s">
        <v>3</v>
      </c>
      <c r="R62" t="str">
        <f>D69&amp;E69&amp;F69</f>
        <v>墓の霧/Grave Mist</v>
      </c>
      <c r="S62" t="s">
        <v>3</v>
      </c>
      <c r="T62">
        <f>H75</f>
        <v>15</v>
      </c>
    </row>
    <row r="63" spans="1:20" x14ac:dyDescent="0.15">
      <c r="A63" t="str">
        <f t="shared" si="13"/>
        <v>|Lv2|Lv1|9|あなたと対戦相手は手札の最後のカードを捨てる。|</v>
      </c>
      <c r="B63" t="s">
        <v>3</v>
      </c>
      <c r="C63" t="s">
        <v>8</v>
      </c>
      <c r="D63">
        <v>2</v>
      </c>
      <c r="E63" t="s">
        <v>3</v>
      </c>
      <c r="F63" t="s">
        <v>30</v>
      </c>
      <c r="G63" t="s">
        <v>3</v>
      </c>
      <c r="H63">
        <v>9</v>
      </c>
      <c r="I63" t="s">
        <v>3</v>
      </c>
      <c r="J63" t="s">
        <v>210</v>
      </c>
      <c r="K63" t="s">
        <v>3</v>
      </c>
      <c r="R63" t="s">
        <v>209</v>
      </c>
      <c r="S63" t="s">
        <v>3</v>
      </c>
      <c r="T63" t="str">
        <f>J75</f>
        <v>ジェム5個を起動する：あなたとあなたのすべてのクリーチャーに1点のダメージを与え、対戦相手と対戦相手のクリーチャーに5点のダメージを与える。</v>
      </c>
    </row>
    <row r="64" spans="1:20" x14ac:dyDescent="0.15">
      <c r="A64" t="str">
        <f t="shared" si="13"/>
        <v>|Lv8|Lv2|9|あなたと対戦相手は手札の最後のカードを2枚捨てる。|</v>
      </c>
      <c r="B64" t="s">
        <v>3</v>
      </c>
      <c r="C64" t="s">
        <v>8</v>
      </c>
      <c r="D64">
        <v>8</v>
      </c>
      <c r="E64" t="s">
        <v>3</v>
      </c>
      <c r="F64" t="s">
        <v>31</v>
      </c>
      <c r="G64" t="s">
        <v>3</v>
      </c>
      <c r="H64">
        <v>9</v>
      </c>
      <c r="I64" t="s">
        <v>3</v>
      </c>
      <c r="J64" t="s">
        <v>211</v>
      </c>
      <c r="K64" t="s">
        <v>3</v>
      </c>
      <c r="R64" t="str">
        <f>D78&amp;E78&amp;F78</f>
        <v>死者再生/Raise Dead</v>
      </c>
      <c r="S64" t="s">
        <v>3</v>
      </c>
      <c r="T64">
        <f>H84</f>
        <v>15</v>
      </c>
    </row>
    <row r="65" spans="1:20" x14ac:dyDescent="0.15">
      <c r="A65" t="str">
        <f t="shared" si="13"/>
        <v>|Lv38|Lv3|9|あなたは手札の最後のカードを2枚捨て、対戦相手は手札の最初と最後のカードを捨てる。|</v>
      </c>
      <c r="B65" t="s">
        <v>3</v>
      </c>
      <c r="C65" t="s">
        <v>8</v>
      </c>
      <c r="D65">
        <v>38</v>
      </c>
      <c r="E65" t="s">
        <v>3</v>
      </c>
      <c r="F65" t="s">
        <v>32</v>
      </c>
      <c r="G65" t="s">
        <v>3</v>
      </c>
      <c r="H65">
        <v>9</v>
      </c>
      <c r="I65" t="s">
        <v>3</v>
      </c>
      <c r="J65" t="s">
        <v>212</v>
      </c>
      <c r="K65" t="s">
        <v>3</v>
      </c>
      <c r="R65" t="s">
        <v>209</v>
      </c>
      <c r="S65" t="s">
        <v>3</v>
      </c>
      <c r="T65" t="str">
        <f>J84</f>
        <v>あなたが最後にコントロールしていて破壊されたクリーチャー3体を戦場に戻す。</v>
      </c>
    </row>
    <row r="66" spans="1:20" x14ac:dyDescent="0.15">
      <c r="A66" t="str">
        <f t="shared" si="13"/>
        <v>|Lv51|Lv4|6|あなたは手札の最後のカードを2枚捨て、対戦相手は手札の最初と最後のカードを捨てる。|</v>
      </c>
      <c r="B66" t="s">
        <v>3</v>
      </c>
      <c r="C66" t="s">
        <v>8</v>
      </c>
      <c r="D66">
        <v>51</v>
      </c>
      <c r="E66" t="s">
        <v>3</v>
      </c>
      <c r="F66" t="s">
        <v>33</v>
      </c>
      <c r="G66" t="s">
        <v>3</v>
      </c>
      <c r="H66">
        <v>6</v>
      </c>
      <c r="I66" t="s">
        <v>3</v>
      </c>
      <c r="J66" t="s">
        <v>212</v>
      </c>
      <c r="K66" t="s">
        <v>3</v>
      </c>
    </row>
    <row r="67" spans="1:20" x14ac:dyDescent="0.15">
      <c r="A67" t="str">
        <f t="shared" si="13"/>
        <v>&amp;br;</v>
      </c>
      <c r="B67" t="s">
        <v>0</v>
      </c>
    </row>
    <row r="68" spans="1:20" x14ac:dyDescent="0.15">
      <c r="A68" t="str">
        <f t="shared" si="13"/>
        <v>&amp;br;</v>
      </c>
      <c r="B68" t="s">
        <v>0</v>
      </c>
    </row>
    <row r="69" spans="1:20" x14ac:dyDescent="0.15">
      <c r="A69" t="str">
        <f t="shared" si="13"/>
        <v>**第2能力：墓の霧/Grave Mist</v>
      </c>
      <c r="B69" t="s">
        <v>34</v>
      </c>
      <c r="D69" t="s">
        <v>213</v>
      </c>
      <c r="E69" t="s">
        <v>25</v>
      </c>
      <c r="F69" t="s">
        <v>214</v>
      </c>
    </row>
    <row r="70" spans="1:20" x14ac:dyDescent="0.15">
      <c r="A70" t="str">
        <f t="shared" si="13"/>
        <v>|LEFT:50|LEFT:50|LEFT:50|LEFT:300|c</v>
      </c>
      <c r="B70" t="s">
        <v>3</v>
      </c>
      <c r="C70" t="s">
        <v>4</v>
      </c>
      <c r="E70" t="s">
        <v>3</v>
      </c>
      <c r="F70" t="s">
        <v>4</v>
      </c>
      <c r="G70" t="s">
        <v>3</v>
      </c>
      <c r="H70" t="s">
        <v>4</v>
      </c>
      <c r="I70" t="s">
        <v>3</v>
      </c>
      <c r="J70" t="s">
        <v>26</v>
      </c>
      <c r="K70" t="s">
        <v>3</v>
      </c>
      <c r="L70" t="s">
        <v>5</v>
      </c>
    </row>
    <row r="71" spans="1:20" x14ac:dyDescent="0.15">
      <c r="A71" t="str">
        <f t="shared" si="13"/>
        <v>|解放Lv|レベル|コスト|効果|</v>
      </c>
      <c r="B71" t="s">
        <v>3</v>
      </c>
      <c r="C71" t="s">
        <v>27</v>
      </c>
      <c r="E71" t="s">
        <v>3</v>
      </c>
      <c r="F71" t="s">
        <v>6</v>
      </c>
      <c r="G71" t="s">
        <v>3</v>
      </c>
      <c r="H71" t="s">
        <v>28</v>
      </c>
      <c r="I71" t="s">
        <v>3</v>
      </c>
      <c r="J71" t="s">
        <v>29</v>
      </c>
      <c r="K71" t="s">
        <v>3</v>
      </c>
    </row>
    <row r="72" spans="1:20" x14ac:dyDescent="0.15">
      <c r="A72" t="str">
        <f t="shared" si="13"/>
        <v>|Lv14|Lv1|15|ジェム5個を起動する：すべてのクリーチャーとプレイヤーに1点のダメージを与える。|</v>
      </c>
      <c r="B72" t="s">
        <v>3</v>
      </c>
      <c r="C72" t="s">
        <v>8</v>
      </c>
      <c r="D72">
        <v>14</v>
      </c>
      <c r="E72" t="s">
        <v>3</v>
      </c>
      <c r="F72" t="s">
        <v>30</v>
      </c>
      <c r="G72" t="s">
        <v>3</v>
      </c>
      <c r="H72">
        <v>15</v>
      </c>
      <c r="I72" t="s">
        <v>3</v>
      </c>
      <c r="J72" t="s">
        <v>215</v>
      </c>
      <c r="K72" t="s">
        <v>3</v>
      </c>
    </row>
    <row r="73" spans="1:20" x14ac:dyDescent="0.15">
      <c r="A73" t="str">
        <f t="shared" si="13"/>
        <v>|Lv20|Lv2|15|ジェム5個を起動する：あなたとあなたのすべてのクリーチャーに1点のダメージを与え、対戦相手と対戦相手のクリーチャーに2点のダメージを与える。|</v>
      </c>
      <c r="B73" t="s">
        <v>3</v>
      </c>
      <c r="C73" t="s">
        <v>8</v>
      </c>
      <c r="D73">
        <v>20</v>
      </c>
      <c r="E73" t="s">
        <v>3</v>
      </c>
      <c r="F73" t="s">
        <v>31</v>
      </c>
      <c r="G73" t="s">
        <v>3</v>
      </c>
      <c r="H73">
        <v>15</v>
      </c>
      <c r="I73" t="s">
        <v>3</v>
      </c>
      <c r="J73" t="s">
        <v>216</v>
      </c>
      <c r="K73" t="s">
        <v>3</v>
      </c>
    </row>
    <row r="74" spans="1:20" x14ac:dyDescent="0.15">
      <c r="A74" t="str">
        <f t="shared" si="13"/>
        <v>|Lv45|Lv3|15|ジェム5個を起動する：あなたとあなたのすべてのクリーチャーに1点のダメージを与え、対戦相手と対戦相手のクリーチャーに3点のダメージを与える。|</v>
      </c>
      <c r="B74" t="s">
        <v>3</v>
      </c>
      <c r="C74" t="s">
        <v>8</v>
      </c>
      <c r="D74">
        <v>45</v>
      </c>
      <c r="E74" t="s">
        <v>3</v>
      </c>
      <c r="F74" t="s">
        <v>32</v>
      </c>
      <c r="G74" t="s">
        <v>3</v>
      </c>
      <c r="H74">
        <v>15</v>
      </c>
      <c r="I74" t="s">
        <v>3</v>
      </c>
      <c r="J74" t="s">
        <v>217</v>
      </c>
      <c r="K74" t="s">
        <v>3</v>
      </c>
    </row>
    <row r="75" spans="1:20" x14ac:dyDescent="0.15">
      <c r="A75" t="str">
        <f t="shared" si="13"/>
        <v>|Lv55|Lv4|15|ジェム5個を起動する：あなたとあなたのすべてのクリーチャーに1点のダメージを与え、対戦相手と対戦相手のクリーチャーに5点のダメージを与える。|</v>
      </c>
      <c r="B75" t="s">
        <v>3</v>
      </c>
      <c r="C75" t="s">
        <v>8</v>
      </c>
      <c r="D75">
        <v>55</v>
      </c>
      <c r="E75" t="s">
        <v>3</v>
      </c>
      <c r="F75" t="s">
        <v>33</v>
      </c>
      <c r="G75" t="s">
        <v>3</v>
      </c>
      <c r="H75">
        <v>15</v>
      </c>
      <c r="I75" t="s">
        <v>3</v>
      </c>
      <c r="J75" t="s">
        <v>218</v>
      </c>
      <c r="K75" t="s">
        <v>3</v>
      </c>
    </row>
    <row r="76" spans="1:20" x14ac:dyDescent="0.15">
      <c r="A76" t="str">
        <f t="shared" si="13"/>
        <v>&amp;br;</v>
      </c>
      <c r="B76" t="s">
        <v>0</v>
      </c>
    </row>
    <row r="77" spans="1:20" x14ac:dyDescent="0.15">
      <c r="A77" t="str">
        <f t="shared" si="13"/>
        <v>&amp;br;</v>
      </c>
      <c r="B77" t="s">
        <v>0</v>
      </c>
    </row>
    <row r="78" spans="1:20" x14ac:dyDescent="0.15">
      <c r="A78" t="str">
        <f t="shared" si="13"/>
        <v>**第3能力：死者再生/Raise Dead</v>
      </c>
      <c r="B78" t="s">
        <v>35</v>
      </c>
      <c r="D78" t="s">
        <v>219</v>
      </c>
      <c r="E78" t="s">
        <v>25</v>
      </c>
      <c r="F78" t="s">
        <v>220</v>
      </c>
    </row>
    <row r="79" spans="1:20" x14ac:dyDescent="0.15">
      <c r="A79" t="str">
        <f t="shared" ref="A79:A142" si="14">B79&amp;C79&amp;D79&amp;E79&amp;F79&amp;G79&amp;H79&amp;I79&amp;J79&amp;K79&amp;L79&amp;M79&amp;N79&amp;O79&amp;P79</f>
        <v>|LEFT:50|LEFT:50|LEFT:50|LEFT:300|c</v>
      </c>
      <c r="B79" t="s">
        <v>3</v>
      </c>
      <c r="C79" t="s">
        <v>4</v>
      </c>
      <c r="E79" t="s">
        <v>3</v>
      </c>
      <c r="F79" t="s">
        <v>4</v>
      </c>
      <c r="G79" t="s">
        <v>3</v>
      </c>
      <c r="H79" t="s">
        <v>4</v>
      </c>
      <c r="I79" t="s">
        <v>3</v>
      </c>
      <c r="J79" t="s">
        <v>26</v>
      </c>
      <c r="K79" t="s">
        <v>3</v>
      </c>
      <c r="L79" t="s">
        <v>5</v>
      </c>
    </row>
    <row r="80" spans="1:20" x14ac:dyDescent="0.15">
      <c r="A80" t="str">
        <f t="shared" si="14"/>
        <v>|解放Lv|レベル|コスト|効果|</v>
      </c>
      <c r="B80" t="s">
        <v>3</v>
      </c>
      <c r="C80" t="s">
        <v>27</v>
      </c>
      <c r="E80" t="s">
        <v>3</v>
      </c>
      <c r="F80" t="s">
        <v>6</v>
      </c>
      <c r="G80" t="s">
        <v>3</v>
      </c>
      <c r="H80" t="s">
        <v>28</v>
      </c>
      <c r="I80" t="s">
        <v>3</v>
      </c>
      <c r="J80" t="s">
        <v>29</v>
      </c>
      <c r="K80" t="s">
        <v>3</v>
      </c>
    </row>
    <row r="81" spans="1:17" x14ac:dyDescent="0.15">
      <c r="A81" t="str">
        <f t="shared" si="14"/>
        <v>|Lv26|Lv1|18|あなたが最後にコントロールしていて破壊されたクリーチャーを戦場に戻す。|</v>
      </c>
      <c r="B81" t="s">
        <v>3</v>
      </c>
      <c r="C81" t="s">
        <v>8</v>
      </c>
      <c r="D81">
        <v>26</v>
      </c>
      <c r="E81" t="s">
        <v>3</v>
      </c>
      <c r="F81" t="s">
        <v>30</v>
      </c>
      <c r="G81" t="s">
        <v>3</v>
      </c>
      <c r="H81">
        <v>18</v>
      </c>
      <c r="I81" t="s">
        <v>3</v>
      </c>
      <c r="J81" t="s">
        <v>221</v>
      </c>
      <c r="K81" t="s">
        <v>3</v>
      </c>
    </row>
    <row r="82" spans="1:17" x14ac:dyDescent="0.15">
      <c r="A82" t="str">
        <f t="shared" si="14"/>
        <v>|Lv33|Lv2|18|あなたが最後にコントロールしていて破壊されたクリーチャー2体を戦場に戻す。|</v>
      </c>
      <c r="B82" t="s">
        <v>3</v>
      </c>
      <c r="C82" t="s">
        <v>8</v>
      </c>
      <c r="D82">
        <v>33</v>
      </c>
      <c r="E82" t="s">
        <v>3</v>
      </c>
      <c r="F82" t="s">
        <v>31</v>
      </c>
      <c r="G82" t="s">
        <v>3</v>
      </c>
      <c r="H82">
        <v>18</v>
      </c>
      <c r="I82" t="s">
        <v>3</v>
      </c>
      <c r="J82" t="s">
        <v>222</v>
      </c>
      <c r="K82" t="s">
        <v>3</v>
      </c>
    </row>
    <row r="83" spans="1:17" x14ac:dyDescent="0.15">
      <c r="A83" t="str">
        <f t="shared" si="14"/>
        <v>|Lv50|Lv3|18|あなたが最後にコントロールしていて破壊されたクリーチャー3体を戦場に戻す。|</v>
      </c>
      <c r="B83" t="s">
        <v>3</v>
      </c>
      <c r="C83" t="s">
        <v>8</v>
      </c>
      <c r="D83">
        <v>50</v>
      </c>
      <c r="E83" t="s">
        <v>3</v>
      </c>
      <c r="F83" t="s">
        <v>32</v>
      </c>
      <c r="G83" t="s">
        <v>3</v>
      </c>
      <c r="H83">
        <v>18</v>
      </c>
      <c r="I83" t="s">
        <v>3</v>
      </c>
      <c r="J83" t="s">
        <v>223</v>
      </c>
      <c r="K83" t="s">
        <v>3</v>
      </c>
    </row>
    <row r="84" spans="1:17" x14ac:dyDescent="0.15">
      <c r="A84" t="str">
        <f t="shared" si="14"/>
        <v>|Lv60|Lv4|15|あなたが最後にコントロールしていて破壊されたクリーチャー3体を戦場に戻す。|</v>
      </c>
      <c r="B84" t="s">
        <v>3</v>
      </c>
      <c r="C84" t="s">
        <v>8</v>
      </c>
      <c r="D84">
        <v>60</v>
      </c>
      <c r="E84" t="s">
        <v>3</v>
      </c>
      <c r="F84" t="s">
        <v>33</v>
      </c>
      <c r="G84" t="s">
        <v>3</v>
      </c>
      <c r="H84">
        <v>15</v>
      </c>
      <c r="I84" t="s">
        <v>3</v>
      </c>
      <c r="J84" t="s">
        <v>223</v>
      </c>
      <c r="K84" t="s">
        <v>3</v>
      </c>
    </row>
    <row r="85" spans="1:17" x14ac:dyDescent="0.15">
      <c r="A85" t="str">
        <f t="shared" si="14"/>
        <v>&amp;br;</v>
      </c>
      <c r="B85" t="s">
        <v>0</v>
      </c>
    </row>
    <row r="86" spans="1:17" x14ac:dyDescent="0.15">
      <c r="A86" t="str">
        <f t="shared" si="14"/>
        <v>&amp;br;</v>
      </c>
      <c r="B86" t="s">
        <v>0</v>
      </c>
    </row>
    <row r="87" spans="1:17" x14ac:dyDescent="0.15">
      <c r="A87" t="str">
        <f t="shared" si="14"/>
        <v>*レベルアップ報酬一覧 [#k0cef29c]</v>
      </c>
      <c r="B87" t="s">
        <v>36</v>
      </c>
    </row>
    <row r="88" spans="1:17" x14ac:dyDescent="0.15">
      <c r="A88" t="str">
        <f t="shared" si="14"/>
        <v>|LEFT:50|LEFT:100|c</v>
      </c>
      <c r="B88" t="s">
        <v>3</v>
      </c>
      <c r="C88" t="s">
        <v>4</v>
      </c>
      <c r="E88" t="s">
        <v>3</v>
      </c>
      <c r="F88" t="s">
        <v>37</v>
      </c>
      <c r="I88" t="s">
        <v>3</v>
      </c>
      <c r="J88" t="s">
        <v>5</v>
      </c>
    </row>
    <row r="89" spans="1:17" x14ac:dyDescent="0.15">
      <c r="A89" t="str">
        <f t="shared" si="14"/>
        <v>|レベル|報酬|</v>
      </c>
      <c r="B89" t="s">
        <v>3</v>
      </c>
      <c r="C89" t="s">
        <v>6</v>
      </c>
      <c r="E89" t="s">
        <v>3</v>
      </c>
      <c r="F89" t="s">
        <v>38</v>
      </c>
      <c r="I89" t="s">
        <v>3</v>
      </c>
      <c r="Q89" t="s">
        <v>7</v>
      </c>
    </row>
    <row r="90" spans="1:17" x14ac:dyDescent="0.15">
      <c r="A90" t="str">
        <f t="shared" si="14"/>
        <v>|Lｖ2|第1能力Lv1|</v>
      </c>
      <c r="B90" t="s">
        <v>3</v>
      </c>
      <c r="C90" t="s">
        <v>39</v>
      </c>
      <c r="D90">
        <v>2</v>
      </c>
      <c r="E90" t="s">
        <v>3</v>
      </c>
      <c r="F90" t="s">
        <v>40</v>
      </c>
      <c r="G90" t="str">
        <f t="shared" ref="G90:G121" si="15">IF(OR(F90=$Q$98,F90=$Q$99,F90=$Q$100,F90=$Q$101,ISBLANK(F90)),"","+")</f>
        <v/>
      </c>
      <c r="H90">
        <v>1</v>
      </c>
      <c r="I90" t="s">
        <v>3</v>
      </c>
      <c r="Q90" t="s">
        <v>20</v>
      </c>
    </row>
    <row r="91" spans="1:17" x14ac:dyDescent="0.15">
      <c r="A91" t="str">
        <f t="shared" si="14"/>
        <v>|Lｖ3|HP+4|</v>
      </c>
      <c r="B91" t="s">
        <v>3</v>
      </c>
      <c r="C91" t="s">
        <v>39</v>
      </c>
      <c r="D91">
        <v>3</v>
      </c>
      <c r="E91" t="s">
        <v>3</v>
      </c>
      <c r="F91" t="s">
        <v>7</v>
      </c>
      <c r="G91" t="str">
        <f t="shared" si="15"/>
        <v>+</v>
      </c>
      <c r="H91">
        <v>4</v>
      </c>
      <c r="I91" t="s">
        <v>3</v>
      </c>
      <c r="Q91" t="s">
        <v>21</v>
      </c>
    </row>
    <row r="92" spans="1:17" x14ac:dyDescent="0.15">
      <c r="A92" t="str">
        <f t="shared" si="14"/>
        <v>|Lｖ4|サポート+1|</v>
      </c>
      <c r="B92" t="s">
        <v>3</v>
      </c>
      <c r="C92" t="s">
        <v>39</v>
      </c>
      <c r="D92">
        <v>4</v>
      </c>
      <c r="E92" t="s">
        <v>3</v>
      </c>
      <c r="F92" t="s">
        <v>22</v>
      </c>
      <c r="G92" t="str">
        <f t="shared" si="15"/>
        <v>+</v>
      </c>
      <c r="H92">
        <v>1</v>
      </c>
      <c r="I92" t="s">
        <v>3</v>
      </c>
      <c r="Q92" t="s">
        <v>22</v>
      </c>
    </row>
    <row r="93" spans="1:17" x14ac:dyDescent="0.15">
      <c r="A93" t="str">
        <f t="shared" si="14"/>
        <v>|Lｖ5|HP+4|</v>
      </c>
      <c r="B93" t="s">
        <v>3</v>
      </c>
      <c r="C93" t="s">
        <v>39</v>
      </c>
      <c r="D93">
        <v>5</v>
      </c>
      <c r="E93" t="s">
        <v>3</v>
      </c>
      <c r="F93" t="s">
        <v>7</v>
      </c>
      <c r="G93" t="str">
        <f t="shared" si="15"/>
        <v>+</v>
      </c>
      <c r="H93">
        <v>4</v>
      </c>
      <c r="I93" t="s">
        <v>3</v>
      </c>
      <c r="Q93" t="s">
        <v>11</v>
      </c>
    </row>
    <row r="94" spans="1:17" x14ac:dyDescent="0.15">
      <c r="A94" t="str">
        <f t="shared" si="14"/>
        <v>|Lｖ6|クリーチャー+1|</v>
      </c>
      <c r="B94" t="s">
        <v>3</v>
      </c>
      <c r="C94" t="s">
        <v>39</v>
      </c>
      <c r="D94">
        <v>6</v>
      </c>
      <c r="E94" t="s">
        <v>3</v>
      </c>
      <c r="F94" t="s">
        <v>20</v>
      </c>
      <c r="G94" t="str">
        <f t="shared" si="15"/>
        <v>+</v>
      </c>
      <c r="H94">
        <v>1</v>
      </c>
      <c r="I94" t="s">
        <v>3</v>
      </c>
      <c r="Q94" t="s">
        <v>12</v>
      </c>
    </row>
    <row r="95" spans="1:17" x14ac:dyDescent="0.15">
      <c r="A95" t="str">
        <f t="shared" si="14"/>
        <v>|Lｖ7|HP+4|</v>
      </c>
      <c r="B95" t="s">
        <v>3</v>
      </c>
      <c r="C95" t="s">
        <v>39</v>
      </c>
      <c r="D95">
        <v>7</v>
      </c>
      <c r="E95" t="s">
        <v>3</v>
      </c>
      <c r="F95" t="s">
        <v>7</v>
      </c>
      <c r="G95" t="str">
        <f t="shared" si="15"/>
        <v>+</v>
      </c>
      <c r="H95">
        <v>4</v>
      </c>
      <c r="I95" t="s">
        <v>3</v>
      </c>
      <c r="Q95" t="s">
        <v>13</v>
      </c>
    </row>
    <row r="96" spans="1:17" x14ac:dyDescent="0.15">
      <c r="A96" t="str">
        <f t="shared" si="14"/>
        <v>|Lｖ8|第1能力Lv2|</v>
      </c>
      <c r="B96" t="s">
        <v>3</v>
      </c>
      <c r="C96" t="s">
        <v>39</v>
      </c>
      <c r="D96">
        <v>8</v>
      </c>
      <c r="E96" t="s">
        <v>3</v>
      </c>
      <c r="F96" t="s">
        <v>40</v>
      </c>
      <c r="G96" t="str">
        <f t="shared" si="15"/>
        <v/>
      </c>
      <c r="H96">
        <v>2</v>
      </c>
      <c r="I96" t="s">
        <v>3</v>
      </c>
      <c r="Q96" t="s">
        <v>14</v>
      </c>
    </row>
    <row r="97" spans="1:17" x14ac:dyDescent="0.15">
      <c r="A97" t="str">
        <f t="shared" si="14"/>
        <v>|Lｖ9|黒+1|</v>
      </c>
      <c r="B97" t="s">
        <v>3</v>
      </c>
      <c r="C97" t="s">
        <v>39</v>
      </c>
      <c r="D97">
        <v>9</v>
      </c>
      <c r="E97" t="s">
        <v>3</v>
      </c>
      <c r="F97" t="s">
        <v>13</v>
      </c>
      <c r="G97" t="str">
        <f t="shared" si="15"/>
        <v>+</v>
      </c>
      <c r="H97">
        <v>1</v>
      </c>
      <c r="I97" t="s">
        <v>3</v>
      </c>
      <c r="Q97" t="s">
        <v>15</v>
      </c>
    </row>
    <row r="98" spans="1:17" x14ac:dyDescent="0.15">
      <c r="A98" t="str">
        <f t="shared" si="14"/>
        <v>|Lｖ10|呪文+4|</v>
      </c>
      <c r="B98" t="s">
        <v>3</v>
      </c>
      <c r="C98" t="s">
        <v>39</v>
      </c>
      <c r="D98">
        <v>10</v>
      </c>
      <c r="E98" t="s">
        <v>3</v>
      </c>
      <c r="F98" t="s">
        <v>21</v>
      </c>
      <c r="G98" t="str">
        <f t="shared" si="15"/>
        <v>+</v>
      </c>
      <c r="H98">
        <v>4</v>
      </c>
      <c r="I98" t="s">
        <v>3</v>
      </c>
      <c r="Q98" t="s">
        <v>40</v>
      </c>
    </row>
    <row r="99" spans="1:17" x14ac:dyDescent="0.15">
      <c r="A99" t="str">
        <f t="shared" si="14"/>
        <v>|Lｖ11|HP+4|</v>
      </c>
      <c r="B99" t="s">
        <v>3</v>
      </c>
      <c r="C99" t="s">
        <v>39</v>
      </c>
      <c r="D99">
        <v>11</v>
      </c>
      <c r="E99" t="s">
        <v>3</v>
      </c>
      <c r="F99" t="s">
        <v>7</v>
      </c>
      <c r="G99" t="str">
        <f t="shared" si="15"/>
        <v>+</v>
      </c>
      <c r="H99">
        <v>4</v>
      </c>
      <c r="I99" t="s">
        <v>3</v>
      </c>
      <c r="Q99" t="s">
        <v>41</v>
      </c>
    </row>
    <row r="100" spans="1:17" x14ac:dyDescent="0.15">
      <c r="A100" t="str">
        <f t="shared" si="14"/>
        <v>|Lｖ12|回復速度上昇|</v>
      </c>
      <c r="B100" t="s">
        <v>3</v>
      </c>
      <c r="C100" t="s">
        <v>39</v>
      </c>
      <c r="D100">
        <v>12</v>
      </c>
      <c r="E100" t="s">
        <v>3</v>
      </c>
      <c r="F100" t="s">
        <v>43</v>
      </c>
      <c r="G100" t="str">
        <f t="shared" si="15"/>
        <v/>
      </c>
      <c r="I100" t="s">
        <v>3</v>
      </c>
      <c r="Q100" t="s">
        <v>42</v>
      </c>
    </row>
    <row r="101" spans="1:17" x14ac:dyDescent="0.15">
      <c r="A101" t="str">
        <f t="shared" si="14"/>
        <v>|Lｖ13|サポート+4|</v>
      </c>
      <c r="B101" t="s">
        <v>3</v>
      </c>
      <c r="C101" t="s">
        <v>39</v>
      </c>
      <c r="D101">
        <v>13</v>
      </c>
      <c r="E101" t="s">
        <v>3</v>
      </c>
      <c r="F101" t="s">
        <v>22</v>
      </c>
      <c r="G101" t="str">
        <f t="shared" si="15"/>
        <v>+</v>
      </c>
      <c r="H101">
        <v>4</v>
      </c>
      <c r="I101" t="s">
        <v>3</v>
      </c>
      <c r="Q101" t="s">
        <v>43</v>
      </c>
    </row>
    <row r="102" spans="1:17" x14ac:dyDescent="0.15">
      <c r="A102" t="str">
        <f t="shared" si="14"/>
        <v>|Lｖ14|第2能力Lv1|</v>
      </c>
      <c r="B102" t="s">
        <v>3</v>
      </c>
      <c r="C102" t="s">
        <v>39</v>
      </c>
      <c r="D102">
        <v>14</v>
      </c>
      <c r="E102" t="s">
        <v>3</v>
      </c>
      <c r="F102" t="s">
        <v>41</v>
      </c>
      <c r="G102" t="str">
        <f t="shared" si="15"/>
        <v/>
      </c>
      <c r="H102">
        <v>1</v>
      </c>
      <c r="I102" t="s">
        <v>3</v>
      </c>
    </row>
    <row r="103" spans="1:17" x14ac:dyDescent="0.15">
      <c r="A103" t="str">
        <f t="shared" si="14"/>
        <v>|Lｖ15|HP+4|</v>
      </c>
      <c r="B103" t="s">
        <v>3</v>
      </c>
      <c r="C103" t="s">
        <v>39</v>
      </c>
      <c r="D103">
        <v>15</v>
      </c>
      <c r="E103" t="s">
        <v>3</v>
      </c>
      <c r="F103" t="s">
        <v>7</v>
      </c>
      <c r="G103" t="str">
        <f t="shared" si="15"/>
        <v>+</v>
      </c>
      <c r="H103">
        <v>4</v>
      </c>
      <c r="I103" t="s">
        <v>3</v>
      </c>
    </row>
    <row r="104" spans="1:17" x14ac:dyDescent="0.15">
      <c r="A104" t="str">
        <f t="shared" si="14"/>
        <v>|Lｖ16|回復速度上昇|</v>
      </c>
      <c r="B104" t="s">
        <v>3</v>
      </c>
      <c r="C104" t="s">
        <v>39</v>
      </c>
      <c r="D104">
        <v>16</v>
      </c>
      <c r="E104" t="s">
        <v>3</v>
      </c>
      <c r="F104" t="s">
        <v>43</v>
      </c>
      <c r="G104" t="str">
        <f t="shared" si="15"/>
        <v/>
      </c>
      <c r="I104" t="s">
        <v>3</v>
      </c>
    </row>
    <row r="105" spans="1:17" x14ac:dyDescent="0.15">
      <c r="A105" t="str">
        <f t="shared" si="14"/>
        <v>|Lｖ17|青+1|</v>
      </c>
      <c r="B105" t="s">
        <v>3</v>
      </c>
      <c r="C105" t="s">
        <v>39</v>
      </c>
      <c r="D105">
        <v>17</v>
      </c>
      <c r="E105" t="s">
        <v>3</v>
      </c>
      <c r="F105" t="s">
        <v>12</v>
      </c>
      <c r="G105" t="str">
        <f t="shared" si="15"/>
        <v>+</v>
      </c>
      <c r="H105">
        <v>1</v>
      </c>
      <c r="I105" t="s">
        <v>3</v>
      </c>
    </row>
    <row r="106" spans="1:17" x14ac:dyDescent="0.15">
      <c r="A106" t="str">
        <f t="shared" si="14"/>
        <v>|Lｖ18|回復速度上昇|</v>
      </c>
      <c r="B106" t="s">
        <v>3</v>
      </c>
      <c r="C106" t="s">
        <v>39</v>
      </c>
      <c r="D106">
        <v>18</v>
      </c>
      <c r="E106" t="s">
        <v>3</v>
      </c>
      <c r="F106" t="s">
        <v>43</v>
      </c>
      <c r="G106" t="str">
        <f t="shared" si="15"/>
        <v/>
      </c>
      <c r="I106" t="s">
        <v>3</v>
      </c>
    </row>
    <row r="107" spans="1:17" x14ac:dyDescent="0.15">
      <c r="A107" t="str">
        <f t="shared" si="14"/>
        <v>|Lｖ19|HP+4|</v>
      </c>
      <c r="B107" t="s">
        <v>3</v>
      </c>
      <c r="C107" t="s">
        <v>39</v>
      </c>
      <c r="D107">
        <v>19</v>
      </c>
      <c r="E107" t="s">
        <v>3</v>
      </c>
      <c r="F107" t="s">
        <v>7</v>
      </c>
      <c r="G107" t="str">
        <f t="shared" si="15"/>
        <v>+</v>
      </c>
      <c r="H107">
        <v>4</v>
      </c>
      <c r="I107" t="s">
        <v>3</v>
      </c>
    </row>
    <row r="108" spans="1:17" x14ac:dyDescent="0.15">
      <c r="A108" t="str">
        <f t="shared" si="14"/>
        <v>|Lｖ20|第2能力Lv2|</v>
      </c>
      <c r="B108" t="s">
        <v>3</v>
      </c>
      <c r="C108" t="s">
        <v>39</v>
      </c>
      <c r="D108">
        <v>20</v>
      </c>
      <c r="E108" t="s">
        <v>3</v>
      </c>
      <c r="F108" t="s">
        <v>41</v>
      </c>
      <c r="G108" t="str">
        <f t="shared" si="15"/>
        <v/>
      </c>
      <c r="H108">
        <v>2</v>
      </c>
      <c r="I108" t="s">
        <v>3</v>
      </c>
    </row>
    <row r="109" spans="1:17" x14ac:dyDescent="0.15">
      <c r="A109" t="str">
        <f t="shared" si="14"/>
        <v>|Lｖ21|回復速度上昇|</v>
      </c>
      <c r="B109" t="s">
        <v>3</v>
      </c>
      <c r="C109" t="s">
        <v>39</v>
      </c>
      <c r="D109">
        <v>21</v>
      </c>
      <c r="E109" t="s">
        <v>3</v>
      </c>
      <c r="F109" t="s">
        <v>43</v>
      </c>
      <c r="G109" t="str">
        <f t="shared" si="15"/>
        <v/>
      </c>
      <c r="I109" t="s">
        <v>3</v>
      </c>
    </row>
    <row r="110" spans="1:17" x14ac:dyDescent="0.15">
      <c r="A110" t="str">
        <f t="shared" si="14"/>
        <v>|Lｖ22|呪文+1|</v>
      </c>
      <c r="B110" t="s">
        <v>3</v>
      </c>
      <c r="C110" t="s">
        <v>39</v>
      </c>
      <c r="D110">
        <v>22</v>
      </c>
      <c r="E110" t="s">
        <v>3</v>
      </c>
      <c r="F110" t="s">
        <v>21</v>
      </c>
      <c r="G110" t="str">
        <f t="shared" si="15"/>
        <v>+</v>
      </c>
      <c r="H110">
        <v>1</v>
      </c>
      <c r="I110" t="s">
        <v>3</v>
      </c>
    </row>
    <row r="111" spans="1:17" x14ac:dyDescent="0.15">
      <c r="A111" t="str">
        <f t="shared" si="14"/>
        <v>|Lｖ23|HP+4|</v>
      </c>
      <c r="B111" t="s">
        <v>3</v>
      </c>
      <c r="C111" t="s">
        <v>39</v>
      </c>
      <c r="D111">
        <v>23</v>
      </c>
      <c r="E111" t="s">
        <v>3</v>
      </c>
      <c r="F111" t="s">
        <v>7</v>
      </c>
      <c r="G111" t="str">
        <f t="shared" si="15"/>
        <v>+</v>
      </c>
      <c r="H111">
        <v>4</v>
      </c>
      <c r="I111" t="s">
        <v>3</v>
      </c>
    </row>
    <row r="112" spans="1:17" x14ac:dyDescent="0.15">
      <c r="A112" t="str">
        <f t="shared" si="14"/>
        <v>|Lｖ24|白+1|</v>
      </c>
      <c r="B112" t="s">
        <v>3</v>
      </c>
      <c r="C112" t="s">
        <v>39</v>
      </c>
      <c r="D112">
        <v>24</v>
      </c>
      <c r="E112" t="s">
        <v>3</v>
      </c>
      <c r="F112" t="s">
        <v>11</v>
      </c>
      <c r="G112" t="str">
        <f t="shared" si="15"/>
        <v>+</v>
      </c>
      <c r="H112">
        <v>1</v>
      </c>
      <c r="I112" t="s">
        <v>3</v>
      </c>
    </row>
    <row r="113" spans="1:9" x14ac:dyDescent="0.15">
      <c r="A113" t="str">
        <f t="shared" si="14"/>
        <v>|Lｖ25|クリーチャー+1|</v>
      </c>
      <c r="B113" t="s">
        <v>3</v>
      </c>
      <c r="C113" t="s">
        <v>39</v>
      </c>
      <c r="D113">
        <v>25</v>
      </c>
      <c r="E113" t="s">
        <v>3</v>
      </c>
      <c r="F113" t="s">
        <v>20</v>
      </c>
      <c r="G113" t="str">
        <f t="shared" si="15"/>
        <v>+</v>
      </c>
      <c r="H113">
        <v>1</v>
      </c>
      <c r="I113" t="s">
        <v>3</v>
      </c>
    </row>
    <row r="114" spans="1:9" x14ac:dyDescent="0.15">
      <c r="A114" t="str">
        <f t="shared" si="14"/>
        <v>|Lｖ26|第3能力Lv1|</v>
      </c>
      <c r="B114" t="s">
        <v>3</v>
      </c>
      <c r="C114" t="s">
        <v>39</v>
      </c>
      <c r="D114">
        <v>26</v>
      </c>
      <c r="E114" t="s">
        <v>3</v>
      </c>
      <c r="F114" t="s">
        <v>42</v>
      </c>
      <c r="G114" t="str">
        <f t="shared" si="15"/>
        <v/>
      </c>
      <c r="H114">
        <v>1</v>
      </c>
      <c r="I114" t="s">
        <v>3</v>
      </c>
    </row>
    <row r="115" spans="1:9" x14ac:dyDescent="0.15">
      <c r="A115" t="str">
        <f t="shared" si="14"/>
        <v>|Lｖ27|回復速度上昇|</v>
      </c>
      <c r="B115" t="s">
        <v>3</v>
      </c>
      <c r="C115" t="s">
        <v>39</v>
      </c>
      <c r="D115">
        <v>27</v>
      </c>
      <c r="E115" t="s">
        <v>3</v>
      </c>
      <c r="F115" t="s">
        <v>43</v>
      </c>
      <c r="G115" t="str">
        <f t="shared" si="15"/>
        <v/>
      </c>
      <c r="I115" t="s">
        <v>3</v>
      </c>
    </row>
    <row r="116" spans="1:9" x14ac:dyDescent="0.15">
      <c r="A116" t="str">
        <f t="shared" si="14"/>
        <v>|Lｖ28|HP+4|</v>
      </c>
      <c r="B116" t="s">
        <v>3</v>
      </c>
      <c r="C116" t="s">
        <v>39</v>
      </c>
      <c r="D116">
        <v>28</v>
      </c>
      <c r="E116" t="s">
        <v>3</v>
      </c>
      <c r="F116" t="s">
        <v>7</v>
      </c>
      <c r="G116" t="str">
        <f t="shared" si="15"/>
        <v>+</v>
      </c>
      <c r="H116">
        <v>4</v>
      </c>
      <c r="I116" t="s">
        <v>3</v>
      </c>
    </row>
    <row r="117" spans="1:9" x14ac:dyDescent="0.15">
      <c r="A117" t="str">
        <f t="shared" si="14"/>
        <v>|Lｖ29|サポート+1|</v>
      </c>
      <c r="B117" t="s">
        <v>3</v>
      </c>
      <c r="C117" t="s">
        <v>39</v>
      </c>
      <c r="D117">
        <v>29</v>
      </c>
      <c r="E117" t="s">
        <v>3</v>
      </c>
      <c r="F117" t="s">
        <v>22</v>
      </c>
      <c r="G117" t="str">
        <f t="shared" si="15"/>
        <v>+</v>
      </c>
      <c r="H117">
        <v>1</v>
      </c>
      <c r="I117" t="s">
        <v>3</v>
      </c>
    </row>
    <row r="118" spans="1:9" x14ac:dyDescent="0.15">
      <c r="A118" t="str">
        <f t="shared" si="14"/>
        <v>|Lｖ30|HP+4|</v>
      </c>
      <c r="B118" t="s">
        <v>3</v>
      </c>
      <c r="C118" t="s">
        <v>39</v>
      </c>
      <c r="D118">
        <v>30</v>
      </c>
      <c r="E118" t="s">
        <v>3</v>
      </c>
      <c r="F118" t="s">
        <v>7</v>
      </c>
      <c r="G118" t="str">
        <f t="shared" si="15"/>
        <v>+</v>
      </c>
      <c r="H118">
        <v>4</v>
      </c>
      <c r="I118" t="s">
        <v>3</v>
      </c>
    </row>
    <row r="119" spans="1:9" x14ac:dyDescent="0.15">
      <c r="A119" t="str">
        <f t="shared" si="14"/>
        <v>|Lｖ31|回復速度上昇|</v>
      </c>
      <c r="B119" t="s">
        <v>3</v>
      </c>
      <c r="C119" t="s">
        <v>39</v>
      </c>
      <c r="D119">
        <v>31</v>
      </c>
      <c r="E119" t="s">
        <v>3</v>
      </c>
      <c r="F119" t="s">
        <v>43</v>
      </c>
      <c r="G119" t="str">
        <f t="shared" si="15"/>
        <v/>
      </c>
      <c r="I119" t="s">
        <v>3</v>
      </c>
    </row>
    <row r="120" spans="1:9" x14ac:dyDescent="0.15">
      <c r="A120" t="str">
        <f t="shared" si="14"/>
        <v>|Lｖ32|HP+4|</v>
      </c>
      <c r="B120" t="s">
        <v>3</v>
      </c>
      <c r="C120" t="s">
        <v>39</v>
      </c>
      <c r="D120">
        <v>32</v>
      </c>
      <c r="E120" t="s">
        <v>3</v>
      </c>
      <c r="F120" t="s">
        <v>7</v>
      </c>
      <c r="G120" t="str">
        <f t="shared" si="15"/>
        <v>+</v>
      </c>
      <c r="H120">
        <v>4</v>
      </c>
      <c r="I120" t="s">
        <v>3</v>
      </c>
    </row>
    <row r="121" spans="1:9" x14ac:dyDescent="0.15">
      <c r="A121" t="str">
        <f t="shared" si="14"/>
        <v>|Lｖ33|第3能力Lv2|</v>
      </c>
      <c r="B121" t="s">
        <v>3</v>
      </c>
      <c r="C121" t="s">
        <v>39</v>
      </c>
      <c r="D121">
        <v>33</v>
      </c>
      <c r="E121" t="s">
        <v>3</v>
      </c>
      <c r="F121" t="s">
        <v>42</v>
      </c>
      <c r="G121" t="str">
        <f t="shared" si="15"/>
        <v/>
      </c>
      <c r="H121">
        <v>2</v>
      </c>
      <c r="I121" t="s">
        <v>3</v>
      </c>
    </row>
    <row r="122" spans="1:9" x14ac:dyDescent="0.15">
      <c r="A122" t="str">
        <f t="shared" si="14"/>
        <v>|Lｖ34|赤+1|</v>
      </c>
      <c r="B122" t="s">
        <v>3</v>
      </c>
      <c r="C122" t="s">
        <v>39</v>
      </c>
      <c r="D122">
        <v>34</v>
      </c>
      <c r="E122" t="s">
        <v>3</v>
      </c>
      <c r="F122" t="s">
        <v>14</v>
      </c>
      <c r="G122" t="str">
        <f t="shared" ref="G122:G148" si="16">IF(OR(F122=$Q$98,F122=$Q$99,F122=$Q$100,F122=$Q$101,ISBLANK(F122)),"","+")</f>
        <v>+</v>
      </c>
      <c r="H122">
        <v>1</v>
      </c>
      <c r="I122" t="s">
        <v>3</v>
      </c>
    </row>
    <row r="123" spans="1:9" x14ac:dyDescent="0.15">
      <c r="A123" t="str">
        <f t="shared" si="14"/>
        <v>|Lｖ35|回復速度上昇|</v>
      </c>
      <c r="B123" t="s">
        <v>3</v>
      </c>
      <c r="C123" t="s">
        <v>39</v>
      </c>
      <c r="D123">
        <v>35</v>
      </c>
      <c r="E123" t="s">
        <v>3</v>
      </c>
      <c r="F123" t="s">
        <v>43</v>
      </c>
      <c r="G123" t="str">
        <f t="shared" si="16"/>
        <v/>
      </c>
      <c r="I123" t="s">
        <v>3</v>
      </c>
    </row>
    <row r="124" spans="1:9" x14ac:dyDescent="0.15">
      <c r="A124" t="str">
        <f t="shared" si="14"/>
        <v>|Lｖ36|HP+4|</v>
      </c>
      <c r="B124" t="s">
        <v>3</v>
      </c>
      <c r="C124" t="s">
        <v>39</v>
      </c>
      <c r="D124">
        <v>36</v>
      </c>
      <c r="E124" t="s">
        <v>3</v>
      </c>
      <c r="F124" t="s">
        <v>7</v>
      </c>
      <c r="G124" t="str">
        <f t="shared" si="16"/>
        <v>+</v>
      </c>
      <c r="H124">
        <v>4</v>
      </c>
      <c r="I124" t="s">
        <v>3</v>
      </c>
    </row>
    <row r="125" spans="1:9" x14ac:dyDescent="0.15">
      <c r="A125" t="str">
        <f t="shared" si="14"/>
        <v>|Lｖ37|緑+1|</v>
      </c>
      <c r="B125" t="s">
        <v>3</v>
      </c>
      <c r="C125" t="s">
        <v>39</v>
      </c>
      <c r="D125">
        <v>37</v>
      </c>
      <c r="E125" t="s">
        <v>3</v>
      </c>
      <c r="F125" t="s">
        <v>15</v>
      </c>
      <c r="G125" t="str">
        <f t="shared" si="16"/>
        <v>+</v>
      </c>
      <c r="H125">
        <v>1</v>
      </c>
      <c r="I125" t="s">
        <v>3</v>
      </c>
    </row>
    <row r="126" spans="1:9" x14ac:dyDescent="0.15">
      <c r="A126" t="str">
        <f t="shared" si="14"/>
        <v>|Lｖ38|第1能力Lv3|</v>
      </c>
      <c r="B126" t="s">
        <v>3</v>
      </c>
      <c r="C126" t="s">
        <v>39</v>
      </c>
      <c r="D126">
        <v>38</v>
      </c>
      <c r="E126" t="s">
        <v>3</v>
      </c>
      <c r="F126" t="s">
        <v>40</v>
      </c>
      <c r="G126" t="str">
        <f t="shared" si="16"/>
        <v/>
      </c>
      <c r="H126">
        <v>3</v>
      </c>
      <c r="I126" t="s">
        <v>3</v>
      </c>
    </row>
    <row r="127" spans="1:9" x14ac:dyDescent="0.15">
      <c r="A127" t="str">
        <f t="shared" si="14"/>
        <v>|Lｖ39|呪文+1|</v>
      </c>
      <c r="B127" t="s">
        <v>3</v>
      </c>
      <c r="C127" t="s">
        <v>39</v>
      </c>
      <c r="D127">
        <v>39</v>
      </c>
      <c r="E127" t="s">
        <v>3</v>
      </c>
      <c r="F127" t="s">
        <v>21</v>
      </c>
      <c r="G127" t="str">
        <f t="shared" si="16"/>
        <v>+</v>
      </c>
      <c r="H127">
        <v>1</v>
      </c>
      <c r="I127" t="s">
        <v>3</v>
      </c>
    </row>
    <row r="128" spans="1:9" x14ac:dyDescent="0.15">
      <c r="A128" t="str">
        <f t="shared" si="14"/>
        <v>|Lｖ40|HP+4|</v>
      </c>
      <c r="B128" t="s">
        <v>3</v>
      </c>
      <c r="C128" t="s">
        <v>39</v>
      </c>
      <c r="D128">
        <v>40</v>
      </c>
      <c r="E128" t="s">
        <v>3</v>
      </c>
      <c r="F128" t="s">
        <v>7</v>
      </c>
      <c r="G128" t="str">
        <f t="shared" si="16"/>
        <v>+</v>
      </c>
      <c r="H128">
        <v>4</v>
      </c>
      <c r="I128" t="s">
        <v>3</v>
      </c>
    </row>
    <row r="129" spans="1:9" x14ac:dyDescent="0.15">
      <c r="A129" t="str">
        <f t="shared" si="14"/>
        <v>|Lｖ41|黒+1|</v>
      </c>
      <c r="B129" t="s">
        <v>3</v>
      </c>
      <c r="C129" t="s">
        <v>39</v>
      </c>
      <c r="D129">
        <v>41</v>
      </c>
      <c r="E129" t="s">
        <v>3</v>
      </c>
      <c r="F129" t="s">
        <v>13</v>
      </c>
      <c r="G129" t="str">
        <f t="shared" si="16"/>
        <v>+</v>
      </c>
      <c r="H129">
        <v>1</v>
      </c>
      <c r="I129" t="s">
        <v>3</v>
      </c>
    </row>
    <row r="130" spans="1:9" x14ac:dyDescent="0.15">
      <c r="A130" t="str">
        <f t="shared" si="14"/>
        <v>|Lｖ42|HP+4|</v>
      </c>
      <c r="B130" t="s">
        <v>3</v>
      </c>
      <c r="C130" t="s">
        <v>39</v>
      </c>
      <c r="D130">
        <v>42</v>
      </c>
      <c r="E130" t="s">
        <v>3</v>
      </c>
      <c r="F130" t="s">
        <v>7</v>
      </c>
      <c r="G130" t="str">
        <f t="shared" si="16"/>
        <v>+</v>
      </c>
      <c r="H130">
        <v>4</v>
      </c>
      <c r="I130" t="s">
        <v>3</v>
      </c>
    </row>
    <row r="131" spans="1:9" x14ac:dyDescent="0.15">
      <c r="A131" t="str">
        <f t="shared" si="14"/>
        <v>|Lｖ43|クリーチャー+1|</v>
      </c>
      <c r="B131" t="s">
        <v>3</v>
      </c>
      <c r="C131" t="s">
        <v>39</v>
      </c>
      <c r="D131">
        <v>43</v>
      </c>
      <c r="E131" t="s">
        <v>3</v>
      </c>
      <c r="F131" t="s">
        <v>20</v>
      </c>
      <c r="G131" t="str">
        <f t="shared" si="16"/>
        <v>+</v>
      </c>
      <c r="H131">
        <v>1</v>
      </c>
      <c r="I131" t="s">
        <v>3</v>
      </c>
    </row>
    <row r="132" spans="1:9" x14ac:dyDescent="0.15">
      <c r="A132" t="str">
        <f t="shared" si="14"/>
        <v>|Lｖ44|HP+4|</v>
      </c>
      <c r="B132" t="s">
        <v>3</v>
      </c>
      <c r="C132" t="s">
        <v>39</v>
      </c>
      <c r="D132">
        <v>44</v>
      </c>
      <c r="E132" t="s">
        <v>3</v>
      </c>
      <c r="F132" t="s">
        <v>7</v>
      </c>
      <c r="G132" t="str">
        <f t="shared" si="16"/>
        <v>+</v>
      </c>
      <c r="H132">
        <v>4</v>
      </c>
      <c r="I132" t="s">
        <v>3</v>
      </c>
    </row>
    <row r="133" spans="1:9" x14ac:dyDescent="0.15">
      <c r="A133" t="str">
        <f t="shared" si="14"/>
        <v>|Lｖ45|第2能力Lv3|</v>
      </c>
      <c r="B133" t="s">
        <v>3</v>
      </c>
      <c r="C133" t="s">
        <v>39</v>
      </c>
      <c r="D133">
        <v>45</v>
      </c>
      <c r="E133" t="s">
        <v>3</v>
      </c>
      <c r="F133" t="s">
        <v>41</v>
      </c>
      <c r="G133" t="str">
        <f t="shared" si="16"/>
        <v/>
      </c>
      <c r="H133">
        <v>3</v>
      </c>
      <c r="I133" t="s">
        <v>3</v>
      </c>
    </row>
    <row r="134" spans="1:9" x14ac:dyDescent="0.15">
      <c r="A134" t="str">
        <f t="shared" si="14"/>
        <v>|Lｖ46|回復速度上昇|</v>
      </c>
      <c r="B134" t="s">
        <v>3</v>
      </c>
      <c r="C134" t="s">
        <v>39</v>
      </c>
      <c r="D134">
        <v>46</v>
      </c>
      <c r="E134" t="s">
        <v>3</v>
      </c>
      <c r="F134" t="s">
        <v>43</v>
      </c>
      <c r="G134" t="str">
        <f t="shared" si="16"/>
        <v/>
      </c>
      <c r="I134" t="s">
        <v>3</v>
      </c>
    </row>
    <row r="135" spans="1:9" x14ac:dyDescent="0.15">
      <c r="A135" t="str">
        <f t="shared" si="14"/>
        <v>|Lｖ47|サポート+1|</v>
      </c>
      <c r="B135" t="s">
        <v>3</v>
      </c>
      <c r="C135" t="s">
        <v>39</v>
      </c>
      <c r="D135">
        <v>47</v>
      </c>
      <c r="E135" t="s">
        <v>3</v>
      </c>
      <c r="F135" t="s">
        <v>22</v>
      </c>
      <c r="G135" t="str">
        <f t="shared" si="16"/>
        <v>+</v>
      </c>
      <c r="H135">
        <v>1</v>
      </c>
      <c r="I135" t="s">
        <v>3</v>
      </c>
    </row>
    <row r="136" spans="1:9" x14ac:dyDescent="0.15">
      <c r="A136" t="str">
        <f t="shared" si="14"/>
        <v>|Lｖ48|HP+4|</v>
      </c>
      <c r="B136" t="s">
        <v>3</v>
      </c>
      <c r="C136" t="s">
        <v>39</v>
      </c>
      <c r="D136">
        <v>48</v>
      </c>
      <c r="E136" t="s">
        <v>3</v>
      </c>
      <c r="F136" t="s">
        <v>7</v>
      </c>
      <c r="G136" t="str">
        <f t="shared" si="16"/>
        <v>+</v>
      </c>
      <c r="H136">
        <v>4</v>
      </c>
      <c r="I136" t="s">
        <v>3</v>
      </c>
    </row>
    <row r="137" spans="1:9" x14ac:dyDescent="0.15">
      <c r="A137" t="str">
        <f t="shared" si="14"/>
        <v>|Lｖ49|回復速度上昇|</v>
      </c>
      <c r="B137" t="s">
        <v>3</v>
      </c>
      <c r="C137" t="s">
        <v>39</v>
      </c>
      <c r="D137">
        <v>49</v>
      </c>
      <c r="E137" t="s">
        <v>3</v>
      </c>
      <c r="F137" t="s">
        <v>43</v>
      </c>
      <c r="G137" t="str">
        <f t="shared" si="16"/>
        <v/>
      </c>
      <c r="I137" t="s">
        <v>3</v>
      </c>
    </row>
    <row r="138" spans="1:9" x14ac:dyDescent="0.15">
      <c r="A138" t="str">
        <f t="shared" si="14"/>
        <v>|Lｖ50|第3能力Lv3|</v>
      </c>
      <c r="B138" t="s">
        <v>3</v>
      </c>
      <c r="C138" t="s">
        <v>39</v>
      </c>
      <c r="D138">
        <v>50</v>
      </c>
      <c r="E138" t="s">
        <v>3</v>
      </c>
      <c r="F138" t="s">
        <v>42</v>
      </c>
      <c r="G138" t="str">
        <f t="shared" si="16"/>
        <v/>
      </c>
      <c r="H138">
        <v>3</v>
      </c>
      <c r="I138" t="s">
        <v>3</v>
      </c>
    </row>
    <row r="139" spans="1:9" x14ac:dyDescent="0.15">
      <c r="A139" t="str">
        <f t="shared" si="14"/>
        <v>|Lｖ51|第1能力Lv4|</v>
      </c>
      <c r="B139" t="s">
        <v>3</v>
      </c>
      <c r="C139" t="s">
        <v>39</v>
      </c>
      <c r="D139">
        <v>51</v>
      </c>
      <c r="E139" t="s">
        <v>3</v>
      </c>
      <c r="F139" t="s">
        <v>40</v>
      </c>
      <c r="G139" t="str">
        <f t="shared" si="16"/>
        <v/>
      </c>
      <c r="H139">
        <v>4</v>
      </c>
      <c r="I139" t="s">
        <v>3</v>
      </c>
    </row>
    <row r="140" spans="1:9" x14ac:dyDescent="0.15">
      <c r="A140" t="str">
        <f t="shared" si="14"/>
        <v>|Lｖ52|HP+8|</v>
      </c>
      <c r="B140" t="s">
        <v>3</v>
      </c>
      <c r="C140" t="s">
        <v>39</v>
      </c>
      <c r="D140">
        <v>52</v>
      </c>
      <c r="E140" t="s">
        <v>3</v>
      </c>
      <c r="F140" t="s">
        <v>7</v>
      </c>
      <c r="G140" t="str">
        <f t="shared" si="16"/>
        <v>+</v>
      </c>
      <c r="H140">
        <v>8</v>
      </c>
      <c r="I140" t="s">
        <v>3</v>
      </c>
    </row>
    <row r="141" spans="1:9" x14ac:dyDescent="0.15">
      <c r="A141" t="str">
        <f t="shared" si="14"/>
        <v>|Lｖ53|回復速度上昇|</v>
      </c>
      <c r="B141" t="s">
        <v>3</v>
      </c>
      <c r="C141" t="s">
        <v>39</v>
      </c>
      <c r="D141">
        <v>53</v>
      </c>
      <c r="E141" t="s">
        <v>3</v>
      </c>
      <c r="F141" t="s">
        <v>43</v>
      </c>
      <c r="G141" t="str">
        <f t="shared" si="16"/>
        <v/>
      </c>
      <c r="I141" t="s">
        <v>3</v>
      </c>
    </row>
    <row r="142" spans="1:9" x14ac:dyDescent="0.15">
      <c r="A142" t="str">
        <f t="shared" si="14"/>
        <v>|Lｖ54|呪文+2|</v>
      </c>
      <c r="B142" t="s">
        <v>3</v>
      </c>
      <c r="C142" t="s">
        <v>39</v>
      </c>
      <c r="D142">
        <v>54</v>
      </c>
      <c r="E142" t="s">
        <v>3</v>
      </c>
      <c r="F142" t="s">
        <v>21</v>
      </c>
      <c r="G142" t="str">
        <f t="shared" si="16"/>
        <v>+</v>
      </c>
      <c r="H142">
        <v>2</v>
      </c>
      <c r="I142" t="s">
        <v>3</v>
      </c>
    </row>
    <row r="143" spans="1:9" x14ac:dyDescent="0.15">
      <c r="A143" t="str">
        <f t="shared" ref="A143:A154" si="17">B143&amp;C143&amp;D143&amp;E143&amp;F143&amp;G143&amp;H143&amp;I143&amp;J143&amp;K143&amp;L143&amp;M143&amp;N143&amp;O143&amp;P143</f>
        <v>|Lｖ55|第2能力Lv4|</v>
      </c>
      <c r="B143" t="s">
        <v>3</v>
      </c>
      <c r="C143" t="s">
        <v>39</v>
      </c>
      <c r="D143">
        <v>55</v>
      </c>
      <c r="E143" t="s">
        <v>3</v>
      </c>
      <c r="F143" t="s">
        <v>41</v>
      </c>
      <c r="G143" t="str">
        <f t="shared" si="16"/>
        <v/>
      </c>
      <c r="H143">
        <v>4</v>
      </c>
      <c r="I143" t="s">
        <v>3</v>
      </c>
    </row>
    <row r="144" spans="1:9" x14ac:dyDescent="0.15">
      <c r="A144" t="str">
        <f t="shared" si="17"/>
        <v>|Lｖ56|サポート+2|</v>
      </c>
      <c r="B144" t="s">
        <v>3</v>
      </c>
      <c r="C144" t="s">
        <v>39</v>
      </c>
      <c r="D144">
        <v>56</v>
      </c>
      <c r="E144" t="s">
        <v>3</v>
      </c>
      <c r="F144" t="s">
        <v>22</v>
      </c>
      <c r="G144" t="str">
        <f t="shared" si="16"/>
        <v>+</v>
      </c>
      <c r="H144">
        <v>2</v>
      </c>
      <c r="I144" t="s">
        <v>3</v>
      </c>
    </row>
    <row r="145" spans="1:9" x14ac:dyDescent="0.15">
      <c r="A145" t="str">
        <f t="shared" si="17"/>
        <v>|Lｖ57|呪文+2|</v>
      </c>
      <c r="B145" t="s">
        <v>3</v>
      </c>
      <c r="C145" t="s">
        <v>39</v>
      </c>
      <c r="D145">
        <v>57</v>
      </c>
      <c r="E145" t="s">
        <v>3</v>
      </c>
      <c r="F145" t="s">
        <v>21</v>
      </c>
      <c r="G145" t="str">
        <f t="shared" si="16"/>
        <v>+</v>
      </c>
      <c r="H145">
        <v>2</v>
      </c>
      <c r="I145" t="s">
        <v>3</v>
      </c>
    </row>
    <row r="146" spans="1:9" x14ac:dyDescent="0.15">
      <c r="A146" t="str">
        <f t="shared" si="17"/>
        <v>|Lｖ58|クリーチャー+1|</v>
      </c>
      <c r="B146" t="s">
        <v>3</v>
      </c>
      <c r="C146" t="s">
        <v>39</v>
      </c>
      <c r="D146">
        <v>58</v>
      </c>
      <c r="E146" t="s">
        <v>3</v>
      </c>
      <c r="F146" t="s">
        <v>20</v>
      </c>
      <c r="G146" t="str">
        <f t="shared" si="16"/>
        <v>+</v>
      </c>
      <c r="H146">
        <v>1</v>
      </c>
      <c r="I146" t="s">
        <v>3</v>
      </c>
    </row>
    <row r="147" spans="1:9" x14ac:dyDescent="0.15">
      <c r="A147" t="str">
        <f t="shared" si="17"/>
        <v>|Lｖ59|回復速度上昇|</v>
      </c>
      <c r="B147" t="s">
        <v>3</v>
      </c>
      <c r="C147" t="s">
        <v>39</v>
      </c>
      <c r="D147">
        <v>59</v>
      </c>
      <c r="E147" t="s">
        <v>3</v>
      </c>
      <c r="F147" t="s">
        <v>43</v>
      </c>
      <c r="G147" t="str">
        <f t="shared" si="16"/>
        <v/>
      </c>
      <c r="I147" t="s">
        <v>3</v>
      </c>
    </row>
    <row r="148" spans="1:9" x14ac:dyDescent="0.15">
      <c r="A148" t="str">
        <f t="shared" si="17"/>
        <v>|Lｖ60|第3能力Lv4|</v>
      </c>
      <c r="B148" t="s">
        <v>3</v>
      </c>
      <c r="C148" t="s">
        <v>39</v>
      </c>
      <c r="D148">
        <v>60</v>
      </c>
      <c r="E148" t="s">
        <v>3</v>
      </c>
      <c r="F148" t="s">
        <v>42</v>
      </c>
      <c r="G148" t="str">
        <f t="shared" si="16"/>
        <v/>
      </c>
      <c r="H148">
        <v>4</v>
      </c>
      <c r="I148" t="s">
        <v>3</v>
      </c>
    </row>
    <row r="149" spans="1:9" x14ac:dyDescent="0.15">
      <c r="A149" t="str">
        <f t="shared" si="17"/>
        <v>必要総経験値：79920ルーン</v>
      </c>
      <c r="B149" t="s">
        <v>45</v>
      </c>
      <c r="C149">
        <v>79920</v>
      </c>
      <c r="F149" t="s">
        <v>46</v>
      </c>
    </row>
    <row r="150" spans="1:9" x14ac:dyDescent="0.15">
      <c r="A150" t="str">
        <f t="shared" si="17"/>
        <v>&amp;br;</v>
      </c>
      <c r="B150" t="s">
        <v>0</v>
      </c>
    </row>
    <row r="151" spans="1:9" x14ac:dyDescent="0.15">
      <c r="A151" t="str">
        <f t="shared" si="17"/>
        <v>#back(text=戻る,left)</v>
      </c>
      <c r="B151" t="s">
        <v>47</v>
      </c>
    </row>
    <row r="152" spans="1:9" x14ac:dyDescent="0.15">
      <c r="A152" t="str">
        <f t="shared" si="17"/>
        <v>&amp;br;</v>
      </c>
      <c r="B152" t="s">
        <v>0</v>
      </c>
    </row>
    <row r="153" spans="1:9" x14ac:dyDescent="0.15">
      <c r="A153" t="str">
        <f t="shared" si="17"/>
        <v>#comment(above,nsize=[15],size=[30],num=[10])</v>
      </c>
      <c r="B153" t="s">
        <v>48</v>
      </c>
    </row>
    <row r="154" spans="1:9" x14ac:dyDescent="0.15">
      <c r="A154" t="str">
        <f t="shared" si="17"/>
        <v>[[プレインズウォーカーリスト&gt;プレインズウォーカーリスト]]</v>
      </c>
      <c r="B154" t="s">
        <v>49</v>
      </c>
    </row>
  </sheetData>
  <autoFilter ref="C89:H154"/>
  <phoneticPr fontId="4"/>
  <dataValidations count="2">
    <dataValidation type="list" allowBlank="1" showInputMessage="1" showErrorMessage="1" sqref="F149">
      <formula1>$Q$79:$Q$91</formula1>
    </dataValidation>
    <dataValidation type="list" allowBlank="1" showInputMessage="1" showErrorMessage="1" sqref="F90:F148">
      <formula1>$Q$89:$Q$101</formula1>
    </dataValidation>
  </dataValidations>
  <pageMargins left="0.69930555555555596" right="0.69930555555555596"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T162"/>
  <sheetViews>
    <sheetView workbookViewId="0">
      <selection activeCell="R68" sqref="R68:T73"/>
    </sheetView>
  </sheetViews>
  <sheetFormatPr defaultColWidth="9" defaultRowHeight="13.5" x14ac:dyDescent="0.15"/>
  <cols>
    <col min="2" max="2" width="3.5" customWidth="1"/>
    <col min="3" max="3" width="7.875" customWidth="1"/>
    <col min="4" max="4" width="5.5" customWidth="1"/>
    <col min="5" max="5" width="2" customWidth="1"/>
    <col min="7" max="7" width="2" customWidth="1"/>
    <col min="9" max="9" width="2" customWidth="1"/>
    <col min="11" max="11" width="2" customWidth="1"/>
    <col min="13" max="13" width="2" customWidth="1"/>
    <col min="15" max="15" width="2" customWidth="1"/>
    <col min="17" max="17" width="2.75" customWidth="1"/>
  </cols>
  <sheetData>
    <row r="1" spans="1:8" x14ac:dyDescent="0.15">
      <c r="A1" t="str">
        <f>B1&amp;C1&amp;D1&amp;E1&amp;F1&amp;G1&amp;H1&amp;I1&amp;J1&amp;K1&amp;L1&amp;M1&amp;N1&amp;O1&amp;P1</f>
        <v>特別オファーで購入するか、期間限定でMCを支払い購入することで入手できる。</v>
      </c>
      <c r="B1" t="s">
        <v>130</v>
      </c>
    </row>
    <row r="2" spans="1:8" x14ac:dyDescent="0.15">
      <c r="A2" t="str">
        <f>B2&amp;C2&amp;D2&amp;E2&amp;F2&amp;G2&amp;H2&amp;I2&amp;J2&amp;K2&amp;L2&amp;M2&amp;N2&amp;O2&amp;P2</f>
        <v>&amp;br;</v>
      </c>
      <c r="B2" t="s">
        <v>0</v>
      </c>
    </row>
    <row r="3" spans="1:8" x14ac:dyDescent="0.15">
      <c r="A3" t="str">
        <f>B3&amp;C3&amp;D3&amp;E3&amp;F3&amp;G3&amp;H3&amp;I3&amp;J3&amp;K3&amp;L3&amp;M3&amp;N3&amp;O3&amp;P3</f>
        <v>#contents()</v>
      </c>
      <c r="B3" t="s">
        <v>1</v>
      </c>
    </row>
    <row r="4" spans="1:8" x14ac:dyDescent="0.15">
      <c r="A4" t="str">
        <f>B4&amp;C4&amp;D4&amp;E4&amp;F4&amp;G4&amp;H4&amp;I4&amp;J4&amp;K4&amp;L4&amp;M4&amp;N4&amp;O4&amp;P4</f>
        <v>*HP [#f569d8c6]</v>
      </c>
      <c r="B4" t="s">
        <v>2</v>
      </c>
    </row>
    <row r="5" spans="1:8" x14ac:dyDescent="0.15">
      <c r="A5" t="str">
        <f>B5&amp;C5&amp;D5&amp;E5&amp;F5&amp;G5&amp;H5</f>
        <v>|LEFT:50|LEFT:50|c</v>
      </c>
      <c r="B5" t="s">
        <v>3</v>
      </c>
      <c r="C5" t="s">
        <v>4</v>
      </c>
      <c r="E5" t="s">
        <v>3</v>
      </c>
      <c r="F5" t="s">
        <v>4</v>
      </c>
      <c r="G5" t="s">
        <v>3</v>
      </c>
      <c r="H5" t="s">
        <v>5</v>
      </c>
    </row>
    <row r="6" spans="1:8" x14ac:dyDescent="0.15">
      <c r="A6" t="str">
        <f t="shared" ref="A6:A36" si="0">B6&amp;C6&amp;D6&amp;E6&amp;F6&amp;G6&amp;H6</f>
        <v>|レベル|HP|</v>
      </c>
      <c r="B6" t="s">
        <v>3</v>
      </c>
      <c r="C6" t="s">
        <v>6</v>
      </c>
      <c r="E6" t="s">
        <v>3</v>
      </c>
      <c r="F6" t="s">
        <v>7</v>
      </c>
      <c r="G6" t="s">
        <v>3</v>
      </c>
    </row>
    <row r="7" spans="1:8" x14ac:dyDescent="0.15">
      <c r="A7" t="str">
        <f t="shared" si="0"/>
        <v>|Lv1|32|</v>
      </c>
      <c r="B7" t="s">
        <v>3</v>
      </c>
      <c r="C7" t="s">
        <v>8</v>
      </c>
      <c r="D7">
        <v>1</v>
      </c>
      <c r="E7" t="s">
        <v>3</v>
      </c>
      <c r="F7">
        <v>32</v>
      </c>
      <c r="G7" t="s">
        <v>3</v>
      </c>
    </row>
    <row r="8" spans="1:8" x14ac:dyDescent="0.15">
      <c r="A8" t="str">
        <f t="shared" si="0"/>
        <v>|Lv3|35|</v>
      </c>
      <c r="B8" t="s">
        <v>3</v>
      </c>
      <c r="C8" t="s">
        <v>8</v>
      </c>
      <c r="D8">
        <v>3</v>
      </c>
      <c r="E8" t="s">
        <v>3</v>
      </c>
      <c r="F8">
        <f t="shared" ref="F8:F36" si="1">IF(ISBLANK(D8),"",F7+INDEX($H$97:$H$156,D8))</f>
        <v>35</v>
      </c>
      <c r="G8" t="s">
        <v>3</v>
      </c>
    </row>
    <row r="9" spans="1:8" x14ac:dyDescent="0.15">
      <c r="A9" t="str">
        <f t="shared" si="0"/>
        <v>|Lv5|38|</v>
      </c>
      <c r="B9" t="s">
        <v>3</v>
      </c>
      <c r="C9" t="s">
        <v>8</v>
      </c>
      <c r="D9">
        <v>5</v>
      </c>
      <c r="E9" t="s">
        <v>3</v>
      </c>
      <c r="F9">
        <f t="shared" si="1"/>
        <v>38</v>
      </c>
      <c r="G9" t="s">
        <v>3</v>
      </c>
    </row>
    <row r="10" spans="1:8" x14ac:dyDescent="0.15">
      <c r="A10" t="str">
        <f t="shared" si="0"/>
        <v>|Lv7|41|</v>
      </c>
      <c r="B10" t="s">
        <v>3</v>
      </c>
      <c r="C10" t="s">
        <v>8</v>
      </c>
      <c r="D10">
        <v>7</v>
      </c>
      <c r="E10" t="s">
        <v>3</v>
      </c>
      <c r="F10">
        <f t="shared" si="1"/>
        <v>41</v>
      </c>
      <c r="G10" t="s">
        <v>3</v>
      </c>
    </row>
    <row r="11" spans="1:8" x14ac:dyDescent="0.15">
      <c r="A11" t="str">
        <f t="shared" si="0"/>
        <v>|Lv9|44|</v>
      </c>
      <c r="B11" t="s">
        <v>3</v>
      </c>
      <c r="C11" t="s">
        <v>8</v>
      </c>
      <c r="D11">
        <v>9</v>
      </c>
      <c r="E11" t="s">
        <v>3</v>
      </c>
      <c r="F11">
        <f t="shared" si="1"/>
        <v>44</v>
      </c>
      <c r="G11" t="s">
        <v>3</v>
      </c>
    </row>
    <row r="12" spans="1:8" x14ac:dyDescent="0.15">
      <c r="A12" t="str">
        <f t="shared" si="0"/>
        <v>|Lv11|47|</v>
      </c>
      <c r="B12" t="s">
        <v>3</v>
      </c>
      <c r="C12" t="s">
        <v>8</v>
      </c>
      <c r="D12">
        <v>11</v>
      </c>
      <c r="E12" t="s">
        <v>3</v>
      </c>
      <c r="F12">
        <f t="shared" si="1"/>
        <v>47</v>
      </c>
      <c r="G12" t="s">
        <v>3</v>
      </c>
    </row>
    <row r="13" spans="1:8" x14ac:dyDescent="0.15">
      <c r="A13" t="str">
        <f t="shared" si="0"/>
        <v>|Lv13|50|</v>
      </c>
      <c r="B13" t="s">
        <v>3</v>
      </c>
      <c r="C13" t="s">
        <v>8</v>
      </c>
      <c r="D13">
        <v>13</v>
      </c>
      <c r="E13" t="s">
        <v>3</v>
      </c>
      <c r="F13">
        <f t="shared" si="1"/>
        <v>50</v>
      </c>
      <c r="G13" t="s">
        <v>3</v>
      </c>
    </row>
    <row r="14" spans="1:8" x14ac:dyDescent="0.15">
      <c r="A14" t="str">
        <f t="shared" si="0"/>
        <v>|Lv15|53|</v>
      </c>
      <c r="B14" t="s">
        <v>3</v>
      </c>
      <c r="C14" t="s">
        <v>8</v>
      </c>
      <c r="D14">
        <v>15</v>
      </c>
      <c r="E14" t="s">
        <v>3</v>
      </c>
      <c r="F14">
        <f t="shared" si="1"/>
        <v>53</v>
      </c>
      <c r="G14" t="s">
        <v>3</v>
      </c>
    </row>
    <row r="15" spans="1:8" x14ac:dyDescent="0.15">
      <c r="A15" t="str">
        <f t="shared" si="0"/>
        <v>|Lv17|56|</v>
      </c>
      <c r="B15" t="s">
        <v>3</v>
      </c>
      <c r="C15" t="s">
        <v>8</v>
      </c>
      <c r="D15">
        <v>17</v>
      </c>
      <c r="E15" t="s">
        <v>3</v>
      </c>
      <c r="F15">
        <f t="shared" si="1"/>
        <v>56</v>
      </c>
      <c r="G15" t="s">
        <v>3</v>
      </c>
    </row>
    <row r="16" spans="1:8" x14ac:dyDescent="0.15">
      <c r="A16" t="str">
        <f t="shared" si="0"/>
        <v>|Lv19|59|</v>
      </c>
      <c r="B16" t="s">
        <v>3</v>
      </c>
      <c r="C16" t="s">
        <v>8</v>
      </c>
      <c r="D16">
        <v>19</v>
      </c>
      <c r="E16" t="s">
        <v>3</v>
      </c>
      <c r="F16">
        <f t="shared" si="1"/>
        <v>59</v>
      </c>
      <c r="G16" t="s">
        <v>3</v>
      </c>
    </row>
    <row r="17" spans="1:7" x14ac:dyDescent="0.15">
      <c r="A17" t="str">
        <f t="shared" si="0"/>
        <v>|Lv21|62|</v>
      </c>
      <c r="B17" t="s">
        <v>3</v>
      </c>
      <c r="C17" t="s">
        <v>8</v>
      </c>
      <c r="D17">
        <v>21</v>
      </c>
      <c r="E17" t="s">
        <v>3</v>
      </c>
      <c r="F17">
        <f t="shared" si="1"/>
        <v>62</v>
      </c>
      <c r="G17" t="s">
        <v>3</v>
      </c>
    </row>
    <row r="18" spans="1:7" x14ac:dyDescent="0.15">
      <c r="A18" t="str">
        <f t="shared" si="0"/>
        <v>|Lv23|65|</v>
      </c>
      <c r="B18" t="s">
        <v>3</v>
      </c>
      <c r="C18" t="s">
        <v>8</v>
      </c>
      <c r="D18">
        <v>23</v>
      </c>
      <c r="E18" t="s">
        <v>3</v>
      </c>
      <c r="F18">
        <f t="shared" si="1"/>
        <v>65</v>
      </c>
      <c r="G18" t="s">
        <v>3</v>
      </c>
    </row>
    <row r="19" spans="1:7" x14ac:dyDescent="0.15">
      <c r="A19" t="str">
        <f t="shared" si="0"/>
        <v>|Lv25|68|</v>
      </c>
      <c r="B19" t="s">
        <v>3</v>
      </c>
      <c r="C19" t="s">
        <v>8</v>
      </c>
      <c r="D19">
        <v>25</v>
      </c>
      <c r="E19" t="s">
        <v>3</v>
      </c>
      <c r="F19">
        <f t="shared" si="1"/>
        <v>68</v>
      </c>
      <c r="G19" t="s">
        <v>3</v>
      </c>
    </row>
    <row r="20" spans="1:7" x14ac:dyDescent="0.15">
      <c r="A20" t="str">
        <f t="shared" si="0"/>
        <v>|Lv27|71|</v>
      </c>
      <c r="B20" t="s">
        <v>3</v>
      </c>
      <c r="C20" t="s">
        <v>8</v>
      </c>
      <c r="D20">
        <v>27</v>
      </c>
      <c r="E20" t="s">
        <v>3</v>
      </c>
      <c r="F20">
        <f t="shared" si="1"/>
        <v>71</v>
      </c>
      <c r="G20" t="s">
        <v>3</v>
      </c>
    </row>
    <row r="21" spans="1:7" x14ac:dyDescent="0.15">
      <c r="A21" t="str">
        <f t="shared" si="0"/>
        <v>|Lv29|74|</v>
      </c>
      <c r="B21" t="s">
        <v>3</v>
      </c>
      <c r="C21" t="s">
        <v>8</v>
      </c>
      <c r="D21">
        <v>29</v>
      </c>
      <c r="E21" t="s">
        <v>3</v>
      </c>
      <c r="F21">
        <f t="shared" si="1"/>
        <v>74</v>
      </c>
      <c r="G21" t="s">
        <v>3</v>
      </c>
    </row>
    <row r="22" spans="1:7" x14ac:dyDescent="0.15">
      <c r="A22" t="str">
        <f t="shared" si="0"/>
        <v>|Lv31|77|</v>
      </c>
      <c r="B22" t="s">
        <v>3</v>
      </c>
      <c r="C22" t="s">
        <v>8</v>
      </c>
      <c r="D22">
        <v>31</v>
      </c>
      <c r="E22" t="s">
        <v>3</v>
      </c>
      <c r="F22">
        <f t="shared" si="1"/>
        <v>77</v>
      </c>
      <c r="G22" t="s">
        <v>3</v>
      </c>
    </row>
    <row r="23" spans="1:7" x14ac:dyDescent="0.15">
      <c r="A23" t="str">
        <f t="shared" si="0"/>
        <v>|Lv33|80|</v>
      </c>
      <c r="B23" t="s">
        <v>3</v>
      </c>
      <c r="C23" t="s">
        <v>8</v>
      </c>
      <c r="D23">
        <v>33</v>
      </c>
      <c r="E23" t="s">
        <v>3</v>
      </c>
      <c r="F23">
        <f t="shared" si="1"/>
        <v>80</v>
      </c>
      <c r="G23" t="s">
        <v>3</v>
      </c>
    </row>
    <row r="24" spans="1:7" x14ac:dyDescent="0.15">
      <c r="A24" t="str">
        <f t="shared" si="0"/>
        <v>|Lv35|83|</v>
      </c>
      <c r="B24" t="s">
        <v>3</v>
      </c>
      <c r="C24" t="s">
        <v>8</v>
      </c>
      <c r="D24">
        <v>35</v>
      </c>
      <c r="E24" t="s">
        <v>3</v>
      </c>
      <c r="F24">
        <f t="shared" si="1"/>
        <v>83</v>
      </c>
      <c r="G24" t="s">
        <v>3</v>
      </c>
    </row>
    <row r="25" spans="1:7" x14ac:dyDescent="0.15">
      <c r="A25" t="str">
        <f t="shared" si="0"/>
        <v>|Lv37|86|</v>
      </c>
      <c r="B25" t="s">
        <v>3</v>
      </c>
      <c r="C25" t="s">
        <v>8</v>
      </c>
      <c r="D25">
        <v>37</v>
      </c>
      <c r="E25" t="s">
        <v>3</v>
      </c>
      <c r="F25">
        <f t="shared" si="1"/>
        <v>86</v>
      </c>
      <c r="G25" t="s">
        <v>3</v>
      </c>
    </row>
    <row r="26" spans="1:7" x14ac:dyDescent="0.15">
      <c r="A26" t="str">
        <f t="shared" si="0"/>
        <v>|Lv39|89|</v>
      </c>
      <c r="B26" t="s">
        <v>3</v>
      </c>
      <c r="C26" t="s">
        <v>8</v>
      </c>
      <c r="D26">
        <v>39</v>
      </c>
      <c r="E26" t="s">
        <v>3</v>
      </c>
      <c r="F26">
        <f t="shared" si="1"/>
        <v>89</v>
      </c>
      <c r="G26" t="s">
        <v>3</v>
      </c>
    </row>
    <row r="27" spans="1:7" x14ac:dyDescent="0.15">
      <c r="A27" t="str">
        <f t="shared" si="0"/>
        <v>|Lv41|92|</v>
      </c>
      <c r="B27" t="s">
        <v>3</v>
      </c>
      <c r="C27" t="s">
        <v>8</v>
      </c>
      <c r="D27">
        <v>41</v>
      </c>
      <c r="E27" t="s">
        <v>3</v>
      </c>
      <c r="F27">
        <f t="shared" si="1"/>
        <v>92</v>
      </c>
      <c r="G27" t="s">
        <v>3</v>
      </c>
    </row>
    <row r="28" spans="1:7" x14ac:dyDescent="0.15">
      <c r="A28" t="str">
        <f t="shared" si="0"/>
        <v>|Lv43|95|</v>
      </c>
      <c r="B28" t="s">
        <v>3</v>
      </c>
      <c r="C28" t="s">
        <v>8</v>
      </c>
      <c r="D28">
        <v>43</v>
      </c>
      <c r="E28" t="s">
        <v>3</v>
      </c>
      <c r="F28">
        <f t="shared" si="1"/>
        <v>95</v>
      </c>
      <c r="G28" t="s">
        <v>3</v>
      </c>
    </row>
    <row r="29" spans="1:7" x14ac:dyDescent="0.15">
      <c r="A29" t="str">
        <f t="shared" si="0"/>
        <v>|Lv45|98|</v>
      </c>
      <c r="B29" t="s">
        <v>3</v>
      </c>
      <c r="C29" t="s">
        <v>8</v>
      </c>
      <c r="D29">
        <v>45</v>
      </c>
      <c r="E29" t="s">
        <v>3</v>
      </c>
      <c r="F29">
        <f t="shared" si="1"/>
        <v>98</v>
      </c>
      <c r="G29" t="s">
        <v>3</v>
      </c>
    </row>
    <row r="30" spans="1:7" x14ac:dyDescent="0.15">
      <c r="A30" t="str">
        <f t="shared" si="0"/>
        <v>|Lv47|101|</v>
      </c>
      <c r="B30" t="s">
        <v>3</v>
      </c>
      <c r="C30" t="s">
        <v>8</v>
      </c>
      <c r="D30">
        <v>47</v>
      </c>
      <c r="E30" t="s">
        <v>3</v>
      </c>
      <c r="F30">
        <f t="shared" si="1"/>
        <v>101</v>
      </c>
      <c r="G30" t="s">
        <v>3</v>
      </c>
    </row>
    <row r="31" spans="1:7" x14ac:dyDescent="0.15">
      <c r="A31" t="str">
        <f t="shared" si="0"/>
        <v>|Lv49|104|</v>
      </c>
      <c r="B31" t="s">
        <v>3</v>
      </c>
      <c r="C31" t="s">
        <v>8</v>
      </c>
      <c r="D31">
        <v>49</v>
      </c>
      <c r="E31" t="s">
        <v>3</v>
      </c>
      <c r="F31">
        <f t="shared" si="1"/>
        <v>104</v>
      </c>
      <c r="G31" t="s">
        <v>3</v>
      </c>
    </row>
    <row r="32" spans="1:7" x14ac:dyDescent="0.15">
      <c r="A32" t="str">
        <f t="shared" si="0"/>
        <v>|Lv51|107|</v>
      </c>
      <c r="B32" t="s">
        <v>3</v>
      </c>
      <c r="C32" t="s">
        <v>8</v>
      </c>
      <c r="D32">
        <v>51</v>
      </c>
      <c r="E32" t="s">
        <v>3</v>
      </c>
      <c r="F32">
        <f t="shared" si="1"/>
        <v>107</v>
      </c>
      <c r="G32" t="s">
        <v>3</v>
      </c>
    </row>
    <row r="33" spans="1:19" x14ac:dyDescent="0.15">
      <c r="A33" t="str">
        <f t="shared" si="0"/>
        <v>|Lv53|110|</v>
      </c>
      <c r="B33" t="s">
        <v>3</v>
      </c>
      <c r="C33" t="s">
        <v>8</v>
      </c>
      <c r="D33">
        <v>53</v>
      </c>
      <c r="E33" t="s">
        <v>3</v>
      </c>
      <c r="F33">
        <f t="shared" si="1"/>
        <v>110</v>
      </c>
      <c r="G33" t="s">
        <v>3</v>
      </c>
    </row>
    <row r="34" spans="1:19" x14ac:dyDescent="0.15">
      <c r="A34" t="str">
        <f t="shared" si="0"/>
        <v>|Lv55|113|</v>
      </c>
      <c r="B34" t="s">
        <v>3</v>
      </c>
      <c r="C34" t="s">
        <v>8</v>
      </c>
      <c r="D34">
        <v>55</v>
      </c>
      <c r="E34" t="s">
        <v>3</v>
      </c>
      <c r="F34">
        <f t="shared" si="1"/>
        <v>113</v>
      </c>
      <c r="G34" t="s">
        <v>3</v>
      </c>
    </row>
    <row r="35" spans="1:19" x14ac:dyDescent="0.15">
      <c r="A35" t="str">
        <f t="shared" si="0"/>
        <v>|Lv57|116|</v>
      </c>
      <c r="B35" t="s">
        <v>3</v>
      </c>
      <c r="C35" t="s">
        <v>8</v>
      </c>
      <c r="D35">
        <v>57</v>
      </c>
      <c r="E35" t="s">
        <v>3</v>
      </c>
      <c r="F35">
        <f t="shared" si="1"/>
        <v>116</v>
      </c>
      <c r="G35" t="s">
        <v>3</v>
      </c>
    </row>
    <row r="36" spans="1:19" x14ac:dyDescent="0.15">
      <c r="A36" t="str">
        <f t="shared" si="0"/>
        <v>|Lv59|119|</v>
      </c>
      <c r="B36" t="s">
        <v>3</v>
      </c>
      <c r="C36" t="s">
        <v>8</v>
      </c>
      <c r="D36">
        <v>59</v>
      </c>
      <c r="E36" t="s">
        <v>3</v>
      </c>
      <c r="F36">
        <f t="shared" si="1"/>
        <v>119</v>
      </c>
      <c r="G36" t="s">
        <v>3</v>
      </c>
    </row>
    <row r="37" spans="1:19" x14ac:dyDescent="0.15">
      <c r="A37" t="str">
        <f>B37&amp;C37&amp;D37&amp;E37&amp;F37&amp;G37&amp;H37&amp;I37&amp;J37&amp;K37&amp;L37&amp;M37&amp;N37&amp;O37&amp;P37</f>
        <v>&amp;br;</v>
      </c>
      <c r="B37" t="s">
        <v>0</v>
      </c>
    </row>
    <row r="38" spans="1:19" x14ac:dyDescent="0.15">
      <c r="A38" t="str">
        <f>B38&amp;C38&amp;D38&amp;E38&amp;F38&amp;G38&amp;H38&amp;I38&amp;J38&amp;K38&amp;L38&amp;M38&amp;N38&amp;O38&amp;P38</f>
        <v>&amp;br;</v>
      </c>
      <c r="B38" t="s">
        <v>0</v>
      </c>
    </row>
    <row r="39" spans="1:19" x14ac:dyDescent="0.15">
      <c r="A39" t="str">
        <f>B39&amp;C39&amp;D39&amp;E39&amp;F39&amp;G39&amp;H39&amp;I39&amp;J39&amp;K39&amp;L39&amp;M39&amp;N39&amp;O39&amp;P39</f>
        <v>*マナボーナス [#q1a26f54]</v>
      </c>
      <c r="B39" t="s">
        <v>9</v>
      </c>
    </row>
    <row r="40" spans="1:19" x14ac:dyDescent="0.15">
      <c r="A40" t="str">
        <f t="shared" ref="A40:A48" si="2">B40&amp;C40&amp;D40&amp;G40&amp;H40&amp;I40&amp;J40&amp;K40&amp;L40&amp;M40&amp;N40&amp;O40&amp;P40&amp;Q40&amp;R40</f>
        <v>|LEFT:50|LEFT:50|LEFT:50|LEFT:50|LEFT:50|LEFT:50|c</v>
      </c>
      <c r="B40" t="s">
        <v>3</v>
      </c>
      <c r="C40" t="s">
        <v>4</v>
      </c>
      <c r="E40" t="s">
        <v>3</v>
      </c>
      <c r="G40" t="s">
        <v>3</v>
      </c>
      <c r="H40" t="s">
        <v>4</v>
      </c>
      <c r="I40" t="s">
        <v>3</v>
      </c>
      <c r="J40" t="s">
        <v>4</v>
      </c>
      <c r="K40" t="s">
        <v>3</v>
      </c>
      <c r="L40" t="s">
        <v>4</v>
      </c>
      <c r="M40" t="s">
        <v>3</v>
      </c>
      <c r="N40" t="s">
        <v>4</v>
      </c>
      <c r="O40" t="s">
        <v>3</v>
      </c>
      <c r="P40" t="s">
        <v>4</v>
      </c>
      <c r="Q40" t="s">
        <v>3</v>
      </c>
      <c r="R40" t="s">
        <v>5</v>
      </c>
    </row>
    <row r="41" spans="1:19" x14ac:dyDescent="0.15">
      <c r="A41" t="str">
        <f t="shared" si="2"/>
        <v>|レベル|白|青|黒|赤|緑|</v>
      </c>
      <c r="B41" t="s">
        <v>3</v>
      </c>
      <c r="C41" t="s">
        <v>6</v>
      </c>
      <c r="E41" t="s">
        <v>3</v>
      </c>
      <c r="F41" t="s">
        <v>10</v>
      </c>
      <c r="G41" t="s">
        <v>3</v>
      </c>
      <c r="H41" t="s">
        <v>11</v>
      </c>
      <c r="I41" t="s">
        <v>3</v>
      </c>
      <c r="J41" t="s">
        <v>12</v>
      </c>
      <c r="K41" t="s">
        <v>3</v>
      </c>
      <c r="L41" t="s">
        <v>13</v>
      </c>
      <c r="M41" t="s">
        <v>3</v>
      </c>
      <c r="N41" t="s">
        <v>14</v>
      </c>
      <c r="O41" t="s">
        <v>3</v>
      </c>
      <c r="P41" t="s">
        <v>15</v>
      </c>
      <c r="Q41" t="s">
        <v>3</v>
      </c>
      <c r="S41" t="s">
        <v>11</v>
      </c>
    </row>
    <row r="42" spans="1:19" x14ac:dyDescent="0.15">
      <c r="A42" t="str">
        <f t="shared" si="2"/>
        <v>|Lv1|-1|0|1|0|-1|</v>
      </c>
      <c r="B42" t="s">
        <v>3</v>
      </c>
      <c r="C42" t="s">
        <v>8</v>
      </c>
      <c r="D42">
        <v>1</v>
      </c>
      <c r="E42" t="s">
        <v>3</v>
      </c>
      <c r="G42" t="s">
        <v>3</v>
      </c>
      <c r="H42">
        <v>-1</v>
      </c>
      <c r="I42" t="s">
        <v>3</v>
      </c>
      <c r="J42">
        <v>0</v>
      </c>
      <c r="K42" t="s">
        <v>3</v>
      </c>
      <c r="L42">
        <v>1</v>
      </c>
      <c r="M42" t="s">
        <v>3</v>
      </c>
      <c r="N42">
        <v>0</v>
      </c>
      <c r="O42" t="s">
        <v>3</v>
      </c>
      <c r="P42">
        <v>-1</v>
      </c>
      <c r="Q42" t="s">
        <v>3</v>
      </c>
      <c r="S42" t="s">
        <v>12</v>
      </c>
    </row>
    <row r="43" spans="1:19" x14ac:dyDescent="0.15">
      <c r="A43" t="str">
        <f t="shared" si="2"/>
        <v>|Lv8|-1|0|2|0|-1|</v>
      </c>
      <c r="B43" t="s">
        <v>3</v>
      </c>
      <c r="C43" t="s">
        <v>8</v>
      </c>
      <c r="D43">
        <v>8</v>
      </c>
      <c r="E43" t="s">
        <v>3</v>
      </c>
      <c r="F43" t="str">
        <f t="shared" ref="F43:F48" si="3">IF(ISBLANK(D43),"",INDEX($F$97:$F$156,D43))</f>
        <v>黒</v>
      </c>
      <c r="G43" t="s">
        <v>3</v>
      </c>
      <c r="H43">
        <f>H42+IF(H$41=$F43,1,0)</f>
        <v>-1</v>
      </c>
      <c r="I43" t="str">
        <f t="shared" ref="I43:Q48" si="4">I42</f>
        <v>|</v>
      </c>
      <c r="J43">
        <f>J42+IF(J$41=$F43,1,0)</f>
        <v>0</v>
      </c>
      <c r="K43" t="str">
        <f t="shared" si="4"/>
        <v>|</v>
      </c>
      <c r="L43">
        <f>L42+IF(L$41=$F43,1,0)</f>
        <v>2</v>
      </c>
      <c r="M43" t="str">
        <f t="shared" si="4"/>
        <v>|</v>
      </c>
      <c r="N43">
        <f>N42+IF(N$41=$F43,1,0)</f>
        <v>0</v>
      </c>
      <c r="O43" t="str">
        <f t="shared" si="4"/>
        <v>|</v>
      </c>
      <c r="P43">
        <f>P42+IF(P$41=$F43,1,0)</f>
        <v>-1</v>
      </c>
      <c r="Q43" t="str">
        <f t="shared" si="4"/>
        <v>|</v>
      </c>
      <c r="S43" t="s">
        <v>13</v>
      </c>
    </row>
    <row r="44" spans="1:19" x14ac:dyDescent="0.15">
      <c r="A44" t="str">
        <f t="shared" si="2"/>
        <v>|Lv16|-1|1|2|0|-1|</v>
      </c>
      <c r="B44" t="s">
        <v>3</v>
      </c>
      <c r="C44" t="s">
        <v>8</v>
      </c>
      <c r="D44">
        <v>16</v>
      </c>
      <c r="E44" t="s">
        <v>3</v>
      </c>
      <c r="F44" t="str">
        <f t="shared" si="3"/>
        <v>青</v>
      </c>
      <c r="G44" t="s">
        <v>3</v>
      </c>
      <c r="H44">
        <f t="shared" ref="H44:P48" si="5">H43+IF(H$41=$F44,1,0)</f>
        <v>-1</v>
      </c>
      <c r="I44" t="str">
        <f t="shared" si="4"/>
        <v>|</v>
      </c>
      <c r="J44">
        <f t="shared" si="5"/>
        <v>1</v>
      </c>
      <c r="K44" t="str">
        <f t="shared" si="4"/>
        <v>|</v>
      </c>
      <c r="L44">
        <f t="shared" si="5"/>
        <v>2</v>
      </c>
      <c r="M44" t="str">
        <f t="shared" si="4"/>
        <v>|</v>
      </c>
      <c r="N44">
        <f>N43+IF(N$41=$F44,1,0)</f>
        <v>0</v>
      </c>
      <c r="O44" t="str">
        <f t="shared" si="4"/>
        <v>|</v>
      </c>
      <c r="P44">
        <f t="shared" si="5"/>
        <v>-1</v>
      </c>
      <c r="Q44" t="str">
        <f t="shared" si="4"/>
        <v>|</v>
      </c>
      <c r="S44" t="s">
        <v>14</v>
      </c>
    </row>
    <row r="45" spans="1:19" x14ac:dyDescent="0.15">
      <c r="A45" t="str">
        <f t="shared" si="2"/>
        <v>|Lv26|0|1|2|0|-1|</v>
      </c>
      <c r="B45" t="s">
        <v>3</v>
      </c>
      <c r="C45" t="s">
        <v>8</v>
      </c>
      <c r="D45">
        <v>26</v>
      </c>
      <c r="E45" t="s">
        <v>3</v>
      </c>
      <c r="F45" t="str">
        <f t="shared" si="3"/>
        <v>白</v>
      </c>
      <c r="G45" t="s">
        <v>3</v>
      </c>
      <c r="H45">
        <f t="shared" si="5"/>
        <v>0</v>
      </c>
      <c r="I45" t="str">
        <f t="shared" si="4"/>
        <v>|</v>
      </c>
      <c r="J45">
        <f t="shared" si="5"/>
        <v>1</v>
      </c>
      <c r="K45" t="str">
        <f t="shared" si="4"/>
        <v>|</v>
      </c>
      <c r="L45">
        <f t="shared" si="5"/>
        <v>2</v>
      </c>
      <c r="M45" t="str">
        <f t="shared" si="4"/>
        <v>|</v>
      </c>
      <c r="N45">
        <f t="shared" si="5"/>
        <v>0</v>
      </c>
      <c r="O45" t="str">
        <f t="shared" si="4"/>
        <v>|</v>
      </c>
      <c r="P45">
        <f t="shared" si="5"/>
        <v>-1</v>
      </c>
      <c r="Q45" t="str">
        <f t="shared" si="4"/>
        <v>|</v>
      </c>
      <c r="S45" t="s">
        <v>15</v>
      </c>
    </row>
    <row r="46" spans="1:19" x14ac:dyDescent="0.15">
      <c r="A46" t="str">
        <f t="shared" si="2"/>
        <v>|Lv34|0|1|2|1|-1|</v>
      </c>
      <c r="B46" t="s">
        <v>3</v>
      </c>
      <c r="C46" t="s">
        <v>8</v>
      </c>
      <c r="D46">
        <v>34</v>
      </c>
      <c r="E46" t="s">
        <v>3</v>
      </c>
      <c r="F46" t="str">
        <f t="shared" si="3"/>
        <v>赤</v>
      </c>
      <c r="G46" t="s">
        <v>3</v>
      </c>
      <c r="H46">
        <f t="shared" si="5"/>
        <v>0</v>
      </c>
      <c r="I46" t="str">
        <f t="shared" si="4"/>
        <v>|</v>
      </c>
      <c r="J46">
        <f t="shared" si="5"/>
        <v>1</v>
      </c>
      <c r="K46" t="str">
        <f t="shared" si="4"/>
        <v>|</v>
      </c>
      <c r="L46">
        <f t="shared" si="5"/>
        <v>2</v>
      </c>
      <c r="M46" t="str">
        <f t="shared" si="4"/>
        <v>|</v>
      </c>
      <c r="N46">
        <f t="shared" si="5"/>
        <v>1</v>
      </c>
      <c r="O46" t="str">
        <f t="shared" si="4"/>
        <v>|</v>
      </c>
      <c r="P46">
        <f>P45+IF(P$41=$F46,1,0)</f>
        <v>-1</v>
      </c>
      <c r="Q46" t="str">
        <f t="shared" si="4"/>
        <v>|</v>
      </c>
    </row>
    <row r="47" spans="1:19" x14ac:dyDescent="0.15">
      <c r="A47" t="str">
        <f t="shared" si="2"/>
        <v>|Lv44|0|1|2|1|0|</v>
      </c>
      <c r="B47" t="s">
        <v>3</v>
      </c>
      <c r="C47" t="s">
        <v>8</v>
      </c>
      <c r="D47">
        <v>44</v>
      </c>
      <c r="E47" t="s">
        <v>3</v>
      </c>
      <c r="F47" t="str">
        <f t="shared" si="3"/>
        <v>緑</v>
      </c>
      <c r="G47" t="s">
        <v>3</v>
      </c>
      <c r="H47">
        <f t="shared" si="5"/>
        <v>0</v>
      </c>
      <c r="I47" t="str">
        <f t="shared" si="4"/>
        <v>|</v>
      </c>
      <c r="J47">
        <f t="shared" si="5"/>
        <v>1</v>
      </c>
      <c r="K47" t="str">
        <f t="shared" si="4"/>
        <v>|</v>
      </c>
      <c r="L47">
        <f t="shared" si="5"/>
        <v>2</v>
      </c>
      <c r="M47" t="str">
        <f t="shared" si="4"/>
        <v>|</v>
      </c>
      <c r="N47">
        <f t="shared" si="5"/>
        <v>1</v>
      </c>
      <c r="O47" t="str">
        <f t="shared" si="4"/>
        <v>|</v>
      </c>
      <c r="P47">
        <f t="shared" si="5"/>
        <v>0</v>
      </c>
      <c r="Q47" t="str">
        <f t="shared" si="4"/>
        <v>|</v>
      </c>
    </row>
    <row r="48" spans="1:19" x14ac:dyDescent="0.15">
      <c r="A48" t="str">
        <f t="shared" si="2"/>
        <v>|Lv54|0|1|3|1|0|</v>
      </c>
      <c r="B48" t="s">
        <v>3</v>
      </c>
      <c r="C48" t="s">
        <v>8</v>
      </c>
      <c r="D48">
        <v>54</v>
      </c>
      <c r="E48" t="s">
        <v>3</v>
      </c>
      <c r="F48" t="str">
        <f t="shared" si="3"/>
        <v>黒</v>
      </c>
      <c r="G48" t="s">
        <v>3</v>
      </c>
      <c r="H48">
        <f t="shared" si="5"/>
        <v>0</v>
      </c>
      <c r="I48" t="str">
        <f t="shared" si="4"/>
        <v>|</v>
      </c>
      <c r="J48">
        <f t="shared" si="5"/>
        <v>1</v>
      </c>
      <c r="K48" t="str">
        <f t="shared" si="4"/>
        <v>|</v>
      </c>
      <c r="L48">
        <f t="shared" si="5"/>
        <v>3</v>
      </c>
      <c r="M48" t="str">
        <f t="shared" si="4"/>
        <v>|</v>
      </c>
      <c r="N48">
        <f t="shared" si="5"/>
        <v>1</v>
      </c>
      <c r="O48" t="str">
        <f t="shared" si="4"/>
        <v>|</v>
      </c>
      <c r="P48">
        <f t="shared" si="5"/>
        <v>0</v>
      </c>
      <c r="Q48" t="str">
        <f t="shared" si="4"/>
        <v>|</v>
      </c>
    </row>
    <row r="49" spans="1:19" x14ac:dyDescent="0.15">
      <c r="A49" t="str">
        <f>B49&amp;C49&amp;D49&amp;E49&amp;F49&amp;G49&amp;H49&amp;I49&amp;J49&amp;K49&amp;L49&amp;M49&amp;N49&amp;O49&amp;P49</f>
        <v>&amp;br;</v>
      </c>
      <c r="B49" t="s">
        <v>0</v>
      </c>
    </row>
    <row r="50" spans="1:19" x14ac:dyDescent="0.15">
      <c r="A50" t="str">
        <f>B50&amp;C50&amp;D50&amp;E50&amp;F50&amp;G50&amp;H50&amp;I50&amp;J50&amp;K50&amp;L50&amp;M50&amp;N50&amp;O50&amp;P50</f>
        <v>&amp;br;</v>
      </c>
      <c r="B50" t="s">
        <v>0</v>
      </c>
    </row>
    <row r="51" spans="1:19" x14ac:dyDescent="0.15">
      <c r="A51" t="str">
        <f>B51&amp;C51&amp;D51&amp;E51&amp;F51&amp;G51&amp;H51&amp;I51&amp;J51&amp;K51&amp;L51&amp;M51&amp;N51&amp;O51&amp;P51</f>
        <v>*デッキ構築枚数上限 [#e6f382eb]</v>
      </c>
      <c r="B51" t="s">
        <v>16</v>
      </c>
    </row>
    <row r="52" spans="1:19" x14ac:dyDescent="0.15">
      <c r="A52" t="str">
        <f>B52&amp;C52&amp;D52&amp;E52&amp;F52&amp;G52&amp;H52&amp;I52&amp;J52&amp;K52&amp;L52&amp;M52&amp;N52&amp;O52&amp;P52</f>
        <v>構築枚数上限を越える枚数はデッキに入れられない。</v>
      </c>
      <c r="B52" t="s">
        <v>17</v>
      </c>
    </row>
    <row r="53" spans="1:19" x14ac:dyDescent="0.15">
      <c r="A53" t="str">
        <f t="shared" ref="A53:A62" si="6">B53&amp;C53&amp;D53&amp;G53&amp;H53&amp;I53&amp;J53&amp;K53&amp;L53&amp;M53&amp;N53&amp;O53&amp;P53&amp;Q53&amp;R53</f>
        <v>|LEFT:50|LEFT:80|LEFT:80|LEFT:80|c</v>
      </c>
      <c r="B53" t="s">
        <v>3</v>
      </c>
      <c r="C53" t="s">
        <v>4</v>
      </c>
      <c r="E53" t="s">
        <v>3</v>
      </c>
      <c r="G53" t="s">
        <v>3</v>
      </c>
      <c r="H53" t="s">
        <v>18</v>
      </c>
      <c r="I53" t="s">
        <v>3</v>
      </c>
      <c r="J53" t="s">
        <v>18</v>
      </c>
      <c r="K53" t="s">
        <v>3</v>
      </c>
      <c r="L53" t="s">
        <v>18</v>
      </c>
      <c r="M53" t="s">
        <v>3</v>
      </c>
      <c r="N53" t="s">
        <v>5</v>
      </c>
    </row>
    <row r="54" spans="1:19" x14ac:dyDescent="0.15">
      <c r="A54" t="str">
        <f t="shared" si="6"/>
        <v>|レベル|クリーチャー|呪文|サポート|</v>
      </c>
      <c r="B54" t="s">
        <v>3</v>
      </c>
      <c r="C54" t="s">
        <v>6</v>
      </c>
      <c r="E54" t="s">
        <v>3</v>
      </c>
      <c r="F54" t="s">
        <v>19</v>
      </c>
      <c r="G54" t="s">
        <v>3</v>
      </c>
      <c r="H54" t="s">
        <v>20</v>
      </c>
      <c r="I54" t="s">
        <v>3</v>
      </c>
      <c r="J54" t="s">
        <v>21</v>
      </c>
      <c r="K54" t="s">
        <v>3</v>
      </c>
      <c r="L54" t="s">
        <v>22</v>
      </c>
      <c r="M54" t="s">
        <v>3</v>
      </c>
      <c r="S54" t="s">
        <v>20</v>
      </c>
    </row>
    <row r="55" spans="1:19" x14ac:dyDescent="0.15">
      <c r="A55" t="str">
        <f t="shared" si="6"/>
        <v>|Lv1|5|5|5|</v>
      </c>
      <c r="B55" t="s">
        <v>3</v>
      </c>
      <c r="C55" t="s">
        <v>8</v>
      </c>
      <c r="D55">
        <v>1</v>
      </c>
      <c r="E55" t="s">
        <v>3</v>
      </c>
      <c r="G55" t="s">
        <v>3</v>
      </c>
      <c r="H55">
        <v>5</v>
      </c>
      <c r="I55" t="s">
        <v>3</v>
      </c>
      <c r="J55">
        <v>5</v>
      </c>
      <c r="K55" t="s">
        <v>3</v>
      </c>
      <c r="L55">
        <v>5</v>
      </c>
      <c r="M55" t="s">
        <v>3</v>
      </c>
      <c r="S55" t="s">
        <v>21</v>
      </c>
    </row>
    <row r="56" spans="1:19" x14ac:dyDescent="0.15">
      <c r="A56" t="str">
        <f t="shared" si="6"/>
        <v>|Lv2|6|5|5|</v>
      </c>
      <c r="B56" t="s">
        <v>3</v>
      </c>
      <c r="C56" t="s">
        <v>8</v>
      </c>
      <c r="D56">
        <v>2</v>
      </c>
      <c r="E56" t="s">
        <v>3</v>
      </c>
      <c r="F56" t="str">
        <f t="shared" ref="F56:F64" si="7">IF(ISBLANK(D56),"",INDEX($F$97:$F$156,D56))</f>
        <v>クリーチャー</v>
      </c>
      <c r="G56" t="s">
        <v>3</v>
      </c>
      <c r="H56">
        <f t="shared" ref="H56:H64" si="8">H55+IF(H$54=$F56,INDEX($H$97:$H$156,D56),0)</f>
        <v>6</v>
      </c>
      <c r="I56" t="s">
        <v>3</v>
      </c>
      <c r="J56">
        <f t="shared" ref="J56:J64" si="9">J55+IF(J$54=$F56,INDEX($H$97:$H$156,D56),0)</f>
        <v>5</v>
      </c>
      <c r="K56" t="s">
        <v>3</v>
      </c>
      <c r="L56">
        <f t="shared" ref="L56:L64" si="10">L55+IF(L$54=$F56,INDEX($H$97:$H$156,D56),0)</f>
        <v>5</v>
      </c>
      <c r="M56" t="s">
        <v>3</v>
      </c>
      <c r="S56" t="s">
        <v>22</v>
      </c>
    </row>
    <row r="57" spans="1:19" x14ac:dyDescent="0.15">
      <c r="A57" t="str">
        <f t="shared" si="6"/>
        <v>|Lv4|6|5|6|</v>
      </c>
      <c r="B57" t="s">
        <v>3</v>
      </c>
      <c r="C57" t="s">
        <v>8</v>
      </c>
      <c r="D57">
        <v>4</v>
      </c>
      <c r="E57" t="s">
        <v>3</v>
      </c>
      <c r="F57" t="str">
        <f t="shared" si="7"/>
        <v>サポート</v>
      </c>
      <c r="G57" t="s">
        <v>3</v>
      </c>
      <c r="H57">
        <f t="shared" si="8"/>
        <v>6</v>
      </c>
      <c r="I57" t="s">
        <v>3</v>
      </c>
      <c r="J57">
        <f t="shared" si="9"/>
        <v>5</v>
      </c>
      <c r="K57" t="s">
        <v>3</v>
      </c>
      <c r="L57">
        <f t="shared" si="10"/>
        <v>6</v>
      </c>
      <c r="M57" t="s">
        <v>3</v>
      </c>
    </row>
    <row r="58" spans="1:19" x14ac:dyDescent="0.15">
      <c r="A58" t="str">
        <f t="shared" si="6"/>
        <v>|Lv10|6|6|6|</v>
      </c>
      <c r="B58" t="s">
        <v>3</v>
      </c>
      <c r="C58" t="s">
        <v>8</v>
      </c>
      <c r="D58">
        <v>10</v>
      </c>
      <c r="E58" t="s">
        <v>3</v>
      </c>
      <c r="F58" t="str">
        <f t="shared" si="7"/>
        <v>呪文</v>
      </c>
      <c r="G58" t="s">
        <v>3</v>
      </c>
      <c r="H58">
        <f t="shared" si="8"/>
        <v>6</v>
      </c>
      <c r="I58" t="s">
        <v>3</v>
      </c>
      <c r="J58">
        <f t="shared" si="9"/>
        <v>6</v>
      </c>
      <c r="K58" t="s">
        <v>3</v>
      </c>
      <c r="L58">
        <f t="shared" si="10"/>
        <v>6</v>
      </c>
      <c r="M58" t="s">
        <v>3</v>
      </c>
    </row>
    <row r="59" spans="1:19" x14ac:dyDescent="0.15">
      <c r="A59" t="str">
        <f t="shared" si="6"/>
        <v>|Lv20|7|6|6|</v>
      </c>
      <c r="B59" t="s">
        <v>3</v>
      </c>
      <c r="C59" t="s">
        <v>8</v>
      </c>
      <c r="D59">
        <v>20</v>
      </c>
      <c r="E59" t="s">
        <v>3</v>
      </c>
      <c r="F59" t="str">
        <f t="shared" si="7"/>
        <v>クリーチャー</v>
      </c>
      <c r="G59" t="s">
        <v>3</v>
      </c>
      <c r="H59">
        <f t="shared" si="8"/>
        <v>7</v>
      </c>
      <c r="I59" t="s">
        <v>3</v>
      </c>
      <c r="J59">
        <f t="shared" si="9"/>
        <v>6</v>
      </c>
      <c r="K59" t="s">
        <v>3</v>
      </c>
      <c r="L59">
        <f t="shared" si="10"/>
        <v>6</v>
      </c>
      <c r="M59" t="s">
        <v>3</v>
      </c>
    </row>
    <row r="60" spans="1:19" x14ac:dyDescent="0.15">
      <c r="A60" t="str">
        <f t="shared" si="6"/>
        <v>|Lv22|7|6|7|</v>
      </c>
      <c r="B60" t="s">
        <v>3</v>
      </c>
      <c r="C60" t="s">
        <v>8</v>
      </c>
      <c r="D60">
        <v>22</v>
      </c>
      <c r="E60" t="s">
        <v>3</v>
      </c>
      <c r="F60" t="str">
        <f t="shared" si="7"/>
        <v>サポート</v>
      </c>
      <c r="G60" t="s">
        <v>3</v>
      </c>
      <c r="H60">
        <f t="shared" si="8"/>
        <v>7</v>
      </c>
      <c r="I60" t="s">
        <v>3</v>
      </c>
      <c r="J60">
        <f t="shared" si="9"/>
        <v>6</v>
      </c>
      <c r="K60" t="s">
        <v>3</v>
      </c>
      <c r="L60">
        <f t="shared" si="10"/>
        <v>7</v>
      </c>
      <c r="M60" t="s">
        <v>3</v>
      </c>
    </row>
    <row r="61" spans="1:19" x14ac:dyDescent="0.15">
      <c r="A61" t="str">
        <f t="shared" si="6"/>
        <v>|Lv28|7|7|7|</v>
      </c>
      <c r="B61" t="s">
        <v>3</v>
      </c>
      <c r="C61" t="s">
        <v>8</v>
      </c>
      <c r="D61">
        <v>28</v>
      </c>
      <c r="E61" t="s">
        <v>3</v>
      </c>
      <c r="F61" t="str">
        <f t="shared" si="7"/>
        <v>呪文</v>
      </c>
      <c r="G61" t="s">
        <v>3</v>
      </c>
      <c r="H61">
        <f t="shared" si="8"/>
        <v>7</v>
      </c>
      <c r="I61" t="s">
        <v>3</v>
      </c>
      <c r="J61">
        <f t="shared" si="9"/>
        <v>7</v>
      </c>
      <c r="K61" t="s">
        <v>3</v>
      </c>
      <c r="L61">
        <f t="shared" si="10"/>
        <v>7</v>
      </c>
      <c r="M61" t="s">
        <v>3</v>
      </c>
    </row>
    <row r="62" spans="1:19" x14ac:dyDescent="0.15">
      <c r="A62" t="str">
        <f t="shared" si="6"/>
        <v>|Lv38|8|7|7|</v>
      </c>
      <c r="B62" t="s">
        <v>3</v>
      </c>
      <c r="C62" t="s">
        <v>8</v>
      </c>
      <c r="D62">
        <v>38</v>
      </c>
      <c r="E62" t="s">
        <v>3</v>
      </c>
      <c r="F62" t="str">
        <f t="shared" si="7"/>
        <v>クリーチャー</v>
      </c>
      <c r="G62" t="s">
        <v>3</v>
      </c>
      <c r="H62">
        <f t="shared" si="8"/>
        <v>8</v>
      </c>
      <c r="I62" t="s">
        <v>3</v>
      </c>
      <c r="J62">
        <f t="shared" si="9"/>
        <v>7</v>
      </c>
      <c r="K62" t="s">
        <v>3</v>
      </c>
      <c r="L62">
        <f t="shared" si="10"/>
        <v>7</v>
      </c>
      <c r="M62" t="s">
        <v>3</v>
      </c>
    </row>
    <row r="63" spans="1:19" x14ac:dyDescent="0.15">
      <c r="A63" t="str">
        <f>B63&amp;C63&amp;D63&amp;G63&amp;H63&amp;I63&amp;J63&amp;K63&amp;L63&amp;M63&amp;N63&amp;O63&amp;P63&amp;Q63&amp;R63</f>
        <v>|Lv42|8|7|8|</v>
      </c>
      <c r="B63" t="s">
        <v>3</v>
      </c>
      <c r="C63" t="s">
        <v>8</v>
      </c>
      <c r="D63">
        <v>42</v>
      </c>
      <c r="E63" t="s">
        <v>3</v>
      </c>
      <c r="F63" t="str">
        <f t="shared" si="7"/>
        <v>サポート</v>
      </c>
      <c r="G63" t="s">
        <v>3</v>
      </c>
      <c r="H63">
        <f t="shared" si="8"/>
        <v>8</v>
      </c>
      <c r="I63" t="s">
        <v>3</v>
      </c>
      <c r="J63">
        <f t="shared" si="9"/>
        <v>7</v>
      </c>
      <c r="K63" t="s">
        <v>3</v>
      </c>
      <c r="L63">
        <f t="shared" si="10"/>
        <v>8</v>
      </c>
      <c r="M63" t="s">
        <v>3</v>
      </c>
    </row>
    <row r="64" spans="1:19" x14ac:dyDescent="0.15">
      <c r="A64" t="str">
        <f>B64&amp;C64&amp;D64&amp;G64&amp;H64&amp;I64&amp;J64&amp;K64&amp;L64&amp;M64&amp;N64&amp;O64&amp;P64&amp;Q64&amp;R64</f>
        <v>|Lv48|8|8|8|</v>
      </c>
      <c r="B64" t="s">
        <v>3</v>
      </c>
      <c r="C64" t="s">
        <v>8</v>
      </c>
      <c r="D64">
        <v>48</v>
      </c>
      <c r="E64" t="s">
        <v>3</v>
      </c>
      <c r="F64" t="str">
        <f t="shared" si="7"/>
        <v>呪文</v>
      </c>
      <c r="G64" t="s">
        <v>3</v>
      </c>
      <c r="H64">
        <f t="shared" si="8"/>
        <v>8</v>
      </c>
      <c r="I64" t="s">
        <v>3</v>
      </c>
      <c r="J64">
        <f t="shared" si="9"/>
        <v>8</v>
      </c>
      <c r="K64" t="s">
        <v>3</v>
      </c>
      <c r="L64">
        <f t="shared" si="10"/>
        <v>8</v>
      </c>
      <c r="M64" t="s">
        <v>3</v>
      </c>
    </row>
    <row r="65" spans="1:20" x14ac:dyDescent="0.15">
      <c r="A65" t="str">
        <f t="shared" ref="A65:A86" si="11">B65&amp;C65&amp;D65&amp;E65&amp;F65&amp;G65&amp;H65&amp;I65&amp;J65&amp;K65&amp;L65&amp;M65&amp;N65&amp;O65&amp;P65</f>
        <v>&amp;br;</v>
      </c>
      <c r="B65" t="s">
        <v>0</v>
      </c>
    </row>
    <row r="66" spans="1:20" x14ac:dyDescent="0.15">
      <c r="A66" t="str">
        <f t="shared" si="11"/>
        <v>&amp;br;</v>
      </c>
      <c r="B66" t="s">
        <v>0</v>
      </c>
    </row>
    <row r="67" spans="1:20" x14ac:dyDescent="0.15">
      <c r="A67" t="str">
        <f t="shared" si="11"/>
        <v>*PW能力一覧 [#a469e89f]</v>
      </c>
      <c r="B67" t="s">
        <v>23</v>
      </c>
    </row>
    <row r="68" spans="1:20" x14ac:dyDescent="0.15">
      <c r="A68" t="str">
        <f t="shared" si="11"/>
        <v>**第1能力：闇の契約/Dark Pact</v>
      </c>
      <c r="B68" t="s">
        <v>24</v>
      </c>
      <c r="D68" t="s">
        <v>224</v>
      </c>
      <c r="E68" t="s">
        <v>25</v>
      </c>
      <c r="F68" t="s">
        <v>225</v>
      </c>
      <c r="R68" t="str">
        <f>D68&amp;E68&amp;F68</f>
        <v>闇の契約/Dark Pact</v>
      </c>
      <c r="S68" t="s">
        <v>3</v>
      </c>
      <c r="T68">
        <f>H74</f>
        <v>3</v>
      </c>
    </row>
    <row r="69" spans="1:20" x14ac:dyDescent="0.15">
      <c r="A69" t="str">
        <f t="shared" si="11"/>
        <v>|LEFT:50|LEFT:50|LEFT:50|LEFT:300|c</v>
      </c>
      <c r="B69" t="s">
        <v>3</v>
      </c>
      <c r="C69" t="s">
        <v>4</v>
      </c>
      <c r="E69" t="s">
        <v>3</v>
      </c>
      <c r="F69" t="s">
        <v>4</v>
      </c>
      <c r="G69" t="s">
        <v>3</v>
      </c>
      <c r="H69" t="s">
        <v>4</v>
      </c>
      <c r="I69" t="s">
        <v>3</v>
      </c>
      <c r="J69" t="s">
        <v>26</v>
      </c>
      <c r="K69" t="s">
        <v>3</v>
      </c>
      <c r="L69" t="s">
        <v>5</v>
      </c>
      <c r="R69" t="s">
        <v>209</v>
      </c>
      <c r="S69" t="s">
        <v>3</v>
      </c>
      <c r="T69" t="str">
        <f>J74</f>
        <v>1点のライフを失い、カードを2枚引く。</v>
      </c>
    </row>
    <row r="70" spans="1:20" x14ac:dyDescent="0.15">
      <c r="A70" t="str">
        <f t="shared" si="11"/>
        <v>|解放Lv|レベル|コスト|効果|</v>
      </c>
      <c r="B70" t="s">
        <v>3</v>
      </c>
      <c r="C70" t="s">
        <v>27</v>
      </c>
      <c r="E70" t="s">
        <v>3</v>
      </c>
      <c r="F70" t="s">
        <v>6</v>
      </c>
      <c r="G70" t="s">
        <v>3</v>
      </c>
      <c r="H70" t="s">
        <v>28</v>
      </c>
      <c r="I70" t="s">
        <v>3</v>
      </c>
      <c r="J70" t="s">
        <v>29</v>
      </c>
      <c r="K70" t="s">
        <v>3</v>
      </c>
      <c r="R70" t="str">
        <f>D77&amp;E77&amp;F77</f>
        <v>苦汁/Torment</v>
      </c>
      <c r="S70" t="s">
        <v>3</v>
      </c>
      <c r="T70">
        <f>H83</f>
        <v>9</v>
      </c>
    </row>
    <row r="71" spans="1:20" x14ac:dyDescent="0.15">
      <c r="A71" t="str">
        <f t="shared" si="11"/>
        <v>|Lv6|Lv1|3|5点のライフを失い、カードを1枚引く。|</v>
      </c>
      <c r="B71" t="s">
        <v>3</v>
      </c>
      <c r="C71" t="s">
        <v>8</v>
      </c>
      <c r="D71">
        <v>6</v>
      </c>
      <c r="E71" t="s">
        <v>3</v>
      </c>
      <c r="F71" t="s">
        <v>30</v>
      </c>
      <c r="G71" t="s">
        <v>3</v>
      </c>
      <c r="H71">
        <v>3</v>
      </c>
      <c r="I71" t="s">
        <v>3</v>
      </c>
      <c r="J71" t="s">
        <v>226</v>
      </c>
      <c r="K71" t="s">
        <v>3</v>
      </c>
      <c r="R71" t="s">
        <v>209</v>
      </c>
      <c r="S71" t="s">
        <v>3</v>
      </c>
      <c r="T71" t="str">
        <f>J83</f>
        <v>3点のライフを失う。クリーチャー1体を対象とし、それを破壊する。</v>
      </c>
    </row>
    <row r="72" spans="1:20" x14ac:dyDescent="0.15">
      <c r="A72" t="str">
        <f t="shared" si="11"/>
        <v>|Lv24|Lv2|3|3点のライフを失い、カードを1枚引く。|</v>
      </c>
      <c r="B72" t="s">
        <v>3</v>
      </c>
      <c r="C72" t="s">
        <v>8</v>
      </c>
      <c r="D72">
        <v>24</v>
      </c>
      <c r="E72" t="s">
        <v>3</v>
      </c>
      <c r="F72" t="s">
        <v>31</v>
      </c>
      <c r="G72" t="s">
        <v>3</v>
      </c>
      <c r="H72">
        <v>3</v>
      </c>
      <c r="I72" t="s">
        <v>3</v>
      </c>
      <c r="J72" t="s">
        <v>227</v>
      </c>
      <c r="K72" t="s">
        <v>3</v>
      </c>
      <c r="R72" t="str">
        <f>D86&amp;E86&amp;F86</f>
        <v>禁忌の知識/Forbidden Knowledge</v>
      </c>
      <c r="S72" t="s">
        <v>3</v>
      </c>
      <c r="T72">
        <f>H92</f>
        <v>18</v>
      </c>
    </row>
    <row r="73" spans="1:20" x14ac:dyDescent="0.15">
      <c r="A73" t="str">
        <f t="shared" si="11"/>
        <v>|Lv40|Lv3|3|1点のライフを失い、カードを1枚引く。|</v>
      </c>
      <c r="B73" t="s">
        <v>3</v>
      </c>
      <c r="C73" t="s">
        <v>8</v>
      </c>
      <c r="D73">
        <v>40</v>
      </c>
      <c r="E73" t="s">
        <v>3</v>
      </c>
      <c r="F73" t="s">
        <v>32</v>
      </c>
      <c r="G73" t="s">
        <v>3</v>
      </c>
      <c r="H73">
        <v>3</v>
      </c>
      <c r="I73" t="s">
        <v>3</v>
      </c>
      <c r="J73" t="s">
        <v>228</v>
      </c>
      <c r="K73" t="s">
        <v>3</v>
      </c>
      <c r="R73" t="s">
        <v>209</v>
      </c>
      <c r="S73" t="s">
        <v>3</v>
      </c>
      <c r="T73" t="str">
        <f>J92</f>
        <v>「プレーヤー1人がカードを引くたび、対戦相手に8点のダメージを与える。」を持つサポート(シールド数5)を生成する。</v>
      </c>
    </row>
    <row r="74" spans="1:20" x14ac:dyDescent="0.15">
      <c r="A74" t="str">
        <f t="shared" si="11"/>
        <v>|Lv56|Lv4|3|1点のライフを失い、カードを2枚引く。|</v>
      </c>
      <c r="B74" t="s">
        <v>3</v>
      </c>
      <c r="C74" t="s">
        <v>8</v>
      </c>
      <c r="D74">
        <v>56</v>
      </c>
      <c r="E74" t="s">
        <v>3</v>
      </c>
      <c r="F74" t="s">
        <v>33</v>
      </c>
      <c r="G74" t="s">
        <v>3</v>
      </c>
      <c r="H74">
        <v>3</v>
      </c>
      <c r="I74" t="s">
        <v>3</v>
      </c>
      <c r="J74" t="s">
        <v>229</v>
      </c>
      <c r="K74" t="s">
        <v>3</v>
      </c>
    </row>
    <row r="75" spans="1:20" x14ac:dyDescent="0.15">
      <c r="A75" t="str">
        <f t="shared" si="11"/>
        <v>&amp;br;</v>
      </c>
      <c r="B75" t="s">
        <v>0</v>
      </c>
    </row>
    <row r="76" spans="1:20" x14ac:dyDescent="0.15">
      <c r="A76" t="str">
        <f t="shared" si="11"/>
        <v>&amp;br;</v>
      </c>
      <c r="B76" t="s">
        <v>0</v>
      </c>
    </row>
    <row r="77" spans="1:20" x14ac:dyDescent="0.15">
      <c r="A77" t="str">
        <f t="shared" si="11"/>
        <v>**第2能力：苦汁/Torment</v>
      </c>
      <c r="B77" t="s">
        <v>34</v>
      </c>
      <c r="D77" t="s">
        <v>230</v>
      </c>
      <c r="E77" t="s">
        <v>25</v>
      </c>
      <c r="F77" t="s">
        <v>231</v>
      </c>
    </row>
    <row r="78" spans="1:20" x14ac:dyDescent="0.15">
      <c r="A78" t="str">
        <f t="shared" si="11"/>
        <v>|LEFT:50|LEFT:50|LEFT:50|LEFT:300|c</v>
      </c>
      <c r="B78" t="s">
        <v>3</v>
      </c>
      <c r="C78" t="s">
        <v>4</v>
      </c>
      <c r="E78" t="s">
        <v>3</v>
      </c>
      <c r="F78" t="s">
        <v>4</v>
      </c>
      <c r="G78" t="s">
        <v>3</v>
      </c>
      <c r="H78" t="s">
        <v>4</v>
      </c>
      <c r="I78" t="s">
        <v>3</v>
      </c>
      <c r="J78" t="s">
        <v>26</v>
      </c>
      <c r="K78" t="s">
        <v>3</v>
      </c>
      <c r="L78" t="s">
        <v>5</v>
      </c>
    </row>
    <row r="79" spans="1:20" x14ac:dyDescent="0.15">
      <c r="A79" t="str">
        <f t="shared" si="11"/>
        <v>|解放Lv|レベル|コスト|効果|</v>
      </c>
      <c r="B79" t="s">
        <v>3</v>
      </c>
      <c r="C79" t="s">
        <v>27</v>
      </c>
      <c r="E79" t="s">
        <v>3</v>
      </c>
      <c r="F79" t="s">
        <v>6</v>
      </c>
      <c r="G79" t="s">
        <v>3</v>
      </c>
      <c r="H79" t="s">
        <v>28</v>
      </c>
      <c r="I79" t="s">
        <v>3</v>
      </c>
      <c r="J79" t="s">
        <v>29</v>
      </c>
      <c r="K79" t="s">
        <v>3</v>
      </c>
    </row>
    <row r="80" spans="1:20" x14ac:dyDescent="0.15">
      <c r="A80" t="str">
        <f t="shared" si="11"/>
        <v>|Lv12|Lv1|9|5点のライフを失う。パワーが4以下のクリーチャー1体を対象とし、それを破壊する。|</v>
      </c>
      <c r="B80" t="s">
        <v>3</v>
      </c>
      <c r="C80" t="s">
        <v>8</v>
      </c>
      <c r="D80">
        <v>12</v>
      </c>
      <c r="E80" t="s">
        <v>3</v>
      </c>
      <c r="F80" t="s">
        <v>30</v>
      </c>
      <c r="G80" t="s">
        <v>3</v>
      </c>
      <c r="H80">
        <v>9</v>
      </c>
      <c r="I80" t="s">
        <v>3</v>
      </c>
      <c r="J80" t="s">
        <v>232</v>
      </c>
      <c r="K80" t="s">
        <v>3</v>
      </c>
    </row>
    <row r="81" spans="1:12" x14ac:dyDescent="0.15">
      <c r="A81" t="str">
        <f t="shared" si="11"/>
        <v>|Lv30|Lv2|9|5点のライフを失う。パワーが6以下のクリーチャー1体を対象とし、それを破壊する。|</v>
      </c>
      <c r="B81" t="s">
        <v>3</v>
      </c>
      <c r="C81" t="s">
        <v>8</v>
      </c>
      <c r="D81">
        <v>30</v>
      </c>
      <c r="E81" t="s">
        <v>3</v>
      </c>
      <c r="F81" t="s">
        <v>31</v>
      </c>
      <c r="G81" t="s">
        <v>3</v>
      </c>
      <c r="H81">
        <v>9</v>
      </c>
      <c r="I81" t="s">
        <v>3</v>
      </c>
      <c r="J81" t="s">
        <v>233</v>
      </c>
      <c r="K81" t="s">
        <v>3</v>
      </c>
    </row>
    <row r="82" spans="1:12" x14ac:dyDescent="0.15">
      <c r="A82" t="str">
        <f t="shared" si="11"/>
        <v>|Lv46|Lv3|9|5点のライフを失う。クリーチャー1体を対象とし、それを破壊する。|</v>
      </c>
      <c r="B82" t="s">
        <v>3</v>
      </c>
      <c r="C82" t="s">
        <v>8</v>
      </c>
      <c r="D82">
        <v>46</v>
      </c>
      <c r="E82" t="s">
        <v>3</v>
      </c>
      <c r="F82" t="s">
        <v>32</v>
      </c>
      <c r="G82" t="s">
        <v>3</v>
      </c>
      <c r="H82">
        <v>9</v>
      </c>
      <c r="I82" t="s">
        <v>3</v>
      </c>
      <c r="J82" t="s">
        <v>234</v>
      </c>
      <c r="K82" t="s">
        <v>3</v>
      </c>
    </row>
    <row r="83" spans="1:12" x14ac:dyDescent="0.15">
      <c r="A83" t="str">
        <f t="shared" si="11"/>
        <v>|Lv58|Lv4|9|3点のライフを失う。クリーチャー1体を対象とし、それを破壊する。|</v>
      </c>
      <c r="B83" t="s">
        <v>3</v>
      </c>
      <c r="C83" t="s">
        <v>8</v>
      </c>
      <c r="D83">
        <v>58</v>
      </c>
      <c r="E83" t="s">
        <v>3</v>
      </c>
      <c r="F83" t="s">
        <v>33</v>
      </c>
      <c r="G83" t="s">
        <v>3</v>
      </c>
      <c r="H83">
        <v>9</v>
      </c>
      <c r="I83" t="s">
        <v>3</v>
      </c>
      <c r="J83" t="s">
        <v>235</v>
      </c>
      <c r="K83" t="s">
        <v>3</v>
      </c>
    </row>
    <row r="84" spans="1:12" x14ac:dyDescent="0.15">
      <c r="A84" t="str">
        <f t="shared" si="11"/>
        <v>&amp;br;</v>
      </c>
      <c r="B84" t="s">
        <v>0</v>
      </c>
    </row>
    <row r="85" spans="1:12" x14ac:dyDescent="0.15">
      <c r="A85" t="str">
        <f t="shared" si="11"/>
        <v>&amp;br;</v>
      </c>
      <c r="B85" t="s">
        <v>0</v>
      </c>
    </row>
    <row r="86" spans="1:12" x14ac:dyDescent="0.15">
      <c r="A86" t="str">
        <f t="shared" si="11"/>
        <v>**第3能力：禁忌の知識/Forbidden Knowledge</v>
      </c>
      <c r="B86" t="s">
        <v>35</v>
      </c>
      <c r="D86" t="s">
        <v>236</v>
      </c>
      <c r="E86" t="s">
        <v>25</v>
      </c>
      <c r="F86" t="s">
        <v>237</v>
      </c>
    </row>
    <row r="87" spans="1:12" x14ac:dyDescent="0.15">
      <c r="A87" t="str">
        <f t="shared" ref="A87:A150" si="12">B87&amp;C87&amp;D87&amp;E87&amp;F87&amp;G87&amp;H87&amp;I87&amp;J87&amp;K87&amp;L87&amp;M87&amp;N87&amp;O87&amp;P87</f>
        <v>|LEFT:50|LEFT:50|LEFT:50|LEFT:300|c</v>
      </c>
      <c r="B87" t="s">
        <v>3</v>
      </c>
      <c r="C87" t="s">
        <v>4</v>
      </c>
      <c r="E87" t="s">
        <v>3</v>
      </c>
      <c r="F87" t="s">
        <v>4</v>
      </c>
      <c r="G87" t="s">
        <v>3</v>
      </c>
      <c r="H87" t="s">
        <v>4</v>
      </c>
      <c r="I87" t="s">
        <v>3</v>
      </c>
      <c r="J87" t="s">
        <v>26</v>
      </c>
      <c r="K87" t="s">
        <v>3</v>
      </c>
      <c r="L87" t="s">
        <v>5</v>
      </c>
    </row>
    <row r="88" spans="1:12" x14ac:dyDescent="0.15">
      <c r="A88" t="str">
        <f t="shared" si="12"/>
        <v>|解放Lv|レベル|コスト|効果|</v>
      </c>
      <c r="B88" t="s">
        <v>3</v>
      </c>
      <c r="C88" t="s">
        <v>27</v>
      </c>
      <c r="E88" t="s">
        <v>3</v>
      </c>
      <c r="F88" t="s">
        <v>6</v>
      </c>
      <c r="G88" t="s">
        <v>3</v>
      </c>
      <c r="H88" t="s">
        <v>28</v>
      </c>
      <c r="I88" t="s">
        <v>3</v>
      </c>
      <c r="J88" t="s">
        <v>29</v>
      </c>
      <c r="K88" t="s">
        <v>3</v>
      </c>
    </row>
    <row r="89" spans="1:12" x14ac:dyDescent="0.15">
      <c r="A89" t="str">
        <f t="shared" si="12"/>
        <v>|Lv18|Lv1|18|「プレーヤー1人がカードを引くたび、対戦相手に2点のダメージを与える。」を持つサポート(シールド数5)を生成する。|</v>
      </c>
      <c r="B89" t="s">
        <v>3</v>
      </c>
      <c r="C89" t="s">
        <v>8</v>
      </c>
      <c r="D89">
        <v>18</v>
      </c>
      <c r="E89" t="s">
        <v>3</v>
      </c>
      <c r="F89" t="s">
        <v>30</v>
      </c>
      <c r="G89" t="s">
        <v>3</v>
      </c>
      <c r="H89">
        <v>18</v>
      </c>
      <c r="I89" t="s">
        <v>3</v>
      </c>
      <c r="J89" t="s">
        <v>238</v>
      </c>
      <c r="K89" t="s">
        <v>3</v>
      </c>
    </row>
    <row r="90" spans="1:12" x14ac:dyDescent="0.15">
      <c r="A90" t="str">
        <f t="shared" si="12"/>
        <v>|Lv36|Lv2|18|「プレーヤー1人がカードを引くたび、対戦相手に4点のダメージを与える。」を持つサポート(シールド数5)を生成する。|</v>
      </c>
      <c r="B90" t="s">
        <v>3</v>
      </c>
      <c r="C90" t="s">
        <v>8</v>
      </c>
      <c r="D90">
        <v>36</v>
      </c>
      <c r="E90" t="s">
        <v>3</v>
      </c>
      <c r="F90" t="s">
        <v>31</v>
      </c>
      <c r="G90" t="s">
        <v>3</v>
      </c>
      <c r="H90">
        <v>18</v>
      </c>
      <c r="I90" t="s">
        <v>3</v>
      </c>
      <c r="J90" t="s">
        <v>239</v>
      </c>
      <c r="K90" t="s">
        <v>3</v>
      </c>
    </row>
    <row r="91" spans="1:12" x14ac:dyDescent="0.15">
      <c r="A91" t="str">
        <f t="shared" si="12"/>
        <v>|Lv52|Lv3|18|「プレーヤー1人がカードを引くたび、対戦相手に6点のダメージを与える。」を持つサポート(シールド数5)を生成する。|</v>
      </c>
      <c r="B91" t="s">
        <v>3</v>
      </c>
      <c r="C91" t="s">
        <v>8</v>
      </c>
      <c r="D91">
        <v>52</v>
      </c>
      <c r="E91" t="s">
        <v>3</v>
      </c>
      <c r="F91" t="s">
        <v>32</v>
      </c>
      <c r="G91" t="s">
        <v>3</v>
      </c>
      <c r="H91">
        <v>18</v>
      </c>
      <c r="I91" t="s">
        <v>3</v>
      </c>
      <c r="J91" t="s">
        <v>240</v>
      </c>
      <c r="K91" t="s">
        <v>3</v>
      </c>
    </row>
    <row r="92" spans="1:12" x14ac:dyDescent="0.15">
      <c r="A92" t="str">
        <f t="shared" si="12"/>
        <v>|Lv60|Lv4|18|「プレーヤー1人がカードを引くたび、対戦相手に8点のダメージを与える。」を持つサポート(シールド数5)を生成する。|</v>
      </c>
      <c r="B92" t="s">
        <v>3</v>
      </c>
      <c r="C92" t="s">
        <v>8</v>
      </c>
      <c r="D92">
        <v>60</v>
      </c>
      <c r="E92" t="s">
        <v>3</v>
      </c>
      <c r="F92" t="s">
        <v>33</v>
      </c>
      <c r="G92" t="s">
        <v>3</v>
      </c>
      <c r="H92">
        <v>18</v>
      </c>
      <c r="I92" t="s">
        <v>3</v>
      </c>
      <c r="J92" t="s">
        <v>241</v>
      </c>
      <c r="K92" t="s">
        <v>3</v>
      </c>
    </row>
    <row r="93" spans="1:12" x14ac:dyDescent="0.15">
      <c r="A93" t="str">
        <f t="shared" si="12"/>
        <v>&amp;br;</v>
      </c>
      <c r="B93" t="s">
        <v>0</v>
      </c>
    </row>
    <row r="94" spans="1:12" x14ac:dyDescent="0.15">
      <c r="A94" t="str">
        <f t="shared" si="12"/>
        <v>&amp;br;</v>
      </c>
      <c r="B94" t="s">
        <v>0</v>
      </c>
    </row>
    <row r="95" spans="1:12" x14ac:dyDescent="0.15">
      <c r="A95" t="str">
        <f t="shared" si="12"/>
        <v>*レベルアップ報酬一覧 [#k0cef29c]</v>
      </c>
      <c r="B95" t="s">
        <v>36</v>
      </c>
    </row>
    <row r="96" spans="1:12" x14ac:dyDescent="0.15">
      <c r="A96" t="str">
        <f t="shared" si="12"/>
        <v>|LEFT:50|LEFT:100|c</v>
      </c>
      <c r="B96" t="s">
        <v>3</v>
      </c>
      <c r="C96" t="s">
        <v>4</v>
      </c>
      <c r="E96" t="s">
        <v>3</v>
      </c>
      <c r="F96" t="s">
        <v>37</v>
      </c>
      <c r="I96" t="s">
        <v>3</v>
      </c>
      <c r="J96" t="s">
        <v>5</v>
      </c>
    </row>
    <row r="97" spans="1:17" x14ac:dyDescent="0.15">
      <c r="A97" t="str">
        <f t="shared" si="12"/>
        <v>|レベル|報酬|</v>
      </c>
      <c r="B97" t="s">
        <v>3</v>
      </c>
      <c r="C97" t="s">
        <v>6</v>
      </c>
      <c r="E97" t="s">
        <v>3</v>
      </c>
      <c r="F97" t="s">
        <v>38</v>
      </c>
      <c r="I97" t="s">
        <v>3</v>
      </c>
      <c r="Q97" t="s">
        <v>7</v>
      </c>
    </row>
    <row r="98" spans="1:17" x14ac:dyDescent="0.15">
      <c r="A98" t="str">
        <f t="shared" si="12"/>
        <v>|Lｖ2|クリーチャー+1|</v>
      </c>
      <c r="B98" t="s">
        <v>3</v>
      </c>
      <c r="C98" t="s">
        <v>39</v>
      </c>
      <c r="D98">
        <v>2</v>
      </c>
      <c r="E98" t="s">
        <v>3</v>
      </c>
      <c r="F98" t="s">
        <v>20</v>
      </c>
      <c r="G98" t="str">
        <f t="shared" ref="G98:G104" si="13">IF(OR(F98=$Q$106,F98=$Q$107,F98=$Q$108,F98=$Q$109,ISBLANK(F98)),"","+")</f>
        <v>+</v>
      </c>
      <c r="H98">
        <v>1</v>
      </c>
      <c r="I98" t="s">
        <v>3</v>
      </c>
      <c r="Q98" t="s">
        <v>20</v>
      </c>
    </row>
    <row r="99" spans="1:17" x14ac:dyDescent="0.15">
      <c r="A99" t="str">
        <f t="shared" si="12"/>
        <v>|Lｖ3|HP+3|</v>
      </c>
      <c r="B99" t="s">
        <v>3</v>
      </c>
      <c r="C99" t="s">
        <v>39</v>
      </c>
      <c r="D99">
        <v>3</v>
      </c>
      <c r="E99" t="s">
        <v>3</v>
      </c>
      <c r="F99" t="s">
        <v>7</v>
      </c>
      <c r="G99" t="str">
        <f t="shared" si="13"/>
        <v>+</v>
      </c>
      <c r="H99">
        <v>3</v>
      </c>
      <c r="I99" t="s">
        <v>3</v>
      </c>
      <c r="Q99" t="s">
        <v>21</v>
      </c>
    </row>
    <row r="100" spans="1:17" x14ac:dyDescent="0.15">
      <c r="A100" t="str">
        <f t="shared" si="12"/>
        <v>|Lｖ4|サポート+1|</v>
      </c>
      <c r="B100" t="s">
        <v>3</v>
      </c>
      <c r="C100" t="s">
        <v>39</v>
      </c>
      <c r="D100">
        <v>4</v>
      </c>
      <c r="E100" t="s">
        <v>3</v>
      </c>
      <c r="F100" t="s">
        <v>22</v>
      </c>
      <c r="G100" t="str">
        <f t="shared" si="13"/>
        <v>+</v>
      </c>
      <c r="H100">
        <v>1</v>
      </c>
      <c r="I100" t="s">
        <v>3</v>
      </c>
      <c r="Q100" t="s">
        <v>22</v>
      </c>
    </row>
    <row r="101" spans="1:17" x14ac:dyDescent="0.15">
      <c r="A101" t="str">
        <f t="shared" si="12"/>
        <v>|Lｖ5|HP+3|</v>
      </c>
      <c r="B101" t="s">
        <v>3</v>
      </c>
      <c r="C101" t="s">
        <v>39</v>
      </c>
      <c r="D101">
        <v>5</v>
      </c>
      <c r="E101" t="s">
        <v>3</v>
      </c>
      <c r="F101" t="s">
        <v>7</v>
      </c>
      <c r="G101" t="str">
        <f t="shared" si="13"/>
        <v>+</v>
      </c>
      <c r="H101">
        <v>3</v>
      </c>
      <c r="I101" t="s">
        <v>3</v>
      </c>
      <c r="Q101" t="s">
        <v>11</v>
      </c>
    </row>
    <row r="102" spans="1:17" x14ac:dyDescent="0.15">
      <c r="A102" t="str">
        <f t="shared" si="12"/>
        <v>|Lｖ6|第1能力Lv1|</v>
      </c>
      <c r="B102" t="s">
        <v>3</v>
      </c>
      <c r="C102" t="s">
        <v>39</v>
      </c>
      <c r="D102">
        <v>6</v>
      </c>
      <c r="E102" t="s">
        <v>3</v>
      </c>
      <c r="F102" t="s">
        <v>40</v>
      </c>
      <c r="G102" t="str">
        <f t="shared" si="13"/>
        <v/>
      </c>
      <c r="H102">
        <v>1</v>
      </c>
      <c r="I102" t="s">
        <v>3</v>
      </c>
      <c r="Q102" t="s">
        <v>12</v>
      </c>
    </row>
    <row r="103" spans="1:17" x14ac:dyDescent="0.15">
      <c r="A103" t="str">
        <f t="shared" si="12"/>
        <v>|Lｖ7|HP+3|</v>
      </c>
      <c r="B103" t="s">
        <v>3</v>
      </c>
      <c r="C103" t="s">
        <v>39</v>
      </c>
      <c r="D103">
        <v>7</v>
      </c>
      <c r="E103" t="s">
        <v>3</v>
      </c>
      <c r="F103" t="s">
        <v>7</v>
      </c>
      <c r="G103" t="str">
        <f t="shared" si="13"/>
        <v>+</v>
      </c>
      <c r="H103">
        <v>3</v>
      </c>
      <c r="I103" t="s">
        <v>3</v>
      </c>
      <c r="Q103" t="s">
        <v>13</v>
      </c>
    </row>
    <row r="104" spans="1:17" x14ac:dyDescent="0.15">
      <c r="A104" t="str">
        <f t="shared" si="12"/>
        <v>|Lｖ8|黒+1|</v>
      </c>
      <c r="B104" t="s">
        <v>3</v>
      </c>
      <c r="C104" t="s">
        <v>39</v>
      </c>
      <c r="D104">
        <v>8</v>
      </c>
      <c r="E104" t="s">
        <v>3</v>
      </c>
      <c r="F104" t="s">
        <v>13</v>
      </c>
      <c r="G104" t="str">
        <f t="shared" si="13"/>
        <v>+</v>
      </c>
      <c r="H104">
        <v>1</v>
      </c>
      <c r="I104" t="s">
        <v>3</v>
      </c>
      <c r="Q104" t="s">
        <v>14</v>
      </c>
    </row>
    <row r="105" spans="1:17" x14ac:dyDescent="0.15">
      <c r="A105" t="str">
        <f t="shared" si="12"/>
        <v>|Lｖ9|HP+3|</v>
      </c>
      <c r="B105" t="s">
        <v>3</v>
      </c>
      <c r="C105" t="s">
        <v>39</v>
      </c>
      <c r="D105">
        <v>9</v>
      </c>
      <c r="E105" t="s">
        <v>3</v>
      </c>
      <c r="F105" t="s">
        <v>7</v>
      </c>
      <c r="G105" t="str">
        <f t="shared" ref="G105:G155" si="14">IF(OR(F105=$Q$106,F105=$Q$107,F105=$Q$108,F105=$Q$109,ISBLANK(F105)),"","+")</f>
        <v>+</v>
      </c>
      <c r="H105">
        <v>3</v>
      </c>
      <c r="I105" t="s">
        <v>3</v>
      </c>
      <c r="Q105" t="s">
        <v>15</v>
      </c>
    </row>
    <row r="106" spans="1:17" x14ac:dyDescent="0.15">
      <c r="A106" t="str">
        <f t="shared" si="12"/>
        <v>|Lｖ10|呪文+1|</v>
      </c>
      <c r="B106" t="s">
        <v>3</v>
      </c>
      <c r="C106" t="s">
        <v>39</v>
      </c>
      <c r="D106">
        <v>10</v>
      </c>
      <c r="E106" t="s">
        <v>3</v>
      </c>
      <c r="F106" t="s">
        <v>21</v>
      </c>
      <c r="G106" t="str">
        <f t="shared" si="14"/>
        <v>+</v>
      </c>
      <c r="H106">
        <v>1</v>
      </c>
      <c r="I106" t="s">
        <v>3</v>
      </c>
      <c r="Q106" t="s">
        <v>40</v>
      </c>
    </row>
    <row r="107" spans="1:17" x14ac:dyDescent="0.15">
      <c r="A107" t="str">
        <f t="shared" si="12"/>
        <v>|Lｖ11|HP+3|</v>
      </c>
      <c r="B107" t="s">
        <v>3</v>
      </c>
      <c r="C107" t="s">
        <v>39</v>
      </c>
      <c r="D107">
        <v>11</v>
      </c>
      <c r="E107" t="s">
        <v>3</v>
      </c>
      <c r="F107" t="s">
        <v>7</v>
      </c>
      <c r="G107" t="str">
        <f t="shared" si="14"/>
        <v>+</v>
      </c>
      <c r="H107">
        <v>3</v>
      </c>
      <c r="I107" t="s">
        <v>3</v>
      </c>
      <c r="Q107" t="s">
        <v>41</v>
      </c>
    </row>
    <row r="108" spans="1:17" x14ac:dyDescent="0.15">
      <c r="A108" t="str">
        <f t="shared" si="12"/>
        <v>|Lｖ12|第2能力Lv1|</v>
      </c>
      <c r="B108" t="s">
        <v>3</v>
      </c>
      <c r="C108" t="s">
        <v>39</v>
      </c>
      <c r="D108">
        <v>12</v>
      </c>
      <c r="E108" t="s">
        <v>3</v>
      </c>
      <c r="F108" t="s">
        <v>41</v>
      </c>
      <c r="G108" t="str">
        <f t="shared" si="14"/>
        <v/>
      </c>
      <c r="H108">
        <v>1</v>
      </c>
      <c r="I108" t="s">
        <v>3</v>
      </c>
      <c r="Q108" t="s">
        <v>42</v>
      </c>
    </row>
    <row r="109" spans="1:17" x14ac:dyDescent="0.15">
      <c r="A109" t="str">
        <f t="shared" si="12"/>
        <v>|Lｖ13|HP+3|</v>
      </c>
      <c r="B109" t="s">
        <v>3</v>
      </c>
      <c r="C109" t="s">
        <v>39</v>
      </c>
      <c r="D109">
        <v>13</v>
      </c>
      <c r="E109" t="s">
        <v>3</v>
      </c>
      <c r="F109" t="s">
        <v>7</v>
      </c>
      <c r="G109" t="str">
        <f t="shared" si="14"/>
        <v>+</v>
      </c>
      <c r="H109">
        <v>3</v>
      </c>
      <c r="I109" t="s">
        <v>3</v>
      </c>
      <c r="Q109" t="s">
        <v>43</v>
      </c>
    </row>
    <row r="110" spans="1:17" x14ac:dyDescent="0.15">
      <c r="A110" t="str">
        <f t="shared" si="12"/>
        <v>|Lｖ14|回復速度上昇|</v>
      </c>
      <c r="B110" t="s">
        <v>3</v>
      </c>
      <c r="C110" t="s">
        <v>39</v>
      </c>
      <c r="D110">
        <v>14</v>
      </c>
      <c r="E110" t="s">
        <v>3</v>
      </c>
      <c r="F110" t="s">
        <v>43</v>
      </c>
      <c r="G110" t="str">
        <f t="shared" si="14"/>
        <v/>
      </c>
      <c r="I110" t="s">
        <v>3</v>
      </c>
    </row>
    <row r="111" spans="1:17" x14ac:dyDescent="0.15">
      <c r="A111" t="str">
        <f t="shared" si="12"/>
        <v>|Lｖ15|HP+3|</v>
      </c>
      <c r="B111" t="s">
        <v>3</v>
      </c>
      <c r="C111" t="s">
        <v>39</v>
      </c>
      <c r="D111">
        <v>15</v>
      </c>
      <c r="E111" t="s">
        <v>3</v>
      </c>
      <c r="F111" t="s">
        <v>7</v>
      </c>
      <c r="G111" t="str">
        <f t="shared" si="14"/>
        <v>+</v>
      </c>
      <c r="H111">
        <v>3</v>
      </c>
      <c r="I111" t="s">
        <v>3</v>
      </c>
    </row>
    <row r="112" spans="1:17" x14ac:dyDescent="0.15">
      <c r="A112" t="str">
        <f t="shared" si="12"/>
        <v>|Lｖ16|青+1|</v>
      </c>
      <c r="B112" t="s">
        <v>3</v>
      </c>
      <c r="C112" t="s">
        <v>39</v>
      </c>
      <c r="D112">
        <v>16</v>
      </c>
      <c r="E112" t="s">
        <v>3</v>
      </c>
      <c r="F112" t="s">
        <v>12</v>
      </c>
      <c r="G112" t="str">
        <f t="shared" si="14"/>
        <v>+</v>
      </c>
      <c r="H112">
        <v>1</v>
      </c>
      <c r="I112" t="s">
        <v>3</v>
      </c>
    </row>
    <row r="113" spans="1:9" x14ac:dyDescent="0.15">
      <c r="A113" t="str">
        <f t="shared" si="12"/>
        <v>|Lｖ17|HP+3|</v>
      </c>
      <c r="B113" t="s">
        <v>3</v>
      </c>
      <c r="C113" t="s">
        <v>39</v>
      </c>
      <c r="D113">
        <v>17</v>
      </c>
      <c r="E113" t="s">
        <v>3</v>
      </c>
      <c r="F113" t="s">
        <v>7</v>
      </c>
      <c r="G113" t="str">
        <f t="shared" si="14"/>
        <v>+</v>
      </c>
      <c r="H113">
        <v>3</v>
      </c>
      <c r="I113" t="s">
        <v>3</v>
      </c>
    </row>
    <row r="114" spans="1:9" x14ac:dyDescent="0.15">
      <c r="A114" t="str">
        <f t="shared" si="12"/>
        <v>|Lｖ18|第3能力Lv1|</v>
      </c>
      <c r="B114" t="s">
        <v>3</v>
      </c>
      <c r="C114" t="s">
        <v>39</v>
      </c>
      <c r="D114">
        <v>18</v>
      </c>
      <c r="E114" t="s">
        <v>3</v>
      </c>
      <c r="F114" t="s">
        <v>42</v>
      </c>
      <c r="G114" t="str">
        <f t="shared" si="14"/>
        <v/>
      </c>
      <c r="H114">
        <v>1</v>
      </c>
      <c r="I114" t="s">
        <v>3</v>
      </c>
    </row>
    <row r="115" spans="1:9" x14ac:dyDescent="0.15">
      <c r="A115" t="str">
        <f t="shared" si="12"/>
        <v>|Lｖ19|HP+3|</v>
      </c>
      <c r="B115" t="s">
        <v>3</v>
      </c>
      <c r="C115" t="s">
        <v>39</v>
      </c>
      <c r="D115">
        <v>19</v>
      </c>
      <c r="E115" t="s">
        <v>3</v>
      </c>
      <c r="F115" t="s">
        <v>7</v>
      </c>
      <c r="G115" t="str">
        <f t="shared" si="14"/>
        <v>+</v>
      </c>
      <c r="H115">
        <v>3</v>
      </c>
      <c r="I115" t="s">
        <v>3</v>
      </c>
    </row>
    <row r="116" spans="1:9" x14ac:dyDescent="0.15">
      <c r="A116" t="str">
        <f t="shared" si="12"/>
        <v>|Lｖ20|クリーチャー+1|</v>
      </c>
      <c r="B116" t="s">
        <v>3</v>
      </c>
      <c r="C116" t="s">
        <v>39</v>
      </c>
      <c r="D116">
        <v>20</v>
      </c>
      <c r="E116" t="s">
        <v>3</v>
      </c>
      <c r="F116" t="s">
        <v>20</v>
      </c>
      <c r="G116" t="str">
        <f t="shared" si="14"/>
        <v>+</v>
      </c>
      <c r="H116">
        <v>1</v>
      </c>
      <c r="I116" t="s">
        <v>3</v>
      </c>
    </row>
    <row r="117" spans="1:9" x14ac:dyDescent="0.15">
      <c r="A117" t="str">
        <f t="shared" si="12"/>
        <v>|Lｖ21|HP+3|</v>
      </c>
      <c r="B117" t="s">
        <v>3</v>
      </c>
      <c r="C117" t="s">
        <v>39</v>
      </c>
      <c r="D117">
        <v>21</v>
      </c>
      <c r="E117" t="s">
        <v>3</v>
      </c>
      <c r="F117" t="s">
        <v>7</v>
      </c>
      <c r="G117" t="str">
        <f t="shared" si="14"/>
        <v>+</v>
      </c>
      <c r="H117">
        <v>3</v>
      </c>
      <c r="I117" t="s">
        <v>3</v>
      </c>
    </row>
    <row r="118" spans="1:9" x14ac:dyDescent="0.15">
      <c r="A118" t="str">
        <f t="shared" si="12"/>
        <v>|Lｖ22|サポート+1|</v>
      </c>
      <c r="B118" t="s">
        <v>3</v>
      </c>
      <c r="C118" t="s">
        <v>39</v>
      </c>
      <c r="D118">
        <v>22</v>
      </c>
      <c r="E118" t="s">
        <v>3</v>
      </c>
      <c r="F118" t="s">
        <v>22</v>
      </c>
      <c r="G118" t="str">
        <f t="shared" si="14"/>
        <v>+</v>
      </c>
      <c r="H118">
        <v>1</v>
      </c>
      <c r="I118" t="s">
        <v>3</v>
      </c>
    </row>
    <row r="119" spans="1:9" x14ac:dyDescent="0.15">
      <c r="A119" t="str">
        <f t="shared" si="12"/>
        <v>|Lｖ23|HP+3|</v>
      </c>
      <c r="B119" t="s">
        <v>3</v>
      </c>
      <c r="C119" t="s">
        <v>39</v>
      </c>
      <c r="D119">
        <v>23</v>
      </c>
      <c r="E119" t="s">
        <v>3</v>
      </c>
      <c r="F119" t="s">
        <v>7</v>
      </c>
      <c r="G119" t="str">
        <f t="shared" si="14"/>
        <v>+</v>
      </c>
      <c r="H119">
        <v>3</v>
      </c>
      <c r="I119" t="s">
        <v>3</v>
      </c>
    </row>
    <row r="120" spans="1:9" x14ac:dyDescent="0.15">
      <c r="A120" t="str">
        <f t="shared" si="12"/>
        <v>|Lｖ24|第1能力Lv2|</v>
      </c>
      <c r="B120" t="s">
        <v>3</v>
      </c>
      <c r="C120" t="s">
        <v>39</v>
      </c>
      <c r="D120">
        <v>24</v>
      </c>
      <c r="E120" t="s">
        <v>3</v>
      </c>
      <c r="F120" t="s">
        <v>40</v>
      </c>
      <c r="G120" t="str">
        <f t="shared" si="14"/>
        <v/>
      </c>
      <c r="H120">
        <v>2</v>
      </c>
      <c r="I120" t="s">
        <v>3</v>
      </c>
    </row>
    <row r="121" spans="1:9" x14ac:dyDescent="0.15">
      <c r="A121" t="str">
        <f t="shared" si="12"/>
        <v>|Lｖ25|HP+3|</v>
      </c>
      <c r="B121" t="s">
        <v>3</v>
      </c>
      <c r="C121" t="s">
        <v>39</v>
      </c>
      <c r="D121">
        <v>25</v>
      </c>
      <c r="E121" t="s">
        <v>3</v>
      </c>
      <c r="F121" t="s">
        <v>7</v>
      </c>
      <c r="G121" t="str">
        <f t="shared" si="14"/>
        <v>+</v>
      </c>
      <c r="H121">
        <v>3</v>
      </c>
      <c r="I121" t="s">
        <v>3</v>
      </c>
    </row>
    <row r="122" spans="1:9" x14ac:dyDescent="0.15">
      <c r="A122" t="str">
        <f t="shared" si="12"/>
        <v>|Lｖ26|白+1|</v>
      </c>
      <c r="B122" t="s">
        <v>3</v>
      </c>
      <c r="C122" t="s">
        <v>39</v>
      </c>
      <c r="D122">
        <v>26</v>
      </c>
      <c r="E122" t="s">
        <v>3</v>
      </c>
      <c r="F122" t="s">
        <v>11</v>
      </c>
      <c r="G122" t="str">
        <f t="shared" si="14"/>
        <v>+</v>
      </c>
      <c r="H122">
        <v>1</v>
      </c>
      <c r="I122" t="s">
        <v>3</v>
      </c>
    </row>
    <row r="123" spans="1:9" x14ac:dyDescent="0.15">
      <c r="A123" t="str">
        <f t="shared" si="12"/>
        <v>|Lｖ27|HP+3|</v>
      </c>
      <c r="B123" t="s">
        <v>3</v>
      </c>
      <c r="C123" t="s">
        <v>39</v>
      </c>
      <c r="D123">
        <v>27</v>
      </c>
      <c r="E123" t="s">
        <v>3</v>
      </c>
      <c r="F123" t="s">
        <v>7</v>
      </c>
      <c r="G123" t="str">
        <f t="shared" si="14"/>
        <v>+</v>
      </c>
      <c r="H123">
        <v>3</v>
      </c>
      <c r="I123" t="s">
        <v>3</v>
      </c>
    </row>
    <row r="124" spans="1:9" x14ac:dyDescent="0.15">
      <c r="A124" t="str">
        <f t="shared" si="12"/>
        <v>|Lｖ28|呪文+1|</v>
      </c>
      <c r="B124" t="s">
        <v>3</v>
      </c>
      <c r="C124" t="s">
        <v>39</v>
      </c>
      <c r="D124">
        <v>28</v>
      </c>
      <c r="E124" t="s">
        <v>3</v>
      </c>
      <c r="F124" t="s">
        <v>21</v>
      </c>
      <c r="G124" t="str">
        <f t="shared" si="14"/>
        <v>+</v>
      </c>
      <c r="H124">
        <v>1</v>
      </c>
      <c r="I124" t="s">
        <v>3</v>
      </c>
    </row>
    <row r="125" spans="1:9" x14ac:dyDescent="0.15">
      <c r="A125" t="str">
        <f t="shared" si="12"/>
        <v>|Lｖ29|HP+3|</v>
      </c>
      <c r="B125" t="s">
        <v>3</v>
      </c>
      <c r="C125" t="s">
        <v>39</v>
      </c>
      <c r="D125">
        <v>29</v>
      </c>
      <c r="E125" t="s">
        <v>3</v>
      </c>
      <c r="F125" t="s">
        <v>7</v>
      </c>
      <c r="G125" t="str">
        <f t="shared" si="14"/>
        <v>+</v>
      </c>
      <c r="H125">
        <v>3</v>
      </c>
      <c r="I125" t="s">
        <v>3</v>
      </c>
    </row>
    <row r="126" spans="1:9" x14ac:dyDescent="0.15">
      <c r="A126" t="str">
        <f t="shared" si="12"/>
        <v>|Lｖ30|第2能力Lv2|</v>
      </c>
      <c r="B126" t="s">
        <v>3</v>
      </c>
      <c r="C126" t="s">
        <v>39</v>
      </c>
      <c r="D126">
        <v>30</v>
      </c>
      <c r="E126" t="s">
        <v>3</v>
      </c>
      <c r="F126" t="s">
        <v>41</v>
      </c>
      <c r="G126" t="str">
        <f t="shared" si="14"/>
        <v/>
      </c>
      <c r="H126">
        <v>2</v>
      </c>
      <c r="I126" t="s">
        <v>3</v>
      </c>
    </row>
    <row r="127" spans="1:9" x14ac:dyDescent="0.15">
      <c r="A127" t="str">
        <f t="shared" si="12"/>
        <v>|Lｖ31|HP+3|</v>
      </c>
      <c r="B127" t="s">
        <v>3</v>
      </c>
      <c r="C127" t="s">
        <v>39</v>
      </c>
      <c r="D127">
        <v>31</v>
      </c>
      <c r="E127" t="s">
        <v>3</v>
      </c>
      <c r="F127" t="s">
        <v>7</v>
      </c>
      <c r="G127" t="str">
        <f t="shared" si="14"/>
        <v>+</v>
      </c>
      <c r="H127">
        <v>3</v>
      </c>
      <c r="I127" t="s">
        <v>3</v>
      </c>
    </row>
    <row r="128" spans="1:9" x14ac:dyDescent="0.15">
      <c r="A128" t="str">
        <f t="shared" si="12"/>
        <v>|Lｖ32|回復速度上昇|</v>
      </c>
      <c r="B128" t="s">
        <v>3</v>
      </c>
      <c r="C128" t="s">
        <v>39</v>
      </c>
      <c r="D128">
        <v>32</v>
      </c>
      <c r="E128" t="s">
        <v>3</v>
      </c>
      <c r="F128" t="s">
        <v>43</v>
      </c>
      <c r="G128" t="str">
        <f t="shared" si="14"/>
        <v/>
      </c>
      <c r="I128" t="s">
        <v>3</v>
      </c>
    </row>
    <row r="129" spans="1:9" x14ac:dyDescent="0.15">
      <c r="A129" t="str">
        <f t="shared" si="12"/>
        <v>|Lｖ33|HP+3|</v>
      </c>
      <c r="B129" t="s">
        <v>3</v>
      </c>
      <c r="C129" t="s">
        <v>39</v>
      </c>
      <c r="D129">
        <v>33</v>
      </c>
      <c r="E129" t="s">
        <v>3</v>
      </c>
      <c r="F129" t="s">
        <v>7</v>
      </c>
      <c r="G129" t="str">
        <f t="shared" si="14"/>
        <v>+</v>
      </c>
      <c r="H129">
        <v>3</v>
      </c>
      <c r="I129" t="s">
        <v>3</v>
      </c>
    </row>
    <row r="130" spans="1:9" x14ac:dyDescent="0.15">
      <c r="A130" t="str">
        <f t="shared" si="12"/>
        <v>|Lｖ34|赤+1|</v>
      </c>
      <c r="B130" t="s">
        <v>3</v>
      </c>
      <c r="C130" t="s">
        <v>39</v>
      </c>
      <c r="D130">
        <v>34</v>
      </c>
      <c r="E130" t="s">
        <v>3</v>
      </c>
      <c r="F130" t="s">
        <v>14</v>
      </c>
      <c r="G130" t="str">
        <f t="shared" si="14"/>
        <v>+</v>
      </c>
      <c r="H130">
        <v>1</v>
      </c>
      <c r="I130" t="s">
        <v>3</v>
      </c>
    </row>
    <row r="131" spans="1:9" x14ac:dyDescent="0.15">
      <c r="A131" t="str">
        <f t="shared" si="12"/>
        <v>|Lｖ35|HP+3|</v>
      </c>
      <c r="B131" t="s">
        <v>3</v>
      </c>
      <c r="C131" t="s">
        <v>39</v>
      </c>
      <c r="D131">
        <v>35</v>
      </c>
      <c r="E131" t="s">
        <v>3</v>
      </c>
      <c r="F131" t="s">
        <v>7</v>
      </c>
      <c r="G131" t="str">
        <f t="shared" si="14"/>
        <v>+</v>
      </c>
      <c r="H131">
        <v>3</v>
      </c>
      <c r="I131" t="s">
        <v>3</v>
      </c>
    </row>
    <row r="132" spans="1:9" x14ac:dyDescent="0.15">
      <c r="A132" t="str">
        <f t="shared" si="12"/>
        <v>|Lｖ36|第3能力Lv2|</v>
      </c>
      <c r="B132" t="s">
        <v>3</v>
      </c>
      <c r="C132" t="s">
        <v>39</v>
      </c>
      <c r="D132">
        <v>36</v>
      </c>
      <c r="E132" t="s">
        <v>3</v>
      </c>
      <c r="F132" t="s">
        <v>42</v>
      </c>
      <c r="G132" t="str">
        <f t="shared" si="14"/>
        <v/>
      </c>
      <c r="H132">
        <v>2</v>
      </c>
      <c r="I132" t="s">
        <v>3</v>
      </c>
    </row>
    <row r="133" spans="1:9" x14ac:dyDescent="0.15">
      <c r="A133" t="str">
        <f t="shared" si="12"/>
        <v>|Lｖ37|HP+3|</v>
      </c>
      <c r="B133" t="s">
        <v>3</v>
      </c>
      <c r="C133" t="s">
        <v>39</v>
      </c>
      <c r="D133">
        <v>37</v>
      </c>
      <c r="E133" t="s">
        <v>3</v>
      </c>
      <c r="F133" t="s">
        <v>7</v>
      </c>
      <c r="G133" t="str">
        <f t="shared" si="14"/>
        <v>+</v>
      </c>
      <c r="H133">
        <v>3</v>
      </c>
      <c r="I133" t="s">
        <v>3</v>
      </c>
    </row>
    <row r="134" spans="1:9" x14ac:dyDescent="0.15">
      <c r="A134" t="str">
        <f t="shared" si="12"/>
        <v>|Lｖ38|クリーチャー+1|</v>
      </c>
      <c r="B134" t="s">
        <v>3</v>
      </c>
      <c r="C134" t="s">
        <v>39</v>
      </c>
      <c r="D134">
        <v>38</v>
      </c>
      <c r="E134" t="s">
        <v>3</v>
      </c>
      <c r="F134" t="s">
        <v>20</v>
      </c>
      <c r="G134" t="str">
        <f t="shared" si="14"/>
        <v>+</v>
      </c>
      <c r="H134">
        <v>1</v>
      </c>
      <c r="I134" t="s">
        <v>3</v>
      </c>
    </row>
    <row r="135" spans="1:9" x14ac:dyDescent="0.15">
      <c r="A135" t="str">
        <f t="shared" si="12"/>
        <v>|Lｖ39|HP+3|</v>
      </c>
      <c r="B135" t="s">
        <v>3</v>
      </c>
      <c r="C135" t="s">
        <v>39</v>
      </c>
      <c r="D135">
        <v>39</v>
      </c>
      <c r="E135" t="s">
        <v>3</v>
      </c>
      <c r="F135" t="s">
        <v>7</v>
      </c>
      <c r="G135" t="str">
        <f t="shared" si="14"/>
        <v>+</v>
      </c>
      <c r="H135">
        <v>3</v>
      </c>
      <c r="I135" t="s">
        <v>3</v>
      </c>
    </row>
    <row r="136" spans="1:9" x14ac:dyDescent="0.15">
      <c r="A136" t="str">
        <f t="shared" si="12"/>
        <v>|Lｖ40|第1能力Lv3|</v>
      </c>
      <c r="B136" t="s">
        <v>3</v>
      </c>
      <c r="C136" t="s">
        <v>39</v>
      </c>
      <c r="D136">
        <v>40</v>
      </c>
      <c r="E136" t="s">
        <v>3</v>
      </c>
      <c r="F136" t="s">
        <v>40</v>
      </c>
      <c r="G136" t="str">
        <f t="shared" si="14"/>
        <v/>
      </c>
      <c r="H136">
        <v>3</v>
      </c>
      <c r="I136" t="s">
        <v>3</v>
      </c>
    </row>
    <row r="137" spans="1:9" x14ac:dyDescent="0.15">
      <c r="A137" t="str">
        <f t="shared" si="12"/>
        <v>|Lｖ41|HP+3|</v>
      </c>
      <c r="B137" t="s">
        <v>3</v>
      </c>
      <c r="C137" t="s">
        <v>39</v>
      </c>
      <c r="D137">
        <v>41</v>
      </c>
      <c r="E137" t="s">
        <v>3</v>
      </c>
      <c r="F137" t="s">
        <v>7</v>
      </c>
      <c r="G137" t="str">
        <f t="shared" si="14"/>
        <v>+</v>
      </c>
      <c r="H137">
        <v>3</v>
      </c>
      <c r="I137" t="s">
        <v>3</v>
      </c>
    </row>
    <row r="138" spans="1:9" x14ac:dyDescent="0.15">
      <c r="A138" t="str">
        <f t="shared" si="12"/>
        <v>|Lｖ42|サポート+1|</v>
      </c>
      <c r="B138" t="s">
        <v>3</v>
      </c>
      <c r="C138" t="s">
        <v>39</v>
      </c>
      <c r="D138">
        <v>42</v>
      </c>
      <c r="E138" t="s">
        <v>3</v>
      </c>
      <c r="F138" t="s">
        <v>22</v>
      </c>
      <c r="G138" t="str">
        <f t="shared" si="14"/>
        <v>+</v>
      </c>
      <c r="H138">
        <v>1</v>
      </c>
      <c r="I138" t="s">
        <v>3</v>
      </c>
    </row>
    <row r="139" spans="1:9" x14ac:dyDescent="0.15">
      <c r="A139" t="str">
        <f t="shared" si="12"/>
        <v>|Lｖ43|HP+3|</v>
      </c>
      <c r="B139" t="s">
        <v>3</v>
      </c>
      <c r="C139" t="s">
        <v>39</v>
      </c>
      <c r="D139">
        <v>43</v>
      </c>
      <c r="E139" t="s">
        <v>3</v>
      </c>
      <c r="F139" t="s">
        <v>7</v>
      </c>
      <c r="G139" t="str">
        <f t="shared" si="14"/>
        <v>+</v>
      </c>
      <c r="H139">
        <v>3</v>
      </c>
      <c r="I139" t="s">
        <v>3</v>
      </c>
    </row>
    <row r="140" spans="1:9" x14ac:dyDescent="0.15">
      <c r="A140" t="str">
        <f t="shared" si="12"/>
        <v>|Lｖ44|緑+1|</v>
      </c>
      <c r="B140" t="s">
        <v>3</v>
      </c>
      <c r="C140" t="s">
        <v>39</v>
      </c>
      <c r="D140">
        <v>44</v>
      </c>
      <c r="E140" t="s">
        <v>3</v>
      </c>
      <c r="F140" t="s">
        <v>15</v>
      </c>
      <c r="G140" t="str">
        <f t="shared" si="14"/>
        <v>+</v>
      </c>
      <c r="H140">
        <v>1</v>
      </c>
      <c r="I140" t="s">
        <v>3</v>
      </c>
    </row>
    <row r="141" spans="1:9" x14ac:dyDescent="0.15">
      <c r="A141" t="str">
        <f t="shared" si="12"/>
        <v>|Lｖ45|HP+3|</v>
      </c>
      <c r="B141" t="s">
        <v>3</v>
      </c>
      <c r="C141" t="s">
        <v>39</v>
      </c>
      <c r="D141">
        <v>45</v>
      </c>
      <c r="E141" t="s">
        <v>3</v>
      </c>
      <c r="F141" t="s">
        <v>7</v>
      </c>
      <c r="G141" t="str">
        <f t="shared" si="14"/>
        <v>+</v>
      </c>
      <c r="H141">
        <v>3</v>
      </c>
      <c r="I141" t="s">
        <v>3</v>
      </c>
    </row>
    <row r="142" spans="1:9" x14ac:dyDescent="0.15">
      <c r="A142" t="str">
        <f t="shared" si="12"/>
        <v>|Lｖ46|第2能力Lv3|</v>
      </c>
      <c r="B142" t="s">
        <v>3</v>
      </c>
      <c r="C142" t="s">
        <v>39</v>
      </c>
      <c r="D142">
        <v>46</v>
      </c>
      <c r="E142" t="s">
        <v>3</v>
      </c>
      <c r="F142" t="s">
        <v>41</v>
      </c>
      <c r="G142" t="str">
        <f t="shared" si="14"/>
        <v/>
      </c>
      <c r="H142">
        <v>3</v>
      </c>
      <c r="I142" t="s">
        <v>3</v>
      </c>
    </row>
    <row r="143" spans="1:9" x14ac:dyDescent="0.15">
      <c r="A143" t="str">
        <f t="shared" si="12"/>
        <v>|Lｖ47|HP+3|</v>
      </c>
      <c r="B143" t="s">
        <v>3</v>
      </c>
      <c r="C143" t="s">
        <v>39</v>
      </c>
      <c r="D143">
        <v>47</v>
      </c>
      <c r="E143" t="s">
        <v>3</v>
      </c>
      <c r="F143" t="s">
        <v>7</v>
      </c>
      <c r="G143" t="str">
        <f t="shared" si="14"/>
        <v>+</v>
      </c>
      <c r="H143">
        <v>3</v>
      </c>
      <c r="I143" t="s">
        <v>3</v>
      </c>
    </row>
    <row r="144" spans="1:9" x14ac:dyDescent="0.15">
      <c r="A144" t="str">
        <f t="shared" si="12"/>
        <v>|Lｖ48|呪文+1|</v>
      </c>
      <c r="B144" t="s">
        <v>3</v>
      </c>
      <c r="C144" t="s">
        <v>39</v>
      </c>
      <c r="D144">
        <v>48</v>
      </c>
      <c r="E144" t="s">
        <v>3</v>
      </c>
      <c r="F144" t="s">
        <v>21</v>
      </c>
      <c r="G144" t="str">
        <f t="shared" si="14"/>
        <v>+</v>
      </c>
      <c r="H144">
        <v>1</v>
      </c>
      <c r="I144" t="s">
        <v>3</v>
      </c>
    </row>
    <row r="145" spans="1:9" x14ac:dyDescent="0.15">
      <c r="A145" t="str">
        <f t="shared" si="12"/>
        <v>|Lｖ49|HP+3|</v>
      </c>
      <c r="B145" t="s">
        <v>3</v>
      </c>
      <c r="C145" t="s">
        <v>39</v>
      </c>
      <c r="D145">
        <v>49</v>
      </c>
      <c r="E145" t="s">
        <v>3</v>
      </c>
      <c r="F145" t="s">
        <v>7</v>
      </c>
      <c r="G145" t="str">
        <f t="shared" si="14"/>
        <v>+</v>
      </c>
      <c r="H145">
        <v>3</v>
      </c>
      <c r="I145" t="s">
        <v>3</v>
      </c>
    </row>
    <row r="146" spans="1:9" x14ac:dyDescent="0.15">
      <c r="A146" t="str">
        <f t="shared" si="12"/>
        <v>|Lｖ50|回復速度上昇|</v>
      </c>
      <c r="B146" t="s">
        <v>3</v>
      </c>
      <c r="C146" t="s">
        <v>39</v>
      </c>
      <c r="D146">
        <v>50</v>
      </c>
      <c r="E146" t="s">
        <v>3</v>
      </c>
      <c r="F146" t="s">
        <v>43</v>
      </c>
      <c r="G146" t="str">
        <f t="shared" si="14"/>
        <v/>
      </c>
      <c r="I146" t="s">
        <v>3</v>
      </c>
    </row>
    <row r="147" spans="1:9" x14ac:dyDescent="0.15">
      <c r="A147" t="str">
        <f t="shared" si="12"/>
        <v>|Lｖ51|HP+3|</v>
      </c>
      <c r="B147" t="s">
        <v>3</v>
      </c>
      <c r="C147" t="s">
        <v>39</v>
      </c>
      <c r="D147">
        <v>51</v>
      </c>
      <c r="E147" t="s">
        <v>3</v>
      </c>
      <c r="F147" t="s">
        <v>7</v>
      </c>
      <c r="G147" t="str">
        <f t="shared" si="14"/>
        <v>+</v>
      </c>
      <c r="H147">
        <v>3</v>
      </c>
      <c r="I147" t="s">
        <v>3</v>
      </c>
    </row>
    <row r="148" spans="1:9" x14ac:dyDescent="0.15">
      <c r="A148" t="str">
        <f t="shared" si="12"/>
        <v>|Lｖ52|第3能力Lv3|</v>
      </c>
      <c r="B148" t="s">
        <v>3</v>
      </c>
      <c r="C148" t="s">
        <v>39</v>
      </c>
      <c r="D148">
        <v>52</v>
      </c>
      <c r="E148" t="s">
        <v>3</v>
      </c>
      <c r="F148" t="s">
        <v>42</v>
      </c>
      <c r="G148" t="str">
        <f t="shared" si="14"/>
        <v/>
      </c>
      <c r="H148">
        <v>3</v>
      </c>
      <c r="I148" t="s">
        <v>3</v>
      </c>
    </row>
    <row r="149" spans="1:9" x14ac:dyDescent="0.15">
      <c r="A149" t="str">
        <f t="shared" si="12"/>
        <v>|Lｖ53|HP+3|</v>
      </c>
      <c r="B149" t="s">
        <v>3</v>
      </c>
      <c r="C149" t="s">
        <v>39</v>
      </c>
      <c r="D149">
        <v>53</v>
      </c>
      <c r="E149" t="s">
        <v>3</v>
      </c>
      <c r="F149" t="s">
        <v>7</v>
      </c>
      <c r="G149" t="str">
        <f t="shared" si="14"/>
        <v>+</v>
      </c>
      <c r="H149">
        <v>3</v>
      </c>
      <c r="I149" t="s">
        <v>3</v>
      </c>
    </row>
    <row r="150" spans="1:9" x14ac:dyDescent="0.15">
      <c r="A150" t="str">
        <f t="shared" si="12"/>
        <v>|Lｖ54|黒+1|</v>
      </c>
      <c r="B150" t="s">
        <v>3</v>
      </c>
      <c r="C150" t="s">
        <v>39</v>
      </c>
      <c r="D150">
        <v>54</v>
      </c>
      <c r="E150" t="s">
        <v>3</v>
      </c>
      <c r="F150" t="s">
        <v>13</v>
      </c>
      <c r="G150" t="str">
        <f t="shared" si="14"/>
        <v>+</v>
      </c>
      <c r="H150">
        <v>1</v>
      </c>
      <c r="I150" t="s">
        <v>3</v>
      </c>
    </row>
    <row r="151" spans="1:9" x14ac:dyDescent="0.15">
      <c r="A151" t="str">
        <f t="shared" ref="A151:A162" si="15">B151&amp;C151&amp;D151&amp;E151&amp;F151&amp;G151&amp;H151&amp;I151&amp;J151&amp;K151&amp;L151&amp;M151&amp;N151&amp;O151&amp;P151</f>
        <v>|Lｖ55|HP+3|</v>
      </c>
      <c r="B151" t="s">
        <v>3</v>
      </c>
      <c r="C151" t="s">
        <v>39</v>
      </c>
      <c r="D151">
        <v>55</v>
      </c>
      <c r="E151" t="s">
        <v>3</v>
      </c>
      <c r="F151" t="s">
        <v>7</v>
      </c>
      <c r="G151" t="str">
        <f t="shared" si="14"/>
        <v>+</v>
      </c>
      <c r="H151">
        <v>3</v>
      </c>
      <c r="I151" t="s">
        <v>3</v>
      </c>
    </row>
    <row r="152" spans="1:9" x14ac:dyDescent="0.15">
      <c r="A152" t="str">
        <f t="shared" si="15"/>
        <v>|Lｖ56|第1能力Lv4|</v>
      </c>
      <c r="B152" t="s">
        <v>3</v>
      </c>
      <c r="C152" t="s">
        <v>39</v>
      </c>
      <c r="D152">
        <v>56</v>
      </c>
      <c r="E152" t="s">
        <v>3</v>
      </c>
      <c r="F152" t="s">
        <v>40</v>
      </c>
      <c r="G152" t="str">
        <f t="shared" si="14"/>
        <v/>
      </c>
      <c r="H152">
        <v>4</v>
      </c>
      <c r="I152" t="s">
        <v>3</v>
      </c>
    </row>
    <row r="153" spans="1:9" x14ac:dyDescent="0.15">
      <c r="A153" t="str">
        <f t="shared" si="15"/>
        <v>|Lｖ57|HP+3|</v>
      </c>
      <c r="B153" t="s">
        <v>3</v>
      </c>
      <c r="C153" t="s">
        <v>39</v>
      </c>
      <c r="D153">
        <v>57</v>
      </c>
      <c r="E153" t="s">
        <v>3</v>
      </c>
      <c r="F153" t="s">
        <v>7</v>
      </c>
      <c r="G153" t="str">
        <f t="shared" si="14"/>
        <v>+</v>
      </c>
      <c r="H153">
        <v>3</v>
      </c>
      <c r="I153" t="s">
        <v>3</v>
      </c>
    </row>
    <row r="154" spans="1:9" x14ac:dyDescent="0.15">
      <c r="A154" t="str">
        <f t="shared" si="15"/>
        <v>|Lｖ58|第2能力Lv4|</v>
      </c>
      <c r="B154" t="s">
        <v>3</v>
      </c>
      <c r="C154" t="s">
        <v>39</v>
      </c>
      <c r="D154">
        <v>58</v>
      </c>
      <c r="E154" t="s">
        <v>3</v>
      </c>
      <c r="F154" t="s">
        <v>41</v>
      </c>
      <c r="G154" t="str">
        <f t="shared" si="14"/>
        <v/>
      </c>
      <c r="H154">
        <v>4</v>
      </c>
      <c r="I154" t="s">
        <v>3</v>
      </c>
    </row>
    <row r="155" spans="1:9" x14ac:dyDescent="0.15">
      <c r="A155" t="str">
        <f t="shared" si="15"/>
        <v>|Lｖ59|HP+3|</v>
      </c>
      <c r="B155" t="s">
        <v>3</v>
      </c>
      <c r="C155" t="s">
        <v>39</v>
      </c>
      <c r="D155">
        <v>59</v>
      </c>
      <c r="E155" t="s">
        <v>3</v>
      </c>
      <c r="F155" t="s">
        <v>7</v>
      </c>
      <c r="G155" t="str">
        <f t="shared" si="14"/>
        <v>+</v>
      </c>
      <c r="H155">
        <v>3</v>
      </c>
      <c r="I155" t="s">
        <v>3</v>
      </c>
    </row>
    <row r="156" spans="1:9" x14ac:dyDescent="0.15">
      <c r="A156" t="str">
        <f t="shared" si="15"/>
        <v>|Lｖ60|第3能力Lv4|</v>
      </c>
      <c r="B156" t="s">
        <v>3</v>
      </c>
      <c r="C156" t="s">
        <v>39</v>
      </c>
      <c r="D156">
        <v>60</v>
      </c>
      <c r="E156" t="s">
        <v>3</v>
      </c>
      <c r="F156" t="s">
        <v>42</v>
      </c>
      <c r="G156" t="s">
        <v>44</v>
      </c>
      <c r="H156">
        <v>4</v>
      </c>
      <c r="I156" t="s">
        <v>3</v>
      </c>
    </row>
    <row r="157" spans="1:9" x14ac:dyDescent="0.15">
      <c r="A157" t="str">
        <f t="shared" si="15"/>
        <v>必要総経験値：79920ルーン</v>
      </c>
      <c r="B157" t="s">
        <v>45</v>
      </c>
      <c r="C157">
        <v>79920</v>
      </c>
      <c r="F157" t="s">
        <v>46</v>
      </c>
    </row>
    <row r="158" spans="1:9" x14ac:dyDescent="0.15">
      <c r="A158" t="str">
        <f t="shared" si="15"/>
        <v>&amp;br;</v>
      </c>
      <c r="B158" t="s">
        <v>0</v>
      </c>
    </row>
    <row r="159" spans="1:9" x14ac:dyDescent="0.15">
      <c r="A159" t="str">
        <f t="shared" si="15"/>
        <v>#back(text=戻る,left)</v>
      </c>
      <c r="B159" t="s">
        <v>47</v>
      </c>
    </row>
    <row r="160" spans="1:9" x14ac:dyDescent="0.15">
      <c r="A160" t="str">
        <f t="shared" si="15"/>
        <v>&amp;br;</v>
      </c>
      <c r="B160" t="s">
        <v>0</v>
      </c>
    </row>
    <row r="161" spans="1:2" x14ac:dyDescent="0.15">
      <c r="A161" t="str">
        <f t="shared" si="15"/>
        <v>#comment(above,nsize=[15],size=[30],num=[10])</v>
      </c>
      <c r="B161" t="s">
        <v>48</v>
      </c>
    </row>
    <row r="162" spans="1:2" x14ac:dyDescent="0.15">
      <c r="A162" t="str">
        <f t="shared" si="15"/>
        <v>[[プレインズウォーカーリスト&gt;プレインズウォーカーリスト]]</v>
      </c>
      <c r="B162" t="s">
        <v>49</v>
      </c>
    </row>
  </sheetData>
  <autoFilter ref="C97:I162"/>
  <phoneticPr fontId="4"/>
  <dataValidations count="2">
    <dataValidation type="list" allowBlank="1" showInputMessage="1" showErrorMessage="1" sqref="F157">
      <formula1>$Q$87:$Q$99</formula1>
    </dataValidation>
    <dataValidation type="list" allowBlank="1" showInputMessage="1" showErrorMessage="1" sqref="F98:F156">
      <formula1>$Q$97:$Q$109</formula1>
    </dataValidation>
  </dataValidations>
  <pageMargins left="0.69930555555555596" right="0.69930555555555596"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T162"/>
  <sheetViews>
    <sheetView workbookViewId="0">
      <selection activeCell="D15" sqref="D15"/>
    </sheetView>
  </sheetViews>
  <sheetFormatPr defaultColWidth="9" defaultRowHeight="13.5" x14ac:dyDescent="0.15"/>
  <cols>
    <col min="2" max="2" width="3.5" customWidth="1"/>
    <col min="3" max="3" width="7.875" customWidth="1"/>
    <col min="4" max="4" width="5.5" customWidth="1"/>
    <col min="5" max="5" width="2" customWidth="1"/>
    <col min="7" max="7" width="2" customWidth="1"/>
    <col min="9" max="9" width="2" customWidth="1"/>
    <col min="11" max="11" width="2" customWidth="1"/>
    <col min="13" max="13" width="2" customWidth="1"/>
    <col min="15" max="15" width="2" customWidth="1"/>
    <col min="17" max="17" width="2.75" customWidth="1"/>
  </cols>
  <sheetData>
    <row r="1" spans="1:10" x14ac:dyDescent="0.15">
      <c r="A1" t="str">
        <f>B1&amp;C1&amp;D1&amp;E1&amp;F1&amp;G1&amp;H1&amp;I1&amp;J1&amp;K1&amp;L1&amp;M1&amp;N1&amp;O1&amp;P1</f>
        <v>特別オファーで購入するか、期間限定でMCを支払い購入することで入手できる。</v>
      </c>
      <c r="B1" t="s">
        <v>130</v>
      </c>
    </row>
    <row r="2" spans="1:10" x14ac:dyDescent="0.15">
      <c r="A2" t="str">
        <f>B2&amp;C2&amp;D2&amp;E2&amp;F2&amp;G2&amp;H2&amp;I2&amp;J2&amp;K2&amp;L2&amp;M2&amp;N2&amp;O2&amp;P2</f>
        <v>&amp;br;</v>
      </c>
      <c r="B2" t="s">
        <v>0</v>
      </c>
    </row>
    <row r="3" spans="1:10" x14ac:dyDescent="0.15">
      <c r="A3" t="str">
        <f>B3&amp;C3&amp;D3&amp;E3&amp;F3&amp;G3&amp;H3&amp;I3&amp;J3&amp;K3&amp;L3&amp;M3&amp;N3&amp;O3&amp;P3</f>
        <v>#contents()</v>
      </c>
      <c r="B3" t="s">
        <v>1</v>
      </c>
    </row>
    <row r="4" spans="1:10" x14ac:dyDescent="0.15">
      <c r="A4" t="str">
        <f>B4&amp;C4&amp;D4&amp;E4&amp;F4&amp;G4&amp;H4&amp;I4&amp;J4&amp;K4&amp;L4&amp;M4&amp;N4&amp;O4&amp;P4</f>
        <v>*HP [#f569d8c6]</v>
      </c>
      <c r="B4" t="s">
        <v>2</v>
      </c>
    </row>
    <row r="5" spans="1:10" x14ac:dyDescent="0.15">
      <c r="A5" t="str">
        <f>B5&amp;C5&amp;D5&amp;E5&amp;F5&amp;G5&amp;H5</f>
        <v>|LEFT:50|LEFT:50|c</v>
      </c>
      <c r="B5" t="s">
        <v>3</v>
      </c>
      <c r="C5" t="s">
        <v>4</v>
      </c>
      <c r="E5" t="s">
        <v>3</v>
      </c>
      <c r="F5" t="s">
        <v>4</v>
      </c>
      <c r="G5" t="s">
        <v>3</v>
      </c>
      <c r="H5" t="s">
        <v>5</v>
      </c>
    </row>
    <row r="6" spans="1:10" x14ac:dyDescent="0.15">
      <c r="A6" t="str">
        <f t="shared" ref="A6:A23" si="0">B6&amp;C6&amp;D6&amp;E6&amp;F6&amp;G6&amp;H6</f>
        <v>|レベル|HP|</v>
      </c>
      <c r="B6" t="s">
        <v>3</v>
      </c>
      <c r="C6" t="s">
        <v>6</v>
      </c>
      <c r="E6" t="s">
        <v>3</v>
      </c>
      <c r="F6" t="s">
        <v>7</v>
      </c>
      <c r="G6" t="s">
        <v>3</v>
      </c>
    </row>
    <row r="7" spans="1:10" x14ac:dyDescent="0.15">
      <c r="A7" t="str">
        <f t="shared" si="0"/>
        <v>|Lv1|30|</v>
      </c>
      <c r="B7" t="s">
        <v>3</v>
      </c>
      <c r="C7" t="s">
        <v>8</v>
      </c>
      <c r="D7">
        <v>1</v>
      </c>
      <c r="E7" t="s">
        <v>3</v>
      </c>
      <c r="F7">
        <v>30</v>
      </c>
      <c r="G7" t="s">
        <v>3</v>
      </c>
      <c r="J7" t="s">
        <v>150</v>
      </c>
    </row>
    <row r="8" spans="1:10" x14ac:dyDescent="0.15">
      <c r="A8" t="str">
        <f t="shared" si="0"/>
        <v>|Lv3|33|</v>
      </c>
      <c r="B8" t="s">
        <v>3</v>
      </c>
      <c r="C8" t="s">
        <v>8</v>
      </c>
      <c r="D8">
        <v>3</v>
      </c>
      <c r="E8" t="s">
        <v>3</v>
      </c>
      <c r="F8">
        <v>33</v>
      </c>
      <c r="G8" t="s">
        <v>3</v>
      </c>
      <c r="J8" s="7">
        <v>2</v>
      </c>
    </row>
    <row r="9" spans="1:10" x14ac:dyDescent="0.15">
      <c r="A9" t="str">
        <f t="shared" si="0"/>
        <v>|Lv5|36|</v>
      </c>
      <c r="B9" t="s">
        <v>3</v>
      </c>
      <c r="C9" t="s">
        <v>8</v>
      </c>
      <c r="D9">
        <v>5</v>
      </c>
      <c r="E9" t="s">
        <v>3</v>
      </c>
      <c r="F9">
        <v>36</v>
      </c>
      <c r="G9" t="s">
        <v>3</v>
      </c>
      <c r="J9" t="s">
        <v>151</v>
      </c>
    </row>
    <row r="10" spans="1:10" x14ac:dyDescent="0.15">
      <c r="A10" t="str">
        <f t="shared" si="0"/>
        <v>|Lv7|39|</v>
      </c>
      <c r="B10" t="s">
        <v>3</v>
      </c>
      <c r="C10" t="s">
        <v>8</v>
      </c>
      <c r="D10">
        <v>7</v>
      </c>
      <c r="E10" t="s">
        <v>3</v>
      </c>
      <c r="F10">
        <v>39</v>
      </c>
      <c r="G10" t="s">
        <v>3</v>
      </c>
      <c r="J10" s="7">
        <v>4</v>
      </c>
    </row>
    <row r="11" spans="1:10" x14ac:dyDescent="0.15">
      <c r="A11" t="str">
        <f t="shared" si="0"/>
        <v>|Lv9|42|</v>
      </c>
      <c r="B11" t="s">
        <v>3</v>
      </c>
      <c r="C11" t="s">
        <v>8</v>
      </c>
      <c r="D11">
        <v>9</v>
      </c>
      <c r="E11" t="s">
        <v>3</v>
      </c>
      <c r="F11">
        <v>42</v>
      </c>
      <c r="G11" t="s">
        <v>3</v>
      </c>
    </row>
    <row r="12" spans="1:10" x14ac:dyDescent="0.15">
      <c r="A12" t="str">
        <f t="shared" si="0"/>
        <v>|Lv11|45|</v>
      </c>
      <c r="B12" t="s">
        <v>3</v>
      </c>
      <c r="C12" t="s">
        <v>8</v>
      </c>
      <c r="D12">
        <v>11</v>
      </c>
      <c r="E12" t="s">
        <v>3</v>
      </c>
      <c r="F12">
        <v>45</v>
      </c>
      <c r="G12" t="s">
        <v>3</v>
      </c>
    </row>
    <row r="13" spans="1:10" x14ac:dyDescent="0.15">
      <c r="A13" t="str">
        <f t="shared" si="0"/>
        <v>|Lv13|48|</v>
      </c>
      <c r="B13" t="s">
        <v>3</v>
      </c>
      <c r="C13" t="s">
        <v>8</v>
      </c>
      <c r="D13">
        <v>13</v>
      </c>
      <c r="E13" t="s">
        <v>3</v>
      </c>
      <c r="F13">
        <v>48</v>
      </c>
      <c r="G13" t="s">
        <v>3</v>
      </c>
    </row>
    <row r="14" spans="1:10" x14ac:dyDescent="0.15">
      <c r="A14" t="str">
        <f t="shared" si="0"/>
        <v>|Lv15|51|</v>
      </c>
      <c r="B14" t="s">
        <v>3</v>
      </c>
      <c r="C14" t="s">
        <v>8</v>
      </c>
      <c r="D14">
        <v>15</v>
      </c>
      <c r="E14" t="s">
        <v>3</v>
      </c>
      <c r="F14">
        <v>51</v>
      </c>
      <c r="G14" t="s">
        <v>3</v>
      </c>
    </row>
    <row r="15" spans="1:10" x14ac:dyDescent="0.15">
      <c r="A15" t="str">
        <f t="shared" si="0"/>
        <v>|Lv17|54|</v>
      </c>
      <c r="B15" t="s">
        <v>3</v>
      </c>
      <c r="C15" t="s">
        <v>8</v>
      </c>
      <c r="D15">
        <v>17</v>
      </c>
      <c r="E15" t="s">
        <v>3</v>
      </c>
      <c r="F15">
        <v>54</v>
      </c>
      <c r="G15" t="s">
        <v>3</v>
      </c>
    </row>
    <row r="16" spans="1:10" x14ac:dyDescent="0.15">
      <c r="A16" t="str">
        <f t="shared" si="0"/>
        <v>|Lv19|57|</v>
      </c>
      <c r="B16" t="s">
        <v>3</v>
      </c>
      <c r="C16" t="s">
        <v>8</v>
      </c>
      <c r="D16">
        <v>19</v>
      </c>
      <c r="E16" t="s">
        <v>3</v>
      </c>
      <c r="F16">
        <v>57</v>
      </c>
      <c r="G16" t="s">
        <v>3</v>
      </c>
    </row>
    <row r="17" spans="1:7" x14ac:dyDescent="0.15">
      <c r="A17" t="str">
        <f t="shared" si="0"/>
        <v>|Lv21|60|</v>
      </c>
      <c r="B17" t="s">
        <v>3</v>
      </c>
      <c r="C17" t="s">
        <v>8</v>
      </c>
      <c r="D17">
        <v>21</v>
      </c>
      <c r="E17" t="s">
        <v>3</v>
      </c>
      <c r="F17">
        <v>60</v>
      </c>
      <c r="G17" t="s">
        <v>3</v>
      </c>
    </row>
    <row r="18" spans="1:7" x14ac:dyDescent="0.15">
      <c r="A18" t="str">
        <f t="shared" si="0"/>
        <v>|Lv23|63|</v>
      </c>
      <c r="B18" t="s">
        <v>3</v>
      </c>
      <c r="C18" t="s">
        <v>8</v>
      </c>
      <c r="D18">
        <v>23</v>
      </c>
      <c r="E18" t="s">
        <v>3</v>
      </c>
      <c r="F18">
        <v>63</v>
      </c>
      <c r="G18" t="s">
        <v>3</v>
      </c>
    </row>
    <row r="19" spans="1:7" x14ac:dyDescent="0.15">
      <c r="A19" t="str">
        <f t="shared" si="0"/>
        <v>|Lv25|66|</v>
      </c>
      <c r="B19" t="s">
        <v>3</v>
      </c>
      <c r="C19" t="s">
        <v>8</v>
      </c>
      <c r="D19">
        <v>25</v>
      </c>
      <c r="E19" t="s">
        <v>3</v>
      </c>
      <c r="F19">
        <v>66</v>
      </c>
      <c r="G19" t="s">
        <v>3</v>
      </c>
    </row>
    <row r="20" spans="1:7" x14ac:dyDescent="0.15">
      <c r="A20" t="str">
        <f t="shared" si="0"/>
        <v>|Lv27|69|</v>
      </c>
      <c r="B20" t="s">
        <v>3</v>
      </c>
      <c r="C20" t="s">
        <v>8</v>
      </c>
      <c r="D20">
        <v>27</v>
      </c>
      <c r="E20" t="s">
        <v>3</v>
      </c>
      <c r="F20">
        <v>69</v>
      </c>
      <c r="G20" t="s">
        <v>3</v>
      </c>
    </row>
    <row r="21" spans="1:7" x14ac:dyDescent="0.15">
      <c r="A21" t="str">
        <f t="shared" si="0"/>
        <v>|Lv29|72|</v>
      </c>
      <c r="B21" t="s">
        <v>3</v>
      </c>
      <c r="C21" t="s">
        <v>8</v>
      </c>
      <c r="D21">
        <v>29</v>
      </c>
      <c r="E21" t="s">
        <v>3</v>
      </c>
      <c r="F21">
        <v>72</v>
      </c>
      <c r="G21" t="s">
        <v>3</v>
      </c>
    </row>
    <row r="22" spans="1:7" x14ac:dyDescent="0.15">
      <c r="A22" t="str">
        <f t="shared" si="0"/>
        <v>|Lv31|75|</v>
      </c>
      <c r="B22" t="s">
        <v>3</v>
      </c>
      <c r="C22" t="s">
        <v>8</v>
      </c>
      <c r="D22">
        <v>31</v>
      </c>
      <c r="E22" t="s">
        <v>3</v>
      </c>
      <c r="F22">
        <v>75</v>
      </c>
      <c r="G22" t="s">
        <v>3</v>
      </c>
    </row>
    <row r="23" spans="1:7" x14ac:dyDescent="0.15">
      <c r="A23" t="str">
        <f t="shared" si="0"/>
        <v>|Lv33|78|</v>
      </c>
      <c r="B23" t="s">
        <v>3</v>
      </c>
      <c r="C23" t="s">
        <v>8</v>
      </c>
      <c r="D23">
        <v>33</v>
      </c>
      <c r="E23" t="s">
        <v>3</v>
      </c>
      <c r="F23">
        <v>78</v>
      </c>
      <c r="G23" t="s">
        <v>3</v>
      </c>
    </row>
    <row r="24" spans="1:7" x14ac:dyDescent="0.15">
      <c r="A24" t="str">
        <f t="shared" ref="A24:A35" si="1">B24&amp;C24&amp;D24&amp;E24&amp;F24&amp;G24&amp;H24</f>
        <v>|Lv35|81|</v>
      </c>
      <c r="B24" t="s">
        <v>3</v>
      </c>
      <c r="C24" t="s">
        <v>8</v>
      </c>
      <c r="D24">
        <v>35</v>
      </c>
      <c r="E24" t="s">
        <v>3</v>
      </c>
      <c r="F24">
        <v>81</v>
      </c>
      <c r="G24" t="s">
        <v>3</v>
      </c>
    </row>
    <row r="25" spans="1:7" x14ac:dyDescent="0.15">
      <c r="A25" t="str">
        <f t="shared" si="1"/>
        <v>|Lv37|84|</v>
      </c>
      <c r="B25" t="s">
        <v>3</v>
      </c>
      <c r="C25" t="s">
        <v>8</v>
      </c>
      <c r="D25">
        <v>37</v>
      </c>
      <c r="E25" t="s">
        <v>3</v>
      </c>
      <c r="F25">
        <v>84</v>
      </c>
      <c r="G25" t="s">
        <v>3</v>
      </c>
    </row>
    <row r="26" spans="1:7" x14ac:dyDescent="0.15">
      <c r="A26" t="str">
        <f t="shared" si="1"/>
        <v>|Lv39|87|</v>
      </c>
      <c r="B26" t="s">
        <v>3</v>
      </c>
      <c r="C26" t="s">
        <v>8</v>
      </c>
      <c r="D26">
        <v>39</v>
      </c>
      <c r="E26" t="s">
        <v>3</v>
      </c>
      <c r="F26">
        <v>87</v>
      </c>
      <c r="G26" t="s">
        <v>3</v>
      </c>
    </row>
    <row r="27" spans="1:7" x14ac:dyDescent="0.15">
      <c r="A27" t="str">
        <f t="shared" si="1"/>
        <v>|Lv41|90|</v>
      </c>
      <c r="B27" t="s">
        <v>3</v>
      </c>
      <c r="C27" t="s">
        <v>8</v>
      </c>
      <c r="D27">
        <v>41</v>
      </c>
      <c r="E27" t="s">
        <v>3</v>
      </c>
      <c r="F27">
        <v>90</v>
      </c>
      <c r="G27" t="s">
        <v>3</v>
      </c>
    </row>
    <row r="28" spans="1:7" x14ac:dyDescent="0.15">
      <c r="A28" t="str">
        <f t="shared" si="1"/>
        <v>|Lv43|93|</v>
      </c>
      <c r="B28" t="s">
        <v>3</v>
      </c>
      <c r="C28" t="s">
        <v>8</v>
      </c>
      <c r="D28">
        <v>43</v>
      </c>
      <c r="E28" t="s">
        <v>3</v>
      </c>
      <c r="F28">
        <v>93</v>
      </c>
      <c r="G28" t="s">
        <v>3</v>
      </c>
    </row>
    <row r="29" spans="1:7" x14ac:dyDescent="0.15">
      <c r="A29" t="str">
        <f t="shared" si="1"/>
        <v>|Lv45|96|</v>
      </c>
      <c r="B29" t="s">
        <v>3</v>
      </c>
      <c r="C29" t="s">
        <v>8</v>
      </c>
      <c r="D29">
        <v>45</v>
      </c>
      <c r="E29" t="s">
        <v>3</v>
      </c>
      <c r="F29">
        <v>96</v>
      </c>
      <c r="G29" t="s">
        <v>3</v>
      </c>
    </row>
    <row r="30" spans="1:7" x14ac:dyDescent="0.15">
      <c r="A30" t="str">
        <f t="shared" si="1"/>
        <v>|Lv47|99|</v>
      </c>
      <c r="B30" t="s">
        <v>3</v>
      </c>
      <c r="C30" t="s">
        <v>8</v>
      </c>
      <c r="D30">
        <v>47</v>
      </c>
      <c r="E30" t="s">
        <v>3</v>
      </c>
      <c r="F30">
        <v>99</v>
      </c>
      <c r="G30" t="s">
        <v>3</v>
      </c>
    </row>
    <row r="31" spans="1:7" x14ac:dyDescent="0.15">
      <c r="A31" t="str">
        <f t="shared" si="1"/>
        <v>|Lv49|102|</v>
      </c>
      <c r="B31" t="s">
        <v>3</v>
      </c>
      <c r="C31" t="s">
        <v>8</v>
      </c>
      <c r="D31">
        <v>49</v>
      </c>
      <c r="E31" t="s">
        <v>3</v>
      </c>
      <c r="F31">
        <v>102</v>
      </c>
      <c r="G31" t="s">
        <v>3</v>
      </c>
    </row>
    <row r="32" spans="1:7" x14ac:dyDescent="0.15">
      <c r="A32" t="str">
        <f t="shared" si="1"/>
        <v>|Lv51|105|</v>
      </c>
      <c r="B32" t="s">
        <v>3</v>
      </c>
      <c r="C32" t="s">
        <v>8</v>
      </c>
      <c r="D32">
        <v>51</v>
      </c>
      <c r="E32" t="s">
        <v>3</v>
      </c>
      <c r="F32">
        <v>105</v>
      </c>
      <c r="G32" t="s">
        <v>3</v>
      </c>
    </row>
    <row r="33" spans="1:19" x14ac:dyDescent="0.15">
      <c r="A33" t="str">
        <f t="shared" si="1"/>
        <v>|Lv53|108|</v>
      </c>
      <c r="B33" t="s">
        <v>3</v>
      </c>
      <c r="C33" t="s">
        <v>8</v>
      </c>
      <c r="D33">
        <v>53</v>
      </c>
      <c r="E33" t="s">
        <v>3</v>
      </c>
      <c r="F33">
        <v>108</v>
      </c>
      <c r="G33" t="s">
        <v>3</v>
      </c>
    </row>
    <row r="34" spans="1:19" x14ac:dyDescent="0.15">
      <c r="A34" t="str">
        <f t="shared" si="1"/>
        <v>|Lv55|111|</v>
      </c>
      <c r="B34" t="s">
        <v>3</v>
      </c>
      <c r="C34" t="s">
        <v>8</v>
      </c>
      <c r="D34">
        <v>55</v>
      </c>
      <c r="E34" t="s">
        <v>3</v>
      </c>
      <c r="F34">
        <v>111</v>
      </c>
      <c r="G34" t="s">
        <v>3</v>
      </c>
    </row>
    <row r="35" spans="1:19" x14ac:dyDescent="0.15">
      <c r="A35" t="str">
        <f t="shared" si="1"/>
        <v>|Lv57|114|</v>
      </c>
      <c r="B35" t="s">
        <v>3</v>
      </c>
      <c r="C35" t="s">
        <v>8</v>
      </c>
      <c r="D35">
        <v>57</v>
      </c>
      <c r="E35" t="s">
        <v>3</v>
      </c>
      <c r="F35">
        <v>114</v>
      </c>
      <c r="G35" t="s">
        <v>3</v>
      </c>
    </row>
    <row r="36" spans="1:19" x14ac:dyDescent="0.15">
      <c r="A36" t="str">
        <f>B36&amp;C36&amp;D36&amp;E36&amp;F36&amp;G36&amp;H36&amp;I36&amp;J36&amp;K36&amp;L36&amp;M36&amp;N36&amp;O36&amp;P36</f>
        <v>&amp;br;</v>
      </c>
      <c r="B36" t="s">
        <v>0</v>
      </c>
    </row>
    <row r="37" spans="1:19" x14ac:dyDescent="0.15">
      <c r="A37" t="str">
        <f>B37&amp;C37&amp;D37&amp;E37&amp;F37&amp;G37&amp;H37&amp;I37&amp;J37&amp;K37&amp;L37&amp;M37&amp;N37&amp;O37&amp;P37</f>
        <v>&amp;br;</v>
      </c>
      <c r="B37" t="s">
        <v>0</v>
      </c>
    </row>
    <row r="38" spans="1:19" x14ac:dyDescent="0.15">
      <c r="A38" t="str">
        <f>B38&amp;C38&amp;D38&amp;E38&amp;F38&amp;G38&amp;H38&amp;I38&amp;J38&amp;K38&amp;L38&amp;M38&amp;N38&amp;O38&amp;P38</f>
        <v>*マナボーナス [#q1a26f54]</v>
      </c>
      <c r="B38" t="s">
        <v>9</v>
      </c>
    </row>
    <row r="39" spans="1:19" x14ac:dyDescent="0.15">
      <c r="A39" t="str">
        <f t="shared" ref="A39:A47" si="2">B39&amp;C39&amp;D39&amp;G39&amp;H39&amp;I39&amp;J39&amp;K39&amp;L39&amp;M39&amp;N39&amp;O39&amp;P39&amp;Q39&amp;R39</f>
        <v>|LEFT:50|LEFT:50|LEFT:50|LEFT:50|LEFT:50|LEFT:50|c</v>
      </c>
      <c r="B39" t="s">
        <v>3</v>
      </c>
      <c r="C39" t="s">
        <v>4</v>
      </c>
      <c r="E39" t="s">
        <v>3</v>
      </c>
      <c r="G39" t="s">
        <v>3</v>
      </c>
      <c r="H39" t="s">
        <v>4</v>
      </c>
      <c r="I39" t="s">
        <v>3</v>
      </c>
      <c r="J39" t="s">
        <v>4</v>
      </c>
      <c r="K39" t="s">
        <v>3</v>
      </c>
      <c r="L39" t="s">
        <v>4</v>
      </c>
      <c r="M39" t="s">
        <v>3</v>
      </c>
      <c r="N39" t="s">
        <v>4</v>
      </c>
      <c r="O39" t="s">
        <v>3</v>
      </c>
      <c r="P39" t="s">
        <v>4</v>
      </c>
      <c r="Q39" t="s">
        <v>3</v>
      </c>
      <c r="R39" t="s">
        <v>5</v>
      </c>
    </row>
    <row r="40" spans="1:19" x14ac:dyDescent="0.15">
      <c r="A40" t="str">
        <f t="shared" si="2"/>
        <v>|レベル|白|青|黒|赤|緑|</v>
      </c>
      <c r="B40" t="s">
        <v>3</v>
      </c>
      <c r="C40" t="s">
        <v>6</v>
      </c>
      <c r="E40" t="s">
        <v>3</v>
      </c>
      <c r="F40" t="s">
        <v>10</v>
      </c>
      <c r="G40" t="s">
        <v>3</v>
      </c>
      <c r="H40" t="s">
        <v>11</v>
      </c>
      <c r="I40" t="s">
        <v>3</v>
      </c>
      <c r="J40" t="s">
        <v>12</v>
      </c>
      <c r="K40" t="s">
        <v>3</v>
      </c>
      <c r="L40" t="s">
        <v>13</v>
      </c>
      <c r="M40" t="s">
        <v>3</v>
      </c>
      <c r="N40" t="s">
        <v>14</v>
      </c>
      <c r="O40" t="s">
        <v>3</v>
      </c>
      <c r="P40" t="s">
        <v>15</v>
      </c>
      <c r="Q40" t="s">
        <v>3</v>
      </c>
      <c r="S40" t="s">
        <v>11</v>
      </c>
    </row>
    <row r="41" spans="1:19" x14ac:dyDescent="0.15">
      <c r="A41" t="str">
        <f t="shared" si="2"/>
        <v>|Lv1|-2|2|3|-2|-2|</v>
      </c>
      <c r="B41" t="s">
        <v>3</v>
      </c>
      <c r="C41" t="s">
        <v>8</v>
      </c>
      <c r="D41">
        <v>1</v>
      </c>
      <c r="E41" t="s">
        <v>3</v>
      </c>
      <c r="G41" t="s">
        <v>3</v>
      </c>
      <c r="H41">
        <v>-2</v>
      </c>
      <c r="I41" t="s">
        <v>3</v>
      </c>
      <c r="J41">
        <v>2</v>
      </c>
      <c r="K41" t="s">
        <v>3</v>
      </c>
      <c r="L41">
        <v>3</v>
      </c>
      <c r="M41" t="s">
        <v>3</v>
      </c>
      <c r="N41">
        <v>-2</v>
      </c>
      <c r="O41" t="s">
        <v>3</v>
      </c>
      <c r="P41">
        <v>-2</v>
      </c>
      <c r="Q41" t="s">
        <v>3</v>
      </c>
      <c r="S41" t="s">
        <v>12</v>
      </c>
    </row>
    <row r="42" spans="1:19" x14ac:dyDescent="0.15">
      <c r="A42" t="str">
        <f t="shared" si="2"/>
        <v>|Lv4|-2|2|4|-2|-2|</v>
      </c>
      <c r="B42" t="s">
        <v>3</v>
      </c>
      <c r="C42" t="s">
        <v>8</v>
      </c>
      <c r="D42">
        <v>4</v>
      </c>
      <c r="E42" t="s">
        <v>3</v>
      </c>
      <c r="F42" t="str">
        <f t="shared" ref="F42:F51" si="3">IF(ISBLANK(D42),"",INDEX($F$97:$F$156,D42))</f>
        <v>黒</v>
      </c>
      <c r="G42" t="s">
        <v>3</v>
      </c>
      <c r="H42">
        <f>H41+IF(H$40=$F42,1,0)</f>
        <v>-2</v>
      </c>
      <c r="I42" t="str">
        <f t="shared" ref="I42:Q47" si="4">I41</f>
        <v>|</v>
      </c>
      <c r="J42">
        <f>J41+IF(J$40=$F42,1,0)</f>
        <v>2</v>
      </c>
      <c r="K42" t="str">
        <f t="shared" si="4"/>
        <v>|</v>
      </c>
      <c r="L42">
        <f>L41+IF(L$40=$F42,1,0)</f>
        <v>4</v>
      </c>
      <c r="M42" t="str">
        <f t="shared" si="4"/>
        <v>|</v>
      </c>
      <c r="N42">
        <f>N41+IF(N$40=$F42,1,0)</f>
        <v>-2</v>
      </c>
      <c r="O42" t="str">
        <f t="shared" si="4"/>
        <v>|</v>
      </c>
      <c r="P42">
        <f>P41+IF(P$40=$F42,1,0)</f>
        <v>-2</v>
      </c>
      <c r="Q42" t="str">
        <f t="shared" si="4"/>
        <v>|</v>
      </c>
      <c r="S42" t="s">
        <v>13</v>
      </c>
    </row>
    <row r="43" spans="1:19" x14ac:dyDescent="0.15">
      <c r="A43" t="str">
        <f t="shared" si="2"/>
        <v>|Lv10|-2|3|4|-2|-2|</v>
      </c>
      <c r="B43" t="s">
        <v>3</v>
      </c>
      <c r="C43" t="s">
        <v>8</v>
      </c>
      <c r="D43">
        <v>10</v>
      </c>
      <c r="E43" t="s">
        <v>3</v>
      </c>
      <c r="F43" t="str">
        <f t="shared" si="3"/>
        <v>青</v>
      </c>
      <c r="G43" t="s">
        <v>3</v>
      </c>
      <c r="H43">
        <f t="shared" ref="H43:P47" si="5">H42+IF(H$40=$F43,1,0)</f>
        <v>-2</v>
      </c>
      <c r="I43" t="str">
        <f t="shared" si="4"/>
        <v>|</v>
      </c>
      <c r="J43">
        <f t="shared" si="5"/>
        <v>3</v>
      </c>
      <c r="K43" t="str">
        <f t="shared" si="4"/>
        <v>|</v>
      </c>
      <c r="L43">
        <f t="shared" si="5"/>
        <v>4</v>
      </c>
      <c r="M43" t="str">
        <f t="shared" si="4"/>
        <v>|</v>
      </c>
      <c r="N43">
        <f>N42+IF(N$40=$F43,1,0)</f>
        <v>-2</v>
      </c>
      <c r="O43" t="str">
        <f t="shared" si="4"/>
        <v>|</v>
      </c>
      <c r="P43">
        <f t="shared" si="5"/>
        <v>-2</v>
      </c>
      <c r="Q43" t="str">
        <f t="shared" si="4"/>
        <v>|</v>
      </c>
      <c r="S43" t="s">
        <v>14</v>
      </c>
    </row>
    <row r="44" spans="1:19" x14ac:dyDescent="0.15">
      <c r="A44" t="str">
        <f t="shared" si="2"/>
        <v>|Lv16|-1|3|4|-2|-2|</v>
      </c>
      <c r="B44" t="s">
        <v>3</v>
      </c>
      <c r="C44" t="s">
        <v>8</v>
      </c>
      <c r="D44">
        <v>16</v>
      </c>
      <c r="E44" t="s">
        <v>3</v>
      </c>
      <c r="F44" t="str">
        <f t="shared" si="3"/>
        <v>白</v>
      </c>
      <c r="G44" t="s">
        <v>3</v>
      </c>
      <c r="H44">
        <f t="shared" si="5"/>
        <v>-1</v>
      </c>
      <c r="I44" t="str">
        <f t="shared" si="4"/>
        <v>|</v>
      </c>
      <c r="J44">
        <f t="shared" si="5"/>
        <v>3</v>
      </c>
      <c r="K44" t="str">
        <f t="shared" si="4"/>
        <v>|</v>
      </c>
      <c r="L44">
        <f t="shared" si="5"/>
        <v>4</v>
      </c>
      <c r="M44" t="str">
        <f t="shared" si="4"/>
        <v>|</v>
      </c>
      <c r="N44">
        <f t="shared" si="5"/>
        <v>-2</v>
      </c>
      <c r="O44" t="str">
        <f t="shared" si="4"/>
        <v>|</v>
      </c>
      <c r="P44">
        <f t="shared" si="5"/>
        <v>-2</v>
      </c>
      <c r="Q44" t="str">
        <f t="shared" si="4"/>
        <v>|</v>
      </c>
      <c r="S44" t="s">
        <v>15</v>
      </c>
    </row>
    <row r="45" spans="1:19" x14ac:dyDescent="0.15">
      <c r="A45" t="str">
        <f t="shared" si="2"/>
        <v>|Lv22|-1|3|4|-1|-2|</v>
      </c>
      <c r="B45" t="s">
        <v>3</v>
      </c>
      <c r="C45" t="s">
        <v>8</v>
      </c>
      <c r="D45">
        <v>22</v>
      </c>
      <c r="E45" t="s">
        <v>3</v>
      </c>
      <c r="F45" t="str">
        <f t="shared" si="3"/>
        <v>赤</v>
      </c>
      <c r="G45" t="s">
        <v>3</v>
      </c>
      <c r="H45">
        <f t="shared" si="5"/>
        <v>-1</v>
      </c>
      <c r="I45" t="str">
        <f t="shared" si="4"/>
        <v>|</v>
      </c>
      <c r="J45">
        <f t="shared" si="5"/>
        <v>3</v>
      </c>
      <c r="K45" t="str">
        <f t="shared" si="4"/>
        <v>|</v>
      </c>
      <c r="L45">
        <f t="shared" si="5"/>
        <v>4</v>
      </c>
      <c r="M45" t="str">
        <f t="shared" si="4"/>
        <v>|</v>
      </c>
      <c r="N45">
        <f t="shared" si="5"/>
        <v>-1</v>
      </c>
      <c r="O45" t="str">
        <f t="shared" si="4"/>
        <v>|</v>
      </c>
      <c r="P45">
        <f>P44+IF(P$40=$F45,1,0)</f>
        <v>-2</v>
      </c>
      <c r="Q45" t="str">
        <f t="shared" si="4"/>
        <v>|</v>
      </c>
    </row>
    <row r="46" spans="1:19" x14ac:dyDescent="0.15">
      <c r="A46" t="str">
        <f t="shared" si="2"/>
        <v>|Lv28|-1|3|4|-1|-1|</v>
      </c>
      <c r="B46" t="s">
        <v>3</v>
      </c>
      <c r="C46" t="s">
        <v>8</v>
      </c>
      <c r="D46">
        <v>28</v>
      </c>
      <c r="E46" t="s">
        <v>3</v>
      </c>
      <c r="F46" t="str">
        <f t="shared" si="3"/>
        <v>緑</v>
      </c>
      <c r="G46" t="s">
        <v>3</v>
      </c>
      <c r="H46">
        <f t="shared" si="5"/>
        <v>-1</v>
      </c>
      <c r="I46" t="str">
        <f t="shared" si="4"/>
        <v>|</v>
      </c>
      <c r="J46">
        <f t="shared" si="5"/>
        <v>3</v>
      </c>
      <c r="K46" t="str">
        <f t="shared" si="4"/>
        <v>|</v>
      </c>
      <c r="L46">
        <f t="shared" si="5"/>
        <v>4</v>
      </c>
      <c r="M46" t="str">
        <f t="shared" si="4"/>
        <v>|</v>
      </c>
      <c r="N46">
        <f t="shared" si="5"/>
        <v>-1</v>
      </c>
      <c r="O46" t="str">
        <f t="shared" si="4"/>
        <v>|</v>
      </c>
      <c r="P46">
        <f t="shared" si="5"/>
        <v>-1</v>
      </c>
      <c r="Q46" t="str">
        <f t="shared" si="4"/>
        <v>|</v>
      </c>
    </row>
    <row r="47" spans="1:19" x14ac:dyDescent="0.15">
      <c r="A47" t="str">
        <f t="shared" si="2"/>
        <v>|Lv34|-1|3|5|-1|-1|</v>
      </c>
      <c r="B47" t="s">
        <v>3</v>
      </c>
      <c r="C47" t="s">
        <v>8</v>
      </c>
      <c r="D47">
        <v>34</v>
      </c>
      <c r="E47" t="s">
        <v>3</v>
      </c>
      <c r="F47" t="str">
        <f t="shared" si="3"/>
        <v>黒</v>
      </c>
      <c r="G47" t="s">
        <v>3</v>
      </c>
      <c r="H47">
        <f t="shared" si="5"/>
        <v>-1</v>
      </c>
      <c r="I47" t="str">
        <f t="shared" si="4"/>
        <v>|</v>
      </c>
      <c r="J47">
        <f t="shared" si="5"/>
        <v>3</v>
      </c>
      <c r="K47" t="str">
        <f t="shared" si="4"/>
        <v>|</v>
      </c>
      <c r="L47">
        <f t="shared" si="5"/>
        <v>5</v>
      </c>
      <c r="M47" t="str">
        <f t="shared" si="4"/>
        <v>|</v>
      </c>
      <c r="N47">
        <f t="shared" si="5"/>
        <v>-1</v>
      </c>
      <c r="O47" t="str">
        <f t="shared" si="4"/>
        <v>|</v>
      </c>
      <c r="P47">
        <f t="shared" si="5"/>
        <v>-1</v>
      </c>
      <c r="Q47" t="str">
        <f t="shared" si="4"/>
        <v>|</v>
      </c>
    </row>
    <row r="48" spans="1:19" x14ac:dyDescent="0.15">
      <c r="A48" t="str">
        <f>B48&amp;C48&amp;D48&amp;G48&amp;H48&amp;I48&amp;J48&amp;K48&amp;L48&amp;M48&amp;N48&amp;O48&amp;P48&amp;Q48&amp;R48</f>
        <v>|Lv42|-1|4|5|-1|-1|</v>
      </c>
      <c r="B48" t="s">
        <v>3</v>
      </c>
      <c r="C48" t="s">
        <v>8</v>
      </c>
      <c r="D48">
        <v>42</v>
      </c>
      <c r="E48" t="s">
        <v>3</v>
      </c>
      <c r="F48" t="str">
        <f t="shared" si="3"/>
        <v>青</v>
      </c>
      <c r="G48" t="s">
        <v>3</v>
      </c>
      <c r="H48">
        <f>H47+IF(H$40=$F48,1,0)</f>
        <v>-1</v>
      </c>
      <c r="I48" t="str">
        <f>I47</f>
        <v>|</v>
      </c>
      <c r="J48">
        <f>J47+IF(J$40=$F48,1,0)</f>
        <v>4</v>
      </c>
      <c r="K48" t="str">
        <f>K47</f>
        <v>|</v>
      </c>
      <c r="L48">
        <f>L47+IF(L$40=$F48,1,0)</f>
        <v>5</v>
      </c>
      <c r="M48" t="str">
        <f>M47</f>
        <v>|</v>
      </c>
      <c r="N48">
        <f>N47+IF(N$40=$F48,1,0)</f>
        <v>-1</v>
      </c>
      <c r="O48" t="str">
        <f>O47</f>
        <v>|</v>
      </c>
      <c r="P48">
        <f>P47+IF(P$40=$F48,1,0)</f>
        <v>-1</v>
      </c>
      <c r="Q48" t="str">
        <f>Q47</f>
        <v>|</v>
      </c>
    </row>
    <row r="49" spans="1:19" x14ac:dyDescent="0.15">
      <c r="A49" t="str">
        <f>B49&amp;C49&amp;D49&amp;G49&amp;H49&amp;I49&amp;J49&amp;K49&amp;L49&amp;M49&amp;N49&amp;O49&amp;P49&amp;Q49&amp;R49</f>
        <v>|Lv48|0|4|5|-1|-1|</v>
      </c>
      <c r="B49" t="s">
        <v>3</v>
      </c>
      <c r="C49" t="s">
        <v>8</v>
      </c>
      <c r="D49">
        <v>48</v>
      </c>
      <c r="E49" t="s">
        <v>3</v>
      </c>
      <c r="F49" t="str">
        <f t="shared" si="3"/>
        <v>白</v>
      </c>
      <c r="G49" t="s">
        <v>3</v>
      </c>
      <c r="H49">
        <f>H48+IF(H$40=$F49,1,0)</f>
        <v>0</v>
      </c>
      <c r="I49" t="str">
        <f>I48</f>
        <v>|</v>
      </c>
      <c r="J49">
        <f>J48+IF(J$40=$F49,1,0)</f>
        <v>4</v>
      </c>
      <c r="K49" t="str">
        <f>K48</f>
        <v>|</v>
      </c>
      <c r="L49">
        <f>L48+IF(L$40=$F49,1,0)</f>
        <v>5</v>
      </c>
      <c r="M49" t="str">
        <f>M48</f>
        <v>|</v>
      </c>
      <c r="N49">
        <f>N48+IF(N$40=$F49,1,0)</f>
        <v>-1</v>
      </c>
      <c r="O49" t="str">
        <f>O48</f>
        <v>|</v>
      </c>
      <c r="P49">
        <f>P48+IF(P$40=$F49,1,0)</f>
        <v>-1</v>
      </c>
      <c r="Q49" t="str">
        <f>Q48</f>
        <v>|</v>
      </c>
    </row>
    <row r="50" spans="1:19" x14ac:dyDescent="0.15">
      <c r="A50" t="str">
        <f>B50&amp;C50&amp;D50&amp;G50&amp;H50&amp;I50&amp;J50&amp;K50&amp;L50&amp;M50&amp;N50&amp;O50&amp;P50&amp;Q50&amp;R50</f>
        <v>|Lv54|0|4|5|0|-1|</v>
      </c>
      <c r="B50" t="s">
        <v>3</v>
      </c>
      <c r="C50" t="s">
        <v>8</v>
      </c>
      <c r="D50">
        <v>54</v>
      </c>
      <c r="E50" t="s">
        <v>3</v>
      </c>
      <c r="F50" t="str">
        <f t="shared" si="3"/>
        <v>赤</v>
      </c>
      <c r="G50" t="s">
        <v>3</v>
      </c>
      <c r="H50">
        <f>H49+IF(H$40=$F50,1,0)</f>
        <v>0</v>
      </c>
      <c r="I50" t="str">
        <f>I49</f>
        <v>|</v>
      </c>
      <c r="J50">
        <f>J49+IF(J$40=$F50,1,0)</f>
        <v>4</v>
      </c>
      <c r="K50" t="str">
        <f>K49</f>
        <v>|</v>
      </c>
      <c r="L50">
        <f>L49+IF(L$40=$F50,1,0)</f>
        <v>5</v>
      </c>
      <c r="M50" t="str">
        <f>M49</f>
        <v>|</v>
      </c>
      <c r="N50">
        <f>N49+IF(N$40=$F50,1,0)</f>
        <v>0</v>
      </c>
      <c r="O50" t="str">
        <f>O49</f>
        <v>|</v>
      </c>
      <c r="P50">
        <f>P49+IF(P$40=$F50,1,0)</f>
        <v>-1</v>
      </c>
      <c r="Q50" t="str">
        <f>Q49</f>
        <v>|</v>
      </c>
    </row>
    <row r="51" spans="1:19" x14ac:dyDescent="0.15">
      <c r="A51" t="str">
        <f>B51&amp;C51&amp;D51&amp;G51&amp;H51&amp;I51&amp;J51&amp;K51&amp;L51&amp;M51&amp;N51&amp;O51&amp;P51&amp;Q51&amp;R51</f>
        <v>|Lv59|0|4|5|0|0|</v>
      </c>
      <c r="B51" t="s">
        <v>3</v>
      </c>
      <c r="C51" t="s">
        <v>8</v>
      </c>
      <c r="D51">
        <v>59</v>
      </c>
      <c r="E51" t="s">
        <v>3</v>
      </c>
      <c r="F51" t="str">
        <f t="shared" si="3"/>
        <v>緑</v>
      </c>
      <c r="G51" t="s">
        <v>3</v>
      </c>
      <c r="H51">
        <f>H50+IF(H$40=$F51,1,0)</f>
        <v>0</v>
      </c>
      <c r="I51" t="str">
        <f>I50</f>
        <v>|</v>
      </c>
      <c r="J51">
        <f>J50+IF(J$40=$F51,1,0)</f>
        <v>4</v>
      </c>
      <c r="K51" t="str">
        <f>K50</f>
        <v>|</v>
      </c>
      <c r="L51">
        <f>L50+IF(L$40=$F51,1,0)</f>
        <v>5</v>
      </c>
      <c r="M51" t="str">
        <f>M50</f>
        <v>|</v>
      </c>
      <c r="N51">
        <f>N50+IF(N$40=$F51,1,0)</f>
        <v>0</v>
      </c>
      <c r="O51" t="str">
        <f>O50</f>
        <v>|</v>
      </c>
      <c r="P51">
        <f>P50+IF(P$40=$F51,1,0)</f>
        <v>0</v>
      </c>
      <c r="Q51" t="str">
        <f>Q50</f>
        <v>|</v>
      </c>
    </row>
    <row r="52" spans="1:19" x14ac:dyDescent="0.15">
      <c r="A52" t="str">
        <f>B52&amp;C52&amp;D52&amp;E52&amp;F52&amp;G52&amp;H52&amp;I52&amp;J52&amp;K52&amp;L52&amp;M52&amp;N52&amp;O52&amp;P52</f>
        <v>&amp;br;</v>
      </c>
      <c r="B52" t="s">
        <v>0</v>
      </c>
    </row>
    <row r="53" spans="1:19" x14ac:dyDescent="0.15">
      <c r="A53" t="str">
        <f>B53&amp;C53&amp;D53&amp;E53&amp;F53&amp;G53&amp;H53&amp;I53&amp;J53&amp;K53&amp;L53&amp;M53&amp;N53&amp;O53&amp;P53</f>
        <v>&amp;br;</v>
      </c>
      <c r="B53" t="s">
        <v>0</v>
      </c>
    </row>
    <row r="54" spans="1:19" x14ac:dyDescent="0.15">
      <c r="A54" t="str">
        <f>B54&amp;C54&amp;D54&amp;E54&amp;F54&amp;G54&amp;H54&amp;I54&amp;J54&amp;K54&amp;L54&amp;M54&amp;N54&amp;O54&amp;P54</f>
        <v>*デッキ構築枚数上限 [#e6f382eb]</v>
      </c>
      <c r="B54" t="s">
        <v>16</v>
      </c>
    </row>
    <row r="55" spans="1:19" x14ac:dyDescent="0.15">
      <c r="A55" t="str">
        <f>B55&amp;C55&amp;D55&amp;E55&amp;F55&amp;G55&amp;H55&amp;I55&amp;J55&amp;K55&amp;L55&amp;M55&amp;N55&amp;O55&amp;P55</f>
        <v>構築枚数上限を越える枚数はデッキに入れられない。</v>
      </c>
      <c r="B55" t="s">
        <v>17</v>
      </c>
    </row>
    <row r="56" spans="1:19" x14ac:dyDescent="0.15">
      <c r="A56" t="str">
        <f t="shared" ref="A56:A64" si="6">B56&amp;C56&amp;D56&amp;G56&amp;H56&amp;I56&amp;J56&amp;K56&amp;L56&amp;M56&amp;N56&amp;O56&amp;P56&amp;Q56&amp;R56</f>
        <v>|LEFT:50|LEFT:80|LEFT:80|LEFT:80|c</v>
      </c>
      <c r="B56" t="s">
        <v>3</v>
      </c>
      <c r="C56" t="s">
        <v>4</v>
      </c>
      <c r="E56" t="s">
        <v>3</v>
      </c>
      <c r="G56" t="s">
        <v>3</v>
      </c>
      <c r="H56" t="s">
        <v>18</v>
      </c>
      <c r="I56" t="s">
        <v>3</v>
      </c>
      <c r="J56" t="s">
        <v>18</v>
      </c>
      <c r="K56" t="s">
        <v>3</v>
      </c>
      <c r="L56" t="s">
        <v>18</v>
      </c>
      <c r="M56" t="s">
        <v>3</v>
      </c>
      <c r="N56" t="s">
        <v>5</v>
      </c>
    </row>
    <row r="57" spans="1:19" x14ac:dyDescent="0.15">
      <c r="A57" t="str">
        <f t="shared" si="6"/>
        <v>|レベル|クリーチャー|呪文|サポート|</v>
      </c>
      <c r="B57" t="s">
        <v>3</v>
      </c>
      <c r="C57" t="s">
        <v>6</v>
      </c>
      <c r="E57" t="s">
        <v>3</v>
      </c>
      <c r="F57" t="s">
        <v>19</v>
      </c>
      <c r="G57" t="s">
        <v>3</v>
      </c>
      <c r="H57" t="s">
        <v>20</v>
      </c>
      <c r="I57" t="s">
        <v>3</v>
      </c>
      <c r="J57" t="s">
        <v>21</v>
      </c>
      <c r="K57" t="s">
        <v>3</v>
      </c>
      <c r="L57" t="s">
        <v>22</v>
      </c>
      <c r="M57" t="s">
        <v>3</v>
      </c>
      <c r="S57" t="s">
        <v>20</v>
      </c>
    </row>
    <row r="58" spans="1:19" x14ac:dyDescent="0.15">
      <c r="A58" t="str">
        <f t="shared" si="6"/>
        <v>|Lv1|6|3|1|</v>
      </c>
      <c r="B58" t="s">
        <v>3</v>
      </c>
      <c r="C58" t="s">
        <v>8</v>
      </c>
      <c r="D58">
        <v>1</v>
      </c>
      <c r="E58" t="s">
        <v>3</v>
      </c>
      <c r="G58" t="s">
        <v>3</v>
      </c>
      <c r="H58">
        <v>6</v>
      </c>
      <c r="I58" t="s">
        <v>3</v>
      </c>
      <c r="J58">
        <v>3</v>
      </c>
      <c r="K58" t="s">
        <v>3</v>
      </c>
      <c r="L58">
        <v>1</v>
      </c>
      <c r="M58" t="s">
        <v>3</v>
      </c>
      <c r="S58" t="s">
        <v>21</v>
      </c>
    </row>
    <row r="59" spans="1:19" x14ac:dyDescent="0.15">
      <c r="A59" t="str">
        <f t="shared" si="6"/>
        <v>|Lv2|7|3|1|</v>
      </c>
      <c r="B59" t="s">
        <v>3</v>
      </c>
      <c r="C59" t="s">
        <v>8</v>
      </c>
      <c r="D59">
        <v>2</v>
      </c>
      <c r="E59" t="s">
        <v>3</v>
      </c>
      <c r="F59" t="str">
        <f t="shared" ref="F59:F64" si="7">IF(ISBLANK(D59),"",INDEX($F$97:$F$156,D59))</f>
        <v>クリーチャー</v>
      </c>
      <c r="G59" t="s">
        <v>3</v>
      </c>
      <c r="H59">
        <f t="shared" ref="H59:H64" si="8">H58+IF(H$57=$F59,1,0)</f>
        <v>7</v>
      </c>
      <c r="I59" t="str">
        <f t="shared" ref="I59:M64" si="9">I58</f>
        <v>|</v>
      </c>
      <c r="J59">
        <f t="shared" ref="J59:J64" si="10">J58+IF(J$57=$F59,1,0)</f>
        <v>3</v>
      </c>
      <c r="K59" t="str">
        <f t="shared" si="9"/>
        <v>|</v>
      </c>
      <c r="L59">
        <f t="shared" ref="L59:L64" si="11">L58+IF(L$57=$F59,1,0)</f>
        <v>1</v>
      </c>
      <c r="M59" t="str">
        <f t="shared" si="9"/>
        <v>|</v>
      </c>
      <c r="S59" t="s">
        <v>22</v>
      </c>
    </row>
    <row r="60" spans="1:19" x14ac:dyDescent="0.15">
      <c r="A60" t="str">
        <f t="shared" si="6"/>
        <v>|Lv8|7|3|2|</v>
      </c>
      <c r="B60" t="s">
        <v>3</v>
      </c>
      <c r="C60" t="s">
        <v>8</v>
      </c>
      <c r="D60">
        <v>8</v>
      </c>
      <c r="E60" t="s">
        <v>3</v>
      </c>
      <c r="F60" t="str">
        <f t="shared" si="7"/>
        <v>サポート</v>
      </c>
      <c r="G60" t="s">
        <v>3</v>
      </c>
      <c r="H60">
        <f t="shared" si="8"/>
        <v>7</v>
      </c>
      <c r="I60" t="str">
        <f t="shared" si="9"/>
        <v>|</v>
      </c>
      <c r="J60">
        <f t="shared" si="10"/>
        <v>3</v>
      </c>
      <c r="K60" t="str">
        <f t="shared" si="9"/>
        <v>|</v>
      </c>
      <c r="L60">
        <f t="shared" si="11"/>
        <v>2</v>
      </c>
      <c r="M60" t="str">
        <f t="shared" si="9"/>
        <v>|</v>
      </c>
    </row>
    <row r="61" spans="1:19" x14ac:dyDescent="0.15">
      <c r="A61" t="str">
        <f t="shared" si="6"/>
        <v>|Lv14|7|4|2|</v>
      </c>
      <c r="B61" t="s">
        <v>3</v>
      </c>
      <c r="C61" t="s">
        <v>8</v>
      </c>
      <c r="D61">
        <v>14</v>
      </c>
      <c r="E61" t="s">
        <v>3</v>
      </c>
      <c r="F61" t="str">
        <f t="shared" si="7"/>
        <v>呪文</v>
      </c>
      <c r="G61" t="s">
        <v>3</v>
      </c>
      <c r="H61">
        <f t="shared" si="8"/>
        <v>7</v>
      </c>
      <c r="I61" t="str">
        <f t="shared" si="9"/>
        <v>|</v>
      </c>
      <c r="J61">
        <f t="shared" si="10"/>
        <v>4</v>
      </c>
      <c r="K61" t="str">
        <f t="shared" si="9"/>
        <v>|</v>
      </c>
      <c r="L61">
        <f t="shared" si="11"/>
        <v>2</v>
      </c>
      <c r="M61" t="str">
        <f t="shared" si="9"/>
        <v>|</v>
      </c>
    </row>
    <row r="62" spans="1:19" x14ac:dyDescent="0.15">
      <c r="A62" t="str">
        <f t="shared" si="6"/>
        <v>|Lv26|8|4|2|</v>
      </c>
      <c r="B62" t="s">
        <v>3</v>
      </c>
      <c r="C62" t="s">
        <v>8</v>
      </c>
      <c r="D62">
        <v>26</v>
      </c>
      <c r="E62" t="s">
        <v>3</v>
      </c>
      <c r="F62" t="str">
        <f t="shared" si="7"/>
        <v>クリーチャー</v>
      </c>
      <c r="G62" t="s">
        <v>3</v>
      </c>
      <c r="H62">
        <f t="shared" si="8"/>
        <v>8</v>
      </c>
      <c r="I62" t="str">
        <f t="shared" si="9"/>
        <v>|</v>
      </c>
      <c r="J62">
        <f t="shared" si="10"/>
        <v>4</v>
      </c>
      <c r="K62" t="str">
        <f t="shared" si="9"/>
        <v>|</v>
      </c>
      <c r="L62">
        <f t="shared" si="11"/>
        <v>2</v>
      </c>
      <c r="M62" t="str">
        <f t="shared" si="9"/>
        <v>|</v>
      </c>
    </row>
    <row r="63" spans="1:19" x14ac:dyDescent="0.15">
      <c r="A63" t="str">
        <f t="shared" si="6"/>
        <v>|Lv38|8|4|3|</v>
      </c>
      <c r="B63" t="s">
        <v>3</v>
      </c>
      <c r="C63" t="s">
        <v>8</v>
      </c>
      <c r="D63">
        <v>38</v>
      </c>
      <c r="E63" t="s">
        <v>3</v>
      </c>
      <c r="F63" t="str">
        <f t="shared" si="7"/>
        <v>サポート</v>
      </c>
      <c r="G63" t="s">
        <v>3</v>
      </c>
      <c r="H63">
        <f t="shared" si="8"/>
        <v>8</v>
      </c>
      <c r="I63" t="str">
        <f t="shared" si="9"/>
        <v>|</v>
      </c>
      <c r="J63">
        <f t="shared" si="10"/>
        <v>4</v>
      </c>
      <c r="K63" t="str">
        <f t="shared" si="9"/>
        <v>|</v>
      </c>
      <c r="L63">
        <f t="shared" si="11"/>
        <v>3</v>
      </c>
      <c r="M63" t="str">
        <f t="shared" si="9"/>
        <v>|</v>
      </c>
    </row>
    <row r="64" spans="1:19" x14ac:dyDescent="0.15">
      <c r="A64" t="str">
        <f t="shared" si="6"/>
        <v>|Lv50|8|5|3|</v>
      </c>
      <c r="B64" t="s">
        <v>3</v>
      </c>
      <c r="C64" t="s">
        <v>8</v>
      </c>
      <c r="D64">
        <v>50</v>
      </c>
      <c r="E64" t="s">
        <v>3</v>
      </c>
      <c r="F64" t="str">
        <f t="shared" si="7"/>
        <v>呪文</v>
      </c>
      <c r="G64" t="s">
        <v>3</v>
      </c>
      <c r="H64">
        <f t="shared" si="8"/>
        <v>8</v>
      </c>
      <c r="I64" t="str">
        <f t="shared" si="9"/>
        <v>|</v>
      </c>
      <c r="J64">
        <f t="shared" si="10"/>
        <v>5</v>
      </c>
      <c r="K64" t="str">
        <f t="shared" si="9"/>
        <v>|</v>
      </c>
      <c r="L64">
        <f t="shared" si="11"/>
        <v>3</v>
      </c>
      <c r="M64" t="str">
        <f t="shared" si="9"/>
        <v>|</v>
      </c>
    </row>
    <row r="65" spans="1:20" x14ac:dyDescent="0.15">
      <c r="A65" t="str">
        <f t="shared" ref="A65:A86" si="12">B65&amp;C65&amp;D65&amp;E65&amp;F65&amp;G65&amp;H65&amp;I65&amp;J65&amp;K65&amp;L65&amp;M65&amp;N65&amp;O65&amp;P65</f>
        <v>&amp;br;</v>
      </c>
      <c r="B65" t="s">
        <v>0</v>
      </c>
    </row>
    <row r="66" spans="1:20" x14ac:dyDescent="0.15">
      <c r="A66" t="str">
        <f t="shared" si="12"/>
        <v>&amp;br;</v>
      </c>
      <c r="B66" t="s">
        <v>0</v>
      </c>
    </row>
    <row r="67" spans="1:20" x14ac:dyDescent="0.15">
      <c r="A67" t="str">
        <f t="shared" si="12"/>
        <v>*PW能力一覧 [#a469e89f]</v>
      </c>
      <c r="B67" t="s">
        <v>23</v>
      </c>
    </row>
    <row r="68" spans="1:20" x14ac:dyDescent="0.15">
      <c r="A68" t="str">
        <f t="shared" si="12"/>
        <v>**第1能力：屍術的吸収/Necromantic Absorption</v>
      </c>
      <c r="B68" t="s">
        <v>24</v>
      </c>
      <c r="D68" t="s">
        <v>242</v>
      </c>
      <c r="E68" t="s">
        <v>25</v>
      </c>
      <c r="F68" t="s">
        <v>243</v>
      </c>
      <c r="R68" t="str">
        <f>D68&amp;E68&amp;F68</f>
        <v>屍術的吸収/Necromantic Absorption</v>
      </c>
      <c r="S68" t="s">
        <v>3</v>
      </c>
      <c r="T68">
        <f>H74</f>
        <v>6</v>
      </c>
    </row>
    <row r="69" spans="1:20" x14ac:dyDescent="0.15">
      <c r="A69" t="str">
        <f t="shared" si="12"/>
        <v>|LEFT:50|LEFT:50|LEFT:50|LEFT:300|c</v>
      </c>
      <c r="B69" t="s">
        <v>3</v>
      </c>
      <c r="C69" t="s">
        <v>4</v>
      </c>
      <c r="E69" t="s">
        <v>3</v>
      </c>
      <c r="F69" t="s">
        <v>4</v>
      </c>
      <c r="G69" t="s">
        <v>3</v>
      </c>
      <c r="H69" t="s">
        <v>4</v>
      </c>
      <c r="I69" t="s">
        <v>3</v>
      </c>
      <c r="J69" t="s">
        <v>26</v>
      </c>
      <c r="K69" t="s">
        <v>3</v>
      </c>
      <c r="L69" t="s">
        <v>5</v>
      </c>
      <c r="R69" t="s">
        <v>209</v>
      </c>
      <c r="S69" t="s">
        <v>3</v>
      </c>
      <c r="T69" t="str">
        <f>J74</f>
        <v>カード1枚捨てて、その後6マナを得る。</v>
      </c>
    </row>
    <row r="70" spans="1:20" x14ac:dyDescent="0.15">
      <c r="A70" t="str">
        <f t="shared" si="12"/>
        <v>|解放Lv|レベル|コスト|効果|</v>
      </c>
      <c r="B70" t="s">
        <v>3</v>
      </c>
      <c r="C70" t="s">
        <v>27</v>
      </c>
      <c r="E70" t="s">
        <v>3</v>
      </c>
      <c r="F70" t="s">
        <v>6</v>
      </c>
      <c r="G70" t="s">
        <v>3</v>
      </c>
      <c r="H70" t="s">
        <v>28</v>
      </c>
      <c r="I70" t="s">
        <v>3</v>
      </c>
      <c r="J70" t="s">
        <v>29</v>
      </c>
      <c r="K70" t="s">
        <v>3</v>
      </c>
      <c r="R70" t="str">
        <f>D77&amp;E77&amp;F77</f>
        <v>応用屍術/Applied Necromancy</v>
      </c>
      <c r="S70" t="s">
        <v>3</v>
      </c>
      <c r="T70">
        <f>H83</f>
        <v>15</v>
      </c>
    </row>
    <row r="71" spans="1:20" x14ac:dyDescent="0.15">
      <c r="A71" t="str">
        <f t="shared" si="12"/>
        <v>|Lv6|Lv1|9|カード1枚捨てて、その後3マナを得る。|</v>
      </c>
      <c r="B71" t="s">
        <v>3</v>
      </c>
      <c r="C71" t="s">
        <v>244</v>
      </c>
      <c r="E71" t="s">
        <v>3</v>
      </c>
      <c r="F71" t="s">
        <v>30</v>
      </c>
      <c r="G71" t="s">
        <v>3</v>
      </c>
      <c r="H71">
        <v>9</v>
      </c>
      <c r="I71" t="s">
        <v>3</v>
      </c>
      <c r="J71" t="s">
        <v>245</v>
      </c>
      <c r="K71" t="s">
        <v>3</v>
      </c>
      <c r="R71" t="s">
        <v>209</v>
      </c>
      <c r="S71" t="s">
        <v>3</v>
      </c>
      <c r="T71" t="str">
        <f>J83</f>
        <v>あなたの各ゾンビに+4/+4の修正を与える。</v>
      </c>
    </row>
    <row r="72" spans="1:20" x14ac:dyDescent="0.15">
      <c r="A72" t="str">
        <f t="shared" si="12"/>
        <v>|Lv24|Lv2|9|カード1枚捨てて、その後4マナを得る。|</v>
      </c>
      <c r="B72" t="s">
        <v>3</v>
      </c>
      <c r="C72" t="s">
        <v>246</v>
      </c>
      <c r="E72" t="s">
        <v>3</v>
      </c>
      <c r="F72" t="s">
        <v>31</v>
      </c>
      <c r="G72" t="s">
        <v>3</v>
      </c>
      <c r="H72">
        <v>9</v>
      </c>
      <c r="I72" t="s">
        <v>3</v>
      </c>
      <c r="J72" t="s">
        <v>247</v>
      </c>
      <c r="K72" t="s">
        <v>3</v>
      </c>
      <c r="R72" t="str">
        <f>D86&amp;E86&amp;F86</f>
        <v>執拗な大群/Relentless Hordes</v>
      </c>
      <c r="S72" t="s">
        <v>3</v>
      </c>
      <c r="T72">
        <f>H92</f>
        <v>24</v>
      </c>
    </row>
    <row r="73" spans="1:20" x14ac:dyDescent="0.15">
      <c r="A73" t="str">
        <f t="shared" si="12"/>
        <v>|Lv40|Lv3|9|カード1枚捨てて、その後5マナを得る。|</v>
      </c>
      <c r="B73" t="s">
        <v>3</v>
      </c>
      <c r="C73" t="s">
        <v>248</v>
      </c>
      <c r="E73" t="s">
        <v>3</v>
      </c>
      <c r="F73" t="s">
        <v>32</v>
      </c>
      <c r="G73" t="s">
        <v>3</v>
      </c>
      <c r="H73">
        <v>9</v>
      </c>
      <c r="I73" t="s">
        <v>3</v>
      </c>
      <c r="J73" t="s">
        <v>249</v>
      </c>
      <c r="K73" t="s">
        <v>3</v>
      </c>
      <c r="R73" t="s">
        <v>209</v>
      </c>
      <c r="S73" t="s">
        <v>3</v>
      </c>
      <c r="T73" t="str">
        <f>J92</f>
        <v>「あなたのゾンビが1体死亡したとき、2/2のゾンビを4体召喚する」を持つサポート(シールド数5)を生成する。</v>
      </c>
    </row>
    <row r="74" spans="1:20" x14ac:dyDescent="0.15">
      <c r="A74" t="str">
        <f t="shared" si="12"/>
        <v>|Lv56|Lv4|6|カード1枚捨てて、その後6マナを得る。|</v>
      </c>
      <c r="B74" t="s">
        <v>3</v>
      </c>
      <c r="C74" t="s">
        <v>250</v>
      </c>
      <c r="E74" t="s">
        <v>3</v>
      </c>
      <c r="F74" t="s">
        <v>33</v>
      </c>
      <c r="G74" t="s">
        <v>3</v>
      </c>
      <c r="H74">
        <v>6</v>
      </c>
      <c r="I74" t="s">
        <v>3</v>
      </c>
      <c r="J74" t="s">
        <v>251</v>
      </c>
      <c r="K74" t="s">
        <v>3</v>
      </c>
    </row>
    <row r="75" spans="1:20" x14ac:dyDescent="0.15">
      <c r="A75" t="str">
        <f t="shared" si="12"/>
        <v>&amp;br;</v>
      </c>
      <c r="B75" t="s">
        <v>0</v>
      </c>
    </row>
    <row r="76" spans="1:20" x14ac:dyDescent="0.15">
      <c r="A76" t="str">
        <f t="shared" si="12"/>
        <v>&amp;br;</v>
      </c>
      <c r="B76" t="s">
        <v>0</v>
      </c>
    </row>
    <row r="77" spans="1:20" x14ac:dyDescent="0.15">
      <c r="A77" t="str">
        <f t="shared" si="12"/>
        <v>**第2能力：応用屍術/Applied Necromancy</v>
      </c>
      <c r="B77" t="s">
        <v>34</v>
      </c>
      <c r="D77" t="s">
        <v>252</v>
      </c>
      <c r="E77" t="s">
        <v>25</v>
      </c>
      <c r="F77" t="s">
        <v>253</v>
      </c>
    </row>
    <row r="78" spans="1:20" x14ac:dyDescent="0.15">
      <c r="A78" t="str">
        <f t="shared" si="12"/>
        <v>|LEFT:50|LEFT:50|LEFT:50|LEFT:300|c</v>
      </c>
      <c r="B78" t="s">
        <v>3</v>
      </c>
      <c r="C78" t="s">
        <v>4</v>
      </c>
      <c r="E78" t="s">
        <v>3</v>
      </c>
      <c r="F78" t="s">
        <v>4</v>
      </c>
      <c r="G78" t="s">
        <v>3</v>
      </c>
      <c r="H78" t="s">
        <v>4</v>
      </c>
      <c r="I78" t="s">
        <v>3</v>
      </c>
      <c r="J78" t="s">
        <v>26</v>
      </c>
      <c r="K78" t="s">
        <v>3</v>
      </c>
      <c r="L78" t="s">
        <v>5</v>
      </c>
    </row>
    <row r="79" spans="1:20" x14ac:dyDescent="0.15">
      <c r="A79" t="str">
        <f t="shared" si="12"/>
        <v>|解放Lv|レベル|コスト|効果|</v>
      </c>
      <c r="B79" t="s">
        <v>3</v>
      </c>
      <c r="C79" t="s">
        <v>27</v>
      </c>
      <c r="E79" t="s">
        <v>3</v>
      </c>
      <c r="F79" t="s">
        <v>6</v>
      </c>
      <c r="G79" t="s">
        <v>3</v>
      </c>
      <c r="H79" t="s">
        <v>28</v>
      </c>
      <c r="I79" t="s">
        <v>3</v>
      </c>
      <c r="J79" t="s">
        <v>29</v>
      </c>
      <c r="K79" t="s">
        <v>3</v>
      </c>
    </row>
    <row r="80" spans="1:20" x14ac:dyDescent="0.15">
      <c r="A80" t="str">
        <f t="shared" si="12"/>
        <v>|Lv12|Lv1|15|あなたの各ゾンビに+1/+1の修正を与える。|</v>
      </c>
      <c r="B80" t="s">
        <v>3</v>
      </c>
      <c r="C80" t="s">
        <v>254</v>
      </c>
      <c r="E80" t="s">
        <v>3</v>
      </c>
      <c r="F80" t="s">
        <v>30</v>
      </c>
      <c r="G80" t="s">
        <v>3</v>
      </c>
      <c r="H80">
        <v>15</v>
      </c>
      <c r="I80" t="s">
        <v>3</v>
      </c>
      <c r="J80" t="s">
        <v>255</v>
      </c>
      <c r="K80" t="s">
        <v>3</v>
      </c>
    </row>
    <row r="81" spans="1:12" x14ac:dyDescent="0.15">
      <c r="A81" t="str">
        <f t="shared" si="12"/>
        <v>|Lv30|Lv2|15|あなたの各ゾンビに+2/+2の修正を与える。|</v>
      </c>
      <c r="B81" t="s">
        <v>3</v>
      </c>
      <c r="C81" t="s">
        <v>256</v>
      </c>
      <c r="E81" t="s">
        <v>3</v>
      </c>
      <c r="F81" t="s">
        <v>31</v>
      </c>
      <c r="G81" t="s">
        <v>3</v>
      </c>
      <c r="H81">
        <v>15</v>
      </c>
      <c r="I81" t="s">
        <v>3</v>
      </c>
      <c r="J81" t="s">
        <v>257</v>
      </c>
      <c r="K81" t="s">
        <v>3</v>
      </c>
    </row>
    <row r="82" spans="1:12" x14ac:dyDescent="0.15">
      <c r="A82" t="str">
        <f t="shared" si="12"/>
        <v>|Lv46|Lv3|15|あなたの各ゾンビに+3/+3の修正を与える。|</v>
      </c>
      <c r="B82" t="s">
        <v>3</v>
      </c>
      <c r="C82" t="s">
        <v>258</v>
      </c>
      <c r="E82" t="s">
        <v>3</v>
      </c>
      <c r="F82" t="s">
        <v>32</v>
      </c>
      <c r="G82" t="s">
        <v>3</v>
      </c>
      <c r="H82">
        <v>15</v>
      </c>
      <c r="I82" t="s">
        <v>3</v>
      </c>
      <c r="J82" t="s">
        <v>259</v>
      </c>
      <c r="K82" t="s">
        <v>3</v>
      </c>
    </row>
    <row r="83" spans="1:12" x14ac:dyDescent="0.15">
      <c r="A83" t="str">
        <f t="shared" si="12"/>
        <v>|Lv58|Lv4|15|あなたの各ゾンビに+4/+4の修正を与える。|</v>
      </c>
      <c r="B83" t="s">
        <v>3</v>
      </c>
      <c r="C83" t="s">
        <v>260</v>
      </c>
      <c r="E83" t="s">
        <v>3</v>
      </c>
      <c r="F83" t="s">
        <v>33</v>
      </c>
      <c r="G83" t="s">
        <v>3</v>
      </c>
      <c r="H83">
        <v>15</v>
      </c>
      <c r="I83" t="s">
        <v>3</v>
      </c>
      <c r="J83" t="s">
        <v>261</v>
      </c>
      <c r="K83" t="s">
        <v>3</v>
      </c>
    </row>
    <row r="84" spans="1:12" x14ac:dyDescent="0.15">
      <c r="A84" t="str">
        <f t="shared" si="12"/>
        <v>&amp;br;</v>
      </c>
      <c r="B84" t="s">
        <v>0</v>
      </c>
    </row>
    <row r="85" spans="1:12" x14ac:dyDescent="0.15">
      <c r="A85" t="str">
        <f t="shared" si="12"/>
        <v>&amp;br;</v>
      </c>
      <c r="B85" t="s">
        <v>0</v>
      </c>
    </row>
    <row r="86" spans="1:12" x14ac:dyDescent="0.15">
      <c r="A86" t="str">
        <f t="shared" si="12"/>
        <v>**第3能力：執拗な大群/Relentless Hordes</v>
      </c>
      <c r="B86" t="s">
        <v>35</v>
      </c>
      <c r="D86" t="s">
        <v>262</v>
      </c>
      <c r="E86" t="s">
        <v>25</v>
      </c>
      <c r="F86" t="s">
        <v>263</v>
      </c>
    </row>
    <row r="87" spans="1:12" x14ac:dyDescent="0.15">
      <c r="A87" t="str">
        <f t="shared" ref="A87:A150" si="13">B87&amp;C87&amp;D87&amp;E87&amp;F87&amp;G87&amp;H87&amp;I87&amp;J87&amp;K87&amp;L87&amp;M87&amp;N87&amp;O87&amp;P87</f>
        <v>|LEFT:50|LEFT:50|LEFT:50|LEFT:300|c</v>
      </c>
      <c r="B87" t="s">
        <v>3</v>
      </c>
      <c r="C87" t="s">
        <v>4</v>
      </c>
      <c r="E87" t="s">
        <v>3</v>
      </c>
      <c r="F87" t="s">
        <v>4</v>
      </c>
      <c r="G87" t="s">
        <v>3</v>
      </c>
      <c r="H87" t="s">
        <v>4</v>
      </c>
      <c r="I87" t="s">
        <v>3</v>
      </c>
      <c r="J87" t="s">
        <v>26</v>
      </c>
      <c r="K87" t="s">
        <v>3</v>
      </c>
      <c r="L87" t="s">
        <v>5</v>
      </c>
    </row>
    <row r="88" spans="1:12" x14ac:dyDescent="0.15">
      <c r="A88" t="str">
        <f t="shared" si="13"/>
        <v>|解放Lv|レベル|コスト|効果|</v>
      </c>
      <c r="B88" t="s">
        <v>3</v>
      </c>
      <c r="C88" t="s">
        <v>27</v>
      </c>
      <c r="E88" t="s">
        <v>3</v>
      </c>
      <c r="F88" t="s">
        <v>6</v>
      </c>
      <c r="G88" t="s">
        <v>3</v>
      </c>
      <c r="H88" t="s">
        <v>28</v>
      </c>
      <c r="I88" t="s">
        <v>3</v>
      </c>
      <c r="J88" t="s">
        <v>29</v>
      </c>
      <c r="K88" t="s">
        <v>3</v>
      </c>
    </row>
    <row r="89" spans="1:12" x14ac:dyDescent="0.15">
      <c r="A89" t="str">
        <f t="shared" si="13"/>
        <v>|Lv18|Lv1|24|「あなたのゾンビが1体死亡したとき、2/2のゾンビを1体召喚する」を持つサポート(シールド数5)を生成する。|</v>
      </c>
      <c r="B89" t="s">
        <v>3</v>
      </c>
      <c r="C89" t="s">
        <v>264</v>
      </c>
      <c r="E89" t="s">
        <v>3</v>
      </c>
      <c r="F89" t="s">
        <v>30</v>
      </c>
      <c r="G89" t="s">
        <v>3</v>
      </c>
      <c r="H89">
        <v>24</v>
      </c>
      <c r="I89" t="s">
        <v>3</v>
      </c>
      <c r="J89" t="s">
        <v>265</v>
      </c>
      <c r="K89" t="s">
        <v>3</v>
      </c>
    </row>
    <row r="90" spans="1:12" x14ac:dyDescent="0.15">
      <c r="A90" t="str">
        <f t="shared" si="13"/>
        <v>|Lv36|Lv2|24|「あなたのゾンビが1体死亡したとき、2/2のゾンビを2体召喚する」を持つサポート(シールド数5)を生成する。|</v>
      </c>
      <c r="B90" t="s">
        <v>3</v>
      </c>
      <c r="C90" t="s">
        <v>266</v>
      </c>
      <c r="E90" t="s">
        <v>3</v>
      </c>
      <c r="F90" t="s">
        <v>31</v>
      </c>
      <c r="G90" t="s">
        <v>3</v>
      </c>
      <c r="H90">
        <v>24</v>
      </c>
      <c r="I90" t="s">
        <v>3</v>
      </c>
      <c r="J90" t="s">
        <v>267</v>
      </c>
      <c r="K90" t="s">
        <v>3</v>
      </c>
    </row>
    <row r="91" spans="1:12" x14ac:dyDescent="0.15">
      <c r="A91" t="str">
        <f t="shared" si="13"/>
        <v>|Lv52|Lv3|24|「あなたのゾンビが1体死亡したとき、2/2のゾンビを3体召喚する」を持つサポート(シールド数5)を生成する。|</v>
      </c>
      <c r="B91" t="s">
        <v>3</v>
      </c>
      <c r="C91" t="s">
        <v>268</v>
      </c>
      <c r="E91" t="s">
        <v>3</v>
      </c>
      <c r="F91" t="s">
        <v>32</v>
      </c>
      <c r="G91" t="s">
        <v>3</v>
      </c>
      <c r="H91">
        <v>24</v>
      </c>
      <c r="I91" t="s">
        <v>3</v>
      </c>
      <c r="J91" t="s">
        <v>269</v>
      </c>
      <c r="K91" t="s">
        <v>3</v>
      </c>
    </row>
    <row r="92" spans="1:12" x14ac:dyDescent="0.15">
      <c r="A92" t="str">
        <f t="shared" si="13"/>
        <v>|Lv60|Lv4|24|「あなたのゾンビが1体死亡したとき、2/2のゾンビを4体召喚する」を持つサポート(シールド数5)を生成する。|</v>
      </c>
      <c r="B92" t="s">
        <v>3</v>
      </c>
      <c r="C92" t="s">
        <v>270</v>
      </c>
      <c r="E92" t="s">
        <v>3</v>
      </c>
      <c r="F92" t="s">
        <v>33</v>
      </c>
      <c r="G92" t="s">
        <v>3</v>
      </c>
      <c r="H92">
        <v>24</v>
      </c>
      <c r="I92" t="s">
        <v>3</v>
      </c>
      <c r="J92" t="s">
        <v>271</v>
      </c>
      <c r="K92" t="s">
        <v>3</v>
      </c>
    </row>
    <row r="93" spans="1:12" x14ac:dyDescent="0.15">
      <c r="A93" t="str">
        <f t="shared" si="13"/>
        <v>&amp;br;</v>
      </c>
      <c r="B93" t="s">
        <v>0</v>
      </c>
    </row>
    <row r="94" spans="1:12" x14ac:dyDescent="0.15">
      <c r="A94" t="str">
        <f t="shared" si="13"/>
        <v>&amp;br;</v>
      </c>
      <c r="B94" t="s">
        <v>0</v>
      </c>
    </row>
    <row r="95" spans="1:12" x14ac:dyDescent="0.15">
      <c r="A95" t="str">
        <f t="shared" si="13"/>
        <v>*レベルアップ報酬一覧 [#k0cef29c]</v>
      </c>
      <c r="B95" t="s">
        <v>36</v>
      </c>
    </row>
    <row r="96" spans="1:12" x14ac:dyDescent="0.15">
      <c r="A96" t="str">
        <f t="shared" si="13"/>
        <v>|LEFT:50|LEFT:100|c</v>
      </c>
      <c r="B96" t="s">
        <v>3</v>
      </c>
      <c r="C96" t="s">
        <v>4</v>
      </c>
      <c r="E96" t="s">
        <v>3</v>
      </c>
      <c r="F96" t="s">
        <v>37</v>
      </c>
      <c r="I96" t="s">
        <v>3</v>
      </c>
      <c r="J96" t="s">
        <v>5</v>
      </c>
    </row>
    <row r="97" spans="1:17" x14ac:dyDescent="0.15">
      <c r="A97" t="str">
        <f t="shared" si="13"/>
        <v>|レベル|報酬|</v>
      </c>
      <c r="B97" t="s">
        <v>3</v>
      </c>
      <c r="C97" t="s">
        <v>6</v>
      </c>
      <c r="E97" t="s">
        <v>3</v>
      </c>
      <c r="F97" t="s">
        <v>38</v>
      </c>
      <c r="I97" t="s">
        <v>3</v>
      </c>
      <c r="Q97" t="s">
        <v>7</v>
      </c>
    </row>
    <row r="98" spans="1:17" x14ac:dyDescent="0.15">
      <c r="A98" t="str">
        <f t="shared" si="13"/>
        <v>|Lｖ2|クリーチャー+1|</v>
      </c>
      <c r="B98" t="s">
        <v>3</v>
      </c>
      <c r="C98" t="s">
        <v>39</v>
      </c>
      <c r="D98">
        <v>2</v>
      </c>
      <c r="E98" t="s">
        <v>3</v>
      </c>
      <c r="F98" t="s">
        <v>20</v>
      </c>
      <c r="G98" t="str">
        <f t="shared" ref="G98:G156" si="14">IF(OR(F98=$Q$106,F98=$Q$107,F98=$Q$108,F98=$Q$109,ISBLANK(F98)),"","+")</f>
        <v>+</v>
      </c>
      <c r="H98">
        <v>1</v>
      </c>
      <c r="I98" t="s">
        <v>3</v>
      </c>
      <c r="Q98" t="s">
        <v>20</v>
      </c>
    </row>
    <row r="99" spans="1:17" x14ac:dyDescent="0.15">
      <c r="A99" t="str">
        <f t="shared" si="13"/>
        <v>|Lｖ3|HP+3|</v>
      </c>
      <c r="B99" t="s">
        <v>3</v>
      </c>
      <c r="C99" t="s">
        <v>39</v>
      </c>
      <c r="D99">
        <v>3</v>
      </c>
      <c r="E99" t="s">
        <v>3</v>
      </c>
      <c r="F99" t="s">
        <v>7</v>
      </c>
      <c r="G99" t="str">
        <f t="shared" si="14"/>
        <v>+</v>
      </c>
      <c r="H99">
        <v>3</v>
      </c>
      <c r="I99" t="s">
        <v>3</v>
      </c>
      <c r="Q99" t="s">
        <v>21</v>
      </c>
    </row>
    <row r="100" spans="1:17" x14ac:dyDescent="0.15">
      <c r="A100" t="str">
        <f t="shared" si="13"/>
        <v>|Lｖ4|黒+1|</v>
      </c>
      <c r="B100" t="s">
        <v>3</v>
      </c>
      <c r="C100" t="s">
        <v>39</v>
      </c>
      <c r="D100">
        <v>4</v>
      </c>
      <c r="E100" t="s">
        <v>3</v>
      </c>
      <c r="F100" t="s">
        <v>13</v>
      </c>
      <c r="G100" t="str">
        <f t="shared" si="14"/>
        <v>+</v>
      </c>
      <c r="H100">
        <v>1</v>
      </c>
      <c r="I100" t="s">
        <v>3</v>
      </c>
      <c r="Q100" t="s">
        <v>22</v>
      </c>
    </row>
    <row r="101" spans="1:17" x14ac:dyDescent="0.15">
      <c r="A101" t="str">
        <f t="shared" si="13"/>
        <v>|Lｖ5|HP+3|</v>
      </c>
      <c r="B101" t="s">
        <v>3</v>
      </c>
      <c r="C101" t="s">
        <v>39</v>
      </c>
      <c r="D101">
        <v>5</v>
      </c>
      <c r="E101" t="s">
        <v>3</v>
      </c>
      <c r="F101" t="s">
        <v>7</v>
      </c>
      <c r="G101" t="str">
        <f t="shared" si="14"/>
        <v>+</v>
      </c>
      <c r="H101">
        <v>3</v>
      </c>
      <c r="I101" t="s">
        <v>3</v>
      </c>
      <c r="Q101" t="s">
        <v>11</v>
      </c>
    </row>
    <row r="102" spans="1:17" x14ac:dyDescent="0.15">
      <c r="A102" t="str">
        <f t="shared" si="13"/>
        <v>|Lｖ6|第1能力Lv1|</v>
      </c>
      <c r="B102" t="s">
        <v>3</v>
      </c>
      <c r="C102" t="s">
        <v>39</v>
      </c>
      <c r="D102">
        <v>6</v>
      </c>
      <c r="E102" t="s">
        <v>3</v>
      </c>
      <c r="F102" t="s">
        <v>40</v>
      </c>
      <c r="G102" t="str">
        <f t="shared" si="14"/>
        <v/>
      </c>
      <c r="H102">
        <v>1</v>
      </c>
      <c r="I102" t="s">
        <v>3</v>
      </c>
      <c r="Q102" t="s">
        <v>12</v>
      </c>
    </row>
    <row r="103" spans="1:17" x14ac:dyDescent="0.15">
      <c r="A103" t="str">
        <f t="shared" si="13"/>
        <v>|Lｖ7|HP+3|</v>
      </c>
      <c r="B103" t="s">
        <v>3</v>
      </c>
      <c r="C103" t="s">
        <v>39</v>
      </c>
      <c r="D103">
        <v>7</v>
      </c>
      <c r="E103" t="s">
        <v>3</v>
      </c>
      <c r="F103" t="s">
        <v>7</v>
      </c>
      <c r="G103" t="str">
        <f t="shared" si="14"/>
        <v>+</v>
      </c>
      <c r="H103">
        <v>3</v>
      </c>
      <c r="I103" t="s">
        <v>3</v>
      </c>
      <c r="Q103" t="s">
        <v>13</v>
      </c>
    </row>
    <row r="104" spans="1:17" x14ac:dyDescent="0.15">
      <c r="A104" t="str">
        <f t="shared" si="13"/>
        <v>|Lｖ8|サポート+1|</v>
      </c>
      <c r="B104" t="s">
        <v>3</v>
      </c>
      <c r="C104" t="s">
        <v>39</v>
      </c>
      <c r="D104">
        <v>8</v>
      </c>
      <c r="E104" t="s">
        <v>3</v>
      </c>
      <c r="F104" t="s">
        <v>22</v>
      </c>
      <c r="G104" t="str">
        <f t="shared" si="14"/>
        <v>+</v>
      </c>
      <c r="H104">
        <v>1</v>
      </c>
      <c r="I104" t="s">
        <v>3</v>
      </c>
      <c r="Q104" t="s">
        <v>14</v>
      </c>
    </row>
    <row r="105" spans="1:17" x14ac:dyDescent="0.15">
      <c r="A105" t="str">
        <f t="shared" si="13"/>
        <v>|Lｖ9|HP+3|</v>
      </c>
      <c r="B105" t="s">
        <v>3</v>
      </c>
      <c r="C105" t="s">
        <v>39</v>
      </c>
      <c r="D105">
        <v>9</v>
      </c>
      <c r="E105" t="s">
        <v>3</v>
      </c>
      <c r="F105" t="s">
        <v>7</v>
      </c>
      <c r="G105" t="str">
        <f t="shared" si="14"/>
        <v>+</v>
      </c>
      <c r="H105">
        <v>3</v>
      </c>
      <c r="I105" t="s">
        <v>3</v>
      </c>
      <c r="Q105" t="s">
        <v>15</v>
      </c>
    </row>
    <row r="106" spans="1:17" x14ac:dyDescent="0.15">
      <c r="A106" t="str">
        <f t="shared" si="13"/>
        <v>|Lｖ10|青+1|</v>
      </c>
      <c r="B106" t="s">
        <v>3</v>
      </c>
      <c r="C106" t="s">
        <v>39</v>
      </c>
      <c r="D106">
        <v>10</v>
      </c>
      <c r="E106" t="s">
        <v>3</v>
      </c>
      <c r="F106" t="s">
        <v>12</v>
      </c>
      <c r="G106" t="str">
        <f t="shared" si="14"/>
        <v>+</v>
      </c>
      <c r="H106">
        <v>1</v>
      </c>
      <c r="I106" t="s">
        <v>3</v>
      </c>
      <c r="Q106" t="s">
        <v>40</v>
      </c>
    </row>
    <row r="107" spans="1:17" x14ac:dyDescent="0.15">
      <c r="A107" t="str">
        <f t="shared" si="13"/>
        <v>|Lｖ11|HP+3|</v>
      </c>
      <c r="B107" t="s">
        <v>3</v>
      </c>
      <c r="C107" t="s">
        <v>39</v>
      </c>
      <c r="D107">
        <v>11</v>
      </c>
      <c r="E107" t="s">
        <v>3</v>
      </c>
      <c r="F107" t="s">
        <v>7</v>
      </c>
      <c r="G107" t="str">
        <f t="shared" si="14"/>
        <v>+</v>
      </c>
      <c r="H107">
        <v>3</v>
      </c>
      <c r="I107" t="s">
        <v>3</v>
      </c>
      <c r="Q107" t="s">
        <v>41</v>
      </c>
    </row>
    <row r="108" spans="1:17" x14ac:dyDescent="0.15">
      <c r="A108" t="str">
        <f t="shared" si="13"/>
        <v>|Lｖ12|第2能力Lv1|</v>
      </c>
      <c r="B108" t="s">
        <v>3</v>
      </c>
      <c r="C108" t="s">
        <v>39</v>
      </c>
      <c r="D108">
        <v>12</v>
      </c>
      <c r="E108" t="s">
        <v>3</v>
      </c>
      <c r="F108" t="s">
        <v>41</v>
      </c>
      <c r="G108" t="str">
        <f t="shared" si="14"/>
        <v/>
      </c>
      <c r="H108">
        <v>1</v>
      </c>
      <c r="I108" t="s">
        <v>3</v>
      </c>
      <c r="Q108" t="s">
        <v>42</v>
      </c>
    </row>
    <row r="109" spans="1:17" x14ac:dyDescent="0.15">
      <c r="A109" t="str">
        <f t="shared" si="13"/>
        <v>|Lｖ13|HP+3|</v>
      </c>
      <c r="B109" t="s">
        <v>3</v>
      </c>
      <c r="C109" t="s">
        <v>39</v>
      </c>
      <c r="D109">
        <v>13</v>
      </c>
      <c r="E109" t="s">
        <v>3</v>
      </c>
      <c r="F109" t="s">
        <v>7</v>
      </c>
      <c r="G109" t="str">
        <f t="shared" si="14"/>
        <v>+</v>
      </c>
      <c r="H109">
        <v>3</v>
      </c>
      <c r="I109" t="s">
        <v>3</v>
      </c>
      <c r="Q109" t="s">
        <v>43</v>
      </c>
    </row>
    <row r="110" spans="1:17" x14ac:dyDescent="0.15">
      <c r="A110" t="str">
        <f t="shared" si="13"/>
        <v>|Lｖ14|呪文+1|</v>
      </c>
      <c r="B110" t="s">
        <v>3</v>
      </c>
      <c r="C110" t="s">
        <v>39</v>
      </c>
      <c r="D110">
        <v>14</v>
      </c>
      <c r="E110" t="s">
        <v>3</v>
      </c>
      <c r="F110" t="s">
        <v>21</v>
      </c>
      <c r="G110" t="str">
        <f t="shared" si="14"/>
        <v>+</v>
      </c>
      <c r="H110">
        <v>1</v>
      </c>
      <c r="I110" t="s">
        <v>3</v>
      </c>
    </row>
    <row r="111" spans="1:17" x14ac:dyDescent="0.15">
      <c r="A111" t="str">
        <f t="shared" si="13"/>
        <v>|Lｖ15|HP+3|</v>
      </c>
      <c r="B111" t="s">
        <v>3</v>
      </c>
      <c r="C111" t="s">
        <v>39</v>
      </c>
      <c r="D111">
        <v>15</v>
      </c>
      <c r="E111" t="s">
        <v>3</v>
      </c>
      <c r="F111" t="s">
        <v>7</v>
      </c>
      <c r="G111" t="str">
        <f t="shared" si="14"/>
        <v>+</v>
      </c>
      <c r="H111">
        <v>3</v>
      </c>
      <c r="I111" t="s">
        <v>3</v>
      </c>
    </row>
    <row r="112" spans="1:17" x14ac:dyDescent="0.15">
      <c r="A112" t="str">
        <f t="shared" si="13"/>
        <v>|Lｖ16|白+1|</v>
      </c>
      <c r="B112" t="s">
        <v>3</v>
      </c>
      <c r="C112" t="s">
        <v>39</v>
      </c>
      <c r="D112">
        <v>16</v>
      </c>
      <c r="E112" t="s">
        <v>3</v>
      </c>
      <c r="F112" t="s">
        <v>11</v>
      </c>
      <c r="G112" t="str">
        <f t="shared" si="14"/>
        <v>+</v>
      </c>
      <c r="H112">
        <v>1</v>
      </c>
      <c r="I112" t="s">
        <v>3</v>
      </c>
    </row>
    <row r="113" spans="1:9" x14ac:dyDescent="0.15">
      <c r="A113" t="str">
        <f t="shared" si="13"/>
        <v>|Lｖ17|HP+3|</v>
      </c>
      <c r="B113" t="s">
        <v>3</v>
      </c>
      <c r="C113" t="s">
        <v>39</v>
      </c>
      <c r="D113">
        <v>17</v>
      </c>
      <c r="E113" t="s">
        <v>3</v>
      </c>
      <c r="F113" t="s">
        <v>7</v>
      </c>
      <c r="G113" t="str">
        <f t="shared" si="14"/>
        <v>+</v>
      </c>
      <c r="H113">
        <v>3</v>
      </c>
      <c r="I113" t="s">
        <v>3</v>
      </c>
    </row>
    <row r="114" spans="1:9" x14ac:dyDescent="0.15">
      <c r="A114" t="str">
        <f t="shared" si="13"/>
        <v>|Lｖ18|第3能力Lv1|</v>
      </c>
      <c r="B114" t="s">
        <v>3</v>
      </c>
      <c r="C114" t="s">
        <v>39</v>
      </c>
      <c r="D114">
        <v>18</v>
      </c>
      <c r="E114" t="s">
        <v>3</v>
      </c>
      <c r="F114" t="s">
        <v>42</v>
      </c>
      <c r="G114" t="str">
        <f t="shared" si="14"/>
        <v/>
      </c>
      <c r="H114">
        <v>1</v>
      </c>
      <c r="I114" t="s">
        <v>3</v>
      </c>
    </row>
    <row r="115" spans="1:9" x14ac:dyDescent="0.15">
      <c r="A115" t="str">
        <f t="shared" si="13"/>
        <v>|Lｖ19|HP+3|</v>
      </c>
      <c r="B115" t="s">
        <v>3</v>
      </c>
      <c r="C115" t="s">
        <v>39</v>
      </c>
      <c r="D115">
        <v>19</v>
      </c>
      <c r="E115" t="s">
        <v>3</v>
      </c>
      <c r="F115" t="s">
        <v>7</v>
      </c>
      <c r="G115" t="str">
        <f t="shared" si="14"/>
        <v>+</v>
      </c>
      <c r="H115">
        <v>3</v>
      </c>
      <c r="I115" t="s">
        <v>3</v>
      </c>
    </row>
    <row r="116" spans="1:9" x14ac:dyDescent="0.15">
      <c r="A116" t="str">
        <f t="shared" si="13"/>
        <v>|Lｖ20|回復速度上昇|</v>
      </c>
      <c r="B116" t="s">
        <v>3</v>
      </c>
      <c r="C116" t="s">
        <v>39</v>
      </c>
      <c r="D116">
        <v>20</v>
      </c>
      <c r="E116" t="s">
        <v>3</v>
      </c>
      <c r="F116" t="s">
        <v>43</v>
      </c>
      <c r="G116" t="str">
        <f t="shared" si="14"/>
        <v/>
      </c>
      <c r="I116" t="s">
        <v>3</v>
      </c>
    </row>
    <row r="117" spans="1:9" x14ac:dyDescent="0.15">
      <c r="A117" t="str">
        <f t="shared" si="13"/>
        <v>|Lｖ21|HP+3|</v>
      </c>
      <c r="B117" t="s">
        <v>3</v>
      </c>
      <c r="C117" t="s">
        <v>39</v>
      </c>
      <c r="D117">
        <v>21</v>
      </c>
      <c r="E117" t="s">
        <v>3</v>
      </c>
      <c r="F117" t="s">
        <v>7</v>
      </c>
      <c r="G117" t="str">
        <f t="shared" si="14"/>
        <v>+</v>
      </c>
      <c r="H117">
        <v>3</v>
      </c>
      <c r="I117" t="s">
        <v>3</v>
      </c>
    </row>
    <row r="118" spans="1:9" x14ac:dyDescent="0.15">
      <c r="A118" t="str">
        <f t="shared" si="13"/>
        <v>|Lｖ22|赤+1|</v>
      </c>
      <c r="B118" t="s">
        <v>3</v>
      </c>
      <c r="C118" t="s">
        <v>39</v>
      </c>
      <c r="D118">
        <v>22</v>
      </c>
      <c r="E118" t="s">
        <v>3</v>
      </c>
      <c r="F118" t="s">
        <v>14</v>
      </c>
      <c r="G118" t="str">
        <f t="shared" si="14"/>
        <v>+</v>
      </c>
      <c r="H118">
        <v>1</v>
      </c>
      <c r="I118" t="s">
        <v>3</v>
      </c>
    </row>
    <row r="119" spans="1:9" x14ac:dyDescent="0.15">
      <c r="A119" t="str">
        <f t="shared" si="13"/>
        <v>|Lｖ23|HP+3|</v>
      </c>
      <c r="B119" t="s">
        <v>3</v>
      </c>
      <c r="C119" t="s">
        <v>39</v>
      </c>
      <c r="D119">
        <v>23</v>
      </c>
      <c r="E119" t="s">
        <v>3</v>
      </c>
      <c r="F119" t="s">
        <v>7</v>
      </c>
      <c r="G119" t="str">
        <f t="shared" si="14"/>
        <v>+</v>
      </c>
      <c r="H119">
        <v>3</v>
      </c>
      <c r="I119" t="s">
        <v>3</v>
      </c>
    </row>
    <row r="120" spans="1:9" x14ac:dyDescent="0.15">
      <c r="A120" t="str">
        <f t="shared" si="13"/>
        <v>|Lｖ24|第1能力Lv2|</v>
      </c>
      <c r="B120" t="s">
        <v>3</v>
      </c>
      <c r="C120" t="s">
        <v>39</v>
      </c>
      <c r="D120">
        <v>24</v>
      </c>
      <c r="E120" t="s">
        <v>3</v>
      </c>
      <c r="F120" t="s">
        <v>40</v>
      </c>
      <c r="G120" t="str">
        <f t="shared" si="14"/>
        <v/>
      </c>
      <c r="H120">
        <v>2</v>
      </c>
      <c r="I120" t="s">
        <v>3</v>
      </c>
    </row>
    <row r="121" spans="1:9" x14ac:dyDescent="0.15">
      <c r="A121" t="str">
        <f t="shared" si="13"/>
        <v>|Lｖ25|HP+3|</v>
      </c>
      <c r="B121" t="s">
        <v>3</v>
      </c>
      <c r="C121" t="s">
        <v>39</v>
      </c>
      <c r="D121">
        <v>25</v>
      </c>
      <c r="E121" t="s">
        <v>3</v>
      </c>
      <c r="F121" t="s">
        <v>7</v>
      </c>
      <c r="G121" t="str">
        <f t="shared" si="14"/>
        <v>+</v>
      </c>
      <c r="H121">
        <v>3</v>
      </c>
      <c r="I121" t="s">
        <v>3</v>
      </c>
    </row>
    <row r="122" spans="1:9" x14ac:dyDescent="0.15">
      <c r="A122" t="str">
        <f t="shared" si="13"/>
        <v>|Lｖ26|クリーチャー+1|</v>
      </c>
      <c r="B122" t="s">
        <v>3</v>
      </c>
      <c r="C122" t="s">
        <v>39</v>
      </c>
      <c r="D122">
        <v>26</v>
      </c>
      <c r="E122" t="s">
        <v>3</v>
      </c>
      <c r="F122" t="s">
        <v>20</v>
      </c>
      <c r="G122" t="str">
        <f t="shared" si="14"/>
        <v>+</v>
      </c>
      <c r="H122">
        <v>1</v>
      </c>
      <c r="I122" t="s">
        <v>3</v>
      </c>
    </row>
    <row r="123" spans="1:9" x14ac:dyDescent="0.15">
      <c r="A123" t="str">
        <f t="shared" si="13"/>
        <v>|Lｖ27|HP+3|</v>
      </c>
      <c r="B123" t="s">
        <v>3</v>
      </c>
      <c r="C123" t="s">
        <v>39</v>
      </c>
      <c r="D123">
        <v>27</v>
      </c>
      <c r="E123" t="s">
        <v>3</v>
      </c>
      <c r="F123" t="s">
        <v>7</v>
      </c>
      <c r="G123" t="str">
        <f t="shared" si="14"/>
        <v>+</v>
      </c>
      <c r="H123">
        <v>3</v>
      </c>
      <c r="I123" t="s">
        <v>3</v>
      </c>
    </row>
    <row r="124" spans="1:9" x14ac:dyDescent="0.15">
      <c r="A124" t="str">
        <f t="shared" si="13"/>
        <v>|Lｖ28|緑+1|</v>
      </c>
      <c r="B124" t="s">
        <v>3</v>
      </c>
      <c r="C124" t="s">
        <v>39</v>
      </c>
      <c r="D124">
        <v>28</v>
      </c>
      <c r="E124" t="s">
        <v>3</v>
      </c>
      <c r="F124" t="s">
        <v>15</v>
      </c>
      <c r="G124" t="str">
        <f t="shared" si="14"/>
        <v>+</v>
      </c>
      <c r="H124">
        <v>1</v>
      </c>
      <c r="I124" t="s">
        <v>3</v>
      </c>
    </row>
    <row r="125" spans="1:9" x14ac:dyDescent="0.15">
      <c r="A125" t="str">
        <f t="shared" si="13"/>
        <v>|Lｖ29|HP+3|</v>
      </c>
      <c r="B125" t="s">
        <v>3</v>
      </c>
      <c r="C125" t="s">
        <v>39</v>
      </c>
      <c r="D125">
        <v>29</v>
      </c>
      <c r="E125" t="s">
        <v>3</v>
      </c>
      <c r="F125" t="s">
        <v>7</v>
      </c>
      <c r="G125" t="str">
        <f t="shared" si="14"/>
        <v>+</v>
      </c>
      <c r="H125">
        <v>3</v>
      </c>
      <c r="I125" t="s">
        <v>3</v>
      </c>
    </row>
    <row r="126" spans="1:9" x14ac:dyDescent="0.15">
      <c r="A126" t="str">
        <f t="shared" si="13"/>
        <v>|Lｖ30|第2能力Lv2|</v>
      </c>
      <c r="B126" t="s">
        <v>3</v>
      </c>
      <c r="C126" t="s">
        <v>39</v>
      </c>
      <c r="D126">
        <v>30</v>
      </c>
      <c r="E126" t="s">
        <v>3</v>
      </c>
      <c r="F126" t="s">
        <v>41</v>
      </c>
      <c r="G126" t="str">
        <f t="shared" si="14"/>
        <v/>
      </c>
      <c r="H126">
        <v>2</v>
      </c>
      <c r="I126" t="s">
        <v>3</v>
      </c>
    </row>
    <row r="127" spans="1:9" x14ac:dyDescent="0.15">
      <c r="A127" t="str">
        <f t="shared" si="13"/>
        <v>|Lｖ31|HP+3|</v>
      </c>
      <c r="B127" t="s">
        <v>3</v>
      </c>
      <c r="C127" t="s">
        <v>39</v>
      </c>
      <c r="D127">
        <v>31</v>
      </c>
      <c r="E127" t="s">
        <v>3</v>
      </c>
      <c r="F127" t="s">
        <v>7</v>
      </c>
      <c r="G127" t="str">
        <f t="shared" si="14"/>
        <v>+</v>
      </c>
      <c r="H127">
        <v>3</v>
      </c>
      <c r="I127" t="s">
        <v>3</v>
      </c>
    </row>
    <row r="128" spans="1:9" x14ac:dyDescent="0.15">
      <c r="A128" t="str">
        <f t="shared" si="13"/>
        <v>|Lｖ32|回復速度上昇|</v>
      </c>
      <c r="B128" t="s">
        <v>3</v>
      </c>
      <c r="C128" t="s">
        <v>39</v>
      </c>
      <c r="D128">
        <v>32</v>
      </c>
      <c r="E128" t="s">
        <v>3</v>
      </c>
      <c r="F128" t="s">
        <v>43</v>
      </c>
      <c r="G128" t="str">
        <f t="shared" si="14"/>
        <v/>
      </c>
      <c r="I128" t="s">
        <v>3</v>
      </c>
    </row>
    <row r="129" spans="1:9" x14ac:dyDescent="0.15">
      <c r="A129" t="str">
        <f t="shared" si="13"/>
        <v>|Lｖ33|HP+3|</v>
      </c>
      <c r="B129" t="s">
        <v>3</v>
      </c>
      <c r="C129" t="s">
        <v>39</v>
      </c>
      <c r="D129">
        <v>33</v>
      </c>
      <c r="E129" t="s">
        <v>3</v>
      </c>
      <c r="F129" t="s">
        <v>7</v>
      </c>
      <c r="G129" t="str">
        <f t="shared" si="14"/>
        <v>+</v>
      </c>
      <c r="H129">
        <v>3</v>
      </c>
      <c r="I129" t="s">
        <v>3</v>
      </c>
    </row>
    <row r="130" spans="1:9" x14ac:dyDescent="0.15">
      <c r="A130" t="str">
        <f t="shared" si="13"/>
        <v>|Lｖ34|黒+1|</v>
      </c>
      <c r="B130" t="s">
        <v>3</v>
      </c>
      <c r="C130" t="s">
        <v>39</v>
      </c>
      <c r="D130">
        <v>34</v>
      </c>
      <c r="E130" t="s">
        <v>3</v>
      </c>
      <c r="F130" t="s">
        <v>13</v>
      </c>
      <c r="G130" t="str">
        <f t="shared" si="14"/>
        <v>+</v>
      </c>
      <c r="H130">
        <v>1</v>
      </c>
      <c r="I130" t="s">
        <v>3</v>
      </c>
    </row>
    <row r="131" spans="1:9" x14ac:dyDescent="0.15">
      <c r="A131" t="str">
        <f t="shared" si="13"/>
        <v>|Lｖ35|HP+3|</v>
      </c>
      <c r="B131" t="s">
        <v>3</v>
      </c>
      <c r="C131" t="s">
        <v>39</v>
      </c>
      <c r="D131">
        <v>35</v>
      </c>
      <c r="E131" t="s">
        <v>3</v>
      </c>
      <c r="F131" t="s">
        <v>7</v>
      </c>
      <c r="G131" t="str">
        <f t="shared" si="14"/>
        <v>+</v>
      </c>
      <c r="H131">
        <v>3</v>
      </c>
      <c r="I131" t="s">
        <v>3</v>
      </c>
    </row>
    <row r="132" spans="1:9" x14ac:dyDescent="0.15">
      <c r="A132" t="str">
        <f t="shared" si="13"/>
        <v>|Lｖ36|第3能力Lv2|</v>
      </c>
      <c r="B132" t="s">
        <v>3</v>
      </c>
      <c r="C132" t="s">
        <v>39</v>
      </c>
      <c r="D132">
        <v>36</v>
      </c>
      <c r="E132" t="s">
        <v>3</v>
      </c>
      <c r="F132" t="s">
        <v>42</v>
      </c>
      <c r="G132" t="str">
        <f t="shared" si="14"/>
        <v/>
      </c>
      <c r="H132">
        <v>2</v>
      </c>
      <c r="I132" t="s">
        <v>3</v>
      </c>
    </row>
    <row r="133" spans="1:9" x14ac:dyDescent="0.15">
      <c r="A133" t="str">
        <f t="shared" si="13"/>
        <v>|Lｖ37|HP+3|</v>
      </c>
      <c r="B133" t="s">
        <v>3</v>
      </c>
      <c r="C133" t="s">
        <v>39</v>
      </c>
      <c r="D133">
        <v>37</v>
      </c>
      <c r="E133" t="s">
        <v>3</v>
      </c>
      <c r="F133" t="s">
        <v>7</v>
      </c>
      <c r="G133" t="str">
        <f t="shared" si="14"/>
        <v>+</v>
      </c>
      <c r="H133">
        <v>3</v>
      </c>
      <c r="I133" t="s">
        <v>3</v>
      </c>
    </row>
    <row r="134" spans="1:9" x14ac:dyDescent="0.15">
      <c r="A134" t="str">
        <f t="shared" si="13"/>
        <v>|Lｖ38|サポート+1|</v>
      </c>
      <c r="B134" t="s">
        <v>3</v>
      </c>
      <c r="C134" t="s">
        <v>39</v>
      </c>
      <c r="D134">
        <v>38</v>
      </c>
      <c r="E134" t="s">
        <v>3</v>
      </c>
      <c r="F134" t="s">
        <v>22</v>
      </c>
      <c r="G134" t="str">
        <f t="shared" si="14"/>
        <v>+</v>
      </c>
      <c r="H134">
        <v>1</v>
      </c>
      <c r="I134" t="s">
        <v>3</v>
      </c>
    </row>
    <row r="135" spans="1:9" x14ac:dyDescent="0.15">
      <c r="A135" t="str">
        <f t="shared" si="13"/>
        <v>|Lｖ39|HP+3|</v>
      </c>
      <c r="B135" t="s">
        <v>3</v>
      </c>
      <c r="C135" t="s">
        <v>39</v>
      </c>
      <c r="D135">
        <v>39</v>
      </c>
      <c r="E135" t="s">
        <v>3</v>
      </c>
      <c r="F135" t="s">
        <v>7</v>
      </c>
      <c r="G135" t="str">
        <f t="shared" si="14"/>
        <v>+</v>
      </c>
      <c r="H135">
        <v>3</v>
      </c>
      <c r="I135" t="s">
        <v>3</v>
      </c>
    </row>
    <row r="136" spans="1:9" x14ac:dyDescent="0.15">
      <c r="A136" t="str">
        <f t="shared" si="13"/>
        <v>|Lｖ40|第1能力Lv3|</v>
      </c>
      <c r="B136" t="s">
        <v>3</v>
      </c>
      <c r="C136" t="s">
        <v>39</v>
      </c>
      <c r="D136">
        <v>40</v>
      </c>
      <c r="E136" t="s">
        <v>3</v>
      </c>
      <c r="F136" t="s">
        <v>40</v>
      </c>
      <c r="G136" t="str">
        <f t="shared" si="14"/>
        <v/>
      </c>
      <c r="H136">
        <v>3</v>
      </c>
      <c r="I136" t="s">
        <v>3</v>
      </c>
    </row>
    <row r="137" spans="1:9" x14ac:dyDescent="0.15">
      <c r="A137" t="str">
        <f t="shared" si="13"/>
        <v>|Lｖ41|HP+3|</v>
      </c>
      <c r="B137" t="s">
        <v>3</v>
      </c>
      <c r="C137" t="s">
        <v>39</v>
      </c>
      <c r="D137">
        <v>41</v>
      </c>
      <c r="E137" t="s">
        <v>3</v>
      </c>
      <c r="F137" t="s">
        <v>7</v>
      </c>
      <c r="G137" t="str">
        <f t="shared" si="14"/>
        <v>+</v>
      </c>
      <c r="H137">
        <v>3</v>
      </c>
      <c r="I137" t="s">
        <v>3</v>
      </c>
    </row>
    <row r="138" spans="1:9" x14ac:dyDescent="0.15">
      <c r="A138" t="str">
        <f t="shared" si="13"/>
        <v>|Lｖ42|青+1|</v>
      </c>
      <c r="B138" t="s">
        <v>3</v>
      </c>
      <c r="C138" t="s">
        <v>39</v>
      </c>
      <c r="D138">
        <v>42</v>
      </c>
      <c r="E138" t="s">
        <v>3</v>
      </c>
      <c r="F138" t="s">
        <v>12</v>
      </c>
      <c r="G138" t="str">
        <f t="shared" si="14"/>
        <v>+</v>
      </c>
      <c r="H138">
        <v>1</v>
      </c>
      <c r="I138" t="s">
        <v>3</v>
      </c>
    </row>
    <row r="139" spans="1:9" x14ac:dyDescent="0.15">
      <c r="A139" t="str">
        <f t="shared" si="13"/>
        <v>|Lｖ43|HP+3|</v>
      </c>
      <c r="B139" t="s">
        <v>3</v>
      </c>
      <c r="C139" t="s">
        <v>39</v>
      </c>
      <c r="D139">
        <v>43</v>
      </c>
      <c r="E139" t="s">
        <v>3</v>
      </c>
      <c r="F139" t="s">
        <v>7</v>
      </c>
      <c r="G139" t="str">
        <f t="shared" si="14"/>
        <v>+</v>
      </c>
      <c r="H139">
        <v>3</v>
      </c>
      <c r="I139" t="s">
        <v>3</v>
      </c>
    </row>
    <row r="140" spans="1:9" x14ac:dyDescent="0.15">
      <c r="A140" t="str">
        <f t="shared" si="13"/>
        <v>|Lｖ44|回復速度上昇|</v>
      </c>
      <c r="B140" t="s">
        <v>3</v>
      </c>
      <c r="C140" t="s">
        <v>39</v>
      </c>
      <c r="D140">
        <v>44</v>
      </c>
      <c r="E140" t="s">
        <v>3</v>
      </c>
      <c r="F140" t="s">
        <v>43</v>
      </c>
      <c r="G140" t="str">
        <f t="shared" si="14"/>
        <v/>
      </c>
      <c r="I140" t="s">
        <v>3</v>
      </c>
    </row>
    <row r="141" spans="1:9" x14ac:dyDescent="0.15">
      <c r="A141" t="str">
        <f t="shared" si="13"/>
        <v>|Lｖ45|HP+3|</v>
      </c>
      <c r="B141" t="s">
        <v>3</v>
      </c>
      <c r="C141" t="s">
        <v>39</v>
      </c>
      <c r="D141">
        <v>45</v>
      </c>
      <c r="E141" t="s">
        <v>3</v>
      </c>
      <c r="F141" t="s">
        <v>7</v>
      </c>
      <c r="G141" t="str">
        <f t="shared" si="14"/>
        <v>+</v>
      </c>
      <c r="H141">
        <v>3</v>
      </c>
      <c r="I141" t="s">
        <v>3</v>
      </c>
    </row>
    <row r="142" spans="1:9" x14ac:dyDescent="0.15">
      <c r="A142" t="str">
        <f t="shared" si="13"/>
        <v>|Lｖ46|第2能力Lv3|</v>
      </c>
      <c r="B142" t="s">
        <v>3</v>
      </c>
      <c r="C142" t="s">
        <v>39</v>
      </c>
      <c r="D142">
        <v>46</v>
      </c>
      <c r="E142" t="s">
        <v>3</v>
      </c>
      <c r="F142" t="s">
        <v>41</v>
      </c>
      <c r="G142" t="str">
        <f t="shared" si="14"/>
        <v/>
      </c>
      <c r="H142">
        <v>3</v>
      </c>
      <c r="I142" t="s">
        <v>3</v>
      </c>
    </row>
    <row r="143" spans="1:9" x14ac:dyDescent="0.15">
      <c r="A143" t="str">
        <f t="shared" si="13"/>
        <v>|Lｖ47|HP+3|</v>
      </c>
      <c r="B143" t="s">
        <v>3</v>
      </c>
      <c r="C143" t="s">
        <v>39</v>
      </c>
      <c r="D143">
        <v>47</v>
      </c>
      <c r="E143" t="s">
        <v>3</v>
      </c>
      <c r="F143" t="s">
        <v>7</v>
      </c>
      <c r="G143" t="str">
        <f t="shared" si="14"/>
        <v>+</v>
      </c>
      <c r="H143">
        <v>3</v>
      </c>
      <c r="I143" t="s">
        <v>3</v>
      </c>
    </row>
    <row r="144" spans="1:9" x14ac:dyDescent="0.15">
      <c r="A144" t="str">
        <f t="shared" si="13"/>
        <v>|Lｖ48|白+1|</v>
      </c>
      <c r="B144" t="s">
        <v>3</v>
      </c>
      <c r="C144" t="s">
        <v>39</v>
      </c>
      <c r="D144">
        <v>48</v>
      </c>
      <c r="E144" t="s">
        <v>3</v>
      </c>
      <c r="F144" t="s">
        <v>11</v>
      </c>
      <c r="G144" t="str">
        <f t="shared" si="14"/>
        <v>+</v>
      </c>
      <c r="H144">
        <v>1</v>
      </c>
      <c r="I144" t="s">
        <v>3</v>
      </c>
    </row>
    <row r="145" spans="1:9" x14ac:dyDescent="0.15">
      <c r="A145" t="str">
        <f t="shared" si="13"/>
        <v>|Lｖ49|HP+3|</v>
      </c>
      <c r="B145" t="s">
        <v>3</v>
      </c>
      <c r="C145" t="s">
        <v>39</v>
      </c>
      <c r="D145">
        <v>49</v>
      </c>
      <c r="E145" t="s">
        <v>3</v>
      </c>
      <c r="F145" t="s">
        <v>7</v>
      </c>
      <c r="G145" t="str">
        <f t="shared" si="14"/>
        <v>+</v>
      </c>
      <c r="H145">
        <v>3</v>
      </c>
      <c r="I145" t="s">
        <v>3</v>
      </c>
    </row>
    <row r="146" spans="1:9" x14ac:dyDescent="0.15">
      <c r="A146" t="str">
        <f t="shared" si="13"/>
        <v>|Lｖ50|呪文+1|</v>
      </c>
      <c r="B146" t="s">
        <v>3</v>
      </c>
      <c r="C146" t="s">
        <v>39</v>
      </c>
      <c r="D146">
        <v>50</v>
      </c>
      <c r="E146" t="s">
        <v>3</v>
      </c>
      <c r="F146" t="s">
        <v>21</v>
      </c>
      <c r="G146" t="str">
        <f t="shared" si="14"/>
        <v>+</v>
      </c>
      <c r="H146">
        <v>1</v>
      </c>
      <c r="I146" t="s">
        <v>3</v>
      </c>
    </row>
    <row r="147" spans="1:9" x14ac:dyDescent="0.15">
      <c r="A147" t="str">
        <f t="shared" si="13"/>
        <v>|Lｖ51|HP+3|</v>
      </c>
      <c r="B147" t="s">
        <v>3</v>
      </c>
      <c r="C147" t="s">
        <v>39</v>
      </c>
      <c r="D147">
        <v>51</v>
      </c>
      <c r="E147" t="s">
        <v>3</v>
      </c>
      <c r="F147" t="s">
        <v>7</v>
      </c>
      <c r="G147" t="str">
        <f t="shared" si="14"/>
        <v>+</v>
      </c>
      <c r="H147">
        <v>3</v>
      </c>
      <c r="I147" t="s">
        <v>3</v>
      </c>
    </row>
    <row r="148" spans="1:9" x14ac:dyDescent="0.15">
      <c r="A148" t="str">
        <f t="shared" si="13"/>
        <v>|Lｖ52|第3能力Lv3|</v>
      </c>
      <c r="B148" t="s">
        <v>3</v>
      </c>
      <c r="C148" t="s">
        <v>39</v>
      </c>
      <c r="D148">
        <v>52</v>
      </c>
      <c r="E148" t="s">
        <v>3</v>
      </c>
      <c r="F148" t="s">
        <v>42</v>
      </c>
      <c r="G148" t="str">
        <f t="shared" si="14"/>
        <v/>
      </c>
      <c r="H148">
        <v>3</v>
      </c>
      <c r="I148" t="s">
        <v>3</v>
      </c>
    </row>
    <row r="149" spans="1:9" x14ac:dyDescent="0.15">
      <c r="A149" t="str">
        <f t="shared" si="13"/>
        <v>|Lｖ53|HP+3|</v>
      </c>
      <c r="B149" t="s">
        <v>3</v>
      </c>
      <c r="C149" t="s">
        <v>39</v>
      </c>
      <c r="D149">
        <v>53</v>
      </c>
      <c r="E149" t="s">
        <v>3</v>
      </c>
      <c r="F149" t="s">
        <v>7</v>
      </c>
      <c r="G149" t="str">
        <f t="shared" si="14"/>
        <v>+</v>
      </c>
      <c r="H149">
        <v>3</v>
      </c>
      <c r="I149" t="s">
        <v>3</v>
      </c>
    </row>
    <row r="150" spans="1:9" x14ac:dyDescent="0.15">
      <c r="A150" t="str">
        <f t="shared" si="13"/>
        <v>|Lｖ54|赤+1|</v>
      </c>
      <c r="B150" t="s">
        <v>3</v>
      </c>
      <c r="C150" t="s">
        <v>39</v>
      </c>
      <c r="D150">
        <v>54</v>
      </c>
      <c r="E150" t="s">
        <v>3</v>
      </c>
      <c r="F150" t="s">
        <v>14</v>
      </c>
      <c r="G150" t="str">
        <f t="shared" si="14"/>
        <v>+</v>
      </c>
      <c r="H150">
        <v>1</v>
      </c>
      <c r="I150" t="s">
        <v>3</v>
      </c>
    </row>
    <row r="151" spans="1:9" x14ac:dyDescent="0.15">
      <c r="A151" t="str">
        <f t="shared" ref="A151:A162" si="15">B151&amp;C151&amp;D151&amp;E151&amp;F151&amp;G151&amp;H151&amp;I151&amp;J151&amp;K151&amp;L151&amp;M151&amp;N151&amp;O151&amp;P151</f>
        <v>|Lｖ55|HP+3|</v>
      </c>
      <c r="B151" t="s">
        <v>3</v>
      </c>
      <c r="C151" t="s">
        <v>39</v>
      </c>
      <c r="D151">
        <v>55</v>
      </c>
      <c r="E151" t="s">
        <v>3</v>
      </c>
      <c r="F151" t="s">
        <v>7</v>
      </c>
      <c r="G151" t="str">
        <f t="shared" si="14"/>
        <v>+</v>
      </c>
      <c r="H151">
        <v>3</v>
      </c>
      <c r="I151" t="s">
        <v>3</v>
      </c>
    </row>
    <row r="152" spans="1:9" x14ac:dyDescent="0.15">
      <c r="A152" t="str">
        <f t="shared" si="15"/>
        <v>|Lｖ56|第1能力Lv4|</v>
      </c>
      <c r="B152" t="s">
        <v>3</v>
      </c>
      <c r="C152" t="s">
        <v>39</v>
      </c>
      <c r="D152">
        <v>56</v>
      </c>
      <c r="E152" t="s">
        <v>3</v>
      </c>
      <c r="F152" t="s">
        <v>40</v>
      </c>
      <c r="G152" t="str">
        <f t="shared" si="14"/>
        <v/>
      </c>
      <c r="H152">
        <v>4</v>
      </c>
      <c r="I152" t="s">
        <v>3</v>
      </c>
    </row>
    <row r="153" spans="1:9" x14ac:dyDescent="0.15">
      <c r="A153" t="str">
        <f t="shared" si="15"/>
        <v>|Lｖ57|HP+3|</v>
      </c>
      <c r="B153" t="s">
        <v>3</v>
      </c>
      <c r="C153" t="s">
        <v>39</v>
      </c>
      <c r="D153">
        <v>57</v>
      </c>
      <c r="E153" t="s">
        <v>3</v>
      </c>
      <c r="F153" t="s">
        <v>7</v>
      </c>
      <c r="G153" t="str">
        <f t="shared" si="14"/>
        <v>+</v>
      </c>
      <c r="H153">
        <v>3</v>
      </c>
      <c r="I153" t="s">
        <v>3</v>
      </c>
    </row>
    <row r="154" spans="1:9" x14ac:dyDescent="0.15">
      <c r="A154" t="str">
        <f t="shared" si="15"/>
        <v>|Lｖ58|第2能力Lv4|</v>
      </c>
      <c r="B154" t="s">
        <v>3</v>
      </c>
      <c r="C154" t="s">
        <v>39</v>
      </c>
      <c r="D154">
        <v>58</v>
      </c>
      <c r="E154" t="s">
        <v>3</v>
      </c>
      <c r="F154" t="s">
        <v>41</v>
      </c>
      <c r="G154" t="str">
        <f t="shared" si="14"/>
        <v/>
      </c>
      <c r="H154">
        <v>4</v>
      </c>
      <c r="I154" t="s">
        <v>3</v>
      </c>
    </row>
    <row r="155" spans="1:9" x14ac:dyDescent="0.15">
      <c r="A155" t="str">
        <f t="shared" si="15"/>
        <v>|Lｖ59|緑+1|</v>
      </c>
      <c r="B155" t="s">
        <v>3</v>
      </c>
      <c r="C155" t="s">
        <v>39</v>
      </c>
      <c r="D155">
        <v>59</v>
      </c>
      <c r="E155" t="s">
        <v>3</v>
      </c>
      <c r="F155" t="s">
        <v>15</v>
      </c>
      <c r="G155" t="str">
        <f t="shared" si="14"/>
        <v>+</v>
      </c>
      <c r="H155">
        <v>1</v>
      </c>
      <c r="I155" t="s">
        <v>3</v>
      </c>
    </row>
    <row r="156" spans="1:9" x14ac:dyDescent="0.15">
      <c r="A156" t="str">
        <f t="shared" si="15"/>
        <v>|Lｖ60|第3能力Lv4|</v>
      </c>
      <c r="B156" t="s">
        <v>3</v>
      </c>
      <c r="C156" t="s">
        <v>39</v>
      </c>
      <c r="D156">
        <v>60</v>
      </c>
      <c r="E156" t="s">
        <v>3</v>
      </c>
      <c r="F156" t="s">
        <v>42</v>
      </c>
      <c r="G156" t="str">
        <f t="shared" si="14"/>
        <v/>
      </c>
      <c r="H156">
        <v>4</v>
      </c>
      <c r="I156" t="s">
        <v>3</v>
      </c>
    </row>
    <row r="157" spans="1:9" x14ac:dyDescent="0.15">
      <c r="A157" t="str">
        <f t="shared" si="15"/>
        <v>必要総経験値：79920ルーン</v>
      </c>
      <c r="B157" t="s">
        <v>45</v>
      </c>
      <c r="C157">
        <v>79920</v>
      </c>
      <c r="F157" t="s">
        <v>46</v>
      </c>
    </row>
    <row r="158" spans="1:9" x14ac:dyDescent="0.15">
      <c r="A158" t="str">
        <f t="shared" si="15"/>
        <v>&amp;br;</v>
      </c>
      <c r="B158" t="s">
        <v>0</v>
      </c>
    </row>
    <row r="159" spans="1:9" x14ac:dyDescent="0.15">
      <c r="A159" t="str">
        <f t="shared" si="15"/>
        <v>#back(text=戻る,left)</v>
      </c>
      <c r="B159" t="s">
        <v>47</v>
      </c>
    </row>
    <row r="160" spans="1:9" x14ac:dyDescent="0.15">
      <c r="A160" t="str">
        <f t="shared" si="15"/>
        <v>&amp;br;</v>
      </c>
      <c r="B160" t="s">
        <v>0</v>
      </c>
    </row>
    <row r="161" spans="1:2" x14ac:dyDescent="0.15">
      <c r="A161" t="str">
        <f t="shared" si="15"/>
        <v>#comment(above,nsize=[15],size=[30],num=[10])</v>
      </c>
      <c r="B161" t="s">
        <v>48</v>
      </c>
    </row>
    <row r="162" spans="1:2" x14ac:dyDescent="0.15">
      <c r="A162" t="str">
        <f t="shared" si="15"/>
        <v>[[プレインズウォーカーリスト&gt;プレインズウォーカーリスト]]</v>
      </c>
      <c r="B162" t="s">
        <v>49</v>
      </c>
    </row>
  </sheetData>
  <autoFilter ref="C97:H162"/>
  <phoneticPr fontId="4"/>
  <dataValidations count="2">
    <dataValidation type="list" allowBlank="1" showInputMessage="1" showErrorMessage="1" sqref="F157">
      <formula1>$Q$87:$Q$99</formula1>
    </dataValidation>
    <dataValidation type="list" allowBlank="1" showInputMessage="1" showErrorMessage="1" sqref="F98:F156">
      <formula1>$Q$97:$Q$109</formula1>
    </dataValidation>
  </dataValidations>
  <pageMargins left="0.69930555555555596" right="0.69930555555555596"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229"/>
  <sheetViews>
    <sheetView topLeftCell="A19" workbookViewId="0">
      <selection activeCell="N20" sqref="N20"/>
    </sheetView>
  </sheetViews>
  <sheetFormatPr defaultColWidth="9" defaultRowHeight="13.5" x14ac:dyDescent="0.15"/>
  <cols>
    <col min="2" max="2" width="3.5" customWidth="1"/>
    <col min="3" max="3" width="7.875" customWidth="1"/>
    <col min="4" max="4" width="5.5" customWidth="1"/>
    <col min="5" max="5" width="2.875" customWidth="1"/>
    <col min="7" max="7" width="2" customWidth="1"/>
    <col min="9" max="9" width="2" customWidth="1"/>
    <col min="11" max="11" width="2" customWidth="1"/>
    <col min="13" max="13" width="2" customWidth="1"/>
    <col min="15" max="15" width="2" customWidth="1"/>
    <col min="17" max="17" width="2.75" customWidth="1"/>
  </cols>
  <sheetData>
    <row r="1" spans="1:23" x14ac:dyDescent="0.15">
      <c r="A1" t="str">
        <f t="shared" ref="A1:A13" si="0">C1&amp;D1&amp;E1&amp;F1&amp;G1&amp;H1&amp;I1&amp;J1&amp;K1&amp;L1&amp;M1&amp;N1&amp;O1&amp;P1&amp;Q1&amp;R1&amp;S1&amp;T1&amp;U1&amp;V1</f>
        <v>*Lv60時ステータス</v>
      </c>
      <c r="C1" t="s">
        <v>577</v>
      </c>
      <c r="W1">
        <v>107.142857142857</v>
      </c>
    </row>
    <row r="2" spans="1:23" x14ac:dyDescent="0.15">
      <c r="A2" t="str">
        <f t="shared" si="0"/>
        <v>|LEFT:70|LEFT:30|LEFT:30|LEFT:30|LEFT:30|LEFT:30|LEFT:70|LEFT:50|LEFT:60|c</v>
      </c>
      <c r="C2" t="s">
        <v>3</v>
      </c>
      <c r="D2" t="s">
        <v>578</v>
      </c>
      <c r="E2" t="s">
        <v>3</v>
      </c>
      <c r="F2" t="s">
        <v>579</v>
      </c>
      <c r="G2" t="s">
        <v>3</v>
      </c>
      <c r="H2" t="s">
        <v>579</v>
      </c>
      <c r="I2" t="s">
        <v>3</v>
      </c>
      <c r="J2" t="s">
        <v>579</v>
      </c>
      <c r="K2" t="s">
        <v>3</v>
      </c>
      <c r="L2" t="s">
        <v>579</v>
      </c>
      <c r="M2" t="s">
        <v>3</v>
      </c>
      <c r="N2" t="s">
        <v>579</v>
      </c>
      <c r="O2" t="s">
        <v>3</v>
      </c>
      <c r="P2" t="s">
        <v>578</v>
      </c>
      <c r="Q2" t="s">
        <v>3</v>
      </c>
      <c r="R2" t="s">
        <v>4</v>
      </c>
      <c r="S2" t="s">
        <v>3</v>
      </c>
      <c r="T2" t="s">
        <v>580</v>
      </c>
      <c r="U2" t="s">
        <v>3</v>
      </c>
      <c r="V2" t="s">
        <v>5</v>
      </c>
    </row>
    <row r="3" spans="1:23" x14ac:dyDescent="0.15">
      <c r="A3" t="str">
        <f t="shared" si="0"/>
        <v>|HP|&gt;|&gt;|&gt;|&gt;|マナボーナス|&gt;|&gt;|デッキ構築枚数上限|</v>
      </c>
      <c r="C3" t="s">
        <v>3</v>
      </c>
      <c r="D3" t="s">
        <v>7</v>
      </c>
      <c r="E3" t="s">
        <v>3</v>
      </c>
      <c r="F3" t="s">
        <v>209</v>
      </c>
      <c r="G3" t="s">
        <v>3</v>
      </c>
      <c r="H3" t="s">
        <v>209</v>
      </c>
      <c r="I3" t="s">
        <v>3</v>
      </c>
      <c r="J3" t="s">
        <v>209</v>
      </c>
      <c r="K3" t="s">
        <v>3</v>
      </c>
      <c r="L3" t="s">
        <v>209</v>
      </c>
      <c r="M3" t="s">
        <v>3</v>
      </c>
      <c r="N3" t="s">
        <v>581</v>
      </c>
      <c r="O3" t="s">
        <v>3</v>
      </c>
      <c r="P3" t="s">
        <v>209</v>
      </c>
      <c r="Q3" t="s">
        <v>3</v>
      </c>
      <c r="R3" t="s">
        <v>209</v>
      </c>
      <c r="S3" t="s">
        <v>3</v>
      </c>
      <c r="T3" t="s">
        <v>582</v>
      </c>
      <c r="U3" t="s">
        <v>3</v>
      </c>
    </row>
    <row r="4" spans="1:23" x14ac:dyDescent="0.15">
      <c r="A4" t="str">
        <f t="shared" si="0"/>
        <v>|^|白|青|黒|赤|緑|クリーチャー|呪文|サポート|</v>
      </c>
      <c r="C4" t="s">
        <v>3</v>
      </c>
      <c r="D4" t="s">
        <v>583</v>
      </c>
      <c r="E4" t="s">
        <v>3</v>
      </c>
      <c r="F4" t="s">
        <v>11</v>
      </c>
      <c r="G4" t="s">
        <v>3</v>
      </c>
      <c r="H4" t="s">
        <v>12</v>
      </c>
      <c r="I4" t="s">
        <v>3</v>
      </c>
      <c r="J4" t="s">
        <v>13</v>
      </c>
      <c r="K4" t="s">
        <v>3</v>
      </c>
      <c r="L4" t="s">
        <v>14</v>
      </c>
      <c r="M4" t="s">
        <v>3</v>
      </c>
      <c r="N4" t="s">
        <v>15</v>
      </c>
      <c r="O4" t="s">
        <v>3</v>
      </c>
      <c r="P4" t="s">
        <v>20</v>
      </c>
      <c r="Q4" t="s">
        <v>3</v>
      </c>
      <c r="R4" t="s">
        <v>21</v>
      </c>
      <c r="S4" t="s">
        <v>3</v>
      </c>
      <c r="T4" t="s">
        <v>22</v>
      </c>
      <c r="U4" t="s">
        <v>3</v>
      </c>
    </row>
    <row r="5" spans="1:23" x14ac:dyDescent="0.15">
      <c r="A5" t="str">
        <f t="shared" si="0"/>
        <v>|115|-2|4|5|3|-1|5|5|5|</v>
      </c>
      <c r="C5" t="s">
        <v>3</v>
      </c>
      <c r="D5">
        <f>VLOOKUP(MAX(D61:D89),D61:F89,3,TRUE)</f>
        <v>115</v>
      </c>
      <c r="E5" t="s">
        <v>3</v>
      </c>
      <c r="F5">
        <f>VLOOKUP(MAX($D$95:$D$105),$D$95:$P$105,5,TRUE)</f>
        <v>-2</v>
      </c>
      <c r="G5" t="s">
        <v>3</v>
      </c>
      <c r="H5">
        <f>VLOOKUP(MAX($D$95:$D$105),$D$95:$P$105,7,TRUE)</f>
        <v>4</v>
      </c>
      <c r="I5" t="s">
        <v>3</v>
      </c>
      <c r="J5">
        <f>VLOOKUP(MAX($D$95:$D$105),$D$95:$P$105,9,TRUE)</f>
        <v>5</v>
      </c>
      <c r="K5" t="s">
        <v>3</v>
      </c>
      <c r="L5">
        <f>VLOOKUP(MAX($D$95:$D$105),$D$95:$P$105,11,TRUE)</f>
        <v>3</v>
      </c>
      <c r="M5" t="s">
        <v>3</v>
      </c>
      <c r="N5">
        <f>VLOOKUP(MAX($D$95:$D$105),$D$95:$P$105,13,TRUE)</f>
        <v>-1</v>
      </c>
      <c r="O5" t="s">
        <v>3</v>
      </c>
      <c r="P5">
        <f>VLOOKUP(MAX($D$112:$D$117),$D$112:$L$117,5,TRUE)</f>
        <v>5</v>
      </c>
      <c r="Q5" t="s">
        <v>3</v>
      </c>
      <c r="R5">
        <f>VLOOKUP(MAX($D$112:$D$117),$D$112:$L$117,7,TRUE)</f>
        <v>5</v>
      </c>
      <c r="S5" t="s">
        <v>3</v>
      </c>
      <c r="T5">
        <f>VLOOKUP(MAX($D$112:$D$117),$D$112:$L$117,9,TRUE)</f>
        <v>5</v>
      </c>
      <c r="U5" t="s">
        <v>3</v>
      </c>
    </row>
    <row r="6" spans="1:23" x14ac:dyDescent="0.15">
      <c r="A6" t="str">
        <f t="shared" si="0"/>
        <v>||&gt;|&gt;|&gt;|&gt;|&gt;|&gt;|PW能力|コスト|</v>
      </c>
      <c r="C6" t="s">
        <v>3</v>
      </c>
      <c r="E6" t="s">
        <v>3</v>
      </c>
      <c r="F6" t="s">
        <v>209</v>
      </c>
      <c r="G6" t="s">
        <v>3</v>
      </c>
      <c r="H6" t="s">
        <v>209</v>
      </c>
      <c r="I6" t="s">
        <v>3</v>
      </c>
      <c r="J6" t="s">
        <v>209</v>
      </c>
      <c r="K6" t="s">
        <v>3</v>
      </c>
      <c r="L6" t="s">
        <v>209</v>
      </c>
      <c r="M6" t="s">
        <v>3</v>
      </c>
      <c r="N6" t="s">
        <v>209</v>
      </c>
      <c r="O6" t="s">
        <v>3</v>
      </c>
      <c r="P6" t="s">
        <v>209</v>
      </c>
      <c r="Q6" t="s">
        <v>3</v>
      </c>
      <c r="R6" t="s">
        <v>584</v>
      </c>
      <c r="S6" t="s">
        <v>3</v>
      </c>
      <c r="T6" t="s">
        <v>28</v>
      </c>
      <c r="U6" t="s">
        <v>3</v>
      </c>
    </row>
    <row r="7" spans="1:23" x14ac:dyDescent="0.15">
      <c r="A7" t="str">
        <f t="shared" si="0"/>
        <v>|第1能力|&gt;|&gt;|&gt;|&gt;|&gt;|&gt;|選定/Anoint |6|</v>
      </c>
      <c r="C7" t="s">
        <v>3</v>
      </c>
      <c r="D7" t="s">
        <v>585</v>
      </c>
      <c r="E7" t="s">
        <v>3</v>
      </c>
      <c r="F7" t="s">
        <v>209</v>
      </c>
      <c r="G7" t="s">
        <v>3</v>
      </c>
      <c r="H7" t="s">
        <v>209</v>
      </c>
      <c r="I7" t="s">
        <v>3</v>
      </c>
      <c r="J7" t="s">
        <v>209</v>
      </c>
      <c r="K7" t="s">
        <v>3</v>
      </c>
      <c r="L7" t="s">
        <v>209</v>
      </c>
      <c r="M7" t="s">
        <v>3</v>
      </c>
      <c r="N7" t="s">
        <v>209</v>
      </c>
      <c r="O7" t="s">
        <v>3</v>
      </c>
      <c r="P7" t="s">
        <v>209</v>
      </c>
      <c r="Q7" t="s">
        <v>3</v>
      </c>
      <c r="R7" t="str">
        <f>R121</f>
        <v>選定/Anoint </v>
      </c>
      <c r="S7" t="s">
        <v>3</v>
      </c>
      <c r="T7">
        <f>H127</f>
        <v>6</v>
      </c>
      <c r="U7" t="s">
        <v>3</v>
      </c>
    </row>
    <row r="8" spans="1:23" x14ac:dyDescent="0.15">
      <c r="A8" t="str">
        <f t="shared" si="0"/>
        <v>|&gt;|&gt;|&gt;|&gt;|&gt;|&gt;|&gt;|&gt;|あなたがコントロールするクリーチャー1体を破壊する。それを+3/+3の修整とゾンビを持った状態で戦場に戻す。|</v>
      </c>
      <c r="C8" t="s">
        <v>3</v>
      </c>
      <c r="D8" t="s">
        <v>209</v>
      </c>
      <c r="E8" t="s">
        <v>3</v>
      </c>
      <c r="F8" t="s">
        <v>209</v>
      </c>
      <c r="G8" t="s">
        <v>3</v>
      </c>
      <c r="H8" t="s">
        <v>209</v>
      </c>
      <c r="I8" t="s">
        <v>3</v>
      </c>
      <c r="J8" t="s">
        <v>209</v>
      </c>
      <c r="K8" t="s">
        <v>3</v>
      </c>
      <c r="L8" t="s">
        <v>209</v>
      </c>
      <c r="M8" t="s">
        <v>3</v>
      </c>
      <c r="N8" t="s">
        <v>209</v>
      </c>
      <c r="O8" t="s">
        <v>3</v>
      </c>
      <c r="P8" t="s">
        <v>209</v>
      </c>
      <c r="Q8" t="s">
        <v>3</v>
      </c>
      <c r="R8" t="s">
        <v>209</v>
      </c>
      <c r="S8" t="s">
        <v>3</v>
      </c>
      <c r="T8" t="str">
        <f>J127</f>
        <v>あなたがコントロールするクリーチャー1体を破壊する。それを+3/+3の修整とゾンビを持った状態で戦場に戻す。</v>
      </c>
      <c r="U8" t="s">
        <v>3</v>
      </c>
    </row>
    <row r="9" spans="1:23" x14ac:dyDescent="0.15">
      <c r="A9" t="str">
        <f t="shared" si="0"/>
        <v>|第2能力|&gt;|&gt;|&gt;|&gt;|&gt;|&gt;|ゾンビ蘇生/Raise Zombie|12|</v>
      </c>
      <c r="C9" t="s">
        <v>3</v>
      </c>
      <c r="D9" t="s">
        <v>587</v>
      </c>
      <c r="E9" t="s">
        <v>3</v>
      </c>
      <c r="F9" t="s">
        <v>209</v>
      </c>
      <c r="G9" t="s">
        <v>3</v>
      </c>
      <c r="H9" t="s">
        <v>209</v>
      </c>
      <c r="I9" t="s">
        <v>3</v>
      </c>
      <c r="J9" t="s">
        <v>209</v>
      </c>
      <c r="K9" t="s">
        <v>3</v>
      </c>
      <c r="L9" t="s">
        <v>209</v>
      </c>
      <c r="M9" t="s">
        <v>3</v>
      </c>
      <c r="N9" t="s">
        <v>209</v>
      </c>
      <c r="O9" t="s">
        <v>3</v>
      </c>
      <c r="P9" t="s">
        <v>209</v>
      </c>
      <c r="Q9" t="s">
        <v>3</v>
      </c>
      <c r="R9" t="str">
        <f>R130</f>
        <v>ゾンビ蘇生/Raise Zombie</v>
      </c>
      <c r="S9" t="s">
        <v>3</v>
      </c>
      <c r="T9">
        <f>H136</f>
        <v>12</v>
      </c>
      <c r="U9" t="s">
        <v>3</v>
      </c>
    </row>
    <row r="10" spans="1:23" x14ac:dyDescent="0.15">
      <c r="A10" t="str">
        <f t="shared" si="0"/>
        <v>|&gt;|&gt;|&gt;|&gt;|&gt;|&gt;|&gt;|&gt;|あなたがコントロールしていて最後に破壊されたゾンビを戦場に戻す。それは+6/+6の修整を受ける。|</v>
      </c>
      <c r="C10" t="s">
        <v>3</v>
      </c>
      <c r="D10" t="s">
        <v>209</v>
      </c>
      <c r="E10" t="s">
        <v>3</v>
      </c>
      <c r="F10" t="s">
        <v>209</v>
      </c>
      <c r="G10" t="s">
        <v>3</v>
      </c>
      <c r="H10" t="s">
        <v>209</v>
      </c>
      <c r="I10" t="s">
        <v>3</v>
      </c>
      <c r="J10" t="s">
        <v>209</v>
      </c>
      <c r="K10" t="s">
        <v>3</v>
      </c>
      <c r="L10" t="s">
        <v>209</v>
      </c>
      <c r="M10" t="s">
        <v>3</v>
      </c>
      <c r="N10" t="s">
        <v>209</v>
      </c>
      <c r="O10" t="s">
        <v>3</v>
      </c>
      <c r="P10" t="s">
        <v>209</v>
      </c>
      <c r="Q10" t="s">
        <v>3</v>
      </c>
      <c r="R10" t="s">
        <v>209</v>
      </c>
      <c r="S10" t="s">
        <v>3</v>
      </c>
      <c r="T10" t="str">
        <f>J136</f>
        <v>あなたがコントロールしていて最後に破壊されたゾンビを戦場に戻す。それは+6/+6の修整を受ける。</v>
      </c>
      <c r="U10" t="s">
        <v>3</v>
      </c>
    </row>
    <row r="11" spans="1:23" x14ac:dyDescent="0.15">
      <c r="A11" t="str">
        <f t="shared" si="0"/>
        <v>|第3能力|&gt;|&gt;|&gt;|&gt;|&gt;|&gt;|大群/Horde |15|</v>
      </c>
      <c r="C11" t="s">
        <v>3</v>
      </c>
      <c r="D11" t="s">
        <v>590</v>
      </c>
      <c r="E11" t="s">
        <v>3</v>
      </c>
      <c r="F11" t="s">
        <v>209</v>
      </c>
      <c r="G11" t="s">
        <v>3</v>
      </c>
      <c r="H11" t="s">
        <v>209</v>
      </c>
      <c r="I11" t="s">
        <v>3</v>
      </c>
      <c r="J11" t="s">
        <v>209</v>
      </c>
      <c r="K11" t="s">
        <v>3</v>
      </c>
      <c r="L11" t="s">
        <v>209</v>
      </c>
      <c r="M11" t="s">
        <v>3</v>
      </c>
      <c r="N11" t="s">
        <v>209</v>
      </c>
      <c r="O11" t="s">
        <v>3</v>
      </c>
      <c r="P11" t="s">
        <v>209</v>
      </c>
      <c r="Q11" t="s">
        <v>3</v>
      </c>
      <c r="R11" t="str">
        <f>R139</f>
        <v>大群/Horde </v>
      </c>
      <c r="S11" t="s">
        <v>3</v>
      </c>
      <c r="T11">
        <f>H145</f>
        <v>15</v>
      </c>
      <c r="U11" t="s">
        <v>3</v>
      </c>
    </row>
    <row r="12" spans="1:23" x14ac:dyDescent="0.15">
      <c r="A12" t="str">
        <f t="shared" si="0"/>
        <v>|&gt;|&gt;|&gt;|&gt;|&gt;|&gt;|&gt;|&gt;|「ゾンビ1体が戦場に出るたび、対戦相手は4点のダメージを受ける」という能力を持つサポート(シールド値3)トークンをボード上に生成する。それは強化されない。|</v>
      </c>
      <c r="C12" t="s">
        <v>3</v>
      </c>
      <c r="D12" t="s">
        <v>209</v>
      </c>
      <c r="E12" t="s">
        <v>3</v>
      </c>
      <c r="F12" t="s">
        <v>209</v>
      </c>
      <c r="G12" t="s">
        <v>3</v>
      </c>
      <c r="H12" t="s">
        <v>209</v>
      </c>
      <c r="I12" t="s">
        <v>3</v>
      </c>
      <c r="J12" t="s">
        <v>209</v>
      </c>
      <c r="K12" t="s">
        <v>3</v>
      </c>
      <c r="L12" t="s">
        <v>209</v>
      </c>
      <c r="M12" t="s">
        <v>3</v>
      </c>
      <c r="N12" t="s">
        <v>209</v>
      </c>
      <c r="O12" t="s">
        <v>3</v>
      </c>
      <c r="P12" t="s">
        <v>209</v>
      </c>
      <c r="Q12" t="s">
        <v>3</v>
      </c>
      <c r="R12" t="s">
        <v>209</v>
      </c>
      <c r="S12" t="s">
        <v>3</v>
      </c>
      <c r="T12" t="str">
        <f>J145</f>
        <v>「ゾンビ1体が戦場に出るたび、対戦相手は4点のダメージを受ける」という能力を持つサポート(シールド値3)トークンをボード上に生成する。それは強化されない。</v>
      </c>
      <c r="U12" t="s">
        <v>3</v>
      </c>
    </row>
    <row r="13" spans="1:23" x14ac:dyDescent="0.15">
      <c r="A13" t="str">
        <f t="shared" si="0"/>
        <v/>
      </c>
    </row>
    <row r="14" spans="1:23" x14ac:dyDescent="0.15">
      <c r="A14" t="str">
        <f t="shared" ref="A14:A55" si="1">B14&amp;C14&amp;D14&amp;E14&amp;F14&amp;G14&amp;H14&amp;I14&amp;J14&amp;K14&amp;L14&amp;M14&amp;N14&amp;O14&amp;P14&amp;Q14&amp;R14&amp;S14&amp;T14&amp;U14</f>
        <v>*評価</v>
      </c>
      <c r="B14" t="s">
        <v>592</v>
      </c>
      <c r="C14" t="s">
        <v>593</v>
      </c>
    </row>
    <row r="15" spans="1:23" x14ac:dyDescent="0.15">
      <c r="A15" t="str">
        <f t="shared" si="1"/>
        <v>・HPは平均以上</v>
      </c>
      <c r="B15" t="s">
        <v>594</v>
      </c>
      <c r="C15" s="8" t="s">
        <v>653</v>
      </c>
      <c r="D15" t="str">
        <f>IF(D5&gt;110,"以上",IF(D5&gt;104,"","以下"))</f>
        <v>以上</v>
      </c>
    </row>
    <row r="16" spans="1:23" x14ac:dyDescent="0.15">
      <c r="A16" t="str">
        <f t="shared" si="1"/>
        <v>・マナボーナス合計は+9。平均以上。</v>
      </c>
      <c r="B16" t="s">
        <v>594</v>
      </c>
      <c r="C16" t="s">
        <v>595</v>
      </c>
      <c r="D16">
        <f>SUM(F5:N5)</f>
        <v>9</v>
      </c>
      <c r="E16" t="s">
        <v>596</v>
      </c>
      <c r="F16" t="s">
        <v>597</v>
      </c>
      <c r="G16" t="str">
        <f>IF(D16&gt;8,"以上",IF(D16&gt;6,"","以下"))</f>
        <v>以上</v>
      </c>
      <c r="H16" t="s">
        <v>596</v>
      </c>
    </row>
    <row r="17" spans="1:7" x14ac:dyDescent="0.15">
      <c r="A17" t="str">
        <f t="shared" si="1"/>
        <v>・3つ目のリリアナ。[[最後の望み、リリアナ]]同様にゾンビシナジーを持つ。ただこちらはゾンビを1枚も入れずとも全てのPW能力が噛み合うようになっている。</v>
      </c>
      <c r="B17" t="s">
        <v>594</v>
      </c>
      <c r="C17" s="8" t="s">
        <v>740</v>
      </c>
    </row>
    <row r="18" spans="1:7" x14ac:dyDescent="0.15">
      <c r="A18" t="str">
        <f t="shared" si="1"/>
        <v>・第1能力で戦場に戻したクリーチャーは、以降どの領域に移動してもクリーチャータイプ・ゾンビを保有し続ける。その他細かい仕様は本ページ下部個別項目にて解説。</v>
      </c>
      <c r="B18" t="s">
        <v>594</v>
      </c>
      <c r="C18" s="8" t="s">
        <v>753</v>
      </c>
    </row>
    <row r="19" spans="1:7" x14ac:dyDescent="0.15">
      <c r="A19" t="str">
        <f t="shared" si="1"/>
        <v>・</v>
      </c>
      <c r="B19" t="s">
        <v>594</v>
      </c>
    </row>
    <row r="20" spans="1:7" x14ac:dyDescent="0.15">
      <c r="A20" t="str">
        <f t="shared" si="1"/>
        <v/>
      </c>
    </row>
    <row r="21" spans="1:7" x14ac:dyDescent="0.15">
      <c r="A21" t="str">
        <f t="shared" si="1"/>
        <v>*採用候補</v>
      </c>
      <c r="B21" s="8" t="s">
        <v>652</v>
      </c>
    </row>
    <row r="22" spans="1:7" x14ac:dyDescent="0.15">
      <c r="A22" t="str">
        <f t="shared" si="1"/>
        <v>・色が合えば採用候補レベルのものではなく、PWに合った採用候補を紹介</v>
      </c>
      <c r="B22" t="s">
        <v>645</v>
      </c>
    </row>
    <row r="23" spans="1:7" x14ac:dyDescent="0.15">
      <c r="A23" t="str">
        <f t="shared" si="1"/>
        <v/>
      </c>
    </row>
    <row r="24" spans="1:7" x14ac:dyDescent="0.15">
      <c r="A24" t="str">
        <f t="shared" si="1"/>
        <v>**スタンダード</v>
      </c>
      <c r="B24" s="8" t="s">
        <v>650</v>
      </c>
    </row>
    <row r="25" spans="1:7" x14ac:dyDescent="0.15">
      <c r="A25" t="str">
        <f t="shared" si="1"/>
        <v>スタンダード(ORI/KLD/AKH/HOU期)</v>
      </c>
      <c r="B25" t="s">
        <v>646</v>
      </c>
    </row>
    <row r="26" spans="1:7" x14ac:dyDescent="0.15">
      <c r="A26" t="str">
        <f t="shared" si="1"/>
        <v>&amp;link_anchor(Trigger_CIP,page=能力){CIP能力}を持つクリーチャー全般：第1能力との相性が良い。改めて戦場に出るため、CIP能力を使いまわせる。</v>
      </c>
      <c r="B26" s="8" t="s">
        <v>760</v>
      </c>
    </row>
    <row r="27" spans="1:7" x14ac:dyDescent="0.15">
      <c r="A27" t="str">
        <f t="shared" si="1"/>
        <v>&amp;link_anchor(Trigger_Die,page=能力){死亡誘発}を持つクリーチャー全般：第1能力との相性が良い。死亡→戦場に出るをするため、能動的に死亡誘発を行わせることができる。</v>
      </c>
      <c r="B27" s="8" t="s">
        <v>761</v>
      </c>
    </row>
    <row r="28" spans="1:7" x14ac:dyDescent="0.15">
      <c r="A28" t="str">
        <f t="shared" si="1"/>
        <v>《[[残酷な蘇生]]》[ORI]：第1能力との相性が良い。本ページ下部の項目でも解説しているが、第1能力でゾンビを持たせたクリーチャーが死亡した場合、このカードで戻すことが可能となる。</v>
      </c>
      <c r="B28" s="8" t="s">
        <v>718</v>
      </c>
      <c r="C28" s="8" t="s">
        <v>758</v>
      </c>
      <c r="D28" t="s">
        <v>719</v>
      </c>
      <c r="E28" s="8" t="s">
        <v>716</v>
      </c>
      <c r="F28" t="s">
        <v>713</v>
      </c>
      <c r="G28" s="8" t="s">
        <v>759</v>
      </c>
    </row>
    <row r="29" spans="1:7" x14ac:dyDescent="0.15">
      <c r="A29" t="str">
        <f t="shared" si="1"/>
        <v>《[[むら気な召使い]]》[AKH]：ゾンビシナジーの中でもPW能力のどれにでも相性が良い。</v>
      </c>
      <c r="B29" s="8" t="s">
        <v>718</v>
      </c>
      <c r="C29" t="s">
        <v>762</v>
      </c>
      <c r="D29" t="s">
        <v>719</v>
      </c>
      <c r="E29" s="8" t="s">
        <v>715</v>
      </c>
      <c r="F29" t="s">
        <v>713</v>
      </c>
      <c r="G29" s="8" t="s">
        <v>763</v>
      </c>
    </row>
    <row r="30" spans="1:7" x14ac:dyDescent="0.15">
      <c r="A30" t="str">
        <f t="shared" si="1"/>
        <v/>
      </c>
    </row>
    <row r="31" spans="1:7" x14ac:dyDescent="0.15">
      <c r="A31" t="str">
        <f t="shared" si="1"/>
        <v/>
      </c>
    </row>
    <row r="32" spans="1:7" x14ac:dyDescent="0.15">
      <c r="A32" t="str">
        <f t="shared" si="1"/>
        <v>**レガシー</v>
      </c>
      <c r="B32" s="8" t="s">
        <v>651</v>
      </c>
    </row>
    <row r="33" spans="1:6" x14ac:dyDescent="0.15">
      <c r="A33" t="str">
        <f t="shared" si="1"/>
        <v>《[[]]》[]：</v>
      </c>
      <c r="B33" s="8" t="s">
        <v>718</v>
      </c>
      <c r="D33" t="s">
        <v>719</v>
      </c>
      <c r="E33" s="8"/>
      <c r="F33" t="s">
        <v>713</v>
      </c>
    </row>
    <row r="34" spans="1:6" x14ac:dyDescent="0.15">
      <c r="A34" t="str">
        <f t="shared" si="1"/>
        <v>《[[]]》[]：</v>
      </c>
      <c r="B34" s="8" t="s">
        <v>718</v>
      </c>
      <c r="D34" t="s">
        <v>719</v>
      </c>
      <c r="E34" s="8"/>
      <c r="F34" t="s">
        <v>713</v>
      </c>
    </row>
    <row r="35" spans="1:6" x14ac:dyDescent="0.15">
      <c r="B35" s="8"/>
      <c r="E35" s="8"/>
    </row>
    <row r="36" spans="1:6" x14ac:dyDescent="0.15">
      <c r="B36" s="8"/>
      <c r="E36" s="8"/>
    </row>
    <row r="37" spans="1:6" x14ac:dyDescent="0.15">
      <c r="A37" t="str">
        <f>B37&amp;C37&amp;D37&amp;E37&amp;F37&amp;G37&amp;H37&amp;I37&amp;J37&amp;K37&amp;L37&amp;M37&amp;N37&amp;O37&amp;P37&amp;Q37&amp;R37&amp;S37&amp;T37&amp;U37</f>
        <v>**第1能力：選定の仕様</v>
      </c>
      <c r="B37" s="8" t="s">
        <v>741</v>
      </c>
    </row>
    <row r="38" spans="1:6" x14ac:dyDescent="0.15">
      <c r="A38" t="str">
        <f>B38&amp;C38&amp;D38&amp;E38&amp;F38&amp;G38&amp;H38&amp;I38&amp;J38&amp;K38&amp;L38&amp;M38&amp;N38&amp;O38&amp;P38&amp;Q38&amp;R38&amp;S38&amp;T38&amp;U38</f>
        <v>当項目では第1能力によって戦場に出たクリーチャーの事を「戻されたクリーチャー」と定義する。また前提として、ゾンビ出ないクリーチャーを第1能力の対象にした場合の話とする。</v>
      </c>
      <c r="B38" s="8" t="s">
        <v>751</v>
      </c>
    </row>
    <row r="39" spans="1:6" x14ac:dyDescent="0.15">
      <c r="B39" s="8"/>
    </row>
    <row r="40" spans="1:6" x14ac:dyDescent="0.15">
      <c r="A40" t="str">
        <f t="shared" ref="A40:A53" si="2">B40&amp;C40&amp;D40&amp;E40&amp;F40&amp;G40&amp;H40&amp;I40&amp;J40&amp;K40&amp;L40&amp;M40&amp;N40&amp;O40&amp;P40&amp;Q40&amp;R40&amp;S40&amp;T40&amp;U40</f>
        <v>***戻されたクリーチャーのクリーチャータイプ</v>
      </c>
      <c r="B40" s="8" t="s">
        <v>742</v>
      </c>
    </row>
    <row r="41" spans="1:6" x14ac:dyDescent="0.15">
      <c r="A41" t="str">
        <f t="shared" si="2"/>
        <v>・戻されたクリーチャーは、クリーチャータイプ・ゾンビを保有した状態で戦場に出る。そのため、「ゾンビが戦場に出たとき」の誘発条件を持つ誘発型能力は誘発する。</v>
      </c>
      <c r="B41" s="8" t="s">
        <v>744</v>
      </c>
    </row>
    <row r="42" spans="1:6" x14ac:dyDescent="0.15">
      <c r="A42" t="str">
        <f t="shared" si="2"/>
        <v>・戻されたクリーチャーが戦場以外の領域(手札や墓地)に移動した場合、それはクリーチャータイプ・ゾンビを保有を保有した状態で領域移動を行う。</v>
      </c>
      <c r="B42" s="8" t="s">
        <v>745</v>
      </c>
    </row>
    <row r="43" spans="1:6" x14ac:dyDescent="0.15">
      <c r="A43" t="str">
        <f t="shared" si="2"/>
        <v>・上記の仕様により、戻されたクリーチャーが墓地に移動したら、《[[残酷な蘇生]]》の対象になる。戻されたクリーチャーが手札に戻されたら、次にそのクリーチャーカードを唱える時は「ゾンビ・クリーチャー(もちろん他のタイプを保有したまま)を唱えた」事となる。</v>
      </c>
      <c r="B43" s="8" t="s">
        <v>746</v>
      </c>
    </row>
    <row r="44" spans="1:6" x14ac:dyDescent="0.15">
      <c r="A44" t="str">
        <f t="shared" si="2"/>
        <v/>
      </c>
      <c r="B44" s="8"/>
    </row>
    <row r="45" spans="1:6" x14ac:dyDescent="0.15">
      <c r="A45" t="str">
        <f t="shared" si="2"/>
        <v>***戻されたクリーチャーの補強</v>
      </c>
      <c r="B45" s="8" t="s">
        <v>747</v>
      </c>
    </row>
    <row r="46" spans="1:6" x14ac:dyDescent="0.15">
      <c r="A46" t="str">
        <f t="shared" si="2"/>
        <v>・戻されたクリーチャーと同名のカードが戦場で永続コントロールされている場合、それはクリーチャータイプが異なっていても補強される。</v>
      </c>
      <c r="B46" s="8" t="s">
        <v>748</v>
      </c>
    </row>
    <row r="47" spans="1:6" x14ac:dyDescent="0.15">
      <c r="A47" t="str">
        <f t="shared" si="2"/>
        <v>・補強後のクリーチャータイプは、補強元のクリーチャータイプに依存する。</v>
      </c>
      <c r="B47" s="8" t="s">
        <v>749</v>
      </c>
    </row>
    <row r="48" spans="1:6" x14ac:dyDescent="0.15">
      <c r="A48" t="str">
        <f t="shared" si="2"/>
        <v>｜→戦場に通常のクリーチャーがいる状態で第1能力を使用した場合、それはゾンビを持たない。</v>
      </c>
      <c r="B48" s="8" t="s">
        <v>750</v>
      </c>
      <c r="C48" s="8" t="s">
        <v>752</v>
      </c>
    </row>
    <row r="49" spans="1:8" x14ac:dyDescent="0.15">
      <c r="A49" t="str">
        <f t="shared" si="2"/>
        <v>｜→戦場に戻されたクリーチャーがいる状態で通常のクリーチャーを唱えた場合、それはゾンビを持つ。</v>
      </c>
      <c r="B49" s="8" t="s">
        <v>750</v>
      </c>
      <c r="C49" s="8" t="s">
        <v>754</v>
      </c>
    </row>
    <row r="50" spans="1:8" x14ac:dyDescent="0.15">
      <c r="A50" t="str">
        <f t="shared" si="2"/>
        <v>・&amp;link_anchor(Trigger_CIP,page=能力){CIP能力}の誘発条件は補強元のクリーチャータイプに依存する。</v>
      </c>
      <c r="B50" s="8" t="s">
        <v>743</v>
      </c>
      <c r="C50" s="8" t="s">
        <v>755</v>
      </c>
    </row>
    <row r="51" spans="1:8" x14ac:dyDescent="0.15">
      <c r="A51" t="str">
        <f t="shared" si="2"/>
        <v>｜→戦場に通常のクリーチャーがいる状態で第1能力を使用した場合、それは「ゾンビが戦場に出たとき」の誘発条件を持つ誘発型能力は誘発しない。</v>
      </c>
      <c r="B51" s="8" t="s">
        <v>750</v>
      </c>
      <c r="C51" s="8" t="s">
        <v>756</v>
      </c>
    </row>
    <row r="52" spans="1:8" x14ac:dyDescent="0.15">
      <c r="A52" t="str">
        <f t="shared" si="2"/>
        <v>｜→戦場に戻されたクリーチャーがいる状態で通常のクリーチャーを唱えた場合、それは「ゾンビが戦場に出たとき」の誘発条件を持つ誘発型能力は誘発する。</v>
      </c>
      <c r="B52" s="8" t="s">
        <v>750</v>
      </c>
      <c r="C52" s="8" t="s">
        <v>757</v>
      </c>
    </row>
    <row r="53" spans="1:8" x14ac:dyDescent="0.15">
      <c r="A53" t="str">
        <f t="shared" si="2"/>
        <v/>
      </c>
      <c r="B53" s="8"/>
    </row>
    <row r="54" spans="1:8" x14ac:dyDescent="0.15">
      <c r="A54" t="str">
        <f t="shared" si="1"/>
        <v/>
      </c>
    </row>
    <row r="55" spans="1:8" x14ac:dyDescent="0.15">
      <c r="A55" t="str">
        <f t="shared" si="1"/>
        <v>#region(close,text=Lv60までの詳細データ)</v>
      </c>
      <c r="B55" t="s">
        <v>598</v>
      </c>
    </row>
    <row r="56" spans="1:8" x14ac:dyDescent="0.15">
      <c r="A56" t="str">
        <f>B56&amp;C56&amp;D56&amp;E56&amp;F56&amp;G56&amp;H56&amp;I56&amp;J56&amp;K56&amp;L56&amp;M56&amp;N56&amp;O56&amp;P56</f>
        <v/>
      </c>
    </row>
    <row r="57" spans="1:8" x14ac:dyDescent="0.15">
      <c r="A57" t="str">
        <f>B57&amp;C57&amp;D57&amp;E57&amp;F57&amp;G57&amp;H57&amp;I57&amp;J57&amp;K57&amp;L57&amp;M57&amp;N57&amp;O57&amp;P57</f>
        <v>&amp;br;</v>
      </c>
      <c r="B57" t="s">
        <v>0</v>
      </c>
    </row>
    <row r="58" spans="1:8" x14ac:dyDescent="0.15">
      <c r="A58" t="str">
        <f>B58&amp;C58&amp;D58&amp;E58&amp;F58&amp;G58&amp;H58&amp;I58&amp;J58&amp;K58&amp;L58&amp;M58&amp;N58&amp;O58&amp;P58</f>
        <v>*HP</v>
      </c>
      <c r="B58" s="8" t="s">
        <v>644</v>
      </c>
    </row>
    <row r="59" spans="1:8" x14ac:dyDescent="0.15">
      <c r="A59" t="str">
        <f>B59&amp;C59&amp;D59&amp;E59&amp;F59&amp;G59&amp;H59</f>
        <v>|LEFT:50|LEFT:50|c</v>
      </c>
      <c r="B59" t="s">
        <v>3</v>
      </c>
      <c r="C59" t="s">
        <v>4</v>
      </c>
      <c r="E59" t="s">
        <v>3</v>
      </c>
      <c r="F59" t="s">
        <v>4</v>
      </c>
      <c r="G59" t="s">
        <v>3</v>
      </c>
      <c r="H59" t="s">
        <v>5</v>
      </c>
    </row>
    <row r="60" spans="1:8" x14ac:dyDescent="0.15">
      <c r="A60" t="str">
        <f t="shared" ref="A60:A89" si="3">B60&amp;C60&amp;D60&amp;E60&amp;F60&amp;G60&amp;H60</f>
        <v>|レベル|HP|</v>
      </c>
      <c r="B60" t="s">
        <v>3</v>
      </c>
      <c r="C60" t="s">
        <v>6</v>
      </c>
      <c r="E60" t="s">
        <v>3</v>
      </c>
      <c r="F60" t="s">
        <v>7</v>
      </c>
      <c r="G60" t="s">
        <v>3</v>
      </c>
    </row>
    <row r="61" spans="1:8" x14ac:dyDescent="0.15">
      <c r="A61" t="str">
        <f t="shared" si="3"/>
        <v>|Lv1|45|</v>
      </c>
      <c r="B61" t="s">
        <v>3</v>
      </c>
      <c r="C61" t="s">
        <v>8</v>
      </c>
      <c r="D61">
        <v>1</v>
      </c>
      <c r="E61" t="s">
        <v>3</v>
      </c>
      <c r="F61">
        <f>B225</f>
        <v>45</v>
      </c>
      <c r="G61" t="s">
        <v>3</v>
      </c>
    </row>
    <row r="62" spans="1:8" x14ac:dyDescent="0.15">
      <c r="A62" t="str">
        <f t="shared" si="3"/>
        <v>|Lv3|48|</v>
      </c>
      <c r="B62" t="s">
        <v>3</v>
      </c>
      <c r="C62" t="s">
        <v>8</v>
      </c>
      <c r="D62">
        <v>3</v>
      </c>
      <c r="E62" t="s">
        <v>3</v>
      </c>
      <c r="F62">
        <f t="shared" ref="F62:F89" si="4">IF(ISBLANK(D62),"",F61+INDEX($H$150:$H$209,D62))</f>
        <v>48</v>
      </c>
      <c r="G62" t="s">
        <v>3</v>
      </c>
    </row>
    <row r="63" spans="1:8" x14ac:dyDescent="0.15">
      <c r="A63" t="str">
        <f t="shared" si="3"/>
        <v>|Lv5|50|</v>
      </c>
      <c r="B63" t="s">
        <v>3</v>
      </c>
      <c r="C63" t="s">
        <v>8</v>
      </c>
      <c r="D63">
        <v>5</v>
      </c>
      <c r="E63" t="s">
        <v>3</v>
      </c>
      <c r="F63">
        <f t="shared" si="4"/>
        <v>50</v>
      </c>
      <c r="G63" t="s">
        <v>3</v>
      </c>
    </row>
    <row r="64" spans="1:8" x14ac:dyDescent="0.15">
      <c r="A64" t="str">
        <f t="shared" si="3"/>
        <v>|Lv7|53|</v>
      </c>
      <c r="B64" t="s">
        <v>3</v>
      </c>
      <c r="C64" t="s">
        <v>8</v>
      </c>
      <c r="D64">
        <v>7</v>
      </c>
      <c r="E64" t="s">
        <v>3</v>
      </c>
      <c r="F64">
        <f t="shared" si="4"/>
        <v>53</v>
      </c>
      <c r="G64" t="s">
        <v>3</v>
      </c>
    </row>
    <row r="65" spans="1:7" x14ac:dyDescent="0.15">
      <c r="A65" t="str">
        <f t="shared" si="3"/>
        <v>|Lv9|55|</v>
      </c>
      <c r="B65" t="s">
        <v>3</v>
      </c>
      <c r="C65" t="s">
        <v>8</v>
      </c>
      <c r="D65">
        <v>9</v>
      </c>
      <c r="E65" t="s">
        <v>3</v>
      </c>
      <c r="F65">
        <f t="shared" si="4"/>
        <v>55</v>
      </c>
      <c r="G65" t="s">
        <v>3</v>
      </c>
    </row>
    <row r="66" spans="1:7" x14ac:dyDescent="0.15">
      <c r="A66" t="str">
        <f t="shared" si="3"/>
        <v>|Lv11|58|</v>
      </c>
      <c r="B66" t="s">
        <v>3</v>
      </c>
      <c r="C66" t="s">
        <v>8</v>
      </c>
      <c r="D66">
        <v>11</v>
      </c>
      <c r="E66" t="s">
        <v>3</v>
      </c>
      <c r="F66">
        <f t="shared" si="4"/>
        <v>58</v>
      </c>
      <c r="G66" t="s">
        <v>3</v>
      </c>
    </row>
    <row r="67" spans="1:7" x14ac:dyDescent="0.15">
      <c r="A67" t="str">
        <f t="shared" si="3"/>
        <v>|Lv13|60|</v>
      </c>
      <c r="B67" t="s">
        <v>3</v>
      </c>
      <c r="C67" t="s">
        <v>8</v>
      </c>
      <c r="D67">
        <v>13</v>
      </c>
      <c r="E67" t="s">
        <v>3</v>
      </c>
      <c r="F67">
        <f t="shared" si="4"/>
        <v>60</v>
      </c>
      <c r="G67" t="s">
        <v>3</v>
      </c>
    </row>
    <row r="68" spans="1:7" x14ac:dyDescent="0.15">
      <c r="A68" t="str">
        <f t="shared" si="3"/>
        <v>|Lv15|63|</v>
      </c>
      <c r="B68" t="s">
        <v>3</v>
      </c>
      <c r="C68" t="s">
        <v>8</v>
      </c>
      <c r="D68">
        <v>15</v>
      </c>
      <c r="E68" t="s">
        <v>3</v>
      </c>
      <c r="F68">
        <f t="shared" si="4"/>
        <v>63</v>
      </c>
      <c r="G68" t="s">
        <v>3</v>
      </c>
    </row>
    <row r="69" spans="1:7" x14ac:dyDescent="0.15">
      <c r="A69" t="str">
        <f t="shared" si="3"/>
        <v>|Lv17|65|</v>
      </c>
      <c r="B69" t="s">
        <v>3</v>
      </c>
      <c r="C69" t="s">
        <v>8</v>
      </c>
      <c r="D69">
        <v>17</v>
      </c>
      <c r="E69" t="s">
        <v>3</v>
      </c>
      <c r="F69">
        <f t="shared" si="4"/>
        <v>65</v>
      </c>
      <c r="G69" t="s">
        <v>3</v>
      </c>
    </row>
    <row r="70" spans="1:7" x14ac:dyDescent="0.15">
      <c r="A70" t="str">
        <f t="shared" si="3"/>
        <v>|Lv19|68|</v>
      </c>
      <c r="B70" t="s">
        <v>3</v>
      </c>
      <c r="C70" t="s">
        <v>8</v>
      </c>
      <c r="D70">
        <v>19</v>
      </c>
      <c r="E70" t="s">
        <v>3</v>
      </c>
      <c r="F70">
        <f t="shared" si="4"/>
        <v>68</v>
      </c>
      <c r="G70" t="s">
        <v>3</v>
      </c>
    </row>
    <row r="71" spans="1:7" x14ac:dyDescent="0.15">
      <c r="A71" t="str">
        <f t="shared" si="3"/>
        <v>|Lv21|70|</v>
      </c>
      <c r="B71" t="s">
        <v>3</v>
      </c>
      <c r="C71" t="s">
        <v>8</v>
      </c>
      <c r="D71">
        <v>21</v>
      </c>
      <c r="E71" t="s">
        <v>3</v>
      </c>
      <c r="F71">
        <f t="shared" si="4"/>
        <v>70</v>
      </c>
      <c r="G71" t="s">
        <v>3</v>
      </c>
    </row>
    <row r="72" spans="1:7" x14ac:dyDescent="0.15">
      <c r="A72" t="str">
        <f t="shared" si="3"/>
        <v>|Lv23|73|</v>
      </c>
      <c r="B72" t="s">
        <v>3</v>
      </c>
      <c r="C72" t="s">
        <v>8</v>
      </c>
      <c r="D72">
        <v>23</v>
      </c>
      <c r="E72" t="s">
        <v>3</v>
      </c>
      <c r="F72">
        <f t="shared" si="4"/>
        <v>73</v>
      </c>
      <c r="G72" t="s">
        <v>3</v>
      </c>
    </row>
    <row r="73" spans="1:7" x14ac:dyDescent="0.15">
      <c r="A73" t="str">
        <f t="shared" si="3"/>
        <v>|Lv25|75|</v>
      </c>
      <c r="B73" t="s">
        <v>3</v>
      </c>
      <c r="C73" t="s">
        <v>8</v>
      </c>
      <c r="D73">
        <v>25</v>
      </c>
      <c r="E73" t="s">
        <v>3</v>
      </c>
      <c r="F73">
        <f t="shared" si="4"/>
        <v>75</v>
      </c>
      <c r="G73" t="s">
        <v>3</v>
      </c>
    </row>
    <row r="74" spans="1:7" x14ac:dyDescent="0.15">
      <c r="A74" t="str">
        <f t="shared" si="3"/>
        <v>|Lv27|78|</v>
      </c>
      <c r="B74" t="s">
        <v>3</v>
      </c>
      <c r="C74" t="s">
        <v>8</v>
      </c>
      <c r="D74">
        <v>27</v>
      </c>
      <c r="E74" t="s">
        <v>3</v>
      </c>
      <c r="F74">
        <f t="shared" si="4"/>
        <v>78</v>
      </c>
      <c r="G74" t="s">
        <v>3</v>
      </c>
    </row>
    <row r="75" spans="1:7" x14ac:dyDescent="0.15">
      <c r="A75" t="str">
        <f t="shared" si="3"/>
        <v>|Lv29|80|</v>
      </c>
      <c r="B75" t="s">
        <v>3</v>
      </c>
      <c r="C75" t="s">
        <v>8</v>
      </c>
      <c r="D75">
        <v>29</v>
      </c>
      <c r="E75" t="s">
        <v>3</v>
      </c>
      <c r="F75">
        <f t="shared" si="4"/>
        <v>80</v>
      </c>
      <c r="G75" t="s">
        <v>3</v>
      </c>
    </row>
    <row r="76" spans="1:7" x14ac:dyDescent="0.15">
      <c r="A76" t="str">
        <f t="shared" si="3"/>
        <v>|Lv31|83|</v>
      </c>
      <c r="B76" t="s">
        <v>3</v>
      </c>
      <c r="C76" t="s">
        <v>8</v>
      </c>
      <c r="D76">
        <v>31</v>
      </c>
      <c r="E76" t="s">
        <v>3</v>
      </c>
      <c r="F76">
        <f t="shared" si="4"/>
        <v>83</v>
      </c>
      <c r="G76" t="s">
        <v>3</v>
      </c>
    </row>
    <row r="77" spans="1:7" x14ac:dyDescent="0.15">
      <c r="A77" t="str">
        <f t="shared" si="3"/>
        <v>|Lv33|85|</v>
      </c>
      <c r="B77" t="s">
        <v>3</v>
      </c>
      <c r="C77" t="s">
        <v>8</v>
      </c>
      <c r="D77">
        <v>33</v>
      </c>
      <c r="E77" t="s">
        <v>3</v>
      </c>
      <c r="F77">
        <f t="shared" si="4"/>
        <v>85</v>
      </c>
      <c r="G77" t="s">
        <v>3</v>
      </c>
    </row>
    <row r="78" spans="1:7" x14ac:dyDescent="0.15">
      <c r="A78" t="str">
        <f t="shared" si="3"/>
        <v>|Lv35|88|</v>
      </c>
      <c r="B78" t="s">
        <v>3</v>
      </c>
      <c r="C78" t="s">
        <v>8</v>
      </c>
      <c r="D78">
        <v>35</v>
      </c>
      <c r="E78" t="s">
        <v>3</v>
      </c>
      <c r="F78">
        <f t="shared" si="4"/>
        <v>88</v>
      </c>
      <c r="G78" t="s">
        <v>3</v>
      </c>
    </row>
    <row r="79" spans="1:7" x14ac:dyDescent="0.15">
      <c r="A79" t="str">
        <f t="shared" si="3"/>
        <v>|Lv37|90|</v>
      </c>
      <c r="B79" t="s">
        <v>3</v>
      </c>
      <c r="C79" t="s">
        <v>8</v>
      </c>
      <c r="D79">
        <v>37</v>
      </c>
      <c r="E79" t="s">
        <v>3</v>
      </c>
      <c r="F79">
        <f t="shared" si="4"/>
        <v>90</v>
      </c>
      <c r="G79" t="s">
        <v>3</v>
      </c>
    </row>
    <row r="80" spans="1:7" x14ac:dyDescent="0.15">
      <c r="A80" t="str">
        <f t="shared" si="3"/>
        <v>|Lv39|93|</v>
      </c>
      <c r="B80" t="s">
        <v>3</v>
      </c>
      <c r="C80" t="s">
        <v>8</v>
      </c>
      <c r="D80">
        <v>39</v>
      </c>
      <c r="E80" t="s">
        <v>3</v>
      </c>
      <c r="F80">
        <f t="shared" si="4"/>
        <v>93</v>
      </c>
      <c r="G80" t="s">
        <v>3</v>
      </c>
    </row>
    <row r="81" spans="1:19" x14ac:dyDescent="0.15">
      <c r="A81" t="str">
        <f t="shared" si="3"/>
        <v>|Lv41|95|</v>
      </c>
      <c r="B81" t="s">
        <v>3</v>
      </c>
      <c r="C81" t="s">
        <v>8</v>
      </c>
      <c r="D81">
        <v>41</v>
      </c>
      <c r="E81" t="s">
        <v>3</v>
      </c>
      <c r="F81">
        <f t="shared" si="4"/>
        <v>95</v>
      </c>
      <c r="G81" t="s">
        <v>3</v>
      </c>
    </row>
    <row r="82" spans="1:19" x14ac:dyDescent="0.15">
      <c r="A82" t="str">
        <f t="shared" si="3"/>
        <v>|Lv43|98|</v>
      </c>
      <c r="B82" t="s">
        <v>3</v>
      </c>
      <c r="C82" t="s">
        <v>8</v>
      </c>
      <c r="D82">
        <v>43</v>
      </c>
      <c r="E82" t="s">
        <v>3</v>
      </c>
      <c r="F82">
        <f t="shared" si="4"/>
        <v>98</v>
      </c>
      <c r="G82" t="s">
        <v>3</v>
      </c>
    </row>
    <row r="83" spans="1:19" x14ac:dyDescent="0.15">
      <c r="A83" t="str">
        <f t="shared" si="3"/>
        <v>|Lv45|100|</v>
      </c>
      <c r="B83" t="s">
        <v>3</v>
      </c>
      <c r="C83" t="s">
        <v>8</v>
      </c>
      <c r="D83">
        <v>45</v>
      </c>
      <c r="E83" t="s">
        <v>3</v>
      </c>
      <c r="F83">
        <f t="shared" si="4"/>
        <v>100</v>
      </c>
      <c r="G83" t="s">
        <v>3</v>
      </c>
    </row>
    <row r="84" spans="1:19" x14ac:dyDescent="0.15">
      <c r="A84" t="str">
        <f t="shared" si="3"/>
        <v>|Lv47|103|</v>
      </c>
      <c r="B84" t="s">
        <v>3</v>
      </c>
      <c r="C84" t="s">
        <v>8</v>
      </c>
      <c r="D84">
        <v>47</v>
      </c>
      <c r="E84" t="s">
        <v>3</v>
      </c>
      <c r="F84">
        <f t="shared" si="4"/>
        <v>103</v>
      </c>
      <c r="G84" t="s">
        <v>3</v>
      </c>
    </row>
    <row r="85" spans="1:19" x14ac:dyDescent="0.15">
      <c r="A85" t="str">
        <f t="shared" si="3"/>
        <v>|Lv49|105|</v>
      </c>
      <c r="B85" t="s">
        <v>3</v>
      </c>
      <c r="C85" t="s">
        <v>8</v>
      </c>
      <c r="D85">
        <v>49</v>
      </c>
      <c r="E85" t="s">
        <v>3</v>
      </c>
      <c r="F85">
        <f t="shared" si="4"/>
        <v>105</v>
      </c>
      <c r="G85" t="s">
        <v>3</v>
      </c>
    </row>
    <row r="86" spans="1:19" x14ac:dyDescent="0.15">
      <c r="A86" t="str">
        <f t="shared" si="3"/>
        <v>|Lv51|108|</v>
      </c>
      <c r="B86" t="s">
        <v>3</v>
      </c>
      <c r="C86" t="s">
        <v>8</v>
      </c>
      <c r="D86">
        <v>51</v>
      </c>
      <c r="E86" t="s">
        <v>3</v>
      </c>
      <c r="F86">
        <f t="shared" si="4"/>
        <v>108</v>
      </c>
      <c r="G86" t="s">
        <v>3</v>
      </c>
    </row>
    <row r="87" spans="1:19" x14ac:dyDescent="0.15">
      <c r="A87" t="str">
        <f t="shared" si="3"/>
        <v>|Lv53|110|</v>
      </c>
      <c r="B87" t="s">
        <v>3</v>
      </c>
      <c r="C87" t="s">
        <v>8</v>
      </c>
      <c r="D87">
        <v>53</v>
      </c>
      <c r="E87" t="s">
        <v>3</v>
      </c>
      <c r="F87">
        <f t="shared" si="4"/>
        <v>110</v>
      </c>
      <c r="G87" t="s">
        <v>3</v>
      </c>
    </row>
    <row r="88" spans="1:19" x14ac:dyDescent="0.15">
      <c r="A88" t="str">
        <f t="shared" si="3"/>
        <v>|Lv55|113|</v>
      </c>
      <c r="B88" t="s">
        <v>3</v>
      </c>
      <c r="C88" t="s">
        <v>8</v>
      </c>
      <c r="D88">
        <v>55</v>
      </c>
      <c r="E88" t="s">
        <v>3</v>
      </c>
      <c r="F88">
        <f t="shared" si="4"/>
        <v>113</v>
      </c>
      <c r="G88" t="s">
        <v>3</v>
      </c>
    </row>
    <row r="89" spans="1:19" x14ac:dyDescent="0.15">
      <c r="A89" t="str">
        <f t="shared" si="3"/>
        <v>|Lv57|115|</v>
      </c>
      <c r="B89" t="s">
        <v>3</v>
      </c>
      <c r="C89" t="s">
        <v>8</v>
      </c>
      <c r="D89">
        <v>57</v>
      </c>
      <c r="E89" t="s">
        <v>3</v>
      </c>
      <c r="F89">
        <f t="shared" si="4"/>
        <v>115</v>
      </c>
      <c r="G89" t="s">
        <v>3</v>
      </c>
    </row>
    <row r="90" spans="1:19" x14ac:dyDescent="0.15">
      <c r="A90" t="str">
        <f>B90&amp;C90&amp;D90&amp;E90&amp;F90&amp;G90&amp;H90&amp;I90&amp;J90&amp;K90&amp;L90&amp;M90&amp;N90&amp;O90&amp;P90</f>
        <v>&amp;br;</v>
      </c>
      <c r="B90" t="s">
        <v>0</v>
      </c>
    </row>
    <row r="91" spans="1:19" x14ac:dyDescent="0.15">
      <c r="A91" t="str">
        <f>B91&amp;C91&amp;D91&amp;E91&amp;F91&amp;G91&amp;H91&amp;I91&amp;J91&amp;K91&amp;L91&amp;M91&amp;N91&amp;O91&amp;P91</f>
        <v>&amp;br;</v>
      </c>
      <c r="B91" t="s">
        <v>0</v>
      </c>
    </row>
    <row r="92" spans="1:19" x14ac:dyDescent="0.15">
      <c r="A92" t="str">
        <f>B92&amp;C92&amp;D92&amp;E92&amp;F92&amp;G92&amp;H92&amp;I92&amp;J92&amp;K92&amp;L92&amp;M92&amp;N92&amp;O92&amp;P92</f>
        <v>*マナボーナス [#q1a26f54]</v>
      </c>
      <c r="B92" t="s">
        <v>9</v>
      </c>
    </row>
    <row r="93" spans="1:19" x14ac:dyDescent="0.15">
      <c r="A93" t="str">
        <f t="shared" ref="A93:A105" si="5">B93&amp;C93&amp;D93&amp;G93&amp;H93&amp;I93&amp;J93&amp;K93&amp;L93&amp;M93&amp;N93&amp;O93&amp;P93&amp;Q93&amp;R93</f>
        <v>|LEFT:50|LEFT:50|LEFT:50|LEFT:50|LEFT:50|LEFT:50|c</v>
      </c>
      <c r="B93" t="s">
        <v>3</v>
      </c>
      <c r="C93" t="s">
        <v>4</v>
      </c>
      <c r="E93" t="s">
        <v>3</v>
      </c>
      <c r="G93" t="s">
        <v>3</v>
      </c>
      <c r="H93" t="s">
        <v>4</v>
      </c>
      <c r="I93" t="s">
        <v>3</v>
      </c>
      <c r="J93" t="s">
        <v>4</v>
      </c>
      <c r="K93" t="s">
        <v>3</v>
      </c>
      <c r="L93" t="s">
        <v>4</v>
      </c>
      <c r="M93" t="s">
        <v>3</v>
      </c>
      <c r="N93" t="s">
        <v>4</v>
      </c>
      <c r="O93" t="s">
        <v>3</v>
      </c>
      <c r="P93" t="s">
        <v>4</v>
      </c>
      <c r="Q93" t="s">
        <v>3</v>
      </c>
      <c r="R93" t="s">
        <v>5</v>
      </c>
    </row>
    <row r="94" spans="1:19" x14ac:dyDescent="0.15">
      <c r="A94" t="str">
        <f t="shared" si="5"/>
        <v>|レベル|白|青|黒|赤|緑|</v>
      </c>
      <c r="B94" t="s">
        <v>3</v>
      </c>
      <c r="C94" t="s">
        <v>6</v>
      </c>
      <c r="E94" t="s">
        <v>3</v>
      </c>
      <c r="F94" t="s">
        <v>10</v>
      </c>
      <c r="G94" t="s">
        <v>3</v>
      </c>
      <c r="H94" t="s">
        <v>11</v>
      </c>
      <c r="I94" t="s">
        <v>3</v>
      </c>
      <c r="J94" t="s">
        <v>12</v>
      </c>
      <c r="K94" t="s">
        <v>3</v>
      </c>
      <c r="L94" t="s">
        <v>13</v>
      </c>
      <c r="M94" t="s">
        <v>3</v>
      </c>
      <c r="N94" t="s">
        <v>14</v>
      </c>
      <c r="O94" t="s">
        <v>3</v>
      </c>
      <c r="P94" t="s">
        <v>15</v>
      </c>
      <c r="Q94" t="s">
        <v>3</v>
      </c>
      <c r="S94" t="s">
        <v>11</v>
      </c>
    </row>
    <row r="95" spans="1:19" x14ac:dyDescent="0.15">
      <c r="A95" t="str">
        <f t="shared" si="5"/>
        <v>|Lv1|-4|2|3|1|-3|</v>
      </c>
      <c r="B95" t="s">
        <v>3</v>
      </c>
      <c r="C95" t="s">
        <v>8</v>
      </c>
      <c r="D95">
        <v>1</v>
      </c>
      <c r="E95" t="s">
        <v>3</v>
      </c>
      <c r="G95" t="s">
        <v>3</v>
      </c>
      <c r="H95">
        <f>B229</f>
        <v>-4</v>
      </c>
      <c r="I95" t="s">
        <v>3</v>
      </c>
      <c r="J95">
        <f>C229</f>
        <v>2</v>
      </c>
      <c r="K95" t="s">
        <v>3</v>
      </c>
      <c r="L95">
        <f>D229</f>
        <v>3</v>
      </c>
      <c r="M95" t="s">
        <v>3</v>
      </c>
      <c r="N95">
        <f>E229</f>
        <v>1</v>
      </c>
      <c r="O95" t="s">
        <v>3</v>
      </c>
      <c r="P95">
        <f>F229</f>
        <v>-3</v>
      </c>
      <c r="Q95" t="s">
        <v>3</v>
      </c>
      <c r="S95" t="s">
        <v>12</v>
      </c>
    </row>
    <row r="96" spans="1:19" x14ac:dyDescent="0.15">
      <c r="A96" t="str">
        <f t="shared" si="5"/>
        <v>|Lv2|-4|2|4|1|-3|</v>
      </c>
      <c r="B96" t="s">
        <v>3</v>
      </c>
      <c r="C96" t="s">
        <v>8</v>
      </c>
      <c r="D96">
        <v>2</v>
      </c>
      <c r="E96" t="s">
        <v>3</v>
      </c>
      <c r="F96" t="str">
        <f t="shared" ref="F96:F105" si="6">IF(ISBLANK(D96),"",INDEX($F$150:$F$209,D96))</f>
        <v>黒</v>
      </c>
      <c r="G96" t="s">
        <v>3</v>
      </c>
      <c r="H96">
        <f t="shared" ref="H96:H105" si="7">H95+IF(H$94=$F96,1,0)</f>
        <v>-4</v>
      </c>
      <c r="I96" t="str">
        <f t="shared" ref="I96:Q105" si="8">I95</f>
        <v>|</v>
      </c>
      <c r="J96">
        <f t="shared" ref="J96:J105" si="9">J95+IF(J$94=$F96,1,0)</f>
        <v>2</v>
      </c>
      <c r="K96" t="str">
        <f t="shared" si="8"/>
        <v>|</v>
      </c>
      <c r="L96">
        <f t="shared" ref="L96:L105" si="10">L95+IF(L$94=$F96,1,0)</f>
        <v>4</v>
      </c>
      <c r="M96" t="str">
        <f t="shared" si="8"/>
        <v>|</v>
      </c>
      <c r="N96">
        <f t="shared" ref="N96:N105" si="11">N95+IF(N$94=$F96,1,0)</f>
        <v>1</v>
      </c>
      <c r="O96" t="str">
        <f t="shared" si="8"/>
        <v>|</v>
      </c>
      <c r="P96">
        <f t="shared" ref="P96:P105" si="12">P95+IF(P$94=$F96,1,0)</f>
        <v>-3</v>
      </c>
      <c r="Q96" t="str">
        <f t="shared" si="8"/>
        <v>|</v>
      </c>
      <c r="S96" t="s">
        <v>13</v>
      </c>
    </row>
    <row r="97" spans="1:19" x14ac:dyDescent="0.15">
      <c r="A97" t="str">
        <f t="shared" si="5"/>
        <v>|Lv8|-4|3|4|1|-3|</v>
      </c>
      <c r="B97" t="s">
        <v>3</v>
      </c>
      <c r="C97" t="s">
        <v>8</v>
      </c>
      <c r="D97">
        <v>8</v>
      </c>
      <c r="E97" t="s">
        <v>3</v>
      </c>
      <c r="F97" t="str">
        <f t="shared" si="6"/>
        <v>青</v>
      </c>
      <c r="G97" t="s">
        <v>3</v>
      </c>
      <c r="H97">
        <f t="shared" si="7"/>
        <v>-4</v>
      </c>
      <c r="I97" t="str">
        <f t="shared" si="8"/>
        <v>|</v>
      </c>
      <c r="J97">
        <f t="shared" si="9"/>
        <v>3</v>
      </c>
      <c r="K97" t="str">
        <f t="shared" si="8"/>
        <v>|</v>
      </c>
      <c r="L97">
        <f t="shared" si="10"/>
        <v>4</v>
      </c>
      <c r="M97" t="str">
        <f t="shared" si="8"/>
        <v>|</v>
      </c>
      <c r="N97">
        <f t="shared" si="11"/>
        <v>1</v>
      </c>
      <c r="O97" t="str">
        <f t="shared" si="8"/>
        <v>|</v>
      </c>
      <c r="P97">
        <f t="shared" si="12"/>
        <v>-3</v>
      </c>
      <c r="Q97" t="str">
        <f t="shared" si="8"/>
        <v>|</v>
      </c>
      <c r="S97" t="s">
        <v>14</v>
      </c>
    </row>
    <row r="98" spans="1:19" x14ac:dyDescent="0.15">
      <c r="A98" t="str">
        <f t="shared" si="5"/>
        <v>|Lv14|-4|3|4|2|-3|</v>
      </c>
      <c r="B98" t="s">
        <v>3</v>
      </c>
      <c r="C98" t="s">
        <v>8</v>
      </c>
      <c r="D98">
        <v>14</v>
      </c>
      <c r="E98" t="s">
        <v>3</v>
      </c>
      <c r="F98" t="str">
        <f t="shared" si="6"/>
        <v>赤</v>
      </c>
      <c r="G98" t="s">
        <v>3</v>
      </c>
      <c r="H98">
        <f t="shared" si="7"/>
        <v>-4</v>
      </c>
      <c r="I98" t="str">
        <f t="shared" si="8"/>
        <v>|</v>
      </c>
      <c r="J98">
        <f t="shared" si="9"/>
        <v>3</v>
      </c>
      <c r="K98" t="str">
        <f t="shared" si="8"/>
        <v>|</v>
      </c>
      <c r="L98">
        <f t="shared" si="10"/>
        <v>4</v>
      </c>
      <c r="M98" t="str">
        <f t="shared" si="8"/>
        <v>|</v>
      </c>
      <c r="N98">
        <f t="shared" si="11"/>
        <v>2</v>
      </c>
      <c r="O98" t="str">
        <f t="shared" si="8"/>
        <v>|</v>
      </c>
      <c r="P98">
        <f t="shared" si="12"/>
        <v>-3</v>
      </c>
      <c r="Q98" t="str">
        <f t="shared" si="8"/>
        <v>|</v>
      </c>
      <c r="S98" t="s">
        <v>15</v>
      </c>
    </row>
    <row r="99" spans="1:19" x14ac:dyDescent="0.15">
      <c r="A99" t="str">
        <f t="shared" si="5"/>
        <v>|Lv20|-3|3|4|2|-3|</v>
      </c>
      <c r="B99" t="s">
        <v>3</v>
      </c>
      <c r="C99" t="s">
        <v>8</v>
      </c>
      <c r="D99">
        <v>20</v>
      </c>
      <c r="E99" t="s">
        <v>3</v>
      </c>
      <c r="F99" t="str">
        <f t="shared" si="6"/>
        <v>白</v>
      </c>
      <c r="G99" t="s">
        <v>3</v>
      </c>
      <c r="H99">
        <f t="shared" si="7"/>
        <v>-3</v>
      </c>
      <c r="I99" t="str">
        <f t="shared" si="8"/>
        <v>|</v>
      </c>
      <c r="J99">
        <f t="shared" si="9"/>
        <v>3</v>
      </c>
      <c r="K99" t="str">
        <f t="shared" si="8"/>
        <v>|</v>
      </c>
      <c r="L99">
        <f t="shared" si="10"/>
        <v>4</v>
      </c>
      <c r="M99" t="str">
        <f t="shared" si="8"/>
        <v>|</v>
      </c>
      <c r="N99">
        <f t="shared" si="11"/>
        <v>2</v>
      </c>
      <c r="O99" t="str">
        <f t="shared" si="8"/>
        <v>|</v>
      </c>
      <c r="P99">
        <f t="shared" si="12"/>
        <v>-3</v>
      </c>
      <c r="Q99" t="str">
        <f t="shared" si="8"/>
        <v>|</v>
      </c>
    </row>
    <row r="100" spans="1:19" x14ac:dyDescent="0.15">
      <c r="A100" t="str">
        <f t="shared" si="5"/>
        <v>|Lv26|-3|3|4|2|-2|</v>
      </c>
      <c r="B100" t="s">
        <v>3</v>
      </c>
      <c r="C100" t="s">
        <v>8</v>
      </c>
      <c r="D100">
        <v>26</v>
      </c>
      <c r="E100" t="s">
        <v>3</v>
      </c>
      <c r="F100" t="str">
        <f t="shared" si="6"/>
        <v>緑</v>
      </c>
      <c r="G100" t="s">
        <v>3</v>
      </c>
      <c r="H100">
        <f t="shared" si="7"/>
        <v>-3</v>
      </c>
      <c r="I100" t="str">
        <f t="shared" si="8"/>
        <v>|</v>
      </c>
      <c r="J100">
        <f t="shared" si="9"/>
        <v>3</v>
      </c>
      <c r="K100" t="str">
        <f t="shared" si="8"/>
        <v>|</v>
      </c>
      <c r="L100">
        <f t="shared" si="10"/>
        <v>4</v>
      </c>
      <c r="M100" t="str">
        <f t="shared" si="8"/>
        <v>|</v>
      </c>
      <c r="N100">
        <f t="shared" si="11"/>
        <v>2</v>
      </c>
      <c r="O100" t="str">
        <f t="shared" si="8"/>
        <v>|</v>
      </c>
      <c r="P100">
        <f t="shared" si="12"/>
        <v>-2</v>
      </c>
      <c r="Q100" t="str">
        <f t="shared" si="8"/>
        <v>|</v>
      </c>
    </row>
    <row r="101" spans="1:19" x14ac:dyDescent="0.15">
      <c r="A101" t="str">
        <f t="shared" si="5"/>
        <v>|Lv32|-3|3|5|2|-2|</v>
      </c>
      <c r="B101" t="s">
        <v>3</v>
      </c>
      <c r="C101" t="s">
        <v>8</v>
      </c>
      <c r="D101">
        <v>32</v>
      </c>
      <c r="E101" t="s">
        <v>3</v>
      </c>
      <c r="F101" t="str">
        <f t="shared" si="6"/>
        <v>黒</v>
      </c>
      <c r="G101" t="s">
        <v>3</v>
      </c>
      <c r="H101">
        <f t="shared" si="7"/>
        <v>-3</v>
      </c>
      <c r="I101" t="str">
        <f t="shared" si="8"/>
        <v>|</v>
      </c>
      <c r="J101">
        <f t="shared" si="9"/>
        <v>3</v>
      </c>
      <c r="K101" t="str">
        <f t="shared" si="8"/>
        <v>|</v>
      </c>
      <c r="L101">
        <f t="shared" si="10"/>
        <v>5</v>
      </c>
      <c r="M101" t="str">
        <f t="shared" si="8"/>
        <v>|</v>
      </c>
      <c r="N101">
        <f t="shared" si="11"/>
        <v>2</v>
      </c>
      <c r="O101" t="str">
        <f t="shared" si="8"/>
        <v>|</v>
      </c>
      <c r="P101">
        <f t="shared" si="12"/>
        <v>-2</v>
      </c>
      <c r="Q101" t="str">
        <f t="shared" si="8"/>
        <v>|</v>
      </c>
    </row>
    <row r="102" spans="1:19" x14ac:dyDescent="0.15">
      <c r="A102" t="str">
        <f t="shared" si="5"/>
        <v>|Lv38|-3|4|5|2|-2|</v>
      </c>
      <c r="B102" t="s">
        <v>3</v>
      </c>
      <c r="C102" t="s">
        <v>8</v>
      </c>
      <c r="D102">
        <v>38</v>
      </c>
      <c r="E102" t="s">
        <v>3</v>
      </c>
      <c r="F102" t="str">
        <f t="shared" si="6"/>
        <v>青</v>
      </c>
      <c r="G102" t="s">
        <v>3</v>
      </c>
      <c r="H102">
        <f t="shared" si="7"/>
        <v>-3</v>
      </c>
      <c r="I102" t="str">
        <f t="shared" si="8"/>
        <v>|</v>
      </c>
      <c r="J102">
        <f t="shared" si="9"/>
        <v>4</v>
      </c>
      <c r="K102" t="str">
        <f t="shared" si="8"/>
        <v>|</v>
      </c>
      <c r="L102">
        <f t="shared" si="10"/>
        <v>5</v>
      </c>
      <c r="M102" t="str">
        <f t="shared" si="8"/>
        <v>|</v>
      </c>
      <c r="N102">
        <f t="shared" si="11"/>
        <v>2</v>
      </c>
      <c r="O102" t="str">
        <f t="shared" si="8"/>
        <v>|</v>
      </c>
      <c r="P102">
        <f t="shared" si="12"/>
        <v>-2</v>
      </c>
      <c r="Q102" t="str">
        <f t="shared" si="8"/>
        <v>|</v>
      </c>
    </row>
    <row r="103" spans="1:19" x14ac:dyDescent="0.15">
      <c r="A103" t="str">
        <f t="shared" si="5"/>
        <v>|Lv44|-3|4|5|3|-2|</v>
      </c>
      <c r="B103" t="s">
        <v>3</v>
      </c>
      <c r="C103" t="s">
        <v>8</v>
      </c>
      <c r="D103">
        <v>44</v>
      </c>
      <c r="E103" t="s">
        <v>3</v>
      </c>
      <c r="F103" t="str">
        <f t="shared" si="6"/>
        <v>赤</v>
      </c>
      <c r="G103" t="s">
        <v>3</v>
      </c>
      <c r="H103">
        <f t="shared" si="7"/>
        <v>-3</v>
      </c>
      <c r="I103" t="str">
        <f t="shared" si="8"/>
        <v>|</v>
      </c>
      <c r="J103">
        <f t="shared" si="9"/>
        <v>4</v>
      </c>
      <c r="K103" t="str">
        <f t="shared" si="8"/>
        <v>|</v>
      </c>
      <c r="L103">
        <f t="shared" si="10"/>
        <v>5</v>
      </c>
      <c r="M103" t="str">
        <f t="shared" si="8"/>
        <v>|</v>
      </c>
      <c r="N103">
        <f t="shared" si="11"/>
        <v>3</v>
      </c>
      <c r="O103" t="str">
        <f t="shared" si="8"/>
        <v>|</v>
      </c>
      <c r="P103">
        <f t="shared" si="12"/>
        <v>-2</v>
      </c>
      <c r="Q103" t="str">
        <f t="shared" si="8"/>
        <v>|</v>
      </c>
    </row>
    <row r="104" spans="1:19" x14ac:dyDescent="0.15">
      <c r="A104" t="str">
        <f t="shared" si="5"/>
        <v>|Lv50|-2|4|5|3|-2|</v>
      </c>
      <c r="B104" t="s">
        <v>3</v>
      </c>
      <c r="C104" t="s">
        <v>8</v>
      </c>
      <c r="D104">
        <v>50</v>
      </c>
      <c r="E104" t="s">
        <v>3</v>
      </c>
      <c r="F104" t="str">
        <f t="shared" si="6"/>
        <v>白</v>
      </c>
      <c r="G104" t="s">
        <v>3</v>
      </c>
      <c r="H104">
        <f t="shared" si="7"/>
        <v>-2</v>
      </c>
      <c r="I104" t="str">
        <f t="shared" si="8"/>
        <v>|</v>
      </c>
      <c r="J104">
        <f t="shared" si="9"/>
        <v>4</v>
      </c>
      <c r="K104" t="str">
        <f t="shared" si="8"/>
        <v>|</v>
      </c>
      <c r="L104">
        <f t="shared" si="10"/>
        <v>5</v>
      </c>
      <c r="M104" t="str">
        <f t="shared" si="8"/>
        <v>|</v>
      </c>
      <c r="N104">
        <f t="shared" si="11"/>
        <v>3</v>
      </c>
      <c r="O104" t="str">
        <f t="shared" si="8"/>
        <v>|</v>
      </c>
      <c r="P104">
        <f t="shared" si="12"/>
        <v>-2</v>
      </c>
      <c r="Q104" t="str">
        <f t="shared" si="8"/>
        <v>|</v>
      </c>
    </row>
    <row r="105" spans="1:19" x14ac:dyDescent="0.15">
      <c r="A105" t="str">
        <f t="shared" si="5"/>
        <v>|Lv59|-2|4|5|3|-1|</v>
      </c>
      <c r="B105" t="s">
        <v>3</v>
      </c>
      <c r="C105" t="s">
        <v>8</v>
      </c>
      <c r="D105">
        <v>59</v>
      </c>
      <c r="E105" t="s">
        <v>3</v>
      </c>
      <c r="F105" t="str">
        <f t="shared" si="6"/>
        <v>緑</v>
      </c>
      <c r="G105" t="s">
        <v>3</v>
      </c>
      <c r="H105">
        <f t="shared" si="7"/>
        <v>-2</v>
      </c>
      <c r="I105" t="str">
        <f t="shared" si="8"/>
        <v>|</v>
      </c>
      <c r="J105">
        <f t="shared" si="9"/>
        <v>4</v>
      </c>
      <c r="K105" t="str">
        <f t="shared" si="8"/>
        <v>|</v>
      </c>
      <c r="L105">
        <f t="shared" si="10"/>
        <v>5</v>
      </c>
      <c r="M105" t="str">
        <f t="shared" si="8"/>
        <v>|</v>
      </c>
      <c r="N105">
        <f t="shared" si="11"/>
        <v>3</v>
      </c>
      <c r="O105" t="str">
        <f t="shared" si="8"/>
        <v>|</v>
      </c>
      <c r="P105">
        <f t="shared" si="12"/>
        <v>-1</v>
      </c>
      <c r="Q105" t="str">
        <f t="shared" si="8"/>
        <v>|</v>
      </c>
    </row>
    <row r="106" spans="1:19" x14ac:dyDescent="0.15">
      <c r="A106" t="str">
        <f>B106&amp;C106&amp;D106&amp;E106&amp;F106&amp;G106&amp;H106&amp;I106&amp;J106&amp;K106&amp;L106&amp;M106&amp;N106&amp;O106&amp;P106</f>
        <v>&amp;br;</v>
      </c>
      <c r="B106" t="s">
        <v>0</v>
      </c>
    </row>
    <row r="107" spans="1:19" x14ac:dyDescent="0.15">
      <c r="A107" t="str">
        <f>B107&amp;C107&amp;D107&amp;E107&amp;F107&amp;G107&amp;H107&amp;I107&amp;J107&amp;K107&amp;L107&amp;M107&amp;N107&amp;O107&amp;P107</f>
        <v>&amp;br;</v>
      </c>
      <c r="B107" t="s">
        <v>0</v>
      </c>
    </row>
    <row r="108" spans="1:19" x14ac:dyDescent="0.15">
      <c r="A108" t="str">
        <f>B108&amp;C108&amp;D108&amp;E108&amp;F108&amp;G108&amp;H108&amp;I108&amp;J108&amp;K108&amp;L108&amp;M108&amp;N108&amp;O108&amp;P108</f>
        <v>*デッキ構築枚数上限 [#e6f382eb]</v>
      </c>
      <c r="B108" t="s">
        <v>16</v>
      </c>
    </row>
    <row r="109" spans="1:19" x14ac:dyDescent="0.15">
      <c r="A109" t="str">
        <f>B109&amp;C109&amp;D109&amp;E109&amp;F109&amp;G109&amp;H109&amp;I109&amp;J109&amp;K109&amp;L109&amp;M109&amp;N109&amp;O109&amp;P109</f>
        <v>構築枚数上限を越える枚数はデッキに入れられない。</v>
      </c>
      <c r="B109" t="s">
        <v>17</v>
      </c>
    </row>
    <row r="110" spans="1:19" x14ac:dyDescent="0.15">
      <c r="A110" t="str">
        <f t="shared" ref="A110:A117" si="13">B110&amp;C110&amp;D110&amp;G110&amp;H110&amp;I110&amp;J110&amp;K110&amp;L110&amp;M110&amp;N110&amp;O110&amp;P110&amp;Q110&amp;R110</f>
        <v>|LEFT:50|LEFT:80|LEFT:80|LEFT:80|c</v>
      </c>
      <c r="B110" t="s">
        <v>3</v>
      </c>
      <c r="C110" t="s">
        <v>4</v>
      </c>
      <c r="E110" t="s">
        <v>3</v>
      </c>
      <c r="G110" t="s">
        <v>3</v>
      </c>
      <c r="H110" t="s">
        <v>18</v>
      </c>
      <c r="I110" t="s">
        <v>3</v>
      </c>
      <c r="J110" t="s">
        <v>18</v>
      </c>
      <c r="K110" t="s">
        <v>3</v>
      </c>
      <c r="L110" t="s">
        <v>18</v>
      </c>
      <c r="M110" t="s">
        <v>3</v>
      </c>
      <c r="N110" t="s">
        <v>5</v>
      </c>
    </row>
    <row r="111" spans="1:19" x14ac:dyDescent="0.15">
      <c r="A111" t="str">
        <f t="shared" si="13"/>
        <v>|レベル|クリーチャー|呪文|サポート|</v>
      </c>
      <c r="B111" t="s">
        <v>3</v>
      </c>
      <c r="C111" t="s">
        <v>6</v>
      </c>
      <c r="E111" t="s">
        <v>3</v>
      </c>
      <c r="F111" t="s">
        <v>19</v>
      </c>
      <c r="G111" t="s">
        <v>3</v>
      </c>
      <c r="H111" t="s">
        <v>20</v>
      </c>
      <c r="I111" t="s">
        <v>3</v>
      </c>
      <c r="J111" t="s">
        <v>21</v>
      </c>
      <c r="K111" t="s">
        <v>3</v>
      </c>
      <c r="L111" t="s">
        <v>22</v>
      </c>
      <c r="M111" t="s">
        <v>3</v>
      </c>
      <c r="S111" t="s">
        <v>20</v>
      </c>
    </row>
    <row r="112" spans="1:19" x14ac:dyDescent="0.15">
      <c r="A112" t="str">
        <f t="shared" si="13"/>
        <v>|Lv1|4|3|3|</v>
      </c>
      <c r="B112" t="s">
        <v>3</v>
      </c>
      <c r="C112" t="s">
        <v>8</v>
      </c>
      <c r="D112">
        <v>1</v>
      </c>
      <c r="E112" t="s">
        <v>3</v>
      </c>
      <c r="G112" t="s">
        <v>3</v>
      </c>
      <c r="H112">
        <f>B227</f>
        <v>4</v>
      </c>
      <c r="I112" t="s">
        <v>3</v>
      </c>
      <c r="J112">
        <f>C227</f>
        <v>3</v>
      </c>
      <c r="K112" t="s">
        <v>3</v>
      </c>
      <c r="L112">
        <f>D227</f>
        <v>3</v>
      </c>
      <c r="M112" t="s">
        <v>3</v>
      </c>
      <c r="S112" t="s">
        <v>21</v>
      </c>
    </row>
    <row r="113" spans="1:19" x14ac:dyDescent="0.15">
      <c r="A113" t="str">
        <f t="shared" si="13"/>
        <v>|Lv4|5|3|3|</v>
      </c>
      <c r="B113" t="s">
        <v>3</v>
      </c>
      <c r="C113" t="s">
        <v>8</v>
      </c>
      <c r="D113">
        <v>4</v>
      </c>
      <c r="E113" t="s">
        <v>3</v>
      </c>
      <c r="F113" t="str">
        <f>IF(ISBLANK(D113),"",INDEX($F$150:$F$209,D113))</f>
        <v>クリーチャー</v>
      </c>
      <c r="G113" t="s">
        <v>3</v>
      </c>
      <c r="H113">
        <f>H112+IF(H$111=$F113,INDEX($H$150:$H$209,D113),0)</f>
        <v>5</v>
      </c>
      <c r="I113" t="s">
        <v>3</v>
      </c>
      <c r="J113">
        <f>J112+IF(J$111=$F113,INDEX($H$150:$H$209,D113),0)</f>
        <v>3</v>
      </c>
      <c r="K113" t="s">
        <v>3</v>
      </c>
      <c r="L113">
        <f>L112+IF(L$111=$F113,INDEX($H$150:$H$209,D113),0)</f>
        <v>3</v>
      </c>
      <c r="M113" t="s">
        <v>3</v>
      </c>
      <c r="S113" t="s">
        <v>22</v>
      </c>
    </row>
    <row r="114" spans="1:19" x14ac:dyDescent="0.15">
      <c r="A114" t="str">
        <f t="shared" si="13"/>
        <v>|Lv10|5|3|4|</v>
      </c>
      <c r="B114" t="s">
        <v>3</v>
      </c>
      <c r="C114" t="s">
        <v>8</v>
      </c>
      <c r="D114">
        <v>10</v>
      </c>
      <c r="E114" t="s">
        <v>3</v>
      </c>
      <c r="F114" t="str">
        <f>IF(ISBLANK(D114),"",INDEX($F$150:$F$209,D114))</f>
        <v>サポート</v>
      </c>
      <c r="G114" t="s">
        <v>3</v>
      </c>
      <c r="H114">
        <f>H113+IF(H$111=$F114,INDEX($H$150:$H$209,D114),0)</f>
        <v>5</v>
      </c>
      <c r="I114" t="s">
        <v>3</v>
      </c>
      <c r="J114">
        <f>J113+IF(J$111=$F114,INDEX($H$150:$H$209,D114),0)</f>
        <v>3</v>
      </c>
      <c r="K114" t="s">
        <v>3</v>
      </c>
      <c r="L114">
        <f>L113+IF(L$111=$F114,INDEX($H$150:$H$209,D114),0)</f>
        <v>4</v>
      </c>
      <c r="M114" t="s">
        <v>3</v>
      </c>
    </row>
    <row r="115" spans="1:19" x14ac:dyDescent="0.15">
      <c r="A115" t="str">
        <f t="shared" si="13"/>
        <v>|Lv16|5|4|4|</v>
      </c>
      <c r="B115" t="s">
        <v>3</v>
      </c>
      <c r="C115" t="s">
        <v>8</v>
      </c>
      <c r="D115">
        <v>16</v>
      </c>
      <c r="E115" t="s">
        <v>3</v>
      </c>
      <c r="F115" t="str">
        <f>IF(ISBLANK(D115),"",INDEX($F$150:$F$209,D115))</f>
        <v>呪文</v>
      </c>
      <c r="G115" t="s">
        <v>3</v>
      </c>
      <c r="H115">
        <f>H114+IF(H$111=$F115,INDEX($H$150:$H$209,D115),0)</f>
        <v>5</v>
      </c>
      <c r="I115" t="s">
        <v>3</v>
      </c>
      <c r="J115">
        <f>J114+IF(J$111=$F115,INDEX($H$150:$H$209,D115),0)</f>
        <v>4</v>
      </c>
      <c r="K115" t="s">
        <v>3</v>
      </c>
      <c r="L115">
        <f>L114+IF(L$111=$F115,INDEX($H$150:$H$209,D115),0)</f>
        <v>4</v>
      </c>
      <c r="M115" t="s">
        <v>3</v>
      </c>
    </row>
    <row r="116" spans="1:19" x14ac:dyDescent="0.15">
      <c r="A116" t="str">
        <f t="shared" si="13"/>
        <v>|Lv28|5|4|5|</v>
      </c>
      <c r="B116" t="s">
        <v>3</v>
      </c>
      <c r="C116" t="s">
        <v>8</v>
      </c>
      <c r="D116">
        <v>28</v>
      </c>
      <c r="E116" t="s">
        <v>3</v>
      </c>
      <c r="F116" t="str">
        <f>IF(ISBLANK(D116),"",INDEX($F$150:$F$209,D116))</f>
        <v>サポート</v>
      </c>
      <c r="G116" t="s">
        <v>3</v>
      </c>
      <c r="H116">
        <f>H115+IF(H$111=$F116,INDEX($H$150:$H$209,D116),0)</f>
        <v>5</v>
      </c>
      <c r="I116" t="s">
        <v>3</v>
      </c>
      <c r="J116">
        <f>J115+IF(J$111=$F116,INDEX($H$150:$H$209,D116),0)</f>
        <v>4</v>
      </c>
      <c r="K116" t="s">
        <v>3</v>
      </c>
      <c r="L116">
        <f>L115+IF(L$111=$F116,INDEX($H$150:$H$209,D116),0)</f>
        <v>5</v>
      </c>
      <c r="M116" t="s">
        <v>3</v>
      </c>
    </row>
    <row r="117" spans="1:19" x14ac:dyDescent="0.15">
      <c r="A117" t="str">
        <f t="shared" si="13"/>
        <v>|Lv34|5|5|5|</v>
      </c>
      <c r="B117" t="s">
        <v>3</v>
      </c>
      <c r="C117" t="s">
        <v>8</v>
      </c>
      <c r="D117">
        <v>34</v>
      </c>
      <c r="E117" t="s">
        <v>3</v>
      </c>
      <c r="F117" t="str">
        <f>IF(ISBLANK(D117),"",INDEX($F$150:$F$209,D117))</f>
        <v>呪文</v>
      </c>
      <c r="G117" t="s">
        <v>3</v>
      </c>
      <c r="H117">
        <f>H116+IF(H$111=$F117,INDEX($H$150:$H$209,D117),0)</f>
        <v>5</v>
      </c>
      <c r="I117" t="s">
        <v>3</v>
      </c>
      <c r="J117">
        <f>J116+IF(J$111=$F117,INDEX($H$150:$H$209,D117),0)</f>
        <v>5</v>
      </c>
      <c r="K117" t="s">
        <v>3</v>
      </c>
      <c r="L117">
        <f>L116+IF(L$111=$F117,INDEX($H$150:$H$209,D117),0)</f>
        <v>5</v>
      </c>
      <c r="M117" t="s">
        <v>3</v>
      </c>
    </row>
    <row r="118" spans="1:19" x14ac:dyDescent="0.15">
      <c r="A118" t="str">
        <f t="shared" ref="A118:A139" si="14">B118&amp;C118&amp;D118&amp;E118&amp;F118&amp;G118&amp;H118&amp;I118&amp;J118&amp;K118&amp;L118&amp;M118&amp;N118&amp;O118&amp;P118</f>
        <v>&amp;br;</v>
      </c>
      <c r="B118" t="s">
        <v>0</v>
      </c>
    </row>
    <row r="119" spans="1:19" x14ac:dyDescent="0.15">
      <c r="A119" t="str">
        <f t="shared" si="14"/>
        <v>&amp;br;</v>
      </c>
      <c r="B119" t="s">
        <v>0</v>
      </c>
    </row>
    <row r="120" spans="1:19" x14ac:dyDescent="0.15">
      <c r="A120" t="str">
        <f t="shared" si="14"/>
        <v>*PW能力一覧 [#a469e89f]</v>
      </c>
      <c r="B120" t="s">
        <v>23</v>
      </c>
    </row>
    <row r="121" spans="1:19" x14ac:dyDescent="0.15">
      <c r="A121" t="str">
        <f t="shared" si="14"/>
        <v>**第1能力：選定/Anoint </v>
      </c>
      <c r="B121" t="s">
        <v>24</v>
      </c>
      <c r="D121" t="s">
        <v>737</v>
      </c>
      <c r="E121" t="s">
        <v>25</v>
      </c>
      <c r="F121" t="s">
        <v>722</v>
      </c>
      <c r="R121" t="str">
        <f>D121&amp;E121&amp;F121</f>
        <v>選定/Anoint </v>
      </c>
    </row>
    <row r="122" spans="1:19" x14ac:dyDescent="0.15">
      <c r="A122" t="str">
        <f t="shared" si="14"/>
        <v>|LEFT:50|LEFT:50|LEFT:50|LEFT:300|c</v>
      </c>
      <c r="B122" t="s">
        <v>3</v>
      </c>
      <c r="C122" t="s">
        <v>4</v>
      </c>
      <c r="E122" t="s">
        <v>3</v>
      </c>
      <c r="F122" t="s">
        <v>4</v>
      </c>
      <c r="G122" t="s">
        <v>3</v>
      </c>
      <c r="H122" t="s">
        <v>4</v>
      </c>
      <c r="I122" t="s">
        <v>3</v>
      </c>
      <c r="J122" t="s">
        <v>26</v>
      </c>
      <c r="K122" t="s">
        <v>3</v>
      </c>
      <c r="L122" t="s">
        <v>5</v>
      </c>
    </row>
    <row r="123" spans="1:19" x14ac:dyDescent="0.15">
      <c r="A123" t="str">
        <f t="shared" si="14"/>
        <v>|解放Lv|レベル|コスト|効果|</v>
      </c>
      <c r="B123" t="s">
        <v>3</v>
      </c>
      <c r="C123" t="s">
        <v>27</v>
      </c>
      <c r="E123" t="s">
        <v>3</v>
      </c>
      <c r="F123" t="s">
        <v>6</v>
      </c>
      <c r="G123" t="s">
        <v>3</v>
      </c>
      <c r="H123" t="s">
        <v>28</v>
      </c>
      <c r="I123" t="s">
        <v>3</v>
      </c>
      <c r="J123" t="s">
        <v>29</v>
      </c>
      <c r="K123" t="s">
        <v>3</v>
      </c>
    </row>
    <row r="124" spans="1:19" x14ac:dyDescent="0.15">
      <c r="A124" t="str">
        <f t="shared" si="14"/>
        <v>|Lv6|Lv1|6|あなたがコントロールするクリーチャー1体を破壊する。それをゾンビを持った状態で戦場に戻す。|</v>
      </c>
      <c r="B124" t="s">
        <v>3</v>
      </c>
      <c r="C124" t="s">
        <v>8</v>
      </c>
      <c r="D124">
        <v>6</v>
      </c>
      <c r="E124" t="s">
        <v>3</v>
      </c>
      <c r="F124" t="s">
        <v>30</v>
      </c>
      <c r="G124" t="s">
        <v>3</v>
      </c>
      <c r="H124">
        <v>6</v>
      </c>
      <c r="I124" t="s">
        <v>3</v>
      </c>
      <c r="J124" s="8" t="s">
        <v>730</v>
      </c>
      <c r="K124" t="s">
        <v>3</v>
      </c>
    </row>
    <row r="125" spans="1:19" x14ac:dyDescent="0.15">
      <c r="A125" t="str">
        <f t="shared" si="14"/>
        <v>|Lv24|Lv2|6|あなたがコントロールするクリーチャー1体を破壊する。それを+1/+1の修整とゾンビを持った状態で戦場に戻す。|</v>
      </c>
      <c r="B125" t="s">
        <v>3</v>
      </c>
      <c r="C125" t="s">
        <v>8</v>
      </c>
      <c r="D125">
        <v>24</v>
      </c>
      <c r="E125" t="s">
        <v>3</v>
      </c>
      <c r="F125" t="s">
        <v>31</v>
      </c>
      <c r="G125" t="s">
        <v>3</v>
      </c>
      <c r="H125">
        <f>H124</f>
        <v>6</v>
      </c>
      <c r="I125" t="s">
        <v>3</v>
      </c>
      <c r="J125" s="8" t="s">
        <v>729</v>
      </c>
      <c r="K125" t="s">
        <v>3</v>
      </c>
    </row>
    <row r="126" spans="1:19" x14ac:dyDescent="0.15">
      <c r="A126" t="str">
        <f t="shared" si="14"/>
        <v>|Lv40|Lv3|6|あなたがコントロールするクリーチャー1体を破壊する。それを+2/+2の修整とゾンビを持った状態で戦場に戻す。|</v>
      </c>
      <c r="B126" t="s">
        <v>3</v>
      </c>
      <c r="C126" t="s">
        <v>8</v>
      </c>
      <c r="D126">
        <v>40</v>
      </c>
      <c r="E126" t="s">
        <v>3</v>
      </c>
      <c r="F126" t="s">
        <v>32</v>
      </c>
      <c r="G126" t="s">
        <v>3</v>
      </c>
      <c r="H126">
        <f>H125</f>
        <v>6</v>
      </c>
      <c r="I126" t="s">
        <v>3</v>
      </c>
      <c r="J126" s="8" t="s">
        <v>728</v>
      </c>
      <c r="K126" t="s">
        <v>3</v>
      </c>
    </row>
    <row r="127" spans="1:19" x14ac:dyDescent="0.15">
      <c r="A127" t="str">
        <f t="shared" si="14"/>
        <v>|Lv56|Lv4|6|あなたがコントロールするクリーチャー1体を破壊する。それを+3/+3の修整とゾンビを持った状態で戦場に戻す。|</v>
      </c>
      <c r="B127" t="s">
        <v>3</v>
      </c>
      <c r="C127" t="s">
        <v>8</v>
      </c>
      <c r="D127">
        <v>56</v>
      </c>
      <c r="E127" t="s">
        <v>3</v>
      </c>
      <c r="F127" t="s">
        <v>33</v>
      </c>
      <c r="G127" t="s">
        <v>3</v>
      </c>
      <c r="H127">
        <f>H126</f>
        <v>6</v>
      </c>
      <c r="I127" t="s">
        <v>3</v>
      </c>
      <c r="J127" t="s">
        <v>727</v>
      </c>
      <c r="K127" t="s">
        <v>3</v>
      </c>
    </row>
    <row r="128" spans="1:19" x14ac:dyDescent="0.15">
      <c r="A128" t="str">
        <f t="shared" si="14"/>
        <v>&amp;br;</v>
      </c>
      <c r="B128" t="s">
        <v>0</v>
      </c>
    </row>
    <row r="129" spans="1:18" x14ac:dyDescent="0.15">
      <c r="A129" t="str">
        <f t="shared" si="14"/>
        <v>&amp;br;</v>
      </c>
      <c r="B129" t="s">
        <v>0</v>
      </c>
    </row>
    <row r="130" spans="1:18" x14ac:dyDescent="0.15">
      <c r="A130" t="str">
        <f t="shared" si="14"/>
        <v>**第2能力：ゾンビ蘇生/Raise Zombie</v>
      </c>
      <c r="B130" t="s">
        <v>34</v>
      </c>
      <c r="D130" t="s">
        <v>738</v>
      </c>
      <c r="E130" t="s">
        <v>25</v>
      </c>
      <c r="F130" t="s">
        <v>723</v>
      </c>
      <c r="R130" t="str">
        <f>D130&amp;E130&amp;F130</f>
        <v>ゾンビ蘇生/Raise Zombie</v>
      </c>
    </row>
    <row r="131" spans="1:18" x14ac:dyDescent="0.15">
      <c r="A131" t="str">
        <f t="shared" si="14"/>
        <v>|LEFT:50|LEFT:50|LEFT:50|LEFT:300|c</v>
      </c>
      <c r="B131" t="s">
        <v>3</v>
      </c>
      <c r="C131" t="s">
        <v>4</v>
      </c>
      <c r="E131" t="s">
        <v>3</v>
      </c>
      <c r="F131" t="s">
        <v>4</v>
      </c>
      <c r="G131" t="s">
        <v>3</v>
      </c>
      <c r="H131" t="s">
        <v>4</v>
      </c>
      <c r="I131" t="s">
        <v>3</v>
      </c>
      <c r="J131" t="s">
        <v>26</v>
      </c>
      <c r="K131" t="s">
        <v>3</v>
      </c>
      <c r="L131" t="s">
        <v>5</v>
      </c>
    </row>
    <row r="132" spans="1:18" x14ac:dyDescent="0.15">
      <c r="A132" t="str">
        <f t="shared" si="14"/>
        <v>|解放Lv|レベル|コスト|効果|</v>
      </c>
      <c r="B132" t="s">
        <v>3</v>
      </c>
      <c r="C132" t="s">
        <v>27</v>
      </c>
      <c r="E132" t="s">
        <v>3</v>
      </c>
      <c r="F132" t="s">
        <v>6</v>
      </c>
      <c r="G132" t="s">
        <v>3</v>
      </c>
      <c r="H132" t="s">
        <v>28</v>
      </c>
      <c r="I132" t="s">
        <v>3</v>
      </c>
      <c r="J132" t="s">
        <v>29</v>
      </c>
      <c r="K132" t="s">
        <v>3</v>
      </c>
    </row>
    <row r="133" spans="1:18" x14ac:dyDescent="0.15">
      <c r="A133" t="str">
        <f t="shared" si="14"/>
        <v>|Lv12|Lv1|12|あなたがコントロールしていて最後に破壊されたゾンビを戦場に戻す。|</v>
      </c>
      <c r="B133" t="s">
        <v>3</v>
      </c>
      <c r="C133" t="s">
        <v>8</v>
      </c>
      <c r="D133">
        <v>12</v>
      </c>
      <c r="E133" t="s">
        <v>3</v>
      </c>
      <c r="F133" t="s">
        <v>30</v>
      </c>
      <c r="G133" t="s">
        <v>3</v>
      </c>
      <c r="H133">
        <v>12</v>
      </c>
      <c r="I133" t="s">
        <v>3</v>
      </c>
      <c r="J133" s="8" t="s">
        <v>733</v>
      </c>
      <c r="K133" t="s">
        <v>3</v>
      </c>
    </row>
    <row r="134" spans="1:18" x14ac:dyDescent="0.15">
      <c r="A134" t="str">
        <f t="shared" si="14"/>
        <v>|Lv30|Lv2|12|あなたがコントロールしていて最後に破壊されたゾンビを戦場に戻す。それは+2/+2の修整を受ける。|</v>
      </c>
      <c r="B134" t="s">
        <v>3</v>
      </c>
      <c r="C134" t="s">
        <v>8</v>
      </c>
      <c r="D134">
        <v>30</v>
      </c>
      <c r="E134" t="s">
        <v>3</v>
      </c>
      <c r="F134" t="s">
        <v>31</v>
      </c>
      <c r="G134" t="s">
        <v>3</v>
      </c>
      <c r="H134">
        <f>H133</f>
        <v>12</v>
      </c>
      <c r="I134" t="s">
        <v>3</v>
      </c>
      <c r="J134" s="8" t="s">
        <v>732</v>
      </c>
      <c r="K134" t="s">
        <v>3</v>
      </c>
    </row>
    <row r="135" spans="1:18" x14ac:dyDescent="0.15">
      <c r="A135" t="str">
        <f t="shared" si="14"/>
        <v>|Lv46|Lv3|12|あなたがコントロールしていて最後に破壊されたゾンビを戦場に戻す。それは+4/+4の修整を受ける。|</v>
      </c>
      <c r="B135" t="s">
        <v>3</v>
      </c>
      <c r="C135" t="s">
        <v>8</v>
      </c>
      <c r="D135">
        <v>46</v>
      </c>
      <c r="E135" t="s">
        <v>3</v>
      </c>
      <c r="F135" t="s">
        <v>32</v>
      </c>
      <c r="G135" t="s">
        <v>3</v>
      </c>
      <c r="H135">
        <f>H134</f>
        <v>12</v>
      </c>
      <c r="I135" t="s">
        <v>3</v>
      </c>
      <c r="J135" s="8" t="s">
        <v>731</v>
      </c>
      <c r="K135" t="s">
        <v>3</v>
      </c>
    </row>
    <row r="136" spans="1:18" x14ac:dyDescent="0.15">
      <c r="A136" t="str">
        <f t="shared" si="14"/>
        <v>|Lv58|Lv4|12|あなたがコントロールしていて最後に破壊されたゾンビを戦場に戻す。それは+6/+6の修整を受ける。|</v>
      </c>
      <c r="B136" t="s">
        <v>3</v>
      </c>
      <c r="C136" t="s">
        <v>8</v>
      </c>
      <c r="D136">
        <v>58</v>
      </c>
      <c r="E136" t="s">
        <v>3</v>
      </c>
      <c r="F136" t="s">
        <v>33</v>
      </c>
      <c r="G136" t="s">
        <v>3</v>
      </c>
      <c r="H136">
        <f>H135</f>
        <v>12</v>
      </c>
      <c r="I136" t="s">
        <v>3</v>
      </c>
      <c r="J136" t="s">
        <v>726</v>
      </c>
      <c r="K136" t="s">
        <v>3</v>
      </c>
    </row>
    <row r="137" spans="1:18" x14ac:dyDescent="0.15">
      <c r="A137" t="str">
        <f t="shared" si="14"/>
        <v>&amp;br;</v>
      </c>
      <c r="B137" t="s">
        <v>0</v>
      </c>
    </row>
    <row r="138" spans="1:18" x14ac:dyDescent="0.15">
      <c r="A138" t="str">
        <f t="shared" si="14"/>
        <v>&amp;br;</v>
      </c>
      <c r="B138" t="s">
        <v>0</v>
      </c>
    </row>
    <row r="139" spans="1:18" x14ac:dyDescent="0.15">
      <c r="A139" t="str">
        <f t="shared" si="14"/>
        <v>**第3能力：大群/Horde </v>
      </c>
      <c r="B139" t="s">
        <v>35</v>
      </c>
      <c r="D139" t="s">
        <v>739</v>
      </c>
      <c r="E139" t="s">
        <v>25</v>
      </c>
      <c r="F139" t="s">
        <v>724</v>
      </c>
      <c r="R139" t="str">
        <f>D139&amp;E139&amp;F139</f>
        <v>大群/Horde </v>
      </c>
    </row>
    <row r="140" spans="1:18" x14ac:dyDescent="0.15">
      <c r="A140" t="str">
        <f t="shared" ref="A140:A203" si="15">B140&amp;C140&amp;D140&amp;E140&amp;F140&amp;G140&amp;H140&amp;I140&amp;J140&amp;K140&amp;L140&amp;M140&amp;N140&amp;O140&amp;P140</f>
        <v>|LEFT:50|LEFT:50|LEFT:50|LEFT:300|c</v>
      </c>
      <c r="B140" t="s">
        <v>3</v>
      </c>
      <c r="C140" t="s">
        <v>4</v>
      </c>
      <c r="E140" t="s">
        <v>3</v>
      </c>
      <c r="F140" t="s">
        <v>4</v>
      </c>
      <c r="G140" t="s">
        <v>3</v>
      </c>
      <c r="H140" t="s">
        <v>4</v>
      </c>
      <c r="I140" t="s">
        <v>3</v>
      </c>
      <c r="J140" t="s">
        <v>26</v>
      </c>
      <c r="K140" t="s">
        <v>3</v>
      </c>
      <c r="L140" t="s">
        <v>5</v>
      </c>
    </row>
    <row r="141" spans="1:18" x14ac:dyDescent="0.15">
      <c r="A141" t="str">
        <f t="shared" si="15"/>
        <v>|解放Lv|レベル|コスト|効果|</v>
      </c>
      <c r="B141" t="s">
        <v>3</v>
      </c>
      <c r="C141" t="s">
        <v>27</v>
      </c>
      <c r="E141" t="s">
        <v>3</v>
      </c>
      <c r="F141" t="s">
        <v>6</v>
      </c>
      <c r="G141" t="s">
        <v>3</v>
      </c>
      <c r="H141" t="s">
        <v>28</v>
      </c>
      <c r="I141" t="s">
        <v>3</v>
      </c>
      <c r="J141" t="s">
        <v>29</v>
      </c>
      <c r="K141" t="s">
        <v>3</v>
      </c>
    </row>
    <row r="142" spans="1:18" x14ac:dyDescent="0.15">
      <c r="A142" t="str">
        <f t="shared" si="15"/>
        <v>|Lv18|Lv1|15|「ゾンビ1体が戦場に出るたび、対戦相手は1点のダメージを受ける」という能力を持つサポート(シールド値3)トークンをボード上に生成する。それは強化されない。|</v>
      </c>
      <c r="B142" t="s">
        <v>3</v>
      </c>
      <c r="C142" t="s">
        <v>8</v>
      </c>
      <c r="D142">
        <v>18</v>
      </c>
      <c r="E142" t="s">
        <v>3</v>
      </c>
      <c r="F142" t="s">
        <v>30</v>
      </c>
      <c r="G142" t="s">
        <v>3</v>
      </c>
      <c r="H142">
        <v>15</v>
      </c>
      <c r="I142" t="s">
        <v>3</v>
      </c>
      <c r="J142" s="8" t="s">
        <v>734</v>
      </c>
      <c r="K142" t="s">
        <v>3</v>
      </c>
    </row>
    <row r="143" spans="1:18" x14ac:dyDescent="0.15">
      <c r="A143" t="str">
        <f t="shared" si="15"/>
        <v>|Lv36|Lv2|15|「ゾンビ1体が戦場に出るたび、対戦相手は2点のダメージを受ける」という能力を持つサポート(シールド値3)トークンをボード上に生成する。それは強化されない。|</v>
      </c>
      <c r="B143" t="s">
        <v>3</v>
      </c>
      <c r="C143" t="s">
        <v>8</v>
      </c>
      <c r="D143">
        <v>36</v>
      </c>
      <c r="E143" t="s">
        <v>3</v>
      </c>
      <c r="F143" t="s">
        <v>31</v>
      </c>
      <c r="G143" t="s">
        <v>3</v>
      </c>
      <c r="H143">
        <f>H142</f>
        <v>15</v>
      </c>
      <c r="I143" t="s">
        <v>3</v>
      </c>
      <c r="J143" s="8" t="s">
        <v>735</v>
      </c>
      <c r="K143" t="s">
        <v>3</v>
      </c>
    </row>
    <row r="144" spans="1:18" x14ac:dyDescent="0.15">
      <c r="A144" t="str">
        <f t="shared" si="15"/>
        <v>|Lv52|Lv3|15|「ゾンビ1体が戦場に出るたび、対戦相手は3点のダメージを受ける」という能力を持つサポート(シールド値3)トークンをボード上に生成する。それは強化されない。|</v>
      </c>
      <c r="B144" t="s">
        <v>3</v>
      </c>
      <c r="C144" t="s">
        <v>8</v>
      </c>
      <c r="D144">
        <v>52</v>
      </c>
      <c r="E144" t="s">
        <v>3</v>
      </c>
      <c r="F144" t="s">
        <v>32</v>
      </c>
      <c r="G144" t="s">
        <v>3</v>
      </c>
      <c r="H144">
        <f>H143</f>
        <v>15</v>
      </c>
      <c r="I144" t="s">
        <v>3</v>
      </c>
      <c r="J144" s="8" t="s">
        <v>736</v>
      </c>
      <c r="K144" t="s">
        <v>3</v>
      </c>
    </row>
    <row r="145" spans="1:19" x14ac:dyDescent="0.15">
      <c r="A145" t="str">
        <f t="shared" si="15"/>
        <v>|Lv60|Lv4|15|「ゾンビ1体が戦場に出るたび、対戦相手は4点のダメージを受ける」という能力を持つサポート(シールド値3)トークンをボード上に生成する。それは強化されない。|</v>
      </c>
      <c r="B145" t="s">
        <v>3</v>
      </c>
      <c r="C145" t="s">
        <v>8</v>
      </c>
      <c r="D145">
        <v>60</v>
      </c>
      <c r="E145" t="s">
        <v>3</v>
      </c>
      <c r="F145" t="s">
        <v>33</v>
      </c>
      <c r="G145" t="s">
        <v>3</v>
      </c>
      <c r="H145">
        <f>H144</f>
        <v>15</v>
      </c>
      <c r="I145" t="s">
        <v>3</v>
      </c>
      <c r="J145" t="s">
        <v>725</v>
      </c>
      <c r="K145" t="s">
        <v>3</v>
      </c>
    </row>
    <row r="146" spans="1:19" x14ac:dyDescent="0.15">
      <c r="A146" t="str">
        <f t="shared" si="15"/>
        <v>&amp;br;</v>
      </c>
      <c r="B146" t="s">
        <v>0</v>
      </c>
    </row>
    <row r="147" spans="1:19" x14ac:dyDescent="0.15">
      <c r="A147" t="str">
        <f t="shared" si="15"/>
        <v>&amp;br;</v>
      </c>
      <c r="B147" t="s">
        <v>0</v>
      </c>
    </row>
    <row r="148" spans="1:19" x14ac:dyDescent="0.15">
      <c r="A148" t="str">
        <f t="shared" si="15"/>
        <v>*レベルアップ報酬一覧</v>
      </c>
      <c r="B148" s="8" t="s">
        <v>666</v>
      </c>
      <c r="S148" s="8" t="s">
        <v>720</v>
      </c>
    </row>
    <row r="149" spans="1:19" x14ac:dyDescent="0.15">
      <c r="A149" t="str">
        <f t="shared" si="15"/>
        <v>|LEFT:50|LEFT:100|c</v>
      </c>
      <c r="B149" t="s">
        <v>3</v>
      </c>
      <c r="C149" t="s">
        <v>4</v>
      </c>
      <c r="E149" t="s">
        <v>3</v>
      </c>
      <c r="F149" t="s">
        <v>37</v>
      </c>
      <c r="I149" t="s">
        <v>3</v>
      </c>
      <c r="J149" t="s">
        <v>5</v>
      </c>
      <c r="R149" s="8" t="s">
        <v>654</v>
      </c>
      <c r="S149" t="s">
        <v>721</v>
      </c>
    </row>
    <row r="150" spans="1:19" x14ac:dyDescent="0.15">
      <c r="A150" t="str">
        <f t="shared" si="15"/>
        <v>|レベル|報酬|</v>
      </c>
      <c r="B150" t="s">
        <v>3</v>
      </c>
      <c r="C150" t="s">
        <v>6</v>
      </c>
      <c r="E150" t="s">
        <v>3</v>
      </c>
      <c r="F150" t="s">
        <v>38</v>
      </c>
      <c r="I150" t="s">
        <v>3</v>
      </c>
      <c r="Q150" t="s">
        <v>7</v>
      </c>
      <c r="R150">
        <v>3</v>
      </c>
      <c r="S150">
        <v>2</v>
      </c>
    </row>
    <row r="151" spans="1:19" x14ac:dyDescent="0.15">
      <c r="A151" t="str">
        <f t="shared" si="15"/>
        <v>|Lｖ2|黒+1|</v>
      </c>
      <c r="B151" t="s">
        <v>3</v>
      </c>
      <c r="C151" t="s">
        <v>39</v>
      </c>
      <c r="D151">
        <v>2</v>
      </c>
      <c r="E151" t="s">
        <v>3</v>
      </c>
      <c r="F151" t="s">
        <v>13</v>
      </c>
      <c r="G151" t="str">
        <f>IF(OR(F151=$Q$159,F151=$Q$160,F151=$Q$161,F151=$Q$162,ISBLANK(F151)),"","+")</f>
        <v>+</v>
      </c>
      <c r="H151">
        <f>IF(F151="HP",IF($S$149="交互",IF(ISODD((D151-1)/2),$R$150,$S$150),$R$150),IF(F151="","",VLOOKUP(F151,$Q$150:$R$163,2,FALSE)))</f>
        <v>1</v>
      </c>
      <c r="I151" t="s">
        <v>3</v>
      </c>
      <c r="Q151" t="s">
        <v>20</v>
      </c>
      <c r="R151">
        <v>1</v>
      </c>
    </row>
    <row r="152" spans="1:19" x14ac:dyDescent="0.15">
      <c r="A152" t="str">
        <f t="shared" si="15"/>
        <v>|Lｖ3|HP+3|</v>
      </c>
      <c r="B152" t="s">
        <v>3</v>
      </c>
      <c r="C152" t="s">
        <v>39</v>
      </c>
      <c r="D152">
        <v>3</v>
      </c>
      <c r="E152" t="s">
        <v>3</v>
      </c>
      <c r="F152" t="s">
        <v>7</v>
      </c>
      <c r="G152" t="str">
        <f t="shared" ref="G152:G209" si="16">IF(OR(F152=$Q$159,F152=$Q$160,F152=$Q$161,F152=$Q$162,ISBLANK(F152)),"","+")</f>
        <v>+</v>
      </c>
      <c r="H152">
        <f>IF(F152="HP",IF($S$149="交互",IF(ISODD((D152-1)/2),$R$150,$S$150),$R$150),IF(F152="","",VLOOKUP(F152,$Q$150:$R$163,2,FALSE)))</f>
        <v>3</v>
      </c>
      <c r="I152" t="s">
        <v>3</v>
      </c>
      <c r="Q152" t="s">
        <v>21</v>
      </c>
      <c r="R152">
        <v>1</v>
      </c>
    </row>
    <row r="153" spans="1:19" x14ac:dyDescent="0.15">
      <c r="A153" t="str">
        <f t="shared" si="15"/>
        <v>|Lｖ4|クリーチャー+1|</v>
      </c>
      <c r="B153" t="s">
        <v>3</v>
      </c>
      <c r="C153" t="s">
        <v>39</v>
      </c>
      <c r="D153">
        <v>4</v>
      </c>
      <c r="E153" t="s">
        <v>3</v>
      </c>
      <c r="F153" t="s">
        <v>20</v>
      </c>
      <c r="G153" t="str">
        <f t="shared" si="16"/>
        <v>+</v>
      </c>
      <c r="H153">
        <f>IF(F153="HP",IF($S$149="交互",IF(ISODD((D153-1)/2),$R$150,$S$150),$R$150),IF(F153="","",VLOOKUP(F153,$Q$150:$R$163,2,FALSE)))</f>
        <v>1</v>
      </c>
      <c r="I153" t="s">
        <v>3</v>
      </c>
      <c r="Q153" t="s">
        <v>22</v>
      </c>
      <c r="R153">
        <v>1</v>
      </c>
    </row>
    <row r="154" spans="1:19" x14ac:dyDescent="0.15">
      <c r="A154" t="str">
        <f t="shared" si="15"/>
        <v>|Lｖ5|HP+2|</v>
      </c>
      <c r="B154" t="s">
        <v>3</v>
      </c>
      <c r="C154" t="s">
        <v>39</v>
      </c>
      <c r="D154">
        <v>5</v>
      </c>
      <c r="E154" t="s">
        <v>3</v>
      </c>
      <c r="F154" t="s">
        <v>7</v>
      </c>
      <c r="G154" t="str">
        <f t="shared" si="16"/>
        <v>+</v>
      </c>
      <c r="H154">
        <f>IF(F154="HP",IF($S$149="交互",IF(ISODD((D154-1)/2),$R$150,$S$150),$R$150),IF(F154="","",VLOOKUP(F154,$Q$150:$R$163,2,FALSE)))</f>
        <v>2</v>
      </c>
      <c r="I154" t="s">
        <v>3</v>
      </c>
      <c r="Q154" t="s">
        <v>11</v>
      </c>
      <c r="R154">
        <v>1</v>
      </c>
    </row>
    <row r="155" spans="1:19" x14ac:dyDescent="0.15">
      <c r="A155" t="str">
        <f t="shared" si="15"/>
        <v>|Lｖ6|第1能力Lv1|</v>
      </c>
      <c r="B155" t="s">
        <v>3</v>
      </c>
      <c r="C155" t="s">
        <v>39</v>
      </c>
      <c r="D155">
        <v>6</v>
      </c>
      <c r="E155" t="s">
        <v>3</v>
      </c>
      <c r="F155" t="s">
        <v>40</v>
      </c>
      <c r="G155" t="str">
        <f t="shared" si="16"/>
        <v/>
      </c>
      <c r="H155">
        <v>1</v>
      </c>
      <c r="I155" t="s">
        <v>3</v>
      </c>
      <c r="Q155" t="s">
        <v>12</v>
      </c>
      <c r="R155">
        <v>1</v>
      </c>
    </row>
    <row r="156" spans="1:19" x14ac:dyDescent="0.15">
      <c r="A156" t="str">
        <f t="shared" si="15"/>
        <v>|Lｖ7|HP+3|</v>
      </c>
      <c r="B156" t="s">
        <v>3</v>
      </c>
      <c r="C156" t="s">
        <v>39</v>
      </c>
      <c r="D156">
        <v>7</v>
      </c>
      <c r="E156" t="s">
        <v>3</v>
      </c>
      <c r="F156" t="s">
        <v>7</v>
      </c>
      <c r="G156" t="str">
        <f t="shared" si="16"/>
        <v>+</v>
      </c>
      <c r="H156">
        <f>IF(F156="HP",IF($S$149="交互",IF(ISODD((D156-1)/2),$R$150,$S$150),$R$150),IF(F156="","",VLOOKUP(F156,$Q$150:$R$163,2,FALSE)))</f>
        <v>3</v>
      </c>
      <c r="I156" t="s">
        <v>3</v>
      </c>
      <c r="Q156" t="s">
        <v>13</v>
      </c>
      <c r="R156">
        <v>1</v>
      </c>
    </row>
    <row r="157" spans="1:19" x14ac:dyDescent="0.15">
      <c r="A157" t="str">
        <f t="shared" si="15"/>
        <v>|Lｖ8|青+1|</v>
      </c>
      <c r="B157" t="s">
        <v>3</v>
      </c>
      <c r="C157" t="s">
        <v>39</v>
      </c>
      <c r="D157">
        <v>8</v>
      </c>
      <c r="E157" t="s">
        <v>3</v>
      </c>
      <c r="F157" t="s">
        <v>12</v>
      </c>
      <c r="G157" t="str">
        <f t="shared" si="16"/>
        <v>+</v>
      </c>
      <c r="H157">
        <f>IF(F157="HP",IF($S$149="交互",IF(ISODD((D157-1)/2),$R$150,$S$150),$R$150),IF(F157="","",VLOOKUP(F157,$Q$150:$R$163,2,FALSE)))</f>
        <v>1</v>
      </c>
      <c r="I157" t="s">
        <v>3</v>
      </c>
      <c r="Q157" t="s">
        <v>14</v>
      </c>
      <c r="R157">
        <v>1</v>
      </c>
    </row>
    <row r="158" spans="1:19" x14ac:dyDescent="0.15">
      <c r="A158" t="str">
        <f t="shared" si="15"/>
        <v>|Lｖ9|HP+2|</v>
      </c>
      <c r="B158" t="s">
        <v>3</v>
      </c>
      <c r="C158" t="s">
        <v>39</v>
      </c>
      <c r="D158">
        <v>9</v>
      </c>
      <c r="E158" t="s">
        <v>3</v>
      </c>
      <c r="F158" t="s">
        <v>7</v>
      </c>
      <c r="G158" t="str">
        <f t="shared" si="16"/>
        <v>+</v>
      </c>
      <c r="H158">
        <f>IF(F158="HP",IF($S$149="交互",IF(ISODD((D158-1)/2),$R$150,$S$150),$R$150),IF(F158="","",VLOOKUP(F158,$Q$150:$R$163,2,FALSE)))</f>
        <v>2</v>
      </c>
      <c r="I158" t="s">
        <v>3</v>
      </c>
      <c r="Q158" t="s">
        <v>15</v>
      </c>
      <c r="R158">
        <v>1</v>
      </c>
    </row>
    <row r="159" spans="1:19" x14ac:dyDescent="0.15">
      <c r="A159" t="str">
        <f t="shared" si="15"/>
        <v>|Lｖ10|サポート+1|</v>
      </c>
      <c r="B159" t="s">
        <v>3</v>
      </c>
      <c r="C159" t="s">
        <v>39</v>
      </c>
      <c r="D159">
        <v>10</v>
      </c>
      <c r="E159" t="s">
        <v>3</v>
      </c>
      <c r="F159" t="s">
        <v>22</v>
      </c>
      <c r="G159" t="str">
        <f t="shared" si="16"/>
        <v>+</v>
      </c>
      <c r="H159">
        <f>IF(F159="HP",IF($S$149="交互",IF(ISODD((D159-1)/2),$R$150,$S$150),$R$150),IF(F159="","",VLOOKUP(F159,$Q$150:$R$163,2,FALSE)))</f>
        <v>1</v>
      </c>
      <c r="I159" t="s">
        <v>3</v>
      </c>
      <c r="Q159" t="s">
        <v>40</v>
      </c>
    </row>
    <row r="160" spans="1:19" x14ac:dyDescent="0.15">
      <c r="A160" t="str">
        <f t="shared" si="15"/>
        <v>|Lｖ11|HP+3|</v>
      </c>
      <c r="B160" t="s">
        <v>3</v>
      </c>
      <c r="C160" t="s">
        <v>39</v>
      </c>
      <c r="D160">
        <v>11</v>
      </c>
      <c r="E160" t="s">
        <v>3</v>
      </c>
      <c r="F160" t="s">
        <v>7</v>
      </c>
      <c r="G160" t="str">
        <f t="shared" si="16"/>
        <v>+</v>
      </c>
      <c r="H160">
        <f>IF(F160="HP",IF($S$149="交互",IF(ISODD((D160-1)/2),$R$150,$S$150),$R$150),IF(F160="","",VLOOKUP(F160,$Q$150:$R$163,2,FALSE)))</f>
        <v>3</v>
      </c>
      <c r="I160" t="s">
        <v>3</v>
      </c>
      <c r="Q160" t="s">
        <v>41</v>
      </c>
    </row>
    <row r="161" spans="1:18" x14ac:dyDescent="0.15">
      <c r="A161" t="str">
        <f t="shared" si="15"/>
        <v>|Lｖ12|第2能力Lv1|</v>
      </c>
      <c r="B161" t="s">
        <v>3</v>
      </c>
      <c r="C161" t="s">
        <v>39</v>
      </c>
      <c r="D161">
        <v>12</v>
      </c>
      <c r="E161" t="s">
        <v>3</v>
      </c>
      <c r="F161" t="s">
        <v>41</v>
      </c>
      <c r="G161" t="str">
        <f t="shared" si="16"/>
        <v/>
      </c>
      <c r="H161">
        <v>1</v>
      </c>
      <c r="I161" t="s">
        <v>3</v>
      </c>
      <c r="Q161" t="s">
        <v>42</v>
      </c>
    </row>
    <row r="162" spans="1:18" x14ac:dyDescent="0.15">
      <c r="A162" t="str">
        <f t="shared" si="15"/>
        <v>|Lｖ13|HP+2|</v>
      </c>
      <c r="B162" t="s">
        <v>3</v>
      </c>
      <c r="C162" t="s">
        <v>39</v>
      </c>
      <c r="D162">
        <v>13</v>
      </c>
      <c r="E162" t="s">
        <v>3</v>
      </c>
      <c r="F162" t="s">
        <v>7</v>
      </c>
      <c r="G162" t="str">
        <f t="shared" si="16"/>
        <v>+</v>
      </c>
      <c r="H162">
        <f>IF(F162="HP",IF($S$149="交互",IF(ISODD((D162-1)/2),$R$150,$S$150),$R$150),IF(F162="","",VLOOKUP(F162,$Q$150:$R$163,2,FALSE)))</f>
        <v>2</v>
      </c>
      <c r="I162" t="s">
        <v>3</v>
      </c>
      <c r="Q162" t="s">
        <v>43</v>
      </c>
      <c r="R162" s="8" t="s">
        <v>665</v>
      </c>
    </row>
    <row r="163" spans="1:18" x14ac:dyDescent="0.15">
      <c r="A163" t="str">
        <f t="shared" si="15"/>
        <v>|Lｖ14|赤+1|</v>
      </c>
      <c r="B163" t="s">
        <v>3</v>
      </c>
      <c r="C163" t="s">
        <v>39</v>
      </c>
      <c r="D163">
        <v>14</v>
      </c>
      <c r="E163" t="s">
        <v>3</v>
      </c>
      <c r="F163" t="s">
        <v>14</v>
      </c>
      <c r="G163" t="str">
        <f t="shared" si="16"/>
        <v>+</v>
      </c>
      <c r="H163">
        <f>IF(F163="HP",IF($S$149="交互",IF(ISODD((D163-1)/2),$R$150,$S$150),$R$150),IF(F163="","",VLOOKUP(F163,$Q$150:$R$163,2,FALSE)))</f>
        <v>1</v>
      </c>
      <c r="I163" t="s">
        <v>3</v>
      </c>
    </row>
    <row r="164" spans="1:18" x14ac:dyDescent="0.15">
      <c r="A164" t="str">
        <f t="shared" si="15"/>
        <v>|Lｖ15|HP+3|</v>
      </c>
      <c r="B164" t="s">
        <v>3</v>
      </c>
      <c r="C164" t="s">
        <v>39</v>
      </c>
      <c r="D164">
        <v>15</v>
      </c>
      <c r="E164" t="s">
        <v>3</v>
      </c>
      <c r="F164" t="s">
        <v>7</v>
      </c>
      <c r="G164" t="str">
        <f t="shared" si="16"/>
        <v>+</v>
      </c>
      <c r="H164">
        <f>IF(F164="HP",IF($S$149="交互",IF(ISODD((D164-1)/2),$R$150,$S$150),$R$150),IF(F164="","",VLOOKUP(F164,$Q$150:$R$163,2,FALSE)))</f>
        <v>3</v>
      </c>
      <c r="I164" t="s">
        <v>3</v>
      </c>
    </row>
    <row r="165" spans="1:18" x14ac:dyDescent="0.15">
      <c r="A165" t="str">
        <f t="shared" si="15"/>
        <v>|Lｖ16|呪文+1|</v>
      </c>
      <c r="B165" t="s">
        <v>3</v>
      </c>
      <c r="C165" t="s">
        <v>39</v>
      </c>
      <c r="D165">
        <v>16</v>
      </c>
      <c r="E165" t="s">
        <v>3</v>
      </c>
      <c r="F165" t="s">
        <v>21</v>
      </c>
      <c r="G165" t="str">
        <f t="shared" si="16"/>
        <v>+</v>
      </c>
      <c r="H165">
        <f>IF(F165="HP",IF($S$149="交互",IF(ISODD((D165-1)/2),$R$150,$S$150),$R$150),IF(F165="","",VLOOKUP(F165,$Q$150:$R$163,2,FALSE)))</f>
        <v>1</v>
      </c>
      <c r="I165" t="s">
        <v>3</v>
      </c>
    </row>
    <row r="166" spans="1:18" x14ac:dyDescent="0.15">
      <c r="A166" t="str">
        <f t="shared" si="15"/>
        <v>|Lｖ17|HP+2|</v>
      </c>
      <c r="B166" t="s">
        <v>3</v>
      </c>
      <c r="C166" t="s">
        <v>39</v>
      </c>
      <c r="D166">
        <v>17</v>
      </c>
      <c r="E166" t="s">
        <v>3</v>
      </c>
      <c r="F166" t="s">
        <v>7</v>
      </c>
      <c r="G166" t="str">
        <f t="shared" si="16"/>
        <v>+</v>
      </c>
      <c r="H166">
        <f>IF(F166="HP",IF($S$149="交互",IF(ISODD((D166-1)/2),$R$150,$S$150),$R$150),IF(F166="","",VLOOKUP(F166,$Q$150:$R$163,2,FALSE)))</f>
        <v>2</v>
      </c>
      <c r="I166" t="s">
        <v>3</v>
      </c>
    </row>
    <row r="167" spans="1:18" x14ac:dyDescent="0.15">
      <c r="A167" t="str">
        <f t="shared" si="15"/>
        <v>|Lｖ18|第3能力Lv1|</v>
      </c>
      <c r="B167" t="s">
        <v>3</v>
      </c>
      <c r="C167" t="s">
        <v>39</v>
      </c>
      <c r="D167">
        <v>18</v>
      </c>
      <c r="E167" t="s">
        <v>3</v>
      </c>
      <c r="F167" t="s">
        <v>42</v>
      </c>
      <c r="G167" t="str">
        <f t="shared" si="16"/>
        <v/>
      </c>
      <c r="H167">
        <v>1</v>
      </c>
      <c r="I167" t="s">
        <v>3</v>
      </c>
    </row>
    <row r="168" spans="1:18" x14ac:dyDescent="0.15">
      <c r="A168" t="str">
        <f t="shared" si="15"/>
        <v>|Lｖ19|HP+3|</v>
      </c>
      <c r="B168" t="s">
        <v>3</v>
      </c>
      <c r="C168" t="s">
        <v>39</v>
      </c>
      <c r="D168">
        <v>19</v>
      </c>
      <c r="E168" t="s">
        <v>3</v>
      </c>
      <c r="F168" t="s">
        <v>7</v>
      </c>
      <c r="G168" t="str">
        <f t="shared" si="16"/>
        <v>+</v>
      </c>
      <c r="H168">
        <f>IF(F168="HP",IF($S$149="交互",IF(ISODD((D168-1)/2),$R$150,$S$150),$R$150),IF(F168="","",VLOOKUP(F168,$Q$150:$R$163,2,FALSE)))</f>
        <v>3</v>
      </c>
      <c r="I168" t="s">
        <v>3</v>
      </c>
    </row>
    <row r="169" spans="1:18" x14ac:dyDescent="0.15">
      <c r="A169" t="str">
        <f t="shared" si="15"/>
        <v>|Lｖ20|白+1|</v>
      </c>
      <c r="B169" t="s">
        <v>3</v>
      </c>
      <c r="C169" t="s">
        <v>39</v>
      </c>
      <c r="D169">
        <v>20</v>
      </c>
      <c r="E169" t="s">
        <v>3</v>
      </c>
      <c r="F169" t="s">
        <v>11</v>
      </c>
      <c r="G169" t="str">
        <f t="shared" si="16"/>
        <v>+</v>
      </c>
      <c r="H169">
        <f>IF(F169="HP",IF($S$149="交互",IF(ISODD((D169-1)/2),$R$150,$S$150),$R$150),IF(F169="","",VLOOKUP(F169,$Q$150:$R$163,2,FALSE)))</f>
        <v>1</v>
      </c>
      <c r="I169" t="s">
        <v>3</v>
      </c>
    </row>
    <row r="170" spans="1:18" x14ac:dyDescent="0.15">
      <c r="A170" t="str">
        <f t="shared" si="15"/>
        <v>|Lｖ21|HP+2|</v>
      </c>
      <c r="B170" t="s">
        <v>3</v>
      </c>
      <c r="C170" t="s">
        <v>39</v>
      </c>
      <c r="D170">
        <v>21</v>
      </c>
      <c r="E170" t="s">
        <v>3</v>
      </c>
      <c r="F170" t="s">
        <v>7</v>
      </c>
      <c r="G170" t="str">
        <f t="shared" si="16"/>
        <v>+</v>
      </c>
      <c r="H170">
        <f>IF(F170="HP",IF($S$149="交互",IF(ISODD((D170-1)/2),$R$150,$S$150),$R$150),IF(F170="","",VLOOKUP(F170,$Q$150:$R$163,2,FALSE)))</f>
        <v>2</v>
      </c>
      <c r="I170" t="s">
        <v>3</v>
      </c>
    </row>
    <row r="171" spans="1:18" x14ac:dyDescent="0.15">
      <c r="A171" t="str">
        <f t="shared" si="15"/>
        <v>|Lｖ22|回復速度上昇 |</v>
      </c>
      <c r="B171" t="s">
        <v>3</v>
      </c>
      <c r="C171" t="s">
        <v>39</v>
      </c>
      <c r="D171">
        <v>22</v>
      </c>
      <c r="E171" t="s">
        <v>3</v>
      </c>
      <c r="F171" t="s">
        <v>43</v>
      </c>
      <c r="G171" t="str">
        <f t="shared" si="16"/>
        <v/>
      </c>
      <c r="H171" t="str">
        <f>IF(F171="HP",IF($S$149="交互",IF(ISODD((D171-1)/2),$R$150,$S$150),$R$150),IF(F171="","",VLOOKUP(F171,$Q$150:$R$163,2,FALSE)))</f>
        <v xml:space="preserve"> </v>
      </c>
      <c r="I171" t="s">
        <v>3</v>
      </c>
    </row>
    <row r="172" spans="1:18" x14ac:dyDescent="0.15">
      <c r="A172" t="str">
        <f t="shared" si="15"/>
        <v>|Lｖ23|HP+3|</v>
      </c>
      <c r="B172" t="s">
        <v>3</v>
      </c>
      <c r="C172" t="s">
        <v>39</v>
      </c>
      <c r="D172">
        <v>23</v>
      </c>
      <c r="E172" t="s">
        <v>3</v>
      </c>
      <c r="F172" t="s">
        <v>7</v>
      </c>
      <c r="G172" t="str">
        <f t="shared" si="16"/>
        <v>+</v>
      </c>
      <c r="H172">
        <f>IF(F172="HP",IF($S$149="交互",IF(ISODD((D172-1)/2),$R$150,$S$150),$R$150),IF(F172="","",VLOOKUP(F172,$Q$150:$R$163,2,FALSE)))</f>
        <v>3</v>
      </c>
      <c r="I172" t="s">
        <v>3</v>
      </c>
    </row>
    <row r="173" spans="1:18" x14ac:dyDescent="0.15">
      <c r="A173" t="str">
        <f t="shared" si="15"/>
        <v>|Lｖ24|第1能力Lv2|</v>
      </c>
      <c r="B173" t="s">
        <v>3</v>
      </c>
      <c r="C173" t="s">
        <v>39</v>
      </c>
      <c r="D173">
        <v>24</v>
      </c>
      <c r="E173" t="s">
        <v>3</v>
      </c>
      <c r="F173" t="s">
        <v>40</v>
      </c>
      <c r="G173" t="str">
        <f t="shared" si="16"/>
        <v/>
      </c>
      <c r="H173">
        <v>2</v>
      </c>
      <c r="I173" t="s">
        <v>3</v>
      </c>
    </row>
    <row r="174" spans="1:18" x14ac:dyDescent="0.15">
      <c r="A174" t="str">
        <f t="shared" si="15"/>
        <v>|Lｖ25|HP+2|</v>
      </c>
      <c r="B174" t="s">
        <v>3</v>
      </c>
      <c r="C174" t="s">
        <v>39</v>
      </c>
      <c r="D174">
        <v>25</v>
      </c>
      <c r="E174" t="s">
        <v>3</v>
      </c>
      <c r="F174" t="s">
        <v>7</v>
      </c>
      <c r="G174" t="str">
        <f t="shared" si="16"/>
        <v>+</v>
      </c>
      <c r="H174">
        <f>IF(F174="HP",IF($S$149="交互",IF(ISODD((D174-1)/2),$R$150,$S$150),$R$150),IF(F174="","",VLOOKUP(F174,$Q$150:$R$163,2,FALSE)))</f>
        <v>2</v>
      </c>
      <c r="I174" t="s">
        <v>3</v>
      </c>
    </row>
    <row r="175" spans="1:18" x14ac:dyDescent="0.15">
      <c r="A175" t="str">
        <f t="shared" si="15"/>
        <v>|Lｖ26|緑+1|</v>
      </c>
      <c r="B175" t="s">
        <v>3</v>
      </c>
      <c r="C175" t="s">
        <v>39</v>
      </c>
      <c r="D175">
        <v>26</v>
      </c>
      <c r="E175" t="s">
        <v>3</v>
      </c>
      <c r="F175" t="s">
        <v>15</v>
      </c>
      <c r="G175" t="str">
        <f t="shared" si="16"/>
        <v>+</v>
      </c>
      <c r="H175">
        <f>IF(F175="HP",IF($S$149="交互",IF(ISODD((D175-1)/2),$R$150,$S$150),$R$150),IF(F175="","",VLOOKUP(F175,$Q$150:$R$163,2,FALSE)))</f>
        <v>1</v>
      </c>
      <c r="I175" t="s">
        <v>3</v>
      </c>
    </row>
    <row r="176" spans="1:18" x14ac:dyDescent="0.15">
      <c r="A176" t="str">
        <f t="shared" si="15"/>
        <v>|Lｖ27|HP+3|</v>
      </c>
      <c r="B176" t="s">
        <v>3</v>
      </c>
      <c r="C176" t="s">
        <v>39</v>
      </c>
      <c r="D176">
        <v>27</v>
      </c>
      <c r="E176" t="s">
        <v>3</v>
      </c>
      <c r="F176" t="s">
        <v>7</v>
      </c>
      <c r="G176" t="str">
        <f t="shared" si="16"/>
        <v>+</v>
      </c>
      <c r="H176">
        <f>IF(F176="HP",IF($S$149="交互",IF(ISODD((D176-1)/2),$R$150,$S$150),$R$150),IF(F176="","",VLOOKUP(F176,$Q$150:$R$163,2,FALSE)))</f>
        <v>3</v>
      </c>
      <c r="I176" t="s">
        <v>3</v>
      </c>
    </row>
    <row r="177" spans="1:9" x14ac:dyDescent="0.15">
      <c r="A177" t="str">
        <f t="shared" si="15"/>
        <v>|Lｖ28|サポート+1|</v>
      </c>
      <c r="B177" t="s">
        <v>3</v>
      </c>
      <c r="C177" t="s">
        <v>39</v>
      </c>
      <c r="D177">
        <v>28</v>
      </c>
      <c r="E177" t="s">
        <v>3</v>
      </c>
      <c r="F177" t="s">
        <v>22</v>
      </c>
      <c r="G177" t="str">
        <f t="shared" si="16"/>
        <v>+</v>
      </c>
      <c r="H177">
        <f>IF(F177="HP",IF($S$149="交互",IF(ISODD((D177-1)/2),$R$150,$S$150),$R$150),IF(F177="","",VLOOKUP(F177,$Q$150:$R$163,2,FALSE)))</f>
        <v>1</v>
      </c>
      <c r="I177" t="s">
        <v>3</v>
      </c>
    </row>
    <row r="178" spans="1:9" x14ac:dyDescent="0.15">
      <c r="A178" t="str">
        <f t="shared" si="15"/>
        <v>|Lｖ29|HP+2|</v>
      </c>
      <c r="B178" t="s">
        <v>3</v>
      </c>
      <c r="C178" t="s">
        <v>39</v>
      </c>
      <c r="D178">
        <v>29</v>
      </c>
      <c r="E178" t="s">
        <v>3</v>
      </c>
      <c r="F178" t="s">
        <v>7</v>
      </c>
      <c r="G178" t="str">
        <f t="shared" si="16"/>
        <v>+</v>
      </c>
      <c r="H178">
        <f>IF(F178="HP",IF($S$149="交互",IF(ISODD((D178-1)/2),$R$150,$S$150),$R$150),IF(F178="","",VLOOKUP(F178,$Q$150:$R$163,2,FALSE)))</f>
        <v>2</v>
      </c>
      <c r="I178" t="s">
        <v>3</v>
      </c>
    </row>
    <row r="179" spans="1:9" x14ac:dyDescent="0.15">
      <c r="A179" t="str">
        <f t="shared" si="15"/>
        <v>|Lｖ30|第2能力Lv2|</v>
      </c>
      <c r="B179" t="s">
        <v>3</v>
      </c>
      <c r="C179" t="s">
        <v>39</v>
      </c>
      <c r="D179">
        <v>30</v>
      </c>
      <c r="E179" t="s">
        <v>3</v>
      </c>
      <c r="F179" t="s">
        <v>41</v>
      </c>
      <c r="G179" t="str">
        <f t="shared" si="16"/>
        <v/>
      </c>
      <c r="H179">
        <v>2</v>
      </c>
      <c r="I179" t="s">
        <v>3</v>
      </c>
    </row>
    <row r="180" spans="1:9" x14ac:dyDescent="0.15">
      <c r="A180" t="str">
        <f t="shared" si="15"/>
        <v>|Lｖ31|HP+3|</v>
      </c>
      <c r="B180" t="s">
        <v>3</v>
      </c>
      <c r="C180" t="s">
        <v>39</v>
      </c>
      <c r="D180">
        <v>31</v>
      </c>
      <c r="E180" t="s">
        <v>3</v>
      </c>
      <c r="F180" t="s">
        <v>7</v>
      </c>
      <c r="G180" t="str">
        <f t="shared" si="16"/>
        <v>+</v>
      </c>
      <c r="H180">
        <f>IF(F180="HP",IF($S$149="交互",IF(ISODD((D180-1)/2),$R$150,$S$150),$R$150),IF(F180="","",VLOOKUP(F180,$Q$150:$R$163,2,FALSE)))</f>
        <v>3</v>
      </c>
      <c r="I180" t="s">
        <v>3</v>
      </c>
    </row>
    <row r="181" spans="1:9" x14ac:dyDescent="0.15">
      <c r="A181" t="str">
        <f t="shared" si="15"/>
        <v>|Lｖ32|黒+1|</v>
      </c>
      <c r="B181" t="s">
        <v>3</v>
      </c>
      <c r="C181" t="s">
        <v>39</v>
      </c>
      <c r="D181">
        <v>32</v>
      </c>
      <c r="E181" t="s">
        <v>3</v>
      </c>
      <c r="F181" t="s">
        <v>13</v>
      </c>
      <c r="G181" t="str">
        <f t="shared" si="16"/>
        <v>+</v>
      </c>
      <c r="H181">
        <f>IF(F181="HP",IF($S$149="交互",IF(ISODD((D181-1)/2),$R$150,$S$150),$R$150),IF(F181="","",VLOOKUP(F181,$Q$150:$R$163,2,FALSE)))</f>
        <v>1</v>
      </c>
      <c r="I181" t="s">
        <v>3</v>
      </c>
    </row>
    <row r="182" spans="1:9" x14ac:dyDescent="0.15">
      <c r="A182" t="str">
        <f t="shared" si="15"/>
        <v>|Lｖ33|HP+2|</v>
      </c>
      <c r="B182" t="s">
        <v>3</v>
      </c>
      <c r="C182" t="s">
        <v>39</v>
      </c>
      <c r="D182">
        <v>33</v>
      </c>
      <c r="E182" t="s">
        <v>3</v>
      </c>
      <c r="F182" t="s">
        <v>7</v>
      </c>
      <c r="G182" t="str">
        <f t="shared" si="16"/>
        <v>+</v>
      </c>
      <c r="H182">
        <f>IF(F182="HP",IF($S$149="交互",IF(ISODD((D182-1)/2),$R$150,$S$150),$R$150),IF(F182="","",VLOOKUP(F182,$Q$150:$R$163,2,FALSE)))</f>
        <v>2</v>
      </c>
      <c r="I182" t="s">
        <v>3</v>
      </c>
    </row>
    <row r="183" spans="1:9" x14ac:dyDescent="0.15">
      <c r="A183" t="str">
        <f t="shared" si="15"/>
        <v>|Lｖ34|呪文+1|</v>
      </c>
      <c r="B183" t="s">
        <v>3</v>
      </c>
      <c r="C183" t="s">
        <v>39</v>
      </c>
      <c r="D183">
        <v>34</v>
      </c>
      <c r="E183" t="s">
        <v>3</v>
      </c>
      <c r="F183" t="s">
        <v>21</v>
      </c>
      <c r="G183" t="str">
        <f t="shared" si="16"/>
        <v>+</v>
      </c>
      <c r="H183">
        <f>IF(F183="HP",IF($S$149="交互",IF(ISODD((D183-1)/2),$R$150,$S$150),$R$150),IF(F183="","",VLOOKUP(F183,$Q$150:$R$163,2,FALSE)))</f>
        <v>1</v>
      </c>
      <c r="I183" t="s">
        <v>3</v>
      </c>
    </row>
    <row r="184" spans="1:9" x14ac:dyDescent="0.15">
      <c r="A184" t="str">
        <f t="shared" si="15"/>
        <v>|Lｖ35|HP+3|</v>
      </c>
      <c r="B184" t="s">
        <v>3</v>
      </c>
      <c r="C184" t="s">
        <v>39</v>
      </c>
      <c r="D184">
        <v>35</v>
      </c>
      <c r="E184" t="s">
        <v>3</v>
      </c>
      <c r="F184" t="s">
        <v>7</v>
      </c>
      <c r="G184" t="str">
        <f t="shared" si="16"/>
        <v>+</v>
      </c>
      <c r="H184">
        <f>IF(F184="HP",IF($S$149="交互",IF(ISODD((D184-1)/2),$R$150,$S$150),$R$150),IF(F184="","",VLOOKUP(F184,$Q$150:$R$163,2,FALSE)))</f>
        <v>3</v>
      </c>
      <c r="I184" t="s">
        <v>3</v>
      </c>
    </row>
    <row r="185" spans="1:9" x14ac:dyDescent="0.15">
      <c r="A185" t="str">
        <f t="shared" si="15"/>
        <v>|Lｖ36|第3能力Lv2|</v>
      </c>
      <c r="B185" t="s">
        <v>3</v>
      </c>
      <c r="C185" t="s">
        <v>39</v>
      </c>
      <c r="D185">
        <v>36</v>
      </c>
      <c r="E185" t="s">
        <v>3</v>
      </c>
      <c r="F185" t="s">
        <v>42</v>
      </c>
      <c r="G185" t="str">
        <f t="shared" si="16"/>
        <v/>
      </c>
      <c r="H185">
        <v>2</v>
      </c>
      <c r="I185" t="s">
        <v>3</v>
      </c>
    </row>
    <row r="186" spans="1:9" x14ac:dyDescent="0.15">
      <c r="A186" t="str">
        <f t="shared" si="15"/>
        <v>|Lｖ37|HP+2|</v>
      </c>
      <c r="B186" t="s">
        <v>3</v>
      </c>
      <c r="C186" t="s">
        <v>39</v>
      </c>
      <c r="D186">
        <v>37</v>
      </c>
      <c r="E186" t="s">
        <v>3</v>
      </c>
      <c r="F186" t="s">
        <v>7</v>
      </c>
      <c r="G186" t="str">
        <f t="shared" si="16"/>
        <v>+</v>
      </c>
      <c r="H186">
        <f>IF(F186="HP",IF($S$149="交互",IF(ISODD((D186-1)/2),$R$150,$S$150),$R$150),IF(F186="","",VLOOKUP(F186,$Q$150:$R$163,2,FALSE)))</f>
        <v>2</v>
      </c>
      <c r="I186" t="s">
        <v>3</v>
      </c>
    </row>
    <row r="187" spans="1:9" x14ac:dyDescent="0.15">
      <c r="A187" t="str">
        <f t="shared" si="15"/>
        <v>|Lｖ38|青+1|</v>
      </c>
      <c r="B187" t="s">
        <v>3</v>
      </c>
      <c r="C187" t="s">
        <v>39</v>
      </c>
      <c r="D187">
        <v>38</v>
      </c>
      <c r="E187" t="s">
        <v>3</v>
      </c>
      <c r="F187" t="s">
        <v>12</v>
      </c>
      <c r="G187" t="str">
        <f t="shared" si="16"/>
        <v>+</v>
      </c>
      <c r="H187">
        <f>IF(F187="HP",IF($S$149="交互",IF(ISODD((D187-1)/2),$R$150,$S$150),$R$150),IF(F187="","",VLOOKUP(F187,$Q$150:$R$163,2,FALSE)))</f>
        <v>1</v>
      </c>
      <c r="I187" t="s">
        <v>3</v>
      </c>
    </row>
    <row r="188" spans="1:9" x14ac:dyDescent="0.15">
      <c r="A188" t="str">
        <f t="shared" si="15"/>
        <v>|Lｖ39|HP+3|</v>
      </c>
      <c r="B188" t="s">
        <v>3</v>
      </c>
      <c r="C188" t="s">
        <v>39</v>
      </c>
      <c r="D188">
        <v>39</v>
      </c>
      <c r="E188" t="s">
        <v>3</v>
      </c>
      <c r="F188" t="s">
        <v>7</v>
      </c>
      <c r="G188" t="str">
        <f t="shared" si="16"/>
        <v>+</v>
      </c>
      <c r="H188">
        <f>IF(F188="HP",IF($S$149="交互",IF(ISODD((D188-1)/2),$R$150,$S$150),$R$150),IF(F188="","",VLOOKUP(F188,$Q$150:$R$163,2,FALSE)))</f>
        <v>3</v>
      </c>
      <c r="I188" t="s">
        <v>3</v>
      </c>
    </row>
    <row r="189" spans="1:9" x14ac:dyDescent="0.15">
      <c r="A189" t="str">
        <f t="shared" si="15"/>
        <v>|Lｖ40|第1能力Lv3|</v>
      </c>
      <c r="B189" t="s">
        <v>3</v>
      </c>
      <c r="C189" t="s">
        <v>39</v>
      </c>
      <c r="D189">
        <v>40</v>
      </c>
      <c r="E189" t="s">
        <v>3</v>
      </c>
      <c r="F189" t="s">
        <v>40</v>
      </c>
      <c r="G189" t="str">
        <f t="shared" si="16"/>
        <v/>
      </c>
      <c r="H189">
        <v>3</v>
      </c>
      <c r="I189" t="s">
        <v>3</v>
      </c>
    </row>
    <row r="190" spans="1:9" x14ac:dyDescent="0.15">
      <c r="A190" t="str">
        <f t="shared" si="15"/>
        <v>|Lｖ41|HP+2|</v>
      </c>
      <c r="B190" t="s">
        <v>3</v>
      </c>
      <c r="C190" t="s">
        <v>39</v>
      </c>
      <c r="D190">
        <v>41</v>
      </c>
      <c r="E190" t="s">
        <v>3</v>
      </c>
      <c r="F190" t="s">
        <v>7</v>
      </c>
      <c r="G190" t="str">
        <f t="shared" si="16"/>
        <v>+</v>
      </c>
      <c r="H190">
        <f>IF(F190="HP",IF($S$149="交互",IF(ISODD((D190-1)/2),$R$150,$S$150),$R$150),IF(F190="","",VLOOKUP(F190,$Q$150:$R$163,2,FALSE)))</f>
        <v>2</v>
      </c>
      <c r="I190" t="s">
        <v>3</v>
      </c>
    </row>
    <row r="191" spans="1:9" x14ac:dyDescent="0.15">
      <c r="A191" t="str">
        <f t="shared" si="15"/>
        <v>|Lｖ42|回復速度上昇 |</v>
      </c>
      <c r="B191" t="s">
        <v>3</v>
      </c>
      <c r="C191" t="s">
        <v>39</v>
      </c>
      <c r="D191">
        <v>42</v>
      </c>
      <c r="E191" t="s">
        <v>3</v>
      </c>
      <c r="F191" t="s">
        <v>43</v>
      </c>
      <c r="G191" t="str">
        <f t="shared" si="16"/>
        <v/>
      </c>
      <c r="H191" t="str">
        <f>IF(F191="HP",IF($S$149="交互",IF(ISODD((D191-1)/2),$R$150,$S$150),$R$150),IF(F191="","",VLOOKUP(F191,$Q$150:$R$163,2,FALSE)))</f>
        <v xml:space="preserve"> </v>
      </c>
      <c r="I191" t="s">
        <v>3</v>
      </c>
    </row>
    <row r="192" spans="1:9" x14ac:dyDescent="0.15">
      <c r="A192" t="str">
        <f t="shared" si="15"/>
        <v>|Lｖ43|HP+3|</v>
      </c>
      <c r="B192" t="s">
        <v>3</v>
      </c>
      <c r="C192" t="s">
        <v>39</v>
      </c>
      <c r="D192">
        <v>43</v>
      </c>
      <c r="E192" t="s">
        <v>3</v>
      </c>
      <c r="F192" t="s">
        <v>7</v>
      </c>
      <c r="G192" t="str">
        <f t="shared" si="16"/>
        <v>+</v>
      </c>
      <c r="H192">
        <f>IF(F192="HP",IF($S$149="交互",IF(ISODD((D192-1)/2),$R$150,$S$150),$R$150),IF(F192="","",VLOOKUP(F192,$Q$150:$R$163,2,FALSE)))</f>
        <v>3</v>
      </c>
      <c r="I192" t="s">
        <v>3</v>
      </c>
    </row>
    <row r="193" spans="1:9" x14ac:dyDescent="0.15">
      <c r="A193" t="str">
        <f t="shared" si="15"/>
        <v>|Lｖ44|赤+1|</v>
      </c>
      <c r="B193" t="s">
        <v>3</v>
      </c>
      <c r="C193" t="s">
        <v>39</v>
      </c>
      <c r="D193">
        <v>44</v>
      </c>
      <c r="E193" t="s">
        <v>3</v>
      </c>
      <c r="F193" t="s">
        <v>14</v>
      </c>
      <c r="G193" t="str">
        <f t="shared" si="16"/>
        <v>+</v>
      </c>
      <c r="H193">
        <f>IF(F193="HP",IF($S$149="交互",IF(ISODD((D193-1)/2),$R$150,$S$150),$R$150),IF(F193="","",VLOOKUP(F193,$Q$150:$R$163,2,FALSE)))</f>
        <v>1</v>
      </c>
      <c r="I193" t="s">
        <v>3</v>
      </c>
    </row>
    <row r="194" spans="1:9" x14ac:dyDescent="0.15">
      <c r="A194" t="str">
        <f t="shared" si="15"/>
        <v>|Lｖ45|HP+2|</v>
      </c>
      <c r="B194" t="s">
        <v>3</v>
      </c>
      <c r="C194" t="s">
        <v>39</v>
      </c>
      <c r="D194">
        <v>45</v>
      </c>
      <c r="E194" t="s">
        <v>3</v>
      </c>
      <c r="F194" t="s">
        <v>7</v>
      </c>
      <c r="G194" t="str">
        <f t="shared" si="16"/>
        <v>+</v>
      </c>
      <c r="H194">
        <f>IF(F194="HP",IF($S$149="交互",IF(ISODD((D194-1)/2),$R$150,$S$150),$R$150),IF(F194="","",VLOOKUP(F194,$Q$150:$R$163,2,FALSE)))</f>
        <v>2</v>
      </c>
      <c r="I194" t="s">
        <v>3</v>
      </c>
    </row>
    <row r="195" spans="1:9" x14ac:dyDescent="0.15">
      <c r="A195" t="str">
        <f t="shared" si="15"/>
        <v>|Lｖ46|第2能力Lv3|</v>
      </c>
      <c r="B195" t="s">
        <v>3</v>
      </c>
      <c r="C195" t="s">
        <v>39</v>
      </c>
      <c r="D195">
        <v>46</v>
      </c>
      <c r="E195" t="s">
        <v>3</v>
      </c>
      <c r="F195" t="s">
        <v>41</v>
      </c>
      <c r="G195" t="str">
        <f t="shared" si="16"/>
        <v/>
      </c>
      <c r="H195">
        <v>3</v>
      </c>
      <c r="I195" t="s">
        <v>3</v>
      </c>
    </row>
    <row r="196" spans="1:9" x14ac:dyDescent="0.15">
      <c r="A196" t="str">
        <f t="shared" si="15"/>
        <v>|Lｖ47|HP+3|</v>
      </c>
      <c r="B196" t="s">
        <v>3</v>
      </c>
      <c r="C196" t="s">
        <v>39</v>
      </c>
      <c r="D196">
        <v>47</v>
      </c>
      <c r="E196" t="s">
        <v>3</v>
      </c>
      <c r="F196" t="s">
        <v>7</v>
      </c>
      <c r="G196" t="str">
        <f t="shared" si="16"/>
        <v>+</v>
      </c>
      <c r="H196">
        <f>IF(F196="HP",IF($S$149="交互",IF(ISODD((D196-1)/2),$R$150,$S$150),$R$150),IF(F196="","",VLOOKUP(F196,$Q$150:$R$163,2,FALSE)))</f>
        <v>3</v>
      </c>
      <c r="I196" t="s">
        <v>3</v>
      </c>
    </row>
    <row r="197" spans="1:9" x14ac:dyDescent="0.15">
      <c r="A197" t="str">
        <f t="shared" si="15"/>
        <v>|Lｖ48|回復速度上昇 |</v>
      </c>
      <c r="B197" t="s">
        <v>3</v>
      </c>
      <c r="C197" t="s">
        <v>39</v>
      </c>
      <c r="D197">
        <v>48</v>
      </c>
      <c r="E197" t="s">
        <v>3</v>
      </c>
      <c r="F197" t="s">
        <v>43</v>
      </c>
      <c r="G197" t="str">
        <f t="shared" si="16"/>
        <v/>
      </c>
      <c r="H197" t="str">
        <f>IF(F197="HP",IF($S$149="交互",IF(ISODD((D197-1)/2),$R$150,$S$150),$R$150),IF(F197="","",VLOOKUP(F197,$Q$150:$R$163,2,FALSE)))</f>
        <v xml:space="preserve"> </v>
      </c>
      <c r="I197" t="s">
        <v>3</v>
      </c>
    </row>
    <row r="198" spans="1:9" x14ac:dyDescent="0.15">
      <c r="A198" t="str">
        <f t="shared" si="15"/>
        <v>|Lｖ49|HP+2|</v>
      </c>
      <c r="B198" t="s">
        <v>3</v>
      </c>
      <c r="C198" t="s">
        <v>39</v>
      </c>
      <c r="D198">
        <v>49</v>
      </c>
      <c r="E198" t="s">
        <v>3</v>
      </c>
      <c r="F198" t="s">
        <v>7</v>
      </c>
      <c r="G198" t="str">
        <f t="shared" si="16"/>
        <v>+</v>
      </c>
      <c r="H198">
        <f>IF(F198="HP",IF($S$149="交互",IF(ISODD((D198-1)/2),$R$150,$S$150),$R$150),IF(F198="","",VLOOKUP(F198,$Q$150:$R$163,2,FALSE)))</f>
        <v>2</v>
      </c>
      <c r="I198" t="s">
        <v>3</v>
      </c>
    </row>
    <row r="199" spans="1:9" x14ac:dyDescent="0.15">
      <c r="A199" t="str">
        <f t="shared" si="15"/>
        <v>|Lｖ50|白+1|</v>
      </c>
      <c r="B199" t="s">
        <v>3</v>
      </c>
      <c r="C199" t="s">
        <v>39</v>
      </c>
      <c r="D199">
        <v>50</v>
      </c>
      <c r="E199" t="s">
        <v>3</v>
      </c>
      <c r="F199" t="s">
        <v>11</v>
      </c>
      <c r="G199" t="str">
        <f t="shared" si="16"/>
        <v>+</v>
      </c>
      <c r="H199">
        <f>IF(F199="HP",IF($S$149="交互",IF(ISODD((D199-1)/2),$R$150,$S$150),$R$150),IF(F199="","",VLOOKUP(F199,$Q$150:$R$163,2,FALSE)))</f>
        <v>1</v>
      </c>
      <c r="I199" t="s">
        <v>3</v>
      </c>
    </row>
    <row r="200" spans="1:9" x14ac:dyDescent="0.15">
      <c r="A200" t="str">
        <f t="shared" si="15"/>
        <v>|Lｖ51|HP+3|</v>
      </c>
      <c r="B200" t="s">
        <v>3</v>
      </c>
      <c r="C200" t="s">
        <v>39</v>
      </c>
      <c r="D200">
        <v>51</v>
      </c>
      <c r="E200" t="s">
        <v>3</v>
      </c>
      <c r="F200" t="s">
        <v>7</v>
      </c>
      <c r="G200" t="str">
        <f t="shared" si="16"/>
        <v>+</v>
      </c>
      <c r="H200">
        <f>IF(F200="HP",IF($S$149="交互",IF(ISODD((D200-1)/2),$R$150,$S$150),$R$150),IF(F200="","",VLOOKUP(F200,$Q$150:$R$163,2,FALSE)))</f>
        <v>3</v>
      </c>
      <c r="I200" t="s">
        <v>3</v>
      </c>
    </row>
    <row r="201" spans="1:9" x14ac:dyDescent="0.15">
      <c r="A201" t="str">
        <f t="shared" si="15"/>
        <v>|Lｖ52|第3能力Lv3|</v>
      </c>
      <c r="B201" t="s">
        <v>3</v>
      </c>
      <c r="C201" t="s">
        <v>39</v>
      </c>
      <c r="D201">
        <v>52</v>
      </c>
      <c r="E201" t="s">
        <v>3</v>
      </c>
      <c r="F201" t="s">
        <v>42</v>
      </c>
      <c r="G201" t="str">
        <f t="shared" si="16"/>
        <v/>
      </c>
      <c r="H201">
        <v>3</v>
      </c>
      <c r="I201" t="s">
        <v>3</v>
      </c>
    </row>
    <row r="202" spans="1:9" x14ac:dyDescent="0.15">
      <c r="A202" t="str">
        <f t="shared" si="15"/>
        <v>|Lｖ53|HP+2|</v>
      </c>
      <c r="B202" t="s">
        <v>3</v>
      </c>
      <c r="C202" t="s">
        <v>39</v>
      </c>
      <c r="D202">
        <v>53</v>
      </c>
      <c r="E202" t="s">
        <v>3</v>
      </c>
      <c r="F202" t="s">
        <v>7</v>
      </c>
      <c r="G202" t="str">
        <f t="shared" si="16"/>
        <v>+</v>
      </c>
      <c r="H202">
        <f>IF(F202="HP",IF($S$149="交互",IF(ISODD((D202-1)/2),$R$150,$S$150),$R$150),IF(F202="","",VLOOKUP(F202,$Q$150:$R$163,2,FALSE)))</f>
        <v>2</v>
      </c>
      <c r="I202" t="s">
        <v>3</v>
      </c>
    </row>
    <row r="203" spans="1:9" x14ac:dyDescent="0.15">
      <c r="A203" t="str">
        <f t="shared" si="15"/>
        <v>|Lｖ54|回復速度上昇 |</v>
      </c>
      <c r="B203" t="s">
        <v>3</v>
      </c>
      <c r="C203" t="s">
        <v>39</v>
      </c>
      <c r="D203">
        <v>54</v>
      </c>
      <c r="E203" t="s">
        <v>3</v>
      </c>
      <c r="F203" t="s">
        <v>43</v>
      </c>
      <c r="G203" t="str">
        <f t="shared" si="16"/>
        <v/>
      </c>
      <c r="H203" t="str">
        <f>IF(F203="HP",IF($S$149="交互",IF(ISODD((D203-1)/2),$R$150,$S$150),$R$150),IF(F203="","",VLOOKUP(F203,$Q$150:$R$163,2,FALSE)))</f>
        <v xml:space="preserve"> </v>
      </c>
      <c r="I203" t="s">
        <v>3</v>
      </c>
    </row>
    <row r="204" spans="1:9" x14ac:dyDescent="0.15">
      <c r="A204" t="str">
        <f t="shared" ref="A204:A216" si="17">B204&amp;C204&amp;D204&amp;E204&amp;F204&amp;G204&amp;H204&amp;I204&amp;J204&amp;K204&amp;L204&amp;M204&amp;N204&amp;O204&amp;P204</f>
        <v>|Lｖ55|HP+3|</v>
      </c>
      <c r="B204" t="s">
        <v>3</v>
      </c>
      <c r="C204" t="s">
        <v>39</v>
      </c>
      <c r="D204">
        <v>55</v>
      </c>
      <c r="E204" t="s">
        <v>3</v>
      </c>
      <c r="F204" t="s">
        <v>7</v>
      </c>
      <c r="G204" t="str">
        <f t="shared" si="16"/>
        <v>+</v>
      </c>
      <c r="H204">
        <f>IF(F204="HP",IF($S$149="交互",IF(ISODD((D204-1)/2),$R$150,$S$150),$R$150),IF(F204="","",VLOOKUP(F204,$Q$150:$R$163,2,FALSE)))</f>
        <v>3</v>
      </c>
      <c r="I204" t="s">
        <v>3</v>
      </c>
    </row>
    <row r="205" spans="1:9" x14ac:dyDescent="0.15">
      <c r="A205" t="str">
        <f t="shared" si="17"/>
        <v>|Lｖ56|第1能力Lv4|</v>
      </c>
      <c r="B205" t="s">
        <v>3</v>
      </c>
      <c r="C205" t="s">
        <v>39</v>
      </c>
      <c r="D205">
        <v>56</v>
      </c>
      <c r="E205" t="s">
        <v>3</v>
      </c>
      <c r="F205" t="s">
        <v>40</v>
      </c>
      <c r="G205" t="str">
        <f t="shared" si="16"/>
        <v/>
      </c>
      <c r="H205">
        <v>4</v>
      </c>
      <c r="I205" t="s">
        <v>3</v>
      </c>
    </row>
    <row r="206" spans="1:9" x14ac:dyDescent="0.15">
      <c r="A206" t="str">
        <f t="shared" si="17"/>
        <v>|Lｖ57|HP+2|</v>
      </c>
      <c r="B206" t="s">
        <v>3</v>
      </c>
      <c r="C206" t="s">
        <v>39</v>
      </c>
      <c r="D206">
        <v>57</v>
      </c>
      <c r="E206" t="s">
        <v>3</v>
      </c>
      <c r="F206" t="s">
        <v>7</v>
      </c>
      <c r="G206" t="str">
        <f t="shared" si="16"/>
        <v>+</v>
      </c>
      <c r="H206">
        <f>IF(F206="HP",IF($S$149="交互",IF(ISODD((D206-1)/2),$R$150,$S$150),$R$150),IF(F206="","",VLOOKUP(F206,$Q$150:$R$163,2,FALSE)))</f>
        <v>2</v>
      </c>
      <c r="I206" t="s">
        <v>3</v>
      </c>
    </row>
    <row r="207" spans="1:9" x14ac:dyDescent="0.15">
      <c r="A207" t="str">
        <f t="shared" si="17"/>
        <v>|Lｖ58|第2能力Lv4|</v>
      </c>
      <c r="B207" t="s">
        <v>3</v>
      </c>
      <c r="C207" t="s">
        <v>39</v>
      </c>
      <c r="D207">
        <v>58</v>
      </c>
      <c r="E207" t="s">
        <v>3</v>
      </c>
      <c r="F207" t="s">
        <v>41</v>
      </c>
      <c r="G207" t="str">
        <f t="shared" si="16"/>
        <v/>
      </c>
      <c r="H207">
        <v>4</v>
      </c>
      <c r="I207" t="s">
        <v>3</v>
      </c>
    </row>
    <row r="208" spans="1:9" x14ac:dyDescent="0.15">
      <c r="A208" t="str">
        <f t="shared" si="17"/>
        <v>|Lｖ59|緑+1|</v>
      </c>
      <c r="B208" t="s">
        <v>3</v>
      </c>
      <c r="C208" t="s">
        <v>39</v>
      </c>
      <c r="D208">
        <v>59</v>
      </c>
      <c r="E208" t="s">
        <v>3</v>
      </c>
      <c r="F208" t="s">
        <v>15</v>
      </c>
      <c r="G208" t="str">
        <f t="shared" si="16"/>
        <v>+</v>
      </c>
      <c r="H208">
        <f>IF(F208="HP",IF($S$149="交互",IF(ISODD((D208-1)/2),$R$150,$S$150),$R$150),IF(F208="","",VLOOKUP(F208,$Q$150:$R$163,2,FALSE)))</f>
        <v>1</v>
      </c>
      <c r="I208" t="s">
        <v>3</v>
      </c>
    </row>
    <row r="209" spans="1:9" x14ac:dyDescent="0.15">
      <c r="A209" t="str">
        <f t="shared" si="17"/>
        <v>|Lｖ60|第3能力Lv4|</v>
      </c>
      <c r="B209" t="s">
        <v>3</v>
      </c>
      <c r="C209" t="s">
        <v>39</v>
      </c>
      <c r="D209">
        <v>60</v>
      </c>
      <c r="E209" t="s">
        <v>3</v>
      </c>
      <c r="F209" t="s">
        <v>42</v>
      </c>
      <c r="G209" t="str">
        <f t="shared" si="16"/>
        <v/>
      </c>
      <c r="H209">
        <v>4</v>
      </c>
      <c r="I209" t="s">
        <v>3</v>
      </c>
    </row>
    <row r="210" spans="1:9" x14ac:dyDescent="0.15">
      <c r="A210" t="str">
        <f t="shared" si="17"/>
        <v>必要総経験値：79920ルーン</v>
      </c>
      <c r="B210" t="s">
        <v>45</v>
      </c>
      <c r="C210">
        <v>79920</v>
      </c>
      <c r="F210" t="s">
        <v>46</v>
      </c>
    </row>
    <row r="211" spans="1:9" x14ac:dyDescent="0.15">
      <c r="A211" t="str">
        <f t="shared" si="17"/>
        <v>#endregion</v>
      </c>
      <c r="B211" t="s">
        <v>599</v>
      </c>
    </row>
    <row r="212" spans="1:9" x14ac:dyDescent="0.15">
      <c r="A212" t="str">
        <f t="shared" si="17"/>
        <v>&amp;br;</v>
      </c>
      <c r="B212" t="s">
        <v>0</v>
      </c>
    </row>
    <row r="213" spans="1:9" x14ac:dyDescent="0.15">
      <c r="A213" t="str">
        <f t="shared" si="17"/>
        <v>#back(text=戻る,left)</v>
      </c>
      <c r="B213" t="s">
        <v>47</v>
      </c>
    </row>
    <row r="214" spans="1:9" x14ac:dyDescent="0.15">
      <c r="A214" t="str">
        <f t="shared" si="17"/>
        <v>&amp;br;</v>
      </c>
      <c r="B214" t="s">
        <v>0</v>
      </c>
    </row>
    <row r="215" spans="1:9" x14ac:dyDescent="0.15">
      <c r="A215" t="str">
        <f t="shared" si="17"/>
        <v>#comment(above,nsize=[15],size=[30],num=[10])</v>
      </c>
      <c r="B215" t="s">
        <v>48</v>
      </c>
    </row>
    <row r="216" spans="1:9" x14ac:dyDescent="0.15">
      <c r="A216" t="str">
        <f t="shared" si="17"/>
        <v>[[プレインズウォーカーリスト&gt;プレインズウォーカーリスト]]</v>
      </c>
      <c r="B216" t="s">
        <v>49</v>
      </c>
    </row>
    <row r="223" spans="1:9" x14ac:dyDescent="0.15">
      <c r="B223" s="9" t="s">
        <v>655</v>
      </c>
    </row>
    <row r="224" spans="1:9" x14ac:dyDescent="0.15">
      <c r="B224" s="9" t="s">
        <v>656</v>
      </c>
      <c r="D224" s="8"/>
      <c r="E224" s="8"/>
    </row>
    <row r="225" spans="2:6" x14ac:dyDescent="0.15">
      <c r="B225" s="7">
        <v>45</v>
      </c>
    </row>
    <row r="226" spans="2:6" x14ac:dyDescent="0.15">
      <c r="B226" s="9" t="s">
        <v>657</v>
      </c>
      <c r="C226" s="9" t="s">
        <v>658</v>
      </c>
      <c r="D226" s="9" t="s">
        <v>659</v>
      </c>
    </row>
    <row r="227" spans="2:6" x14ac:dyDescent="0.15">
      <c r="B227" s="7">
        <v>4</v>
      </c>
      <c r="C227" s="7">
        <v>3</v>
      </c>
      <c r="D227" s="7">
        <v>3</v>
      </c>
    </row>
    <row r="228" spans="2:6" x14ac:dyDescent="0.15">
      <c r="B228" s="9" t="s">
        <v>660</v>
      </c>
      <c r="C228" s="9" t="s">
        <v>661</v>
      </c>
      <c r="D228" s="9" t="s">
        <v>662</v>
      </c>
      <c r="E228" s="9" t="s">
        <v>663</v>
      </c>
      <c r="F228" s="9" t="s">
        <v>664</v>
      </c>
    </row>
    <row r="229" spans="2:6" x14ac:dyDescent="0.15">
      <c r="B229" s="7">
        <v>-4</v>
      </c>
      <c r="C229" s="7">
        <v>2</v>
      </c>
      <c r="D229" s="7">
        <v>3</v>
      </c>
      <c r="E229" s="7">
        <v>1</v>
      </c>
      <c r="F229" s="7">
        <v>-3</v>
      </c>
    </row>
  </sheetData>
  <autoFilter ref="C150:I216"/>
  <phoneticPr fontId="4"/>
  <dataValidations count="3">
    <dataValidation type="list" allowBlank="1" showInputMessage="1" showErrorMessage="1" sqref="F151:F209">
      <formula1>$Q$150:$Q$162</formula1>
    </dataValidation>
    <dataValidation type="list" allowBlank="1" showInputMessage="1" showErrorMessage="1" sqref="F210:F211">
      <formula1>$Q$140:$Q$152</formula1>
    </dataValidation>
    <dataValidation type="list" showInputMessage="1" showErrorMessage="1" sqref="S149">
      <formula1>",交互"</formula1>
    </dataValidation>
  </dataValidations>
  <pageMargins left="0.69930555555555596" right="0.69930555555555596"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T152"/>
  <sheetViews>
    <sheetView workbookViewId="0">
      <selection activeCell="R58" sqref="R58:T63"/>
    </sheetView>
  </sheetViews>
  <sheetFormatPr defaultColWidth="9" defaultRowHeight="13.5" x14ac:dyDescent="0.15"/>
  <cols>
    <col min="2" max="2" width="3.5" customWidth="1"/>
    <col min="3" max="3" width="7.875" customWidth="1"/>
    <col min="4" max="4" width="5.5" customWidth="1"/>
    <col min="5" max="5" width="2" customWidth="1"/>
    <col min="7" max="7" width="2" customWidth="1"/>
    <col min="9" max="9" width="2" customWidth="1"/>
    <col min="11" max="11" width="2" customWidth="1"/>
    <col min="13" max="13" width="2" customWidth="1"/>
    <col min="15" max="15" width="2" customWidth="1"/>
  </cols>
  <sheetData>
    <row r="1" spans="1:8" x14ac:dyDescent="0.15">
      <c r="A1" t="str">
        <f>B1&amp;C1&amp;D1&amp;E1&amp;F1&amp;G1&amp;H1&amp;I1&amp;J1&amp;K1&amp;L1&amp;M1&amp;N1&amp;O1&amp;P1</f>
        <v>10マナクリスタルで購入する事で入手できる。</v>
      </c>
      <c r="B1" t="s">
        <v>149</v>
      </c>
    </row>
    <row r="2" spans="1:8" x14ac:dyDescent="0.15">
      <c r="A2" t="str">
        <f t="shared" ref="A2:A56" si="0">B2&amp;C2&amp;D2&amp;E2&amp;F2&amp;G2&amp;H2&amp;I2&amp;J2&amp;K2&amp;L2&amp;M2&amp;N2&amp;O2&amp;P2</f>
        <v>&amp;br;</v>
      </c>
      <c r="B2" t="s">
        <v>0</v>
      </c>
    </row>
    <row r="3" spans="1:8" x14ac:dyDescent="0.15">
      <c r="A3" t="str">
        <f t="shared" si="0"/>
        <v>#contents()</v>
      </c>
      <c r="B3" t="s">
        <v>1</v>
      </c>
    </row>
    <row r="4" spans="1:8" x14ac:dyDescent="0.15">
      <c r="A4" t="str">
        <f t="shared" si="0"/>
        <v>*HP [#f569d8c6]</v>
      </c>
      <c r="B4" t="s">
        <v>2</v>
      </c>
    </row>
    <row r="5" spans="1:8" x14ac:dyDescent="0.15">
      <c r="A5" t="str">
        <f t="shared" si="0"/>
        <v>|LEFT:50|LEFT:50|c</v>
      </c>
      <c r="B5" t="s">
        <v>3</v>
      </c>
      <c r="C5" t="s">
        <v>4</v>
      </c>
      <c r="E5" t="s">
        <v>3</v>
      </c>
      <c r="F5" t="s">
        <v>4</v>
      </c>
      <c r="G5" t="s">
        <v>3</v>
      </c>
      <c r="H5" t="s">
        <v>5</v>
      </c>
    </row>
    <row r="6" spans="1:8" x14ac:dyDescent="0.15">
      <c r="A6" t="str">
        <f t="shared" si="0"/>
        <v>|レベル|HP|</v>
      </c>
      <c r="B6" t="s">
        <v>3</v>
      </c>
      <c r="C6" t="s">
        <v>6</v>
      </c>
      <c r="E6" t="s">
        <v>3</v>
      </c>
      <c r="F6" t="s">
        <v>7</v>
      </c>
      <c r="G6" t="s">
        <v>3</v>
      </c>
    </row>
    <row r="7" spans="1:8" x14ac:dyDescent="0.15">
      <c r="A7" t="str">
        <f t="shared" si="0"/>
        <v>|Lv1|22|</v>
      </c>
      <c r="B7" t="s">
        <v>3</v>
      </c>
      <c r="C7" t="s">
        <v>8</v>
      </c>
      <c r="D7">
        <v>1</v>
      </c>
      <c r="E7" t="s">
        <v>3</v>
      </c>
      <c r="F7">
        <v>22</v>
      </c>
      <c r="G7" t="s">
        <v>3</v>
      </c>
    </row>
    <row r="8" spans="1:8" x14ac:dyDescent="0.15">
      <c r="A8" t="str">
        <f t="shared" si="0"/>
        <v>|Lv4|26|</v>
      </c>
      <c r="B8" t="s">
        <v>3</v>
      </c>
      <c r="C8" t="s">
        <v>8</v>
      </c>
      <c r="D8">
        <v>4</v>
      </c>
      <c r="E8" t="s">
        <v>3</v>
      </c>
      <c r="F8">
        <v>26</v>
      </c>
      <c r="G8" t="s">
        <v>3</v>
      </c>
    </row>
    <row r="9" spans="1:8" x14ac:dyDescent="0.15">
      <c r="A9" t="str">
        <f t="shared" si="0"/>
        <v>|Lv6|30|</v>
      </c>
      <c r="B9" t="s">
        <v>3</v>
      </c>
      <c r="C9" t="s">
        <v>8</v>
      </c>
      <c r="D9">
        <v>6</v>
      </c>
      <c r="E9" t="s">
        <v>3</v>
      </c>
      <c r="F9">
        <f t="shared" ref="F9:F16" si="1">F8+4</f>
        <v>30</v>
      </c>
      <c r="G9" t="s">
        <v>3</v>
      </c>
    </row>
    <row r="10" spans="1:8" x14ac:dyDescent="0.15">
      <c r="A10" t="str">
        <f t="shared" si="0"/>
        <v>|Lv11|34|</v>
      </c>
      <c r="B10" t="s">
        <v>3</v>
      </c>
      <c r="C10" t="s">
        <v>8</v>
      </c>
      <c r="D10">
        <v>11</v>
      </c>
      <c r="E10" t="s">
        <v>3</v>
      </c>
      <c r="F10">
        <f t="shared" si="1"/>
        <v>34</v>
      </c>
      <c r="G10" t="s">
        <v>3</v>
      </c>
    </row>
    <row r="11" spans="1:8" x14ac:dyDescent="0.15">
      <c r="A11" t="str">
        <f t="shared" si="0"/>
        <v>|Lv16|38|</v>
      </c>
      <c r="B11" t="s">
        <v>3</v>
      </c>
      <c r="C11" t="s">
        <v>8</v>
      </c>
      <c r="D11">
        <v>16</v>
      </c>
      <c r="E11" t="s">
        <v>3</v>
      </c>
      <c r="F11">
        <f t="shared" si="1"/>
        <v>38</v>
      </c>
      <c r="G11" t="s">
        <v>3</v>
      </c>
    </row>
    <row r="12" spans="1:8" x14ac:dyDescent="0.15">
      <c r="A12" t="str">
        <f t="shared" si="0"/>
        <v>|Lv18|42|</v>
      </c>
      <c r="B12" t="s">
        <v>3</v>
      </c>
      <c r="C12" t="s">
        <v>8</v>
      </c>
      <c r="D12">
        <v>18</v>
      </c>
      <c r="E12" t="s">
        <v>3</v>
      </c>
      <c r="F12">
        <f t="shared" si="1"/>
        <v>42</v>
      </c>
      <c r="G12" t="s">
        <v>3</v>
      </c>
    </row>
    <row r="13" spans="1:8" x14ac:dyDescent="0.15">
      <c r="A13" t="str">
        <f t="shared" si="0"/>
        <v>|Lv21|46|</v>
      </c>
      <c r="B13" t="s">
        <v>3</v>
      </c>
      <c r="C13" t="s">
        <v>8</v>
      </c>
      <c r="D13">
        <v>21</v>
      </c>
      <c r="E13" t="s">
        <v>3</v>
      </c>
      <c r="F13">
        <f t="shared" si="1"/>
        <v>46</v>
      </c>
      <c r="G13" t="s">
        <v>3</v>
      </c>
    </row>
    <row r="14" spans="1:8" x14ac:dyDescent="0.15">
      <c r="A14" t="str">
        <f t="shared" si="0"/>
        <v>|Lv24|50|</v>
      </c>
      <c r="B14" t="s">
        <v>3</v>
      </c>
      <c r="C14" t="s">
        <v>8</v>
      </c>
      <c r="D14">
        <v>24</v>
      </c>
      <c r="E14" t="s">
        <v>3</v>
      </c>
      <c r="F14">
        <f t="shared" si="1"/>
        <v>50</v>
      </c>
      <c r="G14" t="s">
        <v>3</v>
      </c>
    </row>
    <row r="15" spans="1:8" x14ac:dyDescent="0.15">
      <c r="A15" t="str">
        <f t="shared" si="0"/>
        <v>|Lv26|54|</v>
      </c>
      <c r="B15" t="s">
        <v>3</v>
      </c>
      <c r="C15" t="s">
        <v>8</v>
      </c>
      <c r="D15">
        <v>26</v>
      </c>
      <c r="E15" t="s">
        <v>3</v>
      </c>
      <c r="F15">
        <f t="shared" si="1"/>
        <v>54</v>
      </c>
      <c r="G15" t="s">
        <v>3</v>
      </c>
    </row>
    <row r="16" spans="1:8" x14ac:dyDescent="0.15">
      <c r="A16" t="str">
        <f t="shared" si="0"/>
        <v>|Lv31|58|</v>
      </c>
      <c r="B16" t="s">
        <v>3</v>
      </c>
      <c r="C16" t="s">
        <v>8</v>
      </c>
      <c r="D16">
        <v>31</v>
      </c>
      <c r="E16" t="s">
        <v>3</v>
      </c>
      <c r="F16">
        <f t="shared" si="1"/>
        <v>58</v>
      </c>
      <c r="G16" t="s">
        <v>3</v>
      </c>
    </row>
    <row r="17" spans="1:16" x14ac:dyDescent="0.15">
      <c r="A17" t="str">
        <f t="shared" si="0"/>
        <v>|Lv36|62|</v>
      </c>
      <c r="B17" t="s">
        <v>3</v>
      </c>
      <c r="C17" t="s">
        <v>8</v>
      </c>
      <c r="D17">
        <v>36</v>
      </c>
      <c r="E17" t="s">
        <v>3</v>
      </c>
      <c r="F17">
        <f>F16+4</f>
        <v>62</v>
      </c>
      <c r="G17" t="s">
        <v>3</v>
      </c>
    </row>
    <row r="18" spans="1:16" x14ac:dyDescent="0.15">
      <c r="A18" t="str">
        <f t="shared" si="0"/>
        <v>|Lv41|66|</v>
      </c>
      <c r="B18" t="s">
        <v>3</v>
      </c>
      <c r="C18" t="s">
        <v>8</v>
      </c>
      <c r="D18">
        <v>41</v>
      </c>
      <c r="E18" t="s">
        <v>3</v>
      </c>
      <c r="F18">
        <f>F17+4</f>
        <v>66</v>
      </c>
      <c r="G18" t="s">
        <v>3</v>
      </c>
    </row>
    <row r="19" spans="1:16" x14ac:dyDescent="0.15">
      <c r="A19" t="str">
        <f t="shared" si="0"/>
        <v>|Lv46|70|</v>
      </c>
      <c r="B19" t="s">
        <v>3</v>
      </c>
      <c r="C19" t="s">
        <v>8</v>
      </c>
      <c r="D19">
        <v>46</v>
      </c>
      <c r="E19" t="s">
        <v>3</v>
      </c>
      <c r="F19">
        <f>F18+4</f>
        <v>70</v>
      </c>
      <c r="G19" t="s">
        <v>3</v>
      </c>
    </row>
    <row r="20" spans="1:16" x14ac:dyDescent="0.15">
      <c r="A20" t="str">
        <f t="shared" si="0"/>
        <v>|Lv48|74|</v>
      </c>
      <c r="B20" t="s">
        <v>3</v>
      </c>
      <c r="C20" t="s">
        <v>8</v>
      </c>
      <c r="D20">
        <v>48</v>
      </c>
      <c r="E20" t="s">
        <v>3</v>
      </c>
      <c r="F20">
        <f>F19+4</f>
        <v>74</v>
      </c>
      <c r="G20" t="s">
        <v>3</v>
      </c>
    </row>
    <row r="21" spans="1:16" x14ac:dyDescent="0.15">
      <c r="A21" t="str">
        <f t="shared" si="0"/>
        <v>|Lv52|82|</v>
      </c>
      <c r="B21" t="s">
        <v>3</v>
      </c>
      <c r="C21" t="s">
        <v>8</v>
      </c>
      <c r="D21">
        <v>52</v>
      </c>
      <c r="E21" t="s">
        <v>3</v>
      </c>
      <c r="F21">
        <v>82</v>
      </c>
      <c r="G21" t="s">
        <v>3</v>
      </c>
    </row>
    <row r="22" spans="1:16" x14ac:dyDescent="0.15">
      <c r="A22" t="str">
        <f t="shared" si="0"/>
        <v>&amp;br;</v>
      </c>
      <c r="B22" t="s">
        <v>0</v>
      </c>
    </row>
    <row r="23" spans="1:16" x14ac:dyDescent="0.15">
      <c r="A23" t="str">
        <f t="shared" si="0"/>
        <v>&amp;br;</v>
      </c>
      <c r="B23" t="s">
        <v>0</v>
      </c>
    </row>
    <row r="24" spans="1:16" x14ac:dyDescent="0.15">
      <c r="A24" t="str">
        <f t="shared" si="0"/>
        <v>*マナボーナス [#q1a26f54]</v>
      </c>
      <c r="B24" t="s">
        <v>9</v>
      </c>
    </row>
    <row r="25" spans="1:16" x14ac:dyDescent="0.15">
      <c r="A25" t="str">
        <f t="shared" si="0"/>
        <v>|LEFT:50|LEFT:50|LEFT:50|LEFT:50|LEFT:50|LEFT:50|c</v>
      </c>
      <c r="B25" t="s">
        <v>3</v>
      </c>
      <c r="C25" t="s">
        <v>4</v>
      </c>
      <c r="E25" t="s">
        <v>3</v>
      </c>
      <c r="F25" t="s">
        <v>4</v>
      </c>
      <c r="G25" t="s">
        <v>3</v>
      </c>
      <c r="H25" t="s">
        <v>4</v>
      </c>
      <c r="I25" t="s">
        <v>3</v>
      </c>
      <c r="J25" t="s">
        <v>4</v>
      </c>
      <c r="K25" t="s">
        <v>3</v>
      </c>
      <c r="L25" t="s">
        <v>4</v>
      </c>
      <c r="M25" t="s">
        <v>3</v>
      </c>
      <c r="N25" t="s">
        <v>4</v>
      </c>
      <c r="O25" t="s">
        <v>3</v>
      </c>
      <c r="P25" t="s">
        <v>5</v>
      </c>
    </row>
    <row r="26" spans="1:16" x14ac:dyDescent="0.15">
      <c r="A26" t="str">
        <f t="shared" si="0"/>
        <v>|レベル|白|青|黒|赤|緑|</v>
      </c>
      <c r="B26" t="s">
        <v>3</v>
      </c>
      <c r="C26" t="s">
        <v>6</v>
      </c>
      <c r="E26" t="s">
        <v>3</v>
      </c>
      <c r="F26" t="s">
        <v>11</v>
      </c>
      <c r="G26" t="s">
        <v>3</v>
      </c>
      <c r="H26" t="s">
        <v>12</v>
      </c>
      <c r="I26" t="s">
        <v>3</v>
      </c>
      <c r="J26" t="s">
        <v>13</v>
      </c>
      <c r="K26" t="s">
        <v>3</v>
      </c>
      <c r="L26" t="s">
        <v>14</v>
      </c>
      <c r="M26" t="s">
        <v>3</v>
      </c>
      <c r="N26" t="s">
        <v>15</v>
      </c>
      <c r="O26" t="s">
        <v>3</v>
      </c>
    </row>
    <row r="27" spans="1:16" x14ac:dyDescent="0.15">
      <c r="A27" t="str">
        <f t="shared" si="0"/>
        <v>|Lv1|-1|-1|0|1|0|</v>
      </c>
      <c r="B27" t="s">
        <v>3</v>
      </c>
      <c r="C27" t="s">
        <v>8</v>
      </c>
      <c r="D27">
        <v>1</v>
      </c>
      <c r="E27" t="s">
        <v>3</v>
      </c>
      <c r="F27">
        <v>-1</v>
      </c>
      <c r="G27" t="s">
        <v>3</v>
      </c>
      <c r="H27">
        <v>-1</v>
      </c>
      <c r="I27" t="s">
        <v>3</v>
      </c>
      <c r="J27">
        <v>0</v>
      </c>
      <c r="K27" t="s">
        <v>3</v>
      </c>
      <c r="L27">
        <v>1</v>
      </c>
      <c r="M27" t="s">
        <v>3</v>
      </c>
      <c r="N27">
        <v>0</v>
      </c>
      <c r="O27" t="s">
        <v>3</v>
      </c>
    </row>
    <row r="28" spans="1:16" x14ac:dyDescent="0.15">
      <c r="A28" t="str">
        <f t="shared" si="0"/>
        <v>|Lv10|-1|-1|0|2|0|</v>
      </c>
      <c r="B28" t="s">
        <v>3</v>
      </c>
      <c r="C28" t="s">
        <v>8</v>
      </c>
      <c r="D28">
        <v>10</v>
      </c>
      <c r="E28" t="s">
        <v>3</v>
      </c>
      <c r="F28">
        <v>-1</v>
      </c>
      <c r="G28" t="s">
        <v>3</v>
      </c>
      <c r="H28">
        <v>-1</v>
      </c>
      <c r="I28" t="s">
        <v>3</v>
      </c>
      <c r="J28">
        <v>0</v>
      </c>
      <c r="K28" t="s">
        <v>3</v>
      </c>
      <c r="L28">
        <v>2</v>
      </c>
      <c r="M28" t="s">
        <v>3</v>
      </c>
      <c r="N28">
        <v>0</v>
      </c>
      <c r="O28" t="s">
        <v>3</v>
      </c>
    </row>
    <row r="29" spans="1:16" x14ac:dyDescent="0.15">
      <c r="A29" t="str">
        <f t="shared" si="0"/>
        <v>|Lv13|-1|-1|0|2|1|</v>
      </c>
      <c r="B29" t="s">
        <v>3</v>
      </c>
      <c r="C29" t="s">
        <v>8</v>
      </c>
      <c r="D29">
        <v>13</v>
      </c>
      <c r="E29" t="s">
        <v>3</v>
      </c>
      <c r="F29">
        <v>-1</v>
      </c>
      <c r="G29" t="s">
        <v>3</v>
      </c>
      <c r="H29">
        <v>-1</v>
      </c>
      <c r="I29" t="s">
        <v>3</v>
      </c>
      <c r="J29">
        <v>0</v>
      </c>
      <c r="K29" t="s">
        <v>3</v>
      </c>
      <c r="L29">
        <v>2</v>
      </c>
      <c r="M29" t="s">
        <v>3</v>
      </c>
      <c r="N29">
        <v>1</v>
      </c>
      <c r="O29" t="s">
        <v>3</v>
      </c>
    </row>
    <row r="30" spans="1:16" x14ac:dyDescent="0.15">
      <c r="A30" t="str">
        <f t="shared" si="0"/>
        <v>|Lv22|-1|-1|1|2|1|</v>
      </c>
      <c r="B30" t="s">
        <v>3</v>
      </c>
      <c r="C30" t="s">
        <v>8</v>
      </c>
      <c r="D30">
        <v>22</v>
      </c>
      <c r="E30" t="s">
        <v>3</v>
      </c>
      <c r="F30">
        <v>-1</v>
      </c>
      <c r="G30" t="s">
        <v>3</v>
      </c>
      <c r="H30">
        <v>-1</v>
      </c>
      <c r="I30" t="s">
        <v>3</v>
      </c>
      <c r="J30">
        <v>1</v>
      </c>
      <c r="K30" t="s">
        <v>3</v>
      </c>
      <c r="L30">
        <v>2</v>
      </c>
      <c r="M30" t="s">
        <v>3</v>
      </c>
      <c r="N30">
        <v>1</v>
      </c>
      <c r="O30" t="s">
        <v>3</v>
      </c>
    </row>
    <row r="31" spans="1:16" x14ac:dyDescent="0.15">
      <c r="A31" t="str">
        <f t="shared" si="0"/>
        <v>|Lv29|0|-1|1|2|1|</v>
      </c>
      <c r="B31" t="s">
        <v>3</v>
      </c>
      <c r="C31" t="s">
        <v>8</v>
      </c>
      <c r="D31">
        <v>29</v>
      </c>
      <c r="E31" t="s">
        <v>3</v>
      </c>
      <c r="F31">
        <v>0</v>
      </c>
      <c r="G31" t="s">
        <v>3</v>
      </c>
      <c r="H31">
        <v>-1</v>
      </c>
      <c r="I31" t="s">
        <v>3</v>
      </c>
      <c r="J31">
        <v>1</v>
      </c>
      <c r="K31" t="s">
        <v>3</v>
      </c>
      <c r="L31">
        <v>2</v>
      </c>
      <c r="M31" t="s">
        <v>3</v>
      </c>
      <c r="N31">
        <v>1</v>
      </c>
      <c r="O31" t="s">
        <v>3</v>
      </c>
    </row>
    <row r="32" spans="1:16" x14ac:dyDescent="0.15">
      <c r="A32" t="str">
        <f t="shared" si="0"/>
        <v>|Lv42|0|0|1|2|1|</v>
      </c>
      <c r="B32" t="s">
        <v>3</v>
      </c>
      <c r="C32" t="s">
        <v>8</v>
      </c>
      <c r="D32">
        <v>42</v>
      </c>
      <c r="E32" t="s">
        <v>3</v>
      </c>
      <c r="F32">
        <v>0</v>
      </c>
      <c r="G32" t="s">
        <v>3</v>
      </c>
      <c r="H32">
        <v>0</v>
      </c>
      <c r="I32" t="s">
        <v>3</v>
      </c>
      <c r="J32">
        <v>1</v>
      </c>
      <c r="K32" t="s">
        <v>3</v>
      </c>
      <c r="L32">
        <v>2</v>
      </c>
      <c r="M32" t="s">
        <v>3</v>
      </c>
      <c r="N32">
        <v>1</v>
      </c>
      <c r="O32" t="s">
        <v>3</v>
      </c>
    </row>
    <row r="33" spans="1:15" x14ac:dyDescent="0.15">
      <c r="A33" t="str">
        <f t="shared" si="0"/>
        <v>|Lv59|0|0|1|3|1|</v>
      </c>
      <c r="B33" t="s">
        <v>3</v>
      </c>
      <c r="C33" t="s">
        <v>8</v>
      </c>
      <c r="D33">
        <v>59</v>
      </c>
      <c r="E33" t="s">
        <v>3</v>
      </c>
      <c r="F33">
        <v>0</v>
      </c>
      <c r="G33" t="s">
        <v>3</v>
      </c>
      <c r="H33">
        <v>0</v>
      </c>
      <c r="I33" t="s">
        <v>3</v>
      </c>
      <c r="J33">
        <v>1</v>
      </c>
      <c r="K33" t="s">
        <v>3</v>
      </c>
      <c r="L33">
        <v>3</v>
      </c>
      <c r="M33" t="s">
        <v>3</v>
      </c>
      <c r="N33">
        <v>1</v>
      </c>
      <c r="O33" t="s">
        <v>3</v>
      </c>
    </row>
    <row r="34" spans="1:15" x14ac:dyDescent="0.15">
      <c r="A34" t="str">
        <f t="shared" si="0"/>
        <v>&amp;br;</v>
      </c>
      <c r="B34" t="s">
        <v>0</v>
      </c>
    </row>
    <row r="35" spans="1:15" x14ac:dyDescent="0.15">
      <c r="A35" t="str">
        <f t="shared" si="0"/>
        <v>&amp;br;</v>
      </c>
      <c r="B35" t="s">
        <v>0</v>
      </c>
    </row>
    <row r="36" spans="1:15" x14ac:dyDescent="0.15">
      <c r="A36" t="str">
        <f t="shared" si="0"/>
        <v>*デッキ構築枚数上限 [#e6f382eb]</v>
      </c>
      <c r="B36" t="s">
        <v>16</v>
      </c>
    </row>
    <row r="37" spans="1:15" x14ac:dyDescent="0.15">
      <c r="A37" t="str">
        <f t="shared" si="0"/>
        <v>構築枚数上限を越える枚数はデッキに入れられない。</v>
      </c>
      <c r="B37" t="s">
        <v>17</v>
      </c>
    </row>
    <row r="38" spans="1:15" x14ac:dyDescent="0.15">
      <c r="A38" t="str">
        <f t="shared" si="0"/>
        <v>|LEFT:50|LEFT:80|LEFT:80|LEFT:80|c</v>
      </c>
      <c r="B38" t="s">
        <v>3</v>
      </c>
      <c r="C38" t="s">
        <v>4</v>
      </c>
      <c r="E38" t="s">
        <v>3</v>
      </c>
      <c r="F38" t="s">
        <v>18</v>
      </c>
      <c r="G38" t="s">
        <v>3</v>
      </c>
      <c r="H38" t="s">
        <v>18</v>
      </c>
      <c r="I38" t="s">
        <v>3</v>
      </c>
      <c r="J38" t="s">
        <v>18</v>
      </c>
      <c r="K38" t="s">
        <v>3</v>
      </c>
      <c r="L38" t="s">
        <v>5</v>
      </c>
    </row>
    <row r="39" spans="1:15" x14ac:dyDescent="0.15">
      <c r="A39" t="str">
        <f t="shared" si="0"/>
        <v>|レベル|クリーチャー|呪文|サポート|</v>
      </c>
      <c r="B39" t="s">
        <v>3</v>
      </c>
      <c r="C39" t="s">
        <v>6</v>
      </c>
      <c r="E39" t="s">
        <v>3</v>
      </c>
      <c r="F39" t="s">
        <v>20</v>
      </c>
      <c r="G39" t="s">
        <v>3</v>
      </c>
      <c r="H39" t="s">
        <v>21</v>
      </c>
      <c r="I39" t="s">
        <v>3</v>
      </c>
      <c r="J39" t="s">
        <v>22</v>
      </c>
      <c r="K39" t="s">
        <v>3</v>
      </c>
    </row>
    <row r="40" spans="1:15" x14ac:dyDescent="0.15">
      <c r="A40" t="str">
        <f t="shared" si="0"/>
        <v>|Lv1|6|3|1|</v>
      </c>
      <c r="B40" t="s">
        <v>3</v>
      </c>
      <c r="C40" t="s">
        <v>8</v>
      </c>
      <c r="D40">
        <v>1</v>
      </c>
      <c r="E40" t="s">
        <v>3</v>
      </c>
      <c r="F40">
        <v>6</v>
      </c>
      <c r="G40" t="s">
        <v>3</v>
      </c>
      <c r="H40">
        <v>3</v>
      </c>
      <c r="I40" t="s">
        <v>3</v>
      </c>
      <c r="J40">
        <v>1</v>
      </c>
      <c r="K40" t="s">
        <v>3</v>
      </c>
    </row>
    <row r="41" spans="1:15" x14ac:dyDescent="0.15">
      <c r="A41" t="str">
        <f t="shared" si="0"/>
        <v>|Lv3|6|4|1|</v>
      </c>
      <c r="B41" t="s">
        <v>3</v>
      </c>
      <c r="C41" t="s">
        <v>8</v>
      </c>
      <c r="D41">
        <v>3</v>
      </c>
      <c r="E41" t="s">
        <v>3</v>
      </c>
      <c r="F41">
        <v>6</v>
      </c>
      <c r="G41" t="s">
        <v>3</v>
      </c>
      <c r="H41">
        <v>4</v>
      </c>
      <c r="I41" t="s">
        <v>3</v>
      </c>
      <c r="J41">
        <v>1</v>
      </c>
      <c r="K41" t="s">
        <v>3</v>
      </c>
    </row>
    <row r="42" spans="1:15" x14ac:dyDescent="0.15">
      <c r="A42" t="str">
        <f t="shared" si="0"/>
        <v>|Lv7|6|4|2|</v>
      </c>
      <c r="B42" t="s">
        <v>3</v>
      </c>
      <c r="C42" t="s">
        <v>8</v>
      </c>
      <c r="D42">
        <v>7</v>
      </c>
      <c r="E42" t="s">
        <v>3</v>
      </c>
      <c r="F42">
        <v>6</v>
      </c>
      <c r="G42" t="s">
        <v>3</v>
      </c>
      <c r="H42">
        <v>4</v>
      </c>
      <c r="I42" t="s">
        <v>3</v>
      </c>
      <c r="J42">
        <v>2</v>
      </c>
      <c r="K42" t="s">
        <v>3</v>
      </c>
    </row>
    <row r="43" spans="1:15" x14ac:dyDescent="0.15">
      <c r="A43" t="str">
        <f t="shared" si="0"/>
        <v>|Lv9|7|4|2|</v>
      </c>
      <c r="B43" t="s">
        <v>3</v>
      </c>
      <c r="C43" t="s">
        <v>8</v>
      </c>
      <c r="D43">
        <v>9</v>
      </c>
      <c r="E43" t="s">
        <v>3</v>
      </c>
      <c r="F43">
        <v>7</v>
      </c>
      <c r="G43" t="s">
        <v>3</v>
      </c>
      <c r="H43">
        <v>4</v>
      </c>
      <c r="I43" t="s">
        <v>3</v>
      </c>
      <c r="J43">
        <v>2</v>
      </c>
      <c r="K43" t="s">
        <v>3</v>
      </c>
    </row>
    <row r="44" spans="1:15" x14ac:dyDescent="0.15">
      <c r="A44" t="str">
        <f t="shared" si="0"/>
        <v>|Lv15|7|5|2|</v>
      </c>
      <c r="B44" t="s">
        <v>3</v>
      </c>
      <c r="C44" t="s">
        <v>8</v>
      </c>
      <c r="D44">
        <v>15</v>
      </c>
      <c r="E44" t="s">
        <v>3</v>
      </c>
      <c r="F44">
        <v>7</v>
      </c>
      <c r="G44" t="s">
        <v>3</v>
      </c>
      <c r="H44">
        <v>5</v>
      </c>
      <c r="I44" t="s">
        <v>3</v>
      </c>
      <c r="J44">
        <v>2</v>
      </c>
      <c r="K44" t="s">
        <v>3</v>
      </c>
    </row>
    <row r="45" spans="1:15" x14ac:dyDescent="0.15">
      <c r="A45" t="str">
        <f t="shared" si="0"/>
        <v>|Lv19|7|5|3|</v>
      </c>
      <c r="B45" t="s">
        <v>3</v>
      </c>
      <c r="C45" t="s">
        <v>8</v>
      </c>
      <c r="D45">
        <v>19</v>
      </c>
      <c r="E45" t="s">
        <v>3</v>
      </c>
      <c r="F45">
        <v>7</v>
      </c>
      <c r="G45" t="s">
        <v>3</v>
      </c>
      <c r="H45">
        <v>5</v>
      </c>
      <c r="I45" t="s">
        <v>3</v>
      </c>
      <c r="J45">
        <v>3</v>
      </c>
      <c r="K45" t="s">
        <v>3</v>
      </c>
    </row>
    <row r="46" spans="1:15" x14ac:dyDescent="0.15">
      <c r="A46" t="str">
        <f t="shared" ref="A46:A51" si="2">B46&amp;C46&amp;D46&amp;E46&amp;F46&amp;G46&amp;H46&amp;I46&amp;J46&amp;K46&amp;L46&amp;M46&amp;N46&amp;O46&amp;P46</f>
        <v>|Lv23|8|5|3|</v>
      </c>
      <c r="B46" t="s">
        <v>3</v>
      </c>
      <c r="C46" t="s">
        <v>8</v>
      </c>
      <c r="D46">
        <v>23</v>
      </c>
      <c r="E46" t="s">
        <v>3</v>
      </c>
      <c r="F46">
        <v>8</v>
      </c>
      <c r="G46" t="s">
        <v>3</v>
      </c>
      <c r="H46">
        <v>5</v>
      </c>
      <c r="I46" t="s">
        <v>3</v>
      </c>
      <c r="J46">
        <v>3</v>
      </c>
      <c r="K46" t="s">
        <v>3</v>
      </c>
    </row>
    <row r="47" spans="1:15" x14ac:dyDescent="0.15">
      <c r="A47" t="str">
        <f t="shared" si="2"/>
        <v>|Lv28|8|6|3|</v>
      </c>
      <c r="B47" t="s">
        <v>3</v>
      </c>
      <c r="C47" t="s">
        <v>8</v>
      </c>
      <c r="D47">
        <v>28</v>
      </c>
      <c r="E47" t="s">
        <v>3</v>
      </c>
      <c r="F47">
        <v>8</v>
      </c>
      <c r="G47" t="s">
        <v>3</v>
      </c>
      <c r="H47">
        <v>6</v>
      </c>
      <c r="I47" t="s">
        <v>3</v>
      </c>
      <c r="J47">
        <v>3</v>
      </c>
      <c r="K47" t="s">
        <v>3</v>
      </c>
    </row>
    <row r="48" spans="1:15" x14ac:dyDescent="0.15">
      <c r="A48" t="str">
        <f t="shared" si="2"/>
        <v>|Lv39|8|7|3|</v>
      </c>
      <c r="B48" t="s">
        <v>3</v>
      </c>
      <c r="C48" t="s">
        <v>8</v>
      </c>
      <c r="D48">
        <v>39</v>
      </c>
      <c r="E48" t="s">
        <v>3</v>
      </c>
      <c r="F48">
        <v>8</v>
      </c>
      <c r="G48" t="s">
        <v>3</v>
      </c>
      <c r="H48">
        <v>7</v>
      </c>
      <c r="I48" t="s">
        <v>3</v>
      </c>
      <c r="J48">
        <v>3</v>
      </c>
      <c r="K48" t="s">
        <v>3</v>
      </c>
    </row>
    <row r="49" spans="1:20" x14ac:dyDescent="0.15">
      <c r="A49" t="str">
        <f>B49&amp;C49&amp;D49&amp;E49&amp;F49&amp;G49&amp;H49&amp;I49&amp;J49&amp;K49&amp;L49&amp;M49&amp;N49&amp;O49&amp;P49</f>
        <v>|Lv43|8|7|4|</v>
      </c>
      <c r="B49" t="s">
        <v>3</v>
      </c>
      <c r="C49" t="s">
        <v>8</v>
      </c>
      <c r="D49">
        <v>43</v>
      </c>
      <c r="E49" t="s">
        <v>3</v>
      </c>
      <c r="F49">
        <v>8</v>
      </c>
      <c r="G49" t="s">
        <v>3</v>
      </c>
      <c r="H49">
        <v>7</v>
      </c>
      <c r="I49" t="s">
        <v>3</v>
      </c>
      <c r="J49">
        <v>4</v>
      </c>
      <c r="K49" t="s">
        <v>3</v>
      </c>
    </row>
    <row r="50" spans="1:20" x14ac:dyDescent="0.15">
      <c r="A50" t="str">
        <f>B50&amp;C50&amp;D50&amp;E50&amp;F50&amp;G50&amp;H50&amp;I50&amp;J50&amp;K50&amp;L50&amp;M50&amp;N50&amp;O50&amp;P50</f>
        <v>|Lv47|9|7|4|</v>
      </c>
      <c r="B50" t="s">
        <v>3</v>
      </c>
      <c r="C50" t="s">
        <v>8</v>
      </c>
      <c r="D50">
        <v>47</v>
      </c>
      <c r="E50" t="s">
        <v>3</v>
      </c>
      <c r="F50">
        <v>9</v>
      </c>
      <c r="G50" t="s">
        <v>3</v>
      </c>
      <c r="H50">
        <v>7</v>
      </c>
      <c r="I50" t="s">
        <v>3</v>
      </c>
      <c r="J50">
        <v>4</v>
      </c>
      <c r="K50" t="s">
        <v>3</v>
      </c>
    </row>
    <row r="51" spans="1:20" x14ac:dyDescent="0.15">
      <c r="A51" t="str">
        <f t="shared" si="2"/>
        <v>|Lv49|9|8|4|</v>
      </c>
      <c r="B51" t="s">
        <v>3</v>
      </c>
      <c r="C51" t="s">
        <v>8</v>
      </c>
      <c r="D51">
        <v>49</v>
      </c>
      <c r="E51" t="s">
        <v>3</v>
      </c>
      <c r="F51">
        <v>9</v>
      </c>
      <c r="G51" t="s">
        <v>3</v>
      </c>
      <c r="H51">
        <v>8</v>
      </c>
      <c r="I51" t="s">
        <v>3</v>
      </c>
      <c r="J51">
        <v>4</v>
      </c>
      <c r="K51" t="s">
        <v>3</v>
      </c>
    </row>
    <row r="52" spans="1:20" x14ac:dyDescent="0.15">
      <c r="A52" t="str">
        <f t="shared" si="0"/>
        <v>|Lv55|9|8|5|</v>
      </c>
      <c r="B52" t="s">
        <v>3</v>
      </c>
      <c r="C52" t="s">
        <v>8</v>
      </c>
      <c r="D52">
        <v>55</v>
      </c>
      <c r="E52" t="s">
        <v>3</v>
      </c>
      <c r="F52">
        <v>9</v>
      </c>
      <c r="G52" t="s">
        <v>3</v>
      </c>
      <c r="H52">
        <v>8</v>
      </c>
      <c r="I52" t="s">
        <v>3</v>
      </c>
      <c r="J52">
        <v>5</v>
      </c>
      <c r="K52" t="s">
        <v>3</v>
      </c>
    </row>
    <row r="53" spans="1:20" x14ac:dyDescent="0.15">
      <c r="A53" t="str">
        <f>B53&amp;C53&amp;D53&amp;E53&amp;F53&amp;G53&amp;H53&amp;I53&amp;J53&amp;K53&amp;L53&amp;M53&amp;N53&amp;O53&amp;P53</f>
        <v>|Lv57|9|9|5|</v>
      </c>
      <c r="B53" t="s">
        <v>3</v>
      </c>
      <c r="C53" t="s">
        <v>8</v>
      </c>
      <c r="D53">
        <v>57</v>
      </c>
      <c r="E53" t="s">
        <v>3</v>
      </c>
      <c r="F53">
        <v>9</v>
      </c>
      <c r="G53" t="s">
        <v>3</v>
      </c>
      <c r="H53">
        <v>9</v>
      </c>
      <c r="I53" t="s">
        <v>3</v>
      </c>
      <c r="J53">
        <v>5</v>
      </c>
      <c r="K53" t="s">
        <v>3</v>
      </c>
    </row>
    <row r="54" spans="1:20" x14ac:dyDescent="0.15">
      <c r="A54" t="str">
        <f t="shared" si="0"/>
        <v>|Lv58|10|9|5|</v>
      </c>
      <c r="B54" t="s">
        <v>3</v>
      </c>
      <c r="C54" t="s">
        <v>8</v>
      </c>
      <c r="D54">
        <v>58</v>
      </c>
      <c r="E54" t="s">
        <v>3</v>
      </c>
      <c r="F54">
        <v>10</v>
      </c>
      <c r="G54" t="s">
        <v>3</v>
      </c>
      <c r="H54">
        <v>9</v>
      </c>
      <c r="I54" t="s">
        <v>3</v>
      </c>
      <c r="J54">
        <v>5</v>
      </c>
      <c r="K54" t="s">
        <v>3</v>
      </c>
    </row>
    <row r="55" spans="1:20" x14ac:dyDescent="0.15">
      <c r="A55" t="str">
        <f t="shared" si="0"/>
        <v>&amp;br;</v>
      </c>
      <c r="B55" t="s">
        <v>0</v>
      </c>
    </row>
    <row r="56" spans="1:20" x14ac:dyDescent="0.15">
      <c r="A56" t="str">
        <f t="shared" si="0"/>
        <v>&amp;br;</v>
      </c>
      <c r="B56" t="s">
        <v>0</v>
      </c>
    </row>
    <row r="57" spans="1:20" x14ac:dyDescent="0.15">
      <c r="A57" t="str">
        <f t="shared" ref="A57:A120" si="3">B57&amp;C57&amp;D57&amp;E57&amp;F57&amp;G57&amp;H57&amp;I57&amp;J57&amp;K57&amp;L57&amp;M57&amp;N57&amp;O57&amp;P57</f>
        <v>*PW能力一覧 [#a469e89f]</v>
      </c>
      <c r="B57" t="s">
        <v>23</v>
      </c>
    </row>
    <row r="58" spans="1:20" x14ac:dyDescent="0.15">
      <c r="A58" t="str">
        <f t="shared" si="3"/>
        <v>**第1能力：</v>
      </c>
      <c r="B58" t="s">
        <v>24</v>
      </c>
      <c r="R58" t="str">
        <f>D58&amp;E58&amp;F58</f>
        <v/>
      </c>
      <c r="S58" t="s">
        <v>3</v>
      </c>
      <c r="T58">
        <f>H64</f>
        <v>6</v>
      </c>
    </row>
    <row r="59" spans="1:20" x14ac:dyDescent="0.15">
      <c r="A59" t="str">
        <f t="shared" si="3"/>
        <v>|LEFT:50|LEFT:50|LEFT:50|LEFT:300|c</v>
      </c>
      <c r="B59" t="s">
        <v>3</v>
      </c>
      <c r="C59" t="s">
        <v>4</v>
      </c>
      <c r="E59" t="s">
        <v>3</v>
      </c>
      <c r="F59" t="s">
        <v>4</v>
      </c>
      <c r="G59" t="s">
        <v>3</v>
      </c>
      <c r="H59" t="s">
        <v>4</v>
      </c>
      <c r="I59" t="s">
        <v>3</v>
      </c>
      <c r="J59" t="s">
        <v>26</v>
      </c>
      <c r="K59" t="s">
        <v>3</v>
      </c>
      <c r="L59" t="s">
        <v>5</v>
      </c>
      <c r="R59" t="s">
        <v>209</v>
      </c>
      <c r="S59" t="s">
        <v>3</v>
      </c>
      <c r="T59" t="str">
        <f>J64</f>
        <v>対戦相手に4点のダメージを与える。ジェム3×3のエリアを破壊</v>
      </c>
    </row>
    <row r="60" spans="1:20" x14ac:dyDescent="0.15">
      <c r="A60" t="str">
        <f t="shared" si="3"/>
        <v>|解放Lv|レベル|コスト|効果|</v>
      </c>
      <c r="B60" t="s">
        <v>3</v>
      </c>
      <c r="C60" t="s">
        <v>27</v>
      </c>
      <c r="E60" t="s">
        <v>3</v>
      </c>
      <c r="F60" t="s">
        <v>6</v>
      </c>
      <c r="G60" t="s">
        <v>3</v>
      </c>
      <c r="H60" t="s">
        <v>28</v>
      </c>
      <c r="I60" t="s">
        <v>3</v>
      </c>
      <c r="J60" t="s">
        <v>29</v>
      </c>
      <c r="K60" t="s">
        <v>3</v>
      </c>
      <c r="R60" t="str">
        <f>D67&amp;E67&amp;F67</f>
        <v/>
      </c>
      <c r="S60" t="s">
        <v>3</v>
      </c>
      <c r="T60">
        <f>H73</f>
        <v>9</v>
      </c>
    </row>
    <row r="61" spans="1:20" x14ac:dyDescent="0.15">
      <c r="A61" t="str">
        <f t="shared" si="3"/>
        <v>|Lv2|Lv1|6|対戦相手に2点のダメージを与える。|</v>
      </c>
      <c r="B61" t="s">
        <v>3</v>
      </c>
      <c r="C61" t="s">
        <v>8</v>
      </c>
      <c r="D61">
        <v>2</v>
      </c>
      <c r="E61" t="s">
        <v>3</v>
      </c>
      <c r="F61" t="s">
        <v>30</v>
      </c>
      <c r="G61" t="s">
        <v>3</v>
      </c>
      <c r="H61">
        <v>6</v>
      </c>
      <c r="I61" t="s">
        <v>3</v>
      </c>
      <c r="J61" t="s">
        <v>272</v>
      </c>
      <c r="K61" t="s">
        <v>3</v>
      </c>
      <c r="R61" t="s">
        <v>209</v>
      </c>
      <c r="S61" t="s">
        <v>3</v>
      </c>
      <c r="T61" t="str">
        <f>J73</f>
        <v>対戦相手がコントロールするすべてのクリーチャーに4点のダメージを与える。</v>
      </c>
    </row>
    <row r="62" spans="1:20" x14ac:dyDescent="0.15">
      <c r="A62" t="str">
        <f t="shared" si="3"/>
        <v>|Lv8|Lv2|6|対戦相手に3点のダメージを与える。|</v>
      </c>
      <c r="B62" t="s">
        <v>3</v>
      </c>
      <c r="C62" t="s">
        <v>8</v>
      </c>
      <c r="D62">
        <v>8</v>
      </c>
      <c r="E62" t="s">
        <v>3</v>
      </c>
      <c r="F62" t="s">
        <v>31</v>
      </c>
      <c r="G62" t="s">
        <v>3</v>
      </c>
      <c r="H62">
        <v>6</v>
      </c>
      <c r="I62" t="s">
        <v>3</v>
      </c>
      <c r="J62" t="s">
        <v>273</v>
      </c>
      <c r="K62" t="s">
        <v>3</v>
      </c>
      <c r="R62" t="str">
        <f>D76&amp;E76&amp;F76</f>
        <v/>
      </c>
      <c r="S62" t="s">
        <v>3</v>
      </c>
      <c r="T62">
        <f>H82</f>
        <v>21</v>
      </c>
    </row>
    <row r="63" spans="1:20" x14ac:dyDescent="0.15">
      <c r="A63" t="str">
        <f t="shared" si="3"/>
        <v>|Lv38|Lv3|6|対戦相手に3点のダメージを与える。ジェム3×3のエリアを破壊|</v>
      </c>
      <c r="B63" t="s">
        <v>3</v>
      </c>
      <c r="C63" t="s">
        <v>8</v>
      </c>
      <c r="D63">
        <v>38</v>
      </c>
      <c r="E63" t="s">
        <v>3</v>
      </c>
      <c r="F63" t="s">
        <v>32</v>
      </c>
      <c r="G63" t="s">
        <v>3</v>
      </c>
      <c r="H63">
        <v>6</v>
      </c>
      <c r="I63" t="s">
        <v>3</v>
      </c>
      <c r="J63" t="s">
        <v>274</v>
      </c>
      <c r="K63" t="s">
        <v>3</v>
      </c>
      <c r="R63" t="s">
        <v>209</v>
      </c>
      <c r="S63" t="s">
        <v>3</v>
      </c>
      <c r="T63" t="str">
        <f>J82</f>
        <v>対戦相手に25点のダメージを与える。ジェム5×5のエリアを2つ破壊する。</v>
      </c>
    </row>
    <row r="64" spans="1:20" x14ac:dyDescent="0.15">
      <c r="A64" t="str">
        <f t="shared" si="3"/>
        <v>|Lv51|Lv4|6|対戦相手に4点のダメージを与える。ジェム3×3のエリアを破壊|</v>
      </c>
      <c r="B64" t="s">
        <v>3</v>
      </c>
      <c r="C64" t="s">
        <v>8</v>
      </c>
      <c r="D64">
        <v>51</v>
      </c>
      <c r="E64" t="s">
        <v>3</v>
      </c>
      <c r="F64" t="s">
        <v>33</v>
      </c>
      <c r="G64" t="s">
        <v>3</v>
      </c>
      <c r="H64">
        <v>6</v>
      </c>
      <c r="I64" t="s">
        <v>3</v>
      </c>
      <c r="J64" t="s">
        <v>275</v>
      </c>
      <c r="K64" t="s">
        <v>3</v>
      </c>
    </row>
    <row r="65" spans="1:12" x14ac:dyDescent="0.15">
      <c r="A65" t="str">
        <f t="shared" si="3"/>
        <v>&amp;br;</v>
      </c>
      <c r="B65" t="s">
        <v>0</v>
      </c>
    </row>
    <row r="66" spans="1:12" x14ac:dyDescent="0.15">
      <c r="A66" t="str">
        <f t="shared" si="3"/>
        <v>&amp;br;</v>
      </c>
      <c r="B66" t="s">
        <v>0</v>
      </c>
    </row>
    <row r="67" spans="1:12" x14ac:dyDescent="0.15">
      <c r="A67" t="str">
        <f t="shared" si="3"/>
        <v>**第2能力：</v>
      </c>
      <c r="B67" t="s">
        <v>34</v>
      </c>
    </row>
    <row r="68" spans="1:12" x14ac:dyDescent="0.15">
      <c r="A68" t="str">
        <f t="shared" si="3"/>
        <v>|LEFT:50|LEFT:50|LEFT:50|LEFT:300|c</v>
      </c>
      <c r="B68" t="s">
        <v>3</v>
      </c>
      <c r="C68" t="s">
        <v>4</v>
      </c>
      <c r="E68" t="s">
        <v>3</v>
      </c>
      <c r="F68" t="s">
        <v>4</v>
      </c>
      <c r="G68" t="s">
        <v>3</v>
      </c>
      <c r="H68" t="s">
        <v>4</v>
      </c>
      <c r="I68" t="s">
        <v>3</v>
      </c>
      <c r="J68" t="s">
        <v>26</v>
      </c>
      <c r="K68" t="s">
        <v>3</v>
      </c>
      <c r="L68" t="s">
        <v>5</v>
      </c>
    </row>
    <row r="69" spans="1:12" x14ac:dyDescent="0.15">
      <c r="A69" t="str">
        <f t="shared" si="3"/>
        <v>|解放Lv|レベル|コスト|効果|</v>
      </c>
      <c r="B69" t="s">
        <v>3</v>
      </c>
      <c r="C69" t="s">
        <v>27</v>
      </c>
      <c r="E69" t="s">
        <v>3</v>
      </c>
      <c r="F69" t="s">
        <v>6</v>
      </c>
      <c r="G69" t="s">
        <v>3</v>
      </c>
      <c r="H69" t="s">
        <v>28</v>
      </c>
      <c r="I69" t="s">
        <v>3</v>
      </c>
      <c r="J69" t="s">
        <v>29</v>
      </c>
      <c r="K69" t="s">
        <v>3</v>
      </c>
    </row>
    <row r="70" spans="1:12" x14ac:dyDescent="0.15">
      <c r="A70" t="str">
        <f t="shared" si="3"/>
        <v>|Lv14|Lv1|9|クリーチャー1体に2点のダメージを与える。|</v>
      </c>
      <c r="B70" t="s">
        <v>3</v>
      </c>
      <c r="C70" t="s">
        <v>8</v>
      </c>
      <c r="D70">
        <v>14</v>
      </c>
      <c r="E70" t="s">
        <v>3</v>
      </c>
      <c r="F70" t="s">
        <v>30</v>
      </c>
      <c r="G70" t="s">
        <v>3</v>
      </c>
      <c r="H70">
        <v>9</v>
      </c>
      <c r="I70" t="s">
        <v>3</v>
      </c>
      <c r="J70" t="s">
        <v>276</v>
      </c>
      <c r="K70" t="s">
        <v>3</v>
      </c>
    </row>
    <row r="71" spans="1:12" x14ac:dyDescent="0.15">
      <c r="A71" t="str">
        <f t="shared" si="3"/>
        <v>|Lv20|Lv2|9|クリーチャー1体に3点のダメージを与える。|</v>
      </c>
      <c r="B71" t="s">
        <v>3</v>
      </c>
      <c r="C71" t="s">
        <v>8</v>
      </c>
      <c r="D71">
        <v>20</v>
      </c>
      <c r="E71" t="s">
        <v>3</v>
      </c>
      <c r="F71" t="s">
        <v>31</v>
      </c>
      <c r="G71" t="s">
        <v>3</v>
      </c>
      <c r="H71">
        <v>9</v>
      </c>
      <c r="I71" t="s">
        <v>3</v>
      </c>
      <c r="J71" t="s">
        <v>277</v>
      </c>
      <c r="K71" t="s">
        <v>3</v>
      </c>
    </row>
    <row r="72" spans="1:12" x14ac:dyDescent="0.15">
      <c r="A72" t="str">
        <f t="shared" si="3"/>
        <v>|Lv44|Lv3|9|対戦相手がコントロールするすべてのクリーチャーに3点のダメージを与える。|</v>
      </c>
      <c r="B72" t="s">
        <v>3</v>
      </c>
      <c r="C72" t="s">
        <v>8</v>
      </c>
      <c r="D72">
        <v>44</v>
      </c>
      <c r="E72" t="s">
        <v>3</v>
      </c>
      <c r="F72" t="s">
        <v>32</v>
      </c>
      <c r="G72" t="s">
        <v>3</v>
      </c>
      <c r="H72">
        <v>9</v>
      </c>
      <c r="I72" t="s">
        <v>3</v>
      </c>
      <c r="J72" t="s">
        <v>278</v>
      </c>
      <c r="K72" t="s">
        <v>3</v>
      </c>
    </row>
    <row r="73" spans="1:12" x14ac:dyDescent="0.15">
      <c r="A73" t="str">
        <f t="shared" si="3"/>
        <v>|Lv54|Lv4|9|対戦相手がコントロールするすべてのクリーチャーに4点のダメージを与える。|</v>
      </c>
      <c r="B73" t="s">
        <v>3</v>
      </c>
      <c r="C73" t="s">
        <v>8</v>
      </c>
      <c r="D73">
        <v>54</v>
      </c>
      <c r="E73" t="s">
        <v>3</v>
      </c>
      <c r="F73" t="s">
        <v>33</v>
      </c>
      <c r="G73" t="s">
        <v>3</v>
      </c>
      <c r="H73">
        <v>9</v>
      </c>
      <c r="I73" t="s">
        <v>3</v>
      </c>
      <c r="J73" t="s">
        <v>279</v>
      </c>
      <c r="K73" t="s">
        <v>3</v>
      </c>
    </row>
    <row r="74" spans="1:12" x14ac:dyDescent="0.15">
      <c r="A74" t="str">
        <f t="shared" si="3"/>
        <v>&amp;br;</v>
      </c>
      <c r="B74" t="s">
        <v>0</v>
      </c>
    </row>
    <row r="75" spans="1:12" x14ac:dyDescent="0.15">
      <c r="A75" t="str">
        <f t="shared" si="3"/>
        <v>&amp;br;</v>
      </c>
      <c r="B75" t="s">
        <v>0</v>
      </c>
    </row>
    <row r="76" spans="1:12" x14ac:dyDescent="0.15">
      <c r="A76" t="str">
        <f t="shared" si="3"/>
        <v>**第3能力：</v>
      </c>
      <c r="B76" t="s">
        <v>35</v>
      </c>
    </row>
    <row r="77" spans="1:12" x14ac:dyDescent="0.15">
      <c r="A77" t="str">
        <f t="shared" si="3"/>
        <v>|LEFT:50|LEFT:50|LEFT:50|LEFT:300|c</v>
      </c>
      <c r="B77" t="s">
        <v>3</v>
      </c>
      <c r="C77" t="s">
        <v>4</v>
      </c>
      <c r="E77" t="s">
        <v>3</v>
      </c>
      <c r="F77" t="s">
        <v>4</v>
      </c>
      <c r="G77" t="s">
        <v>3</v>
      </c>
      <c r="H77" t="s">
        <v>4</v>
      </c>
      <c r="I77" t="s">
        <v>3</v>
      </c>
      <c r="J77" t="s">
        <v>26</v>
      </c>
      <c r="K77" t="s">
        <v>3</v>
      </c>
      <c r="L77" t="s">
        <v>5</v>
      </c>
    </row>
    <row r="78" spans="1:12" x14ac:dyDescent="0.15">
      <c r="A78" t="str">
        <f t="shared" si="3"/>
        <v>|解放Lv|レベル|コスト|効果|</v>
      </c>
      <c r="B78" t="s">
        <v>3</v>
      </c>
      <c r="C78" t="s">
        <v>27</v>
      </c>
      <c r="E78" t="s">
        <v>3</v>
      </c>
      <c r="F78" t="s">
        <v>6</v>
      </c>
      <c r="G78" t="s">
        <v>3</v>
      </c>
      <c r="H78" t="s">
        <v>28</v>
      </c>
      <c r="I78" t="s">
        <v>3</v>
      </c>
      <c r="J78" t="s">
        <v>29</v>
      </c>
      <c r="K78" t="s">
        <v>3</v>
      </c>
    </row>
    <row r="79" spans="1:12" x14ac:dyDescent="0.15">
      <c r="A79" t="str">
        <f t="shared" si="3"/>
        <v>|Lv27|Lv1|21|対戦相手に10点のダメージを与える。|</v>
      </c>
      <c r="B79" t="s">
        <v>3</v>
      </c>
      <c r="C79" t="s">
        <v>8</v>
      </c>
      <c r="D79">
        <v>27</v>
      </c>
      <c r="E79" t="s">
        <v>3</v>
      </c>
      <c r="F79" t="s">
        <v>30</v>
      </c>
      <c r="G79" t="s">
        <v>3</v>
      </c>
      <c r="H79">
        <v>21</v>
      </c>
      <c r="I79" t="s">
        <v>3</v>
      </c>
      <c r="J79" t="s">
        <v>280</v>
      </c>
      <c r="K79" t="s">
        <v>3</v>
      </c>
    </row>
    <row r="80" spans="1:12" x14ac:dyDescent="0.15">
      <c r="A80" t="str">
        <f t="shared" si="3"/>
        <v>|Lv32|Lv2|21|対戦相手に15点のダメージを与える。ジェム3×3のエリアを2つ破壊する。|</v>
      </c>
      <c r="B80" t="s">
        <v>3</v>
      </c>
      <c r="C80" t="s">
        <v>8</v>
      </c>
      <c r="D80">
        <v>32</v>
      </c>
      <c r="E80" t="s">
        <v>3</v>
      </c>
      <c r="F80" t="s">
        <v>31</v>
      </c>
      <c r="G80" t="s">
        <v>3</v>
      </c>
      <c r="H80">
        <v>21</v>
      </c>
      <c r="I80" t="s">
        <v>3</v>
      </c>
      <c r="J80" t="s">
        <v>281</v>
      </c>
      <c r="K80" t="s">
        <v>3</v>
      </c>
    </row>
    <row r="81" spans="1:17" x14ac:dyDescent="0.15">
      <c r="A81" t="str">
        <f t="shared" si="3"/>
        <v>|Lv50|Lv3|21|対戦相手に20点のダメージを与える。ジェム5×5のエリアを2つ破壊する。|</v>
      </c>
      <c r="B81" t="s">
        <v>3</v>
      </c>
      <c r="C81" t="s">
        <v>8</v>
      </c>
      <c r="D81">
        <v>50</v>
      </c>
      <c r="E81" t="s">
        <v>3</v>
      </c>
      <c r="F81" t="s">
        <v>32</v>
      </c>
      <c r="G81" t="s">
        <v>3</v>
      </c>
      <c r="H81">
        <v>21</v>
      </c>
      <c r="I81" t="s">
        <v>3</v>
      </c>
      <c r="J81" t="s">
        <v>282</v>
      </c>
      <c r="K81" t="s">
        <v>3</v>
      </c>
    </row>
    <row r="82" spans="1:17" x14ac:dyDescent="0.15">
      <c r="A82" t="str">
        <f t="shared" si="3"/>
        <v>|Lv60|Lv4|21|対戦相手に25点のダメージを与える。ジェム5×5のエリアを2つ破壊する。|</v>
      </c>
      <c r="B82" t="s">
        <v>3</v>
      </c>
      <c r="C82" t="s">
        <v>8</v>
      </c>
      <c r="D82">
        <v>60</v>
      </c>
      <c r="E82" t="s">
        <v>3</v>
      </c>
      <c r="F82" t="s">
        <v>33</v>
      </c>
      <c r="G82" t="s">
        <v>3</v>
      </c>
      <c r="H82">
        <v>21</v>
      </c>
      <c r="I82" t="s">
        <v>3</v>
      </c>
      <c r="J82" t="s">
        <v>283</v>
      </c>
      <c r="K82" t="s">
        <v>3</v>
      </c>
    </row>
    <row r="83" spans="1:17" x14ac:dyDescent="0.15">
      <c r="A83" t="str">
        <f t="shared" si="3"/>
        <v>&amp;br;</v>
      </c>
      <c r="B83" t="s">
        <v>0</v>
      </c>
    </row>
    <row r="84" spans="1:17" x14ac:dyDescent="0.15">
      <c r="A84" t="str">
        <f t="shared" si="3"/>
        <v>&amp;br;</v>
      </c>
      <c r="B84" t="s">
        <v>0</v>
      </c>
    </row>
    <row r="85" spans="1:17" x14ac:dyDescent="0.15">
      <c r="A85" t="str">
        <f t="shared" si="3"/>
        <v>*レベルアップ報酬一覧 [#k0cef29c]</v>
      </c>
      <c r="B85" t="s">
        <v>36</v>
      </c>
    </row>
    <row r="86" spans="1:17" x14ac:dyDescent="0.15">
      <c r="A86" t="str">
        <f t="shared" si="3"/>
        <v>|LEFT:50|LEFT:100|c</v>
      </c>
      <c r="B86" t="s">
        <v>3</v>
      </c>
      <c r="C86" t="s">
        <v>4</v>
      </c>
      <c r="E86" t="s">
        <v>3</v>
      </c>
      <c r="F86" t="s">
        <v>37</v>
      </c>
      <c r="I86" t="s">
        <v>3</v>
      </c>
      <c r="J86" t="s">
        <v>5</v>
      </c>
    </row>
    <row r="87" spans="1:17" x14ac:dyDescent="0.15">
      <c r="A87" t="str">
        <f t="shared" si="3"/>
        <v>|レベル|報酬|</v>
      </c>
      <c r="B87" t="s">
        <v>3</v>
      </c>
      <c r="C87" t="s">
        <v>6</v>
      </c>
      <c r="E87" t="s">
        <v>3</v>
      </c>
      <c r="F87" t="s">
        <v>38</v>
      </c>
      <c r="I87" t="s">
        <v>3</v>
      </c>
      <c r="Q87" t="s">
        <v>62</v>
      </c>
    </row>
    <row r="88" spans="1:17" x14ac:dyDescent="0.15">
      <c r="A88" t="str">
        <f t="shared" si="3"/>
        <v>|Lｖ2|第1能力Lv1|</v>
      </c>
      <c r="B88" t="s">
        <v>3</v>
      </c>
      <c r="C88" t="s">
        <v>63</v>
      </c>
      <c r="E88" t="s">
        <v>3</v>
      </c>
      <c r="F88" t="s">
        <v>40</v>
      </c>
      <c r="H88">
        <v>1</v>
      </c>
      <c r="I88" t="s">
        <v>3</v>
      </c>
      <c r="Q88" t="s">
        <v>64</v>
      </c>
    </row>
    <row r="89" spans="1:17" x14ac:dyDescent="0.15">
      <c r="A89" t="str">
        <f t="shared" si="3"/>
        <v>|Lｖ3|呪文+1|</v>
      </c>
      <c r="B89" t="s">
        <v>3</v>
      </c>
      <c r="C89" t="s">
        <v>65</v>
      </c>
      <c r="E89" t="s">
        <v>3</v>
      </c>
      <c r="F89" t="s">
        <v>66</v>
      </c>
      <c r="H89">
        <v>1</v>
      </c>
      <c r="I89" t="s">
        <v>3</v>
      </c>
      <c r="Q89" t="s">
        <v>66</v>
      </c>
    </row>
    <row r="90" spans="1:17" x14ac:dyDescent="0.15">
      <c r="A90" t="str">
        <f t="shared" si="3"/>
        <v>|Lｖ4|HP+4|</v>
      </c>
      <c r="B90" t="s">
        <v>3</v>
      </c>
      <c r="C90" t="s">
        <v>67</v>
      </c>
      <c r="E90" t="s">
        <v>3</v>
      </c>
      <c r="F90" t="s">
        <v>62</v>
      </c>
      <c r="H90">
        <v>4</v>
      </c>
      <c r="I90" t="s">
        <v>3</v>
      </c>
      <c r="Q90" t="s">
        <v>68</v>
      </c>
    </row>
    <row r="91" spans="1:17" x14ac:dyDescent="0.15">
      <c r="A91" t="str">
        <f t="shared" si="3"/>
        <v>|Lｖ5|回復速度上昇|</v>
      </c>
      <c r="B91" t="s">
        <v>3</v>
      </c>
      <c r="C91" t="s">
        <v>69</v>
      </c>
      <c r="E91" t="s">
        <v>3</v>
      </c>
      <c r="F91" t="s">
        <v>43</v>
      </c>
      <c r="I91" t="s">
        <v>3</v>
      </c>
      <c r="Q91" t="s">
        <v>70</v>
      </c>
    </row>
    <row r="92" spans="1:17" x14ac:dyDescent="0.15">
      <c r="A92" t="str">
        <f t="shared" si="3"/>
        <v>|Lｖ6|HP+4|</v>
      </c>
      <c r="B92" t="s">
        <v>3</v>
      </c>
      <c r="C92" t="s">
        <v>71</v>
      </c>
      <c r="E92" t="s">
        <v>3</v>
      </c>
      <c r="F92" t="s">
        <v>62</v>
      </c>
      <c r="H92">
        <v>4</v>
      </c>
      <c r="I92" t="s">
        <v>3</v>
      </c>
      <c r="Q92" t="s">
        <v>72</v>
      </c>
    </row>
    <row r="93" spans="1:17" x14ac:dyDescent="0.15">
      <c r="A93" t="str">
        <f t="shared" si="3"/>
        <v>|Lｖ7|サポート+1|</v>
      </c>
      <c r="B93" t="s">
        <v>3</v>
      </c>
      <c r="C93" t="s">
        <v>73</v>
      </c>
      <c r="E93" t="s">
        <v>3</v>
      </c>
      <c r="F93" t="s">
        <v>68</v>
      </c>
      <c r="H93">
        <v>1</v>
      </c>
      <c r="I93" t="s">
        <v>3</v>
      </c>
      <c r="Q93" t="s">
        <v>74</v>
      </c>
    </row>
    <row r="94" spans="1:17" x14ac:dyDescent="0.15">
      <c r="A94" t="str">
        <f t="shared" si="3"/>
        <v>|Lｖ8|第1能力Lv2|</v>
      </c>
      <c r="B94" t="s">
        <v>3</v>
      </c>
      <c r="C94" t="s">
        <v>75</v>
      </c>
      <c r="E94" t="s">
        <v>3</v>
      </c>
      <c r="F94" t="s">
        <v>40</v>
      </c>
      <c r="H94">
        <v>2</v>
      </c>
      <c r="I94" t="s">
        <v>3</v>
      </c>
      <c r="Q94" t="s">
        <v>76</v>
      </c>
    </row>
    <row r="95" spans="1:17" x14ac:dyDescent="0.15">
      <c r="A95" t="str">
        <f t="shared" si="3"/>
        <v>|Lｖ9|クリーチャー+1|</v>
      </c>
      <c r="B95" t="s">
        <v>3</v>
      </c>
      <c r="C95" t="s">
        <v>77</v>
      </c>
      <c r="E95" t="s">
        <v>3</v>
      </c>
      <c r="F95" t="s">
        <v>64</v>
      </c>
      <c r="H95">
        <v>1</v>
      </c>
      <c r="I95" t="s">
        <v>3</v>
      </c>
      <c r="Q95" t="s">
        <v>78</v>
      </c>
    </row>
    <row r="96" spans="1:17" x14ac:dyDescent="0.15">
      <c r="A96" t="str">
        <f t="shared" si="3"/>
        <v>|Lｖ10|赤+1|</v>
      </c>
      <c r="B96" t="s">
        <v>3</v>
      </c>
      <c r="C96" t="s">
        <v>79</v>
      </c>
      <c r="E96" t="s">
        <v>3</v>
      </c>
      <c r="F96" t="s">
        <v>76</v>
      </c>
      <c r="H96">
        <v>1</v>
      </c>
      <c r="I96" t="s">
        <v>3</v>
      </c>
      <c r="Q96" t="s">
        <v>40</v>
      </c>
    </row>
    <row r="97" spans="1:17" x14ac:dyDescent="0.15">
      <c r="A97" t="str">
        <f t="shared" si="3"/>
        <v>|Lｖ11|HP+4|</v>
      </c>
      <c r="B97" t="s">
        <v>3</v>
      </c>
      <c r="C97" t="s">
        <v>80</v>
      </c>
      <c r="E97" t="s">
        <v>3</v>
      </c>
      <c r="F97" t="s">
        <v>62</v>
      </c>
      <c r="H97">
        <v>4</v>
      </c>
      <c r="I97" t="s">
        <v>3</v>
      </c>
      <c r="Q97" t="s">
        <v>41</v>
      </c>
    </row>
    <row r="98" spans="1:17" x14ac:dyDescent="0.15">
      <c r="A98" t="str">
        <f t="shared" si="3"/>
        <v>|Lｖ12|回復速度上昇|</v>
      </c>
      <c r="B98" t="s">
        <v>3</v>
      </c>
      <c r="C98" t="s">
        <v>81</v>
      </c>
      <c r="E98" t="s">
        <v>3</v>
      </c>
      <c r="F98" t="s">
        <v>43</v>
      </c>
      <c r="I98" t="s">
        <v>3</v>
      </c>
      <c r="Q98" t="s">
        <v>42</v>
      </c>
    </row>
    <row r="99" spans="1:17" x14ac:dyDescent="0.15">
      <c r="A99" t="str">
        <f t="shared" si="3"/>
        <v>|Lｖ13|緑+1|</v>
      </c>
      <c r="B99" t="s">
        <v>3</v>
      </c>
      <c r="C99" t="s">
        <v>82</v>
      </c>
      <c r="E99" t="s">
        <v>3</v>
      </c>
      <c r="F99" t="s">
        <v>78</v>
      </c>
      <c r="H99">
        <v>1</v>
      </c>
      <c r="I99" t="s">
        <v>3</v>
      </c>
      <c r="Q99" t="s">
        <v>43</v>
      </c>
    </row>
    <row r="100" spans="1:17" x14ac:dyDescent="0.15">
      <c r="A100" t="str">
        <f t="shared" si="3"/>
        <v>|Lｖ14|第2能力Lv1|</v>
      </c>
      <c r="B100" t="s">
        <v>3</v>
      </c>
      <c r="C100" t="s">
        <v>83</v>
      </c>
      <c r="E100" t="s">
        <v>3</v>
      </c>
      <c r="F100" t="s">
        <v>41</v>
      </c>
      <c r="H100">
        <v>1</v>
      </c>
      <c r="I100" t="s">
        <v>3</v>
      </c>
    </row>
    <row r="101" spans="1:17" x14ac:dyDescent="0.15">
      <c r="A101" t="str">
        <f t="shared" si="3"/>
        <v>|Lｖ15|呪文+1|</v>
      </c>
      <c r="B101" t="s">
        <v>3</v>
      </c>
      <c r="C101" t="s">
        <v>84</v>
      </c>
      <c r="E101" t="s">
        <v>3</v>
      </c>
      <c r="F101" t="s">
        <v>66</v>
      </c>
      <c r="H101">
        <v>1</v>
      </c>
      <c r="I101" t="s">
        <v>3</v>
      </c>
    </row>
    <row r="102" spans="1:17" x14ac:dyDescent="0.15">
      <c r="A102" t="str">
        <f t="shared" si="3"/>
        <v>|Lｖ16|HP+4|</v>
      </c>
      <c r="B102" t="s">
        <v>3</v>
      </c>
      <c r="C102" t="s">
        <v>85</v>
      </c>
      <c r="E102" t="s">
        <v>3</v>
      </c>
      <c r="F102" t="s">
        <v>62</v>
      </c>
      <c r="H102">
        <v>4</v>
      </c>
      <c r="I102" t="s">
        <v>3</v>
      </c>
    </row>
    <row r="103" spans="1:17" x14ac:dyDescent="0.15">
      <c r="A103" t="str">
        <f t="shared" si="3"/>
        <v>|Lｖ17|回復速度上昇|</v>
      </c>
      <c r="B103" t="s">
        <v>3</v>
      </c>
      <c r="C103" t="s">
        <v>86</v>
      </c>
      <c r="E103" t="s">
        <v>3</v>
      </c>
      <c r="F103" t="s">
        <v>43</v>
      </c>
      <c r="I103" t="s">
        <v>3</v>
      </c>
    </row>
    <row r="104" spans="1:17" x14ac:dyDescent="0.15">
      <c r="A104" t="str">
        <f t="shared" si="3"/>
        <v>|Lｖ18|HP+4|</v>
      </c>
      <c r="B104" t="s">
        <v>3</v>
      </c>
      <c r="C104" t="s">
        <v>87</v>
      </c>
      <c r="E104" t="s">
        <v>3</v>
      </c>
      <c r="F104" t="s">
        <v>62</v>
      </c>
      <c r="H104">
        <v>4</v>
      </c>
      <c r="I104" t="s">
        <v>3</v>
      </c>
    </row>
    <row r="105" spans="1:17" x14ac:dyDescent="0.15">
      <c r="A105" t="str">
        <f t="shared" si="3"/>
        <v>|Lｖ19|サポート+1|</v>
      </c>
      <c r="B105" t="s">
        <v>3</v>
      </c>
      <c r="C105" t="s">
        <v>88</v>
      </c>
      <c r="E105" t="s">
        <v>3</v>
      </c>
      <c r="F105" t="s">
        <v>68</v>
      </c>
      <c r="H105">
        <v>1</v>
      </c>
      <c r="I105" t="s">
        <v>3</v>
      </c>
    </row>
    <row r="106" spans="1:17" x14ac:dyDescent="0.15">
      <c r="A106" t="str">
        <f t="shared" si="3"/>
        <v>|Lｖ20|第2能力Lv2|</v>
      </c>
      <c r="B106" t="s">
        <v>3</v>
      </c>
      <c r="C106" t="s">
        <v>89</v>
      </c>
      <c r="E106" t="s">
        <v>3</v>
      </c>
      <c r="F106" t="s">
        <v>41</v>
      </c>
      <c r="H106">
        <v>2</v>
      </c>
      <c r="I106" t="s">
        <v>3</v>
      </c>
    </row>
    <row r="107" spans="1:17" x14ac:dyDescent="0.15">
      <c r="A107" t="str">
        <f t="shared" si="3"/>
        <v>|Lｖ21|HP+4|</v>
      </c>
      <c r="B107" t="s">
        <v>3</v>
      </c>
      <c r="C107" t="s">
        <v>90</v>
      </c>
      <c r="E107" t="s">
        <v>3</v>
      </c>
      <c r="F107" t="s">
        <v>62</v>
      </c>
      <c r="H107">
        <v>4</v>
      </c>
      <c r="I107" t="s">
        <v>3</v>
      </c>
    </row>
    <row r="108" spans="1:17" x14ac:dyDescent="0.15">
      <c r="A108" t="str">
        <f t="shared" si="3"/>
        <v>|Lｖ22|黒+1|</v>
      </c>
      <c r="B108" t="s">
        <v>3</v>
      </c>
      <c r="C108" t="s">
        <v>91</v>
      </c>
      <c r="E108" t="s">
        <v>3</v>
      </c>
      <c r="F108" t="s">
        <v>74</v>
      </c>
      <c r="H108">
        <v>1</v>
      </c>
      <c r="I108" t="s">
        <v>3</v>
      </c>
    </row>
    <row r="109" spans="1:17" x14ac:dyDescent="0.15">
      <c r="A109" t="str">
        <f t="shared" si="3"/>
        <v>|Lｖ23|クリーチャー+1|</v>
      </c>
      <c r="B109" t="s">
        <v>3</v>
      </c>
      <c r="C109" t="s">
        <v>92</v>
      </c>
      <c r="E109" t="s">
        <v>3</v>
      </c>
      <c r="F109" t="s">
        <v>64</v>
      </c>
      <c r="H109">
        <v>1</v>
      </c>
      <c r="I109" t="s">
        <v>3</v>
      </c>
    </row>
    <row r="110" spans="1:17" x14ac:dyDescent="0.15">
      <c r="A110" t="str">
        <f t="shared" si="3"/>
        <v>|Lｖ24|HP+4|</v>
      </c>
      <c r="B110" t="s">
        <v>3</v>
      </c>
      <c r="C110" t="s">
        <v>93</v>
      </c>
      <c r="E110" t="s">
        <v>3</v>
      </c>
      <c r="F110" t="s">
        <v>62</v>
      </c>
      <c r="H110">
        <v>4</v>
      </c>
      <c r="I110" t="s">
        <v>3</v>
      </c>
    </row>
    <row r="111" spans="1:17" x14ac:dyDescent="0.15">
      <c r="A111" t="str">
        <f t="shared" si="3"/>
        <v>|Lｖ25|回復速度上昇|</v>
      </c>
      <c r="B111" t="s">
        <v>3</v>
      </c>
      <c r="C111" t="s">
        <v>94</v>
      </c>
      <c r="E111" t="s">
        <v>3</v>
      </c>
      <c r="F111" t="s">
        <v>43</v>
      </c>
      <c r="I111" t="s">
        <v>3</v>
      </c>
    </row>
    <row r="112" spans="1:17" x14ac:dyDescent="0.15">
      <c r="A112" t="str">
        <f t="shared" si="3"/>
        <v>|Lｖ26|HP+4|</v>
      </c>
      <c r="B112" t="s">
        <v>3</v>
      </c>
      <c r="C112" t="s">
        <v>95</v>
      </c>
      <c r="E112" t="s">
        <v>3</v>
      </c>
      <c r="F112" t="s">
        <v>62</v>
      </c>
      <c r="H112">
        <v>4</v>
      </c>
      <c r="I112" t="s">
        <v>3</v>
      </c>
    </row>
    <row r="113" spans="1:9" x14ac:dyDescent="0.15">
      <c r="A113" t="str">
        <f t="shared" si="3"/>
        <v>|Lｖ27|第3能力Lv1|</v>
      </c>
      <c r="B113" t="s">
        <v>3</v>
      </c>
      <c r="C113" t="s">
        <v>96</v>
      </c>
      <c r="E113" t="s">
        <v>3</v>
      </c>
      <c r="F113" t="s">
        <v>42</v>
      </c>
      <c r="H113">
        <v>1</v>
      </c>
      <c r="I113" t="s">
        <v>3</v>
      </c>
    </row>
    <row r="114" spans="1:9" x14ac:dyDescent="0.15">
      <c r="A114" t="str">
        <f t="shared" si="3"/>
        <v>|Lｖ28|呪文+1|</v>
      </c>
      <c r="B114" t="s">
        <v>3</v>
      </c>
      <c r="C114" t="s">
        <v>97</v>
      </c>
      <c r="E114" t="s">
        <v>3</v>
      </c>
      <c r="F114" t="s">
        <v>66</v>
      </c>
      <c r="H114">
        <v>1</v>
      </c>
      <c r="I114" t="s">
        <v>3</v>
      </c>
    </row>
    <row r="115" spans="1:9" x14ac:dyDescent="0.15">
      <c r="A115" t="str">
        <f t="shared" si="3"/>
        <v>|Lｖ29|白+1|</v>
      </c>
      <c r="B115" t="s">
        <v>3</v>
      </c>
      <c r="C115" t="s">
        <v>98</v>
      </c>
      <c r="E115" t="s">
        <v>3</v>
      </c>
      <c r="F115" t="s">
        <v>70</v>
      </c>
      <c r="H115">
        <v>1</v>
      </c>
      <c r="I115" t="s">
        <v>3</v>
      </c>
    </row>
    <row r="116" spans="1:9" x14ac:dyDescent="0.15">
      <c r="A116" t="str">
        <f t="shared" si="3"/>
        <v>|Lｖ30|回復速度上昇|</v>
      </c>
      <c r="B116" t="s">
        <v>3</v>
      </c>
      <c r="C116" t="s">
        <v>99</v>
      </c>
      <c r="E116" t="s">
        <v>3</v>
      </c>
      <c r="F116" t="s">
        <v>43</v>
      </c>
      <c r="I116" t="s">
        <v>3</v>
      </c>
    </row>
    <row r="117" spans="1:9" x14ac:dyDescent="0.15">
      <c r="A117" t="str">
        <f t="shared" si="3"/>
        <v>|Lｖ31|HP+4|</v>
      </c>
      <c r="B117" t="s">
        <v>3</v>
      </c>
      <c r="C117" t="s">
        <v>100</v>
      </c>
      <c r="E117" t="s">
        <v>3</v>
      </c>
      <c r="F117" t="s">
        <v>62</v>
      </c>
      <c r="H117">
        <v>4</v>
      </c>
      <c r="I117" t="s">
        <v>3</v>
      </c>
    </row>
    <row r="118" spans="1:9" x14ac:dyDescent="0.15">
      <c r="A118" t="str">
        <f t="shared" si="3"/>
        <v>|Lｖ32|第3能力Lv2|</v>
      </c>
      <c r="B118" t="s">
        <v>3</v>
      </c>
      <c r="C118" t="s">
        <v>101</v>
      </c>
      <c r="E118" t="s">
        <v>3</v>
      </c>
      <c r="F118" t="s">
        <v>42</v>
      </c>
      <c r="H118">
        <v>2</v>
      </c>
      <c r="I118" t="s">
        <v>3</v>
      </c>
    </row>
    <row r="119" spans="1:9" x14ac:dyDescent="0.15">
      <c r="A119" t="str">
        <f t="shared" si="3"/>
        <v>|Lｖ33|回復速度上昇|</v>
      </c>
      <c r="B119" t="s">
        <v>3</v>
      </c>
      <c r="C119" t="s">
        <v>102</v>
      </c>
      <c r="E119" t="s">
        <v>3</v>
      </c>
      <c r="F119" t="s">
        <v>43</v>
      </c>
      <c r="I119" t="s">
        <v>3</v>
      </c>
    </row>
    <row r="120" spans="1:9" x14ac:dyDescent="0.15">
      <c r="A120" t="str">
        <f t="shared" si="3"/>
        <v>|Lｖ34|回復速度上昇|</v>
      </c>
      <c r="B120" t="s">
        <v>3</v>
      </c>
      <c r="C120" t="s">
        <v>103</v>
      </c>
      <c r="E120" t="s">
        <v>3</v>
      </c>
      <c r="F120" t="s">
        <v>43</v>
      </c>
      <c r="I120" t="s">
        <v>3</v>
      </c>
    </row>
    <row r="121" spans="1:9" x14ac:dyDescent="0.15">
      <c r="A121" t="str">
        <f t="shared" ref="A121:A152" si="4">B121&amp;C121&amp;D121&amp;E121&amp;F121&amp;G121&amp;H121&amp;I121&amp;J121&amp;K121&amp;L121&amp;M121&amp;N121&amp;O121&amp;P121</f>
        <v>|Lｖ35|回復速度上昇|</v>
      </c>
      <c r="B121" t="s">
        <v>3</v>
      </c>
      <c r="C121" t="s">
        <v>104</v>
      </c>
      <c r="E121" t="s">
        <v>3</v>
      </c>
      <c r="F121" t="s">
        <v>43</v>
      </c>
      <c r="I121" t="s">
        <v>3</v>
      </c>
    </row>
    <row r="122" spans="1:9" x14ac:dyDescent="0.15">
      <c r="A122" t="str">
        <f t="shared" si="4"/>
        <v>|Lｖ36|HP+4|</v>
      </c>
      <c r="B122" t="s">
        <v>3</v>
      </c>
      <c r="C122" t="s">
        <v>105</v>
      </c>
      <c r="E122" t="s">
        <v>3</v>
      </c>
      <c r="F122" t="s">
        <v>62</v>
      </c>
      <c r="H122">
        <v>4</v>
      </c>
      <c r="I122" t="s">
        <v>3</v>
      </c>
    </row>
    <row r="123" spans="1:9" x14ac:dyDescent="0.15">
      <c r="A123" t="str">
        <f t="shared" si="4"/>
        <v>|Lｖ37|回復速度上昇|</v>
      </c>
      <c r="B123" t="s">
        <v>3</v>
      </c>
      <c r="C123" t="s">
        <v>106</v>
      </c>
      <c r="E123" t="s">
        <v>3</v>
      </c>
      <c r="F123" t="s">
        <v>43</v>
      </c>
      <c r="I123" t="s">
        <v>3</v>
      </c>
    </row>
    <row r="124" spans="1:9" x14ac:dyDescent="0.15">
      <c r="A124" t="str">
        <f t="shared" si="4"/>
        <v>|Lｖ38|第1能力Lv3|</v>
      </c>
      <c r="B124" t="s">
        <v>3</v>
      </c>
      <c r="C124" t="s">
        <v>107</v>
      </c>
      <c r="E124" t="s">
        <v>3</v>
      </c>
      <c r="F124" t="s">
        <v>40</v>
      </c>
      <c r="H124">
        <v>3</v>
      </c>
      <c r="I124" t="s">
        <v>3</v>
      </c>
    </row>
    <row r="125" spans="1:9" x14ac:dyDescent="0.15">
      <c r="A125" t="str">
        <f t="shared" si="4"/>
        <v>|Lｖ39|呪文+1|</v>
      </c>
      <c r="B125" t="s">
        <v>3</v>
      </c>
      <c r="C125" t="s">
        <v>108</v>
      </c>
      <c r="E125" t="s">
        <v>3</v>
      </c>
      <c r="F125" t="s">
        <v>66</v>
      </c>
      <c r="H125">
        <v>1</v>
      </c>
      <c r="I125" t="s">
        <v>3</v>
      </c>
    </row>
    <row r="126" spans="1:9" x14ac:dyDescent="0.15">
      <c r="A126" t="str">
        <f t="shared" si="4"/>
        <v>|Lｖ40|回復速度上昇|</v>
      </c>
      <c r="B126" t="s">
        <v>3</v>
      </c>
      <c r="C126" t="s">
        <v>109</v>
      </c>
      <c r="E126" t="s">
        <v>3</v>
      </c>
      <c r="F126" t="s">
        <v>43</v>
      </c>
      <c r="I126" t="s">
        <v>3</v>
      </c>
    </row>
    <row r="127" spans="1:9" x14ac:dyDescent="0.15">
      <c r="A127" t="str">
        <f t="shared" si="4"/>
        <v>|Lｖ41|HP+4|</v>
      </c>
      <c r="B127" t="s">
        <v>3</v>
      </c>
      <c r="C127" t="s">
        <v>110</v>
      </c>
      <c r="E127" t="s">
        <v>3</v>
      </c>
      <c r="F127" t="s">
        <v>62</v>
      </c>
      <c r="H127">
        <v>4</v>
      </c>
      <c r="I127" t="s">
        <v>3</v>
      </c>
    </row>
    <row r="128" spans="1:9" x14ac:dyDescent="0.15">
      <c r="A128" t="str">
        <f t="shared" si="4"/>
        <v>|Lｖ42|青+1|</v>
      </c>
      <c r="B128" t="s">
        <v>3</v>
      </c>
      <c r="C128" t="s">
        <v>111</v>
      </c>
      <c r="E128" t="s">
        <v>3</v>
      </c>
      <c r="F128" t="s">
        <v>72</v>
      </c>
      <c r="H128">
        <v>1</v>
      </c>
      <c r="I128" t="s">
        <v>3</v>
      </c>
    </row>
    <row r="129" spans="1:9" x14ac:dyDescent="0.15">
      <c r="A129" t="str">
        <f t="shared" si="4"/>
        <v>|Lｖ43|サポート+1|</v>
      </c>
      <c r="B129" t="s">
        <v>3</v>
      </c>
      <c r="C129" t="s">
        <v>112</v>
      </c>
      <c r="E129" t="s">
        <v>3</v>
      </c>
      <c r="F129" t="s">
        <v>68</v>
      </c>
      <c r="H129">
        <v>1</v>
      </c>
      <c r="I129" t="s">
        <v>3</v>
      </c>
    </row>
    <row r="130" spans="1:9" x14ac:dyDescent="0.15">
      <c r="A130" t="str">
        <f t="shared" si="4"/>
        <v>|Lｖ44|第2能力Lv3|</v>
      </c>
      <c r="B130" t="s">
        <v>3</v>
      </c>
      <c r="C130" t="s">
        <v>113</v>
      </c>
      <c r="E130" t="s">
        <v>3</v>
      </c>
      <c r="F130" t="s">
        <v>41</v>
      </c>
      <c r="H130">
        <v>3</v>
      </c>
      <c r="I130" t="s">
        <v>3</v>
      </c>
    </row>
    <row r="131" spans="1:9" x14ac:dyDescent="0.15">
      <c r="A131" t="str">
        <f t="shared" si="4"/>
        <v>|Lｖ45|回復速度上昇|</v>
      </c>
      <c r="B131" t="s">
        <v>3</v>
      </c>
      <c r="C131" t="s">
        <v>114</v>
      </c>
      <c r="E131" t="s">
        <v>3</v>
      </c>
      <c r="F131" t="s">
        <v>43</v>
      </c>
      <c r="I131" t="s">
        <v>3</v>
      </c>
    </row>
    <row r="132" spans="1:9" x14ac:dyDescent="0.15">
      <c r="A132" t="str">
        <f t="shared" si="4"/>
        <v>|Lｖ46|HP+4|</v>
      </c>
      <c r="B132" t="s">
        <v>3</v>
      </c>
      <c r="C132" t="s">
        <v>115</v>
      </c>
      <c r="E132" t="s">
        <v>3</v>
      </c>
      <c r="F132" t="s">
        <v>62</v>
      </c>
      <c r="H132">
        <v>4</v>
      </c>
      <c r="I132" t="s">
        <v>3</v>
      </c>
    </row>
    <row r="133" spans="1:9" x14ac:dyDescent="0.15">
      <c r="A133" t="str">
        <f t="shared" si="4"/>
        <v>|Lｖ47|クリーチャー+1|</v>
      </c>
      <c r="B133" t="s">
        <v>3</v>
      </c>
      <c r="C133" t="s">
        <v>116</v>
      </c>
      <c r="E133" t="s">
        <v>3</v>
      </c>
      <c r="F133" t="s">
        <v>64</v>
      </c>
      <c r="H133">
        <v>1</v>
      </c>
      <c r="I133" t="s">
        <v>3</v>
      </c>
    </row>
    <row r="134" spans="1:9" x14ac:dyDescent="0.15">
      <c r="A134" t="str">
        <f t="shared" si="4"/>
        <v>|Lｖ48|HP+4|</v>
      </c>
      <c r="B134" t="s">
        <v>3</v>
      </c>
      <c r="C134" t="s">
        <v>117</v>
      </c>
      <c r="E134" t="s">
        <v>3</v>
      </c>
      <c r="F134" t="s">
        <v>62</v>
      </c>
      <c r="H134">
        <v>4</v>
      </c>
      <c r="I134" t="s">
        <v>3</v>
      </c>
    </row>
    <row r="135" spans="1:9" x14ac:dyDescent="0.15">
      <c r="A135" t="str">
        <f t="shared" si="4"/>
        <v>|Lｖ49|呪文+1|</v>
      </c>
      <c r="B135" t="s">
        <v>3</v>
      </c>
      <c r="C135" t="s">
        <v>118</v>
      </c>
      <c r="E135" t="s">
        <v>3</v>
      </c>
      <c r="F135" t="s">
        <v>66</v>
      </c>
      <c r="H135">
        <v>1</v>
      </c>
      <c r="I135" t="s">
        <v>3</v>
      </c>
    </row>
    <row r="136" spans="1:9" x14ac:dyDescent="0.15">
      <c r="A136" t="str">
        <f t="shared" si="4"/>
        <v>|Lｖ50|第3能力Lv3|</v>
      </c>
      <c r="B136" t="s">
        <v>3</v>
      </c>
      <c r="C136" t="s">
        <v>119</v>
      </c>
      <c r="E136" t="s">
        <v>3</v>
      </c>
      <c r="F136" t="s">
        <v>42</v>
      </c>
      <c r="H136">
        <v>3</v>
      </c>
      <c r="I136" t="s">
        <v>3</v>
      </c>
    </row>
    <row r="137" spans="1:9" x14ac:dyDescent="0.15">
      <c r="A137" t="str">
        <f t="shared" si="4"/>
        <v>|Lｖ51|第1能力Lv4|</v>
      </c>
      <c r="B137" t="s">
        <v>3</v>
      </c>
      <c r="C137" t="s">
        <v>120</v>
      </c>
      <c r="E137" t="s">
        <v>3</v>
      </c>
      <c r="F137" t="s">
        <v>40</v>
      </c>
      <c r="H137">
        <v>4</v>
      </c>
      <c r="I137" t="s">
        <v>3</v>
      </c>
    </row>
    <row r="138" spans="1:9" x14ac:dyDescent="0.15">
      <c r="A138" t="str">
        <f t="shared" si="4"/>
        <v>|Lｖ52|HP+8|</v>
      </c>
      <c r="B138" t="s">
        <v>3</v>
      </c>
      <c r="C138" t="s">
        <v>121</v>
      </c>
      <c r="E138" t="s">
        <v>3</v>
      </c>
      <c r="F138" t="s">
        <v>62</v>
      </c>
      <c r="H138">
        <v>8</v>
      </c>
      <c r="I138" t="s">
        <v>3</v>
      </c>
    </row>
    <row r="139" spans="1:9" x14ac:dyDescent="0.15">
      <c r="A139" t="str">
        <f t="shared" si="4"/>
        <v>|Lｖ53|回復速度上昇|</v>
      </c>
      <c r="B139" t="s">
        <v>3</v>
      </c>
      <c r="C139" t="s">
        <v>122</v>
      </c>
      <c r="E139" t="s">
        <v>3</v>
      </c>
      <c r="F139" t="s">
        <v>43</v>
      </c>
      <c r="I139" t="s">
        <v>3</v>
      </c>
    </row>
    <row r="140" spans="1:9" x14ac:dyDescent="0.15">
      <c r="A140" t="str">
        <f t="shared" si="4"/>
        <v>|Lｖ54|第2能力Lv4|</v>
      </c>
      <c r="B140" t="s">
        <v>3</v>
      </c>
      <c r="C140" t="s">
        <v>123</v>
      </c>
      <c r="E140" t="s">
        <v>3</v>
      </c>
      <c r="F140" t="s">
        <v>41</v>
      </c>
      <c r="H140">
        <v>4</v>
      </c>
      <c r="I140" t="s">
        <v>3</v>
      </c>
    </row>
    <row r="141" spans="1:9" x14ac:dyDescent="0.15">
      <c r="A141" t="str">
        <f t="shared" si="4"/>
        <v>|Lｖ55|サポート+1|</v>
      </c>
      <c r="B141" t="s">
        <v>3</v>
      </c>
      <c r="C141" t="s">
        <v>124</v>
      </c>
      <c r="E141" t="s">
        <v>3</v>
      </c>
      <c r="F141" t="s">
        <v>68</v>
      </c>
      <c r="H141">
        <v>1</v>
      </c>
      <c r="I141" t="s">
        <v>3</v>
      </c>
    </row>
    <row r="142" spans="1:9" x14ac:dyDescent="0.15">
      <c r="A142" t="str">
        <f t="shared" si="4"/>
        <v>|Lｖ56|回復速度上昇|</v>
      </c>
      <c r="B142" t="s">
        <v>3</v>
      </c>
      <c r="C142" t="s">
        <v>125</v>
      </c>
      <c r="E142" t="s">
        <v>3</v>
      </c>
      <c r="F142" t="s">
        <v>43</v>
      </c>
      <c r="I142" t="s">
        <v>3</v>
      </c>
    </row>
    <row r="143" spans="1:9" x14ac:dyDescent="0.15">
      <c r="A143" t="str">
        <f t="shared" si="4"/>
        <v>|Lｖ57|呪文+1|</v>
      </c>
      <c r="B143" t="s">
        <v>3</v>
      </c>
      <c r="C143" t="s">
        <v>126</v>
      </c>
      <c r="E143" t="s">
        <v>3</v>
      </c>
      <c r="F143" t="s">
        <v>66</v>
      </c>
      <c r="H143">
        <v>1</v>
      </c>
      <c r="I143" t="s">
        <v>3</v>
      </c>
    </row>
    <row r="144" spans="1:9" x14ac:dyDescent="0.15">
      <c r="A144" t="str">
        <f t="shared" si="4"/>
        <v>|Lｖ58|クリーチャー+1|</v>
      </c>
      <c r="B144" t="s">
        <v>3</v>
      </c>
      <c r="C144" t="s">
        <v>127</v>
      </c>
      <c r="E144" t="s">
        <v>3</v>
      </c>
      <c r="F144" t="s">
        <v>64</v>
      </c>
      <c r="H144">
        <v>1</v>
      </c>
      <c r="I144" t="s">
        <v>3</v>
      </c>
    </row>
    <row r="145" spans="1:9" x14ac:dyDescent="0.15">
      <c r="A145" t="str">
        <f t="shared" si="4"/>
        <v>|Lｖ59|赤+1|</v>
      </c>
      <c r="B145" t="s">
        <v>3</v>
      </c>
      <c r="C145" t="s">
        <v>128</v>
      </c>
      <c r="E145" t="s">
        <v>3</v>
      </c>
      <c r="F145" t="s">
        <v>76</v>
      </c>
      <c r="H145">
        <v>1</v>
      </c>
      <c r="I145" t="s">
        <v>3</v>
      </c>
    </row>
    <row r="146" spans="1:9" x14ac:dyDescent="0.15">
      <c r="A146" t="str">
        <f t="shared" si="4"/>
        <v>|Lｖ60|第3能力Lv4|</v>
      </c>
      <c r="B146" t="s">
        <v>3</v>
      </c>
      <c r="C146" t="s">
        <v>129</v>
      </c>
      <c r="E146" t="s">
        <v>3</v>
      </c>
      <c r="F146" t="s">
        <v>42</v>
      </c>
      <c r="H146">
        <v>4</v>
      </c>
      <c r="I146" t="s">
        <v>3</v>
      </c>
    </row>
    <row r="147" spans="1:9" x14ac:dyDescent="0.15">
      <c r="A147" t="str">
        <f>B147&amp;C147&amp;D147&amp;E147&amp;F147&amp;G147&amp;H147&amp;I147&amp;J147&amp;K147&amp;L147&amp;M147&amp;N147&amp;O147&amp;P147</f>
        <v>&amp;br;</v>
      </c>
      <c r="B147" t="s">
        <v>0</v>
      </c>
    </row>
    <row r="148" spans="1:9" x14ac:dyDescent="0.15">
      <c r="A148" t="str">
        <f t="shared" si="4"/>
        <v>&amp;br;</v>
      </c>
      <c r="B148" t="s">
        <v>0</v>
      </c>
    </row>
    <row r="149" spans="1:9" x14ac:dyDescent="0.15">
      <c r="A149" t="str">
        <f t="shared" si="4"/>
        <v>#back(text=戻る,left)</v>
      </c>
      <c r="B149" t="s">
        <v>47</v>
      </c>
    </row>
    <row r="150" spans="1:9" x14ac:dyDescent="0.15">
      <c r="A150" t="str">
        <f t="shared" si="4"/>
        <v>&amp;br;</v>
      </c>
      <c r="B150" t="s">
        <v>0</v>
      </c>
    </row>
    <row r="151" spans="1:9" x14ac:dyDescent="0.15">
      <c r="A151" t="str">
        <f t="shared" si="4"/>
        <v>#comment(above,nsize=[15],size=[30],num=[10])</v>
      </c>
      <c r="B151" t="s">
        <v>48</v>
      </c>
    </row>
    <row r="152" spans="1:9" x14ac:dyDescent="0.15">
      <c r="A152" t="str">
        <f t="shared" si="4"/>
        <v>[[プレインズウォーカーリスト&gt;プレインズウォーカーリスト]]</v>
      </c>
      <c r="B152" t="s">
        <v>49</v>
      </c>
    </row>
  </sheetData>
  <phoneticPr fontId="4"/>
  <dataValidations count="1">
    <dataValidation type="list" allowBlank="1" showInputMessage="1" showErrorMessage="1" sqref="F88:F112 F114:F117 F119:F123 F125:F129 F131:F135 F138:F139 F141:F145">
      <formula1>$Q$87:$Q$99</formula1>
    </dataValidation>
  </dataValidations>
  <pageMargins left="0.69930555555555596" right="0.69930555555555596"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T163"/>
  <sheetViews>
    <sheetView workbookViewId="0">
      <selection activeCell="R69" sqref="R69:T74"/>
    </sheetView>
  </sheetViews>
  <sheetFormatPr defaultColWidth="9" defaultRowHeight="13.5" x14ac:dyDescent="0.15"/>
  <cols>
    <col min="2" max="2" width="3.5" customWidth="1"/>
    <col min="3" max="3" width="7.875" customWidth="1"/>
    <col min="4" max="4" width="5.5" customWidth="1"/>
    <col min="5" max="5" width="2" customWidth="1"/>
    <col min="7" max="7" width="2" customWidth="1"/>
    <col min="9" max="9" width="2" customWidth="1"/>
    <col min="11" max="11" width="2" customWidth="1"/>
    <col min="13" max="13" width="2" customWidth="1"/>
    <col min="15" max="15" width="2" customWidth="1"/>
    <col min="17" max="17" width="2.75" customWidth="1"/>
  </cols>
  <sheetData>
    <row r="1" spans="1:8" x14ac:dyDescent="0.15">
      <c r="A1" t="str">
        <f>B1&amp;C1&amp;D1&amp;E1&amp;F1&amp;G1&amp;H1&amp;I1&amp;J1&amp;K1&amp;L1&amp;M1&amp;N1&amp;O1&amp;P1</f>
        <v>特別オファーで購入するか、期間限定でMCを支払い購入することで入手できる。</v>
      </c>
      <c r="B1" t="s">
        <v>130</v>
      </c>
    </row>
    <row r="2" spans="1:8" x14ac:dyDescent="0.15">
      <c r="A2" t="str">
        <f>B2&amp;C2&amp;D2&amp;E2&amp;F2&amp;G2&amp;H2&amp;I2&amp;J2&amp;K2&amp;L2&amp;M2&amp;N2&amp;O2&amp;P2</f>
        <v>&amp;br;</v>
      </c>
      <c r="B2" t="s">
        <v>0</v>
      </c>
    </row>
    <row r="3" spans="1:8" x14ac:dyDescent="0.15">
      <c r="A3" t="str">
        <f>B3&amp;C3&amp;D3&amp;E3&amp;F3&amp;G3&amp;H3&amp;I3&amp;J3&amp;K3&amp;L3&amp;M3&amp;N3&amp;O3&amp;P3</f>
        <v>#contents()</v>
      </c>
      <c r="B3" t="s">
        <v>1</v>
      </c>
    </row>
    <row r="4" spans="1:8" x14ac:dyDescent="0.15">
      <c r="A4" t="str">
        <f>B4&amp;C4&amp;D4&amp;E4&amp;F4&amp;G4&amp;H4&amp;I4&amp;J4&amp;K4&amp;L4&amp;M4&amp;N4&amp;O4&amp;P4</f>
        <v>*HP [#f569d8c6]</v>
      </c>
      <c r="B4" t="s">
        <v>2</v>
      </c>
    </row>
    <row r="5" spans="1:8" x14ac:dyDescent="0.15">
      <c r="A5" t="str">
        <f>B5&amp;C5&amp;D5&amp;E5&amp;F5&amp;G5&amp;H5</f>
        <v>|LEFT:50|LEFT:50|c</v>
      </c>
      <c r="B5" t="s">
        <v>3</v>
      </c>
      <c r="C5" t="s">
        <v>4</v>
      </c>
      <c r="E5" t="s">
        <v>3</v>
      </c>
      <c r="F5" t="s">
        <v>4</v>
      </c>
      <c r="G5" t="s">
        <v>3</v>
      </c>
      <c r="H5" t="s">
        <v>5</v>
      </c>
    </row>
    <row r="6" spans="1:8" x14ac:dyDescent="0.15">
      <c r="A6" t="str">
        <f t="shared" ref="A6:A36" si="0">B6&amp;C6&amp;D6&amp;E6&amp;F6&amp;G6&amp;H6</f>
        <v>|レベル|HP|</v>
      </c>
      <c r="B6" t="s">
        <v>3</v>
      </c>
      <c r="C6" t="s">
        <v>6</v>
      </c>
      <c r="E6" t="s">
        <v>3</v>
      </c>
      <c r="F6" t="s">
        <v>7</v>
      </c>
      <c r="G6" t="s">
        <v>3</v>
      </c>
    </row>
    <row r="7" spans="1:8" x14ac:dyDescent="0.15">
      <c r="A7" t="str">
        <f t="shared" si="0"/>
        <v>|Lv1|32|</v>
      </c>
      <c r="B7" t="s">
        <v>3</v>
      </c>
      <c r="C7" t="s">
        <v>8</v>
      </c>
      <c r="D7">
        <v>1</v>
      </c>
      <c r="E7" t="s">
        <v>3</v>
      </c>
      <c r="F7">
        <v>32</v>
      </c>
      <c r="G7" t="s">
        <v>3</v>
      </c>
    </row>
    <row r="8" spans="1:8" x14ac:dyDescent="0.15">
      <c r="A8" t="str">
        <f t="shared" si="0"/>
        <v>|Lv3|34|</v>
      </c>
      <c r="B8" t="s">
        <v>3</v>
      </c>
      <c r="C8" t="s">
        <v>8</v>
      </c>
      <c r="D8">
        <v>3</v>
      </c>
      <c r="E8" t="s">
        <v>3</v>
      </c>
      <c r="F8">
        <f t="shared" ref="F8:F36" si="1">IF(ISBLANK(D8),"",F7+INDEX($H$98:$H$157,D8))</f>
        <v>34</v>
      </c>
      <c r="G8" t="s">
        <v>3</v>
      </c>
    </row>
    <row r="9" spans="1:8" x14ac:dyDescent="0.15">
      <c r="A9" t="str">
        <f t="shared" si="0"/>
        <v>|Lv5|37|</v>
      </c>
      <c r="B9" t="s">
        <v>3</v>
      </c>
      <c r="C9" t="s">
        <v>8</v>
      </c>
      <c r="D9">
        <v>5</v>
      </c>
      <c r="E9" t="s">
        <v>3</v>
      </c>
      <c r="F9">
        <f t="shared" si="1"/>
        <v>37</v>
      </c>
      <c r="G9" t="s">
        <v>3</v>
      </c>
    </row>
    <row r="10" spans="1:8" x14ac:dyDescent="0.15">
      <c r="A10" t="str">
        <f t="shared" si="0"/>
        <v>|Lv7|40|</v>
      </c>
      <c r="B10" t="s">
        <v>3</v>
      </c>
      <c r="C10" t="s">
        <v>8</v>
      </c>
      <c r="D10">
        <v>7</v>
      </c>
      <c r="E10" t="s">
        <v>3</v>
      </c>
      <c r="F10">
        <f t="shared" si="1"/>
        <v>40</v>
      </c>
      <c r="G10" t="s">
        <v>3</v>
      </c>
    </row>
    <row r="11" spans="1:8" x14ac:dyDescent="0.15">
      <c r="A11" t="str">
        <f t="shared" si="0"/>
        <v>|Lv9|43|</v>
      </c>
      <c r="B11" t="s">
        <v>3</v>
      </c>
      <c r="C11" t="s">
        <v>8</v>
      </c>
      <c r="D11">
        <v>9</v>
      </c>
      <c r="E11" t="s">
        <v>3</v>
      </c>
      <c r="F11">
        <f t="shared" si="1"/>
        <v>43</v>
      </c>
      <c r="G11" t="s">
        <v>3</v>
      </c>
    </row>
    <row r="12" spans="1:8" x14ac:dyDescent="0.15">
      <c r="A12" t="str">
        <f t="shared" si="0"/>
        <v>|Lv11|45|</v>
      </c>
      <c r="B12" t="s">
        <v>3</v>
      </c>
      <c r="C12" t="s">
        <v>8</v>
      </c>
      <c r="D12">
        <v>11</v>
      </c>
      <c r="E12" t="s">
        <v>3</v>
      </c>
      <c r="F12">
        <f t="shared" si="1"/>
        <v>45</v>
      </c>
      <c r="G12" t="s">
        <v>3</v>
      </c>
    </row>
    <row r="13" spans="1:8" x14ac:dyDescent="0.15">
      <c r="A13" t="str">
        <f t="shared" si="0"/>
        <v>|Lv13|48|</v>
      </c>
      <c r="B13" t="s">
        <v>3</v>
      </c>
      <c r="C13" t="s">
        <v>8</v>
      </c>
      <c r="D13">
        <v>13</v>
      </c>
      <c r="E13" t="s">
        <v>3</v>
      </c>
      <c r="F13">
        <f t="shared" si="1"/>
        <v>48</v>
      </c>
      <c r="G13" t="s">
        <v>3</v>
      </c>
    </row>
    <row r="14" spans="1:8" x14ac:dyDescent="0.15">
      <c r="A14" t="str">
        <f t="shared" si="0"/>
        <v>|Lv15|51|</v>
      </c>
      <c r="B14" t="s">
        <v>3</v>
      </c>
      <c r="C14" t="s">
        <v>8</v>
      </c>
      <c r="D14">
        <v>15</v>
      </c>
      <c r="E14" t="s">
        <v>3</v>
      </c>
      <c r="F14">
        <f t="shared" si="1"/>
        <v>51</v>
      </c>
      <c r="G14" t="s">
        <v>3</v>
      </c>
    </row>
    <row r="15" spans="1:8" x14ac:dyDescent="0.15">
      <c r="A15" t="str">
        <f t="shared" si="0"/>
        <v>|Lv17|54|</v>
      </c>
      <c r="B15" t="s">
        <v>3</v>
      </c>
      <c r="C15" t="s">
        <v>8</v>
      </c>
      <c r="D15">
        <v>17</v>
      </c>
      <c r="E15" t="s">
        <v>3</v>
      </c>
      <c r="F15">
        <f t="shared" si="1"/>
        <v>54</v>
      </c>
      <c r="G15" t="s">
        <v>3</v>
      </c>
    </row>
    <row r="16" spans="1:8" x14ac:dyDescent="0.15">
      <c r="A16" t="str">
        <f t="shared" si="0"/>
        <v>|Lv19|56|</v>
      </c>
      <c r="B16" t="s">
        <v>3</v>
      </c>
      <c r="C16" t="s">
        <v>8</v>
      </c>
      <c r="D16">
        <v>19</v>
      </c>
      <c r="E16" t="s">
        <v>3</v>
      </c>
      <c r="F16">
        <f t="shared" si="1"/>
        <v>56</v>
      </c>
      <c r="G16" t="s">
        <v>3</v>
      </c>
    </row>
    <row r="17" spans="1:7" x14ac:dyDescent="0.15">
      <c r="A17" t="str">
        <f t="shared" si="0"/>
        <v>|Lv21|59|</v>
      </c>
      <c r="B17" t="s">
        <v>3</v>
      </c>
      <c r="C17" t="s">
        <v>8</v>
      </c>
      <c r="D17">
        <v>21</v>
      </c>
      <c r="E17" t="s">
        <v>3</v>
      </c>
      <c r="F17">
        <f t="shared" si="1"/>
        <v>59</v>
      </c>
      <c r="G17" t="s">
        <v>3</v>
      </c>
    </row>
    <row r="18" spans="1:7" x14ac:dyDescent="0.15">
      <c r="A18" t="str">
        <f t="shared" si="0"/>
        <v>|Lv23|62|</v>
      </c>
      <c r="B18" t="s">
        <v>3</v>
      </c>
      <c r="C18" t="s">
        <v>8</v>
      </c>
      <c r="D18">
        <v>23</v>
      </c>
      <c r="E18" t="s">
        <v>3</v>
      </c>
      <c r="F18">
        <f t="shared" si="1"/>
        <v>62</v>
      </c>
      <c r="G18" t="s">
        <v>3</v>
      </c>
    </row>
    <row r="19" spans="1:7" x14ac:dyDescent="0.15">
      <c r="A19" t="str">
        <f t="shared" si="0"/>
        <v>|Lv25|65|</v>
      </c>
      <c r="B19" t="s">
        <v>3</v>
      </c>
      <c r="C19" t="s">
        <v>8</v>
      </c>
      <c r="D19">
        <v>25</v>
      </c>
      <c r="E19" t="s">
        <v>3</v>
      </c>
      <c r="F19">
        <f t="shared" si="1"/>
        <v>65</v>
      </c>
      <c r="G19" t="s">
        <v>3</v>
      </c>
    </row>
    <row r="20" spans="1:7" x14ac:dyDescent="0.15">
      <c r="A20" t="str">
        <f t="shared" si="0"/>
        <v>|Lv27|67|</v>
      </c>
      <c r="B20" t="s">
        <v>3</v>
      </c>
      <c r="C20" t="s">
        <v>8</v>
      </c>
      <c r="D20">
        <v>27</v>
      </c>
      <c r="E20" t="s">
        <v>3</v>
      </c>
      <c r="F20">
        <f t="shared" si="1"/>
        <v>67</v>
      </c>
      <c r="G20" t="s">
        <v>3</v>
      </c>
    </row>
    <row r="21" spans="1:7" x14ac:dyDescent="0.15">
      <c r="A21" t="str">
        <f t="shared" si="0"/>
        <v>|Lv29|70|</v>
      </c>
      <c r="B21" t="s">
        <v>3</v>
      </c>
      <c r="C21" t="s">
        <v>8</v>
      </c>
      <c r="D21">
        <v>29</v>
      </c>
      <c r="E21" t="s">
        <v>3</v>
      </c>
      <c r="F21">
        <f t="shared" si="1"/>
        <v>70</v>
      </c>
      <c r="G21" t="s">
        <v>3</v>
      </c>
    </row>
    <row r="22" spans="1:7" x14ac:dyDescent="0.15">
      <c r="A22" t="str">
        <f t="shared" si="0"/>
        <v>|Lv31|73|</v>
      </c>
      <c r="B22" t="s">
        <v>3</v>
      </c>
      <c r="C22" t="s">
        <v>8</v>
      </c>
      <c r="D22">
        <v>31</v>
      </c>
      <c r="E22" t="s">
        <v>3</v>
      </c>
      <c r="F22">
        <f t="shared" si="1"/>
        <v>73</v>
      </c>
      <c r="G22" t="s">
        <v>3</v>
      </c>
    </row>
    <row r="23" spans="1:7" x14ac:dyDescent="0.15">
      <c r="A23" t="str">
        <f t="shared" si="0"/>
        <v>|Lv33|76|</v>
      </c>
      <c r="B23" t="s">
        <v>3</v>
      </c>
      <c r="C23" t="s">
        <v>8</v>
      </c>
      <c r="D23">
        <v>33</v>
      </c>
      <c r="E23" t="s">
        <v>3</v>
      </c>
      <c r="F23">
        <f t="shared" si="1"/>
        <v>76</v>
      </c>
      <c r="G23" t="s">
        <v>3</v>
      </c>
    </row>
    <row r="24" spans="1:7" x14ac:dyDescent="0.15">
      <c r="A24" t="str">
        <f t="shared" si="0"/>
        <v>|Lv35|78|</v>
      </c>
      <c r="B24" t="s">
        <v>3</v>
      </c>
      <c r="C24" t="s">
        <v>8</v>
      </c>
      <c r="D24">
        <v>35</v>
      </c>
      <c r="E24" t="s">
        <v>3</v>
      </c>
      <c r="F24">
        <f t="shared" si="1"/>
        <v>78</v>
      </c>
      <c r="G24" t="s">
        <v>3</v>
      </c>
    </row>
    <row r="25" spans="1:7" x14ac:dyDescent="0.15">
      <c r="A25" t="str">
        <f t="shared" si="0"/>
        <v>|Lv37|81|</v>
      </c>
      <c r="B25" t="s">
        <v>3</v>
      </c>
      <c r="C25" t="s">
        <v>8</v>
      </c>
      <c r="D25">
        <v>37</v>
      </c>
      <c r="E25" t="s">
        <v>3</v>
      </c>
      <c r="F25">
        <f t="shared" si="1"/>
        <v>81</v>
      </c>
      <c r="G25" t="s">
        <v>3</v>
      </c>
    </row>
    <row r="26" spans="1:7" x14ac:dyDescent="0.15">
      <c r="A26" t="str">
        <f t="shared" si="0"/>
        <v>|Lv39|84|</v>
      </c>
      <c r="B26" t="s">
        <v>3</v>
      </c>
      <c r="C26" t="s">
        <v>8</v>
      </c>
      <c r="D26">
        <v>39</v>
      </c>
      <c r="E26" t="s">
        <v>3</v>
      </c>
      <c r="F26">
        <f t="shared" si="1"/>
        <v>84</v>
      </c>
      <c r="G26" t="s">
        <v>3</v>
      </c>
    </row>
    <row r="27" spans="1:7" x14ac:dyDescent="0.15">
      <c r="A27" t="str">
        <f t="shared" si="0"/>
        <v>|Lv41|87|</v>
      </c>
      <c r="B27" t="s">
        <v>3</v>
      </c>
      <c r="C27" t="s">
        <v>8</v>
      </c>
      <c r="D27">
        <v>41</v>
      </c>
      <c r="E27" t="s">
        <v>3</v>
      </c>
      <c r="F27">
        <f t="shared" si="1"/>
        <v>87</v>
      </c>
      <c r="G27" t="s">
        <v>3</v>
      </c>
    </row>
    <row r="28" spans="1:7" x14ac:dyDescent="0.15">
      <c r="A28" t="str">
        <f t="shared" si="0"/>
        <v>|Lv43|89|</v>
      </c>
      <c r="B28" t="s">
        <v>3</v>
      </c>
      <c r="C28" t="s">
        <v>8</v>
      </c>
      <c r="D28">
        <v>43</v>
      </c>
      <c r="E28" t="s">
        <v>3</v>
      </c>
      <c r="F28">
        <f t="shared" si="1"/>
        <v>89</v>
      </c>
      <c r="G28" t="s">
        <v>3</v>
      </c>
    </row>
    <row r="29" spans="1:7" x14ac:dyDescent="0.15">
      <c r="A29" t="str">
        <f t="shared" si="0"/>
        <v>|Lv45|92|</v>
      </c>
      <c r="B29" t="s">
        <v>3</v>
      </c>
      <c r="C29" t="s">
        <v>8</v>
      </c>
      <c r="D29">
        <v>45</v>
      </c>
      <c r="E29" t="s">
        <v>3</v>
      </c>
      <c r="F29">
        <f t="shared" si="1"/>
        <v>92</v>
      </c>
      <c r="G29" t="s">
        <v>3</v>
      </c>
    </row>
    <row r="30" spans="1:7" x14ac:dyDescent="0.15">
      <c r="A30" t="str">
        <f t="shared" si="0"/>
        <v>|Lv47|95|</v>
      </c>
      <c r="B30" t="s">
        <v>3</v>
      </c>
      <c r="C30" t="s">
        <v>8</v>
      </c>
      <c r="D30">
        <v>47</v>
      </c>
      <c r="E30" t="s">
        <v>3</v>
      </c>
      <c r="F30">
        <f t="shared" si="1"/>
        <v>95</v>
      </c>
      <c r="G30" t="s">
        <v>3</v>
      </c>
    </row>
    <row r="31" spans="1:7" x14ac:dyDescent="0.15">
      <c r="A31" t="str">
        <f t="shared" si="0"/>
        <v>|Lv49|98|</v>
      </c>
      <c r="B31" t="s">
        <v>3</v>
      </c>
      <c r="C31" t="s">
        <v>8</v>
      </c>
      <c r="D31">
        <v>49</v>
      </c>
      <c r="E31" t="s">
        <v>3</v>
      </c>
      <c r="F31">
        <f t="shared" si="1"/>
        <v>98</v>
      </c>
      <c r="G31" t="s">
        <v>3</v>
      </c>
    </row>
    <row r="32" spans="1:7" x14ac:dyDescent="0.15">
      <c r="A32" t="str">
        <f t="shared" si="0"/>
        <v>|Lv51|100|</v>
      </c>
      <c r="B32" t="s">
        <v>3</v>
      </c>
      <c r="C32" t="s">
        <v>8</v>
      </c>
      <c r="D32">
        <v>51</v>
      </c>
      <c r="E32" t="s">
        <v>3</v>
      </c>
      <c r="F32">
        <f t="shared" si="1"/>
        <v>100</v>
      </c>
      <c r="G32" t="s">
        <v>3</v>
      </c>
    </row>
    <row r="33" spans="1:19" x14ac:dyDescent="0.15">
      <c r="A33" t="str">
        <f t="shared" si="0"/>
        <v>|Lv53|103|</v>
      </c>
      <c r="B33" t="s">
        <v>3</v>
      </c>
      <c r="C33" t="s">
        <v>8</v>
      </c>
      <c r="D33">
        <v>53</v>
      </c>
      <c r="E33" t="s">
        <v>3</v>
      </c>
      <c r="F33">
        <f t="shared" si="1"/>
        <v>103</v>
      </c>
      <c r="G33" t="s">
        <v>3</v>
      </c>
    </row>
    <row r="34" spans="1:19" x14ac:dyDescent="0.15">
      <c r="A34" t="str">
        <f t="shared" si="0"/>
        <v>|Lv55|106|</v>
      </c>
      <c r="B34" t="s">
        <v>3</v>
      </c>
      <c r="C34" t="s">
        <v>8</v>
      </c>
      <c r="D34">
        <v>55</v>
      </c>
      <c r="E34" t="s">
        <v>3</v>
      </c>
      <c r="F34">
        <f t="shared" si="1"/>
        <v>106</v>
      </c>
      <c r="G34" t="s">
        <v>3</v>
      </c>
    </row>
    <row r="35" spans="1:19" x14ac:dyDescent="0.15">
      <c r="A35" t="str">
        <f t="shared" si="0"/>
        <v>|Lv57|109|</v>
      </c>
      <c r="B35" t="s">
        <v>3</v>
      </c>
      <c r="C35" t="s">
        <v>8</v>
      </c>
      <c r="D35">
        <v>57</v>
      </c>
      <c r="E35" t="s">
        <v>3</v>
      </c>
      <c r="F35">
        <f t="shared" si="1"/>
        <v>109</v>
      </c>
      <c r="G35" t="s">
        <v>3</v>
      </c>
    </row>
    <row r="36" spans="1:19" x14ac:dyDescent="0.15">
      <c r="A36" t="str">
        <f t="shared" si="0"/>
        <v>|Lv59|111|</v>
      </c>
      <c r="B36" t="s">
        <v>3</v>
      </c>
      <c r="C36" t="s">
        <v>8</v>
      </c>
      <c r="D36">
        <v>59</v>
      </c>
      <c r="E36" t="s">
        <v>3</v>
      </c>
      <c r="F36">
        <f t="shared" si="1"/>
        <v>111</v>
      </c>
      <c r="G36" t="s">
        <v>3</v>
      </c>
    </row>
    <row r="37" spans="1:19" x14ac:dyDescent="0.15">
      <c r="A37" t="str">
        <f>B37&amp;C37&amp;D37&amp;E37&amp;F37&amp;G37&amp;H37&amp;I37&amp;J37&amp;K37&amp;L37&amp;M37&amp;N37&amp;O37&amp;P37</f>
        <v>&amp;br;</v>
      </c>
      <c r="B37" t="s">
        <v>0</v>
      </c>
    </row>
    <row r="38" spans="1:19" x14ac:dyDescent="0.15">
      <c r="A38" t="str">
        <f>B38&amp;C38&amp;D38&amp;E38&amp;F38&amp;G38&amp;H38&amp;I38&amp;J38&amp;K38&amp;L38&amp;M38&amp;N38&amp;O38&amp;P38</f>
        <v>&amp;br;</v>
      </c>
      <c r="B38" t="s">
        <v>0</v>
      </c>
    </row>
    <row r="39" spans="1:19" x14ac:dyDescent="0.15">
      <c r="A39" t="str">
        <f>B39&amp;C39&amp;D39&amp;E39&amp;F39&amp;G39&amp;H39&amp;I39&amp;J39&amp;K39&amp;L39&amp;M39&amp;N39&amp;O39&amp;P39</f>
        <v>*マナボーナス [#q1a26f54]</v>
      </c>
      <c r="B39" t="s">
        <v>9</v>
      </c>
    </row>
    <row r="40" spans="1:19" x14ac:dyDescent="0.15">
      <c r="A40" t="str">
        <f t="shared" ref="A40:A49" si="2">B40&amp;C40&amp;D40&amp;G40&amp;H40&amp;I40&amp;J40&amp;K40&amp;L40&amp;M40&amp;N40&amp;O40&amp;P40&amp;Q40&amp;R40</f>
        <v>|LEFT:50|LEFT:50|LEFT:50|LEFT:50|LEFT:50|LEFT:50|c</v>
      </c>
      <c r="B40" t="s">
        <v>3</v>
      </c>
      <c r="C40" t="s">
        <v>4</v>
      </c>
      <c r="E40" t="s">
        <v>3</v>
      </c>
      <c r="G40" t="s">
        <v>3</v>
      </c>
      <c r="H40" t="s">
        <v>4</v>
      </c>
      <c r="I40" t="s">
        <v>3</v>
      </c>
      <c r="J40" t="s">
        <v>4</v>
      </c>
      <c r="K40" t="s">
        <v>3</v>
      </c>
      <c r="L40" t="s">
        <v>4</v>
      </c>
      <c r="M40" t="s">
        <v>3</v>
      </c>
      <c r="N40" t="s">
        <v>4</v>
      </c>
      <c r="O40" t="s">
        <v>3</v>
      </c>
      <c r="P40" t="s">
        <v>4</v>
      </c>
      <c r="Q40" t="s">
        <v>3</v>
      </c>
      <c r="R40" t="s">
        <v>5</v>
      </c>
    </row>
    <row r="41" spans="1:19" x14ac:dyDescent="0.15">
      <c r="A41" t="str">
        <f t="shared" si="2"/>
        <v>|レベル|白|青|黒|赤|緑|</v>
      </c>
      <c r="B41" t="s">
        <v>3</v>
      </c>
      <c r="C41" t="s">
        <v>6</v>
      </c>
      <c r="E41" t="s">
        <v>3</v>
      </c>
      <c r="F41" t="s">
        <v>10</v>
      </c>
      <c r="G41" t="s">
        <v>3</v>
      </c>
      <c r="H41" t="s">
        <v>11</v>
      </c>
      <c r="I41" t="s">
        <v>3</v>
      </c>
      <c r="J41" t="s">
        <v>12</v>
      </c>
      <c r="K41" t="s">
        <v>3</v>
      </c>
      <c r="L41" t="s">
        <v>13</v>
      </c>
      <c r="M41" t="s">
        <v>3</v>
      </c>
      <c r="N41" t="s">
        <v>14</v>
      </c>
      <c r="O41" t="s">
        <v>3</v>
      </c>
      <c r="P41" t="s">
        <v>15</v>
      </c>
      <c r="Q41" t="s">
        <v>3</v>
      </c>
      <c r="S41" t="s">
        <v>11</v>
      </c>
    </row>
    <row r="42" spans="1:19" x14ac:dyDescent="0.15">
      <c r="A42" t="str">
        <f t="shared" si="2"/>
        <v>|Lv1|-2|-2|-1|5|-1|</v>
      </c>
      <c r="B42" t="s">
        <v>3</v>
      </c>
      <c r="C42" t="s">
        <v>8</v>
      </c>
      <c r="D42">
        <v>1</v>
      </c>
      <c r="E42" t="s">
        <v>3</v>
      </c>
      <c r="G42" t="s">
        <v>3</v>
      </c>
      <c r="H42">
        <v>-2</v>
      </c>
      <c r="I42" t="s">
        <v>3</v>
      </c>
      <c r="J42">
        <v>-2</v>
      </c>
      <c r="K42" t="s">
        <v>3</v>
      </c>
      <c r="L42">
        <v>-1</v>
      </c>
      <c r="M42" t="s">
        <v>3</v>
      </c>
      <c r="N42">
        <v>5</v>
      </c>
      <c r="O42" t="s">
        <v>3</v>
      </c>
      <c r="P42">
        <v>-1</v>
      </c>
      <c r="Q42" t="s">
        <v>3</v>
      </c>
      <c r="S42" t="s">
        <v>12</v>
      </c>
    </row>
    <row r="43" spans="1:19" x14ac:dyDescent="0.15">
      <c r="A43" t="str">
        <f t="shared" si="2"/>
        <v>|Lv2|-2|-2|-1|6|-1|</v>
      </c>
      <c r="B43" t="s">
        <v>3</v>
      </c>
      <c r="C43" t="s">
        <v>8</v>
      </c>
      <c r="D43">
        <v>2</v>
      </c>
      <c r="E43" t="s">
        <v>3</v>
      </c>
      <c r="F43" t="str">
        <f t="shared" ref="F43:F50" si="3">IF(ISBLANK(D43),"",INDEX($F$98:$F$157,D43))</f>
        <v>赤</v>
      </c>
      <c r="G43" t="s">
        <v>3</v>
      </c>
      <c r="H43">
        <f>H42+IF(H$41=$F43,1,0)</f>
        <v>-2</v>
      </c>
      <c r="I43" t="str">
        <f t="shared" ref="I43:Q49" si="4">I42</f>
        <v>|</v>
      </c>
      <c r="J43">
        <f>J42+IF(J$41=$F43,1,0)</f>
        <v>-2</v>
      </c>
      <c r="K43" t="str">
        <f t="shared" si="4"/>
        <v>|</v>
      </c>
      <c r="L43">
        <f>L42+IF(L$41=$F43,1,0)</f>
        <v>-1</v>
      </c>
      <c r="M43" t="str">
        <f t="shared" si="4"/>
        <v>|</v>
      </c>
      <c r="N43">
        <f>N42+IF(N$41=$F43,1,0)</f>
        <v>6</v>
      </c>
      <c r="O43" t="str">
        <f t="shared" si="4"/>
        <v>|</v>
      </c>
      <c r="P43">
        <f>P42+IF(P$41=$F43,1,0)</f>
        <v>-1</v>
      </c>
      <c r="Q43" t="str">
        <f t="shared" si="4"/>
        <v>|</v>
      </c>
      <c r="S43" t="s">
        <v>13</v>
      </c>
    </row>
    <row r="44" spans="1:19" x14ac:dyDescent="0.15">
      <c r="A44" t="str">
        <f t="shared" si="2"/>
        <v>|Lv8|-2|-2|0|6|-1|</v>
      </c>
      <c r="B44" t="s">
        <v>3</v>
      </c>
      <c r="C44" t="s">
        <v>8</v>
      </c>
      <c r="D44">
        <v>8</v>
      </c>
      <c r="E44" t="s">
        <v>3</v>
      </c>
      <c r="F44" t="str">
        <f t="shared" si="3"/>
        <v>黒</v>
      </c>
      <c r="G44" t="s">
        <v>3</v>
      </c>
      <c r="H44">
        <f t="shared" ref="H44:P49" si="5">H43+IF(H$41=$F44,1,0)</f>
        <v>-2</v>
      </c>
      <c r="I44" t="str">
        <f t="shared" si="4"/>
        <v>|</v>
      </c>
      <c r="J44">
        <f t="shared" si="5"/>
        <v>-2</v>
      </c>
      <c r="K44" t="str">
        <f t="shared" si="4"/>
        <v>|</v>
      </c>
      <c r="L44">
        <f t="shared" si="5"/>
        <v>0</v>
      </c>
      <c r="M44" t="str">
        <f t="shared" si="4"/>
        <v>|</v>
      </c>
      <c r="N44">
        <f>N43+IF(N$41=$F44,1,0)</f>
        <v>6</v>
      </c>
      <c r="O44" t="str">
        <f t="shared" si="4"/>
        <v>|</v>
      </c>
      <c r="P44">
        <f t="shared" si="5"/>
        <v>-1</v>
      </c>
      <c r="Q44" t="str">
        <f t="shared" si="4"/>
        <v>|</v>
      </c>
      <c r="S44" t="s">
        <v>14</v>
      </c>
    </row>
    <row r="45" spans="1:19" x14ac:dyDescent="0.15">
      <c r="A45" t="str">
        <f t="shared" si="2"/>
        <v>|Lv14|-2|-1|0|6|-1|</v>
      </c>
      <c r="B45" t="s">
        <v>3</v>
      </c>
      <c r="C45" t="s">
        <v>8</v>
      </c>
      <c r="D45">
        <v>14</v>
      </c>
      <c r="E45" t="s">
        <v>3</v>
      </c>
      <c r="F45" t="str">
        <f t="shared" si="3"/>
        <v>青</v>
      </c>
      <c r="G45" t="s">
        <v>3</v>
      </c>
      <c r="H45">
        <f t="shared" si="5"/>
        <v>-2</v>
      </c>
      <c r="I45" t="str">
        <f t="shared" si="4"/>
        <v>|</v>
      </c>
      <c r="J45">
        <f t="shared" si="5"/>
        <v>-1</v>
      </c>
      <c r="K45" t="str">
        <f t="shared" si="4"/>
        <v>|</v>
      </c>
      <c r="L45">
        <f t="shared" si="5"/>
        <v>0</v>
      </c>
      <c r="M45" t="str">
        <f t="shared" si="4"/>
        <v>|</v>
      </c>
      <c r="N45">
        <f t="shared" si="5"/>
        <v>6</v>
      </c>
      <c r="O45" t="str">
        <f t="shared" si="4"/>
        <v>|</v>
      </c>
      <c r="P45">
        <f t="shared" si="5"/>
        <v>-1</v>
      </c>
      <c r="Q45" t="str">
        <f t="shared" si="4"/>
        <v>|</v>
      </c>
      <c r="S45" t="s">
        <v>15</v>
      </c>
    </row>
    <row r="46" spans="1:19" x14ac:dyDescent="0.15">
      <c r="A46" t="str">
        <f t="shared" si="2"/>
        <v>|Lv20|-1|-1|0|6|-1|</v>
      </c>
      <c r="B46" t="s">
        <v>3</v>
      </c>
      <c r="C46" t="s">
        <v>8</v>
      </c>
      <c r="D46">
        <v>20</v>
      </c>
      <c r="E46" t="s">
        <v>3</v>
      </c>
      <c r="F46" t="str">
        <f t="shared" si="3"/>
        <v>白</v>
      </c>
      <c r="G46" t="s">
        <v>3</v>
      </c>
      <c r="H46">
        <f t="shared" si="5"/>
        <v>-1</v>
      </c>
      <c r="I46" t="str">
        <f t="shared" si="4"/>
        <v>|</v>
      </c>
      <c r="J46">
        <f t="shared" si="5"/>
        <v>-1</v>
      </c>
      <c r="K46" t="str">
        <f t="shared" si="4"/>
        <v>|</v>
      </c>
      <c r="L46">
        <f t="shared" si="5"/>
        <v>0</v>
      </c>
      <c r="M46" t="str">
        <f t="shared" si="4"/>
        <v>|</v>
      </c>
      <c r="N46">
        <f t="shared" si="5"/>
        <v>6</v>
      </c>
      <c r="O46" t="str">
        <f t="shared" si="4"/>
        <v>|</v>
      </c>
      <c r="P46">
        <f>P45+IF(P$41=$F46,1,0)</f>
        <v>-1</v>
      </c>
      <c r="Q46" t="str">
        <f t="shared" si="4"/>
        <v>|</v>
      </c>
    </row>
    <row r="47" spans="1:19" x14ac:dyDescent="0.15">
      <c r="A47" t="str">
        <f t="shared" si="2"/>
        <v>|Lv26|-1|-1|0|7|-1|</v>
      </c>
      <c r="B47" t="s">
        <v>3</v>
      </c>
      <c r="C47" t="s">
        <v>8</v>
      </c>
      <c r="D47">
        <v>26</v>
      </c>
      <c r="E47" t="s">
        <v>3</v>
      </c>
      <c r="F47" t="str">
        <f t="shared" si="3"/>
        <v>赤</v>
      </c>
      <c r="G47" t="s">
        <v>3</v>
      </c>
      <c r="H47">
        <f t="shared" si="5"/>
        <v>-1</v>
      </c>
      <c r="I47" t="str">
        <f t="shared" si="4"/>
        <v>|</v>
      </c>
      <c r="J47">
        <f t="shared" si="5"/>
        <v>-1</v>
      </c>
      <c r="K47" t="str">
        <f t="shared" si="4"/>
        <v>|</v>
      </c>
      <c r="L47">
        <f t="shared" si="5"/>
        <v>0</v>
      </c>
      <c r="M47" t="str">
        <f t="shared" si="4"/>
        <v>|</v>
      </c>
      <c r="N47">
        <f t="shared" si="5"/>
        <v>7</v>
      </c>
      <c r="O47" t="str">
        <f t="shared" si="4"/>
        <v>|</v>
      </c>
      <c r="P47">
        <f t="shared" si="5"/>
        <v>-1</v>
      </c>
      <c r="Q47" t="str">
        <f t="shared" si="4"/>
        <v>|</v>
      </c>
    </row>
    <row r="48" spans="1:19" x14ac:dyDescent="0.15">
      <c r="A48" t="str">
        <f t="shared" si="2"/>
        <v>|Lv32|-1|-1|0|7|0|</v>
      </c>
      <c r="B48" t="s">
        <v>3</v>
      </c>
      <c r="C48" t="s">
        <v>8</v>
      </c>
      <c r="D48">
        <v>32</v>
      </c>
      <c r="E48" t="s">
        <v>3</v>
      </c>
      <c r="F48" t="str">
        <f t="shared" si="3"/>
        <v>緑</v>
      </c>
      <c r="G48" t="s">
        <v>3</v>
      </c>
      <c r="H48">
        <f t="shared" si="5"/>
        <v>-1</v>
      </c>
      <c r="I48" t="str">
        <f t="shared" si="4"/>
        <v>|</v>
      </c>
      <c r="J48">
        <f t="shared" si="5"/>
        <v>-1</v>
      </c>
      <c r="K48" t="str">
        <f t="shared" si="4"/>
        <v>|</v>
      </c>
      <c r="L48">
        <f t="shared" si="5"/>
        <v>0</v>
      </c>
      <c r="M48" t="str">
        <f t="shared" si="4"/>
        <v>|</v>
      </c>
      <c r="N48">
        <f t="shared" si="5"/>
        <v>7</v>
      </c>
      <c r="O48" t="str">
        <f t="shared" si="4"/>
        <v>|</v>
      </c>
      <c r="P48">
        <f t="shared" si="5"/>
        <v>0</v>
      </c>
      <c r="Q48" t="str">
        <f t="shared" si="4"/>
        <v>|</v>
      </c>
    </row>
    <row r="49" spans="1:19" x14ac:dyDescent="0.15">
      <c r="A49" t="str">
        <f t="shared" si="2"/>
        <v>|Lv38|-1|-1|0|8|0|</v>
      </c>
      <c r="B49" t="s">
        <v>3</v>
      </c>
      <c r="C49" t="s">
        <v>8</v>
      </c>
      <c r="D49">
        <v>38</v>
      </c>
      <c r="E49" t="s">
        <v>3</v>
      </c>
      <c r="F49" t="str">
        <f t="shared" si="3"/>
        <v>赤</v>
      </c>
      <c r="G49" t="s">
        <v>3</v>
      </c>
      <c r="H49">
        <f t="shared" si="5"/>
        <v>-1</v>
      </c>
      <c r="I49" t="str">
        <f t="shared" si="4"/>
        <v>|</v>
      </c>
      <c r="J49">
        <f t="shared" si="5"/>
        <v>-1</v>
      </c>
      <c r="K49" t="str">
        <f t="shared" si="4"/>
        <v>|</v>
      </c>
      <c r="L49">
        <f t="shared" si="5"/>
        <v>0</v>
      </c>
      <c r="M49" t="str">
        <f t="shared" si="4"/>
        <v>|</v>
      </c>
      <c r="N49">
        <f t="shared" si="5"/>
        <v>8</v>
      </c>
      <c r="O49" t="str">
        <f t="shared" si="4"/>
        <v>|</v>
      </c>
      <c r="P49">
        <f>P48+IF(P$41=$F49,1,0)</f>
        <v>0</v>
      </c>
      <c r="Q49" t="str">
        <f t="shared" si="4"/>
        <v>|</v>
      </c>
    </row>
    <row r="50" spans="1:19" x14ac:dyDescent="0.15">
      <c r="A50" t="str">
        <f>B50&amp;C50&amp;D50&amp;G50&amp;H50&amp;I50&amp;J50&amp;K50&amp;L50&amp;M50&amp;N50&amp;O50&amp;P50&amp;Q50&amp;R50</f>
        <v>|Lv50|-1|-1|0|9|0|</v>
      </c>
      <c r="B50" t="s">
        <v>3</v>
      </c>
      <c r="C50" t="s">
        <v>8</v>
      </c>
      <c r="D50">
        <v>50</v>
      </c>
      <c r="E50" t="s">
        <v>3</v>
      </c>
      <c r="F50" t="str">
        <f t="shared" si="3"/>
        <v>赤</v>
      </c>
      <c r="G50" t="s">
        <v>3</v>
      </c>
      <c r="H50">
        <f>H49+IF(H$41=$F50,1,0)</f>
        <v>-1</v>
      </c>
      <c r="I50" t="str">
        <f>I49</f>
        <v>|</v>
      </c>
      <c r="J50">
        <f>J49+IF(J$41=$F50,1,0)</f>
        <v>-1</v>
      </c>
      <c r="K50" t="str">
        <f>K49</f>
        <v>|</v>
      </c>
      <c r="L50">
        <f>L49+IF(L$41=$F50,1,0)</f>
        <v>0</v>
      </c>
      <c r="M50" t="str">
        <f>M49</f>
        <v>|</v>
      </c>
      <c r="N50">
        <f>N49+IF(N$41=$F50,1,0)</f>
        <v>9</v>
      </c>
      <c r="O50" t="str">
        <f>O49</f>
        <v>|</v>
      </c>
      <c r="P50">
        <f>P49+IF(P$41=$F50,1,0)</f>
        <v>0</v>
      </c>
      <c r="Q50" t="str">
        <f>Q49</f>
        <v>|</v>
      </c>
    </row>
    <row r="51" spans="1:19" x14ac:dyDescent="0.15">
      <c r="A51" t="str">
        <f>B51&amp;C51&amp;D51&amp;E51&amp;F51&amp;G51&amp;H51&amp;I51&amp;J51&amp;K51&amp;L51&amp;M51&amp;N51&amp;O51&amp;P51</f>
        <v>&amp;br;</v>
      </c>
      <c r="B51" t="s">
        <v>0</v>
      </c>
    </row>
    <row r="52" spans="1:19" x14ac:dyDescent="0.15">
      <c r="A52" t="str">
        <f>B52&amp;C52&amp;D52&amp;E52&amp;F52&amp;G52&amp;H52&amp;I52&amp;J52&amp;K52&amp;L52&amp;M52&amp;N52&amp;O52&amp;P52</f>
        <v>&amp;br;</v>
      </c>
      <c r="B52" t="s">
        <v>0</v>
      </c>
    </row>
    <row r="53" spans="1:19" x14ac:dyDescent="0.15">
      <c r="A53" t="str">
        <f>B53&amp;C53&amp;D53&amp;E53&amp;F53&amp;G53&amp;H53&amp;I53&amp;J53&amp;K53&amp;L53&amp;M53&amp;N53&amp;O53&amp;P53</f>
        <v>*デッキ構築枚数上限 [#e6f382eb]</v>
      </c>
      <c r="B53" t="s">
        <v>16</v>
      </c>
    </row>
    <row r="54" spans="1:19" x14ac:dyDescent="0.15">
      <c r="A54" t="str">
        <f>B54&amp;C54&amp;D54&amp;E54&amp;F54&amp;G54&amp;H54&amp;I54&amp;J54&amp;K54&amp;L54&amp;M54&amp;N54&amp;O54&amp;P54</f>
        <v>構築枚数上限を越える枚数はデッキに入れられない。</v>
      </c>
      <c r="B54" t="s">
        <v>17</v>
      </c>
    </row>
    <row r="55" spans="1:19" x14ac:dyDescent="0.15">
      <c r="A55" t="str">
        <f t="shared" ref="A55:A64" si="6">B55&amp;C55&amp;D55&amp;G55&amp;H55&amp;I55&amp;J55&amp;K55&amp;L55&amp;M55&amp;N55&amp;O55&amp;P55&amp;Q55&amp;R55</f>
        <v>|LEFT:50|LEFT:80|LEFT:80|LEFT:80|c</v>
      </c>
      <c r="B55" t="s">
        <v>3</v>
      </c>
      <c r="C55" t="s">
        <v>4</v>
      </c>
      <c r="E55" t="s">
        <v>3</v>
      </c>
      <c r="G55" t="s">
        <v>3</v>
      </c>
      <c r="H55" t="s">
        <v>18</v>
      </c>
      <c r="I55" t="s">
        <v>3</v>
      </c>
      <c r="J55" t="s">
        <v>18</v>
      </c>
      <c r="K55" t="s">
        <v>3</v>
      </c>
      <c r="L55" t="s">
        <v>18</v>
      </c>
      <c r="M55" t="s">
        <v>3</v>
      </c>
      <c r="N55" t="s">
        <v>5</v>
      </c>
    </row>
    <row r="56" spans="1:19" x14ac:dyDescent="0.15">
      <c r="A56" t="str">
        <f t="shared" si="6"/>
        <v>|レベル|クリーチャー|呪文|サポート|</v>
      </c>
      <c r="B56" t="s">
        <v>3</v>
      </c>
      <c r="C56" t="s">
        <v>6</v>
      </c>
      <c r="E56" t="s">
        <v>3</v>
      </c>
      <c r="F56" t="s">
        <v>19</v>
      </c>
      <c r="G56" t="s">
        <v>3</v>
      </c>
      <c r="H56" t="s">
        <v>20</v>
      </c>
      <c r="I56" t="s">
        <v>3</v>
      </c>
      <c r="J56" t="s">
        <v>21</v>
      </c>
      <c r="K56" t="s">
        <v>3</v>
      </c>
      <c r="L56" t="s">
        <v>22</v>
      </c>
      <c r="M56" t="s">
        <v>3</v>
      </c>
      <c r="S56" t="s">
        <v>20</v>
      </c>
    </row>
    <row r="57" spans="1:19" x14ac:dyDescent="0.15">
      <c r="A57" t="str">
        <f t="shared" si="6"/>
        <v>|Lv1|6|4|1|</v>
      </c>
      <c r="B57" t="s">
        <v>3</v>
      </c>
      <c r="C57" t="s">
        <v>8</v>
      </c>
      <c r="D57">
        <v>1</v>
      </c>
      <c r="E57" t="s">
        <v>3</v>
      </c>
      <c r="G57" t="s">
        <v>3</v>
      </c>
      <c r="H57">
        <v>6</v>
      </c>
      <c r="I57" t="s">
        <v>3</v>
      </c>
      <c r="J57">
        <v>4</v>
      </c>
      <c r="K57" t="s">
        <v>3</v>
      </c>
      <c r="L57">
        <v>1</v>
      </c>
      <c r="M57" t="s">
        <v>3</v>
      </c>
      <c r="S57" t="s">
        <v>21</v>
      </c>
    </row>
    <row r="58" spans="1:19" x14ac:dyDescent="0.15">
      <c r="A58" t="str">
        <f t="shared" si="6"/>
        <v>|Lv4|7|4|1|</v>
      </c>
      <c r="B58" t="s">
        <v>3</v>
      </c>
      <c r="C58" t="s">
        <v>8</v>
      </c>
      <c r="D58">
        <v>4</v>
      </c>
      <c r="E58" t="s">
        <v>3</v>
      </c>
      <c r="F58" t="str">
        <f t="shared" ref="F58:F65" si="7">IF(ISBLANK(D58),"",INDEX($F$98:$F$157,D58))</f>
        <v>クリーチャー</v>
      </c>
      <c r="G58" t="s">
        <v>3</v>
      </c>
      <c r="H58">
        <f t="shared" ref="H58:H65" si="8">H57+IF(H$56=$F58,INDEX($H$98:$H$157,D58),0)</f>
        <v>7</v>
      </c>
      <c r="I58" t="s">
        <v>3</v>
      </c>
      <c r="J58">
        <f t="shared" ref="J58:J65" si="9">J57+IF(J$56=$F58,INDEX($H$98:$H$157,D58),0)</f>
        <v>4</v>
      </c>
      <c r="K58" t="s">
        <v>3</v>
      </c>
      <c r="L58">
        <f t="shared" ref="L58:L65" si="10">L57+IF(L$56=$F58,INDEX($H$98:$H$157,D58),0)</f>
        <v>1</v>
      </c>
      <c r="M58" t="s">
        <v>3</v>
      </c>
      <c r="S58" t="s">
        <v>22</v>
      </c>
    </row>
    <row r="59" spans="1:19" x14ac:dyDescent="0.15">
      <c r="A59" t="str">
        <f t="shared" si="6"/>
        <v>|Lv10|8|4|1|</v>
      </c>
      <c r="B59" t="s">
        <v>3</v>
      </c>
      <c r="C59" t="s">
        <v>8</v>
      </c>
      <c r="D59">
        <v>10</v>
      </c>
      <c r="E59" t="s">
        <v>3</v>
      </c>
      <c r="F59" t="str">
        <f t="shared" si="7"/>
        <v>クリーチャー</v>
      </c>
      <c r="G59" t="s">
        <v>3</v>
      </c>
      <c r="H59">
        <f t="shared" si="8"/>
        <v>8</v>
      </c>
      <c r="I59" t="s">
        <v>3</v>
      </c>
      <c r="J59">
        <f t="shared" si="9"/>
        <v>4</v>
      </c>
      <c r="K59" t="s">
        <v>3</v>
      </c>
      <c r="L59">
        <f t="shared" si="10"/>
        <v>1</v>
      </c>
      <c r="M59" t="s">
        <v>3</v>
      </c>
    </row>
    <row r="60" spans="1:19" x14ac:dyDescent="0.15">
      <c r="A60" t="str">
        <f t="shared" si="6"/>
        <v>|Lv16|8|4|2|</v>
      </c>
      <c r="B60" t="s">
        <v>3</v>
      </c>
      <c r="C60" t="s">
        <v>8</v>
      </c>
      <c r="D60">
        <v>16</v>
      </c>
      <c r="E60" t="s">
        <v>3</v>
      </c>
      <c r="F60" t="str">
        <f t="shared" si="7"/>
        <v>サポート</v>
      </c>
      <c r="G60" t="s">
        <v>3</v>
      </c>
      <c r="H60">
        <f t="shared" si="8"/>
        <v>8</v>
      </c>
      <c r="I60" t="s">
        <v>3</v>
      </c>
      <c r="J60">
        <f t="shared" si="9"/>
        <v>4</v>
      </c>
      <c r="K60" t="s">
        <v>3</v>
      </c>
      <c r="L60">
        <f t="shared" si="10"/>
        <v>2</v>
      </c>
      <c r="M60" t="s">
        <v>3</v>
      </c>
    </row>
    <row r="61" spans="1:19" x14ac:dyDescent="0.15">
      <c r="A61" t="str">
        <f t="shared" si="6"/>
        <v>|Lv22|8|5|2|</v>
      </c>
      <c r="B61" t="s">
        <v>3</v>
      </c>
      <c r="C61" t="s">
        <v>8</v>
      </c>
      <c r="D61">
        <v>22</v>
      </c>
      <c r="E61" t="s">
        <v>3</v>
      </c>
      <c r="F61" t="str">
        <f t="shared" si="7"/>
        <v>呪文</v>
      </c>
      <c r="G61" t="s">
        <v>3</v>
      </c>
      <c r="H61">
        <f t="shared" si="8"/>
        <v>8</v>
      </c>
      <c r="I61" t="s">
        <v>3</v>
      </c>
      <c r="J61">
        <f t="shared" si="9"/>
        <v>5</v>
      </c>
      <c r="K61" t="s">
        <v>3</v>
      </c>
      <c r="L61">
        <f t="shared" si="10"/>
        <v>2</v>
      </c>
      <c r="M61" t="s">
        <v>3</v>
      </c>
    </row>
    <row r="62" spans="1:19" x14ac:dyDescent="0.15">
      <c r="A62" t="str">
        <f t="shared" si="6"/>
        <v>|Lv34|9|5|2|</v>
      </c>
      <c r="B62" t="s">
        <v>3</v>
      </c>
      <c r="C62" t="s">
        <v>8</v>
      </c>
      <c r="D62">
        <v>34</v>
      </c>
      <c r="E62" t="s">
        <v>3</v>
      </c>
      <c r="F62" t="str">
        <f t="shared" si="7"/>
        <v>クリーチャー</v>
      </c>
      <c r="G62" t="s">
        <v>3</v>
      </c>
      <c r="H62">
        <f t="shared" si="8"/>
        <v>9</v>
      </c>
      <c r="I62" t="s">
        <v>3</v>
      </c>
      <c r="J62">
        <f t="shared" si="9"/>
        <v>5</v>
      </c>
      <c r="K62" t="s">
        <v>3</v>
      </c>
      <c r="L62">
        <f t="shared" si="10"/>
        <v>2</v>
      </c>
      <c r="M62" t="s">
        <v>3</v>
      </c>
    </row>
    <row r="63" spans="1:19" x14ac:dyDescent="0.15">
      <c r="A63" t="str">
        <f t="shared" si="6"/>
        <v>|Lv42|9|5|3|</v>
      </c>
      <c r="B63" t="s">
        <v>3</v>
      </c>
      <c r="C63" t="s">
        <v>8</v>
      </c>
      <c r="D63">
        <v>42</v>
      </c>
      <c r="E63" t="s">
        <v>3</v>
      </c>
      <c r="F63" t="str">
        <f t="shared" si="7"/>
        <v>サポート</v>
      </c>
      <c r="G63" t="s">
        <v>3</v>
      </c>
      <c r="H63">
        <f t="shared" si="8"/>
        <v>9</v>
      </c>
      <c r="I63" t="s">
        <v>3</v>
      </c>
      <c r="J63">
        <f t="shared" si="9"/>
        <v>5</v>
      </c>
      <c r="K63" t="s">
        <v>3</v>
      </c>
      <c r="L63">
        <f t="shared" si="10"/>
        <v>3</v>
      </c>
      <c r="M63" t="s">
        <v>3</v>
      </c>
    </row>
    <row r="64" spans="1:19" x14ac:dyDescent="0.15">
      <c r="A64" t="str">
        <f t="shared" si="6"/>
        <v>|Lv44|9|6|3|</v>
      </c>
      <c r="B64" t="s">
        <v>3</v>
      </c>
      <c r="C64" t="s">
        <v>8</v>
      </c>
      <c r="D64">
        <v>44</v>
      </c>
      <c r="E64" t="s">
        <v>3</v>
      </c>
      <c r="F64" t="str">
        <f t="shared" si="7"/>
        <v>呪文</v>
      </c>
      <c r="G64" t="s">
        <v>3</v>
      </c>
      <c r="H64">
        <f t="shared" si="8"/>
        <v>9</v>
      </c>
      <c r="I64" t="s">
        <v>3</v>
      </c>
      <c r="J64">
        <f t="shared" si="9"/>
        <v>6</v>
      </c>
      <c r="K64" t="s">
        <v>3</v>
      </c>
      <c r="L64">
        <f t="shared" si="10"/>
        <v>3</v>
      </c>
      <c r="M64" t="s">
        <v>3</v>
      </c>
    </row>
    <row r="65" spans="1:20" x14ac:dyDescent="0.15">
      <c r="A65" t="str">
        <f>B65&amp;C65&amp;D65&amp;G65&amp;H65&amp;I65&amp;J65&amp;K65&amp;L65&amp;M65&amp;N65&amp;O65&amp;P65&amp;Q65&amp;R65</f>
        <v>|Lv54|10|6|3|</v>
      </c>
      <c r="B65" t="s">
        <v>3</v>
      </c>
      <c r="C65" t="s">
        <v>8</v>
      </c>
      <c r="D65">
        <v>54</v>
      </c>
      <c r="E65" t="s">
        <v>3</v>
      </c>
      <c r="F65" t="str">
        <f t="shared" si="7"/>
        <v>クリーチャー</v>
      </c>
      <c r="G65" t="s">
        <v>3</v>
      </c>
      <c r="H65">
        <f t="shared" si="8"/>
        <v>10</v>
      </c>
      <c r="I65" t="s">
        <v>3</v>
      </c>
      <c r="J65">
        <f t="shared" si="9"/>
        <v>6</v>
      </c>
      <c r="K65" t="s">
        <v>3</v>
      </c>
      <c r="L65">
        <f t="shared" si="10"/>
        <v>3</v>
      </c>
      <c r="M65" t="s">
        <v>3</v>
      </c>
    </row>
    <row r="66" spans="1:20" x14ac:dyDescent="0.15">
      <c r="A66" t="str">
        <f t="shared" ref="A66:A87" si="11">B66&amp;C66&amp;D66&amp;E66&amp;F66&amp;G66&amp;H66&amp;I66&amp;J66&amp;K66&amp;L66&amp;M66&amp;N66&amp;O66&amp;P66</f>
        <v>&amp;br;</v>
      </c>
      <c r="B66" t="s">
        <v>0</v>
      </c>
    </row>
    <row r="67" spans="1:20" x14ac:dyDescent="0.15">
      <c r="A67" t="str">
        <f t="shared" si="11"/>
        <v>&amp;br;</v>
      </c>
      <c r="B67" t="s">
        <v>0</v>
      </c>
    </row>
    <row r="68" spans="1:20" x14ac:dyDescent="0.15">
      <c r="A68" t="str">
        <f t="shared" si="11"/>
        <v>*PW能力一覧 [#a469e89f]</v>
      </c>
      <c r="B68" t="s">
        <v>23</v>
      </c>
    </row>
    <row r="69" spans="1:20" x14ac:dyDescent="0.15">
      <c r="A69" t="str">
        <f t="shared" si="11"/>
        <v>**第1能力：土地の再形成/Reshape the Land</v>
      </c>
      <c r="B69" t="s">
        <v>24</v>
      </c>
      <c r="D69" t="s">
        <v>284</v>
      </c>
      <c r="E69" t="s">
        <v>25</v>
      </c>
      <c r="F69" t="s">
        <v>285</v>
      </c>
      <c r="R69" t="str">
        <f>D69&amp;E69&amp;F69</f>
        <v>土地の再形成/Reshape the Land</v>
      </c>
      <c r="S69" t="s">
        <v>3</v>
      </c>
      <c r="T69">
        <f>H75</f>
        <v>6</v>
      </c>
    </row>
    <row r="70" spans="1:20" x14ac:dyDescent="0.15">
      <c r="A70" t="str">
        <f t="shared" si="11"/>
        <v>|LEFT:50|LEFT:50|LEFT:50|LEFT:300|c</v>
      </c>
      <c r="B70" t="s">
        <v>3</v>
      </c>
      <c r="C70" t="s">
        <v>4</v>
      </c>
      <c r="E70" t="s">
        <v>3</v>
      </c>
      <c r="F70" t="s">
        <v>4</v>
      </c>
      <c r="G70" t="s">
        <v>3</v>
      </c>
      <c r="H70" t="s">
        <v>4</v>
      </c>
      <c r="I70" t="s">
        <v>3</v>
      </c>
      <c r="J70" t="s">
        <v>26</v>
      </c>
      <c r="K70" t="s">
        <v>3</v>
      </c>
      <c r="L70" t="s">
        <v>5</v>
      </c>
      <c r="R70" t="s">
        <v>209</v>
      </c>
      <c r="S70" t="s">
        <v>3</v>
      </c>
      <c r="T70" t="str">
        <f>J75</f>
        <v>赤でないジェムを12個破壊する。</v>
      </c>
    </row>
    <row r="71" spans="1:20" x14ac:dyDescent="0.15">
      <c r="A71" t="str">
        <f t="shared" si="11"/>
        <v>|解放Lv|レベル|コスト|効果|</v>
      </c>
      <c r="B71" t="s">
        <v>3</v>
      </c>
      <c r="C71" t="s">
        <v>27</v>
      </c>
      <c r="E71" t="s">
        <v>3</v>
      </c>
      <c r="F71" t="s">
        <v>6</v>
      </c>
      <c r="G71" t="s">
        <v>3</v>
      </c>
      <c r="H71" t="s">
        <v>28</v>
      </c>
      <c r="I71" t="s">
        <v>3</v>
      </c>
      <c r="J71" t="s">
        <v>29</v>
      </c>
      <c r="K71" t="s">
        <v>3</v>
      </c>
      <c r="R71" t="str">
        <f>D78&amp;E78&amp;F78</f>
        <v>山の憤怒/Rage of the Mountain</v>
      </c>
      <c r="S71" t="s">
        <v>3</v>
      </c>
      <c r="T71">
        <f>H84</f>
        <v>12</v>
      </c>
    </row>
    <row r="72" spans="1:20" x14ac:dyDescent="0.15">
      <c r="A72" t="str">
        <f t="shared" si="11"/>
        <v>|Lv6|Lv1|6|赤でないジェムを3個破壊する。|</v>
      </c>
      <c r="B72" t="s">
        <v>3</v>
      </c>
      <c r="C72" t="s">
        <v>8</v>
      </c>
      <c r="D72">
        <v>6</v>
      </c>
      <c r="E72" t="s">
        <v>3</v>
      </c>
      <c r="F72" t="s">
        <v>30</v>
      </c>
      <c r="G72" t="s">
        <v>3</v>
      </c>
      <c r="H72">
        <v>6</v>
      </c>
      <c r="I72" t="s">
        <v>3</v>
      </c>
      <c r="J72" t="s">
        <v>286</v>
      </c>
      <c r="K72" t="s">
        <v>3</v>
      </c>
      <c r="R72" t="s">
        <v>209</v>
      </c>
      <c r="S72" t="s">
        <v>3</v>
      </c>
      <c r="T72" t="str">
        <f>J84</f>
        <v>あなたのターン終了時まで、あなたのクリーチャーに+8/0の修正を与えるとともに、トランプルとバーサーカーを与える。</v>
      </c>
    </row>
    <row r="73" spans="1:20" x14ac:dyDescent="0.15">
      <c r="A73" t="str">
        <f t="shared" si="11"/>
        <v>|Lv24|Lv2|6|赤でないジェムを6個破壊する。|</v>
      </c>
      <c r="B73" t="s">
        <v>3</v>
      </c>
      <c r="C73" t="s">
        <v>8</v>
      </c>
      <c r="D73">
        <v>24</v>
      </c>
      <c r="E73" t="s">
        <v>3</v>
      </c>
      <c r="F73" t="s">
        <v>31</v>
      </c>
      <c r="G73" t="s">
        <v>3</v>
      </c>
      <c r="H73">
        <v>6</v>
      </c>
      <c r="I73" t="s">
        <v>3</v>
      </c>
      <c r="J73" t="s">
        <v>287</v>
      </c>
      <c r="K73" t="s">
        <v>3</v>
      </c>
      <c r="R73" t="str">
        <f>D87&amp;E87&amp;F87</f>
        <v>山の活力/Strength of the Mountain</v>
      </c>
      <c r="S73" t="s">
        <v>3</v>
      </c>
      <c r="T73">
        <f>H93</f>
        <v>20</v>
      </c>
    </row>
    <row r="74" spans="1:20" x14ac:dyDescent="0.15">
      <c r="A74" t="str">
        <f t="shared" si="11"/>
        <v>|Lv40|Lv3|6|赤でないジェムを9個破壊する。|</v>
      </c>
      <c r="B74" t="s">
        <v>3</v>
      </c>
      <c r="C74" t="s">
        <v>8</v>
      </c>
      <c r="D74">
        <v>40</v>
      </c>
      <c r="E74" t="s">
        <v>3</v>
      </c>
      <c r="F74" t="s">
        <v>32</v>
      </c>
      <c r="G74" t="s">
        <v>3</v>
      </c>
      <c r="H74">
        <v>6</v>
      </c>
      <c r="I74" t="s">
        <v>3</v>
      </c>
      <c r="J74" t="s">
        <v>288</v>
      </c>
      <c r="K74" t="s">
        <v>3</v>
      </c>
      <c r="R74" t="s">
        <v>209</v>
      </c>
      <c r="S74" t="s">
        <v>3</v>
      </c>
      <c r="T74" t="str">
        <f>J93</f>
        <v>「プレイヤー1人が赤ジェムをマッチさせるたびに、あなたのすべてのクリーチャーは+4/+4の修正を受ける。」を持つサポート(シールド数10)に生成する。</v>
      </c>
    </row>
    <row r="75" spans="1:20" x14ac:dyDescent="0.15">
      <c r="A75" t="str">
        <f t="shared" si="11"/>
        <v>|Lv56|Lv4|6|赤でないジェムを12個破壊する。|</v>
      </c>
      <c r="B75" t="s">
        <v>3</v>
      </c>
      <c r="C75" t="s">
        <v>8</v>
      </c>
      <c r="D75">
        <v>56</v>
      </c>
      <c r="E75" t="s">
        <v>3</v>
      </c>
      <c r="F75" t="s">
        <v>33</v>
      </c>
      <c r="G75" t="s">
        <v>3</v>
      </c>
      <c r="H75">
        <v>6</v>
      </c>
      <c r="I75" t="s">
        <v>3</v>
      </c>
      <c r="J75" t="s">
        <v>289</v>
      </c>
      <c r="K75" t="s">
        <v>3</v>
      </c>
    </row>
    <row r="76" spans="1:20" x14ac:dyDescent="0.15">
      <c r="A76" t="str">
        <f t="shared" si="11"/>
        <v>&amp;br;</v>
      </c>
      <c r="B76" t="s">
        <v>0</v>
      </c>
    </row>
    <row r="77" spans="1:20" x14ac:dyDescent="0.15">
      <c r="A77" t="str">
        <f t="shared" si="11"/>
        <v>&amp;br;</v>
      </c>
      <c r="B77" t="s">
        <v>0</v>
      </c>
    </row>
    <row r="78" spans="1:20" x14ac:dyDescent="0.15">
      <c r="A78" t="str">
        <f t="shared" si="11"/>
        <v>**第2能力：山の憤怒/Rage of the Mountain</v>
      </c>
      <c r="B78" t="s">
        <v>34</v>
      </c>
      <c r="D78" t="s">
        <v>290</v>
      </c>
      <c r="E78" t="s">
        <v>25</v>
      </c>
      <c r="F78" t="s">
        <v>291</v>
      </c>
    </row>
    <row r="79" spans="1:20" x14ac:dyDescent="0.15">
      <c r="A79" t="str">
        <f t="shared" si="11"/>
        <v>|LEFT:50|LEFT:50|LEFT:50|LEFT:300|c</v>
      </c>
      <c r="B79" t="s">
        <v>3</v>
      </c>
      <c r="C79" t="s">
        <v>4</v>
      </c>
      <c r="E79" t="s">
        <v>3</v>
      </c>
      <c r="F79" t="s">
        <v>4</v>
      </c>
      <c r="G79" t="s">
        <v>3</v>
      </c>
      <c r="H79" t="s">
        <v>4</v>
      </c>
      <c r="I79" t="s">
        <v>3</v>
      </c>
      <c r="J79" t="s">
        <v>26</v>
      </c>
      <c r="K79" t="s">
        <v>3</v>
      </c>
      <c r="L79" t="s">
        <v>5</v>
      </c>
    </row>
    <row r="80" spans="1:20" x14ac:dyDescent="0.15">
      <c r="A80" t="str">
        <f t="shared" si="11"/>
        <v>|解放Lv|レベル|コスト|効果|</v>
      </c>
      <c r="B80" t="s">
        <v>3</v>
      </c>
      <c r="C80" t="s">
        <v>27</v>
      </c>
      <c r="E80" t="s">
        <v>3</v>
      </c>
      <c r="F80" t="s">
        <v>6</v>
      </c>
      <c r="G80" t="s">
        <v>3</v>
      </c>
      <c r="H80" t="s">
        <v>28</v>
      </c>
      <c r="I80" t="s">
        <v>3</v>
      </c>
      <c r="J80" t="s">
        <v>29</v>
      </c>
      <c r="K80" t="s">
        <v>3</v>
      </c>
    </row>
    <row r="81" spans="1:12" x14ac:dyDescent="0.15">
      <c r="A81" t="str">
        <f t="shared" si="11"/>
        <v>|Lv12|Lv1|12|あなたのターン終了時まで、あなたのクリーチャーに+2/0の修正を与えるとともに、トランプルとバーサーカーを与える。|</v>
      </c>
      <c r="B81" t="s">
        <v>3</v>
      </c>
      <c r="C81" t="s">
        <v>8</v>
      </c>
      <c r="D81">
        <v>12</v>
      </c>
      <c r="E81" t="s">
        <v>3</v>
      </c>
      <c r="F81" t="s">
        <v>30</v>
      </c>
      <c r="G81" t="s">
        <v>3</v>
      </c>
      <c r="H81">
        <v>12</v>
      </c>
      <c r="I81" t="s">
        <v>3</v>
      </c>
      <c r="J81" t="s">
        <v>292</v>
      </c>
      <c r="K81" t="s">
        <v>3</v>
      </c>
    </row>
    <row r="82" spans="1:12" x14ac:dyDescent="0.15">
      <c r="A82" t="str">
        <f t="shared" si="11"/>
        <v>|Lv30|Lv2|12|あなたのターン終了時まで、あなたのクリーチャーに+4/0の修正を与えるとともに、トランプルとバーサーカーを与える。|</v>
      </c>
      <c r="B82" t="s">
        <v>3</v>
      </c>
      <c r="C82" t="s">
        <v>8</v>
      </c>
      <c r="D82">
        <v>30</v>
      </c>
      <c r="E82" t="s">
        <v>3</v>
      </c>
      <c r="F82" t="s">
        <v>31</v>
      </c>
      <c r="G82" t="s">
        <v>3</v>
      </c>
      <c r="H82">
        <v>12</v>
      </c>
      <c r="I82" t="s">
        <v>3</v>
      </c>
      <c r="J82" t="s">
        <v>293</v>
      </c>
      <c r="K82" t="s">
        <v>3</v>
      </c>
    </row>
    <row r="83" spans="1:12" x14ac:dyDescent="0.15">
      <c r="A83" t="str">
        <f t="shared" si="11"/>
        <v>|Lv46|Lv3|12|あなたのターン終了時まで、あなたのクリーチャーに+6/0の修正を与えるとともに、トランプルとバーサーカーを与える。|</v>
      </c>
      <c r="B83" t="s">
        <v>3</v>
      </c>
      <c r="C83" t="s">
        <v>8</v>
      </c>
      <c r="D83">
        <v>46</v>
      </c>
      <c r="E83" t="s">
        <v>3</v>
      </c>
      <c r="F83" t="s">
        <v>32</v>
      </c>
      <c r="G83" t="s">
        <v>3</v>
      </c>
      <c r="H83">
        <v>12</v>
      </c>
      <c r="I83" t="s">
        <v>3</v>
      </c>
      <c r="J83" t="s">
        <v>294</v>
      </c>
      <c r="K83" t="s">
        <v>3</v>
      </c>
    </row>
    <row r="84" spans="1:12" x14ac:dyDescent="0.15">
      <c r="A84" t="str">
        <f t="shared" si="11"/>
        <v>|Lv58|Lv4|12|あなたのターン終了時まで、あなたのクリーチャーに+8/0の修正を与えるとともに、トランプルとバーサーカーを与える。|</v>
      </c>
      <c r="B84" t="s">
        <v>3</v>
      </c>
      <c r="C84" t="s">
        <v>8</v>
      </c>
      <c r="D84">
        <v>58</v>
      </c>
      <c r="E84" t="s">
        <v>3</v>
      </c>
      <c r="F84" t="s">
        <v>33</v>
      </c>
      <c r="G84" t="s">
        <v>3</v>
      </c>
      <c r="H84">
        <v>12</v>
      </c>
      <c r="I84" t="s">
        <v>3</v>
      </c>
      <c r="J84" t="s">
        <v>295</v>
      </c>
      <c r="K84" t="s">
        <v>3</v>
      </c>
    </row>
    <row r="85" spans="1:12" x14ac:dyDescent="0.15">
      <c r="A85" t="str">
        <f t="shared" si="11"/>
        <v>&amp;br;</v>
      </c>
      <c r="B85" t="s">
        <v>0</v>
      </c>
    </row>
    <row r="86" spans="1:12" x14ac:dyDescent="0.15">
      <c r="A86" t="str">
        <f t="shared" si="11"/>
        <v>&amp;br;</v>
      </c>
      <c r="B86" t="s">
        <v>0</v>
      </c>
    </row>
    <row r="87" spans="1:12" x14ac:dyDescent="0.15">
      <c r="A87" t="str">
        <f t="shared" si="11"/>
        <v>**第3能力：山の活力/Strength of the Mountain</v>
      </c>
      <c r="B87" t="s">
        <v>35</v>
      </c>
      <c r="D87" t="s">
        <v>296</v>
      </c>
      <c r="E87" t="s">
        <v>25</v>
      </c>
      <c r="F87" t="s">
        <v>297</v>
      </c>
    </row>
    <row r="88" spans="1:12" x14ac:dyDescent="0.15">
      <c r="A88" t="str">
        <f t="shared" ref="A88:A151" si="12">B88&amp;C88&amp;D88&amp;E88&amp;F88&amp;G88&amp;H88&amp;I88&amp;J88&amp;K88&amp;L88&amp;M88&amp;N88&amp;O88&amp;P88</f>
        <v>|LEFT:50|LEFT:50|LEFT:50|LEFT:300|c</v>
      </c>
      <c r="B88" t="s">
        <v>3</v>
      </c>
      <c r="C88" t="s">
        <v>4</v>
      </c>
      <c r="E88" t="s">
        <v>3</v>
      </c>
      <c r="F88" t="s">
        <v>4</v>
      </c>
      <c r="G88" t="s">
        <v>3</v>
      </c>
      <c r="H88" t="s">
        <v>4</v>
      </c>
      <c r="I88" t="s">
        <v>3</v>
      </c>
      <c r="J88" t="s">
        <v>26</v>
      </c>
      <c r="K88" t="s">
        <v>3</v>
      </c>
      <c r="L88" t="s">
        <v>5</v>
      </c>
    </row>
    <row r="89" spans="1:12" x14ac:dyDescent="0.15">
      <c r="A89" t="str">
        <f t="shared" si="12"/>
        <v>|解放Lv|レベル|コスト|効果|</v>
      </c>
      <c r="B89" t="s">
        <v>3</v>
      </c>
      <c r="C89" t="s">
        <v>27</v>
      </c>
      <c r="E89" t="s">
        <v>3</v>
      </c>
      <c r="F89" t="s">
        <v>6</v>
      </c>
      <c r="G89" t="s">
        <v>3</v>
      </c>
      <c r="H89" t="s">
        <v>28</v>
      </c>
      <c r="I89" t="s">
        <v>3</v>
      </c>
      <c r="J89" t="s">
        <v>29</v>
      </c>
      <c r="K89" t="s">
        <v>3</v>
      </c>
    </row>
    <row r="90" spans="1:12" x14ac:dyDescent="0.15">
      <c r="A90" t="str">
        <f t="shared" si="12"/>
        <v>|Lv18|Lv1|20|「プレイヤー1人が赤ジェムをマッチさせるたびに、あなたのすべてのクリーチャーは+1/+1の修正を受ける。」を持つサポート(シールド数10)に生成する。|</v>
      </c>
      <c r="B90" t="s">
        <v>3</v>
      </c>
      <c r="C90" t="s">
        <v>8</v>
      </c>
      <c r="D90">
        <v>18</v>
      </c>
      <c r="E90" t="s">
        <v>3</v>
      </c>
      <c r="F90" t="s">
        <v>30</v>
      </c>
      <c r="G90" t="s">
        <v>3</v>
      </c>
      <c r="H90">
        <v>20</v>
      </c>
      <c r="I90" t="s">
        <v>3</v>
      </c>
      <c r="J90" t="s">
        <v>298</v>
      </c>
      <c r="K90" t="s">
        <v>3</v>
      </c>
    </row>
    <row r="91" spans="1:12" x14ac:dyDescent="0.15">
      <c r="A91" t="str">
        <f t="shared" si="12"/>
        <v>|Lv36|Lv2|20|「プレイヤー1人が赤ジェムをマッチさせるたびに、あなたのすべてのクリーチャーは+2/+2の修正を受ける。」を持つサポート(シールド数10)に生成する。|</v>
      </c>
      <c r="B91" t="s">
        <v>3</v>
      </c>
      <c r="C91" t="s">
        <v>8</v>
      </c>
      <c r="D91">
        <v>36</v>
      </c>
      <c r="E91" t="s">
        <v>3</v>
      </c>
      <c r="F91" t="s">
        <v>31</v>
      </c>
      <c r="G91" t="s">
        <v>3</v>
      </c>
      <c r="H91">
        <v>20</v>
      </c>
      <c r="I91" t="s">
        <v>3</v>
      </c>
      <c r="J91" t="s">
        <v>299</v>
      </c>
      <c r="K91" t="s">
        <v>3</v>
      </c>
    </row>
    <row r="92" spans="1:12" x14ac:dyDescent="0.15">
      <c r="A92" t="str">
        <f t="shared" si="12"/>
        <v>|Lv52|Lv3|20|「プレイヤー1人が赤ジェムをマッチさせるたびに、あなたのすべてのクリーチャーは+3/+3の修正を受ける。」を持つサポート(シールド数10)に生成する。|</v>
      </c>
      <c r="B92" t="s">
        <v>3</v>
      </c>
      <c r="C92" t="s">
        <v>8</v>
      </c>
      <c r="D92">
        <v>52</v>
      </c>
      <c r="E92" t="s">
        <v>3</v>
      </c>
      <c r="F92" t="s">
        <v>32</v>
      </c>
      <c r="G92" t="s">
        <v>3</v>
      </c>
      <c r="H92">
        <v>20</v>
      </c>
      <c r="I92" t="s">
        <v>3</v>
      </c>
      <c r="J92" t="s">
        <v>300</v>
      </c>
      <c r="K92" t="s">
        <v>3</v>
      </c>
    </row>
    <row r="93" spans="1:12" x14ac:dyDescent="0.15">
      <c r="A93" t="str">
        <f t="shared" si="12"/>
        <v>|Lv60|Lv4|20|「プレイヤー1人が赤ジェムをマッチさせるたびに、あなたのすべてのクリーチャーは+4/+4の修正を受ける。」を持つサポート(シールド数10)に生成する。|</v>
      </c>
      <c r="B93" t="s">
        <v>3</v>
      </c>
      <c r="C93" t="s">
        <v>8</v>
      </c>
      <c r="D93">
        <v>60</v>
      </c>
      <c r="E93" t="s">
        <v>3</v>
      </c>
      <c r="F93" t="s">
        <v>33</v>
      </c>
      <c r="G93" t="s">
        <v>3</v>
      </c>
      <c r="H93">
        <v>20</v>
      </c>
      <c r="I93" t="s">
        <v>3</v>
      </c>
      <c r="J93" t="s">
        <v>301</v>
      </c>
      <c r="K93" t="s">
        <v>3</v>
      </c>
    </row>
    <row r="94" spans="1:12" x14ac:dyDescent="0.15">
      <c r="A94" t="str">
        <f t="shared" si="12"/>
        <v>&amp;br;</v>
      </c>
      <c r="B94" t="s">
        <v>0</v>
      </c>
    </row>
    <row r="95" spans="1:12" x14ac:dyDescent="0.15">
      <c r="A95" t="str">
        <f t="shared" si="12"/>
        <v>&amp;br;</v>
      </c>
      <c r="B95" t="s">
        <v>0</v>
      </c>
    </row>
    <row r="96" spans="1:12" x14ac:dyDescent="0.15">
      <c r="A96" t="str">
        <f t="shared" si="12"/>
        <v>*レベルアップ報酬一覧 [#k0cef29c]</v>
      </c>
      <c r="B96" t="s">
        <v>36</v>
      </c>
    </row>
    <row r="97" spans="1:17" x14ac:dyDescent="0.15">
      <c r="A97" t="str">
        <f t="shared" si="12"/>
        <v>|LEFT:50|LEFT:100|c</v>
      </c>
      <c r="B97" t="s">
        <v>3</v>
      </c>
      <c r="C97" t="s">
        <v>4</v>
      </c>
      <c r="E97" t="s">
        <v>3</v>
      </c>
      <c r="F97" t="s">
        <v>37</v>
      </c>
      <c r="I97" t="s">
        <v>3</v>
      </c>
      <c r="J97" t="s">
        <v>5</v>
      </c>
    </row>
    <row r="98" spans="1:17" x14ac:dyDescent="0.15">
      <c r="A98" t="str">
        <f t="shared" si="12"/>
        <v>|レベル|報酬|</v>
      </c>
      <c r="B98" t="s">
        <v>3</v>
      </c>
      <c r="C98" t="s">
        <v>6</v>
      </c>
      <c r="E98" t="s">
        <v>3</v>
      </c>
      <c r="F98" t="s">
        <v>38</v>
      </c>
      <c r="I98" t="s">
        <v>3</v>
      </c>
      <c r="Q98" t="s">
        <v>7</v>
      </c>
    </row>
    <row r="99" spans="1:17" x14ac:dyDescent="0.15">
      <c r="A99" t="str">
        <f t="shared" si="12"/>
        <v>|Lｖ2|赤+1|</v>
      </c>
      <c r="B99" t="s">
        <v>3</v>
      </c>
      <c r="C99" t="s">
        <v>39</v>
      </c>
      <c r="D99">
        <v>2</v>
      </c>
      <c r="E99" t="s">
        <v>3</v>
      </c>
      <c r="F99" t="s">
        <v>14</v>
      </c>
      <c r="G99" t="str">
        <f t="shared" ref="G99:G129" si="13">IF(OR(F99=$Q$107,F99=$Q$108,F99=$Q$109,F99=$Q$110,ISBLANK(F99)),"","+")</f>
        <v>+</v>
      </c>
      <c r="H99">
        <v>1</v>
      </c>
      <c r="I99" t="s">
        <v>3</v>
      </c>
      <c r="Q99" t="s">
        <v>20</v>
      </c>
    </row>
    <row r="100" spans="1:17" x14ac:dyDescent="0.15">
      <c r="A100" t="str">
        <f t="shared" si="12"/>
        <v>|Lｖ3|HP+2|</v>
      </c>
      <c r="B100" t="s">
        <v>3</v>
      </c>
      <c r="C100" t="s">
        <v>39</v>
      </c>
      <c r="D100">
        <v>3</v>
      </c>
      <c r="E100" t="s">
        <v>3</v>
      </c>
      <c r="F100" t="s">
        <v>7</v>
      </c>
      <c r="G100" t="str">
        <f t="shared" si="13"/>
        <v>+</v>
      </c>
      <c r="H100">
        <v>2</v>
      </c>
      <c r="I100" t="s">
        <v>3</v>
      </c>
      <c r="Q100" t="s">
        <v>21</v>
      </c>
    </row>
    <row r="101" spans="1:17" x14ac:dyDescent="0.15">
      <c r="A101" t="str">
        <f t="shared" si="12"/>
        <v>|Lｖ4|クリーチャー+1|</v>
      </c>
      <c r="B101" t="s">
        <v>3</v>
      </c>
      <c r="C101" t="s">
        <v>39</v>
      </c>
      <c r="D101">
        <v>4</v>
      </c>
      <c r="E101" t="s">
        <v>3</v>
      </c>
      <c r="F101" t="s">
        <v>20</v>
      </c>
      <c r="G101" t="str">
        <f t="shared" si="13"/>
        <v>+</v>
      </c>
      <c r="H101">
        <v>1</v>
      </c>
      <c r="I101" t="s">
        <v>3</v>
      </c>
      <c r="Q101" t="s">
        <v>22</v>
      </c>
    </row>
    <row r="102" spans="1:17" x14ac:dyDescent="0.15">
      <c r="A102" t="str">
        <f t="shared" si="12"/>
        <v>|Lｖ5|HP+3|</v>
      </c>
      <c r="B102" t="s">
        <v>3</v>
      </c>
      <c r="C102" t="s">
        <v>39</v>
      </c>
      <c r="D102">
        <v>5</v>
      </c>
      <c r="E102" t="s">
        <v>3</v>
      </c>
      <c r="F102" t="s">
        <v>7</v>
      </c>
      <c r="G102" t="str">
        <f t="shared" si="13"/>
        <v>+</v>
      </c>
      <c r="H102">
        <v>3</v>
      </c>
      <c r="I102" t="s">
        <v>3</v>
      </c>
      <c r="Q102" t="s">
        <v>11</v>
      </c>
    </row>
    <row r="103" spans="1:17" x14ac:dyDescent="0.15">
      <c r="A103" t="str">
        <f t="shared" si="12"/>
        <v>|Lｖ6|第1能力Lv1|</v>
      </c>
      <c r="B103" t="s">
        <v>3</v>
      </c>
      <c r="C103" t="s">
        <v>39</v>
      </c>
      <c r="D103">
        <v>6</v>
      </c>
      <c r="E103" t="s">
        <v>3</v>
      </c>
      <c r="F103" t="s">
        <v>40</v>
      </c>
      <c r="G103" t="str">
        <f t="shared" si="13"/>
        <v/>
      </c>
      <c r="H103">
        <v>1</v>
      </c>
      <c r="I103" t="s">
        <v>3</v>
      </c>
      <c r="Q103" t="s">
        <v>12</v>
      </c>
    </row>
    <row r="104" spans="1:17" x14ac:dyDescent="0.15">
      <c r="A104" t="str">
        <f t="shared" si="12"/>
        <v>|Lｖ7|HP+3|</v>
      </c>
      <c r="B104" t="s">
        <v>3</v>
      </c>
      <c r="C104" t="s">
        <v>39</v>
      </c>
      <c r="D104">
        <v>7</v>
      </c>
      <c r="E104" t="s">
        <v>3</v>
      </c>
      <c r="F104" t="s">
        <v>7</v>
      </c>
      <c r="G104" t="str">
        <f t="shared" si="13"/>
        <v>+</v>
      </c>
      <c r="H104">
        <v>3</v>
      </c>
      <c r="I104" t="s">
        <v>3</v>
      </c>
      <c r="Q104" t="s">
        <v>13</v>
      </c>
    </row>
    <row r="105" spans="1:17" x14ac:dyDescent="0.15">
      <c r="A105" t="str">
        <f t="shared" si="12"/>
        <v>|Lｖ8|黒+1|</v>
      </c>
      <c r="B105" t="s">
        <v>3</v>
      </c>
      <c r="C105" t="s">
        <v>39</v>
      </c>
      <c r="D105">
        <v>8</v>
      </c>
      <c r="E105" t="s">
        <v>3</v>
      </c>
      <c r="F105" t="s">
        <v>13</v>
      </c>
      <c r="G105" t="str">
        <f t="shared" si="13"/>
        <v>+</v>
      </c>
      <c r="H105">
        <v>1</v>
      </c>
      <c r="I105" t="s">
        <v>3</v>
      </c>
      <c r="Q105" t="s">
        <v>14</v>
      </c>
    </row>
    <row r="106" spans="1:17" x14ac:dyDescent="0.15">
      <c r="A106" t="str">
        <f t="shared" si="12"/>
        <v>|Lｖ9|HP+3|</v>
      </c>
      <c r="B106" t="s">
        <v>3</v>
      </c>
      <c r="C106" t="s">
        <v>39</v>
      </c>
      <c r="D106">
        <v>9</v>
      </c>
      <c r="E106" t="s">
        <v>3</v>
      </c>
      <c r="F106" t="s">
        <v>7</v>
      </c>
      <c r="G106" t="str">
        <f t="shared" si="13"/>
        <v>+</v>
      </c>
      <c r="H106">
        <v>3</v>
      </c>
      <c r="I106" t="s">
        <v>3</v>
      </c>
      <c r="Q106" t="s">
        <v>15</v>
      </c>
    </row>
    <row r="107" spans="1:17" x14ac:dyDescent="0.15">
      <c r="A107" t="str">
        <f t="shared" si="12"/>
        <v>|Lｖ10|クリーチャー+1|</v>
      </c>
      <c r="B107" t="s">
        <v>3</v>
      </c>
      <c r="C107" t="s">
        <v>39</v>
      </c>
      <c r="D107">
        <v>10</v>
      </c>
      <c r="E107" t="s">
        <v>3</v>
      </c>
      <c r="F107" t="s">
        <v>20</v>
      </c>
      <c r="G107" t="str">
        <f t="shared" si="13"/>
        <v>+</v>
      </c>
      <c r="H107">
        <v>1</v>
      </c>
      <c r="I107" t="s">
        <v>3</v>
      </c>
      <c r="Q107" t="s">
        <v>40</v>
      </c>
    </row>
    <row r="108" spans="1:17" x14ac:dyDescent="0.15">
      <c r="A108" t="str">
        <f t="shared" si="12"/>
        <v>|Lｖ11|HP+2|</v>
      </c>
      <c r="B108" t="s">
        <v>3</v>
      </c>
      <c r="C108" t="s">
        <v>39</v>
      </c>
      <c r="D108">
        <v>11</v>
      </c>
      <c r="E108" t="s">
        <v>3</v>
      </c>
      <c r="F108" t="s">
        <v>7</v>
      </c>
      <c r="G108" t="str">
        <f t="shared" si="13"/>
        <v>+</v>
      </c>
      <c r="H108">
        <v>2</v>
      </c>
      <c r="I108" t="s">
        <v>3</v>
      </c>
      <c r="Q108" t="s">
        <v>41</v>
      </c>
    </row>
    <row r="109" spans="1:17" x14ac:dyDescent="0.15">
      <c r="A109" t="str">
        <f t="shared" si="12"/>
        <v>|Lｖ12|第2能力Lv1|</v>
      </c>
      <c r="B109" t="s">
        <v>3</v>
      </c>
      <c r="C109" t="s">
        <v>39</v>
      </c>
      <c r="D109">
        <v>12</v>
      </c>
      <c r="E109" t="s">
        <v>3</v>
      </c>
      <c r="F109" t="s">
        <v>41</v>
      </c>
      <c r="G109" t="str">
        <f t="shared" si="13"/>
        <v/>
      </c>
      <c r="H109">
        <v>1</v>
      </c>
      <c r="I109" t="s">
        <v>3</v>
      </c>
      <c r="Q109" t="s">
        <v>42</v>
      </c>
    </row>
    <row r="110" spans="1:17" x14ac:dyDescent="0.15">
      <c r="A110" t="str">
        <f t="shared" si="12"/>
        <v>|Lｖ13|HP+3|</v>
      </c>
      <c r="B110" t="s">
        <v>3</v>
      </c>
      <c r="C110" t="s">
        <v>39</v>
      </c>
      <c r="D110">
        <v>13</v>
      </c>
      <c r="E110" t="s">
        <v>3</v>
      </c>
      <c r="F110" t="s">
        <v>7</v>
      </c>
      <c r="G110" t="str">
        <f t="shared" si="13"/>
        <v>+</v>
      </c>
      <c r="H110">
        <v>3</v>
      </c>
      <c r="I110" t="s">
        <v>3</v>
      </c>
      <c r="Q110" t="s">
        <v>43</v>
      </c>
    </row>
    <row r="111" spans="1:17" x14ac:dyDescent="0.15">
      <c r="A111" t="str">
        <f t="shared" si="12"/>
        <v>|Lｖ14|青+1|</v>
      </c>
      <c r="B111" t="s">
        <v>3</v>
      </c>
      <c r="C111" t="s">
        <v>39</v>
      </c>
      <c r="D111">
        <v>14</v>
      </c>
      <c r="E111" t="s">
        <v>3</v>
      </c>
      <c r="F111" t="s">
        <v>12</v>
      </c>
      <c r="G111" t="str">
        <f t="shared" si="13"/>
        <v>+</v>
      </c>
      <c r="H111">
        <v>1</v>
      </c>
      <c r="I111" t="s">
        <v>3</v>
      </c>
    </row>
    <row r="112" spans="1:17" x14ac:dyDescent="0.15">
      <c r="A112" t="str">
        <f t="shared" si="12"/>
        <v>|Lｖ15|HP+3|</v>
      </c>
      <c r="B112" t="s">
        <v>3</v>
      </c>
      <c r="C112" t="s">
        <v>39</v>
      </c>
      <c r="D112">
        <v>15</v>
      </c>
      <c r="E112" t="s">
        <v>3</v>
      </c>
      <c r="F112" t="s">
        <v>7</v>
      </c>
      <c r="G112" t="str">
        <f t="shared" si="13"/>
        <v>+</v>
      </c>
      <c r="H112">
        <v>3</v>
      </c>
      <c r="I112" t="s">
        <v>3</v>
      </c>
    </row>
    <row r="113" spans="1:9" x14ac:dyDescent="0.15">
      <c r="A113" t="str">
        <f t="shared" si="12"/>
        <v>|Lｖ16|サポート+1|</v>
      </c>
      <c r="B113" t="s">
        <v>3</v>
      </c>
      <c r="C113" t="s">
        <v>39</v>
      </c>
      <c r="D113">
        <v>16</v>
      </c>
      <c r="E113" t="s">
        <v>3</v>
      </c>
      <c r="F113" t="s">
        <v>22</v>
      </c>
      <c r="G113" t="str">
        <f t="shared" si="13"/>
        <v>+</v>
      </c>
      <c r="H113">
        <v>1</v>
      </c>
      <c r="I113" t="s">
        <v>3</v>
      </c>
    </row>
    <row r="114" spans="1:9" x14ac:dyDescent="0.15">
      <c r="A114" t="str">
        <f t="shared" si="12"/>
        <v>|Lｖ17|HP+3|</v>
      </c>
      <c r="B114" t="s">
        <v>3</v>
      </c>
      <c r="C114" t="s">
        <v>39</v>
      </c>
      <c r="D114">
        <v>17</v>
      </c>
      <c r="E114" t="s">
        <v>3</v>
      </c>
      <c r="F114" t="s">
        <v>7</v>
      </c>
      <c r="G114" t="str">
        <f t="shared" si="13"/>
        <v>+</v>
      </c>
      <c r="H114">
        <v>3</v>
      </c>
      <c r="I114" t="s">
        <v>3</v>
      </c>
    </row>
    <row r="115" spans="1:9" x14ac:dyDescent="0.15">
      <c r="A115" t="str">
        <f t="shared" si="12"/>
        <v>|Lｖ18|第3能力Lv1|</v>
      </c>
      <c r="B115" t="s">
        <v>3</v>
      </c>
      <c r="C115" t="s">
        <v>39</v>
      </c>
      <c r="D115">
        <v>18</v>
      </c>
      <c r="E115" t="s">
        <v>3</v>
      </c>
      <c r="F115" t="s">
        <v>42</v>
      </c>
      <c r="G115" t="str">
        <f t="shared" si="13"/>
        <v/>
      </c>
      <c r="H115">
        <v>1</v>
      </c>
      <c r="I115" t="s">
        <v>3</v>
      </c>
    </row>
    <row r="116" spans="1:9" x14ac:dyDescent="0.15">
      <c r="A116" t="str">
        <f t="shared" si="12"/>
        <v>|Lｖ19|HP+2|</v>
      </c>
      <c r="B116" t="s">
        <v>3</v>
      </c>
      <c r="C116" t="s">
        <v>39</v>
      </c>
      <c r="D116">
        <v>19</v>
      </c>
      <c r="E116" t="s">
        <v>3</v>
      </c>
      <c r="F116" t="s">
        <v>7</v>
      </c>
      <c r="G116" t="str">
        <f t="shared" si="13"/>
        <v>+</v>
      </c>
      <c r="H116">
        <v>2</v>
      </c>
      <c r="I116" t="s">
        <v>3</v>
      </c>
    </row>
    <row r="117" spans="1:9" x14ac:dyDescent="0.15">
      <c r="A117" t="str">
        <f t="shared" si="12"/>
        <v>|Lｖ20|白+1|</v>
      </c>
      <c r="B117" t="s">
        <v>3</v>
      </c>
      <c r="C117" t="s">
        <v>39</v>
      </c>
      <c r="D117">
        <v>20</v>
      </c>
      <c r="E117" t="s">
        <v>3</v>
      </c>
      <c r="F117" t="s">
        <v>11</v>
      </c>
      <c r="G117" t="str">
        <f t="shared" si="13"/>
        <v>+</v>
      </c>
      <c r="H117">
        <v>1</v>
      </c>
      <c r="I117" t="s">
        <v>3</v>
      </c>
    </row>
    <row r="118" spans="1:9" x14ac:dyDescent="0.15">
      <c r="A118" t="str">
        <f t="shared" si="12"/>
        <v>|Lｖ21|HP+3|</v>
      </c>
      <c r="B118" t="s">
        <v>3</v>
      </c>
      <c r="C118" t="s">
        <v>39</v>
      </c>
      <c r="D118">
        <v>21</v>
      </c>
      <c r="E118" t="s">
        <v>3</v>
      </c>
      <c r="F118" t="s">
        <v>7</v>
      </c>
      <c r="G118" t="str">
        <f t="shared" si="13"/>
        <v>+</v>
      </c>
      <c r="H118">
        <v>3</v>
      </c>
      <c r="I118" t="s">
        <v>3</v>
      </c>
    </row>
    <row r="119" spans="1:9" x14ac:dyDescent="0.15">
      <c r="A119" t="str">
        <f t="shared" si="12"/>
        <v>|Lｖ22|呪文+1|</v>
      </c>
      <c r="B119" t="s">
        <v>3</v>
      </c>
      <c r="C119" t="s">
        <v>39</v>
      </c>
      <c r="D119">
        <v>22</v>
      </c>
      <c r="E119" t="s">
        <v>3</v>
      </c>
      <c r="F119" t="s">
        <v>21</v>
      </c>
      <c r="G119" t="str">
        <f t="shared" si="13"/>
        <v>+</v>
      </c>
      <c r="H119">
        <v>1</v>
      </c>
      <c r="I119" t="s">
        <v>3</v>
      </c>
    </row>
    <row r="120" spans="1:9" x14ac:dyDescent="0.15">
      <c r="A120" t="str">
        <f t="shared" si="12"/>
        <v>|Lｖ23|HP+3|</v>
      </c>
      <c r="B120" t="s">
        <v>3</v>
      </c>
      <c r="C120" t="s">
        <v>39</v>
      </c>
      <c r="D120">
        <v>23</v>
      </c>
      <c r="E120" t="s">
        <v>3</v>
      </c>
      <c r="F120" t="s">
        <v>7</v>
      </c>
      <c r="G120" t="str">
        <f t="shared" si="13"/>
        <v>+</v>
      </c>
      <c r="H120">
        <v>3</v>
      </c>
      <c r="I120" t="s">
        <v>3</v>
      </c>
    </row>
    <row r="121" spans="1:9" x14ac:dyDescent="0.15">
      <c r="A121" t="str">
        <f t="shared" si="12"/>
        <v>|Lｖ24|第1能力Lv2|</v>
      </c>
      <c r="B121" t="s">
        <v>3</v>
      </c>
      <c r="C121" t="s">
        <v>39</v>
      </c>
      <c r="D121">
        <v>24</v>
      </c>
      <c r="E121" t="s">
        <v>3</v>
      </c>
      <c r="F121" t="s">
        <v>40</v>
      </c>
      <c r="G121" t="str">
        <f t="shared" si="13"/>
        <v/>
      </c>
      <c r="H121">
        <v>2</v>
      </c>
      <c r="I121" t="s">
        <v>3</v>
      </c>
    </row>
    <row r="122" spans="1:9" x14ac:dyDescent="0.15">
      <c r="A122" t="str">
        <f t="shared" si="12"/>
        <v>|Lｖ25|HP+3|</v>
      </c>
      <c r="B122" t="s">
        <v>3</v>
      </c>
      <c r="C122" t="s">
        <v>39</v>
      </c>
      <c r="D122">
        <v>25</v>
      </c>
      <c r="E122" t="s">
        <v>3</v>
      </c>
      <c r="F122" t="s">
        <v>7</v>
      </c>
      <c r="G122" t="str">
        <f t="shared" si="13"/>
        <v>+</v>
      </c>
      <c r="H122">
        <v>3</v>
      </c>
      <c r="I122" t="s">
        <v>3</v>
      </c>
    </row>
    <row r="123" spans="1:9" x14ac:dyDescent="0.15">
      <c r="A123" t="str">
        <f t="shared" si="12"/>
        <v>|Lｖ26|赤+1|</v>
      </c>
      <c r="B123" t="s">
        <v>3</v>
      </c>
      <c r="C123" t="s">
        <v>39</v>
      </c>
      <c r="D123">
        <v>26</v>
      </c>
      <c r="E123" t="s">
        <v>3</v>
      </c>
      <c r="F123" t="s">
        <v>14</v>
      </c>
      <c r="G123" t="str">
        <f t="shared" si="13"/>
        <v>+</v>
      </c>
      <c r="H123">
        <v>1</v>
      </c>
      <c r="I123" t="s">
        <v>3</v>
      </c>
    </row>
    <row r="124" spans="1:9" x14ac:dyDescent="0.15">
      <c r="A124" t="str">
        <f t="shared" si="12"/>
        <v>|Lｖ27|HP+2|</v>
      </c>
      <c r="B124" t="s">
        <v>3</v>
      </c>
      <c r="C124" t="s">
        <v>39</v>
      </c>
      <c r="D124">
        <v>27</v>
      </c>
      <c r="E124" t="s">
        <v>3</v>
      </c>
      <c r="F124" t="s">
        <v>7</v>
      </c>
      <c r="G124" t="str">
        <f t="shared" si="13"/>
        <v>+</v>
      </c>
      <c r="H124">
        <v>2</v>
      </c>
      <c r="I124" t="s">
        <v>3</v>
      </c>
    </row>
    <row r="125" spans="1:9" x14ac:dyDescent="0.15">
      <c r="A125" t="str">
        <f t="shared" si="12"/>
        <v>|Lｖ28|回復速度上昇|</v>
      </c>
      <c r="B125" t="s">
        <v>3</v>
      </c>
      <c r="C125" t="s">
        <v>39</v>
      </c>
      <c r="D125">
        <v>28</v>
      </c>
      <c r="E125" t="s">
        <v>3</v>
      </c>
      <c r="F125" t="s">
        <v>43</v>
      </c>
      <c r="G125" t="str">
        <f t="shared" si="13"/>
        <v/>
      </c>
      <c r="I125" t="s">
        <v>3</v>
      </c>
    </row>
    <row r="126" spans="1:9" x14ac:dyDescent="0.15">
      <c r="A126" t="str">
        <f t="shared" si="12"/>
        <v>|Lｖ29|HP+3|</v>
      </c>
      <c r="B126" t="s">
        <v>3</v>
      </c>
      <c r="C126" t="s">
        <v>39</v>
      </c>
      <c r="D126">
        <v>29</v>
      </c>
      <c r="E126" t="s">
        <v>3</v>
      </c>
      <c r="F126" t="s">
        <v>7</v>
      </c>
      <c r="G126" t="str">
        <f t="shared" si="13"/>
        <v>+</v>
      </c>
      <c r="H126">
        <v>3</v>
      </c>
      <c r="I126" t="s">
        <v>3</v>
      </c>
    </row>
    <row r="127" spans="1:9" x14ac:dyDescent="0.15">
      <c r="A127" t="str">
        <f t="shared" si="12"/>
        <v>|Lｖ30|第2能力Lv2|</v>
      </c>
      <c r="B127" t="s">
        <v>3</v>
      </c>
      <c r="C127" t="s">
        <v>39</v>
      </c>
      <c r="D127">
        <v>30</v>
      </c>
      <c r="E127" t="s">
        <v>3</v>
      </c>
      <c r="F127" t="s">
        <v>41</v>
      </c>
      <c r="G127" t="str">
        <f t="shared" si="13"/>
        <v/>
      </c>
      <c r="H127">
        <v>2</v>
      </c>
      <c r="I127" t="s">
        <v>3</v>
      </c>
    </row>
    <row r="128" spans="1:9" x14ac:dyDescent="0.15">
      <c r="A128" t="str">
        <f t="shared" si="12"/>
        <v>|Lｖ31|HP+3|</v>
      </c>
      <c r="B128" t="s">
        <v>3</v>
      </c>
      <c r="C128" t="s">
        <v>39</v>
      </c>
      <c r="D128">
        <v>31</v>
      </c>
      <c r="E128" t="s">
        <v>3</v>
      </c>
      <c r="F128" t="s">
        <v>7</v>
      </c>
      <c r="G128" t="str">
        <f t="shared" si="13"/>
        <v>+</v>
      </c>
      <c r="H128">
        <v>3</v>
      </c>
      <c r="I128" t="s">
        <v>3</v>
      </c>
    </row>
    <row r="129" spans="1:9" x14ac:dyDescent="0.15">
      <c r="A129" t="str">
        <f t="shared" si="12"/>
        <v>|Lｖ32|緑+1|</v>
      </c>
      <c r="B129" t="s">
        <v>3</v>
      </c>
      <c r="C129" t="s">
        <v>39</v>
      </c>
      <c r="D129">
        <v>32</v>
      </c>
      <c r="E129" t="s">
        <v>3</v>
      </c>
      <c r="F129" t="s">
        <v>15</v>
      </c>
      <c r="G129" t="str">
        <f t="shared" si="13"/>
        <v>+</v>
      </c>
      <c r="H129">
        <v>1</v>
      </c>
      <c r="I129" t="s">
        <v>3</v>
      </c>
    </row>
    <row r="130" spans="1:9" x14ac:dyDescent="0.15">
      <c r="A130" t="str">
        <f t="shared" si="12"/>
        <v>|Lｖ33|HP+3|</v>
      </c>
      <c r="B130" t="s">
        <v>3</v>
      </c>
      <c r="C130" t="s">
        <v>39</v>
      </c>
      <c r="D130">
        <v>33</v>
      </c>
      <c r="E130" t="s">
        <v>3</v>
      </c>
      <c r="F130" t="s">
        <v>7</v>
      </c>
      <c r="G130" t="str">
        <f t="shared" ref="G130:G156" si="14">IF(OR(F130=$Q$107,F130=$Q$108,F130=$Q$109,F130=$Q$110,ISBLANK(F130)),"","+")</f>
        <v>+</v>
      </c>
      <c r="H130">
        <v>3</v>
      </c>
      <c r="I130" t="s">
        <v>3</v>
      </c>
    </row>
    <row r="131" spans="1:9" x14ac:dyDescent="0.15">
      <c r="A131" t="str">
        <f t="shared" si="12"/>
        <v>|Lｖ34|クリーチャー+1|</v>
      </c>
      <c r="B131" t="s">
        <v>3</v>
      </c>
      <c r="C131" t="s">
        <v>39</v>
      </c>
      <c r="D131">
        <v>34</v>
      </c>
      <c r="E131" t="s">
        <v>3</v>
      </c>
      <c r="F131" t="s">
        <v>20</v>
      </c>
      <c r="G131" t="str">
        <f t="shared" si="14"/>
        <v>+</v>
      </c>
      <c r="H131">
        <v>1</v>
      </c>
      <c r="I131" t="s">
        <v>3</v>
      </c>
    </row>
    <row r="132" spans="1:9" x14ac:dyDescent="0.15">
      <c r="A132" t="str">
        <f t="shared" si="12"/>
        <v>|Lｖ35|HP+2|</v>
      </c>
      <c r="B132" t="s">
        <v>3</v>
      </c>
      <c r="C132" t="s">
        <v>39</v>
      </c>
      <c r="D132">
        <v>35</v>
      </c>
      <c r="E132" t="s">
        <v>3</v>
      </c>
      <c r="F132" t="s">
        <v>7</v>
      </c>
      <c r="G132" t="str">
        <f t="shared" si="14"/>
        <v>+</v>
      </c>
      <c r="H132">
        <v>2</v>
      </c>
      <c r="I132" t="s">
        <v>3</v>
      </c>
    </row>
    <row r="133" spans="1:9" x14ac:dyDescent="0.15">
      <c r="A133" t="str">
        <f t="shared" si="12"/>
        <v>|Lｖ36|第3能力Lv2|</v>
      </c>
      <c r="B133" t="s">
        <v>3</v>
      </c>
      <c r="C133" t="s">
        <v>39</v>
      </c>
      <c r="D133">
        <v>36</v>
      </c>
      <c r="E133" t="s">
        <v>3</v>
      </c>
      <c r="F133" t="s">
        <v>42</v>
      </c>
      <c r="G133" t="str">
        <f t="shared" si="14"/>
        <v/>
      </c>
      <c r="H133">
        <v>2</v>
      </c>
      <c r="I133" t="s">
        <v>3</v>
      </c>
    </row>
    <row r="134" spans="1:9" x14ac:dyDescent="0.15">
      <c r="A134" t="str">
        <f t="shared" si="12"/>
        <v>|Lｖ37|HP+3|</v>
      </c>
      <c r="B134" t="s">
        <v>3</v>
      </c>
      <c r="C134" t="s">
        <v>39</v>
      </c>
      <c r="D134">
        <v>37</v>
      </c>
      <c r="E134" t="s">
        <v>3</v>
      </c>
      <c r="F134" t="s">
        <v>7</v>
      </c>
      <c r="G134" t="str">
        <f t="shared" si="14"/>
        <v>+</v>
      </c>
      <c r="H134">
        <v>3</v>
      </c>
      <c r="I134" t="s">
        <v>3</v>
      </c>
    </row>
    <row r="135" spans="1:9" x14ac:dyDescent="0.15">
      <c r="A135" t="str">
        <f t="shared" si="12"/>
        <v>|Lｖ38|赤+1|</v>
      </c>
      <c r="B135" t="s">
        <v>3</v>
      </c>
      <c r="C135" t="s">
        <v>39</v>
      </c>
      <c r="D135">
        <v>38</v>
      </c>
      <c r="E135" t="s">
        <v>3</v>
      </c>
      <c r="F135" t="s">
        <v>14</v>
      </c>
      <c r="G135" t="str">
        <f t="shared" si="14"/>
        <v>+</v>
      </c>
      <c r="H135">
        <v>1</v>
      </c>
      <c r="I135" t="s">
        <v>3</v>
      </c>
    </row>
    <row r="136" spans="1:9" x14ac:dyDescent="0.15">
      <c r="A136" t="str">
        <f t="shared" si="12"/>
        <v>|Lｖ39|HP+3|</v>
      </c>
      <c r="B136" t="s">
        <v>3</v>
      </c>
      <c r="C136" t="s">
        <v>39</v>
      </c>
      <c r="D136">
        <v>39</v>
      </c>
      <c r="E136" t="s">
        <v>3</v>
      </c>
      <c r="F136" t="s">
        <v>7</v>
      </c>
      <c r="G136" t="str">
        <f t="shared" si="14"/>
        <v>+</v>
      </c>
      <c r="H136">
        <v>3</v>
      </c>
      <c r="I136" t="s">
        <v>3</v>
      </c>
    </row>
    <row r="137" spans="1:9" x14ac:dyDescent="0.15">
      <c r="A137" t="str">
        <f t="shared" si="12"/>
        <v>|Lｖ40|第1能力Lv3|</v>
      </c>
      <c r="B137" t="s">
        <v>3</v>
      </c>
      <c r="C137" t="s">
        <v>39</v>
      </c>
      <c r="D137">
        <v>40</v>
      </c>
      <c r="E137" t="s">
        <v>3</v>
      </c>
      <c r="F137" t="s">
        <v>40</v>
      </c>
      <c r="G137" t="str">
        <f t="shared" si="14"/>
        <v/>
      </c>
      <c r="H137">
        <v>3</v>
      </c>
      <c r="I137" t="s">
        <v>3</v>
      </c>
    </row>
    <row r="138" spans="1:9" x14ac:dyDescent="0.15">
      <c r="A138" t="str">
        <f t="shared" si="12"/>
        <v>|Lｖ41|HP+3|</v>
      </c>
      <c r="B138" t="s">
        <v>3</v>
      </c>
      <c r="C138" t="s">
        <v>39</v>
      </c>
      <c r="D138">
        <v>41</v>
      </c>
      <c r="E138" t="s">
        <v>3</v>
      </c>
      <c r="F138" t="s">
        <v>7</v>
      </c>
      <c r="G138" t="str">
        <f t="shared" si="14"/>
        <v>+</v>
      </c>
      <c r="H138">
        <v>3</v>
      </c>
      <c r="I138" t="s">
        <v>3</v>
      </c>
    </row>
    <row r="139" spans="1:9" x14ac:dyDescent="0.15">
      <c r="A139" t="str">
        <f t="shared" si="12"/>
        <v>|Lｖ42|サポート+1|</v>
      </c>
      <c r="B139" t="s">
        <v>3</v>
      </c>
      <c r="C139" t="s">
        <v>39</v>
      </c>
      <c r="D139">
        <v>42</v>
      </c>
      <c r="E139" t="s">
        <v>3</v>
      </c>
      <c r="F139" t="s">
        <v>22</v>
      </c>
      <c r="G139" t="str">
        <f t="shared" si="14"/>
        <v>+</v>
      </c>
      <c r="H139">
        <v>1</v>
      </c>
      <c r="I139" t="s">
        <v>3</v>
      </c>
    </row>
    <row r="140" spans="1:9" x14ac:dyDescent="0.15">
      <c r="A140" t="str">
        <f t="shared" si="12"/>
        <v>|Lｖ43|HP+2|</v>
      </c>
      <c r="B140" t="s">
        <v>3</v>
      </c>
      <c r="C140" t="s">
        <v>39</v>
      </c>
      <c r="D140">
        <v>43</v>
      </c>
      <c r="E140" t="s">
        <v>3</v>
      </c>
      <c r="F140" t="s">
        <v>7</v>
      </c>
      <c r="G140" t="str">
        <f t="shared" si="14"/>
        <v>+</v>
      </c>
      <c r="H140">
        <v>2</v>
      </c>
      <c r="I140" t="s">
        <v>3</v>
      </c>
    </row>
    <row r="141" spans="1:9" x14ac:dyDescent="0.15">
      <c r="A141" t="str">
        <f t="shared" si="12"/>
        <v>|Lｖ44|呪文+1|</v>
      </c>
      <c r="B141" t="s">
        <v>3</v>
      </c>
      <c r="C141" t="s">
        <v>39</v>
      </c>
      <c r="D141">
        <v>44</v>
      </c>
      <c r="E141" t="s">
        <v>3</v>
      </c>
      <c r="F141" t="s">
        <v>21</v>
      </c>
      <c r="G141" t="str">
        <f t="shared" si="14"/>
        <v>+</v>
      </c>
      <c r="H141">
        <v>1</v>
      </c>
      <c r="I141" t="s">
        <v>3</v>
      </c>
    </row>
    <row r="142" spans="1:9" x14ac:dyDescent="0.15">
      <c r="A142" t="str">
        <f t="shared" si="12"/>
        <v>|Lｖ45|HP+3|</v>
      </c>
      <c r="B142" t="s">
        <v>3</v>
      </c>
      <c r="C142" t="s">
        <v>39</v>
      </c>
      <c r="D142">
        <v>45</v>
      </c>
      <c r="E142" t="s">
        <v>3</v>
      </c>
      <c r="F142" t="s">
        <v>7</v>
      </c>
      <c r="G142" t="str">
        <f t="shared" si="14"/>
        <v>+</v>
      </c>
      <c r="H142">
        <v>3</v>
      </c>
      <c r="I142" t="s">
        <v>3</v>
      </c>
    </row>
    <row r="143" spans="1:9" x14ac:dyDescent="0.15">
      <c r="A143" t="str">
        <f t="shared" si="12"/>
        <v>|Lｖ46|第2能力Lv3|</v>
      </c>
      <c r="B143" t="s">
        <v>3</v>
      </c>
      <c r="C143" t="s">
        <v>39</v>
      </c>
      <c r="D143">
        <v>46</v>
      </c>
      <c r="E143" t="s">
        <v>3</v>
      </c>
      <c r="F143" t="s">
        <v>41</v>
      </c>
      <c r="G143" t="str">
        <f t="shared" si="14"/>
        <v/>
      </c>
      <c r="H143">
        <v>3</v>
      </c>
      <c r="I143" t="s">
        <v>3</v>
      </c>
    </row>
    <row r="144" spans="1:9" x14ac:dyDescent="0.15">
      <c r="A144" t="str">
        <f t="shared" si="12"/>
        <v>|Lｖ47|HP+3|</v>
      </c>
      <c r="B144" t="s">
        <v>3</v>
      </c>
      <c r="C144" t="s">
        <v>39</v>
      </c>
      <c r="D144">
        <v>47</v>
      </c>
      <c r="E144" t="s">
        <v>3</v>
      </c>
      <c r="F144" t="s">
        <v>7</v>
      </c>
      <c r="G144" t="str">
        <f t="shared" si="14"/>
        <v>+</v>
      </c>
      <c r="H144">
        <v>3</v>
      </c>
      <c r="I144" t="s">
        <v>3</v>
      </c>
    </row>
    <row r="145" spans="1:9" x14ac:dyDescent="0.15">
      <c r="A145" t="str">
        <f t="shared" si="12"/>
        <v>|Lｖ48|回復速度上昇|</v>
      </c>
      <c r="B145" t="s">
        <v>3</v>
      </c>
      <c r="C145" t="s">
        <v>39</v>
      </c>
      <c r="D145">
        <v>48</v>
      </c>
      <c r="E145" t="s">
        <v>3</v>
      </c>
      <c r="F145" t="s">
        <v>43</v>
      </c>
      <c r="G145" t="str">
        <f t="shared" si="14"/>
        <v/>
      </c>
      <c r="I145" t="s">
        <v>3</v>
      </c>
    </row>
    <row r="146" spans="1:9" x14ac:dyDescent="0.15">
      <c r="A146" t="str">
        <f t="shared" si="12"/>
        <v>|Lｖ49|HP+3|</v>
      </c>
      <c r="B146" t="s">
        <v>3</v>
      </c>
      <c r="C146" t="s">
        <v>39</v>
      </c>
      <c r="D146">
        <v>49</v>
      </c>
      <c r="E146" t="s">
        <v>3</v>
      </c>
      <c r="F146" t="s">
        <v>7</v>
      </c>
      <c r="G146" t="str">
        <f t="shared" si="14"/>
        <v>+</v>
      </c>
      <c r="H146">
        <v>3</v>
      </c>
      <c r="I146" t="s">
        <v>3</v>
      </c>
    </row>
    <row r="147" spans="1:9" x14ac:dyDescent="0.15">
      <c r="A147" t="str">
        <f t="shared" si="12"/>
        <v>|Lｖ50|赤+1|</v>
      </c>
      <c r="B147" t="s">
        <v>3</v>
      </c>
      <c r="C147" t="s">
        <v>39</v>
      </c>
      <c r="D147">
        <v>50</v>
      </c>
      <c r="E147" t="s">
        <v>3</v>
      </c>
      <c r="F147" t="s">
        <v>14</v>
      </c>
      <c r="G147" t="str">
        <f t="shared" si="14"/>
        <v>+</v>
      </c>
      <c r="H147">
        <v>1</v>
      </c>
      <c r="I147" t="s">
        <v>3</v>
      </c>
    </row>
    <row r="148" spans="1:9" x14ac:dyDescent="0.15">
      <c r="A148" t="str">
        <f t="shared" si="12"/>
        <v>|Lｖ51|HP+2|</v>
      </c>
      <c r="B148" t="s">
        <v>3</v>
      </c>
      <c r="C148" t="s">
        <v>39</v>
      </c>
      <c r="D148">
        <v>51</v>
      </c>
      <c r="E148" t="s">
        <v>3</v>
      </c>
      <c r="F148" t="s">
        <v>7</v>
      </c>
      <c r="G148" t="str">
        <f t="shared" si="14"/>
        <v>+</v>
      </c>
      <c r="H148">
        <v>2</v>
      </c>
      <c r="I148" t="s">
        <v>3</v>
      </c>
    </row>
    <row r="149" spans="1:9" x14ac:dyDescent="0.15">
      <c r="A149" t="str">
        <f t="shared" si="12"/>
        <v>|Lｖ52|第3能力Lv3|</v>
      </c>
      <c r="B149" t="s">
        <v>3</v>
      </c>
      <c r="C149" t="s">
        <v>39</v>
      </c>
      <c r="D149">
        <v>52</v>
      </c>
      <c r="E149" t="s">
        <v>3</v>
      </c>
      <c r="F149" t="s">
        <v>42</v>
      </c>
      <c r="G149" t="str">
        <f t="shared" si="14"/>
        <v/>
      </c>
      <c r="H149">
        <v>3</v>
      </c>
      <c r="I149" t="s">
        <v>3</v>
      </c>
    </row>
    <row r="150" spans="1:9" x14ac:dyDescent="0.15">
      <c r="A150" t="str">
        <f t="shared" si="12"/>
        <v>|Lｖ53|HP+3|</v>
      </c>
      <c r="B150" t="s">
        <v>3</v>
      </c>
      <c r="C150" t="s">
        <v>39</v>
      </c>
      <c r="D150">
        <v>53</v>
      </c>
      <c r="E150" t="s">
        <v>3</v>
      </c>
      <c r="F150" t="s">
        <v>7</v>
      </c>
      <c r="G150" t="str">
        <f t="shared" si="14"/>
        <v>+</v>
      </c>
      <c r="H150">
        <v>3</v>
      </c>
      <c r="I150" t="s">
        <v>3</v>
      </c>
    </row>
    <row r="151" spans="1:9" x14ac:dyDescent="0.15">
      <c r="A151" t="str">
        <f t="shared" si="12"/>
        <v>|Lｖ54|クリーチャー+1|</v>
      </c>
      <c r="B151" t="s">
        <v>3</v>
      </c>
      <c r="C151" t="s">
        <v>39</v>
      </c>
      <c r="D151">
        <v>54</v>
      </c>
      <c r="E151" t="s">
        <v>3</v>
      </c>
      <c r="F151" t="s">
        <v>20</v>
      </c>
      <c r="G151" t="str">
        <f t="shared" si="14"/>
        <v>+</v>
      </c>
      <c r="H151">
        <v>1</v>
      </c>
      <c r="I151" t="s">
        <v>3</v>
      </c>
    </row>
    <row r="152" spans="1:9" x14ac:dyDescent="0.15">
      <c r="A152" t="str">
        <f t="shared" ref="A152:A163" si="15">B152&amp;C152&amp;D152&amp;E152&amp;F152&amp;G152&amp;H152&amp;I152&amp;J152&amp;K152&amp;L152&amp;M152&amp;N152&amp;O152&amp;P152</f>
        <v>|Lｖ55|HP+3|</v>
      </c>
      <c r="B152" t="s">
        <v>3</v>
      </c>
      <c r="C152" t="s">
        <v>39</v>
      </c>
      <c r="D152">
        <v>55</v>
      </c>
      <c r="E152" t="s">
        <v>3</v>
      </c>
      <c r="F152" t="s">
        <v>7</v>
      </c>
      <c r="G152" t="str">
        <f t="shared" si="14"/>
        <v>+</v>
      </c>
      <c r="H152">
        <v>3</v>
      </c>
      <c r="I152" t="s">
        <v>3</v>
      </c>
    </row>
    <row r="153" spans="1:9" x14ac:dyDescent="0.15">
      <c r="A153" t="str">
        <f t="shared" si="15"/>
        <v>|Lｖ56|第1能力Lv4|</v>
      </c>
      <c r="B153" t="s">
        <v>3</v>
      </c>
      <c r="C153" t="s">
        <v>39</v>
      </c>
      <c r="D153">
        <v>56</v>
      </c>
      <c r="E153" t="s">
        <v>3</v>
      </c>
      <c r="F153" t="s">
        <v>40</v>
      </c>
      <c r="G153" t="str">
        <f t="shared" si="14"/>
        <v/>
      </c>
      <c r="H153">
        <v>4</v>
      </c>
      <c r="I153" t="s">
        <v>3</v>
      </c>
    </row>
    <row r="154" spans="1:9" x14ac:dyDescent="0.15">
      <c r="A154" t="str">
        <f t="shared" si="15"/>
        <v>|Lｖ57|HP+3|</v>
      </c>
      <c r="B154" t="s">
        <v>3</v>
      </c>
      <c r="C154" t="s">
        <v>39</v>
      </c>
      <c r="D154">
        <v>57</v>
      </c>
      <c r="E154" t="s">
        <v>3</v>
      </c>
      <c r="F154" t="s">
        <v>7</v>
      </c>
      <c r="G154" t="str">
        <f t="shared" si="14"/>
        <v>+</v>
      </c>
      <c r="H154">
        <v>3</v>
      </c>
      <c r="I154" t="s">
        <v>3</v>
      </c>
    </row>
    <row r="155" spans="1:9" x14ac:dyDescent="0.15">
      <c r="A155" t="str">
        <f t="shared" si="15"/>
        <v>|Lｖ58|第2能力Lv4|</v>
      </c>
      <c r="B155" t="s">
        <v>3</v>
      </c>
      <c r="C155" t="s">
        <v>39</v>
      </c>
      <c r="D155">
        <v>58</v>
      </c>
      <c r="E155" t="s">
        <v>3</v>
      </c>
      <c r="F155" t="s">
        <v>41</v>
      </c>
      <c r="G155" t="str">
        <f t="shared" si="14"/>
        <v/>
      </c>
      <c r="H155">
        <v>4</v>
      </c>
      <c r="I155" t="s">
        <v>3</v>
      </c>
    </row>
    <row r="156" spans="1:9" x14ac:dyDescent="0.15">
      <c r="A156" t="str">
        <f t="shared" si="15"/>
        <v>|Lｖ59|HP+2|</v>
      </c>
      <c r="B156" t="s">
        <v>3</v>
      </c>
      <c r="C156" t="s">
        <v>39</v>
      </c>
      <c r="D156">
        <v>59</v>
      </c>
      <c r="E156" t="s">
        <v>3</v>
      </c>
      <c r="F156" t="s">
        <v>7</v>
      </c>
      <c r="G156" t="str">
        <f t="shared" si="14"/>
        <v>+</v>
      </c>
      <c r="H156">
        <v>2</v>
      </c>
      <c r="I156" t="s">
        <v>3</v>
      </c>
    </row>
    <row r="157" spans="1:9" x14ac:dyDescent="0.15">
      <c r="A157" t="str">
        <f t="shared" si="15"/>
        <v>|Lｖ60|第3能力Lv4|</v>
      </c>
      <c r="B157" t="s">
        <v>3</v>
      </c>
      <c r="C157" t="s">
        <v>39</v>
      </c>
      <c r="D157">
        <v>60</v>
      </c>
      <c r="E157" t="s">
        <v>3</v>
      </c>
      <c r="F157" t="s">
        <v>42</v>
      </c>
      <c r="G157" t="s">
        <v>44</v>
      </c>
      <c r="H157">
        <v>4</v>
      </c>
      <c r="I157" t="s">
        <v>3</v>
      </c>
    </row>
    <row r="158" spans="1:9" x14ac:dyDescent="0.15">
      <c r="A158" t="str">
        <f t="shared" si="15"/>
        <v>必要総経験値：79920ルーン</v>
      </c>
      <c r="B158" t="s">
        <v>45</v>
      </c>
      <c r="C158">
        <v>79920</v>
      </c>
      <c r="F158" t="s">
        <v>46</v>
      </c>
    </row>
    <row r="159" spans="1:9" x14ac:dyDescent="0.15">
      <c r="A159" t="str">
        <f t="shared" si="15"/>
        <v>&amp;br;</v>
      </c>
      <c r="B159" t="s">
        <v>0</v>
      </c>
    </row>
    <row r="160" spans="1:9" x14ac:dyDescent="0.15">
      <c r="A160" t="str">
        <f t="shared" si="15"/>
        <v>#back(text=戻る,left)</v>
      </c>
      <c r="B160" t="s">
        <v>47</v>
      </c>
    </row>
    <row r="161" spans="1:2" x14ac:dyDescent="0.15">
      <c r="A161" t="str">
        <f t="shared" si="15"/>
        <v>&amp;br;</v>
      </c>
      <c r="B161" t="s">
        <v>0</v>
      </c>
    </row>
    <row r="162" spans="1:2" x14ac:dyDescent="0.15">
      <c r="A162" t="str">
        <f t="shared" si="15"/>
        <v>#comment(above,nsize=[15],size=[30],num=[10])</v>
      </c>
      <c r="B162" t="s">
        <v>48</v>
      </c>
    </row>
    <row r="163" spans="1:2" x14ac:dyDescent="0.15">
      <c r="A163" t="str">
        <f t="shared" si="15"/>
        <v>[[プレインズウォーカーリスト&gt;プレインズウォーカーリスト]]</v>
      </c>
      <c r="B163" t="s">
        <v>49</v>
      </c>
    </row>
  </sheetData>
  <autoFilter ref="C98:I163"/>
  <phoneticPr fontId="4"/>
  <dataValidations count="2">
    <dataValidation type="list" allowBlank="1" showInputMessage="1" showErrorMessage="1" sqref="F158">
      <formula1>$Q$88:$Q$100</formula1>
    </dataValidation>
    <dataValidation type="list" allowBlank="1" showInputMessage="1" showErrorMessage="1" sqref="F99:F157">
      <formula1>$Q$98:$Q$110</formula1>
    </dataValidation>
  </dataValidations>
  <pageMargins left="0.69930555555555596" right="0.69930555555555596"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T162"/>
  <sheetViews>
    <sheetView workbookViewId="0">
      <selection activeCell="R68" sqref="R68:T73"/>
    </sheetView>
  </sheetViews>
  <sheetFormatPr defaultColWidth="9" defaultRowHeight="13.5" x14ac:dyDescent="0.15"/>
  <cols>
    <col min="2" max="2" width="3.5" customWidth="1"/>
    <col min="3" max="3" width="7.875" customWidth="1"/>
    <col min="4" max="4" width="5.5" customWidth="1"/>
    <col min="5" max="5" width="2" customWidth="1"/>
    <col min="7" max="7" width="2" customWidth="1"/>
    <col min="9" max="9" width="2" customWidth="1"/>
    <col min="11" max="11" width="2" customWidth="1"/>
    <col min="13" max="13" width="2" customWidth="1"/>
    <col min="15" max="15" width="2" customWidth="1"/>
    <col min="17" max="17" width="2.75" customWidth="1"/>
  </cols>
  <sheetData>
    <row r="1" spans="1:8" x14ac:dyDescent="0.15">
      <c r="A1" t="str">
        <f>B1&amp;C1&amp;D1&amp;E1&amp;F1&amp;G1&amp;H1&amp;I1&amp;J1&amp;K1&amp;L1&amp;M1&amp;N1&amp;O1&amp;P1</f>
        <v>特別オファーで購入するか、期間限定でMCを支払い購入することで入手できる。</v>
      </c>
      <c r="B1" t="s">
        <v>130</v>
      </c>
    </row>
    <row r="2" spans="1:8" x14ac:dyDescent="0.15">
      <c r="A2" t="str">
        <f>B2&amp;C2&amp;D2&amp;E2&amp;F2&amp;G2&amp;H2&amp;I2&amp;J2&amp;K2&amp;L2&amp;M2&amp;N2&amp;O2&amp;P2</f>
        <v>&amp;br;</v>
      </c>
      <c r="B2" t="s">
        <v>0</v>
      </c>
    </row>
    <row r="3" spans="1:8" x14ac:dyDescent="0.15">
      <c r="A3" t="str">
        <f>B3&amp;C3&amp;D3&amp;E3&amp;F3&amp;G3&amp;H3&amp;I3&amp;J3&amp;K3&amp;L3&amp;M3&amp;N3&amp;O3&amp;P3</f>
        <v>#contents()</v>
      </c>
      <c r="B3" t="s">
        <v>1</v>
      </c>
    </row>
    <row r="4" spans="1:8" x14ac:dyDescent="0.15">
      <c r="A4" t="str">
        <f>B4&amp;C4&amp;D4&amp;E4&amp;F4&amp;G4&amp;H4&amp;I4&amp;J4&amp;K4&amp;L4&amp;M4&amp;N4&amp;O4&amp;P4</f>
        <v>*HP [#f569d8c6]</v>
      </c>
      <c r="B4" t="s">
        <v>2</v>
      </c>
    </row>
    <row r="5" spans="1:8" x14ac:dyDescent="0.15">
      <c r="A5" t="str">
        <f>B5&amp;C5&amp;D5&amp;E5&amp;F5&amp;G5&amp;H5</f>
        <v>|LEFT:50|LEFT:50|c</v>
      </c>
      <c r="B5" t="s">
        <v>3</v>
      </c>
      <c r="C5" t="s">
        <v>4</v>
      </c>
      <c r="E5" t="s">
        <v>3</v>
      </c>
      <c r="F5" t="s">
        <v>4</v>
      </c>
      <c r="G5" t="s">
        <v>3</v>
      </c>
      <c r="H5" t="s">
        <v>5</v>
      </c>
    </row>
    <row r="6" spans="1:8" x14ac:dyDescent="0.15">
      <c r="A6" t="str">
        <f t="shared" ref="A6:A35" si="0">B6&amp;C6&amp;D6&amp;E6&amp;F6&amp;G6&amp;H6</f>
        <v>|レベル|HP|</v>
      </c>
      <c r="B6" t="s">
        <v>3</v>
      </c>
      <c r="C6" t="s">
        <v>6</v>
      </c>
      <c r="E6" t="s">
        <v>3</v>
      </c>
      <c r="F6" t="s">
        <v>7</v>
      </c>
      <c r="G6" t="s">
        <v>3</v>
      </c>
    </row>
    <row r="7" spans="1:8" x14ac:dyDescent="0.15">
      <c r="A7" t="str">
        <f t="shared" si="0"/>
        <v>|Lv1|15|</v>
      </c>
      <c r="B7" t="s">
        <v>3</v>
      </c>
      <c r="C7" t="s">
        <v>8</v>
      </c>
      <c r="D7">
        <v>1</v>
      </c>
      <c r="E7" t="s">
        <v>3</v>
      </c>
      <c r="F7">
        <v>15</v>
      </c>
      <c r="G7" t="s">
        <v>3</v>
      </c>
    </row>
    <row r="8" spans="1:8" x14ac:dyDescent="0.15">
      <c r="A8" t="str">
        <f t="shared" si="0"/>
        <v>|Lv3|18|</v>
      </c>
      <c r="B8" t="s">
        <v>3</v>
      </c>
      <c r="C8" t="s">
        <v>8</v>
      </c>
      <c r="D8">
        <v>3</v>
      </c>
      <c r="E8" t="s">
        <v>3</v>
      </c>
      <c r="F8">
        <f t="shared" ref="F8:F35" si="1">IF(ISBLANK(D8),"",F7+INDEX($H$97:$H$156,D8))</f>
        <v>18</v>
      </c>
      <c r="G8" t="s">
        <v>3</v>
      </c>
    </row>
    <row r="9" spans="1:8" x14ac:dyDescent="0.15">
      <c r="A9" t="str">
        <f t="shared" si="0"/>
        <v>|Lv5|21|</v>
      </c>
      <c r="B9" t="s">
        <v>3</v>
      </c>
      <c r="C9" t="s">
        <v>8</v>
      </c>
      <c r="D9">
        <v>5</v>
      </c>
      <c r="E9" t="s">
        <v>3</v>
      </c>
      <c r="F9">
        <f t="shared" si="1"/>
        <v>21</v>
      </c>
      <c r="G9" t="s">
        <v>3</v>
      </c>
    </row>
    <row r="10" spans="1:8" x14ac:dyDescent="0.15">
      <c r="A10" t="str">
        <f t="shared" si="0"/>
        <v>|Lv7|24|</v>
      </c>
      <c r="B10" t="s">
        <v>3</v>
      </c>
      <c r="C10" t="s">
        <v>8</v>
      </c>
      <c r="D10">
        <v>7</v>
      </c>
      <c r="E10" t="s">
        <v>3</v>
      </c>
      <c r="F10">
        <f t="shared" si="1"/>
        <v>24</v>
      </c>
      <c r="G10" t="s">
        <v>3</v>
      </c>
    </row>
    <row r="11" spans="1:8" x14ac:dyDescent="0.15">
      <c r="A11" t="str">
        <f t="shared" si="0"/>
        <v>|Lv9|27|</v>
      </c>
      <c r="B11" t="s">
        <v>3</v>
      </c>
      <c r="C11" t="s">
        <v>8</v>
      </c>
      <c r="D11">
        <v>9</v>
      </c>
      <c r="E11" t="s">
        <v>3</v>
      </c>
      <c r="F11">
        <f t="shared" si="1"/>
        <v>27</v>
      </c>
      <c r="G11" t="s">
        <v>3</v>
      </c>
    </row>
    <row r="12" spans="1:8" x14ac:dyDescent="0.15">
      <c r="A12" t="str">
        <f t="shared" si="0"/>
        <v>|Lv11|30|</v>
      </c>
      <c r="B12" t="s">
        <v>3</v>
      </c>
      <c r="C12" t="s">
        <v>8</v>
      </c>
      <c r="D12">
        <v>11</v>
      </c>
      <c r="E12" t="s">
        <v>3</v>
      </c>
      <c r="F12">
        <f t="shared" si="1"/>
        <v>30</v>
      </c>
      <c r="G12" t="s">
        <v>3</v>
      </c>
    </row>
    <row r="13" spans="1:8" x14ac:dyDescent="0.15">
      <c r="A13" t="str">
        <f t="shared" si="0"/>
        <v>|Lv13|33|</v>
      </c>
      <c r="B13" t="s">
        <v>3</v>
      </c>
      <c r="C13" t="s">
        <v>8</v>
      </c>
      <c r="D13">
        <v>13</v>
      </c>
      <c r="E13" t="s">
        <v>3</v>
      </c>
      <c r="F13">
        <f t="shared" si="1"/>
        <v>33</v>
      </c>
      <c r="G13" t="s">
        <v>3</v>
      </c>
    </row>
    <row r="14" spans="1:8" x14ac:dyDescent="0.15">
      <c r="A14" t="str">
        <f t="shared" si="0"/>
        <v>|Lv15|36|</v>
      </c>
      <c r="B14" t="s">
        <v>3</v>
      </c>
      <c r="C14" t="s">
        <v>8</v>
      </c>
      <c r="D14">
        <v>15</v>
      </c>
      <c r="E14" t="s">
        <v>3</v>
      </c>
      <c r="F14">
        <f t="shared" si="1"/>
        <v>36</v>
      </c>
      <c r="G14" t="s">
        <v>3</v>
      </c>
    </row>
    <row r="15" spans="1:8" x14ac:dyDescent="0.15">
      <c r="A15" t="str">
        <f t="shared" si="0"/>
        <v>|Lv17|39|</v>
      </c>
      <c r="B15" t="s">
        <v>3</v>
      </c>
      <c r="C15" t="s">
        <v>8</v>
      </c>
      <c r="D15">
        <v>17</v>
      </c>
      <c r="E15" t="s">
        <v>3</v>
      </c>
      <c r="F15">
        <f t="shared" si="1"/>
        <v>39</v>
      </c>
      <c r="G15" t="s">
        <v>3</v>
      </c>
    </row>
    <row r="16" spans="1:8" x14ac:dyDescent="0.15">
      <c r="A16" t="str">
        <f t="shared" si="0"/>
        <v>|Lv19|42|</v>
      </c>
      <c r="B16" t="s">
        <v>3</v>
      </c>
      <c r="C16" t="s">
        <v>8</v>
      </c>
      <c r="D16">
        <v>19</v>
      </c>
      <c r="E16" t="s">
        <v>3</v>
      </c>
      <c r="F16">
        <f t="shared" si="1"/>
        <v>42</v>
      </c>
      <c r="G16" t="s">
        <v>3</v>
      </c>
    </row>
    <row r="17" spans="1:7" x14ac:dyDescent="0.15">
      <c r="A17" t="str">
        <f t="shared" si="0"/>
        <v>|Lv21|45|</v>
      </c>
      <c r="B17" t="s">
        <v>3</v>
      </c>
      <c r="C17" t="s">
        <v>8</v>
      </c>
      <c r="D17">
        <v>21</v>
      </c>
      <c r="E17" t="s">
        <v>3</v>
      </c>
      <c r="F17">
        <f t="shared" si="1"/>
        <v>45</v>
      </c>
      <c r="G17" t="s">
        <v>3</v>
      </c>
    </row>
    <row r="18" spans="1:7" x14ac:dyDescent="0.15">
      <c r="A18" t="str">
        <f t="shared" si="0"/>
        <v>|Lv23|48|</v>
      </c>
      <c r="B18" t="s">
        <v>3</v>
      </c>
      <c r="C18" t="s">
        <v>8</v>
      </c>
      <c r="D18">
        <v>23</v>
      </c>
      <c r="E18" t="s">
        <v>3</v>
      </c>
      <c r="F18">
        <f t="shared" si="1"/>
        <v>48</v>
      </c>
      <c r="G18" t="s">
        <v>3</v>
      </c>
    </row>
    <row r="19" spans="1:7" x14ac:dyDescent="0.15">
      <c r="A19" t="str">
        <f t="shared" si="0"/>
        <v>|Lv25|51|</v>
      </c>
      <c r="B19" t="s">
        <v>3</v>
      </c>
      <c r="C19" t="s">
        <v>8</v>
      </c>
      <c r="D19">
        <v>25</v>
      </c>
      <c r="E19" t="s">
        <v>3</v>
      </c>
      <c r="F19">
        <f t="shared" si="1"/>
        <v>51</v>
      </c>
      <c r="G19" t="s">
        <v>3</v>
      </c>
    </row>
    <row r="20" spans="1:7" x14ac:dyDescent="0.15">
      <c r="A20" t="str">
        <f t="shared" si="0"/>
        <v>|Lv27|54|</v>
      </c>
      <c r="B20" t="s">
        <v>3</v>
      </c>
      <c r="C20" t="s">
        <v>8</v>
      </c>
      <c r="D20">
        <v>27</v>
      </c>
      <c r="E20" t="s">
        <v>3</v>
      </c>
      <c r="F20">
        <f t="shared" si="1"/>
        <v>54</v>
      </c>
      <c r="G20" t="s">
        <v>3</v>
      </c>
    </row>
    <row r="21" spans="1:7" x14ac:dyDescent="0.15">
      <c r="A21" t="str">
        <f t="shared" si="0"/>
        <v>|Lv29|57|</v>
      </c>
      <c r="B21" t="s">
        <v>3</v>
      </c>
      <c r="C21" t="s">
        <v>8</v>
      </c>
      <c r="D21">
        <v>29</v>
      </c>
      <c r="E21" t="s">
        <v>3</v>
      </c>
      <c r="F21">
        <f t="shared" si="1"/>
        <v>57</v>
      </c>
      <c r="G21" t="s">
        <v>3</v>
      </c>
    </row>
    <row r="22" spans="1:7" x14ac:dyDescent="0.15">
      <c r="A22" t="str">
        <f t="shared" si="0"/>
        <v>|Lv31|60|</v>
      </c>
      <c r="B22" t="s">
        <v>3</v>
      </c>
      <c r="C22" t="s">
        <v>8</v>
      </c>
      <c r="D22">
        <v>31</v>
      </c>
      <c r="E22" t="s">
        <v>3</v>
      </c>
      <c r="F22">
        <f t="shared" si="1"/>
        <v>60</v>
      </c>
      <c r="G22" t="s">
        <v>3</v>
      </c>
    </row>
    <row r="23" spans="1:7" x14ac:dyDescent="0.15">
      <c r="A23" t="str">
        <f t="shared" si="0"/>
        <v>|Lv33|63|</v>
      </c>
      <c r="B23" t="s">
        <v>3</v>
      </c>
      <c r="C23" t="s">
        <v>8</v>
      </c>
      <c r="D23">
        <v>33</v>
      </c>
      <c r="E23" t="s">
        <v>3</v>
      </c>
      <c r="F23">
        <f t="shared" si="1"/>
        <v>63</v>
      </c>
      <c r="G23" t="s">
        <v>3</v>
      </c>
    </row>
    <row r="24" spans="1:7" x14ac:dyDescent="0.15">
      <c r="A24" t="str">
        <f t="shared" si="0"/>
        <v>|Lv35|66|</v>
      </c>
      <c r="B24" t="s">
        <v>3</v>
      </c>
      <c r="C24" t="s">
        <v>8</v>
      </c>
      <c r="D24">
        <v>35</v>
      </c>
      <c r="E24" t="s">
        <v>3</v>
      </c>
      <c r="F24">
        <f t="shared" si="1"/>
        <v>66</v>
      </c>
      <c r="G24" t="s">
        <v>3</v>
      </c>
    </row>
    <row r="25" spans="1:7" x14ac:dyDescent="0.15">
      <c r="A25" t="str">
        <f t="shared" si="0"/>
        <v>|Lv37|69|</v>
      </c>
      <c r="B25" t="s">
        <v>3</v>
      </c>
      <c r="C25" t="s">
        <v>8</v>
      </c>
      <c r="D25">
        <v>37</v>
      </c>
      <c r="E25" t="s">
        <v>3</v>
      </c>
      <c r="F25">
        <f t="shared" si="1"/>
        <v>69</v>
      </c>
      <c r="G25" t="s">
        <v>3</v>
      </c>
    </row>
    <row r="26" spans="1:7" x14ac:dyDescent="0.15">
      <c r="A26" t="str">
        <f t="shared" si="0"/>
        <v>|Lv39|72|</v>
      </c>
      <c r="B26" t="s">
        <v>3</v>
      </c>
      <c r="C26" t="s">
        <v>8</v>
      </c>
      <c r="D26">
        <v>39</v>
      </c>
      <c r="E26" t="s">
        <v>3</v>
      </c>
      <c r="F26">
        <f t="shared" si="1"/>
        <v>72</v>
      </c>
      <c r="G26" t="s">
        <v>3</v>
      </c>
    </row>
    <row r="27" spans="1:7" x14ac:dyDescent="0.15">
      <c r="A27" t="str">
        <f t="shared" si="0"/>
        <v>|Lv41|75|</v>
      </c>
      <c r="B27" t="s">
        <v>3</v>
      </c>
      <c r="C27" t="s">
        <v>8</v>
      </c>
      <c r="D27">
        <v>41</v>
      </c>
      <c r="E27" t="s">
        <v>3</v>
      </c>
      <c r="F27">
        <f t="shared" si="1"/>
        <v>75</v>
      </c>
      <c r="G27" t="s">
        <v>3</v>
      </c>
    </row>
    <row r="28" spans="1:7" x14ac:dyDescent="0.15">
      <c r="A28" t="str">
        <f t="shared" si="0"/>
        <v>|Lv43|78|</v>
      </c>
      <c r="B28" t="s">
        <v>3</v>
      </c>
      <c r="C28" t="s">
        <v>8</v>
      </c>
      <c r="D28">
        <v>43</v>
      </c>
      <c r="E28" t="s">
        <v>3</v>
      </c>
      <c r="F28">
        <f t="shared" si="1"/>
        <v>78</v>
      </c>
      <c r="G28" t="s">
        <v>3</v>
      </c>
    </row>
    <row r="29" spans="1:7" x14ac:dyDescent="0.15">
      <c r="A29" t="str">
        <f t="shared" si="0"/>
        <v>|Lv45|81|</v>
      </c>
      <c r="B29" t="s">
        <v>3</v>
      </c>
      <c r="C29" t="s">
        <v>8</v>
      </c>
      <c r="D29">
        <v>45</v>
      </c>
      <c r="E29" t="s">
        <v>3</v>
      </c>
      <c r="F29">
        <f t="shared" si="1"/>
        <v>81</v>
      </c>
      <c r="G29" t="s">
        <v>3</v>
      </c>
    </row>
    <row r="30" spans="1:7" x14ac:dyDescent="0.15">
      <c r="A30" t="str">
        <f t="shared" si="0"/>
        <v>|Lv47|84|</v>
      </c>
      <c r="B30" t="s">
        <v>3</v>
      </c>
      <c r="C30" t="s">
        <v>8</v>
      </c>
      <c r="D30">
        <v>47</v>
      </c>
      <c r="E30" t="s">
        <v>3</v>
      </c>
      <c r="F30">
        <f t="shared" si="1"/>
        <v>84</v>
      </c>
      <c r="G30" t="s">
        <v>3</v>
      </c>
    </row>
    <row r="31" spans="1:7" x14ac:dyDescent="0.15">
      <c r="A31" t="str">
        <f t="shared" si="0"/>
        <v>|Lv49|87|</v>
      </c>
      <c r="B31" t="s">
        <v>3</v>
      </c>
      <c r="C31" t="s">
        <v>8</v>
      </c>
      <c r="D31">
        <v>49</v>
      </c>
      <c r="E31" t="s">
        <v>3</v>
      </c>
      <c r="F31">
        <f t="shared" si="1"/>
        <v>87</v>
      </c>
      <c r="G31" t="s">
        <v>3</v>
      </c>
    </row>
    <row r="32" spans="1:7" x14ac:dyDescent="0.15">
      <c r="A32" t="str">
        <f t="shared" si="0"/>
        <v>|Lv51|90|</v>
      </c>
      <c r="B32" t="s">
        <v>3</v>
      </c>
      <c r="C32" t="s">
        <v>8</v>
      </c>
      <c r="D32">
        <v>51</v>
      </c>
      <c r="E32" t="s">
        <v>3</v>
      </c>
      <c r="F32">
        <f t="shared" si="1"/>
        <v>90</v>
      </c>
      <c r="G32" t="s">
        <v>3</v>
      </c>
    </row>
    <row r="33" spans="1:19" x14ac:dyDescent="0.15">
      <c r="A33" t="str">
        <f t="shared" si="0"/>
        <v>|Lv53|93|</v>
      </c>
      <c r="B33" t="s">
        <v>3</v>
      </c>
      <c r="C33" t="s">
        <v>8</v>
      </c>
      <c r="D33">
        <v>53</v>
      </c>
      <c r="E33" t="s">
        <v>3</v>
      </c>
      <c r="F33">
        <f t="shared" si="1"/>
        <v>93</v>
      </c>
      <c r="G33" t="s">
        <v>3</v>
      </c>
    </row>
    <row r="34" spans="1:19" x14ac:dyDescent="0.15">
      <c r="A34" t="str">
        <f t="shared" si="0"/>
        <v>|Lv55|96|</v>
      </c>
      <c r="B34" t="s">
        <v>3</v>
      </c>
      <c r="C34" t="s">
        <v>8</v>
      </c>
      <c r="D34">
        <v>55</v>
      </c>
      <c r="E34" t="s">
        <v>3</v>
      </c>
      <c r="F34">
        <f t="shared" si="1"/>
        <v>96</v>
      </c>
      <c r="G34" t="s">
        <v>3</v>
      </c>
    </row>
    <row r="35" spans="1:19" x14ac:dyDescent="0.15">
      <c r="A35" t="str">
        <f t="shared" si="0"/>
        <v>|Lv57|99|</v>
      </c>
      <c r="B35" t="s">
        <v>3</v>
      </c>
      <c r="C35" t="s">
        <v>8</v>
      </c>
      <c r="D35">
        <v>57</v>
      </c>
      <c r="E35" t="s">
        <v>3</v>
      </c>
      <c r="F35">
        <f t="shared" si="1"/>
        <v>99</v>
      </c>
      <c r="G35" t="s">
        <v>3</v>
      </c>
    </row>
    <row r="36" spans="1:19" x14ac:dyDescent="0.15">
      <c r="A36" t="str">
        <f>B36&amp;C36&amp;D36&amp;E36&amp;F36&amp;G36&amp;H36&amp;I36&amp;J36&amp;K36&amp;L36&amp;M36&amp;N36&amp;O36&amp;P36</f>
        <v>&amp;br;</v>
      </c>
      <c r="B36" t="s">
        <v>0</v>
      </c>
    </row>
    <row r="37" spans="1:19" x14ac:dyDescent="0.15">
      <c r="A37" t="str">
        <f>B37&amp;C37&amp;D37&amp;E37&amp;F37&amp;G37&amp;H37&amp;I37&amp;J37&amp;K37&amp;L37&amp;M37&amp;N37&amp;O37&amp;P37</f>
        <v>&amp;br;</v>
      </c>
      <c r="B37" t="s">
        <v>0</v>
      </c>
    </row>
    <row r="38" spans="1:19" x14ac:dyDescent="0.15">
      <c r="A38" t="str">
        <f>B38&amp;C38&amp;D38&amp;E38&amp;F38&amp;G38&amp;H38&amp;I38&amp;J38&amp;K38&amp;L38&amp;M38&amp;N38&amp;O38&amp;P38</f>
        <v>*マナボーナス [#q1a26f54]</v>
      </c>
      <c r="B38" t="s">
        <v>9</v>
      </c>
    </row>
    <row r="39" spans="1:19" x14ac:dyDescent="0.15">
      <c r="A39" t="str">
        <f t="shared" ref="A39:A48" si="2">B39&amp;C39&amp;D39&amp;G39&amp;H39&amp;I39&amp;J39&amp;K39&amp;L39&amp;M39&amp;N39&amp;O39&amp;P39&amp;Q39&amp;R39</f>
        <v>|LEFT:50|LEFT:50|LEFT:50|LEFT:50|LEFT:50|LEFT:50|c</v>
      </c>
      <c r="B39" t="s">
        <v>3</v>
      </c>
      <c r="C39" t="s">
        <v>4</v>
      </c>
      <c r="E39" t="s">
        <v>3</v>
      </c>
      <c r="G39" t="s">
        <v>3</v>
      </c>
      <c r="H39" t="s">
        <v>4</v>
      </c>
      <c r="I39" t="s">
        <v>3</v>
      </c>
      <c r="J39" t="s">
        <v>4</v>
      </c>
      <c r="K39" t="s">
        <v>3</v>
      </c>
      <c r="L39" t="s">
        <v>4</v>
      </c>
      <c r="M39" t="s">
        <v>3</v>
      </c>
      <c r="N39" t="s">
        <v>4</v>
      </c>
      <c r="O39" t="s">
        <v>3</v>
      </c>
      <c r="P39" t="s">
        <v>4</v>
      </c>
      <c r="Q39" t="s">
        <v>3</v>
      </c>
      <c r="R39" t="s">
        <v>5</v>
      </c>
    </row>
    <row r="40" spans="1:19" x14ac:dyDescent="0.15">
      <c r="A40" t="str">
        <f t="shared" si="2"/>
        <v>|レベル|白|青|黒|赤|緑|</v>
      </c>
      <c r="B40" t="s">
        <v>3</v>
      </c>
      <c r="C40" t="s">
        <v>6</v>
      </c>
      <c r="E40" t="s">
        <v>3</v>
      </c>
      <c r="F40" t="s">
        <v>10</v>
      </c>
      <c r="G40" t="s">
        <v>3</v>
      </c>
      <c r="H40" t="s">
        <v>11</v>
      </c>
      <c r="I40" t="s">
        <v>3</v>
      </c>
      <c r="J40" t="s">
        <v>12</v>
      </c>
      <c r="K40" t="s">
        <v>3</v>
      </c>
      <c r="L40" t="s">
        <v>13</v>
      </c>
      <c r="M40" t="s">
        <v>3</v>
      </c>
      <c r="N40" t="s">
        <v>14</v>
      </c>
      <c r="O40" t="s">
        <v>3</v>
      </c>
      <c r="P40" t="s">
        <v>15</v>
      </c>
      <c r="Q40" t="s">
        <v>3</v>
      </c>
      <c r="S40" t="s">
        <v>11</v>
      </c>
    </row>
    <row r="41" spans="1:19" x14ac:dyDescent="0.15">
      <c r="A41" t="str">
        <f t="shared" si="2"/>
        <v>|Lv1|-2|-2|2|3|-2|</v>
      </c>
      <c r="B41" t="s">
        <v>3</v>
      </c>
      <c r="C41" t="s">
        <v>8</v>
      </c>
      <c r="D41">
        <v>1</v>
      </c>
      <c r="E41" t="s">
        <v>3</v>
      </c>
      <c r="G41" t="s">
        <v>3</v>
      </c>
      <c r="H41">
        <v>-2</v>
      </c>
      <c r="I41" t="s">
        <v>3</v>
      </c>
      <c r="J41">
        <v>-2</v>
      </c>
      <c r="K41" t="s">
        <v>3</v>
      </c>
      <c r="L41">
        <v>2</v>
      </c>
      <c r="M41" t="s">
        <v>3</v>
      </c>
      <c r="N41">
        <v>3</v>
      </c>
      <c r="O41" t="s">
        <v>3</v>
      </c>
      <c r="P41">
        <v>-2</v>
      </c>
      <c r="Q41" t="s">
        <v>3</v>
      </c>
      <c r="S41" t="s">
        <v>12</v>
      </c>
    </row>
    <row r="42" spans="1:19" x14ac:dyDescent="0.15">
      <c r="A42" t="str">
        <f t="shared" si="2"/>
        <v>|Lv4|-2|-2|2|4|-2|</v>
      </c>
      <c r="B42" t="s">
        <v>3</v>
      </c>
      <c r="C42" t="s">
        <v>8</v>
      </c>
      <c r="D42">
        <v>4</v>
      </c>
      <c r="E42" t="s">
        <v>3</v>
      </c>
      <c r="F42" t="str">
        <f t="shared" ref="F42:F51" si="3">IF(ISBLANK(D42),"",INDEX($F$97:$F$156,D42))</f>
        <v>赤</v>
      </c>
      <c r="G42" t="s">
        <v>3</v>
      </c>
      <c r="H42">
        <f>H41+IF(H$40=$F42,1,0)</f>
        <v>-2</v>
      </c>
      <c r="I42" t="str">
        <f t="shared" ref="I42:Q48" si="4">I41</f>
        <v>|</v>
      </c>
      <c r="J42">
        <f>J41+IF(J$40=$F42,1,0)</f>
        <v>-2</v>
      </c>
      <c r="K42" t="str">
        <f t="shared" si="4"/>
        <v>|</v>
      </c>
      <c r="L42">
        <f>L41+IF(L$40=$F42,1,0)</f>
        <v>2</v>
      </c>
      <c r="M42" t="str">
        <f t="shared" si="4"/>
        <v>|</v>
      </c>
      <c r="N42">
        <f>N41+IF(N$40=$F42,1,0)</f>
        <v>4</v>
      </c>
      <c r="O42" t="str">
        <f t="shared" si="4"/>
        <v>|</v>
      </c>
      <c r="P42">
        <f>P41+IF(P$40=$F42,1,0)</f>
        <v>-2</v>
      </c>
      <c r="Q42" t="str">
        <f t="shared" si="4"/>
        <v>|</v>
      </c>
      <c r="S42" t="s">
        <v>13</v>
      </c>
    </row>
    <row r="43" spans="1:19" x14ac:dyDescent="0.15">
      <c r="A43" t="str">
        <f t="shared" si="2"/>
        <v>|Lv10|-2|-2|3|4|-2|</v>
      </c>
      <c r="B43" t="s">
        <v>3</v>
      </c>
      <c r="C43" t="s">
        <v>8</v>
      </c>
      <c r="D43">
        <v>10</v>
      </c>
      <c r="E43" t="s">
        <v>3</v>
      </c>
      <c r="F43" t="str">
        <f t="shared" si="3"/>
        <v>黒</v>
      </c>
      <c r="G43" t="s">
        <v>3</v>
      </c>
      <c r="H43">
        <f t="shared" ref="H43:P48" si="5">H42+IF(H$40=$F43,1,0)</f>
        <v>-2</v>
      </c>
      <c r="I43" t="str">
        <f t="shared" si="4"/>
        <v>|</v>
      </c>
      <c r="J43">
        <f t="shared" si="5"/>
        <v>-2</v>
      </c>
      <c r="K43" t="str">
        <f t="shared" si="4"/>
        <v>|</v>
      </c>
      <c r="L43">
        <f t="shared" si="5"/>
        <v>3</v>
      </c>
      <c r="M43" t="str">
        <f t="shared" si="4"/>
        <v>|</v>
      </c>
      <c r="N43">
        <f>N42+IF(N$40=$F43,1,0)</f>
        <v>4</v>
      </c>
      <c r="O43" t="str">
        <f t="shared" si="4"/>
        <v>|</v>
      </c>
      <c r="P43">
        <f t="shared" si="5"/>
        <v>-2</v>
      </c>
      <c r="Q43" t="str">
        <f t="shared" si="4"/>
        <v>|</v>
      </c>
      <c r="S43" t="s">
        <v>14</v>
      </c>
    </row>
    <row r="44" spans="1:19" x14ac:dyDescent="0.15">
      <c r="A44" t="str">
        <f t="shared" si="2"/>
        <v>|Lv16|-2|-1|3|4|-2|</v>
      </c>
      <c r="B44" t="s">
        <v>3</v>
      </c>
      <c r="C44" t="s">
        <v>8</v>
      </c>
      <c r="D44">
        <v>16</v>
      </c>
      <c r="E44" t="s">
        <v>3</v>
      </c>
      <c r="F44" t="str">
        <f t="shared" si="3"/>
        <v>青</v>
      </c>
      <c r="G44" t="s">
        <v>3</v>
      </c>
      <c r="H44">
        <f t="shared" si="5"/>
        <v>-2</v>
      </c>
      <c r="I44" t="str">
        <f t="shared" si="4"/>
        <v>|</v>
      </c>
      <c r="J44">
        <f t="shared" si="5"/>
        <v>-1</v>
      </c>
      <c r="K44" t="str">
        <f t="shared" si="4"/>
        <v>|</v>
      </c>
      <c r="L44">
        <f t="shared" si="5"/>
        <v>3</v>
      </c>
      <c r="M44" t="str">
        <f t="shared" si="4"/>
        <v>|</v>
      </c>
      <c r="N44">
        <f t="shared" si="5"/>
        <v>4</v>
      </c>
      <c r="O44" t="str">
        <f t="shared" si="4"/>
        <v>|</v>
      </c>
      <c r="P44">
        <f t="shared" si="5"/>
        <v>-2</v>
      </c>
      <c r="Q44" t="str">
        <f t="shared" si="4"/>
        <v>|</v>
      </c>
      <c r="S44" t="s">
        <v>15</v>
      </c>
    </row>
    <row r="45" spans="1:19" x14ac:dyDescent="0.15">
      <c r="A45" t="str">
        <f t="shared" si="2"/>
        <v>|Lv22|-1|-1|3|4|-2|</v>
      </c>
      <c r="B45" t="s">
        <v>3</v>
      </c>
      <c r="C45" t="s">
        <v>8</v>
      </c>
      <c r="D45">
        <v>22</v>
      </c>
      <c r="E45" t="s">
        <v>3</v>
      </c>
      <c r="F45" t="str">
        <f t="shared" si="3"/>
        <v>白</v>
      </c>
      <c r="G45" t="s">
        <v>3</v>
      </c>
      <c r="H45">
        <f t="shared" si="5"/>
        <v>-1</v>
      </c>
      <c r="I45" t="str">
        <f t="shared" si="4"/>
        <v>|</v>
      </c>
      <c r="J45">
        <f t="shared" si="5"/>
        <v>-1</v>
      </c>
      <c r="K45" t="str">
        <f t="shared" si="4"/>
        <v>|</v>
      </c>
      <c r="L45">
        <f t="shared" si="5"/>
        <v>3</v>
      </c>
      <c r="M45" t="str">
        <f t="shared" si="4"/>
        <v>|</v>
      </c>
      <c r="N45">
        <f t="shared" si="5"/>
        <v>4</v>
      </c>
      <c r="O45" t="str">
        <f t="shared" si="4"/>
        <v>|</v>
      </c>
      <c r="P45">
        <f>P44+IF(P$40=$F45,1,0)</f>
        <v>-2</v>
      </c>
      <c r="Q45" t="str">
        <f t="shared" si="4"/>
        <v>|</v>
      </c>
    </row>
    <row r="46" spans="1:19" x14ac:dyDescent="0.15">
      <c r="A46" t="str">
        <f t="shared" si="2"/>
        <v>|Lv28|-1|-1|3|4|-1|</v>
      </c>
      <c r="B46" t="s">
        <v>3</v>
      </c>
      <c r="C46" t="s">
        <v>8</v>
      </c>
      <c r="D46">
        <v>28</v>
      </c>
      <c r="E46" t="s">
        <v>3</v>
      </c>
      <c r="F46" t="str">
        <f t="shared" si="3"/>
        <v>緑</v>
      </c>
      <c r="G46" t="s">
        <v>3</v>
      </c>
      <c r="H46">
        <f t="shared" si="5"/>
        <v>-1</v>
      </c>
      <c r="I46" t="str">
        <f t="shared" si="4"/>
        <v>|</v>
      </c>
      <c r="J46">
        <f t="shared" si="5"/>
        <v>-1</v>
      </c>
      <c r="K46" t="str">
        <f t="shared" si="4"/>
        <v>|</v>
      </c>
      <c r="L46">
        <f t="shared" si="5"/>
        <v>3</v>
      </c>
      <c r="M46" t="str">
        <f t="shared" si="4"/>
        <v>|</v>
      </c>
      <c r="N46">
        <f t="shared" si="5"/>
        <v>4</v>
      </c>
      <c r="O46" t="str">
        <f t="shared" si="4"/>
        <v>|</v>
      </c>
      <c r="P46">
        <f t="shared" si="5"/>
        <v>-1</v>
      </c>
      <c r="Q46" t="str">
        <f t="shared" si="4"/>
        <v>|</v>
      </c>
    </row>
    <row r="47" spans="1:19" x14ac:dyDescent="0.15">
      <c r="A47" t="str">
        <f t="shared" si="2"/>
        <v>|Lv34|-1|-1|3|5|-1|</v>
      </c>
      <c r="B47" t="s">
        <v>3</v>
      </c>
      <c r="C47" t="s">
        <v>8</v>
      </c>
      <c r="D47">
        <v>34</v>
      </c>
      <c r="E47" t="s">
        <v>3</v>
      </c>
      <c r="F47" t="str">
        <f t="shared" si="3"/>
        <v>赤</v>
      </c>
      <c r="G47" t="s">
        <v>3</v>
      </c>
      <c r="H47">
        <f t="shared" si="5"/>
        <v>-1</v>
      </c>
      <c r="I47" t="str">
        <f t="shared" si="4"/>
        <v>|</v>
      </c>
      <c r="J47">
        <f t="shared" si="5"/>
        <v>-1</v>
      </c>
      <c r="K47" t="str">
        <f t="shared" si="4"/>
        <v>|</v>
      </c>
      <c r="L47">
        <f t="shared" si="5"/>
        <v>3</v>
      </c>
      <c r="M47" t="str">
        <f t="shared" si="4"/>
        <v>|</v>
      </c>
      <c r="N47">
        <f t="shared" si="5"/>
        <v>5</v>
      </c>
      <c r="O47" t="str">
        <f t="shared" si="4"/>
        <v>|</v>
      </c>
      <c r="P47">
        <f t="shared" si="5"/>
        <v>-1</v>
      </c>
      <c r="Q47" t="str">
        <f t="shared" si="4"/>
        <v>|</v>
      </c>
    </row>
    <row r="48" spans="1:19" x14ac:dyDescent="0.15">
      <c r="A48" t="str">
        <f t="shared" si="2"/>
        <v>|Lv42|-1|-1|4|5|-1|</v>
      </c>
      <c r="B48" t="s">
        <v>3</v>
      </c>
      <c r="C48" t="s">
        <v>8</v>
      </c>
      <c r="D48">
        <v>42</v>
      </c>
      <c r="E48" t="s">
        <v>3</v>
      </c>
      <c r="F48" t="str">
        <f t="shared" si="3"/>
        <v>黒</v>
      </c>
      <c r="G48" t="s">
        <v>3</v>
      </c>
      <c r="H48">
        <f t="shared" si="5"/>
        <v>-1</v>
      </c>
      <c r="I48" t="str">
        <f t="shared" si="4"/>
        <v>|</v>
      </c>
      <c r="J48">
        <f t="shared" si="5"/>
        <v>-1</v>
      </c>
      <c r="K48" t="str">
        <f t="shared" si="4"/>
        <v>|</v>
      </c>
      <c r="L48">
        <f t="shared" si="5"/>
        <v>4</v>
      </c>
      <c r="M48" t="str">
        <f t="shared" si="4"/>
        <v>|</v>
      </c>
      <c r="N48">
        <f t="shared" si="5"/>
        <v>5</v>
      </c>
      <c r="O48" t="str">
        <f t="shared" si="4"/>
        <v>|</v>
      </c>
      <c r="P48">
        <f>P47+IF(P$40=$F48,1,0)</f>
        <v>-1</v>
      </c>
      <c r="Q48" t="str">
        <f t="shared" si="4"/>
        <v>|</v>
      </c>
    </row>
    <row r="49" spans="1:19" x14ac:dyDescent="0.15">
      <c r="A49" t="str">
        <f>B49&amp;C49&amp;D49&amp;G49&amp;H49&amp;I49&amp;J49&amp;K49&amp;L49&amp;M49&amp;N49&amp;O49&amp;P49&amp;Q49&amp;R49</f>
        <v>|Lv48|-1|0|4|5|-1|</v>
      </c>
      <c r="B49" t="s">
        <v>3</v>
      </c>
      <c r="C49" t="s">
        <v>8</v>
      </c>
      <c r="D49">
        <v>48</v>
      </c>
      <c r="E49" t="s">
        <v>3</v>
      </c>
      <c r="F49" t="str">
        <f t="shared" si="3"/>
        <v>青</v>
      </c>
      <c r="G49" t="s">
        <v>3</v>
      </c>
      <c r="H49">
        <f>H48+IF(H$40=$F49,1,0)</f>
        <v>-1</v>
      </c>
      <c r="I49" t="str">
        <f>I48</f>
        <v>|</v>
      </c>
      <c r="J49">
        <f>J48+IF(J$40=$F49,1,0)</f>
        <v>0</v>
      </c>
      <c r="K49" t="str">
        <f>K48</f>
        <v>|</v>
      </c>
      <c r="L49">
        <f>L48+IF(L$40=$F49,1,0)</f>
        <v>4</v>
      </c>
      <c r="M49" t="str">
        <f>M48</f>
        <v>|</v>
      </c>
      <c r="N49">
        <f>N48+IF(N$40=$F49,1,0)</f>
        <v>5</v>
      </c>
      <c r="O49" t="str">
        <f>O48</f>
        <v>|</v>
      </c>
      <c r="P49">
        <f>P48+IF(P$40=$F49,1,0)</f>
        <v>-1</v>
      </c>
      <c r="Q49" t="str">
        <f>Q48</f>
        <v>|</v>
      </c>
    </row>
    <row r="50" spans="1:19" x14ac:dyDescent="0.15">
      <c r="A50" t="str">
        <f>B50&amp;C50&amp;D50&amp;G50&amp;H50&amp;I50&amp;J50&amp;K50&amp;L50&amp;M50&amp;N50&amp;O50&amp;P50&amp;Q50&amp;R50</f>
        <v>|Lv54|0|0|4|5|-1|</v>
      </c>
      <c r="B50" t="s">
        <v>3</v>
      </c>
      <c r="C50" t="s">
        <v>8</v>
      </c>
      <c r="D50">
        <v>54</v>
      </c>
      <c r="E50" t="s">
        <v>3</v>
      </c>
      <c r="F50" t="str">
        <f t="shared" si="3"/>
        <v>白</v>
      </c>
      <c r="G50" t="s">
        <v>3</v>
      </c>
      <c r="H50">
        <f>H49+IF(H$40=$F50,1,0)</f>
        <v>0</v>
      </c>
      <c r="I50" t="str">
        <f>I49</f>
        <v>|</v>
      </c>
      <c r="J50">
        <f>J49+IF(J$40=$F50,1,0)</f>
        <v>0</v>
      </c>
      <c r="K50" t="str">
        <f>K49</f>
        <v>|</v>
      </c>
      <c r="L50">
        <f>L49+IF(L$40=$F50,1,0)</f>
        <v>4</v>
      </c>
      <c r="M50" t="str">
        <f>M49</f>
        <v>|</v>
      </c>
      <c r="N50">
        <f>N49+IF(N$40=$F50,1,0)</f>
        <v>5</v>
      </c>
      <c r="O50" t="str">
        <f>O49</f>
        <v>|</v>
      </c>
      <c r="P50">
        <f>P49+IF(P$40=$F50,1,0)</f>
        <v>-1</v>
      </c>
      <c r="Q50" t="str">
        <f>Q49</f>
        <v>|</v>
      </c>
    </row>
    <row r="51" spans="1:19" x14ac:dyDescent="0.15">
      <c r="A51" t="str">
        <f>B51&amp;C51&amp;D51&amp;G51&amp;H51&amp;I51&amp;J51&amp;K51&amp;L51&amp;M51&amp;N51&amp;O51&amp;P51&amp;Q51&amp;R51</f>
        <v>|Lv59|0|0|4|5|0|</v>
      </c>
      <c r="B51" t="s">
        <v>3</v>
      </c>
      <c r="C51" t="s">
        <v>8</v>
      </c>
      <c r="D51">
        <v>59</v>
      </c>
      <c r="E51" t="s">
        <v>3</v>
      </c>
      <c r="F51" t="str">
        <f t="shared" si="3"/>
        <v>緑</v>
      </c>
      <c r="G51" t="s">
        <v>3</v>
      </c>
      <c r="H51">
        <f>H50+IF(H$40=$F51,1,0)</f>
        <v>0</v>
      </c>
      <c r="I51" t="str">
        <f>I50</f>
        <v>|</v>
      </c>
      <c r="J51">
        <f>J50+IF(J$40=$F51,1,0)</f>
        <v>0</v>
      </c>
      <c r="K51" t="str">
        <f>K50</f>
        <v>|</v>
      </c>
      <c r="L51">
        <f>L50+IF(L$40=$F51,1,0)</f>
        <v>4</v>
      </c>
      <c r="M51" t="str">
        <f>M50</f>
        <v>|</v>
      </c>
      <c r="N51">
        <f>N50+IF(N$40=$F51,1,0)</f>
        <v>5</v>
      </c>
      <c r="O51" t="str">
        <f>O50</f>
        <v>|</v>
      </c>
      <c r="P51">
        <f>P50+IF(P$40=$F51,1,0)</f>
        <v>0</v>
      </c>
      <c r="Q51" t="str">
        <f>Q50</f>
        <v>|</v>
      </c>
    </row>
    <row r="52" spans="1:19" x14ac:dyDescent="0.15">
      <c r="A52" t="str">
        <f>B52&amp;C52&amp;D52&amp;E52&amp;F52&amp;G52&amp;H52&amp;I52&amp;J52&amp;K52&amp;L52&amp;M52&amp;N52&amp;O52&amp;P52</f>
        <v>&amp;br;</v>
      </c>
      <c r="B52" t="s">
        <v>0</v>
      </c>
    </row>
    <row r="53" spans="1:19" x14ac:dyDescent="0.15">
      <c r="A53" t="str">
        <f>B53&amp;C53&amp;D53&amp;E53&amp;F53&amp;G53&amp;H53&amp;I53&amp;J53&amp;K53&amp;L53&amp;M53&amp;N53&amp;O53&amp;P53</f>
        <v>&amp;br;</v>
      </c>
      <c r="B53" t="s">
        <v>0</v>
      </c>
    </row>
    <row r="54" spans="1:19" x14ac:dyDescent="0.15">
      <c r="A54" t="str">
        <f>B54&amp;C54&amp;D54&amp;E54&amp;F54&amp;G54&amp;H54&amp;I54&amp;J54&amp;K54&amp;L54&amp;M54&amp;N54&amp;O54&amp;P54</f>
        <v>*デッキ構築枚数上限 [#e6f382eb]</v>
      </c>
      <c r="B54" t="s">
        <v>16</v>
      </c>
    </row>
    <row r="55" spans="1:19" x14ac:dyDescent="0.15">
      <c r="A55" t="str">
        <f>B55&amp;C55&amp;D55&amp;E55&amp;F55&amp;G55&amp;H55&amp;I55&amp;J55&amp;K55&amp;L55&amp;M55&amp;N55&amp;O55&amp;P55</f>
        <v>構築枚数上限を越える枚数はデッキに入れられない。</v>
      </c>
      <c r="B55" t="s">
        <v>17</v>
      </c>
    </row>
    <row r="56" spans="1:19" x14ac:dyDescent="0.15">
      <c r="A56" t="str">
        <f t="shared" ref="A56:A64" si="6">B56&amp;C56&amp;D56&amp;G56&amp;H56&amp;I56&amp;J56&amp;K56&amp;L56&amp;M56&amp;N56&amp;O56&amp;P56&amp;Q56&amp;R56</f>
        <v>|LEFT:50|LEFT:80|LEFT:80|LEFT:80|c</v>
      </c>
      <c r="B56" t="s">
        <v>3</v>
      </c>
      <c r="C56" t="s">
        <v>4</v>
      </c>
      <c r="E56" t="s">
        <v>3</v>
      </c>
      <c r="G56" t="s">
        <v>3</v>
      </c>
      <c r="H56" t="s">
        <v>18</v>
      </c>
      <c r="I56" t="s">
        <v>3</v>
      </c>
      <c r="J56" t="s">
        <v>18</v>
      </c>
      <c r="K56" t="s">
        <v>3</v>
      </c>
      <c r="L56" t="s">
        <v>18</v>
      </c>
      <c r="M56" t="s">
        <v>3</v>
      </c>
      <c r="N56" t="s">
        <v>5</v>
      </c>
    </row>
    <row r="57" spans="1:19" x14ac:dyDescent="0.15">
      <c r="A57" t="str">
        <f t="shared" si="6"/>
        <v>|レベル|クリーチャー|呪文|サポート|</v>
      </c>
      <c r="B57" t="s">
        <v>3</v>
      </c>
      <c r="C57" t="s">
        <v>6</v>
      </c>
      <c r="E57" t="s">
        <v>3</v>
      </c>
      <c r="F57" t="s">
        <v>19</v>
      </c>
      <c r="G57" t="s">
        <v>3</v>
      </c>
      <c r="H57" t="s">
        <v>20</v>
      </c>
      <c r="I57" t="s">
        <v>3</v>
      </c>
      <c r="J57" t="s">
        <v>21</v>
      </c>
      <c r="K57" t="s">
        <v>3</v>
      </c>
      <c r="L57" t="s">
        <v>22</v>
      </c>
      <c r="M57" t="s">
        <v>3</v>
      </c>
      <c r="S57" t="s">
        <v>20</v>
      </c>
    </row>
    <row r="58" spans="1:19" x14ac:dyDescent="0.15">
      <c r="A58" t="str">
        <f t="shared" si="6"/>
        <v>|Lv1|3|4|3|</v>
      </c>
      <c r="B58" t="s">
        <v>3</v>
      </c>
      <c r="C58" t="s">
        <v>8</v>
      </c>
      <c r="D58">
        <v>1</v>
      </c>
      <c r="E58" t="s">
        <v>3</v>
      </c>
      <c r="G58" t="s">
        <v>3</v>
      </c>
      <c r="H58">
        <v>3</v>
      </c>
      <c r="I58" t="s">
        <v>3</v>
      </c>
      <c r="J58">
        <v>4</v>
      </c>
      <c r="K58" t="s">
        <v>3</v>
      </c>
      <c r="L58">
        <v>3</v>
      </c>
      <c r="M58" t="s">
        <v>3</v>
      </c>
      <c r="S58" t="s">
        <v>21</v>
      </c>
    </row>
    <row r="59" spans="1:19" x14ac:dyDescent="0.15">
      <c r="A59" t="str">
        <f t="shared" si="6"/>
        <v>|Lv2|4|4|3|</v>
      </c>
      <c r="B59" t="s">
        <v>3</v>
      </c>
      <c r="C59" t="s">
        <v>8</v>
      </c>
      <c r="D59">
        <v>2</v>
      </c>
      <c r="E59" t="s">
        <v>3</v>
      </c>
      <c r="F59" t="str">
        <f t="shared" ref="F59:F64" si="7">IF(ISBLANK(D59),"",INDEX($F$97:$F$156,D59))</f>
        <v>クリーチャー</v>
      </c>
      <c r="G59" t="s">
        <v>3</v>
      </c>
      <c r="H59">
        <f t="shared" ref="H59:H64" si="8">H58+IF(H$57=$F59,INDEX($H$97:$H$156,D59),0)</f>
        <v>4</v>
      </c>
      <c r="I59" t="s">
        <v>3</v>
      </c>
      <c r="J59">
        <f t="shared" ref="J59:J64" si="9">J58+IF(J$57=$F59,INDEX($H$97:$H$156,D59),0)</f>
        <v>4</v>
      </c>
      <c r="K59" t="s">
        <v>3</v>
      </c>
      <c r="L59">
        <f t="shared" ref="L59:L64" si="10">L58+IF(L$57=$F59,INDEX($H$97:$H$156,D59),0)</f>
        <v>3</v>
      </c>
      <c r="M59" t="s">
        <v>3</v>
      </c>
      <c r="S59" t="s">
        <v>22</v>
      </c>
    </row>
    <row r="60" spans="1:19" x14ac:dyDescent="0.15">
      <c r="A60" t="str">
        <f t="shared" si="6"/>
        <v>|Lv8|4|4|4|</v>
      </c>
      <c r="B60" t="s">
        <v>3</v>
      </c>
      <c r="C60" t="s">
        <v>8</v>
      </c>
      <c r="D60">
        <v>8</v>
      </c>
      <c r="E60" t="s">
        <v>3</v>
      </c>
      <c r="F60" t="str">
        <f t="shared" si="7"/>
        <v>サポート</v>
      </c>
      <c r="G60" t="s">
        <v>3</v>
      </c>
      <c r="H60">
        <f t="shared" si="8"/>
        <v>4</v>
      </c>
      <c r="I60" t="s">
        <v>3</v>
      </c>
      <c r="J60">
        <f t="shared" si="9"/>
        <v>4</v>
      </c>
      <c r="K60" t="s">
        <v>3</v>
      </c>
      <c r="L60">
        <f t="shared" si="10"/>
        <v>4</v>
      </c>
      <c r="M60" t="s">
        <v>3</v>
      </c>
    </row>
    <row r="61" spans="1:19" x14ac:dyDescent="0.15">
      <c r="A61" t="str">
        <f t="shared" si="6"/>
        <v>|Lv14|4|5|4|</v>
      </c>
      <c r="B61" t="s">
        <v>3</v>
      </c>
      <c r="C61" t="s">
        <v>8</v>
      </c>
      <c r="D61">
        <v>14</v>
      </c>
      <c r="E61" t="s">
        <v>3</v>
      </c>
      <c r="F61" t="str">
        <f t="shared" si="7"/>
        <v>呪文</v>
      </c>
      <c r="G61" t="s">
        <v>3</v>
      </c>
      <c r="H61">
        <f t="shared" si="8"/>
        <v>4</v>
      </c>
      <c r="I61" t="s">
        <v>3</v>
      </c>
      <c r="J61">
        <f t="shared" si="9"/>
        <v>5</v>
      </c>
      <c r="K61" t="s">
        <v>3</v>
      </c>
      <c r="L61">
        <f t="shared" si="10"/>
        <v>4</v>
      </c>
      <c r="M61" t="s">
        <v>3</v>
      </c>
    </row>
    <row r="62" spans="1:19" x14ac:dyDescent="0.15">
      <c r="A62" t="str">
        <f t="shared" si="6"/>
        <v>|Lv32|5|5|4|</v>
      </c>
      <c r="B62" t="s">
        <v>3</v>
      </c>
      <c r="C62" t="s">
        <v>8</v>
      </c>
      <c r="D62">
        <v>32</v>
      </c>
      <c r="E62" t="s">
        <v>3</v>
      </c>
      <c r="F62" t="str">
        <f t="shared" si="7"/>
        <v>クリーチャー</v>
      </c>
      <c r="G62" t="s">
        <v>3</v>
      </c>
      <c r="H62">
        <f t="shared" si="8"/>
        <v>5</v>
      </c>
      <c r="I62" t="s">
        <v>3</v>
      </c>
      <c r="J62">
        <f t="shared" si="9"/>
        <v>5</v>
      </c>
      <c r="K62" t="s">
        <v>3</v>
      </c>
      <c r="L62">
        <f t="shared" si="10"/>
        <v>4</v>
      </c>
      <c r="M62" t="s">
        <v>3</v>
      </c>
    </row>
    <row r="63" spans="1:19" x14ac:dyDescent="0.15">
      <c r="A63" t="str">
        <f t="shared" si="6"/>
        <v>|Lv38|5|5|5|</v>
      </c>
      <c r="B63" t="s">
        <v>3</v>
      </c>
      <c r="C63" t="s">
        <v>8</v>
      </c>
      <c r="D63">
        <v>38</v>
      </c>
      <c r="E63" t="s">
        <v>3</v>
      </c>
      <c r="F63" t="str">
        <f t="shared" si="7"/>
        <v>サポート</v>
      </c>
      <c r="G63" t="s">
        <v>3</v>
      </c>
      <c r="H63">
        <f t="shared" si="8"/>
        <v>5</v>
      </c>
      <c r="I63" t="s">
        <v>3</v>
      </c>
      <c r="J63">
        <f t="shared" si="9"/>
        <v>5</v>
      </c>
      <c r="K63" t="s">
        <v>3</v>
      </c>
      <c r="L63">
        <f t="shared" si="10"/>
        <v>5</v>
      </c>
      <c r="M63" t="s">
        <v>3</v>
      </c>
    </row>
    <row r="64" spans="1:19" x14ac:dyDescent="0.15">
      <c r="A64" t="str">
        <f t="shared" si="6"/>
        <v>|Lv50|5|6|5|</v>
      </c>
      <c r="B64" t="s">
        <v>3</v>
      </c>
      <c r="C64" t="s">
        <v>8</v>
      </c>
      <c r="D64">
        <v>50</v>
      </c>
      <c r="E64" t="s">
        <v>3</v>
      </c>
      <c r="F64" t="str">
        <f t="shared" si="7"/>
        <v>呪文</v>
      </c>
      <c r="G64" t="s">
        <v>3</v>
      </c>
      <c r="H64">
        <f t="shared" si="8"/>
        <v>5</v>
      </c>
      <c r="I64" t="s">
        <v>3</v>
      </c>
      <c r="J64">
        <f t="shared" si="9"/>
        <v>6</v>
      </c>
      <c r="K64" t="s">
        <v>3</v>
      </c>
      <c r="L64">
        <f t="shared" si="10"/>
        <v>5</v>
      </c>
      <c r="M64" t="s">
        <v>3</v>
      </c>
    </row>
    <row r="65" spans="1:20" x14ac:dyDescent="0.15">
      <c r="A65" t="str">
        <f t="shared" ref="A65:A86" si="11">B65&amp;C65&amp;D65&amp;E65&amp;F65&amp;G65&amp;H65&amp;I65&amp;J65&amp;K65&amp;L65&amp;M65&amp;N65&amp;O65&amp;P65</f>
        <v>&amp;br;</v>
      </c>
      <c r="B65" t="s">
        <v>0</v>
      </c>
    </row>
    <row r="66" spans="1:20" x14ac:dyDescent="0.15">
      <c r="A66" t="str">
        <f t="shared" si="11"/>
        <v>&amp;br;</v>
      </c>
      <c r="B66" t="s">
        <v>0</v>
      </c>
    </row>
    <row r="67" spans="1:20" x14ac:dyDescent="0.15">
      <c r="A67" t="str">
        <f t="shared" si="11"/>
        <v>*PW能力一覧 [#a469e89f]</v>
      </c>
      <c r="B67" t="s">
        <v>23</v>
      </c>
    </row>
    <row r="68" spans="1:20" x14ac:dyDescent="0.15">
      <c r="A68" t="str">
        <f t="shared" si="11"/>
        <v>**第1能力：霊気建造/Build Aether</v>
      </c>
      <c r="B68" t="s">
        <v>24</v>
      </c>
      <c r="D68" t="s">
        <v>302</v>
      </c>
      <c r="E68" t="s">
        <v>25</v>
      </c>
      <c r="F68" t="s">
        <v>303</v>
      </c>
      <c r="R68" t="str">
        <f>D68&amp;E68&amp;F68</f>
        <v>霊気建造/Build Aether</v>
      </c>
      <c r="S68" t="s">
        <v>3</v>
      </c>
      <c r="T68">
        <f>H74</f>
        <v>9</v>
      </c>
    </row>
    <row r="69" spans="1:20" x14ac:dyDescent="0.15">
      <c r="A69" t="str">
        <f t="shared" si="11"/>
        <v>|LEFT:50|LEFT:50|LEFT:50|LEFT:300|c</v>
      </c>
      <c r="B69" t="s">
        <v>3</v>
      </c>
      <c r="C69" t="s">
        <v>4</v>
      </c>
      <c r="E69" t="s">
        <v>3</v>
      </c>
      <c r="F69" t="s">
        <v>4</v>
      </c>
      <c r="G69" t="s">
        <v>3</v>
      </c>
      <c r="H69" t="s">
        <v>4</v>
      </c>
      <c r="I69" t="s">
        <v>3</v>
      </c>
      <c r="J69" t="s">
        <v>26</v>
      </c>
      <c r="K69" t="s">
        <v>3</v>
      </c>
      <c r="L69" t="s">
        <v>5</v>
      </c>
      <c r="R69" t="s">
        <v>209</v>
      </c>
      <c r="S69" t="s">
        <v>3</v>
      </c>
      <c r="T69" t="str">
        <f>J74</f>
        <v>ジェムを4個破壊し、エネルギー化4を行う。</v>
      </c>
    </row>
    <row r="70" spans="1:20" x14ac:dyDescent="0.15">
      <c r="A70" t="str">
        <f t="shared" si="11"/>
        <v>|解放Lv|レベル|コスト|効果|</v>
      </c>
      <c r="B70" t="s">
        <v>3</v>
      </c>
      <c r="C70" t="s">
        <v>27</v>
      </c>
      <c r="E70" t="s">
        <v>3</v>
      </c>
      <c r="F70" t="s">
        <v>6</v>
      </c>
      <c r="G70" t="s">
        <v>3</v>
      </c>
      <c r="H70" t="s">
        <v>28</v>
      </c>
      <c r="I70" t="s">
        <v>3</v>
      </c>
      <c r="J70" t="s">
        <v>29</v>
      </c>
      <c r="K70" t="s">
        <v>3</v>
      </c>
      <c r="R70" t="str">
        <f>D77&amp;E77&amp;F77</f>
        <v>霊気解放/Liberate Aether</v>
      </c>
      <c r="S70" t="s">
        <v>3</v>
      </c>
      <c r="T70">
        <f>H83</f>
        <v>15</v>
      </c>
    </row>
    <row r="71" spans="1:20" x14ac:dyDescent="0.15">
      <c r="A71" t="str">
        <f t="shared" si="11"/>
        <v>|Lv|Lv1|9|ジェムを1個破壊し、エネルギー化1を行う。|</v>
      </c>
      <c r="B71" t="s">
        <v>3</v>
      </c>
      <c r="C71" t="s">
        <v>8</v>
      </c>
      <c r="E71" t="s">
        <v>3</v>
      </c>
      <c r="F71" t="s">
        <v>30</v>
      </c>
      <c r="G71" t="s">
        <v>3</v>
      </c>
      <c r="H71">
        <v>9</v>
      </c>
      <c r="I71" t="s">
        <v>3</v>
      </c>
      <c r="J71" t="s">
        <v>304</v>
      </c>
      <c r="K71" t="s">
        <v>3</v>
      </c>
      <c r="R71" t="s">
        <v>209</v>
      </c>
      <c r="S71" t="s">
        <v>3</v>
      </c>
      <c r="T71" t="str">
        <f>J83</f>
        <v>ボードからエネルギー化ジェムを2つ取り除く。クリーチャー1体を対象とし、それに15点のダメージを与える。</v>
      </c>
    </row>
    <row r="72" spans="1:20" x14ac:dyDescent="0.15">
      <c r="A72" t="str">
        <f t="shared" si="11"/>
        <v>|Lv|Lv2|9|ジェムを2個破壊し、エネルギー化2を行う。|</v>
      </c>
      <c r="B72" t="s">
        <v>3</v>
      </c>
      <c r="C72" t="s">
        <v>8</v>
      </c>
      <c r="E72" t="s">
        <v>3</v>
      </c>
      <c r="F72" t="s">
        <v>31</v>
      </c>
      <c r="G72" t="s">
        <v>3</v>
      </c>
      <c r="H72">
        <v>9</v>
      </c>
      <c r="I72" t="s">
        <v>3</v>
      </c>
      <c r="J72" t="s">
        <v>305</v>
      </c>
      <c r="K72" t="s">
        <v>3</v>
      </c>
      <c r="R72" t="str">
        <f>D86&amp;E86&amp;F86</f>
        <v>霊気回収/Reclaim Aether</v>
      </c>
      <c r="S72" t="s">
        <v>3</v>
      </c>
      <c r="T72">
        <f>H92</f>
        <v>24</v>
      </c>
    </row>
    <row r="73" spans="1:20" x14ac:dyDescent="0.15">
      <c r="A73" t="str">
        <f t="shared" si="11"/>
        <v>|Lv|Lv3|9|ジェムを3個破壊し、エネルギー化3を行う。|</v>
      </c>
      <c r="B73" t="s">
        <v>3</v>
      </c>
      <c r="C73" t="s">
        <v>8</v>
      </c>
      <c r="E73" t="s">
        <v>3</v>
      </c>
      <c r="F73" t="s">
        <v>32</v>
      </c>
      <c r="G73" t="s">
        <v>3</v>
      </c>
      <c r="H73">
        <v>9</v>
      </c>
      <c r="I73" t="s">
        <v>3</v>
      </c>
      <c r="J73" t="s">
        <v>306</v>
      </c>
      <c r="K73" t="s">
        <v>3</v>
      </c>
      <c r="R73" t="s">
        <v>209</v>
      </c>
      <c r="S73" t="s">
        <v>3</v>
      </c>
      <c r="T73" t="str">
        <f>J92</f>
        <v>「あなたがカードを唱えたとき、ボードからエネルギー化ジェムを1個取り除き、対戦相手に8点のダメージを与える。」を持つサポート(シールド数3)を生成する。</v>
      </c>
    </row>
    <row r="74" spans="1:20" x14ac:dyDescent="0.15">
      <c r="A74" t="str">
        <f t="shared" si="11"/>
        <v>|Lv|Lv4|9|ジェムを4個破壊し、エネルギー化4を行う。|</v>
      </c>
      <c r="B74" t="s">
        <v>3</v>
      </c>
      <c r="C74" t="s">
        <v>8</v>
      </c>
      <c r="E74" t="s">
        <v>3</v>
      </c>
      <c r="F74" t="s">
        <v>33</v>
      </c>
      <c r="G74" t="s">
        <v>3</v>
      </c>
      <c r="H74">
        <v>9</v>
      </c>
      <c r="I74" t="s">
        <v>3</v>
      </c>
      <c r="J74" t="s">
        <v>307</v>
      </c>
      <c r="K74" t="s">
        <v>3</v>
      </c>
    </row>
    <row r="75" spans="1:20" x14ac:dyDescent="0.15">
      <c r="A75" t="str">
        <f t="shared" si="11"/>
        <v>&amp;br;</v>
      </c>
      <c r="B75" t="s">
        <v>0</v>
      </c>
    </row>
    <row r="76" spans="1:20" x14ac:dyDescent="0.15">
      <c r="A76" t="str">
        <f t="shared" si="11"/>
        <v>&amp;br;</v>
      </c>
      <c r="B76" t="s">
        <v>0</v>
      </c>
    </row>
    <row r="77" spans="1:20" x14ac:dyDescent="0.15">
      <c r="A77" t="str">
        <f t="shared" si="11"/>
        <v>**第2能力：霊気解放/Liberate Aether</v>
      </c>
      <c r="B77" t="s">
        <v>34</v>
      </c>
      <c r="D77" t="s">
        <v>308</v>
      </c>
      <c r="E77" t="s">
        <v>25</v>
      </c>
      <c r="F77" t="s">
        <v>309</v>
      </c>
    </row>
    <row r="78" spans="1:20" x14ac:dyDescent="0.15">
      <c r="A78" t="str">
        <f t="shared" si="11"/>
        <v>|LEFT:50|LEFT:50|LEFT:50|LEFT:300|c</v>
      </c>
      <c r="B78" t="s">
        <v>3</v>
      </c>
      <c r="C78" t="s">
        <v>4</v>
      </c>
      <c r="E78" t="s">
        <v>3</v>
      </c>
      <c r="F78" t="s">
        <v>4</v>
      </c>
      <c r="G78" t="s">
        <v>3</v>
      </c>
      <c r="H78" t="s">
        <v>4</v>
      </c>
      <c r="I78" t="s">
        <v>3</v>
      </c>
      <c r="J78" t="s">
        <v>26</v>
      </c>
      <c r="K78" t="s">
        <v>3</v>
      </c>
      <c r="L78" t="s">
        <v>5</v>
      </c>
    </row>
    <row r="79" spans="1:20" x14ac:dyDescent="0.15">
      <c r="A79" t="str">
        <f t="shared" si="11"/>
        <v>|解放Lv|レベル|コスト|効果|</v>
      </c>
      <c r="B79" t="s">
        <v>3</v>
      </c>
      <c r="C79" t="s">
        <v>27</v>
      </c>
      <c r="E79" t="s">
        <v>3</v>
      </c>
      <c r="F79" t="s">
        <v>6</v>
      </c>
      <c r="G79" t="s">
        <v>3</v>
      </c>
      <c r="H79" t="s">
        <v>28</v>
      </c>
      <c r="I79" t="s">
        <v>3</v>
      </c>
      <c r="J79" t="s">
        <v>29</v>
      </c>
      <c r="K79" t="s">
        <v>3</v>
      </c>
    </row>
    <row r="80" spans="1:20" x14ac:dyDescent="0.15">
      <c r="A80" t="str">
        <f t="shared" si="11"/>
        <v>|Lv|Lv1|15|ボードからエネルギー化ジェムを2つ取り除く。クリーチャー1体を対象とし、それに6点のダメージを与える。|</v>
      </c>
      <c r="B80" t="s">
        <v>3</v>
      </c>
      <c r="C80" t="s">
        <v>8</v>
      </c>
      <c r="E80" t="s">
        <v>3</v>
      </c>
      <c r="F80" t="s">
        <v>30</v>
      </c>
      <c r="G80" t="s">
        <v>3</v>
      </c>
      <c r="H80">
        <v>15</v>
      </c>
      <c r="I80" t="s">
        <v>3</v>
      </c>
      <c r="J80" t="s">
        <v>310</v>
      </c>
      <c r="K80" t="s">
        <v>3</v>
      </c>
    </row>
    <row r="81" spans="1:12" x14ac:dyDescent="0.15">
      <c r="A81" t="str">
        <f t="shared" si="11"/>
        <v>|Lv|Lv2|15|ボードからエネルギー化ジェムを2つ取り除く。クリーチャー1体を対象とし、それに9点のダメージを与える。|</v>
      </c>
      <c r="B81" t="s">
        <v>3</v>
      </c>
      <c r="C81" t="s">
        <v>8</v>
      </c>
      <c r="E81" t="s">
        <v>3</v>
      </c>
      <c r="F81" t="s">
        <v>31</v>
      </c>
      <c r="G81" t="s">
        <v>3</v>
      </c>
      <c r="H81">
        <v>15</v>
      </c>
      <c r="I81" t="s">
        <v>3</v>
      </c>
      <c r="J81" t="s">
        <v>311</v>
      </c>
      <c r="K81" t="s">
        <v>3</v>
      </c>
    </row>
    <row r="82" spans="1:12" x14ac:dyDescent="0.15">
      <c r="A82" t="str">
        <f t="shared" si="11"/>
        <v>|Lv|Lv3|15|ボードからエネルギー化ジェムを2つ取り除く。クリーチャー1体を対象とし、それに12点のダメージを与える。|</v>
      </c>
      <c r="B82" t="s">
        <v>3</v>
      </c>
      <c r="C82" t="s">
        <v>8</v>
      </c>
      <c r="E82" t="s">
        <v>3</v>
      </c>
      <c r="F82" t="s">
        <v>32</v>
      </c>
      <c r="G82" t="s">
        <v>3</v>
      </c>
      <c r="H82">
        <v>15</v>
      </c>
      <c r="I82" t="s">
        <v>3</v>
      </c>
      <c r="J82" t="s">
        <v>312</v>
      </c>
      <c r="K82" t="s">
        <v>3</v>
      </c>
    </row>
    <row r="83" spans="1:12" x14ac:dyDescent="0.15">
      <c r="A83" t="str">
        <f t="shared" si="11"/>
        <v>|Lv|Lv4|15|ボードからエネルギー化ジェムを2つ取り除く。クリーチャー1体を対象とし、それに15点のダメージを与える。|</v>
      </c>
      <c r="B83" t="s">
        <v>3</v>
      </c>
      <c r="C83" t="s">
        <v>8</v>
      </c>
      <c r="E83" t="s">
        <v>3</v>
      </c>
      <c r="F83" t="s">
        <v>33</v>
      </c>
      <c r="G83" t="s">
        <v>3</v>
      </c>
      <c r="H83">
        <v>15</v>
      </c>
      <c r="I83" t="s">
        <v>3</v>
      </c>
      <c r="J83" t="s">
        <v>313</v>
      </c>
      <c r="K83" t="s">
        <v>3</v>
      </c>
    </row>
    <row r="84" spans="1:12" x14ac:dyDescent="0.15">
      <c r="A84" t="str">
        <f t="shared" si="11"/>
        <v>&amp;br;</v>
      </c>
      <c r="B84" t="s">
        <v>0</v>
      </c>
    </row>
    <row r="85" spans="1:12" x14ac:dyDescent="0.15">
      <c r="A85" t="str">
        <f t="shared" si="11"/>
        <v>&amp;br;</v>
      </c>
      <c r="B85" t="s">
        <v>0</v>
      </c>
    </row>
    <row r="86" spans="1:12" x14ac:dyDescent="0.15">
      <c r="A86" t="str">
        <f t="shared" si="11"/>
        <v>**第3能力：霊気回収/Reclaim Aether</v>
      </c>
      <c r="B86" t="s">
        <v>35</v>
      </c>
      <c r="D86" t="s">
        <v>314</v>
      </c>
      <c r="E86" t="s">
        <v>25</v>
      </c>
      <c r="F86" t="s">
        <v>315</v>
      </c>
    </row>
    <row r="87" spans="1:12" x14ac:dyDescent="0.15">
      <c r="A87" t="str">
        <f t="shared" ref="A87:A150" si="12">B87&amp;C87&amp;D87&amp;E87&amp;F87&amp;G87&amp;H87&amp;I87&amp;J87&amp;K87&amp;L87&amp;M87&amp;N87&amp;O87&amp;P87</f>
        <v>|LEFT:50|LEFT:50|LEFT:50|LEFT:300|c</v>
      </c>
      <c r="B87" t="s">
        <v>3</v>
      </c>
      <c r="C87" t="s">
        <v>4</v>
      </c>
      <c r="E87" t="s">
        <v>3</v>
      </c>
      <c r="F87" t="s">
        <v>4</v>
      </c>
      <c r="G87" t="s">
        <v>3</v>
      </c>
      <c r="H87" t="s">
        <v>4</v>
      </c>
      <c r="I87" t="s">
        <v>3</v>
      </c>
      <c r="J87" t="s">
        <v>26</v>
      </c>
      <c r="K87" t="s">
        <v>3</v>
      </c>
      <c r="L87" t="s">
        <v>5</v>
      </c>
    </row>
    <row r="88" spans="1:12" x14ac:dyDescent="0.15">
      <c r="A88" t="str">
        <f t="shared" si="12"/>
        <v>|解放Lv|レベル|コスト|効果|</v>
      </c>
      <c r="B88" t="s">
        <v>3</v>
      </c>
      <c r="C88" t="s">
        <v>27</v>
      </c>
      <c r="E88" t="s">
        <v>3</v>
      </c>
      <c r="F88" t="s">
        <v>6</v>
      </c>
      <c r="G88" t="s">
        <v>3</v>
      </c>
      <c r="H88" t="s">
        <v>28</v>
      </c>
      <c r="I88" t="s">
        <v>3</v>
      </c>
      <c r="J88" t="s">
        <v>29</v>
      </c>
      <c r="K88" t="s">
        <v>3</v>
      </c>
    </row>
    <row r="89" spans="1:12" x14ac:dyDescent="0.15">
      <c r="A89" t="str">
        <f t="shared" si="12"/>
        <v>|Lv|Lv1|24|「あなたがカードを唱えたとき、ボードからエネルギー化ジェムを1個取り除き、対戦相手に2点のダメージを与える。」を持つサポート(シールド数3)を生成する。|</v>
      </c>
      <c r="B89" t="s">
        <v>3</v>
      </c>
      <c r="C89" t="s">
        <v>8</v>
      </c>
      <c r="E89" t="s">
        <v>3</v>
      </c>
      <c r="F89" t="s">
        <v>30</v>
      </c>
      <c r="G89" t="s">
        <v>3</v>
      </c>
      <c r="H89">
        <v>24</v>
      </c>
      <c r="I89" t="s">
        <v>3</v>
      </c>
      <c r="J89" t="s">
        <v>316</v>
      </c>
      <c r="K89" t="s">
        <v>3</v>
      </c>
    </row>
    <row r="90" spans="1:12" x14ac:dyDescent="0.15">
      <c r="A90" t="str">
        <f t="shared" si="12"/>
        <v>|Lv|Lv2|24|「あなたがカードを唱えたとき、ボードからエネルギー化ジェムを1個取り除き、対戦相手に4点のダメージを与える。」を持つサポート(シールド数3)を生成する。|</v>
      </c>
      <c r="B90" t="s">
        <v>3</v>
      </c>
      <c r="C90" t="s">
        <v>8</v>
      </c>
      <c r="E90" t="s">
        <v>3</v>
      </c>
      <c r="F90" t="s">
        <v>31</v>
      </c>
      <c r="G90" t="s">
        <v>3</v>
      </c>
      <c r="H90">
        <v>24</v>
      </c>
      <c r="I90" t="s">
        <v>3</v>
      </c>
      <c r="J90" t="s">
        <v>317</v>
      </c>
      <c r="K90" t="s">
        <v>3</v>
      </c>
    </row>
    <row r="91" spans="1:12" x14ac:dyDescent="0.15">
      <c r="A91" t="str">
        <f t="shared" si="12"/>
        <v>|Lv|Lv3|24|「あなたがカードを唱えたとき、ボードからエネルギー化ジェムを1個取り除き、対戦相手に6点のダメージを与える。」を持つサポート(シールド数3)を生成する。|</v>
      </c>
      <c r="B91" t="s">
        <v>3</v>
      </c>
      <c r="C91" t="s">
        <v>8</v>
      </c>
      <c r="E91" t="s">
        <v>3</v>
      </c>
      <c r="F91" t="s">
        <v>32</v>
      </c>
      <c r="G91" t="s">
        <v>3</v>
      </c>
      <c r="H91">
        <v>24</v>
      </c>
      <c r="I91" t="s">
        <v>3</v>
      </c>
      <c r="J91" t="s">
        <v>318</v>
      </c>
      <c r="K91" t="s">
        <v>3</v>
      </c>
    </row>
    <row r="92" spans="1:12" x14ac:dyDescent="0.15">
      <c r="A92" t="str">
        <f t="shared" si="12"/>
        <v>|Lv60|Lv4|24|「あなたがカードを唱えたとき、ボードからエネルギー化ジェムを1個取り除き、対戦相手に8点のダメージを与える。」を持つサポート(シールド数3)を生成する。|</v>
      </c>
      <c r="B92" t="s">
        <v>3</v>
      </c>
      <c r="C92" t="s">
        <v>8</v>
      </c>
      <c r="D92">
        <v>60</v>
      </c>
      <c r="E92" t="s">
        <v>3</v>
      </c>
      <c r="F92" t="s">
        <v>33</v>
      </c>
      <c r="G92" t="s">
        <v>3</v>
      </c>
      <c r="H92">
        <v>24</v>
      </c>
      <c r="I92" t="s">
        <v>3</v>
      </c>
      <c r="J92" t="s">
        <v>319</v>
      </c>
      <c r="K92" t="s">
        <v>3</v>
      </c>
    </row>
    <row r="93" spans="1:12" x14ac:dyDescent="0.15">
      <c r="A93" t="str">
        <f t="shared" si="12"/>
        <v>&amp;br;</v>
      </c>
      <c r="B93" t="s">
        <v>0</v>
      </c>
    </row>
    <row r="94" spans="1:12" x14ac:dyDescent="0.15">
      <c r="A94" t="str">
        <f t="shared" si="12"/>
        <v>&amp;br;</v>
      </c>
      <c r="B94" t="s">
        <v>0</v>
      </c>
    </row>
    <row r="95" spans="1:12" x14ac:dyDescent="0.15">
      <c r="A95" t="str">
        <f t="shared" si="12"/>
        <v>*レベルアップ報酬一覧 [#k0cef29c]</v>
      </c>
      <c r="B95" t="s">
        <v>36</v>
      </c>
    </row>
    <row r="96" spans="1:12" x14ac:dyDescent="0.15">
      <c r="A96" t="str">
        <f t="shared" si="12"/>
        <v>|LEFT:50|LEFT:100|c</v>
      </c>
      <c r="B96" t="s">
        <v>3</v>
      </c>
      <c r="C96" t="s">
        <v>4</v>
      </c>
      <c r="E96" t="s">
        <v>3</v>
      </c>
      <c r="F96" t="s">
        <v>37</v>
      </c>
      <c r="I96" t="s">
        <v>3</v>
      </c>
      <c r="J96" t="s">
        <v>5</v>
      </c>
    </row>
    <row r="97" spans="1:17" x14ac:dyDescent="0.15">
      <c r="A97" t="str">
        <f t="shared" si="12"/>
        <v>|レベル|報酬|</v>
      </c>
      <c r="B97" t="s">
        <v>3</v>
      </c>
      <c r="C97" t="s">
        <v>6</v>
      </c>
      <c r="E97" t="s">
        <v>3</v>
      </c>
      <c r="F97" t="s">
        <v>38</v>
      </c>
      <c r="I97" t="s">
        <v>3</v>
      </c>
      <c r="Q97" t="s">
        <v>7</v>
      </c>
    </row>
    <row r="98" spans="1:17" x14ac:dyDescent="0.15">
      <c r="A98" t="str">
        <f t="shared" si="12"/>
        <v>|Lｖ2|クリーチャー+1|</v>
      </c>
      <c r="B98" t="s">
        <v>3</v>
      </c>
      <c r="C98" t="s">
        <v>39</v>
      </c>
      <c r="D98">
        <v>2</v>
      </c>
      <c r="E98" t="s">
        <v>3</v>
      </c>
      <c r="F98" t="s">
        <v>20</v>
      </c>
      <c r="G98" t="str">
        <f t="shared" ref="G98:G124" si="13">IF(OR(F98=$Q$106,F98=$Q$107,F98=$Q$108,F98=$Q$109,ISBLANK(F98)),"","+")</f>
        <v>+</v>
      </c>
      <c r="H98">
        <v>1</v>
      </c>
      <c r="I98" t="s">
        <v>3</v>
      </c>
      <c r="Q98" t="s">
        <v>20</v>
      </c>
    </row>
    <row r="99" spans="1:17" x14ac:dyDescent="0.15">
      <c r="A99" t="str">
        <f t="shared" si="12"/>
        <v>|Lｖ3|HP+3|</v>
      </c>
      <c r="B99" t="s">
        <v>3</v>
      </c>
      <c r="C99" t="s">
        <v>39</v>
      </c>
      <c r="D99">
        <v>3</v>
      </c>
      <c r="E99" t="s">
        <v>3</v>
      </c>
      <c r="F99" t="s">
        <v>7</v>
      </c>
      <c r="G99" t="str">
        <f t="shared" si="13"/>
        <v>+</v>
      </c>
      <c r="H99">
        <v>3</v>
      </c>
      <c r="I99" t="s">
        <v>3</v>
      </c>
      <c r="Q99" t="s">
        <v>21</v>
      </c>
    </row>
    <row r="100" spans="1:17" x14ac:dyDescent="0.15">
      <c r="A100" t="str">
        <f t="shared" si="12"/>
        <v>|Lｖ4|赤+1|</v>
      </c>
      <c r="B100" t="s">
        <v>3</v>
      </c>
      <c r="C100" t="s">
        <v>39</v>
      </c>
      <c r="D100">
        <v>4</v>
      </c>
      <c r="E100" t="s">
        <v>3</v>
      </c>
      <c r="F100" t="s">
        <v>14</v>
      </c>
      <c r="G100" t="str">
        <f t="shared" si="13"/>
        <v>+</v>
      </c>
      <c r="H100">
        <v>1</v>
      </c>
      <c r="I100" t="s">
        <v>3</v>
      </c>
      <c r="Q100" t="s">
        <v>22</v>
      </c>
    </row>
    <row r="101" spans="1:17" x14ac:dyDescent="0.15">
      <c r="A101" t="str">
        <f t="shared" si="12"/>
        <v>|Lｖ5|HP+3|</v>
      </c>
      <c r="B101" t="s">
        <v>3</v>
      </c>
      <c r="C101" t="s">
        <v>39</v>
      </c>
      <c r="D101">
        <v>5</v>
      </c>
      <c r="E101" t="s">
        <v>3</v>
      </c>
      <c r="F101" t="s">
        <v>7</v>
      </c>
      <c r="G101" t="str">
        <f t="shared" si="13"/>
        <v>+</v>
      </c>
      <c r="H101">
        <v>3</v>
      </c>
      <c r="I101" t="s">
        <v>3</v>
      </c>
      <c r="Q101" t="s">
        <v>11</v>
      </c>
    </row>
    <row r="102" spans="1:17" x14ac:dyDescent="0.15">
      <c r="A102" t="str">
        <f t="shared" si="12"/>
        <v>|Lｖ6|第1能力Lv1|</v>
      </c>
      <c r="B102" t="s">
        <v>3</v>
      </c>
      <c r="C102" t="s">
        <v>39</v>
      </c>
      <c r="D102">
        <v>6</v>
      </c>
      <c r="E102" t="s">
        <v>3</v>
      </c>
      <c r="F102" t="s">
        <v>40</v>
      </c>
      <c r="G102" t="str">
        <f t="shared" si="13"/>
        <v/>
      </c>
      <c r="H102">
        <v>1</v>
      </c>
      <c r="I102" t="s">
        <v>3</v>
      </c>
      <c r="Q102" t="s">
        <v>12</v>
      </c>
    </row>
    <row r="103" spans="1:17" x14ac:dyDescent="0.15">
      <c r="A103" t="str">
        <f t="shared" si="12"/>
        <v>|Lｖ7|HP+3|</v>
      </c>
      <c r="B103" t="s">
        <v>3</v>
      </c>
      <c r="C103" t="s">
        <v>39</v>
      </c>
      <c r="D103">
        <v>7</v>
      </c>
      <c r="E103" t="s">
        <v>3</v>
      </c>
      <c r="F103" t="s">
        <v>7</v>
      </c>
      <c r="G103" t="str">
        <f t="shared" si="13"/>
        <v>+</v>
      </c>
      <c r="H103">
        <v>3</v>
      </c>
      <c r="I103" t="s">
        <v>3</v>
      </c>
      <c r="Q103" t="s">
        <v>13</v>
      </c>
    </row>
    <row r="104" spans="1:17" x14ac:dyDescent="0.15">
      <c r="A104" t="str">
        <f t="shared" si="12"/>
        <v>|Lｖ8|サポート+1|</v>
      </c>
      <c r="B104" t="s">
        <v>3</v>
      </c>
      <c r="C104" t="s">
        <v>39</v>
      </c>
      <c r="D104">
        <v>8</v>
      </c>
      <c r="E104" t="s">
        <v>3</v>
      </c>
      <c r="F104" t="s">
        <v>22</v>
      </c>
      <c r="G104" t="str">
        <f t="shared" si="13"/>
        <v>+</v>
      </c>
      <c r="H104">
        <v>1</v>
      </c>
      <c r="I104" t="s">
        <v>3</v>
      </c>
      <c r="Q104" t="s">
        <v>14</v>
      </c>
    </row>
    <row r="105" spans="1:17" x14ac:dyDescent="0.15">
      <c r="A105" t="str">
        <f t="shared" si="12"/>
        <v>|Lｖ9|HP+3|</v>
      </c>
      <c r="B105" t="s">
        <v>3</v>
      </c>
      <c r="C105" t="s">
        <v>39</v>
      </c>
      <c r="D105">
        <v>9</v>
      </c>
      <c r="E105" t="s">
        <v>3</v>
      </c>
      <c r="F105" t="s">
        <v>7</v>
      </c>
      <c r="G105" t="str">
        <f t="shared" si="13"/>
        <v>+</v>
      </c>
      <c r="H105">
        <v>3</v>
      </c>
      <c r="I105" t="s">
        <v>3</v>
      </c>
      <c r="Q105" t="s">
        <v>15</v>
      </c>
    </row>
    <row r="106" spans="1:17" x14ac:dyDescent="0.15">
      <c r="A106" t="str">
        <f t="shared" si="12"/>
        <v>|Lｖ10|黒+1|</v>
      </c>
      <c r="B106" t="s">
        <v>3</v>
      </c>
      <c r="C106" t="s">
        <v>39</v>
      </c>
      <c r="D106">
        <v>10</v>
      </c>
      <c r="E106" t="s">
        <v>3</v>
      </c>
      <c r="F106" t="s">
        <v>13</v>
      </c>
      <c r="G106" t="str">
        <f t="shared" si="13"/>
        <v>+</v>
      </c>
      <c r="H106">
        <v>1</v>
      </c>
      <c r="I106" t="s">
        <v>3</v>
      </c>
      <c r="Q106" t="s">
        <v>40</v>
      </c>
    </row>
    <row r="107" spans="1:17" x14ac:dyDescent="0.15">
      <c r="A107" t="str">
        <f t="shared" si="12"/>
        <v>|Lｖ11|HP+3|</v>
      </c>
      <c r="B107" t="s">
        <v>3</v>
      </c>
      <c r="C107" t="s">
        <v>39</v>
      </c>
      <c r="D107">
        <v>11</v>
      </c>
      <c r="E107" t="s">
        <v>3</v>
      </c>
      <c r="F107" t="s">
        <v>7</v>
      </c>
      <c r="G107" t="str">
        <f t="shared" si="13"/>
        <v>+</v>
      </c>
      <c r="H107">
        <v>3</v>
      </c>
      <c r="I107" t="s">
        <v>3</v>
      </c>
      <c r="Q107" t="s">
        <v>41</v>
      </c>
    </row>
    <row r="108" spans="1:17" x14ac:dyDescent="0.15">
      <c r="A108" t="str">
        <f t="shared" si="12"/>
        <v>|Lｖ12|第2能力Lv1|</v>
      </c>
      <c r="B108" t="s">
        <v>3</v>
      </c>
      <c r="C108" t="s">
        <v>39</v>
      </c>
      <c r="D108">
        <v>12</v>
      </c>
      <c r="E108" t="s">
        <v>3</v>
      </c>
      <c r="F108" t="s">
        <v>41</v>
      </c>
      <c r="G108" t="str">
        <f t="shared" si="13"/>
        <v/>
      </c>
      <c r="H108">
        <v>1</v>
      </c>
      <c r="I108" t="s">
        <v>3</v>
      </c>
      <c r="Q108" t="s">
        <v>42</v>
      </c>
    </row>
    <row r="109" spans="1:17" x14ac:dyDescent="0.15">
      <c r="A109" t="str">
        <f t="shared" si="12"/>
        <v>|Lｖ13|HP+3|</v>
      </c>
      <c r="B109" t="s">
        <v>3</v>
      </c>
      <c r="C109" t="s">
        <v>39</v>
      </c>
      <c r="D109">
        <v>13</v>
      </c>
      <c r="E109" t="s">
        <v>3</v>
      </c>
      <c r="F109" t="s">
        <v>7</v>
      </c>
      <c r="G109" t="str">
        <f t="shared" si="13"/>
        <v>+</v>
      </c>
      <c r="H109">
        <v>3</v>
      </c>
      <c r="I109" t="s">
        <v>3</v>
      </c>
      <c r="Q109" t="s">
        <v>43</v>
      </c>
    </row>
    <row r="110" spans="1:17" x14ac:dyDescent="0.15">
      <c r="A110" t="str">
        <f t="shared" si="12"/>
        <v>|Lｖ14|呪文+1|</v>
      </c>
      <c r="B110" t="s">
        <v>3</v>
      </c>
      <c r="C110" t="s">
        <v>39</v>
      </c>
      <c r="D110">
        <v>14</v>
      </c>
      <c r="E110" t="s">
        <v>3</v>
      </c>
      <c r="F110" t="s">
        <v>21</v>
      </c>
      <c r="G110" t="str">
        <f t="shared" si="13"/>
        <v>+</v>
      </c>
      <c r="H110">
        <v>1</v>
      </c>
      <c r="I110" t="s">
        <v>3</v>
      </c>
    </row>
    <row r="111" spans="1:17" x14ac:dyDescent="0.15">
      <c r="A111" t="str">
        <f t="shared" si="12"/>
        <v>|Lｖ15|HP+3|</v>
      </c>
      <c r="B111" t="s">
        <v>3</v>
      </c>
      <c r="C111" t="s">
        <v>39</v>
      </c>
      <c r="D111">
        <v>15</v>
      </c>
      <c r="E111" t="s">
        <v>3</v>
      </c>
      <c r="F111" t="s">
        <v>7</v>
      </c>
      <c r="G111" t="str">
        <f t="shared" si="13"/>
        <v>+</v>
      </c>
      <c r="H111">
        <v>3</v>
      </c>
      <c r="I111" t="s">
        <v>3</v>
      </c>
    </row>
    <row r="112" spans="1:17" x14ac:dyDescent="0.15">
      <c r="A112" t="str">
        <f t="shared" si="12"/>
        <v>|Lｖ16|青+1|</v>
      </c>
      <c r="B112" t="s">
        <v>3</v>
      </c>
      <c r="C112" t="s">
        <v>39</v>
      </c>
      <c r="D112">
        <v>16</v>
      </c>
      <c r="E112" t="s">
        <v>3</v>
      </c>
      <c r="F112" t="s">
        <v>12</v>
      </c>
      <c r="G112" t="str">
        <f t="shared" si="13"/>
        <v>+</v>
      </c>
      <c r="H112">
        <v>1</v>
      </c>
      <c r="I112" t="s">
        <v>3</v>
      </c>
    </row>
    <row r="113" spans="1:9" x14ac:dyDescent="0.15">
      <c r="A113" t="str">
        <f t="shared" si="12"/>
        <v>|Lｖ17|HP+3|</v>
      </c>
      <c r="B113" t="s">
        <v>3</v>
      </c>
      <c r="C113" t="s">
        <v>39</v>
      </c>
      <c r="D113">
        <v>17</v>
      </c>
      <c r="E113" t="s">
        <v>3</v>
      </c>
      <c r="F113" t="s">
        <v>7</v>
      </c>
      <c r="G113" t="str">
        <f t="shared" si="13"/>
        <v>+</v>
      </c>
      <c r="H113">
        <v>3</v>
      </c>
      <c r="I113" t="s">
        <v>3</v>
      </c>
    </row>
    <row r="114" spans="1:9" x14ac:dyDescent="0.15">
      <c r="A114" t="str">
        <f t="shared" si="12"/>
        <v>|Lｖ18|第3能力Lv1|</v>
      </c>
      <c r="B114" t="s">
        <v>3</v>
      </c>
      <c r="C114" t="s">
        <v>39</v>
      </c>
      <c r="D114">
        <v>18</v>
      </c>
      <c r="E114" t="s">
        <v>3</v>
      </c>
      <c r="F114" t="s">
        <v>42</v>
      </c>
      <c r="G114" t="str">
        <f t="shared" si="13"/>
        <v/>
      </c>
      <c r="H114">
        <v>1</v>
      </c>
      <c r="I114" t="s">
        <v>3</v>
      </c>
    </row>
    <row r="115" spans="1:9" x14ac:dyDescent="0.15">
      <c r="A115" t="str">
        <f t="shared" si="12"/>
        <v>|Lｖ19|HP+3|</v>
      </c>
      <c r="B115" t="s">
        <v>3</v>
      </c>
      <c r="C115" t="s">
        <v>39</v>
      </c>
      <c r="D115">
        <v>19</v>
      </c>
      <c r="E115" t="s">
        <v>3</v>
      </c>
      <c r="F115" t="s">
        <v>7</v>
      </c>
      <c r="G115" t="str">
        <f t="shared" si="13"/>
        <v>+</v>
      </c>
      <c r="H115">
        <v>3</v>
      </c>
      <c r="I115" t="s">
        <v>3</v>
      </c>
    </row>
    <row r="116" spans="1:9" x14ac:dyDescent="0.15">
      <c r="A116" t="str">
        <f t="shared" si="12"/>
        <v>|Lｖ20|回復速度上昇|</v>
      </c>
      <c r="B116" t="s">
        <v>3</v>
      </c>
      <c r="C116" t="s">
        <v>39</v>
      </c>
      <c r="D116">
        <v>20</v>
      </c>
      <c r="E116" t="s">
        <v>3</v>
      </c>
      <c r="F116" t="s">
        <v>43</v>
      </c>
      <c r="G116" t="str">
        <f t="shared" si="13"/>
        <v/>
      </c>
      <c r="I116" t="s">
        <v>3</v>
      </c>
    </row>
    <row r="117" spans="1:9" x14ac:dyDescent="0.15">
      <c r="A117" t="str">
        <f t="shared" si="12"/>
        <v>|Lｖ21|HP+3|</v>
      </c>
      <c r="B117" t="s">
        <v>3</v>
      </c>
      <c r="C117" t="s">
        <v>39</v>
      </c>
      <c r="D117">
        <v>21</v>
      </c>
      <c r="E117" t="s">
        <v>3</v>
      </c>
      <c r="F117" t="s">
        <v>7</v>
      </c>
      <c r="G117" t="str">
        <f t="shared" si="13"/>
        <v>+</v>
      </c>
      <c r="H117">
        <v>3</v>
      </c>
      <c r="I117" t="s">
        <v>3</v>
      </c>
    </row>
    <row r="118" spans="1:9" x14ac:dyDescent="0.15">
      <c r="A118" t="str">
        <f t="shared" si="12"/>
        <v>|Lｖ22|白+1|</v>
      </c>
      <c r="B118" t="s">
        <v>3</v>
      </c>
      <c r="C118" t="s">
        <v>39</v>
      </c>
      <c r="D118">
        <v>22</v>
      </c>
      <c r="E118" t="s">
        <v>3</v>
      </c>
      <c r="F118" t="s">
        <v>11</v>
      </c>
      <c r="G118" t="str">
        <f t="shared" si="13"/>
        <v>+</v>
      </c>
      <c r="H118">
        <v>1</v>
      </c>
      <c r="I118" t="s">
        <v>3</v>
      </c>
    </row>
    <row r="119" spans="1:9" x14ac:dyDescent="0.15">
      <c r="A119" t="str">
        <f t="shared" si="12"/>
        <v>|Lｖ23|HP+3|</v>
      </c>
      <c r="B119" t="s">
        <v>3</v>
      </c>
      <c r="C119" t="s">
        <v>39</v>
      </c>
      <c r="D119">
        <v>23</v>
      </c>
      <c r="E119" t="s">
        <v>3</v>
      </c>
      <c r="F119" t="s">
        <v>7</v>
      </c>
      <c r="G119" t="str">
        <f t="shared" si="13"/>
        <v>+</v>
      </c>
      <c r="H119">
        <v>3</v>
      </c>
      <c r="I119" t="s">
        <v>3</v>
      </c>
    </row>
    <row r="120" spans="1:9" x14ac:dyDescent="0.15">
      <c r="A120" t="str">
        <f t="shared" si="12"/>
        <v>|Lｖ24|第1能力Lv2|</v>
      </c>
      <c r="B120" t="s">
        <v>3</v>
      </c>
      <c r="C120" t="s">
        <v>39</v>
      </c>
      <c r="D120">
        <v>24</v>
      </c>
      <c r="E120" t="s">
        <v>3</v>
      </c>
      <c r="F120" t="s">
        <v>40</v>
      </c>
      <c r="G120" t="str">
        <f t="shared" si="13"/>
        <v/>
      </c>
      <c r="H120">
        <v>2</v>
      </c>
      <c r="I120" t="s">
        <v>3</v>
      </c>
    </row>
    <row r="121" spans="1:9" x14ac:dyDescent="0.15">
      <c r="A121" t="str">
        <f t="shared" si="12"/>
        <v>|Lｖ25|HP+3|</v>
      </c>
      <c r="B121" t="s">
        <v>3</v>
      </c>
      <c r="C121" t="s">
        <v>39</v>
      </c>
      <c r="D121">
        <v>25</v>
      </c>
      <c r="E121" t="s">
        <v>3</v>
      </c>
      <c r="F121" t="s">
        <v>7</v>
      </c>
      <c r="G121" t="str">
        <f t="shared" si="13"/>
        <v>+</v>
      </c>
      <c r="H121">
        <v>3</v>
      </c>
      <c r="I121" t="s">
        <v>3</v>
      </c>
    </row>
    <row r="122" spans="1:9" x14ac:dyDescent="0.15">
      <c r="A122" t="str">
        <f t="shared" si="12"/>
        <v>|Lｖ26|回復速度上昇|</v>
      </c>
      <c r="B122" t="s">
        <v>3</v>
      </c>
      <c r="C122" t="s">
        <v>39</v>
      </c>
      <c r="D122">
        <v>26</v>
      </c>
      <c r="E122" t="s">
        <v>3</v>
      </c>
      <c r="F122" t="s">
        <v>43</v>
      </c>
      <c r="G122" t="str">
        <f t="shared" si="13"/>
        <v/>
      </c>
      <c r="I122" t="s">
        <v>3</v>
      </c>
    </row>
    <row r="123" spans="1:9" x14ac:dyDescent="0.15">
      <c r="A123" t="str">
        <f t="shared" si="12"/>
        <v>|Lｖ27|HP+3|</v>
      </c>
      <c r="B123" t="s">
        <v>3</v>
      </c>
      <c r="C123" t="s">
        <v>39</v>
      </c>
      <c r="D123">
        <v>27</v>
      </c>
      <c r="E123" t="s">
        <v>3</v>
      </c>
      <c r="F123" t="s">
        <v>7</v>
      </c>
      <c r="G123" t="str">
        <f t="shared" si="13"/>
        <v>+</v>
      </c>
      <c r="H123">
        <v>3</v>
      </c>
      <c r="I123" t="s">
        <v>3</v>
      </c>
    </row>
    <row r="124" spans="1:9" x14ac:dyDescent="0.15">
      <c r="A124" t="str">
        <f t="shared" si="12"/>
        <v>|Lｖ28|緑+1|</v>
      </c>
      <c r="B124" t="s">
        <v>3</v>
      </c>
      <c r="C124" t="s">
        <v>39</v>
      </c>
      <c r="D124">
        <v>28</v>
      </c>
      <c r="E124" t="s">
        <v>3</v>
      </c>
      <c r="F124" t="s">
        <v>15</v>
      </c>
      <c r="G124" t="str">
        <f t="shared" si="13"/>
        <v>+</v>
      </c>
      <c r="H124">
        <v>1</v>
      </c>
      <c r="I124" t="s">
        <v>3</v>
      </c>
    </row>
    <row r="125" spans="1:9" x14ac:dyDescent="0.15">
      <c r="A125" t="str">
        <f t="shared" si="12"/>
        <v>|Lｖ29|HP+3|</v>
      </c>
      <c r="B125" t="s">
        <v>3</v>
      </c>
      <c r="C125" t="s">
        <v>39</v>
      </c>
      <c r="D125">
        <v>29</v>
      </c>
      <c r="E125" t="s">
        <v>3</v>
      </c>
      <c r="F125" t="s">
        <v>7</v>
      </c>
      <c r="G125" t="str">
        <f>IF(OR(F125=$Q$106,F125=$Q$107,F125=$Q$108,F125=$Q$109,ISBLANK(F125)),"","+")</f>
        <v>+</v>
      </c>
      <c r="H125">
        <v>3</v>
      </c>
      <c r="I125" t="s">
        <v>3</v>
      </c>
    </row>
    <row r="126" spans="1:9" x14ac:dyDescent="0.15">
      <c r="A126" t="str">
        <f t="shared" si="12"/>
        <v>|Lｖ30|第2能力Lv2|</v>
      </c>
      <c r="B126" t="s">
        <v>3</v>
      </c>
      <c r="C126" t="s">
        <v>39</v>
      </c>
      <c r="D126">
        <v>30</v>
      </c>
      <c r="E126" t="s">
        <v>3</v>
      </c>
      <c r="F126" t="s">
        <v>41</v>
      </c>
      <c r="G126" t="str">
        <f t="shared" ref="G126:G155" si="14">IF(OR(F126=$Q$106,F126=$Q$107,F126=$Q$108,F126=$Q$109,ISBLANK(F126)),"","+")</f>
        <v/>
      </c>
      <c r="H126">
        <v>2</v>
      </c>
      <c r="I126" t="s">
        <v>3</v>
      </c>
    </row>
    <row r="127" spans="1:9" x14ac:dyDescent="0.15">
      <c r="A127" t="str">
        <f t="shared" si="12"/>
        <v>|Lｖ31|HP+3|</v>
      </c>
      <c r="B127" t="s">
        <v>3</v>
      </c>
      <c r="C127" t="s">
        <v>39</v>
      </c>
      <c r="D127">
        <v>31</v>
      </c>
      <c r="E127" t="s">
        <v>3</v>
      </c>
      <c r="F127" t="s">
        <v>7</v>
      </c>
      <c r="G127" t="str">
        <f t="shared" si="14"/>
        <v>+</v>
      </c>
      <c r="H127">
        <v>3</v>
      </c>
      <c r="I127" t="s">
        <v>3</v>
      </c>
    </row>
    <row r="128" spans="1:9" x14ac:dyDescent="0.15">
      <c r="A128" t="str">
        <f t="shared" si="12"/>
        <v>|Lｖ32|クリーチャー+1|</v>
      </c>
      <c r="B128" t="s">
        <v>3</v>
      </c>
      <c r="C128" t="s">
        <v>39</v>
      </c>
      <c r="D128">
        <v>32</v>
      </c>
      <c r="E128" t="s">
        <v>3</v>
      </c>
      <c r="F128" t="s">
        <v>20</v>
      </c>
      <c r="G128" t="str">
        <f t="shared" si="14"/>
        <v>+</v>
      </c>
      <c r="H128">
        <v>1</v>
      </c>
      <c r="I128" t="s">
        <v>3</v>
      </c>
    </row>
    <row r="129" spans="1:9" x14ac:dyDescent="0.15">
      <c r="A129" t="str">
        <f t="shared" si="12"/>
        <v>|Lｖ33|HP+3|</v>
      </c>
      <c r="B129" t="s">
        <v>3</v>
      </c>
      <c r="C129" t="s">
        <v>39</v>
      </c>
      <c r="D129">
        <v>33</v>
      </c>
      <c r="E129" t="s">
        <v>3</v>
      </c>
      <c r="F129" t="s">
        <v>7</v>
      </c>
      <c r="G129" t="str">
        <f t="shared" si="14"/>
        <v>+</v>
      </c>
      <c r="H129">
        <v>3</v>
      </c>
      <c r="I129" t="s">
        <v>3</v>
      </c>
    </row>
    <row r="130" spans="1:9" x14ac:dyDescent="0.15">
      <c r="A130" t="str">
        <f t="shared" si="12"/>
        <v>|Lｖ34|赤+1|</v>
      </c>
      <c r="B130" t="s">
        <v>3</v>
      </c>
      <c r="C130" t="s">
        <v>39</v>
      </c>
      <c r="D130">
        <v>34</v>
      </c>
      <c r="E130" t="s">
        <v>3</v>
      </c>
      <c r="F130" t="s">
        <v>14</v>
      </c>
      <c r="G130" t="str">
        <f t="shared" si="14"/>
        <v>+</v>
      </c>
      <c r="H130">
        <v>1</v>
      </c>
      <c r="I130" t="s">
        <v>3</v>
      </c>
    </row>
    <row r="131" spans="1:9" x14ac:dyDescent="0.15">
      <c r="A131" t="str">
        <f t="shared" si="12"/>
        <v>|Lｖ35|HP+3|</v>
      </c>
      <c r="B131" t="s">
        <v>3</v>
      </c>
      <c r="C131" t="s">
        <v>39</v>
      </c>
      <c r="D131">
        <v>35</v>
      </c>
      <c r="E131" t="s">
        <v>3</v>
      </c>
      <c r="F131" t="s">
        <v>7</v>
      </c>
      <c r="G131" t="str">
        <f t="shared" si="14"/>
        <v>+</v>
      </c>
      <c r="H131">
        <v>3</v>
      </c>
      <c r="I131" t="s">
        <v>3</v>
      </c>
    </row>
    <row r="132" spans="1:9" x14ac:dyDescent="0.15">
      <c r="A132" t="str">
        <f t="shared" si="12"/>
        <v>|Lｖ36|第3能力Lv2|</v>
      </c>
      <c r="B132" t="s">
        <v>3</v>
      </c>
      <c r="C132" t="s">
        <v>39</v>
      </c>
      <c r="D132">
        <v>36</v>
      </c>
      <c r="E132" t="s">
        <v>3</v>
      </c>
      <c r="F132" t="s">
        <v>42</v>
      </c>
      <c r="G132" t="str">
        <f t="shared" si="14"/>
        <v/>
      </c>
      <c r="H132">
        <v>2</v>
      </c>
      <c r="I132" t="s">
        <v>3</v>
      </c>
    </row>
    <row r="133" spans="1:9" x14ac:dyDescent="0.15">
      <c r="A133" t="str">
        <f t="shared" si="12"/>
        <v>|Lｖ37|HP+3|</v>
      </c>
      <c r="B133" t="s">
        <v>3</v>
      </c>
      <c r="C133" t="s">
        <v>39</v>
      </c>
      <c r="D133">
        <v>37</v>
      </c>
      <c r="E133" t="s">
        <v>3</v>
      </c>
      <c r="F133" t="s">
        <v>7</v>
      </c>
      <c r="G133" t="str">
        <f t="shared" si="14"/>
        <v>+</v>
      </c>
      <c r="H133">
        <v>3</v>
      </c>
      <c r="I133" t="s">
        <v>3</v>
      </c>
    </row>
    <row r="134" spans="1:9" x14ac:dyDescent="0.15">
      <c r="A134" t="str">
        <f t="shared" si="12"/>
        <v>|Lｖ38|サポート+1|</v>
      </c>
      <c r="B134" t="s">
        <v>3</v>
      </c>
      <c r="C134" t="s">
        <v>39</v>
      </c>
      <c r="D134">
        <v>38</v>
      </c>
      <c r="E134" t="s">
        <v>3</v>
      </c>
      <c r="F134" t="s">
        <v>22</v>
      </c>
      <c r="G134" t="str">
        <f t="shared" si="14"/>
        <v>+</v>
      </c>
      <c r="H134">
        <v>1</v>
      </c>
      <c r="I134" t="s">
        <v>3</v>
      </c>
    </row>
    <row r="135" spans="1:9" x14ac:dyDescent="0.15">
      <c r="A135" t="str">
        <f t="shared" si="12"/>
        <v>|Lｖ39|HP+3|</v>
      </c>
      <c r="B135" t="s">
        <v>3</v>
      </c>
      <c r="C135" t="s">
        <v>39</v>
      </c>
      <c r="D135">
        <v>39</v>
      </c>
      <c r="E135" t="s">
        <v>3</v>
      </c>
      <c r="F135" t="s">
        <v>7</v>
      </c>
      <c r="G135" t="str">
        <f t="shared" si="14"/>
        <v>+</v>
      </c>
      <c r="H135">
        <v>3</v>
      </c>
      <c r="I135" t="s">
        <v>3</v>
      </c>
    </row>
    <row r="136" spans="1:9" x14ac:dyDescent="0.15">
      <c r="A136" t="str">
        <f t="shared" si="12"/>
        <v>|Lｖ40|第1能力Lv3|</v>
      </c>
      <c r="B136" t="s">
        <v>3</v>
      </c>
      <c r="C136" t="s">
        <v>39</v>
      </c>
      <c r="D136">
        <v>40</v>
      </c>
      <c r="E136" t="s">
        <v>3</v>
      </c>
      <c r="F136" t="s">
        <v>40</v>
      </c>
      <c r="G136" t="str">
        <f t="shared" si="14"/>
        <v/>
      </c>
      <c r="H136">
        <v>3</v>
      </c>
      <c r="I136" t="s">
        <v>3</v>
      </c>
    </row>
    <row r="137" spans="1:9" x14ac:dyDescent="0.15">
      <c r="A137" t="str">
        <f t="shared" si="12"/>
        <v>|Lｖ41|HP+3|</v>
      </c>
      <c r="B137" t="s">
        <v>3</v>
      </c>
      <c r="C137" t="s">
        <v>39</v>
      </c>
      <c r="D137">
        <v>41</v>
      </c>
      <c r="E137" t="s">
        <v>3</v>
      </c>
      <c r="F137" t="s">
        <v>7</v>
      </c>
      <c r="G137" t="str">
        <f t="shared" si="14"/>
        <v>+</v>
      </c>
      <c r="H137">
        <v>3</v>
      </c>
      <c r="I137" t="s">
        <v>3</v>
      </c>
    </row>
    <row r="138" spans="1:9" x14ac:dyDescent="0.15">
      <c r="A138" t="str">
        <f t="shared" si="12"/>
        <v>|Lｖ42|黒+1|</v>
      </c>
      <c r="B138" t="s">
        <v>3</v>
      </c>
      <c r="C138" t="s">
        <v>39</v>
      </c>
      <c r="D138">
        <v>42</v>
      </c>
      <c r="E138" t="s">
        <v>3</v>
      </c>
      <c r="F138" t="s">
        <v>13</v>
      </c>
      <c r="G138" t="str">
        <f t="shared" si="14"/>
        <v>+</v>
      </c>
      <c r="H138">
        <v>1</v>
      </c>
      <c r="I138" t="s">
        <v>3</v>
      </c>
    </row>
    <row r="139" spans="1:9" x14ac:dyDescent="0.15">
      <c r="A139" t="str">
        <f t="shared" si="12"/>
        <v>|Lｖ43|HP+3|</v>
      </c>
      <c r="B139" t="s">
        <v>3</v>
      </c>
      <c r="C139" t="s">
        <v>39</v>
      </c>
      <c r="D139">
        <v>43</v>
      </c>
      <c r="E139" t="s">
        <v>3</v>
      </c>
      <c r="F139" t="s">
        <v>7</v>
      </c>
      <c r="G139" t="str">
        <f t="shared" si="14"/>
        <v>+</v>
      </c>
      <c r="H139">
        <v>3</v>
      </c>
      <c r="I139" t="s">
        <v>3</v>
      </c>
    </row>
    <row r="140" spans="1:9" x14ac:dyDescent="0.15">
      <c r="A140" t="str">
        <f t="shared" si="12"/>
        <v>|Lｖ44|回復速度上昇|</v>
      </c>
      <c r="B140" t="s">
        <v>3</v>
      </c>
      <c r="C140" t="s">
        <v>39</v>
      </c>
      <c r="D140">
        <v>44</v>
      </c>
      <c r="E140" t="s">
        <v>3</v>
      </c>
      <c r="F140" t="s">
        <v>43</v>
      </c>
      <c r="G140" t="str">
        <f t="shared" si="14"/>
        <v/>
      </c>
      <c r="I140" t="s">
        <v>3</v>
      </c>
    </row>
    <row r="141" spans="1:9" x14ac:dyDescent="0.15">
      <c r="A141" t="str">
        <f t="shared" si="12"/>
        <v>|Lｖ45|HP+3|</v>
      </c>
      <c r="B141" t="s">
        <v>3</v>
      </c>
      <c r="C141" t="s">
        <v>39</v>
      </c>
      <c r="D141">
        <v>45</v>
      </c>
      <c r="E141" t="s">
        <v>3</v>
      </c>
      <c r="F141" t="s">
        <v>7</v>
      </c>
      <c r="G141" t="str">
        <f t="shared" si="14"/>
        <v>+</v>
      </c>
      <c r="H141">
        <v>3</v>
      </c>
      <c r="I141" t="s">
        <v>3</v>
      </c>
    </row>
    <row r="142" spans="1:9" x14ac:dyDescent="0.15">
      <c r="A142" t="str">
        <f t="shared" si="12"/>
        <v>|Lｖ46|第2能力Lv3|</v>
      </c>
      <c r="B142" t="s">
        <v>3</v>
      </c>
      <c r="C142" t="s">
        <v>39</v>
      </c>
      <c r="D142">
        <v>46</v>
      </c>
      <c r="E142" t="s">
        <v>3</v>
      </c>
      <c r="F142" t="s">
        <v>41</v>
      </c>
      <c r="G142" t="str">
        <f t="shared" si="14"/>
        <v/>
      </c>
      <c r="H142">
        <v>3</v>
      </c>
      <c r="I142" t="s">
        <v>3</v>
      </c>
    </row>
    <row r="143" spans="1:9" x14ac:dyDescent="0.15">
      <c r="A143" t="str">
        <f t="shared" si="12"/>
        <v>|Lｖ47|HP+3|</v>
      </c>
      <c r="B143" t="s">
        <v>3</v>
      </c>
      <c r="C143" t="s">
        <v>39</v>
      </c>
      <c r="D143">
        <v>47</v>
      </c>
      <c r="E143" t="s">
        <v>3</v>
      </c>
      <c r="F143" t="s">
        <v>7</v>
      </c>
      <c r="G143" t="str">
        <f t="shared" si="14"/>
        <v>+</v>
      </c>
      <c r="H143">
        <v>3</v>
      </c>
      <c r="I143" t="s">
        <v>3</v>
      </c>
    </row>
    <row r="144" spans="1:9" x14ac:dyDescent="0.15">
      <c r="A144" t="str">
        <f t="shared" si="12"/>
        <v>|Lｖ48|青+1|</v>
      </c>
      <c r="B144" t="s">
        <v>3</v>
      </c>
      <c r="C144" t="s">
        <v>39</v>
      </c>
      <c r="D144">
        <v>48</v>
      </c>
      <c r="E144" t="s">
        <v>3</v>
      </c>
      <c r="F144" t="s">
        <v>12</v>
      </c>
      <c r="G144" t="str">
        <f t="shared" si="14"/>
        <v>+</v>
      </c>
      <c r="H144">
        <v>1</v>
      </c>
      <c r="I144" t="s">
        <v>3</v>
      </c>
    </row>
    <row r="145" spans="1:9" x14ac:dyDescent="0.15">
      <c r="A145" t="str">
        <f t="shared" si="12"/>
        <v>|Lｖ49|HP+3|</v>
      </c>
      <c r="B145" t="s">
        <v>3</v>
      </c>
      <c r="C145" t="s">
        <v>39</v>
      </c>
      <c r="D145">
        <v>49</v>
      </c>
      <c r="E145" t="s">
        <v>3</v>
      </c>
      <c r="F145" t="s">
        <v>7</v>
      </c>
      <c r="G145" t="str">
        <f t="shared" si="14"/>
        <v>+</v>
      </c>
      <c r="H145">
        <v>3</v>
      </c>
      <c r="I145" t="s">
        <v>3</v>
      </c>
    </row>
    <row r="146" spans="1:9" x14ac:dyDescent="0.15">
      <c r="A146" t="str">
        <f t="shared" si="12"/>
        <v>|Lｖ50|呪文+1|</v>
      </c>
      <c r="B146" t="s">
        <v>3</v>
      </c>
      <c r="C146" t="s">
        <v>39</v>
      </c>
      <c r="D146">
        <v>50</v>
      </c>
      <c r="E146" t="s">
        <v>3</v>
      </c>
      <c r="F146" t="s">
        <v>21</v>
      </c>
      <c r="G146" t="str">
        <f t="shared" si="14"/>
        <v>+</v>
      </c>
      <c r="H146">
        <v>1</v>
      </c>
      <c r="I146" t="s">
        <v>3</v>
      </c>
    </row>
    <row r="147" spans="1:9" x14ac:dyDescent="0.15">
      <c r="A147" t="str">
        <f t="shared" si="12"/>
        <v>|Lｖ51|HP+3|</v>
      </c>
      <c r="B147" t="s">
        <v>3</v>
      </c>
      <c r="C147" t="s">
        <v>39</v>
      </c>
      <c r="D147">
        <v>51</v>
      </c>
      <c r="E147" t="s">
        <v>3</v>
      </c>
      <c r="F147" t="s">
        <v>7</v>
      </c>
      <c r="G147" t="str">
        <f t="shared" si="14"/>
        <v>+</v>
      </c>
      <c r="H147">
        <v>3</v>
      </c>
      <c r="I147" t="s">
        <v>3</v>
      </c>
    </row>
    <row r="148" spans="1:9" x14ac:dyDescent="0.15">
      <c r="A148" t="str">
        <f t="shared" si="12"/>
        <v>|Lｖ52|第3能力Lv3|</v>
      </c>
      <c r="B148" t="s">
        <v>3</v>
      </c>
      <c r="C148" t="s">
        <v>39</v>
      </c>
      <c r="D148">
        <v>52</v>
      </c>
      <c r="E148" t="s">
        <v>3</v>
      </c>
      <c r="F148" t="s">
        <v>42</v>
      </c>
      <c r="G148" t="str">
        <f t="shared" si="14"/>
        <v/>
      </c>
      <c r="H148">
        <v>3</v>
      </c>
      <c r="I148" t="s">
        <v>3</v>
      </c>
    </row>
    <row r="149" spans="1:9" x14ac:dyDescent="0.15">
      <c r="A149" t="str">
        <f t="shared" si="12"/>
        <v>|Lｖ53|HP+3|</v>
      </c>
      <c r="B149" t="s">
        <v>3</v>
      </c>
      <c r="C149" t="s">
        <v>39</v>
      </c>
      <c r="D149">
        <v>53</v>
      </c>
      <c r="E149" t="s">
        <v>3</v>
      </c>
      <c r="F149" t="s">
        <v>7</v>
      </c>
      <c r="G149" t="str">
        <f t="shared" si="14"/>
        <v>+</v>
      </c>
      <c r="H149">
        <v>3</v>
      </c>
      <c r="I149" t="s">
        <v>3</v>
      </c>
    </row>
    <row r="150" spans="1:9" x14ac:dyDescent="0.15">
      <c r="A150" t="str">
        <f t="shared" si="12"/>
        <v>|Lｖ54|白+1|</v>
      </c>
      <c r="B150" t="s">
        <v>3</v>
      </c>
      <c r="C150" t="s">
        <v>39</v>
      </c>
      <c r="D150">
        <v>54</v>
      </c>
      <c r="E150" t="s">
        <v>3</v>
      </c>
      <c r="F150" t="s">
        <v>11</v>
      </c>
      <c r="G150" t="str">
        <f t="shared" si="14"/>
        <v>+</v>
      </c>
      <c r="H150">
        <v>1</v>
      </c>
      <c r="I150" t="s">
        <v>3</v>
      </c>
    </row>
    <row r="151" spans="1:9" x14ac:dyDescent="0.15">
      <c r="A151" t="str">
        <f t="shared" ref="A151:A162" si="15">B151&amp;C151&amp;D151&amp;E151&amp;F151&amp;G151&amp;H151&amp;I151&amp;J151&amp;K151&amp;L151&amp;M151&amp;N151&amp;O151&amp;P151</f>
        <v>|Lｖ55|HP+3|</v>
      </c>
      <c r="B151" t="s">
        <v>3</v>
      </c>
      <c r="C151" t="s">
        <v>39</v>
      </c>
      <c r="D151">
        <v>55</v>
      </c>
      <c r="E151" t="s">
        <v>3</v>
      </c>
      <c r="F151" t="s">
        <v>7</v>
      </c>
      <c r="G151" t="str">
        <f t="shared" si="14"/>
        <v>+</v>
      </c>
      <c r="H151">
        <v>3</v>
      </c>
      <c r="I151" t="s">
        <v>3</v>
      </c>
    </row>
    <row r="152" spans="1:9" x14ac:dyDescent="0.15">
      <c r="A152" t="str">
        <f t="shared" si="15"/>
        <v>|Lｖ56|第1能力Lv4|</v>
      </c>
      <c r="B152" t="s">
        <v>3</v>
      </c>
      <c r="C152" t="s">
        <v>39</v>
      </c>
      <c r="D152">
        <v>56</v>
      </c>
      <c r="E152" t="s">
        <v>3</v>
      </c>
      <c r="F152" t="s">
        <v>40</v>
      </c>
      <c r="G152" t="str">
        <f t="shared" si="14"/>
        <v/>
      </c>
      <c r="H152">
        <v>4</v>
      </c>
      <c r="I152" t="s">
        <v>3</v>
      </c>
    </row>
    <row r="153" spans="1:9" x14ac:dyDescent="0.15">
      <c r="A153" t="str">
        <f t="shared" si="15"/>
        <v>|Lｖ57|HP+3|</v>
      </c>
      <c r="B153" t="s">
        <v>3</v>
      </c>
      <c r="C153" t="s">
        <v>39</v>
      </c>
      <c r="D153">
        <v>57</v>
      </c>
      <c r="E153" t="s">
        <v>3</v>
      </c>
      <c r="F153" t="s">
        <v>7</v>
      </c>
      <c r="G153" t="str">
        <f t="shared" si="14"/>
        <v>+</v>
      </c>
      <c r="H153">
        <v>3</v>
      </c>
      <c r="I153" t="s">
        <v>3</v>
      </c>
    </row>
    <row r="154" spans="1:9" x14ac:dyDescent="0.15">
      <c r="A154" t="str">
        <f t="shared" si="15"/>
        <v>|Lｖ58|第2能力Lv4|</v>
      </c>
      <c r="B154" t="s">
        <v>3</v>
      </c>
      <c r="C154" t="s">
        <v>39</v>
      </c>
      <c r="D154">
        <v>58</v>
      </c>
      <c r="E154" t="s">
        <v>3</v>
      </c>
      <c r="F154" t="s">
        <v>41</v>
      </c>
      <c r="G154" t="str">
        <f t="shared" si="14"/>
        <v/>
      </c>
      <c r="H154">
        <v>4</v>
      </c>
      <c r="I154" t="s">
        <v>3</v>
      </c>
    </row>
    <row r="155" spans="1:9" x14ac:dyDescent="0.15">
      <c r="A155" t="str">
        <f t="shared" si="15"/>
        <v>|Lｖ59|緑+1|</v>
      </c>
      <c r="B155" t="s">
        <v>3</v>
      </c>
      <c r="C155" t="s">
        <v>39</v>
      </c>
      <c r="D155">
        <v>59</v>
      </c>
      <c r="E155" t="s">
        <v>3</v>
      </c>
      <c r="F155" t="s">
        <v>15</v>
      </c>
      <c r="G155" t="str">
        <f t="shared" si="14"/>
        <v>+</v>
      </c>
      <c r="H155">
        <v>1</v>
      </c>
      <c r="I155" t="s">
        <v>3</v>
      </c>
    </row>
    <row r="156" spans="1:9" x14ac:dyDescent="0.15">
      <c r="A156" t="str">
        <f t="shared" si="15"/>
        <v>|Lｖ60|第3能力Lv4|</v>
      </c>
      <c r="B156" t="s">
        <v>3</v>
      </c>
      <c r="C156" t="s">
        <v>39</v>
      </c>
      <c r="D156">
        <v>60</v>
      </c>
      <c r="E156" t="s">
        <v>3</v>
      </c>
      <c r="F156" t="s">
        <v>42</v>
      </c>
      <c r="G156" t="s">
        <v>44</v>
      </c>
      <c r="H156">
        <v>4</v>
      </c>
      <c r="I156" t="s">
        <v>3</v>
      </c>
    </row>
    <row r="157" spans="1:9" x14ac:dyDescent="0.15">
      <c r="A157" t="str">
        <f t="shared" si="15"/>
        <v>必要総経験値：79920ルーン</v>
      </c>
      <c r="B157" t="s">
        <v>45</v>
      </c>
      <c r="C157">
        <v>79920</v>
      </c>
      <c r="F157" t="s">
        <v>46</v>
      </c>
    </row>
    <row r="158" spans="1:9" x14ac:dyDescent="0.15">
      <c r="A158" t="str">
        <f t="shared" si="15"/>
        <v>&amp;br;</v>
      </c>
      <c r="B158" t="s">
        <v>0</v>
      </c>
    </row>
    <row r="159" spans="1:9" x14ac:dyDescent="0.15">
      <c r="A159" t="str">
        <f t="shared" si="15"/>
        <v>#back(text=戻る,left)</v>
      </c>
      <c r="B159" t="s">
        <v>47</v>
      </c>
    </row>
    <row r="160" spans="1:9" x14ac:dyDescent="0.15">
      <c r="A160" t="str">
        <f t="shared" si="15"/>
        <v>&amp;br;</v>
      </c>
      <c r="B160" t="s">
        <v>0</v>
      </c>
    </row>
    <row r="161" spans="1:2" x14ac:dyDescent="0.15">
      <c r="A161" t="str">
        <f t="shared" si="15"/>
        <v>#comment(above,nsize=[15],size=[30],num=[10])</v>
      </c>
      <c r="B161" t="s">
        <v>48</v>
      </c>
    </row>
    <row r="162" spans="1:2" x14ac:dyDescent="0.15">
      <c r="A162" t="str">
        <f t="shared" si="15"/>
        <v>[[プレインズウォーカーリスト&gt;プレインズウォーカーリスト]]</v>
      </c>
      <c r="B162" t="s">
        <v>49</v>
      </c>
    </row>
  </sheetData>
  <autoFilter ref="C97:I162"/>
  <phoneticPr fontId="4"/>
  <dataValidations count="2">
    <dataValidation type="list" allowBlank="1" showInputMessage="1" showErrorMessage="1" sqref="F157">
      <formula1>$Q$87:$Q$99</formula1>
    </dataValidation>
    <dataValidation type="list" allowBlank="1" showInputMessage="1" showErrorMessage="1" sqref="F98:F156">
      <formula1>$Q$97:$Q$109</formula1>
    </dataValidation>
  </dataValidations>
  <pageMargins left="0.69930555555555596" right="0.69930555555555596"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T151"/>
  <sheetViews>
    <sheetView topLeftCell="A40" workbookViewId="0">
      <selection activeCell="J73" sqref="J73"/>
    </sheetView>
  </sheetViews>
  <sheetFormatPr defaultColWidth="9" defaultRowHeight="13.5" x14ac:dyDescent="0.15"/>
  <cols>
    <col min="1" max="1" width="10.375" customWidth="1"/>
    <col min="2" max="2" width="3.5" customWidth="1"/>
    <col min="3" max="3" width="7.875" customWidth="1"/>
    <col min="4" max="4" width="5.5" customWidth="1"/>
    <col min="5" max="5" width="2" customWidth="1"/>
    <col min="7" max="7" width="2" customWidth="1"/>
    <col min="9" max="9" width="2" customWidth="1"/>
    <col min="11" max="11" width="2" customWidth="1"/>
    <col min="13" max="13" width="2" customWidth="1"/>
    <col min="15" max="15" width="2" customWidth="1"/>
    <col min="17" max="17" width="2.75" customWidth="1"/>
  </cols>
  <sheetData>
    <row r="1" spans="1:10" x14ac:dyDescent="0.15">
      <c r="A1" t="str">
        <f>B1&amp;C1&amp;D1&amp;E1&amp;F1&amp;G1&amp;H1&amp;I1&amp;J1&amp;K1&amp;L1&amp;M1&amp;N1&amp;O1&amp;P1</f>
        <v>チュートリアルをクリアすることで手に入れることの出来るプレインズウォーカー。</v>
      </c>
      <c r="B1" t="s">
        <v>320</v>
      </c>
    </row>
    <row r="2" spans="1:10" x14ac:dyDescent="0.15">
      <c r="A2" t="str">
        <f>B2&amp;C2&amp;D2&amp;E2&amp;F2&amp;G2&amp;H2&amp;I2&amp;J2&amp;K2&amp;L2&amp;M2&amp;N2&amp;O2&amp;P2</f>
        <v>&amp;br;</v>
      </c>
      <c r="B2" t="s">
        <v>0</v>
      </c>
    </row>
    <row r="3" spans="1:10" x14ac:dyDescent="0.15">
      <c r="A3" t="str">
        <f>B3&amp;C3&amp;D3&amp;E3&amp;F3&amp;G3&amp;H3&amp;I3&amp;J3&amp;K3&amp;L3&amp;M3&amp;N3&amp;O3&amp;P3</f>
        <v>#contents()</v>
      </c>
      <c r="B3" t="s">
        <v>1</v>
      </c>
    </row>
    <row r="4" spans="1:10" x14ac:dyDescent="0.15">
      <c r="A4" t="str">
        <f>B4&amp;C4&amp;D4&amp;E4&amp;F4&amp;G4&amp;H4&amp;I4&amp;J4&amp;K4&amp;L4&amp;M4&amp;N4&amp;O4&amp;P4</f>
        <v>*HP [#f569d8c6]</v>
      </c>
      <c r="B4" t="s">
        <v>2</v>
      </c>
    </row>
    <row r="5" spans="1:10" x14ac:dyDescent="0.15">
      <c r="A5" t="str">
        <f>B5&amp;C5&amp;D5&amp;E5&amp;F5&amp;G5&amp;H5</f>
        <v>|LEFT:50|LEFT:50|c</v>
      </c>
      <c r="B5" t="s">
        <v>3</v>
      </c>
      <c r="C5" t="s">
        <v>4</v>
      </c>
      <c r="E5" t="s">
        <v>3</v>
      </c>
      <c r="F5" t="s">
        <v>4</v>
      </c>
      <c r="G5" t="s">
        <v>3</v>
      </c>
      <c r="H5" t="s">
        <v>5</v>
      </c>
    </row>
    <row r="6" spans="1:10" x14ac:dyDescent="0.15">
      <c r="A6" t="str">
        <f t="shared" ref="A6:A23" si="0">B6&amp;C6&amp;D6&amp;E6&amp;F6&amp;G6&amp;H6</f>
        <v>|レベル|HP|</v>
      </c>
      <c r="B6" t="s">
        <v>3</v>
      </c>
      <c r="C6" t="s">
        <v>6</v>
      </c>
      <c r="E6" t="s">
        <v>3</v>
      </c>
      <c r="F6" t="s">
        <v>7</v>
      </c>
      <c r="G6" t="s">
        <v>3</v>
      </c>
    </row>
    <row r="7" spans="1:10" x14ac:dyDescent="0.15">
      <c r="A7" t="str">
        <f t="shared" si="0"/>
        <v>|Lv1|30|</v>
      </c>
      <c r="B7" t="s">
        <v>3</v>
      </c>
      <c r="C7" t="s">
        <v>8</v>
      </c>
      <c r="D7">
        <v>1</v>
      </c>
      <c r="E7" t="s">
        <v>3</v>
      </c>
      <c r="F7">
        <v>30</v>
      </c>
      <c r="G7" t="s">
        <v>3</v>
      </c>
      <c r="J7" t="s">
        <v>150</v>
      </c>
    </row>
    <row r="8" spans="1:10" x14ac:dyDescent="0.15">
      <c r="A8" t="str">
        <f t="shared" si="0"/>
        <v>|Lv4|34|</v>
      </c>
      <c r="B8" t="s">
        <v>3</v>
      </c>
      <c r="C8" t="s">
        <v>8</v>
      </c>
      <c r="D8">
        <f>D7+$J$8</f>
        <v>4</v>
      </c>
      <c r="E8" t="s">
        <v>3</v>
      </c>
      <c r="F8">
        <f>F7+$J$10</f>
        <v>34</v>
      </c>
      <c r="G8" t="s">
        <v>3</v>
      </c>
      <c r="J8" s="7">
        <v>3</v>
      </c>
    </row>
    <row r="9" spans="1:10" x14ac:dyDescent="0.15">
      <c r="A9" t="str">
        <f t="shared" si="0"/>
        <v>|Lv7|38|</v>
      </c>
      <c r="B9" t="s">
        <v>3</v>
      </c>
      <c r="C9" t="s">
        <v>8</v>
      </c>
      <c r="D9">
        <f t="shared" ref="D9:D23" si="1">D8+$J$8</f>
        <v>7</v>
      </c>
      <c r="E9" t="s">
        <v>3</v>
      </c>
      <c r="F9">
        <f t="shared" ref="F9:F22" si="2">F8+$J$10</f>
        <v>38</v>
      </c>
      <c r="G9" t="s">
        <v>3</v>
      </c>
      <c r="J9" t="s">
        <v>151</v>
      </c>
    </row>
    <row r="10" spans="1:10" x14ac:dyDescent="0.15">
      <c r="A10" t="str">
        <f t="shared" si="0"/>
        <v>|Lv10|42|</v>
      </c>
      <c r="B10" t="s">
        <v>3</v>
      </c>
      <c r="C10" t="s">
        <v>8</v>
      </c>
      <c r="D10">
        <f t="shared" si="1"/>
        <v>10</v>
      </c>
      <c r="E10" t="s">
        <v>3</v>
      </c>
      <c r="F10">
        <f t="shared" si="2"/>
        <v>42</v>
      </c>
      <c r="G10" t="s">
        <v>3</v>
      </c>
      <c r="J10" s="7">
        <v>4</v>
      </c>
    </row>
    <row r="11" spans="1:10" x14ac:dyDescent="0.15">
      <c r="A11" t="str">
        <f t="shared" si="0"/>
        <v>|Lv13|46|</v>
      </c>
      <c r="B11" t="s">
        <v>3</v>
      </c>
      <c r="C11" t="s">
        <v>8</v>
      </c>
      <c r="D11">
        <f t="shared" si="1"/>
        <v>13</v>
      </c>
      <c r="E11" t="s">
        <v>3</v>
      </c>
      <c r="F11">
        <f t="shared" si="2"/>
        <v>46</v>
      </c>
      <c r="G11" t="s">
        <v>3</v>
      </c>
    </row>
    <row r="12" spans="1:10" x14ac:dyDescent="0.15">
      <c r="A12" t="str">
        <f t="shared" si="0"/>
        <v>|Lv16|50|</v>
      </c>
      <c r="B12" t="s">
        <v>3</v>
      </c>
      <c r="C12" t="s">
        <v>8</v>
      </c>
      <c r="D12">
        <f t="shared" si="1"/>
        <v>16</v>
      </c>
      <c r="E12" t="s">
        <v>3</v>
      </c>
      <c r="F12">
        <f t="shared" si="2"/>
        <v>50</v>
      </c>
      <c r="G12" t="s">
        <v>3</v>
      </c>
    </row>
    <row r="13" spans="1:10" x14ac:dyDescent="0.15">
      <c r="A13" t="str">
        <f t="shared" si="0"/>
        <v>|Lv19|54|</v>
      </c>
      <c r="B13" t="s">
        <v>3</v>
      </c>
      <c r="C13" t="s">
        <v>8</v>
      </c>
      <c r="D13">
        <f t="shared" si="1"/>
        <v>19</v>
      </c>
      <c r="E13" t="s">
        <v>3</v>
      </c>
      <c r="F13">
        <f t="shared" si="2"/>
        <v>54</v>
      </c>
      <c r="G13" t="s">
        <v>3</v>
      </c>
    </row>
    <row r="14" spans="1:10" x14ac:dyDescent="0.15">
      <c r="A14" t="str">
        <f t="shared" si="0"/>
        <v>|Lv22|58|</v>
      </c>
      <c r="B14" t="s">
        <v>3</v>
      </c>
      <c r="C14" t="s">
        <v>8</v>
      </c>
      <c r="D14">
        <f t="shared" si="1"/>
        <v>22</v>
      </c>
      <c r="E14" t="s">
        <v>3</v>
      </c>
      <c r="F14">
        <f t="shared" si="2"/>
        <v>58</v>
      </c>
      <c r="G14" t="s">
        <v>3</v>
      </c>
    </row>
    <row r="15" spans="1:10" x14ac:dyDescent="0.15">
      <c r="A15" t="str">
        <f t="shared" si="0"/>
        <v>|Lv25|62|</v>
      </c>
      <c r="B15" t="s">
        <v>3</v>
      </c>
      <c r="C15" t="s">
        <v>8</v>
      </c>
      <c r="D15">
        <f t="shared" si="1"/>
        <v>25</v>
      </c>
      <c r="E15" t="s">
        <v>3</v>
      </c>
      <c r="F15">
        <f t="shared" si="2"/>
        <v>62</v>
      </c>
      <c r="G15" t="s">
        <v>3</v>
      </c>
    </row>
    <row r="16" spans="1:10" x14ac:dyDescent="0.15">
      <c r="A16" t="str">
        <f t="shared" si="0"/>
        <v>|Lv28|66|</v>
      </c>
      <c r="B16" t="s">
        <v>3</v>
      </c>
      <c r="C16" t="s">
        <v>8</v>
      </c>
      <c r="D16">
        <f t="shared" si="1"/>
        <v>28</v>
      </c>
      <c r="E16" t="s">
        <v>3</v>
      </c>
      <c r="F16">
        <f t="shared" si="2"/>
        <v>66</v>
      </c>
      <c r="G16" t="s">
        <v>3</v>
      </c>
    </row>
    <row r="17" spans="1:19" x14ac:dyDescent="0.15">
      <c r="A17" t="str">
        <f t="shared" si="0"/>
        <v>|Lv31|70|</v>
      </c>
      <c r="B17" t="s">
        <v>3</v>
      </c>
      <c r="C17" t="s">
        <v>8</v>
      </c>
      <c r="D17">
        <f t="shared" si="1"/>
        <v>31</v>
      </c>
      <c r="E17" t="s">
        <v>3</v>
      </c>
      <c r="F17">
        <f t="shared" si="2"/>
        <v>70</v>
      </c>
      <c r="G17" t="s">
        <v>3</v>
      </c>
    </row>
    <row r="18" spans="1:19" x14ac:dyDescent="0.15">
      <c r="A18" t="str">
        <f t="shared" si="0"/>
        <v>|Lv33|74|</v>
      </c>
      <c r="B18" t="s">
        <v>3</v>
      </c>
      <c r="C18" t="s">
        <v>8</v>
      </c>
      <c r="D18">
        <v>33</v>
      </c>
      <c r="E18" t="s">
        <v>3</v>
      </c>
      <c r="F18">
        <f t="shared" si="2"/>
        <v>74</v>
      </c>
      <c r="G18" t="s">
        <v>3</v>
      </c>
    </row>
    <row r="19" spans="1:19" x14ac:dyDescent="0.15">
      <c r="A19" t="str">
        <f t="shared" si="0"/>
        <v>|Lv37|78|</v>
      </c>
      <c r="B19" t="s">
        <v>3</v>
      </c>
      <c r="C19" t="s">
        <v>8</v>
      </c>
      <c r="D19">
        <v>37</v>
      </c>
      <c r="E19" t="s">
        <v>3</v>
      </c>
      <c r="F19">
        <f t="shared" si="2"/>
        <v>78</v>
      </c>
      <c r="G19" t="s">
        <v>3</v>
      </c>
    </row>
    <row r="20" spans="1:19" x14ac:dyDescent="0.15">
      <c r="A20" t="str">
        <f t="shared" si="0"/>
        <v>|Lv42|82|</v>
      </c>
      <c r="B20" t="s">
        <v>3</v>
      </c>
      <c r="C20" t="s">
        <v>8</v>
      </c>
      <c r="D20">
        <v>42</v>
      </c>
      <c r="E20" t="s">
        <v>3</v>
      </c>
      <c r="F20">
        <f t="shared" si="2"/>
        <v>82</v>
      </c>
      <c r="G20" t="s">
        <v>3</v>
      </c>
    </row>
    <row r="21" spans="1:19" x14ac:dyDescent="0.15">
      <c r="A21" t="str">
        <f t="shared" si="0"/>
        <v>|Lv47|86|</v>
      </c>
      <c r="B21" t="s">
        <v>3</v>
      </c>
      <c r="C21" t="s">
        <v>8</v>
      </c>
      <c r="D21">
        <v>47</v>
      </c>
      <c r="E21" t="s">
        <v>3</v>
      </c>
      <c r="F21">
        <f t="shared" si="2"/>
        <v>86</v>
      </c>
      <c r="G21" t="s">
        <v>3</v>
      </c>
    </row>
    <row r="22" spans="1:19" x14ac:dyDescent="0.15">
      <c r="A22" t="str">
        <f t="shared" si="0"/>
        <v>|Lv49|90|</v>
      </c>
      <c r="B22" t="s">
        <v>3</v>
      </c>
      <c r="C22" t="s">
        <v>8</v>
      </c>
      <c r="D22">
        <v>49</v>
      </c>
      <c r="E22" t="s">
        <v>3</v>
      </c>
      <c r="F22">
        <f t="shared" si="2"/>
        <v>90</v>
      </c>
      <c r="G22" t="s">
        <v>3</v>
      </c>
    </row>
    <row r="23" spans="1:19" x14ac:dyDescent="0.15">
      <c r="A23" t="str">
        <f t="shared" si="0"/>
        <v>|Lv52|98|</v>
      </c>
      <c r="B23" t="s">
        <v>3</v>
      </c>
      <c r="C23" t="s">
        <v>8</v>
      </c>
      <c r="D23">
        <f t="shared" si="1"/>
        <v>52</v>
      </c>
      <c r="E23" t="s">
        <v>3</v>
      </c>
      <c r="F23">
        <f>F22+8</f>
        <v>98</v>
      </c>
      <c r="G23" t="s">
        <v>3</v>
      </c>
    </row>
    <row r="24" spans="1:19" x14ac:dyDescent="0.15">
      <c r="A24" t="str">
        <f>B24&amp;C24&amp;D24&amp;E24&amp;F24&amp;G24&amp;H24&amp;I24&amp;J24&amp;K24&amp;L24&amp;M24&amp;N24&amp;O24&amp;P24</f>
        <v>&amp;br;</v>
      </c>
      <c r="B24" t="s">
        <v>0</v>
      </c>
    </row>
    <row r="25" spans="1:19" x14ac:dyDescent="0.15">
      <c r="A25" t="str">
        <f>B25&amp;C25&amp;D25&amp;E25&amp;F25&amp;G25&amp;H25&amp;I25&amp;J25&amp;K25&amp;L25&amp;M25&amp;N25&amp;O25&amp;P25</f>
        <v>&amp;br;</v>
      </c>
      <c r="B25" t="s">
        <v>0</v>
      </c>
    </row>
    <row r="26" spans="1:19" x14ac:dyDescent="0.15">
      <c r="A26" t="str">
        <f>B26&amp;C26&amp;D26&amp;E26&amp;F26&amp;G26&amp;H26&amp;I26&amp;J26&amp;K26&amp;L26&amp;M26&amp;N26&amp;O26&amp;P26</f>
        <v>*マナボーナス [#q1a26f54]</v>
      </c>
      <c r="B26" t="s">
        <v>9</v>
      </c>
    </row>
    <row r="27" spans="1:19" x14ac:dyDescent="0.15">
      <c r="A27" t="str">
        <f t="shared" ref="A27:A35" si="3">B27&amp;C27&amp;D27&amp;G27&amp;H27&amp;I27&amp;J27&amp;K27&amp;L27&amp;M27&amp;N27&amp;O27&amp;P27&amp;Q27&amp;R27</f>
        <v>|LEFT:50|LEFT:50|LEFT:50|LEFT:50|LEFT:50|LEFT:50|c</v>
      </c>
      <c r="B27" t="s">
        <v>3</v>
      </c>
      <c r="C27" t="s">
        <v>4</v>
      </c>
      <c r="E27" t="s">
        <v>3</v>
      </c>
      <c r="G27" t="s">
        <v>3</v>
      </c>
      <c r="H27" t="s">
        <v>4</v>
      </c>
      <c r="I27" t="s">
        <v>3</v>
      </c>
      <c r="J27" t="s">
        <v>4</v>
      </c>
      <c r="K27" t="s">
        <v>3</v>
      </c>
      <c r="L27" t="s">
        <v>4</v>
      </c>
      <c r="M27" t="s">
        <v>3</v>
      </c>
      <c r="N27" t="s">
        <v>4</v>
      </c>
      <c r="O27" t="s">
        <v>3</v>
      </c>
      <c r="P27" t="s">
        <v>4</v>
      </c>
      <c r="Q27" t="s">
        <v>3</v>
      </c>
      <c r="R27" t="s">
        <v>5</v>
      </c>
    </row>
    <row r="28" spans="1:19" x14ac:dyDescent="0.15">
      <c r="A28" t="str">
        <f t="shared" si="3"/>
        <v>|レベル|白|青|黒|赤|緑|</v>
      </c>
      <c r="B28" t="s">
        <v>3</v>
      </c>
      <c r="C28" t="s">
        <v>6</v>
      </c>
      <c r="E28" t="s">
        <v>3</v>
      </c>
      <c r="F28" t="s">
        <v>10</v>
      </c>
      <c r="G28" t="s">
        <v>3</v>
      </c>
      <c r="H28" t="s">
        <v>11</v>
      </c>
      <c r="I28" t="s">
        <v>3</v>
      </c>
      <c r="J28" t="s">
        <v>12</v>
      </c>
      <c r="K28" t="s">
        <v>3</v>
      </c>
      <c r="L28" t="s">
        <v>13</v>
      </c>
      <c r="M28" t="s">
        <v>3</v>
      </c>
      <c r="N28" t="s">
        <v>14</v>
      </c>
      <c r="O28" t="s">
        <v>3</v>
      </c>
      <c r="P28" t="s">
        <v>15</v>
      </c>
      <c r="Q28" t="s">
        <v>3</v>
      </c>
      <c r="S28" t="s">
        <v>11</v>
      </c>
    </row>
    <row r="29" spans="1:19" x14ac:dyDescent="0.15">
      <c r="A29" t="str">
        <f t="shared" si="3"/>
        <v>|Lv1|0|-1|-1|0|1|</v>
      </c>
      <c r="B29" t="s">
        <v>3</v>
      </c>
      <c r="C29" t="s">
        <v>8</v>
      </c>
      <c r="D29">
        <v>1</v>
      </c>
      <c r="E29" t="s">
        <v>3</v>
      </c>
      <c r="G29" t="s">
        <v>3</v>
      </c>
      <c r="H29">
        <v>0</v>
      </c>
      <c r="I29" t="s">
        <v>3</v>
      </c>
      <c r="J29">
        <v>-1</v>
      </c>
      <c r="K29" t="s">
        <v>3</v>
      </c>
      <c r="L29">
        <v>-1</v>
      </c>
      <c r="M29" t="s">
        <v>3</v>
      </c>
      <c r="N29">
        <v>0</v>
      </c>
      <c r="O29" t="s">
        <v>3</v>
      </c>
      <c r="P29">
        <v>1</v>
      </c>
      <c r="Q29" t="s">
        <v>3</v>
      </c>
      <c r="S29" t="s">
        <v>12</v>
      </c>
    </row>
    <row r="30" spans="1:19" x14ac:dyDescent="0.15">
      <c r="A30" t="str">
        <f t="shared" si="3"/>
        <v>|Lv6|0|-1|-1|0|2|</v>
      </c>
      <c r="B30" t="s">
        <v>3</v>
      </c>
      <c r="C30" t="s">
        <v>8</v>
      </c>
      <c r="D30">
        <v>6</v>
      </c>
      <c r="E30" t="s">
        <v>3</v>
      </c>
      <c r="F30" t="s">
        <v>15</v>
      </c>
      <c r="G30" t="s">
        <v>3</v>
      </c>
      <c r="H30">
        <f t="shared" ref="H30:H35" si="4">H29+IF(H$28=$F30,1,0)</f>
        <v>0</v>
      </c>
      <c r="I30" t="str">
        <f t="shared" ref="I30:Q35" si="5">I29</f>
        <v>|</v>
      </c>
      <c r="J30">
        <f t="shared" ref="J30:J35" si="6">J29+IF(J$28=$F30,1,0)</f>
        <v>-1</v>
      </c>
      <c r="K30" t="str">
        <f t="shared" si="5"/>
        <v>|</v>
      </c>
      <c r="L30">
        <f t="shared" ref="L30:L35" si="7">L29+IF(L$28=$F30,1,0)</f>
        <v>-1</v>
      </c>
      <c r="M30" t="str">
        <f t="shared" si="5"/>
        <v>|</v>
      </c>
      <c r="N30">
        <f t="shared" ref="N30:N35" si="8">N29+IF(N$28=$F30,1,0)</f>
        <v>0</v>
      </c>
      <c r="O30" t="str">
        <f t="shared" si="5"/>
        <v>|</v>
      </c>
      <c r="P30">
        <f t="shared" ref="P30:P35" si="9">P29+IF(P$28=$F30,1,0)</f>
        <v>2</v>
      </c>
      <c r="Q30" t="str">
        <f t="shared" si="5"/>
        <v>|</v>
      </c>
      <c r="S30" t="s">
        <v>13</v>
      </c>
    </row>
    <row r="31" spans="1:19" x14ac:dyDescent="0.15">
      <c r="A31" t="str">
        <f t="shared" si="3"/>
        <v>|Lv15|1|-1|-1|0|2|</v>
      </c>
      <c r="B31" t="s">
        <v>3</v>
      </c>
      <c r="C31" t="s">
        <v>8</v>
      </c>
      <c r="D31">
        <v>15</v>
      </c>
      <c r="E31" t="s">
        <v>3</v>
      </c>
      <c r="F31" t="s">
        <v>11</v>
      </c>
      <c r="G31" t="s">
        <v>3</v>
      </c>
      <c r="H31">
        <f t="shared" si="4"/>
        <v>1</v>
      </c>
      <c r="I31" t="str">
        <f t="shared" si="5"/>
        <v>|</v>
      </c>
      <c r="J31">
        <f t="shared" si="6"/>
        <v>-1</v>
      </c>
      <c r="K31" t="str">
        <f t="shared" si="5"/>
        <v>|</v>
      </c>
      <c r="L31">
        <f t="shared" si="7"/>
        <v>-1</v>
      </c>
      <c r="M31" t="str">
        <f t="shared" si="5"/>
        <v>|</v>
      </c>
      <c r="N31">
        <f t="shared" si="8"/>
        <v>0</v>
      </c>
      <c r="O31" t="str">
        <f t="shared" si="5"/>
        <v>|</v>
      </c>
      <c r="P31">
        <f t="shared" si="9"/>
        <v>2</v>
      </c>
      <c r="Q31" t="str">
        <f t="shared" si="5"/>
        <v>|</v>
      </c>
      <c r="S31" t="s">
        <v>14</v>
      </c>
    </row>
    <row r="32" spans="1:19" x14ac:dyDescent="0.15">
      <c r="A32" t="str">
        <f t="shared" si="3"/>
        <v>|Lv29|1|-1|-1|1|2|</v>
      </c>
      <c r="B32" t="s">
        <v>3</v>
      </c>
      <c r="C32" t="s">
        <v>8</v>
      </c>
      <c r="D32">
        <v>29</v>
      </c>
      <c r="E32" t="s">
        <v>3</v>
      </c>
      <c r="F32" t="s">
        <v>14</v>
      </c>
      <c r="G32" t="s">
        <v>3</v>
      </c>
      <c r="H32">
        <f t="shared" si="4"/>
        <v>1</v>
      </c>
      <c r="I32" t="str">
        <f t="shared" si="5"/>
        <v>|</v>
      </c>
      <c r="J32">
        <f t="shared" si="6"/>
        <v>-1</v>
      </c>
      <c r="K32" t="str">
        <f t="shared" si="5"/>
        <v>|</v>
      </c>
      <c r="L32">
        <f t="shared" si="7"/>
        <v>-1</v>
      </c>
      <c r="M32" t="str">
        <f t="shared" si="5"/>
        <v>|</v>
      </c>
      <c r="N32">
        <f t="shared" si="8"/>
        <v>1</v>
      </c>
      <c r="O32" t="str">
        <f t="shared" si="5"/>
        <v>|</v>
      </c>
      <c r="P32">
        <f t="shared" si="9"/>
        <v>2</v>
      </c>
      <c r="Q32" t="str">
        <f t="shared" si="5"/>
        <v>|</v>
      </c>
      <c r="S32" t="s">
        <v>15</v>
      </c>
    </row>
    <row r="33" spans="1:17" x14ac:dyDescent="0.15">
      <c r="A33" t="str">
        <f t="shared" si="3"/>
        <v>|Lv40|1|0|-1|1|2|</v>
      </c>
      <c r="B33" t="s">
        <v>3</v>
      </c>
      <c r="C33" t="s">
        <v>8</v>
      </c>
      <c r="D33">
        <v>40</v>
      </c>
      <c r="E33" t="s">
        <v>3</v>
      </c>
      <c r="F33" t="s">
        <v>12</v>
      </c>
      <c r="G33" t="s">
        <v>3</v>
      </c>
      <c r="H33">
        <f t="shared" si="4"/>
        <v>1</v>
      </c>
      <c r="I33" t="str">
        <f t="shared" si="5"/>
        <v>|</v>
      </c>
      <c r="J33">
        <f t="shared" si="6"/>
        <v>0</v>
      </c>
      <c r="K33" t="str">
        <f t="shared" si="5"/>
        <v>|</v>
      </c>
      <c r="L33">
        <f t="shared" si="7"/>
        <v>-1</v>
      </c>
      <c r="M33" t="str">
        <f t="shared" si="5"/>
        <v>|</v>
      </c>
      <c r="N33">
        <f t="shared" si="8"/>
        <v>1</v>
      </c>
      <c r="O33" t="str">
        <f t="shared" si="5"/>
        <v>|</v>
      </c>
      <c r="P33">
        <f t="shared" si="9"/>
        <v>2</v>
      </c>
      <c r="Q33" t="str">
        <f t="shared" si="5"/>
        <v>|</v>
      </c>
    </row>
    <row r="34" spans="1:17" x14ac:dyDescent="0.15">
      <c r="A34" t="str">
        <f t="shared" si="3"/>
        <v>|Lv46|1|0|0|1|2|</v>
      </c>
      <c r="B34" t="s">
        <v>3</v>
      </c>
      <c r="C34" t="s">
        <v>8</v>
      </c>
      <c r="D34">
        <v>46</v>
      </c>
      <c r="E34" t="s">
        <v>3</v>
      </c>
      <c r="F34" t="s">
        <v>13</v>
      </c>
      <c r="G34" t="s">
        <v>3</v>
      </c>
      <c r="H34">
        <f t="shared" si="4"/>
        <v>1</v>
      </c>
      <c r="I34" t="str">
        <f t="shared" si="5"/>
        <v>|</v>
      </c>
      <c r="J34">
        <f t="shared" si="6"/>
        <v>0</v>
      </c>
      <c r="K34" t="str">
        <f t="shared" si="5"/>
        <v>|</v>
      </c>
      <c r="L34">
        <f t="shared" si="7"/>
        <v>0</v>
      </c>
      <c r="M34" t="str">
        <f t="shared" si="5"/>
        <v>|</v>
      </c>
      <c r="N34">
        <f t="shared" si="8"/>
        <v>1</v>
      </c>
      <c r="O34" t="str">
        <f t="shared" si="5"/>
        <v>|</v>
      </c>
      <c r="P34">
        <f t="shared" si="9"/>
        <v>2</v>
      </c>
      <c r="Q34" t="str">
        <f t="shared" si="5"/>
        <v>|</v>
      </c>
    </row>
    <row r="35" spans="1:17" x14ac:dyDescent="0.15">
      <c r="A35" t="str">
        <f t="shared" si="3"/>
        <v>|Lv59|1|0|0|1|3|</v>
      </c>
      <c r="B35" t="s">
        <v>3</v>
      </c>
      <c r="C35" t="s">
        <v>8</v>
      </c>
      <c r="D35">
        <v>59</v>
      </c>
      <c r="E35" t="s">
        <v>3</v>
      </c>
      <c r="F35" t="s">
        <v>15</v>
      </c>
      <c r="G35" t="s">
        <v>3</v>
      </c>
      <c r="H35">
        <f t="shared" si="4"/>
        <v>1</v>
      </c>
      <c r="I35" t="str">
        <f t="shared" si="5"/>
        <v>|</v>
      </c>
      <c r="J35">
        <f t="shared" si="6"/>
        <v>0</v>
      </c>
      <c r="K35" t="str">
        <f t="shared" si="5"/>
        <v>|</v>
      </c>
      <c r="L35">
        <f t="shared" si="7"/>
        <v>0</v>
      </c>
      <c r="M35" t="str">
        <f t="shared" si="5"/>
        <v>|</v>
      </c>
      <c r="N35">
        <f t="shared" si="8"/>
        <v>1</v>
      </c>
      <c r="O35" t="str">
        <f t="shared" si="5"/>
        <v>|</v>
      </c>
      <c r="P35">
        <f t="shared" si="9"/>
        <v>3</v>
      </c>
      <c r="Q35" t="str">
        <f t="shared" si="5"/>
        <v>|</v>
      </c>
    </row>
    <row r="36" spans="1:17" x14ac:dyDescent="0.15">
      <c r="A36" t="str">
        <f>B36&amp;C36&amp;D36&amp;E36&amp;F36&amp;G36&amp;H36&amp;I36&amp;J36&amp;K36&amp;L36&amp;M36&amp;N36&amp;O36&amp;P36</f>
        <v>&amp;br;</v>
      </c>
      <c r="B36" t="s">
        <v>0</v>
      </c>
    </row>
    <row r="37" spans="1:17" x14ac:dyDescent="0.15">
      <c r="A37" t="str">
        <f>B37&amp;C37&amp;D37&amp;E37&amp;F37&amp;G37&amp;H37&amp;I37&amp;J37&amp;K37&amp;L37&amp;M37&amp;N37&amp;O37&amp;P37</f>
        <v>&amp;br;</v>
      </c>
      <c r="B37" t="s">
        <v>0</v>
      </c>
    </row>
    <row r="38" spans="1:17" x14ac:dyDescent="0.15">
      <c r="A38" t="str">
        <f>B38&amp;C38&amp;D38&amp;E38&amp;F38&amp;G38&amp;H38&amp;I38&amp;J38&amp;K38&amp;L38&amp;M38&amp;N38&amp;O38&amp;P38</f>
        <v>*デッキ構築枚数上限 [#e6f382eb]</v>
      </c>
      <c r="B38" t="s">
        <v>16</v>
      </c>
    </row>
    <row r="39" spans="1:17" x14ac:dyDescent="0.15">
      <c r="A39" t="str">
        <f>B39&amp;C39&amp;D39&amp;E39&amp;F39&amp;G39&amp;H39&amp;I39&amp;J39&amp;K39&amp;L39&amp;M39&amp;N39&amp;O39&amp;P39</f>
        <v>構築枚数上限を越える枚数はデッキに入れられない。</v>
      </c>
      <c r="B39" t="s">
        <v>17</v>
      </c>
    </row>
    <row r="40" spans="1:17" x14ac:dyDescent="0.15">
      <c r="A40" t="str">
        <f t="shared" ref="A40:A49" si="10">B40&amp;C40&amp;D40&amp;G40&amp;H40&amp;I40&amp;J40&amp;K40&amp;L40&amp;M40&amp;N40&amp;O40&amp;P40&amp;Q40&amp;R40</f>
        <v>|LEFT:50|LEFT:80|LEFT:80|LEFT:80|c</v>
      </c>
      <c r="B40" t="s">
        <v>3</v>
      </c>
      <c r="C40" t="s">
        <v>4</v>
      </c>
      <c r="E40" t="s">
        <v>3</v>
      </c>
      <c r="G40" t="s">
        <v>3</v>
      </c>
      <c r="H40" t="s">
        <v>18</v>
      </c>
      <c r="I40" t="s">
        <v>3</v>
      </c>
      <c r="J40" t="s">
        <v>18</v>
      </c>
      <c r="K40" t="s">
        <v>3</v>
      </c>
      <c r="L40" t="s">
        <v>18</v>
      </c>
      <c r="M40" t="s">
        <v>3</v>
      </c>
      <c r="N40" t="s">
        <v>5</v>
      </c>
    </row>
    <row r="41" spans="1:17" x14ac:dyDescent="0.15">
      <c r="A41" t="str">
        <f t="shared" si="10"/>
        <v>|レベル|クリーチャー|呪文|サポート|</v>
      </c>
      <c r="B41" t="s">
        <v>3</v>
      </c>
      <c r="C41" t="s">
        <v>6</v>
      </c>
      <c r="E41" t="s">
        <v>3</v>
      </c>
      <c r="F41" t="s">
        <v>19</v>
      </c>
      <c r="G41" t="s">
        <v>3</v>
      </c>
      <c r="H41" t="s">
        <v>20</v>
      </c>
      <c r="I41" t="s">
        <v>3</v>
      </c>
      <c r="J41" t="s">
        <v>21</v>
      </c>
      <c r="K41" t="s">
        <v>3</v>
      </c>
      <c r="L41" t="s">
        <v>22</v>
      </c>
      <c r="M41" t="s">
        <v>3</v>
      </c>
    </row>
    <row r="42" spans="1:17" x14ac:dyDescent="0.15">
      <c r="A42" t="str">
        <f t="shared" si="10"/>
        <v>|Lv1|7|1|2|</v>
      </c>
      <c r="B42" t="s">
        <v>3</v>
      </c>
      <c r="C42" t="s">
        <v>8</v>
      </c>
      <c r="D42">
        <v>1</v>
      </c>
      <c r="E42" t="s">
        <v>3</v>
      </c>
      <c r="G42" t="s">
        <v>3</v>
      </c>
      <c r="H42">
        <v>7</v>
      </c>
      <c r="I42" t="s">
        <v>3</v>
      </c>
      <c r="J42">
        <v>1</v>
      </c>
      <c r="K42" t="s">
        <v>3</v>
      </c>
      <c r="L42">
        <v>2</v>
      </c>
      <c r="M42" t="s">
        <v>3</v>
      </c>
    </row>
    <row r="43" spans="1:17" x14ac:dyDescent="0.15">
      <c r="A43" t="str">
        <f t="shared" si="10"/>
        <v>|Lv9|8|1|2|</v>
      </c>
      <c r="B43" t="s">
        <v>3</v>
      </c>
      <c r="C43" t="s">
        <v>8</v>
      </c>
      <c r="D43">
        <v>9</v>
      </c>
      <c r="E43" t="s">
        <v>3</v>
      </c>
      <c r="F43" t="s">
        <v>20</v>
      </c>
      <c r="G43" t="s">
        <v>3</v>
      </c>
      <c r="H43">
        <f t="shared" ref="H43:H52" si="11">H42+IF(H$41=$F43,1,0)</f>
        <v>8</v>
      </c>
      <c r="I43" t="str">
        <f t="shared" ref="I43:M52" si="12">I42</f>
        <v>|</v>
      </c>
      <c r="J43">
        <f t="shared" ref="J43:J49" si="13">J42+IF(J$41=$F43,1,0)</f>
        <v>1</v>
      </c>
      <c r="K43" t="str">
        <f t="shared" si="12"/>
        <v>|</v>
      </c>
      <c r="L43">
        <f t="shared" ref="L43:L50" si="14">L42+IF(L$41=$F43,1,0)</f>
        <v>2</v>
      </c>
      <c r="M43" t="str">
        <f t="shared" si="12"/>
        <v>|</v>
      </c>
    </row>
    <row r="44" spans="1:17" x14ac:dyDescent="0.15">
      <c r="A44" t="str">
        <f t="shared" si="10"/>
        <v>|Lv17|8|1|3|</v>
      </c>
      <c r="B44" t="s">
        <v>3</v>
      </c>
      <c r="C44" t="s">
        <v>8</v>
      </c>
      <c r="D44">
        <v>17</v>
      </c>
      <c r="E44" t="s">
        <v>3</v>
      </c>
      <c r="F44" t="s">
        <v>22</v>
      </c>
      <c r="G44" t="s">
        <v>3</v>
      </c>
      <c r="H44">
        <f t="shared" si="11"/>
        <v>8</v>
      </c>
      <c r="I44" t="str">
        <f t="shared" si="12"/>
        <v>|</v>
      </c>
      <c r="J44">
        <f t="shared" si="13"/>
        <v>1</v>
      </c>
      <c r="K44" t="str">
        <f t="shared" si="12"/>
        <v>|</v>
      </c>
      <c r="L44">
        <f t="shared" si="14"/>
        <v>3</v>
      </c>
      <c r="M44" t="str">
        <f t="shared" si="12"/>
        <v>|</v>
      </c>
    </row>
    <row r="45" spans="1:17" x14ac:dyDescent="0.15">
      <c r="A45" t="str">
        <f t="shared" si="10"/>
        <v>|Lv23|9|1|3|</v>
      </c>
      <c r="B45" t="s">
        <v>3</v>
      </c>
      <c r="C45" t="s">
        <v>8</v>
      </c>
      <c r="D45">
        <v>23</v>
      </c>
      <c r="E45" t="s">
        <v>3</v>
      </c>
      <c r="F45" t="s">
        <v>20</v>
      </c>
      <c r="G45" t="s">
        <v>3</v>
      </c>
      <c r="H45">
        <f t="shared" si="11"/>
        <v>9</v>
      </c>
      <c r="I45" t="str">
        <f t="shared" si="12"/>
        <v>|</v>
      </c>
      <c r="J45">
        <f t="shared" si="13"/>
        <v>1</v>
      </c>
      <c r="K45" t="str">
        <f t="shared" si="12"/>
        <v>|</v>
      </c>
      <c r="L45">
        <f t="shared" si="14"/>
        <v>3</v>
      </c>
      <c r="M45" t="str">
        <f t="shared" si="12"/>
        <v>|</v>
      </c>
    </row>
    <row r="46" spans="1:17" x14ac:dyDescent="0.15">
      <c r="A46" t="str">
        <f t="shared" si="10"/>
        <v>|Lv27|9|2|3|</v>
      </c>
      <c r="B46" t="s">
        <v>3</v>
      </c>
      <c r="C46" t="s">
        <v>8</v>
      </c>
      <c r="D46">
        <v>27</v>
      </c>
      <c r="E46" t="s">
        <v>3</v>
      </c>
      <c r="F46" t="s">
        <v>21</v>
      </c>
      <c r="G46" t="s">
        <v>3</v>
      </c>
      <c r="H46">
        <f t="shared" si="11"/>
        <v>9</v>
      </c>
      <c r="I46" t="str">
        <f t="shared" si="12"/>
        <v>|</v>
      </c>
      <c r="J46">
        <f t="shared" si="13"/>
        <v>2</v>
      </c>
      <c r="K46" t="str">
        <f t="shared" si="12"/>
        <v>|</v>
      </c>
      <c r="L46">
        <f t="shared" si="14"/>
        <v>3</v>
      </c>
      <c r="M46" t="str">
        <f t="shared" si="12"/>
        <v>|</v>
      </c>
    </row>
    <row r="47" spans="1:17" x14ac:dyDescent="0.15">
      <c r="A47" t="str">
        <f t="shared" si="10"/>
        <v>|Lv34|9|2|4|</v>
      </c>
      <c r="B47" t="s">
        <v>3</v>
      </c>
      <c r="C47" t="s">
        <v>8</v>
      </c>
      <c r="D47">
        <v>34</v>
      </c>
      <c r="E47" t="s">
        <v>3</v>
      </c>
      <c r="F47" t="s">
        <v>22</v>
      </c>
      <c r="G47" t="s">
        <v>3</v>
      </c>
      <c r="H47">
        <f t="shared" si="11"/>
        <v>9</v>
      </c>
      <c r="I47" t="str">
        <f t="shared" si="12"/>
        <v>|</v>
      </c>
      <c r="J47">
        <f t="shared" si="13"/>
        <v>2</v>
      </c>
      <c r="K47" t="str">
        <f t="shared" si="12"/>
        <v>|</v>
      </c>
      <c r="L47">
        <f t="shared" si="14"/>
        <v>4</v>
      </c>
      <c r="M47" t="str">
        <f t="shared" si="12"/>
        <v>|</v>
      </c>
    </row>
    <row r="48" spans="1:17" x14ac:dyDescent="0.15">
      <c r="A48" t="str">
        <f t="shared" si="10"/>
        <v>|Lv39|10|2|4|</v>
      </c>
      <c r="B48" t="s">
        <v>3</v>
      </c>
      <c r="C48" t="s">
        <v>8</v>
      </c>
      <c r="D48">
        <v>39</v>
      </c>
      <c r="E48" t="s">
        <v>3</v>
      </c>
      <c r="F48" t="s">
        <v>20</v>
      </c>
      <c r="G48" t="s">
        <v>3</v>
      </c>
      <c r="H48">
        <f t="shared" si="11"/>
        <v>10</v>
      </c>
      <c r="I48" t="str">
        <f t="shared" si="12"/>
        <v>|</v>
      </c>
      <c r="J48">
        <f t="shared" si="13"/>
        <v>2</v>
      </c>
      <c r="K48" t="str">
        <f t="shared" si="12"/>
        <v>|</v>
      </c>
      <c r="L48">
        <f t="shared" si="14"/>
        <v>4</v>
      </c>
      <c r="M48" t="str">
        <f t="shared" si="12"/>
        <v>|</v>
      </c>
    </row>
    <row r="49" spans="1:20" x14ac:dyDescent="0.15">
      <c r="A49" t="str">
        <f t="shared" si="10"/>
        <v>|Lv44|10|3|4|</v>
      </c>
      <c r="B49" t="s">
        <v>3</v>
      </c>
      <c r="C49" t="s">
        <v>8</v>
      </c>
      <c r="D49">
        <v>44</v>
      </c>
      <c r="E49" t="s">
        <v>3</v>
      </c>
      <c r="F49" t="s">
        <v>21</v>
      </c>
      <c r="G49" t="s">
        <v>3</v>
      </c>
      <c r="H49">
        <f t="shared" si="11"/>
        <v>10</v>
      </c>
      <c r="I49" t="str">
        <f t="shared" si="12"/>
        <v>|</v>
      </c>
      <c r="J49">
        <f t="shared" si="13"/>
        <v>3</v>
      </c>
      <c r="K49" t="str">
        <f t="shared" si="12"/>
        <v>|</v>
      </c>
      <c r="L49">
        <f t="shared" si="14"/>
        <v>4</v>
      </c>
      <c r="M49" t="str">
        <f t="shared" si="12"/>
        <v>|</v>
      </c>
    </row>
    <row r="50" spans="1:20" x14ac:dyDescent="0.15">
      <c r="A50" t="str">
        <f>B50&amp;C50&amp;D50&amp;G50&amp;H50&amp;I50&amp;J50&amp;K50&amp;L50&amp;M50&amp;N50&amp;O50&amp;P50&amp;Q50&amp;R50</f>
        <v>|Lv54|10|5|4|</v>
      </c>
      <c r="B50" t="s">
        <v>3</v>
      </c>
      <c r="C50" t="s">
        <v>8</v>
      </c>
      <c r="D50">
        <v>54</v>
      </c>
      <c r="E50" t="s">
        <v>3</v>
      </c>
      <c r="F50" t="s">
        <v>21</v>
      </c>
      <c r="G50" t="s">
        <v>3</v>
      </c>
      <c r="H50">
        <f t="shared" si="11"/>
        <v>10</v>
      </c>
      <c r="I50" t="str">
        <f t="shared" si="12"/>
        <v>|</v>
      </c>
      <c r="J50">
        <f>J49+IF(J$41=$F50,2,0)</f>
        <v>5</v>
      </c>
      <c r="K50" t="str">
        <f t="shared" si="12"/>
        <v>|</v>
      </c>
      <c r="L50">
        <f t="shared" si="14"/>
        <v>4</v>
      </c>
      <c r="M50" t="str">
        <f t="shared" si="12"/>
        <v>|</v>
      </c>
    </row>
    <row r="51" spans="1:20" x14ac:dyDescent="0.15">
      <c r="A51" t="str">
        <f>B51&amp;C51&amp;D51&amp;G51&amp;H51&amp;I51&amp;J51&amp;K51&amp;L51&amp;M51&amp;N51&amp;O51&amp;P51&amp;Q51&amp;R51</f>
        <v>|Lv56|10|5|6|</v>
      </c>
      <c r="B51" t="s">
        <v>3</v>
      </c>
      <c r="C51" t="s">
        <v>8</v>
      </c>
      <c r="D51">
        <v>56</v>
      </c>
      <c r="E51" t="s">
        <v>3</v>
      </c>
      <c r="F51" t="s">
        <v>22</v>
      </c>
      <c r="G51" t="s">
        <v>3</v>
      </c>
      <c r="H51">
        <f t="shared" si="11"/>
        <v>10</v>
      </c>
      <c r="I51" t="str">
        <f t="shared" si="12"/>
        <v>|</v>
      </c>
      <c r="J51">
        <f>J50+IF(J$41=$F51,1,0)</f>
        <v>5</v>
      </c>
      <c r="K51" t="str">
        <f t="shared" si="12"/>
        <v>|</v>
      </c>
      <c r="L51">
        <f>L50+IF(L$41=$F51,2,0)</f>
        <v>6</v>
      </c>
      <c r="M51" t="str">
        <f t="shared" si="12"/>
        <v>|</v>
      </c>
    </row>
    <row r="52" spans="1:20" x14ac:dyDescent="0.15">
      <c r="A52" t="str">
        <f>B52&amp;C52&amp;D52&amp;G52&amp;H52&amp;I52&amp;J52&amp;K52&amp;L52&amp;M52&amp;N52&amp;O52&amp;P52&amp;Q52&amp;R52</f>
        <v>|Lv57|10|7|6|</v>
      </c>
      <c r="B52" t="s">
        <v>3</v>
      </c>
      <c r="C52" t="s">
        <v>8</v>
      </c>
      <c r="D52">
        <v>57</v>
      </c>
      <c r="E52" t="s">
        <v>3</v>
      </c>
      <c r="F52" t="s">
        <v>21</v>
      </c>
      <c r="G52" t="s">
        <v>3</v>
      </c>
      <c r="H52">
        <f t="shared" si="11"/>
        <v>10</v>
      </c>
      <c r="I52" t="str">
        <f t="shared" si="12"/>
        <v>|</v>
      </c>
      <c r="J52">
        <f>J51+IF(J$41=$F52,2,0)</f>
        <v>7</v>
      </c>
      <c r="K52" t="str">
        <f t="shared" si="12"/>
        <v>|</v>
      </c>
      <c r="L52">
        <f>L51+IF(L$41=$F52,1,0)</f>
        <v>6</v>
      </c>
      <c r="M52" t="str">
        <f t="shared" si="12"/>
        <v>|</v>
      </c>
    </row>
    <row r="53" spans="1:20" x14ac:dyDescent="0.15">
      <c r="A53" t="str">
        <f t="shared" ref="A53:A75" si="15">B53&amp;C53&amp;D53&amp;E53&amp;F53&amp;G53&amp;H53&amp;I53&amp;J53&amp;K53&amp;L53&amp;M53&amp;N53&amp;O53&amp;P53</f>
        <v>&amp;br;</v>
      </c>
      <c r="B53" t="s">
        <v>0</v>
      </c>
    </row>
    <row r="54" spans="1:20" x14ac:dyDescent="0.15">
      <c r="A54" t="str">
        <f t="shared" si="15"/>
        <v>&amp;br;</v>
      </c>
      <c r="B54" t="s">
        <v>0</v>
      </c>
    </row>
    <row r="55" spans="1:20" x14ac:dyDescent="0.15">
      <c r="A55" t="str">
        <f t="shared" si="15"/>
        <v>*PW能力一覧 [#a469e89f]</v>
      </c>
      <c r="B55" t="s">
        <v>23</v>
      </c>
    </row>
    <row r="56" spans="1:20" x14ac:dyDescent="0.15">
      <c r="A56" t="str">
        <f t="shared" si="15"/>
        <v>・日本語版では翻訳ミスにより第1能力と第2能力の名称が同一である。</v>
      </c>
      <c r="B56" t="s">
        <v>321</v>
      </c>
    </row>
    <row r="57" spans="1:20" x14ac:dyDescent="0.15">
      <c r="A57" t="str">
        <f t="shared" si="15"/>
        <v>**第1能力：自然の恵み/Nature's Bounty</v>
      </c>
      <c r="B57" t="s">
        <v>24</v>
      </c>
      <c r="D57" t="s">
        <v>322</v>
      </c>
      <c r="F57" t="s">
        <v>323</v>
      </c>
      <c r="R57" t="str">
        <f>D57&amp;E57&amp;F57</f>
        <v>自然の恵み/Nature's Bounty</v>
      </c>
      <c r="S57" t="s">
        <v>3</v>
      </c>
      <c r="T57">
        <f>H63</f>
        <v>9</v>
      </c>
    </row>
    <row r="58" spans="1:20" x14ac:dyDescent="0.15">
      <c r="A58" t="str">
        <f t="shared" si="15"/>
        <v>|LEFT:50|LEFT:50|LEFT:50|LEFT:300|c</v>
      </c>
      <c r="B58" t="s">
        <v>3</v>
      </c>
      <c r="C58" t="s">
        <v>4</v>
      </c>
      <c r="E58" t="s">
        <v>3</v>
      </c>
      <c r="F58" t="s">
        <v>4</v>
      </c>
      <c r="G58" t="s">
        <v>3</v>
      </c>
      <c r="H58" t="s">
        <v>4</v>
      </c>
      <c r="I58" t="s">
        <v>3</v>
      </c>
      <c r="J58" t="s">
        <v>26</v>
      </c>
      <c r="K58" t="s">
        <v>3</v>
      </c>
      <c r="L58" t="s">
        <v>5</v>
      </c>
      <c r="R58" t="s">
        <v>209</v>
      </c>
      <c r="S58" t="s">
        <v>3</v>
      </c>
      <c r="T58" t="str">
        <f>J63</f>
        <v>カードを1枚引き、3マナを得る。&amp;br;3個のジェムを緑に変換して、3点のライフを得る。</v>
      </c>
    </row>
    <row r="59" spans="1:20" x14ac:dyDescent="0.15">
      <c r="A59" t="str">
        <f t="shared" si="15"/>
        <v>|解放Lv|レベル|コスト|効果|</v>
      </c>
      <c r="B59" t="s">
        <v>3</v>
      </c>
      <c r="C59" t="s">
        <v>27</v>
      </c>
      <c r="E59" t="s">
        <v>3</v>
      </c>
      <c r="F59" t="s">
        <v>6</v>
      </c>
      <c r="G59" t="s">
        <v>3</v>
      </c>
      <c r="H59" t="s">
        <v>28</v>
      </c>
      <c r="I59" t="s">
        <v>3</v>
      </c>
      <c r="J59" t="s">
        <v>29</v>
      </c>
      <c r="K59" t="s">
        <v>3</v>
      </c>
      <c r="R59" t="str">
        <f>D66&amp;E66&amp;F66</f>
        <v>自然の恵み/Nature's gift</v>
      </c>
      <c r="S59" t="s">
        <v>3</v>
      </c>
      <c r="T59">
        <f>H72</f>
        <v>15</v>
      </c>
    </row>
    <row r="60" spans="1:20" x14ac:dyDescent="0.15">
      <c r="A60" t="str">
        <f t="shared" si="15"/>
        <v>|Lv2|Lv1|9|カードを1枚引く。|</v>
      </c>
      <c r="B60" t="s">
        <v>3</v>
      </c>
      <c r="C60" t="s">
        <v>8</v>
      </c>
      <c r="D60">
        <v>2</v>
      </c>
      <c r="E60" t="s">
        <v>3</v>
      </c>
      <c r="F60" t="s">
        <v>30</v>
      </c>
      <c r="G60" t="s">
        <v>3</v>
      </c>
      <c r="H60">
        <v>9</v>
      </c>
      <c r="I60" t="s">
        <v>3</v>
      </c>
      <c r="J60" t="s">
        <v>324</v>
      </c>
      <c r="K60" t="s">
        <v>3</v>
      </c>
      <c r="R60" t="s">
        <v>209</v>
      </c>
      <c r="S60" t="s">
        <v>3</v>
      </c>
      <c r="T60" t="str">
        <f>J72</f>
        <v>あなたの次のターン開始時まで、あなたの各クリーチャーは+7/+7の修正を受ける。</v>
      </c>
    </row>
    <row r="61" spans="1:20" x14ac:dyDescent="0.15">
      <c r="A61" t="str">
        <f t="shared" si="15"/>
        <v>|Lv8|Lv2|9|カードを1枚引き、3マナを得る。|</v>
      </c>
      <c r="B61" t="s">
        <v>3</v>
      </c>
      <c r="C61" t="s">
        <v>8</v>
      </c>
      <c r="D61">
        <v>8</v>
      </c>
      <c r="E61" t="s">
        <v>3</v>
      </c>
      <c r="F61" t="s">
        <v>31</v>
      </c>
      <c r="G61" t="s">
        <v>3</v>
      </c>
      <c r="H61">
        <v>9</v>
      </c>
      <c r="I61" t="s">
        <v>3</v>
      </c>
      <c r="J61" t="s">
        <v>325</v>
      </c>
      <c r="K61" t="s">
        <v>3</v>
      </c>
      <c r="R61" t="str">
        <f>D75&amp;E75&amp;F75</f>
        <v>自然の再生/Nature's Regrowth</v>
      </c>
      <c r="S61" t="s">
        <v>3</v>
      </c>
      <c r="T61">
        <f>H81</f>
        <v>24</v>
      </c>
    </row>
    <row r="62" spans="1:20" x14ac:dyDescent="0.15">
      <c r="A62" t="str">
        <f t="shared" si="15"/>
        <v>|Lv38|Lv3|9|カードを1枚引き、3マナを得る。3個のジェムを緑に変換する。|</v>
      </c>
      <c r="B62" t="s">
        <v>3</v>
      </c>
      <c r="C62" t="s">
        <v>8</v>
      </c>
      <c r="D62">
        <v>38</v>
      </c>
      <c r="E62" t="s">
        <v>3</v>
      </c>
      <c r="F62" t="s">
        <v>32</v>
      </c>
      <c r="G62" t="s">
        <v>3</v>
      </c>
      <c r="H62">
        <v>9</v>
      </c>
      <c r="I62" t="s">
        <v>3</v>
      </c>
      <c r="J62" t="s">
        <v>326</v>
      </c>
      <c r="K62" t="s">
        <v>3</v>
      </c>
      <c r="R62" t="s">
        <v>209</v>
      </c>
      <c r="S62" t="s">
        <v>3</v>
      </c>
      <c r="T62" t="str">
        <f>J81</f>
        <v>25個のジェムを緑に変換する。</v>
      </c>
    </row>
    <row r="63" spans="1:20" x14ac:dyDescent="0.15">
      <c r="A63" t="str">
        <f t="shared" si="15"/>
        <v>|Lv51|Lv4|9|カードを1枚引き、3マナを得る。&amp;br;3個のジェムを緑に変換して、3点のライフを得る。|</v>
      </c>
      <c r="B63" t="s">
        <v>3</v>
      </c>
      <c r="C63" t="s">
        <v>8</v>
      </c>
      <c r="D63">
        <v>51</v>
      </c>
      <c r="E63" t="s">
        <v>3</v>
      </c>
      <c r="F63" t="s">
        <v>33</v>
      </c>
      <c r="G63" t="s">
        <v>3</v>
      </c>
      <c r="H63">
        <v>9</v>
      </c>
      <c r="I63" t="s">
        <v>3</v>
      </c>
      <c r="J63" t="s">
        <v>327</v>
      </c>
      <c r="K63" t="s">
        <v>3</v>
      </c>
    </row>
    <row r="64" spans="1:20" x14ac:dyDescent="0.15">
      <c r="A64" t="str">
        <f t="shared" si="15"/>
        <v>&amp;br;</v>
      </c>
      <c r="B64" t="s">
        <v>0</v>
      </c>
    </row>
    <row r="65" spans="1:12" x14ac:dyDescent="0.15">
      <c r="A65" t="str">
        <f t="shared" si="15"/>
        <v>&amp;br;</v>
      </c>
      <c r="B65" t="s">
        <v>0</v>
      </c>
    </row>
    <row r="66" spans="1:12" x14ac:dyDescent="0.15">
      <c r="A66" t="str">
        <f t="shared" si="15"/>
        <v>**第2能力：自然の恵み/Nature's gift</v>
      </c>
      <c r="B66" t="s">
        <v>34</v>
      </c>
      <c r="D66" t="s">
        <v>322</v>
      </c>
      <c r="F66" t="s">
        <v>328</v>
      </c>
    </row>
    <row r="67" spans="1:12" x14ac:dyDescent="0.15">
      <c r="A67" t="str">
        <f t="shared" si="15"/>
        <v>|LEFT:50|LEFT:50|LEFT:50|LEFT:300|c</v>
      </c>
      <c r="B67" t="s">
        <v>3</v>
      </c>
      <c r="C67" t="s">
        <v>4</v>
      </c>
      <c r="E67" t="s">
        <v>3</v>
      </c>
      <c r="F67" t="s">
        <v>4</v>
      </c>
      <c r="G67" t="s">
        <v>3</v>
      </c>
      <c r="H67" t="s">
        <v>4</v>
      </c>
      <c r="I67" t="s">
        <v>3</v>
      </c>
      <c r="J67" t="s">
        <v>26</v>
      </c>
      <c r="K67" t="s">
        <v>3</v>
      </c>
      <c r="L67" t="s">
        <v>5</v>
      </c>
    </row>
    <row r="68" spans="1:12" x14ac:dyDescent="0.15">
      <c r="A68" t="str">
        <f t="shared" si="15"/>
        <v>|解放Lv|レベル|コスト|効果|</v>
      </c>
      <c r="B68" t="s">
        <v>3</v>
      </c>
      <c r="C68" t="s">
        <v>27</v>
      </c>
      <c r="E68" t="s">
        <v>3</v>
      </c>
      <c r="F68" t="s">
        <v>6</v>
      </c>
      <c r="G68" t="s">
        <v>3</v>
      </c>
      <c r="H68" t="s">
        <v>28</v>
      </c>
      <c r="I68" t="s">
        <v>3</v>
      </c>
      <c r="J68" t="s">
        <v>29</v>
      </c>
      <c r="K68" t="s">
        <v>3</v>
      </c>
    </row>
    <row r="69" spans="1:12" x14ac:dyDescent="0.15">
      <c r="A69" t="str">
        <f t="shared" si="15"/>
        <v>|Lv14|Lv1|15|あなたの次のターン開始時まで、あなたの各クリーチャーは+3/+3の修正を受ける。|</v>
      </c>
      <c r="B69" t="s">
        <v>3</v>
      </c>
      <c r="C69" t="s">
        <v>8</v>
      </c>
      <c r="D69">
        <v>14</v>
      </c>
      <c r="E69" t="s">
        <v>3</v>
      </c>
      <c r="F69" t="s">
        <v>30</v>
      </c>
      <c r="G69" t="s">
        <v>3</v>
      </c>
      <c r="H69">
        <v>15</v>
      </c>
      <c r="I69" t="s">
        <v>3</v>
      </c>
      <c r="J69" s="8" t="s">
        <v>685</v>
      </c>
      <c r="K69" t="s">
        <v>3</v>
      </c>
    </row>
    <row r="70" spans="1:12" x14ac:dyDescent="0.15">
      <c r="A70" t="str">
        <f t="shared" si="15"/>
        <v>|Lv20|Lv2|15|あなたの次のターン開始時まで、あなたの各クリーチャーは+4/+4の修正を受ける。|</v>
      </c>
      <c r="B70" t="s">
        <v>3</v>
      </c>
      <c r="C70" t="s">
        <v>8</v>
      </c>
      <c r="D70">
        <v>20</v>
      </c>
      <c r="E70" t="s">
        <v>3</v>
      </c>
      <c r="F70" t="s">
        <v>31</v>
      </c>
      <c r="G70" t="s">
        <v>3</v>
      </c>
      <c r="H70">
        <v>15</v>
      </c>
      <c r="I70" t="s">
        <v>3</v>
      </c>
      <c r="J70" s="8" t="s">
        <v>686</v>
      </c>
      <c r="K70" t="s">
        <v>3</v>
      </c>
    </row>
    <row r="71" spans="1:12" x14ac:dyDescent="0.15">
      <c r="A71" t="str">
        <f t="shared" si="15"/>
        <v>|Lv45|Lv3|15|あなたの次のターン開始時まで、あなたの各クリーチャーは+5/+5の修正を受ける。|</v>
      </c>
      <c r="B71" t="s">
        <v>3</v>
      </c>
      <c r="C71" t="s">
        <v>8</v>
      </c>
      <c r="D71">
        <v>45</v>
      </c>
      <c r="E71" t="s">
        <v>3</v>
      </c>
      <c r="F71" t="s">
        <v>32</v>
      </c>
      <c r="G71" t="s">
        <v>3</v>
      </c>
      <c r="H71">
        <v>15</v>
      </c>
      <c r="I71" t="s">
        <v>3</v>
      </c>
      <c r="J71" s="8" t="s">
        <v>687</v>
      </c>
      <c r="K71" t="s">
        <v>3</v>
      </c>
    </row>
    <row r="72" spans="1:12" x14ac:dyDescent="0.15">
      <c r="A72" t="str">
        <f t="shared" si="15"/>
        <v>|Lv55|Lv4|15|あなたの次のターン開始時まで、あなたの各クリーチャーは+7/+7の修正を受ける。|</v>
      </c>
      <c r="B72" t="s">
        <v>3</v>
      </c>
      <c r="C72" t="s">
        <v>8</v>
      </c>
      <c r="D72">
        <v>55</v>
      </c>
      <c r="E72" t="s">
        <v>3</v>
      </c>
      <c r="F72" t="s">
        <v>33</v>
      </c>
      <c r="G72" t="s">
        <v>3</v>
      </c>
      <c r="H72">
        <v>15</v>
      </c>
      <c r="I72" t="s">
        <v>3</v>
      </c>
      <c r="J72" s="8" t="s">
        <v>688</v>
      </c>
      <c r="K72" t="s">
        <v>3</v>
      </c>
    </row>
    <row r="73" spans="1:12" x14ac:dyDescent="0.15">
      <c r="A73" t="str">
        <f t="shared" si="15"/>
        <v>&amp;br;</v>
      </c>
      <c r="B73" t="s">
        <v>0</v>
      </c>
    </row>
    <row r="74" spans="1:12" x14ac:dyDescent="0.15">
      <c r="A74" t="str">
        <f t="shared" si="15"/>
        <v>&amp;br;</v>
      </c>
      <c r="B74" t="s">
        <v>0</v>
      </c>
    </row>
    <row r="75" spans="1:12" x14ac:dyDescent="0.15">
      <c r="A75" t="str">
        <f t="shared" si="15"/>
        <v>**第3能力：自然の再生/Nature's Regrowth</v>
      </c>
      <c r="B75" t="s">
        <v>35</v>
      </c>
      <c r="D75" t="s">
        <v>329</v>
      </c>
      <c r="F75" t="s">
        <v>330</v>
      </c>
    </row>
    <row r="76" spans="1:12" x14ac:dyDescent="0.15">
      <c r="A76" t="str">
        <f t="shared" ref="A76:A139" si="16">B76&amp;C76&amp;D76&amp;E76&amp;F76&amp;G76&amp;H76&amp;I76&amp;J76&amp;K76&amp;L76&amp;M76&amp;N76&amp;O76&amp;P76</f>
        <v>|LEFT:50|LEFT:50|LEFT:50|LEFT:300|c</v>
      </c>
      <c r="B76" t="s">
        <v>3</v>
      </c>
      <c r="C76" t="s">
        <v>4</v>
      </c>
      <c r="E76" t="s">
        <v>3</v>
      </c>
      <c r="F76" t="s">
        <v>4</v>
      </c>
      <c r="G76" t="s">
        <v>3</v>
      </c>
      <c r="H76" t="s">
        <v>4</v>
      </c>
      <c r="I76" t="s">
        <v>3</v>
      </c>
      <c r="J76" t="s">
        <v>26</v>
      </c>
      <c r="K76" t="s">
        <v>3</v>
      </c>
      <c r="L76" t="s">
        <v>5</v>
      </c>
    </row>
    <row r="77" spans="1:12" x14ac:dyDescent="0.15">
      <c r="A77" t="str">
        <f t="shared" si="16"/>
        <v>|解放Lv|レベル|コスト|効果|</v>
      </c>
      <c r="B77" t="s">
        <v>3</v>
      </c>
      <c r="C77" t="s">
        <v>27</v>
      </c>
      <c r="E77" t="s">
        <v>3</v>
      </c>
      <c r="F77" t="s">
        <v>6</v>
      </c>
      <c r="G77" t="s">
        <v>3</v>
      </c>
      <c r="H77" t="s">
        <v>28</v>
      </c>
      <c r="I77" t="s">
        <v>3</v>
      </c>
      <c r="J77" t="s">
        <v>29</v>
      </c>
      <c r="K77" t="s">
        <v>3</v>
      </c>
    </row>
    <row r="78" spans="1:12" x14ac:dyDescent="0.15">
      <c r="A78" t="str">
        <f t="shared" si="16"/>
        <v>|Lv26|Lv1|24|10個のジェムを緑に変換する。|</v>
      </c>
      <c r="B78" t="s">
        <v>3</v>
      </c>
      <c r="C78" t="s">
        <v>8</v>
      </c>
      <c r="D78">
        <v>26</v>
      </c>
      <c r="E78" t="s">
        <v>3</v>
      </c>
      <c r="F78" t="s">
        <v>30</v>
      </c>
      <c r="G78" t="s">
        <v>3</v>
      </c>
      <c r="H78">
        <v>24</v>
      </c>
      <c r="I78" t="s">
        <v>3</v>
      </c>
      <c r="J78" t="s">
        <v>331</v>
      </c>
      <c r="K78" t="s">
        <v>3</v>
      </c>
    </row>
    <row r="79" spans="1:12" x14ac:dyDescent="0.15">
      <c r="A79" t="str">
        <f t="shared" si="16"/>
        <v>|Lv32|Lv2|24|15個のジェムを緑に変換する。|</v>
      </c>
      <c r="B79" t="s">
        <v>3</v>
      </c>
      <c r="C79" t="s">
        <v>8</v>
      </c>
      <c r="D79">
        <v>32</v>
      </c>
      <c r="E79" t="s">
        <v>3</v>
      </c>
      <c r="F79" t="s">
        <v>31</v>
      </c>
      <c r="G79" t="s">
        <v>3</v>
      </c>
      <c r="H79">
        <v>24</v>
      </c>
      <c r="I79" t="s">
        <v>3</v>
      </c>
      <c r="J79" t="s">
        <v>332</v>
      </c>
      <c r="K79" t="s">
        <v>3</v>
      </c>
    </row>
    <row r="80" spans="1:12" x14ac:dyDescent="0.15">
      <c r="A80" t="str">
        <f t="shared" si="16"/>
        <v>|Lv50|Lv3|24|20個のジェムを緑に変換する。|</v>
      </c>
      <c r="B80" t="s">
        <v>3</v>
      </c>
      <c r="C80" t="s">
        <v>8</v>
      </c>
      <c r="D80">
        <v>50</v>
      </c>
      <c r="E80" t="s">
        <v>3</v>
      </c>
      <c r="F80" t="s">
        <v>32</v>
      </c>
      <c r="G80" t="s">
        <v>3</v>
      </c>
      <c r="H80">
        <v>24</v>
      </c>
      <c r="I80" t="s">
        <v>3</v>
      </c>
      <c r="J80" t="s">
        <v>333</v>
      </c>
      <c r="K80" t="s">
        <v>3</v>
      </c>
    </row>
    <row r="81" spans="1:17" x14ac:dyDescent="0.15">
      <c r="A81" t="str">
        <f t="shared" si="16"/>
        <v>|Lv60|Lv4|24|25個のジェムを緑に変換する。|</v>
      </c>
      <c r="B81" t="s">
        <v>3</v>
      </c>
      <c r="C81" t="s">
        <v>8</v>
      </c>
      <c r="D81">
        <v>60</v>
      </c>
      <c r="E81" t="s">
        <v>3</v>
      </c>
      <c r="F81" t="s">
        <v>33</v>
      </c>
      <c r="G81" t="s">
        <v>3</v>
      </c>
      <c r="H81">
        <v>24</v>
      </c>
      <c r="I81" t="s">
        <v>3</v>
      </c>
      <c r="J81" t="s">
        <v>334</v>
      </c>
      <c r="K81" t="s">
        <v>3</v>
      </c>
    </row>
    <row r="82" spans="1:17" x14ac:dyDescent="0.15">
      <c r="A82" t="str">
        <f t="shared" si="16"/>
        <v>&amp;br;</v>
      </c>
      <c r="B82" t="s">
        <v>0</v>
      </c>
    </row>
    <row r="83" spans="1:17" x14ac:dyDescent="0.15">
      <c r="A83" t="str">
        <f t="shared" si="16"/>
        <v>&amp;br;</v>
      </c>
      <c r="B83" t="s">
        <v>0</v>
      </c>
    </row>
    <row r="84" spans="1:17" x14ac:dyDescent="0.15">
      <c r="A84" t="str">
        <f t="shared" si="16"/>
        <v>*レベルアップ報酬一覧 [#k0cef29c]</v>
      </c>
      <c r="B84" t="s">
        <v>36</v>
      </c>
    </row>
    <row r="85" spans="1:17" x14ac:dyDescent="0.15">
      <c r="A85" t="str">
        <f t="shared" si="16"/>
        <v>|LEFT:50|LEFT:100|c</v>
      </c>
      <c r="B85" t="s">
        <v>3</v>
      </c>
      <c r="C85" t="s">
        <v>4</v>
      </c>
      <c r="E85" t="s">
        <v>3</v>
      </c>
      <c r="F85" t="s">
        <v>37</v>
      </c>
      <c r="I85" t="s">
        <v>3</v>
      </c>
      <c r="J85" t="s">
        <v>5</v>
      </c>
    </row>
    <row r="86" spans="1:17" x14ac:dyDescent="0.15">
      <c r="A86" t="str">
        <f t="shared" si="16"/>
        <v>|レベル|報酬|</v>
      </c>
      <c r="B86" t="s">
        <v>3</v>
      </c>
      <c r="C86" t="s">
        <v>6</v>
      </c>
      <c r="E86" t="s">
        <v>3</v>
      </c>
      <c r="F86" t="s">
        <v>38</v>
      </c>
      <c r="I86" t="s">
        <v>3</v>
      </c>
      <c r="Q86" t="s">
        <v>62</v>
      </c>
    </row>
    <row r="87" spans="1:17" x14ac:dyDescent="0.15">
      <c r="A87" t="str">
        <f t="shared" si="16"/>
        <v>|Lｖ2|第1能力Lv1|</v>
      </c>
      <c r="B87" t="s">
        <v>3</v>
      </c>
      <c r="C87" t="s">
        <v>63</v>
      </c>
      <c r="E87" t="s">
        <v>3</v>
      </c>
      <c r="F87" t="s">
        <v>40</v>
      </c>
      <c r="H87">
        <v>1</v>
      </c>
      <c r="I87" t="s">
        <v>3</v>
      </c>
      <c r="Q87" t="s">
        <v>64</v>
      </c>
    </row>
    <row r="88" spans="1:17" x14ac:dyDescent="0.15">
      <c r="A88" t="str">
        <f t="shared" si="16"/>
        <v>|Lｖ3|回復速度上昇|</v>
      </c>
      <c r="B88" t="s">
        <v>3</v>
      </c>
      <c r="C88" t="s">
        <v>65</v>
      </c>
      <c r="E88" t="s">
        <v>3</v>
      </c>
      <c r="F88" t="s">
        <v>43</v>
      </c>
      <c r="I88" t="s">
        <v>3</v>
      </c>
      <c r="Q88" t="s">
        <v>66</v>
      </c>
    </row>
    <row r="89" spans="1:17" x14ac:dyDescent="0.15">
      <c r="A89" t="str">
        <f t="shared" si="16"/>
        <v>|Lｖ4|HP+4|</v>
      </c>
      <c r="B89" t="s">
        <v>3</v>
      </c>
      <c r="C89" t="s">
        <v>67</v>
      </c>
      <c r="E89" t="s">
        <v>3</v>
      </c>
      <c r="F89" t="s">
        <v>62</v>
      </c>
      <c r="H89">
        <v>4</v>
      </c>
      <c r="I89" t="s">
        <v>3</v>
      </c>
      <c r="Q89" t="s">
        <v>68</v>
      </c>
    </row>
    <row r="90" spans="1:17" x14ac:dyDescent="0.15">
      <c r="A90" t="str">
        <f t="shared" si="16"/>
        <v>|Lｖ5|回復速度上昇|</v>
      </c>
      <c r="B90" t="s">
        <v>3</v>
      </c>
      <c r="C90" t="s">
        <v>69</v>
      </c>
      <c r="E90" t="s">
        <v>3</v>
      </c>
      <c r="F90" t="s">
        <v>43</v>
      </c>
      <c r="I90" t="s">
        <v>3</v>
      </c>
      <c r="Q90" t="s">
        <v>70</v>
      </c>
    </row>
    <row r="91" spans="1:17" x14ac:dyDescent="0.15">
      <c r="A91" t="str">
        <f t="shared" si="16"/>
        <v>|Lｖ6|緑+1|</v>
      </c>
      <c r="B91" t="s">
        <v>3</v>
      </c>
      <c r="C91" t="s">
        <v>71</v>
      </c>
      <c r="E91" t="s">
        <v>3</v>
      </c>
      <c r="F91" t="s">
        <v>78</v>
      </c>
      <c r="H91">
        <v>1</v>
      </c>
      <c r="I91" t="s">
        <v>3</v>
      </c>
      <c r="Q91" t="s">
        <v>72</v>
      </c>
    </row>
    <row r="92" spans="1:17" x14ac:dyDescent="0.15">
      <c r="A92" t="str">
        <f t="shared" si="16"/>
        <v>|Lｖ7|HP+4|</v>
      </c>
      <c r="B92" t="s">
        <v>3</v>
      </c>
      <c r="C92" t="s">
        <v>73</v>
      </c>
      <c r="E92" t="s">
        <v>3</v>
      </c>
      <c r="F92" t="s">
        <v>62</v>
      </c>
      <c r="H92">
        <v>4</v>
      </c>
      <c r="I92" t="s">
        <v>3</v>
      </c>
      <c r="Q92" t="s">
        <v>74</v>
      </c>
    </row>
    <row r="93" spans="1:17" x14ac:dyDescent="0.15">
      <c r="A93" t="str">
        <f t="shared" si="16"/>
        <v>|Lｖ8|第1能力Lv2|</v>
      </c>
      <c r="B93" t="s">
        <v>3</v>
      </c>
      <c r="C93" t="s">
        <v>75</v>
      </c>
      <c r="E93" t="s">
        <v>3</v>
      </c>
      <c r="F93" t="s">
        <v>40</v>
      </c>
      <c r="H93">
        <v>2</v>
      </c>
      <c r="I93" t="s">
        <v>3</v>
      </c>
      <c r="Q93" t="s">
        <v>76</v>
      </c>
    </row>
    <row r="94" spans="1:17" x14ac:dyDescent="0.15">
      <c r="A94" t="str">
        <f t="shared" si="16"/>
        <v>|Lｖ9|クリーチャー+1|</v>
      </c>
      <c r="B94" t="s">
        <v>3</v>
      </c>
      <c r="C94" t="s">
        <v>77</v>
      </c>
      <c r="E94" t="s">
        <v>3</v>
      </c>
      <c r="F94" t="s">
        <v>64</v>
      </c>
      <c r="H94">
        <v>1</v>
      </c>
      <c r="I94" t="s">
        <v>3</v>
      </c>
      <c r="Q94" t="s">
        <v>78</v>
      </c>
    </row>
    <row r="95" spans="1:17" x14ac:dyDescent="0.15">
      <c r="A95" t="str">
        <f t="shared" si="16"/>
        <v>|Lｖ10|HP+4|</v>
      </c>
      <c r="B95" t="s">
        <v>3</v>
      </c>
      <c r="C95" t="s">
        <v>79</v>
      </c>
      <c r="E95" t="s">
        <v>3</v>
      </c>
      <c r="F95" t="s">
        <v>62</v>
      </c>
      <c r="H95">
        <v>4</v>
      </c>
      <c r="I95" t="s">
        <v>3</v>
      </c>
      <c r="Q95" t="s">
        <v>40</v>
      </c>
    </row>
    <row r="96" spans="1:17" x14ac:dyDescent="0.15">
      <c r="A96" t="str">
        <f t="shared" si="16"/>
        <v>|Lｖ11|回復速度上昇|</v>
      </c>
      <c r="B96" t="s">
        <v>3</v>
      </c>
      <c r="C96" t="s">
        <v>80</v>
      </c>
      <c r="E96" t="s">
        <v>3</v>
      </c>
      <c r="F96" t="s">
        <v>43</v>
      </c>
      <c r="I96" t="s">
        <v>3</v>
      </c>
      <c r="Q96" t="s">
        <v>41</v>
      </c>
    </row>
    <row r="97" spans="1:17" x14ac:dyDescent="0.15">
      <c r="A97" t="str">
        <f t="shared" si="16"/>
        <v>|Lｖ12|回復速度上昇|</v>
      </c>
      <c r="B97" t="s">
        <v>3</v>
      </c>
      <c r="C97" t="s">
        <v>81</v>
      </c>
      <c r="E97" t="s">
        <v>3</v>
      </c>
      <c r="F97" t="s">
        <v>43</v>
      </c>
      <c r="I97" t="s">
        <v>3</v>
      </c>
      <c r="Q97" t="s">
        <v>42</v>
      </c>
    </row>
    <row r="98" spans="1:17" x14ac:dyDescent="0.15">
      <c r="A98" t="str">
        <f t="shared" si="16"/>
        <v>|Lｖ13|HP+4|</v>
      </c>
      <c r="B98" t="s">
        <v>3</v>
      </c>
      <c r="C98" t="s">
        <v>82</v>
      </c>
      <c r="E98" t="s">
        <v>3</v>
      </c>
      <c r="F98" t="s">
        <v>62</v>
      </c>
      <c r="H98">
        <v>4</v>
      </c>
      <c r="I98" t="s">
        <v>3</v>
      </c>
      <c r="Q98" t="s">
        <v>43</v>
      </c>
    </row>
    <row r="99" spans="1:17" x14ac:dyDescent="0.15">
      <c r="A99" t="str">
        <f t="shared" si="16"/>
        <v>|Lｖ14|第2能力Lv1|</v>
      </c>
      <c r="B99" t="s">
        <v>3</v>
      </c>
      <c r="C99" t="s">
        <v>83</v>
      </c>
      <c r="E99" t="s">
        <v>3</v>
      </c>
      <c r="F99" t="s">
        <v>41</v>
      </c>
      <c r="H99">
        <v>1</v>
      </c>
      <c r="I99" t="s">
        <v>3</v>
      </c>
    </row>
    <row r="100" spans="1:17" x14ac:dyDescent="0.15">
      <c r="A100" t="str">
        <f t="shared" si="16"/>
        <v>|Lｖ15|白+1|</v>
      </c>
      <c r="B100" t="s">
        <v>3</v>
      </c>
      <c r="C100" t="s">
        <v>84</v>
      </c>
      <c r="E100" t="s">
        <v>3</v>
      </c>
      <c r="F100" t="s">
        <v>70</v>
      </c>
      <c r="H100">
        <v>1</v>
      </c>
      <c r="I100" t="s">
        <v>3</v>
      </c>
    </row>
    <row r="101" spans="1:17" x14ac:dyDescent="0.15">
      <c r="A101" t="str">
        <f t="shared" si="16"/>
        <v>|Lｖ16|HP+4|</v>
      </c>
      <c r="B101" t="s">
        <v>3</v>
      </c>
      <c r="C101" t="s">
        <v>85</v>
      </c>
      <c r="E101" t="s">
        <v>3</v>
      </c>
      <c r="F101" t="s">
        <v>62</v>
      </c>
      <c r="H101">
        <v>4</v>
      </c>
      <c r="I101" t="s">
        <v>3</v>
      </c>
    </row>
    <row r="102" spans="1:17" x14ac:dyDescent="0.15">
      <c r="A102" t="str">
        <f t="shared" si="16"/>
        <v>|Lｖ17|サポート+1|</v>
      </c>
      <c r="B102" t="s">
        <v>3</v>
      </c>
      <c r="C102" t="s">
        <v>86</v>
      </c>
      <c r="E102" t="s">
        <v>3</v>
      </c>
      <c r="F102" t="s">
        <v>68</v>
      </c>
      <c r="H102">
        <v>1</v>
      </c>
      <c r="I102" t="s">
        <v>3</v>
      </c>
    </row>
    <row r="103" spans="1:17" x14ac:dyDescent="0.15">
      <c r="A103" t="str">
        <f t="shared" si="16"/>
        <v>|Lｖ18|回復速度上昇|</v>
      </c>
      <c r="B103" t="s">
        <v>3</v>
      </c>
      <c r="C103" t="s">
        <v>87</v>
      </c>
      <c r="E103" t="s">
        <v>3</v>
      </c>
      <c r="F103" t="s">
        <v>43</v>
      </c>
      <c r="I103" t="s">
        <v>3</v>
      </c>
    </row>
    <row r="104" spans="1:17" x14ac:dyDescent="0.15">
      <c r="A104" t="str">
        <f t="shared" si="16"/>
        <v>|Lｖ19|HP+4|</v>
      </c>
      <c r="B104" t="s">
        <v>3</v>
      </c>
      <c r="C104" t="s">
        <v>88</v>
      </c>
      <c r="E104" t="s">
        <v>3</v>
      </c>
      <c r="F104" t="s">
        <v>62</v>
      </c>
      <c r="H104">
        <v>4</v>
      </c>
      <c r="I104" t="s">
        <v>3</v>
      </c>
    </row>
    <row r="105" spans="1:17" x14ac:dyDescent="0.15">
      <c r="A105" t="str">
        <f t="shared" si="16"/>
        <v>|Lｖ20|第2能力Lv2|</v>
      </c>
      <c r="B105" t="s">
        <v>3</v>
      </c>
      <c r="C105" t="s">
        <v>89</v>
      </c>
      <c r="E105" t="s">
        <v>3</v>
      </c>
      <c r="F105" t="s">
        <v>41</v>
      </c>
      <c r="H105">
        <v>2</v>
      </c>
      <c r="I105" t="s">
        <v>3</v>
      </c>
    </row>
    <row r="106" spans="1:17" x14ac:dyDescent="0.15">
      <c r="A106" t="str">
        <f t="shared" si="16"/>
        <v>|Lｖ21|回復速度上昇|</v>
      </c>
      <c r="B106" t="s">
        <v>3</v>
      </c>
      <c r="C106" t="s">
        <v>90</v>
      </c>
      <c r="E106" t="s">
        <v>3</v>
      </c>
      <c r="F106" t="s">
        <v>43</v>
      </c>
      <c r="I106" t="s">
        <v>3</v>
      </c>
    </row>
    <row r="107" spans="1:17" x14ac:dyDescent="0.15">
      <c r="A107" t="str">
        <f t="shared" si="16"/>
        <v>|Lｖ22|HP+4|</v>
      </c>
      <c r="B107" t="s">
        <v>3</v>
      </c>
      <c r="C107" t="s">
        <v>91</v>
      </c>
      <c r="E107" t="s">
        <v>3</v>
      </c>
      <c r="F107" t="s">
        <v>62</v>
      </c>
      <c r="H107">
        <v>4</v>
      </c>
      <c r="I107" t="s">
        <v>3</v>
      </c>
    </row>
    <row r="108" spans="1:17" x14ac:dyDescent="0.15">
      <c r="A108" t="str">
        <f t="shared" si="16"/>
        <v>|Lｖ23|クリーチャー+1|</v>
      </c>
      <c r="B108" t="s">
        <v>3</v>
      </c>
      <c r="C108" t="s">
        <v>92</v>
      </c>
      <c r="E108" t="s">
        <v>3</v>
      </c>
      <c r="F108" t="s">
        <v>64</v>
      </c>
      <c r="H108">
        <v>1</v>
      </c>
      <c r="I108" t="s">
        <v>3</v>
      </c>
    </row>
    <row r="109" spans="1:17" x14ac:dyDescent="0.15">
      <c r="A109" t="str">
        <f t="shared" si="16"/>
        <v>|Lｖ24|回復速度上昇|</v>
      </c>
      <c r="B109" t="s">
        <v>3</v>
      </c>
      <c r="C109" t="s">
        <v>93</v>
      </c>
      <c r="E109" t="s">
        <v>3</v>
      </c>
      <c r="F109" t="s">
        <v>43</v>
      </c>
      <c r="I109" t="s">
        <v>3</v>
      </c>
    </row>
    <row r="110" spans="1:17" x14ac:dyDescent="0.15">
      <c r="A110" t="str">
        <f t="shared" si="16"/>
        <v>|Lｖ25|HP+4|</v>
      </c>
      <c r="B110" t="s">
        <v>3</v>
      </c>
      <c r="C110" t="s">
        <v>94</v>
      </c>
      <c r="E110" t="s">
        <v>3</v>
      </c>
      <c r="F110" t="s">
        <v>62</v>
      </c>
      <c r="H110">
        <v>4</v>
      </c>
      <c r="I110" t="s">
        <v>3</v>
      </c>
    </row>
    <row r="111" spans="1:17" x14ac:dyDescent="0.15">
      <c r="A111" t="str">
        <f t="shared" si="16"/>
        <v>|Lｖ26|第3能力Lv1|</v>
      </c>
      <c r="B111" t="s">
        <v>3</v>
      </c>
      <c r="C111" t="s">
        <v>95</v>
      </c>
      <c r="E111" t="s">
        <v>3</v>
      </c>
      <c r="F111" t="s">
        <v>42</v>
      </c>
      <c r="H111">
        <v>1</v>
      </c>
      <c r="I111" t="s">
        <v>3</v>
      </c>
    </row>
    <row r="112" spans="1:17" x14ac:dyDescent="0.15">
      <c r="A112" t="str">
        <f t="shared" si="16"/>
        <v>|Lｖ27|呪文+1|</v>
      </c>
      <c r="B112" t="s">
        <v>3</v>
      </c>
      <c r="C112" t="s">
        <v>96</v>
      </c>
      <c r="E112" t="s">
        <v>3</v>
      </c>
      <c r="F112" t="s">
        <v>66</v>
      </c>
      <c r="H112">
        <v>1</v>
      </c>
      <c r="I112" t="s">
        <v>3</v>
      </c>
    </row>
    <row r="113" spans="1:9" x14ac:dyDescent="0.15">
      <c r="A113" t="str">
        <f t="shared" si="16"/>
        <v>|Lｖ28|HP+4|</v>
      </c>
      <c r="B113" t="s">
        <v>3</v>
      </c>
      <c r="C113" t="s">
        <v>97</v>
      </c>
      <c r="E113" t="s">
        <v>3</v>
      </c>
      <c r="F113" t="s">
        <v>62</v>
      </c>
      <c r="H113">
        <v>4</v>
      </c>
      <c r="I113" t="s">
        <v>3</v>
      </c>
    </row>
    <row r="114" spans="1:9" x14ac:dyDescent="0.15">
      <c r="A114" t="str">
        <f t="shared" si="16"/>
        <v>|Lｖ29|赤+1|</v>
      </c>
      <c r="B114" t="s">
        <v>3</v>
      </c>
      <c r="C114" t="s">
        <v>98</v>
      </c>
      <c r="E114" t="s">
        <v>3</v>
      </c>
      <c r="F114" t="s">
        <v>76</v>
      </c>
      <c r="H114">
        <v>1</v>
      </c>
      <c r="I114" t="s">
        <v>3</v>
      </c>
    </row>
    <row r="115" spans="1:9" x14ac:dyDescent="0.15">
      <c r="A115" t="str">
        <f t="shared" si="16"/>
        <v>|Lｖ30|回復速度上昇|</v>
      </c>
      <c r="B115" t="s">
        <v>3</v>
      </c>
      <c r="C115" t="s">
        <v>99</v>
      </c>
      <c r="E115" t="s">
        <v>3</v>
      </c>
      <c r="F115" t="s">
        <v>43</v>
      </c>
      <c r="I115" t="s">
        <v>3</v>
      </c>
    </row>
    <row r="116" spans="1:9" x14ac:dyDescent="0.15">
      <c r="A116" t="str">
        <f t="shared" si="16"/>
        <v>|Lｖ31|HP+4|</v>
      </c>
      <c r="B116" t="s">
        <v>3</v>
      </c>
      <c r="C116" t="s">
        <v>100</v>
      </c>
      <c r="E116" t="s">
        <v>3</v>
      </c>
      <c r="F116" t="s">
        <v>62</v>
      </c>
      <c r="H116">
        <v>4</v>
      </c>
      <c r="I116" t="s">
        <v>3</v>
      </c>
    </row>
    <row r="117" spans="1:9" x14ac:dyDescent="0.15">
      <c r="A117" t="str">
        <f t="shared" si="16"/>
        <v>|Lｖ32|第3能力Lv2|</v>
      </c>
      <c r="B117" t="s">
        <v>3</v>
      </c>
      <c r="C117" t="s">
        <v>101</v>
      </c>
      <c r="E117" t="s">
        <v>3</v>
      </c>
      <c r="F117" t="s">
        <v>42</v>
      </c>
      <c r="H117">
        <v>2</v>
      </c>
      <c r="I117" t="s">
        <v>3</v>
      </c>
    </row>
    <row r="118" spans="1:9" x14ac:dyDescent="0.15">
      <c r="A118" t="str">
        <f t="shared" si="16"/>
        <v>|Lｖ33|HP+4|</v>
      </c>
      <c r="B118" t="s">
        <v>3</v>
      </c>
      <c r="C118" t="s">
        <v>102</v>
      </c>
      <c r="E118" t="s">
        <v>3</v>
      </c>
      <c r="F118" t="s">
        <v>62</v>
      </c>
      <c r="H118">
        <v>4</v>
      </c>
      <c r="I118" t="s">
        <v>3</v>
      </c>
    </row>
    <row r="119" spans="1:9" x14ac:dyDescent="0.15">
      <c r="A119" t="str">
        <f t="shared" si="16"/>
        <v>|Lｖ34|サポート+1|</v>
      </c>
      <c r="B119" t="s">
        <v>3</v>
      </c>
      <c r="C119" t="s">
        <v>103</v>
      </c>
      <c r="E119" t="s">
        <v>3</v>
      </c>
      <c r="F119" t="s">
        <v>68</v>
      </c>
      <c r="H119">
        <v>1</v>
      </c>
      <c r="I119" t="s">
        <v>3</v>
      </c>
    </row>
    <row r="120" spans="1:9" x14ac:dyDescent="0.15">
      <c r="A120" t="str">
        <f t="shared" si="16"/>
        <v>|Lｖ35|回復速度上昇|</v>
      </c>
      <c r="B120" t="s">
        <v>3</v>
      </c>
      <c r="C120" t="s">
        <v>104</v>
      </c>
      <c r="E120" t="s">
        <v>3</v>
      </c>
      <c r="F120" t="s">
        <v>43</v>
      </c>
      <c r="I120" t="s">
        <v>3</v>
      </c>
    </row>
    <row r="121" spans="1:9" x14ac:dyDescent="0.15">
      <c r="A121" t="str">
        <f t="shared" si="16"/>
        <v>|Lｖ36|回復速度上昇|</v>
      </c>
      <c r="B121" t="s">
        <v>3</v>
      </c>
      <c r="C121" t="s">
        <v>105</v>
      </c>
      <c r="E121" t="s">
        <v>3</v>
      </c>
      <c r="F121" t="s">
        <v>43</v>
      </c>
      <c r="I121" t="s">
        <v>3</v>
      </c>
    </row>
    <row r="122" spans="1:9" x14ac:dyDescent="0.15">
      <c r="A122" t="str">
        <f t="shared" si="16"/>
        <v>|Lｖ37|HP+4|</v>
      </c>
      <c r="B122" t="s">
        <v>3</v>
      </c>
      <c r="C122" t="s">
        <v>106</v>
      </c>
      <c r="E122" t="s">
        <v>3</v>
      </c>
      <c r="F122" t="s">
        <v>62</v>
      </c>
      <c r="H122">
        <v>4</v>
      </c>
      <c r="I122" t="s">
        <v>3</v>
      </c>
    </row>
    <row r="123" spans="1:9" x14ac:dyDescent="0.15">
      <c r="A123" t="str">
        <f t="shared" si="16"/>
        <v>|Lｖ38|第1能力Lv3|</v>
      </c>
      <c r="B123" t="s">
        <v>3</v>
      </c>
      <c r="C123" t="s">
        <v>107</v>
      </c>
      <c r="E123" t="s">
        <v>3</v>
      </c>
      <c r="F123" t="s">
        <v>40</v>
      </c>
      <c r="H123">
        <v>3</v>
      </c>
      <c r="I123" t="s">
        <v>3</v>
      </c>
    </row>
    <row r="124" spans="1:9" x14ac:dyDescent="0.15">
      <c r="A124" t="str">
        <f t="shared" si="16"/>
        <v>|Lｖ39|クリーチャー+1|</v>
      </c>
      <c r="B124" t="s">
        <v>3</v>
      </c>
      <c r="C124" t="s">
        <v>108</v>
      </c>
      <c r="E124" t="s">
        <v>3</v>
      </c>
      <c r="F124" t="s">
        <v>64</v>
      </c>
      <c r="H124">
        <v>1</v>
      </c>
      <c r="I124" t="s">
        <v>3</v>
      </c>
    </row>
    <row r="125" spans="1:9" x14ac:dyDescent="0.15">
      <c r="A125" t="str">
        <f t="shared" si="16"/>
        <v>|Lｖ40|青+1|</v>
      </c>
      <c r="B125" t="s">
        <v>3</v>
      </c>
      <c r="C125" t="s">
        <v>109</v>
      </c>
      <c r="E125" t="s">
        <v>3</v>
      </c>
      <c r="F125" t="s">
        <v>72</v>
      </c>
      <c r="H125">
        <v>1</v>
      </c>
      <c r="I125" t="s">
        <v>3</v>
      </c>
    </row>
    <row r="126" spans="1:9" x14ac:dyDescent="0.15">
      <c r="A126" t="str">
        <f t="shared" si="16"/>
        <v>|Lｖ41|回復速度上昇|</v>
      </c>
      <c r="B126" t="s">
        <v>3</v>
      </c>
      <c r="C126" t="s">
        <v>110</v>
      </c>
      <c r="E126" t="s">
        <v>3</v>
      </c>
      <c r="F126" t="s">
        <v>43</v>
      </c>
      <c r="I126" t="s">
        <v>3</v>
      </c>
    </row>
    <row r="127" spans="1:9" x14ac:dyDescent="0.15">
      <c r="A127" t="str">
        <f t="shared" si="16"/>
        <v>|Lｖ42|HP+4|</v>
      </c>
      <c r="B127" t="s">
        <v>3</v>
      </c>
      <c r="C127" t="s">
        <v>111</v>
      </c>
      <c r="E127" t="s">
        <v>3</v>
      </c>
      <c r="F127" t="s">
        <v>62</v>
      </c>
      <c r="H127">
        <v>4</v>
      </c>
      <c r="I127" t="s">
        <v>3</v>
      </c>
    </row>
    <row r="128" spans="1:9" x14ac:dyDescent="0.15">
      <c r="A128" t="str">
        <f t="shared" si="16"/>
        <v>|Lｖ43|回復速度上昇|</v>
      </c>
      <c r="B128" t="s">
        <v>3</v>
      </c>
      <c r="C128" t="s">
        <v>112</v>
      </c>
      <c r="E128" t="s">
        <v>3</v>
      </c>
      <c r="F128" t="s">
        <v>43</v>
      </c>
      <c r="I128" t="s">
        <v>3</v>
      </c>
    </row>
    <row r="129" spans="1:9" x14ac:dyDescent="0.15">
      <c r="A129" t="str">
        <f t="shared" si="16"/>
        <v>|Lｖ44|呪文+1|</v>
      </c>
      <c r="B129" t="s">
        <v>3</v>
      </c>
      <c r="C129" t="s">
        <v>113</v>
      </c>
      <c r="E129" t="s">
        <v>3</v>
      </c>
      <c r="F129" t="s">
        <v>66</v>
      </c>
      <c r="H129">
        <v>1</v>
      </c>
      <c r="I129" t="s">
        <v>3</v>
      </c>
    </row>
    <row r="130" spans="1:9" x14ac:dyDescent="0.15">
      <c r="A130" t="str">
        <f t="shared" si="16"/>
        <v>|Lｖ45|第2能力Lv3|</v>
      </c>
      <c r="B130" t="s">
        <v>3</v>
      </c>
      <c r="C130" t="s">
        <v>114</v>
      </c>
      <c r="E130" t="s">
        <v>3</v>
      </c>
      <c r="F130" t="s">
        <v>41</v>
      </c>
      <c r="H130">
        <v>3</v>
      </c>
      <c r="I130" t="s">
        <v>3</v>
      </c>
    </row>
    <row r="131" spans="1:9" x14ac:dyDescent="0.15">
      <c r="A131" t="str">
        <f t="shared" si="16"/>
        <v>|Lｖ46|黒+1|</v>
      </c>
      <c r="B131" t="s">
        <v>3</v>
      </c>
      <c r="C131" t="s">
        <v>115</v>
      </c>
      <c r="E131" t="s">
        <v>3</v>
      </c>
      <c r="F131" t="s">
        <v>74</v>
      </c>
      <c r="H131">
        <v>1</v>
      </c>
      <c r="I131" t="s">
        <v>3</v>
      </c>
    </row>
    <row r="132" spans="1:9" x14ac:dyDescent="0.15">
      <c r="A132" t="str">
        <f t="shared" si="16"/>
        <v>|Lｖ47|HP+4|</v>
      </c>
      <c r="B132" t="s">
        <v>3</v>
      </c>
      <c r="C132" t="s">
        <v>116</v>
      </c>
      <c r="E132" t="s">
        <v>3</v>
      </c>
      <c r="F132" t="s">
        <v>62</v>
      </c>
      <c r="H132">
        <v>4</v>
      </c>
      <c r="I132" t="s">
        <v>3</v>
      </c>
    </row>
    <row r="133" spans="1:9" x14ac:dyDescent="0.15">
      <c r="A133" t="str">
        <f t="shared" si="16"/>
        <v>|Lｖ48|回復速度上昇|</v>
      </c>
      <c r="B133" t="s">
        <v>3</v>
      </c>
      <c r="C133" t="s">
        <v>117</v>
      </c>
      <c r="E133" t="s">
        <v>3</v>
      </c>
      <c r="F133" t="s">
        <v>43</v>
      </c>
      <c r="I133" t="s">
        <v>3</v>
      </c>
    </row>
    <row r="134" spans="1:9" x14ac:dyDescent="0.15">
      <c r="A134" t="str">
        <f t="shared" si="16"/>
        <v>|Lｖ49|HP+4|</v>
      </c>
      <c r="B134" t="s">
        <v>3</v>
      </c>
      <c r="C134" t="s">
        <v>118</v>
      </c>
      <c r="E134" t="s">
        <v>3</v>
      </c>
      <c r="F134" t="s">
        <v>62</v>
      </c>
      <c r="H134">
        <v>4</v>
      </c>
      <c r="I134" t="s">
        <v>3</v>
      </c>
    </row>
    <row r="135" spans="1:9" x14ac:dyDescent="0.15">
      <c r="A135" t="str">
        <f t="shared" si="16"/>
        <v>|Lｖ50|第3能力Lv3|</v>
      </c>
      <c r="B135" t="s">
        <v>3</v>
      </c>
      <c r="C135" t="s">
        <v>119</v>
      </c>
      <c r="E135" t="s">
        <v>3</v>
      </c>
      <c r="F135" t="s">
        <v>42</v>
      </c>
      <c r="H135">
        <v>3</v>
      </c>
      <c r="I135" t="s">
        <v>3</v>
      </c>
    </row>
    <row r="136" spans="1:9" x14ac:dyDescent="0.15">
      <c r="A136" t="str">
        <f t="shared" si="16"/>
        <v>|Lｖ51|第1能力Lv4|</v>
      </c>
      <c r="B136" t="s">
        <v>3</v>
      </c>
      <c r="C136" t="s">
        <v>120</v>
      </c>
      <c r="E136" t="s">
        <v>3</v>
      </c>
      <c r="F136" t="s">
        <v>40</v>
      </c>
      <c r="H136">
        <v>4</v>
      </c>
      <c r="I136" t="s">
        <v>3</v>
      </c>
    </row>
    <row r="137" spans="1:9" x14ac:dyDescent="0.15">
      <c r="A137" t="str">
        <f t="shared" si="16"/>
        <v>|Lｖ52|HP+8|</v>
      </c>
      <c r="B137" t="s">
        <v>3</v>
      </c>
      <c r="C137" t="s">
        <v>121</v>
      </c>
      <c r="E137" t="s">
        <v>3</v>
      </c>
      <c r="F137" t="s">
        <v>62</v>
      </c>
      <c r="H137">
        <v>8</v>
      </c>
      <c r="I137" t="s">
        <v>3</v>
      </c>
    </row>
    <row r="138" spans="1:9" x14ac:dyDescent="0.15">
      <c r="A138" t="str">
        <f t="shared" si="16"/>
        <v>|Lｖ53|回復速度上昇|</v>
      </c>
      <c r="B138" t="s">
        <v>3</v>
      </c>
      <c r="C138" t="s">
        <v>122</v>
      </c>
      <c r="E138" t="s">
        <v>3</v>
      </c>
      <c r="F138" t="s">
        <v>43</v>
      </c>
      <c r="I138" t="s">
        <v>3</v>
      </c>
    </row>
    <row r="139" spans="1:9" x14ac:dyDescent="0.15">
      <c r="A139" t="str">
        <f t="shared" si="16"/>
        <v>|Lｖ54|呪文+2|</v>
      </c>
      <c r="B139" t="s">
        <v>3</v>
      </c>
      <c r="C139" t="s">
        <v>123</v>
      </c>
      <c r="E139" t="s">
        <v>3</v>
      </c>
      <c r="F139" t="s">
        <v>66</v>
      </c>
      <c r="H139">
        <v>2</v>
      </c>
      <c r="I139" t="s">
        <v>3</v>
      </c>
    </row>
    <row r="140" spans="1:9" x14ac:dyDescent="0.15">
      <c r="A140" t="str">
        <f t="shared" ref="A140:A151" si="17">B140&amp;C140&amp;D140&amp;E140&amp;F140&amp;G140&amp;H140&amp;I140&amp;J140&amp;K140&amp;L140&amp;M140&amp;N140&amp;O140&amp;P140</f>
        <v>|Lｖ55|第2能力Lv4|</v>
      </c>
      <c r="B140" t="s">
        <v>3</v>
      </c>
      <c r="C140" t="s">
        <v>124</v>
      </c>
      <c r="E140" t="s">
        <v>3</v>
      </c>
      <c r="F140" t="s">
        <v>41</v>
      </c>
      <c r="H140">
        <v>4</v>
      </c>
      <c r="I140" t="s">
        <v>3</v>
      </c>
    </row>
    <row r="141" spans="1:9" x14ac:dyDescent="0.15">
      <c r="A141" t="str">
        <f t="shared" si="17"/>
        <v>|Lｖ56|サポート+2|</v>
      </c>
      <c r="B141" t="s">
        <v>3</v>
      </c>
      <c r="C141" t="s">
        <v>125</v>
      </c>
      <c r="E141" t="s">
        <v>3</v>
      </c>
      <c r="F141" t="s">
        <v>68</v>
      </c>
      <c r="H141">
        <v>2</v>
      </c>
      <c r="I141" t="s">
        <v>3</v>
      </c>
    </row>
    <row r="142" spans="1:9" x14ac:dyDescent="0.15">
      <c r="A142" t="str">
        <f t="shared" si="17"/>
        <v>|Lｖ57|呪文+2|</v>
      </c>
      <c r="B142" t="s">
        <v>3</v>
      </c>
      <c r="C142" t="s">
        <v>126</v>
      </c>
      <c r="E142" t="s">
        <v>3</v>
      </c>
      <c r="F142" t="s">
        <v>66</v>
      </c>
      <c r="H142">
        <v>2</v>
      </c>
      <c r="I142" t="s">
        <v>3</v>
      </c>
    </row>
    <row r="143" spans="1:9" x14ac:dyDescent="0.15">
      <c r="A143" t="str">
        <f t="shared" si="17"/>
        <v>|Lｖ58|回復速度上昇|</v>
      </c>
      <c r="B143" t="s">
        <v>3</v>
      </c>
      <c r="C143" t="s">
        <v>127</v>
      </c>
      <c r="E143" t="s">
        <v>3</v>
      </c>
      <c r="F143" t="s">
        <v>43</v>
      </c>
      <c r="I143" t="s">
        <v>3</v>
      </c>
    </row>
    <row r="144" spans="1:9" x14ac:dyDescent="0.15">
      <c r="A144" t="str">
        <f t="shared" si="17"/>
        <v>|Lｖ59|緑+1|</v>
      </c>
      <c r="B144" t="s">
        <v>3</v>
      </c>
      <c r="C144" t="s">
        <v>128</v>
      </c>
      <c r="E144" t="s">
        <v>3</v>
      </c>
      <c r="F144" t="s">
        <v>78</v>
      </c>
      <c r="H144">
        <v>1</v>
      </c>
      <c r="I144" t="s">
        <v>3</v>
      </c>
    </row>
    <row r="145" spans="1:9" x14ac:dyDescent="0.15">
      <c r="A145" t="str">
        <f t="shared" si="17"/>
        <v>|Lｖ60|第3能力Lv4|</v>
      </c>
      <c r="B145" t="s">
        <v>3</v>
      </c>
      <c r="C145" t="s">
        <v>129</v>
      </c>
      <c r="E145" t="s">
        <v>3</v>
      </c>
      <c r="F145" t="s">
        <v>42</v>
      </c>
      <c r="H145">
        <v>4</v>
      </c>
      <c r="I145" t="s">
        <v>3</v>
      </c>
    </row>
    <row r="146" spans="1:9" x14ac:dyDescent="0.15">
      <c r="A146" t="str">
        <f t="shared" si="17"/>
        <v>必要総経験値：79920ルーン</v>
      </c>
      <c r="B146" t="s">
        <v>45</v>
      </c>
      <c r="C146">
        <v>79920</v>
      </c>
      <c r="F146" t="s">
        <v>46</v>
      </c>
    </row>
    <row r="147" spans="1:9" x14ac:dyDescent="0.15">
      <c r="A147" t="str">
        <f t="shared" si="17"/>
        <v>&amp;br;</v>
      </c>
      <c r="B147" t="s">
        <v>0</v>
      </c>
    </row>
    <row r="148" spans="1:9" x14ac:dyDescent="0.15">
      <c r="A148" t="str">
        <f t="shared" si="17"/>
        <v>#back(text=戻る,left)</v>
      </c>
      <c r="B148" t="s">
        <v>47</v>
      </c>
    </row>
    <row r="149" spans="1:9" x14ac:dyDescent="0.15">
      <c r="A149" t="str">
        <f t="shared" si="17"/>
        <v>&amp;br;</v>
      </c>
      <c r="B149" t="s">
        <v>0</v>
      </c>
    </row>
    <row r="150" spans="1:9" x14ac:dyDescent="0.15">
      <c r="A150" t="str">
        <f t="shared" si="17"/>
        <v>#comment(above,nsize=[15],size=[30],num=[10])</v>
      </c>
      <c r="B150" t="s">
        <v>48</v>
      </c>
    </row>
    <row r="151" spans="1:9" x14ac:dyDescent="0.15">
      <c r="A151" t="str">
        <f t="shared" si="17"/>
        <v>[[プレインズウォーカーリスト&gt;プレインズウォーカーリスト]]</v>
      </c>
      <c r="B151" t="s">
        <v>49</v>
      </c>
    </row>
  </sheetData>
  <phoneticPr fontId="4"/>
  <dataValidations count="4">
    <dataValidation type="list" allowBlank="1" showInputMessage="1" showErrorMessage="1" sqref="F146">
      <formula1>$Q$76:$Q$88</formula1>
    </dataValidation>
    <dataValidation type="list" allowBlank="1" showInputMessage="1" showErrorMessage="1" sqref="F87:F145">
      <formula1>$Q$86:$Q$98</formula1>
    </dataValidation>
    <dataValidation type="list" allowBlank="1" showInputMessage="1" showErrorMessage="1" sqref="F30:F35">
      <formula1>$S$28:$S$32</formula1>
    </dataValidation>
    <dataValidation type="list" allowBlank="1" showInputMessage="1" showErrorMessage="1" sqref="F43:F52">
      <formula1>"クリーチャー,呪文,サポート"</formula1>
    </dataValidation>
  </dataValidations>
  <pageMargins left="0.69930555555555596" right="0.69930555555555596"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163"/>
  <sheetViews>
    <sheetView workbookViewId="0">
      <selection activeCell="D13" sqref="D13"/>
    </sheetView>
  </sheetViews>
  <sheetFormatPr defaultColWidth="9" defaultRowHeight="13.5" x14ac:dyDescent="0.15"/>
  <cols>
    <col min="2" max="2" width="3.5" customWidth="1"/>
    <col min="3" max="3" width="7.875" customWidth="1"/>
    <col min="4" max="4" width="5.5" customWidth="1"/>
    <col min="5" max="5" width="2" customWidth="1"/>
    <col min="7" max="7" width="2" customWidth="1"/>
    <col min="9" max="9" width="2" customWidth="1"/>
    <col min="11" max="11" width="2" customWidth="1"/>
    <col min="13" max="13" width="2" customWidth="1"/>
    <col min="15" max="15" width="2" customWidth="1"/>
    <col min="17" max="17" width="2.75" customWidth="1"/>
  </cols>
  <sheetData>
    <row r="1" spans="1:8" x14ac:dyDescent="0.15">
      <c r="A1" t="str">
        <f>B1&amp;C1&amp;D1&amp;E1&amp;F1&amp;G1&amp;H1&amp;I1&amp;J1&amp;K1&amp;L1&amp;M1&amp;N1&amp;O1&amp;P1</f>
        <v>特別オファーで購入するか、期間限定でMCを支払い購入することで入手できる。</v>
      </c>
      <c r="B1" t="s">
        <v>130</v>
      </c>
    </row>
    <row r="2" spans="1:8" x14ac:dyDescent="0.15">
      <c r="A2" t="str">
        <f>B2&amp;C2&amp;D2&amp;E2&amp;F2&amp;G2&amp;H2&amp;I2&amp;J2&amp;K2&amp;L2&amp;M2&amp;N2&amp;O2&amp;P2</f>
        <v>&amp;br;</v>
      </c>
      <c r="B2" t="s">
        <v>0</v>
      </c>
    </row>
    <row r="3" spans="1:8" x14ac:dyDescent="0.15">
      <c r="A3" t="str">
        <f>B3&amp;C3&amp;D3&amp;E3&amp;F3&amp;G3&amp;H3&amp;I3&amp;J3&amp;K3&amp;L3&amp;M3&amp;N3&amp;O3&amp;P3</f>
        <v>#contents()</v>
      </c>
      <c r="B3" t="s">
        <v>1</v>
      </c>
    </row>
    <row r="4" spans="1:8" x14ac:dyDescent="0.15">
      <c r="A4" t="str">
        <f>B4&amp;C4&amp;D4&amp;E4&amp;F4&amp;G4&amp;H4&amp;I4&amp;J4&amp;K4&amp;L4&amp;M4&amp;N4&amp;O4&amp;P4</f>
        <v>*HP [#f569d8c6]</v>
      </c>
      <c r="B4" t="s">
        <v>2</v>
      </c>
    </row>
    <row r="5" spans="1:8" x14ac:dyDescent="0.15">
      <c r="A5" t="str">
        <f>B5&amp;C5&amp;D5&amp;E5&amp;F5&amp;G5&amp;H5</f>
        <v>|LEFT:50|LEFT:50|c</v>
      </c>
      <c r="B5" t="s">
        <v>3</v>
      </c>
      <c r="C5" t="s">
        <v>4</v>
      </c>
      <c r="E5" t="s">
        <v>3</v>
      </c>
      <c r="F5" t="s">
        <v>4</v>
      </c>
      <c r="G5" t="s">
        <v>3</v>
      </c>
      <c r="H5" t="s">
        <v>5</v>
      </c>
    </row>
    <row r="6" spans="1:8" x14ac:dyDescent="0.15">
      <c r="A6" t="str">
        <f t="shared" ref="A6:A36" si="0">B6&amp;C6&amp;D6&amp;E6&amp;F6&amp;G6&amp;H6</f>
        <v>|レベル|HP|</v>
      </c>
      <c r="B6" t="s">
        <v>3</v>
      </c>
      <c r="C6" t="s">
        <v>6</v>
      </c>
      <c r="E6" t="s">
        <v>3</v>
      </c>
      <c r="F6" t="s">
        <v>7</v>
      </c>
      <c r="G6" t="s">
        <v>3</v>
      </c>
    </row>
    <row r="7" spans="1:8" x14ac:dyDescent="0.15">
      <c r="A7" t="str">
        <f t="shared" si="0"/>
        <v>|Lv1|32|</v>
      </c>
      <c r="B7" t="s">
        <v>3</v>
      </c>
      <c r="C7" t="s">
        <v>8</v>
      </c>
      <c r="D7">
        <v>1</v>
      </c>
      <c r="E7" t="s">
        <v>3</v>
      </c>
      <c r="F7">
        <v>32</v>
      </c>
      <c r="G7" t="s">
        <v>3</v>
      </c>
    </row>
    <row r="8" spans="1:8" x14ac:dyDescent="0.15">
      <c r="A8" t="str">
        <f t="shared" si="0"/>
        <v>|Lv3|35|</v>
      </c>
      <c r="B8" t="s">
        <v>3</v>
      </c>
      <c r="C8" t="s">
        <v>8</v>
      </c>
      <c r="D8">
        <v>3</v>
      </c>
      <c r="E8" t="s">
        <v>3</v>
      </c>
      <c r="F8">
        <f t="shared" ref="F8:F36" si="1">IF(ISBLANK(D8),"",F7+INDEX($H$98:$H$157,D8))</f>
        <v>35</v>
      </c>
      <c r="G8" t="s">
        <v>3</v>
      </c>
    </row>
    <row r="9" spans="1:8" x14ac:dyDescent="0.15">
      <c r="A9" t="str">
        <f t="shared" si="0"/>
        <v>|Lv5|37|</v>
      </c>
      <c r="B9" t="s">
        <v>3</v>
      </c>
      <c r="C9" t="s">
        <v>8</v>
      </c>
      <c r="D9">
        <v>5</v>
      </c>
      <c r="E9" t="s">
        <v>3</v>
      </c>
      <c r="F9">
        <f t="shared" si="1"/>
        <v>37</v>
      </c>
      <c r="G9" t="s">
        <v>3</v>
      </c>
    </row>
    <row r="10" spans="1:8" x14ac:dyDescent="0.15">
      <c r="A10" t="str">
        <f t="shared" si="0"/>
        <v>|Lv7|40|</v>
      </c>
      <c r="B10" t="s">
        <v>3</v>
      </c>
      <c r="C10" t="s">
        <v>8</v>
      </c>
      <c r="D10">
        <v>7</v>
      </c>
      <c r="E10" t="s">
        <v>3</v>
      </c>
      <c r="F10">
        <f t="shared" si="1"/>
        <v>40</v>
      </c>
      <c r="G10" t="s">
        <v>3</v>
      </c>
    </row>
    <row r="11" spans="1:8" x14ac:dyDescent="0.15">
      <c r="A11" t="str">
        <f t="shared" si="0"/>
        <v>|Lv9|43|</v>
      </c>
      <c r="B11" t="s">
        <v>3</v>
      </c>
      <c r="C11" t="s">
        <v>8</v>
      </c>
      <c r="D11">
        <v>9</v>
      </c>
      <c r="E11" t="s">
        <v>3</v>
      </c>
      <c r="F11">
        <f t="shared" si="1"/>
        <v>43</v>
      </c>
      <c r="G11" t="s">
        <v>3</v>
      </c>
    </row>
    <row r="12" spans="1:8" x14ac:dyDescent="0.15">
      <c r="A12" t="str">
        <f t="shared" si="0"/>
        <v>|Lv11|45|</v>
      </c>
      <c r="B12" t="s">
        <v>3</v>
      </c>
      <c r="C12" t="s">
        <v>8</v>
      </c>
      <c r="D12">
        <v>11</v>
      </c>
      <c r="E12" t="s">
        <v>3</v>
      </c>
      <c r="F12">
        <f t="shared" si="1"/>
        <v>45</v>
      </c>
      <c r="G12" t="s">
        <v>3</v>
      </c>
    </row>
    <row r="13" spans="1:8" x14ac:dyDescent="0.15">
      <c r="A13" t="str">
        <f t="shared" si="0"/>
        <v>|Lv13|48|</v>
      </c>
      <c r="B13" t="s">
        <v>3</v>
      </c>
      <c r="C13" t="s">
        <v>8</v>
      </c>
      <c r="D13">
        <v>13</v>
      </c>
      <c r="E13" t="s">
        <v>3</v>
      </c>
      <c r="F13">
        <f t="shared" si="1"/>
        <v>48</v>
      </c>
      <c r="G13" t="s">
        <v>3</v>
      </c>
    </row>
    <row r="14" spans="1:8" x14ac:dyDescent="0.15">
      <c r="A14" t="str">
        <f t="shared" si="0"/>
        <v>|Lv15|51|</v>
      </c>
      <c r="B14" t="s">
        <v>3</v>
      </c>
      <c r="C14" t="s">
        <v>8</v>
      </c>
      <c r="D14">
        <v>15</v>
      </c>
      <c r="E14" t="s">
        <v>3</v>
      </c>
      <c r="F14">
        <f t="shared" si="1"/>
        <v>51</v>
      </c>
      <c r="G14" t="s">
        <v>3</v>
      </c>
    </row>
    <row r="15" spans="1:8" x14ac:dyDescent="0.15">
      <c r="A15" t="str">
        <f t="shared" si="0"/>
        <v>|Lv17|53|</v>
      </c>
      <c r="B15" t="s">
        <v>3</v>
      </c>
      <c r="C15" t="s">
        <v>8</v>
      </c>
      <c r="D15">
        <v>17</v>
      </c>
      <c r="E15" t="s">
        <v>3</v>
      </c>
      <c r="F15">
        <f t="shared" si="1"/>
        <v>53</v>
      </c>
      <c r="G15" t="s">
        <v>3</v>
      </c>
    </row>
    <row r="16" spans="1:8" x14ac:dyDescent="0.15">
      <c r="A16" t="str">
        <f t="shared" si="0"/>
        <v>|Lv19|56|</v>
      </c>
      <c r="B16" t="s">
        <v>3</v>
      </c>
      <c r="C16" t="s">
        <v>8</v>
      </c>
      <c r="D16">
        <v>19</v>
      </c>
      <c r="E16" t="s">
        <v>3</v>
      </c>
      <c r="F16">
        <f t="shared" si="1"/>
        <v>56</v>
      </c>
      <c r="G16" t="s">
        <v>3</v>
      </c>
    </row>
    <row r="17" spans="1:7" x14ac:dyDescent="0.15">
      <c r="A17" t="str">
        <f t="shared" si="0"/>
        <v>|Lv21|59|</v>
      </c>
      <c r="B17" t="s">
        <v>3</v>
      </c>
      <c r="C17" t="s">
        <v>8</v>
      </c>
      <c r="D17">
        <v>21</v>
      </c>
      <c r="E17" t="s">
        <v>3</v>
      </c>
      <c r="F17">
        <f t="shared" si="1"/>
        <v>59</v>
      </c>
      <c r="G17" t="s">
        <v>3</v>
      </c>
    </row>
    <row r="18" spans="1:7" x14ac:dyDescent="0.15">
      <c r="A18" t="str">
        <f t="shared" si="0"/>
        <v>|Lv23|61|</v>
      </c>
      <c r="B18" t="s">
        <v>3</v>
      </c>
      <c r="C18" t="s">
        <v>8</v>
      </c>
      <c r="D18">
        <v>23</v>
      </c>
      <c r="E18" t="s">
        <v>3</v>
      </c>
      <c r="F18">
        <f t="shared" si="1"/>
        <v>61</v>
      </c>
      <c r="G18" t="s">
        <v>3</v>
      </c>
    </row>
    <row r="19" spans="1:7" x14ac:dyDescent="0.15">
      <c r="A19" t="str">
        <f t="shared" si="0"/>
        <v>|Lv25|64|</v>
      </c>
      <c r="B19" t="s">
        <v>3</v>
      </c>
      <c r="C19" t="s">
        <v>8</v>
      </c>
      <c r="D19">
        <v>25</v>
      </c>
      <c r="E19" t="s">
        <v>3</v>
      </c>
      <c r="F19">
        <f t="shared" si="1"/>
        <v>64</v>
      </c>
      <c r="G19" t="s">
        <v>3</v>
      </c>
    </row>
    <row r="20" spans="1:7" x14ac:dyDescent="0.15">
      <c r="A20" t="str">
        <f t="shared" si="0"/>
        <v>|Lv27|67|</v>
      </c>
      <c r="B20" t="s">
        <v>3</v>
      </c>
      <c r="C20" t="s">
        <v>8</v>
      </c>
      <c r="D20">
        <v>27</v>
      </c>
      <c r="E20" t="s">
        <v>3</v>
      </c>
      <c r="F20">
        <f t="shared" si="1"/>
        <v>67</v>
      </c>
      <c r="G20" t="s">
        <v>3</v>
      </c>
    </row>
    <row r="21" spans="1:7" x14ac:dyDescent="0.15">
      <c r="A21" t="str">
        <f t="shared" si="0"/>
        <v>|Lv29|69|</v>
      </c>
      <c r="B21" t="s">
        <v>3</v>
      </c>
      <c r="C21" t="s">
        <v>8</v>
      </c>
      <c r="D21">
        <v>29</v>
      </c>
      <c r="E21" t="s">
        <v>3</v>
      </c>
      <c r="F21">
        <f t="shared" si="1"/>
        <v>69</v>
      </c>
      <c r="G21" t="s">
        <v>3</v>
      </c>
    </row>
    <row r="22" spans="1:7" x14ac:dyDescent="0.15">
      <c r="A22" t="str">
        <f t="shared" si="0"/>
        <v>|Lv31|72|</v>
      </c>
      <c r="B22" t="s">
        <v>3</v>
      </c>
      <c r="C22" t="s">
        <v>8</v>
      </c>
      <c r="D22">
        <v>31</v>
      </c>
      <c r="E22" t="s">
        <v>3</v>
      </c>
      <c r="F22">
        <f t="shared" si="1"/>
        <v>72</v>
      </c>
      <c r="G22" t="s">
        <v>3</v>
      </c>
    </row>
    <row r="23" spans="1:7" x14ac:dyDescent="0.15">
      <c r="A23" t="str">
        <f t="shared" si="0"/>
        <v>|Lv33|75|</v>
      </c>
      <c r="B23" t="s">
        <v>3</v>
      </c>
      <c r="C23" t="s">
        <v>8</v>
      </c>
      <c r="D23">
        <v>33</v>
      </c>
      <c r="E23" t="s">
        <v>3</v>
      </c>
      <c r="F23">
        <f t="shared" si="1"/>
        <v>75</v>
      </c>
      <c r="G23" t="s">
        <v>3</v>
      </c>
    </row>
    <row r="24" spans="1:7" x14ac:dyDescent="0.15">
      <c r="A24" t="str">
        <f t="shared" si="0"/>
        <v>|Lv35|77|</v>
      </c>
      <c r="B24" t="s">
        <v>3</v>
      </c>
      <c r="C24" t="s">
        <v>8</v>
      </c>
      <c r="D24">
        <v>35</v>
      </c>
      <c r="E24" t="s">
        <v>3</v>
      </c>
      <c r="F24">
        <f t="shared" si="1"/>
        <v>77</v>
      </c>
      <c r="G24" t="s">
        <v>3</v>
      </c>
    </row>
    <row r="25" spans="1:7" x14ac:dyDescent="0.15">
      <c r="A25" t="str">
        <f t="shared" si="0"/>
        <v>|Lv37|80|</v>
      </c>
      <c r="B25" t="s">
        <v>3</v>
      </c>
      <c r="C25" t="s">
        <v>8</v>
      </c>
      <c r="D25">
        <v>37</v>
      </c>
      <c r="E25" t="s">
        <v>3</v>
      </c>
      <c r="F25">
        <f t="shared" si="1"/>
        <v>80</v>
      </c>
      <c r="G25" t="s">
        <v>3</v>
      </c>
    </row>
    <row r="26" spans="1:7" x14ac:dyDescent="0.15">
      <c r="A26" t="str">
        <f t="shared" si="0"/>
        <v>|Lv39|83|</v>
      </c>
      <c r="B26" t="s">
        <v>3</v>
      </c>
      <c r="C26" t="s">
        <v>8</v>
      </c>
      <c r="D26">
        <v>39</v>
      </c>
      <c r="E26" t="s">
        <v>3</v>
      </c>
      <c r="F26">
        <f t="shared" si="1"/>
        <v>83</v>
      </c>
      <c r="G26" t="s">
        <v>3</v>
      </c>
    </row>
    <row r="27" spans="1:7" x14ac:dyDescent="0.15">
      <c r="A27" t="str">
        <f t="shared" si="0"/>
        <v>|Lv41|85|</v>
      </c>
      <c r="B27" t="s">
        <v>3</v>
      </c>
      <c r="C27" t="s">
        <v>8</v>
      </c>
      <c r="D27">
        <v>41</v>
      </c>
      <c r="E27" t="s">
        <v>3</v>
      </c>
      <c r="F27">
        <f t="shared" si="1"/>
        <v>85</v>
      </c>
      <c r="G27" t="s">
        <v>3</v>
      </c>
    </row>
    <row r="28" spans="1:7" x14ac:dyDescent="0.15">
      <c r="A28" t="str">
        <f t="shared" si="0"/>
        <v>|Lv43|88|</v>
      </c>
      <c r="B28" t="s">
        <v>3</v>
      </c>
      <c r="C28" t="s">
        <v>8</v>
      </c>
      <c r="D28">
        <v>43</v>
      </c>
      <c r="E28" t="s">
        <v>3</v>
      </c>
      <c r="F28">
        <f t="shared" si="1"/>
        <v>88</v>
      </c>
      <c r="G28" t="s">
        <v>3</v>
      </c>
    </row>
    <row r="29" spans="1:7" x14ac:dyDescent="0.15">
      <c r="A29" t="str">
        <f t="shared" si="0"/>
        <v>|Lv45|91|</v>
      </c>
      <c r="B29" t="s">
        <v>3</v>
      </c>
      <c r="C29" t="s">
        <v>8</v>
      </c>
      <c r="D29">
        <v>45</v>
      </c>
      <c r="E29" t="s">
        <v>3</v>
      </c>
      <c r="F29">
        <f t="shared" si="1"/>
        <v>91</v>
      </c>
      <c r="G29" t="s">
        <v>3</v>
      </c>
    </row>
    <row r="30" spans="1:7" x14ac:dyDescent="0.15">
      <c r="A30" t="str">
        <f t="shared" si="0"/>
        <v>|Lv47|93|</v>
      </c>
      <c r="B30" t="s">
        <v>3</v>
      </c>
      <c r="C30" t="s">
        <v>8</v>
      </c>
      <c r="D30">
        <v>47</v>
      </c>
      <c r="E30" t="s">
        <v>3</v>
      </c>
      <c r="F30">
        <f t="shared" si="1"/>
        <v>93</v>
      </c>
      <c r="G30" t="s">
        <v>3</v>
      </c>
    </row>
    <row r="31" spans="1:7" x14ac:dyDescent="0.15">
      <c r="A31" t="str">
        <f t="shared" si="0"/>
        <v>|Lv49|96|</v>
      </c>
      <c r="B31" t="s">
        <v>3</v>
      </c>
      <c r="C31" t="s">
        <v>8</v>
      </c>
      <c r="D31">
        <v>49</v>
      </c>
      <c r="E31" t="s">
        <v>3</v>
      </c>
      <c r="F31">
        <f t="shared" si="1"/>
        <v>96</v>
      </c>
      <c r="G31" t="s">
        <v>3</v>
      </c>
    </row>
    <row r="32" spans="1:7" x14ac:dyDescent="0.15">
      <c r="A32" t="str">
        <f t="shared" si="0"/>
        <v>|Lv51|99|</v>
      </c>
      <c r="B32" t="s">
        <v>3</v>
      </c>
      <c r="C32" t="s">
        <v>8</v>
      </c>
      <c r="D32">
        <v>51</v>
      </c>
      <c r="E32" t="s">
        <v>3</v>
      </c>
      <c r="F32">
        <f t="shared" si="1"/>
        <v>99</v>
      </c>
      <c r="G32" t="s">
        <v>3</v>
      </c>
    </row>
    <row r="33" spans="1:19" x14ac:dyDescent="0.15">
      <c r="A33" t="str">
        <f t="shared" si="0"/>
        <v>|Lv53|101|</v>
      </c>
      <c r="B33" t="s">
        <v>3</v>
      </c>
      <c r="C33" t="s">
        <v>8</v>
      </c>
      <c r="D33">
        <v>53</v>
      </c>
      <c r="E33" t="s">
        <v>3</v>
      </c>
      <c r="F33">
        <f t="shared" si="1"/>
        <v>101</v>
      </c>
      <c r="G33" t="s">
        <v>3</v>
      </c>
    </row>
    <row r="34" spans="1:19" x14ac:dyDescent="0.15">
      <c r="A34" t="str">
        <f t="shared" si="0"/>
        <v>|Lv55|104|</v>
      </c>
      <c r="B34" t="s">
        <v>3</v>
      </c>
      <c r="C34" t="s">
        <v>8</v>
      </c>
      <c r="D34">
        <v>55</v>
      </c>
      <c r="E34" t="s">
        <v>3</v>
      </c>
      <c r="F34">
        <f t="shared" si="1"/>
        <v>104</v>
      </c>
      <c r="G34" t="s">
        <v>3</v>
      </c>
    </row>
    <row r="35" spans="1:19" x14ac:dyDescent="0.15">
      <c r="A35" t="str">
        <f t="shared" si="0"/>
        <v>|Lv57|107|</v>
      </c>
      <c r="B35" t="s">
        <v>3</v>
      </c>
      <c r="C35" t="s">
        <v>8</v>
      </c>
      <c r="D35">
        <v>57</v>
      </c>
      <c r="E35" t="s">
        <v>3</v>
      </c>
      <c r="F35">
        <f t="shared" si="1"/>
        <v>107</v>
      </c>
      <c r="G35" t="s">
        <v>3</v>
      </c>
    </row>
    <row r="36" spans="1:19" x14ac:dyDescent="0.15">
      <c r="A36" t="str">
        <f t="shared" si="0"/>
        <v>|Lv59|109|</v>
      </c>
      <c r="B36" t="s">
        <v>3</v>
      </c>
      <c r="C36" t="s">
        <v>8</v>
      </c>
      <c r="D36">
        <v>59</v>
      </c>
      <c r="E36" t="s">
        <v>3</v>
      </c>
      <c r="F36">
        <f t="shared" si="1"/>
        <v>109</v>
      </c>
      <c r="G36" t="s">
        <v>3</v>
      </c>
    </row>
    <row r="37" spans="1:19" x14ac:dyDescent="0.15">
      <c r="A37" t="str">
        <f>B37&amp;C37&amp;D37&amp;E37&amp;F37&amp;G37&amp;H37&amp;I37&amp;J37&amp;K37&amp;L37&amp;M37&amp;N37&amp;O37&amp;P37</f>
        <v>&amp;br;</v>
      </c>
      <c r="B37" t="s">
        <v>0</v>
      </c>
    </row>
    <row r="38" spans="1:19" x14ac:dyDescent="0.15">
      <c r="A38" t="str">
        <f>B38&amp;C38&amp;D38&amp;E38&amp;F38&amp;G38&amp;H38&amp;I38&amp;J38&amp;K38&amp;L38&amp;M38&amp;N38&amp;O38&amp;P38</f>
        <v>&amp;br;</v>
      </c>
      <c r="B38" t="s">
        <v>0</v>
      </c>
    </row>
    <row r="39" spans="1:19" x14ac:dyDescent="0.15">
      <c r="A39" t="str">
        <f>B39&amp;C39&amp;D39&amp;E39&amp;F39&amp;G39&amp;H39&amp;I39&amp;J39&amp;K39&amp;L39&amp;M39&amp;N39&amp;O39&amp;P39</f>
        <v>*マナボーナス [#q1a26f54]</v>
      </c>
      <c r="B39" t="s">
        <v>9</v>
      </c>
    </row>
    <row r="40" spans="1:19" x14ac:dyDescent="0.15">
      <c r="A40" t="str">
        <f t="shared" ref="A40:A51" si="2">B40&amp;C40&amp;D40&amp;G40&amp;H40&amp;I40&amp;J40&amp;K40&amp;L40&amp;M40&amp;N40&amp;O40&amp;P40&amp;Q40&amp;R40</f>
        <v>|LEFT:50|LEFT:50|LEFT:50|LEFT:50|LEFT:50|LEFT:50|c</v>
      </c>
      <c r="B40" t="s">
        <v>3</v>
      </c>
      <c r="C40" t="s">
        <v>4</v>
      </c>
      <c r="E40" t="s">
        <v>3</v>
      </c>
      <c r="G40" t="s">
        <v>3</v>
      </c>
      <c r="H40" t="s">
        <v>4</v>
      </c>
      <c r="I40" t="s">
        <v>3</v>
      </c>
      <c r="J40" t="s">
        <v>4</v>
      </c>
      <c r="K40" t="s">
        <v>3</v>
      </c>
      <c r="L40" t="s">
        <v>4</v>
      </c>
      <c r="M40" t="s">
        <v>3</v>
      </c>
      <c r="N40" t="s">
        <v>4</v>
      </c>
      <c r="O40" t="s">
        <v>3</v>
      </c>
      <c r="P40" t="s">
        <v>4</v>
      </c>
      <c r="Q40" t="s">
        <v>3</v>
      </c>
      <c r="R40" t="s">
        <v>5</v>
      </c>
    </row>
    <row r="41" spans="1:19" x14ac:dyDescent="0.15">
      <c r="A41" t="str">
        <f t="shared" si="2"/>
        <v>|レベル|白|青|黒|赤|緑|</v>
      </c>
      <c r="B41" t="s">
        <v>3</v>
      </c>
      <c r="C41" t="s">
        <v>6</v>
      </c>
      <c r="E41" t="s">
        <v>3</v>
      </c>
      <c r="F41" t="s">
        <v>10</v>
      </c>
      <c r="G41" t="s">
        <v>3</v>
      </c>
      <c r="H41" t="s">
        <v>11</v>
      </c>
      <c r="I41" t="s">
        <v>3</v>
      </c>
      <c r="J41" t="s">
        <v>12</v>
      </c>
      <c r="K41" t="s">
        <v>3</v>
      </c>
      <c r="L41" t="s">
        <v>13</v>
      </c>
      <c r="M41" t="s">
        <v>3</v>
      </c>
      <c r="N41" t="s">
        <v>14</v>
      </c>
      <c r="O41" t="s">
        <v>3</v>
      </c>
      <c r="P41" t="s">
        <v>15</v>
      </c>
      <c r="Q41" t="s">
        <v>3</v>
      </c>
      <c r="S41" t="s">
        <v>11</v>
      </c>
    </row>
    <row r="42" spans="1:19" x14ac:dyDescent="0.15">
      <c r="A42" t="str">
        <f t="shared" si="2"/>
        <v>|Lv1|0|-1|-1|0|1|</v>
      </c>
      <c r="B42" t="s">
        <v>3</v>
      </c>
      <c r="C42" t="s">
        <v>8</v>
      </c>
      <c r="D42">
        <v>1</v>
      </c>
      <c r="E42" t="s">
        <v>3</v>
      </c>
      <c r="G42" t="s">
        <v>3</v>
      </c>
      <c r="H42">
        <v>0</v>
      </c>
      <c r="I42" t="s">
        <v>3</v>
      </c>
      <c r="J42">
        <v>-1</v>
      </c>
      <c r="K42" t="s">
        <v>3</v>
      </c>
      <c r="L42">
        <v>-1</v>
      </c>
      <c r="M42" t="s">
        <v>3</v>
      </c>
      <c r="N42">
        <v>0</v>
      </c>
      <c r="O42" t="s">
        <v>3</v>
      </c>
      <c r="P42">
        <v>1</v>
      </c>
      <c r="Q42" t="s">
        <v>3</v>
      </c>
      <c r="S42" t="s">
        <v>12</v>
      </c>
    </row>
    <row r="43" spans="1:19" x14ac:dyDescent="0.15">
      <c r="A43" t="str">
        <f t="shared" si="2"/>
        <v>|Lv4|0|-1|-1|0|2|</v>
      </c>
      <c r="B43" t="s">
        <v>3</v>
      </c>
      <c r="C43" t="s">
        <v>8</v>
      </c>
      <c r="D43">
        <v>4</v>
      </c>
      <c r="E43" t="s">
        <v>3</v>
      </c>
      <c r="F43" t="str">
        <f t="shared" ref="F43:F51" si="3">IF(ISBLANK(D43),"",INDEX($F$98:$F$157,D43))</f>
        <v>緑</v>
      </c>
      <c r="G43" t="s">
        <v>3</v>
      </c>
      <c r="H43">
        <f t="shared" ref="H43:H51" si="4">H42+IF(H$41=$F43,1,0)</f>
        <v>0</v>
      </c>
      <c r="I43" t="str">
        <f t="shared" ref="I43:Q51" si="5">I42</f>
        <v>|</v>
      </c>
      <c r="J43">
        <f t="shared" ref="J43:J51" si="6">J42+IF(J$41=$F43,1,0)</f>
        <v>-1</v>
      </c>
      <c r="K43" t="str">
        <f t="shared" si="5"/>
        <v>|</v>
      </c>
      <c r="L43">
        <f t="shared" ref="L43:L51" si="7">L42+IF(L$41=$F43,1,0)</f>
        <v>-1</v>
      </c>
      <c r="M43" t="str">
        <f t="shared" si="5"/>
        <v>|</v>
      </c>
      <c r="N43">
        <f t="shared" ref="N43:N51" si="8">N42+IF(N$41=$F43,1,0)</f>
        <v>0</v>
      </c>
      <c r="O43" t="str">
        <f t="shared" si="5"/>
        <v>|</v>
      </c>
      <c r="P43">
        <f t="shared" ref="P43:P51" si="9">P42+IF(P$41=$F43,1,0)</f>
        <v>2</v>
      </c>
      <c r="Q43" t="str">
        <f t="shared" si="5"/>
        <v>|</v>
      </c>
      <c r="S43" t="s">
        <v>13</v>
      </c>
    </row>
    <row r="44" spans="1:19" x14ac:dyDescent="0.15">
      <c r="A44" t="str">
        <f t="shared" si="2"/>
        <v>|Lv10|0|-1|-1|1|2|</v>
      </c>
      <c r="B44" t="s">
        <v>3</v>
      </c>
      <c r="C44" t="s">
        <v>8</v>
      </c>
      <c r="D44">
        <v>10</v>
      </c>
      <c r="E44" t="s">
        <v>3</v>
      </c>
      <c r="F44" t="str">
        <f t="shared" si="3"/>
        <v>赤</v>
      </c>
      <c r="G44" t="s">
        <v>3</v>
      </c>
      <c r="H44">
        <f t="shared" si="4"/>
        <v>0</v>
      </c>
      <c r="I44" t="str">
        <f t="shared" si="5"/>
        <v>|</v>
      </c>
      <c r="J44">
        <f t="shared" si="6"/>
        <v>-1</v>
      </c>
      <c r="K44" t="str">
        <f t="shared" si="5"/>
        <v>|</v>
      </c>
      <c r="L44">
        <f t="shared" si="7"/>
        <v>-1</v>
      </c>
      <c r="M44" t="str">
        <f t="shared" si="5"/>
        <v>|</v>
      </c>
      <c r="N44">
        <f t="shared" si="8"/>
        <v>1</v>
      </c>
      <c r="O44" t="str">
        <f t="shared" si="5"/>
        <v>|</v>
      </c>
      <c r="P44">
        <f t="shared" si="9"/>
        <v>2</v>
      </c>
      <c r="Q44" t="str">
        <f t="shared" si="5"/>
        <v>|</v>
      </c>
      <c r="S44" t="s">
        <v>14</v>
      </c>
    </row>
    <row r="45" spans="1:19" x14ac:dyDescent="0.15">
      <c r="A45" t="str">
        <f t="shared" si="2"/>
        <v>|Lv16|1|-1|-1|1|2|</v>
      </c>
      <c r="B45" t="s">
        <v>3</v>
      </c>
      <c r="C45" t="s">
        <v>8</v>
      </c>
      <c r="D45">
        <v>16</v>
      </c>
      <c r="E45" t="s">
        <v>3</v>
      </c>
      <c r="F45" t="str">
        <f t="shared" si="3"/>
        <v>白</v>
      </c>
      <c r="G45" t="s">
        <v>3</v>
      </c>
      <c r="H45">
        <f t="shared" si="4"/>
        <v>1</v>
      </c>
      <c r="I45" t="str">
        <f t="shared" si="5"/>
        <v>|</v>
      </c>
      <c r="J45">
        <f t="shared" si="6"/>
        <v>-1</v>
      </c>
      <c r="K45" t="str">
        <f t="shared" si="5"/>
        <v>|</v>
      </c>
      <c r="L45">
        <f t="shared" si="7"/>
        <v>-1</v>
      </c>
      <c r="M45" t="str">
        <f t="shared" si="5"/>
        <v>|</v>
      </c>
      <c r="N45">
        <f t="shared" si="8"/>
        <v>1</v>
      </c>
      <c r="O45" t="str">
        <f t="shared" si="5"/>
        <v>|</v>
      </c>
      <c r="P45">
        <f t="shared" si="9"/>
        <v>2</v>
      </c>
      <c r="Q45" t="str">
        <f t="shared" si="5"/>
        <v>|</v>
      </c>
      <c r="S45" t="s">
        <v>15</v>
      </c>
    </row>
    <row r="46" spans="1:19" x14ac:dyDescent="0.15">
      <c r="A46" t="str">
        <f t="shared" si="2"/>
        <v>|Lv22|1|0|-1|1|2|</v>
      </c>
      <c r="B46" t="s">
        <v>3</v>
      </c>
      <c r="C46" t="s">
        <v>8</v>
      </c>
      <c r="D46">
        <v>22</v>
      </c>
      <c r="E46" t="s">
        <v>3</v>
      </c>
      <c r="F46" t="str">
        <f t="shared" si="3"/>
        <v>青</v>
      </c>
      <c r="G46" t="s">
        <v>3</v>
      </c>
      <c r="H46">
        <f t="shared" si="4"/>
        <v>1</v>
      </c>
      <c r="I46" t="str">
        <f t="shared" si="5"/>
        <v>|</v>
      </c>
      <c r="J46">
        <f t="shared" si="6"/>
        <v>0</v>
      </c>
      <c r="K46" t="str">
        <f t="shared" si="5"/>
        <v>|</v>
      </c>
      <c r="L46">
        <f t="shared" si="7"/>
        <v>-1</v>
      </c>
      <c r="M46" t="str">
        <f t="shared" si="5"/>
        <v>|</v>
      </c>
      <c r="N46">
        <f t="shared" si="8"/>
        <v>1</v>
      </c>
      <c r="O46" t="str">
        <f t="shared" si="5"/>
        <v>|</v>
      </c>
      <c r="P46">
        <f t="shared" si="9"/>
        <v>2</v>
      </c>
      <c r="Q46" t="str">
        <f t="shared" si="5"/>
        <v>|</v>
      </c>
    </row>
    <row r="47" spans="1:19" x14ac:dyDescent="0.15">
      <c r="A47" t="str">
        <f t="shared" si="2"/>
        <v>|Lv28|1|0|0|1|2|</v>
      </c>
      <c r="B47" t="s">
        <v>3</v>
      </c>
      <c r="C47" t="s">
        <v>8</v>
      </c>
      <c r="D47">
        <v>28</v>
      </c>
      <c r="E47" t="s">
        <v>3</v>
      </c>
      <c r="F47" t="str">
        <f t="shared" si="3"/>
        <v>黒</v>
      </c>
      <c r="G47" t="s">
        <v>3</v>
      </c>
      <c r="H47">
        <f t="shared" si="4"/>
        <v>1</v>
      </c>
      <c r="I47" t="str">
        <f t="shared" si="5"/>
        <v>|</v>
      </c>
      <c r="J47">
        <f t="shared" si="6"/>
        <v>0</v>
      </c>
      <c r="K47" t="str">
        <f t="shared" si="5"/>
        <v>|</v>
      </c>
      <c r="L47">
        <f t="shared" si="7"/>
        <v>0</v>
      </c>
      <c r="M47" t="str">
        <f t="shared" si="5"/>
        <v>|</v>
      </c>
      <c r="N47">
        <f t="shared" si="8"/>
        <v>1</v>
      </c>
      <c r="O47" t="str">
        <f t="shared" si="5"/>
        <v>|</v>
      </c>
      <c r="P47">
        <f t="shared" si="9"/>
        <v>2</v>
      </c>
      <c r="Q47" t="str">
        <f t="shared" si="5"/>
        <v>|</v>
      </c>
    </row>
    <row r="48" spans="1:19" x14ac:dyDescent="0.15">
      <c r="A48" t="str">
        <f t="shared" si="2"/>
        <v>|Lv32|1|0|0|1|3|</v>
      </c>
      <c r="B48" t="s">
        <v>3</v>
      </c>
      <c r="C48" t="s">
        <v>8</v>
      </c>
      <c r="D48">
        <v>32</v>
      </c>
      <c r="E48" t="s">
        <v>3</v>
      </c>
      <c r="F48" t="str">
        <f t="shared" si="3"/>
        <v>緑</v>
      </c>
      <c r="G48" t="s">
        <v>3</v>
      </c>
      <c r="H48">
        <f t="shared" si="4"/>
        <v>1</v>
      </c>
      <c r="I48" t="str">
        <f t="shared" si="5"/>
        <v>|</v>
      </c>
      <c r="J48">
        <f t="shared" si="6"/>
        <v>0</v>
      </c>
      <c r="K48" t="str">
        <f t="shared" si="5"/>
        <v>|</v>
      </c>
      <c r="L48">
        <f t="shared" si="7"/>
        <v>0</v>
      </c>
      <c r="M48" t="str">
        <f t="shared" si="5"/>
        <v>|</v>
      </c>
      <c r="N48">
        <f t="shared" si="8"/>
        <v>1</v>
      </c>
      <c r="O48" t="str">
        <f t="shared" si="5"/>
        <v>|</v>
      </c>
      <c r="P48">
        <f t="shared" si="9"/>
        <v>3</v>
      </c>
      <c r="Q48" t="str">
        <f t="shared" si="5"/>
        <v>|</v>
      </c>
    </row>
    <row r="49" spans="1:19" x14ac:dyDescent="0.15">
      <c r="A49" t="str">
        <f t="shared" si="2"/>
        <v>|Lv38|1|0|0|2|3|</v>
      </c>
      <c r="B49" t="s">
        <v>3</v>
      </c>
      <c r="C49" t="s">
        <v>8</v>
      </c>
      <c r="D49">
        <v>38</v>
      </c>
      <c r="E49" t="s">
        <v>3</v>
      </c>
      <c r="F49" t="str">
        <f t="shared" si="3"/>
        <v>赤</v>
      </c>
      <c r="G49" t="s">
        <v>3</v>
      </c>
      <c r="H49">
        <f t="shared" si="4"/>
        <v>1</v>
      </c>
      <c r="I49" t="str">
        <f t="shared" si="5"/>
        <v>|</v>
      </c>
      <c r="J49">
        <f t="shared" si="6"/>
        <v>0</v>
      </c>
      <c r="K49" t="str">
        <f t="shared" si="5"/>
        <v>|</v>
      </c>
      <c r="L49">
        <f t="shared" si="7"/>
        <v>0</v>
      </c>
      <c r="M49" t="str">
        <f t="shared" si="5"/>
        <v>|</v>
      </c>
      <c r="N49">
        <f t="shared" si="8"/>
        <v>2</v>
      </c>
      <c r="O49" t="str">
        <f t="shared" si="5"/>
        <v>|</v>
      </c>
      <c r="P49">
        <f t="shared" si="9"/>
        <v>3</v>
      </c>
      <c r="Q49" t="str">
        <f t="shared" si="5"/>
        <v>|</v>
      </c>
    </row>
    <row r="50" spans="1:19" x14ac:dyDescent="0.15">
      <c r="A50" t="str">
        <f t="shared" si="2"/>
        <v>|Lv44|2|0|0|2|3|</v>
      </c>
      <c r="B50" t="s">
        <v>3</v>
      </c>
      <c r="C50" t="s">
        <v>8</v>
      </c>
      <c r="D50">
        <v>44</v>
      </c>
      <c r="E50" t="s">
        <v>3</v>
      </c>
      <c r="F50" t="str">
        <f t="shared" si="3"/>
        <v>白</v>
      </c>
      <c r="G50" t="s">
        <v>3</v>
      </c>
      <c r="H50">
        <f t="shared" si="4"/>
        <v>2</v>
      </c>
      <c r="I50" t="str">
        <f t="shared" si="5"/>
        <v>|</v>
      </c>
      <c r="J50">
        <f t="shared" si="6"/>
        <v>0</v>
      </c>
      <c r="K50" t="str">
        <f t="shared" si="5"/>
        <v>|</v>
      </c>
      <c r="L50">
        <f t="shared" si="7"/>
        <v>0</v>
      </c>
      <c r="M50" t="str">
        <f t="shared" si="5"/>
        <v>|</v>
      </c>
      <c r="N50">
        <f t="shared" si="8"/>
        <v>2</v>
      </c>
      <c r="O50" t="str">
        <f t="shared" si="5"/>
        <v>|</v>
      </c>
      <c r="P50">
        <f t="shared" si="9"/>
        <v>3</v>
      </c>
      <c r="Q50" t="str">
        <f t="shared" si="5"/>
        <v>|</v>
      </c>
    </row>
    <row r="51" spans="1:19" x14ac:dyDescent="0.15">
      <c r="A51" t="str">
        <f t="shared" si="2"/>
        <v>|Lv50|2|0|1|2|3|</v>
      </c>
      <c r="B51" t="s">
        <v>3</v>
      </c>
      <c r="C51" t="s">
        <v>8</v>
      </c>
      <c r="D51">
        <v>50</v>
      </c>
      <c r="E51" t="s">
        <v>3</v>
      </c>
      <c r="F51" t="str">
        <f t="shared" si="3"/>
        <v>黒</v>
      </c>
      <c r="G51" t="s">
        <v>3</v>
      </c>
      <c r="H51">
        <f t="shared" si="4"/>
        <v>2</v>
      </c>
      <c r="I51" t="str">
        <f t="shared" si="5"/>
        <v>|</v>
      </c>
      <c r="J51">
        <f t="shared" si="6"/>
        <v>0</v>
      </c>
      <c r="K51" t="str">
        <f t="shared" si="5"/>
        <v>|</v>
      </c>
      <c r="L51">
        <f t="shared" si="7"/>
        <v>1</v>
      </c>
      <c r="M51" t="str">
        <f t="shared" si="5"/>
        <v>|</v>
      </c>
      <c r="N51">
        <f t="shared" si="8"/>
        <v>2</v>
      </c>
      <c r="O51" t="str">
        <f t="shared" si="5"/>
        <v>|</v>
      </c>
      <c r="P51">
        <f t="shared" si="9"/>
        <v>3</v>
      </c>
      <c r="Q51" t="str">
        <f t="shared" si="5"/>
        <v>|</v>
      </c>
    </row>
    <row r="52" spans="1:19" x14ac:dyDescent="0.15">
      <c r="A52" t="str">
        <f>B52&amp;C52&amp;D52&amp;E52&amp;F52&amp;G52&amp;H52&amp;I52&amp;J52&amp;K52&amp;L52&amp;M52&amp;N52&amp;O52&amp;P52</f>
        <v>&amp;br;</v>
      </c>
      <c r="B52" t="s">
        <v>0</v>
      </c>
    </row>
    <row r="53" spans="1:19" x14ac:dyDescent="0.15">
      <c r="A53" t="str">
        <f>B53&amp;C53&amp;D53&amp;E53&amp;F53&amp;G53&amp;H53&amp;I53&amp;J53&amp;K53&amp;L53&amp;M53&amp;N53&amp;O53&amp;P53</f>
        <v>&amp;br;</v>
      </c>
      <c r="B53" t="s">
        <v>0</v>
      </c>
    </row>
    <row r="54" spans="1:19" x14ac:dyDescent="0.15">
      <c r="A54" t="str">
        <f>B54&amp;C54&amp;D54&amp;E54&amp;F54&amp;G54&amp;H54&amp;I54&amp;J54&amp;K54&amp;L54&amp;M54&amp;N54&amp;O54&amp;P54</f>
        <v>*デッキ構築枚数上限 [#e6f382eb]</v>
      </c>
      <c r="B54" t="s">
        <v>16</v>
      </c>
    </row>
    <row r="55" spans="1:19" x14ac:dyDescent="0.15">
      <c r="A55" t="str">
        <f>B55&amp;C55&amp;D55&amp;E55&amp;F55&amp;G55&amp;H55&amp;I55&amp;J55&amp;K55&amp;L55&amp;M55&amp;N55&amp;O55&amp;P55</f>
        <v>構築枚数上限を越える枚数はデッキに入れられない。</v>
      </c>
      <c r="B55" t="s">
        <v>17</v>
      </c>
    </row>
    <row r="56" spans="1:19" x14ac:dyDescent="0.15">
      <c r="A56" t="str">
        <f t="shared" ref="A56:A65" si="10">B56&amp;C56&amp;D56&amp;G56&amp;H56&amp;I56&amp;J56&amp;K56&amp;L56&amp;M56&amp;N56&amp;O56&amp;P56&amp;Q56&amp;R56</f>
        <v>|LEFT:50|LEFT:80|LEFT:80|LEFT:80|c</v>
      </c>
      <c r="B56" t="s">
        <v>3</v>
      </c>
      <c r="C56" t="s">
        <v>4</v>
      </c>
      <c r="E56" t="s">
        <v>3</v>
      </c>
      <c r="G56" t="s">
        <v>3</v>
      </c>
      <c r="H56" t="s">
        <v>18</v>
      </c>
      <c r="I56" t="s">
        <v>3</v>
      </c>
      <c r="J56" t="s">
        <v>18</v>
      </c>
      <c r="K56" t="s">
        <v>3</v>
      </c>
      <c r="L56" t="s">
        <v>18</v>
      </c>
      <c r="M56" t="s">
        <v>3</v>
      </c>
      <c r="N56" t="s">
        <v>5</v>
      </c>
    </row>
    <row r="57" spans="1:19" x14ac:dyDescent="0.15">
      <c r="A57" t="str">
        <f t="shared" si="10"/>
        <v>|レベル|クリーチャー|呪文|サポート|</v>
      </c>
      <c r="B57" t="s">
        <v>3</v>
      </c>
      <c r="C57" t="s">
        <v>6</v>
      </c>
      <c r="E57" t="s">
        <v>3</v>
      </c>
      <c r="F57" t="s">
        <v>19</v>
      </c>
      <c r="G57" t="s">
        <v>3</v>
      </c>
      <c r="H57" t="s">
        <v>20</v>
      </c>
      <c r="I57" t="s">
        <v>3</v>
      </c>
      <c r="J57" t="s">
        <v>21</v>
      </c>
      <c r="K57" t="s">
        <v>3</v>
      </c>
      <c r="L57" t="s">
        <v>22</v>
      </c>
      <c r="M57" t="s">
        <v>3</v>
      </c>
      <c r="S57" t="s">
        <v>20</v>
      </c>
    </row>
    <row r="58" spans="1:19" x14ac:dyDescent="0.15">
      <c r="A58" t="str">
        <f t="shared" si="10"/>
        <v>|Lv1|2|6|2|</v>
      </c>
      <c r="B58" t="s">
        <v>3</v>
      </c>
      <c r="C58" t="s">
        <v>8</v>
      </c>
      <c r="D58">
        <v>1</v>
      </c>
      <c r="E58" t="s">
        <v>3</v>
      </c>
      <c r="G58" t="s">
        <v>3</v>
      </c>
      <c r="H58">
        <v>2</v>
      </c>
      <c r="I58" t="s">
        <v>3</v>
      </c>
      <c r="J58">
        <v>6</v>
      </c>
      <c r="K58" t="s">
        <v>3</v>
      </c>
      <c r="L58">
        <v>2</v>
      </c>
      <c r="M58" t="s">
        <v>3</v>
      </c>
      <c r="S58" t="s">
        <v>21</v>
      </c>
    </row>
    <row r="59" spans="1:19" x14ac:dyDescent="0.15">
      <c r="A59" t="str">
        <f t="shared" si="10"/>
        <v>|Lv2|3|6|2|</v>
      </c>
      <c r="B59" t="s">
        <v>3</v>
      </c>
      <c r="C59" t="s">
        <v>8</v>
      </c>
      <c r="D59">
        <v>2</v>
      </c>
      <c r="E59" t="s">
        <v>3</v>
      </c>
      <c r="F59" t="str">
        <f t="shared" ref="F59:F65" si="11">IF(ISBLANK(D59),"",INDEX($F$98:$F$157,D59))</f>
        <v>クリーチャー</v>
      </c>
      <c r="G59" t="s">
        <v>3</v>
      </c>
      <c r="H59">
        <f t="shared" ref="H59:H65" si="12">H58+IF(H$57=$F59,INDEX($H$98:$H$157,D59),0)</f>
        <v>3</v>
      </c>
      <c r="I59" t="s">
        <v>3</v>
      </c>
      <c r="J59">
        <f t="shared" ref="J59:J65" si="13">J58+IF(J$57=$F59,INDEX($H$98:$H$157,D59),0)</f>
        <v>6</v>
      </c>
      <c r="K59" t="s">
        <v>3</v>
      </c>
      <c r="L59">
        <f t="shared" ref="L59:L65" si="14">L58+IF(L$57=$F59,INDEX($H$98:$H$157,D59),0)</f>
        <v>2</v>
      </c>
      <c r="M59" t="s">
        <v>3</v>
      </c>
      <c r="S59" t="s">
        <v>22</v>
      </c>
    </row>
    <row r="60" spans="1:19" x14ac:dyDescent="0.15">
      <c r="A60" t="str">
        <f t="shared" si="10"/>
        <v>|Lv8|3|6|3|</v>
      </c>
      <c r="B60" t="s">
        <v>3</v>
      </c>
      <c r="C60" t="s">
        <v>8</v>
      </c>
      <c r="D60">
        <v>8</v>
      </c>
      <c r="E60" t="s">
        <v>3</v>
      </c>
      <c r="F60" t="str">
        <f t="shared" si="11"/>
        <v>サポート</v>
      </c>
      <c r="G60" t="s">
        <v>3</v>
      </c>
      <c r="H60">
        <f t="shared" si="12"/>
        <v>3</v>
      </c>
      <c r="I60" t="s">
        <v>3</v>
      </c>
      <c r="J60">
        <f t="shared" si="13"/>
        <v>6</v>
      </c>
      <c r="K60" t="s">
        <v>3</v>
      </c>
      <c r="L60">
        <f t="shared" si="14"/>
        <v>3</v>
      </c>
      <c r="M60" t="s">
        <v>3</v>
      </c>
    </row>
    <row r="61" spans="1:19" x14ac:dyDescent="0.15">
      <c r="A61" t="str">
        <f t="shared" si="10"/>
        <v>|Lv14|3|8|3|</v>
      </c>
      <c r="B61" t="s">
        <v>3</v>
      </c>
      <c r="C61" t="s">
        <v>8</v>
      </c>
      <c r="D61">
        <v>14</v>
      </c>
      <c r="E61" t="s">
        <v>3</v>
      </c>
      <c r="F61" t="str">
        <f t="shared" si="11"/>
        <v>呪文</v>
      </c>
      <c r="G61" t="s">
        <v>3</v>
      </c>
      <c r="H61">
        <f t="shared" si="12"/>
        <v>3</v>
      </c>
      <c r="I61" t="s">
        <v>3</v>
      </c>
      <c r="J61">
        <f t="shared" si="13"/>
        <v>8</v>
      </c>
      <c r="K61" t="s">
        <v>3</v>
      </c>
      <c r="L61">
        <f t="shared" si="14"/>
        <v>3</v>
      </c>
      <c r="M61" t="s">
        <v>3</v>
      </c>
    </row>
    <row r="62" spans="1:19" x14ac:dyDescent="0.15">
      <c r="A62" t="str">
        <f t="shared" si="10"/>
        <v>|Lv26|4|8|3|</v>
      </c>
      <c r="B62" t="s">
        <v>3</v>
      </c>
      <c r="C62" t="s">
        <v>8</v>
      </c>
      <c r="D62">
        <v>26</v>
      </c>
      <c r="E62" t="s">
        <v>3</v>
      </c>
      <c r="F62" t="str">
        <f t="shared" si="11"/>
        <v>クリーチャー</v>
      </c>
      <c r="G62" t="s">
        <v>3</v>
      </c>
      <c r="H62">
        <f t="shared" si="12"/>
        <v>4</v>
      </c>
      <c r="I62" t="s">
        <v>3</v>
      </c>
      <c r="J62">
        <f t="shared" si="13"/>
        <v>8</v>
      </c>
      <c r="K62" t="s">
        <v>3</v>
      </c>
      <c r="L62">
        <f t="shared" si="14"/>
        <v>3</v>
      </c>
      <c r="M62" t="s">
        <v>3</v>
      </c>
    </row>
    <row r="63" spans="1:19" x14ac:dyDescent="0.15">
      <c r="A63" t="str">
        <f t="shared" si="10"/>
        <v>|Lv34|4|8|4|</v>
      </c>
      <c r="B63" t="s">
        <v>3</v>
      </c>
      <c r="C63" t="s">
        <v>8</v>
      </c>
      <c r="D63">
        <v>34</v>
      </c>
      <c r="E63" t="s">
        <v>3</v>
      </c>
      <c r="F63" t="str">
        <f t="shared" si="11"/>
        <v>サポート</v>
      </c>
      <c r="G63" t="s">
        <v>3</v>
      </c>
      <c r="H63">
        <f t="shared" si="12"/>
        <v>4</v>
      </c>
      <c r="I63" t="s">
        <v>3</v>
      </c>
      <c r="J63">
        <f t="shared" si="13"/>
        <v>8</v>
      </c>
      <c r="K63" t="s">
        <v>3</v>
      </c>
      <c r="L63">
        <f t="shared" si="14"/>
        <v>4</v>
      </c>
      <c r="M63" t="s">
        <v>3</v>
      </c>
    </row>
    <row r="64" spans="1:19" x14ac:dyDescent="0.15">
      <c r="A64" t="str">
        <f t="shared" si="10"/>
        <v>|Lv42|4|10|4|</v>
      </c>
      <c r="B64" t="s">
        <v>3</v>
      </c>
      <c r="C64" t="s">
        <v>8</v>
      </c>
      <c r="D64">
        <v>42</v>
      </c>
      <c r="E64" t="s">
        <v>3</v>
      </c>
      <c r="F64" t="str">
        <f t="shared" si="11"/>
        <v>呪文</v>
      </c>
      <c r="G64" t="s">
        <v>3</v>
      </c>
      <c r="H64">
        <f t="shared" si="12"/>
        <v>4</v>
      </c>
      <c r="I64" t="s">
        <v>3</v>
      </c>
      <c r="J64">
        <f t="shared" si="13"/>
        <v>10</v>
      </c>
      <c r="K64" t="s">
        <v>3</v>
      </c>
      <c r="L64">
        <f t="shared" si="14"/>
        <v>4</v>
      </c>
      <c r="M64" t="s">
        <v>3</v>
      </c>
    </row>
    <row r="65" spans="1:20" x14ac:dyDescent="0.15">
      <c r="A65" t="str">
        <f t="shared" si="10"/>
        <v>|Lv54|4|10|6|</v>
      </c>
      <c r="B65" t="s">
        <v>3</v>
      </c>
      <c r="C65" t="s">
        <v>8</v>
      </c>
      <c r="D65">
        <v>54</v>
      </c>
      <c r="E65" t="s">
        <v>3</v>
      </c>
      <c r="F65" t="str">
        <f t="shared" si="11"/>
        <v>サポート</v>
      </c>
      <c r="G65" t="s">
        <v>3</v>
      </c>
      <c r="H65">
        <f t="shared" si="12"/>
        <v>4</v>
      </c>
      <c r="I65" t="s">
        <v>3</v>
      </c>
      <c r="J65">
        <f t="shared" si="13"/>
        <v>10</v>
      </c>
      <c r="K65" t="s">
        <v>3</v>
      </c>
      <c r="L65">
        <f t="shared" si="14"/>
        <v>6</v>
      </c>
      <c r="M65" t="s">
        <v>3</v>
      </c>
    </row>
    <row r="66" spans="1:20" x14ac:dyDescent="0.15">
      <c r="A66" t="str">
        <f t="shared" ref="A66:A87" si="15">B66&amp;C66&amp;D66&amp;E66&amp;F66&amp;G66&amp;H66&amp;I66&amp;J66&amp;K66&amp;L66&amp;M66&amp;N66&amp;O66&amp;P66</f>
        <v>&amp;br;</v>
      </c>
      <c r="B66" t="s">
        <v>0</v>
      </c>
    </row>
    <row r="67" spans="1:20" x14ac:dyDescent="0.15">
      <c r="A67" t="str">
        <f t="shared" si="15"/>
        <v>&amp;br;</v>
      </c>
      <c r="B67" t="s">
        <v>0</v>
      </c>
    </row>
    <row r="68" spans="1:20" x14ac:dyDescent="0.15">
      <c r="A68" t="str">
        <f t="shared" si="15"/>
        <v>*PW能力一覧 [#a469e89f]</v>
      </c>
      <c r="B68" t="s">
        <v>23</v>
      </c>
    </row>
    <row r="69" spans="1:20" x14ac:dyDescent="0.15">
      <c r="A69" t="str">
        <f t="shared" si="15"/>
        <v>**第1能力：蛇呼び/Call Snake</v>
      </c>
      <c r="B69" t="s">
        <v>24</v>
      </c>
      <c r="D69" t="s">
        <v>335</v>
      </c>
      <c r="E69" t="s">
        <v>25</v>
      </c>
      <c r="F69" t="s">
        <v>336</v>
      </c>
      <c r="R69" t="str">
        <f>D69&amp;E69&amp;F69</f>
        <v>蛇呼び/Call Snake</v>
      </c>
      <c r="S69" t="s">
        <v>3</v>
      </c>
      <c r="T69">
        <f>H75</f>
        <v>6</v>
      </c>
    </row>
    <row r="70" spans="1:20" x14ac:dyDescent="0.15">
      <c r="A70" t="str">
        <f t="shared" si="15"/>
        <v>|LEFT:50|LEFT:50|LEFT:50|LEFT:300|c</v>
      </c>
      <c r="B70" t="s">
        <v>3</v>
      </c>
      <c r="C70" t="s">
        <v>4</v>
      </c>
      <c r="E70" t="s">
        <v>3</v>
      </c>
      <c r="F70" t="s">
        <v>4</v>
      </c>
      <c r="G70" t="s">
        <v>3</v>
      </c>
      <c r="H70" t="s">
        <v>4</v>
      </c>
      <c r="I70" t="s">
        <v>3</v>
      </c>
      <c r="J70" t="s">
        <v>26</v>
      </c>
      <c r="K70" t="s">
        <v>3</v>
      </c>
      <c r="L70" t="s">
        <v>5</v>
      </c>
      <c r="R70" t="s">
        <v>209</v>
      </c>
      <c r="S70" t="s">
        <v>3</v>
      </c>
      <c r="T70" t="str">
        <f>J75</f>
        <v>1/1の緑の蛇・トークンを4体召喚する。</v>
      </c>
    </row>
    <row r="71" spans="1:20" x14ac:dyDescent="0.15">
      <c r="A71" t="str">
        <f t="shared" si="15"/>
        <v>|解放Lv|レベル|コスト|効果|</v>
      </c>
      <c r="B71" t="s">
        <v>3</v>
      </c>
      <c r="C71" t="s">
        <v>27</v>
      </c>
      <c r="E71" t="s">
        <v>3</v>
      </c>
      <c r="F71" t="s">
        <v>6</v>
      </c>
      <c r="G71" t="s">
        <v>3</v>
      </c>
      <c r="H71" t="s">
        <v>28</v>
      </c>
      <c r="I71" t="s">
        <v>3</v>
      </c>
      <c r="J71" t="s">
        <v>29</v>
      </c>
      <c r="K71" t="s">
        <v>3</v>
      </c>
      <c r="R71" t="str">
        <f>D78&amp;E78&amp;F78</f>
        <v>狼呼び/Call Wolf</v>
      </c>
      <c r="S71" t="s">
        <v>3</v>
      </c>
      <c r="T71">
        <f>H84</f>
        <v>9</v>
      </c>
    </row>
    <row r="72" spans="1:20" x14ac:dyDescent="0.15">
      <c r="A72" t="str">
        <f t="shared" si="15"/>
        <v>|Lv6|Lv1|6|1/1の緑の蛇・トークンを1体召喚する。|</v>
      </c>
      <c r="B72" t="s">
        <v>3</v>
      </c>
      <c r="C72" t="s">
        <v>8</v>
      </c>
      <c r="D72">
        <v>6</v>
      </c>
      <c r="E72" t="s">
        <v>3</v>
      </c>
      <c r="F72" t="s">
        <v>30</v>
      </c>
      <c r="G72" t="s">
        <v>3</v>
      </c>
      <c r="H72">
        <v>6</v>
      </c>
      <c r="I72" t="s">
        <v>3</v>
      </c>
      <c r="J72" t="s">
        <v>337</v>
      </c>
      <c r="K72" t="s">
        <v>3</v>
      </c>
      <c r="R72" t="s">
        <v>209</v>
      </c>
      <c r="S72" t="s">
        <v>3</v>
      </c>
      <c r="T72" t="str">
        <f>J84</f>
        <v>2/2の緑の狼・トークンを4体召喚する。</v>
      </c>
    </row>
    <row r="73" spans="1:20" x14ac:dyDescent="0.15">
      <c r="A73" t="str">
        <f t="shared" si="15"/>
        <v>|Lv24|Lv2|6|1/1の緑の蛇・トークンを2体召喚する。|</v>
      </c>
      <c r="B73" t="s">
        <v>3</v>
      </c>
      <c r="C73" t="s">
        <v>8</v>
      </c>
      <c r="D73">
        <v>24</v>
      </c>
      <c r="E73" t="s">
        <v>3</v>
      </c>
      <c r="F73" t="s">
        <v>31</v>
      </c>
      <c r="G73" t="s">
        <v>3</v>
      </c>
      <c r="H73">
        <v>6</v>
      </c>
      <c r="I73" t="s">
        <v>3</v>
      </c>
      <c r="J73" t="s">
        <v>338</v>
      </c>
      <c r="K73" t="s">
        <v>3</v>
      </c>
      <c r="R73" t="str">
        <f>D87&amp;E87&amp;F87</f>
        <v>ビースト呼び/Call Beast</v>
      </c>
      <c r="S73" t="s">
        <v>3</v>
      </c>
      <c r="T73">
        <f>H93</f>
        <v>15</v>
      </c>
    </row>
    <row r="74" spans="1:20" x14ac:dyDescent="0.15">
      <c r="A74" t="str">
        <f t="shared" si="15"/>
        <v>|Lv40|Lv3|6|1/1の緑の蛇・トークンを3体召喚する。|</v>
      </c>
      <c r="B74" t="s">
        <v>3</v>
      </c>
      <c r="C74" t="s">
        <v>8</v>
      </c>
      <c r="D74">
        <v>40</v>
      </c>
      <c r="E74" t="s">
        <v>3</v>
      </c>
      <c r="F74" t="s">
        <v>32</v>
      </c>
      <c r="G74" t="s">
        <v>3</v>
      </c>
      <c r="H74">
        <v>6</v>
      </c>
      <c r="I74" t="s">
        <v>3</v>
      </c>
      <c r="J74" t="s">
        <v>339</v>
      </c>
      <c r="K74" t="s">
        <v>3</v>
      </c>
      <c r="R74" t="s">
        <v>209</v>
      </c>
      <c r="S74" t="s">
        <v>3</v>
      </c>
      <c r="T74" t="str">
        <f>J93</f>
        <v>3/3の緑のビースト・トークンを4体召喚する。</v>
      </c>
    </row>
    <row r="75" spans="1:20" x14ac:dyDescent="0.15">
      <c r="A75" t="str">
        <f t="shared" si="15"/>
        <v>|Lv56|Lv4|6|1/1の緑の蛇・トークンを4体召喚する。|</v>
      </c>
      <c r="B75" t="s">
        <v>3</v>
      </c>
      <c r="C75" t="s">
        <v>8</v>
      </c>
      <c r="D75">
        <v>56</v>
      </c>
      <c r="E75" t="s">
        <v>3</v>
      </c>
      <c r="F75" t="s">
        <v>33</v>
      </c>
      <c r="G75" t="s">
        <v>3</v>
      </c>
      <c r="H75">
        <v>6</v>
      </c>
      <c r="I75" t="s">
        <v>3</v>
      </c>
      <c r="J75" t="s">
        <v>340</v>
      </c>
      <c r="K75" t="s">
        <v>3</v>
      </c>
    </row>
    <row r="76" spans="1:20" x14ac:dyDescent="0.15">
      <c r="A76" t="str">
        <f t="shared" si="15"/>
        <v>&amp;br;</v>
      </c>
      <c r="B76" t="s">
        <v>0</v>
      </c>
    </row>
    <row r="77" spans="1:20" x14ac:dyDescent="0.15">
      <c r="A77" t="str">
        <f t="shared" si="15"/>
        <v>&amp;br;</v>
      </c>
      <c r="B77" t="s">
        <v>0</v>
      </c>
    </row>
    <row r="78" spans="1:20" x14ac:dyDescent="0.15">
      <c r="A78" t="str">
        <f t="shared" si="15"/>
        <v>**第2能力：狼呼び/Call Wolf</v>
      </c>
      <c r="B78" t="s">
        <v>34</v>
      </c>
      <c r="D78" t="s">
        <v>341</v>
      </c>
      <c r="E78" t="s">
        <v>25</v>
      </c>
      <c r="F78" t="s">
        <v>342</v>
      </c>
    </row>
    <row r="79" spans="1:20" x14ac:dyDescent="0.15">
      <c r="A79" t="str">
        <f t="shared" si="15"/>
        <v>|LEFT:50|LEFT:50|LEFT:50|LEFT:300|c</v>
      </c>
      <c r="B79" t="s">
        <v>3</v>
      </c>
      <c r="C79" t="s">
        <v>4</v>
      </c>
      <c r="E79" t="s">
        <v>3</v>
      </c>
      <c r="F79" t="s">
        <v>4</v>
      </c>
      <c r="G79" t="s">
        <v>3</v>
      </c>
      <c r="H79" t="s">
        <v>4</v>
      </c>
      <c r="I79" t="s">
        <v>3</v>
      </c>
      <c r="J79" t="s">
        <v>26</v>
      </c>
      <c r="K79" t="s">
        <v>3</v>
      </c>
      <c r="L79" t="s">
        <v>5</v>
      </c>
    </row>
    <row r="80" spans="1:20" x14ac:dyDescent="0.15">
      <c r="A80" t="str">
        <f t="shared" si="15"/>
        <v>|解放Lv|レベル|コスト|効果|</v>
      </c>
      <c r="B80" t="s">
        <v>3</v>
      </c>
      <c r="C80" t="s">
        <v>27</v>
      </c>
      <c r="E80" t="s">
        <v>3</v>
      </c>
      <c r="F80" t="s">
        <v>6</v>
      </c>
      <c r="G80" t="s">
        <v>3</v>
      </c>
      <c r="H80" t="s">
        <v>28</v>
      </c>
      <c r="I80" t="s">
        <v>3</v>
      </c>
      <c r="J80" t="s">
        <v>29</v>
      </c>
      <c r="K80" t="s">
        <v>3</v>
      </c>
    </row>
    <row r="81" spans="1:12" x14ac:dyDescent="0.15">
      <c r="A81" t="str">
        <f t="shared" si="15"/>
        <v>|Lv12|Lv1|9|2/2の緑の狼・トークンを1体召喚する。|</v>
      </c>
      <c r="B81" t="s">
        <v>3</v>
      </c>
      <c r="C81" t="s">
        <v>8</v>
      </c>
      <c r="D81">
        <v>12</v>
      </c>
      <c r="E81" t="s">
        <v>3</v>
      </c>
      <c r="F81" t="s">
        <v>30</v>
      </c>
      <c r="G81" t="s">
        <v>3</v>
      </c>
      <c r="H81">
        <v>9</v>
      </c>
      <c r="I81" t="s">
        <v>3</v>
      </c>
      <c r="J81" t="s">
        <v>343</v>
      </c>
      <c r="K81" t="s">
        <v>3</v>
      </c>
    </row>
    <row r="82" spans="1:12" x14ac:dyDescent="0.15">
      <c r="A82" t="str">
        <f t="shared" si="15"/>
        <v>|Lv30|Lv2|9|2/2の緑の狼・トークンを2体召喚する。|</v>
      </c>
      <c r="B82" t="s">
        <v>3</v>
      </c>
      <c r="C82" t="s">
        <v>8</v>
      </c>
      <c r="D82">
        <v>30</v>
      </c>
      <c r="E82" t="s">
        <v>3</v>
      </c>
      <c r="F82" t="s">
        <v>31</v>
      </c>
      <c r="G82" t="s">
        <v>3</v>
      </c>
      <c r="H82">
        <v>9</v>
      </c>
      <c r="I82" t="s">
        <v>3</v>
      </c>
      <c r="J82" t="s">
        <v>344</v>
      </c>
      <c r="K82" t="s">
        <v>3</v>
      </c>
    </row>
    <row r="83" spans="1:12" x14ac:dyDescent="0.15">
      <c r="A83" t="str">
        <f t="shared" si="15"/>
        <v>|Lv46|Lv3|9|2/2の緑の狼・トークンを3体召喚する。|</v>
      </c>
      <c r="B83" t="s">
        <v>3</v>
      </c>
      <c r="C83" t="s">
        <v>8</v>
      </c>
      <c r="D83">
        <v>46</v>
      </c>
      <c r="E83" t="s">
        <v>3</v>
      </c>
      <c r="F83" t="s">
        <v>32</v>
      </c>
      <c r="G83" t="s">
        <v>3</v>
      </c>
      <c r="H83">
        <v>9</v>
      </c>
      <c r="I83" t="s">
        <v>3</v>
      </c>
      <c r="J83" t="s">
        <v>345</v>
      </c>
      <c r="K83" t="s">
        <v>3</v>
      </c>
    </row>
    <row r="84" spans="1:12" x14ac:dyDescent="0.15">
      <c r="A84" t="str">
        <f t="shared" si="15"/>
        <v>|Lv58|Lv4|9|2/2の緑の狼・トークンを4体召喚する。|</v>
      </c>
      <c r="B84" t="s">
        <v>3</v>
      </c>
      <c r="C84" t="s">
        <v>8</v>
      </c>
      <c r="D84">
        <v>58</v>
      </c>
      <c r="E84" t="s">
        <v>3</v>
      </c>
      <c r="F84" t="s">
        <v>33</v>
      </c>
      <c r="G84" t="s">
        <v>3</v>
      </c>
      <c r="H84">
        <v>9</v>
      </c>
      <c r="I84" t="s">
        <v>3</v>
      </c>
      <c r="J84" t="s">
        <v>346</v>
      </c>
      <c r="K84" t="s">
        <v>3</v>
      </c>
    </row>
    <row r="85" spans="1:12" x14ac:dyDescent="0.15">
      <c r="A85" t="str">
        <f t="shared" si="15"/>
        <v>&amp;br;</v>
      </c>
      <c r="B85" t="s">
        <v>0</v>
      </c>
    </row>
    <row r="86" spans="1:12" x14ac:dyDescent="0.15">
      <c r="A86" t="str">
        <f t="shared" si="15"/>
        <v>&amp;br;</v>
      </c>
      <c r="B86" t="s">
        <v>0</v>
      </c>
    </row>
    <row r="87" spans="1:12" x14ac:dyDescent="0.15">
      <c r="A87" t="str">
        <f t="shared" si="15"/>
        <v>**第3能力：ビースト呼び/Call Beast</v>
      </c>
      <c r="B87" t="s">
        <v>35</v>
      </c>
      <c r="D87" t="s">
        <v>347</v>
      </c>
      <c r="E87" t="s">
        <v>25</v>
      </c>
      <c r="F87" t="s">
        <v>348</v>
      </c>
    </row>
    <row r="88" spans="1:12" x14ac:dyDescent="0.15">
      <c r="A88" t="str">
        <f t="shared" ref="A88:A151" si="16">B88&amp;C88&amp;D88&amp;E88&amp;F88&amp;G88&amp;H88&amp;I88&amp;J88&amp;K88&amp;L88&amp;M88&amp;N88&amp;O88&amp;P88</f>
        <v>|LEFT:50|LEFT:50|LEFT:50|LEFT:300|c</v>
      </c>
      <c r="B88" t="s">
        <v>3</v>
      </c>
      <c r="C88" t="s">
        <v>4</v>
      </c>
      <c r="E88" t="s">
        <v>3</v>
      </c>
      <c r="F88" t="s">
        <v>4</v>
      </c>
      <c r="G88" t="s">
        <v>3</v>
      </c>
      <c r="H88" t="s">
        <v>4</v>
      </c>
      <c r="I88" t="s">
        <v>3</v>
      </c>
      <c r="J88" t="s">
        <v>26</v>
      </c>
      <c r="K88" t="s">
        <v>3</v>
      </c>
      <c r="L88" t="s">
        <v>5</v>
      </c>
    </row>
    <row r="89" spans="1:12" x14ac:dyDescent="0.15">
      <c r="A89" t="str">
        <f t="shared" si="16"/>
        <v>|解放Lv|レベル|コスト|効果|</v>
      </c>
      <c r="B89" t="s">
        <v>3</v>
      </c>
      <c r="C89" t="s">
        <v>27</v>
      </c>
      <c r="E89" t="s">
        <v>3</v>
      </c>
      <c r="F89" t="s">
        <v>6</v>
      </c>
      <c r="G89" t="s">
        <v>3</v>
      </c>
      <c r="H89" t="s">
        <v>28</v>
      </c>
      <c r="I89" t="s">
        <v>3</v>
      </c>
      <c r="J89" t="s">
        <v>29</v>
      </c>
      <c r="K89" t="s">
        <v>3</v>
      </c>
    </row>
    <row r="90" spans="1:12" x14ac:dyDescent="0.15">
      <c r="A90" t="str">
        <f t="shared" si="16"/>
        <v>|Lv18|Lv1|15|3/3の緑のビースト・トークンを1体召喚する。|</v>
      </c>
      <c r="B90" t="s">
        <v>3</v>
      </c>
      <c r="C90" t="s">
        <v>8</v>
      </c>
      <c r="D90">
        <v>18</v>
      </c>
      <c r="E90" t="s">
        <v>3</v>
      </c>
      <c r="F90" t="s">
        <v>30</v>
      </c>
      <c r="G90" t="s">
        <v>3</v>
      </c>
      <c r="H90">
        <v>15</v>
      </c>
      <c r="I90" t="s">
        <v>3</v>
      </c>
      <c r="J90" t="s">
        <v>349</v>
      </c>
      <c r="K90" t="s">
        <v>3</v>
      </c>
    </row>
    <row r="91" spans="1:12" x14ac:dyDescent="0.15">
      <c r="A91" t="str">
        <f t="shared" si="16"/>
        <v>|Lv36|Lv2|15|3/3の緑のビースト・トークンを2体召喚する。|</v>
      </c>
      <c r="B91" t="s">
        <v>3</v>
      </c>
      <c r="C91" t="s">
        <v>8</v>
      </c>
      <c r="D91">
        <v>36</v>
      </c>
      <c r="E91" t="s">
        <v>3</v>
      </c>
      <c r="F91" t="s">
        <v>31</v>
      </c>
      <c r="G91" t="s">
        <v>3</v>
      </c>
      <c r="H91">
        <v>15</v>
      </c>
      <c r="I91" t="s">
        <v>3</v>
      </c>
      <c r="J91" t="s">
        <v>350</v>
      </c>
      <c r="K91" t="s">
        <v>3</v>
      </c>
    </row>
    <row r="92" spans="1:12" x14ac:dyDescent="0.15">
      <c r="A92" t="str">
        <f t="shared" si="16"/>
        <v>|Lv52|Lv3|15|3/3の緑のビースト・トークンを3体召喚する。|</v>
      </c>
      <c r="B92" t="s">
        <v>3</v>
      </c>
      <c r="C92" t="s">
        <v>8</v>
      </c>
      <c r="D92">
        <v>52</v>
      </c>
      <c r="E92" t="s">
        <v>3</v>
      </c>
      <c r="F92" t="s">
        <v>32</v>
      </c>
      <c r="G92" t="s">
        <v>3</v>
      </c>
      <c r="H92">
        <v>15</v>
      </c>
      <c r="I92" t="s">
        <v>3</v>
      </c>
      <c r="J92" t="s">
        <v>351</v>
      </c>
      <c r="K92" t="s">
        <v>3</v>
      </c>
    </row>
    <row r="93" spans="1:12" x14ac:dyDescent="0.15">
      <c r="A93" t="str">
        <f t="shared" si="16"/>
        <v>|Lv60|Lv4|15|3/3の緑のビースト・トークンを4体召喚する。|</v>
      </c>
      <c r="B93" t="s">
        <v>3</v>
      </c>
      <c r="C93" t="s">
        <v>8</v>
      </c>
      <c r="D93">
        <v>60</v>
      </c>
      <c r="E93" t="s">
        <v>3</v>
      </c>
      <c r="F93" t="s">
        <v>33</v>
      </c>
      <c r="G93" t="s">
        <v>3</v>
      </c>
      <c r="H93">
        <v>15</v>
      </c>
      <c r="I93" t="s">
        <v>3</v>
      </c>
      <c r="J93" t="s">
        <v>352</v>
      </c>
      <c r="K93" t="s">
        <v>3</v>
      </c>
    </row>
    <row r="94" spans="1:12" x14ac:dyDescent="0.15">
      <c r="A94" t="str">
        <f t="shared" si="16"/>
        <v>&amp;br;</v>
      </c>
      <c r="B94" t="s">
        <v>0</v>
      </c>
    </row>
    <row r="95" spans="1:12" x14ac:dyDescent="0.15">
      <c r="A95" t="str">
        <f t="shared" si="16"/>
        <v>&amp;br;</v>
      </c>
      <c r="B95" t="s">
        <v>0</v>
      </c>
    </row>
    <row r="96" spans="1:12" x14ac:dyDescent="0.15">
      <c r="A96" t="str">
        <f t="shared" si="16"/>
        <v>*レベルアップ報酬一覧 [#k0cef29c]</v>
      </c>
      <c r="B96" t="s">
        <v>36</v>
      </c>
    </row>
    <row r="97" spans="1:17" x14ac:dyDescent="0.15">
      <c r="A97" t="str">
        <f t="shared" si="16"/>
        <v>|LEFT:50|LEFT:100|c</v>
      </c>
      <c r="B97" t="s">
        <v>3</v>
      </c>
      <c r="C97" t="s">
        <v>4</v>
      </c>
      <c r="E97" t="s">
        <v>3</v>
      </c>
      <c r="F97" t="s">
        <v>37</v>
      </c>
      <c r="I97" t="s">
        <v>3</v>
      </c>
      <c r="J97" t="s">
        <v>5</v>
      </c>
    </row>
    <row r="98" spans="1:17" x14ac:dyDescent="0.15">
      <c r="A98" t="str">
        <f t="shared" si="16"/>
        <v>|レベル|報酬|</v>
      </c>
      <c r="B98" t="s">
        <v>3</v>
      </c>
      <c r="C98" t="s">
        <v>6</v>
      </c>
      <c r="E98" t="s">
        <v>3</v>
      </c>
      <c r="F98" t="s">
        <v>38</v>
      </c>
      <c r="I98" t="s">
        <v>3</v>
      </c>
      <c r="Q98" t="s">
        <v>7</v>
      </c>
    </row>
    <row r="99" spans="1:17" x14ac:dyDescent="0.15">
      <c r="A99" t="str">
        <f t="shared" si="16"/>
        <v>|Lｖ2|クリーチャー+1|</v>
      </c>
      <c r="B99" t="s">
        <v>3</v>
      </c>
      <c r="C99" t="s">
        <v>39</v>
      </c>
      <c r="D99">
        <v>2</v>
      </c>
      <c r="E99" t="s">
        <v>3</v>
      </c>
      <c r="F99" t="s">
        <v>20</v>
      </c>
      <c r="G99" t="str">
        <f>IF(OR(F99=$Q$107,F99=$Q$108,F99=$Q$109,F99=$Q$110,ISBLANK(F99)),"","+")</f>
        <v>+</v>
      </c>
      <c r="H99">
        <v>1</v>
      </c>
      <c r="I99" t="s">
        <v>3</v>
      </c>
      <c r="Q99" t="s">
        <v>20</v>
      </c>
    </row>
    <row r="100" spans="1:17" x14ac:dyDescent="0.15">
      <c r="A100" t="str">
        <f t="shared" si="16"/>
        <v>|Lｖ3|HP+3|</v>
      </c>
      <c r="B100" t="s">
        <v>3</v>
      </c>
      <c r="C100" t="s">
        <v>39</v>
      </c>
      <c r="D100">
        <v>3</v>
      </c>
      <c r="E100" t="s">
        <v>3</v>
      </c>
      <c r="F100" t="s">
        <v>7</v>
      </c>
      <c r="G100" t="str">
        <f t="shared" ref="G100:G107" si="17">IF(OR(F100=$Q$107,F100=$Q$108,F100=$Q$109,F100=$Q$110,ISBLANK(F100)),"","+")</f>
        <v>+</v>
      </c>
      <c r="H100">
        <v>3</v>
      </c>
      <c r="I100" t="s">
        <v>3</v>
      </c>
      <c r="Q100" t="s">
        <v>21</v>
      </c>
    </row>
    <row r="101" spans="1:17" x14ac:dyDescent="0.15">
      <c r="A101" t="str">
        <f t="shared" si="16"/>
        <v>|Lｖ4|緑+1|</v>
      </c>
      <c r="B101" t="s">
        <v>3</v>
      </c>
      <c r="C101" t="s">
        <v>39</v>
      </c>
      <c r="D101">
        <v>4</v>
      </c>
      <c r="E101" t="s">
        <v>3</v>
      </c>
      <c r="F101" t="s">
        <v>15</v>
      </c>
      <c r="G101" t="str">
        <f t="shared" si="17"/>
        <v>+</v>
      </c>
      <c r="H101">
        <v>1</v>
      </c>
      <c r="I101" t="s">
        <v>3</v>
      </c>
      <c r="Q101" t="s">
        <v>22</v>
      </c>
    </row>
    <row r="102" spans="1:17" x14ac:dyDescent="0.15">
      <c r="A102" t="str">
        <f t="shared" si="16"/>
        <v>|Lｖ5|HP+2|</v>
      </c>
      <c r="B102" t="s">
        <v>3</v>
      </c>
      <c r="C102" t="s">
        <v>39</v>
      </c>
      <c r="D102">
        <v>5</v>
      </c>
      <c r="E102" t="s">
        <v>3</v>
      </c>
      <c r="F102" t="s">
        <v>7</v>
      </c>
      <c r="G102" t="str">
        <f t="shared" si="17"/>
        <v>+</v>
      </c>
      <c r="H102">
        <v>2</v>
      </c>
      <c r="I102" t="s">
        <v>3</v>
      </c>
      <c r="Q102" t="s">
        <v>11</v>
      </c>
    </row>
    <row r="103" spans="1:17" x14ac:dyDescent="0.15">
      <c r="A103" t="str">
        <f t="shared" si="16"/>
        <v>|Lｖ6|第1能力Lv1|</v>
      </c>
      <c r="B103" t="s">
        <v>3</v>
      </c>
      <c r="C103" t="s">
        <v>39</v>
      </c>
      <c r="D103">
        <v>6</v>
      </c>
      <c r="E103" t="s">
        <v>3</v>
      </c>
      <c r="F103" t="s">
        <v>40</v>
      </c>
      <c r="G103" t="str">
        <f t="shared" si="17"/>
        <v/>
      </c>
      <c r="H103">
        <v>1</v>
      </c>
      <c r="I103" t="s">
        <v>3</v>
      </c>
      <c r="Q103" t="s">
        <v>12</v>
      </c>
    </row>
    <row r="104" spans="1:17" x14ac:dyDescent="0.15">
      <c r="A104" t="str">
        <f t="shared" si="16"/>
        <v>|Lｖ7|HP+3|</v>
      </c>
      <c r="B104" t="s">
        <v>3</v>
      </c>
      <c r="C104" t="s">
        <v>39</v>
      </c>
      <c r="D104">
        <v>7</v>
      </c>
      <c r="E104" t="s">
        <v>3</v>
      </c>
      <c r="F104" t="s">
        <v>7</v>
      </c>
      <c r="G104" t="str">
        <f t="shared" si="17"/>
        <v>+</v>
      </c>
      <c r="H104">
        <v>3</v>
      </c>
      <c r="I104" t="s">
        <v>3</v>
      </c>
      <c r="Q104" t="s">
        <v>13</v>
      </c>
    </row>
    <row r="105" spans="1:17" x14ac:dyDescent="0.15">
      <c r="A105" t="str">
        <f t="shared" si="16"/>
        <v>|Lｖ8|サポート+1|</v>
      </c>
      <c r="B105" t="s">
        <v>3</v>
      </c>
      <c r="C105" t="s">
        <v>39</v>
      </c>
      <c r="D105">
        <v>8</v>
      </c>
      <c r="E105" t="s">
        <v>3</v>
      </c>
      <c r="F105" t="s">
        <v>22</v>
      </c>
      <c r="G105" t="str">
        <f t="shared" si="17"/>
        <v>+</v>
      </c>
      <c r="H105">
        <v>1</v>
      </c>
      <c r="I105" t="s">
        <v>3</v>
      </c>
      <c r="Q105" t="s">
        <v>14</v>
      </c>
    </row>
    <row r="106" spans="1:17" x14ac:dyDescent="0.15">
      <c r="A106" t="str">
        <f t="shared" si="16"/>
        <v>|Lｖ9|HP+3|</v>
      </c>
      <c r="B106" t="s">
        <v>3</v>
      </c>
      <c r="C106" t="s">
        <v>39</v>
      </c>
      <c r="D106">
        <v>9</v>
      </c>
      <c r="E106" t="s">
        <v>3</v>
      </c>
      <c r="F106" t="s">
        <v>7</v>
      </c>
      <c r="G106" t="str">
        <f t="shared" si="17"/>
        <v>+</v>
      </c>
      <c r="H106">
        <v>3</v>
      </c>
      <c r="I106" t="s">
        <v>3</v>
      </c>
      <c r="Q106" t="s">
        <v>15</v>
      </c>
    </row>
    <row r="107" spans="1:17" x14ac:dyDescent="0.15">
      <c r="A107" t="str">
        <f t="shared" si="16"/>
        <v>|Lｖ10|赤+1|</v>
      </c>
      <c r="B107" t="s">
        <v>3</v>
      </c>
      <c r="C107" t="s">
        <v>39</v>
      </c>
      <c r="D107">
        <v>10</v>
      </c>
      <c r="E107" t="s">
        <v>3</v>
      </c>
      <c r="F107" t="s">
        <v>14</v>
      </c>
      <c r="G107" t="str">
        <f t="shared" si="17"/>
        <v>+</v>
      </c>
      <c r="H107">
        <v>1</v>
      </c>
      <c r="I107" t="s">
        <v>3</v>
      </c>
      <c r="Q107" t="s">
        <v>40</v>
      </c>
    </row>
    <row r="108" spans="1:17" x14ac:dyDescent="0.15">
      <c r="A108" t="str">
        <f t="shared" si="16"/>
        <v>|Lｖ11|HP+2|</v>
      </c>
      <c r="B108" t="s">
        <v>3</v>
      </c>
      <c r="C108" t="s">
        <v>39</v>
      </c>
      <c r="D108">
        <v>11</v>
      </c>
      <c r="E108" t="s">
        <v>3</v>
      </c>
      <c r="F108" t="s">
        <v>7</v>
      </c>
      <c r="G108" t="str">
        <f t="shared" ref="G108:G139" si="18">IF(OR(F108=$Q$107,F108=$Q$108,F108=$Q$109,F108=$Q$110,ISBLANK(F108)),"","+")</f>
        <v>+</v>
      </c>
      <c r="H108">
        <v>2</v>
      </c>
      <c r="I108" t="s">
        <v>3</v>
      </c>
      <c r="Q108" t="s">
        <v>41</v>
      </c>
    </row>
    <row r="109" spans="1:17" x14ac:dyDescent="0.15">
      <c r="A109" t="str">
        <f t="shared" si="16"/>
        <v>|Lｖ12|第2能力Lv1|</v>
      </c>
      <c r="B109" t="s">
        <v>3</v>
      </c>
      <c r="C109" t="s">
        <v>39</v>
      </c>
      <c r="D109">
        <v>12</v>
      </c>
      <c r="E109" t="s">
        <v>3</v>
      </c>
      <c r="F109" t="s">
        <v>41</v>
      </c>
      <c r="G109" t="str">
        <f t="shared" si="18"/>
        <v/>
      </c>
      <c r="H109">
        <v>1</v>
      </c>
      <c r="I109" t="s">
        <v>3</v>
      </c>
      <c r="Q109" t="s">
        <v>42</v>
      </c>
    </row>
    <row r="110" spans="1:17" x14ac:dyDescent="0.15">
      <c r="A110" t="str">
        <f t="shared" si="16"/>
        <v>|Lｖ13|HP+3|</v>
      </c>
      <c r="B110" t="s">
        <v>3</v>
      </c>
      <c r="C110" t="s">
        <v>39</v>
      </c>
      <c r="D110">
        <v>13</v>
      </c>
      <c r="E110" t="s">
        <v>3</v>
      </c>
      <c r="F110" t="s">
        <v>7</v>
      </c>
      <c r="G110" t="str">
        <f t="shared" si="18"/>
        <v>+</v>
      </c>
      <c r="H110">
        <v>3</v>
      </c>
      <c r="I110" t="s">
        <v>3</v>
      </c>
      <c r="Q110" t="s">
        <v>43</v>
      </c>
    </row>
    <row r="111" spans="1:17" x14ac:dyDescent="0.15">
      <c r="A111" t="str">
        <f t="shared" si="16"/>
        <v>|Lｖ14|呪文+2|</v>
      </c>
      <c r="B111" t="s">
        <v>3</v>
      </c>
      <c r="C111" t="s">
        <v>39</v>
      </c>
      <c r="D111">
        <v>14</v>
      </c>
      <c r="E111" t="s">
        <v>3</v>
      </c>
      <c r="F111" t="s">
        <v>21</v>
      </c>
      <c r="G111" t="str">
        <f t="shared" si="18"/>
        <v>+</v>
      </c>
      <c r="H111">
        <v>2</v>
      </c>
      <c r="I111" t="s">
        <v>3</v>
      </c>
    </row>
    <row r="112" spans="1:17" x14ac:dyDescent="0.15">
      <c r="A112" t="str">
        <f t="shared" si="16"/>
        <v>|Lｖ15|HP+3|</v>
      </c>
      <c r="B112" t="s">
        <v>3</v>
      </c>
      <c r="C112" t="s">
        <v>39</v>
      </c>
      <c r="D112">
        <v>15</v>
      </c>
      <c r="E112" t="s">
        <v>3</v>
      </c>
      <c r="F112" t="s">
        <v>7</v>
      </c>
      <c r="G112" t="str">
        <f t="shared" si="18"/>
        <v>+</v>
      </c>
      <c r="H112">
        <v>3</v>
      </c>
      <c r="I112" t="s">
        <v>3</v>
      </c>
    </row>
    <row r="113" spans="1:9" x14ac:dyDescent="0.15">
      <c r="A113" t="str">
        <f t="shared" si="16"/>
        <v>|Lｖ16|白+1|</v>
      </c>
      <c r="B113" t="s">
        <v>3</v>
      </c>
      <c r="C113" t="s">
        <v>39</v>
      </c>
      <c r="D113">
        <v>16</v>
      </c>
      <c r="E113" t="s">
        <v>3</v>
      </c>
      <c r="F113" t="s">
        <v>11</v>
      </c>
      <c r="G113" t="str">
        <f t="shared" si="18"/>
        <v>+</v>
      </c>
      <c r="H113">
        <v>1</v>
      </c>
      <c r="I113" t="s">
        <v>3</v>
      </c>
    </row>
    <row r="114" spans="1:9" x14ac:dyDescent="0.15">
      <c r="A114" t="str">
        <f t="shared" si="16"/>
        <v>|Lｖ17|HP+2|</v>
      </c>
      <c r="B114" t="s">
        <v>3</v>
      </c>
      <c r="C114" t="s">
        <v>39</v>
      </c>
      <c r="D114">
        <v>17</v>
      </c>
      <c r="E114" t="s">
        <v>3</v>
      </c>
      <c r="F114" t="s">
        <v>7</v>
      </c>
      <c r="G114" t="str">
        <f t="shared" si="18"/>
        <v>+</v>
      </c>
      <c r="H114">
        <v>2</v>
      </c>
      <c r="I114" t="s">
        <v>3</v>
      </c>
    </row>
    <row r="115" spans="1:9" x14ac:dyDescent="0.15">
      <c r="A115" t="str">
        <f t="shared" si="16"/>
        <v>|Lｖ18|第3能力Lv1|</v>
      </c>
      <c r="B115" t="s">
        <v>3</v>
      </c>
      <c r="C115" t="s">
        <v>39</v>
      </c>
      <c r="D115">
        <v>18</v>
      </c>
      <c r="E115" t="s">
        <v>3</v>
      </c>
      <c r="F115" t="s">
        <v>42</v>
      </c>
      <c r="G115" t="str">
        <f t="shared" si="18"/>
        <v/>
      </c>
      <c r="H115">
        <v>1</v>
      </c>
      <c r="I115" t="s">
        <v>3</v>
      </c>
    </row>
    <row r="116" spans="1:9" x14ac:dyDescent="0.15">
      <c r="A116" t="str">
        <f t="shared" si="16"/>
        <v>|Lｖ19|HP+3|</v>
      </c>
      <c r="B116" t="s">
        <v>3</v>
      </c>
      <c r="C116" t="s">
        <v>39</v>
      </c>
      <c r="D116">
        <v>19</v>
      </c>
      <c r="E116" t="s">
        <v>3</v>
      </c>
      <c r="F116" t="s">
        <v>7</v>
      </c>
      <c r="G116" t="str">
        <f t="shared" si="18"/>
        <v>+</v>
      </c>
      <c r="H116">
        <v>3</v>
      </c>
      <c r="I116" t="s">
        <v>3</v>
      </c>
    </row>
    <row r="117" spans="1:9" x14ac:dyDescent="0.15">
      <c r="A117" t="str">
        <f t="shared" si="16"/>
        <v>|Lｖ20|回復速度上昇|</v>
      </c>
      <c r="B117" t="s">
        <v>3</v>
      </c>
      <c r="C117" t="s">
        <v>39</v>
      </c>
      <c r="D117">
        <v>20</v>
      </c>
      <c r="E117" t="s">
        <v>3</v>
      </c>
      <c r="F117" t="s">
        <v>43</v>
      </c>
      <c r="G117" t="str">
        <f t="shared" si="18"/>
        <v/>
      </c>
      <c r="I117" t="s">
        <v>3</v>
      </c>
    </row>
    <row r="118" spans="1:9" x14ac:dyDescent="0.15">
      <c r="A118" t="str">
        <f t="shared" si="16"/>
        <v>|Lｖ21|HP+3|</v>
      </c>
      <c r="B118" t="s">
        <v>3</v>
      </c>
      <c r="C118" t="s">
        <v>39</v>
      </c>
      <c r="D118">
        <v>21</v>
      </c>
      <c r="E118" t="s">
        <v>3</v>
      </c>
      <c r="F118" t="s">
        <v>7</v>
      </c>
      <c r="G118" t="str">
        <f t="shared" si="18"/>
        <v>+</v>
      </c>
      <c r="H118">
        <v>3</v>
      </c>
      <c r="I118" t="s">
        <v>3</v>
      </c>
    </row>
    <row r="119" spans="1:9" x14ac:dyDescent="0.15">
      <c r="A119" t="str">
        <f t="shared" si="16"/>
        <v>|Lｖ22|青+1|</v>
      </c>
      <c r="B119" t="s">
        <v>3</v>
      </c>
      <c r="C119" t="s">
        <v>39</v>
      </c>
      <c r="D119">
        <v>22</v>
      </c>
      <c r="E119" t="s">
        <v>3</v>
      </c>
      <c r="F119" t="s">
        <v>12</v>
      </c>
      <c r="G119" t="str">
        <f t="shared" si="18"/>
        <v>+</v>
      </c>
      <c r="H119">
        <v>1</v>
      </c>
      <c r="I119" t="s">
        <v>3</v>
      </c>
    </row>
    <row r="120" spans="1:9" x14ac:dyDescent="0.15">
      <c r="A120" t="str">
        <f t="shared" si="16"/>
        <v>|Lｖ23|HP+2|</v>
      </c>
      <c r="B120" t="s">
        <v>3</v>
      </c>
      <c r="C120" t="s">
        <v>39</v>
      </c>
      <c r="D120">
        <v>23</v>
      </c>
      <c r="E120" t="s">
        <v>3</v>
      </c>
      <c r="F120" t="s">
        <v>7</v>
      </c>
      <c r="G120" t="str">
        <f t="shared" si="18"/>
        <v>+</v>
      </c>
      <c r="H120">
        <v>2</v>
      </c>
      <c r="I120" t="s">
        <v>3</v>
      </c>
    </row>
    <row r="121" spans="1:9" x14ac:dyDescent="0.15">
      <c r="A121" t="str">
        <f t="shared" si="16"/>
        <v>|Lｖ24|第1能力Lv2|</v>
      </c>
      <c r="B121" t="s">
        <v>3</v>
      </c>
      <c r="C121" t="s">
        <v>39</v>
      </c>
      <c r="D121">
        <v>24</v>
      </c>
      <c r="E121" t="s">
        <v>3</v>
      </c>
      <c r="F121" t="s">
        <v>40</v>
      </c>
      <c r="G121" t="str">
        <f t="shared" si="18"/>
        <v/>
      </c>
      <c r="H121">
        <v>2</v>
      </c>
      <c r="I121" t="s">
        <v>3</v>
      </c>
    </row>
    <row r="122" spans="1:9" x14ac:dyDescent="0.15">
      <c r="A122" t="str">
        <f t="shared" si="16"/>
        <v>|Lｖ25|HP+3|</v>
      </c>
      <c r="B122" t="s">
        <v>3</v>
      </c>
      <c r="C122" t="s">
        <v>39</v>
      </c>
      <c r="D122">
        <v>25</v>
      </c>
      <c r="E122" t="s">
        <v>3</v>
      </c>
      <c r="F122" t="s">
        <v>7</v>
      </c>
      <c r="G122" t="str">
        <f t="shared" si="18"/>
        <v>+</v>
      </c>
      <c r="H122">
        <v>3</v>
      </c>
      <c r="I122" t="s">
        <v>3</v>
      </c>
    </row>
    <row r="123" spans="1:9" x14ac:dyDescent="0.15">
      <c r="A123" t="str">
        <f t="shared" si="16"/>
        <v>|Lｖ26|クリーチャー+1|</v>
      </c>
      <c r="B123" t="s">
        <v>3</v>
      </c>
      <c r="C123" t="s">
        <v>39</v>
      </c>
      <c r="D123">
        <v>26</v>
      </c>
      <c r="E123" t="s">
        <v>3</v>
      </c>
      <c r="F123" t="s">
        <v>20</v>
      </c>
      <c r="G123" t="str">
        <f t="shared" si="18"/>
        <v>+</v>
      </c>
      <c r="H123">
        <v>1</v>
      </c>
      <c r="I123" t="s">
        <v>3</v>
      </c>
    </row>
    <row r="124" spans="1:9" x14ac:dyDescent="0.15">
      <c r="A124" t="str">
        <f t="shared" si="16"/>
        <v>|Lｖ27|HP+3|</v>
      </c>
      <c r="B124" t="s">
        <v>3</v>
      </c>
      <c r="C124" t="s">
        <v>39</v>
      </c>
      <c r="D124">
        <v>27</v>
      </c>
      <c r="E124" t="s">
        <v>3</v>
      </c>
      <c r="F124" t="s">
        <v>7</v>
      </c>
      <c r="G124" t="str">
        <f t="shared" si="18"/>
        <v>+</v>
      </c>
      <c r="H124">
        <v>3</v>
      </c>
      <c r="I124" t="s">
        <v>3</v>
      </c>
    </row>
    <row r="125" spans="1:9" x14ac:dyDescent="0.15">
      <c r="A125" t="str">
        <f t="shared" si="16"/>
        <v>|Lｖ28|黒+1|</v>
      </c>
      <c r="B125" t="s">
        <v>3</v>
      </c>
      <c r="C125" t="s">
        <v>39</v>
      </c>
      <c r="D125">
        <v>28</v>
      </c>
      <c r="E125" t="s">
        <v>3</v>
      </c>
      <c r="F125" t="s">
        <v>13</v>
      </c>
      <c r="G125" t="str">
        <f t="shared" si="18"/>
        <v>+</v>
      </c>
      <c r="H125">
        <v>1</v>
      </c>
      <c r="I125" t="s">
        <v>3</v>
      </c>
    </row>
    <row r="126" spans="1:9" x14ac:dyDescent="0.15">
      <c r="A126" t="str">
        <f t="shared" si="16"/>
        <v>|Lｖ29|HP+2|</v>
      </c>
      <c r="B126" t="s">
        <v>3</v>
      </c>
      <c r="C126" t="s">
        <v>39</v>
      </c>
      <c r="D126">
        <v>29</v>
      </c>
      <c r="E126" t="s">
        <v>3</v>
      </c>
      <c r="F126" t="s">
        <v>7</v>
      </c>
      <c r="G126" t="str">
        <f t="shared" si="18"/>
        <v>+</v>
      </c>
      <c r="H126">
        <v>2</v>
      </c>
      <c r="I126" t="s">
        <v>3</v>
      </c>
    </row>
    <row r="127" spans="1:9" x14ac:dyDescent="0.15">
      <c r="A127" t="str">
        <f t="shared" si="16"/>
        <v>|Lｖ30|第2能力Lv2|</v>
      </c>
      <c r="B127" t="s">
        <v>3</v>
      </c>
      <c r="C127" t="s">
        <v>39</v>
      </c>
      <c r="D127">
        <v>30</v>
      </c>
      <c r="E127" t="s">
        <v>3</v>
      </c>
      <c r="F127" t="s">
        <v>41</v>
      </c>
      <c r="G127" t="str">
        <f t="shared" si="18"/>
        <v/>
      </c>
      <c r="H127">
        <v>2</v>
      </c>
      <c r="I127" t="s">
        <v>3</v>
      </c>
    </row>
    <row r="128" spans="1:9" x14ac:dyDescent="0.15">
      <c r="A128" t="str">
        <f t="shared" si="16"/>
        <v>|Lｖ31|HP+3|</v>
      </c>
      <c r="B128" t="s">
        <v>3</v>
      </c>
      <c r="C128" t="s">
        <v>39</v>
      </c>
      <c r="D128">
        <v>31</v>
      </c>
      <c r="E128" t="s">
        <v>3</v>
      </c>
      <c r="F128" t="s">
        <v>7</v>
      </c>
      <c r="G128" t="str">
        <f t="shared" si="18"/>
        <v>+</v>
      </c>
      <c r="H128">
        <v>3</v>
      </c>
      <c r="I128" t="s">
        <v>3</v>
      </c>
    </row>
    <row r="129" spans="1:9" x14ac:dyDescent="0.15">
      <c r="A129" t="str">
        <f t="shared" si="16"/>
        <v>|Lｖ32|緑+1|</v>
      </c>
      <c r="B129" t="s">
        <v>3</v>
      </c>
      <c r="C129" t="s">
        <v>39</v>
      </c>
      <c r="D129">
        <v>32</v>
      </c>
      <c r="E129" t="s">
        <v>3</v>
      </c>
      <c r="F129" t="s">
        <v>15</v>
      </c>
      <c r="G129" t="str">
        <f t="shared" si="18"/>
        <v>+</v>
      </c>
      <c r="H129">
        <v>1</v>
      </c>
      <c r="I129" t="s">
        <v>3</v>
      </c>
    </row>
    <row r="130" spans="1:9" x14ac:dyDescent="0.15">
      <c r="A130" t="str">
        <f t="shared" si="16"/>
        <v>|Lｖ33|HP+3|</v>
      </c>
      <c r="B130" t="s">
        <v>3</v>
      </c>
      <c r="C130" t="s">
        <v>39</v>
      </c>
      <c r="D130">
        <v>33</v>
      </c>
      <c r="E130" t="s">
        <v>3</v>
      </c>
      <c r="F130" t="s">
        <v>7</v>
      </c>
      <c r="G130" t="str">
        <f t="shared" si="18"/>
        <v>+</v>
      </c>
      <c r="H130">
        <v>3</v>
      </c>
      <c r="I130" t="s">
        <v>3</v>
      </c>
    </row>
    <row r="131" spans="1:9" x14ac:dyDescent="0.15">
      <c r="A131" t="str">
        <f t="shared" si="16"/>
        <v>|Lｖ34|サポート+1|</v>
      </c>
      <c r="B131" t="s">
        <v>3</v>
      </c>
      <c r="C131" t="s">
        <v>39</v>
      </c>
      <c r="D131">
        <v>34</v>
      </c>
      <c r="E131" t="s">
        <v>3</v>
      </c>
      <c r="F131" t="s">
        <v>22</v>
      </c>
      <c r="G131" t="str">
        <f t="shared" si="18"/>
        <v>+</v>
      </c>
      <c r="H131">
        <v>1</v>
      </c>
      <c r="I131" t="s">
        <v>3</v>
      </c>
    </row>
    <row r="132" spans="1:9" x14ac:dyDescent="0.15">
      <c r="A132" t="str">
        <f t="shared" si="16"/>
        <v>|Lｖ35|HP+2|</v>
      </c>
      <c r="B132" t="s">
        <v>3</v>
      </c>
      <c r="C132" t="s">
        <v>39</v>
      </c>
      <c r="D132">
        <v>35</v>
      </c>
      <c r="E132" t="s">
        <v>3</v>
      </c>
      <c r="F132" t="s">
        <v>7</v>
      </c>
      <c r="G132" t="str">
        <f t="shared" si="18"/>
        <v>+</v>
      </c>
      <c r="H132">
        <v>2</v>
      </c>
      <c r="I132" t="s">
        <v>3</v>
      </c>
    </row>
    <row r="133" spans="1:9" x14ac:dyDescent="0.15">
      <c r="A133" t="str">
        <f t="shared" si="16"/>
        <v>|Lｖ36|第3能力Lv2|</v>
      </c>
      <c r="B133" t="s">
        <v>3</v>
      </c>
      <c r="C133" t="s">
        <v>39</v>
      </c>
      <c r="D133">
        <v>36</v>
      </c>
      <c r="E133" t="s">
        <v>3</v>
      </c>
      <c r="F133" t="s">
        <v>42</v>
      </c>
      <c r="G133" t="str">
        <f t="shared" si="18"/>
        <v/>
      </c>
      <c r="H133">
        <v>2</v>
      </c>
      <c r="I133" t="s">
        <v>3</v>
      </c>
    </row>
    <row r="134" spans="1:9" x14ac:dyDescent="0.15">
      <c r="A134" t="str">
        <f t="shared" si="16"/>
        <v>|Lｖ37|HP+3|</v>
      </c>
      <c r="B134" t="s">
        <v>3</v>
      </c>
      <c r="C134" t="s">
        <v>39</v>
      </c>
      <c r="D134">
        <v>37</v>
      </c>
      <c r="E134" t="s">
        <v>3</v>
      </c>
      <c r="F134" t="s">
        <v>7</v>
      </c>
      <c r="G134" t="str">
        <f t="shared" si="18"/>
        <v>+</v>
      </c>
      <c r="H134">
        <v>3</v>
      </c>
      <c r="I134" t="s">
        <v>3</v>
      </c>
    </row>
    <row r="135" spans="1:9" x14ac:dyDescent="0.15">
      <c r="A135" t="str">
        <f t="shared" si="16"/>
        <v>|Lｖ38|赤+1|</v>
      </c>
      <c r="B135" t="s">
        <v>3</v>
      </c>
      <c r="C135" t="s">
        <v>39</v>
      </c>
      <c r="D135">
        <v>38</v>
      </c>
      <c r="E135" t="s">
        <v>3</v>
      </c>
      <c r="F135" t="s">
        <v>14</v>
      </c>
      <c r="G135" t="str">
        <f t="shared" si="18"/>
        <v>+</v>
      </c>
      <c r="H135">
        <v>1</v>
      </c>
      <c r="I135" t="s">
        <v>3</v>
      </c>
    </row>
    <row r="136" spans="1:9" x14ac:dyDescent="0.15">
      <c r="A136" t="str">
        <f t="shared" si="16"/>
        <v>|Lｖ39|HP+3|</v>
      </c>
      <c r="B136" t="s">
        <v>3</v>
      </c>
      <c r="C136" t="s">
        <v>39</v>
      </c>
      <c r="D136">
        <v>39</v>
      </c>
      <c r="E136" t="s">
        <v>3</v>
      </c>
      <c r="F136" t="s">
        <v>7</v>
      </c>
      <c r="G136" t="str">
        <f t="shared" si="18"/>
        <v>+</v>
      </c>
      <c r="H136">
        <v>3</v>
      </c>
      <c r="I136" t="s">
        <v>3</v>
      </c>
    </row>
    <row r="137" spans="1:9" x14ac:dyDescent="0.15">
      <c r="A137" t="str">
        <f t="shared" si="16"/>
        <v>|Lｖ40|第1能力Lv3|</v>
      </c>
      <c r="B137" t="s">
        <v>3</v>
      </c>
      <c r="C137" t="s">
        <v>39</v>
      </c>
      <c r="D137">
        <v>40</v>
      </c>
      <c r="E137" t="s">
        <v>3</v>
      </c>
      <c r="F137" t="s">
        <v>40</v>
      </c>
      <c r="G137" t="str">
        <f t="shared" si="18"/>
        <v/>
      </c>
      <c r="H137">
        <v>3</v>
      </c>
      <c r="I137" t="s">
        <v>3</v>
      </c>
    </row>
    <row r="138" spans="1:9" x14ac:dyDescent="0.15">
      <c r="A138" t="str">
        <f t="shared" si="16"/>
        <v>|Lｖ41|HP+2|</v>
      </c>
      <c r="B138" t="s">
        <v>3</v>
      </c>
      <c r="C138" t="s">
        <v>39</v>
      </c>
      <c r="D138">
        <v>41</v>
      </c>
      <c r="E138" t="s">
        <v>3</v>
      </c>
      <c r="F138" t="s">
        <v>7</v>
      </c>
      <c r="G138" t="str">
        <f t="shared" si="18"/>
        <v>+</v>
      </c>
      <c r="H138">
        <v>2</v>
      </c>
      <c r="I138" t="s">
        <v>3</v>
      </c>
    </row>
    <row r="139" spans="1:9" x14ac:dyDescent="0.15">
      <c r="A139" t="str">
        <f t="shared" si="16"/>
        <v>|Lｖ42|呪文+2|</v>
      </c>
      <c r="B139" t="s">
        <v>3</v>
      </c>
      <c r="C139" t="s">
        <v>39</v>
      </c>
      <c r="D139">
        <v>42</v>
      </c>
      <c r="E139" t="s">
        <v>3</v>
      </c>
      <c r="F139" t="s">
        <v>21</v>
      </c>
      <c r="G139" t="str">
        <f t="shared" si="18"/>
        <v>+</v>
      </c>
      <c r="H139">
        <v>2</v>
      </c>
      <c r="I139" t="s">
        <v>3</v>
      </c>
    </row>
    <row r="140" spans="1:9" x14ac:dyDescent="0.15">
      <c r="A140" t="str">
        <f t="shared" si="16"/>
        <v>|Lｖ43|HP+3|</v>
      </c>
      <c r="B140" t="s">
        <v>3</v>
      </c>
      <c r="C140" t="s">
        <v>39</v>
      </c>
      <c r="D140">
        <v>43</v>
      </c>
      <c r="E140" t="s">
        <v>3</v>
      </c>
      <c r="F140" t="s">
        <v>7</v>
      </c>
      <c r="G140" t="str">
        <f t="shared" ref="G140:G156" si="19">IF(OR(F140=$Q$107,F140=$Q$108,F140=$Q$109,F140=$Q$110,ISBLANK(F140)),"","+")</f>
        <v>+</v>
      </c>
      <c r="H140">
        <v>3</v>
      </c>
      <c r="I140" t="s">
        <v>3</v>
      </c>
    </row>
    <row r="141" spans="1:9" x14ac:dyDescent="0.15">
      <c r="A141" t="str">
        <f t="shared" si="16"/>
        <v>|Lｖ44|白+1|</v>
      </c>
      <c r="B141" t="s">
        <v>3</v>
      </c>
      <c r="C141" t="s">
        <v>39</v>
      </c>
      <c r="D141">
        <v>44</v>
      </c>
      <c r="E141" t="s">
        <v>3</v>
      </c>
      <c r="F141" t="s">
        <v>11</v>
      </c>
      <c r="G141" t="str">
        <f t="shared" si="19"/>
        <v>+</v>
      </c>
      <c r="H141">
        <v>1</v>
      </c>
      <c r="I141" t="s">
        <v>3</v>
      </c>
    </row>
    <row r="142" spans="1:9" x14ac:dyDescent="0.15">
      <c r="A142" t="str">
        <f t="shared" si="16"/>
        <v>|Lｖ45|HP+3|</v>
      </c>
      <c r="B142" t="s">
        <v>3</v>
      </c>
      <c r="C142" t="s">
        <v>39</v>
      </c>
      <c r="D142">
        <v>45</v>
      </c>
      <c r="E142" t="s">
        <v>3</v>
      </c>
      <c r="F142" t="s">
        <v>7</v>
      </c>
      <c r="G142" t="str">
        <f t="shared" si="19"/>
        <v>+</v>
      </c>
      <c r="H142">
        <v>3</v>
      </c>
      <c r="I142" t="s">
        <v>3</v>
      </c>
    </row>
    <row r="143" spans="1:9" x14ac:dyDescent="0.15">
      <c r="A143" t="str">
        <f t="shared" si="16"/>
        <v>|Lｖ46|第2能力Lv3|</v>
      </c>
      <c r="B143" t="s">
        <v>3</v>
      </c>
      <c r="C143" t="s">
        <v>39</v>
      </c>
      <c r="D143">
        <v>46</v>
      </c>
      <c r="E143" t="s">
        <v>3</v>
      </c>
      <c r="F143" t="s">
        <v>41</v>
      </c>
      <c r="G143" t="str">
        <f t="shared" si="19"/>
        <v/>
      </c>
      <c r="H143">
        <v>3</v>
      </c>
      <c r="I143" t="s">
        <v>3</v>
      </c>
    </row>
    <row r="144" spans="1:9" x14ac:dyDescent="0.15">
      <c r="A144" t="str">
        <f t="shared" si="16"/>
        <v>|Lｖ47|HP+2|</v>
      </c>
      <c r="B144" t="s">
        <v>3</v>
      </c>
      <c r="C144" t="s">
        <v>39</v>
      </c>
      <c r="D144">
        <v>47</v>
      </c>
      <c r="E144" t="s">
        <v>3</v>
      </c>
      <c r="F144" t="s">
        <v>7</v>
      </c>
      <c r="G144" t="str">
        <f t="shared" si="19"/>
        <v>+</v>
      </c>
      <c r="H144">
        <v>2</v>
      </c>
      <c r="I144" t="s">
        <v>3</v>
      </c>
    </row>
    <row r="145" spans="1:9" x14ac:dyDescent="0.15">
      <c r="A145" t="str">
        <f t="shared" si="16"/>
        <v>|Lｖ48|回復速度上昇|</v>
      </c>
      <c r="B145" t="s">
        <v>3</v>
      </c>
      <c r="C145" t="s">
        <v>39</v>
      </c>
      <c r="D145">
        <v>48</v>
      </c>
      <c r="E145" t="s">
        <v>3</v>
      </c>
      <c r="F145" t="s">
        <v>43</v>
      </c>
      <c r="G145" t="str">
        <f t="shared" si="19"/>
        <v/>
      </c>
      <c r="I145" t="s">
        <v>3</v>
      </c>
    </row>
    <row r="146" spans="1:9" x14ac:dyDescent="0.15">
      <c r="A146" t="str">
        <f t="shared" si="16"/>
        <v>|Lｖ49|HP+3|</v>
      </c>
      <c r="B146" t="s">
        <v>3</v>
      </c>
      <c r="C146" t="s">
        <v>39</v>
      </c>
      <c r="D146">
        <v>49</v>
      </c>
      <c r="E146" t="s">
        <v>3</v>
      </c>
      <c r="F146" t="s">
        <v>7</v>
      </c>
      <c r="G146" t="str">
        <f t="shared" si="19"/>
        <v>+</v>
      </c>
      <c r="H146">
        <v>3</v>
      </c>
      <c r="I146" t="s">
        <v>3</v>
      </c>
    </row>
    <row r="147" spans="1:9" x14ac:dyDescent="0.15">
      <c r="A147" t="str">
        <f t="shared" si="16"/>
        <v>|Lｖ50|黒+1|</v>
      </c>
      <c r="B147" t="s">
        <v>3</v>
      </c>
      <c r="C147" t="s">
        <v>39</v>
      </c>
      <c r="D147">
        <v>50</v>
      </c>
      <c r="E147" t="s">
        <v>3</v>
      </c>
      <c r="F147" t="s">
        <v>13</v>
      </c>
      <c r="G147" t="str">
        <f t="shared" si="19"/>
        <v>+</v>
      </c>
      <c r="H147">
        <v>1</v>
      </c>
      <c r="I147" t="s">
        <v>3</v>
      </c>
    </row>
    <row r="148" spans="1:9" x14ac:dyDescent="0.15">
      <c r="A148" t="str">
        <f t="shared" si="16"/>
        <v>|Lｖ51|HP+3|</v>
      </c>
      <c r="B148" t="s">
        <v>3</v>
      </c>
      <c r="C148" t="s">
        <v>39</v>
      </c>
      <c r="D148">
        <v>51</v>
      </c>
      <c r="E148" t="s">
        <v>3</v>
      </c>
      <c r="F148" t="s">
        <v>7</v>
      </c>
      <c r="G148" t="str">
        <f t="shared" si="19"/>
        <v>+</v>
      </c>
      <c r="H148">
        <v>3</v>
      </c>
      <c r="I148" t="s">
        <v>3</v>
      </c>
    </row>
    <row r="149" spans="1:9" x14ac:dyDescent="0.15">
      <c r="A149" t="str">
        <f t="shared" si="16"/>
        <v>|Lｖ52|第3能力Lv3|</v>
      </c>
      <c r="B149" t="s">
        <v>3</v>
      </c>
      <c r="C149" t="s">
        <v>39</v>
      </c>
      <c r="D149">
        <v>52</v>
      </c>
      <c r="E149" t="s">
        <v>3</v>
      </c>
      <c r="F149" t="s">
        <v>42</v>
      </c>
      <c r="G149" t="str">
        <f t="shared" si="19"/>
        <v/>
      </c>
      <c r="H149">
        <v>3</v>
      </c>
      <c r="I149" t="s">
        <v>3</v>
      </c>
    </row>
    <row r="150" spans="1:9" x14ac:dyDescent="0.15">
      <c r="A150" t="str">
        <f t="shared" si="16"/>
        <v>|Lｖ53|HP+2|</v>
      </c>
      <c r="B150" t="s">
        <v>3</v>
      </c>
      <c r="C150" t="s">
        <v>39</v>
      </c>
      <c r="D150">
        <v>53</v>
      </c>
      <c r="E150" t="s">
        <v>3</v>
      </c>
      <c r="F150" t="s">
        <v>7</v>
      </c>
      <c r="G150" t="str">
        <f t="shared" si="19"/>
        <v>+</v>
      </c>
      <c r="H150">
        <v>2</v>
      </c>
      <c r="I150" t="s">
        <v>3</v>
      </c>
    </row>
    <row r="151" spans="1:9" x14ac:dyDescent="0.15">
      <c r="A151" t="str">
        <f t="shared" si="16"/>
        <v>|Lｖ54|サポート+2|</v>
      </c>
      <c r="B151" t="s">
        <v>3</v>
      </c>
      <c r="C151" t="s">
        <v>39</v>
      </c>
      <c r="D151">
        <v>54</v>
      </c>
      <c r="E151" t="s">
        <v>3</v>
      </c>
      <c r="F151" t="s">
        <v>22</v>
      </c>
      <c r="G151" t="str">
        <f t="shared" si="19"/>
        <v>+</v>
      </c>
      <c r="H151">
        <v>2</v>
      </c>
      <c r="I151" t="s">
        <v>3</v>
      </c>
    </row>
    <row r="152" spans="1:9" x14ac:dyDescent="0.15">
      <c r="A152" t="str">
        <f t="shared" ref="A152:A163" si="20">B152&amp;C152&amp;D152&amp;E152&amp;F152&amp;G152&amp;H152&amp;I152&amp;J152&amp;K152&amp;L152&amp;M152&amp;N152&amp;O152&amp;P152</f>
        <v>|Lｖ55|HP+3|</v>
      </c>
      <c r="B152" t="s">
        <v>3</v>
      </c>
      <c r="C152" t="s">
        <v>39</v>
      </c>
      <c r="D152">
        <v>55</v>
      </c>
      <c r="E152" t="s">
        <v>3</v>
      </c>
      <c r="F152" t="s">
        <v>7</v>
      </c>
      <c r="G152" t="str">
        <f t="shared" si="19"/>
        <v>+</v>
      </c>
      <c r="H152">
        <v>3</v>
      </c>
      <c r="I152" t="s">
        <v>3</v>
      </c>
    </row>
    <row r="153" spans="1:9" x14ac:dyDescent="0.15">
      <c r="A153" t="str">
        <f t="shared" si="20"/>
        <v>|Lｖ56|第1能力Lv4|</v>
      </c>
      <c r="B153" t="s">
        <v>3</v>
      </c>
      <c r="C153" t="s">
        <v>39</v>
      </c>
      <c r="D153">
        <v>56</v>
      </c>
      <c r="E153" t="s">
        <v>3</v>
      </c>
      <c r="F153" t="s">
        <v>40</v>
      </c>
      <c r="G153" t="str">
        <f t="shared" si="19"/>
        <v/>
      </c>
      <c r="H153">
        <v>4</v>
      </c>
      <c r="I153" t="s">
        <v>3</v>
      </c>
    </row>
    <row r="154" spans="1:9" x14ac:dyDescent="0.15">
      <c r="A154" t="str">
        <f t="shared" si="20"/>
        <v>|Lｖ57|HP+3|</v>
      </c>
      <c r="B154" t="s">
        <v>3</v>
      </c>
      <c r="C154" t="s">
        <v>39</v>
      </c>
      <c r="D154">
        <v>57</v>
      </c>
      <c r="E154" t="s">
        <v>3</v>
      </c>
      <c r="F154" t="s">
        <v>7</v>
      </c>
      <c r="G154" t="str">
        <f t="shared" si="19"/>
        <v>+</v>
      </c>
      <c r="H154">
        <v>3</v>
      </c>
      <c r="I154" t="s">
        <v>3</v>
      </c>
    </row>
    <row r="155" spans="1:9" x14ac:dyDescent="0.15">
      <c r="A155" t="str">
        <f t="shared" si="20"/>
        <v>|Lｖ58|第2能力Lv4|</v>
      </c>
      <c r="B155" t="s">
        <v>3</v>
      </c>
      <c r="C155" t="s">
        <v>39</v>
      </c>
      <c r="D155">
        <v>58</v>
      </c>
      <c r="E155" t="s">
        <v>3</v>
      </c>
      <c r="F155" t="s">
        <v>41</v>
      </c>
      <c r="G155" t="str">
        <f t="shared" si="19"/>
        <v/>
      </c>
      <c r="H155">
        <v>4</v>
      </c>
      <c r="I155" t="s">
        <v>3</v>
      </c>
    </row>
    <row r="156" spans="1:9" x14ac:dyDescent="0.15">
      <c r="A156" t="str">
        <f t="shared" si="20"/>
        <v>|Lｖ59|HP+2|</v>
      </c>
      <c r="B156" t="s">
        <v>3</v>
      </c>
      <c r="C156" t="s">
        <v>39</v>
      </c>
      <c r="D156">
        <v>59</v>
      </c>
      <c r="E156" t="s">
        <v>3</v>
      </c>
      <c r="F156" t="s">
        <v>7</v>
      </c>
      <c r="G156" t="str">
        <f t="shared" si="19"/>
        <v>+</v>
      </c>
      <c r="H156">
        <v>2</v>
      </c>
      <c r="I156" t="s">
        <v>3</v>
      </c>
    </row>
    <row r="157" spans="1:9" x14ac:dyDescent="0.15">
      <c r="A157" t="str">
        <f t="shared" si="20"/>
        <v>|Lｖ60|第3能力Lv4|</v>
      </c>
      <c r="B157" t="s">
        <v>3</v>
      </c>
      <c r="C157" t="s">
        <v>39</v>
      </c>
      <c r="D157">
        <v>60</v>
      </c>
      <c r="E157" t="s">
        <v>3</v>
      </c>
      <c r="F157" t="s">
        <v>42</v>
      </c>
      <c r="G157" t="s">
        <v>44</v>
      </c>
      <c r="H157">
        <v>4</v>
      </c>
      <c r="I157" t="s">
        <v>3</v>
      </c>
    </row>
    <row r="158" spans="1:9" x14ac:dyDescent="0.15">
      <c r="A158" t="str">
        <f t="shared" si="20"/>
        <v>必要総経験値：79920ルーン</v>
      </c>
      <c r="B158" t="s">
        <v>45</v>
      </c>
      <c r="C158">
        <v>79920</v>
      </c>
      <c r="F158" t="s">
        <v>46</v>
      </c>
    </row>
    <row r="159" spans="1:9" x14ac:dyDescent="0.15">
      <c r="A159" t="str">
        <f t="shared" si="20"/>
        <v>&amp;br;</v>
      </c>
      <c r="B159" t="s">
        <v>0</v>
      </c>
    </row>
    <row r="160" spans="1:9" x14ac:dyDescent="0.15">
      <c r="A160" t="str">
        <f t="shared" si="20"/>
        <v>#back(text=戻る,left)</v>
      </c>
      <c r="B160" t="s">
        <v>47</v>
      </c>
    </row>
    <row r="161" spans="1:2" x14ac:dyDescent="0.15">
      <c r="A161" t="str">
        <f t="shared" si="20"/>
        <v>&amp;br;</v>
      </c>
      <c r="B161" t="s">
        <v>0</v>
      </c>
    </row>
    <row r="162" spans="1:2" x14ac:dyDescent="0.15">
      <c r="A162" t="str">
        <f t="shared" si="20"/>
        <v>#comment(above,nsize=[15],size=[30],num=[10])</v>
      </c>
      <c r="B162" t="s">
        <v>48</v>
      </c>
    </row>
    <row r="163" spans="1:2" x14ac:dyDescent="0.15">
      <c r="A163" t="str">
        <f t="shared" si="20"/>
        <v>[[プレインズウォーカーリスト&gt;プレインズウォーカーリスト]]</v>
      </c>
      <c r="B163" t="s">
        <v>49</v>
      </c>
    </row>
  </sheetData>
  <autoFilter ref="C98:I163"/>
  <phoneticPr fontId="4"/>
  <dataValidations count="2">
    <dataValidation type="list" allowBlank="1" showInputMessage="1" showErrorMessage="1" sqref="F158">
      <formula1>$Q$88:$Q$100</formula1>
    </dataValidation>
    <dataValidation type="list" allowBlank="1" showInputMessage="1" showErrorMessage="1" sqref="F99:F157">
      <formula1>$Q$98:$Q$110</formula1>
    </dataValidation>
  </dataValidations>
  <pageMargins left="0.69930555555555596" right="0.69930555555555596"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T162"/>
  <sheetViews>
    <sheetView workbookViewId="0">
      <selection activeCell="D12" sqref="D12"/>
    </sheetView>
  </sheetViews>
  <sheetFormatPr defaultColWidth="9" defaultRowHeight="13.5" x14ac:dyDescent="0.15"/>
  <cols>
    <col min="2" max="2" width="3.5" customWidth="1"/>
    <col min="3" max="3" width="7.875" customWidth="1"/>
    <col min="4" max="4" width="5.5" customWidth="1"/>
    <col min="5" max="5" width="2" customWidth="1"/>
    <col min="7" max="7" width="2" customWidth="1"/>
    <col min="9" max="9" width="2" customWidth="1"/>
    <col min="11" max="11" width="2" customWidth="1"/>
    <col min="13" max="13" width="2" customWidth="1"/>
    <col min="15" max="15" width="2" customWidth="1"/>
    <col min="17" max="17" width="2.75" customWidth="1"/>
  </cols>
  <sheetData>
    <row r="1" spans="1:8" x14ac:dyDescent="0.15">
      <c r="A1" t="str">
        <f>B1&amp;C1&amp;D1&amp;E1&amp;F1&amp;G1&amp;H1&amp;I1&amp;J1&amp;K1&amp;L1&amp;M1&amp;N1&amp;O1&amp;P1</f>
        <v>特別オファーで購入するか、期間限定でMCを支払い購入することで入手できる。</v>
      </c>
      <c r="B1" t="s">
        <v>130</v>
      </c>
    </row>
    <row r="2" spans="1:8" x14ac:dyDescent="0.15">
      <c r="A2" t="str">
        <f>B2&amp;C2&amp;D2&amp;E2&amp;F2&amp;G2&amp;H2&amp;I2&amp;J2&amp;K2&amp;L2&amp;M2&amp;N2&amp;O2&amp;P2</f>
        <v>&amp;br;</v>
      </c>
      <c r="B2" t="s">
        <v>0</v>
      </c>
    </row>
    <row r="3" spans="1:8" x14ac:dyDescent="0.15">
      <c r="A3" t="str">
        <f>B3&amp;C3&amp;D3&amp;E3&amp;F3&amp;G3&amp;H3&amp;I3&amp;J3&amp;K3&amp;L3&amp;M3&amp;N3&amp;O3&amp;P3</f>
        <v>#contents()</v>
      </c>
      <c r="B3" t="s">
        <v>1</v>
      </c>
    </row>
    <row r="4" spans="1:8" x14ac:dyDescent="0.15">
      <c r="A4" t="str">
        <f>B4&amp;C4&amp;D4&amp;E4&amp;F4&amp;G4&amp;H4&amp;I4&amp;J4&amp;K4&amp;L4&amp;M4&amp;N4&amp;O4&amp;P4</f>
        <v>*HP [#f569d8c6]</v>
      </c>
      <c r="B4" t="s">
        <v>2</v>
      </c>
    </row>
    <row r="5" spans="1:8" x14ac:dyDescent="0.15">
      <c r="A5" t="str">
        <f>B5&amp;C5&amp;D5&amp;E5&amp;F5&amp;G5&amp;H5</f>
        <v>|LEFT:50|LEFT:50|c</v>
      </c>
      <c r="B5" t="s">
        <v>3</v>
      </c>
      <c r="C5" t="s">
        <v>4</v>
      </c>
      <c r="E5" t="s">
        <v>3</v>
      </c>
      <c r="F5" t="s">
        <v>4</v>
      </c>
      <c r="G5" t="s">
        <v>3</v>
      </c>
      <c r="H5" t="s">
        <v>5</v>
      </c>
    </row>
    <row r="6" spans="1:8" x14ac:dyDescent="0.15">
      <c r="A6" t="str">
        <f t="shared" ref="A6:A35" si="0">B6&amp;C6&amp;D6&amp;E6&amp;F6&amp;G6&amp;H6</f>
        <v>|レベル|HP|</v>
      </c>
      <c r="B6" t="s">
        <v>3</v>
      </c>
      <c r="C6" t="s">
        <v>6</v>
      </c>
      <c r="E6" t="s">
        <v>3</v>
      </c>
      <c r="F6" t="s">
        <v>7</v>
      </c>
      <c r="G6" t="s">
        <v>3</v>
      </c>
    </row>
    <row r="7" spans="1:8" x14ac:dyDescent="0.15">
      <c r="A7" t="str">
        <f t="shared" si="0"/>
        <v>|Lv1|25|</v>
      </c>
      <c r="B7" t="s">
        <v>3</v>
      </c>
      <c r="C7" t="s">
        <v>8</v>
      </c>
      <c r="D7">
        <v>1</v>
      </c>
      <c r="E7" t="s">
        <v>3</v>
      </c>
      <c r="F7">
        <v>25</v>
      </c>
      <c r="G7" t="s">
        <v>3</v>
      </c>
    </row>
    <row r="8" spans="1:8" x14ac:dyDescent="0.15">
      <c r="A8" t="str">
        <f t="shared" si="0"/>
        <v>|Lv3|28|</v>
      </c>
      <c r="B8" t="s">
        <v>3</v>
      </c>
      <c r="C8" t="s">
        <v>8</v>
      </c>
      <c r="D8">
        <v>3</v>
      </c>
      <c r="E8" t="s">
        <v>3</v>
      </c>
      <c r="F8">
        <f t="shared" ref="F8:F35" si="1">IF(ISBLANK(D8),"",F7+INDEX($H$97:$H$156,D8))</f>
        <v>28</v>
      </c>
      <c r="G8" t="s">
        <v>3</v>
      </c>
    </row>
    <row r="9" spans="1:8" x14ac:dyDescent="0.15">
      <c r="A9" t="str">
        <f t="shared" si="0"/>
        <v>|Lv5|31|</v>
      </c>
      <c r="B9" t="s">
        <v>3</v>
      </c>
      <c r="C9" t="s">
        <v>8</v>
      </c>
      <c r="D9">
        <v>5</v>
      </c>
      <c r="E9" t="s">
        <v>3</v>
      </c>
      <c r="F9">
        <f t="shared" si="1"/>
        <v>31</v>
      </c>
      <c r="G9" t="s">
        <v>3</v>
      </c>
    </row>
    <row r="10" spans="1:8" x14ac:dyDescent="0.15">
      <c r="A10" t="str">
        <f t="shared" si="0"/>
        <v>|Lv7|34|</v>
      </c>
      <c r="B10" t="s">
        <v>3</v>
      </c>
      <c r="C10" t="s">
        <v>8</v>
      </c>
      <c r="D10">
        <v>7</v>
      </c>
      <c r="E10" t="s">
        <v>3</v>
      </c>
      <c r="F10">
        <f t="shared" si="1"/>
        <v>34</v>
      </c>
      <c r="G10" t="s">
        <v>3</v>
      </c>
    </row>
    <row r="11" spans="1:8" x14ac:dyDescent="0.15">
      <c r="A11" t="str">
        <f t="shared" si="0"/>
        <v>|Lv9|37|</v>
      </c>
      <c r="B11" t="s">
        <v>3</v>
      </c>
      <c r="C11" t="s">
        <v>8</v>
      </c>
      <c r="D11">
        <v>9</v>
      </c>
      <c r="E11" t="s">
        <v>3</v>
      </c>
      <c r="F11">
        <f t="shared" si="1"/>
        <v>37</v>
      </c>
      <c r="G11" t="s">
        <v>3</v>
      </c>
    </row>
    <row r="12" spans="1:8" x14ac:dyDescent="0.15">
      <c r="A12" t="str">
        <f t="shared" si="0"/>
        <v>|Lv11|40|</v>
      </c>
      <c r="B12" t="s">
        <v>3</v>
      </c>
      <c r="C12" t="s">
        <v>8</v>
      </c>
      <c r="D12">
        <v>11</v>
      </c>
      <c r="E12" t="s">
        <v>3</v>
      </c>
      <c r="F12">
        <f t="shared" si="1"/>
        <v>40</v>
      </c>
      <c r="G12" t="s">
        <v>3</v>
      </c>
    </row>
    <row r="13" spans="1:8" x14ac:dyDescent="0.15">
      <c r="A13" t="str">
        <f t="shared" si="0"/>
        <v>|Lv13|43|</v>
      </c>
      <c r="B13" t="s">
        <v>3</v>
      </c>
      <c r="C13" t="s">
        <v>8</v>
      </c>
      <c r="D13">
        <v>13</v>
      </c>
      <c r="E13" t="s">
        <v>3</v>
      </c>
      <c r="F13">
        <f t="shared" si="1"/>
        <v>43</v>
      </c>
      <c r="G13" t="s">
        <v>3</v>
      </c>
    </row>
    <row r="14" spans="1:8" x14ac:dyDescent="0.15">
      <c r="A14" t="str">
        <f t="shared" si="0"/>
        <v>|Lv15|46|</v>
      </c>
      <c r="B14" t="s">
        <v>3</v>
      </c>
      <c r="C14" t="s">
        <v>8</v>
      </c>
      <c r="D14">
        <v>15</v>
      </c>
      <c r="E14" t="s">
        <v>3</v>
      </c>
      <c r="F14">
        <f t="shared" si="1"/>
        <v>46</v>
      </c>
      <c r="G14" t="s">
        <v>3</v>
      </c>
    </row>
    <row r="15" spans="1:8" x14ac:dyDescent="0.15">
      <c r="A15" t="str">
        <f t="shared" si="0"/>
        <v>|Lv17|49|</v>
      </c>
      <c r="B15" t="s">
        <v>3</v>
      </c>
      <c r="C15" t="s">
        <v>8</v>
      </c>
      <c r="D15">
        <v>17</v>
      </c>
      <c r="E15" t="s">
        <v>3</v>
      </c>
      <c r="F15">
        <f t="shared" si="1"/>
        <v>49</v>
      </c>
      <c r="G15" t="s">
        <v>3</v>
      </c>
    </row>
    <row r="16" spans="1:8" x14ac:dyDescent="0.15">
      <c r="A16" t="str">
        <f t="shared" si="0"/>
        <v>|Lv19|52|</v>
      </c>
      <c r="B16" t="s">
        <v>3</v>
      </c>
      <c r="C16" t="s">
        <v>8</v>
      </c>
      <c r="D16">
        <v>19</v>
      </c>
      <c r="E16" t="s">
        <v>3</v>
      </c>
      <c r="F16">
        <f t="shared" si="1"/>
        <v>52</v>
      </c>
      <c r="G16" t="s">
        <v>3</v>
      </c>
    </row>
    <row r="17" spans="1:7" x14ac:dyDescent="0.15">
      <c r="A17" t="str">
        <f t="shared" si="0"/>
        <v>|Lv21|55|</v>
      </c>
      <c r="B17" t="s">
        <v>3</v>
      </c>
      <c r="C17" t="s">
        <v>8</v>
      </c>
      <c r="D17">
        <v>21</v>
      </c>
      <c r="E17" t="s">
        <v>3</v>
      </c>
      <c r="F17">
        <f t="shared" si="1"/>
        <v>55</v>
      </c>
      <c r="G17" t="s">
        <v>3</v>
      </c>
    </row>
    <row r="18" spans="1:7" x14ac:dyDescent="0.15">
      <c r="A18" t="str">
        <f t="shared" si="0"/>
        <v>|Lv23|58|</v>
      </c>
      <c r="B18" t="s">
        <v>3</v>
      </c>
      <c r="C18" t="s">
        <v>8</v>
      </c>
      <c r="D18">
        <v>23</v>
      </c>
      <c r="E18" t="s">
        <v>3</v>
      </c>
      <c r="F18">
        <f t="shared" si="1"/>
        <v>58</v>
      </c>
      <c r="G18" t="s">
        <v>3</v>
      </c>
    </row>
    <row r="19" spans="1:7" x14ac:dyDescent="0.15">
      <c r="A19" t="str">
        <f t="shared" si="0"/>
        <v>|Lv25|61|</v>
      </c>
      <c r="B19" t="s">
        <v>3</v>
      </c>
      <c r="C19" t="s">
        <v>8</v>
      </c>
      <c r="D19">
        <v>25</v>
      </c>
      <c r="E19" t="s">
        <v>3</v>
      </c>
      <c r="F19">
        <f t="shared" si="1"/>
        <v>61</v>
      </c>
      <c r="G19" t="s">
        <v>3</v>
      </c>
    </row>
    <row r="20" spans="1:7" x14ac:dyDescent="0.15">
      <c r="A20" t="str">
        <f t="shared" si="0"/>
        <v>|Lv27|64|</v>
      </c>
      <c r="B20" t="s">
        <v>3</v>
      </c>
      <c r="C20" t="s">
        <v>8</v>
      </c>
      <c r="D20">
        <v>27</v>
      </c>
      <c r="E20" t="s">
        <v>3</v>
      </c>
      <c r="F20">
        <f t="shared" si="1"/>
        <v>64</v>
      </c>
      <c r="G20" t="s">
        <v>3</v>
      </c>
    </row>
    <row r="21" spans="1:7" x14ac:dyDescent="0.15">
      <c r="A21" t="str">
        <f t="shared" si="0"/>
        <v>|Lv29|67|</v>
      </c>
      <c r="B21" t="s">
        <v>3</v>
      </c>
      <c r="C21" t="s">
        <v>8</v>
      </c>
      <c r="D21">
        <v>29</v>
      </c>
      <c r="E21" t="s">
        <v>3</v>
      </c>
      <c r="F21">
        <f t="shared" si="1"/>
        <v>67</v>
      </c>
      <c r="G21" t="s">
        <v>3</v>
      </c>
    </row>
    <row r="22" spans="1:7" x14ac:dyDescent="0.15">
      <c r="A22" t="str">
        <f t="shared" si="0"/>
        <v>|Lv31|70|</v>
      </c>
      <c r="B22" t="s">
        <v>3</v>
      </c>
      <c r="C22" t="s">
        <v>8</v>
      </c>
      <c r="D22">
        <v>31</v>
      </c>
      <c r="E22" t="s">
        <v>3</v>
      </c>
      <c r="F22">
        <f t="shared" si="1"/>
        <v>70</v>
      </c>
      <c r="G22" t="s">
        <v>3</v>
      </c>
    </row>
    <row r="23" spans="1:7" x14ac:dyDescent="0.15">
      <c r="A23" t="str">
        <f t="shared" si="0"/>
        <v>|Lv33|73|</v>
      </c>
      <c r="B23" t="s">
        <v>3</v>
      </c>
      <c r="C23" t="s">
        <v>8</v>
      </c>
      <c r="D23">
        <v>33</v>
      </c>
      <c r="E23" t="s">
        <v>3</v>
      </c>
      <c r="F23">
        <f t="shared" si="1"/>
        <v>73</v>
      </c>
      <c r="G23" t="s">
        <v>3</v>
      </c>
    </row>
    <row r="24" spans="1:7" x14ac:dyDescent="0.15">
      <c r="A24" t="str">
        <f t="shared" si="0"/>
        <v>|Lv35|76|</v>
      </c>
      <c r="B24" t="s">
        <v>3</v>
      </c>
      <c r="C24" t="s">
        <v>8</v>
      </c>
      <c r="D24">
        <v>35</v>
      </c>
      <c r="E24" t="s">
        <v>3</v>
      </c>
      <c r="F24">
        <f t="shared" si="1"/>
        <v>76</v>
      </c>
      <c r="G24" t="s">
        <v>3</v>
      </c>
    </row>
    <row r="25" spans="1:7" x14ac:dyDescent="0.15">
      <c r="A25" t="str">
        <f t="shared" si="0"/>
        <v>|Lv37|79|</v>
      </c>
      <c r="B25" t="s">
        <v>3</v>
      </c>
      <c r="C25" t="s">
        <v>8</v>
      </c>
      <c r="D25">
        <v>37</v>
      </c>
      <c r="E25" t="s">
        <v>3</v>
      </c>
      <c r="F25">
        <f t="shared" si="1"/>
        <v>79</v>
      </c>
      <c r="G25" t="s">
        <v>3</v>
      </c>
    </row>
    <row r="26" spans="1:7" x14ac:dyDescent="0.15">
      <c r="A26" t="str">
        <f t="shared" si="0"/>
        <v>|Lv39|82|</v>
      </c>
      <c r="B26" t="s">
        <v>3</v>
      </c>
      <c r="C26" t="s">
        <v>8</v>
      </c>
      <c r="D26">
        <v>39</v>
      </c>
      <c r="E26" t="s">
        <v>3</v>
      </c>
      <c r="F26">
        <f t="shared" si="1"/>
        <v>82</v>
      </c>
      <c r="G26" t="s">
        <v>3</v>
      </c>
    </row>
    <row r="27" spans="1:7" x14ac:dyDescent="0.15">
      <c r="A27" t="str">
        <f t="shared" si="0"/>
        <v>|Lv41|85|</v>
      </c>
      <c r="B27" t="s">
        <v>3</v>
      </c>
      <c r="C27" t="s">
        <v>8</v>
      </c>
      <c r="D27">
        <v>41</v>
      </c>
      <c r="E27" t="s">
        <v>3</v>
      </c>
      <c r="F27">
        <f t="shared" si="1"/>
        <v>85</v>
      </c>
      <c r="G27" t="s">
        <v>3</v>
      </c>
    </row>
    <row r="28" spans="1:7" x14ac:dyDescent="0.15">
      <c r="A28" t="str">
        <f t="shared" si="0"/>
        <v>|Lv43|88|</v>
      </c>
      <c r="B28" t="s">
        <v>3</v>
      </c>
      <c r="C28" t="s">
        <v>8</v>
      </c>
      <c r="D28">
        <v>43</v>
      </c>
      <c r="E28" t="s">
        <v>3</v>
      </c>
      <c r="F28">
        <f t="shared" si="1"/>
        <v>88</v>
      </c>
      <c r="G28" t="s">
        <v>3</v>
      </c>
    </row>
    <row r="29" spans="1:7" x14ac:dyDescent="0.15">
      <c r="A29" t="str">
        <f t="shared" si="0"/>
        <v>|Lv45|91|</v>
      </c>
      <c r="B29" t="s">
        <v>3</v>
      </c>
      <c r="C29" t="s">
        <v>8</v>
      </c>
      <c r="D29">
        <v>45</v>
      </c>
      <c r="E29" t="s">
        <v>3</v>
      </c>
      <c r="F29">
        <f t="shared" si="1"/>
        <v>91</v>
      </c>
      <c r="G29" t="s">
        <v>3</v>
      </c>
    </row>
    <row r="30" spans="1:7" x14ac:dyDescent="0.15">
      <c r="A30" t="str">
        <f t="shared" si="0"/>
        <v>|Lv47|94|</v>
      </c>
      <c r="B30" t="s">
        <v>3</v>
      </c>
      <c r="C30" t="s">
        <v>8</v>
      </c>
      <c r="D30">
        <v>47</v>
      </c>
      <c r="E30" t="s">
        <v>3</v>
      </c>
      <c r="F30">
        <f t="shared" si="1"/>
        <v>94</v>
      </c>
      <c r="G30" t="s">
        <v>3</v>
      </c>
    </row>
    <row r="31" spans="1:7" x14ac:dyDescent="0.15">
      <c r="A31" t="str">
        <f t="shared" si="0"/>
        <v>|Lv49|97|</v>
      </c>
      <c r="B31" t="s">
        <v>3</v>
      </c>
      <c r="C31" t="s">
        <v>8</v>
      </c>
      <c r="D31">
        <v>49</v>
      </c>
      <c r="E31" t="s">
        <v>3</v>
      </c>
      <c r="F31">
        <f t="shared" si="1"/>
        <v>97</v>
      </c>
      <c r="G31" t="s">
        <v>3</v>
      </c>
    </row>
    <row r="32" spans="1:7" x14ac:dyDescent="0.15">
      <c r="A32" t="str">
        <f t="shared" si="0"/>
        <v>|Lv51|100|</v>
      </c>
      <c r="B32" t="s">
        <v>3</v>
      </c>
      <c r="C32" t="s">
        <v>8</v>
      </c>
      <c r="D32">
        <v>51</v>
      </c>
      <c r="E32" t="s">
        <v>3</v>
      </c>
      <c r="F32">
        <f t="shared" si="1"/>
        <v>100</v>
      </c>
      <c r="G32" t="s">
        <v>3</v>
      </c>
    </row>
    <row r="33" spans="1:19" x14ac:dyDescent="0.15">
      <c r="A33" t="str">
        <f t="shared" si="0"/>
        <v>|Lv53|103|</v>
      </c>
      <c r="B33" t="s">
        <v>3</v>
      </c>
      <c r="C33" t="s">
        <v>8</v>
      </c>
      <c r="D33">
        <v>53</v>
      </c>
      <c r="E33" t="s">
        <v>3</v>
      </c>
      <c r="F33">
        <f t="shared" si="1"/>
        <v>103</v>
      </c>
      <c r="G33" t="s">
        <v>3</v>
      </c>
    </row>
    <row r="34" spans="1:19" x14ac:dyDescent="0.15">
      <c r="A34" t="str">
        <f t="shared" si="0"/>
        <v>|Lv55|106|</v>
      </c>
      <c r="B34" t="s">
        <v>3</v>
      </c>
      <c r="C34" t="s">
        <v>8</v>
      </c>
      <c r="D34">
        <v>55</v>
      </c>
      <c r="E34" t="s">
        <v>3</v>
      </c>
      <c r="F34">
        <f t="shared" si="1"/>
        <v>106</v>
      </c>
      <c r="G34" t="s">
        <v>3</v>
      </c>
    </row>
    <row r="35" spans="1:19" x14ac:dyDescent="0.15">
      <c r="A35" t="str">
        <f t="shared" si="0"/>
        <v>|Lv57|109|</v>
      </c>
      <c r="B35" t="s">
        <v>3</v>
      </c>
      <c r="C35" t="s">
        <v>8</v>
      </c>
      <c r="D35">
        <v>57</v>
      </c>
      <c r="E35" t="s">
        <v>3</v>
      </c>
      <c r="F35">
        <f t="shared" si="1"/>
        <v>109</v>
      </c>
      <c r="G35" t="s">
        <v>3</v>
      </c>
    </row>
    <row r="36" spans="1:19" x14ac:dyDescent="0.15">
      <c r="A36" t="str">
        <f>B36&amp;C36&amp;D36&amp;E36&amp;F36&amp;G36&amp;H36&amp;I36&amp;J36&amp;K36&amp;L36&amp;M36&amp;N36&amp;O36&amp;P36</f>
        <v>&amp;br;</v>
      </c>
      <c r="B36" t="s">
        <v>0</v>
      </c>
    </row>
    <row r="37" spans="1:19" x14ac:dyDescent="0.15">
      <c r="A37" t="str">
        <f>B37&amp;C37&amp;D37&amp;E37&amp;F37&amp;G37&amp;H37&amp;I37&amp;J37&amp;K37&amp;L37&amp;M37&amp;N37&amp;O37&amp;P37</f>
        <v>&amp;br;</v>
      </c>
      <c r="B37" t="s">
        <v>0</v>
      </c>
    </row>
    <row r="38" spans="1:19" x14ac:dyDescent="0.15">
      <c r="A38" t="str">
        <f>B38&amp;C38&amp;D38&amp;E38&amp;F38&amp;G38&amp;H38&amp;I38&amp;J38&amp;K38&amp;L38&amp;M38&amp;N38&amp;O38&amp;P38</f>
        <v>*マナボーナス [#q1a26f54]</v>
      </c>
      <c r="B38" t="s">
        <v>9</v>
      </c>
    </row>
    <row r="39" spans="1:19" x14ac:dyDescent="0.15">
      <c r="A39" t="str">
        <f t="shared" ref="A39:A48" si="2">B39&amp;C39&amp;D39&amp;G39&amp;H39&amp;I39&amp;J39&amp;K39&amp;L39&amp;M39&amp;N39&amp;O39&amp;P39&amp;Q39&amp;R39</f>
        <v>|LEFT:50|LEFT:50|LEFT:50|LEFT:50|LEFT:50|LEFT:50|c</v>
      </c>
      <c r="B39" t="s">
        <v>3</v>
      </c>
      <c r="C39" t="s">
        <v>4</v>
      </c>
      <c r="E39" t="s">
        <v>3</v>
      </c>
      <c r="G39" t="s">
        <v>3</v>
      </c>
      <c r="H39" t="s">
        <v>4</v>
      </c>
      <c r="I39" t="s">
        <v>3</v>
      </c>
      <c r="J39" t="s">
        <v>4</v>
      </c>
      <c r="K39" t="s">
        <v>3</v>
      </c>
      <c r="L39" t="s">
        <v>4</v>
      </c>
      <c r="M39" t="s">
        <v>3</v>
      </c>
      <c r="N39" t="s">
        <v>4</v>
      </c>
      <c r="O39" t="s">
        <v>3</v>
      </c>
      <c r="P39" t="s">
        <v>4</v>
      </c>
      <c r="Q39" t="s">
        <v>3</v>
      </c>
      <c r="R39" t="s">
        <v>5</v>
      </c>
    </row>
    <row r="40" spans="1:19" x14ac:dyDescent="0.15">
      <c r="A40" t="str">
        <f t="shared" si="2"/>
        <v>|レベル|白|青|黒|赤|緑|</v>
      </c>
      <c r="B40" t="s">
        <v>3</v>
      </c>
      <c r="C40" t="s">
        <v>6</v>
      </c>
      <c r="E40" t="s">
        <v>3</v>
      </c>
      <c r="F40" t="s">
        <v>10</v>
      </c>
      <c r="G40" t="s">
        <v>3</v>
      </c>
      <c r="H40" t="s">
        <v>11</v>
      </c>
      <c r="I40" t="s">
        <v>3</v>
      </c>
      <c r="J40" t="s">
        <v>12</v>
      </c>
      <c r="K40" t="s">
        <v>3</v>
      </c>
      <c r="L40" t="s">
        <v>13</v>
      </c>
      <c r="M40" t="s">
        <v>3</v>
      </c>
      <c r="N40" t="s">
        <v>14</v>
      </c>
      <c r="O40" t="s">
        <v>3</v>
      </c>
      <c r="P40" t="s">
        <v>15</v>
      </c>
      <c r="Q40" t="s">
        <v>3</v>
      </c>
      <c r="S40" t="s">
        <v>11</v>
      </c>
    </row>
    <row r="41" spans="1:19" x14ac:dyDescent="0.15">
      <c r="A41" t="str">
        <f t="shared" si="2"/>
        <v>|Lv1|1|-2|-2|0|2|</v>
      </c>
      <c r="B41" t="s">
        <v>3</v>
      </c>
      <c r="C41" t="s">
        <v>8</v>
      </c>
      <c r="D41">
        <v>1</v>
      </c>
      <c r="E41" t="s">
        <v>3</v>
      </c>
      <c r="G41" t="s">
        <v>3</v>
      </c>
      <c r="H41">
        <v>1</v>
      </c>
      <c r="I41" t="s">
        <v>3</v>
      </c>
      <c r="J41">
        <v>-2</v>
      </c>
      <c r="K41" t="s">
        <v>3</v>
      </c>
      <c r="L41">
        <v>-2</v>
      </c>
      <c r="M41" t="s">
        <v>3</v>
      </c>
      <c r="N41">
        <v>0</v>
      </c>
      <c r="O41" t="s">
        <v>3</v>
      </c>
      <c r="P41">
        <v>2</v>
      </c>
      <c r="Q41" t="s">
        <v>3</v>
      </c>
      <c r="S41" t="s">
        <v>12</v>
      </c>
    </row>
    <row r="42" spans="1:19" x14ac:dyDescent="0.15">
      <c r="A42" t="str">
        <f t="shared" si="2"/>
        <v>|Lv4|1|-2|-2|0|3|</v>
      </c>
      <c r="B42" t="s">
        <v>3</v>
      </c>
      <c r="C42" t="s">
        <v>8</v>
      </c>
      <c r="D42">
        <v>4</v>
      </c>
      <c r="E42" t="s">
        <v>3</v>
      </c>
      <c r="F42" t="str">
        <f t="shared" ref="F42:F51" si="3">IF(ISBLANK(D42),"",INDEX($F$97:$F$156,D42))</f>
        <v>緑</v>
      </c>
      <c r="G42" t="s">
        <v>3</v>
      </c>
      <c r="H42">
        <f>H41+IF(H$40=$F42,1,0)</f>
        <v>1</v>
      </c>
      <c r="I42" t="str">
        <f t="shared" ref="I42:Q48" si="4">I41</f>
        <v>|</v>
      </c>
      <c r="J42">
        <f>J41+IF(J$40=$F42,1,0)</f>
        <v>-2</v>
      </c>
      <c r="K42" t="str">
        <f t="shared" si="4"/>
        <v>|</v>
      </c>
      <c r="L42">
        <f>L41+IF(L$40=$F42,1,0)</f>
        <v>-2</v>
      </c>
      <c r="M42" t="str">
        <f t="shared" si="4"/>
        <v>|</v>
      </c>
      <c r="N42">
        <f>N41+IF(N$40=$F42,1,0)</f>
        <v>0</v>
      </c>
      <c r="O42" t="str">
        <f t="shared" si="4"/>
        <v>|</v>
      </c>
      <c r="P42">
        <f>P41+IF(P$40=$F42,1,0)</f>
        <v>3</v>
      </c>
      <c r="Q42" t="str">
        <f t="shared" si="4"/>
        <v>|</v>
      </c>
      <c r="S42" t="s">
        <v>13</v>
      </c>
    </row>
    <row r="43" spans="1:19" x14ac:dyDescent="0.15">
      <c r="A43" t="str">
        <f t="shared" si="2"/>
        <v>|Lv10|2|-2|-2|0|3|</v>
      </c>
      <c r="B43" t="s">
        <v>3</v>
      </c>
      <c r="C43" t="s">
        <v>8</v>
      </c>
      <c r="D43">
        <v>10</v>
      </c>
      <c r="E43" t="s">
        <v>3</v>
      </c>
      <c r="F43" t="str">
        <f t="shared" si="3"/>
        <v>白</v>
      </c>
      <c r="G43" t="s">
        <v>3</v>
      </c>
      <c r="H43">
        <f t="shared" ref="H43:P48" si="5">H42+IF(H$40=$F43,1,0)</f>
        <v>2</v>
      </c>
      <c r="I43" t="str">
        <f t="shared" si="4"/>
        <v>|</v>
      </c>
      <c r="J43">
        <f t="shared" si="5"/>
        <v>-2</v>
      </c>
      <c r="K43" t="str">
        <f t="shared" si="4"/>
        <v>|</v>
      </c>
      <c r="L43">
        <f t="shared" si="5"/>
        <v>-2</v>
      </c>
      <c r="M43" t="str">
        <f t="shared" si="4"/>
        <v>|</v>
      </c>
      <c r="N43">
        <f>N42+IF(N$40=$F43,1,0)</f>
        <v>0</v>
      </c>
      <c r="O43" t="str">
        <f t="shared" si="4"/>
        <v>|</v>
      </c>
      <c r="P43">
        <f t="shared" si="5"/>
        <v>3</v>
      </c>
      <c r="Q43" t="str">
        <f t="shared" si="4"/>
        <v>|</v>
      </c>
      <c r="S43" t="s">
        <v>14</v>
      </c>
    </row>
    <row r="44" spans="1:19" x14ac:dyDescent="0.15">
      <c r="A44" t="str">
        <f t="shared" si="2"/>
        <v>|Lv16|2|-2|-2|1|3|</v>
      </c>
      <c r="B44" t="s">
        <v>3</v>
      </c>
      <c r="C44" t="s">
        <v>8</v>
      </c>
      <c r="D44">
        <v>16</v>
      </c>
      <c r="E44" t="s">
        <v>3</v>
      </c>
      <c r="F44" t="str">
        <f t="shared" si="3"/>
        <v>赤</v>
      </c>
      <c r="G44" t="s">
        <v>3</v>
      </c>
      <c r="H44">
        <f t="shared" si="5"/>
        <v>2</v>
      </c>
      <c r="I44" t="str">
        <f t="shared" si="4"/>
        <v>|</v>
      </c>
      <c r="J44">
        <f t="shared" si="5"/>
        <v>-2</v>
      </c>
      <c r="K44" t="str">
        <f t="shared" si="4"/>
        <v>|</v>
      </c>
      <c r="L44">
        <f t="shared" si="5"/>
        <v>-2</v>
      </c>
      <c r="M44" t="str">
        <f t="shared" si="4"/>
        <v>|</v>
      </c>
      <c r="N44">
        <f t="shared" si="5"/>
        <v>1</v>
      </c>
      <c r="O44" t="str">
        <f t="shared" si="4"/>
        <v>|</v>
      </c>
      <c r="P44">
        <f t="shared" si="5"/>
        <v>3</v>
      </c>
      <c r="Q44" t="str">
        <f t="shared" si="4"/>
        <v>|</v>
      </c>
      <c r="S44" t="s">
        <v>15</v>
      </c>
    </row>
    <row r="45" spans="1:19" x14ac:dyDescent="0.15">
      <c r="A45" t="str">
        <f t="shared" si="2"/>
        <v>|Lv22|2|-2|-1|1|3|</v>
      </c>
      <c r="B45" t="s">
        <v>3</v>
      </c>
      <c r="C45" t="s">
        <v>8</v>
      </c>
      <c r="D45">
        <v>22</v>
      </c>
      <c r="E45" t="s">
        <v>3</v>
      </c>
      <c r="F45" t="str">
        <f t="shared" si="3"/>
        <v>黒</v>
      </c>
      <c r="G45" t="s">
        <v>3</v>
      </c>
      <c r="H45">
        <f t="shared" si="5"/>
        <v>2</v>
      </c>
      <c r="I45" t="str">
        <f t="shared" si="4"/>
        <v>|</v>
      </c>
      <c r="J45">
        <f t="shared" si="5"/>
        <v>-2</v>
      </c>
      <c r="K45" t="str">
        <f t="shared" si="4"/>
        <v>|</v>
      </c>
      <c r="L45">
        <f t="shared" si="5"/>
        <v>-1</v>
      </c>
      <c r="M45" t="str">
        <f t="shared" si="4"/>
        <v>|</v>
      </c>
      <c r="N45">
        <f t="shared" si="5"/>
        <v>1</v>
      </c>
      <c r="O45" t="str">
        <f t="shared" si="4"/>
        <v>|</v>
      </c>
      <c r="P45">
        <f>P44+IF(P$40=$F45,1,0)</f>
        <v>3</v>
      </c>
      <c r="Q45" t="str">
        <f t="shared" si="4"/>
        <v>|</v>
      </c>
    </row>
    <row r="46" spans="1:19" x14ac:dyDescent="0.15">
      <c r="A46" t="str">
        <f t="shared" si="2"/>
        <v>|Lv28|2|-1|-1|1|3|</v>
      </c>
      <c r="B46" t="s">
        <v>3</v>
      </c>
      <c r="C46" t="s">
        <v>8</v>
      </c>
      <c r="D46">
        <v>28</v>
      </c>
      <c r="E46" t="s">
        <v>3</v>
      </c>
      <c r="F46" t="str">
        <f t="shared" si="3"/>
        <v>青</v>
      </c>
      <c r="G46" t="s">
        <v>3</v>
      </c>
      <c r="H46">
        <f t="shared" si="5"/>
        <v>2</v>
      </c>
      <c r="I46" t="str">
        <f t="shared" si="4"/>
        <v>|</v>
      </c>
      <c r="J46">
        <f t="shared" si="5"/>
        <v>-1</v>
      </c>
      <c r="K46" t="str">
        <f t="shared" si="4"/>
        <v>|</v>
      </c>
      <c r="L46">
        <f t="shared" si="5"/>
        <v>-1</v>
      </c>
      <c r="M46" t="str">
        <f t="shared" si="4"/>
        <v>|</v>
      </c>
      <c r="N46">
        <f t="shared" si="5"/>
        <v>1</v>
      </c>
      <c r="O46" t="str">
        <f t="shared" si="4"/>
        <v>|</v>
      </c>
      <c r="P46">
        <f t="shared" si="5"/>
        <v>3</v>
      </c>
      <c r="Q46" t="str">
        <f t="shared" si="4"/>
        <v>|</v>
      </c>
    </row>
    <row r="47" spans="1:19" x14ac:dyDescent="0.15">
      <c r="A47" t="str">
        <f t="shared" si="2"/>
        <v>|Lv34|2|-1|-1|1|4|</v>
      </c>
      <c r="B47" t="s">
        <v>3</v>
      </c>
      <c r="C47" t="s">
        <v>8</v>
      </c>
      <c r="D47">
        <v>34</v>
      </c>
      <c r="E47" t="s">
        <v>3</v>
      </c>
      <c r="F47" t="str">
        <f t="shared" si="3"/>
        <v>緑</v>
      </c>
      <c r="G47" t="s">
        <v>3</v>
      </c>
      <c r="H47">
        <f t="shared" si="5"/>
        <v>2</v>
      </c>
      <c r="I47" t="str">
        <f t="shared" si="4"/>
        <v>|</v>
      </c>
      <c r="J47">
        <f t="shared" si="5"/>
        <v>-1</v>
      </c>
      <c r="K47" t="str">
        <f t="shared" si="4"/>
        <v>|</v>
      </c>
      <c r="L47">
        <f t="shared" si="5"/>
        <v>-1</v>
      </c>
      <c r="M47" t="str">
        <f t="shared" si="4"/>
        <v>|</v>
      </c>
      <c r="N47">
        <f t="shared" si="5"/>
        <v>1</v>
      </c>
      <c r="O47" t="str">
        <f t="shared" si="4"/>
        <v>|</v>
      </c>
      <c r="P47">
        <f t="shared" si="5"/>
        <v>4</v>
      </c>
      <c r="Q47" t="str">
        <f t="shared" si="4"/>
        <v>|</v>
      </c>
    </row>
    <row r="48" spans="1:19" x14ac:dyDescent="0.15">
      <c r="A48" t="str">
        <f t="shared" si="2"/>
        <v>|Lv42|3|-1|-1|1|4|</v>
      </c>
      <c r="B48" t="s">
        <v>3</v>
      </c>
      <c r="C48" t="s">
        <v>8</v>
      </c>
      <c r="D48">
        <v>42</v>
      </c>
      <c r="E48" t="s">
        <v>3</v>
      </c>
      <c r="F48" t="str">
        <f t="shared" si="3"/>
        <v>白</v>
      </c>
      <c r="G48" t="s">
        <v>3</v>
      </c>
      <c r="H48">
        <f t="shared" si="5"/>
        <v>3</v>
      </c>
      <c r="I48" t="str">
        <f t="shared" si="4"/>
        <v>|</v>
      </c>
      <c r="J48">
        <f t="shared" si="5"/>
        <v>-1</v>
      </c>
      <c r="K48" t="str">
        <f t="shared" si="4"/>
        <v>|</v>
      </c>
      <c r="L48">
        <f t="shared" si="5"/>
        <v>-1</v>
      </c>
      <c r="M48" t="str">
        <f t="shared" si="4"/>
        <v>|</v>
      </c>
      <c r="N48">
        <f t="shared" si="5"/>
        <v>1</v>
      </c>
      <c r="O48" t="str">
        <f t="shared" si="4"/>
        <v>|</v>
      </c>
      <c r="P48">
        <f>P47+IF(P$40=$F48,1,0)</f>
        <v>4</v>
      </c>
      <c r="Q48" t="str">
        <f t="shared" si="4"/>
        <v>|</v>
      </c>
    </row>
    <row r="49" spans="1:19" x14ac:dyDescent="0.15">
      <c r="A49" t="str">
        <f>B49&amp;C49&amp;D49&amp;G49&amp;H49&amp;I49&amp;J49&amp;K49&amp;L49&amp;M49&amp;N49&amp;O49&amp;P49&amp;Q49&amp;R49</f>
        <v>|Lv48|3|-1|-1|2|4|</v>
      </c>
      <c r="B49" t="s">
        <v>3</v>
      </c>
      <c r="C49" t="s">
        <v>8</v>
      </c>
      <c r="D49">
        <v>48</v>
      </c>
      <c r="E49" t="s">
        <v>3</v>
      </c>
      <c r="F49" t="str">
        <f t="shared" si="3"/>
        <v>赤</v>
      </c>
      <c r="G49" t="s">
        <v>3</v>
      </c>
      <c r="H49">
        <f>H48+IF(H$40=$F49,1,0)</f>
        <v>3</v>
      </c>
      <c r="I49" t="str">
        <f>I48</f>
        <v>|</v>
      </c>
      <c r="J49">
        <f>J48+IF(J$40=$F49,1,0)</f>
        <v>-1</v>
      </c>
      <c r="K49" t="str">
        <f>K48</f>
        <v>|</v>
      </c>
      <c r="L49">
        <f>L48+IF(L$40=$F49,1,0)</f>
        <v>-1</v>
      </c>
      <c r="M49" t="str">
        <f>M48</f>
        <v>|</v>
      </c>
      <c r="N49">
        <f>N48+IF(N$40=$F49,1,0)</f>
        <v>2</v>
      </c>
      <c r="O49" t="str">
        <f>O48</f>
        <v>|</v>
      </c>
      <c r="P49">
        <f>P48+IF(P$40=$F49,1,0)</f>
        <v>4</v>
      </c>
      <c r="Q49" t="str">
        <f>Q48</f>
        <v>|</v>
      </c>
    </row>
    <row r="50" spans="1:19" x14ac:dyDescent="0.15">
      <c r="A50" t="str">
        <f>B50&amp;C50&amp;D50&amp;G50&amp;H50&amp;I50&amp;J50&amp;K50&amp;L50&amp;M50&amp;N50&amp;O50&amp;P50&amp;Q50&amp;R50</f>
        <v>|Lv54|3|-1|0|2|4|</v>
      </c>
      <c r="B50" t="s">
        <v>3</v>
      </c>
      <c r="C50" t="s">
        <v>8</v>
      </c>
      <c r="D50">
        <v>54</v>
      </c>
      <c r="E50" t="s">
        <v>3</v>
      </c>
      <c r="F50" t="str">
        <f t="shared" si="3"/>
        <v>黒</v>
      </c>
      <c r="G50" t="s">
        <v>3</v>
      </c>
      <c r="H50">
        <f>H49+IF(H$40=$F50,1,0)</f>
        <v>3</v>
      </c>
      <c r="I50" t="str">
        <f>I49</f>
        <v>|</v>
      </c>
      <c r="J50">
        <f>J49+IF(J$40=$F50,1,0)</f>
        <v>-1</v>
      </c>
      <c r="K50" t="str">
        <f>K49</f>
        <v>|</v>
      </c>
      <c r="L50">
        <f>L49+IF(L$40=$F50,1,0)</f>
        <v>0</v>
      </c>
      <c r="M50" t="str">
        <f>M49</f>
        <v>|</v>
      </c>
      <c r="N50">
        <f>N49+IF(N$40=$F50,1,0)</f>
        <v>2</v>
      </c>
      <c r="O50" t="str">
        <f>O49</f>
        <v>|</v>
      </c>
      <c r="P50">
        <f>P49+IF(P$40=$F50,1,0)</f>
        <v>4</v>
      </c>
      <c r="Q50" t="str">
        <f>Q49</f>
        <v>|</v>
      </c>
    </row>
    <row r="51" spans="1:19" x14ac:dyDescent="0.15">
      <c r="A51" t="str">
        <f>B51&amp;C51&amp;D51&amp;G51&amp;H51&amp;I51&amp;J51&amp;K51&amp;L51&amp;M51&amp;N51&amp;O51&amp;P51&amp;Q51&amp;R51</f>
        <v>|Lv59|3|0|0|2|4|</v>
      </c>
      <c r="B51" t="s">
        <v>3</v>
      </c>
      <c r="C51" t="s">
        <v>8</v>
      </c>
      <c r="D51">
        <v>59</v>
      </c>
      <c r="E51" t="s">
        <v>3</v>
      </c>
      <c r="F51" t="str">
        <f t="shared" si="3"/>
        <v>青</v>
      </c>
      <c r="G51" t="s">
        <v>3</v>
      </c>
      <c r="H51">
        <f>H50+IF(H$40=$F51,1,0)</f>
        <v>3</v>
      </c>
      <c r="I51" t="str">
        <f>I50</f>
        <v>|</v>
      </c>
      <c r="J51">
        <f>J50+IF(J$40=$F51,1,0)</f>
        <v>0</v>
      </c>
      <c r="K51" t="str">
        <f>K50</f>
        <v>|</v>
      </c>
      <c r="L51">
        <f>L50+IF(L$40=$F51,1,0)</f>
        <v>0</v>
      </c>
      <c r="M51" t="str">
        <f>M50</f>
        <v>|</v>
      </c>
      <c r="N51">
        <f>N50+IF(N$40=$F51,1,0)</f>
        <v>2</v>
      </c>
      <c r="O51" t="str">
        <f>O50</f>
        <v>|</v>
      </c>
      <c r="P51">
        <f>P50+IF(P$40=$F51,1,0)</f>
        <v>4</v>
      </c>
      <c r="Q51" t="str">
        <f>Q50</f>
        <v>|</v>
      </c>
    </row>
    <row r="52" spans="1:19" x14ac:dyDescent="0.15">
      <c r="A52" t="str">
        <f>B52&amp;C52&amp;D52&amp;E52&amp;F52&amp;G52&amp;H52&amp;I52&amp;J52&amp;K52&amp;L52&amp;M52&amp;N52&amp;O52&amp;P52</f>
        <v>&amp;br;</v>
      </c>
      <c r="B52" t="s">
        <v>0</v>
      </c>
    </row>
    <row r="53" spans="1:19" x14ac:dyDescent="0.15">
      <c r="A53" t="str">
        <f>B53&amp;C53&amp;D53&amp;E53&amp;F53&amp;G53&amp;H53&amp;I53&amp;J53&amp;K53&amp;L53&amp;M53&amp;N53&amp;O53&amp;P53</f>
        <v>&amp;br;</v>
      </c>
      <c r="B53" t="s">
        <v>0</v>
      </c>
    </row>
    <row r="54" spans="1:19" x14ac:dyDescent="0.15">
      <c r="A54" t="str">
        <f>B54&amp;C54&amp;D54&amp;E54&amp;F54&amp;G54&amp;H54&amp;I54&amp;J54&amp;K54&amp;L54&amp;M54&amp;N54&amp;O54&amp;P54</f>
        <v>*デッキ構築枚数上限 [#e6f382eb]</v>
      </c>
      <c r="B54" t="s">
        <v>16</v>
      </c>
    </row>
    <row r="55" spans="1:19" x14ac:dyDescent="0.15">
      <c r="A55" t="str">
        <f>B55&amp;C55&amp;D55&amp;E55&amp;F55&amp;G55&amp;H55&amp;I55&amp;J55&amp;K55&amp;L55&amp;M55&amp;N55&amp;O55&amp;P55</f>
        <v>構築枚数上限を越える枚数はデッキに入れられない。</v>
      </c>
      <c r="B55" t="s">
        <v>17</v>
      </c>
    </row>
    <row r="56" spans="1:19" x14ac:dyDescent="0.15">
      <c r="A56" t="str">
        <f t="shared" ref="A56:A64" si="6">B56&amp;C56&amp;D56&amp;G56&amp;H56&amp;I56&amp;J56&amp;K56&amp;L56&amp;M56&amp;N56&amp;O56&amp;P56&amp;Q56&amp;R56</f>
        <v>|LEFT:50|LEFT:80|LEFT:80|LEFT:80|c</v>
      </c>
      <c r="B56" t="s">
        <v>3</v>
      </c>
      <c r="C56" t="s">
        <v>4</v>
      </c>
      <c r="E56" t="s">
        <v>3</v>
      </c>
      <c r="G56" t="s">
        <v>3</v>
      </c>
      <c r="H56" t="s">
        <v>18</v>
      </c>
      <c r="I56" t="s">
        <v>3</v>
      </c>
      <c r="J56" t="s">
        <v>18</v>
      </c>
      <c r="K56" t="s">
        <v>3</v>
      </c>
      <c r="L56" t="s">
        <v>18</v>
      </c>
      <c r="M56" t="s">
        <v>3</v>
      </c>
      <c r="N56" t="s">
        <v>5</v>
      </c>
    </row>
    <row r="57" spans="1:19" x14ac:dyDescent="0.15">
      <c r="A57" t="str">
        <f t="shared" si="6"/>
        <v>|レベル|クリーチャー|呪文|サポート|</v>
      </c>
      <c r="B57" t="s">
        <v>3</v>
      </c>
      <c r="C57" t="s">
        <v>6</v>
      </c>
      <c r="E57" t="s">
        <v>3</v>
      </c>
      <c r="F57" t="s">
        <v>19</v>
      </c>
      <c r="G57" t="s">
        <v>3</v>
      </c>
      <c r="H57" t="s">
        <v>20</v>
      </c>
      <c r="I57" t="s">
        <v>3</v>
      </c>
      <c r="J57" t="s">
        <v>21</v>
      </c>
      <c r="K57" t="s">
        <v>3</v>
      </c>
      <c r="L57" t="s">
        <v>22</v>
      </c>
      <c r="M57" t="s">
        <v>3</v>
      </c>
      <c r="S57" t="s">
        <v>20</v>
      </c>
    </row>
    <row r="58" spans="1:19" x14ac:dyDescent="0.15">
      <c r="A58" t="str">
        <f t="shared" si="6"/>
        <v>|Lv1|5|2|3|</v>
      </c>
      <c r="B58" t="s">
        <v>3</v>
      </c>
      <c r="C58" t="s">
        <v>8</v>
      </c>
      <c r="D58">
        <v>1</v>
      </c>
      <c r="E58" t="s">
        <v>3</v>
      </c>
      <c r="G58" t="s">
        <v>3</v>
      </c>
      <c r="H58">
        <v>5</v>
      </c>
      <c r="I58" t="s">
        <v>3</v>
      </c>
      <c r="J58">
        <v>2</v>
      </c>
      <c r="K58" t="s">
        <v>3</v>
      </c>
      <c r="L58">
        <v>3</v>
      </c>
      <c r="M58" t="s">
        <v>3</v>
      </c>
      <c r="S58" t="s">
        <v>21</v>
      </c>
    </row>
    <row r="59" spans="1:19" x14ac:dyDescent="0.15">
      <c r="A59" t="str">
        <f t="shared" si="6"/>
        <v>|Lv2|5|3|3|</v>
      </c>
      <c r="B59" t="s">
        <v>3</v>
      </c>
      <c r="C59" t="s">
        <v>8</v>
      </c>
      <c r="D59">
        <v>2</v>
      </c>
      <c r="E59" t="s">
        <v>3</v>
      </c>
      <c r="F59" t="str">
        <f t="shared" ref="F59:F64" si="7">IF(ISBLANK(D59),"",INDEX($F$97:$F$156,D59))</f>
        <v>呪文</v>
      </c>
      <c r="G59" t="s">
        <v>3</v>
      </c>
      <c r="H59">
        <f t="shared" ref="H59:H64" si="8">H58+IF(H$57=$F59,INDEX($H$97:$H$156,D59),0)</f>
        <v>5</v>
      </c>
      <c r="I59" t="s">
        <v>3</v>
      </c>
      <c r="J59">
        <f t="shared" ref="J59:J64" si="9">J58+IF(J$57=$F59,INDEX($H$97:$H$156,D59),0)</f>
        <v>3</v>
      </c>
      <c r="K59" t="s">
        <v>3</v>
      </c>
      <c r="L59">
        <f t="shared" ref="L59:L64" si="10">L58+IF(L$57=$F59,INDEX($H$97:$H$156,D59),0)</f>
        <v>3</v>
      </c>
      <c r="M59" t="s">
        <v>3</v>
      </c>
      <c r="S59" t="s">
        <v>22</v>
      </c>
    </row>
    <row r="60" spans="1:19" x14ac:dyDescent="0.15">
      <c r="A60" t="str">
        <f t="shared" si="6"/>
        <v>|Lv8|5|3|4|</v>
      </c>
      <c r="B60" t="s">
        <v>3</v>
      </c>
      <c r="C60" t="s">
        <v>8</v>
      </c>
      <c r="D60">
        <v>8</v>
      </c>
      <c r="E60" t="s">
        <v>3</v>
      </c>
      <c r="F60" t="str">
        <f t="shared" si="7"/>
        <v>サポート</v>
      </c>
      <c r="G60" t="s">
        <v>3</v>
      </c>
      <c r="H60">
        <f t="shared" si="8"/>
        <v>5</v>
      </c>
      <c r="I60" t="s">
        <v>3</v>
      </c>
      <c r="J60">
        <f t="shared" si="9"/>
        <v>3</v>
      </c>
      <c r="K60" t="s">
        <v>3</v>
      </c>
      <c r="L60">
        <f t="shared" si="10"/>
        <v>4</v>
      </c>
      <c r="M60" t="s">
        <v>3</v>
      </c>
    </row>
    <row r="61" spans="1:19" x14ac:dyDescent="0.15">
      <c r="A61" t="str">
        <f t="shared" si="6"/>
        <v>|Lv14|6|3|4|</v>
      </c>
      <c r="B61" t="s">
        <v>3</v>
      </c>
      <c r="C61" t="s">
        <v>8</v>
      </c>
      <c r="D61">
        <v>14</v>
      </c>
      <c r="E61" t="s">
        <v>3</v>
      </c>
      <c r="F61" t="str">
        <f t="shared" si="7"/>
        <v>クリーチャー</v>
      </c>
      <c r="G61" t="s">
        <v>3</v>
      </c>
      <c r="H61">
        <f t="shared" si="8"/>
        <v>6</v>
      </c>
      <c r="I61" t="s">
        <v>3</v>
      </c>
      <c r="J61">
        <f t="shared" si="9"/>
        <v>3</v>
      </c>
      <c r="K61" t="s">
        <v>3</v>
      </c>
      <c r="L61">
        <f t="shared" si="10"/>
        <v>4</v>
      </c>
      <c r="M61" t="s">
        <v>3</v>
      </c>
    </row>
    <row r="62" spans="1:19" x14ac:dyDescent="0.15">
      <c r="A62" t="str">
        <f t="shared" si="6"/>
        <v>|Lv32|6|4|4|</v>
      </c>
      <c r="B62" t="s">
        <v>3</v>
      </c>
      <c r="C62" t="s">
        <v>8</v>
      </c>
      <c r="D62">
        <v>32</v>
      </c>
      <c r="E62" t="s">
        <v>3</v>
      </c>
      <c r="F62" t="str">
        <f t="shared" si="7"/>
        <v>呪文</v>
      </c>
      <c r="G62" t="s">
        <v>3</v>
      </c>
      <c r="H62">
        <f t="shared" si="8"/>
        <v>6</v>
      </c>
      <c r="I62" t="s">
        <v>3</v>
      </c>
      <c r="J62">
        <f t="shared" si="9"/>
        <v>4</v>
      </c>
      <c r="K62" t="s">
        <v>3</v>
      </c>
      <c r="L62">
        <f t="shared" si="10"/>
        <v>4</v>
      </c>
      <c r="M62" t="s">
        <v>3</v>
      </c>
    </row>
    <row r="63" spans="1:19" x14ac:dyDescent="0.15">
      <c r="A63" t="str">
        <f t="shared" si="6"/>
        <v>|Lv38|6|4|5|</v>
      </c>
      <c r="B63" t="s">
        <v>3</v>
      </c>
      <c r="C63" t="s">
        <v>8</v>
      </c>
      <c r="D63">
        <v>38</v>
      </c>
      <c r="E63" t="s">
        <v>3</v>
      </c>
      <c r="F63" t="str">
        <f t="shared" si="7"/>
        <v>サポート</v>
      </c>
      <c r="G63" t="s">
        <v>3</v>
      </c>
      <c r="H63">
        <f t="shared" si="8"/>
        <v>6</v>
      </c>
      <c r="I63" t="s">
        <v>3</v>
      </c>
      <c r="J63">
        <f t="shared" si="9"/>
        <v>4</v>
      </c>
      <c r="K63" t="s">
        <v>3</v>
      </c>
      <c r="L63">
        <f t="shared" si="10"/>
        <v>5</v>
      </c>
      <c r="M63" t="s">
        <v>3</v>
      </c>
    </row>
    <row r="64" spans="1:19" x14ac:dyDescent="0.15">
      <c r="A64" t="str">
        <f t="shared" si="6"/>
        <v>|Lv50|7|4|5|</v>
      </c>
      <c r="B64" t="s">
        <v>3</v>
      </c>
      <c r="C64" t="s">
        <v>8</v>
      </c>
      <c r="D64">
        <v>50</v>
      </c>
      <c r="E64" t="s">
        <v>3</v>
      </c>
      <c r="F64" t="str">
        <f t="shared" si="7"/>
        <v>クリーチャー</v>
      </c>
      <c r="G64" t="s">
        <v>3</v>
      </c>
      <c r="H64">
        <f t="shared" si="8"/>
        <v>7</v>
      </c>
      <c r="I64" t="s">
        <v>3</v>
      </c>
      <c r="J64">
        <f t="shared" si="9"/>
        <v>4</v>
      </c>
      <c r="K64" t="s">
        <v>3</v>
      </c>
      <c r="L64">
        <f t="shared" si="10"/>
        <v>5</v>
      </c>
      <c r="M64" t="s">
        <v>3</v>
      </c>
    </row>
    <row r="65" spans="1:20" x14ac:dyDescent="0.15">
      <c r="A65" t="str">
        <f t="shared" ref="A65:A86" si="11">B65&amp;C65&amp;D65&amp;E65&amp;F65&amp;G65&amp;H65&amp;I65&amp;J65&amp;K65&amp;L65&amp;M65&amp;N65&amp;O65&amp;P65</f>
        <v>&amp;br;</v>
      </c>
      <c r="B65" t="s">
        <v>0</v>
      </c>
    </row>
    <row r="66" spans="1:20" x14ac:dyDescent="0.15">
      <c r="A66" t="str">
        <f t="shared" si="11"/>
        <v>&amp;br;</v>
      </c>
      <c r="B66" t="s">
        <v>0</v>
      </c>
    </row>
    <row r="67" spans="1:20" x14ac:dyDescent="0.15">
      <c r="A67" t="str">
        <f t="shared" si="11"/>
        <v>*PW能力一覧 [#a469e89f]</v>
      </c>
      <c r="B67" t="s">
        <v>23</v>
      </c>
    </row>
    <row r="68" spans="1:20" x14ac:dyDescent="0.15">
      <c r="A68" t="str">
        <f t="shared" si="11"/>
        <v>**第1能力：/Touch of Aether</v>
      </c>
      <c r="B68" t="s">
        <v>24</v>
      </c>
      <c r="E68" t="s">
        <v>25</v>
      </c>
      <c r="F68" t="s">
        <v>353</v>
      </c>
      <c r="R68" t="str">
        <f>D68&amp;E68&amp;F68</f>
        <v>/Touch of Aether</v>
      </c>
      <c r="S68" t="s">
        <v>3</v>
      </c>
      <c r="T68">
        <f>H74</f>
        <v>9</v>
      </c>
    </row>
    <row r="69" spans="1:20" x14ac:dyDescent="0.15">
      <c r="A69" t="str">
        <f t="shared" si="11"/>
        <v>|LEFT:50|LEFT:50|LEFT:50|LEFT:300|c</v>
      </c>
      <c r="B69" t="s">
        <v>3</v>
      </c>
      <c r="C69" t="s">
        <v>4</v>
      </c>
      <c r="E69" t="s">
        <v>3</v>
      </c>
      <c r="F69" t="s">
        <v>4</v>
      </c>
      <c r="G69" t="s">
        <v>3</v>
      </c>
      <c r="H69" t="s">
        <v>4</v>
      </c>
      <c r="I69" t="s">
        <v>3</v>
      </c>
      <c r="J69" t="s">
        <v>26</v>
      </c>
      <c r="K69" t="s">
        <v>3</v>
      </c>
      <c r="L69" t="s">
        <v>5</v>
      </c>
      <c r="R69" t="s">
        <v>209</v>
      </c>
      <c r="S69" t="s">
        <v>3</v>
      </c>
      <c r="T69" t="str">
        <f>J74</f>
        <v>ジェム4つを緑に変換する。エネルギー化4をする。</v>
      </c>
    </row>
    <row r="70" spans="1:20" x14ac:dyDescent="0.15">
      <c r="A70" t="str">
        <f t="shared" si="11"/>
        <v>|解放Lv|レベル|コスト|効果|</v>
      </c>
      <c r="B70" t="s">
        <v>3</v>
      </c>
      <c r="C70" t="s">
        <v>27</v>
      </c>
      <c r="E70" t="s">
        <v>3</v>
      </c>
      <c r="F70" t="s">
        <v>6</v>
      </c>
      <c r="G70" t="s">
        <v>3</v>
      </c>
      <c r="H70" t="s">
        <v>28</v>
      </c>
      <c r="I70" t="s">
        <v>3</v>
      </c>
      <c r="J70" t="s">
        <v>29</v>
      </c>
      <c r="K70" t="s">
        <v>3</v>
      </c>
      <c r="R70" t="str">
        <f>D77&amp;E77&amp;F77</f>
        <v>/Draw Aether</v>
      </c>
      <c r="S70" t="s">
        <v>3</v>
      </c>
      <c r="T70">
        <f>H83</f>
        <v>15</v>
      </c>
    </row>
    <row r="71" spans="1:20" x14ac:dyDescent="0.15">
      <c r="A71" t="str">
        <f t="shared" si="11"/>
        <v>|Lv6|Lv1|9|ジェム1つを緑に変換する。エネルギー化1をする。|</v>
      </c>
      <c r="B71" t="s">
        <v>3</v>
      </c>
      <c r="C71" t="s">
        <v>8</v>
      </c>
      <c r="D71">
        <v>6</v>
      </c>
      <c r="E71" t="s">
        <v>3</v>
      </c>
      <c r="F71" t="s">
        <v>30</v>
      </c>
      <c r="G71" t="s">
        <v>3</v>
      </c>
      <c r="H71">
        <v>9</v>
      </c>
      <c r="I71" t="s">
        <v>3</v>
      </c>
      <c r="J71" t="s">
        <v>354</v>
      </c>
      <c r="K71" t="s">
        <v>3</v>
      </c>
      <c r="R71" t="s">
        <v>209</v>
      </c>
      <c r="S71" t="s">
        <v>3</v>
      </c>
      <c r="T71" t="str">
        <f>J83</f>
        <v>「いずれかのプレイヤーが緑ジェムを3つ以上マッチするたび、エネルギー化4を行う。」を持つサポート(シールド数3)を生成する。</v>
      </c>
    </row>
    <row r="72" spans="1:20" x14ac:dyDescent="0.15">
      <c r="A72" t="str">
        <f t="shared" si="11"/>
        <v>|Lv24|Lv2|9|ジェム2つを緑に変換する。エネルギー化2をする。|</v>
      </c>
      <c r="B72" t="s">
        <v>3</v>
      </c>
      <c r="C72" t="s">
        <v>8</v>
      </c>
      <c r="D72">
        <v>24</v>
      </c>
      <c r="E72" t="s">
        <v>3</v>
      </c>
      <c r="F72" t="s">
        <v>31</v>
      </c>
      <c r="G72" t="s">
        <v>3</v>
      </c>
      <c r="H72">
        <v>9</v>
      </c>
      <c r="I72" t="s">
        <v>3</v>
      </c>
      <c r="J72" t="s">
        <v>355</v>
      </c>
      <c r="K72" t="s">
        <v>3</v>
      </c>
      <c r="R72" t="str">
        <f>D86&amp;E86&amp;F86</f>
        <v>/Aether Inspiration</v>
      </c>
      <c r="S72" t="s">
        <v>3</v>
      </c>
      <c r="T72">
        <f>H92</f>
        <v>24</v>
      </c>
    </row>
    <row r="73" spans="1:20" x14ac:dyDescent="0.15">
      <c r="A73" t="str">
        <f t="shared" si="11"/>
        <v>|Lv40|Lv3|9|ジェム3つを緑に変換する。エネルギー化3をする。|</v>
      </c>
      <c r="B73" t="s">
        <v>3</v>
      </c>
      <c r="C73" t="s">
        <v>8</v>
      </c>
      <c r="D73">
        <v>40</v>
      </c>
      <c r="E73" t="s">
        <v>3</v>
      </c>
      <c r="F73" t="s">
        <v>32</v>
      </c>
      <c r="G73" t="s">
        <v>3</v>
      </c>
      <c r="H73">
        <v>9</v>
      </c>
      <c r="I73" t="s">
        <v>3</v>
      </c>
      <c r="J73" t="s">
        <v>356</v>
      </c>
      <c r="K73" t="s">
        <v>3</v>
      </c>
      <c r="R73" t="s">
        <v>209</v>
      </c>
      <c r="S73" t="s">
        <v>3</v>
      </c>
      <c r="T73" t="str">
        <f>J92</f>
        <v>エネルギー化5を行い、あなたがコントロールするクリーチャーすべてに+X/+Xの修正を与える。Xはボード上にあるエネルギージェムの4倍の数である。</v>
      </c>
    </row>
    <row r="74" spans="1:20" x14ac:dyDescent="0.15">
      <c r="A74" t="str">
        <f t="shared" si="11"/>
        <v>|Lv56|Lv4|9|ジェム4つを緑に変換する。エネルギー化4をする。|</v>
      </c>
      <c r="B74" t="s">
        <v>3</v>
      </c>
      <c r="C74" t="s">
        <v>8</v>
      </c>
      <c r="D74">
        <v>56</v>
      </c>
      <c r="E74" t="s">
        <v>3</v>
      </c>
      <c r="F74" t="s">
        <v>33</v>
      </c>
      <c r="G74" t="s">
        <v>3</v>
      </c>
      <c r="H74">
        <v>9</v>
      </c>
      <c r="I74" t="s">
        <v>3</v>
      </c>
      <c r="J74" t="s">
        <v>357</v>
      </c>
      <c r="K74" t="s">
        <v>3</v>
      </c>
    </row>
    <row r="75" spans="1:20" x14ac:dyDescent="0.15">
      <c r="A75" t="str">
        <f t="shared" si="11"/>
        <v>&amp;br;</v>
      </c>
      <c r="B75" t="s">
        <v>0</v>
      </c>
    </row>
    <row r="76" spans="1:20" x14ac:dyDescent="0.15">
      <c r="A76" t="str">
        <f t="shared" si="11"/>
        <v>&amp;br;</v>
      </c>
      <c r="B76" t="s">
        <v>0</v>
      </c>
    </row>
    <row r="77" spans="1:20" x14ac:dyDescent="0.15">
      <c r="A77" t="str">
        <f t="shared" si="11"/>
        <v>**第2能力：/Draw Aether</v>
      </c>
      <c r="B77" t="s">
        <v>34</v>
      </c>
      <c r="E77" t="s">
        <v>25</v>
      </c>
      <c r="F77" t="s">
        <v>358</v>
      </c>
    </row>
    <row r="78" spans="1:20" x14ac:dyDescent="0.15">
      <c r="A78" t="str">
        <f t="shared" si="11"/>
        <v>|LEFT:50|LEFT:50|LEFT:50|LEFT:300|c</v>
      </c>
      <c r="B78" t="s">
        <v>3</v>
      </c>
      <c r="C78" t="s">
        <v>4</v>
      </c>
      <c r="E78" t="s">
        <v>3</v>
      </c>
      <c r="F78" t="s">
        <v>4</v>
      </c>
      <c r="G78" t="s">
        <v>3</v>
      </c>
      <c r="H78" t="s">
        <v>4</v>
      </c>
      <c r="I78" t="s">
        <v>3</v>
      </c>
      <c r="J78" t="s">
        <v>26</v>
      </c>
      <c r="K78" t="s">
        <v>3</v>
      </c>
      <c r="L78" t="s">
        <v>5</v>
      </c>
    </row>
    <row r="79" spans="1:20" x14ac:dyDescent="0.15">
      <c r="A79" t="str">
        <f t="shared" si="11"/>
        <v>|解放Lv|レベル|コスト|効果|</v>
      </c>
      <c r="B79" t="s">
        <v>3</v>
      </c>
      <c r="C79" t="s">
        <v>27</v>
      </c>
      <c r="E79" t="s">
        <v>3</v>
      </c>
      <c r="F79" t="s">
        <v>6</v>
      </c>
      <c r="G79" t="s">
        <v>3</v>
      </c>
      <c r="H79" t="s">
        <v>28</v>
      </c>
      <c r="I79" t="s">
        <v>3</v>
      </c>
      <c r="J79" t="s">
        <v>29</v>
      </c>
      <c r="K79" t="s">
        <v>3</v>
      </c>
    </row>
    <row r="80" spans="1:20" x14ac:dyDescent="0.15">
      <c r="A80" t="str">
        <f t="shared" si="11"/>
        <v>|Lv12|Lv1|15|「いずれかのプレイヤーが緑ジェムを3つ以上マッチするたび、エネルギー化1を行う。」を持つサポート(シールド数3)を生成する。|</v>
      </c>
      <c r="B80" t="s">
        <v>3</v>
      </c>
      <c r="C80" t="s">
        <v>8</v>
      </c>
      <c r="D80">
        <v>12</v>
      </c>
      <c r="E80" t="s">
        <v>3</v>
      </c>
      <c r="F80" t="s">
        <v>30</v>
      </c>
      <c r="G80" t="s">
        <v>3</v>
      </c>
      <c r="H80">
        <v>15</v>
      </c>
      <c r="I80" t="s">
        <v>3</v>
      </c>
      <c r="J80" t="s">
        <v>359</v>
      </c>
      <c r="K80" t="s">
        <v>3</v>
      </c>
    </row>
    <row r="81" spans="1:12" x14ac:dyDescent="0.15">
      <c r="A81" t="str">
        <f t="shared" si="11"/>
        <v>|Lv30|Lv2|15|「いずれかのプレイヤーが緑ジェムを3つ以上マッチするたび、エネルギー化2を行う。」を持つサポート(シールド数3)を生成する。|</v>
      </c>
      <c r="B81" t="s">
        <v>3</v>
      </c>
      <c r="C81" t="s">
        <v>8</v>
      </c>
      <c r="D81">
        <v>30</v>
      </c>
      <c r="E81" t="s">
        <v>3</v>
      </c>
      <c r="F81" t="s">
        <v>31</v>
      </c>
      <c r="G81" t="s">
        <v>3</v>
      </c>
      <c r="H81">
        <v>15</v>
      </c>
      <c r="I81" t="s">
        <v>3</v>
      </c>
      <c r="J81" t="s">
        <v>360</v>
      </c>
      <c r="K81" t="s">
        <v>3</v>
      </c>
    </row>
    <row r="82" spans="1:12" x14ac:dyDescent="0.15">
      <c r="A82" t="str">
        <f t="shared" si="11"/>
        <v>|Lv46|Lv3|15|「いずれかのプレイヤーが緑ジェムを3つ以上マッチするたび、エネルギー化3を行う。」を持つサポート(シールド数3)を生成する。|</v>
      </c>
      <c r="B82" t="s">
        <v>3</v>
      </c>
      <c r="C82" t="s">
        <v>8</v>
      </c>
      <c r="D82">
        <v>46</v>
      </c>
      <c r="E82" t="s">
        <v>3</v>
      </c>
      <c r="F82" t="s">
        <v>32</v>
      </c>
      <c r="G82" t="s">
        <v>3</v>
      </c>
      <c r="H82">
        <v>15</v>
      </c>
      <c r="I82" t="s">
        <v>3</v>
      </c>
      <c r="J82" t="s">
        <v>361</v>
      </c>
      <c r="K82" t="s">
        <v>3</v>
      </c>
    </row>
    <row r="83" spans="1:12" x14ac:dyDescent="0.15">
      <c r="A83" t="str">
        <f t="shared" si="11"/>
        <v>|Lv58|Lv4|15|「いずれかのプレイヤーが緑ジェムを3つ以上マッチするたび、エネルギー化4を行う。」を持つサポート(シールド数3)を生成する。|</v>
      </c>
      <c r="B83" t="s">
        <v>3</v>
      </c>
      <c r="C83" t="s">
        <v>8</v>
      </c>
      <c r="D83">
        <v>58</v>
      </c>
      <c r="E83" t="s">
        <v>3</v>
      </c>
      <c r="F83" t="s">
        <v>33</v>
      </c>
      <c r="G83" t="s">
        <v>3</v>
      </c>
      <c r="H83">
        <v>15</v>
      </c>
      <c r="I83" t="s">
        <v>3</v>
      </c>
      <c r="J83" t="s">
        <v>362</v>
      </c>
      <c r="K83" t="s">
        <v>3</v>
      </c>
    </row>
    <row r="84" spans="1:12" x14ac:dyDescent="0.15">
      <c r="A84" t="str">
        <f t="shared" si="11"/>
        <v>&amp;br;</v>
      </c>
      <c r="B84" t="s">
        <v>0</v>
      </c>
    </row>
    <row r="85" spans="1:12" x14ac:dyDescent="0.15">
      <c r="A85" t="str">
        <f t="shared" si="11"/>
        <v>&amp;br;</v>
      </c>
      <c r="B85" t="s">
        <v>0</v>
      </c>
    </row>
    <row r="86" spans="1:12" x14ac:dyDescent="0.15">
      <c r="A86" t="str">
        <f t="shared" si="11"/>
        <v>**第3能力：/Aether Inspiration</v>
      </c>
      <c r="B86" t="s">
        <v>35</v>
      </c>
      <c r="E86" t="s">
        <v>25</v>
      </c>
      <c r="F86" t="s">
        <v>363</v>
      </c>
    </row>
    <row r="87" spans="1:12" x14ac:dyDescent="0.15">
      <c r="A87" t="str">
        <f t="shared" ref="A87:A150" si="12">B87&amp;C87&amp;D87&amp;E87&amp;F87&amp;G87&amp;H87&amp;I87&amp;J87&amp;K87&amp;L87&amp;M87&amp;N87&amp;O87&amp;P87</f>
        <v>|LEFT:50|LEFT:50|LEFT:50|LEFT:300|c</v>
      </c>
      <c r="B87" t="s">
        <v>3</v>
      </c>
      <c r="C87" t="s">
        <v>4</v>
      </c>
      <c r="E87" t="s">
        <v>3</v>
      </c>
      <c r="F87" t="s">
        <v>4</v>
      </c>
      <c r="G87" t="s">
        <v>3</v>
      </c>
      <c r="H87" t="s">
        <v>4</v>
      </c>
      <c r="I87" t="s">
        <v>3</v>
      </c>
      <c r="J87" t="s">
        <v>26</v>
      </c>
      <c r="K87" t="s">
        <v>3</v>
      </c>
      <c r="L87" t="s">
        <v>5</v>
      </c>
    </row>
    <row r="88" spans="1:12" x14ac:dyDescent="0.15">
      <c r="A88" t="str">
        <f t="shared" si="12"/>
        <v>|解放Lv|レベル|コスト|効果|</v>
      </c>
      <c r="B88" t="s">
        <v>3</v>
      </c>
      <c r="C88" t="s">
        <v>27</v>
      </c>
      <c r="E88" t="s">
        <v>3</v>
      </c>
      <c r="F88" t="s">
        <v>6</v>
      </c>
      <c r="G88" t="s">
        <v>3</v>
      </c>
      <c r="H88" t="s">
        <v>28</v>
      </c>
      <c r="I88" t="s">
        <v>3</v>
      </c>
      <c r="J88" t="s">
        <v>29</v>
      </c>
      <c r="K88" t="s">
        <v>3</v>
      </c>
    </row>
    <row r="89" spans="1:12" x14ac:dyDescent="0.15">
      <c r="A89" t="str">
        <f t="shared" si="12"/>
        <v>|Lv18|Lv1|24|エネルギー化5を行い、あなたがコントロールするクリーチャーすべてに+X/+Xの修正を与える。Xはボード上にあるエネルギージェムの総数である。|</v>
      </c>
      <c r="B89" t="s">
        <v>3</v>
      </c>
      <c r="C89" t="s">
        <v>8</v>
      </c>
      <c r="D89">
        <v>18</v>
      </c>
      <c r="E89" t="s">
        <v>3</v>
      </c>
      <c r="F89" t="s">
        <v>30</v>
      </c>
      <c r="G89" t="s">
        <v>3</v>
      </c>
      <c r="H89">
        <v>24</v>
      </c>
      <c r="I89" t="s">
        <v>3</v>
      </c>
      <c r="J89" t="s">
        <v>364</v>
      </c>
      <c r="K89" t="s">
        <v>3</v>
      </c>
    </row>
    <row r="90" spans="1:12" x14ac:dyDescent="0.15">
      <c r="A90" t="str">
        <f t="shared" si="12"/>
        <v>|Lv36|Lv2|24|エネルギー化5を行い、あなたがコントロールするクリーチャーすべてに+X/+Xの修正を与える。Xはボード上にあるエネルギージェムの2倍の数である。|</v>
      </c>
      <c r="B90" t="s">
        <v>3</v>
      </c>
      <c r="C90" t="s">
        <v>8</v>
      </c>
      <c r="D90">
        <v>36</v>
      </c>
      <c r="E90" t="s">
        <v>3</v>
      </c>
      <c r="F90" t="s">
        <v>31</v>
      </c>
      <c r="G90" t="s">
        <v>3</v>
      </c>
      <c r="H90">
        <v>24</v>
      </c>
      <c r="I90" t="s">
        <v>3</v>
      </c>
      <c r="J90" t="s">
        <v>365</v>
      </c>
      <c r="K90" t="s">
        <v>3</v>
      </c>
    </row>
    <row r="91" spans="1:12" x14ac:dyDescent="0.15">
      <c r="A91" t="str">
        <f t="shared" si="12"/>
        <v>|Lv52|Lv3|24|エネルギー化5を行い、あなたがコントロールするクリーチャーすべてに+X/+Xの修正を与える。Xはボード上にあるエネルギージェムの3倍の数である。|</v>
      </c>
      <c r="B91" t="s">
        <v>3</v>
      </c>
      <c r="C91" t="s">
        <v>8</v>
      </c>
      <c r="D91">
        <v>52</v>
      </c>
      <c r="E91" t="s">
        <v>3</v>
      </c>
      <c r="F91" t="s">
        <v>32</v>
      </c>
      <c r="G91" t="s">
        <v>3</v>
      </c>
      <c r="H91">
        <v>24</v>
      </c>
      <c r="I91" t="s">
        <v>3</v>
      </c>
      <c r="J91" t="s">
        <v>366</v>
      </c>
      <c r="K91" t="s">
        <v>3</v>
      </c>
    </row>
    <row r="92" spans="1:12" x14ac:dyDescent="0.15">
      <c r="A92" t="str">
        <f t="shared" si="12"/>
        <v>|Lv60|Lv4|24|エネルギー化5を行い、あなたがコントロールするクリーチャーすべてに+X/+Xの修正を与える。Xはボード上にあるエネルギージェムの4倍の数である。|</v>
      </c>
      <c r="B92" t="s">
        <v>3</v>
      </c>
      <c r="C92" t="s">
        <v>8</v>
      </c>
      <c r="D92">
        <v>60</v>
      </c>
      <c r="E92" t="s">
        <v>3</v>
      </c>
      <c r="F92" t="s">
        <v>33</v>
      </c>
      <c r="G92" t="s">
        <v>3</v>
      </c>
      <c r="H92">
        <v>24</v>
      </c>
      <c r="I92" t="s">
        <v>3</v>
      </c>
      <c r="J92" t="s">
        <v>367</v>
      </c>
      <c r="K92" t="s">
        <v>3</v>
      </c>
    </row>
    <row r="93" spans="1:12" x14ac:dyDescent="0.15">
      <c r="A93" t="str">
        <f t="shared" si="12"/>
        <v>&amp;br;</v>
      </c>
      <c r="B93" t="s">
        <v>0</v>
      </c>
    </row>
    <row r="94" spans="1:12" x14ac:dyDescent="0.15">
      <c r="A94" t="str">
        <f t="shared" si="12"/>
        <v>&amp;br;</v>
      </c>
      <c r="B94" t="s">
        <v>0</v>
      </c>
    </row>
    <row r="95" spans="1:12" x14ac:dyDescent="0.15">
      <c r="A95" t="str">
        <f t="shared" si="12"/>
        <v>*レベルアップ報酬一覧 [#k0cef29c]</v>
      </c>
      <c r="B95" t="s">
        <v>36</v>
      </c>
    </row>
    <row r="96" spans="1:12" x14ac:dyDescent="0.15">
      <c r="A96" t="str">
        <f t="shared" si="12"/>
        <v>|LEFT:50|LEFT:100|c</v>
      </c>
      <c r="B96" t="s">
        <v>3</v>
      </c>
      <c r="C96" t="s">
        <v>4</v>
      </c>
      <c r="E96" t="s">
        <v>3</v>
      </c>
      <c r="F96" t="s">
        <v>37</v>
      </c>
      <c r="I96" t="s">
        <v>3</v>
      </c>
      <c r="J96" t="s">
        <v>5</v>
      </c>
    </row>
    <row r="97" spans="1:17" x14ac:dyDescent="0.15">
      <c r="A97" t="str">
        <f t="shared" si="12"/>
        <v>|レベル|報酬|</v>
      </c>
      <c r="B97" t="s">
        <v>3</v>
      </c>
      <c r="C97" t="s">
        <v>6</v>
      </c>
      <c r="E97" t="s">
        <v>3</v>
      </c>
      <c r="F97" t="s">
        <v>38</v>
      </c>
      <c r="I97" t="s">
        <v>3</v>
      </c>
      <c r="Q97" t="s">
        <v>7</v>
      </c>
    </row>
    <row r="98" spans="1:17" x14ac:dyDescent="0.15">
      <c r="A98" t="str">
        <f t="shared" si="12"/>
        <v>|Lｖ2|呪文+1|</v>
      </c>
      <c r="B98" t="s">
        <v>3</v>
      </c>
      <c r="C98" t="s">
        <v>39</v>
      </c>
      <c r="D98">
        <v>2</v>
      </c>
      <c r="E98" t="s">
        <v>3</v>
      </c>
      <c r="F98" t="s">
        <v>21</v>
      </c>
      <c r="G98" t="str">
        <f>IF(OR(F98=$Q$106,F98=$Q$107,F98=$Q$108,F98=$Q$109,ISBLANK(F98)),"","+")</f>
        <v>+</v>
      </c>
      <c r="H98">
        <v>1</v>
      </c>
      <c r="I98" t="s">
        <v>3</v>
      </c>
      <c r="Q98" t="s">
        <v>20</v>
      </c>
    </row>
    <row r="99" spans="1:17" x14ac:dyDescent="0.15">
      <c r="A99" t="str">
        <f t="shared" si="12"/>
        <v>|Lｖ3|HP+3|</v>
      </c>
      <c r="B99" t="s">
        <v>3</v>
      </c>
      <c r="C99" t="s">
        <v>39</v>
      </c>
      <c r="D99">
        <v>3</v>
      </c>
      <c r="E99" t="s">
        <v>3</v>
      </c>
      <c r="F99" t="s">
        <v>7</v>
      </c>
      <c r="G99" t="str">
        <f>IF(OR(F99=$Q$106,F99=$Q$107,F99=$Q$108,F99=$Q$109,ISBLANK(F99)),"","+")</f>
        <v>+</v>
      </c>
      <c r="H99">
        <v>3</v>
      </c>
      <c r="I99" t="s">
        <v>3</v>
      </c>
      <c r="Q99" t="s">
        <v>21</v>
      </c>
    </row>
    <row r="100" spans="1:17" x14ac:dyDescent="0.15">
      <c r="A100" t="str">
        <f t="shared" si="12"/>
        <v>|Lｖ4|緑+1|</v>
      </c>
      <c r="B100" t="s">
        <v>3</v>
      </c>
      <c r="C100" t="s">
        <v>39</v>
      </c>
      <c r="D100">
        <v>4</v>
      </c>
      <c r="E100" t="s">
        <v>3</v>
      </c>
      <c r="F100" t="s">
        <v>15</v>
      </c>
      <c r="G100" t="str">
        <f>IF(OR(F100=$Q$106,F100=$Q$107,F100=$Q$108,F100=$Q$109,ISBLANK(F100)),"","+")</f>
        <v>+</v>
      </c>
      <c r="H100">
        <v>1</v>
      </c>
      <c r="I100" t="s">
        <v>3</v>
      </c>
      <c r="Q100" t="s">
        <v>22</v>
      </c>
    </row>
    <row r="101" spans="1:17" x14ac:dyDescent="0.15">
      <c r="A101" t="str">
        <f t="shared" si="12"/>
        <v>|Lｖ5|HP+3|</v>
      </c>
      <c r="B101" t="s">
        <v>3</v>
      </c>
      <c r="C101" t="s">
        <v>39</v>
      </c>
      <c r="D101">
        <v>5</v>
      </c>
      <c r="E101" t="s">
        <v>3</v>
      </c>
      <c r="F101" t="s">
        <v>7</v>
      </c>
      <c r="G101" t="str">
        <f>IF(OR(F101=$Q$106,F101=$Q$107,F101=$Q$108,F101=$Q$109,ISBLANK(F101)),"","+")</f>
        <v>+</v>
      </c>
      <c r="H101">
        <v>3</v>
      </c>
      <c r="I101" t="s">
        <v>3</v>
      </c>
      <c r="Q101" t="s">
        <v>11</v>
      </c>
    </row>
    <row r="102" spans="1:17" x14ac:dyDescent="0.15">
      <c r="A102" t="str">
        <f t="shared" si="12"/>
        <v>|Lｖ6|第1能力Lv1|</v>
      </c>
      <c r="B102" t="s">
        <v>3</v>
      </c>
      <c r="C102" t="s">
        <v>39</v>
      </c>
      <c r="D102">
        <v>6</v>
      </c>
      <c r="E102" t="s">
        <v>3</v>
      </c>
      <c r="F102" t="s">
        <v>40</v>
      </c>
      <c r="G102" t="str">
        <f t="shared" ref="G102:G131" si="13">IF(OR(F102=$Q$106,F102=$Q$107,F102=$Q$108,F102=$Q$109,ISBLANK(F102)),"","+")</f>
        <v/>
      </c>
      <c r="H102">
        <v>1</v>
      </c>
      <c r="I102" t="s">
        <v>3</v>
      </c>
      <c r="Q102" t="s">
        <v>12</v>
      </c>
    </row>
    <row r="103" spans="1:17" x14ac:dyDescent="0.15">
      <c r="A103" t="str">
        <f t="shared" si="12"/>
        <v>|Lｖ7|HP+3|</v>
      </c>
      <c r="B103" t="s">
        <v>3</v>
      </c>
      <c r="C103" t="s">
        <v>39</v>
      </c>
      <c r="D103">
        <v>7</v>
      </c>
      <c r="E103" t="s">
        <v>3</v>
      </c>
      <c r="F103" t="s">
        <v>7</v>
      </c>
      <c r="G103" t="str">
        <f t="shared" si="13"/>
        <v>+</v>
      </c>
      <c r="H103">
        <v>3</v>
      </c>
      <c r="I103" t="s">
        <v>3</v>
      </c>
      <c r="Q103" t="s">
        <v>13</v>
      </c>
    </row>
    <row r="104" spans="1:17" x14ac:dyDescent="0.15">
      <c r="A104" t="str">
        <f t="shared" si="12"/>
        <v>|Lｖ8|サポート+1|</v>
      </c>
      <c r="B104" t="s">
        <v>3</v>
      </c>
      <c r="C104" t="s">
        <v>39</v>
      </c>
      <c r="D104">
        <v>8</v>
      </c>
      <c r="E104" t="s">
        <v>3</v>
      </c>
      <c r="F104" t="s">
        <v>22</v>
      </c>
      <c r="G104" t="str">
        <f t="shared" si="13"/>
        <v>+</v>
      </c>
      <c r="H104">
        <v>1</v>
      </c>
      <c r="I104" t="s">
        <v>3</v>
      </c>
      <c r="Q104" t="s">
        <v>14</v>
      </c>
    </row>
    <row r="105" spans="1:17" x14ac:dyDescent="0.15">
      <c r="A105" t="str">
        <f t="shared" si="12"/>
        <v>|Lｖ9|HP+3|</v>
      </c>
      <c r="B105" t="s">
        <v>3</v>
      </c>
      <c r="C105" t="s">
        <v>39</v>
      </c>
      <c r="D105">
        <v>9</v>
      </c>
      <c r="E105" t="s">
        <v>3</v>
      </c>
      <c r="F105" t="s">
        <v>7</v>
      </c>
      <c r="G105" t="str">
        <f t="shared" si="13"/>
        <v>+</v>
      </c>
      <c r="H105">
        <v>3</v>
      </c>
      <c r="I105" t="s">
        <v>3</v>
      </c>
      <c r="Q105" t="s">
        <v>15</v>
      </c>
    </row>
    <row r="106" spans="1:17" x14ac:dyDescent="0.15">
      <c r="A106" t="str">
        <f t="shared" si="12"/>
        <v>|Lｖ10|白+1|</v>
      </c>
      <c r="B106" t="s">
        <v>3</v>
      </c>
      <c r="C106" t="s">
        <v>39</v>
      </c>
      <c r="D106">
        <v>10</v>
      </c>
      <c r="E106" t="s">
        <v>3</v>
      </c>
      <c r="F106" t="s">
        <v>11</v>
      </c>
      <c r="G106" t="str">
        <f t="shared" si="13"/>
        <v>+</v>
      </c>
      <c r="H106">
        <v>1</v>
      </c>
      <c r="I106" t="s">
        <v>3</v>
      </c>
      <c r="Q106" t="s">
        <v>40</v>
      </c>
    </row>
    <row r="107" spans="1:17" x14ac:dyDescent="0.15">
      <c r="A107" t="str">
        <f t="shared" si="12"/>
        <v>|Lｖ11|HP+3|</v>
      </c>
      <c r="B107" t="s">
        <v>3</v>
      </c>
      <c r="C107" t="s">
        <v>39</v>
      </c>
      <c r="D107">
        <v>11</v>
      </c>
      <c r="E107" t="s">
        <v>3</v>
      </c>
      <c r="F107" t="s">
        <v>7</v>
      </c>
      <c r="G107" t="str">
        <f t="shared" si="13"/>
        <v>+</v>
      </c>
      <c r="H107">
        <v>3</v>
      </c>
      <c r="I107" t="s">
        <v>3</v>
      </c>
      <c r="Q107" t="s">
        <v>41</v>
      </c>
    </row>
    <row r="108" spans="1:17" x14ac:dyDescent="0.15">
      <c r="A108" t="str">
        <f t="shared" si="12"/>
        <v>|Lｖ12|第2能力Lv1|</v>
      </c>
      <c r="B108" t="s">
        <v>3</v>
      </c>
      <c r="C108" t="s">
        <v>39</v>
      </c>
      <c r="D108">
        <v>12</v>
      </c>
      <c r="E108" t="s">
        <v>3</v>
      </c>
      <c r="F108" t="s">
        <v>41</v>
      </c>
      <c r="G108" t="str">
        <f t="shared" si="13"/>
        <v/>
      </c>
      <c r="H108">
        <v>1</v>
      </c>
      <c r="I108" t="s">
        <v>3</v>
      </c>
      <c r="Q108" t="s">
        <v>42</v>
      </c>
    </row>
    <row r="109" spans="1:17" x14ac:dyDescent="0.15">
      <c r="A109" t="str">
        <f t="shared" si="12"/>
        <v>|Lｖ13|HP+3|</v>
      </c>
      <c r="B109" t="s">
        <v>3</v>
      </c>
      <c r="C109" t="s">
        <v>39</v>
      </c>
      <c r="D109">
        <v>13</v>
      </c>
      <c r="E109" t="s">
        <v>3</v>
      </c>
      <c r="F109" t="s">
        <v>7</v>
      </c>
      <c r="G109" t="str">
        <f t="shared" si="13"/>
        <v>+</v>
      </c>
      <c r="H109">
        <v>3</v>
      </c>
      <c r="I109" t="s">
        <v>3</v>
      </c>
      <c r="Q109" t="s">
        <v>43</v>
      </c>
    </row>
    <row r="110" spans="1:17" x14ac:dyDescent="0.15">
      <c r="A110" t="str">
        <f t="shared" si="12"/>
        <v>|Lｖ14|クリーチャー+1|</v>
      </c>
      <c r="B110" t="s">
        <v>3</v>
      </c>
      <c r="C110" t="s">
        <v>39</v>
      </c>
      <c r="D110">
        <v>14</v>
      </c>
      <c r="E110" t="s">
        <v>3</v>
      </c>
      <c r="F110" t="s">
        <v>20</v>
      </c>
      <c r="G110" t="str">
        <f t="shared" si="13"/>
        <v>+</v>
      </c>
      <c r="H110">
        <v>1</v>
      </c>
      <c r="I110" t="s">
        <v>3</v>
      </c>
    </row>
    <row r="111" spans="1:17" x14ac:dyDescent="0.15">
      <c r="A111" t="str">
        <f t="shared" si="12"/>
        <v>|Lｖ15|HP+3|</v>
      </c>
      <c r="B111" t="s">
        <v>3</v>
      </c>
      <c r="C111" t="s">
        <v>39</v>
      </c>
      <c r="D111">
        <v>15</v>
      </c>
      <c r="E111" t="s">
        <v>3</v>
      </c>
      <c r="F111" t="s">
        <v>7</v>
      </c>
      <c r="G111" t="str">
        <f t="shared" si="13"/>
        <v>+</v>
      </c>
      <c r="H111">
        <v>3</v>
      </c>
      <c r="I111" t="s">
        <v>3</v>
      </c>
    </row>
    <row r="112" spans="1:17" x14ac:dyDescent="0.15">
      <c r="A112" t="str">
        <f t="shared" si="12"/>
        <v>|Lｖ16|赤+1|</v>
      </c>
      <c r="B112" t="s">
        <v>3</v>
      </c>
      <c r="C112" t="s">
        <v>39</v>
      </c>
      <c r="D112">
        <v>16</v>
      </c>
      <c r="E112" t="s">
        <v>3</v>
      </c>
      <c r="F112" t="s">
        <v>14</v>
      </c>
      <c r="G112" t="str">
        <f t="shared" si="13"/>
        <v>+</v>
      </c>
      <c r="H112">
        <v>1</v>
      </c>
      <c r="I112" t="s">
        <v>3</v>
      </c>
    </row>
    <row r="113" spans="1:9" x14ac:dyDescent="0.15">
      <c r="A113" t="str">
        <f t="shared" si="12"/>
        <v>|Lｖ17|HP+3|</v>
      </c>
      <c r="B113" t="s">
        <v>3</v>
      </c>
      <c r="C113" t="s">
        <v>39</v>
      </c>
      <c r="D113">
        <v>17</v>
      </c>
      <c r="E113" t="s">
        <v>3</v>
      </c>
      <c r="F113" t="s">
        <v>7</v>
      </c>
      <c r="G113" t="str">
        <f t="shared" si="13"/>
        <v>+</v>
      </c>
      <c r="H113">
        <v>3</v>
      </c>
      <c r="I113" t="s">
        <v>3</v>
      </c>
    </row>
    <row r="114" spans="1:9" x14ac:dyDescent="0.15">
      <c r="A114" t="str">
        <f t="shared" si="12"/>
        <v>|Lｖ18|第3能力Lv1|</v>
      </c>
      <c r="B114" t="s">
        <v>3</v>
      </c>
      <c r="C114" t="s">
        <v>39</v>
      </c>
      <c r="D114">
        <v>18</v>
      </c>
      <c r="E114" t="s">
        <v>3</v>
      </c>
      <c r="F114" t="s">
        <v>42</v>
      </c>
      <c r="G114" t="str">
        <f t="shared" si="13"/>
        <v/>
      </c>
      <c r="H114">
        <v>1</v>
      </c>
      <c r="I114" t="s">
        <v>3</v>
      </c>
    </row>
    <row r="115" spans="1:9" x14ac:dyDescent="0.15">
      <c r="A115" t="str">
        <f t="shared" si="12"/>
        <v>|Lｖ19|HP+3|</v>
      </c>
      <c r="B115" t="s">
        <v>3</v>
      </c>
      <c r="C115" t="s">
        <v>39</v>
      </c>
      <c r="D115">
        <v>19</v>
      </c>
      <c r="E115" t="s">
        <v>3</v>
      </c>
      <c r="F115" t="s">
        <v>7</v>
      </c>
      <c r="G115" t="str">
        <f t="shared" si="13"/>
        <v>+</v>
      </c>
      <c r="H115">
        <v>3</v>
      </c>
      <c r="I115" t="s">
        <v>3</v>
      </c>
    </row>
    <row r="116" spans="1:9" x14ac:dyDescent="0.15">
      <c r="A116" t="str">
        <f t="shared" si="12"/>
        <v>|Lｖ20|回復速度上昇|</v>
      </c>
      <c r="B116" t="s">
        <v>3</v>
      </c>
      <c r="C116" t="s">
        <v>39</v>
      </c>
      <c r="D116">
        <v>20</v>
      </c>
      <c r="E116" t="s">
        <v>3</v>
      </c>
      <c r="F116" t="s">
        <v>43</v>
      </c>
      <c r="G116" t="str">
        <f t="shared" si="13"/>
        <v/>
      </c>
      <c r="I116" t="s">
        <v>3</v>
      </c>
    </row>
    <row r="117" spans="1:9" x14ac:dyDescent="0.15">
      <c r="A117" t="str">
        <f t="shared" si="12"/>
        <v>|Lｖ21|HP+3|</v>
      </c>
      <c r="B117" t="s">
        <v>3</v>
      </c>
      <c r="C117" t="s">
        <v>39</v>
      </c>
      <c r="D117">
        <v>21</v>
      </c>
      <c r="E117" t="s">
        <v>3</v>
      </c>
      <c r="F117" t="s">
        <v>7</v>
      </c>
      <c r="G117" t="str">
        <f t="shared" si="13"/>
        <v>+</v>
      </c>
      <c r="H117">
        <v>3</v>
      </c>
      <c r="I117" t="s">
        <v>3</v>
      </c>
    </row>
    <row r="118" spans="1:9" x14ac:dyDescent="0.15">
      <c r="A118" t="str">
        <f t="shared" si="12"/>
        <v>|Lｖ22|黒+1|</v>
      </c>
      <c r="B118" t="s">
        <v>3</v>
      </c>
      <c r="C118" t="s">
        <v>39</v>
      </c>
      <c r="D118">
        <v>22</v>
      </c>
      <c r="E118" t="s">
        <v>3</v>
      </c>
      <c r="F118" t="s">
        <v>13</v>
      </c>
      <c r="G118" t="str">
        <f t="shared" si="13"/>
        <v>+</v>
      </c>
      <c r="H118">
        <v>1</v>
      </c>
      <c r="I118" t="s">
        <v>3</v>
      </c>
    </row>
    <row r="119" spans="1:9" x14ac:dyDescent="0.15">
      <c r="A119" t="str">
        <f t="shared" si="12"/>
        <v>|Lｖ23|HP+3|</v>
      </c>
      <c r="B119" t="s">
        <v>3</v>
      </c>
      <c r="C119" t="s">
        <v>39</v>
      </c>
      <c r="D119">
        <v>23</v>
      </c>
      <c r="E119" t="s">
        <v>3</v>
      </c>
      <c r="F119" t="s">
        <v>7</v>
      </c>
      <c r="G119" t="str">
        <f t="shared" si="13"/>
        <v>+</v>
      </c>
      <c r="H119">
        <v>3</v>
      </c>
      <c r="I119" t="s">
        <v>3</v>
      </c>
    </row>
    <row r="120" spans="1:9" x14ac:dyDescent="0.15">
      <c r="A120" t="str">
        <f t="shared" si="12"/>
        <v>|Lｖ24|第1能力Lv2|</v>
      </c>
      <c r="B120" t="s">
        <v>3</v>
      </c>
      <c r="C120" t="s">
        <v>39</v>
      </c>
      <c r="D120">
        <v>24</v>
      </c>
      <c r="E120" t="s">
        <v>3</v>
      </c>
      <c r="F120" t="s">
        <v>40</v>
      </c>
      <c r="G120" t="str">
        <f t="shared" si="13"/>
        <v/>
      </c>
      <c r="H120">
        <v>2</v>
      </c>
      <c r="I120" t="s">
        <v>3</v>
      </c>
    </row>
    <row r="121" spans="1:9" x14ac:dyDescent="0.15">
      <c r="A121" t="str">
        <f t="shared" si="12"/>
        <v>|Lｖ25|HP+3|</v>
      </c>
      <c r="B121" t="s">
        <v>3</v>
      </c>
      <c r="C121" t="s">
        <v>39</v>
      </c>
      <c r="D121">
        <v>25</v>
      </c>
      <c r="E121" t="s">
        <v>3</v>
      </c>
      <c r="F121" t="s">
        <v>7</v>
      </c>
      <c r="G121" t="str">
        <f t="shared" si="13"/>
        <v>+</v>
      </c>
      <c r="H121">
        <v>3</v>
      </c>
      <c r="I121" t="s">
        <v>3</v>
      </c>
    </row>
    <row r="122" spans="1:9" x14ac:dyDescent="0.15">
      <c r="A122" t="str">
        <f t="shared" si="12"/>
        <v>|Lｖ26|回復速度上昇|</v>
      </c>
      <c r="B122" t="s">
        <v>3</v>
      </c>
      <c r="C122" t="s">
        <v>39</v>
      </c>
      <c r="D122">
        <v>26</v>
      </c>
      <c r="E122" t="s">
        <v>3</v>
      </c>
      <c r="F122" t="s">
        <v>43</v>
      </c>
      <c r="G122" t="str">
        <f t="shared" si="13"/>
        <v/>
      </c>
      <c r="I122" t="s">
        <v>3</v>
      </c>
    </row>
    <row r="123" spans="1:9" x14ac:dyDescent="0.15">
      <c r="A123" t="str">
        <f t="shared" si="12"/>
        <v>|Lｖ27|HP+3|</v>
      </c>
      <c r="B123" t="s">
        <v>3</v>
      </c>
      <c r="C123" t="s">
        <v>39</v>
      </c>
      <c r="D123">
        <v>27</v>
      </c>
      <c r="E123" t="s">
        <v>3</v>
      </c>
      <c r="F123" t="s">
        <v>7</v>
      </c>
      <c r="G123" t="str">
        <f t="shared" si="13"/>
        <v>+</v>
      </c>
      <c r="H123">
        <v>3</v>
      </c>
      <c r="I123" t="s">
        <v>3</v>
      </c>
    </row>
    <row r="124" spans="1:9" x14ac:dyDescent="0.15">
      <c r="A124" t="str">
        <f t="shared" si="12"/>
        <v>|Lｖ28|青+1|</v>
      </c>
      <c r="B124" t="s">
        <v>3</v>
      </c>
      <c r="C124" t="s">
        <v>39</v>
      </c>
      <c r="D124">
        <v>28</v>
      </c>
      <c r="E124" t="s">
        <v>3</v>
      </c>
      <c r="F124" t="s">
        <v>12</v>
      </c>
      <c r="G124" t="str">
        <f t="shared" si="13"/>
        <v>+</v>
      </c>
      <c r="H124">
        <v>1</v>
      </c>
      <c r="I124" t="s">
        <v>3</v>
      </c>
    </row>
    <row r="125" spans="1:9" x14ac:dyDescent="0.15">
      <c r="A125" t="str">
        <f t="shared" si="12"/>
        <v>|Lｖ29|HP+3|</v>
      </c>
      <c r="B125" t="s">
        <v>3</v>
      </c>
      <c r="C125" t="s">
        <v>39</v>
      </c>
      <c r="D125">
        <v>29</v>
      </c>
      <c r="E125" t="s">
        <v>3</v>
      </c>
      <c r="F125" t="s">
        <v>7</v>
      </c>
      <c r="G125" t="str">
        <f t="shared" si="13"/>
        <v>+</v>
      </c>
      <c r="H125">
        <v>3</v>
      </c>
      <c r="I125" t="s">
        <v>3</v>
      </c>
    </row>
    <row r="126" spans="1:9" x14ac:dyDescent="0.15">
      <c r="A126" t="str">
        <f t="shared" si="12"/>
        <v>|Lｖ30|第2能力Lv2|</v>
      </c>
      <c r="B126" t="s">
        <v>3</v>
      </c>
      <c r="C126" t="s">
        <v>39</v>
      </c>
      <c r="D126">
        <v>30</v>
      </c>
      <c r="E126" t="s">
        <v>3</v>
      </c>
      <c r="F126" t="s">
        <v>41</v>
      </c>
      <c r="G126" t="str">
        <f t="shared" si="13"/>
        <v/>
      </c>
      <c r="H126">
        <v>2</v>
      </c>
      <c r="I126" t="s">
        <v>3</v>
      </c>
    </row>
    <row r="127" spans="1:9" x14ac:dyDescent="0.15">
      <c r="A127" t="str">
        <f t="shared" si="12"/>
        <v>|Lｖ31|HP+3|</v>
      </c>
      <c r="B127" t="s">
        <v>3</v>
      </c>
      <c r="C127" t="s">
        <v>39</v>
      </c>
      <c r="D127">
        <v>31</v>
      </c>
      <c r="E127" t="s">
        <v>3</v>
      </c>
      <c r="F127" t="s">
        <v>7</v>
      </c>
      <c r="G127" t="str">
        <f t="shared" si="13"/>
        <v>+</v>
      </c>
      <c r="H127">
        <v>3</v>
      </c>
      <c r="I127" t="s">
        <v>3</v>
      </c>
    </row>
    <row r="128" spans="1:9" x14ac:dyDescent="0.15">
      <c r="A128" t="str">
        <f t="shared" si="12"/>
        <v>|Lｖ32|呪文+1|</v>
      </c>
      <c r="B128" t="s">
        <v>3</v>
      </c>
      <c r="C128" t="s">
        <v>39</v>
      </c>
      <c r="D128">
        <v>32</v>
      </c>
      <c r="E128" t="s">
        <v>3</v>
      </c>
      <c r="F128" t="s">
        <v>21</v>
      </c>
      <c r="G128" t="str">
        <f t="shared" si="13"/>
        <v>+</v>
      </c>
      <c r="H128">
        <v>1</v>
      </c>
      <c r="I128" t="s">
        <v>3</v>
      </c>
    </row>
    <row r="129" spans="1:9" x14ac:dyDescent="0.15">
      <c r="A129" t="str">
        <f t="shared" si="12"/>
        <v>|Lｖ33|HP+3|</v>
      </c>
      <c r="B129" t="s">
        <v>3</v>
      </c>
      <c r="C129" t="s">
        <v>39</v>
      </c>
      <c r="D129">
        <v>33</v>
      </c>
      <c r="E129" t="s">
        <v>3</v>
      </c>
      <c r="F129" t="s">
        <v>7</v>
      </c>
      <c r="G129" t="str">
        <f t="shared" si="13"/>
        <v>+</v>
      </c>
      <c r="H129">
        <v>3</v>
      </c>
      <c r="I129" t="s">
        <v>3</v>
      </c>
    </row>
    <row r="130" spans="1:9" x14ac:dyDescent="0.15">
      <c r="A130" t="str">
        <f t="shared" si="12"/>
        <v>|Lｖ34|緑+1|</v>
      </c>
      <c r="B130" t="s">
        <v>3</v>
      </c>
      <c r="C130" t="s">
        <v>39</v>
      </c>
      <c r="D130">
        <v>34</v>
      </c>
      <c r="E130" t="s">
        <v>3</v>
      </c>
      <c r="F130" t="s">
        <v>15</v>
      </c>
      <c r="G130" t="str">
        <f t="shared" si="13"/>
        <v>+</v>
      </c>
      <c r="H130">
        <v>1</v>
      </c>
      <c r="I130" t="s">
        <v>3</v>
      </c>
    </row>
    <row r="131" spans="1:9" x14ac:dyDescent="0.15">
      <c r="A131" t="str">
        <f t="shared" si="12"/>
        <v>|Lｖ35|HP+3|</v>
      </c>
      <c r="B131" t="s">
        <v>3</v>
      </c>
      <c r="C131" t="s">
        <v>39</v>
      </c>
      <c r="D131">
        <v>35</v>
      </c>
      <c r="E131" t="s">
        <v>3</v>
      </c>
      <c r="F131" t="s">
        <v>7</v>
      </c>
      <c r="G131" t="str">
        <f t="shared" si="13"/>
        <v>+</v>
      </c>
      <c r="H131">
        <v>3</v>
      </c>
      <c r="I131" t="s">
        <v>3</v>
      </c>
    </row>
    <row r="132" spans="1:9" x14ac:dyDescent="0.15">
      <c r="A132" t="str">
        <f t="shared" si="12"/>
        <v>|Lｖ36|第3能力Lv2|</v>
      </c>
      <c r="B132" t="s">
        <v>3</v>
      </c>
      <c r="C132" t="s">
        <v>39</v>
      </c>
      <c r="D132">
        <v>36</v>
      </c>
      <c r="E132" t="s">
        <v>3</v>
      </c>
      <c r="F132" t="s">
        <v>42</v>
      </c>
      <c r="G132" t="s">
        <v>44</v>
      </c>
      <c r="H132">
        <v>2</v>
      </c>
      <c r="I132" t="s">
        <v>3</v>
      </c>
    </row>
    <row r="133" spans="1:9" x14ac:dyDescent="0.15">
      <c r="A133" t="str">
        <f t="shared" si="12"/>
        <v>|Lｖ37|HP+3|</v>
      </c>
      <c r="B133" t="s">
        <v>3</v>
      </c>
      <c r="C133" t="s">
        <v>39</v>
      </c>
      <c r="D133">
        <v>37</v>
      </c>
      <c r="E133" t="s">
        <v>3</v>
      </c>
      <c r="F133" t="s">
        <v>7</v>
      </c>
      <c r="G133" t="str">
        <f>IF(OR(F133=$Q$106,F133=$Q$107,F133=$Q$108,F133=$Q$109,ISBLANK(F133)),"","+")</f>
        <v>+</v>
      </c>
      <c r="H133">
        <v>3</v>
      </c>
      <c r="I133" t="s">
        <v>3</v>
      </c>
    </row>
    <row r="134" spans="1:9" x14ac:dyDescent="0.15">
      <c r="A134" t="str">
        <f t="shared" si="12"/>
        <v>|Lｖ38|サポート+1|</v>
      </c>
      <c r="B134" t="s">
        <v>3</v>
      </c>
      <c r="C134" t="s">
        <v>39</v>
      </c>
      <c r="D134">
        <v>38</v>
      </c>
      <c r="E134" t="s">
        <v>3</v>
      </c>
      <c r="F134" t="s">
        <v>22</v>
      </c>
      <c r="G134" t="str">
        <f>IF(OR(F134=$Q$106,F134=$Q$107,F134=$Q$108,F134=$Q$109,ISBLANK(F134)),"","+")</f>
        <v>+</v>
      </c>
      <c r="H134">
        <v>1</v>
      </c>
      <c r="I134" t="s">
        <v>3</v>
      </c>
    </row>
    <row r="135" spans="1:9" x14ac:dyDescent="0.15">
      <c r="A135" t="str">
        <f t="shared" si="12"/>
        <v>|Lｖ39|HP+3|</v>
      </c>
      <c r="B135" t="s">
        <v>3</v>
      </c>
      <c r="C135" t="s">
        <v>39</v>
      </c>
      <c r="D135">
        <v>39</v>
      </c>
      <c r="E135" t="s">
        <v>3</v>
      </c>
      <c r="F135" t="s">
        <v>7</v>
      </c>
      <c r="G135" t="str">
        <f>IF(OR(F135=$Q$106,F135=$Q$107,F135=$Q$108,F135=$Q$109,ISBLANK(F135)),"","+")</f>
        <v>+</v>
      </c>
      <c r="H135">
        <v>3</v>
      </c>
      <c r="I135" t="s">
        <v>3</v>
      </c>
    </row>
    <row r="136" spans="1:9" x14ac:dyDescent="0.15">
      <c r="A136" t="str">
        <f t="shared" si="12"/>
        <v>|Lｖ40|第1能力Lv3|</v>
      </c>
      <c r="B136" t="s">
        <v>3</v>
      </c>
      <c r="C136" t="s">
        <v>39</v>
      </c>
      <c r="D136">
        <v>40</v>
      </c>
      <c r="E136" t="s">
        <v>3</v>
      </c>
      <c r="F136" t="s">
        <v>40</v>
      </c>
      <c r="G136" t="s">
        <v>44</v>
      </c>
      <c r="H136">
        <v>3</v>
      </c>
      <c r="I136" t="s">
        <v>3</v>
      </c>
    </row>
    <row r="137" spans="1:9" x14ac:dyDescent="0.15">
      <c r="A137" t="str">
        <f t="shared" si="12"/>
        <v>|Lｖ41|HP+3|</v>
      </c>
      <c r="B137" t="s">
        <v>3</v>
      </c>
      <c r="C137" t="s">
        <v>39</v>
      </c>
      <c r="D137">
        <v>41</v>
      </c>
      <c r="E137" t="s">
        <v>3</v>
      </c>
      <c r="F137" t="s">
        <v>7</v>
      </c>
      <c r="G137" t="str">
        <f>IF(OR(F137=$Q$106,F137=$Q$107,F137=$Q$108,F137=$Q$109,ISBLANK(F137)),"","+")</f>
        <v>+</v>
      </c>
      <c r="H137">
        <v>3</v>
      </c>
      <c r="I137" t="s">
        <v>3</v>
      </c>
    </row>
    <row r="138" spans="1:9" x14ac:dyDescent="0.15">
      <c r="A138" t="str">
        <f t="shared" si="12"/>
        <v>|Lｖ42|白+1|</v>
      </c>
      <c r="B138" t="s">
        <v>3</v>
      </c>
      <c r="C138" t="s">
        <v>39</v>
      </c>
      <c r="D138">
        <v>42</v>
      </c>
      <c r="E138" t="s">
        <v>3</v>
      </c>
      <c r="F138" t="s">
        <v>11</v>
      </c>
      <c r="G138" t="str">
        <f>IF(OR(F138=$Q$106,F138=$Q$107,F138=$Q$108,F138=$Q$109,ISBLANK(F138)),"","+")</f>
        <v>+</v>
      </c>
      <c r="H138">
        <v>1</v>
      </c>
      <c r="I138" t="s">
        <v>3</v>
      </c>
    </row>
    <row r="139" spans="1:9" x14ac:dyDescent="0.15">
      <c r="A139" t="str">
        <f t="shared" si="12"/>
        <v>|Lｖ43|HP+3|</v>
      </c>
      <c r="B139" t="s">
        <v>3</v>
      </c>
      <c r="C139" t="s">
        <v>39</v>
      </c>
      <c r="D139">
        <v>43</v>
      </c>
      <c r="E139" t="s">
        <v>3</v>
      </c>
      <c r="F139" t="s">
        <v>7</v>
      </c>
      <c r="G139" t="str">
        <f>IF(OR(F139=$Q$106,F139=$Q$107,F139=$Q$108,F139=$Q$109,ISBLANK(F139)),"","+")</f>
        <v>+</v>
      </c>
      <c r="H139">
        <v>3</v>
      </c>
      <c r="I139" t="s">
        <v>3</v>
      </c>
    </row>
    <row r="140" spans="1:9" x14ac:dyDescent="0.15">
      <c r="A140" t="str">
        <f t="shared" si="12"/>
        <v>|Lｖ44|回復速度上昇|</v>
      </c>
      <c r="B140" t="s">
        <v>3</v>
      </c>
      <c r="C140" t="s">
        <v>39</v>
      </c>
      <c r="D140">
        <v>44</v>
      </c>
      <c r="E140" t="s">
        <v>3</v>
      </c>
      <c r="F140" t="s">
        <v>43</v>
      </c>
      <c r="G140" t="str">
        <f>IF(OR(F140=$Q$106,F140=$Q$107,F140=$Q$108,F140=$Q$109,ISBLANK(F140)),"","+")</f>
        <v/>
      </c>
      <c r="I140" t="s">
        <v>3</v>
      </c>
    </row>
    <row r="141" spans="1:9" x14ac:dyDescent="0.15">
      <c r="A141" t="str">
        <f t="shared" si="12"/>
        <v>|Lｖ45|HP+3|</v>
      </c>
      <c r="B141" t="s">
        <v>3</v>
      </c>
      <c r="C141" t="s">
        <v>39</v>
      </c>
      <c r="D141">
        <v>45</v>
      </c>
      <c r="E141" t="s">
        <v>3</v>
      </c>
      <c r="F141" t="s">
        <v>7</v>
      </c>
      <c r="G141" t="str">
        <f>IF(OR(F141=$Q$106,F141=$Q$107,F141=$Q$108,F141=$Q$109,ISBLANK(F141)),"","+")</f>
        <v>+</v>
      </c>
      <c r="H141">
        <v>3</v>
      </c>
      <c r="I141" t="s">
        <v>3</v>
      </c>
    </row>
    <row r="142" spans="1:9" x14ac:dyDescent="0.15">
      <c r="A142" t="str">
        <f t="shared" si="12"/>
        <v>|Lｖ46|第2能力Lv3|</v>
      </c>
      <c r="B142" t="s">
        <v>3</v>
      </c>
      <c r="C142" t="s">
        <v>39</v>
      </c>
      <c r="D142">
        <v>46</v>
      </c>
      <c r="E142" t="s">
        <v>3</v>
      </c>
      <c r="F142" t="s">
        <v>41</v>
      </c>
      <c r="G142" t="s">
        <v>44</v>
      </c>
      <c r="H142">
        <v>3</v>
      </c>
      <c r="I142" t="s">
        <v>3</v>
      </c>
    </row>
    <row r="143" spans="1:9" x14ac:dyDescent="0.15">
      <c r="A143" t="str">
        <f t="shared" si="12"/>
        <v>|Lｖ47|HP+3|</v>
      </c>
      <c r="B143" t="s">
        <v>3</v>
      </c>
      <c r="C143" t="s">
        <v>39</v>
      </c>
      <c r="D143">
        <v>47</v>
      </c>
      <c r="E143" t="s">
        <v>3</v>
      </c>
      <c r="F143" t="s">
        <v>7</v>
      </c>
      <c r="G143" t="str">
        <f>IF(OR(F143=$Q$106,F143=$Q$107,F143=$Q$108,F143=$Q$109,ISBLANK(F143)),"","+")</f>
        <v>+</v>
      </c>
      <c r="H143">
        <v>3</v>
      </c>
      <c r="I143" t="s">
        <v>3</v>
      </c>
    </row>
    <row r="144" spans="1:9" x14ac:dyDescent="0.15">
      <c r="A144" t="str">
        <f t="shared" si="12"/>
        <v>|Lｖ48|赤+1|</v>
      </c>
      <c r="B144" t="s">
        <v>3</v>
      </c>
      <c r="C144" t="s">
        <v>39</v>
      </c>
      <c r="D144">
        <v>48</v>
      </c>
      <c r="E144" t="s">
        <v>3</v>
      </c>
      <c r="F144" t="s">
        <v>14</v>
      </c>
      <c r="G144" t="str">
        <f>IF(OR(F144=$Q$106,F144=$Q$107,F144=$Q$108,F144=$Q$109,ISBLANK(F144)),"","+")</f>
        <v>+</v>
      </c>
      <c r="H144">
        <v>1</v>
      </c>
      <c r="I144" t="s">
        <v>3</v>
      </c>
    </row>
    <row r="145" spans="1:9" x14ac:dyDescent="0.15">
      <c r="A145" t="str">
        <f t="shared" si="12"/>
        <v>|Lｖ49|HP+3|</v>
      </c>
      <c r="B145" t="s">
        <v>3</v>
      </c>
      <c r="C145" t="s">
        <v>39</v>
      </c>
      <c r="D145">
        <v>49</v>
      </c>
      <c r="E145" t="s">
        <v>3</v>
      </c>
      <c r="F145" t="s">
        <v>7</v>
      </c>
      <c r="G145" t="str">
        <f>IF(OR(F145=$Q$106,F145=$Q$107,F145=$Q$108,F145=$Q$109,ISBLANK(F145)),"","+")</f>
        <v>+</v>
      </c>
      <c r="H145">
        <v>3</v>
      </c>
      <c r="I145" t="s">
        <v>3</v>
      </c>
    </row>
    <row r="146" spans="1:9" x14ac:dyDescent="0.15">
      <c r="A146" t="str">
        <f t="shared" si="12"/>
        <v>|Lｖ50|クリーチャー+1|</v>
      </c>
      <c r="B146" t="s">
        <v>3</v>
      </c>
      <c r="C146" t="s">
        <v>39</v>
      </c>
      <c r="D146">
        <v>50</v>
      </c>
      <c r="E146" t="s">
        <v>3</v>
      </c>
      <c r="F146" t="s">
        <v>20</v>
      </c>
      <c r="G146" t="str">
        <f>IF(OR(F146=$Q$106,F146=$Q$107,F146=$Q$108,F146=$Q$109,ISBLANK(F146)),"","+")</f>
        <v>+</v>
      </c>
      <c r="H146">
        <v>1</v>
      </c>
      <c r="I146" t="s">
        <v>3</v>
      </c>
    </row>
    <row r="147" spans="1:9" x14ac:dyDescent="0.15">
      <c r="A147" t="str">
        <f t="shared" si="12"/>
        <v>|Lｖ51|HP+3|</v>
      </c>
      <c r="B147" t="s">
        <v>3</v>
      </c>
      <c r="C147" t="s">
        <v>39</v>
      </c>
      <c r="D147">
        <v>51</v>
      </c>
      <c r="E147" t="s">
        <v>3</v>
      </c>
      <c r="F147" t="s">
        <v>7</v>
      </c>
      <c r="G147" t="str">
        <f>IF(OR(F147=$Q$106,F147=$Q$107,F147=$Q$108,F147=$Q$109,ISBLANK(F147)),"","+")</f>
        <v>+</v>
      </c>
      <c r="H147">
        <v>3</v>
      </c>
      <c r="I147" t="s">
        <v>3</v>
      </c>
    </row>
    <row r="148" spans="1:9" x14ac:dyDescent="0.15">
      <c r="A148" t="str">
        <f t="shared" si="12"/>
        <v>|Lｖ52|第3能力Lv3|</v>
      </c>
      <c r="B148" t="s">
        <v>3</v>
      </c>
      <c r="C148" t="s">
        <v>39</v>
      </c>
      <c r="D148">
        <v>52</v>
      </c>
      <c r="E148" t="s">
        <v>3</v>
      </c>
      <c r="F148" t="s">
        <v>42</v>
      </c>
      <c r="G148" t="s">
        <v>44</v>
      </c>
      <c r="H148">
        <v>3</v>
      </c>
      <c r="I148" t="s">
        <v>3</v>
      </c>
    </row>
    <row r="149" spans="1:9" x14ac:dyDescent="0.15">
      <c r="A149" t="str">
        <f t="shared" si="12"/>
        <v>|Lｖ53|HP+3|</v>
      </c>
      <c r="B149" t="s">
        <v>3</v>
      </c>
      <c r="C149" t="s">
        <v>39</v>
      </c>
      <c r="D149">
        <v>53</v>
      </c>
      <c r="E149" t="s">
        <v>3</v>
      </c>
      <c r="F149" t="s">
        <v>7</v>
      </c>
      <c r="G149" t="str">
        <f>IF(OR(F149=$Q$106,F149=$Q$107,F149=$Q$108,F149=$Q$109,ISBLANK(F149)),"","+")</f>
        <v>+</v>
      </c>
      <c r="H149">
        <v>3</v>
      </c>
      <c r="I149" t="s">
        <v>3</v>
      </c>
    </row>
    <row r="150" spans="1:9" x14ac:dyDescent="0.15">
      <c r="A150" t="str">
        <f t="shared" si="12"/>
        <v>|Lｖ54|黒+1|</v>
      </c>
      <c r="B150" t="s">
        <v>3</v>
      </c>
      <c r="C150" t="s">
        <v>39</v>
      </c>
      <c r="D150">
        <v>54</v>
      </c>
      <c r="E150" t="s">
        <v>3</v>
      </c>
      <c r="F150" t="s">
        <v>13</v>
      </c>
      <c r="G150" t="str">
        <f>IF(OR(F150=$Q$106,F150=$Q$107,F150=$Q$108,F150=$Q$109,ISBLANK(F150)),"","+")</f>
        <v>+</v>
      </c>
      <c r="H150">
        <v>1</v>
      </c>
      <c r="I150" t="s">
        <v>3</v>
      </c>
    </row>
    <row r="151" spans="1:9" x14ac:dyDescent="0.15">
      <c r="A151" t="str">
        <f t="shared" ref="A151:A162" si="14">B151&amp;C151&amp;D151&amp;E151&amp;F151&amp;G151&amp;H151&amp;I151&amp;J151&amp;K151&amp;L151&amp;M151&amp;N151&amp;O151&amp;P151</f>
        <v>|Lｖ55|HP+3|</v>
      </c>
      <c r="B151" t="s">
        <v>3</v>
      </c>
      <c r="C151" t="s">
        <v>39</v>
      </c>
      <c r="D151">
        <v>55</v>
      </c>
      <c r="E151" t="s">
        <v>3</v>
      </c>
      <c r="F151" t="s">
        <v>7</v>
      </c>
      <c r="G151" t="str">
        <f>IF(OR(F151=$Q$106,F151=$Q$107,F151=$Q$108,F151=$Q$109,ISBLANK(F151)),"","+")</f>
        <v>+</v>
      </c>
      <c r="H151">
        <v>3</v>
      </c>
      <c r="I151" t="s">
        <v>3</v>
      </c>
    </row>
    <row r="152" spans="1:9" x14ac:dyDescent="0.15">
      <c r="A152" t="str">
        <f t="shared" si="14"/>
        <v>|Lｖ56|第1能力Lv4|</v>
      </c>
      <c r="B152" t="s">
        <v>3</v>
      </c>
      <c r="C152" t="s">
        <v>39</v>
      </c>
      <c r="D152">
        <v>56</v>
      </c>
      <c r="E152" t="s">
        <v>3</v>
      </c>
      <c r="F152" t="s">
        <v>40</v>
      </c>
      <c r="G152" t="s">
        <v>44</v>
      </c>
      <c r="H152">
        <v>4</v>
      </c>
      <c r="I152" t="s">
        <v>3</v>
      </c>
    </row>
    <row r="153" spans="1:9" x14ac:dyDescent="0.15">
      <c r="A153" t="str">
        <f t="shared" si="14"/>
        <v>|Lｖ57|HP+3|</v>
      </c>
      <c r="B153" t="s">
        <v>3</v>
      </c>
      <c r="C153" t="s">
        <v>39</v>
      </c>
      <c r="D153">
        <v>57</v>
      </c>
      <c r="E153" t="s">
        <v>3</v>
      </c>
      <c r="F153" t="s">
        <v>7</v>
      </c>
      <c r="G153" t="s">
        <v>368</v>
      </c>
      <c r="H153">
        <v>3</v>
      </c>
      <c r="I153" t="s">
        <v>3</v>
      </c>
    </row>
    <row r="154" spans="1:9" x14ac:dyDescent="0.15">
      <c r="A154" t="str">
        <f t="shared" si="14"/>
        <v>|Lｖ58|第2能力Lv4|</v>
      </c>
      <c r="B154" t="s">
        <v>3</v>
      </c>
      <c r="C154" t="s">
        <v>39</v>
      </c>
      <c r="D154">
        <v>58</v>
      </c>
      <c r="E154" t="s">
        <v>3</v>
      </c>
      <c r="F154" t="s">
        <v>41</v>
      </c>
      <c r="G154" t="s">
        <v>44</v>
      </c>
      <c r="H154">
        <v>4</v>
      </c>
      <c r="I154" t="s">
        <v>3</v>
      </c>
    </row>
    <row r="155" spans="1:9" x14ac:dyDescent="0.15">
      <c r="A155" t="str">
        <f t="shared" si="14"/>
        <v>|Lｖ59|青+1|</v>
      </c>
      <c r="B155" t="s">
        <v>3</v>
      </c>
      <c r="C155" t="s">
        <v>39</v>
      </c>
      <c r="D155">
        <v>59</v>
      </c>
      <c r="E155" t="s">
        <v>3</v>
      </c>
      <c r="F155" t="s">
        <v>12</v>
      </c>
      <c r="G155" t="str">
        <f>IF(OR(F155=$Q$106,F155=$Q$107,F155=$Q$108,F155=$Q$109,ISBLANK(F155)),"","+")</f>
        <v>+</v>
      </c>
      <c r="H155">
        <v>1</v>
      </c>
      <c r="I155" t="s">
        <v>3</v>
      </c>
    </row>
    <row r="156" spans="1:9" x14ac:dyDescent="0.15">
      <c r="A156" t="str">
        <f t="shared" si="14"/>
        <v>|Lｖ60|第3能力Lv4|</v>
      </c>
      <c r="B156" t="s">
        <v>3</v>
      </c>
      <c r="C156" t="s">
        <v>39</v>
      </c>
      <c r="D156">
        <v>60</v>
      </c>
      <c r="E156" t="s">
        <v>3</v>
      </c>
      <c r="F156" t="s">
        <v>42</v>
      </c>
      <c r="G156" t="s">
        <v>44</v>
      </c>
      <c r="H156">
        <v>4</v>
      </c>
      <c r="I156" t="s">
        <v>3</v>
      </c>
    </row>
    <row r="157" spans="1:9" x14ac:dyDescent="0.15">
      <c r="A157" t="str">
        <f t="shared" si="14"/>
        <v>必要総経験値：79920ルーン</v>
      </c>
      <c r="B157" t="s">
        <v>45</v>
      </c>
      <c r="C157">
        <v>79920</v>
      </c>
      <c r="F157" t="s">
        <v>46</v>
      </c>
    </row>
    <row r="158" spans="1:9" x14ac:dyDescent="0.15">
      <c r="A158" t="str">
        <f t="shared" si="14"/>
        <v>&amp;br;</v>
      </c>
      <c r="B158" t="s">
        <v>0</v>
      </c>
    </row>
    <row r="159" spans="1:9" x14ac:dyDescent="0.15">
      <c r="A159" t="str">
        <f t="shared" si="14"/>
        <v>#back(text=戻る,left)</v>
      </c>
      <c r="B159" t="s">
        <v>47</v>
      </c>
    </row>
    <row r="160" spans="1:9" x14ac:dyDescent="0.15">
      <c r="A160" t="str">
        <f t="shared" si="14"/>
        <v>&amp;br;</v>
      </c>
      <c r="B160" t="s">
        <v>0</v>
      </c>
    </row>
    <row r="161" spans="1:2" x14ac:dyDescent="0.15">
      <c r="A161" t="str">
        <f t="shared" si="14"/>
        <v>#comment(above,nsize=[15],size=[30],num=[10])</v>
      </c>
      <c r="B161" t="s">
        <v>48</v>
      </c>
    </row>
    <row r="162" spans="1:2" x14ac:dyDescent="0.15">
      <c r="A162" t="str">
        <f t="shared" si="14"/>
        <v>[[プレインズウォーカーリスト&gt;プレインズウォーカーリスト]]</v>
      </c>
      <c r="B162" t="s">
        <v>49</v>
      </c>
    </row>
  </sheetData>
  <autoFilter ref="C97:I162"/>
  <phoneticPr fontId="4"/>
  <dataValidations count="2">
    <dataValidation type="list" allowBlank="1" showInputMessage="1" showErrorMessage="1" sqref="F157">
      <formula1>$Q$87:$Q$99</formula1>
    </dataValidation>
    <dataValidation type="list" allowBlank="1" showInputMessage="1" showErrorMessage="1" sqref="F98:F156">
      <formula1>$Q$97:$Q$109</formula1>
    </dataValidation>
  </dataValidations>
  <pageMargins left="0.69930555555555596" right="0.69930555555555596"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S163"/>
  <sheetViews>
    <sheetView workbookViewId="0">
      <selection activeCell="L156" sqref="L156"/>
    </sheetView>
  </sheetViews>
  <sheetFormatPr defaultColWidth="9" defaultRowHeight="13.5" x14ac:dyDescent="0.15"/>
  <cols>
    <col min="2" max="2" width="3.5" customWidth="1"/>
    <col min="3" max="3" width="7.875" customWidth="1"/>
    <col min="4" max="4" width="5.5" customWidth="1"/>
    <col min="5" max="5" width="2" customWidth="1"/>
    <col min="7" max="7" width="2" customWidth="1"/>
    <col min="9" max="9" width="2" customWidth="1"/>
    <col min="11" max="11" width="2" customWidth="1"/>
    <col min="13" max="13" width="2" customWidth="1"/>
    <col min="15" max="15" width="2" customWidth="1"/>
    <col min="17" max="17" width="2.75" customWidth="1"/>
  </cols>
  <sheetData>
    <row r="1" spans="1:8" x14ac:dyDescent="0.15">
      <c r="A1" t="str">
        <f>B1&amp;C1&amp;D1&amp;E1&amp;F1&amp;G1&amp;H1&amp;I1&amp;J1&amp;K1&amp;L1&amp;M1&amp;N1&amp;O1&amp;P1</f>
        <v>特別オファーで購入するか、マナクリスタルで購入する事で入手できる。</v>
      </c>
      <c r="B1" t="s">
        <v>369</v>
      </c>
    </row>
    <row r="2" spans="1:8" x14ac:dyDescent="0.15">
      <c r="A2" t="str">
        <f>B2&amp;C2&amp;D2&amp;E2&amp;F2&amp;G2&amp;H2&amp;I2&amp;J2&amp;K2&amp;L2&amp;M2&amp;N2&amp;O2&amp;P2</f>
        <v>&amp;br;</v>
      </c>
      <c r="B2" t="s">
        <v>0</v>
      </c>
    </row>
    <row r="3" spans="1:8" x14ac:dyDescent="0.15">
      <c r="A3" t="str">
        <f>B3&amp;C3&amp;D3&amp;E3&amp;F3&amp;G3&amp;H3&amp;I3&amp;J3&amp;K3&amp;L3&amp;M3&amp;N3&amp;O3&amp;P3</f>
        <v>#contents()</v>
      </c>
      <c r="B3" t="s">
        <v>1</v>
      </c>
    </row>
    <row r="4" spans="1:8" x14ac:dyDescent="0.15">
      <c r="A4" t="str">
        <f>B4&amp;C4&amp;D4&amp;E4&amp;F4&amp;G4&amp;H4&amp;I4&amp;J4&amp;K4&amp;L4&amp;M4&amp;N4&amp;O4&amp;P4</f>
        <v>*HP [#f569d8c6]</v>
      </c>
      <c r="B4" t="s">
        <v>2</v>
      </c>
    </row>
    <row r="5" spans="1:8" x14ac:dyDescent="0.15">
      <c r="A5" t="str">
        <f>B5&amp;C5&amp;D5&amp;E5&amp;F5&amp;G5&amp;H5</f>
        <v>|LEFT:50|LEFT:50|c</v>
      </c>
      <c r="B5" t="s">
        <v>3</v>
      </c>
      <c r="C5" t="s">
        <v>4</v>
      </c>
      <c r="E5" t="s">
        <v>3</v>
      </c>
      <c r="F5" t="s">
        <v>4</v>
      </c>
      <c r="G5" t="s">
        <v>3</v>
      </c>
      <c r="H5" t="s">
        <v>5</v>
      </c>
    </row>
    <row r="6" spans="1:8" x14ac:dyDescent="0.15">
      <c r="A6" t="str">
        <f t="shared" ref="A6:A35" si="0">B6&amp;C6&amp;D6&amp;E6&amp;F6&amp;G6&amp;H6</f>
        <v>|レベル|HP|</v>
      </c>
      <c r="B6" t="s">
        <v>3</v>
      </c>
      <c r="C6" t="s">
        <v>6</v>
      </c>
      <c r="E6" t="s">
        <v>3</v>
      </c>
      <c r="F6" t="s">
        <v>7</v>
      </c>
      <c r="G6" t="s">
        <v>3</v>
      </c>
    </row>
    <row r="7" spans="1:8" x14ac:dyDescent="0.15">
      <c r="A7" t="str">
        <f t="shared" si="0"/>
        <v>|Lv1|30|</v>
      </c>
      <c r="B7" t="s">
        <v>3</v>
      </c>
      <c r="C7" t="s">
        <v>8</v>
      </c>
      <c r="D7">
        <v>1</v>
      </c>
      <c r="E7" t="s">
        <v>3</v>
      </c>
      <c r="F7">
        <v>30</v>
      </c>
      <c r="G7" t="s">
        <v>3</v>
      </c>
    </row>
    <row r="8" spans="1:8" x14ac:dyDescent="0.15">
      <c r="A8" t="str">
        <f t="shared" si="0"/>
        <v>|Lv3|33|</v>
      </c>
      <c r="B8" t="s">
        <v>3</v>
      </c>
      <c r="C8" t="s">
        <v>8</v>
      </c>
      <c r="D8">
        <v>3</v>
      </c>
      <c r="E8" t="s">
        <v>3</v>
      </c>
      <c r="F8">
        <f t="shared" ref="F8:F35" si="1">IF(ISBLANK(D8),"",F7+INDEX($H$98:$H$157,D8))</f>
        <v>33</v>
      </c>
      <c r="G8" t="s">
        <v>3</v>
      </c>
    </row>
    <row r="9" spans="1:8" x14ac:dyDescent="0.15">
      <c r="A9" t="str">
        <f t="shared" si="0"/>
        <v>|Lv5|36|</v>
      </c>
      <c r="B9" t="s">
        <v>3</v>
      </c>
      <c r="C9" t="s">
        <v>8</v>
      </c>
      <c r="D9">
        <v>5</v>
      </c>
      <c r="E9" t="s">
        <v>3</v>
      </c>
      <c r="F9">
        <f t="shared" si="1"/>
        <v>36</v>
      </c>
      <c r="G9" t="s">
        <v>3</v>
      </c>
    </row>
    <row r="10" spans="1:8" x14ac:dyDescent="0.15">
      <c r="A10" t="str">
        <f t="shared" si="0"/>
        <v>|Lv7|39|</v>
      </c>
      <c r="B10" t="s">
        <v>3</v>
      </c>
      <c r="C10" t="s">
        <v>8</v>
      </c>
      <c r="D10">
        <v>7</v>
      </c>
      <c r="E10" t="s">
        <v>3</v>
      </c>
      <c r="F10">
        <f t="shared" si="1"/>
        <v>39</v>
      </c>
      <c r="G10" t="s">
        <v>3</v>
      </c>
    </row>
    <row r="11" spans="1:8" x14ac:dyDescent="0.15">
      <c r="A11" t="str">
        <f t="shared" si="0"/>
        <v>|Lv9|42|</v>
      </c>
      <c r="B11" t="s">
        <v>3</v>
      </c>
      <c r="C11" t="s">
        <v>8</v>
      </c>
      <c r="D11">
        <v>9</v>
      </c>
      <c r="E11" t="s">
        <v>3</v>
      </c>
      <c r="F11">
        <f t="shared" si="1"/>
        <v>42</v>
      </c>
      <c r="G11" t="s">
        <v>3</v>
      </c>
    </row>
    <row r="12" spans="1:8" x14ac:dyDescent="0.15">
      <c r="A12" t="str">
        <f t="shared" si="0"/>
        <v>|Lv11|45|</v>
      </c>
      <c r="B12" t="s">
        <v>3</v>
      </c>
      <c r="C12" t="s">
        <v>8</v>
      </c>
      <c r="D12">
        <v>11</v>
      </c>
      <c r="E12" t="s">
        <v>3</v>
      </c>
      <c r="F12">
        <f t="shared" si="1"/>
        <v>45</v>
      </c>
      <c r="G12" t="s">
        <v>3</v>
      </c>
    </row>
    <row r="13" spans="1:8" x14ac:dyDescent="0.15">
      <c r="A13" t="str">
        <f t="shared" si="0"/>
        <v>|Lv13|48|</v>
      </c>
      <c r="B13" t="s">
        <v>3</v>
      </c>
      <c r="C13" t="s">
        <v>8</v>
      </c>
      <c r="D13">
        <v>13</v>
      </c>
      <c r="E13" t="s">
        <v>3</v>
      </c>
      <c r="F13">
        <f t="shared" si="1"/>
        <v>48</v>
      </c>
      <c r="G13" t="s">
        <v>3</v>
      </c>
    </row>
    <row r="14" spans="1:8" x14ac:dyDescent="0.15">
      <c r="A14" t="str">
        <f t="shared" si="0"/>
        <v>|Lv15|51|</v>
      </c>
      <c r="B14" t="s">
        <v>3</v>
      </c>
      <c r="C14" t="s">
        <v>8</v>
      </c>
      <c r="D14">
        <v>15</v>
      </c>
      <c r="E14" t="s">
        <v>3</v>
      </c>
      <c r="F14">
        <f t="shared" si="1"/>
        <v>51</v>
      </c>
      <c r="G14" t="s">
        <v>3</v>
      </c>
    </row>
    <row r="15" spans="1:8" x14ac:dyDescent="0.15">
      <c r="A15" t="str">
        <f t="shared" si="0"/>
        <v>|Lv17|54|</v>
      </c>
      <c r="B15" t="s">
        <v>3</v>
      </c>
      <c r="C15" t="s">
        <v>8</v>
      </c>
      <c r="D15">
        <v>17</v>
      </c>
      <c r="E15" t="s">
        <v>3</v>
      </c>
      <c r="F15">
        <f t="shared" si="1"/>
        <v>54</v>
      </c>
      <c r="G15" t="s">
        <v>3</v>
      </c>
    </row>
    <row r="16" spans="1:8" x14ac:dyDescent="0.15">
      <c r="A16" t="str">
        <f t="shared" si="0"/>
        <v>|Lv19|57|</v>
      </c>
      <c r="B16" t="s">
        <v>3</v>
      </c>
      <c r="C16" t="s">
        <v>8</v>
      </c>
      <c r="D16">
        <v>19</v>
      </c>
      <c r="E16" t="s">
        <v>3</v>
      </c>
      <c r="F16">
        <f t="shared" si="1"/>
        <v>57</v>
      </c>
      <c r="G16" t="s">
        <v>3</v>
      </c>
    </row>
    <row r="17" spans="1:7" x14ac:dyDescent="0.15">
      <c r="A17" t="str">
        <f t="shared" si="0"/>
        <v>|Lv21|60|</v>
      </c>
      <c r="B17" t="s">
        <v>3</v>
      </c>
      <c r="C17" t="s">
        <v>8</v>
      </c>
      <c r="D17">
        <v>21</v>
      </c>
      <c r="E17" t="s">
        <v>3</v>
      </c>
      <c r="F17">
        <f t="shared" si="1"/>
        <v>60</v>
      </c>
      <c r="G17" t="s">
        <v>3</v>
      </c>
    </row>
    <row r="18" spans="1:7" x14ac:dyDescent="0.15">
      <c r="A18" t="str">
        <f t="shared" si="0"/>
        <v>|Lv23|63|</v>
      </c>
      <c r="B18" t="s">
        <v>3</v>
      </c>
      <c r="C18" t="s">
        <v>8</v>
      </c>
      <c r="D18">
        <v>23</v>
      </c>
      <c r="E18" t="s">
        <v>3</v>
      </c>
      <c r="F18">
        <f t="shared" si="1"/>
        <v>63</v>
      </c>
      <c r="G18" t="s">
        <v>3</v>
      </c>
    </row>
    <row r="19" spans="1:7" x14ac:dyDescent="0.15">
      <c r="A19" t="str">
        <f t="shared" si="0"/>
        <v>|Lv25|66|</v>
      </c>
      <c r="B19" t="s">
        <v>3</v>
      </c>
      <c r="C19" t="s">
        <v>8</v>
      </c>
      <c r="D19">
        <v>25</v>
      </c>
      <c r="E19" t="s">
        <v>3</v>
      </c>
      <c r="F19">
        <f t="shared" si="1"/>
        <v>66</v>
      </c>
      <c r="G19" t="s">
        <v>3</v>
      </c>
    </row>
    <row r="20" spans="1:7" x14ac:dyDescent="0.15">
      <c r="A20" t="str">
        <f t="shared" si="0"/>
        <v>|Lv27|69|</v>
      </c>
      <c r="B20" t="s">
        <v>3</v>
      </c>
      <c r="C20" t="s">
        <v>8</v>
      </c>
      <c r="D20">
        <v>27</v>
      </c>
      <c r="E20" t="s">
        <v>3</v>
      </c>
      <c r="F20">
        <f t="shared" si="1"/>
        <v>69</v>
      </c>
      <c r="G20" t="s">
        <v>3</v>
      </c>
    </row>
    <row r="21" spans="1:7" x14ac:dyDescent="0.15">
      <c r="A21" t="str">
        <f t="shared" si="0"/>
        <v>|Lv29|72|</v>
      </c>
      <c r="B21" t="s">
        <v>3</v>
      </c>
      <c r="C21" t="s">
        <v>8</v>
      </c>
      <c r="D21">
        <v>29</v>
      </c>
      <c r="E21" t="s">
        <v>3</v>
      </c>
      <c r="F21">
        <f t="shared" si="1"/>
        <v>72</v>
      </c>
      <c r="G21" t="s">
        <v>3</v>
      </c>
    </row>
    <row r="22" spans="1:7" x14ac:dyDescent="0.15">
      <c r="A22" t="str">
        <f t="shared" si="0"/>
        <v>|Lv31|75|</v>
      </c>
      <c r="B22" t="s">
        <v>3</v>
      </c>
      <c r="C22" t="s">
        <v>8</v>
      </c>
      <c r="D22">
        <v>31</v>
      </c>
      <c r="E22" t="s">
        <v>3</v>
      </c>
      <c r="F22">
        <f t="shared" si="1"/>
        <v>75</v>
      </c>
      <c r="G22" t="s">
        <v>3</v>
      </c>
    </row>
    <row r="23" spans="1:7" x14ac:dyDescent="0.15">
      <c r="A23" t="str">
        <f t="shared" si="0"/>
        <v>|Lv33|78|</v>
      </c>
      <c r="B23" t="s">
        <v>3</v>
      </c>
      <c r="C23" t="s">
        <v>8</v>
      </c>
      <c r="D23">
        <v>33</v>
      </c>
      <c r="E23" t="s">
        <v>3</v>
      </c>
      <c r="F23">
        <f t="shared" si="1"/>
        <v>78</v>
      </c>
      <c r="G23" t="s">
        <v>3</v>
      </c>
    </row>
    <row r="24" spans="1:7" x14ac:dyDescent="0.15">
      <c r="A24" t="str">
        <f t="shared" si="0"/>
        <v>|Lv35|81|</v>
      </c>
      <c r="B24" t="s">
        <v>3</v>
      </c>
      <c r="C24" t="s">
        <v>8</v>
      </c>
      <c r="D24">
        <v>35</v>
      </c>
      <c r="E24" t="s">
        <v>3</v>
      </c>
      <c r="F24">
        <f t="shared" si="1"/>
        <v>81</v>
      </c>
      <c r="G24" t="s">
        <v>3</v>
      </c>
    </row>
    <row r="25" spans="1:7" x14ac:dyDescent="0.15">
      <c r="A25" t="str">
        <f t="shared" si="0"/>
        <v>|Lv37|84|</v>
      </c>
      <c r="B25" t="s">
        <v>3</v>
      </c>
      <c r="C25" t="s">
        <v>8</v>
      </c>
      <c r="D25">
        <v>37</v>
      </c>
      <c r="E25" t="s">
        <v>3</v>
      </c>
      <c r="F25">
        <f t="shared" si="1"/>
        <v>84</v>
      </c>
      <c r="G25" t="s">
        <v>3</v>
      </c>
    </row>
    <row r="26" spans="1:7" x14ac:dyDescent="0.15">
      <c r="A26" t="str">
        <f t="shared" si="0"/>
        <v>|Lv39|87|</v>
      </c>
      <c r="B26" t="s">
        <v>3</v>
      </c>
      <c r="C26" t="s">
        <v>8</v>
      </c>
      <c r="D26">
        <v>39</v>
      </c>
      <c r="E26" t="s">
        <v>3</v>
      </c>
      <c r="F26">
        <f t="shared" si="1"/>
        <v>87</v>
      </c>
      <c r="G26" t="s">
        <v>3</v>
      </c>
    </row>
    <row r="27" spans="1:7" x14ac:dyDescent="0.15">
      <c r="A27" t="str">
        <f t="shared" si="0"/>
        <v>|Lv41|90|</v>
      </c>
      <c r="B27" t="s">
        <v>3</v>
      </c>
      <c r="C27" t="s">
        <v>8</v>
      </c>
      <c r="D27">
        <v>41</v>
      </c>
      <c r="E27" t="s">
        <v>3</v>
      </c>
      <c r="F27">
        <f t="shared" si="1"/>
        <v>90</v>
      </c>
      <c r="G27" t="s">
        <v>3</v>
      </c>
    </row>
    <row r="28" spans="1:7" x14ac:dyDescent="0.15">
      <c r="A28" t="str">
        <f t="shared" si="0"/>
        <v>|Lv43|93|</v>
      </c>
      <c r="B28" t="s">
        <v>3</v>
      </c>
      <c r="C28" t="s">
        <v>8</v>
      </c>
      <c r="D28">
        <v>43</v>
      </c>
      <c r="E28" t="s">
        <v>3</v>
      </c>
      <c r="F28">
        <f t="shared" si="1"/>
        <v>93</v>
      </c>
      <c r="G28" t="s">
        <v>3</v>
      </c>
    </row>
    <row r="29" spans="1:7" x14ac:dyDescent="0.15">
      <c r="A29" t="str">
        <f t="shared" si="0"/>
        <v>|Lv45|96|</v>
      </c>
      <c r="B29" t="s">
        <v>3</v>
      </c>
      <c r="C29" t="s">
        <v>8</v>
      </c>
      <c r="D29">
        <v>45</v>
      </c>
      <c r="E29" t="s">
        <v>3</v>
      </c>
      <c r="F29">
        <f t="shared" si="1"/>
        <v>96</v>
      </c>
      <c r="G29" t="s">
        <v>3</v>
      </c>
    </row>
    <row r="30" spans="1:7" x14ac:dyDescent="0.15">
      <c r="A30" t="str">
        <f t="shared" si="0"/>
        <v>|Lv47|99|</v>
      </c>
      <c r="B30" t="s">
        <v>3</v>
      </c>
      <c r="C30" t="s">
        <v>8</v>
      </c>
      <c r="D30">
        <v>47</v>
      </c>
      <c r="E30" t="s">
        <v>3</v>
      </c>
      <c r="F30">
        <f t="shared" si="1"/>
        <v>99</v>
      </c>
      <c r="G30" t="s">
        <v>3</v>
      </c>
    </row>
    <row r="31" spans="1:7" x14ac:dyDescent="0.15">
      <c r="A31" t="str">
        <f t="shared" si="0"/>
        <v>|Lv49|102|</v>
      </c>
      <c r="B31" t="s">
        <v>3</v>
      </c>
      <c r="C31" t="s">
        <v>8</v>
      </c>
      <c r="D31">
        <v>49</v>
      </c>
      <c r="E31" t="s">
        <v>3</v>
      </c>
      <c r="F31">
        <f t="shared" si="1"/>
        <v>102</v>
      </c>
      <c r="G31" t="s">
        <v>3</v>
      </c>
    </row>
    <row r="32" spans="1:7" x14ac:dyDescent="0.15">
      <c r="A32" t="str">
        <f t="shared" si="0"/>
        <v>|Lv51|105|</v>
      </c>
      <c r="B32" t="s">
        <v>3</v>
      </c>
      <c r="C32" t="s">
        <v>8</v>
      </c>
      <c r="D32">
        <v>51</v>
      </c>
      <c r="E32" t="s">
        <v>3</v>
      </c>
      <c r="F32">
        <f t="shared" si="1"/>
        <v>105</v>
      </c>
      <c r="G32" t="s">
        <v>3</v>
      </c>
    </row>
    <row r="33" spans="1:19" x14ac:dyDescent="0.15">
      <c r="A33" t="str">
        <f t="shared" si="0"/>
        <v>|Lv53|108|</v>
      </c>
      <c r="B33" t="s">
        <v>3</v>
      </c>
      <c r="C33" t="s">
        <v>8</v>
      </c>
      <c r="D33">
        <v>53</v>
      </c>
      <c r="E33" t="s">
        <v>3</v>
      </c>
      <c r="F33">
        <f t="shared" si="1"/>
        <v>108</v>
      </c>
      <c r="G33" t="s">
        <v>3</v>
      </c>
    </row>
    <row r="34" spans="1:19" x14ac:dyDescent="0.15">
      <c r="A34" t="str">
        <f t="shared" si="0"/>
        <v>|Lv55|111|</v>
      </c>
      <c r="B34" t="s">
        <v>3</v>
      </c>
      <c r="C34" t="s">
        <v>8</v>
      </c>
      <c r="D34">
        <v>55</v>
      </c>
      <c r="E34" t="s">
        <v>3</v>
      </c>
      <c r="F34">
        <f t="shared" si="1"/>
        <v>111</v>
      </c>
      <c r="G34" t="s">
        <v>3</v>
      </c>
    </row>
    <row r="35" spans="1:19" x14ac:dyDescent="0.15">
      <c r="A35" t="str">
        <f t="shared" si="0"/>
        <v>|Lv57|114|</v>
      </c>
      <c r="B35" t="s">
        <v>3</v>
      </c>
      <c r="C35" t="s">
        <v>8</v>
      </c>
      <c r="D35">
        <v>57</v>
      </c>
      <c r="E35" t="s">
        <v>3</v>
      </c>
      <c r="F35">
        <f t="shared" si="1"/>
        <v>114</v>
      </c>
      <c r="G35" t="s">
        <v>3</v>
      </c>
    </row>
    <row r="36" spans="1:19" x14ac:dyDescent="0.15">
      <c r="A36" t="str">
        <f>B36&amp;C36&amp;D36&amp;E36&amp;F36&amp;G36&amp;H36&amp;I36&amp;J36&amp;K36&amp;L36&amp;M36&amp;N36&amp;O36&amp;P36</f>
        <v>&amp;br;</v>
      </c>
      <c r="B36" t="s">
        <v>0</v>
      </c>
    </row>
    <row r="37" spans="1:19" x14ac:dyDescent="0.15">
      <c r="A37" t="str">
        <f>B37&amp;C37&amp;D37&amp;E37&amp;F37&amp;G37&amp;H37&amp;I37&amp;J37&amp;K37&amp;L37&amp;M37&amp;N37&amp;O37&amp;P37</f>
        <v>&amp;br;</v>
      </c>
      <c r="B37" t="s">
        <v>0</v>
      </c>
    </row>
    <row r="38" spans="1:19" x14ac:dyDescent="0.15">
      <c r="A38" t="str">
        <f>B38&amp;C38&amp;D38&amp;E38&amp;F38&amp;G38&amp;H38&amp;I38&amp;J38&amp;K38&amp;L38&amp;M38&amp;N38&amp;O38&amp;P38</f>
        <v>*マナボーナス [#q1a26f54]</v>
      </c>
      <c r="B38" t="s">
        <v>9</v>
      </c>
    </row>
    <row r="39" spans="1:19" x14ac:dyDescent="0.15">
      <c r="A39" t="str">
        <f t="shared" ref="A39:A50" si="2">B39&amp;C39&amp;D39&amp;G39&amp;H39&amp;I39&amp;J39&amp;K39&amp;L39&amp;M39&amp;N39&amp;O39&amp;P39&amp;Q39&amp;R39</f>
        <v>|LEFT:50|LEFT:50|LEFT:50|LEFT:50|LEFT:50|LEFT:50|c</v>
      </c>
      <c r="B39" t="s">
        <v>3</v>
      </c>
      <c r="C39" t="s">
        <v>4</v>
      </c>
      <c r="E39" t="s">
        <v>3</v>
      </c>
      <c r="G39" t="s">
        <v>3</v>
      </c>
      <c r="H39" t="s">
        <v>4</v>
      </c>
      <c r="I39" t="s">
        <v>3</v>
      </c>
      <c r="J39" t="s">
        <v>4</v>
      </c>
      <c r="K39" t="s">
        <v>3</v>
      </c>
      <c r="L39" t="s">
        <v>4</v>
      </c>
      <c r="M39" t="s">
        <v>3</v>
      </c>
      <c r="N39" t="s">
        <v>4</v>
      </c>
      <c r="O39" t="s">
        <v>3</v>
      </c>
      <c r="P39" t="s">
        <v>4</v>
      </c>
      <c r="Q39" t="s">
        <v>3</v>
      </c>
      <c r="R39" t="s">
        <v>5</v>
      </c>
    </row>
    <row r="40" spans="1:19" x14ac:dyDescent="0.15">
      <c r="A40" t="str">
        <f t="shared" si="2"/>
        <v>|レベル|白|青|黒|赤|緑|</v>
      </c>
      <c r="B40" t="s">
        <v>3</v>
      </c>
      <c r="C40" t="s">
        <v>6</v>
      </c>
      <c r="E40" t="s">
        <v>3</v>
      </c>
      <c r="F40" t="s">
        <v>10</v>
      </c>
      <c r="G40" t="s">
        <v>3</v>
      </c>
      <c r="H40" t="s">
        <v>11</v>
      </c>
      <c r="I40" t="s">
        <v>3</v>
      </c>
      <c r="J40" t="s">
        <v>12</v>
      </c>
      <c r="K40" t="s">
        <v>3</v>
      </c>
      <c r="L40" t="s">
        <v>13</v>
      </c>
      <c r="M40" t="s">
        <v>3</v>
      </c>
      <c r="N40" t="s">
        <v>14</v>
      </c>
      <c r="O40" t="s">
        <v>3</v>
      </c>
      <c r="P40" t="s">
        <v>15</v>
      </c>
      <c r="Q40" t="s">
        <v>3</v>
      </c>
      <c r="S40" t="s">
        <v>11</v>
      </c>
    </row>
    <row r="41" spans="1:19" x14ac:dyDescent="0.15">
      <c r="A41" t="str">
        <f t="shared" si="2"/>
        <v>|Lv1|1|1|-2|-2|-1|</v>
      </c>
      <c r="B41" t="s">
        <v>3</v>
      </c>
      <c r="C41" t="s">
        <v>8</v>
      </c>
      <c r="D41">
        <v>1</v>
      </c>
      <c r="E41" t="s">
        <v>3</v>
      </c>
      <c r="G41" t="s">
        <v>3</v>
      </c>
      <c r="H41">
        <v>1</v>
      </c>
      <c r="I41" t="s">
        <v>3</v>
      </c>
      <c r="J41">
        <v>1</v>
      </c>
      <c r="K41" t="s">
        <v>3</v>
      </c>
      <c r="L41">
        <v>-2</v>
      </c>
      <c r="M41" t="s">
        <v>3</v>
      </c>
      <c r="N41">
        <v>-2</v>
      </c>
      <c r="O41" t="s">
        <v>3</v>
      </c>
      <c r="P41">
        <v>-1</v>
      </c>
      <c r="Q41" t="s">
        <v>3</v>
      </c>
      <c r="S41" t="s">
        <v>12</v>
      </c>
    </row>
    <row r="42" spans="1:19" x14ac:dyDescent="0.15">
      <c r="A42" t="str">
        <f t="shared" si="2"/>
        <v>|Lv4|1|2|-2|-2|-1|</v>
      </c>
      <c r="B42" t="s">
        <v>3</v>
      </c>
      <c r="C42" t="s">
        <v>8</v>
      </c>
      <c r="D42">
        <v>4</v>
      </c>
      <c r="E42" t="s">
        <v>3</v>
      </c>
      <c r="F42" t="str">
        <f t="shared" ref="F42:F50" si="3">IF(ISBLANK(D42),"",INDEX($F$98:$F$157,D42))</f>
        <v>青</v>
      </c>
      <c r="G42" t="s">
        <v>3</v>
      </c>
      <c r="H42">
        <f t="shared" ref="H42:H50" si="4">H41+IF(H$40=$F42,1,0)</f>
        <v>1</v>
      </c>
      <c r="I42" t="str">
        <f t="shared" ref="I42:Q50" si="5">I41</f>
        <v>|</v>
      </c>
      <c r="J42">
        <f t="shared" ref="J42:J50" si="6">J41+IF(J$40=$F42,1,0)</f>
        <v>2</v>
      </c>
      <c r="K42" t="str">
        <f t="shared" si="5"/>
        <v>|</v>
      </c>
      <c r="L42">
        <f t="shared" ref="L42:L50" si="7">L41+IF(L$40=$F42,1,0)</f>
        <v>-2</v>
      </c>
      <c r="M42" t="str">
        <f t="shared" si="5"/>
        <v>|</v>
      </c>
      <c r="N42">
        <f t="shared" ref="N42:N50" si="8">N41+IF(N$40=$F42,1,0)</f>
        <v>-2</v>
      </c>
      <c r="O42" t="str">
        <f t="shared" si="5"/>
        <v>|</v>
      </c>
      <c r="P42">
        <f t="shared" ref="P42:P50" si="9">P41+IF(P$40=$F42,1,0)</f>
        <v>-1</v>
      </c>
      <c r="Q42" t="str">
        <f t="shared" si="5"/>
        <v>|</v>
      </c>
      <c r="S42" t="s">
        <v>13</v>
      </c>
    </row>
    <row r="43" spans="1:19" x14ac:dyDescent="0.15">
      <c r="A43" t="str">
        <f t="shared" si="2"/>
        <v>|Lv10|2|2|-2|-2|-1|</v>
      </c>
      <c r="B43" t="s">
        <v>3</v>
      </c>
      <c r="C43" t="s">
        <v>8</v>
      </c>
      <c r="D43">
        <v>10</v>
      </c>
      <c r="E43" t="s">
        <v>3</v>
      </c>
      <c r="F43" t="str">
        <f t="shared" si="3"/>
        <v>白</v>
      </c>
      <c r="G43" t="s">
        <v>3</v>
      </c>
      <c r="H43">
        <f t="shared" si="4"/>
        <v>2</v>
      </c>
      <c r="I43" t="str">
        <f t="shared" si="5"/>
        <v>|</v>
      </c>
      <c r="J43">
        <f t="shared" si="6"/>
        <v>2</v>
      </c>
      <c r="K43" t="str">
        <f t="shared" si="5"/>
        <v>|</v>
      </c>
      <c r="L43">
        <f t="shared" si="7"/>
        <v>-2</v>
      </c>
      <c r="M43" t="str">
        <f t="shared" si="5"/>
        <v>|</v>
      </c>
      <c r="N43">
        <f t="shared" si="8"/>
        <v>-2</v>
      </c>
      <c r="O43" t="str">
        <f t="shared" si="5"/>
        <v>|</v>
      </c>
      <c r="P43">
        <f t="shared" si="9"/>
        <v>-1</v>
      </c>
      <c r="Q43" t="str">
        <f t="shared" si="5"/>
        <v>|</v>
      </c>
      <c r="S43" t="s">
        <v>14</v>
      </c>
    </row>
    <row r="44" spans="1:19" x14ac:dyDescent="0.15">
      <c r="A44" t="str">
        <f t="shared" si="2"/>
        <v>|Lv16|2|2|-2|-1|-1|</v>
      </c>
      <c r="B44" t="s">
        <v>3</v>
      </c>
      <c r="C44" t="s">
        <v>8</v>
      </c>
      <c r="D44">
        <v>16</v>
      </c>
      <c r="E44" t="s">
        <v>3</v>
      </c>
      <c r="F44" t="str">
        <f t="shared" si="3"/>
        <v>赤</v>
      </c>
      <c r="G44" t="s">
        <v>3</v>
      </c>
      <c r="H44">
        <f t="shared" si="4"/>
        <v>2</v>
      </c>
      <c r="I44" t="str">
        <f t="shared" si="5"/>
        <v>|</v>
      </c>
      <c r="J44">
        <f t="shared" si="6"/>
        <v>2</v>
      </c>
      <c r="K44" t="str">
        <f t="shared" si="5"/>
        <v>|</v>
      </c>
      <c r="L44">
        <f t="shared" si="7"/>
        <v>-2</v>
      </c>
      <c r="M44" t="str">
        <f t="shared" si="5"/>
        <v>|</v>
      </c>
      <c r="N44">
        <f t="shared" si="8"/>
        <v>-1</v>
      </c>
      <c r="O44" t="str">
        <f t="shared" si="5"/>
        <v>|</v>
      </c>
      <c r="P44">
        <f t="shared" si="9"/>
        <v>-1</v>
      </c>
      <c r="Q44" t="str">
        <f t="shared" si="5"/>
        <v>|</v>
      </c>
      <c r="S44" t="s">
        <v>15</v>
      </c>
    </row>
    <row r="45" spans="1:19" x14ac:dyDescent="0.15">
      <c r="A45" t="str">
        <f t="shared" si="2"/>
        <v>|Lv22|2|2|-2|-1|0|</v>
      </c>
      <c r="B45" t="s">
        <v>3</v>
      </c>
      <c r="C45" t="s">
        <v>8</v>
      </c>
      <c r="D45">
        <v>22</v>
      </c>
      <c r="E45" t="s">
        <v>3</v>
      </c>
      <c r="F45" t="str">
        <f t="shared" si="3"/>
        <v>緑</v>
      </c>
      <c r="G45" t="s">
        <v>3</v>
      </c>
      <c r="H45">
        <f t="shared" si="4"/>
        <v>2</v>
      </c>
      <c r="I45" t="str">
        <f t="shared" si="5"/>
        <v>|</v>
      </c>
      <c r="J45">
        <f t="shared" si="6"/>
        <v>2</v>
      </c>
      <c r="K45" t="str">
        <f t="shared" si="5"/>
        <v>|</v>
      </c>
      <c r="L45">
        <f t="shared" si="7"/>
        <v>-2</v>
      </c>
      <c r="M45" t="str">
        <f t="shared" si="5"/>
        <v>|</v>
      </c>
      <c r="N45">
        <f t="shared" si="8"/>
        <v>-1</v>
      </c>
      <c r="O45" t="str">
        <f t="shared" si="5"/>
        <v>|</v>
      </c>
      <c r="P45">
        <f t="shared" si="9"/>
        <v>0</v>
      </c>
      <c r="Q45" t="str">
        <f t="shared" si="5"/>
        <v>|</v>
      </c>
    </row>
    <row r="46" spans="1:19" x14ac:dyDescent="0.15">
      <c r="A46" t="str">
        <f t="shared" si="2"/>
        <v>|Lv28|2|2|-1|-1|0|</v>
      </c>
      <c r="B46" t="s">
        <v>3</v>
      </c>
      <c r="C46" t="s">
        <v>8</v>
      </c>
      <c r="D46">
        <v>28</v>
      </c>
      <c r="E46" t="s">
        <v>3</v>
      </c>
      <c r="F46" t="str">
        <f t="shared" si="3"/>
        <v>黒</v>
      </c>
      <c r="G46" t="s">
        <v>3</v>
      </c>
      <c r="H46">
        <f t="shared" si="4"/>
        <v>2</v>
      </c>
      <c r="I46" t="str">
        <f t="shared" si="5"/>
        <v>|</v>
      </c>
      <c r="J46">
        <f t="shared" si="6"/>
        <v>2</v>
      </c>
      <c r="K46" t="str">
        <f t="shared" si="5"/>
        <v>|</v>
      </c>
      <c r="L46">
        <f t="shared" si="7"/>
        <v>-1</v>
      </c>
      <c r="M46" t="str">
        <f t="shared" si="5"/>
        <v>|</v>
      </c>
      <c r="N46">
        <f t="shared" si="8"/>
        <v>-1</v>
      </c>
      <c r="O46" t="str">
        <f t="shared" si="5"/>
        <v>|</v>
      </c>
      <c r="P46">
        <f t="shared" si="9"/>
        <v>0</v>
      </c>
      <c r="Q46" t="str">
        <f t="shared" si="5"/>
        <v>|</v>
      </c>
    </row>
    <row r="47" spans="1:19" x14ac:dyDescent="0.15">
      <c r="A47" t="str">
        <f t="shared" si="2"/>
        <v>|Lv34|2|3|-1|-1|0|</v>
      </c>
      <c r="B47" t="s">
        <v>3</v>
      </c>
      <c r="C47" t="s">
        <v>8</v>
      </c>
      <c r="D47">
        <v>34</v>
      </c>
      <c r="E47" t="s">
        <v>3</v>
      </c>
      <c r="F47" t="str">
        <f t="shared" si="3"/>
        <v>青</v>
      </c>
      <c r="G47" t="s">
        <v>3</v>
      </c>
      <c r="H47">
        <f t="shared" si="4"/>
        <v>2</v>
      </c>
      <c r="I47" t="str">
        <f t="shared" si="5"/>
        <v>|</v>
      </c>
      <c r="J47">
        <f t="shared" si="6"/>
        <v>3</v>
      </c>
      <c r="K47" t="str">
        <f t="shared" si="5"/>
        <v>|</v>
      </c>
      <c r="L47">
        <f t="shared" si="7"/>
        <v>-1</v>
      </c>
      <c r="M47" t="str">
        <f t="shared" si="5"/>
        <v>|</v>
      </c>
      <c r="N47">
        <f t="shared" si="8"/>
        <v>-1</v>
      </c>
      <c r="O47" t="str">
        <f t="shared" si="5"/>
        <v>|</v>
      </c>
      <c r="P47">
        <f t="shared" si="9"/>
        <v>0</v>
      </c>
      <c r="Q47" t="str">
        <f t="shared" si="5"/>
        <v>|</v>
      </c>
    </row>
    <row r="48" spans="1:19" x14ac:dyDescent="0.15">
      <c r="A48" t="str">
        <f t="shared" si="2"/>
        <v>|Lv42|3|3|-1|-1|0|</v>
      </c>
      <c r="B48" t="s">
        <v>3</v>
      </c>
      <c r="C48" t="s">
        <v>8</v>
      </c>
      <c r="D48">
        <v>42</v>
      </c>
      <c r="E48" t="s">
        <v>3</v>
      </c>
      <c r="F48" t="str">
        <f t="shared" si="3"/>
        <v>白</v>
      </c>
      <c r="G48" t="s">
        <v>3</v>
      </c>
      <c r="H48">
        <f t="shared" si="4"/>
        <v>3</v>
      </c>
      <c r="I48" t="str">
        <f t="shared" si="5"/>
        <v>|</v>
      </c>
      <c r="J48">
        <f t="shared" si="6"/>
        <v>3</v>
      </c>
      <c r="K48" t="str">
        <f t="shared" si="5"/>
        <v>|</v>
      </c>
      <c r="L48">
        <f t="shared" si="7"/>
        <v>-1</v>
      </c>
      <c r="M48" t="str">
        <f t="shared" si="5"/>
        <v>|</v>
      </c>
      <c r="N48">
        <f t="shared" si="8"/>
        <v>-1</v>
      </c>
      <c r="O48" t="str">
        <f t="shared" si="5"/>
        <v>|</v>
      </c>
      <c r="P48">
        <f t="shared" si="9"/>
        <v>0</v>
      </c>
      <c r="Q48" t="str">
        <f t="shared" si="5"/>
        <v>|</v>
      </c>
    </row>
    <row r="49" spans="1:19" x14ac:dyDescent="0.15">
      <c r="A49" t="str">
        <f t="shared" si="2"/>
        <v>|Lv48|3|3|-1|0|0|</v>
      </c>
      <c r="B49" t="s">
        <v>3</v>
      </c>
      <c r="C49" t="s">
        <v>8</v>
      </c>
      <c r="D49">
        <v>48</v>
      </c>
      <c r="E49" t="s">
        <v>3</v>
      </c>
      <c r="F49" t="str">
        <f t="shared" si="3"/>
        <v>赤</v>
      </c>
      <c r="G49" t="s">
        <v>3</v>
      </c>
      <c r="H49">
        <f t="shared" si="4"/>
        <v>3</v>
      </c>
      <c r="I49" t="str">
        <f t="shared" si="5"/>
        <v>|</v>
      </c>
      <c r="J49">
        <f t="shared" si="6"/>
        <v>3</v>
      </c>
      <c r="K49" t="str">
        <f t="shared" si="5"/>
        <v>|</v>
      </c>
      <c r="L49">
        <f t="shared" si="7"/>
        <v>-1</v>
      </c>
      <c r="M49" t="str">
        <f t="shared" si="5"/>
        <v>|</v>
      </c>
      <c r="N49">
        <f t="shared" si="8"/>
        <v>0</v>
      </c>
      <c r="O49" t="str">
        <f t="shared" si="5"/>
        <v>|</v>
      </c>
      <c r="P49">
        <f t="shared" si="9"/>
        <v>0</v>
      </c>
      <c r="Q49" t="str">
        <f t="shared" si="5"/>
        <v>|</v>
      </c>
    </row>
    <row r="50" spans="1:19" x14ac:dyDescent="0.15">
      <c r="A50" t="str">
        <f t="shared" si="2"/>
        <v>|Lv54|3|3|0|0|0|</v>
      </c>
      <c r="B50" t="s">
        <v>3</v>
      </c>
      <c r="C50" t="s">
        <v>8</v>
      </c>
      <c r="D50">
        <v>54</v>
      </c>
      <c r="E50" t="s">
        <v>3</v>
      </c>
      <c r="F50" t="str">
        <f t="shared" si="3"/>
        <v>黒</v>
      </c>
      <c r="G50" t="s">
        <v>3</v>
      </c>
      <c r="H50">
        <f t="shared" si="4"/>
        <v>3</v>
      </c>
      <c r="I50" t="str">
        <f t="shared" si="5"/>
        <v>|</v>
      </c>
      <c r="J50">
        <f t="shared" si="6"/>
        <v>3</v>
      </c>
      <c r="K50" t="str">
        <f t="shared" si="5"/>
        <v>|</v>
      </c>
      <c r="L50">
        <f t="shared" si="7"/>
        <v>0</v>
      </c>
      <c r="M50" t="str">
        <f t="shared" si="5"/>
        <v>|</v>
      </c>
      <c r="N50">
        <f t="shared" si="8"/>
        <v>0</v>
      </c>
      <c r="O50" t="str">
        <f t="shared" si="5"/>
        <v>|</v>
      </c>
      <c r="P50">
        <f t="shared" si="9"/>
        <v>0</v>
      </c>
      <c r="Q50" t="str">
        <f t="shared" si="5"/>
        <v>|</v>
      </c>
    </row>
    <row r="51" spans="1:19" x14ac:dyDescent="0.15">
      <c r="A51" t="str">
        <f>B51&amp;C51&amp;D51&amp;E51&amp;F51&amp;G51&amp;H51&amp;I51&amp;J51&amp;K51&amp;L51&amp;M51&amp;N51&amp;O51&amp;P51</f>
        <v>&amp;br;</v>
      </c>
      <c r="B51" t="s">
        <v>0</v>
      </c>
    </row>
    <row r="52" spans="1:19" x14ac:dyDescent="0.15">
      <c r="A52" t="str">
        <f>B52&amp;C52&amp;D52&amp;E52&amp;F52&amp;G52&amp;H52&amp;I52&amp;J52&amp;K52&amp;L52&amp;M52&amp;N52&amp;O52&amp;P52</f>
        <v>&amp;br;</v>
      </c>
      <c r="B52" t="s">
        <v>0</v>
      </c>
    </row>
    <row r="53" spans="1:19" x14ac:dyDescent="0.15">
      <c r="A53" t="str">
        <f>B53&amp;C53&amp;D53&amp;E53&amp;F53&amp;G53&amp;H53&amp;I53&amp;J53&amp;K53&amp;L53&amp;M53&amp;N53&amp;O53&amp;P53</f>
        <v>*デッキ構築枚数上限 [#e6f382eb]</v>
      </c>
      <c r="B53" t="s">
        <v>16</v>
      </c>
    </row>
    <row r="54" spans="1:19" x14ac:dyDescent="0.15">
      <c r="A54" t="str">
        <f>B54&amp;C54&amp;D54&amp;E54&amp;F54&amp;G54&amp;H54&amp;I54&amp;J54&amp;K54&amp;L54&amp;M54&amp;N54&amp;O54&amp;P54</f>
        <v>構築枚数上限を越える枚数はデッキに入れられない。</v>
      </c>
      <c r="B54" t="s">
        <v>17</v>
      </c>
    </row>
    <row r="55" spans="1:19" x14ac:dyDescent="0.15">
      <c r="A55" t="str">
        <f t="shared" ref="A55:A65" si="10">B55&amp;C55&amp;D55&amp;G55&amp;H55&amp;I55&amp;J55&amp;K55&amp;L55&amp;M55&amp;N55&amp;O55&amp;P55&amp;Q55&amp;R55</f>
        <v>|LEFT:50|LEFT:80|LEFT:80|LEFT:80|c</v>
      </c>
      <c r="B55" t="s">
        <v>3</v>
      </c>
      <c r="C55" t="s">
        <v>4</v>
      </c>
      <c r="E55" t="s">
        <v>3</v>
      </c>
      <c r="G55" t="s">
        <v>3</v>
      </c>
      <c r="H55" t="s">
        <v>18</v>
      </c>
      <c r="I55" t="s">
        <v>3</v>
      </c>
      <c r="J55" t="s">
        <v>18</v>
      </c>
      <c r="K55" t="s">
        <v>3</v>
      </c>
      <c r="L55" t="s">
        <v>18</v>
      </c>
      <c r="M55" t="s">
        <v>3</v>
      </c>
      <c r="N55" t="s">
        <v>5</v>
      </c>
    </row>
    <row r="56" spans="1:19" x14ac:dyDescent="0.15">
      <c r="A56" t="str">
        <f t="shared" si="10"/>
        <v>|レベル|クリーチャー|呪文|サポート|</v>
      </c>
      <c r="B56" t="s">
        <v>3</v>
      </c>
      <c r="C56" t="s">
        <v>6</v>
      </c>
      <c r="E56" t="s">
        <v>3</v>
      </c>
      <c r="F56" t="s">
        <v>19</v>
      </c>
      <c r="G56" t="s">
        <v>3</v>
      </c>
      <c r="H56" t="s">
        <v>20</v>
      </c>
      <c r="I56" t="s">
        <v>3</v>
      </c>
      <c r="J56" t="s">
        <v>21</v>
      </c>
      <c r="K56" t="s">
        <v>3</v>
      </c>
      <c r="L56" t="s">
        <v>22</v>
      </c>
      <c r="M56" t="s">
        <v>3</v>
      </c>
      <c r="S56" t="s">
        <v>20</v>
      </c>
    </row>
    <row r="57" spans="1:19" x14ac:dyDescent="0.15">
      <c r="A57" t="str">
        <f t="shared" si="10"/>
        <v>|Lv1|2|5|3|</v>
      </c>
      <c r="B57" t="s">
        <v>3</v>
      </c>
      <c r="C57" t="s">
        <v>8</v>
      </c>
      <c r="D57">
        <v>1</v>
      </c>
      <c r="E57" t="s">
        <v>3</v>
      </c>
      <c r="G57" t="s">
        <v>3</v>
      </c>
      <c r="H57">
        <v>2</v>
      </c>
      <c r="I57" t="s">
        <v>3</v>
      </c>
      <c r="J57">
        <v>5</v>
      </c>
      <c r="K57" t="s">
        <v>3</v>
      </c>
      <c r="L57">
        <v>3</v>
      </c>
      <c r="M57" t="s">
        <v>3</v>
      </c>
      <c r="S57" t="s">
        <v>21</v>
      </c>
    </row>
    <row r="58" spans="1:19" x14ac:dyDescent="0.15">
      <c r="A58" t="str">
        <f t="shared" si="10"/>
        <v>|Lv2|3|5|3|</v>
      </c>
      <c r="B58" t="s">
        <v>3</v>
      </c>
      <c r="C58" t="s">
        <v>8</v>
      </c>
      <c r="D58">
        <v>2</v>
      </c>
      <c r="E58" t="s">
        <v>3</v>
      </c>
      <c r="F58" t="str">
        <f t="shared" ref="F58:F65" si="11">IF(ISBLANK(D58),"",INDEX($F$98:$F$157,D58))</f>
        <v>クリーチャー</v>
      </c>
      <c r="G58" t="s">
        <v>3</v>
      </c>
      <c r="H58">
        <f t="shared" ref="H58:H65" si="12">H57+IF(H$56=$F58,INDEX($H$98:$H$157,D58),0)</f>
        <v>3</v>
      </c>
      <c r="I58" t="s">
        <v>3</v>
      </c>
      <c r="J58">
        <f t="shared" ref="J58:J65" si="13">J57+IF(J$56=$F58,INDEX($H$98:$H$157,D58),0)</f>
        <v>5</v>
      </c>
      <c r="K58" t="s">
        <v>3</v>
      </c>
      <c r="L58">
        <f t="shared" ref="L58:L65" si="14">L57+IF(L$56=$F58,INDEX($H$98:$H$157,D58),0)</f>
        <v>3</v>
      </c>
      <c r="M58" t="s">
        <v>3</v>
      </c>
      <c r="S58" t="s">
        <v>22</v>
      </c>
    </row>
    <row r="59" spans="1:19" x14ac:dyDescent="0.15">
      <c r="A59" t="str">
        <f t="shared" si="10"/>
        <v>|Lv8|3|5|4|</v>
      </c>
      <c r="B59" t="s">
        <v>3</v>
      </c>
      <c r="C59" t="s">
        <v>8</v>
      </c>
      <c r="D59">
        <v>8</v>
      </c>
      <c r="E59" t="s">
        <v>3</v>
      </c>
      <c r="F59" t="str">
        <f t="shared" si="11"/>
        <v>サポート</v>
      </c>
      <c r="G59" t="s">
        <v>3</v>
      </c>
      <c r="H59">
        <f t="shared" si="12"/>
        <v>3</v>
      </c>
      <c r="I59" t="s">
        <v>3</v>
      </c>
      <c r="J59">
        <f t="shared" si="13"/>
        <v>5</v>
      </c>
      <c r="K59" t="s">
        <v>3</v>
      </c>
      <c r="L59">
        <f t="shared" si="14"/>
        <v>4</v>
      </c>
      <c r="M59" t="s">
        <v>3</v>
      </c>
    </row>
    <row r="60" spans="1:19" x14ac:dyDescent="0.15">
      <c r="A60" t="str">
        <f t="shared" si="10"/>
        <v>|Lv14|3|6|4|</v>
      </c>
      <c r="B60" t="s">
        <v>3</v>
      </c>
      <c r="C60" t="s">
        <v>8</v>
      </c>
      <c r="D60">
        <v>14</v>
      </c>
      <c r="E60" t="s">
        <v>3</v>
      </c>
      <c r="F60" t="str">
        <f t="shared" si="11"/>
        <v>呪文</v>
      </c>
      <c r="G60" t="s">
        <v>3</v>
      </c>
      <c r="H60">
        <f t="shared" si="12"/>
        <v>3</v>
      </c>
      <c r="I60" t="s">
        <v>3</v>
      </c>
      <c r="J60">
        <f t="shared" si="13"/>
        <v>6</v>
      </c>
      <c r="K60" t="s">
        <v>3</v>
      </c>
      <c r="L60">
        <f t="shared" si="14"/>
        <v>4</v>
      </c>
      <c r="M60" t="s">
        <v>3</v>
      </c>
    </row>
    <row r="61" spans="1:19" x14ac:dyDescent="0.15">
      <c r="A61" t="str">
        <f t="shared" si="10"/>
        <v>|Lv26|4|6|4|</v>
      </c>
      <c r="B61" t="s">
        <v>3</v>
      </c>
      <c r="C61" t="s">
        <v>8</v>
      </c>
      <c r="D61">
        <v>26</v>
      </c>
      <c r="E61" t="s">
        <v>3</v>
      </c>
      <c r="F61" t="str">
        <f t="shared" si="11"/>
        <v>クリーチャー</v>
      </c>
      <c r="G61" t="s">
        <v>3</v>
      </c>
      <c r="H61">
        <f t="shared" si="12"/>
        <v>4</v>
      </c>
      <c r="I61" t="s">
        <v>3</v>
      </c>
      <c r="J61">
        <f t="shared" si="13"/>
        <v>6</v>
      </c>
      <c r="K61" t="s">
        <v>3</v>
      </c>
      <c r="L61">
        <f t="shared" si="14"/>
        <v>4</v>
      </c>
      <c r="M61" t="s">
        <v>3</v>
      </c>
    </row>
    <row r="62" spans="1:19" x14ac:dyDescent="0.15">
      <c r="A62" t="str">
        <f t="shared" si="10"/>
        <v>|Lv32|4|6|5|</v>
      </c>
      <c r="B62" t="s">
        <v>3</v>
      </c>
      <c r="C62" t="s">
        <v>8</v>
      </c>
      <c r="D62">
        <v>32</v>
      </c>
      <c r="E62" t="s">
        <v>3</v>
      </c>
      <c r="F62" t="str">
        <f t="shared" si="11"/>
        <v>サポート</v>
      </c>
      <c r="G62" t="s">
        <v>3</v>
      </c>
      <c r="H62">
        <f t="shared" si="12"/>
        <v>4</v>
      </c>
      <c r="I62" t="s">
        <v>3</v>
      </c>
      <c r="J62">
        <f t="shared" si="13"/>
        <v>6</v>
      </c>
      <c r="K62" t="s">
        <v>3</v>
      </c>
      <c r="L62">
        <f t="shared" si="14"/>
        <v>5</v>
      </c>
      <c r="M62" t="s">
        <v>3</v>
      </c>
    </row>
    <row r="63" spans="1:19" x14ac:dyDescent="0.15">
      <c r="A63" t="str">
        <f t="shared" si="10"/>
        <v>|Lv38|4|7|5|</v>
      </c>
      <c r="B63" t="s">
        <v>3</v>
      </c>
      <c r="C63" t="s">
        <v>8</v>
      </c>
      <c r="D63">
        <v>38</v>
      </c>
      <c r="E63" t="s">
        <v>3</v>
      </c>
      <c r="F63" t="str">
        <f t="shared" si="11"/>
        <v>呪文</v>
      </c>
      <c r="G63" t="s">
        <v>3</v>
      </c>
      <c r="H63">
        <f t="shared" si="12"/>
        <v>4</v>
      </c>
      <c r="I63" t="s">
        <v>3</v>
      </c>
      <c r="J63">
        <f t="shared" si="13"/>
        <v>7</v>
      </c>
      <c r="K63" t="s">
        <v>3</v>
      </c>
      <c r="L63">
        <f t="shared" si="14"/>
        <v>5</v>
      </c>
      <c r="M63" t="s">
        <v>3</v>
      </c>
    </row>
    <row r="64" spans="1:19" x14ac:dyDescent="0.15">
      <c r="A64" t="str">
        <f t="shared" si="10"/>
        <v>|Lv50|5|7|5|</v>
      </c>
      <c r="B64" t="s">
        <v>3</v>
      </c>
      <c r="C64" t="s">
        <v>8</v>
      </c>
      <c r="D64">
        <v>50</v>
      </c>
      <c r="E64" t="s">
        <v>3</v>
      </c>
      <c r="F64" t="str">
        <f t="shared" si="11"/>
        <v>クリーチャー</v>
      </c>
      <c r="G64" t="s">
        <v>3</v>
      </c>
      <c r="H64">
        <f t="shared" si="12"/>
        <v>5</v>
      </c>
      <c r="I64" t="s">
        <v>3</v>
      </c>
      <c r="J64">
        <f t="shared" si="13"/>
        <v>7</v>
      </c>
      <c r="K64" t="s">
        <v>3</v>
      </c>
      <c r="L64">
        <f t="shared" si="14"/>
        <v>5</v>
      </c>
      <c r="M64" t="s">
        <v>3</v>
      </c>
    </row>
    <row r="65" spans="1:13" x14ac:dyDescent="0.15">
      <c r="A65" t="str">
        <f t="shared" si="10"/>
        <v>|Lv59|5|8|5|</v>
      </c>
      <c r="B65" t="s">
        <v>3</v>
      </c>
      <c r="C65" t="s">
        <v>8</v>
      </c>
      <c r="D65">
        <v>59</v>
      </c>
      <c r="E65" t="s">
        <v>3</v>
      </c>
      <c r="F65" t="str">
        <f t="shared" si="11"/>
        <v>呪文</v>
      </c>
      <c r="G65" t="s">
        <v>3</v>
      </c>
      <c r="H65">
        <f t="shared" si="12"/>
        <v>5</v>
      </c>
      <c r="I65" t="s">
        <v>3</v>
      </c>
      <c r="J65">
        <f t="shared" si="13"/>
        <v>8</v>
      </c>
      <c r="K65" t="s">
        <v>3</v>
      </c>
      <c r="L65">
        <f t="shared" si="14"/>
        <v>5</v>
      </c>
      <c r="M65" t="s">
        <v>3</v>
      </c>
    </row>
    <row r="66" spans="1:13" x14ac:dyDescent="0.15">
      <c r="A66" t="str">
        <f t="shared" ref="A66:A87" si="15">B66&amp;C66&amp;D66&amp;E66&amp;F66&amp;G66&amp;H66&amp;I66&amp;J66&amp;K66&amp;L66&amp;M66&amp;N66&amp;O66&amp;P66</f>
        <v>&amp;br;</v>
      </c>
      <c r="B66" t="s">
        <v>0</v>
      </c>
    </row>
    <row r="67" spans="1:13" x14ac:dyDescent="0.15">
      <c r="A67" t="str">
        <f t="shared" si="15"/>
        <v>&amp;br;</v>
      </c>
      <c r="B67" t="s">
        <v>0</v>
      </c>
    </row>
    <row r="68" spans="1:13" x14ac:dyDescent="0.15">
      <c r="A68" t="str">
        <f t="shared" si="15"/>
        <v>*PW能力一覧 [#a469e89f]</v>
      </c>
      <c r="B68" t="s">
        <v>23</v>
      </c>
    </row>
    <row r="69" spans="1:13" x14ac:dyDescent="0.15">
      <c r="A69" t="str">
        <f t="shared" si="15"/>
        <v>**第1能力：霊気利用/Tap the Aether</v>
      </c>
      <c r="B69" t="s">
        <v>24</v>
      </c>
      <c r="D69" t="s">
        <v>370</v>
      </c>
      <c r="E69" t="s">
        <v>25</v>
      </c>
      <c r="F69" t="s">
        <v>371</v>
      </c>
    </row>
    <row r="70" spans="1:13" x14ac:dyDescent="0.15">
      <c r="A70" t="str">
        <f t="shared" si="15"/>
        <v>|LEFT:50|LEFT:50|LEFT:50|LEFT:300|c</v>
      </c>
      <c r="B70" t="s">
        <v>3</v>
      </c>
      <c r="C70" t="s">
        <v>4</v>
      </c>
      <c r="E70" t="s">
        <v>3</v>
      </c>
      <c r="F70" t="s">
        <v>4</v>
      </c>
      <c r="G70" t="s">
        <v>3</v>
      </c>
      <c r="H70" t="s">
        <v>4</v>
      </c>
      <c r="I70" t="s">
        <v>3</v>
      </c>
      <c r="J70" t="s">
        <v>26</v>
      </c>
      <c r="K70" t="s">
        <v>3</v>
      </c>
      <c r="L70" t="s">
        <v>5</v>
      </c>
    </row>
    <row r="71" spans="1:13" x14ac:dyDescent="0.15">
      <c r="A71" t="str">
        <f t="shared" si="15"/>
        <v>|解放Lv|レベル|コスト|効果|</v>
      </c>
      <c r="B71" t="s">
        <v>3</v>
      </c>
      <c r="C71" t="s">
        <v>27</v>
      </c>
      <c r="E71" t="s">
        <v>3</v>
      </c>
      <c r="F71" t="s">
        <v>6</v>
      </c>
      <c r="G71" t="s">
        <v>3</v>
      </c>
      <c r="H71" t="s">
        <v>28</v>
      </c>
      <c r="I71" t="s">
        <v>3</v>
      </c>
      <c r="J71" t="s">
        <v>29</v>
      </c>
      <c r="K71" t="s">
        <v>3</v>
      </c>
    </row>
    <row r="72" spans="1:13" x14ac:dyDescent="0.15">
      <c r="A72" t="str">
        <f t="shared" si="15"/>
        <v>|Lv6|Lv1|9|エネルギー化1を行い、3マナ得る。|</v>
      </c>
      <c r="B72" t="s">
        <v>3</v>
      </c>
      <c r="C72" t="s">
        <v>8</v>
      </c>
      <c r="D72">
        <v>6</v>
      </c>
      <c r="E72" t="s">
        <v>3</v>
      </c>
      <c r="F72" t="s">
        <v>30</v>
      </c>
      <c r="G72" t="s">
        <v>3</v>
      </c>
      <c r="H72">
        <v>9</v>
      </c>
      <c r="I72" t="s">
        <v>3</v>
      </c>
      <c r="J72" t="s">
        <v>372</v>
      </c>
      <c r="K72" t="s">
        <v>3</v>
      </c>
    </row>
    <row r="73" spans="1:13" x14ac:dyDescent="0.15">
      <c r="A73" t="str">
        <f t="shared" si="15"/>
        <v>|Lv24|Lv2|9|エネルギー化2を行い、4マナ得る。|</v>
      </c>
      <c r="B73" t="s">
        <v>3</v>
      </c>
      <c r="C73" t="s">
        <v>8</v>
      </c>
      <c r="D73">
        <v>24</v>
      </c>
      <c r="E73" t="s">
        <v>3</v>
      </c>
      <c r="F73" t="s">
        <v>31</v>
      </c>
      <c r="G73" t="s">
        <v>3</v>
      </c>
      <c r="H73">
        <v>9</v>
      </c>
      <c r="I73" t="s">
        <v>3</v>
      </c>
      <c r="J73" t="s">
        <v>373</v>
      </c>
      <c r="K73" t="s">
        <v>3</v>
      </c>
    </row>
    <row r="74" spans="1:13" x14ac:dyDescent="0.15">
      <c r="A74" t="str">
        <f t="shared" si="15"/>
        <v>|Lv40|Lv3|9|エネルギー化3を行い、5マナ得る。|</v>
      </c>
      <c r="B74" t="s">
        <v>3</v>
      </c>
      <c r="C74" t="s">
        <v>8</v>
      </c>
      <c r="D74">
        <v>40</v>
      </c>
      <c r="E74" t="s">
        <v>3</v>
      </c>
      <c r="F74" t="s">
        <v>32</v>
      </c>
      <c r="G74" t="s">
        <v>3</v>
      </c>
      <c r="H74">
        <v>9</v>
      </c>
      <c r="I74" t="s">
        <v>3</v>
      </c>
      <c r="J74" t="s">
        <v>374</v>
      </c>
      <c r="K74" t="s">
        <v>3</v>
      </c>
    </row>
    <row r="75" spans="1:13" x14ac:dyDescent="0.15">
      <c r="A75" t="str">
        <f t="shared" si="15"/>
        <v>|Lv56|Lv4|9|エネルギー化4を行い、6マナ得る。|</v>
      </c>
      <c r="B75" t="s">
        <v>3</v>
      </c>
      <c r="C75" t="s">
        <v>8</v>
      </c>
      <c r="D75">
        <v>56</v>
      </c>
      <c r="E75" t="s">
        <v>3</v>
      </c>
      <c r="F75" t="s">
        <v>33</v>
      </c>
      <c r="G75" t="s">
        <v>3</v>
      </c>
      <c r="H75">
        <v>9</v>
      </c>
      <c r="I75" t="s">
        <v>3</v>
      </c>
      <c r="J75" t="s">
        <v>375</v>
      </c>
      <c r="K75" t="s">
        <v>3</v>
      </c>
    </row>
    <row r="76" spans="1:13" x14ac:dyDescent="0.15">
      <c r="A76" t="str">
        <f t="shared" si="15"/>
        <v>&amp;br;</v>
      </c>
      <c r="B76" t="s">
        <v>0</v>
      </c>
    </row>
    <row r="77" spans="1:13" x14ac:dyDescent="0.15">
      <c r="A77" t="str">
        <f t="shared" si="15"/>
        <v>&amp;br;</v>
      </c>
      <c r="B77" t="s">
        <v>0</v>
      </c>
    </row>
    <row r="78" spans="1:13" x14ac:dyDescent="0.15">
      <c r="A78" t="str">
        <f t="shared" si="15"/>
        <v>**第2能力：霊気収集/Aether Siphon</v>
      </c>
      <c r="B78" t="s">
        <v>34</v>
      </c>
      <c r="D78" t="s">
        <v>376</v>
      </c>
      <c r="E78" t="s">
        <v>25</v>
      </c>
      <c r="F78" t="s">
        <v>377</v>
      </c>
    </row>
    <row r="79" spans="1:13" x14ac:dyDescent="0.15">
      <c r="A79" t="str">
        <f t="shared" si="15"/>
        <v>|LEFT:50|LEFT:50|LEFT:50|LEFT:300|c</v>
      </c>
      <c r="B79" t="s">
        <v>3</v>
      </c>
      <c r="C79" t="s">
        <v>4</v>
      </c>
      <c r="E79" t="s">
        <v>3</v>
      </c>
      <c r="F79" t="s">
        <v>4</v>
      </c>
      <c r="G79" t="s">
        <v>3</v>
      </c>
      <c r="H79" t="s">
        <v>4</v>
      </c>
      <c r="I79" t="s">
        <v>3</v>
      </c>
      <c r="J79" t="s">
        <v>26</v>
      </c>
      <c r="K79" t="s">
        <v>3</v>
      </c>
      <c r="L79" t="s">
        <v>5</v>
      </c>
    </row>
    <row r="80" spans="1:13" x14ac:dyDescent="0.15">
      <c r="A80" t="str">
        <f t="shared" si="15"/>
        <v>|解放Lv|レベル|コスト|効果|</v>
      </c>
      <c r="B80" t="s">
        <v>3</v>
      </c>
      <c r="C80" t="s">
        <v>27</v>
      </c>
      <c r="E80" t="s">
        <v>3</v>
      </c>
      <c r="F80" t="s">
        <v>6</v>
      </c>
      <c r="G80" t="s">
        <v>3</v>
      </c>
      <c r="H80" t="s">
        <v>28</v>
      </c>
      <c r="I80" t="s">
        <v>3</v>
      </c>
      <c r="J80" t="s">
        <v>29</v>
      </c>
      <c r="K80" t="s">
        <v>3</v>
      </c>
    </row>
    <row r="81" spans="1:12" x14ac:dyDescent="0.15">
      <c r="A81" t="str">
        <f t="shared" si="15"/>
        <v>|Lv12|Lv1|12|「あなたのターン開始時にエネルギー化1を行う。超過3：1ドローする」を持つサポート(シールド数3)を生成する。|</v>
      </c>
      <c r="B81" t="s">
        <v>3</v>
      </c>
      <c r="C81" t="s">
        <v>8</v>
      </c>
      <c r="D81">
        <v>12</v>
      </c>
      <c r="E81" t="s">
        <v>3</v>
      </c>
      <c r="F81" t="s">
        <v>30</v>
      </c>
      <c r="G81" t="s">
        <v>3</v>
      </c>
      <c r="H81">
        <v>12</v>
      </c>
      <c r="I81" t="s">
        <v>3</v>
      </c>
      <c r="J81" t="s">
        <v>378</v>
      </c>
      <c r="K81" t="s">
        <v>3</v>
      </c>
    </row>
    <row r="82" spans="1:12" x14ac:dyDescent="0.15">
      <c r="A82" t="str">
        <f t="shared" si="15"/>
        <v>|Lv30|Lv2|12|「あなたのターン開始時にエネルギー化1を行う。超過2：1ドローする」を持つサポート(シールド数3)を生成する。|</v>
      </c>
      <c r="B82" t="s">
        <v>3</v>
      </c>
      <c r="C82" t="s">
        <v>8</v>
      </c>
      <c r="D82">
        <v>30</v>
      </c>
      <c r="E82" t="s">
        <v>3</v>
      </c>
      <c r="F82" t="s">
        <v>31</v>
      </c>
      <c r="G82" t="s">
        <v>3</v>
      </c>
      <c r="H82">
        <v>12</v>
      </c>
      <c r="I82" t="s">
        <v>3</v>
      </c>
      <c r="J82" t="s">
        <v>379</v>
      </c>
      <c r="K82" t="s">
        <v>3</v>
      </c>
    </row>
    <row r="83" spans="1:12" x14ac:dyDescent="0.15">
      <c r="A83" t="str">
        <f t="shared" si="15"/>
        <v>|Lv46|Lv3|12|「あなたのターン開始時にエネルギー化1を行う。超過1：1ドローする」を持つサポート(シールド数3)を生成する。|</v>
      </c>
      <c r="B83" t="s">
        <v>3</v>
      </c>
      <c r="C83" t="s">
        <v>8</v>
      </c>
      <c r="D83">
        <v>46</v>
      </c>
      <c r="E83" t="s">
        <v>3</v>
      </c>
      <c r="F83" t="s">
        <v>32</v>
      </c>
      <c r="G83" t="s">
        <v>3</v>
      </c>
      <c r="H83">
        <v>12</v>
      </c>
      <c r="I83" t="s">
        <v>3</v>
      </c>
      <c r="J83" t="s">
        <v>380</v>
      </c>
      <c r="K83" t="s">
        <v>3</v>
      </c>
    </row>
    <row r="84" spans="1:12" x14ac:dyDescent="0.15">
      <c r="A84" t="str">
        <f t="shared" si="15"/>
        <v>|Lv58|Lv4|12|「あなたのターン開始時にエネルギー化2を行う。超過1：1ドローする」を持つサポート(シールド数3)を生成する。|</v>
      </c>
      <c r="B84" t="s">
        <v>3</v>
      </c>
      <c r="C84" t="s">
        <v>8</v>
      </c>
      <c r="D84">
        <v>58</v>
      </c>
      <c r="E84" t="s">
        <v>3</v>
      </c>
      <c r="F84" t="s">
        <v>33</v>
      </c>
      <c r="G84" t="s">
        <v>3</v>
      </c>
      <c r="H84">
        <v>12</v>
      </c>
      <c r="I84" t="s">
        <v>3</v>
      </c>
      <c r="J84" t="s">
        <v>381</v>
      </c>
      <c r="K84" t="s">
        <v>3</v>
      </c>
    </row>
    <row r="85" spans="1:12" x14ac:dyDescent="0.15">
      <c r="A85" t="str">
        <f t="shared" si="15"/>
        <v>&amp;br;</v>
      </c>
      <c r="B85" t="s">
        <v>0</v>
      </c>
    </row>
    <row r="86" spans="1:12" x14ac:dyDescent="0.15">
      <c r="A86" t="str">
        <f t="shared" si="15"/>
        <v>&amp;br;</v>
      </c>
      <c r="B86" t="s">
        <v>0</v>
      </c>
    </row>
    <row r="87" spans="1:12" x14ac:dyDescent="0.15">
      <c r="A87" t="str">
        <f t="shared" si="15"/>
        <v>**第3能力：霊気革新/Aether Innovation</v>
      </c>
      <c r="B87" t="s">
        <v>35</v>
      </c>
      <c r="D87" t="s">
        <v>382</v>
      </c>
      <c r="E87" t="s">
        <v>25</v>
      </c>
      <c r="F87" t="s">
        <v>383</v>
      </c>
    </row>
    <row r="88" spans="1:12" x14ac:dyDescent="0.15">
      <c r="A88" t="str">
        <f t="shared" ref="A88:A151" si="16">B88&amp;C88&amp;D88&amp;E88&amp;F88&amp;G88&amp;H88&amp;I88&amp;J88&amp;K88&amp;L88&amp;M88&amp;N88&amp;O88&amp;P88</f>
        <v>|LEFT:50|LEFT:50|LEFT:50|LEFT:300|c</v>
      </c>
      <c r="B88" t="s">
        <v>3</v>
      </c>
      <c r="C88" t="s">
        <v>4</v>
      </c>
      <c r="E88" t="s">
        <v>3</v>
      </c>
      <c r="F88" t="s">
        <v>4</v>
      </c>
      <c r="G88" t="s">
        <v>3</v>
      </c>
      <c r="H88" t="s">
        <v>4</v>
      </c>
      <c r="I88" t="s">
        <v>3</v>
      </c>
      <c r="J88" t="s">
        <v>26</v>
      </c>
      <c r="K88" t="s">
        <v>3</v>
      </c>
      <c r="L88" t="s">
        <v>5</v>
      </c>
    </row>
    <row r="89" spans="1:12" x14ac:dyDescent="0.15">
      <c r="A89" t="str">
        <f t="shared" si="16"/>
        <v>|解放Lv|レベル|コスト|効果|</v>
      </c>
      <c r="B89" t="s">
        <v>3</v>
      </c>
      <c r="C89" t="s">
        <v>27</v>
      </c>
      <c r="E89" t="s">
        <v>3</v>
      </c>
      <c r="F89" t="s">
        <v>6</v>
      </c>
      <c r="G89" t="s">
        <v>3</v>
      </c>
      <c r="H89" t="s">
        <v>28</v>
      </c>
      <c r="I89" t="s">
        <v>3</v>
      </c>
      <c r="J89" t="s">
        <v>29</v>
      </c>
      <c r="K89" t="s">
        <v>3</v>
      </c>
    </row>
    <row r="90" spans="1:12" x14ac:dyDescent="0.15">
      <c r="A90" t="str">
        <f t="shared" si="16"/>
        <v>|Lv18|Lv1|21|「超過1：あなたがコントロールする各クリーチャーは+3/+3の修正を得る」を持つサポート(シールド数3)を生成する。|</v>
      </c>
      <c r="B90" t="s">
        <v>3</v>
      </c>
      <c r="C90" t="s">
        <v>8</v>
      </c>
      <c r="D90">
        <v>18</v>
      </c>
      <c r="E90" t="s">
        <v>3</v>
      </c>
      <c r="F90" t="s">
        <v>30</v>
      </c>
      <c r="G90" t="s">
        <v>3</v>
      </c>
      <c r="H90">
        <v>21</v>
      </c>
      <c r="I90" t="s">
        <v>3</v>
      </c>
      <c r="J90" t="s">
        <v>384</v>
      </c>
      <c r="K90" t="s">
        <v>3</v>
      </c>
    </row>
    <row r="91" spans="1:12" x14ac:dyDescent="0.15">
      <c r="A91" t="str">
        <f t="shared" si="16"/>
        <v>|Lv36|Lv2|21|「超過1：あなたがコントロールする各クリーチャーは+4/+4の修正を得る」を持つサポート(シールド数3)を生成する。|</v>
      </c>
      <c r="B91" t="s">
        <v>3</v>
      </c>
      <c r="C91" t="s">
        <v>8</v>
      </c>
      <c r="D91">
        <v>36</v>
      </c>
      <c r="E91" t="s">
        <v>3</v>
      </c>
      <c r="F91" t="s">
        <v>31</v>
      </c>
      <c r="G91" t="s">
        <v>3</v>
      </c>
      <c r="H91">
        <v>21</v>
      </c>
      <c r="I91" t="s">
        <v>3</v>
      </c>
      <c r="J91" t="s">
        <v>385</v>
      </c>
      <c r="K91" t="s">
        <v>3</v>
      </c>
    </row>
    <row r="92" spans="1:12" x14ac:dyDescent="0.15">
      <c r="A92" t="str">
        <f t="shared" si="16"/>
        <v>|Lv52|Lv3|21|「超過1：あなたがコントロールする各クリーチャーは+5/+5の修正を得る」を持つサポート(シールド数3)を生成する。|</v>
      </c>
      <c r="B92" t="s">
        <v>3</v>
      </c>
      <c r="C92" t="s">
        <v>8</v>
      </c>
      <c r="D92">
        <v>52</v>
      </c>
      <c r="E92" t="s">
        <v>3</v>
      </c>
      <c r="F92" t="s">
        <v>32</v>
      </c>
      <c r="G92" t="s">
        <v>3</v>
      </c>
      <c r="H92">
        <v>21</v>
      </c>
      <c r="I92" t="s">
        <v>3</v>
      </c>
      <c r="J92" t="s">
        <v>386</v>
      </c>
      <c r="K92" t="s">
        <v>3</v>
      </c>
    </row>
    <row r="93" spans="1:12" x14ac:dyDescent="0.15">
      <c r="A93" t="str">
        <f t="shared" si="16"/>
        <v>|Lv60|Lv4|21|「超過1：あなたがコントロールする各クリーチャーは+6/+6の修正を得る」を持つサポート(シールド数3)を生成する。|</v>
      </c>
      <c r="B93" t="s">
        <v>3</v>
      </c>
      <c r="C93" t="s">
        <v>8</v>
      </c>
      <c r="D93">
        <v>60</v>
      </c>
      <c r="E93" t="s">
        <v>3</v>
      </c>
      <c r="F93" t="s">
        <v>33</v>
      </c>
      <c r="G93" t="s">
        <v>3</v>
      </c>
      <c r="H93">
        <v>21</v>
      </c>
      <c r="I93" t="s">
        <v>3</v>
      </c>
      <c r="J93" t="s">
        <v>387</v>
      </c>
      <c r="K93" t="s">
        <v>3</v>
      </c>
    </row>
    <row r="94" spans="1:12" x14ac:dyDescent="0.15">
      <c r="A94" t="str">
        <f t="shared" si="16"/>
        <v>&amp;br;</v>
      </c>
      <c r="B94" t="s">
        <v>0</v>
      </c>
    </row>
    <row r="95" spans="1:12" x14ac:dyDescent="0.15">
      <c r="A95" t="str">
        <f t="shared" si="16"/>
        <v>&amp;br;</v>
      </c>
      <c r="B95" t="s">
        <v>0</v>
      </c>
    </row>
    <row r="96" spans="1:12" x14ac:dyDescent="0.15">
      <c r="A96" t="str">
        <f t="shared" si="16"/>
        <v>*レベルアップ報酬一覧 [#k0cef29c]</v>
      </c>
      <c r="B96" t="s">
        <v>36</v>
      </c>
    </row>
    <row r="97" spans="1:17" x14ac:dyDescent="0.15">
      <c r="A97" t="str">
        <f t="shared" si="16"/>
        <v>|LEFT:50|LEFT:100|c</v>
      </c>
      <c r="B97" t="s">
        <v>3</v>
      </c>
      <c r="C97" t="s">
        <v>4</v>
      </c>
      <c r="E97" t="s">
        <v>3</v>
      </c>
      <c r="F97" t="s">
        <v>37</v>
      </c>
      <c r="I97" t="s">
        <v>3</v>
      </c>
      <c r="J97" t="s">
        <v>5</v>
      </c>
    </row>
    <row r="98" spans="1:17" x14ac:dyDescent="0.15">
      <c r="A98" t="str">
        <f t="shared" si="16"/>
        <v>|レベル|報酬|</v>
      </c>
      <c r="B98" t="s">
        <v>3</v>
      </c>
      <c r="C98" t="s">
        <v>6</v>
      </c>
      <c r="E98" t="s">
        <v>3</v>
      </c>
      <c r="F98" t="s">
        <v>38</v>
      </c>
      <c r="I98" t="s">
        <v>3</v>
      </c>
      <c r="Q98" t="s">
        <v>7</v>
      </c>
    </row>
    <row r="99" spans="1:17" x14ac:dyDescent="0.15">
      <c r="A99" t="str">
        <f t="shared" si="16"/>
        <v>|Lｖ2|クリーチャー+1|</v>
      </c>
      <c r="B99" t="s">
        <v>3</v>
      </c>
      <c r="C99" t="s">
        <v>39</v>
      </c>
      <c r="D99">
        <v>2</v>
      </c>
      <c r="E99" t="s">
        <v>3</v>
      </c>
      <c r="F99" t="s">
        <v>20</v>
      </c>
      <c r="G99" t="str">
        <f>IF(OR(F99=$Q$107,F99=$Q$108,F99=$Q$109,F99=$Q$110,ISBLANK(F99)),"","+")</f>
        <v>+</v>
      </c>
      <c r="H99">
        <v>1</v>
      </c>
      <c r="I99" t="s">
        <v>3</v>
      </c>
      <c r="Q99" t="s">
        <v>20</v>
      </c>
    </row>
    <row r="100" spans="1:17" x14ac:dyDescent="0.15">
      <c r="A100" t="str">
        <f t="shared" si="16"/>
        <v>|Lｖ3|HP+3|</v>
      </c>
      <c r="B100" t="s">
        <v>3</v>
      </c>
      <c r="C100" t="s">
        <v>39</v>
      </c>
      <c r="D100">
        <v>3</v>
      </c>
      <c r="E100" t="s">
        <v>3</v>
      </c>
      <c r="F100" t="s">
        <v>7</v>
      </c>
      <c r="G100" t="str">
        <f t="shared" ref="G100:G156" si="17">IF(OR(F100=$Q$107,F100=$Q$108,F100=$Q$109,F100=$Q$110,ISBLANK(F100)),"","+")</f>
        <v>+</v>
      </c>
      <c r="H100">
        <v>3</v>
      </c>
      <c r="I100" t="s">
        <v>3</v>
      </c>
      <c r="Q100" t="s">
        <v>21</v>
      </c>
    </row>
    <row r="101" spans="1:17" x14ac:dyDescent="0.15">
      <c r="A101" t="str">
        <f t="shared" si="16"/>
        <v>|Lｖ4|青+1|</v>
      </c>
      <c r="B101" t="s">
        <v>3</v>
      </c>
      <c r="C101" t="s">
        <v>39</v>
      </c>
      <c r="D101">
        <v>4</v>
      </c>
      <c r="E101" t="s">
        <v>3</v>
      </c>
      <c r="F101" t="s">
        <v>12</v>
      </c>
      <c r="G101" t="str">
        <f t="shared" si="17"/>
        <v>+</v>
      </c>
      <c r="H101">
        <v>1</v>
      </c>
      <c r="I101" t="s">
        <v>3</v>
      </c>
      <c r="Q101" t="s">
        <v>22</v>
      </c>
    </row>
    <row r="102" spans="1:17" x14ac:dyDescent="0.15">
      <c r="A102" t="str">
        <f t="shared" si="16"/>
        <v>|Lｖ5|HP+3|</v>
      </c>
      <c r="B102" t="s">
        <v>3</v>
      </c>
      <c r="C102" t="s">
        <v>39</v>
      </c>
      <c r="D102">
        <v>5</v>
      </c>
      <c r="E102" t="s">
        <v>3</v>
      </c>
      <c r="F102" t="s">
        <v>7</v>
      </c>
      <c r="G102" t="str">
        <f t="shared" si="17"/>
        <v>+</v>
      </c>
      <c r="H102">
        <v>3</v>
      </c>
      <c r="I102" t="s">
        <v>3</v>
      </c>
      <c r="Q102" t="s">
        <v>11</v>
      </c>
    </row>
    <row r="103" spans="1:17" x14ac:dyDescent="0.15">
      <c r="A103" t="str">
        <f t="shared" si="16"/>
        <v>|Lｖ6|第1能力Lv1|</v>
      </c>
      <c r="B103" t="s">
        <v>3</v>
      </c>
      <c r="C103" t="s">
        <v>39</v>
      </c>
      <c r="D103">
        <v>6</v>
      </c>
      <c r="E103" t="s">
        <v>3</v>
      </c>
      <c r="F103" t="s">
        <v>40</v>
      </c>
      <c r="G103" t="str">
        <f t="shared" si="17"/>
        <v/>
      </c>
      <c r="H103">
        <v>1</v>
      </c>
      <c r="I103" t="s">
        <v>3</v>
      </c>
      <c r="Q103" t="s">
        <v>12</v>
      </c>
    </row>
    <row r="104" spans="1:17" x14ac:dyDescent="0.15">
      <c r="A104" t="str">
        <f t="shared" si="16"/>
        <v>|Lｖ7|HP+3|</v>
      </c>
      <c r="B104" t="s">
        <v>3</v>
      </c>
      <c r="C104" t="s">
        <v>39</v>
      </c>
      <c r="D104">
        <v>7</v>
      </c>
      <c r="E104" t="s">
        <v>3</v>
      </c>
      <c r="F104" t="s">
        <v>7</v>
      </c>
      <c r="G104" t="str">
        <f t="shared" si="17"/>
        <v>+</v>
      </c>
      <c r="H104">
        <v>3</v>
      </c>
      <c r="I104" t="s">
        <v>3</v>
      </c>
      <c r="Q104" t="s">
        <v>13</v>
      </c>
    </row>
    <row r="105" spans="1:17" x14ac:dyDescent="0.15">
      <c r="A105" t="str">
        <f t="shared" si="16"/>
        <v>|Lｖ8|サポート+1|</v>
      </c>
      <c r="B105" t="s">
        <v>3</v>
      </c>
      <c r="C105" t="s">
        <v>39</v>
      </c>
      <c r="D105">
        <v>8</v>
      </c>
      <c r="E105" t="s">
        <v>3</v>
      </c>
      <c r="F105" t="s">
        <v>22</v>
      </c>
      <c r="G105" t="str">
        <f t="shared" si="17"/>
        <v>+</v>
      </c>
      <c r="H105">
        <v>1</v>
      </c>
      <c r="I105" t="s">
        <v>3</v>
      </c>
      <c r="Q105" t="s">
        <v>14</v>
      </c>
    </row>
    <row r="106" spans="1:17" x14ac:dyDescent="0.15">
      <c r="A106" t="str">
        <f t="shared" si="16"/>
        <v>|Lｖ9|HP+3|</v>
      </c>
      <c r="B106" t="s">
        <v>3</v>
      </c>
      <c r="C106" t="s">
        <v>39</v>
      </c>
      <c r="D106">
        <v>9</v>
      </c>
      <c r="E106" t="s">
        <v>3</v>
      </c>
      <c r="F106" t="s">
        <v>7</v>
      </c>
      <c r="G106" t="str">
        <f t="shared" si="17"/>
        <v>+</v>
      </c>
      <c r="H106">
        <v>3</v>
      </c>
      <c r="I106" t="s">
        <v>3</v>
      </c>
      <c r="Q106" t="s">
        <v>15</v>
      </c>
    </row>
    <row r="107" spans="1:17" x14ac:dyDescent="0.15">
      <c r="A107" t="str">
        <f t="shared" si="16"/>
        <v>|Lｖ10|白+1|</v>
      </c>
      <c r="B107" t="s">
        <v>3</v>
      </c>
      <c r="C107" t="s">
        <v>39</v>
      </c>
      <c r="D107">
        <v>10</v>
      </c>
      <c r="E107" t="s">
        <v>3</v>
      </c>
      <c r="F107" t="s">
        <v>11</v>
      </c>
      <c r="G107" t="str">
        <f t="shared" si="17"/>
        <v>+</v>
      </c>
      <c r="H107">
        <v>1</v>
      </c>
      <c r="I107" t="s">
        <v>3</v>
      </c>
      <c r="Q107" t="s">
        <v>40</v>
      </c>
    </row>
    <row r="108" spans="1:17" x14ac:dyDescent="0.15">
      <c r="A108" t="str">
        <f t="shared" si="16"/>
        <v>|Lｖ11|HP+3|</v>
      </c>
      <c r="B108" t="s">
        <v>3</v>
      </c>
      <c r="C108" t="s">
        <v>39</v>
      </c>
      <c r="D108">
        <v>11</v>
      </c>
      <c r="E108" t="s">
        <v>3</v>
      </c>
      <c r="F108" t="s">
        <v>7</v>
      </c>
      <c r="G108" t="str">
        <f t="shared" si="17"/>
        <v>+</v>
      </c>
      <c r="H108">
        <v>3</v>
      </c>
      <c r="I108" t="s">
        <v>3</v>
      </c>
      <c r="Q108" t="s">
        <v>41</v>
      </c>
    </row>
    <row r="109" spans="1:17" x14ac:dyDescent="0.15">
      <c r="A109" t="str">
        <f t="shared" si="16"/>
        <v>|Lｖ12|第2能力Lv1|</v>
      </c>
      <c r="B109" t="s">
        <v>3</v>
      </c>
      <c r="C109" t="s">
        <v>39</v>
      </c>
      <c r="D109">
        <v>12</v>
      </c>
      <c r="E109" t="s">
        <v>3</v>
      </c>
      <c r="F109" t="s">
        <v>41</v>
      </c>
      <c r="G109" t="str">
        <f t="shared" si="17"/>
        <v/>
      </c>
      <c r="H109">
        <v>1</v>
      </c>
      <c r="I109" t="s">
        <v>3</v>
      </c>
      <c r="Q109" t="s">
        <v>42</v>
      </c>
    </row>
    <row r="110" spans="1:17" x14ac:dyDescent="0.15">
      <c r="A110" t="str">
        <f t="shared" si="16"/>
        <v>|Lｖ13|HP+3|</v>
      </c>
      <c r="B110" t="s">
        <v>3</v>
      </c>
      <c r="C110" t="s">
        <v>39</v>
      </c>
      <c r="D110">
        <v>13</v>
      </c>
      <c r="E110" t="s">
        <v>3</v>
      </c>
      <c r="F110" t="s">
        <v>7</v>
      </c>
      <c r="G110" t="str">
        <f t="shared" si="17"/>
        <v>+</v>
      </c>
      <c r="H110">
        <v>3</v>
      </c>
      <c r="I110" t="s">
        <v>3</v>
      </c>
      <c r="Q110" t="s">
        <v>43</v>
      </c>
    </row>
    <row r="111" spans="1:17" x14ac:dyDescent="0.15">
      <c r="A111" t="str">
        <f t="shared" si="16"/>
        <v>|Lｖ14|呪文+1|</v>
      </c>
      <c r="B111" t="s">
        <v>3</v>
      </c>
      <c r="C111" t="s">
        <v>39</v>
      </c>
      <c r="D111">
        <v>14</v>
      </c>
      <c r="E111" t="s">
        <v>3</v>
      </c>
      <c r="F111" t="s">
        <v>21</v>
      </c>
      <c r="G111" t="str">
        <f t="shared" si="17"/>
        <v>+</v>
      </c>
      <c r="H111">
        <v>1</v>
      </c>
      <c r="I111" t="s">
        <v>3</v>
      </c>
    </row>
    <row r="112" spans="1:17" x14ac:dyDescent="0.15">
      <c r="A112" t="str">
        <f t="shared" si="16"/>
        <v>|Lｖ15|HP+3|</v>
      </c>
      <c r="B112" t="s">
        <v>3</v>
      </c>
      <c r="C112" t="s">
        <v>39</v>
      </c>
      <c r="D112">
        <v>15</v>
      </c>
      <c r="E112" t="s">
        <v>3</v>
      </c>
      <c r="F112" t="s">
        <v>7</v>
      </c>
      <c r="G112" t="str">
        <f t="shared" si="17"/>
        <v>+</v>
      </c>
      <c r="H112">
        <v>3</v>
      </c>
      <c r="I112" t="s">
        <v>3</v>
      </c>
    </row>
    <row r="113" spans="1:9" x14ac:dyDescent="0.15">
      <c r="A113" t="str">
        <f t="shared" si="16"/>
        <v>|Lｖ16|赤+1|</v>
      </c>
      <c r="B113" t="s">
        <v>3</v>
      </c>
      <c r="C113" t="s">
        <v>39</v>
      </c>
      <c r="D113">
        <v>16</v>
      </c>
      <c r="E113" t="s">
        <v>3</v>
      </c>
      <c r="F113" t="s">
        <v>14</v>
      </c>
      <c r="G113" t="str">
        <f t="shared" si="17"/>
        <v>+</v>
      </c>
      <c r="H113">
        <v>1</v>
      </c>
      <c r="I113" t="s">
        <v>3</v>
      </c>
    </row>
    <row r="114" spans="1:9" x14ac:dyDescent="0.15">
      <c r="A114" t="str">
        <f t="shared" si="16"/>
        <v>|Lｖ17|HP+3|</v>
      </c>
      <c r="B114" t="s">
        <v>3</v>
      </c>
      <c r="C114" t="s">
        <v>39</v>
      </c>
      <c r="D114">
        <v>17</v>
      </c>
      <c r="E114" t="s">
        <v>3</v>
      </c>
      <c r="F114" t="s">
        <v>7</v>
      </c>
      <c r="G114" t="str">
        <f t="shared" si="17"/>
        <v>+</v>
      </c>
      <c r="H114">
        <v>3</v>
      </c>
      <c r="I114" t="s">
        <v>3</v>
      </c>
    </row>
    <row r="115" spans="1:9" x14ac:dyDescent="0.15">
      <c r="A115" t="str">
        <f t="shared" si="16"/>
        <v>|Lｖ18|第3能力Lv1|</v>
      </c>
      <c r="B115" t="s">
        <v>3</v>
      </c>
      <c r="C115" t="s">
        <v>39</v>
      </c>
      <c r="D115">
        <v>18</v>
      </c>
      <c r="E115" t="s">
        <v>3</v>
      </c>
      <c r="F115" t="s">
        <v>42</v>
      </c>
      <c r="G115" t="str">
        <f t="shared" si="17"/>
        <v/>
      </c>
      <c r="H115">
        <v>1</v>
      </c>
      <c r="I115" t="s">
        <v>3</v>
      </c>
    </row>
    <row r="116" spans="1:9" x14ac:dyDescent="0.15">
      <c r="A116" t="str">
        <f t="shared" si="16"/>
        <v>|Lｖ19|HP+3|</v>
      </c>
      <c r="B116" t="s">
        <v>3</v>
      </c>
      <c r="C116" t="s">
        <v>39</v>
      </c>
      <c r="D116">
        <v>19</v>
      </c>
      <c r="E116" t="s">
        <v>3</v>
      </c>
      <c r="F116" t="s">
        <v>7</v>
      </c>
      <c r="G116" t="str">
        <f t="shared" si="17"/>
        <v>+</v>
      </c>
      <c r="H116">
        <v>3</v>
      </c>
      <c r="I116" t="s">
        <v>3</v>
      </c>
    </row>
    <row r="117" spans="1:9" x14ac:dyDescent="0.15">
      <c r="A117" t="str">
        <f t="shared" si="16"/>
        <v>|Lｖ20|回復速度上昇|</v>
      </c>
      <c r="B117" t="s">
        <v>3</v>
      </c>
      <c r="C117" t="s">
        <v>39</v>
      </c>
      <c r="D117">
        <v>20</v>
      </c>
      <c r="E117" t="s">
        <v>3</v>
      </c>
      <c r="F117" t="s">
        <v>43</v>
      </c>
      <c r="G117" t="str">
        <f t="shared" si="17"/>
        <v/>
      </c>
      <c r="I117" t="s">
        <v>3</v>
      </c>
    </row>
    <row r="118" spans="1:9" x14ac:dyDescent="0.15">
      <c r="A118" t="str">
        <f t="shared" si="16"/>
        <v>|Lｖ21|HP+3|</v>
      </c>
      <c r="B118" t="s">
        <v>3</v>
      </c>
      <c r="C118" t="s">
        <v>39</v>
      </c>
      <c r="D118">
        <v>21</v>
      </c>
      <c r="E118" t="s">
        <v>3</v>
      </c>
      <c r="F118" t="s">
        <v>7</v>
      </c>
      <c r="G118" t="str">
        <f t="shared" si="17"/>
        <v>+</v>
      </c>
      <c r="H118">
        <v>3</v>
      </c>
      <c r="I118" t="s">
        <v>3</v>
      </c>
    </row>
    <row r="119" spans="1:9" x14ac:dyDescent="0.15">
      <c r="A119" t="str">
        <f t="shared" si="16"/>
        <v>|Lｖ22|緑+1|</v>
      </c>
      <c r="B119" t="s">
        <v>3</v>
      </c>
      <c r="C119" t="s">
        <v>39</v>
      </c>
      <c r="D119">
        <v>22</v>
      </c>
      <c r="E119" t="s">
        <v>3</v>
      </c>
      <c r="F119" t="s">
        <v>15</v>
      </c>
      <c r="G119" t="str">
        <f t="shared" si="17"/>
        <v>+</v>
      </c>
      <c r="H119">
        <v>1</v>
      </c>
      <c r="I119" t="s">
        <v>3</v>
      </c>
    </row>
    <row r="120" spans="1:9" x14ac:dyDescent="0.15">
      <c r="A120" t="str">
        <f t="shared" si="16"/>
        <v>|Lｖ23|HP+3|</v>
      </c>
      <c r="B120" t="s">
        <v>3</v>
      </c>
      <c r="C120" t="s">
        <v>39</v>
      </c>
      <c r="D120">
        <v>23</v>
      </c>
      <c r="E120" t="s">
        <v>3</v>
      </c>
      <c r="F120" t="s">
        <v>7</v>
      </c>
      <c r="G120" t="str">
        <f t="shared" si="17"/>
        <v>+</v>
      </c>
      <c r="H120">
        <v>3</v>
      </c>
      <c r="I120" t="s">
        <v>3</v>
      </c>
    </row>
    <row r="121" spans="1:9" x14ac:dyDescent="0.15">
      <c r="A121" t="str">
        <f t="shared" si="16"/>
        <v>|Lｖ24|第1能力Lv2|</v>
      </c>
      <c r="B121" t="s">
        <v>3</v>
      </c>
      <c r="C121" t="s">
        <v>39</v>
      </c>
      <c r="D121">
        <v>24</v>
      </c>
      <c r="E121" t="s">
        <v>3</v>
      </c>
      <c r="F121" t="s">
        <v>40</v>
      </c>
      <c r="G121" t="str">
        <f t="shared" si="17"/>
        <v/>
      </c>
      <c r="H121">
        <v>2</v>
      </c>
      <c r="I121" t="s">
        <v>3</v>
      </c>
    </row>
    <row r="122" spans="1:9" x14ac:dyDescent="0.15">
      <c r="A122" t="str">
        <f t="shared" si="16"/>
        <v>|Lｖ25|HP+3|</v>
      </c>
      <c r="B122" t="s">
        <v>3</v>
      </c>
      <c r="C122" t="s">
        <v>39</v>
      </c>
      <c r="D122">
        <v>25</v>
      </c>
      <c r="E122" t="s">
        <v>3</v>
      </c>
      <c r="F122" t="s">
        <v>7</v>
      </c>
      <c r="G122" t="str">
        <f t="shared" si="17"/>
        <v>+</v>
      </c>
      <c r="H122">
        <v>3</v>
      </c>
      <c r="I122" t="s">
        <v>3</v>
      </c>
    </row>
    <row r="123" spans="1:9" x14ac:dyDescent="0.15">
      <c r="A123" t="str">
        <f t="shared" si="16"/>
        <v>|Lｖ26|クリーチャー+1|</v>
      </c>
      <c r="B123" t="s">
        <v>3</v>
      </c>
      <c r="C123" t="s">
        <v>39</v>
      </c>
      <c r="D123">
        <v>26</v>
      </c>
      <c r="E123" t="s">
        <v>3</v>
      </c>
      <c r="F123" t="s">
        <v>20</v>
      </c>
      <c r="G123" t="str">
        <f t="shared" si="17"/>
        <v>+</v>
      </c>
      <c r="H123">
        <v>1</v>
      </c>
      <c r="I123" t="s">
        <v>3</v>
      </c>
    </row>
    <row r="124" spans="1:9" x14ac:dyDescent="0.15">
      <c r="A124" t="str">
        <f t="shared" si="16"/>
        <v>|Lｖ27|HP+3|</v>
      </c>
      <c r="B124" t="s">
        <v>3</v>
      </c>
      <c r="C124" t="s">
        <v>39</v>
      </c>
      <c r="D124">
        <v>27</v>
      </c>
      <c r="E124" t="s">
        <v>3</v>
      </c>
      <c r="F124" t="s">
        <v>7</v>
      </c>
      <c r="G124" t="str">
        <f t="shared" si="17"/>
        <v>+</v>
      </c>
      <c r="H124">
        <v>3</v>
      </c>
      <c r="I124" t="s">
        <v>3</v>
      </c>
    </row>
    <row r="125" spans="1:9" x14ac:dyDescent="0.15">
      <c r="A125" t="str">
        <f t="shared" si="16"/>
        <v>|Lｖ28|黒+1|</v>
      </c>
      <c r="B125" t="s">
        <v>3</v>
      </c>
      <c r="C125" t="s">
        <v>39</v>
      </c>
      <c r="D125">
        <v>28</v>
      </c>
      <c r="E125" t="s">
        <v>3</v>
      </c>
      <c r="F125" t="s">
        <v>13</v>
      </c>
      <c r="G125" t="str">
        <f t="shared" si="17"/>
        <v>+</v>
      </c>
      <c r="H125">
        <v>1</v>
      </c>
      <c r="I125" t="s">
        <v>3</v>
      </c>
    </row>
    <row r="126" spans="1:9" x14ac:dyDescent="0.15">
      <c r="A126" t="str">
        <f t="shared" si="16"/>
        <v>|Lｖ29|HP+3|</v>
      </c>
      <c r="B126" t="s">
        <v>3</v>
      </c>
      <c r="C126" t="s">
        <v>39</v>
      </c>
      <c r="D126">
        <v>29</v>
      </c>
      <c r="E126" t="s">
        <v>3</v>
      </c>
      <c r="F126" t="s">
        <v>7</v>
      </c>
      <c r="G126" t="str">
        <f t="shared" si="17"/>
        <v>+</v>
      </c>
      <c r="H126">
        <v>3</v>
      </c>
      <c r="I126" t="s">
        <v>3</v>
      </c>
    </row>
    <row r="127" spans="1:9" x14ac:dyDescent="0.15">
      <c r="A127" t="str">
        <f t="shared" si="16"/>
        <v>|Lｖ30|第2能力Lv2|</v>
      </c>
      <c r="B127" t="s">
        <v>3</v>
      </c>
      <c r="C127" t="s">
        <v>39</v>
      </c>
      <c r="D127">
        <v>30</v>
      </c>
      <c r="E127" t="s">
        <v>3</v>
      </c>
      <c r="F127" t="s">
        <v>41</v>
      </c>
      <c r="G127" t="str">
        <f t="shared" si="17"/>
        <v/>
      </c>
      <c r="H127">
        <v>2</v>
      </c>
      <c r="I127" t="s">
        <v>3</v>
      </c>
    </row>
    <row r="128" spans="1:9" x14ac:dyDescent="0.15">
      <c r="A128" t="str">
        <f t="shared" si="16"/>
        <v>|Lｖ31|HP+3|</v>
      </c>
      <c r="B128" t="s">
        <v>3</v>
      </c>
      <c r="C128" t="s">
        <v>39</v>
      </c>
      <c r="D128">
        <v>31</v>
      </c>
      <c r="E128" t="s">
        <v>3</v>
      </c>
      <c r="F128" t="s">
        <v>7</v>
      </c>
      <c r="G128" t="str">
        <f t="shared" si="17"/>
        <v>+</v>
      </c>
      <c r="H128">
        <v>3</v>
      </c>
      <c r="I128" t="s">
        <v>3</v>
      </c>
    </row>
    <row r="129" spans="1:9" x14ac:dyDescent="0.15">
      <c r="A129" t="str">
        <f t="shared" si="16"/>
        <v>|Lｖ32|サポート+1|</v>
      </c>
      <c r="B129" t="s">
        <v>3</v>
      </c>
      <c r="C129" t="s">
        <v>39</v>
      </c>
      <c r="D129">
        <v>32</v>
      </c>
      <c r="E129" t="s">
        <v>3</v>
      </c>
      <c r="F129" t="s">
        <v>22</v>
      </c>
      <c r="G129" t="str">
        <f t="shared" si="17"/>
        <v>+</v>
      </c>
      <c r="H129">
        <v>1</v>
      </c>
      <c r="I129" t="s">
        <v>3</v>
      </c>
    </row>
    <row r="130" spans="1:9" x14ac:dyDescent="0.15">
      <c r="A130" t="str">
        <f t="shared" si="16"/>
        <v>|Lｖ33|HP+3|</v>
      </c>
      <c r="B130" t="s">
        <v>3</v>
      </c>
      <c r="C130" t="s">
        <v>39</v>
      </c>
      <c r="D130">
        <v>33</v>
      </c>
      <c r="E130" t="s">
        <v>3</v>
      </c>
      <c r="F130" t="s">
        <v>7</v>
      </c>
      <c r="G130" t="str">
        <f t="shared" si="17"/>
        <v>+</v>
      </c>
      <c r="H130">
        <v>3</v>
      </c>
      <c r="I130" t="s">
        <v>3</v>
      </c>
    </row>
    <row r="131" spans="1:9" x14ac:dyDescent="0.15">
      <c r="A131" t="str">
        <f t="shared" si="16"/>
        <v>|Lｖ34|青+1|</v>
      </c>
      <c r="B131" t="s">
        <v>3</v>
      </c>
      <c r="C131" t="s">
        <v>39</v>
      </c>
      <c r="D131">
        <v>34</v>
      </c>
      <c r="E131" t="s">
        <v>3</v>
      </c>
      <c r="F131" t="s">
        <v>12</v>
      </c>
      <c r="G131" t="str">
        <f t="shared" si="17"/>
        <v>+</v>
      </c>
      <c r="H131">
        <v>1</v>
      </c>
      <c r="I131" t="s">
        <v>3</v>
      </c>
    </row>
    <row r="132" spans="1:9" x14ac:dyDescent="0.15">
      <c r="A132" t="str">
        <f t="shared" si="16"/>
        <v>|Lｖ35|HP+3|</v>
      </c>
      <c r="B132" t="s">
        <v>3</v>
      </c>
      <c r="C132" t="s">
        <v>39</v>
      </c>
      <c r="D132">
        <v>35</v>
      </c>
      <c r="E132" t="s">
        <v>3</v>
      </c>
      <c r="F132" t="s">
        <v>7</v>
      </c>
      <c r="G132" t="str">
        <f t="shared" si="17"/>
        <v>+</v>
      </c>
      <c r="H132">
        <v>3</v>
      </c>
      <c r="I132" t="s">
        <v>3</v>
      </c>
    </row>
    <row r="133" spans="1:9" x14ac:dyDescent="0.15">
      <c r="A133" t="str">
        <f t="shared" si="16"/>
        <v>|Lｖ36|第3能力Lv2|</v>
      </c>
      <c r="B133" t="s">
        <v>3</v>
      </c>
      <c r="C133" t="s">
        <v>39</v>
      </c>
      <c r="D133">
        <v>36</v>
      </c>
      <c r="E133" t="s">
        <v>3</v>
      </c>
      <c r="F133" t="s">
        <v>42</v>
      </c>
      <c r="G133" t="str">
        <f t="shared" si="17"/>
        <v/>
      </c>
      <c r="H133">
        <v>2</v>
      </c>
      <c r="I133" t="s">
        <v>3</v>
      </c>
    </row>
    <row r="134" spans="1:9" x14ac:dyDescent="0.15">
      <c r="A134" t="str">
        <f t="shared" si="16"/>
        <v>|Lｖ37|HP+3|</v>
      </c>
      <c r="B134" t="s">
        <v>3</v>
      </c>
      <c r="C134" t="s">
        <v>39</v>
      </c>
      <c r="D134">
        <v>37</v>
      </c>
      <c r="E134" t="s">
        <v>3</v>
      </c>
      <c r="F134" t="s">
        <v>7</v>
      </c>
      <c r="G134" t="str">
        <f t="shared" si="17"/>
        <v>+</v>
      </c>
      <c r="H134">
        <v>3</v>
      </c>
      <c r="I134" t="s">
        <v>3</v>
      </c>
    </row>
    <row r="135" spans="1:9" x14ac:dyDescent="0.15">
      <c r="A135" t="str">
        <f t="shared" si="16"/>
        <v>|Lｖ38|呪文+1|</v>
      </c>
      <c r="B135" t="s">
        <v>3</v>
      </c>
      <c r="C135" t="s">
        <v>39</v>
      </c>
      <c r="D135">
        <v>38</v>
      </c>
      <c r="E135" t="s">
        <v>3</v>
      </c>
      <c r="F135" t="s">
        <v>21</v>
      </c>
      <c r="G135" t="str">
        <f t="shared" si="17"/>
        <v>+</v>
      </c>
      <c r="H135">
        <v>1</v>
      </c>
      <c r="I135" t="s">
        <v>3</v>
      </c>
    </row>
    <row r="136" spans="1:9" x14ac:dyDescent="0.15">
      <c r="A136" t="str">
        <f t="shared" si="16"/>
        <v>|Lｖ39|HP+3|</v>
      </c>
      <c r="B136" t="s">
        <v>3</v>
      </c>
      <c r="C136" t="s">
        <v>39</v>
      </c>
      <c r="D136">
        <v>39</v>
      </c>
      <c r="E136" t="s">
        <v>3</v>
      </c>
      <c r="F136" t="s">
        <v>7</v>
      </c>
      <c r="G136" t="str">
        <f t="shared" si="17"/>
        <v>+</v>
      </c>
      <c r="H136">
        <v>3</v>
      </c>
      <c r="I136" t="s">
        <v>3</v>
      </c>
    </row>
    <row r="137" spans="1:9" x14ac:dyDescent="0.15">
      <c r="A137" t="str">
        <f t="shared" si="16"/>
        <v>|Lｖ40|第1能力Lv3|</v>
      </c>
      <c r="B137" t="s">
        <v>3</v>
      </c>
      <c r="C137" t="s">
        <v>39</v>
      </c>
      <c r="D137">
        <v>40</v>
      </c>
      <c r="E137" t="s">
        <v>3</v>
      </c>
      <c r="F137" t="s">
        <v>40</v>
      </c>
      <c r="G137" t="str">
        <f t="shared" si="17"/>
        <v/>
      </c>
      <c r="H137">
        <v>3</v>
      </c>
      <c r="I137" t="s">
        <v>3</v>
      </c>
    </row>
    <row r="138" spans="1:9" x14ac:dyDescent="0.15">
      <c r="A138" t="str">
        <f t="shared" si="16"/>
        <v>|Lｖ41|HP+3|</v>
      </c>
      <c r="B138" t="s">
        <v>3</v>
      </c>
      <c r="C138" t="s">
        <v>39</v>
      </c>
      <c r="D138">
        <v>41</v>
      </c>
      <c r="E138" t="s">
        <v>3</v>
      </c>
      <c r="F138" t="s">
        <v>7</v>
      </c>
      <c r="G138" t="str">
        <f t="shared" si="17"/>
        <v>+</v>
      </c>
      <c r="H138">
        <v>3</v>
      </c>
      <c r="I138" t="s">
        <v>3</v>
      </c>
    </row>
    <row r="139" spans="1:9" x14ac:dyDescent="0.15">
      <c r="A139" t="str">
        <f t="shared" si="16"/>
        <v>|Lｖ42|白+1|</v>
      </c>
      <c r="B139" t="s">
        <v>3</v>
      </c>
      <c r="C139" t="s">
        <v>39</v>
      </c>
      <c r="D139">
        <v>42</v>
      </c>
      <c r="E139" t="s">
        <v>3</v>
      </c>
      <c r="F139" t="s">
        <v>11</v>
      </c>
      <c r="G139" t="str">
        <f t="shared" si="17"/>
        <v>+</v>
      </c>
      <c r="H139">
        <v>1</v>
      </c>
      <c r="I139" t="s">
        <v>3</v>
      </c>
    </row>
    <row r="140" spans="1:9" x14ac:dyDescent="0.15">
      <c r="A140" t="str">
        <f t="shared" si="16"/>
        <v>|Lｖ43|HP+3|</v>
      </c>
      <c r="B140" t="s">
        <v>3</v>
      </c>
      <c r="C140" t="s">
        <v>39</v>
      </c>
      <c r="D140">
        <v>43</v>
      </c>
      <c r="E140" t="s">
        <v>3</v>
      </c>
      <c r="F140" t="s">
        <v>7</v>
      </c>
      <c r="G140" t="str">
        <f t="shared" si="17"/>
        <v>+</v>
      </c>
      <c r="H140">
        <v>3</v>
      </c>
      <c r="I140" t="s">
        <v>3</v>
      </c>
    </row>
    <row r="141" spans="1:9" x14ac:dyDescent="0.15">
      <c r="A141" t="str">
        <f t="shared" si="16"/>
        <v>|Lｖ44|回復速度上昇|</v>
      </c>
      <c r="B141" t="s">
        <v>3</v>
      </c>
      <c r="C141" t="s">
        <v>39</v>
      </c>
      <c r="D141">
        <v>44</v>
      </c>
      <c r="E141" t="s">
        <v>3</v>
      </c>
      <c r="F141" t="s">
        <v>43</v>
      </c>
      <c r="G141" t="str">
        <f t="shared" si="17"/>
        <v/>
      </c>
      <c r="I141" t="s">
        <v>3</v>
      </c>
    </row>
    <row r="142" spans="1:9" x14ac:dyDescent="0.15">
      <c r="A142" t="str">
        <f t="shared" si="16"/>
        <v>|Lｖ45|HP+3|</v>
      </c>
      <c r="B142" t="s">
        <v>3</v>
      </c>
      <c r="C142" t="s">
        <v>39</v>
      </c>
      <c r="D142">
        <v>45</v>
      </c>
      <c r="E142" t="s">
        <v>3</v>
      </c>
      <c r="F142" t="s">
        <v>7</v>
      </c>
      <c r="G142" t="str">
        <f t="shared" si="17"/>
        <v>+</v>
      </c>
      <c r="H142">
        <v>3</v>
      </c>
      <c r="I142" t="s">
        <v>3</v>
      </c>
    </row>
    <row r="143" spans="1:9" x14ac:dyDescent="0.15">
      <c r="A143" t="str">
        <f t="shared" si="16"/>
        <v>|Lｖ46|第2能力Lv3|</v>
      </c>
      <c r="B143" t="s">
        <v>3</v>
      </c>
      <c r="C143" t="s">
        <v>39</v>
      </c>
      <c r="D143">
        <v>46</v>
      </c>
      <c r="E143" t="s">
        <v>3</v>
      </c>
      <c r="F143" t="s">
        <v>41</v>
      </c>
      <c r="G143" t="str">
        <f t="shared" si="17"/>
        <v/>
      </c>
      <c r="H143">
        <v>3</v>
      </c>
      <c r="I143" t="s">
        <v>3</v>
      </c>
    </row>
    <row r="144" spans="1:9" x14ac:dyDescent="0.15">
      <c r="A144" t="str">
        <f t="shared" si="16"/>
        <v>|Lｖ47|HP+3|</v>
      </c>
      <c r="B144" t="s">
        <v>3</v>
      </c>
      <c r="C144" t="s">
        <v>39</v>
      </c>
      <c r="D144">
        <v>47</v>
      </c>
      <c r="E144" t="s">
        <v>3</v>
      </c>
      <c r="F144" t="s">
        <v>7</v>
      </c>
      <c r="G144" t="str">
        <f t="shared" si="17"/>
        <v>+</v>
      </c>
      <c r="H144">
        <v>3</v>
      </c>
      <c r="I144" t="s">
        <v>3</v>
      </c>
    </row>
    <row r="145" spans="1:9" x14ac:dyDescent="0.15">
      <c r="A145" t="str">
        <f t="shared" si="16"/>
        <v>|Lｖ48|赤+1|</v>
      </c>
      <c r="B145" t="s">
        <v>3</v>
      </c>
      <c r="C145" t="s">
        <v>39</v>
      </c>
      <c r="D145">
        <v>48</v>
      </c>
      <c r="E145" t="s">
        <v>3</v>
      </c>
      <c r="F145" t="s">
        <v>14</v>
      </c>
      <c r="G145" t="str">
        <f t="shared" si="17"/>
        <v>+</v>
      </c>
      <c r="H145">
        <v>1</v>
      </c>
      <c r="I145" t="s">
        <v>3</v>
      </c>
    </row>
    <row r="146" spans="1:9" x14ac:dyDescent="0.15">
      <c r="A146" t="str">
        <f t="shared" si="16"/>
        <v>|Lｖ49|HP+3|</v>
      </c>
      <c r="B146" t="s">
        <v>3</v>
      </c>
      <c r="C146" t="s">
        <v>39</v>
      </c>
      <c r="D146">
        <v>49</v>
      </c>
      <c r="E146" t="s">
        <v>3</v>
      </c>
      <c r="F146" t="s">
        <v>7</v>
      </c>
      <c r="G146" t="str">
        <f t="shared" si="17"/>
        <v>+</v>
      </c>
      <c r="H146">
        <v>3</v>
      </c>
      <c r="I146" t="s">
        <v>3</v>
      </c>
    </row>
    <row r="147" spans="1:9" x14ac:dyDescent="0.15">
      <c r="A147" t="str">
        <f t="shared" si="16"/>
        <v>|Lｖ50|クリーチャー+1|</v>
      </c>
      <c r="B147" t="s">
        <v>3</v>
      </c>
      <c r="C147" t="s">
        <v>39</v>
      </c>
      <c r="D147">
        <v>50</v>
      </c>
      <c r="E147" t="s">
        <v>3</v>
      </c>
      <c r="F147" t="s">
        <v>20</v>
      </c>
      <c r="G147" t="str">
        <f t="shared" si="17"/>
        <v>+</v>
      </c>
      <c r="H147">
        <v>1</v>
      </c>
      <c r="I147" t="s">
        <v>3</v>
      </c>
    </row>
    <row r="148" spans="1:9" x14ac:dyDescent="0.15">
      <c r="A148" t="str">
        <f t="shared" si="16"/>
        <v>|Lｖ51|HP+3|</v>
      </c>
      <c r="B148" t="s">
        <v>3</v>
      </c>
      <c r="C148" t="s">
        <v>39</v>
      </c>
      <c r="D148">
        <v>51</v>
      </c>
      <c r="E148" t="s">
        <v>3</v>
      </c>
      <c r="F148" t="s">
        <v>7</v>
      </c>
      <c r="G148" t="str">
        <f t="shared" si="17"/>
        <v>+</v>
      </c>
      <c r="H148">
        <v>3</v>
      </c>
      <c r="I148" t="s">
        <v>3</v>
      </c>
    </row>
    <row r="149" spans="1:9" x14ac:dyDescent="0.15">
      <c r="A149" t="str">
        <f t="shared" si="16"/>
        <v>|Lｖ52|第3能力Lv3|</v>
      </c>
      <c r="B149" t="s">
        <v>3</v>
      </c>
      <c r="C149" t="s">
        <v>39</v>
      </c>
      <c r="D149">
        <v>52</v>
      </c>
      <c r="E149" t="s">
        <v>3</v>
      </c>
      <c r="F149" t="s">
        <v>42</v>
      </c>
      <c r="G149" t="str">
        <f t="shared" si="17"/>
        <v/>
      </c>
      <c r="H149">
        <v>3</v>
      </c>
      <c r="I149" t="s">
        <v>3</v>
      </c>
    </row>
    <row r="150" spans="1:9" x14ac:dyDescent="0.15">
      <c r="A150" t="str">
        <f t="shared" si="16"/>
        <v>|Lｖ53|HP+3|</v>
      </c>
      <c r="B150" t="s">
        <v>3</v>
      </c>
      <c r="C150" t="s">
        <v>39</v>
      </c>
      <c r="D150">
        <v>53</v>
      </c>
      <c r="E150" t="s">
        <v>3</v>
      </c>
      <c r="F150" t="s">
        <v>7</v>
      </c>
      <c r="G150" t="str">
        <f t="shared" si="17"/>
        <v>+</v>
      </c>
      <c r="H150">
        <v>3</v>
      </c>
      <c r="I150" t="s">
        <v>3</v>
      </c>
    </row>
    <row r="151" spans="1:9" x14ac:dyDescent="0.15">
      <c r="A151" t="str">
        <f t="shared" si="16"/>
        <v>|Lｖ54|黒+1|</v>
      </c>
      <c r="B151" t="s">
        <v>3</v>
      </c>
      <c r="C151" t="s">
        <v>39</v>
      </c>
      <c r="D151">
        <v>54</v>
      </c>
      <c r="E151" t="s">
        <v>3</v>
      </c>
      <c r="F151" t="s">
        <v>13</v>
      </c>
      <c r="G151" t="str">
        <f t="shared" si="17"/>
        <v>+</v>
      </c>
      <c r="H151">
        <v>1</v>
      </c>
      <c r="I151" t="s">
        <v>3</v>
      </c>
    </row>
    <row r="152" spans="1:9" x14ac:dyDescent="0.15">
      <c r="A152" t="str">
        <f t="shared" ref="A152:A163" si="18">B152&amp;C152&amp;D152&amp;E152&amp;F152&amp;G152&amp;H152&amp;I152&amp;J152&amp;K152&amp;L152&amp;M152&amp;N152&amp;O152&amp;P152</f>
        <v>|Lｖ55|HP+3|</v>
      </c>
      <c r="B152" t="s">
        <v>3</v>
      </c>
      <c r="C152" t="s">
        <v>39</v>
      </c>
      <c r="D152">
        <v>55</v>
      </c>
      <c r="E152" t="s">
        <v>3</v>
      </c>
      <c r="F152" t="s">
        <v>7</v>
      </c>
      <c r="G152" t="str">
        <f t="shared" si="17"/>
        <v>+</v>
      </c>
      <c r="H152">
        <v>3</v>
      </c>
      <c r="I152" t="s">
        <v>3</v>
      </c>
    </row>
    <row r="153" spans="1:9" x14ac:dyDescent="0.15">
      <c r="A153" t="str">
        <f t="shared" si="18"/>
        <v>|Lｖ56|第1能力Lv4|</v>
      </c>
      <c r="B153" t="s">
        <v>3</v>
      </c>
      <c r="C153" t="s">
        <v>39</v>
      </c>
      <c r="D153">
        <v>56</v>
      </c>
      <c r="E153" t="s">
        <v>3</v>
      </c>
      <c r="F153" t="s">
        <v>40</v>
      </c>
      <c r="G153" t="str">
        <f t="shared" si="17"/>
        <v/>
      </c>
      <c r="H153">
        <v>4</v>
      </c>
      <c r="I153" t="s">
        <v>3</v>
      </c>
    </row>
    <row r="154" spans="1:9" x14ac:dyDescent="0.15">
      <c r="A154" t="str">
        <f t="shared" si="18"/>
        <v>|Lｖ57|HP+3|</v>
      </c>
      <c r="B154" t="s">
        <v>3</v>
      </c>
      <c r="C154" t="s">
        <v>39</v>
      </c>
      <c r="D154">
        <v>57</v>
      </c>
      <c r="E154" t="s">
        <v>3</v>
      </c>
      <c r="F154" t="s">
        <v>7</v>
      </c>
      <c r="G154" t="str">
        <f t="shared" si="17"/>
        <v>+</v>
      </c>
      <c r="H154">
        <v>3</v>
      </c>
      <c r="I154" t="s">
        <v>3</v>
      </c>
    </row>
    <row r="155" spans="1:9" x14ac:dyDescent="0.15">
      <c r="A155" t="str">
        <f t="shared" si="18"/>
        <v>|Lｖ58|第2能力Lv4|</v>
      </c>
      <c r="B155" t="s">
        <v>3</v>
      </c>
      <c r="C155" t="s">
        <v>39</v>
      </c>
      <c r="D155">
        <v>58</v>
      </c>
      <c r="E155" t="s">
        <v>3</v>
      </c>
      <c r="F155" t="s">
        <v>41</v>
      </c>
      <c r="G155" t="str">
        <f t="shared" si="17"/>
        <v/>
      </c>
      <c r="H155">
        <v>4</v>
      </c>
      <c r="I155" t="s">
        <v>3</v>
      </c>
    </row>
    <row r="156" spans="1:9" x14ac:dyDescent="0.15">
      <c r="A156" t="str">
        <f t="shared" si="18"/>
        <v>|Lｖ59|呪文+1|</v>
      </c>
      <c r="B156" t="s">
        <v>3</v>
      </c>
      <c r="C156" t="s">
        <v>39</v>
      </c>
      <c r="D156">
        <v>59</v>
      </c>
      <c r="E156" t="s">
        <v>3</v>
      </c>
      <c r="F156" t="s">
        <v>21</v>
      </c>
      <c r="G156" t="str">
        <f t="shared" si="17"/>
        <v>+</v>
      </c>
      <c r="H156">
        <v>1</v>
      </c>
      <c r="I156" t="s">
        <v>3</v>
      </c>
    </row>
    <row r="157" spans="1:9" x14ac:dyDescent="0.15">
      <c r="A157" t="str">
        <f t="shared" si="18"/>
        <v>|Lｖ60|第3能力Lv4|</v>
      </c>
      <c r="B157" t="s">
        <v>3</v>
      </c>
      <c r="C157" t="s">
        <v>39</v>
      </c>
      <c r="D157">
        <v>60</v>
      </c>
      <c r="E157" t="s">
        <v>3</v>
      </c>
      <c r="F157" t="s">
        <v>42</v>
      </c>
      <c r="G157" t="s">
        <v>44</v>
      </c>
      <c r="H157">
        <v>4</v>
      </c>
      <c r="I157" t="s">
        <v>3</v>
      </c>
    </row>
    <row r="158" spans="1:9" x14ac:dyDescent="0.15">
      <c r="A158" t="str">
        <f t="shared" si="18"/>
        <v>必要総経験値：160720 ルーン</v>
      </c>
      <c r="B158" t="s">
        <v>45</v>
      </c>
      <c r="C158" t="s">
        <v>388</v>
      </c>
      <c r="F158" t="s">
        <v>46</v>
      </c>
    </row>
    <row r="159" spans="1:9" x14ac:dyDescent="0.15">
      <c r="A159" t="str">
        <f t="shared" si="18"/>
        <v>&amp;br;</v>
      </c>
      <c r="B159" t="s">
        <v>0</v>
      </c>
    </row>
    <row r="160" spans="1:9" x14ac:dyDescent="0.15">
      <c r="A160" t="str">
        <f t="shared" si="18"/>
        <v>#back(text=戻る,left)</v>
      </c>
      <c r="B160" t="s">
        <v>47</v>
      </c>
    </row>
    <row r="161" spans="1:2" x14ac:dyDescent="0.15">
      <c r="A161" t="str">
        <f t="shared" si="18"/>
        <v>&amp;br;</v>
      </c>
      <c r="B161" t="s">
        <v>0</v>
      </c>
    </row>
    <row r="162" spans="1:2" x14ac:dyDescent="0.15">
      <c r="A162" t="str">
        <f t="shared" si="18"/>
        <v>#comment(above,nsize=[15],size=[30],num=[10])</v>
      </c>
      <c r="B162" t="s">
        <v>48</v>
      </c>
    </row>
    <row r="163" spans="1:2" x14ac:dyDescent="0.15">
      <c r="A163" t="str">
        <f t="shared" si="18"/>
        <v>[[プレインズウォーカーリスト&gt;プレインズウォーカーリスト]]</v>
      </c>
      <c r="B163" t="s">
        <v>49</v>
      </c>
    </row>
  </sheetData>
  <autoFilter ref="C98:I163"/>
  <phoneticPr fontId="4"/>
  <dataValidations count="2">
    <dataValidation type="list" allowBlank="1" showInputMessage="1" showErrorMessage="1" sqref="F158">
      <formula1>$Q$88:$Q$100</formula1>
    </dataValidation>
    <dataValidation type="list" allowBlank="1" showInputMessage="1" showErrorMessage="1" sqref="F99:F157">
      <formula1>$Q$98:$Q$110</formula1>
    </dataValidation>
  </dataValidations>
  <pageMargins left="0.69930555555555596" right="0.69930555555555596"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T163"/>
  <sheetViews>
    <sheetView topLeftCell="A94" workbookViewId="0">
      <selection activeCell="S112" sqref="S112"/>
    </sheetView>
  </sheetViews>
  <sheetFormatPr defaultColWidth="9" defaultRowHeight="13.5" x14ac:dyDescent="0.15"/>
  <cols>
    <col min="2" max="2" width="3.5" customWidth="1"/>
    <col min="3" max="3" width="7.875" customWidth="1"/>
    <col min="4" max="4" width="5.5" customWidth="1"/>
    <col min="5" max="5" width="2" customWidth="1"/>
    <col min="7" max="7" width="2" customWidth="1"/>
    <col min="9" max="9" width="2" customWidth="1"/>
    <col min="11" max="11" width="2" customWidth="1"/>
    <col min="13" max="13" width="2" customWidth="1"/>
    <col min="15" max="15" width="2" customWidth="1"/>
    <col min="17" max="17" width="2.75" customWidth="1"/>
  </cols>
  <sheetData>
    <row r="1" spans="1:8" x14ac:dyDescent="0.15">
      <c r="A1" t="str">
        <f>B1&amp;C1&amp;D1&amp;E1&amp;F1&amp;G1&amp;H1&amp;I1&amp;J1&amp;K1&amp;L1&amp;M1&amp;N1&amp;O1&amp;P1</f>
        <v>特別オファーで購入するか、マナクリスタルで購入する事で入手できる。</v>
      </c>
      <c r="B1" t="s">
        <v>369</v>
      </c>
    </row>
    <row r="2" spans="1:8" x14ac:dyDescent="0.15">
      <c r="A2" t="str">
        <f>B2&amp;C2&amp;D2&amp;E2&amp;F2&amp;G2&amp;H2&amp;I2&amp;J2&amp;K2&amp;L2&amp;M2&amp;N2&amp;O2&amp;P2</f>
        <v>&amp;br;</v>
      </c>
      <c r="B2" t="s">
        <v>0</v>
      </c>
    </row>
    <row r="3" spans="1:8" x14ac:dyDescent="0.15">
      <c r="A3" t="str">
        <f>B3&amp;C3&amp;D3&amp;E3&amp;F3&amp;G3&amp;H3&amp;I3&amp;J3&amp;K3&amp;L3&amp;M3&amp;N3&amp;O3&amp;P3</f>
        <v>#contents()</v>
      </c>
      <c r="B3" t="s">
        <v>1</v>
      </c>
    </row>
    <row r="4" spans="1:8" x14ac:dyDescent="0.15">
      <c r="A4" t="str">
        <f>B4&amp;C4&amp;D4&amp;E4&amp;F4&amp;G4&amp;H4&amp;I4&amp;J4&amp;K4&amp;L4&amp;M4&amp;N4&amp;O4&amp;P4</f>
        <v>*HP [#f569d8c6]</v>
      </c>
      <c r="B4" t="s">
        <v>2</v>
      </c>
    </row>
    <row r="5" spans="1:8" x14ac:dyDescent="0.15">
      <c r="A5" t="str">
        <f>B5&amp;C5&amp;D5&amp;E5&amp;F5&amp;G5&amp;H5</f>
        <v>|LEFT:50|LEFT:50|c</v>
      </c>
      <c r="B5" t="s">
        <v>3</v>
      </c>
      <c r="C5" t="s">
        <v>4</v>
      </c>
      <c r="E5" t="s">
        <v>3</v>
      </c>
      <c r="F5" t="s">
        <v>4</v>
      </c>
      <c r="G5" t="s">
        <v>3</v>
      </c>
      <c r="H5" t="s">
        <v>5</v>
      </c>
    </row>
    <row r="6" spans="1:8" x14ac:dyDescent="0.15">
      <c r="A6" t="str">
        <f t="shared" ref="A6:A35" si="0">B6&amp;C6&amp;D6&amp;E6&amp;F6&amp;G6&amp;H6</f>
        <v>|レベル|HP|</v>
      </c>
      <c r="B6" t="s">
        <v>3</v>
      </c>
      <c r="C6" t="s">
        <v>6</v>
      </c>
      <c r="E6" t="s">
        <v>3</v>
      </c>
      <c r="F6" t="s">
        <v>7</v>
      </c>
      <c r="G6" t="s">
        <v>3</v>
      </c>
    </row>
    <row r="7" spans="1:8" x14ac:dyDescent="0.15">
      <c r="A7" t="str">
        <f t="shared" si="0"/>
        <v>|Lv1|20|</v>
      </c>
      <c r="B7" t="s">
        <v>3</v>
      </c>
      <c r="C7" t="s">
        <v>8</v>
      </c>
      <c r="D7">
        <v>1</v>
      </c>
      <c r="E7" t="s">
        <v>3</v>
      </c>
      <c r="F7">
        <v>20</v>
      </c>
      <c r="G7" t="s">
        <v>3</v>
      </c>
    </row>
    <row r="8" spans="1:8" x14ac:dyDescent="0.15">
      <c r="A8" t="str">
        <f t="shared" si="0"/>
        <v>|Lv3|23|</v>
      </c>
      <c r="B8" t="s">
        <v>3</v>
      </c>
      <c r="C8" t="s">
        <v>8</v>
      </c>
      <c r="D8">
        <v>3</v>
      </c>
      <c r="E8" t="s">
        <v>3</v>
      </c>
      <c r="F8">
        <f t="shared" ref="F8:F35" si="1">IF(ISBLANK(D8),"",F7+INDEX($H$98:$H$157,D8))</f>
        <v>23</v>
      </c>
      <c r="G8" t="s">
        <v>3</v>
      </c>
    </row>
    <row r="9" spans="1:8" x14ac:dyDescent="0.15">
      <c r="A9" t="str">
        <f t="shared" si="0"/>
        <v>|Lv5|26|</v>
      </c>
      <c r="B9" t="s">
        <v>3</v>
      </c>
      <c r="C9" t="s">
        <v>8</v>
      </c>
      <c r="D9">
        <v>5</v>
      </c>
      <c r="E9" t="s">
        <v>3</v>
      </c>
      <c r="F9">
        <f t="shared" si="1"/>
        <v>26</v>
      </c>
      <c r="G9" t="s">
        <v>3</v>
      </c>
    </row>
    <row r="10" spans="1:8" x14ac:dyDescent="0.15">
      <c r="A10" t="str">
        <f t="shared" si="0"/>
        <v>|Lv7|29|</v>
      </c>
      <c r="B10" t="s">
        <v>3</v>
      </c>
      <c r="C10" t="s">
        <v>8</v>
      </c>
      <c r="D10">
        <v>7</v>
      </c>
      <c r="E10" t="s">
        <v>3</v>
      </c>
      <c r="F10">
        <f t="shared" si="1"/>
        <v>29</v>
      </c>
      <c r="G10" t="s">
        <v>3</v>
      </c>
    </row>
    <row r="11" spans="1:8" x14ac:dyDescent="0.15">
      <c r="A11" t="str">
        <f t="shared" si="0"/>
        <v>|Lv9|32|</v>
      </c>
      <c r="B11" t="s">
        <v>3</v>
      </c>
      <c r="C11" t="s">
        <v>8</v>
      </c>
      <c r="D11">
        <v>9</v>
      </c>
      <c r="E11" t="s">
        <v>3</v>
      </c>
      <c r="F11">
        <f t="shared" si="1"/>
        <v>32</v>
      </c>
      <c r="G11" t="s">
        <v>3</v>
      </c>
    </row>
    <row r="12" spans="1:8" x14ac:dyDescent="0.15">
      <c r="A12" t="str">
        <f t="shared" si="0"/>
        <v>|Lv11|35|</v>
      </c>
      <c r="B12" t="s">
        <v>3</v>
      </c>
      <c r="C12" t="s">
        <v>8</v>
      </c>
      <c r="D12">
        <v>11</v>
      </c>
      <c r="E12" t="s">
        <v>3</v>
      </c>
      <c r="F12">
        <f t="shared" si="1"/>
        <v>35</v>
      </c>
      <c r="G12" t="s">
        <v>3</v>
      </c>
    </row>
    <row r="13" spans="1:8" x14ac:dyDescent="0.15">
      <c r="A13" t="str">
        <f t="shared" si="0"/>
        <v>|Lv13|38|</v>
      </c>
      <c r="B13" t="s">
        <v>3</v>
      </c>
      <c r="C13" t="s">
        <v>8</v>
      </c>
      <c r="D13">
        <v>13</v>
      </c>
      <c r="E13" t="s">
        <v>3</v>
      </c>
      <c r="F13">
        <f t="shared" si="1"/>
        <v>38</v>
      </c>
      <c r="G13" t="s">
        <v>3</v>
      </c>
    </row>
    <row r="14" spans="1:8" x14ac:dyDescent="0.15">
      <c r="A14" t="str">
        <f t="shared" si="0"/>
        <v>|Lv15|41|</v>
      </c>
      <c r="B14" t="s">
        <v>3</v>
      </c>
      <c r="C14" t="s">
        <v>8</v>
      </c>
      <c r="D14">
        <v>15</v>
      </c>
      <c r="E14" t="s">
        <v>3</v>
      </c>
      <c r="F14">
        <f t="shared" si="1"/>
        <v>41</v>
      </c>
      <c r="G14" t="s">
        <v>3</v>
      </c>
    </row>
    <row r="15" spans="1:8" x14ac:dyDescent="0.15">
      <c r="A15" t="str">
        <f t="shared" si="0"/>
        <v>|Lv17|44|</v>
      </c>
      <c r="B15" t="s">
        <v>3</v>
      </c>
      <c r="C15" t="s">
        <v>8</v>
      </c>
      <c r="D15">
        <v>17</v>
      </c>
      <c r="E15" t="s">
        <v>3</v>
      </c>
      <c r="F15">
        <f t="shared" si="1"/>
        <v>44</v>
      </c>
      <c r="G15" t="s">
        <v>3</v>
      </c>
    </row>
    <row r="16" spans="1:8" x14ac:dyDescent="0.15">
      <c r="A16" t="str">
        <f t="shared" si="0"/>
        <v>|Lv19|47|</v>
      </c>
      <c r="B16" t="s">
        <v>3</v>
      </c>
      <c r="C16" t="s">
        <v>8</v>
      </c>
      <c r="D16">
        <v>19</v>
      </c>
      <c r="E16" t="s">
        <v>3</v>
      </c>
      <c r="F16">
        <f t="shared" si="1"/>
        <v>47</v>
      </c>
      <c r="G16" t="s">
        <v>3</v>
      </c>
    </row>
    <row r="17" spans="1:7" x14ac:dyDescent="0.15">
      <c r="A17" t="str">
        <f t="shared" si="0"/>
        <v>|Lv21|50|</v>
      </c>
      <c r="B17" t="s">
        <v>3</v>
      </c>
      <c r="C17" t="s">
        <v>8</v>
      </c>
      <c r="D17">
        <v>21</v>
      </c>
      <c r="E17" t="s">
        <v>3</v>
      </c>
      <c r="F17">
        <f t="shared" si="1"/>
        <v>50</v>
      </c>
      <c r="G17" t="s">
        <v>3</v>
      </c>
    </row>
    <row r="18" spans="1:7" x14ac:dyDescent="0.15">
      <c r="A18" t="str">
        <f t="shared" si="0"/>
        <v>|Lv23|53|</v>
      </c>
      <c r="B18" t="s">
        <v>3</v>
      </c>
      <c r="C18" t="s">
        <v>8</v>
      </c>
      <c r="D18">
        <v>23</v>
      </c>
      <c r="E18" t="s">
        <v>3</v>
      </c>
      <c r="F18">
        <f t="shared" si="1"/>
        <v>53</v>
      </c>
      <c r="G18" t="s">
        <v>3</v>
      </c>
    </row>
    <row r="19" spans="1:7" x14ac:dyDescent="0.15">
      <c r="A19" t="str">
        <f t="shared" si="0"/>
        <v>|Lv25|56|</v>
      </c>
      <c r="B19" t="s">
        <v>3</v>
      </c>
      <c r="C19" t="s">
        <v>8</v>
      </c>
      <c r="D19">
        <v>25</v>
      </c>
      <c r="E19" t="s">
        <v>3</v>
      </c>
      <c r="F19">
        <f t="shared" si="1"/>
        <v>56</v>
      </c>
      <c r="G19" t="s">
        <v>3</v>
      </c>
    </row>
    <row r="20" spans="1:7" x14ac:dyDescent="0.15">
      <c r="A20" t="str">
        <f t="shared" si="0"/>
        <v>|Lv27|59|</v>
      </c>
      <c r="B20" t="s">
        <v>3</v>
      </c>
      <c r="C20" t="s">
        <v>8</v>
      </c>
      <c r="D20">
        <v>27</v>
      </c>
      <c r="E20" t="s">
        <v>3</v>
      </c>
      <c r="F20">
        <f t="shared" si="1"/>
        <v>59</v>
      </c>
      <c r="G20" t="s">
        <v>3</v>
      </c>
    </row>
    <row r="21" spans="1:7" x14ac:dyDescent="0.15">
      <c r="A21" t="str">
        <f t="shared" si="0"/>
        <v>|Lv29|62|</v>
      </c>
      <c r="B21" t="s">
        <v>3</v>
      </c>
      <c r="C21" t="s">
        <v>8</v>
      </c>
      <c r="D21">
        <v>29</v>
      </c>
      <c r="E21" t="s">
        <v>3</v>
      </c>
      <c r="F21">
        <f t="shared" si="1"/>
        <v>62</v>
      </c>
      <c r="G21" t="s">
        <v>3</v>
      </c>
    </row>
    <row r="22" spans="1:7" x14ac:dyDescent="0.15">
      <c r="A22" t="str">
        <f t="shared" si="0"/>
        <v>|Lv31|65|</v>
      </c>
      <c r="B22" t="s">
        <v>3</v>
      </c>
      <c r="C22" t="s">
        <v>8</v>
      </c>
      <c r="D22">
        <v>31</v>
      </c>
      <c r="E22" t="s">
        <v>3</v>
      </c>
      <c r="F22">
        <f t="shared" si="1"/>
        <v>65</v>
      </c>
      <c r="G22" t="s">
        <v>3</v>
      </c>
    </row>
    <row r="23" spans="1:7" x14ac:dyDescent="0.15">
      <c r="A23" t="str">
        <f t="shared" si="0"/>
        <v>|Lv33|68|</v>
      </c>
      <c r="B23" t="s">
        <v>3</v>
      </c>
      <c r="C23" t="s">
        <v>8</v>
      </c>
      <c r="D23">
        <v>33</v>
      </c>
      <c r="E23" t="s">
        <v>3</v>
      </c>
      <c r="F23">
        <f t="shared" si="1"/>
        <v>68</v>
      </c>
      <c r="G23" t="s">
        <v>3</v>
      </c>
    </row>
    <row r="24" spans="1:7" x14ac:dyDescent="0.15">
      <c r="A24" t="str">
        <f t="shared" si="0"/>
        <v>|Lv35|71|</v>
      </c>
      <c r="B24" t="s">
        <v>3</v>
      </c>
      <c r="C24" t="s">
        <v>8</v>
      </c>
      <c r="D24">
        <v>35</v>
      </c>
      <c r="E24" t="s">
        <v>3</v>
      </c>
      <c r="F24">
        <f t="shared" si="1"/>
        <v>71</v>
      </c>
      <c r="G24" t="s">
        <v>3</v>
      </c>
    </row>
    <row r="25" spans="1:7" x14ac:dyDescent="0.15">
      <c r="A25" t="str">
        <f t="shared" si="0"/>
        <v>|Lv37|74|</v>
      </c>
      <c r="B25" t="s">
        <v>3</v>
      </c>
      <c r="C25" t="s">
        <v>8</v>
      </c>
      <c r="D25">
        <v>37</v>
      </c>
      <c r="E25" t="s">
        <v>3</v>
      </c>
      <c r="F25">
        <f t="shared" si="1"/>
        <v>74</v>
      </c>
      <c r="G25" t="s">
        <v>3</v>
      </c>
    </row>
    <row r="26" spans="1:7" x14ac:dyDescent="0.15">
      <c r="A26" t="str">
        <f t="shared" si="0"/>
        <v>|Lv39|77|</v>
      </c>
      <c r="B26" t="s">
        <v>3</v>
      </c>
      <c r="C26" t="s">
        <v>8</v>
      </c>
      <c r="D26">
        <v>39</v>
      </c>
      <c r="E26" t="s">
        <v>3</v>
      </c>
      <c r="F26">
        <f t="shared" si="1"/>
        <v>77</v>
      </c>
      <c r="G26" t="s">
        <v>3</v>
      </c>
    </row>
    <row r="27" spans="1:7" x14ac:dyDescent="0.15">
      <c r="A27" t="str">
        <f t="shared" si="0"/>
        <v>|Lv41|80|</v>
      </c>
      <c r="B27" t="s">
        <v>3</v>
      </c>
      <c r="C27" t="s">
        <v>8</v>
      </c>
      <c r="D27">
        <v>41</v>
      </c>
      <c r="E27" t="s">
        <v>3</v>
      </c>
      <c r="F27">
        <f t="shared" si="1"/>
        <v>80</v>
      </c>
      <c r="G27" t="s">
        <v>3</v>
      </c>
    </row>
    <row r="28" spans="1:7" x14ac:dyDescent="0.15">
      <c r="A28" t="str">
        <f t="shared" si="0"/>
        <v>|Lv43|83|</v>
      </c>
      <c r="B28" t="s">
        <v>3</v>
      </c>
      <c r="C28" t="s">
        <v>8</v>
      </c>
      <c r="D28">
        <v>43</v>
      </c>
      <c r="E28" t="s">
        <v>3</v>
      </c>
      <c r="F28">
        <f t="shared" si="1"/>
        <v>83</v>
      </c>
      <c r="G28" t="s">
        <v>3</v>
      </c>
    </row>
    <row r="29" spans="1:7" x14ac:dyDescent="0.15">
      <c r="A29" t="str">
        <f t="shared" si="0"/>
        <v>|Lv45|86|</v>
      </c>
      <c r="B29" t="s">
        <v>3</v>
      </c>
      <c r="C29" t="s">
        <v>8</v>
      </c>
      <c r="D29">
        <v>45</v>
      </c>
      <c r="E29" t="s">
        <v>3</v>
      </c>
      <c r="F29">
        <f t="shared" si="1"/>
        <v>86</v>
      </c>
      <c r="G29" t="s">
        <v>3</v>
      </c>
    </row>
    <row r="30" spans="1:7" x14ac:dyDescent="0.15">
      <c r="A30" t="str">
        <f t="shared" si="0"/>
        <v>|Lv47|89|</v>
      </c>
      <c r="B30" t="s">
        <v>3</v>
      </c>
      <c r="C30" t="s">
        <v>8</v>
      </c>
      <c r="D30">
        <v>47</v>
      </c>
      <c r="E30" t="s">
        <v>3</v>
      </c>
      <c r="F30">
        <f t="shared" si="1"/>
        <v>89</v>
      </c>
      <c r="G30" t="s">
        <v>3</v>
      </c>
    </row>
    <row r="31" spans="1:7" x14ac:dyDescent="0.15">
      <c r="A31" t="str">
        <f t="shared" si="0"/>
        <v>|Lv49|92|</v>
      </c>
      <c r="B31" t="s">
        <v>3</v>
      </c>
      <c r="C31" t="s">
        <v>8</v>
      </c>
      <c r="D31">
        <v>49</v>
      </c>
      <c r="E31" t="s">
        <v>3</v>
      </c>
      <c r="F31">
        <f t="shared" si="1"/>
        <v>92</v>
      </c>
      <c r="G31" t="s">
        <v>3</v>
      </c>
    </row>
    <row r="32" spans="1:7" x14ac:dyDescent="0.15">
      <c r="A32" t="str">
        <f t="shared" si="0"/>
        <v>|Lv51|95|</v>
      </c>
      <c r="B32" t="s">
        <v>3</v>
      </c>
      <c r="C32" t="s">
        <v>8</v>
      </c>
      <c r="D32">
        <v>51</v>
      </c>
      <c r="E32" t="s">
        <v>3</v>
      </c>
      <c r="F32">
        <f t="shared" si="1"/>
        <v>95</v>
      </c>
      <c r="G32" t="s">
        <v>3</v>
      </c>
    </row>
    <row r="33" spans="1:19" x14ac:dyDescent="0.15">
      <c r="A33" t="str">
        <f t="shared" si="0"/>
        <v>|Lv53|98|</v>
      </c>
      <c r="B33" t="s">
        <v>3</v>
      </c>
      <c r="C33" t="s">
        <v>8</v>
      </c>
      <c r="D33">
        <v>53</v>
      </c>
      <c r="E33" t="s">
        <v>3</v>
      </c>
      <c r="F33">
        <f t="shared" si="1"/>
        <v>98</v>
      </c>
      <c r="G33" t="s">
        <v>3</v>
      </c>
    </row>
    <row r="34" spans="1:19" x14ac:dyDescent="0.15">
      <c r="A34" t="str">
        <f t="shared" si="0"/>
        <v>|Lv55|101|</v>
      </c>
      <c r="B34" t="s">
        <v>3</v>
      </c>
      <c r="C34" t="s">
        <v>8</v>
      </c>
      <c r="D34">
        <v>55</v>
      </c>
      <c r="E34" t="s">
        <v>3</v>
      </c>
      <c r="F34">
        <f t="shared" si="1"/>
        <v>101</v>
      </c>
      <c r="G34" t="s">
        <v>3</v>
      </c>
    </row>
    <row r="35" spans="1:19" x14ac:dyDescent="0.15">
      <c r="A35" t="str">
        <f t="shared" si="0"/>
        <v>|Lv57|104|</v>
      </c>
      <c r="B35" t="s">
        <v>3</v>
      </c>
      <c r="C35" t="s">
        <v>8</v>
      </c>
      <c r="D35">
        <v>57</v>
      </c>
      <c r="E35" t="s">
        <v>3</v>
      </c>
      <c r="F35">
        <f t="shared" si="1"/>
        <v>104</v>
      </c>
      <c r="G35" t="s">
        <v>3</v>
      </c>
    </row>
    <row r="36" spans="1:19" x14ac:dyDescent="0.15">
      <c r="A36" t="str">
        <f>B36&amp;C36&amp;D36&amp;E36&amp;F36&amp;G36&amp;H36&amp;I36&amp;J36&amp;K36&amp;L36&amp;M36&amp;N36&amp;O36&amp;P36</f>
        <v>&amp;br;</v>
      </c>
      <c r="B36" t="s">
        <v>0</v>
      </c>
    </row>
    <row r="37" spans="1:19" x14ac:dyDescent="0.15">
      <c r="A37" t="str">
        <f>B37&amp;C37&amp;D37&amp;E37&amp;F37&amp;G37&amp;H37&amp;I37&amp;J37&amp;K37&amp;L37&amp;M37&amp;N37&amp;O37&amp;P37</f>
        <v>&amp;br;</v>
      </c>
      <c r="B37" t="s">
        <v>0</v>
      </c>
    </row>
    <row r="38" spans="1:19" x14ac:dyDescent="0.15">
      <c r="A38" t="str">
        <f>B38&amp;C38&amp;D38&amp;E38&amp;F38&amp;G38&amp;H38&amp;I38&amp;J38&amp;K38&amp;L38&amp;M38&amp;N38&amp;O38&amp;P38</f>
        <v>*マナボーナス [#q1a26f54]</v>
      </c>
      <c r="B38" t="s">
        <v>9</v>
      </c>
    </row>
    <row r="39" spans="1:19" x14ac:dyDescent="0.15">
      <c r="A39" t="str">
        <f t="shared" ref="A39:A51" si="2">B39&amp;C39&amp;D39&amp;G39&amp;H39&amp;I39&amp;J39&amp;K39&amp;L39&amp;M39&amp;N39&amp;O39&amp;P39&amp;Q39&amp;R39</f>
        <v>|LEFT:50|LEFT:50|LEFT:50|LEFT:50|LEFT:50|LEFT:50|c</v>
      </c>
      <c r="B39" t="s">
        <v>3</v>
      </c>
      <c r="C39" t="s">
        <v>4</v>
      </c>
      <c r="E39" t="s">
        <v>3</v>
      </c>
      <c r="G39" t="s">
        <v>3</v>
      </c>
      <c r="H39" t="s">
        <v>4</v>
      </c>
      <c r="I39" t="s">
        <v>3</v>
      </c>
      <c r="J39" t="s">
        <v>4</v>
      </c>
      <c r="K39" t="s">
        <v>3</v>
      </c>
      <c r="L39" t="s">
        <v>4</v>
      </c>
      <c r="M39" t="s">
        <v>3</v>
      </c>
      <c r="N39" t="s">
        <v>4</v>
      </c>
      <c r="O39" t="s">
        <v>3</v>
      </c>
      <c r="P39" t="s">
        <v>4</v>
      </c>
      <c r="Q39" t="s">
        <v>3</v>
      </c>
      <c r="R39" t="s">
        <v>5</v>
      </c>
    </row>
    <row r="40" spans="1:19" x14ac:dyDescent="0.15">
      <c r="A40" t="str">
        <f t="shared" si="2"/>
        <v>|レベル|白|青|黒|赤|緑|</v>
      </c>
      <c r="B40" t="s">
        <v>3</v>
      </c>
      <c r="C40" t="s">
        <v>6</v>
      </c>
      <c r="E40" t="s">
        <v>3</v>
      </c>
      <c r="F40" t="s">
        <v>10</v>
      </c>
      <c r="G40" t="s">
        <v>3</v>
      </c>
      <c r="H40" t="s">
        <v>11</v>
      </c>
      <c r="I40" t="s">
        <v>3</v>
      </c>
      <c r="J40" t="s">
        <v>12</v>
      </c>
      <c r="K40" t="s">
        <v>3</v>
      </c>
      <c r="L40" t="s">
        <v>13</v>
      </c>
      <c r="M40" t="s">
        <v>3</v>
      </c>
      <c r="N40" t="s">
        <v>14</v>
      </c>
      <c r="O40" t="s">
        <v>3</v>
      </c>
      <c r="P40" t="s">
        <v>15</v>
      </c>
      <c r="Q40" t="s">
        <v>3</v>
      </c>
      <c r="S40" t="s">
        <v>11</v>
      </c>
    </row>
    <row r="41" spans="1:19" x14ac:dyDescent="0.15">
      <c r="A41" t="str">
        <f t="shared" si="2"/>
        <v>|Lv1|-1|1|1|-1|-1|</v>
      </c>
      <c r="B41" t="s">
        <v>3</v>
      </c>
      <c r="C41" t="s">
        <v>8</v>
      </c>
      <c r="D41">
        <v>1</v>
      </c>
      <c r="E41" t="s">
        <v>3</v>
      </c>
      <c r="G41" t="s">
        <v>3</v>
      </c>
      <c r="H41">
        <v>-1</v>
      </c>
      <c r="I41" t="s">
        <v>3</v>
      </c>
      <c r="J41">
        <v>1</v>
      </c>
      <c r="K41" t="s">
        <v>3</v>
      </c>
      <c r="L41">
        <v>1</v>
      </c>
      <c r="M41" t="s">
        <v>3</v>
      </c>
      <c r="N41">
        <v>-1</v>
      </c>
      <c r="O41" t="s">
        <v>3</v>
      </c>
      <c r="P41">
        <v>-1</v>
      </c>
      <c r="Q41" t="s">
        <v>3</v>
      </c>
      <c r="S41" t="s">
        <v>12</v>
      </c>
    </row>
    <row r="42" spans="1:19" x14ac:dyDescent="0.15">
      <c r="A42" t="str">
        <f t="shared" si="2"/>
        <v>|Lv2|0|1|1|-1|-1|</v>
      </c>
      <c r="B42" t="s">
        <v>3</v>
      </c>
      <c r="C42" t="s">
        <v>8</v>
      </c>
      <c r="D42">
        <v>2</v>
      </c>
      <c r="E42" t="s">
        <v>3</v>
      </c>
      <c r="F42" t="str">
        <f t="shared" ref="F42:F51" si="3">IF(ISBLANK(D42),"",INDEX($F$98:$F$157,D42))</f>
        <v>白</v>
      </c>
      <c r="G42" t="s">
        <v>3</v>
      </c>
      <c r="H42">
        <f t="shared" ref="H42:H51" si="4">H41+IF(H$40=$F42,1,0)</f>
        <v>0</v>
      </c>
      <c r="I42" t="str">
        <f t="shared" ref="I42:Q51" si="5">I41</f>
        <v>|</v>
      </c>
      <c r="J42">
        <f t="shared" ref="J42:J51" si="6">J41+IF(J$40=$F42,1,0)</f>
        <v>1</v>
      </c>
      <c r="K42" t="str">
        <f t="shared" si="5"/>
        <v>|</v>
      </c>
      <c r="L42">
        <f t="shared" ref="L42:L51" si="7">L41+IF(L$40=$F42,1,0)</f>
        <v>1</v>
      </c>
      <c r="M42" t="str">
        <f t="shared" si="5"/>
        <v>|</v>
      </c>
      <c r="N42">
        <f t="shared" ref="N42:N51" si="8">N41+IF(N$40=$F42,1,0)</f>
        <v>-1</v>
      </c>
      <c r="O42" t="str">
        <f t="shared" si="5"/>
        <v>|</v>
      </c>
      <c r="P42">
        <f t="shared" ref="P42:P51" si="9">P41+IF(P$40=$F42,1,0)</f>
        <v>-1</v>
      </c>
      <c r="Q42" t="str">
        <f t="shared" si="5"/>
        <v>|</v>
      </c>
      <c r="S42" t="s">
        <v>13</v>
      </c>
    </row>
    <row r="43" spans="1:19" x14ac:dyDescent="0.15">
      <c r="A43" t="str">
        <f t="shared" si="2"/>
        <v>|Lv8|0|1|1|-1|0|</v>
      </c>
      <c r="B43" t="s">
        <v>3</v>
      </c>
      <c r="C43" t="s">
        <v>8</v>
      </c>
      <c r="D43">
        <v>8</v>
      </c>
      <c r="E43" t="s">
        <v>3</v>
      </c>
      <c r="F43" t="str">
        <f t="shared" si="3"/>
        <v>緑</v>
      </c>
      <c r="G43" t="s">
        <v>3</v>
      </c>
      <c r="H43">
        <f t="shared" si="4"/>
        <v>0</v>
      </c>
      <c r="I43" t="str">
        <f t="shared" si="5"/>
        <v>|</v>
      </c>
      <c r="J43">
        <f t="shared" si="6"/>
        <v>1</v>
      </c>
      <c r="K43" t="str">
        <f t="shared" si="5"/>
        <v>|</v>
      </c>
      <c r="L43">
        <f t="shared" si="7"/>
        <v>1</v>
      </c>
      <c r="M43" t="str">
        <f t="shared" si="5"/>
        <v>|</v>
      </c>
      <c r="N43">
        <f t="shared" si="8"/>
        <v>-1</v>
      </c>
      <c r="O43" t="str">
        <f t="shared" si="5"/>
        <v>|</v>
      </c>
      <c r="P43">
        <f t="shared" si="9"/>
        <v>0</v>
      </c>
      <c r="Q43" t="str">
        <f t="shared" si="5"/>
        <v>|</v>
      </c>
      <c r="S43" t="s">
        <v>14</v>
      </c>
    </row>
    <row r="44" spans="1:19" x14ac:dyDescent="0.15">
      <c r="A44" t="str">
        <f t="shared" si="2"/>
        <v>|Lv14|0|1|2|-1|0|</v>
      </c>
      <c r="B44" t="s">
        <v>3</v>
      </c>
      <c r="C44" t="s">
        <v>8</v>
      </c>
      <c r="D44">
        <v>14</v>
      </c>
      <c r="E44" t="s">
        <v>3</v>
      </c>
      <c r="F44" t="str">
        <f t="shared" si="3"/>
        <v>黒</v>
      </c>
      <c r="G44" t="s">
        <v>3</v>
      </c>
      <c r="H44">
        <f t="shared" si="4"/>
        <v>0</v>
      </c>
      <c r="I44" t="str">
        <f t="shared" si="5"/>
        <v>|</v>
      </c>
      <c r="J44">
        <f t="shared" si="6"/>
        <v>1</v>
      </c>
      <c r="K44" t="str">
        <f t="shared" si="5"/>
        <v>|</v>
      </c>
      <c r="L44">
        <f t="shared" si="7"/>
        <v>2</v>
      </c>
      <c r="M44" t="str">
        <f t="shared" si="5"/>
        <v>|</v>
      </c>
      <c r="N44">
        <f t="shared" si="8"/>
        <v>-1</v>
      </c>
      <c r="O44" t="str">
        <f t="shared" si="5"/>
        <v>|</v>
      </c>
      <c r="P44">
        <f t="shared" si="9"/>
        <v>0</v>
      </c>
      <c r="Q44" t="str">
        <f t="shared" si="5"/>
        <v>|</v>
      </c>
      <c r="S44" t="s">
        <v>15</v>
      </c>
    </row>
    <row r="45" spans="1:19" x14ac:dyDescent="0.15">
      <c r="A45" t="str">
        <f t="shared" si="2"/>
        <v>|Lv20|0|2|2|-1|0|</v>
      </c>
      <c r="B45" t="s">
        <v>3</v>
      </c>
      <c r="C45" t="s">
        <v>8</v>
      </c>
      <c r="D45">
        <v>20</v>
      </c>
      <c r="E45" t="s">
        <v>3</v>
      </c>
      <c r="F45" t="str">
        <f t="shared" si="3"/>
        <v>青</v>
      </c>
      <c r="G45" t="s">
        <v>3</v>
      </c>
      <c r="H45">
        <f t="shared" si="4"/>
        <v>0</v>
      </c>
      <c r="I45" t="str">
        <f t="shared" si="5"/>
        <v>|</v>
      </c>
      <c r="J45">
        <f t="shared" si="6"/>
        <v>2</v>
      </c>
      <c r="K45" t="str">
        <f t="shared" si="5"/>
        <v>|</v>
      </c>
      <c r="L45">
        <f t="shared" si="7"/>
        <v>2</v>
      </c>
      <c r="M45" t="str">
        <f t="shared" si="5"/>
        <v>|</v>
      </c>
      <c r="N45">
        <f t="shared" si="8"/>
        <v>-1</v>
      </c>
      <c r="O45" t="str">
        <f t="shared" si="5"/>
        <v>|</v>
      </c>
      <c r="P45">
        <f t="shared" si="9"/>
        <v>0</v>
      </c>
      <c r="Q45" t="str">
        <f t="shared" si="5"/>
        <v>|</v>
      </c>
    </row>
    <row r="46" spans="1:19" x14ac:dyDescent="0.15">
      <c r="A46" t="str">
        <f t="shared" si="2"/>
        <v>|Lv26|0|2|2|0|0|</v>
      </c>
      <c r="B46" t="s">
        <v>3</v>
      </c>
      <c r="C46" t="s">
        <v>8</v>
      </c>
      <c r="D46">
        <v>26</v>
      </c>
      <c r="E46" t="s">
        <v>3</v>
      </c>
      <c r="F46" t="str">
        <f t="shared" si="3"/>
        <v>赤</v>
      </c>
      <c r="G46" t="s">
        <v>3</v>
      </c>
      <c r="H46">
        <f t="shared" si="4"/>
        <v>0</v>
      </c>
      <c r="I46" t="str">
        <f t="shared" si="5"/>
        <v>|</v>
      </c>
      <c r="J46">
        <f t="shared" si="6"/>
        <v>2</v>
      </c>
      <c r="K46" t="str">
        <f t="shared" si="5"/>
        <v>|</v>
      </c>
      <c r="L46">
        <f t="shared" si="7"/>
        <v>2</v>
      </c>
      <c r="M46" t="str">
        <f t="shared" si="5"/>
        <v>|</v>
      </c>
      <c r="N46">
        <f t="shared" si="8"/>
        <v>0</v>
      </c>
      <c r="O46" t="str">
        <f t="shared" si="5"/>
        <v>|</v>
      </c>
      <c r="P46">
        <f t="shared" si="9"/>
        <v>0</v>
      </c>
      <c r="Q46" t="str">
        <f t="shared" si="5"/>
        <v>|</v>
      </c>
    </row>
    <row r="47" spans="1:19" x14ac:dyDescent="0.15">
      <c r="A47" t="str">
        <f t="shared" si="2"/>
        <v>|Lv32|1|2|2|0|0|</v>
      </c>
      <c r="B47" t="s">
        <v>3</v>
      </c>
      <c r="C47" t="s">
        <v>8</v>
      </c>
      <c r="D47">
        <v>32</v>
      </c>
      <c r="E47" t="s">
        <v>3</v>
      </c>
      <c r="F47" t="str">
        <f t="shared" si="3"/>
        <v>白</v>
      </c>
      <c r="G47" t="s">
        <v>3</v>
      </c>
      <c r="H47">
        <f t="shared" si="4"/>
        <v>1</v>
      </c>
      <c r="I47" t="str">
        <f t="shared" si="5"/>
        <v>|</v>
      </c>
      <c r="J47">
        <f t="shared" si="6"/>
        <v>2</v>
      </c>
      <c r="K47" t="str">
        <f t="shared" si="5"/>
        <v>|</v>
      </c>
      <c r="L47">
        <f t="shared" si="7"/>
        <v>2</v>
      </c>
      <c r="M47" t="str">
        <f t="shared" si="5"/>
        <v>|</v>
      </c>
      <c r="N47">
        <f t="shared" si="8"/>
        <v>0</v>
      </c>
      <c r="O47" t="str">
        <f t="shared" si="5"/>
        <v>|</v>
      </c>
      <c r="P47">
        <f t="shared" si="9"/>
        <v>0</v>
      </c>
      <c r="Q47" t="str">
        <f t="shared" si="5"/>
        <v>|</v>
      </c>
    </row>
    <row r="48" spans="1:19" x14ac:dyDescent="0.15">
      <c r="A48" t="str">
        <f t="shared" si="2"/>
        <v>|Lv38|2|2|2|0|0|</v>
      </c>
      <c r="B48" t="s">
        <v>3</v>
      </c>
      <c r="C48" t="s">
        <v>8</v>
      </c>
      <c r="D48">
        <v>38</v>
      </c>
      <c r="E48" t="s">
        <v>3</v>
      </c>
      <c r="F48" t="str">
        <f t="shared" si="3"/>
        <v>白</v>
      </c>
      <c r="G48" t="s">
        <v>3</v>
      </c>
      <c r="H48">
        <f t="shared" si="4"/>
        <v>2</v>
      </c>
      <c r="I48" t="str">
        <f t="shared" si="5"/>
        <v>|</v>
      </c>
      <c r="J48">
        <f t="shared" si="6"/>
        <v>2</v>
      </c>
      <c r="K48" t="str">
        <f t="shared" si="5"/>
        <v>|</v>
      </c>
      <c r="L48">
        <f t="shared" si="7"/>
        <v>2</v>
      </c>
      <c r="M48" t="str">
        <f t="shared" si="5"/>
        <v>|</v>
      </c>
      <c r="N48">
        <f t="shared" si="8"/>
        <v>0</v>
      </c>
      <c r="O48" t="str">
        <f t="shared" si="5"/>
        <v>|</v>
      </c>
      <c r="P48">
        <f t="shared" si="9"/>
        <v>0</v>
      </c>
      <c r="Q48" t="str">
        <f t="shared" si="5"/>
        <v>|</v>
      </c>
    </row>
    <row r="49" spans="1:19" x14ac:dyDescent="0.15">
      <c r="A49" t="str">
        <f t="shared" si="2"/>
        <v>|Lv44|2|3|2|0|0|</v>
      </c>
      <c r="B49" t="s">
        <v>3</v>
      </c>
      <c r="C49" t="s">
        <v>8</v>
      </c>
      <c r="D49">
        <v>44</v>
      </c>
      <c r="E49" t="s">
        <v>3</v>
      </c>
      <c r="F49" t="str">
        <f t="shared" si="3"/>
        <v>青</v>
      </c>
      <c r="G49" t="s">
        <v>3</v>
      </c>
      <c r="H49">
        <f t="shared" si="4"/>
        <v>2</v>
      </c>
      <c r="I49" t="str">
        <f t="shared" si="5"/>
        <v>|</v>
      </c>
      <c r="J49">
        <f t="shared" si="6"/>
        <v>3</v>
      </c>
      <c r="K49" t="str">
        <f t="shared" si="5"/>
        <v>|</v>
      </c>
      <c r="L49">
        <f t="shared" si="7"/>
        <v>2</v>
      </c>
      <c r="M49" t="str">
        <f t="shared" si="5"/>
        <v>|</v>
      </c>
      <c r="N49">
        <f t="shared" si="8"/>
        <v>0</v>
      </c>
      <c r="O49" t="str">
        <f t="shared" si="5"/>
        <v>|</v>
      </c>
      <c r="P49">
        <f t="shared" si="9"/>
        <v>0</v>
      </c>
      <c r="Q49" t="str">
        <f t="shared" si="5"/>
        <v>|</v>
      </c>
    </row>
    <row r="50" spans="1:19" x14ac:dyDescent="0.15">
      <c r="A50" t="str">
        <f t="shared" si="2"/>
        <v>|Lv50|2|3|2|1|0|</v>
      </c>
      <c r="B50" t="s">
        <v>3</v>
      </c>
      <c r="C50" t="s">
        <v>8</v>
      </c>
      <c r="D50">
        <v>50</v>
      </c>
      <c r="E50" t="s">
        <v>3</v>
      </c>
      <c r="F50" t="str">
        <f t="shared" si="3"/>
        <v>赤</v>
      </c>
      <c r="G50" t="s">
        <v>3</v>
      </c>
      <c r="H50">
        <f t="shared" si="4"/>
        <v>2</v>
      </c>
      <c r="I50" t="str">
        <f t="shared" si="5"/>
        <v>|</v>
      </c>
      <c r="J50">
        <f t="shared" si="6"/>
        <v>3</v>
      </c>
      <c r="K50" t="str">
        <f t="shared" si="5"/>
        <v>|</v>
      </c>
      <c r="L50">
        <f t="shared" si="7"/>
        <v>2</v>
      </c>
      <c r="M50" t="str">
        <f t="shared" si="5"/>
        <v>|</v>
      </c>
      <c r="N50">
        <f t="shared" si="8"/>
        <v>1</v>
      </c>
      <c r="O50" t="str">
        <f t="shared" si="5"/>
        <v>|</v>
      </c>
      <c r="P50">
        <f t="shared" si="9"/>
        <v>0</v>
      </c>
      <c r="Q50" t="str">
        <f t="shared" si="5"/>
        <v>|</v>
      </c>
    </row>
    <row r="51" spans="1:19" x14ac:dyDescent="0.15">
      <c r="A51" t="str">
        <f t="shared" si="2"/>
        <v>|Lv59|2|3|3|1|0|</v>
      </c>
      <c r="B51" t="s">
        <v>3</v>
      </c>
      <c r="C51" t="s">
        <v>8</v>
      </c>
      <c r="D51">
        <v>59</v>
      </c>
      <c r="E51" t="s">
        <v>3</v>
      </c>
      <c r="F51" t="str">
        <f t="shared" si="3"/>
        <v>黒</v>
      </c>
      <c r="G51" t="s">
        <v>3</v>
      </c>
      <c r="H51">
        <f t="shared" si="4"/>
        <v>2</v>
      </c>
      <c r="I51" t="str">
        <f t="shared" si="5"/>
        <v>|</v>
      </c>
      <c r="J51">
        <f t="shared" si="6"/>
        <v>3</v>
      </c>
      <c r="K51" t="str">
        <f t="shared" si="5"/>
        <v>|</v>
      </c>
      <c r="L51">
        <f t="shared" si="7"/>
        <v>3</v>
      </c>
      <c r="M51" t="str">
        <f t="shared" si="5"/>
        <v>|</v>
      </c>
      <c r="N51">
        <f t="shared" si="8"/>
        <v>1</v>
      </c>
      <c r="O51" t="str">
        <f t="shared" si="5"/>
        <v>|</v>
      </c>
      <c r="P51">
        <f t="shared" si="9"/>
        <v>0</v>
      </c>
      <c r="Q51" t="str">
        <f t="shared" si="5"/>
        <v>|</v>
      </c>
    </row>
    <row r="52" spans="1:19" x14ac:dyDescent="0.15">
      <c r="A52" t="str">
        <f>B52&amp;C52&amp;D52&amp;E52&amp;F52&amp;G52&amp;H52&amp;I52&amp;J52&amp;K52&amp;L52&amp;M52&amp;N52&amp;O52&amp;P52</f>
        <v>&amp;br;</v>
      </c>
      <c r="B52" t="s">
        <v>0</v>
      </c>
    </row>
    <row r="53" spans="1:19" x14ac:dyDescent="0.15">
      <c r="A53" t="str">
        <f>B53&amp;C53&amp;D53&amp;E53&amp;F53&amp;G53&amp;H53&amp;I53&amp;J53&amp;K53&amp;L53&amp;M53&amp;N53&amp;O53&amp;P53</f>
        <v>&amp;br;</v>
      </c>
      <c r="B53" t="s">
        <v>0</v>
      </c>
    </row>
    <row r="54" spans="1:19" x14ac:dyDescent="0.15">
      <c r="A54" t="str">
        <f>B54&amp;C54&amp;D54&amp;E54&amp;F54&amp;G54&amp;H54&amp;I54&amp;J54&amp;K54&amp;L54&amp;M54&amp;N54&amp;O54&amp;P54</f>
        <v>*デッキ構築枚数上限 [#e6f382eb]</v>
      </c>
      <c r="B54" t="s">
        <v>16</v>
      </c>
    </row>
    <row r="55" spans="1:19" x14ac:dyDescent="0.15">
      <c r="A55" t="str">
        <f>B55&amp;C55&amp;D55&amp;E55&amp;F55&amp;G55&amp;H55&amp;I55&amp;J55&amp;K55&amp;L55&amp;M55&amp;N55&amp;O55&amp;P55</f>
        <v>構築枚数上限を越える枚数はデッキに入れられない。</v>
      </c>
      <c r="B55" t="s">
        <v>17</v>
      </c>
    </row>
    <row r="56" spans="1:19" x14ac:dyDescent="0.15">
      <c r="A56" t="str">
        <f t="shared" ref="A56:A65" si="10">B56&amp;C56&amp;D56&amp;G56&amp;H56&amp;I56&amp;J56&amp;K56&amp;L56&amp;M56&amp;N56&amp;O56&amp;P56&amp;Q56&amp;R56</f>
        <v>|LEFT:50|LEFT:80|LEFT:80|LEFT:80|c</v>
      </c>
      <c r="B56" t="s">
        <v>3</v>
      </c>
      <c r="C56" t="s">
        <v>4</v>
      </c>
      <c r="E56" t="s">
        <v>3</v>
      </c>
      <c r="G56" t="s">
        <v>3</v>
      </c>
      <c r="H56" t="s">
        <v>18</v>
      </c>
      <c r="I56" t="s">
        <v>3</v>
      </c>
      <c r="J56" t="s">
        <v>18</v>
      </c>
      <c r="K56" t="s">
        <v>3</v>
      </c>
      <c r="L56" t="s">
        <v>18</v>
      </c>
      <c r="M56" t="s">
        <v>3</v>
      </c>
      <c r="N56" t="s">
        <v>5</v>
      </c>
    </row>
    <row r="57" spans="1:19" x14ac:dyDescent="0.15">
      <c r="A57" t="str">
        <f t="shared" si="10"/>
        <v>|レベル|クリーチャー|呪文|サポート|</v>
      </c>
      <c r="B57" t="s">
        <v>3</v>
      </c>
      <c r="C57" t="s">
        <v>6</v>
      </c>
      <c r="E57" t="s">
        <v>3</v>
      </c>
      <c r="F57" t="s">
        <v>19</v>
      </c>
      <c r="G57" t="s">
        <v>3</v>
      </c>
      <c r="H57" t="s">
        <v>20</v>
      </c>
      <c r="I57" t="s">
        <v>3</v>
      </c>
      <c r="J57" t="s">
        <v>21</v>
      </c>
      <c r="K57" t="s">
        <v>3</v>
      </c>
      <c r="L57" t="s">
        <v>22</v>
      </c>
      <c r="M57" t="s">
        <v>3</v>
      </c>
      <c r="S57" t="s">
        <v>20</v>
      </c>
    </row>
    <row r="58" spans="1:19" x14ac:dyDescent="0.15">
      <c r="A58" t="str">
        <f t="shared" si="10"/>
        <v>|Lv1|3|3|4|</v>
      </c>
      <c r="B58" t="s">
        <v>3</v>
      </c>
      <c r="C58" t="s">
        <v>8</v>
      </c>
      <c r="D58">
        <v>1</v>
      </c>
      <c r="E58" t="s">
        <v>3</v>
      </c>
      <c r="G58" t="s">
        <v>3</v>
      </c>
      <c r="H58">
        <v>3</v>
      </c>
      <c r="I58" t="s">
        <v>3</v>
      </c>
      <c r="J58">
        <v>3</v>
      </c>
      <c r="K58" t="s">
        <v>3</v>
      </c>
      <c r="L58">
        <v>4</v>
      </c>
      <c r="M58" t="s">
        <v>3</v>
      </c>
      <c r="S58" t="s">
        <v>21</v>
      </c>
    </row>
    <row r="59" spans="1:19" x14ac:dyDescent="0.15">
      <c r="A59" t="str">
        <f t="shared" si="10"/>
        <v>|Lv4|4|3|4|</v>
      </c>
      <c r="B59" t="s">
        <v>3</v>
      </c>
      <c r="C59" t="s">
        <v>8</v>
      </c>
      <c r="D59">
        <v>4</v>
      </c>
      <c r="E59" t="s">
        <v>3</v>
      </c>
      <c r="F59" t="str">
        <f t="shared" ref="F59:F65" si="11">IF(ISBLANK(D59),"",INDEX($F$98:$F$157,D59))</f>
        <v>クリーチャー</v>
      </c>
      <c r="G59" t="s">
        <v>3</v>
      </c>
      <c r="H59">
        <f t="shared" ref="H59:H65" si="12">H58+IF(H$57=$F59,INDEX($H$98:$H$157,D59),0)</f>
        <v>4</v>
      </c>
      <c r="I59" t="s">
        <v>3</v>
      </c>
      <c r="J59">
        <f t="shared" ref="J59:J65" si="13">J58+IF(J$57=$F59,INDEX($H$98:$H$157,D59),0)</f>
        <v>3</v>
      </c>
      <c r="K59" t="s">
        <v>3</v>
      </c>
      <c r="L59">
        <f t="shared" ref="L59:L65" si="14">L58+IF(L$57=$F59,INDEX($H$98:$H$157,D59),0)</f>
        <v>4</v>
      </c>
      <c r="M59" t="s">
        <v>3</v>
      </c>
      <c r="S59" t="s">
        <v>22</v>
      </c>
    </row>
    <row r="60" spans="1:19" x14ac:dyDescent="0.15">
      <c r="A60" t="str">
        <f t="shared" si="10"/>
        <v>|Lv10|4|3|5|</v>
      </c>
      <c r="B60" t="s">
        <v>3</v>
      </c>
      <c r="C60" t="s">
        <v>8</v>
      </c>
      <c r="D60">
        <v>10</v>
      </c>
      <c r="E60" t="s">
        <v>3</v>
      </c>
      <c r="F60" t="str">
        <f t="shared" si="11"/>
        <v>サポート</v>
      </c>
      <c r="G60" t="s">
        <v>3</v>
      </c>
      <c r="H60">
        <f t="shared" si="12"/>
        <v>4</v>
      </c>
      <c r="I60" t="s">
        <v>3</v>
      </c>
      <c r="J60">
        <f t="shared" si="13"/>
        <v>3</v>
      </c>
      <c r="K60" t="s">
        <v>3</v>
      </c>
      <c r="L60">
        <f t="shared" si="14"/>
        <v>5</v>
      </c>
      <c r="M60" t="s">
        <v>3</v>
      </c>
    </row>
    <row r="61" spans="1:19" x14ac:dyDescent="0.15">
      <c r="A61" t="str">
        <f t="shared" si="10"/>
        <v>|Lv16|4|4|5|</v>
      </c>
      <c r="B61" t="s">
        <v>3</v>
      </c>
      <c r="C61" t="s">
        <v>8</v>
      </c>
      <c r="D61">
        <v>16</v>
      </c>
      <c r="E61" t="s">
        <v>3</v>
      </c>
      <c r="F61" t="str">
        <f t="shared" si="11"/>
        <v>呪文</v>
      </c>
      <c r="G61" t="s">
        <v>3</v>
      </c>
      <c r="H61">
        <f t="shared" si="12"/>
        <v>4</v>
      </c>
      <c r="I61" t="s">
        <v>3</v>
      </c>
      <c r="J61">
        <f t="shared" si="13"/>
        <v>4</v>
      </c>
      <c r="K61" t="s">
        <v>3</v>
      </c>
      <c r="L61">
        <f t="shared" si="14"/>
        <v>5</v>
      </c>
      <c r="M61" t="s">
        <v>3</v>
      </c>
    </row>
    <row r="62" spans="1:19" x14ac:dyDescent="0.15">
      <c r="A62" t="str">
        <f t="shared" si="10"/>
        <v>|Lv28|5|4|5|</v>
      </c>
      <c r="B62" t="s">
        <v>3</v>
      </c>
      <c r="C62" t="s">
        <v>8</v>
      </c>
      <c r="D62">
        <v>28</v>
      </c>
      <c r="E62" t="s">
        <v>3</v>
      </c>
      <c r="F62" t="str">
        <f t="shared" si="11"/>
        <v>クリーチャー</v>
      </c>
      <c r="G62" t="s">
        <v>3</v>
      </c>
      <c r="H62">
        <f t="shared" si="12"/>
        <v>5</v>
      </c>
      <c r="I62" t="s">
        <v>3</v>
      </c>
      <c r="J62">
        <f t="shared" si="13"/>
        <v>4</v>
      </c>
      <c r="K62" t="s">
        <v>3</v>
      </c>
      <c r="L62">
        <f t="shared" si="14"/>
        <v>5</v>
      </c>
      <c r="M62" t="s">
        <v>3</v>
      </c>
    </row>
    <row r="63" spans="1:19" x14ac:dyDescent="0.15">
      <c r="A63" t="str">
        <f t="shared" si="10"/>
        <v>|Lv34|5|4|6|</v>
      </c>
      <c r="B63" t="s">
        <v>3</v>
      </c>
      <c r="C63" t="s">
        <v>8</v>
      </c>
      <c r="D63">
        <v>34</v>
      </c>
      <c r="E63" t="s">
        <v>3</v>
      </c>
      <c r="F63" t="str">
        <f t="shared" si="11"/>
        <v>サポート</v>
      </c>
      <c r="G63" t="s">
        <v>3</v>
      </c>
      <c r="H63">
        <f t="shared" si="12"/>
        <v>5</v>
      </c>
      <c r="I63" t="s">
        <v>3</v>
      </c>
      <c r="J63">
        <f t="shared" si="13"/>
        <v>4</v>
      </c>
      <c r="K63" t="s">
        <v>3</v>
      </c>
      <c r="L63">
        <f t="shared" si="14"/>
        <v>6</v>
      </c>
      <c r="M63" t="s">
        <v>3</v>
      </c>
    </row>
    <row r="64" spans="1:19" x14ac:dyDescent="0.15">
      <c r="A64" t="str">
        <f t="shared" si="10"/>
        <v>|Lv42|5|5|6|</v>
      </c>
      <c r="B64" t="s">
        <v>3</v>
      </c>
      <c r="C64" t="s">
        <v>8</v>
      </c>
      <c r="D64">
        <v>42</v>
      </c>
      <c r="E64" t="s">
        <v>3</v>
      </c>
      <c r="F64" t="str">
        <f t="shared" si="11"/>
        <v>呪文</v>
      </c>
      <c r="G64" t="s">
        <v>3</v>
      </c>
      <c r="H64">
        <f t="shared" si="12"/>
        <v>5</v>
      </c>
      <c r="I64" t="s">
        <v>3</v>
      </c>
      <c r="J64">
        <f t="shared" si="13"/>
        <v>5</v>
      </c>
      <c r="K64" t="s">
        <v>3</v>
      </c>
      <c r="L64">
        <f t="shared" si="14"/>
        <v>6</v>
      </c>
      <c r="M64" t="s">
        <v>3</v>
      </c>
    </row>
    <row r="65" spans="1:20" x14ac:dyDescent="0.15">
      <c r="A65" t="str">
        <f t="shared" si="10"/>
        <v>|Lv54|6|5|6|</v>
      </c>
      <c r="B65" t="s">
        <v>3</v>
      </c>
      <c r="C65" t="s">
        <v>8</v>
      </c>
      <c r="D65">
        <v>54</v>
      </c>
      <c r="E65" t="s">
        <v>3</v>
      </c>
      <c r="F65" t="str">
        <f t="shared" si="11"/>
        <v>クリーチャー</v>
      </c>
      <c r="G65" t="s">
        <v>3</v>
      </c>
      <c r="H65">
        <f t="shared" si="12"/>
        <v>6</v>
      </c>
      <c r="I65" t="s">
        <v>3</v>
      </c>
      <c r="J65">
        <f t="shared" si="13"/>
        <v>5</v>
      </c>
      <c r="K65" t="s">
        <v>3</v>
      </c>
      <c r="L65">
        <f t="shared" si="14"/>
        <v>6</v>
      </c>
      <c r="M65" t="s">
        <v>3</v>
      </c>
    </row>
    <row r="66" spans="1:20" x14ac:dyDescent="0.15">
      <c r="A66" t="str">
        <f t="shared" ref="A66:A87" si="15">B66&amp;C66&amp;D66&amp;E66&amp;F66&amp;G66&amp;H66&amp;I66&amp;J66&amp;K66&amp;L66&amp;M66&amp;N66&amp;O66&amp;P66</f>
        <v>&amp;br;</v>
      </c>
      <c r="B66" t="s">
        <v>0</v>
      </c>
    </row>
    <row r="67" spans="1:20" x14ac:dyDescent="0.15">
      <c r="A67" t="str">
        <f t="shared" si="15"/>
        <v>&amp;br;</v>
      </c>
      <c r="B67" t="s">
        <v>0</v>
      </c>
    </row>
    <row r="68" spans="1:20" x14ac:dyDescent="0.15">
      <c r="A68" t="str">
        <f t="shared" si="15"/>
        <v>*PW能力一覧 [#a469e89f]</v>
      </c>
      <c r="B68" t="s">
        <v>23</v>
      </c>
    </row>
    <row r="69" spans="1:20" x14ac:dyDescent="0.15">
      <c r="A69" t="str">
        <f t="shared" si="15"/>
        <v>**第1能力：企図/Plot</v>
      </c>
      <c r="B69" t="s">
        <v>24</v>
      </c>
      <c r="D69" t="s">
        <v>389</v>
      </c>
      <c r="E69" t="s">
        <v>25</v>
      </c>
      <c r="F69" t="s">
        <v>390</v>
      </c>
      <c r="R69" t="str">
        <f>D69&amp;E69&amp;F69</f>
        <v>企図/Plot</v>
      </c>
      <c r="S69" t="s">
        <v>3</v>
      </c>
      <c r="T69">
        <f>H75</f>
        <v>9</v>
      </c>
    </row>
    <row r="70" spans="1:20" x14ac:dyDescent="0.15">
      <c r="A70" t="str">
        <f t="shared" si="15"/>
        <v>|LEFT:50|LEFT:50|LEFT:50|LEFT:300|c</v>
      </c>
      <c r="B70" t="s">
        <v>3</v>
      </c>
      <c r="C70" t="s">
        <v>4</v>
      </c>
      <c r="E70" t="s">
        <v>3</v>
      </c>
      <c r="F70" t="s">
        <v>4</v>
      </c>
      <c r="G70" t="s">
        <v>3</v>
      </c>
      <c r="H70" t="s">
        <v>4</v>
      </c>
      <c r="I70" t="s">
        <v>3</v>
      </c>
      <c r="J70" t="s">
        <v>26</v>
      </c>
      <c r="K70" t="s">
        <v>3</v>
      </c>
      <c r="L70" t="s">
        <v>5</v>
      </c>
      <c r="R70" t="s">
        <v>209</v>
      </c>
      <c r="S70" t="s">
        <v>3</v>
      </c>
      <c r="T70" t="str">
        <f>J75</f>
        <v>エネルギー化4を行い、製造2を行う。</v>
      </c>
    </row>
    <row r="71" spans="1:20" x14ac:dyDescent="0.15">
      <c r="A71" t="str">
        <f t="shared" si="15"/>
        <v>|解放Lv|レベル|コスト|効果|</v>
      </c>
      <c r="B71" t="s">
        <v>3</v>
      </c>
      <c r="C71" t="s">
        <v>27</v>
      </c>
      <c r="E71" t="s">
        <v>3</v>
      </c>
      <c r="F71" t="s">
        <v>6</v>
      </c>
      <c r="G71" t="s">
        <v>3</v>
      </c>
      <c r="H71" t="s">
        <v>28</v>
      </c>
      <c r="I71" t="s">
        <v>3</v>
      </c>
      <c r="J71" t="s">
        <v>29</v>
      </c>
      <c r="K71" t="s">
        <v>3</v>
      </c>
      <c r="R71" t="str">
        <f>D78&amp;E78&amp;F78</f>
        <v>策謀/Design</v>
      </c>
      <c r="S71" t="s">
        <v>3</v>
      </c>
      <c r="T71">
        <f>H84</f>
        <v>12</v>
      </c>
    </row>
    <row r="72" spans="1:20" x14ac:dyDescent="0.15">
      <c r="A72" t="str">
        <f t="shared" si="15"/>
        <v>|Lv6|Lv1|9|エネルギー化1を行い、製造1を行う。|</v>
      </c>
      <c r="B72" t="s">
        <v>3</v>
      </c>
      <c r="C72" t="s">
        <v>8</v>
      </c>
      <c r="D72">
        <v>6</v>
      </c>
      <c r="E72" t="s">
        <v>3</v>
      </c>
      <c r="F72" t="s">
        <v>30</v>
      </c>
      <c r="G72" t="s">
        <v>3</v>
      </c>
      <c r="H72">
        <v>9</v>
      </c>
      <c r="I72" t="s">
        <v>3</v>
      </c>
      <c r="J72" t="s">
        <v>391</v>
      </c>
      <c r="K72" t="s">
        <v>3</v>
      </c>
      <c r="R72" t="s">
        <v>209</v>
      </c>
      <c r="S72" t="s">
        <v>3</v>
      </c>
      <c r="T72" t="str">
        <f>J84</f>
        <v>「超過1：このクリーチャーに+1/+1の修正と製造2を行う」を持つ4/4の構築物・トークンを1体生成する。</v>
      </c>
    </row>
    <row r="73" spans="1:20" x14ac:dyDescent="0.15">
      <c r="A73" t="str">
        <f t="shared" si="15"/>
        <v>|Lv24|Lv2|9|エネルギー化2を行い、製造1を行う。|</v>
      </c>
      <c r="B73" t="s">
        <v>3</v>
      </c>
      <c r="C73" t="s">
        <v>8</v>
      </c>
      <c r="D73">
        <v>24</v>
      </c>
      <c r="E73" t="s">
        <v>3</v>
      </c>
      <c r="F73" t="s">
        <v>31</v>
      </c>
      <c r="G73" t="s">
        <v>3</v>
      </c>
      <c r="H73">
        <v>9</v>
      </c>
      <c r="I73" t="s">
        <v>3</v>
      </c>
      <c r="J73" t="s">
        <v>392</v>
      </c>
      <c r="K73" t="s">
        <v>3</v>
      </c>
      <c r="R73" t="str">
        <f>D87&amp;E87&amp;F87</f>
        <v>憤怒/Rage</v>
      </c>
      <c r="S73" t="s">
        <v>3</v>
      </c>
      <c r="T73">
        <f>H93</f>
        <v>18</v>
      </c>
    </row>
    <row r="74" spans="1:20" x14ac:dyDescent="0.15">
      <c r="A74" t="str">
        <f t="shared" si="15"/>
        <v>|Lv40|Lv3|9|エネルギー化3を行い、製造2を行う。|</v>
      </c>
      <c r="B74" t="s">
        <v>3</v>
      </c>
      <c r="C74" t="s">
        <v>8</v>
      </c>
      <c r="D74">
        <v>40</v>
      </c>
      <c r="E74" t="s">
        <v>3</v>
      </c>
      <c r="F74" t="s">
        <v>32</v>
      </c>
      <c r="G74" t="s">
        <v>3</v>
      </c>
      <c r="H74">
        <v>9</v>
      </c>
      <c r="I74" t="s">
        <v>3</v>
      </c>
      <c r="J74" t="s">
        <v>393</v>
      </c>
      <c r="K74" t="s">
        <v>3</v>
      </c>
      <c r="R74" t="s">
        <v>209</v>
      </c>
      <c r="S74" t="s">
        <v>3</v>
      </c>
      <c r="T74" t="str">
        <f>J93</f>
        <v>「あなたがコントロールするサポートが破壊されるたび、対戦相手に10点のダメージを与える」を持つサポート(シールド数3)を生成する。</v>
      </c>
    </row>
    <row r="75" spans="1:20" x14ac:dyDescent="0.15">
      <c r="A75" t="str">
        <f t="shared" si="15"/>
        <v>|Lv56|Lv4|9|エネルギー化4を行い、製造2を行う。|</v>
      </c>
      <c r="B75" t="s">
        <v>3</v>
      </c>
      <c r="C75" t="s">
        <v>8</v>
      </c>
      <c r="D75">
        <v>56</v>
      </c>
      <c r="E75" t="s">
        <v>3</v>
      </c>
      <c r="F75" t="s">
        <v>33</v>
      </c>
      <c r="G75" t="s">
        <v>3</v>
      </c>
      <c r="H75">
        <v>9</v>
      </c>
      <c r="I75" t="s">
        <v>3</v>
      </c>
      <c r="J75" t="s">
        <v>394</v>
      </c>
      <c r="K75" t="s">
        <v>3</v>
      </c>
    </row>
    <row r="76" spans="1:20" x14ac:dyDescent="0.15">
      <c r="A76" t="str">
        <f t="shared" si="15"/>
        <v>&amp;br;</v>
      </c>
      <c r="B76" t="s">
        <v>0</v>
      </c>
    </row>
    <row r="77" spans="1:20" x14ac:dyDescent="0.15">
      <c r="A77" t="str">
        <f t="shared" si="15"/>
        <v>&amp;br;</v>
      </c>
      <c r="B77" t="s">
        <v>0</v>
      </c>
    </row>
    <row r="78" spans="1:20" x14ac:dyDescent="0.15">
      <c r="A78" t="str">
        <f t="shared" si="15"/>
        <v>**第2能力：策謀/Design</v>
      </c>
      <c r="B78" t="s">
        <v>34</v>
      </c>
      <c r="D78" t="s">
        <v>395</v>
      </c>
      <c r="E78" t="s">
        <v>25</v>
      </c>
      <c r="F78" t="s">
        <v>396</v>
      </c>
    </row>
    <row r="79" spans="1:20" x14ac:dyDescent="0.15">
      <c r="A79" t="str">
        <f t="shared" si="15"/>
        <v>|LEFT:50|LEFT:50|LEFT:50|LEFT:300|c</v>
      </c>
      <c r="B79" t="s">
        <v>3</v>
      </c>
      <c r="C79" t="s">
        <v>4</v>
      </c>
      <c r="E79" t="s">
        <v>3</v>
      </c>
      <c r="F79" t="s">
        <v>4</v>
      </c>
      <c r="G79" t="s">
        <v>3</v>
      </c>
      <c r="H79" t="s">
        <v>4</v>
      </c>
      <c r="I79" t="s">
        <v>3</v>
      </c>
      <c r="J79" t="s">
        <v>26</v>
      </c>
      <c r="K79" t="s">
        <v>3</v>
      </c>
      <c r="L79" t="s">
        <v>5</v>
      </c>
    </row>
    <row r="80" spans="1:20" x14ac:dyDescent="0.15">
      <c r="A80" t="str">
        <f t="shared" si="15"/>
        <v>|解放Lv|レベル|コスト|効果|</v>
      </c>
      <c r="B80" t="s">
        <v>3</v>
      </c>
      <c r="C80" t="s">
        <v>27</v>
      </c>
      <c r="E80" t="s">
        <v>3</v>
      </c>
      <c r="F80" t="s">
        <v>6</v>
      </c>
      <c r="G80" t="s">
        <v>3</v>
      </c>
      <c r="H80" t="s">
        <v>28</v>
      </c>
      <c r="I80" t="s">
        <v>3</v>
      </c>
      <c r="J80" t="s">
        <v>29</v>
      </c>
      <c r="K80" t="s">
        <v>3</v>
      </c>
    </row>
    <row r="81" spans="1:12" x14ac:dyDescent="0.15">
      <c r="A81" t="str">
        <f t="shared" si="15"/>
        <v>|Lv12|Lv1|12|「超過1：このクリーチャーに+1/+1の修正と製造1を行う」を持つ1/1の構築物・トークンを1体生成する。|</v>
      </c>
      <c r="B81" t="s">
        <v>3</v>
      </c>
      <c r="C81" t="s">
        <v>8</v>
      </c>
      <c r="D81">
        <v>12</v>
      </c>
      <c r="E81" t="s">
        <v>3</v>
      </c>
      <c r="F81" t="s">
        <v>30</v>
      </c>
      <c r="G81" t="s">
        <v>3</v>
      </c>
      <c r="H81">
        <v>12</v>
      </c>
      <c r="I81" t="s">
        <v>3</v>
      </c>
      <c r="J81" t="s">
        <v>397</v>
      </c>
      <c r="K81" t="s">
        <v>3</v>
      </c>
    </row>
    <row r="82" spans="1:12" x14ac:dyDescent="0.15">
      <c r="A82" t="str">
        <f t="shared" si="15"/>
        <v>|Lv30|Lv2|12|「超過1：このクリーチャーに+1/+1の修正と製造1を行う」を持つ2/2の構築物・トークンを1体生成する。|</v>
      </c>
      <c r="B82" t="s">
        <v>3</v>
      </c>
      <c r="C82" t="s">
        <v>8</v>
      </c>
      <c r="D82">
        <v>30</v>
      </c>
      <c r="E82" t="s">
        <v>3</v>
      </c>
      <c r="F82" t="s">
        <v>31</v>
      </c>
      <c r="G82" t="s">
        <v>3</v>
      </c>
      <c r="H82">
        <v>12</v>
      </c>
      <c r="I82" t="s">
        <v>3</v>
      </c>
      <c r="J82" t="s">
        <v>398</v>
      </c>
      <c r="K82" t="s">
        <v>3</v>
      </c>
    </row>
    <row r="83" spans="1:12" x14ac:dyDescent="0.15">
      <c r="A83" t="str">
        <f t="shared" si="15"/>
        <v>|Lv46|Lv3|12|「超過1：このクリーチャーに+1/+1の修正と製造2を行う」を持つ3/3の構築物・トークンを1体生成する。|</v>
      </c>
      <c r="B83" t="s">
        <v>3</v>
      </c>
      <c r="C83" t="s">
        <v>8</v>
      </c>
      <c r="D83">
        <v>46</v>
      </c>
      <c r="E83" t="s">
        <v>3</v>
      </c>
      <c r="F83" t="s">
        <v>32</v>
      </c>
      <c r="G83" t="s">
        <v>3</v>
      </c>
      <c r="H83">
        <v>12</v>
      </c>
      <c r="I83" t="s">
        <v>3</v>
      </c>
      <c r="J83" t="s">
        <v>399</v>
      </c>
      <c r="K83" t="s">
        <v>3</v>
      </c>
    </row>
    <row r="84" spans="1:12" x14ac:dyDescent="0.15">
      <c r="A84" t="str">
        <f t="shared" si="15"/>
        <v>|Lv58|Lv4|12|「超過1：このクリーチャーに+1/+1の修正と製造2を行う」を持つ4/4の構築物・トークンを1体生成する。|</v>
      </c>
      <c r="B84" t="s">
        <v>3</v>
      </c>
      <c r="C84" t="s">
        <v>8</v>
      </c>
      <c r="D84">
        <v>58</v>
      </c>
      <c r="E84" t="s">
        <v>3</v>
      </c>
      <c r="F84" t="s">
        <v>33</v>
      </c>
      <c r="G84" t="s">
        <v>3</v>
      </c>
      <c r="H84">
        <v>12</v>
      </c>
      <c r="I84" t="s">
        <v>3</v>
      </c>
      <c r="J84" t="s">
        <v>400</v>
      </c>
      <c r="K84" t="s">
        <v>3</v>
      </c>
    </row>
    <row r="85" spans="1:12" x14ac:dyDescent="0.15">
      <c r="A85" t="str">
        <f t="shared" si="15"/>
        <v>&amp;br;</v>
      </c>
      <c r="B85" t="s">
        <v>0</v>
      </c>
    </row>
    <row r="86" spans="1:12" x14ac:dyDescent="0.15">
      <c r="A86" t="str">
        <f t="shared" si="15"/>
        <v>&amp;br;</v>
      </c>
      <c r="B86" t="s">
        <v>0</v>
      </c>
    </row>
    <row r="87" spans="1:12" x14ac:dyDescent="0.15">
      <c r="A87" t="str">
        <f t="shared" si="15"/>
        <v>**第3能力：憤怒/Rage</v>
      </c>
      <c r="B87" t="s">
        <v>35</v>
      </c>
      <c r="D87" t="s">
        <v>401</v>
      </c>
      <c r="E87" t="s">
        <v>25</v>
      </c>
      <c r="F87" t="s">
        <v>402</v>
      </c>
    </row>
    <row r="88" spans="1:12" x14ac:dyDescent="0.15">
      <c r="A88" t="str">
        <f t="shared" ref="A88:A151" si="16">B88&amp;C88&amp;D88&amp;E88&amp;F88&amp;G88&amp;H88&amp;I88&amp;J88&amp;K88&amp;L88&amp;M88&amp;N88&amp;O88&amp;P88</f>
        <v>|LEFT:50|LEFT:50|LEFT:50|LEFT:300|c</v>
      </c>
      <c r="B88" t="s">
        <v>3</v>
      </c>
      <c r="C88" t="s">
        <v>4</v>
      </c>
      <c r="E88" t="s">
        <v>3</v>
      </c>
      <c r="F88" t="s">
        <v>4</v>
      </c>
      <c r="G88" t="s">
        <v>3</v>
      </c>
      <c r="H88" t="s">
        <v>4</v>
      </c>
      <c r="I88" t="s">
        <v>3</v>
      </c>
      <c r="J88" t="s">
        <v>26</v>
      </c>
      <c r="K88" t="s">
        <v>3</v>
      </c>
      <c r="L88" t="s">
        <v>5</v>
      </c>
    </row>
    <row r="89" spans="1:12" x14ac:dyDescent="0.15">
      <c r="A89" t="str">
        <f t="shared" si="16"/>
        <v>|解放Lv|レベル|コスト|効果|</v>
      </c>
      <c r="B89" t="s">
        <v>3</v>
      </c>
      <c r="C89" t="s">
        <v>27</v>
      </c>
      <c r="E89" t="s">
        <v>3</v>
      </c>
      <c r="F89" t="s">
        <v>6</v>
      </c>
      <c r="G89" t="s">
        <v>3</v>
      </c>
      <c r="H89" t="s">
        <v>28</v>
      </c>
      <c r="I89" t="s">
        <v>3</v>
      </c>
      <c r="J89" t="s">
        <v>29</v>
      </c>
      <c r="K89" t="s">
        <v>3</v>
      </c>
    </row>
    <row r="90" spans="1:12" x14ac:dyDescent="0.15">
      <c r="A90" t="str">
        <f t="shared" si="16"/>
        <v>|Lv18|Lv1|18|「あなたがコントロールするサポートが破壊されるたび、対戦相手に4点のダメージを与える」を持つサポート(シールド数3)を生成する。|</v>
      </c>
      <c r="B90" t="s">
        <v>3</v>
      </c>
      <c r="C90" t="s">
        <v>8</v>
      </c>
      <c r="D90">
        <v>18</v>
      </c>
      <c r="E90" t="s">
        <v>3</v>
      </c>
      <c r="F90" t="s">
        <v>30</v>
      </c>
      <c r="G90" t="s">
        <v>3</v>
      </c>
      <c r="H90">
        <v>18</v>
      </c>
      <c r="I90" t="s">
        <v>3</v>
      </c>
      <c r="J90" t="s">
        <v>403</v>
      </c>
      <c r="K90" t="s">
        <v>3</v>
      </c>
    </row>
    <row r="91" spans="1:12" x14ac:dyDescent="0.15">
      <c r="A91" t="str">
        <f t="shared" si="16"/>
        <v>|Lv36|Lv2|18|「あなたがコントロールするサポートが破壊されるたび、対戦相手に6点のダメージを与える」を持つサポート(シールド数3)を生成する。|</v>
      </c>
      <c r="B91" t="s">
        <v>3</v>
      </c>
      <c r="C91" t="s">
        <v>8</v>
      </c>
      <c r="D91">
        <v>36</v>
      </c>
      <c r="E91" t="s">
        <v>3</v>
      </c>
      <c r="F91" t="s">
        <v>31</v>
      </c>
      <c r="G91" t="s">
        <v>3</v>
      </c>
      <c r="H91">
        <v>18</v>
      </c>
      <c r="I91" t="s">
        <v>3</v>
      </c>
      <c r="J91" t="s">
        <v>404</v>
      </c>
      <c r="K91" t="s">
        <v>3</v>
      </c>
    </row>
    <row r="92" spans="1:12" x14ac:dyDescent="0.15">
      <c r="A92" t="str">
        <f t="shared" si="16"/>
        <v>|Lv52|Lv3|18|「あなたがコントロールするサポートが破壊されるたび、対戦相手に8点のダメージを与える」を持つサポート(シールド数3)を生成する。|</v>
      </c>
      <c r="B92" t="s">
        <v>3</v>
      </c>
      <c r="C92" t="s">
        <v>8</v>
      </c>
      <c r="D92">
        <v>52</v>
      </c>
      <c r="E92" t="s">
        <v>3</v>
      </c>
      <c r="F92" t="s">
        <v>32</v>
      </c>
      <c r="G92" t="s">
        <v>3</v>
      </c>
      <c r="H92">
        <v>18</v>
      </c>
      <c r="I92" t="s">
        <v>3</v>
      </c>
      <c r="J92" t="s">
        <v>405</v>
      </c>
      <c r="K92" t="s">
        <v>3</v>
      </c>
    </row>
    <row r="93" spans="1:12" x14ac:dyDescent="0.15">
      <c r="A93" t="str">
        <f t="shared" si="16"/>
        <v>|Lv60|Lv4|18|「あなたがコントロールするサポートが破壊されるたび、対戦相手に10点のダメージを与える」を持つサポート(シールド数3)を生成する。|</v>
      </c>
      <c r="B93" t="s">
        <v>3</v>
      </c>
      <c r="C93" t="s">
        <v>8</v>
      </c>
      <c r="D93">
        <v>60</v>
      </c>
      <c r="E93" t="s">
        <v>3</v>
      </c>
      <c r="F93" t="s">
        <v>33</v>
      </c>
      <c r="G93" t="s">
        <v>3</v>
      </c>
      <c r="H93">
        <v>18</v>
      </c>
      <c r="I93" t="s">
        <v>3</v>
      </c>
      <c r="J93" t="s">
        <v>406</v>
      </c>
      <c r="K93" t="s">
        <v>3</v>
      </c>
    </row>
    <row r="94" spans="1:12" x14ac:dyDescent="0.15">
      <c r="A94" t="str">
        <f t="shared" si="16"/>
        <v>&amp;br;</v>
      </c>
      <c r="B94" t="s">
        <v>0</v>
      </c>
    </row>
    <row r="95" spans="1:12" x14ac:dyDescent="0.15">
      <c r="A95" t="str">
        <f t="shared" si="16"/>
        <v>&amp;br;</v>
      </c>
      <c r="B95" t="s">
        <v>0</v>
      </c>
    </row>
    <row r="96" spans="1:12" x14ac:dyDescent="0.15">
      <c r="A96" t="str">
        <f t="shared" si="16"/>
        <v>*レベルアップ報酬一覧 [#k0cef29c]</v>
      </c>
      <c r="B96" t="s">
        <v>36</v>
      </c>
    </row>
    <row r="97" spans="1:17" x14ac:dyDescent="0.15">
      <c r="A97" t="str">
        <f t="shared" si="16"/>
        <v>|LEFT:50|LEFT:100|c</v>
      </c>
      <c r="B97" t="s">
        <v>3</v>
      </c>
      <c r="C97" t="s">
        <v>4</v>
      </c>
      <c r="E97" t="s">
        <v>3</v>
      </c>
      <c r="F97" t="s">
        <v>37</v>
      </c>
      <c r="I97" t="s">
        <v>3</v>
      </c>
      <c r="J97" t="s">
        <v>5</v>
      </c>
    </row>
    <row r="98" spans="1:17" x14ac:dyDescent="0.15">
      <c r="A98" t="str">
        <f t="shared" si="16"/>
        <v>|レベル|報酬|</v>
      </c>
      <c r="B98" t="s">
        <v>3</v>
      </c>
      <c r="C98" t="s">
        <v>6</v>
      </c>
      <c r="E98" t="s">
        <v>3</v>
      </c>
      <c r="F98" t="s">
        <v>38</v>
      </c>
      <c r="I98" t="s">
        <v>3</v>
      </c>
      <c r="Q98" t="s">
        <v>7</v>
      </c>
    </row>
    <row r="99" spans="1:17" x14ac:dyDescent="0.15">
      <c r="A99" t="str">
        <f t="shared" si="16"/>
        <v>|Lｖ2|白+1|</v>
      </c>
      <c r="B99" t="s">
        <v>3</v>
      </c>
      <c r="C99" t="s">
        <v>39</v>
      </c>
      <c r="D99">
        <v>2</v>
      </c>
      <c r="E99" t="s">
        <v>3</v>
      </c>
      <c r="F99" t="s">
        <v>11</v>
      </c>
      <c r="G99" t="str">
        <f>IF(OR(F99=$Q$107,F99=$Q$108,F99=$Q$109,F99=$Q$110,ISBLANK(F99)),"","+")</f>
        <v>+</v>
      </c>
      <c r="H99">
        <v>1</v>
      </c>
      <c r="I99" t="s">
        <v>3</v>
      </c>
      <c r="Q99" t="s">
        <v>20</v>
      </c>
    </row>
    <row r="100" spans="1:17" x14ac:dyDescent="0.15">
      <c r="A100" t="str">
        <f t="shared" si="16"/>
        <v>|Lｖ3|HP+3|</v>
      </c>
      <c r="B100" t="s">
        <v>3</v>
      </c>
      <c r="C100" t="s">
        <v>39</v>
      </c>
      <c r="D100">
        <v>3</v>
      </c>
      <c r="E100" t="s">
        <v>3</v>
      </c>
      <c r="F100" t="s">
        <v>7</v>
      </c>
      <c r="G100" t="str">
        <f t="shared" ref="G100:G156" si="17">IF(OR(F100=$Q$107,F100=$Q$108,F100=$Q$109,F100=$Q$110,ISBLANK(F100)),"","+")</f>
        <v>+</v>
      </c>
      <c r="H100">
        <v>3</v>
      </c>
      <c r="I100" t="s">
        <v>3</v>
      </c>
      <c r="Q100" t="s">
        <v>21</v>
      </c>
    </row>
    <row r="101" spans="1:17" x14ac:dyDescent="0.15">
      <c r="A101" t="str">
        <f t="shared" si="16"/>
        <v>|Lｖ4|クリーチャー+1|</v>
      </c>
      <c r="B101" t="s">
        <v>3</v>
      </c>
      <c r="C101" t="s">
        <v>39</v>
      </c>
      <c r="D101">
        <v>4</v>
      </c>
      <c r="E101" t="s">
        <v>3</v>
      </c>
      <c r="F101" t="s">
        <v>20</v>
      </c>
      <c r="G101" t="str">
        <f t="shared" si="17"/>
        <v>+</v>
      </c>
      <c r="H101">
        <v>1</v>
      </c>
      <c r="I101" t="s">
        <v>3</v>
      </c>
      <c r="Q101" t="s">
        <v>22</v>
      </c>
    </row>
    <row r="102" spans="1:17" x14ac:dyDescent="0.15">
      <c r="A102" t="str">
        <f t="shared" si="16"/>
        <v>|Lｖ5|HP+3|</v>
      </c>
      <c r="B102" t="s">
        <v>3</v>
      </c>
      <c r="C102" t="s">
        <v>39</v>
      </c>
      <c r="D102">
        <v>5</v>
      </c>
      <c r="E102" t="s">
        <v>3</v>
      </c>
      <c r="F102" t="s">
        <v>7</v>
      </c>
      <c r="G102" t="str">
        <f t="shared" si="17"/>
        <v>+</v>
      </c>
      <c r="H102">
        <v>3</v>
      </c>
      <c r="I102" t="s">
        <v>3</v>
      </c>
      <c r="Q102" t="s">
        <v>11</v>
      </c>
    </row>
    <row r="103" spans="1:17" x14ac:dyDescent="0.15">
      <c r="A103" t="str">
        <f t="shared" si="16"/>
        <v>|Lｖ6|第1能力Lv1|</v>
      </c>
      <c r="B103" t="s">
        <v>3</v>
      </c>
      <c r="C103" t="s">
        <v>39</v>
      </c>
      <c r="D103">
        <v>6</v>
      </c>
      <c r="E103" t="s">
        <v>3</v>
      </c>
      <c r="F103" t="s">
        <v>40</v>
      </c>
      <c r="G103" t="str">
        <f t="shared" si="17"/>
        <v/>
      </c>
      <c r="H103">
        <v>1</v>
      </c>
      <c r="I103" t="s">
        <v>3</v>
      </c>
      <c r="Q103" t="s">
        <v>12</v>
      </c>
    </row>
    <row r="104" spans="1:17" x14ac:dyDescent="0.15">
      <c r="A104" t="str">
        <f t="shared" si="16"/>
        <v>|Lｖ7|HP+3|</v>
      </c>
      <c r="B104" t="s">
        <v>3</v>
      </c>
      <c r="C104" t="s">
        <v>39</v>
      </c>
      <c r="D104">
        <v>7</v>
      </c>
      <c r="E104" t="s">
        <v>3</v>
      </c>
      <c r="F104" t="s">
        <v>7</v>
      </c>
      <c r="G104" t="str">
        <f t="shared" si="17"/>
        <v>+</v>
      </c>
      <c r="H104">
        <v>3</v>
      </c>
      <c r="I104" t="s">
        <v>3</v>
      </c>
      <c r="Q104" t="s">
        <v>13</v>
      </c>
    </row>
    <row r="105" spans="1:17" x14ac:dyDescent="0.15">
      <c r="A105" t="str">
        <f t="shared" si="16"/>
        <v>|Lｖ8|緑+1|</v>
      </c>
      <c r="B105" t="s">
        <v>3</v>
      </c>
      <c r="C105" t="s">
        <v>39</v>
      </c>
      <c r="D105">
        <v>8</v>
      </c>
      <c r="E105" t="s">
        <v>3</v>
      </c>
      <c r="F105" t="s">
        <v>15</v>
      </c>
      <c r="G105" t="str">
        <f t="shared" si="17"/>
        <v>+</v>
      </c>
      <c r="H105">
        <v>1</v>
      </c>
      <c r="I105" t="s">
        <v>3</v>
      </c>
      <c r="Q105" t="s">
        <v>14</v>
      </c>
    </row>
    <row r="106" spans="1:17" x14ac:dyDescent="0.15">
      <c r="A106" t="str">
        <f t="shared" si="16"/>
        <v>|Lｖ9|HP+3|</v>
      </c>
      <c r="B106" t="s">
        <v>3</v>
      </c>
      <c r="C106" t="s">
        <v>39</v>
      </c>
      <c r="D106">
        <v>9</v>
      </c>
      <c r="E106" t="s">
        <v>3</v>
      </c>
      <c r="F106" t="s">
        <v>7</v>
      </c>
      <c r="G106" t="str">
        <f t="shared" si="17"/>
        <v>+</v>
      </c>
      <c r="H106">
        <v>3</v>
      </c>
      <c r="I106" t="s">
        <v>3</v>
      </c>
      <c r="Q106" t="s">
        <v>15</v>
      </c>
    </row>
    <row r="107" spans="1:17" x14ac:dyDescent="0.15">
      <c r="A107" t="str">
        <f t="shared" si="16"/>
        <v>|Lｖ10|サポート+1|</v>
      </c>
      <c r="B107" t="s">
        <v>3</v>
      </c>
      <c r="C107" t="s">
        <v>39</v>
      </c>
      <c r="D107">
        <v>10</v>
      </c>
      <c r="E107" t="s">
        <v>3</v>
      </c>
      <c r="F107" t="s">
        <v>22</v>
      </c>
      <c r="G107" t="str">
        <f t="shared" si="17"/>
        <v>+</v>
      </c>
      <c r="H107">
        <v>1</v>
      </c>
      <c r="I107" t="s">
        <v>3</v>
      </c>
      <c r="Q107" t="s">
        <v>40</v>
      </c>
    </row>
    <row r="108" spans="1:17" x14ac:dyDescent="0.15">
      <c r="A108" t="str">
        <f t="shared" si="16"/>
        <v>|Lｖ11|HP+3|</v>
      </c>
      <c r="B108" t="s">
        <v>3</v>
      </c>
      <c r="C108" t="s">
        <v>39</v>
      </c>
      <c r="D108">
        <v>11</v>
      </c>
      <c r="E108" t="s">
        <v>3</v>
      </c>
      <c r="F108" t="s">
        <v>7</v>
      </c>
      <c r="G108" t="str">
        <f t="shared" si="17"/>
        <v>+</v>
      </c>
      <c r="H108">
        <v>3</v>
      </c>
      <c r="I108" t="s">
        <v>3</v>
      </c>
      <c r="Q108" t="s">
        <v>41</v>
      </c>
    </row>
    <row r="109" spans="1:17" x14ac:dyDescent="0.15">
      <c r="A109" t="str">
        <f t="shared" si="16"/>
        <v>|Lｖ12|第2能力Lv1|</v>
      </c>
      <c r="B109" t="s">
        <v>3</v>
      </c>
      <c r="C109" t="s">
        <v>39</v>
      </c>
      <c r="D109">
        <v>12</v>
      </c>
      <c r="E109" t="s">
        <v>3</v>
      </c>
      <c r="F109" t="s">
        <v>41</v>
      </c>
      <c r="G109" t="str">
        <f t="shared" si="17"/>
        <v/>
      </c>
      <c r="H109">
        <v>1</v>
      </c>
      <c r="I109" t="s">
        <v>3</v>
      </c>
      <c r="Q109" t="s">
        <v>42</v>
      </c>
    </row>
    <row r="110" spans="1:17" x14ac:dyDescent="0.15">
      <c r="A110" t="str">
        <f t="shared" si="16"/>
        <v>|Lｖ13|HP+3|</v>
      </c>
      <c r="B110" t="s">
        <v>3</v>
      </c>
      <c r="C110" t="s">
        <v>39</v>
      </c>
      <c r="D110">
        <v>13</v>
      </c>
      <c r="E110" t="s">
        <v>3</v>
      </c>
      <c r="F110" t="s">
        <v>7</v>
      </c>
      <c r="G110" t="str">
        <f t="shared" si="17"/>
        <v>+</v>
      </c>
      <c r="H110">
        <v>3</v>
      </c>
      <c r="I110" t="s">
        <v>3</v>
      </c>
      <c r="Q110" t="s">
        <v>43</v>
      </c>
    </row>
    <row r="111" spans="1:17" x14ac:dyDescent="0.15">
      <c r="A111" t="str">
        <f t="shared" si="16"/>
        <v>|Lｖ14|黒+1|</v>
      </c>
      <c r="B111" t="s">
        <v>3</v>
      </c>
      <c r="C111" t="s">
        <v>39</v>
      </c>
      <c r="D111">
        <v>14</v>
      </c>
      <c r="E111" t="s">
        <v>3</v>
      </c>
      <c r="F111" t="s">
        <v>13</v>
      </c>
      <c r="G111" t="str">
        <f t="shared" si="17"/>
        <v>+</v>
      </c>
      <c r="H111">
        <v>1</v>
      </c>
      <c r="I111" t="s">
        <v>3</v>
      </c>
    </row>
    <row r="112" spans="1:17" x14ac:dyDescent="0.15">
      <c r="A112" t="str">
        <f t="shared" si="16"/>
        <v>|Lｖ15|HP+3|</v>
      </c>
      <c r="B112" t="s">
        <v>3</v>
      </c>
      <c r="C112" t="s">
        <v>39</v>
      </c>
      <c r="D112">
        <v>15</v>
      </c>
      <c r="E112" t="s">
        <v>3</v>
      </c>
      <c r="F112" t="s">
        <v>7</v>
      </c>
      <c r="G112" t="str">
        <f t="shared" si="17"/>
        <v>+</v>
      </c>
      <c r="H112">
        <v>3</v>
      </c>
      <c r="I112" t="s">
        <v>3</v>
      </c>
    </row>
    <row r="113" spans="1:9" x14ac:dyDescent="0.15">
      <c r="A113" t="str">
        <f t="shared" si="16"/>
        <v>|Lｖ16|呪文+1|</v>
      </c>
      <c r="B113" t="s">
        <v>3</v>
      </c>
      <c r="C113" t="s">
        <v>39</v>
      </c>
      <c r="D113">
        <v>16</v>
      </c>
      <c r="E113" t="s">
        <v>3</v>
      </c>
      <c r="F113" t="s">
        <v>21</v>
      </c>
      <c r="G113" t="str">
        <f t="shared" si="17"/>
        <v>+</v>
      </c>
      <c r="H113">
        <v>1</v>
      </c>
      <c r="I113" t="s">
        <v>3</v>
      </c>
    </row>
    <row r="114" spans="1:9" x14ac:dyDescent="0.15">
      <c r="A114" t="str">
        <f t="shared" si="16"/>
        <v>|Lｖ17|HP+3|</v>
      </c>
      <c r="B114" t="s">
        <v>3</v>
      </c>
      <c r="C114" t="s">
        <v>39</v>
      </c>
      <c r="D114">
        <v>17</v>
      </c>
      <c r="E114" t="s">
        <v>3</v>
      </c>
      <c r="F114" t="s">
        <v>7</v>
      </c>
      <c r="G114" t="str">
        <f t="shared" si="17"/>
        <v>+</v>
      </c>
      <c r="H114">
        <v>3</v>
      </c>
      <c r="I114" t="s">
        <v>3</v>
      </c>
    </row>
    <row r="115" spans="1:9" x14ac:dyDescent="0.15">
      <c r="A115" t="str">
        <f t="shared" si="16"/>
        <v>|Lｖ18|第3能力Lv1|</v>
      </c>
      <c r="B115" t="s">
        <v>3</v>
      </c>
      <c r="C115" t="s">
        <v>39</v>
      </c>
      <c r="D115">
        <v>18</v>
      </c>
      <c r="E115" t="s">
        <v>3</v>
      </c>
      <c r="F115" t="s">
        <v>42</v>
      </c>
      <c r="G115" t="str">
        <f t="shared" si="17"/>
        <v/>
      </c>
      <c r="H115">
        <v>1</v>
      </c>
      <c r="I115" t="s">
        <v>3</v>
      </c>
    </row>
    <row r="116" spans="1:9" x14ac:dyDescent="0.15">
      <c r="A116" t="str">
        <f t="shared" si="16"/>
        <v>|Lｖ19|HP+3|</v>
      </c>
      <c r="B116" t="s">
        <v>3</v>
      </c>
      <c r="C116" t="s">
        <v>39</v>
      </c>
      <c r="D116">
        <v>19</v>
      </c>
      <c r="E116" t="s">
        <v>3</v>
      </c>
      <c r="F116" t="s">
        <v>7</v>
      </c>
      <c r="G116" t="str">
        <f t="shared" si="17"/>
        <v>+</v>
      </c>
      <c r="H116">
        <v>3</v>
      </c>
      <c r="I116" t="s">
        <v>3</v>
      </c>
    </row>
    <row r="117" spans="1:9" x14ac:dyDescent="0.15">
      <c r="A117" t="str">
        <f t="shared" si="16"/>
        <v>|Lｖ20|青+1|</v>
      </c>
      <c r="B117" t="s">
        <v>3</v>
      </c>
      <c r="C117" t="s">
        <v>39</v>
      </c>
      <c r="D117">
        <v>20</v>
      </c>
      <c r="E117" t="s">
        <v>3</v>
      </c>
      <c r="F117" t="s">
        <v>12</v>
      </c>
      <c r="G117" t="str">
        <f t="shared" si="17"/>
        <v>+</v>
      </c>
      <c r="H117">
        <v>1</v>
      </c>
      <c r="I117" t="s">
        <v>3</v>
      </c>
    </row>
    <row r="118" spans="1:9" x14ac:dyDescent="0.15">
      <c r="A118" t="str">
        <f t="shared" si="16"/>
        <v>|Lｖ21|HP+3|</v>
      </c>
      <c r="B118" t="s">
        <v>3</v>
      </c>
      <c r="C118" t="s">
        <v>39</v>
      </c>
      <c r="D118">
        <v>21</v>
      </c>
      <c r="E118" t="s">
        <v>3</v>
      </c>
      <c r="F118" t="s">
        <v>7</v>
      </c>
      <c r="G118" t="str">
        <f t="shared" si="17"/>
        <v>+</v>
      </c>
      <c r="H118">
        <v>3</v>
      </c>
      <c r="I118" t="s">
        <v>3</v>
      </c>
    </row>
    <row r="119" spans="1:9" x14ac:dyDescent="0.15">
      <c r="A119" t="str">
        <f t="shared" si="16"/>
        <v>|Lｖ22|回復速度上昇|</v>
      </c>
      <c r="B119" t="s">
        <v>3</v>
      </c>
      <c r="C119" t="s">
        <v>39</v>
      </c>
      <c r="D119">
        <v>22</v>
      </c>
      <c r="E119" t="s">
        <v>3</v>
      </c>
      <c r="F119" t="s">
        <v>43</v>
      </c>
      <c r="G119" t="str">
        <f t="shared" si="17"/>
        <v/>
      </c>
      <c r="I119" t="s">
        <v>3</v>
      </c>
    </row>
    <row r="120" spans="1:9" x14ac:dyDescent="0.15">
      <c r="A120" t="str">
        <f t="shared" si="16"/>
        <v>|Lｖ23|HP+3|</v>
      </c>
      <c r="B120" t="s">
        <v>3</v>
      </c>
      <c r="C120" t="s">
        <v>39</v>
      </c>
      <c r="D120">
        <v>23</v>
      </c>
      <c r="E120" t="s">
        <v>3</v>
      </c>
      <c r="F120" t="s">
        <v>7</v>
      </c>
      <c r="G120" t="str">
        <f t="shared" si="17"/>
        <v>+</v>
      </c>
      <c r="H120">
        <v>3</v>
      </c>
      <c r="I120" t="s">
        <v>3</v>
      </c>
    </row>
    <row r="121" spans="1:9" x14ac:dyDescent="0.15">
      <c r="A121" t="str">
        <f t="shared" si="16"/>
        <v>|Lｖ24|第1能力Lv2|</v>
      </c>
      <c r="B121" t="s">
        <v>3</v>
      </c>
      <c r="C121" t="s">
        <v>39</v>
      </c>
      <c r="D121">
        <v>24</v>
      </c>
      <c r="E121" t="s">
        <v>3</v>
      </c>
      <c r="F121" t="s">
        <v>40</v>
      </c>
      <c r="G121" t="str">
        <f t="shared" si="17"/>
        <v/>
      </c>
      <c r="H121">
        <v>2</v>
      </c>
      <c r="I121" t="s">
        <v>3</v>
      </c>
    </row>
    <row r="122" spans="1:9" x14ac:dyDescent="0.15">
      <c r="A122" t="str">
        <f t="shared" si="16"/>
        <v>|Lｖ25|HP+3|</v>
      </c>
      <c r="B122" t="s">
        <v>3</v>
      </c>
      <c r="C122" t="s">
        <v>39</v>
      </c>
      <c r="D122">
        <v>25</v>
      </c>
      <c r="E122" t="s">
        <v>3</v>
      </c>
      <c r="F122" t="s">
        <v>7</v>
      </c>
      <c r="G122" t="str">
        <f t="shared" si="17"/>
        <v>+</v>
      </c>
      <c r="H122">
        <v>3</v>
      </c>
      <c r="I122" t="s">
        <v>3</v>
      </c>
    </row>
    <row r="123" spans="1:9" x14ac:dyDescent="0.15">
      <c r="A123" t="str">
        <f t="shared" si="16"/>
        <v>|Lｖ26|赤+1|</v>
      </c>
      <c r="B123" t="s">
        <v>3</v>
      </c>
      <c r="C123" t="s">
        <v>39</v>
      </c>
      <c r="D123">
        <v>26</v>
      </c>
      <c r="E123" t="s">
        <v>3</v>
      </c>
      <c r="F123" t="s">
        <v>14</v>
      </c>
      <c r="G123" t="str">
        <f t="shared" si="17"/>
        <v>+</v>
      </c>
      <c r="H123">
        <v>1</v>
      </c>
      <c r="I123" t="s">
        <v>3</v>
      </c>
    </row>
    <row r="124" spans="1:9" x14ac:dyDescent="0.15">
      <c r="A124" t="str">
        <f t="shared" si="16"/>
        <v>|Lｖ27|HP+3|</v>
      </c>
      <c r="B124" t="s">
        <v>3</v>
      </c>
      <c r="C124" t="s">
        <v>39</v>
      </c>
      <c r="D124">
        <v>27</v>
      </c>
      <c r="E124" t="s">
        <v>3</v>
      </c>
      <c r="F124" t="s">
        <v>7</v>
      </c>
      <c r="G124" t="str">
        <f t="shared" si="17"/>
        <v>+</v>
      </c>
      <c r="H124">
        <v>3</v>
      </c>
      <c r="I124" t="s">
        <v>3</v>
      </c>
    </row>
    <row r="125" spans="1:9" x14ac:dyDescent="0.15">
      <c r="A125" t="str">
        <f t="shared" si="16"/>
        <v>|Lｖ28|クリーチャー+1|</v>
      </c>
      <c r="B125" t="s">
        <v>3</v>
      </c>
      <c r="C125" t="s">
        <v>39</v>
      </c>
      <c r="D125">
        <v>28</v>
      </c>
      <c r="E125" t="s">
        <v>3</v>
      </c>
      <c r="F125" t="s">
        <v>20</v>
      </c>
      <c r="G125" t="str">
        <f t="shared" si="17"/>
        <v>+</v>
      </c>
      <c r="H125">
        <v>1</v>
      </c>
      <c r="I125" t="s">
        <v>3</v>
      </c>
    </row>
    <row r="126" spans="1:9" x14ac:dyDescent="0.15">
      <c r="A126" t="str">
        <f t="shared" si="16"/>
        <v>|Lｖ29|HP+3|</v>
      </c>
      <c r="B126" t="s">
        <v>3</v>
      </c>
      <c r="C126" t="s">
        <v>39</v>
      </c>
      <c r="D126">
        <v>29</v>
      </c>
      <c r="E126" t="s">
        <v>3</v>
      </c>
      <c r="F126" t="s">
        <v>7</v>
      </c>
      <c r="G126" t="str">
        <f t="shared" si="17"/>
        <v>+</v>
      </c>
      <c r="H126">
        <v>3</v>
      </c>
      <c r="I126" t="s">
        <v>3</v>
      </c>
    </row>
    <row r="127" spans="1:9" x14ac:dyDescent="0.15">
      <c r="A127" t="str">
        <f t="shared" si="16"/>
        <v>|Lｖ30|第2能力Lv2|</v>
      </c>
      <c r="B127" t="s">
        <v>3</v>
      </c>
      <c r="C127" t="s">
        <v>39</v>
      </c>
      <c r="D127">
        <v>30</v>
      </c>
      <c r="E127" t="s">
        <v>3</v>
      </c>
      <c r="F127" t="s">
        <v>41</v>
      </c>
      <c r="G127" t="str">
        <f t="shared" si="17"/>
        <v/>
      </c>
      <c r="H127">
        <v>2</v>
      </c>
      <c r="I127" t="s">
        <v>3</v>
      </c>
    </row>
    <row r="128" spans="1:9" x14ac:dyDescent="0.15">
      <c r="A128" t="str">
        <f t="shared" si="16"/>
        <v>|Lｖ31|HP+3|</v>
      </c>
      <c r="B128" t="s">
        <v>3</v>
      </c>
      <c r="C128" t="s">
        <v>39</v>
      </c>
      <c r="D128">
        <v>31</v>
      </c>
      <c r="E128" t="s">
        <v>3</v>
      </c>
      <c r="F128" t="s">
        <v>7</v>
      </c>
      <c r="G128" t="str">
        <f t="shared" si="17"/>
        <v>+</v>
      </c>
      <c r="H128">
        <v>3</v>
      </c>
      <c r="I128" t="s">
        <v>3</v>
      </c>
    </row>
    <row r="129" spans="1:9" x14ac:dyDescent="0.15">
      <c r="A129" t="str">
        <f t="shared" si="16"/>
        <v>|Lｖ32|白+1|</v>
      </c>
      <c r="B129" t="s">
        <v>3</v>
      </c>
      <c r="C129" t="s">
        <v>39</v>
      </c>
      <c r="D129">
        <v>32</v>
      </c>
      <c r="E129" t="s">
        <v>3</v>
      </c>
      <c r="F129" t="s">
        <v>11</v>
      </c>
      <c r="G129" t="str">
        <f t="shared" si="17"/>
        <v>+</v>
      </c>
      <c r="H129">
        <v>1</v>
      </c>
      <c r="I129" t="s">
        <v>3</v>
      </c>
    </row>
    <row r="130" spans="1:9" x14ac:dyDescent="0.15">
      <c r="A130" t="str">
        <f t="shared" si="16"/>
        <v>|Lｖ33|HP+3|</v>
      </c>
      <c r="B130" t="s">
        <v>3</v>
      </c>
      <c r="C130" t="s">
        <v>39</v>
      </c>
      <c r="D130">
        <v>33</v>
      </c>
      <c r="E130" t="s">
        <v>3</v>
      </c>
      <c r="F130" t="s">
        <v>7</v>
      </c>
      <c r="G130" t="str">
        <f t="shared" si="17"/>
        <v>+</v>
      </c>
      <c r="H130">
        <v>3</v>
      </c>
      <c r="I130" t="s">
        <v>3</v>
      </c>
    </row>
    <row r="131" spans="1:9" x14ac:dyDescent="0.15">
      <c r="A131" t="str">
        <f t="shared" si="16"/>
        <v>|Lｖ34|サポート+1|</v>
      </c>
      <c r="B131" t="s">
        <v>3</v>
      </c>
      <c r="C131" t="s">
        <v>39</v>
      </c>
      <c r="D131">
        <v>34</v>
      </c>
      <c r="E131" t="s">
        <v>3</v>
      </c>
      <c r="F131" t="s">
        <v>22</v>
      </c>
      <c r="G131" t="str">
        <f t="shared" si="17"/>
        <v>+</v>
      </c>
      <c r="H131">
        <v>1</v>
      </c>
      <c r="I131" t="s">
        <v>3</v>
      </c>
    </row>
    <row r="132" spans="1:9" x14ac:dyDescent="0.15">
      <c r="A132" t="str">
        <f t="shared" si="16"/>
        <v>|Lｖ35|HP+3|</v>
      </c>
      <c r="B132" t="s">
        <v>3</v>
      </c>
      <c r="C132" t="s">
        <v>39</v>
      </c>
      <c r="D132">
        <v>35</v>
      </c>
      <c r="E132" t="s">
        <v>3</v>
      </c>
      <c r="F132" t="s">
        <v>7</v>
      </c>
      <c r="G132" t="str">
        <f t="shared" si="17"/>
        <v>+</v>
      </c>
      <c r="H132">
        <v>3</v>
      </c>
      <c r="I132" t="s">
        <v>3</v>
      </c>
    </row>
    <row r="133" spans="1:9" x14ac:dyDescent="0.15">
      <c r="A133" t="str">
        <f t="shared" si="16"/>
        <v>|Lｖ36|第3能力Lv2|</v>
      </c>
      <c r="B133" t="s">
        <v>3</v>
      </c>
      <c r="C133" t="s">
        <v>39</v>
      </c>
      <c r="D133">
        <v>36</v>
      </c>
      <c r="E133" t="s">
        <v>3</v>
      </c>
      <c r="F133" t="s">
        <v>42</v>
      </c>
      <c r="G133" t="str">
        <f t="shared" si="17"/>
        <v/>
      </c>
      <c r="H133">
        <v>2</v>
      </c>
      <c r="I133" t="s">
        <v>3</v>
      </c>
    </row>
    <row r="134" spans="1:9" x14ac:dyDescent="0.15">
      <c r="A134" t="str">
        <f t="shared" si="16"/>
        <v>|Lｖ37|HP+3|</v>
      </c>
      <c r="B134" t="s">
        <v>3</v>
      </c>
      <c r="C134" t="s">
        <v>39</v>
      </c>
      <c r="D134">
        <v>37</v>
      </c>
      <c r="E134" t="s">
        <v>3</v>
      </c>
      <c r="F134" t="s">
        <v>7</v>
      </c>
      <c r="G134" t="str">
        <f t="shared" si="17"/>
        <v>+</v>
      </c>
      <c r="H134">
        <v>3</v>
      </c>
      <c r="I134" t="s">
        <v>3</v>
      </c>
    </row>
    <row r="135" spans="1:9" x14ac:dyDescent="0.15">
      <c r="A135" t="str">
        <f t="shared" si="16"/>
        <v>|Lｖ38|白+1|</v>
      </c>
      <c r="B135" t="s">
        <v>3</v>
      </c>
      <c r="C135" t="s">
        <v>39</v>
      </c>
      <c r="D135">
        <v>38</v>
      </c>
      <c r="E135" t="s">
        <v>3</v>
      </c>
      <c r="F135" t="s">
        <v>11</v>
      </c>
      <c r="G135" t="str">
        <f t="shared" si="17"/>
        <v>+</v>
      </c>
      <c r="H135">
        <v>1</v>
      </c>
      <c r="I135" t="s">
        <v>3</v>
      </c>
    </row>
    <row r="136" spans="1:9" x14ac:dyDescent="0.15">
      <c r="A136" t="str">
        <f t="shared" si="16"/>
        <v>|Lｖ39|HP+3|</v>
      </c>
      <c r="B136" t="s">
        <v>3</v>
      </c>
      <c r="C136" t="s">
        <v>39</v>
      </c>
      <c r="D136">
        <v>39</v>
      </c>
      <c r="E136" t="s">
        <v>3</v>
      </c>
      <c r="F136" t="s">
        <v>7</v>
      </c>
      <c r="G136" t="str">
        <f t="shared" si="17"/>
        <v>+</v>
      </c>
      <c r="H136">
        <v>3</v>
      </c>
      <c r="I136" t="s">
        <v>3</v>
      </c>
    </row>
    <row r="137" spans="1:9" x14ac:dyDescent="0.15">
      <c r="A137" t="str">
        <f t="shared" si="16"/>
        <v>|Lｖ40|第1能力Lv3|</v>
      </c>
      <c r="B137" t="s">
        <v>3</v>
      </c>
      <c r="C137" t="s">
        <v>39</v>
      </c>
      <c r="D137">
        <v>40</v>
      </c>
      <c r="E137" t="s">
        <v>3</v>
      </c>
      <c r="F137" t="s">
        <v>40</v>
      </c>
      <c r="G137" t="str">
        <f t="shared" si="17"/>
        <v/>
      </c>
      <c r="H137">
        <v>3</v>
      </c>
      <c r="I137" t="s">
        <v>3</v>
      </c>
    </row>
    <row r="138" spans="1:9" x14ac:dyDescent="0.15">
      <c r="A138" t="str">
        <f t="shared" si="16"/>
        <v>|Lｖ41|HP+3|</v>
      </c>
      <c r="B138" t="s">
        <v>3</v>
      </c>
      <c r="C138" t="s">
        <v>39</v>
      </c>
      <c r="D138">
        <v>41</v>
      </c>
      <c r="E138" t="s">
        <v>3</v>
      </c>
      <c r="F138" t="s">
        <v>7</v>
      </c>
      <c r="G138" t="str">
        <f t="shared" si="17"/>
        <v>+</v>
      </c>
      <c r="H138">
        <v>3</v>
      </c>
      <c r="I138" t="s">
        <v>3</v>
      </c>
    </row>
    <row r="139" spans="1:9" x14ac:dyDescent="0.15">
      <c r="A139" t="str">
        <f t="shared" si="16"/>
        <v>|Lｖ42|呪文+1|</v>
      </c>
      <c r="B139" t="s">
        <v>3</v>
      </c>
      <c r="C139" t="s">
        <v>39</v>
      </c>
      <c r="D139">
        <v>42</v>
      </c>
      <c r="E139" t="s">
        <v>3</v>
      </c>
      <c r="F139" t="s">
        <v>21</v>
      </c>
      <c r="G139" t="str">
        <f t="shared" si="17"/>
        <v>+</v>
      </c>
      <c r="H139">
        <v>1</v>
      </c>
      <c r="I139" t="s">
        <v>3</v>
      </c>
    </row>
    <row r="140" spans="1:9" x14ac:dyDescent="0.15">
      <c r="A140" t="str">
        <f t="shared" si="16"/>
        <v>|Lｖ43|HP+3|</v>
      </c>
      <c r="B140" t="s">
        <v>3</v>
      </c>
      <c r="C140" t="s">
        <v>39</v>
      </c>
      <c r="D140">
        <v>43</v>
      </c>
      <c r="E140" t="s">
        <v>3</v>
      </c>
      <c r="F140" t="s">
        <v>7</v>
      </c>
      <c r="G140" t="str">
        <f t="shared" si="17"/>
        <v>+</v>
      </c>
      <c r="H140">
        <v>3</v>
      </c>
      <c r="I140" t="s">
        <v>3</v>
      </c>
    </row>
    <row r="141" spans="1:9" x14ac:dyDescent="0.15">
      <c r="A141" t="str">
        <f t="shared" si="16"/>
        <v>|Lｖ44|青+1|</v>
      </c>
      <c r="B141" t="s">
        <v>3</v>
      </c>
      <c r="C141" t="s">
        <v>39</v>
      </c>
      <c r="D141">
        <v>44</v>
      </c>
      <c r="E141" t="s">
        <v>3</v>
      </c>
      <c r="F141" t="s">
        <v>12</v>
      </c>
      <c r="G141" t="str">
        <f t="shared" si="17"/>
        <v>+</v>
      </c>
      <c r="H141">
        <v>1</v>
      </c>
      <c r="I141" t="s">
        <v>3</v>
      </c>
    </row>
    <row r="142" spans="1:9" x14ac:dyDescent="0.15">
      <c r="A142" t="str">
        <f t="shared" si="16"/>
        <v>|Lｖ45|HP+3|</v>
      </c>
      <c r="B142" t="s">
        <v>3</v>
      </c>
      <c r="C142" t="s">
        <v>39</v>
      </c>
      <c r="D142">
        <v>45</v>
      </c>
      <c r="E142" t="s">
        <v>3</v>
      </c>
      <c r="F142" t="s">
        <v>7</v>
      </c>
      <c r="G142" t="str">
        <f t="shared" si="17"/>
        <v>+</v>
      </c>
      <c r="H142">
        <v>3</v>
      </c>
      <c r="I142" t="s">
        <v>3</v>
      </c>
    </row>
    <row r="143" spans="1:9" x14ac:dyDescent="0.15">
      <c r="A143" t="str">
        <f t="shared" si="16"/>
        <v>|Lｖ46|第2能力Lv3|</v>
      </c>
      <c r="B143" t="s">
        <v>3</v>
      </c>
      <c r="C143" t="s">
        <v>39</v>
      </c>
      <c r="D143">
        <v>46</v>
      </c>
      <c r="E143" t="s">
        <v>3</v>
      </c>
      <c r="F143" t="s">
        <v>41</v>
      </c>
      <c r="G143" t="str">
        <f t="shared" si="17"/>
        <v/>
      </c>
      <c r="H143">
        <v>3</v>
      </c>
      <c r="I143" t="s">
        <v>3</v>
      </c>
    </row>
    <row r="144" spans="1:9" x14ac:dyDescent="0.15">
      <c r="A144" t="str">
        <f t="shared" si="16"/>
        <v>|Lｖ47|HP+3|</v>
      </c>
      <c r="B144" t="s">
        <v>3</v>
      </c>
      <c r="C144" t="s">
        <v>39</v>
      </c>
      <c r="D144">
        <v>47</v>
      </c>
      <c r="E144" t="s">
        <v>3</v>
      </c>
      <c r="F144" t="s">
        <v>7</v>
      </c>
      <c r="G144" t="str">
        <f t="shared" si="17"/>
        <v>+</v>
      </c>
      <c r="H144">
        <v>3</v>
      </c>
      <c r="I144" t="s">
        <v>3</v>
      </c>
    </row>
    <row r="145" spans="1:9" x14ac:dyDescent="0.15">
      <c r="A145" t="str">
        <f t="shared" si="16"/>
        <v>|Lｖ48|回復速度上昇|</v>
      </c>
      <c r="B145" t="s">
        <v>3</v>
      </c>
      <c r="C145" t="s">
        <v>39</v>
      </c>
      <c r="D145">
        <v>48</v>
      </c>
      <c r="E145" t="s">
        <v>3</v>
      </c>
      <c r="F145" t="s">
        <v>43</v>
      </c>
      <c r="G145" t="str">
        <f t="shared" si="17"/>
        <v/>
      </c>
      <c r="I145" t="s">
        <v>3</v>
      </c>
    </row>
    <row r="146" spans="1:9" x14ac:dyDescent="0.15">
      <c r="A146" t="str">
        <f t="shared" si="16"/>
        <v>|Lｖ49|HP+3|</v>
      </c>
      <c r="B146" t="s">
        <v>3</v>
      </c>
      <c r="C146" t="s">
        <v>39</v>
      </c>
      <c r="D146">
        <v>49</v>
      </c>
      <c r="E146" t="s">
        <v>3</v>
      </c>
      <c r="F146" t="s">
        <v>7</v>
      </c>
      <c r="G146" t="str">
        <f t="shared" si="17"/>
        <v>+</v>
      </c>
      <c r="H146">
        <v>3</v>
      </c>
      <c r="I146" t="s">
        <v>3</v>
      </c>
    </row>
    <row r="147" spans="1:9" x14ac:dyDescent="0.15">
      <c r="A147" t="str">
        <f t="shared" si="16"/>
        <v>|Lｖ50|赤+1|</v>
      </c>
      <c r="B147" t="s">
        <v>3</v>
      </c>
      <c r="C147" t="s">
        <v>39</v>
      </c>
      <c r="D147">
        <v>50</v>
      </c>
      <c r="E147" t="s">
        <v>3</v>
      </c>
      <c r="F147" t="s">
        <v>14</v>
      </c>
      <c r="G147" t="str">
        <f t="shared" si="17"/>
        <v>+</v>
      </c>
      <c r="H147">
        <v>1</v>
      </c>
      <c r="I147" t="s">
        <v>3</v>
      </c>
    </row>
    <row r="148" spans="1:9" x14ac:dyDescent="0.15">
      <c r="A148" t="str">
        <f t="shared" si="16"/>
        <v>|Lｖ51|HP+3|</v>
      </c>
      <c r="B148" t="s">
        <v>3</v>
      </c>
      <c r="C148" t="s">
        <v>39</v>
      </c>
      <c r="D148">
        <v>51</v>
      </c>
      <c r="E148" t="s">
        <v>3</v>
      </c>
      <c r="F148" t="s">
        <v>7</v>
      </c>
      <c r="G148" t="str">
        <f t="shared" si="17"/>
        <v>+</v>
      </c>
      <c r="H148">
        <v>3</v>
      </c>
      <c r="I148" t="s">
        <v>3</v>
      </c>
    </row>
    <row r="149" spans="1:9" x14ac:dyDescent="0.15">
      <c r="A149" t="str">
        <f t="shared" si="16"/>
        <v>|Lｖ52|第3能力Lv3|</v>
      </c>
      <c r="B149" t="s">
        <v>3</v>
      </c>
      <c r="C149" t="s">
        <v>39</v>
      </c>
      <c r="D149">
        <v>52</v>
      </c>
      <c r="E149" t="s">
        <v>3</v>
      </c>
      <c r="F149" t="s">
        <v>42</v>
      </c>
      <c r="G149" t="str">
        <f t="shared" si="17"/>
        <v/>
      </c>
      <c r="H149">
        <v>3</v>
      </c>
      <c r="I149" t="s">
        <v>3</v>
      </c>
    </row>
    <row r="150" spans="1:9" x14ac:dyDescent="0.15">
      <c r="A150" t="str">
        <f t="shared" si="16"/>
        <v>|Lｖ53|HP+3|</v>
      </c>
      <c r="B150" t="s">
        <v>3</v>
      </c>
      <c r="C150" t="s">
        <v>39</v>
      </c>
      <c r="D150">
        <v>53</v>
      </c>
      <c r="E150" t="s">
        <v>3</v>
      </c>
      <c r="F150" t="s">
        <v>7</v>
      </c>
      <c r="G150" t="str">
        <f t="shared" si="17"/>
        <v>+</v>
      </c>
      <c r="H150">
        <v>3</v>
      </c>
      <c r="I150" t="s">
        <v>3</v>
      </c>
    </row>
    <row r="151" spans="1:9" x14ac:dyDescent="0.15">
      <c r="A151" t="str">
        <f t="shared" si="16"/>
        <v>|Lｖ54|クリーチャー+1|</v>
      </c>
      <c r="B151" t="s">
        <v>3</v>
      </c>
      <c r="C151" t="s">
        <v>39</v>
      </c>
      <c r="D151">
        <v>54</v>
      </c>
      <c r="E151" t="s">
        <v>3</v>
      </c>
      <c r="F151" t="s">
        <v>20</v>
      </c>
      <c r="G151" t="str">
        <f t="shared" si="17"/>
        <v>+</v>
      </c>
      <c r="H151">
        <v>1</v>
      </c>
      <c r="I151" t="s">
        <v>3</v>
      </c>
    </row>
    <row r="152" spans="1:9" x14ac:dyDescent="0.15">
      <c r="A152" t="str">
        <f t="shared" ref="A152:A163" si="18">B152&amp;C152&amp;D152&amp;E152&amp;F152&amp;G152&amp;H152&amp;I152&amp;J152&amp;K152&amp;L152&amp;M152&amp;N152&amp;O152&amp;P152</f>
        <v>|Lｖ55|HP+3|</v>
      </c>
      <c r="B152" t="s">
        <v>3</v>
      </c>
      <c r="C152" t="s">
        <v>39</v>
      </c>
      <c r="D152">
        <v>55</v>
      </c>
      <c r="E152" t="s">
        <v>3</v>
      </c>
      <c r="F152" t="s">
        <v>7</v>
      </c>
      <c r="G152" t="str">
        <f t="shared" si="17"/>
        <v>+</v>
      </c>
      <c r="H152">
        <v>3</v>
      </c>
      <c r="I152" t="s">
        <v>3</v>
      </c>
    </row>
    <row r="153" spans="1:9" x14ac:dyDescent="0.15">
      <c r="A153" t="str">
        <f t="shared" si="18"/>
        <v>|Lｖ56|第1能力Lv4|</v>
      </c>
      <c r="B153" t="s">
        <v>3</v>
      </c>
      <c r="C153" t="s">
        <v>39</v>
      </c>
      <c r="D153">
        <v>56</v>
      </c>
      <c r="E153" t="s">
        <v>3</v>
      </c>
      <c r="F153" t="s">
        <v>40</v>
      </c>
      <c r="G153" t="str">
        <f t="shared" si="17"/>
        <v/>
      </c>
      <c r="H153">
        <v>4</v>
      </c>
      <c r="I153" t="s">
        <v>3</v>
      </c>
    </row>
    <row r="154" spans="1:9" x14ac:dyDescent="0.15">
      <c r="A154" t="str">
        <f t="shared" si="18"/>
        <v>|Lｖ57|HP+3|</v>
      </c>
      <c r="B154" t="s">
        <v>3</v>
      </c>
      <c r="C154" t="s">
        <v>39</v>
      </c>
      <c r="D154">
        <v>57</v>
      </c>
      <c r="E154" t="s">
        <v>3</v>
      </c>
      <c r="F154" t="s">
        <v>7</v>
      </c>
      <c r="G154" t="str">
        <f t="shared" si="17"/>
        <v>+</v>
      </c>
      <c r="H154">
        <v>3</v>
      </c>
      <c r="I154" t="s">
        <v>3</v>
      </c>
    </row>
    <row r="155" spans="1:9" x14ac:dyDescent="0.15">
      <c r="A155" t="str">
        <f t="shared" si="18"/>
        <v>|Lｖ58|第2能力Lv4|</v>
      </c>
      <c r="B155" t="s">
        <v>3</v>
      </c>
      <c r="C155" t="s">
        <v>39</v>
      </c>
      <c r="D155">
        <v>58</v>
      </c>
      <c r="E155" t="s">
        <v>3</v>
      </c>
      <c r="F155" t="s">
        <v>41</v>
      </c>
      <c r="G155" t="str">
        <f t="shared" si="17"/>
        <v/>
      </c>
      <c r="H155">
        <v>4</v>
      </c>
      <c r="I155" t="s">
        <v>3</v>
      </c>
    </row>
    <row r="156" spans="1:9" x14ac:dyDescent="0.15">
      <c r="A156" t="str">
        <f t="shared" si="18"/>
        <v>|Lｖ59|黒+1|</v>
      </c>
      <c r="B156" t="s">
        <v>3</v>
      </c>
      <c r="C156" t="s">
        <v>39</v>
      </c>
      <c r="D156">
        <v>59</v>
      </c>
      <c r="E156" t="s">
        <v>3</v>
      </c>
      <c r="F156" t="s">
        <v>13</v>
      </c>
      <c r="G156" t="str">
        <f t="shared" si="17"/>
        <v>+</v>
      </c>
      <c r="H156">
        <v>1</v>
      </c>
      <c r="I156" t="s">
        <v>3</v>
      </c>
    </row>
    <row r="157" spans="1:9" x14ac:dyDescent="0.15">
      <c r="A157" t="str">
        <f t="shared" si="18"/>
        <v>|Lｖ60|第3能力Lv4|</v>
      </c>
      <c r="B157" t="s">
        <v>3</v>
      </c>
      <c r="C157" t="s">
        <v>39</v>
      </c>
      <c r="D157">
        <v>60</v>
      </c>
      <c r="E157" t="s">
        <v>3</v>
      </c>
      <c r="F157" t="s">
        <v>42</v>
      </c>
      <c r="G157" t="s">
        <v>44</v>
      </c>
      <c r="H157">
        <v>4</v>
      </c>
      <c r="I157" t="s">
        <v>3</v>
      </c>
    </row>
    <row r="158" spans="1:9" x14ac:dyDescent="0.15">
      <c r="A158" t="str">
        <f t="shared" si="18"/>
        <v>必要総経験値：160720ルーン</v>
      </c>
      <c r="B158" t="s">
        <v>45</v>
      </c>
      <c r="C158">
        <v>160720</v>
      </c>
      <c r="F158" t="s">
        <v>46</v>
      </c>
    </row>
    <row r="159" spans="1:9" x14ac:dyDescent="0.15">
      <c r="A159" t="str">
        <f t="shared" si="18"/>
        <v>&amp;br;</v>
      </c>
      <c r="B159" t="s">
        <v>0</v>
      </c>
    </row>
    <row r="160" spans="1:9" x14ac:dyDescent="0.15">
      <c r="A160" t="str">
        <f t="shared" si="18"/>
        <v>#back(text=戻る,left)</v>
      </c>
      <c r="B160" t="s">
        <v>47</v>
      </c>
    </row>
    <row r="161" spans="1:2" x14ac:dyDescent="0.15">
      <c r="A161" t="str">
        <f t="shared" si="18"/>
        <v>&amp;br;</v>
      </c>
      <c r="B161" t="s">
        <v>0</v>
      </c>
    </row>
    <row r="162" spans="1:2" x14ac:dyDescent="0.15">
      <c r="A162" t="str">
        <f t="shared" si="18"/>
        <v>#comment(above,nsize=[15],size=[30],num=[10])</v>
      </c>
      <c r="B162" t="s">
        <v>48</v>
      </c>
    </row>
    <row r="163" spans="1:2" x14ac:dyDescent="0.15">
      <c r="A163" t="str">
        <f t="shared" si="18"/>
        <v>[[プレインズウォーカーリスト&gt;プレインズウォーカーリスト]]</v>
      </c>
      <c r="B163" t="s">
        <v>49</v>
      </c>
    </row>
  </sheetData>
  <autoFilter ref="C98:I163"/>
  <phoneticPr fontId="4"/>
  <dataValidations count="2">
    <dataValidation type="list" allowBlank="1" showInputMessage="1" showErrorMessage="1" sqref="F158">
      <formula1>$Q$88:$Q$100</formula1>
    </dataValidation>
    <dataValidation type="list" allowBlank="1" showInputMessage="1" showErrorMessage="1" sqref="F99:F157">
      <formula1>$Q$98:$Q$110</formula1>
    </dataValidation>
  </dataValidations>
  <pageMargins left="0.69930555555555596" right="0.69930555555555596"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T165"/>
  <sheetViews>
    <sheetView workbookViewId="0">
      <selection activeCell="R71" sqref="R71:T76"/>
    </sheetView>
  </sheetViews>
  <sheetFormatPr defaultColWidth="9" defaultRowHeight="13.5" x14ac:dyDescent="0.15"/>
  <cols>
    <col min="2" max="2" width="3.5" customWidth="1"/>
    <col min="3" max="3" width="7.875" customWidth="1"/>
    <col min="4" max="4" width="5.5" customWidth="1"/>
    <col min="5" max="5" width="2" customWidth="1"/>
    <col min="7" max="7" width="2" customWidth="1"/>
    <col min="9" max="9" width="2" customWidth="1"/>
    <col min="11" max="11" width="2" customWidth="1"/>
    <col min="13" max="13" width="2" customWidth="1"/>
    <col min="15" max="15" width="2" customWidth="1"/>
    <col min="17" max="17" width="2.75" customWidth="1"/>
  </cols>
  <sheetData>
    <row r="1" spans="1:8" x14ac:dyDescent="0.15">
      <c r="A1" t="str">
        <f>B1&amp;C1&amp;D1&amp;E1&amp;F1&amp;G1&amp;H1&amp;I1&amp;J1&amp;K1&amp;L1&amp;M1&amp;N1&amp;O1&amp;P1</f>
        <v>特別オファーで購入するか、マナクリスタルで購入する事で入手できる。</v>
      </c>
      <c r="B1" t="s">
        <v>369</v>
      </c>
    </row>
    <row r="2" spans="1:8" x14ac:dyDescent="0.15">
      <c r="A2" t="str">
        <f>B2&amp;C2&amp;D2&amp;E2&amp;F2&amp;G2&amp;H2&amp;I2&amp;J2&amp;K2&amp;L2&amp;M2&amp;N2&amp;O2&amp;P2</f>
        <v>&amp;br;</v>
      </c>
      <c r="B2" t="s">
        <v>0</v>
      </c>
    </row>
    <row r="3" spans="1:8" x14ac:dyDescent="0.15">
      <c r="A3" t="str">
        <f>B3&amp;C3&amp;D3&amp;E3&amp;F3&amp;G3&amp;H3&amp;I3&amp;J3&amp;K3&amp;L3&amp;M3&amp;N3&amp;O3&amp;P3</f>
        <v>#contents()</v>
      </c>
      <c r="B3" t="s">
        <v>1</v>
      </c>
    </row>
    <row r="4" spans="1:8" x14ac:dyDescent="0.15">
      <c r="A4" t="str">
        <f>B4&amp;C4&amp;D4&amp;E4&amp;F4&amp;G4&amp;H4&amp;I4&amp;J4&amp;K4&amp;L4&amp;M4&amp;N4&amp;O4&amp;P4</f>
        <v>*HP [#f569d8c6]</v>
      </c>
      <c r="B4" t="s">
        <v>2</v>
      </c>
    </row>
    <row r="5" spans="1:8" x14ac:dyDescent="0.15">
      <c r="A5" t="str">
        <f>B5&amp;C5&amp;D5&amp;E5&amp;F5&amp;G5&amp;H5</f>
        <v>|LEFT:50|LEFT:50|c</v>
      </c>
      <c r="B5" t="s">
        <v>3</v>
      </c>
      <c r="C5" t="s">
        <v>4</v>
      </c>
      <c r="E5" t="s">
        <v>3</v>
      </c>
      <c r="F5" t="s">
        <v>4</v>
      </c>
      <c r="G5" t="s">
        <v>3</v>
      </c>
      <c r="H5" t="s">
        <v>5</v>
      </c>
    </row>
    <row r="6" spans="1:8" x14ac:dyDescent="0.15">
      <c r="A6" t="str">
        <f t="shared" ref="A6:A36" si="0">B6&amp;C6&amp;D6&amp;E6&amp;F6&amp;G6&amp;H6</f>
        <v>|レベル|HP|</v>
      </c>
      <c r="B6" t="s">
        <v>3</v>
      </c>
      <c r="C6" t="s">
        <v>6</v>
      </c>
      <c r="E6" t="s">
        <v>3</v>
      </c>
      <c r="F6" t="s">
        <v>7</v>
      </c>
      <c r="G6" t="s">
        <v>3</v>
      </c>
    </row>
    <row r="7" spans="1:8" x14ac:dyDescent="0.15">
      <c r="A7" t="str">
        <f t="shared" si="0"/>
        <v>|Lv1|32|</v>
      </c>
      <c r="B7" t="s">
        <v>3</v>
      </c>
      <c r="C7" t="s">
        <v>8</v>
      </c>
      <c r="D7">
        <v>1</v>
      </c>
      <c r="E7" t="s">
        <v>3</v>
      </c>
      <c r="F7">
        <v>32</v>
      </c>
      <c r="G7" t="s">
        <v>3</v>
      </c>
    </row>
    <row r="8" spans="1:8" x14ac:dyDescent="0.15">
      <c r="A8" t="str">
        <f t="shared" si="0"/>
        <v>|Lv3|35|</v>
      </c>
      <c r="B8" t="s">
        <v>3</v>
      </c>
      <c r="C8" t="s">
        <v>8</v>
      </c>
      <c r="D8">
        <v>3</v>
      </c>
      <c r="E8" t="s">
        <v>3</v>
      </c>
      <c r="F8">
        <f t="shared" ref="F8:F36" si="1">IF(ISBLANK(D8),"",F7+INDEX($H$100:$H$159,D8))</f>
        <v>35</v>
      </c>
      <c r="G8" t="s">
        <v>3</v>
      </c>
    </row>
    <row r="9" spans="1:8" x14ac:dyDescent="0.15">
      <c r="A9" t="str">
        <f t="shared" si="0"/>
        <v>|Lv5|38|</v>
      </c>
      <c r="B9" t="s">
        <v>3</v>
      </c>
      <c r="C9" t="s">
        <v>8</v>
      </c>
      <c r="D9">
        <v>5</v>
      </c>
      <c r="E9" t="s">
        <v>3</v>
      </c>
      <c r="F9">
        <f t="shared" si="1"/>
        <v>38</v>
      </c>
      <c r="G9" t="s">
        <v>3</v>
      </c>
    </row>
    <row r="10" spans="1:8" x14ac:dyDescent="0.15">
      <c r="A10" t="str">
        <f t="shared" si="0"/>
        <v>|Lv7|41|</v>
      </c>
      <c r="B10" t="s">
        <v>3</v>
      </c>
      <c r="C10" t="s">
        <v>8</v>
      </c>
      <c r="D10">
        <v>7</v>
      </c>
      <c r="E10" t="s">
        <v>3</v>
      </c>
      <c r="F10">
        <f t="shared" si="1"/>
        <v>41</v>
      </c>
      <c r="G10" t="s">
        <v>3</v>
      </c>
    </row>
    <row r="11" spans="1:8" x14ac:dyDescent="0.15">
      <c r="A11" t="str">
        <f t="shared" si="0"/>
        <v>|Lv9|44|</v>
      </c>
      <c r="B11" t="s">
        <v>3</v>
      </c>
      <c r="C11" t="s">
        <v>8</v>
      </c>
      <c r="D11">
        <v>9</v>
      </c>
      <c r="E11" t="s">
        <v>3</v>
      </c>
      <c r="F11">
        <f t="shared" si="1"/>
        <v>44</v>
      </c>
      <c r="G11" t="s">
        <v>3</v>
      </c>
    </row>
    <row r="12" spans="1:8" x14ac:dyDescent="0.15">
      <c r="A12" t="str">
        <f t="shared" si="0"/>
        <v>|Lv11|47|</v>
      </c>
      <c r="B12" t="s">
        <v>3</v>
      </c>
      <c r="C12" t="s">
        <v>8</v>
      </c>
      <c r="D12">
        <v>11</v>
      </c>
      <c r="E12" t="s">
        <v>3</v>
      </c>
      <c r="F12">
        <f t="shared" si="1"/>
        <v>47</v>
      </c>
      <c r="G12" t="s">
        <v>3</v>
      </c>
    </row>
    <row r="13" spans="1:8" x14ac:dyDescent="0.15">
      <c r="A13" t="str">
        <f t="shared" si="0"/>
        <v>|Lv13|50|</v>
      </c>
      <c r="B13" t="s">
        <v>3</v>
      </c>
      <c r="C13" t="s">
        <v>8</v>
      </c>
      <c r="D13">
        <v>13</v>
      </c>
      <c r="E13" t="s">
        <v>3</v>
      </c>
      <c r="F13">
        <f t="shared" si="1"/>
        <v>50</v>
      </c>
      <c r="G13" t="s">
        <v>3</v>
      </c>
    </row>
    <row r="14" spans="1:8" x14ac:dyDescent="0.15">
      <c r="A14" t="str">
        <f t="shared" si="0"/>
        <v>|Lv15|53|</v>
      </c>
      <c r="B14" t="s">
        <v>3</v>
      </c>
      <c r="C14" t="s">
        <v>8</v>
      </c>
      <c r="D14">
        <v>15</v>
      </c>
      <c r="E14" t="s">
        <v>3</v>
      </c>
      <c r="F14">
        <f t="shared" si="1"/>
        <v>53</v>
      </c>
      <c r="G14" t="s">
        <v>3</v>
      </c>
    </row>
    <row r="15" spans="1:8" x14ac:dyDescent="0.15">
      <c r="A15" t="str">
        <f t="shared" si="0"/>
        <v>|Lv17|56|</v>
      </c>
      <c r="B15" t="s">
        <v>3</v>
      </c>
      <c r="C15" t="s">
        <v>8</v>
      </c>
      <c r="D15">
        <v>17</v>
      </c>
      <c r="E15" t="s">
        <v>3</v>
      </c>
      <c r="F15">
        <f t="shared" si="1"/>
        <v>56</v>
      </c>
      <c r="G15" t="s">
        <v>3</v>
      </c>
    </row>
    <row r="16" spans="1:8" x14ac:dyDescent="0.15">
      <c r="A16" t="str">
        <f t="shared" si="0"/>
        <v>|Lv19|59|</v>
      </c>
      <c r="B16" t="s">
        <v>3</v>
      </c>
      <c r="C16" t="s">
        <v>8</v>
      </c>
      <c r="D16">
        <v>19</v>
      </c>
      <c r="E16" t="s">
        <v>3</v>
      </c>
      <c r="F16">
        <f t="shared" si="1"/>
        <v>59</v>
      </c>
      <c r="G16" t="s">
        <v>3</v>
      </c>
    </row>
    <row r="17" spans="1:7" x14ac:dyDescent="0.15">
      <c r="A17" t="str">
        <f t="shared" si="0"/>
        <v>|Lv21|62|</v>
      </c>
      <c r="B17" t="s">
        <v>3</v>
      </c>
      <c r="C17" t="s">
        <v>8</v>
      </c>
      <c r="D17">
        <v>21</v>
      </c>
      <c r="E17" t="s">
        <v>3</v>
      </c>
      <c r="F17">
        <f t="shared" si="1"/>
        <v>62</v>
      </c>
      <c r="G17" t="s">
        <v>3</v>
      </c>
    </row>
    <row r="18" spans="1:7" x14ac:dyDescent="0.15">
      <c r="A18" t="str">
        <f t="shared" si="0"/>
        <v>|Lv23|65|</v>
      </c>
      <c r="B18" t="s">
        <v>3</v>
      </c>
      <c r="C18" t="s">
        <v>8</v>
      </c>
      <c r="D18">
        <v>23</v>
      </c>
      <c r="E18" t="s">
        <v>3</v>
      </c>
      <c r="F18">
        <f t="shared" si="1"/>
        <v>65</v>
      </c>
      <c r="G18" t="s">
        <v>3</v>
      </c>
    </row>
    <row r="19" spans="1:7" x14ac:dyDescent="0.15">
      <c r="A19" t="str">
        <f t="shared" si="0"/>
        <v>|Lv25|68|</v>
      </c>
      <c r="B19" t="s">
        <v>3</v>
      </c>
      <c r="C19" t="s">
        <v>8</v>
      </c>
      <c r="D19">
        <v>25</v>
      </c>
      <c r="E19" t="s">
        <v>3</v>
      </c>
      <c r="F19">
        <f t="shared" si="1"/>
        <v>68</v>
      </c>
      <c r="G19" t="s">
        <v>3</v>
      </c>
    </row>
    <row r="20" spans="1:7" x14ac:dyDescent="0.15">
      <c r="A20" t="str">
        <f t="shared" si="0"/>
        <v>|Lv27|71|</v>
      </c>
      <c r="B20" t="s">
        <v>3</v>
      </c>
      <c r="C20" t="s">
        <v>8</v>
      </c>
      <c r="D20">
        <v>27</v>
      </c>
      <c r="E20" t="s">
        <v>3</v>
      </c>
      <c r="F20">
        <f t="shared" si="1"/>
        <v>71</v>
      </c>
      <c r="G20" t="s">
        <v>3</v>
      </c>
    </row>
    <row r="21" spans="1:7" x14ac:dyDescent="0.15">
      <c r="A21" t="str">
        <f t="shared" si="0"/>
        <v>|Lv29|74|</v>
      </c>
      <c r="B21" t="s">
        <v>3</v>
      </c>
      <c r="C21" t="s">
        <v>8</v>
      </c>
      <c r="D21">
        <v>29</v>
      </c>
      <c r="E21" t="s">
        <v>3</v>
      </c>
      <c r="F21">
        <f t="shared" si="1"/>
        <v>74</v>
      </c>
      <c r="G21" t="s">
        <v>3</v>
      </c>
    </row>
    <row r="22" spans="1:7" x14ac:dyDescent="0.15">
      <c r="A22" t="str">
        <f t="shared" si="0"/>
        <v>|Lv31|77|</v>
      </c>
      <c r="B22" t="s">
        <v>3</v>
      </c>
      <c r="C22" t="s">
        <v>8</v>
      </c>
      <c r="D22">
        <v>31</v>
      </c>
      <c r="E22" t="s">
        <v>3</v>
      </c>
      <c r="F22">
        <f t="shared" si="1"/>
        <v>77</v>
      </c>
      <c r="G22" t="s">
        <v>3</v>
      </c>
    </row>
    <row r="23" spans="1:7" x14ac:dyDescent="0.15">
      <c r="A23" t="str">
        <f t="shared" si="0"/>
        <v>|Lv33|80|</v>
      </c>
      <c r="B23" t="s">
        <v>3</v>
      </c>
      <c r="C23" t="s">
        <v>8</v>
      </c>
      <c r="D23">
        <v>33</v>
      </c>
      <c r="E23" t="s">
        <v>3</v>
      </c>
      <c r="F23">
        <f t="shared" si="1"/>
        <v>80</v>
      </c>
      <c r="G23" t="s">
        <v>3</v>
      </c>
    </row>
    <row r="24" spans="1:7" x14ac:dyDescent="0.15">
      <c r="A24" t="str">
        <f t="shared" si="0"/>
        <v>|Lv35|83|</v>
      </c>
      <c r="B24" t="s">
        <v>3</v>
      </c>
      <c r="C24" t="s">
        <v>8</v>
      </c>
      <c r="D24">
        <v>35</v>
      </c>
      <c r="E24" t="s">
        <v>3</v>
      </c>
      <c r="F24">
        <f t="shared" si="1"/>
        <v>83</v>
      </c>
      <c r="G24" t="s">
        <v>3</v>
      </c>
    </row>
    <row r="25" spans="1:7" x14ac:dyDescent="0.15">
      <c r="A25" t="str">
        <f t="shared" si="0"/>
        <v>|Lv37|86|</v>
      </c>
      <c r="B25" t="s">
        <v>3</v>
      </c>
      <c r="C25" t="s">
        <v>8</v>
      </c>
      <c r="D25">
        <v>37</v>
      </c>
      <c r="E25" t="s">
        <v>3</v>
      </c>
      <c r="F25">
        <f t="shared" si="1"/>
        <v>86</v>
      </c>
      <c r="G25" t="s">
        <v>3</v>
      </c>
    </row>
    <row r="26" spans="1:7" x14ac:dyDescent="0.15">
      <c r="A26" t="str">
        <f t="shared" si="0"/>
        <v>|Lv39|89|</v>
      </c>
      <c r="B26" t="s">
        <v>3</v>
      </c>
      <c r="C26" t="s">
        <v>8</v>
      </c>
      <c r="D26">
        <v>39</v>
      </c>
      <c r="E26" t="s">
        <v>3</v>
      </c>
      <c r="F26">
        <f t="shared" si="1"/>
        <v>89</v>
      </c>
      <c r="G26" t="s">
        <v>3</v>
      </c>
    </row>
    <row r="27" spans="1:7" x14ac:dyDescent="0.15">
      <c r="A27" t="str">
        <f t="shared" si="0"/>
        <v>|Lv41|92|</v>
      </c>
      <c r="B27" t="s">
        <v>3</v>
      </c>
      <c r="C27" t="s">
        <v>8</v>
      </c>
      <c r="D27">
        <v>41</v>
      </c>
      <c r="E27" t="s">
        <v>3</v>
      </c>
      <c r="F27">
        <f t="shared" si="1"/>
        <v>92</v>
      </c>
      <c r="G27" t="s">
        <v>3</v>
      </c>
    </row>
    <row r="28" spans="1:7" x14ac:dyDescent="0.15">
      <c r="A28" t="str">
        <f t="shared" si="0"/>
        <v>|Lv43|95|</v>
      </c>
      <c r="B28" t="s">
        <v>3</v>
      </c>
      <c r="C28" t="s">
        <v>8</v>
      </c>
      <c r="D28">
        <v>43</v>
      </c>
      <c r="E28" t="s">
        <v>3</v>
      </c>
      <c r="F28">
        <f t="shared" si="1"/>
        <v>95</v>
      </c>
      <c r="G28" t="s">
        <v>3</v>
      </c>
    </row>
    <row r="29" spans="1:7" x14ac:dyDescent="0.15">
      <c r="A29" t="str">
        <f t="shared" si="0"/>
        <v>|Lv45|98|</v>
      </c>
      <c r="B29" t="s">
        <v>3</v>
      </c>
      <c r="C29" t="s">
        <v>8</v>
      </c>
      <c r="D29">
        <v>45</v>
      </c>
      <c r="E29" t="s">
        <v>3</v>
      </c>
      <c r="F29">
        <f t="shared" si="1"/>
        <v>98</v>
      </c>
      <c r="G29" t="s">
        <v>3</v>
      </c>
    </row>
    <row r="30" spans="1:7" x14ac:dyDescent="0.15">
      <c r="A30" t="str">
        <f t="shared" si="0"/>
        <v>|Lv47|101|</v>
      </c>
      <c r="B30" t="s">
        <v>3</v>
      </c>
      <c r="C30" t="s">
        <v>8</v>
      </c>
      <c r="D30">
        <v>47</v>
      </c>
      <c r="E30" t="s">
        <v>3</v>
      </c>
      <c r="F30">
        <f t="shared" si="1"/>
        <v>101</v>
      </c>
      <c r="G30" t="s">
        <v>3</v>
      </c>
    </row>
    <row r="31" spans="1:7" x14ac:dyDescent="0.15">
      <c r="A31" t="str">
        <f t="shared" si="0"/>
        <v>|Lv49|104|</v>
      </c>
      <c r="B31" t="s">
        <v>3</v>
      </c>
      <c r="C31" t="s">
        <v>8</v>
      </c>
      <c r="D31">
        <v>49</v>
      </c>
      <c r="E31" t="s">
        <v>3</v>
      </c>
      <c r="F31">
        <f t="shared" si="1"/>
        <v>104</v>
      </c>
      <c r="G31" t="s">
        <v>3</v>
      </c>
    </row>
    <row r="32" spans="1:7" x14ac:dyDescent="0.15">
      <c r="A32" t="str">
        <f t="shared" si="0"/>
        <v>|Lv51|107|</v>
      </c>
      <c r="B32" t="s">
        <v>3</v>
      </c>
      <c r="C32" t="s">
        <v>8</v>
      </c>
      <c r="D32">
        <v>51</v>
      </c>
      <c r="E32" t="s">
        <v>3</v>
      </c>
      <c r="F32">
        <f t="shared" si="1"/>
        <v>107</v>
      </c>
      <c r="G32" t="s">
        <v>3</v>
      </c>
    </row>
    <row r="33" spans="1:19" x14ac:dyDescent="0.15">
      <c r="A33" t="str">
        <f t="shared" si="0"/>
        <v>|Lv53|110|</v>
      </c>
      <c r="B33" t="s">
        <v>3</v>
      </c>
      <c r="C33" t="s">
        <v>8</v>
      </c>
      <c r="D33">
        <v>53</v>
      </c>
      <c r="E33" t="s">
        <v>3</v>
      </c>
      <c r="F33">
        <f t="shared" si="1"/>
        <v>110</v>
      </c>
      <c r="G33" t="s">
        <v>3</v>
      </c>
    </row>
    <row r="34" spans="1:19" x14ac:dyDescent="0.15">
      <c r="A34" t="str">
        <f t="shared" si="0"/>
        <v>|Lv55|113|</v>
      </c>
      <c r="B34" t="s">
        <v>3</v>
      </c>
      <c r="C34" t="s">
        <v>8</v>
      </c>
      <c r="D34">
        <v>55</v>
      </c>
      <c r="E34" t="s">
        <v>3</v>
      </c>
      <c r="F34">
        <f t="shared" si="1"/>
        <v>113</v>
      </c>
      <c r="G34" t="s">
        <v>3</v>
      </c>
    </row>
    <row r="35" spans="1:19" x14ac:dyDescent="0.15">
      <c r="A35" t="str">
        <f t="shared" si="0"/>
        <v>|Lv57|116|</v>
      </c>
      <c r="B35" t="s">
        <v>3</v>
      </c>
      <c r="C35" t="s">
        <v>8</v>
      </c>
      <c r="D35">
        <v>57</v>
      </c>
      <c r="E35" t="s">
        <v>3</v>
      </c>
      <c r="F35">
        <f t="shared" si="1"/>
        <v>116</v>
      </c>
      <c r="G35" t="s">
        <v>3</v>
      </c>
    </row>
    <row r="36" spans="1:19" x14ac:dyDescent="0.15">
      <c r="A36" t="str">
        <f t="shared" si="0"/>
        <v>|Lv59|119|</v>
      </c>
      <c r="B36" t="s">
        <v>3</v>
      </c>
      <c r="C36" t="s">
        <v>8</v>
      </c>
      <c r="D36">
        <v>59</v>
      </c>
      <c r="E36" t="s">
        <v>3</v>
      </c>
      <c r="F36">
        <f t="shared" si="1"/>
        <v>119</v>
      </c>
      <c r="G36" t="s">
        <v>3</v>
      </c>
    </row>
    <row r="37" spans="1:19" x14ac:dyDescent="0.15">
      <c r="A37" t="str">
        <f>B37&amp;C37&amp;D37&amp;E37&amp;F37&amp;G37&amp;H37&amp;I37&amp;J37&amp;K37&amp;L37&amp;M37&amp;N37&amp;O37&amp;P37</f>
        <v>&amp;br;</v>
      </c>
      <c r="B37" t="s">
        <v>0</v>
      </c>
    </row>
    <row r="38" spans="1:19" x14ac:dyDescent="0.15">
      <c r="A38" t="str">
        <f>B38&amp;C38&amp;D38&amp;E38&amp;F38&amp;G38&amp;H38&amp;I38&amp;J38&amp;K38&amp;L38&amp;M38&amp;N38&amp;O38&amp;P38</f>
        <v>&amp;br;</v>
      </c>
      <c r="B38" t="s">
        <v>0</v>
      </c>
    </row>
    <row r="39" spans="1:19" x14ac:dyDescent="0.15">
      <c r="A39" t="str">
        <f>B39&amp;C39&amp;D39&amp;E39&amp;F39&amp;G39&amp;H39&amp;I39&amp;J39&amp;K39&amp;L39&amp;M39&amp;N39&amp;O39&amp;P39</f>
        <v>*マナボーナス [#q1a26f54]</v>
      </c>
      <c r="B39" t="s">
        <v>9</v>
      </c>
    </row>
    <row r="40" spans="1:19" x14ac:dyDescent="0.15">
      <c r="A40" t="str">
        <f t="shared" ref="A40:A50" si="2">B40&amp;C40&amp;D40&amp;G40&amp;H40&amp;I40&amp;J40&amp;K40&amp;L40&amp;M40&amp;N40&amp;O40&amp;P40&amp;Q40&amp;R40</f>
        <v>|LEFT:50|LEFT:50|LEFT:50|LEFT:50|LEFT:50|LEFT:50|c</v>
      </c>
      <c r="B40" t="s">
        <v>3</v>
      </c>
      <c r="C40" t="s">
        <v>4</v>
      </c>
      <c r="E40" t="s">
        <v>3</v>
      </c>
      <c r="G40" t="s">
        <v>3</v>
      </c>
      <c r="H40" t="s">
        <v>4</v>
      </c>
      <c r="I40" t="s">
        <v>3</v>
      </c>
      <c r="J40" t="s">
        <v>4</v>
      </c>
      <c r="K40" t="s">
        <v>3</v>
      </c>
      <c r="L40" t="s">
        <v>4</v>
      </c>
      <c r="M40" t="s">
        <v>3</v>
      </c>
      <c r="N40" t="s">
        <v>4</v>
      </c>
      <c r="O40" t="s">
        <v>3</v>
      </c>
      <c r="P40" t="s">
        <v>4</v>
      </c>
      <c r="Q40" t="s">
        <v>3</v>
      </c>
      <c r="R40" t="s">
        <v>5</v>
      </c>
    </row>
    <row r="41" spans="1:19" x14ac:dyDescent="0.15">
      <c r="A41" t="str">
        <f t="shared" si="2"/>
        <v>|レベル|白|青|黒|赤|緑|</v>
      </c>
      <c r="B41" t="s">
        <v>3</v>
      </c>
      <c r="C41" t="s">
        <v>6</v>
      </c>
      <c r="E41" t="s">
        <v>3</v>
      </c>
      <c r="F41" t="s">
        <v>10</v>
      </c>
      <c r="G41" t="s">
        <v>3</v>
      </c>
      <c r="H41" t="s">
        <v>11</v>
      </c>
      <c r="I41" t="s">
        <v>3</v>
      </c>
      <c r="J41" t="s">
        <v>12</v>
      </c>
      <c r="K41" t="s">
        <v>3</v>
      </c>
      <c r="L41" t="s">
        <v>13</v>
      </c>
      <c r="M41" t="s">
        <v>3</v>
      </c>
      <c r="N41" t="s">
        <v>14</v>
      </c>
      <c r="O41" t="s">
        <v>3</v>
      </c>
      <c r="P41" t="s">
        <v>15</v>
      </c>
      <c r="Q41" t="s">
        <v>3</v>
      </c>
      <c r="S41" t="s">
        <v>11</v>
      </c>
    </row>
    <row r="42" spans="1:19" x14ac:dyDescent="0.15">
      <c r="A42" t="str">
        <f t="shared" si="2"/>
        <v>|Lv1|-1|-1|1|1|-1|</v>
      </c>
      <c r="B42" t="s">
        <v>3</v>
      </c>
      <c r="C42" t="s">
        <v>8</v>
      </c>
      <c r="D42">
        <v>1</v>
      </c>
      <c r="E42" t="s">
        <v>3</v>
      </c>
      <c r="G42" t="s">
        <v>3</v>
      </c>
      <c r="H42">
        <v>-1</v>
      </c>
      <c r="I42" t="s">
        <v>3</v>
      </c>
      <c r="J42">
        <v>-1</v>
      </c>
      <c r="K42" t="s">
        <v>3</v>
      </c>
      <c r="L42">
        <v>1</v>
      </c>
      <c r="M42" t="s">
        <v>3</v>
      </c>
      <c r="N42">
        <v>1</v>
      </c>
      <c r="O42" t="s">
        <v>3</v>
      </c>
      <c r="P42">
        <v>-1</v>
      </c>
      <c r="Q42" t="s">
        <v>3</v>
      </c>
      <c r="S42" t="s">
        <v>12</v>
      </c>
    </row>
    <row r="43" spans="1:19" x14ac:dyDescent="0.15">
      <c r="A43" t="str">
        <f t="shared" si="2"/>
        <v>|Lv4|-1|-1|2|1|-1|</v>
      </c>
      <c r="B43" t="s">
        <v>3</v>
      </c>
      <c r="C43" t="s">
        <v>8</v>
      </c>
      <c r="D43">
        <v>4</v>
      </c>
      <c r="E43" t="s">
        <v>3</v>
      </c>
      <c r="F43" t="str">
        <f t="shared" ref="F43:F50" si="3">IF(ISBLANK(D43),"",INDEX($F$100:$F$159,D43))</f>
        <v>黒</v>
      </c>
      <c r="G43" t="s">
        <v>3</v>
      </c>
      <c r="H43">
        <f>H42+IF(H$41=$F43,1,0)</f>
        <v>-1</v>
      </c>
      <c r="I43" t="str">
        <f t="shared" ref="I43:Q50" si="4">I42</f>
        <v>|</v>
      </c>
      <c r="J43">
        <f>J42+IF(J$41=$F43,1,0)</f>
        <v>-1</v>
      </c>
      <c r="K43" t="str">
        <f t="shared" si="4"/>
        <v>|</v>
      </c>
      <c r="L43">
        <f>L42+IF(L$41=$F43,1,0)</f>
        <v>2</v>
      </c>
      <c r="M43" t="str">
        <f t="shared" si="4"/>
        <v>|</v>
      </c>
      <c r="N43">
        <f>N42+IF(N$41=$F43,1,0)</f>
        <v>1</v>
      </c>
      <c r="O43" t="str">
        <f t="shared" si="4"/>
        <v>|</v>
      </c>
      <c r="P43">
        <f>P42+IF(P$41=$F43,1,0)</f>
        <v>-1</v>
      </c>
      <c r="Q43" t="str">
        <f t="shared" si="4"/>
        <v>|</v>
      </c>
      <c r="S43" t="s">
        <v>13</v>
      </c>
    </row>
    <row r="44" spans="1:19" x14ac:dyDescent="0.15">
      <c r="A44" t="str">
        <f t="shared" si="2"/>
        <v>|Lv10|-1|-1|2|2|-1|</v>
      </c>
      <c r="B44" t="s">
        <v>3</v>
      </c>
      <c r="C44" t="s">
        <v>8</v>
      </c>
      <c r="D44">
        <v>10</v>
      </c>
      <c r="E44" t="s">
        <v>3</v>
      </c>
      <c r="F44" t="str">
        <f t="shared" si="3"/>
        <v>赤</v>
      </c>
      <c r="G44" t="s">
        <v>3</v>
      </c>
      <c r="H44">
        <f t="shared" ref="H44:P50" si="5">H43+IF(H$41=$F44,1,0)</f>
        <v>-1</v>
      </c>
      <c r="I44" t="str">
        <f t="shared" si="4"/>
        <v>|</v>
      </c>
      <c r="J44">
        <f t="shared" si="5"/>
        <v>-1</v>
      </c>
      <c r="K44" t="str">
        <f t="shared" si="4"/>
        <v>|</v>
      </c>
      <c r="L44">
        <f t="shared" si="5"/>
        <v>2</v>
      </c>
      <c r="M44" t="str">
        <f t="shared" si="4"/>
        <v>|</v>
      </c>
      <c r="N44">
        <f>N43+IF(N$41=$F44,1,0)</f>
        <v>2</v>
      </c>
      <c r="O44" t="str">
        <f t="shared" si="4"/>
        <v>|</v>
      </c>
      <c r="P44">
        <f t="shared" si="5"/>
        <v>-1</v>
      </c>
      <c r="Q44" t="str">
        <f t="shared" si="4"/>
        <v>|</v>
      </c>
      <c r="S44" t="s">
        <v>14</v>
      </c>
    </row>
    <row r="45" spans="1:19" x14ac:dyDescent="0.15">
      <c r="A45" t="str">
        <f t="shared" si="2"/>
        <v>|Lv16|-1|0|2|2|-1|</v>
      </c>
      <c r="B45" t="s">
        <v>3</v>
      </c>
      <c r="C45" t="s">
        <v>8</v>
      </c>
      <c r="D45">
        <v>16</v>
      </c>
      <c r="E45" t="s">
        <v>3</v>
      </c>
      <c r="F45" t="str">
        <f t="shared" si="3"/>
        <v>青</v>
      </c>
      <c r="G45" t="s">
        <v>3</v>
      </c>
      <c r="H45">
        <f t="shared" si="5"/>
        <v>-1</v>
      </c>
      <c r="I45" t="str">
        <f t="shared" si="4"/>
        <v>|</v>
      </c>
      <c r="J45">
        <f t="shared" si="5"/>
        <v>0</v>
      </c>
      <c r="K45" t="str">
        <f t="shared" si="4"/>
        <v>|</v>
      </c>
      <c r="L45">
        <f t="shared" si="5"/>
        <v>2</v>
      </c>
      <c r="M45" t="str">
        <f t="shared" si="4"/>
        <v>|</v>
      </c>
      <c r="N45">
        <f t="shared" si="5"/>
        <v>2</v>
      </c>
      <c r="O45" t="str">
        <f t="shared" si="4"/>
        <v>|</v>
      </c>
      <c r="P45">
        <f t="shared" si="5"/>
        <v>-1</v>
      </c>
      <c r="Q45" t="str">
        <f t="shared" si="4"/>
        <v>|</v>
      </c>
      <c r="S45" t="s">
        <v>15</v>
      </c>
    </row>
    <row r="46" spans="1:19" x14ac:dyDescent="0.15">
      <c r="A46" t="str">
        <f t="shared" si="2"/>
        <v>|Lv22|0|0|2|2|-1|</v>
      </c>
      <c r="B46" t="s">
        <v>3</v>
      </c>
      <c r="C46" t="s">
        <v>8</v>
      </c>
      <c r="D46">
        <v>22</v>
      </c>
      <c r="E46" t="s">
        <v>3</v>
      </c>
      <c r="F46" t="str">
        <f t="shared" si="3"/>
        <v>白</v>
      </c>
      <c r="G46" t="s">
        <v>3</v>
      </c>
      <c r="H46">
        <f t="shared" si="5"/>
        <v>0</v>
      </c>
      <c r="I46" t="str">
        <f t="shared" si="4"/>
        <v>|</v>
      </c>
      <c r="J46">
        <f t="shared" si="5"/>
        <v>0</v>
      </c>
      <c r="K46" t="str">
        <f t="shared" si="4"/>
        <v>|</v>
      </c>
      <c r="L46">
        <f t="shared" si="5"/>
        <v>2</v>
      </c>
      <c r="M46" t="str">
        <f t="shared" si="4"/>
        <v>|</v>
      </c>
      <c r="N46">
        <f t="shared" si="5"/>
        <v>2</v>
      </c>
      <c r="O46" t="str">
        <f t="shared" si="4"/>
        <v>|</v>
      </c>
      <c r="P46">
        <f>P45+IF(P$41=$F46,1,0)</f>
        <v>-1</v>
      </c>
      <c r="Q46" t="str">
        <f t="shared" si="4"/>
        <v>|</v>
      </c>
    </row>
    <row r="47" spans="1:19" x14ac:dyDescent="0.15">
      <c r="A47" t="str">
        <f t="shared" si="2"/>
        <v>|Lv28|0|0|2|2|0|</v>
      </c>
      <c r="B47" t="s">
        <v>3</v>
      </c>
      <c r="C47" t="s">
        <v>8</v>
      </c>
      <c r="D47">
        <v>28</v>
      </c>
      <c r="E47" t="s">
        <v>3</v>
      </c>
      <c r="F47" t="str">
        <f t="shared" si="3"/>
        <v>緑</v>
      </c>
      <c r="G47" t="s">
        <v>3</v>
      </c>
      <c r="H47">
        <f t="shared" si="5"/>
        <v>0</v>
      </c>
      <c r="I47" t="str">
        <f t="shared" si="4"/>
        <v>|</v>
      </c>
      <c r="J47">
        <f t="shared" si="5"/>
        <v>0</v>
      </c>
      <c r="K47" t="str">
        <f t="shared" si="4"/>
        <v>|</v>
      </c>
      <c r="L47">
        <f t="shared" si="5"/>
        <v>2</v>
      </c>
      <c r="M47" t="str">
        <f t="shared" si="4"/>
        <v>|</v>
      </c>
      <c r="N47">
        <f t="shared" si="5"/>
        <v>2</v>
      </c>
      <c r="O47" t="str">
        <f t="shared" si="4"/>
        <v>|</v>
      </c>
      <c r="P47">
        <f t="shared" si="5"/>
        <v>0</v>
      </c>
      <c r="Q47" t="str">
        <f t="shared" si="4"/>
        <v>|</v>
      </c>
    </row>
    <row r="48" spans="1:19" x14ac:dyDescent="0.15">
      <c r="A48" t="str">
        <f t="shared" si="2"/>
        <v>|Lv34|0|1|2|2|0|</v>
      </c>
      <c r="B48" t="s">
        <v>3</v>
      </c>
      <c r="C48" t="s">
        <v>8</v>
      </c>
      <c r="D48">
        <v>34</v>
      </c>
      <c r="E48" t="s">
        <v>3</v>
      </c>
      <c r="F48" t="str">
        <f t="shared" si="3"/>
        <v>青</v>
      </c>
      <c r="G48" t="s">
        <v>3</v>
      </c>
      <c r="H48">
        <f t="shared" si="5"/>
        <v>0</v>
      </c>
      <c r="I48" t="str">
        <f t="shared" si="4"/>
        <v>|</v>
      </c>
      <c r="J48">
        <f t="shared" si="5"/>
        <v>1</v>
      </c>
      <c r="K48" t="str">
        <f t="shared" si="4"/>
        <v>|</v>
      </c>
      <c r="L48">
        <f t="shared" si="5"/>
        <v>2</v>
      </c>
      <c r="M48" t="str">
        <f t="shared" si="4"/>
        <v>|</v>
      </c>
      <c r="N48">
        <f t="shared" si="5"/>
        <v>2</v>
      </c>
      <c r="O48" t="str">
        <f t="shared" si="4"/>
        <v>|</v>
      </c>
      <c r="P48">
        <f t="shared" si="5"/>
        <v>0</v>
      </c>
      <c r="Q48" t="str">
        <f t="shared" si="4"/>
        <v>|</v>
      </c>
    </row>
    <row r="49" spans="1:19" x14ac:dyDescent="0.15">
      <c r="A49" t="str">
        <f t="shared" si="2"/>
        <v>|Lv42|1|1|2|2|0|</v>
      </c>
      <c r="B49" t="s">
        <v>3</v>
      </c>
      <c r="C49" t="s">
        <v>8</v>
      </c>
      <c r="D49">
        <v>42</v>
      </c>
      <c r="E49" t="s">
        <v>3</v>
      </c>
      <c r="F49" t="str">
        <f t="shared" si="3"/>
        <v>白</v>
      </c>
      <c r="G49" t="s">
        <v>3</v>
      </c>
      <c r="H49">
        <f t="shared" si="5"/>
        <v>1</v>
      </c>
      <c r="I49" t="str">
        <f t="shared" si="4"/>
        <v>|</v>
      </c>
      <c r="J49">
        <f t="shared" si="5"/>
        <v>1</v>
      </c>
      <c r="K49" t="str">
        <f t="shared" si="4"/>
        <v>|</v>
      </c>
      <c r="L49">
        <f t="shared" si="5"/>
        <v>2</v>
      </c>
      <c r="M49" t="str">
        <f t="shared" si="4"/>
        <v>|</v>
      </c>
      <c r="N49">
        <f t="shared" si="5"/>
        <v>2</v>
      </c>
      <c r="O49" t="str">
        <f t="shared" si="4"/>
        <v>|</v>
      </c>
      <c r="P49">
        <f>P48+IF(P$41=$F49,1,0)</f>
        <v>0</v>
      </c>
      <c r="Q49" t="str">
        <f t="shared" si="4"/>
        <v>|</v>
      </c>
    </row>
    <row r="50" spans="1:19" x14ac:dyDescent="0.15">
      <c r="A50" t="str">
        <f t="shared" si="2"/>
        <v>|Lv48|1|1|2|2|1|</v>
      </c>
      <c r="B50" t="s">
        <v>3</v>
      </c>
      <c r="C50" t="s">
        <v>8</v>
      </c>
      <c r="D50">
        <v>48</v>
      </c>
      <c r="E50" t="s">
        <v>3</v>
      </c>
      <c r="F50" t="str">
        <f t="shared" si="3"/>
        <v>緑</v>
      </c>
      <c r="G50" t="s">
        <v>3</v>
      </c>
      <c r="H50">
        <f t="shared" si="5"/>
        <v>1</v>
      </c>
      <c r="I50" t="str">
        <f t="shared" si="4"/>
        <v>|</v>
      </c>
      <c r="J50">
        <f t="shared" si="5"/>
        <v>1</v>
      </c>
      <c r="K50" t="str">
        <f t="shared" si="4"/>
        <v>|</v>
      </c>
      <c r="L50">
        <f t="shared" si="5"/>
        <v>2</v>
      </c>
      <c r="M50" t="str">
        <f t="shared" si="4"/>
        <v>|</v>
      </c>
      <c r="N50">
        <f t="shared" si="5"/>
        <v>2</v>
      </c>
      <c r="O50" t="str">
        <f t="shared" si="4"/>
        <v>|</v>
      </c>
      <c r="P50">
        <f>P49+IF(P$41=$F50,1,0)</f>
        <v>1</v>
      </c>
      <c r="Q50" t="str">
        <f t="shared" si="4"/>
        <v>|</v>
      </c>
    </row>
    <row r="51" spans="1:19" x14ac:dyDescent="0.15">
      <c r="A51" t="str">
        <f>B51&amp;C51&amp;D51&amp;E51&amp;F51&amp;G51&amp;H51&amp;I51&amp;J51&amp;K51&amp;L51&amp;M51&amp;N51&amp;O51&amp;P51</f>
        <v>&amp;br;</v>
      </c>
      <c r="B51" t="s">
        <v>0</v>
      </c>
    </row>
    <row r="52" spans="1:19" x14ac:dyDescent="0.15">
      <c r="A52" t="str">
        <f>B52&amp;C52&amp;D52&amp;E52&amp;F52&amp;G52&amp;H52&amp;I52&amp;J52&amp;K52&amp;L52&amp;M52&amp;N52&amp;O52&amp;P52</f>
        <v>&amp;br;</v>
      </c>
      <c r="B52" t="s">
        <v>0</v>
      </c>
    </row>
    <row r="53" spans="1:19" x14ac:dyDescent="0.15">
      <c r="A53" t="str">
        <f>B53&amp;C53&amp;D53&amp;E53&amp;F53&amp;G53&amp;H53&amp;I53&amp;J53&amp;K53&amp;L53&amp;M53&amp;N53&amp;O53&amp;P53</f>
        <v>*デッキ構築枚数上限 [#e6f382eb]</v>
      </c>
      <c r="B53" t="s">
        <v>16</v>
      </c>
    </row>
    <row r="54" spans="1:19" x14ac:dyDescent="0.15">
      <c r="A54" t="str">
        <f>B54&amp;C54&amp;D54&amp;E54&amp;F54&amp;G54&amp;H54&amp;I54&amp;J54&amp;K54&amp;L54&amp;M54&amp;N54&amp;O54&amp;P54</f>
        <v>構築枚数上限を越える枚数はデッキに入れられない。</v>
      </c>
      <c r="B54" t="s">
        <v>17</v>
      </c>
    </row>
    <row r="55" spans="1:19" x14ac:dyDescent="0.15">
      <c r="A55" t="str">
        <f t="shared" ref="A55:A67" si="6">B55&amp;C55&amp;D55&amp;G55&amp;H55&amp;I55&amp;J55&amp;K55&amp;L55&amp;M55&amp;N55&amp;O55&amp;P55&amp;Q55&amp;R55</f>
        <v>|LEFT:50|LEFT:80|LEFT:80|LEFT:80|c</v>
      </c>
      <c r="B55" t="s">
        <v>3</v>
      </c>
      <c r="C55" t="s">
        <v>4</v>
      </c>
      <c r="E55" t="s">
        <v>3</v>
      </c>
      <c r="G55" t="s">
        <v>3</v>
      </c>
      <c r="H55" t="s">
        <v>18</v>
      </c>
      <c r="I55" t="s">
        <v>3</v>
      </c>
      <c r="J55" t="s">
        <v>18</v>
      </c>
      <c r="K55" t="s">
        <v>3</v>
      </c>
      <c r="L55" t="s">
        <v>18</v>
      </c>
      <c r="M55" t="s">
        <v>3</v>
      </c>
      <c r="N55" t="s">
        <v>5</v>
      </c>
    </row>
    <row r="56" spans="1:19" x14ac:dyDescent="0.15">
      <c r="A56" t="str">
        <f t="shared" si="6"/>
        <v>|レベル|クリーチャー|呪文|サポート|</v>
      </c>
      <c r="B56" t="s">
        <v>3</v>
      </c>
      <c r="C56" t="s">
        <v>6</v>
      </c>
      <c r="E56" t="s">
        <v>3</v>
      </c>
      <c r="F56" t="s">
        <v>19</v>
      </c>
      <c r="G56" t="s">
        <v>3</v>
      </c>
      <c r="H56" t="s">
        <v>20</v>
      </c>
      <c r="I56" t="s">
        <v>3</v>
      </c>
      <c r="J56" t="s">
        <v>21</v>
      </c>
      <c r="K56" t="s">
        <v>3</v>
      </c>
      <c r="L56" t="s">
        <v>22</v>
      </c>
      <c r="M56" t="s">
        <v>3</v>
      </c>
      <c r="S56" t="s">
        <v>20</v>
      </c>
    </row>
    <row r="57" spans="1:19" x14ac:dyDescent="0.15">
      <c r="A57" t="str">
        <f t="shared" si="6"/>
        <v>|Lv1|6|3|1|</v>
      </c>
      <c r="B57" t="s">
        <v>3</v>
      </c>
      <c r="C57" t="s">
        <v>8</v>
      </c>
      <c r="D57">
        <v>1</v>
      </c>
      <c r="E57" t="s">
        <v>3</v>
      </c>
      <c r="G57" t="s">
        <v>3</v>
      </c>
      <c r="H57">
        <v>6</v>
      </c>
      <c r="I57" t="s">
        <v>3</v>
      </c>
      <c r="J57">
        <v>3</v>
      </c>
      <c r="K57" t="s">
        <v>3</v>
      </c>
      <c r="L57">
        <v>1</v>
      </c>
      <c r="M57" t="s">
        <v>3</v>
      </c>
      <c r="S57" t="s">
        <v>21</v>
      </c>
    </row>
    <row r="58" spans="1:19" x14ac:dyDescent="0.15">
      <c r="A58" t="str">
        <f t="shared" si="6"/>
        <v>|Lv2|6|3|3|</v>
      </c>
      <c r="B58" t="s">
        <v>3</v>
      </c>
      <c r="C58" t="s">
        <v>8</v>
      </c>
      <c r="D58">
        <v>2</v>
      </c>
      <c r="E58" t="s">
        <v>3</v>
      </c>
      <c r="F58" t="str">
        <f t="shared" ref="F58:F67" si="7">IF(ISBLANK(D58),"",INDEX($F$100:$F$159,D58))</f>
        <v>サポート</v>
      </c>
      <c r="G58" t="s">
        <v>3</v>
      </c>
      <c r="H58">
        <f t="shared" ref="H58:H67" si="8">H57+IF(H$56=$F58,INDEX($H$100:$H$159,D58),0)</f>
        <v>6</v>
      </c>
      <c r="I58" t="s">
        <v>3</v>
      </c>
      <c r="J58">
        <f t="shared" ref="J58:J67" si="9">J57+IF(J$56=$F58,INDEX($H$100:$H$159,D58),0)</f>
        <v>3</v>
      </c>
      <c r="K58" t="s">
        <v>3</v>
      </c>
      <c r="L58">
        <f t="shared" ref="L58:L67" si="10">L57+IF(L$56=$F58,INDEX($H$100:$H$159,D58),0)</f>
        <v>3</v>
      </c>
      <c r="M58" t="s">
        <v>3</v>
      </c>
      <c r="S58" t="s">
        <v>22</v>
      </c>
    </row>
    <row r="59" spans="1:19" x14ac:dyDescent="0.15">
      <c r="A59" t="str">
        <f t="shared" si="6"/>
        <v>|Lv8|6|5|3|</v>
      </c>
      <c r="B59" t="s">
        <v>3</v>
      </c>
      <c r="C59" t="s">
        <v>8</v>
      </c>
      <c r="D59">
        <v>8</v>
      </c>
      <c r="E59" t="s">
        <v>3</v>
      </c>
      <c r="F59" t="str">
        <f t="shared" si="7"/>
        <v>呪文</v>
      </c>
      <c r="G59" t="s">
        <v>3</v>
      </c>
      <c r="H59">
        <f t="shared" si="8"/>
        <v>6</v>
      </c>
      <c r="I59" t="s">
        <v>3</v>
      </c>
      <c r="J59">
        <f t="shared" si="9"/>
        <v>5</v>
      </c>
      <c r="K59" t="s">
        <v>3</v>
      </c>
      <c r="L59">
        <f t="shared" si="10"/>
        <v>3</v>
      </c>
      <c r="M59" t="s">
        <v>3</v>
      </c>
    </row>
    <row r="60" spans="1:19" x14ac:dyDescent="0.15">
      <c r="A60" t="str">
        <f t="shared" si="6"/>
        <v>|Lv14|7|5|3|</v>
      </c>
      <c r="B60" t="s">
        <v>3</v>
      </c>
      <c r="C60" t="s">
        <v>8</v>
      </c>
      <c r="D60">
        <v>14</v>
      </c>
      <c r="E60" t="s">
        <v>3</v>
      </c>
      <c r="F60" t="str">
        <f t="shared" si="7"/>
        <v>クリーチャー</v>
      </c>
      <c r="G60" t="s">
        <v>3</v>
      </c>
      <c r="H60">
        <f t="shared" si="8"/>
        <v>7</v>
      </c>
      <c r="I60" t="s">
        <v>3</v>
      </c>
      <c r="J60">
        <f t="shared" si="9"/>
        <v>5</v>
      </c>
      <c r="K60" t="s">
        <v>3</v>
      </c>
      <c r="L60">
        <f t="shared" si="10"/>
        <v>3</v>
      </c>
      <c r="M60" t="s">
        <v>3</v>
      </c>
    </row>
    <row r="61" spans="1:19" x14ac:dyDescent="0.15">
      <c r="A61" t="str">
        <f t="shared" si="6"/>
        <v>|Lv20|7|5|4|</v>
      </c>
      <c r="B61" t="s">
        <v>3</v>
      </c>
      <c r="C61" t="s">
        <v>8</v>
      </c>
      <c r="D61">
        <v>20</v>
      </c>
      <c r="E61" t="s">
        <v>3</v>
      </c>
      <c r="F61" t="str">
        <f t="shared" si="7"/>
        <v>サポート</v>
      </c>
      <c r="G61" t="s">
        <v>3</v>
      </c>
      <c r="H61">
        <f t="shared" si="8"/>
        <v>7</v>
      </c>
      <c r="I61" t="s">
        <v>3</v>
      </c>
      <c r="J61">
        <f t="shared" si="9"/>
        <v>5</v>
      </c>
      <c r="K61" t="s">
        <v>3</v>
      </c>
      <c r="L61">
        <f t="shared" si="10"/>
        <v>4</v>
      </c>
      <c r="M61" t="s">
        <v>3</v>
      </c>
    </row>
    <row r="62" spans="1:19" x14ac:dyDescent="0.15">
      <c r="A62" t="str">
        <f t="shared" si="6"/>
        <v>|Lv26|7|6|4|</v>
      </c>
      <c r="B62" t="s">
        <v>3</v>
      </c>
      <c r="C62" t="s">
        <v>8</v>
      </c>
      <c r="D62">
        <v>26</v>
      </c>
      <c r="E62" t="s">
        <v>3</v>
      </c>
      <c r="F62" t="str">
        <f t="shared" si="7"/>
        <v>呪文</v>
      </c>
      <c r="G62" t="s">
        <v>3</v>
      </c>
      <c r="H62">
        <f t="shared" si="8"/>
        <v>7</v>
      </c>
      <c r="I62" t="s">
        <v>3</v>
      </c>
      <c r="J62">
        <f t="shared" si="9"/>
        <v>6</v>
      </c>
      <c r="K62" t="s">
        <v>3</v>
      </c>
      <c r="L62">
        <f t="shared" si="10"/>
        <v>4</v>
      </c>
      <c r="M62" t="s">
        <v>3</v>
      </c>
    </row>
    <row r="63" spans="1:19" x14ac:dyDescent="0.15">
      <c r="A63" t="str">
        <f t="shared" si="6"/>
        <v>|Lv32|8|6|4|</v>
      </c>
      <c r="B63" t="s">
        <v>3</v>
      </c>
      <c r="C63" t="s">
        <v>8</v>
      </c>
      <c r="D63">
        <v>32</v>
      </c>
      <c r="E63" t="s">
        <v>3</v>
      </c>
      <c r="F63" t="str">
        <f t="shared" si="7"/>
        <v>クリーチャー</v>
      </c>
      <c r="G63" t="s">
        <v>3</v>
      </c>
      <c r="H63">
        <f t="shared" si="8"/>
        <v>8</v>
      </c>
      <c r="I63" t="s">
        <v>3</v>
      </c>
      <c r="J63">
        <f t="shared" si="9"/>
        <v>6</v>
      </c>
      <c r="K63" t="s">
        <v>3</v>
      </c>
      <c r="L63">
        <f t="shared" si="10"/>
        <v>4</v>
      </c>
      <c r="M63" t="s">
        <v>3</v>
      </c>
    </row>
    <row r="64" spans="1:19" x14ac:dyDescent="0.15">
      <c r="A64" t="str">
        <f t="shared" si="6"/>
        <v>|Lv38|8|6|5|</v>
      </c>
      <c r="B64" t="s">
        <v>3</v>
      </c>
      <c r="C64" t="s">
        <v>8</v>
      </c>
      <c r="D64">
        <v>38</v>
      </c>
      <c r="E64" t="s">
        <v>3</v>
      </c>
      <c r="F64" t="str">
        <f t="shared" si="7"/>
        <v>サポート</v>
      </c>
      <c r="G64" t="s">
        <v>3</v>
      </c>
      <c r="H64">
        <f t="shared" si="8"/>
        <v>8</v>
      </c>
      <c r="I64" t="s">
        <v>3</v>
      </c>
      <c r="J64">
        <f t="shared" si="9"/>
        <v>6</v>
      </c>
      <c r="K64" t="s">
        <v>3</v>
      </c>
      <c r="L64">
        <f t="shared" si="10"/>
        <v>5</v>
      </c>
      <c r="M64" t="s">
        <v>3</v>
      </c>
    </row>
    <row r="65" spans="1:20" x14ac:dyDescent="0.15">
      <c r="A65" t="str">
        <f t="shared" si="6"/>
        <v>|Lv44|8|7|5|</v>
      </c>
      <c r="B65" t="s">
        <v>3</v>
      </c>
      <c r="C65" t="s">
        <v>8</v>
      </c>
      <c r="D65">
        <v>44</v>
      </c>
      <c r="E65" t="s">
        <v>3</v>
      </c>
      <c r="F65" t="str">
        <f t="shared" si="7"/>
        <v>呪文</v>
      </c>
      <c r="G65" t="s">
        <v>3</v>
      </c>
      <c r="H65">
        <f t="shared" si="8"/>
        <v>8</v>
      </c>
      <c r="I65" t="s">
        <v>3</v>
      </c>
      <c r="J65">
        <f t="shared" si="9"/>
        <v>7</v>
      </c>
      <c r="K65" t="s">
        <v>3</v>
      </c>
      <c r="L65">
        <f t="shared" si="10"/>
        <v>5</v>
      </c>
      <c r="M65" t="s">
        <v>3</v>
      </c>
    </row>
    <row r="66" spans="1:20" x14ac:dyDescent="0.15">
      <c r="A66" t="str">
        <f t="shared" si="6"/>
        <v>|Lv50|9|7|5|</v>
      </c>
      <c r="B66" t="s">
        <v>3</v>
      </c>
      <c r="C66" t="s">
        <v>8</v>
      </c>
      <c r="D66">
        <v>50</v>
      </c>
      <c r="E66" t="s">
        <v>3</v>
      </c>
      <c r="F66" t="str">
        <f t="shared" si="7"/>
        <v>クリーチャー</v>
      </c>
      <c r="G66" t="s">
        <v>3</v>
      </c>
      <c r="H66">
        <f t="shared" si="8"/>
        <v>9</v>
      </c>
      <c r="I66" t="s">
        <v>3</v>
      </c>
      <c r="J66">
        <f t="shared" si="9"/>
        <v>7</v>
      </c>
      <c r="K66" t="s">
        <v>3</v>
      </c>
      <c r="L66">
        <f t="shared" si="10"/>
        <v>5</v>
      </c>
      <c r="M66" t="s">
        <v>3</v>
      </c>
    </row>
    <row r="67" spans="1:20" x14ac:dyDescent="0.15">
      <c r="A67" t="str">
        <f t="shared" si="6"/>
        <v>|Lv54|9|7|6|</v>
      </c>
      <c r="B67" t="s">
        <v>3</v>
      </c>
      <c r="C67" t="s">
        <v>8</v>
      </c>
      <c r="D67">
        <v>54</v>
      </c>
      <c r="E67" t="s">
        <v>3</v>
      </c>
      <c r="F67" t="str">
        <f t="shared" si="7"/>
        <v>サポート</v>
      </c>
      <c r="G67" t="s">
        <v>3</v>
      </c>
      <c r="H67">
        <f t="shared" si="8"/>
        <v>9</v>
      </c>
      <c r="I67" t="s">
        <v>3</v>
      </c>
      <c r="J67">
        <f t="shared" si="9"/>
        <v>7</v>
      </c>
      <c r="K67" t="s">
        <v>3</v>
      </c>
      <c r="L67">
        <f t="shared" si="10"/>
        <v>6</v>
      </c>
      <c r="M67" t="s">
        <v>3</v>
      </c>
    </row>
    <row r="68" spans="1:20" x14ac:dyDescent="0.15">
      <c r="A68" t="str">
        <f t="shared" ref="A68:A89" si="11">B68&amp;C68&amp;D68&amp;E68&amp;F68&amp;G68&amp;H68&amp;I68&amp;J68&amp;K68&amp;L68&amp;M68&amp;N68&amp;O68&amp;P68</f>
        <v>&amp;br;</v>
      </c>
      <c r="B68" t="s">
        <v>0</v>
      </c>
    </row>
    <row r="69" spans="1:20" x14ac:dyDescent="0.15">
      <c r="A69" t="str">
        <f t="shared" si="11"/>
        <v>&amp;br;</v>
      </c>
      <c r="B69" t="s">
        <v>0</v>
      </c>
    </row>
    <row r="70" spans="1:20" x14ac:dyDescent="0.15">
      <c r="A70" t="str">
        <f t="shared" si="11"/>
        <v>*PW能力一覧 [#a469e89f]</v>
      </c>
      <c r="B70" t="s">
        <v>23</v>
      </c>
    </row>
    <row r="71" spans="1:20" x14ac:dyDescent="0.15">
      <c r="A71" t="str">
        <f t="shared" si="11"/>
        <v>**第1能力：炎の生け贄/Fiery Sacrifice</v>
      </c>
      <c r="B71" t="s">
        <v>24</v>
      </c>
      <c r="D71" t="s">
        <v>407</v>
      </c>
      <c r="E71" t="s">
        <v>25</v>
      </c>
      <c r="F71" t="s">
        <v>408</v>
      </c>
      <c r="R71" t="str">
        <f>D71&amp;E71&amp;F71</f>
        <v>炎の生け贄/Fiery Sacrifice</v>
      </c>
      <c r="S71" t="s">
        <v>3</v>
      </c>
      <c r="T71">
        <f>H77</f>
        <v>3</v>
      </c>
    </row>
    <row r="72" spans="1:20" x14ac:dyDescent="0.15">
      <c r="A72" t="str">
        <f t="shared" si="11"/>
        <v>|LEFT:50|LEFT:50|LEFT:50|LEFT:300|c</v>
      </c>
      <c r="B72" t="s">
        <v>3</v>
      </c>
      <c r="C72" t="s">
        <v>4</v>
      </c>
      <c r="E72" t="s">
        <v>3</v>
      </c>
      <c r="F72" t="s">
        <v>4</v>
      </c>
      <c r="G72" t="s">
        <v>3</v>
      </c>
      <c r="H72" t="s">
        <v>4</v>
      </c>
      <c r="I72" t="s">
        <v>3</v>
      </c>
      <c r="J72" t="s">
        <v>26</v>
      </c>
      <c r="K72" t="s">
        <v>3</v>
      </c>
      <c r="L72" t="s">
        <v>5</v>
      </c>
      <c r="R72" t="s">
        <v>209</v>
      </c>
      <c r="S72" t="s">
        <v>3</v>
      </c>
      <c r="T72" t="str">
        <f>J77</f>
        <v>カードを1枚引き、1点のライフを失う。</v>
      </c>
    </row>
    <row r="73" spans="1:20" x14ac:dyDescent="0.15">
      <c r="A73" t="str">
        <f t="shared" si="11"/>
        <v>|解放Lv|レベル|コスト|効果|</v>
      </c>
      <c r="B73" t="s">
        <v>3</v>
      </c>
      <c r="C73" t="s">
        <v>27</v>
      </c>
      <c r="E73" t="s">
        <v>3</v>
      </c>
      <c r="F73" t="s">
        <v>6</v>
      </c>
      <c r="G73" t="s">
        <v>3</v>
      </c>
      <c r="H73" t="s">
        <v>28</v>
      </c>
      <c r="I73" t="s">
        <v>3</v>
      </c>
      <c r="J73" t="s">
        <v>29</v>
      </c>
      <c r="K73" t="s">
        <v>3</v>
      </c>
      <c r="R73" t="str">
        <f>D80&amp;E80&amp;F80</f>
        <v>ドラゴン呼び/Call Dragon</v>
      </c>
      <c r="S73" t="s">
        <v>3</v>
      </c>
      <c r="T73">
        <f>H86</f>
        <v>9</v>
      </c>
    </row>
    <row r="74" spans="1:20" x14ac:dyDescent="0.15">
      <c r="A74" t="str">
        <f t="shared" si="11"/>
        <v>|Lv6|Lv1|6|カードを1枚引き、3点のライフを失う。|</v>
      </c>
      <c r="B74" t="s">
        <v>3</v>
      </c>
      <c r="C74" t="s">
        <v>8</v>
      </c>
      <c r="D74">
        <v>6</v>
      </c>
      <c r="E74" t="s">
        <v>3</v>
      </c>
      <c r="F74" t="s">
        <v>30</v>
      </c>
      <c r="G74" t="s">
        <v>3</v>
      </c>
      <c r="H74">
        <v>6</v>
      </c>
      <c r="I74" t="s">
        <v>3</v>
      </c>
      <c r="J74" t="s">
        <v>409</v>
      </c>
      <c r="K74" t="s">
        <v>3</v>
      </c>
      <c r="R74" t="s">
        <v>209</v>
      </c>
      <c r="S74" t="s">
        <v>3</v>
      </c>
      <c r="T74" t="str">
        <f>J86</f>
        <v>あなたのクリーチャー1体を破壊し、飛行を持つ6/6の赤のドラゴンを1体召喚する。</v>
      </c>
    </row>
    <row r="75" spans="1:20" x14ac:dyDescent="0.15">
      <c r="A75" t="str">
        <f t="shared" si="11"/>
        <v>|Lv24|Lv2|6|カードを1枚引き、2点のライフを失う。|</v>
      </c>
      <c r="B75" t="s">
        <v>3</v>
      </c>
      <c r="C75" t="s">
        <v>8</v>
      </c>
      <c r="D75">
        <v>24</v>
      </c>
      <c r="E75" t="s">
        <v>3</v>
      </c>
      <c r="F75" t="s">
        <v>31</v>
      </c>
      <c r="G75" t="s">
        <v>3</v>
      </c>
      <c r="H75">
        <v>6</v>
      </c>
      <c r="I75" t="s">
        <v>3</v>
      </c>
      <c r="J75" t="s">
        <v>410</v>
      </c>
      <c r="K75" t="s">
        <v>3</v>
      </c>
      <c r="R75" t="str">
        <f>D89&amp;E89&amp;F89</f>
        <v>炎の息/Fiery Breath</v>
      </c>
      <c r="S75" t="s">
        <v>3</v>
      </c>
      <c r="T75">
        <f>H95</f>
        <v>18</v>
      </c>
    </row>
    <row r="76" spans="1:20" x14ac:dyDescent="0.15">
      <c r="A76" t="str">
        <f t="shared" si="11"/>
        <v>|Lv40|Lv3|6|カードを1枚引き、1点のライフを失う。|</v>
      </c>
      <c r="B76" t="s">
        <v>3</v>
      </c>
      <c r="C76" t="s">
        <v>8</v>
      </c>
      <c r="D76">
        <v>40</v>
      </c>
      <c r="E76" t="s">
        <v>3</v>
      </c>
      <c r="F76" t="s">
        <v>32</v>
      </c>
      <c r="G76" t="s">
        <v>3</v>
      </c>
      <c r="H76">
        <v>6</v>
      </c>
      <c r="I76" t="s">
        <v>3</v>
      </c>
      <c r="J76" t="s">
        <v>411</v>
      </c>
      <c r="K76" t="s">
        <v>3</v>
      </c>
      <c r="R76" t="s">
        <v>209</v>
      </c>
      <c r="S76" t="s">
        <v>3</v>
      </c>
      <c r="T76" t="str">
        <f>J95</f>
        <v>このターン、あなたのドラゴンが攻撃したとき、そのパワーの4倍に等しいダメージを対戦相手に与える。</v>
      </c>
    </row>
    <row r="77" spans="1:20" x14ac:dyDescent="0.15">
      <c r="A77" t="str">
        <f t="shared" si="11"/>
        <v>|Lv56|Lv4|3|カードを1枚引き、1点のライフを失う。|</v>
      </c>
      <c r="B77" t="s">
        <v>3</v>
      </c>
      <c r="C77" t="s">
        <v>8</v>
      </c>
      <c r="D77">
        <v>56</v>
      </c>
      <c r="E77" t="s">
        <v>3</v>
      </c>
      <c r="F77" t="s">
        <v>33</v>
      </c>
      <c r="G77" t="s">
        <v>3</v>
      </c>
      <c r="H77">
        <v>3</v>
      </c>
      <c r="I77" t="s">
        <v>3</v>
      </c>
      <c r="J77" t="s">
        <v>411</v>
      </c>
      <c r="K77" t="s">
        <v>3</v>
      </c>
    </row>
    <row r="78" spans="1:20" x14ac:dyDescent="0.15">
      <c r="A78" t="str">
        <f t="shared" si="11"/>
        <v>&amp;br;</v>
      </c>
      <c r="B78" t="s">
        <v>0</v>
      </c>
    </row>
    <row r="79" spans="1:20" x14ac:dyDescent="0.15">
      <c r="A79" t="str">
        <f t="shared" si="11"/>
        <v>&amp;br;</v>
      </c>
      <c r="B79" t="s">
        <v>0</v>
      </c>
    </row>
    <row r="80" spans="1:20" x14ac:dyDescent="0.15">
      <c r="A80" t="str">
        <f t="shared" si="11"/>
        <v>**第2能力：ドラゴン呼び/Call Dragon</v>
      </c>
      <c r="B80" t="s">
        <v>34</v>
      </c>
      <c r="D80" t="s">
        <v>412</v>
      </c>
      <c r="E80" t="s">
        <v>25</v>
      </c>
      <c r="F80" t="s">
        <v>413</v>
      </c>
    </row>
    <row r="81" spans="1:12" x14ac:dyDescent="0.15">
      <c r="A81" t="str">
        <f t="shared" si="11"/>
        <v>|LEFT:50|LEFT:50|LEFT:50|LEFT:300|c</v>
      </c>
      <c r="B81" t="s">
        <v>3</v>
      </c>
      <c r="C81" t="s">
        <v>4</v>
      </c>
      <c r="E81" t="s">
        <v>3</v>
      </c>
      <c r="F81" t="s">
        <v>4</v>
      </c>
      <c r="G81" t="s">
        <v>3</v>
      </c>
      <c r="H81" t="s">
        <v>4</v>
      </c>
      <c r="I81" t="s">
        <v>3</v>
      </c>
      <c r="J81" t="s">
        <v>26</v>
      </c>
      <c r="K81" t="s">
        <v>3</v>
      </c>
      <c r="L81" t="s">
        <v>5</v>
      </c>
    </row>
    <row r="82" spans="1:12" x14ac:dyDescent="0.15">
      <c r="A82" t="str">
        <f t="shared" si="11"/>
        <v>|解放Lv|レベル|コスト|効果|</v>
      </c>
      <c r="B82" t="s">
        <v>3</v>
      </c>
      <c r="C82" t="s">
        <v>27</v>
      </c>
      <c r="E82" t="s">
        <v>3</v>
      </c>
      <c r="F82" t="s">
        <v>6</v>
      </c>
      <c r="G82" t="s">
        <v>3</v>
      </c>
      <c r="H82" t="s">
        <v>28</v>
      </c>
      <c r="I82" t="s">
        <v>3</v>
      </c>
      <c r="J82" t="s">
        <v>29</v>
      </c>
      <c r="K82" t="s">
        <v>3</v>
      </c>
    </row>
    <row r="83" spans="1:12" x14ac:dyDescent="0.15">
      <c r="A83" t="str">
        <f t="shared" si="11"/>
        <v>|Lv12|Lv1|9|あなたのクリーチャー1体を破壊し、飛行を持つ3/3の赤のドラゴンを1体召喚する。|</v>
      </c>
      <c r="B83" t="s">
        <v>3</v>
      </c>
      <c r="C83" t="s">
        <v>8</v>
      </c>
      <c r="D83">
        <v>12</v>
      </c>
      <c r="E83" t="s">
        <v>3</v>
      </c>
      <c r="F83" t="s">
        <v>30</v>
      </c>
      <c r="G83" t="s">
        <v>3</v>
      </c>
      <c r="H83">
        <v>9</v>
      </c>
      <c r="I83" t="s">
        <v>3</v>
      </c>
      <c r="J83" t="s">
        <v>414</v>
      </c>
      <c r="K83" t="s">
        <v>3</v>
      </c>
    </row>
    <row r="84" spans="1:12" x14ac:dyDescent="0.15">
      <c r="A84" t="str">
        <f t="shared" si="11"/>
        <v>|Lv30|Lv2|9|あなたのクリーチャー1体を破壊し、飛行を持つ4/4の赤のドラゴンを1体召喚する。|</v>
      </c>
      <c r="B84" t="s">
        <v>3</v>
      </c>
      <c r="C84" t="s">
        <v>8</v>
      </c>
      <c r="D84">
        <v>30</v>
      </c>
      <c r="E84" t="s">
        <v>3</v>
      </c>
      <c r="F84" t="s">
        <v>31</v>
      </c>
      <c r="G84" t="s">
        <v>3</v>
      </c>
      <c r="H84">
        <v>9</v>
      </c>
      <c r="I84" t="s">
        <v>3</v>
      </c>
      <c r="J84" t="s">
        <v>415</v>
      </c>
      <c r="K84" t="s">
        <v>3</v>
      </c>
    </row>
    <row r="85" spans="1:12" x14ac:dyDescent="0.15">
      <c r="A85" t="str">
        <f t="shared" si="11"/>
        <v>|Lv46|Lv3|9|あなたのクリーチャー1体を破壊し、飛行を持つ5/5の赤のドラゴンを1体召喚する。|</v>
      </c>
      <c r="B85" t="s">
        <v>3</v>
      </c>
      <c r="C85" t="s">
        <v>8</v>
      </c>
      <c r="D85">
        <v>46</v>
      </c>
      <c r="E85" t="s">
        <v>3</v>
      </c>
      <c r="F85" t="s">
        <v>32</v>
      </c>
      <c r="G85" t="s">
        <v>3</v>
      </c>
      <c r="H85">
        <v>9</v>
      </c>
      <c r="I85" t="s">
        <v>3</v>
      </c>
      <c r="J85" t="s">
        <v>416</v>
      </c>
      <c r="K85" t="s">
        <v>3</v>
      </c>
    </row>
    <row r="86" spans="1:12" x14ac:dyDescent="0.15">
      <c r="A86" t="str">
        <f t="shared" si="11"/>
        <v>|Lv58|Lv4|9|あなたのクリーチャー1体を破壊し、飛行を持つ6/6の赤のドラゴンを1体召喚する。|</v>
      </c>
      <c r="B86" t="s">
        <v>3</v>
      </c>
      <c r="C86" t="s">
        <v>8</v>
      </c>
      <c r="D86">
        <v>58</v>
      </c>
      <c r="E86" t="s">
        <v>3</v>
      </c>
      <c r="F86" t="s">
        <v>33</v>
      </c>
      <c r="G86" t="s">
        <v>3</v>
      </c>
      <c r="H86">
        <v>9</v>
      </c>
      <c r="I86" t="s">
        <v>3</v>
      </c>
      <c r="J86" t="s">
        <v>417</v>
      </c>
      <c r="K86" t="s">
        <v>3</v>
      </c>
    </row>
    <row r="87" spans="1:12" x14ac:dyDescent="0.15">
      <c r="A87" t="str">
        <f t="shared" si="11"/>
        <v>&amp;br;</v>
      </c>
      <c r="B87" t="s">
        <v>0</v>
      </c>
    </row>
    <row r="88" spans="1:12" x14ac:dyDescent="0.15">
      <c r="A88" t="str">
        <f t="shared" si="11"/>
        <v>&amp;br;</v>
      </c>
      <c r="B88" t="s">
        <v>0</v>
      </c>
    </row>
    <row r="89" spans="1:12" x14ac:dyDescent="0.15">
      <c r="A89" t="str">
        <f t="shared" si="11"/>
        <v>**第3能力：炎の息/Fiery Breath</v>
      </c>
      <c r="B89" t="s">
        <v>35</v>
      </c>
      <c r="D89" t="s">
        <v>418</v>
      </c>
      <c r="E89" t="s">
        <v>25</v>
      </c>
      <c r="F89" t="s">
        <v>419</v>
      </c>
    </row>
    <row r="90" spans="1:12" x14ac:dyDescent="0.15">
      <c r="A90" t="str">
        <f t="shared" ref="A90:A153" si="12">B90&amp;C90&amp;D90&amp;E90&amp;F90&amp;G90&amp;H90&amp;I90&amp;J90&amp;K90&amp;L90&amp;M90&amp;N90&amp;O90&amp;P90</f>
        <v>|LEFT:50|LEFT:50|LEFT:50|LEFT:300|c</v>
      </c>
      <c r="B90" t="s">
        <v>3</v>
      </c>
      <c r="C90" t="s">
        <v>4</v>
      </c>
      <c r="E90" t="s">
        <v>3</v>
      </c>
      <c r="F90" t="s">
        <v>4</v>
      </c>
      <c r="G90" t="s">
        <v>3</v>
      </c>
      <c r="H90" t="s">
        <v>4</v>
      </c>
      <c r="I90" t="s">
        <v>3</v>
      </c>
      <c r="J90" t="s">
        <v>26</v>
      </c>
      <c r="K90" t="s">
        <v>3</v>
      </c>
      <c r="L90" t="s">
        <v>5</v>
      </c>
    </row>
    <row r="91" spans="1:12" x14ac:dyDescent="0.15">
      <c r="A91" t="str">
        <f t="shared" si="12"/>
        <v>|解放Lv|レベル|コスト|効果|</v>
      </c>
      <c r="B91" t="s">
        <v>3</v>
      </c>
      <c r="C91" t="s">
        <v>27</v>
      </c>
      <c r="E91" t="s">
        <v>3</v>
      </c>
      <c r="F91" t="s">
        <v>6</v>
      </c>
      <c r="G91" t="s">
        <v>3</v>
      </c>
      <c r="H91" t="s">
        <v>28</v>
      </c>
      <c r="I91" t="s">
        <v>3</v>
      </c>
      <c r="J91" t="s">
        <v>29</v>
      </c>
      <c r="K91" t="s">
        <v>3</v>
      </c>
    </row>
    <row r="92" spans="1:12" x14ac:dyDescent="0.15">
      <c r="A92" t="str">
        <f t="shared" si="12"/>
        <v>|Lv18|Lv1|18|このターン、あなたのドラゴンが攻撃したとき、そのパワーに等しいダメージを対戦相手に与える。|</v>
      </c>
      <c r="B92" t="s">
        <v>3</v>
      </c>
      <c r="C92" t="s">
        <v>8</v>
      </c>
      <c r="D92">
        <v>18</v>
      </c>
      <c r="E92" t="s">
        <v>3</v>
      </c>
      <c r="F92" t="s">
        <v>30</v>
      </c>
      <c r="G92" t="s">
        <v>3</v>
      </c>
      <c r="H92">
        <v>18</v>
      </c>
      <c r="I92" t="s">
        <v>3</v>
      </c>
      <c r="J92" t="s">
        <v>420</v>
      </c>
      <c r="K92" t="s">
        <v>3</v>
      </c>
    </row>
    <row r="93" spans="1:12" x14ac:dyDescent="0.15">
      <c r="A93" t="str">
        <f t="shared" si="12"/>
        <v>|Lv36|Lv2|18|このターン、あなたのドラゴンが攻撃したとき、そのパワーの2倍に等しいダメージを対戦相手に与える。|</v>
      </c>
      <c r="B93" t="s">
        <v>3</v>
      </c>
      <c r="C93" t="s">
        <v>8</v>
      </c>
      <c r="D93">
        <v>36</v>
      </c>
      <c r="E93" t="s">
        <v>3</v>
      </c>
      <c r="F93" t="s">
        <v>31</v>
      </c>
      <c r="G93" t="s">
        <v>3</v>
      </c>
      <c r="H93">
        <v>18</v>
      </c>
      <c r="I93" t="s">
        <v>3</v>
      </c>
      <c r="J93" t="s">
        <v>421</v>
      </c>
      <c r="K93" t="s">
        <v>3</v>
      </c>
    </row>
    <row r="94" spans="1:12" x14ac:dyDescent="0.15">
      <c r="A94" t="str">
        <f t="shared" si="12"/>
        <v>|Lv52|Lv3|18|このターン、あなたのドラゴンが攻撃したとき、そのパワーの3倍に等しいダメージを対戦相手に与える。|</v>
      </c>
      <c r="B94" t="s">
        <v>3</v>
      </c>
      <c r="C94" t="s">
        <v>8</v>
      </c>
      <c r="D94">
        <v>52</v>
      </c>
      <c r="E94" t="s">
        <v>3</v>
      </c>
      <c r="F94" t="s">
        <v>32</v>
      </c>
      <c r="G94" t="s">
        <v>3</v>
      </c>
      <c r="H94">
        <v>18</v>
      </c>
      <c r="I94" t="s">
        <v>3</v>
      </c>
      <c r="J94" t="s">
        <v>422</v>
      </c>
      <c r="K94" t="s">
        <v>3</v>
      </c>
    </row>
    <row r="95" spans="1:12" x14ac:dyDescent="0.15">
      <c r="A95" t="str">
        <f t="shared" si="12"/>
        <v>|Lv60|Lv4|18|このターン、あなたのドラゴンが攻撃したとき、そのパワーの4倍に等しいダメージを対戦相手に与える。|</v>
      </c>
      <c r="B95" t="s">
        <v>3</v>
      </c>
      <c r="C95" t="s">
        <v>8</v>
      </c>
      <c r="D95">
        <v>60</v>
      </c>
      <c r="E95" t="s">
        <v>3</v>
      </c>
      <c r="F95" t="s">
        <v>33</v>
      </c>
      <c r="G95" t="s">
        <v>3</v>
      </c>
      <c r="H95">
        <v>18</v>
      </c>
      <c r="I95" t="s">
        <v>3</v>
      </c>
      <c r="J95" t="s">
        <v>423</v>
      </c>
      <c r="K95" t="s">
        <v>3</v>
      </c>
    </row>
    <row r="96" spans="1:12" x14ac:dyDescent="0.15">
      <c r="A96" t="str">
        <f t="shared" si="12"/>
        <v>&amp;br;</v>
      </c>
      <c r="B96" t="s">
        <v>0</v>
      </c>
    </row>
    <row r="97" spans="1:17" x14ac:dyDescent="0.15">
      <c r="A97" t="str">
        <f t="shared" si="12"/>
        <v>&amp;br;</v>
      </c>
      <c r="B97" t="s">
        <v>0</v>
      </c>
    </row>
    <row r="98" spans="1:17" x14ac:dyDescent="0.15">
      <c r="A98" t="str">
        <f t="shared" si="12"/>
        <v>*レベルアップ報酬一覧 [#k0cef29c]</v>
      </c>
      <c r="B98" t="s">
        <v>36</v>
      </c>
    </row>
    <row r="99" spans="1:17" x14ac:dyDescent="0.15">
      <c r="A99" t="str">
        <f t="shared" si="12"/>
        <v>|LEFT:50|LEFT:100|c</v>
      </c>
      <c r="B99" t="s">
        <v>3</v>
      </c>
      <c r="C99" t="s">
        <v>4</v>
      </c>
      <c r="E99" t="s">
        <v>3</v>
      </c>
      <c r="F99" t="s">
        <v>37</v>
      </c>
      <c r="I99" t="s">
        <v>3</v>
      </c>
      <c r="J99" t="s">
        <v>5</v>
      </c>
    </row>
    <row r="100" spans="1:17" x14ac:dyDescent="0.15">
      <c r="A100" t="str">
        <f t="shared" si="12"/>
        <v>|レベル|報酬|</v>
      </c>
      <c r="B100" t="s">
        <v>3</v>
      </c>
      <c r="C100" t="s">
        <v>6</v>
      </c>
      <c r="E100" t="s">
        <v>3</v>
      </c>
      <c r="F100" t="s">
        <v>38</v>
      </c>
      <c r="I100" t="s">
        <v>3</v>
      </c>
      <c r="Q100" t="s">
        <v>7</v>
      </c>
    </row>
    <row r="101" spans="1:17" x14ac:dyDescent="0.15">
      <c r="A101" t="str">
        <f t="shared" si="12"/>
        <v>|Lｖ2|サポート+2|</v>
      </c>
      <c r="B101" t="s">
        <v>3</v>
      </c>
      <c r="C101" t="s">
        <v>39</v>
      </c>
      <c r="D101">
        <v>2</v>
      </c>
      <c r="E101" t="s">
        <v>3</v>
      </c>
      <c r="F101" t="s">
        <v>22</v>
      </c>
      <c r="G101" t="str">
        <f>IF(OR(F101=$Q$109,F101=$Q$110,F101=$Q$111,F101=$Q$112,ISBLANK(F101)),"","+")</f>
        <v>+</v>
      </c>
      <c r="H101">
        <v>2</v>
      </c>
      <c r="I101" t="s">
        <v>3</v>
      </c>
      <c r="Q101" t="s">
        <v>20</v>
      </c>
    </row>
    <row r="102" spans="1:17" x14ac:dyDescent="0.15">
      <c r="A102" t="str">
        <f t="shared" si="12"/>
        <v>|Lｖ3|HP+3|</v>
      </c>
      <c r="B102" t="s">
        <v>3</v>
      </c>
      <c r="C102" t="s">
        <v>39</v>
      </c>
      <c r="D102">
        <v>3</v>
      </c>
      <c r="E102" t="s">
        <v>3</v>
      </c>
      <c r="F102" t="s">
        <v>7</v>
      </c>
      <c r="G102" t="str">
        <f t="shared" ref="G102:G158" si="13">IF(OR(F102=$Q$109,F102=$Q$110,F102=$Q$111,F102=$Q$112,ISBLANK(F102)),"","+")</f>
        <v>+</v>
      </c>
      <c r="H102">
        <v>3</v>
      </c>
      <c r="I102" t="s">
        <v>3</v>
      </c>
      <c r="Q102" t="s">
        <v>21</v>
      </c>
    </row>
    <row r="103" spans="1:17" x14ac:dyDescent="0.15">
      <c r="A103" t="str">
        <f t="shared" si="12"/>
        <v>|Lｖ4|黒+1|</v>
      </c>
      <c r="B103" t="s">
        <v>3</v>
      </c>
      <c r="C103" t="s">
        <v>39</v>
      </c>
      <c r="D103">
        <v>4</v>
      </c>
      <c r="E103" t="s">
        <v>3</v>
      </c>
      <c r="F103" t="s">
        <v>13</v>
      </c>
      <c r="G103" t="str">
        <f t="shared" si="13"/>
        <v>+</v>
      </c>
      <c r="H103">
        <v>1</v>
      </c>
      <c r="I103" t="s">
        <v>3</v>
      </c>
      <c r="Q103" t="s">
        <v>22</v>
      </c>
    </row>
    <row r="104" spans="1:17" x14ac:dyDescent="0.15">
      <c r="A104" t="str">
        <f t="shared" si="12"/>
        <v>|Lｖ5|HP+3|</v>
      </c>
      <c r="B104" t="s">
        <v>3</v>
      </c>
      <c r="C104" t="s">
        <v>39</v>
      </c>
      <c r="D104">
        <v>5</v>
      </c>
      <c r="E104" t="s">
        <v>3</v>
      </c>
      <c r="F104" t="s">
        <v>7</v>
      </c>
      <c r="G104" t="str">
        <f t="shared" si="13"/>
        <v>+</v>
      </c>
      <c r="H104">
        <v>3</v>
      </c>
      <c r="I104" t="s">
        <v>3</v>
      </c>
      <c r="Q104" t="s">
        <v>11</v>
      </c>
    </row>
    <row r="105" spans="1:17" x14ac:dyDescent="0.15">
      <c r="A105" t="str">
        <f t="shared" si="12"/>
        <v>|Lｖ6|第1能力Lv1|</v>
      </c>
      <c r="B105" t="s">
        <v>3</v>
      </c>
      <c r="C105" t="s">
        <v>39</v>
      </c>
      <c r="D105">
        <v>6</v>
      </c>
      <c r="E105" t="s">
        <v>3</v>
      </c>
      <c r="F105" t="s">
        <v>40</v>
      </c>
      <c r="G105" t="str">
        <f t="shared" si="13"/>
        <v/>
      </c>
      <c r="H105">
        <v>1</v>
      </c>
      <c r="I105" t="s">
        <v>3</v>
      </c>
      <c r="Q105" t="s">
        <v>12</v>
      </c>
    </row>
    <row r="106" spans="1:17" x14ac:dyDescent="0.15">
      <c r="A106" t="str">
        <f t="shared" si="12"/>
        <v>|Lｖ7|HP+3|</v>
      </c>
      <c r="B106" t="s">
        <v>3</v>
      </c>
      <c r="C106" t="s">
        <v>39</v>
      </c>
      <c r="D106">
        <v>7</v>
      </c>
      <c r="E106" t="s">
        <v>3</v>
      </c>
      <c r="F106" t="s">
        <v>7</v>
      </c>
      <c r="G106" t="str">
        <f t="shared" si="13"/>
        <v>+</v>
      </c>
      <c r="H106">
        <v>3</v>
      </c>
      <c r="I106" t="s">
        <v>3</v>
      </c>
      <c r="Q106" t="s">
        <v>13</v>
      </c>
    </row>
    <row r="107" spans="1:17" x14ac:dyDescent="0.15">
      <c r="A107" t="str">
        <f t="shared" si="12"/>
        <v>|Lｖ8|呪文+2|</v>
      </c>
      <c r="B107" t="s">
        <v>3</v>
      </c>
      <c r="C107" t="s">
        <v>39</v>
      </c>
      <c r="D107">
        <v>8</v>
      </c>
      <c r="E107" t="s">
        <v>3</v>
      </c>
      <c r="F107" t="s">
        <v>21</v>
      </c>
      <c r="G107" t="str">
        <f t="shared" si="13"/>
        <v>+</v>
      </c>
      <c r="H107">
        <v>2</v>
      </c>
      <c r="I107" t="s">
        <v>3</v>
      </c>
      <c r="Q107" t="s">
        <v>14</v>
      </c>
    </row>
    <row r="108" spans="1:17" x14ac:dyDescent="0.15">
      <c r="A108" t="str">
        <f t="shared" si="12"/>
        <v>|Lｖ9|HP+3|</v>
      </c>
      <c r="B108" t="s">
        <v>3</v>
      </c>
      <c r="C108" t="s">
        <v>39</v>
      </c>
      <c r="D108">
        <v>9</v>
      </c>
      <c r="E108" t="s">
        <v>3</v>
      </c>
      <c r="F108" t="s">
        <v>7</v>
      </c>
      <c r="G108" t="str">
        <f t="shared" si="13"/>
        <v>+</v>
      </c>
      <c r="H108">
        <v>3</v>
      </c>
      <c r="I108" t="s">
        <v>3</v>
      </c>
      <c r="Q108" t="s">
        <v>15</v>
      </c>
    </row>
    <row r="109" spans="1:17" x14ac:dyDescent="0.15">
      <c r="A109" t="str">
        <f t="shared" si="12"/>
        <v>|Lｖ10|赤+1|</v>
      </c>
      <c r="B109" t="s">
        <v>3</v>
      </c>
      <c r="C109" t="s">
        <v>39</v>
      </c>
      <c r="D109">
        <v>10</v>
      </c>
      <c r="E109" t="s">
        <v>3</v>
      </c>
      <c r="F109" t="s">
        <v>14</v>
      </c>
      <c r="G109" t="str">
        <f t="shared" si="13"/>
        <v>+</v>
      </c>
      <c r="H109">
        <v>1</v>
      </c>
      <c r="I109" t="s">
        <v>3</v>
      </c>
      <c r="Q109" t="s">
        <v>40</v>
      </c>
    </row>
    <row r="110" spans="1:17" x14ac:dyDescent="0.15">
      <c r="A110" t="str">
        <f t="shared" si="12"/>
        <v>|Lｖ11|HP+3|</v>
      </c>
      <c r="B110" t="s">
        <v>3</v>
      </c>
      <c r="C110" t="s">
        <v>39</v>
      </c>
      <c r="D110">
        <v>11</v>
      </c>
      <c r="E110" t="s">
        <v>3</v>
      </c>
      <c r="F110" t="s">
        <v>7</v>
      </c>
      <c r="G110" t="str">
        <f t="shared" si="13"/>
        <v>+</v>
      </c>
      <c r="H110">
        <v>3</v>
      </c>
      <c r="I110" t="s">
        <v>3</v>
      </c>
      <c r="Q110" t="s">
        <v>41</v>
      </c>
    </row>
    <row r="111" spans="1:17" x14ac:dyDescent="0.15">
      <c r="A111" t="str">
        <f t="shared" si="12"/>
        <v>|Lｖ12|第2能力Lv1|</v>
      </c>
      <c r="B111" t="s">
        <v>3</v>
      </c>
      <c r="C111" t="s">
        <v>39</v>
      </c>
      <c r="D111">
        <v>12</v>
      </c>
      <c r="E111" t="s">
        <v>3</v>
      </c>
      <c r="F111" t="s">
        <v>41</v>
      </c>
      <c r="G111" t="str">
        <f t="shared" si="13"/>
        <v/>
      </c>
      <c r="H111">
        <v>1</v>
      </c>
      <c r="I111" t="s">
        <v>3</v>
      </c>
      <c r="Q111" t="s">
        <v>42</v>
      </c>
    </row>
    <row r="112" spans="1:17" x14ac:dyDescent="0.15">
      <c r="A112" t="str">
        <f t="shared" si="12"/>
        <v>|Lｖ13|HP+3|</v>
      </c>
      <c r="B112" t="s">
        <v>3</v>
      </c>
      <c r="C112" t="s">
        <v>39</v>
      </c>
      <c r="D112">
        <v>13</v>
      </c>
      <c r="E112" t="s">
        <v>3</v>
      </c>
      <c r="F112" t="s">
        <v>7</v>
      </c>
      <c r="G112" t="str">
        <f t="shared" si="13"/>
        <v>+</v>
      </c>
      <c r="H112">
        <v>3</v>
      </c>
      <c r="I112" t="s">
        <v>3</v>
      </c>
      <c r="Q112" t="s">
        <v>43</v>
      </c>
    </row>
    <row r="113" spans="1:9" x14ac:dyDescent="0.15">
      <c r="A113" t="str">
        <f t="shared" si="12"/>
        <v>|Lｖ14|クリーチャー+1|</v>
      </c>
      <c r="B113" t="s">
        <v>3</v>
      </c>
      <c r="C113" t="s">
        <v>39</v>
      </c>
      <c r="D113">
        <v>14</v>
      </c>
      <c r="E113" t="s">
        <v>3</v>
      </c>
      <c r="F113" t="s">
        <v>20</v>
      </c>
      <c r="G113" t="str">
        <f t="shared" si="13"/>
        <v>+</v>
      </c>
      <c r="H113">
        <v>1</v>
      </c>
      <c r="I113" t="s">
        <v>3</v>
      </c>
    </row>
    <row r="114" spans="1:9" x14ac:dyDescent="0.15">
      <c r="A114" t="str">
        <f t="shared" si="12"/>
        <v>|Lｖ15|HP+3|</v>
      </c>
      <c r="B114" t="s">
        <v>3</v>
      </c>
      <c r="C114" t="s">
        <v>39</v>
      </c>
      <c r="D114">
        <v>15</v>
      </c>
      <c r="E114" t="s">
        <v>3</v>
      </c>
      <c r="F114" t="s">
        <v>7</v>
      </c>
      <c r="G114" t="str">
        <f t="shared" si="13"/>
        <v>+</v>
      </c>
      <c r="H114">
        <v>3</v>
      </c>
      <c r="I114" t="s">
        <v>3</v>
      </c>
    </row>
    <row r="115" spans="1:9" x14ac:dyDescent="0.15">
      <c r="A115" t="str">
        <f t="shared" si="12"/>
        <v>|Lｖ16|青+1|</v>
      </c>
      <c r="B115" t="s">
        <v>3</v>
      </c>
      <c r="C115" t="s">
        <v>39</v>
      </c>
      <c r="D115">
        <v>16</v>
      </c>
      <c r="E115" t="s">
        <v>3</v>
      </c>
      <c r="F115" t="s">
        <v>12</v>
      </c>
      <c r="G115" t="str">
        <f t="shared" si="13"/>
        <v>+</v>
      </c>
      <c r="H115">
        <v>1</v>
      </c>
      <c r="I115" t="s">
        <v>3</v>
      </c>
    </row>
    <row r="116" spans="1:9" x14ac:dyDescent="0.15">
      <c r="A116" t="str">
        <f t="shared" si="12"/>
        <v>|Lｖ17|HP+3|</v>
      </c>
      <c r="B116" t="s">
        <v>3</v>
      </c>
      <c r="C116" t="s">
        <v>39</v>
      </c>
      <c r="D116">
        <v>17</v>
      </c>
      <c r="E116" t="s">
        <v>3</v>
      </c>
      <c r="F116" t="s">
        <v>7</v>
      </c>
      <c r="G116" t="str">
        <f t="shared" si="13"/>
        <v>+</v>
      </c>
      <c r="H116">
        <v>3</v>
      </c>
      <c r="I116" t="s">
        <v>3</v>
      </c>
    </row>
    <row r="117" spans="1:9" x14ac:dyDescent="0.15">
      <c r="A117" t="str">
        <f t="shared" si="12"/>
        <v>|Lｖ18|第3能力Lv1|</v>
      </c>
      <c r="B117" t="s">
        <v>3</v>
      </c>
      <c r="C117" t="s">
        <v>39</v>
      </c>
      <c r="D117">
        <v>18</v>
      </c>
      <c r="E117" t="s">
        <v>3</v>
      </c>
      <c r="F117" t="s">
        <v>42</v>
      </c>
      <c r="G117" t="str">
        <f t="shared" si="13"/>
        <v/>
      </c>
      <c r="H117">
        <v>1</v>
      </c>
      <c r="I117" t="s">
        <v>3</v>
      </c>
    </row>
    <row r="118" spans="1:9" x14ac:dyDescent="0.15">
      <c r="A118" t="str">
        <f t="shared" si="12"/>
        <v>|Lｖ19|HP+3|</v>
      </c>
      <c r="B118" t="s">
        <v>3</v>
      </c>
      <c r="C118" t="s">
        <v>39</v>
      </c>
      <c r="D118">
        <v>19</v>
      </c>
      <c r="E118" t="s">
        <v>3</v>
      </c>
      <c r="F118" t="s">
        <v>7</v>
      </c>
      <c r="G118" t="str">
        <f t="shared" si="13"/>
        <v>+</v>
      </c>
      <c r="H118">
        <v>3</v>
      </c>
      <c r="I118" t="s">
        <v>3</v>
      </c>
    </row>
    <row r="119" spans="1:9" x14ac:dyDescent="0.15">
      <c r="A119" t="str">
        <f t="shared" si="12"/>
        <v>|Lｖ20|サポート+1|</v>
      </c>
      <c r="B119" t="s">
        <v>3</v>
      </c>
      <c r="C119" t="s">
        <v>39</v>
      </c>
      <c r="D119">
        <v>20</v>
      </c>
      <c r="E119" t="s">
        <v>3</v>
      </c>
      <c r="F119" t="s">
        <v>22</v>
      </c>
      <c r="G119" t="str">
        <f t="shared" si="13"/>
        <v>+</v>
      </c>
      <c r="H119">
        <v>1</v>
      </c>
      <c r="I119" t="s">
        <v>3</v>
      </c>
    </row>
    <row r="120" spans="1:9" x14ac:dyDescent="0.15">
      <c r="A120" t="str">
        <f t="shared" si="12"/>
        <v>|Lｖ21|HP+3|</v>
      </c>
      <c r="B120" t="s">
        <v>3</v>
      </c>
      <c r="C120" t="s">
        <v>39</v>
      </c>
      <c r="D120">
        <v>21</v>
      </c>
      <c r="E120" t="s">
        <v>3</v>
      </c>
      <c r="F120" t="s">
        <v>7</v>
      </c>
      <c r="G120" t="str">
        <f t="shared" si="13"/>
        <v>+</v>
      </c>
      <c r="H120">
        <v>3</v>
      </c>
      <c r="I120" t="s">
        <v>3</v>
      </c>
    </row>
    <row r="121" spans="1:9" x14ac:dyDescent="0.15">
      <c r="A121" t="str">
        <f t="shared" si="12"/>
        <v>|Lｖ22|白+1|</v>
      </c>
      <c r="B121" t="s">
        <v>3</v>
      </c>
      <c r="C121" t="s">
        <v>39</v>
      </c>
      <c r="D121">
        <v>22</v>
      </c>
      <c r="E121" t="s">
        <v>3</v>
      </c>
      <c r="F121" t="s">
        <v>11</v>
      </c>
      <c r="G121" t="str">
        <f t="shared" si="13"/>
        <v>+</v>
      </c>
      <c r="H121">
        <v>1</v>
      </c>
      <c r="I121" t="s">
        <v>3</v>
      </c>
    </row>
    <row r="122" spans="1:9" x14ac:dyDescent="0.15">
      <c r="A122" t="str">
        <f t="shared" si="12"/>
        <v>|Lｖ23|HP+3|</v>
      </c>
      <c r="B122" t="s">
        <v>3</v>
      </c>
      <c r="C122" t="s">
        <v>39</v>
      </c>
      <c r="D122">
        <v>23</v>
      </c>
      <c r="E122" t="s">
        <v>3</v>
      </c>
      <c r="F122" t="s">
        <v>7</v>
      </c>
      <c r="G122" t="str">
        <f t="shared" si="13"/>
        <v>+</v>
      </c>
      <c r="H122">
        <v>3</v>
      </c>
      <c r="I122" t="s">
        <v>3</v>
      </c>
    </row>
    <row r="123" spans="1:9" x14ac:dyDescent="0.15">
      <c r="A123" t="str">
        <f t="shared" si="12"/>
        <v>|Lｖ24|第1能力Lv2|</v>
      </c>
      <c r="B123" t="s">
        <v>3</v>
      </c>
      <c r="C123" t="s">
        <v>39</v>
      </c>
      <c r="D123">
        <v>24</v>
      </c>
      <c r="E123" t="s">
        <v>3</v>
      </c>
      <c r="F123" t="s">
        <v>40</v>
      </c>
      <c r="G123" t="str">
        <f t="shared" si="13"/>
        <v/>
      </c>
      <c r="H123">
        <v>2</v>
      </c>
      <c r="I123" t="s">
        <v>3</v>
      </c>
    </row>
    <row r="124" spans="1:9" x14ac:dyDescent="0.15">
      <c r="A124" t="str">
        <f t="shared" si="12"/>
        <v>|Lｖ25|HP+3|</v>
      </c>
      <c r="B124" t="s">
        <v>3</v>
      </c>
      <c r="C124" t="s">
        <v>39</v>
      </c>
      <c r="D124">
        <v>25</v>
      </c>
      <c r="E124" t="s">
        <v>3</v>
      </c>
      <c r="F124" t="s">
        <v>7</v>
      </c>
      <c r="G124" t="str">
        <f t="shared" si="13"/>
        <v>+</v>
      </c>
      <c r="H124">
        <v>3</v>
      </c>
      <c r="I124" t="s">
        <v>3</v>
      </c>
    </row>
    <row r="125" spans="1:9" x14ac:dyDescent="0.15">
      <c r="A125" t="str">
        <f t="shared" si="12"/>
        <v>|Lｖ26|呪文+1|</v>
      </c>
      <c r="B125" t="s">
        <v>3</v>
      </c>
      <c r="C125" t="s">
        <v>39</v>
      </c>
      <c r="D125">
        <v>26</v>
      </c>
      <c r="E125" t="s">
        <v>3</v>
      </c>
      <c r="F125" t="s">
        <v>21</v>
      </c>
      <c r="G125" t="str">
        <f t="shared" si="13"/>
        <v>+</v>
      </c>
      <c r="H125">
        <v>1</v>
      </c>
      <c r="I125" t="s">
        <v>3</v>
      </c>
    </row>
    <row r="126" spans="1:9" x14ac:dyDescent="0.15">
      <c r="A126" t="str">
        <f t="shared" si="12"/>
        <v>|Lｖ27|HP+3|</v>
      </c>
      <c r="B126" t="s">
        <v>3</v>
      </c>
      <c r="C126" t="s">
        <v>39</v>
      </c>
      <c r="D126">
        <v>27</v>
      </c>
      <c r="E126" t="s">
        <v>3</v>
      </c>
      <c r="F126" t="s">
        <v>7</v>
      </c>
      <c r="G126" t="str">
        <f t="shared" si="13"/>
        <v>+</v>
      </c>
      <c r="H126">
        <v>3</v>
      </c>
      <c r="I126" t="s">
        <v>3</v>
      </c>
    </row>
    <row r="127" spans="1:9" x14ac:dyDescent="0.15">
      <c r="A127" t="str">
        <f t="shared" si="12"/>
        <v>|Lｖ28|緑+1|</v>
      </c>
      <c r="B127" t="s">
        <v>3</v>
      </c>
      <c r="C127" t="s">
        <v>39</v>
      </c>
      <c r="D127">
        <v>28</v>
      </c>
      <c r="E127" t="s">
        <v>3</v>
      </c>
      <c r="F127" t="s">
        <v>15</v>
      </c>
      <c r="G127" t="str">
        <f t="shared" si="13"/>
        <v>+</v>
      </c>
      <c r="H127">
        <v>1</v>
      </c>
      <c r="I127" t="s">
        <v>3</v>
      </c>
    </row>
    <row r="128" spans="1:9" x14ac:dyDescent="0.15">
      <c r="A128" t="str">
        <f t="shared" si="12"/>
        <v>|Lｖ29|HP+3|</v>
      </c>
      <c r="B128" t="s">
        <v>3</v>
      </c>
      <c r="C128" t="s">
        <v>39</v>
      </c>
      <c r="D128">
        <v>29</v>
      </c>
      <c r="E128" t="s">
        <v>3</v>
      </c>
      <c r="F128" t="s">
        <v>7</v>
      </c>
      <c r="G128" t="str">
        <f t="shared" si="13"/>
        <v>+</v>
      </c>
      <c r="H128">
        <v>3</v>
      </c>
      <c r="I128" t="s">
        <v>3</v>
      </c>
    </row>
    <row r="129" spans="1:9" x14ac:dyDescent="0.15">
      <c r="A129" t="str">
        <f t="shared" si="12"/>
        <v>|Lｖ30|第2能力Lv2|</v>
      </c>
      <c r="B129" t="s">
        <v>3</v>
      </c>
      <c r="C129" t="s">
        <v>39</v>
      </c>
      <c r="D129">
        <v>30</v>
      </c>
      <c r="E129" t="s">
        <v>3</v>
      </c>
      <c r="F129" t="s">
        <v>41</v>
      </c>
      <c r="G129" t="str">
        <f t="shared" si="13"/>
        <v/>
      </c>
      <c r="H129">
        <v>2</v>
      </c>
      <c r="I129" t="s">
        <v>3</v>
      </c>
    </row>
    <row r="130" spans="1:9" x14ac:dyDescent="0.15">
      <c r="A130" t="str">
        <f t="shared" si="12"/>
        <v>|Lｖ31|HP+3|</v>
      </c>
      <c r="B130" t="s">
        <v>3</v>
      </c>
      <c r="C130" t="s">
        <v>39</v>
      </c>
      <c r="D130">
        <v>31</v>
      </c>
      <c r="E130" t="s">
        <v>3</v>
      </c>
      <c r="F130" t="s">
        <v>7</v>
      </c>
      <c r="G130" t="str">
        <f t="shared" si="13"/>
        <v>+</v>
      </c>
      <c r="H130">
        <v>3</v>
      </c>
      <c r="I130" t="s">
        <v>3</v>
      </c>
    </row>
    <row r="131" spans="1:9" x14ac:dyDescent="0.15">
      <c r="A131" t="str">
        <f t="shared" si="12"/>
        <v>|Lｖ32|クリーチャー+1|</v>
      </c>
      <c r="B131" t="s">
        <v>3</v>
      </c>
      <c r="C131" t="s">
        <v>39</v>
      </c>
      <c r="D131">
        <v>32</v>
      </c>
      <c r="E131" t="s">
        <v>3</v>
      </c>
      <c r="F131" t="s">
        <v>20</v>
      </c>
      <c r="G131" t="str">
        <f t="shared" si="13"/>
        <v>+</v>
      </c>
      <c r="H131">
        <v>1</v>
      </c>
      <c r="I131" t="s">
        <v>3</v>
      </c>
    </row>
    <row r="132" spans="1:9" x14ac:dyDescent="0.15">
      <c r="A132" t="str">
        <f t="shared" si="12"/>
        <v>|Lｖ33|HP+3|</v>
      </c>
      <c r="B132" t="s">
        <v>3</v>
      </c>
      <c r="C132" t="s">
        <v>39</v>
      </c>
      <c r="D132">
        <v>33</v>
      </c>
      <c r="E132" t="s">
        <v>3</v>
      </c>
      <c r="F132" t="s">
        <v>7</v>
      </c>
      <c r="G132" t="str">
        <f t="shared" si="13"/>
        <v>+</v>
      </c>
      <c r="H132">
        <v>3</v>
      </c>
      <c r="I132" t="s">
        <v>3</v>
      </c>
    </row>
    <row r="133" spans="1:9" x14ac:dyDescent="0.15">
      <c r="A133" t="str">
        <f t="shared" si="12"/>
        <v>|Lｖ34|青+1|</v>
      </c>
      <c r="B133" t="s">
        <v>3</v>
      </c>
      <c r="C133" t="s">
        <v>39</v>
      </c>
      <c r="D133">
        <v>34</v>
      </c>
      <c r="E133" t="s">
        <v>3</v>
      </c>
      <c r="F133" t="s">
        <v>12</v>
      </c>
      <c r="G133" t="str">
        <f t="shared" si="13"/>
        <v>+</v>
      </c>
      <c r="H133">
        <v>1</v>
      </c>
      <c r="I133" t="s">
        <v>3</v>
      </c>
    </row>
    <row r="134" spans="1:9" x14ac:dyDescent="0.15">
      <c r="A134" t="str">
        <f t="shared" si="12"/>
        <v>|Lｖ35|HP+3|</v>
      </c>
      <c r="B134" t="s">
        <v>3</v>
      </c>
      <c r="C134" t="s">
        <v>39</v>
      </c>
      <c r="D134">
        <v>35</v>
      </c>
      <c r="E134" t="s">
        <v>3</v>
      </c>
      <c r="F134" t="s">
        <v>7</v>
      </c>
      <c r="G134" t="str">
        <f t="shared" si="13"/>
        <v>+</v>
      </c>
      <c r="H134">
        <v>3</v>
      </c>
      <c r="I134" t="s">
        <v>3</v>
      </c>
    </row>
    <row r="135" spans="1:9" x14ac:dyDescent="0.15">
      <c r="A135" t="str">
        <f t="shared" si="12"/>
        <v>|Lｖ36|第3能力Lv2|</v>
      </c>
      <c r="B135" t="s">
        <v>3</v>
      </c>
      <c r="C135" t="s">
        <v>39</v>
      </c>
      <c r="D135">
        <v>36</v>
      </c>
      <c r="E135" t="s">
        <v>3</v>
      </c>
      <c r="F135" t="s">
        <v>42</v>
      </c>
      <c r="G135" t="str">
        <f t="shared" si="13"/>
        <v/>
      </c>
      <c r="H135">
        <v>2</v>
      </c>
      <c r="I135" t="s">
        <v>3</v>
      </c>
    </row>
    <row r="136" spans="1:9" x14ac:dyDescent="0.15">
      <c r="A136" t="str">
        <f t="shared" si="12"/>
        <v>|Lｖ37|HP+3|</v>
      </c>
      <c r="B136" t="s">
        <v>3</v>
      </c>
      <c r="C136" t="s">
        <v>39</v>
      </c>
      <c r="D136">
        <v>37</v>
      </c>
      <c r="E136" t="s">
        <v>3</v>
      </c>
      <c r="F136" t="s">
        <v>7</v>
      </c>
      <c r="G136" t="str">
        <f t="shared" si="13"/>
        <v>+</v>
      </c>
      <c r="H136">
        <v>3</v>
      </c>
      <c r="I136" t="s">
        <v>3</v>
      </c>
    </row>
    <row r="137" spans="1:9" x14ac:dyDescent="0.15">
      <c r="A137" t="str">
        <f t="shared" si="12"/>
        <v>|Lｖ38|サポート+1|</v>
      </c>
      <c r="B137" t="s">
        <v>3</v>
      </c>
      <c r="C137" t="s">
        <v>39</v>
      </c>
      <c r="D137">
        <v>38</v>
      </c>
      <c r="E137" t="s">
        <v>3</v>
      </c>
      <c r="F137" t="s">
        <v>22</v>
      </c>
      <c r="G137" t="str">
        <f t="shared" si="13"/>
        <v>+</v>
      </c>
      <c r="H137">
        <v>1</v>
      </c>
      <c r="I137" t="s">
        <v>3</v>
      </c>
    </row>
    <row r="138" spans="1:9" x14ac:dyDescent="0.15">
      <c r="A138" t="str">
        <f t="shared" si="12"/>
        <v>|Lｖ39|HP+3|</v>
      </c>
      <c r="B138" t="s">
        <v>3</v>
      </c>
      <c r="C138" t="s">
        <v>39</v>
      </c>
      <c r="D138">
        <v>39</v>
      </c>
      <c r="E138" t="s">
        <v>3</v>
      </c>
      <c r="F138" t="s">
        <v>7</v>
      </c>
      <c r="G138" t="str">
        <f t="shared" si="13"/>
        <v>+</v>
      </c>
      <c r="H138">
        <v>3</v>
      </c>
      <c r="I138" t="s">
        <v>3</v>
      </c>
    </row>
    <row r="139" spans="1:9" x14ac:dyDescent="0.15">
      <c r="A139" t="str">
        <f t="shared" si="12"/>
        <v>|Lｖ40|第1能力Lv3|</v>
      </c>
      <c r="B139" t="s">
        <v>3</v>
      </c>
      <c r="C139" t="s">
        <v>39</v>
      </c>
      <c r="D139">
        <v>40</v>
      </c>
      <c r="E139" t="s">
        <v>3</v>
      </c>
      <c r="F139" t="s">
        <v>40</v>
      </c>
      <c r="G139" t="str">
        <f t="shared" si="13"/>
        <v/>
      </c>
      <c r="H139">
        <v>3</v>
      </c>
      <c r="I139" t="s">
        <v>3</v>
      </c>
    </row>
    <row r="140" spans="1:9" x14ac:dyDescent="0.15">
      <c r="A140" t="str">
        <f t="shared" si="12"/>
        <v>|Lｖ41|HP+3|</v>
      </c>
      <c r="B140" t="s">
        <v>3</v>
      </c>
      <c r="C140" t="s">
        <v>39</v>
      </c>
      <c r="D140">
        <v>41</v>
      </c>
      <c r="E140" t="s">
        <v>3</v>
      </c>
      <c r="F140" t="s">
        <v>7</v>
      </c>
      <c r="G140" t="str">
        <f t="shared" si="13"/>
        <v>+</v>
      </c>
      <c r="H140">
        <v>3</v>
      </c>
      <c r="I140" t="s">
        <v>3</v>
      </c>
    </row>
    <row r="141" spans="1:9" x14ac:dyDescent="0.15">
      <c r="A141" t="str">
        <f t="shared" si="12"/>
        <v>|Lｖ42|白+1|</v>
      </c>
      <c r="B141" t="s">
        <v>3</v>
      </c>
      <c r="C141" t="s">
        <v>39</v>
      </c>
      <c r="D141">
        <v>42</v>
      </c>
      <c r="E141" t="s">
        <v>3</v>
      </c>
      <c r="F141" t="s">
        <v>11</v>
      </c>
      <c r="G141" t="str">
        <f t="shared" si="13"/>
        <v>+</v>
      </c>
      <c r="H141">
        <v>1</v>
      </c>
      <c r="I141" t="s">
        <v>3</v>
      </c>
    </row>
    <row r="142" spans="1:9" x14ac:dyDescent="0.15">
      <c r="A142" t="str">
        <f t="shared" si="12"/>
        <v>|Lｖ43|HP+3|</v>
      </c>
      <c r="B142" t="s">
        <v>3</v>
      </c>
      <c r="C142" t="s">
        <v>39</v>
      </c>
      <c r="D142">
        <v>43</v>
      </c>
      <c r="E142" t="s">
        <v>3</v>
      </c>
      <c r="F142" t="s">
        <v>7</v>
      </c>
      <c r="G142" t="str">
        <f t="shared" si="13"/>
        <v>+</v>
      </c>
      <c r="H142">
        <v>3</v>
      </c>
      <c r="I142" t="s">
        <v>3</v>
      </c>
    </row>
    <row r="143" spans="1:9" x14ac:dyDescent="0.15">
      <c r="A143" t="str">
        <f t="shared" si="12"/>
        <v>|Lｖ44|呪文+1|</v>
      </c>
      <c r="B143" t="s">
        <v>3</v>
      </c>
      <c r="C143" t="s">
        <v>39</v>
      </c>
      <c r="D143">
        <v>44</v>
      </c>
      <c r="E143" t="s">
        <v>3</v>
      </c>
      <c r="F143" t="s">
        <v>21</v>
      </c>
      <c r="G143" t="str">
        <f t="shared" si="13"/>
        <v>+</v>
      </c>
      <c r="H143">
        <v>1</v>
      </c>
      <c r="I143" t="s">
        <v>3</v>
      </c>
    </row>
    <row r="144" spans="1:9" x14ac:dyDescent="0.15">
      <c r="A144" t="str">
        <f t="shared" si="12"/>
        <v>|Lｖ45|HP+3|</v>
      </c>
      <c r="B144" t="s">
        <v>3</v>
      </c>
      <c r="C144" t="s">
        <v>39</v>
      </c>
      <c r="D144">
        <v>45</v>
      </c>
      <c r="E144" t="s">
        <v>3</v>
      </c>
      <c r="F144" t="s">
        <v>7</v>
      </c>
      <c r="G144" t="str">
        <f t="shared" si="13"/>
        <v>+</v>
      </c>
      <c r="H144">
        <v>3</v>
      </c>
      <c r="I144" t="s">
        <v>3</v>
      </c>
    </row>
    <row r="145" spans="1:9" x14ac:dyDescent="0.15">
      <c r="A145" t="str">
        <f t="shared" si="12"/>
        <v>|Lｖ46|第2能力Lv3|</v>
      </c>
      <c r="B145" t="s">
        <v>3</v>
      </c>
      <c r="C145" t="s">
        <v>39</v>
      </c>
      <c r="D145">
        <v>46</v>
      </c>
      <c r="E145" t="s">
        <v>3</v>
      </c>
      <c r="F145" t="s">
        <v>41</v>
      </c>
      <c r="G145" t="str">
        <f t="shared" si="13"/>
        <v/>
      </c>
      <c r="H145">
        <v>3</v>
      </c>
      <c r="I145" t="s">
        <v>3</v>
      </c>
    </row>
    <row r="146" spans="1:9" x14ac:dyDescent="0.15">
      <c r="A146" t="str">
        <f t="shared" si="12"/>
        <v>|Lｖ47|HP+3|</v>
      </c>
      <c r="B146" t="s">
        <v>3</v>
      </c>
      <c r="C146" t="s">
        <v>39</v>
      </c>
      <c r="D146">
        <v>47</v>
      </c>
      <c r="E146" t="s">
        <v>3</v>
      </c>
      <c r="F146" t="s">
        <v>7</v>
      </c>
      <c r="G146" t="str">
        <f t="shared" si="13"/>
        <v>+</v>
      </c>
      <c r="H146">
        <v>3</v>
      </c>
      <c r="I146" t="s">
        <v>3</v>
      </c>
    </row>
    <row r="147" spans="1:9" x14ac:dyDescent="0.15">
      <c r="A147" t="str">
        <f t="shared" si="12"/>
        <v>|Lｖ48|緑+1|</v>
      </c>
      <c r="B147" t="s">
        <v>3</v>
      </c>
      <c r="C147" t="s">
        <v>39</v>
      </c>
      <c r="D147">
        <v>48</v>
      </c>
      <c r="E147" t="s">
        <v>3</v>
      </c>
      <c r="F147" t="s">
        <v>15</v>
      </c>
      <c r="G147" t="str">
        <f t="shared" si="13"/>
        <v>+</v>
      </c>
      <c r="H147">
        <v>1</v>
      </c>
      <c r="I147" t="s">
        <v>3</v>
      </c>
    </row>
    <row r="148" spans="1:9" x14ac:dyDescent="0.15">
      <c r="A148" t="str">
        <f t="shared" si="12"/>
        <v>|Lｖ49|HP+3|</v>
      </c>
      <c r="B148" t="s">
        <v>3</v>
      </c>
      <c r="C148" t="s">
        <v>39</v>
      </c>
      <c r="D148">
        <v>49</v>
      </c>
      <c r="E148" t="s">
        <v>3</v>
      </c>
      <c r="F148" t="s">
        <v>7</v>
      </c>
      <c r="G148" t="str">
        <f t="shared" si="13"/>
        <v>+</v>
      </c>
      <c r="H148">
        <v>3</v>
      </c>
      <c r="I148" t="s">
        <v>3</v>
      </c>
    </row>
    <row r="149" spans="1:9" x14ac:dyDescent="0.15">
      <c r="A149" t="str">
        <f t="shared" si="12"/>
        <v>|Lｖ50|クリーチャー+1|</v>
      </c>
      <c r="B149" t="s">
        <v>3</v>
      </c>
      <c r="C149" t="s">
        <v>39</v>
      </c>
      <c r="D149">
        <v>50</v>
      </c>
      <c r="E149" t="s">
        <v>3</v>
      </c>
      <c r="F149" t="s">
        <v>20</v>
      </c>
      <c r="G149" t="str">
        <f t="shared" si="13"/>
        <v>+</v>
      </c>
      <c r="H149">
        <v>1</v>
      </c>
      <c r="I149" t="s">
        <v>3</v>
      </c>
    </row>
    <row r="150" spans="1:9" x14ac:dyDescent="0.15">
      <c r="A150" t="str">
        <f t="shared" si="12"/>
        <v>|Lｖ51|HP+3|</v>
      </c>
      <c r="B150" t="s">
        <v>3</v>
      </c>
      <c r="C150" t="s">
        <v>39</v>
      </c>
      <c r="D150">
        <v>51</v>
      </c>
      <c r="E150" t="s">
        <v>3</v>
      </c>
      <c r="F150" t="s">
        <v>7</v>
      </c>
      <c r="G150" t="str">
        <f t="shared" si="13"/>
        <v>+</v>
      </c>
      <c r="H150">
        <v>3</v>
      </c>
      <c r="I150" t="s">
        <v>3</v>
      </c>
    </row>
    <row r="151" spans="1:9" x14ac:dyDescent="0.15">
      <c r="A151" t="str">
        <f t="shared" si="12"/>
        <v>|Lｖ52|第3能力Lv3|</v>
      </c>
      <c r="B151" t="s">
        <v>3</v>
      </c>
      <c r="C151" t="s">
        <v>39</v>
      </c>
      <c r="D151">
        <v>52</v>
      </c>
      <c r="E151" t="s">
        <v>3</v>
      </c>
      <c r="F151" t="s">
        <v>42</v>
      </c>
      <c r="G151" t="str">
        <f t="shared" si="13"/>
        <v/>
      </c>
      <c r="H151">
        <v>3</v>
      </c>
      <c r="I151" t="s">
        <v>3</v>
      </c>
    </row>
    <row r="152" spans="1:9" x14ac:dyDescent="0.15">
      <c r="A152" t="str">
        <f t="shared" si="12"/>
        <v>|Lｖ53|HP+3|</v>
      </c>
      <c r="B152" t="s">
        <v>3</v>
      </c>
      <c r="C152" t="s">
        <v>39</v>
      </c>
      <c r="D152">
        <v>53</v>
      </c>
      <c r="E152" t="s">
        <v>3</v>
      </c>
      <c r="F152" t="s">
        <v>7</v>
      </c>
      <c r="G152" t="str">
        <f t="shared" si="13"/>
        <v>+</v>
      </c>
      <c r="H152">
        <v>3</v>
      </c>
      <c r="I152" t="s">
        <v>3</v>
      </c>
    </row>
    <row r="153" spans="1:9" x14ac:dyDescent="0.15">
      <c r="A153" t="str">
        <f t="shared" si="12"/>
        <v>|Lｖ54|サポート+1|</v>
      </c>
      <c r="B153" t="s">
        <v>3</v>
      </c>
      <c r="C153" t="s">
        <v>39</v>
      </c>
      <c r="D153">
        <v>54</v>
      </c>
      <c r="E153" t="s">
        <v>3</v>
      </c>
      <c r="F153" t="s">
        <v>22</v>
      </c>
      <c r="G153" t="str">
        <f t="shared" si="13"/>
        <v>+</v>
      </c>
      <c r="H153">
        <v>1</v>
      </c>
      <c r="I153" t="s">
        <v>3</v>
      </c>
    </row>
    <row r="154" spans="1:9" x14ac:dyDescent="0.15">
      <c r="A154" t="str">
        <f t="shared" ref="A154:A165" si="14">B154&amp;C154&amp;D154&amp;E154&amp;F154&amp;G154&amp;H154&amp;I154&amp;J154&amp;K154&amp;L154&amp;M154&amp;N154&amp;O154&amp;P154</f>
        <v>|Lｖ55|HP+3|</v>
      </c>
      <c r="B154" t="s">
        <v>3</v>
      </c>
      <c r="C154" t="s">
        <v>39</v>
      </c>
      <c r="D154">
        <v>55</v>
      </c>
      <c r="E154" t="s">
        <v>3</v>
      </c>
      <c r="F154" t="s">
        <v>7</v>
      </c>
      <c r="G154" t="str">
        <f t="shared" si="13"/>
        <v>+</v>
      </c>
      <c r="H154">
        <v>3</v>
      </c>
      <c r="I154" t="s">
        <v>3</v>
      </c>
    </row>
    <row r="155" spans="1:9" x14ac:dyDescent="0.15">
      <c r="A155" t="str">
        <f t="shared" si="14"/>
        <v>|Lｖ56|第1能力Lv4|</v>
      </c>
      <c r="B155" t="s">
        <v>3</v>
      </c>
      <c r="C155" t="s">
        <v>39</v>
      </c>
      <c r="D155">
        <v>56</v>
      </c>
      <c r="E155" t="s">
        <v>3</v>
      </c>
      <c r="F155" t="s">
        <v>40</v>
      </c>
      <c r="G155" t="str">
        <f t="shared" si="13"/>
        <v/>
      </c>
      <c r="H155">
        <v>4</v>
      </c>
      <c r="I155" t="s">
        <v>3</v>
      </c>
    </row>
    <row r="156" spans="1:9" x14ac:dyDescent="0.15">
      <c r="A156" t="str">
        <f t="shared" si="14"/>
        <v>|Lｖ57|HP+3|</v>
      </c>
      <c r="B156" t="s">
        <v>3</v>
      </c>
      <c r="C156" t="s">
        <v>39</v>
      </c>
      <c r="D156">
        <v>57</v>
      </c>
      <c r="E156" t="s">
        <v>3</v>
      </c>
      <c r="F156" t="s">
        <v>7</v>
      </c>
      <c r="G156" t="str">
        <f t="shared" si="13"/>
        <v>+</v>
      </c>
      <c r="H156">
        <v>3</v>
      </c>
      <c r="I156" t="s">
        <v>3</v>
      </c>
    </row>
    <row r="157" spans="1:9" x14ac:dyDescent="0.15">
      <c r="A157" t="str">
        <f t="shared" si="14"/>
        <v>|Lｖ58|第2能力Lv4|</v>
      </c>
      <c r="B157" t="s">
        <v>3</v>
      </c>
      <c r="C157" t="s">
        <v>39</v>
      </c>
      <c r="D157">
        <v>58</v>
      </c>
      <c r="E157" t="s">
        <v>3</v>
      </c>
      <c r="F157" t="s">
        <v>41</v>
      </c>
      <c r="G157" t="str">
        <f t="shared" si="13"/>
        <v/>
      </c>
      <c r="H157">
        <v>4</v>
      </c>
      <c r="I157" t="s">
        <v>3</v>
      </c>
    </row>
    <row r="158" spans="1:9" x14ac:dyDescent="0.15">
      <c r="A158" t="str">
        <f t="shared" si="14"/>
        <v>|Lｖ59|HP+3|</v>
      </c>
      <c r="B158" t="s">
        <v>3</v>
      </c>
      <c r="C158" t="s">
        <v>39</v>
      </c>
      <c r="D158">
        <v>59</v>
      </c>
      <c r="E158" t="s">
        <v>3</v>
      </c>
      <c r="F158" t="s">
        <v>7</v>
      </c>
      <c r="G158" t="str">
        <f t="shared" si="13"/>
        <v>+</v>
      </c>
      <c r="H158">
        <v>3</v>
      </c>
      <c r="I158" t="s">
        <v>3</v>
      </c>
    </row>
    <row r="159" spans="1:9" x14ac:dyDescent="0.15">
      <c r="A159" t="str">
        <f t="shared" si="14"/>
        <v>|Lｖ60|第3能力Lv4|</v>
      </c>
      <c r="B159" t="s">
        <v>3</v>
      </c>
      <c r="C159" t="s">
        <v>39</v>
      </c>
      <c r="D159">
        <v>60</v>
      </c>
      <c r="E159" t="s">
        <v>3</v>
      </c>
      <c r="F159" t="s">
        <v>42</v>
      </c>
      <c r="G159" t="s">
        <v>44</v>
      </c>
      <c r="H159">
        <v>4</v>
      </c>
      <c r="I159" t="s">
        <v>3</v>
      </c>
    </row>
    <row r="160" spans="1:9" x14ac:dyDescent="0.15">
      <c r="A160" t="str">
        <f t="shared" si="14"/>
        <v>必要総経験値：160720ルーン</v>
      </c>
      <c r="B160" t="s">
        <v>45</v>
      </c>
      <c r="C160">
        <v>160720</v>
      </c>
      <c r="F160" t="s">
        <v>46</v>
      </c>
    </row>
    <row r="161" spans="1:2" x14ac:dyDescent="0.15">
      <c r="A161" t="str">
        <f t="shared" si="14"/>
        <v>&amp;br;</v>
      </c>
      <c r="B161" t="s">
        <v>0</v>
      </c>
    </row>
    <row r="162" spans="1:2" x14ac:dyDescent="0.15">
      <c r="A162" t="str">
        <f t="shared" si="14"/>
        <v>#back(text=戻る,left)</v>
      </c>
      <c r="B162" t="s">
        <v>47</v>
      </c>
    </row>
    <row r="163" spans="1:2" x14ac:dyDescent="0.15">
      <c r="A163" t="str">
        <f t="shared" si="14"/>
        <v>&amp;br;</v>
      </c>
      <c r="B163" t="s">
        <v>0</v>
      </c>
    </row>
    <row r="164" spans="1:2" x14ac:dyDescent="0.15">
      <c r="A164" t="str">
        <f t="shared" si="14"/>
        <v>#comment(above,nsize=[15],size=[30],num=[10])</v>
      </c>
      <c r="B164" t="s">
        <v>48</v>
      </c>
    </row>
    <row r="165" spans="1:2" x14ac:dyDescent="0.15">
      <c r="A165" t="str">
        <f t="shared" si="14"/>
        <v>[[プレインズウォーカーリスト&gt;プレインズウォーカーリスト]]</v>
      </c>
      <c r="B165" t="s">
        <v>49</v>
      </c>
    </row>
  </sheetData>
  <autoFilter ref="C100:I165"/>
  <phoneticPr fontId="4"/>
  <dataValidations count="2">
    <dataValidation type="list" allowBlank="1" showInputMessage="1" showErrorMessage="1" sqref="F160">
      <formula1>$Q$90:$Q$102</formula1>
    </dataValidation>
    <dataValidation type="list" allowBlank="1" showInputMessage="1" showErrorMessage="1" sqref="F101:F159">
      <formula1>$Q$100:$Q$112</formula1>
    </dataValidation>
  </dataValidations>
  <pageMargins left="0.69930555555555596" right="0.69930555555555596" top="0.75" bottom="0.75" header="0.3" footer="0.3"/>
  <pageSetup paperSize="9" orientation="portrai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dimension ref="A1:X208"/>
  <sheetViews>
    <sheetView workbookViewId="0">
      <selection activeCell="D5" sqref="D5"/>
    </sheetView>
  </sheetViews>
  <sheetFormatPr defaultColWidth="9" defaultRowHeight="13.5" x14ac:dyDescent="0.15"/>
  <cols>
    <col min="2" max="2" width="3.5" customWidth="1"/>
    <col min="3" max="3" width="7.875" customWidth="1"/>
    <col min="4" max="4" width="5.5" customWidth="1"/>
    <col min="5" max="5" width="2.875" customWidth="1"/>
    <col min="7" max="7" width="2" customWidth="1"/>
    <col min="9" max="9" width="2" customWidth="1"/>
    <col min="11" max="11" width="2" customWidth="1"/>
    <col min="13" max="13" width="2" customWidth="1"/>
    <col min="15" max="15" width="2" customWidth="1"/>
    <col min="17" max="17" width="2.75" customWidth="1"/>
  </cols>
  <sheetData>
    <row r="1" spans="1:24" x14ac:dyDescent="0.15">
      <c r="A1" t="str">
        <f t="shared" ref="A1:A13" si="0">C1&amp;D1&amp;E1&amp;F1&amp;G1&amp;H1&amp;I1&amp;J1&amp;K1&amp;L1&amp;M1&amp;N1&amp;O1&amp;P1&amp;Q1&amp;R1&amp;S1&amp;T1&amp;U1&amp;V1</f>
        <v>*Lv60時ステータス</v>
      </c>
      <c r="C1" t="s">
        <v>577</v>
      </c>
      <c r="W1" s="8" t="s">
        <v>859</v>
      </c>
      <c r="X1">
        <f>PW平均!G38</f>
        <v>109.3</v>
      </c>
    </row>
    <row r="2" spans="1:24" x14ac:dyDescent="0.15">
      <c r="A2" t="str">
        <f t="shared" si="0"/>
        <v>|LEFT:70|LEFT:30|LEFT:30|LEFT:30|LEFT:30|LEFT:30|LEFT:70|LEFT:50|LEFT:60|c</v>
      </c>
      <c r="C2" t="s">
        <v>3</v>
      </c>
      <c r="D2" t="s">
        <v>578</v>
      </c>
      <c r="E2" t="s">
        <v>3</v>
      </c>
      <c r="F2" t="s">
        <v>579</v>
      </c>
      <c r="G2" t="s">
        <v>3</v>
      </c>
      <c r="H2" t="s">
        <v>579</v>
      </c>
      <c r="I2" t="s">
        <v>3</v>
      </c>
      <c r="J2" t="s">
        <v>579</v>
      </c>
      <c r="K2" t="s">
        <v>3</v>
      </c>
      <c r="L2" t="s">
        <v>579</v>
      </c>
      <c r="M2" t="s">
        <v>3</v>
      </c>
      <c r="N2" t="s">
        <v>579</v>
      </c>
      <c r="O2" t="s">
        <v>3</v>
      </c>
      <c r="P2" t="s">
        <v>578</v>
      </c>
      <c r="Q2" t="s">
        <v>3</v>
      </c>
      <c r="R2" t="s">
        <v>4</v>
      </c>
      <c r="S2" t="s">
        <v>3</v>
      </c>
      <c r="T2" t="s">
        <v>580</v>
      </c>
      <c r="U2" t="s">
        <v>3</v>
      </c>
      <c r="V2" t="s">
        <v>5</v>
      </c>
      <c r="W2" s="8" t="s">
        <v>860</v>
      </c>
      <c r="X2">
        <f>PW平均!AQ38</f>
        <v>7.4</v>
      </c>
    </row>
    <row r="3" spans="1:24" x14ac:dyDescent="0.15">
      <c r="A3" t="str">
        <f t="shared" si="0"/>
        <v>|HP|&gt;|&gt;|&gt;|&gt;|マナボーナス|&gt;|&gt;|デッキ構築枚数上限|</v>
      </c>
      <c r="C3" t="s">
        <v>3</v>
      </c>
      <c r="D3" t="s">
        <v>7</v>
      </c>
      <c r="E3" t="s">
        <v>3</v>
      </c>
      <c r="F3" t="s">
        <v>209</v>
      </c>
      <c r="G3" t="s">
        <v>3</v>
      </c>
      <c r="H3" t="s">
        <v>209</v>
      </c>
      <c r="I3" t="s">
        <v>3</v>
      </c>
      <c r="J3" t="s">
        <v>209</v>
      </c>
      <c r="K3" t="s">
        <v>3</v>
      </c>
      <c r="L3" t="s">
        <v>209</v>
      </c>
      <c r="M3" t="s">
        <v>3</v>
      </c>
      <c r="N3" t="s">
        <v>581</v>
      </c>
      <c r="O3" t="s">
        <v>3</v>
      </c>
      <c r="P3" t="s">
        <v>209</v>
      </c>
      <c r="Q3" t="s">
        <v>3</v>
      </c>
      <c r="R3" t="s">
        <v>209</v>
      </c>
      <c r="S3" t="s">
        <v>3</v>
      </c>
      <c r="T3" t="s">
        <v>582</v>
      </c>
      <c r="U3" t="s">
        <v>3</v>
      </c>
    </row>
    <row r="4" spans="1:24" x14ac:dyDescent="0.15">
      <c r="A4" t="str">
        <f t="shared" si="0"/>
        <v>|^|白|青|黒|赤|緑|クリーチャー|呪文|サポート|</v>
      </c>
      <c r="C4" t="s">
        <v>3</v>
      </c>
      <c r="D4" t="s">
        <v>583</v>
      </c>
      <c r="E4" t="s">
        <v>3</v>
      </c>
      <c r="F4" t="s">
        <v>11</v>
      </c>
      <c r="G4" t="s">
        <v>3</v>
      </c>
      <c r="H4" t="s">
        <v>12</v>
      </c>
      <c r="I4" t="s">
        <v>3</v>
      </c>
      <c r="J4" t="s">
        <v>13</v>
      </c>
      <c r="K4" t="s">
        <v>3</v>
      </c>
      <c r="L4" t="s">
        <v>14</v>
      </c>
      <c r="M4" t="s">
        <v>3</v>
      </c>
      <c r="N4" t="s">
        <v>15</v>
      </c>
      <c r="O4" t="s">
        <v>3</v>
      </c>
      <c r="P4" t="s">
        <v>20</v>
      </c>
      <c r="Q4" t="s">
        <v>3</v>
      </c>
      <c r="R4" t="s">
        <v>21</v>
      </c>
      <c r="S4" t="s">
        <v>3</v>
      </c>
      <c r="T4" t="s">
        <v>22</v>
      </c>
      <c r="U4" t="s">
        <v>3</v>
      </c>
    </row>
    <row r="5" spans="1:24" x14ac:dyDescent="0.15">
      <c r="A5" t="str">
        <f t="shared" si="0"/>
        <v>|135|-1|2|4|4|-1|7|6|6|</v>
      </c>
      <c r="C5" t="s">
        <v>3</v>
      </c>
      <c r="D5">
        <f>VLOOKUP(MAX(D39:D65),D39:F65,3,TRUE)</f>
        <v>135</v>
      </c>
      <c r="E5" t="s">
        <v>3</v>
      </c>
      <c r="F5">
        <f>VLOOKUP(MAX($D$71:$D$80),$D$71:$P$80,5,TRUE)</f>
        <v>-1</v>
      </c>
      <c r="G5" t="s">
        <v>3</v>
      </c>
      <c r="H5">
        <f>VLOOKUP(MAX($D$71:$D$80),$D$71:$P$80,7,TRUE)</f>
        <v>2</v>
      </c>
      <c r="I5" t="s">
        <v>3</v>
      </c>
      <c r="J5">
        <f>VLOOKUP(MAX($D$71:$D$80),$D$71:$P$80,9,TRUE)</f>
        <v>4</v>
      </c>
      <c r="K5" t="s">
        <v>3</v>
      </c>
      <c r="L5">
        <f>VLOOKUP(MAX($D$71:$D$80),$D$71:$P$80,11,TRUE)</f>
        <v>4</v>
      </c>
      <c r="M5" t="s">
        <v>3</v>
      </c>
      <c r="N5">
        <f>VLOOKUP(MAX($D$71:$D$80),$D$71:$P$80,13,TRUE)</f>
        <v>-1</v>
      </c>
      <c r="O5" t="s">
        <v>3</v>
      </c>
      <c r="P5">
        <f>VLOOKUP(MAX($D$87:$D$96),$D$87:$L$96,5,TRUE)</f>
        <v>7</v>
      </c>
      <c r="Q5" t="s">
        <v>3</v>
      </c>
      <c r="R5">
        <f>VLOOKUP(MAX($D$87:$D$96),$D$87:$L$96,7,TRUE)</f>
        <v>6</v>
      </c>
      <c r="S5" t="s">
        <v>3</v>
      </c>
      <c r="T5">
        <f>VLOOKUP(MAX($D$87:$D$96),$D$87:$L$96,9,TRUE)</f>
        <v>6</v>
      </c>
      <c r="U5" t="s">
        <v>3</v>
      </c>
    </row>
    <row r="6" spans="1:24" x14ac:dyDescent="0.15">
      <c r="A6" t="str">
        <f t="shared" si="0"/>
        <v>||&gt;|&gt;|&gt;|&gt;|&gt;|&gt;|PW能力|コスト|</v>
      </c>
      <c r="C6" t="s">
        <v>3</v>
      </c>
      <c r="E6" t="s">
        <v>3</v>
      </c>
      <c r="F6" t="s">
        <v>209</v>
      </c>
      <c r="G6" t="s">
        <v>3</v>
      </c>
      <c r="H6" t="s">
        <v>209</v>
      </c>
      <c r="I6" t="s">
        <v>3</v>
      </c>
      <c r="J6" t="s">
        <v>209</v>
      </c>
      <c r="K6" t="s">
        <v>3</v>
      </c>
      <c r="L6" t="s">
        <v>209</v>
      </c>
      <c r="M6" t="s">
        <v>3</v>
      </c>
      <c r="N6" t="s">
        <v>209</v>
      </c>
      <c r="O6" t="s">
        <v>3</v>
      </c>
      <c r="P6" t="s">
        <v>209</v>
      </c>
      <c r="Q6" t="s">
        <v>3</v>
      </c>
      <c r="R6" t="s">
        <v>584</v>
      </c>
      <c r="S6" t="s">
        <v>3</v>
      </c>
      <c r="T6" t="s">
        <v>28</v>
      </c>
      <c r="U6" t="s">
        <v>3</v>
      </c>
    </row>
    <row r="7" spans="1:24" x14ac:dyDescent="0.15">
      <c r="A7" t="str">
        <f t="shared" si="0"/>
        <v>|第1能力|&gt;|&gt;|&gt;|&gt;|&gt;|&gt;|燃える連鎖/Flaming Chain|9|</v>
      </c>
      <c r="C7" t="s">
        <v>3</v>
      </c>
      <c r="D7" t="s">
        <v>585</v>
      </c>
      <c r="E7" t="s">
        <v>3</v>
      </c>
      <c r="F7" t="s">
        <v>209</v>
      </c>
      <c r="G7" t="s">
        <v>3</v>
      </c>
      <c r="H7" t="s">
        <v>209</v>
      </c>
      <c r="I7" t="s">
        <v>3</v>
      </c>
      <c r="J7" t="s">
        <v>209</v>
      </c>
      <c r="K7" t="s">
        <v>3</v>
      </c>
      <c r="L7" t="s">
        <v>209</v>
      </c>
      <c r="M7" t="s">
        <v>3</v>
      </c>
      <c r="N7" t="s">
        <v>209</v>
      </c>
      <c r="O7" t="s">
        <v>3</v>
      </c>
      <c r="P7" t="s">
        <v>209</v>
      </c>
      <c r="Q7" t="s">
        <v>3</v>
      </c>
      <c r="R7" t="str">
        <f>R100</f>
        <v>燃える連鎖/Flaming Chain</v>
      </c>
      <c r="S7" t="s">
        <v>3</v>
      </c>
      <c r="T7">
        <f>H106</f>
        <v>9</v>
      </c>
      <c r="U7" t="s">
        <v>3</v>
      </c>
    </row>
    <row r="8" spans="1:24" x14ac:dyDescent="0.15">
      <c r="A8" t="str">
        <f t="shared" si="0"/>
        <v>|&gt;|&gt;|&gt;|&gt;|&gt;|&gt;|&gt;|&gt;|対戦相手に2点のダメージを与え、宝物を2つ見つける。その後、対戦相手はカードを1枚捨てる。|</v>
      </c>
      <c r="C8" t="s">
        <v>3</v>
      </c>
      <c r="D8" t="s">
        <v>209</v>
      </c>
      <c r="E8" t="s">
        <v>3</v>
      </c>
      <c r="F8" t="s">
        <v>209</v>
      </c>
      <c r="G8" t="s">
        <v>3</v>
      </c>
      <c r="H8" t="s">
        <v>209</v>
      </c>
      <c r="I8" t="s">
        <v>3</v>
      </c>
      <c r="J8" t="s">
        <v>209</v>
      </c>
      <c r="K8" t="s">
        <v>3</v>
      </c>
      <c r="L8" t="s">
        <v>209</v>
      </c>
      <c r="M8" t="s">
        <v>3</v>
      </c>
      <c r="N8" t="s">
        <v>209</v>
      </c>
      <c r="O8" t="s">
        <v>3</v>
      </c>
      <c r="P8" t="s">
        <v>209</v>
      </c>
      <c r="Q8" t="s">
        <v>3</v>
      </c>
      <c r="R8" t="s">
        <v>209</v>
      </c>
      <c r="S8" t="s">
        <v>3</v>
      </c>
      <c r="T8" t="str">
        <f>J106</f>
        <v>対戦相手に2点のダメージを与え、宝物を2つ見つける。その後、対戦相手はカードを1枚捨てる。</v>
      </c>
      <c r="U8" t="s">
        <v>3</v>
      </c>
    </row>
    <row r="9" spans="1:24" x14ac:dyDescent="0.15">
      <c r="A9" t="str">
        <f t="shared" si="0"/>
        <v>|第2能力|&gt;|&gt;|&gt;|&gt;|&gt;|&gt;|船長の命令/Captain's Command|12|</v>
      </c>
      <c r="C9" t="s">
        <v>3</v>
      </c>
      <c r="D9" t="s">
        <v>587</v>
      </c>
      <c r="E9" t="s">
        <v>3</v>
      </c>
      <c r="F9" t="s">
        <v>209</v>
      </c>
      <c r="G9" t="s">
        <v>3</v>
      </c>
      <c r="H9" t="s">
        <v>209</v>
      </c>
      <c r="I9" t="s">
        <v>3</v>
      </c>
      <c r="J9" t="s">
        <v>209</v>
      </c>
      <c r="K9" t="s">
        <v>3</v>
      </c>
      <c r="L9" t="s">
        <v>209</v>
      </c>
      <c r="M9" t="s">
        <v>3</v>
      </c>
      <c r="N9" t="s">
        <v>209</v>
      </c>
      <c r="O9" t="s">
        <v>3</v>
      </c>
      <c r="P9" t="s">
        <v>209</v>
      </c>
      <c r="Q9" t="s">
        <v>3</v>
      </c>
      <c r="R9" t="str">
        <f>R109</f>
        <v>船長の命令/Captain's Command</v>
      </c>
      <c r="S9" t="s">
        <v>3</v>
      </c>
      <c r="T9">
        <f>H115</f>
        <v>12</v>
      </c>
      <c r="U9" t="s">
        <v>3</v>
      </c>
    </row>
    <row r="10" spans="1:24" x14ac:dyDescent="0.15">
      <c r="A10" t="str">
        <f t="shared" si="0"/>
        <v>|&gt;|&gt;|&gt;|&gt;|&gt;|&gt;|&gt;|&gt;|マナ・コストが15以下のクリーチャー1体を対象とし、ターン終了時まで、それのコントロールを得る。それは速攻と「ターン終了時にこのクリーチャーを破壊する」を得る。|</v>
      </c>
      <c r="C10" t="s">
        <v>3</v>
      </c>
      <c r="D10" t="s">
        <v>209</v>
      </c>
      <c r="E10" t="s">
        <v>3</v>
      </c>
      <c r="F10" t="s">
        <v>209</v>
      </c>
      <c r="G10" t="s">
        <v>3</v>
      </c>
      <c r="H10" t="s">
        <v>209</v>
      </c>
      <c r="I10" t="s">
        <v>3</v>
      </c>
      <c r="J10" t="s">
        <v>209</v>
      </c>
      <c r="K10" t="s">
        <v>3</v>
      </c>
      <c r="L10" t="s">
        <v>209</v>
      </c>
      <c r="M10" t="s">
        <v>3</v>
      </c>
      <c r="N10" t="s">
        <v>209</v>
      </c>
      <c r="O10" t="s">
        <v>3</v>
      </c>
      <c r="P10" t="s">
        <v>209</v>
      </c>
      <c r="Q10" t="s">
        <v>3</v>
      </c>
      <c r="R10" t="s">
        <v>209</v>
      </c>
      <c r="S10" t="s">
        <v>3</v>
      </c>
      <c r="T10" t="str">
        <f>J115</f>
        <v>マナ・コストが15以下のクリーチャー1体を対象とし、ターン終了時まで、それのコントロールを得る。それは速攻と「ターン終了時にこのクリーチャーを破壊する」を得る。</v>
      </c>
      <c r="U10" t="s">
        <v>3</v>
      </c>
    </row>
    <row r="11" spans="1:24" x14ac:dyDescent="0.15">
      <c r="A11" t="str">
        <f t="shared" si="0"/>
        <v>|第3能力|&gt;|&gt;|&gt;|&gt;|&gt;|&gt;|焦熱の死/Fiery Demise|18|</v>
      </c>
      <c r="C11" t="s">
        <v>3</v>
      </c>
      <c r="D11" t="s">
        <v>590</v>
      </c>
      <c r="E11" t="s">
        <v>3</v>
      </c>
      <c r="F11" t="s">
        <v>209</v>
      </c>
      <c r="G11" t="s">
        <v>3</v>
      </c>
      <c r="H11" t="s">
        <v>209</v>
      </c>
      <c r="I11" t="s">
        <v>3</v>
      </c>
      <c r="J11" t="s">
        <v>209</v>
      </c>
      <c r="K11" t="s">
        <v>3</v>
      </c>
      <c r="L11" t="s">
        <v>209</v>
      </c>
      <c r="M11" t="s">
        <v>3</v>
      </c>
      <c r="N11" t="s">
        <v>209</v>
      </c>
      <c r="O11" t="s">
        <v>3</v>
      </c>
      <c r="P11" t="s">
        <v>209</v>
      </c>
      <c r="Q11" t="s">
        <v>3</v>
      </c>
      <c r="R11" t="str">
        <f>R118</f>
        <v>焦熱の死/Fiery Demise</v>
      </c>
      <c r="S11" t="s">
        <v>3</v>
      </c>
      <c r="T11">
        <f>H124</f>
        <v>18</v>
      </c>
      <c r="U11" t="s">
        <v>3</v>
      </c>
    </row>
    <row r="12" spans="1:24" x14ac:dyDescent="0.15">
      <c r="A12" t="str">
        <f t="shared" si="0"/>
        <v>|&gt;|&gt;|&gt;|&gt;|&gt;|&gt;|&gt;|&gt;|「いずれかの領域からカードが対戦相手の墓地の置かれるたび、対戦相手に6点のダメージを与える。」を持つサポートを生成する。|</v>
      </c>
      <c r="C12" t="s">
        <v>3</v>
      </c>
      <c r="D12" t="s">
        <v>209</v>
      </c>
      <c r="E12" t="s">
        <v>3</v>
      </c>
      <c r="F12" t="s">
        <v>209</v>
      </c>
      <c r="G12" t="s">
        <v>3</v>
      </c>
      <c r="H12" t="s">
        <v>209</v>
      </c>
      <c r="I12" t="s">
        <v>3</v>
      </c>
      <c r="J12" t="s">
        <v>209</v>
      </c>
      <c r="K12" t="s">
        <v>3</v>
      </c>
      <c r="L12" t="s">
        <v>209</v>
      </c>
      <c r="M12" t="s">
        <v>3</v>
      </c>
      <c r="N12" t="s">
        <v>209</v>
      </c>
      <c r="O12" t="s">
        <v>3</v>
      </c>
      <c r="P12" t="s">
        <v>209</v>
      </c>
      <c r="Q12" t="s">
        <v>3</v>
      </c>
      <c r="R12" t="s">
        <v>209</v>
      </c>
      <c r="S12" t="s">
        <v>3</v>
      </c>
      <c r="T12" t="str">
        <f>J124</f>
        <v>「いずれかの領域からカードが対戦相手の墓地の置かれるたび、対戦相手に6点のダメージを与える。」を持つサポートを生成する。</v>
      </c>
      <c r="U12" t="s">
        <v>3</v>
      </c>
    </row>
    <row r="13" spans="1:24" x14ac:dyDescent="0.15">
      <c r="A13" t="str">
        <f t="shared" si="0"/>
        <v/>
      </c>
    </row>
    <row r="14" spans="1:24" x14ac:dyDescent="0.15">
      <c r="A14" t="str">
        <f t="shared" ref="A14:A33" si="1">B14&amp;C14&amp;D14&amp;E14&amp;F14&amp;G14&amp;H14&amp;I14&amp;J14&amp;K14&amp;L14&amp;M14&amp;N14&amp;O14&amp;P14&amp;Q14&amp;R14&amp;S14&amp;T14&amp;U14</f>
        <v>*評価</v>
      </c>
      <c r="B14" t="s">
        <v>592</v>
      </c>
      <c r="C14" t="s">
        <v>593</v>
      </c>
    </row>
    <row r="15" spans="1:24" x14ac:dyDescent="0.15">
      <c r="A15" t="str">
        <f t="shared" si="1"/>
        <v>・HPは平均以上</v>
      </c>
      <c r="B15" t="s">
        <v>594</v>
      </c>
      <c r="C15" s="8" t="s">
        <v>653</v>
      </c>
      <c r="D15" t="str">
        <f>IF(D5&gt;X1+5,"以上",IF(D5&gt;X1-5,"","以下"))</f>
        <v>以上</v>
      </c>
    </row>
    <row r="16" spans="1:24" x14ac:dyDescent="0.15">
      <c r="A16" t="str">
        <f t="shared" si="1"/>
        <v>・マナボーナス合計は+8。平均以上。</v>
      </c>
      <c r="B16" t="s">
        <v>594</v>
      </c>
      <c r="C16" t="s">
        <v>595</v>
      </c>
      <c r="D16">
        <f>SUM(F5:N5)</f>
        <v>8</v>
      </c>
      <c r="E16" t="s">
        <v>596</v>
      </c>
      <c r="F16" t="s">
        <v>597</v>
      </c>
      <c r="G16" t="str">
        <f>IF(D16&gt;X2,"以上",IF(D16&gt;X2,"","以下"))</f>
        <v>以上</v>
      </c>
      <c r="H16" t="s">
        <v>596</v>
      </c>
    </row>
    <row r="17" spans="1:6" x14ac:dyDescent="0.15">
      <c r="A17" t="str">
        <f t="shared" si="1"/>
        <v>・</v>
      </c>
      <c r="B17" t="s">
        <v>594</v>
      </c>
    </row>
    <row r="18" spans="1:6" x14ac:dyDescent="0.15">
      <c r="A18" t="str">
        <f t="shared" si="1"/>
        <v>・</v>
      </c>
      <c r="B18" t="s">
        <v>594</v>
      </c>
    </row>
    <row r="19" spans="1:6" x14ac:dyDescent="0.15">
      <c r="A19" t="str">
        <f t="shared" si="1"/>
        <v>・</v>
      </c>
      <c r="B19" t="s">
        <v>594</v>
      </c>
    </row>
    <row r="20" spans="1:6" x14ac:dyDescent="0.15">
      <c r="A20" t="str">
        <f t="shared" si="1"/>
        <v>*採用候補</v>
      </c>
      <c r="B20" s="8" t="s">
        <v>652</v>
      </c>
    </row>
    <row r="21" spans="1:6" x14ac:dyDescent="0.15">
      <c r="A21" t="str">
        <f t="shared" si="1"/>
        <v>・色が合えば採用候補レベルのものではなく、PWに合った採用候補を紹介</v>
      </c>
      <c r="B21" t="s">
        <v>645</v>
      </c>
    </row>
    <row r="22" spans="1:6" x14ac:dyDescent="0.15">
      <c r="A22" t="str">
        <f t="shared" si="1"/>
        <v/>
      </c>
    </row>
    <row r="23" spans="1:6" x14ac:dyDescent="0.15">
      <c r="A23" t="str">
        <f t="shared" si="1"/>
        <v>**スタンダード</v>
      </c>
      <c r="B23" s="8" t="s">
        <v>650</v>
      </c>
    </row>
    <row r="24" spans="1:6" x14ac:dyDescent="0.15">
      <c r="A24" t="str">
        <f t="shared" si="1"/>
        <v>スタンダード(ORI/KLD/AKH/HOU期)</v>
      </c>
      <c r="B24" t="s">
        <v>646</v>
      </c>
    </row>
    <row r="25" spans="1:6" x14ac:dyDescent="0.15">
      <c r="A25" t="str">
        <f t="shared" si="1"/>
        <v>《[[]]》[]：</v>
      </c>
      <c r="B25" s="8" t="s">
        <v>718</v>
      </c>
      <c r="D25" t="s">
        <v>719</v>
      </c>
      <c r="E25" s="8"/>
      <c r="F25" t="s">
        <v>713</v>
      </c>
    </row>
    <row r="26" spans="1:6" x14ac:dyDescent="0.15">
      <c r="A26" t="str">
        <f t="shared" si="1"/>
        <v>《[[]]》[]：</v>
      </c>
      <c r="B26" s="8" t="s">
        <v>718</v>
      </c>
      <c r="D26" t="s">
        <v>719</v>
      </c>
      <c r="E26" s="8"/>
      <c r="F26" t="s">
        <v>713</v>
      </c>
    </row>
    <row r="27" spans="1:6" x14ac:dyDescent="0.15">
      <c r="A27" t="str">
        <f t="shared" si="1"/>
        <v/>
      </c>
    </row>
    <row r="28" spans="1:6" x14ac:dyDescent="0.15">
      <c r="A28" t="str">
        <f t="shared" si="1"/>
        <v/>
      </c>
    </row>
    <row r="29" spans="1:6" x14ac:dyDescent="0.15">
      <c r="A29" t="str">
        <f t="shared" si="1"/>
        <v>**レガシー</v>
      </c>
      <c r="B29" s="8" t="s">
        <v>651</v>
      </c>
    </row>
    <row r="30" spans="1:6" x14ac:dyDescent="0.15">
      <c r="A30" t="str">
        <f t="shared" si="1"/>
        <v>《[[]]》[]：</v>
      </c>
      <c r="B30" s="8" t="s">
        <v>718</v>
      </c>
      <c r="D30" t="s">
        <v>719</v>
      </c>
      <c r="E30" s="8"/>
      <c r="F30" t="s">
        <v>713</v>
      </c>
    </row>
    <row r="31" spans="1:6" x14ac:dyDescent="0.15">
      <c r="A31" t="str">
        <f t="shared" si="1"/>
        <v>《[[]]》[]：</v>
      </c>
      <c r="B31" s="8" t="s">
        <v>718</v>
      </c>
      <c r="D31" t="s">
        <v>719</v>
      </c>
      <c r="E31" s="8"/>
      <c r="F31" t="s">
        <v>713</v>
      </c>
    </row>
    <row r="32" spans="1:6" x14ac:dyDescent="0.15">
      <c r="A32" t="str">
        <f t="shared" si="1"/>
        <v/>
      </c>
    </row>
    <row r="33" spans="1:8" x14ac:dyDescent="0.15">
      <c r="A33" t="str">
        <f t="shared" si="1"/>
        <v>#region(close,text=Lv60までの詳細データ)</v>
      </c>
      <c r="B33" t="s">
        <v>598</v>
      </c>
    </row>
    <row r="34" spans="1:8" x14ac:dyDescent="0.15">
      <c r="A34" t="str">
        <f>B34&amp;C34&amp;D34&amp;E34&amp;F34&amp;G34&amp;H34&amp;I34&amp;J34&amp;K34&amp;L34&amp;M34&amp;N34&amp;O34&amp;P34</f>
        <v/>
      </c>
    </row>
    <row r="35" spans="1:8" x14ac:dyDescent="0.15">
      <c r="A35" t="str">
        <f>B35&amp;C35&amp;D35&amp;E35&amp;F35&amp;G35&amp;H35&amp;I35&amp;J35&amp;K35&amp;L35&amp;M35&amp;N35&amp;O35&amp;P35</f>
        <v>&amp;br;</v>
      </c>
      <c r="B35" t="s">
        <v>0</v>
      </c>
    </row>
    <row r="36" spans="1:8" x14ac:dyDescent="0.15">
      <c r="A36" t="str">
        <f>B36&amp;C36&amp;D36&amp;E36&amp;F36&amp;G36&amp;H36&amp;I36&amp;J36&amp;K36&amp;L36&amp;M36&amp;N36&amp;O36&amp;P36</f>
        <v>*HP</v>
      </c>
      <c r="B36" s="8" t="s">
        <v>644</v>
      </c>
    </row>
    <row r="37" spans="1:8" x14ac:dyDescent="0.15">
      <c r="A37" t="str">
        <f>B37&amp;C37&amp;D37&amp;E37&amp;F37&amp;G37&amp;H37</f>
        <v>|LEFT:50|LEFT:50|c</v>
      </c>
      <c r="B37" t="s">
        <v>3</v>
      </c>
      <c r="C37" t="s">
        <v>4</v>
      </c>
      <c r="E37" t="s">
        <v>3</v>
      </c>
      <c r="F37" t="s">
        <v>4</v>
      </c>
      <c r="G37" t="s">
        <v>3</v>
      </c>
      <c r="H37" t="s">
        <v>5</v>
      </c>
    </row>
    <row r="38" spans="1:8" x14ac:dyDescent="0.15">
      <c r="A38" t="str">
        <f t="shared" ref="A38:A65" si="2">B38&amp;C38&amp;D38&amp;E38&amp;F38&amp;G38&amp;H38</f>
        <v>|レベル|HP|</v>
      </c>
      <c r="B38" t="s">
        <v>3</v>
      </c>
      <c r="C38" t="s">
        <v>6</v>
      </c>
      <c r="E38" t="s">
        <v>3</v>
      </c>
      <c r="F38" t="s">
        <v>7</v>
      </c>
      <c r="G38" t="s">
        <v>3</v>
      </c>
    </row>
    <row r="39" spans="1:8" x14ac:dyDescent="0.15">
      <c r="A39" t="str">
        <f t="shared" si="2"/>
        <v>|Lv1|50|</v>
      </c>
      <c r="B39" t="s">
        <v>3</v>
      </c>
      <c r="C39" t="s">
        <v>8</v>
      </c>
      <c r="D39">
        <v>1</v>
      </c>
      <c r="E39" t="s">
        <v>3</v>
      </c>
      <c r="F39">
        <f>B204</f>
        <v>50</v>
      </c>
      <c r="G39" t="s">
        <v>3</v>
      </c>
    </row>
    <row r="40" spans="1:8" x14ac:dyDescent="0.15">
      <c r="A40" t="str">
        <f t="shared" si="2"/>
        <v>|Lv3|53|</v>
      </c>
      <c r="B40" t="s">
        <v>3</v>
      </c>
      <c r="C40" t="s">
        <v>8</v>
      </c>
      <c r="D40">
        <v>3</v>
      </c>
      <c r="E40" t="s">
        <v>3</v>
      </c>
      <c r="F40">
        <f>IF(ISBLANK(D40),"",F39+INDEX($H$129:$H$188,D40))</f>
        <v>53</v>
      </c>
      <c r="G40" t="s">
        <v>3</v>
      </c>
    </row>
    <row r="41" spans="1:8" x14ac:dyDescent="0.15">
      <c r="A41" t="str">
        <f t="shared" si="2"/>
        <v>|Lv5|56|</v>
      </c>
      <c r="B41" t="s">
        <v>3</v>
      </c>
      <c r="C41" t="s">
        <v>8</v>
      </c>
      <c r="D41">
        <v>5</v>
      </c>
      <c r="E41" t="s">
        <v>3</v>
      </c>
      <c r="F41">
        <f>IF(ISBLANK(D41),"",F40+INDEX($H$129:$H$188,D41))</f>
        <v>56</v>
      </c>
      <c r="G41" t="s">
        <v>3</v>
      </c>
    </row>
    <row r="42" spans="1:8" x14ac:dyDescent="0.15">
      <c r="A42" t="str">
        <f t="shared" si="2"/>
        <v>|Lv7|59|</v>
      </c>
      <c r="B42" t="s">
        <v>3</v>
      </c>
      <c r="C42" t="s">
        <v>8</v>
      </c>
      <c r="D42">
        <v>7</v>
      </c>
      <c r="E42" t="s">
        <v>3</v>
      </c>
      <c r="F42">
        <f>IF(ISBLANK(D42),"",F41+INDEX($H$129:$H$188,D42))</f>
        <v>59</v>
      </c>
      <c r="G42" t="s">
        <v>3</v>
      </c>
    </row>
    <row r="43" spans="1:8" x14ac:dyDescent="0.15">
      <c r="A43" t="str">
        <f t="shared" si="2"/>
        <v>|Lv9|62|</v>
      </c>
      <c r="B43" t="s">
        <v>3</v>
      </c>
      <c r="C43" t="s">
        <v>8</v>
      </c>
      <c r="D43">
        <v>9</v>
      </c>
      <c r="E43" t="s">
        <v>3</v>
      </c>
      <c r="F43">
        <f>IF(ISBLANK(D43),"",F42+INDEX($H$129:$H$188,D43))</f>
        <v>62</v>
      </c>
      <c r="G43" t="s">
        <v>3</v>
      </c>
    </row>
    <row r="44" spans="1:8" x14ac:dyDescent="0.15">
      <c r="A44" t="str">
        <f t="shared" si="2"/>
        <v>|Lv11|65|</v>
      </c>
      <c r="B44" t="s">
        <v>3</v>
      </c>
      <c r="C44" t="s">
        <v>8</v>
      </c>
      <c r="D44">
        <v>11</v>
      </c>
      <c r="E44" t="s">
        <v>3</v>
      </c>
      <c r="F44">
        <f>IF(ISBLANK(D44),"",F43+INDEX($H$129:$H$188,D44))</f>
        <v>65</v>
      </c>
      <c r="G44" t="s">
        <v>3</v>
      </c>
    </row>
    <row r="45" spans="1:8" x14ac:dyDescent="0.15">
      <c r="A45" t="str">
        <f t="shared" si="2"/>
        <v>|Lv13|68|</v>
      </c>
      <c r="B45" t="s">
        <v>3</v>
      </c>
      <c r="C45" t="s">
        <v>8</v>
      </c>
      <c r="D45">
        <v>13</v>
      </c>
      <c r="E45" t="s">
        <v>3</v>
      </c>
      <c r="F45">
        <f>IF(ISBLANK(D45),"",F44+INDEX($H$129:$H$188,D45))</f>
        <v>68</v>
      </c>
      <c r="G45" t="s">
        <v>3</v>
      </c>
    </row>
    <row r="46" spans="1:8" x14ac:dyDescent="0.15">
      <c r="A46" t="str">
        <f t="shared" si="2"/>
        <v>|Lv15|71|</v>
      </c>
      <c r="B46" t="s">
        <v>3</v>
      </c>
      <c r="C46" t="s">
        <v>8</v>
      </c>
      <c r="D46">
        <v>15</v>
      </c>
      <c r="E46" t="s">
        <v>3</v>
      </c>
      <c r="F46">
        <f>IF(ISBLANK(D46),"",F45+INDEX($H$129:$H$188,D46))</f>
        <v>71</v>
      </c>
      <c r="G46" t="s">
        <v>3</v>
      </c>
    </row>
    <row r="47" spans="1:8" x14ac:dyDescent="0.15">
      <c r="A47" t="str">
        <f t="shared" si="2"/>
        <v>|Lv19|74|</v>
      </c>
      <c r="B47" t="s">
        <v>3</v>
      </c>
      <c r="C47" t="s">
        <v>8</v>
      </c>
      <c r="D47">
        <v>19</v>
      </c>
      <c r="E47" t="s">
        <v>3</v>
      </c>
      <c r="F47">
        <f>IF(ISBLANK(D47),"",F46+INDEX($H$129:$H$188,D47))</f>
        <v>74</v>
      </c>
      <c r="G47" t="s">
        <v>3</v>
      </c>
    </row>
    <row r="48" spans="1:8" x14ac:dyDescent="0.15">
      <c r="A48" t="str">
        <f t="shared" si="2"/>
        <v>|Lv21|77|</v>
      </c>
      <c r="B48" t="s">
        <v>3</v>
      </c>
      <c r="C48" t="s">
        <v>8</v>
      </c>
      <c r="D48">
        <v>21</v>
      </c>
      <c r="E48" t="s">
        <v>3</v>
      </c>
      <c r="F48">
        <f>IF(ISBLANK(D48),"",F47+INDEX($H$129:$H$188,D48))</f>
        <v>77</v>
      </c>
      <c r="G48" t="s">
        <v>3</v>
      </c>
    </row>
    <row r="49" spans="1:7" x14ac:dyDescent="0.15">
      <c r="A49" t="str">
        <f t="shared" si="2"/>
        <v>|Lv23|80|</v>
      </c>
      <c r="B49" t="s">
        <v>3</v>
      </c>
      <c r="C49" t="s">
        <v>8</v>
      </c>
      <c r="D49">
        <v>23</v>
      </c>
      <c r="E49" t="s">
        <v>3</v>
      </c>
      <c r="F49">
        <f>IF(ISBLANK(D49),"",F48+INDEX($H$129:$H$188,D49))</f>
        <v>80</v>
      </c>
      <c r="G49" t="s">
        <v>3</v>
      </c>
    </row>
    <row r="50" spans="1:7" x14ac:dyDescent="0.15">
      <c r="A50" t="str">
        <f t="shared" si="2"/>
        <v>|Lv25|83|</v>
      </c>
      <c r="B50" t="s">
        <v>3</v>
      </c>
      <c r="C50" t="s">
        <v>8</v>
      </c>
      <c r="D50">
        <v>25</v>
      </c>
      <c r="E50" t="s">
        <v>3</v>
      </c>
      <c r="F50">
        <f>IF(ISBLANK(D50),"",F49+INDEX($H$129:$H$188,D50))</f>
        <v>83</v>
      </c>
      <c r="G50" t="s">
        <v>3</v>
      </c>
    </row>
    <row r="51" spans="1:7" x14ac:dyDescent="0.15">
      <c r="A51" t="str">
        <f t="shared" si="2"/>
        <v>|Lv27|86|</v>
      </c>
      <c r="B51" t="s">
        <v>3</v>
      </c>
      <c r="C51" t="s">
        <v>8</v>
      </c>
      <c r="D51">
        <v>27</v>
      </c>
      <c r="E51" t="s">
        <v>3</v>
      </c>
      <c r="F51">
        <f>IF(ISBLANK(D51),"",F50+INDEX($H$129:$H$188,D51))</f>
        <v>86</v>
      </c>
      <c r="G51" t="s">
        <v>3</v>
      </c>
    </row>
    <row r="52" spans="1:7" x14ac:dyDescent="0.15">
      <c r="A52" t="str">
        <f t="shared" si="2"/>
        <v>|Lv29|89|</v>
      </c>
      <c r="B52" t="s">
        <v>3</v>
      </c>
      <c r="C52" t="s">
        <v>8</v>
      </c>
      <c r="D52">
        <v>29</v>
      </c>
      <c r="E52" t="s">
        <v>3</v>
      </c>
      <c r="F52">
        <f>IF(ISBLANK(D52),"",F51+INDEX($H$129:$H$188,D52))</f>
        <v>89</v>
      </c>
      <c r="G52" t="s">
        <v>3</v>
      </c>
    </row>
    <row r="53" spans="1:7" x14ac:dyDescent="0.15">
      <c r="A53" t="str">
        <f t="shared" si="2"/>
        <v>|Lv31|92|</v>
      </c>
      <c r="B53" t="s">
        <v>3</v>
      </c>
      <c r="C53" t="s">
        <v>8</v>
      </c>
      <c r="D53">
        <v>31</v>
      </c>
      <c r="E53" t="s">
        <v>3</v>
      </c>
      <c r="F53">
        <f>IF(ISBLANK(D53),"",F52+INDEX($H$129:$H$188,D53))</f>
        <v>92</v>
      </c>
      <c r="G53" t="s">
        <v>3</v>
      </c>
    </row>
    <row r="54" spans="1:7" x14ac:dyDescent="0.15">
      <c r="A54" t="str">
        <f t="shared" si="2"/>
        <v>|Lv33|95|</v>
      </c>
      <c r="B54" t="s">
        <v>3</v>
      </c>
      <c r="C54" t="s">
        <v>8</v>
      </c>
      <c r="D54">
        <v>33</v>
      </c>
      <c r="E54" t="s">
        <v>3</v>
      </c>
      <c r="F54">
        <f>IF(ISBLANK(D54),"",F53+INDEX($H$129:$H$188,D54))</f>
        <v>95</v>
      </c>
      <c r="G54" t="s">
        <v>3</v>
      </c>
    </row>
    <row r="55" spans="1:7" x14ac:dyDescent="0.15">
      <c r="A55" t="str">
        <f t="shared" si="2"/>
        <v>|Lv37|98|</v>
      </c>
      <c r="B55" t="s">
        <v>3</v>
      </c>
      <c r="C55" t="s">
        <v>8</v>
      </c>
      <c r="D55">
        <v>37</v>
      </c>
      <c r="E55" t="s">
        <v>3</v>
      </c>
      <c r="F55">
        <f>IF(ISBLANK(D55),"",F54+INDEX($H$129:$H$188,D55))</f>
        <v>98</v>
      </c>
      <c r="G55" t="s">
        <v>3</v>
      </c>
    </row>
    <row r="56" spans="1:7" x14ac:dyDescent="0.15">
      <c r="A56" t="str">
        <f t="shared" si="2"/>
        <v>|Lv39|101|</v>
      </c>
      <c r="B56" t="s">
        <v>3</v>
      </c>
      <c r="C56" t="s">
        <v>8</v>
      </c>
      <c r="D56">
        <v>39</v>
      </c>
      <c r="E56" t="s">
        <v>3</v>
      </c>
      <c r="F56">
        <f>IF(ISBLANK(D56),"",F55+INDEX($H$129:$H$188,D56))</f>
        <v>101</v>
      </c>
      <c r="G56" t="s">
        <v>3</v>
      </c>
    </row>
    <row r="57" spans="1:7" x14ac:dyDescent="0.15">
      <c r="A57" t="str">
        <f t="shared" si="2"/>
        <v>|Lv41|104|</v>
      </c>
      <c r="B57" t="s">
        <v>3</v>
      </c>
      <c r="C57" t="s">
        <v>8</v>
      </c>
      <c r="D57">
        <v>41</v>
      </c>
      <c r="E57" t="s">
        <v>3</v>
      </c>
      <c r="F57">
        <f>IF(ISBLANK(D57),"",F56+INDEX($H$129:$H$188,D57))</f>
        <v>104</v>
      </c>
      <c r="G57" t="s">
        <v>3</v>
      </c>
    </row>
    <row r="58" spans="1:7" x14ac:dyDescent="0.15">
      <c r="A58" t="str">
        <f t="shared" si="2"/>
        <v>|Lv43|107|</v>
      </c>
      <c r="B58" t="s">
        <v>3</v>
      </c>
      <c r="C58" t="s">
        <v>8</v>
      </c>
      <c r="D58">
        <v>43</v>
      </c>
      <c r="E58" t="s">
        <v>3</v>
      </c>
      <c r="F58">
        <f>IF(ISBLANK(D58),"",F57+INDEX($H$129:$H$188,D58))</f>
        <v>107</v>
      </c>
      <c r="G58" t="s">
        <v>3</v>
      </c>
    </row>
    <row r="59" spans="1:7" x14ac:dyDescent="0.15">
      <c r="A59" t="str">
        <f t="shared" si="2"/>
        <v>|Lv45|111|</v>
      </c>
      <c r="B59" t="s">
        <v>3</v>
      </c>
      <c r="C59" t="s">
        <v>8</v>
      </c>
      <c r="D59">
        <v>45</v>
      </c>
      <c r="E59" t="s">
        <v>3</v>
      </c>
      <c r="F59">
        <f>IF(ISBLANK(D59),"",F58+INDEX($H$129:$H$188,D59))</f>
        <v>111</v>
      </c>
      <c r="G59" t="s">
        <v>3</v>
      </c>
    </row>
    <row r="60" spans="1:7" x14ac:dyDescent="0.15">
      <c r="A60" t="str">
        <f t="shared" si="2"/>
        <v>|Lv47|115|</v>
      </c>
      <c r="B60" t="s">
        <v>3</v>
      </c>
      <c r="C60" t="s">
        <v>8</v>
      </c>
      <c r="D60">
        <v>47</v>
      </c>
      <c r="E60" t="s">
        <v>3</v>
      </c>
      <c r="F60">
        <f>IF(ISBLANK(D60),"",F59+INDEX($H$129:$H$188,D60))</f>
        <v>115</v>
      </c>
      <c r="G60" t="s">
        <v>3</v>
      </c>
    </row>
    <row r="61" spans="1:7" x14ac:dyDescent="0.15">
      <c r="A61" t="str">
        <f t="shared" si="2"/>
        <v>|Lv49|119|</v>
      </c>
      <c r="B61" t="s">
        <v>3</v>
      </c>
      <c r="C61" t="s">
        <v>8</v>
      </c>
      <c r="D61">
        <v>49</v>
      </c>
      <c r="E61" t="s">
        <v>3</v>
      </c>
      <c r="F61">
        <f>IF(ISBLANK(D61),"",F60+INDEX($H$129:$H$188,D61))</f>
        <v>119</v>
      </c>
      <c r="G61" t="s">
        <v>3</v>
      </c>
    </row>
    <row r="62" spans="1:7" x14ac:dyDescent="0.15">
      <c r="A62" t="str">
        <f t="shared" si="2"/>
        <v>|Lv51|123|</v>
      </c>
      <c r="B62" t="s">
        <v>3</v>
      </c>
      <c r="C62" t="s">
        <v>8</v>
      </c>
      <c r="D62">
        <v>51</v>
      </c>
      <c r="E62" t="s">
        <v>3</v>
      </c>
      <c r="F62">
        <f>IF(ISBLANK(D62),"",F61+INDEX($H$129:$H$188,D62))</f>
        <v>123</v>
      </c>
      <c r="G62" t="s">
        <v>3</v>
      </c>
    </row>
    <row r="63" spans="1:7" x14ac:dyDescent="0.15">
      <c r="A63" t="str">
        <f t="shared" si="2"/>
        <v>|Lv55|127|</v>
      </c>
      <c r="B63" t="s">
        <v>3</v>
      </c>
      <c r="C63" t="s">
        <v>8</v>
      </c>
      <c r="D63">
        <v>55</v>
      </c>
      <c r="E63" t="s">
        <v>3</v>
      </c>
      <c r="F63">
        <f>IF(ISBLANK(D63),"",F62+INDEX($H$129:$H$188,D63))</f>
        <v>127</v>
      </c>
      <c r="G63" t="s">
        <v>3</v>
      </c>
    </row>
    <row r="64" spans="1:7" x14ac:dyDescent="0.15">
      <c r="A64" t="str">
        <f t="shared" si="2"/>
        <v>|Lv57|131|</v>
      </c>
      <c r="B64" t="s">
        <v>3</v>
      </c>
      <c r="C64" t="s">
        <v>8</v>
      </c>
      <c r="D64">
        <v>57</v>
      </c>
      <c r="E64" t="s">
        <v>3</v>
      </c>
      <c r="F64">
        <f>IF(ISBLANK(D64),"",F63+INDEX($H$129:$H$188,D64))</f>
        <v>131</v>
      </c>
      <c r="G64" t="s">
        <v>3</v>
      </c>
    </row>
    <row r="65" spans="1:19" x14ac:dyDescent="0.15">
      <c r="A65" t="str">
        <f t="shared" si="2"/>
        <v>|Lv59|135|</v>
      </c>
      <c r="B65" t="s">
        <v>3</v>
      </c>
      <c r="C65" t="s">
        <v>8</v>
      </c>
      <c r="D65">
        <v>59</v>
      </c>
      <c r="E65" t="s">
        <v>3</v>
      </c>
      <c r="F65">
        <f>IF(ISBLANK(D65),"",F64+INDEX($H$129:$H$188,D65))</f>
        <v>135</v>
      </c>
      <c r="G65" t="s">
        <v>3</v>
      </c>
    </row>
    <row r="66" spans="1:19" x14ac:dyDescent="0.15">
      <c r="A66" t="str">
        <f>B66&amp;C66&amp;D66&amp;E66&amp;F66&amp;G66&amp;H66&amp;I66&amp;J66&amp;K66&amp;L66&amp;M66&amp;N66&amp;O66&amp;P66</f>
        <v>&amp;br;</v>
      </c>
      <c r="B66" t="s">
        <v>0</v>
      </c>
    </row>
    <row r="67" spans="1:19" x14ac:dyDescent="0.15">
      <c r="A67" t="str">
        <f>B67&amp;C67&amp;D67&amp;E67&amp;F67&amp;G67&amp;H67&amp;I67&amp;J67&amp;K67&amp;L67&amp;M67&amp;N67&amp;O67&amp;P67</f>
        <v>&amp;br;</v>
      </c>
      <c r="B67" t="s">
        <v>0</v>
      </c>
    </row>
    <row r="68" spans="1:19" x14ac:dyDescent="0.15">
      <c r="A68" t="str">
        <f>B68&amp;C68&amp;D68&amp;E68&amp;F68&amp;G68&amp;H68&amp;I68&amp;J68&amp;K68&amp;L68&amp;M68&amp;N68&amp;O68&amp;P68</f>
        <v>*マナボーナス [#q1a26f54]</v>
      </c>
      <c r="B68" t="s">
        <v>9</v>
      </c>
    </row>
    <row r="69" spans="1:19" x14ac:dyDescent="0.15">
      <c r="A69" t="str">
        <f t="shared" ref="A69:A78" si="3">B69&amp;C69&amp;D69&amp;G69&amp;H69&amp;I69&amp;J69&amp;K69&amp;L69&amp;M69&amp;N69&amp;O69&amp;P69&amp;Q69&amp;R69</f>
        <v>|LEFT:50|LEFT:50|LEFT:50|LEFT:50|LEFT:50|LEFT:50|c</v>
      </c>
      <c r="B69" t="s">
        <v>3</v>
      </c>
      <c r="C69" t="s">
        <v>4</v>
      </c>
      <c r="E69" t="s">
        <v>3</v>
      </c>
      <c r="G69" t="s">
        <v>3</v>
      </c>
      <c r="H69" t="s">
        <v>4</v>
      </c>
      <c r="I69" t="s">
        <v>3</v>
      </c>
      <c r="J69" t="s">
        <v>4</v>
      </c>
      <c r="K69" t="s">
        <v>3</v>
      </c>
      <c r="L69" t="s">
        <v>4</v>
      </c>
      <c r="M69" t="s">
        <v>3</v>
      </c>
      <c r="N69" t="s">
        <v>4</v>
      </c>
      <c r="O69" t="s">
        <v>3</v>
      </c>
      <c r="P69" t="s">
        <v>4</v>
      </c>
      <c r="Q69" t="s">
        <v>3</v>
      </c>
      <c r="R69" t="s">
        <v>5</v>
      </c>
    </row>
    <row r="70" spans="1:19" x14ac:dyDescent="0.15">
      <c r="A70" t="str">
        <f t="shared" si="3"/>
        <v>|レベル|白|青|黒|赤|緑|</v>
      </c>
      <c r="B70" t="s">
        <v>3</v>
      </c>
      <c r="C70" t="s">
        <v>6</v>
      </c>
      <c r="E70" t="s">
        <v>3</v>
      </c>
      <c r="F70" t="s">
        <v>10</v>
      </c>
      <c r="G70" t="s">
        <v>3</v>
      </c>
      <c r="H70" t="s">
        <v>11</v>
      </c>
      <c r="I70" t="s">
        <v>3</v>
      </c>
      <c r="J70" t="s">
        <v>12</v>
      </c>
      <c r="K70" t="s">
        <v>3</v>
      </c>
      <c r="L70" t="s">
        <v>13</v>
      </c>
      <c r="M70" t="s">
        <v>3</v>
      </c>
      <c r="N70" t="s">
        <v>14</v>
      </c>
      <c r="O70" t="s">
        <v>3</v>
      </c>
      <c r="P70" t="s">
        <v>15</v>
      </c>
      <c r="Q70" t="s">
        <v>3</v>
      </c>
      <c r="S70" t="s">
        <v>11</v>
      </c>
    </row>
    <row r="71" spans="1:19" x14ac:dyDescent="0.15">
      <c r="A71" t="str">
        <f t="shared" si="3"/>
        <v>|Lv1|-3|0|2|2|-3|</v>
      </c>
      <c r="B71" t="s">
        <v>3</v>
      </c>
      <c r="C71" t="s">
        <v>8</v>
      </c>
      <c r="D71">
        <v>1</v>
      </c>
      <c r="E71" t="s">
        <v>3</v>
      </c>
      <c r="G71" t="s">
        <v>3</v>
      </c>
      <c r="H71">
        <f>B208</f>
        <v>-3</v>
      </c>
      <c r="I71" t="s">
        <v>3</v>
      </c>
      <c r="J71">
        <f>C208</f>
        <v>0</v>
      </c>
      <c r="K71" t="s">
        <v>3</v>
      </c>
      <c r="L71">
        <f>D208</f>
        <v>2</v>
      </c>
      <c r="M71" t="s">
        <v>3</v>
      </c>
      <c r="N71">
        <f>E208</f>
        <v>2</v>
      </c>
      <c r="O71" t="s">
        <v>3</v>
      </c>
      <c r="P71">
        <f>F208</f>
        <v>-3</v>
      </c>
      <c r="Q71" t="s">
        <v>3</v>
      </c>
      <c r="S71" t="s">
        <v>12</v>
      </c>
    </row>
    <row r="72" spans="1:19" x14ac:dyDescent="0.15">
      <c r="A72" t="str">
        <f t="shared" si="3"/>
        <v>|Lv4|-3|0|3|2|-3|</v>
      </c>
      <c r="B72" t="s">
        <v>3</v>
      </c>
      <c r="C72" t="s">
        <v>8</v>
      </c>
      <c r="D72">
        <v>4</v>
      </c>
      <c r="E72" t="s">
        <v>3</v>
      </c>
      <c r="F72" t="str">
        <f>IF(ISBLANK(D72),"",INDEX($F$129:$F$188,D72))</f>
        <v>黒</v>
      </c>
      <c r="G72" t="s">
        <v>3</v>
      </c>
      <c r="H72">
        <f>H71+IF(H$70=$F72,1,0)</f>
        <v>-3</v>
      </c>
      <c r="I72" t="str">
        <f t="shared" ref="I72:Q80" si="4">I71</f>
        <v>|</v>
      </c>
      <c r="J72">
        <f>J71+IF(J$70=$F72,1,0)</f>
        <v>0</v>
      </c>
      <c r="K72" t="str">
        <f t="shared" si="4"/>
        <v>|</v>
      </c>
      <c r="L72">
        <f>L71+IF(L$70=$F72,1,0)</f>
        <v>3</v>
      </c>
      <c r="M72" t="str">
        <f t="shared" si="4"/>
        <v>|</v>
      </c>
      <c r="N72">
        <f>N71+IF(N$70=$F72,1,0)</f>
        <v>2</v>
      </c>
      <c r="O72" t="str">
        <f t="shared" si="4"/>
        <v>|</v>
      </c>
      <c r="P72">
        <f>P71+IF(P$70=$F72,1,0)</f>
        <v>-3</v>
      </c>
      <c r="Q72" t="str">
        <f t="shared" si="4"/>
        <v>|</v>
      </c>
      <c r="S72" t="s">
        <v>13</v>
      </c>
    </row>
    <row r="73" spans="1:19" x14ac:dyDescent="0.15">
      <c r="A73" t="str">
        <f t="shared" si="3"/>
        <v>|Lv12|-3|0|3|3|-3|</v>
      </c>
      <c r="B73" t="s">
        <v>3</v>
      </c>
      <c r="C73" t="s">
        <v>8</v>
      </c>
      <c r="D73">
        <v>12</v>
      </c>
      <c r="E73" t="s">
        <v>3</v>
      </c>
      <c r="F73" t="str">
        <f>IF(ISBLANK(D73),"",INDEX($F$129:$F$188,D73))</f>
        <v>赤</v>
      </c>
      <c r="G73" t="s">
        <v>3</v>
      </c>
      <c r="H73">
        <f t="shared" ref="H73:P78" si="5">H72+IF(H$70=$F73,1,0)</f>
        <v>-3</v>
      </c>
      <c r="I73" t="str">
        <f t="shared" si="4"/>
        <v>|</v>
      </c>
      <c r="J73">
        <f t="shared" si="5"/>
        <v>0</v>
      </c>
      <c r="K73" t="str">
        <f t="shared" si="4"/>
        <v>|</v>
      </c>
      <c r="L73">
        <f t="shared" si="5"/>
        <v>3</v>
      </c>
      <c r="M73" t="str">
        <f t="shared" si="4"/>
        <v>|</v>
      </c>
      <c r="N73">
        <f>N72+IF(N$70=$F73,1,0)</f>
        <v>3</v>
      </c>
      <c r="O73" t="str">
        <f t="shared" si="4"/>
        <v>|</v>
      </c>
      <c r="P73">
        <f t="shared" si="5"/>
        <v>-3</v>
      </c>
      <c r="Q73" t="str">
        <f t="shared" si="4"/>
        <v>|</v>
      </c>
      <c r="S73" t="s">
        <v>14</v>
      </c>
    </row>
    <row r="74" spans="1:19" x14ac:dyDescent="0.15">
      <c r="A74" t="str">
        <f t="shared" si="3"/>
        <v>|Lv18|-3|0|3|3|-2|</v>
      </c>
      <c r="B74" t="s">
        <v>3</v>
      </c>
      <c r="C74" t="s">
        <v>8</v>
      </c>
      <c r="D74">
        <v>18</v>
      </c>
      <c r="E74" t="s">
        <v>3</v>
      </c>
      <c r="F74" t="str">
        <f>IF(ISBLANK(D74),"",INDEX($F$129:$F$188,D74))</f>
        <v>緑</v>
      </c>
      <c r="G74" t="s">
        <v>3</v>
      </c>
      <c r="H74">
        <f t="shared" si="5"/>
        <v>-3</v>
      </c>
      <c r="I74" t="str">
        <f t="shared" si="4"/>
        <v>|</v>
      </c>
      <c r="J74">
        <f t="shared" si="5"/>
        <v>0</v>
      </c>
      <c r="K74" t="str">
        <f t="shared" si="4"/>
        <v>|</v>
      </c>
      <c r="L74">
        <f t="shared" si="5"/>
        <v>3</v>
      </c>
      <c r="M74" t="str">
        <f t="shared" si="4"/>
        <v>|</v>
      </c>
      <c r="N74">
        <f t="shared" si="5"/>
        <v>3</v>
      </c>
      <c r="O74" t="str">
        <f t="shared" si="4"/>
        <v>|</v>
      </c>
      <c r="P74">
        <f t="shared" si="5"/>
        <v>-2</v>
      </c>
      <c r="Q74" t="str">
        <f t="shared" si="4"/>
        <v>|</v>
      </c>
      <c r="S74" t="s">
        <v>15</v>
      </c>
    </row>
    <row r="75" spans="1:19" x14ac:dyDescent="0.15">
      <c r="A75" t="str">
        <f t="shared" si="3"/>
        <v>|Lv24|-1|0|3|3|-2|</v>
      </c>
      <c r="B75" t="s">
        <v>3</v>
      </c>
      <c r="C75" t="s">
        <v>8</v>
      </c>
      <c r="D75">
        <v>24</v>
      </c>
      <c r="E75" t="s">
        <v>3</v>
      </c>
      <c r="F75" t="str">
        <f>IF(ISBLANK(D75),"",INDEX($F$129:$F$188,D75))</f>
        <v>白</v>
      </c>
      <c r="G75" t="s">
        <v>3</v>
      </c>
      <c r="H75">
        <f>H74+IF(H$70=$F75,2,0)</f>
        <v>-1</v>
      </c>
      <c r="I75" t="str">
        <f t="shared" si="4"/>
        <v>|</v>
      </c>
      <c r="J75">
        <f t="shared" si="5"/>
        <v>0</v>
      </c>
      <c r="K75" t="str">
        <f t="shared" si="4"/>
        <v>|</v>
      </c>
      <c r="L75">
        <f t="shared" si="5"/>
        <v>3</v>
      </c>
      <c r="M75" t="str">
        <f t="shared" si="4"/>
        <v>|</v>
      </c>
      <c r="N75">
        <f t="shared" si="5"/>
        <v>3</v>
      </c>
      <c r="O75" t="str">
        <f t="shared" si="4"/>
        <v>|</v>
      </c>
      <c r="P75">
        <f>P74+IF(P$70=$F75,1,0)</f>
        <v>-2</v>
      </c>
      <c r="Q75" t="str">
        <f t="shared" si="4"/>
        <v>|</v>
      </c>
    </row>
    <row r="76" spans="1:19" x14ac:dyDescent="0.15">
      <c r="A76" t="str">
        <f t="shared" si="3"/>
        <v>|Lv32|-1|1|3|3|-2|</v>
      </c>
      <c r="B76" t="s">
        <v>3</v>
      </c>
      <c r="C76" t="s">
        <v>8</v>
      </c>
      <c r="D76">
        <v>32</v>
      </c>
      <c r="E76" t="s">
        <v>3</v>
      </c>
      <c r="F76" t="str">
        <f>IF(ISBLANK(D76),"",INDEX($F$129:$F$188,D76))</f>
        <v>青</v>
      </c>
      <c r="G76" t="s">
        <v>3</v>
      </c>
      <c r="H76">
        <f t="shared" si="5"/>
        <v>-1</v>
      </c>
      <c r="I76" t="str">
        <f t="shared" si="4"/>
        <v>|</v>
      </c>
      <c r="J76">
        <f t="shared" si="5"/>
        <v>1</v>
      </c>
      <c r="K76" t="str">
        <f t="shared" si="4"/>
        <v>|</v>
      </c>
      <c r="L76">
        <f t="shared" si="5"/>
        <v>3</v>
      </c>
      <c r="M76" t="str">
        <f t="shared" si="4"/>
        <v>|</v>
      </c>
      <c r="N76">
        <f t="shared" si="5"/>
        <v>3</v>
      </c>
      <c r="O76" t="str">
        <f t="shared" si="4"/>
        <v>|</v>
      </c>
      <c r="P76">
        <f t="shared" si="5"/>
        <v>-2</v>
      </c>
      <c r="Q76" t="str">
        <f t="shared" si="4"/>
        <v>|</v>
      </c>
    </row>
    <row r="77" spans="1:19" x14ac:dyDescent="0.15">
      <c r="A77" t="str">
        <f t="shared" si="3"/>
        <v>|Lv38|-1|1|4|3|-2|</v>
      </c>
      <c r="B77" t="s">
        <v>3</v>
      </c>
      <c r="C77" t="s">
        <v>8</v>
      </c>
      <c r="D77">
        <v>38</v>
      </c>
      <c r="E77" t="s">
        <v>3</v>
      </c>
      <c r="F77" t="str">
        <f>IF(ISBLANK(D77),"",INDEX($F$129:$F$188,D77))</f>
        <v>黒</v>
      </c>
      <c r="G77" t="s">
        <v>3</v>
      </c>
      <c r="H77">
        <f t="shared" si="5"/>
        <v>-1</v>
      </c>
      <c r="I77" t="str">
        <f t="shared" si="4"/>
        <v>|</v>
      </c>
      <c r="J77">
        <f t="shared" si="5"/>
        <v>1</v>
      </c>
      <c r="K77" t="str">
        <f t="shared" si="4"/>
        <v>|</v>
      </c>
      <c r="L77">
        <f t="shared" si="5"/>
        <v>4</v>
      </c>
      <c r="M77" t="str">
        <f t="shared" si="4"/>
        <v>|</v>
      </c>
      <c r="N77">
        <f t="shared" si="5"/>
        <v>3</v>
      </c>
      <c r="O77" t="str">
        <f t="shared" si="4"/>
        <v>|</v>
      </c>
      <c r="P77">
        <f t="shared" si="5"/>
        <v>-2</v>
      </c>
      <c r="Q77" t="str">
        <f t="shared" si="4"/>
        <v>|</v>
      </c>
    </row>
    <row r="78" spans="1:19" x14ac:dyDescent="0.15">
      <c r="A78" t="str">
        <f t="shared" si="3"/>
        <v>|Lv44|-1|1|4|4|-2|</v>
      </c>
      <c r="B78" t="s">
        <v>3</v>
      </c>
      <c r="C78" t="s">
        <v>8</v>
      </c>
      <c r="D78">
        <v>44</v>
      </c>
      <c r="E78" t="s">
        <v>3</v>
      </c>
      <c r="F78" t="str">
        <f>IF(ISBLANK(D78),"",INDEX($F$129:$F$188,D78))</f>
        <v>赤</v>
      </c>
      <c r="G78" t="s">
        <v>3</v>
      </c>
      <c r="H78">
        <f t="shared" si="5"/>
        <v>-1</v>
      </c>
      <c r="I78" t="str">
        <f t="shared" si="4"/>
        <v>|</v>
      </c>
      <c r="J78">
        <f t="shared" si="5"/>
        <v>1</v>
      </c>
      <c r="K78" t="str">
        <f t="shared" si="4"/>
        <v>|</v>
      </c>
      <c r="L78">
        <f t="shared" si="5"/>
        <v>4</v>
      </c>
      <c r="M78" t="str">
        <f t="shared" si="4"/>
        <v>|</v>
      </c>
      <c r="N78">
        <f t="shared" si="5"/>
        <v>4</v>
      </c>
      <c r="O78" t="str">
        <f t="shared" si="4"/>
        <v>|</v>
      </c>
      <c r="P78">
        <f>P77+IF(P$70=$F78,1,0)</f>
        <v>-2</v>
      </c>
      <c r="Q78" t="str">
        <f t="shared" si="4"/>
        <v>|</v>
      </c>
    </row>
    <row r="79" spans="1:19" x14ac:dyDescent="0.15">
      <c r="A79" t="str">
        <f>B79&amp;C79&amp;D79&amp;G79&amp;H79&amp;I79&amp;J79&amp;K79&amp;L79&amp;M79&amp;N79&amp;O79&amp;P79&amp;Q79&amp;R79</f>
        <v>|Lv52|-1|1|4|4|-1|</v>
      </c>
      <c r="B79" t="s">
        <v>3</v>
      </c>
      <c r="C79" t="s">
        <v>8</v>
      </c>
      <c r="D79">
        <v>52</v>
      </c>
      <c r="E79" t="s">
        <v>3</v>
      </c>
      <c r="F79" t="str">
        <f>IF(ISBLANK(D79),"",INDEX($F$129:$F$188,D79))</f>
        <v>緑</v>
      </c>
      <c r="G79" t="s">
        <v>3</v>
      </c>
      <c r="H79">
        <f>H78+IF(H$70=$F79,1,0)</f>
        <v>-1</v>
      </c>
      <c r="I79" t="str">
        <f t="shared" si="4"/>
        <v>|</v>
      </c>
      <c r="J79">
        <f>J78+IF(J$70=$F79,1,0)</f>
        <v>1</v>
      </c>
      <c r="K79" t="str">
        <f t="shared" si="4"/>
        <v>|</v>
      </c>
      <c r="L79">
        <f>L78+IF(L$70=$F79,1,0)</f>
        <v>4</v>
      </c>
      <c r="M79" t="str">
        <f t="shared" si="4"/>
        <v>|</v>
      </c>
      <c r="N79">
        <f>N78+IF(N$70=$F79,1,0)</f>
        <v>4</v>
      </c>
      <c r="O79" t="str">
        <f t="shared" si="4"/>
        <v>|</v>
      </c>
      <c r="P79">
        <f>P78+IF(P$70=$F79,1,0)</f>
        <v>-1</v>
      </c>
      <c r="Q79" t="str">
        <f t="shared" si="4"/>
        <v>|</v>
      </c>
    </row>
    <row r="80" spans="1:19" x14ac:dyDescent="0.15">
      <c r="A80" t="str">
        <f>B80&amp;C80&amp;D80&amp;G80&amp;H80&amp;I80&amp;J80&amp;K80&amp;L80&amp;M80&amp;N80&amp;O80&amp;P80&amp;Q80&amp;R80</f>
        <v>|Lv58|-1|2|4|4|-1|</v>
      </c>
      <c r="B80" t="s">
        <v>3</v>
      </c>
      <c r="C80" t="s">
        <v>8</v>
      </c>
      <c r="D80">
        <v>58</v>
      </c>
      <c r="E80" t="s">
        <v>3</v>
      </c>
      <c r="F80" t="str">
        <f>IF(ISBLANK(D80),"",INDEX($F$129:$F$188,D80))</f>
        <v>青</v>
      </c>
      <c r="G80" t="s">
        <v>3</v>
      </c>
      <c r="H80">
        <f>H79+IF(H$70=$F80,1,0)</f>
        <v>-1</v>
      </c>
      <c r="I80" t="str">
        <f t="shared" si="4"/>
        <v>|</v>
      </c>
      <c r="J80">
        <f>J79+IF(J$70=$F80,1,0)</f>
        <v>2</v>
      </c>
      <c r="K80" t="str">
        <f t="shared" si="4"/>
        <v>|</v>
      </c>
      <c r="L80">
        <f>L79+IF(L$70=$F80,1,0)</f>
        <v>4</v>
      </c>
      <c r="M80" t="str">
        <f t="shared" si="4"/>
        <v>|</v>
      </c>
      <c r="N80">
        <f>N79+IF(N$70=$F80,1,0)</f>
        <v>4</v>
      </c>
      <c r="O80" t="str">
        <f t="shared" si="4"/>
        <v>|</v>
      </c>
      <c r="P80">
        <f>P79+IF(P$70=$F80,1,0)</f>
        <v>-1</v>
      </c>
      <c r="Q80" t="str">
        <f t="shared" si="4"/>
        <v>|</v>
      </c>
    </row>
    <row r="81" spans="1:19" x14ac:dyDescent="0.15">
      <c r="A81" t="str">
        <f>B81&amp;C81&amp;D81&amp;E81&amp;F81&amp;G81&amp;H81&amp;I81&amp;J81&amp;K81&amp;L81&amp;M81&amp;N81&amp;O81&amp;P81</f>
        <v>&amp;br;</v>
      </c>
      <c r="B81" t="s">
        <v>0</v>
      </c>
    </row>
    <row r="82" spans="1:19" x14ac:dyDescent="0.15">
      <c r="A82" t="str">
        <f>B82&amp;C82&amp;D82&amp;E82&amp;F82&amp;G82&amp;H82&amp;I82&amp;J82&amp;K82&amp;L82&amp;M82&amp;N82&amp;O82&amp;P82</f>
        <v>&amp;br;</v>
      </c>
      <c r="B82" t="s">
        <v>0</v>
      </c>
    </row>
    <row r="83" spans="1:19" x14ac:dyDescent="0.15">
      <c r="A83" t="str">
        <f>B83&amp;C83&amp;D83&amp;E83&amp;F83&amp;G83&amp;H83&amp;I83&amp;J83&amp;K83&amp;L83&amp;M83&amp;N83&amp;O83&amp;P83</f>
        <v>*デッキ構築枚数上限 [#e6f382eb]</v>
      </c>
      <c r="B83" t="s">
        <v>16</v>
      </c>
    </row>
    <row r="84" spans="1:19" x14ac:dyDescent="0.15">
      <c r="A84" t="str">
        <f>B84&amp;C84&amp;D84&amp;E84&amp;F84&amp;G84&amp;H84&amp;I84&amp;J84&amp;K84&amp;L84&amp;M84&amp;N84&amp;O84&amp;P84</f>
        <v>構築枚数上限を越える枚数はデッキに入れられない。</v>
      </c>
      <c r="B84" t="s">
        <v>17</v>
      </c>
    </row>
    <row r="85" spans="1:19" x14ac:dyDescent="0.15">
      <c r="A85" t="str">
        <f t="shared" ref="A85:A94" si="6">B85&amp;C85&amp;D85&amp;G85&amp;H85&amp;I85&amp;J85&amp;K85&amp;L85&amp;M85&amp;N85&amp;O85&amp;P85&amp;Q85&amp;R85</f>
        <v>|LEFT:50|LEFT:80|LEFT:80|LEFT:80|c</v>
      </c>
      <c r="B85" t="s">
        <v>3</v>
      </c>
      <c r="C85" t="s">
        <v>4</v>
      </c>
      <c r="E85" t="s">
        <v>3</v>
      </c>
      <c r="G85" t="s">
        <v>3</v>
      </c>
      <c r="H85" t="s">
        <v>18</v>
      </c>
      <c r="I85" t="s">
        <v>3</v>
      </c>
      <c r="J85" t="s">
        <v>18</v>
      </c>
      <c r="K85" t="s">
        <v>3</v>
      </c>
      <c r="L85" t="s">
        <v>18</v>
      </c>
      <c r="M85" t="s">
        <v>3</v>
      </c>
      <c r="N85" t="s">
        <v>5</v>
      </c>
    </row>
    <row r="86" spans="1:19" x14ac:dyDescent="0.15">
      <c r="A86" t="str">
        <f t="shared" si="6"/>
        <v>|レベル|クリーチャー|呪文|サポート|</v>
      </c>
      <c r="B86" t="s">
        <v>3</v>
      </c>
      <c r="C86" t="s">
        <v>6</v>
      </c>
      <c r="E86" t="s">
        <v>3</v>
      </c>
      <c r="F86" t="s">
        <v>19</v>
      </c>
      <c r="G86" t="s">
        <v>3</v>
      </c>
      <c r="H86" t="s">
        <v>20</v>
      </c>
      <c r="I86" t="s">
        <v>3</v>
      </c>
      <c r="J86" t="s">
        <v>21</v>
      </c>
      <c r="K86" t="s">
        <v>3</v>
      </c>
      <c r="L86" t="s">
        <v>22</v>
      </c>
      <c r="M86" t="s">
        <v>3</v>
      </c>
      <c r="S86" t="s">
        <v>20</v>
      </c>
    </row>
    <row r="87" spans="1:19" x14ac:dyDescent="0.15">
      <c r="A87" t="str">
        <f t="shared" si="6"/>
        <v>|Lv1|4|3|3|</v>
      </c>
      <c r="B87" t="s">
        <v>3</v>
      </c>
      <c r="C87" t="s">
        <v>8</v>
      </c>
      <c r="D87">
        <v>1</v>
      </c>
      <c r="E87" t="s">
        <v>3</v>
      </c>
      <c r="G87" t="s">
        <v>3</v>
      </c>
      <c r="H87">
        <f>B206</f>
        <v>4</v>
      </c>
      <c r="I87" t="s">
        <v>3</v>
      </c>
      <c r="J87">
        <f>C206</f>
        <v>3</v>
      </c>
      <c r="K87" t="s">
        <v>3</v>
      </c>
      <c r="L87">
        <f>D206</f>
        <v>3</v>
      </c>
      <c r="M87" t="s">
        <v>3</v>
      </c>
      <c r="S87" t="s">
        <v>21</v>
      </c>
    </row>
    <row r="88" spans="1:19" x14ac:dyDescent="0.15">
      <c r="A88" t="str">
        <f t="shared" si="6"/>
        <v>|Lv2|5|3|3|</v>
      </c>
      <c r="B88" t="s">
        <v>3</v>
      </c>
      <c r="C88" t="s">
        <v>8</v>
      </c>
      <c r="D88">
        <v>2</v>
      </c>
      <c r="E88" t="s">
        <v>3</v>
      </c>
      <c r="F88" t="str">
        <f>IF(ISBLANK(D88),"",INDEX($F$129:$F$188,D88))</f>
        <v>クリーチャー</v>
      </c>
      <c r="G88" t="s">
        <v>3</v>
      </c>
      <c r="H88">
        <f>H87+IF(H$86=$F88,INDEX($H$129:$H$188,D88),0)</f>
        <v>5</v>
      </c>
      <c r="I88" t="s">
        <v>3</v>
      </c>
      <c r="J88">
        <f>J87+IF(J$86=$F88,INDEX($H$129:$H$188,D88),0)</f>
        <v>3</v>
      </c>
      <c r="K88" t="s">
        <v>3</v>
      </c>
      <c r="L88">
        <f>L87+IF(L$86=$F88,INDEX($H$129:$H$188,D88),0)</f>
        <v>3</v>
      </c>
      <c r="M88" t="s">
        <v>3</v>
      </c>
      <c r="S88" t="s">
        <v>22</v>
      </c>
    </row>
    <row r="89" spans="1:19" x14ac:dyDescent="0.15">
      <c r="A89" t="str">
        <f t="shared" si="6"/>
        <v>|Lv8|5|4|3|</v>
      </c>
      <c r="B89" t="s">
        <v>3</v>
      </c>
      <c r="C89" t="s">
        <v>8</v>
      </c>
      <c r="D89">
        <v>8</v>
      </c>
      <c r="E89" t="s">
        <v>3</v>
      </c>
      <c r="F89" t="str">
        <f>IF(ISBLANK(D89),"",INDEX($F$129:$F$188,D89))</f>
        <v>呪文</v>
      </c>
      <c r="G89" t="s">
        <v>3</v>
      </c>
      <c r="H89">
        <f>H88+IF(H$86=$F89,INDEX($H$129:$H$188,D89),0)</f>
        <v>5</v>
      </c>
      <c r="I89" t="s">
        <v>3</v>
      </c>
      <c r="J89">
        <f>J88+IF(J$86=$F89,INDEX($H$129:$H$188,D89),0)</f>
        <v>4</v>
      </c>
      <c r="K89" t="s">
        <v>3</v>
      </c>
      <c r="L89">
        <f>L88+IF(L$86=$F89,INDEX($H$129:$H$188,D89),0)</f>
        <v>3</v>
      </c>
      <c r="M89" t="s">
        <v>3</v>
      </c>
    </row>
    <row r="90" spans="1:19" x14ac:dyDescent="0.15">
      <c r="A90" t="str">
        <f t="shared" si="6"/>
        <v>|Lv14|5|4|4|</v>
      </c>
      <c r="B90" t="s">
        <v>3</v>
      </c>
      <c r="C90" t="s">
        <v>8</v>
      </c>
      <c r="D90">
        <v>14</v>
      </c>
      <c r="E90" t="s">
        <v>3</v>
      </c>
      <c r="F90" t="str">
        <f>IF(ISBLANK(D90),"",INDEX($F$129:$F$188,D90))</f>
        <v>サポート</v>
      </c>
      <c r="G90" t="s">
        <v>3</v>
      </c>
      <c r="H90">
        <f>H89+IF(H$86=$F90,INDEX($H$129:$H$188,D90),0)</f>
        <v>5</v>
      </c>
      <c r="I90" t="s">
        <v>3</v>
      </c>
      <c r="J90">
        <f>J89+IF(J$86=$F90,INDEX($H$129:$H$188,D90),0)</f>
        <v>4</v>
      </c>
      <c r="K90" t="s">
        <v>3</v>
      </c>
      <c r="L90">
        <f>L89+IF(L$86=$F90,INDEX($H$129:$H$188,D90),0)</f>
        <v>4</v>
      </c>
      <c r="M90" t="s">
        <v>3</v>
      </c>
    </row>
    <row r="91" spans="1:19" x14ac:dyDescent="0.15">
      <c r="A91" t="str">
        <f t="shared" si="6"/>
        <v>|Lv22|6|4|4|</v>
      </c>
      <c r="B91" t="s">
        <v>3</v>
      </c>
      <c r="C91" t="s">
        <v>8</v>
      </c>
      <c r="D91">
        <v>22</v>
      </c>
      <c r="E91" t="s">
        <v>3</v>
      </c>
      <c r="F91" t="str">
        <f>IF(ISBLANK(D91),"",INDEX($F$129:$F$188,D91))</f>
        <v>クリーチャー</v>
      </c>
      <c r="G91" t="s">
        <v>3</v>
      </c>
      <c r="H91">
        <f>H90+IF(H$86=$F91,INDEX($H$129:$H$188,D91),0)</f>
        <v>6</v>
      </c>
      <c r="I91" t="s">
        <v>3</v>
      </c>
      <c r="J91">
        <f>J90+IF(J$86=$F91,INDEX($H$129:$H$188,D91),0)</f>
        <v>4</v>
      </c>
      <c r="K91" t="s">
        <v>3</v>
      </c>
      <c r="L91">
        <f>L90+IF(L$86=$F91,INDEX($H$129:$H$188,D91),0)</f>
        <v>4</v>
      </c>
      <c r="M91" t="s">
        <v>3</v>
      </c>
    </row>
    <row r="92" spans="1:19" x14ac:dyDescent="0.15">
      <c r="A92" t="str">
        <f t="shared" si="6"/>
        <v>|Lv28|6|5|4|</v>
      </c>
      <c r="B92" t="s">
        <v>3</v>
      </c>
      <c r="C92" t="s">
        <v>8</v>
      </c>
      <c r="D92">
        <v>28</v>
      </c>
      <c r="E92" t="s">
        <v>3</v>
      </c>
      <c r="F92" t="str">
        <f>IF(ISBLANK(D92),"",INDEX($F$129:$F$188,D92))</f>
        <v>呪文</v>
      </c>
      <c r="G92" t="s">
        <v>3</v>
      </c>
      <c r="H92">
        <f>H91+IF(H$86=$F92,INDEX($H$129:$H$188,D92),0)</f>
        <v>6</v>
      </c>
      <c r="I92" t="s">
        <v>3</v>
      </c>
      <c r="J92">
        <f>J91+IF(J$86=$F92,INDEX($H$129:$H$188,D92),0)</f>
        <v>5</v>
      </c>
      <c r="K92" t="s">
        <v>3</v>
      </c>
      <c r="L92">
        <f>L91+IF(L$86=$F92,INDEX($H$129:$H$188,D92),0)</f>
        <v>4</v>
      </c>
      <c r="M92" t="s">
        <v>3</v>
      </c>
    </row>
    <row r="93" spans="1:19" x14ac:dyDescent="0.15">
      <c r="A93" t="str">
        <f t="shared" si="6"/>
        <v>|Lv34|6|5|5|</v>
      </c>
      <c r="B93" t="s">
        <v>3</v>
      </c>
      <c r="C93" t="s">
        <v>8</v>
      </c>
      <c r="D93">
        <v>34</v>
      </c>
      <c r="E93" t="s">
        <v>3</v>
      </c>
      <c r="F93" t="str">
        <f>IF(ISBLANK(D93),"",INDEX($F$129:$F$188,D93))</f>
        <v>サポート</v>
      </c>
      <c r="G93" t="s">
        <v>3</v>
      </c>
      <c r="H93">
        <f>H92+IF(H$86=$F93,INDEX($H$129:$H$188,D93),0)</f>
        <v>6</v>
      </c>
      <c r="I93" t="s">
        <v>3</v>
      </c>
      <c r="J93">
        <f>J92+IF(J$86=$F93,INDEX($H$129:$H$188,D93),0)</f>
        <v>5</v>
      </c>
      <c r="K93" t="s">
        <v>3</v>
      </c>
      <c r="L93">
        <f>L92+IF(L$86=$F93,INDEX($H$129:$H$188,D93),0)</f>
        <v>5</v>
      </c>
      <c r="M93" t="s">
        <v>3</v>
      </c>
    </row>
    <row r="94" spans="1:19" x14ac:dyDescent="0.15">
      <c r="A94" t="str">
        <f t="shared" si="6"/>
        <v>|Lv42|7|5|5|</v>
      </c>
      <c r="B94" t="s">
        <v>3</v>
      </c>
      <c r="C94" t="s">
        <v>8</v>
      </c>
      <c r="D94">
        <v>42</v>
      </c>
      <c r="E94" t="s">
        <v>3</v>
      </c>
      <c r="F94" t="str">
        <f>IF(ISBLANK(D94),"",INDEX($F$129:$F$188,D94))</f>
        <v>クリーチャー</v>
      </c>
      <c r="G94" t="s">
        <v>3</v>
      </c>
      <c r="H94">
        <f>H93+IF(H$86=$F94,INDEX($H$129:$H$188,D94),0)</f>
        <v>7</v>
      </c>
      <c r="I94" t="s">
        <v>3</v>
      </c>
      <c r="J94">
        <f>J93+IF(J$86=$F94,INDEX($H$129:$H$188,D94),0)</f>
        <v>5</v>
      </c>
      <c r="K94" t="s">
        <v>3</v>
      </c>
      <c r="L94">
        <f>L93+IF(L$86=$F94,INDEX($H$129:$H$188,D94),0)</f>
        <v>5</v>
      </c>
      <c r="M94" t="s">
        <v>3</v>
      </c>
    </row>
    <row r="95" spans="1:19" x14ac:dyDescent="0.15">
      <c r="A95" t="str">
        <f>B95&amp;C95&amp;D95&amp;G95&amp;H95&amp;I95&amp;J95&amp;K95&amp;L95&amp;M95&amp;N95&amp;O95&amp;P95&amp;Q95&amp;R95</f>
        <v>|Lv48|7|6|5|</v>
      </c>
      <c r="B95" t="s">
        <v>3</v>
      </c>
      <c r="C95" t="s">
        <v>8</v>
      </c>
      <c r="D95">
        <v>48</v>
      </c>
      <c r="E95" t="s">
        <v>3</v>
      </c>
      <c r="F95" t="str">
        <f>IF(ISBLANK(D95),"",INDEX($F$129:$F$188,D95))</f>
        <v>呪文</v>
      </c>
      <c r="G95" t="s">
        <v>3</v>
      </c>
      <c r="H95">
        <f>H94+IF(H$86=$F95,INDEX($H$129:$H$188,D95),0)</f>
        <v>7</v>
      </c>
      <c r="I95" t="s">
        <v>3</v>
      </c>
      <c r="J95">
        <f>J94+IF(J$86=$F95,INDEX($H$129:$H$188,D95),0)</f>
        <v>6</v>
      </c>
      <c r="K95" t="s">
        <v>3</v>
      </c>
      <c r="L95">
        <f>L94+IF(L$86=$F95,INDEX($H$129:$H$188,D95),0)</f>
        <v>5</v>
      </c>
      <c r="M95" t="s">
        <v>3</v>
      </c>
    </row>
    <row r="96" spans="1:19" x14ac:dyDescent="0.15">
      <c r="A96" t="str">
        <f>B96&amp;C96&amp;D96&amp;G96&amp;H96&amp;I96&amp;J96&amp;K96&amp;L96&amp;M96&amp;N96&amp;O96&amp;P96&amp;Q96&amp;R96</f>
        <v>|Lv54|7|6|6|</v>
      </c>
      <c r="B96" t="s">
        <v>3</v>
      </c>
      <c r="C96" t="s">
        <v>8</v>
      </c>
      <c r="D96">
        <v>54</v>
      </c>
      <c r="E96" t="s">
        <v>3</v>
      </c>
      <c r="F96" t="str">
        <f>IF(ISBLANK(D96),"",INDEX($F$129:$F$188,D96))</f>
        <v>サポート</v>
      </c>
      <c r="G96" t="s">
        <v>3</v>
      </c>
      <c r="H96">
        <f>H95+IF(H$86=$F96,INDEX($H$129:$H$188,D96),0)</f>
        <v>7</v>
      </c>
      <c r="I96" t="s">
        <v>3</v>
      </c>
      <c r="J96">
        <f>J95+IF(J$86=$F96,INDEX($H$129:$H$188,D96),0)</f>
        <v>6</v>
      </c>
      <c r="K96" t="s">
        <v>3</v>
      </c>
      <c r="L96">
        <f>L95+IF(L$86=$F96,INDEX($H$129:$H$188,D96),0)</f>
        <v>6</v>
      </c>
      <c r="M96" t="s">
        <v>3</v>
      </c>
    </row>
    <row r="97" spans="1:18" x14ac:dyDescent="0.15">
      <c r="A97" t="str">
        <f t="shared" ref="A97:A160" si="7">B97&amp;C97&amp;D97&amp;E97&amp;F97&amp;G97&amp;H97&amp;I97&amp;J97&amp;K97&amp;L97&amp;M97&amp;N97&amp;O97&amp;P97</f>
        <v>&amp;br;</v>
      </c>
      <c r="B97" t="s">
        <v>0</v>
      </c>
    </row>
    <row r="98" spans="1:18" x14ac:dyDescent="0.15">
      <c r="A98" t="str">
        <f t="shared" si="7"/>
        <v>&amp;br;</v>
      </c>
      <c r="B98" t="s">
        <v>0</v>
      </c>
    </row>
    <row r="99" spans="1:18" x14ac:dyDescent="0.15">
      <c r="A99" t="str">
        <f t="shared" si="7"/>
        <v>*PW能力一覧 [#a469e89f]</v>
      </c>
      <c r="B99" t="s">
        <v>23</v>
      </c>
    </row>
    <row r="100" spans="1:18" x14ac:dyDescent="0.15">
      <c r="A100" t="str">
        <f t="shared" si="7"/>
        <v>**第1能力：燃える連鎖/Flaming Chain</v>
      </c>
      <c r="B100" t="s">
        <v>24</v>
      </c>
      <c r="D100" s="8" t="s">
        <v>891</v>
      </c>
      <c r="E100" t="s">
        <v>25</v>
      </c>
      <c r="F100" t="s">
        <v>888</v>
      </c>
      <c r="R100" t="str">
        <f>D100&amp;E100&amp;F100</f>
        <v>燃える連鎖/Flaming Chain</v>
      </c>
    </row>
    <row r="101" spans="1:18" x14ac:dyDescent="0.15">
      <c r="A101" t="str">
        <f t="shared" si="7"/>
        <v>|LEFT:50|LEFT:50|LEFT:50|LEFT:300|c</v>
      </c>
      <c r="B101" t="s">
        <v>3</v>
      </c>
      <c r="C101" t="s">
        <v>4</v>
      </c>
      <c r="E101" t="s">
        <v>3</v>
      </c>
      <c r="F101" t="s">
        <v>4</v>
      </c>
      <c r="G101" t="s">
        <v>3</v>
      </c>
      <c r="H101" t="s">
        <v>4</v>
      </c>
      <c r="I101" t="s">
        <v>3</v>
      </c>
      <c r="J101" t="s">
        <v>26</v>
      </c>
      <c r="K101" t="s">
        <v>3</v>
      </c>
      <c r="L101" t="s">
        <v>5</v>
      </c>
    </row>
    <row r="102" spans="1:18" x14ac:dyDescent="0.15">
      <c r="A102" t="str">
        <f t="shared" si="7"/>
        <v>|解放Lv|レベル|コスト|効果|</v>
      </c>
      <c r="B102" t="s">
        <v>3</v>
      </c>
      <c r="C102" t="s">
        <v>27</v>
      </c>
      <c r="E102" t="s">
        <v>3</v>
      </c>
      <c r="F102" t="s">
        <v>6</v>
      </c>
      <c r="G102" t="s">
        <v>3</v>
      </c>
      <c r="H102" t="s">
        <v>28</v>
      </c>
      <c r="I102" t="s">
        <v>3</v>
      </c>
      <c r="J102" t="s">
        <v>29</v>
      </c>
      <c r="K102" t="s">
        <v>3</v>
      </c>
    </row>
    <row r="103" spans="1:18" x14ac:dyDescent="0.15">
      <c r="A103" t="str">
        <f t="shared" si="7"/>
        <v>|Lv6|Lv1|9|対戦相手に2点のダメージを与える。|</v>
      </c>
      <c r="B103" t="s">
        <v>3</v>
      </c>
      <c r="C103" t="s">
        <v>8</v>
      </c>
      <c r="D103">
        <v>6</v>
      </c>
      <c r="E103" t="s">
        <v>3</v>
      </c>
      <c r="F103" t="s">
        <v>30</v>
      </c>
      <c r="G103" t="s">
        <v>3</v>
      </c>
      <c r="H103">
        <v>9</v>
      </c>
      <c r="I103" t="s">
        <v>3</v>
      </c>
      <c r="J103" s="8" t="s">
        <v>892</v>
      </c>
      <c r="K103" t="s">
        <v>3</v>
      </c>
    </row>
    <row r="104" spans="1:18" x14ac:dyDescent="0.15">
      <c r="A104" t="str">
        <f t="shared" si="7"/>
        <v>|Lv20|Lv2|9|対戦相手に2点のダメージを与える。その後、対戦相手はカードを1枚捨てる。|</v>
      </c>
      <c r="B104" t="s">
        <v>3</v>
      </c>
      <c r="C104" t="s">
        <v>8</v>
      </c>
      <c r="D104">
        <v>20</v>
      </c>
      <c r="E104" t="s">
        <v>3</v>
      </c>
      <c r="F104" t="s">
        <v>31</v>
      </c>
      <c r="G104" t="s">
        <v>3</v>
      </c>
      <c r="H104">
        <f>H103</f>
        <v>9</v>
      </c>
      <c r="I104" t="s">
        <v>3</v>
      </c>
      <c r="J104" s="8" t="s">
        <v>893</v>
      </c>
      <c r="K104" t="s">
        <v>3</v>
      </c>
    </row>
    <row r="105" spans="1:18" x14ac:dyDescent="0.15">
      <c r="A105" t="str">
        <f t="shared" si="7"/>
        <v>|Lv36|Lv3|9|対戦相手に2点のダメージを与え、宝物を1つ見つける。その後、対戦相手はカードを1枚捨てる。|</v>
      </c>
      <c r="B105" t="s">
        <v>3</v>
      </c>
      <c r="C105" t="s">
        <v>8</v>
      </c>
      <c r="D105">
        <v>36</v>
      </c>
      <c r="E105" t="s">
        <v>3</v>
      </c>
      <c r="F105" t="s">
        <v>32</v>
      </c>
      <c r="G105" t="s">
        <v>3</v>
      </c>
      <c r="H105">
        <f>H104</f>
        <v>9</v>
      </c>
      <c r="I105" t="s">
        <v>3</v>
      </c>
      <c r="J105" s="8" t="s">
        <v>902</v>
      </c>
      <c r="K105" t="s">
        <v>3</v>
      </c>
    </row>
    <row r="106" spans="1:18" x14ac:dyDescent="0.15">
      <c r="A106" t="str">
        <f t="shared" si="7"/>
        <v>|Lv50|Lv4|9|対戦相手に2点のダメージを与え、宝物を2つ見つける。その後、対戦相手はカードを1枚捨てる。|</v>
      </c>
      <c r="B106" t="s">
        <v>3</v>
      </c>
      <c r="C106" t="s">
        <v>8</v>
      </c>
      <c r="D106">
        <v>50</v>
      </c>
      <c r="E106" t="s">
        <v>3</v>
      </c>
      <c r="F106" t="s">
        <v>33</v>
      </c>
      <c r="G106" t="s">
        <v>3</v>
      </c>
      <c r="H106">
        <f>H105</f>
        <v>9</v>
      </c>
      <c r="I106" t="s">
        <v>3</v>
      </c>
      <c r="J106" s="8" t="s">
        <v>903</v>
      </c>
      <c r="K106" t="s">
        <v>3</v>
      </c>
    </row>
    <row r="107" spans="1:18" x14ac:dyDescent="0.15">
      <c r="A107" t="str">
        <f t="shared" si="7"/>
        <v>&amp;br;</v>
      </c>
      <c r="B107" t="s">
        <v>0</v>
      </c>
    </row>
    <row r="108" spans="1:18" x14ac:dyDescent="0.15">
      <c r="A108" t="str">
        <f t="shared" si="7"/>
        <v>&amp;br;</v>
      </c>
      <c r="B108" t="s">
        <v>0</v>
      </c>
    </row>
    <row r="109" spans="1:18" x14ac:dyDescent="0.15">
      <c r="A109" t="str">
        <f t="shared" si="7"/>
        <v>**第2能力：船長の命令/Captain's Command</v>
      </c>
      <c r="B109" t="s">
        <v>34</v>
      </c>
      <c r="D109" s="8" t="s">
        <v>894</v>
      </c>
      <c r="E109" t="s">
        <v>25</v>
      </c>
      <c r="F109" t="s">
        <v>889</v>
      </c>
      <c r="R109" t="str">
        <f>D109&amp;E109&amp;F109</f>
        <v>船長の命令/Captain's Command</v>
      </c>
    </row>
    <row r="110" spans="1:18" x14ac:dyDescent="0.15">
      <c r="A110" t="str">
        <f t="shared" si="7"/>
        <v>|LEFT:50|LEFT:50|LEFT:50|LEFT:300|c</v>
      </c>
      <c r="B110" t="s">
        <v>3</v>
      </c>
      <c r="C110" t="s">
        <v>4</v>
      </c>
      <c r="E110" t="s">
        <v>3</v>
      </c>
      <c r="F110" t="s">
        <v>4</v>
      </c>
      <c r="G110" t="s">
        <v>3</v>
      </c>
      <c r="H110" t="s">
        <v>4</v>
      </c>
      <c r="I110" t="s">
        <v>3</v>
      </c>
      <c r="J110" t="s">
        <v>26</v>
      </c>
      <c r="K110" t="s">
        <v>3</v>
      </c>
      <c r="L110" t="s">
        <v>5</v>
      </c>
    </row>
    <row r="111" spans="1:18" x14ac:dyDescent="0.15">
      <c r="A111" t="str">
        <f t="shared" si="7"/>
        <v>|解放Lv|レベル|コスト|効果|</v>
      </c>
      <c r="B111" t="s">
        <v>3</v>
      </c>
      <c r="C111" t="s">
        <v>27</v>
      </c>
      <c r="E111" t="s">
        <v>3</v>
      </c>
      <c r="F111" t="s">
        <v>6</v>
      </c>
      <c r="G111" t="s">
        <v>3</v>
      </c>
      <c r="H111" t="s">
        <v>28</v>
      </c>
      <c r="I111" t="s">
        <v>3</v>
      </c>
      <c r="J111" t="s">
        <v>29</v>
      </c>
      <c r="K111" t="s">
        <v>3</v>
      </c>
    </row>
    <row r="112" spans="1:18" x14ac:dyDescent="0.15">
      <c r="A112" t="str">
        <f t="shared" si="7"/>
        <v>|Lv10|Lv1|12|マナ・コストが5以下のクリーチャー1体を対象とし、ターン終了時まで、それのコントロールを得る。それは速攻を得る。|</v>
      </c>
      <c r="B112" t="s">
        <v>3</v>
      </c>
      <c r="C112" t="s">
        <v>8</v>
      </c>
      <c r="D112">
        <v>10</v>
      </c>
      <c r="E112" t="s">
        <v>3</v>
      </c>
      <c r="F112" t="s">
        <v>30</v>
      </c>
      <c r="G112" t="s">
        <v>3</v>
      </c>
      <c r="H112">
        <v>12</v>
      </c>
      <c r="I112" t="s">
        <v>3</v>
      </c>
      <c r="J112" s="8" t="s">
        <v>896</v>
      </c>
      <c r="K112" t="s">
        <v>3</v>
      </c>
    </row>
    <row r="113" spans="1:19" x14ac:dyDescent="0.15">
      <c r="A113" t="str">
        <f t="shared" si="7"/>
        <v>|Lv26|Lv2|12|マナ・コストが10以下のクリーチャー1体を対象とし、ターン終了時まで、それのコントロールを得る。それは速攻を得る。|</v>
      </c>
      <c r="B113" t="s">
        <v>3</v>
      </c>
      <c r="C113" t="s">
        <v>8</v>
      </c>
      <c r="D113">
        <v>26</v>
      </c>
      <c r="E113" t="s">
        <v>3</v>
      </c>
      <c r="F113" t="s">
        <v>31</v>
      </c>
      <c r="G113" t="s">
        <v>3</v>
      </c>
      <c r="H113">
        <f>H112</f>
        <v>12</v>
      </c>
      <c r="I113" t="s">
        <v>3</v>
      </c>
      <c r="J113" s="8" t="s">
        <v>895</v>
      </c>
      <c r="K113" t="s">
        <v>3</v>
      </c>
    </row>
    <row r="114" spans="1:19" x14ac:dyDescent="0.15">
      <c r="A114" t="str">
        <f t="shared" si="7"/>
        <v>|Lv40|Lv3|12|マナ・コストが15以下のクリーチャー1体を対象とし、ターン終了時まで、それのコントロールを得る。それは速攻を得る。|</v>
      </c>
      <c r="B114" t="s">
        <v>3</v>
      </c>
      <c r="C114" t="s">
        <v>8</v>
      </c>
      <c r="D114">
        <v>40</v>
      </c>
      <c r="E114" t="s">
        <v>3</v>
      </c>
      <c r="F114" t="s">
        <v>32</v>
      </c>
      <c r="G114" t="s">
        <v>3</v>
      </c>
      <c r="H114">
        <f>H113</f>
        <v>12</v>
      </c>
      <c r="I114" t="s">
        <v>3</v>
      </c>
      <c r="J114" s="8" t="s">
        <v>897</v>
      </c>
      <c r="K114" t="s">
        <v>3</v>
      </c>
    </row>
    <row r="115" spans="1:19" x14ac:dyDescent="0.15">
      <c r="A115" t="str">
        <f t="shared" si="7"/>
        <v>|Lv56|Lv4|12|マナ・コストが15以下のクリーチャー1体を対象とし、ターン終了時まで、それのコントロールを得る。それは速攻と「ターン終了時にこのクリーチャーを破壊する」を得る。|</v>
      </c>
      <c r="B115" t="s">
        <v>3</v>
      </c>
      <c r="C115" t="s">
        <v>8</v>
      </c>
      <c r="D115">
        <v>56</v>
      </c>
      <c r="E115" t="s">
        <v>3</v>
      </c>
      <c r="F115" t="s">
        <v>33</v>
      </c>
      <c r="G115" t="s">
        <v>3</v>
      </c>
      <c r="H115">
        <f>H114</f>
        <v>12</v>
      </c>
      <c r="I115" t="s">
        <v>3</v>
      </c>
      <c r="J115" s="8" t="s">
        <v>898</v>
      </c>
      <c r="K115" t="s">
        <v>3</v>
      </c>
    </row>
    <row r="116" spans="1:19" x14ac:dyDescent="0.15">
      <c r="A116" t="str">
        <f t="shared" si="7"/>
        <v>&amp;br;</v>
      </c>
      <c r="B116" t="s">
        <v>0</v>
      </c>
    </row>
    <row r="117" spans="1:19" x14ac:dyDescent="0.15">
      <c r="A117" t="str">
        <f t="shared" si="7"/>
        <v>&amp;br;</v>
      </c>
      <c r="B117" t="s">
        <v>0</v>
      </c>
    </row>
    <row r="118" spans="1:19" x14ac:dyDescent="0.15">
      <c r="A118" t="str">
        <f t="shared" si="7"/>
        <v>**第3能力：焦熱の死/Fiery Demise</v>
      </c>
      <c r="B118" t="s">
        <v>35</v>
      </c>
      <c r="D118" s="8" t="s">
        <v>899</v>
      </c>
      <c r="E118" t="s">
        <v>25</v>
      </c>
      <c r="F118" t="s">
        <v>890</v>
      </c>
      <c r="R118" t="str">
        <f>D118&amp;E118&amp;F118</f>
        <v>焦熱の死/Fiery Demise</v>
      </c>
    </row>
    <row r="119" spans="1:19" x14ac:dyDescent="0.15">
      <c r="A119" t="str">
        <f t="shared" si="7"/>
        <v>|LEFT:50|LEFT:50|LEFT:50|LEFT:300|c</v>
      </c>
      <c r="B119" t="s">
        <v>3</v>
      </c>
      <c r="C119" t="s">
        <v>4</v>
      </c>
      <c r="E119" t="s">
        <v>3</v>
      </c>
      <c r="F119" t="s">
        <v>4</v>
      </c>
      <c r="G119" t="s">
        <v>3</v>
      </c>
      <c r="H119" t="s">
        <v>4</v>
      </c>
      <c r="I119" t="s">
        <v>3</v>
      </c>
      <c r="J119" t="s">
        <v>26</v>
      </c>
      <c r="K119" t="s">
        <v>3</v>
      </c>
      <c r="L119" t="s">
        <v>5</v>
      </c>
    </row>
    <row r="120" spans="1:19" x14ac:dyDescent="0.15">
      <c r="A120" t="str">
        <f t="shared" si="7"/>
        <v>|解放Lv|レベル|コスト|効果|</v>
      </c>
      <c r="B120" t="s">
        <v>3</v>
      </c>
      <c r="C120" t="s">
        <v>27</v>
      </c>
      <c r="E120" t="s">
        <v>3</v>
      </c>
      <c r="F120" t="s">
        <v>6</v>
      </c>
      <c r="G120" t="s">
        <v>3</v>
      </c>
      <c r="H120" t="s">
        <v>28</v>
      </c>
      <c r="I120" t="s">
        <v>3</v>
      </c>
      <c r="J120" t="s">
        <v>29</v>
      </c>
      <c r="K120" t="s">
        <v>3</v>
      </c>
    </row>
    <row r="121" spans="1:19" x14ac:dyDescent="0.15">
      <c r="A121" t="str">
        <f t="shared" si="7"/>
        <v>|Lv16|Lv1|18|「いずれかの領域からクリーチャーが対戦相手の墓地の置かれるたび、対戦相手に2点のダメージを与える。」を持つサポートを生成する。|</v>
      </c>
      <c r="B121" t="s">
        <v>3</v>
      </c>
      <c r="C121" t="s">
        <v>8</v>
      </c>
      <c r="D121">
        <v>16</v>
      </c>
      <c r="E121" t="s">
        <v>3</v>
      </c>
      <c r="F121" t="s">
        <v>30</v>
      </c>
      <c r="G121" t="s">
        <v>3</v>
      </c>
      <c r="H121">
        <v>18</v>
      </c>
      <c r="I121" t="s">
        <v>3</v>
      </c>
      <c r="J121" s="8" t="s">
        <v>904</v>
      </c>
      <c r="K121" t="s">
        <v>3</v>
      </c>
    </row>
    <row r="122" spans="1:19" x14ac:dyDescent="0.15">
      <c r="A122" t="str">
        <f t="shared" si="7"/>
        <v>|Lv30|Lv2|18|「いずれかの領域からクリーチャーかサポートが対戦相手の墓地の置かれるたび、対戦相手に3点のダメージを与える。」を持つサポートを生成する。|</v>
      </c>
      <c r="B122" t="s">
        <v>3</v>
      </c>
      <c r="C122" t="s">
        <v>8</v>
      </c>
      <c r="D122">
        <v>30</v>
      </c>
      <c r="E122" t="s">
        <v>3</v>
      </c>
      <c r="F122" t="s">
        <v>31</v>
      </c>
      <c r="G122" t="s">
        <v>3</v>
      </c>
      <c r="H122">
        <f>H121</f>
        <v>18</v>
      </c>
      <c r="I122" t="s">
        <v>3</v>
      </c>
      <c r="J122" s="8" t="s">
        <v>900</v>
      </c>
      <c r="K122" t="s">
        <v>3</v>
      </c>
    </row>
    <row r="123" spans="1:19" x14ac:dyDescent="0.15">
      <c r="A123" t="str">
        <f t="shared" si="7"/>
        <v>|Lv46|Lv3|18|「いずれかの領域からクリーチャーかサポートが対戦相手の墓地の置かれるたび、対戦相手に6点のダメージを与える。」を持つサポートを生成する。|</v>
      </c>
      <c r="B123" t="s">
        <v>3</v>
      </c>
      <c r="C123" t="s">
        <v>8</v>
      </c>
      <c r="D123">
        <v>46</v>
      </c>
      <c r="E123" t="s">
        <v>3</v>
      </c>
      <c r="F123" t="s">
        <v>32</v>
      </c>
      <c r="G123" t="s">
        <v>3</v>
      </c>
      <c r="H123">
        <f>H122</f>
        <v>18</v>
      </c>
      <c r="I123" t="s">
        <v>3</v>
      </c>
      <c r="J123" s="8" t="s">
        <v>901</v>
      </c>
      <c r="K123" t="s">
        <v>3</v>
      </c>
    </row>
    <row r="124" spans="1:19" x14ac:dyDescent="0.15">
      <c r="A124" t="str">
        <f t="shared" si="7"/>
        <v>|Lv60|Lv4|18|「いずれかの領域からカードが対戦相手の墓地の置かれるたび、対戦相手に6点のダメージを与える。」を持つサポートを生成する。|</v>
      </c>
      <c r="B124" t="s">
        <v>3</v>
      </c>
      <c r="C124" t="s">
        <v>8</v>
      </c>
      <c r="D124">
        <v>60</v>
      </c>
      <c r="E124" t="s">
        <v>3</v>
      </c>
      <c r="F124" t="s">
        <v>33</v>
      </c>
      <c r="G124" t="s">
        <v>3</v>
      </c>
      <c r="H124">
        <f>H123</f>
        <v>18</v>
      </c>
      <c r="I124" t="s">
        <v>3</v>
      </c>
      <c r="J124" s="8" t="s">
        <v>905</v>
      </c>
      <c r="K124" t="s">
        <v>3</v>
      </c>
    </row>
    <row r="125" spans="1:19" x14ac:dyDescent="0.15">
      <c r="A125" t="str">
        <f t="shared" si="7"/>
        <v>&amp;br;</v>
      </c>
      <c r="B125" t="s">
        <v>0</v>
      </c>
    </row>
    <row r="126" spans="1:19" x14ac:dyDescent="0.15">
      <c r="A126" t="str">
        <f t="shared" si="7"/>
        <v>&amp;br;</v>
      </c>
      <c r="B126" t="s">
        <v>0</v>
      </c>
    </row>
    <row r="127" spans="1:19" x14ac:dyDescent="0.15">
      <c r="A127" t="str">
        <f t="shared" si="7"/>
        <v>*レベルアップ報酬一覧</v>
      </c>
      <c r="B127" s="8" t="s">
        <v>666</v>
      </c>
      <c r="S127" s="8" t="s">
        <v>720</v>
      </c>
    </row>
    <row r="128" spans="1:19" x14ac:dyDescent="0.15">
      <c r="A128" t="str">
        <f t="shared" si="7"/>
        <v>|LEFT:50|LEFT:100|c</v>
      </c>
      <c r="B128" t="s">
        <v>3</v>
      </c>
      <c r="C128" t="s">
        <v>4</v>
      </c>
      <c r="E128" t="s">
        <v>3</v>
      </c>
      <c r="F128" t="s">
        <v>37</v>
      </c>
      <c r="I128" t="s">
        <v>3</v>
      </c>
      <c r="J128" t="s">
        <v>5</v>
      </c>
      <c r="R128" s="8" t="s">
        <v>654</v>
      </c>
    </row>
    <row r="129" spans="1:19" x14ac:dyDescent="0.15">
      <c r="A129" t="str">
        <f t="shared" si="7"/>
        <v>|レベル|報酬|</v>
      </c>
      <c r="B129" t="s">
        <v>3</v>
      </c>
      <c r="C129" t="s">
        <v>6</v>
      </c>
      <c r="E129" t="s">
        <v>3</v>
      </c>
      <c r="F129" t="s">
        <v>38</v>
      </c>
      <c r="I129" t="s">
        <v>3</v>
      </c>
      <c r="Q129" t="s">
        <v>7</v>
      </c>
      <c r="R129">
        <v>3</v>
      </c>
      <c r="S129">
        <v>2</v>
      </c>
    </row>
    <row r="130" spans="1:19" x14ac:dyDescent="0.15">
      <c r="A130" t="str">
        <f t="shared" si="7"/>
        <v>|Lｖ2|クリーチャー+1|</v>
      </c>
      <c r="B130" t="s">
        <v>3</v>
      </c>
      <c r="C130" t="s">
        <v>39</v>
      </c>
      <c r="D130">
        <v>2</v>
      </c>
      <c r="E130" t="s">
        <v>3</v>
      </c>
      <c r="F130" t="s">
        <v>20</v>
      </c>
      <c r="G130" t="str">
        <f t="shared" ref="G130:G144" si="8">IF(OR(F130=$Q$138,F130=$Q$139,F130=$Q$140,F130=$Q$141,ISBLANK(F130)),"","+")</f>
        <v>+</v>
      </c>
      <c r="H130">
        <f>IF(F130="HP",IF($S$128="交互",IF(ISODD((D130-1)/2),$R$129,$S$129),$R$129),IF(F130="","",VLOOKUP(F130,$Q$129:$R$142,2,FALSE)))</f>
        <v>1</v>
      </c>
      <c r="I130" t="s">
        <v>3</v>
      </c>
      <c r="Q130" t="s">
        <v>20</v>
      </c>
      <c r="R130">
        <v>1</v>
      </c>
    </row>
    <row r="131" spans="1:19" x14ac:dyDescent="0.15">
      <c r="A131" t="str">
        <f t="shared" si="7"/>
        <v>|Lｖ3|HP+3|</v>
      </c>
      <c r="B131" t="s">
        <v>3</v>
      </c>
      <c r="C131" t="s">
        <v>39</v>
      </c>
      <c r="D131">
        <v>3</v>
      </c>
      <c r="E131" t="s">
        <v>3</v>
      </c>
      <c r="F131" t="s">
        <v>7</v>
      </c>
      <c r="G131" t="str">
        <f t="shared" si="8"/>
        <v>+</v>
      </c>
      <c r="H131">
        <f t="shared" ref="H131:H187" si="9">IF(F131="HP",IF($S$128="交互",IF(ISODD((D131-1)/2),$R$129,$S$129),$R$129),IF(F131="","",VLOOKUP(F131,$Q$129:$R$142,2,FALSE)))</f>
        <v>3</v>
      </c>
      <c r="I131" t="s">
        <v>3</v>
      </c>
      <c r="Q131" t="s">
        <v>21</v>
      </c>
      <c r="R131">
        <v>1</v>
      </c>
    </row>
    <row r="132" spans="1:19" x14ac:dyDescent="0.15">
      <c r="A132" t="str">
        <f t="shared" si="7"/>
        <v>|Lｖ4|黒+1|</v>
      </c>
      <c r="B132" t="s">
        <v>3</v>
      </c>
      <c r="C132" t="s">
        <v>39</v>
      </c>
      <c r="D132">
        <v>4</v>
      </c>
      <c r="E132" t="s">
        <v>3</v>
      </c>
      <c r="F132" t="s">
        <v>13</v>
      </c>
      <c r="G132" t="str">
        <f t="shared" si="8"/>
        <v>+</v>
      </c>
      <c r="H132">
        <f t="shared" si="9"/>
        <v>1</v>
      </c>
      <c r="I132" t="s">
        <v>3</v>
      </c>
      <c r="Q132" t="s">
        <v>22</v>
      </c>
      <c r="R132">
        <v>1</v>
      </c>
    </row>
    <row r="133" spans="1:19" x14ac:dyDescent="0.15">
      <c r="A133" t="str">
        <f t="shared" si="7"/>
        <v>|Lｖ5|HP+3|</v>
      </c>
      <c r="B133" t="s">
        <v>3</v>
      </c>
      <c r="C133" t="s">
        <v>39</v>
      </c>
      <c r="D133">
        <v>5</v>
      </c>
      <c r="E133" t="s">
        <v>3</v>
      </c>
      <c r="F133" t="s">
        <v>7</v>
      </c>
      <c r="G133" t="str">
        <f t="shared" si="8"/>
        <v>+</v>
      </c>
      <c r="H133">
        <f t="shared" si="9"/>
        <v>3</v>
      </c>
      <c r="I133" t="s">
        <v>3</v>
      </c>
      <c r="Q133" t="s">
        <v>11</v>
      </c>
      <c r="R133">
        <v>1</v>
      </c>
    </row>
    <row r="134" spans="1:19" x14ac:dyDescent="0.15">
      <c r="A134" t="str">
        <f t="shared" si="7"/>
        <v>|Lｖ6|第1能力Lv1|</v>
      </c>
      <c r="B134" t="s">
        <v>3</v>
      </c>
      <c r="C134" t="s">
        <v>39</v>
      </c>
      <c r="D134">
        <v>6</v>
      </c>
      <c r="E134" t="s">
        <v>3</v>
      </c>
      <c r="F134" t="s">
        <v>40</v>
      </c>
      <c r="G134" t="str">
        <f t="shared" si="8"/>
        <v/>
      </c>
      <c r="H134">
        <v>1</v>
      </c>
      <c r="I134" t="s">
        <v>3</v>
      </c>
      <c r="Q134" t="s">
        <v>12</v>
      </c>
      <c r="R134">
        <v>1</v>
      </c>
    </row>
    <row r="135" spans="1:19" x14ac:dyDescent="0.15">
      <c r="A135" t="str">
        <f t="shared" si="7"/>
        <v>|Lｖ7|HP+3|</v>
      </c>
      <c r="B135" t="s">
        <v>3</v>
      </c>
      <c r="C135" t="s">
        <v>39</v>
      </c>
      <c r="D135">
        <v>7</v>
      </c>
      <c r="E135" t="s">
        <v>3</v>
      </c>
      <c r="F135" t="s">
        <v>7</v>
      </c>
      <c r="G135" t="str">
        <f t="shared" si="8"/>
        <v>+</v>
      </c>
      <c r="H135">
        <f t="shared" si="9"/>
        <v>3</v>
      </c>
      <c r="I135" t="s">
        <v>3</v>
      </c>
      <c r="Q135" t="s">
        <v>13</v>
      </c>
      <c r="R135">
        <v>1</v>
      </c>
    </row>
    <row r="136" spans="1:19" x14ac:dyDescent="0.15">
      <c r="A136" t="str">
        <f t="shared" si="7"/>
        <v>|Lｖ8|呪文+1|</v>
      </c>
      <c r="B136" t="s">
        <v>3</v>
      </c>
      <c r="C136" t="s">
        <v>39</v>
      </c>
      <c r="D136">
        <v>8</v>
      </c>
      <c r="E136" t="s">
        <v>3</v>
      </c>
      <c r="F136" t="s">
        <v>21</v>
      </c>
      <c r="G136" t="str">
        <f t="shared" si="8"/>
        <v>+</v>
      </c>
      <c r="H136">
        <f t="shared" si="9"/>
        <v>1</v>
      </c>
      <c r="I136" t="s">
        <v>3</v>
      </c>
      <c r="Q136" t="s">
        <v>14</v>
      </c>
      <c r="R136">
        <v>1</v>
      </c>
    </row>
    <row r="137" spans="1:19" x14ac:dyDescent="0.15">
      <c r="A137" t="str">
        <f t="shared" si="7"/>
        <v>|Lｖ9|HP+3|</v>
      </c>
      <c r="B137" t="s">
        <v>3</v>
      </c>
      <c r="C137" t="s">
        <v>39</v>
      </c>
      <c r="D137">
        <v>9</v>
      </c>
      <c r="E137" t="s">
        <v>3</v>
      </c>
      <c r="F137" t="s">
        <v>7</v>
      </c>
      <c r="G137" t="str">
        <f t="shared" si="8"/>
        <v>+</v>
      </c>
      <c r="H137">
        <f t="shared" si="9"/>
        <v>3</v>
      </c>
      <c r="I137" t="s">
        <v>3</v>
      </c>
      <c r="Q137" t="s">
        <v>15</v>
      </c>
      <c r="R137">
        <v>1</v>
      </c>
    </row>
    <row r="138" spans="1:19" x14ac:dyDescent="0.15">
      <c r="A138" t="str">
        <f t="shared" si="7"/>
        <v>|Lｖ10|第2能力Lv1|</v>
      </c>
      <c r="B138" t="s">
        <v>3</v>
      </c>
      <c r="C138" t="s">
        <v>39</v>
      </c>
      <c r="D138">
        <v>10</v>
      </c>
      <c r="E138" t="s">
        <v>3</v>
      </c>
      <c r="F138" t="s">
        <v>41</v>
      </c>
      <c r="G138" t="str">
        <f t="shared" si="8"/>
        <v/>
      </c>
      <c r="H138">
        <v>1</v>
      </c>
      <c r="I138" t="s">
        <v>3</v>
      </c>
      <c r="Q138" t="s">
        <v>40</v>
      </c>
    </row>
    <row r="139" spans="1:19" x14ac:dyDescent="0.15">
      <c r="A139" t="str">
        <f t="shared" si="7"/>
        <v>|Lｖ11|HP+3|</v>
      </c>
      <c r="B139" t="s">
        <v>3</v>
      </c>
      <c r="C139" t="s">
        <v>39</v>
      </c>
      <c r="D139">
        <v>11</v>
      </c>
      <c r="E139" t="s">
        <v>3</v>
      </c>
      <c r="F139" t="s">
        <v>7</v>
      </c>
      <c r="G139" t="str">
        <f t="shared" si="8"/>
        <v>+</v>
      </c>
      <c r="H139">
        <f t="shared" si="9"/>
        <v>3</v>
      </c>
      <c r="I139" t="s">
        <v>3</v>
      </c>
      <c r="Q139" t="s">
        <v>41</v>
      </c>
    </row>
    <row r="140" spans="1:19" x14ac:dyDescent="0.15">
      <c r="A140" t="str">
        <f t="shared" si="7"/>
        <v>|Lｖ12|赤+1|</v>
      </c>
      <c r="B140" t="s">
        <v>3</v>
      </c>
      <c r="C140" t="s">
        <v>39</v>
      </c>
      <c r="D140">
        <v>12</v>
      </c>
      <c r="E140" t="s">
        <v>3</v>
      </c>
      <c r="F140" t="s">
        <v>14</v>
      </c>
      <c r="G140" t="str">
        <f t="shared" si="8"/>
        <v>+</v>
      </c>
      <c r="H140">
        <v>1</v>
      </c>
      <c r="I140" t="s">
        <v>3</v>
      </c>
      <c r="Q140" t="s">
        <v>42</v>
      </c>
    </row>
    <row r="141" spans="1:19" x14ac:dyDescent="0.15">
      <c r="A141" t="str">
        <f t="shared" si="7"/>
        <v>|Lｖ13|HP+3|</v>
      </c>
      <c r="B141" t="s">
        <v>3</v>
      </c>
      <c r="C141" t="s">
        <v>39</v>
      </c>
      <c r="D141">
        <v>13</v>
      </c>
      <c r="E141" t="s">
        <v>3</v>
      </c>
      <c r="F141" t="s">
        <v>7</v>
      </c>
      <c r="G141" t="str">
        <f t="shared" si="8"/>
        <v>+</v>
      </c>
      <c r="H141">
        <f t="shared" si="9"/>
        <v>3</v>
      </c>
      <c r="I141" t="s">
        <v>3</v>
      </c>
      <c r="Q141" t="s">
        <v>43</v>
      </c>
      <c r="R141" s="8" t="s">
        <v>665</v>
      </c>
    </row>
    <row r="142" spans="1:19" x14ac:dyDescent="0.15">
      <c r="A142" t="str">
        <f t="shared" si="7"/>
        <v>|Lｖ14|サポート+1|</v>
      </c>
      <c r="B142" t="s">
        <v>3</v>
      </c>
      <c r="C142" t="s">
        <v>39</v>
      </c>
      <c r="D142">
        <v>14</v>
      </c>
      <c r="E142" t="s">
        <v>3</v>
      </c>
      <c r="F142" t="s">
        <v>22</v>
      </c>
      <c r="G142" t="str">
        <f t="shared" si="8"/>
        <v>+</v>
      </c>
      <c r="H142">
        <f t="shared" si="9"/>
        <v>1</v>
      </c>
      <c r="I142" t="s">
        <v>3</v>
      </c>
    </row>
    <row r="143" spans="1:19" x14ac:dyDescent="0.15">
      <c r="A143" t="str">
        <f t="shared" si="7"/>
        <v>|Lｖ15|HP+3|</v>
      </c>
      <c r="B143" t="s">
        <v>3</v>
      </c>
      <c r="C143" t="s">
        <v>39</v>
      </c>
      <c r="D143">
        <v>15</v>
      </c>
      <c r="E143" t="s">
        <v>3</v>
      </c>
      <c r="F143" t="s">
        <v>7</v>
      </c>
      <c r="G143" t="str">
        <f t="shared" si="8"/>
        <v>+</v>
      </c>
      <c r="H143">
        <f t="shared" si="9"/>
        <v>3</v>
      </c>
      <c r="I143" t="s">
        <v>3</v>
      </c>
    </row>
    <row r="144" spans="1:19" x14ac:dyDescent="0.15">
      <c r="A144" t="str">
        <f t="shared" si="7"/>
        <v>|Lｖ16|第3能力Lv1|</v>
      </c>
      <c r="B144" t="s">
        <v>3</v>
      </c>
      <c r="C144" t="s">
        <v>39</v>
      </c>
      <c r="D144">
        <v>16</v>
      </c>
      <c r="E144" t="s">
        <v>3</v>
      </c>
      <c r="F144" t="s">
        <v>42</v>
      </c>
      <c r="G144" t="str">
        <f t="shared" si="8"/>
        <v/>
      </c>
      <c r="H144">
        <v>1</v>
      </c>
      <c r="I144" t="s">
        <v>3</v>
      </c>
    </row>
    <row r="145" spans="1:9" x14ac:dyDescent="0.15">
      <c r="A145" t="str">
        <f t="shared" si="7"/>
        <v>|Lｖ17|回復速度上昇 |</v>
      </c>
      <c r="B145" t="s">
        <v>3</v>
      </c>
      <c r="C145" t="s">
        <v>39</v>
      </c>
      <c r="D145">
        <v>17</v>
      </c>
      <c r="E145" t="s">
        <v>3</v>
      </c>
      <c r="F145" t="s">
        <v>43</v>
      </c>
      <c r="G145" t="str">
        <f>IF(OR(F145=$Q$138,F145=$Q$139,F145=$Q$140,F145=$Q$141,ISBLANK(F145)),"","+")</f>
        <v/>
      </c>
      <c r="H145" t="str">
        <f t="shared" si="9"/>
        <v xml:space="preserve"> </v>
      </c>
      <c r="I145" t="s">
        <v>3</v>
      </c>
    </row>
    <row r="146" spans="1:9" x14ac:dyDescent="0.15">
      <c r="A146" t="str">
        <f t="shared" si="7"/>
        <v>|Lｖ18|緑+1|</v>
      </c>
      <c r="B146" t="s">
        <v>3</v>
      </c>
      <c r="C146" t="s">
        <v>39</v>
      </c>
      <c r="D146">
        <v>18</v>
      </c>
      <c r="E146" t="s">
        <v>3</v>
      </c>
      <c r="F146" t="s">
        <v>15</v>
      </c>
      <c r="G146" t="str">
        <f t="shared" ref="G146:G188" si="10">IF(OR(F146=$Q$138,F146=$Q$139,F146=$Q$140,F146=$Q$141,ISBLANK(F146)),"","+")</f>
        <v>+</v>
      </c>
      <c r="H146">
        <v>1</v>
      </c>
      <c r="I146" t="s">
        <v>3</v>
      </c>
    </row>
    <row r="147" spans="1:9" x14ac:dyDescent="0.15">
      <c r="A147" t="str">
        <f t="shared" si="7"/>
        <v>|Lｖ19|HP+3|</v>
      </c>
      <c r="B147" t="s">
        <v>3</v>
      </c>
      <c r="C147" t="s">
        <v>39</v>
      </c>
      <c r="D147">
        <v>19</v>
      </c>
      <c r="E147" t="s">
        <v>3</v>
      </c>
      <c r="F147" t="s">
        <v>7</v>
      </c>
      <c r="G147" t="str">
        <f t="shared" si="10"/>
        <v>+</v>
      </c>
      <c r="H147">
        <f t="shared" si="9"/>
        <v>3</v>
      </c>
      <c r="I147" t="s">
        <v>3</v>
      </c>
    </row>
    <row r="148" spans="1:9" x14ac:dyDescent="0.15">
      <c r="A148" t="str">
        <f t="shared" si="7"/>
        <v>|Lｖ20|第1能力Lv2|</v>
      </c>
      <c r="B148" t="s">
        <v>3</v>
      </c>
      <c r="C148" t="s">
        <v>39</v>
      </c>
      <c r="D148">
        <v>20</v>
      </c>
      <c r="E148" t="s">
        <v>3</v>
      </c>
      <c r="F148" t="s">
        <v>40</v>
      </c>
      <c r="G148" t="str">
        <f t="shared" si="10"/>
        <v/>
      </c>
      <c r="H148">
        <v>2</v>
      </c>
      <c r="I148" t="s">
        <v>3</v>
      </c>
    </row>
    <row r="149" spans="1:9" x14ac:dyDescent="0.15">
      <c r="A149" t="str">
        <f t="shared" si="7"/>
        <v>|Lｖ21|HP+3|</v>
      </c>
      <c r="B149" t="s">
        <v>3</v>
      </c>
      <c r="C149" t="s">
        <v>39</v>
      </c>
      <c r="D149">
        <v>21</v>
      </c>
      <c r="E149" t="s">
        <v>3</v>
      </c>
      <c r="F149" t="s">
        <v>7</v>
      </c>
      <c r="G149" t="str">
        <f t="shared" si="10"/>
        <v>+</v>
      </c>
      <c r="H149">
        <f t="shared" si="9"/>
        <v>3</v>
      </c>
      <c r="I149" t="s">
        <v>3</v>
      </c>
    </row>
    <row r="150" spans="1:9" x14ac:dyDescent="0.15">
      <c r="A150" t="str">
        <f t="shared" si="7"/>
        <v>|Lｖ22|クリーチャー+1|</v>
      </c>
      <c r="B150" t="s">
        <v>3</v>
      </c>
      <c r="C150" t="s">
        <v>39</v>
      </c>
      <c r="D150">
        <v>22</v>
      </c>
      <c r="E150" t="s">
        <v>3</v>
      </c>
      <c r="F150" t="s">
        <v>20</v>
      </c>
      <c r="G150" t="str">
        <f t="shared" si="10"/>
        <v>+</v>
      </c>
      <c r="H150">
        <f t="shared" si="9"/>
        <v>1</v>
      </c>
      <c r="I150" t="s">
        <v>3</v>
      </c>
    </row>
    <row r="151" spans="1:9" x14ac:dyDescent="0.15">
      <c r="A151" t="str">
        <f t="shared" si="7"/>
        <v>|Lｖ23|HP+3|</v>
      </c>
      <c r="B151" t="s">
        <v>3</v>
      </c>
      <c r="C151" t="s">
        <v>39</v>
      </c>
      <c r="D151">
        <v>23</v>
      </c>
      <c r="E151" t="s">
        <v>3</v>
      </c>
      <c r="F151" t="s">
        <v>7</v>
      </c>
      <c r="G151" t="str">
        <f t="shared" si="10"/>
        <v>+</v>
      </c>
      <c r="H151">
        <f t="shared" si="9"/>
        <v>3</v>
      </c>
      <c r="I151" t="s">
        <v>3</v>
      </c>
    </row>
    <row r="152" spans="1:9" x14ac:dyDescent="0.15">
      <c r="A152" t="str">
        <f t="shared" si="7"/>
        <v>|Lｖ24|白+2|</v>
      </c>
      <c r="B152" t="s">
        <v>3</v>
      </c>
      <c r="C152" t="s">
        <v>39</v>
      </c>
      <c r="D152">
        <v>24</v>
      </c>
      <c r="E152" t="s">
        <v>3</v>
      </c>
      <c r="F152" t="s">
        <v>11</v>
      </c>
      <c r="G152" t="str">
        <f t="shared" si="10"/>
        <v>+</v>
      </c>
      <c r="H152">
        <v>2</v>
      </c>
      <c r="I152" t="s">
        <v>3</v>
      </c>
    </row>
    <row r="153" spans="1:9" x14ac:dyDescent="0.15">
      <c r="A153" t="str">
        <f t="shared" si="7"/>
        <v>|Lｖ25|HP+3|</v>
      </c>
      <c r="B153" t="s">
        <v>3</v>
      </c>
      <c r="C153" t="s">
        <v>39</v>
      </c>
      <c r="D153">
        <v>25</v>
      </c>
      <c r="E153" t="s">
        <v>3</v>
      </c>
      <c r="F153" t="s">
        <v>7</v>
      </c>
      <c r="G153" t="str">
        <f t="shared" si="10"/>
        <v>+</v>
      </c>
      <c r="H153">
        <f t="shared" si="9"/>
        <v>3</v>
      </c>
      <c r="I153" t="s">
        <v>3</v>
      </c>
    </row>
    <row r="154" spans="1:9" x14ac:dyDescent="0.15">
      <c r="A154" t="str">
        <f t="shared" si="7"/>
        <v>|Lｖ26|第2能力Lv2|</v>
      </c>
      <c r="B154" t="s">
        <v>3</v>
      </c>
      <c r="C154" t="s">
        <v>39</v>
      </c>
      <c r="D154">
        <v>26</v>
      </c>
      <c r="E154" t="s">
        <v>3</v>
      </c>
      <c r="F154" t="s">
        <v>41</v>
      </c>
      <c r="G154" t="str">
        <f t="shared" si="10"/>
        <v/>
      </c>
      <c r="H154">
        <v>2</v>
      </c>
      <c r="I154" t="s">
        <v>3</v>
      </c>
    </row>
    <row r="155" spans="1:9" x14ac:dyDescent="0.15">
      <c r="A155" t="str">
        <f t="shared" si="7"/>
        <v>|Lｖ27|HP+3|</v>
      </c>
      <c r="B155" t="s">
        <v>3</v>
      </c>
      <c r="C155" t="s">
        <v>39</v>
      </c>
      <c r="D155">
        <v>27</v>
      </c>
      <c r="E155" t="s">
        <v>3</v>
      </c>
      <c r="F155" t="s">
        <v>7</v>
      </c>
      <c r="G155" t="str">
        <f t="shared" si="10"/>
        <v>+</v>
      </c>
      <c r="H155">
        <f t="shared" si="9"/>
        <v>3</v>
      </c>
      <c r="I155" t="s">
        <v>3</v>
      </c>
    </row>
    <row r="156" spans="1:9" x14ac:dyDescent="0.15">
      <c r="A156" t="str">
        <f t="shared" si="7"/>
        <v>|Lｖ28|呪文+1|</v>
      </c>
      <c r="B156" t="s">
        <v>3</v>
      </c>
      <c r="C156" t="s">
        <v>39</v>
      </c>
      <c r="D156">
        <v>28</v>
      </c>
      <c r="E156" t="s">
        <v>3</v>
      </c>
      <c r="F156" t="s">
        <v>21</v>
      </c>
      <c r="G156" t="str">
        <f t="shared" si="10"/>
        <v>+</v>
      </c>
      <c r="H156">
        <f t="shared" si="9"/>
        <v>1</v>
      </c>
      <c r="I156" t="s">
        <v>3</v>
      </c>
    </row>
    <row r="157" spans="1:9" x14ac:dyDescent="0.15">
      <c r="A157" t="str">
        <f t="shared" si="7"/>
        <v>|Lｖ29|HP+3|</v>
      </c>
      <c r="B157" t="s">
        <v>3</v>
      </c>
      <c r="C157" t="s">
        <v>39</v>
      </c>
      <c r="D157">
        <v>29</v>
      </c>
      <c r="E157" t="s">
        <v>3</v>
      </c>
      <c r="F157" t="s">
        <v>7</v>
      </c>
      <c r="G157" t="str">
        <f t="shared" si="10"/>
        <v>+</v>
      </c>
      <c r="H157">
        <f t="shared" si="9"/>
        <v>3</v>
      </c>
      <c r="I157" t="s">
        <v>3</v>
      </c>
    </row>
    <row r="158" spans="1:9" x14ac:dyDescent="0.15">
      <c r="A158" t="str">
        <f t="shared" si="7"/>
        <v>|Lｖ30|第3能力Lv2|</v>
      </c>
      <c r="B158" t="s">
        <v>3</v>
      </c>
      <c r="C158" t="s">
        <v>39</v>
      </c>
      <c r="D158">
        <v>30</v>
      </c>
      <c r="E158" t="s">
        <v>3</v>
      </c>
      <c r="F158" t="s">
        <v>42</v>
      </c>
      <c r="G158" t="str">
        <f t="shared" si="10"/>
        <v/>
      </c>
      <c r="H158">
        <v>2</v>
      </c>
      <c r="I158" t="s">
        <v>3</v>
      </c>
    </row>
    <row r="159" spans="1:9" x14ac:dyDescent="0.15">
      <c r="A159" t="str">
        <f t="shared" si="7"/>
        <v>|Lｖ31|HP+3|</v>
      </c>
      <c r="B159" t="s">
        <v>3</v>
      </c>
      <c r="C159" t="s">
        <v>39</v>
      </c>
      <c r="D159">
        <v>31</v>
      </c>
      <c r="E159" t="s">
        <v>3</v>
      </c>
      <c r="F159" t="s">
        <v>7</v>
      </c>
      <c r="G159" t="str">
        <f t="shared" si="10"/>
        <v>+</v>
      </c>
      <c r="H159">
        <f t="shared" si="9"/>
        <v>3</v>
      </c>
      <c r="I159" t="s">
        <v>3</v>
      </c>
    </row>
    <row r="160" spans="1:9" x14ac:dyDescent="0.15">
      <c r="A160" t="str">
        <f t="shared" si="7"/>
        <v>|Lｖ32|青+1|</v>
      </c>
      <c r="B160" t="s">
        <v>3</v>
      </c>
      <c r="C160" t="s">
        <v>39</v>
      </c>
      <c r="D160">
        <v>32</v>
      </c>
      <c r="E160" t="s">
        <v>3</v>
      </c>
      <c r="F160" t="s">
        <v>12</v>
      </c>
      <c r="G160" t="str">
        <f t="shared" si="10"/>
        <v>+</v>
      </c>
      <c r="H160">
        <f t="shared" si="9"/>
        <v>1</v>
      </c>
      <c r="I160" t="s">
        <v>3</v>
      </c>
    </row>
    <row r="161" spans="1:9" x14ac:dyDescent="0.15">
      <c r="A161" t="str">
        <f t="shared" ref="A161:A223" si="11">B161&amp;C161&amp;D161&amp;E161&amp;F161&amp;G161&amp;H161&amp;I161&amp;J161&amp;K161&amp;L161&amp;M161&amp;N161&amp;O161&amp;P161</f>
        <v>|Lｖ33|HP+3|</v>
      </c>
      <c r="B161" t="s">
        <v>3</v>
      </c>
      <c r="C161" t="s">
        <v>39</v>
      </c>
      <c r="D161">
        <v>33</v>
      </c>
      <c r="E161" t="s">
        <v>3</v>
      </c>
      <c r="F161" t="s">
        <v>7</v>
      </c>
      <c r="G161" t="str">
        <f t="shared" si="10"/>
        <v>+</v>
      </c>
      <c r="H161">
        <f t="shared" si="9"/>
        <v>3</v>
      </c>
      <c r="I161" t="s">
        <v>3</v>
      </c>
    </row>
    <row r="162" spans="1:9" x14ac:dyDescent="0.15">
      <c r="A162" t="str">
        <f t="shared" si="11"/>
        <v>|Lｖ34|サポート+1|</v>
      </c>
      <c r="B162" t="s">
        <v>3</v>
      </c>
      <c r="C162" t="s">
        <v>39</v>
      </c>
      <c r="D162">
        <v>34</v>
      </c>
      <c r="E162" t="s">
        <v>3</v>
      </c>
      <c r="F162" t="s">
        <v>22</v>
      </c>
      <c r="G162" t="str">
        <f t="shared" si="10"/>
        <v>+</v>
      </c>
      <c r="H162">
        <f t="shared" si="9"/>
        <v>1</v>
      </c>
      <c r="I162" t="s">
        <v>3</v>
      </c>
    </row>
    <row r="163" spans="1:9" x14ac:dyDescent="0.15">
      <c r="A163" t="str">
        <f t="shared" si="11"/>
        <v>|Lｖ35|回復速度上昇 |</v>
      </c>
      <c r="B163" t="s">
        <v>3</v>
      </c>
      <c r="C163" t="s">
        <v>39</v>
      </c>
      <c r="D163">
        <v>35</v>
      </c>
      <c r="E163" t="s">
        <v>3</v>
      </c>
      <c r="F163" t="s">
        <v>43</v>
      </c>
      <c r="G163" t="str">
        <f t="shared" si="10"/>
        <v/>
      </c>
      <c r="H163" t="str">
        <f t="shared" si="9"/>
        <v xml:space="preserve"> </v>
      </c>
      <c r="I163" t="s">
        <v>3</v>
      </c>
    </row>
    <row r="164" spans="1:9" x14ac:dyDescent="0.15">
      <c r="A164" t="str">
        <f t="shared" si="11"/>
        <v>|Lｖ36|第1能力Lv3|</v>
      </c>
      <c r="B164" t="s">
        <v>3</v>
      </c>
      <c r="C164" t="s">
        <v>39</v>
      </c>
      <c r="D164">
        <v>36</v>
      </c>
      <c r="E164" t="s">
        <v>3</v>
      </c>
      <c r="F164" t="s">
        <v>40</v>
      </c>
      <c r="G164" t="str">
        <f t="shared" si="10"/>
        <v/>
      </c>
      <c r="H164">
        <v>3</v>
      </c>
      <c r="I164" t="s">
        <v>3</v>
      </c>
    </row>
    <row r="165" spans="1:9" x14ac:dyDescent="0.15">
      <c r="A165" t="str">
        <f t="shared" si="11"/>
        <v>|Lｖ37|HP+3|</v>
      </c>
      <c r="B165" t="s">
        <v>3</v>
      </c>
      <c r="C165" t="s">
        <v>39</v>
      </c>
      <c r="D165">
        <v>37</v>
      </c>
      <c r="E165" t="s">
        <v>3</v>
      </c>
      <c r="F165" t="s">
        <v>7</v>
      </c>
      <c r="G165" t="str">
        <f t="shared" si="10"/>
        <v>+</v>
      </c>
      <c r="H165">
        <f t="shared" si="9"/>
        <v>3</v>
      </c>
      <c r="I165" t="s">
        <v>3</v>
      </c>
    </row>
    <row r="166" spans="1:9" x14ac:dyDescent="0.15">
      <c r="A166" t="str">
        <f t="shared" si="11"/>
        <v>|Lｖ38|黒+1|</v>
      </c>
      <c r="B166" t="s">
        <v>3</v>
      </c>
      <c r="C166" t="s">
        <v>39</v>
      </c>
      <c r="D166">
        <v>38</v>
      </c>
      <c r="E166" t="s">
        <v>3</v>
      </c>
      <c r="F166" t="s">
        <v>13</v>
      </c>
      <c r="G166" t="str">
        <f t="shared" si="10"/>
        <v>+</v>
      </c>
      <c r="H166">
        <f t="shared" si="9"/>
        <v>1</v>
      </c>
      <c r="I166" t="s">
        <v>3</v>
      </c>
    </row>
    <row r="167" spans="1:9" x14ac:dyDescent="0.15">
      <c r="A167" t="str">
        <f t="shared" si="11"/>
        <v>|Lｖ39|HP+3|</v>
      </c>
      <c r="B167" t="s">
        <v>3</v>
      </c>
      <c r="C167" t="s">
        <v>39</v>
      </c>
      <c r="D167">
        <v>39</v>
      </c>
      <c r="E167" t="s">
        <v>3</v>
      </c>
      <c r="F167" t="s">
        <v>7</v>
      </c>
      <c r="G167" t="str">
        <f t="shared" si="10"/>
        <v>+</v>
      </c>
      <c r="H167">
        <f t="shared" si="9"/>
        <v>3</v>
      </c>
      <c r="I167" t="s">
        <v>3</v>
      </c>
    </row>
    <row r="168" spans="1:9" x14ac:dyDescent="0.15">
      <c r="A168" t="str">
        <f t="shared" si="11"/>
        <v>|Lｖ40|第2能力Lv3|</v>
      </c>
      <c r="B168" t="s">
        <v>3</v>
      </c>
      <c r="C168" t="s">
        <v>39</v>
      </c>
      <c r="D168">
        <v>40</v>
      </c>
      <c r="E168" t="s">
        <v>3</v>
      </c>
      <c r="F168" t="s">
        <v>41</v>
      </c>
      <c r="G168" t="str">
        <f t="shared" si="10"/>
        <v/>
      </c>
      <c r="H168">
        <v>3</v>
      </c>
      <c r="I168" t="s">
        <v>3</v>
      </c>
    </row>
    <row r="169" spans="1:9" x14ac:dyDescent="0.15">
      <c r="A169" t="str">
        <f t="shared" si="11"/>
        <v>|Lｖ41|HP+3|</v>
      </c>
      <c r="B169" t="s">
        <v>3</v>
      </c>
      <c r="C169" t="s">
        <v>39</v>
      </c>
      <c r="D169">
        <v>41</v>
      </c>
      <c r="E169" t="s">
        <v>3</v>
      </c>
      <c r="F169" t="s">
        <v>7</v>
      </c>
      <c r="G169" t="str">
        <f t="shared" si="10"/>
        <v>+</v>
      </c>
      <c r="H169">
        <f t="shared" si="9"/>
        <v>3</v>
      </c>
      <c r="I169" t="s">
        <v>3</v>
      </c>
    </row>
    <row r="170" spans="1:9" x14ac:dyDescent="0.15">
      <c r="A170" t="str">
        <f t="shared" si="11"/>
        <v>|Lｖ42|クリーチャー+1|</v>
      </c>
      <c r="B170" t="s">
        <v>3</v>
      </c>
      <c r="C170" t="s">
        <v>39</v>
      </c>
      <c r="D170">
        <v>42</v>
      </c>
      <c r="E170" t="s">
        <v>3</v>
      </c>
      <c r="F170" t="s">
        <v>20</v>
      </c>
      <c r="G170" t="str">
        <f t="shared" si="10"/>
        <v>+</v>
      </c>
      <c r="H170">
        <f t="shared" si="9"/>
        <v>1</v>
      </c>
      <c r="I170" t="s">
        <v>3</v>
      </c>
    </row>
    <row r="171" spans="1:9" x14ac:dyDescent="0.15">
      <c r="A171" t="str">
        <f t="shared" si="11"/>
        <v>|Lｖ43|HP+3|</v>
      </c>
      <c r="B171" t="s">
        <v>3</v>
      </c>
      <c r="C171" t="s">
        <v>39</v>
      </c>
      <c r="D171">
        <v>43</v>
      </c>
      <c r="E171" t="s">
        <v>3</v>
      </c>
      <c r="F171" t="s">
        <v>7</v>
      </c>
      <c r="G171" t="str">
        <f t="shared" si="10"/>
        <v>+</v>
      </c>
      <c r="H171">
        <f t="shared" si="9"/>
        <v>3</v>
      </c>
      <c r="I171" t="s">
        <v>3</v>
      </c>
    </row>
    <row r="172" spans="1:9" x14ac:dyDescent="0.15">
      <c r="A172" t="str">
        <f t="shared" si="11"/>
        <v>|Lｖ44|赤+1|</v>
      </c>
      <c r="B172" t="s">
        <v>3</v>
      </c>
      <c r="C172" t="s">
        <v>39</v>
      </c>
      <c r="D172">
        <v>44</v>
      </c>
      <c r="E172" t="s">
        <v>3</v>
      </c>
      <c r="F172" t="s">
        <v>14</v>
      </c>
      <c r="G172" t="str">
        <f t="shared" si="10"/>
        <v>+</v>
      </c>
      <c r="H172">
        <f t="shared" si="9"/>
        <v>1</v>
      </c>
      <c r="I172" t="s">
        <v>3</v>
      </c>
    </row>
    <row r="173" spans="1:9" x14ac:dyDescent="0.15">
      <c r="A173" t="str">
        <f t="shared" si="11"/>
        <v>|Lｖ45|HP+4|</v>
      </c>
      <c r="B173" t="s">
        <v>3</v>
      </c>
      <c r="C173" t="s">
        <v>39</v>
      </c>
      <c r="D173">
        <v>45</v>
      </c>
      <c r="E173" t="s">
        <v>3</v>
      </c>
      <c r="F173" t="s">
        <v>7</v>
      </c>
      <c r="G173" t="str">
        <f t="shared" si="10"/>
        <v>+</v>
      </c>
      <c r="H173">
        <v>4</v>
      </c>
      <c r="I173" t="s">
        <v>3</v>
      </c>
    </row>
    <row r="174" spans="1:9" x14ac:dyDescent="0.15">
      <c r="A174" t="str">
        <f t="shared" si="11"/>
        <v>|Lｖ46|第3能力Lv3|</v>
      </c>
      <c r="B174" t="s">
        <v>3</v>
      </c>
      <c r="C174" t="s">
        <v>39</v>
      </c>
      <c r="D174">
        <v>46</v>
      </c>
      <c r="E174" t="s">
        <v>3</v>
      </c>
      <c r="F174" t="s">
        <v>42</v>
      </c>
      <c r="G174" t="str">
        <f t="shared" si="10"/>
        <v/>
      </c>
      <c r="H174">
        <v>3</v>
      </c>
      <c r="I174" t="s">
        <v>3</v>
      </c>
    </row>
    <row r="175" spans="1:9" x14ac:dyDescent="0.15">
      <c r="A175" t="str">
        <f t="shared" si="11"/>
        <v>|Lｖ47|HP+4|</v>
      </c>
      <c r="B175" t="s">
        <v>3</v>
      </c>
      <c r="C175" t="s">
        <v>39</v>
      </c>
      <c r="D175">
        <v>47</v>
      </c>
      <c r="E175" t="s">
        <v>3</v>
      </c>
      <c r="F175" t="s">
        <v>7</v>
      </c>
      <c r="G175" t="str">
        <f t="shared" si="10"/>
        <v>+</v>
      </c>
      <c r="H175">
        <v>4</v>
      </c>
      <c r="I175" t="s">
        <v>3</v>
      </c>
    </row>
    <row r="176" spans="1:9" x14ac:dyDescent="0.15">
      <c r="A176" t="str">
        <f t="shared" si="11"/>
        <v>|Lｖ48|呪文+1|</v>
      </c>
      <c r="B176" t="s">
        <v>3</v>
      </c>
      <c r="C176" t="s">
        <v>39</v>
      </c>
      <c r="D176">
        <v>48</v>
      </c>
      <c r="E176" t="s">
        <v>3</v>
      </c>
      <c r="F176" t="s">
        <v>21</v>
      </c>
      <c r="G176" t="str">
        <f t="shared" si="10"/>
        <v>+</v>
      </c>
      <c r="H176">
        <f t="shared" si="9"/>
        <v>1</v>
      </c>
      <c r="I176" t="s">
        <v>3</v>
      </c>
    </row>
    <row r="177" spans="1:9" x14ac:dyDescent="0.15">
      <c r="A177" t="str">
        <f t="shared" si="11"/>
        <v>|Lｖ49|HP+4|</v>
      </c>
      <c r="B177" t="s">
        <v>3</v>
      </c>
      <c r="C177" t="s">
        <v>39</v>
      </c>
      <c r="D177">
        <v>49</v>
      </c>
      <c r="E177" t="s">
        <v>3</v>
      </c>
      <c r="F177" t="s">
        <v>7</v>
      </c>
      <c r="G177" t="str">
        <f t="shared" si="10"/>
        <v>+</v>
      </c>
      <c r="H177">
        <v>4</v>
      </c>
      <c r="I177" t="s">
        <v>3</v>
      </c>
    </row>
    <row r="178" spans="1:9" x14ac:dyDescent="0.15">
      <c r="A178" t="str">
        <f t="shared" si="11"/>
        <v>|Lｖ50|第1能力Lv4|</v>
      </c>
      <c r="B178" t="s">
        <v>3</v>
      </c>
      <c r="C178" t="s">
        <v>39</v>
      </c>
      <c r="D178">
        <v>50</v>
      </c>
      <c r="E178" t="s">
        <v>3</v>
      </c>
      <c r="F178" t="s">
        <v>40</v>
      </c>
      <c r="G178" t="str">
        <f t="shared" si="10"/>
        <v/>
      </c>
      <c r="H178">
        <v>4</v>
      </c>
      <c r="I178" t="s">
        <v>3</v>
      </c>
    </row>
    <row r="179" spans="1:9" x14ac:dyDescent="0.15">
      <c r="A179" t="str">
        <f t="shared" si="11"/>
        <v>|Lｖ51|HP+4|</v>
      </c>
      <c r="B179" t="s">
        <v>3</v>
      </c>
      <c r="C179" t="s">
        <v>39</v>
      </c>
      <c r="D179">
        <v>51</v>
      </c>
      <c r="E179" t="s">
        <v>3</v>
      </c>
      <c r="F179" t="s">
        <v>7</v>
      </c>
      <c r="G179" t="str">
        <f t="shared" si="10"/>
        <v>+</v>
      </c>
      <c r="H179">
        <v>4</v>
      </c>
      <c r="I179" t="s">
        <v>3</v>
      </c>
    </row>
    <row r="180" spans="1:9" x14ac:dyDescent="0.15">
      <c r="A180" t="str">
        <f t="shared" si="11"/>
        <v>|Lｖ52|緑+1|</v>
      </c>
      <c r="B180" t="s">
        <v>3</v>
      </c>
      <c r="C180" t="s">
        <v>39</v>
      </c>
      <c r="D180">
        <v>52</v>
      </c>
      <c r="E180" t="s">
        <v>3</v>
      </c>
      <c r="F180" t="s">
        <v>15</v>
      </c>
      <c r="G180" t="str">
        <f t="shared" si="10"/>
        <v>+</v>
      </c>
      <c r="H180">
        <v>1</v>
      </c>
      <c r="I180" t="s">
        <v>3</v>
      </c>
    </row>
    <row r="181" spans="1:9" x14ac:dyDescent="0.15">
      <c r="A181" t="str">
        <f t="shared" si="11"/>
        <v>|Lｖ53|回復速度上昇 |</v>
      </c>
      <c r="B181" t="s">
        <v>3</v>
      </c>
      <c r="C181" t="s">
        <v>39</v>
      </c>
      <c r="D181">
        <v>53</v>
      </c>
      <c r="E181" t="s">
        <v>3</v>
      </c>
      <c r="F181" t="s">
        <v>43</v>
      </c>
      <c r="G181" t="s">
        <v>44</v>
      </c>
      <c r="H181" t="s">
        <v>887</v>
      </c>
      <c r="I181" t="s">
        <v>3</v>
      </c>
    </row>
    <row r="182" spans="1:9" x14ac:dyDescent="0.15">
      <c r="A182" t="str">
        <f t="shared" si="11"/>
        <v>|Lｖ54|サポート+1|</v>
      </c>
      <c r="B182" t="s">
        <v>3</v>
      </c>
      <c r="C182" t="s">
        <v>39</v>
      </c>
      <c r="D182">
        <v>54</v>
      </c>
      <c r="E182" t="s">
        <v>3</v>
      </c>
      <c r="F182" t="s">
        <v>22</v>
      </c>
      <c r="G182" t="str">
        <f t="shared" si="10"/>
        <v>+</v>
      </c>
      <c r="H182">
        <f t="shared" si="9"/>
        <v>1</v>
      </c>
      <c r="I182" t="s">
        <v>3</v>
      </c>
    </row>
    <row r="183" spans="1:9" x14ac:dyDescent="0.15">
      <c r="A183" t="str">
        <f t="shared" si="11"/>
        <v>|Lｖ55|HP+4|</v>
      </c>
      <c r="B183" t="s">
        <v>3</v>
      </c>
      <c r="C183" t="s">
        <v>39</v>
      </c>
      <c r="D183">
        <v>55</v>
      </c>
      <c r="E183" t="s">
        <v>3</v>
      </c>
      <c r="F183" t="s">
        <v>7</v>
      </c>
      <c r="G183" t="str">
        <f t="shared" si="10"/>
        <v>+</v>
      </c>
      <c r="H183">
        <v>4</v>
      </c>
      <c r="I183" t="s">
        <v>3</v>
      </c>
    </row>
    <row r="184" spans="1:9" x14ac:dyDescent="0.15">
      <c r="A184" t="str">
        <f t="shared" si="11"/>
        <v>|Lｖ56|第2能力Lv4|</v>
      </c>
      <c r="B184" t="s">
        <v>3</v>
      </c>
      <c r="C184" t="s">
        <v>39</v>
      </c>
      <c r="D184">
        <v>56</v>
      </c>
      <c r="E184" t="s">
        <v>3</v>
      </c>
      <c r="F184" t="s">
        <v>41</v>
      </c>
      <c r="G184" t="str">
        <f t="shared" si="10"/>
        <v/>
      </c>
      <c r="H184">
        <v>4</v>
      </c>
      <c r="I184" t="s">
        <v>3</v>
      </c>
    </row>
    <row r="185" spans="1:9" x14ac:dyDescent="0.15">
      <c r="A185" t="str">
        <f t="shared" si="11"/>
        <v>|Lｖ57|HP+4|</v>
      </c>
      <c r="B185" t="s">
        <v>3</v>
      </c>
      <c r="C185" t="s">
        <v>39</v>
      </c>
      <c r="D185">
        <v>57</v>
      </c>
      <c r="E185" t="s">
        <v>3</v>
      </c>
      <c r="F185" t="s">
        <v>7</v>
      </c>
      <c r="G185" t="str">
        <f t="shared" si="10"/>
        <v>+</v>
      </c>
      <c r="H185">
        <v>4</v>
      </c>
      <c r="I185" t="s">
        <v>3</v>
      </c>
    </row>
    <row r="186" spans="1:9" x14ac:dyDescent="0.15">
      <c r="A186" t="str">
        <f t="shared" si="11"/>
        <v>|Lｖ58|青+1|</v>
      </c>
      <c r="B186" t="s">
        <v>3</v>
      </c>
      <c r="C186" t="s">
        <v>39</v>
      </c>
      <c r="D186">
        <v>58</v>
      </c>
      <c r="E186" t="s">
        <v>3</v>
      </c>
      <c r="F186" t="s">
        <v>12</v>
      </c>
      <c r="G186" t="str">
        <f t="shared" si="10"/>
        <v>+</v>
      </c>
      <c r="H186">
        <v>1</v>
      </c>
      <c r="I186" t="s">
        <v>3</v>
      </c>
    </row>
    <row r="187" spans="1:9" x14ac:dyDescent="0.15">
      <c r="A187" t="str">
        <f t="shared" si="11"/>
        <v>|Lｖ59|HP+4|</v>
      </c>
      <c r="B187" t="s">
        <v>3</v>
      </c>
      <c r="C187" t="s">
        <v>39</v>
      </c>
      <c r="D187">
        <v>59</v>
      </c>
      <c r="E187" t="s">
        <v>3</v>
      </c>
      <c r="F187" t="s">
        <v>7</v>
      </c>
      <c r="G187" t="str">
        <f t="shared" si="10"/>
        <v>+</v>
      </c>
      <c r="H187">
        <v>4</v>
      </c>
      <c r="I187" t="s">
        <v>3</v>
      </c>
    </row>
    <row r="188" spans="1:9" x14ac:dyDescent="0.15">
      <c r="A188" t="str">
        <f t="shared" si="11"/>
        <v>|Lｖ60|第3能力Lv4|</v>
      </c>
      <c r="B188" t="s">
        <v>3</v>
      </c>
      <c r="C188" t="s">
        <v>39</v>
      </c>
      <c r="D188">
        <v>60</v>
      </c>
      <c r="E188" t="s">
        <v>3</v>
      </c>
      <c r="F188" t="s">
        <v>42</v>
      </c>
      <c r="G188" t="str">
        <f t="shared" si="10"/>
        <v/>
      </c>
      <c r="H188">
        <v>4</v>
      </c>
      <c r="I188" t="s">
        <v>3</v>
      </c>
    </row>
    <row r="189" spans="1:9" x14ac:dyDescent="0.15">
      <c r="A189" t="str">
        <f t="shared" si="11"/>
        <v>必要総経験値：79920ルーン</v>
      </c>
      <c r="B189" t="s">
        <v>45</v>
      </c>
      <c r="C189">
        <v>79920</v>
      </c>
      <c r="F189" t="s">
        <v>46</v>
      </c>
    </row>
    <row r="190" spans="1:9" x14ac:dyDescent="0.15">
      <c r="A190" t="str">
        <f t="shared" si="11"/>
        <v>#endregion</v>
      </c>
      <c r="B190" t="s">
        <v>599</v>
      </c>
    </row>
    <row r="191" spans="1:9" x14ac:dyDescent="0.15">
      <c r="A191" t="str">
        <f t="shared" si="11"/>
        <v>&amp;br;</v>
      </c>
      <c r="B191" t="s">
        <v>0</v>
      </c>
    </row>
    <row r="192" spans="1:9" x14ac:dyDescent="0.15">
      <c r="A192" t="str">
        <f t="shared" si="11"/>
        <v>#back(text=戻る,left)</v>
      </c>
      <c r="B192" t="s">
        <v>47</v>
      </c>
    </row>
    <row r="193" spans="1:6" x14ac:dyDescent="0.15">
      <c r="A193" t="str">
        <f t="shared" si="11"/>
        <v>&amp;br;</v>
      </c>
      <c r="B193" t="s">
        <v>0</v>
      </c>
    </row>
    <row r="194" spans="1:6" x14ac:dyDescent="0.15">
      <c r="A194" t="str">
        <f t="shared" si="11"/>
        <v>#comment(above,nsize=[15],size=[30],num=[10])</v>
      </c>
      <c r="B194" t="s">
        <v>48</v>
      </c>
    </row>
    <row r="195" spans="1:6" x14ac:dyDescent="0.15">
      <c r="A195" t="str">
        <f t="shared" si="11"/>
        <v>[[プレインズウォーカーリスト&gt;プレインズウォーカーリスト]]</v>
      </c>
      <c r="B195" t="s">
        <v>49</v>
      </c>
    </row>
    <row r="202" spans="1:6" x14ac:dyDescent="0.15">
      <c r="B202" s="9" t="s">
        <v>655</v>
      </c>
    </row>
    <row r="203" spans="1:6" x14ac:dyDescent="0.15">
      <c r="B203" s="9" t="s">
        <v>656</v>
      </c>
      <c r="D203" s="8"/>
      <c r="E203" s="8"/>
    </row>
    <row r="204" spans="1:6" x14ac:dyDescent="0.15">
      <c r="B204" s="7">
        <v>50</v>
      </c>
    </row>
    <row r="205" spans="1:6" x14ac:dyDescent="0.15">
      <c r="B205" s="9" t="s">
        <v>657</v>
      </c>
      <c r="C205" s="9" t="s">
        <v>658</v>
      </c>
      <c r="D205" s="9" t="s">
        <v>659</v>
      </c>
    </row>
    <row r="206" spans="1:6" x14ac:dyDescent="0.15">
      <c r="B206" s="7">
        <v>4</v>
      </c>
      <c r="C206" s="7">
        <v>3</v>
      </c>
      <c r="D206" s="7">
        <v>3</v>
      </c>
    </row>
    <row r="207" spans="1:6" x14ac:dyDescent="0.15">
      <c r="B207" s="9" t="s">
        <v>660</v>
      </c>
      <c r="C207" s="9" t="s">
        <v>661</v>
      </c>
      <c r="D207" s="9" t="s">
        <v>662</v>
      </c>
      <c r="E207" s="9" t="s">
        <v>663</v>
      </c>
      <c r="F207" s="9" t="s">
        <v>664</v>
      </c>
    </row>
    <row r="208" spans="1:6" x14ac:dyDescent="0.15">
      <c r="B208" s="7">
        <v>-3</v>
      </c>
      <c r="C208" s="7">
        <v>0</v>
      </c>
      <c r="D208" s="7">
        <v>2</v>
      </c>
      <c r="E208" s="7">
        <v>2</v>
      </c>
      <c r="F208" s="7">
        <v>-3</v>
      </c>
    </row>
  </sheetData>
  <autoFilter ref="C129:I195"/>
  <phoneticPr fontId="4"/>
  <dataValidations count="4">
    <dataValidation type="list" showInputMessage="1" showErrorMessage="1" sqref="S128">
      <formula1>",交互"</formula1>
    </dataValidation>
    <dataValidation type="list" allowBlank="1" showInputMessage="1" showErrorMessage="1" sqref="F189:F190">
      <formula1>$Q$119:$Q$131</formula1>
    </dataValidation>
    <dataValidation type="list" allowBlank="1" showInputMessage="1" showErrorMessage="1" sqref="F130:F145 F147:F188">
      <formula1>$Q$123:$Q$135</formula1>
    </dataValidation>
    <dataValidation type="list" allowBlank="1" showInputMessage="1" showErrorMessage="1" sqref="F146">
      <formula1>$Q$123:$Q$141</formula1>
    </dataValidation>
  </dataValidations>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色フィルター">
                <anchor moveWithCells="1" sizeWithCells="1">
                  <from>
                    <xdr:col>5</xdr:col>
                    <xdr:colOff>209550</xdr:colOff>
                    <xdr:row>124</xdr:row>
                    <xdr:rowOff>152400</xdr:rowOff>
                  </from>
                  <to>
                    <xdr:col>6</xdr:col>
                    <xdr:colOff>85725</xdr:colOff>
                    <xdr:row>126</xdr:row>
                    <xdr:rowOff>66675</xdr:rowOff>
                  </to>
                </anchor>
              </controlPr>
            </control>
          </mc:Choice>
        </mc:AlternateContent>
        <mc:AlternateContent xmlns:mc="http://schemas.openxmlformats.org/markup-compatibility/2006">
          <mc:Choice Requires="x14">
            <control shapeId="82946" r:id="rId5" name="Button 2">
              <controlPr defaultSize="0" print="0" autoFill="0" autoPict="0" macro="[0]!種別フィルター">
                <anchor moveWithCells="1" sizeWithCells="1">
                  <from>
                    <xdr:col>7</xdr:col>
                    <xdr:colOff>104775</xdr:colOff>
                    <xdr:row>124</xdr:row>
                    <xdr:rowOff>161925</xdr:rowOff>
                  </from>
                  <to>
                    <xdr:col>7</xdr:col>
                    <xdr:colOff>666750</xdr:colOff>
                    <xdr:row>126</xdr:row>
                    <xdr:rowOff>76200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V130"/>
  <sheetViews>
    <sheetView tabSelected="1" topLeftCell="A26" zoomScale="85" zoomScaleNormal="85" workbookViewId="0">
      <selection activeCell="A40" sqref="A1:AT40"/>
    </sheetView>
  </sheetViews>
  <sheetFormatPr defaultColWidth="9" defaultRowHeight="13.5" x14ac:dyDescent="0.15"/>
  <cols>
    <col min="1" max="2" width="2" customWidth="1"/>
    <col min="3" max="3" width="17" customWidth="1"/>
    <col min="4" max="4" width="2.625" customWidth="1"/>
    <col min="5" max="5" width="2" customWidth="1"/>
    <col min="6" max="6" width="4.75" customWidth="1"/>
    <col min="7" max="7" width="5.75" customWidth="1"/>
    <col min="8" max="8" width="2.5" customWidth="1"/>
    <col min="9" max="9" width="2" customWidth="1"/>
    <col min="10" max="10" width="4.625" customWidth="1"/>
    <col min="11" max="11" width="5" style="1" customWidth="1"/>
    <col min="12" max="12" width="2.5" customWidth="1"/>
    <col min="13" max="13" width="2" customWidth="1"/>
    <col min="14" max="14" width="4.625" customWidth="1"/>
    <col min="15" max="15" width="3.75" customWidth="1"/>
    <col min="16" max="16" width="2.5" customWidth="1"/>
    <col min="17" max="17" width="2" customWidth="1"/>
    <col min="18" max="18" width="4.625" customWidth="1"/>
    <col min="19" max="19" width="5.75" customWidth="1"/>
    <col min="20" max="20" width="2.5" customWidth="1"/>
    <col min="21" max="21" width="2" customWidth="1"/>
    <col min="22" max="22" width="4.625" customWidth="1"/>
    <col min="23" max="23" width="3.5" style="1" customWidth="1"/>
    <col min="24" max="24" width="2.5" customWidth="1"/>
    <col min="25" max="25" width="2" customWidth="1"/>
    <col min="26" max="26" width="4.625" customWidth="1"/>
    <col min="27" max="27" width="4.5" customWidth="1"/>
    <col min="28" max="28" width="2.5" customWidth="1"/>
    <col min="29" max="29" width="2" customWidth="1"/>
    <col min="30" max="30" width="4.625" customWidth="1"/>
    <col min="31" max="31" width="3.5" customWidth="1"/>
    <col min="32" max="32" width="2.5" customWidth="1"/>
    <col min="33" max="33" width="2" customWidth="1"/>
    <col min="34" max="34" width="4.625" customWidth="1"/>
    <col min="35" max="35" width="3.5" customWidth="1"/>
    <col min="36" max="36" width="2.5" customWidth="1"/>
    <col min="37" max="37" width="2" customWidth="1"/>
    <col min="38" max="38" width="4.625" customWidth="1"/>
    <col min="39" max="39" width="3.5" style="2" customWidth="1"/>
    <col min="40" max="40" width="2.5" customWidth="1"/>
    <col min="41" max="41" width="2" customWidth="1"/>
    <col min="42" max="42" width="4.625" customWidth="1"/>
    <col min="43" max="43" width="5.25" style="1" customWidth="1"/>
    <col min="44" max="44" width="2.5" customWidth="1"/>
    <col min="45" max="45" width="2" customWidth="1"/>
    <col min="46" max="46" width="5.25" customWidth="1"/>
    <col min="47" max="47" width="2" customWidth="1"/>
    <col min="48" max="48" width="5.25" customWidth="1"/>
    <col min="49" max="49" width="2" customWidth="1"/>
    <col min="50" max="50" width="9" customWidth="1"/>
    <col min="51" max="51" width="2" customWidth="1"/>
  </cols>
  <sheetData>
    <row r="1" spans="1:46" x14ac:dyDescent="0.15">
      <c r="A1" t="s">
        <v>3</v>
      </c>
      <c r="C1" t="s">
        <v>600</v>
      </c>
      <c r="E1" t="s">
        <v>3</v>
      </c>
      <c r="G1" t="s">
        <v>4</v>
      </c>
      <c r="I1" t="s">
        <v>3</v>
      </c>
      <c r="K1" t="s">
        <v>4</v>
      </c>
      <c r="M1" t="s">
        <v>3</v>
      </c>
      <c r="O1" t="s">
        <v>4</v>
      </c>
      <c r="Q1" t="s">
        <v>3</v>
      </c>
      <c r="S1" t="s">
        <v>4</v>
      </c>
      <c r="U1" t="s">
        <v>3</v>
      </c>
      <c r="W1" t="s">
        <v>4</v>
      </c>
      <c r="Y1" t="s">
        <v>3</v>
      </c>
      <c r="AA1" t="s">
        <v>4</v>
      </c>
      <c r="AC1" t="s">
        <v>3</v>
      </c>
      <c r="AE1" t="s">
        <v>601</v>
      </c>
      <c r="AG1" t="s">
        <v>3</v>
      </c>
      <c r="AI1" t="s">
        <v>601</v>
      </c>
      <c r="AK1" t="s">
        <v>3</v>
      </c>
      <c r="AM1" t="s">
        <v>601</v>
      </c>
      <c r="AO1" t="s">
        <v>3</v>
      </c>
      <c r="AQ1" t="s">
        <v>4</v>
      </c>
      <c r="AS1" t="s">
        <v>3</v>
      </c>
      <c r="AT1" s="3" t="s">
        <v>5</v>
      </c>
    </row>
    <row r="2" spans="1:46" x14ac:dyDescent="0.15">
      <c r="A2" t="s">
        <v>3</v>
      </c>
      <c r="E2" t="s">
        <v>3</v>
      </c>
      <c r="I2" t="s">
        <v>3</v>
      </c>
      <c r="K2" s="1" t="s">
        <v>209</v>
      </c>
      <c r="M2" t="s">
        <v>3</v>
      </c>
      <c r="O2" s="3" t="s">
        <v>209</v>
      </c>
      <c r="P2" s="4"/>
      <c r="Q2" t="s">
        <v>3</v>
      </c>
      <c r="S2" s="3" t="s">
        <v>209</v>
      </c>
      <c r="T2" s="4"/>
      <c r="U2" t="s">
        <v>3</v>
      </c>
      <c r="W2" t="s">
        <v>209</v>
      </c>
      <c r="Y2" t="s">
        <v>3</v>
      </c>
      <c r="AA2" s="1" t="s">
        <v>581</v>
      </c>
      <c r="AC2" t="s">
        <v>3</v>
      </c>
      <c r="AE2" s="1" t="s">
        <v>209</v>
      </c>
      <c r="AG2" t="s">
        <v>3</v>
      </c>
      <c r="AI2" s="3" t="s">
        <v>209</v>
      </c>
      <c r="AJ2" s="4"/>
      <c r="AK2" t="s">
        <v>3</v>
      </c>
      <c r="AM2" s="3" t="s">
        <v>602</v>
      </c>
      <c r="AN2" s="4"/>
      <c r="AO2" t="s">
        <v>3</v>
      </c>
      <c r="AS2" t="s">
        <v>3</v>
      </c>
    </row>
    <row r="3" spans="1:46" x14ac:dyDescent="0.15">
      <c r="A3" t="s">
        <v>3</v>
      </c>
      <c r="C3" t="s">
        <v>603</v>
      </c>
      <c r="E3" t="s">
        <v>3</v>
      </c>
      <c r="G3" t="s">
        <v>7</v>
      </c>
      <c r="I3" t="s">
        <v>3</v>
      </c>
      <c r="K3" s="1" t="s">
        <v>11</v>
      </c>
      <c r="M3" t="s">
        <v>3</v>
      </c>
      <c r="O3" t="s">
        <v>12</v>
      </c>
      <c r="Q3" t="s">
        <v>3</v>
      </c>
      <c r="S3" t="s">
        <v>13</v>
      </c>
      <c r="U3" t="s">
        <v>3</v>
      </c>
      <c r="W3" t="s">
        <v>14</v>
      </c>
      <c r="Y3" t="s">
        <v>3</v>
      </c>
      <c r="AA3" s="2" t="s">
        <v>15</v>
      </c>
      <c r="AC3" t="s">
        <v>3</v>
      </c>
      <c r="AE3" s="1" t="s">
        <v>604</v>
      </c>
      <c r="AG3" t="s">
        <v>3</v>
      </c>
      <c r="AI3" t="s">
        <v>21</v>
      </c>
      <c r="AK3" t="s">
        <v>3</v>
      </c>
      <c r="AM3" t="s">
        <v>605</v>
      </c>
      <c r="AO3" t="s">
        <v>3</v>
      </c>
      <c r="AQ3" s="1" t="s">
        <v>606</v>
      </c>
      <c r="AS3" t="s">
        <v>3</v>
      </c>
    </row>
    <row r="4" spans="1:46" x14ac:dyDescent="0.15">
      <c r="A4" t="s">
        <v>3</v>
      </c>
      <c r="B4" t="s">
        <v>607</v>
      </c>
      <c r="C4" t="s">
        <v>608</v>
      </c>
      <c r="D4" t="s">
        <v>609</v>
      </c>
      <c r="E4" t="s">
        <v>3</v>
      </c>
      <c r="F4" t="str">
        <f>IF(G4=MAX(G$4:G$37),"&amp;color(red){''",IF(G4=MIN(G$4:G$37),"&amp;color(blue){''",""))</f>
        <v/>
      </c>
      <c r="G4">
        <v>104</v>
      </c>
      <c r="H4" t="str">
        <f>IF(G4=MAX(G$4:G$37),"''}",IF(G4=MIN(G$4:G$37),"''}",""))</f>
        <v/>
      </c>
      <c r="I4" t="s">
        <v>3</v>
      </c>
      <c r="J4" t="str">
        <f t="shared" ref="J4:J37" si="0">IF(K4=MAX(K$4:K$37),"&amp;color(red){''",IF(K4=MIN(K$4:K$37),"&amp;color(blue){''",""))</f>
        <v/>
      </c>
      <c r="K4">
        <v>3</v>
      </c>
      <c r="L4" t="str">
        <f t="shared" ref="L4:L37" si="1">IF(K4=MAX(K$4:K$37),"''}",IF(K4=MIN(K$4:K$37),"''}",""))</f>
        <v/>
      </c>
      <c r="M4" t="s">
        <v>3</v>
      </c>
      <c r="N4" t="str">
        <f t="shared" ref="N4:N37" si="2">IF(O4=MAX(O$4:O$37),"&amp;color(red){''",IF(O4=MIN(O$4:O$37),"&amp;color(blue){''",""))</f>
        <v/>
      </c>
      <c r="O4">
        <v>1</v>
      </c>
      <c r="P4" t="str">
        <f t="shared" ref="P4:P37" si="3">IF(O4=MAX(O$4:O$37),"''}",IF(O4=MIN(O$4:O$37),"''}",""))</f>
        <v/>
      </c>
      <c r="Q4" t="s">
        <v>3</v>
      </c>
      <c r="R4" t="str">
        <f t="shared" ref="R4:R37" si="4">IF(S4=MAX(S$4:S$37),"&amp;color(red){''",IF(S4=MIN(S$4:S$37),"&amp;color(blue){''",""))</f>
        <v/>
      </c>
      <c r="S4">
        <v>0</v>
      </c>
      <c r="T4" t="str">
        <f t="shared" ref="T4:T37" si="5">IF(S4=MAX(S$4:S$37),"''}",IF(S4=MIN(S$4:S$37),"''}",""))</f>
        <v/>
      </c>
      <c r="U4" t="s">
        <v>3</v>
      </c>
      <c r="V4" t="str">
        <f t="shared" ref="V4:V37" si="6">IF(W4=MAX(W$4:W$37),"&amp;color(red){''",IF(W4=MIN(W$4:W$37),"&amp;color(blue){''",""))</f>
        <v/>
      </c>
      <c r="W4">
        <v>0</v>
      </c>
      <c r="X4" t="str">
        <f t="shared" ref="X4:X37" si="7">IF(W4=MAX(W$4:W$37),"''}",IF(W4=MIN(W$4:W$37),"''}",""))</f>
        <v/>
      </c>
      <c r="Y4" t="s">
        <v>3</v>
      </c>
      <c r="Z4" t="str">
        <f t="shared" ref="Z4:Z37" si="8">IF(AA4=MAX(AA$4:AA$37),"&amp;color(red){''",IF(AA4=MIN(AA$4:AA$37),"&amp;color(blue){''",""))</f>
        <v/>
      </c>
      <c r="AA4">
        <v>1</v>
      </c>
      <c r="AB4" t="str">
        <f t="shared" ref="AB4:AB37" si="9">IF(AA4=MAX(AA$4:AA$37),"''}",IF(AA4=MIN(AA$4:AA$37),"''}",""))</f>
        <v/>
      </c>
      <c r="AC4" t="s">
        <v>3</v>
      </c>
      <c r="AD4" t="str">
        <f t="shared" ref="AD4:AD37" si="10">IF(AE4=MAX(AE$4:AE$37),"&amp;color(red){''",IF(AE4=MIN(AE$4:AE$37),"&amp;color(blue){''",""))</f>
        <v/>
      </c>
      <c r="AE4">
        <v>9</v>
      </c>
      <c r="AF4" t="str">
        <f t="shared" ref="AF4:AF37" si="11">IF(AE4=MAX(AE$4:AE$37),"''}",IF(AE4=MIN(AE$4:AE$37),"''}",""))</f>
        <v/>
      </c>
      <c r="AG4" t="s">
        <v>3</v>
      </c>
      <c r="AH4" t="str">
        <f t="shared" ref="AH4:AH37" si="12">IF(AI4=MAX(AI$4:AI$37),"&amp;color(red){''",IF(AI4=MIN(AI$4:AI$37),"&amp;color(blue){''",""))</f>
        <v/>
      </c>
      <c r="AI4">
        <v>6</v>
      </c>
      <c r="AJ4" t="str">
        <f t="shared" ref="AJ4:AJ37" si="13">IF(AI4=MAX(AI$4:AI$37),"''}",IF(AI4=MIN(AI$4:AI$37),"''}",""))</f>
        <v/>
      </c>
      <c r="AK4" t="s">
        <v>3</v>
      </c>
      <c r="AL4" t="str">
        <f t="shared" ref="AL4:AL37" si="14">IF(AM4=MAX(AM$4:AM$37),"&amp;color(red){''",IF(AM4=MIN(AM$4:AM$37),"&amp;color(blue){''",""))</f>
        <v/>
      </c>
      <c r="AM4">
        <v>7</v>
      </c>
      <c r="AN4" t="str">
        <f t="shared" ref="AN4:AN37" si="15">IF(AM4=MAX(AM$4:AM$37),"''}",IF(AM4=MIN(AM$4:AM$37),"''}",""))</f>
        <v/>
      </c>
      <c r="AO4" t="s">
        <v>3</v>
      </c>
      <c r="AP4" t="str">
        <f t="shared" ref="AP4:AP36" si="16">IF(AQ4=MAX(AQ$4:AQ$37),"&amp;color(red){''",IF(AQ4=MIN(AQ$4:AQ$37),"&amp;color(blue){''",""))</f>
        <v>&amp;color(blue){''</v>
      </c>
      <c r="AQ4">
        <f t="shared" ref="AQ4:AQ26" si="17">SUM(K4:AA4)</f>
        <v>5</v>
      </c>
      <c r="AR4" t="str">
        <f t="shared" ref="AR4:AR37" si="18">IF(AQ4=MAX(AQ$4:AQ$37),"''}",IF(AQ4=MIN(AQ$4:AQ$37),"''}",""))</f>
        <v>''}</v>
      </c>
      <c r="AS4" t="s">
        <v>3</v>
      </c>
    </row>
    <row r="5" spans="1:46" x14ac:dyDescent="0.15">
      <c r="A5" t="s">
        <v>3</v>
      </c>
      <c r="B5" t="s">
        <v>607</v>
      </c>
      <c r="C5" t="s">
        <v>610</v>
      </c>
      <c r="D5" t="s">
        <v>609</v>
      </c>
      <c r="E5" t="s">
        <v>3</v>
      </c>
      <c r="F5" t="str">
        <f t="shared" ref="F5:F37" si="19">IF(G5=MAX(G$4:G$37),"&amp;color(red){''",IF(G5=MIN(G$4:G$37),"&amp;color(blue){''",""))</f>
        <v/>
      </c>
      <c r="G5">
        <v>104</v>
      </c>
      <c r="H5" t="str">
        <f t="shared" ref="H5:H37" si="20">IF(G5=MAX(G$4:G$37),"''}",IF(G5=MIN(G$4:G$37),"''}",""))</f>
        <v/>
      </c>
      <c r="I5" t="s">
        <v>3</v>
      </c>
      <c r="J5" t="str">
        <f t="shared" si="0"/>
        <v/>
      </c>
      <c r="K5">
        <v>3</v>
      </c>
      <c r="L5" t="str">
        <f t="shared" si="1"/>
        <v/>
      </c>
      <c r="M5" t="s">
        <v>3</v>
      </c>
      <c r="N5" t="str">
        <f t="shared" si="2"/>
        <v/>
      </c>
      <c r="O5">
        <v>2</v>
      </c>
      <c r="P5" t="str">
        <f t="shared" si="3"/>
        <v/>
      </c>
      <c r="Q5" t="s">
        <v>3</v>
      </c>
      <c r="R5" t="str">
        <f t="shared" si="4"/>
        <v/>
      </c>
      <c r="S5">
        <v>0</v>
      </c>
      <c r="T5" t="str">
        <f t="shared" si="5"/>
        <v/>
      </c>
      <c r="U5" t="s">
        <v>3</v>
      </c>
      <c r="V5" t="str">
        <f t="shared" si="6"/>
        <v/>
      </c>
      <c r="W5">
        <v>0</v>
      </c>
      <c r="X5" t="str">
        <f t="shared" si="7"/>
        <v/>
      </c>
      <c r="Y5" t="s">
        <v>3</v>
      </c>
      <c r="Z5" t="str">
        <f t="shared" si="8"/>
        <v/>
      </c>
      <c r="AA5">
        <v>2</v>
      </c>
      <c r="AB5" t="str">
        <f t="shared" si="9"/>
        <v/>
      </c>
      <c r="AC5" t="s">
        <v>3</v>
      </c>
      <c r="AD5" t="str">
        <f t="shared" si="10"/>
        <v/>
      </c>
      <c r="AE5">
        <v>5</v>
      </c>
      <c r="AF5" t="str">
        <f t="shared" si="11"/>
        <v/>
      </c>
      <c r="AG5" t="s">
        <v>3</v>
      </c>
      <c r="AH5" t="str">
        <f t="shared" si="12"/>
        <v/>
      </c>
      <c r="AI5">
        <v>9</v>
      </c>
      <c r="AJ5" t="str">
        <f t="shared" si="13"/>
        <v/>
      </c>
      <c r="AK5" t="s">
        <v>3</v>
      </c>
      <c r="AL5" t="str">
        <f t="shared" si="14"/>
        <v/>
      </c>
      <c r="AM5">
        <v>7</v>
      </c>
      <c r="AN5" t="str">
        <f t="shared" si="15"/>
        <v/>
      </c>
      <c r="AO5" t="s">
        <v>3</v>
      </c>
      <c r="AP5" t="str">
        <f t="shared" si="16"/>
        <v/>
      </c>
      <c r="AQ5">
        <f t="shared" si="17"/>
        <v>7</v>
      </c>
      <c r="AR5" t="str">
        <f t="shared" si="18"/>
        <v/>
      </c>
      <c r="AS5" t="s">
        <v>3</v>
      </c>
    </row>
    <row r="6" spans="1:46" x14ac:dyDescent="0.15">
      <c r="A6" t="s">
        <v>3</v>
      </c>
      <c r="B6" t="s">
        <v>607</v>
      </c>
      <c r="C6" t="s">
        <v>611</v>
      </c>
      <c r="D6" t="s">
        <v>609</v>
      </c>
      <c r="E6" t="s">
        <v>3</v>
      </c>
      <c r="F6" t="str">
        <f t="shared" si="19"/>
        <v/>
      </c>
      <c r="G6">
        <v>115</v>
      </c>
      <c r="H6" t="str">
        <f t="shared" si="20"/>
        <v/>
      </c>
      <c r="I6" t="s">
        <v>3</v>
      </c>
      <c r="J6" t="str">
        <f t="shared" si="0"/>
        <v/>
      </c>
      <c r="K6">
        <v>5</v>
      </c>
      <c r="L6" t="str">
        <f t="shared" si="1"/>
        <v/>
      </c>
      <c r="M6" t="s">
        <v>3</v>
      </c>
      <c r="N6" t="str">
        <f t="shared" si="2"/>
        <v/>
      </c>
      <c r="O6">
        <v>0</v>
      </c>
      <c r="P6" t="str">
        <f t="shared" si="3"/>
        <v/>
      </c>
      <c r="Q6" t="s">
        <v>3</v>
      </c>
      <c r="R6" t="str">
        <f t="shared" si="4"/>
        <v/>
      </c>
      <c r="S6">
        <v>0</v>
      </c>
      <c r="T6" t="str">
        <f t="shared" si="5"/>
        <v/>
      </c>
      <c r="U6" t="s">
        <v>3</v>
      </c>
      <c r="V6" t="str">
        <f t="shared" si="6"/>
        <v/>
      </c>
      <c r="W6">
        <v>0</v>
      </c>
      <c r="X6" t="str">
        <f t="shared" si="7"/>
        <v/>
      </c>
      <c r="Y6" t="s">
        <v>3</v>
      </c>
      <c r="Z6" t="str">
        <f t="shared" si="8"/>
        <v/>
      </c>
      <c r="AA6">
        <v>4</v>
      </c>
      <c r="AB6" t="str">
        <f t="shared" si="9"/>
        <v/>
      </c>
      <c r="AC6" t="s">
        <v>3</v>
      </c>
      <c r="AD6" t="str">
        <f t="shared" si="10"/>
        <v/>
      </c>
      <c r="AE6">
        <v>5</v>
      </c>
      <c r="AF6" t="str">
        <f t="shared" si="11"/>
        <v/>
      </c>
      <c r="AG6" t="s">
        <v>3</v>
      </c>
      <c r="AH6" t="str">
        <f t="shared" si="12"/>
        <v/>
      </c>
      <c r="AI6">
        <v>5</v>
      </c>
      <c r="AJ6" t="str">
        <f t="shared" si="13"/>
        <v/>
      </c>
      <c r="AK6" t="s">
        <v>3</v>
      </c>
      <c r="AL6" t="str">
        <f t="shared" si="14"/>
        <v/>
      </c>
      <c r="AM6">
        <v>5</v>
      </c>
      <c r="AN6" t="str">
        <f t="shared" si="15"/>
        <v/>
      </c>
      <c r="AO6" t="s">
        <v>3</v>
      </c>
      <c r="AP6" t="str">
        <f t="shared" si="16"/>
        <v/>
      </c>
      <c r="AQ6">
        <f t="shared" si="17"/>
        <v>9</v>
      </c>
      <c r="AR6" t="str">
        <f t="shared" si="18"/>
        <v/>
      </c>
      <c r="AS6" t="s">
        <v>3</v>
      </c>
    </row>
    <row r="7" spans="1:46" x14ac:dyDescent="0.15">
      <c r="A7" t="s">
        <v>3</v>
      </c>
      <c r="B7" t="s">
        <v>607</v>
      </c>
      <c r="C7" t="s">
        <v>612</v>
      </c>
      <c r="D7" t="s">
        <v>609</v>
      </c>
      <c r="E7" t="s">
        <v>3</v>
      </c>
      <c r="F7" t="str">
        <f t="shared" si="19"/>
        <v/>
      </c>
      <c r="G7">
        <v>114</v>
      </c>
      <c r="H7" t="str">
        <f t="shared" si="20"/>
        <v/>
      </c>
      <c r="I7" t="s">
        <v>3</v>
      </c>
      <c r="J7" t="str">
        <f t="shared" si="0"/>
        <v>&amp;color(red){''</v>
      </c>
      <c r="K7">
        <v>7</v>
      </c>
      <c r="L7" t="str">
        <f t="shared" si="1"/>
        <v>''}</v>
      </c>
      <c r="M7" t="s">
        <v>3</v>
      </c>
      <c r="N7" t="str">
        <f t="shared" si="2"/>
        <v/>
      </c>
      <c r="O7">
        <v>3</v>
      </c>
      <c r="P7" t="str">
        <f t="shared" si="3"/>
        <v/>
      </c>
      <c r="Q7" t="s">
        <v>3</v>
      </c>
      <c r="R7" t="str">
        <f t="shared" si="4"/>
        <v>&amp;color(blue){''</v>
      </c>
      <c r="S7">
        <v>-2</v>
      </c>
      <c r="T7" t="str">
        <f t="shared" si="5"/>
        <v>''}</v>
      </c>
      <c r="U7" t="s">
        <v>3</v>
      </c>
      <c r="V7" t="str">
        <f t="shared" si="6"/>
        <v>&amp;color(blue){''</v>
      </c>
      <c r="W7">
        <v>-2</v>
      </c>
      <c r="X7" t="str">
        <f t="shared" si="7"/>
        <v>''}</v>
      </c>
      <c r="Y7" t="s">
        <v>3</v>
      </c>
      <c r="Z7" t="str">
        <f t="shared" si="8"/>
        <v/>
      </c>
      <c r="AA7">
        <v>3</v>
      </c>
      <c r="AB7" t="str">
        <f t="shared" si="9"/>
        <v/>
      </c>
      <c r="AC7" t="s">
        <v>3</v>
      </c>
      <c r="AD7" t="str">
        <f t="shared" si="10"/>
        <v/>
      </c>
      <c r="AE7">
        <v>6</v>
      </c>
      <c r="AF7" t="str">
        <f t="shared" si="11"/>
        <v/>
      </c>
      <c r="AG7" t="s">
        <v>3</v>
      </c>
      <c r="AH7" t="str">
        <f t="shared" si="12"/>
        <v/>
      </c>
      <c r="AI7">
        <v>6</v>
      </c>
      <c r="AJ7" t="str">
        <f t="shared" si="13"/>
        <v/>
      </c>
      <c r="AK7" t="s">
        <v>3</v>
      </c>
      <c r="AL7" t="str">
        <f t="shared" si="14"/>
        <v/>
      </c>
      <c r="AM7">
        <v>5</v>
      </c>
      <c r="AN7" t="str">
        <f t="shared" si="15"/>
        <v/>
      </c>
      <c r="AO7" t="s">
        <v>3</v>
      </c>
      <c r="AP7" t="str">
        <f t="shared" si="16"/>
        <v/>
      </c>
      <c r="AQ7">
        <f t="shared" si="17"/>
        <v>9</v>
      </c>
      <c r="AR7" t="str">
        <f t="shared" si="18"/>
        <v/>
      </c>
      <c r="AS7" t="s">
        <v>3</v>
      </c>
    </row>
    <row r="8" spans="1:46" x14ac:dyDescent="0.15">
      <c r="A8" t="s">
        <v>3</v>
      </c>
      <c r="B8" t="s">
        <v>607</v>
      </c>
      <c r="C8" t="s">
        <v>613</v>
      </c>
      <c r="D8" t="s">
        <v>609</v>
      </c>
      <c r="E8" t="s">
        <v>3</v>
      </c>
      <c r="F8" t="str">
        <f t="shared" si="19"/>
        <v/>
      </c>
      <c r="G8">
        <v>88</v>
      </c>
      <c r="H8" t="str">
        <f t="shared" si="20"/>
        <v/>
      </c>
      <c r="I8" t="s">
        <v>3</v>
      </c>
      <c r="J8" t="str">
        <f t="shared" si="0"/>
        <v/>
      </c>
      <c r="K8">
        <v>1</v>
      </c>
      <c r="L8" t="str">
        <f t="shared" si="1"/>
        <v/>
      </c>
      <c r="M8" t="s">
        <v>3</v>
      </c>
      <c r="N8" t="str">
        <f t="shared" si="2"/>
        <v/>
      </c>
      <c r="O8">
        <v>3</v>
      </c>
      <c r="P8" t="str">
        <f t="shared" si="3"/>
        <v/>
      </c>
      <c r="Q8" t="s">
        <v>3</v>
      </c>
      <c r="R8" t="str">
        <f t="shared" si="4"/>
        <v/>
      </c>
      <c r="S8">
        <v>1</v>
      </c>
      <c r="T8" t="str">
        <f t="shared" si="5"/>
        <v/>
      </c>
      <c r="U8" t="s">
        <v>3</v>
      </c>
      <c r="V8" t="str">
        <f t="shared" si="6"/>
        <v/>
      </c>
      <c r="W8">
        <v>0</v>
      </c>
      <c r="X8" t="str">
        <f t="shared" si="7"/>
        <v/>
      </c>
      <c r="Y8" t="s">
        <v>3</v>
      </c>
      <c r="Z8" t="str">
        <f t="shared" si="8"/>
        <v/>
      </c>
      <c r="AA8">
        <v>0</v>
      </c>
      <c r="AB8" t="str">
        <f t="shared" si="9"/>
        <v/>
      </c>
      <c r="AC8" t="s">
        <v>3</v>
      </c>
      <c r="AD8" t="str">
        <f t="shared" si="10"/>
        <v/>
      </c>
      <c r="AE8">
        <v>7</v>
      </c>
      <c r="AF8" t="str">
        <f t="shared" si="11"/>
        <v/>
      </c>
      <c r="AG8" t="s">
        <v>3</v>
      </c>
      <c r="AH8" t="str">
        <f t="shared" si="12"/>
        <v>&amp;color(red){''</v>
      </c>
      <c r="AI8">
        <v>10</v>
      </c>
      <c r="AJ8" t="str">
        <f t="shared" si="13"/>
        <v>''}</v>
      </c>
      <c r="AK8" t="s">
        <v>3</v>
      </c>
      <c r="AL8" t="str">
        <f t="shared" si="14"/>
        <v/>
      </c>
      <c r="AM8">
        <v>8</v>
      </c>
      <c r="AN8" t="str">
        <f t="shared" si="15"/>
        <v/>
      </c>
      <c r="AO8" t="s">
        <v>3</v>
      </c>
      <c r="AP8" t="str">
        <f t="shared" si="16"/>
        <v>&amp;color(blue){''</v>
      </c>
      <c r="AQ8">
        <f t="shared" si="17"/>
        <v>5</v>
      </c>
      <c r="AR8" t="str">
        <f t="shared" si="18"/>
        <v>''}</v>
      </c>
      <c r="AS8" t="s">
        <v>3</v>
      </c>
    </row>
    <row r="9" spans="1:46" x14ac:dyDescent="0.15">
      <c r="A9" t="s">
        <v>3</v>
      </c>
      <c r="B9" t="s">
        <v>607</v>
      </c>
      <c r="C9" t="s">
        <v>614</v>
      </c>
      <c r="D9" t="s">
        <v>609</v>
      </c>
      <c r="E9" t="s">
        <v>3</v>
      </c>
      <c r="F9" t="str">
        <f t="shared" si="19"/>
        <v/>
      </c>
      <c r="G9">
        <v>104</v>
      </c>
      <c r="H9" t="str">
        <f t="shared" si="20"/>
        <v/>
      </c>
      <c r="I9" t="s">
        <v>3</v>
      </c>
      <c r="J9" t="str">
        <f t="shared" si="0"/>
        <v/>
      </c>
      <c r="K9">
        <v>0</v>
      </c>
      <c r="L9" t="str">
        <f t="shared" si="1"/>
        <v/>
      </c>
      <c r="M9" t="s">
        <v>3</v>
      </c>
      <c r="N9" t="str">
        <f t="shared" si="2"/>
        <v>&amp;color(red){''</v>
      </c>
      <c r="O9">
        <v>5</v>
      </c>
      <c r="P9" t="str">
        <f t="shared" si="3"/>
        <v>''}</v>
      </c>
      <c r="Q9" t="s">
        <v>3</v>
      </c>
      <c r="R9" t="str">
        <f t="shared" si="4"/>
        <v/>
      </c>
      <c r="S9">
        <v>4</v>
      </c>
      <c r="T9" t="str">
        <f t="shared" si="5"/>
        <v/>
      </c>
      <c r="U9" t="s">
        <v>3</v>
      </c>
      <c r="V9" t="str">
        <f t="shared" si="6"/>
        <v/>
      </c>
      <c r="W9">
        <v>0</v>
      </c>
      <c r="X9" t="str">
        <f t="shared" si="7"/>
        <v/>
      </c>
      <c r="Y9" t="s">
        <v>3</v>
      </c>
      <c r="Z9" t="str">
        <f t="shared" si="8"/>
        <v/>
      </c>
      <c r="AA9">
        <v>0</v>
      </c>
      <c r="AB9" t="str">
        <f t="shared" si="9"/>
        <v/>
      </c>
      <c r="AC9" t="s">
        <v>3</v>
      </c>
      <c r="AD9" t="str">
        <f t="shared" si="10"/>
        <v/>
      </c>
      <c r="AE9">
        <v>7</v>
      </c>
      <c r="AF9" t="str">
        <f t="shared" si="11"/>
        <v/>
      </c>
      <c r="AG9" t="s">
        <v>3</v>
      </c>
      <c r="AH9" t="str">
        <f t="shared" si="12"/>
        <v/>
      </c>
      <c r="AI9">
        <v>5</v>
      </c>
      <c r="AJ9" t="str">
        <f t="shared" si="13"/>
        <v/>
      </c>
      <c r="AK9" t="s">
        <v>3</v>
      </c>
      <c r="AL9" t="str">
        <f t="shared" si="14"/>
        <v/>
      </c>
      <c r="AM9">
        <v>5</v>
      </c>
      <c r="AN9" t="str">
        <f t="shared" si="15"/>
        <v/>
      </c>
      <c r="AO9" t="s">
        <v>3</v>
      </c>
      <c r="AP9" t="str">
        <f t="shared" si="16"/>
        <v/>
      </c>
      <c r="AQ9">
        <f t="shared" si="17"/>
        <v>9</v>
      </c>
      <c r="AR9" t="str">
        <f t="shared" si="18"/>
        <v/>
      </c>
      <c r="AS9" t="s">
        <v>3</v>
      </c>
    </row>
    <row r="10" spans="1:46" x14ac:dyDescent="0.15">
      <c r="A10" t="s">
        <v>3</v>
      </c>
      <c r="B10" t="s">
        <v>607</v>
      </c>
      <c r="C10" t="s">
        <v>615</v>
      </c>
      <c r="D10" t="s">
        <v>609</v>
      </c>
      <c r="E10" t="s">
        <v>3</v>
      </c>
      <c r="F10" t="str">
        <f t="shared" si="19"/>
        <v/>
      </c>
      <c r="G10">
        <v>99</v>
      </c>
      <c r="H10" t="str">
        <f t="shared" si="20"/>
        <v/>
      </c>
      <c r="I10" t="s">
        <v>3</v>
      </c>
      <c r="J10" t="str">
        <f t="shared" si="0"/>
        <v/>
      </c>
      <c r="K10">
        <v>2</v>
      </c>
      <c r="L10" t="str">
        <f t="shared" si="1"/>
        <v/>
      </c>
      <c r="M10" t="s">
        <v>3</v>
      </c>
      <c r="N10" t="str">
        <f t="shared" si="2"/>
        <v/>
      </c>
      <c r="O10">
        <v>3</v>
      </c>
      <c r="P10" t="str">
        <f t="shared" si="3"/>
        <v/>
      </c>
      <c r="Q10" t="s">
        <v>3</v>
      </c>
      <c r="R10" t="str">
        <f t="shared" si="4"/>
        <v/>
      </c>
      <c r="S10">
        <v>2</v>
      </c>
      <c r="T10" t="str">
        <f t="shared" si="5"/>
        <v/>
      </c>
      <c r="U10" t="s">
        <v>3</v>
      </c>
      <c r="V10" t="str">
        <f t="shared" si="6"/>
        <v/>
      </c>
      <c r="W10">
        <v>0</v>
      </c>
      <c r="X10" t="str">
        <f t="shared" si="7"/>
        <v/>
      </c>
      <c r="Y10" t="s">
        <v>3</v>
      </c>
      <c r="Z10" t="str">
        <f t="shared" si="8"/>
        <v/>
      </c>
      <c r="AA10">
        <v>0</v>
      </c>
      <c r="AB10" t="str">
        <f t="shared" si="9"/>
        <v/>
      </c>
      <c r="AC10" t="s">
        <v>3</v>
      </c>
      <c r="AD10" t="str">
        <f t="shared" si="10"/>
        <v/>
      </c>
      <c r="AE10">
        <v>5</v>
      </c>
      <c r="AF10" t="str">
        <f t="shared" si="11"/>
        <v/>
      </c>
      <c r="AG10" t="s">
        <v>3</v>
      </c>
      <c r="AH10" t="str">
        <f t="shared" si="12"/>
        <v/>
      </c>
      <c r="AI10">
        <v>8</v>
      </c>
      <c r="AJ10" t="str">
        <f t="shared" si="13"/>
        <v/>
      </c>
      <c r="AK10" t="s">
        <v>3</v>
      </c>
      <c r="AL10" t="str">
        <f t="shared" si="14"/>
        <v>&amp;color(red){''</v>
      </c>
      <c r="AM10">
        <v>9</v>
      </c>
      <c r="AN10" t="str">
        <f t="shared" si="15"/>
        <v>''}</v>
      </c>
      <c r="AO10" t="s">
        <v>3</v>
      </c>
      <c r="AP10" t="str">
        <f t="shared" si="16"/>
        <v/>
      </c>
      <c r="AQ10">
        <f t="shared" si="17"/>
        <v>7</v>
      </c>
      <c r="AR10" t="str">
        <f t="shared" si="18"/>
        <v/>
      </c>
      <c r="AS10" t="s">
        <v>3</v>
      </c>
    </row>
    <row r="11" spans="1:46" x14ac:dyDescent="0.15">
      <c r="A11" t="s">
        <v>3</v>
      </c>
      <c r="B11" t="s">
        <v>607</v>
      </c>
      <c r="C11" t="s">
        <v>877</v>
      </c>
      <c r="D11" t="s">
        <v>609</v>
      </c>
      <c r="E11" t="s">
        <v>3</v>
      </c>
      <c r="F11" t="str">
        <f t="shared" ref="F11" si="21">IF(G11=MAX(G$4:G$37),"&amp;color(red){''",IF(G11=MIN(G$4:G$37),"&amp;color(blue){''",""))</f>
        <v/>
      </c>
      <c r="G11">
        <v>96</v>
      </c>
      <c r="H11" t="str">
        <f t="shared" ref="H11" si="22">IF(G11=MAX(G$4:G$37),"''}",IF(G11=MIN(G$4:G$37),"''}",""))</f>
        <v/>
      </c>
      <c r="I11" t="s">
        <v>3</v>
      </c>
      <c r="J11" t="str">
        <f t="shared" ref="J11" si="23">IF(K11=MAX(K$4:K$37),"&amp;color(red){''",IF(K11=MIN(K$4:K$37),"&amp;color(blue){''",""))</f>
        <v/>
      </c>
      <c r="K11">
        <v>2</v>
      </c>
      <c r="L11" t="str">
        <f t="shared" ref="L11" si="24">IF(K11=MAX(K$4:K$37),"''}",IF(K11=MIN(K$4:K$37),"''}",""))</f>
        <v/>
      </c>
      <c r="M11" t="s">
        <v>3</v>
      </c>
      <c r="N11" t="str">
        <f t="shared" ref="N11" si="25">IF(O11=MAX(O$4:O$37),"&amp;color(red){''",IF(O11=MIN(O$4:O$37),"&amp;color(blue){''",""))</f>
        <v/>
      </c>
      <c r="O11">
        <v>3</v>
      </c>
      <c r="P11" t="str">
        <f t="shared" ref="P11" si="26">IF(O11=MAX(O$4:O$37),"''}",IF(O11=MIN(O$4:O$37),"''}",""))</f>
        <v/>
      </c>
      <c r="Q11" t="s">
        <v>3</v>
      </c>
      <c r="R11" t="str">
        <f t="shared" ref="R11" si="27">IF(S11=MAX(S$4:S$37),"&amp;color(red){''",IF(S11=MIN(S$4:S$37),"&amp;color(blue){''",""))</f>
        <v/>
      </c>
      <c r="S11">
        <v>2</v>
      </c>
      <c r="T11" t="str">
        <f t="shared" ref="T11" si="28">IF(S11=MAX(S$4:S$37),"''}",IF(S11=MIN(S$4:S$37),"''}",""))</f>
        <v/>
      </c>
      <c r="U11" t="s">
        <v>3</v>
      </c>
      <c r="V11" t="str">
        <f t="shared" ref="V11" si="29">IF(W11=MAX(W$4:W$37),"&amp;color(red){''",IF(W11=MIN(W$4:W$37),"&amp;color(blue){''",""))</f>
        <v/>
      </c>
      <c r="W11">
        <v>1</v>
      </c>
      <c r="X11" t="str">
        <f t="shared" ref="X11" si="30">IF(W11=MAX(W$4:W$37),"''}",IF(W11=MIN(W$4:W$37),"''}",""))</f>
        <v/>
      </c>
      <c r="Y11" t="s">
        <v>3</v>
      </c>
      <c r="Z11" t="str">
        <f t="shared" ref="Z11" si="31">IF(AA11=MAX(AA$4:AA$37),"&amp;color(red){''",IF(AA11=MIN(AA$4:AA$37),"&amp;color(blue){''",""))</f>
        <v/>
      </c>
      <c r="AA11">
        <v>1</v>
      </c>
      <c r="AB11" t="str">
        <f t="shared" ref="AB11" si="32">IF(AA11=MAX(AA$4:AA$37),"''}",IF(AA11=MIN(AA$4:AA$37),"''}",""))</f>
        <v/>
      </c>
      <c r="AC11" t="s">
        <v>3</v>
      </c>
      <c r="AD11" t="str">
        <f t="shared" ref="AD11" si="33">IF(AE11=MAX(AE$4:AE$37),"&amp;color(red){''",IF(AE11=MIN(AE$4:AE$37),"&amp;color(blue){''",""))</f>
        <v/>
      </c>
      <c r="AE11">
        <v>6</v>
      </c>
      <c r="AF11" t="str">
        <f t="shared" ref="AF11" si="34">IF(AE11=MAX(AE$4:AE$37),"''}",IF(AE11=MIN(AE$4:AE$37),"''}",""))</f>
        <v/>
      </c>
      <c r="AG11" t="s">
        <v>3</v>
      </c>
      <c r="AH11" t="str">
        <f t="shared" ref="AH11" si="35">IF(AI11=MAX(AI$4:AI$37),"&amp;color(red){''",IF(AI11=MIN(AI$4:AI$37),"&amp;color(blue){''",""))</f>
        <v/>
      </c>
      <c r="AI11">
        <v>9</v>
      </c>
      <c r="AJ11" t="str">
        <f t="shared" ref="AJ11" si="36">IF(AI11=MAX(AI$4:AI$37),"''}",IF(AI11=MIN(AI$4:AI$37),"''}",""))</f>
        <v/>
      </c>
      <c r="AK11" t="s">
        <v>3</v>
      </c>
      <c r="AL11" t="str">
        <f t="shared" ref="AL11" si="37">IF(AM11=MAX(AM$4:AM$37),"&amp;color(red){''",IF(AM11=MIN(AM$4:AM$37),"&amp;color(blue){''",""))</f>
        <v/>
      </c>
      <c r="AM11">
        <v>4</v>
      </c>
      <c r="AN11" t="str">
        <f t="shared" ref="AN11" si="38">IF(AM11=MAX(AM$4:AM$37),"''}",IF(AM11=MIN(AM$4:AM$37),"''}",""))</f>
        <v/>
      </c>
      <c r="AO11" t="s">
        <v>3</v>
      </c>
      <c r="AP11" t="str">
        <f t="shared" ref="AP11" si="39">IF(AQ11=MAX(AQ$4:AQ$37),"&amp;color(red){''",IF(AQ11=MIN(AQ$4:AQ$37),"&amp;color(blue){''",""))</f>
        <v/>
      </c>
      <c r="AQ11">
        <f t="shared" ref="AQ11" si="40">SUM(K11:AA11)</f>
        <v>9</v>
      </c>
      <c r="AR11" t="str">
        <f t="shared" ref="AR11" si="41">IF(AQ11=MAX(AQ$4:AQ$37),"''}",IF(AQ11=MIN(AQ$4:AQ$37),"''}",""))</f>
        <v/>
      </c>
      <c r="AS11" t="s">
        <v>3</v>
      </c>
    </row>
    <row r="12" spans="1:46" x14ac:dyDescent="0.15">
      <c r="A12" t="s">
        <v>3</v>
      </c>
      <c r="B12" t="s">
        <v>607</v>
      </c>
      <c r="C12" t="s">
        <v>616</v>
      </c>
      <c r="D12" t="s">
        <v>609</v>
      </c>
      <c r="E12" t="s">
        <v>3</v>
      </c>
      <c r="F12" t="str">
        <f t="shared" si="19"/>
        <v/>
      </c>
      <c r="G12">
        <v>94</v>
      </c>
      <c r="H12" t="str">
        <f t="shared" si="20"/>
        <v/>
      </c>
      <c r="I12" t="s">
        <v>3</v>
      </c>
      <c r="J12" t="str">
        <f t="shared" si="0"/>
        <v/>
      </c>
      <c r="K12">
        <v>0</v>
      </c>
      <c r="L12" t="str">
        <f t="shared" si="1"/>
        <v/>
      </c>
      <c r="M12" t="s">
        <v>3</v>
      </c>
      <c r="N12" t="str">
        <f t="shared" si="2"/>
        <v/>
      </c>
      <c r="O12">
        <v>1</v>
      </c>
      <c r="P12" t="str">
        <f t="shared" si="3"/>
        <v/>
      </c>
      <c r="Q12" t="s">
        <v>3</v>
      </c>
      <c r="R12" t="str">
        <f t="shared" si="4"/>
        <v/>
      </c>
      <c r="S12">
        <v>3</v>
      </c>
      <c r="T12" t="str">
        <f t="shared" si="5"/>
        <v/>
      </c>
      <c r="U12" t="s">
        <v>3</v>
      </c>
      <c r="V12" t="str">
        <f t="shared" si="6"/>
        <v/>
      </c>
      <c r="W12">
        <v>1</v>
      </c>
      <c r="X12" t="str">
        <f t="shared" si="7"/>
        <v/>
      </c>
      <c r="Y12" t="s">
        <v>3</v>
      </c>
      <c r="Z12" t="str">
        <f t="shared" si="8"/>
        <v/>
      </c>
      <c r="AA12">
        <v>0</v>
      </c>
      <c r="AB12" t="str">
        <f t="shared" si="9"/>
        <v/>
      </c>
      <c r="AC12" t="s">
        <v>3</v>
      </c>
      <c r="AD12" t="str">
        <f t="shared" si="10"/>
        <v/>
      </c>
      <c r="AE12">
        <v>9</v>
      </c>
      <c r="AF12" t="str">
        <f t="shared" si="11"/>
        <v/>
      </c>
      <c r="AG12" t="s">
        <v>3</v>
      </c>
      <c r="AH12" t="str">
        <f t="shared" si="12"/>
        <v>&amp;color(red){''</v>
      </c>
      <c r="AI12">
        <v>10</v>
      </c>
      <c r="AJ12" t="str">
        <f t="shared" si="13"/>
        <v>''}</v>
      </c>
      <c r="AK12" t="s">
        <v>3</v>
      </c>
      <c r="AL12" t="str">
        <f t="shared" si="14"/>
        <v/>
      </c>
      <c r="AM12">
        <v>8</v>
      </c>
      <c r="AN12" t="str">
        <f t="shared" si="15"/>
        <v/>
      </c>
      <c r="AO12" t="s">
        <v>3</v>
      </c>
      <c r="AP12" t="str">
        <f t="shared" si="16"/>
        <v>&amp;color(blue){''</v>
      </c>
      <c r="AQ12">
        <f t="shared" si="17"/>
        <v>5</v>
      </c>
      <c r="AR12" t="str">
        <f t="shared" si="18"/>
        <v>''}</v>
      </c>
      <c r="AS12" t="s">
        <v>3</v>
      </c>
    </row>
    <row r="13" spans="1:46" x14ac:dyDescent="0.15">
      <c r="A13" t="s">
        <v>3</v>
      </c>
      <c r="B13" t="s">
        <v>607</v>
      </c>
      <c r="C13" t="s">
        <v>617</v>
      </c>
      <c r="D13" t="s">
        <v>609</v>
      </c>
      <c r="E13" t="s">
        <v>3</v>
      </c>
      <c r="F13" t="str">
        <f t="shared" si="19"/>
        <v/>
      </c>
      <c r="G13">
        <v>114</v>
      </c>
      <c r="H13" t="str">
        <f t="shared" si="20"/>
        <v/>
      </c>
      <c r="I13" t="s">
        <v>3</v>
      </c>
      <c r="J13" t="str">
        <f t="shared" si="0"/>
        <v/>
      </c>
      <c r="K13">
        <v>0</v>
      </c>
      <c r="L13" t="str">
        <f t="shared" si="1"/>
        <v/>
      </c>
      <c r="M13" t="s">
        <v>3</v>
      </c>
      <c r="N13" t="str">
        <f t="shared" si="2"/>
        <v/>
      </c>
      <c r="O13">
        <v>4</v>
      </c>
      <c r="P13" t="str">
        <f t="shared" si="3"/>
        <v/>
      </c>
      <c r="Q13" t="s">
        <v>3</v>
      </c>
      <c r="R13" t="str">
        <f t="shared" si="4"/>
        <v>&amp;color(red){''</v>
      </c>
      <c r="S13">
        <v>5</v>
      </c>
      <c r="T13" t="str">
        <f t="shared" si="5"/>
        <v>''}</v>
      </c>
      <c r="U13" t="s">
        <v>3</v>
      </c>
      <c r="V13" t="str">
        <f t="shared" si="6"/>
        <v/>
      </c>
      <c r="W13">
        <v>0</v>
      </c>
      <c r="X13" t="str">
        <f t="shared" si="7"/>
        <v/>
      </c>
      <c r="Y13" t="s">
        <v>3</v>
      </c>
      <c r="Z13" t="str">
        <f t="shared" si="8"/>
        <v/>
      </c>
      <c r="AA13">
        <v>0</v>
      </c>
      <c r="AB13" t="str">
        <f t="shared" si="9"/>
        <v/>
      </c>
      <c r="AC13" t="s">
        <v>3</v>
      </c>
      <c r="AD13" t="str">
        <f t="shared" si="10"/>
        <v/>
      </c>
      <c r="AE13">
        <v>8</v>
      </c>
      <c r="AF13" t="str">
        <f t="shared" si="11"/>
        <v/>
      </c>
      <c r="AG13" t="s">
        <v>3</v>
      </c>
      <c r="AH13" t="str">
        <f t="shared" si="12"/>
        <v/>
      </c>
      <c r="AI13">
        <v>5</v>
      </c>
      <c r="AJ13" t="str">
        <f t="shared" si="13"/>
        <v/>
      </c>
      <c r="AK13" t="s">
        <v>3</v>
      </c>
      <c r="AL13" t="str">
        <f t="shared" si="14"/>
        <v>&amp;color(blue){''</v>
      </c>
      <c r="AM13">
        <v>3</v>
      </c>
      <c r="AN13" t="str">
        <f t="shared" si="15"/>
        <v>''}</v>
      </c>
      <c r="AO13" t="s">
        <v>3</v>
      </c>
      <c r="AP13" t="str">
        <f t="shared" si="16"/>
        <v/>
      </c>
      <c r="AQ13">
        <f t="shared" si="17"/>
        <v>9</v>
      </c>
      <c r="AR13" t="str">
        <f t="shared" si="18"/>
        <v/>
      </c>
      <c r="AS13" t="s">
        <v>3</v>
      </c>
    </row>
    <row r="14" spans="1:46" x14ac:dyDescent="0.15">
      <c r="A14" t="s">
        <v>3</v>
      </c>
      <c r="B14" t="s">
        <v>607</v>
      </c>
      <c r="C14" t="s">
        <v>618</v>
      </c>
      <c r="D14" t="s">
        <v>609</v>
      </c>
      <c r="E14" t="s">
        <v>3</v>
      </c>
      <c r="F14" t="str">
        <f t="shared" si="19"/>
        <v/>
      </c>
      <c r="G14">
        <v>119</v>
      </c>
      <c r="H14" t="str">
        <f t="shared" si="20"/>
        <v/>
      </c>
      <c r="I14" t="s">
        <v>3</v>
      </c>
      <c r="J14" t="str">
        <f t="shared" si="0"/>
        <v/>
      </c>
      <c r="K14">
        <v>0</v>
      </c>
      <c r="L14" t="str">
        <f t="shared" si="1"/>
        <v/>
      </c>
      <c r="M14" t="s">
        <v>3</v>
      </c>
      <c r="N14" t="str">
        <f t="shared" si="2"/>
        <v/>
      </c>
      <c r="O14">
        <v>1</v>
      </c>
      <c r="P14" t="str">
        <f t="shared" si="3"/>
        <v/>
      </c>
      <c r="Q14" t="s">
        <v>3</v>
      </c>
      <c r="R14" t="str">
        <f t="shared" si="4"/>
        <v/>
      </c>
      <c r="S14">
        <v>3</v>
      </c>
      <c r="T14" t="str">
        <f t="shared" si="5"/>
        <v/>
      </c>
      <c r="U14" t="s">
        <v>3</v>
      </c>
      <c r="V14" t="str">
        <f t="shared" si="6"/>
        <v/>
      </c>
      <c r="W14">
        <v>1</v>
      </c>
      <c r="X14" t="str">
        <f t="shared" si="7"/>
        <v/>
      </c>
      <c r="Y14" t="s">
        <v>3</v>
      </c>
      <c r="Z14" t="str">
        <f t="shared" si="8"/>
        <v/>
      </c>
      <c r="AA14">
        <v>0</v>
      </c>
      <c r="AB14" t="str">
        <f t="shared" si="9"/>
        <v/>
      </c>
      <c r="AC14" t="s">
        <v>3</v>
      </c>
      <c r="AD14" t="str">
        <f t="shared" si="10"/>
        <v/>
      </c>
      <c r="AE14">
        <v>8</v>
      </c>
      <c r="AF14" t="str">
        <f t="shared" si="11"/>
        <v/>
      </c>
      <c r="AG14" t="s">
        <v>3</v>
      </c>
      <c r="AH14" t="str">
        <f t="shared" si="12"/>
        <v/>
      </c>
      <c r="AI14">
        <v>8</v>
      </c>
      <c r="AJ14" t="str">
        <f t="shared" si="13"/>
        <v/>
      </c>
      <c r="AK14" t="s">
        <v>3</v>
      </c>
      <c r="AL14" t="str">
        <f t="shared" si="14"/>
        <v/>
      </c>
      <c r="AM14">
        <v>8</v>
      </c>
      <c r="AN14" t="str">
        <f t="shared" si="15"/>
        <v/>
      </c>
      <c r="AO14" t="s">
        <v>3</v>
      </c>
      <c r="AP14" t="str">
        <f t="shared" si="16"/>
        <v>&amp;color(blue){''</v>
      </c>
      <c r="AQ14">
        <f t="shared" si="17"/>
        <v>5</v>
      </c>
      <c r="AR14" t="str">
        <f t="shared" si="18"/>
        <v>''}</v>
      </c>
      <c r="AS14" t="s">
        <v>3</v>
      </c>
    </row>
    <row r="15" spans="1:46" x14ac:dyDescent="0.15">
      <c r="A15" t="s">
        <v>3</v>
      </c>
      <c r="B15" t="s">
        <v>607</v>
      </c>
      <c r="C15" t="s">
        <v>619</v>
      </c>
      <c r="D15" t="s">
        <v>609</v>
      </c>
      <c r="E15" t="s">
        <v>3</v>
      </c>
      <c r="F15" t="str">
        <f t="shared" si="19"/>
        <v/>
      </c>
      <c r="G15">
        <v>115</v>
      </c>
      <c r="H15" t="str">
        <f t="shared" si="20"/>
        <v/>
      </c>
      <c r="I15" t="s">
        <v>3</v>
      </c>
      <c r="J15" t="str">
        <f t="shared" si="0"/>
        <v>&amp;color(blue){''</v>
      </c>
      <c r="K15">
        <v>-2</v>
      </c>
      <c r="L15" t="str">
        <f t="shared" si="1"/>
        <v>''}</v>
      </c>
      <c r="M15" t="s">
        <v>3</v>
      </c>
      <c r="N15" t="str">
        <f t="shared" si="2"/>
        <v/>
      </c>
      <c r="O15">
        <v>4</v>
      </c>
      <c r="P15" t="str">
        <f t="shared" si="3"/>
        <v/>
      </c>
      <c r="Q15" t="s">
        <v>3</v>
      </c>
      <c r="R15" t="str">
        <f t="shared" si="4"/>
        <v>&amp;color(red){''</v>
      </c>
      <c r="S15">
        <v>5</v>
      </c>
      <c r="T15" t="str">
        <f t="shared" si="5"/>
        <v>''}</v>
      </c>
      <c r="U15" t="s">
        <v>3</v>
      </c>
      <c r="V15" t="str">
        <f t="shared" si="6"/>
        <v/>
      </c>
      <c r="W15">
        <v>3</v>
      </c>
      <c r="X15" t="str">
        <f t="shared" si="7"/>
        <v/>
      </c>
      <c r="Y15" t="s">
        <v>3</v>
      </c>
      <c r="Z15" t="str">
        <f t="shared" si="8"/>
        <v>&amp;color(blue){''</v>
      </c>
      <c r="AA15">
        <v>-1</v>
      </c>
      <c r="AB15" t="str">
        <f t="shared" si="9"/>
        <v>''}</v>
      </c>
      <c r="AC15" t="s">
        <v>3</v>
      </c>
      <c r="AD15" t="str">
        <f t="shared" si="10"/>
        <v/>
      </c>
      <c r="AE15">
        <v>5</v>
      </c>
      <c r="AF15" t="str">
        <f t="shared" si="11"/>
        <v/>
      </c>
      <c r="AG15" t="s">
        <v>3</v>
      </c>
      <c r="AH15" t="str">
        <f t="shared" si="12"/>
        <v/>
      </c>
      <c r="AI15">
        <v>5</v>
      </c>
      <c r="AJ15" t="str">
        <f t="shared" si="13"/>
        <v/>
      </c>
      <c r="AK15" t="s">
        <v>3</v>
      </c>
      <c r="AL15" t="str">
        <f t="shared" si="14"/>
        <v/>
      </c>
      <c r="AM15">
        <v>5</v>
      </c>
      <c r="AN15" t="str">
        <f t="shared" si="15"/>
        <v/>
      </c>
      <c r="AO15" t="s">
        <v>3</v>
      </c>
      <c r="AP15" t="str">
        <f t="shared" si="16"/>
        <v/>
      </c>
      <c r="AQ15">
        <f t="shared" si="17"/>
        <v>9</v>
      </c>
      <c r="AR15" t="str">
        <f t="shared" si="18"/>
        <v/>
      </c>
      <c r="AS15" t="s">
        <v>3</v>
      </c>
    </row>
    <row r="16" spans="1:46" x14ac:dyDescent="0.15">
      <c r="A16" t="s">
        <v>3</v>
      </c>
      <c r="B16" t="s">
        <v>607</v>
      </c>
      <c r="C16" t="s">
        <v>620</v>
      </c>
      <c r="D16" t="s">
        <v>609</v>
      </c>
      <c r="E16" t="s">
        <v>3</v>
      </c>
      <c r="F16" t="str">
        <f t="shared" si="19"/>
        <v>&amp;color(blue){''</v>
      </c>
      <c r="G16">
        <v>82</v>
      </c>
      <c r="H16" t="str">
        <f t="shared" si="20"/>
        <v>''}</v>
      </c>
      <c r="I16" t="s">
        <v>3</v>
      </c>
      <c r="J16" t="str">
        <f t="shared" si="0"/>
        <v/>
      </c>
      <c r="K16">
        <v>0</v>
      </c>
      <c r="L16" t="str">
        <f t="shared" si="1"/>
        <v/>
      </c>
      <c r="M16" t="s">
        <v>3</v>
      </c>
      <c r="N16" t="str">
        <f t="shared" si="2"/>
        <v/>
      </c>
      <c r="O16">
        <v>0</v>
      </c>
      <c r="P16" t="str">
        <f t="shared" si="3"/>
        <v/>
      </c>
      <c r="Q16" t="s">
        <v>3</v>
      </c>
      <c r="R16" t="str">
        <f t="shared" si="4"/>
        <v/>
      </c>
      <c r="S16">
        <v>1</v>
      </c>
      <c r="T16" t="str">
        <f t="shared" si="5"/>
        <v/>
      </c>
      <c r="U16" t="s">
        <v>3</v>
      </c>
      <c r="V16" t="str">
        <f t="shared" si="6"/>
        <v/>
      </c>
      <c r="W16">
        <v>3</v>
      </c>
      <c r="X16" t="str">
        <f t="shared" si="7"/>
        <v/>
      </c>
      <c r="Y16" t="s">
        <v>3</v>
      </c>
      <c r="Z16" t="str">
        <f t="shared" si="8"/>
        <v/>
      </c>
      <c r="AA16">
        <v>1</v>
      </c>
      <c r="AB16" t="str">
        <f t="shared" si="9"/>
        <v/>
      </c>
      <c r="AC16" t="s">
        <v>3</v>
      </c>
      <c r="AD16" t="str">
        <f t="shared" si="10"/>
        <v>&amp;color(red){''</v>
      </c>
      <c r="AE16">
        <v>10</v>
      </c>
      <c r="AF16" t="str">
        <f t="shared" si="11"/>
        <v>''}</v>
      </c>
      <c r="AG16" t="s">
        <v>3</v>
      </c>
      <c r="AH16" t="str">
        <f t="shared" si="12"/>
        <v/>
      </c>
      <c r="AI16">
        <v>9</v>
      </c>
      <c r="AJ16" t="str">
        <f t="shared" si="13"/>
        <v/>
      </c>
      <c r="AK16" t="s">
        <v>3</v>
      </c>
      <c r="AL16" t="str">
        <f t="shared" si="14"/>
        <v/>
      </c>
      <c r="AM16">
        <v>5</v>
      </c>
      <c r="AN16" t="str">
        <f t="shared" si="15"/>
        <v/>
      </c>
      <c r="AO16" t="s">
        <v>3</v>
      </c>
      <c r="AP16" t="str">
        <f t="shared" si="16"/>
        <v>&amp;color(blue){''</v>
      </c>
      <c r="AQ16">
        <f t="shared" si="17"/>
        <v>5</v>
      </c>
      <c r="AR16" t="str">
        <f t="shared" si="18"/>
        <v>''}</v>
      </c>
      <c r="AS16" t="s">
        <v>3</v>
      </c>
    </row>
    <row r="17" spans="1:45" x14ac:dyDescent="0.15">
      <c r="A17" t="s">
        <v>3</v>
      </c>
      <c r="B17" t="s">
        <v>607</v>
      </c>
      <c r="C17" t="s">
        <v>621</v>
      </c>
      <c r="D17" t="s">
        <v>609</v>
      </c>
      <c r="E17" t="s">
        <v>3</v>
      </c>
      <c r="F17" t="str">
        <f t="shared" si="19"/>
        <v/>
      </c>
      <c r="G17">
        <v>99</v>
      </c>
      <c r="H17" t="str">
        <f t="shared" si="20"/>
        <v/>
      </c>
      <c r="I17" t="s">
        <v>3</v>
      </c>
      <c r="J17" t="str">
        <f t="shared" si="0"/>
        <v/>
      </c>
      <c r="K17">
        <v>0</v>
      </c>
      <c r="L17" t="str">
        <f t="shared" si="1"/>
        <v/>
      </c>
      <c r="M17" t="s">
        <v>3</v>
      </c>
      <c r="N17" t="str">
        <f t="shared" si="2"/>
        <v/>
      </c>
      <c r="O17">
        <v>0</v>
      </c>
      <c r="P17" t="str">
        <f t="shared" si="3"/>
        <v/>
      </c>
      <c r="Q17" t="s">
        <v>3</v>
      </c>
      <c r="R17" t="str">
        <f t="shared" si="4"/>
        <v/>
      </c>
      <c r="S17">
        <v>4</v>
      </c>
      <c r="T17" t="str">
        <f t="shared" si="5"/>
        <v/>
      </c>
      <c r="U17" t="s">
        <v>3</v>
      </c>
      <c r="V17" t="str">
        <f t="shared" si="6"/>
        <v/>
      </c>
      <c r="W17">
        <v>5</v>
      </c>
      <c r="X17" t="str">
        <f t="shared" si="7"/>
        <v/>
      </c>
      <c r="Y17" t="s">
        <v>3</v>
      </c>
      <c r="Z17" t="str">
        <f t="shared" si="8"/>
        <v/>
      </c>
      <c r="AA17">
        <v>0</v>
      </c>
      <c r="AB17" t="str">
        <f t="shared" si="9"/>
        <v/>
      </c>
      <c r="AC17" t="s">
        <v>3</v>
      </c>
      <c r="AD17" t="str">
        <f t="shared" si="10"/>
        <v/>
      </c>
      <c r="AE17">
        <v>5</v>
      </c>
      <c r="AF17" t="str">
        <f t="shared" si="11"/>
        <v/>
      </c>
      <c r="AG17" t="s">
        <v>3</v>
      </c>
      <c r="AH17" t="str">
        <f t="shared" si="12"/>
        <v/>
      </c>
      <c r="AI17">
        <v>6</v>
      </c>
      <c r="AJ17" t="str">
        <f t="shared" si="13"/>
        <v/>
      </c>
      <c r="AK17" t="s">
        <v>3</v>
      </c>
      <c r="AL17" t="str">
        <f t="shared" si="14"/>
        <v/>
      </c>
      <c r="AM17">
        <v>5</v>
      </c>
      <c r="AN17" t="str">
        <f t="shared" si="15"/>
        <v/>
      </c>
      <c r="AO17" t="s">
        <v>3</v>
      </c>
      <c r="AP17" t="str">
        <f t="shared" si="16"/>
        <v/>
      </c>
      <c r="AQ17">
        <f t="shared" si="17"/>
        <v>9</v>
      </c>
      <c r="AR17" t="str">
        <f t="shared" si="18"/>
        <v/>
      </c>
      <c r="AS17" t="s">
        <v>3</v>
      </c>
    </row>
    <row r="18" spans="1:45" x14ac:dyDescent="0.15">
      <c r="A18" t="s">
        <v>3</v>
      </c>
      <c r="B18" t="s">
        <v>607</v>
      </c>
      <c r="C18" t="s">
        <v>622</v>
      </c>
      <c r="D18" t="s">
        <v>609</v>
      </c>
      <c r="E18" t="s">
        <v>3</v>
      </c>
      <c r="F18" t="str">
        <f t="shared" si="19"/>
        <v/>
      </c>
      <c r="G18">
        <v>111</v>
      </c>
      <c r="H18" t="str">
        <f t="shared" si="20"/>
        <v/>
      </c>
      <c r="I18" t="s">
        <v>3</v>
      </c>
      <c r="J18" t="str">
        <f t="shared" si="0"/>
        <v/>
      </c>
      <c r="K18">
        <v>-1</v>
      </c>
      <c r="L18" t="str">
        <f t="shared" si="1"/>
        <v/>
      </c>
      <c r="M18" t="s">
        <v>3</v>
      </c>
      <c r="N18" t="str">
        <f t="shared" si="2"/>
        <v>&amp;color(blue){''</v>
      </c>
      <c r="O18">
        <v>-1</v>
      </c>
      <c r="P18" t="str">
        <f t="shared" si="3"/>
        <v>''}</v>
      </c>
      <c r="Q18" t="s">
        <v>3</v>
      </c>
      <c r="R18" t="str">
        <f t="shared" si="4"/>
        <v/>
      </c>
      <c r="S18">
        <v>0</v>
      </c>
      <c r="T18" t="str">
        <f t="shared" si="5"/>
        <v/>
      </c>
      <c r="U18" t="s">
        <v>3</v>
      </c>
      <c r="V18" t="str">
        <f t="shared" si="6"/>
        <v>&amp;color(red){''</v>
      </c>
      <c r="W18">
        <v>9</v>
      </c>
      <c r="X18" t="str">
        <f t="shared" si="7"/>
        <v>''}</v>
      </c>
      <c r="Y18" t="s">
        <v>3</v>
      </c>
      <c r="Z18" t="str">
        <f t="shared" si="8"/>
        <v/>
      </c>
      <c r="AA18">
        <v>0</v>
      </c>
      <c r="AB18" t="str">
        <f t="shared" si="9"/>
        <v/>
      </c>
      <c r="AC18" t="s">
        <v>3</v>
      </c>
      <c r="AD18" t="str">
        <f t="shared" si="10"/>
        <v>&amp;color(red){''</v>
      </c>
      <c r="AE18">
        <v>10</v>
      </c>
      <c r="AF18" t="str">
        <f t="shared" si="11"/>
        <v>''}</v>
      </c>
      <c r="AG18" t="s">
        <v>3</v>
      </c>
      <c r="AH18" t="str">
        <f t="shared" si="12"/>
        <v/>
      </c>
      <c r="AI18">
        <v>6</v>
      </c>
      <c r="AJ18" t="str">
        <f t="shared" si="13"/>
        <v/>
      </c>
      <c r="AK18" t="s">
        <v>3</v>
      </c>
      <c r="AL18" t="str">
        <f t="shared" si="14"/>
        <v>&amp;color(blue){''</v>
      </c>
      <c r="AM18">
        <v>3</v>
      </c>
      <c r="AN18" t="str">
        <f t="shared" si="15"/>
        <v>''}</v>
      </c>
      <c r="AO18" t="s">
        <v>3</v>
      </c>
      <c r="AP18" t="str">
        <f t="shared" si="16"/>
        <v/>
      </c>
      <c r="AQ18">
        <f t="shared" si="17"/>
        <v>7</v>
      </c>
      <c r="AR18" t="str">
        <f t="shared" si="18"/>
        <v/>
      </c>
      <c r="AS18" t="s">
        <v>3</v>
      </c>
    </row>
    <row r="19" spans="1:45" x14ac:dyDescent="0.15">
      <c r="A19" t="s">
        <v>3</v>
      </c>
      <c r="B19" t="s">
        <v>607</v>
      </c>
      <c r="C19" t="s">
        <v>623</v>
      </c>
      <c r="D19" t="s">
        <v>609</v>
      </c>
      <c r="E19" t="s">
        <v>3</v>
      </c>
      <c r="F19" t="str">
        <f t="shared" si="19"/>
        <v/>
      </c>
      <c r="G19">
        <v>98</v>
      </c>
      <c r="H19" t="str">
        <f t="shared" si="20"/>
        <v/>
      </c>
      <c r="I19" t="s">
        <v>3</v>
      </c>
      <c r="J19" t="str">
        <f t="shared" si="0"/>
        <v/>
      </c>
      <c r="K19">
        <v>1</v>
      </c>
      <c r="L19" t="str">
        <f t="shared" si="1"/>
        <v/>
      </c>
      <c r="M19" t="s">
        <v>3</v>
      </c>
      <c r="N19" t="str">
        <f t="shared" si="2"/>
        <v/>
      </c>
      <c r="O19">
        <v>0</v>
      </c>
      <c r="P19" t="str">
        <f t="shared" si="3"/>
        <v/>
      </c>
      <c r="Q19" t="s">
        <v>3</v>
      </c>
      <c r="R19" t="str">
        <f t="shared" si="4"/>
        <v/>
      </c>
      <c r="S19">
        <v>0</v>
      </c>
      <c r="T19" t="str">
        <f t="shared" si="5"/>
        <v/>
      </c>
      <c r="U19" t="s">
        <v>3</v>
      </c>
      <c r="V19" t="str">
        <f t="shared" si="6"/>
        <v/>
      </c>
      <c r="W19">
        <v>1</v>
      </c>
      <c r="X19" t="str">
        <f t="shared" si="7"/>
        <v/>
      </c>
      <c r="Y19" t="s">
        <v>3</v>
      </c>
      <c r="Z19" t="str">
        <f t="shared" si="8"/>
        <v/>
      </c>
      <c r="AA19">
        <v>3</v>
      </c>
      <c r="AB19" t="str">
        <f t="shared" si="9"/>
        <v/>
      </c>
      <c r="AC19" t="s">
        <v>3</v>
      </c>
      <c r="AD19" t="str">
        <f t="shared" si="10"/>
        <v>&amp;color(red){''</v>
      </c>
      <c r="AE19">
        <v>10</v>
      </c>
      <c r="AF19" t="str">
        <f t="shared" si="11"/>
        <v>''}</v>
      </c>
      <c r="AG19" t="s">
        <v>3</v>
      </c>
      <c r="AH19" t="str">
        <f t="shared" si="12"/>
        <v/>
      </c>
      <c r="AI19">
        <v>7</v>
      </c>
      <c r="AJ19" t="str">
        <f t="shared" si="13"/>
        <v/>
      </c>
      <c r="AK19" t="s">
        <v>3</v>
      </c>
      <c r="AL19" t="str">
        <f t="shared" si="14"/>
        <v/>
      </c>
      <c r="AM19">
        <v>6</v>
      </c>
      <c r="AN19" t="str">
        <f t="shared" si="15"/>
        <v/>
      </c>
      <c r="AO19" t="s">
        <v>3</v>
      </c>
      <c r="AP19" t="str">
        <f t="shared" si="16"/>
        <v>&amp;color(blue){''</v>
      </c>
      <c r="AQ19">
        <f t="shared" si="17"/>
        <v>5</v>
      </c>
      <c r="AR19" t="str">
        <f t="shared" si="18"/>
        <v>''}</v>
      </c>
      <c r="AS19" t="s">
        <v>3</v>
      </c>
    </row>
    <row r="20" spans="1:45" x14ac:dyDescent="0.15">
      <c r="A20" t="s">
        <v>3</v>
      </c>
      <c r="B20" t="s">
        <v>607</v>
      </c>
      <c r="C20" t="s">
        <v>624</v>
      </c>
      <c r="D20" t="s">
        <v>609</v>
      </c>
      <c r="E20" t="s">
        <v>3</v>
      </c>
      <c r="F20" t="str">
        <f t="shared" si="19"/>
        <v/>
      </c>
      <c r="G20">
        <v>109</v>
      </c>
      <c r="H20" t="str">
        <f t="shared" si="20"/>
        <v/>
      </c>
      <c r="I20" t="s">
        <v>3</v>
      </c>
      <c r="J20" t="str">
        <f t="shared" si="0"/>
        <v/>
      </c>
      <c r="K20">
        <v>3</v>
      </c>
      <c r="L20" t="str">
        <f t="shared" si="1"/>
        <v/>
      </c>
      <c r="M20" t="s">
        <v>3</v>
      </c>
      <c r="N20" t="str">
        <f t="shared" si="2"/>
        <v/>
      </c>
      <c r="O20">
        <v>0</v>
      </c>
      <c r="P20" t="str">
        <f t="shared" si="3"/>
        <v/>
      </c>
      <c r="Q20" t="s">
        <v>3</v>
      </c>
      <c r="R20" t="str">
        <f t="shared" si="4"/>
        <v/>
      </c>
      <c r="S20">
        <v>0</v>
      </c>
      <c r="T20" t="str">
        <f t="shared" si="5"/>
        <v/>
      </c>
      <c r="U20" t="s">
        <v>3</v>
      </c>
      <c r="V20" t="str">
        <f t="shared" si="6"/>
        <v/>
      </c>
      <c r="W20">
        <v>2</v>
      </c>
      <c r="X20" t="str">
        <f t="shared" si="7"/>
        <v/>
      </c>
      <c r="Y20" t="s">
        <v>3</v>
      </c>
      <c r="Z20" t="str">
        <f t="shared" si="8"/>
        <v/>
      </c>
      <c r="AA20">
        <v>4</v>
      </c>
      <c r="AB20" t="str">
        <f t="shared" si="9"/>
        <v/>
      </c>
      <c r="AC20" t="s">
        <v>3</v>
      </c>
      <c r="AD20" t="str">
        <f t="shared" si="10"/>
        <v/>
      </c>
      <c r="AE20">
        <v>7</v>
      </c>
      <c r="AF20" t="str">
        <f t="shared" si="11"/>
        <v/>
      </c>
      <c r="AG20" t="s">
        <v>3</v>
      </c>
      <c r="AH20" t="str">
        <f t="shared" si="12"/>
        <v>&amp;color(blue){''</v>
      </c>
      <c r="AI20">
        <v>4</v>
      </c>
      <c r="AJ20" t="str">
        <f t="shared" si="13"/>
        <v>''}</v>
      </c>
      <c r="AK20" t="s">
        <v>3</v>
      </c>
      <c r="AL20" t="str">
        <f t="shared" si="14"/>
        <v/>
      </c>
      <c r="AM20">
        <v>5</v>
      </c>
      <c r="AN20" t="str">
        <f t="shared" si="15"/>
        <v/>
      </c>
      <c r="AO20" t="s">
        <v>3</v>
      </c>
      <c r="AP20" t="str">
        <f t="shared" si="16"/>
        <v/>
      </c>
      <c r="AQ20">
        <f t="shared" si="17"/>
        <v>9</v>
      </c>
      <c r="AR20" t="str">
        <f t="shared" si="18"/>
        <v/>
      </c>
      <c r="AS20" t="s">
        <v>3</v>
      </c>
    </row>
    <row r="21" spans="1:45" x14ac:dyDescent="0.15">
      <c r="A21" t="s">
        <v>3</v>
      </c>
      <c r="B21" t="s">
        <v>607</v>
      </c>
      <c r="C21" t="s">
        <v>625</v>
      </c>
      <c r="D21" t="s">
        <v>609</v>
      </c>
      <c r="E21" t="s">
        <v>3</v>
      </c>
      <c r="F21" t="str">
        <f t="shared" si="19"/>
        <v/>
      </c>
      <c r="G21">
        <v>109</v>
      </c>
      <c r="H21" t="str">
        <f t="shared" si="20"/>
        <v/>
      </c>
      <c r="I21" t="s">
        <v>3</v>
      </c>
      <c r="J21" t="str">
        <f t="shared" si="0"/>
        <v/>
      </c>
      <c r="K21">
        <v>2</v>
      </c>
      <c r="L21" t="str">
        <f t="shared" si="1"/>
        <v/>
      </c>
      <c r="M21" t="s">
        <v>3</v>
      </c>
      <c r="N21" t="str">
        <f t="shared" si="2"/>
        <v/>
      </c>
      <c r="O21">
        <v>0</v>
      </c>
      <c r="P21" t="str">
        <f t="shared" si="3"/>
        <v/>
      </c>
      <c r="Q21" t="s">
        <v>3</v>
      </c>
      <c r="R21" t="str">
        <f t="shared" si="4"/>
        <v/>
      </c>
      <c r="S21">
        <v>1</v>
      </c>
      <c r="T21" t="str">
        <f t="shared" si="5"/>
        <v/>
      </c>
      <c r="U21" t="s">
        <v>3</v>
      </c>
      <c r="V21" t="str">
        <f t="shared" si="6"/>
        <v/>
      </c>
      <c r="W21">
        <v>2</v>
      </c>
      <c r="X21" t="str">
        <f t="shared" si="7"/>
        <v/>
      </c>
      <c r="Y21" t="s">
        <v>3</v>
      </c>
      <c r="Z21" t="str">
        <f t="shared" si="8"/>
        <v/>
      </c>
      <c r="AA21">
        <v>3</v>
      </c>
      <c r="AB21" t="str">
        <f t="shared" si="9"/>
        <v/>
      </c>
      <c r="AC21" t="s">
        <v>3</v>
      </c>
      <c r="AD21" t="str">
        <f t="shared" si="10"/>
        <v>&amp;color(blue){''</v>
      </c>
      <c r="AE21">
        <v>4</v>
      </c>
      <c r="AF21" t="str">
        <f t="shared" si="11"/>
        <v>''}</v>
      </c>
      <c r="AG21" t="s">
        <v>3</v>
      </c>
      <c r="AH21" t="str">
        <f t="shared" si="12"/>
        <v>&amp;color(red){''</v>
      </c>
      <c r="AI21">
        <v>10</v>
      </c>
      <c r="AJ21" t="str">
        <f t="shared" si="13"/>
        <v>''}</v>
      </c>
      <c r="AK21" t="s">
        <v>3</v>
      </c>
      <c r="AL21" t="str">
        <f t="shared" si="14"/>
        <v/>
      </c>
      <c r="AM21">
        <v>6</v>
      </c>
      <c r="AN21" t="str">
        <f t="shared" si="15"/>
        <v/>
      </c>
      <c r="AO21" t="s">
        <v>3</v>
      </c>
      <c r="AP21" t="str">
        <f t="shared" si="16"/>
        <v/>
      </c>
      <c r="AQ21">
        <f t="shared" si="17"/>
        <v>8</v>
      </c>
      <c r="AR21" t="str">
        <f t="shared" si="18"/>
        <v/>
      </c>
      <c r="AS21" t="s">
        <v>3</v>
      </c>
    </row>
    <row r="22" spans="1:45" x14ac:dyDescent="0.15">
      <c r="A22" t="s">
        <v>3</v>
      </c>
      <c r="B22" t="s">
        <v>607</v>
      </c>
      <c r="C22" t="s">
        <v>626</v>
      </c>
      <c r="D22" t="s">
        <v>609</v>
      </c>
      <c r="E22" t="s">
        <v>3</v>
      </c>
      <c r="F22" t="str">
        <f t="shared" si="19"/>
        <v/>
      </c>
      <c r="G22">
        <v>114</v>
      </c>
      <c r="H22" t="str">
        <f t="shared" si="20"/>
        <v/>
      </c>
      <c r="I22" t="s">
        <v>3</v>
      </c>
      <c r="J22" t="str">
        <f t="shared" si="0"/>
        <v/>
      </c>
      <c r="K22">
        <v>3</v>
      </c>
      <c r="L22" t="str">
        <f t="shared" si="1"/>
        <v/>
      </c>
      <c r="M22" t="s">
        <v>3</v>
      </c>
      <c r="N22" t="str">
        <f t="shared" si="2"/>
        <v/>
      </c>
      <c r="O22">
        <v>3</v>
      </c>
      <c r="P22" t="str">
        <f t="shared" si="3"/>
        <v/>
      </c>
      <c r="Q22" t="s">
        <v>3</v>
      </c>
      <c r="R22" t="str">
        <f t="shared" si="4"/>
        <v/>
      </c>
      <c r="S22">
        <v>0</v>
      </c>
      <c r="T22" t="str">
        <f t="shared" si="5"/>
        <v/>
      </c>
      <c r="U22" t="s">
        <v>3</v>
      </c>
      <c r="V22" t="str">
        <f t="shared" si="6"/>
        <v/>
      </c>
      <c r="W22">
        <v>0</v>
      </c>
      <c r="X22" t="str">
        <f t="shared" si="7"/>
        <v/>
      </c>
      <c r="Y22" t="s">
        <v>3</v>
      </c>
      <c r="Z22" t="str">
        <f t="shared" si="8"/>
        <v/>
      </c>
      <c r="AA22">
        <v>0</v>
      </c>
      <c r="AB22" t="str">
        <f t="shared" si="9"/>
        <v/>
      </c>
      <c r="AC22" t="s">
        <v>3</v>
      </c>
      <c r="AD22" t="str">
        <f t="shared" si="10"/>
        <v/>
      </c>
      <c r="AE22">
        <v>5</v>
      </c>
      <c r="AF22" t="str">
        <f t="shared" si="11"/>
        <v/>
      </c>
      <c r="AG22" t="s">
        <v>3</v>
      </c>
      <c r="AH22" t="str">
        <f t="shared" si="12"/>
        <v/>
      </c>
      <c r="AI22">
        <v>8</v>
      </c>
      <c r="AJ22" t="str">
        <f t="shared" si="13"/>
        <v/>
      </c>
      <c r="AK22" t="s">
        <v>3</v>
      </c>
      <c r="AL22" t="str">
        <f t="shared" si="14"/>
        <v/>
      </c>
      <c r="AM22">
        <v>5</v>
      </c>
      <c r="AN22" t="str">
        <f t="shared" si="15"/>
        <v/>
      </c>
      <c r="AO22" t="s">
        <v>3</v>
      </c>
      <c r="AP22" t="str">
        <f t="shared" si="16"/>
        <v/>
      </c>
      <c r="AQ22">
        <f t="shared" si="17"/>
        <v>6</v>
      </c>
      <c r="AR22" t="str">
        <f t="shared" si="18"/>
        <v/>
      </c>
      <c r="AS22" t="s">
        <v>3</v>
      </c>
    </row>
    <row r="23" spans="1:45" x14ac:dyDescent="0.15">
      <c r="A23" t="s">
        <v>3</v>
      </c>
      <c r="B23" t="s">
        <v>607</v>
      </c>
      <c r="C23" t="s">
        <v>627</v>
      </c>
      <c r="D23" t="s">
        <v>609</v>
      </c>
      <c r="E23" t="s">
        <v>3</v>
      </c>
      <c r="F23" t="str">
        <f t="shared" si="19"/>
        <v/>
      </c>
      <c r="G23">
        <v>104</v>
      </c>
      <c r="H23" t="str">
        <f t="shared" si="20"/>
        <v/>
      </c>
      <c r="I23" t="s">
        <v>3</v>
      </c>
      <c r="J23" t="str">
        <f t="shared" si="0"/>
        <v/>
      </c>
      <c r="K23">
        <v>2</v>
      </c>
      <c r="L23" t="str">
        <f t="shared" si="1"/>
        <v/>
      </c>
      <c r="M23" t="s">
        <v>3</v>
      </c>
      <c r="N23" t="str">
        <f t="shared" si="2"/>
        <v/>
      </c>
      <c r="O23">
        <v>3</v>
      </c>
      <c r="P23" t="str">
        <f t="shared" si="3"/>
        <v/>
      </c>
      <c r="Q23" t="s">
        <v>3</v>
      </c>
      <c r="R23" t="str">
        <f t="shared" si="4"/>
        <v/>
      </c>
      <c r="S23">
        <v>3</v>
      </c>
      <c r="T23" t="str">
        <f t="shared" si="5"/>
        <v/>
      </c>
      <c r="U23" t="s">
        <v>3</v>
      </c>
      <c r="V23" t="str">
        <f t="shared" si="6"/>
        <v/>
      </c>
      <c r="W23">
        <v>1</v>
      </c>
      <c r="X23" t="str">
        <f t="shared" si="7"/>
        <v/>
      </c>
      <c r="Y23" t="s">
        <v>3</v>
      </c>
      <c r="Z23" t="str">
        <f t="shared" si="8"/>
        <v/>
      </c>
      <c r="AA23">
        <v>0</v>
      </c>
      <c r="AB23" t="str">
        <f t="shared" si="9"/>
        <v/>
      </c>
      <c r="AC23" t="s">
        <v>3</v>
      </c>
      <c r="AD23" t="str">
        <f t="shared" si="10"/>
        <v/>
      </c>
      <c r="AE23">
        <v>6</v>
      </c>
      <c r="AF23" t="str">
        <f t="shared" si="11"/>
        <v/>
      </c>
      <c r="AG23" t="s">
        <v>3</v>
      </c>
      <c r="AH23" t="str">
        <f t="shared" si="12"/>
        <v/>
      </c>
      <c r="AI23">
        <v>5</v>
      </c>
      <c r="AJ23" t="str">
        <f t="shared" si="13"/>
        <v/>
      </c>
      <c r="AK23" t="s">
        <v>3</v>
      </c>
      <c r="AL23" t="str">
        <f t="shared" si="14"/>
        <v/>
      </c>
      <c r="AM23">
        <v>6</v>
      </c>
      <c r="AN23" t="str">
        <f t="shared" si="15"/>
        <v/>
      </c>
      <c r="AO23" t="s">
        <v>3</v>
      </c>
      <c r="AP23" t="str">
        <f t="shared" si="16"/>
        <v/>
      </c>
      <c r="AQ23">
        <f t="shared" si="17"/>
        <v>9</v>
      </c>
      <c r="AR23" t="str">
        <f t="shared" si="18"/>
        <v/>
      </c>
      <c r="AS23" t="s">
        <v>3</v>
      </c>
    </row>
    <row r="24" spans="1:45" x14ac:dyDescent="0.15">
      <c r="A24" t="s">
        <v>3</v>
      </c>
      <c r="B24" t="s">
        <v>607</v>
      </c>
      <c r="C24" t="s">
        <v>628</v>
      </c>
      <c r="D24" t="s">
        <v>609</v>
      </c>
      <c r="E24" t="s">
        <v>3</v>
      </c>
      <c r="F24" t="str">
        <f t="shared" si="19"/>
        <v/>
      </c>
      <c r="G24">
        <v>119</v>
      </c>
      <c r="H24" t="str">
        <f t="shared" si="20"/>
        <v/>
      </c>
      <c r="I24" t="s">
        <v>3</v>
      </c>
      <c r="J24" t="str">
        <f t="shared" si="0"/>
        <v/>
      </c>
      <c r="K24">
        <v>1</v>
      </c>
      <c r="L24" t="str">
        <f t="shared" si="1"/>
        <v/>
      </c>
      <c r="M24" t="s">
        <v>3</v>
      </c>
      <c r="N24" t="str">
        <f t="shared" si="2"/>
        <v/>
      </c>
      <c r="O24">
        <v>1</v>
      </c>
      <c r="P24" t="str">
        <f t="shared" si="3"/>
        <v/>
      </c>
      <c r="Q24" t="s">
        <v>3</v>
      </c>
      <c r="R24" t="str">
        <f t="shared" si="4"/>
        <v/>
      </c>
      <c r="S24">
        <v>2</v>
      </c>
      <c r="T24" t="str">
        <f t="shared" si="5"/>
        <v/>
      </c>
      <c r="U24" t="s">
        <v>3</v>
      </c>
      <c r="V24" t="str">
        <f t="shared" si="6"/>
        <v/>
      </c>
      <c r="W24">
        <v>2</v>
      </c>
      <c r="X24" t="str">
        <f t="shared" si="7"/>
        <v/>
      </c>
      <c r="Y24" t="s">
        <v>3</v>
      </c>
      <c r="Z24" t="str">
        <f t="shared" si="8"/>
        <v/>
      </c>
      <c r="AA24">
        <v>1</v>
      </c>
      <c r="AB24" t="str">
        <f t="shared" si="9"/>
        <v/>
      </c>
      <c r="AC24" t="s">
        <v>3</v>
      </c>
      <c r="AD24" t="str">
        <f t="shared" si="10"/>
        <v/>
      </c>
      <c r="AE24">
        <v>9</v>
      </c>
      <c r="AF24" t="str">
        <f t="shared" si="11"/>
        <v/>
      </c>
      <c r="AG24" t="s">
        <v>3</v>
      </c>
      <c r="AH24" t="str">
        <f t="shared" si="12"/>
        <v/>
      </c>
      <c r="AI24">
        <v>7</v>
      </c>
      <c r="AJ24" t="str">
        <f t="shared" si="13"/>
        <v/>
      </c>
      <c r="AK24" t="s">
        <v>3</v>
      </c>
      <c r="AL24" t="str">
        <f t="shared" si="14"/>
        <v/>
      </c>
      <c r="AM24">
        <v>6</v>
      </c>
      <c r="AN24" t="str">
        <f t="shared" si="15"/>
        <v/>
      </c>
      <c r="AO24" t="s">
        <v>3</v>
      </c>
      <c r="AP24" t="str">
        <f t="shared" si="16"/>
        <v/>
      </c>
      <c r="AQ24">
        <f t="shared" si="17"/>
        <v>7</v>
      </c>
      <c r="AR24" t="str">
        <f t="shared" si="18"/>
        <v/>
      </c>
      <c r="AS24" t="s">
        <v>3</v>
      </c>
    </row>
    <row r="25" spans="1:45" x14ac:dyDescent="0.15">
      <c r="A25" t="s">
        <v>3</v>
      </c>
      <c r="B25" t="s">
        <v>607</v>
      </c>
      <c r="C25" s="8" t="s">
        <v>906</v>
      </c>
      <c r="D25" t="s">
        <v>609</v>
      </c>
      <c r="E25" t="s">
        <v>3</v>
      </c>
      <c r="F25" t="str">
        <f t="shared" ref="F25" si="42">IF(G25=MAX(G$4:G$37),"&amp;color(red){''",IF(G25=MIN(G$4:G$37),"&amp;color(blue){''",""))</f>
        <v>&amp;color(red){''</v>
      </c>
      <c r="G25">
        <v>135</v>
      </c>
      <c r="H25" t="str">
        <f t="shared" ref="H25" si="43">IF(G25=MAX(G$4:G$37),"''}",IF(G25=MIN(G$4:G$37),"''}",""))</f>
        <v>''}</v>
      </c>
      <c r="I25" t="s">
        <v>3</v>
      </c>
      <c r="J25" t="str">
        <f t="shared" ref="J25" si="44">IF(K25=MAX(K$4:K$37),"&amp;color(red){''",IF(K25=MIN(K$4:K$37),"&amp;color(blue){''",""))</f>
        <v/>
      </c>
      <c r="K25">
        <v>-1</v>
      </c>
      <c r="L25" t="str">
        <f t="shared" ref="L25" si="45">IF(K25=MAX(K$4:K$37),"''}",IF(K25=MIN(K$4:K$37),"''}",""))</f>
        <v/>
      </c>
      <c r="M25" t="s">
        <v>3</v>
      </c>
      <c r="N25" t="str">
        <f t="shared" ref="N25" si="46">IF(O25=MAX(O$4:O$37),"&amp;color(red){''",IF(O25=MIN(O$4:O$37),"&amp;color(blue){''",""))</f>
        <v/>
      </c>
      <c r="O25">
        <v>2</v>
      </c>
      <c r="P25" t="str">
        <f t="shared" ref="P25" si="47">IF(O25=MAX(O$4:O$37),"''}",IF(O25=MIN(O$4:O$37),"''}",""))</f>
        <v/>
      </c>
      <c r="Q25" t="s">
        <v>3</v>
      </c>
      <c r="R25" t="str">
        <f t="shared" ref="R25" si="48">IF(S25=MAX(S$4:S$37),"&amp;color(red){''",IF(S25=MIN(S$4:S$37),"&amp;color(blue){''",""))</f>
        <v/>
      </c>
      <c r="S25">
        <v>4</v>
      </c>
      <c r="T25" t="str">
        <f t="shared" ref="T25" si="49">IF(S25=MAX(S$4:S$37),"''}",IF(S25=MIN(S$4:S$37),"''}",""))</f>
        <v/>
      </c>
      <c r="U25" t="s">
        <v>3</v>
      </c>
      <c r="V25" t="str">
        <f t="shared" ref="V25" si="50">IF(W25=MAX(W$4:W$37),"&amp;color(red){''",IF(W25=MIN(W$4:W$37),"&amp;color(blue){''",""))</f>
        <v/>
      </c>
      <c r="W25">
        <v>4</v>
      </c>
      <c r="X25" t="str">
        <f t="shared" ref="X25" si="51">IF(W25=MAX(W$4:W$37),"''}",IF(W25=MIN(W$4:W$37),"''}",""))</f>
        <v/>
      </c>
      <c r="Y25" t="s">
        <v>3</v>
      </c>
      <c r="Z25" t="str">
        <f t="shared" ref="Z25" si="52">IF(AA25=MAX(AA$4:AA$37),"&amp;color(red){''",IF(AA25=MIN(AA$4:AA$37),"&amp;color(blue){''",""))</f>
        <v>&amp;color(blue){''</v>
      </c>
      <c r="AA25">
        <v>-1</v>
      </c>
      <c r="AB25" t="str">
        <f t="shared" ref="AB25" si="53">IF(AA25=MAX(AA$4:AA$37),"''}",IF(AA25=MIN(AA$4:AA$37),"''}",""))</f>
        <v>''}</v>
      </c>
      <c r="AC25" t="s">
        <v>3</v>
      </c>
      <c r="AD25" t="str">
        <f t="shared" ref="AD25" si="54">IF(AE25=MAX(AE$4:AE$37),"&amp;color(red){''",IF(AE25=MIN(AE$4:AE$37),"&amp;color(blue){''",""))</f>
        <v/>
      </c>
      <c r="AE25">
        <v>7</v>
      </c>
      <c r="AF25" t="str">
        <f t="shared" ref="AF25" si="55">IF(AE25=MAX(AE$4:AE$37),"''}",IF(AE25=MIN(AE$4:AE$37),"''}",""))</f>
        <v/>
      </c>
      <c r="AG25" t="s">
        <v>3</v>
      </c>
      <c r="AH25" t="str">
        <f t="shared" ref="AH25" si="56">IF(AI25=MAX(AI$4:AI$37),"&amp;color(red){''",IF(AI25=MIN(AI$4:AI$37),"&amp;color(blue){''",""))</f>
        <v/>
      </c>
      <c r="AI25">
        <v>6</v>
      </c>
      <c r="AJ25" t="str">
        <f t="shared" ref="AJ25" si="57">IF(AI25=MAX(AI$4:AI$37),"''}",IF(AI25=MIN(AI$4:AI$37),"''}",""))</f>
        <v/>
      </c>
      <c r="AK25" t="s">
        <v>3</v>
      </c>
      <c r="AL25" t="str">
        <f t="shared" ref="AL25" si="58">IF(AM25=MAX(AM$4:AM$37),"&amp;color(red){''",IF(AM25=MIN(AM$4:AM$37),"&amp;color(blue){''",""))</f>
        <v/>
      </c>
      <c r="AM25">
        <v>6</v>
      </c>
      <c r="AN25" t="str">
        <f t="shared" ref="AN25" si="59">IF(AM25=MAX(AM$4:AM$37),"''}",IF(AM25=MIN(AM$4:AM$37),"''}",""))</f>
        <v/>
      </c>
      <c r="AO25" t="s">
        <v>3</v>
      </c>
      <c r="AP25" t="str">
        <f t="shared" ref="AP25" si="60">IF(AQ25=MAX(AQ$4:AQ$37),"&amp;color(red){''",IF(AQ25=MIN(AQ$4:AQ$37),"&amp;color(blue){''",""))</f>
        <v/>
      </c>
      <c r="AQ25">
        <f t="shared" ref="AQ25" si="61">SUM(K25:AA25)</f>
        <v>8</v>
      </c>
      <c r="AR25" t="str">
        <f t="shared" ref="AR25" si="62">IF(AQ25=MAX(AQ$4:AQ$37),"''}",IF(AQ25=MIN(AQ$4:AQ$37),"''}",""))</f>
        <v/>
      </c>
      <c r="AS25" t="s">
        <v>3</v>
      </c>
    </row>
    <row r="26" spans="1:45" x14ac:dyDescent="0.15">
      <c r="A26" t="s">
        <v>3</v>
      </c>
      <c r="B26" t="s">
        <v>607</v>
      </c>
      <c r="C26" t="s">
        <v>629</v>
      </c>
      <c r="D26" t="s">
        <v>609</v>
      </c>
      <c r="E26" t="s">
        <v>3</v>
      </c>
      <c r="F26" t="str">
        <f t="shared" si="19"/>
        <v/>
      </c>
      <c r="G26">
        <v>114</v>
      </c>
      <c r="H26" t="str">
        <f t="shared" si="20"/>
        <v/>
      </c>
      <c r="I26" t="s">
        <v>3</v>
      </c>
      <c r="J26" t="str">
        <f t="shared" si="0"/>
        <v/>
      </c>
      <c r="K26">
        <v>0</v>
      </c>
      <c r="L26" t="str">
        <f t="shared" si="1"/>
        <v/>
      </c>
      <c r="M26" t="s">
        <v>3</v>
      </c>
      <c r="N26" t="str">
        <f t="shared" si="2"/>
        <v/>
      </c>
      <c r="O26">
        <v>0</v>
      </c>
      <c r="P26" t="str">
        <f t="shared" si="3"/>
        <v/>
      </c>
      <c r="Q26" t="s">
        <v>3</v>
      </c>
      <c r="R26" t="str">
        <f t="shared" si="4"/>
        <v/>
      </c>
      <c r="S26">
        <v>0</v>
      </c>
      <c r="T26" t="str">
        <f t="shared" si="5"/>
        <v/>
      </c>
      <c r="U26" t="s">
        <v>3</v>
      </c>
      <c r="V26" t="str">
        <f t="shared" si="6"/>
        <v/>
      </c>
      <c r="W26">
        <v>3</v>
      </c>
      <c r="X26" t="str">
        <f t="shared" si="7"/>
        <v/>
      </c>
      <c r="Y26" t="s">
        <v>3</v>
      </c>
      <c r="Z26" t="str">
        <f t="shared" si="8"/>
        <v/>
      </c>
      <c r="AA26">
        <v>3</v>
      </c>
      <c r="AB26" t="str">
        <f t="shared" si="9"/>
        <v/>
      </c>
      <c r="AC26" t="s">
        <v>3</v>
      </c>
      <c r="AD26" t="str">
        <f t="shared" si="10"/>
        <v/>
      </c>
      <c r="AE26">
        <v>7</v>
      </c>
      <c r="AF26" t="str">
        <f t="shared" si="11"/>
        <v/>
      </c>
      <c r="AG26" t="s">
        <v>3</v>
      </c>
      <c r="AH26" t="str">
        <f t="shared" si="12"/>
        <v/>
      </c>
      <c r="AI26">
        <v>5</v>
      </c>
      <c r="AJ26" t="str">
        <f t="shared" si="13"/>
        <v/>
      </c>
      <c r="AK26" t="s">
        <v>3</v>
      </c>
      <c r="AL26" t="str">
        <f t="shared" si="14"/>
        <v/>
      </c>
      <c r="AM26">
        <v>5</v>
      </c>
      <c r="AN26" t="str">
        <f t="shared" si="15"/>
        <v/>
      </c>
      <c r="AO26" t="s">
        <v>3</v>
      </c>
      <c r="AP26" t="str">
        <f t="shared" si="16"/>
        <v/>
      </c>
      <c r="AQ26">
        <f t="shared" si="17"/>
        <v>6</v>
      </c>
      <c r="AR26" t="str">
        <f t="shared" si="18"/>
        <v/>
      </c>
      <c r="AS26" t="s">
        <v>3</v>
      </c>
    </row>
    <row r="27" spans="1:45" x14ac:dyDescent="0.15">
      <c r="A27" t="s">
        <v>3</v>
      </c>
      <c r="B27" t="s">
        <v>607</v>
      </c>
      <c r="C27" t="s">
        <v>630</v>
      </c>
      <c r="D27" t="s">
        <v>609</v>
      </c>
      <c r="E27" t="s">
        <v>3</v>
      </c>
      <c r="F27" t="str">
        <f t="shared" si="19"/>
        <v/>
      </c>
      <c r="G27">
        <v>129</v>
      </c>
      <c r="H27" t="str">
        <f t="shared" si="20"/>
        <v/>
      </c>
      <c r="I27" t="s">
        <v>3</v>
      </c>
      <c r="J27" t="str">
        <f t="shared" si="0"/>
        <v/>
      </c>
      <c r="K27">
        <v>-1</v>
      </c>
      <c r="L27" t="str">
        <f t="shared" si="1"/>
        <v/>
      </c>
      <c r="M27" t="s">
        <v>3</v>
      </c>
      <c r="N27" t="str">
        <f t="shared" si="2"/>
        <v>&amp;color(blue){''</v>
      </c>
      <c r="O27">
        <v>-1</v>
      </c>
      <c r="P27" t="str">
        <f t="shared" si="3"/>
        <v>''}</v>
      </c>
      <c r="Q27" t="s">
        <v>3</v>
      </c>
      <c r="R27" t="str">
        <f t="shared" si="4"/>
        <v/>
      </c>
      <c r="S27">
        <v>-1</v>
      </c>
      <c r="T27" t="str">
        <f t="shared" si="5"/>
        <v/>
      </c>
      <c r="U27" t="s">
        <v>3</v>
      </c>
      <c r="V27" t="str">
        <f t="shared" si="6"/>
        <v/>
      </c>
      <c r="W27">
        <v>5</v>
      </c>
      <c r="X27" t="str">
        <f t="shared" si="7"/>
        <v/>
      </c>
      <c r="Y27" t="s">
        <v>3</v>
      </c>
      <c r="Z27" t="str">
        <f t="shared" si="8"/>
        <v>&amp;color(red){''</v>
      </c>
      <c r="AA27">
        <v>5</v>
      </c>
      <c r="AB27" t="str">
        <f t="shared" si="9"/>
        <v>''}</v>
      </c>
      <c r="AC27" t="s">
        <v>3</v>
      </c>
      <c r="AD27" t="str">
        <f t="shared" si="10"/>
        <v>&amp;color(red){''</v>
      </c>
      <c r="AE27">
        <v>10</v>
      </c>
      <c r="AF27" t="str">
        <f t="shared" si="11"/>
        <v>''}</v>
      </c>
      <c r="AG27" t="s">
        <v>3</v>
      </c>
      <c r="AH27" t="str">
        <f t="shared" si="12"/>
        <v>&amp;color(blue){''</v>
      </c>
      <c r="AI27">
        <v>4</v>
      </c>
      <c r="AJ27" t="str">
        <f t="shared" si="13"/>
        <v>''}</v>
      </c>
      <c r="AK27" t="s">
        <v>3</v>
      </c>
      <c r="AL27" t="str">
        <f t="shared" si="14"/>
        <v/>
      </c>
      <c r="AM27">
        <v>4</v>
      </c>
      <c r="AN27" t="str">
        <f t="shared" si="15"/>
        <v/>
      </c>
      <c r="AO27" t="s">
        <v>3</v>
      </c>
      <c r="AP27" t="str">
        <f t="shared" si="16"/>
        <v/>
      </c>
      <c r="AQ27">
        <f>SUM(K27:AA27)</f>
        <v>7</v>
      </c>
      <c r="AR27" t="str">
        <f t="shared" si="18"/>
        <v/>
      </c>
      <c r="AS27" t="s">
        <v>3</v>
      </c>
    </row>
    <row r="28" spans="1:45" x14ac:dyDescent="0.15">
      <c r="A28" t="s">
        <v>3</v>
      </c>
      <c r="B28" t="s">
        <v>607</v>
      </c>
      <c r="C28" t="s">
        <v>631</v>
      </c>
      <c r="D28" t="s">
        <v>609</v>
      </c>
      <c r="E28" t="s">
        <v>3</v>
      </c>
      <c r="F28" t="str">
        <f t="shared" si="19"/>
        <v/>
      </c>
      <c r="G28">
        <v>130</v>
      </c>
      <c r="H28" t="str">
        <f t="shared" si="20"/>
        <v/>
      </c>
      <c r="I28" t="s">
        <v>3</v>
      </c>
      <c r="J28" t="str">
        <f t="shared" si="0"/>
        <v/>
      </c>
      <c r="K28">
        <v>4</v>
      </c>
      <c r="L28" t="str">
        <f t="shared" si="1"/>
        <v/>
      </c>
      <c r="M28" t="s">
        <v>3</v>
      </c>
      <c r="N28" t="str">
        <f t="shared" si="2"/>
        <v/>
      </c>
      <c r="O28">
        <v>0</v>
      </c>
      <c r="P28" t="str">
        <f t="shared" si="3"/>
        <v/>
      </c>
      <c r="Q28" t="s">
        <v>3</v>
      </c>
      <c r="R28" t="str">
        <f t="shared" si="4"/>
        <v/>
      </c>
      <c r="S28">
        <v>0</v>
      </c>
      <c r="T28" t="str">
        <f t="shared" si="5"/>
        <v/>
      </c>
      <c r="U28" t="s">
        <v>3</v>
      </c>
      <c r="V28" t="str">
        <f t="shared" si="6"/>
        <v/>
      </c>
      <c r="W28">
        <v>0</v>
      </c>
      <c r="X28" t="str">
        <f t="shared" si="7"/>
        <v/>
      </c>
      <c r="Y28" t="s">
        <v>3</v>
      </c>
      <c r="Z28" t="str">
        <f t="shared" si="8"/>
        <v/>
      </c>
      <c r="AA28">
        <v>2</v>
      </c>
      <c r="AB28" t="str">
        <f t="shared" si="9"/>
        <v/>
      </c>
      <c r="AC28" t="s">
        <v>3</v>
      </c>
      <c r="AD28" t="str">
        <f t="shared" si="10"/>
        <v/>
      </c>
      <c r="AE28">
        <v>6</v>
      </c>
      <c r="AF28" t="str">
        <f t="shared" si="11"/>
        <v/>
      </c>
      <c r="AG28" t="s">
        <v>3</v>
      </c>
      <c r="AH28" t="str">
        <f t="shared" si="12"/>
        <v/>
      </c>
      <c r="AI28">
        <v>5</v>
      </c>
      <c r="AJ28" t="str">
        <f t="shared" si="13"/>
        <v/>
      </c>
      <c r="AK28" t="s">
        <v>3</v>
      </c>
      <c r="AL28" t="str">
        <f t="shared" si="14"/>
        <v/>
      </c>
      <c r="AM28">
        <v>4</v>
      </c>
      <c r="AN28" t="str">
        <f t="shared" si="15"/>
        <v/>
      </c>
      <c r="AO28" t="s">
        <v>3</v>
      </c>
      <c r="AP28" t="str">
        <f t="shared" si="16"/>
        <v/>
      </c>
      <c r="AQ28">
        <f t="shared" ref="AQ28:AQ35" si="63">SUM(K28:AA28)</f>
        <v>6</v>
      </c>
      <c r="AR28" t="str">
        <f t="shared" si="18"/>
        <v/>
      </c>
      <c r="AS28" t="s">
        <v>3</v>
      </c>
    </row>
    <row r="29" spans="1:45" x14ac:dyDescent="0.15">
      <c r="A29" t="s">
        <v>3</v>
      </c>
      <c r="B29" t="s">
        <v>607</v>
      </c>
      <c r="C29" t="s">
        <v>632</v>
      </c>
      <c r="D29" t="s">
        <v>609</v>
      </c>
      <c r="E29" t="s">
        <v>3</v>
      </c>
      <c r="F29" t="str">
        <f t="shared" si="19"/>
        <v>&amp;color(blue){''</v>
      </c>
      <c r="G29">
        <v>82</v>
      </c>
      <c r="H29" t="str">
        <f t="shared" si="20"/>
        <v>''}</v>
      </c>
      <c r="I29" t="s">
        <v>3</v>
      </c>
      <c r="J29" t="str">
        <f t="shared" si="0"/>
        <v/>
      </c>
      <c r="K29">
        <v>4</v>
      </c>
      <c r="L29" t="str">
        <f t="shared" si="1"/>
        <v/>
      </c>
      <c r="M29" t="s">
        <v>3</v>
      </c>
      <c r="N29" t="str">
        <f t="shared" si="2"/>
        <v/>
      </c>
      <c r="O29">
        <v>0</v>
      </c>
      <c r="P29" t="str">
        <f t="shared" si="3"/>
        <v/>
      </c>
      <c r="Q29" t="s">
        <v>3</v>
      </c>
      <c r="R29" t="str">
        <f t="shared" si="4"/>
        <v/>
      </c>
      <c r="S29">
        <v>4</v>
      </c>
      <c r="T29" t="str">
        <f t="shared" si="5"/>
        <v/>
      </c>
      <c r="U29" t="s">
        <v>3</v>
      </c>
      <c r="V29" t="str">
        <f t="shared" si="6"/>
        <v/>
      </c>
      <c r="W29">
        <v>0</v>
      </c>
      <c r="X29" t="str">
        <f t="shared" si="7"/>
        <v/>
      </c>
      <c r="Y29" t="s">
        <v>3</v>
      </c>
      <c r="Z29" t="str">
        <f t="shared" si="8"/>
        <v/>
      </c>
      <c r="AA29">
        <v>0</v>
      </c>
      <c r="AB29" t="str">
        <f t="shared" si="9"/>
        <v/>
      </c>
      <c r="AC29" t="s">
        <v>3</v>
      </c>
      <c r="AD29" t="str">
        <f t="shared" si="10"/>
        <v>&amp;color(red){''</v>
      </c>
      <c r="AE29">
        <v>10</v>
      </c>
      <c r="AF29" t="str">
        <f t="shared" si="11"/>
        <v>''}</v>
      </c>
      <c r="AG29" t="s">
        <v>3</v>
      </c>
      <c r="AH29" t="str">
        <f t="shared" si="12"/>
        <v/>
      </c>
      <c r="AI29">
        <v>5</v>
      </c>
      <c r="AJ29" t="str">
        <f t="shared" si="13"/>
        <v/>
      </c>
      <c r="AK29" t="s">
        <v>3</v>
      </c>
      <c r="AL29" t="str">
        <f t="shared" si="14"/>
        <v/>
      </c>
      <c r="AM29">
        <v>5</v>
      </c>
      <c r="AN29" t="str">
        <f t="shared" si="15"/>
        <v/>
      </c>
      <c r="AO29" t="s">
        <v>3</v>
      </c>
      <c r="AP29" t="str">
        <f t="shared" si="16"/>
        <v/>
      </c>
      <c r="AQ29">
        <f t="shared" si="63"/>
        <v>8</v>
      </c>
      <c r="AR29" t="str">
        <f t="shared" si="18"/>
        <v/>
      </c>
      <c r="AS29" t="s">
        <v>3</v>
      </c>
    </row>
    <row r="30" spans="1:45" x14ac:dyDescent="0.15">
      <c r="A30" t="s">
        <v>3</v>
      </c>
      <c r="B30" t="s">
        <v>607</v>
      </c>
      <c r="C30" t="s">
        <v>633</v>
      </c>
      <c r="D30" t="s">
        <v>609</v>
      </c>
      <c r="E30" t="s">
        <v>3</v>
      </c>
      <c r="F30" t="str">
        <f t="shared" si="19"/>
        <v/>
      </c>
      <c r="G30">
        <v>118</v>
      </c>
      <c r="H30" t="str">
        <f t="shared" si="20"/>
        <v/>
      </c>
      <c r="I30" t="s">
        <v>3</v>
      </c>
      <c r="J30" t="str">
        <f t="shared" si="0"/>
        <v/>
      </c>
      <c r="K30">
        <v>1</v>
      </c>
      <c r="L30" t="str">
        <f t="shared" si="1"/>
        <v/>
      </c>
      <c r="M30" t="s">
        <v>3</v>
      </c>
      <c r="N30" t="str">
        <f t="shared" si="2"/>
        <v/>
      </c>
      <c r="O30">
        <v>4</v>
      </c>
      <c r="P30" t="str">
        <f t="shared" si="3"/>
        <v/>
      </c>
      <c r="Q30" t="s">
        <v>3</v>
      </c>
      <c r="R30" t="str">
        <f t="shared" si="4"/>
        <v/>
      </c>
      <c r="S30">
        <v>1</v>
      </c>
      <c r="T30" t="str">
        <f t="shared" si="5"/>
        <v/>
      </c>
      <c r="U30" t="s">
        <v>3</v>
      </c>
      <c r="V30" t="str">
        <f t="shared" si="6"/>
        <v/>
      </c>
      <c r="W30">
        <v>4</v>
      </c>
      <c r="X30" t="str">
        <f t="shared" si="7"/>
        <v/>
      </c>
      <c r="Y30" t="s">
        <v>3</v>
      </c>
      <c r="Z30" t="str">
        <f t="shared" si="8"/>
        <v/>
      </c>
      <c r="AA30">
        <v>1</v>
      </c>
      <c r="AB30" t="str">
        <f t="shared" si="9"/>
        <v/>
      </c>
      <c r="AC30" t="s">
        <v>3</v>
      </c>
      <c r="AD30" t="str">
        <f t="shared" si="10"/>
        <v/>
      </c>
      <c r="AE30">
        <v>8</v>
      </c>
      <c r="AF30" t="str">
        <f t="shared" si="11"/>
        <v/>
      </c>
      <c r="AG30" t="s">
        <v>3</v>
      </c>
      <c r="AH30" t="str">
        <f t="shared" si="12"/>
        <v/>
      </c>
      <c r="AI30">
        <v>7</v>
      </c>
      <c r="AJ30" t="str">
        <f t="shared" si="13"/>
        <v/>
      </c>
      <c r="AK30" t="s">
        <v>3</v>
      </c>
      <c r="AL30" t="str">
        <f t="shared" si="14"/>
        <v/>
      </c>
      <c r="AM30">
        <v>7</v>
      </c>
      <c r="AN30" t="str">
        <f t="shared" si="15"/>
        <v/>
      </c>
      <c r="AO30" t="s">
        <v>3</v>
      </c>
      <c r="AP30" t="str">
        <f t="shared" si="16"/>
        <v>&amp;color(red){''</v>
      </c>
      <c r="AQ30">
        <f t="shared" si="63"/>
        <v>11</v>
      </c>
      <c r="AR30" t="str">
        <f t="shared" si="18"/>
        <v>''}</v>
      </c>
      <c r="AS30" t="s">
        <v>3</v>
      </c>
    </row>
    <row r="31" spans="1:45" x14ac:dyDescent="0.15">
      <c r="A31" t="s">
        <v>3</v>
      </c>
      <c r="B31" t="s">
        <v>607</v>
      </c>
      <c r="C31" t="s">
        <v>858</v>
      </c>
      <c r="D31" t="s">
        <v>609</v>
      </c>
      <c r="E31" t="s">
        <v>3</v>
      </c>
      <c r="F31" t="str">
        <f t="shared" ref="F31" si="64">IF(G31=MAX(G$4:G$37),"&amp;color(red){''",IF(G31=MIN(G$4:G$37),"&amp;color(blue){''",""))</f>
        <v/>
      </c>
      <c r="G31">
        <v>107</v>
      </c>
      <c r="H31" t="str">
        <f t="shared" ref="H31" si="65">IF(G31=MAX(G$4:G$37),"''}",IF(G31=MIN(G$4:G$37),"''}",""))</f>
        <v/>
      </c>
      <c r="I31" t="s">
        <v>3</v>
      </c>
      <c r="J31" t="str">
        <f t="shared" ref="J31" si="66">IF(K31=MAX(K$4:K$37),"&amp;color(red){''",IF(K31=MIN(K$4:K$37),"&amp;color(blue){''",""))</f>
        <v/>
      </c>
      <c r="K31" s="5">
        <v>0</v>
      </c>
      <c r="L31" t="str">
        <f t="shared" ref="L31" si="67">IF(K31=MAX(K$4:K$37),"''}",IF(K31=MIN(K$4:K$37),"''}",""))</f>
        <v/>
      </c>
      <c r="M31" t="s">
        <v>3</v>
      </c>
      <c r="N31" t="str">
        <f t="shared" ref="N31" si="68">IF(O31=MAX(O$4:O$37),"&amp;color(red){''",IF(O31=MIN(O$4:O$37),"&amp;color(blue){''",""))</f>
        <v/>
      </c>
      <c r="O31">
        <v>1</v>
      </c>
      <c r="P31" t="str">
        <f t="shared" ref="P31" si="69">IF(O31=MAX(O$4:O$37),"''}",IF(O31=MIN(O$4:O$37),"''}",""))</f>
        <v/>
      </c>
      <c r="Q31" t="s">
        <v>3</v>
      </c>
      <c r="R31" t="str">
        <f t="shared" ref="R31" si="70">IF(S31=MAX(S$4:S$37),"&amp;color(red){''",IF(S31=MIN(S$4:S$37),"&amp;color(blue){''",""))</f>
        <v/>
      </c>
      <c r="S31">
        <v>3</v>
      </c>
      <c r="T31" t="str">
        <f t="shared" ref="T31" si="71">IF(S31=MAX(S$4:S$37),"''}",IF(S31=MIN(S$4:S$37),"''}",""))</f>
        <v/>
      </c>
      <c r="U31" t="s">
        <v>3</v>
      </c>
      <c r="V31" t="str">
        <f t="shared" ref="V31" si="72">IF(W31=MAX(W$4:W$37),"&amp;color(red){''",IF(W31=MIN(W$4:W$37),"&amp;color(blue){''",""))</f>
        <v/>
      </c>
      <c r="W31">
        <v>1</v>
      </c>
      <c r="X31" t="str">
        <f t="shared" ref="X31" si="73">IF(W31=MAX(W$4:W$37),"''}",IF(W31=MIN(W$4:W$37),"''}",""))</f>
        <v/>
      </c>
      <c r="Y31" t="s">
        <v>3</v>
      </c>
      <c r="Z31" t="str">
        <f t="shared" ref="Z31" si="74">IF(AA31=MAX(AA$4:AA$37),"&amp;color(red){''",IF(AA31=MIN(AA$4:AA$37),"&amp;color(blue){''",""))</f>
        <v/>
      </c>
      <c r="AA31">
        <v>3</v>
      </c>
      <c r="AB31" t="str">
        <f t="shared" ref="AB31" si="75">IF(AA31=MAX(AA$4:AA$37),"''}",IF(AA31=MIN(AA$4:AA$37),"''}",""))</f>
        <v/>
      </c>
      <c r="AC31" t="s">
        <v>3</v>
      </c>
      <c r="AD31" t="str">
        <f t="shared" ref="AD31" si="76">IF(AE31=MAX(AE$4:AE$37),"&amp;color(red){''",IF(AE31=MIN(AE$4:AE$37),"&amp;color(blue){''",""))</f>
        <v/>
      </c>
      <c r="AE31">
        <v>8</v>
      </c>
      <c r="AF31" t="str">
        <f t="shared" ref="AF31" si="77">IF(AE31=MAX(AE$4:AE$37),"''}",IF(AE31=MIN(AE$4:AE$37),"''}",""))</f>
        <v/>
      </c>
      <c r="AG31" t="s">
        <v>3</v>
      </c>
      <c r="AH31" t="str">
        <f t="shared" ref="AH31" si="78">IF(AI31=MAX(AI$4:AI$37),"&amp;color(red){''",IF(AI31=MIN(AI$4:AI$37),"&amp;color(blue){''",""))</f>
        <v/>
      </c>
      <c r="AI31" s="5">
        <v>6</v>
      </c>
      <c r="AJ31" t="str">
        <f t="shared" ref="AJ31" si="79">IF(AI31=MAX(AI$4:AI$37),"''}",IF(AI31=MIN(AI$4:AI$37),"''}",""))</f>
        <v/>
      </c>
      <c r="AK31" t="s">
        <v>3</v>
      </c>
      <c r="AL31" t="str">
        <f t="shared" ref="AL31" si="80">IF(AM31=MAX(AM$4:AM$37),"&amp;color(red){''",IF(AM31=MIN(AM$4:AM$37),"&amp;color(blue){''",""))</f>
        <v/>
      </c>
      <c r="AM31">
        <v>5</v>
      </c>
      <c r="AN31" t="str">
        <f t="shared" ref="AN31" si="81">IF(AM31=MAX(AM$4:AM$37),"''}",IF(AM31=MIN(AM$4:AM$37),"''}",""))</f>
        <v/>
      </c>
      <c r="AO31" t="s">
        <v>3</v>
      </c>
      <c r="AP31" t="str">
        <f t="shared" ref="AP31" si="82">IF(AQ31=MAX(AQ$4:AQ$37),"&amp;color(red){''",IF(AQ31=MIN(AQ$4:AQ$37),"&amp;color(blue){''",""))</f>
        <v/>
      </c>
      <c r="AQ31">
        <f t="shared" ref="AQ31" si="83">SUM(K31:AA31)</f>
        <v>8</v>
      </c>
      <c r="AR31" t="str">
        <f t="shared" ref="AR31" si="84">IF(AQ31=MAX(AQ$4:AQ$37),"''}",IF(AQ31=MIN(AQ$4:AQ$37),"''}",""))</f>
        <v/>
      </c>
      <c r="AS31" t="s">
        <v>3</v>
      </c>
    </row>
    <row r="32" spans="1:45" x14ac:dyDescent="0.15">
      <c r="A32" t="s">
        <v>3</v>
      </c>
      <c r="B32" t="s">
        <v>607</v>
      </c>
      <c r="C32" t="s">
        <v>634</v>
      </c>
      <c r="D32" t="s">
        <v>609</v>
      </c>
      <c r="E32" t="s">
        <v>3</v>
      </c>
      <c r="F32" t="str">
        <f t="shared" si="19"/>
        <v/>
      </c>
      <c r="G32">
        <v>119</v>
      </c>
      <c r="H32" t="str">
        <f t="shared" si="20"/>
        <v/>
      </c>
      <c r="I32" t="s">
        <v>3</v>
      </c>
      <c r="J32" t="str">
        <f t="shared" si="0"/>
        <v/>
      </c>
      <c r="K32">
        <v>3</v>
      </c>
      <c r="L32" t="str">
        <f t="shared" si="1"/>
        <v/>
      </c>
      <c r="M32" t="s">
        <v>3</v>
      </c>
      <c r="N32" t="str">
        <f t="shared" si="2"/>
        <v/>
      </c>
      <c r="O32">
        <v>1</v>
      </c>
      <c r="P32" t="str">
        <f t="shared" si="3"/>
        <v/>
      </c>
      <c r="Q32" t="s">
        <v>3</v>
      </c>
      <c r="R32" t="str">
        <f t="shared" si="4"/>
        <v/>
      </c>
      <c r="S32">
        <v>0</v>
      </c>
      <c r="T32" t="str">
        <f t="shared" si="5"/>
        <v/>
      </c>
      <c r="U32" t="s">
        <v>3</v>
      </c>
      <c r="V32" t="str">
        <f t="shared" si="6"/>
        <v/>
      </c>
      <c r="W32">
        <v>2</v>
      </c>
      <c r="X32" t="str">
        <f t="shared" si="7"/>
        <v/>
      </c>
      <c r="Y32" t="s">
        <v>3</v>
      </c>
      <c r="Z32" t="str">
        <f t="shared" si="8"/>
        <v/>
      </c>
      <c r="AA32">
        <v>2</v>
      </c>
      <c r="AB32" t="str">
        <f t="shared" si="9"/>
        <v/>
      </c>
      <c r="AC32" t="s">
        <v>3</v>
      </c>
      <c r="AD32" t="str">
        <f t="shared" si="10"/>
        <v/>
      </c>
      <c r="AE32">
        <v>9</v>
      </c>
      <c r="AF32" t="str">
        <f t="shared" si="11"/>
        <v/>
      </c>
      <c r="AG32" t="s">
        <v>3</v>
      </c>
      <c r="AH32" t="str">
        <f t="shared" si="12"/>
        <v/>
      </c>
      <c r="AI32">
        <v>6</v>
      </c>
      <c r="AJ32" t="str">
        <f t="shared" si="13"/>
        <v/>
      </c>
      <c r="AK32" t="s">
        <v>3</v>
      </c>
      <c r="AL32" t="str">
        <f t="shared" si="14"/>
        <v/>
      </c>
      <c r="AM32">
        <v>5</v>
      </c>
      <c r="AN32" t="str">
        <f t="shared" si="15"/>
        <v/>
      </c>
      <c r="AO32" t="s">
        <v>3</v>
      </c>
      <c r="AP32" t="str">
        <f t="shared" si="16"/>
        <v/>
      </c>
      <c r="AQ32">
        <f t="shared" si="63"/>
        <v>8</v>
      </c>
      <c r="AR32" t="str">
        <f t="shared" si="18"/>
        <v/>
      </c>
      <c r="AS32" t="s">
        <v>3</v>
      </c>
    </row>
    <row r="33" spans="1:46" x14ac:dyDescent="0.15">
      <c r="A33" t="s">
        <v>3</v>
      </c>
      <c r="B33" t="s">
        <v>607</v>
      </c>
      <c r="C33" t="s">
        <v>635</v>
      </c>
      <c r="D33" t="s">
        <v>609</v>
      </c>
      <c r="E33" t="s">
        <v>3</v>
      </c>
      <c r="F33" t="str">
        <f t="shared" si="19"/>
        <v/>
      </c>
      <c r="G33">
        <v>102</v>
      </c>
      <c r="H33" t="str">
        <f t="shared" si="20"/>
        <v/>
      </c>
      <c r="I33" t="s">
        <v>3</v>
      </c>
      <c r="J33" t="str">
        <f t="shared" si="0"/>
        <v/>
      </c>
      <c r="K33">
        <v>4</v>
      </c>
      <c r="L33" t="str">
        <f t="shared" si="1"/>
        <v/>
      </c>
      <c r="M33" t="s">
        <v>3</v>
      </c>
      <c r="N33" t="str">
        <f t="shared" si="2"/>
        <v/>
      </c>
      <c r="O33">
        <v>0</v>
      </c>
      <c r="P33" t="str">
        <f t="shared" si="3"/>
        <v/>
      </c>
      <c r="Q33" t="s">
        <v>3</v>
      </c>
      <c r="R33" t="str">
        <f t="shared" si="4"/>
        <v/>
      </c>
      <c r="S33">
        <v>-1</v>
      </c>
      <c r="T33" t="str">
        <f t="shared" si="5"/>
        <v/>
      </c>
      <c r="U33" t="s">
        <v>3</v>
      </c>
      <c r="V33" t="str">
        <f t="shared" si="6"/>
        <v/>
      </c>
      <c r="W33">
        <v>4</v>
      </c>
      <c r="X33" t="str">
        <f t="shared" si="7"/>
        <v/>
      </c>
      <c r="Y33" t="s">
        <v>3</v>
      </c>
      <c r="Z33" t="str">
        <f t="shared" si="8"/>
        <v/>
      </c>
      <c r="AA33">
        <v>0</v>
      </c>
      <c r="AB33" t="str">
        <f t="shared" si="9"/>
        <v/>
      </c>
      <c r="AC33" t="s">
        <v>3</v>
      </c>
      <c r="AD33" t="str">
        <f t="shared" si="10"/>
        <v/>
      </c>
      <c r="AE33">
        <v>9</v>
      </c>
      <c r="AF33" t="str">
        <f t="shared" si="11"/>
        <v/>
      </c>
      <c r="AG33" t="s">
        <v>3</v>
      </c>
      <c r="AH33" t="str">
        <f t="shared" si="12"/>
        <v>&amp;color(blue){''</v>
      </c>
      <c r="AI33">
        <v>4</v>
      </c>
      <c r="AJ33" t="str">
        <f t="shared" si="13"/>
        <v>''}</v>
      </c>
      <c r="AK33" t="s">
        <v>3</v>
      </c>
      <c r="AL33" t="str">
        <f t="shared" si="14"/>
        <v/>
      </c>
      <c r="AM33">
        <v>4</v>
      </c>
      <c r="AN33" t="str">
        <f t="shared" si="15"/>
        <v/>
      </c>
      <c r="AO33" t="s">
        <v>3</v>
      </c>
      <c r="AP33" t="str">
        <f t="shared" si="16"/>
        <v/>
      </c>
      <c r="AQ33">
        <f t="shared" si="63"/>
        <v>7</v>
      </c>
      <c r="AR33" t="str">
        <f t="shared" si="18"/>
        <v/>
      </c>
      <c r="AS33" t="s">
        <v>3</v>
      </c>
    </row>
    <row r="34" spans="1:46" x14ac:dyDescent="0.15">
      <c r="A34" t="s">
        <v>3</v>
      </c>
      <c r="B34" t="s">
        <v>607</v>
      </c>
      <c r="C34" t="s">
        <v>840</v>
      </c>
      <c r="D34" t="s">
        <v>609</v>
      </c>
      <c r="E34" t="s">
        <v>3</v>
      </c>
      <c r="F34" t="str">
        <f t="shared" ref="F34" si="85">IF(G34=MAX(G$4:G$37),"&amp;color(red){''",IF(G34=MIN(G$4:G$37),"&amp;color(blue){''",""))</f>
        <v/>
      </c>
      <c r="G34">
        <v>118</v>
      </c>
      <c r="H34" t="str">
        <f t="shared" ref="H34" si="86">IF(G34=MAX(G$4:G$37),"''}",IF(G34=MIN(G$4:G$37),"''}",""))</f>
        <v/>
      </c>
      <c r="I34" t="s">
        <v>3</v>
      </c>
      <c r="J34" t="str">
        <f t="shared" ref="J34" si="87">IF(K34=MAX(K$4:K$37),"&amp;color(red){''",IF(K34=MIN(K$4:K$37),"&amp;color(blue){''",""))</f>
        <v/>
      </c>
      <c r="K34">
        <v>4</v>
      </c>
      <c r="L34" t="str">
        <f t="shared" ref="L34" si="88">IF(K34=MAX(K$4:K$37),"''}",IF(K34=MIN(K$4:K$37),"''}",""))</f>
        <v/>
      </c>
      <c r="M34" t="s">
        <v>3</v>
      </c>
      <c r="N34" t="str">
        <f t="shared" ref="N34" si="89">IF(O34=MAX(O$4:O$37),"&amp;color(red){''",IF(O34=MIN(O$4:O$37),"&amp;color(blue){''",""))</f>
        <v>&amp;color(blue){''</v>
      </c>
      <c r="O34">
        <v>-1</v>
      </c>
      <c r="P34" t="str">
        <f t="shared" ref="P34" si="90">IF(O34=MAX(O$4:O$37),"''}",IF(O34=MIN(O$4:O$37),"''}",""))</f>
        <v>''}</v>
      </c>
      <c r="Q34" t="s">
        <v>3</v>
      </c>
      <c r="R34" t="str">
        <f t="shared" ref="R34" si="91">IF(S34=MAX(S$4:S$37),"&amp;color(red){''",IF(S34=MIN(S$4:S$37),"&amp;color(blue){''",""))</f>
        <v/>
      </c>
      <c r="S34">
        <v>-1</v>
      </c>
      <c r="T34" t="str">
        <f t="shared" ref="T34" si="92">IF(S34=MAX(S$4:S$37),"''}",IF(S34=MIN(S$4:S$37),"''}",""))</f>
        <v/>
      </c>
      <c r="U34" t="s">
        <v>3</v>
      </c>
      <c r="V34" t="str">
        <f t="shared" ref="V34" si="93">IF(W34=MAX(W$4:W$37),"&amp;color(red){''",IF(W34=MIN(W$4:W$37),"&amp;color(blue){''",""))</f>
        <v/>
      </c>
      <c r="W34">
        <v>4</v>
      </c>
      <c r="X34" t="str">
        <f t="shared" ref="X34" si="94">IF(W34=MAX(W$4:W$37),"''}",IF(W34=MIN(W$4:W$37),"''}",""))</f>
        <v/>
      </c>
      <c r="Y34" t="s">
        <v>3</v>
      </c>
      <c r="Z34" t="str">
        <f t="shared" ref="Z34" si="95">IF(AA34=MAX(AA$4:AA$37),"&amp;color(red){''",IF(AA34=MIN(AA$4:AA$37),"&amp;color(blue){''",""))</f>
        <v/>
      </c>
      <c r="AA34">
        <v>2</v>
      </c>
      <c r="AB34" t="str">
        <f t="shared" ref="AB34" si="96">IF(AA34=MAX(AA$4:AA$37),"''}",IF(AA34=MIN(AA$4:AA$37),"''}",""))</f>
        <v/>
      </c>
      <c r="AC34" t="s">
        <v>3</v>
      </c>
      <c r="AD34" t="str">
        <f t="shared" ref="AD34" si="97">IF(AE34=MAX(AE$4:AE$37),"&amp;color(red){''",IF(AE34=MIN(AE$4:AE$37),"&amp;color(blue){''",""))</f>
        <v/>
      </c>
      <c r="AE34">
        <v>9</v>
      </c>
      <c r="AF34" t="str">
        <f t="shared" ref="AF34" si="98">IF(AE34=MAX(AE$4:AE$37),"''}",IF(AE34=MIN(AE$4:AE$37),"''}",""))</f>
        <v/>
      </c>
      <c r="AG34" t="s">
        <v>3</v>
      </c>
      <c r="AH34" t="str">
        <f t="shared" ref="AH34" si="99">IF(AI34=MAX(AI$4:AI$37),"&amp;color(red){''",IF(AI34=MIN(AI$4:AI$37),"&amp;color(blue){''",""))</f>
        <v/>
      </c>
      <c r="AI34">
        <v>5</v>
      </c>
      <c r="AJ34" t="str">
        <f t="shared" ref="AJ34" si="100">IF(AI34=MAX(AI$4:AI$37),"''}",IF(AI34=MIN(AI$4:AI$37),"''}",""))</f>
        <v/>
      </c>
      <c r="AK34" t="s">
        <v>3</v>
      </c>
      <c r="AL34" t="str">
        <f t="shared" ref="AL34" si="101">IF(AM34=MAX(AM$4:AM$37),"&amp;color(red){''",IF(AM34=MIN(AM$4:AM$37),"&amp;color(blue){''",""))</f>
        <v/>
      </c>
      <c r="AM34">
        <v>5</v>
      </c>
      <c r="AN34" t="str">
        <f t="shared" ref="AN34" si="102">IF(AM34=MAX(AM$4:AM$37),"''}",IF(AM34=MIN(AM$4:AM$37),"''}",""))</f>
        <v/>
      </c>
      <c r="AO34" t="s">
        <v>3</v>
      </c>
      <c r="AP34" t="str">
        <f t="shared" ref="AP34" si="103">IF(AQ34=MAX(AQ$4:AQ$37),"&amp;color(red){''",IF(AQ34=MIN(AQ$4:AQ$37),"&amp;color(blue){''",""))</f>
        <v/>
      </c>
      <c r="AQ34">
        <f>SUM(K34:AA34)</f>
        <v>8</v>
      </c>
      <c r="AR34" t="str">
        <f t="shared" ref="AR34" si="104">IF(AQ34=MAX(AQ$4:AQ$37),"''}",IF(AQ34=MIN(AQ$4:AQ$37),"''}",""))</f>
        <v/>
      </c>
      <c r="AS34" t="s">
        <v>3</v>
      </c>
    </row>
    <row r="35" spans="1:46" x14ac:dyDescent="0.15">
      <c r="A35" t="s">
        <v>3</v>
      </c>
      <c r="B35" t="s">
        <v>607</v>
      </c>
      <c r="C35" t="s">
        <v>636</v>
      </c>
      <c r="D35" t="s">
        <v>609</v>
      </c>
      <c r="E35" t="s">
        <v>3</v>
      </c>
      <c r="F35" t="str">
        <f t="shared" si="19"/>
        <v/>
      </c>
      <c r="G35">
        <v>105</v>
      </c>
      <c r="H35" t="str">
        <f t="shared" si="20"/>
        <v/>
      </c>
      <c r="I35" t="s">
        <v>3</v>
      </c>
      <c r="J35" t="str">
        <f t="shared" si="0"/>
        <v/>
      </c>
      <c r="K35">
        <v>0</v>
      </c>
      <c r="L35" t="str">
        <f t="shared" si="1"/>
        <v/>
      </c>
      <c r="M35" t="s">
        <v>3</v>
      </c>
      <c r="N35" t="str">
        <f t="shared" si="2"/>
        <v/>
      </c>
      <c r="O35">
        <v>3</v>
      </c>
      <c r="P35" t="str">
        <f t="shared" si="3"/>
        <v/>
      </c>
      <c r="Q35" t="s">
        <v>3</v>
      </c>
      <c r="R35" t="str">
        <f t="shared" si="4"/>
        <v/>
      </c>
      <c r="S35">
        <v>0</v>
      </c>
      <c r="T35" t="str">
        <f t="shared" si="5"/>
        <v/>
      </c>
      <c r="U35" t="s">
        <v>3</v>
      </c>
      <c r="V35" t="str">
        <f t="shared" si="6"/>
        <v/>
      </c>
      <c r="W35">
        <v>0</v>
      </c>
      <c r="X35" t="str">
        <f t="shared" si="7"/>
        <v/>
      </c>
      <c r="Y35" t="s">
        <v>3</v>
      </c>
      <c r="Z35" t="str">
        <f t="shared" si="8"/>
        <v/>
      </c>
      <c r="AA35">
        <v>3</v>
      </c>
      <c r="AB35" t="str">
        <f t="shared" si="9"/>
        <v/>
      </c>
      <c r="AC35" t="s">
        <v>3</v>
      </c>
      <c r="AD35" t="str">
        <f t="shared" si="10"/>
        <v/>
      </c>
      <c r="AE35">
        <v>5</v>
      </c>
      <c r="AF35" t="str">
        <f t="shared" si="11"/>
        <v/>
      </c>
      <c r="AG35" t="s">
        <v>3</v>
      </c>
      <c r="AH35" t="str">
        <f t="shared" si="12"/>
        <v/>
      </c>
      <c r="AI35">
        <v>8</v>
      </c>
      <c r="AJ35" t="str">
        <f t="shared" si="13"/>
        <v/>
      </c>
      <c r="AK35" t="s">
        <v>3</v>
      </c>
      <c r="AL35" t="str">
        <f t="shared" si="14"/>
        <v/>
      </c>
      <c r="AM35">
        <v>6</v>
      </c>
      <c r="AN35" t="str">
        <f t="shared" si="15"/>
        <v/>
      </c>
      <c r="AO35" t="s">
        <v>3</v>
      </c>
      <c r="AP35" t="str">
        <f t="shared" si="16"/>
        <v/>
      </c>
      <c r="AQ35">
        <f t="shared" si="63"/>
        <v>6</v>
      </c>
      <c r="AR35" t="str">
        <f t="shared" si="18"/>
        <v/>
      </c>
      <c r="AS35" t="s">
        <v>3</v>
      </c>
    </row>
    <row r="36" spans="1:46" x14ac:dyDescent="0.15">
      <c r="A36" t="s">
        <v>3</v>
      </c>
      <c r="B36" t="s">
        <v>607</v>
      </c>
      <c r="C36" t="s">
        <v>637</v>
      </c>
      <c r="D36" t="s">
        <v>609</v>
      </c>
      <c r="E36" t="s">
        <v>3</v>
      </c>
      <c r="F36" t="str">
        <f t="shared" si="19"/>
        <v/>
      </c>
      <c r="G36">
        <v>115</v>
      </c>
      <c r="H36" t="str">
        <f t="shared" si="20"/>
        <v/>
      </c>
      <c r="I36" t="s">
        <v>3</v>
      </c>
      <c r="J36" t="str">
        <f t="shared" si="0"/>
        <v/>
      </c>
      <c r="K36">
        <v>0</v>
      </c>
      <c r="L36" t="str">
        <f t="shared" si="1"/>
        <v/>
      </c>
      <c r="M36" t="s">
        <v>3</v>
      </c>
      <c r="N36" t="str">
        <f t="shared" si="2"/>
        <v/>
      </c>
      <c r="O36">
        <v>3</v>
      </c>
      <c r="P36" t="str">
        <f t="shared" si="3"/>
        <v/>
      </c>
      <c r="Q36" t="s">
        <v>3</v>
      </c>
      <c r="R36" t="str">
        <f t="shared" si="4"/>
        <v/>
      </c>
      <c r="S36">
        <v>0</v>
      </c>
      <c r="T36" t="str">
        <f t="shared" si="5"/>
        <v/>
      </c>
      <c r="U36" t="s">
        <v>3</v>
      </c>
      <c r="V36" t="str">
        <f t="shared" si="6"/>
        <v/>
      </c>
      <c r="W36">
        <v>0</v>
      </c>
      <c r="X36" t="str">
        <f t="shared" si="7"/>
        <v/>
      </c>
      <c r="Y36" t="s">
        <v>3</v>
      </c>
      <c r="Z36" t="str">
        <f t="shared" si="8"/>
        <v/>
      </c>
      <c r="AA36">
        <v>4</v>
      </c>
      <c r="AB36" t="str">
        <f t="shared" si="9"/>
        <v/>
      </c>
      <c r="AC36" t="s">
        <v>3</v>
      </c>
      <c r="AD36" t="str">
        <f t="shared" si="10"/>
        <v/>
      </c>
      <c r="AE36">
        <v>5</v>
      </c>
      <c r="AF36" t="str">
        <f t="shared" si="11"/>
        <v/>
      </c>
      <c r="AG36" t="s">
        <v>3</v>
      </c>
      <c r="AH36" t="str">
        <f t="shared" si="12"/>
        <v/>
      </c>
      <c r="AI36">
        <v>6</v>
      </c>
      <c r="AJ36" t="str">
        <f t="shared" si="13"/>
        <v/>
      </c>
      <c r="AK36" t="s">
        <v>3</v>
      </c>
      <c r="AL36" t="str">
        <f t="shared" si="14"/>
        <v/>
      </c>
      <c r="AM36">
        <v>5</v>
      </c>
      <c r="AN36" t="str">
        <f t="shared" si="15"/>
        <v/>
      </c>
      <c r="AO36" t="s">
        <v>3</v>
      </c>
      <c r="AP36" t="str">
        <f t="shared" si="16"/>
        <v/>
      </c>
      <c r="AQ36">
        <f>SUM(K36:AA36)</f>
        <v>7</v>
      </c>
      <c r="AR36" t="str">
        <f t="shared" si="18"/>
        <v/>
      </c>
      <c r="AS36" t="s">
        <v>3</v>
      </c>
    </row>
    <row r="37" spans="1:46" x14ac:dyDescent="0.15">
      <c r="A37" t="s">
        <v>3</v>
      </c>
      <c r="B37" t="s">
        <v>607</v>
      </c>
      <c r="C37" t="s">
        <v>638</v>
      </c>
      <c r="D37" t="s">
        <v>609</v>
      </c>
      <c r="E37" t="s">
        <v>3</v>
      </c>
      <c r="F37" t="str">
        <f t="shared" si="19"/>
        <v/>
      </c>
      <c r="G37">
        <v>132</v>
      </c>
      <c r="H37" t="str">
        <f t="shared" si="20"/>
        <v/>
      </c>
      <c r="I37" t="s">
        <v>3</v>
      </c>
      <c r="J37" t="str">
        <f t="shared" si="0"/>
        <v/>
      </c>
      <c r="K37">
        <v>-1</v>
      </c>
      <c r="L37" t="str">
        <f t="shared" si="1"/>
        <v/>
      </c>
      <c r="M37" t="s">
        <v>3</v>
      </c>
      <c r="N37" t="str">
        <f t="shared" si="2"/>
        <v/>
      </c>
      <c r="O37">
        <v>3</v>
      </c>
      <c r="P37" t="str">
        <f t="shared" si="3"/>
        <v/>
      </c>
      <c r="Q37" t="s">
        <v>3</v>
      </c>
      <c r="R37" t="str">
        <f t="shared" si="4"/>
        <v/>
      </c>
      <c r="S37">
        <v>3</v>
      </c>
      <c r="T37" t="str">
        <f t="shared" si="5"/>
        <v/>
      </c>
      <c r="U37" t="s">
        <v>3</v>
      </c>
      <c r="V37" t="str">
        <f t="shared" si="6"/>
        <v/>
      </c>
      <c r="W37">
        <v>3</v>
      </c>
      <c r="X37" t="str">
        <f t="shared" si="7"/>
        <v/>
      </c>
      <c r="Y37" t="s">
        <v>3</v>
      </c>
      <c r="Z37" t="str">
        <f t="shared" si="8"/>
        <v>&amp;color(blue){''</v>
      </c>
      <c r="AA37">
        <v>-1</v>
      </c>
      <c r="AB37" t="str">
        <f t="shared" si="9"/>
        <v>''}</v>
      </c>
      <c r="AC37" t="s">
        <v>3</v>
      </c>
      <c r="AD37" t="str">
        <f t="shared" si="10"/>
        <v/>
      </c>
      <c r="AE37">
        <v>5</v>
      </c>
      <c r="AF37" t="str">
        <f t="shared" si="11"/>
        <v/>
      </c>
      <c r="AG37" t="s">
        <v>3</v>
      </c>
      <c r="AH37" t="str">
        <f t="shared" si="12"/>
        <v/>
      </c>
      <c r="AI37">
        <v>8</v>
      </c>
      <c r="AJ37" t="str">
        <f t="shared" si="13"/>
        <v/>
      </c>
      <c r="AK37" t="s">
        <v>3</v>
      </c>
      <c r="AL37" t="str">
        <f t="shared" si="14"/>
        <v/>
      </c>
      <c r="AM37">
        <v>5</v>
      </c>
      <c r="AN37" t="str">
        <f t="shared" si="15"/>
        <v/>
      </c>
      <c r="AO37" t="s">
        <v>3</v>
      </c>
      <c r="AQ37">
        <f>SUM(K37:AA37)</f>
        <v>7</v>
      </c>
      <c r="AR37" t="str">
        <f t="shared" si="18"/>
        <v/>
      </c>
      <c r="AS37" t="s">
        <v>3</v>
      </c>
    </row>
    <row r="38" spans="1:46" x14ac:dyDescent="0.15">
      <c r="A38" t="s">
        <v>3</v>
      </c>
      <c r="C38" t="s">
        <v>639</v>
      </c>
      <c r="E38" t="s">
        <v>3</v>
      </c>
      <c r="G38" s="1">
        <f>ROUND(AVERAGE(G4:G37),1)</f>
        <v>109.3</v>
      </c>
      <c r="I38" t="s">
        <v>3</v>
      </c>
      <c r="K38" s="1">
        <f>ROUND(AVERAGE(K4:K37),1)</f>
        <v>1.4</v>
      </c>
      <c r="M38" t="s">
        <v>3</v>
      </c>
      <c r="O38" s="1">
        <f>ROUND(AVERAGE(O4:O37),1)</f>
        <v>1.5</v>
      </c>
      <c r="Q38" t="s">
        <v>3</v>
      </c>
      <c r="S38" s="1">
        <f>ROUND(AVERAGE(S4:S37),1)</f>
        <v>1.4</v>
      </c>
      <c r="U38" t="s">
        <v>3</v>
      </c>
      <c r="W38" s="1">
        <f>ROUND(AVERAGE(W4:W37),1)</f>
        <v>1.7</v>
      </c>
      <c r="Y38" t="s">
        <v>3</v>
      </c>
      <c r="AA38" s="1">
        <f>ROUND(AVERAGE(AA4:AA37),1)</f>
        <v>1.3</v>
      </c>
      <c r="AC38" t="s">
        <v>3</v>
      </c>
      <c r="AE38" s="1">
        <f>ROUND(AVERAGE(AE4:AE37),1)</f>
        <v>7.2</v>
      </c>
      <c r="AG38" t="s">
        <v>3</v>
      </c>
      <c r="AI38" s="1">
        <f>ROUND(AVERAGE(AI4:AI37),1)</f>
        <v>6.6</v>
      </c>
      <c r="AK38" t="s">
        <v>3</v>
      </c>
      <c r="AM38" s="1">
        <f>ROUND(AVERAGE(AM4:AM37),1)</f>
        <v>5.5</v>
      </c>
      <c r="AO38" t="s">
        <v>3</v>
      </c>
      <c r="AQ38" s="1">
        <f>ROUND(AVERAGE(AQ4:AQ37),1)</f>
        <v>7.4</v>
      </c>
      <c r="AS38" t="s">
        <v>3</v>
      </c>
    </row>
    <row r="39" spans="1:46" x14ac:dyDescent="0.15">
      <c r="A39" t="s">
        <v>3</v>
      </c>
      <c r="C39" t="s">
        <v>603</v>
      </c>
      <c r="E39" t="s">
        <v>3</v>
      </c>
      <c r="G39" t="s">
        <v>7</v>
      </c>
      <c r="I39" t="s">
        <v>3</v>
      </c>
      <c r="K39" s="1" t="s">
        <v>11</v>
      </c>
      <c r="M39" t="s">
        <v>3</v>
      </c>
      <c r="O39" t="s">
        <v>12</v>
      </c>
      <c r="Q39" t="s">
        <v>3</v>
      </c>
      <c r="S39" t="s">
        <v>13</v>
      </c>
      <c r="U39" t="s">
        <v>3</v>
      </c>
      <c r="W39" t="s">
        <v>14</v>
      </c>
      <c r="Y39" t="s">
        <v>3</v>
      </c>
      <c r="AA39" s="2" t="s">
        <v>15</v>
      </c>
      <c r="AC39" t="s">
        <v>3</v>
      </c>
      <c r="AE39" s="1" t="s">
        <v>604</v>
      </c>
      <c r="AG39" t="s">
        <v>3</v>
      </c>
      <c r="AI39" t="s">
        <v>21</v>
      </c>
      <c r="AK39" t="s">
        <v>3</v>
      </c>
      <c r="AM39" t="s">
        <v>605</v>
      </c>
      <c r="AO39" t="s">
        <v>3</v>
      </c>
      <c r="AQ39" s="1" t="s">
        <v>606</v>
      </c>
      <c r="AS39" t="s">
        <v>3</v>
      </c>
    </row>
    <row r="40" spans="1:46" x14ac:dyDescent="0.15">
      <c r="A40" t="s">
        <v>3</v>
      </c>
      <c r="E40" t="s">
        <v>3</v>
      </c>
      <c r="I40" t="s">
        <v>3</v>
      </c>
      <c r="K40" s="1" t="s">
        <v>209</v>
      </c>
      <c r="M40" t="s">
        <v>3</v>
      </c>
      <c r="O40" s="3" t="s">
        <v>209</v>
      </c>
      <c r="P40" s="4"/>
      <c r="Q40" t="s">
        <v>3</v>
      </c>
      <c r="S40" s="3" t="s">
        <v>209</v>
      </c>
      <c r="T40" s="4"/>
      <c r="U40" t="s">
        <v>3</v>
      </c>
      <c r="W40" t="s">
        <v>209</v>
      </c>
      <c r="Y40" t="s">
        <v>3</v>
      </c>
      <c r="AA40" s="2" t="s">
        <v>209</v>
      </c>
      <c r="AC40" t="s">
        <v>3</v>
      </c>
      <c r="AE40" s="1" t="s">
        <v>209</v>
      </c>
      <c r="AG40" t="s">
        <v>3</v>
      </c>
      <c r="AI40" s="3" t="s">
        <v>209</v>
      </c>
      <c r="AJ40" s="4"/>
      <c r="AK40" t="s">
        <v>3</v>
      </c>
      <c r="AM40" s="3" t="s">
        <v>602</v>
      </c>
      <c r="AN40" s="4"/>
      <c r="AO40" t="s">
        <v>3</v>
      </c>
      <c r="AQ40" s="1" t="s">
        <v>581</v>
      </c>
      <c r="AS40" t="s">
        <v>3</v>
      </c>
    </row>
    <row r="41" spans="1:46" x14ac:dyDescent="0.15">
      <c r="W41"/>
      <c r="AA41" s="2"/>
      <c r="AE41" s="1"/>
      <c r="AM41"/>
    </row>
    <row r="42" spans="1:46" x14ac:dyDescent="0.15">
      <c r="C42" t="s">
        <v>640</v>
      </c>
      <c r="K42" s="5"/>
      <c r="W42" s="5"/>
      <c r="AM42" s="5"/>
      <c r="AQ42" s="5"/>
    </row>
    <row r="43" spans="1:46" x14ac:dyDescent="0.15">
      <c r="C43" t="s">
        <v>641</v>
      </c>
      <c r="E43" t="s">
        <v>11</v>
      </c>
      <c r="K43" s="5"/>
      <c r="W43" s="5"/>
      <c r="AM43" s="5"/>
      <c r="AQ43" s="5"/>
    </row>
    <row r="44" spans="1:46" x14ac:dyDescent="0.15">
      <c r="A44" t="s">
        <v>3</v>
      </c>
      <c r="C44" t="s">
        <v>600</v>
      </c>
      <c r="E44" t="s">
        <v>3</v>
      </c>
      <c r="G44" t="s">
        <v>4</v>
      </c>
      <c r="I44" t="s">
        <v>3</v>
      </c>
      <c r="K44" t="s">
        <v>601</v>
      </c>
      <c r="M44" t="s">
        <v>3</v>
      </c>
      <c r="O44" t="s">
        <v>601</v>
      </c>
      <c r="Q44" t="s">
        <v>3</v>
      </c>
      <c r="S44" t="s">
        <v>601</v>
      </c>
      <c r="U44" t="s">
        <v>3</v>
      </c>
      <c r="W44" t="s">
        <v>4</v>
      </c>
      <c r="Y44" t="s">
        <v>3</v>
      </c>
      <c r="AA44" t="s">
        <v>4</v>
      </c>
      <c r="AC44" t="s">
        <v>3</v>
      </c>
      <c r="AE44" t="s">
        <v>4</v>
      </c>
      <c r="AG44" t="s">
        <v>3</v>
      </c>
      <c r="AI44" t="s">
        <v>4</v>
      </c>
      <c r="AK44" t="s">
        <v>3</v>
      </c>
      <c r="AM44" t="s">
        <v>4</v>
      </c>
      <c r="AO44" t="s">
        <v>3</v>
      </c>
      <c r="AQ44" t="s">
        <v>4</v>
      </c>
      <c r="AS44" t="s">
        <v>3</v>
      </c>
      <c r="AT44" s="3" t="s">
        <v>5</v>
      </c>
    </row>
    <row r="45" spans="1:46" x14ac:dyDescent="0.15">
      <c r="A45" t="s">
        <v>3</v>
      </c>
      <c r="E45" t="s">
        <v>3</v>
      </c>
      <c r="I45" t="s">
        <v>3</v>
      </c>
      <c r="K45" s="1" t="s">
        <v>209</v>
      </c>
      <c r="M45" t="s">
        <v>3</v>
      </c>
      <c r="O45" s="3" t="s">
        <v>209</v>
      </c>
      <c r="P45" s="4"/>
      <c r="Q45" t="s">
        <v>3</v>
      </c>
      <c r="S45" s="3" t="s">
        <v>602</v>
      </c>
      <c r="T45" s="4"/>
      <c r="U45" t="s">
        <v>3</v>
      </c>
      <c r="W45" s="1" t="s">
        <v>209</v>
      </c>
      <c r="Y45" t="s">
        <v>3</v>
      </c>
      <c r="AA45" s="3" t="s">
        <v>209</v>
      </c>
      <c r="AB45" s="4"/>
      <c r="AC45" t="s">
        <v>3</v>
      </c>
      <c r="AE45" s="3" t="s">
        <v>209</v>
      </c>
      <c r="AF45" s="4"/>
      <c r="AG45" t="s">
        <v>3</v>
      </c>
      <c r="AI45" t="s">
        <v>209</v>
      </c>
      <c r="AK45" t="s">
        <v>3</v>
      </c>
      <c r="AM45" s="2" t="s">
        <v>209</v>
      </c>
      <c r="AO45" t="s">
        <v>3</v>
      </c>
      <c r="AQ45" s="1" t="s">
        <v>581</v>
      </c>
      <c r="AS45" t="s">
        <v>3</v>
      </c>
    </row>
    <row r="46" spans="1:46" x14ac:dyDescent="0.15">
      <c r="A46" t="s">
        <v>3</v>
      </c>
      <c r="C46" t="s">
        <v>603</v>
      </c>
      <c r="E46" t="s">
        <v>3</v>
      </c>
      <c r="G46" t="s">
        <v>7</v>
      </c>
      <c r="I46" t="s">
        <v>3</v>
      </c>
      <c r="K46" s="1" t="s">
        <v>604</v>
      </c>
      <c r="M46" t="s">
        <v>3</v>
      </c>
      <c r="O46" t="s">
        <v>21</v>
      </c>
      <c r="Q46" t="s">
        <v>3</v>
      </c>
      <c r="S46" t="s">
        <v>605</v>
      </c>
      <c r="U46" t="s">
        <v>3</v>
      </c>
      <c r="W46" s="1" t="s">
        <v>11</v>
      </c>
      <c r="Y46" t="s">
        <v>3</v>
      </c>
      <c r="AA46" t="s">
        <v>12</v>
      </c>
      <c r="AC46" t="s">
        <v>3</v>
      </c>
      <c r="AE46" t="s">
        <v>13</v>
      </c>
      <c r="AG46" t="s">
        <v>3</v>
      </c>
      <c r="AI46" t="s">
        <v>14</v>
      </c>
      <c r="AK46" t="s">
        <v>3</v>
      </c>
      <c r="AM46" s="2" t="s">
        <v>15</v>
      </c>
      <c r="AO46" t="s">
        <v>3</v>
      </c>
      <c r="AQ46" s="1" t="s">
        <v>606</v>
      </c>
      <c r="AS46" t="s">
        <v>3</v>
      </c>
    </row>
    <row r="47" spans="1:46" x14ac:dyDescent="0.15">
      <c r="A47" t="s">
        <v>3</v>
      </c>
      <c r="C47" t="s">
        <v>608</v>
      </c>
      <c r="E47" t="s">
        <v>3</v>
      </c>
      <c r="G47">
        <v>104</v>
      </c>
      <c r="I47" t="s">
        <v>3</v>
      </c>
      <c r="K47">
        <v>9</v>
      </c>
      <c r="M47" t="s">
        <v>3</v>
      </c>
      <c r="O47">
        <v>6</v>
      </c>
      <c r="Q47" t="s">
        <v>3</v>
      </c>
      <c r="S47">
        <v>7</v>
      </c>
      <c r="U47" t="s">
        <v>3</v>
      </c>
      <c r="W47">
        <v>3</v>
      </c>
      <c r="Y47" t="s">
        <v>3</v>
      </c>
      <c r="AA47">
        <v>1</v>
      </c>
      <c r="AC47" t="s">
        <v>3</v>
      </c>
      <c r="AE47">
        <v>0</v>
      </c>
      <c r="AG47" t="s">
        <v>3</v>
      </c>
      <c r="AI47">
        <v>0</v>
      </c>
      <c r="AK47" t="s">
        <v>3</v>
      </c>
      <c r="AM47">
        <v>1</v>
      </c>
      <c r="AO47" t="s">
        <v>3</v>
      </c>
      <c r="AQ47">
        <v>5</v>
      </c>
      <c r="AS47" t="s">
        <v>3</v>
      </c>
    </row>
    <row r="48" spans="1:46" x14ac:dyDescent="0.15">
      <c r="A48" t="s">
        <v>3</v>
      </c>
      <c r="C48" t="s">
        <v>610</v>
      </c>
      <c r="E48" t="s">
        <v>3</v>
      </c>
      <c r="G48">
        <v>104</v>
      </c>
      <c r="I48" t="s">
        <v>3</v>
      </c>
      <c r="K48">
        <v>5</v>
      </c>
      <c r="M48" t="s">
        <v>3</v>
      </c>
      <c r="O48">
        <v>9</v>
      </c>
      <c r="Q48" t="s">
        <v>3</v>
      </c>
      <c r="S48">
        <v>7</v>
      </c>
      <c r="U48" t="s">
        <v>3</v>
      </c>
      <c r="W48">
        <v>3</v>
      </c>
      <c r="Y48" t="s">
        <v>3</v>
      </c>
      <c r="AA48">
        <v>2</v>
      </c>
      <c r="AC48" t="s">
        <v>3</v>
      </c>
      <c r="AE48">
        <v>0</v>
      </c>
      <c r="AG48" t="s">
        <v>3</v>
      </c>
      <c r="AI48">
        <v>0</v>
      </c>
      <c r="AK48" t="s">
        <v>3</v>
      </c>
      <c r="AM48">
        <v>2</v>
      </c>
      <c r="AO48" t="s">
        <v>3</v>
      </c>
      <c r="AQ48">
        <v>7</v>
      </c>
      <c r="AS48" t="s">
        <v>3</v>
      </c>
    </row>
    <row r="49" spans="1:46" x14ac:dyDescent="0.15">
      <c r="A49" t="s">
        <v>3</v>
      </c>
      <c r="C49" t="s">
        <v>611</v>
      </c>
      <c r="E49" t="s">
        <v>3</v>
      </c>
      <c r="G49">
        <v>115</v>
      </c>
      <c r="I49" t="s">
        <v>3</v>
      </c>
      <c r="K49">
        <v>5</v>
      </c>
      <c r="M49" t="s">
        <v>3</v>
      </c>
      <c r="O49">
        <v>5</v>
      </c>
      <c r="Q49" t="s">
        <v>3</v>
      </c>
      <c r="S49">
        <v>5</v>
      </c>
      <c r="U49" t="s">
        <v>3</v>
      </c>
      <c r="W49">
        <v>5</v>
      </c>
      <c r="Y49" t="s">
        <v>3</v>
      </c>
      <c r="AA49">
        <v>0</v>
      </c>
      <c r="AC49" t="s">
        <v>3</v>
      </c>
      <c r="AE49">
        <v>0</v>
      </c>
      <c r="AG49" t="s">
        <v>3</v>
      </c>
      <c r="AI49">
        <v>0</v>
      </c>
      <c r="AK49" t="s">
        <v>3</v>
      </c>
      <c r="AM49">
        <v>4</v>
      </c>
      <c r="AO49" t="s">
        <v>3</v>
      </c>
      <c r="AQ49">
        <v>9</v>
      </c>
      <c r="AS49" t="s">
        <v>3</v>
      </c>
    </row>
    <row r="50" spans="1:46" x14ac:dyDescent="0.15">
      <c r="A50" t="s">
        <v>3</v>
      </c>
      <c r="C50" t="s">
        <v>612</v>
      </c>
      <c r="E50" t="s">
        <v>3</v>
      </c>
      <c r="G50">
        <v>114</v>
      </c>
      <c r="I50" t="s">
        <v>3</v>
      </c>
      <c r="K50">
        <v>6</v>
      </c>
      <c r="M50" t="s">
        <v>3</v>
      </c>
      <c r="O50">
        <v>6</v>
      </c>
      <c r="Q50" t="s">
        <v>3</v>
      </c>
      <c r="S50">
        <v>5</v>
      </c>
      <c r="U50" t="s">
        <v>3</v>
      </c>
      <c r="W50">
        <v>7</v>
      </c>
      <c r="Y50" t="s">
        <v>3</v>
      </c>
      <c r="AA50">
        <v>3</v>
      </c>
      <c r="AC50" t="s">
        <v>3</v>
      </c>
      <c r="AE50">
        <v>-2</v>
      </c>
      <c r="AG50" t="s">
        <v>3</v>
      </c>
      <c r="AI50">
        <v>-2</v>
      </c>
      <c r="AK50" t="s">
        <v>3</v>
      </c>
      <c r="AM50">
        <v>3</v>
      </c>
      <c r="AO50" t="s">
        <v>3</v>
      </c>
      <c r="AQ50">
        <v>9</v>
      </c>
      <c r="AS50" t="s">
        <v>3</v>
      </c>
    </row>
    <row r="51" spans="1:46" x14ac:dyDescent="0.15">
      <c r="A51" t="s">
        <v>3</v>
      </c>
      <c r="C51" t="s">
        <v>626</v>
      </c>
      <c r="E51" t="s">
        <v>3</v>
      </c>
      <c r="G51">
        <v>114</v>
      </c>
      <c r="I51" t="s">
        <v>3</v>
      </c>
      <c r="K51">
        <v>5</v>
      </c>
      <c r="M51" t="s">
        <v>3</v>
      </c>
      <c r="O51">
        <v>8</v>
      </c>
      <c r="Q51" t="s">
        <v>3</v>
      </c>
      <c r="S51">
        <v>5</v>
      </c>
      <c r="U51" t="s">
        <v>3</v>
      </c>
      <c r="W51">
        <v>3</v>
      </c>
      <c r="Y51" t="s">
        <v>3</v>
      </c>
      <c r="AA51">
        <v>3</v>
      </c>
      <c r="AC51" t="s">
        <v>3</v>
      </c>
      <c r="AE51">
        <v>0</v>
      </c>
      <c r="AG51" t="s">
        <v>3</v>
      </c>
      <c r="AI51">
        <v>0</v>
      </c>
      <c r="AK51" t="s">
        <v>3</v>
      </c>
      <c r="AM51">
        <v>0</v>
      </c>
      <c r="AO51" t="s">
        <v>3</v>
      </c>
      <c r="AQ51">
        <v>6</v>
      </c>
      <c r="AS51" t="s">
        <v>3</v>
      </c>
    </row>
    <row r="52" spans="1:46" x14ac:dyDescent="0.15">
      <c r="A52" t="s">
        <v>3</v>
      </c>
      <c r="C52" t="s">
        <v>631</v>
      </c>
      <c r="E52" t="s">
        <v>3</v>
      </c>
      <c r="G52">
        <v>130</v>
      </c>
      <c r="I52" t="s">
        <v>3</v>
      </c>
      <c r="K52">
        <v>6</v>
      </c>
      <c r="M52" t="s">
        <v>3</v>
      </c>
      <c r="O52">
        <v>5</v>
      </c>
      <c r="Q52" t="s">
        <v>3</v>
      </c>
      <c r="S52">
        <v>4</v>
      </c>
      <c r="U52" t="s">
        <v>3</v>
      </c>
      <c r="W52">
        <v>4</v>
      </c>
      <c r="Y52" t="s">
        <v>3</v>
      </c>
      <c r="AA52">
        <v>0</v>
      </c>
      <c r="AC52" t="s">
        <v>3</v>
      </c>
      <c r="AE52">
        <v>0</v>
      </c>
      <c r="AG52" t="s">
        <v>3</v>
      </c>
      <c r="AI52">
        <v>0</v>
      </c>
      <c r="AK52" t="s">
        <v>3</v>
      </c>
      <c r="AM52">
        <v>2</v>
      </c>
      <c r="AO52" t="s">
        <v>3</v>
      </c>
      <c r="AQ52">
        <v>6</v>
      </c>
      <c r="AS52" t="s">
        <v>3</v>
      </c>
    </row>
    <row r="53" spans="1:46" x14ac:dyDescent="0.15">
      <c r="A53" t="s">
        <v>3</v>
      </c>
      <c r="C53" t="s">
        <v>632</v>
      </c>
      <c r="E53" t="s">
        <v>3</v>
      </c>
      <c r="G53">
        <v>82</v>
      </c>
      <c r="I53" t="s">
        <v>3</v>
      </c>
      <c r="K53">
        <v>10</v>
      </c>
      <c r="M53" t="s">
        <v>3</v>
      </c>
      <c r="O53">
        <v>5</v>
      </c>
      <c r="Q53" t="s">
        <v>3</v>
      </c>
      <c r="S53">
        <v>5</v>
      </c>
      <c r="U53" t="s">
        <v>3</v>
      </c>
      <c r="W53">
        <v>4</v>
      </c>
      <c r="Y53" t="s">
        <v>3</v>
      </c>
      <c r="AA53">
        <v>0</v>
      </c>
      <c r="AC53" t="s">
        <v>3</v>
      </c>
      <c r="AE53">
        <v>4</v>
      </c>
      <c r="AG53" t="s">
        <v>3</v>
      </c>
      <c r="AI53">
        <v>0</v>
      </c>
      <c r="AK53" t="s">
        <v>3</v>
      </c>
      <c r="AM53">
        <v>0</v>
      </c>
      <c r="AO53" t="s">
        <v>3</v>
      </c>
      <c r="AQ53">
        <v>8</v>
      </c>
      <c r="AS53" t="s">
        <v>3</v>
      </c>
    </row>
    <row r="54" spans="1:46" x14ac:dyDescent="0.15">
      <c r="A54" t="s">
        <v>3</v>
      </c>
      <c r="C54" t="s">
        <v>634</v>
      </c>
      <c r="E54" t="s">
        <v>3</v>
      </c>
      <c r="G54">
        <v>119</v>
      </c>
      <c r="I54" t="s">
        <v>3</v>
      </c>
      <c r="K54">
        <v>9</v>
      </c>
      <c r="M54" t="s">
        <v>3</v>
      </c>
      <c r="O54">
        <v>6</v>
      </c>
      <c r="Q54" t="s">
        <v>3</v>
      </c>
      <c r="S54">
        <v>5</v>
      </c>
      <c r="U54" t="s">
        <v>3</v>
      </c>
      <c r="W54">
        <v>3</v>
      </c>
      <c r="Y54" t="s">
        <v>3</v>
      </c>
      <c r="AA54">
        <v>1</v>
      </c>
      <c r="AC54" t="s">
        <v>3</v>
      </c>
      <c r="AE54">
        <v>0</v>
      </c>
      <c r="AG54" t="s">
        <v>3</v>
      </c>
      <c r="AI54">
        <v>2</v>
      </c>
      <c r="AK54" t="s">
        <v>3</v>
      </c>
      <c r="AM54">
        <v>2</v>
      </c>
      <c r="AO54" t="s">
        <v>3</v>
      </c>
      <c r="AQ54">
        <v>8</v>
      </c>
      <c r="AS54" t="s">
        <v>3</v>
      </c>
    </row>
    <row r="55" spans="1:46" x14ac:dyDescent="0.15">
      <c r="A55" t="s">
        <v>3</v>
      </c>
      <c r="C55" t="s">
        <v>635</v>
      </c>
      <c r="E55" t="s">
        <v>3</v>
      </c>
      <c r="G55">
        <v>102</v>
      </c>
      <c r="I55" t="s">
        <v>3</v>
      </c>
      <c r="K55">
        <v>9</v>
      </c>
      <c r="M55" t="s">
        <v>3</v>
      </c>
      <c r="O55">
        <v>4</v>
      </c>
      <c r="Q55" t="s">
        <v>3</v>
      </c>
      <c r="S55">
        <v>4</v>
      </c>
      <c r="U55" t="s">
        <v>3</v>
      </c>
      <c r="W55">
        <v>4</v>
      </c>
      <c r="Y55" t="s">
        <v>3</v>
      </c>
      <c r="AA55">
        <v>0</v>
      </c>
      <c r="AC55" t="s">
        <v>3</v>
      </c>
      <c r="AE55">
        <v>-1</v>
      </c>
      <c r="AG55" t="s">
        <v>3</v>
      </c>
      <c r="AI55">
        <v>4</v>
      </c>
      <c r="AK55" t="s">
        <v>3</v>
      </c>
      <c r="AM55">
        <v>0</v>
      </c>
      <c r="AO55" t="s">
        <v>3</v>
      </c>
      <c r="AQ55">
        <v>7</v>
      </c>
      <c r="AS55" t="s">
        <v>3</v>
      </c>
    </row>
    <row r="56" spans="1:46" x14ac:dyDescent="0.15">
      <c r="A56" t="s">
        <v>3</v>
      </c>
      <c r="C56" t="s">
        <v>639</v>
      </c>
      <c r="E56" t="s">
        <v>3</v>
      </c>
      <c r="G56">
        <v>109.333333333333</v>
      </c>
      <c r="I56" t="s">
        <v>3</v>
      </c>
      <c r="K56" s="1">
        <v>7.1111111111111098</v>
      </c>
      <c r="M56" t="s">
        <v>3</v>
      </c>
      <c r="O56">
        <v>6</v>
      </c>
      <c r="Q56" t="s">
        <v>3</v>
      </c>
      <c r="S56">
        <v>5.2222222222222197</v>
      </c>
      <c r="U56" t="s">
        <v>3</v>
      </c>
      <c r="W56" s="1">
        <v>4</v>
      </c>
      <c r="Y56" t="s">
        <v>3</v>
      </c>
      <c r="AA56">
        <v>1.1111111111111101</v>
      </c>
      <c r="AC56" t="s">
        <v>3</v>
      </c>
      <c r="AE56">
        <v>0.11111111111111099</v>
      </c>
      <c r="AG56" t="s">
        <v>3</v>
      </c>
      <c r="AI56">
        <v>0.44444444444444398</v>
      </c>
      <c r="AK56" t="s">
        <v>3</v>
      </c>
      <c r="AM56" s="2">
        <v>1.55555555555556</v>
      </c>
      <c r="AO56" t="s">
        <v>3</v>
      </c>
      <c r="AQ56" s="1">
        <v>7.2222222222222197</v>
      </c>
      <c r="AS56" t="s">
        <v>3</v>
      </c>
    </row>
    <row r="58" spans="1:46" x14ac:dyDescent="0.15">
      <c r="C58" t="s">
        <v>641</v>
      </c>
      <c r="E58" t="s">
        <v>12</v>
      </c>
      <c r="K58" s="5"/>
      <c r="W58" s="5"/>
      <c r="AM58" s="5"/>
      <c r="AQ58" s="5"/>
    </row>
    <row r="59" spans="1:46" x14ac:dyDescent="0.15">
      <c r="A59" t="s">
        <v>3</v>
      </c>
      <c r="C59" t="s">
        <v>600</v>
      </c>
      <c r="E59" t="s">
        <v>3</v>
      </c>
      <c r="G59" t="s">
        <v>4</v>
      </c>
      <c r="I59" t="s">
        <v>3</v>
      </c>
      <c r="K59" t="s">
        <v>601</v>
      </c>
      <c r="M59" t="s">
        <v>3</v>
      </c>
      <c r="O59" t="s">
        <v>601</v>
      </c>
      <c r="Q59" t="s">
        <v>3</v>
      </c>
      <c r="S59" t="s">
        <v>601</v>
      </c>
      <c r="U59" t="s">
        <v>3</v>
      </c>
      <c r="W59" t="s">
        <v>4</v>
      </c>
      <c r="Y59" t="s">
        <v>3</v>
      </c>
      <c r="AA59" t="s">
        <v>4</v>
      </c>
      <c r="AC59" t="s">
        <v>3</v>
      </c>
      <c r="AE59" t="s">
        <v>4</v>
      </c>
      <c r="AG59" t="s">
        <v>3</v>
      </c>
      <c r="AI59" t="s">
        <v>4</v>
      </c>
      <c r="AK59" t="s">
        <v>3</v>
      </c>
      <c r="AM59" t="s">
        <v>4</v>
      </c>
      <c r="AO59" t="s">
        <v>3</v>
      </c>
      <c r="AQ59" t="s">
        <v>4</v>
      </c>
      <c r="AS59" t="s">
        <v>3</v>
      </c>
      <c r="AT59" s="3" t="s">
        <v>5</v>
      </c>
    </row>
    <row r="60" spans="1:46" x14ac:dyDescent="0.15">
      <c r="A60" t="s">
        <v>3</v>
      </c>
      <c r="E60" t="s">
        <v>3</v>
      </c>
      <c r="I60" t="s">
        <v>3</v>
      </c>
      <c r="K60" s="1" t="s">
        <v>209</v>
      </c>
      <c r="M60" t="s">
        <v>3</v>
      </c>
      <c r="O60" s="3" t="s">
        <v>209</v>
      </c>
      <c r="P60" s="4"/>
      <c r="Q60" t="s">
        <v>3</v>
      </c>
      <c r="S60" s="3" t="s">
        <v>602</v>
      </c>
      <c r="T60" s="4"/>
      <c r="U60" t="s">
        <v>3</v>
      </c>
      <c r="W60" s="1" t="s">
        <v>209</v>
      </c>
      <c r="Y60" t="s">
        <v>3</v>
      </c>
      <c r="AA60" s="3" t="s">
        <v>209</v>
      </c>
      <c r="AB60" s="4"/>
      <c r="AC60" t="s">
        <v>3</v>
      </c>
      <c r="AE60" s="3" t="s">
        <v>209</v>
      </c>
      <c r="AF60" s="4"/>
      <c r="AG60" t="s">
        <v>3</v>
      </c>
      <c r="AI60" t="s">
        <v>209</v>
      </c>
      <c r="AK60" t="s">
        <v>3</v>
      </c>
      <c r="AM60" s="2" t="s">
        <v>209</v>
      </c>
      <c r="AO60" t="s">
        <v>3</v>
      </c>
      <c r="AQ60" s="1" t="s">
        <v>581</v>
      </c>
      <c r="AS60" t="s">
        <v>3</v>
      </c>
    </row>
    <row r="61" spans="1:46" x14ac:dyDescent="0.15">
      <c r="A61" t="s">
        <v>3</v>
      </c>
      <c r="C61" t="s">
        <v>603</v>
      </c>
      <c r="E61" t="s">
        <v>3</v>
      </c>
      <c r="G61" t="s">
        <v>7</v>
      </c>
      <c r="I61" t="s">
        <v>3</v>
      </c>
      <c r="K61" s="1" t="s">
        <v>604</v>
      </c>
      <c r="M61" t="s">
        <v>3</v>
      </c>
      <c r="O61" t="s">
        <v>21</v>
      </c>
      <c r="Q61" t="s">
        <v>3</v>
      </c>
      <c r="S61" t="s">
        <v>605</v>
      </c>
      <c r="U61" t="s">
        <v>3</v>
      </c>
      <c r="W61" s="1" t="s">
        <v>11</v>
      </c>
      <c r="Y61" t="s">
        <v>3</v>
      </c>
      <c r="AA61" t="s">
        <v>12</v>
      </c>
      <c r="AC61" t="s">
        <v>3</v>
      </c>
      <c r="AE61" t="s">
        <v>13</v>
      </c>
      <c r="AG61" t="s">
        <v>3</v>
      </c>
      <c r="AI61" t="s">
        <v>14</v>
      </c>
      <c r="AK61" t="s">
        <v>3</v>
      </c>
      <c r="AM61" s="2" t="s">
        <v>15</v>
      </c>
      <c r="AO61" t="s">
        <v>3</v>
      </c>
      <c r="AQ61" s="1" t="s">
        <v>606</v>
      </c>
      <c r="AS61" t="s">
        <v>3</v>
      </c>
    </row>
    <row r="62" spans="1:46" x14ac:dyDescent="0.15">
      <c r="A62" t="s">
        <v>3</v>
      </c>
      <c r="C62" t="s">
        <v>613</v>
      </c>
      <c r="E62" t="s">
        <v>3</v>
      </c>
      <c r="G62">
        <v>88</v>
      </c>
      <c r="I62" t="s">
        <v>3</v>
      </c>
      <c r="K62">
        <v>7</v>
      </c>
      <c r="M62" t="s">
        <v>3</v>
      </c>
      <c r="O62">
        <v>10</v>
      </c>
      <c r="Q62" t="s">
        <v>3</v>
      </c>
      <c r="S62">
        <v>8</v>
      </c>
      <c r="U62" t="s">
        <v>3</v>
      </c>
      <c r="W62">
        <v>1</v>
      </c>
      <c r="Y62" t="s">
        <v>3</v>
      </c>
      <c r="AA62">
        <v>3</v>
      </c>
      <c r="AC62" t="s">
        <v>3</v>
      </c>
      <c r="AE62">
        <v>1</v>
      </c>
      <c r="AG62" t="s">
        <v>3</v>
      </c>
      <c r="AI62">
        <v>0</v>
      </c>
      <c r="AK62" t="s">
        <v>3</v>
      </c>
      <c r="AM62">
        <v>0</v>
      </c>
      <c r="AO62" t="s">
        <v>3</v>
      </c>
      <c r="AQ62">
        <v>5</v>
      </c>
      <c r="AS62" t="s">
        <v>3</v>
      </c>
    </row>
    <row r="63" spans="1:46" x14ac:dyDescent="0.15">
      <c r="A63" t="s">
        <v>3</v>
      </c>
      <c r="C63" t="s">
        <v>615</v>
      </c>
      <c r="E63" t="s">
        <v>3</v>
      </c>
      <c r="G63">
        <v>104</v>
      </c>
      <c r="I63" t="s">
        <v>3</v>
      </c>
      <c r="K63">
        <v>7</v>
      </c>
      <c r="M63" t="s">
        <v>3</v>
      </c>
      <c r="O63">
        <v>5</v>
      </c>
      <c r="Q63" t="s">
        <v>3</v>
      </c>
      <c r="S63">
        <v>5</v>
      </c>
      <c r="U63" t="s">
        <v>3</v>
      </c>
      <c r="W63">
        <v>0</v>
      </c>
      <c r="Y63" t="s">
        <v>3</v>
      </c>
      <c r="AA63">
        <v>5</v>
      </c>
      <c r="AC63" t="s">
        <v>3</v>
      </c>
      <c r="AE63">
        <v>4</v>
      </c>
      <c r="AG63" t="s">
        <v>3</v>
      </c>
      <c r="AI63">
        <v>0</v>
      </c>
      <c r="AK63" t="s">
        <v>3</v>
      </c>
      <c r="AM63">
        <v>0</v>
      </c>
      <c r="AO63" t="s">
        <v>3</v>
      </c>
      <c r="AQ63">
        <v>9</v>
      </c>
      <c r="AS63" t="s">
        <v>3</v>
      </c>
    </row>
    <row r="64" spans="1:46" x14ac:dyDescent="0.15">
      <c r="A64" t="s">
        <v>3</v>
      </c>
      <c r="C64" t="s">
        <v>614</v>
      </c>
      <c r="E64" t="s">
        <v>3</v>
      </c>
      <c r="G64">
        <v>99</v>
      </c>
      <c r="I64" t="s">
        <v>3</v>
      </c>
      <c r="K64">
        <v>5</v>
      </c>
      <c r="M64" t="s">
        <v>3</v>
      </c>
      <c r="O64">
        <v>8</v>
      </c>
      <c r="Q64" t="s">
        <v>3</v>
      </c>
      <c r="S64">
        <v>9</v>
      </c>
      <c r="U64" t="s">
        <v>3</v>
      </c>
      <c r="W64">
        <v>2</v>
      </c>
      <c r="Y64" t="s">
        <v>3</v>
      </c>
      <c r="AA64">
        <v>3</v>
      </c>
      <c r="AC64" t="s">
        <v>3</v>
      </c>
      <c r="AE64">
        <v>2</v>
      </c>
      <c r="AG64" t="s">
        <v>3</v>
      </c>
      <c r="AI64">
        <v>0</v>
      </c>
      <c r="AK64" t="s">
        <v>3</v>
      </c>
      <c r="AM64">
        <v>0</v>
      </c>
      <c r="AO64" t="s">
        <v>3</v>
      </c>
      <c r="AQ64">
        <v>7</v>
      </c>
      <c r="AS64" t="s">
        <v>3</v>
      </c>
    </row>
    <row r="65" spans="1:46" x14ac:dyDescent="0.15">
      <c r="A65" t="s">
        <v>3</v>
      </c>
      <c r="C65" t="s">
        <v>626</v>
      </c>
      <c r="E65" t="s">
        <v>3</v>
      </c>
      <c r="G65">
        <v>114</v>
      </c>
      <c r="I65" t="s">
        <v>3</v>
      </c>
      <c r="K65">
        <v>5</v>
      </c>
      <c r="M65" t="s">
        <v>3</v>
      </c>
      <c r="O65">
        <v>8</v>
      </c>
      <c r="Q65" t="s">
        <v>3</v>
      </c>
      <c r="S65">
        <v>5</v>
      </c>
      <c r="U65" t="s">
        <v>3</v>
      </c>
      <c r="W65">
        <v>3</v>
      </c>
      <c r="Y65" t="s">
        <v>3</v>
      </c>
      <c r="AA65">
        <v>3</v>
      </c>
      <c r="AC65" t="s">
        <v>3</v>
      </c>
      <c r="AE65">
        <v>0</v>
      </c>
      <c r="AG65" t="s">
        <v>3</v>
      </c>
      <c r="AI65">
        <v>0</v>
      </c>
      <c r="AK65" t="s">
        <v>3</v>
      </c>
      <c r="AM65">
        <v>0</v>
      </c>
      <c r="AO65" t="s">
        <v>3</v>
      </c>
      <c r="AQ65">
        <v>6</v>
      </c>
      <c r="AS65" t="s">
        <v>3</v>
      </c>
    </row>
    <row r="66" spans="1:46" x14ac:dyDescent="0.15">
      <c r="A66" t="s">
        <v>3</v>
      </c>
      <c r="C66" t="s">
        <v>627</v>
      </c>
      <c r="E66" t="s">
        <v>3</v>
      </c>
      <c r="G66">
        <v>104</v>
      </c>
      <c r="I66" t="s">
        <v>3</v>
      </c>
      <c r="K66">
        <v>6</v>
      </c>
      <c r="M66" t="s">
        <v>3</v>
      </c>
      <c r="O66">
        <v>5</v>
      </c>
      <c r="Q66" t="s">
        <v>3</v>
      </c>
      <c r="S66">
        <v>6</v>
      </c>
      <c r="U66" t="s">
        <v>3</v>
      </c>
      <c r="W66">
        <v>2</v>
      </c>
      <c r="Y66" t="s">
        <v>3</v>
      </c>
      <c r="AA66">
        <v>3</v>
      </c>
      <c r="AC66" t="s">
        <v>3</v>
      </c>
      <c r="AE66">
        <v>3</v>
      </c>
      <c r="AG66" t="s">
        <v>3</v>
      </c>
      <c r="AI66">
        <v>1</v>
      </c>
      <c r="AK66" t="s">
        <v>3</v>
      </c>
      <c r="AM66">
        <v>0</v>
      </c>
      <c r="AO66" t="s">
        <v>3</v>
      </c>
      <c r="AQ66">
        <v>9</v>
      </c>
      <c r="AS66" t="s">
        <v>3</v>
      </c>
    </row>
    <row r="67" spans="1:46" x14ac:dyDescent="0.15">
      <c r="A67" t="s">
        <v>3</v>
      </c>
      <c r="C67" t="s">
        <v>633</v>
      </c>
      <c r="E67" t="s">
        <v>3</v>
      </c>
      <c r="G67">
        <v>118</v>
      </c>
      <c r="I67" t="s">
        <v>3</v>
      </c>
      <c r="K67">
        <v>8</v>
      </c>
      <c r="M67" t="s">
        <v>3</v>
      </c>
      <c r="O67">
        <v>7</v>
      </c>
      <c r="Q67" t="s">
        <v>3</v>
      </c>
      <c r="S67">
        <v>7</v>
      </c>
      <c r="U67" t="s">
        <v>3</v>
      </c>
      <c r="W67">
        <v>1</v>
      </c>
      <c r="Y67" t="s">
        <v>3</v>
      </c>
      <c r="AA67">
        <v>4</v>
      </c>
      <c r="AC67" t="s">
        <v>3</v>
      </c>
      <c r="AE67">
        <v>1</v>
      </c>
      <c r="AG67" t="s">
        <v>3</v>
      </c>
      <c r="AI67">
        <v>4</v>
      </c>
      <c r="AK67" t="s">
        <v>3</v>
      </c>
      <c r="AM67">
        <v>1</v>
      </c>
      <c r="AO67" t="s">
        <v>3</v>
      </c>
      <c r="AQ67">
        <v>11</v>
      </c>
      <c r="AS67" t="s">
        <v>3</v>
      </c>
    </row>
    <row r="68" spans="1:46" x14ac:dyDescent="0.15">
      <c r="A68" t="s">
        <v>3</v>
      </c>
      <c r="C68" t="s">
        <v>636</v>
      </c>
      <c r="E68" t="s">
        <v>3</v>
      </c>
      <c r="G68">
        <v>105</v>
      </c>
      <c r="I68" t="s">
        <v>3</v>
      </c>
      <c r="K68">
        <v>5</v>
      </c>
      <c r="M68" t="s">
        <v>3</v>
      </c>
      <c r="O68">
        <v>8</v>
      </c>
      <c r="Q68" t="s">
        <v>3</v>
      </c>
      <c r="S68">
        <v>6</v>
      </c>
      <c r="U68" t="s">
        <v>3</v>
      </c>
      <c r="W68">
        <v>0</v>
      </c>
      <c r="Y68" t="s">
        <v>3</v>
      </c>
      <c r="AA68">
        <v>3</v>
      </c>
      <c r="AC68" t="s">
        <v>3</v>
      </c>
      <c r="AE68">
        <v>0</v>
      </c>
      <c r="AG68" t="s">
        <v>3</v>
      </c>
      <c r="AI68">
        <v>0</v>
      </c>
      <c r="AK68" t="s">
        <v>3</v>
      </c>
      <c r="AM68">
        <v>3</v>
      </c>
      <c r="AO68" t="s">
        <v>3</v>
      </c>
      <c r="AQ68">
        <v>6</v>
      </c>
      <c r="AS68" t="s">
        <v>3</v>
      </c>
    </row>
    <row r="69" spans="1:46" x14ac:dyDescent="0.15">
      <c r="A69" t="s">
        <v>3</v>
      </c>
      <c r="C69" t="s">
        <v>637</v>
      </c>
      <c r="E69" t="s">
        <v>3</v>
      </c>
      <c r="G69">
        <v>115</v>
      </c>
      <c r="I69" t="s">
        <v>3</v>
      </c>
      <c r="K69">
        <v>5</v>
      </c>
      <c r="M69" t="s">
        <v>3</v>
      </c>
      <c r="O69">
        <v>6</v>
      </c>
      <c r="Q69" t="s">
        <v>3</v>
      </c>
      <c r="S69">
        <v>5</v>
      </c>
      <c r="U69" t="s">
        <v>3</v>
      </c>
      <c r="W69">
        <v>0</v>
      </c>
      <c r="Y69" t="s">
        <v>3</v>
      </c>
      <c r="AA69">
        <v>3</v>
      </c>
      <c r="AC69" t="s">
        <v>3</v>
      </c>
      <c r="AE69">
        <v>0</v>
      </c>
      <c r="AG69" t="s">
        <v>3</v>
      </c>
      <c r="AI69">
        <v>0</v>
      </c>
      <c r="AK69" t="s">
        <v>3</v>
      </c>
      <c r="AM69">
        <v>4</v>
      </c>
      <c r="AO69" t="s">
        <v>3</v>
      </c>
      <c r="AQ69">
        <v>7</v>
      </c>
      <c r="AS69" t="s">
        <v>3</v>
      </c>
    </row>
    <row r="70" spans="1:46" x14ac:dyDescent="0.15">
      <c r="A70" t="s">
        <v>3</v>
      </c>
      <c r="C70" t="s">
        <v>639</v>
      </c>
      <c r="E70" t="s">
        <v>3</v>
      </c>
      <c r="G70">
        <v>105.875</v>
      </c>
      <c r="I70" t="s">
        <v>3</v>
      </c>
      <c r="K70" s="1">
        <v>6</v>
      </c>
      <c r="M70" t="s">
        <v>3</v>
      </c>
      <c r="O70">
        <v>7.125</v>
      </c>
      <c r="Q70" t="s">
        <v>3</v>
      </c>
      <c r="S70">
        <v>6.375</v>
      </c>
      <c r="U70" t="s">
        <v>3</v>
      </c>
      <c r="W70" s="1">
        <v>1.125</v>
      </c>
      <c r="Y70" t="s">
        <v>3</v>
      </c>
      <c r="AA70">
        <v>3.375</v>
      </c>
      <c r="AC70" t="s">
        <v>3</v>
      </c>
      <c r="AE70">
        <v>1.375</v>
      </c>
      <c r="AG70" t="s">
        <v>3</v>
      </c>
      <c r="AI70">
        <v>0.625</v>
      </c>
      <c r="AK70" t="s">
        <v>3</v>
      </c>
      <c r="AM70" s="2">
        <v>1</v>
      </c>
      <c r="AO70" t="s">
        <v>3</v>
      </c>
      <c r="AQ70" s="1">
        <v>7.5</v>
      </c>
      <c r="AS70" t="s">
        <v>3</v>
      </c>
    </row>
    <row r="72" spans="1:46" x14ac:dyDescent="0.15">
      <c r="C72" t="s">
        <v>641</v>
      </c>
      <c r="E72" t="s">
        <v>13</v>
      </c>
      <c r="K72" s="5"/>
      <c r="W72" s="5"/>
      <c r="AM72" s="5"/>
      <c r="AQ72" s="5"/>
    </row>
    <row r="73" spans="1:46" x14ac:dyDescent="0.15">
      <c r="A73" t="s">
        <v>3</v>
      </c>
      <c r="C73" t="s">
        <v>600</v>
      </c>
      <c r="E73" t="s">
        <v>3</v>
      </c>
      <c r="G73" t="s">
        <v>4</v>
      </c>
      <c r="I73" t="s">
        <v>3</v>
      </c>
      <c r="K73" t="s">
        <v>601</v>
      </c>
      <c r="M73" t="s">
        <v>3</v>
      </c>
      <c r="O73" t="s">
        <v>601</v>
      </c>
      <c r="Q73" t="s">
        <v>3</v>
      </c>
      <c r="S73" t="s">
        <v>601</v>
      </c>
      <c r="U73" t="s">
        <v>3</v>
      </c>
      <c r="W73" t="s">
        <v>4</v>
      </c>
      <c r="Y73" t="s">
        <v>3</v>
      </c>
      <c r="AA73" t="s">
        <v>4</v>
      </c>
      <c r="AC73" t="s">
        <v>3</v>
      </c>
      <c r="AE73" t="s">
        <v>4</v>
      </c>
      <c r="AG73" t="s">
        <v>3</v>
      </c>
      <c r="AI73" t="s">
        <v>4</v>
      </c>
      <c r="AK73" t="s">
        <v>3</v>
      </c>
      <c r="AM73" t="s">
        <v>4</v>
      </c>
      <c r="AO73" t="s">
        <v>3</v>
      </c>
      <c r="AQ73" t="s">
        <v>4</v>
      </c>
      <c r="AS73" t="s">
        <v>3</v>
      </c>
      <c r="AT73" s="3" t="s">
        <v>5</v>
      </c>
    </row>
    <row r="74" spans="1:46" x14ac:dyDescent="0.15">
      <c r="A74" t="s">
        <v>3</v>
      </c>
      <c r="E74" t="s">
        <v>3</v>
      </c>
      <c r="I74" t="s">
        <v>3</v>
      </c>
      <c r="K74" s="1" t="s">
        <v>209</v>
      </c>
      <c r="M74" t="s">
        <v>3</v>
      </c>
      <c r="O74" s="3" t="s">
        <v>209</v>
      </c>
      <c r="P74" s="4"/>
      <c r="Q74" t="s">
        <v>3</v>
      </c>
      <c r="S74" s="3" t="s">
        <v>602</v>
      </c>
      <c r="T74" s="4"/>
      <c r="U74" t="s">
        <v>3</v>
      </c>
      <c r="W74" s="1" t="s">
        <v>209</v>
      </c>
      <c r="Y74" t="s">
        <v>3</v>
      </c>
      <c r="AA74" s="3" t="s">
        <v>209</v>
      </c>
      <c r="AB74" s="4"/>
      <c r="AC74" t="s">
        <v>3</v>
      </c>
      <c r="AE74" s="3" t="s">
        <v>209</v>
      </c>
      <c r="AF74" s="4"/>
      <c r="AG74" t="s">
        <v>3</v>
      </c>
      <c r="AI74" t="s">
        <v>209</v>
      </c>
      <c r="AK74" t="s">
        <v>3</v>
      </c>
      <c r="AM74" s="2" t="s">
        <v>209</v>
      </c>
      <c r="AO74" t="s">
        <v>3</v>
      </c>
      <c r="AQ74" s="1" t="s">
        <v>581</v>
      </c>
      <c r="AS74" t="s">
        <v>3</v>
      </c>
    </row>
    <row r="75" spans="1:46" x14ac:dyDescent="0.15">
      <c r="A75" t="s">
        <v>3</v>
      </c>
      <c r="C75" t="s">
        <v>603</v>
      </c>
      <c r="E75" t="s">
        <v>3</v>
      </c>
      <c r="G75" t="s">
        <v>7</v>
      </c>
      <c r="I75" t="s">
        <v>3</v>
      </c>
      <c r="K75" s="1" t="s">
        <v>604</v>
      </c>
      <c r="M75" t="s">
        <v>3</v>
      </c>
      <c r="O75" t="s">
        <v>21</v>
      </c>
      <c r="Q75" t="s">
        <v>3</v>
      </c>
      <c r="S75" t="s">
        <v>605</v>
      </c>
      <c r="U75" t="s">
        <v>3</v>
      </c>
      <c r="W75" s="1" t="s">
        <v>11</v>
      </c>
      <c r="Y75" t="s">
        <v>3</v>
      </c>
      <c r="AA75" t="s">
        <v>12</v>
      </c>
      <c r="AC75" t="s">
        <v>3</v>
      </c>
      <c r="AE75" t="s">
        <v>13</v>
      </c>
      <c r="AG75" t="s">
        <v>3</v>
      </c>
      <c r="AI75" t="s">
        <v>14</v>
      </c>
      <c r="AK75" t="s">
        <v>3</v>
      </c>
      <c r="AM75" s="2" t="s">
        <v>15</v>
      </c>
      <c r="AO75" t="s">
        <v>3</v>
      </c>
      <c r="AQ75" s="1" t="s">
        <v>606</v>
      </c>
      <c r="AS75" t="s">
        <v>3</v>
      </c>
    </row>
    <row r="76" spans="1:46" x14ac:dyDescent="0.15">
      <c r="A76" t="s">
        <v>3</v>
      </c>
      <c r="C76" t="s">
        <v>616</v>
      </c>
      <c r="E76" t="s">
        <v>3</v>
      </c>
      <c r="G76">
        <v>94</v>
      </c>
      <c r="I76" t="s">
        <v>3</v>
      </c>
      <c r="K76">
        <v>9</v>
      </c>
      <c r="M76" t="s">
        <v>3</v>
      </c>
      <c r="O76">
        <v>10</v>
      </c>
      <c r="Q76" t="s">
        <v>3</v>
      </c>
      <c r="S76">
        <v>8</v>
      </c>
      <c r="U76" t="s">
        <v>3</v>
      </c>
      <c r="W76">
        <v>0</v>
      </c>
      <c r="Y76" t="s">
        <v>3</v>
      </c>
      <c r="AA76">
        <v>1</v>
      </c>
      <c r="AC76" t="s">
        <v>3</v>
      </c>
      <c r="AE76">
        <v>3</v>
      </c>
      <c r="AG76" t="s">
        <v>3</v>
      </c>
      <c r="AI76">
        <v>1</v>
      </c>
      <c r="AK76" t="s">
        <v>3</v>
      </c>
      <c r="AM76">
        <v>0</v>
      </c>
      <c r="AO76" t="s">
        <v>3</v>
      </c>
      <c r="AQ76">
        <v>5</v>
      </c>
      <c r="AS76" t="s">
        <v>3</v>
      </c>
    </row>
    <row r="77" spans="1:46" x14ac:dyDescent="0.15">
      <c r="A77" t="s">
        <v>3</v>
      </c>
      <c r="C77" t="s">
        <v>618</v>
      </c>
      <c r="E77" t="s">
        <v>3</v>
      </c>
      <c r="G77">
        <v>114</v>
      </c>
      <c r="I77" t="s">
        <v>3</v>
      </c>
      <c r="K77">
        <v>8</v>
      </c>
      <c r="M77" t="s">
        <v>3</v>
      </c>
      <c r="O77">
        <v>5</v>
      </c>
      <c r="Q77" t="s">
        <v>3</v>
      </c>
      <c r="S77">
        <v>3</v>
      </c>
      <c r="U77" t="s">
        <v>3</v>
      </c>
      <c r="W77">
        <v>0</v>
      </c>
      <c r="Y77" t="s">
        <v>3</v>
      </c>
      <c r="AA77">
        <v>4</v>
      </c>
      <c r="AC77" t="s">
        <v>3</v>
      </c>
      <c r="AE77">
        <v>5</v>
      </c>
      <c r="AG77" t="s">
        <v>3</v>
      </c>
      <c r="AI77">
        <v>0</v>
      </c>
      <c r="AK77" t="s">
        <v>3</v>
      </c>
      <c r="AM77">
        <v>0</v>
      </c>
      <c r="AO77" t="s">
        <v>3</v>
      </c>
      <c r="AQ77">
        <v>9</v>
      </c>
      <c r="AS77" t="s">
        <v>3</v>
      </c>
    </row>
    <row r="78" spans="1:46" x14ac:dyDescent="0.15">
      <c r="A78" t="s">
        <v>3</v>
      </c>
      <c r="C78" t="s">
        <v>617</v>
      </c>
      <c r="E78" t="s">
        <v>3</v>
      </c>
      <c r="G78">
        <v>119</v>
      </c>
      <c r="I78" t="s">
        <v>3</v>
      </c>
      <c r="K78">
        <v>8</v>
      </c>
      <c r="M78" t="s">
        <v>3</v>
      </c>
      <c r="O78">
        <v>8</v>
      </c>
      <c r="Q78" t="s">
        <v>3</v>
      </c>
      <c r="S78">
        <v>8</v>
      </c>
      <c r="U78" t="s">
        <v>3</v>
      </c>
      <c r="W78">
        <v>0</v>
      </c>
      <c r="Y78" t="s">
        <v>3</v>
      </c>
      <c r="AA78">
        <v>1</v>
      </c>
      <c r="AC78" t="s">
        <v>3</v>
      </c>
      <c r="AE78">
        <v>3</v>
      </c>
      <c r="AG78" t="s">
        <v>3</v>
      </c>
      <c r="AI78">
        <v>1</v>
      </c>
      <c r="AK78" t="s">
        <v>3</v>
      </c>
      <c r="AM78">
        <v>0</v>
      </c>
      <c r="AO78" t="s">
        <v>3</v>
      </c>
      <c r="AQ78">
        <v>5</v>
      </c>
      <c r="AS78" t="s">
        <v>3</v>
      </c>
    </row>
    <row r="79" spans="1:46" x14ac:dyDescent="0.15">
      <c r="A79" t="s">
        <v>3</v>
      </c>
      <c r="C79" t="s">
        <v>619</v>
      </c>
      <c r="E79" t="s">
        <v>3</v>
      </c>
      <c r="G79">
        <v>115</v>
      </c>
      <c r="I79" t="s">
        <v>3</v>
      </c>
      <c r="K79">
        <v>5</v>
      </c>
      <c r="M79" t="s">
        <v>3</v>
      </c>
      <c r="O79">
        <v>5</v>
      </c>
      <c r="Q79" t="s">
        <v>3</v>
      </c>
      <c r="S79">
        <v>5</v>
      </c>
      <c r="U79" t="s">
        <v>3</v>
      </c>
      <c r="W79">
        <v>-2</v>
      </c>
      <c r="Y79" t="s">
        <v>3</v>
      </c>
      <c r="AA79">
        <v>4</v>
      </c>
      <c r="AC79" t="s">
        <v>3</v>
      </c>
      <c r="AE79">
        <v>5</v>
      </c>
      <c r="AG79" t="s">
        <v>3</v>
      </c>
      <c r="AI79">
        <v>3</v>
      </c>
      <c r="AK79" t="s">
        <v>3</v>
      </c>
      <c r="AM79">
        <v>-1</v>
      </c>
      <c r="AO79" t="s">
        <v>3</v>
      </c>
      <c r="AQ79">
        <v>9</v>
      </c>
      <c r="AS79" t="s">
        <v>3</v>
      </c>
    </row>
    <row r="80" spans="1:46" x14ac:dyDescent="0.15">
      <c r="A80" t="s">
        <v>3</v>
      </c>
      <c r="C80" t="s">
        <v>627</v>
      </c>
      <c r="E80" t="s">
        <v>3</v>
      </c>
      <c r="G80">
        <v>104</v>
      </c>
      <c r="I80" t="s">
        <v>3</v>
      </c>
      <c r="K80">
        <v>6</v>
      </c>
      <c r="M80" t="s">
        <v>3</v>
      </c>
      <c r="O80">
        <v>5</v>
      </c>
      <c r="Q80" t="s">
        <v>3</v>
      </c>
      <c r="S80">
        <v>6</v>
      </c>
      <c r="U80" t="s">
        <v>3</v>
      </c>
      <c r="W80">
        <v>2</v>
      </c>
      <c r="Y80" t="s">
        <v>3</v>
      </c>
      <c r="AA80">
        <v>3</v>
      </c>
      <c r="AC80" t="s">
        <v>3</v>
      </c>
      <c r="AE80">
        <v>3</v>
      </c>
      <c r="AG80" t="s">
        <v>3</v>
      </c>
      <c r="AI80">
        <v>1</v>
      </c>
      <c r="AK80" t="s">
        <v>3</v>
      </c>
      <c r="AM80">
        <v>0</v>
      </c>
      <c r="AO80" t="s">
        <v>3</v>
      </c>
      <c r="AQ80">
        <v>9</v>
      </c>
      <c r="AS80" t="s">
        <v>3</v>
      </c>
    </row>
    <row r="81" spans="1:46" x14ac:dyDescent="0.15">
      <c r="A81" t="s">
        <v>3</v>
      </c>
      <c r="C81" t="s">
        <v>628</v>
      </c>
      <c r="E81" t="s">
        <v>3</v>
      </c>
      <c r="G81">
        <v>119</v>
      </c>
      <c r="I81" t="s">
        <v>3</v>
      </c>
      <c r="K81">
        <v>9</v>
      </c>
      <c r="M81" t="s">
        <v>3</v>
      </c>
      <c r="O81">
        <v>7</v>
      </c>
      <c r="Q81" t="s">
        <v>3</v>
      </c>
      <c r="S81">
        <v>6</v>
      </c>
      <c r="U81" t="s">
        <v>3</v>
      </c>
      <c r="W81">
        <v>1</v>
      </c>
      <c r="Y81" t="s">
        <v>3</v>
      </c>
      <c r="AA81">
        <v>1</v>
      </c>
      <c r="AC81" t="s">
        <v>3</v>
      </c>
      <c r="AE81">
        <v>2</v>
      </c>
      <c r="AG81" t="s">
        <v>3</v>
      </c>
      <c r="AI81">
        <v>2</v>
      </c>
      <c r="AK81" t="s">
        <v>3</v>
      </c>
      <c r="AM81">
        <v>1</v>
      </c>
      <c r="AO81" t="s">
        <v>3</v>
      </c>
      <c r="AQ81">
        <v>7</v>
      </c>
      <c r="AS81" t="s">
        <v>3</v>
      </c>
    </row>
    <row r="82" spans="1:46" x14ac:dyDescent="0.15">
      <c r="A82" t="s">
        <v>3</v>
      </c>
      <c r="C82" t="s">
        <v>632</v>
      </c>
      <c r="E82" t="s">
        <v>3</v>
      </c>
      <c r="G82">
        <v>82</v>
      </c>
      <c r="I82" t="s">
        <v>3</v>
      </c>
      <c r="K82">
        <v>10</v>
      </c>
      <c r="M82" t="s">
        <v>3</v>
      </c>
      <c r="O82">
        <v>5</v>
      </c>
      <c r="Q82" t="s">
        <v>3</v>
      </c>
      <c r="S82">
        <v>5</v>
      </c>
      <c r="U82" t="s">
        <v>3</v>
      </c>
      <c r="W82">
        <v>4</v>
      </c>
      <c r="Y82" t="s">
        <v>3</v>
      </c>
      <c r="AA82">
        <v>0</v>
      </c>
      <c r="AC82" t="s">
        <v>3</v>
      </c>
      <c r="AE82">
        <v>4</v>
      </c>
      <c r="AG82" t="s">
        <v>3</v>
      </c>
      <c r="AI82">
        <v>0</v>
      </c>
      <c r="AK82" t="s">
        <v>3</v>
      </c>
      <c r="AM82">
        <v>0</v>
      </c>
      <c r="AO82" t="s">
        <v>3</v>
      </c>
      <c r="AQ82">
        <v>8</v>
      </c>
      <c r="AS82" t="s">
        <v>3</v>
      </c>
    </row>
    <row r="83" spans="1:46" x14ac:dyDescent="0.15">
      <c r="A83" t="s">
        <v>3</v>
      </c>
      <c r="C83" t="s">
        <v>639</v>
      </c>
      <c r="E83" t="s">
        <v>3</v>
      </c>
      <c r="G83">
        <v>106.71428571428601</v>
      </c>
      <c r="I83" t="s">
        <v>3</v>
      </c>
      <c r="K83" s="1">
        <v>7.8571428571428603</v>
      </c>
      <c r="M83" t="s">
        <v>3</v>
      </c>
      <c r="O83">
        <v>6.4285714285714297</v>
      </c>
      <c r="Q83" t="s">
        <v>3</v>
      </c>
      <c r="S83">
        <v>5.8571428571428603</v>
      </c>
      <c r="U83" t="s">
        <v>3</v>
      </c>
      <c r="W83" s="1">
        <v>0.71428571428571397</v>
      </c>
      <c r="Y83" t="s">
        <v>3</v>
      </c>
      <c r="AA83">
        <v>2</v>
      </c>
      <c r="AC83" t="s">
        <v>3</v>
      </c>
      <c r="AE83">
        <v>3.5714285714285698</v>
      </c>
      <c r="AG83" t="s">
        <v>3</v>
      </c>
      <c r="AI83">
        <v>1.1428571428571399</v>
      </c>
      <c r="AK83" t="s">
        <v>3</v>
      </c>
      <c r="AM83" s="2">
        <v>0</v>
      </c>
      <c r="AO83" t="s">
        <v>3</v>
      </c>
      <c r="AQ83" s="1">
        <v>7.4285714285714297</v>
      </c>
      <c r="AS83" t="s">
        <v>3</v>
      </c>
    </row>
    <row r="85" spans="1:46" x14ac:dyDescent="0.15">
      <c r="C85" t="s">
        <v>641</v>
      </c>
      <c r="E85" t="s">
        <v>14</v>
      </c>
      <c r="K85" s="5"/>
      <c r="W85" s="5"/>
      <c r="AM85" s="5"/>
      <c r="AQ85" s="5"/>
    </row>
    <row r="86" spans="1:46" x14ac:dyDescent="0.15">
      <c r="A86" t="s">
        <v>3</v>
      </c>
      <c r="C86" t="s">
        <v>600</v>
      </c>
      <c r="E86" t="s">
        <v>3</v>
      </c>
      <c r="G86" t="s">
        <v>4</v>
      </c>
      <c r="I86" t="s">
        <v>3</v>
      </c>
      <c r="K86" t="s">
        <v>601</v>
      </c>
      <c r="M86" t="s">
        <v>3</v>
      </c>
      <c r="O86" t="s">
        <v>601</v>
      </c>
      <c r="Q86" t="s">
        <v>3</v>
      </c>
      <c r="S86" t="s">
        <v>601</v>
      </c>
      <c r="U86" t="s">
        <v>3</v>
      </c>
      <c r="W86" t="s">
        <v>4</v>
      </c>
      <c r="Y86" t="s">
        <v>3</v>
      </c>
      <c r="AA86" t="s">
        <v>4</v>
      </c>
      <c r="AC86" t="s">
        <v>3</v>
      </c>
      <c r="AE86" t="s">
        <v>4</v>
      </c>
      <c r="AG86" t="s">
        <v>3</v>
      </c>
      <c r="AI86" t="s">
        <v>4</v>
      </c>
      <c r="AK86" t="s">
        <v>3</v>
      </c>
      <c r="AM86" t="s">
        <v>4</v>
      </c>
      <c r="AO86" t="s">
        <v>3</v>
      </c>
      <c r="AQ86" t="s">
        <v>4</v>
      </c>
      <c r="AS86" t="s">
        <v>3</v>
      </c>
      <c r="AT86" s="3" t="s">
        <v>5</v>
      </c>
    </row>
    <row r="87" spans="1:46" x14ac:dyDescent="0.15">
      <c r="A87" t="s">
        <v>3</v>
      </c>
      <c r="E87" t="s">
        <v>3</v>
      </c>
      <c r="I87" t="s">
        <v>3</v>
      </c>
      <c r="K87" s="1" t="s">
        <v>209</v>
      </c>
      <c r="M87" t="s">
        <v>3</v>
      </c>
      <c r="O87" s="3" t="s">
        <v>209</v>
      </c>
      <c r="P87" s="4"/>
      <c r="Q87" t="s">
        <v>3</v>
      </c>
      <c r="S87" s="3" t="s">
        <v>602</v>
      </c>
      <c r="T87" s="4"/>
      <c r="U87" t="s">
        <v>3</v>
      </c>
      <c r="W87" s="1" t="s">
        <v>209</v>
      </c>
      <c r="Y87" t="s">
        <v>3</v>
      </c>
      <c r="AA87" s="3" t="s">
        <v>209</v>
      </c>
      <c r="AB87" s="4"/>
      <c r="AC87" t="s">
        <v>3</v>
      </c>
      <c r="AE87" s="3" t="s">
        <v>209</v>
      </c>
      <c r="AF87" s="4"/>
      <c r="AG87" t="s">
        <v>3</v>
      </c>
      <c r="AI87" t="s">
        <v>209</v>
      </c>
      <c r="AK87" t="s">
        <v>3</v>
      </c>
      <c r="AM87" s="2" t="s">
        <v>209</v>
      </c>
      <c r="AO87" t="s">
        <v>3</v>
      </c>
      <c r="AQ87" s="1" t="s">
        <v>581</v>
      </c>
      <c r="AS87" t="s">
        <v>3</v>
      </c>
    </row>
    <row r="88" spans="1:46" x14ac:dyDescent="0.15">
      <c r="A88" t="s">
        <v>3</v>
      </c>
      <c r="C88" t="s">
        <v>603</v>
      </c>
      <c r="E88" t="s">
        <v>3</v>
      </c>
      <c r="G88" t="s">
        <v>7</v>
      </c>
      <c r="I88" t="s">
        <v>3</v>
      </c>
      <c r="K88" s="1" t="s">
        <v>604</v>
      </c>
      <c r="M88" t="s">
        <v>3</v>
      </c>
      <c r="O88" t="s">
        <v>21</v>
      </c>
      <c r="Q88" t="s">
        <v>3</v>
      </c>
      <c r="S88" t="s">
        <v>605</v>
      </c>
      <c r="U88" t="s">
        <v>3</v>
      </c>
      <c r="W88" s="1" t="s">
        <v>11</v>
      </c>
      <c r="Y88" t="s">
        <v>3</v>
      </c>
      <c r="AA88" t="s">
        <v>12</v>
      </c>
      <c r="AC88" t="s">
        <v>3</v>
      </c>
      <c r="AE88" t="s">
        <v>13</v>
      </c>
      <c r="AG88" t="s">
        <v>3</v>
      </c>
      <c r="AI88" t="s">
        <v>14</v>
      </c>
      <c r="AK88" t="s">
        <v>3</v>
      </c>
      <c r="AM88" s="2" t="s">
        <v>15</v>
      </c>
      <c r="AO88" t="s">
        <v>3</v>
      </c>
      <c r="AQ88" s="1" t="s">
        <v>606</v>
      </c>
      <c r="AS88" t="s">
        <v>3</v>
      </c>
    </row>
    <row r="89" spans="1:46" x14ac:dyDescent="0.15">
      <c r="A89" t="s">
        <v>3</v>
      </c>
      <c r="C89" t="s">
        <v>620</v>
      </c>
      <c r="E89" t="s">
        <v>3</v>
      </c>
      <c r="G89">
        <v>82</v>
      </c>
      <c r="I89" t="s">
        <v>3</v>
      </c>
      <c r="K89">
        <v>10</v>
      </c>
      <c r="M89" t="s">
        <v>3</v>
      </c>
      <c r="O89">
        <v>9</v>
      </c>
      <c r="Q89" t="s">
        <v>3</v>
      </c>
      <c r="S89">
        <v>5</v>
      </c>
      <c r="U89" t="s">
        <v>3</v>
      </c>
      <c r="W89">
        <v>0</v>
      </c>
      <c r="Y89" t="s">
        <v>3</v>
      </c>
      <c r="AA89">
        <v>0</v>
      </c>
      <c r="AC89" t="s">
        <v>3</v>
      </c>
      <c r="AE89">
        <v>1</v>
      </c>
      <c r="AG89" t="s">
        <v>3</v>
      </c>
      <c r="AI89">
        <v>3</v>
      </c>
      <c r="AK89" t="s">
        <v>3</v>
      </c>
      <c r="AM89">
        <v>1</v>
      </c>
      <c r="AO89" t="s">
        <v>3</v>
      </c>
      <c r="AQ89">
        <v>5</v>
      </c>
      <c r="AS89" t="s">
        <v>3</v>
      </c>
    </row>
    <row r="90" spans="1:46" x14ac:dyDescent="0.15">
      <c r="A90" t="s">
        <v>3</v>
      </c>
      <c r="C90" t="s">
        <v>621</v>
      </c>
      <c r="E90" t="s">
        <v>3</v>
      </c>
      <c r="G90">
        <v>99</v>
      </c>
      <c r="I90" t="s">
        <v>3</v>
      </c>
      <c r="K90">
        <v>5</v>
      </c>
      <c r="M90" t="s">
        <v>3</v>
      </c>
      <c r="O90">
        <v>6</v>
      </c>
      <c r="Q90" t="s">
        <v>3</v>
      </c>
      <c r="S90">
        <v>5</v>
      </c>
      <c r="U90" t="s">
        <v>3</v>
      </c>
      <c r="W90">
        <v>0</v>
      </c>
      <c r="Y90" t="s">
        <v>3</v>
      </c>
      <c r="AA90">
        <v>0</v>
      </c>
      <c r="AC90" t="s">
        <v>3</v>
      </c>
      <c r="AE90">
        <v>4</v>
      </c>
      <c r="AG90" t="s">
        <v>3</v>
      </c>
      <c r="AI90">
        <v>5</v>
      </c>
      <c r="AK90" t="s">
        <v>3</v>
      </c>
      <c r="AM90">
        <v>0</v>
      </c>
      <c r="AO90" t="s">
        <v>3</v>
      </c>
      <c r="AQ90">
        <v>9</v>
      </c>
      <c r="AS90" t="s">
        <v>3</v>
      </c>
    </row>
    <row r="91" spans="1:46" x14ac:dyDescent="0.15">
      <c r="A91" t="s">
        <v>3</v>
      </c>
      <c r="C91" t="s">
        <v>622</v>
      </c>
      <c r="E91" t="s">
        <v>3</v>
      </c>
      <c r="G91">
        <v>111</v>
      </c>
      <c r="I91" t="s">
        <v>3</v>
      </c>
      <c r="K91">
        <v>10</v>
      </c>
      <c r="M91" t="s">
        <v>3</v>
      </c>
      <c r="O91">
        <v>6</v>
      </c>
      <c r="Q91" t="s">
        <v>3</v>
      </c>
      <c r="S91">
        <v>3</v>
      </c>
      <c r="U91" t="s">
        <v>3</v>
      </c>
      <c r="W91">
        <v>-1</v>
      </c>
      <c r="Y91" t="s">
        <v>3</v>
      </c>
      <c r="AA91">
        <v>-1</v>
      </c>
      <c r="AC91" t="s">
        <v>3</v>
      </c>
      <c r="AE91">
        <v>0</v>
      </c>
      <c r="AG91" t="s">
        <v>3</v>
      </c>
      <c r="AI91">
        <v>9</v>
      </c>
      <c r="AK91" t="s">
        <v>3</v>
      </c>
      <c r="AM91">
        <v>0</v>
      </c>
      <c r="AO91" t="s">
        <v>3</v>
      </c>
      <c r="AQ91">
        <v>7</v>
      </c>
      <c r="AS91" t="s">
        <v>3</v>
      </c>
    </row>
    <row r="92" spans="1:46" x14ac:dyDescent="0.15">
      <c r="A92" t="s">
        <v>3</v>
      </c>
      <c r="C92" t="s">
        <v>628</v>
      </c>
      <c r="E92" t="s">
        <v>3</v>
      </c>
      <c r="G92">
        <v>119</v>
      </c>
      <c r="I92" t="s">
        <v>3</v>
      </c>
      <c r="K92">
        <v>9</v>
      </c>
      <c r="M92" t="s">
        <v>3</v>
      </c>
      <c r="O92">
        <v>7</v>
      </c>
      <c r="Q92" t="s">
        <v>3</v>
      </c>
      <c r="S92">
        <v>6</v>
      </c>
      <c r="U92" t="s">
        <v>3</v>
      </c>
      <c r="W92">
        <v>1</v>
      </c>
      <c r="Y92" t="s">
        <v>3</v>
      </c>
      <c r="AA92">
        <v>1</v>
      </c>
      <c r="AC92" t="s">
        <v>3</v>
      </c>
      <c r="AE92">
        <v>2</v>
      </c>
      <c r="AG92" t="s">
        <v>3</v>
      </c>
      <c r="AI92">
        <v>2</v>
      </c>
      <c r="AK92" t="s">
        <v>3</v>
      </c>
      <c r="AM92">
        <v>1</v>
      </c>
      <c r="AO92" t="s">
        <v>3</v>
      </c>
      <c r="AQ92">
        <v>7</v>
      </c>
      <c r="AS92" t="s">
        <v>3</v>
      </c>
    </row>
    <row r="93" spans="1:46" x14ac:dyDescent="0.15">
      <c r="A93" t="s">
        <v>3</v>
      </c>
      <c r="C93" t="s">
        <v>629</v>
      </c>
      <c r="E93" t="s">
        <v>3</v>
      </c>
      <c r="G93">
        <v>114</v>
      </c>
      <c r="I93" t="s">
        <v>3</v>
      </c>
      <c r="K93">
        <v>7</v>
      </c>
      <c r="M93" t="s">
        <v>3</v>
      </c>
      <c r="O93">
        <v>5</v>
      </c>
      <c r="Q93" t="s">
        <v>3</v>
      </c>
      <c r="S93">
        <v>5</v>
      </c>
      <c r="U93" t="s">
        <v>3</v>
      </c>
      <c r="W93">
        <v>0</v>
      </c>
      <c r="Y93" t="s">
        <v>3</v>
      </c>
      <c r="AA93">
        <v>0</v>
      </c>
      <c r="AC93" t="s">
        <v>3</v>
      </c>
      <c r="AE93">
        <v>0</v>
      </c>
      <c r="AG93" t="s">
        <v>3</v>
      </c>
      <c r="AI93">
        <v>3</v>
      </c>
      <c r="AK93" t="s">
        <v>3</v>
      </c>
      <c r="AM93">
        <v>3</v>
      </c>
      <c r="AO93" t="s">
        <v>3</v>
      </c>
      <c r="AQ93">
        <v>6</v>
      </c>
      <c r="AS93" t="s">
        <v>3</v>
      </c>
    </row>
    <row r="94" spans="1:46" x14ac:dyDescent="0.15">
      <c r="A94" t="s">
        <v>3</v>
      </c>
      <c r="C94" t="s">
        <v>630</v>
      </c>
      <c r="E94" t="s">
        <v>3</v>
      </c>
      <c r="I94" t="s">
        <v>3</v>
      </c>
      <c r="K94"/>
      <c r="M94" t="s">
        <v>3</v>
      </c>
      <c r="Q94" t="s">
        <v>3</v>
      </c>
      <c r="U94" t="s">
        <v>3</v>
      </c>
      <c r="W94"/>
      <c r="Y94" t="s">
        <v>3</v>
      </c>
      <c r="AC94" t="s">
        <v>3</v>
      </c>
      <c r="AG94" t="s">
        <v>3</v>
      </c>
      <c r="AK94" t="s">
        <v>3</v>
      </c>
      <c r="AM94"/>
      <c r="AO94" t="s">
        <v>3</v>
      </c>
      <c r="AQ94"/>
      <c r="AS94" t="s">
        <v>3</v>
      </c>
    </row>
    <row r="95" spans="1:46" x14ac:dyDescent="0.15">
      <c r="A95" t="s">
        <v>3</v>
      </c>
      <c r="C95" t="s">
        <v>633</v>
      </c>
      <c r="E95" t="s">
        <v>3</v>
      </c>
      <c r="G95">
        <v>118</v>
      </c>
      <c r="I95" t="s">
        <v>3</v>
      </c>
      <c r="K95">
        <v>8</v>
      </c>
      <c r="M95" t="s">
        <v>3</v>
      </c>
      <c r="O95">
        <v>7</v>
      </c>
      <c r="Q95" t="s">
        <v>3</v>
      </c>
      <c r="S95">
        <v>7</v>
      </c>
      <c r="U95" t="s">
        <v>3</v>
      </c>
      <c r="W95">
        <v>1</v>
      </c>
      <c r="Y95" t="s">
        <v>3</v>
      </c>
      <c r="AA95">
        <v>4</v>
      </c>
      <c r="AC95" t="s">
        <v>3</v>
      </c>
      <c r="AE95">
        <v>1</v>
      </c>
      <c r="AG95" t="s">
        <v>3</v>
      </c>
      <c r="AI95">
        <v>4</v>
      </c>
      <c r="AK95" t="s">
        <v>3</v>
      </c>
      <c r="AM95">
        <v>1</v>
      </c>
      <c r="AO95" t="s">
        <v>3</v>
      </c>
      <c r="AQ95">
        <v>11</v>
      </c>
      <c r="AS95" t="s">
        <v>3</v>
      </c>
    </row>
    <row r="96" spans="1:46" x14ac:dyDescent="0.15">
      <c r="A96" t="s">
        <v>3</v>
      </c>
      <c r="C96" t="s">
        <v>634</v>
      </c>
      <c r="E96" t="s">
        <v>3</v>
      </c>
      <c r="G96">
        <v>119</v>
      </c>
      <c r="I96" t="s">
        <v>3</v>
      </c>
      <c r="K96">
        <v>9</v>
      </c>
      <c r="M96" t="s">
        <v>3</v>
      </c>
      <c r="O96">
        <v>6</v>
      </c>
      <c r="Q96" t="s">
        <v>3</v>
      </c>
      <c r="S96">
        <v>5</v>
      </c>
      <c r="U96" t="s">
        <v>3</v>
      </c>
      <c r="W96">
        <v>3</v>
      </c>
      <c r="Y96" t="s">
        <v>3</v>
      </c>
      <c r="AA96">
        <v>1</v>
      </c>
      <c r="AC96" t="s">
        <v>3</v>
      </c>
      <c r="AE96">
        <v>0</v>
      </c>
      <c r="AG96" t="s">
        <v>3</v>
      </c>
      <c r="AI96">
        <v>2</v>
      </c>
      <c r="AK96" t="s">
        <v>3</v>
      </c>
      <c r="AM96">
        <v>2</v>
      </c>
      <c r="AO96" t="s">
        <v>3</v>
      </c>
      <c r="AQ96">
        <v>8</v>
      </c>
      <c r="AS96" t="s">
        <v>3</v>
      </c>
    </row>
    <row r="97" spans="1:46" x14ac:dyDescent="0.15">
      <c r="A97" t="s">
        <v>3</v>
      </c>
      <c r="C97" t="s">
        <v>635</v>
      </c>
      <c r="E97" t="s">
        <v>3</v>
      </c>
      <c r="G97">
        <v>102</v>
      </c>
      <c r="I97" t="s">
        <v>3</v>
      </c>
      <c r="K97">
        <v>9</v>
      </c>
      <c r="M97" t="s">
        <v>3</v>
      </c>
      <c r="O97">
        <v>4</v>
      </c>
      <c r="Q97" t="s">
        <v>3</v>
      </c>
      <c r="S97">
        <v>4</v>
      </c>
      <c r="U97" t="s">
        <v>3</v>
      </c>
      <c r="W97">
        <v>4</v>
      </c>
      <c r="Y97" t="s">
        <v>3</v>
      </c>
      <c r="AA97">
        <v>0</v>
      </c>
      <c r="AC97" t="s">
        <v>3</v>
      </c>
      <c r="AE97">
        <v>-1</v>
      </c>
      <c r="AG97" t="s">
        <v>3</v>
      </c>
      <c r="AI97">
        <v>4</v>
      </c>
      <c r="AK97" t="s">
        <v>3</v>
      </c>
      <c r="AM97">
        <v>0</v>
      </c>
      <c r="AO97" t="s">
        <v>3</v>
      </c>
      <c r="AQ97">
        <v>7</v>
      </c>
      <c r="AS97" t="s">
        <v>3</v>
      </c>
    </row>
    <row r="98" spans="1:46" x14ac:dyDescent="0.15">
      <c r="A98" t="s">
        <v>3</v>
      </c>
      <c r="C98" t="s">
        <v>639</v>
      </c>
      <c r="E98" t="s">
        <v>3</v>
      </c>
      <c r="G98">
        <v>108</v>
      </c>
      <c r="I98" t="s">
        <v>3</v>
      </c>
      <c r="K98" s="1">
        <v>8.375</v>
      </c>
      <c r="M98" t="s">
        <v>3</v>
      </c>
      <c r="O98">
        <v>6.25</v>
      </c>
      <c r="Q98" t="s">
        <v>3</v>
      </c>
      <c r="S98">
        <v>5</v>
      </c>
      <c r="U98" t="s">
        <v>3</v>
      </c>
      <c r="W98" s="1">
        <v>1</v>
      </c>
      <c r="Y98" t="s">
        <v>3</v>
      </c>
      <c r="AA98">
        <v>0.625</v>
      </c>
      <c r="AC98" t="s">
        <v>3</v>
      </c>
      <c r="AE98">
        <v>0.875</v>
      </c>
      <c r="AG98" t="s">
        <v>3</v>
      </c>
      <c r="AI98">
        <v>4</v>
      </c>
      <c r="AK98" t="s">
        <v>3</v>
      </c>
      <c r="AM98" s="2">
        <v>1</v>
      </c>
      <c r="AO98" t="s">
        <v>3</v>
      </c>
      <c r="AQ98" s="1">
        <v>7.5</v>
      </c>
      <c r="AS98" t="s">
        <v>3</v>
      </c>
    </row>
    <row r="100" spans="1:46" x14ac:dyDescent="0.15">
      <c r="C100" t="s">
        <v>641</v>
      </c>
      <c r="E100" t="s">
        <v>15</v>
      </c>
      <c r="K100" s="5"/>
      <c r="W100" s="5"/>
      <c r="AM100" s="5"/>
      <c r="AQ100" s="5"/>
    </row>
    <row r="101" spans="1:46" x14ac:dyDescent="0.15">
      <c r="A101" t="s">
        <v>3</v>
      </c>
      <c r="C101" t="s">
        <v>600</v>
      </c>
      <c r="E101" t="s">
        <v>3</v>
      </c>
      <c r="G101" t="s">
        <v>4</v>
      </c>
      <c r="I101" t="s">
        <v>3</v>
      </c>
      <c r="K101" t="s">
        <v>601</v>
      </c>
      <c r="M101" t="s">
        <v>3</v>
      </c>
      <c r="O101" t="s">
        <v>601</v>
      </c>
      <c r="Q101" t="s">
        <v>3</v>
      </c>
      <c r="S101" t="s">
        <v>601</v>
      </c>
      <c r="U101" t="s">
        <v>3</v>
      </c>
      <c r="W101" t="s">
        <v>4</v>
      </c>
      <c r="Y101" t="s">
        <v>3</v>
      </c>
      <c r="AA101" t="s">
        <v>4</v>
      </c>
      <c r="AC101" t="s">
        <v>3</v>
      </c>
      <c r="AE101" t="s">
        <v>4</v>
      </c>
      <c r="AG101" t="s">
        <v>3</v>
      </c>
      <c r="AI101" t="s">
        <v>4</v>
      </c>
      <c r="AK101" t="s">
        <v>3</v>
      </c>
      <c r="AM101" t="s">
        <v>4</v>
      </c>
      <c r="AO101" t="s">
        <v>3</v>
      </c>
      <c r="AQ101" t="s">
        <v>4</v>
      </c>
      <c r="AS101" t="s">
        <v>3</v>
      </c>
      <c r="AT101" s="3" t="s">
        <v>5</v>
      </c>
    </row>
    <row r="102" spans="1:46" x14ac:dyDescent="0.15">
      <c r="A102" t="s">
        <v>3</v>
      </c>
      <c r="E102" t="s">
        <v>3</v>
      </c>
      <c r="I102" t="s">
        <v>3</v>
      </c>
      <c r="K102" s="1" t="s">
        <v>209</v>
      </c>
      <c r="M102" t="s">
        <v>3</v>
      </c>
      <c r="O102" s="3" t="s">
        <v>209</v>
      </c>
      <c r="P102" s="4"/>
      <c r="Q102" t="s">
        <v>3</v>
      </c>
      <c r="S102" s="3" t="s">
        <v>602</v>
      </c>
      <c r="T102" s="4"/>
      <c r="U102" t="s">
        <v>3</v>
      </c>
      <c r="W102" s="1" t="s">
        <v>209</v>
      </c>
      <c r="Y102" t="s">
        <v>3</v>
      </c>
      <c r="AA102" s="3" t="s">
        <v>209</v>
      </c>
      <c r="AB102" s="4"/>
      <c r="AC102" t="s">
        <v>3</v>
      </c>
      <c r="AE102" s="3" t="s">
        <v>209</v>
      </c>
      <c r="AF102" s="4"/>
      <c r="AG102" t="s">
        <v>3</v>
      </c>
      <c r="AI102" t="s">
        <v>209</v>
      </c>
      <c r="AK102" t="s">
        <v>3</v>
      </c>
      <c r="AM102" s="2" t="s">
        <v>209</v>
      </c>
      <c r="AO102" t="s">
        <v>3</v>
      </c>
      <c r="AQ102" s="1" t="s">
        <v>581</v>
      </c>
      <c r="AS102" t="s">
        <v>3</v>
      </c>
    </row>
    <row r="103" spans="1:46" x14ac:dyDescent="0.15">
      <c r="A103" t="s">
        <v>3</v>
      </c>
      <c r="C103" t="s">
        <v>603</v>
      </c>
      <c r="E103" t="s">
        <v>3</v>
      </c>
      <c r="G103" t="s">
        <v>7</v>
      </c>
      <c r="I103" t="s">
        <v>3</v>
      </c>
      <c r="K103" s="1" t="s">
        <v>604</v>
      </c>
      <c r="M103" t="s">
        <v>3</v>
      </c>
      <c r="O103" t="s">
        <v>21</v>
      </c>
      <c r="Q103" t="s">
        <v>3</v>
      </c>
      <c r="S103" t="s">
        <v>605</v>
      </c>
      <c r="U103" t="s">
        <v>3</v>
      </c>
      <c r="W103" s="1" t="s">
        <v>11</v>
      </c>
      <c r="Y103" t="s">
        <v>3</v>
      </c>
      <c r="AA103" t="s">
        <v>12</v>
      </c>
      <c r="AC103" t="s">
        <v>3</v>
      </c>
      <c r="AE103" t="s">
        <v>13</v>
      </c>
      <c r="AG103" t="s">
        <v>3</v>
      </c>
      <c r="AI103" t="s">
        <v>14</v>
      </c>
      <c r="AK103" t="s">
        <v>3</v>
      </c>
      <c r="AM103" s="2" t="s">
        <v>15</v>
      </c>
      <c r="AO103" t="s">
        <v>3</v>
      </c>
      <c r="AQ103" s="1" t="s">
        <v>606</v>
      </c>
      <c r="AS103" t="s">
        <v>3</v>
      </c>
    </row>
    <row r="104" spans="1:46" x14ac:dyDescent="0.15">
      <c r="A104" t="s">
        <v>3</v>
      </c>
      <c r="C104" t="s">
        <v>623</v>
      </c>
      <c r="E104" t="s">
        <v>3</v>
      </c>
      <c r="G104">
        <v>98</v>
      </c>
      <c r="I104" t="s">
        <v>3</v>
      </c>
      <c r="K104">
        <v>10</v>
      </c>
      <c r="M104" t="s">
        <v>3</v>
      </c>
      <c r="O104">
        <v>7</v>
      </c>
      <c r="Q104" t="s">
        <v>3</v>
      </c>
      <c r="S104">
        <v>6</v>
      </c>
      <c r="U104" t="s">
        <v>3</v>
      </c>
      <c r="W104">
        <v>1</v>
      </c>
      <c r="Y104" t="s">
        <v>3</v>
      </c>
      <c r="AA104">
        <v>0</v>
      </c>
      <c r="AC104" t="s">
        <v>3</v>
      </c>
      <c r="AE104">
        <v>0</v>
      </c>
      <c r="AG104" t="s">
        <v>3</v>
      </c>
      <c r="AI104">
        <v>1</v>
      </c>
      <c r="AK104" t="s">
        <v>3</v>
      </c>
      <c r="AM104">
        <v>3</v>
      </c>
      <c r="AO104" t="s">
        <v>3</v>
      </c>
      <c r="AQ104">
        <v>5</v>
      </c>
      <c r="AS104" t="s">
        <v>3</v>
      </c>
    </row>
    <row r="105" spans="1:46" x14ac:dyDescent="0.15">
      <c r="A105" t="s">
        <v>3</v>
      </c>
      <c r="C105" t="s">
        <v>625</v>
      </c>
      <c r="E105" t="s">
        <v>3</v>
      </c>
      <c r="G105">
        <v>109</v>
      </c>
      <c r="I105" t="s">
        <v>3</v>
      </c>
      <c r="K105">
        <v>7</v>
      </c>
      <c r="M105" t="s">
        <v>3</v>
      </c>
      <c r="O105">
        <v>4</v>
      </c>
      <c r="Q105" t="s">
        <v>3</v>
      </c>
      <c r="S105">
        <v>5</v>
      </c>
      <c r="U105" t="s">
        <v>3</v>
      </c>
      <c r="W105">
        <v>3</v>
      </c>
      <c r="Y105" t="s">
        <v>3</v>
      </c>
      <c r="AA105">
        <v>0</v>
      </c>
      <c r="AC105" t="s">
        <v>3</v>
      </c>
      <c r="AE105">
        <v>0</v>
      </c>
      <c r="AG105" t="s">
        <v>3</v>
      </c>
      <c r="AI105">
        <v>2</v>
      </c>
      <c r="AK105" t="s">
        <v>3</v>
      </c>
      <c r="AM105">
        <v>4</v>
      </c>
      <c r="AO105" t="s">
        <v>3</v>
      </c>
      <c r="AQ105">
        <v>9</v>
      </c>
      <c r="AS105" t="s">
        <v>3</v>
      </c>
    </row>
    <row r="106" spans="1:46" x14ac:dyDescent="0.15">
      <c r="A106" t="s">
        <v>3</v>
      </c>
      <c r="C106" t="s">
        <v>624</v>
      </c>
      <c r="E106" t="s">
        <v>3</v>
      </c>
      <c r="G106">
        <v>109</v>
      </c>
      <c r="I106" t="s">
        <v>3</v>
      </c>
      <c r="K106">
        <v>4</v>
      </c>
      <c r="M106" t="s">
        <v>3</v>
      </c>
      <c r="O106">
        <v>10</v>
      </c>
      <c r="Q106" t="s">
        <v>3</v>
      </c>
      <c r="S106">
        <v>6</v>
      </c>
      <c r="U106" t="s">
        <v>3</v>
      </c>
      <c r="W106">
        <v>2</v>
      </c>
      <c r="Y106" t="s">
        <v>3</v>
      </c>
      <c r="AA106">
        <v>0</v>
      </c>
      <c r="AC106" t="s">
        <v>3</v>
      </c>
      <c r="AE106">
        <v>1</v>
      </c>
      <c r="AG106" t="s">
        <v>3</v>
      </c>
      <c r="AI106">
        <v>2</v>
      </c>
      <c r="AK106" t="s">
        <v>3</v>
      </c>
      <c r="AM106">
        <v>3</v>
      </c>
      <c r="AO106" t="s">
        <v>3</v>
      </c>
      <c r="AQ106">
        <v>8</v>
      </c>
      <c r="AS106" t="s">
        <v>3</v>
      </c>
    </row>
    <row r="107" spans="1:46" x14ac:dyDescent="0.15">
      <c r="A107" t="s">
        <v>3</v>
      </c>
      <c r="C107" t="s">
        <v>629</v>
      </c>
      <c r="E107" t="s">
        <v>3</v>
      </c>
      <c r="G107">
        <v>114</v>
      </c>
      <c r="I107" t="s">
        <v>3</v>
      </c>
      <c r="K107">
        <v>7</v>
      </c>
      <c r="M107" t="s">
        <v>3</v>
      </c>
      <c r="O107">
        <v>5</v>
      </c>
      <c r="Q107" t="s">
        <v>3</v>
      </c>
      <c r="S107">
        <v>5</v>
      </c>
      <c r="U107" t="s">
        <v>3</v>
      </c>
      <c r="W107">
        <v>0</v>
      </c>
      <c r="Y107" t="s">
        <v>3</v>
      </c>
      <c r="AA107">
        <v>0</v>
      </c>
      <c r="AC107" t="s">
        <v>3</v>
      </c>
      <c r="AE107">
        <v>0</v>
      </c>
      <c r="AG107" t="s">
        <v>3</v>
      </c>
      <c r="AI107">
        <v>3</v>
      </c>
      <c r="AK107" t="s">
        <v>3</v>
      </c>
      <c r="AM107">
        <v>3</v>
      </c>
      <c r="AO107" t="s">
        <v>3</v>
      </c>
      <c r="AQ107">
        <v>6</v>
      </c>
      <c r="AS107" t="s">
        <v>3</v>
      </c>
    </row>
    <row r="108" spans="1:46" x14ac:dyDescent="0.15">
      <c r="A108" t="s">
        <v>3</v>
      </c>
      <c r="C108" t="s">
        <v>630</v>
      </c>
      <c r="E108" t="s">
        <v>3</v>
      </c>
      <c r="I108" t="s">
        <v>3</v>
      </c>
      <c r="K108"/>
      <c r="M108" t="s">
        <v>3</v>
      </c>
      <c r="Q108" t="s">
        <v>3</v>
      </c>
      <c r="U108" t="s">
        <v>3</v>
      </c>
      <c r="W108"/>
      <c r="Y108" t="s">
        <v>3</v>
      </c>
      <c r="AC108" t="s">
        <v>3</v>
      </c>
      <c r="AG108" t="s">
        <v>3</v>
      </c>
      <c r="AK108" t="s">
        <v>3</v>
      </c>
      <c r="AM108"/>
      <c r="AO108" t="s">
        <v>3</v>
      </c>
      <c r="AQ108"/>
      <c r="AS108" t="s">
        <v>3</v>
      </c>
    </row>
    <row r="109" spans="1:46" x14ac:dyDescent="0.15">
      <c r="A109" t="s">
        <v>3</v>
      </c>
      <c r="C109" t="s">
        <v>631</v>
      </c>
      <c r="E109" t="s">
        <v>3</v>
      </c>
      <c r="G109">
        <v>130</v>
      </c>
      <c r="I109" t="s">
        <v>3</v>
      </c>
      <c r="K109">
        <v>6</v>
      </c>
      <c r="M109" t="s">
        <v>3</v>
      </c>
      <c r="O109">
        <v>5</v>
      </c>
      <c r="Q109" t="s">
        <v>3</v>
      </c>
      <c r="S109">
        <v>4</v>
      </c>
      <c r="U109" t="s">
        <v>3</v>
      </c>
      <c r="W109">
        <v>4</v>
      </c>
      <c r="Y109" t="s">
        <v>3</v>
      </c>
      <c r="AA109">
        <v>0</v>
      </c>
      <c r="AC109" t="s">
        <v>3</v>
      </c>
      <c r="AE109">
        <v>0</v>
      </c>
      <c r="AG109" t="s">
        <v>3</v>
      </c>
      <c r="AI109">
        <v>0</v>
      </c>
      <c r="AK109" t="s">
        <v>3</v>
      </c>
      <c r="AM109">
        <v>2</v>
      </c>
      <c r="AO109" t="s">
        <v>3</v>
      </c>
      <c r="AQ109">
        <v>6</v>
      </c>
      <c r="AS109" t="s">
        <v>3</v>
      </c>
    </row>
    <row r="110" spans="1:46" x14ac:dyDescent="0.15">
      <c r="A110" t="s">
        <v>3</v>
      </c>
      <c r="C110" t="s">
        <v>636</v>
      </c>
      <c r="E110" t="s">
        <v>3</v>
      </c>
      <c r="G110">
        <v>105</v>
      </c>
      <c r="I110" t="s">
        <v>3</v>
      </c>
      <c r="K110">
        <v>5</v>
      </c>
      <c r="M110" t="s">
        <v>3</v>
      </c>
      <c r="O110">
        <v>8</v>
      </c>
      <c r="Q110" t="s">
        <v>3</v>
      </c>
      <c r="S110">
        <v>6</v>
      </c>
      <c r="U110" t="s">
        <v>3</v>
      </c>
      <c r="W110">
        <v>0</v>
      </c>
      <c r="Y110" t="s">
        <v>3</v>
      </c>
      <c r="AA110">
        <v>3</v>
      </c>
      <c r="AC110" t="s">
        <v>3</v>
      </c>
      <c r="AE110">
        <v>0</v>
      </c>
      <c r="AG110" t="s">
        <v>3</v>
      </c>
      <c r="AI110">
        <v>0</v>
      </c>
      <c r="AK110" t="s">
        <v>3</v>
      </c>
      <c r="AM110">
        <v>3</v>
      </c>
      <c r="AO110" t="s">
        <v>3</v>
      </c>
      <c r="AQ110">
        <v>6</v>
      </c>
      <c r="AS110" t="s">
        <v>3</v>
      </c>
    </row>
    <row r="111" spans="1:46" x14ac:dyDescent="0.15">
      <c r="A111" t="s">
        <v>3</v>
      </c>
      <c r="C111" t="s">
        <v>637</v>
      </c>
      <c r="E111" t="s">
        <v>3</v>
      </c>
      <c r="G111">
        <v>115</v>
      </c>
      <c r="I111" t="s">
        <v>3</v>
      </c>
      <c r="K111">
        <v>5</v>
      </c>
      <c r="M111" t="s">
        <v>3</v>
      </c>
      <c r="O111">
        <v>6</v>
      </c>
      <c r="Q111" t="s">
        <v>3</v>
      </c>
      <c r="S111">
        <v>5</v>
      </c>
      <c r="U111" t="s">
        <v>3</v>
      </c>
      <c r="W111">
        <v>0</v>
      </c>
      <c r="Y111" t="s">
        <v>3</v>
      </c>
      <c r="AA111">
        <v>3</v>
      </c>
      <c r="AC111" t="s">
        <v>3</v>
      </c>
      <c r="AE111">
        <v>0</v>
      </c>
      <c r="AG111" t="s">
        <v>3</v>
      </c>
      <c r="AI111">
        <v>0</v>
      </c>
      <c r="AK111" t="s">
        <v>3</v>
      </c>
      <c r="AM111">
        <v>4</v>
      </c>
      <c r="AO111" t="s">
        <v>3</v>
      </c>
      <c r="AQ111">
        <v>7</v>
      </c>
      <c r="AS111" t="s">
        <v>3</v>
      </c>
    </row>
    <row r="112" spans="1:46" x14ac:dyDescent="0.15">
      <c r="A112" t="s">
        <v>3</v>
      </c>
      <c r="C112" t="s">
        <v>639</v>
      </c>
      <c r="E112" t="s">
        <v>3</v>
      </c>
      <c r="G112">
        <v>111.428571428571</v>
      </c>
      <c r="I112" t="s">
        <v>3</v>
      </c>
      <c r="K112" s="1">
        <v>6.28571428571429</v>
      </c>
      <c r="M112" t="s">
        <v>3</v>
      </c>
      <c r="O112">
        <v>6.4285714285714297</v>
      </c>
      <c r="Q112" t="s">
        <v>3</v>
      </c>
      <c r="S112">
        <v>5.28571428571429</v>
      </c>
      <c r="U112" t="s">
        <v>3</v>
      </c>
      <c r="W112" s="1">
        <v>1.4285714285714299</v>
      </c>
      <c r="Y112" t="s">
        <v>3</v>
      </c>
      <c r="AA112">
        <v>0.85714285714285698</v>
      </c>
      <c r="AC112" t="s">
        <v>3</v>
      </c>
      <c r="AE112">
        <v>0.14285714285714299</v>
      </c>
      <c r="AG112" t="s">
        <v>3</v>
      </c>
      <c r="AI112">
        <v>1.1428571428571399</v>
      </c>
      <c r="AK112" t="s">
        <v>3</v>
      </c>
      <c r="AM112" s="2">
        <v>3.1428571428571401</v>
      </c>
      <c r="AO112" t="s">
        <v>3</v>
      </c>
      <c r="AQ112" s="1">
        <v>6.71428571428571</v>
      </c>
      <c r="AS112" t="s">
        <v>3</v>
      </c>
    </row>
    <row r="114" spans="1:48" x14ac:dyDescent="0.15">
      <c r="C114" t="s">
        <v>641</v>
      </c>
      <c r="E114" t="s">
        <v>642</v>
      </c>
      <c r="K114" s="5"/>
      <c r="W114" s="5"/>
      <c r="AM114" s="5"/>
      <c r="AQ114" s="5"/>
    </row>
    <row r="115" spans="1:48" x14ac:dyDescent="0.15">
      <c r="A115" t="s">
        <v>3</v>
      </c>
      <c r="C115" t="s">
        <v>600</v>
      </c>
      <c r="E115" t="s">
        <v>3</v>
      </c>
      <c r="G115" t="s">
        <v>4</v>
      </c>
      <c r="I115" t="s">
        <v>3</v>
      </c>
      <c r="K115" t="s">
        <v>601</v>
      </c>
      <c r="M115" t="s">
        <v>3</v>
      </c>
      <c r="O115" t="s">
        <v>601</v>
      </c>
      <c r="Q115" t="s">
        <v>3</v>
      </c>
      <c r="S115" t="s">
        <v>601</v>
      </c>
      <c r="U115" t="s">
        <v>3</v>
      </c>
      <c r="W115" t="s">
        <v>4</v>
      </c>
      <c r="Y115" t="s">
        <v>3</v>
      </c>
      <c r="AA115" t="s">
        <v>4</v>
      </c>
      <c r="AC115" t="s">
        <v>3</v>
      </c>
      <c r="AE115" t="s">
        <v>4</v>
      </c>
      <c r="AG115" t="s">
        <v>3</v>
      </c>
      <c r="AI115" t="s">
        <v>4</v>
      </c>
      <c r="AK115" t="s">
        <v>3</v>
      </c>
      <c r="AM115" t="s">
        <v>4</v>
      </c>
      <c r="AO115" t="s">
        <v>3</v>
      </c>
      <c r="AQ115" t="s">
        <v>4</v>
      </c>
      <c r="AS115" t="s">
        <v>3</v>
      </c>
      <c r="AT115" t="s">
        <v>4</v>
      </c>
      <c r="AU115" t="s">
        <v>3</v>
      </c>
      <c r="AV115" s="3" t="s">
        <v>5</v>
      </c>
    </row>
    <row r="116" spans="1:48" x14ac:dyDescent="0.15">
      <c r="A116" t="s">
        <v>3</v>
      </c>
      <c r="E116" t="s">
        <v>3</v>
      </c>
      <c r="I116" t="s">
        <v>3</v>
      </c>
      <c r="K116" s="1" t="s">
        <v>209</v>
      </c>
      <c r="M116" t="s">
        <v>3</v>
      </c>
      <c r="O116" s="3" t="s">
        <v>209</v>
      </c>
      <c r="P116" s="4"/>
      <c r="Q116" t="s">
        <v>3</v>
      </c>
      <c r="S116" s="3" t="s">
        <v>602</v>
      </c>
      <c r="T116" s="4"/>
      <c r="U116" t="s">
        <v>3</v>
      </c>
      <c r="W116" s="1" t="s">
        <v>209</v>
      </c>
      <c r="Y116" t="s">
        <v>3</v>
      </c>
      <c r="AA116" s="3" t="s">
        <v>209</v>
      </c>
      <c r="AB116" s="4"/>
      <c r="AC116" t="s">
        <v>3</v>
      </c>
      <c r="AE116" s="3" t="s">
        <v>209</v>
      </c>
      <c r="AF116" s="4"/>
      <c r="AG116" t="s">
        <v>3</v>
      </c>
      <c r="AI116" t="s">
        <v>209</v>
      </c>
      <c r="AK116" t="s">
        <v>3</v>
      </c>
      <c r="AM116" s="2" t="s">
        <v>209</v>
      </c>
      <c r="AO116" t="s">
        <v>3</v>
      </c>
      <c r="AQ116" s="2" t="s">
        <v>209</v>
      </c>
      <c r="AS116" t="s">
        <v>3</v>
      </c>
      <c r="AT116" s="1" t="s">
        <v>581</v>
      </c>
      <c r="AU116" t="s">
        <v>3</v>
      </c>
    </row>
    <row r="117" spans="1:48" x14ac:dyDescent="0.15">
      <c r="A117" t="s">
        <v>3</v>
      </c>
      <c r="C117" t="s">
        <v>603</v>
      </c>
      <c r="E117" t="s">
        <v>3</v>
      </c>
      <c r="G117" t="s">
        <v>7</v>
      </c>
      <c r="I117" t="s">
        <v>3</v>
      </c>
      <c r="K117" s="1" t="s">
        <v>604</v>
      </c>
      <c r="M117" t="s">
        <v>3</v>
      </c>
      <c r="O117" t="s">
        <v>21</v>
      </c>
      <c r="Q117" t="s">
        <v>3</v>
      </c>
      <c r="S117" t="s">
        <v>605</v>
      </c>
      <c r="U117" t="s">
        <v>3</v>
      </c>
      <c r="W117" s="1" t="s">
        <v>11</v>
      </c>
      <c r="Y117" t="s">
        <v>3</v>
      </c>
      <c r="AA117" t="s">
        <v>12</v>
      </c>
      <c r="AC117" t="s">
        <v>3</v>
      </c>
      <c r="AE117" t="s">
        <v>13</v>
      </c>
      <c r="AG117" t="s">
        <v>3</v>
      </c>
      <c r="AI117" t="s">
        <v>14</v>
      </c>
      <c r="AK117" t="s">
        <v>3</v>
      </c>
      <c r="AM117" s="2" t="s">
        <v>15</v>
      </c>
      <c r="AO117" t="s">
        <v>3</v>
      </c>
      <c r="AQ117" s="2" t="s">
        <v>643</v>
      </c>
      <c r="AS117" t="s">
        <v>3</v>
      </c>
      <c r="AT117" s="1" t="s">
        <v>606</v>
      </c>
      <c r="AU117" t="s">
        <v>3</v>
      </c>
    </row>
    <row r="118" spans="1:48" x14ac:dyDescent="0.15">
      <c r="A118" t="s">
        <v>3</v>
      </c>
      <c r="C118" t="s">
        <v>626</v>
      </c>
      <c r="E118" t="s">
        <v>3</v>
      </c>
      <c r="G118">
        <v>114</v>
      </c>
      <c r="I118" t="s">
        <v>3</v>
      </c>
      <c r="K118">
        <v>5</v>
      </c>
      <c r="M118" t="s">
        <v>3</v>
      </c>
      <c r="O118">
        <v>8</v>
      </c>
      <c r="Q118" t="s">
        <v>3</v>
      </c>
      <c r="S118">
        <v>5</v>
      </c>
      <c r="U118" t="s">
        <v>3</v>
      </c>
      <c r="W118">
        <v>3</v>
      </c>
      <c r="Y118" t="s">
        <v>3</v>
      </c>
      <c r="AA118">
        <v>3</v>
      </c>
      <c r="AC118" t="s">
        <v>3</v>
      </c>
      <c r="AE118">
        <v>0</v>
      </c>
      <c r="AG118" t="s">
        <v>3</v>
      </c>
      <c r="AI118">
        <v>0</v>
      </c>
      <c r="AK118" t="s">
        <v>3</v>
      </c>
      <c r="AM118">
        <v>0</v>
      </c>
      <c r="AO118" t="s">
        <v>3</v>
      </c>
      <c r="AQ118">
        <v>3</v>
      </c>
      <c r="AS118" t="s">
        <v>3</v>
      </c>
      <c r="AT118">
        <v>6</v>
      </c>
      <c r="AU118" t="s">
        <v>3</v>
      </c>
    </row>
    <row r="119" spans="1:48" x14ac:dyDescent="0.15">
      <c r="A119" t="s">
        <v>3</v>
      </c>
      <c r="C119" t="s">
        <v>627</v>
      </c>
      <c r="E119" t="s">
        <v>3</v>
      </c>
      <c r="G119">
        <v>104</v>
      </c>
      <c r="I119" t="s">
        <v>3</v>
      </c>
      <c r="K119">
        <v>6</v>
      </c>
      <c r="M119" t="s">
        <v>3</v>
      </c>
      <c r="O119">
        <v>5</v>
      </c>
      <c r="Q119" t="s">
        <v>3</v>
      </c>
      <c r="S119">
        <v>6</v>
      </c>
      <c r="U119" t="s">
        <v>3</v>
      </c>
      <c r="W119">
        <v>2</v>
      </c>
      <c r="Y119" t="s">
        <v>3</v>
      </c>
      <c r="AA119">
        <v>3</v>
      </c>
      <c r="AC119" t="s">
        <v>3</v>
      </c>
      <c r="AE119">
        <v>3</v>
      </c>
      <c r="AG119" t="s">
        <v>3</v>
      </c>
      <c r="AI119">
        <v>1</v>
      </c>
      <c r="AK119" t="s">
        <v>3</v>
      </c>
      <c r="AM119">
        <v>0</v>
      </c>
      <c r="AO119" t="s">
        <v>3</v>
      </c>
      <c r="AQ119">
        <v>3</v>
      </c>
      <c r="AS119" t="s">
        <v>3</v>
      </c>
      <c r="AT119">
        <v>9</v>
      </c>
      <c r="AU119" t="s">
        <v>3</v>
      </c>
    </row>
    <row r="120" spans="1:48" x14ac:dyDescent="0.15">
      <c r="A120" t="s">
        <v>3</v>
      </c>
      <c r="C120" t="s">
        <v>628</v>
      </c>
      <c r="E120" t="s">
        <v>3</v>
      </c>
      <c r="G120">
        <v>119</v>
      </c>
      <c r="I120" t="s">
        <v>3</v>
      </c>
      <c r="K120">
        <v>9</v>
      </c>
      <c r="M120" t="s">
        <v>3</v>
      </c>
      <c r="O120">
        <v>7</v>
      </c>
      <c r="Q120" t="s">
        <v>3</v>
      </c>
      <c r="S120">
        <v>6</v>
      </c>
      <c r="U120" t="s">
        <v>3</v>
      </c>
      <c r="W120">
        <v>1</v>
      </c>
      <c r="Y120" t="s">
        <v>3</v>
      </c>
      <c r="AA120">
        <v>1</v>
      </c>
      <c r="AC120" t="s">
        <v>3</v>
      </c>
      <c r="AE120">
        <v>2</v>
      </c>
      <c r="AG120" t="s">
        <v>3</v>
      </c>
      <c r="AI120">
        <v>2</v>
      </c>
      <c r="AK120" t="s">
        <v>3</v>
      </c>
      <c r="AM120">
        <v>1</v>
      </c>
      <c r="AO120" t="s">
        <v>3</v>
      </c>
      <c r="AQ120">
        <v>2</v>
      </c>
      <c r="AS120" t="s">
        <v>3</v>
      </c>
      <c r="AT120">
        <v>7</v>
      </c>
      <c r="AU120" t="s">
        <v>3</v>
      </c>
    </row>
    <row r="121" spans="1:48" x14ac:dyDescent="0.15">
      <c r="A121" t="s">
        <v>3</v>
      </c>
      <c r="C121" t="s">
        <v>629</v>
      </c>
      <c r="E121" t="s">
        <v>3</v>
      </c>
      <c r="G121">
        <v>114</v>
      </c>
      <c r="I121" t="s">
        <v>3</v>
      </c>
      <c r="K121">
        <v>7</v>
      </c>
      <c r="M121" t="s">
        <v>3</v>
      </c>
      <c r="O121">
        <v>5</v>
      </c>
      <c r="Q121" t="s">
        <v>3</v>
      </c>
      <c r="S121">
        <v>5</v>
      </c>
      <c r="U121" t="s">
        <v>3</v>
      </c>
      <c r="W121">
        <v>0</v>
      </c>
      <c r="Y121" t="s">
        <v>3</v>
      </c>
      <c r="AA121">
        <v>0</v>
      </c>
      <c r="AC121" t="s">
        <v>3</v>
      </c>
      <c r="AE121">
        <v>0</v>
      </c>
      <c r="AG121" t="s">
        <v>3</v>
      </c>
      <c r="AI121">
        <v>3</v>
      </c>
      <c r="AK121" t="s">
        <v>3</v>
      </c>
      <c r="AM121">
        <v>3</v>
      </c>
      <c r="AO121" t="s">
        <v>3</v>
      </c>
      <c r="AQ121">
        <v>3</v>
      </c>
      <c r="AS121" t="s">
        <v>3</v>
      </c>
      <c r="AT121">
        <v>6</v>
      </c>
      <c r="AU121" t="s">
        <v>3</v>
      </c>
    </row>
    <row r="122" spans="1:48" x14ac:dyDescent="0.15">
      <c r="A122" t="s">
        <v>3</v>
      </c>
      <c r="C122" t="s">
        <v>630</v>
      </c>
      <c r="E122" t="s">
        <v>3</v>
      </c>
      <c r="I122" t="s">
        <v>3</v>
      </c>
      <c r="K122"/>
      <c r="M122" t="s">
        <v>3</v>
      </c>
      <c r="Q122" t="s">
        <v>3</v>
      </c>
      <c r="U122" t="s">
        <v>3</v>
      </c>
      <c r="W122"/>
      <c r="Y122" t="s">
        <v>3</v>
      </c>
      <c r="AC122" t="s">
        <v>3</v>
      </c>
      <c r="AG122" t="s">
        <v>3</v>
      </c>
      <c r="AK122" t="s">
        <v>3</v>
      </c>
      <c r="AM122"/>
      <c r="AO122" t="s">
        <v>3</v>
      </c>
      <c r="AQ122"/>
      <c r="AS122" t="s">
        <v>3</v>
      </c>
      <c r="AU122" t="s">
        <v>3</v>
      </c>
    </row>
    <row r="123" spans="1:48" x14ac:dyDescent="0.15">
      <c r="A123" t="s">
        <v>3</v>
      </c>
      <c r="C123" t="s">
        <v>631</v>
      </c>
      <c r="E123" t="s">
        <v>3</v>
      </c>
      <c r="G123">
        <v>130</v>
      </c>
      <c r="I123" t="s">
        <v>3</v>
      </c>
      <c r="K123">
        <v>6</v>
      </c>
      <c r="M123" t="s">
        <v>3</v>
      </c>
      <c r="O123">
        <v>5</v>
      </c>
      <c r="Q123" t="s">
        <v>3</v>
      </c>
      <c r="S123">
        <v>4</v>
      </c>
      <c r="U123" t="s">
        <v>3</v>
      </c>
      <c r="W123">
        <v>4</v>
      </c>
      <c r="Y123" t="s">
        <v>3</v>
      </c>
      <c r="AA123">
        <v>0</v>
      </c>
      <c r="AC123" t="s">
        <v>3</v>
      </c>
      <c r="AE123">
        <v>0</v>
      </c>
      <c r="AG123" t="s">
        <v>3</v>
      </c>
      <c r="AI123">
        <v>0</v>
      </c>
      <c r="AK123" t="s">
        <v>3</v>
      </c>
      <c r="AM123">
        <v>2</v>
      </c>
      <c r="AO123" t="s">
        <v>3</v>
      </c>
      <c r="AQ123">
        <v>3</v>
      </c>
      <c r="AS123" t="s">
        <v>3</v>
      </c>
      <c r="AT123">
        <v>6</v>
      </c>
      <c r="AU123" t="s">
        <v>3</v>
      </c>
    </row>
    <row r="124" spans="1:48" x14ac:dyDescent="0.15">
      <c r="A124" t="s">
        <v>3</v>
      </c>
      <c r="C124" t="s">
        <v>632</v>
      </c>
      <c r="E124" t="s">
        <v>3</v>
      </c>
      <c r="G124">
        <v>82</v>
      </c>
      <c r="I124" t="s">
        <v>3</v>
      </c>
      <c r="K124">
        <v>10</v>
      </c>
      <c r="M124" t="s">
        <v>3</v>
      </c>
      <c r="O124">
        <v>5</v>
      </c>
      <c r="Q124" t="s">
        <v>3</v>
      </c>
      <c r="S124">
        <v>5</v>
      </c>
      <c r="U124" t="s">
        <v>3</v>
      </c>
      <c r="W124">
        <v>4</v>
      </c>
      <c r="Y124" t="s">
        <v>3</v>
      </c>
      <c r="AA124">
        <v>0</v>
      </c>
      <c r="AC124" t="s">
        <v>3</v>
      </c>
      <c r="AE124">
        <v>4</v>
      </c>
      <c r="AG124" t="s">
        <v>3</v>
      </c>
      <c r="AI124">
        <v>0</v>
      </c>
      <c r="AK124" t="s">
        <v>3</v>
      </c>
      <c r="AM124">
        <v>0</v>
      </c>
      <c r="AO124" t="s">
        <v>3</v>
      </c>
      <c r="AQ124">
        <v>4</v>
      </c>
      <c r="AS124" t="s">
        <v>3</v>
      </c>
      <c r="AT124">
        <v>8</v>
      </c>
      <c r="AU124" t="s">
        <v>3</v>
      </c>
    </row>
    <row r="125" spans="1:48" x14ac:dyDescent="0.15">
      <c r="A125" t="s">
        <v>3</v>
      </c>
      <c r="C125" t="s">
        <v>633</v>
      </c>
      <c r="E125" t="s">
        <v>3</v>
      </c>
      <c r="G125">
        <v>118</v>
      </c>
      <c r="I125" t="s">
        <v>3</v>
      </c>
      <c r="K125">
        <v>8</v>
      </c>
      <c r="M125" t="s">
        <v>3</v>
      </c>
      <c r="O125">
        <v>7</v>
      </c>
      <c r="Q125" t="s">
        <v>3</v>
      </c>
      <c r="S125">
        <v>7</v>
      </c>
      <c r="U125" t="s">
        <v>3</v>
      </c>
      <c r="W125">
        <v>1</v>
      </c>
      <c r="Y125" t="s">
        <v>3</v>
      </c>
      <c r="AA125">
        <v>4</v>
      </c>
      <c r="AC125" t="s">
        <v>3</v>
      </c>
      <c r="AE125">
        <v>1</v>
      </c>
      <c r="AG125" t="s">
        <v>3</v>
      </c>
      <c r="AI125">
        <v>4</v>
      </c>
      <c r="AK125" t="s">
        <v>3</v>
      </c>
      <c r="AM125">
        <v>1</v>
      </c>
      <c r="AO125" t="s">
        <v>3</v>
      </c>
      <c r="AQ125">
        <v>4</v>
      </c>
      <c r="AS125" t="s">
        <v>3</v>
      </c>
      <c r="AT125">
        <v>11</v>
      </c>
      <c r="AU125" t="s">
        <v>3</v>
      </c>
    </row>
    <row r="126" spans="1:48" x14ac:dyDescent="0.15">
      <c r="A126" t="s">
        <v>3</v>
      </c>
      <c r="C126" t="s">
        <v>634</v>
      </c>
      <c r="E126" t="s">
        <v>3</v>
      </c>
      <c r="G126">
        <v>119</v>
      </c>
      <c r="I126" t="s">
        <v>3</v>
      </c>
      <c r="K126">
        <v>9</v>
      </c>
      <c r="M126" t="s">
        <v>3</v>
      </c>
      <c r="O126">
        <v>6</v>
      </c>
      <c r="Q126" t="s">
        <v>3</v>
      </c>
      <c r="S126">
        <v>5</v>
      </c>
      <c r="U126" t="s">
        <v>3</v>
      </c>
      <c r="W126">
        <v>3</v>
      </c>
      <c r="Y126" t="s">
        <v>3</v>
      </c>
      <c r="AA126">
        <v>1</v>
      </c>
      <c r="AC126" t="s">
        <v>3</v>
      </c>
      <c r="AE126">
        <v>0</v>
      </c>
      <c r="AG126" t="s">
        <v>3</v>
      </c>
      <c r="AI126">
        <v>2</v>
      </c>
      <c r="AK126" t="s">
        <v>3</v>
      </c>
      <c r="AM126">
        <v>2</v>
      </c>
      <c r="AO126" t="s">
        <v>3</v>
      </c>
      <c r="AQ126">
        <v>2.5</v>
      </c>
      <c r="AS126" t="s">
        <v>3</v>
      </c>
      <c r="AT126">
        <v>8</v>
      </c>
      <c r="AU126" t="s">
        <v>3</v>
      </c>
    </row>
    <row r="127" spans="1:48" x14ac:dyDescent="0.15">
      <c r="A127" t="s">
        <v>3</v>
      </c>
      <c r="C127" t="s">
        <v>635</v>
      </c>
      <c r="E127" t="s">
        <v>3</v>
      </c>
      <c r="G127">
        <v>102</v>
      </c>
      <c r="I127" t="s">
        <v>3</v>
      </c>
      <c r="K127">
        <v>9</v>
      </c>
      <c r="M127" t="s">
        <v>3</v>
      </c>
      <c r="O127">
        <v>4</v>
      </c>
      <c r="Q127" t="s">
        <v>3</v>
      </c>
      <c r="S127">
        <v>4</v>
      </c>
      <c r="U127" t="s">
        <v>3</v>
      </c>
      <c r="W127">
        <v>4</v>
      </c>
      <c r="Y127" t="s">
        <v>3</v>
      </c>
      <c r="AA127">
        <v>0</v>
      </c>
      <c r="AC127" t="s">
        <v>3</v>
      </c>
      <c r="AE127">
        <v>-1</v>
      </c>
      <c r="AG127" t="s">
        <v>3</v>
      </c>
      <c r="AI127">
        <v>4</v>
      </c>
      <c r="AK127" t="s">
        <v>3</v>
      </c>
      <c r="AM127">
        <v>0</v>
      </c>
      <c r="AO127" t="s">
        <v>3</v>
      </c>
      <c r="AQ127">
        <v>4</v>
      </c>
      <c r="AS127" t="s">
        <v>3</v>
      </c>
      <c r="AT127">
        <v>7</v>
      </c>
      <c r="AU127" t="s">
        <v>3</v>
      </c>
    </row>
    <row r="128" spans="1:48" x14ac:dyDescent="0.15">
      <c r="A128" t="s">
        <v>3</v>
      </c>
      <c r="C128" t="s">
        <v>636</v>
      </c>
      <c r="E128" t="s">
        <v>3</v>
      </c>
      <c r="G128">
        <v>105</v>
      </c>
      <c r="I128" t="s">
        <v>3</v>
      </c>
      <c r="K128">
        <v>5</v>
      </c>
      <c r="M128" t="s">
        <v>3</v>
      </c>
      <c r="O128">
        <v>8</v>
      </c>
      <c r="Q128" t="s">
        <v>3</v>
      </c>
      <c r="S128">
        <v>6</v>
      </c>
      <c r="U128" t="s">
        <v>3</v>
      </c>
      <c r="W128">
        <v>0</v>
      </c>
      <c r="Y128" t="s">
        <v>3</v>
      </c>
      <c r="AA128">
        <v>3</v>
      </c>
      <c r="AC128" t="s">
        <v>3</v>
      </c>
      <c r="AE128">
        <v>0</v>
      </c>
      <c r="AG128" t="s">
        <v>3</v>
      </c>
      <c r="AI128">
        <v>0</v>
      </c>
      <c r="AK128" t="s">
        <v>3</v>
      </c>
      <c r="AM128">
        <v>3</v>
      </c>
      <c r="AO128" t="s">
        <v>3</v>
      </c>
      <c r="AQ128">
        <v>3</v>
      </c>
      <c r="AS128" t="s">
        <v>3</v>
      </c>
      <c r="AT128">
        <v>6</v>
      </c>
      <c r="AU128" t="s">
        <v>3</v>
      </c>
    </row>
    <row r="129" spans="1:47" x14ac:dyDescent="0.15">
      <c r="A129" t="s">
        <v>3</v>
      </c>
      <c r="C129" t="s">
        <v>637</v>
      </c>
      <c r="E129" t="s">
        <v>3</v>
      </c>
      <c r="G129">
        <v>115</v>
      </c>
      <c r="I129" t="s">
        <v>3</v>
      </c>
      <c r="K129">
        <v>5</v>
      </c>
      <c r="M129" t="s">
        <v>3</v>
      </c>
      <c r="O129">
        <v>6</v>
      </c>
      <c r="Q129" t="s">
        <v>3</v>
      </c>
      <c r="S129">
        <v>5</v>
      </c>
      <c r="U129" t="s">
        <v>3</v>
      </c>
      <c r="W129">
        <v>0</v>
      </c>
      <c r="Y129" t="s">
        <v>3</v>
      </c>
      <c r="AA129">
        <v>3</v>
      </c>
      <c r="AC129" t="s">
        <v>3</v>
      </c>
      <c r="AE129">
        <v>0</v>
      </c>
      <c r="AG129" t="s">
        <v>3</v>
      </c>
      <c r="AI129">
        <v>0</v>
      </c>
      <c r="AK129" t="s">
        <v>3</v>
      </c>
      <c r="AM129">
        <v>4</v>
      </c>
      <c r="AO129" t="s">
        <v>3</v>
      </c>
      <c r="AQ129">
        <v>3.5</v>
      </c>
      <c r="AS129" t="s">
        <v>3</v>
      </c>
      <c r="AT129">
        <v>7</v>
      </c>
      <c r="AU129" t="s">
        <v>3</v>
      </c>
    </row>
    <row r="130" spans="1:47" x14ac:dyDescent="0.15">
      <c r="A130" t="s">
        <v>3</v>
      </c>
      <c r="C130" t="s">
        <v>639</v>
      </c>
      <c r="E130" t="s">
        <v>3</v>
      </c>
      <c r="G130">
        <v>111.09090909090899</v>
      </c>
      <c r="I130" t="s">
        <v>3</v>
      </c>
      <c r="K130" s="1">
        <v>7.1818181818181799</v>
      </c>
      <c r="M130" t="s">
        <v>3</v>
      </c>
      <c r="O130">
        <v>6</v>
      </c>
      <c r="Q130" t="s">
        <v>3</v>
      </c>
      <c r="S130">
        <v>5.2727272727272698</v>
      </c>
      <c r="U130" t="s">
        <v>3</v>
      </c>
      <c r="W130" s="1">
        <v>2</v>
      </c>
      <c r="Y130" t="s">
        <v>3</v>
      </c>
      <c r="AA130">
        <v>1.63636363636364</v>
      </c>
      <c r="AC130" t="s">
        <v>3</v>
      </c>
      <c r="AE130">
        <v>0.81818181818181801</v>
      </c>
      <c r="AG130" t="s">
        <v>3</v>
      </c>
      <c r="AI130">
        <v>1.4545454545454499</v>
      </c>
      <c r="AK130" t="s">
        <v>3</v>
      </c>
      <c r="AM130" s="2">
        <v>1.4545454545454499</v>
      </c>
      <c r="AO130" t="s">
        <v>3</v>
      </c>
      <c r="AQ130" s="2">
        <v>3.1818181818181799</v>
      </c>
      <c r="AS130" t="s">
        <v>3</v>
      </c>
      <c r="AT130" s="1">
        <v>7.3636363636363598</v>
      </c>
      <c r="AU130" t="s">
        <v>3</v>
      </c>
    </row>
  </sheetData>
  <phoneticPr fontId="4"/>
  <conditionalFormatting sqref="AT118:AT129">
    <cfRule type="top10" dxfId="141" priority="141" bottom="1" rank="1"/>
    <cfRule type="top10" dxfId="140" priority="142" rank="1"/>
  </conditionalFormatting>
  <conditionalFormatting sqref="G4:G37">
    <cfRule type="top10" dxfId="139" priority="21" bottom="1" rank="1"/>
    <cfRule type="top10" dxfId="138" priority="22" rank="1"/>
  </conditionalFormatting>
  <conditionalFormatting sqref="K32:K37 K4:K30">
    <cfRule type="top10" dxfId="137" priority="13" bottom="1" rank="1"/>
    <cfRule type="top10" dxfId="136" priority="14" rank="1"/>
  </conditionalFormatting>
  <conditionalFormatting sqref="O35:O37 O32:O33 O4:O30">
    <cfRule type="top10" dxfId="135" priority="11" bottom="1" rank="1"/>
    <cfRule type="top10" dxfId="134" priority="12" rank="1"/>
  </conditionalFormatting>
  <conditionalFormatting sqref="S32:S37 S4:S30">
    <cfRule type="top10" dxfId="133" priority="9" bottom="1" rank="1"/>
    <cfRule type="top10" dxfId="132" priority="10" rank="1"/>
  </conditionalFormatting>
  <conditionalFormatting sqref="W32:W37 W4:W30">
    <cfRule type="top10" dxfId="131" priority="7" bottom="1" rank="1"/>
    <cfRule type="top10" dxfId="130" priority="8" rank="1"/>
  </conditionalFormatting>
  <conditionalFormatting sqref="AA32:AA37 AA4:AA30">
    <cfRule type="top10" dxfId="129" priority="5" bottom="1" rank="1"/>
    <cfRule type="top10" dxfId="128" priority="6" rank="1"/>
  </conditionalFormatting>
  <conditionalFormatting sqref="AE32:AE37 AE4:AE30">
    <cfRule type="top10" dxfId="127" priority="19" bottom="1" rank="1"/>
    <cfRule type="top10" dxfId="126" priority="20" rank="1"/>
  </conditionalFormatting>
  <conditionalFormatting sqref="AI32:AI37 AI4:AI30">
    <cfRule type="top10" dxfId="125" priority="17" bottom="1" rank="1"/>
    <cfRule type="top10" dxfId="124" priority="18" rank="1"/>
  </conditionalFormatting>
  <conditionalFormatting sqref="AM32:AM37 AM4:AM30">
    <cfRule type="top10" dxfId="123" priority="15" bottom="1" rank="1"/>
    <cfRule type="top10" dxfId="122" priority="16" rank="1"/>
  </conditionalFormatting>
  <conditionalFormatting sqref="AQ4:AQ37">
    <cfRule type="top10" dxfId="121" priority="3" bottom="1" rank="1"/>
    <cfRule type="top10" dxfId="120" priority="4" rank="1"/>
  </conditionalFormatting>
  <conditionalFormatting sqref="G47:H55">
    <cfRule type="top10" dxfId="119" priority="23" bottom="1" rank="1"/>
    <cfRule type="top10" dxfId="118" priority="24" rank="1"/>
  </conditionalFormatting>
  <conditionalFormatting sqref="K47:L55">
    <cfRule type="top10" dxfId="117" priority="25" bottom="1" rank="1"/>
    <cfRule type="top10" dxfId="116" priority="26" rank="1"/>
  </conditionalFormatting>
  <conditionalFormatting sqref="O47:P55">
    <cfRule type="top10" dxfId="115" priority="27" bottom="1" rank="1"/>
    <cfRule type="top10" dxfId="114" priority="28" rank="1"/>
  </conditionalFormatting>
  <conditionalFormatting sqref="S47:T55">
    <cfRule type="top10" dxfId="113" priority="29" bottom="1" rank="1"/>
    <cfRule type="top10" dxfId="112" priority="30" rank="1"/>
  </conditionalFormatting>
  <conditionalFormatting sqref="W47:X55">
    <cfRule type="top10" dxfId="111" priority="31" bottom="1" rank="1"/>
    <cfRule type="top10" dxfId="110" priority="32" rank="1"/>
  </conditionalFormatting>
  <conditionalFormatting sqref="AA47:AB55">
    <cfRule type="top10" dxfId="109" priority="33" bottom="1" rank="1"/>
    <cfRule type="top10" dxfId="108" priority="34" rank="1"/>
  </conditionalFormatting>
  <conditionalFormatting sqref="AE47:AF55">
    <cfRule type="top10" dxfId="107" priority="35" bottom="1" rank="1"/>
    <cfRule type="top10" dxfId="106" priority="36" rank="1"/>
  </conditionalFormatting>
  <conditionalFormatting sqref="AI47:AJ55">
    <cfRule type="top10" dxfId="105" priority="37" bottom="1" rank="1"/>
    <cfRule type="top10" dxfId="104" priority="38" rank="1"/>
  </conditionalFormatting>
  <conditionalFormatting sqref="AM47:AN55">
    <cfRule type="top10" dxfId="103" priority="39" bottom="1" rank="1"/>
    <cfRule type="top10" dxfId="102" priority="40" rank="1"/>
  </conditionalFormatting>
  <conditionalFormatting sqref="AQ47:AR55">
    <cfRule type="top10" dxfId="101" priority="41" bottom="1" rank="1"/>
    <cfRule type="top10" dxfId="100" priority="42" rank="1"/>
  </conditionalFormatting>
  <conditionalFormatting sqref="G62:H69">
    <cfRule type="top10" dxfId="99" priority="43" bottom="1" rank="1"/>
    <cfRule type="top10" dxfId="98" priority="44" rank="1"/>
  </conditionalFormatting>
  <conditionalFormatting sqref="K62:L69">
    <cfRule type="top10" dxfId="97" priority="45" bottom="1" rank="1"/>
    <cfRule type="top10" dxfId="96" priority="46" rank="1"/>
  </conditionalFormatting>
  <conditionalFormatting sqref="O62:P69">
    <cfRule type="top10" dxfId="95" priority="47" bottom="1" rank="1"/>
    <cfRule type="top10" dxfId="94" priority="48" rank="1"/>
  </conditionalFormatting>
  <conditionalFormatting sqref="S62:T69">
    <cfRule type="top10" dxfId="93" priority="49" bottom="1" rank="1"/>
    <cfRule type="top10" dxfId="92" priority="50" rank="1"/>
  </conditionalFormatting>
  <conditionalFormatting sqref="W62:X69">
    <cfRule type="top10" dxfId="91" priority="51" bottom="1" rank="1"/>
    <cfRule type="top10" dxfId="90" priority="52" rank="1"/>
  </conditionalFormatting>
  <conditionalFormatting sqref="AA62:AB69">
    <cfRule type="top10" dxfId="89" priority="53" bottom="1" rank="1"/>
    <cfRule type="top10" dxfId="88" priority="54" rank="1"/>
  </conditionalFormatting>
  <conditionalFormatting sqref="AE62:AF69">
    <cfRule type="top10" dxfId="87" priority="55" bottom="1" rank="1"/>
    <cfRule type="top10" dxfId="86" priority="56" rank="1"/>
  </conditionalFormatting>
  <conditionalFormatting sqref="AI62:AJ69">
    <cfRule type="top10" dxfId="85" priority="57" bottom="1" rank="1"/>
    <cfRule type="top10" dxfId="84" priority="58" rank="1"/>
  </conditionalFormatting>
  <conditionalFormatting sqref="AM62:AN69">
    <cfRule type="top10" dxfId="83" priority="59" bottom="1" rank="1"/>
    <cfRule type="top10" dxfId="82" priority="60" rank="1"/>
  </conditionalFormatting>
  <conditionalFormatting sqref="AQ62:AR69">
    <cfRule type="top10" dxfId="81" priority="61" bottom="1" rank="1"/>
    <cfRule type="top10" dxfId="80" priority="62" rank="1"/>
  </conditionalFormatting>
  <conditionalFormatting sqref="G76:H82">
    <cfRule type="top10" dxfId="79" priority="63" bottom="1" rank="1"/>
    <cfRule type="top10" dxfId="78" priority="64" rank="1"/>
  </conditionalFormatting>
  <conditionalFormatting sqref="K76:L82">
    <cfRule type="top10" dxfId="77" priority="65" bottom="1" rank="1"/>
    <cfRule type="top10" dxfId="76" priority="66" rank="1"/>
  </conditionalFormatting>
  <conditionalFormatting sqref="O76:P82">
    <cfRule type="top10" dxfId="75" priority="67" bottom="1" rank="1"/>
    <cfRule type="top10" dxfId="74" priority="68" rank="1"/>
  </conditionalFormatting>
  <conditionalFormatting sqref="S76:T82">
    <cfRule type="top10" dxfId="73" priority="69" bottom="1" rank="1"/>
    <cfRule type="top10" dxfId="72" priority="70" rank="1"/>
  </conditionalFormatting>
  <conditionalFormatting sqref="W76:X82">
    <cfRule type="top10" dxfId="71" priority="71" bottom="1" rank="1"/>
    <cfRule type="top10" dxfId="70" priority="72" rank="1"/>
  </conditionalFormatting>
  <conditionalFormatting sqref="AA76:AB82">
    <cfRule type="top10" dxfId="69" priority="73" bottom="1" rank="1"/>
    <cfRule type="top10" dxfId="68" priority="74" rank="1"/>
  </conditionalFormatting>
  <conditionalFormatting sqref="AE76:AF82">
    <cfRule type="top10" dxfId="67" priority="75" bottom="1" rank="1"/>
    <cfRule type="top10" dxfId="66" priority="76" rank="1"/>
  </conditionalFormatting>
  <conditionalFormatting sqref="AI76:AJ82">
    <cfRule type="top10" dxfId="65" priority="77" bottom="1" rank="1"/>
    <cfRule type="top10" dxfId="64" priority="78" rank="1"/>
  </conditionalFormatting>
  <conditionalFormatting sqref="AM76:AN82">
    <cfRule type="top10" dxfId="63" priority="79" bottom="1" rank="1"/>
    <cfRule type="top10" dxfId="62" priority="80" rank="1"/>
  </conditionalFormatting>
  <conditionalFormatting sqref="AQ76:AR82">
    <cfRule type="top10" dxfId="61" priority="81" bottom="1" rank="1"/>
    <cfRule type="top10" dxfId="60" priority="82" rank="1"/>
  </conditionalFormatting>
  <conditionalFormatting sqref="G89:H97">
    <cfRule type="top10" dxfId="59" priority="83" bottom="1" rank="1"/>
    <cfRule type="top10" dxfId="58" priority="84" rank="1"/>
  </conditionalFormatting>
  <conditionalFormatting sqref="K89:L97">
    <cfRule type="top10" dxfId="57" priority="85" bottom="1" rank="1"/>
    <cfRule type="top10" dxfId="56" priority="86" rank="1"/>
  </conditionalFormatting>
  <conditionalFormatting sqref="O89:P97">
    <cfRule type="top10" dxfId="55" priority="87" bottom="1" rank="1"/>
    <cfRule type="top10" dxfId="54" priority="88" rank="1"/>
  </conditionalFormatting>
  <conditionalFormatting sqref="S89:T97">
    <cfRule type="top10" dxfId="53" priority="89" bottom="1" rank="1"/>
    <cfRule type="top10" dxfId="52" priority="90" rank="1"/>
  </conditionalFormatting>
  <conditionalFormatting sqref="W89:X97">
    <cfRule type="top10" dxfId="51" priority="91" bottom="1" rank="1"/>
    <cfRule type="top10" dxfId="50" priority="92" rank="1"/>
  </conditionalFormatting>
  <conditionalFormatting sqref="AA89:AB97">
    <cfRule type="top10" dxfId="49" priority="93" bottom="1" rank="1"/>
    <cfRule type="top10" dxfId="48" priority="94" rank="1"/>
  </conditionalFormatting>
  <conditionalFormatting sqref="AE89:AF97">
    <cfRule type="top10" dxfId="47" priority="95" bottom="1" rank="1"/>
    <cfRule type="top10" dxfId="46" priority="96" rank="1"/>
  </conditionalFormatting>
  <conditionalFormatting sqref="AI89:AJ97">
    <cfRule type="top10" dxfId="45" priority="97" bottom="1" rank="1"/>
    <cfRule type="top10" dxfId="44" priority="98" rank="1"/>
  </conditionalFormatting>
  <conditionalFormatting sqref="AM89:AN97">
    <cfRule type="top10" dxfId="43" priority="99" bottom="1" rank="1"/>
    <cfRule type="top10" dxfId="42" priority="100" rank="1"/>
  </conditionalFormatting>
  <conditionalFormatting sqref="AQ89:AR97">
    <cfRule type="top10" dxfId="41" priority="101" bottom="1" rank="1"/>
    <cfRule type="top10" dxfId="40" priority="102" rank="1"/>
  </conditionalFormatting>
  <conditionalFormatting sqref="G104:H111">
    <cfRule type="top10" dxfId="39" priority="103" bottom="1" rank="1"/>
    <cfRule type="top10" dxfId="38" priority="104" rank="1"/>
  </conditionalFormatting>
  <conditionalFormatting sqref="K104:L111">
    <cfRule type="top10" dxfId="37" priority="105" bottom="1" rank="1"/>
    <cfRule type="top10" dxfId="36" priority="106" rank="1"/>
  </conditionalFormatting>
  <conditionalFormatting sqref="O104:P111">
    <cfRule type="top10" dxfId="35" priority="107" bottom="1" rank="1"/>
    <cfRule type="top10" dxfId="34" priority="108" rank="1"/>
  </conditionalFormatting>
  <conditionalFormatting sqref="S104:T111">
    <cfRule type="top10" dxfId="33" priority="109" bottom="1" rank="1"/>
    <cfRule type="top10" dxfId="32" priority="110" rank="1"/>
  </conditionalFormatting>
  <conditionalFormatting sqref="W104:X111">
    <cfRule type="top10" dxfId="31" priority="111" bottom="1" rank="1"/>
    <cfRule type="top10" dxfId="30" priority="112" rank="1"/>
  </conditionalFormatting>
  <conditionalFormatting sqref="AA104:AB111">
    <cfRule type="top10" dxfId="29" priority="113" bottom="1" rank="1"/>
    <cfRule type="top10" dxfId="28" priority="114" rank="1"/>
  </conditionalFormatting>
  <conditionalFormatting sqref="AE104:AF111">
    <cfRule type="top10" dxfId="27" priority="115" bottom="1" rank="1"/>
    <cfRule type="top10" dxfId="26" priority="116" rank="1"/>
  </conditionalFormatting>
  <conditionalFormatting sqref="AI104:AJ111">
    <cfRule type="top10" dxfId="25" priority="117" bottom="1" rank="1"/>
    <cfRule type="top10" dxfId="24" priority="118" rank="1"/>
  </conditionalFormatting>
  <conditionalFormatting sqref="AM104:AN111">
    <cfRule type="top10" dxfId="23" priority="119" bottom="1" rank="1"/>
    <cfRule type="top10" dxfId="22" priority="120" rank="1"/>
  </conditionalFormatting>
  <conditionalFormatting sqref="AQ104:AR111">
    <cfRule type="top10" dxfId="21" priority="121" bottom="1" rank="1"/>
    <cfRule type="top10" dxfId="20" priority="122" rank="1"/>
  </conditionalFormatting>
  <conditionalFormatting sqref="G118:H129">
    <cfRule type="top10" dxfId="19" priority="123" bottom="1" rank="1"/>
    <cfRule type="top10" dxfId="18" priority="124" rank="1"/>
  </conditionalFormatting>
  <conditionalFormatting sqref="K118:L129">
    <cfRule type="top10" dxfId="17" priority="125" bottom="1" rank="1"/>
    <cfRule type="top10" dxfId="16" priority="126" rank="1"/>
  </conditionalFormatting>
  <conditionalFormatting sqref="O118:P129">
    <cfRule type="top10" dxfId="15" priority="127" bottom="1" rank="1"/>
    <cfRule type="top10" dxfId="14" priority="128" rank="1"/>
  </conditionalFormatting>
  <conditionalFormatting sqref="S118:T129">
    <cfRule type="top10" dxfId="13" priority="129" bottom="1" rank="1"/>
    <cfRule type="top10" dxfId="12" priority="130" rank="1"/>
  </conditionalFormatting>
  <conditionalFormatting sqref="W118:X129">
    <cfRule type="top10" dxfId="11" priority="131" bottom="1" rank="1"/>
    <cfRule type="top10" dxfId="10" priority="132" rank="1"/>
  </conditionalFormatting>
  <conditionalFormatting sqref="AA118:AB129">
    <cfRule type="top10" dxfId="9" priority="133" bottom="1" rank="1"/>
    <cfRule type="top10" dxfId="8" priority="134" rank="1"/>
  </conditionalFormatting>
  <conditionalFormatting sqref="AE118:AF129">
    <cfRule type="top10" dxfId="7" priority="135" bottom="1" rank="1"/>
    <cfRule type="top10" dxfId="6" priority="136" rank="1"/>
  </conditionalFormatting>
  <conditionalFormatting sqref="AI118:AJ129">
    <cfRule type="top10" dxfId="5" priority="137" bottom="1" rank="1"/>
    <cfRule type="top10" dxfId="4" priority="138" rank="1"/>
  </conditionalFormatting>
  <conditionalFormatting sqref="AM118:AN129">
    <cfRule type="top10" dxfId="3" priority="139" bottom="1" rank="1"/>
    <cfRule type="top10" dxfId="2" priority="140" rank="1"/>
  </conditionalFormatting>
  <conditionalFormatting sqref="AQ118:AR129">
    <cfRule type="top10" dxfId="1" priority="1" bottom="1" rank="1"/>
    <cfRule type="top10" dxfId="0" priority="2" rank="1"/>
  </conditionalFormatting>
  <pageMargins left="0.69930555555555596" right="0.69930555555555596"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T195"/>
  <sheetViews>
    <sheetView workbookViewId="0">
      <selection activeCell="F115" sqref="F115"/>
    </sheetView>
  </sheetViews>
  <sheetFormatPr defaultColWidth="9" defaultRowHeight="13.5" x14ac:dyDescent="0.15"/>
  <cols>
    <col min="2" max="2" width="3.5" customWidth="1"/>
    <col min="3" max="3" width="7.875" customWidth="1"/>
    <col min="4" max="4" width="5.5" customWidth="1"/>
    <col min="5" max="5" width="2" customWidth="1"/>
    <col min="7" max="7" width="2" customWidth="1"/>
    <col min="9" max="9" width="2" customWidth="1"/>
    <col min="11" max="11" width="2" customWidth="1"/>
    <col min="13" max="13" width="2" customWidth="1"/>
    <col min="15" max="15" width="2" customWidth="1"/>
    <col min="17" max="17" width="2.75" customWidth="1"/>
  </cols>
  <sheetData>
    <row r="1" spans="1:8" x14ac:dyDescent="0.15">
      <c r="A1" t="str">
        <f>B1&amp;C1&amp;D1&amp;E1&amp;F1&amp;G1&amp;H1&amp;I1&amp;J1&amp;K1&amp;L1&amp;M1&amp;N1&amp;O1&amp;P1</f>
        <v>特別オファーで購入するか、マナクリスタルで購入する事で入手できる。</v>
      </c>
      <c r="B1" t="s">
        <v>369</v>
      </c>
    </row>
    <row r="2" spans="1:8" x14ac:dyDescent="0.15">
      <c r="A2" t="str">
        <f>B2&amp;C2&amp;D2&amp;E2&amp;F2&amp;G2&amp;H2&amp;I2&amp;J2&amp;K2&amp;L2&amp;M2&amp;N2&amp;O2&amp;P2</f>
        <v>&amp;br;</v>
      </c>
      <c r="B2" t="s">
        <v>0</v>
      </c>
    </row>
    <row r="3" spans="1:8" x14ac:dyDescent="0.15">
      <c r="A3" t="str">
        <f>B3&amp;C3&amp;D3&amp;E3&amp;F3&amp;G3&amp;H3&amp;I3&amp;J3&amp;K3&amp;L3&amp;M3&amp;N3&amp;O3&amp;P3</f>
        <v>#contents()</v>
      </c>
      <c r="B3" t="s">
        <v>1</v>
      </c>
    </row>
    <row r="4" spans="1:8" x14ac:dyDescent="0.15">
      <c r="A4" t="str">
        <f>B4&amp;C4&amp;D4&amp;E4&amp;F4&amp;G4&amp;H4&amp;I4&amp;J4&amp;K4&amp;L4&amp;M4&amp;N4&amp;O4&amp;P4</f>
        <v>*HP [#f569d8c6]</v>
      </c>
      <c r="B4" t="s">
        <v>2</v>
      </c>
    </row>
    <row r="5" spans="1:8" x14ac:dyDescent="0.15">
      <c r="A5" t="str">
        <f>B5&amp;C5&amp;D5&amp;E5&amp;F5&amp;G5&amp;H5</f>
        <v>|LEFT:50|LEFT:50|c</v>
      </c>
      <c r="B5" t="s">
        <v>3</v>
      </c>
      <c r="C5" t="s">
        <v>4</v>
      </c>
      <c r="E5" t="s">
        <v>3</v>
      </c>
      <c r="F5" t="s">
        <v>4</v>
      </c>
      <c r="G5" t="s">
        <v>3</v>
      </c>
      <c r="H5" t="s">
        <v>5</v>
      </c>
    </row>
    <row r="6" spans="1:8" x14ac:dyDescent="0.15">
      <c r="A6" t="str">
        <f t="shared" ref="A6:A35" si="0">B6&amp;C6&amp;D6&amp;E6&amp;F6&amp;G6&amp;H6</f>
        <v>|レベル|HP|</v>
      </c>
      <c r="B6" t="s">
        <v>3</v>
      </c>
      <c r="C6" t="s">
        <v>6</v>
      </c>
      <c r="E6" t="s">
        <v>3</v>
      </c>
      <c r="F6" t="s">
        <v>7</v>
      </c>
      <c r="G6" t="s">
        <v>3</v>
      </c>
    </row>
    <row r="7" spans="1:8" x14ac:dyDescent="0.15">
      <c r="A7" t="str">
        <f t="shared" si="0"/>
        <v>|Lv1|30|</v>
      </c>
      <c r="B7" t="s">
        <v>3</v>
      </c>
      <c r="C7" t="s">
        <v>8</v>
      </c>
      <c r="D7">
        <v>1</v>
      </c>
      <c r="E7" t="s">
        <v>3</v>
      </c>
      <c r="F7">
        <v>30</v>
      </c>
      <c r="G7" t="s">
        <v>3</v>
      </c>
    </row>
    <row r="8" spans="1:8" x14ac:dyDescent="0.15">
      <c r="A8" t="str">
        <f t="shared" si="0"/>
        <v>|Lv3|33|</v>
      </c>
      <c r="B8" t="s">
        <v>3</v>
      </c>
      <c r="C8" t="s">
        <v>8</v>
      </c>
      <c r="D8">
        <v>3</v>
      </c>
      <c r="E8" t="s">
        <v>3</v>
      </c>
      <c r="F8">
        <f t="shared" ref="F8:F35" si="1">IF(ISBLANK(D8),"",F7+INDEX($H$130:$H$189,D8))</f>
        <v>33</v>
      </c>
      <c r="G8" t="s">
        <v>3</v>
      </c>
    </row>
    <row r="9" spans="1:8" x14ac:dyDescent="0.15">
      <c r="A9" t="str">
        <f t="shared" si="0"/>
        <v>|Lv5|36|</v>
      </c>
      <c r="B9" t="s">
        <v>3</v>
      </c>
      <c r="C9" t="s">
        <v>8</v>
      </c>
      <c r="D9">
        <v>5</v>
      </c>
      <c r="E9" t="s">
        <v>3</v>
      </c>
      <c r="F9">
        <f t="shared" si="1"/>
        <v>36</v>
      </c>
      <c r="G9" t="s">
        <v>3</v>
      </c>
    </row>
    <row r="10" spans="1:8" x14ac:dyDescent="0.15">
      <c r="A10" t="str">
        <f t="shared" si="0"/>
        <v>|Lv7|39|</v>
      </c>
      <c r="B10" t="s">
        <v>3</v>
      </c>
      <c r="C10" t="s">
        <v>8</v>
      </c>
      <c r="D10">
        <v>7</v>
      </c>
      <c r="E10" t="s">
        <v>3</v>
      </c>
      <c r="F10">
        <f t="shared" si="1"/>
        <v>39</v>
      </c>
      <c r="G10" t="s">
        <v>3</v>
      </c>
    </row>
    <row r="11" spans="1:8" x14ac:dyDescent="0.15">
      <c r="A11" t="str">
        <f t="shared" si="0"/>
        <v>|Lv9|42|</v>
      </c>
      <c r="B11" t="s">
        <v>3</v>
      </c>
      <c r="C11" t="s">
        <v>8</v>
      </c>
      <c r="D11">
        <v>9</v>
      </c>
      <c r="E11" t="s">
        <v>3</v>
      </c>
      <c r="F11">
        <f t="shared" si="1"/>
        <v>42</v>
      </c>
      <c r="G11" t="s">
        <v>3</v>
      </c>
    </row>
    <row r="12" spans="1:8" x14ac:dyDescent="0.15">
      <c r="A12" t="str">
        <f t="shared" si="0"/>
        <v>|Lv11|45|</v>
      </c>
      <c r="B12" t="s">
        <v>3</v>
      </c>
      <c r="C12" t="s">
        <v>8</v>
      </c>
      <c r="D12">
        <v>11</v>
      </c>
      <c r="E12" t="s">
        <v>3</v>
      </c>
      <c r="F12">
        <f t="shared" si="1"/>
        <v>45</v>
      </c>
      <c r="G12" t="s">
        <v>3</v>
      </c>
    </row>
    <row r="13" spans="1:8" x14ac:dyDescent="0.15">
      <c r="A13" t="str">
        <f t="shared" si="0"/>
        <v>|Lv13|48|</v>
      </c>
      <c r="B13" t="s">
        <v>3</v>
      </c>
      <c r="C13" t="s">
        <v>8</v>
      </c>
      <c r="D13">
        <v>13</v>
      </c>
      <c r="E13" t="s">
        <v>3</v>
      </c>
      <c r="F13">
        <f t="shared" si="1"/>
        <v>48</v>
      </c>
      <c r="G13" t="s">
        <v>3</v>
      </c>
    </row>
    <row r="14" spans="1:8" x14ac:dyDescent="0.15">
      <c r="A14" t="str">
        <f t="shared" si="0"/>
        <v>|Lv15|51|</v>
      </c>
      <c r="B14" t="s">
        <v>3</v>
      </c>
      <c r="C14" t="s">
        <v>8</v>
      </c>
      <c r="D14">
        <v>15</v>
      </c>
      <c r="E14" t="s">
        <v>3</v>
      </c>
      <c r="F14">
        <f t="shared" si="1"/>
        <v>51</v>
      </c>
      <c r="G14" t="s">
        <v>3</v>
      </c>
    </row>
    <row r="15" spans="1:8" x14ac:dyDescent="0.15">
      <c r="A15" t="str">
        <f t="shared" si="0"/>
        <v>|Lv17|54|</v>
      </c>
      <c r="B15" t="s">
        <v>3</v>
      </c>
      <c r="C15" t="s">
        <v>8</v>
      </c>
      <c r="D15">
        <v>17</v>
      </c>
      <c r="E15" t="s">
        <v>3</v>
      </c>
      <c r="F15">
        <f t="shared" si="1"/>
        <v>54</v>
      </c>
      <c r="G15" t="s">
        <v>3</v>
      </c>
    </row>
    <row r="16" spans="1:8" x14ac:dyDescent="0.15">
      <c r="A16" t="str">
        <f t="shared" si="0"/>
        <v>|Lv19|57|</v>
      </c>
      <c r="B16" t="s">
        <v>3</v>
      </c>
      <c r="C16" t="s">
        <v>8</v>
      </c>
      <c r="D16">
        <v>19</v>
      </c>
      <c r="E16" t="s">
        <v>3</v>
      </c>
      <c r="F16">
        <f t="shared" si="1"/>
        <v>57</v>
      </c>
      <c r="G16" t="s">
        <v>3</v>
      </c>
    </row>
    <row r="17" spans="1:7" x14ac:dyDescent="0.15">
      <c r="A17" t="str">
        <f t="shared" si="0"/>
        <v>|Lv21|60|</v>
      </c>
      <c r="B17" t="s">
        <v>3</v>
      </c>
      <c r="C17" t="s">
        <v>8</v>
      </c>
      <c r="D17">
        <v>21</v>
      </c>
      <c r="E17" t="s">
        <v>3</v>
      </c>
      <c r="F17">
        <f t="shared" si="1"/>
        <v>60</v>
      </c>
      <c r="G17" t="s">
        <v>3</v>
      </c>
    </row>
    <row r="18" spans="1:7" x14ac:dyDescent="0.15">
      <c r="A18" t="str">
        <f t="shared" si="0"/>
        <v>|Lv23|63|</v>
      </c>
      <c r="B18" t="s">
        <v>3</v>
      </c>
      <c r="C18" t="s">
        <v>8</v>
      </c>
      <c r="D18">
        <v>23</v>
      </c>
      <c r="E18" t="s">
        <v>3</v>
      </c>
      <c r="F18">
        <f t="shared" si="1"/>
        <v>63</v>
      </c>
      <c r="G18" t="s">
        <v>3</v>
      </c>
    </row>
    <row r="19" spans="1:7" x14ac:dyDescent="0.15">
      <c r="A19" t="str">
        <f t="shared" si="0"/>
        <v>|Lv25|66|</v>
      </c>
      <c r="B19" t="s">
        <v>3</v>
      </c>
      <c r="C19" t="s">
        <v>8</v>
      </c>
      <c r="D19">
        <v>25</v>
      </c>
      <c r="E19" t="s">
        <v>3</v>
      </c>
      <c r="F19">
        <f t="shared" si="1"/>
        <v>66</v>
      </c>
      <c r="G19" t="s">
        <v>3</v>
      </c>
    </row>
    <row r="20" spans="1:7" x14ac:dyDescent="0.15">
      <c r="A20" t="str">
        <f t="shared" si="0"/>
        <v>|Lv27|69|</v>
      </c>
      <c r="B20" t="s">
        <v>3</v>
      </c>
      <c r="C20" t="s">
        <v>8</v>
      </c>
      <c r="D20">
        <v>27</v>
      </c>
      <c r="E20" t="s">
        <v>3</v>
      </c>
      <c r="F20">
        <f t="shared" si="1"/>
        <v>69</v>
      </c>
      <c r="G20" t="s">
        <v>3</v>
      </c>
    </row>
    <row r="21" spans="1:7" x14ac:dyDescent="0.15">
      <c r="A21" t="str">
        <f t="shared" si="0"/>
        <v>|Lv29|72|</v>
      </c>
      <c r="B21" t="s">
        <v>3</v>
      </c>
      <c r="C21" t="s">
        <v>8</v>
      </c>
      <c r="D21">
        <v>29</v>
      </c>
      <c r="E21" t="s">
        <v>3</v>
      </c>
      <c r="F21">
        <f t="shared" si="1"/>
        <v>72</v>
      </c>
      <c r="G21" t="s">
        <v>3</v>
      </c>
    </row>
    <row r="22" spans="1:7" x14ac:dyDescent="0.15">
      <c r="A22" t="str">
        <f t="shared" si="0"/>
        <v>|Lv31|75|</v>
      </c>
      <c r="B22" t="s">
        <v>3</v>
      </c>
      <c r="C22" t="s">
        <v>8</v>
      </c>
      <c r="D22">
        <v>31</v>
      </c>
      <c r="E22" t="s">
        <v>3</v>
      </c>
      <c r="F22">
        <f t="shared" si="1"/>
        <v>75</v>
      </c>
      <c r="G22" t="s">
        <v>3</v>
      </c>
    </row>
    <row r="23" spans="1:7" x14ac:dyDescent="0.15">
      <c r="A23" t="str">
        <f t="shared" si="0"/>
        <v>|Lv33|78|</v>
      </c>
      <c r="B23" t="s">
        <v>3</v>
      </c>
      <c r="C23" t="s">
        <v>8</v>
      </c>
      <c r="D23">
        <v>33</v>
      </c>
      <c r="E23" t="s">
        <v>3</v>
      </c>
      <c r="F23">
        <f t="shared" si="1"/>
        <v>78</v>
      </c>
      <c r="G23" t="s">
        <v>3</v>
      </c>
    </row>
    <row r="24" spans="1:7" x14ac:dyDescent="0.15">
      <c r="A24" t="str">
        <f t="shared" si="0"/>
        <v>|Lv35|81|</v>
      </c>
      <c r="B24" t="s">
        <v>3</v>
      </c>
      <c r="C24" t="s">
        <v>8</v>
      </c>
      <c r="D24">
        <v>35</v>
      </c>
      <c r="E24" t="s">
        <v>3</v>
      </c>
      <c r="F24">
        <f t="shared" si="1"/>
        <v>81</v>
      </c>
      <c r="G24" t="s">
        <v>3</v>
      </c>
    </row>
    <row r="25" spans="1:7" x14ac:dyDescent="0.15">
      <c r="A25" t="str">
        <f t="shared" si="0"/>
        <v>|Lv37|84|</v>
      </c>
      <c r="B25" t="s">
        <v>3</v>
      </c>
      <c r="C25" t="s">
        <v>8</v>
      </c>
      <c r="D25">
        <v>37</v>
      </c>
      <c r="E25" t="s">
        <v>3</v>
      </c>
      <c r="F25">
        <f t="shared" si="1"/>
        <v>84</v>
      </c>
      <c r="G25" t="s">
        <v>3</v>
      </c>
    </row>
    <row r="26" spans="1:7" x14ac:dyDescent="0.15">
      <c r="A26" t="str">
        <f t="shared" si="0"/>
        <v>|Lv39|87|</v>
      </c>
      <c r="B26" t="s">
        <v>3</v>
      </c>
      <c r="C26" t="s">
        <v>8</v>
      </c>
      <c r="D26">
        <v>39</v>
      </c>
      <c r="E26" t="s">
        <v>3</v>
      </c>
      <c r="F26">
        <f t="shared" si="1"/>
        <v>87</v>
      </c>
      <c r="G26" t="s">
        <v>3</v>
      </c>
    </row>
    <row r="27" spans="1:7" x14ac:dyDescent="0.15">
      <c r="A27" t="str">
        <f t="shared" si="0"/>
        <v>|Lv41|90|</v>
      </c>
      <c r="B27" t="s">
        <v>3</v>
      </c>
      <c r="C27" t="s">
        <v>8</v>
      </c>
      <c r="D27">
        <v>41</v>
      </c>
      <c r="E27" t="s">
        <v>3</v>
      </c>
      <c r="F27">
        <f t="shared" si="1"/>
        <v>90</v>
      </c>
      <c r="G27" t="s">
        <v>3</v>
      </c>
    </row>
    <row r="28" spans="1:7" x14ac:dyDescent="0.15">
      <c r="A28" t="str">
        <f t="shared" si="0"/>
        <v>|Lv43|93|</v>
      </c>
      <c r="B28" t="s">
        <v>3</v>
      </c>
      <c r="C28" t="s">
        <v>8</v>
      </c>
      <c r="D28">
        <v>43</v>
      </c>
      <c r="E28" t="s">
        <v>3</v>
      </c>
      <c r="F28">
        <f t="shared" si="1"/>
        <v>93</v>
      </c>
      <c r="G28" t="s">
        <v>3</v>
      </c>
    </row>
    <row r="29" spans="1:7" x14ac:dyDescent="0.15">
      <c r="A29" t="str">
        <f t="shared" si="0"/>
        <v>|Lv45|96|</v>
      </c>
      <c r="B29" t="s">
        <v>3</v>
      </c>
      <c r="C29" t="s">
        <v>8</v>
      </c>
      <c r="D29">
        <v>45</v>
      </c>
      <c r="E29" t="s">
        <v>3</v>
      </c>
      <c r="F29">
        <f t="shared" si="1"/>
        <v>96</v>
      </c>
      <c r="G29" t="s">
        <v>3</v>
      </c>
    </row>
    <row r="30" spans="1:7" x14ac:dyDescent="0.15">
      <c r="A30" t="str">
        <f t="shared" si="0"/>
        <v>|Lv47|99|</v>
      </c>
      <c r="B30" t="s">
        <v>3</v>
      </c>
      <c r="C30" t="s">
        <v>8</v>
      </c>
      <c r="D30">
        <v>47</v>
      </c>
      <c r="E30" t="s">
        <v>3</v>
      </c>
      <c r="F30">
        <f t="shared" si="1"/>
        <v>99</v>
      </c>
      <c r="G30" t="s">
        <v>3</v>
      </c>
    </row>
    <row r="31" spans="1:7" x14ac:dyDescent="0.15">
      <c r="A31" t="str">
        <f t="shared" si="0"/>
        <v>|Lv49|102|</v>
      </c>
      <c r="B31" t="s">
        <v>3</v>
      </c>
      <c r="C31" t="s">
        <v>8</v>
      </c>
      <c r="D31">
        <v>49</v>
      </c>
      <c r="E31" t="s">
        <v>3</v>
      </c>
      <c r="F31">
        <f t="shared" si="1"/>
        <v>102</v>
      </c>
      <c r="G31" t="s">
        <v>3</v>
      </c>
    </row>
    <row r="32" spans="1:7" x14ac:dyDescent="0.15">
      <c r="A32" t="str">
        <f t="shared" si="0"/>
        <v>|Lv51|105|</v>
      </c>
      <c r="B32" t="s">
        <v>3</v>
      </c>
      <c r="C32" t="s">
        <v>8</v>
      </c>
      <c r="D32">
        <v>51</v>
      </c>
      <c r="E32" t="s">
        <v>3</v>
      </c>
      <c r="F32">
        <f t="shared" si="1"/>
        <v>105</v>
      </c>
      <c r="G32" t="s">
        <v>3</v>
      </c>
    </row>
    <row r="33" spans="1:19" x14ac:dyDescent="0.15">
      <c r="A33" t="str">
        <f t="shared" si="0"/>
        <v>|Lv53|108|</v>
      </c>
      <c r="B33" t="s">
        <v>3</v>
      </c>
      <c r="C33" t="s">
        <v>8</v>
      </c>
      <c r="D33">
        <v>53</v>
      </c>
      <c r="E33" t="s">
        <v>3</v>
      </c>
      <c r="F33">
        <f t="shared" si="1"/>
        <v>108</v>
      </c>
      <c r="G33" t="s">
        <v>3</v>
      </c>
    </row>
    <row r="34" spans="1:19" x14ac:dyDescent="0.15">
      <c r="A34" t="str">
        <f t="shared" si="0"/>
        <v>|Lv55|111|</v>
      </c>
      <c r="B34" t="s">
        <v>3</v>
      </c>
      <c r="C34" t="s">
        <v>8</v>
      </c>
      <c r="D34">
        <v>55</v>
      </c>
      <c r="E34" t="s">
        <v>3</v>
      </c>
      <c r="F34">
        <f t="shared" si="1"/>
        <v>111</v>
      </c>
      <c r="G34" t="s">
        <v>3</v>
      </c>
    </row>
    <row r="35" spans="1:19" x14ac:dyDescent="0.15">
      <c r="A35" t="str">
        <f t="shared" si="0"/>
        <v>|Lv59|114|</v>
      </c>
      <c r="B35" t="s">
        <v>3</v>
      </c>
      <c r="C35" t="s">
        <v>8</v>
      </c>
      <c r="D35">
        <v>59</v>
      </c>
      <c r="E35" t="s">
        <v>3</v>
      </c>
      <c r="F35">
        <f t="shared" si="1"/>
        <v>114</v>
      </c>
      <c r="G35" t="s">
        <v>3</v>
      </c>
    </row>
    <row r="36" spans="1:19" x14ac:dyDescent="0.15">
      <c r="A36" t="str">
        <f>B36&amp;C36&amp;D36&amp;E36&amp;F36&amp;G36&amp;H36&amp;I36&amp;J36&amp;K36&amp;L36&amp;M36&amp;N36&amp;O36&amp;P36</f>
        <v>&amp;br;</v>
      </c>
      <c r="B36" t="s">
        <v>0</v>
      </c>
    </row>
    <row r="37" spans="1:19" x14ac:dyDescent="0.15">
      <c r="A37" t="str">
        <f>B37&amp;C37&amp;D37&amp;E37&amp;F37&amp;G37&amp;H37&amp;I37&amp;J37&amp;K37&amp;L37&amp;M37&amp;N37&amp;O37&amp;P37</f>
        <v>&amp;br;</v>
      </c>
      <c r="B37" t="s">
        <v>0</v>
      </c>
    </row>
    <row r="38" spans="1:19" x14ac:dyDescent="0.15">
      <c r="A38" t="str">
        <f>B38&amp;C38&amp;D38&amp;E38&amp;F38&amp;G38&amp;H38&amp;I38&amp;J38&amp;K38&amp;L38&amp;M38&amp;N38&amp;O38&amp;P38</f>
        <v>*マナボーナス [#q1a26f54]</v>
      </c>
      <c r="B38" t="s">
        <v>9</v>
      </c>
    </row>
    <row r="39" spans="1:19" x14ac:dyDescent="0.15">
      <c r="A39" t="str">
        <f t="shared" ref="A39:A50" si="2">B39&amp;C39&amp;D39&amp;G39&amp;H39&amp;I39&amp;J39&amp;K39&amp;L39&amp;M39&amp;N39&amp;O39&amp;P39&amp;Q39&amp;R39</f>
        <v>|LEFT:50|LEFT:50|LEFT:50|LEFT:50|LEFT:50|LEFT:50|c</v>
      </c>
      <c r="B39" t="s">
        <v>3</v>
      </c>
      <c r="C39" t="s">
        <v>4</v>
      </c>
      <c r="E39" t="s">
        <v>3</v>
      </c>
      <c r="G39" t="s">
        <v>3</v>
      </c>
      <c r="H39" t="s">
        <v>4</v>
      </c>
      <c r="I39" t="s">
        <v>3</v>
      </c>
      <c r="J39" t="s">
        <v>4</v>
      </c>
      <c r="K39" t="s">
        <v>3</v>
      </c>
      <c r="L39" t="s">
        <v>4</v>
      </c>
      <c r="M39" t="s">
        <v>3</v>
      </c>
      <c r="N39" t="s">
        <v>4</v>
      </c>
      <c r="O39" t="s">
        <v>3</v>
      </c>
      <c r="P39" t="s">
        <v>4</v>
      </c>
      <c r="Q39" t="s">
        <v>3</v>
      </c>
      <c r="R39" t="s">
        <v>5</v>
      </c>
    </row>
    <row r="40" spans="1:19" x14ac:dyDescent="0.15">
      <c r="A40" t="str">
        <f t="shared" si="2"/>
        <v>|レベル|白|青|黒|赤|緑|</v>
      </c>
      <c r="B40" t="s">
        <v>3</v>
      </c>
      <c r="C40" t="s">
        <v>6</v>
      </c>
      <c r="E40" t="s">
        <v>3</v>
      </c>
      <c r="F40" t="s">
        <v>10</v>
      </c>
      <c r="G40" t="s">
        <v>3</v>
      </c>
      <c r="H40" t="s">
        <v>11</v>
      </c>
      <c r="I40" t="s">
        <v>3</v>
      </c>
      <c r="J40" t="s">
        <v>12</v>
      </c>
      <c r="K40" t="s">
        <v>3</v>
      </c>
      <c r="L40" t="s">
        <v>13</v>
      </c>
      <c r="M40" t="s">
        <v>3</v>
      </c>
      <c r="N40" t="s">
        <v>14</v>
      </c>
      <c r="O40" t="s">
        <v>3</v>
      </c>
      <c r="P40" t="s">
        <v>15</v>
      </c>
      <c r="Q40" t="s">
        <v>3</v>
      </c>
      <c r="S40" t="s">
        <v>11</v>
      </c>
    </row>
    <row r="41" spans="1:19" x14ac:dyDescent="0.15">
      <c r="A41" t="str">
        <f t="shared" si="2"/>
        <v>|Lv1|-1|-2|-2|1|1|</v>
      </c>
      <c r="B41" t="s">
        <v>3</v>
      </c>
      <c r="C41" t="s">
        <v>8</v>
      </c>
      <c r="D41">
        <v>1</v>
      </c>
      <c r="E41" t="s">
        <v>3</v>
      </c>
      <c r="G41" t="s">
        <v>3</v>
      </c>
      <c r="H41">
        <v>-1</v>
      </c>
      <c r="I41" t="s">
        <v>3</v>
      </c>
      <c r="J41">
        <v>-2</v>
      </c>
      <c r="K41" t="s">
        <v>3</v>
      </c>
      <c r="L41">
        <v>-2</v>
      </c>
      <c r="M41" t="s">
        <v>3</v>
      </c>
      <c r="N41">
        <v>1</v>
      </c>
      <c r="O41" t="s">
        <v>3</v>
      </c>
      <c r="P41">
        <v>1</v>
      </c>
      <c r="Q41" t="s">
        <v>3</v>
      </c>
      <c r="S41" t="s">
        <v>12</v>
      </c>
    </row>
    <row r="42" spans="1:19" x14ac:dyDescent="0.15">
      <c r="A42" t="str">
        <f t="shared" si="2"/>
        <v>|Lv4|-1|-2|-2|2|1|</v>
      </c>
      <c r="B42" t="s">
        <v>3</v>
      </c>
      <c r="C42" t="s">
        <v>8</v>
      </c>
      <c r="D42">
        <v>4</v>
      </c>
      <c r="E42" t="s">
        <v>3</v>
      </c>
      <c r="F42" t="str">
        <f t="shared" ref="F42:F50" si="3">IF(ISBLANK(D42),"",INDEX($F$130:$F$189,D42))</f>
        <v>赤</v>
      </c>
      <c r="G42" t="s">
        <v>3</v>
      </c>
      <c r="H42">
        <f t="shared" ref="H42:H50" si="4">H41+IF(H$40=$F42,1,0)</f>
        <v>-1</v>
      </c>
      <c r="I42" t="str">
        <f t="shared" ref="I42:Q50" si="5">I41</f>
        <v>|</v>
      </c>
      <c r="J42">
        <f t="shared" ref="J42:J50" si="6">J41+IF(J$40=$F42,1,0)</f>
        <v>-2</v>
      </c>
      <c r="K42" t="str">
        <f t="shared" si="5"/>
        <v>|</v>
      </c>
      <c r="L42">
        <f t="shared" ref="L42:L50" si="7">L41+IF(L$40=$F42,1,0)</f>
        <v>-2</v>
      </c>
      <c r="M42" t="str">
        <f t="shared" si="5"/>
        <v>|</v>
      </c>
      <c r="N42">
        <f t="shared" ref="N42:N50" si="8">N41+IF(N$40=$F42,1,0)</f>
        <v>2</v>
      </c>
      <c r="O42" t="str">
        <f t="shared" si="5"/>
        <v>|</v>
      </c>
      <c r="P42">
        <f t="shared" ref="P42:P50" si="9">P41+IF(P$40=$F42,1,0)</f>
        <v>1</v>
      </c>
      <c r="Q42" t="str">
        <f t="shared" si="5"/>
        <v>|</v>
      </c>
      <c r="S42" t="s">
        <v>13</v>
      </c>
    </row>
    <row r="43" spans="1:19" x14ac:dyDescent="0.15">
      <c r="A43" t="str">
        <f t="shared" si="2"/>
        <v>|Lv10|-1|-2|-2|2|2|</v>
      </c>
      <c r="B43" t="s">
        <v>3</v>
      </c>
      <c r="C43" t="s">
        <v>8</v>
      </c>
      <c r="D43">
        <v>10</v>
      </c>
      <c r="E43" t="s">
        <v>3</v>
      </c>
      <c r="F43" t="str">
        <f t="shared" si="3"/>
        <v>緑</v>
      </c>
      <c r="G43" t="s">
        <v>3</v>
      </c>
      <c r="H43">
        <f t="shared" si="4"/>
        <v>-1</v>
      </c>
      <c r="I43" t="str">
        <f t="shared" si="5"/>
        <v>|</v>
      </c>
      <c r="J43">
        <f t="shared" si="6"/>
        <v>-2</v>
      </c>
      <c r="K43" t="str">
        <f t="shared" si="5"/>
        <v>|</v>
      </c>
      <c r="L43">
        <f t="shared" si="7"/>
        <v>-2</v>
      </c>
      <c r="M43" t="str">
        <f t="shared" si="5"/>
        <v>|</v>
      </c>
      <c r="N43">
        <f t="shared" si="8"/>
        <v>2</v>
      </c>
      <c r="O43" t="str">
        <f t="shared" si="5"/>
        <v>|</v>
      </c>
      <c r="P43">
        <f t="shared" si="9"/>
        <v>2</v>
      </c>
      <c r="Q43" t="str">
        <f t="shared" si="5"/>
        <v>|</v>
      </c>
      <c r="S43" t="s">
        <v>14</v>
      </c>
    </row>
    <row r="44" spans="1:19" x14ac:dyDescent="0.15">
      <c r="A44" t="str">
        <f t="shared" si="2"/>
        <v>|Lv16|-1|-2|-1|2|2|</v>
      </c>
      <c r="B44" t="s">
        <v>3</v>
      </c>
      <c r="C44" t="s">
        <v>8</v>
      </c>
      <c r="D44">
        <v>16</v>
      </c>
      <c r="E44" t="s">
        <v>3</v>
      </c>
      <c r="F44" t="str">
        <f t="shared" si="3"/>
        <v>黒</v>
      </c>
      <c r="G44" t="s">
        <v>3</v>
      </c>
      <c r="H44">
        <f t="shared" si="4"/>
        <v>-1</v>
      </c>
      <c r="I44" t="str">
        <f t="shared" si="5"/>
        <v>|</v>
      </c>
      <c r="J44">
        <f t="shared" si="6"/>
        <v>-2</v>
      </c>
      <c r="K44" t="str">
        <f t="shared" si="5"/>
        <v>|</v>
      </c>
      <c r="L44">
        <f t="shared" si="7"/>
        <v>-1</v>
      </c>
      <c r="M44" t="str">
        <f t="shared" si="5"/>
        <v>|</v>
      </c>
      <c r="N44">
        <f t="shared" si="8"/>
        <v>2</v>
      </c>
      <c r="O44" t="str">
        <f t="shared" si="5"/>
        <v>|</v>
      </c>
      <c r="P44">
        <f t="shared" si="9"/>
        <v>2</v>
      </c>
      <c r="Q44" t="str">
        <f t="shared" si="5"/>
        <v>|</v>
      </c>
      <c r="S44" t="s">
        <v>15</v>
      </c>
    </row>
    <row r="45" spans="1:19" x14ac:dyDescent="0.15">
      <c r="A45" t="str">
        <f t="shared" si="2"/>
        <v>|Lv22|-1|-1|-1|2|2|</v>
      </c>
      <c r="B45" t="s">
        <v>3</v>
      </c>
      <c r="C45" t="s">
        <v>8</v>
      </c>
      <c r="D45">
        <v>22</v>
      </c>
      <c r="E45" t="s">
        <v>3</v>
      </c>
      <c r="F45" t="str">
        <f t="shared" si="3"/>
        <v>青</v>
      </c>
      <c r="G45" t="s">
        <v>3</v>
      </c>
      <c r="H45">
        <f t="shared" si="4"/>
        <v>-1</v>
      </c>
      <c r="I45" t="str">
        <f t="shared" si="5"/>
        <v>|</v>
      </c>
      <c r="J45">
        <f t="shared" si="6"/>
        <v>-1</v>
      </c>
      <c r="K45" t="str">
        <f t="shared" si="5"/>
        <v>|</v>
      </c>
      <c r="L45">
        <f t="shared" si="7"/>
        <v>-1</v>
      </c>
      <c r="M45" t="str">
        <f t="shared" si="5"/>
        <v>|</v>
      </c>
      <c r="N45">
        <f t="shared" si="8"/>
        <v>2</v>
      </c>
      <c r="O45" t="str">
        <f t="shared" si="5"/>
        <v>|</v>
      </c>
      <c r="P45">
        <f t="shared" si="9"/>
        <v>2</v>
      </c>
      <c r="Q45" t="str">
        <f t="shared" si="5"/>
        <v>|</v>
      </c>
    </row>
    <row r="46" spans="1:19" x14ac:dyDescent="0.15">
      <c r="A46" t="str">
        <f t="shared" si="2"/>
        <v>|Lv28|0|-1|-1|2|2|</v>
      </c>
      <c r="B46" t="s">
        <v>3</v>
      </c>
      <c r="C46" t="s">
        <v>8</v>
      </c>
      <c r="D46">
        <v>28</v>
      </c>
      <c r="E46" t="s">
        <v>3</v>
      </c>
      <c r="F46" t="str">
        <f t="shared" si="3"/>
        <v>白</v>
      </c>
      <c r="G46" t="s">
        <v>3</v>
      </c>
      <c r="H46">
        <f t="shared" si="4"/>
        <v>0</v>
      </c>
      <c r="I46" t="str">
        <f t="shared" si="5"/>
        <v>|</v>
      </c>
      <c r="J46">
        <f t="shared" si="6"/>
        <v>-1</v>
      </c>
      <c r="K46" t="str">
        <f t="shared" si="5"/>
        <v>|</v>
      </c>
      <c r="L46">
        <f t="shared" si="7"/>
        <v>-1</v>
      </c>
      <c r="M46" t="str">
        <f t="shared" si="5"/>
        <v>|</v>
      </c>
      <c r="N46">
        <f t="shared" si="8"/>
        <v>2</v>
      </c>
      <c r="O46" t="str">
        <f t="shared" si="5"/>
        <v>|</v>
      </c>
      <c r="P46">
        <f t="shared" si="9"/>
        <v>2</v>
      </c>
      <c r="Q46" t="str">
        <f t="shared" si="5"/>
        <v>|</v>
      </c>
    </row>
    <row r="47" spans="1:19" x14ac:dyDescent="0.15">
      <c r="A47" t="str">
        <f t="shared" si="2"/>
        <v>|Lv34|0|-1|-1|3|2|</v>
      </c>
      <c r="B47" t="s">
        <v>3</v>
      </c>
      <c r="C47" t="s">
        <v>8</v>
      </c>
      <c r="D47">
        <v>34</v>
      </c>
      <c r="E47" t="s">
        <v>3</v>
      </c>
      <c r="F47" t="str">
        <f t="shared" si="3"/>
        <v>赤</v>
      </c>
      <c r="G47" t="s">
        <v>3</v>
      </c>
      <c r="H47">
        <f t="shared" si="4"/>
        <v>0</v>
      </c>
      <c r="I47" t="str">
        <f t="shared" si="5"/>
        <v>|</v>
      </c>
      <c r="J47">
        <f t="shared" si="6"/>
        <v>-1</v>
      </c>
      <c r="K47" t="str">
        <f t="shared" si="5"/>
        <v>|</v>
      </c>
      <c r="L47">
        <f t="shared" si="7"/>
        <v>-1</v>
      </c>
      <c r="M47" t="str">
        <f t="shared" si="5"/>
        <v>|</v>
      </c>
      <c r="N47">
        <f t="shared" si="8"/>
        <v>3</v>
      </c>
      <c r="O47" t="str">
        <f t="shared" si="5"/>
        <v>|</v>
      </c>
      <c r="P47">
        <f t="shared" si="9"/>
        <v>2</v>
      </c>
      <c r="Q47" t="str">
        <f t="shared" si="5"/>
        <v>|</v>
      </c>
    </row>
    <row r="48" spans="1:19" x14ac:dyDescent="0.15">
      <c r="A48" t="str">
        <f t="shared" si="2"/>
        <v>|Lv42|0|-1|-1|3|3|</v>
      </c>
      <c r="B48" t="s">
        <v>3</v>
      </c>
      <c r="C48" t="s">
        <v>8</v>
      </c>
      <c r="D48">
        <v>42</v>
      </c>
      <c r="E48" t="s">
        <v>3</v>
      </c>
      <c r="F48" t="str">
        <f t="shared" si="3"/>
        <v>緑</v>
      </c>
      <c r="G48" t="s">
        <v>3</v>
      </c>
      <c r="H48">
        <f t="shared" si="4"/>
        <v>0</v>
      </c>
      <c r="I48" t="str">
        <f t="shared" si="5"/>
        <v>|</v>
      </c>
      <c r="J48">
        <f t="shared" si="6"/>
        <v>-1</v>
      </c>
      <c r="K48" t="str">
        <f t="shared" si="5"/>
        <v>|</v>
      </c>
      <c r="L48">
        <f t="shared" si="7"/>
        <v>-1</v>
      </c>
      <c r="M48" t="str">
        <f t="shared" si="5"/>
        <v>|</v>
      </c>
      <c r="N48">
        <f t="shared" si="8"/>
        <v>3</v>
      </c>
      <c r="O48" t="str">
        <f t="shared" si="5"/>
        <v>|</v>
      </c>
      <c r="P48">
        <f t="shared" si="9"/>
        <v>3</v>
      </c>
      <c r="Q48" t="str">
        <f t="shared" si="5"/>
        <v>|</v>
      </c>
    </row>
    <row r="49" spans="1:19" x14ac:dyDescent="0.15">
      <c r="A49" t="str">
        <f t="shared" si="2"/>
        <v>|Lv48|0|-1|0|3|3|</v>
      </c>
      <c r="B49" t="s">
        <v>3</v>
      </c>
      <c r="C49" t="s">
        <v>8</v>
      </c>
      <c r="D49">
        <v>48</v>
      </c>
      <c r="E49" t="s">
        <v>3</v>
      </c>
      <c r="F49" t="str">
        <f t="shared" si="3"/>
        <v>黒</v>
      </c>
      <c r="G49" t="s">
        <v>3</v>
      </c>
      <c r="H49">
        <f t="shared" si="4"/>
        <v>0</v>
      </c>
      <c r="I49" t="str">
        <f t="shared" si="5"/>
        <v>|</v>
      </c>
      <c r="J49">
        <f t="shared" si="6"/>
        <v>-1</v>
      </c>
      <c r="K49" t="str">
        <f t="shared" si="5"/>
        <v>|</v>
      </c>
      <c r="L49">
        <f t="shared" si="7"/>
        <v>0</v>
      </c>
      <c r="M49" t="str">
        <f t="shared" si="5"/>
        <v>|</v>
      </c>
      <c r="N49">
        <f t="shared" si="8"/>
        <v>3</v>
      </c>
      <c r="O49" t="str">
        <f t="shared" si="5"/>
        <v>|</v>
      </c>
      <c r="P49">
        <f t="shared" si="9"/>
        <v>3</v>
      </c>
      <c r="Q49" t="str">
        <f t="shared" si="5"/>
        <v>|</v>
      </c>
    </row>
    <row r="50" spans="1:19" x14ac:dyDescent="0.15">
      <c r="A50" t="str">
        <f t="shared" si="2"/>
        <v>|Lv54|0|0|0|3|3|</v>
      </c>
      <c r="B50" t="s">
        <v>3</v>
      </c>
      <c r="C50" t="s">
        <v>8</v>
      </c>
      <c r="D50">
        <v>54</v>
      </c>
      <c r="E50" t="s">
        <v>3</v>
      </c>
      <c r="F50" t="str">
        <f t="shared" si="3"/>
        <v>青</v>
      </c>
      <c r="G50" t="s">
        <v>3</v>
      </c>
      <c r="H50">
        <f t="shared" si="4"/>
        <v>0</v>
      </c>
      <c r="I50" t="str">
        <f t="shared" si="5"/>
        <v>|</v>
      </c>
      <c r="J50">
        <f t="shared" si="6"/>
        <v>0</v>
      </c>
      <c r="K50" t="str">
        <f t="shared" si="5"/>
        <v>|</v>
      </c>
      <c r="L50">
        <f t="shared" si="7"/>
        <v>0</v>
      </c>
      <c r="M50" t="str">
        <f t="shared" si="5"/>
        <v>|</v>
      </c>
      <c r="N50">
        <f t="shared" si="8"/>
        <v>3</v>
      </c>
      <c r="O50" t="str">
        <f t="shared" si="5"/>
        <v>|</v>
      </c>
      <c r="P50">
        <f t="shared" si="9"/>
        <v>3</v>
      </c>
      <c r="Q50" t="str">
        <f t="shared" si="5"/>
        <v>|</v>
      </c>
    </row>
    <row r="51" spans="1:19" x14ac:dyDescent="0.15">
      <c r="A51" t="str">
        <f>B51&amp;C51&amp;D51&amp;E51&amp;F51&amp;G51&amp;H51&amp;I51&amp;J51&amp;K51&amp;L51&amp;M51&amp;N51&amp;O51&amp;P51</f>
        <v>&amp;br;</v>
      </c>
      <c r="B51" t="s">
        <v>0</v>
      </c>
    </row>
    <row r="52" spans="1:19" x14ac:dyDescent="0.15">
      <c r="A52" t="str">
        <f>B52&amp;C52&amp;D52&amp;E52&amp;F52&amp;G52&amp;H52&amp;I52&amp;J52&amp;K52&amp;L52&amp;M52&amp;N52&amp;O52&amp;P52</f>
        <v>&amp;br;</v>
      </c>
      <c r="B52" t="s">
        <v>0</v>
      </c>
    </row>
    <row r="53" spans="1:19" x14ac:dyDescent="0.15">
      <c r="A53" t="str">
        <f>B53&amp;C53&amp;D53&amp;E53&amp;F53&amp;G53&amp;H53&amp;I53&amp;J53&amp;K53&amp;L53&amp;M53&amp;N53&amp;O53&amp;P53</f>
        <v>*デッキ構築枚数上限 [#e6f382eb]</v>
      </c>
      <c r="B53" t="s">
        <v>16</v>
      </c>
    </row>
    <row r="54" spans="1:19" x14ac:dyDescent="0.15">
      <c r="A54" t="str">
        <f>B54&amp;C54&amp;D54&amp;E54&amp;F54&amp;G54&amp;H54&amp;I54&amp;J54&amp;K54&amp;L54&amp;M54&amp;N54&amp;O54&amp;P54</f>
        <v>構築枚数上限を越える枚数はデッキに入れられない。</v>
      </c>
      <c r="B54" t="s">
        <v>17</v>
      </c>
    </row>
    <row r="55" spans="1:19" x14ac:dyDescent="0.15">
      <c r="A55" t="str">
        <f t="shared" ref="A55:A64" si="10">B55&amp;C55&amp;D55&amp;G55&amp;H55&amp;I55&amp;J55&amp;K55&amp;L55&amp;M55&amp;N55&amp;O55&amp;P55&amp;Q55&amp;R55</f>
        <v>|LEFT:50|LEFT:80|LEFT:80|LEFT:80|c</v>
      </c>
      <c r="B55" t="s">
        <v>3</v>
      </c>
      <c r="C55" t="s">
        <v>4</v>
      </c>
      <c r="E55" t="s">
        <v>3</v>
      </c>
      <c r="G55" t="s">
        <v>3</v>
      </c>
      <c r="H55" t="s">
        <v>18</v>
      </c>
      <c r="I55" t="s">
        <v>3</v>
      </c>
      <c r="J55" t="s">
        <v>18</v>
      </c>
      <c r="K55" t="s">
        <v>3</v>
      </c>
      <c r="L55" t="s">
        <v>18</v>
      </c>
      <c r="M55" t="s">
        <v>3</v>
      </c>
      <c r="N55" t="s">
        <v>5</v>
      </c>
    </row>
    <row r="56" spans="1:19" x14ac:dyDescent="0.15">
      <c r="A56" t="str">
        <f t="shared" si="10"/>
        <v>|レベル|クリーチャー|呪文|サポート|</v>
      </c>
      <c r="B56" t="s">
        <v>3</v>
      </c>
      <c r="C56" t="s">
        <v>6</v>
      </c>
      <c r="E56" t="s">
        <v>3</v>
      </c>
      <c r="F56" t="s">
        <v>19</v>
      </c>
      <c r="G56" t="s">
        <v>3</v>
      </c>
      <c r="H56" t="s">
        <v>20</v>
      </c>
      <c r="I56" t="s">
        <v>3</v>
      </c>
      <c r="J56" t="s">
        <v>21</v>
      </c>
      <c r="K56" t="s">
        <v>3</v>
      </c>
      <c r="L56" t="s">
        <v>22</v>
      </c>
      <c r="M56" t="s">
        <v>3</v>
      </c>
      <c r="S56" t="s">
        <v>20</v>
      </c>
    </row>
    <row r="57" spans="1:19" x14ac:dyDescent="0.15">
      <c r="A57" t="str">
        <f t="shared" si="10"/>
        <v>|Lv1|4|3|3|</v>
      </c>
      <c r="B57" t="s">
        <v>3</v>
      </c>
      <c r="C57" t="s">
        <v>8</v>
      </c>
      <c r="D57">
        <v>1</v>
      </c>
      <c r="E57" t="s">
        <v>3</v>
      </c>
      <c r="G57" t="s">
        <v>3</v>
      </c>
      <c r="H57">
        <v>4</v>
      </c>
      <c r="I57" t="s">
        <v>3</v>
      </c>
      <c r="J57">
        <v>3</v>
      </c>
      <c r="K57" t="s">
        <v>3</v>
      </c>
      <c r="L57">
        <v>3</v>
      </c>
      <c r="M57" t="s">
        <v>3</v>
      </c>
      <c r="S57" t="s">
        <v>21</v>
      </c>
    </row>
    <row r="58" spans="1:19" x14ac:dyDescent="0.15">
      <c r="A58" t="str">
        <f t="shared" si="10"/>
        <v>|Lv2|5|3|3|</v>
      </c>
      <c r="B58" t="s">
        <v>3</v>
      </c>
      <c r="C58" t="s">
        <v>8</v>
      </c>
      <c r="D58">
        <v>2</v>
      </c>
      <c r="E58" t="s">
        <v>3</v>
      </c>
      <c r="F58" t="str">
        <f t="shared" ref="F58:F64" si="11">IF(ISBLANK(D58),"",INDEX($F$130:$F$189,D58))</f>
        <v>クリーチャー</v>
      </c>
      <c r="G58" t="s">
        <v>3</v>
      </c>
      <c r="H58">
        <f t="shared" ref="H58:H64" si="12">H57+IF(H$56=$F58,INDEX($H$130:$H$189,D58),0)</f>
        <v>5</v>
      </c>
      <c r="I58" t="s">
        <v>3</v>
      </c>
      <c r="J58">
        <f t="shared" ref="J58:J64" si="13">J57+IF(J$56=$F58,INDEX($H$130:$H$189,D58),0)</f>
        <v>3</v>
      </c>
      <c r="K58" t="s">
        <v>3</v>
      </c>
      <c r="L58">
        <f t="shared" ref="L58:L64" si="14">L57+IF(L$56=$F58,INDEX($H$130:$H$189,D58),0)</f>
        <v>3</v>
      </c>
      <c r="M58" t="s">
        <v>3</v>
      </c>
      <c r="S58" t="s">
        <v>22</v>
      </c>
    </row>
    <row r="59" spans="1:19" x14ac:dyDescent="0.15">
      <c r="A59" t="str">
        <f t="shared" si="10"/>
        <v>|Lv8|5|3|4|</v>
      </c>
      <c r="B59" t="s">
        <v>3</v>
      </c>
      <c r="C59" t="s">
        <v>8</v>
      </c>
      <c r="D59">
        <v>8</v>
      </c>
      <c r="E59" t="s">
        <v>3</v>
      </c>
      <c r="F59" t="str">
        <f t="shared" si="11"/>
        <v>サポート</v>
      </c>
      <c r="G59" t="s">
        <v>3</v>
      </c>
      <c r="H59">
        <f t="shared" si="12"/>
        <v>5</v>
      </c>
      <c r="I59" t="s">
        <v>3</v>
      </c>
      <c r="J59">
        <f t="shared" si="13"/>
        <v>3</v>
      </c>
      <c r="K59" t="s">
        <v>3</v>
      </c>
      <c r="L59">
        <f t="shared" si="14"/>
        <v>4</v>
      </c>
      <c r="M59" t="s">
        <v>3</v>
      </c>
    </row>
    <row r="60" spans="1:19" x14ac:dyDescent="0.15">
      <c r="A60" t="str">
        <f t="shared" si="10"/>
        <v>|Lv14|5|4|4|</v>
      </c>
      <c r="B60" t="s">
        <v>3</v>
      </c>
      <c r="C60" t="s">
        <v>8</v>
      </c>
      <c r="D60">
        <v>14</v>
      </c>
      <c r="E60" t="s">
        <v>3</v>
      </c>
      <c r="F60" t="str">
        <f t="shared" si="11"/>
        <v>呪文</v>
      </c>
      <c r="G60" t="s">
        <v>3</v>
      </c>
      <c r="H60">
        <f t="shared" si="12"/>
        <v>5</v>
      </c>
      <c r="I60" t="s">
        <v>3</v>
      </c>
      <c r="J60">
        <f t="shared" si="13"/>
        <v>4</v>
      </c>
      <c r="K60" t="s">
        <v>3</v>
      </c>
      <c r="L60">
        <f t="shared" si="14"/>
        <v>4</v>
      </c>
      <c r="M60" t="s">
        <v>3</v>
      </c>
    </row>
    <row r="61" spans="1:19" x14ac:dyDescent="0.15">
      <c r="A61" t="str">
        <f t="shared" si="10"/>
        <v>|Lv26|6|4|4|</v>
      </c>
      <c r="B61" t="s">
        <v>3</v>
      </c>
      <c r="C61" t="s">
        <v>8</v>
      </c>
      <c r="D61">
        <v>26</v>
      </c>
      <c r="E61" t="s">
        <v>3</v>
      </c>
      <c r="F61" t="str">
        <f t="shared" si="11"/>
        <v>クリーチャー</v>
      </c>
      <c r="G61" t="s">
        <v>3</v>
      </c>
      <c r="H61">
        <f t="shared" si="12"/>
        <v>6</v>
      </c>
      <c r="I61" t="s">
        <v>3</v>
      </c>
      <c r="J61">
        <f t="shared" si="13"/>
        <v>4</v>
      </c>
      <c r="K61" t="s">
        <v>3</v>
      </c>
      <c r="L61">
        <f t="shared" si="14"/>
        <v>4</v>
      </c>
      <c r="M61" t="s">
        <v>3</v>
      </c>
    </row>
    <row r="62" spans="1:19" x14ac:dyDescent="0.15">
      <c r="A62" t="str">
        <f t="shared" si="10"/>
        <v>|Lv32|6|4|5|</v>
      </c>
      <c r="B62" t="s">
        <v>3</v>
      </c>
      <c r="C62" t="s">
        <v>8</v>
      </c>
      <c r="D62">
        <v>32</v>
      </c>
      <c r="E62" t="s">
        <v>3</v>
      </c>
      <c r="F62" t="str">
        <f t="shared" si="11"/>
        <v>サポート</v>
      </c>
      <c r="G62" t="s">
        <v>3</v>
      </c>
      <c r="H62">
        <f t="shared" si="12"/>
        <v>6</v>
      </c>
      <c r="I62" t="s">
        <v>3</v>
      </c>
      <c r="J62">
        <f t="shared" si="13"/>
        <v>4</v>
      </c>
      <c r="K62" t="s">
        <v>3</v>
      </c>
      <c r="L62">
        <f t="shared" si="14"/>
        <v>5</v>
      </c>
      <c r="M62" t="s">
        <v>3</v>
      </c>
    </row>
    <row r="63" spans="1:19" x14ac:dyDescent="0.15">
      <c r="A63" t="str">
        <f t="shared" si="10"/>
        <v>|Lv38|6|5|5|</v>
      </c>
      <c r="B63" t="s">
        <v>3</v>
      </c>
      <c r="C63" t="s">
        <v>8</v>
      </c>
      <c r="D63">
        <v>38</v>
      </c>
      <c r="E63" t="s">
        <v>3</v>
      </c>
      <c r="F63" t="str">
        <f t="shared" si="11"/>
        <v>呪文</v>
      </c>
      <c r="G63" t="s">
        <v>3</v>
      </c>
      <c r="H63">
        <f t="shared" si="12"/>
        <v>6</v>
      </c>
      <c r="I63" t="s">
        <v>3</v>
      </c>
      <c r="J63">
        <f t="shared" si="13"/>
        <v>5</v>
      </c>
      <c r="K63" t="s">
        <v>3</v>
      </c>
      <c r="L63">
        <f t="shared" si="14"/>
        <v>5</v>
      </c>
      <c r="M63" t="s">
        <v>3</v>
      </c>
    </row>
    <row r="64" spans="1:19" x14ac:dyDescent="0.15">
      <c r="A64" t="str">
        <f t="shared" si="10"/>
        <v>|Lv50|7|5|5|</v>
      </c>
      <c r="B64" t="s">
        <v>3</v>
      </c>
      <c r="C64" t="s">
        <v>8</v>
      </c>
      <c r="D64">
        <v>50</v>
      </c>
      <c r="E64" t="s">
        <v>3</v>
      </c>
      <c r="F64" t="str">
        <f t="shared" si="11"/>
        <v>クリーチャー</v>
      </c>
      <c r="G64" t="s">
        <v>3</v>
      </c>
      <c r="H64">
        <f t="shared" si="12"/>
        <v>7</v>
      </c>
      <c r="I64" t="s">
        <v>3</v>
      </c>
      <c r="J64">
        <f t="shared" si="13"/>
        <v>5</v>
      </c>
      <c r="K64" t="s">
        <v>3</v>
      </c>
      <c r="L64">
        <f t="shared" si="14"/>
        <v>5</v>
      </c>
      <c r="M64" t="s">
        <v>3</v>
      </c>
    </row>
    <row r="65" spans="1:20" x14ac:dyDescent="0.15">
      <c r="A65" t="str">
        <f t="shared" ref="A65:A89" si="15">B65&amp;C65&amp;D65&amp;E65&amp;F65&amp;G65&amp;H65&amp;I65&amp;J65&amp;K65&amp;L65&amp;M65&amp;N65&amp;O65&amp;P65</f>
        <v>&amp;br;</v>
      </c>
      <c r="B65" t="s">
        <v>0</v>
      </c>
    </row>
    <row r="66" spans="1:20" x14ac:dyDescent="0.15">
      <c r="A66" t="str">
        <f t="shared" si="15"/>
        <v>&amp;br;</v>
      </c>
      <c r="B66" t="s">
        <v>0</v>
      </c>
    </row>
    <row r="67" spans="1:20" x14ac:dyDescent="0.15">
      <c r="A67" t="str">
        <f t="shared" si="15"/>
        <v>*PW能力一覧 [#a469e89f]</v>
      </c>
      <c r="B67" t="s">
        <v>23</v>
      </c>
    </row>
    <row r="68" spans="1:20" x14ac:dyDescent="0.15">
      <c r="A68" t="str">
        <f t="shared" si="15"/>
        <v>アーリン・コードは変身能力を持っており、変身前後で能力が変化する。</v>
      </c>
      <c r="B68" t="s">
        <v>424</v>
      </c>
    </row>
    <row r="69" spans="1:20" x14ac:dyDescent="0.15">
      <c r="A69" t="str">
        <f t="shared" si="15"/>
        <v>変身後の能力解放Lvは変身前の能力解放Lvと同期している。</v>
      </c>
      <c r="B69" t="s">
        <v>425</v>
      </c>
    </row>
    <row r="70" spans="1:20" x14ac:dyDescent="0.15">
      <c r="A70" t="str">
        <f t="shared" si="15"/>
        <v>**変身前</v>
      </c>
      <c r="B70" t="s">
        <v>426</v>
      </c>
    </row>
    <row r="71" spans="1:20" x14ac:dyDescent="0.15">
      <c r="A71" t="str">
        <f t="shared" si="15"/>
        <v>**第1能力：狼の力/Strength of the Wolf</v>
      </c>
      <c r="B71" t="s">
        <v>24</v>
      </c>
      <c r="D71" t="s">
        <v>427</v>
      </c>
      <c r="E71" t="s">
        <v>25</v>
      </c>
      <c r="F71" t="s">
        <v>428</v>
      </c>
      <c r="R71" t="str">
        <f>D71&amp;E71&amp;F71</f>
        <v>狼の力/Strength of the Wolf</v>
      </c>
      <c r="S71" t="s">
        <v>3</v>
      </c>
      <c r="T71">
        <f>H77</f>
        <v>6</v>
      </c>
    </row>
    <row r="72" spans="1:20" x14ac:dyDescent="0.15">
      <c r="A72" t="str">
        <f t="shared" si="15"/>
        <v>|LEFT:50|LEFT:50|LEFT:50|LEFT:300|c</v>
      </c>
      <c r="B72" t="s">
        <v>3</v>
      </c>
      <c r="C72" t="s">
        <v>4</v>
      </c>
      <c r="E72" t="s">
        <v>3</v>
      </c>
      <c r="F72" t="s">
        <v>4</v>
      </c>
      <c r="G72" t="s">
        <v>3</v>
      </c>
      <c r="H72" t="s">
        <v>4</v>
      </c>
      <c r="I72" t="s">
        <v>3</v>
      </c>
      <c r="J72" t="s">
        <v>26</v>
      </c>
      <c r="K72" t="s">
        <v>3</v>
      </c>
      <c r="L72" t="s">
        <v>5</v>
      </c>
      <c r="R72" t="s">
        <v>209</v>
      </c>
      <c r="S72" t="s">
        <v>3</v>
      </c>
      <c r="T72" t="str">
        <f>J77</f>
        <v>あなたがコントロールするクリーチャー1体を対象とし、ターン終了時まで+4/+4の修正と速攻とトランプルを得る。</v>
      </c>
    </row>
    <row r="73" spans="1:20" x14ac:dyDescent="0.15">
      <c r="A73" t="str">
        <f t="shared" si="15"/>
        <v>|解放Lv|レベル|コスト|効果|</v>
      </c>
      <c r="B73" t="s">
        <v>3</v>
      </c>
      <c r="C73" t="s">
        <v>27</v>
      </c>
      <c r="E73" t="s">
        <v>3</v>
      </c>
      <c r="F73" t="s">
        <v>6</v>
      </c>
      <c r="G73" t="s">
        <v>3</v>
      </c>
      <c r="H73" t="s">
        <v>28</v>
      </c>
      <c r="I73" t="s">
        <v>3</v>
      </c>
      <c r="J73" t="s">
        <v>29</v>
      </c>
      <c r="K73" t="s">
        <v>3</v>
      </c>
      <c r="R73" t="str">
        <f>D80&amp;E80&amp;F80</f>
        <v>群れの呼び出し/Call the Pack</v>
      </c>
      <c r="S73" t="s">
        <v>3</v>
      </c>
      <c r="T73">
        <f>H86</f>
        <v>9</v>
      </c>
    </row>
    <row r="74" spans="1:20" x14ac:dyDescent="0.15">
      <c r="A74" t="str">
        <f t="shared" si="15"/>
        <v>|Lv6|Lv1|6|あなたがコントロールするクリーチャー1体を対象とし、ターン終了時まで+1/+1の修正と速攻とトランプルを得る。|</v>
      </c>
      <c r="B74" t="s">
        <v>3</v>
      </c>
      <c r="C74" t="s">
        <v>244</v>
      </c>
      <c r="E74" t="s">
        <v>3</v>
      </c>
      <c r="F74" t="s">
        <v>30</v>
      </c>
      <c r="G74" t="s">
        <v>3</v>
      </c>
      <c r="H74">
        <v>6</v>
      </c>
      <c r="I74" t="s">
        <v>3</v>
      </c>
      <c r="J74" t="s">
        <v>429</v>
      </c>
      <c r="K74" t="s">
        <v>3</v>
      </c>
      <c r="R74" t="s">
        <v>209</v>
      </c>
      <c r="S74" t="s">
        <v>3</v>
      </c>
      <c r="T74" t="str">
        <f>J86</f>
        <v>あなたのライブラリーから次の狼男を取ってくる。それは9マナを得る。</v>
      </c>
    </row>
    <row r="75" spans="1:20" x14ac:dyDescent="0.15">
      <c r="A75" t="str">
        <f t="shared" si="15"/>
        <v>|Lv24|Lv2|6|あなたがコントロールするクリーチャー1体を対象とし、ターン終了時まで+2/+2の修正と速攻とトランプルを得る。|</v>
      </c>
      <c r="B75" t="s">
        <v>3</v>
      </c>
      <c r="C75" t="s">
        <v>246</v>
      </c>
      <c r="E75" t="s">
        <v>3</v>
      </c>
      <c r="F75" t="s">
        <v>31</v>
      </c>
      <c r="G75" t="s">
        <v>3</v>
      </c>
      <c r="H75">
        <v>6</v>
      </c>
      <c r="I75" t="s">
        <v>3</v>
      </c>
      <c r="J75" t="s">
        <v>430</v>
      </c>
      <c r="K75" t="s">
        <v>3</v>
      </c>
      <c r="R75" t="str">
        <f>D89&amp;E89&amp;F89</f>
        <v>月の接触/Touch of the Moon</v>
      </c>
      <c r="S75" t="s">
        <v>3</v>
      </c>
      <c r="T75">
        <f>H95</f>
        <v>12</v>
      </c>
    </row>
    <row r="76" spans="1:20" x14ac:dyDescent="0.15">
      <c r="A76" t="str">
        <f t="shared" si="15"/>
        <v>|Lv40|Lv3|6|あなたがコントロールするクリーチャー1体を対象とし、ターン終了時まで+3/+3の修正と速攻とトランプルを得る。|</v>
      </c>
      <c r="B76" t="s">
        <v>3</v>
      </c>
      <c r="C76" t="s">
        <v>248</v>
      </c>
      <c r="E76" t="s">
        <v>3</v>
      </c>
      <c r="F76" t="s">
        <v>32</v>
      </c>
      <c r="G76" t="s">
        <v>3</v>
      </c>
      <c r="H76">
        <v>6</v>
      </c>
      <c r="I76" t="s">
        <v>3</v>
      </c>
      <c r="J76" t="s">
        <v>431</v>
      </c>
      <c r="K76" t="s">
        <v>3</v>
      </c>
      <c r="R76" t="s">
        <v>209</v>
      </c>
      <c r="S76" t="s">
        <v>3</v>
      </c>
      <c r="T76" t="str">
        <f>J95</f>
        <v>あなたがコントロールする各狼男は+4/+4の修正を得る。アーリン・コードを変身させる。</v>
      </c>
    </row>
    <row r="77" spans="1:20" x14ac:dyDescent="0.15">
      <c r="A77" t="str">
        <f t="shared" si="15"/>
        <v>|Lv56|Lv4|6|あなたがコントロールするクリーチャー1体を対象とし、ターン終了時まで+4/+4の修正と速攻とトランプルを得る。|</v>
      </c>
      <c r="B77" t="s">
        <v>3</v>
      </c>
      <c r="C77" t="s">
        <v>250</v>
      </c>
      <c r="E77" t="s">
        <v>3</v>
      </c>
      <c r="F77" t="s">
        <v>33</v>
      </c>
      <c r="G77" t="s">
        <v>3</v>
      </c>
      <c r="H77">
        <v>6</v>
      </c>
      <c r="I77" t="s">
        <v>3</v>
      </c>
      <c r="J77" t="s">
        <v>432</v>
      </c>
      <c r="K77" t="s">
        <v>3</v>
      </c>
    </row>
    <row r="78" spans="1:20" x14ac:dyDescent="0.15">
      <c r="A78" t="str">
        <f t="shared" si="15"/>
        <v>&amp;br;</v>
      </c>
      <c r="B78" t="s">
        <v>0</v>
      </c>
    </row>
    <row r="79" spans="1:20" x14ac:dyDescent="0.15">
      <c r="A79" t="str">
        <f t="shared" si="15"/>
        <v>&amp;br;</v>
      </c>
      <c r="B79" t="s">
        <v>0</v>
      </c>
    </row>
    <row r="80" spans="1:20" x14ac:dyDescent="0.15">
      <c r="A80" t="str">
        <f t="shared" si="15"/>
        <v>**第2能力：群れの呼び出し/Call the Pack</v>
      </c>
      <c r="B80" t="s">
        <v>34</v>
      </c>
      <c r="D80" t="s">
        <v>433</v>
      </c>
      <c r="E80" t="s">
        <v>25</v>
      </c>
      <c r="F80" t="s">
        <v>434</v>
      </c>
    </row>
    <row r="81" spans="1:12" x14ac:dyDescent="0.15">
      <c r="A81" t="str">
        <f t="shared" si="15"/>
        <v>|LEFT:50|LEFT:50|LEFT:50|LEFT:300|c</v>
      </c>
      <c r="B81" t="s">
        <v>3</v>
      </c>
      <c r="C81" t="s">
        <v>4</v>
      </c>
      <c r="E81" t="s">
        <v>3</v>
      </c>
      <c r="F81" t="s">
        <v>4</v>
      </c>
      <c r="G81" t="s">
        <v>3</v>
      </c>
      <c r="H81" t="s">
        <v>4</v>
      </c>
      <c r="I81" t="s">
        <v>3</v>
      </c>
      <c r="J81" t="s">
        <v>26</v>
      </c>
      <c r="K81" t="s">
        <v>3</v>
      </c>
      <c r="L81" t="s">
        <v>5</v>
      </c>
    </row>
    <row r="82" spans="1:12" x14ac:dyDescent="0.15">
      <c r="A82" t="str">
        <f t="shared" si="15"/>
        <v>|解放Lv|レベル|コスト|効果|</v>
      </c>
      <c r="B82" t="s">
        <v>3</v>
      </c>
      <c r="C82" t="s">
        <v>27</v>
      </c>
      <c r="E82" t="s">
        <v>3</v>
      </c>
      <c r="F82" t="s">
        <v>6</v>
      </c>
      <c r="G82" t="s">
        <v>3</v>
      </c>
      <c r="H82" t="s">
        <v>28</v>
      </c>
      <c r="I82" t="s">
        <v>3</v>
      </c>
      <c r="J82" t="s">
        <v>29</v>
      </c>
      <c r="K82" t="s">
        <v>3</v>
      </c>
    </row>
    <row r="83" spans="1:12" x14ac:dyDescent="0.15">
      <c r="A83" t="str">
        <f t="shared" si="15"/>
        <v>|Lv12|Lv1|9|あなたのライブラリーから次の狼男を取ってくる。|</v>
      </c>
      <c r="B83" t="s">
        <v>3</v>
      </c>
      <c r="C83" t="s">
        <v>254</v>
      </c>
      <c r="E83" t="s">
        <v>3</v>
      </c>
      <c r="F83" t="s">
        <v>30</v>
      </c>
      <c r="G83" t="s">
        <v>3</v>
      </c>
      <c r="H83">
        <v>9</v>
      </c>
      <c r="I83" t="s">
        <v>3</v>
      </c>
      <c r="J83" t="s">
        <v>435</v>
      </c>
      <c r="K83" t="s">
        <v>3</v>
      </c>
    </row>
    <row r="84" spans="1:12" x14ac:dyDescent="0.15">
      <c r="A84" t="str">
        <f t="shared" si="15"/>
        <v>|Lv30|Lv2|9|あなたのライブラリーから次の狼男を取ってくる。それは3マナを得る。|</v>
      </c>
      <c r="B84" t="s">
        <v>3</v>
      </c>
      <c r="C84" t="s">
        <v>256</v>
      </c>
      <c r="E84" t="s">
        <v>3</v>
      </c>
      <c r="F84" t="s">
        <v>31</v>
      </c>
      <c r="G84" t="s">
        <v>3</v>
      </c>
      <c r="H84">
        <v>9</v>
      </c>
      <c r="I84" t="s">
        <v>3</v>
      </c>
      <c r="J84" t="s">
        <v>436</v>
      </c>
      <c r="K84" t="s">
        <v>3</v>
      </c>
    </row>
    <row r="85" spans="1:12" x14ac:dyDescent="0.15">
      <c r="A85" t="str">
        <f t="shared" si="15"/>
        <v>|Lv46|Lv3|9|あなたのライブラリーから次の狼男を取ってくる。それは6マナを得る。|</v>
      </c>
      <c r="B85" t="s">
        <v>3</v>
      </c>
      <c r="C85" t="s">
        <v>258</v>
      </c>
      <c r="E85" t="s">
        <v>3</v>
      </c>
      <c r="F85" t="s">
        <v>32</v>
      </c>
      <c r="G85" t="s">
        <v>3</v>
      </c>
      <c r="H85">
        <v>9</v>
      </c>
      <c r="I85" t="s">
        <v>3</v>
      </c>
      <c r="J85" t="s">
        <v>437</v>
      </c>
      <c r="K85" t="s">
        <v>3</v>
      </c>
    </row>
    <row r="86" spans="1:12" x14ac:dyDescent="0.15">
      <c r="A86" t="str">
        <f t="shared" si="15"/>
        <v>|Lv58|Lv4|9|あなたのライブラリーから次の狼男を取ってくる。それは9マナを得る。|</v>
      </c>
      <c r="B86" t="s">
        <v>3</v>
      </c>
      <c r="C86" t="s">
        <v>260</v>
      </c>
      <c r="E86" t="s">
        <v>3</v>
      </c>
      <c r="F86" t="s">
        <v>33</v>
      </c>
      <c r="G86" t="s">
        <v>3</v>
      </c>
      <c r="H86">
        <v>9</v>
      </c>
      <c r="I86" t="s">
        <v>3</v>
      </c>
      <c r="J86" t="s">
        <v>438</v>
      </c>
      <c r="K86" t="s">
        <v>3</v>
      </c>
    </row>
    <row r="87" spans="1:12" x14ac:dyDescent="0.15">
      <c r="A87" t="str">
        <f t="shared" si="15"/>
        <v>&amp;br;</v>
      </c>
      <c r="B87" t="s">
        <v>0</v>
      </c>
    </row>
    <row r="88" spans="1:12" x14ac:dyDescent="0.15">
      <c r="A88" t="str">
        <f t="shared" si="15"/>
        <v>&amp;br;</v>
      </c>
      <c r="B88" t="s">
        <v>0</v>
      </c>
    </row>
    <row r="89" spans="1:12" x14ac:dyDescent="0.15">
      <c r="A89" t="str">
        <f t="shared" si="15"/>
        <v>**第3能力：月の接触/Touch of the Moon</v>
      </c>
      <c r="B89" t="s">
        <v>35</v>
      </c>
      <c r="D89" t="s">
        <v>439</v>
      </c>
      <c r="E89" t="s">
        <v>25</v>
      </c>
      <c r="F89" t="s">
        <v>440</v>
      </c>
    </row>
    <row r="90" spans="1:12" x14ac:dyDescent="0.15">
      <c r="A90" t="str">
        <f t="shared" ref="A90:A183" si="16">B90&amp;C90&amp;D90&amp;E90&amp;F90&amp;G90&amp;H90&amp;I90&amp;J90&amp;K90&amp;L90&amp;M90&amp;N90&amp;O90&amp;P90</f>
        <v>|LEFT:50|LEFT:50|LEFT:50|LEFT:300|c</v>
      </c>
      <c r="B90" t="s">
        <v>3</v>
      </c>
      <c r="C90" t="s">
        <v>4</v>
      </c>
      <c r="E90" t="s">
        <v>3</v>
      </c>
      <c r="F90" t="s">
        <v>4</v>
      </c>
      <c r="G90" t="s">
        <v>3</v>
      </c>
      <c r="H90" t="s">
        <v>4</v>
      </c>
      <c r="I90" t="s">
        <v>3</v>
      </c>
      <c r="J90" t="s">
        <v>26</v>
      </c>
      <c r="K90" t="s">
        <v>3</v>
      </c>
      <c r="L90" t="s">
        <v>5</v>
      </c>
    </row>
    <row r="91" spans="1:12" x14ac:dyDescent="0.15">
      <c r="A91" t="str">
        <f t="shared" si="16"/>
        <v>|解放Lv|レベル|コスト|効果|</v>
      </c>
      <c r="B91" t="s">
        <v>3</v>
      </c>
      <c r="C91" t="s">
        <v>27</v>
      </c>
      <c r="E91" t="s">
        <v>3</v>
      </c>
      <c r="F91" t="s">
        <v>6</v>
      </c>
      <c r="G91" t="s">
        <v>3</v>
      </c>
      <c r="H91" t="s">
        <v>28</v>
      </c>
      <c r="I91" t="s">
        <v>3</v>
      </c>
      <c r="J91" t="s">
        <v>29</v>
      </c>
      <c r="K91" t="s">
        <v>3</v>
      </c>
    </row>
    <row r="92" spans="1:12" x14ac:dyDescent="0.15">
      <c r="A92" t="str">
        <f t="shared" si="16"/>
        <v>|Lv18|Lv1|12|あなたがコントロールする各狼男は+1/+1の修正を得る。アーリン・コードを変身させる。|</v>
      </c>
      <c r="B92" t="s">
        <v>3</v>
      </c>
      <c r="C92" t="s">
        <v>264</v>
      </c>
      <c r="E92" t="s">
        <v>3</v>
      </c>
      <c r="F92" t="s">
        <v>30</v>
      </c>
      <c r="G92" t="s">
        <v>3</v>
      </c>
      <c r="H92">
        <v>12</v>
      </c>
      <c r="I92" t="s">
        <v>3</v>
      </c>
      <c r="J92" t="s">
        <v>441</v>
      </c>
      <c r="K92" t="s">
        <v>3</v>
      </c>
    </row>
    <row r="93" spans="1:12" x14ac:dyDescent="0.15">
      <c r="A93" t="str">
        <f t="shared" si="16"/>
        <v>|Lv36|Lv2|12|あなたがコントロールする各狼男は+2/+2の修正を得る。アーリン・コードを変身させる。|</v>
      </c>
      <c r="B93" t="s">
        <v>3</v>
      </c>
      <c r="C93" t="s">
        <v>266</v>
      </c>
      <c r="E93" t="s">
        <v>3</v>
      </c>
      <c r="F93" t="s">
        <v>31</v>
      </c>
      <c r="G93" t="s">
        <v>3</v>
      </c>
      <c r="H93">
        <v>12</v>
      </c>
      <c r="I93" t="s">
        <v>3</v>
      </c>
      <c r="J93" t="s">
        <v>442</v>
      </c>
      <c r="K93" t="s">
        <v>3</v>
      </c>
    </row>
    <row r="94" spans="1:12" x14ac:dyDescent="0.15">
      <c r="A94" t="str">
        <f t="shared" si="16"/>
        <v>|Lv58|Lv3|12|あなたがコントロールする各狼男は+3/+3の修正を得る。アーリン・コードを変身させる。|</v>
      </c>
      <c r="B94" t="s">
        <v>3</v>
      </c>
      <c r="C94" t="s">
        <v>260</v>
      </c>
      <c r="E94" t="s">
        <v>3</v>
      </c>
      <c r="F94" t="s">
        <v>32</v>
      </c>
      <c r="G94" t="s">
        <v>3</v>
      </c>
      <c r="H94">
        <v>12</v>
      </c>
      <c r="I94" t="s">
        <v>3</v>
      </c>
      <c r="J94" t="s">
        <v>443</v>
      </c>
      <c r="K94" t="s">
        <v>3</v>
      </c>
    </row>
    <row r="95" spans="1:12" x14ac:dyDescent="0.15">
      <c r="A95" t="str">
        <f t="shared" si="16"/>
        <v>|Lv60|Lv4|12|あなたがコントロールする各狼男は+4/+4の修正を得る。アーリン・コードを変身させる。|</v>
      </c>
      <c r="B95" t="s">
        <v>3</v>
      </c>
      <c r="C95" t="s">
        <v>8</v>
      </c>
      <c r="D95">
        <v>60</v>
      </c>
      <c r="E95" t="s">
        <v>3</v>
      </c>
      <c r="F95" t="s">
        <v>33</v>
      </c>
      <c r="G95" t="s">
        <v>3</v>
      </c>
      <c r="H95">
        <v>12</v>
      </c>
      <c r="I95" t="s">
        <v>3</v>
      </c>
      <c r="J95" t="s">
        <v>444</v>
      </c>
      <c r="K95" t="s">
        <v>3</v>
      </c>
    </row>
    <row r="96" spans="1:12" x14ac:dyDescent="0.15">
      <c r="A96" t="str">
        <f t="shared" si="16"/>
        <v>・自分のコントロールするクリーチャーに狼男がいない場合、この能力は起動できない。</v>
      </c>
      <c r="B96" t="s">
        <v>445</v>
      </c>
    </row>
    <row r="97" spans="1:20" x14ac:dyDescent="0.15">
      <c r="A97" t="str">
        <f t="shared" si="16"/>
        <v>&amp;br;</v>
      </c>
      <c r="B97" t="s">
        <v>0</v>
      </c>
    </row>
    <row r="98" spans="1:20" x14ac:dyDescent="0.15">
      <c r="A98" t="str">
        <f t="shared" si="16"/>
        <v>&amp;br;</v>
      </c>
      <c r="B98" t="s">
        <v>0</v>
      </c>
    </row>
    <row r="99" spans="1:20" x14ac:dyDescent="0.15">
      <c r="A99" t="str">
        <f t="shared" si="16"/>
        <v>**変身後</v>
      </c>
      <c r="B99" t="s">
        <v>446</v>
      </c>
    </row>
    <row r="100" spans="1:20" x14ac:dyDescent="0.15">
      <c r="A100" t="str">
        <f t="shared" si="16"/>
        <v>**第1能力：月の抱擁/Moon's Embrace</v>
      </c>
      <c r="B100" t="s">
        <v>24</v>
      </c>
      <c r="D100" t="s">
        <v>447</v>
      </c>
      <c r="E100" t="s">
        <v>25</v>
      </c>
      <c r="F100" t="s">
        <v>448</v>
      </c>
      <c r="R100" t="str">
        <f>D100&amp;E100&amp;F100</f>
        <v>月の抱擁/Moon's Embrace</v>
      </c>
      <c r="S100" t="s">
        <v>3</v>
      </c>
      <c r="T100">
        <f>H106</f>
        <v>3</v>
      </c>
    </row>
    <row r="101" spans="1:20" x14ac:dyDescent="0.15">
      <c r="A101" t="str">
        <f t="shared" si="16"/>
        <v>|LEFT:50|LEFT:50|LEFT:50|LEFT:300|c</v>
      </c>
      <c r="B101" t="s">
        <v>3</v>
      </c>
      <c r="C101" t="s">
        <v>4</v>
      </c>
      <c r="E101" t="s">
        <v>3</v>
      </c>
      <c r="F101" t="s">
        <v>4</v>
      </c>
      <c r="G101" t="s">
        <v>3</v>
      </c>
      <c r="H101" t="s">
        <v>4</v>
      </c>
      <c r="I101" t="s">
        <v>3</v>
      </c>
      <c r="J101" t="s">
        <v>26</v>
      </c>
      <c r="K101" t="s">
        <v>3</v>
      </c>
      <c r="L101" t="s">
        <v>5</v>
      </c>
      <c r="R101" t="s">
        <v>209</v>
      </c>
      <c r="S101" t="s">
        <v>3</v>
      </c>
      <c r="T101" t="str">
        <f>J106</f>
        <v>狼男1体を対象とし、それを変身させる。それは+3/+3の修正を得る。</v>
      </c>
    </row>
    <row r="102" spans="1:20" x14ac:dyDescent="0.15">
      <c r="A102" t="str">
        <f t="shared" si="16"/>
        <v>|解放Lv|レベル|コスト|効果|</v>
      </c>
      <c r="B102" t="s">
        <v>3</v>
      </c>
      <c r="C102" t="s">
        <v>27</v>
      </c>
      <c r="E102" t="s">
        <v>3</v>
      </c>
      <c r="F102" t="s">
        <v>6</v>
      </c>
      <c r="G102" t="s">
        <v>3</v>
      </c>
      <c r="H102" t="s">
        <v>28</v>
      </c>
      <c r="I102" t="s">
        <v>3</v>
      </c>
      <c r="J102" t="s">
        <v>29</v>
      </c>
      <c r="K102" t="s">
        <v>3</v>
      </c>
      <c r="R102" t="str">
        <f>D109&amp;E109&amp;F109</f>
        <v>狩りの群れ/Hunt with the Pack</v>
      </c>
      <c r="S102" t="s">
        <v>3</v>
      </c>
      <c r="T102">
        <f>H115</f>
        <v>12</v>
      </c>
    </row>
    <row r="103" spans="1:20" x14ac:dyDescent="0.15">
      <c r="A103" t="str">
        <f t="shared" si="16"/>
        <v>|Lv6|Lv1|3|狼男1体を対象とし、それを変身させる。|</v>
      </c>
      <c r="B103" t="s">
        <v>3</v>
      </c>
      <c r="C103" t="s">
        <v>244</v>
      </c>
      <c r="E103" t="s">
        <v>3</v>
      </c>
      <c r="F103" t="s">
        <v>30</v>
      </c>
      <c r="G103" t="s">
        <v>3</v>
      </c>
      <c r="H103">
        <v>3</v>
      </c>
      <c r="I103" t="s">
        <v>3</v>
      </c>
      <c r="J103" t="s">
        <v>449</v>
      </c>
      <c r="K103" t="s">
        <v>3</v>
      </c>
      <c r="R103" t="s">
        <v>209</v>
      </c>
      <c r="S103" t="s">
        <v>3</v>
      </c>
      <c r="T103" t="str">
        <f>J115</f>
        <v>トランプルとバーサーカーを持つ2/2の狼男・トークンを4体生成する。</v>
      </c>
    </row>
    <row r="104" spans="1:20" x14ac:dyDescent="0.15">
      <c r="A104" t="str">
        <f t="shared" si="16"/>
        <v>|Lv24|Lv2|3|狼男1体を対象とし、それを変身させる。それは+1/+1の修正を得る。|</v>
      </c>
      <c r="B104" t="s">
        <v>3</v>
      </c>
      <c r="C104" t="s">
        <v>246</v>
      </c>
      <c r="E104" t="s">
        <v>3</v>
      </c>
      <c r="F104" t="s">
        <v>31</v>
      </c>
      <c r="G104" t="s">
        <v>3</v>
      </c>
      <c r="H104">
        <v>3</v>
      </c>
      <c r="I104" t="s">
        <v>3</v>
      </c>
      <c r="J104" t="s">
        <v>450</v>
      </c>
      <c r="K104" t="s">
        <v>3</v>
      </c>
      <c r="R104" t="str">
        <f>D118&amp;E118&amp;F118</f>
        <v>獣人の激情/Lycanthropic Frenzy</v>
      </c>
      <c r="S104" t="s">
        <v>3</v>
      </c>
      <c r="T104">
        <f>H124</f>
        <v>18</v>
      </c>
    </row>
    <row r="105" spans="1:20" x14ac:dyDescent="0.15">
      <c r="A105" t="str">
        <f t="shared" si="16"/>
        <v>|Lv40|Lv3|3|狼男1体を対象とし、それを変身させる。それは+2/+2の修正を得る。|</v>
      </c>
      <c r="B105" t="s">
        <v>3</v>
      </c>
      <c r="C105" t="s">
        <v>248</v>
      </c>
      <c r="E105" t="s">
        <v>3</v>
      </c>
      <c r="F105" t="s">
        <v>32</v>
      </c>
      <c r="G105" t="s">
        <v>3</v>
      </c>
      <c r="H105">
        <v>3</v>
      </c>
      <c r="I105" t="s">
        <v>3</v>
      </c>
      <c r="J105" t="s">
        <v>451</v>
      </c>
      <c r="K105" t="s">
        <v>3</v>
      </c>
      <c r="R105" t="s">
        <v>209</v>
      </c>
      <c r="S105" t="s">
        <v>3</v>
      </c>
      <c r="T105" t="str">
        <f>J124</f>
        <v>あなたがコントロールする各狼男は+10/+10の修正を得る。アーリン・コードを変身させる。</v>
      </c>
    </row>
    <row r="106" spans="1:20" x14ac:dyDescent="0.15">
      <c r="A106" t="str">
        <f t="shared" si="16"/>
        <v>|Lv56|Lv4|3|狼男1体を対象とし、それを変身させる。それは+3/+3の修正を得る。|</v>
      </c>
      <c r="B106" t="s">
        <v>3</v>
      </c>
      <c r="C106" t="s">
        <v>250</v>
      </c>
      <c r="E106" t="s">
        <v>3</v>
      </c>
      <c r="F106" t="s">
        <v>33</v>
      </c>
      <c r="G106" t="s">
        <v>3</v>
      </c>
      <c r="H106">
        <v>3</v>
      </c>
      <c r="I106" t="s">
        <v>3</v>
      </c>
      <c r="J106" t="s">
        <v>452</v>
      </c>
      <c r="K106" t="s">
        <v>3</v>
      </c>
    </row>
    <row r="107" spans="1:20" x14ac:dyDescent="0.15">
      <c r="A107" t="str">
        <f t="shared" si="16"/>
        <v>&amp;br;</v>
      </c>
      <c r="B107" t="s">
        <v>0</v>
      </c>
    </row>
    <row r="108" spans="1:20" x14ac:dyDescent="0.15">
      <c r="A108" t="str">
        <f t="shared" si="16"/>
        <v>&amp;br;</v>
      </c>
      <c r="B108" t="s">
        <v>0</v>
      </c>
    </row>
    <row r="109" spans="1:20" x14ac:dyDescent="0.15">
      <c r="A109" t="str">
        <f t="shared" si="16"/>
        <v>**第2能力：狩りの群れ/Hunt with the Pack</v>
      </c>
      <c r="B109" t="s">
        <v>34</v>
      </c>
      <c r="D109" t="s">
        <v>453</v>
      </c>
      <c r="E109" t="s">
        <v>25</v>
      </c>
      <c r="F109" t="s">
        <v>454</v>
      </c>
    </row>
    <row r="110" spans="1:20" x14ac:dyDescent="0.15">
      <c r="A110" t="str">
        <f t="shared" si="16"/>
        <v>|LEFT:50|LEFT:50|LEFT:50|LEFT:300|c</v>
      </c>
      <c r="B110" t="s">
        <v>3</v>
      </c>
      <c r="C110" t="s">
        <v>4</v>
      </c>
      <c r="E110" t="s">
        <v>3</v>
      </c>
      <c r="F110" t="s">
        <v>4</v>
      </c>
      <c r="G110" t="s">
        <v>3</v>
      </c>
      <c r="H110" t="s">
        <v>4</v>
      </c>
      <c r="I110" t="s">
        <v>3</v>
      </c>
      <c r="J110" t="s">
        <v>26</v>
      </c>
      <c r="K110" t="s">
        <v>3</v>
      </c>
      <c r="L110" t="s">
        <v>5</v>
      </c>
    </row>
    <row r="111" spans="1:20" x14ac:dyDescent="0.15">
      <c r="A111" t="str">
        <f t="shared" si="16"/>
        <v>|解放Lv|レベル|コスト|効果|</v>
      </c>
      <c r="B111" t="s">
        <v>3</v>
      </c>
      <c r="C111" t="s">
        <v>27</v>
      </c>
      <c r="E111" t="s">
        <v>3</v>
      </c>
      <c r="F111" t="s">
        <v>6</v>
      </c>
      <c r="G111" t="s">
        <v>3</v>
      </c>
      <c r="H111" t="s">
        <v>28</v>
      </c>
      <c r="I111" t="s">
        <v>3</v>
      </c>
      <c r="J111" t="s">
        <v>29</v>
      </c>
      <c r="K111" t="s">
        <v>3</v>
      </c>
    </row>
    <row r="112" spans="1:20" x14ac:dyDescent="0.15">
      <c r="A112" t="str">
        <f t="shared" si="16"/>
        <v>|Lv12|Lv1|12|トランプルとバーサーカーを持つ2/2の狼男・トークンを1体生成する。|</v>
      </c>
      <c r="B112" t="s">
        <v>3</v>
      </c>
      <c r="C112" t="s">
        <v>254</v>
      </c>
      <c r="E112" t="s">
        <v>3</v>
      </c>
      <c r="F112" t="s">
        <v>30</v>
      </c>
      <c r="G112" t="s">
        <v>3</v>
      </c>
      <c r="H112">
        <v>12</v>
      </c>
      <c r="I112" t="s">
        <v>3</v>
      </c>
      <c r="J112" t="s">
        <v>455</v>
      </c>
      <c r="K112" t="s">
        <v>3</v>
      </c>
    </row>
    <row r="113" spans="1:12" x14ac:dyDescent="0.15">
      <c r="A113" t="str">
        <f t="shared" si="16"/>
        <v>|Lv30|Lv2|12|トランプルとバーサーカーを持つ2/2の狼男・トークンを2体生成する。|</v>
      </c>
      <c r="B113" t="s">
        <v>3</v>
      </c>
      <c r="C113" t="s">
        <v>256</v>
      </c>
      <c r="E113" t="s">
        <v>3</v>
      </c>
      <c r="F113" t="s">
        <v>31</v>
      </c>
      <c r="G113" t="s">
        <v>3</v>
      </c>
      <c r="H113">
        <v>12</v>
      </c>
      <c r="I113" t="s">
        <v>3</v>
      </c>
      <c r="J113" t="s">
        <v>456</v>
      </c>
      <c r="K113" t="s">
        <v>3</v>
      </c>
    </row>
    <row r="114" spans="1:12" x14ac:dyDescent="0.15">
      <c r="A114" t="str">
        <f t="shared" si="16"/>
        <v>|Lv46|Lv3|12|トランプルとバーサーカーを持つ2/2の狼男・トークンを3体生成する。|</v>
      </c>
      <c r="B114" t="s">
        <v>3</v>
      </c>
      <c r="C114" t="s">
        <v>258</v>
      </c>
      <c r="E114" t="s">
        <v>3</v>
      </c>
      <c r="F114" t="s">
        <v>32</v>
      </c>
      <c r="G114" t="s">
        <v>3</v>
      </c>
      <c r="H114">
        <v>12</v>
      </c>
      <c r="I114" t="s">
        <v>3</v>
      </c>
      <c r="J114" t="s">
        <v>457</v>
      </c>
      <c r="K114" t="s">
        <v>3</v>
      </c>
    </row>
    <row r="115" spans="1:12" x14ac:dyDescent="0.15">
      <c r="A115" t="str">
        <f t="shared" si="16"/>
        <v>|Lv58|Lv4|12|トランプルとバーサーカーを持つ2/2の狼男・トークンを4体生成する。|</v>
      </c>
      <c r="B115" t="s">
        <v>3</v>
      </c>
      <c r="C115" t="s">
        <v>260</v>
      </c>
      <c r="E115" t="s">
        <v>3</v>
      </c>
      <c r="F115" t="s">
        <v>33</v>
      </c>
      <c r="G115" t="s">
        <v>3</v>
      </c>
      <c r="H115">
        <v>12</v>
      </c>
      <c r="I115" t="s">
        <v>3</v>
      </c>
      <c r="J115" t="s">
        <v>458</v>
      </c>
      <c r="K115" t="s">
        <v>3</v>
      </c>
    </row>
    <row r="116" spans="1:12" x14ac:dyDescent="0.15">
      <c r="A116" t="str">
        <f t="shared" si="16"/>
        <v>&amp;br;</v>
      </c>
      <c r="B116" t="s">
        <v>0</v>
      </c>
    </row>
    <row r="117" spans="1:12" x14ac:dyDescent="0.15">
      <c r="A117" t="str">
        <f t="shared" si="16"/>
        <v>&amp;br;</v>
      </c>
      <c r="B117" t="s">
        <v>0</v>
      </c>
    </row>
    <row r="118" spans="1:12" x14ac:dyDescent="0.15">
      <c r="A118" t="str">
        <f t="shared" si="16"/>
        <v>**第3能力：獣人の激情/Lycanthropic Frenzy</v>
      </c>
      <c r="B118" t="s">
        <v>35</v>
      </c>
      <c r="D118" t="s">
        <v>459</v>
      </c>
      <c r="E118" t="s">
        <v>25</v>
      </c>
      <c r="F118" t="s">
        <v>460</v>
      </c>
    </row>
    <row r="119" spans="1:12" x14ac:dyDescent="0.15">
      <c r="A119" t="str">
        <f t="shared" ref="A119:A127" si="17">B119&amp;C119&amp;D119&amp;E119&amp;F119&amp;G119&amp;H119&amp;I119&amp;J119&amp;K119&amp;L119&amp;M119&amp;N119&amp;O119&amp;P119</f>
        <v>|LEFT:50|LEFT:50|LEFT:50|LEFT:300|c</v>
      </c>
      <c r="B119" t="s">
        <v>3</v>
      </c>
      <c r="C119" t="s">
        <v>4</v>
      </c>
      <c r="E119" t="s">
        <v>3</v>
      </c>
      <c r="F119" t="s">
        <v>4</v>
      </c>
      <c r="G119" t="s">
        <v>3</v>
      </c>
      <c r="H119" t="s">
        <v>4</v>
      </c>
      <c r="I119" t="s">
        <v>3</v>
      </c>
      <c r="J119" t="s">
        <v>26</v>
      </c>
      <c r="K119" t="s">
        <v>3</v>
      </c>
      <c r="L119" t="s">
        <v>5</v>
      </c>
    </row>
    <row r="120" spans="1:12" x14ac:dyDescent="0.15">
      <c r="A120" t="str">
        <f t="shared" si="17"/>
        <v>|解放Lv|レベル|コスト|効果|</v>
      </c>
      <c r="B120" t="s">
        <v>3</v>
      </c>
      <c r="C120" t="s">
        <v>27</v>
      </c>
      <c r="E120" t="s">
        <v>3</v>
      </c>
      <c r="F120" t="s">
        <v>6</v>
      </c>
      <c r="G120" t="s">
        <v>3</v>
      </c>
      <c r="H120" t="s">
        <v>28</v>
      </c>
      <c r="I120" t="s">
        <v>3</v>
      </c>
      <c r="J120" t="s">
        <v>29</v>
      </c>
      <c r="K120" t="s">
        <v>3</v>
      </c>
    </row>
    <row r="121" spans="1:12" x14ac:dyDescent="0.15">
      <c r="A121" t="str">
        <f t="shared" si="17"/>
        <v>|Lv18|Lv1|18|あなたがコントロールする各狼男は+4/+4の修正を得る。アーリン・コードを変身させる。|</v>
      </c>
      <c r="B121" t="s">
        <v>3</v>
      </c>
      <c r="C121" t="s">
        <v>264</v>
      </c>
      <c r="E121" t="s">
        <v>3</v>
      </c>
      <c r="F121" t="s">
        <v>30</v>
      </c>
      <c r="G121" t="s">
        <v>3</v>
      </c>
      <c r="H121">
        <v>18</v>
      </c>
      <c r="I121" t="s">
        <v>3</v>
      </c>
      <c r="J121" t="s">
        <v>444</v>
      </c>
      <c r="K121" t="s">
        <v>3</v>
      </c>
    </row>
    <row r="122" spans="1:12" x14ac:dyDescent="0.15">
      <c r="A122" t="str">
        <f t="shared" si="17"/>
        <v>|Lv36|Lv2|18|あなたがコントロールする各狼男は+6/+6の修正を得る。アーリン・コードを変身させる。|</v>
      </c>
      <c r="B122" t="s">
        <v>3</v>
      </c>
      <c r="C122" t="s">
        <v>266</v>
      </c>
      <c r="E122" t="s">
        <v>3</v>
      </c>
      <c r="F122" t="s">
        <v>31</v>
      </c>
      <c r="G122" t="s">
        <v>3</v>
      </c>
      <c r="H122">
        <v>18</v>
      </c>
      <c r="I122" t="s">
        <v>3</v>
      </c>
      <c r="J122" t="s">
        <v>461</v>
      </c>
      <c r="K122" t="s">
        <v>3</v>
      </c>
    </row>
    <row r="123" spans="1:12" x14ac:dyDescent="0.15">
      <c r="A123" t="str">
        <f t="shared" si="17"/>
        <v>|Lv58|Lv3|18|あなたがコントロールする各狼男は+8/+8の修正を得る。アーリン・コードを変身させる。|</v>
      </c>
      <c r="B123" t="s">
        <v>3</v>
      </c>
      <c r="C123" t="s">
        <v>260</v>
      </c>
      <c r="E123" t="s">
        <v>3</v>
      </c>
      <c r="F123" t="s">
        <v>32</v>
      </c>
      <c r="G123" t="s">
        <v>3</v>
      </c>
      <c r="H123">
        <v>18</v>
      </c>
      <c r="I123" t="s">
        <v>3</v>
      </c>
      <c r="J123" t="s">
        <v>462</v>
      </c>
      <c r="K123" t="s">
        <v>3</v>
      </c>
    </row>
    <row r="124" spans="1:12" x14ac:dyDescent="0.15">
      <c r="A124" t="str">
        <f t="shared" si="17"/>
        <v>|Lv60|Lv4|18|あなたがコントロールする各狼男は+10/+10の修正を得る。アーリン・コードを変身させる。|</v>
      </c>
      <c r="B124" t="s">
        <v>3</v>
      </c>
      <c r="C124" t="s">
        <v>8</v>
      </c>
      <c r="D124">
        <v>60</v>
      </c>
      <c r="E124" t="s">
        <v>3</v>
      </c>
      <c r="F124" t="s">
        <v>33</v>
      </c>
      <c r="G124" t="s">
        <v>3</v>
      </c>
      <c r="H124">
        <v>18</v>
      </c>
      <c r="I124" t="s">
        <v>3</v>
      </c>
      <c r="J124" t="s">
        <v>463</v>
      </c>
      <c r="K124" t="s">
        <v>3</v>
      </c>
    </row>
    <row r="125" spans="1:12" x14ac:dyDescent="0.15">
      <c r="A125" t="str">
        <f t="shared" si="17"/>
        <v>・自分のコントロールするクリーチャーに狼男がいない場合、この能力は起動できない。</v>
      </c>
      <c r="B125" t="s">
        <v>445</v>
      </c>
    </row>
    <row r="126" spans="1:12" x14ac:dyDescent="0.15">
      <c r="A126" t="str">
        <f t="shared" si="17"/>
        <v>&amp;br;</v>
      </c>
      <c r="B126" t="s">
        <v>0</v>
      </c>
    </row>
    <row r="127" spans="1:12" x14ac:dyDescent="0.15">
      <c r="A127" t="str">
        <f t="shared" si="17"/>
        <v>&amp;br;</v>
      </c>
      <c r="B127" t="s">
        <v>0</v>
      </c>
    </row>
    <row r="128" spans="1:12" x14ac:dyDescent="0.15">
      <c r="A128" t="str">
        <f t="shared" si="16"/>
        <v>*レベルアップ報酬一覧 [#k0cef29c]</v>
      </c>
      <c r="B128" t="s">
        <v>36</v>
      </c>
    </row>
    <row r="129" spans="1:17" x14ac:dyDescent="0.15">
      <c r="A129" t="str">
        <f t="shared" si="16"/>
        <v>|LEFT:50|LEFT:100|c</v>
      </c>
      <c r="B129" t="s">
        <v>3</v>
      </c>
      <c r="C129" t="s">
        <v>4</v>
      </c>
      <c r="E129" t="s">
        <v>3</v>
      </c>
      <c r="F129" t="s">
        <v>37</v>
      </c>
      <c r="I129" t="s">
        <v>3</v>
      </c>
      <c r="J129" t="s">
        <v>5</v>
      </c>
    </row>
    <row r="130" spans="1:17" x14ac:dyDescent="0.15">
      <c r="A130" t="str">
        <f t="shared" si="16"/>
        <v>|レベル|報酬|</v>
      </c>
      <c r="B130" t="s">
        <v>3</v>
      </c>
      <c r="C130" t="s">
        <v>6</v>
      </c>
      <c r="E130" t="s">
        <v>3</v>
      </c>
      <c r="F130" t="s">
        <v>38</v>
      </c>
      <c r="I130" t="s">
        <v>3</v>
      </c>
      <c r="Q130" t="s">
        <v>7</v>
      </c>
    </row>
    <row r="131" spans="1:17" x14ac:dyDescent="0.15">
      <c r="A131" t="str">
        <f t="shared" si="16"/>
        <v>|Lｖ2|クリーチャー+1|</v>
      </c>
      <c r="B131" t="s">
        <v>3</v>
      </c>
      <c r="C131" t="s">
        <v>39</v>
      </c>
      <c r="D131">
        <v>2</v>
      </c>
      <c r="E131" t="s">
        <v>3</v>
      </c>
      <c r="F131" t="s">
        <v>20</v>
      </c>
      <c r="G131" t="str">
        <f>IF(OR(F131=$Q$139,F131=$Q$140,F131=$Q$141,F131=$Q$142,ISBLANK(F131)),"","+")</f>
        <v>+</v>
      </c>
      <c r="H131">
        <v>1</v>
      </c>
      <c r="I131" t="s">
        <v>3</v>
      </c>
      <c r="Q131" t="s">
        <v>20</v>
      </c>
    </row>
    <row r="132" spans="1:17" x14ac:dyDescent="0.15">
      <c r="A132" t="str">
        <f t="shared" si="16"/>
        <v>|Lｖ3|HP+3|</v>
      </c>
      <c r="B132" t="s">
        <v>3</v>
      </c>
      <c r="C132" t="s">
        <v>39</v>
      </c>
      <c r="D132">
        <v>3</v>
      </c>
      <c r="E132" t="s">
        <v>3</v>
      </c>
      <c r="F132" t="s">
        <v>7</v>
      </c>
      <c r="G132" t="str">
        <f t="shared" ref="G132:G188" si="18">IF(OR(F132=$Q$139,F132=$Q$140,F132=$Q$141,F132=$Q$142,ISBLANK(F132)),"","+")</f>
        <v>+</v>
      </c>
      <c r="H132">
        <v>3</v>
      </c>
      <c r="I132" t="s">
        <v>3</v>
      </c>
      <c r="Q132" t="s">
        <v>21</v>
      </c>
    </row>
    <row r="133" spans="1:17" x14ac:dyDescent="0.15">
      <c r="A133" t="str">
        <f t="shared" si="16"/>
        <v>|Lｖ4|赤+1|</v>
      </c>
      <c r="B133" t="s">
        <v>3</v>
      </c>
      <c r="C133" t="s">
        <v>39</v>
      </c>
      <c r="D133">
        <v>4</v>
      </c>
      <c r="E133" t="s">
        <v>3</v>
      </c>
      <c r="F133" t="s">
        <v>14</v>
      </c>
      <c r="G133" t="str">
        <f t="shared" si="18"/>
        <v>+</v>
      </c>
      <c r="H133">
        <v>1</v>
      </c>
      <c r="I133" t="s">
        <v>3</v>
      </c>
      <c r="Q133" t="s">
        <v>22</v>
      </c>
    </row>
    <row r="134" spans="1:17" x14ac:dyDescent="0.15">
      <c r="A134" t="str">
        <f t="shared" si="16"/>
        <v>|Lｖ5|HP+3|</v>
      </c>
      <c r="B134" t="s">
        <v>3</v>
      </c>
      <c r="C134" t="s">
        <v>39</v>
      </c>
      <c r="D134">
        <v>5</v>
      </c>
      <c r="E134" t="s">
        <v>3</v>
      </c>
      <c r="F134" t="s">
        <v>7</v>
      </c>
      <c r="G134" t="str">
        <f t="shared" si="18"/>
        <v>+</v>
      </c>
      <c r="H134">
        <v>3</v>
      </c>
      <c r="I134" t="s">
        <v>3</v>
      </c>
      <c r="Q134" t="s">
        <v>11</v>
      </c>
    </row>
    <row r="135" spans="1:17" x14ac:dyDescent="0.15">
      <c r="A135" t="str">
        <f t="shared" si="16"/>
        <v>|Lｖ6|第1能力Lv1|</v>
      </c>
      <c r="B135" t="s">
        <v>3</v>
      </c>
      <c r="C135" t="s">
        <v>39</v>
      </c>
      <c r="D135">
        <v>6</v>
      </c>
      <c r="E135" t="s">
        <v>3</v>
      </c>
      <c r="F135" t="s">
        <v>40</v>
      </c>
      <c r="G135" t="str">
        <f t="shared" si="18"/>
        <v/>
      </c>
      <c r="H135">
        <v>1</v>
      </c>
      <c r="I135" t="s">
        <v>3</v>
      </c>
      <c r="Q135" t="s">
        <v>12</v>
      </c>
    </row>
    <row r="136" spans="1:17" x14ac:dyDescent="0.15">
      <c r="A136" t="str">
        <f t="shared" si="16"/>
        <v>|Lｖ7|HP+3|</v>
      </c>
      <c r="B136" t="s">
        <v>3</v>
      </c>
      <c r="C136" t="s">
        <v>39</v>
      </c>
      <c r="D136">
        <v>7</v>
      </c>
      <c r="E136" t="s">
        <v>3</v>
      </c>
      <c r="F136" t="s">
        <v>7</v>
      </c>
      <c r="G136" t="str">
        <f t="shared" si="18"/>
        <v>+</v>
      </c>
      <c r="H136">
        <v>3</v>
      </c>
      <c r="I136" t="s">
        <v>3</v>
      </c>
      <c r="Q136" t="s">
        <v>13</v>
      </c>
    </row>
    <row r="137" spans="1:17" x14ac:dyDescent="0.15">
      <c r="A137" t="str">
        <f t="shared" si="16"/>
        <v>|Lｖ8|サポート+1|</v>
      </c>
      <c r="B137" t="s">
        <v>3</v>
      </c>
      <c r="C137" t="s">
        <v>39</v>
      </c>
      <c r="D137">
        <v>8</v>
      </c>
      <c r="E137" t="s">
        <v>3</v>
      </c>
      <c r="F137" t="s">
        <v>22</v>
      </c>
      <c r="G137" t="str">
        <f t="shared" si="18"/>
        <v>+</v>
      </c>
      <c r="H137">
        <v>1</v>
      </c>
      <c r="I137" t="s">
        <v>3</v>
      </c>
      <c r="Q137" t="s">
        <v>14</v>
      </c>
    </row>
    <row r="138" spans="1:17" x14ac:dyDescent="0.15">
      <c r="A138" t="str">
        <f t="shared" si="16"/>
        <v>|Lｖ9|HP+3|</v>
      </c>
      <c r="B138" t="s">
        <v>3</v>
      </c>
      <c r="C138" t="s">
        <v>39</v>
      </c>
      <c r="D138">
        <v>9</v>
      </c>
      <c r="E138" t="s">
        <v>3</v>
      </c>
      <c r="F138" t="s">
        <v>7</v>
      </c>
      <c r="G138" t="str">
        <f t="shared" si="18"/>
        <v>+</v>
      </c>
      <c r="H138">
        <v>3</v>
      </c>
      <c r="I138" t="s">
        <v>3</v>
      </c>
      <c r="Q138" t="s">
        <v>15</v>
      </c>
    </row>
    <row r="139" spans="1:17" x14ac:dyDescent="0.15">
      <c r="A139" t="str">
        <f t="shared" si="16"/>
        <v>|Lｖ10|緑+1|</v>
      </c>
      <c r="B139" t="s">
        <v>3</v>
      </c>
      <c r="C139" t="s">
        <v>39</v>
      </c>
      <c r="D139">
        <v>10</v>
      </c>
      <c r="E139" t="s">
        <v>3</v>
      </c>
      <c r="F139" t="s">
        <v>15</v>
      </c>
      <c r="G139" t="str">
        <f t="shared" si="18"/>
        <v>+</v>
      </c>
      <c r="H139">
        <v>1</v>
      </c>
      <c r="I139" t="s">
        <v>3</v>
      </c>
      <c r="Q139" t="s">
        <v>40</v>
      </c>
    </row>
    <row r="140" spans="1:17" x14ac:dyDescent="0.15">
      <c r="A140" t="str">
        <f t="shared" si="16"/>
        <v>|Lｖ11|HP+3|</v>
      </c>
      <c r="B140" t="s">
        <v>3</v>
      </c>
      <c r="C140" t="s">
        <v>39</v>
      </c>
      <c r="D140">
        <v>11</v>
      </c>
      <c r="E140" t="s">
        <v>3</v>
      </c>
      <c r="F140" t="s">
        <v>7</v>
      </c>
      <c r="G140" t="str">
        <f t="shared" si="18"/>
        <v>+</v>
      </c>
      <c r="H140">
        <v>3</v>
      </c>
      <c r="I140" t="s">
        <v>3</v>
      </c>
      <c r="Q140" t="s">
        <v>41</v>
      </c>
    </row>
    <row r="141" spans="1:17" x14ac:dyDescent="0.15">
      <c r="A141" t="str">
        <f t="shared" si="16"/>
        <v>|Lｖ12|第2能力Lv1|</v>
      </c>
      <c r="B141" t="s">
        <v>3</v>
      </c>
      <c r="C141" t="s">
        <v>39</v>
      </c>
      <c r="D141">
        <v>12</v>
      </c>
      <c r="E141" t="s">
        <v>3</v>
      </c>
      <c r="F141" t="s">
        <v>41</v>
      </c>
      <c r="G141" t="str">
        <f t="shared" si="18"/>
        <v/>
      </c>
      <c r="H141">
        <v>1</v>
      </c>
      <c r="I141" t="s">
        <v>3</v>
      </c>
      <c r="Q141" t="s">
        <v>42</v>
      </c>
    </row>
    <row r="142" spans="1:17" x14ac:dyDescent="0.15">
      <c r="A142" t="str">
        <f t="shared" si="16"/>
        <v>|Lｖ13|HP+3|</v>
      </c>
      <c r="B142" t="s">
        <v>3</v>
      </c>
      <c r="C142" t="s">
        <v>39</v>
      </c>
      <c r="D142">
        <v>13</v>
      </c>
      <c r="E142" t="s">
        <v>3</v>
      </c>
      <c r="F142" t="s">
        <v>7</v>
      </c>
      <c r="G142" t="str">
        <f t="shared" si="18"/>
        <v>+</v>
      </c>
      <c r="H142">
        <v>3</v>
      </c>
      <c r="I142" t="s">
        <v>3</v>
      </c>
      <c r="Q142" t="s">
        <v>43</v>
      </c>
    </row>
    <row r="143" spans="1:17" x14ac:dyDescent="0.15">
      <c r="A143" t="str">
        <f t="shared" si="16"/>
        <v>|Lｖ14|呪文+1|</v>
      </c>
      <c r="B143" t="s">
        <v>3</v>
      </c>
      <c r="C143" t="s">
        <v>39</v>
      </c>
      <c r="D143">
        <v>14</v>
      </c>
      <c r="E143" t="s">
        <v>3</v>
      </c>
      <c r="F143" t="s">
        <v>21</v>
      </c>
      <c r="G143" t="str">
        <f t="shared" si="18"/>
        <v>+</v>
      </c>
      <c r="H143">
        <v>1</v>
      </c>
      <c r="I143" t="s">
        <v>3</v>
      </c>
    </row>
    <row r="144" spans="1:17" x14ac:dyDescent="0.15">
      <c r="A144" t="str">
        <f t="shared" si="16"/>
        <v>|Lｖ15|HP+3|</v>
      </c>
      <c r="B144" t="s">
        <v>3</v>
      </c>
      <c r="C144" t="s">
        <v>39</v>
      </c>
      <c r="D144">
        <v>15</v>
      </c>
      <c r="E144" t="s">
        <v>3</v>
      </c>
      <c r="F144" t="s">
        <v>7</v>
      </c>
      <c r="G144" t="str">
        <f t="shared" si="18"/>
        <v>+</v>
      </c>
      <c r="H144">
        <v>3</v>
      </c>
      <c r="I144" t="s">
        <v>3</v>
      </c>
    </row>
    <row r="145" spans="1:9" x14ac:dyDescent="0.15">
      <c r="A145" t="str">
        <f t="shared" si="16"/>
        <v>|Lｖ16|黒+1|</v>
      </c>
      <c r="B145" t="s">
        <v>3</v>
      </c>
      <c r="C145" t="s">
        <v>39</v>
      </c>
      <c r="D145">
        <v>16</v>
      </c>
      <c r="E145" t="s">
        <v>3</v>
      </c>
      <c r="F145" t="s">
        <v>13</v>
      </c>
      <c r="G145" t="str">
        <f t="shared" si="18"/>
        <v>+</v>
      </c>
      <c r="H145">
        <v>1</v>
      </c>
      <c r="I145" t="s">
        <v>3</v>
      </c>
    </row>
    <row r="146" spans="1:9" x14ac:dyDescent="0.15">
      <c r="A146" t="str">
        <f t="shared" si="16"/>
        <v>|Lｖ17|HP+3|</v>
      </c>
      <c r="B146" t="s">
        <v>3</v>
      </c>
      <c r="C146" t="s">
        <v>39</v>
      </c>
      <c r="D146">
        <v>17</v>
      </c>
      <c r="E146" t="s">
        <v>3</v>
      </c>
      <c r="F146" t="s">
        <v>7</v>
      </c>
      <c r="G146" t="str">
        <f t="shared" si="18"/>
        <v>+</v>
      </c>
      <c r="H146">
        <v>3</v>
      </c>
      <c r="I146" t="s">
        <v>3</v>
      </c>
    </row>
    <row r="147" spans="1:9" x14ac:dyDescent="0.15">
      <c r="A147" t="str">
        <f t="shared" si="16"/>
        <v>|Lｖ18|第3能力Lv1|</v>
      </c>
      <c r="B147" t="s">
        <v>3</v>
      </c>
      <c r="C147" t="s">
        <v>39</v>
      </c>
      <c r="D147">
        <v>18</v>
      </c>
      <c r="E147" t="s">
        <v>3</v>
      </c>
      <c r="F147" t="s">
        <v>42</v>
      </c>
      <c r="G147" t="str">
        <f t="shared" si="18"/>
        <v/>
      </c>
      <c r="H147">
        <v>1</v>
      </c>
      <c r="I147" t="s">
        <v>3</v>
      </c>
    </row>
    <row r="148" spans="1:9" x14ac:dyDescent="0.15">
      <c r="A148" t="str">
        <f t="shared" si="16"/>
        <v>|Lｖ19|HP+3|</v>
      </c>
      <c r="B148" t="s">
        <v>3</v>
      </c>
      <c r="C148" t="s">
        <v>39</v>
      </c>
      <c r="D148">
        <v>19</v>
      </c>
      <c r="E148" t="s">
        <v>3</v>
      </c>
      <c r="F148" t="s">
        <v>7</v>
      </c>
      <c r="G148" t="str">
        <f t="shared" si="18"/>
        <v>+</v>
      </c>
      <c r="H148">
        <v>3</v>
      </c>
      <c r="I148" t="s">
        <v>3</v>
      </c>
    </row>
    <row r="149" spans="1:9" x14ac:dyDescent="0.15">
      <c r="A149" t="str">
        <f t="shared" si="16"/>
        <v>|Lｖ20|回復速度上昇|</v>
      </c>
      <c r="B149" t="s">
        <v>3</v>
      </c>
      <c r="C149" t="s">
        <v>39</v>
      </c>
      <c r="D149">
        <v>20</v>
      </c>
      <c r="E149" t="s">
        <v>3</v>
      </c>
      <c r="F149" t="s">
        <v>43</v>
      </c>
      <c r="G149" t="str">
        <f t="shared" si="18"/>
        <v/>
      </c>
      <c r="I149" t="s">
        <v>3</v>
      </c>
    </row>
    <row r="150" spans="1:9" x14ac:dyDescent="0.15">
      <c r="A150" t="str">
        <f t="shared" si="16"/>
        <v>|Lｖ21|HP+3|</v>
      </c>
      <c r="B150" t="s">
        <v>3</v>
      </c>
      <c r="C150" t="s">
        <v>39</v>
      </c>
      <c r="D150">
        <v>21</v>
      </c>
      <c r="E150" t="s">
        <v>3</v>
      </c>
      <c r="F150" t="s">
        <v>7</v>
      </c>
      <c r="G150" t="str">
        <f t="shared" si="18"/>
        <v>+</v>
      </c>
      <c r="H150">
        <v>3</v>
      </c>
      <c r="I150" t="s">
        <v>3</v>
      </c>
    </row>
    <row r="151" spans="1:9" x14ac:dyDescent="0.15">
      <c r="A151" t="str">
        <f t="shared" si="16"/>
        <v>|Lｖ22|青+1|</v>
      </c>
      <c r="B151" t="s">
        <v>3</v>
      </c>
      <c r="C151" t="s">
        <v>39</v>
      </c>
      <c r="D151">
        <v>22</v>
      </c>
      <c r="E151" t="s">
        <v>3</v>
      </c>
      <c r="F151" t="s">
        <v>12</v>
      </c>
      <c r="G151" t="str">
        <f t="shared" si="18"/>
        <v>+</v>
      </c>
      <c r="H151">
        <v>1</v>
      </c>
      <c r="I151" t="s">
        <v>3</v>
      </c>
    </row>
    <row r="152" spans="1:9" x14ac:dyDescent="0.15">
      <c r="A152" t="str">
        <f t="shared" si="16"/>
        <v>|Lｖ23|HP+3|</v>
      </c>
      <c r="B152" t="s">
        <v>3</v>
      </c>
      <c r="C152" t="s">
        <v>39</v>
      </c>
      <c r="D152">
        <v>23</v>
      </c>
      <c r="E152" t="s">
        <v>3</v>
      </c>
      <c r="F152" t="s">
        <v>7</v>
      </c>
      <c r="G152" t="str">
        <f t="shared" si="18"/>
        <v>+</v>
      </c>
      <c r="H152">
        <v>3</v>
      </c>
      <c r="I152" t="s">
        <v>3</v>
      </c>
    </row>
    <row r="153" spans="1:9" x14ac:dyDescent="0.15">
      <c r="A153" t="str">
        <f t="shared" si="16"/>
        <v>|Lｖ24|第1能力Lv2|</v>
      </c>
      <c r="B153" t="s">
        <v>3</v>
      </c>
      <c r="C153" t="s">
        <v>39</v>
      </c>
      <c r="D153">
        <v>24</v>
      </c>
      <c r="E153" t="s">
        <v>3</v>
      </c>
      <c r="F153" t="s">
        <v>40</v>
      </c>
      <c r="G153" t="str">
        <f t="shared" si="18"/>
        <v/>
      </c>
      <c r="H153">
        <v>2</v>
      </c>
      <c r="I153" t="s">
        <v>3</v>
      </c>
    </row>
    <row r="154" spans="1:9" x14ac:dyDescent="0.15">
      <c r="A154" t="str">
        <f t="shared" si="16"/>
        <v>|Lｖ25|HP+3|</v>
      </c>
      <c r="B154" t="s">
        <v>3</v>
      </c>
      <c r="C154" t="s">
        <v>39</v>
      </c>
      <c r="D154">
        <v>25</v>
      </c>
      <c r="E154" t="s">
        <v>3</v>
      </c>
      <c r="F154" t="s">
        <v>7</v>
      </c>
      <c r="G154" t="str">
        <f t="shared" si="18"/>
        <v>+</v>
      </c>
      <c r="H154">
        <v>3</v>
      </c>
      <c r="I154" t="s">
        <v>3</v>
      </c>
    </row>
    <row r="155" spans="1:9" x14ac:dyDescent="0.15">
      <c r="A155" t="str">
        <f t="shared" si="16"/>
        <v>|Lｖ26|クリーチャー+1|</v>
      </c>
      <c r="B155" t="s">
        <v>3</v>
      </c>
      <c r="C155" t="s">
        <v>39</v>
      </c>
      <c r="D155">
        <v>26</v>
      </c>
      <c r="E155" t="s">
        <v>3</v>
      </c>
      <c r="F155" t="s">
        <v>20</v>
      </c>
      <c r="G155" t="str">
        <f t="shared" si="18"/>
        <v>+</v>
      </c>
      <c r="H155">
        <v>1</v>
      </c>
      <c r="I155" t="s">
        <v>3</v>
      </c>
    </row>
    <row r="156" spans="1:9" x14ac:dyDescent="0.15">
      <c r="A156" t="str">
        <f t="shared" si="16"/>
        <v>|Lｖ27|HP+3|</v>
      </c>
      <c r="B156" t="s">
        <v>3</v>
      </c>
      <c r="C156" t="s">
        <v>39</v>
      </c>
      <c r="D156">
        <v>27</v>
      </c>
      <c r="E156" t="s">
        <v>3</v>
      </c>
      <c r="F156" t="s">
        <v>7</v>
      </c>
      <c r="G156" t="str">
        <f t="shared" si="18"/>
        <v>+</v>
      </c>
      <c r="H156">
        <v>3</v>
      </c>
      <c r="I156" t="s">
        <v>3</v>
      </c>
    </row>
    <row r="157" spans="1:9" x14ac:dyDescent="0.15">
      <c r="A157" t="str">
        <f t="shared" si="16"/>
        <v>|Lｖ28|白+1|</v>
      </c>
      <c r="B157" t="s">
        <v>3</v>
      </c>
      <c r="C157" t="s">
        <v>39</v>
      </c>
      <c r="D157">
        <v>28</v>
      </c>
      <c r="E157" t="s">
        <v>3</v>
      </c>
      <c r="F157" t="s">
        <v>11</v>
      </c>
      <c r="G157" t="str">
        <f t="shared" si="18"/>
        <v>+</v>
      </c>
      <c r="H157">
        <v>1</v>
      </c>
      <c r="I157" t="s">
        <v>3</v>
      </c>
    </row>
    <row r="158" spans="1:9" x14ac:dyDescent="0.15">
      <c r="A158" t="str">
        <f t="shared" si="16"/>
        <v>|Lｖ29|HP+3|</v>
      </c>
      <c r="B158" t="s">
        <v>3</v>
      </c>
      <c r="C158" t="s">
        <v>39</v>
      </c>
      <c r="D158">
        <v>29</v>
      </c>
      <c r="E158" t="s">
        <v>3</v>
      </c>
      <c r="F158" t="s">
        <v>7</v>
      </c>
      <c r="G158" t="str">
        <f t="shared" si="18"/>
        <v>+</v>
      </c>
      <c r="H158">
        <v>3</v>
      </c>
      <c r="I158" t="s">
        <v>3</v>
      </c>
    </row>
    <row r="159" spans="1:9" x14ac:dyDescent="0.15">
      <c r="A159" t="str">
        <f t="shared" si="16"/>
        <v>|Lｖ30|第2能力Lv2|</v>
      </c>
      <c r="B159" t="s">
        <v>3</v>
      </c>
      <c r="C159" t="s">
        <v>39</v>
      </c>
      <c r="D159">
        <v>30</v>
      </c>
      <c r="E159" t="s">
        <v>3</v>
      </c>
      <c r="F159" t="s">
        <v>41</v>
      </c>
      <c r="G159" t="str">
        <f t="shared" si="18"/>
        <v/>
      </c>
      <c r="H159">
        <v>2</v>
      </c>
      <c r="I159" t="s">
        <v>3</v>
      </c>
    </row>
    <row r="160" spans="1:9" x14ac:dyDescent="0.15">
      <c r="A160" t="str">
        <f t="shared" si="16"/>
        <v>|Lｖ31|HP+3|</v>
      </c>
      <c r="B160" t="s">
        <v>3</v>
      </c>
      <c r="C160" t="s">
        <v>39</v>
      </c>
      <c r="D160">
        <v>31</v>
      </c>
      <c r="E160" t="s">
        <v>3</v>
      </c>
      <c r="F160" t="s">
        <v>7</v>
      </c>
      <c r="G160" t="str">
        <f t="shared" si="18"/>
        <v>+</v>
      </c>
      <c r="H160">
        <v>3</v>
      </c>
      <c r="I160" t="s">
        <v>3</v>
      </c>
    </row>
    <row r="161" spans="1:9" x14ac:dyDescent="0.15">
      <c r="A161" t="str">
        <f t="shared" si="16"/>
        <v>|Lｖ32|サポート+1|</v>
      </c>
      <c r="B161" t="s">
        <v>3</v>
      </c>
      <c r="C161" t="s">
        <v>39</v>
      </c>
      <c r="D161">
        <v>32</v>
      </c>
      <c r="E161" t="s">
        <v>3</v>
      </c>
      <c r="F161" t="s">
        <v>22</v>
      </c>
      <c r="G161" t="str">
        <f t="shared" si="18"/>
        <v>+</v>
      </c>
      <c r="H161">
        <v>1</v>
      </c>
      <c r="I161" t="s">
        <v>3</v>
      </c>
    </row>
    <row r="162" spans="1:9" x14ac:dyDescent="0.15">
      <c r="A162" t="str">
        <f t="shared" si="16"/>
        <v>|Lｖ33|HP+3|</v>
      </c>
      <c r="B162" t="s">
        <v>3</v>
      </c>
      <c r="C162" t="s">
        <v>39</v>
      </c>
      <c r="D162">
        <v>33</v>
      </c>
      <c r="E162" t="s">
        <v>3</v>
      </c>
      <c r="F162" t="s">
        <v>7</v>
      </c>
      <c r="G162" t="str">
        <f t="shared" si="18"/>
        <v>+</v>
      </c>
      <c r="H162">
        <v>3</v>
      </c>
      <c r="I162" t="s">
        <v>3</v>
      </c>
    </row>
    <row r="163" spans="1:9" x14ac:dyDescent="0.15">
      <c r="A163" t="str">
        <f t="shared" si="16"/>
        <v>|Lｖ34|赤+1|</v>
      </c>
      <c r="B163" t="s">
        <v>3</v>
      </c>
      <c r="C163" t="s">
        <v>39</v>
      </c>
      <c r="D163">
        <v>34</v>
      </c>
      <c r="E163" t="s">
        <v>3</v>
      </c>
      <c r="F163" t="s">
        <v>14</v>
      </c>
      <c r="G163" t="str">
        <f t="shared" si="18"/>
        <v>+</v>
      </c>
      <c r="H163">
        <v>1</v>
      </c>
      <c r="I163" t="s">
        <v>3</v>
      </c>
    </row>
    <row r="164" spans="1:9" x14ac:dyDescent="0.15">
      <c r="A164" t="str">
        <f t="shared" si="16"/>
        <v>|Lｖ35|HP+3|</v>
      </c>
      <c r="B164" t="s">
        <v>3</v>
      </c>
      <c r="C164" t="s">
        <v>39</v>
      </c>
      <c r="D164">
        <v>35</v>
      </c>
      <c r="E164" t="s">
        <v>3</v>
      </c>
      <c r="F164" t="s">
        <v>7</v>
      </c>
      <c r="G164" t="str">
        <f t="shared" si="18"/>
        <v>+</v>
      </c>
      <c r="H164">
        <v>3</v>
      </c>
      <c r="I164" t="s">
        <v>3</v>
      </c>
    </row>
    <row r="165" spans="1:9" x14ac:dyDescent="0.15">
      <c r="A165" t="str">
        <f t="shared" si="16"/>
        <v>|Lｖ36|第3能力Lv2|</v>
      </c>
      <c r="B165" t="s">
        <v>3</v>
      </c>
      <c r="C165" t="s">
        <v>39</v>
      </c>
      <c r="D165">
        <v>36</v>
      </c>
      <c r="E165" t="s">
        <v>3</v>
      </c>
      <c r="F165" t="s">
        <v>42</v>
      </c>
      <c r="G165" t="str">
        <f t="shared" si="18"/>
        <v/>
      </c>
      <c r="H165">
        <v>2</v>
      </c>
      <c r="I165" t="s">
        <v>3</v>
      </c>
    </row>
    <row r="166" spans="1:9" x14ac:dyDescent="0.15">
      <c r="A166" t="str">
        <f t="shared" si="16"/>
        <v>|Lｖ37|HP+3|</v>
      </c>
      <c r="B166" t="s">
        <v>3</v>
      </c>
      <c r="C166" t="s">
        <v>39</v>
      </c>
      <c r="D166">
        <v>37</v>
      </c>
      <c r="E166" t="s">
        <v>3</v>
      </c>
      <c r="F166" t="s">
        <v>7</v>
      </c>
      <c r="G166" t="str">
        <f t="shared" si="18"/>
        <v>+</v>
      </c>
      <c r="H166">
        <v>3</v>
      </c>
      <c r="I166" t="s">
        <v>3</v>
      </c>
    </row>
    <row r="167" spans="1:9" x14ac:dyDescent="0.15">
      <c r="A167" t="str">
        <f t="shared" si="16"/>
        <v>|Lｖ38|呪文+1|</v>
      </c>
      <c r="B167" t="s">
        <v>3</v>
      </c>
      <c r="C167" t="s">
        <v>39</v>
      </c>
      <c r="D167">
        <v>38</v>
      </c>
      <c r="E167" t="s">
        <v>3</v>
      </c>
      <c r="F167" t="s">
        <v>21</v>
      </c>
      <c r="G167" t="str">
        <f t="shared" si="18"/>
        <v>+</v>
      </c>
      <c r="H167">
        <v>1</v>
      </c>
      <c r="I167" t="s">
        <v>3</v>
      </c>
    </row>
    <row r="168" spans="1:9" x14ac:dyDescent="0.15">
      <c r="A168" t="str">
        <f t="shared" si="16"/>
        <v>|Lｖ39|HP+3|</v>
      </c>
      <c r="B168" t="s">
        <v>3</v>
      </c>
      <c r="C168" t="s">
        <v>39</v>
      </c>
      <c r="D168">
        <v>39</v>
      </c>
      <c r="E168" t="s">
        <v>3</v>
      </c>
      <c r="F168" t="s">
        <v>7</v>
      </c>
      <c r="G168" t="str">
        <f t="shared" si="18"/>
        <v>+</v>
      </c>
      <c r="H168">
        <v>3</v>
      </c>
      <c r="I168" t="s">
        <v>3</v>
      </c>
    </row>
    <row r="169" spans="1:9" x14ac:dyDescent="0.15">
      <c r="A169" t="str">
        <f t="shared" si="16"/>
        <v>|Lｖ40|第1能力Lv3|</v>
      </c>
      <c r="B169" t="s">
        <v>3</v>
      </c>
      <c r="C169" t="s">
        <v>39</v>
      </c>
      <c r="D169">
        <v>40</v>
      </c>
      <c r="E169" t="s">
        <v>3</v>
      </c>
      <c r="F169" t="s">
        <v>40</v>
      </c>
      <c r="G169" t="str">
        <f t="shared" si="18"/>
        <v/>
      </c>
      <c r="H169">
        <v>3</v>
      </c>
      <c r="I169" t="s">
        <v>3</v>
      </c>
    </row>
    <row r="170" spans="1:9" x14ac:dyDescent="0.15">
      <c r="A170" t="str">
        <f t="shared" si="16"/>
        <v>|Lｖ41|HP+3|</v>
      </c>
      <c r="B170" t="s">
        <v>3</v>
      </c>
      <c r="C170" t="s">
        <v>39</v>
      </c>
      <c r="D170">
        <v>41</v>
      </c>
      <c r="E170" t="s">
        <v>3</v>
      </c>
      <c r="F170" t="s">
        <v>7</v>
      </c>
      <c r="G170" t="str">
        <f t="shared" si="18"/>
        <v>+</v>
      </c>
      <c r="H170">
        <v>3</v>
      </c>
      <c r="I170" t="s">
        <v>3</v>
      </c>
    </row>
    <row r="171" spans="1:9" x14ac:dyDescent="0.15">
      <c r="A171" t="str">
        <f t="shared" si="16"/>
        <v>|Lｖ42|緑+1|</v>
      </c>
      <c r="B171" t="s">
        <v>3</v>
      </c>
      <c r="C171" t="s">
        <v>39</v>
      </c>
      <c r="D171">
        <v>42</v>
      </c>
      <c r="E171" t="s">
        <v>3</v>
      </c>
      <c r="F171" t="s">
        <v>15</v>
      </c>
      <c r="G171" t="str">
        <f t="shared" si="18"/>
        <v>+</v>
      </c>
      <c r="H171">
        <v>1</v>
      </c>
      <c r="I171" t="s">
        <v>3</v>
      </c>
    </row>
    <row r="172" spans="1:9" x14ac:dyDescent="0.15">
      <c r="A172" t="str">
        <f t="shared" si="16"/>
        <v>|Lｖ43|HP+3|</v>
      </c>
      <c r="B172" t="s">
        <v>3</v>
      </c>
      <c r="C172" t="s">
        <v>39</v>
      </c>
      <c r="D172">
        <v>43</v>
      </c>
      <c r="E172" t="s">
        <v>3</v>
      </c>
      <c r="F172" t="s">
        <v>7</v>
      </c>
      <c r="G172" t="str">
        <f t="shared" si="18"/>
        <v>+</v>
      </c>
      <c r="H172">
        <v>3</v>
      </c>
      <c r="I172" t="s">
        <v>3</v>
      </c>
    </row>
    <row r="173" spans="1:9" x14ac:dyDescent="0.15">
      <c r="A173" t="str">
        <f t="shared" si="16"/>
        <v>|Lｖ44|回復速度上昇|</v>
      </c>
      <c r="B173" t="s">
        <v>3</v>
      </c>
      <c r="C173" t="s">
        <v>39</v>
      </c>
      <c r="D173">
        <v>44</v>
      </c>
      <c r="E173" t="s">
        <v>3</v>
      </c>
      <c r="F173" t="s">
        <v>43</v>
      </c>
      <c r="G173" t="str">
        <f t="shared" si="18"/>
        <v/>
      </c>
      <c r="I173" t="s">
        <v>3</v>
      </c>
    </row>
    <row r="174" spans="1:9" x14ac:dyDescent="0.15">
      <c r="A174" t="str">
        <f t="shared" si="16"/>
        <v>|Lｖ45|HP+3|</v>
      </c>
      <c r="B174" t="s">
        <v>3</v>
      </c>
      <c r="C174" t="s">
        <v>39</v>
      </c>
      <c r="D174">
        <v>45</v>
      </c>
      <c r="E174" t="s">
        <v>3</v>
      </c>
      <c r="F174" t="s">
        <v>7</v>
      </c>
      <c r="G174" t="str">
        <f t="shared" si="18"/>
        <v>+</v>
      </c>
      <c r="H174">
        <v>3</v>
      </c>
      <c r="I174" t="s">
        <v>3</v>
      </c>
    </row>
    <row r="175" spans="1:9" x14ac:dyDescent="0.15">
      <c r="A175" t="str">
        <f t="shared" si="16"/>
        <v>|Lｖ46|第2能力Lv3|</v>
      </c>
      <c r="B175" t="s">
        <v>3</v>
      </c>
      <c r="C175" t="s">
        <v>39</v>
      </c>
      <c r="D175">
        <v>46</v>
      </c>
      <c r="E175" t="s">
        <v>3</v>
      </c>
      <c r="F175" t="s">
        <v>41</v>
      </c>
      <c r="G175" t="str">
        <f t="shared" si="18"/>
        <v/>
      </c>
      <c r="H175">
        <v>3</v>
      </c>
      <c r="I175" t="s">
        <v>3</v>
      </c>
    </row>
    <row r="176" spans="1:9" x14ac:dyDescent="0.15">
      <c r="A176" t="str">
        <f t="shared" si="16"/>
        <v>|Lｖ47|HP+3|</v>
      </c>
      <c r="B176" t="s">
        <v>3</v>
      </c>
      <c r="C176" t="s">
        <v>39</v>
      </c>
      <c r="D176">
        <v>47</v>
      </c>
      <c r="E176" t="s">
        <v>3</v>
      </c>
      <c r="F176" t="s">
        <v>7</v>
      </c>
      <c r="G176" t="str">
        <f t="shared" si="18"/>
        <v>+</v>
      </c>
      <c r="H176">
        <v>3</v>
      </c>
      <c r="I176" t="s">
        <v>3</v>
      </c>
    </row>
    <row r="177" spans="1:9" x14ac:dyDescent="0.15">
      <c r="A177" t="str">
        <f t="shared" si="16"/>
        <v>|Lｖ48|黒+1|</v>
      </c>
      <c r="B177" t="s">
        <v>3</v>
      </c>
      <c r="C177" t="s">
        <v>39</v>
      </c>
      <c r="D177">
        <v>48</v>
      </c>
      <c r="E177" t="s">
        <v>3</v>
      </c>
      <c r="F177" t="s">
        <v>13</v>
      </c>
      <c r="G177" t="str">
        <f t="shared" si="18"/>
        <v>+</v>
      </c>
      <c r="H177">
        <v>1</v>
      </c>
      <c r="I177" t="s">
        <v>3</v>
      </c>
    </row>
    <row r="178" spans="1:9" x14ac:dyDescent="0.15">
      <c r="A178" t="str">
        <f t="shared" si="16"/>
        <v>|Lｖ49|HP+3|</v>
      </c>
      <c r="B178" t="s">
        <v>3</v>
      </c>
      <c r="C178" t="s">
        <v>39</v>
      </c>
      <c r="D178">
        <v>49</v>
      </c>
      <c r="E178" t="s">
        <v>3</v>
      </c>
      <c r="F178" t="s">
        <v>7</v>
      </c>
      <c r="G178" t="str">
        <f t="shared" si="18"/>
        <v>+</v>
      </c>
      <c r="H178">
        <v>3</v>
      </c>
      <c r="I178" t="s">
        <v>3</v>
      </c>
    </row>
    <row r="179" spans="1:9" x14ac:dyDescent="0.15">
      <c r="A179" t="str">
        <f t="shared" si="16"/>
        <v>|Lｖ50|クリーチャー+1|</v>
      </c>
      <c r="B179" t="s">
        <v>3</v>
      </c>
      <c r="C179" t="s">
        <v>39</v>
      </c>
      <c r="D179">
        <v>50</v>
      </c>
      <c r="E179" t="s">
        <v>3</v>
      </c>
      <c r="F179" t="s">
        <v>20</v>
      </c>
      <c r="G179" t="str">
        <f t="shared" si="18"/>
        <v>+</v>
      </c>
      <c r="H179">
        <v>1</v>
      </c>
      <c r="I179" t="s">
        <v>3</v>
      </c>
    </row>
    <row r="180" spans="1:9" x14ac:dyDescent="0.15">
      <c r="A180" t="str">
        <f t="shared" si="16"/>
        <v>|Lｖ51|HP+3|</v>
      </c>
      <c r="B180" t="s">
        <v>3</v>
      </c>
      <c r="C180" t="s">
        <v>39</v>
      </c>
      <c r="D180">
        <v>51</v>
      </c>
      <c r="E180" t="s">
        <v>3</v>
      </c>
      <c r="F180" t="s">
        <v>7</v>
      </c>
      <c r="G180" t="str">
        <f t="shared" si="18"/>
        <v>+</v>
      </c>
      <c r="H180">
        <v>3</v>
      </c>
      <c r="I180" t="s">
        <v>3</v>
      </c>
    </row>
    <row r="181" spans="1:9" x14ac:dyDescent="0.15">
      <c r="A181" t="str">
        <f t="shared" si="16"/>
        <v>|Lｖ52|第3能力Lv3|</v>
      </c>
      <c r="B181" t="s">
        <v>3</v>
      </c>
      <c r="C181" t="s">
        <v>39</v>
      </c>
      <c r="D181">
        <v>52</v>
      </c>
      <c r="E181" t="s">
        <v>3</v>
      </c>
      <c r="F181" t="s">
        <v>42</v>
      </c>
      <c r="G181" t="str">
        <f t="shared" si="18"/>
        <v/>
      </c>
      <c r="H181">
        <v>3</v>
      </c>
      <c r="I181" t="s">
        <v>3</v>
      </c>
    </row>
    <row r="182" spans="1:9" x14ac:dyDescent="0.15">
      <c r="A182" t="str">
        <f t="shared" si="16"/>
        <v>|Lｖ53|HP+3|</v>
      </c>
      <c r="B182" t="s">
        <v>3</v>
      </c>
      <c r="C182" t="s">
        <v>39</v>
      </c>
      <c r="D182">
        <v>53</v>
      </c>
      <c r="E182" t="s">
        <v>3</v>
      </c>
      <c r="F182" t="s">
        <v>7</v>
      </c>
      <c r="G182" t="str">
        <f t="shared" si="18"/>
        <v>+</v>
      </c>
      <c r="H182">
        <v>3</v>
      </c>
      <c r="I182" t="s">
        <v>3</v>
      </c>
    </row>
    <row r="183" spans="1:9" x14ac:dyDescent="0.15">
      <c r="A183" t="str">
        <f t="shared" si="16"/>
        <v>|Lｖ54|青+1|</v>
      </c>
      <c r="B183" t="s">
        <v>3</v>
      </c>
      <c r="C183" t="s">
        <v>39</v>
      </c>
      <c r="D183">
        <v>54</v>
      </c>
      <c r="E183" t="s">
        <v>3</v>
      </c>
      <c r="F183" t="s">
        <v>12</v>
      </c>
      <c r="G183" t="str">
        <f t="shared" si="18"/>
        <v>+</v>
      </c>
      <c r="H183">
        <v>1</v>
      </c>
      <c r="I183" t="s">
        <v>3</v>
      </c>
    </row>
    <row r="184" spans="1:9" x14ac:dyDescent="0.15">
      <c r="A184" t="str">
        <f t="shared" ref="A184:A195" si="19">B184&amp;C184&amp;D184&amp;E184&amp;F184&amp;G184&amp;H184&amp;I184&amp;J184&amp;K184&amp;L184&amp;M184&amp;N184&amp;O184&amp;P184</f>
        <v>|Lｖ55|HP+3|</v>
      </c>
      <c r="B184" t="s">
        <v>3</v>
      </c>
      <c r="C184" t="s">
        <v>39</v>
      </c>
      <c r="D184">
        <v>55</v>
      </c>
      <c r="E184" t="s">
        <v>3</v>
      </c>
      <c r="F184" t="s">
        <v>7</v>
      </c>
      <c r="G184" t="str">
        <f t="shared" si="18"/>
        <v>+</v>
      </c>
      <c r="H184">
        <v>3</v>
      </c>
      <c r="I184" t="s">
        <v>3</v>
      </c>
    </row>
    <row r="185" spans="1:9" x14ac:dyDescent="0.15">
      <c r="A185" t="str">
        <f t="shared" si="19"/>
        <v>|Lｖ56|第1能力Lv4|</v>
      </c>
      <c r="B185" t="s">
        <v>3</v>
      </c>
      <c r="C185" t="s">
        <v>39</v>
      </c>
      <c r="D185">
        <v>56</v>
      </c>
      <c r="E185" t="s">
        <v>3</v>
      </c>
      <c r="F185" t="s">
        <v>40</v>
      </c>
      <c r="G185" t="str">
        <f t="shared" si="18"/>
        <v/>
      </c>
      <c r="H185">
        <v>4</v>
      </c>
      <c r="I185" t="s">
        <v>3</v>
      </c>
    </row>
    <row r="186" spans="1:9" x14ac:dyDescent="0.15">
      <c r="A186" t="str">
        <f t="shared" si="19"/>
        <v>|Lｖ57|回復速度上昇|</v>
      </c>
      <c r="B186" t="s">
        <v>3</v>
      </c>
      <c r="C186" t="s">
        <v>39</v>
      </c>
      <c r="D186">
        <v>57</v>
      </c>
      <c r="E186" t="s">
        <v>3</v>
      </c>
      <c r="F186" t="s">
        <v>43</v>
      </c>
      <c r="G186" t="str">
        <f t="shared" si="18"/>
        <v/>
      </c>
      <c r="I186" t="s">
        <v>3</v>
      </c>
    </row>
    <row r="187" spans="1:9" x14ac:dyDescent="0.15">
      <c r="A187" t="str">
        <f t="shared" si="19"/>
        <v>|Lｖ58|第2能力Lv4|</v>
      </c>
      <c r="B187" t="s">
        <v>3</v>
      </c>
      <c r="C187" t="s">
        <v>39</v>
      </c>
      <c r="D187">
        <v>58</v>
      </c>
      <c r="E187" t="s">
        <v>3</v>
      </c>
      <c r="F187" t="s">
        <v>41</v>
      </c>
      <c r="G187" t="str">
        <f t="shared" si="18"/>
        <v/>
      </c>
      <c r="H187">
        <v>4</v>
      </c>
      <c r="I187" t="s">
        <v>3</v>
      </c>
    </row>
    <row r="188" spans="1:9" x14ac:dyDescent="0.15">
      <c r="A188" t="str">
        <f t="shared" si="19"/>
        <v>|Lｖ59|HP+3|</v>
      </c>
      <c r="B188" t="s">
        <v>3</v>
      </c>
      <c r="C188" t="s">
        <v>39</v>
      </c>
      <c r="D188">
        <v>59</v>
      </c>
      <c r="E188" t="s">
        <v>3</v>
      </c>
      <c r="F188" t="s">
        <v>7</v>
      </c>
      <c r="G188" t="str">
        <f t="shared" si="18"/>
        <v>+</v>
      </c>
      <c r="H188">
        <v>3</v>
      </c>
      <c r="I188" t="s">
        <v>3</v>
      </c>
    </row>
    <row r="189" spans="1:9" x14ac:dyDescent="0.15">
      <c r="A189" t="str">
        <f t="shared" si="19"/>
        <v>|Lｖ60|第3能力Lv4|</v>
      </c>
      <c r="B189" t="s">
        <v>3</v>
      </c>
      <c r="C189" t="s">
        <v>39</v>
      </c>
      <c r="D189">
        <v>60</v>
      </c>
      <c r="E189" t="s">
        <v>3</v>
      </c>
      <c r="F189" t="s">
        <v>42</v>
      </c>
      <c r="G189" t="s">
        <v>44</v>
      </c>
      <c r="H189">
        <v>4</v>
      </c>
      <c r="I189" t="s">
        <v>3</v>
      </c>
    </row>
    <row r="190" spans="1:9" x14ac:dyDescent="0.15">
      <c r="A190" t="str">
        <f t="shared" si="19"/>
        <v>必要総経験値：160720ルーン</v>
      </c>
      <c r="B190" t="s">
        <v>45</v>
      </c>
      <c r="C190">
        <v>160720</v>
      </c>
      <c r="F190" t="s">
        <v>46</v>
      </c>
    </row>
    <row r="191" spans="1:9" x14ac:dyDescent="0.15">
      <c r="A191" t="str">
        <f t="shared" si="19"/>
        <v>&amp;br;</v>
      </c>
      <c r="B191" t="s">
        <v>0</v>
      </c>
    </row>
    <row r="192" spans="1:9" x14ac:dyDescent="0.15">
      <c r="A192" t="str">
        <f t="shared" si="19"/>
        <v>#back(text=戻る,left)</v>
      </c>
      <c r="B192" t="s">
        <v>47</v>
      </c>
    </row>
    <row r="193" spans="1:2" x14ac:dyDescent="0.15">
      <c r="A193" t="str">
        <f t="shared" si="19"/>
        <v>&amp;br;</v>
      </c>
      <c r="B193" t="s">
        <v>0</v>
      </c>
    </row>
    <row r="194" spans="1:2" x14ac:dyDescent="0.15">
      <c r="A194" t="str">
        <f t="shared" si="19"/>
        <v>#comment(above,nsize=[15],size=[30],num=[10])</v>
      </c>
      <c r="B194" t="s">
        <v>48</v>
      </c>
    </row>
    <row r="195" spans="1:2" x14ac:dyDescent="0.15">
      <c r="A195" t="str">
        <f t="shared" si="19"/>
        <v>[[プレインズウォーカーリスト&gt;プレインズウォーカーリスト]]</v>
      </c>
      <c r="B195" t="s">
        <v>49</v>
      </c>
    </row>
  </sheetData>
  <autoFilter ref="C130:I195"/>
  <phoneticPr fontId="4"/>
  <dataValidations count="2">
    <dataValidation type="list" allowBlank="1" showInputMessage="1" showErrorMessage="1" sqref="F131:F189">
      <formula1>$Q$130:$Q$142</formula1>
    </dataValidation>
    <dataValidation type="list" allowBlank="1" showInputMessage="1" showErrorMessage="1" sqref="F190">
      <formula1>$Q$90:$Q$132</formula1>
    </dataValidation>
  </dataValidations>
  <pageMargins left="0.69930555555555596" right="0.69930555555555596" top="0.75" bottom="0.75" header="0.3" footer="0.3"/>
  <pageSetup paperSize="9" orientation="portrai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W211"/>
  <sheetViews>
    <sheetView topLeftCell="A103" workbookViewId="0">
      <selection activeCell="J108" sqref="J108"/>
    </sheetView>
  </sheetViews>
  <sheetFormatPr defaultColWidth="9" defaultRowHeight="13.5" x14ac:dyDescent="0.15"/>
  <cols>
    <col min="2" max="2" width="3.5" customWidth="1"/>
    <col min="3" max="3" width="7.875" customWidth="1"/>
    <col min="4" max="4" width="5.5" customWidth="1"/>
    <col min="5" max="5" width="2.875" customWidth="1"/>
    <col min="7" max="7" width="2" customWidth="1"/>
    <col min="9" max="9" width="2" customWidth="1"/>
    <col min="11" max="11" width="2" customWidth="1"/>
    <col min="13" max="13" width="2" customWidth="1"/>
    <col min="15" max="15" width="2" customWidth="1"/>
    <col min="17" max="17" width="2.75" customWidth="1"/>
  </cols>
  <sheetData>
    <row r="1" spans="1:23" x14ac:dyDescent="0.15">
      <c r="A1" t="str">
        <f t="shared" ref="A1:A13" si="0">C1&amp;D1&amp;E1&amp;F1&amp;G1&amp;H1&amp;I1&amp;J1&amp;K1&amp;L1&amp;M1&amp;N1&amp;O1&amp;P1&amp;Q1&amp;R1&amp;S1&amp;T1&amp;U1&amp;V1</f>
        <v>*Lv60時ステータス</v>
      </c>
      <c r="C1" t="s">
        <v>577</v>
      </c>
      <c r="W1">
        <v>107.142857142857</v>
      </c>
    </row>
    <row r="2" spans="1:23" x14ac:dyDescent="0.15">
      <c r="A2" t="str">
        <f t="shared" si="0"/>
        <v>|LEFT:70|LEFT:30|LEFT:30|LEFT:30|LEFT:30|LEFT:30|LEFT:70|LEFT:50|LEFT:60|c</v>
      </c>
      <c r="C2" t="s">
        <v>3</v>
      </c>
      <c r="D2" t="s">
        <v>578</v>
      </c>
      <c r="E2" t="s">
        <v>3</v>
      </c>
      <c r="F2" t="s">
        <v>579</v>
      </c>
      <c r="G2" t="s">
        <v>3</v>
      </c>
      <c r="H2" t="s">
        <v>579</v>
      </c>
      <c r="I2" t="s">
        <v>3</v>
      </c>
      <c r="J2" t="s">
        <v>579</v>
      </c>
      <c r="K2" t="s">
        <v>3</v>
      </c>
      <c r="L2" t="s">
        <v>579</v>
      </c>
      <c r="M2" t="s">
        <v>3</v>
      </c>
      <c r="N2" t="s">
        <v>579</v>
      </c>
      <c r="O2" t="s">
        <v>3</v>
      </c>
      <c r="P2" t="s">
        <v>578</v>
      </c>
      <c r="Q2" t="s">
        <v>3</v>
      </c>
      <c r="R2" t="s">
        <v>4</v>
      </c>
      <c r="S2" t="s">
        <v>3</v>
      </c>
      <c r="T2" t="s">
        <v>580</v>
      </c>
      <c r="U2" t="s">
        <v>3</v>
      </c>
      <c r="V2" t="s">
        <v>5</v>
      </c>
    </row>
    <row r="3" spans="1:23" x14ac:dyDescent="0.15">
      <c r="A3" t="str">
        <f t="shared" si="0"/>
        <v>|HP|&gt;|&gt;|&gt;|&gt;|マナボーナス|&gt;|&gt;|デッキ構築枚数上限|</v>
      </c>
      <c r="C3" t="s">
        <v>3</v>
      </c>
      <c r="D3" t="s">
        <v>7</v>
      </c>
      <c r="E3" t="s">
        <v>3</v>
      </c>
      <c r="F3" t="s">
        <v>209</v>
      </c>
      <c r="G3" t="s">
        <v>3</v>
      </c>
      <c r="H3" t="s">
        <v>209</v>
      </c>
      <c r="I3" t="s">
        <v>3</v>
      </c>
      <c r="J3" t="s">
        <v>209</v>
      </c>
      <c r="K3" t="s">
        <v>3</v>
      </c>
      <c r="L3" t="s">
        <v>209</v>
      </c>
      <c r="M3" t="s">
        <v>3</v>
      </c>
      <c r="N3" t="s">
        <v>581</v>
      </c>
      <c r="O3" t="s">
        <v>3</v>
      </c>
      <c r="P3" t="s">
        <v>209</v>
      </c>
      <c r="Q3" t="s">
        <v>3</v>
      </c>
      <c r="R3" t="s">
        <v>209</v>
      </c>
      <c r="S3" t="s">
        <v>3</v>
      </c>
      <c r="T3" t="s">
        <v>582</v>
      </c>
      <c r="U3" t="s">
        <v>3</v>
      </c>
    </row>
    <row r="4" spans="1:23" x14ac:dyDescent="0.15">
      <c r="A4" t="str">
        <f t="shared" si="0"/>
        <v>|^|白|青|黒|赤|緑|クリーチャー|呪文|サポート|</v>
      </c>
      <c r="C4" t="s">
        <v>3</v>
      </c>
      <c r="D4" t="s">
        <v>583</v>
      </c>
      <c r="E4" t="s">
        <v>3</v>
      </c>
      <c r="F4" t="s">
        <v>11</v>
      </c>
      <c r="G4" t="s">
        <v>3</v>
      </c>
      <c r="H4" t="s">
        <v>12</v>
      </c>
      <c r="I4" t="s">
        <v>3</v>
      </c>
      <c r="J4" t="s">
        <v>13</v>
      </c>
      <c r="K4" t="s">
        <v>3</v>
      </c>
      <c r="L4" t="s">
        <v>14</v>
      </c>
      <c r="M4" t="s">
        <v>3</v>
      </c>
      <c r="N4" t="s">
        <v>15</v>
      </c>
      <c r="O4" t="s">
        <v>3</v>
      </c>
      <c r="P4" t="s">
        <v>20</v>
      </c>
      <c r="Q4" t="s">
        <v>3</v>
      </c>
      <c r="R4" t="s">
        <v>21</v>
      </c>
      <c r="S4" t="s">
        <v>3</v>
      </c>
      <c r="T4" t="s">
        <v>22</v>
      </c>
      <c r="U4" t="s">
        <v>3</v>
      </c>
    </row>
    <row r="5" spans="1:23" x14ac:dyDescent="0.15">
      <c r="A5" t="str">
        <f t="shared" si="0"/>
        <v>|129|-1|-1|-1|5|5|10|4|4|</v>
      </c>
      <c r="C5" t="s">
        <v>3</v>
      </c>
      <c r="D5">
        <f>VLOOKUP(MAX(D41:D69),D41:F69,3,TRUE)</f>
        <v>129</v>
      </c>
      <c r="E5" t="s">
        <v>3</v>
      </c>
      <c r="F5">
        <f>VLOOKUP(MAX($D$75:$D$84),$D$75:$P$84,5,TRUE)</f>
        <v>-1</v>
      </c>
      <c r="G5" t="s">
        <v>3</v>
      </c>
      <c r="H5">
        <f>VLOOKUP(MAX($D$75:$D$84),$D$75:$P$84,7,TRUE)</f>
        <v>-1</v>
      </c>
      <c r="I5" t="s">
        <v>3</v>
      </c>
      <c r="J5">
        <f>VLOOKUP(MAX($D$75:$D$84),$D$75:$P$84,9,TRUE)</f>
        <v>-1</v>
      </c>
      <c r="K5" t="s">
        <v>3</v>
      </c>
      <c r="L5">
        <f>VLOOKUP(MAX($D$75:$D$84),$D$75:$P$84,11,TRUE)</f>
        <v>5</v>
      </c>
      <c r="M5" t="s">
        <v>3</v>
      </c>
      <c r="N5">
        <f>VLOOKUP(MAX($D$75:$D$84),$D$75:$P$84,13,TRUE)</f>
        <v>5</v>
      </c>
      <c r="O5" t="s">
        <v>3</v>
      </c>
      <c r="P5">
        <f>VLOOKUP(MAX($D$91:$D$99),$D$91:$L$99,5,TRUE)</f>
        <v>10</v>
      </c>
      <c r="Q5" t="s">
        <v>3</v>
      </c>
      <c r="R5">
        <f>VLOOKUP(MAX($D$91:$D$99),$D$91:$L$99,7,TRUE)</f>
        <v>4</v>
      </c>
      <c r="S5" t="s">
        <v>3</v>
      </c>
      <c r="T5">
        <f>VLOOKUP(MAX($D$91:$D$99),$D$91:$L$99,9,TRUE)</f>
        <v>4</v>
      </c>
      <c r="U5" t="s">
        <v>3</v>
      </c>
    </row>
    <row r="6" spans="1:23" x14ac:dyDescent="0.15">
      <c r="A6" t="str">
        <f t="shared" si="0"/>
        <v>||&gt;|&gt;|&gt;|&gt;|&gt;|&gt;|PW能力|コスト|</v>
      </c>
      <c r="C6" t="s">
        <v>3</v>
      </c>
      <c r="E6" t="s">
        <v>3</v>
      </c>
      <c r="F6" t="s">
        <v>209</v>
      </c>
      <c r="G6" t="s">
        <v>3</v>
      </c>
      <c r="H6" t="s">
        <v>209</v>
      </c>
      <c r="I6" t="s">
        <v>3</v>
      </c>
      <c r="J6" t="s">
        <v>209</v>
      </c>
      <c r="K6" t="s">
        <v>3</v>
      </c>
      <c r="L6" t="s">
        <v>209</v>
      </c>
      <c r="M6" t="s">
        <v>3</v>
      </c>
      <c r="N6" t="s">
        <v>209</v>
      </c>
      <c r="O6" t="s">
        <v>3</v>
      </c>
      <c r="P6" t="s">
        <v>209</v>
      </c>
      <c r="Q6" t="s">
        <v>3</v>
      </c>
      <c r="R6" t="s">
        <v>584</v>
      </c>
      <c r="S6" t="s">
        <v>3</v>
      </c>
      <c r="T6" t="s">
        <v>28</v>
      </c>
      <c r="U6" t="s">
        <v>3</v>
      </c>
    </row>
    <row r="7" spans="1:23" x14ac:dyDescent="0.15">
      <c r="A7" t="str">
        <f t="shared" si="0"/>
        <v>|第1能力|&gt;|&gt;|&gt;|&gt;|&gt;|&gt;|攻撃の巧者/Striker|9|</v>
      </c>
      <c r="C7" t="s">
        <v>3</v>
      </c>
      <c r="D7" t="s">
        <v>585</v>
      </c>
      <c r="E7" t="s">
        <v>3</v>
      </c>
      <c r="F7" t="s">
        <v>209</v>
      </c>
      <c r="G7" t="s">
        <v>3</v>
      </c>
      <c r="H7" t="s">
        <v>209</v>
      </c>
      <c r="I7" t="s">
        <v>3</v>
      </c>
      <c r="J7" t="s">
        <v>209</v>
      </c>
      <c r="K7" t="s">
        <v>3</v>
      </c>
      <c r="L7" t="s">
        <v>209</v>
      </c>
      <c r="M7" t="s">
        <v>3</v>
      </c>
      <c r="N7" t="s">
        <v>209</v>
      </c>
      <c r="O7" t="s">
        <v>3</v>
      </c>
      <c r="P7" t="s">
        <v>209</v>
      </c>
      <c r="Q7" t="s">
        <v>3</v>
      </c>
      <c r="R7" t="str">
        <f>R103</f>
        <v>攻撃の巧者/Striker</v>
      </c>
      <c r="S7" t="s">
        <v>3</v>
      </c>
      <c r="T7">
        <f>H109</f>
        <v>9</v>
      </c>
      <c r="U7" t="s">
        <v>3</v>
      </c>
    </row>
    <row r="8" spans="1:23" x14ac:dyDescent="0.15">
      <c r="A8" t="str">
        <f t="shared" si="0"/>
        <v>|&gt;|&gt;|&gt;|&gt;|&gt;|&gt;|&gt;|&gt;|あなたがコントロールするクリーチャー1体を対象とする。ターン終了時までそれは+2/+2の修整と[[二段攻撃&gt;先制攻撃：二段攻撃]]を得る。|</v>
      </c>
      <c r="C8" t="s">
        <v>3</v>
      </c>
      <c r="D8" t="s">
        <v>209</v>
      </c>
      <c r="E8" t="s">
        <v>3</v>
      </c>
      <c r="F8" t="s">
        <v>209</v>
      </c>
      <c r="G8" t="s">
        <v>3</v>
      </c>
      <c r="H8" t="s">
        <v>209</v>
      </c>
      <c r="I8" t="s">
        <v>3</v>
      </c>
      <c r="J8" t="s">
        <v>209</v>
      </c>
      <c r="K8" t="s">
        <v>3</v>
      </c>
      <c r="L8" t="s">
        <v>209</v>
      </c>
      <c r="M8" t="s">
        <v>3</v>
      </c>
      <c r="N8" t="s">
        <v>209</v>
      </c>
      <c r="O8" t="s">
        <v>3</v>
      </c>
      <c r="P8" t="s">
        <v>209</v>
      </c>
      <c r="Q8" t="s">
        <v>3</v>
      </c>
      <c r="R8" t="s">
        <v>209</v>
      </c>
      <c r="S8" t="s">
        <v>3</v>
      </c>
      <c r="T8" t="str">
        <f>J109</f>
        <v>あなたがコントロールするクリーチャー1体を対象とする。ターン終了時までそれは+2/+2の修整と[[二段攻撃&gt;先制攻撃：二段攻撃]]を得る。</v>
      </c>
      <c r="U8" t="s">
        <v>3</v>
      </c>
    </row>
    <row r="9" spans="1:23" x14ac:dyDescent="0.15">
      <c r="A9" t="str">
        <f t="shared" si="0"/>
        <v>|第2能力|&gt;|&gt;|&gt;|&gt;|&gt;|&gt;|加虐行為/Affliction|15|</v>
      </c>
      <c r="C9" t="s">
        <v>3</v>
      </c>
      <c r="D9" t="s">
        <v>587</v>
      </c>
      <c r="E9" t="s">
        <v>3</v>
      </c>
      <c r="F9" t="s">
        <v>209</v>
      </c>
      <c r="G9" t="s">
        <v>3</v>
      </c>
      <c r="H9" t="s">
        <v>209</v>
      </c>
      <c r="I9" t="s">
        <v>3</v>
      </c>
      <c r="J9" t="s">
        <v>209</v>
      </c>
      <c r="K9" t="s">
        <v>3</v>
      </c>
      <c r="L9" t="s">
        <v>209</v>
      </c>
      <c r="M9" t="s">
        <v>3</v>
      </c>
      <c r="N9" t="s">
        <v>209</v>
      </c>
      <c r="O9" t="s">
        <v>3</v>
      </c>
      <c r="P9" t="s">
        <v>209</v>
      </c>
      <c r="Q9" t="s">
        <v>3</v>
      </c>
      <c r="R9" t="str">
        <f>R112</f>
        <v>加虐行為/Affliction</v>
      </c>
      <c r="S9" t="s">
        <v>3</v>
      </c>
      <c r="T9">
        <f>H118</f>
        <v>15</v>
      </c>
      <c r="U9" t="s">
        <v>3</v>
      </c>
    </row>
    <row r="10" spans="1:23" x14ac:dyDescent="0.15">
      <c r="A10" t="str">
        <f t="shared" si="0"/>
        <v>|&gt;|&gt;|&gt;|&gt;|&gt;|&gt;|&gt;|&gt;|あなたがコントロールする各クリーチャーは[[加虐]]と[[バーサーカー]]と[[トランプル]]を得る。これにより得る加虐は重複する。|</v>
      </c>
      <c r="C10" t="s">
        <v>3</v>
      </c>
      <c r="D10" t="s">
        <v>209</v>
      </c>
      <c r="E10" t="s">
        <v>3</v>
      </c>
      <c r="F10" t="s">
        <v>209</v>
      </c>
      <c r="G10" t="s">
        <v>3</v>
      </c>
      <c r="H10" t="s">
        <v>209</v>
      </c>
      <c r="I10" t="s">
        <v>3</v>
      </c>
      <c r="J10" t="s">
        <v>209</v>
      </c>
      <c r="K10" t="s">
        <v>3</v>
      </c>
      <c r="L10" t="s">
        <v>209</v>
      </c>
      <c r="M10" t="s">
        <v>3</v>
      </c>
      <c r="N10" t="s">
        <v>209</v>
      </c>
      <c r="O10" t="s">
        <v>3</v>
      </c>
      <c r="P10" t="s">
        <v>209</v>
      </c>
      <c r="Q10" t="s">
        <v>3</v>
      </c>
      <c r="R10" t="s">
        <v>209</v>
      </c>
      <c r="S10" t="s">
        <v>3</v>
      </c>
      <c r="T10" t="str">
        <f>J118</f>
        <v>あなたがコントロールする各クリーチャーは[[加虐]]と[[バーサーカー]]と[[トランプル]]を得る。これにより得る加虐は重複する。</v>
      </c>
      <c r="U10" t="s">
        <v>3</v>
      </c>
    </row>
    <row r="11" spans="1:23" x14ac:dyDescent="0.15">
      <c r="A11" t="str">
        <f t="shared" si="0"/>
        <v>|第3能力|&gt;|&gt;|&gt;|&gt;|&gt;|&gt;|力試し/Test of Might|24|</v>
      </c>
      <c r="C11" t="s">
        <v>3</v>
      </c>
      <c r="D11" t="s">
        <v>590</v>
      </c>
      <c r="E11" t="s">
        <v>3</v>
      </c>
      <c r="F11" t="s">
        <v>209</v>
      </c>
      <c r="G11" t="s">
        <v>3</v>
      </c>
      <c r="H11" t="s">
        <v>209</v>
      </c>
      <c r="I11" t="s">
        <v>3</v>
      </c>
      <c r="J11" t="s">
        <v>209</v>
      </c>
      <c r="K11" t="s">
        <v>3</v>
      </c>
      <c r="L11" t="s">
        <v>209</v>
      </c>
      <c r="M11" t="s">
        <v>3</v>
      </c>
      <c r="N11" t="s">
        <v>209</v>
      </c>
      <c r="O11" t="s">
        <v>3</v>
      </c>
      <c r="P11" t="s">
        <v>209</v>
      </c>
      <c r="Q11" t="s">
        <v>3</v>
      </c>
      <c r="R11" t="str">
        <f>R121</f>
        <v>力試し/Test of Might</v>
      </c>
      <c r="S11" t="s">
        <v>3</v>
      </c>
      <c r="T11">
        <f>H127</f>
        <v>24</v>
      </c>
      <c r="U11" t="s">
        <v>3</v>
      </c>
    </row>
    <row r="12" spans="1:23" x14ac:dyDescent="0.15">
      <c r="A12" t="str">
        <f t="shared" si="0"/>
        <v>|&gt;|&gt;|&gt;|&gt;|&gt;|&gt;|&gt;|&gt;|「あなたがコントロールするクリーチャーが攻撃するたびに、対戦相手は8点のダメージを受ける」という能力を持つサポートトークン(シールド値3)を生成する。|</v>
      </c>
      <c r="C12" t="s">
        <v>3</v>
      </c>
      <c r="D12" t="s">
        <v>209</v>
      </c>
      <c r="E12" t="s">
        <v>3</v>
      </c>
      <c r="F12" t="s">
        <v>209</v>
      </c>
      <c r="G12" t="s">
        <v>3</v>
      </c>
      <c r="H12" t="s">
        <v>209</v>
      </c>
      <c r="I12" t="s">
        <v>3</v>
      </c>
      <c r="J12" t="s">
        <v>209</v>
      </c>
      <c r="K12" t="s">
        <v>3</v>
      </c>
      <c r="L12" t="s">
        <v>209</v>
      </c>
      <c r="M12" t="s">
        <v>3</v>
      </c>
      <c r="N12" t="s">
        <v>209</v>
      </c>
      <c r="O12" t="s">
        <v>3</v>
      </c>
      <c r="P12" t="s">
        <v>209</v>
      </c>
      <c r="Q12" t="s">
        <v>3</v>
      </c>
      <c r="R12" t="s">
        <v>209</v>
      </c>
      <c r="S12" t="s">
        <v>3</v>
      </c>
      <c r="T12" t="str">
        <f>J127</f>
        <v>「あなたがコントロールするクリーチャーが攻撃するたびに、対戦相手は8点のダメージを受ける」という能力を持つサポートトークン(シールド値3)を生成する。</v>
      </c>
      <c r="U12" t="s">
        <v>3</v>
      </c>
    </row>
    <row r="13" spans="1:23" x14ac:dyDescent="0.15">
      <c r="A13" t="str">
        <f t="shared" si="0"/>
        <v/>
      </c>
    </row>
    <row r="14" spans="1:23" x14ac:dyDescent="0.15">
      <c r="A14" t="str">
        <f t="shared" ref="A14:A35" si="1">B14&amp;C14&amp;D14&amp;E14&amp;F14&amp;G14&amp;H14&amp;I14&amp;J14&amp;K14&amp;L14&amp;M14&amp;N14&amp;O14&amp;P14&amp;Q14&amp;R14&amp;S14&amp;T14&amp;U14</f>
        <v>*評価</v>
      </c>
      <c r="B14" t="s">
        <v>592</v>
      </c>
      <c r="C14" t="s">
        <v>593</v>
      </c>
    </row>
    <row r="15" spans="1:23" x14ac:dyDescent="0.15">
      <c r="A15" t="str">
        <f t="shared" si="1"/>
        <v>・HPは平均以上</v>
      </c>
      <c r="B15" t="s">
        <v>594</v>
      </c>
      <c r="C15" s="8" t="s">
        <v>653</v>
      </c>
      <c r="D15" t="str">
        <f>IF(D5&gt;110,"以上",IF(D5&gt;104,"","以下"))</f>
        <v>以上</v>
      </c>
    </row>
    <row r="16" spans="1:23" x14ac:dyDescent="0.15">
      <c r="A16" t="str">
        <f t="shared" si="1"/>
        <v>・マナボーナス合計は+7。平均。</v>
      </c>
      <c r="B16" t="s">
        <v>594</v>
      </c>
      <c r="C16" t="s">
        <v>595</v>
      </c>
      <c r="D16">
        <f>SUM(F5:N5)</f>
        <v>7</v>
      </c>
      <c r="E16" t="s">
        <v>596</v>
      </c>
      <c r="F16" t="s">
        <v>597</v>
      </c>
      <c r="G16" t="str">
        <f>IF(D16&gt;8,"以上",IF(D16&gt;6,"","以下"))</f>
        <v/>
      </c>
      <c r="H16" t="s">
        <v>596</v>
      </c>
    </row>
    <row r="17" spans="1:8" x14ac:dyDescent="0.15">
      <c r="A17" t="str">
        <f t="shared" si="1"/>
        <v>・既に赤緑PWとして存在している[[アーリン・コード]]と比べると、マナボーナスが他色にマイナス付いている代わりに自色が+5からのため、自色が消せた時の爆発力はアーリンより高い。緑絡みのPWのため、なおさら自色での爆発力が期待できる。</v>
      </c>
      <c r="B17" t="s">
        <v>594</v>
      </c>
      <c r="C17" t="s">
        <v>769</v>
      </c>
    </row>
    <row r="18" spans="1:8" x14ac:dyDescent="0.15">
      <c r="A18" t="str">
        <f t="shared" si="1"/>
        <v>・</v>
      </c>
      <c r="B18" t="s">
        <v>594</v>
      </c>
    </row>
    <row r="19" spans="1:8" x14ac:dyDescent="0.15">
      <c r="A19" t="str">
        <f t="shared" si="1"/>
        <v>・</v>
      </c>
      <c r="B19" t="s">
        <v>594</v>
      </c>
    </row>
    <row r="20" spans="1:8" x14ac:dyDescent="0.15">
      <c r="A20" t="str">
        <f t="shared" si="1"/>
        <v>*採用候補</v>
      </c>
      <c r="B20" s="8" t="s">
        <v>652</v>
      </c>
    </row>
    <row r="21" spans="1:8" x14ac:dyDescent="0.15">
      <c r="A21" t="str">
        <f t="shared" si="1"/>
        <v>・色が合えば採用候補レベルのものではなく、PWに合った採用候補を紹介</v>
      </c>
      <c r="B21" t="s">
        <v>645</v>
      </c>
    </row>
    <row r="22" spans="1:8" x14ac:dyDescent="0.15">
      <c r="A22" t="str">
        <f t="shared" si="1"/>
        <v/>
      </c>
    </row>
    <row r="23" spans="1:8" x14ac:dyDescent="0.15">
      <c r="A23" t="str">
        <f t="shared" si="1"/>
        <v>**スタンダード</v>
      </c>
      <c r="B23" s="8" t="s">
        <v>650</v>
      </c>
    </row>
    <row r="24" spans="1:8" x14ac:dyDescent="0.15">
      <c r="A24" t="str">
        <f t="shared" si="1"/>
        <v>スタンダード(ORI/KLD/AKH/HOU期)</v>
      </c>
      <c r="B24" t="s">
        <v>646</v>
      </c>
    </row>
    <row r="25" spans="1:8" x14ac:dyDescent="0.15">
      <c r="A25" t="str">
        <f t="shared" si="1"/>
        <v>[[バーサーカー持ちクリーチャー&gt;バーサーカー一覧]]:第1能力で二段攻撃が持たせて一方的に攻撃できるため相性が良い。</v>
      </c>
      <c r="B25" t="s">
        <v>764</v>
      </c>
    </row>
    <row r="26" spans="1:8" x14ac:dyDescent="0.15">
      <c r="A26" t="str">
        <f t="shared" si="1"/>
        <v>[[先制攻撃、二段攻撃持ちクリーチャー&gt;先制/二段攻撃一覧]]:同様に、第2能力で加虐/バーサーカー/トランプルを持たせて一方的に攻撃できるため相性が良い。</v>
      </c>
      <c r="B26" t="s">
        <v>765</v>
      </c>
    </row>
    <row r="27" spans="1:8" x14ac:dyDescent="0.15">
      <c r="A27" t="str">
        <f t="shared" si="1"/>
        <v>《[[蓋世の英雄の短剣]]》[HOU]：第2能力で加虐を重複させれるため、相性が良い。</v>
      </c>
      <c r="B27" s="8" t="s">
        <v>718</v>
      </c>
      <c r="C27" t="s">
        <v>766</v>
      </c>
      <c r="D27" t="s">
        <v>719</v>
      </c>
      <c r="E27" s="8" t="s">
        <v>767</v>
      </c>
      <c r="F27" t="s">
        <v>713</v>
      </c>
      <c r="H27" t="s">
        <v>768</v>
      </c>
    </row>
    <row r="28" spans="1:8" x14ac:dyDescent="0.15">
      <c r="A28" t="str">
        <f t="shared" si="1"/>
        <v>《[[]]》[]：</v>
      </c>
      <c r="B28" s="8" t="s">
        <v>718</v>
      </c>
      <c r="D28" t="s">
        <v>719</v>
      </c>
      <c r="E28" s="8"/>
      <c r="F28" t="s">
        <v>713</v>
      </c>
    </row>
    <row r="29" spans="1:8" x14ac:dyDescent="0.15">
      <c r="A29" t="str">
        <f t="shared" si="1"/>
        <v/>
      </c>
    </row>
    <row r="30" spans="1:8" x14ac:dyDescent="0.15">
      <c r="A30" t="str">
        <f t="shared" si="1"/>
        <v/>
      </c>
    </row>
    <row r="31" spans="1:8" x14ac:dyDescent="0.15">
      <c r="A31" t="str">
        <f t="shared" si="1"/>
        <v>**レガシー</v>
      </c>
      <c r="B31" s="8" t="s">
        <v>651</v>
      </c>
    </row>
    <row r="32" spans="1:8" x14ac:dyDescent="0.15">
      <c r="A32" t="str">
        <f t="shared" si="1"/>
        <v>《[[]]》[]：</v>
      </c>
      <c r="B32" s="8" t="s">
        <v>718</v>
      </c>
      <c r="D32" t="s">
        <v>719</v>
      </c>
      <c r="E32" s="8"/>
      <c r="F32" t="s">
        <v>713</v>
      </c>
    </row>
    <row r="33" spans="1:8" x14ac:dyDescent="0.15">
      <c r="A33" t="str">
        <f t="shared" si="1"/>
        <v>《[[]]》[]：</v>
      </c>
      <c r="B33" s="8" t="s">
        <v>718</v>
      </c>
      <c r="D33" t="s">
        <v>719</v>
      </c>
      <c r="E33" s="8"/>
      <c r="F33" t="s">
        <v>713</v>
      </c>
    </row>
    <row r="34" spans="1:8" x14ac:dyDescent="0.15">
      <c r="A34" t="str">
        <f t="shared" si="1"/>
        <v/>
      </c>
    </row>
    <row r="35" spans="1:8" x14ac:dyDescent="0.15">
      <c r="A35" t="str">
        <f t="shared" si="1"/>
        <v>#region(close,text=Lv60までの詳細データ)</v>
      </c>
      <c r="B35" t="s">
        <v>598</v>
      </c>
    </row>
    <row r="36" spans="1:8" x14ac:dyDescent="0.15">
      <c r="A36" t="str">
        <f>B36&amp;C36&amp;D36&amp;E36&amp;F36&amp;G36&amp;H36&amp;I36&amp;J36&amp;K36&amp;L36&amp;M36&amp;N36&amp;O36&amp;P36</f>
        <v/>
      </c>
    </row>
    <row r="37" spans="1:8" x14ac:dyDescent="0.15">
      <c r="A37" t="str">
        <f>B37&amp;C37&amp;D37&amp;E37&amp;F37&amp;G37&amp;H37&amp;I37&amp;J37&amp;K37&amp;L37&amp;M37&amp;N37&amp;O37&amp;P37</f>
        <v>&amp;br;</v>
      </c>
      <c r="B37" t="s">
        <v>0</v>
      </c>
    </row>
    <row r="38" spans="1:8" x14ac:dyDescent="0.15">
      <c r="A38" t="str">
        <f>B38&amp;C38&amp;D38&amp;E38&amp;F38&amp;G38&amp;H38&amp;I38&amp;J38&amp;K38&amp;L38&amp;M38&amp;N38&amp;O38&amp;P38</f>
        <v>*HP</v>
      </c>
      <c r="B38" s="8" t="s">
        <v>644</v>
      </c>
    </row>
    <row r="39" spans="1:8" x14ac:dyDescent="0.15">
      <c r="A39" t="str">
        <f>B39&amp;C39&amp;D39&amp;E39&amp;F39&amp;G39&amp;H39</f>
        <v>|LEFT:50|LEFT:50|c</v>
      </c>
      <c r="B39" t="s">
        <v>3</v>
      </c>
      <c r="C39" t="s">
        <v>4</v>
      </c>
      <c r="E39" t="s">
        <v>3</v>
      </c>
      <c r="F39" t="s">
        <v>4</v>
      </c>
      <c r="G39" t="s">
        <v>3</v>
      </c>
      <c r="H39" t="s">
        <v>5</v>
      </c>
    </row>
    <row r="40" spans="1:8" x14ac:dyDescent="0.15">
      <c r="A40" t="str">
        <f t="shared" ref="A40:A69" si="2">B40&amp;C40&amp;D40&amp;E40&amp;F40&amp;G40&amp;H40</f>
        <v>|レベル|HP|</v>
      </c>
      <c r="B40" t="s">
        <v>3</v>
      </c>
      <c r="C40" t="s">
        <v>6</v>
      </c>
      <c r="E40" t="s">
        <v>3</v>
      </c>
      <c r="F40" t="s">
        <v>7</v>
      </c>
      <c r="G40" t="s">
        <v>3</v>
      </c>
    </row>
    <row r="41" spans="1:8" x14ac:dyDescent="0.15">
      <c r="A41" t="str">
        <f t="shared" si="2"/>
        <v>|Lv1|45|</v>
      </c>
      <c r="B41" t="s">
        <v>3</v>
      </c>
      <c r="C41" t="s">
        <v>8</v>
      </c>
      <c r="D41">
        <v>1</v>
      </c>
      <c r="E41" t="s">
        <v>3</v>
      </c>
      <c r="F41">
        <f>B207</f>
        <v>45</v>
      </c>
      <c r="G41" t="s">
        <v>3</v>
      </c>
    </row>
    <row r="42" spans="1:8" x14ac:dyDescent="0.15">
      <c r="A42" t="str">
        <f t="shared" si="2"/>
        <v>|Lv3|48|</v>
      </c>
      <c r="B42" t="s">
        <v>3</v>
      </c>
      <c r="C42" t="s">
        <v>8</v>
      </c>
      <c r="D42">
        <v>3</v>
      </c>
      <c r="E42" t="s">
        <v>3</v>
      </c>
      <c r="F42">
        <f t="shared" ref="F42:F69" si="3">IF(ISBLANK(D42),"",F41+INDEX($H$132:$H$191,D42))</f>
        <v>48</v>
      </c>
      <c r="G42" t="s">
        <v>3</v>
      </c>
    </row>
    <row r="43" spans="1:8" x14ac:dyDescent="0.15">
      <c r="A43" t="str">
        <f t="shared" si="2"/>
        <v>|Lv5|51|</v>
      </c>
      <c r="B43" t="s">
        <v>3</v>
      </c>
      <c r="C43" t="s">
        <v>8</v>
      </c>
      <c r="D43">
        <v>5</v>
      </c>
      <c r="E43" t="s">
        <v>3</v>
      </c>
      <c r="F43">
        <f t="shared" si="3"/>
        <v>51</v>
      </c>
      <c r="G43" t="s">
        <v>3</v>
      </c>
    </row>
    <row r="44" spans="1:8" x14ac:dyDescent="0.15">
      <c r="A44" t="str">
        <f t="shared" si="2"/>
        <v>|Lv7|54|</v>
      </c>
      <c r="B44" t="s">
        <v>3</v>
      </c>
      <c r="C44" t="s">
        <v>8</v>
      </c>
      <c r="D44">
        <v>7</v>
      </c>
      <c r="E44" t="s">
        <v>3</v>
      </c>
      <c r="F44">
        <f t="shared" si="3"/>
        <v>54</v>
      </c>
      <c r="G44" t="s">
        <v>3</v>
      </c>
    </row>
    <row r="45" spans="1:8" x14ac:dyDescent="0.15">
      <c r="A45" t="str">
        <f t="shared" si="2"/>
        <v>|Lv9|57|</v>
      </c>
      <c r="B45" t="s">
        <v>3</v>
      </c>
      <c r="C45" t="s">
        <v>8</v>
      </c>
      <c r="D45">
        <v>9</v>
      </c>
      <c r="E45" t="s">
        <v>3</v>
      </c>
      <c r="F45">
        <f t="shared" si="3"/>
        <v>57</v>
      </c>
      <c r="G45" t="s">
        <v>3</v>
      </c>
    </row>
    <row r="46" spans="1:8" x14ac:dyDescent="0.15">
      <c r="A46" t="str">
        <f t="shared" si="2"/>
        <v>|Lv11|60|</v>
      </c>
      <c r="B46" t="s">
        <v>3</v>
      </c>
      <c r="C46" t="s">
        <v>8</v>
      </c>
      <c r="D46">
        <v>11</v>
      </c>
      <c r="E46" t="s">
        <v>3</v>
      </c>
      <c r="F46">
        <f t="shared" si="3"/>
        <v>60</v>
      </c>
      <c r="G46" t="s">
        <v>3</v>
      </c>
    </row>
    <row r="47" spans="1:8" x14ac:dyDescent="0.15">
      <c r="A47" t="str">
        <f t="shared" si="2"/>
        <v>|Lv13|63|</v>
      </c>
      <c r="B47" t="s">
        <v>3</v>
      </c>
      <c r="C47" t="s">
        <v>8</v>
      </c>
      <c r="D47">
        <v>13</v>
      </c>
      <c r="E47" t="s">
        <v>3</v>
      </c>
      <c r="F47">
        <f t="shared" si="3"/>
        <v>63</v>
      </c>
      <c r="G47" t="s">
        <v>3</v>
      </c>
    </row>
    <row r="48" spans="1:8" x14ac:dyDescent="0.15">
      <c r="A48" t="str">
        <f t="shared" si="2"/>
        <v>|Lv15|66|</v>
      </c>
      <c r="B48" t="s">
        <v>3</v>
      </c>
      <c r="C48" t="s">
        <v>8</v>
      </c>
      <c r="D48">
        <v>15</v>
      </c>
      <c r="E48" t="s">
        <v>3</v>
      </c>
      <c r="F48">
        <f t="shared" si="3"/>
        <v>66</v>
      </c>
      <c r="G48" t="s">
        <v>3</v>
      </c>
    </row>
    <row r="49" spans="1:7" x14ac:dyDescent="0.15">
      <c r="A49" t="str">
        <f t="shared" si="2"/>
        <v>|Lv17|69|</v>
      </c>
      <c r="B49" t="s">
        <v>3</v>
      </c>
      <c r="C49" t="s">
        <v>8</v>
      </c>
      <c r="D49">
        <v>17</v>
      </c>
      <c r="E49" t="s">
        <v>3</v>
      </c>
      <c r="F49">
        <f t="shared" si="3"/>
        <v>69</v>
      </c>
      <c r="G49" t="s">
        <v>3</v>
      </c>
    </row>
    <row r="50" spans="1:7" x14ac:dyDescent="0.15">
      <c r="A50" t="str">
        <f t="shared" si="2"/>
        <v>|Lv19|72|</v>
      </c>
      <c r="B50" t="s">
        <v>3</v>
      </c>
      <c r="C50" t="s">
        <v>8</v>
      </c>
      <c r="D50">
        <v>19</v>
      </c>
      <c r="E50" t="s">
        <v>3</v>
      </c>
      <c r="F50">
        <f t="shared" si="3"/>
        <v>72</v>
      </c>
      <c r="G50" t="s">
        <v>3</v>
      </c>
    </row>
    <row r="51" spans="1:7" x14ac:dyDescent="0.15">
      <c r="A51" t="str">
        <f t="shared" si="2"/>
        <v>|Lv21|75|</v>
      </c>
      <c r="B51" t="s">
        <v>3</v>
      </c>
      <c r="C51" t="s">
        <v>8</v>
      </c>
      <c r="D51">
        <v>21</v>
      </c>
      <c r="E51" t="s">
        <v>3</v>
      </c>
      <c r="F51">
        <f t="shared" si="3"/>
        <v>75</v>
      </c>
      <c r="G51" t="s">
        <v>3</v>
      </c>
    </row>
    <row r="52" spans="1:7" x14ac:dyDescent="0.15">
      <c r="A52" t="str">
        <f t="shared" si="2"/>
        <v>|Lv23|78|</v>
      </c>
      <c r="B52" t="s">
        <v>3</v>
      </c>
      <c r="C52" t="s">
        <v>8</v>
      </c>
      <c r="D52">
        <v>23</v>
      </c>
      <c r="E52" t="s">
        <v>3</v>
      </c>
      <c r="F52">
        <f t="shared" si="3"/>
        <v>78</v>
      </c>
      <c r="G52" t="s">
        <v>3</v>
      </c>
    </row>
    <row r="53" spans="1:7" x14ac:dyDescent="0.15">
      <c r="A53" t="str">
        <f t="shared" si="2"/>
        <v>|Lv25|81|</v>
      </c>
      <c r="B53" t="s">
        <v>3</v>
      </c>
      <c r="C53" t="s">
        <v>8</v>
      </c>
      <c r="D53">
        <v>25</v>
      </c>
      <c r="E53" t="s">
        <v>3</v>
      </c>
      <c r="F53">
        <f t="shared" si="3"/>
        <v>81</v>
      </c>
      <c r="G53" t="s">
        <v>3</v>
      </c>
    </row>
    <row r="54" spans="1:7" x14ac:dyDescent="0.15">
      <c r="A54" t="str">
        <f t="shared" si="2"/>
        <v>|Lv27|84|</v>
      </c>
      <c r="B54" t="s">
        <v>3</v>
      </c>
      <c r="C54" t="s">
        <v>8</v>
      </c>
      <c r="D54">
        <v>27</v>
      </c>
      <c r="E54" t="s">
        <v>3</v>
      </c>
      <c r="F54">
        <f t="shared" si="3"/>
        <v>84</v>
      </c>
      <c r="G54" t="s">
        <v>3</v>
      </c>
    </row>
    <row r="55" spans="1:7" x14ac:dyDescent="0.15">
      <c r="A55" t="str">
        <f t="shared" si="2"/>
        <v>|Lv29|87|</v>
      </c>
      <c r="B55" t="s">
        <v>3</v>
      </c>
      <c r="C55" t="s">
        <v>8</v>
      </c>
      <c r="D55">
        <v>29</v>
      </c>
      <c r="E55" t="s">
        <v>3</v>
      </c>
      <c r="F55">
        <f t="shared" si="3"/>
        <v>87</v>
      </c>
      <c r="G55" t="s">
        <v>3</v>
      </c>
    </row>
    <row r="56" spans="1:7" x14ac:dyDescent="0.15">
      <c r="A56" t="str">
        <f t="shared" si="2"/>
        <v>|Lv31|90|</v>
      </c>
      <c r="B56" t="s">
        <v>3</v>
      </c>
      <c r="C56" t="s">
        <v>8</v>
      </c>
      <c r="D56">
        <v>31</v>
      </c>
      <c r="E56" t="s">
        <v>3</v>
      </c>
      <c r="F56">
        <f t="shared" si="3"/>
        <v>90</v>
      </c>
      <c r="G56" t="s">
        <v>3</v>
      </c>
    </row>
    <row r="57" spans="1:7" x14ac:dyDescent="0.15">
      <c r="A57" t="str">
        <f t="shared" si="2"/>
        <v>|Lv33|93|</v>
      </c>
      <c r="B57" t="s">
        <v>3</v>
      </c>
      <c r="C57" t="s">
        <v>8</v>
      </c>
      <c r="D57">
        <v>33</v>
      </c>
      <c r="E57" t="s">
        <v>3</v>
      </c>
      <c r="F57">
        <f t="shared" si="3"/>
        <v>93</v>
      </c>
      <c r="G57" t="s">
        <v>3</v>
      </c>
    </row>
    <row r="58" spans="1:7" x14ac:dyDescent="0.15">
      <c r="A58" t="str">
        <f t="shared" si="2"/>
        <v>|Lv35|96|</v>
      </c>
      <c r="B58" t="s">
        <v>3</v>
      </c>
      <c r="C58" t="s">
        <v>8</v>
      </c>
      <c r="D58">
        <v>35</v>
      </c>
      <c r="E58" t="s">
        <v>3</v>
      </c>
      <c r="F58">
        <f t="shared" si="3"/>
        <v>96</v>
      </c>
      <c r="G58" t="s">
        <v>3</v>
      </c>
    </row>
    <row r="59" spans="1:7" x14ac:dyDescent="0.15">
      <c r="A59" t="str">
        <f t="shared" si="2"/>
        <v>|Lv37|99|</v>
      </c>
      <c r="B59" t="s">
        <v>3</v>
      </c>
      <c r="C59" t="s">
        <v>8</v>
      </c>
      <c r="D59">
        <v>37</v>
      </c>
      <c r="E59" t="s">
        <v>3</v>
      </c>
      <c r="F59">
        <f t="shared" si="3"/>
        <v>99</v>
      </c>
      <c r="G59" t="s">
        <v>3</v>
      </c>
    </row>
    <row r="60" spans="1:7" x14ac:dyDescent="0.15">
      <c r="A60" t="str">
        <f t="shared" si="2"/>
        <v>|Lv39|102|</v>
      </c>
      <c r="B60" t="s">
        <v>3</v>
      </c>
      <c r="C60" t="s">
        <v>8</v>
      </c>
      <c r="D60">
        <v>39</v>
      </c>
      <c r="E60" t="s">
        <v>3</v>
      </c>
      <c r="F60">
        <f t="shared" si="3"/>
        <v>102</v>
      </c>
      <c r="G60" t="s">
        <v>3</v>
      </c>
    </row>
    <row r="61" spans="1:7" x14ac:dyDescent="0.15">
      <c r="A61" t="str">
        <f t="shared" si="2"/>
        <v>|Lv41|105|</v>
      </c>
      <c r="B61" t="s">
        <v>3</v>
      </c>
      <c r="C61" t="s">
        <v>8</v>
      </c>
      <c r="D61">
        <v>41</v>
      </c>
      <c r="E61" t="s">
        <v>3</v>
      </c>
      <c r="F61">
        <f t="shared" si="3"/>
        <v>105</v>
      </c>
      <c r="G61" t="s">
        <v>3</v>
      </c>
    </row>
    <row r="62" spans="1:7" x14ac:dyDescent="0.15">
      <c r="A62" t="str">
        <f t="shared" si="2"/>
        <v>|Lv43|108|</v>
      </c>
      <c r="B62" t="s">
        <v>3</v>
      </c>
      <c r="C62" t="s">
        <v>8</v>
      </c>
      <c r="D62">
        <v>43</v>
      </c>
      <c r="E62" t="s">
        <v>3</v>
      </c>
      <c r="F62">
        <f t="shared" si="3"/>
        <v>108</v>
      </c>
      <c r="G62" t="s">
        <v>3</v>
      </c>
    </row>
    <row r="63" spans="1:7" x14ac:dyDescent="0.15">
      <c r="A63" t="str">
        <f t="shared" si="2"/>
        <v>|Lv45|111|</v>
      </c>
      <c r="B63" t="s">
        <v>3</v>
      </c>
      <c r="C63" t="s">
        <v>8</v>
      </c>
      <c r="D63">
        <v>45</v>
      </c>
      <c r="E63" t="s">
        <v>3</v>
      </c>
      <c r="F63">
        <f t="shared" si="3"/>
        <v>111</v>
      </c>
      <c r="G63" t="s">
        <v>3</v>
      </c>
    </row>
    <row r="64" spans="1:7" x14ac:dyDescent="0.15">
      <c r="A64" t="str">
        <f t="shared" si="2"/>
        <v>|Lv47|114|</v>
      </c>
      <c r="B64" t="s">
        <v>3</v>
      </c>
      <c r="C64" t="s">
        <v>8</v>
      </c>
      <c r="D64">
        <v>47</v>
      </c>
      <c r="E64" t="s">
        <v>3</v>
      </c>
      <c r="F64">
        <f t="shared" si="3"/>
        <v>114</v>
      </c>
      <c r="G64" t="s">
        <v>3</v>
      </c>
    </row>
    <row r="65" spans="1:19" x14ac:dyDescent="0.15">
      <c r="A65" t="str">
        <f t="shared" si="2"/>
        <v>|Lv49|117|</v>
      </c>
      <c r="B65" t="s">
        <v>3</v>
      </c>
      <c r="C65" t="s">
        <v>8</v>
      </c>
      <c r="D65">
        <v>49</v>
      </c>
      <c r="E65" t="s">
        <v>3</v>
      </c>
      <c r="F65">
        <f t="shared" si="3"/>
        <v>117</v>
      </c>
      <c r="G65" t="s">
        <v>3</v>
      </c>
    </row>
    <row r="66" spans="1:19" x14ac:dyDescent="0.15">
      <c r="A66" t="str">
        <f t="shared" si="2"/>
        <v>|Lv51|120|</v>
      </c>
      <c r="B66" t="s">
        <v>3</v>
      </c>
      <c r="C66" t="s">
        <v>8</v>
      </c>
      <c r="D66">
        <v>51</v>
      </c>
      <c r="E66" t="s">
        <v>3</v>
      </c>
      <c r="F66">
        <f t="shared" si="3"/>
        <v>120</v>
      </c>
      <c r="G66" t="s">
        <v>3</v>
      </c>
    </row>
    <row r="67" spans="1:19" x14ac:dyDescent="0.15">
      <c r="A67" t="str">
        <f t="shared" si="2"/>
        <v>|Lv53|123|</v>
      </c>
      <c r="B67" t="s">
        <v>3</v>
      </c>
      <c r="C67" t="s">
        <v>8</v>
      </c>
      <c r="D67">
        <v>53</v>
      </c>
      <c r="E67" t="s">
        <v>3</v>
      </c>
      <c r="F67">
        <f t="shared" si="3"/>
        <v>123</v>
      </c>
      <c r="G67" t="s">
        <v>3</v>
      </c>
    </row>
    <row r="68" spans="1:19" x14ac:dyDescent="0.15">
      <c r="A68" t="str">
        <f t="shared" si="2"/>
        <v>|Lv55|126|</v>
      </c>
      <c r="B68" t="s">
        <v>3</v>
      </c>
      <c r="C68" t="s">
        <v>8</v>
      </c>
      <c r="D68">
        <v>55</v>
      </c>
      <c r="E68" t="s">
        <v>3</v>
      </c>
      <c r="F68">
        <f t="shared" si="3"/>
        <v>126</v>
      </c>
      <c r="G68" t="s">
        <v>3</v>
      </c>
    </row>
    <row r="69" spans="1:19" x14ac:dyDescent="0.15">
      <c r="A69" t="str">
        <f t="shared" si="2"/>
        <v>|Lv57|129|</v>
      </c>
      <c r="B69" t="s">
        <v>3</v>
      </c>
      <c r="C69" t="s">
        <v>8</v>
      </c>
      <c r="D69">
        <v>57</v>
      </c>
      <c r="E69" t="s">
        <v>3</v>
      </c>
      <c r="F69">
        <f t="shared" si="3"/>
        <v>129</v>
      </c>
      <c r="G69" t="s">
        <v>3</v>
      </c>
    </row>
    <row r="70" spans="1:19" x14ac:dyDescent="0.15">
      <c r="A70" t="str">
        <f>B70&amp;C70&amp;D70&amp;E70&amp;F70&amp;G70&amp;H70&amp;I70&amp;J70&amp;K70&amp;L70&amp;M70&amp;N70&amp;O70&amp;P70</f>
        <v>&amp;br;</v>
      </c>
      <c r="B70" t="s">
        <v>0</v>
      </c>
    </row>
    <row r="71" spans="1:19" x14ac:dyDescent="0.15">
      <c r="A71" t="str">
        <f>B71&amp;C71&amp;D71&amp;E71&amp;F71&amp;G71&amp;H71&amp;I71&amp;J71&amp;K71&amp;L71&amp;M71&amp;N71&amp;O71&amp;P71</f>
        <v>&amp;br;</v>
      </c>
      <c r="B71" t="s">
        <v>0</v>
      </c>
    </row>
    <row r="72" spans="1:19" x14ac:dyDescent="0.15">
      <c r="A72" t="str">
        <f>B72&amp;C72&amp;D72&amp;E72&amp;F72&amp;G72&amp;H72&amp;I72&amp;J72&amp;K72&amp;L72&amp;M72&amp;N72&amp;O72&amp;P72</f>
        <v>*マナボーナス [#q1a26f54]</v>
      </c>
      <c r="B72" t="s">
        <v>9</v>
      </c>
    </row>
    <row r="73" spans="1:19" x14ac:dyDescent="0.15">
      <c r="A73" t="str">
        <f t="shared" ref="A73:A84" si="4">B73&amp;C73&amp;D73&amp;G73&amp;H73&amp;I73&amp;J73&amp;K73&amp;L73&amp;M73&amp;N73&amp;O73&amp;P73&amp;Q73&amp;R73</f>
        <v>|LEFT:50|LEFT:50|LEFT:50|LEFT:50|LEFT:50|LEFT:50|c</v>
      </c>
      <c r="B73" t="s">
        <v>3</v>
      </c>
      <c r="C73" t="s">
        <v>4</v>
      </c>
      <c r="E73" t="s">
        <v>3</v>
      </c>
      <c r="G73" t="s">
        <v>3</v>
      </c>
      <c r="H73" t="s">
        <v>4</v>
      </c>
      <c r="I73" t="s">
        <v>3</v>
      </c>
      <c r="J73" t="s">
        <v>4</v>
      </c>
      <c r="K73" t="s">
        <v>3</v>
      </c>
      <c r="L73" t="s">
        <v>4</v>
      </c>
      <c r="M73" t="s">
        <v>3</v>
      </c>
      <c r="N73" t="s">
        <v>4</v>
      </c>
      <c r="O73" t="s">
        <v>3</v>
      </c>
      <c r="P73" t="s">
        <v>4</v>
      </c>
      <c r="Q73" t="s">
        <v>3</v>
      </c>
      <c r="R73" t="s">
        <v>5</v>
      </c>
    </row>
    <row r="74" spans="1:19" x14ac:dyDescent="0.15">
      <c r="A74" t="str">
        <f t="shared" si="4"/>
        <v>|レベル|白|青|黒|赤|緑|</v>
      </c>
      <c r="B74" t="s">
        <v>3</v>
      </c>
      <c r="C74" t="s">
        <v>6</v>
      </c>
      <c r="E74" t="s">
        <v>3</v>
      </c>
      <c r="F74" t="s">
        <v>10</v>
      </c>
      <c r="G74" t="s">
        <v>3</v>
      </c>
      <c r="H74" t="s">
        <v>11</v>
      </c>
      <c r="I74" t="s">
        <v>3</v>
      </c>
      <c r="J74" t="s">
        <v>12</v>
      </c>
      <c r="K74" t="s">
        <v>3</v>
      </c>
      <c r="L74" t="s">
        <v>13</v>
      </c>
      <c r="M74" t="s">
        <v>3</v>
      </c>
      <c r="N74" t="s">
        <v>14</v>
      </c>
      <c r="O74" t="s">
        <v>3</v>
      </c>
      <c r="P74" t="s">
        <v>15</v>
      </c>
      <c r="Q74" t="s">
        <v>3</v>
      </c>
      <c r="S74" t="s">
        <v>11</v>
      </c>
    </row>
    <row r="75" spans="1:19" x14ac:dyDescent="0.15">
      <c r="A75" t="str">
        <f t="shared" si="4"/>
        <v>|Lv1|-2|-2|-2|2|2|</v>
      </c>
      <c r="B75" t="s">
        <v>3</v>
      </c>
      <c r="C75" t="s">
        <v>8</v>
      </c>
      <c r="D75">
        <v>1</v>
      </c>
      <c r="E75" t="s">
        <v>3</v>
      </c>
      <c r="G75" t="s">
        <v>3</v>
      </c>
      <c r="H75">
        <f>B211</f>
        <v>-2</v>
      </c>
      <c r="I75" t="s">
        <v>3</v>
      </c>
      <c r="J75">
        <f>C211</f>
        <v>-2</v>
      </c>
      <c r="K75" t="s">
        <v>3</v>
      </c>
      <c r="L75">
        <f>D211</f>
        <v>-2</v>
      </c>
      <c r="M75" t="s">
        <v>3</v>
      </c>
      <c r="N75">
        <f>E211</f>
        <v>2</v>
      </c>
      <c r="O75" t="s">
        <v>3</v>
      </c>
      <c r="P75">
        <f>F211</f>
        <v>2</v>
      </c>
      <c r="Q75" t="s">
        <v>3</v>
      </c>
      <c r="S75" t="s">
        <v>12</v>
      </c>
    </row>
    <row r="76" spans="1:19" x14ac:dyDescent="0.15">
      <c r="A76" t="str">
        <f t="shared" si="4"/>
        <v>|Lv2|-2|-2|-2|3|2|</v>
      </c>
      <c r="B76" t="s">
        <v>3</v>
      </c>
      <c r="C76" t="s">
        <v>8</v>
      </c>
      <c r="D76">
        <v>2</v>
      </c>
      <c r="E76" t="s">
        <v>3</v>
      </c>
      <c r="F76" t="str">
        <f t="shared" ref="F76:F84" si="5">IF(ISBLANK(D76),"",INDEX($F$132:$F$191,D76))</f>
        <v>赤</v>
      </c>
      <c r="G76" t="s">
        <v>3</v>
      </c>
      <c r="H76">
        <f t="shared" ref="H76:H84" si="6">H75+IF(H$74=$F76,1,0)</f>
        <v>-2</v>
      </c>
      <c r="I76" t="str">
        <f t="shared" ref="I76:Q84" si="7">I75</f>
        <v>|</v>
      </c>
      <c r="J76">
        <f t="shared" ref="J76:J84" si="8">J75+IF(J$74=$F76,1,0)</f>
        <v>-2</v>
      </c>
      <c r="K76" t="str">
        <f t="shared" si="7"/>
        <v>|</v>
      </c>
      <c r="L76">
        <f t="shared" ref="L76:L84" si="9">L75+IF(L$74=$F76,1,0)</f>
        <v>-2</v>
      </c>
      <c r="M76" t="str">
        <f t="shared" si="7"/>
        <v>|</v>
      </c>
      <c r="N76">
        <f t="shared" ref="N76:N84" si="10">N75+IF(N$74=$F76,1,0)</f>
        <v>3</v>
      </c>
      <c r="O76" t="str">
        <f t="shared" si="7"/>
        <v>|</v>
      </c>
      <c r="P76">
        <f t="shared" ref="P76:P84" si="11">P75+IF(P$74=$F76,1,0)</f>
        <v>2</v>
      </c>
      <c r="Q76" t="str">
        <f t="shared" si="7"/>
        <v>|</v>
      </c>
      <c r="S76" t="s">
        <v>13</v>
      </c>
    </row>
    <row r="77" spans="1:19" x14ac:dyDescent="0.15">
      <c r="A77" t="str">
        <f t="shared" si="4"/>
        <v>|Lv8|-2|-2|-2|3|3|</v>
      </c>
      <c r="B77" t="s">
        <v>3</v>
      </c>
      <c r="C77" t="s">
        <v>8</v>
      </c>
      <c r="D77">
        <v>8</v>
      </c>
      <c r="E77" t="s">
        <v>3</v>
      </c>
      <c r="F77" t="str">
        <f t="shared" si="5"/>
        <v>緑</v>
      </c>
      <c r="G77" t="s">
        <v>3</v>
      </c>
      <c r="H77">
        <f t="shared" si="6"/>
        <v>-2</v>
      </c>
      <c r="I77" t="str">
        <f t="shared" si="7"/>
        <v>|</v>
      </c>
      <c r="J77">
        <f t="shared" si="8"/>
        <v>-2</v>
      </c>
      <c r="K77" t="str">
        <f t="shared" si="7"/>
        <v>|</v>
      </c>
      <c r="L77">
        <f t="shared" si="9"/>
        <v>-2</v>
      </c>
      <c r="M77" t="str">
        <f t="shared" si="7"/>
        <v>|</v>
      </c>
      <c r="N77">
        <f t="shared" si="10"/>
        <v>3</v>
      </c>
      <c r="O77" t="str">
        <f t="shared" si="7"/>
        <v>|</v>
      </c>
      <c r="P77">
        <f t="shared" si="11"/>
        <v>3</v>
      </c>
      <c r="Q77" t="str">
        <f t="shared" si="7"/>
        <v>|</v>
      </c>
      <c r="S77" t="s">
        <v>14</v>
      </c>
    </row>
    <row r="78" spans="1:19" x14ac:dyDescent="0.15">
      <c r="A78" t="str">
        <f t="shared" si="4"/>
        <v>|Lv14|-2|-2|-1|3|3|</v>
      </c>
      <c r="B78" t="s">
        <v>3</v>
      </c>
      <c r="C78" t="s">
        <v>8</v>
      </c>
      <c r="D78">
        <v>14</v>
      </c>
      <c r="E78" t="s">
        <v>3</v>
      </c>
      <c r="F78" t="str">
        <f t="shared" si="5"/>
        <v>黒</v>
      </c>
      <c r="G78" t="s">
        <v>3</v>
      </c>
      <c r="H78">
        <f t="shared" si="6"/>
        <v>-2</v>
      </c>
      <c r="I78" t="str">
        <f t="shared" si="7"/>
        <v>|</v>
      </c>
      <c r="J78">
        <f t="shared" si="8"/>
        <v>-2</v>
      </c>
      <c r="K78" t="str">
        <f t="shared" si="7"/>
        <v>|</v>
      </c>
      <c r="L78">
        <f t="shared" si="9"/>
        <v>-1</v>
      </c>
      <c r="M78" t="str">
        <f t="shared" si="7"/>
        <v>|</v>
      </c>
      <c r="N78">
        <f t="shared" si="10"/>
        <v>3</v>
      </c>
      <c r="O78" t="str">
        <f t="shared" si="7"/>
        <v>|</v>
      </c>
      <c r="P78">
        <f t="shared" si="11"/>
        <v>3</v>
      </c>
      <c r="Q78" t="str">
        <f t="shared" si="7"/>
        <v>|</v>
      </c>
      <c r="S78" t="s">
        <v>15</v>
      </c>
    </row>
    <row r="79" spans="1:19" x14ac:dyDescent="0.15">
      <c r="A79" t="str">
        <f t="shared" si="4"/>
        <v>|Lv20|-2|-1|-1|3|3|</v>
      </c>
      <c r="B79" t="s">
        <v>3</v>
      </c>
      <c r="C79" t="s">
        <v>8</v>
      </c>
      <c r="D79">
        <v>20</v>
      </c>
      <c r="E79" t="s">
        <v>3</v>
      </c>
      <c r="F79" t="str">
        <f t="shared" si="5"/>
        <v>青</v>
      </c>
      <c r="G79" t="s">
        <v>3</v>
      </c>
      <c r="H79">
        <f t="shared" si="6"/>
        <v>-2</v>
      </c>
      <c r="I79" t="str">
        <f t="shared" si="7"/>
        <v>|</v>
      </c>
      <c r="J79">
        <f t="shared" si="8"/>
        <v>-1</v>
      </c>
      <c r="K79" t="str">
        <f t="shared" si="7"/>
        <v>|</v>
      </c>
      <c r="L79">
        <f t="shared" si="9"/>
        <v>-1</v>
      </c>
      <c r="M79" t="str">
        <f t="shared" si="7"/>
        <v>|</v>
      </c>
      <c r="N79">
        <f t="shared" si="10"/>
        <v>3</v>
      </c>
      <c r="O79" t="str">
        <f t="shared" si="7"/>
        <v>|</v>
      </c>
      <c r="P79">
        <f t="shared" si="11"/>
        <v>3</v>
      </c>
      <c r="Q79" t="str">
        <f t="shared" si="7"/>
        <v>|</v>
      </c>
    </row>
    <row r="80" spans="1:19" x14ac:dyDescent="0.15">
      <c r="A80" t="str">
        <f t="shared" si="4"/>
        <v>|Lv26|-1|-1|-1|3|3|</v>
      </c>
      <c r="B80" t="s">
        <v>3</v>
      </c>
      <c r="C80" t="s">
        <v>8</v>
      </c>
      <c r="D80">
        <v>26</v>
      </c>
      <c r="E80" t="s">
        <v>3</v>
      </c>
      <c r="F80" t="str">
        <f t="shared" si="5"/>
        <v>白</v>
      </c>
      <c r="G80" t="s">
        <v>3</v>
      </c>
      <c r="H80">
        <f t="shared" si="6"/>
        <v>-1</v>
      </c>
      <c r="I80" t="str">
        <f t="shared" si="7"/>
        <v>|</v>
      </c>
      <c r="J80">
        <f t="shared" si="8"/>
        <v>-1</v>
      </c>
      <c r="K80" t="str">
        <f t="shared" si="7"/>
        <v>|</v>
      </c>
      <c r="L80">
        <f t="shared" si="9"/>
        <v>-1</v>
      </c>
      <c r="M80" t="str">
        <f t="shared" si="7"/>
        <v>|</v>
      </c>
      <c r="N80">
        <f t="shared" si="10"/>
        <v>3</v>
      </c>
      <c r="O80" t="str">
        <f t="shared" si="7"/>
        <v>|</v>
      </c>
      <c r="P80">
        <f t="shared" si="11"/>
        <v>3</v>
      </c>
      <c r="Q80" t="str">
        <f t="shared" si="7"/>
        <v>|</v>
      </c>
    </row>
    <row r="81" spans="1:19" x14ac:dyDescent="0.15">
      <c r="A81" t="str">
        <f t="shared" si="4"/>
        <v>|Lv32|-1|-1|-1|4|3|</v>
      </c>
      <c r="B81" t="s">
        <v>3</v>
      </c>
      <c r="C81" t="s">
        <v>8</v>
      </c>
      <c r="D81">
        <v>32</v>
      </c>
      <c r="E81" t="s">
        <v>3</v>
      </c>
      <c r="F81" t="str">
        <f t="shared" si="5"/>
        <v>赤</v>
      </c>
      <c r="G81" t="s">
        <v>3</v>
      </c>
      <c r="H81">
        <f t="shared" si="6"/>
        <v>-1</v>
      </c>
      <c r="I81" t="str">
        <f t="shared" si="7"/>
        <v>|</v>
      </c>
      <c r="J81">
        <f t="shared" si="8"/>
        <v>-1</v>
      </c>
      <c r="K81" t="str">
        <f t="shared" si="7"/>
        <v>|</v>
      </c>
      <c r="L81">
        <f t="shared" si="9"/>
        <v>-1</v>
      </c>
      <c r="M81" t="str">
        <f t="shared" si="7"/>
        <v>|</v>
      </c>
      <c r="N81">
        <f t="shared" si="10"/>
        <v>4</v>
      </c>
      <c r="O81" t="str">
        <f t="shared" si="7"/>
        <v>|</v>
      </c>
      <c r="P81">
        <f t="shared" si="11"/>
        <v>3</v>
      </c>
      <c r="Q81" t="str">
        <f t="shared" si="7"/>
        <v>|</v>
      </c>
    </row>
    <row r="82" spans="1:19" x14ac:dyDescent="0.15">
      <c r="A82" t="str">
        <f t="shared" si="4"/>
        <v>|Lv38|-1|-1|-1|4|4|</v>
      </c>
      <c r="B82" t="s">
        <v>3</v>
      </c>
      <c r="C82" t="s">
        <v>8</v>
      </c>
      <c r="D82">
        <v>38</v>
      </c>
      <c r="E82" t="s">
        <v>3</v>
      </c>
      <c r="F82" t="str">
        <f t="shared" si="5"/>
        <v>緑</v>
      </c>
      <c r="G82" t="s">
        <v>3</v>
      </c>
      <c r="H82">
        <f t="shared" si="6"/>
        <v>-1</v>
      </c>
      <c r="I82" t="str">
        <f t="shared" si="7"/>
        <v>|</v>
      </c>
      <c r="J82">
        <f t="shared" si="8"/>
        <v>-1</v>
      </c>
      <c r="K82" t="str">
        <f t="shared" si="7"/>
        <v>|</v>
      </c>
      <c r="L82">
        <f t="shared" si="9"/>
        <v>-1</v>
      </c>
      <c r="M82" t="str">
        <f t="shared" si="7"/>
        <v>|</v>
      </c>
      <c r="N82">
        <f t="shared" si="10"/>
        <v>4</v>
      </c>
      <c r="O82" t="str">
        <f t="shared" si="7"/>
        <v>|</v>
      </c>
      <c r="P82">
        <f t="shared" si="11"/>
        <v>4</v>
      </c>
      <c r="Q82" t="str">
        <f t="shared" si="7"/>
        <v>|</v>
      </c>
    </row>
    <row r="83" spans="1:19" x14ac:dyDescent="0.15">
      <c r="A83" t="str">
        <f t="shared" si="4"/>
        <v>|Lv44|-1|-1|-1|5|4|</v>
      </c>
      <c r="B83" t="s">
        <v>3</v>
      </c>
      <c r="C83" t="s">
        <v>8</v>
      </c>
      <c r="D83">
        <v>44</v>
      </c>
      <c r="E83" t="s">
        <v>3</v>
      </c>
      <c r="F83" t="str">
        <f t="shared" si="5"/>
        <v>赤</v>
      </c>
      <c r="G83" t="s">
        <v>3</v>
      </c>
      <c r="H83">
        <f t="shared" si="6"/>
        <v>-1</v>
      </c>
      <c r="I83" t="str">
        <f t="shared" si="7"/>
        <v>|</v>
      </c>
      <c r="J83">
        <f t="shared" si="8"/>
        <v>-1</v>
      </c>
      <c r="K83" t="str">
        <f t="shared" si="7"/>
        <v>|</v>
      </c>
      <c r="L83">
        <f t="shared" si="9"/>
        <v>-1</v>
      </c>
      <c r="M83" t="str">
        <f t="shared" si="7"/>
        <v>|</v>
      </c>
      <c r="N83">
        <f t="shared" si="10"/>
        <v>5</v>
      </c>
      <c r="O83" t="str">
        <f t="shared" si="7"/>
        <v>|</v>
      </c>
      <c r="P83">
        <f t="shared" si="11"/>
        <v>4</v>
      </c>
      <c r="Q83" t="str">
        <f t="shared" si="7"/>
        <v>|</v>
      </c>
    </row>
    <row r="84" spans="1:19" x14ac:dyDescent="0.15">
      <c r="A84" t="str">
        <f t="shared" si="4"/>
        <v>|Lv50|-1|-1|-1|5|5|</v>
      </c>
      <c r="B84" t="s">
        <v>3</v>
      </c>
      <c r="C84" t="s">
        <v>8</v>
      </c>
      <c r="D84">
        <v>50</v>
      </c>
      <c r="E84" t="s">
        <v>3</v>
      </c>
      <c r="F84" t="str">
        <f t="shared" si="5"/>
        <v>緑</v>
      </c>
      <c r="G84" t="s">
        <v>3</v>
      </c>
      <c r="H84">
        <f t="shared" si="6"/>
        <v>-1</v>
      </c>
      <c r="I84" t="str">
        <f t="shared" si="7"/>
        <v>|</v>
      </c>
      <c r="J84">
        <f t="shared" si="8"/>
        <v>-1</v>
      </c>
      <c r="K84" t="str">
        <f t="shared" si="7"/>
        <v>|</v>
      </c>
      <c r="L84">
        <f t="shared" si="9"/>
        <v>-1</v>
      </c>
      <c r="M84" t="str">
        <f t="shared" si="7"/>
        <v>|</v>
      </c>
      <c r="N84">
        <f t="shared" si="10"/>
        <v>5</v>
      </c>
      <c r="O84" t="str">
        <f t="shared" si="7"/>
        <v>|</v>
      </c>
      <c r="P84">
        <f t="shared" si="11"/>
        <v>5</v>
      </c>
      <c r="Q84" t="str">
        <f t="shared" si="7"/>
        <v>|</v>
      </c>
    </row>
    <row r="85" spans="1:19" x14ac:dyDescent="0.15">
      <c r="A85" t="str">
        <f>B85&amp;C85&amp;D85&amp;E85&amp;F85&amp;G85&amp;H85&amp;I85&amp;J85&amp;K85&amp;L85&amp;M85&amp;N85&amp;O85&amp;P85</f>
        <v>&amp;br;</v>
      </c>
      <c r="B85" t="s">
        <v>0</v>
      </c>
    </row>
    <row r="86" spans="1:19" x14ac:dyDescent="0.15">
      <c r="A86" t="str">
        <f>B86&amp;C86&amp;D86&amp;E86&amp;F86&amp;G86&amp;H86&amp;I86&amp;J86&amp;K86&amp;L86&amp;M86&amp;N86&amp;O86&amp;P86</f>
        <v>&amp;br;</v>
      </c>
      <c r="B86" t="s">
        <v>0</v>
      </c>
    </row>
    <row r="87" spans="1:19" x14ac:dyDescent="0.15">
      <c r="A87" t="str">
        <f>B87&amp;C87&amp;D87&amp;E87&amp;F87&amp;G87&amp;H87&amp;I87&amp;J87&amp;K87&amp;L87&amp;M87&amp;N87&amp;O87&amp;P87</f>
        <v>*デッキ構築枚数上限 [#e6f382eb]</v>
      </c>
      <c r="B87" t="s">
        <v>16</v>
      </c>
    </row>
    <row r="88" spans="1:19" x14ac:dyDescent="0.15">
      <c r="A88" t="str">
        <f>B88&amp;C88&amp;D88&amp;E88&amp;F88&amp;G88&amp;H88&amp;I88&amp;J88&amp;K88&amp;L88&amp;M88&amp;N88&amp;O88&amp;P88</f>
        <v>構築枚数上限を越える枚数はデッキに入れられない。</v>
      </c>
      <c r="B88" t="s">
        <v>17</v>
      </c>
    </row>
    <row r="89" spans="1:19" x14ac:dyDescent="0.15">
      <c r="A89" t="str">
        <f t="shared" ref="A89:A99" si="12">B89&amp;C89&amp;D89&amp;G89&amp;H89&amp;I89&amp;J89&amp;K89&amp;L89&amp;M89&amp;N89&amp;O89&amp;P89&amp;Q89&amp;R89</f>
        <v>|LEFT:50|LEFT:80|LEFT:80|LEFT:80|c</v>
      </c>
      <c r="B89" t="s">
        <v>3</v>
      </c>
      <c r="C89" t="s">
        <v>4</v>
      </c>
      <c r="E89" t="s">
        <v>3</v>
      </c>
      <c r="G89" t="s">
        <v>3</v>
      </c>
      <c r="H89" t="s">
        <v>18</v>
      </c>
      <c r="I89" t="s">
        <v>3</v>
      </c>
      <c r="J89" t="s">
        <v>18</v>
      </c>
      <c r="K89" t="s">
        <v>3</v>
      </c>
      <c r="L89" t="s">
        <v>18</v>
      </c>
      <c r="M89" t="s">
        <v>3</v>
      </c>
      <c r="N89" t="s">
        <v>5</v>
      </c>
    </row>
    <row r="90" spans="1:19" x14ac:dyDescent="0.15">
      <c r="A90" t="str">
        <f t="shared" si="12"/>
        <v>|レベル|クリーチャー|呪文|サポート|</v>
      </c>
      <c r="B90" t="s">
        <v>3</v>
      </c>
      <c r="C90" t="s">
        <v>6</v>
      </c>
      <c r="E90" t="s">
        <v>3</v>
      </c>
      <c r="F90" t="s">
        <v>19</v>
      </c>
      <c r="G90" t="s">
        <v>3</v>
      </c>
      <c r="H90" t="s">
        <v>20</v>
      </c>
      <c r="I90" t="s">
        <v>3</v>
      </c>
      <c r="J90" t="s">
        <v>21</v>
      </c>
      <c r="K90" t="s">
        <v>3</v>
      </c>
      <c r="L90" t="s">
        <v>22</v>
      </c>
      <c r="M90" t="s">
        <v>3</v>
      </c>
      <c r="S90" t="s">
        <v>20</v>
      </c>
    </row>
    <row r="91" spans="1:19" x14ac:dyDescent="0.15">
      <c r="A91" t="str">
        <f t="shared" si="12"/>
        <v>|Lv1|4|3|3|</v>
      </c>
      <c r="B91" t="s">
        <v>3</v>
      </c>
      <c r="C91" t="s">
        <v>8</v>
      </c>
      <c r="D91">
        <v>1</v>
      </c>
      <c r="E91" t="s">
        <v>3</v>
      </c>
      <c r="G91" t="s">
        <v>3</v>
      </c>
      <c r="H91">
        <f>B209</f>
        <v>4</v>
      </c>
      <c r="I91" t="s">
        <v>3</v>
      </c>
      <c r="J91">
        <f>C209</f>
        <v>3</v>
      </c>
      <c r="K91" t="s">
        <v>3</v>
      </c>
      <c r="L91">
        <f>D209</f>
        <v>3</v>
      </c>
      <c r="M91" t="s">
        <v>3</v>
      </c>
      <c r="S91" t="s">
        <v>21</v>
      </c>
    </row>
    <row r="92" spans="1:19" x14ac:dyDescent="0.15">
      <c r="A92" t="str">
        <f t="shared" si="12"/>
        <v>|Lv4|5|3|3|</v>
      </c>
      <c r="B92" t="s">
        <v>3</v>
      </c>
      <c r="C92" t="s">
        <v>8</v>
      </c>
      <c r="D92">
        <v>4</v>
      </c>
      <c r="E92" t="s">
        <v>3</v>
      </c>
      <c r="F92" t="str">
        <f t="shared" ref="F92:F99" si="13">IF(ISBLANK(D92),"",INDEX($F$132:$F$191,D92))</f>
        <v>クリーチャー</v>
      </c>
      <c r="G92" t="s">
        <v>3</v>
      </c>
      <c r="H92">
        <f t="shared" ref="H92:H99" si="14">H91+IF(H$90=$F92,INDEX($H$132:$H$191,D92),0)</f>
        <v>5</v>
      </c>
      <c r="I92" t="s">
        <v>3</v>
      </c>
      <c r="J92">
        <f t="shared" ref="J92:J99" si="15">J91+IF(J$90=$F92,INDEX($H$132:$H$191,D92),0)</f>
        <v>3</v>
      </c>
      <c r="K92" t="s">
        <v>3</v>
      </c>
      <c r="L92">
        <f t="shared" ref="L92:L99" si="16">L91+IF(L$90=$F92,INDEX($H$132:$H$191,D92),0)</f>
        <v>3</v>
      </c>
      <c r="M92" t="s">
        <v>3</v>
      </c>
      <c r="S92" t="s">
        <v>22</v>
      </c>
    </row>
    <row r="93" spans="1:19" x14ac:dyDescent="0.15">
      <c r="A93" t="str">
        <f t="shared" si="12"/>
        <v>|Lv10|5|3|4|</v>
      </c>
      <c r="B93" t="s">
        <v>3</v>
      </c>
      <c r="C93" t="s">
        <v>8</v>
      </c>
      <c r="D93">
        <v>10</v>
      </c>
      <c r="E93" t="s">
        <v>3</v>
      </c>
      <c r="F93" t="str">
        <f t="shared" si="13"/>
        <v>サポート</v>
      </c>
      <c r="G93" t="s">
        <v>3</v>
      </c>
      <c r="H93">
        <f t="shared" si="14"/>
        <v>5</v>
      </c>
      <c r="I93" t="s">
        <v>3</v>
      </c>
      <c r="J93">
        <f t="shared" si="15"/>
        <v>3</v>
      </c>
      <c r="K93" t="s">
        <v>3</v>
      </c>
      <c r="L93">
        <f t="shared" si="16"/>
        <v>4</v>
      </c>
      <c r="M93" t="s">
        <v>3</v>
      </c>
    </row>
    <row r="94" spans="1:19" x14ac:dyDescent="0.15">
      <c r="A94" t="str">
        <f t="shared" si="12"/>
        <v>|Lv16|5|4|4|</v>
      </c>
      <c r="B94" t="s">
        <v>3</v>
      </c>
      <c r="C94" t="s">
        <v>8</v>
      </c>
      <c r="D94">
        <v>16</v>
      </c>
      <c r="E94" t="s">
        <v>3</v>
      </c>
      <c r="F94" t="str">
        <f t="shared" si="13"/>
        <v>呪文</v>
      </c>
      <c r="G94" t="s">
        <v>3</v>
      </c>
      <c r="H94">
        <f t="shared" si="14"/>
        <v>5</v>
      </c>
      <c r="I94" t="s">
        <v>3</v>
      </c>
      <c r="J94">
        <f t="shared" si="15"/>
        <v>4</v>
      </c>
      <c r="K94" t="s">
        <v>3</v>
      </c>
      <c r="L94">
        <f t="shared" si="16"/>
        <v>4</v>
      </c>
      <c r="M94" t="s">
        <v>3</v>
      </c>
    </row>
    <row r="95" spans="1:19" x14ac:dyDescent="0.15">
      <c r="A95" t="str">
        <f t="shared" si="12"/>
        <v>|Lv28|6|4|4|</v>
      </c>
      <c r="B95" t="s">
        <v>3</v>
      </c>
      <c r="C95" t="s">
        <v>8</v>
      </c>
      <c r="D95">
        <v>28</v>
      </c>
      <c r="E95" t="s">
        <v>3</v>
      </c>
      <c r="F95" t="str">
        <f t="shared" si="13"/>
        <v>クリーチャー</v>
      </c>
      <c r="G95" t="s">
        <v>3</v>
      </c>
      <c r="H95">
        <f t="shared" si="14"/>
        <v>6</v>
      </c>
      <c r="I95" t="s">
        <v>3</v>
      </c>
      <c r="J95">
        <f t="shared" si="15"/>
        <v>4</v>
      </c>
      <c r="K95" t="s">
        <v>3</v>
      </c>
      <c r="L95">
        <f t="shared" si="16"/>
        <v>4</v>
      </c>
      <c r="M95" t="s">
        <v>3</v>
      </c>
    </row>
    <row r="96" spans="1:19" x14ac:dyDescent="0.15">
      <c r="A96" t="str">
        <f t="shared" si="12"/>
        <v>|Lv34|7|4|4|</v>
      </c>
      <c r="B96" t="s">
        <v>3</v>
      </c>
      <c r="C96" t="s">
        <v>8</v>
      </c>
      <c r="D96">
        <v>34</v>
      </c>
      <c r="E96" t="s">
        <v>3</v>
      </c>
      <c r="F96" t="str">
        <f t="shared" si="13"/>
        <v>クリーチャー</v>
      </c>
      <c r="G96" t="s">
        <v>3</v>
      </c>
      <c r="H96">
        <f t="shared" si="14"/>
        <v>7</v>
      </c>
      <c r="I96" t="s">
        <v>3</v>
      </c>
      <c r="J96">
        <f t="shared" si="15"/>
        <v>4</v>
      </c>
      <c r="K96" t="s">
        <v>3</v>
      </c>
      <c r="L96">
        <f t="shared" si="16"/>
        <v>4</v>
      </c>
      <c r="M96" t="s">
        <v>3</v>
      </c>
    </row>
    <row r="97" spans="1:18" x14ac:dyDescent="0.15">
      <c r="A97" t="str">
        <f t="shared" si="12"/>
        <v>|Lv42|8|4|4|</v>
      </c>
      <c r="B97" t="s">
        <v>3</v>
      </c>
      <c r="C97" t="s">
        <v>8</v>
      </c>
      <c r="D97">
        <v>42</v>
      </c>
      <c r="E97" t="s">
        <v>3</v>
      </c>
      <c r="F97" t="str">
        <f t="shared" si="13"/>
        <v>クリーチャー</v>
      </c>
      <c r="G97" t="s">
        <v>3</v>
      </c>
      <c r="H97">
        <f t="shared" si="14"/>
        <v>8</v>
      </c>
      <c r="I97" t="s">
        <v>3</v>
      </c>
      <c r="J97">
        <f t="shared" si="15"/>
        <v>4</v>
      </c>
      <c r="K97" t="s">
        <v>3</v>
      </c>
      <c r="L97">
        <f t="shared" si="16"/>
        <v>4</v>
      </c>
      <c r="M97" t="s">
        <v>3</v>
      </c>
    </row>
    <row r="98" spans="1:18" x14ac:dyDescent="0.15">
      <c r="A98" t="str">
        <f t="shared" si="12"/>
        <v>|Lv48|9|4|4|</v>
      </c>
      <c r="B98" t="s">
        <v>3</v>
      </c>
      <c r="C98" t="s">
        <v>8</v>
      </c>
      <c r="D98">
        <v>48</v>
      </c>
      <c r="E98" t="s">
        <v>3</v>
      </c>
      <c r="F98" t="str">
        <f t="shared" si="13"/>
        <v>クリーチャー</v>
      </c>
      <c r="G98" t="s">
        <v>3</v>
      </c>
      <c r="H98">
        <f t="shared" si="14"/>
        <v>9</v>
      </c>
      <c r="I98" t="s">
        <v>3</v>
      </c>
      <c r="J98">
        <f t="shared" si="15"/>
        <v>4</v>
      </c>
      <c r="K98" t="s">
        <v>3</v>
      </c>
      <c r="L98">
        <f t="shared" si="16"/>
        <v>4</v>
      </c>
      <c r="M98" t="s">
        <v>3</v>
      </c>
    </row>
    <row r="99" spans="1:18" x14ac:dyDescent="0.15">
      <c r="A99" t="str">
        <f t="shared" si="12"/>
        <v>|Lv54|10|4|4|</v>
      </c>
      <c r="B99" t="s">
        <v>3</v>
      </c>
      <c r="C99" t="s">
        <v>8</v>
      </c>
      <c r="D99">
        <v>54</v>
      </c>
      <c r="E99" t="s">
        <v>3</v>
      </c>
      <c r="F99" t="str">
        <f t="shared" si="13"/>
        <v>クリーチャー</v>
      </c>
      <c r="G99" t="s">
        <v>3</v>
      </c>
      <c r="H99">
        <f t="shared" si="14"/>
        <v>10</v>
      </c>
      <c r="I99" t="s">
        <v>3</v>
      </c>
      <c r="J99">
        <f t="shared" si="15"/>
        <v>4</v>
      </c>
      <c r="K99" t="s">
        <v>3</v>
      </c>
      <c r="L99">
        <f t="shared" si="16"/>
        <v>4</v>
      </c>
      <c r="M99" t="s">
        <v>3</v>
      </c>
    </row>
    <row r="100" spans="1:18" x14ac:dyDescent="0.15">
      <c r="A100" t="str">
        <f t="shared" ref="A100:A121" si="17">B100&amp;C100&amp;D100&amp;E100&amp;F100&amp;G100&amp;H100&amp;I100&amp;J100&amp;K100&amp;L100&amp;M100&amp;N100&amp;O100&amp;P100</f>
        <v>&amp;br;</v>
      </c>
      <c r="B100" t="s">
        <v>0</v>
      </c>
    </row>
    <row r="101" spans="1:18" x14ac:dyDescent="0.15">
      <c r="A101" t="str">
        <f t="shared" si="17"/>
        <v>&amp;br;</v>
      </c>
      <c r="B101" t="s">
        <v>0</v>
      </c>
    </row>
    <row r="102" spans="1:18" x14ac:dyDescent="0.15">
      <c r="A102" t="str">
        <f t="shared" si="17"/>
        <v>*PW能力一覧 [#a469e89f]</v>
      </c>
      <c r="B102" t="s">
        <v>23</v>
      </c>
    </row>
    <row r="103" spans="1:18" x14ac:dyDescent="0.15">
      <c r="A103" t="str">
        <f t="shared" si="17"/>
        <v>**第1能力：攻撃の巧者/Striker</v>
      </c>
      <c r="B103" t="s">
        <v>24</v>
      </c>
      <c r="D103" t="s">
        <v>770</v>
      </c>
      <c r="E103" t="s">
        <v>25</v>
      </c>
      <c r="F103" t="s">
        <v>771</v>
      </c>
      <c r="R103" t="str">
        <f>D103&amp;E103&amp;F103</f>
        <v>攻撃の巧者/Striker</v>
      </c>
    </row>
    <row r="104" spans="1:18" x14ac:dyDescent="0.15">
      <c r="A104" t="str">
        <f t="shared" si="17"/>
        <v>|LEFT:50|LEFT:50|LEFT:50|LEFT:300|c</v>
      </c>
      <c r="B104" t="s">
        <v>3</v>
      </c>
      <c r="C104" t="s">
        <v>4</v>
      </c>
      <c r="E104" t="s">
        <v>3</v>
      </c>
      <c r="F104" t="s">
        <v>4</v>
      </c>
      <c r="G104" t="s">
        <v>3</v>
      </c>
      <c r="H104" t="s">
        <v>4</v>
      </c>
      <c r="I104" t="s">
        <v>3</v>
      </c>
      <c r="J104" t="s">
        <v>26</v>
      </c>
      <c r="K104" t="s">
        <v>3</v>
      </c>
      <c r="L104" t="s">
        <v>5</v>
      </c>
    </row>
    <row r="105" spans="1:18" x14ac:dyDescent="0.15">
      <c r="A105" t="str">
        <f t="shared" si="17"/>
        <v>|解放Lv|レベル|コスト|効果|</v>
      </c>
      <c r="B105" t="s">
        <v>3</v>
      </c>
      <c r="C105" t="s">
        <v>27</v>
      </c>
      <c r="E105" t="s">
        <v>3</v>
      </c>
      <c r="F105" t="s">
        <v>6</v>
      </c>
      <c r="G105" t="s">
        <v>3</v>
      </c>
      <c r="H105" t="s">
        <v>28</v>
      </c>
      <c r="I105" t="s">
        <v>3</v>
      </c>
      <c r="J105" t="s">
        <v>29</v>
      </c>
      <c r="K105" t="s">
        <v>3</v>
      </c>
    </row>
    <row r="106" spans="1:18" x14ac:dyDescent="0.15">
      <c r="A106" t="str">
        <f t="shared" si="17"/>
        <v>|Lv6|Lv1|9|あなたがコントロールするクリーチャー1体を対象とする。ターン終了時までそれは[[先制攻撃&gt;先制攻撃：二段攻撃]]を得る。|</v>
      </c>
      <c r="B106" t="s">
        <v>3</v>
      </c>
      <c r="C106" t="s">
        <v>8</v>
      </c>
      <c r="D106">
        <v>6</v>
      </c>
      <c r="E106" t="s">
        <v>3</v>
      </c>
      <c r="F106" t="s">
        <v>30</v>
      </c>
      <c r="G106" t="s">
        <v>3</v>
      </c>
      <c r="H106">
        <v>9</v>
      </c>
      <c r="I106" t="s">
        <v>3</v>
      </c>
      <c r="J106" s="8" t="s">
        <v>779</v>
      </c>
      <c r="K106" t="s">
        <v>3</v>
      </c>
    </row>
    <row r="107" spans="1:18" x14ac:dyDescent="0.15">
      <c r="A107" t="str">
        <f t="shared" si="17"/>
        <v>|Lv24|Lv2|9|あなたがコントロールするクリーチャー1体を対象とする。ターン終了時までそれは[[二段攻撃&gt;先制攻撃：二段攻撃]]を得る。|</v>
      </c>
      <c r="B107" t="s">
        <v>3</v>
      </c>
      <c r="C107" t="s">
        <v>8</v>
      </c>
      <c r="D107">
        <v>24</v>
      </c>
      <c r="E107" t="s">
        <v>3</v>
      </c>
      <c r="F107" t="s">
        <v>31</v>
      </c>
      <c r="G107" t="s">
        <v>3</v>
      </c>
      <c r="H107">
        <f>H106</f>
        <v>9</v>
      </c>
      <c r="I107" t="s">
        <v>3</v>
      </c>
      <c r="J107" s="8" t="s">
        <v>783</v>
      </c>
      <c r="K107" t="s">
        <v>3</v>
      </c>
    </row>
    <row r="108" spans="1:18" x14ac:dyDescent="0.15">
      <c r="A108" t="str">
        <f t="shared" si="17"/>
        <v>|Lv40|Lv3|9|あなたがコントロールするクリーチャー1体を対象とする。ターン終了時までそれは+1/+1の修整と[[二段攻撃&gt;先制攻撃：二段攻撃]]を得る。|</v>
      </c>
      <c r="B108" t="s">
        <v>3</v>
      </c>
      <c r="C108" t="s">
        <v>8</v>
      </c>
      <c r="D108">
        <v>40</v>
      </c>
      <c r="E108" t="s">
        <v>3</v>
      </c>
      <c r="F108" t="s">
        <v>32</v>
      </c>
      <c r="G108" t="s">
        <v>3</v>
      </c>
      <c r="H108">
        <f>H107</f>
        <v>9</v>
      </c>
      <c r="I108" t="s">
        <v>3</v>
      </c>
      <c r="J108" s="8" t="s">
        <v>786</v>
      </c>
      <c r="K108" t="s">
        <v>3</v>
      </c>
    </row>
    <row r="109" spans="1:18" x14ac:dyDescent="0.15">
      <c r="A109" t="str">
        <f t="shared" si="17"/>
        <v>|Lv56|Lv4|9|あなたがコントロールするクリーチャー1体を対象とする。ターン終了時までそれは+2/+2の修整と[[二段攻撃&gt;先制攻撃：二段攻撃]]を得る。|</v>
      </c>
      <c r="B109" t="s">
        <v>3</v>
      </c>
      <c r="C109" t="s">
        <v>8</v>
      </c>
      <c r="D109">
        <v>56</v>
      </c>
      <c r="E109" t="s">
        <v>3</v>
      </c>
      <c r="F109" t="s">
        <v>33</v>
      </c>
      <c r="G109" t="s">
        <v>3</v>
      </c>
      <c r="H109">
        <f>H108</f>
        <v>9</v>
      </c>
      <c r="I109" t="s">
        <v>3</v>
      </c>
      <c r="J109" t="s">
        <v>772</v>
      </c>
      <c r="K109" t="s">
        <v>3</v>
      </c>
    </row>
    <row r="110" spans="1:18" x14ac:dyDescent="0.15">
      <c r="A110" t="str">
        <f t="shared" si="17"/>
        <v>&amp;br;</v>
      </c>
      <c r="B110" t="s">
        <v>0</v>
      </c>
    </row>
    <row r="111" spans="1:18" x14ac:dyDescent="0.15">
      <c r="A111" t="str">
        <f t="shared" si="17"/>
        <v>&amp;br;</v>
      </c>
      <c r="B111" t="s">
        <v>0</v>
      </c>
    </row>
    <row r="112" spans="1:18" x14ac:dyDescent="0.15">
      <c r="A112" t="str">
        <f t="shared" si="17"/>
        <v>**第2能力：加虐行為/Affliction</v>
      </c>
      <c r="B112" t="s">
        <v>34</v>
      </c>
      <c r="D112" t="s">
        <v>773</v>
      </c>
      <c r="E112" t="s">
        <v>25</v>
      </c>
      <c r="F112" t="s">
        <v>774</v>
      </c>
      <c r="R112" t="str">
        <f>D112&amp;E112&amp;F112</f>
        <v>加虐行為/Affliction</v>
      </c>
    </row>
    <row r="113" spans="1:18" x14ac:dyDescent="0.15">
      <c r="A113" t="str">
        <f t="shared" si="17"/>
        <v>|LEFT:50|LEFT:50|LEFT:50|LEFT:300|c</v>
      </c>
      <c r="B113" t="s">
        <v>3</v>
      </c>
      <c r="C113" t="s">
        <v>4</v>
      </c>
      <c r="E113" t="s">
        <v>3</v>
      </c>
      <c r="F113" t="s">
        <v>4</v>
      </c>
      <c r="G113" t="s">
        <v>3</v>
      </c>
      <c r="H113" t="s">
        <v>4</v>
      </c>
      <c r="I113" t="s">
        <v>3</v>
      </c>
      <c r="J113" t="s">
        <v>26</v>
      </c>
      <c r="K113" t="s">
        <v>3</v>
      </c>
      <c r="L113" t="s">
        <v>5</v>
      </c>
    </row>
    <row r="114" spans="1:18" x14ac:dyDescent="0.15">
      <c r="A114" t="str">
        <f t="shared" si="17"/>
        <v>|解放Lv|レベル|コスト|効果|</v>
      </c>
      <c r="B114" t="s">
        <v>3</v>
      </c>
      <c r="C114" t="s">
        <v>27</v>
      </c>
      <c r="E114" t="s">
        <v>3</v>
      </c>
      <c r="F114" t="s">
        <v>6</v>
      </c>
      <c r="G114" t="s">
        <v>3</v>
      </c>
      <c r="H114" t="s">
        <v>28</v>
      </c>
      <c r="I114" t="s">
        <v>3</v>
      </c>
      <c r="J114" t="s">
        <v>29</v>
      </c>
      <c r="K114" t="s">
        <v>3</v>
      </c>
    </row>
    <row r="115" spans="1:18" x14ac:dyDescent="0.15">
      <c r="A115" t="str">
        <f t="shared" si="17"/>
        <v>|Lv12|Lv1|15|あなたがコントロールするクリーチャー1体を対象とし、それは[[加虐]]を得る。これにより得る加虐は重複する。|</v>
      </c>
      <c r="B115" t="s">
        <v>3</v>
      </c>
      <c r="C115" t="s">
        <v>8</v>
      </c>
      <c r="D115">
        <v>12</v>
      </c>
      <c r="E115" t="s">
        <v>3</v>
      </c>
      <c r="F115" t="s">
        <v>30</v>
      </c>
      <c r="G115" t="s">
        <v>3</v>
      </c>
      <c r="H115">
        <v>15</v>
      </c>
      <c r="I115" t="s">
        <v>3</v>
      </c>
      <c r="J115" s="8" t="s">
        <v>784</v>
      </c>
      <c r="K115" t="s">
        <v>3</v>
      </c>
    </row>
    <row r="116" spans="1:18" x14ac:dyDescent="0.15">
      <c r="A116" t="str">
        <f t="shared" si="17"/>
        <v>|Lv30|Lv2|15|あなたがコントロールするクリーチャー1体を対象とし、それは[[加虐]]と[[バーサーカー]]を得る。これにより得る加虐は重複する。|</v>
      </c>
      <c r="B116" t="s">
        <v>3</v>
      </c>
      <c r="C116" t="s">
        <v>8</v>
      </c>
      <c r="D116">
        <v>30</v>
      </c>
      <c r="E116" t="s">
        <v>3</v>
      </c>
      <c r="F116" t="s">
        <v>31</v>
      </c>
      <c r="G116" t="s">
        <v>3</v>
      </c>
      <c r="H116">
        <f>H115</f>
        <v>15</v>
      </c>
      <c r="I116" t="s">
        <v>3</v>
      </c>
      <c r="J116" s="8" t="s">
        <v>785</v>
      </c>
      <c r="K116" t="s">
        <v>3</v>
      </c>
    </row>
    <row r="117" spans="1:18" x14ac:dyDescent="0.15">
      <c r="A117" t="str">
        <f t="shared" si="17"/>
        <v>|Lv46|Lv3|15|あなたがコントロールするクリーチャー1体を対象とし、それは[[加虐]]と[[バーサーカー]]と[[トランプル]]を得る。これにより得る加虐は重複する。|</v>
      </c>
      <c r="B117" t="s">
        <v>3</v>
      </c>
      <c r="C117" t="s">
        <v>8</v>
      </c>
      <c r="D117">
        <v>46</v>
      </c>
      <c r="E117" t="s">
        <v>3</v>
      </c>
      <c r="F117" t="s">
        <v>32</v>
      </c>
      <c r="G117" t="s">
        <v>3</v>
      </c>
      <c r="H117">
        <f>H116</f>
        <v>15</v>
      </c>
      <c r="I117" t="s">
        <v>3</v>
      </c>
      <c r="J117" s="8" t="s">
        <v>787</v>
      </c>
      <c r="K117" t="s">
        <v>3</v>
      </c>
    </row>
    <row r="118" spans="1:18" x14ac:dyDescent="0.15">
      <c r="A118" t="str">
        <f t="shared" si="17"/>
        <v>|Lv58|Lv4|15|あなたがコントロールする各クリーチャーは[[加虐]]と[[バーサーカー]]と[[トランプル]]を得る。これにより得る加虐は重複する。|</v>
      </c>
      <c r="B118" t="s">
        <v>3</v>
      </c>
      <c r="C118" t="s">
        <v>8</v>
      </c>
      <c r="D118">
        <v>58</v>
      </c>
      <c r="E118" t="s">
        <v>3</v>
      </c>
      <c r="F118" t="s">
        <v>33</v>
      </c>
      <c r="G118" t="s">
        <v>3</v>
      </c>
      <c r="H118">
        <f>H117</f>
        <v>15</v>
      </c>
      <c r="I118" t="s">
        <v>3</v>
      </c>
      <c r="J118" t="s">
        <v>775</v>
      </c>
      <c r="K118" t="s">
        <v>3</v>
      </c>
    </row>
    <row r="119" spans="1:18" x14ac:dyDescent="0.15">
      <c r="A119" t="str">
        <f t="shared" si="17"/>
        <v>&amp;br;</v>
      </c>
      <c r="B119" t="s">
        <v>0</v>
      </c>
    </row>
    <row r="120" spans="1:18" x14ac:dyDescent="0.15">
      <c r="A120" t="str">
        <f t="shared" si="17"/>
        <v>&amp;br;</v>
      </c>
      <c r="B120" t="s">
        <v>0</v>
      </c>
    </row>
    <row r="121" spans="1:18" x14ac:dyDescent="0.15">
      <c r="A121" t="str">
        <f t="shared" si="17"/>
        <v>**第3能力：力試し/Test of Might</v>
      </c>
      <c r="B121" t="s">
        <v>35</v>
      </c>
      <c r="D121" t="s">
        <v>776</v>
      </c>
      <c r="E121" t="s">
        <v>25</v>
      </c>
      <c r="F121" t="s">
        <v>777</v>
      </c>
      <c r="R121" t="str">
        <f>D121&amp;E121&amp;F121</f>
        <v>力試し/Test of Might</v>
      </c>
    </row>
    <row r="122" spans="1:18" x14ac:dyDescent="0.15">
      <c r="A122" t="str">
        <f t="shared" ref="A122:A185" si="18">B122&amp;C122&amp;D122&amp;E122&amp;F122&amp;G122&amp;H122&amp;I122&amp;J122&amp;K122&amp;L122&amp;M122&amp;N122&amp;O122&amp;P122</f>
        <v>|LEFT:50|LEFT:50|LEFT:50|LEFT:300|c</v>
      </c>
      <c r="B122" t="s">
        <v>3</v>
      </c>
      <c r="C122" t="s">
        <v>4</v>
      </c>
      <c r="E122" t="s">
        <v>3</v>
      </c>
      <c r="F122" t="s">
        <v>4</v>
      </c>
      <c r="G122" t="s">
        <v>3</v>
      </c>
      <c r="H122" t="s">
        <v>4</v>
      </c>
      <c r="I122" t="s">
        <v>3</v>
      </c>
      <c r="J122" t="s">
        <v>26</v>
      </c>
      <c r="K122" t="s">
        <v>3</v>
      </c>
      <c r="L122" t="s">
        <v>5</v>
      </c>
    </row>
    <row r="123" spans="1:18" x14ac:dyDescent="0.15">
      <c r="A123" t="str">
        <f t="shared" si="18"/>
        <v>|解放Lv|レベル|コスト|効果|</v>
      </c>
      <c r="B123" t="s">
        <v>3</v>
      </c>
      <c r="C123" t="s">
        <v>27</v>
      </c>
      <c r="E123" t="s">
        <v>3</v>
      </c>
      <c r="F123" t="s">
        <v>6</v>
      </c>
      <c r="G123" t="s">
        <v>3</v>
      </c>
      <c r="H123" t="s">
        <v>28</v>
      </c>
      <c r="I123" t="s">
        <v>3</v>
      </c>
      <c r="J123" t="s">
        <v>29</v>
      </c>
      <c r="K123" t="s">
        <v>3</v>
      </c>
    </row>
    <row r="124" spans="1:18" x14ac:dyDescent="0.15">
      <c r="A124" t="str">
        <f t="shared" si="18"/>
        <v>|Lv18|Lv1|24|「あなたがコントロールするクリーチャーが攻撃するたびに、対戦相手は2点のダメージを受ける」という能力を持つサポートトークン(シールド値3)を生成する。|</v>
      </c>
      <c r="B124" t="s">
        <v>3</v>
      </c>
      <c r="C124" t="s">
        <v>8</v>
      </c>
      <c r="D124">
        <v>18</v>
      </c>
      <c r="E124" t="s">
        <v>3</v>
      </c>
      <c r="F124" t="s">
        <v>30</v>
      </c>
      <c r="G124" t="s">
        <v>3</v>
      </c>
      <c r="H124">
        <v>24</v>
      </c>
      <c r="I124" t="s">
        <v>3</v>
      </c>
      <c r="J124" s="8" t="s">
        <v>780</v>
      </c>
      <c r="K124" t="s">
        <v>3</v>
      </c>
    </row>
    <row r="125" spans="1:18" x14ac:dyDescent="0.15">
      <c r="A125" t="str">
        <f t="shared" si="18"/>
        <v>|Lv36|Lv2|24|「あなたがコントロールするクリーチャーが攻撃するたびに、対戦相手は4点のダメージを受ける」という能力を持つサポートトークン(シールド値3)を生成する。|</v>
      </c>
      <c r="B125" t="s">
        <v>3</v>
      </c>
      <c r="C125" t="s">
        <v>8</v>
      </c>
      <c r="D125">
        <v>36</v>
      </c>
      <c r="E125" t="s">
        <v>3</v>
      </c>
      <c r="F125" t="s">
        <v>31</v>
      </c>
      <c r="G125" t="s">
        <v>3</v>
      </c>
      <c r="H125">
        <f>H124</f>
        <v>24</v>
      </c>
      <c r="I125" t="s">
        <v>3</v>
      </c>
      <c r="J125" s="8" t="s">
        <v>781</v>
      </c>
      <c r="K125" t="s">
        <v>3</v>
      </c>
    </row>
    <row r="126" spans="1:18" x14ac:dyDescent="0.15">
      <c r="A126" t="str">
        <f t="shared" si="18"/>
        <v>|Lv52|Lv3|24|「あなたがコントロールするクリーチャーが攻撃するたびに、対戦相手は6点のダメージを受ける」という能力を持つサポートトークン(シールド値3)を生成する。|</v>
      </c>
      <c r="B126" t="s">
        <v>3</v>
      </c>
      <c r="C126" t="s">
        <v>8</v>
      </c>
      <c r="D126">
        <v>52</v>
      </c>
      <c r="E126" t="s">
        <v>3</v>
      </c>
      <c r="F126" t="s">
        <v>32</v>
      </c>
      <c r="G126" t="s">
        <v>3</v>
      </c>
      <c r="H126">
        <f>H125</f>
        <v>24</v>
      </c>
      <c r="I126" t="s">
        <v>3</v>
      </c>
      <c r="J126" s="8" t="s">
        <v>782</v>
      </c>
      <c r="K126" t="s">
        <v>3</v>
      </c>
    </row>
    <row r="127" spans="1:18" x14ac:dyDescent="0.15">
      <c r="A127" t="str">
        <f t="shared" si="18"/>
        <v>|Lv60|Lv4|24|「あなたがコントロールするクリーチャーが攻撃するたびに、対戦相手は8点のダメージを受ける」という能力を持つサポートトークン(シールド値3)を生成する。|</v>
      </c>
      <c r="B127" t="s">
        <v>3</v>
      </c>
      <c r="C127" t="s">
        <v>8</v>
      </c>
      <c r="D127">
        <v>60</v>
      </c>
      <c r="E127" t="s">
        <v>3</v>
      </c>
      <c r="F127" t="s">
        <v>33</v>
      </c>
      <c r="G127" t="s">
        <v>3</v>
      </c>
      <c r="H127">
        <f>H126</f>
        <v>24</v>
      </c>
      <c r="I127" t="s">
        <v>3</v>
      </c>
      <c r="J127" t="s">
        <v>778</v>
      </c>
      <c r="K127" t="s">
        <v>3</v>
      </c>
    </row>
    <row r="128" spans="1:18" x14ac:dyDescent="0.15">
      <c r="A128" t="str">
        <f t="shared" si="18"/>
        <v>&amp;br;</v>
      </c>
      <c r="B128" t="s">
        <v>0</v>
      </c>
    </row>
    <row r="129" spans="1:19" x14ac:dyDescent="0.15">
      <c r="A129" t="str">
        <f t="shared" si="18"/>
        <v>&amp;br;</v>
      </c>
      <c r="B129" t="s">
        <v>0</v>
      </c>
    </row>
    <row r="130" spans="1:19" x14ac:dyDescent="0.15">
      <c r="A130" t="str">
        <f t="shared" si="18"/>
        <v>*レベルアップ報酬一覧</v>
      </c>
      <c r="B130" s="8" t="s">
        <v>666</v>
      </c>
      <c r="S130" s="8" t="s">
        <v>720</v>
      </c>
    </row>
    <row r="131" spans="1:19" x14ac:dyDescent="0.15">
      <c r="A131" t="str">
        <f t="shared" si="18"/>
        <v>|LEFT:50|LEFT:100|c</v>
      </c>
      <c r="B131" t="s">
        <v>3</v>
      </c>
      <c r="C131" t="s">
        <v>4</v>
      </c>
      <c r="E131" t="s">
        <v>3</v>
      </c>
      <c r="F131" t="s">
        <v>37</v>
      </c>
      <c r="I131" t="s">
        <v>3</v>
      </c>
      <c r="J131" t="s">
        <v>5</v>
      </c>
      <c r="R131" s="8" t="s">
        <v>654</v>
      </c>
    </row>
    <row r="132" spans="1:19" x14ac:dyDescent="0.15">
      <c r="A132" t="str">
        <f t="shared" si="18"/>
        <v>|レベル|報酬|</v>
      </c>
      <c r="B132" t="s">
        <v>3</v>
      </c>
      <c r="C132" t="s">
        <v>6</v>
      </c>
      <c r="E132" t="s">
        <v>3</v>
      </c>
      <c r="F132" t="s">
        <v>38</v>
      </c>
      <c r="I132" t="s">
        <v>3</v>
      </c>
      <c r="Q132" t="s">
        <v>7</v>
      </c>
      <c r="R132">
        <v>3</v>
      </c>
      <c r="S132">
        <v>2</v>
      </c>
    </row>
    <row r="133" spans="1:19" x14ac:dyDescent="0.15">
      <c r="A133" t="str">
        <f t="shared" si="18"/>
        <v>|Lｖ2|赤+1|</v>
      </c>
      <c r="B133" t="s">
        <v>3</v>
      </c>
      <c r="C133" t="s">
        <v>39</v>
      </c>
      <c r="D133">
        <v>2</v>
      </c>
      <c r="E133" t="s">
        <v>3</v>
      </c>
      <c r="F133" t="s">
        <v>14</v>
      </c>
      <c r="G133" t="str">
        <f t="shared" ref="G133:G176" si="19">IF(OR(F133=$Q$141,F133=$Q$142,F133=$Q$143,F133=$Q$144,ISBLANK(F133)),"","+")</f>
        <v>+</v>
      </c>
      <c r="H133">
        <f>IF(F133="HP",IF($S$131="交互",IF(ISODD((D133-1)/2),$R$132,$S$132),$R$132),IF(F133="","",VLOOKUP(F133,$Q$132:$R$145,2,FALSE)))</f>
        <v>1</v>
      </c>
      <c r="I133" t="s">
        <v>3</v>
      </c>
      <c r="Q133" t="s">
        <v>20</v>
      </c>
      <c r="R133">
        <v>1</v>
      </c>
    </row>
    <row r="134" spans="1:19" x14ac:dyDescent="0.15">
      <c r="A134" t="str">
        <f t="shared" si="18"/>
        <v>|Lｖ3|HP+3|</v>
      </c>
      <c r="B134" t="s">
        <v>3</v>
      </c>
      <c r="C134" t="s">
        <v>39</v>
      </c>
      <c r="D134">
        <v>3</v>
      </c>
      <c r="E134" t="s">
        <v>3</v>
      </c>
      <c r="F134" t="s">
        <v>7</v>
      </c>
      <c r="G134" t="str">
        <f t="shared" si="19"/>
        <v>+</v>
      </c>
      <c r="H134">
        <f>IF(F134="HP",IF($S$131="交互",IF(ISODD((D134-1)/2),$R$132,$S$132),$R$132),IF(F134="","",VLOOKUP(F134,$Q$132:$R$145,2,FALSE)))</f>
        <v>3</v>
      </c>
      <c r="I134" t="s">
        <v>3</v>
      </c>
      <c r="Q134" t="s">
        <v>21</v>
      </c>
      <c r="R134">
        <v>1</v>
      </c>
    </row>
    <row r="135" spans="1:19" x14ac:dyDescent="0.15">
      <c r="A135" t="str">
        <f t="shared" si="18"/>
        <v>|Lｖ4|クリーチャー+1|</v>
      </c>
      <c r="B135" t="s">
        <v>3</v>
      </c>
      <c r="C135" t="s">
        <v>39</v>
      </c>
      <c r="D135">
        <v>4</v>
      </c>
      <c r="E135" t="s">
        <v>3</v>
      </c>
      <c r="F135" t="s">
        <v>20</v>
      </c>
      <c r="G135" t="str">
        <f t="shared" si="19"/>
        <v>+</v>
      </c>
      <c r="H135">
        <f>IF(F135="HP",IF($S$131="交互",IF(ISODD((D135-1)/2),$R$132,$S$132),$R$132),IF(F135="","",VLOOKUP(F135,$Q$132:$R$145,2,FALSE)))</f>
        <v>1</v>
      </c>
      <c r="I135" t="s">
        <v>3</v>
      </c>
      <c r="Q135" t="s">
        <v>22</v>
      </c>
      <c r="R135">
        <v>1</v>
      </c>
    </row>
    <row r="136" spans="1:19" x14ac:dyDescent="0.15">
      <c r="A136" t="str">
        <f t="shared" si="18"/>
        <v>|Lｖ5|HP+3|</v>
      </c>
      <c r="B136" t="s">
        <v>3</v>
      </c>
      <c r="C136" t="s">
        <v>39</v>
      </c>
      <c r="D136">
        <v>5</v>
      </c>
      <c r="E136" t="s">
        <v>3</v>
      </c>
      <c r="F136" t="s">
        <v>7</v>
      </c>
      <c r="G136" t="str">
        <f t="shared" si="19"/>
        <v>+</v>
      </c>
      <c r="H136">
        <f>IF(F136="HP",IF($S$131="交互",IF(ISODD((D136-1)/2),$R$132,$S$132),$R$132),IF(F136="","",VLOOKUP(F136,$Q$132:$R$145,2,FALSE)))</f>
        <v>3</v>
      </c>
      <c r="I136" t="s">
        <v>3</v>
      </c>
      <c r="Q136" t="s">
        <v>11</v>
      </c>
      <c r="R136">
        <v>1</v>
      </c>
    </row>
    <row r="137" spans="1:19" x14ac:dyDescent="0.15">
      <c r="A137" t="str">
        <f t="shared" si="18"/>
        <v>|Lｖ6|第1能力Lv1|</v>
      </c>
      <c r="B137" t="s">
        <v>3</v>
      </c>
      <c r="C137" t="s">
        <v>39</v>
      </c>
      <c r="D137">
        <v>6</v>
      </c>
      <c r="E137" t="s">
        <v>3</v>
      </c>
      <c r="F137" t="s">
        <v>40</v>
      </c>
      <c r="G137" t="str">
        <f t="shared" si="19"/>
        <v/>
      </c>
      <c r="H137">
        <v>1</v>
      </c>
      <c r="I137" t="s">
        <v>3</v>
      </c>
      <c r="Q137" t="s">
        <v>12</v>
      </c>
      <c r="R137">
        <v>1</v>
      </c>
    </row>
    <row r="138" spans="1:19" x14ac:dyDescent="0.15">
      <c r="A138" t="str">
        <f t="shared" si="18"/>
        <v>|Lｖ7|HP+3|</v>
      </c>
      <c r="B138" t="s">
        <v>3</v>
      </c>
      <c r="C138" t="s">
        <v>39</v>
      </c>
      <c r="D138">
        <v>7</v>
      </c>
      <c r="E138" t="s">
        <v>3</v>
      </c>
      <c r="F138" t="s">
        <v>7</v>
      </c>
      <c r="G138" t="str">
        <f t="shared" si="19"/>
        <v>+</v>
      </c>
      <c r="H138">
        <f>IF(F138="HP",IF($S$131="交互",IF(ISODD((D138-1)/2),$R$132,$S$132),$R$132),IF(F138="","",VLOOKUP(F138,$Q$132:$R$145,2,FALSE)))</f>
        <v>3</v>
      </c>
      <c r="I138" t="s">
        <v>3</v>
      </c>
      <c r="Q138" t="s">
        <v>13</v>
      </c>
      <c r="R138">
        <v>1</v>
      </c>
    </row>
    <row r="139" spans="1:19" x14ac:dyDescent="0.15">
      <c r="A139" t="str">
        <f t="shared" si="18"/>
        <v>|Lｖ8|緑+1|</v>
      </c>
      <c r="B139" t="s">
        <v>3</v>
      </c>
      <c r="C139" t="s">
        <v>39</v>
      </c>
      <c r="D139">
        <v>8</v>
      </c>
      <c r="E139" t="s">
        <v>3</v>
      </c>
      <c r="F139" t="s">
        <v>15</v>
      </c>
      <c r="G139" t="str">
        <f t="shared" si="19"/>
        <v>+</v>
      </c>
      <c r="H139">
        <f>IF(F139="HP",IF($S$131="交互",IF(ISODD((D139-1)/2),$R$132,$S$132),$R$132),IF(F139="","",VLOOKUP(F139,$Q$132:$R$145,2,FALSE)))</f>
        <v>1</v>
      </c>
      <c r="I139" t="s">
        <v>3</v>
      </c>
      <c r="Q139" t="s">
        <v>14</v>
      </c>
      <c r="R139">
        <v>1</v>
      </c>
    </row>
    <row r="140" spans="1:19" x14ac:dyDescent="0.15">
      <c r="A140" t="str">
        <f t="shared" si="18"/>
        <v>|Lｖ9|HP+3|</v>
      </c>
      <c r="B140" t="s">
        <v>3</v>
      </c>
      <c r="C140" t="s">
        <v>39</v>
      </c>
      <c r="D140">
        <v>9</v>
      </c>
      <c r="E140" t="s">
        <v>3</v>
      </c>
      <c r="F140" t="s">
        <v>7</v>
      </c>
      <c r="G140" t="str">
        <f t="shared" si="19"/>
        <v>+</v>
      </c>
      <c r="H140">
        <f>IF(F140="HP",IF($S$131="交互",IF(ISODD((D140-1)/2),$R$132,$S$132),$R$132),IF(F140="","",VLOOKUP(F140,$Q$132:$R$145,2,FALSE)))</f>
        <v>3</v>
      </c>
      <c r="I140" t="s">
        <v>3</v>
      </c>
      <c r="Q140" t="s">
        <v>15</v>
      </c>
      <c r="R140">
        <v>1</v>
      </c>
    </row>
    <row r="141" spans="1:19" x14ac:dyDescent="0.15">
      <c r="A141" t="str">
        <f t="shared" si="18"/>
        <v>|Lｖ10|サポート+1|</v>
      </c>
      <c r="B141" t="s">
        <v>3</v>
      </c>
      <c r="C141" t="s">
        <v>39</v>
      </c>
      <c r="D141">
        <v>10</v>
      </c>
      <c r="E141" t="s">
        <v>3</v>
      </c>
      <c r="F141" t="s">
        <v>22</v>
      </c>
      <c r="G141" t="str">
        <f t="shared" si="19"/>
        <v>+</v>
      </c>
      <c r="H141">
        <f>IF(F141="HP",IF($S$131="交互",IF(ISODD((D141-1)/2),$R$132,$S$132),$R$132),IF(F141="","",VLOOKUP(F141,$Q$132:$R$145,2,FALSE)))</f>
        <v>1</v>
      </c>
      <c r="I141" t="s">
        <v>3</v>
      </c>
      <c r="Q141" t="s">
        <v>40</v>
      </c>
    </row>
    <row r="142" spans="1:19" x14ac:dyDescent="0.15">
      <c r="A142" t="str">
        <f t="shared" si="18"/>
        <v>|Lｖ11|HP+3|</v>
      </c>
      <c r="B142" t="s">
        <v>3</v>
      </c>
      <c r="C142" t="s">
        <v>39</v>
      </c>
      <c r="D142">
        <v>11</v>
      </c>
      <c r="E142" t="s">
        <v>3</v>
      </c>
      <c r="F142" t="s">
        <v>7</v>
      </c>
      <c r="G142" t="str">
        <f t="shared" si="19"/>
        <v>+</v>
      </c>
      <c r="H142">
        <f>IF(F142="HP",IF($S$131="交互",IF(ISODD((D142-1)/2),$R$132,$S$132),$R$132),IF(F142="","",VLOOKUP(F142,$Q$132:$R$145,2,FALSE)))</f>
        <v>3</v>
      </c>
      <c r="I142" t="s">
        <v>3</v>
      </c>
      <c r="Q142" t="s">
        <v>41</v>
      </c>
    </row>
    <row r="143" spans="1:19" x14ac:dyDescent="0.15">
      <c r="A143" t="str">
        <f t="shared" si="18"/>
        <v>|Lｖ12|第2能力Lv1|</v>
      </c>
      <c r="B143" t="s">
        <v>3</v>
      </c>
      <c r="C143" t="s">
        <v>39</v>
      </c>
      <c r="D143">
        <v>12</v>
      </c>
      <c r="E143" t="s">
        <v>3</v>
      </c>
      <c r="F143" t="s">
        <v>41</v>
      </c>
      <c r="G143" t="str">
        <f t="shared" si="19"/>
        <v/>
      </c>
      <c r="H143">
        <v>1</v>
      </c>
      <c r="I143" t="s">
        <v>3</v>
      </c>
      <c r="Q143" t="s">
        <v>42</v>
      </c>
    </row>
    <row r="144" spans="1:19" x14ac:dyDescent="0.15">
      <c r="A144" t="str">
        <f t="shared" si="18"/>
        <v>|Lｖ13|HP+3|</v>
      </c>
      <c r="B144" t="s">
        <v>3</v>
      </c>
      <c r="C144" t="s">
        <v>39</v>
      </c>
      <c r="D144">
        <v>13</v>
      </c>
      <c r="E144" t="s">
        <v>3</v>
      </c>
      <c r="F144" t="s">
        <v>7</v>
      </c>
      <c r="G144" t="str">
        <f t="shared" si="19"/>
        <v>+</v>
      </c>
      <c r="H144">
        <f>IF(F144="HP",IF($S$131="交互",IF(ISODD((D144-1)/2),$R$132,$S$132),$R$132),IF(F144="","",VLOOKUP(F144,$Q$132:$R$145,2,FALSE)))</f>
        <v>3</v>
      </c>
      <c r="I144" t="s">
        <v>3</v>
      </c>
      <c r="Q144" t="s">
        <v>43</v>
      </c>
      <c r="R144" s="8" t="s">
        <v>665</v>
      </c>
    </row>
    <row r="145" spans="1:9" x14ac:dyDescent="0.15">
      <c r="A145" t="str">
        <f t="shared" si="18"/>
        <v>|Lｖ14|黒+1|</v>
      </c>
      <c r="B145" t="s">
        <v>3</v>
      </c>
      <c r="C145" t="s">
        <v>39</v>
      </c>
      <c r="D145">
        <v>14</v>
      </c>
      <c r="E145" t="s">
        <v>3</v>
      </c>
      <c r="F145" t="s">
        <v>13</v>
      </c>
      <c r="G145" t="str">
        <f t="shared" si="19"/>
        <v>+</v>
      </c>
      <c r="H145">
        <f>IF(F145="HP",IF($S$131="交互",IF(ISODD((D145-1)/2),$R$132,$S$132),$R$132),IF(F145="","",VLOOKUP(F145,$Q$132:$R$145,2,FALSE)))</f>
        <v>1</v>
      </c>
      <c r="I145" t="s">
        <v>3</v>
      </c>
    </row>
    <row r="146" spans="1:9" x14ac:dyDescent="0.15">
      <c r="A146" t="str">
        <f t="shared" si="18"/>
        <v>|Lｖ15|HP+3|</v>
      </c>
      <c r="B146" t="s">
        <v>3</v>
      </c>
      <c r="C146" t="s">
        <v>39</v>
      </c>
      <c r="D146">
        <v>15</v>
      </c>
      <c r="E146" t="s">
        <v>3</v>
      </c>
      <c r="F146" t="s">
        <v>7</v>
      </c>
      <c r="G146" t="str">
        <f t="shared" si="19"/>
        <v>+</v>
      </c>
      <c r="H146">
        <f>IF(F146="HP",IF($S$131="交互",IF(ISODD((D146-1)/2),$R$132,$S$132),$R$132),IF(F146="","",VLOOKUP(F146,$Q$132:$R$145,2,FALSE)))</f>
        <v>3</v>
      </c>
      <c r="I146" t="s">
        <v>3</v>
      </c>
    </row>
    <row r="147" spans="1:9" x14ac:dyDescent="0.15">
      <c r="A147" t="str">
        <f t="shared" si="18"/>
        <v>|Lｖ16|呪文+1|</v>
      </c>
      <c r="B147" t="s">
        <v>3</v>
      </c>
      <c r="C147" t="s">
        <v>39</v>
      </c>
      <c r="D147">
        <v>16</v>
      </c>
      <c r="E147" t="s">
        <v>3</v>
      </c>
      <c r="F147" t="s">
        <v>21</v>
      </c>
      <c r="G147" t="str">
        <f t="shared" si="19"/>
        <v>+</v>
      </c>
      <c r="H147">
        <f>IF(F147="HP",IF($S$131="交互",IF(ISODD((D147-1)/2),$R$132,$S$132),$R$132),IF(F147="","",VLOOKUP(F147,$Q$132:$R$145,2,FALSE)))</f>
        <v>1</v>
      </c>
      <c r="I147" t="s">
        <v>3</v>
      </c>
    </row>
    <row r="148" spans="1:9" x14ac:dyDescent="0.15">
      <c r="A148" t="str">
        <f t="shared" si="18"/>
        <v>|Lｖ17|HP+3|</v>
      </c>
      <c r="B148" t="s">
        <v>3</v>
      </c>
      <c r="C148" t="s">
        <v>39</v>
      </c>
      <c r="D148">
        <v>17</v>
      </c>
      <c r="E148" t="s">
        <v>3</v>
      </c>
      <c r="F148" t="s">
        <v>7</v>
      </c>
      <c r="G148" t="str">
        <f t="shared" si="19"/>
        <v>+</v>
      </c>
      <c r="H148">
        <f>IF(F148="HP",IF($S$131="交互",IF(ISODD((D148-1)/2),$R$132,$S$132),$R$132),IF(F148="","",VLOOKUP(F148,$Q$132:$R$145,2,FALSE)))</f>
        <v>3</v>
      </c>
      <c r="I148" t="s">
        <v>3</v>
      </c>
    </row>
    <row r="149" spans="1:9" x14ac:dyDescent="0.15">
      <c r="A149" t="str">
        <f t="shared" si="18"/>
        <v>|Lｖ18|第3能力Lv1|</v>
      </c>
      <c r="B149" t="s">
        <v>3</v>
      </c>
      <c r="C149" t="s">
        <v>39</v>
      </c>
      <c r="D149">
        <v>18</v>
      </c>
      <c r="E149" t="s">
        <v>3</v>
      </c>
      <c r="F149" t="s">
        <v>42</v>
      </c>
      <c r="G149" t="str">
        <f t="shared" si="19"/>
        <v/>
      </c>
      <c r="H149">
        <v>1</v>
      </c>
      <c r="I149" t="s">
        <v>3</v>
      </c>
    </row>
    <row r="150" spans="1:9" x14ac:dyDescent="0.15">
      <c r="A150" t="str">
        <f t="shared" si="18"/>
        <v>|Lｖ19|HP+3|</v>
      </c>
      <c r="B150" t="s">
        <v>3</v>
      </c>
      <c r="C150" t="s">
        <v>39</v>
      </c>
      <c r="D150">
        <v>19</v>
      </c>
      <c r="E150" t="s">
        <v>3</v>
      </c>
      <c r="F150" t="s">
        <v>7</v>
      </c>
      <c r="G150" t="str">
        <f t="shared" si="19"/>
        <v>+</v>
      </c>
      <c r="H150">
        <f>IF(F150="HP",IF($S$131="交互",IF(ISODD((D150-1)/2),$R$132,$S$132),$R$132),IF(F150="","",VLOOKUP(F150,$Q$132:$R$145,2,FALSE)))</f>
        <v>3</v>
      </c>
      <c r="I150" t="s">
        <v>3</v>
      </c>
    </row>
    <row r="151" spans="1:9" x14ac:dyDescent="0.15">
      <c r="A151" t="str">
        <f t="shared" si="18"/>
        <v>|Lｖ20|青+1|</v>
      </c>
      <c r="B151" t="s">
        <v>3</v>
      </c>
      <c r="C151" t="s">
        <v>39</v>
      </c>
      <c r="D151">
        <v>20</v>
      </c>
      <c r="E151" t="s">
        <v>3</v>
      </c>
      <c r="F151" t="s">
        <v>12</v>
      </c>
      <c r="G151" t="str">
        <f t="shared" si="19"/>
        <v>+</v>
      </c>
      <c r="H151">
        <f>IF(F151="HP",IF($S$131="交互",IF(ISODD((D151-1)/2),$R$132,$S$132),$R$132),IF(F151="","",VLOOKUP(F151,$Q$132:$R$145,2,FALSE)))</f>
        <v>1</v>
      </c>
      <c r="I151" t="s">
        <v>3</v>
      </c>
    </row>
    <row r="152" spans="1:9" x14ac:dyDescent="0.15">
      <c r="A152" t="str">
        <f t="shared" si="18"/>
        <v>|Lｖ21|HP+3|</v>
      </c>
      <c r="B152" t="s">
        <v>3</v>
      </c>
      <c r="C152" t="s">
        <v>39</v>
      </c>
      <c r="D152">
        <v>21</v>
      </c>
      <c r="E152" t="s">
        <v>3</v>
      </c>
      <c r="F152" t="s">
        <v>7</v>
      </c>
      <c r="G152" t="str">
        <f t="shared" si="19"/>
        <v>+</v>
      </c>
      <c r="H152">
        <f>IF(F152="HP",IF($S$131="交互",IF(ISODD((D152-1)/2),$R$132,$S$132),$R$132),IF(F152="","",VLOOKUP(F152,$Q$132:$R$145,2,FALSE)))</f>
        <v>3</v>
      </c>
      <c r="I152" t="s">
        <v>3</v>
      </c>
    </row>
    <row r="153" spans="1:9" x14ac:dyDescent="0.15">
      <c r="A153" t="str">
        <f t="shared" si="18"/>
        <v>|Lｖ22|回復速度上昇 |</v>
      </c>
      <c r="B153" t="s">
        <v>3</v>
      </c>
      <c r="C153" t="s">
        <v>39</v>
      </c>
      <c r="D153">
        <v>22</v>
      </c>
      <c r="E153" t="s">
        <v>3</v>
      </c>
      <c r="F153" t="s">
        <v>43</v>
      </c>
      <c r="G153" t="str">
        <f t="shared" si="19"/>
        <v/>
      </c>
      <c r="H153" t="str">
        <f>IF(F153="HP",IF($S$131="交互",IF(ISODD((D153-1)/2),$R$132,$S$132),$R$132),IF(F153="","",VLOOKUP(F153,$Q$132:$R$145,2,FALSE)))</f>
        <v xml:space="preserve"> </v>
      </c>
      <c r="I153" t="s">
        <v>3</v>
      </c>
    </row>
    <row r="154" spans="1:9" x14ac:dyDescent="0.15">
      <c r="A154" t="str">
        <f t="shared" si="18"/>
        <v>|Lｖ23|HP+3|</v>
      </c>
      <c r="B154" t="s">
        <v>3</v>
      </c>
      <c r="C154" t="s">
        <v>39</v>
      </c>
      <c r="D154">
        <v>23</v>
      </c>
      <c r="E154" t="s">
        <v>3</v>
      </c>
      <c r="F154" t="s">
        <v>7</v>
      </c>
      <c r="G154" t="str">
        <f t="shared" si="19"/>
        <v>+</v>
      </c>
      <c r="H154">
        <f>IF(F154="HP",IF($S$131="交互",IF(ISODD((D154-1)/2),$R$132,$S$132),$R$132),IF(F154="","",VLOOKUP(F154,$Q$132:$R$145,2,FALSE)))</f>
        <v>3</v>
      </c>
      <c r="I154" t="s">
        <v>3</v>
      </c>
    </row>
    <row r="155" spans="1:9" x14ac:dyDescent="0.15">
      <c r="A155" t="str">
        <f t="shared" si="18"/>
        <v>|Lｖ24|第1能力Lv2|</v>
      </c>
      <c r="B155" t="s">
        <v>3</v>
      </c>
      <c r="C155" t="s">
        <v>39</v>
      </c>
      <c r="D155">
        <v>24</v>
      </c>
      <c r="E155" t="s">
        <v>3</v>
      </c>
      <c r="F155" t="s">
        <v>40</v>
      </c>
      <c r="G155" t="str">
        <f t="shared" si="19"/>
        <v/>
      </c>
      <c r="H155">
        <v>2</v>
      </c>
      <c r="I155" t="s">
        <v>3</v>
      </c>
    </row>
    <row r="156" spans="1:9" x14ac:dyDescent="0.15">
      <c r="A156" t="str">
        <f t="shared" si="18"/>
        <v>|Lｖ25|HP+3|</v>
      </c>
      <c r="B156" t="s">
        <v>3</v>
      </c>
      <c r="C156" t="s">
        <v>39</v>
      </c>
      <c r="D156">
        <v>25</v>
      </c>
      <c r="E156" t="s">
        <v>3</v>
      </c>
      <c r="F156" t="s">
        <v>7</v>
      </c>
      <c r="G156" t="str">
        <f t="shared" si="19"/>
        <v>+</v>
      </c>
      <c r="H156">
        <f>IF(F156="HP",IF($S$131="交互",IF(ISODD((D156-1)/2),$R$132,$S$132),$R$132),IF(F156="","",VLOOKUP(F156,$Q$132:$R$145,2,FALSE)))</f>
        <v>3</v>
      </c>
      <c r="I156" t="s">
        <v>3</v>
      </c>
    </row>
    <row r="157" spans="1:9" x14ac:dyDescent="0.15">
      <c r="A157" t="str">
        <f t="shared" si="18"/>
        <v>|Lｖ26|白+1|</v>
      </c>
      <c r="B157" t="s">
        <v>3</v>
      </c>
      <c r="C157" t="s">
        <v>39</v>
      </c>
      <c r="D157">
        <v>26</v>
      </c>
      <c r="E157" t="s">
        <v>3</v>
      </c>
      <c r="F157" t="s">
        <v>11</v>
      </c>
      <c r="G157" t="str">
        <f t="shared" si="19"/>
        <v>+</v>
      </c>
      <c r="H157">
        <f>IF(F157="HP",IF($S$131="交互",IF(ISODD((D157-1)/2),$R$132,$S$132),$R$132),IF(F157="","",VLOOKUP(F157,$Q$132:$R$145,2,FALSE)))</f>
        <v>1</v>
      </c>
      <c r="I157" t="s">
        <v>3</v>
      </c>
    </row>
    <row r="158" spans="1:9" x14ac:dyDescent="0.15">
      <c r="A158" t="str">
        <f t="shared" si="18"/>
        <v>|Lｖ27|HP+3|</v>
      </c>
      <c r="B158" t="s">
        <v>3</v>
      </c>
      <c r="C158" t="s">
        <v>39</v>
      </c>
      <c r="D158">
        <v>27</v>
      </c>
      <c r="E158" t="s">
        <v>3</v>
      </c>
      <c r="F158" t="s">
        <v>7</v>
      </c>
      <c r="G158" t="str">
        <f t="shared" si="19"/>
        <v>+</v>
      </c>
      <c r="H158">
        <f>IF(F158="HP",IF($S$131="交互",IF(ISODD((D158-1)/2),$R$132,$S$132),$R$132),IF(F158="","",VLOOKUP(F158,$Q$132:$R$145,2,FALSE)))</f>
        <v>3</v>
      </c>
      <c r="I158" t="s">
        <v>3</v>
      </c>
    </row>
    <row r="159" spans="1:9" x14ac:dyDescent="0.15">
      <c r="A159" t="str">
        <f t="shared" si="18"/>
        <v>|Lｖ28|クリーチャー+1|</v>
      </c>
      <c r="B159" t="s">
        <v>3</v>
      </c>
      <c r="C159" t="s">
        <v>39</v>
      </c>
      <c r="D159">
        <v>28</v>
      </c>
      <c r="E159" t="s">
        <v>3</v>
      </c>
      <c r="F159" t="s">
        <v>20</v>
      </c>
      <c r="G159" t="str">
        <f t="shared" si="19"/>
        <v>+</v>
      </c>
      <c r="H159">
        <f>IF(F159="HP",IF($S$131="交互",IF(ISODD((D159-1)/2),$R$132,$S$132),$R$132),IF(F159="","",VLOOKUP(F159,$Q$132:$R$145,2,FALSE)))</f>
        <v>1</v>
      </c>
      <c r="I159" t="s">
        <v>3</v>
      </c>
    </row>
    <row r="160" spans="1:9" x14ac:dyDescent="0.15">
      <c r="A160" t="str">
        <f t="shared" si="18"/>
        <v>|Lｖ29|HP+3|</v>
      </c>
      <c r="B160" t="s">
        <v>3</v>
      </c>
      <c r="C160" t="s">
        <v>39</v>
      </c>
      <c r="D160">
        <v>29</v>
      </c>
      <c r="E160" t="s">
        <v>3</v>
      </c>
      <c r="F160" t="s">
        <v>7</v>
      </c>
      <c r="G160" t="str">
        <f t="shared" si="19"/>
        <v>+</v>
      </c>
      <c r="H160">
        <f>IF(F160="HP",IF($S$131="交互",IF(ISODD((D160-1)/2),$R$132,$S$132),$R$132),IF(F160="","",VLOOKUP(F160,$Q$132:$R$145,2,FALSE)))</f>
        <v>3</v>
      </c>
      <c r="I160" t="s">
        <v>3</v>
      </c>
    </row>
    <row r="161" spans="1:9" x14ac:dyDescent="0.15">
      <c r="A161" t="str">
        <f t="shared" si="18"/>
        <v>|Lｖ30|第2能力Lv2|</v>
      </c>
      <c r="B161" t="s">
        <v>3</v>
      </c>
      <c r="C161" t="s">
        <v>39</v>
      </c>
      <c r="D161">
        <v>30</v>
      </c>
      <c r="E161" t="s">
        <v>3</v>
      </c>
      <c r="F161" t="s">
        <v>41</v>
      </c>
      <c r="G161" t="str">
        <f t="shared" si="19"/>
        <v/>
      </c>
      <c r="H161">
        <v>2</v>
      </c>
      <c r="I161" t="s">
        <v>3</v>
      </c>
    </row>
    <row r="162" spans="1:9" x14ac:dyDescent="0.15">
      <c r="A162" t="str">
        <f t="shared" si="18"/>
        <v>|Lｖ31|HP+3|</v>
      </c>
      <c r="B162" t="s">
        <v>3</v>
      </c>
      <c r="C162" t="s">
        <v>39</v>
      </c>
      <c r="D162">
        <v>31</v>
      </c>
      <c r="E162" t="s">
        <v>3</v>
      </c>
      <c r="F162" t="s">
        <v>7</v>
      </c>
      <c r="G162" t="str">
        <f t="shared" si="19"/>
        <v>+</v>
      </c>
      <c r="H162">
        <f>IF(F162="HP",IF($S$131="交互",IF(ISODD((D162-1)/2),$R$132,$S$132),$R$132),IF(F162="","",VLOOKUP(F162,$Q$132:$R$145,2,FALSE)))</f>
        <v>3</v>
      </c>
      <c r="I162" t="s">
        <v>3</v>
      </c>
    </row>
    <row r="163" spans="1:9" x14ac:dyDescent="0.15">
      <c r="A163" t="str">
        <f t="shared" si="18"/>
        <v>|Lｖ32|赤+1|</v>
      </c>
      <c r="B163" t="s">
        <v>3</v>
      </c>
      <c r="C163" t="s">
        <v>39</v>
      </c>
      <c r="D163">
        <v>32</v>
      </c>
      <c r="E163" t="s">
        <v>3</v>
      </c>
      <c r="F163" t="s">
        <v>14</v>
      </c>
      <c r="G163" t="str">
        <f t="shared" si="19"/>
        <v>+</v>
      </c>
      <c r="H163">
        <f>IF(F163="HP",IF($S$131="交互",IF(ISODD((D163-1)/2),$R$132,$S$132),$R$132),IF(F163="","",VLOOKUP(F163,$Q$132:$R$145,2,FALSE)))</f>
        <v>1</v>
      </c>
      <c r="I163" t="s">
        <v>3</v>
      </c>
    </row>
    <row r="164" spans="1:9" x14ac:dyDescent="0.15">
      <c r="A164" t="str">
        <f t="shared" si="18"/>
        <v>|Lｖ33|HP+3|</v>
      </c>
      <c r="B164" t="s">
        <v>3</v>
      </c>
      <c r="C164" t="s">
        <v>39</v>
      </c>
      <c r="D164">
        <v>33</v>
      </c>
      <c r="E164" t="s">
        <v>3</v>
      </c>
      <c r="F164" t="s">
        <v>7</v>
      </c>
      <c r="G164" t="str">
        <f t="shared" si="19"/>
        <v>+</v>
      </c>
      <c r="H164">
        <f>IF(F164="HP",IF($S$131="交互",IF(ISODD((D164-1)/2),$R$132,$S$132),$R$132),IF(F164="","",VLOOKUP(F164,$Q$132:$R$145,2,FALSE)))</f>
        <v>3</v>
      </c>
      <c r="I164" t="s">
        <v>3</v>
      </c>
    </row>
    <row r="165" spans="1:9" x14ac:dyDescent="0.15">
      <c r="A165" t="str">
        <f t="shared" si="18"/>
        <v>|Lｖ34|クリーチャー+1|</v>
      </c>
      <c r="B165" t="s">
        <v>3</v>
      </c>
      <c r="C165" t="s">
        <v>39</v>
      </c>
      <c r="D165">
        <v>34</v>
      </c>
      <c r="E165" t="s">
        <v>3</v>
      </c>
      <c r="F165" t="s">
        <v>20</v>
      </c>
      <c r="G165" t="str">
        <f t="shared" si="19"/>
        <v>+</v>
      </c>
      <c r="H165">
        <f>IF(F165="HP",IF($S$131="交互",IF(ISODD((D165-1)/2),$R$132,$S$132),$R$132),IF(F165="","",VLOOKUP(F165,$Q$132:$R$145,2,FALSE)))</f>
        <v>1</v>
      </c>
      <c r="I165" t="s">
        <v>3</v>
      </c>
    </row>
    <row r="166" spans="1:9" x14ac:dyDescent="0.15">
      <c r="A166" t="str">
        <f t="shared" si="18"/>
        <v>|Lｖ35|HP+3|</v>
      </c>
      <c r="B166" t="s">
        <v>3</v>
      </c>
      <c r="C166" t="s">
        <v>39</v>
      </c>
      <c r="D166">
        <v>35</v>
      </c>
      <c r="E166" t="s">
        <v>3</v>
      </c>
      <c r="F166" t="s">
        <v>7</v>
      </c>
      <c r="G166" t="str">
        <f t="shared" si="19"/>
        <v>+</v>
      </c>
      <c r="H166">
        <f>IF(F166="HP",IF($S$131="交互",IF(ISODD((D166-1)/2),$R$132,$S$132),$R$132),IF(F166="","",VLOOKUP(F166,$Q$132:$R$145,2,FALSE)))</f>
        <v>3</v>
      </c>
      <c r="I166" t="s">
        <v>3</v>
      </c>
    </row>
    <row r="167" spans="1:9" x14ac:dyDescent="0.15">
      <c r="A167" t="str">
        <f t="shared" si="18"/>
        <v>|Lｖ36|第3能力Lv2|</v>
      </c>
      <c r="B167" t="s">
        <v>3</v>
      </c>
      <c r="C167" t="s">
        <v>39</v>
      </c>
      <c r="D167">
        <v>36</v>
      </c>
      <c r="E167" t="s">
        <v>3</v>
      </c>
      <c r="F167" t="s">
        <v>42</v>
      </c>
      <c r="G167" t="str">
        <f t="shared" si="19"/>
        <v/>
      </c>
      <c r="H167">
        <v>2</v>
      </c>
      <c r="I167" t="s">
        <v>3</v>
      </c>
    </row>
    <row r="168" spans="1:9" x14ac:dyDescent="0.15">
      <c r="A168" t="str">
        <f t="shared" si="18"/>
        <v>|Lｖ37|HP+3|</v>
      </c>
      <c r="B168" t="s">
        <v>3</v>
      </c>
      <c r="C168" t="s">
        <v>39</v>
      </c>
      <c r="D168">
        <v>37</v>
      </c>
      <c r="E168" t="s">
        <v>3</v>
      </c>
      <c r="F168" t="s">
        <v>7</v>
      </c>
      <c r="G168" t="str">
        <f t="shared" si="19"/>
        <v>+</v>
      </c>
      <c r="H168">
        <f>IF(F168="HP",IF($S$131="交互",IF(ISODD((D168-1)/2),$R$132,$S$132),$R$132),IF(F168="","",VLOOKUP(F168,$Q$132:$R$145,2,FALSE)))</f>
        <v>3</v>
      </c>
      <c r="I168" t="s">
        <v>3</v>
      </c>
    </row>
    <row r="169" spans="1:9" x14ac:dyDescent="0.15">
      <c r="A169" t="str">
        <f t="shared" si="18"/>
        <v>|Lｖ38|緑+1|</v>
      </c>
      <c r="B169" t="s">
        <v>3</v>
      </c>
      <c r="C169" t="s">
        <v>39</v>
      </c>
      <c r="D169">
        <v>38</v>
      </c>
      <c r="E169" t="s">
        <v>3</v>
      </c>
      <c r="F169" t="s">
        <v>15</v>
      </c>
      <c r="G169" t="str">
        <f t="shared" si="19"/>
        <v>+</v>
      </c>
      <c r="H169">
        <f>IF(F169="HP",IF($S$131="交互",IF(ISODD((D169-1)/2),$R$132,$S$132),$R$132),IF(F169="","",VLOOKUP(F169,$Q$132:$R$145,2,FALSE)))</f>
        <v>1</v>
      </c>
      <c r="I169" t="s">
        <v>3</v>
      </c>
    </row>
    <row r="170" spans="1:9" x14ac:dyDescent="0.15">
      <c r="A170" t="str">
        <f t="shared" si="18"/>
        <v>|Lｖ39|HP+3|</v>
      </c>
      <c r="B170" t="s">
        <v>3</v>
      </c>
      <c r="C170" t="s">
        <v>39</v>
      </c>
      <c r="D170">
        <v>39</v>
      </c>
      <c r="E170" t="s">
        <v>3</v>
      </c>
      <c r="F170" t="s">
        <v>7</v>
      </c>
      <c r="G170" t="str">
        <f t="shared" si="19"/>
        <v>+</v>
      </c>
      <c r="H170">
        <f>IF(F170="HP",IF($S$131="交互",IF(ISODD((D170-1)/2),$R$132,$S$132),$R$132),IF(F170="","",VLOOKUP(F170,$Q$132:$R$145,2,FALSE)))</f>
        <v>3</v>
      </c>
      <c r="I170" t="s">
        <v>3</v>
      </c>
    </row>
    <row r="171" spans="1:9" x14ac:dyDescent="0.15">
      <c r="A171" t="str">
        <f t="shared" si="18"/>
        <v>|Lｖ40|第1能力Lv3|</v>
      </c>
      <c r="B171" t="s">
        <v>3</v>
      </c>
      <c r="C171" t="s">
        <v>39</v>
      </c>
      <c r="D171">
        <v>40</v>
      </c>
      <c r="E171" t="s">
        <v>3</v>
      </c>
      <c r="F171" t="s">
        <v>40</v>
      </c>
      <c r="G171" t="str">
        <f t="shared" si="19"/>
        <v/>
      </c>
      <c r="H171">
        <v>3</v>
      </c>
      <c r="I171" t="s">
        <v>3</v>
      </c>
    </row>
    <row r="172" spans="1:9" x14ac:dyDescent="0.15">
      <c r="A172" t="str">
        <f t="shared" si="18"/>
        <v>|Lｖ41|HP+3|</v>
      </c>
      <c r="B172" t="s">
        <v>3</v>
      </c>
      <c r="C172" t="s">
        <v>39</v>
      </c>
      <c r="D172">
        <v>41</v>
      </c>
      <c r="E172" t="s">
        <v>3</v>
      </c>
      <c r="F172" t="s">
        <v>7</v>
      </c>
      <c r="G172" t="str">
        <f t="shared" si="19"/>
        <v>+</v>
      </c>
      <c r="H172">
        <f>IF(F172="HP",IF($S$131="交互",IF(ISODD((D172-1)/2),$R$132,$S$132),$R$132),IF(F172="","",VLOOKUP(F172,$Q$132:$R$145,2,FALSE)))</f>
        <v>3</v>
      </c>
      <c r="I172" t="s">
        <v>3</v>
      </c>
    </row>
    <row r="173" spans="1:9" x14ac:dyDescent="0.15">
      <c r="A173" t="str">
        <f t="shared" si="18"/>
        <v>|Lｖ42|クリーチャー+1|</v>
      </c>
      <c r="B173" t="s">
        <v>3</v>
      </c>
      <c r="C173" t="s">
        <v>39</v>
      </c>
      <c r="D173">
        <v>42</v>
      </c>
      <c r="E173" t="s">
        <v>3</v>
      </c>
      <c r="F173" t="s">
        <v>20</v>
      </c>
      <c r="G173" t="str">
        <f t="shared" si="19"/>
        <v>+</v>
      </c>
      <c r="H173">
        <f>IF(F173="HP",IF($S$131="交互",IF(ISODD((D173-1)/2),$R$132,$S$132),$R$132),IF(F173="","",VLOOKUP(F173,$Q$132:$R$145,2,FALSE)))</f>
        <v>1</v>
      </c>
      <c r="I173" t="s">
        <v>3</v>
      </c>
    </row>
    <row r="174" spans="1:9" x14ac:dyDescent="0.15">
      <c r="A174" t="str">
        <f t="shared" si="18"/>
        <v>|Lｖ43|HP+3|</v>
      </c>
      <c r="B174" t="s">
        <v>3</v>
      </c>
      <c r="C174" t="s">
        <v>39</v>
      </c>
      <c r="D174">
        <v>43</v>
      </c>
      <c r="E174" t="s">
        <v>3</v>
      </c>
      <c r="F174" t="s">
        <v>7</v>
      </c>
      <c r="G174" t="str">
        <f t="shared" si="19"/>
        <v>+</v>
      </c>
      <c r="H174">
        <f>IF(F174="HP",IF($S$131="交互",IF(ISODD((D174-1)/2),$R$132,$S$132),$R$132),IF(F174="","",VLOOKUP(F174,$Q$132:$R$145,2,FALSE)))</f>
        <v>3</v>
      </c>
      <c r="I174" t="s">
        <v>3</v>
      </c>
    </row>
    <row r="175" spans="1:9" x14ac:dyDescent="0.15">
      <c r="A175" t="str">
        <f t="shared" si="18"/>
        <v>|Lｖ44|赤+1|</v>
      </c>
      <c r="B175" t="s">
        <v>3</v>
      </c>
      <c r="C175" t="s">
        <v>39</v>
      </c>
      <c r="D175">
        <v>44</v>
      </c>
      <c r="E175" t="s">
        <v>3</v>
      </c>
      <c r="F175" t="s">
        <v>14</v>
      </c>
      <c r="G175" t="str">
        <f t="shared" si="19"/>
        <v>+</v>
      </c>
      <c r="H175">
        <f>IF(F175="HP",IF($S$131="交互",IF(ISODD((D175-1)/2),$R$132,$S$132),$R$132),IF(F175="","",VLOOKUP(F175,$Q$132:$R$145,2,FALSE)))</f>
        <v>1</v>
      </c>
      <c r="I175" t="s">
        <v>3</v>
      </c>
    </row>
    <row r="176" spans="1:9" x14ac:dyDescent="0.15">
      <c r="A176" t="str">
        <f t="shared" si="18"/>
        <v>|Lｖ45|HP+3|</v>
      </c>
      <c r="B176" t="s">
        <v>3</v>
      </c>
      <c r="C176" t="s">
        <v>39</v>
      </c>
      <c r="D176">
        <v>45</v>
      </c>
      <c r="E176" t="s">
        <v>3</v>
      </c>
      <c r="F176" t="s">
        <v>7</v>
      </c>
      <c r="G176" t="str">
        <f t="shared" si="19"/>
        <v>+</v>
      </c>
      <c r="H176">
        <f>IF(F176="HP",IF($S$131="交互",IF(ISODD((D176-1)/2),$R$132,$S$132),$R$132),IF(F176="","",VLOOKUP(F176,$Q$132:$R$145,2,FALSE)))</f>
        <v>3</v>
      </c>
      <c r="I176" t="s">
        <v>3</v>
      </c>
    </row>
    <row r="177" spans="1:9" x14ac:dyDescent="0.15">
      <c r="A177" t="str">
        <f t="shared" si="18"/>
        <v>|Lｖ46|第2能力Lv3|</v>
      </c>
      <c r="B177" t="s">
        <v>3</v>
      </c>
      <c r="C177" t="s">
        <v>39</v>
      </c>
      <c r="D177">
        <v>46</v>
      </c>
      <c r="E177" t="s">
        <v>3</v>
      </c>
      <c r="F177" t="s">
        <v>41</v>
      </c>
      <c r="G177" t="s">
        <v>44</v>
      </c>
      <c r="H177">
        <v>3</v>
      </c>
      <c r="I177" t="s">
        <v>3</v>
      </c>
    </row>
    <row r="178" spans="1:9" x14ac:dyDescent="0.15">
      <c r="A178" t="str">
        <f t="shared" si="18"/>
        <v>|Lｖ47|HP+3|</v>
      </c>
      <c r="B178" t="s">
        <v>3</v>
      </c>
      <c r="C178" t="s">
        <v>39</v>
      </c>
      <c r="D178">
        <v>47</v>
      </c>
      <c r="E178" t="s">
        <v>3</v>
      </c>
      <c r="F178" t="s">
        <v>7</v>
      </c>
      <c r="G178" t="str">
        <f t="shared" ref="G178:G191" si="20">IF(OR(F178=$Q$141,F178=$Q$142,F178=$Q$143,F178=$Q$144,ISBLANK(F178)),"","+")</f>
        <v>+</v>
      </c>
      <c r="H178">
        <f>IF(F178="HP",IF($S$131="交互",IF(ISODD((D178-1)/2),$R$132,$S$132),$R$132),IF(F178="","",VLOOKUP(F178,$Q$132:$R$145,2,FALSE)))</f>
        <v>3</v>
      </c>
      <c r="I178" t="s">
        <v>3</v>
      </c>
    </row>
    <row r="179" spans="1:9" x14ac:dyDescent="0.15">
      <c r="A179" t="str">
        <f t="shared" si="18"/>
        <v>|Lｖ48|クリーチャー+1|</v>
      </c>
      <c r="B179" t="s">
        <v>3</v>
      </c>
      <c r="C179" t="s">
        <v>39</v>
      </c>
      <c r="D179">
        <v>48</v>
      </c>
      <c r="E179" t="s">
        <v>3</v>
      </c>
      <c r="F179" t="s">
        <v>20</v>
      </c>
      <c r="G179" t="str">
        <f t="shared" si="20"/>
        <v>+</v>
      </c>
      <c r="H179">
        <f>IF(F179="HP",IF($S$131="交互",IF(ISODD((D179-1)/2),$R$132,$S$132),$R$132),IF(F179="","",VLOOKUP(F179,$Q$132:$R$145,2,FALSE)))</f>
        <v>1</v>
      </c>
      <c r="I179" t="s">
        <v>3</v>
      </c>
    </row>
    <row r="180" spans="1:9" x14ac:dyDescent="0.15">
      <c r="A180" t="str">
        <f t="shared" si="18"/>
        <v>|Lｖ49|HP+3|</v>
      </c>
      <c r="B180" t="s">
        <v>3</v>
      </c>
      <c r="C180" t="s">
        <v>39</v>
      </c>
      <c r="D180">
        <v>49</v>
      </c>
      <c r="E180" t="s">
        <v>3</v>
      </c>
      <c r="F180" t="s">
        <v>7</v>
      </c>
      <c r="G180" t="str">
        <f t="shared" si="20"/>
        <v>+</v>
      </c>
      <c r="H180">
        <f>IF(F180="HP",IF($S$131="交互",IF(ISODD((D180-1)/2),$R$132,$S$132),$R$132),IF(F180="","",VLOOKUP(F180,$Q$132:$R$145,2,FALSE)))</f>
        <v>3</v>
      </c>
      <c r="I180" t="s">
        <v>3</v>
      </c>
    </row>
    <row r="181" spans="1:9" x14ac:dyDescent="0.15">
      <c r="A181" t="str">
        <f t="shared" si="18"/>
        <v>|Lｖ50|緑+1|</v>
      </c>
      <c r="B181" t="s">
        <v>3</v>
      </c>
      <c r="C181" t="s">
        <v>39</v>
      </c>
      <c r="D181">
        <v>50</v>
      </c>
      <c r="E181" t="s">
        <v>3</v>
      </c>
      <c r="F181" t="s">
        <v>15</v>
      </c>
      <c r="G181" t="str">
        <f t="shared" si="20"/>
        <v>+</v>
      </c>
      <c r="H181">
        <f>IF(F181="HP",IF($S$131="交互",IF(ISODD((D181-1)/2),$R$132,$S$132),$R$132),IF(F181="","",VLOOKUP(F181,$Q$132:$R$145,2,FALSE)))</f>
        <v>1</v>
      </c>
      <c r="I181" t="s">
        <v>3</v>
      </c>
    </row>
    <row r="182" spans="1:9" x14ac:dyDescent="0.15">
      <c r="A182" t="str">
        <f t="shared" si="18"/>
        <v>|Lｖ51|HP+3|</v>
      </c>
      <c r="B182" t="s">
        <v>3</v>
      </c>
      <c r="C182" t="s">
        <v>39</v>
      </c>
      <c r="D182">
        <v>51</v>
      </c>
      <c r="E182" t="s">
        <v>3</v>
      </c>
      <c r="F182" t="s">
        <v>7</v>
      </c>
      <c r="G182" t="str">
        <f t="shared" si="20"/>
        <v>+</v>
      </c>
      <c r="H182">
        <f>IF(F182="HP",IF($S$131="交互",IF(ISODD((D182-1)/2),$R$132,$S$132),$R$132),IF(F182="","",VLOOKUP(F182,$Q$132:$R$145,2,FALSE)))</f>
        <v>3</v>
      </c>
      <c r="I182" t="s">
        <v>3</v>
      </c>
    </row>
    <row r="183" spans="1:9" x14ac:dyDescent="0.15">
      <c r="A183" t="str">
        <f t="shared" si="18"/>
        <v>|Lｖ52|第3能力Lv3|</v>
      </c>
      <c r="B183" t="s">
        <v>3</v>
      </c>
      <c r="C183" t="s">
        <v>39</v>
      </c>
      <c r="D183">
        <v>52</v>
      </c>
      <c r="E183" t="s">
        <v>3</v>
      </c>
      <c r="F183" t="s">
        <v>42</v>
      </c>
      <c r="G183" t="str">
        <f t="shared" si="20"/>
        <v/>
      </c>
      <c r="H183">
        <v>3</v>
      </c>
      <c r="I183" t="s">
        <v>3</v>
      </c>
    </row>
    <row r="184" spans="1:9" x14ac:dyDescent="0.15">
      <c r="A184" t="str">
        <f t="shared" si="18"/>
        <v>|Lｖ53|HP+3|</v>
      </c>
      <c r="B184" t="s">
        <v>3</v>
      </c>
      <c r="C184" t="s">
        <v>39</v>
      </c>
      <c r="D184">
        <v>53</v>
      </c>
      <c r="E184" t="s">
        <v>3</v>
      </c>
      <c r="F184" t="s">
        <v>7</v>
      </c>
      <c r="G184" t="str">
        <f t="shared" si="20"/>
        <v>+</v>
      </c>
      <c r="H184">
        <f>IF(F184="HP",IF($S$131="交互",IF(ISODD((D184-1)/2),$R$132,$S$132),$R$132),IF(F184="","",VLOOKUP(F184,$Q$132:$R$145,2,FALSE)))</f>
        <v>3</v>
      </c>
      <c r="I184" t="s">
        <v>3</v>
      </c>
    </row>
    <row r="185" spans="1:9" x14ac:dyDescent="0.15">
      <c r="A185" t="str">
        <f t="shared" si="18"/>
        <v>|Lｖ54|クリーチャー+1|</v>
      </c>
      <c r="B185" t="s">
        <v>3</v>
      </c>
      <c r="C185" t="s">
        <v>39</v>
      </c>
      <c r="D185">
        <v>54</v>
      </c>
      <c r="E185" t="s">
        <v>3</v>
      </c>
      <c r="F185" t="s">
        <v>20</v>
      </c>
      <c r="G185" t="str">
        <f t="shared" si="20"/>
        <v>+</v>
      </c>
      <c r="H185">
        <f>IF(F185="HP",IF($S$131="交互",IF(ISODD((D185-1)/2),$R$132,$S$132),$R$132),IF(F185="","",VLOOKUP(F185,$Q$132:$R$145,2,FALSE)))</f>
        <v>1</v>
      </c>
      <c r="I185" t="s">
        <v>3</v>
      </c>
    </row>
    <row r="186" spans="1:9" x14ac:dyDescent="0.15">
      <c r="A186" t="str">
        <f t="shared" ref="A186:A198" si="21">B186&amp;C186&amp;D186&amp;E186&amp;F186&amp;G186&amp;H186&amp;I186&amp;J186&amp;K186&amp;L186&amp;M186&amp;N186&amp;O186&amp;P186</f>
        <v>|Lｖ55|HP+3|</v>
      </c>
      <c r="B186" t="s">
        <v>3</v>
      </c>
      <c r="C186" t="s">
        <v>39</v>
      </c>
      <c r="D186">
        <v>55</v>
      </c>
      <c r="E186" t="s">
        <v>3</v>
      </c>
      <c r="F186" t="s">
        <v>7</v>
      </c>
      <c r="G186" t="str">
        <f t="shared" si="20"/>
        <v>+</v>
      </c>
      <c r="H186">
        <f>IF(F186="HP",IF($S$131="交互",IF(ISODD((D186-1)/2),$R$132,$S$132),$R$132),IF(F186="","",VLOOKUP(F186,$Q$132:$R$145,2,FALSE)))</f>
        <v>3</v>
      </c>
      <c r="I186" t="s">
        <v>3</v>
      </c>
    </row>
    <row r="187" spans="1:9" x14ac:dyDescent="0.15">
      <c r="A187" t="str">
        <f t="shared" si="21"/>
        <v>|Lｖ56|第1能力Lv4|</v>
      </c>
      <c r="B187" t="s">
        <v>3</v>
      </c>
      <c r="C187" t="s">
        <v>39</v>
      </c>
      <c r="D187">
        <v>56</v>
      </c>
      <c r="E187" t="s">
        <v>3</v>
      </c>
      <c r="F187" t="s">
        <v>40</v>
      </c>
      <c r="G187" t="str">
        <f t="shared" si="20"/>
        <v/>
      </c>
      <c r="H187">
        <v>4</v>
      </c>
      <c r="I187" t="s">
        <v>3</v>
      </c>
    </row>
    <row r="188" spans="1:9" x14ac:dyDescent="0.15">
      <c r="A188" t="str">
        <f t="shared" si="21"/>
        <v>|Lｖ57|HP+3|</v>
      </c>
      <c r="B188" t="s">
        <v>3</v>
      </c>
      <c r="C188" t="s">
        <v>39</v>
      </c>
      <c r="D188">
        <v>57</v>
      </c>
      <c r="E188" t="s">
        <v>3</v>
      </c>
      <c r="F188" t="s">
        <v>7</v>
      </c>
      <c r="G188" t="str">
        <f t="shared" si="20"/>
        <v>+</v>
      </c>
      <c r="H188">
        <f>IF(F188="HP",IF($S$131="交互",IF(ISODD((D188-1)/2),$R$132,$S$132),$R$132),IF(F188="","",VLOOKUP(F188,$Q$132:$R$145,2,FALSE)))</f>
        <v>3</v>
      </c>
      <c r="I188" t="s">
        <v>3</v>
      </c>
    </row>
    <row r="189" spans="1:9" x14ac:dyDescent="0.15">
      <c r="A189" t="str">
        <f t="shared" si="21"/>
        <v>|Lｖ58|第2能力Lv4|</v>
      </c>
      <c r="B189" t="s">
        <v>3</v>
      </c>
      <c r="C189" t="s">
        <v>39</v>
      </c>
      <c r="D189">
        <v>58</v>
      </c>
      <c r="E189" t="s">
        <v>3</v>
      </c>
      <c r="F189" t="s">
        <v>41</v>
      </c>
      <c r="G189" t="str">
        <f t="shared" si="20"/>
        <v/>
      </c>
      <c r="H189">
        <v>4</v>
      </c>
      <c r="I189" t="s">
        <v>3</v>
      </c>
    </row>
    <row r="190" spans="1:9" x14ac:dyDescent="0.15">
      <c r="A190" t="str">
        <f t="shared" si="21"/>
        <v>|Lｖ59|回復速度上昇 |</v>
      </c>
      <c r="B190" t="s">
        <v>3</v>
      </c>
      <c r="C190" t="s">
        <v>39</v>
      </c>
      <c r="D190">
        <v>59</v>
      </c>
      <c r="E190" t="s">
        <v>3</v>
      </c>
      <c r="F190" t="s">
        <v>43</v>
      </c>
      <c r="G190" t="str">
        <f t="shared" si="20"/>
        <v/>
      </c>
      <c r="H190" t="str">
        <f>IF(F190="HP",IF($S$131="交互",IF(ISODD((D190-1)/2),$R$132,$S$132),$R$132),IF(F190="","",VLOOKUP(F190,$Q$132:$R$145,2,FALSE)))</f>
        <v xml:space="preserve"> </v>
      </c>
      <c r="I190" t="s">
        <v>3</v>
      </c>
    </row>
    <row r="191" spans="1:9" x14ac:dyDescent="0.15">
      <c r="A191" t="str">
        <f t="shared" si="21"/>
        <v>|Lｖ60|第3能力Lv4|</v>
      </c>
      <c r="B191" t="s">
        <v>3</v>
      </c>
      <c r="C191" t="s">
        <v>39</v>
      </c>
      <c r="D191">
        <v>60</v>
      </c>
      <c r="E191" t="s">
        <v>3</v>
      </c>
      <c r="F191" t="s">
        <v>42</v>
      </c>
      <c r="G191" t="str">
        <f t="shared" si="20"/>
        <v/>
      </c>
      <c r="H191">
        <v>4</v>
      </c>
      <c r="I191" t="s">
        <v>3</v>
      </c>
    </row>
    <row r="192" spans="1:9" x14ac:dyDescent="0.15">
      <c r="A192" t="str">
        <f t="shared" si="21"/>
        <v>必要総経験値：79920ルーン</v>
      </c>
      <c r="B192" t="s">
        <v>45</v>
      </c>
      <c r="C192">
        <v>79920</v>
      </c>
      <c r="F192" t="s">
        <v>46</v>
      </c>
    </row>
    <row r="193" spans="1:5" x14ac:dyDescent="0.15">
      <c r="A193" t="str">
        <f t="shared" si="21"/>
        <v>#endregion</v>
      </c>
      <c r="B193" t="s">
        <v>599</v>
      </c>
    </row>
    <row r="194" spans="1:5" x14ac:dyDescent="0.15">
      <c r="A194" t="str">
        <f t="shared" si="21"/>
        <v>&amp;br;</v>
      </c>
      <c r="B194" t="s">
        <v>0</v>
      </c>
    </row>
    <row r="195" spans="1:5" x14ac:dyDescent="0.15">
      <c r="A195" t="str">
        <f t="shared" si="21"/>
        <v>#back(text=戻る,left)</v>
      </c>
      <c r="B195" t="s">
        <v>47</v>
      </c>
    </row>
    <row r="196" spans="1:5" x14ac:dyDescent="0.15">
      <c r="A196" t="str">
        <f t="shared" si="21"/>
        <v>&amp;br;</v>
      </c>
      <c r="B196" t="s">
        <v>0</v>
      </c>
    </row>
    <row r="197" spans="1:5" x14ac:dyDescent="0.15">
      <c r="A197" t="str">
        <f t="shared" si="21"/>
        <v>#comment(above,nsize=[15],size=[30],num=[10])</v>
      </c>
      <c r="B197" t="s">
        <v>48</v>
      </c>
    </row>
    <row r="198" spans="1:5" x14ac:dyDescent="0.15">
      <c r="A198" t="str">
        <f t="shared" si="21"/>
        <v>[[プレインズウォーカーリスト&gt;プレインズウォーカーリスト]]</v>
      </c>
      <c r="B198" t="s">
        <v>49</v>
      </c>
    </row>
    <row r="205" spans="1:5" x14ac:dyDescent="0.15">
      <c r="B205" s="9" t="s">
        <v>655</v>
      </c>
    </row>
    <row r="206" spans="1:5" x14ac:dyDescent="0.15">
      <c r="B206" s="9" t="s">
        <v>656</v>
      </c>
      <c r="D206" s="8"/>
      <c r="E206" s="8"/>
    </row>
    <row r="207" spans="1:5" x14ac:dyDescent="0.15">
      <c r="B207" s="7">
        <v>45</v>
      </c>
    </row>
    <row r="208" spans="1:5" x14ac:dyDescent="0.15">
      <c r="B208" s="9" t="s">
        <v>657</v>
      </c>
      <c r="C208" s="9" t="s">
        <v>658</v>
      </c>
      <c r="D208" s="9" t="s">
        <v>659</v>
      </c>
    </row>
    <row r="209" spans="2:6" x14ac:dyDescent="0.15">
      <c r="B209" s="7">
        <v>4</v>
      </c>
      <c r="C209" s="7">
        <v>3</v>
      </c>
      <c r="D209" s="7">
        <v>3</v>
      </c>
    </row>
    <row r="210" spans="2:6" x14ac:dyDescent="0.15">
      <c r="B210" s="9" t="s">
        <v>660</v>
      </c>
      <c r="C210" s="9" t="s">
        <v>661</v>
      </c>
      <c r="D210" s="9" t="s">
        <v>662</v>
      </c>
      <c r="E210" s="9" t="s">
        <v>663</v>
      </c>
      <c r="F210" s="9" t="s">
        <v>664</v>
      </c>
    </row>
    <row r="211" spans="2:6" x14ac:dyDescent="0.15">
      <c r="B211" s="7">
        <v>-2</v>
      </c>
      <c r="C211" s="7">
        <v>-2</v>
      </c>
      <c r="D211" s="7">
        <v>-2</v>
      </c>
      <c r="E211" s="7">
        <v>2</v>
      </c>
      <c r="F211" s="7">
        <v>2</v>
      </c>
    </row>
  </sheetData>
  <autoFilter ref="C132:I198"/>
  <phoneticPr fontId="4"/>
  <dataValidations count="3">
    <dataValidation type="list" showInputMessage="1" showErrorMessage="1" sqref="S131">
      <formula1>" ,交互"</formula1>
    </dataValidation>
    <dataValidation type="list" allowBlank="1" showInputMessage="1" showErrorMessage="1" sqref="F133:F191">
      <formula1>$Q$132:$Q$144</formula1>
    </dataValidation>
    <dataValidation type="list" allowBlank="1" showInputMessage="1" showErrorMessage="1" sqref="F192:F193">
      <formula1>$Q$122:$Q$134</formula1>
    </dataValidation>
  </dataValidations>
  <pageMargins left="0.69930555555555596" right="0.69930555555555596"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T183"/>
  <sheetViews>
    <sheetView workbookViewId="0">
      <selection activeCell="F29" sqref="F29"/>
    </sheetView>
  </sheetViews>
  <sheetFormatPr defaultColWidth="9" defaultRowHeight="13.5" x14ac:dyDescent="0.15"/>
  <cols>
    <col min="2" max="2" width="3.5" customWidth="1"/>
    <col min="3" max="3" width="7.875" customWidth="1"/>
    <col min="4" max="4" width="5.5" customWidth="1"/>
    <col min="5" max="5" width="2" customWidth="1"/>
    <col min="7" max="7" width="2" customWidth="1"/>
    <col min="9" max="9" width="2" customWidth="1"/>
    <col min="11" max="11" width="2" customWidth="1"/>
    <col min="13" max="13" width="2" customWidth="1"/>
    <col min="15" max="15" width="2" customWidth="1"/>
    <col min="17" max="17" width="2.75" customWidth="1"/>
  </cols>
  <sheetData>
    <row r="1" spans="1:8" x14ac:dyDescent="0.15">
      <c r="A1" t="str">
        <f>B1&amp;C1&amp;D1&amp;E1&amp;F1&amp;G1&amp;H1&amp;I1&amp;J1&amp;K1&amp;L1&amp;M1&amp;N1&amp;O1&amp;P1</f>
        <v>特別オファーで購入するか、マナクリスタルで購入する事で入手できる。</v>
      </c>
      <c r="B1" t="s">
        <v>369</v>
      </c>
    </row>
    <row r="2" spans="1:8" x14ac:dyDescent="0.15">
      <c r="A2" t="str">
        <f>B2&amp;C2&amp;D2&amp;E2&amp;F2&amp;G2&amp;H2&amp;I2&amp;J2&amp;K2&amp;L2&amp;M2&amp;N2&amp;O2&amp;P2</f>
        <v>&amp;br;</v>
      </c>
      <c r="B2" t="s">
        <v>0</v>
      </c>
    </row>
    <row r="3" spans="1:8" x14ac:dyDescent="0.15">
      <c r="A3" t="str">
        <f>B3&amp;C3&amp;D3&amp;E3&amp;F3&amp;G3&amp;H3&amp;I3&amp;J3&amp;K3&amp;L3&amp;M3&amp;N3&amp;O3&amp;P3</f>
        <v>#contents()</v>
      </c>
      <c r="B3" t="s">
        <v>1</v>
      </c>
    </row>
    <row r="4" spans="1:8" x14ac:dyDescent="0.15">
      <c r="A4" t="str">
        <f>B4&amp;C4&amp;D4&amp;E4&amp;F4&amp;G4&amp;H4&amp;I4&amp;J4&amp;K4&amp;L4&amp;M4&amp;N4&amp;O4&amp;P4</f>
        <v>*HP [#f569d8c6]</v>
      </c>
      <c r="B4" t="s">
        <v>2</v>
      </c>
    </row>
    <row r="5" spans="1:8" x14ac:dyDescent="0.15">
      <c r="A5" t="str">
        <f>B5&amp;C5&amp;D5&amp;E5&amp;F5&amp;G5&amp;H5</f>
        <v>|LEFT:50|LEFT:50|c</v>
      </c>
      <c r="B5" t="s">
        <v>3</v>
      </c>
      <c r="C5" t="s">
        <v>4</v>
      </c>
      <c r="E5" t="s">
        <v>3</v>
      </c>
      <c r="F5" t="s">
        <v>4</v>
      </c>
      <c r="G5" t="s">
        <v>3</v>
      </c>
      <c r="H5" t="s">
        <v>5</v>
      </c>
    </row>
    <row r="6" spans="1:8" x14ac:dyDescent="0.15">
      <c r="A6" t="str">
        <f t="shared" ref="A6:A35" si="0">B6&amp;C6&amp;D6&amp;E6&amp;F6&amp;G6&amp;H6</f>
        <v>|レベル|HP|</v>
      </c>
      <c r="B6" t="s">
        <v>3</v>
      </c>
      <c r="C6" t="s">
        <v>6</v>
      </c>
      <c r="E6" t="s">
        <v>3</v>
      </c>
      <c r="F6" t="s">
        <v>7</v>
      </c>
      <c r="G6" t="s">
        <v>3</v>
      </c>
    </row>
    <row r="7" spans="1:8" x14ac:dyDescent="0.15">
      <c r="A7" t="str">
        <f t="shared" si="0"/>
        <v>|Lv1|17|</v>
      </c>
      <c r="B7" t="s">
        <v>3</v>
      </c>
      <c r="C7" t="s">
        <v>8</v>
      </c>
      <c r="D7">
        <v>1</v>
      </c>
      <c r="E7" t="s">
        <v>3</v>
      </c>
      <c r="F7">
        <v>17</v>
      </c>
      <c r="G7" t="s">
        <v>3</v>
      </c>
    </row>
    <row r="8" spans="1:8" x14ac:dyDescent="0.15">
      <c r="A8" t="str">
        <f t="shared" si="0"/>
        <v>|Lv3|19|</v>
      </c>
      <c r="B8" t="s">
        <v>3</v>
      </c>
      <c r="C8" t="s">
        <v>8</v>
      </c>
      <c r="D8">
        <v>3</v>
      </c>
      <c r="E8" t="s">
        <v>3</v>
      </c>
      <c r="F8">
        <f t="shared" ref="F8:F35" si="1">IF(ISBLANK(D8),"",F7+INDEX($H$118:$H$177,D8))</f>
        <v>19</v>
      </c>
      <c r="G8" t="s">
        <v>3</v>
      </c>
    </row>
    <row r="9" spans="1:8" x14ac:dyDescent="0.15">
      <c r="A9" t="str">
        <f t="shared" si="0"/>
        <v>|Lv5|22|</v>
      </c>
      <c r="B9" t="s">
        <v>3</v>
      </c>
      <c r="C9" t="s">
        <v>8</v>
      </c>
      <c r="D9">
        <v>5</v>
      </c>
      <c r="E9" t="s">
        <v>3</v>
      </c>
      <c r="F9">
        <f t="shared" si="1"/>
        <v>22</v>
      </c>
      <c r="G9" t="s">
        <v>3</v>
      </c>
    </row>
    <row r="10" spans="1:8" x14ac:dyDescent="0.15">
      <c r="A10" t="str">
        <f t="shared" si="0"/>
        <v>|Lv7|24|</v>
      </c>
      <c r="B10" t="s">
        <v>3</v>
      </c>
      <c r="C10" t="s">
        <v>8</v>
      </c>
      <c r="D10">
        <v>7</v>
      </c>
      <c r="E10" t="s">
        <v>3</v>
      </c>
      <c r="F10">
        <f t="shared" si="1"/>
        <v>24</v>
      </c>
      <c r="G10" t="s">
        <v>3</v>
      </c>
    </row>
    <row r="11" spans="1:8" x14ac:dyDescent="0.15">
      <c r="A11" t="str">
        <f t="shared" si="0"/>
        <v>|Lv9|26|</v>
      </c>
      <c r="B11" t="s">
        <v>3</v>
      </c>
      <c r="C11" t="s">
        <v>8</v>
      </c>
      <c r="D11">
        <v>9</v>
      </c>
      <c r="E11" t="s">
        <v>3</v>
      </c>
      <c r="F11">
        <f t="shared" si="1"/>
        <v>26</v>
      </c>
      <c r="G11" t="s">
        <v>3</v>
      </c>
    </row>
    <row r="12" spans="1:8" x14ac:dyDescent="0.15">
      <c r="A12" t="str">
        <f t="shared" si="0"/>
        <v>|Lv11|29|</v>
      </c>
      <c r="B12" t="s">
        <v>3</v>
      </c>
      <c r="C12" t="s">
        <v>8</v>
      </c>
      <c r="D12">
        <v>11</v>
      </c>
      <c r="E12" t="s">
        <v>3</v>
      </c>
      <c r="F12">
        <f t="shared" si="1"/>
        <v>29</v>
      </c>
      <c r="G12" t="s">
        <v>3</v>
      </c>
    </row>
    <row r="13" spans="1:8" x14ac:dyDescent="0.15">
      <c r="A13" t="str">
        <f t="shared" si="0"/>
        <v>|Lv13|31|</v>
      </c>
      <c r="B13" t="s">
        <v>3</v>
      </c>
      <c r="C13" t="s">
        <v>8</v>
      </c>
      <c r="D13">
        <v>13</v>
      </c>
      <c r="E13" t="s">
        <v>3</v>
      </c>
      <c r="F13">
        <f t="shared" si="1"/>
        <v>31</v>
      </c>
      <c r="G13" t="s">
        <v>3</v>
      </c>
    </row>
    <row r="14" spans="1:8" x14ac:dyDescent="0.15">
      <c r="A14" t="str">
        <f t="shared" si="0"/>
        <v>|Lv15|33|</v>
      </c>
      <c r="B14" t="s">
        <v>3</v>
      </c>
      <c r="C14" t="s">
        <v>8</v>
      </c>
      <c r="D14">
        <v>15</v>
      </c>
      <c r="E14" t="s">
        <v>3</v>
      </c>
      <c r="F14">
        <f t="shared" si="1"/>
        <v>33</v>
      </c>
      <c r="G14" t="s">
        <v>3</v>
      </c>
    </row>
    <row r="15" spans="1:8" x14ac:dyDescent="0.15">
      <c r="A15" t="str">
        <f t="shared" si="0"/>
        <v>|Lv17|36|</v>
      </c>
      <c r="B15" t="s">
        <v>3</v>
      </c>
      <c r="C15" t="s">
        <v>8</v>
      </c>
      <c r="D15">
        <v>17</v>
      </c>
      <c r="E15" t="s">
        <v>3</v>
      </c>
      <c r="F15">
        <f t="shared" si="1"/>
        <v>36</v>
      </c>
      <c r="G15" t="s">
        <v>3</v>
      </c>
    </row>
    <row r="16" spans="1:8" x14ac:dyDescent="0.15">
      <c r="A16" t="str">
        <f t="shared" si="0"/>
        <v>|Lv19|38|</v>
      </c>
      <c r="B16" t="s">
        <v>3</v>
      </c>
      <c r="C16" t="s">
        <v>8</v>
      </c>
      <c r="D16">
        <v>19</v>
      </c>
      <c r="E16" t="s">
        <v>3</v>
      </c>
      <c r="F16">
        <f t="shared" si="1"/>
        <v>38</v>
      </c>
      <c r="G16" t="s">
        <v>3</v>
      </c>
    </row>
    <row r="17" spans="1:7" x14ac:dyDescent="0.15">
      <c r="A17" t="str">
        <f t="shared" si="0"/>
        <v>|Lv21|40|</v>
      </c>
      <c r="B17" t="s">
        <v>3</v>
      </c>
      <c r="C17" t="s">
        <v>8</v>
      </c>
      <c r="D17">
        <v>21</v>
      </c>
      <c r="E17" t="s">
        <v>3</v>
      </c>
      <c r="F17">
        <f t="shared" si="1"/>
        <v>40</v>
      </c>
      <c r="G17" t="s">
        <v>3</v>
      </c>
    </row>
    <row r="18" spans="1:7" x14ac:dyDescent="0.15">
      <c r="A18" t="str">
        <f t="shared" si="0"/>
        <v>|Lv23|43|</v>
      </c>
      <c r="B18" t="s">
        <v>3</v>
      </c>
      <c r="C18" t="s">
        <v>8</v>
      </c>
      <c r="D18">
        <v>23</v>
      </c>
      <c r="E18" t="s">
        <v>3</v>
      </c>
      <c r="F18">
        <f t="shared" si="1"/>
        <v>43</v>
      </c>
      <c r="G18" t="s">
        <v>3</v>
      </c>
    </row>
    <row r="19" spans="1:7" x14ac:dyDescent="0.15">
      <c r="A19" t="str">
        <f t="shared" si="0"/>
        <v>|Lv25|45|</v>
      </c>
      <c r="B19" t="s">
        <v>3</v>
      </c>
      <c r="C19" t="s">
        <v>8</v>
      </c>
      <c r="D19">
        <v>25</v>
      </c>
      <c r="E19" t="s">
        <v>3</v>
      </c>
      <c r="F19">
        <f t="shared" si="1"/>
        <v>45</v>
      </c>
      <c r="G19" t="s">
        <v>3</v>
      </c>
    </row>
    <row r="20" spans="1:7" x14ac:dyDescent="0.15">
      <c r="A20" t="str">
        <f t="shared" si="0"/>
        <v>|Lv27|47|</v>
      </c>
      <c r="B20" t="s">
        <v>3</v>
      </c>
      <c r="C20" t="s">
        <v>8</v>
      </c>
      <c r="D20">
        <v>27</v>
      </c>
      <c r="E20" t="s">
        <v>3</v>
      </c>
      <c r="F20">
        <f t="shared" si="1"/>
        <v>47</v>
      </c>
      <c r="G20" t="s">
        <v>3</v>
      </c>
    </row>
    <row r="21" spans="1:7" x14ac:dyDescent="0.15">
      <c r="A21" t="str">
        <f t="shared" si="0"/>
        <v>|Lv29|50|</v>
      </c>
      <c r="B21" t="s">
        <v>3</v>
      </c>
      <c r="C21" t="s">
        <v>8</v>
      </c>
      <c r="D21">
        <v>29</v>
      </c>
      <c r="E21" t="s">
        <v>3</v>
      </c>
      <c r="F21">
        <f t="shared" si="1"/>
        <v>50</v>
      </c>
      <c r="G21" t="s">
        <v>3</v>
      </c>
    </row>
    <row r="22" spans="1:7" x14ac:dyDescent="0.15">
      <c r="A22" t="str">
        <f t="shared" si="0"/>
        <v>|Lv31|52|</v>
      </c>
      <c r="B22" t="s">
        <v>3</v>
      </c>
      <c r="C22" t="s">
        <v>8</v>
      </c>
      <c r="D22">
        <v>31</v>
      </c>
      <c r="E22" t="s">
        <v>3</v>
      </c>
      <c r="F22">
        <f t="shared" si="1"/>
        <v>52</v>
      </c>
      <c r="G22" t="s">
        <v>3</v>
      </c>
    </row>
    <row r="23" spans="1:7" x14ac:dyDescent="0.15">
      <c r="A23" t="str">
        <f t="shared" si="0"/>
        <v>|Lv33|54|</v>
      </c>
      <c r="B23" t="s">
        <v>3</v>
      </c>
      <c r="C23" t="s">
        <v>8</v>
      </c>
      <c r="D23">
        <v>33</v>
      </c>
      <c r="E23" t="s">
        <v>3</v>
      </c>
      <c r="F23">
        <f t="shared" si="1"/>
        <v>54</v>
      </c>
      <c r="G23" t="s">
        <v>3</v>
      </c>
    </row>
    <row r="24" spans="1:7" x14ac:dyDescent="0.15">
      <c r="A24" t="str">
        <f t="shared" si="0"/>
        <v>|Lv35|57|</v>
      </c>
      <c r="B24" t="s">
        <v>3</v>
      </c>
      <c r="C24" t="s">
        <v>8</v>
      </c>
      <c r="D24">
        <v>35</v>
      </c>
      <c r="E24" t="s">
        <v>3</v>
      </c>
      <c r="F24">
        <f t="shared" si="1"/>
        <v>57</v>
      </c>
      <c r="G24" t="s">
        <v>3</v>
      </c>
    </row>
    <row r="25" spans="1:7" x14ac:dyDescent="0.15">
      <c r="A25" t="str">
        <f t="shared" si="0"/>
        <v>|Lv37|59|</v>
      </c>
      <c r="B25" t="s">
        <v>3</v>
      </c>
      <c r="C25" t="s">
        <v>8</v>
      </c>
      <c r="D25">
        <v>37</v>
      </c>
      <c r="E25" t="s">
        <v>3</v>
      </c>
      <c r="F25">
        <f t="shared" si="1"/>
        <v>59</v>
      </c>
      <c r="G25" t="s">
        <v>3</v>
      </c>
    </row>
    <row r="26" spans="1:7" x14ac:dyDescent="0.15">
      <c r="A26" t="str">
        <f t="shared" si="0"/>
        <v>|Lv39|61|</v>
      </c>
      <c r="B26" t="s">
        <v>3</v>
      </c>
      <c r="C26" t="s">
        <v>8</v>
      </c>
      <c r="D26">
        <v>39</v>
      </c>
      <c r="E26" t="s">
        <v>3</v>
      </c>
      <c r="F26">
        <f t="shared" si="1"/>
        <v>61</v>
      </c>
      <c r="G26" t="s">
        <v>3</v>
      </c>
    </row>
    <row r="27" spans="1:7" x14ac:dyDescent="0.15">
      <c r="A27" t="str">
        <f t="shared" si="0"/>
        <v>|Lv41|64|</v>
      </c>
      <c r="B27" t="s">
        <v>3</v>
      </c>
      <c r="C27" t="s">
        <v>8</v>
      </c>
      <c r="D27">
        <v>41</v>
      </c>
      <c r="E27" t="s">
        <v>3</v>
      </c>
      <c r="F27">
        <f t="shared" si="1"/>
        <v>64</v>
      </c>
      <c r="G27" t="s">
        <v>3</v>
      </c>
    </row>
    <row r="28" spans="1:7" x14ac:dyDescent="0.15">
      <c r="A28" t="str">
        <f t="shared" si="0"/>
        <v>|Lv43|66|</v>
      </c>
      <c r="B28" t="s">
        <v>3</v>
      </c>
      <c r="C28" t="s">
        <v>8</v>
      </c>
      <c r="D28">
        <v>43</v>
      </c>
      <c r="E28" t="s">
        <v>3</v>
      </c>
      <c r="F28">
        <f t="shared" si="1"/>
        <v>66</v>
      </c>
      <c r="G28" t="s">
        <v>3</v>
      </c>
    </row>
    <row r="29" spans="1:7" x14ac:dyDescent="0.15">
      <c r="A29" t="str">
        <f t="shared" si="0"/>
        <v>|Lv45|68|</v>
      </c>
      <c r="B29" t="s">
        <v>3</v>
      </c>
      <c r="C29" t="s">
        <v>8</v>
      </c>
      <c r="D29">
        <v>45</v>
      </c>
      <c r="E29" t="s">
        <v>3</v>
      </c>
      <c r="F29">
        <f t="shared" si="1"/>
        <v>68</v>
      </c>
      <c r="G29" t="s">
        <v>3</v>
      </c>
    </row>
    <row r="30" spans="1:7" x14ac:dyDescent="0.15">
      <c r="A30" t="str">
        <f t="shared" si="0"/>
        <v>|Lv47|71|</v>
      </c>
      <c r="B30" t="s">
        <v>3</v>
      </c>
      <c r="C30" t="s">
        <v>8</v>
      </c>
      <c r="D30">
        <v>47</v>
      </c>
      <c r="E30" t="s">
        <v>3</v>
      </c>
      <c r="F30">
        <f t="shared" si="1"/>
        <v>71</v>
      </c>
      <c r="G30" t="s">
        <v>3</v>
      </c>
    </row>
    <row r="31" spans="1:7" x14ac:dyDescent="0.15">
      <c r="A31" t="str">
        <f t="shared" si="0"/>
        <v>|Lv49|73|</v>
      </c>
      <c r="B31" t="s">
        <v>3</v>
      </c>
      <c r="C31" t="s">
        <v>8</v>
      </c>
      <c r="D31">
        <v>49</v>
      </c>
      <c r="E31" t="s">
        <v>3</v>
      </c>
      <c r="F31">
        <f t="shared" si="1"/>
        <v>73</v>
      </c>
      <c r="G31" t="s">
        <v>3</v>
      </c>
    </row>
    <row r="32" spans="1:7" x14ac:dyDescent="0.15">
      <c r="A32" t="str">
        <f t="shared" si="0"/>
        <v>|Lv51|75|</v>
      </c>
      <c r="B32" t="s">
        <v>3</v>
      </c>
      <c r="C32" t="s">
        <v>8</v>
      </c>
      <c r="D32">
        <v>51</v>
      </c>
      <c r="E32" t="s">
        <v>3</v>
      </c>
      <c r="F32">
        <f t="shared" si="1"/>
        <v>75</v>
      </c>
      <c r="G32" t="s">
        <v>3</v>
      </c>
    </row>
    <row r="33" spans="1:19" x14ac:dyDescent="0.15">
      <c r="A33" t="str">
        <f t="shared" si="0"/>
        <v>|Lv53|78|</v>
      </c>
      <c r="B33" t="s">
        <v>3</v>
      </c>
      <c r="C33" t="s">
        <v>8</v>
      </c>
      <c r="D33">
        <v>53</v>
      </c>
      <c r="E33" t="s">
        <v>3</v>
      </c>
      <c r="F33">
        <f t="shared" si="1"/>
        <v>78</v>
      </c>
      <c r="G33" t="s">
        <v>3</v>
      </c>
    </row>
    <row r="34" spans="1:19" x14ac:dyDescent="0.15">
      <c r="A34" t="str">
        <f t="shared" si="0"/>
        <v>|Lv55|80|</v>
      </c>
      <c r="B34" t="s">
        <v>3</v>
      </c>
      <c r="C34" t="s">
        <v>8</v>
      </c>
      <c r="D34">
        <v>55</v>
      </c>
      <c r="E34" t="s">
        <v>3</v>
      </c>
      <c r="F34">
        <f t="shared" si="1"/>
        <v>80</v>
      </c>
      <c r="G34" t="s">
        <v>3</v>
      </c>
    </row>
    <row r="35" spans="1:19" x14ac:dyDescent="0.15">
      <c r="A35" t="str">
        <f t="shared" si="0"/>
        <v>|Lv57|82|</v>
      </c>
      <c r="B35" t="s">
        <v>3</v>
      </c>
      <c r="C35" t="s">
        <v>8</v>
      </c>
      <c r="D35">
        <v>57</v>
      </c>
      <c r="E35" t="s">
        <v>3</v>
      </c>
      <c r="F35">
        <f t="shared" si="1"/>
        <v>82</v>
      </c>
      <c r="G35" t="s">
        <v>3</v>
      </c>
    </row>
    <row r="36" spans="1:19" x14ac:dyDescent="0.15">
      <c r="A36" t="str">
        <f>B36&amp;C36&amp;D36&amp;E36&amp;F36&amp;G36&amp;H36&amp;I36&amp;J36&amp;K36&amp;L36&amp;M36&amp;N36&amp;O36&amp;P36</f>
        <v>&amp;br;</v>
      </c>
      <c r="B36" t="s">
        <v>0</v>
      </c>
    </row>
    <row r="37" spans="1:19" x14ac:dyDescent="0.15">
      <c r="A37" t="str">
        <f>B37&amp;C37&amp;D37&amp;E37&amp;F37&amp;G37&amp;H37&amp;I37&amp;J37&amp;K37&amp;L37&amp;M37&amp;N37&amp;O37&amp;P37</f>
        <v>&amp;br;</v>
      </c>
      <c r="B37" t="s">
        <v>0</v>
      </c>
    </row>
    <row r="38" spans="1:19" x14ac:dyDescent="0.15">
      <c r="A38" t="str">
        <f>B38&amp;C38&amp;D38&amp;E38&amp;F38&amp;G38&amp;H38&amp;I38&amp;J38&amp;K38&amp;L38&amp;M38&amp;N38&amp;O38&amp;P38</f>
        <v>*マナボーナス [#q1a26f54]</v>
      </c>
      <c r="B38" t="s">
        <v>9</v>
      </c>
    </row>
    <row r="39" spans="1:19" x14ac:dyDescent="0.15">
      <c r="A39" t="str">
        <f t="shared" ref="A39:A51" si="2">B39&amp;C39&amp;D39&amp;G39&amp;H39&amp;I39&amp;J39&amp;K39&amp;L39&amp;M39&amp;N39&amp;O39&amp;P39&amp;Q39&amp;R39</f>
        <v>|LEFT:50|LEFT:50|LEFT:50|LEFT:50|LEFT:50|LEFT:50|c</v>
      </c>
      <c r="B39" t="s">
        <v>3</v>
      </c>
      <c r="C39" t="s">
        <v>4</v>
      </c>
      <c r="E39" t="s">
        <v>3</v>
      </c>
      <c r="G39" t="s">
        <v>3</v>
      </c>
      <c r="H39" t="s">
        <v>4</v>
      </c>
      <c r="I39" t="s">
        <v>3</v>
      </c>
      <c r="J39" t="s">
        <v>4</v>
      </c>
      <c r="K39" t="s">
        <v>3</v>
      </c>
      <c r="L39" t="s">
        <v>4</v>
      </c>
      <c r="M39" t="s">
        <v>3</v>
      </c>
      <c r="N39" t="s">
        <v>4</v>
      </c>
      <c r="O39" t="s">
        <v>3</v>
      </c>
      <c r="P39" t="s">
        <v>4</v>
      </c>
      <c r="Q39" t="s">
        <v>3</v>
      </c>
      <c r="R39" t="s">
        <v>5</v>
      </c>
    </row>
    <row r="40" spans="1:19" x14ac:dyDescent="0.15">
      <c r="A40" t="str">
        <f t="shared" si="2"/>
        <v>|レベル|白|青|黒|赤|緑|</v>
      </c>
      <c r="B40" t="s">
        <v>3</v>
      </c>
      <c r="C40" t="s">
        <v>6</v>
      </c>
      <c r="E40" t="s">
        <v>3</v>
      </c>
      <c r="F40" t="s">
        <v>10</v>
      </c>
      <c r="G40" t="s">
        <v>3</v>
      </c>
      <c r="H40" t="s">
        <v>11</v>
      </c>
      <c r="I40" t="s">
        <v>3</v>
      </c>
      <c r="J40" t="s">
        <v>12</v>
      </c>
      <c r="K40" t="s">
        <v>3</v>
      </c>
      <c r="L40" t="s">
        <v>13</v>
      </c>
      <c r="M40" t="s">
        <v>3</v>
      </c>
      <c r="N40" t="s">
        <v>14</v>
      </c>
      <c r="O40" t="s">
        <v>3</v>
      </c>
      <c r="P40" t="s">
        <v>15</v>
      </c>
      <c r="Q40" t="s">
        <v>3</v>
      </c>
      <c r="S40" t="s">
        <v>11</v>
      </c>
    </row>
    <row r="41" spans="1:19" x14ac:dyDescent="0.15">
      <c r="A41" t="str">
        <f t="shared" si="2"/>
        <v>|Lv1|2|-2|2|-2|-2|</v>
      </c>
      <c r="B41" t="s">
        <v>3</v>
      </c>
      <c r="C41" t="s">
        <v>8</v>
      </c>
      <c r="D41">
        <v>1</v>
      </c>
      <c r="E41" t="s">
        <v>3</v>
      </c>
      <c r="G41" t="s">
        <v>3</v>
      </c>
      <c r="H41">
        <v>2</v>
      </c>
      <c r="I41" t="s">
        <v>3</v>
      </c>
      <c r="J41">
        <v>-2</v>
      </c>
      <c r="K41" t="s">
        <v>3</v>
      </c>
      <c r="L41">
        <v>2</v>
      </c>
      <c r="M41" t="s">
        <v>3</v>
      </c>
      <c r="N41">
        <v>-2</v>
      </c>
      <c r="O41" t="s">
        <v>3</v>
      </c>
      <c r="P41">
        <v>-2</v>
      </c>
      <c r="Q41" t="s">
        <v>3</v>
      </c>
      <c r="S41" t="s">
        <v>12</v>
      </c>
    </row>
    <row r="42" spans="1:19" x14ac:dyDescent="0.15">
      <c r="A42" t="str">
        <f t="shared" si="2"/>
        <v>|Lv4|2|-2|3|-2|-2|</v>
      </c>
      <c r="B42" t="s">
        <v>3</v>
      </c>
      <c r="C42" t="s">
        <v>8</v>
      </c>
      <c r="D42">
        <v>4</v>
      </c>
      <c r="E42" t="s">
        <v>3</v>
      </c>
      <c r="F42" t="str">
        <f t="shared" ref="F42:F51" si="3">IF(ISBLANK(D42),"",INDEX($F$118:$F$177,D42))</f>
        <v>黒</v>
      </c>
      <c r="G42" t="s">
        <v>3</v>
      </c>
      <c r="H42">
        <f t="shared" ref="H42:H51" si="4">H41+IF(H$40=$F42,1,0)</f>
        <v>2</v>
      </c>
      <c r="I42" t="str">
        <f t="shared" ref="I42:Q51" si="5">I41</f>
        <v>|</v>
      </c>
      <c r="J42">
        <f t="shared" ref="J42:J51" si="6">J41+IF(J$40=$F42,1,0)</f>
        <v>-2</v>
      </c>
      <c r="K42" t="str">
        <f t="shared" si="5"/>
        <v>|</v>
      </c>
      <c r="L42">
        <f t="shared" ref="L42:L51" si="7">L41+IF(L$40=$F42,1,0)</f>
        <v>3</v>
      </c>
      <c r="M42" t="str">
        <f t="shared" si="5"/>
        <v>|</v>
      </c>
      <c r="N42">
        <f t="shared" ref="N42:N51" si="8">N41+IF(N$40=$F42,1,0)</f>
        <v>-2</v>
      </c>
      <c r="O42" t="str">
        <f t="shared" si="5"/>
        <v>|</v>
      </c>
      <c r="P42">
        <f t="shared" ref="P42:P51" si="9">P41+IF(P$40=$F42,1,0)</f>
        <v>-2</v>
      </c>
      <c r="Q42" t="str">
        <f t="shared" si="5"/>
        <v>|</v>
      </c>
      <c r="S42" t="s">
        <v>13</v>
      </c>
    </row>
    <row r="43" spans="1:19" x14ac:dyDescent="0.15">
      <c r="A43" t="str">
        <f t="shared" si="2"/>
        <v>|Lv10|2|-1|3|-2|-2|</v>
      </c>
      <c r="B43" t="s">
        <v>3</v>
      </c>
      <c r="C43" t="s">
        <v>8</v>
      </c>
      <c r="D43">
        <v>10</v>
      </c>
      <c r="E43" t="s">
        <v>3</v>
      </c>
      <c r="F43" t="str">
        <f t="shared" si="3"/>
        <v>青</v>
      </c>
      <c r="G43" t="s">
        <v>3</v>
      </c>
      <c r="H43">
        <f t="shared" si="4"/>
        <v>2</v>
      </c>
      <c r="I43" t="str">
        <f t="shared" si="5"/>
        <v>|</v>
      </c>
      <c r="J43">
        <f t="shared" si="6"/>
        <v>-1</v>
      </c>
      <c r="K43" t="str">
        <f t="shared" si="5"/>
        <v>|</v>
      </c>
      <c r="L43">
        <f t="shared" si="7"/>
        <v>3</v>
      </c>
      <c r="M43" t="str">
        <f t="shared" si="5"/>
        <v>|</v>
      </c>
      <c r="N43">
        <f t="shared" si="8"/>
        <v>-2</v>
      </c>
      <c r="O43" t="str">
        <f t="shared" si="5"/>
        <v>|</v>
      </c>
      <c r="P43">
        <f t="shared" si="9"/>
        <v>-2</v>
      </c>
      <c r="Q43" t="str">
        <f t="shared" si="5"/>
        <v>|</v>
      </c>
      <c r="S43" t="s">
        <v>14</v>
      </c>
    </row>
    <row r="44" spans="1:19" x14ac:dyDescent="0.15">
      <c r="A44" t="str">
        <f t="shared" si="2"/>
        <v>|Lv16|3|-1|3|-2|-2|</v>
      </c>
      <c r="B44" t="s">
        <v>3</v>
      </c>
      <c r="C44" t="s">
        <v>8</v>
      </c>
      <c r="D44">
        <v>16</v>
      </c>
      <c r="E44" t="s">
        <v>3</v>
      </c>
      <c r="F44" t="str">
        <f t="shared" si="3"/>
        <v>白</v>
      </c>
      <c r="G44" t="s">
        <v>3</v>
      </c>
      <c r="H44">
        <f t="shared" si="4"/>
        <v>3</v>
      </c>
      <c r="I44" t="str">
        <f t="shared" si="5"/>
        <v>|</v>
      </c>
      <c r="J44">
        <f t="shared" si="6"/>
        <v>-1</v>
      </c>
      <c r="K44" t="str">
        <f t="shared" si="5"/>
        <v>|</v>
      </c>
      <c r="L44">
        <f t="shared" si="7"/>
        <v>3</v>
      </c>
      <c r="M44" t="str">
        <f t="shared" si="5"/>
        <v>|</v>
      </c>
      <c r="N44">
        <f t="shared" si="8"/>
        <v>-2</v>
      </c>
      <c r="O44" t="str">
        <f t="shared" si="5"/>
        <v>|</v>
      </c>
      <c r="P44">
        <f t="shared" si="9"/>
        <v>-2</v>
      </c>
      <c r="Q44" t="str">
        <f t="shared" si="5"/>
        <v>|</v>
      </c>
      <c r="S44" t="s">
        <v>15</v>
      </c>
    </row>
    <row r="45" spans="1:19" x14ac:dyDescent="0.15">
      <c r="A45" t="str">
        <f t="shared" si="2"/>
        <v>|Lv22|3|-1|3|-1|-2|</v>
      </c>
      <c r="B45" t="s">
        <v>3</v>
      </c>
      <c r="C45" t="s">
        <v>8</v>
      </c>
      <c r="D45">
        <v>22</v>
      </c>
      <c r="E45" t="s">
        <v>3</v>
      </c>
      <c r="F45" t="str">
        <f t="shared" si="3"/>
        <v>赤</v>
      </c>
      <c r="G45" t="s">
        <v>3</v>
      </c>
      <c r="H45">
        <f t="shared" si="4"/>
        <v>3</v>
      </c>
      <c r="I45" t="str">
        <f t="shared" si="5"/>
        <v>|</v>
      </c>
      <c r="J45">
        <f t="shared" si="6"/>
        <v>-1</v>
      </c>
      <c r="K45" t="str">
        <f t="shared" si="5"/>
        <v>|</v>
      </c>
      <c r="L45">
        <f t="shared" si="7"/>
        <v>3</v>
      </c>
      <c r="M45" t="str">
        <f t="shared" si="5"/>
        <v>|</v>
      </c>
      <c r="N45">
        <f t="shared" si="8"/>
        <v>-1</v>
      </c>
      <c r="O45" t="str">
        <f t="shared" si="5"/>
        <v>|</v>
      </c>
      <c r="P45">
        <f t="shared" si="9"/>
        <v>-2</v>
      </c>
      <c r="Q45" t="str">
        <f t="shared" si="5"/>
        <v>|</v>
      </c>
    </row>
    <row r="46" spans="1:19" x14ac:dyDescent="0.15">
      <c r="A46" t="str">
        <f t="shared" si="2"/>
        <v>|Lv28|3|-1|3|-1|-1|</v>
      </c>
      <c r="B46" t="s">
        <v>3</v>
      </c>
      <c r="C46" t="s">
        <v>8</v>
      </c>
      <c r="D46">
        <v>28</v>
      </c>
      <c r="E46" t="s">
        <v>3</v>
      </c>
      <c r="F46" t="str">
        <f t="shared" si="3"/>
        <v>緑</v>
      </c>
      <c r="G46" t="s">
        <v>3</v>
      </c>
      <c r="H46">
        <f t="shared" si="4"/>
        <v>3</v>
      </c>
      <c r="I46" t="str">
        <f t="shared" si="5"/>
        <v>|</v>
      </c>
      <c r="J46">
        <f t="shared" si="6"/>
        <v>-1</v>
      </c>
      <c r="K46" t="str">
        <f t="shared" si="5"/>
        <v>|</v>
      </c>
      <c r="L46">
        <f t="shared" si="7"/>
        <v>3</v>
      </c>
      <c r="M46" t="str">
        <f t="shared" si="5"/>
        <v>|</v>
      </c>
      <c r="N46">
        <f t="shared" si="8"/>
        <v>-1</v>
      </c>
      <c r="O46" t="str">
        <f t="shared" si="5"/>
        <v>|</v>
      </c>
      <c r="P46">
        <f t="shared" si="9"/>
        <v>-1</v>
      </c>
      <c r="Q46" t="str">
        <f t="shared" si="5"/>
        <v>|</v>
      </c>
    </row>
    <row r="47" spans="1:19" x14ac:dyDescent="0.15">
      <c r="A47" t="str">
        <f t="shared" si="2"/>
        <v>|Lv34|3|-1|4|-1|-1|</v>
      </c>
      <c r="B47" t="s">
        <v>3</v>
      </c>
      <c r="C47" t="s">
        <v>8</v>
      </c>
      <c r="D47">
        <v>34</v>
      </c>
      <c r="E47" t="s">
        <v>3</v>
      </c>
      <c r="F47" t="str">
        <f t="shared" si="3"/>
        <v>黒</v>
      </c>
      <c r="G47" t="s">
        <v>3</v>
      </c>
      <c r="H47">
        <f t="shared" si="4"/>
        <v>3</v>
      </c>
      <c r="I47" t="str">
        <f t="shared" si="5"/>
        <v>|</v>
      </c>
      <c r="J47">
        <f t="shared" si="6"/>
        <v>-1</v>
      </c>
      <c r="K47" t="str">
        <f t="shared" si="5"/>
        <v>|</v>
      </c>
      <c r="L47">
        <f t="shared" si="7"/>
        <v>4</v>
      </c>
      <c r="M47" t="str">
        <f t="shared" si="5"/>
        <v>|</v>
      </c>
      <c r="N47">
        <f t="shared" si="8"/>
        <v>-1</v>
      </c>
      <c r="O47" t="str">
        <f t="shared" si="5"/>
        <v>|</v>
      </c>
      <c r="P47">
        <f t="shared" si="9"/>
        <v>-1</v>
      </c>
      <c r="Q47" t="str">
        <f t="shared" si="5"/>
        <v>|</v>
      </c>
    </row>
    <row r="48" spans="1:19" x14ac:dyDescent="0.15">
      <c r="A48" t="str">
        <f t="shared" si="2"/>
        <v>|Lv42|3|0|4|-1|-1|</v>
      </c>
      <c r="B48" t="s">
        <v>3</v>
      </c>
      <c r="C48" t="s">
        <v>8</v>
      </c>
      <c r="D48">
        <v>42</v>
      </c>
      <c r="E48" t="s">
        <v>3</v>
      </c>
      <c r="F48" t="str">
        <f t="shared" si="3"/>
        <v>青</v>
      </c>
      <c r="G48" t="s">
        <v>3</v>
      </c>
      <c r="H48">
        <f t="shared" si="4"/>
        <v>3</v>
      </c>
      <c r="I48" t="str">
        <f t="shared" si="5"/>
        <v>|</v>
      </c>
      <c r="J48">
        <f t="shared" si="6"/>
        <v>0</v>
      </c>
      <c r="K48" t="str">
        <f t="shared" si="5"/>
        <v>|</v>
      </c>
      <c r="L48">
        <f t="shared" si="7"/>
        <v>4</v>
      </c>
      <c r="M48" t="str">
        <f t="shared" si="5"/>
        <v>|</v>
      </c>
      <c r="N48">
        <f t="shared" si="8"/>
        <v>-1</v>
      </c>
      <c r="O48" t="str">
        <f t="shared" si="5"/>
        <v>|</v>
      </c>
      <c r="P48">
        <f t="shared" si="9"/>
        <v>-1</v>
      </c>
      <c r="Q48" t="str">
        <f t="shared" si="5"/>
        <v>|</v>
      </c>
    </row>
    <row r="49" spans="1:19" x14ac:dyDescent="0.15">
      <c r="A49" t="str">
        <f t="shared" si="2"/>
        <v>|Lv48|4|0|4|-1|-1|</v>
      </c>
      <c r="B49" t="s">
        <v>3</v>
      </c>
      <c r="C49" t="s">
        <v>8</v>
      </c>
      <c r="D49">
        <v>48</v>
      </c>
      <c r="E49" t="s">
        <v>3</v>
      </c>
      <c r="F49" t="str">
        <f t="shared" si="3"/>
        <v>白</v>
      </c>
      <c r="G49" t="s">
        <v>3</v>
      </c>
      <c r="H49">
        <f t="shared" si="4"/>
        <v>4</v>
      </c>
      <c r="I49" t="str">
        <f t="shared" si="5"/>
        <v>|</v>
      </c>
      <c r="J49">
        <f t="shared" si="6"/>
        <v>0</v>
      </c>
      <c r="K49" t="str">
        <f t="shared" si="5"/>
        <v>|</v>
      </c>
      <c r="L49">
        <f t="shared" si="7"/>
        <v>4</v>
      </c>
      <c r="M49" t="str">
        <f t="shared" si="5"/>
        <v>|</v>
      </c>
      <c r="N49">
        <f t="shared" si="8"/>
        <v>-1</v>
      </c>
      <c r="O49" t="str">
        <f t="shared" si="5"/>
        <v>|</v>
      </c>
      <c r="P49">
        <f t="shared" si="9"/>
        <v>-1</v>
      </c>
      <c r="Q49" t="str">
        <f t="shared" si="5"/>
        <v>|</v>
      </c>
    </row>
    <row r="50" spans="1:19" x14ac:dyDescent="0.15">
      <c r="A50" t="str">
        <f t="shared" si="2"/>
        <v>|Lv54|4|0|4|0|-1|</v>
      </c>
      <c r="B50" t="s">
        <v>3</v>
      </c>
      <c r="C50" t="s">
        <v>8</v>
      </c>
      <c r="D50">
        <v>54</v>
      </c>
      <c r="E50" t="s">
        <v>3</v>
      </c>
      <c r="F50" t="str">
        <f t="shared" si="3"/>
        <v>赤</v>
      </c>
      <c r="G50" t="s">
        <v>3</v>
      </c>
      <c r="H50">
        <f t="shared" si="4"/>
        <v>4</v>
      </c>
      <c r="I50" t="str">
        <f t="shared" si="5"/>
        <v>|</v>
      </c>
      <c r="J50">
        <f t="shared" si="6"/>
        <v>0</v>
      </c>
      <c r="K50" t="str">
        <f t="shared" si="5"/>
        <v>|</v>
      </c>
      <c r="L50">
        <f t="shared" si="7"/>
        <v>4</v>
      </c>
      <c r="M50" t="str">
        <f t="shared" si="5"/>
        <v>|</v>
      </c>
      <c r="N50">
        <f t="shared" si="8"/>
        <v>0</v>
      </c>
      <c r="O50" t="str">
        <f t="shared" si="5"/>
        <v>|</v>
      </c>
      <c r="P50">
        <f t="shared" si="9"/>
        <v>-1</v>
      </c>
      <c r="Q50" t="str">
        <f t="shared" si="5"/>
        <v>|</v>
      </c>
    </row>
    <row r="51" spans="1:19" x14ac:dyDescent="0.15">
      <c r="A51" t="str">
        <f t="shared" si="2"/>
        <v>|Lv59|4|0|4|0|0|</v>
      </c>
      <c r="B51" t="s">
        <v>3</v>
      </c>
      <c r="C51" t="s">
        <v>8</v>
      </c>
      <c r="D51">
        <v>59</v>
      </c>
      <c r="E51" t="s">
        <v>3</v>
      </c>
      <c r="F51" t="str">
        <f t="shared" si="3"/>
        <v>緑</v>
      </c>
      <c r="G51" t="s">
        <v>3</v>
      </c>
      <c r="H51">
        <f t="shared" si="4"/>
        <v>4</v>
      </c>
      <c r="I51" t="str">
        <f t="shared" si="5"/>
        <v>|</v>
      </c>
      <c r="J51">
        <f t="shared" si="6"/>
        <v>0</v>
      </c>
      <c r="K51" t="str">
        <f t="shared" si="5"/>
        <v>|</v>
      </c>
      <c r="L51">
        <f t="shared" si="7"/>
        <v>4</v>
      </c>
      <c r="M51" t="str">
        <f t="shared" si="5"/>
        <v>|</v>
      </c>
      <c r="N51">
        <f t="shared" si="8"/>
        <v>0</v>
      </c>
      <c r="O51" t="str">
        <f t="shared" si="5"/>
        <v>|</v>
      </c>
      <c r="P51">
        <f t="shared" si="9"/>
        <v>0</v>
      </c>
      <c r="Q51" t="str">
        <f t="shared" si="5"/>
        <v>|</v>
      </c>
    </row>
    <row r="52" spans="1:19" x14ac:dyDescent="0.15">
      <c r="A52" t="str">
        <f>B52&amp;C52&amp;D52&amp;E52&amp;F52&amp;G52&amp;H52&amp;I52&amp;J52&amp;K52&amp;L52&amp;M52&amp;N52&amp;O52&amp;P52</f>
        <v>&amp;br;</v>
      </c>
      <c r="B52" t="s">
        <v>0</v>
      </c>
    </row>
    <row r="53" spans="1:19" x14ac:dyDescent="0.15">
      <c r="A53" t="str">
        <f>B53&amp;C53&amp;D53&amp;E53&amp;F53&amp;G53&amp;H53&amp;I53&amp;J53&amp;K53&amp;L53&amp;M53&amp;N53&amp;O53&amp;P53</f>
        <v>&amp;br;</v>
      </c>
      <c r="B53" t="s">
        <v>0</v>
      </c>
    </row>
    <row r="54" spans="1:19" x14ac:dyDescent="0.15">
      <c r="A54" t="str">
        <f>B54&amp;C54&amp;D54&amp;E54&amp;F54&amp;G54&amp;H54&amp;I54&amp;J54&amp;K54&amp;L54&amp;M54&amp;N54&amp;O54&amp;P54</f>
        <v>*デッキ構築枚数上限 [#e6f382eb]</v>
      </c>
      <c r="B54" t="s">
        <v>16</v>
      </c>
    </row>
    <row r="55" spans="1:19" x14ac:dyDescent="0.15">
      <c r="A55" t="str">
        <f>B55&amp;C55&amp;D55&amp;E55&amp;F55&amp;G55&amp;H55&amp;I55&amp;J55&amp;K55&amp;L55&amp;M55&amp;N55&amp;O55&amp;P55</f>
        <v>構築枚数上限を越える枚数はデッキに入れられない。</v>
      </c>
      <c r="B55" t="s">
        <v>17</v>
      </c>
    </row>
    <row r="56" spans="1:19" x14ac:dyDescent="0.15">
      <c r="A56" t="str">
        <f t="shared" ref="A56:A65" si="10">B56&amp;C56&amp;D56&amp;G56&amp;H56&amp;I56&amp;J56&amp;K56&amp;L56&amp;M56&amp;N56&amp;O56&amp;P56&amp;Q56&amp;R56</f>
        <v>|LEFT:50|LEFT:80|LEFT:80|LEFT:80|c</v>
      </c>
      <c r="B56" t="s">
        <v>3</v>
      </c>
      <c r="C56" t="s">
        <v>4</v>
      </c>
      <c r="E56" t="s">
        <v>3</v>
      </c>
      <c r="G56" t="s">
        <v>3</v>
      </c>
      <c r="H56" t="s">
        <v>18</v>
      </c>
      <c r="I56" t="s">
        <v>3</v>
      </c>
      <c r="J56" t="s">
        <v>18</v>
      </c>
      <c r="K56" t="s">
        <v>3</v>
      </c>
      <c r="L56" t="s">
        <v>18</v>
      </c>
      <c r="M56" t="s">
        <v>3</v>
      </c>
      <c r="N56" t="s">
        <v>5</v>
      </c>
    </row>
    <row r="57" spans="1:19" x14ac:dyDescent="0.15">
      <c r="A57" t="str">
        <f t="shared" si="10"/>
        <v>|レベル|クリーチャー|呪文|サポート|</v>
      </c>
      <c r="B57" t="s">
        <v>3</v>
      </c>
      <c r="C57" t="s">
        <v>6</v>
      </c>
      <c r="E57" t="s">
        <v>3</v>
      </c>
      <c r="F57" t="s">
        <v>19</v>
      </c>
      <c r="G57" t="s">
        <v>3</v>
      </c>
      <c r="H57" t="s">
        <v>20</v>
      </c>
      <c r="I57" t="s">
        <v>3</v>
      </c>
      <c r="J57" t="s">
        <v>21</v>
      </c>
      <c r="K57" t="s">
        <v>3</v>
      </c>
      <c r="L57" t="s">
        <v>22</v>
      </c>
      <c r="M57" t="s">
        <v>3</v>
      </c>
      <c r="S57" t="s">
        <v>20</v>
      </c>
    </row>
    <row r="58" spans="1:19" x14ac:dyDescent="0.15">
      <c r="A58" t="str">
        <f t="shared" si="10"/>
        <v>|Lv1|8|3|3|</v>
      </c>
      <c r="B58" t="s">
        <v>3</v>
      </c>
      <c r="C58" t="s">
        <v>8</v>
      </c>
      <c r="D58">
        <v>1</v>
      </c>
      <c r="E58" t="s">
        <v>3</v>
      </c>
      <c r="G58" t="s">
        <v>3</v>
      </c>
      <c r="H58">
        <v>8</v>
      </c>
      <c r="I58" t="s">
        <v>3</v>
      </c>
      <c r="J58">
        <v>3</v>
      </c>
      <c r="K58" t="s">
        <v>3</v>
      </c>
      <c r="L58">
        <v>3</v>
      </c>
      <c r="M58" t="s">
        <v>3</v>
      </c>
      <c r="S58" t="s">
        <v>21</v>
      </c>
    </row>
    <row r="59" spans="1:19" x14ac:dyDescent="0.15">
      <c r="A59" t="str">
        <f t="shared" si="10"/>
        <v>|Lv2|8|3|4|</v>
      </c>
      <c r="B59" t="s">
        <v>3</v>
      </c>
      <c r="C59" t="s">
        <v>8</v>
      </c>
      <c r="D59">
        <v>2</v>
      </c>
      <c r="E59" t="s">
        <v>3</v>
      </c>
      <c r="F59" t="str">
        <f t="shared" ref="F59:F64" si="11">IF(ISBLANK(D59),"",INDEX($F$118:$F$177,D59))</f>
        <v>サポート</v>
      </c>
      <c r="G59" t="s">
        <v>3</v>
      </c>
      <c r="H59">
        <f t="shared" ref="H59:H64" si="12">H58+IF(H$57=$F59,INDEX($H$118:$H$177,D59),0)</f>
        <v>8</v>
      </c>
      <c r="I59" t="s">
        <v>3</v>
      </c>
      <c r="J59">
        <f t="shared" ref="J59:J64" si="13">J58+IF(J$57=$F59,INDEX($H$118:$H$177,D59),0)</f>
        <v>3</v>
      </c>
      <c r="K59" t="s">
        <v>3</v>
      </c>
      <c r="L59">
        <f t="shared" ref="L59:L64" si="14">L58+IF(L$57=$F59,INDEX($H$118:$H$177,D59),0)</f>
        <v>4</v>
      </c>
      <c r="M59" t="s">
        <v>3</v>
      </c>
      <c r="S59" t="s">
        <v>22</v>
      </c>
    </row>
    <row r="60" spans="1:19" x14ac:dyDescent="0.15">
      <c r="A60" t="str">
        <f t="shared" si="10"/>
        <v>|Lv8|8|4|4|</v>
      </c>
      <c r="B60" t="s">
        <v>3</v>
      </c>
      <c r="C60" t="s">
        <v>8</v>
      </c>
      <c r="D60">
        <v>8</v>
      </c>
      <c r="E60" t="s">
        <v>3</v>
      </c>
      <c r="F60" t="str">
        <f t="shared" si="11"/>
        <v>呪文</v>
      </c>
      <c r="G60" t="s">
        <v>3</v>
      </c>
      <c r="H60">
        <f t="shared" si="12"/>
        <v>8</v>
      </c>
      <c r="I60" t="s">
        <v>3</v>
      </c>
      <c r="J60">
        <f t="shared" si="13"/>
        <v>4</v>
      </c>
      <c r="K60" t="s">
        <v>3</v>
      </c>
      <c r="L60">
        <f t="shared" si="14"/>
        <v>4</v>
      </c>
      <c r="M60" t="s">
        <v>3</v>
      </c>
    </row>
    <row r="61" spans="1:19" x14ac:dyDescent="0.15">
      <c r="A61" t="str">
        <f t="shared" si="10"/>
        <v>|Lv14|9|4|4|</v>
      </c>
      <c r="B61" t="s">
        <v>3</v>
      </c>
      <c r="C61" t="s">
        <v>8</v>
      </c>
      <c r="D61">
        <v>14</v>
      </c>
      <c r="E61" t="s">
        <v>3</v>
      </c>
      <c r="F61" t="str">
        <f t="shared" si="11"/>
        <v>クリーチャー</v>
      </c>
      <c r="G61" t="s">
        <v>3</v>
      </c>
      <c r="H61">
        <f t="shared" si="12"/>
        <v>9</v>
      </c>
      <c r="I61" t="s">
        <v>3</v>
      </c>
      <c r="J61">
        <f t="shared" si="13"/>
        <v>4</v>
      </c>
      <c r="K61" t="s">
        <v>3</v>
      </c>
      <c r="L61">
        <f t="shared" si="14"/>
        <v>4</v>
      </c>
      <c r="M61" t="s">
        <v>3</v>
      </c>
    </row>
    <row r="62" spans="1:19" x14ac:dyDescent="0.15">
      <c r="A62" t="str">
        <f t="shared" si="10"/>
        <v>|Lv26|9|5|4|</v>
      </c>
      <c r="B62" t="s">
        <v>3</v>
      </c>
      <c r="C62" t="s">
        <v>8</v>
      </c>
      <c r="D62">
        <v>26</v>
      </c>
      <c r="E62" t="s">
        <v>3</v>
      </c>
      <c r="F62" t="str">
        <f t="shared" si="11"/>
        <v>呪文</v>
      </c>
      <c r="G62" t="s">
        <v>3</v>
      </c>
      <c r="H62">
        <f t="shared" si="12"/>
        <v>9</v>
      </c>
      <c r="I62" t="s">
        <v>3</v>
      </c>
      <c r="J62">
        <f t="shared" si="13"/>
        <v>5</v>
      </c>
      <c r="K62" t="s">
        <v>3</v>
      </c>
      <c r="L62">
        <f t="shared" si="14"/>
        <v>4</v>
      </c>
      <c r="M62" t="s">
        <v>3</v>
      </c>
    </row>
    <row r="63" spans="1:19" x14ac:dyDescent="0.15">
      <c r="A63" t="str">
        <f t="shared" si="10"/>
        <v>|Lv38|10|5|4|</v>
      </c>
      <c r="B63" t="s">
        <v>3</v>
      </c>
      <c r="C63" t="s">
        <v>8</v>
      </c>
      <c r="D63">
        <v>38</v>
      </c>
      <c r="E63" t="s">
        <v>3</v>
      </c>
      <c r="F63" t="str">
        <f t="shared" si="11"/>
        <v>クリーチャー</v>
      </c>
      <c r="G63" t="s">
        <v>3</v>
      </c>
      <c r="H63">
        <f t="shared" si="12"/>
        <v>10</v>
      </c>
      <c r="I63" t="s">
        <v>3</v>
      </c>
      <c r="J63">
        <f t="shared" si="13"/>
        <v>5</v>
      </c>
      <c r="K63" t="s">
        <v>3</v>
      </c>
      <c r="L63">
        <f t="shared" si="14"/>
        <v>4</v>
      </c>
      <c r="M63" t="s">
        <v>3</v>
      </c>
    </row>
    <row r="64" spans="1:19" x14ac:dyDescent="0.15">
      <c r="A64" t="str">
        <f t="shared" si="10"/>
        <v>|Lv50|10|5|5|</v>
      </c>
      <c r="B64" t="s">
        <v>3</v>
      </c>
      <c r="C64" t="s">
        <v>8</v>
      </c>
      <c r="D64">
        <v>50</v>
      </c>
      <c r="E64" t="s">
        <v>3</v>
      </c>
      <c r="F64" t="str">
        <f t="shared" si="11"/>
        <v>サポート</v>
      </c>
      <c r="G64" t="s">
        <v>3</v>
      </c>
      <c r="H64">
        <f t="shared" si="12"/>
        <v>10</v>
      </c>
      <c r="I64" t="s">
        <v>3</v>
      </c>
      <c r="J64">
        <f t="shared" si="13"/>
        <v>5</v>
      </c>
      <c r="K64" t="s">
        <v>3</v>
      </c>
      <c r="L64">
        <f t="shared" si="14"/>
        <v>5</v>
      </c>
      <c r="M64" t="s">
        <v>3</v>
      </c>
    </row>
    <row r="65" spans="1:20" x14ac:dyDescent="0.15">
      <c r="A65" t="str">
        <f t="shared" si="10"/>
        <v>v1.7より修正が入った。以前は呪文とサポート共に1からスタートだった。</v>
      </c>
      <c r="B65" t="s">
        <v>464</v>
      </c>
    </row>
    <row r="66" spans="1:20" x14ac:dyDescent="0.15">
      <c r="A66" t="str">
        <f t="shared" ref="A66:A87" si="15">B66&amp;C66&amp;D66&amp;E66&amp;F66&amp;G66&amp;H66&amp;I66&amp;J66&amp;K66&amp;L66&amp;M66&amp;N66&amp;O66&amp;P66</f>
        <v>&amp;br;</v>
      </c>
      <c r="B66" t="s">
        <v>0</v>
      </c>
    </row>
    <row r="67" spans="1:20" x14ac:dyDescent="0.15">
      <c r="A67" t="str">
        <f t="shared" si="15"/>
        <v>&amp;br;</v>
      </c>
      <c r="B67" t="s">
        <v>0</v>
      </c>
    </row>
    <row r="68" spans="1:20" x14ac:dyDescent="0.15">
      <c r="A68" t="str">
        <f t="shared" si="15"/>
        <v>*PW能力一覧 [#a469e89f]</v>
      </c>
      <c r="B68" t="s">
        <v>23</v>
      </c>
    </row>
    <row r="69" spans="1:20" x14ac:dyDescent="0.15">
      <c r="A69" t="str">
        <f t="shared" si="15"/>
        <v>**第1能力：吸血鬼の吸収/Vampiric Drain</v>
      </c>
      <c r="B69" t="s">
        <v>24</v>
      </c>
      <c r="D69" t="s">
        <v>465</v>
      </c>
      <c r="R69" t="str">
        <f>D69&amp;E69&amp;F69</f>
        <v>吸血鬼の吸収/Vampiric Drain</v>
      </c>
      <c r="S69" t="s">
        <v>3</v>
      </c>
      <c r="T69">
        <f>H75</f>
        <v>6</v>
      </c>
    </row>
    <row r="70" spans="1:20" x14ac:dyDescent="0.15">
      <c r="A70" t="str">
        <f t="shared" si="15"/>
        <v>|LEFT:50|LEFT:50|LEFT:50|LEFT:300|c</v>
      </c>
      <c r="B70" t="s">
        <v>3</v>
      </c>
      <c r="C70" t="s">
        <v>4</v>
      </c>
      <c r="E70" t="s">
        <v>3</v>
      </c>
      <c r="F70" t="s">
        <v>4</v>
      </c>
      <c r="G70" t="s">
        <v>3</v>
      </c>
      <c r="H70" t="s">
        <v>4</v>
      </c>
      <c r="I70" t="s">
        <v>3</v>
      </c>
      <c r="J70" t="s">
        <v>26</v>
      </c>
      <c r="K70" t="s">
        <v>3</v>
      </c>
      <c r="L70" t="s">
        <v>5</v>
      </c>
      <c r="R70" t="s">
        <v>209</v>
      </c>
      <c r="S70" t="s">
        <v>3</v>
      </c>
      <c r="T70" t="str">
        <f>J75</f>
        <v>あなたがコントロールするクリーチャー1体につき4点のライフと2マナを得る。</v>
      </c>
    </row>
    <row r="71" spans="1:20" x14ac:dyDescent="0.15">
      <c r="A71" t="str">
        <f t="shared" si="15"/>
        <v>|解放Lv|レベル|コスト|効果|</v>
      </c>
      <c r="B71" t="s">
        <v>3</v>
      </c>
      <c r="C71" t="s">
        <v>27</v>
      </c>
      <c r="E71" t="s">
        <v>3</v>
      </c>
      <c r="F71" t="s">
        <v>6</v>
      </c>
      <c r="G71" t="s">
        <v>3</v>
      </c>
      <c r="H71" t="s">
        <v>28</v>
      </c>
      <c r="I71" t="s">
        <v>3</v>
      </c>
      <c r="J71" t="s">
        <v>29</v>
      </c>
      <c r="K71" t="s">
        <v>3</v>
      </c>
      <c r="R71" t="str">
        <f>D78&amp;E78&amp;F78</f>
        <v>吸血の力/Vampiric Power</v>
      </c>
      <c r="S71" t="s">
        <v>3</v>
      </c>
      <c r="T71">
        <f>H84</f>
        <v>15</v>
      </c>
    </row>
    <row r="72" spans="1:20" x14ac:dyDescent="0.15">
      <c r="A72" t="str">
        <f t="shared" si="15"/>
        <v>|Lv6|Lv1|6|あなたがコントロールするクリーチャー1体につき1点のライフと1マナを得る。|</v>
      </c>
      <c r="B72" t="s">
        <v>3</v>
      </c>
      <c r="C72" t="s">
        <v>244</v>
      </c>
      <c r="E72" t="s">
        <v>3</v>
      </c>
      <c r="F72" t="s">
        <v>30</v>
      </c>
      <c r="G72" t="s">
        <v>3</v>
      </c>
      <c r="H72">
        <v>6</v>
      </c>
      <c r="I72" t="s">
        <v>3</v>
      </c>
      <c r="J72" t="s">
        <v>466</v>
      </c>
      <c r="K72" t="s">
        <v>3</v>
      </c>
      <c r="R72" t="s">
        <v>209</v>
      </c>
      <c r="S72" t="s">
        <v>3</v>
      </c>
      <c r="T72" t="str">
        <f>J84</f>
        <v>「あなたがコントロールする各クリーチャーが攻撃したとき、あなたは4点のライフを得る」を持つサポート(シールド数3)を生成する。</v>
      </c>
    </row>
    <row r="73" spans="1:20" x14ac:dyDescent="0.15">
      <c r="A73" t="str">
        <f t="shared" si="15"/>
        <v>|Lv24|Lv2|6|あなたがコントロールするクリーチャー1体につき2点のライフと1マナを得る。|</v>
      </c>
      <c r="B73" t="s">
        <v>3</v>
      </c>
      <c r="C73" t="s">
        <v>246</v>
      </c>
      <c r="E73" t="s">
        <v>3</v>
      </c>
      <c r="F73" t="s">
        <v>31</v>
      </c>
      <c r="G73" t="s">
        <v>3</v>
      </c>
      <c r="H73">
        <v>6</v>
      </c>
      <c r="I73" t="s">
        <v>3</v>
      </c>
      <c r="J73" t="s">
        <v>467</v>
      </c>
      <c r="K73" t="s">
        <v>3</v>
      </c>
      <c r="R73" t="str">
        <f>D87&amp;E87&amp;F87</f>
        <v>吸血鬼の力/Vampiric Embrace</v>
      </c>
      <c r="S73" t="s">
        <v>3</v>
      </c>
      <c r="T73">
        <f>H93</f>
        <v>21</v>
      </c>
    </row>
    <row r="74" spans="1:20" x14ac:dyDescent="0.15">
      <c r="A74" t="str">
        <f t="shared" si="15"/>
        <v>|Lv40|Lv3|6|あなたがコントロールするクリーチャー1体につき3点のライフと2マナを得る。|</v>
      </c>
      <c r="B74" t="s">
        <v>3</v>
      </c>
      <c r="C74" t="s">
        <v>248</v>
      </c>
      <c r="E74" t="s">
        <v>3</v>
      </c>
      <c r="F74" t="s">
        <v>32</v>
      </c>
      <c r="G74" t="s">
        <v>3</v>
      </c>
      <c r="H74">
        <v>6</v>
      </c>
      <c r="I74" t="s">
        <v>3</v>
      </c>
      <c r="J74" t="s">
        <v>468</v>
      </c>
      <c r="K74" t="s">
        <v>3</v>
      </c>
      <c r="R74" t="s">
        <v>209</v>
      </c>
      <c r="S74" t="s">
        <v>3</v>
      </c>
      <c r="T74" t="str">
        <f>J93</f>
        <v>「あなたがライフを得たとき、あなたの各クリーチャーは+4/0の修正を受ける」を持つサポート(シールド数5)を生成する。</v>
      </c>
    </row>
    <row r="75" spans="1:20" x14ac:dyDescent="0.15">
      <c r="A75" t="str">
        <f t="shared" si="15"/>
        <v>|Lv56|Lv4|6|あなたがコントロールするクリーチャー1体につき4点のライフと2マナを得る。|</v>
      </c>
      <c r="B75" t="s">
        <v>3</v>
      </c>
      <c r="C75" t="s">
        <v>250</v>
      </c>
      <c r="E75" t="s">
        <v>3</v>
      </c>
      <c r="F75" t="s">
        <v>33</v>
      </c>
      <c r="G75" t="s">
        <v>3</v>
      </c>
      <c r="H75">
        <v>6</v>
      </c>
      <c r="I75" t="s">
        <v>3</v>
      </c>
      <c r="J75" t="s">
        <v>469</v>
      </c>
      <c r="K75" t="s">
        <v>3</v>
      </c>
    </row>
    <row r="76" spans="1:20" x14ac:dyDescent="0.15">
      <c r="A76" t="str">
        <f t="shared" si="15"/>
        <v>&amp;br;</v>
      </c>
      <c r="B76" t="s">
        <v>0</v>
      </c>
    </row>
    <row r="77" spans="1:20" x14ac:dyDescent="0.15">
      <c r="A77" t="str">
        <f t="shared" si="15"/>
        <v>&amp;br;</v>
      </c>
      <c r="B77" t="s">
        <v>0</v>
      </c>
    </row>
    <row r="78" spans="1:20" x14ac:dyDescent="0.15">
      <c r="A78" t="str">
        <f t="shared" si="15"/>
        <v>**第2能力：吸血の力/Vampiric Power</v>
      </c>
      <c r="B78" t="s">
        <v>34</v>
      </c>
      <c r="D78" t="s">
        <v>470</v>
      </c>
    </row>
    <row r="79" spans="1:20" x14ac:dyDescent="0.15">
      <c r="A79" t="str">
        <f t="shared" si="15"/>
        <v>|LEFT:50|LEFT:50|LEFT:50|LEFT:300|c</v>
      </c>
      <c r="B79" t="s">
        <v>3</v>
      </c>
      <c r="C79" t="s">
        <v>4</v>
      </c>
      <c r="E79" t="s">
        <v>3</v>
      </c>
      <c r="F79" t="s">
        <v>4</v>
      </c>
      <c r="G79" t="s">
        <v>3</v>
      </c>
      <c r="H79" t="s">
        <v>4</v>
      </c>
      <c r="I79" t="s">
        <v>3</v>
      </c>
      <c r="J79" t="s">
        <v>26</v>
      </c>
      <c r="K79" t="s">
        <v>3</v>
      </c>
      <c r="L79" t="s">
        <v>5</v>
      </c>
    </row>
    <row r="80" spans="1:20" x14ac:dyDescent="0.15">
      <c r="A80" t="str">
        <f t="shared" si="15"/>
        <v>|解放Lv|レベル|コスト|効果|</v>
      </c>
      <c r="B80" t="s">
        <v>3</v>
      </c>
      <c r="C80" t="s">
        <v>27</v>
      </c>
      <c r="E80" t="s">
        <v>3</v>
      </c>
      <c r="F80" t="s">
        <v>6</v>
      </c>
      <c r="G80" t="s">
        <v>3</v>
      </c>
      <c r="H80" t="s">
        <v>28</v>
      </c>
      <c r="I80" t="s">
        <v>3</v>
      </c>
      <c r="J80" t="s">
        <v>29</v>
      </c>
      <c r="K80" t="s">
        <v>3</v>
      </c>
    </row>
    <row r="81" spans="1:12" x14ac:dyDescent="0.15">
      <c r="A81" t="str">
        <f t="shared" si="15"/>
        <v>|Lv12|Lv1|15|「あなたがコントロールする各クリーチャーが攻撃したとき、あなたは1点のライフを得る」を持つサポート(シールド数3)を生成する。|</v>
      </c>
      <c r="B81" t="s">
        <v>3</v>
      </c>
      <c r="C81" t="s">
        <v>254</v>
      </c>
      <c r="E81" t="s">
        <v>3</v>
      </c>
      <c r="F81" t="s">
        <v>30</v>
      </c>
      <c r="G81" t="s">
        <v>3</v>
      </c>
      <c r="H81">
        <v>15</v>
      </c>
      <c r="I81" t="s">
        <v>3</v>
      </c>
      <c r="J81" t="s">
        <v>471</v>
      </c>
      <c r="K81" t="s">
        <v>3</v>
      </c>
    </row>
    <row r="82" spans="1:12" x14ac:dyDescent="0.15">
      <c r="A82" t="str">
        <f t="shared" si="15"/>
        <v>|Lv30|Lv2|15|「あなたがコントロールする各クリーチャーが攻撃したとき、あなたは2点のライフを得る」を持つサポート(シールド数3)を生成する。|</v>
      </c>
      <c r="B82" t="s">
        <v>3</v>
      </c>
      <c r="C82" t="s">
        <v>256</v>
      </c>
      <c r="E82" t="s">
        <v>3</v>
      </c>
      <c r="F82" t="s">
        <v>31</v>
      </c>
      <c r="G82" t="s">
        <v>3</v>
      </c>
      <c r="H82">
        <v>15</v>
      </c>
      <c r="I82" t="s">
        <v>3</v>
      </c>
      <c r="J82" t="s">
        <v>472</v>
      </c>
      <c r="K82" t="s">
        <v>3</v>
      </c>
    </row>
    <row r="83" spans="1:12" x14ac:dyDescent="0.15">
      <c r="A83" t="str">
        <f t="shared" si="15"/>
        <v>|Lv46|Lv3|15|「あなたがコントロールする各クリーチャーが攻撃したとき、あなたは3点のライフを得る」を持つサポート(シールド数3)を生成する。|</v>
      </c>
      <c r="B83" t="s">
        <v>3</v>
      </c>
      <c r="C83" t="s">
        <v>258</v>
      </c>
      <c r="E83" t="s">
        <v>3</v>
      </c>
      <c r="F83" t="s">
        <v>32</v>
      </c>
      <c r="G83" t="s">
        <v>3</v>
      </c>
      <c r="H83">
        <v>15</v>
      </c>
      <c r="I83" t="s">
        <v>3</v>
      </c>
      <c r="J83" t="s">
        <v>473</v>
      </c>
      <c r="K83" t="s">
        <v>3</v>
      </c>
    </row>
    <row r="84" spans="1:12" x14ac:dyDescent="0.15">
      <c r="A84" t="str">
        <f t="shared" si="15"/>
        <v>|Lv58|Lv4|15|「あなたがコントロールする各クリーチャーが攻撃したとき、あなたは4点のライフを得る」を持つサポート(シールド数3)を生成する。|</v>
      </c>
      <c r="B84" t="s">
        <v>3</v>
      </c>
      <c r="C84" t="s">
        <v>260</v>
      </c>
      <c r="E84" t="s">
        <v>3</v>
      </c>
      <c r="F84" t="s">
        <v>33</v>
      </c>
      <c r="G84" t="s">
        <v>3</v>
      </c>
      <c r="H84">
        <v>15</v>
      </c>
      <c r="I84" t="s">
        <v>3</v>
      </c>
      <c r="J84" t="s">
        <v>474</v>
      </c>
      <c r="K84" t="s">
        <v>3</v>
      </c>
    </row>
    <row r="85" spans="1:12" x14ac:dyDescent="0.15">
      <c r="A85" t="str">
        <f t="shared" si="15"/>
        <v>&amp;br;</v>
      </c>
      <c r="B85" t="s">
        <v>0</v>
      </c>
    </row>
    <row r="86" spans="1:12" x14ac:dyDescent="0.15">
      <c r="A86" t="str">
        <f t="shared" si="15"/>
        <v>&amp;br;</v>
      </c>
      <c r="B86" t="s">
        <v>0</v>
      </c>
    </row>
    <row r="87" spans="1:12" x14ac:dyDescent="0.15">
      <c r="A87" t="str">
        <f t="shared" si="15"/>
        <v>**第3能力：吸血鬼の力/Vampiric Embrace</v>
      </c>
      <c r="B87" t="s">
        <v>35</v>
      </c>
      <c r="D87" t="s">
        <v>475</v>
      </c>
    </row>
    <row r="88" spans="1:12" x14ac:dyDescent="0.15">
      <c r="A88" t="str">
        <f t="shared" ref="A88:A171" si="16">B88&amp;C88&amp;D88&amp;E88&amp;F88&amp;G88&amp;H88&amp;I88&amp;J88&amp;K88&amp;L88&amp;M88&amp;N88&amp;O88&amp;P88</f>
        <v>|LEFT:50|LEFT:50|LEFT:50|LEFT:300|c</v>
      </c>
      <c r="B88" t="s">
        <v>3</v>
      </c>
      <c r="C88" t="s">
        <v>4</v>
      </c>
      <c r="E88" t="s">
        <v>3</v>
      </c>
      <c r="F88" t="s">
        <v>4</v>
      </c>
      <c r="G88" t="s">
        <v>3</v>
      </c>
      <c r="H88" t="s">
        <v>4</v>
      </c>
      <c r="I88" t="s">
        <v>3</v>
      </c>
      <c r="J88" t="s">
        <v>26</v>
      </c>
      <c r="K88" t="s">
        <v>3</v>
      </c>
      <c r="L88" t="s">
        <v>5</v>
      </c>
    </row>
    <row r="89" spans="1:12" x14ac:dyDescent="0.15">
      <c r="A89" t="str">
        <f t="shared" si="16"/>
        <v>|解放Lv|レベル|コスト|効果|</v>
      </c>
      <c r="B89" t="s">
        <v>3</v>
      </c>
      <c r="C89" t="s">
        <v>27</v>
      </c>
      <c r="E89" t="s">
        <v>3</v>
      </c>
      <c r="F89" t="s">
        <v>6</v>
      </c>
      <c r="G89" t="s">
        <v>3</v>
      </c>
      <c r="H89" t="s">
        <v>28</v>
      </c>
      <c r="I89" t="s">
        <v>3</v>
      </c>
      <c r="J89" t="s">
        <v>29</v>
      </c>
      <c r="K89" t="s">
        <v>3</v>
      </c>
    </row>
    <row r="90" spans="1:12" x14ac:dyDescent="0.15">
      <c r="A90" t="str">
        <f t="shared" si="16"/>
        <v>|Lv18|Lv1|21|「あなたがライフを得たとき、あなたの各クリーチャーは+1/0の修正を受ける」を持つサポート(シールド数5)を生成する。|</v>
      </c>
      <c r="B90" t="s">
        <v>3</v>
      </c>
      <c r="C90" t="s">
        <v>264</v>
      </c>
      <c r="E90" t="s">
        <v>3</v>
      </c>
      <c r="F90" t="s">
        <v>30</v>
      </c>
      <c r="G90" t="s">
        <v>3</v>
      </c>
      <c r="H90">
        <v>21</v>
      </c>
      <c r="I90" t="s">
        <v>3</v>
      </c>
      <c r="J90" t="s">
        <v>476</v>
      </c>
      <c r="K90" t="s">
        <v>3</v>
      </c>
    </row>
    <row r="91" spans="1:12" x14ac:dyDescent="0.15">
      <c r="A91" t="str">
        <f t="shared" si="16"/>
        <v>|Lv36|Lv2|21|「あなたがライフを得たとき、あなたの各クリーチャーは+2/0の修正を受ける」を持つサポート(シールド数5)を生成する。|</v>
      </c>
      <c r="B91" t="s">
        <v>3</v>
      </c>
      <c r="C91" t="s">
        <v>266</v>
      </c>
      <c r="E91" t="s">
        <v>3</v>
      </c>
      <c r="F91" t="s">
        <v>31</v>
      </c>
      <c r="G91" t="s">
        <v>3</v>
      </c>
      <c r="H91">
        <v>21</v>
      </c>
      <c r="I91" t="s">
        <v>3</v>
      </c>
      <c r="J91" t="s">
        <v>477</v>
      </c>
      <c r="K91" t="s">
        <v>3</v>
      </c>
    </row>
    <row r="92" spans="1:12" x14ac:dyDescent="0.15">
      <c r="A92" t="str">
        <f t="shared" si="16"/>
        <v>|Lv52|Lv3|21|「あなたがライフを得たとき、あなたの各クリーチャーは+3/0の修正を受ける」を持つサポート(シールド数5)を生成する。|</v>
      </c>
      <c r="B92" t="s">
        <v>3</v>
      </c>
      <c r="C92" t="s">
        <v>268</v>
      </c>
      <c r="E92" t="s">
        <v>3</v>
      </c>
      <c r="F92" t="s">
        <v>32</v>
      </c>
      <c r="G92" t="s">
        <v>3</v>
      </c>
      <c r="H92">
        <v>21</v>
      </c>
      <c r="I92" t="s">
        <v>3</v>
      </c>
      <c r="J92" t="s">
        <v>478</v>
      </c>
      <c r="K92" t="s">
        <v>3</v>
      </c>
    </row>
    <row r="93" spans="1:12" x14ac:dyDescent="0.15">
      <c r="A93" t="str">
        <f t="shared" si="16"/>
        <v>|Lv60|Lv4|21|「あなたがライフを得たとき、あなたの各クリーチャーは+4/0の修正を受ける」を持つサポート(シールド数5)を生成する。|</v>
      </c>
      <c r="B93" t="s">
        <v>3</v>
      </c>
      <c r="C93" t="s">
        <v>270</v>
      </c>
      <c r="E93" t="s">
        <v>3</v>
      </c>
      <c r="F93" t="s">
        <v>33</v>
      </c>
      <c r="G93" t="s">
        <v>3</v>
      </c>
      <c r="H93">
        <v>21</v>
      </c>
      <c r="I93" t="s">
        <v>3</v>
      </c>
      <c r="J93" t="s">
        <v>479</v>
      </c>
      <c r="K93" t="s">
        <v>3</v>
      </c>
    </row>
    <row r="94" spans="1:12" x14ac:dyDescent="0.15">
      <c r="A94" t="str">
        <f t="shared" si="16"/>
        <v>&amp;br;</v>
      </c>
      <c r="B94" t="s">
        <v>0</v>
      </c>
    </row>
    <row r="95" spans="1:12" x14ac:dyDescent="0.15">
      <c r="A95" t="str">
        <f t="shared" si="16"/>
        <v>&amp;br;</v>
      </c>
      <c r="B95" t="s">
        <v>0</v>
      </c>
    </row>
    <row r="96" spans="1:12" x14ac:dyDescent="0.15">
      <c r="A96" t="str">
        <f t="shared" si="16"/>
        <v>**旧能力</v>
      </c>
      <c r="B96" t="s">
        <v>480</v>
      </c>
    </row>
    <row r="97" spans="1:12" x14ac:dyDescent="0.15">
      <c r="A97" t="str">
        <f t="shared" si="16"/>
        <v>v1.7より修正が入った。以下は修正前の能力。第3能力は変更なし。</v>
      </c>
      <c r="B97" t="s">
        <v>481</v>
      </c>
    </row>
    <row r="98" spans="1:12" x14ac:dyDescent="0.15">
      <c r="A98" t="str">
        <f t="shared" si="16"/>
        <v>**第1能力：吸血鬼の吸収/Vampiric Drain</v>
      </c>
      <c r="B98" t="s">
        <v>24</v>
      </c>
      <c r="D98" t="s">
        <v>465</v>
      </c>
    </row>
    <row r="99" spans="1:12" x14ac:dyDescent="0.15">
      <c r="A99" t="str">
        <f t="shared" si="16"/>
        <v>|LEFT:50|LEFT:50|LEFT:50|LEFT:300|c</v>
      </c>
      <c r="B99" t="s">
        <v>3</v>
      </c>
      <c r="C99" t="s">
        <v>4</v>
      </c>
      <c r="E99" t="s">
        <v>3</v>
      </c>
      <c r="F99" t="s">
        <v>4</v>
      </c>
      <c r="G99" t="s">
        <v>3</v>
      </c>
      <c r="H99" t="s">
        <v>4</v>
      </c>
      <c r="I99" t="s">
        <v>3</v>
      </c>
      <c r="J99" t="s">
        <v>26</v>
      </c>
      <c r="K99" t="s">
        <v>3</v>
      </c>
      <c r="L99" t="s">
        <v>5</v>
      </c>
    </row>
    <row r="100" spans="1:12" x14ac:dyDescent="0.15">
      <c r="A100" t="str">
        <f t="shared" si="16"/>
        <v>|解放Lv|レベル|コスト|効果|</v>
      </c>
      <c r="B100" t="s">
        <v>3</v>
      </c>
      <c r="C100" t="s">
        <v>27</v>
      </c>
      <c r="E100" t="s">
        <v>3</v>
      </c>
      <c r="F100" t="s">
        <v>6</v>
      </c>
      <c r="G100" t="s">
        <v>3</v>
      </c>
      <c r="H100" t="s">
        <v>28</v>
      </c>
      <c r="I100" t="s">
        <v>3</v>
      </c>
      <c r="J100" t="s">
        <v>29</v>
      </c>
      <c r="K100" t="s">
        <v>3</v>
      </c>
    </row>
    <row r="101" spans="1:12" x14ac:dyDescent="0.15">
      <c r="A101" t="str">
        <f t="shared" si="16"/>
        <v>|Lv6|Lv1|9|あなたがコントロールするクリーチャーすべてに1点のダメージを与え、あなたがコントロールするクリーチャー1体につき1点のライフを得る。|</v>
      </c>
      <c r="B101" t="s">
        <v>3</v>
      </c>
      <c r="C101" t="s">
        <v>244</v>
      </c>
      <c r="E101" t="s">
        <v>3</v>
      </c>
      <c r="F101" t="s">
        <v>30</v>
      </c>
      <c r="G101" t="s">
        <v>3</v>
      </c>
      <c r="H101">
        <v>9</v>
      </c>
      <c r="I101" t="s">
        <v>3</v>
      </c>
      <c r="J101" t="s">
        <v>482</v>
      </c>
      <c r="K101" t="s">
        <v>3</v>
      </c>
    </row>
    <row r="102" spans="1:12" x14ac:dyDescent="0.15">
      <c r="A102" t="str">
        <f t="shared" si="16"/>
        <v>|Lv24|Lv2|9|あなたがコントロールするクリーチャーすべてに1点のダメージを与え、あなたがコントロールするクリーチャー1体につき2点のライフを得る。|</v>
      </c>
      <c r="B102" t="s">
        <v>3</v>
      </c>
      <c r="C102" t="s">
        <v>246</v>
      </c>
      <c r="E102" t="s">
        <v>3</v>
      </c>
      <c r="F102" t="s">
        <v>31</v>
      </c>
      <c r="G102" t="s">
        <v>3</v>
      </c>
      <c r="H102">
        <v>9</v>
      </c>
      <c r="I102" t="s">
        <v>3</v>
      </c>
      <c r="J102" t="s">
        <v>483</v>
      </c>
      <c r="K102" t="s">
        <v>3</v>
      </c>
    </row>
    <row r="103" spans="1:12" x14ac:dyDescent="0.15">
      <c r="A103" t="str">
        <f t="shared" si="16"/>
        <v>|Lv40|Lv3|9|あなたがコントロールするクリーチャーすべてに1点のダメージを与え、あなたがコントロールするクリーチャー1体につき3点のライフを得る。|</v>
      </c>
      <c r="B103" t="s">
        <v>3</v>
      </c>
      <c r="C103" t="s">
        <v>248</v>
      </c>
      <c r="E103" t="s">
        <v>3</v>
      </c>
      <c r="F103" t="s">
        <v>32</v>
      </c>
      <c r="G103" t="s">
        <v>3</v>
      </c>
      <c r="H103">
        <v>9</v>
      </c>
      <c r="I103" t="s">
        <v>3</v>
      </c>
      <c r="J103" t="s">
        <v>484</v>
      </c>
      <c r="K103" t="s">
        <v>3</v>
      </c>
    </row>
    <row r="104" spans="1:12" x14ac:dyDescent="0.15">
      <c r="A104" t="str">
        <f t="shared" si="16"/>
        <v>|Lv56|Lv4|9|あなたがコントロールするクリーチャーすべてに1点のダメージを与え、あなたがコントロールするクリーチャー1体につき4点のライフを得る。|</v>
      </c>
      <c r="B104" t="s">
        <v>3</v>
      </c>
      <c r="C104" t="s">
        <v>250</v>
      </c>
      <c r="E104" t="s">
        <v>3</v>
      </c>
      <c r="F104" t="s">
        <v>33</v>
      </c>
      <c r="G104" t="s">
        <v>3</v>
      </c>
      <c r="H104">
        <v>9</v>
      </c>
      <c r="I104" t="s">
        <v>3</v>
      </c>
      <c r="J104" t="s">
        <v>485</v>
      </c>
      <c r="K104" t="s">
        <v>3</v>
      </c>
    </row>
    <row r="105" spans="1:12" x14ac:dyDescent="0.15">
      <c r="A105" t="str">
        <f t="shared" si="16"/>
        <v>&amp;br;</v>
      </c>
      <c r="B105" t="s">
        <v>0</v>
      </c>
    </row>
    <row r="106" spans="1:12" x14ac:dyDescent="0.15">
      <c r="A106" t="str">
        <f t="shared" si="16"/>
        <v>&amp;br;</v>
      </c>
      <c r="B106" t="s">
        <v>0</v>
      </c>
    </row>
    <row r="107" spans="1:12" x14ac:dyDescent="0.15">
      <c r="A107" t="str">
        <f t="shared" si="16"/>
        <v>**第2能力：再生/Regenerate</v>
      </c>
      <c r="B107" t="s">
        <v>34</v>
      </c>
      <c r="D107" t="s">
        <v>486</v>
      </c>
      <c r="E107" t="s">
        <v>25</v>
      </c>
      <c r="F107" t="s">
        <v>487</v>
      </c>
    </row>
    <row r="108" spans="1:12" x14ac:dyDescent="0.15">
      <c r="A108" t="str">
        <f t="shared" si="16"/>
        <v>|LEFT:50|LEFT:50|LEFT:50|LEFT:300|c</v>
      </c>
      <c r="B108" t="s">
        <v>3</v>
      </c>
      <c r="C108" t="s">
        <v>4</v>
      </c>
      <c r="E108" t="s">
        <v>3</v>
      </c>
      <c r="F108" t="s">
        <v>4</v>
      </c>
      <c r="G108" t="s">
        <v>3</v>
      </c>
      <c r="H108" t="s">
        <v>4</v>
      </c>
      <c r="I108" t="s">
        <v>3</v>
      </c>
      <c r="J108" t="s">
        <v>26</v>
      </c>
      <c r="K108" t="s">
        <v>3</v>
      </c>
      <c r="L108" t="s">
        <v>5</v>
      </c>
    </row>
    <row r="109" spans="1:12" x14ac:dyDescent="0.15">
      <c r="A109" t="str">
        <f t="shared" si="16"/>
        <v>|解放Lv|レベル|コスト|効果|</v>
      </c>
      <c r="B109" t="s">
        <v>3</v>
      </c>
      <c r="C109" t="s">
        <v>27</v>
      </c>
      <c r="E109" t="s">
        <v>3</v>
      </c>
      <c r="F109" t="s">
        <v>6</v>
      </c>
      <c r="G109" t="s">
        <v>3</v>
      </c>
      <c r="H109" t="s">
        <v>28</v>
      </c>
      <c r="I109" t="s">
        <v>3</v>
      </c>
      <c r="J109" t="s">
        <v>29</v>
      </c>
      <c r="K109" t="s">
        <v>3</v>
      </c>
    </row>
    <row r="110" spans="1:12" x14ac:dyDescent="0.15">
      <c r="A110" t="str">
        <f t="shared" si="16"/>
        <v>|Lv12|Lv1|12|あなたがコントロールするサポート1つにつき1点のライフを得、あなたがコントロールするサポートをすべて破壊する。|</v>
      </c>
      <c r="B110" t="s">
        <v>3</v>
      </c>
      <c r="C110" t="s">
        <v>254</v>
      </c>
      <c r="E110" t="s">
        <v>3</v>
      </c>
      <c r="F110" t="s">
        <v>30</v>
      </c>
      <c r="G110" t="s">
        <v>3</v>
      </c>
      <c r="H110">
        <v>12</v>
      </c>
      <c r="I110" t="s">
        <v>3</v>
      </c>
      <c r="J110" t="s">
        <v>488</v>
      </c>
      <c r="K110" t="s">
        <v>3</v>
      </c>
    </row>
    <row r="111" spans="1:12" x14ac:dyDescent="0.15">
      <c r="A111" t="str">
        <f t="shared" si="16"/>
        <v>|Lv30|Lv2|12|あなたがコントロールするサポート1つにつき2点のライフを得、あなたがコントロールするサポートをすべて破壊する。|</v>
      </c>
      <c r="B111" t="s">
        <v>3</v>
      </c>
      <c r="C111" t="s">
        <v>256</v>
      </c>
      <c r="E111" t="s">
        <v>3</v>
      </c>
      <c r="F111" t="s">
        <v>31</v>
      </c>
      <c r="G111" t="s">
        <v>3</v>
      </c>
      <c r="H111">
        <v>12</v>
      </c>
      <c r="I111" t="s">
        <v>3</v>
      </c>
      <c r="J111" t="s">
        <v>489</v>
      </c>
      <c r="K111" t="s">
        <v>3</v>
      </c>
    </row>
    <row r="112" spans="1:12" x14ac:dyDescent="0.15">
      <c r="A112" t="str">
        <f t="shared" si="16"/>
        <v>|Lv46|Lv3|12|あなたがコントロールするサポート1つにつき4点のライフを得、あなたがコントロールするサポートをすべて破壊する。|</v>
      </c>
      <c r="B112" t="s">
        <v>3</v>
      </c>
      <c r="C112" t="s">
        <v>258</v>
      </c>
      <c r="E112" t="s">
        <v>3</v>
      </c>
      <c r="F112" t="s">
        <v>32</v>
      </c>
      <c r="G112" t="s">
        <v>3</v>
      </c>
      <c r="H112">
        <v>12</v>
      </c>
      <c r="I112" t="s">
        <v>3</v>
      </c>
      <c r="J112" t="s">
        <v>490</v>
      </c>
      <c r="K112" t="s">
        <v>3</v>
      </c>
    </row>
    <row r="113" spans="1:17" x14ac:dyDescent="0.15">
      <c r="A113" t="str">
        <f t="shared" si="16"/>
        <v>|Lv58|Lv4|12|あなたがコントロールするサポート1つにつき8点のライフを得、あなたがコントロールするサポートをすべて破壊する。|</v>
      </c>
      <c r="B113" t="s">
        <v>3</v>
      </c>
      <c r="C113" t="s">
        <v>260</v>
      </c>
      <c r="E113" t="s">
        <v>3</v>
      </c>
      <c r="F113" t="s">
        <v>33</v>
      </c>
      <c r="G113" t="s">
        <v>3</v>
      </c>
      <c r="H113">
        <v>12</v>
      </c>
      <c r="I113" t="s">
        <v>3</v>
      </c>
      <c r="J113" t="s">
        <v>491</v>
      </c>
      <c r="K113" t="s">
        <v>3</v>
      </c>
    </row>
    <row r="114" spans="1:17" x14ac:dyDescent="0.15">
      <c r="A114" t="str">
        <f t="shared" si="16"/>
        <v>&amp;br;</v>
      </c>
      <c r="B114" t="s">
        <v>0</v>
      </c>
    </row>
    <row r="115" spans="1:17" x14ac:dyDescent="0.15">
      <c r="A115" t="str">
        <f t="shared" si="16"/>
        <v>&amp;br;</v>
      </c>
      <c r="B115" t="s">
        <v>0</v>
      </c>
    </row>
    <row r="116" spans="1:17" x14ac:dyDescent="0.15">
      <c r="A116" t="str">
        <f t="shared" si="16"/>
        <v>*レベルアップ報酬一覧 [#k0cef29c]</v>
      </c>
      <c r="B116" t="s">
        <v>36</v>
      </c>
    </row>
    <row r="117" spans="1:17" x14ac:dyDescent="0.15">
      <c r="A117" t="str">
        <f t="shared" si="16"/>
        <v>|LEFT:50|LEFT:100|c</v>
      </c>
      <c r="B117" t="s">
        <v>3</v>
      </c>
      <c r="C117" t="s">
        <v>4</v>
      </c>
      <c r="E117" t="s">
        <v>3</v>
      </c>
      <c r="F117" t="s">
        <v>37</v>
      </c>
      <c r="I117" t="s">
        <v>3</v>
      </c>
      <c r="J117" t="s">
        <v>5</v>
      </c>
    </row>
    <row r="118" spans="1:17" x14ac:dyDescent="0.15">
      <c r="A118" t="str">
        <f t="shared" si="16"/>
        <v>|レベル|報酬|</v>
      </c>
      <c r="B118" t="s">
        <v>3</v>
      </c>
      <c r="C118" t="s">
        <v>6</v>
      </c>
      <c r="E118" t="s">
        <v>3</v>
      </c>
      <c r="F118" t="s">
        <v>38</v>
      </c>
      <c r="I118" t="s">
        <v>3</v>
      </c>
      <c r="Q118" t="s">
        <v>7</v>
      </c>
    </row>
    <row r="119" spans="1:17" x14ac:dyDescent="0.15">
      <c r="A119" t="str">
        <f t="shared" si="16"/>
        <v>|Lｖ2|サポート+1|</v>
      </c>
      <c r="B119" t="s">
        <v>3</v>
      </c>
      <c r="C119" t="s">
        <v>39</v>
      </c>
      <c r="D119">
        <v>2</v>
      </c>
      <c r="E119" t="s">
        <v>3</v>
      </c>
      <c r="F119" t="s">
        <v>22</v>
      </c>
      <c r="G119" t="str">
        <f>IF(OR(F119=$Q$127,F119=$Q$128,F119=$Q$129,F119=$Q$130,ISBLANK(F119)),"","+")</f>
        <v>+</v>
      </c>
      <c r="H119">
        <v>1</v>
      </c>
      <c r="I119" t="s">
        <v>3</v>
      </c>
      <c r="Q119" t="s">
        <v>20</v>
      </c>
    </row>
    <row r="120" spans="1:17" x14ac:dyDescent="0.15">
      <c r="A120" t="str">
        <f t="shared" si="16"/>
        <v>|Lｖ3|HP+2|</v>
      </c>
      <c r="B120" t="s">
        <v>3</v>
      </c>
      <c r="C120" t="s">
        <v>39</v>
      </c>
      <c r="D120">
        <v>3</v>
      </c>
      <c r="E120" t="s">
        <v>3</v>
      </c>
      <c r="F120" t="s">
        <v>7</v>
      </c>
      <c r="G120" t="str">
        <f t="shared" ref="G120:G176" si="17">IF(OR(F120=$Q$127,F120=$Q$128,F120=$Q$129,F120=$Q$130,ISBLANK(F120)),"","+")</f>
        <v>+</v>
      </c>
      <c r="H120">
        <v>2</v>
      </c>
      <c r="I120" t="s">
        <v>3</v>
      </c>
      <c r="Q120" t="s">
        <v>21</v>
      </c>
    </row>
    <row r="121" spans="1:17" x14ac:dyDescent="0.15">
      <c r="A121" t="str">
        <f t="shared" si="16"/>
        <v>|Lｖ4|黒+1|</v>
      </c>
      <c r="B121" t="s">
        <v>3</v>
      </c>
      <c r="C121" t="s">
        <v>39</v>
      </c>
      <c r="D121">
        <v>4</v>
      </c>
      <c r="E121" t="s">
        <v>3</v>
      </c>
      <c r="F121" t="s">
        <v>13</v>
      </c>
      <c r="G121" t="str">
        <f t="shared" si="17"/>
        <v>+</v>
      </c>
      <c r="H121">
        <v>1</v>
      </c>
      <c r="I121" t="s">
        <v>3</v>
      </c>
      <c r="Q121" t="s">
        <v>22</v>
      </c>
    </row>
    <row r="122" spans="1:17" x14ac:dyDescent="0.15">
      <c r="A122" t="str">
        <f t="shared" si="16"/>
        <v>|Lｖ5|HP+3|</v>
      </c>
      <c r="B122" t="s">
        <v>3</v>
      </c>
      <c r="C122" t="s">
        <v>39</v>
      </c>
      <c r="D122">
        <v>5</v>
      </c>
      <c r="E122" t="s">
        <v>3</v>
      </c>
      <c r="F122" t="s">
        <v>7</v>
      </c>
      <c r="G122" t="str">
        <f t="shared" si="17"/>
        <v>+</v>
      </c>
      <c r="H122">
        <v>3</v>
      </c>
      <c r="I122" t="s">
        <v>3</v>
      </c>
      <c r="Q122" t="s">
        <v>11</v>
      </c>
    </row>
    <row r="123" spans="1:17" x14ac:dyDescent="0.15">
      <c r="A123" t="str">
        <f t="shared" si="16"/>
        <v>|Lｖ6|第1能力Lv1|</v>
      </c>
      <c r="B123" t="s">
        <v>3</v>
      </c>
      <c r="C123" t="s">
        <v>39</v>
      </c>
      <c r="D123">
        <v>6</v>
      </c>
      <c r="E123" t="s">
        <v>3</v>
      </c>
      <c r="F123" t="s">
        <v>40</v>
      </c>
      <c r="G123" t="str">
        <f t="shared" si="17"/>
        <v/>
      </c>
      <c r="H123">
        <v>1</v>
      </c>
      <c r="I123" t="s">
        <v>3</v>
      </c>
      <c r="Q123" t="s">
        <v>12</v>
      </c>
    </row>
    <row r="124" spans="1:17" x14ac:dyDescent="0.15">
      <c r="A124" t="str">
        <f t="shared" si="16"/>
        <v>|Lｖ7|HP+2|</v>
      </c>
      <c r="B124" t="s">
        <v>3</v>
      </c>
      <c r="C124" t="s">
        <v>39</v>
      </c>
      <c r="D124">
        <v>7</v>
      </c>
      <c r="E124" t="s">
        <v>3</v>
      </c>
      <c r="F124" t="s">
        <v>7</v>
      </c>
      <c r="G124" t="str">
        <f t="shared" si="17"/>
        <v>+</v>
      </c>
      <c r="H124">
        <v>2</v>
      </c>
      <c r="I124" t="s">
        <v>3</v>
      </c>
      <c r="Q124" t="s">
        <v>13</v>
      </c>
    </row>
    <row r="125" spans="1:17" x14ac:dyDescent="0.15">
      <c r="A125" t="str">
        <f t="shared" si="16"/>
        <v>|Lｖ8|呪文+1|</v>
      </c>
      <c r="B125" t="s">
        <v>3</v>
      </c>
      <c r="C125" t="s">
        <v>39</v>
      </c>
      <c r="D125">
        <v>8</v>
      </c>
      <c r="E125" t="s">
        <v>3</v>
      </c>
      <c r="F125" t="s">
        <v>21</v>
      </c>
      <c r="G125" t="str">
        <f t="shared" si="17"/>
        <v>+</v>
      </c>
      <c r="H125">
        <v>1</v>
      </c>
      <c r="I125" t="s">
        <v>3</v>
      </c>
      <c r="Q125" t="s">
        <v>14</v>
      </c>
    </row>
    <row r="126" spans="1:17" x14ac:dyDescent="0.15">
      <c r="A126" t="str">
        <f t="shared" si="16"/>
        <v>|Lｖ9|HP+2|</v>
      </c>
      <c r="B126" t="s">
        <v>3</v>
      </c>
      <c r="C126" t="s">
        <v>39</v>
      </c>
      <c r="D126">
        <v>9</v>
      </c>
      <c r="E126" t="s">
        <v>3</v>
      </c>
      <c r="F126" t="s">
        <v>7</v>
      </c>
      <c r="G126" t="str">
        <f t="shared" si="17"/>
        <v>+</v>
      </c>
      <c r="H126">
        <v>2</v>
      </c>
      <c r="I126" t="s">
        <v>3</v>
      </c>
      <c r="Q126" t="s">
        <v>15</v>
      </c>
    </row>
    <row r="127" spans="1:17" x14ac:dyDescent="0.15">
      <c r="A127" t="str">
        <f t="shared" si="16"/>
        <v>|Lｖ10|青+1|</v>
      </c>
      <c r="B127" t="s">
        <v>3</v>
      </c>
      <c r="C127" t="s">
        <v>39</v>
      </c>
      <c r="D127">
        <v>10</v>
      </c>
      <c r="E127" t="s">
        <v>3</v>
      </c>
      <c r="F127" t="s">
        <v>12</v>
      </c>
      <c r="G127" t="str">
        <f t="shared" si="17"/>
        <v>+</v>
      </c>
      <c r="H127">
        <v>1</v>
      </c>
      <c r="I127" t="s">
        <v>3</v>
      </c>
      <c r="Q127" t="s">
        <v>40</v>
      </c>
    </row>
    <row r="128" spans="1:17" x14ac:dyDescent="0.15">
      <c r="A128" t="str">
        <f t="shared" si="16"/>
        <v>|Lｖ11|HP+3|</v>
      </c>
      <c r="B128" t="s">
        <v>3</v>
      </c>
      <c r="C128" t="s">
        <v>39</v>
      </c>
      <c r="D128">
        <v>11</v>
      </c>
      <c r="E128" t="s">
        <v>3</v>
      </c>
      <c r="F128" t="s">
        <v>7</v>
      </c>
      <c r="G128" t="str">
        <f t="shared" si="17"/>
        <v>+</v>
      </c>
      <c r="H128">
        <v>3</v>
      </c>
      <c r="I128" t="s">
        <v>3</v>
      </c>
      <c r="Q128" t="s">
        <v>41</v>
      </c>
    </row>
    <row r="129" spans="1:17" x14ac:dyDescent="0.15">
      <c r="A129" t="str">
        <f t="shared" si="16"/>
        <v>|Lｖ12|第2能力Lv1|</v>
      </c>
      <c r="B129" t="s">
        <v>3</v>
      </c>
      <c r="C129" t="s">
        <v>39</v>
      </c>
      <c r="D129">
        <v>12</v>
      </c>
      <c r="E129" t="s">
        <v>3</v>
      </c>
      <c r="F129" t="s">
        <v>41</v>
      </c>
      <c r="G129" t="str">
        <f t="shared" si="17"/>
        <v/>
      </c>
      <c r="H129">
        <v>1</v>
      </c>
      <c r="I129" t="s">
        <v>3</v>
      </c>
      <c r="Q129" t="s">
        <v>42</v>
      </c>
    </row>
    <row r="130" spans="1:17" x14ac:dyDescent="0.15">
      <c r="A130" t="str">
        <f t="shared" si="16"/>
        <v>|Lｖ13|HP+2|</v>
      </c>
      <c r="B130" t="s">
        <v>3</v>
      </c>
      <c r="C130" t="s">
        <v>39</v>
      </c>
      <c r="D130">
        <v>13</v>
      </c>
      <c r="E130" t="s">
        <v>3</v>
      </c>
      <c r="F130" t="s">
        <v>7</v>
      </c>
      <c r="G130" t="str">
        <f t="shared" si="17"/>
        <v>+</v>
      </c>
      <c r="H130">
        <v>2</v>
      </c>
      <c r="I130" t="s">
        <v>3</v>
      </c>
      <c r="Q130" t="s">
        <v>43</v>
      </c>
    </row>
    <row r="131" spans="1:17" x14ac:dyDescent="0.15">
      <c r="A131" t="str">
        <f t="shared" si="16"/>
        <v>|Lｖ14|クリーチャー+1|</v>
      </c>
      <c r="B131" t="s">
        <v>3</v>
      </c>
      <c r="C131" t="s">
        <v>39</v>
      </c>
      <c r="D131">
        <v>14</v>
      </c>
      <c r="E131" t="s">
        <v>3</v>
      </c>
      <c r="F131" t="s">
        <v>20</v>
      </c>
      <c r="G131" t="str">
        <f t="shared" si="17"/>
        <v>+</v>
      </c>
      <c r="H131">
        <v>1</v>
      </c>
      <c r="I131" t="s">
        <v>3</v>
      </c>
    </row>
    <row r="132" spans="1:17" x14ac:dyDescent="0.15">
      <c r="A132" t="str">
        <f t="shared" si="16"/>
        <v>|Lｖ15|HP+2|</v>
      </c>
      <c r="B132" t="s">
        <v>3</v>
      </c>
      <c r="C132" t="s">
        <v>39</v>
      </c>
      <c r="D132">
        <v>15</v>
      </c>
      <c r="E132" t="s">
        <v>3</v>
      </c>
      <c r="F132" t="s">
        <v>7</v>
      </c>
      <c r="G132" t="str">
        <f t="shared" si="17"/>
        <v>+</v>
      </c>
      <c r="H132">
        <v>2</v>
      </c>
      <c r="I132" t="s">
        <v>3</v>
      </c>
    </row>
    <row r="133" spans="1:17" x14ac:dyDescent="0.15">
      <c r="A133" t="str">
        <f t="shared" si="16"/>
        <v>|Lｖ16|白+1|</v>
      </c>
      <c r="B133" t="s">
        <v>3</v>
      </c>
      <c r="C133" t="s">
        <v>39</v>
      </c>
      <c r="D133">
        <v>16</v>
      </c>
      <c r="E133" t="s">
        <v>3</v>
      </c>
      <c r="F133" t="s">
        <v>11</v>
      </c>
      <c r="G133" t="str">
        <f t="shared" si="17"/>
        <v>+</v>
      </c>
      <c r="H133">
        <v>1</v>
      </c>
      <c r="I133" t="s">
        <v>3</v>
      </c>
    </row>
    <row r="134" spans="1:17" x14ac:dyDescent="0.15">
      <c r="A134" t="str">
        <f t="shared" si="16"/>
        <v>|Lｖ17|HP+3|</v>
      </c>
      <c r="B134" t="s">
        <v>3</v>
      </c>
      <c r="C134" t="s">
        <v>39</v>
      </c>
      <c r="D134">
        <v>17</v>
      </c>
      <c r="E134" t="s">
        <v>3</v>
      </c>
      <c r="F134" t="s">
        <v>7</v>
      </c>
      <c r="G134" t="str">
        <f t="shared" si="17"/>
        <v>+</v>
      </c>
      <c r="H134">
        <v>3</v>
      </c>
      <c r="I134" t="s">
        <v>3</v>
      </c>
    </row>
    <row r="135" spans="1:17" x14ac:dyDescent="0.15">
      <c r="A135" t="str">
        <f t="shared" si="16"/>
        <v>|Lｖ18|第3能力Lv1|</v>
      </c>
      <c r="B135" t="s">
        <v>3</v>
      </c>
      <c r="C135" t="s">
        <v>39</v>
      </c>
      <c r="D135">
        <v>18</v>
      </c>
      <c r="E135" t="s">
        <v>3</v>
      </c>
      <c r="F135" t="s">
        <v>42</v>
      </c>
      <c r="G135" t="str">
        <f t="shared" si="17"/>
        <v/>
      </c>
      <c r="H135">
        <v>1</v>
      </c>
      <c r="I135" t="s">
        <v>3</v>
      </c>
    </row>
    <row r="136" spans="1:17" x14ac:dyDescent="0.15">
      <c r="A136" t="str">
        <f t="shared" si="16"/>
        <v>|Lｖ19|HP+2|</v>
      </c>
      <c r="B136" t="s">
        <v>3</v>
      </c>
      <c r="C136" t="s">
        <v>39</v>
      </c>
      <c r="D136">
        <v>19</v>
      </c>
      <c r="E136" t="s">
        <v>3</v>
      </c>
      <c r="F136" t="s">
        <v>7</v>
      </c>
      <c r="G136" t="str">
        <f t="shared" si="17"/>
        <v>+</v>
      </c>
      <c r="H136">
        <v>2</v>
      </c>
      <c r="I136" t="s">
        <v>3</v>
      </c>
    </row>
    <row r="137" spans="1:17" x14ac:dyDescent="0.15">
      <c r="A137" t="str">
        <f t="shared" si="16"/>
        <v>|Lｖ20|回復速度上昇|</v>
      </c>
      <c r="B137" t="s">
        <v>3</v>
      </c>
      <c r="C137" t="s">
        <v>39</v>
      </c>
      <c r="D137">
        <v>20</v>
      </c>
      <c r="E137" t="s">
        <v>3</v>
      </c>
      <c r="F137" t="s">
        <v>43</v>
      </c>
      <c r="G137" t="str">
        <f t="shared" si="17"/>
        <v/>
      </c>
      <c r="I137" t="s">
        <v>3</v>
      </c>
    </row>
    <row r="138" spans="1:17" x14ac:dyDescent="0.15">
      <c r="A138" t="str">
        <f t="shared" si="16"/>
        <v>|Lｖ21|HP+2|</v>
      </c>
      <c r="B138" t="s">
        <v>3</v>
      </c>
      <c r="C138" t="s">
        <v>39</v>
      </c>
      <c r="D138">
        <v>21</v>
      </c>
      <c r="E138" t="s">
        <v>3</v>
      </c>
      <c r="F138" t="s">
        <v>7</v>
      </c>
      <c r="G138" t="str">
        <f t="shared" si="17"/>
        <v>+</v>
      </c>
      <c r="H138">
        <v>2</v>
      </c>
      <c r="I138" t="s">
        <v>3</v>
      </c>
    </row>
    <row r="139" spans="1:17" x14ac:dyDescent="0.15">
      <c r="A139" t="str">
        <f t="shared" si="16"/>
        <v>|Lｖ22|赤+1|</v>
      </c>
      <c r="B139" t="s">
        <v>3</v>
      </c>
      <c r="C139" t="s">
        <v>39</v>
      </c>
      <c r="D139">
        <v>22</v>
      </c>
      <c r="E139" t="s">
        <v>3</v>
      </c>
      <c r="F139" t="s">
        <v>14</v>
      </c>
      <c r="G139" t="str">
        <f t="shared" si="17"/>
        <v>+</v>
      </c>
      <c r="H139">
        <v>1</v>
      </c>
      <c r="I139" t="s">
        <v>3</v>
      </c>
    </row>
    <row r="140" spans="1:17" x14ac:dyDescent="0.15">
      <c r="A140" t="str">
        <f t="shared" si="16"/>
        <v>|Lｖ23|HP+3|</v>
      </c>
      <c r="B140" t="s">
        <v>3</v>
      </c>
      <c r="C140" t="s">
        <v>39</v>
      </c>
      <c r="D140">
        <v>23</v>
      </c>
      <c r="E140" t="s">
        <v>3</v>
      </c>
      <c r="F140" t="s">
        <v>7</v>
      </c>
      <c r="G140" t="str">
        <f t="shared" si="17"/>
        <v>+</v>
      </c>
      <c r="H140">
        <v>3</v>
      </c>
      <c r="I140" t="s">
        <v>3</v>
      </c>
    </row>
    <row r="141" spans="1:17" x14ac:dyDescent="0.15">
      <c r="A141" t="str">
        <f t="shared" si="16"/>
        <v>|Lｖ24|第1能力Lv2|</v>
      </c>
      <c r="B141" t="s">
        <v>3</v>
      </c>
      <c r="C141" t="s">
        <v>39</v>
      </c>
      <c r="D141">
        <v>24</v>
      </c>
      <c r="E141" t="s">
        <v>3</v>
      </c>
      <c r="F141" t="s">
        <v>40</v>
      </c>
      <c r="G141" t="str">
        <f t="shared" si="17"/>
        <v/>
      </c>
      <c r="H141">
        <v>2</v>
      </c>
      <c r="I141" t="s">
        <v>3</v>
      </c>
    </row>
    <row r="142" spans="1:17" x14ac:dyDescent="0.15">
      <c r="A142" t="str">
        <f t="shared" si="16"/>
        <v>|Lｖ25|HP+2|</v>
      </c>
      <c r="B142" t="s">
        <v>3</v>
      </c>
      <c r="C142" t="s">
        <v>39</v>
      </c>
      <c r="D142">
        <v>25</v>
      </c>
      <c r="E142" t="s">
        <v>3</v>
      </c>
      <c r="F142" t="s">
        <v>7</v>
      </c>
      <c r="G142" t="str">
        <f t="shared" si="17"/>
        <v>+</v>
      </c>
      <c r="H142">
        <v>2</v>
      </c>
      <c r="I142" t="s">
        <v>3</v>
      </c>
    </row>
    <row r="143" spans="1:17" x14ac:dyDescent="0.15">
      <c r="A143" t="str">
        <f t="shared" si="16"/>
        <v>|Lｖ26|呪文+1|</v>
      </c>
      <c r="B143" t="s">
        <v>3</v>
      </c>
      <c r="C143" t="s">
        <v>39</v>
      </c>
      <c r="D143">
        <v>26</v>
      </c>
      <c r="E143" t="s">
        <v>3</v>
      </c>
      <c r="F143" t="s">
        <v>21</v>
      </c>
      <c r="G143" t="str">
        <f t="shared" si="17"/>
        <v>+</v>
      </c>
      <c r="H143">
        <v>1</v>
      </c>
      <c r="I143" t="s">
        <v>3</v>
      </c>
    </row>
    <row r="144" spans="1:17" x14ac:dyDescent="0.15">
      <c r="A144" t="str">
        <f t="shared" si="16"/>
        <v>|Lｖ27|HP+2|</v>
      </c>
      <c r="B144" t="s">
        <v>3</v>
      </c>
      <c r="C144" t="s">
        <v>39</v>
      </c>
      <c r="D144">
        <v>27</v>
      </c>
      <c r="E144" t="s">
        <v>3</v>
      </c>
      <c r="F144" t="s">
        <v>7</v>
      </c>
      <c r="G144" t="str">
        <f t="shared" si="17"/>
        <v>+</v>
      </c>
      <c r="H144">
        <v>2</v>
      </c>
      <c r="I144" t="s">
        <v>3</v>
      </c>
    </row>
    <row r="145" spans="1:9" x14ac:dyDescent="0.15">
      <c r="A145" t="str">
        <f t="shared" si="16"/>
        <v>|Lｖ28|緑+1|</v>
      </c>
      <c r="B145" t="s">
        <v>3</v>
      </c>
      <c r="C145" t="s">
        <v>39</v>
      </c>
      <c r="D145">
        <v>28</v>
      </c>
      <c r="E145" t="s">
        <v>3</v>
      </c>
      <c r="F145" t="s">
        <v>15</v>
      </c>
      <c r="G145" t="str">
        <f t="shared" si="17"/>
        <v>+</v>
      </c>
      <c r="H145">
        <v>1</v>
      </c>
      <c r="I145" t="s">
        <v>3</v>
      </c>
    </row>
    <row r="146" spans="1:9" x14ac:dyDescent="0.15">
      <c r="A146" t="str">
        <f t="shared" si="16"/>
        <v>|Lｖ29|HP+3|</v>
      </c>
      <c r="B146" t="s">
        <v>3</v>
      </c>
      <c r="C146" t="s">
        <v>39</v>
      </c>
      <c r="D146">
        <v>29</v>
      </c>
      <c r="E146" t="s">
        <v>3</v>
      </c>
      <c r="F146" t="s">
        <v>7</v>
      </c>
      <c r="G146" t="str">
        <f t="shared" si="17"/>
        <v>+</v>
      </c>
      <c r="H146">
        <v>3</v>
      </c>
      <c r="I146" t="s">
        <v>3</v>
      </c>
    </row>
    <row r="147" spans="1:9" x14ac:dyDescent="0.15">
      <c r="A147" t="str">
        <f t="shared" si="16"/>
        <v>|Lｖ30|第2能力Lv2|</v>
      </c>
      <c r="B147" t="s">
        <v>3</v>
      </c>
      <c r="C147" t="s">
        <v>39</v>
      </c>
      <c r="D147">
        <v>30</v>
      </c>
      <c r="E147" t="s">
        <v>3</v>
      </c>
      <c r="F147" t="s">
        <v>41</v>
      </c>
      <c r="G147" t="str">
        <f t="shared" si="17"/>
        <v/>
      </c>
      <c r="H147">
        <v>2</v>
      </c>
      <c r="I147" t="s">
        <v>3</v>
      </c>
    </row>
    <row r="148" spans="1:9" x14ac:dyDescent="0.15">
      <c r="A148" t="str">
        <f t="shared" si="16"/>
        <v>|Lｖ31|HP+2|</v>
      </c>
      <c r="B148" t="s">
        <v>3</v>
      </c>
      <c r="C148" t="s">
        <v>39</v>
      </c>
      <c r="D148">
        <v>31</v>
      </c>
      <c r="E148" t="s">
        <v>3</v>
      </c>
      <c r="F148" t="s">
        <v>7</v>
      </c>
      <c r="G148" t="str">
        <f t="shared" si="17"/>
        <v>+</v>
      </c>
      <c r="H148">
        <v>2</v>
      </c>
      <c r="I148" t="s">
        <v>3</v>
      </c>
    </row>
    <row r="149" spans="1:9" x14ac:dyDescent="0.15">
      <c r="A149" t="str">
        <f t="shared" si="16"/>
        <v>|Lｖ32|回復速度上昇|</v>
      </c>
      <c r="B149" t="s">
        <v>3</v>
      </c>
      <c r="C149" t="s">
        <v>39</v>
      </c>
      <c r="D149">
        <v>32</v>
      </c>
      <c r="E149" t="s">
        <v>3</v>
      </c>
      <c r="F149" t="s">
        <v>43</v>
      </c>
      <c r="G149" t="str">
        <f t="shared" si="17"/>
        <v/>
      </c>
      <c r="I149" t="s">
        <v>3</v>
      </c>
    </row>
    <row r="150" spans="1:9" x14ac:dyDescent="0.15">
      <c r="A150" t="str">
        <f t="shared" si="16"/>
        <v>|Lｖ33|HP+2|</v>
      </c>
      <c r="B150" t="s">
        <v>3</v>
      </c>
      <c r="C150" t="s">
        <v>39</v>
      </c>
      <c r="D150">
        <v>33</v>
      </c>
      <c r="E150" t="s">
        <v>3</v>
      </c>
      <c r="F150" t="s">
        <v>7</v>
      </c>
      <c r="G150" t="str">
        <f t="shared" si="17"/>
        <v>+</v>
      </c>
      <c r="H150">
        <v>2</v>
      </c>
      <c r="I150" t="s">
        <v>3</v>
      </c>
    </row>
    <row r="151" spans="1:9" x14ac:dyDescent="0.15">
      <c r="A151" t="str">
        <f t="shared" si="16"/>
        <v>|Lｖ34|黒+1|</v>
      </c>
      <c r="B151" t="s">
        <v>3</v>
      </c>
      <c r="C151" t="s">
        <v>39</v>
      </c>
      <c r="D151">
        <v>34</v>
      </c>
      <c r="E151" t="s">
        <v>3</v>
      </c>
      <c r="F151" t="s">
        <v>13</v>
      </c>
      <c r="G151" t="str">
        <f t="shared" si="17"/>
        <v>+</v>
      </c>
      <c r="H151">
        <v>1</v>
      </c>
      <c r="I151" t="s">
        <v>3</v>
      </c>
    </row>
    <row r="152" spans="1:9" x14ac:dyDescent="0.15">
      <c r="A152" t="str">
        <f t="shared" si="16"/>
        <v>|Lｖ35|HP+3|</v>
      </c>
      <c r="B152" t="s">
        <v>3</v>
      </c>
      <c r="C152" t="s">
        <v>39</v>
      </c>
      <c r="D152">
        <v>35</v>
      </c>
      <c r="E152" t="s">
        <v>3</v>
      </c>
      <c r="F152" t="s">
        <v>7</v>
      </c>
      <c r="G152" t="str">
        <f t="shared" si="17"/>
        <v>+</v>
      </c>
      <c r="H152">
        <v>3</v>
      </c>
      <c r="I152" t="s">
        <v>3</v>
      </c>
    </row>
    <row r="153" spans="1:9" x14ac:dyDescent="0.15">
      <c r="A153" t="str">
        <f t="shared" si="16"/>
        <v>|Lｖ36|第3能力Lv2|</v>
      </c>
      <c r="B153" t="s">
        <v>3</v>
      </c>
      <c r="C153" t="s">
        <v>39</v>
      </c>
      <c r="D153">
        <v>36</v>
      </c>
      <c r="E153" t="s">
        <v>3</v>
      </c>
      <c r="F153" t="s">
        <v>42</v>
      </c>
      <c r="G153" t="str">
        <f t="shared" si="17"/>
        <v/>
      </c>
      <c r="H153">
        <v>2</v>
      </c>
      <c r="I153" t="s">
        <v>3</v>
      </c>
    </row>
    <row r="154" spans="1:9" x14ac:dyDescent="0.15">
      <c r="A154" t="str">
        <f t="shared" si="16"/>
        <v>|Lｖ37|HP+2|</v>
      </c>
      <c r="B154" t="s">
        <v>3</v>
      </c>
      <c r="C154" t="s">
        <v>39</v>
      </c>
      <c r="D154">
        <v>37</v>
      </c>
      <c r="E154" t="s">
        <v>3</v>
      </c>
      <c r="F154" t="s">
        <v>7</v>
      </c>
      <c r="G154" t="str">
        <f t="shared" si="17"/>
        <v>+</v>
      </c>
      <c r="H154">
        <v>2</v>
      </c>
      <c r="I154" t="s">
        <v>3</v>
      </c>
    </row>
    <row r="155" spans="1:9" x14ac:dyDescent="0.15">
      <c r="A155" t="str">
        <f t="shared" si="16"/>
        <v>|Lｖ38|クリーチャー+1|</v>
      </c>
      <c r="B155" t="s">
        <v>3</v>
      </c>
      <c r="C155" t="s">
        <v>39</v>
      </c>
      <c r="D155">
        <v>38</v>
      </c>
      <c r="E155" t="s">
        <v>3</v>
      </c>
      <c r="F155" t="s">
        <v>20</v>
      </c>
      <c r="G155" t="str">
        <f t="shared" si="17"/>
        <v>+</v>
      </c>
      <c r="H155">
        <v>1</v>
      </c>
      <c r="I155" t="s">
        <v>3</v>
      </c>
    </row>
    <row r="156" spans="1:9" x14ac:dyDescent="0.15">
      <c r="A156" t="str">
        <f t="shared" si="16"/>
        <v>|Lｖ39|HP+2|</v>
      </c>
      <c r="B156" t="s">
        <v>3</v>
      </c>
      <c r="C156" t="s">
        <v>39</v>
      </c>
      <c r="D156">
        <v>39</v>
      </c>
      <c r="E156" t="s">
        <v>3</v>
      </c>
      <c r="F156" t="s">
        <v>7</v>
      </c>
      <c r="G156" t="str">
        <f t="shared" si="17"/>
        <v>+</v>
      </c>
      <c r="H156">
        <v>2</v>
      </c>
      <c r="I156" t="s">
        <v>3</v>
      </c>
    </row>
    <row r="157" spans="1:9" x14ac:dyDescent="0.15">
      <c r="A157" t="str">
        <f t="shared" si="16"/>
        <v>|Lｖ40|第1能力Lv3|</v>
      </c>
      <c r="B157" t="s">
        <v>3</v>
      </c>
      <c r="C157" t="s">
        <v>39</v>
      </c>
      <c r="D157">
        <v>40</v>
      </c>
      <c r="E157" t="s">
        <v>3</v>
      </c>
      <c r="F157" t="s">
        <v>40</v>
      </c>
      <c r="G157" t="str">
        <f t="shared" si="17"/>
        <v/>
      </c>
      <c r="H157">
        <v>3</v>
      </c>
      <c r="I157" t="s">
        <v>3</v>
      </c>
    </row>
    <row r="158" spans="1:9" x14ac:dyDescent="0.15">
      <c r="A158" t="str">
        <f t="shared" si="16"/>
        <v>|Lｖ41|HP+3|</v>
      </c>
      <c r="B158" t="s">
        <v>3</v>
      </c>
      <c r="C158" t="s">
        <v>39</v>
      </c>
      <c r="D158">
        <v>41</v>
      </c>
      <c r="E158" t="s">
        <v>3</v>
      </c>
      <c r="F158" t="s">
        <v>7</v>
      </c>
      <c r="G158" t="str">
        <f t="shared" si="17"/>
        <v>+</v>
      </c>
      <c r="H158">
        <v>3</v>
      </c>
      <c r="I158" t="s">
        <v>3</v>
      </c>
    </row>
    <row r="159" spans="1:9" x14ac:dyDescent="0.15">
      <c r="A159" t="str">
        <f t="shared" si="16"/>
        <v>|Lｖ42|青+1|</v>
      </c>
      <c r="B159" t="s">
        <v>3</v>
      </c>
      <c r="C159" t="s">
        <v>39</v>
      </c>
      <c r="D159">
        <v>42</v>
      </c>
      <c r="E159" t="s">
        <v>3</v>
      </c>
      <c r="F159" t="s">
        <v>12</v>
      </c>
      <c r="G159" t="str">
        <f t="shared" si="17"/>
        <v>+</v>
      </c>
      <c r="H159">
        <v>1</v>
      </c>
      <c r="I159" t="s">
        <v>3</v>
      </c>
    </row>
    <row r="160" spans="1:9" x14ac:dyDescent="0.15">
      <c r="A160" t="str">
        <f t="shared" si="16"/>
        <v>|Lｖ43|HP+2|</v>
      </c>
      <c r="B160" t="s">
        <v>3</v>
      </c>
      <c r="C160" t="s">
        <v>39</v>
      </c>
      <c r="D160">
        <v>43</v>
      </c>
      <c r="E160" t="s">
        <v>3</v>
      </c>
      <c r="F160" t="s">
        <v>7</v>
      </c>
      <c r="G160" t="str">
        <f t="shared" si="17"/>
        <v>+</v>
      </c>
      <c r="H160">
        <v>2</v>
      </c>
      <c r="I160" t="s">
        <v>3</v>
      </c>
    </row>
    <row r="161" spans="1:9" x14ac:dyDescent="0.15">
      <c r="A161" t="str">
        <f t="shared" si="16"/>
        <v>|Lｖ44|回復速度上昇|</v>
      </c>
      <c r="B161" t="s">
        <v>3</v>
      </c>
      <c r="C161" t="s">
        <v>39</v>
      </c>
      <c r="D161">
        <v>44</v>
      </c>
      <c r="E161" t="s">
        <v>3</v>
      </c>
      <c r="F161" t="s">
        <v>43</v>
      </c>
      <c r="G161" t="str">
        <f t="shared" si="17"/>
        <v/>
      </c>
      <c r="I161" t="s">
        <v>3</v>
      </c>
    </row>
    <row r="162" spans="1:9" x14ac:dyDescent="0.15">
      <c r="A162" t="str">
        <f t="shared" si="16"/>
        <v>|Lｖ45|HP+2|</v>
      </c>
      <c r="B162" t="s">
        <v>3</v>
      </c>
      <c r="C162" t="s">
        <v>39</v>
      </c>
      <c r="D162">
        <v>45</v>
      </c>
      <c r="E162" t="s">
        <v>3</v>
      </c>
      <c r="F162" t="s">
        <v>7</v>
      </c>
      <c r="G162" t="str">
        <f t="shared" si="17"/>
        <v>+</v>
      </c>
      <c r="H162">
        <v>2</v>
      </c>
      <c r="I162" t="s">
        <v>3</v>
      </c>
    </row>
    <row r="163" spans="1:9" x14ac:dyDescent="0.15">
      <c r="A163" t="str">
        <f t="shared" si="16"/>
        <v>|Lｖ46|第2能力Lv3|</v>
      </c>
      <c r="B163" t="s">
        <v>3</v>
      </c>
      <c r="C163" t="s">
        <v>39</v>
      </c>
      <c r="D163">
        <v>46</v>
      </c>
      <c r="E163" t="s">
        <v>3</v>
      </c>
      <c r="F163" t="s">
        <v>41</v>
      </c>
      <c r="G163" t="str">
        <f t="shared" si="17"/>
        <v/>
      </c>
      <c r="H163">
        <v>3</v>
      </c>
      <c r="I163" t="s">
        <v>3</v>
      </c>
    </row>
    <row r="164" spans="1:9" x14ac:dyDescent="0.15">
      <c r="A164" t="str">
        <f t="shared" si="16"/>
        <v>|Lｖ47|HP+3|</v>
      </c>
      <c r="B164" t="s">
        <v>3</v>
      </c>
      <c r="C164" t="s">
        <v>39</v>
      </c>
      <c r="D164">
        <v>47</v>
      </c>
      <c r="E164" t="s">
        <v>3</v>
      </c>
      <c r="F164" t="s">
        <v>7</v>
      </c>
      <c r="G164" t="str">
        <f t="shared" si="17"/>
        <v>+</v>
      </c>
      <c r="H164">
        <v>3</v>
      </c>
      <c r="I164" t="s">
        <v>3</v>
      </c>
    </row>
    <row r="165" spans="1:9" x14ac:dyDescent="0.15">
      <c r="A165" t="str">
        <f t="shared" si="16"/>
        <v>|Lｖ48|白+1|</v>
      </c>
      <c r="B165" t="s">
        <v>3</v>
      </c>
      <c r="C165" t="s">
        <v>39</v>
      </c>
      <c r="D165">
        <v>48</v>
      </c>
      <c r="E165" t="s">
        <v>3</v>
      </c>
      <c r="F165" t="s">
        <v>11</v>
      </c>
      <c r="G165" t="str">
        <f t="shared" si="17"/>
        <v>+</v>
      </c>
      <c r="H165">
        <v>1</v>
      </c>
      <c r="I165" t="s">
        <v>3</v>
      </c>
    </row>
    <row r="166" spans="1:9" x14ac:dyDescent="0.15">
      <c r="A166" t="str">
        <f t="shared" si="16"/>
        <v>|Lｖ49|HP+2|</v>
      </c>
      <c r="B166" t="s">
        <v>3</v>
      </c>
      <c r="C166" t="s">
        <v>39</v>
      </c>
      <c r="D166">
        <v>49</v>
      </c>
      <c r="E166" t="s">
        <v>3</v>
      </c>
      <c r="F166" t="s">
        <v>7</v>
      </c>
      <c r="G166" t="str">
        <f t="shared" si="17"/>
        <v>+</v>
      </c>
      <c r="H166">
        <v>2</v>
      </c>
      <c r="I166" t="s">
        <v>3</v>
      </c>
    </row>
    <row r="167" spans="1:9" x14ac:dyDescent="0.15">
      <c r="A167" t="str">
        <f t="shared" si="16"/>
        <v>|Lｖ50|サポート+1|</v>
      </c>
      <c r="B167" t="s">
        <v>3</v>
      </c>
      <c r="C167" t="s">
        <v>39</v>
      </c>
      <c r="D167">
        <v>50</v>
      </c>
      <c r="E167" t="s">
        <v>3</v>
      </c>
      <c r="F167" t="s">
        <v>22</v>
      </c>
      <c r="G167" t="str">
        <f t="shared" si="17"/>
        <v>+</v>
      </c>
      <c r="H167">
        <v>1</v>
      </c>
      <c r="I167" t="s">
        <v>3</v>
      </c>
    </row>
    <row r="168" spans="1:9" x14ac:dyDescent="0.15">
      <c r="A168" t="str">
        <f t="shared" si="16"/>
        <v>|Lｖ51|HP+2|</v>
      </c>
      <c r="B168" t="s">
        <v>3</v>
      </c>
      <c r="C168" t="s">
        <v>39</v>
      </c>
      <c r="D168">
        <v>51</v>
      </c>
      <c r="E168" t="s">
        <v>3</v>
      </c>
      <c r="F168" t="s">
        <v>7</v>
      </c>
      <c r="G168" t="str">
        <f t="shared" si="17"/>
        <v>+</v>
      </c>
      <c r="H168">
        <v>2</v>
      </c>
      <c r="I168" t="s">
        <v>3</v>
      </c>
    </row>
    <row r="169" spans="1:9" x14ac:dyDescent="0.15">
      <c r="A169" t="str">
        <f t="shared" si="16"/>
        <v>|Lｖ52|第3能力Lv3|</v>
      </c>
      <c r="B169" t="s">
        <v>3</v>
      </c>
      <c r="C169" t="s">
        <v>39</v>
      </c>
      <c r="D169">
        <v>52</v>
      </c>
      <c r="E169" t="s">
        <v>3</v>
      </c>
      <c r="F169" t="s">
        <v>42</v>
      </c>
      <c r="G169" t="str">
        <f t="shared" si="17"/>
        <v/>
      </c>
      <c r="H169">
        <v>3</v>
      </c>
      <c r="I169" t="s">
        <v>3</v>
      </c>
    </row>
    <row r="170" spans="1:9" x14ac:dyDescent="0.15">
      <c r="A170" t="str">
        <f t="shared" si="16"/>
        <v>|Lｖ53|HP+3|</v>
      </c>
      <c r="B170" t="s">
        <v>3</v>
      </c>
      <c r="C170" t="s">
        <v>39</v>
      </c>
      <c r="D170">
        <v>53</v>
      </c>
      <c r="E170" t="s">
        <v>3</v>
      </c>
      <c r="F170" t="s">
        <v>7</v>
      </c>
      <c r="G170" t="str">
        <f t="shared" si="17"/>
        <v>+</v>
      </c>
      <c r="H170">
        <v>3</v>
      </c>
      <c r="I170" t="s">
        <v>3</v>
      </c>
    </row>
    <row r="171" spans="1:9" x14ac:dyDescent="0.15">
      <c r="A171" t="str">
        <f t="shared" si="16"/>
        <v>|Lｖ54|赤+1|</v>
      </c>
      <c r="B171" t="s">
        <v>3</v>
      </c>
      <c r="C171" t="s">
        <v>39</v>
      </c>
      <c r="D171">
        <v>54</v>
      </c>
      <c r="E171" t="s">
        <v>3</v>
      </c>
      <c r="F171" t="s">
        <v>14</v>
      </c>
      <c r="G171" t="str">
        <f t="shared" si="17"/>
        <v>+</v>
      </c>
      <c r="H171">
        <v>1</v>
      </c>
      <c r="I171" t="s">
        <v>3</v>
      </c>
    </row>
    <row r="172" spans="1:9" x14ac:dyDescent="0.15">
      <c r="A172" t="str">
        <f t="shared" ref="A172:A183" si="18">B172&amp;C172&amp;D172&amp;E172&amp;F172&amp;G172&amp;H172&amp;I172&amp;J172&amp;K172&amp;L172&amp;M172&amp;N172&amp;O172&amp;P172</f>
        <v>|Lｖ55|HP+2|</v>
      </c>
      <c r="B172" t="s">
        <v>3</v>
      </c>
      <c r="C172" t="s">
        <v>39</v>
      </c>
      <c r="D172">
        <v>55</v>
      </c>
      <c r="E172" t="s">
        <v>3</v>
      </c>
      <c r="F172" t="s">
        <v>7</v>
      </c>
      <c r="G172" t="str">
        <f t="shared" si="17"/>
        <v>+</v>
      </c>
      <c r="H172">
        <v>2</v>
      </c>
      <c r="I172" t="s">
        <v>3</v>
      </c>
    </row>
    <row r="173" spans="1:9" x14ac:dyDescent="0.15">
      <c r="A173" t="str">
        <f t="shared" si="18"/>
        <v>|Lｖ56|第1能力Lv4|</v>
      </c>
      <c r="B173" t="s">
        <v>3</v>
      </c>
      <c r="C173" t="s">
        <v>39</v>
      </c>
      <c r="D173">
        <v>56</v>
      </c>
      <c r="E173" t="s">
        <v>3</v>
      </c>
      <c r="F173" t="s">
        <v>40</v>
      </c>
      <c r="G173" t="str">
        <f t="shared" si="17"/>
        <v/>
      </c>
      <c r="H173">
        <v>4</v>
      </c>
      <c r="I173" t="s">
        <v>3</v>
      </c>
    </row>
    <row r="174" spans="1:9" x14ac:dyDescent="0.15">
      <c r="A174" t="str">
        <f t="shared" si="18"/>
        <v>|Lｖ57|HP+2|</v>
      </c>
      <c r="B174" t="s">
        <v>3</v>
      </c>
      <c r="C174" t="s">
        <v>39</v>
      </c>
      <c r="D174">
        <v>57</v>
      </c>
      <c r="E174" t="s">
        <v>3</v>
      </c>
      <c r="F174" t="s">
        <v>7</v>
      </c>
      <c r="G174" t="str">
        <f t="shared" si="17"/>
        <v>+</v>
      </c>
      <c r="H174">
        <v>2</v>
      </c>
      <c r="I174" t="s">
        <v>3</v>
      </c>
    </row>
    <row r="175" spans="1:9" x14ac:dyDescent="0.15">
      <c r="A175" t="str">
        <f t="shared" si="18"/>
        <v>|Lｖ58|第2能力Lv4|</v>
      </c>
      <c r="B175" t="s">
        <v>3</v>
      </c>
      <c r="C175" t="s">
        <v>39</v>
      </c>
      <c r="D175">
        <v>58</v>
      </c>
      <c r="E175" t="s">
        <v>3</v>
      </c>
      <c r="F175" t="s">
        <v>41</v>
      </c>
      <c r="G175" t="str">
        <f t="shared" si="17"/>
        <v/>
      </c>
      <c r="H175">
        <v>4</v>
      </c>
      <c r="I175" t="s">
        <v>3</v>
      </c>
    </row>
    <row r="176" spans="1:9" x14ac:dyDescent="0.15">
      <c r="A176" t="str">
        <f t="shared" si="18"/>
        <v>|Lｖ59|緑+1|</v>
      </c>
      <c r="B176" t="s">
        <v>3</v>
      </c>
      <c r="C176" t="s">
        <v>39</v>
      </c>
      <c r="D176">
        <v>59</v>
      </c>
      <c r="E176" t="s">
        <v>3</v>
      </c>
      <c r="F176" t="s">
        <v>15</v>
      </c>
      <c r="G176" t="str">
        <f t="shared" si="17"/>
        <v>+</v>
      </c>
      <c r="H176">
        <v>1</v>
      </c>
      <c r="I176" t="s">
        <v>3</v>
      </c>
    </row>
    <row r="177" spans="1:9" x14ac:dyDescent="0.15">
      <c r="A177" t="str">
        <f t="shared" si="18"/>
        <v>|Lｖ60|第3能力Lv4|</v>
      </c>
      <c r="B177" t="s">
        <v>3</v>
      </c>
      <c r="C177" t="s">
        <v>39</v>
      </c>
      <c r="D177">
        <v>60</v>
      </c>
      <c r="E177" t="s">
        <v>3</v>
      </c>
      <c r="F177" t="s">
        <v>42</v>
      </c>
      <c r="G177" t="s">
        <v>44</v>
      </c>
      <c r="H177">
        <v>4</v>
      </c>
      <c r="I177" t="s">
        <v>3</v>
      </c>
    </row>
    <row r="178" spans="1:9" x14ac:dyDescent="0.15">
      <c r="A178" t="str">
        <f t="shared" si="18"/>
        <v>必要総経験値：160720ルーン</v>
      </c>
      <c r="B178" t="s">
        <v>45</v>
      </c>
      <c r="C178">
        <v>160720</v>
      </c>
      <c r="F178" t="s">
        <v>46</v>
      </c>
    </row>
    <row r="179" spans="1:9" x14ac:dyDescent="0.15">
      <c r="A179" t="str">
        <f t="shared" si="18"/>
        <v>&amp;br;</v>
      </c>
      <c r="B179" t="s">
        <v>0</v>
      </c>
    </row>
    <row r="180" spans="1:9" x14ac:dyDescent="0.15">
      <c r="A180" t="str">
        <f t="shared" si="18"/>
        <v>#back(text=戻る,left)</v>
      </c>
      <c r="B180" t="s">
        <v>47</v>
      </c>
    </row>
    <row r="181" spans="1:9" x14ac:dyDescent="0.15">
      <c r="A181" t="str">
        <f t="shared" si="18"/>
        <v>&amp;br;</v>
      </c>
      <c r="B181" t="s">
        <v>0</v>
      </c>
    </row>
    <row r="182" spans="1:9" x14ac:dyDescent="0.15">
      <c r="A182" t="str">
        <f t="shared" si="18"/>
        <v>#comment(above,nsize=[15],size=[30],num=[10])</v>
      </c>
      <c r="B182" t="s">
        <v>48</v>
      </c>
    </row>
    <row r="183" spans="1:9" x14ac:dyDescent="0.15">
      <c r="A183" t="str">
        <f t="shared" si="18"/>
        <v>[[プレインズウォーカーリスト&gt;プレインズウォーカーリスト]]</v>
      </c>
      <c r="B183" t="s">
        <v>49</v>
      </c>
    </row>
  </sheetData>
  <autoFilter ref="C118:I183"/>
  <phoneticPr fontId="4"/>
  <dataValidations count="2">
    <dataValidation type="list" allowBlank="1" showInputMessage="1" showErrorMessage="1" sqref="F178">
      <formula1>$Q$88:$Q$120</formula1>
    </dataValidation>
    <dataValidation type="list" allowBlank="1" showInputMessage="1" showErrorMessage="1" sqref="F119:F177">
      <formula1>$Q$118:$Q$130</formula1>
    </dataValidation>
  </dataValidations>
  <pageMargins left="0.69930555555555596" right="0.69930555555555596"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T192"/>
  <sheetViews>
    <sheetView workbookViewId="0">
      <selection activeCell="D69" sqref="D69"/>
    </sheetView>
  </sheetViews>
  <sheetFormatPr defaultColWidth="9" defaultRowHeight="13.5" x14ac:dyDescent="0.15"/>
  <cols>
    <col min="2" max="2" width="3.5" customWidth="1"/>
    <col min="3" max="3" width="7.875" customWidth="1"/>
    <col min="4" max="4" width="5.5" customWidth="1"/>
    <col min="5" max="5" width="2" customWidth="1"/>
    <col min="7" max="7" width="2" customWidth="1"/>
    <col min="9" max="9" width="2" customWidth="1"/>
    <col min="11" max="11" width="2" customWidth="1"/>
    <col min="13" max="13" width="2" customWidth="1"/>
    <col min="15" max="15" width="2" customWidth="1"/>
    <col min="17" max="17" width="2.75" customWidth="1"/>
  </cols>
  <sheetData>
    <row r="1" spans="1:8" x14ac:dyDescent="0.15">
      <c r="A1" t="str">
        <f>B1&amp;C1&amp;D1&amp;E1&amp;F1&amp;G1&amp;H1&amp;I1&amp;J1&amp;K1&amp;L1&amp;M1&amp;N1&amp;O1&amp;P1</f>
        <v>イベント上位報酬で入手するか、期間限定でMCを支払い購入することで入手できる。</v>
      </c>
      <c r="B1" t="s">
        <v>170</v>
      </c>
    </row>
    <row r="2" spans="1:8" x14ac:dyDescent="0.15">
      <c r="A2" t="str">
        <f>B2&amp;C2&amp;D2&amp;E2&amp;F2&amp;G2&amp;H2&amp;I2&amp;J2&amp;K2&amp;L2&amp;M2&amp;N2&amp;O2&amp;P2</f>
        <v>&amp;br;</v>
      </c>
      <c r="B2" t="s">
        <v>0</v>
      </c>
    </row>
    <row r="3" spans="1:8" x14ac:dyDescent="0.15">
      <c r="A3" t="str">
        <f>B3&amp;C3&amp;D3&amp;E3&amp;F3&amp;G3&amp;H3&amp;I3&amp;J3&amp;K3&amp;L3&amp;M3&amp;N3&amp;O3&amp;P3</f>
        <v>#contents()</v>
      </c>
      <c r="B3" t="s">
        <v>1</v>
      </c>
    </row>
    <row r="4" spans="1:8" x14ac:dyDescent="0.15">
      <c r="A4" t="str">
        <f>B4&amp;C4&amp;D4&amp;E4&amp;F4&amp;G4&amp;H4&amp;I4&amp;J4&amp;K4&amp;L4&amp;M4&amp;N4&amp;O4&amp;P4</f>
        <v>*HP [#f569d8c6]</v>
      </c>
      <c r="B4" t="s">
        <v>2</v>
      </c>
    </row>
    <row r="5" spans="1:8" x14ac:dyDescent="0.15">
      <c r="A5" t="str">
        <f>B5&amp;C5&amp;D5&amp;E5&amp;F5&amp;G5&amp;H5</f>
        <v>|LEFT:50|LEFT:50|c</v>
      </c>
      <c r="B5" t="s">
        <v>3</v>
      </c>
      <c r="C5" t="s">
        <v>4</v>
      </c>
      <c r="E5" t="s">
        <v>3</v>
      </c>
      <c r="F5" t="s">
        <v>4</v>
      </c>
      <c r="G5" t="s">
        <v>3</v>
      </c>
      <c r="H5" t="s">
        <v>5</v>
      </c>
    </row>
    <row r="6" spans="1:8" x14ac:dyDescent="0.15">
      <c r="A6" t="str">
        <f t="shared" ref="A6:A36" si="0">B6&amp;C6&amp;D6&amp;E6&amp;F6&amp;G6&amp;H6</f>
        <v>|レベル|HP|</v>
      </c>
      <c r="B6" t="s">
        <v>3</v>
      </c>
      <c r="C6" t="s">
        <v>6</v>
      </c>
      <c r="E6" t="s">
        <v>3</v>
      </c>
      <c r="F6" t="s">
        <v>7</v>
      </c>
      <c r="G6" t="s">
        <v>3</v>
      </c>
    </row>
    <row r="7" spans="1:8" x14ac:dyDescent="0.15">
      <c r="A7" t="str">
        <f t="shared" si="0"/>
        <v>|Lv1|35|</v>
      </c>
      <c r="B7" t="s">
        <v>3</v>
      </c>
      <c r="C7" t="s">
        <v>8</v>
      </c>
      <c r="D7">
        <v>1</v>
      </c>
      <c r="E7" t="s">
        <v>3</v>
      </c>
      <c r="F7">
        <v>35</v>
      </c>
      <c r="G7" t="s">
        <v>3</v>
      </c>
    </row>
    <row r="8" spans="1:8" x14ac:dyDescent="0.15">
      <c r="A8" t="str">
        <f t="shared" si="0"/>
        <v>|Lv3|37|</v>
      </c>
      <c r="B8" t="s">
        <v>3</v>
      </c>
      <c r="C8" t="s">
        <v>8</v>
      </c>
      <c r="D8">
        <v>3</v>
      </c>
      <c r="E8" t="s">
        <v>3</v>
      </c>
      <c r="F8">
        <f t="shared" ref="F8:F36" si="1">IF(ISBLANK(D8),"",F7+INDEX($H$127:$H$186,D8))</f>
        <v>37</v>
      </c>
      <c r="G8" t="s">
        <v>3</v>
      </c>
    </row>
    <row r="9" spans="1:8" x14ac:dyDescent="0.15">
      <c r="A9" t="str">
        <f t="shared" si="0"/>
        <v>|Lv5|39|</v>
      </c>
      <c r="B9" t="s">
        <v>3</v>
      </c>
      <c r="C9" t="s">
        <v>8</v>
      </c>
      <c r="D9">
        <v>5</v>
      </c>
      <c r="E9" t="s">
        <v>3</v>
      </c>
      <c r="F9">
        <f t="shared" si="1"/>
        <v>39</v>
      </c>
      <c r="G9" t="s">
        <v>3</v>
      </c>
    </row>
    <row r="10" spans="1:8" x14ac:dyDescent="0.15">
      <c r="A10" t="str">
        <f t="shared" si="0"/>
        <v>|Lv7|41|</v>
      </c>
      <c r="B10" t="s">
        <v>3</v>
      </c>
      <c r="C10" t="s">
        <v>8</v>
      </c>
      <c r="D10">
        <v>7</v>
      </c>
      <c r="E10" t="s">
        <v>3</v>
      </c>
      <c r="F10">
        <f t="shared" si="1"/>
        <v>41</v>
      </c>
      <c r="G10" t="s">
        <v>3</v>
      </c>
    </row>
    <row r="11" spans="1:8" x14ac:dyDescent="0.15">
      <c r="A11" t="str">
        <f t="shared" si="0"/>
        <v>|Lv9|43|</v>
      </c>
      <c r="B11" t="s">
        <v>3</v>
      </c>
      <c r="C11" t="s">
        <v>8</v>
      </c>
      <c r="D11">
        <v>9</v>
      </c>
      <c r="E11" t="s">
        <v>3</v>
      </c>
      <c r="F11">
        <f t="shared" si="1"/>
        <v>43</v>
      </c>
      <c r="G11" t="s">
        <v>3</v>
      </c>
    </row>
    <row r="12" spans="1:8" x14ac:dyDescent="0.15">
      <c r="A12" t="str">
        <f t="shared" si="0"/>
        <v>|Lv11|45|</v>
      </c>
      <c r="B12" t="s">
        <v>3</v>
      </c>
      <c r="C12" t="s">
        <v>8</v>
      </c>
      <c r="D12">
        <v>11</v>
      </c>
      <c r="E12" t="s">
        <v>3</v>
      </c>
      <c r="F12">
        <f t="shared" si="1"/>
        <v>45</v>
      </c>
      <c r="G12" t="s">
        <v>3</v>
      </c>
    </row>
    <row r="13" spans="1:8" x14ac:dyDescent="0.15">
      <c r="A13" t="str">
        <f t="shared" si="0"/>
        <v>|Lv13|47|</v>
      </c>
      <c r="B13" t="s">
        <v>3</v>
      </c>
      <c r="C13" t="s">
        <v>8</v>
      </c>
      <c r="D13">
        <v>13</v>
      </c>
      <c r="E13" t="s">
        <v>3</v>
      </c>
      <c r="F13">
        <f t="shared" si="1"/>
        <v>47</v>
      </c>
      <c r="G13" t="s">
        <v>3</v>
      </c>
    </row>
    <row r="14" spans="1:8" x14ac:dyDescent="0.15">
      <c r="A14" t="str">
        <f t="shared" si="0"/>
        <v>|Lv15|49|</v>
      </c>
      <c r="B14" t="s">
        <v>3</v>
      </c>
      <c r="C14" t="s">
        <v>8</v>
      </c>
      <c r="D14">
        <v>15</v>
      </c>
      <c r="E14" t="s">
        <v>3</v>
      </c>
      <c r="F14">
        <f t="shared" si="1"/>
        <v>49</v>
      </c>
      <c r="G14" t="s">
        <v>3</v>
      </c>
    </row>
    <row r="15" spans="1:8" x14ac:dyDescent="0.15">
      <c r="A15" t="str">
        <f t="shared" si="0"/>
        <v>|Lv17|51|</v>
      </c>
      <c r="B15" t="s">
        <v>3</v>
      </c>
      <c r="C15" t="s">
        <v>8</v>
      </c>
      <c r="D15">
        <v>17</v>
      </c>
      <c r="E15" t="s">
        <v>3</v>
      </c>
      <c r="F15">
        <f t="shared" si="1"/>
        <v>51</v>
      </c>
      <c r="G15" t="s">
        <v>3</v>
      </c>
    </row>
    <row r="16" spans="1:8" x14ac:dyDescent="0.15">
      <c r="A16" t="str">
        <f t="shared" si="0"/>
        <v>|Lv19|53|</v>
      </c>
      <c r="B16" t="s">
        <v>3</v>
      </c>
      <c r="C16" t="s">
        <v>8</v>
      </c>
      <c r="D16">
        <v>19</v>
      </c>
      <c r="E16" t="s">
        <v>3</v>
      </c>
      <c r="F16">
        <f t="shared" si="1"/>
        <v>53</v>
      </c>
      <c r="G16" t="s">
        <v>3</v>
      </c>
    </row>
    <row r="17" spans="1:7" x14ac:dyDescent="0.15">
      <c r="A17" t="str">
        <f t="shared" si="0"/>
        <v>|Lv21|56|</v>
      </c>
      <c r="B17" t="s">
        <v>3</v>
      </c>
      <c r="C17" t="s">
        <v>8</v>
      </c>
      <c r="D17">
        <v>21</v>
      </c>
      <c r="E17" t="s">
        <v>3</v>
      </c>
      <c r="F17">
        <f t="shared" si="1"/>
        <v>56</v>
      </c>
      <c r="G17" t="s">
        <v>3</v>
      </c>
    </row>
    <row r="18" spans="1:7" x14ac:dyDescent="0.15">
      <c r="A18" t="str">
        <f t="shared" si="0"/>
        <v>|Lv23|59|</v>
      </c>
      <c r="B18" t="s">
        <v>3</v>
      </c>
      <c r="C18" t="s">
        <v>8</v>
      </c>
      <c r="D18">
        <v>23</v>
      </c>
      <c r="E18" t="s">
        <v>3</v>
      </c>
      <c r="F18">
        <f t="shared" si="1"/>
        <v>59</v>
      </c>
      <c r="G18" t="s">
        <v>3</v>
      </c>
    </row>
    <row r="19" spans="1:7" x14ac:dyDescent="0.15">
      <c r="A19" t="str">
        <f t="shared" si="0"/>
        <v>|Lv25|62|</v>
      </c>
      <c r="B19" t="s">
        <v>3</v>
      </c>
      <c r="C19" t="s">
        <v>8</v>
      </c>
      <c r="D19">
        <v>25</v>
      </c>
      <c r="E19" t="s">
        <v>3</v>
      </c>
      <c r="F19">
        <f t="shared" si="1"/>
        <v>62</v>
      </c>
      <c r="G19" t="s">
        <v>3</v>
      </c>
    </row>
    <row r="20" spans="1:7" x14ac:dyDescent="0.15">
      <c r="A20" t="str">
        <f t="shared" si="0"/>
        <v>|Lv27|65|</v>
      </c>
      <c r="B20" t="s">
        <v>3</v>
      </c>
      <c r="C20" t="s">
        <v>8</v>
      </c>
      <c r="D20">
        <v>27</v>
      </c>
      <c r="E20" t="s">
        <v>3</v>
      </c>
      <c r="F20">
        <f t="shared" si="1"/>
        <v>65</v>
      </c>
      <c r="G20" t="s">
        <v>3</v>
      </c>
    </row>
    <row r="21" spans="1:7" x14ac:dyDescent="0.15">
      <c r="A21" t="str">
        <f t="shared" si="0"/>
        <v>|Lv29|68|</v>
      </c>
      <c r="B21" t="s">
        <v>3</v>
      </c>
      <c r="C21" t="s">
        <v>8</v>
      </c>
      <c r="D21">
        <v>29</v>
      </c>
      <c r="E21" t="s">
        <v>3</v>
      </c>
      <c r="F21">
        <f t="shared" si="1"/>
        <v>68</v>
      </c>
      <c r="G21" t="s">
        <v>3</v>
      </c>
    </row>
    <row r="22" spans="1:7" x14ac:dyDescent="0.15">
      <c r="A22" t="str">
        <f t="shared" si="0"/>
        <v>|Lv31|71|</v>
      </c>
      <c r="B22" t="s">
        <v>3</v>
      </c>
      <c r="C22" t="s">
        <v>8</v>
      </c>
      <c r="D22">
        <v>31</v>
      </c>
      <c r="E22" t="s">
        <v>3</v>
      </c>
      <c r="F22">
        <f t="shared" si="1"/>
        <v>71</v>
      </c>
      <c r="G22" t="s">
        <v>3</v>
      </c>
    </row>
    <row r="23" spans="1:7" x14ac:dyDescent="0.15">
      <c r="A23" t="str">
        <f t="shared" si="0"/>
        <v>|Lv33|74|</v>
      </c>
      <c r="B23" t="s">
        <v>3</v>
      </c>
      <c r="C23" t="s">
        <v>8</v>
      </c>
      <c r="D23">
        <v>33</v>
      </c>
      <c r="E23" t="s">
        <v>3</v>
      </c>
      <c r="F23">
        <f t="shared" si="1"/>
        <v>74</v>
      </c>
      <c r="G23" t="s">
        <v>3</v>
      </c>
    </row>
    <row r="24" spans="1:7" x14ac:dyDescent="0.15">
      <c r="A24" t="str">
        <f t="shared" si="0"/>
        <v>|Lv35|77|</v>
      </c>
      <c r="B24" t="s">
        <v>3</v>
      </c>
      <c r="C24" t="s">
        <v>8</v>
      </c>
      <c r="D24">
        <v>35</v>
      </c>
      <c r="E24" t="s">
        <v>3</v>
      </c>
      <c r="F24">
        <f t="shared" si="1"/>
        <v>77</v>
      </c>
      <c r="G24" t="s">
        <v>3</v>
      </c>
    </row>
    <row r="25" spans="1:7" x14ac:dyDescent="0.15">
      <c r="A25" t="str">
        <f t="shared" si="0"/>
        <v>|Lv37|80|</v>
      </c>
      <c r="B25" t="s">
        <v>3</v>
      </c>
      <c r="C25" t="s">
        <v>8</v>
      </c>
      <c r="D25">
        <v>37</v>
      </c>
      <c r="E25" t="s">
        <v>3</v>
      </c>
      <c r="F25">
        <f t="shared" si="1"/>
        <v>80</v>
      </c>
      <c r="G25" t="s">
        <v>3</v>
      </c>
    </row>
    <row r="26" spans="1:7" x14ac:dyDescent="0.15">
      <c r="A26" t="str">
        <f t="shared" si="0"/>
        <v>|Lv39|83|</v>
      </c>
      <c r="B26" t="s">
        <v>3</v>
      </c>
      <c r="C26" t="s">
        <v>8</v>
      </c>
      <c r="D26">
        <v>39</v>
      </c>
      <c r="E26" t="s">
        <v>3</v>
      </c>
      <c r="F26">
        <f t="shared" si="1"/>
        <v>83</v>
      </c>
      <c r="G26" t="s">
        <v>3</v>
      </c>
    </row>
    <row r="27" spans="1:7" x14ac:dyDescent="0.15">
      <c r="A27" t="str">
        <f t="shared" si="0"/>
        <v>|Lv41|86|</v>
      </c>
      <c r="B27" t="s">
        <v>3</v>
      </c>
      <c r="C27" t="s">
        <v>8</v>
      </c>
      <c r="D27">
        <v>41</v>
      </c>
      <c r="E27" t="s">
        <v>3</v>
      </c>
      <c r="F27">
        <f t="shared" si="1"/>
        <v>86</v>
      </c>
      <c r="G27" t="s">
        <v>3</v>
      </c>
    </row>
    <row r="28" spans="1:7" x14ac:dyDescent="0.15">
      <c r="A28" t="str">
        <f t="shared" si="0"/>
        <v>|Lv43|89|</v>
      </c>
      <c r="B28" t="s">
        <v>3</v>
      </c>
      <c r="C28" t="s">
        <v>8</v>
      </c>
      <c r="D28">
        <v>43</v>
      </c>
      <c r="E28" t="s">
        <v>3</v>
      </c>
      <c r="F28">
        <f t="shared" si="1"/>
        <v>89</v>
      </c>
      <c r="G28" t="s">
        <v>3</v>
      </c>
    </row>
    <row r="29" spans="1:7" x14ac:dyDescent="0.15">
      <c r="A29" t="str">
        <f t="shared" si="0"/>
        <v>|Lv45|92|</v>
      </c>
      <c r="B29" t="s">
        <v>3</v>
      </c>
      <c r="C29" t="s">
        <v>8</v>
      </c>
      <c r="D29">
        <v>45</v>
      </c>
      <c r="E29" t="s">
        <v>3</v>
      </c>
      <c r="F29">
        <f t="shared" si="1"/>
        <v>92</v>
      </c>
      <c r="G29" t="s">
        <v>3</v>
      </c>
    </row>
    <row r="30" spans="1:7" x14ac:dyDescent="0.15">
      <c r="A30" t="str">
        <f t="shared" si="0"/>
        <v>|Lv47|95|</v>
      </c>
      <c r="B30" t="s">
        <v>3</v>
      </c>
      <c r="C30" t="s">
        <v>8</v>
      </c>
      <c r="D30">
        <v>47</v>
      </c>
      <c r="E30" t="s">
        <v>3</v>
      </c>
      <c r="F30">
        <f t="shared" si="1"/>
        <v>95</v>
      </c>
      <c r="G30" t="s">
        <v>3</v>
      </c>
    </row>
    <row r="31" spans="1:7" x14ac:dyDescent="0.15">
      <c r="A31" t="str">
        <f t="shared" si="0"/>
        <v>|Lv49|98|</v>
      </c>
      <c r="B31" t="s">
        <v>3</v>
      </c>
      <c r="C31" t="s">
        <v>8</v>
      </c>
      <c r="D31">
        <v>49</v>
      </c>
      <c r="E31" t="s">
        <v>3</v>
      </c>
      <c r="F31">
        <f t="shared" si="1"/>
        <v>98</v>
      </c>
      <c r="G31" t="s">
        <v>3</v>
      </c>
    </row>
    <row r="32" spans="1:7" x14ac:dyDescent="0.15">
      <c r="A32" t="str">
        <f t="shared" si="0"/>
        <v>|Lv51|102|</v>
      </c>
      <c r="B32" t="s">
        <v>3</v>
      </c>
      <c r="C32" t="s">
        <v>8</v>
      </c>
      <c r="D32">
        <v>51</v>
      </c>
      <c r="E32" t="s">
        <v>3</v>
      </c>
      <c r="F32">
        <f t="shared" si="1"/>
        <v>102</v>
      </c>
      <c r="G32" t="s">
        <v>3</v>
      </c>
    </row>
    <row r="33" spans="1:19" x14ac:dyDescent="0.15">
      <c r="A33" t="str">
        <f t="shared" si="0"/>
        <v>|Lv53|106|</v>
      </c>
      <c r="B33" t="s">
        <v>3</v>
      </c>
      <c r="C33" t="s">
        <v>8</v>
      </c>
      <c r="D33">
        <v>53</v>
      </c>
      <c r="E33" t="s">
        <v>3</v>
      </c>
      <c r="F33">
        <f t="shared" si="1"/>
        <v>106</v>
      </c>
      <c r="G33" t="s">
        <v>3</v>
      </c>
    </row>
    <row r="34" spans="1:19" x14ac:dyDescent="0.15">
      <c r="A34" t="str">
        <f t="shared" si="0"/>
        <v>|Lv55|110|</v>
      </c>
      <c r="B34" t="s">
        <v>3</v>
      </c>
      <c r="C34" t="s">
        <v>8</v>
      </c>
      <c r="D34">
        <v>55</v>
      </c>
      <c r="E34" t="s">
        <v>3</v>
      </c>
      <c r="F34">
        <f t="shared" si="1"/>
        <v>110</v>
      </c>
      <c r="G34" t="s">
        <v>3</v>
      </c>
    </row>
    <row r="35" spans="1:19" x14ac:dyDescent="0.15">
      <c r="A35" t="str">
        <f t="shared" si="0"/>
        <v>|Lv57|114|</v>
      </c>
      <c r="B35" t="s">
        <v>3</v>
      </c>
      <c r="C35" t="s">
        <v>8</v>
      </c>
      <c r="D35">
        <v>57</v>
      </c>
      <c r="E35" t="s">
        <v>3</v>
      </c>
      <c r="F35">
        <f t="shared" si="1"/>
        <v>114</v>
      </c>
      <c r="G35" t="s">
        <v>3</v>
      </c>
    </row>
    <row r="36" spans="1:19" x14ac:dyDescent="0.15">
      <c r="A36" t="str">
        <f t="shared" si="0"/>
        <v>|Lv59|118|</v>
      </c>
      <c r="B36" t="s">
        <v>3</v>
      </c>
      <c r="C36" t="s">
        <v>8</v>
      </c>
      <c r="D36">
        <v>59</v>
      </c>
      <c r="E36" t="s">
        <v>3</v>
      </c>
      <c r="F36">
        <f t="shared" si="1"/>
        <v>118</v>
      </c>
      <c r="G36" t="s">
        <v>3</v>
      </c>
    </row>
    <row r="37" spans="1:19" x14ac:dyDescent="0.15">
      <c r="A37" t="str">
        <f>B37&amp;C37&amp;D37&amp;E37&amp;F37&amp;G37&amp;H37&amp;I37&amp;J37&amp;K37&amp;L37&amp;M37&amp;N37&amp;O37&amp;P37</f>
        <v>&amp;br;</v>
      </c>
      <c r="B37" t="s">
        <v>0</v>
      </c>
    </row>
    <row r="38" spans="1:19" x14ac:dyDescent="0.15">
      <c r="A38" t="str">
        <f>B38&amp;C38&amp;D38&amp;E38&amp;F38&amp;G38&amp;H38&amp;I38&amp;J38&amp;K38&amp;L38&amp;M38&amp;N38&amp;O38&amp;P38</f>
        <v>&amp;br;</v>
      </c>
      <c r="B38" t="s">
        <v>0</v>
      </c>
    </row>
    <row r="39" spans="1:19" x14ac:dyDescent="0.15">
      <c r="A39" t="str">
        <f>B39&amp;C39&amp;D39&amp;E39&amp;F39&amp;G39&amp;H39&amp;I39&amp;J39&amp;K39&amp;L39&amp;M39&amp;N39&amp;O39&amp;P39</f>
        <v>*マナボーナス [#q1a26f54]</v>
      </c>
      <c r="B39" t="s">
        <v>9</v>
      </c>
    </row>
    <row r="40" spans="1:19" x14ac:dyDescent="0.15">
      <c r="A40" t="str">
        <f t="shared" ref="A40:A51" si="2">B40&amp;C40&amp;D40&amp;G40&amp;H40&amp;I40&amp;J40&amp;K40&amp;L40&amp;M40&amp;N40&amp;O40&amp;P40&amp;Q40&amp;R40</f>
        <v>|LEFT:50|LEFT:50|LEFT:50|LEFT:50|LEFT:50|LEFT:50|c</v>
      </c>
      <c r="B40" t="s">
        <v>3</v>
      </c>
      <c r="C40" t="s">
        <v>4</v>
      </c>
      <c r="E40" t="s">
        <v>3</v>
      </c>
      <c r="G40" t="s">
        <v>3</v>
      </c>
      <c r="H40" t="s">
        <v>4</v>
      </c>
      <c r="I40" t="s">
        <v>3</v>
      </c>
      <c r="J40" t="s">
        <v>4</v>
      </c>
      <c r="K40" t="s">
        <v>3</v>
      </c>
      <c r="L40" t="s">
        <v>4</v>
      </c>
      <c r="M40" t="s">
        <v>3</v>
      </c>
      <c r="N40" t="s">
        <v>4</v>
      </c>
      <c r="O40" t="s">
        <v>3</v>
      </c>
      <c r="P40" t="s">
        <v>4</v>
      </c>
      <c r="Q40" t="s">
        <v>3</v>
      </c>
      <c r="R40" t="s">
        <v>5</v>
      </c>
    </row>
    <row r="41" spans="1:19" x14ac:dyDescent="0.15">
      <c r="A41" t="str">
        <f t="shared" si="2"/>
        <v>|レベル|白|青|黒|赤|緑|</v>
      </c>
      <c r="B41" t="s">
        <v>3</v>
      </c>
      <c r="C41" t="s">
        <v>6</v>
      </c>
      <c r="E41" t="s">
        <v>3</v>
      </c>
      <c r="F41" t="s">
        <v>10</v>
      </c>
      <c r="G41" t="s">
        <v>3</v>
      </c>
      <c r="H41" t="s">
        <v>11</v>
      </c>
      <c r="I41" t="s">
        <v>3</v>
      </c>
      <c r="J41" t="s">
        <v>12</v>
      </c>
      <c r="K41" t="s">
        <v>3</v>
      </c>
      <c r="L41" t="s">
        <v>13</v>
      </c>
      <c r="M41" t="s">
        <v>3</v>
      </c>
      <c r="N41" t="s">
        <v>14</v>
      </c>
      <c r="O41" t="s">
        <v>3</v>
      </c>
      <c r="P41" t="s">
        <v>15</v>
      </c>
      <c r="Q41" t="s">
        <v>3</v>
      </c>
      <c r="S41" t="s">
        <v>11</v>
      </c>
    </row>
    <row r="42" spans="1:19" x14ac:dyDescent="0.15">
      <c r="A42" t="str">
        <f t="shared" si="2"/>
        <v>|Lv1|0|1|0|1|0|</v>
      </c>
      <c r="B42" t="s">
        <v>3</v>
      </c>
      <c r="C42" t="s">
        <v>8</v>
      </c>
      <c r="D42">
        <v>1</v>
      </c>
      <c r="E42" t="s">
        <v>3</v>
      </c>
      <c r="G42" t="s">
        <v>3</v>
      </c>
      <c r="H42">
        <v>0</v>
      </c>
      <c r="I42" t="s">
        <v>3</v>
      </c>
      <c r="J42">
        <v>1</v>
      </c>
      <c r="K42" t="s">
        <v>3</v>
      </c>
      <c r="L42">
        <v>0</v>
      </c>
      <c r="M42" t="s">
        <v>3</v>
      </c>
      <c r="N42">
        <v>1</v>
      </c>
      <c r="O42" t="s">
        <v>3</v>
      </c>
      <c r="P42">
        <v>0</v>
      </c>
      <c r="Q42" t="s">
        <v>3</v>
      </c>
      <c r="S42" t="s">
        <v>12</v>
      </c>
    </row>
    <row r="43" spans="1:19" x14ac:dyDescent="0.15">
      <c r="A43" t="str">
        <f t="shared" si="2"/>
        <v>|Lv4|0|2|0|1|0|</v>
      </c>
      <c r="B43" t="s">
        <v>3</v>
      </c>
      <c r="C43" t="s">
        <v>8</v>
      </c>
      <c r="D43">
        <v>4</v>
      </c>
      <c r="E43" t="s">
        <v>3</v>
      </c>
      <c r="F43" t="str">
        <f t="shared" ref="F43:F51" si="3">IF(ISBLANK(D43),"",INDEX($F$127:$F$186,D43))</f>
        <v>青</v>
      </c>
      <c r="G43" t="s">
        <v>3</v>
      </c>
      <c r="H43">
        <f t="shared" ref="H43:H51" si="4">H42+IF(H$41=$F43,1,0)</f>
        <v>0</v>
      </c>
      <c r="I43" t="str">
        <f t="shared" ref="I43:Q51" si="5">I42</f>
        <v>|</v>
      </c>
      <c r="J43">
        <f t="shared" ref="J43:J51" si="6">J42+IF(J$41=$F43,1,0)</f>
        <v>2</v>
      </c>
      <c r="K43" t="str">
        <f t="shared" si="5"/>
        <v>|</v>
      </c>
      <c r="L43">
        <f t="shared" ref="L43:L51" si="7">L42+IF(L$41=$F43,1,0)</f>
        <v>0</v>
      </c>
      <c r="M43" t="str">
        <f t="shared" si="5"/>
        <v>|</v>
      </c>
      <c r="N43">
        <f t="shared" ref="N43:N51" si="8">N42+IF(N$41=$F43,1,0)</f>
        <v>1</v>
      </c>
      <c r="O43" t="str">
        <f t="shared" si="5"/>
        <v>|</v>
      </c>
      <c r="P43">
        <f t="shared" ref="P43:P51" si="9">P42+IF(P$41=$F43,1,0)</f>
        <v>0</v>
      </c>
      <c r="Q43" t="str">
        <f t="shared" si="5"/>
        <v>|</v>
      </c>
      <c r="S43" t="s">
        <v>13</v>
      </c>
    </row>
    <row r="44" spans="1:19" x14ac:dyDescent="0.15">
      <c r="A44" t="str">
        <f t="shared" si="2"/>
        <v>|Lv10|0|2|0|2|0|</v>
      </c>
      <c r="B44" t="s">
        <v>3</v>
      </c>
      <c r="C44" t="s">
        <v>8</v>
      </c>
      <c r="D44">
        <v>10</v>
      </c>
      <c r="E44" t="s">
        <v>3</v>
      </c>
      <c r="F44" t="str">
        <f t="shared" si="3"/>
        <v>赤</v>
      </c>
      <c r="G44" t="s">
        <v>3</v>
      </c>
      <c r="H44">
        <f t="shared" si="4"/>
        <v>0</v>
      </c>
      <c r="I44" t="str">
        <f t="shared" si="5"/>
        <v>|</v>
      </c>
      <c r="J44">
        <f t="shared" si="6"/>
        <v>2</v>
      </c>
      <c r="K44" t="str">
        <f t="shared" si="5"/>
        <v>|</v>
      </c>
      <c r="L44">
        <f t="shared" si="7"/>
        <v>0</v>
      </c>
      <c r="M44" t="str">
        <f t="shared" si="5"/>
        <v>|</v>
      </c>
      <c r="N44">
        <f t="shared" si="8"/>
        <v>2</v>
      </c>
      <c r="O44" t="str">
        <f t="shared" si="5"/>
        <v>|</v>
      </c>
      <c r="P44">
        <f t="shared" si="9"/>
        <v>0</v>
      </c>
      <c r="Q44" t="str">
        <f t="shared" si="5"/>
        <v>|</v>
      </c>
      <c r="S44" t="s">
        <v>14</v>
      </c>
    </row>
    <row r="45" spans="1:19" x14ac:dyDescent="0.15">
      <c r="A45" t="str">
        <f t="shared" si="2"/>
        <v>|Lv16|0|2|0|2|1|</v>
      </c>
      <c r="B45" t="s">
        <v>3</v>
      </c>
      <c r="C45" t="s">
        <v>8</v>
      </c>
      <c r="D45">
        <v>16</v>
      </c>
      <c r="E45" t="s">
        <v>3</v>
      </c>
      <c r="F45" t="str">
        <f t="shared" si="3"/>
        <v>緑</v>
      </c>
      <c r="G45" t="s">
        <v>3</v>
      </c>
      <c r="H45">
        <f t="shared" si="4"/>
        <v>0</v>
      </c>
      <c r="I45" t="str">
        <f t="shared" si="5"/>
        <v>|</v>
      </c>
      <c r="J45">
        <f t="shared" si="6"/>
        <v>2</v>
      </c>
      <c r="K45" t="str">
        <f t="shared" si="5"/>
        <v>|</v>
      </c>
      <c r="L45">
        <f t="shared" si="7"/>
        <v>0</v>
      </c>
      <c r="M45" t="str">
        <f t="shared" si="5"/>
        <v>|</v>
      </c>
      <c r="N45">
        <f t="shared" si="8"/>
        <v>2</v>
      </c>
      <c r="O45" t="str">
        <f t="shared" si="5"/>
        <v>|</v>
      </c>
      <c r="P45">
        <f t="shared" si="9"/>
        <v>1</v>
      </c>
      <c r="Q45" t="str">
        <f t="shared" si="5"/>
        <v>|</v>
      </c>
      <c r="S45" t="s">
        <v>15</v>
      </c>
    </row>
    <row r="46" spans="1:19" x14ac:dyDescent="0.15">
      <c r="A46" t="str">
        <f t="shared" si="2"/>
        <v>|Lv22|0|3|0|2|1|</v>
      </c>
      <c r="B46" t="s">
        <v>3</v>
      </c>
      <c r="C46" t="s">
        <v>8</v>
      </c>
      <c r="D46">
        <v>22</v>
      </c>
      <c r="E46" t="s">
        <v>3</v>
      </c>
      <c r="F46" t="str">
        <f t="shared" si="3"/>
        <v>青</v>
      </c>
      <c r="G46" t="s">
        <v>3</v>
      </c>
      <c r="H46">
        <f t="shared" si="4"/>
        <v>0</v>
      </c>
      <c r="I46" t="str">
        <f t="shared" si="5"/>
        <v>|</v>
      </c>
      <c r="J46">
        <f t="shared" si="6"/>
        <v>3</v>
      </c>
      <c r="K46" t="str">
        <f t="shared" si="5"/>
        <v>|</v>
      </c>
      <c r="L46">
        <f t="shared" si="7"/>
        <v>0</v>
      </c>
      <c r="M46" t="str">
        <f t="shared" si="5"/>
        <v>|</v>
      </c>
      <c r="N46">
        <f t="shared" si="8"/>
        <v>2</v>
      </c>
      <c r="O46" t="str">
        <f t="shared" si="5"/>
        <v>|</v>
      </c>
      <c r="P46">
        <f t="shared" si="9"/>
        <v>1</v>
      </c>
      <c r="Q46" t="str">
        <f t="shared" si="5"/>
        <v>|</v>
      </c>
    </row>
    <row r="47" spans="1:19" x14ac:dyDescent="0.15">
      <c r="A47" t="str">
        <f t="shared" si="2"/>
        <v>|Lv28|0|3|0|3|1|</v>
      </c>
      <c r="B47" t="s">
        <v>3</v>
      </c>
      <c r="C47" t="s">
        <v>8</v>
      </c>
      <c r="D47">
        <v>28</v>
      </c>
      <c r="E47" t="s">
        <v>3</v>
      </c>
      <c r="F47" t="str">
        <f t="shared" si="3"/>
        <v>赤</v>
      </c>
      <c r="G47" t="s">
        <v>3</v>
      </c>
      <c r="H47">
        <f t="shared" si="4"/>
        <v>0</v>
      </c>
      <c r="I47" t="str">
        <f t="shared" si="5"/>
        <v>|</v>
      </c>
      <c r="J47">
        <f t="shared" si="6"/>
        <v>3</v>
      </c>
      <c r="K47" t="str">
        <f t="shared" si="5"/>
        <v>|</v>
      </c>
      <c r="L47">
        <f t="shared" si="7"/>
        <v>0</v>
      </c>
      <c r="M47" t="str">
        <f t="shared" si="5"/>
        <v>|</v>
      </c>
      <c r="N47">
        <f t="shared" si="8"/>
        <v>3</v>
      </c>
      <c r="O47" t="str">
        <f t="shared" si="5"/>
        <v>|</v>
      </c>
      <c r="P47">
        <f t="shared" si="9"/>
        <v>1</v>
      </c>
      <c r="Q47" t="str">
        <f t="shared" si="5"/>
        <v>|</v>
      </c>
    </row>
    <row r="48" spans="1:19" x14ac:dyDescent="0.15">
      <c r="A48" t="str">
        <f t="shared" si="2"/>
        <v>|Lv34|0|3|1|3|1|</v>
      </c>
      <c r="B48" t="s">
        <v>3</v>
      </c>
      <c r="C48" t="s">
        <v>8</v>
      </c>
      <c r="D48">
        <v>34</v>
      </c>
      <c r="E48" t="s">
        <v>3</v>
      </c>
      <c r="F48" t="str">
        <f t="shared" si="3"/>
        <v>黒</v>
      </c>
      <c r="G48" t="s">
        <v>3</v>
      </c>
      <c r="H48">
        <f t="shared" si="4"/>
        <v>0</v>
      </c>
      <c r="I48" t="str">
        <f t="shared" si="5"/>
        <v>|</v>
      </c>
      <c r="J48">
        <f t="shared" si="6"/>
        <v>3</v>
      </c>
      <c r="K48" t="str">
        <f t="shared" si="5"/>
        <v>|</v>
      </c>
      <c r="L48">
        <f t="shared" si="7"/>
        <v>1</v>
      </c>
      <c r="M48" t="str">
        <f t="shared" si="5"/>
        <v>|</v>
      </c>
      <c r="N48">
        <f t="shared" si="8"/>
        <v>3</v>
      </c>
      <c r="O48" t="str">
        <f t="shared" si="5"/>
        <v>|</v>
      </c>
      <c r="P48">
        <f t="shared" si="9"/>
        <v>1</v>
      </c>
      <c r="Q48" t="str">
        <f t="shared" si="5"/>
        <v>|</v>
      </c>
    </row>
    <row r="49" spans="1:19" x14ac:dyDescent="0.15">
      <c r="A49" t="str">
        <f t="shared" si="2"/>
        <v>|Lv42|0|4|1|3|1|</v>
      </c>
      <c r="B49" t="s">
        <v>3</v>
      </c>
      <c r="C49" t="s">
        <v>8</v>
      </c>
      <c r="D49">
        <v>42</v>
      </c>
      <c r="E49" t="s">
        <v>3</v>
      </c>
      <c r="F49" t="str">
        <f t="shared" si="3"/>
        <v>青</v>
      </c>
      <c r="G49" t="s">
        <v>3</v>
      </c>
      <c r="H49">
        <f t="shared" si="4"/>
        <v>0</v>
      </c>
      <c r="I49" t="str">
        <f t="shared" si="5"/>
        <v>|</v>
      </c>
      <c r="J49">
        <f t="shared" si="6"/>
        <v>4</v>
      </c>
      <c r="K49" t="str">
        <f t="shared" si="5"/>
        <v>|</v>
      </c>
      <c r="L49">
        <f t="shared" si="7"/>
        <v>1</v>
      </c>
      <c r="M49" t="str">
        <f t="shared" si="5"/>
        <v>|</v>
      </c>
      <c r="N49">
        <f t="shared" si="8"/>
        <v>3</v>
      </c>
      <c r="O49" t="str">
        <f t="shared" si="5"/>
        <v>|</v>
      </c>
      <c r="P49">
        <f t="shared" si="9"/>
        <v>1</v>
      </c>
      <c r="Q49" t="str">
        <f t="shared" si="5"/>
        <v>|</v>
      </c>
    </row>
    <row r="50" spans="1:19" x14ac:dyDescent="0.15">
      <c r="A50" t="str">
        <f t="shared" si="2"/>
        <v>|Lv48|0|4|1|4|1|</v>
      </c>
      <c r="B50" t="s">
        <v>3</v>
      </c>
      <c r="C50" t="s">
        <v>8</v>
      </c>
      <c r="D50">
        <v>48</v>
      </c>
      <c r="E50" t="s">
        <v>3</v>
      </c>
      <c r="F50" t="str">
        <f t="shared" si="3"/>
        <v>赤</v>
      </c>
      <c r="G50" t="s">
        <v>3</v>
      </c>
      <c r="H50">
        <f t="shared" si="4"/>
        <v>0</v>
      </c>
      <c r="I50" t="str">
        <f t="shared" si="5"/>
        <v>|</v>
      </c>
      <c r="J50">
        <f t="shared" si="6"/>
        <v>4</v>
      </c>
      <c r="K50" t="str">
        <f t="shared" si="5"/>
        <v>|</v>
      </c>
      <c r="L50">
        <f t="shared" si="7"/>
        <v>1</v>
      </c>
      <c r="M50" t="str">
        <f t="shared" si="5"/>
        <v>|</v>
      </c>
      <c r="N50">
        <f t="shared" si="8"/>
        <v>4</v>
      </c>
      <c r="O50" t="str">
        <f t="shared" si="5"/>
        <v>|</v>
      </c>
      <c r="P50">
        <f t="shared" si="9"/>
        <v>1</v>
      </c>
      <c r="Q50" t="str">
        <f t="shared" si="5"/>
        <v>|</v>
      </c>
    </row>
    <row r="51" spans="1:19" x14ac:dyDescent="0.15">
      <c r="A51" t="str">
        <f t="shared" si="2"/>
        <v>|Lv54|1|4|1|4|1|</v>
      </c>
      <c r="B51" t="s">
        <v>3</v>
      </c>
      <c r="C51" t="s">
        <v>8</v>
      </c>
      <c r="D51">
        <v>54</v>
      </c>
      <c r="E51" t="s">
        <v>3</v>
      </c>
      <c r="F51" t="str">
        <f t="shared" si="3"/>
        <v>白</v>
      </c>
      <c r="G51" t="s">
        <v>3</v>
      </c>
      <c r="H51">
        <f t="shared" si="4"/>
        <v>1</v>
      </c>
      <c r="I51" t="str">
        <f t="shared" si="5"/>
        <v>|</v>
      </c>
      <c r="J51">
        <f t="shared" si="6"/>
        <v>4</v>
      </c>
      <c r="K51" t="str">
        <f t="shared" si="5"/>
        <v>|</v>
      </c>
      <c r="L51">
        <f t="shared" si="7"/>
        <v>1</v>
      </c>
      <c r="M51" t="str">
        <f t="shared" si="5"/>
        <v>|</v>
      </c>
      <c r="N51">
        <f t="shared" si="8"/>
        <v>4</v>
      </c>
      <c r="O51" t="str">
        <f t="shared" si="5"/>
        <v>|</v>
      </c>
      <c r="P51">
        <f t="shared" si="9"/>
        <v>1</v>
      </c>
      <c r="Q51" t="str">
        <f t="shared" si="5"/>
        <v>|</v>
      </c>
    </row>
    <row r="52" spans="1:19" x14ac:dyDescent="0.15">
      <c r="A52" t="str">
        <f>B52&amp;C52&amp;D52&amp;E52&amp;F52&amp;G52&amp;H52&amp;I52&amp;J52&amp;K52&amp;L52&amp;M52&amp;N52&amp;O52&amp;P52</f>
        <v>&amp;br;</v>
      </c>
      <c r="B52" t="s">
        <v>0</v>
      </c>
    </row>
    <row r="53" spans="1:19" x14ac:dyDescent="0.15">
      <c r="A53" t="str">
        <f>B53&amp;C53&amp;D53&amp;E53&amp;F53&amp;G53&amp;H53&amp;I53&amp;J53&amp;K53&amp;L53&amp;M53&amp;N53&amp;O53&amp;P53</f>
        <v>&amp;br;</v>
      </c>
      <c r="B53" t="s">
        <v>0</v>
      </c>
    </row>
    <row r="54" spans="1:19" x14ac:dyDescent="0.15">
      <c r="A54" t="str">
        <f>B54&amp;C54&amp;D54&amp;E54&amp;F54&amp;G54&amp;H54&amp;I54&amp;J54&amp;K54&amp;L54&amp;M54&amp;N54&amp;O54&amp;P54</f>
        <v>*デッキ構築枚数上限 [#e6f382eb]</v>
      </c>
      <c r="B54" t="s">
        <v>16</v>
      </c>
    </row>
    <row r="55" spans="1:19" x14ac:dyDescent="0.15">
      <c r="A55" t="str">
        <f>B55&amp;C55&amp;D55&amp;E55&amp;F55&amp;G55&amp;H55&amp;I55&amp;J55&amp;K55&amp;L55&amp;M55&amp;N55&amp;O55&amp;P55</f>
        <v>構築枚数上限を越える枚数はデッキに入れられない。</v>
      </c>
      <c r="B55" t="s">
        <v>17</v>
      </c>
    </row>
    <row r="56" spans="1:19" x14ac:dyDescent="0.15">
      <c r="A56" t="str">
        <f t="shared" ref="A56:A65" si="10">B56&amp;C56&amp;D56&amp;G56&amp;H56&amp;I56&amp;J56&amp;K56&amp;L56&amp;M56&amp;N56&amp;O56&amp;P56&amp;Q56&amp;R56</f>
        <v>|LEFT:50|LEFT:80|LEFT:80|LEFT:80|c</v>
      </c>
      <c r="B56" t="s">
        <v>3</v>
      </c>
      <c r="C56" t="s">
        <v>4</v>
      </c>
      <c r="E56" t="s">
        <v>3</v>
      </c>
      <c r="G56" t="s">
        <v>3</v>
      </c>
      <c r="H56" t="s">
        <v>18</v>
      </c>
      <c r="I56" t="s">
        <v>3</v>
      </c>
      <c r="J56" t="s">
        <v>18</v>
      </c>
      <c r="K56" t="s">
        <v>3</v>
      </c>
      <c r="L56" t="s">
        <v>18</v>
      </c>
      <c r="M56" t="s">
        <v>3</v>
      </c>
      <c r="N56" t="s">
        <v>5</v>
      </c>
    </row>
    <row r="57" spans="1:19" x14ac:dyDescent="0.15">
      <c r="A57" t="str">
        <f t="shared" si="10"/>
        <v>|レベル|クリーチャー|呪文|サポート|</v>
      </c>
      <c r="B57" t="s">
        <v>3</v>
      </c>
      <c r="C57" t="s">
        <v>6</v>
      </c>
      <c r="E57" t="s">
        <v>3</v>
      </c>
      <c r="F57" t="s">
        <v>19</v>
      </c>
      <c r="G57" t="s">
        <v>3</v>
      </c>
      <c r="H57" t="s">
        <v>20</v>
      </c>
      <c r="I57" t="s">
        <v>3</v>
      </c>
      <c r="J57" t="s">
        <v>21</v>
      </c>
      <c r="K57" t="s">
        <v>3</v>
      </c>
      <c r="L57" t="s">
        <v>22</v>
      </c>
      <c r="M57" t="s">
        <v>3</v>
      </c>
      <c r="S57" t="s">
        <v>20</v>
      </c>
    </row>
    <row r="58" spans="1:19" x14ac:dyDescent="0.15">
      <c r="A58" t="str">
        <f t="shared" si="10"/>
        <v>|Lv1|5|5|5|</v>
      </c>
      <c r="B58" t="s">
        <v>3</v>
      </c>
      <c r="C58" t="s">
        <v>8</v>
      </c>
      <c r="D58">
        <v>1</v>
      </c>
      <c r="E58" t="s">
        <v>3</v>
      </c>
      <c r="G58" t="s">
        <v>3</v>
      </c>
      <c r="H58">
        <v>5</v>
      </c>
      <c r="I58" t="s">
        <v>3</v>
      </c>
      <c r="J58">
        <v>5</v>
      </c>
      <c r="K58" t="s">
        <v>3</v>
      </c>
      <c r="L58">
        <v>5</v>
      </c>
      <c r="M58" t="s">
        <v>3</v>
      </c>
      <c r="S58" t="s">
        <v>21</v>
      </c>
    </row>
    <row r="59" spans="1:19" x14ac:dyDescent="0.15">
      <c r="A59" t="str">
        <f t="shared" si="10"/>
        <v>|Lv2|6|5|5|</v>
      </c>
      <c r="B59" t="s">
        <v>3</v>
      </c>
      <c r="C59" t="s">
        <v>8</v>
      </c>
      <c r="D59">
        <v>2</v>
      </c>
      <c r="E59" t="s">
        <v>3</v>
      </c>
      <c r="F59" t="str">
        <f t="shared" ref="F59:F65" si="11">IF(ISBLANK(D59),"",INDEX($F$127:$F$186,D59))</f>
        <v>クリーチャー</v>
      </c>
      <c r="G59" t="s">
        <v>3</v>
      </c>
      <c r="H59">
        <f t="shared" ref="H59:H65" si="12">H58+IF(H$57=$F59,INDEX($H$127:$H$186,D59),0)</f>
        <v>6</v>
      </c>
      <c r="I59" t="s">
        <v>3</v>
      </c>
      <c r="J59">
        <f t="shared" ref="J59:J65" si="13">J58+IF(J$57=$F59,INDEX($H$127:$H$186,D59),0)</f>
        <v>5</v>
      </c>
      <c r="K59" t="s">
        <v>3</v>
      </c>
      <c r="L59">
        <f t="shared" ref="L59:L65" si="14">L58+IF(L$57=$F59,INDEX($H$127:$H$186,D59),0)</f>
        <v>5</v>
      </c>
      <c r="M59" t="s">
        <v>3</v>
      </c>
      <c r="S59" t="s">
        <v>22</v>
      </c>
    </row>
    <row r="60" spans="1:19" x14ac:dyDescent="0.15">
      <c r="A60" t="str">
        <f t="shared" si="10"/>
        <v>|Lv8|6|5|6|</v>
      </c>
      <c r="B60" t="s">
        <v>3</v>
      </c>
      <c r="C60" t="s">
        <v>8</v>
      </c>
      <c r="D60">
        <v>8</v>
      </c>
      <c r="E60" t="s">
        <v>3</v>
      </c>
      <c r="F60" t="str">
        <f t="shared" si="11"/>
        <v>サポート</v>
      </c>
      <c r="G60" t="s">
        <v>3</v>
      </c>
      <c r="H60">
        <f t="shared" si="12"/>
        <v>6</v>
      </c>
      <c r="I60" t="s">
        <v>3</v>
      </c>
      <c r="J60">
        <f t="shared" si="13"/>
        <v>5</v>
      </c>
      <c r="K60" t="s">
        <v>3</v>
      </c>
      <c r="L60">
        <f t="shared" si="14"/>
        <v>6</v>
      </c>
      <c r="M60" t="s">
        <v>3</v>
      </c>
    </row>
    <row r="61" spans="1:19" x14ac:dyDescent="0.15">
      <c r="A61" t="str">
        <f t="shared" si="10"/>
        <v>|Lv14|6|6|6|</v>
      </c>
      <c r="B61" t="s">
        <v>3</v>
      </c>
      <c r="C61" t="s">
        <v>8</v>
      </c>
      <c r="D61">
        <v>14</v>
      </c>
      <c r="E61" t="s">
        <v>3</v>
      </c>
      <c r="F61" t="str">
        <f t="shared" si="11"/>
        <v>呪文</v>
      </c>
      <c r="G61" t="s">
        <v>3</v>
      </c>
      <c r="H61">
        <f t="shared" si="12"/>
        <v>6</v>
      </c>
      <c r="I61" t="s">
        <v>3</v>
      </c>
      <c r="J61">
        <f t="shared" si="13"/>
        <v>6</v>
      </c>
      <c r="K61" t="s">
        <v>3</v>
      </c>
      <c r="L61">
        <f t="shared" si="14"/>
        <v>6</v>
      </c>
      <c r="M61" t="s">
        <v>3</v>
      </c>
    </row>
    <row r="62" spans="1:19" x14ac:dyDescent="0.15">
      <c r="A62" t="str">
        <f t="shared" si="10"/>
        <v>|Lv26|7|6|6|</v>
      </c>
      <c r="B62" t="s">
        <v>3</v>
      </c>
      <c r="C62" t="s">
        <v>8</v>
      </c>
      <c r="D62">
        <v>26</v>
      </c>
      <c r="E62" t="s">
        <v>3</v>
      </c>
      <c r="F62" t="str">
        <f t="shared" si="11"/>
        <v>クリーチャー</v>
      </c>
      <c r="G62" t="s">
        <v>3</v>
      </c>
      <c r="H62">
        <f t="shared" si="12"/>
        <v>7</v>
      </c>
      <c r="I62" t="s">
        <v>3</v>
      </c>
      <c r="J62">
        <f t="shared" si="13"/>
        <v>6</v>
      </c>
      <c r="K62" t="s">
        <v>3</v>
      </c>
      <c r="L62">
        <f t="shared" si="14"/>
        <v>6</v>
      </c>
      <c r="M62" t="s">
        <v>3</v>
      </c>
    </row>
    <row r="63" spans="1:19" x14ac:dyDescent="0.15">
      <c r="A63" t="str">
        <f t="shared" si="10"/>
        <v>|Lv32|7|6|7|</v>
      </c>
      <c r="B63" t="s">
        <v>3</v>
      </c>
      <c r="C63" t="s">
        <v>8</v>
      </c>
      <c r="D63">
        <v>32</v>
      </c>
      <c r="E63" t="s">
        <v>3</v>
      </c>
      <c r="F63" t="str">
        <f t="shared" si="11"/>
        <v>サポート</v>
      </c>
      <c r="G63" t="s">
        <v>3</v>
      </c>
      <c r="H63">
        <f t="shared" si="12"/>
        <v>7</v>
      </c>
      <c r="I63" t="s">
        <v>3</v>
      </c>
      <c r="J63">
        <f t="shared" si="13"/>
        <v>6</v>
      </c>
      <c r="K63" t="s">
        <v>3</v>
      </c>
      <c r="L63">
        <f t="shared" si="14"/>
        <v>7</v>
      </c>
      <c r="M63" t="s">
        <v>3</v>
      </c>
    </row>
    <row r="64" spans="1:19" x14ac:dyDescent="0.15">
      <c r="A64" t="str">
        <f t="shared" si="10"/>
        <v>|Lv38|7|7|7|</v>
      </c>
      <c r="B64" t="s">
        <v>3</v>
      </c>
      <c r="C64" t="s">
        <v>8</v>
      </c>
      <c r="D64">
        <v>38</v>
      </c>
      <c r="E64" t="s">
        <v>3</v>
      </c>
      <c r="F64" t="str">
        <f t="shared" si="11"/>
        <v>呪文</v>
      </c>
      <c r="G64" t="s">
        <v>3</v>
      </c>
      <c r="H64">
        <f t="shared" si="12"/>
        <v>7</v>
      </c>
      <c r="I64" t="s">
        <v>3</v>
      </c>
      <c r="J64">
        <f t="shared" si="13"/>
        <v>7</v>
      </c>
      <c r="K64" t="s">
        <v>3</v>
      </c>
      <c r="L64">
        <f t="shared" si="14"/>
        <v>7</v>
      </c>
      <c r="M64" t="s">
        <v>3</v>
      </c>
    </row>
    <row r="65" spans="1:20" x14ac:dyDescent="0.15">
      <c r="A65" t="str">
        <f t="shared" si="10"/>
        <v>|Lv50|8|7|7|</v>
      </c>
      <c r="B65" t="s">
        <v>3</v>
      </c>
      <c r="C65" t="s">
        <v>8</v>
      </c>
      <c r="D65">
        <v>50</v>
      </c>
      <c r="E65" t="s">
        <v>3</v>
      </c>
      <c r="F65" t="str">
        <f t="shared" si="11"/>
        <v>クリーチャー</v>
      </c>
      <c r="G65" t="s">
        <v>3</v>
      </c>
      <c r="H65">
        <f t="shared" si="12"/>
        <v>8</v>
      </c>
      <c r="I65" t="s">
        <v>3</v>
      </c>
      <c r="J65">
        <f t="shared" si="13"/>
        <v>7</v>
      </c>
      <c r="K65" t="s">
        <v>3</v>
      </c>
      <c r="L65">
        <f t="shared" si="14"/>
        <v>7</v>
      </c>
      <c r="M65" t="s">
        <v>3</v>
      </c>
    </row>
    <row r="66" spans="1:20" x14ac:dyDescent="0.15">
      <c r="A66" t="str">
        <f t="shared" ref="A66:A87" si="15">B66&amp;C66&amp;D66&amp;E66&amp;F66&amp;G66&amp;H66&amp;I66&amp;J66&amp;K66&amp;L66&amp;M66&amp;N66&amp;O66&amp;P66</f>
        <v>&amp;br;</v>
      </c>
      <c r="B66" t="s">
        <v>0</v>
      </c>
    </row>
    <row r="67" spans="1:20" x14ac:dyDescent="0.15">
      <c r="A67" t="str">
        <f t="shared" si="15"/>
        <v>&amp;br;</v>
      </c>
      <c r="B67" t="s">
        <v>0</v>
      </c>
    </row>
    <row r="68" spans="1:20" x14ac:dyDescent="0.15">
      <c r="A68" t="str">
        <f t="shared" si="15"/>
        <v>*PW能力一覧 [#a469e89f]</v>
      </c>
      <c r="B68" t="s">
        <v>23</v>
      </c>
    </row>
    <row r="69" spans="1:20" x14ac:dyDescent="0.15">
      <c r="A69" t="str">
        <f t="shared" si="15"/>
        <v>**第1能力：競争/Whirlermaker</v>
      </c>
      <c r="B69" t="s">
        <v>24</v>
      </c>
      <c r="D69" t="s">
        <v>492</v>
      </c>
      <c r="E69" t="s">
        <v>25</v>
      </c>
      <c r="F69" t="s">
        <v>493</v>
      </c>
      <c r="R69" t="str">
        <f>D69&amp;E69&amp;F69</f>
        <v>競争/Whirlermaker</v>
      </c>
      <c r="S69" t="s">
        <v>3</v>
      </c>
      <c r="T69">
        <f>H75</f>
        <v>6</v>
      </c>
    </row>
    <row r="70" spans="1:20" x14ac:dyDescent="0.15">
      <c r="A70" t="str">
        <f t="shared" si="15"/>
        <v>|LEFT:50|LEFT:50|LEFT:50|LEFT:300|c</v>
      </c>
      <c r="B70" t="s">
        <v>3</v>
      </c>
      <c r="C70" t="s">
        <v>4</v>
      </c>
      <c r="E70" t="s">
        <v>3</v>
      </c>
      <c r="F70" t="s">
        <v>4</v>
      </c>
      <c r="G70" t="s">
        <v>3</v>
      </c>
      <c r="H70" t="s">
        <v>4</v>
      </c>
      <c r="I70" t="s">
        <v>3</v>
      </c>
      <c r="J70" t="s">
        <v>26</v>
      </c>
      <c r="K70" t="s">
        <v>3</v>
      </c>
      <c r="L70" t="s">
        <v>5</v>
      </c>
      <c r="N70" s="6"/>
      <c r="R70" t="s">
        <v>209</v>
      </c>
      <c r="S70" t="s">
        <v>3</v>
      </c>
      <c r="T70" t="str">
        <f>J75</f>
        <v>飛行を持つ1/1の無色の飛行機械・アーティファクト・トークンを4体生成する。エネルギー化4を行う。</v>
      </c>
    </row>
    <row r="71" spans="1:20" x14ac:dyDescent="0.15">
      <c r="A71" t="str">
        <f t="shared" si="15"/>
        <v>|解放Lv|レベル|コスト|効果|</v>
      </c>
      <c r="B71" t="s">
        <v>3</v>
      </c>
      <c r="C71" t="s">
        <v>27</v>
      </c>
      <c r="E71" t="s">
        <v>3</v>
      </c>
      <c r="F71" t="s">
        <v>6</v>
      </c>
      <c r="G71" t="s">
        <v>3</v>
      </c>
      <c r="H71" t="s">
        <v>28</v>
      </c>
      <c r="I71" t="s">
        <v>3</v>
      </c>
      <c r="J71" t="s">
        <v>29</v>
      </c>
      <c r="K71" t="s">
        <v>3</v>
      </c>
      <c r="N71" s="6"/>
      <c r="R71" t="str">
        <f>D78&amp;E78&amp;F78</f>
        <v>速製/Construct Artistry</v>
      </c>
      <c r="S71" t="s">
        <v>3</v>
      </c>
      <c r="T71">
        <f>H84</f>
        <v>9</v>
      </c>
    </row>
    <row r="72" spans="1:20" x14ac:dyDescent="0.15">
      <c r="A72" t="str">
        <f t="shared" si="15"/>
        <v>|Lv6|Lv1|6|飛行を持つ1/1の無色の飛行機械・アーティファクト・トークンを1体生成する。エネルギー化1を行う。|</v>
      </c>
      <c r="B72" t="s">
        <v>3</v>
      </c>
      <c r="C72" t="s">
        <v>244</v>
      </c>
      <c r="E72" t="s">
        <v>3</v>
      </c>
      <c r="F72" t="s">
        <v>30</v>
      </c>
      <c r="G72" t="s">
        <v>3</v>
      </c>
      <c r="H72">
        <v>6</v>
      </c>
      <c r="I72" t="s">
        <v>3</v>
      </c>
      <c r="J72" t="s">
        <v>494</v>
      </c>
      <c r="K72" t="s">
        <v>3</v>
      </c>
      <c r="N72" s="6"/>
      <c r="R72" t="s">
        <v>209</v>
      </c>
      <c r="S72" t="s">
        <v>3</v>
      </c>
      <c r="T72" t="str">
        <f>J84</f>
        <v>ボードからエネルギー化ジェムを2つ取り除く。あなたがコントロールする各構築物・クリーチャーに+6/+6の修正を与える。</v>
      </c>
    </row>
    <row r="73" spans="1:20" x14ac:dyDescent="0.15">
      <c r="A73" t="str">
        <f t="shared" si="15"/>
        <v>|Lv24|Lv2|6|飛行を持つ1/1の無色の飛行機械・アーティファクト・トークンを2体生成する。エネルギー化2を行う。|</v>
      </c>
      <c r="B73" t="s">
        <v>3</v>
      </c>
      <c r="C73" t="s">
        <v>246</v>
      </c>
      <c r="E73" t="s">
        <v>3</v>
      </c>
      <c r="F73" t="s">
        <v>31</v>
      </c>
      <c r="G73" t="s">
        <v>3</v>
      </c>
      <c r="H73">
        <v>6</v>
      </c>
      <c r="I73" t="s">
        <v>3</v>
      </c>
      <c r="J73" t="s">
        <v>495</v>
      </c>
      <c r="K73" t="s">
        <v>3</v>
      </c>
      <c r="R73" t="str">
        <f>D87&amp;E87&amp;F87</f>
        <v>発明/Vehicular Assembly</v>
      </c>
      <c r="S73" t="s">
        <v>3</v>
      </c>
      <c r="T73">
        <f>H93</f>
        <v>20</v>
      </c>
    </row>
    <row r="74" spans="1:20" x14ac:dyDescent="0.15">
      <c r="A74" t="str">
        <f t="shared" si="15"/>
        <v>|Lv40|Lv3|6|飛行を持つ1/1の無色の飛行機械・アーティファクト・トークンを3体生成する。エネルギー化3を行う。|</v>
      </c>
      <c r="B74" t="s">
        <v>3</v>
      </c>
      <c r="C74" t="s">
        <v>248</v>
      </c>
      <c r="E74" t="s">
        <v>3</v>
      </c>
      <c r="F74" t="s">
        <v>32</v>
      </c>
      <c r="G74" t="s">
        <v>3</v>
      </c>
      <c r="H74">
        <v>6</v>
      </c>
      <c r="I74" t="s">
        <v>3</v>
      </c>
      <c r="J74" t="s">
        <v>496</v>
      </c>
      <c r="K74" t="s">
        <v>3</v>
      </c>
      <c r="R74" t="s">
        <v>209</v>
      </c>
      <c r="S74" t="s">
        <v>3</v>
      </c>
      <c r="T74" t="str">
        <f>J93</f>
        <v>あなたのライブラリーから次の機体を4つ取ってきて、それを戦場に出す。</v>
      </c>
    </row>
    <row r="75" spans="1:20" x14ac:dyDescent="0.15">
      <c r="A75" t="str">
        <f t="shared" si="15"/>
        <v>|Lv56|Lv4|6|飛行を持つ1/1の無色の飛行機械・アーティファクト・トークンを4体生成する。エネルギー化4を行う。|</v>
      </c>
      <c r="B75" t="s">
        <v>3</v>
      </c>
      <c r="C75" t="s">
        <v>250</v>
      </c>
      <c r="E75" t="s">
        <v>3</v>
      </c>
      <c r="F75" t="s">
        <v>33</v>
      </c>
      <c r="G75" t="s">
        <v>3</v>
      </c>
      <c r="H75">
        <v>6</v>
      </c>
      <c r="I75" t="s">
        <v>3</v>
      </c>
      <c r="J75" t="s">
        <v>497</v>
      </c>
      <c r="K75" t="s">
        <v>3</v>
      </c>
    </row>
    <row r="76" spans="1:20" x14ac:dyDescent="0.15">
      <c r="A76" t="str">
        <f t="shared" si="15"/>
        <v>&amp;br;</v>
      </c>
      <c r="B76" t="s">
        <v>0</v>
      </c>
    </row>
    <row r="77" spans="1:20" x14ac:dyDescent="0.15">
      <c r="A77" t="str">
        <f t="shared" si="15"/>
        <v>&amp;br;</v>
      </c>
      <c r="B77" t="s">
        <v>0</v>
      </c>
    </row>
    <row r="78" spans="1:20" x14ac:dyDescent="0.15">
      <c r="A78" t="str">
        <f t="shared" si="15"/>
        <v>**第2能力：速製/Construct Artistry</v>
      </c>
      <c r="B78" t="s">
        <v>34</v>
      </c>
      <c r="D78" t="s">
        <v>498</v>
      </c>
      <c r="E78" t="s">
        <v>25</v>
      </c>
      <c r="F78" t="s">
        <v>499</v>
      </c>
    </row>
    <row r="79" spans="1:20" x14ac:dyDescent="0.15">
      <c r="A79" t="str">
        <f t="shared" si="15"/>
        <v>|LEFT:50|LEFT:50|LEFT:50|LEFT:300|c</v>
      </c>
      <c r="B79" t="s">
        <v>3</v>
      </c>
      <c r="C79" t="s">
        <v>4</v>
      </c>
      <c r="E79" t="s">
        <v>3</v>
      </c>
      <c r="F79" t="s">
        <v>4</v>
      </c>
      <c r="G79" t="s">
        <v>3</v>
      </c>
      <c r="H79" t="s">
        <v>4</v>
      </c>
      <c r="I79" t="s">
        <v>3</v>
      </c>
      <c r="J79" t="s">
        <v>26</v>
      </c>
      <c r="K79" t="s">
        <v>3</v>
      </c>
      <c r="L79" t="s">
        <v>5</v>
      </c>
    </row>
    <row r="80" spans="1:20" x14ac:dyDescent="0.15">
      <c r="A80" t="str">
        <f t="shared" si="15"/>
        <v>|解放Lv|レベル|コスト|効果|</v>
      </c>
      <c r="B80" t="s">
        <v>3</v>
      </c>
      <c r="C80" t="s">
        <v>27</v>
      </c>
      <c r="E80" t="s">
        <v>3</v>
      </c>
      <c r="F80" t="s">
        <v>6</v>
      </c>
      <c r="G80" t="s">
        <v>3</v>
      </c>
      <c r="H80" t="s">
        <v>28</v>
      </c>
      <c r="I80" t="s">
        <v>3</v>
      </c>
      <c r="J80" t="s">
        <v>29</v>
      </c>
      <c r="K80" t="s">
        <v>3</v>
      </c>
    </row>
    <row r="81" spans="1:12" x14ac:dyDescent="0.15">
      <c r="A81" t="str">
        <f t="shared" si="15"/>
        <v>|Lv12|Lv1|9|ボードからエネルギー化ジェムを2つ取り除く。あなたがコントロールする各構築物・クリーチャーに+3/+3の修正を与える。|</v>
      </c>
      <c r="B81" t="s">
        <v>3</v>
      </c>
      <c r="C81" t="s">
        <v>254</v>
      </c>
      <c r="E81" t="s">
        <v>3</v>
      </c>
      <c r="F81" t="s">
        <v>30</v>
      </c>
      <c r="G81" t="s">
        <v>3</v>
      </c>
      <c r="H81">
        <v>9</v>
      </c>
      <c r="I81" t="s">
        <v>3</v>
      </c>
      <c r="J81" t="s">
        <v>500</v>
      </c>
      <c r="K81" t="s">
        <v>3</v>
      </c>
    </row>
    <row r="82" spans="1:12" x14ac:dyDescent="0.15">
      <c r="A82" t="str">
        <f t="shared" si="15"/>
        <v>|Lv30|Lv2|9|ボードからエネルギー化ジェムを2つ取り除く。あなたがコントロールする各構築物・クリーチャーに+4/+4の修正を与える。|</v>
      </c>
      <c r="B82" t="s">
        <v>3</v>
      </c>
      <c r="C82" t="s">
        <v>256</v>
      </c>
      <c r="E82" t="s">
        <v>3</v>
      </c>
      <c r="F82" t="s">
        <v>31</v>
      </c>
      <c r="G82" t="s">
        <v>3</v>
      </c>
      <c r="H82">
        <v>9</v>
      </c>
      <c r="I82" t="s">
        <v>3</v>
      </c>
      <c r="J82" t="s">
        <v>501</v>
      </c>
      <c r="K82" t="s">
        <v>3</v>
      </c>
    </row>
    <row r="83" spans="1:12" x14ac:dyDescent="0.15">
      <c r="A83" t="str">
        <f t="shared" si="15"/>
        <v>|Lv46|Lv3|9|ボードからエネルギー化ジェムを2つ取り除く。あなたがコントロールする各構築物・クリーチャーに+5/+5の修正を与える。|</v>
      </c>
      <c r="B83" t="s">
        <v>3</v>
      </c>
      <c r="C83" t="s">
        <v>258</v>
      </c>
      <c r="E83" t="s">
        <v>3</v>
      </c>
      <c r="F83" t="s">
        <v>32</v>
      </c>
      <c r="G83" t="s">
        <v>3</v>
      </c>
      <c r="H83">
        <v>9</v>
      </c>
      <c r="I83" t="s">
        <v>3</v>
      </c>
      <c r="J83" t="s">
        <v>502</v>
      </c>
      <c r="K83" t="s">
        <v>3</v>
      </c>
    </row>
    <row r="84" spans="1:12" x14ac:dyDescent="0.15">
      <c r="A84" t="str">
        <f t="shared" si="15"/>
        <v>|Lv58|Lv4|9|ボードからエネルギー化ジェムを2つ取り除く。あなたがコントロールする各構築物・クリーチャーに+6/+6の修正を与える。|</v>
      </c>
      <c r="B84" t="s">
        <v>3</v>
      </c>
      <c r="C84" t="s">
        <v>260</v>
      </c>
      <c r="E84" t="s">
        <v>3</v>
      </c>
      <c r="F84" t="s">
        <v>33</v>
      </c>
      <c r="G84" t="s">
        <v>3</v>
      </c>
      <c r="H84">
        <v>9</v>
      </c>
      <c r="I84" t="s">
        <v>3</v>
      </c>
      <c r="J84" t="s">
        <v>503</v>
      </c>
      <c r="K84" t="s">
        <v>3</v>
      </c>
    </row>
    <row r="85" spans="1:12" x14ac:dyDescent="0.15">
      <c r="A85" t="str">
        <f t="shared" si="15"/>
        <v>&amp;br;</v>
      </c>
      <c r="B85" t="s">
        <v>0</v>
      </c>
    </row>
    <row r="86" spans="1:12" x14ac:dyDescent="0.15">
      <c r="A86" t="str">
        <f t="shared" si="15"/>
        <v>&amp;br;</v>
      </c>
      <c r="B86" t="s">
        <v>0</v>
      </c>
    </row>
    <row r="87" spans="1:12" x14ac:dyDescent="0.15">
      <c r="A87" t="str">
        <f t="shared" si="15"/>
        <v>**第3能力：発明/Vehicular Assembly</v>
      </c>
      <c r="B87" t="s">
        <v>35</v>
      </c>
      <c r="D87" t="s">
        <v>504</v>
      </c>
      <c r="E87" t="s">
        <v>25</v>
      </c>
      <c r="F87" t="s">
        <v>505</v>
      </c>
    </row>
    <row r="88" spans="1:12" x14ac:dyDescent="0.15">
      <c r="A88" t="str">
        <f t="shared" ref="A88:A180" si="16">B88&amp;C88&amp;D88&amp;E88&amp;F88&amp;G88&amp;H88&amp;I88&amp;J88&amp;K88&amp;L88&amp;M88&amp;N88&amp;O88&amp;P88</f>
        <v>|LEFT:50|LEFT:50|LEFT:50|LEFT:300|c</v>
      </c>
      <c r="B88" t="s">
        <v>3</v>
      </c>
      <c r="C88" t="s">
        <v>4</v>
      </c>
      <c r="E88" t="s">
        <v>3</v>
      </c>
      <c r="F88" t="s">
        <v>4</v>
      </c>
      <c r="G88" t="s">
        <v>3</v>
      </c>
      <c r="H88" t="s">
        <v>4</v>
      </c>
      <c r="I88" t="s">
        <v>3</v>
      </c>
      <c r="J88" t="s">
        <v>26</v>
      </c>
      <c r="K88" t="s">
        <v>3</v>
      </c>
      <c r="L88" t="s">
        <v>5</v>
      </c>
    </row>
    <row r="89" spans="1:12" x14ac:dyDescent="0.15">
      <c r="A89" t="str">
        <f t="shared" si="16"/>
        <v>|解放Lv|レベル|コスト|効果|</v>
      </c>
      <c r="B89" t="s">
        <v>3</v>
      </c>
      <c r="C89" t="s">
        <v>27</v>
      </c>
      <c r="E89" t="s">
        <v>3</v>
      </c>
      <c r="F89" t="s">
        <v>6</v>
      </c>
      <c r="G89" t="s">
        <v>3</v>
      </c>
      <c r="H89" t="s">
        <v>28</v>
      </c>
      <c r="I89" t="s">
        <v>3</v>
      </c>
      <c r="J89" t="s">
        <v>29</v>
      </c>
      <c r="K89" t="s">
        <v>3</v>
      </c>
    </row>
    <row r="90" spans="1:12" x14ac:dyDescent="0.15">
      <c r="A90" t="str">
        <f t="shared" si="16"/>
        <v>|Lv18|Lv1|20|あなたのライブラリーから次の機体を1つ取ってきて、それを戦場に出す。|</v>
      </c>
      <c r="B90" t="s">
        <v>3</v>
      </c>
      <c r="C90" t="s">
        <v>264</v>
      </c>
      <c r="E90" t="s">
        <v>3</v>
      </c>
      <c r="F90" t="s">
        <v>30</v>
      </c>
      <c r="G90" t="s">
        <v>3</v>
      </c>
      <c r="H90">
        <v>20</v>
      </c>
      <c r="I90" t="s">
        <v>3</v>
      </c>
      <c r="J90" t="s">
        <v>506</v>
      </c>
      <c r="K90" t="s">
        <v>3</v>
      </c>
    </row>
    <row r="91" spans="1:12" x14ac:dyDescent="0.15">
      <c r="A91" t="str">
        <f t="shared" si="16"/>
        <v>|Lv36|Lv2|20|あなたのライブラリーから次の機体を2つ取ってきて、それを戦場に出す。|</v>
      </c>
      <c r="B91" t="s">
        <v>3</v>
      </c>
      <c r="C91" t="s">
        <v>266</v>
      </c>
      <c r="E91" t="s">
        <v>3</v>
      </c>
      <c r="F91" t="s">
        <v>31</v>
      </c>
      <c r="G91" t="s">
        <v>3</v>
      </c>
      <c r="H91">
        <v>20</v>
      </c>
      <c r="I91" t="s">
        <v>3</v>
      </c>
      <c r="J91" t="s">
        <v>507</v>
      </c>
      <c r="K91" t="s">
        <v>3</v>
      </c>
    </row>
    <row r="92" spans="1:12" x14ac:dyDescent="0.15">
      <c r="A92" t="str">
        <f t="shared" si="16"/>
        <v>|Lv52|Lv3|20|あなたのライブラリーから次の機体を3つ取ってきて、それを戦場に出す。|</v>
      </c>
      <c r="B92" t="s">
        <v>3</v>
      </c>
      <c r="C92" t="s">
        <v>268</v>
      </c>
      <c r="E92" t="s">
        <v>3</v>
      </c>
      <c r="F92" t="s">
        <v>32</v>
      </c>
      <c r="G92" t="s">
        <v>3</v>
      </c>
      <c r="H92">
        <v>20</v>
      </c>
      <c r="I92" t="s">
        <v>3</v>
      </c>
      <c r="J92" t="s">
        <v>508</v>
      </c>
      <c r="K92" t="s">
        <v>3</v>
      </c>
    </row>
    <row r="93" spans="1:12" x14ac:dyDescent="0.15">
      <c r="A93" t="str">
        <f t="shared" si="16"/>
        <v>|Lv60|Lv4|20|あなたのライブラリーから次の機体を4つ取ってきて、それを戦場に出す。|</v>
      </c>
      <c r="B93" t="s">
        <v>3</v>
      </c>
      <c r="C93" t="s">
        <v>270</v>
      </c>
      <c r="E93" t="s">
        <v>3</v>
      </c>
      <c r="F93" t="s">
        <v>33</v>
      </c>
      <c r="G93" t="s">
        <v>3</v>
      </c>
      <c r="H93">
        <v>20</v>
      </c>
      <c r="I93" t="s">
        <v>3</v>
      </c>
      <c r="J93" t="s">
        <v>509</v>
      </c>
      <c r="K93" t="s">
        <v>3</v>
      </c>
    </row>
    <row r="94" spans="1:12" x14ac:dyDescent="0.15">
      <c r="A94" t="str">
        <f t="shared" si="16"/>
        <v>&amp;br;</v>
      </c>
      <c r="B94" t="s">
        <v>0</v>
      </c>
    </row>
    <row r="95" spans="1:12" x14ac:dyDescent="0.15">
      <c r="A95" t="str">
        <f t="shared" si="16"/>
        <v>&amp;br;</v>
      </c>
      <c r="B95" t="s">
        <v>0</v>
      </c>
    </row>
    <row r="96" spans="1:12" x14ac:dyDescent="0.15">
      <c r="A96" t="str">
        <f t="shared" si="16"/>
        <v>**旧能力</v>
      </c>
      <c r="B96" t="s">
        <v>480</v>
      </c>
    </row>
    <row r="97" spans="1:12" x14ac:dyDescent="0.15">
      <c r="A97" t="str">
        <f>B97&amp;C97&amp;D97&amp;E97&amp;F97&amp;G97&amp;H97&amp;I97&amp;J97&amp;K97&amp;L97&amp;M97&amp;N97&amp;O97&amp;P97</f>
        <v>v1.9.0のカラデシュ導入に伴い、サヒーリ・ライのPW能力は変更された。以下は変更前の能力。</v>
      </c>
      <c r="B97" t="s">
        <v>510</v>
      </c>
    </row>
    <row r="98" spans="1:12" x14ac:dyDescent="0.15">
      <c r="A98" t="str">
        <f t="shared" si="16"/>
        <v>**第1能力：つむじ風製造機/</v>
      </c>
      <c r="B98" t="s">
        <v>24</v>
      </c>
      <c r="D98" t="s">
        <v>511</v>
      </c>
      <c r="E98" t="s">
        <v>25</v>
      </c>
    </row>
    <row r="99" spans="1:12" x14ac:dyDescent="0.15">
      <c r="A99" t="str">
        <f t="shared" si="16"/>
        <v>|LEFT:50|LEFT:50|LEFT:50|LEFT:300|c</v>
      </c>
      <c r="B99" t="s">
        <v>3</v>
      </c>
      <c r="C99" t="s">
        <v>4</v>
      </c>
      <c r="E99" t="s">
        <v>3</v>
      </c>
      <c r="F99" t="s">
        <v>4</v>
      </c>
      <c r="G99" t="s">
        <v>3</v>
      </c>
      <c r="H99" t="s">
        <v>4</v>
      </c>
      <c r="I99" t="s">
        <v>3</v>
      </c>
      <c r="J99" t="s">
        <v>26</v>
      </c>
      <c r="K99" t="s">
        <v>3</v>
      </c>
      <c r="L99" t="s">
        <v>5</v>
      </c>
    </row>
    <row r="100" spans="1:12" x14ac:dyDescent="0.15">
      <c r="A100" t="str">
        <f t="shared" si="16"/>
        <v>|解放Lv|レベル|コスト|効果|</v>
      </c>
      <c r="B100" t="s">
        <v>3</v>
      </c>
      <c r="C100" t="s">
        <v>27</v>
      </c>
      <c r="E100" t="s">
        <v>3</v>
      </c>
      <c r="F100" t="s">
        <v>6</v>
      </c>
      <c r="G100" t="s">
        <v>3</v>
      </c>
      <c r="H100" t="s">
        <v>28</v>
      </c>
      <c r="I100" t="s">
        <v>3</v>
      </c>
      <c r="J100" t="s">
        <v>29</v>
      </c>
      <c r="K100" t="s">
        <v>3</v>
      </c>
    </row>
    <row r="101" spans="1:12" x14ac:dyDescent="0.15">
      <c r="A101" t="str">
        <f t="shared" si="16"/>
        <v>|Lv6|Lv1|6|飛行を持つ1/1の無色の飛行機械・アーティファクト・トークンを1体生成する。|</v>
      </c>
      <c r="B101" t="s">
        <v>3</v>
      </c>
      <c r="C101" t="s">
        <v>244</v>
      </c>
      <c r="E101" t="s">
        <v>3</v>
      </c>
      <c r="F101" t="s">
        <v>30</v>
      </c>
      <c r="G101" t="s">
        <v>3</v>
      </c>
      <c r="H101">
        <v>6</v>
      </c>
      <c r="I101" t="s">
        <v>3</v>
      </c>
      <c r="J101" t="s">
        <v>512</v>
      </c>
      <c r="K101" t="s">
        <v>3</v>
      </c>
    </row>
    <row r="102" spans="1:12" x14ac:dyDescent="0.15">
      <c r="A102" t="str">
        <f t="shared" si="16"/>
        <v>|Lv24|Lv2|6|飛行を持つ1/1の無色の飛行機械・アーティファクト・トークンを2体生成する。|</v>
      </c>
      <c r="B102" t="s">
        <v>3</v>
      </c>
      <c r="C102" t="s">
        <v>246</v>
      </c>
      <c r="E102" t="s">
        <v>3</v>
      </c>
      <c r="F102" t="s">
        <v>31</v>
      </c>
      <c r="G102" t="s">
        <v>3</v>
      </c>
      <c r="H102">
        <v>6</v>
      </c>
      <c r="I102" t="s">
        <v>3</v>
      </c>
      <c r="J102" t="s">
        <v>513</v>
      </c>
      <c r="K102" t="s">
        <v>3</v>
      </c>
    </row>
    <row r="103" spans="1:12" x14ac:dyDescent="0.15">
      <c r="A103" t="str">
        <f t="shared" si="16"/>
        <v>|Lv40|Lv3|6|飛行を持つ1/1の無色の飛行機械・アーティファクト・トークンを3体生成する。|</v>
      </c>
      <c r="B103" t="s">
        <v>3</v>
      </c>
      <c r="C103" t="s">
        <v>248</v>
      </c>
      <c r="E103" t="s">
        <v>3</v>
      </c>
      <c r="F103" t="s">
        <v>32</v>
      </c>
      <c r="G103" t="s">
        <v>3</v>
      </c>
      <c r="H103">
        <v>6</v>
      </c>
      <c r="I103" t="s">
        <v>3</v>
      </c>
      <c r="J103" t="s">
        <v>514</v>
      </c>
      <c r="K103" t="s">
        <v>3</v>
      </c>
    </row>
    <row r="104" spans="1:12" x14ac:dyDescent="0.15">
      <c r="A104" t="str">
        <f t="shared" si="16"/>
        <v>|Lv56|Lv4|6|飛行を持つ1/1の無色の飛行機械・アーティファクト・トークンを4体生成する。|</v>
      </c>
      <c r="B104" t="s">
        <v>3</v>
      </c>
      <c r="C104" t="s">
        <v>250</v>
      </c>
      <c r="E104" t="s">
        <v>3</v>
      </c>
      <c r="F104" t="s">
        <v>33</v>
      </c>
      <c r="G104" t="s">
        <v>3</v>
      </c>
      <c r="H104">
        <v>6</v>
      </c>
      <c r="I104" t="s">
        <v>3</v>
      </c>
      <c r="J104" t="s">
        <v>515</v>
      </c>
      <c r="K104" t="s">
        <v>3</v>
      </c>
    </row>
    <row r="105" spans="1:12" x14ac:dyDescent="0.15">
      <c r="A105" t="str">
        <f t="shared" si="16"/>
        <v>&amp;br;</v>
      </c>
      <c r="B105" t="s">
        <v>0</v>
      </c>
    </row>
    <row r="106" spans="1:12" x14ac:dyDescent="0.15">
      <c r="A106" t="str">
        <f t="shared" si="16"/>
        <v>&amp;br;</v>
      </c>
      <c r="B106" t="s">
        <v>0</v>
      </c>
    </row>
    <row r="107" spans="1:12" x14ac:dyDescent="0.15">
      <c r="A107" t="str">
        <f t="shared" si="16"/>
        <v>**第2能力：構築物の芸術/</v>
      </c>
      <c r="B107" t="s">
        <v>34</v>
      </c>
      <c r="D107" t="s">
        <v>516</v>
      </c>
      <c r="E107" t="s">
        <v>25</v>
      </c>
    </row>
    <row r="108" spans="1:12" x14ac:dyDescent="0.15">
      <c r="A108" t="str">
        <f t="shared" si="16"/>
        <v>|LEFT:50|LEFT:50|LEFT:50|LEFT:300|c</v>
      </c>
      <c r="B108" t="s">
        <v>3</v>
      </c>
      <c r="C108" t="s">
        <v>4</v>
      </c>
      <c r="E108" t="s">
        <v>3</v>
      </c>
      <c r="F108" t="s">
        <v>4</v>
      </c>
      <c r="G108" t="s">
        <v>3</v>
      </c>
      <c r="H108" t="s">
        <v>4</v>
      </c>
      <c r="I108" t="s">
        <v>3</v>
      </c>
      <c r="J108" t="s">
        <v>26</v>
      </c>
      <c r="K108" t="s">
        <v>3</v>
      </c>
      <c r="L108" t="s">
        <v>5</v>
      </c>
    </row>
    <row r="109" spans="1:12" x14ac:dyDescent="0.15">
      <c r="A109" t="str">
        <f t="shared" si="16"/>
        <v>|解放Lv|レベル|コスト|効果|</v>
      </c>
      <c r="B109" t="s">
        <v>3</v>
      </c>
      <c r="C109" t="s">
        <v>27</v>
      </c>
      <c r="E109" t="s">
        <v>3</v>
      </c>
      <c r="F109" t="s">
        <v>6</v>
      </c>
      <c r="G109" t="s">
        <v>3</v>
      </c>
      <c r="H109" t="s">
        <v>28</v>
      </c>
      <c r="I109" t="s">
        <v>3</v>
      </c>
      <c r="J109" t="s">
        <v>29</v>
      </c>
      <c r="K109" t="s">
        <v>3</v>
      </c>
    </row>
    <row r="110" spans="1:12" x14ac:dyDescent="0.15">
      <c r="A110" t="str">
        <f t="shared" si="16"/>
        <v>|Lv12|Lv1|9|あなたがコントロールする各構築物・クリーチャーに+2/+2の修正を与える。|</v>
      </c>
      <c r="B110" t="s">
        <v>3</v>
      </c>
      <c r="C110" t="s">
        <v>254</v>
      </c>
      <c r="E110" t="s">
        <v>3</v>
      </c>
      <c r="F110" t="s">
        <v>30</v>
      </c>
      <c r="G110" t="s">
        <v>3</v>
      </c>
      <c r="H110">
        <v>9</v>
      </c>
      <c r="I110" t="s">
        <v>3</v>
      </c>
      <c r="J110" t="s">
        <v>517</v>
      </c>
      <c r="K110" t="s">
        <v>3</v>
      </c>
    </row>
    <row r="111" spans="1:12" x14ac:dyDescent="0.15">
      <c r="A111" t="str">
        <f t="shared" si="16"/>
        <v>|Lv30|Lv2|9|あなたがコントロールする各構築物・クリーチャーに+3/+3の修正を与える。|</v>
      </c>
      <c r="B111" t="s">
        <v>3</v>
      </c>
      <c r="C111" t="s">
        <v>256</v>
      </c>
      <c r="E111" t="s">
        <v>3</v>
      </c>
      <c r="F111" t="s">
        <v>31</v>
      </c>
      <c r="G111" t="s">
        <v>3</v>
      </c>
      <c r="H111">
        <v>9</v>
      </c>
      <c r="I111" t="s">
        <v>3</v>
      </c>
      <c r="J111" t="s">
        <v>518</v>
      </c>
      <c r="K111" t="s">
        <v>3</v>
      </c>
    </row>
    <row r="112" spans="1:12" x14ac:dyDescent="0.15">
      <c r="A112" t="str">
        <f t="shared" si="16"/>
        <v>|Lv46|Lv3|9|あなたがコントロールする各構築物・クリーチャーに+4/+4の修正を与える。|</v>
      </c>
      <c r="B112" t="s">
        <v>3</v>
      </c>
      <c r="C112" t="s">
        <v>258</v>
      </c>
      <c r="E112" t="s">
        <v>3</v>
      </c>
      <c r="F112" t="s">
        <v>32</v>
      </c>
      <c r="G112" t="s">
        <v>3</v>
      </c>
      <c r="H112">
        <v>9</v>
      </c>
      <c r="I112" t="s">
        <v>3</v>
      </c>
      <c r="J112" t="s">
        <v>519</v>
      </c>
      <c r="K112" t="s">
        <v>3</v>
      </c>
    </row>
    <row r="113" spans="1:17" x14ac:dyDescent="0.15">
      <c r="A113" t="str">
        <f t="shared" si="16"/>
        <v>|Lv58|Lv4|9|あなたがコントロールする各構築物・クリーチャーに+5/+5の修正を与える。|</v>
      </c>
      <c r="B113" t="s">
        <v>3</v>
      </c>
      <c r="C113" t="s">
        <v>260</v>
      </c>
      <c r="E113" t="s">
        <v>3</v>
      </c>
      <c r="F113" t="s">
        <v>33</v>
      </c>
      <c r="G113" t="s">
        <v>3</v>
      </c>
      <c r="H113">
        <v>9</v>
      </c>
      <c r="I113" t="s">
        <v>3</v>
      </c>
      <c r="J113" t="s">
        <v>520</v>
      </c>
      <c r="K113" t="s">
        <v>3</v>
      </c>
    </row>
    <row r="114" spans="1:17" x14ac:dyDescent="0.15">
      <c r="A114" t="str">
        <f t="shared" si="16"/>
        <v>&amp;br;</v>
      </c>
      <c r="B114" t="s">
        <v>0</v>
      </c>
    </row>
    <row r="115" spans="1:17" x14ac:dyDescent="0.15">
      <c r="A115" t="str">
        <f t="shared" si="16"/>
        <v>&amp;br;</v>
      </c>
      <c r="B115" t="s">
        <v>0</v>
      </c>
    </row>
    <row r="116" spans="1:17" x14ac:dyDescent="0.15">
      <c r="A116" t="str">
        <f t="shared" si="16"/>
        <v>**第3能力：アーティファクト編成/</v>
      </c>
      <c r="B116" t="s">
        <v>35</v>
      </c>
      <c r="D116" t="s">
        <v>521</v>
      </c>
      <c r="E116" t="s">
        <v>25</v>
      </c>
    </row>
    <row r="117" spans="1:17" x14ac:dyDescent="0.15">
      <c r="A117" t="str">
        <f t="shared" ref="A117:A124" si="17">B117&amp;C117&amp;D117&amp;E117&amp;F117&amp;G117&amp;H117&amp;I117&amp;J117&amp;K117&amp;L117&amp;M117&amp;N117&amp;O117&amp;P117</f>
        <v>|LEFT:50|LEFT:50|LEFT:50|LEFT:300|c</v>
      </c>
      <c r="B117" t="s">
        <v>3</v>
      </c>
      <c r="C117" t="s">
        <v>4</v>
      </c>
      <c r="E117" t="s">
        <v>3</v>
      </c>
      <c r="F117" t="s">
        <v>4</v>
      </c>
      <c r="G117" t="s">
        <v>3</v>
      </c>
      <c r="H117" t="s">
        <v>4</v>
      </c>
      <c r="I117" t="s">
        <v>3</v>
      </c>
      <c r="J117" t="s">
        <v>26</v>
      </c>
      <c r="K117" t="s">
        <v>3</v>
      </c>
      <c r="L117" t="s">
        <v>5</v>
      </c>
    </row>
    <row r="118" spans="1:17" x14ac:dyDescent="0.15">
      <c r="A118" t="str">
        <f t="shared" si="17"/>
        <v>|解放Lv|レベル|コスト|効果|</v>
      </c>
      <c r="B118" t="s">
        <v>3</v>
      </c>
      <c r="C118" t="s">
        <v>27</v>
      </c>
      <c r="E118" t="s">
        <v>3</v>
      </c>
      <c r="F118" t="s">
        <v>6</v>
      </c>
      <c r="G118" t="s">
        <v>3</v>
      </c>
      <c r="H118" t="s">
        <v>28</v>
      </c>
      <c r="I118" t="s">
        <v>3</v>
      </c>
      <c r="J118" t="s">
        <v>29</v>
      </c>
      <c r="K118" t="s">
        <v>3</v>
      </c>
    </row>
    <row r="119" spans="1:17" x14ac:dyDescent="0.15">
      <c r="A119" t="str">
        <f t="shared" si="17"/>
        <v>|Lv18|Lv1|20|あなたのライブラリーから次のサポートを1つ取ってきて、それを戦場に出す。|</v>
      </c>
      <c r="B119" t="s">
        <v>3</v>
      </c>
      <c r="C119" t="s">
        <v>264</v>
      </c>
      <c r="E119" t="s">
        <v>3</v>
      </c>
      <c r="F119" t="s">
        <v>30</v>
      </c>
      <c r="G119" t="s">
        <v>3</v>
      </c>
      <c r="H119">
        <v>20</v>
      </c>
      <c r="I119" t="s">
        <v>3</v>
      </c>
      <c r="J119" t="s">
        <v>522</v>
      </c>
      <c r="K119" t="s">
        <v>3</v>
      </c>
    </row>
    <row r="120" spans="1:17" x14ac:dyDescent="0.15">
      <c r="A120" t="str">
        <f t="shared" si="17"/>
        <v>|Lv36|Lv2|20|あなたのライブラリーから次のサポートを2つ取ってきて、それを戦場に出す。|</v>
      </c>
      <c r="B120" t="s">
        <v>3</v>
      </c>
      <c r="C120" t="s">
        <v>266</v>
      </c>
      <c r="E120" t="s">
        <v>3</v>
      </c>
      <c r="F120" t="s">
        <v>31</v>
      </c>
      <c r="G120" t="s">
        <v>3</v>
      </c>
      <c r="H120">
        <v>20</v>
      </c>
      <c r="I120" t="s">
        <v>3</v>
      </c>
      <c r="J120" t="s">
        <v>523</v>
      </c>
      <c r="K120" t="s">
        <v>3</v>
      </c>
    </row>
    <row r="121" spans="1:17" x14ac:dyDescent="0.15">
      <c r="A121" t="str">
        <f t="shared" si="17"/>
        <v>|Lv52|Lv3|20|あなたのライブラリーから次のサポートを3つ取ってきて、それを戦場に出す。|</v>
      </c>
      <c r="B121" t="s">
        <v>3</v>
      </c>
      <c r="C121" t="s">
        <v>268</v>
      </c>
      <c r="E121" t="s">
        <v>3</v>
      </c>
      <c r="F121" t="s">
        <v>32</v>
      </c>
      <c r="G121" t="s">
        <v>3</v>
      </c>
      <c r="H121">
        <v>20</v>
      </c>
      <c r="I121" t="s">
        <v>3</v>
      </c>
      <c r="J121" t="s">
        <v>524</v>
      </c>
      <c r="K121" t="s">
        <v>3</v>
      </c>
    </row>
    <row r="122" spans="1:17" x14ac:dyDescent="0.15">
      <c r="A122" t="str">
        <f t="shared" si="17"/>
        <v>|Lv60|Lv4|20|あなたのライブラリーから次のサポートを4つ取ってきて、それを戦場に出す。|</v>
      </c>
      <c r="B122" t="s">
        <v>3</v>
      </c>
      <c r="C122" t="s">
        <v>270</v>
      </c>
      <c r="E122" t="s">
        <v>3</v>
      </c>
      <c r="F122" t="s">
        <v>33</v>
      </c>
      <c r="G122" t="s">
        <v>3</v>
      </c>
      <c r="H122">
        <v>20</v>
      </c>
      <c r="I122" t="s">
        <v>3</v>
      </c>
      <c r="J122" t="s">
        <v>525</v>
      </c>
      <c r="K122" t="s">
        <v>3</v>
      </c>
    </row>
    <row r="123" spans="1:17" x14ac:dyDescent="0.15">
      <c r="A123" t="str">
        <f t="shared" si="17"/>
        <v>&amp;br;</v>
      </c>
      <c r="B123" t="s">
        <v>0</v>
      </c>
    </row>
    <row r="124" spans="1:17" x14ac:dyDescent="0.15">
      <c r="A124" t="str">
        <f t="shared" si="17"/>
        <v>&amp;br;</v>
      </c>
      <c r="B124" t="s">
        <v>0</v>
      </c>
    </row>
    <row r="125" spans="1:17" x14ac:dyDescent="0.15">
      <c r="A125" t="str">
        <f t="shared" si="16"/>
        <v>*レベルアップ報酬一覧 [#k0cef29c]</v>
      </c>
      <c r="B125" t="s">
        <v>36</v>
      </c>
    </row>
    <row r="126" spans="1:17" x14ac:dyDescent="0.15">
      <c r="A126" t="str">
        <f t="shared" si="16"/>
        <v>|LEFT:50|LEFT:100|c</v>
      </c>
      <c r="B126" t="s">
        <v>3</v>
      </c>
      <c r="C126" t="s">
        <v>4</v>
      </c>
      <c r="E126" t="s">
        <v>3</v>
      </c>
      <c r="F126" t="s">
        <v>37</v>
      </c>
      <c r="I126" t="s">
        <v>3</v>
      </c>
      <c r="J126" t="s">
        <v>5</v>
      </c>
    </row>
    <row r="127" spans="1:17" x14ac:dyDescent="0.15">
      <c r="A127" t="str">
        <f t="shared" si="16"/>
        <v>|レベル|報酬|</v>
      </c>
      <c r="B127" t="s">
        <v>3</v>
      </c>
      <c r="C127" t="s">
        <v>6</v>
      </c>
      <c r="E127" t="s">
        <v>3</v>
      </c>
      <c r="F127" t="s">
        <v>38</v>
      </c>
      <c r="I127" t="s">
        <v>3</v>
      </c>
      <c r="Q127" t="s">
        <v>7</v>
      </c>
    </row>
    <row r="128" spans="1:17" x14ac:dyDescent="0.15">
      <c r="A128" t="str">
        <f t="shared" si="16"/>
        <v>|Lｖ2|クリーチャー+1|</v>
      </c>
      <c r="B128" t="s">
        <v>3</v>
      </c>
      <c r="C128" t="s">
        <v>39</v>
      </c>
      <c r="D128">
        <v>2</v>
      </c>
      <c r="E128" t="s">
        <v>3</v>
      </c>
      <c r="F128" t="s">
        <v>20</v>
      </c>
      <c r="G128" t="str">
        <f>IF(OR(F128=$Q$136,F128=$Q$137,F128=$Q$138,F128=$Q$139,ISBLANK(F128)),"","+")</f>
        <v>+</v>
      </c>
      <c r="H128">
        <v>1</v>
      </c>
      <c r="I128" t="s">
        <v>3</v>
      </c>
      <c r="Q128" t="s">
        <v>20</v>
      </c>
    </row>
    <row r="129" spans="1:17" x14ac:dyDescent="0.15">
      <c r="A129" t="str">
        <f t="shared" si="16"/>
        <v>|Lｖ3|HP+2|</v>
      </c>
      <c r="B129" t="s">
        <v>3</v>
      </c>
      <c r="C129" t="s">
        <v>39</v>
      </c>
      <c r="D129">
        <v>3</v>
      </c>
      <c r="E129" t="s">
        <v>3</v>
      </c>
      <c r="F129" t="s">
        <v>7</v>
      </c>
      <c r="G129" t="str">
        <f t="shared" ref="G129:G185" si="18">IF(OR(F129=$Q$136,F129=$Q$137,F129=$Q$138,F129=$Q$139,ISBLANK(F129)),"","+")</f>
        <v>+</v>
      </c>
      <c r="H129">
        <v>2</v>
      </c>
      <c r="I129" t="s">
        <v>3</v>
      </c>
      <c r="Q129" t="s">
        <v>21</v>
      </c>
    </row>
    <row r="130" spans="1:17" x14ac:dyDescent="0.15">
      <c r="A130" t="str">
        <f t="shared" si="16"/>
        <v>|Lｖ4|青+1|</v>
      </c>
      <c r="B130" t="s">
        <v>3</v>
      </c>
      <c r="C130" t="s">
        <v>39</v>
      </c>
      <c r="D130">
        <v>4</v>
      </c>
      <c r="E130" t="s">
        <v>3</v>
      </c>
      <c r="F130" t="s">
        <v>12</v>
      </c>
      <c r="G130" t="str">
        <f t="shared" si="18"/>
        <v>+</v>
      </c>
      <c r="H130">
        <v>1</v>
      </c>
      <c r="I130" t="s">
        <v>3</v>
      </c>
      <c r="Q130" t="s">
        <v>22</v>
      </c>
    </row>
    <row r="131" spans="1:17" x14ac:dyDescent="0.15">
      <c r="A131" t="str">
        <f t="shared" si="16"/>
        <v>|Lｖ5|HP+2|</v>
      </c>
      <c r="B131" t="s">
        <v>3</v>
      </c>
      <c r="C131" t="s">
        <v>39</v>
      </c>
      <c r="D131">
        <v>5</v>
      </c>
      <c r="E131" t="s">
        <v>3</v>
      </c>
      <c r="F131" t="s">
        <v>7</v>
      </c>
      <c r="G131" t="str">
        <f t="shared" si="18"/>
        <v>+</v>
      </c>
      <c r="H131">
        <v>2</v>
      </c>
      <c r="I131" t="s">
        <v>3</v>
      </c>
      <c r="Q131" t="s">
        <v>11</v>
      </c>
    </row>
    <row r="132" spans="1:17" x14ac:dyDescent="0.15">
      <c r="A132" t="str">
        <f t="shared" si="16"/>
        <v>|Lｖ6|第1能力Lv1|</v>
      </c>
      <c r="B132" t="s">
        <v>3</v>
      </c>
      <c r="C132" t="s">
        <v>39</v>
      </c>
      <c r="D132">
        <v>6</v>
      </c>
      <c r="E132" t="s">
        <v>3</v>
      </c>
      <c r="F132" t="s">
        <v>40</v>
      </c>
      <c r="G132" t="str">
        <f t="shared" si="18"/>
        <v/>
      </c>
      <c r="H132">
        <v>1</v>
      </c>
      <c r="I132" t="s">
        <v>3</v>
      </c>
      <c r="Q132" t="s">
        <v>12</v>
      </c>
    </row>
    <row r="133" spans="1:17" x14ac:dyDescent="0.15">
      <c r="A133" t="str">
        <f t="shared" si="16"/>
        <v>|Lｖ7|HP+2|</v>
      </c>
      <c r="B133" t="s">
        <v>3</v>
      </c>
      <c r="C133" t="s">
        <v>39</v>
      </c>
      <c r="D133">
        <v>7</v>
      </c>
      <c r="E133" t="s">
        <v>3</v>
      </c>
      <c r="F133" t="s">
        <v>7</v>
      </c>
      <c r="G133" t="str">
        <f t="shared" si="18"/>
        <v>+</v>
      </c>
      <c r="H133">
        <v>2</v>
      </c>
      <c r="I133" t="s">
        <v>3</v>
      </c>
      <c r="Q133" t="s">
        <v>13</v>
      </c>
    </row>
    <row r="134" spans="1:17" x14ac:dyDescent="0.15">
      <c r="A134" t="str">
        <f t="shared" si="16"/>
        <v>|Lｖ8|サポート+1|</v>
      </c>
      <c r="B134" t="s">
        <v>3</v>
      </c>
      <c r="C134" t="s">
        <v>39</v>
      </c>
      <c r="D134">
        <v>8</v>
      </c>
      <c r="E134" t="s">
        <v>3</v>
      </c>
      <c r="F134" t="s">
        <v>22</v>
      </c>
      <c r="G134" t="str">
        <f t="shared" si="18"/>
        <v>+</v>
      </c>
      <c r="H134">
        <v>1</v>
      </c>
      <c r="I134" t="s">
        <v>3</v>
      </c>
      <c r="Q134" t="s">
        <v>14</v>
      </c>
    </row>
    <row r="135" spans="1:17" x14ac:dyDescent="0.15">
      <c r="A135" t="str">
        <f t="shared" si="16"/>
        <v>|Lｖ9|HP+2|</v>
      </c>
      <c r="B135" t="s">
        <v>3</v>
      </c>
      <c r="C135" t="s">
        <v>39</v>
      </c>
      <c r="D135">
        <v>9</v>
      </c>
      <c r="E135" t="s">
        <v>3</v>
      </c>
      <c r="F135" t="s">
        <v>7</v>
      </c>
      <c r="G135" t="str">
        <f t="shared" si="18"/>
        <v>+</v>
      </c>
      <c r="H135">
        <v>2</v>
      </c>
      <c r="I135" t="s">
        <v>3</v>
      </c>
      <c r="Q135" t="s">
        <v>15</v>
      </c>
    </row>
    <row r="136" spans="1:17" x14ac:dyDescent="0.15">
      <c r="A136" t="str">
        <f t="shared" si="16"/>
        <v>|Lｖ10|赤+1|</v>
      </c>
      <c r="B136" t="s">
        <v>3</v>
      </c>
      <c r="C136" t="s">
        <v>39</v>
      </c>
      <c r="D136">
        <v>10</v>
      </c>
      <c r="E136" t="s">
        <v>3</v>
      </c>
      <c r="F136" t="s">
        <v>14</v>
      </c>
      <c r="G136" t="str">
        <f t="shared" si="18"/>
        <v>+</v>
      </c>
      <c r="H136">
        <v>1</v>
      </c>
      <c r="I136" t="s">
        <v>3</v>
      </c>
      <c r="Q136" t="s">
        <v>40</v>
      </c>
    </row>
    <row r="137" spans="1:17" x14ac:dyDescent="0.15">
      <c r="A137" t="str">
        <f t="shared" si="16"/>
        <v>|Lｖ11|HP+2|</v>
      </c>
      <c r="B137" t="s">
        <v>3</v>
      </c>
      <c r="C137" t="s">
        <v>39</v>
      </c>
      <c r="D137">
        <v>11</v>
      </c>
      <c r="E137" t="s">
        <v>3</v>
      </c>
      <c r="F137" t="s">
        <v>7</v>
      </c>
      <c r="G137" t="str">
        <f t="shared" si="18"/>
        <v>+</v>
      </c>
      <c r="H137">
        <v>2</v>
      </c>
      <c r="I137" t="s">
        <v>3</v>
      </c>
      <c r="Q137" t="s">
        <v>41</v>
      </c>
    </row>
    <row r="138" spans="1:17" x14ac:dyDescent="0.15">
      <c r="A138" t="str">
        <f t="shared" si="16"/>
        <v>|Lｖ12|第2能力Lv1|</v>
      </c>
      <c r="B138" t="s">
        <v>3</v>
      </c>
      <c r="C138" t="s">
        <v>39</v>
      </c>
      <c r="D138">
        <v>12</v>
      </c>
      <c r="E138" t="s">
        <v>3</v>
      </c>
      <c r="F138" t="s">
        <v>41</v>
      </c>
      <c r="G138" t="str">
        <f t="shared" si="18"/>
        <v/>
      </c>
      <c r="H138">
        <v>1</v>
      </c>
      <c r="I138" t="s">
        <v>3</v>
      </c>
      <c r="Q138" t="s">
        <v>42</v>
      </c>
    </row>
    <row r="139" spans="1:17" x14ac:dyDescent="0.15">
      <c r="A139" t="str">
        <f t="shared" si="16"/>
        <v>|Lｖ13|HP+2|</v>
      </c>
      <c r="B139" t="s">
        <v>3</v>
      </c>
      <c r="C139" t="s">
        <v>39</v>
      </c>
      <c r="D139">
        <v>13</v>
      </c>
      <c r="E139" t="s">
        <v>3</v>
      </c>
      <c r="F139" t="s">
        <v>7</v>
      </c>
      <c r="G139" t="str">
        <f t="shared" si="18"/>
        <v>+</v>
      </c>
      <c r="H139">
        <v>2</v>
      </c>
      <c r="I139" t="s">
        <v>3</v>
      </c>
      <c r="Q139" t="s">
        <v>43</v>
      </c>
    </row>
    <row r="140" spans="1:17" x14ac:dyDescent="0.15">
      <c r="A140" t="str">
        <f t="shared" si="16"/>
        <v>|Lｖ14|呪文+1|</v>
      </c>
      <c r="B140" t="s">
        <v>3</v>
      </c>
      <c r="C140" t="s">
        <v>39</v>
      </c>
      <c r="D140">
        <v>14</v>
      </c>
      <c r="E140" t="s">
        <v>3</v>
      </c>
      <c r="F140" t="s">
        <v>21</v>
      </c>
      <c r="G140" t="str">
        <f t="shared" si="18"/>
        <v>+</v>
      </c>
      <c r="H140">
        <v>1</v>
      </c>
      <c r="I140" t="s">
        <v>3</v>
      </c>
    </row>
    <row r="141" spans="1:17" x14ac:dyDescent="0.15">
      <c r="A141" t="str">
        <f t="shared" si="16"/>
        <v>|Lｖ15|HP+2|</v>
      </c>
      <c r="B141" t="s">
        <v>3</v>
      </c>
      <c r="C141" t="s">
        <v>39</v>
      </c>
      <c r="D141">
        <v>15</v>
      </c>
      <c r="E141" t="s">
        <v>3</v>
      </c>
      <c r="F141" t="s">
        <v>7</v>
      </c>
      <c r="G141" t="str">
        <f t="shared" si="18"/>
        <v>+</v>
      </c>
      <c r="H141">
        <v>2</v>
      </c>
      <c r="I141" t="s">
        <v>3</v>
      </c>
    </row>
    <row r="142" spans="1:17" x14ac:dyDescent="0.15">
      <c r="A142" t="str">
        <f t="shared" si="16"/>
        <v>|Lｖ16|緑+1|</v>
      </c>
      <c r="B142" t="s">
        <v>3</v>
      </c>
      <c r="C142" t="s">
        <v>39</v>
      </c>
      <c r="D142">
        <v>16</v>
      </c>
      <c r="E142" t="s">
        <v>3</v>
      </c>
      <c r="F142" t="s">
        <v>15</v>
      </c>
      <c r="G142" t="str">
        <f t="shared" si="18"/>
        <v>+</v>
      </c>
      <c r="H142">
        <v>1</v>
      </c>
      <c r="I142" t="s">
        <v>3</v>
      </c>
    </row>
    <row r="143" spans="1:17" x14ac:dyDescent="0.15">
      <c r="A143" t="str">
        <f t="shared" si="16"/>
        <v>|Lｖ17|HP+2|</v>
      </c>
      <c r="B143" t="s">
        <v>3</v>
      </c>
      <c r="C143" t="s">
        <v>39</v>
      </c>
      <c r="D143">
        <v>17</v>
      </c>
      <c r="E143" t="s">
        <v>3</v>
      </c>
      <c r="F143" t="s">
        <v>7</v>
      </c>
      <c r="G143" t="str">
        <f t="shared" si="18"/>
        <v>+</v>
      </c>
      <c r="H143">
        <v>2</v>
      </c>
      <c r="I143" t="s">
        <v>3</v>
      </c>
    </row>
    <row r="144" spans="1:17" x14ac:dyDescent="0.15">
      <c r="A144" t="str">
        <f t="shared" si="16"/>
        <v>|Lｖ18|第3能力Lv1|</v>
      </c>
      <c r="B144" t="s">
        <v>3</v>
      </c>
      <c r="C144" t="s">
        <v>39</v>
      </c>
      <c r="D144">
        <v>18</v>
      </c>
      <c r="E144" t="s">
        <v>3</v>
      </c>
      <c r="F144" t="s">
        <v>42</v>
      </c>
      <c r="G144" t="str">
        <f t="shared" si="18"/>
        <v/>
      </c>
      <c r="H144">
        <v>1</v>
      </c>
      <c r="I144" t="s">
        <v>3</v>
      </c>
    </row>
    <row r="145" spans="1:9" x14ac:dyDescent="0.15">
      <c r="A145" t="str">
        <f t="shared" si="16"/>
        <v>|Lｖ19|HP+2|</v>
      </c>
      <c r="B145" t="s">
        <v>3</v>
      </c>
      <c r="C145" t="s">
        <v>39</v>
      </c>
      <c r="D145">
        <v>19</v>
      </c>
      <c r="E145" t="s">
        <v>3</v>
      </c>
      <c r="F145" t="s">
        <v>7</v>
      </c>
      <c r="G145" t="str">
        <f t="shared" si="18"/>
        <v>+</v>
      </c>
      <c r="H145">
        <v>2</v>
      </c>
      <c r="I145" t="s">
        <v>3</v>
      </c>
    </row>
    <row r="146" spans="1:9" x14ac:dyDescent="0.15">
      <c r="A146" t="str">
        <f t="shared" si="16"/>
        <v>|Lｖ20|回復速度上昇|</v>
      </c>
      <c r="B146" t="s">
        <v>3</v>
      </c>
      <c r="C146" t="s">
        <v>39</v>
      </c>
      <c r="D146">
        <v>20</v>
      </c>
      <c r="E146" t="s">
        <v>3</v>
      </c>
      <c r="F146" t="s">
        <v>43</v>
      </c>
      <c r="G146" t="str">
        <f t="shared" si="18"/>
        <v/>
      </c>
      <c r="I146" t="s">
        <v>3</v>
      </c>
    </row>
    <row r="147" spans="1:9" x14ac:dyDescent="0.15">
      <c r="A147" t="str">
        <f t="shared" si="16"/>
        <v>|Lｖ21|HP+3|</v>
      </c>
      <c r="B147" t="s">
        <v>3</v>
      </c>
      <c r="C147" t="s">
        <v>39</v>
      </c>
      <c r="D147">
        <v>21</v>
      </c>
      <c r="E147" t="s">
        <v>3</v>
      </c>
      <c r="F147" t="s">
        <v>7</v>
      </c>
      <c r="G147" t="str">
        <f t="shared" si="18"/>
        <v>+</v>
      </c>
      <c r="H147">
        <v>3</v>
      </c>
      <c r="I147" t="s">
        <v>3</v>
      </c>
    </row>
    <row r="148" spans="1:9" x14ac:dyDescent="0.15">
      <c r="A148" t="str">
        <f t="shared" si="16"/>
        <v>|Lｖ22|青+1|</v>
      </c>
      <c r="B148" t="s">
        <v>3</v>
      </c>
      <c r="C148" t="s">
        <v>39</v>
      </c>
      <c r="D148">
        <v>22</v>
      </c>
      <c r="E148" t="s">
        <v>3</v>
      </c>
      <c r="F148" t="s">
        <v>12</v>
      </c>
      <c r="G148" t="str">
        <f t="shared" si="18"/>
        <v>+</v>
      </c>
      <c r="H148">
        <v>1</v>
      </c>
      <c r="I148" t="s">
        <v>3</v>
      </c>
    </row>
    <row r="149" spans="1:9" x14ac:dyDescent="0.15">
      <c r="A149" t="str">
        <f t="shared" si="16"/>
        <v>|Lｖ23|HP+3|</v>
      </c>
      <c r="B149" t="s">
        <v>3</v>
      </c>
      <c r="C149" t="s">
        <v>39</v>
      </c>
      <c r="D149">
        <v>23</v>
      </c>
      <c r="E149" t="s">
        <v>3</v>
      </c>
      <c r="F149" t="s">
        <v>7</v>
      </c>
      <c r="G149" t="str">
        <f t="shared" si="18"/>
        <v>+</v>
      </c>
      <c r="H149">
        <v>3</v>
      </c>
      <c r="I149" t="s">
        <v>3</v>
      </c>
    </row>
    <row r="150" spans="1:9" x14ac:dyDescent="0.15">
      <c r="A150" t="str">
        <f t="shared" si="16"/>
        <v>|Lｖ24|第1能力Lv2|</v>
      </c>
      <c r="B150" t="s">
        <v>3</v>
      </c>
      <c r="C150" t="s">
        <v>39</v>
      </c>
      <c r="D150">
        <v>24</v>
      </c>
      <c r="E150" t="s">
        <v>3</v>
      </c>
      <c r="F150" t="s">
        <v>40</v>
      </c>
      <c r="G150" t="str">
        <f t="shared" si="18"/>
        <v/>
      </c>
      <c r="H150">
        <v>2</v>
      </c>
      <c r="I150" t="s">
        <v>3</v>
      </c>
    </row>
    <row r="151" spans="1:9" x14ac:dyDescent="0.15">
      <c r="A151" t="str">
        <f t="shared" si="16"/>
        <v>|Lｖ25|HP+3|</v>
      </c>
      <c r="B151" t="s">
        <v>3</v>
      </c>
      <c r="C151" t="s">
        <v>39</v>
      </c>
      <c r="D151">
        <v>25</v>
      </c>
      <c r="E151" t="s">
        <v>3</v>
      </c>
      <c r="F151" t="s">
        <v>7</v>
      </c>
      <c r="G151" t="str">
        <f t="shared" si="18"/>
        <v>+</v>
      </c>
      <c r="H151">
        <v>3</v>
      </c>
      <c r="I151" t="s">
        <v>3</v>
      </c>
    </row>
    <row r="152" spans="1:9" x14ac:dyDescent="0.15">
      <c r="A152" t="str">
        <f t="shared" si="16"/>
        <v>|Lｖ26|クリーチャー+1|</v>
      </c>
      <c r="B152" t="s">
        <v>3</v>
      </c>
      <c r="C152" t="s">
        <v>39</v>
      </c>
      <c r="D152">
        <v>26</v>
      </c>
      <c r="E152" t="s">
        <v>3</v>
      </c>
      <c r="F152" t="s">
        <v>20</v>
      </c>
      <c r="G152" t="str">
        <f t="shared" si="18"/>
        <v>+</v>
      </c>
      <c r="H152">
        <v>1</v>
      </c>
      <c r="I152" t="s">
        <v>3</v>
      </c>
    </row>
    <row r="153" spans="1:9" x14ac:dyDescent="0.15">
      <c r="A153" t="str">
        <f t="shared" si="16"/>
        <v>|Lｖ27|HP+3|</v>
      </c>
      <c r="B153" t="s">
        <v>3</v>
      </c>
      <c r="C153" t="s">
        <v>39</v>
      </c>
      <c r="D153">
        <v>27</v>
      </c>
      <c r="E153" t="s">
        <v>3</v>
      </c>
      <c r="F153" t="s">
        <v>7</v>
      </c>
      <c r="G153" t="str">
        <f t="shared" si="18"/>
        <v>+</v>
      </c>
      <c r="H153">
        <v>3</v>
      </c>
      <c r="I153" t="s">
        <v>3</v>
      </c>
    </row>
    <row r="154" spans="1:9" x14ac:dyDescent="0.15">
      <c r="A154" t="str">
        <f t="shared" si="16"/>
        <v>|Lｖ28|赤+1|</v>
      </c>
      <c r="B154" t="s">
        <v>3</v>
      </c>
      <c r="C154" t="s">
        <v>39</v>
      </c>
      <c r="D154">
        <v>28</v>
      </c>
      <c r="E154" t="s">
        <v>3</v>
      </c>
      <c r="F154" t="s">
        <v>14</v>
      </c>
      <c r="G154" t="str">
        <f t="shared" si="18"/>
        <v>+</v>
      </c>
      <c r="H154">
        <v>1</v>
      </c>
      <c r="I154" t="s">
        <v>3</v>
      </c>
    </row>
    <row r="155" spans="1:9" x14ac:dyDescent="0.15">
      <c r="A155" t="str">
        <f t="shared" si="16"/>
        <v>|Lｖ29|HP+3|</v>
      </c>
      <c r="B155" t="s">
        <v>3</v>
      </c>
      <c r="C155" t="s">
        <v>39</v>
      </c>
      <c r="D155">
        <v>29</v>
      </c>
      <c r="E155" t="s">
        <v>3</v>
      </c>
      <c r="F155" t="s">
        <v>7</v>
      </c>
      <c r="G155" t="str">
        <f t="shared" si="18"/>
        <v>+</v>
      </c>
      <c r="H155">
        <v>3</v>
      </c>
      <c r="I155" t="s">
        <v>3</v>
      </c>
    </row>
    <row r="156" spans="1:9" x14ac:dyDescent="0.15">
      <c r="A156" t="str">
        <f t="shared" si="16"/>
        <v>|Lｖ30|第2能力Lv2|</v>
      </c>
      <c r="B156" t="s">
        <v>3</v>
      </c>
      <c r="C156" t="s">
        <v>39</v>
      </c>
      <c r="D156">
        <v>30</v>
      </c>
      <c r="E156" t="s">
        <v>3</v>
      </c>
      <c r="F156" t="s">
        <v>41</v>
      </c>
      <c r="G156" t="str">
        <f t="shared" si="18"/>
        <v/>
      </c>
      <c r="H156">
        <v>2</v>
      </c>
      <c r="I156" t="s">
        <v>3</v>
      </c>
    </row>
    <row r="157" spans="1:9" x14ac:dyDescent="0.15">
      <c r="A157" t="str">
        <f t="shared" si="16"/>
        <v>|Lｖ31|HP+3|</v>
      </c>
      <c r="B157" t="s">
        <v>3</v>
      </c>
      <c r="C157" t="s">
        <v>39</v>
      </c>
      <c r="D157">
        <v>31</v>
      </c>
      <c r="E157" t="s">
        <v>3</v>
      </c>
      <c r="F157" t="s">
        <v>7</v>
      </c>
      <c r="G157" t="str">
        <f t="shared" si="18"/>
        <v>+</v>
      </c>
      <c r="H157">
        <v>3</v>
      </c>
      <c r="I157" t="s">
        <v>3</v>
      </c>
    </row>
    <row r="158" spans="1:9" x14ac:dyDescent="0.15">
      <c r="A158" t="str">
        <f t="shared" si="16"/>
        <v>|Lｖ32|サポート+1|</v>
      </c>
      <c r="B158" t="s">
        <v>3</v>
      </c>
      <c r="C158" t="s">
        <v>39</v>
      </c>
      <c r="D158">
        <v>32</v>
      </c>
      <c r="E158" t="s">
        <v>3</v>
      </c>
      <c r="F158" t="s">
        <v>22</v>
      </c>
      <c r="G158" t="str">
        <f t="shared" si="18"/>
        <v>+</v>
      </c>
      <c r="H158">
        <v>1</v>
      </c>
      <c r="I158" t="s">
        <v>3</v>
      </c>
    </row>
    <row r="159" spans="1:9" x14ac:dyDescent="0.15">
      <c r="A159" t="str">
        <f t="shared" si="16"/>
        <v>|Lｖ33|HP+3|</v>
      </c>
      <c r="B159" t="s">
        <v>3</v>
      </c>
      <c r="C159" t="s">
        <v>39</v>
      </c>
      <c r="D159">
        <v>33</v>
      </c>
      <c r="E159" t="s">
        <v>3</v>
      </c>
      <c r="F159" t="s">
        <v>7</v>
      </c>
      <c r="G159" t="str">
        <f t="shared" si="18"/>
        <v>+</v>
      </c>
      <c r="H159">
        <v>3</v>
      </c>
      <c r="I159" t="s">
        <v>3</v>
      </c>
    </row>
    <row r="160" spans="1:9" x14ac:dyDescent="0.15">
      <c r="A160" t="str">
        <f t="shared" si="16"/>
        <v>|Lｖ34|黒+1|</v>
      </c>
      <c r="B160" t="s">
        <v>3</v>
      </c>
      <c r="C160" t="s">
        <v>39</v>
      </c>
      <c r="D160">
        <v>34</v>
      </c>
      <c r="E160" t="s">
        <v>3</v>
      </c>
      <c r="F160" t="s">
        <v>13</v>
      </c>
      <c r="G160" t="str">
        <f t="shared" si="18"/>
        <v>+</v>
      </c>
      <c r="H160">
        <v>1</v>
      </c>
      <c r="I160" t="s">
        <v>3</v>
      </c>
    </row>
    <row r="161" spans="1:9" x14ac:dyDescent="0.15">
      <c r="A161" t="str">
        <f t="shared" si="16"/>
        <v>|Lｖ35|HP+3|</v>
      </c>
      <c r="B161" t="s">
        <v>3</v>
      </c>
      <c r="C161" t="s">
        <v>39</v>
      </c>
      <c r="D161">
        <v>35</v>
      </c>
      <c r="E161" t="s">
        <v>3</v>
      </c>
      <c r="F161" t="s">
        <v>7</v>
      </c>
      <c r="G161" t="str">
        <f t="shared" si="18"/>
        <v>+</v>
      </c>
      <c r="H161">
        <v>3</v>
      </c>
      <c r="I161" t="s">
        <v>3</v>
      </c>
    </row>
    <row r="162" spans="1:9" x14ac:dyDescent="0.15">
      <c r="A162" t="str">
        <f t="shared" si="16"/>
        <v>|Lｖ36|第3能力Lv2|</v>
      </c>
      <c r="B162" t="s">
        <v>3</v>
      </c>
      <c r="C162" t="s">
        <v>39</v>
      </c>
      <c r="D162">
        <v>36</v>
      </c>
      <c r="E162" t="s">
        <v>3</v>
      </c>
      <c r="F162" t="s">
        <v>42</v>
      </c>
      <c r="G162" t="str">
        <f t="shared" si="18"/>
        <v/>
      </c>
      <c r="H162">
        <v>2</v>
      </c>
      <c r="I162" t="s">
        <v>3</v>
      </c>
    </row>
    <row r="163" spans="1:9" x14ac:dyDescent="0.15">
      <c r="A163" t="str">
        <f t="shared" si="16"/>
        <v>|Lｖ37|HP+3|</v>
      </c>
      <c r="B163" t="s">
        <v>3</v>
      </c>
      <c r="C163" t="s">
        <v>39</v>
      </c>
      <c r="D163">
        <v>37</v>
      </c>
      <c r="E163" t="s">
        <v>3</v>
      </c>
      <c r="F163" t="s">
        <v>7</v>
      </c>
      <c r="G163" t="str">
        <f t="shared" si="18"/>
        <v>+</v>
      </c>
      <c r="H163">
        <v>3</v>
      </c>
      <c r="I163" t="s">
        <v>3</v>
      </c>
    </row>
    <row r="164" spans="1:9" x14ac:dyDescent="0.15">
      <c r="A164" t="str">
        <f t="shared" si="16"/>
        <v>|Lｖ38|呪文+1|</v>
      </c>
      <c r="B164" t="s">
        <v>3</v>
      </c>
      <c r="C164" t="s">
        <v>39</v>
      </c>
      <c r="D164">
        <v>38</v>
      </c>
      <c r="E164" t="s">
        <v>3</v>
      </c>
      <c r="F164" t="s">
        <v>21</v>
      </c>
      <c r="G164" t="str">
        <f t="shared" si="18"/>
        <v>+</v>
      </c>
      <c r="H164">
        <v>1</v>
      </c>
      <c r="I164" t="s">
        <v>3</v>
      </c>
    </row>
    <row r="165" spans="1:9" x14ac:dyDescent="0.15">
      <c r="A165" t="str">
        <f t="shared" si="16"/>
        <v>|Lｖ39|HP+3|</v>
      </c>
      <c r="B165" t="s">
        <v>3</v>
      </c>
      <c r="C165" t="s">
        <v>39</v>
      </c>
      <c r="D165">
        <v>39</v>
      </c>
      <c r="E165" t="s">
        <v>3</v>
      </c>
      <c r="F165" t="s">
        <v>7</v>
      </c>
      <c r="G165" t="str">
        <f t="shared" si="18"/>
        <v>+</v>
      </c>
      <c r="H165">
        <v>3</v>
      </c>
      <c r="I165" t="s">
        <v>3</v>
      </c>
    </row>
    <row r="166" spans="1:9" x14ac:dyDescent="0.15">
      <c r="A166" t="str">
        <f t="shared" si="16"/>
        <v>|Lｖ40|第1能力Lv3|</v>
      </c>
      <c r="B166" t="s">
        <v>3</v>
      </c>
      <c r="C166" t="s">
        <v>39</v>
      </c>
      <c r="D166">
        <v>40</v>
      </c>
      <c r="E166" t="s">
        <v>3</v>
      </c>
      <c r="F166" t="s">
        <v>40</v>
      </c>
      <c r="G166" t="str">
        <f t="shared" si="18"/>
        <v/>
      </c>
      <c r="H166">
        <v>3</v>
      </c>
      <c r="I166" t="s">
        <v>3</v>
      </c>
    </row>
    <row r="167" spans="1:9" x14ac:dyDescent="0.15">
      <c r="A167" t="str">
        <f t="shared" si="16"/>
        <v>|Lｖ41|HP+3|</v>
      </c>
      <c r="B167" t="s">
        <v>3</v>
      </c>
      <c r="C167" t="s">
        <v>39</v>
      </c>
      <c r="D167">
        <v>41</v>
      </c>
      <c r="E167" t="s">
        <v>3</v>
      </c>
      <c r="F167" t="s">
        <v>7</v>
      </c>
      <c r="G167" t="str">
        <f t="shared" si="18"/>
        <v>+</v>
      </c>
      <c r="H167">
        <v>3</v>
      </c>
      <c r="I167" t="s">
        <v>3</v>
      </c>
    </row>
    <row r="168" spans="1:9" x14ac:dyDescent="0.15">
      <c r="A168" t="str">
        <f t="shared" si="16"/>
        <v>|Lｖ42|青+1|</v>
      </c>
      <c r="B168" t="s">
        <v>3</v>
      </c>
      <c r="C168" t="s">
        <v>39</v>
      </c>
      <c r="D168">
        <v>42</v>
      </c>
      <c r="E168" t="s">
        <v>3</v>
      </c>
      <c r="F168" t="s">
        <v>12</v>
      </c>
      <c r="G168" t="str">
        <f t="shared" si="18"/>
        <v>+</v>
      </c>
      <c r="H168">
        <v>1</v>
      </c>
      <c r="I168" t="s">
        <v>3</v>
      </c>
    </row>
    <row r="169" spans="1:9" x14ac:dyDescent="0.15">
      <c r="A169" t="str">
        <f t="shared" si="16"/>
        <v>|Lｖ43|HP+3|</v>
      </c>
      <c r="B169" t="s">
        <v>3</v>
      </c>
      <c r="C169" t="s">
        <v>39</v>
      </c>
      <c r="D169">
        <v>43</v>
      </c>
      <c r="E169" t="s">
        <v>3</v>
      </c>
      <c r="F169" t="s">
        <v>7</v>
      </c>
      <c r="G169" t="str">
        <f t="shared" si="18"/>
        <v>+</v>
      </c>
      <c r="H169">
        <v>3</v>
      </c>
      <c r="I169" t="s">
        <v>3</v>
      </c>
    </row>
    <row r="170" spans="1:9" x14ac:dyDescent="0.15">
      <c r="A170" t="str">
        <f t="shared" si="16"/>
        <v>|Lｖ44|回復速度上昇|</v>
      </c>
      <c r="B170" t="s">
        <v>3</v>
      </c>
      <c r="C170" t="s">
        <v>39</v>
      </c>
      <c r="D170">
        <v>44</v>
      </c>
      <c r="E170" t="s">
        <v>3</v>
      </c>
      <c r="F170" t="s">
        <v>43</v>
      </c>
      <c r="G170" t="str">
        <f t="shared" si="18"/>
        <v/>
      </c>
      <c r="I170" t="s">
        <v>3</v>
      </c>
    </row>
    <row r="171" spans="1:9" x14ac:dyDescent="0.15">
      <c r="A171" t="str">
        <f t="shared" si="16"/>
        <v>|Lｖ45|HP+3|</v>
      </c>
      <c r="B171" t="s">
        <v>3</v>
      </c>
      <c r="C171" t="s">
        <v>39</v>
      </c>
      <c r="D171">
        <v>45</v>
      </c>
      <c r="E171" t="s">
        <v>3</v>
      </c>
      <c r="F171" t="s">
        <v>7</v>
      </c>
      <c r="G171" t="str">
        <f t="shared" si="18"/>
        <v>+</v>
      </c>
      <c r="H171">
        <v>3</v>
      </c>
      <c r="I171" t="s">
        <v>3</v>
      </c>
    </row>
    <row r="172" spans="1:9" x14ac:dyDescent="0.15">
      <c r="A172" t="str">
        <f t="shared" si="16"/>
        <v>|Lｖ46|第2能力Lv3|</v>
      </c>
      <c r="B172" t="s">
        <v>3</v>
      </c>
      <c r="C172" t="s">
        <v>39</v>
      </c>
      <c r="D172">
        <v>46</v>
      </c>
      <c r="E172" t="s">
        <v>3</v>
      </c>
      <c r="F172" t="s">
        <v>41</v>
      </c>
      <c r="G172" t="str">
        <f t="shared" si="18"/>
        <v/>
      </c>
      <c r="H172">
        <v>3</v>
      </c>
      <c r="I172" t="s">
        <v>3</v>
      </c>
    </row>
    <row r="173" spans="1:9" x14ac:dyDescent="0.15">
      <c r="A173" t="str">
        <f t="shared" si="16"/>
        <v>|Lｖ47|HP+3|</v>
      </c>
      <c r="B173" t="s">
        <v>3</v>
      </c>
      <c r="C173" t="s">
        <v>39</v>
      </c>
      <c r="D173">
        <v>47</v>
      </c>
      <c r="E173" t="s">
        <v>3</v>
      </c>
      <c r="F173" t="s">
        <v>7</v>
      </c>
      <c r="G173" t="str">
        <f t="shared" si="18"/>
        <v>+</v>
      </c>
      <c r="H173">
        <v>3</v>
      </c>
      <c r="I173" t="s">
        <v>3</v>
      </c>
    </row>
    <row r="174" spans="1:9" x14ac:dyDescent="0.15">
      <c r="A174" t="str">
        <f t="shared" si="16"/>
        <v>|Lｖ48|赤+1|</v>
      </c>
      <c r="B174" t="s">
        <v>3</v>
      </c>
      <c r="C174" t="s">
        <v>39</v>
      </c>
      <c r="D174">
        <v>48</v>
      </c>
      <c r="E174" t="s">
        <v>3</v>
      </c>
      <c r="F174" t="s">
        <v>14</v>
      </c>
      <c r="G174" t="str">
        <f t="shared" si="18"/>
        <v>+</v>
      </c>
      <c r="H174">
        <v>1</v>
      </c>
      <c r="I174" t="s">
        <v>3</v>
      </c>
    </row>
    <row r="175" spans="1:9" x14ac:dyDescent="0.15">
      <c r="A175" t="str">
        <f t="shared" si="16"/>
        <v>|Lｖ49|HP+3|</v>
      </c>
      <c r="B175" t="s">
        <v>3</v>
      </c>
      <c r="C175" t="s">
        <v>39</v>
      </c>
      <c r="D175">
        <v>49</v>
      </c>
      <c r="E175" t="s">
        <v>3</v>
      </c>
      <c r="F175" t="s">
        <v>7</v>
      </c>
      <c r="G175" t="str">
        <f t="shared" si="18"/>
        <v>+</v>
      </c>
      <c r="H175">
        <v>3</v>
      </c>
      <c r="I175" t="s">
        <v>3</v>
      </c>
    </row>
    <row r="176" spans="1:9" x14ac:dyDescent="0.15">
      <c r="A176" t="str">
        <f t="shared" si="16"/>
        <v>|Lｖ50|クリーチャー+1|</v>
      </c>
      <c r="B176" t="s">
        <v>3</v>
      </c>
      <c r="C176" t="s">
        <v>39</v>
      </c>
      <c r="D176">
        <v>50</v>
      </c>
      <c r="E176" t="s">
        <v>3</v>
      </c>
      <c r="F176" t="s">
        <v>20</v>
      </c>
      <c r="G176" t="str">
        <f t="shared" si="18"/>
        <v>+</v>
      </c>
      <c r="H176">
        <v>1</v>
      </c>
      <c r="I176" t="s">
        <v>3</v>
      </c>
    </row>
    <row r="177" spans="1:9" x14ac:dyDescent="0.15">
      <c r="A177" t="str">
        <f t="shared" si="16"/>
        <v>|Lｖ51|HP+4|</v>
      </c>
      <c r="B177" t="s">
        <v>3</v>
      </c>
      <c r="C177" t="s">
        <v>39</v>
      </c>
      <c r="D177">
        <v>51</v>
      </c>
      <c r="E177" t="s">
        <v>3</v>
      </c>
      <c r="F177" t="s">
        <v>7</v>
      </c>
      <c r="G177" t="str">
        <f t="shared" si="18"/>
        <v>+</v>
      </c>
      <c r="H177">
        <v>4</v>
      </c>
      <c r="I177" t="s">
        <v>3</v>
      </c>
    </row>
    <row r="178" spans="1:9" x14ac:dyDescent="0.15">
      <c r="A178" t="str">
        <f t="shared" si="16"/>
        <v>|Lｖ52|第3能力Lv3|</v>
      </c>
      <c r="B178" t="s">
        <v>3</v>
      </c>
      <c r="C178" t="s">
        <v>39</v>
      </c>
      <c r="D178">
        <v>52</v>
      </c>
      <c r="E178" t="s">
        <v>3</v>
      </c>
      <c r="F178" t="s">
        <v>42</v>
      </c>
      <c r="G178" t="str">
        <f t="shared" si="18"/>
        <v/>
      </c>
      <c r="H178">
        <v>3</v>
      </c>
      <c r="I178" t="s">
        <v>3</v>
      </c>
    </row>
    <row r="179" spans="1:9" x14ac:dyDescent="0.15">
      <c r="A179" t="str">
        <f t="shared" si="16"/>
        <v>|Lｖ53|HP+4|</v>
      </c>
      <c r="B179" t="s">
        <v>3</v>
      </c>
      <c r="C179" t="s">
        <v>39</v>
      </c>
      <c r="D179">
        <v>53</v>
      </c>
      <c r="E179" t="s">
        <v>3</v>
      </c>
      <c r="F179" t="s">
        <v>7</v>
      </c>
      <c r="G179" t="str">
        <f t="shared" si="18"/>
        <v>+</v>
      </c>
      <c r="H179">
        <v>4</v>
      </c>
      <c r="I179" t="s">
        <v>3</v>
      </c>
    </row>
    <row r="180" spans="1:9" x14ac:dyDescent="0.15">
      <c r="A180" t="str">
        <f t="shared" si="16"/>
        <v>|Lｖ54|白+1|</v>
      </c>
      <c r="B180" t="s">
        <v>3</v>
      </c>
      <c r="C180" t="s">
        <v>39</v>
      </c>
      <c r="D180">
        <v>54</v>
      </c>
      <c r="E180" t="s">
        <v>3</v>
      </c>
      <c r="F180" t="s">
        <v>11</v>
      </c>
      <c r="G180" t="str">
        <f t="shared" si="18"/>
        <v>+</v>
      </c>
      <c r="H180">
        <v>1</v>
      </c>
      <c r="I180" t="s">
        <v>3</v>
      </c>
    </row>
    <row r="181" spans="1:9" x14ac:dyDescent="0.15">
      <c r="A181" t="str">
        <f t="shared" ref="A181:A192" si="19">B181&amp;C181&amp;D181&amp;E181&amp;F181&amp;G181&amp;H181&amp;I181&amp;J181&amp;K181&amp;L181&amp;M181&amp;N181&amp;O181&amp;P181</f>
        <v>|Lｖ55|HP+4|</v>
      </c>
      <c r="B181" t="s">
        <v>3</v>
      </c>
      <c r="C181" t="s">
        <v>39</v>
      </c>
      <c r="D181">
        <v>55</v>
      </c>
      <c r="E181" t="s">
        <v>3</v>
      </c>
      <c r="F181" t="s">
        <v>7</v>
      </c>
      <c r="G181" t="str">
        <f t="shared" si="18"/>
        <v>+</v>
      </c>
      <c r="H181">
        <v>4</v>
      </c>
      <c r="I181" t="s">
        <v>3</v>
      </c>
    </row>
    <row r="182" spans="1:9" x14ac:dyDescent="0.15">
      <c r="A182" t="str">
        <f t="shared" si="19"/>
        <v>|Lｖ56|第1能力Lv4|</v>
      </c>
      <c r="B182" t="s">
        <v>3</v>
      </c>
      <c r="C182" t="s">
        <v>39</v>
      </c>
      <c r="D182">
        <v>56</v>
      </c>
      <c r="E182" t="s">
        <v>3</v>
      </c>
      <c r="F182" t="s">
        <v>40</v>
      </c>
      <c r="G182" t="str">
        <f t="shared" si="18"/>
        <v/>
      </c>
      <c r="H182">
        <v>4</v>
      </c>
      <c r="I182" t="s">
        <v>3</v>
      </c>
    </row>
    <row r="183" spans="1:9" x14ac:dyDescent="0.15">
      <c r="A183" t="str">
        <f t="shared" si="19"/>
        <v>|Lｖ57|HP+4|</v>
      </c>
      <c r="B183" t="s">
        <v>3</v>
      </c>
      <c r="C183" t="s">
        <v>39</v>
      </c>
      <c r="D183">
        <v>57</v>
      </c>
      <c r="E183" t="s">
        <v>3</v>
      </c>
      <c r="F183" t="s">
        <v>7</v>
      </c>
      <c r="G183" t="str">
        <f t="shared" si="18"/>
        <v>+</v>
      </c>
      <c r="H183">
        <v>4</v>
      </c>
      <c r="I183" t="s">
        <v>3</v>
      </c>
    </row>
    <row r="184" spans="1:9" x14ac:dyDescent="0.15">
      <c r="A184" t="str">
        <f t="shared" si="19"/>
        <v>|Lｖ58|第2能力Lv4|</v>
      </c>
      <c r="B184" t="s">
        <v>3</v>
      </c>
      <c r="C184" t="s">
        <v>39</v>
      </c>
      <c r="D184">
        <v>58</v>
      </c>
      <c r="E184" t="s">
        <v>3</v>
      </c>
      <c r="F184" t="s">
        <v>41</v>
      </c>
      <c r="G184" t="str">
        <f t="shared" si="18"/>
        <v/>
      </c>
      <c r="H184">
        <v>4</v>
      </c>
      <c r="I184" t="s">
        <v>3</v>
      </c>
    </row>
    <row r="185" spans="1:9" x14ac:dyDescent="0.15">
      <c r="A185" t="str">
        <f t="shared" si="19"/>
        <v>|Lｖ59|HP+4|</v>
      </c>
      <c r="B185" t="s">
        <v>3</v>
      </c>
      <c r="C185" t="s">
        <v>39</v>
      </c>
      <c r="D185">
        <v>59</v>
      </c>
      <c r="E185" t="s">
        <v>3</v>
      </c>
      <c r="F185" t="s">
        <v>7</v>
      </c>
      <c r="G185" t="str">
        <f t="shared" si="18"/>
        <v>+</v>
      </c>
      <c r="H185">
        <v>4</v>
      </c>
      <c r="I185" t="s">
        <v>3</v>
      </c>
    </row>
    <row r="186" spans="1:9" x14ac:dyDescent="0.15">
      <c r="A186" t="str">
        <f t="shared" si="19"/>
        <v>|Lｖ60|第3能力Lv4|</v>
      </c>
      <c r="B186" t="s">
        <v>3</v>
      </c>
      <c r="C186" t="s">
        <v>39</v>
      </c>
      <c r="D186">
        <v>60</v>
      </c>
      <c r="E186" t="s">
        <v>3</v>
      </c>
      <c r="F186" t="s">
        <v>42</v>
      </c>
      <c r="G186" t="s">
        <v>44</v>
      </c>
      <c r="H186">
        <v>4</v>
      </c>
      <c r="I186" t="s">
        <v>3</v>
      </c>
    </row>
    <row r="187" spans="1:9" x14ac:dyDescent="0.15">
      <c r="A187" t="str">
        <f t="shared" si="19"/>
        <v>必要総経験値：160720ルーン</v>
      </c>
      <c r="B187" t="s">
        <v>45</v>
      </c>
      <c r="C187">
        <v>160720</v>
      </c>
      <c r="F187" t="s">
        <v>46</v>
      </c>
    </row>
    <row r="188" spans="1:9" x14ac:dyDescent="0.15">
      <c r="A188" t="str">
        <f t="shared" si="19"/>
        <v>&amp;br;</v>
      </c>
      <c r="B188" t="s">
        <v>0</v>
      </c>
    </row>
    <row r="189" spans="1:9" x14ac:dyDescent="0.15">
      <c r="A189" t="str">
        <f t="shared" si="19"/>
        <v>#back(text=戻る,left)</v>
      </c>
      <c r="B189" t="s">
        <v>47</v>
      </c>
    </row>
    <row r="190" spans="1:9" x14ac:dyDescent="0.15">
      <c r="A190" t="str">
        <f t="shared" si="19"/>
        <v>&amp;br;</v>
      </c>
      <c r="B190" t="s">
        <v>0</v>
      </c>
    </row>
    <row r="191" spans="1:9" x14ac:dyDescent="0.15">
      <c r="A191" t="str">
        <f t="shared" si="19"/>
        <v>#comment(above,nsize=[15],size=[30],num=[10])</v>
      </c>
      <c r="B191" t="s">
        <v>48</v>
      </c>
    </row>
    <row r="192" spans="1:9" x14ac:dyDescent="0.15">
      <c r="A192" t="str">
        <f t="shared" si="19"/>
        <v>[[プレインズウォーカーリスト&gt;プレインズウォーカーリスト]]</v>
      </c>
      <c r="B192" t="s">
        <v>49</v>
      </c>
    </row>
  </sheetData>
  <autoFilter ref="C127:I192"/>
  <phoneticPr fontId="4"/>
  <dataValidations count="3">
    <dataValidation type="list" allowBlank="1" showInputMessage="1" showErrorMessage="1" sqref="F187">
      <formula1>$Q$88:$Q$129</formula1>
    </dataValidation>
    <dataValidation type="list" allowBlank="1" showInputMessage="1" showErrorMessage="1" sqref="F128:F186">
      <formula1>$Q$127:$Q$139</formula1>
    </dataValidation>
    <dataValidation type="list" allowBlank="1" showInputMessage="1" showErrorMessage="1" sqref="H128:H186">
      <formula1>",1,2,3,4,8"</formula1>
    </dataValidation>
  </dataValidations>
  <pageMargins left="0.69930555555555596" right="0.69930555555555596"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A1:X207"/>
  <sheetViews>
    <sheetView workbookViewId="0">
      <selection sqref="A1:A1048576"/>
    </sheetView>
  </sheetViews>
  <sheetFormatPr defaultColWidth="9" defaultRowHeight="13.5" x14ac:dyDescent="0.15"/>
  <cols>
    <col min="2" max="2" width="3.5" customWidth="1"/>
    <col min="3" max="3" width="7.875" customWidth="1"/>
    <col min="4" max="4" width="5.5" customWidth="1"/>
    <col min="5" max="5" width="2.875" customWidth="1"/>
    <col min="7" max="7" width="2" customWidth="1"/>
    <col min="9" max="9" width="2" customWidth="1"/>
    <col min="11" max="11" width="2" customWidth="1"/>
    <col min="13" max="13" width="2" customWidth="1"/>
    <col min="15" max="15" width="2" customWidth="1"/>
    <col min="17" max="17" width="2.75" customWidth="1"/>
  </cols>
  <sheetData>
    <row r="1" spans="1:24" x14ac:dyDescent="0.15">
      <c r="A1" t="str">
        <f t="shared" ref="A1:A13" si="0">C1&amp;D1&amp;E1&amp;F1&amp;G1&amp;H1&amp;I1&amp;J1&amp;K1&amp;L1&amp;M1&amp;N1&amp;O1&amp;P1&amp;Q1&amp;R1&amp;S1&amp;T1&amp;U1&amp;V1</f>
        <v>*Lv60時ステータス</v>
      </c>
      <c r="C1" t="s">
        <v>577</v>
      </c>
      <c r="W1" s="8" t="s">
        <v>859</v>
      </c>
      <c r="X1">
        <f>PW平均!G38</f>
        <v>109.3</v>
      </c>
    </row>
    <row r="2" spans="1:24" x14ac:dyDescent="0.15">
      <c r="A2" t="str">
        <f t="shared" si="0"/>
        <v>|LEFT:70|LEFT:30|LEFT:30|LEFT:30|LEFT:30|LEFT:30|LEFT:70|LEFT:50|LEFT:60|c</v>
      </c>
      <c r="C2" t="s">
        <v>3</v>
      </c>
      <c r="D2" t="s">
        <v>578</v>
      </c>
      <c r="E2" t="s">
        <v>3</v>
      </c>
      <c r="F2" t="s">
        <v>579</v>
      </c>
      <c r="G2" t="s">
        <v>3</v>
      </c>
      <c r="H2" t="s">
        <v>579</v>
      </c>
      <c r="I2" t="s">
        <v>3</v>
      </c>
      <c r="J2" t="s">
        <v>579</v>
      </c>
      <c r="K2" t="s">
        <v>3</v>
      </c>
      <c r="L2" t="s">
        <v>579</v>
      </c>
      <c r="M2" t="s">
        <v>3</v>
      </c>
      <c r="N2" t="s">
        <v>579</v>
      </c>
      <c r="O2" t="s">
        <v>3</v>
      </c>
      <c r="P2" t="s">
        <v>578</v>
      </c>
      <c r="Q2" t="s">
        <v>3</v>
      </c>
      <c r="R2" t="s">
        <v>4</v>
      </c>
      <c r="S2" t="s">
        <v>3</v>
      </c>
      <c r="T2" t="s">
        <v>580</v>
      </c>
      <c r="U2" t="s">
        <v>3</v>
      </c>
      <c r="V2" t="s">
        <v>5</v>
      </c>
      <c r="W2" s="8" t="s">
        <v>860</v>
      </c>
      <c r="X2">
        <f>PW平均!AQ38</f>
        <v>7.4</v>
      </c>
    </row>
    <row r="3" spans="1:24" x14ac:dyDescent="0.15">
      <c r="A3" t="str">
        <f t="shared" si="0"/>
        <v>|HP|&gt;|&gt;|&gt;|&gt;|マナボーナス|&gt;|&gt;|デッキ構築枚数上限|</v>
      </c>
      <c r="C3" t="s">
        <v>3</v>
      </c>
      <c r="D3" t="s">
        <v>7</v>
      </c>
      <c r="E3" t="s">
        <v>3</v>
      </c>
      <c r="F3" t="s">
        <v>209</v>
      </c>
      <c r="G3" t="s">
        <v>3</v>
      </c>
      <c r="H3" t="s">
        <v>209</v>
      </c>
      <c r="I3" t="s">
        <v>3</v>
      </c>
      <c r="J3" t="s">
        <v>209</v>
      </c>
      <c r="K3" t="s">
        <v>3</v>
      </c>
      <c r="L3" t="s">
        <v>209</v>
      </c>
      <c r="M3" t="s">
        <v>3</v>
      </c>
      <c r="N3" t="s">
        <v>581</v>
      </c>
      <c r="O3" t="s">
        <v>3</v>
      </c>
      <c r="P3" t="s">
        <v>209</v>
      </c>
      <c r="Q3" t="s">
        <v>3</v>
      </c>
      <c r="R3" t="s">
        <v>209</v>
      </c>
      <c r="S3" t="s">
        <v>3</v>
      </c>
      <c r="T3" t="s">
        <v>582</v>
      </c>
      <c r="U3" t="s">
        <v>3</v>
      </c>
    </row>
    <row r="4" spans="1:24" x14ac:dyDescent="0.15">
      <c r="A4" t="str">
        <f t="shared" si="0"/>
        <v>|^|白|青|黒|赤|緑|クリーチャー|呪文|サポート|</v>
      </c>
      <c r="C4" t="s">
        <v>3</v>
      </c>
      <c r="D4" t="s">
        <v>583</v>
      </c>
      <c r="E4" t="s">
        <v>3</v>
      </c>
      <c r="F4" t="s">
        <v>11</v>
      </c>
      <c r="G4" t="s">
        <v>3</v>
      </c>
      <c r="H4" t="s">
        <v>12</v>
      </c>
      <c r="I4" t="s">
        <v>3</v>
      </c>
      <c r="J4" t="s">
        <v>13</v>
      </c>
      <c r="K4" t="s">
        <v>3</v>
      </c>
      <c r="L4" t="s">
        <v>14</v>
      </c>
      <c r="M4" t="s">
        <v>3</v>
      </c>
      <c r="N4" t="s">
        <v>15</v>
      </c>
      <c r="O4" t="s">
        <v>3</v>
      </c>
      <c r="P4" t="s">
        <v>20</v>
      </c>
      <c r="Q4" t="s">
        <v>3</v>
      </c>
      <c r="R4" t="s">
        <v>21</v>
      </c>
      <c r="S4" t="s">
        <v>3</v>
      </c>
      <c r="T4" t="s">
        <v>22</v>
      </c>
      <c r="U4" t="s">
        <v>3</v>
      </c>
    </row>
    <row r="5" spans="1:24" x14ac:dyDescent="0.15">
      <c r="A5" t="str">
        <f t="shared" si="0"/>
        <v>|107|0|1|3|1|3|8|6|5|</v>
      </c>
      <c r="C5" t="s">
        <v>3</v>
      </c>
      <c r="D5">
        <f>VLOOKUP(MAX(D39:D64),D39:F64,3,TRUE)</f>
        <v>107</v>
      </c>
      <c r="E5" t="s">
        <v>3</v>
      </c>
      <c r="F5">
        <f>VLOOKUP(MAX($D$70:$D$79),$D$70:$P$79,5,TRUE)</f>
        <v>0</v>
      </c>
      <c r="G5" t="s">
        <v>3</v>
      </c>
      <c r="H5">
        <f>VLOOKUP(MAX($D$70:$D$79),$D$70:$P$79,7,TRUE)</f>
        <v>1</v>
      </c>
      <c r="I5" t="s">
        <v>3</v>
      </c>
      <c r="J5">
        <f>VLOOKUP(MAX($D$70:$D$79),$D$70:$P$79,9,TRUE)</f>
        <v>3</v>
      </c>
      <c r="K5" t="s">
        <v>3</v>
      </c>
      <c r="L5">
        <f>VLOOKUP(MAX($D$70:$D$79),$D$70:$P$79,11,TRUE)</f>
        <v>1</v>
      </c>
      <c r="M5" t="s">
        <v>3</v>
      </c>
      <c r="N5">
        <f>VLOOKUP(MAX($D$70:$D$79),$D$70:$P$79,13,TRUE)</f>
        <v>3</v>
      </c>
      <c r="O5" t="s">
        <v>3</v>
      </c>
      <c r="P5">
        <f>VLOOKUP(MAX($D$86:$D$95),$D$86:$L$95,5,TRUE)</f>
        <v>8</v>
      </c>
      <c r="Q5" t="s">
        <v>3</v>
      </c>
      <c r="R5">
        <f>VLOOKUP(MAX($D$86:$D$95),$D$86:$L$95,7,TRUE)</f>
        <v>6</v>
      </c>
      <c r="S5" t="s">
        <v>3</v>
      </c>
      <c r="T5">
        <f>VLOOKUP(MAX($D$86:$D$95),$D$86:$L$95,9,TRUE)</f>
        <v>5</v>
      </c>
      <c r="U5" t="s">
        <v>3</v>
      </c>
    </row>
    <row r="6" spans="1:24" x14ac:dyDescent="0.15">
      <c r="A6" t="str">
        <f t="shared" si="0"/>
        <v>||&gt;|&gt;|&gt;|&gt;|&gt;|&gt;|PW能力|コスト|</v>
      </c>
      <c r="C6" t="s">
        <v>3</v>
      </c>
      <c r="E6" t="s">
        <v>3</v>
      </c>
      <c r="F6" t="s">
        <v>209</v>
      </c>
      <c r="G6" t="s">
        <v>3</v>
      </c>
      <c r="H6" t="s">
        <v>209</v>
      </c>
      <c r="I6" t="s">
        <v>3</v>
      </c>
      <c r="J6" t="s">
        <v>209</v>
      </c>
      <c r="K6" t="s">
        <v>3</v>
      </c>
      <c r="L6" t="s">
        <v>209</v>
      </c>
      <c r="M6" t="s">
        <v>3</v>
      </c>
      <c r="N6" t="s">
        <v>209</v>
      </c>
      <c r="O6" t="s">
        <v>3</v>
      </c>
      <c r="P6" t="s">
        <v>209</v>
      </c>
      <c r="Q6" t="s">
        <v>3</v>
      </c>
      <c r="R6" t="s">
        <v>584</v>
      </c>
      <c r="S6" t="s">
        <v>3</v>
      </c>
      <c r="T6" t="s">
        <v>28</v>
      </c>
      <c r="U6" t="s">
        <v>3</v>
      </c>
    </row>
    <row r="7" spans="1:24" x14ac:dyDescent="0.15">
      <c r="A7" t="str">
        <f t="shared" si="0"/>
        <v>|第1能力|&gt;|&gt;|&gt;|&gt;|&gt;|&gt;|お宝最高/Loot Is Good|9|</v>
      </c>
      <c r="C7" t="s">
        <v>3</v>
      </c>
      <c r="D7" t="s">
        <v>585</v>
      </c>
      <c r="E7" t="s">
        <v>3</v>
      </c>
      <c r="F7" t="s">
        <v>209</v>
      </c>
      <c r="G7" t="s">
        <v>3</v>
      </c>
      <c r="H7" t="s">
        <v>209</v>
      </c>
      <c r="I7" t="s">
        <v>3</v>
      </c>
      <c r="J7" t="s">
        <v>209</v>
      </c>
      <c r="K7" t="s">
        <v>3</v>
      </c>
      <c r="L7" t="s">
        <v>209</v>
      </c>
      <c r="M7" t="s">
        <v>3</v>
      </c>
      <c r="N7" t="s">
        <v>209</v>
      </c>
      <c r="O7" t="s">
        <v>3</v>
      </c>
      <c r="P7" t="s">
        <v>209</v>
      </c>
      <c r="Q7" t="s">
        <v>3</v>
      </c>
      <c r="R7" t="str">
        <f>R99</f>
        <v>お宝最高/Loot Is Good</v>
      </c>
      <c r="S7" t="s">
        <v>3</v>
      </c>
      <c r="T7">
        <f>H105</f>
        <v>9</v>
      </c>
      <c r="U7" t="s">
        <v>3</v>
      </c>
    </row>
    <row r="8" spans="1:24" x14ac:dyDescent="0.15">
      <c r="A8" t="str">
        <f t="shared" si="0"/>
        <v>|&gt;|&gt;|&gt;|&gt;|&gt;|&gt;|&gt;|&gt;|対戦相手のサポートのうち最大のシールドを持つものを1個破壊する。宝物を2つ見つける。|</v>
      </c>
      <c r="C8" t="s">
        <v>3</v>
      </c>
      <c r="D8" t="s">
        <v>209</v>
      </c>
      <c r="E8" t="s">
        <v>3</v>
      </c>
      <c r="F8" t="s">
        <v>209</v>
      </c>
      <c r="G8" t="s">
        <v>3</v>
      </c>
      <c r="H8" t="s">
        <v>209</v>
      </c>
      <c r="I8" t="s">
        <v>3</v>
      </c>
      <c r="J8" t="s">
        <v>209</v>
      </c>
      <c r="K8" t="s">
        <v>3</v>
      </c>
      <c r="L8" t="s">
        <v>209</v>
      </c>
      <c r="M8" t="s">
        <v>3</v>
      </c>
      <c r="N8" t="s">
        <v>209</v>
      </c>
      <c r="O8" t="s">
        <v>3</v>
      </c>
      <c r="P8" t="s">
        <v>209</v>
      </c>
      <c r="Q8" t="s">
        <v>3</v>
      </c>
      <c r="R8" t="s">
        <v>209</v>
      </c>
      <c r="S8" t="s">
        <v>3</v>
      </c>
      <c r="T8" t="str">
        <f>J105</f>
        <v>対戦相手のサポートのうち最大のシールドを持つものを1個破壊する。宝物を2つ見つける。</v>
      </c>
      <c r="U8" t="s">
        <v>3</v>
      </c>
    </row>
    <row r="9" spans="1:24" x14ac:dyDescent="0.15">
      <c r="A9" t="str">
        <f t="shared" si="0"/>
        <v>|第2能力|&gt;|&gt;|&gt;|&gt;|&gt;|&gt;|ヤッハー！/Yarghhh!!!|15|</v>
      </c>
      <c r="C9" t="s">
        <v>3</v>
      </c>
      <c r="D9" t="s">
        <v>587</v>
      </c>
      <c r="E9" t="s">
        <v>3</v>
      </c>
      <c r="F9" t="s">
        <v>209</v>
      </c>
      <c r="G9" t="s">
        <v>3</v>
      </c>
      <c r="H9" t="s">
        <v>209</v>
      </c>
      <c r="I9" t="s">
        <v>3</v>
      </c>
      <c r="J9" t="s">
        <v>209</v>
      </c>
      <c r="K9" t="s">
        <v>3</v>
      </c>
      <c r="L9" t="s">
        <v>209</v>
      </c>
      <c r="M9" t="s">
        <v>3</v>
      </c>
      <c r="N9" t="s">
        <v>209</v>
      </c>
      <c r="O9" t="s">
        <v>3</v>
      </c>
      <c r="P9" t="s">
        <v>209</v>
      </c>
      <c r="Q9" t="s">
        <v>3</v>
      </c>
      <c r="R9" t="str">
        <f>R108</f>
        <v>ヤッハー！/Yarghhh!!!</v>
      </c>
      <c r="S9" t="s">
        <v>3</v>
      </c>
      <c r="T9">
        <f>H114</f>
        <v>15</v>
      </c>
      <c r="U9" t="s">
        <v>3</v>
      </c>
    </row>
    <row r="10" spans="1:24" x14ac:dyDescent="0.15">
      <c r="A10" t="str">
        <f t="shared" si="0"/>
        <v>|&gt;|&gt;|&gt;|&gt;|&gt;|&gt;|&gt;|&gt;|威迫を持つ2/2の黒の海賊・トークンを2体と、「あなたがコントロールする海賊がダメージを与えるたび、これは探検1を行い、宝物を1つ見つける。」を持つサポートを生成する。|</v>
      </c>
      <c r="C10" t="s">
        <v>3</v>
      </c>
      <c r="D10" t="s">
        <v>209</v>
      </c>
      <c r="E10" t="s">
        <v>3</v>
      </c>
      <c r="F10" t="s">
        <v>209</v>
      </c>
      <c r="G10" t="s">
        <v>3</v>
      </c>
      <c r="H10" t="s">
        <v>209</v>
      </c>
      <c r="I10" t="s">
        <v>3</v>
      </c>
      <c r="J10" t="s">
        <v>209</v>
      </c>
      <c r="K10" t="s">
        <v>3</v>
      </c>
      <c r="L10" t="s">
        <v>209</v>
      </c>
      <c r="M10" t="s">
        <v>3</v>
      </c>
      <c r="N10" t="s">
        <v>209</v>
      </c>
      <c r="O10" t="s">
        <v>3</v>
      </c>
      <c r="P10" t="s">
        <v>209</v>
      </c>
      <c r="Q10" t="s">
        <v>3</v>
      </c>
      <c r="R10" t="s">
        <v>209</v>
      </c>
      <c r="S10" t="s">
        <v>3</v>
      </c>
      <c r="T10" t="str">
        <f>J114</f>
        <v>威迫を持つ2/2の黒の海賊・トークンを2体と、「あなたがコントロールする海賊がダメージを与えるたび、これは探検1を行い、宝物を1つ見つける。」を持つサポートを生成する。</v>
      </c>
      <c r="U10" t="s">
        <v>3</v>
      </c>
    </row>
    <row r="11" spans="1:24" x14ac:dyDescent="0.15">
      <c r="A11" t="str">
        <f t="shared" si="0"/>
        <v>|第3能力|&gt;|&gt;|&gt;|&gt;|&gt;|&gt;|ゴルゴンの凝視/Gorgon's Gaze|18|</v>
      </c>
      <c r="C11" t="s">
        <v>3</v>
      </c>
      <c r="D11" t="s">
        <v>590</v>
      </c>
      <c r="E11" t="s">
        <v>3</v>
      </c>
      <c r="F11" t="s">
        <v>209</v>
      </c>
      <c r="G11" t="s">
        <v>3</v>
      </c>
      <c r="H11" t="s">
        <v>209</v>
      </c>
      <c r="I11" t="s">
        <v>3</v>
      </c>
      <c r="J11" t="s">
        <v>209</v>
      </c>
      <c r="K11" t="s">
        <v>3</v>
      </c>
      <c r="L11" t="s">
        <v>209</v>
      </c>
      <c r="M11" t="s">
        <v>3</v>
      </c>
      <c r="N11" t="s">
        <v>209</v>
      </c>
      <c r="O11" t="s">
        <v>3</v>
      </c>
      <c r="P11" t="s">
        <v>209</v>
      </c>
      <c r="Q11" t="s">
        <v>3</v>
      </c>
      <c r="R11" t="str">
        <f>R117</f>
        <v>ゴルゴンの凝視/Gorgon's Gaze</v>
      </c>
      <c r="S11" t="s">
        <v>3</v>
      </c>
      <c r="T11">
        <f>H123</f>
        <v>18</v>
      </c>
      <c r="U11" t="s">
        <v>3</v>
      </c>
    </row>
    <row r="12" spans="1:24" x14ac:dyDescent="0.15">
      <c r="A12" t="str">
        <f t="shared" si="0"/>
        <v>|&gt;|&gt;|&gt;|&gt;|&gt;|&gt;|&gt;|&gt;|5シールドと「各ターン開始時に、対戦相手のクリーチャーは-2/-2の修正を受け、対戦相手は5点のライフを失う。このサポートは1シールドを失う。」を持つサポートを生成する。|</v>
      </c>
      <c r="C12" t="s">
        <v>3</v>
      </c>
      <c r="D12" t="s">
        <v>209</v>
      </c>
      <c r="E12" t="s">
        <v>3</v>
      </c>
      <c r="F12" t="s">
        <v>209</v>
      </c>
      <c r="G12" t="s">
        <v>3</v>
      </c>
      <c r="H12" t="s">
        <v>209</v>
      </c>
      <c r="I12" t="s">
        <v>3</v>
      </c>
      <c r="J12" t="s">
        <v>209</v>
      </c>
      <c r="K12" t="s">
        <v>3</v>
      </c>
      <c r="L12" t="s">
        <v>209</v>
      </c>
      <c r="M12" t="s">
        <v>3</v>
      </c>
      <c r="N12" t="s">
        <v>209</v>
      </c>
      <c r="O12" t="s">
        <v>3</v>
      </c>
      <c r="P12" t="s">
        <v>209</v>
      </c>
      <c r="Q12" t="s">
        <v>3</v>
      </c>
      <c r="R12" t="s">
        <v>209</v>
      </c>
      <c r="S12" t="s">
        <v>3</v>
      </c>
      <c r="T12" t="str">
        <f>J123</f>
        <v>5シールドと「各ターン開始時に、対戦相手のクリーチャーは-2/-2の修正を受け、対戦相手は5点のライフを失う。このサポートは1シールドを失う。」を持つサポートを生成する。</v>
      </c>
      <c r="U12" t="s">
        <v>3</v>
      </c>
    </row>
    <row r="13" spans="1:24" x14ac:dyDescent="0.15">
      <c r="A13" t="str">
        <f t="shared" si="0"/>
        <v/>
      </c>
    </row>
    <row r="14" spans="1:24" x14ac:dyDescent="0.15">
      <c r="A14" t="str">
        <f t="shared" ref="A14:A33" si="1">B14&amp;C14&amp;D14&amp;E14&amp;F14&amp;G14&amp;H14&amp;I14&amp;J14&amp;K14&amp;L14&amp;M14&amp;N14&amp;O14&amp;P14&amp;Q14&amp;R14&amp;S14&amp;T14&amp;U14</f>
        <v>*評価</v>
      </c>
      <c r="B14" t="s">
        <v>592</v>
      </c>
      <c r="C14" t="s">
        <v>593</v>
      </c>
    </row>
    <row r="15" spans="1:24" x14ac:dyDescent="0.15">
      <c r="A15" t="str">
        <f t="shared" si="1"/>
        <v>・HPは平均</v>
      </c>
      <c r="B15" t="s">
        <v>594</v>
      </c>
      <c r="C15" s="8" t="s">
        <v>653</v>
      </c>
      <c r="D15" t="str">
        <f>IF(D5&gt;X1+5,"以上",IF(D5&gt;X1-5,"","以下"))</f>
        <v/>
      </c>
    </row>
    <row r="16" spans="1:24" x14ac:dyDescent="0.15">
      <c r="A16" t="str">
        <f t="shared" si="1"/>
        <v>・マナボーナス合計は+8。平均以上。</v>
      </c>
      <c r="B16" t="s">
        <v>594</v>
      </c>
      <c r="C16" t="s">
        <v>595</v>
      </c>
      <c r="D16">
        <f>SUM(F5:N5)</f>
        <v>8</v>
      </c>
      <c r="E16" t="s">
        <v>596</v>
      </c>
      <c r="F16" t="s">
        <v>597</v>
      </c>
      <c r="G16" t="str">
        <f>IF(D16&gt;X2,"以上",IF(D16&gt;X2,"","以下"))</f>
        <v>以上</v>
      </c>
      <c r="H16" t="s">
        <v>596</v>
      </c>
    </row>
    <row r="17" spans="1:6" x14ac:dyDescent="0.15">
      <c r="A17" t="str">
        <f t="shared" si="1"/>
        <v>・とうとう現れた黒緑のPW</v>
      </c>
      <c r="B17" t="s">
        <v>594</v>
      </c>
      <c r="C17" s="8" t="s">
        <v>861</v>
      </c>
    </row>
    <row r="18" spans="1:6" x14ac:dyDescent="0.15">
      <c r="A18" t="str">
        <f t="shared" si="1"/>
        <v>・第2能力が海賊部族デッキシナジーに見えて、能力が自己完結しているので海賊部族デッキにしなくても成立する。</v>
      </c>
      <c r="B18" t="s">
        <v>594</v>
      </c>
      <c r="C18" s="8" t="s">
        <v>862</v>
      </c>
    </row>
    <row r="19" spans="1:6" x14ac:dyDescent="0.15">
      <c r="A19" t="str">
        <f t="shared" si="1"/>
        <v>・</v>
      </c>
      <c r="B19" t="s">
        <v>594</v>
      </c>
    </row>
    <row r="20" spans="1:6" x14ac:dyDescent="0.15">
      <c r="A20" t="str">
        <f t="shared" si="1"/>
        <v>*採用候補</v>
      </c>
      <c r="B20" s="8" t="s">
        <v>652</v>
      </c>
    </row>
    <row r="21" spans="1:6" x14ac:dyDescent="0.15">
      <c r="A21" t="str">
        <f t="shared" si="1"/>
        <v>・色が合えば採用候補レベルのものではなく、PWに合った採用候補を紹介</v>
      </c>
      <c r="B21" t="s">
        <v>645</v>
      </c>
    </row>
    <row r="22" spans="1:6" x14ac:dyDescent="0.15">
      <c r="A22" t="str">
        <f t="shared" si="1"/>
        <v/>
      </c>
    </row>
    <row r="23" spans="1:6" x14ac:dyDescent="0.15">
      <c r="A23" t="str">
        <f t="shared" si="1"/>
        <v>**スタンダード</v>
      </c>
      <c r="B23" s="8" t="s">
        <v>650</v>
      </c>
    </row>
    <row r="24" spans="1:6" x14ac:dyDescent="0.15">
      <c r="A24" t="str">
        <f t="shared" si="1"/>
        <v>スタンダード(ORI/KLD/AKH/HOU/XLN期)</v>
      </c>
      <c r="B24" s="8" t="s">
        <v>863</v>
      </c>
    </row>
    <row r="25" spans="1:6" x14ac:dyDescent="0.15">
      <c r="A25" t="str">
        <f t="shared" si="1"/>
        <v>《[[]]》[]：</v>
      </c>
      <c r="B25" s="8" t="s">
        <v>718</v>
      </c>
      <c r="D25" t="s">
        <v>719</v>
      </c>
      <c r="E25" s="8"/>
      <c r="F25" t="s">
        <v>713</v>
      </c>
    </row>
    <row r="26" spans="1:6" x14ac:dyDescent="0.15">
      <c r="A26" t="str">
        <f t="shared" si="1"/>
        <v>《[[]]》[]：</v>
      </c>
      <c r="B26" s="8" t="s">
        <v>718</v>
      </c>
      <c r="D26" t="s">
        <v>719</v>
      </c>
      <c r="E26" s="8"/>
      <c r="F26" t="s">
        <v>713</v>
      </c>
    </row>
    <row r="27" spans="1:6" x14ac:dyDescent="0.15">
      <c r="A27" t="str">
        <f t="shared" si="1"/>
        <v/>
      </c>
    </row>
    <row r="28" spans="1:6" x14ac:dyDescent="0.15">
      <c r="A28" t="str">
        <f t="shared" si="1"/>
        <v/>
      </c>
    </row>
    <row r="29" spans="1:6" x14ac:dyDescent="0.15">
      <c r="A29" t="str">
        <f t="shared" si="1"/>
        <v>**レガシー</v>
      </c>
      <c r="B29" s="8" t="s">
        <v>651</v>
      </c>
    </row>
    <row r="30" spans="1:6" x14ac:dyDescent="0.15">
      <c r="A30" t="str">
        <f t="shared" si="1"/>
        <v>《[[]]》[]：</v>
      </c>
      <c r="B30" s="8" t="s">
        <v>718</v>
      </c>
      <c r="D30" t="s">
        <v>719</v>
      </c>
      <c r="E30" s="8"/>
      <c r="F30" t="s">
        <v>713</v>
      </c>
    </row>
    <row r="31" spans="1:6" x14ac:dyDescent="0.15">
      <c r="A31" t="str">
        <f t="shared" si="1"/>
        <v>《[[]]》[]：</v>
      </c>
      <c r="B31" s="8" t="s">
        <v>718</v>
      </c>
      <c r="D31" t="s">
        <v>719</v>
      </c>
      <c r="E31" s="8"/>
      <c r="F31" t="s">
        <v>713</v>
      </c>
    </row>
    <row r="32" spans="1:6" x14ac:dyDescent="0.15">
      <c r="A32" t="str">
        <f t="shared" si="1"/>
        <v/>
      </c>
    </row>
    <row r="33" spans="1:8" x14ac:dyDescent="0.15">
      <c r="A33" t="str">
        <f t="shared" si="1"/>
        <v>#region(close,text=Lv60までの詳細データ)</v>
      </c>
      <c r="B33" t="s">
        <v>598</v>
      </c>
    </row>
    <row r="34" spans="1:8" x14ac:dyDescent="0.15">
      <c r="A34" t="str">
        <f>B34&amp;C34&amp;D34&amp;E34&amp;F34&amp;G34&amp;H34&amp;I34&amp;J34&amp;K34&amp;L34&amp;M34&amp;N34&amp;O34&amp;P34</f>
        <v/>
      </c>
    </row>
    <row r="35" spans="1:8" x14ac:dyDescent="0.15">
      <c r="A35" t="str">
        <f>B35&amp;C35&amp;D35&amp;E35&amp;F35&amp;G35&amp;H35&amp;I35&amp;J35&amp;K35&amp;L35&amp;M35&amp;N35&amp;O35&amp;P35</f>
        <v>&amp;br;</v>
      </c>
      <c r="B35" t="s">
        <v>0</v>
      </c>
    </row>
    <row r="36" spans="1:8" x14ac:dyDescent="0.15">
      <c r="A36" t="str">
        <f>B36&amp;C36&amp;D36&amp;E36&amp;F36&amp;G36&amp;H36&amp;I36&amp;J36&amp;K36&amp;L36&amp;M36&amp;N36&amp;O36&amp;P36</f>
        <v>*HP</v>
      </c>
      <c r="B36" s="8" t="s">
        <v>644</v>
      </c>
    </row>
    <row r="37" spans="1:8" x14ac:dyDescent="0.15">
      <c r="A37" t="str">
        <f>B37&amp;C37&amp;D37&amp;E37&amp;F37&amp;G37&amp;H37</f>
        <v>|LEFT:50|LEFT:50|c</v>
      </c>
      <c r="B37" t="s">
        <v>3</v>
      </c>
      <c r="C37" t="s">
        <v>4</v>
      </c>
      <c r="E37" t="s">
        <v>3</v>
      </c>
      <c r="F37" t="s">
        <v>4</v>
      </c>
      <c r="G37" t="s">
        <v>3</v>
      </c>
      <c r="H37" t="s">
        <v>5</v>
      </c>
    </row>
    <row r="38" spans="1:8" x14ac:dyDescent="0.15">
      <c r="A38" t="str">
        <f t="shared" ref="A38:A64" si="2">B38&amp;C38&amp;D38&amp;E38&amp;F38&amp;G38&amp;H38</f>
        <v>|レベル|HP|</v>
      </c>
      <c r="B38" t="s">
        <v>3</v>
      </c>
      <c r="C38" t="s">
        <v>6</v>
      </c>
      <c r="E38" t="s">
        <v>3</v>
      </c>
      <c r="F38" t="s">
        <v>7</v>
      </c>
      <c r="G38" t="s">
        <v>3</v>
      </c>
    </row>
    <row r="39" spans="1:8" x14ac:dyDescent="0.15">
      <c r="A39" t="str">
        <f t="shared" si="2"/>
        <v>|Lv3|32|</v>
      </c>
      <c r="B39" t="s">
        <v>3</v>
      </c>
      <c r="C39" t="s">
        <v>8</v>
      </c>
      <c r="D39">
        <v>3</v>
      </c>
      <c r="E39" t="s">
        <v>3</v>
      </c>
      <c r="F39">
        <f>B203</f>
        <v>32</v>
      </c>
      <c r="G39" t="s">
        <v>3</v>
      </c>
    </row>
    <row r="40" spans="1:8" x14ac:dyDescent="0.15">
      <c r="A40" t="str">
        <f t="shared" si="2"/>
        <v>|Lv5|35|</v>
      </c>
      <c r="B40" t="s">
        <v>3</v>
      </c>
      <c r="C40" t="s">
        <v>8</v>
      </c>
      <c r="D40">
        <v>5</v>
      </c>
      <c r="E40" t="s">
        <v>3</v>
      </c>
      <c r="F40">
        <f t="shared" ref="F40:F64" si="3">IF(ISBLANK(D40),"",F39+INDEX($H$128:$H$187,D40))</f>
        <v>35</v>
      </c>
      <c r="G40" t="s">
        <v>3</v>
      </c>
    </row>
    <row r="41" spans="1:8" x14ac:dyDescent="0.15">
      <c r="A41" t="str">
        <f t="shared" si="2"/>
        <v>|Lv7|38|</v>
      </c>
      <c r="B41" t="s">
        <v>3</v>
      </c>
      <c r="C41" t="s">
        <v>8</v>
      </c>
      <c r="D41">
        <v>7</v>
      </c>
      <c r="E41" t="s">
        <v>3</v>
      </c>
      <c r="F41">
        <f t="shared" si="3"/>
        <v>38</v>
      </c>
      <c r="G41" t="s">
        <v>3</v>
      </c>
    </row>
    <row r="42" spans="1:8" x14ac:dyDescent="0.15">
      <c r="A42" t="str">
        <f t="shared" si="2"/>
        <v>|Lv9|41|</v>
      </c>
      <c r="B42" t="s">
        <v>3</v>
      </c>
      <c r="C42" t="s">
        <v>8</v>
      </c>
      <c r="D42">
        <v>9</v>
      </c>
      <c r="E42" t="s">
        <v>3</v>
      </c>
      <c r="F42">
        <f t="shared" si="3"/>
        <v>41</v>
      </c>
      <c r="G42" t="s">
        <v>3</v>
      </c>
    </row>
    <row r="43" spans="1:8" x14ac:dyDescent="0.15">
      <c r="A43" t="str">
        <f t="shared" si="2"/>
        <v>|Lv11|44|</v>
      </c>
      <c r="B43" t="s">
        <v>3</v>
      </c>
      <c r="C43" t="s">
        <v>8</v>
      </c>
      <c r="D43">
        <v>11</v>
      </c>
      <c r="E43" t="s">
        <v>3</v>
      </c>
      <c r="F43">
        <f t="shared" si="3"/>
        <v>44</v>
      </c>
      <c r="G43" t="s">
        <v>3</v>
      </c>
    </row>
    <row r="44" spans="1:8" x14ac:dyDescent="0.15">
      <c r="A44" t="str">
        <f t="shared" si="2"/>
        <v>|Lv13|47|</v>
      </c>
      <c r="B44" t="s">
        <v>3</v>
      </c>
      <c r="C44" t="s">
        <v>8</v>
      </c>
      <c r="D44">
        <v>13</v>
      </c>
      <c r="E44" t="s">
        <v>3</v>
      </c>
      <c r="F44">
        <f t="shared" si="3"/>
        <v>47</v>
      </c>
      <c r="G44" t="s">
        <v>3</v>
      </c>
    </row>
    <row r="45" spans="1:8" x14ac:dyDescent="0.15">
      <c r="A45" t="str">
        <f t="shared" si="2"/>
        <v>|Lv15|50|</v>
      </c>
      <c r="B45" t="s">
        <v>3</v>
      </c>
      <c r="C45" t="s">
        <v>8</v>
      </c>
      <c r="D45">
        <v>15</v>
      </c>
      <c r="E45" t="s">
        <v>3</v>
      </c>
      <c r="F45">
        <f t="shared" si="3"/>
        <v>50</v>
      </c>
      <c r="G45" t="s">
        <v>3</v>
      </c>
    </row>
    <row r="46" spans="1:8" x14ac:dyDescent="0.15">
      <c r="A46" t="str">
        <f t="shared" si="2"/>
        <v>|Lv19|53|</v>
      </c>
      <c r="B46" t="s">
        <v>3</v>
      </c>
      <c r="C46" t="s">
        <v>8</v>
      </c>
      <c r="D46">
        <v>19</v>
      </c>
      <c r="E46" t="s">
        <v>3</v>
      </c>
      <c r="F46">
        <f t="shared" si="3"/>
        <v>53</v>
      </c>
      <c r="G46" t="s">
        <v>3</v>
      </c>
    </row>
    <row r="47" spans="1:8" x14ac:dyDescent="0.15">
      <c r="A47" t="str">
        <f t="shared" si="2"/>
        <v>|Lv21|56|</v>
      </c>
      <c r="B47" t="s">
        <v>3</v>
      </c>
      <c r="C47" t="s">
        <v>8</v>
      </c>
      <c r="D47">
        <v>21</v>
      </c>
      <c r="E47" t="s">
        <v>3</v>
      </c>
      <c r="F47">
        <f t="shared" si="3"/>
        <v>56</v>
      </c>
      <c r="G47" t="s">
        <v>3</v>
      </c>
    </row>
    <row r="48" spans="1:8" x14ac:dyDescent="0.15">
      <c r="A48" t="str">
        <f t="shared" si="2"/>
        <v>|Lv23|59|</v>
      </c>
      <c r="B48" t="s">
        <v>3</v>
      </c>
      <c r="C48" t="s">
        <v>8</v>
      </c>
      <c r="D48">
        <v>23</v>
      </c>
      <c r="E48" t="s">
        <v>3</v>
      </c>
      <c r="F48">
        <f t="shared" si="3"/>
        <v>59</v>
      </c>
      <c r="G48" t="s">
        <v>3</v>
      </c>
    </row>
    <row r="49" spans="1:7" x14ac:dyDescent="0.15">
      <c r="A49" t="str">
        <f t="shared" si="2"/>
        <v>|Lv25|62|</v>
      </c>
      <c r="B49" t="s">
        <v>3</v>
      </c>
      <c r="C49" t="s">
        <v>8</v>
      </c>
      <c r="D49">
        <v>25</v>
      </c>
      <c r="E49" t="s">
        <v>3</v>
      </c>
      <c r="F49">
        <f t="shared" si="3"/>
        <v>62</v>
      </c>
      <c r="G49" t="s">
        <v>3</v>
      </c>
    </row>
    <row r="50" spans="1:7" x14ac:dyDescent="0.15">
      <c r="A50" t="str">
        <f t="shared" si="2"/>
        <v>|Lv27|65|</v>
      </c>
      <c r="B50" t="s">
        <v>3</v>
      </c>
      <c r="C50" t="s">
        <v>8</v>
      </c>
      <c r="D50">
        <v>27</v>
      </c>
      <c r="E50" t="s">
        <v>3</v>
      </c>
      <c r="F50">
        <f t="shared" si="3"/>
        <v>65</v>
      </c>
      <c r="G50" t="s">
        <v>3</v>
      </c>
    </row>
    <row r="51" spans="1:7" x14ac:dyDescent="0.15">
      <c r="A51" t="str">
        <f t="shared" si="2"/>
        <v>|Lv29|68|</v>
      </c>
      <c r="B51" t="s">
        <v>3</v>
      </c>
      <c r="C51" t="s">
        <v>8</v>
      </c>
      <c r="D51">
        <v>29</v>
      </c>
      <c r="E51" t="s">
        <v>3</v>
      </c>
      <c r="F51">
        <f t="shared" si="3"/>
        <v>68</v>
      </c>
      <c r="G51" t="s">
        <v>3</v>
      </c>
    </row>
    <row r="52" spans="1:7" x14ac:dyDescent="0.15">
      <c r="A52" t="str">
        <f t="shared" si="2"/>
        <v>|Lv31|71|</v>
      </c>
      <c r="B52" t="s">
        <v>3</v>
      </c>
      <c r="C52" t="s">
        <v>8</v>
      </c>
      <c r="D52">
        <v>31</v>
      </c>
      <c r="E52" t="s">
        <v>3</v>
      </c>
      <c r="F52">
        <f t="shared" si="3"/>
        <v>71</v>
      </c>
      <c r="G52" t="s">
        <v>3</v>
      </c>
    </row>
    <row r="53" spans="1:7" x14ac:dyDescent="0.15">
      <c r="A53" t="str">
        <f t="shared" si="2"/>
        <v>|Lv33|74|</v>
      </c>
      <c r="B53" t="s">
        <v>3</v>
      </c>
      <c r="C53" t="s">
        <v>8</v>
      </c>
      <c r="D53">
        <v>33</v>
      </c>
      <c r="E53" t="s">
        <v>3</v>
      </c>
      <c r="F53">
        <f t="shared" si="3"/>
        <v>74</v>
      </c>
      <c r="G53" t="s">
        <v>3</v>
      </c>
    </row>
    <row r="54" spans="1:7" x14ac:dyDescent="0.15">
      <c r="A54" t="str">
        <f t="shared" si="2"/>
        <v>|Lv37|77|</v>
      </c>
      <c r="B54" t="s">
        <v>3</v>
      </c>
      <c r="C54" t="s">
        <v>8</v>
      </c>
      <c r="D54">
        <v>37</v>
      </c>
      <c r="E54" t="s">
        <v>3</v>
      </c>
      <c r="F54">
        <f t="shared" si="3"/>
        <v>77</v>
      </c>
      <c r="G54" t="s">
        <v>3</v>
      </c>
    </row>
    <row r="55" spans="1:7" x14ac:dyDescent="0.15">
      <c r="A55" t="str">
        <f t="shared" si="2"/>
        <v>|Lv39|80|</v>
      </c>
      <c r="B55" t="s">
        <v>3</v>
      </c>
      <c r="C55" t="s">
        <v>8</v>
      </c>
      <c r="D55">
        <v>39</v>
      </c>
      <c r="E55" t="s">
        <v>3</v>
      </c>
      <c r="F55">
        <f t="shared" si="3"/>
        <v>80</v>
      </c>
      <c r="G55" t="s">
        <v>3</v>
      </c>
    </row>
    <row r="56" spans="1:7" x14ac:dyDescent="0.15">
      <c r="A56" t="str">
        <f t="shared" si="2"/>
        <v>|Lv41|83|</v>
      </c>
      <c r="B56" t="s">
        <v>3</v>
      </c>
      <c r="C56" t="s">
        <v>8</v>
      </c>
      <c r="D56">
        <v>41</v>
      </c>
      <c r="E56" t="s">
        <v>3</v>
      </c>
      <c r="F56">
        <f t="shared" si="3"/>
        <v>83</v>
      </c>
      <c r="G56" t="s">
        <v>3</v>
      </c>
    </row>
    <row r="57" spans="1:7" x14ac:dyDescent="0.15">
      <c r="A57" t="str">
        <f t="shared" si="2"/>
        <v>|Lv43|86|</v>
      </c>
      <c r="B57" t="s">
        <v>3</v>
      </c>
      <c r="C57" t="s">
        <v>8</v>
      </c>
      <c r="D57">
        <v>43</v>
      </c>
      <c r="E57" t="s">
        <v>3</v>
      </c>
      <c r="F57">
        <f t="shared" si="3"/>
        <v>86</v>
      </c>
      <c r="G57" t="s">
        <v>3</v>
      </c>
    </row>
    <row r="58" spans="1:7" x14ac:dyDescent="0.15">
      <c r="A58" t="str">
        <f t="shared" si="2"/>
        <v>|Lv45|89|</v>
      </c>
      <c r="B58" t="s">
        <v>3</v>
      </c>
      <c r="C58" t="s">
        <v>8</v>
      </c>
      <c r="D58">
        <v>45</v>
      </c>
      <c r="E58" t="s">
        <v>3</v>
      </c>
      <c r="F58">
        <f t="shared" si="3"/>
        <v>89</v>
      </c>
      <c r="G58" t="s">
        <v>3</v>
      </c>
    </row>
    <row r="59" spans="1:7" x14ac:dyDescent="0.15">
      <c r="A59" t="str">
        <f t="shared" si="2"/>
        <v>|Lv47|92|</v>
      </c>
      <c r="B59" t="s">
        <v>3</v>
      </c>
      <c r="C59" t="s">
        <v>8</v>
      </c>
      <c r="D59">
        <v>47</v>
      </c>
      <c r="E59" t="s">
        <v>3</v>
      </c>
      <c r="F59">
        <f t="shared" si="3"/>
        <v>92</v>
      </c>
      <c r="G59" t="s">
        <v>3</v>
      </c>
    </row>
    <row r="60" spans="1:7" x14ac:dyDescent="0.15">
      <c r="A60" t="str">
        <f t="shared" si="2"/>
        <v>|Lv49|95|</v>
      </c>
      <c r="B60" t="s">
        <v>3</v>
      </c>
      <c r="C60" t="s">
        <v>8</v>
      </c>
      <c r="D60">
        <v>49</v>
      </c>
      <c r="E60" t="s">
        <v>3</v>
      </c>
      <c r="F60">
        <f t="shared" si="3"/>
        <v>95</v>
      </c>
      <c r="G60" t="s">
        <v>3</v>
      </c>
    </row>
    <row r="61" spans="1:7" x14ac:dyDescent="0.15">
      <c r="A61" t="str">
        <f t="shared" si="2"/>
        <v>|Lv51|98|</v>
      </c>
      <c r="B61" t="s">
        <v>3</v>
      </c>
      <c r="C61" t="s">
        <v>8</v>
      </c>
      <c r="D61">
        <v>51</v>
      </c>
      <c r="E61" t="s">
        <v>3</v>
      </c>
      <c r="F61">
        <f t="shared" si="3"/>
        <v>98</v>
      </c>
      <c r="G61" t="s">
        <v>3</v>
      </c>
    </row>
    <row r="62" spans="1:7" x14ac:dyDescent="0.15">
      <c r="A62" t="str">
        <f t="shared" si="2"/>
        <v>|Lv55|101|</v>
      </c>
      <c r="B62" t="s">
        <v>3</v>
      </c>
      <c r="C62" t="s">
        <v>8</v>
      </c>
      <c r="D62">
        <v>55</v>
      </c>
      <c r="E62" t="s">
        <v>3</v>
      </c>
      <c r="F62">
        <f t="shared" si="3"/>
        <v>101</v>
      </c>
      <c r="G62" t="s">
        <v>3</v>
      </c>
    </row>
    <row r="63" spans="1:7" x14ac:dyDescent="0.15">
      <c r="A63" t="str">
        <f t="shared" si="2"/>
        <v>|Lv57|104|</v>
      </c>
      <c r="B63" t="s">
        <v>3</v>
      </c>
      <c r="C63" t="s">
        <v>8</v>
      </c>
      <c r="D63">
        <v>57</v>
      </c>
      <c r="E63" t="s">
        <v>3</v>
      </c>
      <c r="F63">
        <f t="shared" si="3"/>
        <v>104</v>
      </c>
      <c r="G63" t="s">
        <v>3</v>
      </c>
    </row>
    <row r="64" spans="1:7" x14ac:dyDescent="0.15">
      <c r="A64" t="str">
        <f t="shared" si="2"/>
        <v>|Lv59|107|</v>
      </c>
      <c r="B64" t="s">
        <v>3</v>
      </c>
      <c r="C64" t="s">
        <v>8</v>
      </c>
      <c r="D64">
        <v>59</v>
      </c>
      <c r="E64" t="s">
        <v>3</v>
      </c>
      <c r="F64">
        <f t="shared" si="3"/>
        <v>107</v>
      </c>
      <c r="G64" t="s">
        <v>3</v>
      </c>
    </row>
    <row r="65" spans="1:19" x14ac:dyDescent="0.15">
      <c r="A65" t="str">
        <f>B65&amp;C65&amp;D65&amp;E65&amp;F65&amp;G65&amp;H65&amp;I65&amp;J65&amp;K65&amp;L65&amp;M65&amp;N65&amp;O65&amp;P65</f>
        <v>&amp;br;</v>
      </c>
      <c r="B65" t="s">
        <v>0</v>
      </c>
    </row>
    <row r="66" spans="1:19" x14ac:dyDescent="0.15">
      <c r="A66" t="str">
        <f>B66&amp;C66&amp;D66&amp;E66&amp;F66&amp;G66&amp;H66&amp;I66&amp;J66&amp;K66&amp;L66&amp;M66&amp;N66&amp;O66&amp;P66</f>
        <v>&amp;br;</v>
      </c>
      <c r="B66" t="s">
        <v>0</v>
      </c>
    </row>
    <row r="67" spans="1:19" x14ac:dyDescent="0.15">
      <c r="A67" t="str">
        <f>B67&amp;C67&amp;D67&amp;E67&amp;F67&amp;G67&amp;H67&amp;I67&amp;J67&amp;K67&amp;L67&amp;M67&amp;N67&amp;O67&amp;P67</f>
        <v>*マナボーナス [#q1a26f54]</v>
      </c>
      <c r="B67" t="s">
        <v>9</v>
      </c>
    </row>
    <row r="68" spans="1:19" x14ac:dyDescent="0.15">
      <c r="A68" t="str">
        <f t="shared" ref="A68:A77" si="4">B68&amp;C68&amp;D68&amp;G68&amp;H68&amp;I68&amp;J68&amp;K68&amp;L68&amp;M68&amp;N68&amp;O68&amp;P68&amp;Q68&amp;R68</f>
        <v>|LEFT:50|LEFT:50|LEFT:50|LEFT:50|LEFT:50|LEFT:50|c</v>
      </c>
      <c r="B68" t="s">
        <v>3</v>
      </c>
      <c r="C68" t="s">
        <v>4</v>
      </c>
      <c r="E68" t="s">
        <v>3</v>
      </c>
      <c r="G68" t="s">
        <v>3</v>
      </c>
      <c r="H68" t="s">
        <v>4</v>
      </c>
      <c r="I68" t="s">
        <v>3</v>
      </c>
      <c r="J68" t="s">
        <v>4</v>
      </c>
      <c r="K68" t="s">
        <v>3</v>
      </c>
      <c r="L68" t="s">
        <v>4</v>
      </c>
      <c r="M68" t="s">
        <v>3</v>
      </c>
      <c r="N68" t="s">
        <v>4</v>
      </c>
      <c r="O68" t="s">
        <v>3</v>
      </c>
      <c r="P68" t="s">
        <v>4</v>
      </c>
      <c r="Q68" t="s">
        <v>3</v>
      </c>
      <c r="R68" t="s">
        <v>5</v>
      </c>
    </row>
    <row r="69" spans="1:19" x14ac:dyDescent="0.15">
      <c r="A69" t="str">
        <f t="shared" si="4"/>
        <v>|レベル|白|青|黒|赤|緑|</v>
      </c>
      <c r="B69" t="s">
        <v>3</v>
      </c>
      <c r="C69" t="s">
        <v>6</v>
      </c>
      <c r="E69" t="s">
        <v>3</v>
      </c>
      <c r="F69" t="s">
        <v>10</v>
      </c>
      <c r="G69" t="s">
        <v>3</v>
      </c>
      <c r="H69" t="s">
        <v>11</v>
      </c>
      <c r="I69" t="s">
        <v>3</v>
      </c>
      <c r="J69" t="s">
        <v>12</v>
      </c>
      <c r="K69" t="s">
        <v>3</v>
      </c>
      <c r="L69" t="s">
        <v>13</v>
      </c>
      <c r="M69" t="s">
        <v>3</v>
      </c>
      <c r="N69" t="s">
        <v>14</v>
      </c>
      <c r="O69" t="s">
        <v>3</v>
      </c>
      <c r="P69" t="s">
        <v>15</v>
      </c>
      <c r="Q69" t="s">
        <v>3</v>
      </c>
      <c r="S69" t="s">
        <v>11</v>
      </c>
    </row>
    <row r="70" spans="1:19" x14ac:dyDescent="0.15">
      <c r="A70" t="str">
        <f t="shared" si="4"/>
        <v>|Lv1|-1|-2|1|-1|1|</v>
      </c>
      <c r="B70" t="s">
        <v>3</v>
      </c>
      <c r="C70" t="s">
        <v>8</v>
      </c>
      <c r="D70">
        <v>1</v>
      </c>
      <c r="E70" t="s">
        <v>3</v>
      </c>
      <c r="G70" t="s">
        <v>3</v>
      </c>
      <c r="H70">
        <f>B207</f>
        <v>-1</v>
      </c>
      <c r="I70" t="s">
        <v>3</v>
      </c>
      <c r="J70">
        <f>C207</f>
        <v>-2</v>
      </c>
      <c r="K70" t="s">
        <v>3</v>
      </c>
      <c r="L70">
        <f>D207</f>
        <v>1</v>
      </c>
      <c r="M70" t="s">
        <v>3</v>
      </c>
      <c r="N70">
        <f>E207</f>
        <v>-1</v>
      </c>
      <c r="O70" t="s">
        <v>3</v>
      </c>
      <c r="P70">
        <f>F207</f>
        <v>1</v>
      </c>
      <c r="Q70" t="s">
        <v>3</v>
      </c>
      <c r="S70" t="s">
        <v>12</v>
      </c>
    </row>
    <row r="71" spans="1:19" x14ac:dyDescent="0.15">
      <c r="A71" t="str">
        <f t="shared" si="4"/>
        <v>|Lv4|-1|-2|2|-1|1|</v>
      </c>
      <c r="B71" t="s">
        <v>3</v>
      </c>
      <c r="C71" t="s">
        <v>8</v>
      </c>
      <c r="D71">
        <v>4</v>
      </c>
      <c r="E71" t="s">
        <v>3</v>
      </c>
      <c r="F71" t="str">
        <f t="shared" ref="F71:F79" si="5">IF(ISBLANK(D71),"",INDEX($F$128:$F$187,D71))</f>
        <v>黒</v>
      </c>
      <c r="G71" t="s">
        <v>3</v>
      </c>
      <c r="H71">
        <f>H70+IF(H$69=$F71,1,0)</f>
        <v>-1</v>
      </c>
      <c r="I71" t="str">
        <f t="shared" ref="I71:Q79" si="6">I70</f>
        <v>|</v>
      </c>
      <c r="J71">
        <f>J70+IF(J$69=$F71,1,0)</f>
        <v>-2</v>
      </c>
      <c r="K71" t="str">
        <f t="shared" si="6"/>
        <v>|</v>
      </c>
      <c r="L71">
        <f>L70+IF(L$69=$F71,1,0)</f>
        <v>2</v>
      </c>
      <c r="M71" t="str">
        <f t="shared" si="6"/>
        <v>|</v>
      </c>
      <c r="N71">
        <f>N70+IF(N$69=$F71,1,0)</f>
        <v>-1</v>
      </c>
      <c r="O71" t="str">
        <f t="shared" si="6"/>
        <v>|</v>
      </c>
      <c r="P71">
        <f>P70+IF(P$69=$F71,1,0)</f>
        <v>1</v>
      </c>
      <c r="Q71" t="str">
        <f t="shared" si="6"/>
        <v>|</v>
      </c>
      <c r="S71" t="s">
        <v>13</v>
      </c>
    </row>
    <row r="72" spans="1:19" x14ac:dyDescent="0.15">
      <c r="A72" t="str">
        <f t="shared" si="4"/>
        <v>|Lv12|-1|-2|2|-1|2|</v>
      </c>
      <c r="B72" t="s">
        <v>3</v>
      </c>
      <c r="C72" t="s">
        <v>8</v>
      </c>
      <c r="D72">
        <v>12</v>
      </c>
      <c r="E72" t="s">
        <v>3</v>
      </c>
      <c r="F72" t="str">
        <f t="shared" si="5"/>
        <v>緑</v>
      </c>
      <c r="G72" t="s">
        <v>3</v>
      </c>
      <c r="H72">
        <f t="shared" ref="H72:P77" si="7">H71+IF(H$69=$F72,1,0)</f>
        <v>-1</v>
      </c>
      <c r="I72" t="str">
        <f t="shared" si="6"/>
        <v>|</v>
      </c>
      <c r="J72">
        <f t="shared" si="7"/>
        <v>-2</v>
      </c>
      <c r="K72" t="str">
        <f t="shared" si="6"/>
        <v>|</v>
      </c>
      <c r="L72">
        <f t="shared" si="7"/>
        <v>2</v>
      </c>
      <c r="M72" t="str">
        <f t="shared" si="6"/>
        <v>|</v>
      </c>
      <c r="N72">
        <f>N71+IF(N$69=$F72,1,0)</f>
        <v>-1</v>
      </c>
      <c r="O72" t="str">
        <f t="shared" si="6"/>
        <v>|</v>
      </c>
      <c r="P72">
        <f t="shared" si="7"/>
        <v>2</v>
      </c>
      <c r="Q72" t="str">
        <f t="shared" si="6"/>
        <v>|</v>
      </c>
      <c r="S72" t="s">
        <v>14</v>
      </c>
    </row>
    <row r="73" spans="1:19" x14ac:dyDescent="0.15">
      <c r="A73" t="str">
        <f t="shared" si="4"/>
        <v>|Lv18|-1|-2|2|0|2|</v>
      </c>
      <c r="B73" t="s">
        <v>3</v>
      </c>
      <c r="C73" t="s">
        <v>8</v>
      </c>
      <c r="D73">
        <v>18</v>
      </c>
      <c r="E73" t="s">
        <v>3</v>
      </c>
      <c r="F73" t="str">
        <f t="shared" si="5"/>
        <v>赤</v>
      </c>
      <c r="G73" t="s">
        <v>3</v>
      </c>
      <c r="H73">
        <f t="shared" si="7"/>
        <v>-1</v>
      </c>
      <c r="I73" t="str">
        <f t="shared" si="6"/>
        <v>|</v>
      </c>
      <c r="J73">
        <f t="shared" si="7"/>
        <v>-2</v>
      </c>
      <c r="K73" t="str">
        <f t="shared" si="6"/>
        <v>|</v>
      </c>
      <c r="L73">
        <f t="shared" si="7"/>
        <v>2</v>
      </c>
      <c r="M73" t="str">
        <f t="shared" si="6"/>
        <v>|</v>
      </c>
      <c r="N73">
        <f t="shared" si="7"/>
        <v>0</v>
      </c>
      <c r="O73" t="str">
        <f t="shared" si="6"/>
        <v>|</v>
      </c>
      <c r="P73">
        <f t="shared" si="7"/>
        <v>2</v>
      </c>
      <c r="Q73" t="str">
        <f t="shared" si="6"/>
        <v>|</v>
      </c>
      <c r="S73" t="s">
        <v>15</v>
      </c>
    </row>
    <row r="74" spans="1:19" x14ac:dyDescent="0.15">
      <c r="A74" t="str">
        <f t="shared" si="4"/>
        <v>|Lv24|0|-2|2|0|2|</v>
      </c>
      <c r="B74" t="s">
        <v>3</v>
      </c>
      <c r="C74" t="s">
        <v>8</v>
      </c>
      <c r="D74">
        <v>24</v>
      </c>
      <c r="E74" t="s">
        <v>3</v>
      </c>
      <c r="F74" t="str">
        <f t="shared" si="5"/>
        <v>白</v>
      </c>
      <c r="G74" t="s">
        <v>3</v>
      </c>
      <c r="H74">
        <f t="shared" si="7"/>
        <v>0</v>
      </c>
      <c r="I74" t="str">
        <f t="shared" si="6"/>
        <v>|</v>
      </c>
      <c r="J74">
        <f t="shared" si="7"/>
        <v>-2</v>
      </c>
      <c r="K74" t="str">
        <f t="shared" si="6"/>
        <v>|</v>
      </c>
      <c r="L74">
        <f t="shared" si="7"/>
        <v>2</v>
      </c>
      <c r="M74" t="str">
        <f t="shared" si="6"/>
        <v>|</v>
      </c>
      <c r="N74">
        <f t="shared" si="7"/>
        <v>0</v>
      </c>
      <c r="O74" t="str">
        <f t="shared" si="6"/>
        <v>|</v>
      </c>
      <c r="P74">
        <f>P73+IF(P$69=$F74,1,0)</f>
        <v>2</v>
      </c>
      <c r="Q74" t="str">
        <f t="shared" si="6"/>
        <v>|</v>
      </c>
    </row>
    <row r="75" spans="1:19" x14ac:dyDescent="0.15">
      <c r="A75" t="str">
        <f t="shared" si="4"/>
        <v>|Lv32|0|-1|2|0|2|</v>
      </c>
      <c r="B75" t="s">
        <v>3</v>
      </c>
      <c r="C75" t="s">
        <v>8</v>
      </c>
      <c r="D75">
        <v>32</v>
      </c>
      <c r="E75" t="s">
        <v>3</v>
      </c>
      <c r="F75" t="str">
        <f t="shared" si="5"/>
        <v>青</v>
      </c>
      <c r="G75" t="s">
        <v>3</v>
      </c>
      <c r="H75">
        <f t="shared" si="7"/>
        <v>0</v>
      </c>
      <c r="I75" t="str">
        <f t="shared" si="6"/>
        <v>|</v>
      </c>
      <c r="J75">
        <f t="shared" si="7"/>
        <v>-1</v>
      </c>
      <c r="K75" t="str">
        <f t="shared" si="6"/>
        <v>|</v>
      </c>
      <c r="L75">
        <f t="shared" si="7"/>
        <v>2</v>
      </c>
      <c r="M75" t="str">
        <f t="shared" si="6"/>
        <v>|</v>
      </c>
      <c r="N75">
        <f t="shared" si="7"/>
        <v>0</v>
      </c>
      <c r="O75" t="str">
        <f t="shared" si="6"/>
        <v>|</v>
      </c>
      <c r="P75">
        <f t="shared" si="7"/>
        <v>2</v>
      </c>
      <c r="Q75" t="str">
        <f t="shared" si="6"/>
        <v>|</v>
      </c>
    </row>
    <row r="76" spans="1:19" x14ac:dyDescent="0.15">
      <c r="A76" t="str">
        <f t="shared" si="4"/>
        <v>|Lv38|0|-1|3|0|2|</v>
      </c>
      <c r="B76" t="s">
        <v>3</v>
      </c>
      <c r="C76" t="s">
        <v>8</v>
      </c>
      <c r="D76">
        <v>38</v>
      </c>
      <c r="E76" t="s">
        <v>3</v>
      </c>
      <c r="F76" t="str">
        <f t="shared" si="5"/>
        <v>黒</v>
      </c>
      <c r="G76" t="s">
        <v>3</v>
      </c>
      <c r="H76">
        <f t="shared" si="7"/>
        <v>0</v>
      </c>
      <c r="I76" t="str">
        <f t="shared" si="6"/>
        <v>|</v>
      </c>
      <c r="J76">
        <f t="shared" si="7"/>
        <v>-1</v>
      </c>
      <c r="K76" t="str">
        <f t="shared" si="6"/>
        <v>|</v>
      </c>
      <c r="L76">
        <f t="shared" si="7"/>
        <v>3</v>
      </c>
      <c r="M76" t="str">
        <f t="shared" si="6"/>
        <v>|</v>
      </c>
      <c r="N76">
        <f t="shared" si="7"/>
        <v>0</v>
      </c>
      <c r="O76" t="str">
        <f t="shared" si="6"/>
        <v>|</v>
      </c>
      <c r="P76">
        <f t="shared" si="7"/>
        <v>2</v>
      </c>
      <c r="Q76" t="str">
        <f t="shared" si="6"/>
        <v>|</v>
      </c>
    </row>
    <row r="77" spans="1:19" x14ac:dyDescent="0.15">
      <c r="A77" t="str">
        <f t="shared" si="4"/>
        <v>|Lv44|0|-1|3|0|3|</v>
      </c>
      <c r="B77" t="s">
        <v>3</v>
      </c>
      <c r="C77" t="s">
        <v>8</v>
      </c>
      <c r="D77">
        <v>44</v>
      </c>
      <c r="E77" t="s">
        <v>3</v>
      </c>
      <c r="F77" t="str">
        <f t="shared" si="5"/>
        <v>緑</v>
      </c>
      <c r="G77" t="s">
        <v>3</v>
      </c>
      <c r="H77">
        <f t="shared" si="7"/>
        <v>0</v>
      </c>
      <c r="I77" t="str">
        <f t="shared" si="6"/>
        <v>|</v>
      </c>
      <c r="J77">
        <f t="shared" si="7"/>
        <v>-1</v>
      </c>
      <c r="K77" t="str">
        <f t="shared" si="6"/>
        <v>|</v>
      </c>
      <c r="L77">
        <f t="shared" si="7"/>
        <v>3</v>
      </c>
      <c r="M77" t="str">
        <f t="shared" si="6"/>
        <v>|</v>
      </c>
      <c r="N77">
        <f t="shared" si="7"/>
        <v>0</v>
      </c>
      <c r="O77" t="str">
        <f t="shared" si="6"/>
        <v>|</v>
      </c>
      <c r="P77">
        <f>P76+IF(P$69=$F77,1,0)</f>
        <v>3</v>
      </c>
      <c r="Q77" t="str">
        <f t="shared" si="6"/>
        <v>|</v>
      </c>
    </row>
    <row r="78" spans="1:19" x14ac:dyDescent="0.15">
      <c r="A78" t="str">
        <f>B78&amp;C78&amp;D78&amp;G78&amp;H78&amp;I78&amp;J78&amp;K78&amp;L78&amp;M78&amp;N78&amp;O78&amp;P78&amp;Q78&amp;R78</f>
        <v>|Lv52|0|-1|3|1|3|</v>
      </c>
      <c r="B78" t="s">
        <v>3</v>
      </c>
      <c r="C78" t="s">
        <v>8</v>
      </c>
      <c r="D78">
        <v>52</v>
      </c>
      <c r="E78" t="s">
        <v>3</v>
      </c>
      <c r="F78" t="str">
        <f t="shared" si="5"/>
        <v>赤</v>
      </c>
      <c r="G78" t="s">
        <v>3</v>
      </c>
      <c r="H78">
        <f>H77+IF(H$69=$F78,1,0)</f>
        <v>0</v>
      </c>
      <c r="I78" t="str">
        <f t="shared" si="6"/>
        <v>|</v>
      </c>
      <c r="J78">
        <f>J77+IF(J$69=$F78,1,0)</f>
        <v>-1</v>
      </c>
      <c r="K78" t="str">
        <f t="shared" si="6"/>
        <v>|</v>
      </c>
      <c r="L78">
        <f>L77+IF(L$69=$F78,1,0)</f>
        <v>3</v>
      </c>
      <c r="M78" t="str">
        <f t="shared" si="6"/>
        <v>|</v>
      </c>
      <c r="N78">
        <f>N77+IF(N$69=$F78,1,0)</f>
        <v>1</v>
      </c>
      <c r="O78" t="str">
        <f t="shared" si="6"/>
        <v>|</v>
      </c>
      <c r="P78">
        <f>P77+IF(P$69=$F78,1,0)</f>
        <v>3</v>
      </c>
      <c r="Q78" t="str">
        <f t="shared" si="6"/>
        <v>|</v>
      </c>
    </row>
    <row r="79" spans="1:19" x14ac:dyDescent="0.15">
      <c r="A79" t="str">
        <f>B79&amp;C79&amp;D79&amp;G79&amp;H79&amp;I79&amp;J79&amp;K79&amp;L79&amp;M79&amp;N79&amp;O79&amp;P79&amp;Q79&amp;R79</f>
        <v>|Lv58|0|1|3|1|3|</v>
      </c>
      <c r="B79" t="s">
        <v>3</v>
      </c>
      <c r="C79" t="s">
        <v>8</v>
      </c>
      <c r="D79">
        <v>58</v>
      </c>
      <c r="E79" t="s">
        <v>3</v>
      </c>
      <c r="F79" t="str">
        <f t="shared" si="5"/>
        <v>青</v>
      </c>
      <c r="G79" t="s">
        <v>3</v>
      </c>
      <c r="H79">
        <f>H78+IF(H$69=$F79,1,0)</f>
        <v>0</v>
      </c>
      <c r="I79" t="str">
        <f t="shared" si="6"/>
        <v>|</v>
      </c>
      <c r="J79">
        <f>J78+IF(J$69=$F79,2,0)</f>
        <v>1</v>
      </c>
      <c r="K79" t="str">
        <f t="shared" si="6"/>
        <v>|</v>
      </c>
      <c r="L79">
        <f>L78+IF(L$69=$F79,1,0)</f>
        <v>3</v>
      </c>
      <c r="M79" t="str">
        <f t="shared" si="6"/>
        <v>|</v>
      </c>
      <c r="N79">
        <f>N78+IF(N$69=$F79,1,0)</f>
        <v>1</v>
      </c>
      <c r="O79" t="str">
        <f t="shared" si="6"/>
        <v>|</v>
      </c>
      <c r="P79">
        <f>P78+IF(P$69=$F79,1,0)</f>
        <v>3</v>
      </c>
      <c r="Q79" t="str">
        <f t="shared" si="6"/>
        <v>|</v>
      </c>
    </row>
    <row r="80" spans="1:19" x14ac:dyDescent="0.15">
      <c r="A80" t="str">
        <f>B80&amp;C80&amp;D80&amp;E80&amp;F80&amp;G80&amp;H80&amp;I80&amp;J80&amp;K80&amp;L80&amp;M80&amp;N80&amp;O80&amp;P80</f>
        <v>&amp;br;</v>
      </c>
      <c r="B80" t="s">
        <v>0</v>
      </c>
    </row>
    <row r="81" spans="1:19" x14ac:dyDescent="0.15">
      <c r="A81" t="str">
        <f>B81&amp;C81&amp;D81&amp;E81&amp;F81&amp;G81&amp;H81&amp;I81&amp;J81&amp;K81&amp;L81&amp;M81&amp;N81&amp;O81&amp;P81</f>
        <v>&amp;br;</v>
      </c>
      <c r="B81" t="s">
        <v>0</v>
      </c>
    </row>
    <row r="82" spans="1:19" x14ac:dyDescent="0.15">
      <c r="A82" t="str">
        <f>B82&amp;C82&amp;D82&amp;E82&amp;F82&amp;G82&amp;H82&amp;I82&amp;J82&amp;K82&amp;L82&amp;M82&amp;N82&amp;O82&amp;P82</f>
        <v>*デッキ構築枚数上限 [#e6f382eb]</v>
      </c>
      <c r="B82" t="s">
        <v>16</v>
      </c>
    </row>
    <row r="83" spans="1:19" x14ac:dyDescent="0.15">
      <c r="A83" t="str">
        <f>B83&amp;C83&amp;D83&amp;E83&amp;F83&amp;G83&amp;H83&amp;I83&amp;J83&amp;K83&amp;L83&amp;M83&amp;N83&amp;O83&amp;P83</f>
        <v>構築枚数上限を越える枚数はデッキに入れられない。</v>
      </c>
      <c r="B83" t="s">
        <v>17</v>
      </c>
    </row>
    <row r="84" spans="1:19" x14ac:dyDescent="0.15">
      <c r="A84" t="str">
        <f t="shared" ref="A84:A93" si="8">B84&amp;C84&amp;D84&amp;G84&amp;H84&amp;I84&amp;J84&amp;K84&amp;L84&amp;M84&amp;N84&amp;O84&amp;P84&amp;Q84&amp;R84</f>
        <v>|LEFT:50|LEFT:80|LEFT:80|LEFT:80|c</v>
      </c>
      <c r="B84" t="s">
        <v>3</v>
      </c>
      <c r="C84" t="s">
        <v>4</v>
      </c>
      <c r="E84" t="s">
        <v>3</v>
      </c>
      <c r="G84" t="s">
        <v>3</v>
      </c>
      <c r="H84" t="s">
        <v>18</v>
      </c>
      <c r="I84" t="s">
        <v>3</v>
      </c>
      <c r="J84" t="s">
        <v>18</v>
      </c>
      <c r="K84" t="s">
        <v>3</v>
      </c>
      <c r="L84" t="s">
        <v>18</v>
      </c>
      <c r="M84" t="s">
        <v>3</v>
      </c>
      <c r="N84" t="s">
        <v>5</v>
      </c>
    </row>
    <row r="85" spans="1:19" x14ac:dyDescent="0.15">
      <c r="A85" t="str">
        <f t="shared" si="8"/>
        <v>|レベル|クリーチャー|呪文|サポート|</v>
      </c>
      <c r="B85" t="s">
        <v>3</v>
      </c>
      <c r="C85" t="s">
        <v>6</v>
      </c>
      <c r="E85" t="s">
        <v>3</v>
      </c>
      <c r="F85" t="s">
        <v>19</v>
      </c>
      <c r="G85" t="s">
        <v>3</v>
      </c>
      <c r="H85" t="s">
        <v>20</v>
      </c>
      <c r="I85" t="s">
        <v>3</v>
      </c>
      <c r="J85" t="s">
        <v>21</v>
      </c>
      <c r="K85" t="s">
        <v>3</v>
      </c>
      <c r="L85" t="s">
        <v>22</v>
      </c>
      <c r="M85" t="s">
        <v>3</v>
      </c>
      <c r="S85" t="s">
        <v>20</v>
      </c>
    </row>
    <row r="86" spans="1:19" x14ac:dyDescent="0.15">
      <c r="A86" t="str">
        <f t="shared" si="8"/>
        <v>|Lv1|5|3|2|</v>
      </c>
      <c r="B86" t="s">
        <v>3</v>
      </c>
      <c r="C86" t="s">
        <v>8</v>
      </c>
      <c r="D86">
        <v>1</v>
      </c>
      <c r="E86" t="s">
        <v>3</v>
      </c>
      <c r="G86" t="s">
        <v>3</v>
      </c>
      <c r="H86">
        <f>B205</f>
        <v>5</v>
      </c>
      <c r="I86" t="s">
        <v>3</v>
      </c>
      <c r="J86">
        <f>C205</f>
        <v>3</v>
      </c>
      <c r="K86" t="s">
        <v>3</v>
      </c>
      <c r="L86">
        <f>D205</f>
        <v>2</v>
      </c>
      <c r="M86" t="s">
        <v>3</v>
      </c>
      <c r="S86" t="s">
        <v>21</v>
      </c>
    </row>
    <row r="87" spans="1:19" x14ac:dyDescent="0.15">
      <c r="A87" t="str">
        <f t="shared" si="8"/>
        <v>|Lv2|6|3|2|</v>
      </c>
      <c r="B87" t="s">
        <v>3</v>
      </c>
      <c r="C87" t="s">
        <v>8</v>
      </c>
      <c r="D87">
        <v>2</v>
      </c>
      <c r="E87" t="s">
        <v>3</v>
      </c>
      <c r="F87" t="str">
        <f t="shared" ref="F87:F95" si="9">IF(ISBLANK(D87),"",INDEX($F$128:$F$187,D87))</f>
        <v>クリーチャー</v>
      </c>
      <c r="G87" t="s">
        <v>3</v>
      </c>
      <c r="H87">
        <f t="shared" ref="H87:H95" si="10">H86+IF(H$85=$F87,INDEX($H$128:$H$187,D87),0)</f>
        <v>6</v>
      </c>
      <c r="I87" t="s">
        <v>3</v>
      </c>
      <c r="J87">
        <f t="shared" ref="J87:J95" si="11">J86+IF(J$85=$F87,INDEX($H$128:$H$187,D87),0)</f>
        <v>3</v>
      </c>
      <c r="K87" t="s">
        <v>3</v>
      </c>
      <c r="L87">
        <f t="shared" ref="L87:L95" si="12">L86+IF(L$85=$F87,INDEX($H$128:$H$187,D87),0)</f>
        <v>2</v>
      </c>
      <c r="M87" t="s">
        <v>3</v>
      </c>
      <c r="S87" t="s">
        <v>22</v>
      </c>
    </row>
    <row r="88" spans="1:19" x14ac:dyDescent="0.15">
      <c r="A88" t="str">
        <f t="shared" si="8"/>
        <v>|Lv8|6|4|2|</v>
      </c>
      <c r="B88" t="s">
        <v>3</v>
      </c>
      <c r="C88" t="s">
        <v>8</v>
      </c>
      <c r="D88">
        <v>8</v>
      </c>
      <c r="E88" t="s">
        <v>3</v>
      </c>
      <c r="F88" t="str">
        <f t="shared" si="9"/>
        <v>呪文</v>
      </c>
      <c r="G88" t="s">
        <v>3</v>
      </c>
      <c r="H88">
        <f t="shared" si="10"/>
        <v>6</v>
      </c>
      <c r="I88" t="s">
        <v>3</v>
      </c>
      <c r="J88">
        <f t="shared" si="11"/>
        <v>4</v>
      </c>
      <c r="K88" t="s">
        <v>3</v>
      </c>
      <c r="L88">
        <f t="shared" si="12"/>
        <v>2</v>
      </c>
      <c r="M88" t="s">
        <v>3</v>
      </c>
    </row>
    <row r="89" spans="1:19" x14ac:dyDescent="0.15">
      <c r="A89" t="str">
        <f t="shared" si="8"/>
        <v>|Lv14|6|4|3|</v>
      </c>
      <c r="B89" t="s">
        <v>3</v>
      </c>
      <c r="C89" t="s">
        <v>8</v>
      </c>
      <c r="D89">
        <v>14</v>
      </c>
      <c r="E89" t="s">
        <v>3</v>
      </c>
      <c r="F89" t="str">
        <f t="shared" si="9"/>
        <v>サポート</v>
      </c>
      <c r="G89" t="s">
        <v>3</v>
      </c>
      <c r="H89">
        <f t="shared" si="10"/>
        <v>6</v>
      </c>
      <c r="I89" t="s">
        <v>3</v>
      </c>
      <c r="J89">
        <f t="shared" si="11"/>
        <v>4</v>
      </c>
      <c r="K89" t="s">
        <v>3</v>
      </c>
      <c r="L89">
        <f t="shared" si="12"/>
        <v>3</v>
      </c>
      <c r="M89" t="s">
        <v>3</v>
      </c>
    </row>
    <row r="90" spans="1:19" x14ac:dyDescent="0.15">
      <c r="A90" t="str">
        <f t="shared" si="8"/>
        <v>|Lv22|7|4|3|</v>
      </c>
      <c r="B90" t="s">
        <v>3</v>
      </c>
      <c r="C90" t="s">
        <v>8</v>
      </c>
      <c r="D90">
        <v>22</v>
      </c>
      <c r="E90" t="s">
        <v>3</v>
      </c>
      <c r="F90" t="str">
        <f t="shared" si="9"/>
        <v>クリーチャー</v>
      </c>
      <c r="G90" t="s">
        <v>3</v>
      </c>
      <c r="H90">
        <f t="shared" si="10"/>
        <v>7</v>
      </c>
      <c r="I90" t="s">
        <v>3</v>
      </c>
      <c r="J90">
        <f t="shared" si="11"/>
        <v>4</v>
      </c>
      <c r="K90" t="s">
        <v>3</v>
      </c>
      <c r="L90">
        <f t="shared" si="12"/>
        <v>3</v>
      </c>
      <c r="M90" t="s">
        <v>3</v>
      </c>
    </row>
    <row r="91" spans="1:19" x14ac:dyDescent="0.15">
      <c r="A91" t="str">
        <f t="shared" si="8"/>
        <v>|Lv28|7|5|3|</v>
      </c>
      <c r="B91" t="s">
        <v>3</v>
      </c>
      <c r="C91" t="s">
        <v>8</v>
      </c>
      <c r="D91">
        <v>28</v>
      </c>
      <c r="E91" t="s">
        <v>3</v>
      </c>
      <c r="F91" t="str">
        <f t="shared" si="9"/>
        <v>呪文</v>
      </c>
      <c r="G91" t="s">
        <v>3</v>
      </c>
      <c r="H91">
        <f t="shared" si="10"/>
        <v>7</v>
      </c>
      <c r="I91" t="s">
        <v>3</v>
      </c>
      <c r="J91">
        <f t="shared" si="11"/>
        <v>5</v>
      </c>
      <c r="K91" t="s">
        <v>3</v>
      </c>
      <c r="L91">
        <f t="shared" si="12"/>
        <v>3</v>
      </c>
      <c r="M91" t="s">
        <v>3</v>
      </c>
    </row>
    <row r="92" spans="1:19" x14ac:dyDescent="0.15">
      <c r="A92" t="str">
        <f t="shared" si="8"/>
        <v>|Lv34|7|5|4|</v>
      </c>
      <c r="B92" t="s">
        <v>3</v>
      </c>
      <c r="C92" t="s">
        <v>8</v>
      </c>
      <c r="D92">
        <v>34</v>
      </c>
      <c r="E92" t="s">
        <v>3</v>
      </c>
      <c r="F92" t="str">
        <f t="shared" si="9"/>
        <v>サポート</v>
      </c>
      <c r="G92" t="s">
        <v>3</v>
      </c>
      <c r="H92">
        <f t="shared" si="10"/>
        <v>7</v>
      </c>
      <c r="I92" t="s">
        <v>3</v>
      </c>
      <c r="J92">
        <f t="shared" si="11"/>
        <v>5</v>
      </c>
      <c r="K92" t="s">
        <v>3</v>
      </c>
      <c r="L92">
        <f t="shared" si="12"/>
        <v>4</v>
      </c>
      <c r="M92" t="s">
        <v>3</v>
      </c>
    </row>
    <row r="93" spans="1:19" x14ac:dyDescent="0.15">
      <c r="A93" t="str">
        <f t="shared" si="8"/>
        <v>|Lv42|8|5|4|</v>
      </c>
      <c r="B93" t="s">
        <v>3</v>
      </c>
      <c r="C93" t="s">
        <v>8</v>
      </c>
      <c r="D93">
        <v>42</v>
      </c>
      <c r="E93" t="s">
        <v>3</v>
      </c>
      <c r="F93" t="str">
        <f t="shared" si="9"/>
        <v>クリーチャー</v>
      </c>
      <c r="G93" t="s">
        <v>3</v>
      </c>
      <c r="H93">
        <f t="shared" si="10"/>
        <v>8</v>
      </c>
      <c r="I93" t="s">
        <v>3</v>
      </c>
      <c r="J93">
        <f t="shared" si="11"/>
        <v>5</v>
      </c>
      <c r="K93" t="s">
        <v>3</v>
      </c>
      <c r="L93">
        <f t="shared" si="12"/>
        <v>4</v>
      </c>
      <c r="M93" t="s">
        <v>3</v>
      </c>
    </row>
    <row r="94" spans="1:19" x14ac:dyDescent="0.15">
      <c r="A94" t="str">
        <f>B94&amp;C94&amp;D94&amp;G94&amp;H94&amp;I94&amp;J94&amp;K94&amp;L94&amp;M94&amp;N94&amp;O94&amp;P94&amp;Q94&amp;R94</f>
        <v>|Lv48|8|6|4|</v>
      </c>
      <c r="B94" t="s">
        <v>3</v>
      </c>
      <c r="C94" t="s">
        <v>8</v>
      </c>
      <c r="D94">
        <v>48</v>
      </c>
      <c r="E94" t="s">
        <v>3</v>
      </c>
      <c r="F94" t="str">
        <f t="shared" si="9"/>
        <v>呪文</v>
      </c>
      <c r="G94" t="s">
        <v>3</v>
      </c>
      <c r="H94">
        <f t="shared" si="10"/>
        <v>8</v>
      </c>
      <c r="I94" t="s">
        <v>3</v>
      </c>
      <c r="J94">
        <f t="shared" si="11"/>
        <v>6</v>
      </c>
      <c r="K94" t="s">
        <v>3</v>
      </c>
      <c r="L94">
        <f t="shared" si="12"/>
        <v>4</v>
      </c>
      <c r="M94" t="s">
        <v>3</v>
      </c>
    </row>
    <row r="95" spans="1:19" x14ac:dyDescent="0.15">
      <c r="A95" t="str">
        <f>B95&amp;C95&amp;D95&amp;G95&amp;H95&amp;I95&amp;J95&amp;K95&amp;L95&amp;M95&amp;N95&amp;O95&amp;P95&amp;Q95&amp;R95</f>
        <v>|Lv54|8|6|5|</v>
      </c>
      <c r="B95" t="s">
        <v>3</v>
      </c>
      <c r="C95" t="s">
        <v>8</v>
      </c>
      <c r="D95">
        <v>54</v>
      </c>
      <c r="E95" t="s">
        <v>3</v>
      </c>
      <c r="F95" t="str">
        <f t="shared" si="9"/>
        <v>サポート</v>
      </c>
      <c r="G95" t="s">
        <v>3</v>
      </c>
      <c r="H95">
        <f t="shared" si="10"/>
        <v>8</v>
      </c>
      <c r="I95" t="s">
        <v>3</v>
      </c>
      <c r="J95">
        <f t="shared" si="11"/>
        <v>6</v>
      </c>
      <c r="K95" t="s">
        <v>3</v>
      </c>
      <c r="L95">
        <f t="shared" si="12"/>
        <v>5</v>
      </c>
      <c r="M95" t="s">
        <v>3</v>
      </c>
    </row>
    <row r="96" spans="1:19" x14ac:dyDescent="0.15">
      <c r="A96" t="str">
        <f t="shared" ref="A96:A159" si="13">B96&amp;C96&amp;D96&amp;E96&amp;F96&amp;G96&amp;H96&amp;I96&amp;J96&amp;K96&amp;L96&amp;M96&amp;N96&amp;O96&amp;P96</f>
        <v>&amp;br;</v>
      </c>
      <c r="B96" t="s">
        <v>0</v>
      </c>
    </row>
    <row r="97" spans="1:18" x14ac:dyDescent="0.15">
      <c r="A97" t="str">
        <f t="shared" si="13"/>
        <v>&amp;br;</v>
      </c>
      <c r="B97" t="s">
        <v>0</v>
      </c>
    </row>
    <row r="98" spans="1:18" x14ac:dyDescent="0.15">
      <c r="A98" t="str">
        <f t="shared" si="13"/>
        <v>*PW能力一覧 [#a469e89f]</v>
      </c>
      <c r="B98" t="s">
        <v>23</v>
      </c>
    </row>
    <row r="99" spans="1:18" x14ac:dyDescent="0.15">
      <c r="A99" t="str">
        <f>B99&amp;C99&amp;D99&amp;E99&amp;F99&amp;G99&amp;H99&amp;I99&amp;J99&amp;K99&amp;L99&amp;M99&amp;N99&amp;O99&amp;P99</f>
        <v>**第1能力：お宝最高/Loot Is Good</v>
      </c>
      <c r="B99" t="s">
        <v>24</v>
      </c>
      <c r="D99" s="8" t="s">
        <v>845</v>
      </c>
      <c r="E99" t="s">
        <v>25</v>
      </c>
      <c r="F99" t="s">
        <v>842</v>
      </c>
      <c r="R99" t="str">
        <f>D99&amp;E99&amp;F99</f>
        <v>お宝最高/Loot Is Good</v>
      </c>
    </row>
    <row r="100" spans="1:18" x14ac:dyDescent="0.15">
      <c r="A100" t="str">
        <f t="shared" si="13"/>
        <v>|LEFT:50|LEFT:50|LEFT:50|LEFT:300|c</v>
      </c>
      <c r="B100" t="s">
        <v>3</v>
      </c>
      <c r="C100" t="s">
        <v>4</v>
      </c>
      <c r="E100" t="s">
        <v>3</v>
      </c>
      <c r="F100" t="s">
        <v>4</v>
      </c>
      <c r="G100" t="s">
        <v>3</v>
      </c>
      <c r="H100" t="s">
        <v>4</v>
      </c>
      <c r="I100" t="s">
        <v>3</v>
      </c>
      <c r="J100" t="s">
        <v>26</v>
      </c>
      <c r="K100" t="s">
        <v>3</v>
      </c>
      <c r="L100" t="s">
        <v>5</v>
      </c>
    </row>
    <row r="101" spans="1:18" x14ac:dyDescent="0.15">
      <c r="A101" t="str">
        <f t="shared" si="13"/>
        <v>|解放Lv|レベル|コスト|効果|</v>
      </c>
      <c r="B101" t="s">
        <v>3</v>
      </c>
      <c r="C101" t="s">
        <v>27</v>
      </c>
      <c r="E101" t="s">
        <v>3</v>
      </c>
      <c r="F101" t="s">
        <v>6</v>
      </c>
      <c r="G101" t="s">
        <v>3</v>
      </c>
      <c r="H101" t="s">
        <v>28</v>
      </c>
      <c r="I101" t="s">
        <v>3</v>
      </c>
      <c r="J101" t="s">
        <v>29</v>
      </c>
      <c r="K101" t="s">
        <v>3</v>
      </c>
    </row>
    <row r="102" spans="1:18" x14ac:dyDescent="0.15">
      <c r="A102" t="str">
        <f t="shared" si="13"/>
        <v>|Lv6|Lv1|9|シールドが2以下のサポートを1個破壊する。宝物を1つ見つける。|</v>
      </c>
      <c r="B102" t="s">
        <v>3</v>
      </c>
      <c r="C102" t="s">
        <v>8</v>
      </c>
      <c r="D102">
        <v>6</v>
      </c>
      <c r="E102" t="s">
        <v>3</v>
      </c>
      <c r="F102" t="s">
        <v>30</v>
      </c>
      <c r="G102" t="s">
        <v>3</v>
      </c>
      <c r="H102">
        <v>9</v>
      </c>
      <c r="I102" t="s">
        <v>3</v>
      </c>
      <c r="J102" s="8" t="s">
        <v>850</v>
      </c>
      <c r="K102" t="s">
        <v>3</v>
      </c>
    </row>
    <row r="103" spans="1:18" x14ac:dyDescent="0.15">
      <c r="A103" t="str">
        <f t="shared" si="13"/>
        <v>|Lv20|Lv2|9|シールドが3以下のサポートを1個破壊する。宝物を1つ見つける。|</v>
      </c>
      <c r="B103" t="s">
        <v>3</v>
      </c>
      <c r="C103" t="s">
        <v>8</v>
      </c>
      <c r="D103">
        <v>20</v>
      </c>
      <c r="E103" t="s">
        <v>3</v>
      </c>
      <c r="F103" t="s">
        <v>31</v>
      </c>
      <c r="G103" t="s">
        <v>3</v>
      </c>
      <c r="H103">
        <f>H102</f>
        <v>9</v>
      </c>
      <c r="I103" t="s">
        <v>3</v>
      </c>
      <c r="J103" s="8" t="s">
        <v>853</v>
      </c>
      <c r="K103" t="s">
        <v>3</v>
      </c>
    </row>
    <row r="104" spans="1:18" x14ac:dyDescent="0.15">
      <c r="A104" t="str">
        <f t="shared" si="13"/>
        <v>|Lv36|Lv3|9|対戦相手のサポートを1個破壊する。宝物を1つ見つける。|</v>
      </c>
      <c r="B104" t="s">
        <v>3</v>
      </c>
      <c r="C104" t="s">
        <v>8</v>
      </c>
      <c r="D104">
        <v>36</v>
      </c>
      <c r="E104" t="s">
        <v>3</v>
      </c>
      <c r="F104" t="s">
        <v>32</v>
      </c>
      <c r="G104" t="s">
        <v>3</v>
      </c>
      <c r="H104">
        <f>H103</f>
        <v>9</v>
      </c>
      <c r="I104" t="s">
        <v>3</v>
      </c>
      <c r="J104" s="8" t="s">
        <v>854</v>
      </c>
      <c r="K104" t="s">
        <v>3</v>
      </c>
    </row>
    <row r="105" spans="1:18" x14ac:dyDescent="0.15">
      <c r="A105" t="str">
        <f t="shared" si="13"/>
        <v>|Lv50|Lv4|9|対戦相手のサポートのうち最大のシールドを持つものを1個破壊する。宝物を2つ見つける。|</v>
      </c>
      <c r="B105" t="s">
        <v>3</v>
      </c>
      <c r="C105" t="s">
        <v>8</v>
      </c>
      <c r="D105">
        <v>50</v>
      </c>
      <c r="E105" t="s">
        <v>3</v>
      </c>
      <c r="F105" t="s">
        <v>33</v>
      </c>
      <c r="G105" t="s">
        <v>3</v>
      </c>
      <c r="H105">
        <f>H104</f>
        <v>9</v>
      </c>
      <c r="I105" t="s">
        <v>3</v>
      </c>
      <c r="J105" s="8" t="s">
        <v>848</v>
      </c>
      <c r="K105" t="s">
        <v>3</v>
      </c>
    </row>
    <row r="106" spans="1:18" x14ac:dyDescent="0.15">
      <c r="A106" t="str">
        <f t="shared" si="13"/>
        <v>&amp;br;</v>
      </c>
      <c r="B106" t="s">
        <v>0</v>
      </c>
    </row>
    <row r="107" spans="1:18" x14ac:dyDescent="0.15">
      <c r="A107" t="str">
        <f t="shared" si="13"/>
        <v>&amp;br;</v>
      </c>
      <c r="B107" t="s">
        <v>0</v>
      </c>
    </row>
    <row r="108" spans="1:18" x14ac:dyDescent="0.15">
      <c r="A108" t="str">
        <f>B108&amp;C108&amp;D108&amp;E108&amp;F108&amp;G108&amp;H108&amp;I108&amp;J108&amp;K108&amp;L108&amp;M108&amp;N108&amp;O108&amp;P108</f>
        <v>**第2能力：ヤッハー！/Yarghhh!!!</v>
      </c>
      <c r="B108" t="s">
        <v>34</v>
      </c>
      <c r="D108" s="8" t="s">
        <v>846</v>
      </c>
      <c r="E108" t="s">
        <v>25</v>
      </c>
      <c r="F108" t="s">
        <v>843</v>
      </c>
      <c r="R108" t="str">
        <f>D108&amp;E108&amp;F108</f>
        <v>ヤッハー！/Yarghhh!!!</v>
      </c>
    </row>
    <row r="109" spans="1:18" x14ac:dyDescent="0.15">
      <c r="A109" t="str">
        <f t="shared" si="13"/>
        <v>|LEFT:50|LEFT:50|LEFT:50|LEFT:300|c</v>
      </c>
      <c r="B109" t="s">
        <v>3</v>
      </c>
      <c r="C109" t="s">
        <v>4</v>
      </c>
      <c r="E109" t="s">
        <v>3</v>
      </c>
      <c r="F109" t="s">
        <v>4</v>
      </c>
      <c r="G109" t="s">
        <v>3</v>
      </c>
      <c r="H109" t="s">
        <v>4</v>
      </c>
      <c r="I109" t="s">
        <v>3</v>
      </c>
      <c r="J109" t="s">
        <v>26</v>
      </c>
      <c r="K109" t="s">
        <v>3</v>
      </c>
      <c r="L109" t="s">
        <v>5</v>
      </c>
    </row>
    <row r="110" spans="1:18" x14ac:dyDescent="0.15">
      <c r="A110" t="str">
        <f t="shared" si="13"/>
        <v>|解放Lv|レベル|コスト|効果|</v>
      </c>
      <c r="B110" t="s">
        <v>3</v>
      </c>
      <c r="C110" t="s">
        <v>27</v>
      </c>
      <c r="E110" t="s">
        <v>3</v>
      </c>
      <c r="F110" t="s">
        <v>6</v>
      </c>
      <c r="G110" t="s">
        <v>3</v>
      </c>
      <c r="H110" t="s">
        <v>28</v>
      </c>
      <c r="I110" t="s">
        <v>3</v>
      </c>
      <c r="J110" t="s">
        <v>29</v>
      </c>
      <c r="K110" t="s">
        <v>3</v>
      </c>
    </row>
    <row r="111" spans="1:18" x14ac:dyDescent="0.15">
      <c r="A111" t="str">
        <f t="shared" si="13"/>
        <v>|Lv10|Lv1|15|威迫を持つ2/2の黒の海賊・トークンを1体生成する。|</v>
      </c>
      <c r="B111" t="s">
        <v>3</v>
      </c>
      <c r="C111" t="s">
        <v>8</v>
      </c>
      <c r="D111">
        <v>10</v>
      </c>
      <c r="E111" t="s">
        <v>3</v>
      </c>
      <c r="F111" t="s">
        <v>30</v>
      </c>
      <c r="G111" t="s">
        <v>3</v>
      </c>
      <c r="H111">
        <v>15</v>
      </c>
      <c r="I111" t="s">
        <v>3</v>
      </c>
      <c r="J111" s="8" t="s">
        <v>851</v>
      </c>
      <c r="K111" t="s">
        <v>3</v>
      </c>
    </row>
    <row r="112" spans="1:18" x14ac:dyDescent="0.15">
      <c r="A112" t="str">
        <f t="shared" si="13"/>
        <v>|Lv26|Lv2|15|威迫を持つ2/2の黒の海賊・トークンを2体生成する。|</v>
      </c>
      <c r="B112" t="s">
        <v>3</v>
      </c>
      <c r="C112" t="s">
        <v>8</v>
      </c>
      <c r="D112">
        <v>26</v>
      </c>
      <c r="E112" t="s">
        <v>3</v>
      </c>
      <c r="F112" t="s">
        <v>31</v>
      </c>
      <c r="G112" t="s">
        <v>3</v>
      </c>
      <c r="H112">
        <f>H111</f>
        <v>15</v>
      </c>
      <c r="I112" t="s">
        <v>3</v>
      </c>
      <c r="J112" s="8" t="s">
        <v>855</v>
      </c>
      <c r="K112" t="s">
        <v>3</v>
      </c>
    </row>
    <row r="113" spans="1:19" x14ac:dyDescent="0.15">
      <c r="A113" t="str">
        <f t="shared" si="13"/>
        <v>|Lv40|Lv3|15|威迫を持つ2/2の黒の海賊・トークンを2体と、「あなたがコントロールする海賊がダメージを与えるたび、これは探検1を行う。」を持つサポートを生成する。|</v>
      </c>
      <c r="B113" t="s">
        <v>3</v>
      </c>
      <c r="C113" t="s">
        <v>8</v>
      </c>
      <c r="D113">
        <v>40</v>
      </c>
      <c r="E113" t="s">
        <v>3</v>
      </c>
      <c r="F113" t="s">
        <v>32</v>
      </c>
      <c r="G113" t="s">
        <v>3</v>
      </c>
      <c r="H113">
        <f>H112</f>
        <v>15</v>
      </c>
      <c r="I113" t="s">
        <v>3</v>
      </c>
      <c r="J113" s="8" t="s">
        <v>856</v>
      </c>
      <c r="K113" t="s">
        <v>3</v>
      </c>
    </row>
    <row r="114" spans="1:19" x14ac:dyDescent="0.15">
      <c r="A114" t="str">
        <f t="shared" si="13"/>
        <v>|Lv56|Lv4|15|威迫を持つ2/2の黒の海賊・トークンを2体と、「あなたがコントロールする海賊がダメージを与えるたび、これは探検1を行い、宝物を1つ見つける。」を持つサポートを生成する。|</v>
      </c>
      <c r="B114" t="s">
        <v>3</v>
      </c>
      <c r="C114" t="s">
        <v>8</v>
      </c>
      <c r="D114">
        <v>56</v>
      </c>
      <c r="E114" t="s">
        <v>3</v>
      </c>
      <c r="F114" t="s">
        <v>33</v>
      </c>
      <c r="G114" t="s">
        <v>3</v>
      </c>
      <c r="H114">
        <f>H113</f>
        <v>15</v>
      </c>
      <c r="I114" t="s">
        <v>3</v>
      </c>
      <c r="J114" s="8" t="s">
        <v>849</v>
      </c>
      <c r="K114" t="s">
        <v>3</v>
      </c>
    </row>
    <row r="115" spans="1:19" x14ac:dyDescent="0.15">
      <c r="A115" t="str">
        <f t="shared" si="13"/>
        <v>&amp;br;</v>
      </c>
      <c r="B115" t="s">
        <v>0</v>
      </c>
    </row>
    <row r="116" spans="1:19" x14ac:dyDescent="0.15">
      <c r="A116" t="str">
        <f t="shared" si="13"/>
        <v>&amp;br;</v>
      </c>
      <c r="B116" t="s">
        <v>0</v>
      </c>
    </row>
    <row r="117" spans="1:19" x14ac:dyDescent="0.15">
      <c r="A117" t="str">
        <f t="shared" si="13"/>
        <v>**第3能力：ゴルゴンの凝視/Gorgon's Gaze</v>
      </c>
      <c r="B117" t="s">
        <v>35</v>
      </c>
      <c r="D117" s="8" t="s">
        <v>847</v>
      </c>
      <c r="E117" t="s">
        <v>25</v>
      </c>
      <c r="F117" t="s">
        <v>844</v>
      </c>
      <c r="R117" t="str">
        <f>D117&amp;E117&amp;F117</f>
        <v>ゴルゴンの凝視/Gorgon's Gaze</v>
      </c>
    </row>
    <row r="118" spans="1:19" x14ac:dyDescent="0.15">
      <c r="A118" t="str">
        <f t="shared" si="13"/>
        <v>|LEFT:50|LEFT:50|LEFT:50|LEFT:300|c</v>
      </c>
      <c r="B118" t="s">
        <v>3</v>
      </c>
      <c r="C118" t="s">
        <v>4</v>
      </c>
      <c r="E118" t="s">
        <v>3</v>
      </c>
      <c r="F118" t="s">
        <v>4</v>
      </c>
      <c r="G118" t="s">
        <v>3</v>
      </c>
      <c r="H118" t="s">
        <v>4</v>
      </c>
      <c r="I118" t="s">
        <v>3</v>
      </c>
      <c r="J118" t="s">
        <v>26</v>
      </c>
      <c r="K118" t="s">
        <v>3</v>
      </c>
      <c r="L118" t="s">
        <v>5</v>
      </c>
    </row>
    <row r="119" spans="1:19" x14ac:dyDescent="0.15">
      <c r="A119" t="str">
        <f t="shared" si="13"/>
        <v>|解放Lv|レベル|コスト|効果|</v>
      </c>
      <c r="B119" t="s">
        <v>3</v>
      </c>
      <c r="C119" t="s">
        <v>27</v>
      </c>
      <c r="E119" t="s">
        <v>3</v>
      </c>
      <c r="F119" t="s">
        <v>6</v>
      </c>
      <c r="G119" t="s">
        <v>3</v>
      </c>
      <c r="H119" t="s">
        <v>28</v>
      </c>
      <c r="I119" t="s">
        <v>3</v>
      </c>
      <c r="J119" t="s">
        <v>29</v>
      </c>
      <c r="K119" t="s">
        <v>3</v>
      </c>
    </row>
    <row r="120" spans="1:19" x14ac:dyDescent="0.15">
      <c r="A120" t="str">
        <f t="shared" si="13"/>
        <v>|Lv16|Lv1|18|3シールドと「各ターン開始時に、対戦相手のクリーチャーは-1/-1の修正を受け、対戦相手は2点のライフを失う。このサポートは1シールドを失う。」を持つサポートを生成する。|</v>
      </c>
      <c r="B120" t="s">
        <v>3</v>
      </c>
      <c r="C120" t="s">
        <v>8</v>
      </c>
      <c r="D120">
        <v>16</v>
      </c>
      <c r="E120" t="s">
        <v>3</v>
      </c>
      <c r="F120" t="s">
        <v>30</v>
      </c>
      <c r="G120" t="s">
        <v>3</v>
      </c>
      <c r="H120">
        <v>18</v>
      </c>
      <c r="I120" t="s">
        <v>3</v>
      </c>
      <c r="J120" s="8" t="s">
        <v>852</v>
      </c>
      <c r="K120" t="s">
        <v>3</v>
      </c>
    </row>
    <row r="121" spans="1:19" x14ac:dyDescent="0.15">
      <c r="A121" t="str">
        <f t="shared" si="13"/>
        <v>|Lv30|Lv2|18|3シールドと「各ターン開始時に、対戦相手のクリーチャーは-2/-2の修正を受け、対戦相手は3点のライフを失う。このサポートは1シールドを失う。」を持つサポートを生成する。|</v>
      </c>
      <c r="B121" t="s">
        <v>3</v>
      </c>
      <c r="C121" t="s">
        <v>8</v>
      </c>
      <c r="D121">
        <v>30</v>
      </c>
      <c r="E121" t="s">
        <v>3</v>
      </c>
      <c r="F121" t="s">
        <v>31</v>
      </c>
      <c r="G121" t="s">
        <v>3</v>
      </c>
      <c r="H121">
        <f>H120</f>
        <v>18</v>
      </c>
      <c r="I121" t="s">
        <v>3</v>
      </c>
      <c r="J121" s="8" t="s">
        <v>857</v>
      </c>
      <c r="K121" t="s">
        <v>3</v>
      </c>
    </row>
    <row r="122" spans="1:19" x14ac:dyDescent="0.15">
      <c r="A122" t="str">
        <f t="shared" si="13"/>
        <v>|Lv46|Lv3|18|4シールドと「各ターン開始時に、対戦相手のクリーチャーは-2/-2の修正を受け、対戦相手は4点のライフを失う。このサポートは1シールドを失う。」を持つサポートを生成する。|</v>
      </c>
      <c r="B122" t="s">
        <v>3</v>
      </c>
      <c r="C122" t="s">
        <v>8</v>
      </c>
      <c r="D122">
        <v>46</v>
      </c>
      <c r="E122" t="s">
        <v>3</v>
      </c>
      <c r="F122" t="s">
        <v>32</v>
      </c>
      <c r="G122" t="s">
        <v>3</v>
      </c>
      <c r="H122">
        <f>H121</f>
        <v>18</v>
      </c>
      <c r="I122" t="s">
        <v>3</v>
      </c>
      <c r="J122" s="8" t="s">
        <v>878</v>
      </c>
      <c r="K122" t="s">
        <v>3</v>
      </c>
    </row>
    <row r="123" spans="1:19" x14ac:dyDescent="0.15">
      <c r="A123" t="str">
        <f t="shared" si="13"/>
        <v>|Lv60|Lv4|18|5シールドと「各ターン開始時に、対戦相手のクリーチャーは-2/-2の修正を受け、対戦相手は5点のライフを失う。このサポートは1シールドを失う。」を持つサポートを生成する。|</v>
      </c>
      <c r="B123" t="s">
        <v>3</v>
      </c>
      <c r="C123" t="s">
        <v>8</v>
      </c>
      <c r="D123">
        <v>60</v>
      </c>
      <c r="E123" t="s">
        <v>3</v>
      </c>
      <c r="F123" t="s">
        <v>33</v>
      </c>
      <c r="G123" t="s">
        <v>3</v>
      </c>
      <c r="H123">
        <f>H122</f>
        <v>18</v>
      </c>
      <c r="I123" t="s">
        <v>3</v>
      </c>
      <c r="J123" s="8" t="s">
        <v>879</v>
      </c>
      <c r="K123" t="s">
        <v>3</v>
      </c>
    </row>
    <row r="124" spans="1:19" x14ac:dyDescent="0.15">
      <c r="A124" t="str">
        <f t="shared" si="13"/>
        <v>&amp;br;</v>
      </c>
      <c r="B124" t="s">
        <v>0</v>
      </c>
    </row>
    <row r="125" spans="1:19" x14ac:dyDescent="0.15">
      <c r="A125" t="str">
        <f t="shared" si="13"/>
        <v>&amp;br;</v>
      </c>
      <c r="B125" t="s">
        <v>0</v>
      </c>
    </row>
    <row r="126" spans="1:19" x14ac:dyDescent="0.15">
      <c r="A126" t="str">
        <f t="shared" si="13"/>
        <v>*レベルアップ報酬一覧</v>
      </c>
      <c r="B126" s="8" t="s">
        <v>666</v>
      </c>
      <c r="S126" s="8" t="s">
        <v>720</v>
      </c>
    </row>
    <row r="127" spans="1:19" x14ac:dyDescent="0.15">
      <c r="A127" t="str">
        <f t="shared" si="13"/>
        <v>|LEFT:50|LEFT:100|c</v>
      </c>
      <c r="B127" t="s">
        <v>3</v>
      </c>
      <c r="C127" t="s">
        <v>4</v>
      </c>
      <c r="E127" t="s">
        <v>3</v>
      </c>
      <c r="F127" t="s">
        <v>37</v>
      </c>
      <c r="I127" t="s">
        <v>3</v>
      </c>
      <c r="J127" t="s">
        <v>5</v>
      </c>
      <c r="R127" s="8" t="s">
        <v>654</v>
      </c>
    </row>
    <row r="128" spans="1:19" x14ac:dyDescent="0.15">
      <c r="A128" t="str">
        <f t="shared" si="13"/>
        <v>|レベル|報酬|</v>
      </c>
      <c r="B128" t="s">
        <v>3</v>
      </c>
      <c r="C128" t="s">
        <v>6</v>
      </c>
      <c r="E128" t="s">
        <v>3</v>
      </c>
      <c r="F128" t="s">
        <v>38</v>
      </c>
      <c r="I128" t="s">
        <v>3</v>
      </c>
      <c r="Q128" t="s">
        <v>7</v>
      </c>
      <c r="R128">
        <v>3</v>
      </c>
      <c r="S128">
        <v>2</v>
      </c>
    </row>
    <row r="129" spans="1:18" x14ac:dyDescent="0.15">
      <c r="A129" t="str">
        <f t="shared" si="13"/>
        <v>|Lｖ2|クリーチャー+1|</v>
      </c>
      <c r="B129" t="s">
        <v>3</v>
      </c>
      <c r="C129" t="s">
        <v>39</v>
      </c>
      <c r="D129">
        <v>2</v>
      </c>
      <c r="E129" t="s">
        <v>3</v>
      </c>
      <c r="F129" t="s">
        <v>20</v>
      </c>
      <c r="G129" t="str">
        <f t="shared" ref="G129:G136" si="14">IF(OR(F129=$Q$137,F129=$Q$138,F129=$Q$139,F129=$Q$140,ISBLANK(F129)),"","+")</f>
        <v>+</v>
      </c>
      <c r="H129">
        <f>IF(F129="HP",IF($S$127="交互",IF(ISODD((D129-1)/2),$R$128,$S$128),$R$128),IF(F129="","",VLOOKUP(F129,$Q$128:$R$141,2,FALSE)))</f>
        <v>1</v>
      </c>
      <c r="I129" t="s">
        <v>3</v>
      </c>
      <c r="Q129" t="s">
        <v>20</v>
      </c>
      <c r="R129">
        <v>1</v>
      </c>
    </row>
    <row r="130" spans="1:18" x14ac:dyDescent="0.15">
      <c r="A130" t="str">
        <f t="shared" si="13"/>
        <v>|Lｖ3|HP+3|</v>
      </c>
      <c r="B130" t="s">
        <v>3</v>
      </c>
      <c r="C130" t="s">
        <v>39</v>
      </c>
      <c r="D130">
        <v>3</v>
      </c>
      <c r="E130" t="s">
        <v>3</v>
      </c>
      <c r="F130" t="s">
        <v>7</v>
      </c>
      <c r="G130" t="str">
        <f t="shared" si="14"/>
        <v>+</v>
      </c>
      <c r="H130">
        <f>IF(F130="HP",IF($S$127="交互",IF(ISODD((D130-1)/2),$R$128,$S$128),$R$128),IF(F130="","",VLOOKUP(F130,$Q$128:$R$141,2,FALSE)))</f>
        <v>3</v>
      </c>
      <c r="I130" t="s">
        <v>3</v>
      </c>
      <c r="Q130" t="s">
        <v>21</v>
      </c>
      <c r="R130">
        <v>1</v>
      </c>
    </row>
    <row r="131" spans="1:18" x14ac:dyDescent="0.15">
      <c r="A131" t="str">
        <f t="shared" si="13"/>
        <v>|Lｖ4|黒+1|</v>
      </c>
      <c r="B131" t="s">
        <v>3</v>
      </c>
      <c r="C131" t="s">
        <v>39</v>
      </c>
      <c r="D131">
        <v>4</v>
      </c>
      <c r="E131" t="s">
        <v>3</v>
      </c>
      <c r="F131" t="s">
        <v>13</v>
      </c>
      <c r="G131" t="str">
        <f t="shared" si="14"/>
        <v>+</v>
      </c>
      <c r="H131">
        <f>IF(F131="HP",IF($S$127="交互",IF(ISODD((D131-1)/2),$R$128,$S$128),$R$128),IF(F131="","",VLOOKUP(F131,$Q$128:$R$141,2,FALSE)))</f>
        <v>1</v>
      </c>
      <c r="I131" t="s">
        <v>3</v>
      </c>
      <c r="Q131" t="s">
        <v>22</v>
      </c>
      <c r="R131">
        <v>1</v>
      </c>
    </row>
    <row r="132" spans="1:18" x14ac:dyDescent="0.15">
      <c r="A132" t="str">
        <f t="shared" si="13"/>
        <v>|Lｖ5|HP+3|</v>
      </c>
      <c r="B132" t="s">
        <v>3</v>
      </c>
      <c r="C132" t="s">
        <v>39</v>
      </c>
      <c r="D132">
        <v>5</v>
      </c>
      <c r="E132" t="s">
        <v>3</v>
      </c>
      <c r="F132" t="s">
        <v>7</v>
      </c>
      <c r="G132" t="str">
        <f t="shared" si="14"/>
        <v>+</v>
      </c>
      <c r="H132">
        <f>IF(F132="HP",IF($S$127="交互",IF(ISODD((D132-1)/2),$R$128,$S$128),$R$128),IF(F132="","",VLOOKUP(F132,$Q$128:$R$141,2,FALSE)))</f>
        <v>3</v>
      </c>
      <c r="I132" t="s">
        <v>3</v>
      </c>
      <c r="Q132" t="s">
        <v>11</v>
      </c>
      <c r="R132">
        <v>1</v>
      </c>
    </row>
    <row r="133" spans="1:18" x14ac:dyDescent="0.15">
      <c r="A133" t="str">
        <f t="shared" si="13"/>
        <v>|Lｖ6|第1能力Lv1|</v>
      </c>
      <c r="B133" t="s">
        <v>3</v>
      </c>
      <c r="C133" t="s">
        <v>39</v>
      </c>
      <c r="D133">
        <v>6</v>
      </c>
      <c r="E133" t="s">
        <v>3</v>
      </c>
      <c r="F133" t="s">
        <v>40</v>
      </c>
      <c r="G133" t="str">
        <f t="shared" si="14"/>
        <v/>
      </c>
      <c r="H133">
        <v>1</v>
      </c>
      <c r="I133" t="s">
        <v>3</v>
      </c>
      <c r="Q133" t="s">
        <v>12</v>
      </c>
      <c r="R133">
        <v>1</v>
      </c>
    </row>
    <row r="134" spans="1:18" x14ac:dyDescent="0.15">
      <c r="A134" t="str">
        <f t="shared" si="13"/>
        <v>|Lｖ7|HP+3|</v>
      </c>
      <c r="B134" t="s">
        <v>3</v>
      </c>
      <c r="C134" t="s">
        <v>39</v>
      </c>
      <c r="D134">
        <v>7</v>
      </c>
      <c r="E134" t="s">
        <v>3</v>
      </c>
      <c r="F134" t="s">
        <v>7</v>
      </c>
      <c r="G134" t="str">
        <f t="shared" si="14"/>
        <v>+</v>
      </c>
      <c r="H134">
        <f>IF(F134="HP",IF($S$127="交互",IF(ISODD((D134-1)/2),$R$128,$S$128),$R$128),IF(F134="","",VLOOKUP(F134,$Q$128:$R$141,2,FALSE)))</f>
        <v>3</v>
      </c>
      <c r="I134" t="s">
        <v>3</v>
      </c>
      <c r="Q134" t="s">
        <v>13</v>
      </c>
      <c r="R134">
        <v>1</v>
      </c>
    </row>
    <row r="135" spans="1:18" x14ac:dyDescent="0.15">
      <c r="A135" t="str">
        <f t="shared" si="13"/>
        <v>|Lｖ8|呪文+1|</v>
      </c>
      <c r="B135" t="s">
        <v>3</v>
      </c>
      <c r="C135" t="s">
        <v>39</v>
      </c>
      <c r="D135">
        <v>8</v>
      </c>
      <c r="E135" t="s">
        <v>3</v>
      </c>
      <c r="F135" t="s">
        <v>21</v>
      </c>
      <c r="G135" t="str">
        <f t="shared" si="14"/>
        <v>+</v>
      </c>
      <c r="H135">
        <f>IF(F135="HP",IF($S$127="交互",IF(ISODD((D135-1)/2),$R$128,$S$128),$R$128),IF(F135="","",VLOOKUP(F135,$Q$128:$R$141,2,FALSE)))</f>
        <v>1</v>
      </c>
      <c r="I135" t="s">
        <v>3</v>
      </c>
      <c r="Q135" t="s">
        <v>14</v>
      </c>
      <c r="R135">
        <v>1</v>
      </c>
    </row>
    <row r="136" spans="1:18" x14ac:dyDescent="0.15">
      <c r="A136" t="str">
        <f t="shared" si="13"/>
        <v>|Lｖ9|HP+3|</v>
      </c>
      <c r="B136" t="s">
        <v>3</v>
      </c>
      <c r="C136" t="s">
        <v>39</v>
      </c>
      <c r="D136">
        <v>9</v>
      </c>
      <c r="E136" t="s">
        <v>3</v>
      </c>
      <c r="F136" t="s">
        <v>7</v>
      </c>
      <c r="G136" t="str">
        <f t="shared" si="14"/>
        <v>+</v>
      </c>
      <c r="H136">
        <f>IF(F136="HP",IF($S$127="交互",IF(ISODD((D136-1)/2),$R$128,$S$128),$R$128),IF(F136="","",VLOOKUP(F136,$Q$128:$R$141,2,FALSE)))</f>
        <v>3</v>
      </c>
      <c r="I136" t="s">
        <v>3</v>
      </c>
      <c r="Q136" t="s">
        <v>15</v>
      </c>
      <c r="R136">
        <v>1</v>
      </c>
    </row>
    <row r="137" spans="1:18" x14ac:dyDescent="0.15">
      <c r="A137" t="str">
        <f t="shared" si="13"/>
        <v>|Lｖ10|第2能力Lv1|</v>
      </c>
      <c r="B137" t="s">
        <v>3</v>
      </c>
      <c r="C137" t="s">
        <v>39</v>
      </c>
      <c r="D137">
        <v>10</v>
      </c>
      <c r="E137" t="s">
        <v>3</v>
      </c>
      <c r="F137" t="s">
        <v>41</v>
      </c>
      <c r="G137" t="s">
        <v>44</v>
      </c>
      <c r="H137">
        <v>1</v>
      </c>
      <c r="I137" t="s">
        <v>3</v>
      </c>
      <c r="Q137" t="s">
        <v>40</v>
      </c>
    </row>
    <row r="138" spans="1:18" x14ac:dyDescent="0.15">
      <c r="A138" t="str">
        <f t="shared" si="13"/>
        <v>|Lｖ11|HP+3|</v>
      </c>
      <c r="B138" t="s">
        <v>3</v>
      </c>
      <c r="C138" t="s">
        <v>39</v>
      </c>
      <c r="D138">
        <v>11</v>
      </c>
      <c r="E138" t="s">
        <v>3</v>
      </c>
      <c r="F138" t="s">
        <v>7</v>
      </c>
      <c r="G138" t="str">
        <f>IF(OR(F138=$Q$137,F138=$Q$138,F138=$Q$139,F138=$Q$140,ISBLANK(F138)),"","+")</f>
        <v>+</v>
      </c>
      <c r="H138">
        <f>IF(F138="HP",IF($S$127="交互",IF(ISODD((D138-1)/2),$R$128,$S$128),$R$128),IF(F138="","",VLOOKUP(F138,$Q$128:$R$141,2,FALSE)))</f>
        <v>3</v>
      </c>
      <c r="I138" t="s">
        <v>3</v>
      </c>
      <c r="Q138" t="s">
        <v>41</v>
      </c>
    </row>
    <row r="139" spans="1:18" x14ac:dyDescent="0.15">
      <c r="A139" t="str">
        <f t="shared" si="13"/>
        <v>|Lｖ12|緑+1|</v>
      </c>
      <c r="B139" t="s">
        <v>3</v>
      </c>
      <c r="C139" t="s">
        <v>39</v>
      </c>
      <c r="D139">
        <v>12</v>
      </c>
      <c r="E139" t="s">
        <v>3</v>
      </c>
      <c r="F139" t="s">
        <v>15</v>
      </c>
      <c r="G139" t="str">
        <f>IF(OR(F139=$Q$137,F139=$Q$138,F139=$Q$139,F139=$Q$140,ISBLANK(F139)),"","+")</f>
        <v>+</v>
      </c>
      <c r="H139">
        <v>1</v>
      </c>
      <c r="I139" t="s">
        <v>3</v>
      </c>
      <c r="Q139" t="s">
        <v>42</v>
      </c>
    </row>
    <row r="140" spans="1:18" x14ac:dyDescent="0.15">
      <c r="A140" t="str">
        <f t="shared" si="13"/>
        <v>|Lｖ13|HP+3|</v>
      </c>
      <c r="B140" t="s">
        <v>3</v>
      </c>
      <c r="C140" t="s">
        <v>39</v>
      </c>
      <c r="D140">
        <v>13</v>
      </c>
      <c r="E140" t="s">
        <v>3</v>
      </c>
      <c r="F140" t="s">
        <v>7</v>
      </c>
      <c r="G140" t="str">
        <f>IF(OR(F140=$Q$137,F140=$Q$138,F140=$Q$139,F140=$Q$140,ISBLANK(F140)),"","+")</f>
        <v>+</v>
      </c>
      <c r="H140">
        <f>IF(F140="HP",IF($S$127="交互",IF(ISODD((D140-1)/2),$R$128,$S$128),$R$128),IF(F140="","",VLOOKUP(F140,$Q$128:$R$141,2,FALSE)))</f>
        <v>3</v>
      </c>
      <c r="I140" t="s">
        <v>3</v>
      </c>
      <c r="Q140" t="s">
        <v>43</v>
      </c>
      <c r="R140" s="8" t="s">
        <v>665</v>
      </c>
    </row>
    <row r="141" spans="1:18" x14ac:dyDescent="0.15">
      <c r="A141" t="str">
        <f t="shared" si="13"/>
        <v>|Lｖ14|サポート+1|</v>
      </c>
      <c r="B141" t="s">
        <v>3</v>
      </c>
      <c r="C141" t="s">
        <v>39</v>
      </c>
      <c r="D141">
        <v>14</v>
      </c>
      <c r="E141" t="s">
        <v>3</v>
      </c>
      <c r="F141" t="s">
        <v>22</v>
      </c>
      <c r="G141" t="str">
        <f>IF(OR(F141=$Q$137,F141=$Q$138,F141=$Q$139,F141=$Q$140,ISBLANK(F141)),"","+")</f>
        <v>+</v>
      </c>
      <c r="H141">
        <f>IF(F141="HP",IF($S$127="交互",IF(ISODD((D141-1)/2),$R$128,$S$128),$R$128),IF(F141="","",VLOOKUP(F141,$Q$128:$R$141,2,FALSE)))</f>
        <v>1</v>
      </c>
      <c r="I141" t="s">
        <v>3</v>
      </c>
    </row>
    <row r="142" spans="1:18" x14ac:dyDescent="0.15">
      <c r="A142" t="str">
        <f t="shared" si="13"/>
        <v>|Lｖ15|HP+3|</v>
      </c>
      <c r="B142" t="s">
        <v>3</v>
      </c>
      <c r="C142" t="s">
        <v>39</v>
      </c>
      <c r="D142">
        <v>15</v>
      </c>
      <c r="E142" t="s">
        <v>3</v>
      </c>
      <c r="F142" t="s">
        <v>7</v>
      </c>
      <c r="G142" t="str">
        <f>IF(OR(F142=$Q$137,F142=$Q$138,F142=$Q$139,F142=$Q$140,ISBLANK(F142)),"","+")</f>
        <v>+</v>
      </c>
      <c r="H142">
        <f>IF(F142="HP",IF($S$127="交互",IF(ISODD((D142-1)/2),$R$128,$S$128),$R$128),IF(F142="","",VLOOKUP(F142,$Q$128:$R$141,2,FALSE)))</f>
        <v>3</v>
      </c>
      <c r="I142" t="s">
        <v>3</v>
      </c>
    </row>
    <row r="143" spans="1:18" x14ac:dyDescent="0.15">
      <c r="A143" t="str">
        <f t="shared" si="13"/>
        <v>|Lｖ16|第3能力Lv1|</v>
      </c>
      <c r="B143" t="s">
        <v>3</v>
      </c>
      <c r="C143" t="s">
        <v>39</v>
      </c>
      <c r="D143">
        <v>16</v>
      </c>
      <c r="E143" t="s">
        <v>3</v>
      </c>
      <c r="F143" t="s">
        <v>42</v>
      </c>
      <c r="G143" t="s">
        <v>44</v>
      </c>
      <c r="H143">
        <v>1</v>
      </c>
      <c r="I143" t="s">
        <v>3</v>
      </c>
    </row>
    <row r="144" spans="1:18" x14ac:dyDescent="0.15">
      <c r="A144" t="str">
        <f t="shared" si="13"/>
        <v>|Lｖ17|回復速度上昇 |</v>
      </c>
      <c r="B144" t="s">
        <v>3</v>
      </c>
      <c r="C144" t="s">
        <v>39</v>
      </c>
      <c r="D144">
        <v>17</v>
      </c>
      <c r="E144" t="s">
        <v>3</v>
      </c>
      <c r="F144" t="s">
        <v>43</v>
      </c>
      <c r="G144" t="str">
        <f>IF(OR(F144=$Q$137,F144=$Q$138,F144=$Q$139,F144=$Q$140,ISBLANK(F144)),"","+")</f>
        <v/>
      </c>
      <c r="H144" t="str">
        <f>IF(F144="HP",IF($S$127="交互",IF(ISODD((D144-1)/2),$R$128,$S$128),$R$128),IF(F144="","",VLOOKUP(F144,$Q$128:$R$141,2,FALSE)))</f>
        <v xml:space="preserve"> </v>
      </c>
      <c r="I144" t="s">
        <v>3</v>
      </c>
    </row>
    <row r="145" spans="1:9" x14ac:dyDescent="0.15">
      <c r="A145" t="str">
        <f t="shared" si="13"/>
        <v>|Lｖ18|赤+1|</v>
      </c>
      <c r="B145" t="s">
        <v>3</v>
      </c>
      <c r="C145" t="s">
        <v>39</v>
      </c>
      <c r="D145">
        <v>18</v>
      </c>
      <c r="E145" t="s">
        <v>3</v>
      </c>
      <c r="F145" t="s">
        <v>14</v>
      </c>
      <c r="G145" t="str">
        <f>IF(OR(F145=$Q$137,F145=$Q$138,F145=$Q$139,F145=$Q$140,ISBLANK(F145)),"","+")</f>
        <v>+</v>
      </c>
      <c r="H145">
        <v>1</v>
      </c>
      <c r="I145" t="s">
        <v>3</v>
      </c>
    </row>
    <row r="146" spans="1:9" x14ac:dyDescent="0.15">
      <c r="A146" t="str">
        <f t="shared" si="13"/>
        <v>|Lｖ19|HP+3|</v>
      </c>
      <c r="B146" t="s">
        <v>3</v>
      </c>
      <c r="C146" t="s">
        <v>39</v>
      </c>
      <c r="D146">
        <v>19</v>
      </c>
      <c r="E146" t="s">
        <v>3</v>
      </c>
      <c r="F146" t="s">
        <v>7</v>
      </c>
      <c r="G146" t="str">
        <f>IF(OR(F146=$Q$137,F146=$Q$138,F146=$Q$139,F146=$Q$140,ISBLANK(F146)),"","+")</f>
        <v>+</v>
      </c>
      <c r="H146">
        <f>IF(F146="HP",IF($S$127="交互",IF(ISODD((D146-1)/2),$R$128,$S$128),$R$128),IF(F146="","",VLOOKUP(F146,$Q$128:$R$141,2,FALSE)))</f>
        <v>3</v>
      </c>
      <c r="I146" t="s">
        <v>3</v>
      </c>
    </row>
    <row r="147" spans="1:9" x14ac:dyDescent="0.15">
      <c r="A147" t="str">
        <f t="shared" si="13"/>
        <v>|Lｖ20|第1能力Lv2|</v>
      </c>
      <c r="B147" t="s">
        <v>3</v>
      </c>
      <c r="C147" t="s">
        <v>39</v>
      </c>
      <c r="D147">
        <v>20</v>
      </c>
      <c r="E147" t="s">
        <v>3</v>
      </c>
      <c r="F147" t="s">
        <v>40</v>
      </c>
      <c r="G147" t="s">
        <v>44</v>
      </c>
      <c r="H147">
        <v>2</v>
      </c>
      <c r="I147" t="s">
        <v>3</v>
      </c>
    </row>
    <row r="148" spans="1:9" x14ac:dyDescent="0.15">
      <c r="A148" t="str">
        <f t="shared" si="13"/>
        <v>|Lｖ21|HP+3|</v>
      </c>
      <c r="B148" t="s">
        <v>3</v>
      </c>
      <c r="C148" t="s">
        <v>39</v>
      </c>
      <c r="D148">
        <v>21</v>
      </c>
      <c r="E148" t="s">
        <v>3</v>
      </c>
      <c r="F148" t="s">
        <v>7</v>
      </c>
      <c r="G148" t="str">
        <f>IF(OR(F148=$Q$137,F148=$Q$138,F148=$Q$139,F148=$Q$140,ISBLANK(F148)),"","+")</f>
        <v>+</v>
      </c>
      <c r="H148">
        <f>IF(F148="HP",IF($S$127="交互",IF(ISODD((D148-1)/2),$R$128,$S$128),$R$128),IF(F148="","",VLOOKUP(F148,$Q$128:$R$141,2,FALSE)))</f>
        <v>3</v>
      </c>
      <c r="I148" t="s">
        <v>3</v>
      </c>
    </row>
    <row r="149" spans="1:9" x14ac:dyDescent="0.15">
      <c r="A149" t="str">
        <f t="shared" si="13"/>
        <v>|Lｖ22|クリーチャー+1|</v>
      </c>
      <c r="B149" t="s">
        <v>3</v>
      </c>
      <c r="C149" t="s">
        <v>39</v>
      </c>
      <c r="D149">
        <v>22</v>
      </c>
      <c r="E149" t="s">
        <v>3</v>
      </c>
      <c r="F149" t="s">
        <v>20</v>
      </c>
      <c r="G149" t="str">
        <f>IF(OR(F149=$Q$137,F149=$Q$138,F149=$Q$139,F149=$Q$140,ISBLANK(F149)),"","+")</f>
        <v>+</v>
      </c>
      <c r="H149">
        <f>IF(F149="HP",IF($S$127="交互",IF(ISODD((D149-1)/2),$R$128,$S$128),$R$128),IF(F149="","",VLOOKUP(F149,$Q$128:$R$141,2,FALSE)))</f>
        <v>1</v>
      </c>
      <c r="I149" t="s">
        <v>3</v>
      </c>
    </row>
    <row r="150" spans="1:9" x14ac:dyDescent="0.15">
      <c r="A150" t="str">
        <f t="shared" si="13"/>
        <v>|Lｖ23|HP+3|</v>
      </c>
      <c r="B150" t="s">
        <v>3</v>
      </c>
      <c r="C150" t="s">
        <v>39</v>
      </c>
      <c r="D150">
        <v>23</v>
      </c>
      <c r="E150" t="s">
        <v>3</v>
      </c>
      <c r="F150" t="s">
        <v>7</v>
      </c>
      <c r="G150" t="str">
        <f>IF(OR(F150=$Q$137,F150=$Q$138,F150=$Q$139,F150=$Q$140,ISBLANK(F150)),"","+")</f>
        <v>+</v>
      </c>
      <c r="H150">
        <f>IF(F150="HP",IF($S$127="交互",IF(ISODD((D150-1)/2),$R$128,$S$128),$R$128),IF(F150="","",VLOOKUP(F150,$Q$128:$R$141,2,FALSE)))</f>
        <v>3</v>
      </c>
      <c r="I150" t="s">
        <v>3</v>
      </c>
    </row>
    <row r="151" spans="1:9" x14ac:dyDescent="0.15">
      <c r="A151" t="str">
        <f t="shared" si="13"/>
        <v>|Lｖ24|白+1|</v>
      </c>
      <c r="B151" t="s">
        <v>3</v>
      </c>
      <c r="C151" t="s">
        <v>39</v>
      </c>
      <c r="D151">
        <v>24</v>
      </c>
      <c r="E151" t="s">
        <v>3</v>
      </c>
      <c r="F151" t="s">
        <v>11</v>
      </c>
      <c r="G151" t="str">
        <f>IF(OR(F151=$Q$137,F151=$Q$138,F151=$Q$139,F151=$Q$140,ISBLANK(F151)),"","+")</f>
        <v>+</v>
      </c>
      <c r="H151">
        <v>1</v>
      </c>
      <c r="I151" t="s">
        <v>3</v>
      </c>
    </row>
    <row r="152" spans="1:9" x14ac:dyDescent="0.15">
      <c r="A152" t="str">
        <f t="shared" si="13"/>
        <v>|Lｖ25|HP+3|</v>
      </c>
      <c r="B152" t="s">
        <v>3</v>
      </c>
      <c r="C152" t="s">
        <v>39</v>
      </c>
      <c r="D152">
        <v>25</v>
      </c>
      <c r="E152" t="s">
        <v>3</v>
      </c>
      <c r="F152" t="s">
        <v>7</v>
      </c>
      <c r="G152" t="str">
        <f>IF(OR(F152=$Q$137,F152=$Q$138,F152=$Q$139,F152=$Q$140,ISBLANK(F152)),"","+")</f>
        <v>+</v>
      </c>
      <c r="H152">
        <f>IF(F152="HP",IF($S$127="交互",IF(ISODD((D152-1)/2),$R$128,$S$128),$R$128),IF(F152="","",VLOOKUP(F152,$Q$128:$R$141,2,FALSE)))</f>
        <v>3</v>
      </c>
      <c r="I152" t="s">
        <v>3</v>
      </c>
    </row>
    <row r="153" spans="1:9" x14ac:dyDescent="0.15">
      <c r="A153" t="str">
        <f t="shared" si="13"/>
        <v>|Lｖ26|第2能力Lv2|</v>
      </c>
      <c r="B153" t="s">
        <v>3</v>
      </c>
      <c r="C153" t="s">
        <v>39</v>
      </c>
      <c r="D153">
        <v>26</v>
      </c>
      <c r="E153" t="s">
        <v>3</v>
      </c>
      <c r="F153" t="s">
        <v>41</v>
      </c>
      <c r="G153" t="s">
        <v>44</v>
      </c>
      <c r="H153">
        <v>2</v>
      </c>
      <c r="I153" t="s">
        <v>3</v>
      </c>
    </row>
    <row r="154" spans="1:9" x14ac:dyDescent="0.15">
      <c r="A154" t="str">
        <f t="shared" si="13"/>
        <v>|Lｖ27|HP+3|</v>
      </c>
      <c r="B154" t="s">
        <v>3</v>
      </c>
      <c r="C154" t="s">
        <v>39</v>
      </c>
      <c r="D154">
        <v>27</v>
      </c>
      <c r="E154" t="s">
        <v>3</v>
      </c>
      <c r="F154" t="s">
        <v>7</v>
      </c>
      <c r="G154" t="str">
        <f>IF(OR(F154=$Q$137,F154=$Q$138,F154=$Q$139,F154=$Q$140,ISBLANK(F154)),"","+")</f>
        <v>+</v>
      </c>
      <c r="H154">
        <f>IF(F154="HP",IF($S$127="交互",IF(ISODD((D154-1)/2),$R$128,$S$128),$R$128),IF(F154="","",VLOOKUP(F154,$Q$128:$R$141,2,FALSE)))</f>
        <v>3</v>
      </c>
      <c r="I154" t="s">
        <v>3</v>
      </c>
    </row>
    <row r="155" spans="1:9" x14ac:dyDescent="0.15">
      <c r="A155" t="str">
        <f t="shared" si="13"/>
        <v>|Lｖ28|呪文+1|</v>
      </c>
      <c r="B155" t="s">
        <v>3</v>
      </c>
      <c r="C155" t="s">
        <v>39</v>
      </c>
      <c r="D155">
        <v>28</v>
      </c>
      <c r="E155" t="s">
        <v>3</v>
      </c>
      <c r="F155" t="s">
        <v>21</v>
      </c>
      <c r="G155" t="str">
        <f>IF(OR(F155=$Q$137,F155=$Q$138,F155=$Q$139,F155=$Q$140,ISBLANK(F155)),"","+")</f>
        <v>+</v>
      </c>
      <c r="H155">
        <f>IF(F155="HP",IF($S$127="交互",IF(ISODD((D155-1)/2),$R$128,$S$128),$R$128),IF(F155="","",VLOOKUP(F155,$Q$128:$R$141,2,FALSE)))</f>
        <v>1</v>
      </c>
      <c r="I155" t="s">
        <v>3</v>
      </c>
    </row>
    <row r="156" spans="1:9" x14ac:dyDescent="0.15">
      <c r="A156" t="str">
        <f t="shared" si="13"/>
        <v>|Lｖ29|HP+3|</v>
      </c>
      <c r="B156" t="s">
        <v>3</v>
      </c>
      <c r="C156" t="s">
        <v>39</v>
      </c>
      <c r="D156">
        <v>29</v>
      </c>
      <c r="E156" t="s">
        <v>3</v>
      </c>
      <c r="F156" t="s">
        <v>7</v>
      </c>
      <c r="G156" t="str">
        <f>IF(OR(F156=$Q$137,F156=$Q$138,F156=$Q$139,F156=$Q$140,ISBLANK(F156)),"","+")</f>
        <v>+</v>
      </c>
      <c r="H156">
        <f>IF(F156="HP",IF($S$127="交互",IF(ISODD((D156-1)/2),$R$128,$S$128),$R$128),IF(F156="","",VLOOKUP(F156,$Q$128:$R$141,2,FALSE)))</f>
        <v>3</v>
      </c>
      <c r="I156" t="s">
        <v>3</v>
      </c>
    </row>
    <row r="157" spans="1:9" x14ac:dyDescent="0.15">
      <c r="A157" t="str">
        <f t="shared" si="13"/>
        <v>|Lｖ30|第3能力Lv2|</v>
      </c>
      <c r="B157" t="s">
        <v>3</v>
      </c>
      <c r="C157" t="s">
        <v>39</v>
      </c>
      <c r="D157">
        <v>30</v>
      </c>
      <c r="E157" t="s">
        <v>3</v>
      </c>
      <c r="F157" t="s">
        <v>42</v>
      </c>
      <c r="G157" t="s">
        <v>44</v>
      </c>
      <c r="H157">
        <v>2</v>
      </c>
      <c r="I157" t="s">
        <v>3</v>
      </c>
    </row>
    <row r="158" spans="1:9" x14ac:dyDescent="0.15">
      <c r="A158" t="str">
        <f t="shared" si="13"/>
        <v>|Lｖ31|HP+3|</v>
      </c>
      <c r="B158" t="s">
        <v>3</v>
      </c>
      <c r="C158" t="s">
        <v>39</v>
      </c>
      <c r="D158">
        <v>31</v>
      </c>
      <c r="E158" t="s">
        <v>3</v>
      </c>
      <c r="F158" t="s">
        <v>7</v>
      </c>
      <c r="G158" t="str">
        <f>IF(OR(F158=$Q$137,F158=$Q$138,F158=$Q$139,F158=$Q$140,ISBLANK(F158)),"","+")</f>
        <v>+</v>
      </c>
      <c r="H158">
        <f>IF(F158="HP",IF($S$127="交互",IF(ISODD((D158-1)/2),$R$128,$S$128),$R$128),IF(F158="","",VLOOKUP(F158,$Q$128:$R$141,2,FALSE)))</f>
        <v>3</v>
      </c>
      <c r="I158" t="s">
        <v>3</v>
      </c>
    </row>
    <row r="159" spans="1:9" x14ac:dyDescent="0.15">
      <c r="A159" t="str">
        <f t="shared" si="13"/>
        <v>|Lｖ32|青+1|</v>
      </c>
      <c r="B159" t="s">
        <v>3</v>
      </c>
      <c r="C159" t="s">
        <v>39</v>
      </c>
      <c r="D159">
        <v>32</v>
      </c>
      <c r="E159" t="s">
        <v>3</v>
      </c>
      <c r="F159" t="s">
        <v>12</v>
      </c>
      <c r="G159" t="str">
        <f>IF(OR(F159=$Q$137,F159=$Q$138,F159=$Q$139,F159=$Q$140,ISBLANK(F159)),"","+")</f>
        <v>+</v>
      </c>
      <c r="H159">
        <f>IF(F159="HP",IF($S$127="交互",IF(ISODD((D159-1)/2),$R$128,$S$128),$R$128),IF(F159="","",VLOOKUP(F159,$Q$128:$R$141,2,FALSE)))</f>
        <v>1</v>
      </c>
      <c r="I159" t="s">
        <v>3</v>
      </c>
    </row>
    <row r="160" spans="1:9" x14ac:dyDescent="0.15">
      <c r="A160" t="str">
        <f t="shared" ref="A160:A194" si="15">B160&amp;C160&amp;D160&amp;E160&amp;F160&amp;G160&amp;H160&amp;I160&amp;J160&amp;K160&amp;L160&amp;M160&amp;N160&amp;O160&amp;P160</f>
        <v>|Lｖ33|HP+3|</v>
      </c>
      <c r="B160" t="s">
        <v>3</v>
      </c>
      <c r="C160" t="s">
        <v>39</v>
      </c>
      <c r="D160">
        <v>33</v>
      </c>
      <c r="E160" t="s">
        <v>3</v>
      </c>
      <c r="F160" t="s">
        <v>7</v>
      </c>
      <c r="G160" t="str">
        <f>IF(OR(F160=$Q$137,F160=$Q$138,F160=$Q$139,F160=$Q$140,ISBLANK(F160)),"","+")</f>
        <v>+</v>
      </c>
      <c r="H160">
        <f>IF(F160="HP",IF($S$127="交互",IF(ISODD((D160-1)/2),$R$128,$S$128),$R$128),IF(F160="","",VLOOKUP(F160,$Q$128:$R$141,2,FALSE)))</f>
        <v>3</v>
      </c>
      <c r="I160" t="s">
        <v>3</v>
      </c>
    </row>
    <row r="161" spans="1:9" x14ac:dyDescent="0.15">
      <c r="A161" t="str">
        <f t="shared" si="15"/>
        <v>|Lｖ34|サポート+1|</v>
      </c>
      <c r="B161" t="s">
        <v>3</v>
      </c>
      <c r="C161" t="s">
        <v>39</v>
      </c>
      <c r="D161">
        <v>34</v>
      </c>
      <c r="E161" t="s">
        <v>3</v>
      </c>
      <c r="F161" t="s">
        <v>22</v>
      </c>
      <c r="G161" t="str">
        <f>IF(OR(F161=$Q$137,F161=$Q$138,F161=$Q$139,F161=$Q$140,ISBLANK(F161)),"","+")</f>
        <v>+</v>
      </c>
      <c r="H161">
        <f>IF(F161="HP",IF($S$127="交互",IF(ISODD((D161-1)/2),$R$128,$S$128),$R$128),IF(F161="","",VLOOKUP(F161,$Q$128:$R$141,2,FALSE)))</f>
        <v>1</v>
      </c>
      <c r="I161" t="s">
        <v>3</v>
      </c>
    </row>
    <row r="162" spans="1:9" x14ac:dyDescent="0.15">
      <c r="A162" t="str">
        <f t="shared" si="15"/>
        <v>|Lｖ35|回復速度上昇 |</v>
      </c>
      <c r="B162" t="s">
        <v>3</v>
      </c>
      <c r="C162" t="s">
        <v>39</v>
      </c>
      <c r="D162">
        <v>35</v>
      </c>
      <c r="E162" t="s">
        <v>3</v>
      </c>
      <c r="F162" t="s">
        <v>43</v>
      </c>
      <c r="G162" t="str">
        <f>IF(OR(F162=$Q$137,F162=$Q$138,F162=$Q$139,F162=$Q$140,ISBLANK(F162)),"","+")</f>
        <v/>
      </c>
      <c r="H162" t="str">
        <f>IF(F162="HP",IF($S$127="交互",IF(ISODD((D162-1)/2),$R$128,$S$128),$R$128),IF(F162="","",VLOOKUP(F162,$Q$128:$R$141,2,FALSE)))</f>
        <v xml:space="preserve"> </v>
      </c>
      <c r="I162" t="s">
        <v>3</v>
      </c>
    </row>
    <row r="163" spans="1:9" x14ac:dyDescent="0.15">
      <c r="A163" t="str">
        <f t="shared" si="15"/>
        <v>|Lｖ36|第1能力Lv3|</v>
      </c>
      <c r="B163" t="s">
        <v>3</v>
      </c>
      <c r="C163" t="s">
        <v>39</v>
      </c>
      <c r="D163">
        <v>36</v>
      </c>
      <c r="E163" t="s">
        <v>3</v>
      </c>
      <c r="F163" t="s">
        <v>40</v>
      </c>
      <c r="G163" t="s">
        <v>44</v>
      </c>
      <c r="H163">
        <v>3</v>
      </c>
      <c r="I163" t="s">
        <v>3</v>
      </c>
    </row>
    <row r="164" spans="1:9" x14ac:dyDescent="0.15">
      <c r="A164" t="str">
        <f t="shared" si="15"/>
        <v>|Lｖ37|HP+3|</v>
      </c>
      <c r="B164" t="s">
        <v>3</v>
      </c>
      <c r="C164" t="s">
        <v>39</v>
      </c>
      <c r="D164">
        <v>37</v>
      </c>
      <c r="E164" t="s">
        <v>3</v>
      </c>
      <c r="F164" t="s">
        <v>7</v>
      </c>
      <c r="G164" t="str">
        <f>IF(OR(F164=$Q$137,F164=$Q$138,F164=$Q$139,F164=$Q$140,ISBLANK(F164)),"","+")</f>
        <v>+</v>
      </c>
      <c r="H164">
        <f>IF(F164="HP",IF($S$127="交互",IF(ISODD((D164-1)/2),$R$128,$S$128),$R$128),IF(F164="","",VLOOKUP(F164,$Q$128:$R$141,2,FALSE)))</f>
        <v>3</v>
      </c>
      <c r="I164" t="s">
        <v>3</v>
      </c>
    </row>
    <row r="165" spans="1:9" x14ac:dyDescent="0.15">
      <c r="A165" t="str">
        <f t="shared" si="15"/>
        <v>|Lｖ38|黒+1|</v>
      </c>
      <c r="B165" t="s">
        <v>3</v>
      </c>
      <c r="C165" t="s">
        <v>39</v>
      </c>
      <c r="D165">
        <v>38</v>
      </c>
      <c r="E165" t="s">
        <v>3</v>
      </c>
      <c r="F165" t="s">
        <v>13</v>
      </c>
      <c r="G165" t="str">
        <f>IF(OR(F165=$Q$137,F165=$Q$138,F165=$Q$139,F165=$Q$140,ISBLANK(F165)),"","+")</f>
        <v>+</v>
      </c>
      <c r="H165">
        <f>IF(F165="HP",IF($S$127="交互",IF(ISODD((D165-1)/2),$R$128,$S$128),$R$128),IF(F165="","",VLOOKUP(F165,$Q$128:$R$141,2,FALSE)))</f>
        <v>1</v>
      </c>
      <c r="I165" t="s">
        <v>3</v>
      </c>
    </row>
    <row r="166" spans="1:9" x14ac:dyDescent="0.15">
      <c r="A166" t="str">
        <f t="shared" si="15"/>
        <v>|Lｖ39|HP+3|</v>
      </c>
      <c r="B166" t="s">
        <v>3</v>
      </c>
      <c r="C166" t="s">
        <v>39</v>
      </c>
      <c r="D166">
        <v>39</v>
      </c>
      <c r="E166" t="s">
        <v>3</v>
      </c>
      <c r="F166" t="s">
        <v>7</v>
      </c>
      <c r="G166" t="str">
        <f>IF(OR(F166=$Q$137,F166=$Q$138,F166=$Q$139,F166=$Q$140,ISBLANK(F166)),"","+")</f>
        <v>+</v>
      </c>
      <c r="H166">
        <f>IF(F166="HP",IF($S$127="交互",IF(ISODD((D166-1)/2),$R$128,$S$128),$R$128),IF(F166="","",VLOOKUP(F166,$Q$128:$R$141,2,FALSE)))</f>
        <v>3</v>
      </c>
      <c r="I166" t="s">
        <v>3</v>
      </c>
    </row>
    <row r="167" spans="1:9" x14ac:dyDescent="0.15">
      <c r="A167" t="str">
        <f t="shared" si="15"/>
        <v>|Lｖ40|第2能力Lv3|</v>
      </c>
      <c r="B167" t="s">
        <v>3</v>
      </c>
      <c r="C167" t="s">
        <v>39</v>
      </c>
      <c r="D167">
        <v>40</v>
      </c>
      <c r="E167" t="s">
        <v>3</v>
      </c>
      <c r="F167" t="s">
        <v>41</v>
      </c>
      <c r="G167" t="s">
        <v>44</v>
      </c>
      <c r="H167">
        <v>3</v>
      </c>
      <c r="I167" t="s">
        <v>3</v>
      </c>
    </row>
    <row r="168" spans="1:9" x14ac:dyDescent="0.15">
      <c r="A168" t="str">
        <f t="shared" si="15"/>
        <v>|Lｖ41|HP+3|</v>
      </c>
      <c r="B168" t="s">
        <v>3</v>
      </c>
      <c r="C168" t="s">
        <v>39</v>
      </c>
      <c r="D168">
        <v>41</v>
      </c>
      <c r="E168" t="s">
        <v>3</v>
      </c>
      <c r="F168" t="s">
        <v>7</v>
      </c>
      <c r="G168" t="str">
        <f>IF(OR(F168=$Q$137,F168=$Q$138,F168=$Q$139,F168=$Q$140,ISBLANK(F168)),"","+")</f>
        <v>+</v>
      </c>
      <c r="H168">
        <f>IF(F168="HP",IF($S$127="交互",IF(ISODD((D168-1)/2),$R$128,$S$128),$R$128),IF(F168="","",VLOOKUP(F168,$Q$128:$R$141,2,FALSE)))</f>
        <v>3</v>
      </c>
      <c r="I168" t="s">
        <v>3</v>
      </c>
    </row>
    <row r="169" spans="1:9" x14ac:dyDescent="0.15">
      <c r="A169" t="str">
        <f t="shared" si="15"/>
        <v>|Lｖ42|クリーチャー+1|</v>
      </c>
      <c r="B169" t="s">
        <v>3</v>
      </c>
      <c r="C169" t="s">
        <v>39</v>
      </c>
      <c r="D169">
        <v>42</v>
      </c>
      <c r="E169" t="s">
        <v>3</v>
      </c>
      <c r="F169" t="s">
        <v>20</v>
      </c>
      <c r="G169" t="str">
        <f>IF(OR(F169=$Q$137,F169=$Q$138,F169=$Q$139,F169=$Q$140,ISBLANK(F169)),"","+")</f>
        <v>+</v>
      </c>
      <c r="H169">
        <f>IF(F169="HP",IF($S$127="交互",IF(ISODD((D169-1)/2),$R$128,$S$128),$R$128),IF(F169="","",VLOOKUP(F169,$Q$128:$R$141,2,FALSE)))</f>
        <v>1</v>
      </c>
      <c r="I169" t="s">
        <v>3</v>
      </c>
    </row>
    <row r="170" spans="1:9" x14ac:dyDescent="0.15">
      <c r="A170" t="str">
        <f t="shared" si="15"/>
        <v>|Lｖ43|HP+3|</v>
      </c>
      <c r="B170" t="s">
        <v>3</v>
      </c>
      <c r="C170" t="s">
        <v>39</v>
      </c>
      <c r="D170">
        <v>43</v>
      </c>
      <c r="E170" t="s">
        <v>3</v>
      </c>
      <c r="F170" t="s">
        <v>7</v>
      </c>
      <c r="G170" t="str">
        <f>IF(OR(F170=$Q$137,F170=$Q$138,F170=$Q$139,F170=$Q$140,ISBLANK(F170)),"","+")</f>
        <v>+</v>
      </c>
      <c r="H170">
        <f>IF(F170="HP",IF($S$127="交互",IF(ISODD((D170-1)/2),$R$128,$S$128),$R$128),IF(F170="","",VLOOKUP(F170,$Q$128:$R$141,2,FALSE)))</f>
        <v>3</v>
      </c>
      <c r="I170" t="s">
        <v>3</v>
      </c>
    </row>
    <row r="171" spans="1:9" x14ac:dyDescent="0.15">
      <c r="A171" t="str">
        <f t="shared" si="15"/>
        <v>|Lｖ44|緑+1|</v>
      </c>
      <c r="B171" t="s">
        <v>3</v>
      </c>
      <c r="C171" t="s">
        <v>39</v>
      </c>
      <c r="D171">
        <v>44</v>
      </c>
      <c r="E171" t="s">
        <v>3</v>
      </c>
      <c r="F171" t="s">
        <v>15</v>
      </c>
      <c r="G171" t="str">
        <f>IF(OR(F171=$Q$137,F171=$Q$138,F171=$Q$139,F171=$Q$140,ISBLANK(F171)),"","+")</f>
        <v>+</v>
      </c>
      <c r="H171">
        <f>IF(F171="HP",IF($S$127="交互",IF(ISODD((D171-1)/2),$R$128,$S$128),$R$128),IF(F171="","",VLOOKUP(F171,$Q$128:$R$141,2,FALSE)))</f>
        <v>1</v>
      </c>
      <c r="I171" t="s">
        <v>3</v>
      </c>
    </row>
    <row r="172" spans="1:9" x14ac:dyDescent="0.15">
      <c r="A172" t="str">
        <f t="shared" si="15"/>
        <v>|Lｖ45|HP+3|</v>
      </c>
      <c r="B172" t="s">
        <v>3</v>
      </c>
      <c r="C172" t="s">
        <v>39</v>
      </c>
      <c r="D172">
        <v>45</v>
      </c>
      <c r="E172" t="s">
        <v>3</v>
      </c>
      <c r="F172" t="s">
        <v>7</v>
      </c>
      <c r="G172" t="str">
        <f>IF(OR(F172=$Q$137,F172=$Q$138,F172=$Q$139,F172=$Q$140,ISBLANK(F172)),"","+")</f>
        <v>+</v>
      </c>
      <c r="H172">
        <f>IF(F172="HP",IF($S$127="交互",IF(ISODD((D172-1)/2),$R$128,$S$128),$R$128),IF(F172="","",VLOOKUP(F172,$Q$128:$R$141,2,FALSE)))</f>
        <v>3</v>
      </c>
      <c r="I172" t="s">
        <v>3</v>
      </c>
    </row>
    <row r="173" spans="1:9" x14ac:dyDescent="0.15">
      <c r="A173" t="str">
        <f t="shared" si="15"/>
        <v>|Lｖ46|第3能力Lv3|</v>
      </c>
      <c r="B173" t="s">
        <v>3</v>
      </c>
      <c r="C173" t="s">
        <v>39</v>
      </c>
      <c r="D173">
        <v>46</v>
      </c>
      <c r="E173" t="s">
        <v>3</v>
      </c>
      <c r="F173" t="s">
        <v>42</v>
      </c>
      <c r="G173" t="s">
        <v>44</v>
      </c>
      <c r="H173">
        <v>3</v>
      </c>
      <c r="I173" t="s">
        <v>3</v>
      </c>
    </row>
    <row r="174" spans="1:9" x14ac:dyDescent="0.15">
      <c r="A174" t="str">
        <f t="shared" si="15"/>
        <v>|Lｖ47|HP+3|</v>
      </c>
      <c r="B174" t="s">
        <v>3</v>
      </c>
      <c r="C174" t="s">
        <v>39</v>
      </c>
      <c r="D174">
        <v>47</v>
      </c>
      <c r="E174" t="s">
        <v>3</v>
      </c>
      <c r="F174" t="s">
        <v>7</v>
      </c>
      <c r="G174" t="str">
        <f>IF(OR(F174=$Q$137,F174=$Q$138,F174=$Q$139,F174=$Q$140,ISBLANK(F174)),"","+")</f>
        <v>+</v>
      </c>
      <c r="H174">
        <f>IF(F174="HP",IF($S$127="交互",IF(ISODD((D174-1)/2),$R$128,$S$128),$R$128),IF(F174="","",VLOOKUP(F174,$Q$128:$R$141,2,FALSE)))</f>
        <v>3</v>
      </c>
      <c r="I174" t="s">
        <v>3</v>
      </c>
    </row>
    <row r="175" spans="1:9" x14ac:dyDescent="0.15">
      <c r="A175" t="str">
        <f t="shared" si="15"/>
        <v>|Lｖ48|呪文+1|</v>
      </c>
      <c r="B175" t="s">
        <v>3</v>
      </c>
      <c r="C175" t="s">
        <v>39</v>
      </c>
      <c r="D175">
        <v>48</v>
      </c>
      <c r="E175" t="s">
        <v>3</v>
      </c>
      <c r="F175" t="s">
        <v>21</v>
      </c>
      <c r="G175" t="str">
        <f>IF(OR(F175=$Q$137,F175=$Q$138,F175=$Q$139,F175=$Q$140,ISBLANK(F175)),"","+")</f>
        <v>+</v>
      </c>
      <c r="H175">
        <f>IF(F175="HP",IF($S$127="交互",IF(ISODD((D175-1)/2),$R$128,$S$128),$R$128),IF(F175="","",VLOOKUP(F175,$Q$128:$R$141,2,FALSE)))</f>
        <v>1</v>
      </c>
      <c r="I175" t="s">
        <v>3</v>
      </c>
    </row>
    <row r="176" spans="1:9" x14ac:dyDescent="0.15">
      <c r="A176" t="str">
        <f t="shared" si="15"/>
        <v>|Lｖ49|HP+3|</v>
      </c>
      <c r="B176" t="s">
        <v>3</v>
      </c>
      <c r="C176" t="s">
        <v>39</v>
      </c>
      <c r="D176">
        <v>49</v>
      </c>
      <c r="E176" t="s">
        <v>3</v>
      </c>
      <c r="F176" t="s">
        <v>7</v>
      </c>
      <c r="G176" t="str">
        <f>IF(OR(F176=$Q$137,F176=$Q$138,F176=$Q$139,F176=$Q$140,ISBLANK(F176)),"","+")</f>
        <v>+</v>
      </c>
      <c r="H176">
        <f>IF(F176="HP",IF($S$127="交互",IF(ISODD((D176-1)/2),$R$128,$S$128),$R$128),IF(F176="","",VLOOKUP(F176,$Q$128:$R$141,2,FALSE)))</f>
        <v>3</v>
      </c>
      <c r="I176" t="s">
        <v>3</v>
      </c>
    </row>
    <row r="177" spans="1:9" x14ac:dyDescent="0.15">
      <c r="A177" t="str">
        <f t="shared" si="15"/>
        <v>|Lｖ50|第1能力Lv4|</v>
      </c>
      <c r="B177" t="s">
        <v>3</v>
      </c>
      <c r="C177" t="s">
        <v>39</v>
      </c>
      <c r="D177">
        <v>50</v>
      </c>
      <c r="E177" t="s">
        <v>3</v>
      </c>
      <c r="F177" t="s">
        <v>40</v>
      </c>
      <c r="G177" t="s">
        <v>44</v>
      </c>
      <c r="H177">
        <v>4</v>
      </c>
      <c r="I177" t="s">
        <v>3</v>
      </c>
    </row>
    <row r="178" spans="1:9" x14ac:dyDescent="0.15">
      <c r="A178" t="str">
        <f t="shared" si="15"/>
        <v>|Lｖ51|HP+3|</v>
      </c>
      <c r="B178" t="s">
        <v>3</v>
      </c>
      <c r="C178" t="s">
        <v>39</v>
      </c>
      <c r="D178">
        <v>51</v>
      </c>
      <c r="E178" t="s">
        <v>3</v>
      </c>
      <c r="F178" t="s">
        <v>7</v>
      </c>
      <c r="G178" t="str">
        <f>IF(OR(F178=$Q$137,F178=$Q$138,F178=$Q$139,F178=$Q$140,ISBLANK(F178)),"","+")</f>
        <v>+</v>
      </c>
      <c r="H178">
        <f>IF(F178="HP",IF($S$127="交互",IF(ISODD((D178-1)/2),$R$128,$S$128),$R$128),IF(F178="","",VLOOKUP(F178,$Q$128:$R$141,2,FALSE)))</f>
        <v>3</v>
      </c>
      <c r="I178" t="s">
        <v>3</v>
      </c>
    </row>
    <row r="179" spans="1:9" x14ac:dyDescent="0.15">
      <c r="A179" t="str">
        <f t="shared" si="15"/>
        <v>|Lｖ52|赤+1|</v>
      </c>
      <c r="B179" t="s">
        <v>3</v>
      </c>
      <c r="C179" t="s">
        <v>39</v>
      </c>
      <c r="D179">
        <v>52</v>
      </c>
      <c r="E179" t="s">
        <v>3</v>
      </c>
      <c r="F179" t="s">
        <v>14</v>
      </c>
      <c r="G179" t="str">
        <f>IF(OR(F179=$Q$137,F179=$Q$138,F179=$Q$139,F179=$Q$140,ISBLANK(F179)),"","+")</f>
        <v>+</v>
      </c>
      <c r="H179">
        <v>1</v>
      </c>
      <c r="I179" t="s">
        <v>3</v>
      </c>
    </row>
    <row r="180" spans="1:9" x14ac:dyDescent="0.15">
      <c r="A180" t="str">
        <f t="shared" si="15"/>
        <v>|Lｖ53|回復速度上昇 |</v>
      </c>
      <c r="B180" t="s">
        <v>3</v>
      </c>
      <c r="C180" t="s">
        <v>39</v>
      </c>
      <c r="D180">
        <v>53</v>
      </c>
      <c r="E180" t="s">
        <v>3</v>
      </c>
      <c r="F180" t="s">
        <v>43</v>
      </c>
      <c r="G180" t="str">
        <f>IF(OR(F180=$Q$137,F180=$Q$138,F180=$Q$139,F180=$Q$140,ISBLANK(F180)),"","+")</f>
        <v/>
      </c>
      <c r="H180" t="str">
        <f>IF(F180="HP",IF($S$127="交互",IF(ISODD((D180-1)/2),$R$128,$S$128),$R$128),IF(F180="","",VLOOKUP(F180,$Q$128:$R$141,2,FALSE)))</f>
        <v xml:space="preserve"> </v>
      </c>
      <c r="I180" t="s">
        <v>3</v>
      </c>
    </row>
    <row r="181" spans="1:9" x14ac:dyDescent="0.15">
      <c r="A181" t="str">
        <f t="shared" si="15"/>
        <v>|Lｖ54|サポート+1|</v>
      </c>
      <c r="B181" t="s">
        <v>3</v>
      </c>
      <c r="C181" t="s">
        <v>39</v>
      </c>
      <c r="D181">
        <v>54</v>
      </c>
      <c r="E181" t="s">
        <v>3</v>
      </c>
      <c r="F181" t="s">
        <v>22</v>
      </c>
      <c r="G181" t="str">
        <f>IF(OR(F181=$Q$137,F181=$Q$138,F181=$Q$139,F181=$Q$140,ISBLANK(F181)),"","+")</f>
        <v>+</v>
      </c>
      <c r="H181">
        <f>IF(F181="HP",IF($S$127="交互",IF(ISODD((D181-1)/2),$R$128,$S$128),$R$128),IF(F181="","",VLOOKUP(F181,$Q$128:$R$141,2,FALSE)))</f>
        <v>1</v>
      </c>
      <c r="I181" t="s">
        <v>3</v>
      </c>
    </row>
    <row r="182" spans="1:9" x14ac:dyDescent="0.15">
      <c r="A182" t="str">
        <f t="shared" si="15"/>
        <v>|Lｖ55|HP+3|</v>
      </c>
      <c r="B182" t="s">
        <v>3</v>
      </c>
      <c r="C182" t="s">
        <v>39</v>
      </c>
      <c r="D182">
        <v>55</v>
      </c>
      <c r="E182" t="s">
        <v>3</v>
      </c>
      <c r="F182" t="s">
        <v>7</v>
      </c>
      <c r="G182" t="str">
        <f>IF(OR(F182=$Q$137,F182=$Q$138,F182=$Q$139,F182=$Q$140,ISBLANK(F182)),"","+")</f>
        <v>+</v>
      </c>
      <c r="H182">
        <f>IF(F182="HP",IF($S$127="交互",IF(ISODD((D182-1)/2),$R$128,$S$128),$R$128),IF(F182="","",VLOOKUP(F182,$Q$128:$R$141,2,FALSE)))</f>
        <v>3</v>
      </c>
      <c r="I182" t="s">
        <v>3</v>
      </c>
    </row>
    <row r="183" spans="1:9" x14ac:dyDescent="0.15">
      <c r="A183" t="str">
        <f t="shared" si="15"/>
        <v>|Lｖ56|第2能力Lv4|</v>
      </c>
      <c r="B183" t="s">
        <v>3</v>
      </c>
      <c r="C183" t="s">
        <v>39</v>
      </c>
      <c r="D183">
        <v>56</v>
      </c>
      <c r="E183" t="s">
        <v>3</v>
      </c>
      <c r="F183" t="s">
        <v>41</v>
      </c>
      <c r="G183" t="s">
        <v>44</v>
      </c>
      <c r="H183">
        <v>4</v>
      </c>
      <c r="I183" t="s">
        <v>3</v>
      </c>
    </row>
    <row r="184" spans="1:9" x14ac:dyDescent="0.15">
      <c r="A184" t="str">
        <f t="shared" si="15"/>
        <v>|Lｖ57|HP+3|</v>
      </c>
      <c r="B184" t="s">
        <v>3</v>
      </c>
      <c r="C184" t="s">
        <v>39</v>
      </c>
      <c r="D184">
        <v>57</v>
      </c>
      <c r="E184" t="s">
        <v>3</v>
      </c>
      <c r="F184" t="s">
        <v>7</v>
      </c>
      <c r="G184" t="str">
        <f>IF(OR(F184=$Q$137,F184=$Q$138,F184=$Q$139,F184=$Q$140,ISBLANK(F184)),"","+")</f>
        <v>+</v>
      </c>
      <c r="H184">
        <f>IF(F184="HP",IF($S$127="交互",IF(ISODD((D184-1)/2),$R$128,$S$128),$R$128),IF(F184="","",VLOOKUP(F184,$Q$128:$R$141,2,FALSE)))</f>
        <v>3</v>
      </c>
      <c r="I184" t="s">
        <v>3</v>
      </c>
    </row>
    <row r="185" spans="1:9" x14ac:dyDescent="0.15">
      <c r="A185" t="str">
        <f t="shared" si="15"/>
        <v>|Lｖ58|青+2|</v>
      </c>
      <c r="B185" t="s">
        <v>3</v>
      </c>
      <c r="C185" t="s">
        <v>39</v>
      </c>
      <c r="D185">
        <v>58</v>
      </c>
      <c r="E185" t="s">
        <v>3</v>
      </c>
      <c r="F185" t="s">
        <v>12</v>
      </c>
      <c r="G185" t="str">
        <f>IF(OR(F185=$Q$137,F185=$Q$138,F185=$Q$139,F185=$Q$140,ISBLANK(F185)),"","+")</f>
        <v>+</v>
      </c>
      <c r="H185">
        <v>2</v>
      </c>
      <c r="I185" t="s">
        <v>3</v>
      </c>
    </row>
    <row r="186" spans="1:9" x14ac:dyDescent="0.15">
      <c r="A186" t="str">
        <f t="shared" si="15"/>
        <v>|Lｖ59|HP+3|</v>
      </c>
      <c r="B186" t="s">
        <v>3</v>
      </c>
      <c r="C186" t="s">
        <v>39</v>
      </c>
      <c r="D186">
        <v>59</v>
      </c>
      <c r="E186" t="s">
        <v>3</v>
      </c>
      <c r="F186" t="s">
        <v>7</v>
      </c>
      <c r="G186" t="str">
        <f>IF(OR(F186=$Q$137,F186=$Q$138,F186=$Q$139,F186=$Q$140,ISBLANK(F186)),"","+")</f>
        <v>+</v>
      </c>
      <c r="H186">
        <f>IF(F186="HP",IF($S$127="交互",IF(ISODD((D186-1)/2),$R$128,$S$128),$R$128),IF(F186="","",VLOOKUP(F186,$Q$128:$R$141,2,FALSE)))</f>
        <v>3</v>
      </c>
      <c r="I186" t="s">
        <v>3</v>
      </c>
    </row>
    <row r="187" spans="1:9" x14ac:dyDescent="0.15">
      <c r="A187" t="str">
        <f t="shared" si="15"/>
        <v>|Lｖ60|第3能力Lv4|</v>
      </c>
      <c r="B187" t="s">
        <v>3</v>
      </c>
      <c r="C187" t="s">
        <v>39</v>
      </c>
      <c r="D187">
        <v>60</v>
      </c>
      <c r="E187" t="s">
        <v>3</v>
      </c>
      <c r="F187" t="s">
        <v>42</v>
      </c>
      <c r="G187" t="str">
        <f>IF(OR(F187=$Q$137,F187=$Q$138,F187=$Q$139,F187=$Q$140,ISBLANK(F187)),"","+")</f>
        <v/>
      </c>
      <c r="H187">
        <v>4</v>
      </c>
      <c r="I187" t="s">
        <v>3</v>
      </c>
    </row>
    <row r="188" spans="1:9" x14ac:dyDescent="0.15">
      <c r="A188" t="str">
        <f t="shared" si="15"/>
        <v>必要総経験値：79920ルーン</v>
      </c>
      <c r="B188" t="s">
        <v>45</v>
      </c>
      <c r="C188">
        <v>79920</v>
      </c>
      <c r="F188" t="s">
        <v>46</v>
      </c>
    </row>
    <row r="189" spans="1:9" x14ac:dyDescent="0.15">
      <c r="A189" t="str">
        <f t="shared" si="15"/>
        <v>#endregion</v>
      </c>
      <c r="B189" t="s">
        <v>599</v>
      </c>
    </row>
    <row r="190" spans="1:9" x14ac:dyDescent="0.15">
      <c r="A190" t="str">
        <f t="shared" si="15"/>
        <v>&amp;br;</v>
      </c>
      <c r="B190" t="s">
        <v>0</v>
      </c>
    </row>
    <row r="191" spans="1:9" x14ac:dyDescent="0.15">
      <c r="A191" t="str">
        <f t="shared" si="15"/>
        <v>#back(text=戻る,left)</v>
      </c>
      <c r="B191" t="s">
        <v>47</v>
      </c>
    </row>
    <row r="192" spans="1:9" x14ac:dyDescent="0.15">
      <c r="A192" t="str">
        <f t="shared" si="15"/>
        <v>&amp;br;</v>
      </c>
      <c r="B192" t="s">
        <v>0</v>
      </c>
    </row>
    <row r="193" spans="1:6" x14ac:dyDescent="0.15">
      <c r="A193" t="str">
        <f t="shared" si="15"/>
        <v>#comment(above,nsize=[15],size=[30],num=[10])</v>
      </c>
      <c r="B193" t="s">
        <v>48</v>
      </c>
    </row>
    <row r="194" spans="1:6" x14ac:dyDescent="0.15">
      <c r="A194" t="str">
        <f t="shared" si="15"/>
        <v>[[プレインズウォーカーリスト&gt;プレインズウォーカーリスト]]</v>
      </c>
      <c r="B194" t="s">
        <v>49</v>
      </c>
    </row>
    <row r="201" spans="1:6" x14ac:dyDescent="0.15">
      <c r="B201" s="9" t="s">
        <v>655</v>
      </c>
    </row>
    <row r="202" spans="1:6" x14ac:dyDescent="0.15">
      <c r="B202" s="9" t="s">
        <v>656</v>
      </c>
      <c r="D202" s="8"/>
      <c r="E202" s="8"/>
    </row>
    <row r="203" spans="1:6" x14ac:dyDescent="0.15">
      <c r="B203" s="7">
        <v>32</v>
      </c>
    </row>
    <row r="204" spans="1:6" x14ac:dyDescent="0.15">
      <c r="B204" s="9" t="s">
        <v>657</v>
      </c>
      <c r="C204" s="9" t="s">
        <v>658</v>
      </c>
      <c r="D204" s="9" t="s">
        <v>659</v>
      </c>
    </row>
    <row r="205" spans="1:6" x14ac:dyDescent="0.15">
      <c r="B205" s="7">
        <v>5</v>
      </c>
      <c r="C205" s="7">
        <v>3</v>
      </c>
      <c r="D205" s="7">
        <v>2</v>
      </c>
    </row>
    <row r="206" spans="1:6" x14ac:dyDescent="0.15">
      <c r="B206" s="9" t="s">
        <v>660</v>
      </c>
      <c r="C206" s="9" t="s">
        <v>661</v>
      </c>
      <c r="D206" s="9" t="s">
        <v>662</v>
      </c>
      <c r="E206" s="9" t="s">
        <v>663</v>
      </c>
      <c r="F206" s="9" t="s">
        <v>664</v>
      </c>
    </row>
    <row r="207" spans="1:6" x14ac:dyDescent="0.15">
      <c r="B207" s="7">
        <v>-1</v>
      </c>
      <c r="C207" s="7">
        <v>-2</v>
      </c>
      <c r="D207" s="7">
        <v>1</v>
      </c>
      <c r="E207" s="7">
        <v>-1</v>
      </c>
      <c r="F207" s="7">
        <v>1</v>
      </c>
    </row>
  </sheetData>
  <autoFilter ref="C128:I194"/>
  <phoneticPr fontId="4"/>
  <dataValidations count="3">
    <dataValidation type="list" showInputMessage="1" showErrorMessage="1" sqref="S127">
      <formula1>",交互"</formula1>
    </dataValidation>
    <dataValidation type="list" allowBlank="1" showInputMessage="1" showErrorMessage="1" sqref="F129:F187">
      <formula1>$Q$128:$Q$140</formula1>
    </dataValidation>
    <dataValidation type="list" allowBlank="1" showInputMessage="1" showErrorMessage="1" sqref="F188:F189">
      <formula1>$Q$118:$Q$130</formula1>
    </dataValidation>
  </dataValidations>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色フィルター">
                <anchor moveWithCells="1" sizeWithCells="1">
                  <from>
                    <xdr:col>5</xdr:col>
                    <xdr:colOff>209550</xdr:colOff>
                    <xdr:row>123</xdr:row>
                    <xdr:rowOff>152400</xdr:rowOff>
                  </from>
                  <to>
                    <xdr:col>6</xdr:col>
                    <xdr:colOff>85725</xdr:colOff>
                    <xdr:row>125</xdr:row>
                    <xdr:rowOff>66675</xdr:rowOff>
                  </to>
                </anchor>
              </controlPr>
            </control>
          </mc:Choice>
        </mc:AlternateContent>
        <mc:AlternateContent xmlns:mc="http://schemas.openxmlformats.org/markup-compatibility/2006">
          <mc:Choice Requires="x14">
            <control shapeId="73730" r:id="rId5" name="Button 2">
              <controlPr defaultSize="0" print="0" autoFill="0" autoPict="0" macro="[0]!種別フィルター">
                <anchor moveWithCells="1" sizeWithCells="1">
                  <from>
                    <xdr:col>7</xdr:col>
                    <xdr:colOff>104775</xdr:colOff>
                    <xdr:row>123</xdr:row>
                    <xdr:rowOff>161925</xdr:rowOff>
                  </from>
                  <to>
                    <xdr:col>7</xdr:col>
                    <xdr:colOff>666750</xdr:colOff>
                    <xdr:row>125</xdr:row>
                    <xdr:rowOff>76200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T163"/>
  <sheetViews>
    <sheetView workbookViewId="0">
      <selection activeCell="R69" sqref="R69:T74"/>
    </sheetView>
  </sheetViews>
  <sheetFormatPr defaultColWidth="9" defaultRowHeight="13.5" x14ac:dyDescent="0.15"/>
  <cols>
    <col min="1" max="1" width="9" customWidth="1"/>
    <col min="2" max="2" width="3.5" customWidth="1"/>
    <col min="3" max="3" width="7.875" customWidth="1"/>
    <col min="4" max="4" width="5.5" customWidth="1"/>
    <col min="5" max="5" width="2" customWidth="1"/>
    <col min="7" max="7" width="2" customWidth="1"/>
    <col min="9" max="9" width="2" customWidth="1"/>
    <col min="11" max="11" width="2" customWidth="1"/>
    <col min="13" max="13" width="2" customWidth="1"/>
    <col min="15" max="15" width="2" customWidth="1"/>
  </cols>
  <sheetData>
    <row r="1" spans="1:8" x14ac:dyDescent="0.15">
      <c r="A1" t="str">
        <f>B1&amp;C1&amp;D1&amp;E1&amp;F1&amp;G1&amp;H1&amp;I1&amp;J1&amp;K1&amp;L1&amp;M1&amp;N1&amp;O1&amp;P1</f>
        <v>特別オファーで購入するか、マナクリスタルで購入する事で入手できる。</v>
      </c>
      <c r="B1" t="s">
        <v>369</v>
      </c>
    </row>
    <row r="2" spans="1:8" x14ac:dyDescent="0.15">
      <c r="A2" t="str">
        <f t="shared" ref="A2:A67" si="0">B2&amp;C2&amp;D2&amp;E2&amp;F2&amp;G2&amp;H2&amp;I2&amp;J2&amp;K2&amp;L2&amp;M2&amp;N2&amp;O2&amp;P2</f>
        <v>&amp;br;</v>
      </c>
      <c r="B2" t="s">
        <v>0</v>
      </c>
    </row>
    <row r="3" spans="1:8" x14ac:dyDescent="0.15">
      <c r="A3" t="str">
        <f t="shared" si="0"/>
        <v>#contents()</v>
      </c>
      <c r="B3" t="s">
        <v>1</v>
      </c>
    </row>
    <row r="4" spans="1:8" x14ac:dyDescent="0.15">
      <c r="A4" t="str">
        <f t="shared" si="0"/>
        <v>*HP [#f569d8c6]</v>
      </c>
      <c r="B4" t="s">
        <v>2</v>
      </c>
    </row>
    <row r="5" spans="1:8" x14ac:dyDescent="0.15">
      <c r="A5" t="str">
        <f t="shared" si="0"/>
        <v>|LEFT:50|LEFT:50|c</v>
      </c>
      <c r="B5" t="s">
        <v>3</v>
      </c>
      <c r="C5" t="s">
        <v>4</v>
      </c>
      <c r="E5" t="s">
        <v>3</v>
      </c>
      <c r="F5" t="s">
        <v>4</v>
      </c>
      <c r="G5" t="s">
        <v>3</v>
      </c>
      <c r="H5" t="s">
        <v>5</v>
      </c>
    </row>
    <row r="6" spans="1:8" x14ac:dyDescent="0.15">
      <c r="A6" t="str">
        <f t="shared" si="0"/>
        <v>|レベル|HP|</v>
      </c>
      <c r="B6" t="s">
        <v>3</v>
      </c>
      <c r="C6" t="s">
        <v>6</v>
      </c>
      <c r="E6" t="s">
        <v>3</v>
      </c>
      <c r="F6" t="s">
        <v>7</v>
      </c>
      <c r="G6" t="s">
        <v>3</v>
      </c>
    </row>
    <row r="7" spans="1:8" x14ac:dyDescent="0.15">
      <c r="A7" t="str">
        <f t="shared" si="0"/>
        <v>|Lv1|32|</v>
      </c>
      <c r="B7" t="s">
        <v>3</v>
      </c>
      <c r="C7" t="s">
        <v>8</v>
      </c>
      <c r="D7">
        <v>1</v>
      </c>
      <c r="E7" t="s">
        <v>3</v>
      </c>
      <c r="F7">
        <v>32</v>
      </c>
      <c r="G7" t="s">
        <v>3</v>
      </c>
    </row>
    <row r="8" spans="1:8" x14ac:dyDescent="0.15">
      <c r="A8" t="str">
        <f t="shared" si="0"/>
        <v>|Lv3|35|</v>
      </c>
      <c r="B8" t="s">
        <v>3</v>
      </c>
      <c r="C8" t="s">
        <v>8</v>
      </c>
      <c r="D8">
        <f>D7+2</f>
        <v>3</v>
      </c>
      <c r="E8" t="s">
        <v>3</v>
      </c>
      <c r="F8">
        <f>F7+3</f>
        <v>35</v>
      </c>
      <c r="G8" t="s">
        <v>3</v>
      </c>
    </row>
    <row r="9" spans="1:8" x14ac:dyDescent="0.15">
      <c r="A9" t="str">
        <f t="shared" si="0"/>
        <v>|Lv5|38|</v>
      </c>
      <c r="B9" t="s">
        <v>3</v>
      </c>
      <c r="C9" t="s">
        <v>8</v>
      </c>
      <c r="D9">
        <f t="shared" ref="D9:D36" si="1">D8+2</f>
        <v>5</v>
      </c>
      <c r="E9" t="s">
        <v>3</v>
      </c>
      <c r="F9">
        <f t="shared" ref="F9:F36" si="2">F8+3</f>
        <v>38</v>
      </c>
      <c r="G9" t="s">
        <v>3</v>
      </c>
    </row>
    <row r="10" spans="1:8" x14ac:dyDescent="0.15">
      <c r="A10" t="str">
        <f t="shared" si="0"/>
        <v>|Lv7|41|</v>
      </c>
      <c r="B10" t="s">
        <v>3</v>
      </c>
      <c r="C10" t="s">
        <v>8</v>
      </c>
      <c r="D10">
        <f t="shared" si="1"/>
        <v>7</v>
      </c>
      <c r="E10" t="s">
        <v>3</v>
      </c>
      <c r="F10">
        <f t="shared" si="2"/>
        <v>41</v>
      </c>
      <c r="G10" t="s">
        <v>3</v>
      </c>
    </row>
    <row r="11" spans="1:8" x14ac:dyDescent="0.15">
      <c r="A11" t="str">
        <f t="shared" si="0"/>
        <v>|Lv9|44|</v>
      </c>
      <c r="B11" t="s">
        <v>3</v>
      </c>
      <c r="C11" t="s">
        <v>8</v>
      </c>
      <c r="D11">
        <f t="shared" si="1"/>
        <v>9</v>
      </c>
      <c r="E11" t="s">
        <v>3</v>
      </c>
      <c r="F11">
        <f t="shared" si="2"/>
        <v>44</v>
      </c>
      <c r="G11" t="s">
        <v>3</v>
      </c>
    </row>
    <row r="12" spans="1:8" x14ac:dyDescent="0.15">
      <c r="A12" t="str">
        <f t="shared" si="0"/>
        <v>|Lv11|47|</v>
      </c>
      <c r="B12" t="s">
        <v>3</v>
      </c>
      <c r="C12" t="s">
        <v>8</v>
      </c>
      <c r="D12">
        <f t="shared" si="1"/>
        <v>11</v>
      </c>
      <c r="E12" t="s">
        <v>3</v>
      </c>
      <c r="F12">
        <f t="shared" si="2"/>
        <v>47</v>
      </c>
      <c r="G12" t="s">
        <v>3</v>
      </c>
    </row>
    <row r="13" spans="1:8" x14ac:dyDescent="0.15">
      <c r="A13" t="str">
        <f t="shared" si="0"/>
        <v>|Lv13|50|</v>
      </c>
      <c r="B13" t="s">
        <v>3</v>
      </c>
      <c r="C13" t="s">
        <v>8</v>
      </c>
      <c r="D13">
        <f t="shared" si="1"/>
        <v>13</v>
      </c>
      <c r="E13" t="s">
        <v>3</v>
      </c>
      <c r="F13">
        <f t="shared" si="2"/>
        <v>50</v>
      </c>
      <c r="G13" t="s">
        <v>3</v>
      </c>
    </row>
    <row r="14" spans="1:8" x14ac:dyDescent="0.15">
      <c r="A14" t="str">
        <f t="shared" si="0"/>
        <v>|Lv15|53|</v>
      </c>
      <c r="B14" t="s">
        <v>3</v>
      </c>
      <c r="C14" t="s">
        <v>8</v>
      </c>
      <c r="D14">
        <f t="shared" si="1"/>
        <v>15</v>
      </c>
      <c r="E14" t="s">
        <v>3</v>
      </c>
      <c r="F14">
        <f t="shared" si="2"/>
        <v>53</v>
      </c>
      <c r="G14" t="s">
        <v>3</v>
      </c>
    </row>
    <row r="15" spans="1:8" x14ac:dyDescent="0.15">
      <c r="A15" t="str">
        <f t="shared" si="0"/>
        <v>|Lv17|56|</v>
      </c>
      <c r="B15" t="s">
        <v>3</v>
      </c>
      <c r="C15" t="s">
        <v>8</v>
      </c>
      <c r="D15">
        <f t="shared" si="1"/>
        <v>17</v>
      </c>
      <c r="E15" t="s">
        <v>3</v>
      </c>
      <c r="F15">
        <f t="shared" si="2"/>
        <v>56</v>
      </c>
      <c r="G15" t="s">
        <v>3</v>
      </c>
    </row>
    <row r="16" spans="1:8" x14ac:dyDescent="0.15">
      <c r="A16" t="str">
        <f t="shared" si="0"/>
        <v>|Lv19|59|</v>
      </c>
      <c r="B16" t="s">
        <v>3</v>
      </c>
      <c r="C16" t="s">
        <v>8</v>
      </c>
      <c r="D16">
        <f t="shared" si="1"/>
        <v>19</v>
      </c>
      <c r="E16" t="s">
        <v>3</v>
      </c>
      <c r="F16">
        <f t="shared" si="2"/>
        <v>59</v>
      </c>
      <c r="G16" t="s">
        <v>3</v>
      </c>
    </row>
    <row r="17" spans="1:7" x14ac:dyDescent="0.15">
      <c r="A17" t="str">
        <f t="shared" si="0"/>
        <v>|Lv21|62|</v>
      </c>
      <c r="B17" t="s">
        <v>3</v>
      </c>
      <c r="C17" t="s">
        <v>8</v>
      </c>
      <c r="D17">
        <f t="shared" si="1"/>
        <v>21</v>
      </c>
      <c r="E17" t="s">
        <v>3</v>
      </c>
      <c r="F17">
        <f t="shared" si="2"/>
        <v>62</v>
      </c>
      <c r="G17" t="s">
        <v>3</v>
      </c>
    </row>
    <row r="18" spans="1:7" x14ac:dyDescent="0.15">
      <c r="A18" t="str">
        <f t="shared" si="0"/>
        <v>|Lv23|65|</v>
      </c>
      <c r="B18" t="s">
        <v>3</v>
      </c>
      <c r="C18" t="s">
        <v>8</v>
      </c>
      <c r="D18">
        <f t="shared" si="1"/>
        <v>23</v>
      </c>
      <c r="E18" t="s">
        <v>3</v>
      </c>
      <c r="F18">
        <f t="shared" si="2"/>
        <v>65</v>
      </c>
      <c r="G18" t="s">
        <v>3</v>
      </c>
    </row>
    <row r="19" spans="1:7" x14ac:dyDescent="0.15">
      <c r="A19" t="str">
        <f t="shared" si="0"/>
        <v>|Lv25|68|</v>
      </c>
      <c r="B19" t="s">
        <v>3</v>
      </c>
      <c r="C19" t="s">
        <v>8</v>
      </c>
      <c r="D19">
        <f t="shared" si="1"/>
        <v>25</v>
      </c>
      <c r="E19" t="s">
        <v>3</v>
      </c>
      <c r="F19">
        <f t="shared" si="2"/>
        <v>68</v>
      </c>
      <c r="G19" t="s">
        <v>3</v>
      </c>
    </row>
    <row r="20" spans="1:7" x14ac:dyDescent="0.15">
      <c r="A20" t="str">
        <f t="shared" si="0"/>
        <v>|Lv27|71|</v>
      </c>
      <c r="B20" t="s">
        <v>3</v>
      </c>
      <c r="C20" t="s">
        <v>8</v>
      </c>
      <c r="D20">
        <f t="shared" si="1"/>
        <v>27</v>
      </c>
      <c r="E20" t="s">
        <v>3</v>
      </c>
      <c r="F20">
        <f t="shared" si="2"/>
        <v>71</v>
      </c>
      <c r="G20" t="s">
        <v>3</v>
      </c>
    </row>
    <row r="21" spans="1:7" x14ac:dyDescent="0.15">
      <c r="A21" t="str">
        <f t="shared" si="0"/>
        <v>|Lv29|74|</v>
      </c>
      <c r="B21" t="s">
        <v>3</v>
      </c>
      <c r="C21" t="s">
        <v>8</v>
      </c>
      <c r="D21">
        <f t="shared" si="1"/>
        <v>29</v>
      </c>
      <c r="E21" t="s">
        <v>3</v>
      </c>
      <c r="F21">
        <f t="shared" si="2"/>
        <v>74</v>
      </c>
      <c r="G21" t="s">
        <v>3</v>
      </c>
    </row>
    <row r="22" spans="1:7" x14ac:dyDescent="0.15">
      <c r="A22" t="str">
        <f t="shared" si="0"/>
        <v>|Lv31|77|</v>
      </c>
      <c r="B22" t="s">
        <v>3</v>
      </c>
      <c r="C22" t="s">
        <v>8</v>
      </c>
      <c r="D22">
        <f t="shared" si="1"/>
        <v>31</v>
      </c>
      <c r="E22" t="s">
        <v>3</v>
      </c>
      <c r="F22">
        <f t="shared" si="2"/>
        <v>77</v>
      </c>
      <c r="G22" t="s">
        <v>3</v>
      </c>
    </row>
    <row r="23" spans="1:7" x14ac:dyDescent="0.15">
      <c r="A23" t="str">
        <f t="shared" si="0"/>
        <v>|Lv33|80|</v>
      </c>
      <c r="B23" t="s">
        <v>3</v>
      </c>
      <c r="C23" t="s">
        <v>8</v>
      </c>
      <c r="D23">
        <f t="shared" si="1"/>
        <v>33</v>
      </c>
      <c r="E23" t="s">
        <v>3</v>
      </c>
      <c r="F23">
        <f t="shared" si="2"/>
        <v>80</v>
      </c>
      <c r="G23" t="s">
        <v>3</v>
      </c>
    </row>
    <row r="24" spans="1:7" x14ac:dyDescent="0.15">
      <c r="A24" t="str">
        <f t="shared" si="0"/>
        <v>|Lv35|83|</v>
      </c>
      <c r="B24" t="s">
        <v>3</v>
      </c>
      <c r="C24" t="s">
        <v>8</v>
      </c>
      <c r="D24">
        <f t="shared" si="1"/>
        <v>35</v>
      </c>
      <c r="E24" t="s">
        <v>3</v>
      </c>
      <c r="F24">
        <f t="shared" si="2"/>
        <v>83</v>
      </c>
      <c r="G24" t="s">
        <v>3</v>
      </c>
    </row>
    <row r="25" spans="1:7" x14ac:dyDescent="0.15">
      <c r="A25" t="str">
        <f t="shared" si="0"/>
        <v>|Lv37|86|</v>
      </c>
      <c r="B25" t="s">
        <v>3</v>
      </c>
      <c r="C25" t="s">
        <v>8</v>
      </c>
      <c r="D25">
        <f t="shared" si="1"/>
        <v>37</v>
      </c>
      <c r="E25" t="s">
        <v>3</v>
      </c>
      <c r="F25">
        <f t="shared" si="2"/>
        <v>86</v>
      </c>
      <c r="G25" t="s">
        <v>3</v>
      </c>
    </row>
    <row r="26" spans="1:7" x14ac:dyDescent="0.15">
      <c r="A26" t="str">
        <f t="shared" si="0"/>
        <v>|Lv39|89|</v>
      </c>
      <c r="B26" t="s">
        <v>3</v>
      </c>
      <c r="C26" t="s">
        <v>8</v>
      </c>
      <c r="D26">
        <f t="shared" si="1"/>
        <v>39</v>
      </c>
      <c r="E26" t="s">
        <v>3</v>
      </c>
      <c r="F26">
        <f t="shared" si="2"/>
        <v>89</v>
      </c>
      <c r="G26" t="s">
        <v>3</v>
      </c>
    </row>
    <row r="27" spans="1:7" x14ac:dyDescent="0.15">
      <c r="A27" t="str">
        <f t="shared" si="0"/>
        <v>|Lv41|92|</v>
      </c>
      <c r="B27" t="s">
        <v>3</v>
      </c>
      <c r="C27" t="s">
        <v>8</v>
      </c>
      <c r="D27">
        <f t="shared" si="1"/>
        <v>41</v>
      </c>
      <c r="E27" t="s">
        <v>3</v>
      </c>
      <c r="F27">
        <f t="shared" si="2"/>
        <v>92</v>
      </c>
      <c r="G27" t="s">
        <v>3</v>
      </c>
    </row>
    <row r="28" spans="1:7" x14ac:dyDescent="0.15">
      <c r="A28" t="str">
        <f t="shared" si="0"/>
        <v>|Lv43|95|</v>
      </c>
      <c r="B28" t="s">
        <v>3</v>
      </c>
      <c r="C28" t="s">
        <v>8</v>
      </c>
      <c r="D28">
        <f t="shared" si="1"/>
        <v>43</v>
      </c>
      <c r="E28" t="s">
        <v>3</v>
      </c>
      <c r="F28">
        <f t="shared" si="2"/>
        <v>95</v>
      </c>
      <c r="G28" t="s">
        <v>3</v>
      </c>
    </row>
    <row r="29" spans="1:7" x14ac:dyDescent="0.15">
      <c r="A29" t="str">
        <f t="shared" si="0"/>
        <v>|Lv45|98|</v>
      </c>
      <c r="B29" t="s">
        <v>3</v>
      </c>
      <c r="C29" t="s">
        <v>8</v>
      </c>
      <c r="D29">
        <f t="shared" si="1"/>
        <v>45</v>
      </c>
      <c r="E29" t="s">
        <v>3</v>
      </c>
      <c r="F29">
        <f t="shared" si="2"/>
        <v>98</v>
      </c>
      <c r="G29" t="s">
        <v>3</v>
      </c>
    </row>
    <row r="30" spans="1:7" x14ac:dyDescent="0.15">
      <c r="A30" t="str">
        <f t="shared" si="0"/>
        <v>|Lv47|101|</v>
      </c>
      <c r="B30" t="s">
        <v>3</v>
      </c>
      <c r="C30" t="s">
        <v>8</v>
      </c>
      <c r="D30">
        <f t="shared" si="1"/>
        <v>47</v>
      </c>
      <c r="E30" t="s">
        <v>3</v>
      </c>
      <c r="F30">
        <f t="shared" si="2"/>
        <v>101</v>
      </c>
      <c r="G30" t="s">
        <v>3</v>
      </c>
    </row>
    <row r="31" spans="1:7" x14ac:dyDescent="0.15">
      <c r="A31" t="str">
        <f t="shared" si="0"/>
        <v>|Lv49|104|</v>
      </c>
      <c r="B31" t="s">
        <v>3</v>
      </c>
      <c r="C31" t="s">
        <v>8</v>
      </c>
      <c r="D31">
        <f t="shared" si="1"/>
        <v>49</v>
      </c>
      <c r="E31" t="s">
        <v>3</v>
      </c>
      <c r="F31">
        <f t="shared" si="2"/>
        <v>104</v>
      </c>
      <c r="G31" t="s">
        <v>3</v>
      </c>
    </row>
    <row r="32" spans="1:7" x14ac:dyDescent="0.15">
      <c r="A32" t="str">
        <f t="shared" si="0"/>
        <v>|Lv51|107|</v>
      </c>
      <c r="B32" t="s">
        <v>3</v>
      </c>
      <c r="C32" t="s">
        <v>8</v>
      </c>
      <c r="D32">
        <f t="shared" si="1"/>
        <v>51</v>
      </c>
      <c r="E32" t="s">
        <v>3</v>
      </c>
      <c r="F32">
        <f t="shared" si="2"/>
        <v>107</v>
      </c>
      <c r="G32" t="s">
        <v>3</v>
      </c>
    </row>
    <row r="33" spans="1:16" x14ac:dyDescent="0.15">
      <c r="A33" t="str">
        <f t="shared" si="0"/>
        <v>|Lv53|110|</v>
      </c>
      <c r="B33" t="s">
        <v>3</v>
      </c>
      <c r="C33" t="s">
        <v>8</v>
      </c>
      <c r="D33">
        <f t="shared" si="1"/>
        <v>53</v>
      </c>
      <c r="E33" t="s">
        <v>3</v>
      </c>
      <c r="F33">
        <f t="shared" si="2"/>
        <v>110</v>
      </c>
      <c r="G33" t="s">
        <v>3</v>
      </c>
    </row>
    <row r="34" spans="1:16" x14ac:dyDescent="0.15">
      <c r="A34" t="str">
        <f t="shared" si="0"/>
        <v>|Lv55|113|</v>
      </c>
      <c r="B34" t="s">
        <v>3</v>
      </c>
      <c r="C34" t="s">
        <v>8</v>
      </c>
      <c r="D34">
        <f t="shared" si="1"/>
        <v>55</v>
      </c>
      <c r="E34" t="s">
        <v>3</v>
      </c>
      <c r="F34">
        <f t="shared" si="2"/>
        <v>113</v>
      </c>
      <c r="G34" t="s">
        <v>3</v>
      </c>
    </row>
    <row r="35" spans="1:16" x14ac:dyDescent="0.15">
      <c r="A35" t="str">
        <f t="shared" si="0"/>
        <v>|Lv57|116|</v>
      </c>
      <c r="B35" t="s">
        <v>3</v>
      </c>
      <c r="C35" t="s">
        <v>8</v>
      </c>
      <c r="D35">
        <f t="shared" si="1"/>
        <v>57</v>
      </c>
      <c r="E35" t="s">
        <v>3</v>
      </c>
      <c r="F35">
        <f t="shared" si="2"/>
        <v>116</v>
      </c>
      <c r="G35" t="s">
        <v>3</v>
      </c>
    </row>
    <row r="36" spans="1:16" x14ac:dyDescent="0.15">
      <c r="A36" t="str">
        <f t="shared" si="0"/>
        <v>|Lv59|119|</v>
      </c>
      <c r="B36" t="s">
        <v>3</v>
      </c>
      <c r="C36" t="s">
        <v>8</v>
      </c>
      <c r="D36">
        <f t="shared" si="1"/>
        <v>59</v>
      </c>
      <c r="E36" t="s">
        <v>3</v>
      </c>
      <c r="F36">
        <f t="shared" si="2"/>
        <v>119</v>
      </c>
      <c r="G36" t="s">
        <v>3</v>
      </c>
    </row>
    <row r="37" spans="1:16" x14ac:dyDescent="0.15">
      <c r="A37" t="str">
        <f t="shared" si="0"/>
        <v>&amp;br;</v>
      </c>
      <c r="B37" t="s">
        <v>0</v>
      </c>
    </row>
    <row r="38" spans="1:16" x14ac:dyDescent="0.15">
      <c r="A38" t="str">
        <f t="shared" si="0"/>
        <v>&amp;br;</v>
      </c>
      <c r="B38" t="s">
        <v>0</v>
      </c>
    </row>
    <row r="39" spans="1:16" x14ac:dyDescent="0.15">
      <c r="A39" t="str">
        <f t="shared" si="0"/>
        <v>*マナボーナス [#q1a26f54]</v>
      </c>
      <c r="B39" t="s">
        <v>9</v>
      </c>
    </row>
    <row r="40" spans="1:16" x14ac:dyDescent="0.15">
      <c r="A40" t="str">
        <f t="shared" si="0"/>
        <v>|LEFT:50|LEFT:50|LEFT:50|LEFT:50|LEFT:50|LEFT:50|c</v>
      </c>
      <c r="B40" t="s">
        <v>3</v>
      </c>
      <c r="C40" t="s">
        <v>4</v>
      </c>
      <c r="E40" t="s">
        <v>3</v>
      </c>
      <c r="F40" t="s">
        <v>4</v>
      </c>
      <c r="G40" t="s">
        <v>3</v>
      </c>
      <c r="H40" t="s">
        <v>4</v>
      </c>
      <c r="I40" t="s">
        <v>3</v>
      </c>
      <c r="J40" t="s">
        <v>4</v>
      </c>
      <c r="K40" t="s">
        <v>3</v>
      </c>
      <c r="L40" t="s">
        <v>4</v>
      </c>
      <c r="M40" t="s">
        <v>3</v>
      </c>
      <c r="N40" t="s">
        <v>4</v>
      </c>
      <c r="O40" t="s">
        <v>3</v>
      </c>
      <c r="P40" t="s">
        <v>5</v>
      </c>
    </row>
    <row r="41" spans="1:16" x14ac:dyDescent="0.15">
      <c r="A41" t="str">
        <f t="shared" si="0"/>
        <v>|レベル|白|青|黒|赤|緑|</v>
      </c>
      <c r="B41" t="s">
        <v>3</v>
      </c>
      <c r="C41" t="s">
        <v>6</v>
      </c>
      <c r="E41" t="s">
        <v>3</v>
      </c>
      <c r="F41" t="s">
        <v>11</v>
      </c>
      <c r="G41" t="s">
        <v>3</v>
      </c>
      <c r="H41" t="s">
        <v>12</v>
      </c>
      <c r="I41" t="s">
        <v>3</v>
      </c>
      <c r="J41" t="s">
        <v>13</v>
      </c>
      <c r="K41" t="s">
        <v>3</v>
      </c>
      <c r="L41" t="s">
        <v>14</v>
      </c>
      <c r="M41" t="s">
        <v>3</v>
      </c>
      <c r="N41" t="s">
        <v>15</v>
      </c>
      <c r="O41" t="s">
        <v>3</v>
      </c>
    </row>
    <row r="42" spans="1:16" x14ac:dyDescent="0.15">
      <c r="A42" t="str">
        <f t="shared" si="0"/>
        <v>|Lv1|1|-1|-1|1|-1|</v>
      </c>
      <c r="B42" t="s">
        <v>3</v>
      </c>
      <c r="C42" t="s">
        <v>8</v>
      </c>
      <c r="D42">
        <v>1</v>
      </c>
      <c r="E42" t="s">
        <v>3</v>
      </c>
      <c r="F42">
        <v>1</v>
      </c>
      <c r="G42" t="s">
        <v>3</v>
      </c>
      <c r="H42">
        <v>-1</v>
      </c>
      <c r="I42" t="s">
        <v>3</v>
      </c>
      <c r="J42">
        <v>-1</v>
      </c>
      <c r="K42" t="s">
        <v>3</v>
      </c>
      <c r="L42">
        <v>1</v>
      </c>
      <c r="M42" t="s">
        <v>3</v>
      </c>
      <c r="N42">
        <v>-1</v>
      </c>
      <c r="O42" t="s">
        <v>3</v>
      </c>
    </row>
    <row r="43" spans="1:16" x14ac:dyDescent="0.15">
      <c r="A43" t="str">
        <f t="shared" ref="A43:A48" si="3">B43&amp;C43&amp;D43&amp;E43&amp;F43&amp;G43&amp;H43&amp;I43&amp;J43&amp;K43&amp;L43&amp;M43&amp;N43&amp;O43&amp;P43</f>
        <v>|Lv4|2|-1|-1|1|-1|</v>
      </c>
      <c r="B43" t="s">
        <v>3</v>
      </c>
      <c r="C43" t="s">
        <v>8</v>
      </c>
      <c r="D43">
        <v>4</v>
      </c>
      <c r="E43" t="s">
        <v>3</v>
      </c>
      <c r="F43">
        <v>2</v>
      </c>
      <c r="G43" t="s">
        <v>3</v>
      </c>
      <c r="H43">
        <v>-1</v>
      </c>
      <c r="I43" t="s">
        <v>3</v>
      </c>
      <c r="J43">
        <v>-1</v>
      </c>
      <c r="K43" t="s">
        <v>3</v>
      </c>
      <c r="L43">
        <v>1</v>
      </c>
      <c r="M43" t="s">
        <v>3</v>
      </c>
      <c r="N43">
        <v>-1</v>
      </c>
      <c r="O43" t="s">
        <v>3</v>
      </c>
    </row>
    <row r="44" spans="1:16" x14ac:dyDescent="0.15">
      <c r="A44" t="str">
        <f t="shared" si="3"/>
        <v>|Lv10|2|-1|-1|2|-1|</v>
      </c>
      <c r="B44" t="s">
        <v>3</v>
      </c>
      <c r="C44" t="s">
        <v>8</v>
      </c>
      <c r="D44">
        <v>10</v>
      </c>
      <c r="E44" t="s">
        <v>3</v>
      </c>
      <c r="F44">
        <v>2</v>
      </c>
      <c r="G44" t="s">
        <v>3</v>
      </c>
      <c r="H44">
        <v>-1</v>
      </c>
      <c r="I44" t="s">
        <v>3</v>
      </c>
      <c r="J44">
        <v>-1</v>
      </c>
      <c r="K44" t="s">
        <v>3</v>
      </c>
      <c r="L44">
        <v>2</v>
      </c>
      <c r="M44" t="s">
        <v>3</v>
      </c>
      <c r="N44">
        <v>-1</v>
      </c>
      <c r="O44" t="s">
        <v>3</v>
      </c>
    </row>
    <row r="45" spans="1:16" x14ac:dyDescent="0.15">
      <c r="A45" t="str">
        <f t="shared" si="3"/>
        <v>|Lv16|2|-1|-1|2|0|</v>
      </c>
      <c r="B45" t="s">
        <v>3</v>
      </c>
      <c r="C45" t="s">
        <v>8</v>
      </c>
      <c r="D45">
        <v>16</v>
      </c>
      <c r="E45" t="s">
        <v>3</v>
      </c>
      <c r="F45">
        <v>2</v>
      </c>
      <c r="G45" t="s">
        <v>3</v>
      </c>
      <c r="H45">
        <v>-1</v>
      </c>
      <c r="I45" t="s">
        <v>3</v>
      </c>
      <c r="J45">
        <v>-1</v>
      </c>
      <c r="K45" t="s">
        <v>3</v>
      </c>
      <c r="L45">
        <v>2</v>
      </c>
      <c r="M45" t="s">
        <v>3</v>
      </c>
      <c r="N45">
        <v>0</v>
      </c>
      <c r="O45" t="s">
        <v>3</v>
      </c>
    </row>
    <row r="46" spans="1:16" x14ac:dyDescent="0.15">
      <c r="A46" t="str">
        <f t="shared" si="3"/>
        <v>|Lv22|2|-1|0|2|0|</v>
      </c>
      <c r="B46" t="s">
        <v>3</v>
      </c>
      <c r="C46" t="s">
        <v>8</v>
      </c>
      <c r="D46">
        <v>22</v>
      </c>
      <c r="E46" t="s">
        <v>3</v>
      </c>
      <c r="F46">
        <v>2</v>
      </c>
      <c r="G46" t="s">
        <v>3</v>
      </c>
      <c r="H46">
        <v>-1</v>
      </c>
      <c r="I46" t="s">
        <v>3</v>
      </c>
      <c r="J46">
        <v>0</v>
      </c>
      <c r="K46" t="s">
        <v>3</v>
      </c>
      <c r="L46">
        <v>2</v>
      </c>
      <c r="M46" t="s">
        <v>3</v>
      </c>
      <c r="N46">
        <v>0</v>
      </c>
      <c r="O46" t="s">
        <v>3</v>
      </c>
    </row>
    <row r="47" spans="1:16" x14ac:dyDescent="0.15">
      <c r="A47" t="str">
        <f t="shared" si="3"/>
        <v>|Lv28|2|0|0|2|0|</v>
      </c>
      <c r="B47" t="s">
        <v>3</v>
      </c>
      <c r="C47" t="s">
        <v>8</v>
      </c>
      <c r="D47">
        <v>28</v>
      </c>
      <c r="E47" t="s">
        <v>3</v>
      </c>
      <c r="F47">
        <v>2</v>
      </c>
      <c r="G47" t="s">
        <v>3</v>
      </c>
      <c r="H47">
        <v>0</v>
      </c>
      <c r="I47" t="s">
        <v>3</v>
      </c>
      <c r="J47">
        <v>0</v>
      </c>
      <c r="K47" t="s">
        <v>3</v>
      </c>
      <c r="L47">
        <v>2</v>
      </c>
      <c r="M47" t="s">
        <v>3</v>
      </c>
      <c r="N47">
        <v>0</v>
      </c>
      <c r="O47" t="s">
        <v>3</v>
      </c>
    </row>
    <row r="48" spans="1:16" x14ac:dyDescent="0.15">
      <c r="A48" t="str">
        <f t="shared" si="3"/>
        <v>|Lv34|3|0|0|2|0|</v>
      </c>
      <c r="B48" t="s">
        <v>3</v>
      </c>
      <c r="C48" t="s">
        <v>8</v>
      </c>
      <c r="D48">
        <v>34</v>
      </c>
      <c r="E48" t="s">
        <v>3</v>
      </c>
      <c r="F48">
        <v>3</v>
      </c>
      <c r="G48" t="s">
        <v>3</v>
      </c>
      <c r="H48">
        <v>0</v>
      </c>
      <c r="I48" t="s">
        <v>3</v>
      </c>
      <c r="J48">
        <v>0</v>
      </c>
      <c r="K48" t="s">
        <v>3</v>
      </c>
      <c r="L48">
        <v>2</v>
      </c>
      <c r="M48" t="s">
        <v>3</v>
      </c>
      <c r="N48">
        <v>0</v>
      </c>
      <c r="O48" t="s">
        <v>3</v>
      </c>
    </row>
    <row r="49" spans="1:15" x14ac:dyDescent="0.15">
      <c r="A49" t="str">
        <f t="shared" si="0"/>
        <v>|Lv42|3|0|0|2|1|</v>
      </c>
      <c r="B49" t="s">
        <v>3</v>
      </c>
      <c r="C49" t="s">
        <v>8</v>
      </c>
      <c r="D49">
        <v>42</v>
      </c>
      <c r="E49" t="s">
        <v>3</v>
      </c>
      <c r="F49">
        <v>3</v>
      </c>
      <c r="G49" t="s">
        <v>3</v>
      </c>
      <c r="H49">
        <v>0</v>
      </c>
      <c r="I49" t="s">
        <v>3</v>
      </c>
      <c r="J49">
        <v>0</v>
      </c>
      <c r="K49" t="s">
        <v>3</v>
      </c>
      <c r="L49">
        <v>2</v>
      </c>
      <c r="M49" t="s">
        <v>3</v>
      </c>
      <c r="N49">
        <v>1</v>
      </c>
      <c r="O49" t="s">
        <v>3</v>
      </c>
    </row>
    <row r="50" spans="1:15" x14ac:dyDescent="0.15">
      <c r="A50" t="str">
        <f t="shared" si="0"/>
        <v>|Lv48|3|1|0|2|1|</v>
      </c>
      <c r="B50" t="s">
        <v>3</v>
      </c>
      <c r="C50" t="s">
        <v>8</v>
      </c>
      <c r="D50">
        <v>48</v>
      </c>
      <c r="E50" t="s">
        <v>3</v>
      </c>
      <c r="F50">
        <v>3</v>
      </c>
      <c r="G50" t="s">
        <v>3</v>
      </c>
      <c r="H50">
        <v>1</v>
      </c>
      <c r="I50" t="s">
        <v>3</v>
      </c>
      <c r="J50">
        <v>0</v>
      </c>
      <c r="K50" t="s">
        <v>3</v>
      </c>
      <c r="L50">
        <v>2</v>
      </c>
      <c r="M50" t="s">
        <v>3</v>
      </c>
      <c r="N50">
        <v>1</v>
      </c>
      <c r="O50" t="s">
        <v>3</v>
      </c>
    </row>
    <row r="51" spans="1:15" x14ac:dyDescent="0.15">
      <c r="A51" t="str">
        <f t="shared" si="0"/>
        <v>|Lv54|3|1|0|2|2|</v>
      </c>
      <c r="B51" t="s">
        <v>3</v>
      </c>
      <c r="C51" t="s">
        <v>8</v>
      </c>
      <c r="D51">
        <v>54</v>
      </c>
      <c r="E51" t="s">
        <v>3</v>
      </c>
      <c r="F51">
        <v>3</v>
      </c>
      <c r="G51" t="s">
        <v>3</v>
      </c>
      <c r="H51">
        <v>1</v>
      </c>
      <c r="I51" t="s">
        <v>3</v>
      </c>
      <c r="J51">
        <v>0</v>
      </c>
      <c r="K51" t="s">
        <v>3</v>
      </c>
      <c r="L51">
        <v>2</v>
      </c>
      <c r="M51" t="s">
        <v>3</v>
      </c>
      <c r="N51">
        <v>2</v>
      </c>
      <c r="O51" t="s">
        <v>3</v>
      </c>
    </row>
    <row r="52" spans="1:15" x14ac:dyDescent="0.15">
      <c r="A52" t="str">
        <f t="shared" si="0"/>
        <v>&amp;br;</v>
      </c>
      <c r="B52" t="s">
        <v>0</v>
      </c>
    </row>
    <row r="53" spans="1:15" x14ac:dyDescent="0.15">
      <c r="A53" t="str">
        <f t="shared" si="0"/>
        <v>&amp;br;</v>
      </c>
      <c r="B53" t="s">
        <v>0</v>
      </c>
    </row>
    <row r="54" spans="1:15" x14ac:dyDescent="0.15">
      <c r="A54" t="str">
        <f t="shared" si="0"/>
        <v>*デッキ構築枚数上限 [#e6f382eb]</v>
      </c>
      <c r="B54" t="s">
        <v>16</v>
      </c>
    </row>
    <row r="55" spans="1:15" x14ac:dyDescent="0.15">
      <c r="A55" t="str">
        <f t="shared" si="0"/>
        <v>構築枚数上限を越える枚数はデッキに入れられない。</v>
      </c>
      <c r="B55" t="s">
        <v>17</v>
      </c>
    </row>
    <row r="56" spans="1:15" x14ac:dyDescent="0.15">
      <c r="A56" t="str">
        <f t="shared" si="0"/>
        <v>|LEFT:50|LEFT:80|LEFT:80|LEFT:80|c</v>
      </c>
      <c r="B56" t="s">
        <v>3</v>
      </c>
      <c r="C56" t="s">
        <v>4</v>
      </c>
      <c r="E56" t="s">
        <v>3</v>
      </c>
      <c r="F56" t="s">
        <v>18</v>
      </c>
      <c r="G56" t="s">
        <v>3</v>
      </c>
      <c r="H56" t="s">
        <v>18</v>
      </c>
      <c r="I56" t="s">
        <v>3</v>
      </c>
      <c r="J56" t="s">
        <v>18</v>
      </c>
      <c r="K56" t="s">
        <v>3</v>
      </c>
      <c r="L56" t="s">
        <v>5</v>
      </c>
    </row>
    <row r="57" spans="1:15" x14ac:dyDescent="0.15">
      <c r="A57" t="str">
        <f t="shared" si="0"/>
        <v>|レベル|クリーチャー|呪文|サポート|</v>
      </c>
      <c r="B57" t="s">
        <v>3</v>
      </c>
      <c r="C57" t="s">
        <v>6</v>
      </c>
      <c r="E57" t="s">
        <v>3</v>
      </c>
      <c r="F57" t="s">
        <v>20</v>
      </c>
      <c r="G57" t="s">
        <v>3</v>
      </c>
      <c r="H57" t="s">
        <v>21</v>
      </c>
      <c r="I57" t="s">
        <v>3</v>
      </c>
      <c r="J57" t="s">
        <v>22</v>
      </c>
      <c r="K57" t="s">
        <v>3</v>
      </c>
    </row>
    <row r="58" spans="1:15" x14ac:dyDescent="0.15">
      <c r="A58" t="str">
        <f t="shared" si="0"/>
        <v>|Lv1|6|3|2|</v>
      </c>
      <c r="B58" t="s">
        <v>3</v>
      </c>
      <c r="C58" t="s">
        <v>8</v>
      </c>
      <c r="D58">
        <v>1</v>
      </c>
      <c r="E58" t="s">
        <v>3</v>
      </c>
      <c r="F58">
        <v>6</v>
      </c>
      <c r="G58" t="s">
        <v>3</v>
      </c>
      <c r="H58">
        <v>3</v>
      </c>
      <c r="I58" t="s">
        <v>3</v>
      </c>
      <c r="J58">
        <v>2</v>
      </c>
      <c r="K58" t="s">
        <v>3</v>
      </c>
    </row>
    <row r="59" spans="1:15" x14ac:dyDescent="0.15">
      <c r="A59" t="str">
        <f t="shared" si="0"/>
        <v>|Lv2|7|3|2|</v>
      </c>
      <c r="B59" t="s">
        <v>3</v>
      </c>
      <c r="C59" t="s">
        <v>8</v>
      </c>
      <c r="D59">
        <v>2</v>
      </c>
      <c r="E59" t="s">
        <v>3</v>
      </c>
      <c r="F59">
        <v>7</v>
      </c>
      <c r="G59" t="s">
        <v>3</v>
      </c>
      <c r="H59">
        <v>3</v>
      </c>
      <c r="I59" t="s">
        <v>3</v>
      </c>
      <c r="J59">
        <v>2</v>
      </c>
      <c r="K59" t="s">
        <v>3</v>
      </c>
    </row>
    <row r="60" spans="1:15" x14ac:dyDescent="0.15">
      <c r="A60" t="str">
        <f>B60&amp;C60&amp;D60&amp;E60&amp;F60&amp;G60&amp;H60&amp;I60&amp;J60&amp;K60&amp;L60&amp;M60&amp;N60&amp;O60&amp;P60</f>
        <v>|Lv8|7|3|4|</v>
      </c>
      <c r="B60" t="s">
        <v>3</v>
      </c>
      <c r="C60" t="s">
        <v>8</v>
      </c>
      <c r="D60">
        <v>8</v>
      </c>
      <c r="E60" t="s">
        <v>3</v>
      </c>
      <c r="F60">
        <v>7</v>
      </c>
      <c r="G60" t="s">
        <v>3</v>
      </c>
      <c r="H60">
        <v>3</v>
      </c>
      <c r="I60" t="s">
        <v>3</v>
      </c>
      <c r="J60">
        <v>4</v>
      </c>
      <c r="K60" t="s">
        <v>3</v>
      </c>
    </row>
    <row r="61" spans="1:15" x14ac:dyDescent="0.15">
      <c r="A61" t="str">
        <f>B61&amp;C61&amp;D61&amp;E61&amp;F61&amp;G61&amp;H61&amp;I61&amp;J61&amp;K61&amp;L61&amp;M61&amp;N61&amp;O61&amp;P61</f>
        <v>|Lv14|7|5|4|</v>
      </c>
      <c r="B61" t="s">
        <v>3</v>
      </c>
      <c r="C61" t="s">
        <v>8</v>
      </c>
      <c r="D61">
        <v>14</v>
      </c>
      <c r="E61" t="s">
        <v>3</v>
      </c>
      <c r="F61">
        <v>7</v>
      </c>
      <c r="G61" t="s">
        <v>3</v>
      </c>
      <c r="H61">
        <v>5</v>
      </c>
      <c r="I61" t="s">
        <v>3</v>
      </c>
      <c r="J61">
        <v>4</v>
      </c>
      <c r="K61" t="s">
        <v>3</v>
      </c>
    </row>
    <row r="62" spans="1:15" x14ac:dyDescent="0.15">
      <c r="A62" t="str">
        <f>B62&amp;C62&amp;D62&amp;E62&amp;F62&amp;G62&amp;H62&amp;I62&amp;J62&amp;K62&amp;L62&amp;M62&amp;N62&amp;O62&amp;P62</f>
        <v>|Lv26|8|5|4|</v>
      </c>
      <c r="B62" t="s">
        <v>3</v>
      </c>
      <c r="C62" t="s">
        <v>8</v>
      </c>
      <c r="D62">
        <v>26</v>
      </c>
      <c r="E62" t="s">
        <v>3</v>
      </c>
      <c r="F62">
        <v>8</v>
      </c>
      <c r="G62" t="s">
        <v>3</v>
      </c>
      <c r="H62">
        <v>5</v>
      </c>
      <c r="I62" t="s">
        <v>3</v>
      </c>
      <c r="J62">
        <v>4</v>
      </c>
      <c r="K62" t="s">
        <v>3</v>
      </c>
    </row>
    <row r="63" spans="1:15" x14ac:dyDescent="0.15">
      <c r="A63" t="str">
        <f>B63&amp;C63&amp;D63&amp;E63&amp;F63&amp;G63&amp;H63&amp;I63&amp;J63&amp;K63&amp;L63&amp;M63&amp;N63&amp;O63&amp;P63</f>
        <v>|Lv32|8|5|5|</v>
      </c>
      <c r="B63" t="s">
        <v>3</v>
      </c>
      <c r="C63" t="s">
        <v>8</v>
      </c>
      <c r="D63">
        <v>32</v>
      </c>
      <c r="E63" t="s">
        <v>3</v>
      </c>
      <c r="F63">
        <v>8</v>
      </c>
      <c r="G63" t="s">
        <v>3</v>
      </c>
      <c r="H63">
        <v>5</v>
      </c>
      <c r="I63" t="s">
        <v>3</v>
      </c>
      <c r="J63">
        <v>5</v>
      </c>
      <c r="K63" t="s">
        <v>3</v>
      </c>
    </row>
    <row r="64" spans="1:15" x14ac:dyDescent="0.15">
      <c r="A64" t="str">
        <f>B64&amp;C64&amp;D64&amp;E64&amp;F64&amp;G64&amp;H64&amp;I64&amp;J64&amp;K64&amp;L64&amp;M64&amp;N64&amp;O64&amp;P64</f>
        <v>|Lv38|8|6|5|</v>
      </c>
      <c r="B64" t="s">
        <v>3</v>
      </c>
      <c r="C64" t="s">
        <v>8</v>
      </c>
      <c r="D64">
        <v>38</v>
      </c>
      <c r="E64" t="s">
        <v>3</v>
      </c>
      <c r="F64">
        <v>8</v>
      </c>
      <c r="G64" t="s">
        <v>3</v>
      </c>
      <c r="H64">
        <v>6</v>
      </c>
      <c r="I64" t="s">
        <v>3</v>
      </c>
      <c r="J64">
        <v>5</v>
      </c>
      <c r="K64" t="s">
        <v>3</v>
      </c>
    </row>
    <row r="65" spans="1:20" x14ac:dyDescent="0.15">
      <c r="A65" t="str">
        <f t="shared" si="0"/>
        <v>|Lv50|9|6|5|</v>
      </c>
      <c r="B65" t="s">
        <v>3</v>
      </c>
      <c r="C65" t="s">
        <v>8</v>
      </c>
      <c r="D65">
        <v>50</v>
      </c>
      <c r="E65" t="s">
        <v>3</v>
      </c>
      <c r="F65">
        <v>9</v>
      </c>
      <c r="G65" t="s">
        <v>3</v>
      </c>
      <c r="H65">
        <v>6</v>
      </c>
      <c r="I65" t="s">
        <v>3</v>
      </c>
      <c r="J65">
        <v>5</v>
      </c>
      <c r="K65" t="s">
        <v>3</v>
      </c>
    </row>
    <row r="66" spans="1:20" x14ac:dyDescent="0.15">
      <c r="A66" t="str">
        <f t="shared" si="0"/>
        <v>&amp;br;</v>
      </c>
      <c r="B66" t="s">
        <v>0</v>
      </c>
    </row>
    <row r="67" spans="1:20" x14ac:dyDescent="0.15">
      <c r="A67" t="str">
        <f t="shared" si="0"/>
        <v>&amp;br;</v>
      </c>
      <c r="B67" t="s">
        <v>0</v>
      </c>
    </row>
    <row r="68" spans="1:20" x14ac:dyDescent="0.15">
      <c r="A68" t="str">
        <f t="shared" ref="A68:A128" si="4">B68&amp;C68&amp;D68&amp;E68&amp;F68&amp;G68&amp;H68&amp;I68&amp;J68&amp;K68&amp;L68&amp;M68&amp;N68&amp;O68&amp;P68</f>
        <v>*PW能力一覧 [#a469e89f]</v>
      </c>
      <c r="B68" t="s">
        <v>23</v>
      </c>
    </row>
    <row r="69" spans="1:20" x14ac:dyDescent="0.15">
      <c r="A69" t="str">
        <f t="shared" si="4"/>
        <v>**第1能力：隔離する一撃/Sundering Slash [#qad5ae1f]</v>
      </c>
      <c r="B69" t="s">
        <v>526</v>
      </c>
      <c r="R69" t="str">
        <f>D69&amp;E69&amp;F69</f>
        <v/>
      </c>
      <c r="S69" t="s">
        <v>3</v>
      </c>
      <c r="T69">
        <f>H75</f>
        <v>6</v>
      </c>
    </row>
    <row r="70" spans="1:20" x14ac:dyDescent="0.15">
      <c r="A70" t="str">
        <f t="shared" si="4"/>
        <v>|LEFT:50|LEFT:50|LEFT:50|LEFT:300|c</v>
      </c>
      <c r="B70" t="s">
        <v>3</v>
      </c>
      <c r="C70" t="s">
        <v>4</v>
      </c>
      <c r="E70" t="s">
        <v>3</v>
      </c>
      <c r="F70" t="s">
        <v>4</v>
      </c>
      <c r="G70" t="s">
        <v>3</v>
      </c>
      <c r="H70" t="s">
        <v>4</v>
      </c>
      <c r="I70" t="s">
        <v>3</v>
      </c>
      <c r="J70" t="s">
        <v>26</v>
      </c>
      <c r="K70" t="s">
        <v>3</v>
      </c>
      <c r="L70" t="s">
        <v>5</v>
      </c>
      <c r="R70" t="s">
        <v>209</v>
      </c>
      <c r="S70" t="s">
        <v>3</v>
      </c>
      <c r="T70" t="str">
        <f>J75</f>
        <v>クリーチャー1体を対象とする。あなたの次のターン開始時まで、それを無効化する。</v>
      </c>
    </row>
    <row r="71" spans="1:20" x14ac:dyDescent="0.15">
      <c r="A71" t="str">
        <f t="shared" si="4"/>
        <v>|解放Lv|レベル|コスト|効果|</v>
      </c>
      <c r="B71" t="s">
        <v>3</v>
      </c>
      <c r="C71" t="s">
        <v>27</v>
      </c>
      <c r="E71" t="s">
        <v>3</v>
      </c>
      <c r="F71" t="s">
        <v>6</v>
      </c>
      <c r="G71" t="s">
        <v>3</v>
      </c>
      <c r="H71" t="s">
        <v>28</v>
      </c>
      <c r="I71" t="s">
        <v>3</v>
      </c>
      <c r="J71" t="s">
        <v>29</v>
      </c>
      <c r="K71" t="s">
        <v>3</v>
      </c>
      <c r="R71" t="str">
        <f>D78&amp;E78&amp;F78</f>
        <v/>
      </c>
      <c r="S71" t="s">
        <v>3</v>
      </c>
      <c r="T71">
        <f>H84</f>
        <v>12</v>
      </c>
    </row>
    <row r="72" spans="1:20" x14ac:dyDescent="0.15">
      <c r="A72" t="str">
        <f t="shared" si="4"/>
        <v>|Lv6|Lv1|9|ディフェンダー、到達または警戒を持つクリーチャー1体を対象とする。あなたのターン終了時まで、それを無効化する。|</v>
      </c>
      <c r="B72" t="s">
        <v>3</v>
      </c>
      <c r="C72" t="s">
        <v>8</v>
      </c>
      <c r="D72">
        <v>6</v>
      </c>
      <c r="E72" t="s">
        <v>3</v>
      </c>
      <c r="F72" t="s">
        <v>30</v>
      </c>
      <c r="G72" t="s">
        <v>3</v>
      </c>
      <c r="H72">
        <v>9</v>
      </c>
      <c r="I72" t="s">
        <v>3</v>
      </c>
      <c r="J72" t="s">
        <v>527</v>
      </c>
      <c r="K72" t="s">
        <v>3</v>
      </c>
      <c r="R72" t="s">
        <v>209</v>
      </c>
      <c r="S72" t="s">
        <v>3</v>
      </c>
      <c r="T72" t="str">
        <f>J84</f>
        <v>クリーチャー1体を対象とし、それに6点のダメージを与え、6点のライフを得る。</v>
      </c>
    </row>
    <row r="73" spans="1:20" x14ac:dyDescent="0.15">
      <c r="A73" t="str">
        <f t="shared" si="4"/>
        <v>|Lv24|Lv2|9|ディフェンダー、到達または警戒を持つクリーチャー1体を対象とする。あなたの次のターン開始時まで、それを無効化する。|</v>
      </c>
      <c r="B73" t="s">
        <v>3</v>
      </c>
      <c r="C73" t="s">
        <v>8</v>
      </c>
      <c r="D73">
        <v>24</v>
      </c>
      <c r="E73" t="s">
        <v>3</v>
      </c>
      <c r="F73" t="s">
        <v>31</v>
      </c>
      <c r="G73" t="s">
        <v>3</v>
      </c>
      <c r="H73">
        <v>9</v>
      </c>
      <c r="I73" t="s">
        <v>3</v>
      </c>
      <c r="J73" t="s">
        <v>528</v>
      </c>
      <c r="K73" t="s">
        <v>3</v>
      </c>
      <c r="R73" t="str">
        <f>D87&amp;E87&amp;F87</f>
        <v/>
      </c>
      <c r="S73" t="s">
        <v>3</v>
      </c>
      <c r="T73">
        <f>H93</f>
        <v>18</v>
      </c>
    </row>
    <row r="74" spans="1:20" x14ac:dyDescent="0.15">
      <c r="A74" t="str">
        <f t="shared" si="4"/>
        <v>|Lv40|Lv3|9|クリーチャー1体を対象とする。あなたの次のターン開始時まで、それを無効化する。|</v>
      </c>
      <c r="B74" t="s">
        <v>3</v>
      </c>
      <c r="C74" t="s">
        <v>8</v>
      </c>
      <c r="D74">
        <v>40</v>
      </c>
      <c r="E74" t="s">
        <v>3</v>
      </c>
      <c r="F74" t="s">
        <v>32</v>
      </c>
      <c r="G74" t="s">
        <v>3</v>
      </c>
      <c r="H74">
        <v>9</v>
      </c>
      <c r="I74" t="s">
        <v>3</v>
      </c>
      <c r="J74" t="s">
        <v>529</v>
      </c>
      <c r="K74" t="s">
        <v>3</v>
      </c>
      <c r="R74" t="s">
        <v>209</v>
      </c>
      <c r="S74" t="s">
        <v>3</v>
      </c>
      <c r="T74" t="str">
        <f>J93</f>
        <v>対戦相手の色のジェムを優先して18個破壊する。</v>
      </c>
    </row>
    <row r="75" spans="1:20" x14ac:dyDescent="0.15">
      <c r="A75" t="str">
        <f t="shared" si="4"/>
        <v>|Lv56|Lv4|6|クリーチャー1体を対象とする。あなたの次のターン開始時まで、それを無効化する。|</v>
      </c>
      <c r="B75" t="s">
        <v>3</v>
      </c>
      <c r="C75" t="s">
        <v>8</v>
      </c>
      <c r="D75">
        <v>56</v>
      </c>
      <c r="E75" t="s">
        <v>3</v>
      </c>
      <c r="F75" t="s">
        <v>33</v>
      </c>
      <c r="G75" t="s">
        <v>3</v>
      </c>
      <c r="H75">
        <v>6</v>
      </c>
      <c r="I75" t="s">
        <v>3</v>
      </c>
      <c r="J75" t="s">
        <v>529</v>
      </c>
      <c r="K75" t="s">
        <v>3</v>
      </c>
    </row>
    <row r="76" spans="1:20" x14ac:dyDescent="0.15">
      <c r="A76" t="str">
        <f t="shared" si="4"/>
        <v>&amp;br;</v>
      </c>
      <c r="B76" t="s">
        <v>0</v>
      </c>
    </row>
    <row r="77" spans="1:20" x14ac:dyDescent="0.15">
      <c r="A77" t="str">
        <f t="shared" si="4"/>
        <v>&amp;br;</v>
      </c>
      <c r="B77" t="s">
        <v>0</v>
      </c>
    </row>
    <row r="78" spans="1:20" x14ac:dyDescent="0.15">
      <c r="A78" t="str">
        <f t="shared" si="4"/>
        <v>**第2能力：稲妻のらせん/Lightning Helix [#v5af73a1]</v>
      </c>
      <c r="B78" t="s">
        <v>530</v>
      </c>
    </row>
    <row r="79" spans="1:20" x14ac:dyDescent="0.15">
      <c r="A79" t="str">
        <f t="shared" si="4"/>
        <v>|LEFT:50|LEFT:50|LEFT:50|LEFT:300|c</v>
      </c>
      <c r="B79" t="s">
        <v>3</v>
      </c>
      <c r="C79" t="s">
        <v>4</v>
      </c>
      <c r="E79" t="s">
        <v>3</v>
      </c>
      <c r="F79" t="s">
        <v>4</v>
      </c>
      <c r="G79" t="s">
        <v>3</v>
      </c>
      <c r="H79" t="s">
        <v>4</v>
      </c>
      <c r="I79" t="s">
        <v>3</v>
      </c>
      <c r="J79" t="s">
        <v>26</v>
      </c>
      <c r="K79" t="s">
        <v>3</v>
      </c>
      <c r="L79" t="s">
        <v>5</v>
      </c>
    </row>
    <row r="80" spans="1:20" x14ac:dyDescent="0.15">
      <c r="A80" t="str">
        <f t="shared" si="4"/>
        <v>|解放Lv|レベル|コスト|効果|</v>
      </c>
      <c r="B80" t="s">
        <v>3</v>
      </c>
      <c r="C80" t="s">
        <v>27</v>
      </c>
      <c r="E80" t="s">
        <v>3</v>
      </c>
      <c r="F80" t="s">
        <v>6</v>
      </c>
      <c r="G80" t="s">
        <v>3</v>
      </c>
      <c r="H80" t="s">
        <v>28</v>
      </c>
      <c r="I80" t="s">
        <v>3</v>
      </c>
      <c r="J80" t="s">
        <v>29</v>
      </c>
      <c r="K80" t="s">
        <v>3</v>
      </c>
    </row>
    <row r="81" spans="1:12" x14ac:dyDescent="0.15">
      <c r="A81" t="str">
        <f t="shared" si="4"/>
        <v>|Lv12|Lv1|12|クリーチャー1体を対象とし、それに3点のダメージを与え、3点のライフを得る。|</v>
      </c>
      <c r="B81" t="s">
        <v>3</v>
      </c>
      <c r="C81" t="s">
        <v>8</v>
      </c>
      <c r="D81">
        <v>12</v>
      </c>
      <c r="E81" t="s">
        <v>3</v>
      </c>
      <c r="F81" t="s">
        <v>30</v>
      </c>
      <c r="G81" t="s">
        <v>3</v>
      </c>
      <c r="H81">
        <v>12</v>
      </c>
      <c r="I81" t="s">
        <v>3</v>
      </c>
      <c r="J81" t="s">
        <v>531</v>
      </c>
      <c r="K81" t="s">
        <v>3</v>
      </c>
    </row>
    <row r="82" spans="1:12" x14ac:dyDescent="0.15">
      <c r="A82" t="str">
        <f t="shared" si="4"/>
        <v>|Lv30|Lv2|12|クリーチャー1体を対象とし、それに4点のダメージを与え、4点のライフを得る。|</v>
      </c>
      <c r="B82" t="s">
        <v>3</v>
      </c>
      <c r="C82" t="s">
        <v>8</v>
      </c>
      <c r="D82">
        <v>30</v>
      </c>
      <c r="E82" t="s">
        <v>3</v>
      </c>
      <c r="F82" t="s">
        <v>31</v>
      </c>
      <c r="G82" t="s">
        <v>3</v>
      </c>
      <c r="H82">
        <v>12</v>
      </c>
      <c r="I82" t="s">
        <v>3</v>
      </c>
      <c r="J82" t="s">
        <v>532</v>
      </c>
      <c r="K82" t="s">
        <v>3</v>
      </c>
    </row>
    <row r="83" spans="1:12" x14ac:dyDescent="0.15">
      <c r="A83" t="str">
        <f t="shared" si="4"/>
        <v>|Lv46|Lv3|12|クリーチャー1体を対象とし、それに5点のダメージを与え、5点のライフを得る。|</v>
      </c>
      <c r="B83" t="s">
        <v>3</v>
      </c>
      <c r="C83" t="s">
        <v>8</v>
      </c>
      <c r="D83">
        <v>46</v>
      </c>
      <c r="E83" t="s">
        <v>3</v>
      </c>
      <c r="F83" t="s">
        <v>32</v>
      </c>
      <c r="G83" t="s">
        <v>3</v>
      </c>
      <c r="H83">
        <v>12</v>
      </c>
      <c r="I83" t="s">
        <v>3</v>
      </c>
      <c r="J83" t="s">
        <v>533</v>
      </c>
      <c r="K83" t="s">
        <v>3</v>
      </c>
    </row>
    <row r="84" spans="1:12" x14ac:dyDescent="0.15">
      <c r="A84" t="str">
        <f t="shared" si="4"/>
        <v>|Lv58|Lv4|12|クリーチャー1体を対象とし、それに6点のダメージを与え、6点のライフを得る。|</v>
      </c>
      <c r="B84" t="s">
        <v>3</v>
      </c>
      <c r="C84" t="s">
        <v>8</v>
      </c>
      <c r="D84">
        <v>58</v>
      </c>
      <c r="E84" t="s">
        <v>3</v>
      </c>
      <c r="F84" t="s">
        <v>33</v>
      </c>
      <c r="G84" t="s">
        <v>3</v>
      </c>
      <c r="H84">
        <v>12</v>
      </c>
      <c r="I84" t="s">
        <v>3</v>
      </c>
      <c r="J84" t="s">
        <v>534</v>
      </c>
      <c r="K84" t="s">
        <v>3</v>
      </c>
    </row>
    <row r="85" spans="1:12" x14ac:dyDescent="0.15">
      <c r="A85" t="str">
        <f t="shared" si="4"/>
        <v>&amp;br;</v>
      </c>
      <c r="B85" t="s">
        <v>0</v>
      </c>
    </row>
    <row r="86" spans="1:12" x14ac:dyDescent="0.15">
      <c r="A86" t="str">
        <f t="shared" si="4"/>
        <v>&amp;br;</v>
      </c>
      <c r="B86" t="s">
        <v>0</v>
      </c>
    </row>
    <row r="87" spans="1:12" x14ac:dyDescent="0.15">
      <c r="A87" t="str">
        <f t="shared" si="4"/>
        <v>**第3能力：復仇/Reprisal [#td944270]</v>
      </c>
      <c r="B87" t="s">
        <v>535</v>
      </c>
    </row>
    <row r="88" spans="1:12" x14ac:dyDescent="0.15">
      <c r="A88" t="str">
        <f t="shared" si="4"/>
        <v>|LEFT:50|LEFT:50|LEFT:50|LEFT:300|c</v>
      </c>
      <c r="B88" t="s">
        <v>3</v>
      </c>
      <c r="C88" t="s">
        <v>4</v>
      </c>
      <c r="E88" t="s">
        <v>3</v>
      </c>
      <c r="F88" t="s">
        <v>4</v>
      </c>
      <c r="G88" t="s">
        <v>3</v>
      </c>
      <c r="H88" t="s">
        <v>4</v>
      </c>
      <c r="I88" t="s">
        <v>3</v>
      </c>
      <c r="J88" t="s">
        <v>26</v>
      </c>
      <c r="K88" t="s">
        <v>3</v>
      </c>
      <c r="L88" t="s">
        <v>5</v>
      </c>
    </row>
    <row r="89" spans="1:12" x14ac:dyDescent="0.15">
      <c r="A89" t="str">
        <f t="shared" si="4"/>
        <v>|解放Lv|レベル|コスト|効果|</v>
      </c>
      <c r="B89" t="s">
        <v>3</v>
      </c>
      <c r="C89" t="s">
        <v>27</v>
      </c>
      <c r="E89" t="s">
        <v>3</v>
      </c>
      <c r="F89" t="s">
        <v>6</v>
      </c>
      <c r="G89" t="s">
        <v>3</v>
      </c>
      <c r="H89" t="s">
        <v>28</v>
      </c>
      <c r="I89" t="s">
        <v>3</v>
      </c>
      <c r="J89" t="s">
        <v>29</v>
      </c>
      <c r="K89" t="s">
        <v>3</v>
      </c>
    </row>
    <row r="90" spans="1:12" x14ac:dyDescent="0.15">
      <c r="A90" t="str">
        <f t="shared" si="4"/>
        <v>|Lv18|Lv1|18|対戦相手の色のジェムを優先して5個破壊する。|</v>
      </c>
      <c r="B90" t="s">
        <v>3</v>
      </c>
      <c r="C90" t="s">
        <v>8</v>
      </c>
      <c r="D90">
        <v>18</v>
      </c>
      <c r="E90" t="s">
        <v>3</v>
      </c>
      <c r="F90" t="s">
        <v>30</v>
      </c>
      <c r="G90" t="s">
        <v>3</v>
      </c>
      <c r="H90">
        <v>18</v>
      </c>
      <c r="I90" t="s">
        <v>3</v>
      </c>
      <c r="J90" t="s">
        <v>536</v>
      </c>
      <c r="K90" t="s">
        <v>3</v>
      </c>
    </row>
    <row r="91" spans="1:12" x14ac:dyDescent="0.15">
      <c r="A91" t="str">
        <f t="shared" si="4"/>
        <v>|Lv36|Lv2|18|対戦相手の色のジェムを優先して10個破壊する。|</v>
      </c>
      <c r="B91" t="s">
        <v>3</v>
      </c>
      <c r="C91" t="s">
        <v>8</v>
      </c>
      <c r="D91">
        <v>36</v>
      </c>
      <c r="E91" t="s">
        <v>3</v>
      </c>
      <c r="F91" t="s">
        <v>31</v>
      </c>
      <c r="G91" t="s">
        <v>3</v>
      </c>
      <c r="H91">
        <v>18</v>
      </c>
      <c r="I91" t="s">
        <v>3</v>
      </c>
      <c r="J91" t="s">
        <v>537</v>
      </c>
      <c r="K91" t="s">
        <v>3</v>
      </c>
    </row>
    <row r="92" spans="1:12" x14ac:dyDescent="0.15">
      <c r="A92" t="str">
        <f t="shared" si="4"/>
        <v>|Lv52|Lv3|18|対戦相手の色のジェムを優先して15個破壊する。|</v>
      </c>
      <c r="B92" t="s">
        <v>3</v>
      </c>
      <c r="C92" t="s">
        <v>8</v>
      </c>
      <c r="D92">
        <v>52</v>
      </c>
      <c r="E92" t="s">
        <v>3</v>
      </c>
      <c r="F92" t="s">
        <v>32</v>
      </c>
      <c r="G92" t="s">
        <v>3</v>
      </c>
      <c r="H92">
        <v>18</v>
      </c>
      <c r="I92" t="s">
        <v>3</v>
      </c>
      <c r="J92" t="s">
        <v>538</v>
      </c>
      <c r="K92" t="s">
        <v>3</v>
      </c>
    </row>
    <row r="93" spans="1:12" x14ac:dyDescent="0.15">
      <c r="A93" t="str">
        <f t="shared" si="4"/>
        <v>|Lv60|Lv4|18|対戦相手の色のジェムを優先して18個破壊する。|</v>
      </c>
      <c r="B93" t="s">
        <v>3</v>
      </c>
      <c r="C93" t="s">
        <v>8</v>
      </c>
      <c r="D93">
        <v>60</v>
      </c>
      <c r="E93" t="s">
        <v>3</v>
      </c>
      <c r="F93" t="s">
        <v>33</v>
      </c>
      <c r="G93" t="s">
        <v>3</v>
      </c>
      <c r="H93">
        <v>18</v>
      </c>
      <c r="I93" t="s">
        <v>3</v>
      </c>
      <c r="J93" t="s">
        <v>539</v>
      </c>
      <c r="K93" t="s">
        <v>3</v>
      </c>
    </row>
    <row r="94" spans="1:12" x14ac:dyDescent="0.15">
      <c r="A94" t="str">
        <f t="shared" si="4"/>
        <v>&amp;br;</v>
      </c>
      <c r="B94" t="s">
        <v>0</v>
      </c>
    </row>
    <row r="95" spans="1:12" x14ac:dyDescent="0.15">
      <c r="A95" t="str">
        <f t="shared" si="4"/>
        <v>&amp;br;</v>
      </c>
      <c r="B95" t="s">
        <v>0</v>
      </c>
    </row>
    <row r="96" spans="1:12" x14ac:dyDescent="0.15">
      <c r="A96" t="str">
        <f t="shared" si="4"/>
        <v>*レベルアップ報酬一覧 [#k0cef29c]</v>
      </c>
      <c r="B96" t="s">
        <v>36</v>
      </c>
    </row>
    <row r="97" spans="1:17" x14ac:dyDescent="0.15">
      <c r="A97" t="str">
        <f t="shared" si="4"/>
        <v>|LEFT:50|LEFT:100|c</v>
      </c>
      <c r="B97" t="s">
        <v>3</v>
      </c>
      <c r="C97" t="s">
        <v>4</v>
      </c>
      <c r="E97" t="s">
        <v>3</v>
      </c>
      <c r="F97" t="s">
        <v>37</v>
      </c>
      <c r="I97" t="s">
        <v>3</v>
      </c>
      <c r="J97" t="s">
        <v>5</v>
      </c>
    </row>
    <row r="98" spans="1:17" x14ac:dyDescent="0.15">
      <c r="A98" t="str">
        <f t="shared" si="4"/>
        <v>|レベル|報酬|</v>
      </c>
      <c r="B98" t="s">
        <v>3</v>
      </c>
      <c r="C98" t="s">
        <v>6</v>
      </c>
      <c r="E98" t="s">
        <v>3</v>
      </c>
      <c r="F98" t="s">
        <v>38</v>
      </c>
      <c r="I98" t="s">
        <v>3</v>
      </c>
      <c r="Q98" t="s">
        <v>62</v>
      </c>
    </row>
    <row r="99" spans="1:17" x14ac:dyDescent="0.15">
      <c r="A99" t="str">
        <f t="shared" si="4"/>
        <v>|Lｖ2|クリーチャー+1|</v>
      </c>
      <c r="B99" t="s">
        <v>3</v>
      </c>
      <c r="C99" t="s">
        <v>63</v>
      </c>
      <c r="E99" t="s">
        <v>3</v>
      </c>
      <c r="F99" t="s">
        <v>64</v>
      </c>
      <c r="H99">
        <v>1</v>
      </c>
      <c r="I99" t="s">
        <v>3</v>
      </c>
      <c r="Q99" t="s">
        <v>64</v>
      </c>
    </row>
    <row r="100" spans="1:17" x14ac:dyDescent="0.15">
      <c r="A100" t="str">
        <f t="shared" si="4"/>
        <v>|Lｖ3|HP+3|</v>
      </c>
      <c r="B100" t="s">
        <v>3</v>
      </c>
      <c r="C100" t="s">
        <v>65</v>
      </c>
      <c r="E100" t="s">
        <v>3</v>
      </c>
      <c r="F100" t="s">
        <v>62</v>
      </c>
      <c r="H100">
        <v>3</v>
      </c>
      <c r="I100" t="s">
        <v>3</v>
      </c>
      <c r="Q100" t="s">
        <v>66</v>
      </c>
    </row>
    <row r="101" spans="1:17" x14ac:dyDescent="0.15">
      <c r="A101" t="str">
        <f t="shared" si="4"/>
        <v>|Lｖ4|白+1|</v>
      </c>
      <c r="B101" t="s">
        <v>3</v>
      </c>
      <c r="C101" t="s">
        <v>67</v>
      </c>
      <c r="E101" t="s">
        <v>3</v>
      </c>
      <c r="F101" t="s">
        <v>70</v>
      </c>
      <c r="H101">
        <v>1</v>
      </c>
      <c r="I101" t="s">
        <v>3</v>
      </c>
      <c r="Q101" t="s">
        <v>68</v>
      </c>
    </row>
    <row r="102" spans="1:17" x14ac:dyDescent="0.15">
      <c r="A102" t="str">
        <f t="shared" si="4"/>
        <v>|Lｖ5|HP+3|</v>
      </c>
      <c r="B102" t="s">
        <v>3</v>
      </c>
      <c r="C102" t="s">
        <v>69</v>
      </c>
      <c r="E102" t="s">
        <v>3</v>
      </c>
      <c r="F102" t="s">
        <v>62</v>
      </c>
      <c r="H102">
        <v>3</v>
      </c>
      <c r="I102" t="s">
        <v>3</v>
      </c>
      <c r="Q102" t="s">
        <v>70</v>
      </c>
    </row>
    <row r="103" spans="1:17" x14ac:dyDescent="0.15">
      <c r="A103" t="str">
        <f t="shared" si="4"/>
        <v>|Lｖ6|第1能力Lv1|</v>
      </c>
      <c r="B103" t="s">
        <v>3</v>
      </c>
      <c r="C103" t="s">
        <v>71</v>
      </c>
      <c r="E103" t="s">
        <v>3</v>
      </c>
      <c r="F103" t="s">
        <v>40</v>
      </c>
      <c r="H103">
        <v>1</v>
      </c>
      <c r="I103" t="s">
        <v>3</v>
      </c>
      <c r="Q103" t="s">
        <v>72</v>
      </c>
    </row>
    <row r="104" spans="1:17" x14ac:dyDescent="0.15">
      <c r="A104" t="str">
        <f t="shared" si="4"/>
        <v>|Lｖ7|HP+3|</v>
      </c>
      <c r="B104" t="s">
        <v>3</v>
      </c>
      <c r="C104" t="s">
        <v>73</v>
      </c>
      <c r="E104" t="s">
        <v>3</v>
      </c>
      <c r="F104" t="s">
        <v>62</v>
      </c>
      <c r="H104">
        <v>3</v>
      </c>
      <c r="I104" t="s">
        <v>3</v>
      </c>
      <c r="Q104" t="s">
        <v>74</v>
      </c>
    </row>
    <row r="105" spans="1:17" x14ac:dyDescent="0.15">
      <c r="A105" t="str">
        <f t="shared" si="4"/>
        <v>|Lｖ8|サポート+2|</v>
      </c>
      <c r="B105" t="s">
        <v>3</v>
      </c>
      <c r="C105" t="s">
        <v>75</v>
      </c>
      <c r="E105" t="s">
        <v>3</v>
      </c>
      <c r="F105" t="s">
        <v>68</v>
      </c>
      <c r="H105">
        <v>2</v>
      </c>
      <c r="I105" t="s">
        <v>3</v>
      </c>
      <c r="Q105" t="s">
        <v>76</v>
      </c>
    </row>
    <row r="106" spans="1:17" x14ac:dyDescent="0.15">
      <c r="A106" t="str">
        <f t="shared" si="4"/>
        <v>|Lｖ9|HP+3|</v>
      </c>
      <c r="B106" t="s">
        <v>3</v>
      </c>
      <c r="C106" t="s">
        <v>77</v>
      </c>
      <c r="E106" t="s">
        <v>3</v>
      </c>
      <c r="F106" t="s">
        <v>62</v>
      </c>
      <c r="H106">
        <v>3</v>
      </c>
      <c r="I106" t="s">
        <v>3</v>
      </c>
      <c r="Q106" t="s">
        <v>78</v>
      </c>
    </row>
    <row r="107" spans="1:17" x14ac:dyDescent="0.15">
      <c r="A107" t="str">
        <f t="shared" si="4"/>
        <v>|Lｖ10|赤+1|</v>
      </c>
      <c r="B107" t="s">
        <v>3</v>
      </c>
      <c r="C107" t="s">
        <v>79</v>
      </c>
      <c r="E107" t="s">
        <v>3</v>
      </c>
      <c r="F107" t="s">
        <v>76</v>
      </c>
      <c r="H107">
        <v>1</v>
      </c>
      <c r="I107" t="s">
        <v>3</v>
      </c>
      <c r="Q107" t="s">
        <v>40</v>
      </c>
    </row>
    <row r="108" spans="1:17" x14ac:dyDescent="0.15">
      <c r="A108" t="str">
        <f t="shared" si="4"/>
        <v>|Lｖ11|HP+3|</v>
      </c>
      <c r="B108" t="s">
        <v>3</v>
      </c>
      <c r="C108" t="s">
        <v>80</v>
      </c>
      <c r="E108" t="s">
        <v>3</v>
      </c>
      <c r="F108" t="s">
        <v>62</v>
      </c>
      <c r="H108">
        <v>3</v>
      </c>
      <c r="I108" t="s">
        <v>3</v>
      </c>
      <c r="Q108" t="s">
        <v>41</v>
      </c>
    </row>
    <row r="109" spans="1:17" x14ac:dyDescent="0.15">
      <c r="A109" t="str">
        <f t="shared" si="4"/>
        <v>|Lｖ12|第2能力Lv1|</v>
      </c>
      <c r="B109" t="s">
        <v>3</v>
      </c>
      <c r="C109" t="s">
        <v>81</v>
      </c>
      <c r="E109" t="s">
        <v>3</v>
      </c>
      <c r="F109" t="s">
        <v>41</v>
      </c>
      <c r="H109">
        <v>1</v>
      </c>
      <c r="I109" t="s">
        <v>3</v>
      </c>
      <c r="Q109" t="s">
        <v>42</v>
      </c>
    </row>
    <row r="110" spans="1:17" x14ac:dyDescent="0.15">
      <c r="A110" t="str">
        <f t="shared" si="4"/>
        <v>|Lｖ13|HP+3|</v>
      </c>
      <c r="B110" t="s">
        <v>3</v>
      </c>
      <c r="C110" t="s">
        <v>82</v>
      </c>
      <c r="E110" t="s">
        <v>3</v>
      </c>
      <c r="F110" t="s">
        <v>62</v>
      </c>
      <c r="H110">
        <v>3</v>
      </c>
      <c r="I110" t="s">
        <v>3</v>
      </c>
      <c r="Q110" t="s">
        <v>43</v>
      </c>
    </row>
    <row r="111" spans="1:17" x14ac:dyDescent="0.15">
      <c r="A111" t="str">
        <f t="shared" si="4"/>
        <v>|Lｖ14|呪文+2|</v>
      </c>
      <c r="B111" t="s">
        <v>3</v>
      </c>
      <c r="C111" t="s">
        <v>83</v>
      </c>
      <c r="E111" t="s">
        <v>3</v>
      </c>
      <c r="F111" t="s">
        <v>66</v>
      </c>
      <c r="H111">
        <v>2</v>
      </c>
      <c r="I111" t="s">
        <v>3</v>
      </c>
    </row>
    <row r="112" spans="1:17" x14ac:dyDescent="0.15">
      <c r="A112" t="str">
        <f t="shared" si="4"/>
        <v>|Lｖ15|HP+3|</v>
      </c>
      <c r="B112" t="s">
        <v>3</v>
      </c>
      <c r="C112" t="s">
        <v>84</v>
      </c>
      <c r="E112" t="s">
        <v>3</v>
      </c>
      <c r="F112" t="s">
        <v>62</v>
      </c>
      <c r="H112">
        <v>3</v>
      </c>
      <c r="I112" t="s">
        <v>3</v>
      </c>
    </row>
    <row r="113" spans="1:9" x14ac:dyDescent="0.15">
      <c r="A113" t="str">
        <f t="shared" si="4"/>
        <v>|Lｖ16|緑+1|</v>
      </c>
      <c r="B113" t="s">
        <v>3</v>
      </c>
      <c r="C113" t="s">
        <v>85</v>
      </c>
      <c r="E113" t="s">
        <v>3</v>
      </c>
      <c r="F113" t="s">
        <v>78</v>
      </c>
      <c r="H113">
        <v>1</v>
      </c>
      <c r="I113" t="s">
        <v>3</v>
      </c>
    </row>
    <row r="114" spans="1:9" x14ac:dyDescent="0.15">
      <c r="A114" t="str">
        <f t="shared" si="4"/>
        <v>|Lｖ17|HP+3|</v>
      </c>
      <c r="B114" t="s">
        <v>3</v>
      </c>
      <c r="C114" t="s">
        <v>86</v>
      </c>
      <c r="E114" t="s">
        <v>3</v>
      </c>
      <c r="F114" t="s">
        <v>62</v>
      </c>
      <c r="H114">
        <v>3</v>
      </c>
      <c r="I114" t="s">
        <v>3</v>
      </c>
    </row>
    <row r="115" spans="1:9" x14ac:dyDescent="0.15">
      <c r="A115" t="str">
        <f t="shared" si="4"/>
        <v>|Lｖ18|第3能力Lv1|</v>
      </c>
      <c r="B115" t="s">
        <v>3</v>
      </c>
      <c r="C115" t="s">
        <v>87</v>
      </c>
      <c r="E115" t="s">
        <v>3</v>
      </c>
      <c r="F115" t="s">
        <v>42</v>
      </c>
      <c r="H115">
        <v>1</v>
      </c>
      <c r="I115" t="s">
        <v>3</v>
      </c>
    </row>
    <row r="116" spans="1:9" x14ac:dyDescent="0.15">
      <c r="A116" t="str">
        <f t="shared" si="4"/>
        <v>|Lｖ19|HP+3|</v>
      </c>
      <c r="B116" t="s">
        <v>3</v>
      </c>
      <c r="C116" t="s">
        <v>88</v>
      </c>
      <c r="E116" t="s">
        <v>3</v>
      </c>
      <c r="F116" t="s">
        <v>62</v>
      </c>
      <c r="H116">
        <v>3</v>
      </c>
      <c r="I116" t="s">
        <v>3</v>
      </c>
    </row>
    <row r="117" spans="1:9" x14ac:dyDescent="0.15">
      <c r="A117" t="str">
        <f t="shared" si="4"/>
        <v>|Lｖ20|回復速度上昇|</v>
      </c>
      <c r="B117" t="s">
        <v>3</v>
      </c>
      <c r="C117" t="s">
        <v>89</v>
      </c>
      <c r="E117" t="s">
        <v>3</v>
      </c>
      <c r="F117" t="s">
        <v>43</v>
      </c>
      <c r="I117" t="s">
        <v>3</v>
      </c>
    </row>
    <row r="118" spans="1:9" x14ac:dyDescent="0.15">
      <c r="A118" t="str">
        <f t="shared" si="4"/>
        <v>|Lｖ21|HP+3|</v>
      </c>
      <c r="B118" t="s">
        <v>3</v>
      </c>
      <c r="C118" t="s">
        <v>90</v>
      </c>
      <c r="E118" t="s">
        <v>3</v>
      </c>
      <c r="F118" t="s">
        <v>62</v>
      </c>
      <c r="H118">
        <v>3</v>
      </c>
      <c r="I118" t="s">
        <v>3</v>
      </c>
    </row>
    <row r="119" spans="1:9" x14ac:dyDescent="0.15">
      <c r="A119" t="str">
        <f t="shared" si="4"/>
        <v>|Lｖ22|黒+1|</v>
      </c>
      <c r="B119" t="s">
        <v>3</v>
      </c>
      <c r="C119" t="s">
        <v>91</v>
      </c>
      <c r="E119" t="s">
        <v>3</v>
      </c>
      <c r="F119" t="s">
        <v>74</v>
      </c>
      <c r="H119">
        <v>1</v>
      </c>
      <c r="I119" t="s">
        <v>3</v>
      </c>
    </row>
    <row r="120" spans="1:9" x14ac:dyDescent="0.15">
      <c r="A120" t="str">
        <f t="shared" si="4"/>
        <v>|Lｖ23|HP+3|</v>
      </c>
      <c r="B120" t="s">
        <v>3</v>
      </c>
      <c r="C120" t="s">
        <v>92</v>
      </c>
      <c r="E120" t="s">
        <v>3</v>
      </c>
      <c r="F120" t="s">
        <v>62</v>
      </c>
      <c r="H120">
        <v>3</v>
      </c>
      <c r="I120" t="s">
        <v>3</v>
      </c>
    </row>
    <row r="121" spans="1:9" x14ac:dyDescent="0.15">
      <c r="A121" t="str">
        <f t="shared" si="4"/>
        <v>|Lｖ24|第1能力Lv2|</v>
      </c>
      <c r="B121" t="s">
        <v>3</v>
      </c>
      <c r="C121" t="s">
        <v>93</v>
      </c>
      <c r="E121" t="s">
        <v>3</v>
      </c>
      <c r="F121" t="s">
        <v>40</v>
      </c>
      <c r="H121">
        <v>2</v>
      </c>
      <c r="I121" t="s">
        <v>3</v>
      </c>
    </row>
    <row r="122" spans="1:9" x14ac:dyDescent="0.15">
      <c r="A122" t="str">
        <f t="shared" si="4"/>
        <v>|Lｖ25|HP+3|</v>
      </c>
      <c r="B122" t="s">
        <v>3</v>
      </c>
      <c r="C122" t="s">
        <v>94</v>
      </c>
      <c r="E122" t="s">
        <v>3</v>
      </c>
      <c r="F122" t="s">
        <v>62</v>
      </c>
      <c r="H122">
        <v>3</v>
      </c>
      <c r="I122" t="s">
        <v>3</v>
      </c>
    </row>
    <row r="123" spans="1:9" x14ac:dyDescent="0.15">
      <c r="A123" t="str">
        <f t="shared" si="4"/>
        <v>|Lｖ26|クリーチャー+1|</v>
      </c>
      <c r="B123" t="s">
        <v>3</v>
      </c>
      <c r="C123" t="s">
        <v>95</v>
      </c>
      <c r="E123" t="s">
        <v>3</v>
      </c>
      <c r="F123" t="s">
        <v>64</v>
      </c>
      <c r="H123">
        <v>1</v>
      </c>
      <c r="I123" t="s">
        <v>3</v>
      </c>
    </row>
    <row r="124" spans="1:9" x14ac:dyDescent="0.15">
      <c r="A124" t="str">
        <f t="shared" si="4"/>
        <v>|Lｖ27|HP+3|</v>
      </c>
      <c r="B124" t="s">
        <v>3</v>
      </c>
      <c r="C124" t="s">
        <v>96</v>
      </c>
      <c r="E124" t="s">
        <v>3</v>
      </c>
      <c r="F124" t="s">
        <v>62</v>
      </c>
      <c r="H124">
        <v>3</v>
      </c>
      <c r="I124" t="s">
        <v>3</v>
      </c>
    </row>
    <row r="125" spans="1:9" x14ac:dyDescent="0.15">
      <c r="A125" t="str">
        <f t="shared" si="4"/>
        <v>|Lｖ28|青+1|</v>
      </c>
      <c r="B125" t="s">
        <v>3</v>
      </c>
      <c r="C125" t="s">
        <v>97</v>
      </c>
      <c r="E125" t="s">
        <v>3</v>
      </c>
      <c r="F125" t="s">
        <v>72</v>
      </c>
      <c r="H125">
        <v>1</v>
      </c>
      <c r="I125" t="s">
        <v>3</v>
      </c>
    </row>
    <row r="126" spans="1:9" x14ac:dyDescent="0.15">
      <c r="A126" t="str">
        <f t="shared" si="4"/>
        <v>|Lｖ29|HP+3|</v>
      </c>
      <c r="B126" t="s">
        <v>3</v>
      </c>
      <c r="C126" t="s">
        <v>98</v>
      </c>
      <c r="E126" t="s">
        <v>3</v>
      </c>
      <c r="F126" t="s">
        <v>62</v>
      </c>
      <c r="H126">
        <v>3</v>
      </c>
      <c r="I126" t="s">
        <v>3</v>
      </c>
    </row>
    <row r="127" spans="1:9" x14ac:dyDescent="0.15">
      <c r="A127" t="str">
        <f t="shared" si="4"/>
        <v>|Lｖ30|第2能力Lv2|</v>
      </c>
      <c r="B127" t="s">
        <v>3</v>
      </c>
      <c r="C127" t="s">
        <v>99</v>
      </c>
      <c r="E127" t="s">
        <v>3</v>
      </c>
      <c r="F127" t="s">
        <v>41</v>
      </c>
      <c r="H127">
        <v>2</v>
      </c>
      <c r="I127" t="s">
        <v>3</v>
      </c>
    </row>
    <row r="128" spans="1:9" x14ac:dyDescent="0.15">
      <c r="A128" t="str">
        <f t="shared" si="4"/>
        <v>|Lｖ31|HP+3|</v>
      </c>
      <c r="B128" t="s">
        <v>3</v>
      </c>
      <c r="C128" t="s">
        <v>100</v>
      </c>
      <c r="E128" t="s">
        <v>3</v>
      </c>
      <c r="F128" t="s">
        <v>62</v>
      </c>
      <c r="H128">
        <v>3</v>
      </c>
      <c r="I128" t="s">
        <v>3</v>
      </c>
    </row>
    <row r="129" spans="1:9" x14ac:dyDescent="0.15">
      <c r="A129" t="str">
        <f t="shared" ref="A129:A163" si="5">B129&amp;C129&amp;D129&amp;E129&amp;F129&amp;G129&amp;H129&amp;I129&amp;J129&amp;K129&amp;L129&amp;M129&amp;N129&amp;O129&amp;P129</f>
        <v>|Lｖ32|サポート+1|</v>
      </c>
      <c r="B129" t="s">
        <v>3</v>
      </c>
      <c r="C129" t="s">
        <v>101</v>
      </c>
      <c r="E129" t="s">
        <v>3</v>
      </c>
      <c r="F129" t="s">
        <v>68</v>
      </c>
      <c r="H129">
        <v>1</v>
      </c>
      <c r="I129" t="s">
        <v>3</v>
      </c>
    </row>
    <row r="130" spans="1:9" x14ac:dyDescent="0.15">
      <c r="A130" t="str">
        <f t="shared" si="5"/>
        <v>|Lｖ33|HP+3|</v>
      </c>
      <c r="B130" t="s">
        <v>3</v>
      </c>
      <c r="C130" t="s">
        <v>102</v>
      </c>
      <c r="E130" t="s">
        <v>3</v>
      </c>
      <c r="F130" t="s">
        <v>62</v>
      </c>
      <c r="H130">
        <v>3</v>
      </c>
      <c r="I130" t="s">
        <v>3</v>
      </c>
    </row>
    <row r="131" spans="1:9" x14ac:dyDescent="0.15">
      <c r="A131" t="str">
        <f t="shared" si="5"/>
        <v>|Lｖ34|白+1|</v>
      </c>
      <c r="B131" t="s">
        <v>3</v>
      </c>
      <c r="C131" t="s">
        <v>103</v>
      </c>
      <c r="E131" t="s">
        <v>3</v>
      </c>
      <c r="F131" t="s">
        <v>70</v>
      </c>
      <c r="H131">
        <v>1</v>
      </c>
      <c r="I131" t="s">
        <v>3</v>
      </c>
    </row>
    <row r="132" spans="1:9" x14ac:dyDescent="0.15">
      <c r="A132" t="str">
        <f t="shared" si="5"/>
        <v>|Lｖ35|HP+3|</v>
      </c>
      <c r="B132" t="s">
        <v>3</v>
      </c>
      <c r="C132" t="s">
        <v>104</v>
      </c>
      <c r="E132" t="s">
        <v>3</v>
      </c>
      <c r="F132" t="s">
        <v>62</v>
      </c>
      <c r="H132">
        <v>3</v>
      </c>
      <c r="I132" t="s">
        <v>3</v>
      </c>
    </row>
    <row r="133" spans="1:9" x14ac:dyDescent="0.15">
      <c r="A133" t="str">
        <f t="shared" si="5"/>
        <v>|Lｖ36|第3能力Lv2|</v>
      </c>
      <c r="B133" t="s">
        <v>3</v>
      </c>
      <c r="C133" t="s">
        <v>105</v>
      </c>
      <c r="E133" t="s">
        <v>3</v>
      </c>
      <c r="F133" t="s">
        <v>42</v>
      </c>
      <c r="H133">
        <v>2</v>
      </c>
      <c r="I133" t="s">
        <v>3</v>
      </c>
    </row>
    <row r="134" spans="1:9" x14ac:dyDescent="0.15">
      <c r="A134" t="str">
        <f t="shared" si="5"/>
        <v>|Lｖ37|HP+3|</v>
      </c>
      <c r="B134" t="s">
        <v>3</v>
      </c>
      <c r="C134" t="s">
        <v>106</v>
      </c>
      <c r="E134" t="s">
        <v>3</v>
      </c>
      <c r="F134" t="s">
        <v>62</v>
      </c>
      <c r="H134">
        <v>3</v>
      </c>
      <c r="I134" t="s">
        <v>3</v>
      </c>
    </row>
    <row r="135" spans="1:9" x14ac:dyDescent="0.15">
      <c r="A135" t="str">
        <f t="shared" si="5"/>
        <v>|Lｖ38|呪文+1|</v>
      </c>
      <c r="B135" t="s">
        <v>3</v>
      </c>
      <c r="C135" t="s">
        <v>107</v>
      </c>
      <c r="E135" t="s">
        <v>3</v>
      </c>
      <c r="F135" t="s">
        <v>66</v>
      </c>
      <c r="H135">
        <v>1</v>
      </c>
      <c r="I135" t="s">
        <v>3</v>
      </c>
    </row>
    <row r="136" spans="1:9" x14ac:dyDescent="0.15">
      <c r="A136" t="str">
        <f t="shared" si="5"/>
        <v>|Lｖ39|HP+3|</v>
      </c>
      <c r="B136" t="s">
        <v>3</v>
      </c>
      <c r="C136" t="s">
        <v>108</v>
      </c>
      <c r="E136" t="s">
        <v>3</v>
      </c>
      <c r="F136" t="s">
        <v>62</v>
      </c>
      <c r="H136">
        <v>3</v>
      </c>
      <c r="I136" t="s">
        <v>3</v>
      </c>
    </row>
    <row r="137" spans="1:9" x14ac:dyDescent="0.15">
      <c r="A137" t="str">
        <f t="shared" si="5"/>
        <v>|Lｖ40|第1能力Lv3|</v>
      </c>
      <c r="B137" t="s">
        <v>3</v>
      </c>
      <c r="C137" t="s">
        <v>109</v>
      </c>
      <c r="E137" t="s">
        <v>3</v>
      </c>
      <c r="F137" t="s">
        <v>40</v>
      </c>
      <c r="H137">
        <v>3</v>
      </c>
      <c r="I137" t="s">
        <v>3</v>
      </c>
    </row>
    <row r="138" spans="1:9" x14ac:dyDescent="0.15">
      <c r="A138" t="str">
        <f t="shared" si="5"/>
        <v>|Lｖ41|HP+3|</v>
      </c>
      <c r="B138" t="s">
        <v>3</v>
      </c>
      <c r="C138" t="s">
        <v>110</v>
      </c>
      <c r="E138" t="s">
        <v>3</v>
      </c>
      <c r="F138" t="s">
        <v>62</v>
      </c>
      <c r="H138">
        <v>3</v>
      </c>
      <c r="I138" t="s">
        <v>3</v>
      </c>
    </row>
    <row r="139" spans="1:9" x14ac:dyDescent="0.15">
      <c r="A139" t="str">
        <f t="shared" si="5"/>
        <v>|Lｖ42|緑+1|</v>
      </c>
      <c r="B139" t="s">
        <v>3</v>
      </c>
      <c r="C139" t="s">
        <v>111</v>
      </c>
      <c r="E139" t="s">
        <v>3</v>
      </c>
      <c r="F139" t="s">
        <v>78</v>
      </c>
      <c r="H139">
        <v>1</v>
      </c>
      <c r="I139" t="s">
        <v>3</v>
      </c>
    </row>
    <row r="140" spans="1:9" x14ac:dyDescent="0.15">
      <c r="A140" t="str">
        <f t="shared" si="5"/>
        <v>|Lｖ43|HP+3|</v>
      </c>
      <c r="B140" t="s">
        <v>3</v>
      </c>
      <c r="C140" t="s">
        <v>112</v>
      </c>
      <c r="E140" t="s">
        <v>3</v>
      </c>
      <c r="F140" t="s">
        <v>62</v>
      </c>
      <c r="H140">
        <v>3</v>
      </c>
      <c r="I140" t="s">
        <v>3</v>
      </c>
    </row>
    <row r="141" spans="1:9" x14ac:dyDescent="0.15">
      <c r="A141" t="str">
        <f t="shared" si="5"/>
        <v>|Lｖ44|回復速度上昇|</v>
      </c>
      <c r="B141" t="s">
        <v>3</v>
      </c>
      <c r="C141" t="s">
        <v>113</v>
      </c>
      <c r="E141" t="s">
        <v>3</v>
      </c>
      <c r="F141" t="s">
        <v>43</v>
      </c>
      <c r="I141" t="s">
        <v>3</v>
      </c>
    </row>
    <row r="142" spans="1:9" x14ac:dyDescent="0.15">
      <c r="A142" t="str">
        <f t="shared" si="5"/>
        <v>|Lｖ45|HP+3|</v>
      </c>
      <c r="B142" t="s">
        <v>3</v>
      </c>
      <c r="C142" t="s">
        <v>114</v>
      </c>
      <c r="E142" t="s">
        <v>3</v>
      </c>
      <c r="F142" t="s">
        <v>62</v>
      </c>
      <c r="H142">
        <v>3</v>
      </c>
      <c r="I142" t="s">
        <v>3</v>
      </c>
    </row>
    <row r="143" spans="1:9" x14ac:dyDescent="0.15">
      <c r="A143" t="str">
        <f t="shared" si="5"/>
        <v>|Lｖ46|第2能力Lv3|</v>
      </c>
      <c r="B143" t="s">
        <v>3</v>
      </c>
      <c r="C143" t="s">
        <v>115</v>
      </c>
      <c r="E143" t="s">
        <v>3</v>
      </c>
      <c r="F143" t="s">
        <v>41</v>
      </c>
      <c r="H143">
        <v>3</v>
      </c>
      <c r="I143" t="s">
        <v>3</v>
      </c>
    </row>
    <row r="144" spans="1:9" x14ac:dyDescent="0.15">
      <c r="A144" t="str">
        <f t="shared" si="5"/>
        <v>|Lｖ47|HP+3|</v>
      </c>
      <c r="B144" t="s">
        <v>3</v>
      </c>
      <c r="C144" t="s">
        <v>116</v>
      </c>
      <c r="E144" t="s">
        <v>3</v>
      </c>
      <c r="F144" t="s">
        <v>62</v>
      </c>
      <c r="H144">
        <v>3</v>
      </c>
      <c r="I144" t="s">
        <v>3</v>
      </c>
    </row>
    <row r="145" spans="1:9" x14ac:dyDescent="0.15">
      <c r="A145" t="str">
        <f t="shared" si="5"/>
        <v>|Lｖ48|青+1|</v>
      </c>
      <c r="B145" t="s">
        <v>3</v>
      </c>
      <c r="C145" t="s">
        <v>117</v>
      </c>
      <c r="E145" t="s">
        <v>3</v>
      </c>
      <c r="F145" t="s">
        <v>72</v>
      </c>
      <c r="H145">
        <v>1</v>
      </c>
      <c r="I145" t="s">
        <v>3</v>
      </c>
    </row>
    <row r="146" spans="1:9" x14ac:dyDescent="0.15">
      <c r="A146" t="str">
        <f t="shared" si="5"/>
        <v>|Lｖ49|HP+3|</v>
      </c>
      <c r="B146" t="s">
        <v>3</v>
      </c>
      <c r="C146" t="s">
        <v>118</v>
      </c>
      <c r="E146" t="s">
        <v>3</v>
      </c>
      <c r="F146" t="s">
        <v>62</v>
      </c>
      <c r="H146">
        <v>3</v>
      </c>
      <c r="I146" t="s">
        <v>3</v>
      </c>
    </row>
    <row r="147" spans="1:9" x14ac:dyDescent="0.15">
      <c r="A147" t="str">
        <f t="shared" si="5"/>
        <v>|Lｖ50|クリーチャー+1|</v>
      </c>
      <c r="B147" t="s">
        <v>3</v>
      </c>
      <c r="C147" t="s">
        <v>119</v>
      </c>
      <c r="E147" t="s">
        <v>3</v>
      </c>
      <c r="F147" t="s">
        <v>64</v>
      </c>
      <c r="H147">
        <v>1</v>
      </c>
      <c r="I147" t="s">
        <v>3</v>
      </c>
    </row>
    <row r="148" spans="1:9" x14ac:dyDescent="0.15">
      <c r="A148" t="str">
        <f t="shared" si="5"/>
        <v>|Lｖ51|HP+3|</v>
      </c>
      <c r="B148" t="s">
        <v>3</v>
      </c>
      <c r="C148" t="s">
        <v>120</v>
      </c>
      <c r="E148" t="s">
        <v>3</v>
      </c>
      <c r="F148" t="s">
        <v>62</v>
      </c>
      <c r="H148">
        <v>3</v>
      </c>
      <c r="I148" t="s">
        <v>3</v>
      </c>
    </row>
    <row r="149" spans="1:9" x14ac:dyDescent="0.15">
      <c r="A149" t="str">
        <f t="shared" si="5"/>
        <v>|Lｖ52|第3能力Lv3|</v>
      </c>
      <c r="B149" t="s">
        <v>3</v>
      </c>
      <c r="C149" t="s">
        <v>121</v>
      </c>
      <c r="E149" t="s">
        <v>3</v>
      </c>
      <c r="F149" t="s">
        <v>42</v>
      </c>
      <c r="H149">
        <v>3</v>
      </c>
      <c r="I149" t="s">
        <v>3</v>
      </c>
    </row>
    <row r="150" spans="1:9" x14ac:dyDescent="0.15">
      <c r="A150" t="str">
        <f t="shared" si="5"/>
        <v>|Lｖ53|HP+3|</v>
      </c>
      <c r="B150" t="s">
        <v>3</v>
      </c>
      <c r="C150" t="s">
        <v>122</v>
      </c>
      <c r="E150" t="s">
        <v>3</v>
      </c>
      <c r="F150" t="s">
        <v>62</v>
      </c>
      <c r="H150">
        <v>3</v>
      </c>
      <c r="I150" t="s">
        <v>3</v>
      </c>
    </row>
    <row r="151" spans="1:9" x14ac:dyDescent="0.15">
      <c r="A151" t="str">
        <f t="shared" si="5"/>
        <v>|Lｖ54|緑+1|</v>
      </c>
      <c r="B151" t="s">
        <v>3</v>
      </c>
      <c r="C151" t="s">
        <v>123</v>
      </c>
      <c r="E151" t="s">
        <v>3</v>
      </c>
      <c r="F151" t="s">
        <v>78</v>
      </c>
      <c r="H151">
        <v>1</v>
      </c>
      <c r="I151" t="s">
        <v>3</v>
      </c>
    </row>
    <row r="152" spans="1:9" x14ac:dyDescent="0.15">
      <c r="A152" t="str">
        <f t="shared" si="5"/>
        <v>|Lｖ55|HP+3|</v>
      </c>
      <c r="B152" t="s">
        <v>3</v>
      </c>
      <c r="C152" t="s">
        <v>124</v>
      </c>
      <c r="E152" t="s">
        <v>3</v>
      </c>
      <c r="F152" t="s">
        <v>62</v>
      </c>
      <c r="H152">
        <v>3</v>
      </c>
      <c r="I152" t="s">
        <v>3</v>
      </c>
    </row>
    <row r="153" spans="1:9" x14ac:dyDescent="0.15">
      <c r="A153" t="str">
        <f t="shared" si="5"/>
        <v>|Lｖ56|第1能力Lv4|</v>
      </c>
      <c r="B153" t="s">
        <v>3</v>
      </c>
      <c r="C153" t="s">
        <v>125</v>
      </c>
      <c r="E153" t="s">
        <v>3</v>
      </c>
      <c r="F153" t="s">
        <v>40</v>
      </c>
      <c r="H153">
        <v>4</v>
      </c>
      <c r="I153" t="s">
        <v>3</v>
      </c>
    </row>
    <row r="154" spans="1:9" x14ac:dyDescent="0.15">
      <c r="A154" t="str">
        <f t="shared" si="5"/>
        <v>|Lｖ57|HP+3|</v>
      </c>
      <c r="B154" t="s">
        <v>3</v>
      </c>
      <c r="C154" t="s">
        <v>126</v>
      </c>
      <c r="E154" t="s">
        <v>3</v>
      </c>
      <c r="F154" t="s">
        <v>62</v>
      </c>
      <c r="H154">
        <v>3</v>
      </c>
      <c r="I154" t="s">
        <v>3</v>
      </c>
    </row>
    <row r="155" spans="1:9" x14ac:dyDescent="0.15">
      <c r="A155" t="str">
        <f t="shared" si="5"/>
        <v>|Lｖ58|第2能力Lv4|</v>
      </c>
      <c r="B155" t="s">
        <v>3</v>
      </c>
      <c r="C155" t="s">
        <v>127</v>
      </c>
      <c r="E155" t="s">
        <v>3</v>
      </c>
      <c r="F155" t="s">
        <v>41</v>
      </c>
      <c r="H155">
        <v>4</v>
      </c>
      <c r="I155" t="s">
        <v>3</v>
      </c>
    </row>
    <row r="156" spans="1:9" x14ac:dyDescent="0.15">
      <c r="A156" t="str">
        <f t="shared" si="5"/>
        <v>|Lｖ59|HP+3|</v>
      </c>
      <c r="B156" t="s">
        <v>3</v>
      </c>
      <c r="C156" t="s">
        <v>128</v>
      </c>
      <c r="E156" t="s">
        <v>3</v>
      </c>
      <c r="F156" t="s">
        <v>62</v>
      </c>
      <c r="H156">
        <v>3</v>
      </c>
      <c r="I156" t="s">
        <v>3</v>
      </c>
    </row>
    <row r="157" spans="1:9" x14ac:dyDescent="0.15">
      <c r="A157" t="str">
        <f t="shared" si="5"/>
        <v>|Lｖ60|第3能力Lv4|</v>
      </c>
      <c r="B157" t="s">
        <v>3</v>
      </c>
      <c r="C157" t="s">
        <v>129</v>
      </c>
      <c r="E157" t="s">
        <v>3</v>
      </c>
      <c r="F157" t="s">
        <v>42</v>
      </c>
      <c r="H157">
        <v>4</v>
      </c>
      <c r="I157" t="s">
        <v>3</v>
      </c>
    </row>
    <row r="158" spans="1:9" x14ac:dyDescent="0.15">
      <c r="A158" t="str">
        <f t="shared" si="5"/>
        <v>必要総経験値：160720ルーン</v>
      </c>
      <c r="B158" t="s">
        <v>45</v>
      </c>
      <c r="C158">
        <v>160720</v>
      </c>
      <c r="F158" t="s">
        <v>46</v>
      </c>
    </row>
    <row r="159" spans="1:9" x14ac:dyDescent="0.15">
      <c r="A159" t="str">
        <f t="shared" si="5"/>
        <v>&amp;br;</v>
      </c>
      <c r="B159" t="s">
        <v>0</v>
      </c>
    </row>
    <row r="160" spans="1:9" x14ac:dyDescent="0.15">
      <c r="A160" t="str">
        <f t="shared" si="5"/>
        <v>#back(text=戻る,left)</v>
      </c>
      <c r="B160" t="s">
        <v>47</v>
      </c>
    </row>
    <row r="161" spans="1:2" x14ac:dyDescent="0.15">
      <c r="A161" t="str">
        <f t="shared" si="5"/>
        <v>&amp;br;</v>
      </c>
      <c r="B161" t="s">
        <v>0</v>
      </c>
    </row>
    <row r="162" spans="1:2" x14ac:dyDescent="0.15">
      <c r="A162" t="str">
        <f t="shared" si="5"/>
        <v>#comment(above,nsize=[15],size=[30],num=[10])</v>
      </c>
      <c r="B162" t="s">
        <v>48</v>
      </c>
    </row>
    <row r="163" spans="1:2" x14ac:dyDescent="0.15">
      <c r="A163" t="str">
        <f t="shared" si="5"/>
        <v>[[プレインズウォーカーリスト&gt;プレインズウォーカーリスト]]</v>
      </c>
      <c r="B163" t="s">
        <v>49</v>
      </c>
    </row>
  </sheetData>
  <phoneticPr fontId="4"/>
  <dataValidations count="2">
    <dataValidation type="list" allowBlank="1" showInputMessage="1" showErrorMessage="1" sqref="F99:F116">
      <formula1>$Q$98:$Q$122</formula1>
    </dataValidation>
    <dataValidation type="list" allowBlank="1" showInputMessage="1" showErrorMessage="1" sqref="F117:F158">
      <formula1>$Q$98:$Q$110</formula1>
    </dataValidation>
  </dataValidations>
  <pageMargins left="0.69930555555555596" right="0.69930555555555596" top="0.75" bottom="0.75" header="0.3" footer="0.3"/>
  <pageSetup paperSize="9" orientation="portrai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T162"/>
  <sheetViews>
    <sheetView workbookViewId="0">
      <selection activeCell="R68" sqref="R68:T73"/>
    </sheetView>
  </sheetViews>
  <sheetFormatPr defaultColWidth="9" defaultRowHeight="13.5" x14ac:dyDescent="0.15"/>
  <cols>
    <col min="2" max="2" width="3.5" customWidth="1"/>
    <col min="3" max="3" width="7.875" customWidth="1"/>
    <col min="4" max="4" width="5.5" customWidth="1"/>
    <col min="5" max="5" width="2" customWidth="1"/>
    <col min="7" max="7" width="2" customWidth="1"/>
    <col min="9" max="9" width="2" customWidth="1"/>
    <col min="11" max="11" width="2" customWidth="1"/>
    <col min="13" max="13" width="2" customWidth="1"/>
    <col min="15" max="15" width="2" customWidth="1"/>
    <col min="17" max="17" width="2.75" customWidth="1"/>
  </cols>
  <sheetData>
    <row r="1" spans="1:8" x14ac:dyDescent="0.15">
      <c r="A1" t="str">
        <f>B1&amp;C1&amp;D1&amp;E1&amp;F1&amp;G1&amp;H1&amp;I1&amp;J1&amp;K1&amp;L1&amp;M1&amp;N1&amp;O1&amp;P1</f>
        <v>特別オファーで購入するか、マナクリスタルで購入する事で入手できる。</v>
      </c>
      <c r="B1" t="s">
        <v>369</v>
      </c>
    </row>
    <row r="2" spans="1:8" x14ac:dyDescent="0.15">
      <c r="A2" t="str">
        <f>B2&amp;C2&amp;D2&amp;E2&amp;F2&amp;G2&amp;H2&amp;I2&amp;J2&amp;K2&amp;L2&amp;M2&amp;N2&amp;O2&amp;P2</f>
        <v>&amp;br;</v>
      </c>
      <c r="B2" t="s">
        <v>0</v>
      </c>
    </row>
    <row r="3" spans="1:8" x14ac:dyDescent="0.15">
      <c r="A3" t="str">
        <f>B3&amp;C3&amp;D3&amp;E3&amp;F3&amp;G3&amp;H3&amp;I3&amp;J3&amp;K3&amp;L3&amp;M3&amp;N3&amp;O3&amp;P3</f>
        <v>#contents()</v>
      </c>
      <c r="B3" t="s">
        <v>1</v>
      </c>
    </row>
    <row r="4" spans="1:8" x14ac:dyDescent="0.15">
      <c r="A4" t="str">
        <f>B4&amp;C4&amp;D4&amp;E4&amp;F4&amp;G4&amp;H4&amp;I4&amp;J4&amp;K4&amp;L4&amp;M4&amp;N4&amp;O4&amp;P4</f>
        <v>*HP [#f569d8c6]</v>
      </c>
      <c r="B4" t="s">
        <v>2</v>
      </c>
    </row>
    <row r="5" spans="1:8" x14ac:dyDescent="0.15">
      <c r="A5" t="str">
        <f>B5&amp;C5&amp;D5&amp;E5&amp;F5&amp;G5&amp;H5</f>
        <v>|LEFT:50|LEFT:50|c</v>
      </c>
      <c r="B5" t="s">
        <v>3</v>
      </c>
      <c r="C5" t="s">
        <v>4</v>
      </c>
      <c r="E5" t="s">
        <v>3</v>
      </c>
      <c r="F5" t="s">
        <v>4</v>
      </c>
      <c r="G5" t="s">
        <v>3</v>
      </c>
      <c r="H5" t="s">
        <v>5</v>
      </c>
    </row>
    <row r="6" spans="1:8" x14ac:dyDescent="0.15">
      <c r="A6" t="str">
        <f t="shared" ref="A6:A36" si="0">B6&amp;C6&amp;D6&amp;E6&amp;F6&amp;G6&amp;H6</f>
        <v>|レベル|HP|</v>
      </c>
      <c r="B6" t="s">
        <v>3</v>
      </c>
      <c r="C6" t="s">
        <v>6</v>
      </c>
      <c r="E6" t="s">
        <v>3</v>
      </c>
      <c r="F6" t="s">
        <v>7</v>
      </c>
      <c r="G6" t="s">
        <v>3</v>
      </c>
    </row>
    <row r="7" spans="1:8" x14ac:dyDescent="0.15">
      <c r="A7" t="str">
        <f t="shared" si="0"/>
        <v>|Lv1|30|</v>
      </c>
      <c r="B7" t="s">
        <v>3</v>
      </c>
      <c r="C7" t="s">
        <v>8</v>
      </c>
      <c r="D7">
        <v>1</v>
      </c>
      <c r="E7" t="s">
        <v>3</v>
      </c>
      <c r="F7">
        <v>30</v>
      </c>
      <c r="G7" t="s">
        <v>3</v>
      </c>
    </row>
    <row r="8" spans="1:8" x14ac:dyDescent="0.15">
      <c r="A8" t="str">
        <f t="shared" si="0"/>
        <v>|Lv3|32|</v>
      </c>
      <c r="B8" t="s">
        <v>3</v>
      </c>
      <c r="C8" t="s">
        <v>8</v>
      </c>
      <c r="D8">
        <v>3</v>
      </c>
      <c r="E8" t="s">
        <v>3</v>
      </c>
      <c r="F8">
        <f t="shared" ref="F8:F36" si="1">IF(ISBLANK(D8),"",F7+INDEX($H$97:$H$156,D8))</f>
        <v>32</v>
      </c>
      <c r="G8" t="s">
        <v>3</v>
      </c>
    </row>
    <row r="9" spans="1:8" x14ac:dyDescent="0.15">
      <c r="A9" t="str">
        <f t="shared" si="0"/>
        <v>|Lv5|35|</v>
      </c>
      <c r="B9" t="s">
        <v>3</v>
      </c>
      <c r="C9" t="s">
        <v>8</v>
      </c>
      <c r="D9">
        <v>5</v>
      </c>
      <c r="E9" t="s">
        <v>3</v>
      </c>
      <c r="F9">
        <f t="shared" si="1"/>
        <v>35</v>
      </c>
      <c r="G9" t="s">
        <v>3</v>
      </c>
    </row>
    <row r="10" spans="1:8" x14ac:dyDescent="0.15">
      <c r="A10" t="str">
        <f t="shared" si="0"/>
        <v>|Lv7|37|</v>
      </c>
      <c r="B10" t="s">
        <v>3</v>
      </c>
      <c r="C10" t="s">
        <v>8</v>
      </c>
      <c r="D10">
        <v>7</v>
      </c>
      <c r="E10" t="s">
        <v>3</v>
      </c>
      <c r="F10">
        <f t="shared" si="1"/>
        <v>37</v>
      </c>
      <c r="G10" t="s">
        <v>3</v>
      </c>
    </row>
    <row r="11" spans="1:8" x14ac:dyDescent="0.15">
      <c r="A11" t="str">
        <f t="shared" si="0"/>
        <v>|Lv9|40|</v>
      </c>
      <c r="B11" t="s">
        <v>3</v>
      </c>
      <c r="C11" t="s">
        <v>8</v>
      </c>
      <c r="D11">
        <v>9</v>
      </c>
      <c r="E11" t="s">
        <v>3</v>
      </c>
      <c r="F11">
        <f t="shared" si="1"/>
        <v>40</v>
      </c>
      <c r="G11" t="s">
        <v>3</v>
      </c>
    </row>
    <row r="12" spans="1:8" x14ac:dyDescent="0.15">
      <c r="A12" t="str">
        <f t="shared" si="0"/>
        <v>|Lv11|42|</v>
      </c>
      <c r="B12" t="s">
        <v>3</v>
      </c>
      <c r="C12" t="s">
        <v>8</v>
      </c>
      <c r="D12">
        <v>11</v>
      </c>
      <c r="E12" t="s">
        <v>3</v>
      </c>
      <c r="F12">
        <f t="shared" si="1"/>
        <v>42</v>
      </c>
      <c r="G12" t="s">
        <v>3</v>
      </c>
    </row>
    <row r="13" spans="1:8" x14ac:dyDescent="0.15">
      <c r="A13" t="str">
        <f t="shared" si="0"/>
        <v>|Lv13|45|</v>
      </c>
      <c r="B13" t="s">
        <v>3</v>
      </c>
      <c r="C13" t="s">
        <v>8</v>
      </c>
      <c r="D13">
        <v>13</v>
      </c>
      <c r="E13" t="s">
        <v>3</v>
      </c>
      <c r="F13">
        <f t="shared" si="1"/>
        <v>45</v>
      </c>
      <c r="G13" t="s">
        <v>3</v>
      </c>
    </row>
    <row r="14" spans="1:8" x14ac:dyDescent="0.15">
      <c r="A14" t="str">
        <f t="shared" si="0"/>
        <v>|Lv15|47|</v>
      </c>
      <c r="B14" t="s">
        <v>3</v>
      </c>
      <c r="C14" t="s">
        <v>8</v>
      </c>
      <c r="D14">
        <v>15</v>
      </c>
      <c r="E14" t="s">
        <v>3</v>
      </c>
      <c r="F14">
        <f t="shared" si="1"/>
        <v>47</v>
      </c>
      <c r="G14" t="s">
        <v>3</v>
      </c>
    </row>
    <row r="15" spans="1:8" x14ac:dyDescent="0.15">
      <c r="A15" t="str">
        <f t="shared" si="0"/>
        <v>|Lv17|50|</v>
      </c>
      <c r="B15" t="s">
        <v>3</v>
      </c>
      <c r="C15" t="s">
        <v>8</v>
      </c>
      <c r="D15">
        <v>17</v>
      </c>
      <c r="E15" t="s">
        <v>3</v>
      </c>
      <c r="F15">
        <f t="shared" si="1"/>
        <v>50</v>
      </c>
      <c r="G15" t="s">
        <v>3</v>
      </c>
    </row>
    <row r="16" spans="1:8" x14ac:dyDescent="0.15">
      <c r="A16" t="str">
        <f t="shared" si="0"/>
        <v>|Lv19|52|</v>
      </c>
      <c r="B16" t="s">
        <v>3</v>
      </c>
      <c r="C16" t="s">
        <v>8</v>
      </c>
      <c r="D16">
        <v>19</v>
      </c>
      <c r="E16" t="s">
        <v>3</v>
      </c>
      <c r="F16">
        <f t="shared" si="1"/>
        <v>52</v>
      </c>
      <c r="G16" t="s">
        <v>3</v>
      </c>
    </row>
    <row r="17" spans="1:7" x14ac:dyDescent="0.15">
      <c r="A17" t="str">
        <f t="shared" si="0"/>
        <v>|Lv21|55|</v>
      </c>
      <c r="B17" t="s">
        <v>3</v>
      </c>
      <c r="C17" t="s">
        <v>8</v>
      </c>
      <c r="D17">
        <v>21</v>
      </c>
      <c r="E17" t="s">
        <v>3</v>
      </c>
      <c r="F17">
        <f t="shared" si="1"/>
        <v>55</v>
      </c>
      <c r="G17" t="s">
        <v>3</v>
      </c>
    </row>
    <row r="18" spans="1:7" x14ac:dyDescent="0.15">
      <c r="A18" t="str">
        <f t="shared" si="0"/>
        <v>|Lv23|57|</v>
      </c>
      <c r="B18" t="s">
        <v>3</v>
      </c>
      <c r="C18" t="s">
        <v>8</v>
      </c>
      <c r="D18">
        <v>23</v>
      </c>
      <c r="E18" t="s">
        <v>3</v>
      </c>
      <c r="F18">
        <f t="shared" si="1"/>
        <v>57</v>
      </c>
      <c r="G18" t="s">
        <v>3</v>
      </c>
    </row>
    <row r="19" spans="1:7" x14ac:dyDescent="0.15">
      <c r="A19" t="str">
        <f t="shared" si="0"/>
        <v>|Lv25|60|</v>
      </c>
      <c r="B19" t="s">
        <v>3</v>
      </c>
      <c r="C19" t="s">
        <v>8</v>
      </c>
      <c r="D19">
        <v>25</v>
      </c>
      <c r="E19" t="s">
        <v>3</v>
      </c>
      <c r="F19">
        <f t="shared" si="1"/>
        <v>60</v>
      </c>
      <c r="G19" t="s">
        <v>3</v>
      </c>
    </row>
    <row r="20" spans="1:7" x14ac:dyDescent="0.15">
      <c r="A20" t="str">
        <f t="shared" si="0"/>
        <v>|Lv27|62|</v>
      </c>
      <c r="B20" t="s">
        <v>3</v>
      </c>
      <c r="C20" t="s">
        <v>8</v>
      </c>
      <c r="D20">
        <v>27</v>
      </c>
      <c r="E20" t="s">
        <v>3</v>
      </c>
      <c r="F20">
        <f t="shared" si="1"/>
        <v>62</v>
      </c>
      <c r="G20" t="s">
        <v>3</v>
      </c>
    </row>
    <row r="21" spans="1:7" x14ac:dyDescent="0.15">
      <c r="A21" t="str">
        <f t="shared" si="0"/>
        <v>|Lv29|65|</v>
      </c>
      <c r="B21" t="s">
        <v>3</v>
      </c>
      <c r="C21" t="s">
        <v>8</v>
      </c>
      <c r="D21">
        <v>29</v>
      </c>
      <c r="E21" t="s">
        <v>3</v>
      </c>
      <c r="F21">
        <f t="shared" si="1"/>
        <v>65</v>
      </c>
      <c r="G21" t="s">
        <v>3</v>
      </c>
    </row>
    <row r="22" spans="1:7" x14ac:dyDescent="0.15">
      <c r="A22" t="str">
        <f t="shared" si="0"/>
        <v>|Lv31|67|</v>
      </c>
      <c r="B22" t="s">
        <v>3</v>
      </c>
      <c r="C22" t="s">
        <v>8</v>
      </c>
      <c r="D22">
        <v>31</v>
      </c>
      <c r="E22" t="s">
        <v>3</v>
      </c>
      <c r="F22">
        <f t="shared" si="1"/>
        <v>67</v>
      </c>
      <c r="G22" t="s">
        <v>3</v>
      </c>
    </row>
    <row r="23" spans="1:7" x14ac:dyDescent="0.15">
      <c r="A23" t="str">
        <f t="shared" si="0"/>
        <v>|Lv33|70|</v>
      </c>
      <c r="B23" t="s">
        <v>3</v>
      </c>
      <c r="C23" t="s">
        <v>8</v>
      </c>
      <c r="D23">
        <v>33</v>
      </c>
      <c r="E23" t="s">
        <v>3</v>
      </c>
      <c r="F23">
        <f t="shared" si="1"/>
        <v>70</v>
      </c>
      <c r="G23" t="s">
        <v>3</v>
      </c>
    </row>
    <row r="24" spans="1:7" x14ac:dyDescent="0.15">
      <c r="A24" t="str">
        <f t="shared" si="0"/>
        <v>|Lv35|72|</v>
      </c>
      <c r="B24" t="s">
        <v>3</v>
      </c>
      <c r="C24" t="s">
        <v>8</v>
      </c>
      <c r="D24">
        <v>35</v>
      </c>
      <c r="E24" t="s">
        <v>3</v>
      </c>
      <c r="F24">
        <f t="shared" si="1"/>
        <v>72</v>
      </c>
      <c r="G24" t="s">
        <v>3</v>
      </c>
    </row>
    <row r="25" spans="1:7" x14ac:dyDescent="0.15">
      <c r="A25" t="str">
        <f t="shared" si="0"/>
        <v>|Lv37|75|</v>
      </c>
      <c r="B25" t="s">
        <v>3</v>
      </c>
      <c r="C25" t="s">
        <v>8</v>
      </c>
      <c r="D25">
        <v>37</v>
      </c>
      <c r="E25" t="s">
        <v>3</v>
      </c>
      <c r="F25">
        <f t="shared" si="1"/>
        <v>75</v>
      </c>
      <c r="G25" t="s">
        <v>3</v>
      </c>
    </row>
    <row r="26" spans="1:7" x14ac:dyDescent="0.15">
      <c r="A26" t="str">
        <f t="shared" si="0"/>
        <v>|Lv39|77|</v>
      </c>
      <c r="B26" t="s">
        <v>3</v>
      </c>
      <c r="C26" t="s">
        <v>8</v>
      </c>
      <c r="D26">
        <v>39</v>
      </c>
      <c r="E26" t="s">
        <v>3</v>
      </c>
      <c r="F26">
        <f t="shared" si="1"/>
        <v>77</v>
      </c>
      <c r="G26" t="s">
        <v>3</v>
      </c>
    </row>
    <row r="27" spans="1:7" x14ac:dyDescent="0.15">
      <c r="A27" t="str">
        <f t="shared" si="0"/>
        <v>|Lv41|80|</v>
      </c>
      <c r="B27" t="s">
        <v>3</v>
      </c>
      <c r="C27" t="s">
        <v>8</v>
      </c>
      <c r="D27">
        <v>41</v>
      </c>
      <c r="E27" t="s">
        <v>3</v>
      </c>
      <c r="F27">
        <f t="shared" si="1"/>
        <v>80</v>
      </c>
      <c r="G27" t="s">
        <v>3</v>
      </c>
    </row>
    <row r="28" spans="1:7" x14ac:dyDescent="0.15">
      <c r="A28" t="str">
        <f t="shared" si="0"/>
        <v>|Lv43|82|</v>
      </c>
      <c r="B28" t="s">
        <v>3</v>
      </c>
      <c r="C28" t="s">
        <v>8</v>
      </c>
      <c r="D28">
        <v>43</v>
      </c>
      <c r="E28" t="s">
        <v>3</v>
      </c>
      <c r="F28">
        <f t="shared" si="1"/>
        <v>82</v>
      </c>
      <c r="G28" t="s">
        <v>3</v>
      </c>
    </row>
    <row r="29" spans="1:7" x14ac:dyDescent="0.15">
      <c r="A29" t="str">
        <f t="shared" si="0"/>
        <v>|Lv45|85|</v>
      </c>
      <c r="B29" t="s">
        <v>3</v>
      </c>
      <c r="C29" t="s">
        <v>8</v>
      </c>
      <c r="D29">
        <v>45</v>
      </c>
      <c r="E29" t="s">
        <v>3</v>
      </c>
      <c r="F29">
        <f t="shared" si="1"/>
        <v>85</v>
      </c>
      <c r="G29" t="s">
        <v>3</v>
      </c>
    </row>
    <row r="30" spans="1:7" x14ac:dyDescent="0.15">
      <c r="A30" t="str">
        <f t="shared" si="0"/>
        <v>|Lv47|87|</v>
      </c>
      <c r="B30" t="s">
        <v>3</v>
      </c>
      <c r="C30" t="s">
        <v>8</v>
      </c>
      <c r="D30">
        <v>47</v>
      </c>
      <c r="E30" t="s">
        <v>3</v>
      </c>
      <c r="F30">
        <f t="shared" si="1"/>
        <v>87</v>
      </c>
      <c r="G30" t="s">
        <v>3</v>
      </c>
    </row>
    <row r="31" spans="1:7" x14ac:dyDescent="0.15">
      <c r="A31" t="str">
        <f t="shared" si="0"/>
        <v>|Lv49|90|</v>
      </c>
      <c r="B31" t="s">
        <v>3</v>
      </c>
      <c r="C31" t="s">
        <v>8</v>
      </c>
      <c r="D31">
        <v>49</v>
      </c>
      <c r="E31" t="s">
        <v>3</v>
      </c>
      <c r="F31">
        <f t="shared" si="1"/>
        <v>90</v>
      </c>
      <c r="G31" t="s">
        <v>3</v>
      </c>
    </row>
    <row r="32" spans="1:7" x14ac:dyDescent="0.15">
      <c r="A32" t="str">
        <f t="shared" si="0"/>
        <v>|Lv51|92|</v>
      </c>
      <c r="B32" t="s">
        <v>3</v>
      </c>
      <c r="C32" t="s">
        <v>8</v>
      </c>
      <c r="D32">
        <v>51</v>
      </c>
      <c r="E32" t="s">
        <v>3</v>
      </c>
      <c r="F32">
        <f t="shared" si="1"/>
        <v>92</v>
      </c>
      <c r="G32" t="s">
        <v>3</v>
      </c>
    </row>
    <row r="33" spans="1:19" x14ac:dyDescent="0.15">
      <c r="A33" t="str">
        <f t="shared" si="0"/>
        <v>|Lv53|95|</v>
      </c>
      <c r="B33" t="s">
        <v>3</v>
      </c>
      <c r="C33" t="s">
        <v>8</v>
      </c>
      <c r="D33">
        <v>53</v>
      </c>
      <c r="E33" t="s">
        <v>3</v>
      </c>
      <c r="F33">
        <f t="shared" si="1"/>
        <v>95</v>
      </c>
      <c r="G33" t="s">
        <v>3</v>
      </c>
    </row>
    <row r="34" spans="1:19" x14ac:dyDescent="0.15">
      <c r="A34" t="str">
        <f t="shared" si="0"/>
        <v>|Lv55|97|</v>
      </c>
      <c r="B34" t="s">
        <v>3</v>
      </c>
      <c r="C34" t="s">
        <v>8</v>
      </c>
      <c r="D34">
        <v>55</v>
      </c>
      <c r="E34" t="s">
        <v>3</v>
      </c>
      <c r="F34">
        <f t="shared" si="1"/>
        <v>97</v>
      </c>
      <c r="G34" t="s">
        <v>3</v>
      </c>
    </row>
    <row r="35" spans="1:19" x14ac:dyDescent="0.15">
      <c r="A35" t="str">
        <f t="shared" si="0"/>
        <v>|Lv57|100|</v>
      </c>
      <c r="B35" t="s">
        <v>3</v>
      </c>
      <c r="C35" t="s">
        <v>8</v>
      </c>
      <c r="D35">
        <v>57</v>
      </c>
      <c r="E35" t="s">
        <v>3</v>
      </c>
      <c r="F35">
        <f t="shared" si="1"/>
        <v>100</v>
      </c>
      <c r="G35" t="s">
        <v>3</v>
      </c>
    </row>
    <row r="36" spans="1:19" x14ac:dyDescent="0.15">
      <c r="A36" t="str">
        <f t="shared" si="0"/>
        <v>|Lv59|102|</v>
      </c>
      <c r="B36" t="s">
        <v>3</v>
      </c>
      <c r="C36" t="s">
        <v>8</v>
      </c>
      <c r="D36">
        <v>59</v>
      </c>
      <c r="E36" t="s">
        <v>3</v>
      </c>
      <c r="F36">
        <f t="shared" si="1"/>
        <v>102</v>
      </c>
      <c r="G36" t="s">
        <v>3</v>
      </c>
    </row>
    <row r="37" spans="1:19" x14ac:dyDescent="0.15">
      <c r="A37" t="str">
        <f>B37&amp;C37&amp;D37&amp;E37&amp;F37&amp;G37&amp;H37&amp;I37&amp;J37&amp;K37&amp;L37&amp;M37&amp;N37&amp;O37&amp;P37</f>
        <v>&amp;br;</v>
      </c>
      <c r="B37" t="s">
        <v>0</v>
      </c>
    </row>
    <row r="38" spans="1:19" x14ac:dyDescent="0.15">
      <c r="A38" t="str">
        <f>B38&amp;C38&amp;D38&amp;E38&amp;F38&amp;G38&amp;H38&amp;I38&amp;J38&amp;K38&amp;L38&amp;M38&amp;N38&amp;O38&amp;P38</f>
        <v>&amp;br;</v>
      </c>
      <c r="B38" t="s">
        <v>0</v>
      </c>
    </row>
    <row r="39" spans="1:19" x14ac:dyDescent="0.15">
      <c r="A39" t="str">
        <f>B39&amp;C39&amp;D39&amp;E39&amp;F39&amp;G39&amp;H39&amp;I39&amp;J39&amp;K39&amp;L39&amp;M39&amp;N39&amp;O39&amp;P39</f>
        <v>*マナボーナス [#q1a26f54]</v>
      </c>
      <c r="B39" t="s">
        <v>9</v>
      </c>
    </row>
    <row r="40" spans="1:19" x14ac:dyDescent="0.15">
      <c r="A40" t="str">
        <f t="shared" ref="A40:A50" si="2">B40&amp;C40&amp;D40&amp;G40&amp;H40&amp;I40&amp;J40&amp;K40&amp;L40&amp;M40&amp;N40&amp;O40&amp;P40&amp;Q40&amp;R40</f>
        <v>|LEFT:50|LEFT:50|LEFT:50|LEFT:50|LEFT:50|LEFT:50|c</v>
      </c>
      <c r="B40" t="s">
        <v>3</v>
      </c>
      <c r="C40" t="s">
        <v>4</v>
      </c>
      <c r="E40" t="s">
        <v>3</v>
      </c>
      <c r="G40" t="s">
        <v>3</v>
      </c>
      <c r="H40" t="s">
        <v>4</v>
      </c>
      <c r="I40" t="s">
        <v>3</v>
      </c>
      <c r="J40" t="s">
        <v>4</v>
      </c>
      <c r="K40" t="s">
        <v>3</v>
      </c>
      <c r="L40" t="s">
        <v>4</v>
      </c>
      <c r="M40" t="s">
        <v>3</v>
      </c>
      <c r="N40" t="s">
        <v>4</v>
      </c>
      <c r="O40" t="s">
        <v>3</v>
      </c>
      <c r="P40" t="s">
        <v>4</v>
      </c>
      <c r="Q40" t="s">
        <v>3</v>
      </c>
      <c r="R40" t="s">
        <v>5</v>
      </c>
    </row>
    <row r="41" spans="1:19" x14ac:dyDescent="0.15">
      <c r="A41" t="str">
        <f t="shared" si="2"/>
        <v>|レベル|白|青|黒|赤|緑|</v>
      </c>
      <c r="B41" t="s">
        <v>3</v>
      </c>
      <c r="C41" t="s">
        <v>6</v>
      </c>
      <c r="E41" t="s">
        <v>3</v>
      </c>
      <c r="F41" t="s">
        <v>10</v>
      </c>
      <c r="G41" t="s">
        <v>3</v>
      </c>
      <c r="H41" t="s">
        <v>11</v>
      </c>
      <c r="I41" t="s">
        <v>3</v>
      </c>
      <c r="J41" t="s">
        <v>12</v>
      </c>
      <c r="K41" t="s">
        <v>3</v>
      </c>
      <c r="L41" t="s">
        <v>13</v>
      </c>
      <c r="M41" t="s">
        <v>3</v>
      </c>
      <c r="N41" t="s">
        <v>14</v>
      </c>
      <c r="O41" t="s">
        <v>3</v>
      </c>
      <c r="P41" t="s">
        <v>15</v>
      </c>
      <c r="Q41" t="s">
        <v>3</v>
      </c>
      <c r="S41" t="s">
        <v>11</v>
      </c>
    </row>
    <row r="42" spans="1:19" x14ac:dyDescent="0.15">
      <c r="A42" t="str">
        <f t="shared" si="2"/>
        <v>|Lv1|2|-2|-2|3|-2|</v>
      </c>
      <c r="B42" t="s">
        <v>3</v>
      </c>
      <c r="C42" t="s">
        <v>8</v>
      </c>
      <c r="D42">
        <v>1</v>
      </c>
      <c r="E42" t="s">
        <v>3</v>
      </c>
      <c r="G42" t="s">
        <v>3</v>
      </c>
      <c r="H42">
        <v>2</v>
      </c>
      <c r="I42" t="s">
        <v>3</v>
      </c>
      <c r="J42">
        <v>-2</v>
      </c>
      <c r="K42" t="s">
        <v>3</v>
      </c>
      <c r="L42">
        <v>-2</v>
      </c>
      <c r="M42" t="s">
        <v>3</v>
      </c>
      <c r="N42">
        <v>3</v>
      </c>
      <c r="O42" t="s">
        <v>3</v>
      </c>
      <c r="P42">
        <v>-2</v>
      </c>
      <c r="Q42" t="s">
        <v>3</v>
      </c>
      <c r="S42" t="s">
        <v>12</v>
      </c>
    </row>
    <row r="43" spans="1:19" x14ac:dyDescent="0.15">
      <c r="A43" t="str">
        <f t="shared" si="2"/>
        <v>|Lv4|3|-2|-2|3|-2|</v>
      </c>
      <c r="B43" t="s">
        <v>3</v>
      </c>
      <c r="C43" t="s">
        <v>8</v>
      </c>
      <c r="D43">
        <v>4</v>
      </c>
      <c r="E43" t="s">
        <v>3</v>
      </c>
      <c r="F43" t="str">
        <f t="shared" ref="F43:F50" si="3">IF(ISBLANK(D43),"",INDEX($F$97:$F$156,D43))</f>
        <v>白</v>
      </c>
      <c r="G43" t="s">
        <v>3</v>
      </c>
      <c r="H43">
        <f>H42+IF(H$41=$F43,1,0)</f>
        <v>3</v>
      </c>
      <c r="I43" t="str">
        <f t="shared" ref="I43:Q50" si="4">I42</f>
        <v>|</v>
      </c>
      <c r="J43">
        <f>J42+IF(J$41=$F43,1,0)</f>
        <v>-2</v>
      </c>
      <c r="K43" t="str">
        <f t="shared" si="4"/>
        <v>|</v>
      </c>
      <c r="L43">
        <f>L42+IF(L$41=$F43,1,0)</f>
        <v>-2</v>
      </c>
      <c r="M43" t="str">
        <f t="shared" si="4"/>
        <v>|</v>
      </c>
      <c r="N43">
        <f>N42+IF(N$41=$F43,1,0)</f>
        <v>3</v>
      </c>
      <c r="O43" t="str">
        <f t="shared" si="4"/>
        <v>|</v>
      </c>
      <c r="P43">
        <f>P42+IF(P$41=$F43,1,0)</f>
        <v>-2</v>
      </c>
      <c r="Q43" t="str">
        <f t="shared" si="4"/>
        <v>|</v>
      </c>
      <c r="S43" t="s">
        <v>13</v>
      </c>
    </row>
    <row r="44" spans="1:19" x14ac:dyDescent="0.15">
      <c r="A44" t="str">
        <f t="shared" si="2"/>
        <v>|Lv10|3|-2|-2|4|-2|</v>
      </c>
      <c r="B44" t="s">
        <v>3</v>
      </c>
      <c r="C44" t="s">
        <v>8</v>
      </c>
      <c r="D44">
        <v>10</v>
      </c>
      <c r="E44" t="s">
        <v>3</v>
      </c>
      <c r="F44" t="str">
        <f t="shared" si="3"/>
        <v>赤</v>
      </c>
      <c r="G44" t="s">
        <v>3</v>
      </c>
      <c r="H44">
        <f t="shared" ref="H44:P50" si="5">H43+IF(H$41=$F44,1,0)</f>
        <v>3</v>
      </c>
      <c r="I44" t="str">
        <f t="shared" si="4"/>
        <v>|</v>
      </c>
      <c r="J44">
        <f t="shared" si="5"/>
        <v>-2</v>
      </c>
      <c r="K44" t="str">
        <f t="shared" si="4"/>
        <v>|</v>
      </c>
      <c r="L44">
        <f t="shared" si="5"/>
        <v>-2</v>
      </c>
      <c r="M44" t="str">
        <f t="shared" si="4"/>
        <v>|</v>
      </c>
      <c r="N44">
        <f>N43+IF(N$41=$F44,1,0)</f>
        <v>4</v>
      </c>
      <c r="O44" t="str">
        <f t="shared" si="4"/>
        <v>|</v>
      </c>
      <c r="P44">
        <f t="shared" si="5"/>
        <v>-2</v>
      </c>
      <c r="Q44" t="str">
        <f t="shared" si="4"/>
        <v>|</v>
      </c>
      <c r="S44" t="s">
        <v>14</v>
      </c>
    </row>
    <row r="45" spans="1:19" x14ac:dyDescent="0.15">
      <c r="A45" t="str">
        <f t="shared" si="2"/>
        <v>|Lv22|3|-2|-1|4|-2|</v>
      </c>
      <c r="B45" t="s">
        <v>3</v>
      </c>
      <c r="C45" t="s">
        <v>8</v>
      </c>
      <c r="D45">
        <v>22</v>
      </c>
      <c r="E45" t="s">
        <v>3</v>
      </c>
      <c r="F45" t="str">
        <f t="shared" si="3"/>
        <v>黒</v>
      </c>
      <c r="G45" t="s">
        <v>3</v>
      </c>
      <c r="H45">
        <f t="shared" si="5"/>
        <v>3</v>
      </c>
      <c r="I45" t="str">
        <f t="shared" si="4"/>
        <v>|</v>
      </c>
      <c r="J45">
        <f t="shared" si="5"/>
        <v>-2</v>
      </c>
      <c r="K45" t="str">
        <f t="shared" si="4"/>
        <v>|</v>
      </c>
      <c r="L45">
        <f t="shared" si="5"/>
        <v>-1</v>
      </c>
      <c r="M45" t="str">
        <f t="shared" si="4"/>
        <v>|</v>
      </c>
      <c r="N45">
        <f t="shared" si="5"/>
        <v>4</v>
      </c>
      <c r="O45" t="str">
        <f t="shared" si="4"/>
        <v>|</v>
      </c>
      <c r="P45">
        <f t="shared" si="5"/>
        <v>-2</v>
      </c>
      <c r="Q45" t="str">
        <f t="shared" si="4"/>
        <v>|</v>
      </c>
      <c r="S45" t="s">
        <v>15</v>
      </c>
    </row>
    <row r="46" spans="1:19" x14ac:dyDescent="0.15">
      <c r="A46" t="str">
        <f t="shared" si="2"/>
        <v>|Lv28|3|-1|-1|4|-2|</v>
      </c>
      <c r="B46" t="s">
        <v>3</v>
      </c>
      <c r="C46" t="s">
        <v>8</v>
      </c>
      <c r="D46">
        <v>28</v>
      </c>
      <c r="E46" t="s">
        <v>3</v>
      </c>
      <c r="F46" t="str">
        <f t="shared" si="3"/>
        <v>青</v>
      </c>
      <c r="G46" t="s">
        <v>3</v>
      </c>
      <c r="H46">
        <f t="shared" si="5"/>
        <v>3</v>
      </c>
      <c r="I46" t="str">
        <f t="shared" si="4"/>
        <v>|</v>
      </c>
      <c r="J46">
        <f t="shared" si="5"/>
        <v>-1</v>
      </c>
      <c r="K46" t="str">
        <f t="shared" si="4"/>
        <v>|</v>
      </c>
      <c r="L46">
        <f t="shared" si="5"/>
        <v>-1</v>
      </c>
      <c r="M46" t="str">
        <f t="shared" si="4"/>
        <v>|</v>
      </c>
      <c r="N46">
        <f t="shared" si="5"/>
        <v>4</v>
      </c>
      <c r="O46" t="str">
        <f t="shared" si="4"/>
        <v>|</v>
      </c>
      <c r="P46">
        <f>P45+IF(P$41=$F46,1,0)</f>
        <v>-2</v>
      </c>
      <c r="Q46" t="str">
        <f t="shared" si="4"/>
        <v>|</v>
      </c>
    </row>
    <row r="47" spans="1:19" x14ac:dyDescent="0.15">
      <c r="A47" t="str">
        <f t="shared" si="2"/>
        <v>|Lv34|4|-1|-1|4|-2|</v>
      </c>
      <c r="B47" t="s">
        <v>3</v>
      </c>
      <c r="C47" t="s">
        <v>8</v>
      </c>
      <c r="D47">
        <v>34</v>
      </c>
      <c r="E47" t="s">
        <v>3</v>
      </c>
      <c r="F47" t="str">
        <f t="shared" si="3"/>
        <v>白</v>
      </c>
      <c r="G47" t="s">
        <v>3</v>
      </c>
      <c r="H47">
        <f t="shared" si="5"/>
        <v>4</v>
      </c>
      <c r="I47" t="str">
        <f t="shared" si="4"/>
        <v>|</v>
      </c>
      <c r="J47">
        <f t="shared" si="5"/>
        <v>-1</v>
      </c>
      <c r="K47" t="str">
        <f t="shared" si="4"/>
        <v>|</v>
      </c>
      <c r="L47">
        <f t="shared" si="5"/>
        <v>-1</v>
      </c>
      <c r="M47" t="str">
        <f t="shared" si="4"/>
        <v>|</v>
      </c>
      <c r="N47">
        <f t="shared" si="5"/>
        <v>4</v>
      </c>
      <c r="O47" t="str">
        <f t="shared" si="4"/>
        <v>|</v>
      </c>
      <c r="P47">
        <f t="shared" si="5"/>
        <v>-2</v>
      </c>
      <c r="Q47" t="str">
        <f t="shared" si="4"/>
        <v>|</v>
      </c>
    </row>
    <row r="48" spans="1:19" x14ac:dyDescent="0.15">
      <c r="A48" t="str">
        <f t="shared" si="2"/>
        <v>|Lv42|4|-1|-1|4|-1|</v>
      </c>
      <c r="B48" t="s">
        <v>3</v>
      </c>
      <c r="C48" t="s">
        <v>8</v>
      </c>
      <c r="D48">
        <v>42</v>
      </c>
      <c r="E48" t="s">
        <v>3</v>
      </c>
      <c r="F48" t="str">
        <f t="shared" si="3"/>
        <v>緑</v>
      </c>
      <c r="G48" t="s">
        <v>3</v>
      </c>
      <c r="H48">
        <f t="shared" si="5"/>
        <v>4</v>
      </c>
      <c r="I48" t="str">
        <f t="shared" si="4"/>
        <v>|</v>
      </c>
      <c r="J48">
        <f t="shared" si="5"/>
        <v>-1</v>
      </c>
      <c r="K48" t="str">
        <f t="shared" si="4"/>
        <v>|</v>
      </c>
      <c r="L48">
        <f t="shared" si="5"/>
        <v>-1</v>
      </c>
      <c r="M48" t="str">
        <f t="shared" si="4"/>
        <v>|</v>
      </c>
      <c r="N48">
        <f t="shared" si="5"/>
        <v>4</v>
      </c>
      <c r="O48" t="str">
        <f t="shared" si="4"/>
        <v>|</v>
      </c>
      <c r="P48">
        <f t="shared" si="5"/>
        <v>-1</v>
      </c>
      <c r="Q48" t="str">
        <f t="shared" si="4"/>
        <v>|</v>
      </c>
    </row>
    <row r="49" spans="1:19" x14ac:dyDescent="0.15">
      <c r="A49" t="str">
        <f t="shared" si="2"/>
        <v>|Lv48|4|0|-1|4|-1|</v>
      </c>
      <c r="B49" t="s">
        <v>3</v>
      </c>
      <c r="C49" t="s">
        <v>8</v>
      </c>
      <c r="D49">
        <v>48</v>
      </c>
      <c r="E49" t="s">
        <v>3</v>
      </c>
      <c r="F49" t="str">
        <f t="shared" si="3"/>
        <v>青</v>
      </c>
      <c r="G49" t="s">
        <v>3</v>
      </c>
      <c r="H49">
        <f t="shared" si="5"/>
        <v>4</v>
      </c>
      <c r="I49" t="str">
        <f t="shared" si="4"/>
        <v>|</v>
      </c>
      <c r="J49">
        <f t="shared" si="5"/>
        <v>0</v>
      </c>
      <c r="K49" t="str">
        <f t="shared" si="4"/>
        <v>|</v>
      </c>
      <c r="L49">
        <f t="shared" si="5"/>
        <v>-1</v>
      </c>
      <c r="M49" t="str">
        <f t="shared" si="4"/>
        <v>|</v>
      </c>
      <c r="N49">
        <f t="shared" si="5"/>
        <v>4</v>
      </c>
      <c r="O49" t="str">
        <f t="shared" si="4"/>
        <v>|</v>
      </c>
      <c r="P49">
        <f>P48+IF(P$41=$F49,1,0)</f>
        <v>-1</v>
      </c>
      <c r="Q49" t="str">
        <f t="shared" si="4"/>
        <v>|</v>
      </c>
    </row>
    <row r="50" spans="1:19" x14ac:dyDescent="0.15">
      <c r="A50" t="str">
        <f t="shared" si="2"/>
        <v>|Lv54|4|0|-1|4|0|</v>
      </c>
      <c r="B50" t="s">
        <v>3</v>
      </c>
      <c r="C50" t="s">
        <v>8</v>
      </c>
      <c r="D50">
        <v>54</v>
      </c>
      <c r="E50" t="s">
        <v>3</v>
      </c>
      <c r="F50" t="str">
        <f t="shared" si="3"/>
        <v>緑</v>
      </c>
      <c r="G50" t="s">
        <v>3</v>
      </c>
      <c r="H50">
        <f t="shared" si="5"/>
        <v>4</v>
      </c>
      <c r="I50" t="str">
        <f t="shared" si="4"/>
        <v>|</v>
      </c>
      <c r="J50">
        <f t="shared" si="5"/>
        <v>0</v>
      </c>
      <c r="K50" t="str">
        <f t="shared" si="4"/>
        <v>|</v>
      </c>
      <c r="L50">
        <f t="shared" si="5"/>
        <v>-1</v>
      </c>
      <c r="M50" t="str">
        <f t="shared" si="4"/>
        <v>|</v>
      </c>
      <c r="N50">
        <f t="shared" si="5"/>
        <v>4</v>
      </c>
      <c r="O50" t="str">
        <f t="shared" si="4"/>
        <v>|</v>
      </c>
      <c r="P50">
        <f>P49+IF(P$41=$F50,1,0)</f>
        <v>0</v>
      </c>
      <c r="Q50" t="str">
        <f t="shared" si="4"/>
        <v>|</v>
      </c>
    </row>
    <row r="51" spans="1:19" x14ac:dyDescent="0.15">
      <c r="A51" t="str">
        <f>B51&amp;C51&amp;D51&amp;E51&amp;F51&amp;G51&amp;H51&amp;I51&amp;J51&amp;K51&amp;L51&amp;M51&amp;N51&amp;O51&amp;P51</f>
        <v>&amp;br;</v>
      </c>
      <c r="B51" t="s">
        <v>0</v>
      </c>
    </row>
    <row r="52" spans="1:19" x14ac:dyDescent="0.15">
      <c r="A52" t="str">
        <f>B52&amp;C52&amp;D52&amp;E52&amp;F52&amp;G52&amp;H52&amp;I52&amp;J52&amp;K52&amp;L52&amp;M52&amp;N52&amp;O52&amp;P52</f>
        <v>&amp;br;</v>
      </c>
      <c r="B52" t="s">
        <v>0</v>
      </c>
    </row>
    <row r="53" spans="1:19" x14ac:dyDescent="0.15">
      <c r="A53" t="str">
        <f>B53&amp;C53&amp;D53&amp;E53&amp;F53&amp;G53&amp;H53&amp;I53&amp;J53&amp;K53&amp;L53&amp;M53&amp;N53&amp;O53&amp;P53</f>
        <v>*デッキ構築枚数上限 [#e6f382eb]</v>
      </c>
      <c r="B53" t="s">
        <v>16</v>
      </c>
    </row>
    <row r="54" spans="1:19" x14ac:dyDescent="0.15">
      <c r="A54" t="str">
        <f>B54&amp;C54&amp;D54&amp;E54&amp;F54&amp;G54&amp;H54&amp;I54&amp;J54&amp;K54&amp;L54&amp;M54&amp;N54&amp;O54&amp;P54</f>
        <v>構築枚数上限を越える枚数はデッキに入れられない。</v>
      </c>
      <c r="B54" t="s">
        <v>17</v>
      </c>
    </row>
    <row r="55" spans="1:19" x14ac:dyDescent="0.15">
      <c r="A55" t="str">
        <f t="shared" ref="A55:A64" si="6">B55&amp;C55&amp;D55&amp;G55&amp;H55&amp;I55&amp;J55&amp;K55&amp;L55&amp;M55&amp;N55&amp;O55&amp;P55&amp;Q55&amp;R55</f>
        <v>|LEFT:50|LEFT:80|LEFT:80|LEFT:80|c</v>
      </c>
      <c r="B55" t="s">
        <v>3</v>
      </c>
      <c r="C55" t="s">
        <v>4</v>
      </c>
      <c r="E55" t="s">
        <v>3</v>
      </c>
      <c r="G55" t="s">
        <v>3</v>
      </c>
      <c r="H55" t="s">
        <v>18</v>
      </c>
      <c r="I55" t="s">
        <v>3</v>
      </c>
      <c r="J55" t="s">
        <v>18</v>
      </c>
      <c r="K55" t="s">
        <v>3</v>
      </c>
      <c r="L55" t="s">
        <v>18</v>
      </c>
      <c r="M55" t="s">
        <v>3</v>
      </c>
      <c r="N55" t="s">
        <v>5</v>
      </c>
    </row>
    <row r="56" spans="1:19" x14ac:dyDescent="0.15">
      <c r="A56" t="str">
        <f t="shared" si="6"/>
        <v>|レベル|クリーチャー|呪文|サポート|</v>
      </c>
      <c r="B56" t="s">
        <v>3</v>
      </c>
      <c r="C56" t="s">
        <v>6</v>
      </c>
      <c r="E56" t="s">
        <v>3</v>
      </c>
      <c r="F56" t="s">
        <v>19</v>
      </c>
      <c r="G56" t="s">
        <v>3</v>
      </c>
      <c r="H56" t="s">
        <v>20</v>
      </c>
      <c r="I56" t="s">
        <v>3</v>
      </c>
      <c r="J56" t="s">
        <v>21</v>
      </c>
      <c r="K56" t="s">
        <v>3</v>
      </c>
      <c r="L56" t="s">
        <v>22</v>
      </c>
      <c r="M56" t="s">
        <v>3</v>
      </c>
      <c r="S56" t="s">
        <v>20</v>
      </c>
    </row>
    <row r="57" spans="1:19" x14ac:dyDescent="0.15">
      <c r="A57" t="str">
        <f t="shared" si="6"/>
        <v>|Lv1|6|2|2|</v>
      </c>
      <c r="B57" t="s">
        <v>3</v>
      </c>
      <c r="C57" t="s">
        <v>8</v>
      </c>
      <c r="D57">
        <v>1</v>
      </c>
      <c r="E57" t="s">
        <v>3</v>
      </c>
      <c r="G57" t="s">
        <v>3</v>
      </c>
      <c r="H57">
        <v>6</v>
      </c>
      <c r="I57" t="s">
        <v>3</v>
      </c>
      <c r="J57">
        <v>2</v>
      </c>
      <c r="K57" t="s">
        <v>3</v>
      </c>
      <c r="L57">
        <v>2</v>
      </c>
      <c r="M57" t="s">
        <v>3</v>
      </c>
      <c r="S57" t="s">
        <v>21</v>
      </c>
    </row>
    <row r="58" spans="1:19" x14ac:dyDescent="0.15">
      <c r="A58" t="str">
        <f t="shared" si="6"/>
        <v>|Lv2|7|2|2|</v>
      </c>
      <c r="B58" t="s">
        <v>3</v>
      </c>
      <c r="C58" t="s">
        <v>8</v>
      </c>
      <c r="D58">
        <v>2</v>
      </c>
      <c r="E58" t="s">
        <v>3</v>
      </c>
      <c r="F58" t="str">
        <f t="shared" ref="F58:F64" si="7">IF(ISBLANK(D58),"",INDEX($F$97:$F$156,D58))</f>
        <v>クリーチャー</v>
      </c>
      <c r="G58" t="s">
        <v>3</v>
      </c>
      <c r="H58">
        <f t="shared" ref="H58:H64" si="8">H57+IF(H$56=$F58,INDEX($H$97:$H$156,D58),0)</f>
        <v>7</v>
      </c>
      <c r="I58" t="s">
        <v>3</v>
      </c>
      <c r="J58">
        <f t="shared" ref="J58:J64" si="9">J57+IF(J$56=$F58,INDEX($H$97:$H$156,D58),0)</f>
        <v>2</v>
      </c>
      <c r="K58" t="s">
        <v>3</v>
      </c>
      <c r="L58">
        <f t="shared" ref="L58:L64" si="10">L57+IF(L$56=$F58,INDEX($H$97:$H$156,D58),0)</f>
        <v>2</v>
      </c>
      <c r="M58" t="s">
        <v>3</v>
      </c>
      <c r="S58" t="s">
        <v>22</v>
      </c>
    </row>
    <row r="59" spans="1:19" x14ac:dyDescent="0.15">
      <c r="A59" t="str">
        <f t="shared" si="6"/>
        <v>|Lv8|7|2|3|</v>
      </c>
      <c r="B59" t="s">
        <v>3</v>
      </c>
      <c r="C59" t="s">
        <v>8</v>
      </c>
      <c r="D59">
        <v>8</v>
      </c>
      <c r="E59" t="s">
        <v>3</v>
      </c>
      <c r="F59" t="str">
        <f t="shared" si="7"/>
        <v>サポート</v>
      </c>
      <c r="G59" t="s">
        <v>3</v>
      </c>
      <c r="H59">
        <f t="shared" si="8"/>
        <v>7</v>
      </c>
      <c r="I59" t="s">
        <v>3</v>
      </c>
      <c r="J59">
        <f t="shared" si="9"/>
        <v>2</v>
      </c>
      <c r="K59" t="s">
        <v>3</v>
      </c>
      <c r="L59">
        <f t="shared" si="10"/>
        <v>3</v>
      </c>
      <c r="M59" t="s">
        <v>3</v>
      </c>
    </row>
    <row r="60" spans="1:19" x14ac:dyDescent="0.15">
      <c r="A60" t="str">
        <f t="shared" si="6"/>
        <v>|Lv14|7|3|3|</v>
      </c>
      <c r="B60" t="s">
        <v>3</v>
      </c>
      <c r="C60" t="s">
        <v>8</v>
      </c>
      <c r="D60">
        <v>14</v>
      </c>
      <c r="E60" t="s">
        <v>3</v>
      </c>
      <c r="F60" t="str">
        <f t="shared" si="7"/>
        <v>呪文</v>
      </c>
      <c r="G60" t="s">
        <v>3</v>
      </c>
      <c r="H60">
        <f t="shared" si="8"/>
        <v>7</v>
      </c>
      <c r="I60" t="s">
        <v>3</v>
      </c>
      <c r="J60">
        <f t="shared" si="9"/>
        <v>3</v>
      </c>
      <c r="K60" t="s">
        <v>3</v>
      </c>
      <c r="L60">
        <f t="shared" si="10"/>
        <v>3</v>
      </c>
      <c r="M60" t="s">
        <v>3</v>
      </c>
    </row>
    <row r="61" spans="1:19" x14ac:dyDescent="0.15">
      <c r="A61" t="str">
        <f t="shared" si="6"/>
        <v>|Lv26|8|3|3|</v>
      </c>
      <c r="B61" t="s">
        <v>3</v>
      </c>
      <c r="C61" t="s">
        <v>8</v>
      </c>
      <c r="D61">
        <v>26</v>
      </c>
      <c r="E61" t="s">
        <v>3</v>
      </c>
      <c r="F61" t="str">
        <f t="shared" si="7"/>
        <v>クリーチャー</v>
      </c>
      <c r="G61" t="s">
        <v>3</v>
      </c>
      <c r="H61">
        <f t="shared" si="8"/>
        <v>8</v>
      </c>
      <c r="I61" t="s">
        <v>3</v>
      </c>
      <c r="J61">
        <f t="shared" si="9"/>
        <v>3</v>
      </c>
      <c r="K61" t="s">
        <v>3</v>
      </c>
      <c r="L61">
        <f t="shared" si="10"/>
        <v>3</v>
      </c>
      <c r="M61" t="s">
        <v>3</v>
      </c>
    </row>
    <row r="62" spans="1:19" x14ac:dyDescent="0.15">
      <c r="A62" t="str">
        <f t="shared" si="6"/>
        <v>|Lv32|8|3|4|</v>
      </c>
      <c r="B62" t="s">
        <v>3</v>
      </c>
      <c r="C62" t="s">
        <v>8</v>
      </c>
      <c r="D62">
        <v>32</v>
      </c>
      <c r="E62" t="s">
        <v>3</v>
      </c>
      <c r="F62" t="str">
        <f t="shared" si="7"/>
        <v>サポート</v>
      </c>
      <c r="G62" t="s">
        <v>3</v>
      </c>
      <c r="H62">
        <f t="shared" si="8"/>
        <v>8</v>
      </c>
      <c r="I62" t="s">
        <v>3</v>
      </c>
      <c r="J62">
        <f t="shared" si="9"/>
        <v>3</v>
      </c>
      <c r="K62" t="s">
        <v>3</v>
      </c>
      <c r="L62">
        <f t="shared" si="10"/>
        <v>4</v>
      </c>
      <c r="M62" t="s">
        <v>3</v>
      </c>
    </row>
    <row r="63" spans="1:19" x14ac:dyDescent="0.15">
      <c r="A63" t="str">
        <f t="shared" si="6"/>
        <v>|Lv38|8|4|4|</v>
      </c>
      <c r="B63" t="s">
        <v>3</v>
      </c>
      <c r="C63" t="s">
        <v>8</v>
      </c>
      <c r="D63">
        <v>38</v>
      </c>
      <c r="E63" t="s">
        <v>3</v>
      </c>
      <c r="F63" t="str">
        <f t="shared" si="7"/>
        <v>呪文</v>
      </c>
      <c r="G63" t="s">
        <v>3</v>
      </c>
      <c r="H63">
        <f t="shared" si="8"/>
        <v>8</v>
      </c>
      <c r="I63" t="s">
        <v>3</v>
      </c>
      <c r="J63">
        <f t="shared" si="9"/>
        <v>4</v>
      </c>
      <c r="K63" t="s">
        <v>3</v>
      </c>
      <c r="L63">
        <f t="shared" si="10"/>
        <v>4</v>
      </c>
      <c r="M63" t="s">
        <v>3</v>
      </c>
    </row>
    <row r="64" spans="1:19" x14ac:dyDescent="0.15">
      <c r="A64" t="str">
        <f t="shared" si="6"/>
        <v>|Lv50|9|4|4|</v>
      </c>
      <c r="B64" t="s">
        <v>3</v>
      </c>
      <c r="C64" t="s">
        <v>8</v>
      </c>
      <c r="D64">
        <v>50</v>
      </c>
      <c r="E64" t="s">
        <v>3</v>
      </c>
      <c r="F64" t="str">
        <f t="shared" si="7"/>
        <v>クリーチャー</v>
      </c>
      <c r="G64" t="s">
        <v>3</v>
      </c>
      <c r="H64">
        <f t="shared" si="8"/>
        <v>9</v>
      </c>
      <c r="I64" t="s">
        <v>3</v>
      </c>
      <c r="J64">
        <f t="shared" si="9"/>
        <v>4</v>
      </c>
      <c r="K64" t="s">
        <v>3</v>
      </c>
      <c r="L64">
        <f t="shared" si="10"/>
        <v>4</v>
      </c>
      <c r="M64" t="s">
        <v>3</v>
      </c>
    </row>
    <row r="65" spans="1:20" x14ac:dyDescent="0.15">
      <c r="A65" t="str">
        <f t="shared" ref="A65:A86" si="11">B65&amp;C65&amp;D65&amp;E65&amp;F65&amp;G65&amp;H65&amp;I65&amp;J65&amp;K65&amp;L65&amp;M65&amp;N65&amp;O65&amp;P65</f>
        <v>&amp;br;</v>
      </c>
      <c r="B65" t="s">
        <v>0</v>
      </c>
    </row>
    <row r="66" spans="1:20" x14ac:dyDescent="0.15">
      <c r="A66" t="str">
        <f t="shared" si="11"/>
        <v>&amp;br;</v>
      </c>
      <c r="B66" t="s">
        <v>0</v>
      </c>
    </row>
    <row r="67" spans="1:20" x14ac:dyDescent="0.15">
      <c r="A67" t="str">
        <f t="shared" si="11"/>
        <v>*PW能力一覧 [#a469e89f]</v>
      </c>
      <c r="B67" t="s">
        <v>23</v>
      </c>
    </row>
    <row r="68" spans="1:20" x14ac:dyDescent="0.15">
      <c r="A68" t="str">
        <f t="shared" si="11"/>
        <v>**第1能力：石鍛冶/Stoneforge</v>
      </c>
      <c r="B68" t="s">
        <v>24</v>
      </c>
      <c r="D68" t="s">
        <v>540</v>
      </c>
      <c r="E68" t="s">
        <v>25</v>
      </c>
      <c r="F68" t="s">
        <v>541</v>
      </c>
      <c r="R68" t="str">
        <f>D68&amp;E68&amp;F68</f>
        <v>石鍛冶/Stoneforge</v>
      </c>
      <c r="S68" t="s">
        <v>3</v>
      </c>
      <c r="T68">
        <f>H74</f>
        <v>9</v>
      </c>
    </row>
    <row r="69" spans="1:20" x14ac:dyDescent="0.15">
      <c r="A69" t="str">
        <f t="shared" si="11"/>
        <v>|LEFT:50|LEFT:50|LEFT:50|LEFT:300|c</v>
      </c>
      <c r="B69" t="s">
        <v>3</v>
      </c>
      <c r="C69" t="s">
        <v>4</v>
      </c>
      <c r="E69" t="s">
        <v>3</v>
      </c>
      <c r="F69" t="s">
        <v>4</v>
      </c>
      <c r="G69" t="s">
        <v>3</v>
      </c>
      <c r="H69" t="s">
        <v>4</v>
      </c>
      <c r="I69" t="s">
        <v>3</v>
      </c>
      <c r="J69" t="s">
        <v>26</v>
      </c>
      <c r="K69" t="s">
        <v>3</v>
      </c>
      <c r="L69" t="s">
        <v>5</v>
      </c>
      <c r="R69" t="s">
        <v>209</v>
      </c>
      <c r="S69" t="s">
        <v>3</v>
      </c>
      <c r="T69" t="str">
        <f>J74</f>
        <v>あなたがコントロールする各クリーチャーは+4/+4の修正を得る。</v>
      </c>
    </row>
    <row r="70" spans="1:20" x14ac:dyDescent="0.15">
      <c r="A70" t="str">
        <f t="shared" si="11"/>
        <v>|解放Lv|レベル|コスト|効果|</v>
      </c>
      <c r="B70" t="s">
        <v>3</v>
      </c>
      <c r="C70" t="s">
        <v>27</v>
      </c>
      <c r="E70" t="s">
        <v>3</v>
      </c>
      <c r="F70" t="s">
        <v>6</v>
      </c>
      <c r="G70" t="s">
        <v>3</v>
      </c>
      <c r="H70" t="s">
        <v>28</v>
      </c>
      <c r="I70" t="s">
        <v>3</v>
      </c>
      <c r="J70" t="s">
        <v>29</v>
      </c>
      <c r="K70" t="s">
        <v>3</v>
      </c>
      <c r="R70" t="str">
        <f>D77&amp;E77&amp;F77</f>
        <v>石術/Lithomancy</v>
      </c>
      <c r="S70" t="s">
        <v>3</v>
      </c>
      <c r="T70">
        <f>H83</f>
        <v>12</v>
      </c>
    </row>
    <row r="71" spans="1:20" x14ac:dyDescent="0.15">
      <c r="A71" t="str">
        <f t="shared" si="11"/>
        <v>|Lv6|Lv1|9|あなたがコントロールする各クリーチャーは+1/+1の修正を得る。|</v>
      </c>
      <c r="B71" t="s">
        <v>3</v>
      </c>
      <c r="C71" t="s">
        <v>244</v>
      </c>
      <c r="E71" t="s">
        <v>3</v>
      </c>
      <c r="F71" t="s">
        <v>30</v>
      </c>
      <c r="G71" t="s">
        <v>3</v>
      </c>
      <c r="H71">
        <v>9</v>
      </c>
      <c r="I71" t="s">
        <v>3</v>
      </c>
      <c r="J71" t="s">
        <v>542</v>
      </c>
      <c r="K71" t="s">
        <v>3</v>
      </c>
      <c r="R71" t="s">
        <v>209</v>
      </c>
      <c r="S71" t="s">
        <v>3</v>
      </c>
      <c r="T71" t="str">
        <f>J83</f>
        <v>手札を1枚捨てる。その後、2枚ドローし、白ジェムを3つ破壊する。</v>
      </c>
    </row>
    <row r="72" spans="1:20" x14ac:dyDescent="0.15">
      <c r="A72" t="str">
        <f t="shared" si="11"/>
        <v>|Lv24|Lv2|9|あなたがコントロールする各クリーチャーは+2/+2の修正を得る。|</v>
      </c>
      <c r="B72" t="s">
        <v>3</v>
      </c>
      <c r="C72" t="s">
        <v>246</v>
      </c>
      <c r="E72" t="s">
        <v>3</v>
      </c>
      <c r="F72" t="s">
        <v>31</v>
      </c>
      <c r="G72" t="s">
        <v>3</v>
      </c>
      <c r="H72">
        <v>9</v>
      </c>
      <c r="I72" t="s">
        <v>3</v>
      </c>
      <c r="J72" t="s">
        <v>543</v>
      </c>
      <c r="K72" t="s">
        <v>3</v>
      </c>
      <c r="R72" t="str">
        <f>D86&amp;E86&amp;F86</f>
        <v>先駆け/Harbinger</v>
      </c>
      <c r="S72" t="s">
        <v>3</v>
      </c>
      <c r="T72">
        <f>H92</f>
        <v>15</v>
      </c>
    </row>
    <row r="73" spans="1:20" x14ac:dyDescent="0.15">
      <c r="A73" t="str">
        <f t="shared" si="11"/>
        <v>|Lv40|Lv3|9|あなたがコントロールする各クリーチャーは+3/+3の修正を得る。|</v>
      </c>
      <c r="B73" t="s">
        <v>3</v>
      </c>
      <c r="C73" t="s">
        <v>248</v>
      </c>
      <c r="E73" t="s">
        <v>3</v>
      </c>
      <c r="F73" t="s">
        <v>32</v>
      </c>
      <c r="G73" t="s">
        <v>3</v>
      </c>
      <c r="H73">
        <v>9</v>
      </c>
      <c r="I73" t="s">
        <v>3</v>
      </c>
      <c r="J73" t="s">
        <v>544</v>
      </c>
      <c r="K73" t="s">
        <v>3</v>
      </c>
      <c r="R73" t="s">
        <v>209</v>
      </c>
      <c r="S73" t="s">
        <v>3</v>
      </c>
      <c r="T73" t="str">
        <f>J92</f>
        <v>あなたがコントロールするクリーチャー1体を対象とする。それはターン終了時まで速攻とトランプルを持つ。その後そのクリーチャーを4回補強する。</v>
      </c>
    </row>
    <row r="74" spans="1:20" x14ac:dyDescent="0.15">
      <c r="A74" t="str">
        <f t="shared" si="11"/>
        <v>|Lv56|Lv4|9|あなたがコントロールする各クリーチャーは+4/+4の修正を得る。|</v>
      </c>
      <c r="B74" t="s">
        <v>3</v>
      </c>
      <c r="C74" t="s">
        <v>250</v>
      </c>
      <c r="E74" t="s">
        <v>3</v>
      </c>
      <c r="F74" t="s">
        <v>33</v>
      </c>
      <c r="G74" t="s">
        <v>3</v>
      </c>
      <c r="H74">
        <v>9</v>
      </c>
      <c r="I74" t="s">
        <v>3</v>
      </c>
      <c r="J74" t="s">
        <v>545</v>
      </c>
      <c r="K74" t="s">
        <v>3</v>
      </c>
    </row>
    <row r="75" spans="1:20" x14ac:dyDescent="0.15">
      <c r="A75" t="str">
        <f t="shared" si="11"/>
        <v>&amp;br;</v>
      </c>
      <c r="B75" t="s">
        <v>0</v>
      </c>
    </row>
    <row r="76" spans="1:20" x14ac:dyDescent="0.15">
      <c r="A76" t="str">
        <f t="shared" si="11"/>
        <v>&amp;br;</v>
      </c>
      <c r="B76" t="s">
        <v>0</v>
      </c>
    </row>
    <row r="77" spans="1:20" x14ac:dyDescent="0.15">
      <c r="A77" t="str">
        <f t="shared" si="11"/>
        <v>**第2能力：石術/Lithomancy</v>
      </c>
      <c r="B77" t="s">
        <v>34</v>
      </c>
      <c r="D77" t="s">
        <v>546</v>
      </c>
      <c r="E77" t="s">
        <v>25</v>
      </c>
      <c r="F77" t="s">
        <v>547</v>
      </c>
    </row>
    <row r="78" spans="1:20" x14ac:dyDescent="0.15">
      <c r="A78" t="str">
        <f t="shared" si="11"/>
        <v>|LEFT:50|LEFT:50|LEFT:50|LEFT:300|c</v>
      </c>
      <c r="B78" t="s">
        <v>3</v>
      </c>
      <c r="C78" t="s">
        <v>4</v>
      </c>
      <c r="E78" t="s">
        <v>3</v>
      </c>
      <c r="F78" t="s">
        <v>4</v>
      </c>
      <c r="G78" t="s">
        <v>3</v>
      </c>
      <c r="H78" t="s">
        <v>4</v>
      </c>
      <c r="I78" t="s">
        <v>3</v>
      </c>
      <c r="J78" t="s">
        <v>26</v>
      </c>
      <c r="K78" t="s">
        <v>3</v>
      </c>
      <c r="L78" t="s">
        <v>5</v>
      </c>
    </row>
    <row r="79" spans="1:20" x14ac:dyDescent="0.15">
      <c r="A79" t="str">
        <f t="shared" si="11"/>
        <v>|解放Lv|レベル|コスト|効果|</v>
      </c>
      <c r="B79" t="s">
        <v>3</v>
      </c>
      <c r="C79" t="s">
        <v>27</v>
      </c>
      <c r="E79" t="s">
        <v>3</v>
      </c>
      <c r="F79" t="s">
        <v>6</v>
      </c>
      <c r="G79" t="s">
        <v>3</v>
      </c>
      <c r="H79" t="s">
        <v>28</v>
      </c>
      <c r="I79" t="s">
        <v>3</v>
      </c>
      <c r="J79" t="s">
        <v>29</v>
      </c>
      <c r="K79" t="s">
        <v>3</v>
      </c>
    </row>
    <row r="80" spans="1:20" x14ac:dyDescent="0.15">
      <c r="A80" t="str">
        <f t="shared" si="11"/>
        <v>|Lv12|Lv1|12|手札を1枚捨てる。その後、1枚ドローし、白ジェムを1つ破壊する。|</v>
      </c>
      <c r="B80" t="s">
        <v>3</v>
      </c>
      <c r="C80" t="s">
        <v>254</v>
      </c>
      <c r="E80" t="s">
        <v>3</v>
      </c>
      <c r="F80" t="s">
        <v>30</v>
      </c>
      <c r="G80" t="s">
        <v>3</v>
      </c>
      <c r="H80">
        <v>12</v>
      </c>
      <c r="I80" t="s">
        <v>3</v>
      </c>
      <c r="J80" t="s">
        <v>548</v>
      </c>
      <c r="K80" t="s">
        <v>3</v>
      </c>
    </row>
    <row r="81" spans="1:12" x14ac:dyDescent="0.15">
      <c r="A81" t="str">
        <f t="shared" si="11"/>
        <v>|Lv30|Lv2|12|手札を1枚捨てる。その後、2枚ドローし、白ジェムを1つ破壊する。|</v>
      </c>
      <c r="B81" t="s">
        <v>3</v>
      </c>
      <c r="C81" t="s">
        <v>256</v>
      </c>
      <c r="E81" t="s">
        <v>3</v>
      </c>
      <c r="F81" t="s">
        <v>31</v>
      </c>
      <c r="G81" t="s">
        <v>3</v>
      </c>
      <c r="H81">
        <v>12</v>
      </c>
      <c r="I81" t="s">
        <v>3</v>
      </c>
      <c r="J81" t="s">
        <v>549</v>
      </c>
      <c r="K81" t="s">
        <v>3</v>
      </c>
    </row>
    <row r="82" spans="1:12" x14ac:dyDescent="0.15">
      <c r="A82" t="str">
        <f t="shared" si="11"/>
        <v>|Lv46|Lv3|12|手札を1枚捨てる。その後、2枚ドローし、白ジェムを2つ破壊する。|</v>
      </c>
      <c r="B82" t="s">
        <v>3</v>
      </c>
      <c r="C82" t="s">
        <v>258</v>
      </c>
      <c r="E82" t="s">
        <v>3</v>
      </c>
      <c r="F82" t="s">
        <v>32</v>
      </c>
      <c r="G82" t="s">
        <v>3</v>
      </c>
      <c r="H82">
        <v>12</v>
      </c>
      <c r="I82" t="s">
        <v>3</v>
      </c>
      <c r="J82" t="s">
        <v>550</v>
      </c>
      <c r="K82" t="s">
        <v>3</v>
      </c>
    </row>
    <row r="83" spans="1:12" x14ac:dyDescent="0.15">
      <c r="A83" t="str">
        <f t="shared" si="11"/>
        <v>|Lv58|Lv4|12|手札を1枚捨てる。その後、2枚ドローし、白ジェムを3つ破壊する。|</v>
      </c>
      <c r="B83" t="s">
        <v>3</v>
      </c>
      <c r="C83" t="s">
        <v>260</v>
      </c>
      <c r="E83" t="s">
        <v>3</v>
      </c>
      <c r="F83" t="s">
        <v>33</v>
      </c>
      <c r="G83" t="s">
        <v>3</v>
      </c>
      <c r="H83">
        <v>12</v>
      </c>
      <c r="I83" t="s">
        <v>3</v>
      </c>
      <c r="J83" t="s">
        <v>551</v>
      </c>
      <c r="K83" t="s">
        <v>3</v>
      </c>
    </row>
    <row r="84" spans="1:12" x14ac:dyDescent="0.15">
      <c r="A84" t="str">
        <f t="shared" si="11"/>
        <v>&amp;br;</v>
      </c>
      <c r="B84" t="s">
        <v>0</v>
      </c>
    </row>
    <row r="85" spans="1:12" x14ac:dyDescent="0.15">
      <c r="A85" t="str">
        <f t="shared" si="11"/>
        <v>&amp;br;</v>
      </c>
      <c r="B85" t="s">
        <v>0</v>
      </c>
    </row>
    <row r="86" spans="1:12" x14ac:dyDescent="0.15">
      <c r="A86" t="str">
        <f t="shared" si="11"/>
        <v>**第3能力：先駆け/Harbinger</v>
      </c>
      <c r="B86" t="s">
        <v>35</v>
      </c>
      <c r="D86" t="s">
        <v>552</v>
      </c>
      <c r="E86" t="s">
        <v>25</v>
      </c>
      <c r="F86" t="s">
        <v>553</v>
      </c>
    </row>
    <row r="87" spans="1:12" x14ac:dyDescent="0.15">
      <c r="A87" t="str">
        <f t="shared" ref="A87:A150" si="12">B87&amp;C87&amp;D87&amp;E87&amp;F87&amp;G87&amp;H87&amp;I87&amp;J87&amp;K87&amp;L87&amp;M87&amp;N87&amp;O87&amp;P87</f>
        <v>|LEFT:50|LEFT:50|LEFT:50|LEFT:300|c</v>
      </c>
      <c r="B87" t="s">
        <v>3</v>
      </c>
      <c r="C87" t="s">
        <v>4</v>
      </c>
      <c r="E87" t="s">
        <v>3</v>
      </c>
      <c r="F87" t="s">
        <v>4</v>
      </c>
      <c r="G87" t="s">
        <v>3</v>
      </c>
      <c r="H87" t="s">
        <v>4</v>
      </c>
      <c r="I87" t="s">
        <v>3</v>
      </c>
      <c r="J87" t="s">
        <v>26</v>
      </c>
      <c r="K87" t="s">
        <v>3</v>
      </c>
      <c r="L87" t="s">
        <v>5</v>
      </c>
    </row>
    <row r="88" spans="1:12" x14ac:dyDescent="0.15">
      <c r="A88" t="str">
        <f t="shared" si="12"/>
        <v>|解放Lv|レベル|コスト|効果|</v>
      </c>
      <c r="B88" t="s">
        <v>3</v>
      </c>
      <c r="C88" t="s">
        <v>27</v>
      </c>
      <c r="E88" t="s">
        <v>3</v>
      </c>
      <c r="F88" t="s">
        <v>6</v>
      </c>
      <c r="G88" t="s">
        <v>3</v>
      </c>
      <c r="H88" t="s">
        <v>28</v>
      </c>
      <c r="I88" t="s">
        <v>3</v>
      </c>
      <c r="J88" t="s">
        <v>29</v>
      </c>
      <c r="K88" t="s">
        <v>3</v>
      </c>
    </row>
    <row r="89" spans="1:12" x14ac:dyDescent="0.15">
      <c r="A89" t="str">
        <f t="shared" si="12"/>
        <v>|Lv18|Lv1|15|あなたがコントロールするクリーチャー1体を対象とする。それはターン終了時まで速攻とトランプルを持つ。その後そのクリーチャーを補強する。|</v>
      </c>
      <c r="B89" t="s">
        <v>3</v>
      </c>
      <c r="C89" t="s">
        <v>264</v>
      </c>
      <c r="E89" t="s">
        <v>3</v>
      </c>
      <c r="F89" t="s">
        <v>30</v>
      </c>
      <c r="G89" t="s">
        <v>3</v>
      </c>
      <c r="H89">
        <v>15</v>
      </c>
      <c r="I89" t="s">
        <v>3</v>
      </c>
      <c r="J89" t="s">
        <v>554</v>
      </c>
      <c r="K89" t="s">
        <v>3</v>
      </c>
    </row>
    <row r="90" spans="1:12" x14ac:dyDescent="0.15">
      <c r="A90" t="str">
        <f t="shared" si="12"/>
        <v>|Lv36|Lv2|15|あなたがコントロールするクリーチャー1体を対象とする。それはターン終了時まで速攻とトランプルを持つ。その後そのクリーチャーを2回補強する。|</v>
      </c>
      <c r="B90" t="s">
        <v>3</v>
      </c>
      <c r="C90" t="s">
        <v>266</v>
      </c>
      <c r="E90" t="s">
        <v>3</v>
      </c>
      <c r="F90" t="s">
        <v>31</v>
      </c>
      <c r="G90" t="s">
        <v>3</v>
      </c>
      <c r="H90">
        <v>15</v>
      </c>
      <c r="I90" t="s">
        <v>3</v>
      </c>
      <c r="J90" t="s">
        <v>555</v>
      </c>
      <c r="K90" t="s">
        <v>3</v>
      </c>
    </row>
    <row r="91" spans="1:12" x14ac:dyDescent="0.15">
      <c r="A91" t="str">
        <f t="shared" si="12"/>
        <v>|Lv52|Lv3|15|あなたがコントロールするクリーチャー1体を対象とする。それはターン終了時まで速攻とトランプルを持つ。その後そのクリーチャーを3回補強する。|</v>
      </c>
      <c r="B91" t="s">
        <v>3</v>
      </c>
      <c r="C91" t="s">
        <v>268</v>
      </c>
      <c r="E91" t="s">
        <v>3</v>
      </c>
      <c r="F91" t="s">
        <v>32</v>
      </c>
      <c r="G91" t="s">
        <v>3</v>
      </c>
      <c r="H91">
        <v>15</v>
      </c>
      <c r="I91" t="s">
        <v>3</v>
      </c>
      <c r="J91" t="s">
        <v>556</v>
      </c>
      <c r="K91" t="s">
        <v>3</v>
      </c>
    </row>
    <row r="92" spans="1:12" x14ac:dyDescent="0.15">
      <c r="A92" t="str">
        <f t="shared" si="12"/>
        <v>|Lv6060|Lv4|15|あなたがコントロールするクリーチャー1体を対象とする。それはターン終了時まで速攻とトランプルを持つ。その後そのクリーチャーを4回補強する。|</v>
      </c>
      <c r="B92" t="s">
        <v>3</v>
      </c>
      <c r="C92" t="s">
        <v>270</v>
      </c>
      <c r="D92">
        <v>60</v>
      </c>
      <c r="E92" t="s">
        <v>3</v>
      </c>
      <c r="F92" t="s">
        <v>33</v>
      </c>
      <c r="G92" t="s">
        <v>3</v>
      </c>
      <c r="H92">
        <v>15</v>
      </c>
      <c r="I92" t="s">
        <v>3</v>
      </c>
      <c r="J92" t="s">
        <v>557</v>
      </c>
      <c r="K92" t="s">
        <v>3</v>
      </c>
    </row>
    <row r="93" spans="1:12" x14ac:dyDescent="0.15">
      <c r="A93" t="str">
        <f t="shared" si="12"/>
        <v>&amp;br;</v>
      </c>
      <c r="B93" t="s">
        <v>0</v>
      </c>
    </row>
    <row r="94" spans="1:12" x14ac:dyDescent="0.15">
      <c r="A94" t="str">
        <f t="shared" si="12"/>
        <v>&amp;br;</v>
      </c>
      <c r="B94" t="s">
        <v>0</v>
      </c>
    </row>
    <row r="95" spans="1:12" x14ac:dyDescent="0.15">
      <c r="A95" t="str">
        <f t="shared" si="12"/>
        <v>*レベルアップ報酬一覧 [#k0cef29c]</v>
      </c>
      <c r="B95" t="s">
        <v>36</v>
      </c>
    </row>
    <row r="96" spans="1:12" x14ac:dyDescent="0.15">
      <c r="A96" t="str">
        <f t="shared" si="12"/>
        <v>|LEFT:50|LEFT:100|c</v>
      </c>
      <c r="B96" t="s">
        <v>3</v>
      </c>
      <c r="C96" t="s">
        <v>4</v>
      </c>
      <c r="E96" t="s">
        <v>3</v>
      </c>
      <c r="F96" t="s">
        <v>37</v>
      </c>
      <c r="I96" t="s">
        <v>3</v>
      </c>
      <c r="J96" t="s">
        <v>5</v>
      </c>
    </row>
    <row r="97" spans="1:17" x14ac:dyDescent="0.15">
      <c r="A97" t="str">
        <f t="shared" si="12"/>
        <v>|レベル|報酬|</v>
      </c>
      <c r="B97" t="s">
        <v>3</v>
      </c>
      <c r="C97" t="s">
        <v>6</v>
      </c>
      <c r="E97" t="s">
        <v>3</v>
      </c>
      <c r="F97" t="s">
        <v>38</v>
      </c>
      <c r="I97" t="s">
        <v>3</v>
      </c>
      <c r="Q97" t="s">
        <v>7</v>
      </c>
    </row>
    <row r="98" spans="1:17" x14ac:dyDescent="0.15">
      <c r="A98" t="str">
        <f t="shared" si="12"/>
        <v>|Lｖ2|クリーチャー+1|</v>
      </c>
      <c r="B98" t="s">
        <v>3</v>
      </c>
      <c r="C98" t="s">
        <v>39</v>
      </c>
      <c r="D98">
        <v>2</v>
      </c>
      <c r="E98" t="s">
        <v>3</v>
      </c>
      <c r="F98" t="s">
        <v>20</v>
      </c>
      <c r="G98" t="str">
        <f>IF(OR(F98=$Q$106,F98=$Q$107,F98=$Q$108,F98=$Q$109,ISBLANK(F98)),"","+")</f>
        <v>+</v>
      </c>
      <c r="H98">
        <v>1</v>
      </c>
      <c r="I98" t="s">
        <v>3</v>
      </c>
      <c r="Q98" t="s">
        <v>20</v>
      </c>
    </row>
    <row r="99" spans="1:17" x14ac:dyDescent="0.15">
      <c r="A99" t="str">
        <f t="shared" si="12"/>
        <v>|Lｖ3|HP+2|</v>
      </c>
      <c r="B99" t="s">
        <v>3</v>
      </c>
      <c r="C99" t="s">
        <v>39</v>
      </c>
      <c r="D99">
        <v>3</v>
      </c>
      <c r="E99" t="s">
        <v>3</v>
      </c>
      <c r="F99" t="s">
        <v>7</v>
      </c>
      <c r="G99" t="str">
        <f t="shared" ref="G99:G155" si="13">IF(OR(F99=$Q$106,F99=$Q$107,F99=$Q$108,F99=$Q$109,ISBLANK(F99)),"","+")</f>
        <v>+</v>
      </c>
      <c r="H99">
        <v>2</v>
      </c>
      <c r="I99" t="s">
        <v>3</v>
      </c>
      <c r="Q99" t="s">
        <v>21</v>
      </c>
    </row>
    <row r="100" spans="1:17" x14ac:dyDescent="0.15">
      <c r="A100" t="str">
        <f t="shared" si="12"/>
        <v>|Lｖ4|白+1|</v>
      </c>
      <c r="B100" t="s">
        <v>3</v>
      </c>
      <c r="C100" t="s">
        <v>39</v>
      </c>
      <c r="D100">
        <v>4</v>
      </c>
      <c r="E100" t="s">
        <v>3</v>
      </c>
      <c r="F100" t="s">
        <v>11</v>
      </c>
      <c r="G100" t="str">
        <f t="shared" si="13"/>
        <v>+</v>
      </c>
      <c r="H100">
        <v>1</v>
      </c>
      <c r="I100" t="s">
        <v>3</v>
      </c>
      <c r="Q100" t="s">
        <v>22</v>
      </c>
    </row>
    <row r="101" spans="1:17" x14ac:dyDescent="0.15">
      <c r="A101" t="str">
        <f t="shared" si="12"/>
        <v>|Lｖ5|HP+3|</v>
      </c>
      <c r="B101" t="s">
        <v>3</v>
      </c>
      <c r="C101" t="s">
        <v>39</v>
      </c>
      <c r="D101">
        <v>5</v>
      </c>
      <c r="E101" t="s">
        <v>3</v>
      </c>
      <c r="F101" t="s">
        <v>7</v>
      </c>
      <c r="G101" t="str">
        <f t="shared" si="13"/>
        <v>+</v>
      </c>
      <c r="H101">
        <v>3</v>
      </c>
      <c r="I101" t="s">
        <v>3</v>
      </c>
      <c r="Q101" t="s">
        <v>11</v>
      </c>
    </row>
    <row r="102" spans="1:17" x14ac:dyDescent="0.15">
      <c r="A102" t="str">
        <f t="shared" si="12"/>
        <v>|Lｖ6|第1能力Lv1|</v>
      </c>
      <c r="B102" t="s">
        <v>3</v>
      </c>
      <c r="C102" t="s">
        <v>39</v>
      </c>
      <c r="D102">
        <v>6</v>
      </c>
      <c r="E102" t="s">
        <v>3</v>
      </c>
      <c r="F102" t="s">
        <v>40</v>
      </c>
      <c r="G102" t="str">
        <f t="shared" si="13"/>
        <v/>
      </c>
      <c r="H102">
        <v>1</v>
      </c>
      <c r="I102" t="s">
        <v>3</v>
      </c>
      <c r="Q102" t="s">
        <v>12</v>
      </c>
    </row>
    <row r="103" spans="1:17" x14ac:dyDescent="0.15">
      <c r="A103" t="str">
        <f t="shared" si="12"/>
        <v>|Lｖ7|HP+2|</v>
      </c>
      <c r="B103" t="s">
        <v>3</v>
      </c>
      <c r="C103" t="s">
        <v>39</v>
      </c>
      <c r="D103">
        <v>7</v>
      </c>
      <c r="E103" t="s">
        <v>3</v>
      </c>
      <c r="F103" t="s">
        <v>7</v>
      </c>
      <c r="G103" t="str">
        <f t="shared" si="13"/>
        <v>+</v>
      </c>
      <c r="H103">
        <v>2</v>
      </c>
      <c r="I103" t="s">
        <v>3</v>
      </c>
      <c r="Q103" t="s">
        <v>13</v>
      </c>
    </row>
    <row r="104" spans="1:17" x14ac:dyDescent="0.15">
      <c r="A104" t="str">
        <f t="shared" si="12"/>
        <v>|Lｖ8|サポート+1|</v>
      </c>
      <c r="B104" t="s">
        <v>3</v>
      </c>
      <c r="C104" t="s">
        <v>39</v>
      </c>
      <c r="D104">
        <v>8</v>
      </c>
      <c r="E104" t="s">
        <v>3</v>
      </c>
      <c r="F104" t="s">
        <v>22</v>
      </c>
      <c r="G104" t="str">
        <f t="shared" si="13"/>
        <v>+</v>
      </c>
      <c r="H104">
        <v>1</v>
      </c>
      <c r="I104" t="s">
        <v>3</v>
      </c>
      <c r="Q104" t="s">
        <v>14</v>
      </c>
    </row>
    <row r="105" spans="1:17" x14ac:dyDescent="0.15">
      <c r="A105" t="str">
        <f t="shared" si="12"/>
        <v>|Lｖ9|HP+3|</v>
      </c>
      <c r="B105" t="s">
        <v>3</v>
      </c>
      <c r="C105" t="s">
        <v>39</v>
      </c>
      <c r="D105">
        <v>9</v>
      </c>
      <c r="E105" t="s">
        <v>3</v>
      </c>
      <c r="F105" t="s">
        <v>7</v>
      </c>
      <c r="G105" t="str">
        <f t="shared" si="13"/>
        <v>+</v>
      </c>
      <c r="H105">
        <v>3</v>
      </c>
      <c r="I105" t="s">
        <v>3</v>
      </c>
      <c r="Q105" t="s">
        <v>15</v>
      </c>
    </row>
    <row r="106" spans="1:17" x14ac:dyDescent="0.15">
      <c r="A106" t="str">
        <f t="shared" si="12"/>
        <v>|Lｖ10|赤+1|</v>
      </c>
      <c r="B106" t="s">
        <v>3</v>
      </c>
      <c r="C106" t="s">
        <v>39</v>
      </c>
      <c r="D106">
        <v>10</v>
      </c>
      <c r="E106" t="s">
        <v>3</v>
      </c>
      <c r="F106" t="s">
        <v>14</v>
      </c>
      <c r="G106" t="str">
        <f t="shared" si="13"/>
        <v>+</v>
      </c>
      <c r="H106">
        <v>1</v>
      </c>
      <c r="I106" t="s">
        <v>3</v>
      </c>
      <c r="Q106" t="s">
        <v>40</v>
      </c>
    </row>
    <row r="107" spans="1:17" x14ac:dyDescent="0.15">
      <c r="A107" t="str">
        <f t="shared" si="12"/>
        <v>|Lｖ11|HP+2|</v>
      </c>
      <c r="B107" t="s">
        <v>3</v>
      </c>
      <c r="C107" t="s">
        <v>39</v>
      </c>
      <c r="D107">
        <v>11</v>
      </c>
      <c r="E107" t="s">
        <v>3</v>
      </c>
      <c r="F107" t="s">
        <v>7</v>
      </c>
      <c r="G107" t="str">
        <f t="shared" si="13"/>
        <v>+</v>
      </c>
      <c r="H107">
        <v>2</v>
      </c>
      <c r="I107" t="s">
        <v>3</v>
      </c>
      <c r="Q107" t="s">
        <v>41</v>
      </c>
    </row>
    <row r="108" spans="1:17" x14ac:dyDescent="0.15">
      <c r="A108" t="str">
        <f t="shared" si="12"/>
        <v>|Lｖ12|第2能力Lv1|</v>
      </c>
      <c r="B108" t="s">
        <v>3</v>
      </c>
      <c r="C108" t="s">
        <v>39</v>
      </c>
      <c r="D108">
        <v>12</v>
      </c>
      <c r="E108" t="s">
        <v>3</v>
      </c>
      <c r="F108" t="s">
        <v>41</v>
      </c>
      <c r="G108" t="str">
        <f t="shared" si="13"/>
        <v/>
      </c>
      <c r="H108">
        <v>1</v>
      </c>
      <c r="I108" t="s">
        <v>3</v>
      </c>
      <c r="Q108" t="s">
        <v>42</v>
      </c>
    </row>
    <row r="109" spans="1:17" x14ac:dyDescent="0.15">
      <c r="A109" t="str">
        <f t="shared" si="12"/>
        <v>|Lｖ13|HP+3|</v>
      </c>
      <c r="B109" t="s">
        <v>3</v>
      </c>
      <c r="C109" t="s">
        <v>39</v>
      </c>
      <c r="D109">
        <v>13</v>
      </c>
      <c r="E109" t="s">
        <v>3</v>
      </c>
      <c r="F109" t="s">
        <v>7</v>
      </c>
      <c r="G109" t="str">
        <f t="shared" si="13"/>
        <v>+</v>
      </c>
      <c r="H109">
        <v>3</v>
      </c>
      <c r="I109" t="s">
        <v>3</v>
      </c>
      <c r="Q109" t="s">
        <v>43</v>
      </c>
    </row>
    <row r="110" spans="1:17" x14ac:dyDescent="0.15">
      <c r="A110" t="str">
        <f t="shared" si="12"/>
        <v>|Lｖ14|呪文+1|</v>
      </c>
      <c r="B110" t="s">
        <v>3</v>
      </c>
      <c r="C110" t="s">
        <v>39</v>
      </c>
      <c r="D110">
        <v>14</v>
      </c>
      <c r="E110" t="s">
        <v>3</v>
      </c>
      <c r="F110" t="s">
        <v>21</v>
      </c>
      <c r="G110" t="str">
        <f t="shared" si="13"/>
        <v>+</v>
      </c>
      <c r="H110">
        <v>1</v>
      </c>
      <c r="I110" t="s">
        <v>3</v>
      </c>
    </row>
    <row r="111" spans="1:17" x14ac:dyDescent="0.15">
      <c r="A111" t="str">
        <f t="shared" si="12"/>
        <v>|Lｖ15|HP+2|</v>
      </c>
      <c r="B111" t="s">
        <v>3</v>
      </c>
      <c r="C111" t="s">
        <v>39</v>
      </c>
      <c r="D111">
        <v>15</v>
      </c>
      <c r="E111" t="s">
        <v>3</v>
      </c>
      <c r="F111" t="s">
        <v>7</v>
      </c>
      <c r="G111" t="str">
        <f t="shared" si="13"/>
        <v>+</v>
      </c>
      <c r="H111">
        <v>2</v>
      </c>
      <c r="I111" t="s">
        <v>3</v>
      </c>
    </row>
    <row r="112" spans="1:17" x14ac:dyDescent="0.15">
      <c r="A112" t="str">
        <f t="shared" si="12"/>
        <v>|Lｖ16|緑+1|</v>
      </c>
      <c r="B112" t="s">
        <v>3</v>
      </c>
      <c r="C112" t="s">
        <v>39</v>
      </c>
      <c r="D112">
        <v>16</v>
      </c>
      <c r="E112" t="s">
        <v>3</v>
      </c>
      <c r="F112" t="s">
        <v>15</v>
      </c>
      <c r="G112" t="str">
        <f t="shared" si="13"/>
        <v>+</v>
      </c>
      <c r="H112">
        <v>1</v>
      </c>
      <c r="I112" t="s">
        <v>3</v>
      </c>
    </row>
    <row r="113" spans="1:9" x14ac:dyDescent="0.15">
      <c r="A113" t="str">
        <f t="shared" si="12"/>
        <v>|Lｖ17|HP+3|</v>
      </c>
      <c r="B113" t="s">
        <v>3</v>
      </c>
      <c r="C113" t="s">
        <v>39</v>
      </c>
      <c r="D113">
        <v>17</v>
      </c>
      <c r="E113" t="s">
        <v>3</v>
      </c>
      <c r="F113" t="s">
        <v>7</v>
      </c>
      <c r="G113" t="str">
        <f t="shared" si="13"/>
        <v>+</v>
      </c>
      <c r="H113">
        <v>3</v>
      </c>
      <c r="I113" t="s">
        <v>3</v>
      </c>
    </row>
    <row r="114" spans="1:9" x14ac:dyDescent="0.15">
      <c r="A114" t="str">
        <f t="shared" si="12"/>
        <v>|Lｖ18|第3能力Lv1|</v>
      </c>
      <c r="B114" t="s">
        <v>3</v>
      </c>
      <c r="C114" t="s">
        <v>39</v>
      </c>
      <c r="D114">
        <v>18</v>
      </c>
      <c r="E114" t="s">
        <v>3</v>
      </c>
      <c r="F114" t="s">
        <v>42</v>
      </c>
      <c r="G114" t="str">
        <f t="shared" si="13"/>
        <v/>
      </c>
      <c r="H114">
        <v>1</v>
      </c>
      <c r="I114" t="s">
        <v>3</v>
      </c>
    </row>
    <row r="115" spans="1:9" x14ac:dyDescent="0.15">
      <c r="A115" t="str">
        <f t="shared" si="12"/>
        <v>|Lｖ19|HP+2|</v>
      </c>
      <c r="B115" t="s">
        <v>3</v>
      </c>
      <c r="C115" t="s">
        <v>39</v>
      </c>
      <c r="D115">
        <v>19</v>
      </c>
      <c r="E115" t="s">
        <v>3</v>
      </c>
      <c r="F115" t="s">
        <v>7</v>
      </c>
      <c r="G115" t="str">
        <f t="shared" si="13"/>
        <v>+</v>
      </c>
      <c r="H115">
        <v>2</v>
      </c>
      <c r="I115" t="s">
        <v>3</v>
      </c>
    </row>
    <row r="116" spans="1:9" x14ac:dyDescent="0.15">
      <c r="A116" t="str">
        <f t="shared" si="12"/>
        <v>|Lｖ20|回復速度上昇|</v>
      </c>
      <c r="B116" t="s">
        <v>3</v>
      </c>
      <c r="C116" t="s">
        <v>39</v>
      </c>
      <c r="D116">
        <v>20</v>
      </c>
      <c r="E116" t="s">
        <v>3</v>
      </c>
      <c r="F116" t="s">
        <v>43</v>
      </c>
      <c r="G116" t="str">
        <f t="shared" si="13"/>
        <v/>
      </c>
      <c r="I116" t="s">
        <v>3</v>
      </c>
    </row>
    <row r="117" spans="1:9" x14ac:dyDescent="0.15">
      <c r="A117" t="str">
        <f t="shared" si="12"/>
        <v>|Lｖ21|HP+3|</v>
      </c>
      <c r="B117" t="s">
        <v>3</v>
      </c>
      <c r="C117" t="s">
        <v>39</v>
      </c>
      <c r="D117">
        <v>21</v>
      </c>
      <c r="E117" t="s">
        <v>3</v>
      </c>
      <c r="F117" t="s">
        <v>7</v>
      </c>
      <c r="G117" t="str">
        <f t="shared" si="13"/>
        <v>+</v>
      </c>
      <c r="H117">
        <v>3</v>
      </c>
      <c r="I117" t="s">
        <v>3</v>
      </c>
    </row>
    <row r="118" spans="1:9" x14ac:dyDescent="0.15">
      <c r="A118" t="str">
        <f t="shared" si="12"/>
        <v>|Lｖ22|黒+1|</v>
      </c>
      <c r="B118" t="s">
        <v>3</v>
      </c>
      <c r="C118" t="s">
        <v>39</v>
      </c>
      <c r="D118">
        <v>22</v>
      </c>
      <c r="E118" t="s">
        <v>3</v>
      </c>
      <c r="F118" t="s">
        <v>13</v>
      </c>
      <c r="G118" t="str">
        <f t="shared" si="13"/>
        <v>+</v>
      </c>
      <c r="H118">
        <v>1</v>
      </c>
      <c r="I118" t="s">
        <v>3</v>
      </c>
    </row>
    <row r="119" spans="1:9" x14ac:dyDescent="0.15">
      <c r="A119" t="str">
        <f t="shared" si="12"/>
        <v>|Lｖ23|HP+2|</v>
      </c>
      <c r="B119" t="s">
        <v>3</v>
      </c>
      <c r="C119" t="s">
        <v>39</v>
      </c>
      <c r="D119">
        <v>23</v>
      </c>
      <c r="E119" t="s">
        <v>3</v>
      </c>
      <c r="F119" t="s">
        <v>7</v>
      </c>
      <c r="G119" t="str">
        <f t="shared" si="13"/>
        <v>+</v>
      </c>
      <c r="H119">
        <v>2</v>
      </c>
      <c r="I119" t="s">
        <v>3</v>
      </c>
    </row>
    <row r="120" spans="1:9" x14ac:dyDescent="0.15">
      <c r="A120" t="str">
        <f t="shared" si="12"/>
        <v>|Lｖ24|第1能力Lv2|</v>
      </c>
      <c r="B120" t="s">
        <v>3</v>
      </c>
      <c r="C120" t="s">
        <v>39</v>
      </c>
      <c r="D120">
        <v>24</v>
      </c>
      <c r="E120" t="s">
        <v>3</v>
      </c>
      <c r="F120" t="s">
        <v>40</v>
      </c>
      <c r="G120" t="str">
        <f t="shared" si="13"/>
        <v/>
      </c>
      <c r="H120">
        <v>2</v>
      </c>
      <c r="I120" t="s">
        <v>3</v>
      </c>
    </row>
    <row r="121" spans="1:9" x14ac:dyDescent="0.15">
      <c r="A121" t="str">
        <f t="shared" si="12"/>
        <v>|Lｖ25|HP+3|</v>
      </c>
      <c r="B121" t="s">
        <v>3</v>
      </c>
      <c r="C121" t="s">
        <v>39</v>
      </c>
      <c r="D121">
        <v>25</v>
      </c>
      <c r="E121" t="s">
        <v>3</v>
      </c>
      <c r="F121" t="s">
        <v>7</v>
      </c>
      <c r="G121" t="str">
        <f t="shared" si="13"/>
        <v>+</v>
      </c>
      <c r="H121">
        <v>3</v>
      </c>
      <c r="I121" t="s">
        <v>3</v>
      </c>
    </row>
    <row r="122" spans="1:9" x14ac:dyDescent="0.15">
      <c r="A122" t="str">
        <f t="shared" si="12"/>
        <v>|Lｖ26|クリーチャー+1|</v>
      </c>
      <c r="B122" t="s">
        <v>3</v>
      </c>
      <c r="C122" t="s">
        <v>39</v>
      </c>
      <c r="D122">
        <v>26</v>
      </c>
      <c r="E122" t="s">
        <v>3</v>
      </c>
      <c r="F122" t="s">
        <v>20</v>
      </c>
      <c r="G122" t="str">
        <f t="shared" si="13"/>
        <v>+</v>
      </c>
      <c r="H122">
        <v>1</v>
      </c>
      <c r="I122" t="s">
        <v>3</v>
      </c>
    </row>
    <row r="123" spans="1:9" x14ac:dyDescent="0.15">
      <c r="A123" t="str">
        <f t="shared" si="12"/>
        <v>|Lｖ27|HP+2|</v>
      </c>
      <c r="B123" t="s">
        <v>3</v>
      </c>
      <c r="C123" t="s">
        <v>39</v>
      </c>
      <c r="D123">
        <v>27</v>
      </c>
      <c r="E123" t="s">
        <v>3</v>
      </c>
      <c r="F123" t="s">
        <v>7</v>
      </c>
      <c r="G123" t="str">
        <f t="shared" si="13"/>
        <v>+</v>
      </c>
      <c r="H123">
        <v>2</v>
      </c>
      <c r="I123" t="s">
        <v>3</v>
      </c>
    </row>
    <row r="124" spans="1:9" x14ac:dyDescent="0.15">
      <c r="A124" t="str">
        <f t="shared" si="12"/>
        <v>|Lｖ28|青+1|</v>
      </c>
      <c r="B124" t="s">
        <v>3</v>
      </c>
      <c r="C124" t="s">
        <v>39</v>
      </c>
      <c r="D124">
        <v>28</v>
      </c>
      <c r="E124" t="s">
        <v>3</v>
      </c>
      <c r="F124" t="s">
        <v>12</v>
      </c>
      <c r="G124" t="str">
        <f t="shared" si="13"/>
        <v>+</v>
      </c>
      <c r="H124">
        <v>1</v>
      </c>
      <c r="I124" t="s">
        <v>3</v>
      </c>
    </row>
    <row r="125" spans="1:9" x14ac:dyDescent="0.15">
      <c r="A125" t="str">
        <f t="shared" si="12"/>
        <v>|Lｖ29|HP+3|</v>
      </c>
      <c r="B125" t="s">
        <v>3</v>
      </c>
      <c r="C125" t="s">
        <v>39</v>
      </c>
      <c r="D125">
        <v>29</v>
      </c>
      <c r="E125" t="s">
        <v>3</v>
      </c>
      <c r="F125" t="s">
        <v>7</v>
      </c>
      <c r="G125" t="str">
        <f t="shared" si="13"/>
        <v>+</v>
      </c>
      <c r="H125">
        <v>3</v>
      </c>
      <c r="I125" t="s">
        <v>3</v>
      </c>
    </row>
    <row r="126" spans="1:9" x14ac:dyDescent="0.15">
      <c r="A126" t="str">
        <f t="shared" si="12"/>
        <v>|Lｖ30|第2能力Lv2|</v>
      </c>
      <c r="B126" t="s">
        <v>3</v>
      </c>
      <c r="C126" t="s">
        <v>39</v>
      </c>
      <c r="D126">
        <v>30</v>
      </c>
      <c r="E126" t="s">
        <v>3</v>
      </c>
      <c r="F126" t="s">
        <v>41</v>
      </c>
      <c r="G126" t="str">
        <f t="shared" si="13"/>
        <v/>
      </c>
      <c r="H126">
        <v>2</v>
      </c>
      <c r="I126" t="s">
        <v>3</v>
      </c>
    </row>
    <row r="127" spans="1:9" x14ac:dyDescent="0.15">
      <c r="A127" t="str">
        <f t="shared" si="12"/>
        <v>|Lｖ31|HP+2|</v>
      </c>
      <c r="B127" t="s">
        <v>3</v>
      </c>
      <c r="C127" t="s">
        <v>39</v>
      </c>
      <c r="D127">
        <v>31</v>
      </c>
      <c r="E127" t="s">
        <v>3</v>
      </c>
      <c r="F127" t="s">
        <v>7</v>
      </c>
      <c r="G127" t="str">
        <f t="shared" si="13"/>
        <v>+</v>
      </c>
      <c r="H127">
        <v>2</v>
      </c>
      <c r="I127" t="s">
        <v>3</v>
      </c>
    </row>
    <row r="128" spans="1:9" x14ac:dyDescent="0.15">
      <c r="A128" t="str">
        <f t="shared" si="12"/>
        <v>|Lｖ32|サポート+1|</v>
      </c>
      <c r="B128" t="s">
        <v>3</v>
      </c>
      <c r="C128" t="s">
        <v>39</v>
      </c>
      <c r="D128">
        <v>32</v>
      </c>
      <c r="E128" t="s">
        <v>3</v>
      </c>
      <c r="F128" t="s">
        <v>22</v>
      </c>
      <c r="G128" t="str">
        <f t="shared" si="13"/>
        <v>+</v>
      </c>
      <c r="H128">
        <v>1</v>
      </c>
      <c r="I128" t="s">
        <v>3</v>
      </c>
    </row>
    <row r="129" spans="1:9" x14ac:dyDescent="0.15">
      <c r="A129" t="str">
        <f t="shared" si="12"/>
        <v>|Lｖ33|HP+3|</v>
      </c>
      <c r="B129" t="s">
        <v>3</v>
      </c>
      <c r="C129" t="s">
        <v>39</v>
      </c>
      <c r="D129">
        <v>33</v>
      </c>
      <c r="E129" t="s">
        <v>3</v>
      </c>
      <c r="F129" t="s">
        <v>7</v>
      </c>
      <c r="G129" t="str">
        <f t="shared" si="13"/>
        <v>+</v>
      </c>
      <c r="H129">
        <v>3</v>
      </c>
      <c r="I129" t="s">
        <v>3</v>
      </c>
    </row>
    <row r="130" spans="1:9" x14ac:dyDescent="0.15">
      <c r="A130" t="str">
        <f t="shared" si="12"/>
        <v>|Lｖ34|白+1|</v>
      </c>
      <c r="B130" t="s">
        <v>3</v>
      </c>
      <c r="C130" t="s">
        <v>39</v>
      </c>
      <c r="D130">
        <v>34</v>
      </c>
      <c r="E130" t="s">
        <v>3</v>
      </c>
      <c r="F130" t="s">
        <v>11</v>
      </c>
      <c r="G130" t="str">
        <f t="shared" si="13"/>
        <v>+</v>
      </c>
      <c r="H130">
        <v>1</v>
      </c>
      <c r="I130" t="s">
        <v>3</v>
      </c>
    </row>
    <row r="131" spans="1:9" x14ac:dyDescent="0.15">
      <c r="A131" t="str">
        <f t="shared" si="12"/>
        <v>|Lｖ35|HP+2|</v>
      </c>
      <c r="B131" t="s">
        <v>3</v>
      </c>
      <c r="C131" t="s">
        <v>39</v>
      </c>
      <c r="D131">
        <v>35</v>
      </c>
      <c r="E131" t="s">
        <v>3</v>
      </c>
      <c r="F131" t="s">
        <v>7</v>
      </c>
      <c r="G131" t="str">
        <f t="shared" si="13"/>
        <v>+</v>
      </c>
      <c r="H131">
        <v>2</v>
      </c>
      <c r="I131" t="s">
        <v>3</v>
      </c>
    </row>
    <row r="132" spans="1:9" x14ac:dyDescent="0.15">
      <c r="A132" t="str">
        <f t="shared" si="12"/>
        <v>|Lｖ36|第3能力Lv2|</v>
      </c>
      <c r="B132" t="s">
        <v>3</v>
      </c>
      <c r="C132" t="s">
        <v>39</v>
      </c>
      <c r="D132">
        <v>36</v>
      </c>
      <c r="E132" t="s">
        <v>3</v>
      </c>
      <c r="F132" t="s">
        <v>42</v>
      </c>
      <c r="G132" t="str">
        <f t="shared" si="13"/>
        <v/>
      </c>
      <c r="H132">
        <v>2</v>
      </c>
      <c r="I132" t="s">
        <v>3</v>
      </c>
    </row>
    <row r="133" spans="1:9" x14ac:dyDescent="0.15">
      <c r="A133" t="str">
        <f t="shared" si="12"/>
        <v>|Lｖ37|HP+3|</v>
      </c>
      <c r="B133" t="s">
        <v>3</v>
      </c>
      <c r="C133" t="s">
        <v>39</v>
      </c>
      <c r="D133">
        <v>37</v>
      </c>
      <c r="E133" t="s">
        <v>3</v>
      </c>
      <c r="F133" t="s">
        <v>7</v>
      </c>
      <c r="G133" t="str">
        <f t="shared" si="13"/>
        <v>+</v>
      </c>
      <c r="H133">
        <v>3</v>
      </c>
      <c r="I133" t="s">
        <v>3</v>
      </c>
    </row>
    <row r="134" spans="1:9" x14ac:dyDescent="0.15">
      <c r="A134" t="str">
        <f t="shared" si="12"/>
        <v>|Lｖ38|呪文+1|</v>
      </c>
      <c r="B134" t="s">
        <v>3</v>
      </c>
      <c r="C134" t="s">
        <v>39</v>
      </c>
      <c r="D134">
        <v>38</v>
      </c>
      <c r="E134" t="s">
        <v>3</v>
      </c>
      <c r="F134" t="s">
        <v>21</v>
      </c>
      <c r="G134" t="str">
        <f t="shared" si="13"/>
        <v>+</v>
      </c>
      <c r="H134">
        <v>1</v>
      </c>
      <c r="I134" t="s">
        <v>3</v>
      </c>
    </row>
    <row r="135" spans="1:9" x14ac:dyDescent="0.15">
      <c r="A135" t="str">
        <f t="shared" si="12"/>
        <v>|Lｖ39|HP+2|</v>
      </c>
      <c r="B135" t="s">
        <v>3</v>
      </c>
      <c r="C135" t="s">
        <v>39</v>
      </c>
      <c r="D135">
        <v>39</v>
      </c>
      <c r="E135" t="s">
        <v>3</v>
      </c>
      <c r="F135" t="s">
        <v>7</v>
      </c>
      <c r="G135" t="str">
        <f t="shared" si="13"/>
        <v>+</v>
      </c>
      <c r="H135">
        <v>2</v>
      </c>
      <c r="I135" t="s">
        <v>3</v>
      </c>
    </row>
    <row r="136" spans="1:9" x14ac:dyDescent="0.15">
      <c r="A136" t="str">
        <f t="shared" si="12"/>
        <v>|Lｖ40|第1能力Lv3|</v>
      </c>
      <c r="B136" t="s">
        <v>3</v>
      </c>
      <c r="C136" t="s">
        <v>39</v>
      </c>
      <c r="D136">
        <v>40</v>
      </c>
      <c r="E136" t="s">
        <v>3</v>
      </c>
      <c r="F136" t="s">
        <v>40</v>
      </c>
      <c r="G136" t="str">
        <f t="shared" si="13"/>
        <v/>
      </c>
      <c r="H136">
        <v>3</v>
      </c>
      <c r="I136" t="s">
        <v>3</v>
      </c>
    </row>
    <row r="137" spans="1:9" x14ac:dyDescent="0.15">
      <c r="A137" t="str">
        <f t="shared" si="12"/>
        <v>|Lｖ41|HP+3|</v>
      </c>
      <c r="B137" t="s">
        <v>3</v>
      </c>
      <c r="C137" t="s">
        <v>39</v>
      </c>
      <c r="D137">
        <v>41</v>
      </c>
      <c r="E137" t="s">
        <v>3</v>
      </c>
      <c r="F137" t="s">
        <v>7</v>
      </c>
      <c r="G137" t="str">
        <f t="shared" si="13"/>
        <v>+</v>
      </c>
      <c r="H137">
        <v>3</v>
      </c>
      <c r="I137" t="s">
        <v>3</v>
      </c>
    </row>
    <row r="138" spans="1:9" x14ac:dyDescent="0.15">
      <c r="A138" t="str">
        <f t="shared" si="12"/>
        <v>|Lｖ42|緑+1|</v>
      </c>
      <c r="B138" t="s">
        <v>3</v>
      </c>
      <c r="C138" t="s">
        <v>39</v>
      </c>
      <c r="D138">
        <v>42</v>
      </c>
      <c r="E138" t="s">
        <v>3</v>
      </c>
      <c r="F138" t="s">
        <v>15</v>
      </c>
      <c r="G138" t="str">
        <f t="shared" si="13"/>
        <v>+</v>
      </c>
      <c r="H138">
        <v>1</v>
      </c>
      <c r="I138" t="s">
        <v>3</v>
      </c>
    </row>
    <row r="139" spans="1:9" x14ac:dyDescent="0.15">
      <c r="A139" t="str">
        <f t="shared" si="12"/>
        <v>|Lｖ43|HP+2|</v>
      </c>
      <c r="B139" t="s">
        <v>3</v>
      </c>
      <c r="C139" t="s">
        <v>39</v>
      </c>
      <c r="D139">
        <v>43</v>
      </c>
      <c r="E139" t="s">
        <v>3</v>
      </c>
      <c r="F139" t="s">
        <v>7</v>
      </c>
      <c r="G139" t="str">
        <f t="shared" si="13"/>
        <v>+</v>
      </c>
      <c r="H139">
        <v>2</v>
      </c>
      <c r="I139" t="s">
        <v>3</v>
      </c>
    </row>
    <row r="140" spans="1:9" x14ac:dyDescent="0.15">
      <c r="A140" t="str">
        <f t="shared" si="12"/>
        <v>|Lｖ44|回復速度上昇|</v>
      </c>
      <c r="B140" t="s">
        <v>3</v>
      </c>
      <c r="C140" t="s">
        <v>39</v>
      </c>
      <c r="D140">
        <v>44</v>
      </c>
      <c r="E140" t="s">
        <v>3</v>
      </c>
      <c r="F140" t="s">
        <v>43</v>
      </c>
      <c r="G140" t="str">
        <f t="shared" si="13"/>
        <v/>
      </c>
      <c r="I140" t="s">
        <v>3</v>
      </c>
    </row>
    <row r="141" spans="1:9" x14ac:dyDescent="0.15">
      <c r="A141" t="str">
        <f t="shared" si="12"/>
        <v>|Lｖ45|HP+3|</v>
      </c>
      <c r="B141" t="s">
        <v>3</v>
      </c>
      <c r="C141" t="s">
        <v>39</v>
      </c>
      <c r="D141">
        <v>45</v>
      </c>
      <c r="E141" t="s">
        <v>3</v>
      </c>
      <c r="F141" t="s">
        <v>7</v>
      </c>
      <c r="G141" t="str">
        <f t="shared" si="13"/>
        <v>+</v>
      </c>
      <c r="H141">
        <v>3</v>
      </c>
      <c r="I141" t="s">
        <v>3</v>
      </c>
    </row>
    <row r="142" spans="1:9" x14ac:dyDescent="0.15">
      <c r="A142" t="str">
        <f t="shared" si="12"/>
        <v>|Lｖ46|第2能力Lv3|</v>
      </c>
      <c r="B142" t="s">
        <v>3</v>
      </c>
      <c r="C142" t="s">
        <v>39</v>
      </c>
      <c r="D142">
        <v>46</v>
      </c>
      <c r="E142" t="s">
        <v>3</v>
      </c>
      <c r="F142" t="s">
        <v>41</v>
      </c>
      <c r="G142" t="str">
        <f t="shared" si="13"/>
        <v/>
      </c>
      <c r="H142">
        <v>3</v>
      </c>
      <c r="I142" t="s">
        <v>3</v>
      </c>
    </row>
    <row r="143" spans="1:9" x14ac:dyDescent="0.15">
      <c r="A143" t="str">
        <f t="shared" si="12"/>
        <v>|Lｖ47|HP+2|</v>
      </c>
      <c r="B143" t="s">
        <v>3</v>
      </c>
      <c r="C143" t="s">
        <v>39</v>
      </c>
      <c r="D143">
        <v>47</v>
      </c>
      <c r="E143" t="s">
        <v>3</v>
      </c>
      <c r="F143" t="s">
        <v>7</v>
      </c>
      <c r="G143" t="str">
        <f t="shared" si="13"/>
        <v>+</v>
      </c>
      <c r="H143">
        <v>2</v>
      </c>
      <c r="I143" t="s">
        <v>3</v>
      </c>
    </row>
    <row r="144" spans="1:9" x14ac:dyDescent="0.15">
      <c r="A144" t="str">
        <f t="shared" si="12"/>
        <v>|Lｖ48|青+1|</v>
      </c>
      <c r="B144" t="s">
        <v>3</v>
      </c>
      <c r="C144" t="s">
        <v>39</v>
      </c>
      <c r="D144">
        <v>48</v>
      </c>
      <c r="E144" t="s">
        <v>3</v>
      </c>
      <c r="F144" t="s">
        <v>12</v>
      </c>
      <c r="G144" t="str">
        <f t="shared" si="13"/>
        <v>+</v>
      </c>
      <c r="H144">
        <v>1</v>
      </c>
      <c r="I144" t="s">
        <v>3</v>
      </c>
    </row>
    <row r="145" spans="1:9" x14ac:dyDescent="0.15">
      <c r="A145" t="str">
        <f t="shared" si="12"/>
        <v>|Lｖ49|HP+3|</v>
      </c>
      <c r="B145" t="s">
        <v>3</v>
      </c>
      <c r="C145" t="s">
        <v>39</v>
      </c>
      <c r="D145">
        <v>49</v>
      </c>
      <c r="E145" t="s">
        <v>3</v>
      </c>
      <c r="F145" t="s">
        <v>7</v>
      </c>
      <c r="G145" t="str">
        <f t="shared" si="13"/>
        <v>+</v>
      </c>
      <c r="H145">
        <v>3</v>
      </c>
      <c r="I145" t="s">
        <v>3</v>
      </c>
    </row>
    <row r="146" spans="1:9" x14ac:dyDescent="0.15">
      <c r="A146" t="str">
        <f t="shared" si="12"/>
        <v>|Lｖ50|クリーチャー+1|</v>
      </c>
      <c r="B146" t="s">
        <v>3</v>
      </c>
      <c r="C146" t="s">
        <v>39</v>
      </c>
      <c r="D146">
        <v>50</v>
      </c>
      <c r="E146" t="s">
        <v>3</v>
      </c>
      <c r="F146" t="s">
        <v>20</v>
      </c>
      <c r="G146" t="str">
        <f t="shared" si="13"/>
        <v>+</v>
      </c>
      <c r="H146">
        <v>1</v>
      </c>
      <c r="I146" t="s">
        <v>3</v>
      </c>
    </row>
    <row r="147" spans="1:9" x14ac:dyDescent="0.15">
      <c r="A147" t="str">
        <f t="shared" si="12"/>
        <v>|Lｖ51|HP+2|</v>
      </c>
      <c r="B147" t="s">
        <v>3</v>
      </c>
      <c r="C147" t="s">
        <v>39</v>
      </c>
      <c r="D147">
        <v>51</v>
      </c>
      <c r="E147" t="s">
        <v>3</v>
      </c>
      <c r="F147" t="s">
        <v>7</v>
      </c>
      <c r="G147" t="str">
        <f t="shared" si="13"/>
        <v>+</v>
      </c>
      <c r="H147">
        <v>2</v>
      </c>
      <c r="I147" t="s">
        <v>3</v>
      </c>
    </row>
    <row r="148" spans="1:9" x14ac:dyDescent="0.15">
      <c r="A148" t="str">
        <f t="shared" si="12"/>
        <v>|Lｖ52|第3能力Lv3|</v>
      </c>
      <c r="B148" t="s">
        <v>3</v>
      </c>
      <c r="C148" t="s">
        <v>39</v>
      </c>
      <c r="D148">
        <v>52</v>
      </c>
      <c r="E148" t="s">
        <v>3</v>
      </c>
      <c r="F148" t="s">
        <v>42</v>
      </c>
      <c r="G148" t="str">
        <f t="shared" si="13"/>
        <v/>
      </c>
      <c r="H148">
        <v>3</v>
      </c>
      <c r="I148" t="s">
        <v>3</v>
      </c>
    </row>
    <row r="149" spans="1:9" x14ac:dyDescent="0.15">
      <c r="A149" t="str">
        <f t="shared" si="12"/>
        <v>|Lｖ53|HP+3|</v>
      </c>
      <c r="B149" t="s">
        <v>3</v>
      </c>
      <c r="C149" t="s">
        <v>39</v>
      </c>
      <c r="D149">
        <v>53</v>
      </c>
      <c r="E149" t="s">
        <v>3</v>
      </c>
      <c r="F149" t="s">
        <v>7</v>
      </c>
      <c r="G149" t="str">
        <f t="shared" si="13"/>
        <v>+</v>
      </c>
      <c r="H149">
        <v>3</v>
      </c>
      <c r="I149" t="s">
        <v>3</v>
      </c>
    </row>
    <row r="150" spans="1:9" x14ac:dyDescent="0.15">
      <c r="A150" t="str">
        <f t="shared" si="12"/>
        <v>|Lｖ54|緑+1|</v>
      </c>
      <c r="B150" t="s">
        <v>3</v>
      </c>
      <c r="C150" t="s">
        <v>39</v>
      </c>
      <c r="D150">
        <v>54</v>
      </c>
      <c r="E150" t="s">
        <v>3</v>
      </c>
      <c r="F150" t="s">
        <v>15</v>
      </c>
      <c r="G150" t="str">
        <f t="shared" si="13"/>
        <v>+</v>
      </c>
      <c r="H150">
        <v>1</v>
      </c>
      <c r="I150" t="s">
        <v>3</v>
      </c>
    </row>
    <row r="151" spans="1:9" x14ac:dyDescent="0.15">
      <c r="A151" t="str">
        <f t="shared" ref="A151:A162" si="14">B151&amp;C151&amp;D151&amp;E151&amp;F151&amp;G151&amp;H151&amp;I151&amp;J151&amp;K151&amp;L151&amp;M151&amp;N151&amp;O151&amp;P151</f>
        <v>|Lｖ55|HP+2|</v>
      </c>
      <c r="B151" t="s">
        <v>3</v>
      </c>
      <c r="C151" t="s">
        <v>39</v>
      </c>
      <c r="D151">
        <v>55</v>
      </c>
      <c r="E151" t="s">
        <v>3</v>
      </c>
      <c r="F151" t="s">
        <v>7</v>
      </c>
      <c r="G151" t="str">
        <f t="shared" si="13"/>
        <v>+</v>
      </c>
      <c r="H151">
        <v>2</v>
      </c>
      <c r="I151" t="s">
        <v>3</v>
      </c>
    </row>
    <row r="152" spans="1:9" x14ac:dyDescent="0.15">
      <c r="A152" t="str">
        <f t="shared" si="14"/>
        <v>|Lｖ56|第1能力Lv4|</v>
      </c>
      <c r="B152" t="s">
        <v>3</v>
      </c>
      <c r="C152" t="s">
        <v>39</v>
      </c>
      <c r="D152">
        <v>56</v>
      </c>
      <c r="E152" t="s">
        <v>3</v>
      </c>
      <c r="F152" t="s">
        <v>40</v>
      </c>
      <c r="G152" t="str">
        <f t="shared" si="13"/>
        <v/>
      </c>
      <c r="H152">
        <v>4</v>
      </c>
      <c r="I152" t="s">
        <v>3</v>
      </c>
    </row>
    <row r="153" spans="1:9" x14ac:dyDescent="0.15">
      <c r="A153" t="str">
        <f t="shared" si="14"/>
        <v>|Lｖ57|HP+3|</v>
      </c>
      <c r="B153" t="s">
        <v>3</v>
      </c>
      <c r="C153" t="s">
        <v>39</v>
      </c>
      <c r="D153">
        <v>57</v>
      </c>
      <c r="E153" t="s">
        <v>3</v>
      </c>
      <c r="F153" t="s">
        <v>7</v>
      </c>
      <c r="G153" t="str">
        <f t="shared" si="13"/>
        <v>+</v>
      </c>
      <c r="H153">
        <v>3</v>
      </c>
      <c r="I153" t="s">
        <v>3</v>
      </c>
    </row>
    <row r="154" spans="1:9" x14ac:dyDescent="0.15">
      <c r="A154" t="str">
        <f t="shared" si="14"/>
        <v>|Lｖ58|第2能力Lv4|</v>
      </c>
      <c r="B154" t="s">
        <v>3</v>
      </c>
      <c r="C154" t="s">
        <v>39</v>
      </c>
      <c r="D154">
        <v>58</v>
      </c>
      <c r="E154" t="s">
        <v>3</v>
      </c>
      <c r="F154" t="s">
        <v>41</v>
      </c>
      <c r="G154" t="str">
        <f t="shared" si="13"/>
        <v/>
      </c>
      <c r="H154">
        <v>4</v>
      </c>
      <c r="I154" t="s">
        <v>3</v>
      </c>
    </row>
    <row r="155" spans="1:9" x14ac:dyDescent="0.15">
      <c r="A155" t="str">
        <f t="shared" si="14"/>
        <v>|Lｖ59|HP+2|</v>
      </c>
      <c r="B155" t="s">
        <v>3</v>
      </c>
      <c r="C155" t="s">
        <v>39</v>
      </c>
      <c r="D155">
        <v>59</v>
      </c>
      <c r="E155" t="s">
        <v>3</v>
      </c>
      <c r="F155" t="s">
        <v>7</v>
      </c>
      <c r="G155" t="str">
        <f t="shared" si="13"/>
        <v>+</v>
      </c>
      <c r="H155">
        <v>2</v>
      </c>
      <c r="I155" t="s">
        <v>3</v>
      </c>
    </row>
    <row r="156" spans="1:9" x14ac:dyDescent="0.15">
      <c r="A156" t="str">
        <f t="shared" si="14"/>
        <v>|Lｖ60|第3能力Lv4|</v>
      </c>
      <c r="B156" t="s">
        <v>3</v>
      </c>
      <c r="C156" t="s">
        <v>39</v>
      </c>
      <c r="D156">
        <v>60</v>
      </c>
      <c r="E156" t="s">
        <v>3</v>
      </c>
      <c r="F156" t="s">
        <v>42</v>
      </c>
      <c r="G156" t="s">
        <v>44</v>
      </c>
      <c r="H156">
        <v>4</v>
      </c>
      <c r="I156" t="s">
        <v>3</v>
      </c>
    </row>
    <row r="157" spans="1:9" x14ac:dyDescent="0.15">
      <c r="A157" t="str">
        <f t="shared" si="14"/>
        <v>必要総経験値：160720ルーン</v>
      </c>
      <c r="B157" t="s">
        <v>45</v>
      </c>
      <c r="C157">
        <v>160720</v>
      </c>
      <c r="F157" t="s">
        <v>46</v>
      </c>
    </row>
    <row r="158" spans="1:9" x14ac:dyDescent="0.15">
      <c r="A158" t="str">
        <f t="shared" si="14"/>
        <v>&amp;br;</v>
      </c>
      <c r="B158" t="s">
        <v>0</v>
      </c>
    </row>
    <row r="159" spans="1:9" x14ac:dyDescent="0.15">
      <c r="A159" t="str">
        <f t="shared" si="14"/>
        <v>#back(text=戻る,left)</v>
      </c>
      <c r="B159" t="s">
        <v>47</v>
      </c>
    </row>
    <row r="160" spans="1:9" x14ac:dyDescent="0.15">
      <c r="A160" t="str">
        <f t="shared" si="14"/>
        <v>&amp;br;</v>
      </c>
      <c r="B160" t="s">
        <v>0</v>
      </c>
    </row>
    <row r="161" spans="1:2" x14ac:dyDescent="0.15">
      <c r="A161" t="str">
        <f t="shared" si="14"/>
        <v>#comment(above,nsize=[15],size=[30],num=[10])</v>
      </c>
      <c r="B161" t="s">
        <v>48</v>
      </c>
    </row>
    <row r="162" spans="1:2" x14ac:dyDescent="0.15">
      <c r="A162" t="str">
        <f t="shared" si="14"/>
        <v>[[プレインズウォーカーリスト&gt;プレインズウォーカーリスト]]</v>
      </c>
      <c r="B162" t="s">
        <v>49</v>
      </c>
    </row>
  </sheetData>
  <autoFilter ref="C97:I162"/>
  <phoneticPr fontId="4"/>
  <dataValidations count="4">
    <dataValidation type="list" allowBlank="1" showInputMessage="1" showErrorMessage="1" sqref="F116 F140">
      <formula1>$Q$126:$Q$138</formula1>
    </dataValidation>
    <dataValidation type="list" allowBlank="1" showInputMessage="1" showErrorMessage="1" sqref="F157">
      <formula1>$Q$87:$Q$99</formula1>
    </dataValidation>
    <dataValidation type="list" allowBlank="1" showInputMessage="1" showErrorMessage="1" sqref="F98:F115 F117:F139 F141:F156">
      <formula1>$Q$97:$Q$109</formula1>
    </dataValidation>
    <dataValidation type="list" allowBlank="1" showInputMessage="1" showErrorMessage="1" sqref="H98:H155">
      <formula1>",1,2,3,4,8"</formula1>
    </dataValidation>
  </dataValidations>
  <pageMargins left="0.69930555555555596" right="0.69930555555555596" top="0.75" bottom="0.75" header="0.3" footer="0.3"/>
  <pageSetup paperSize="9" orientation="portrai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W208"/>
  <sheetViews>
    <sheetView workbookViewId="0">
      <selection sqref="A1:A1048576"/>
    </sheetView>
  </sheetViews>
  <sheetFormatPr defaultColWidth="9" defaultRowHeight="13.5" x14ac:dyDescent="0.15"/>
  <cols>
    <col min="2" max="2" width="3.5" customWidth="1"/>
    <col min="3" max="3" width="7.875" customWidth="1"/>
    <col min="4" max="4" width="5.5" customWidth="1"/>
    <col min="5" max="5" width="2.875" customWidth="1"/>
    <col min="7" max="7" width="2" customWidth="1"/>
    <col min="9" max="9" width="2" customWidth="1"/>
    <col min="11" max="11" width="2" customWidth="1"/>
    <col min="13" max="13" width="2" customWidth="1"/>
    <col min="15" max="15" width="2" customWidth="1"/>
    <col min="17" max="17" width="2.75" customWidth="1"/>
  </cols>
  <sheetData>
    <row r="1" spans="1:23" x14ac:dyDescent="0.15">
      <c r="A1" t="str">
        <f t="shared" ref="A1:A13" si="0">C1&amp;D1&amp;E1&amp;F1&amp;G1&amp;H1&amp;I1&amp;J1&amp;K1&amp;L1&amp;M1&amp;N1&amp;O1&amp;P1&amp;Q1&amp;R1&amp;S1&amp;T1&amp;U1&amp;V1</f>
        <v>*Lv60時ステータス</v>
      </c>
      <c r="C1" t="s">
        <v>577</v>
      </c>
      <c r="W1">
        <v>107.142857142857</v>
      </c>
    </row>
    <row r="2" spans="1:23" x14ac:dyDescent="0.15">
      <c r="A2" t="str">
        <f t="shared" si="0"/>
        <v>|LEFT:70|LEFT:30|LEFT:30|LEFT:30|LEFT:30|LEFT:30|LEFT:70|LEFT:50|LEFT:60|c</v>
      </c>
      <c r="C2" t="s">
        <v>3</v>
      </c>
      <c r="D2" t="s">
        <v>578</v>
      </c>
      <c r="E2" t="s">
        <v>3</v>
      </c>
      <c r="F2" t="s">
        <v>579</v>
      </c>
      <c r="G2" t="s">
        <v>3</v>
      </c>
      <c r="H2" t="s">
        <v>579</v>
      </c>
      <c r="I2" t="s">
        <v>3</v>
      </c>
      <c r="J2" t="s">
        <v>579</v>
      </c>
      <c r="K2" t="s">
        <v>3</v>
      </c>
      <c r="L2" t="s">
        <v>579</v>
      </c>
      <c r="M2" t="s">
        <v>3</v>
      </c>
      <c r="N2" t="s">
        <v>579</v>
      </c>
      <c r="O2" t="s">
        <v>3</v>
      </c>
      <c r="P2" t="s">
        <v>578</v>
      </c>
      <c r="Q2" t="s">
        <v>3</v>
      </c>
      <c r="R2" t="s">
        <v>4</v>
      </c>
      <c r="S2" t="s">
        <v>3</v>
      </c>
      <c r="T2" t="s">
        <v>580</v>
      </c>
      <c r="U2" t="s">
        <v>3</v>
      </c>
      <c r="V2" t="s">
        <v>5</v>
      </c>
    </row>
    <row r="3" spans="1:23" x14ac:dyDescent="0.15">
      <c r="A3" t="str">
        <f t="shared" si="0"/>
        <v>|HP|&gt;|&gt;|&gt;|&gt;|マナボーナス|&gt;|&gt;|デッキ構築枚数上限|</v>
      </c>
      <c r="C3" t="s">
        <v>3</v>
      </c>
      <c r="D3" t="s">
        <v>7</v>
      </c>
      <c r="E3" t="s">
        <v>3</v>
      </c>
      <c r="F3" t="s">
        <v>209</v>
      </c>
      <c r="G3" t="s">
        <v>3</v>
      </c>
      <c r="H3" t="s">
        <v>209</v>
      </c>
      <c r="I3" t="s">
        <v>3</v>
      </c>
      <c r="J3" t="s">
        <v>209</v>
      </c>
      <c r="K3" t="s">
        <v>3</v>
      </c>
      <c r="L3" t="s">
        <v>209</v>
      </c>
      <c r="M3" t="s">
        <v>3</v>
      </c>
      <c r="N3" t="s">
        <v>581</v>
      </c>
      <c r="O3" t="s">
        <v>3</v>
      </c>
      <c r="P3" t="s">
        <v>209</v>
      </c>
      <c r="Q3" t="s">
        <v>3</v>
      </c>
      <c r="R3" t="s">
        <v>209</v>
      </c>
      <c r="S3" t="s">
        <v>3</v>
      </c>
      <c r="T3" t="s">
        <v>582</v>
      </c>
      <c r="U3" t="s">
        <v>3</v>
      </c>
    </row>
    <row r="4" spans="1:23" x14ac:dyDescent="0.15">
      <c r="A4" t="str">
        <f t="shared" si="0"/>
        <v>|^|白|青|黒|赤|緑|クリーチャー|呪文|サポート|</v>
      </c>
      <c r="C4" t="s">
        <v>3</v>
      </c>
      <c r="D4" t="s">
        <v>583</v>
      </c>
      <c r="E4" t="s">
        <v>3</v>
      </c>
      <c r="F4" t="s">
        <v>11</v>
      </c>
      <c r="G4" t="s">
        <v>3</v>
      </c>
      <c r="H4" t="s">
        <v>12</v>
      </c>
      <c r="I4" t="s">
        <v>3</v>
      </c>
      <c r="J4" t="s">
        <v>13</v>
      </c>
      <c r="K4" t="s">
        <v>3</v>
      </c>
      <c r="L4" t="s">
        <v>14</v>
      </c>
      <c r="M4" t="s">
        <v>3</v>
      </c>
      <c r="N4" t="s">
        <v>15</v>
      </c>
      <c r="O4" t="s">
        <v>3</v>
      </c>
      <c r="P4" t="s">
        <v>20</v>
      </c>
      <c r="Q4" t="s">
        <v>3</v>
      </c>
      <c r="R4" t="s">
        <v>21</v>
      </c>
      <c r="S4" t="s">
        <v>3</v>
      </c>
      <c r="T4" t="s">
        <v>22</v>
      </c>
      <c r="U4" t="s">
        <v>3</v>
      </c>
    </row>
    <row r="5" spans="1:23" x14ac:dyDescent="0.15">
      <c r="A5" t="str">
        <f t="shared" si="0"/>
        <v>|118|4|-1|-1|4|2|9|5|5|</v>
      </c>
      <c r="C5" t="s">
        <v>3</v>
      </c>
      <c r="D5">
        <f>VLOOKUP(MAX(D39:D65),D39:F65,3,TRUE)</f>
        <v>118</v>
      </c>
      <c r="E5" t="s">
        <v>3</v>
      </c>
      <c r="F5">
        <f>VLOOKUP(MAX($D$71:$D$80),$D$71:$P$80,5,TRUE)</f>
        <v>4</v>
      </c>
      <c r="G5" t="s">
        <v>3</v>
      </c>
      <c r="H5">
        <f>VLOOKUP(MAX($D$71:$D$80),$D$71:$P$80,7,TRUE)</f>
        <v>-1</v>
      </c>
      <c r="I5" t="s">
        <v>3</v>
      </c>
      <c r="J5">
        <f>VLOOKUP(MAX($D$71:$D$80),$D$71:$P$80,9,TRUE)</f>
        <v>-1</v>
      </c>
      <c r="K5" t="s">
        <v>3</v>
      </c>
      <c r="L5">
        <f>VLOOKUP(MAX($D$71:$D$80),$D$71:$P$80,11,TRUE)</f>
        <v>4</v>
      </c>
      <c r="M5" t="s">
        <v>3</v>
      </c>
      <c r="N5">
        <f>VLOOKUP(MAX($D$71:$D$80),$D$71:$P$80,13,TRUE)</f>
        <v>2</v>
      </c>
      <c r="O5" t="s">
        <v>3</v>
      </c>
      <c r="P5">
        <f>VLOOKUP(MAX($D$87:$D$96),$D$87:$L$96,5,TRUE)</f>
        <v>9</v>
      </c>
      <c r="Q5" t="s">
        <v>3</v>
      </c>
      <c r="R5">
        <f>VLOOKUP(MAX($D$87:$D$96),$D$87:$L$96,7,TRUE)</f>
        <v>5</v>
      </c>
      <c r="S5" t="s">
        <v>3</v>
      </c>
      <c r="T5">
        <f>VLOOKUP(MAX($D$87:$D$96),$D$87:$L$96,9,TRUE)</f>
        <v>5</v>
      </c>
      <c r="U5" t="s">
        <v>3</v>
      </c>
    </row>
    <row r="6" spans="1:23" x14ac:dyDescent="0.15">
      <c r="A6" t="str">
        <f t="shared" si="0"/>
        <v>||&gt;|&gt;|&gt;|&gt;|&gt;|&gt;|PW能力|コスト|</v>
      </c>
      <c r="C6" t="s">
        <v>3</v>
      </c>
      <c r="E6" t="s">
        <v>3</v>
      </c>
      <c r="F6" t="s">
        <v>209</v>
      </c>
      <c r="G6" t="s">
        <v>3</v>
      </c>
      <c r="H6" t="s">
        <v>209</v>
      </c>
      <c r="I6" t="s">
        <v>3</v>
      </c>
      <c r="J6" t="s">
        <v>209</v>
      </c>
      <c r="K6" t="s">
        <v>3</v>
      </c>
      <c r="L6" t="s">
        <v>209</v>
      </c>
      <c r="M6" t="s">
        <v>3</v>
      </c>
      <c r="N6" t="s">
        <v>209</v>
      </c>
      <c r="O6" t="s">
        <v>3</v>
      </c>
      <c r="P6" t="s">
        <v>209</v>
      </c>
      <c r="Q6" t="s">
        <v>3</v>
      </c>
      <c r="R6" t="s">
        <v>584</v>
      </c>
      <c r="S6" t="s">
        <v>3</v>
      </c>
      <c r="T6" t="s">
        <v>28</v>
      </c>
      <c r="U6" t="s">
        <v>3</v>
      </c>
    </row>
    <row r="7" spans="1:23" x14ac:dyDescent="0.15">
      <c r="A7" t="str">
        <f t="shared" si="0"/>
        <v>|第1能力|&gt;|&gt;|&gt;|&gt;|&gt;|&gt;|太陽帝国の祝福/Sun Empire's Blessing|9|</v>
      </c>
      <c r="C7" t="s">
        <v>3</v>
      </c>
      <c r="D7" t="s">
        <v>585</v>
      </c>
      <c r="E7" t="s">
        <v>3</v>
      </c>
      <c r="F7" t="s">
        <v>209</v>
      </c>
      <c r="G7" t="s">
        <v>3</v>
      </c>
      <c r="H7" t="s">
        <v>209</v>
      </c>
      <c r="I7" t="s">
        <v>3</v>
      </c>
      <c r="J7" t="s">
        <v>209</v>
      </c>
      <c r="K7" t="s">
        <v>3</v>
      </c>
      <c r="L7" t="s">
        <v>209</v>
      </c>
      <c r="M7" t="s">
        <v>3</v>
      </c>
      <c r="N7" t="s">
        <v>209</v>
      </c>
      <c r="O7" t="s">
        <v>3</v>
      </c>
      <c r="P7" t="s">
        <v>209</v>
      </c>
      <c r="Q7" t="s">
        <v>3</v>
      </c>
      <c r="R7" t="str">
        <f>R100</f>
        <v>太陽帝国の祝福/Sun Empire's Blessing</v>
      </c>
      <c r="S7" t="s">
        <v>3</v>
      </c>
      <c r="T7">
        <f>H106</f>
        <v>9</v>
      </c>
      <c r="U7" t="s">
        <v>3</v>
      </c>
    </row>
    <row r="8" spans="1:23" x14ac:dyDescent="0.15">
      <c r="A8" t="str">
        <f t="shared" si="0"/>
        <v>|&gt;|&gt;|&gt;|&gt;|&gt;|&gt;|&gt;|&gt;|あなたがコントロールするクリーチャーは+2/+0の修正を受け、あなたがコントロールするクリーチャーのパワーの最大値に等しいライフを得る。|</v>
      </c>
      <c r="C8" t="s">
        <v>3</v>
      </c>
      <c r="D8" t="s">
        <v>209</v>
      </c>
      <c r="E8" t="s">
        <v>3</v>
      </c>
      <c r="F8" t="s">
        <v>209</v>
      </c>
      <c r="G8" t="s">
        <v>3</v>
      </c>
      <c r="H8" t="s">
        <v>209</v>
      </c>
      <c r="I8" t="s">
        <v>3</v>
      </c>
      <c r="J8" t="s">
        <v>209</v>
      </c>
      <c r="K8" t="s">
        <v>3</v>
      </c>
      <c r="L8" t="s">
        <v>209</v>
      </c>
      <c r="M8" t="s">
        <v>3</v>
      </c>
      <c r="N8" t="s">
        <v>209</v>
      </c>
      <c r="O8" t="s">
        <v>3</v>
      </c>
      <c r="P8" t="s">
        <v>209</v>
      </c>
      <c r="Q8" t="s">
        <v>3</v>
      </c>
      <c r="R8" t="s">
        <v>209</v>
      </c>
      <c r="S8" t="s">
        <v>3</v>
      </c>
      <c r="T8" t="str">
        <f>J106</f>
        <v>あなたがコントロールするクリーチャーは+2/+0の修正を受け、あなたがコントロールするクリーチャーのパワーの最大値に等しいライフを得る。</v>
      </c>
      <c r="U8" t="s">
        <v>3</v>
      </c>
    </row>
    <row r="9" spans="1:23" x14ac:dyDescent="0.15">
      <c r="A9" t="str">
        <f t="shared" si="0"/>
        <v>|第2能力|&gt;|&gt;|&gt;|&gt;|&gt;|&gt;|恐竜呼び/Call Dinosaur|12|</v>
      </c>
      <c r="C9" t="s">
        <v>3</v>
      </c>
      <c r="D9" t="s">
        <v>587</v>
      </c>
      <c r="E9" t="s">
        <v>3</v>
      </c>
      <c r="F9" t="s">
        <v>209</v>
      </c>
      <c r="G9" t="s">
        <v>3</v>
      </c>
      <c r="H9" t="s">
        <v>209</v>
      </c>
      <c r="I9" t="s">
        <v>3</v>
      </c>
      <c r="J9" t="s">
        <v>209</v>
      </c>
      <c r="K9" t="s">
        <v>3</v>
      </c>
      <c r="L9" t="s">
        <v>209</v>
      </c>
      <c r="M9" t="s">
        <v>3</v>
      </c>
      <c r="N9" t="s">
        <v>209</v>
      </c>
      <c r="O9" t="s">
        <v>3</v>
      </c>
      <c r="P9" t="s">
        <v>209</v>
      </c>
      <c r="Q9" t="s">
        <v>3</v>
      </c>
      <c r="R9" t="str">
        <f>R109</f>
        <v>恐竜呼び/Call Dinosaur</v>
      </c>
      <c r="S9" t="s">
        <v>3</v>
      </c>
      <c r="T9">
        <f>H115</f>
        <v>12</v>
      </c>
      <c r="U9" t="s">
        <v>3</v>
      </c>
    </row>
    <row r="10" spans="1:23" x14ac:dyDescent="0.15">
      <c r="A10" t="str">
        <f t="shared" si="0"/>
        <v>|&gt;|&gt;|&gt;|&gt;|&gt;|&gt;|&gt;|&gt;|トランプルと「恐竜・トークンが先王に出るたび、このクリーチャーを補強する」を持つ6/6の太陽恵みの乗用恐竜トークンを1体と、「あなたがコントロールする恐竜はバーサーカーを持つ」という能力を持つサポートトークン(シールド値1)を生成する。|</v>
      </c>
      <c r="C10" t="s">
        <v>3</v>
      </c>
      <c r="D10" t="s">
        <v>209</v>
      </c>
      <c r="E10" t="s">
        <v>3</v>
      </c>
      <c r="F10" t="s">
        <v>209</v>
      </c>
      <c r="G10" t="s">
        <v>3</v>
      </c>
      <c r="H10" t="s">
        <v>209</v>
      </c>
      <c r="I10" t="s">
        <v>3</v>
      </c>
      <c r="J10" t="s">
        <v>209</v>
      </c>
      <c r="K10" t="s">
        <v>3</v>
      </c>
      <c r="L10" t="s">
        <v>209</v>
      </c>
      <c r="M10" t="s">
        <v>3</v>
      </c>
      <c r="N10" t="s">
        <v>209</v>
      </c>
      <c r="O10" t="s">
        <v>3</v>
      </c>
      <c r="P10" t="s">
        <v>209</v>
      </c>
      <c r="Q10" t="s">
        <v>3</v>
      </c>
      <c r="R10" t="s">
        <v>209</v>
      </c>
      <c r="S10" t="s">
        <v>3</v>
      </c>
      <c r="T10" t="str">
        <f>J115</f>
        <v>トランプルと「恐竜・トークンが先王に出るたび、このクリーチャーを補強する」を持つ6/6の太陽恵みの乗用恐竜トークンを1体と、「あなたがコントロールする恐竜はバーサーカーを持つ」という能力を持つサポートトークン(シールド値1)を生成する。</v>
      </c>
      <c r="U10" t="s">
        <v>3</v>
      </c>
    </row>
    <row r="11" spans="1:23" x14ac:dyDescent="0.15">
      <c r="A11" t="str">
        <f t="shared" si="0"/>
        <v>|第3能力|&gt;|&gt;|&gt;|&gt;|&gt;|&gt;|太陽帝国の怒り/Sun Empire's Rage|18|</v>
      </c>
      <c r="C11" t="s">
        <v>3</v>
      </c>
      <c r="D11" t="s">
        <v>590</v>
      </c>
      <c r="E11" t="s">
        <v>3</v>
      </c>
      <c r="F11" t="s">
        <v>209</v>
      </c>
      <c r="G11" t="s">
        <v>3</v>
      </c>
      <c r="H11" t="s">
        <v>209</v>
      </c>
      <c r="I11" t="s">
        <v>3</v>
      </c>
      <c r="J11" t="s">
        <v>209</v>
      </c>
      <c r="K11" t="s">
        <v>3</v>
      </c>
      <c r="L11" t="s">
        <v>209</v>
      </c>
      <c r="M11" t="s">
        <v>3</v>
      </c>
      <c r="N11" t="s">
        <v>209</v>
      </c>
      <c r="O11" t="s">
        <v>3</v>
      </c>
      <c r="P11" t="s">
        <v>209</v>
      </c>
      <c r="Q11" t="s">
        <v>3</v>
      </c>
      <c r="R11" t="str">
        <f>R118</f>
        <v>太陽帝国の怒り/Sun Empire's Rage</v>
      </c>
      <c r="S11" t="s">
        <v>3</v>
      </c>
      <c r="T11">
        <f>H124</f>
        <v>18</v>
      </c>
      <c r="U11" t="s">
        <v>3</v>
      </c>
    </row>
    <row r="12" spans="1:23" x14ac:dyDescent="0.15">
      <c r="A12" t="str">
        <f t="shared" si="0"/>
        <v>|&gt;|&gt;|&gt;|&gt;|&gt;|&gt;|&gt;|&gt;|あなたのクリーチャーにそれぞれ1点のダメージを与える。その後、対戦相手のクリーチャーにそれぞれ6点のダメージを与え、それらはディフェンダー・到達・警戒を失う。|</v>
      </c>
      <c r="C12" t="s">
        <v>3</v>
      </c>
      <c r="D12" t="s">
        <v>209</v>
      </c>
      <c r="E12" t="s">
        <v>3</v>
      </c>
      <c r="F12" t="s">
        <v>209</v>
      </c>
      <c r="G12" t="s">
        <v>3</v>
      </c>
      <c r="H12" t="s">
        <v>209</v>
      </c>
      <c r="I12" t="s">
        <v>3</v>
      </c>
      <c r="J12" t="s">
        <v>209</v>
      </c>
      <c r="K12" t="s">
        <v>3</v>
      </c>
      <c r="L12" t="s">
        <v>209</v>
      </c>
      <c r="M12" t="s">
        <v>3</v>
      </c>
      <c r="N12" t="s">
        <v>209</v>
      </c>
      <c r="O12" t="s">
        <v>3</v>
      </c>
      <c r="P12" t="s">
        <v>209</v>
      </c>
      <c r="Q12" t="s">
        <v>3</v>
      </c>
      <c r="R12" t="s">
        <v>209</v>
      </c>
      <c r="S12" t="s">
        <v>3</v>
      </c>
      <c r="T12" t="str">
        <f>J124</f>
        <v>あなたのクリーチャーにそれぞれ1点のダメージを与える。その後、対戦相手のクリーチャーにそれぞれ6点のダメージを与え、それらはディフェンダー・到達・警戒を失う。</v>
      </c>
      <c r="U12" t="s">
        <v>3</v>
      </c>
    </row>
    <row r="13" spans="1:23" x14ac:dyDescent="0.15">
      <c r="A13" t="str">
        <f t="shared" si="0"/>
        <v/>
      </c>
    </row>
    <row r="14" spans="1:23" x14ac:dyDescent="0.15">
      <c r="A14" t="str">
        <f t="shared" ref="A14:A33" si="1">B14&amp;C14&amp;D14&amp;E14&amp;F14&amp;G14&amp;H14&amp;I14&amp;J14&amp;K14&amp;L14&amp;M14&amp;N14&amp;O14&amp;P14&amp;Q14&amp;R14&amp;S14&amp;T14&amp;U14</f>
        <v>*評価</v>
      </c>
      <c r="B14" t="s">
        <v>592</v>
      </c>
      <c r="C14" t="s">
        <v>593</v>
      </c>
    </row>
    <row r="15" spans="1:23" x14ac:dyDescent="0.15">
      <c r="A15" t="str">
        <f t="shared" si="1"/>
        <v>・HPは平均以上</v>
      </c>
      <c r="B15" t="s">
        <v>594</v>
      </c>
      <c r="C15" s="8" t="s">
        <v>653</v>
      </c>
      <c r="D15" t="str">
        <f>IF(D5&gt;110,"以上",IF(D5&gt;104,"","以下"))</f>
        <v>以上</v>
      </c>
    </row>
    <row r="16" spans="1:23" x14ac:dyDescent="0.15">
      <c r="A16" t="str">
        <f t="shared" si="1"/>
        <v>・マナボーナス合計は+8。平均。</v>
      </c>
      <c r="B16" t="s">
        <v>594</v>
      </c>
      <c r="C16" t="s">
        <v>595</v>
      </c>
      <c r="D16">
        <f>SUM(F5:N5)</f>
        <v>8</v>
      </c>
      <c r="E16" t="s">
        <v>596</v>
      </c>
      <c r="F16" t="s">
        <v>597</v>
      </c>
      <c r="G16" t="str">
        <f>IF(D16&gt;8,"以上",IF(D16&gt;6,"","以下"))</f>
        <v/>
      </c>
      <c r="H16" t="s">
        <v>596</v>
      </c>
    </row>
    <row r="17" spans="1:6" x14ac:dyDescent="0.15">
      <c r="A17" t="str">
        <f t="shared" si="1"/>
        <v>・まさかの3枚目の赤白PW。</v>
      </c>
      <c r="B17" t="s">
        <v>594</v>
      </c>
      <c r="C17" s="8" t="s">
        <v>841</v>
      </c>
    </row>
    <row r="18" spans="1:6" x14ac:dyDescent="0.15">
      <c r="A18" t="str">
        <f t="shared" si="1"/>
        <v>・</v>
      </c>
      <c r="B18" t="s">
        <v>594</v>
      </c>
    </row>
    <row r="19" spans="1:6" x14ac:dyDescent="0.15">
      <c r="A19" t="str">
        <f t="shared" si="1"/>
        <v>・</v>
      </c>
      <c r="B19" t="s">
        <v>594</v>
      </c>
    </row>
    <row r="20" spans="1:6" x14ac:dyDescent="0.15">
      <c r="A20" t="str">
        <f t="shared" si="1"/>
        <v>*採用候補</v>
      </c>
      <c r="B20" s="8" t="s">
        <v>652</v>
      </c>
    </row>
    <row r="21" spans="1:6" x14ac:dyDescent="0.15">
      <c r="A21" t="str">
        <f t="shared" si="1"/>
        <v>・色が合えば採用候補レベルのものではなく、PWに合った採用候補を紹介</v>
      </c>
      <c r="B21" t="s">
        <v>645</v>
      </c>
    </row>
    <row r="22" spans="1:6" x14ac:dyDescent="0.15">
      <c r="A22" t="str">
        <f t="shared" si="1"/>
        <v/>
      </c>
    </row>
    <row r="23" spans="1:6" x14ac:dyDescent="0.15">
      <c r="A23" t="str">
        <f t="shared" si="1"/>
        <v>**スタンダード</v>
      </c>
      <c r="B23" s="8" t="s">
        <v>650</v>
      </c>
    </row>
    <row r="24" spans="1:6" x14ac:dyDescent="0.15">
      <c r="A24" t="str">
        <f t="shared" si="1"/>
        <v>スタンダード(ORI/KLD/AKH/HOU期)</v>
      </c>
      <c r="B24" t="s">
        <v>646</v>
      </c>
    </row>
    <row r="25" spans="1:6" x14ac:dyDescent="0.15">
      <c r="A25" t="str">
        <f t="shared" si="1"/>
        <v>《[[]]》[]：</v>
      </c>
      <c r="B25" s="8" t="s">
        <v>718</v>
      </c>
      <c r="D25" t="s">
        <v>719</v>
      </c>
      <c r="E25" s="8"/>
      <c r="F25" t="s">
        <v>713</v>
      </c>
    </row>
    <row r="26" spans="1:6" x14ac:dyDescent="0.15">
      <c r="A26" t="str">
        <f t="shared" si="1"/>
        <v>《[[]]》[]：</v>
      </c>
      <c r="B26" s="8" t="s">
        <v>718</v>
      </c>
      <c r="D26" t="s">
        <v>719</v>
      </c>
      <c r="E26" s="8"/>
      <c r="F26" t="s">
        <v>713</v>
      </c>
    </row>
    <row r="27" spans="1:6" x14ac:dyDescent="0.15">
      <c r="A27" t="str">
        <f t="shared" si="1"/>
        <v/>
      </c>
    </row>
    <row r="28" spans="1:6" x14ac:dyDescent="0.15">
      <c r="A28" t="str">
        <f t="shared" si="1"/>
        <v/>
      </c>
    </row>
    <row r="29" spans="1:6" x14ac:dyDescent="0.15">
      <c r="A29" t="str">
        <f t="shared" si="1"/>
        <v>**レガシー</v>
      </c>
      <c r="B29" s="8" t="s">
        <v>651</v>
      </c>
    </row>
    <row r="30" spans="1:6" x14ac:dyDescent="0.15">
      <c r="A30" t="str">
        <f t="shared" si="1"/>
        <v>《[[]]》[]：</v>
      </c>
      <c r="B30" s="8" t="s">
        <v>718</v>
      </c>
      <c r="D30" t="s">
        <v>719</v>
      </c>
      <c r="E30" s="8"/>
      <c r="F30" t="s">
        <v>713</v>
      </c>
    </row>
    <row r="31" spans="1:6" x14ac:dyDescent="0.15">
      <c r="A31" t="str">
        <f t="shared" si="1"/>
        <v>《[[]]》[]：</v>
      </c>
      <c r="B31" s="8" t="s">
        <v>718</v>
      </c>
      <c r="D31" t="s">
        <v>719</v>
      </c>
      <c r="E31" s="8"/>
      <c r="F31" t="s">
        <v>713</v>
      </c>
    </row>
    <row r="32" spans="1:6" x14ac:dyDescent="0.15">
      <c r="A32" t="str">
        <f t="shared" si="1"/>
        <v/>
      </c>
    </row>
    <row r="33" spans="1:8" x14ac:dyDescent="0.15">
      <c r="A33" t="str">
        <f t="shared" si="1"/>
        <v>#region(close,text=Lv60までの詳細データ)</v>
      </c>
      <c r="B33" t="s">
        <v>598</v>
      </c>
    </row>
    <row r="34" spans="1:8" x14ac:dyDescent="0.15">
      <c r="A34" t="str">
        <f>B34&amp;C34&amp;D34&amp;E34&amp;F34&amp;G34&amp;H34&amp;I34&amp;J34&amp;K34&amp;L34&amp;M34&amp;N34&amp;O34&amp;P34</f>
        <v/>
      </c>
    </row>
    <row r="35" spans="1:8" x14ac:dyDescent="0.15">
      <c r="A35" t="str">
        <f>B35&amp;C35&amp;D35&amp;E35&amp;F35&amp;G35&amp;H35&amp;I35&amp;J35&amp;K35&amp;L35&amp;M35&amp;N35&amp;O35&amp;P35</f>
        <v>&amp;br;</v>
      </c>
      <c r="B35" t="s">
        <v>0</v>
      </c>
    </row>
    <row r="36" spans="1:8" x14ac:dyDescent="0.15">
      <c r="A36" t="str">
        <f>B36&amp;C36&amp;D36&amp;E36&amp;F36&amp;G36&amp;H36&amp;I36&amp;J36&amp;K36&amp;L36&amp;M36&amp;N36&amp;O36&amp;P36</f>
        <v>*HP</v>
      </c>
      <c r="B36" s="8" t="s">
        <v>644</v>
      </c>
    </row>
    <row r="37" spans="1:8" x14ac:dyDescent="0.15">
      <c r="A37" t="str">
        <f>B37&amp;C37&amp;D37&amp;E37&amp;F37&amp;G37&amp;H37</f>
        <v>|LEFT:50|LEFT:50|c</v>
      </c>
      <c r="B37" t="s">
        <v>3</v>
      </c>
      <c r="C37" t="s">
        <v>4</v>
      </c>
      <c r="E37" t="s">
        <v>3</v>
      </c>
      <c r="F37" t="s">
        <v>4</v>
      </c>
      <c r="G37" t="s">
        <v>3</v>
      </c>
      <c r="H37" t="s">
        <v>5</v>
      </c>
    </row>
    <row r="38" spans="1:8" x14ac:dyDescent="0.15">
      <c r="A38" t="str">
        <f t="shared" ref="A38:A65" si="2">B38&amp;C38&amp;D38&amp;E38&amp;F38&amp;G38&amp;H38</f>
        <v>|レベル|HP|</v>
      </c>
      <c r="B38" t="s">
        <v>3</v>
      </c>
      <c r="C38" t="s">
        <v>6</v>
      </c>
      <c r="E38" t="s">
        <v>3</v>
      </c>
      <c r="F38" t="s">
        <v>7</v>
      </c>
      <c r="G38" t="s">
        <v>3</v>
      </c>
    </row>
    <row r="39" spans="1:8" x14ac:dyDescent="0.15">
      <c r="A39" t="str">
        <f t="shared" si="2"/>
        <v>|Lv1|38|</v>
      </c>
      <c r="B39" t="s">
        <v>3</v>
      </c>
      <c r="C39" t="s">
        <v>8</v>
      </c>
      <c r="D39">
        <v>1</v>
      </c>
      <c r="E39" t="s">
        <v>3</v>
      </c>
      <c r="F39">
        <f>B204</f>
        <v>38</v>
      </c>
      <c r="G39" t="s">
        <v>3</v>
      </c>
    </row>
    <row r="40" spans="1:8" x14ac:dyDescent="0.15">
      <c r="A40" t="str">
        <f t="shared" si="2"/>
        <v>|Lv3|41|</v>
      </c>
      <c r="B40" t="s">
        <v>3</v>
      </c>
      <c r="C40" t="s">
        <v>8</v>
      </c>
      <c r="D40">
        <v>3</v>
      </c>
      <c r="E40" t="s">
        <v>3</v>
      </c>
      <c r="F40">
        <f t="shared" ref="F40:F65" si="3">IF(ISBLANK(D40),"",F39+INDEX($H$129:$H$188,D40))</f>
        <v>41</v>
      </c>
      <c r="G40" t="s">
        <v>3</v>
      </c>
    </row>
    <row r="41" spans="1:8" x14ac:dyDescent="0.15">
      <c r="A41" t="str">
        <f t="shared" si="2"/>
        <v>|Lv5|44|</v>
      </c>
      <c r="B41" t="s">
        <v>3</v>
      </c>
      <c r="C41" t="s">
        <v>8</v>
      </c>
      <c r="D41">
        <v>5</v>
      </c>
      <c r="E41" t="s">
        <v>3</v>
      </c>
      <c r="F41">
        <f t="shared" si="3"/>
        <v>44</v>
      </c>
      <c r="G41" t="s">
        <v>3</v>
      </c>
    </row>
    <row r="42" spans="1:8" x14ac:dyDescent="0.15">
      <c r="A42" t="str">
        <f t="shared" si="2"/>
        <v>|Lv7|47|</v>
      </c>
      <c r="B42" t="s">
        <v>3</v>
      </c>
      <c r="C42" t="s">
        <v>8</v>
      </c>
      <c r="D42">
        <v>7</v>
      </c>
      <c r="E42" t="s">
        <v>3</v>
      </c>
      <c r="F42">
        <f t="shared" si="3"/>
        <v>47</v>
      </c>
      <c r="G42" t="s">
        <v>3</v>
      </c>
    </row>
    <row r="43" spans="1:8" x14ac:dyDescent="0.15">
      <c r="A43" t="str">
        <f t="shared" si="2"/>
        <v>|Lv9|50|</v>
      </c>
      <c r="B43" t="s">
        <v>3</v>
      </c>
      <c r="C43" t="s">
        <v>8</v>
      </c>
      <c r="D43">
        <v>9</v>
      </c>
      <c r="E43" t="s">
        <v>3</v>
      </c>
      <c r="F43">
        <f t="shared" si="3"/>
        <v>50</v>
      </c>
      <c r="G43" t="s">
        <v>3</v>
      </c>
    </row>
    <row r="44" spans="1:8" x14ac:dyDescent="0.15">
      <c r="A44" t="str">
        <f t="shared" si="2"/>
        <v>|Lv11|53|</v>
      </c>
      <c r="B44" t="s">
        <v>3</v>
      </c>
      <c r="C44" t="s">
        <v>8</v>
      </c>
      <c r="D44">
        <v>11</v>
      </c>
      <c r="E44" t="s">
        <v>3</v>
      </c>
      <c r="F44">
        <f t="shared" si="3"/>
        <v>53</v>
      </c>
      <c r="G44" t="s">
        <v>3</v>
      </c>
    </row>
    <row r="45" spans="1:8" x14ac:dyDescent="0.15">
      <c r="A45" t="str">
        <f t="shared" si="2"/>
        <v>|Lv13|56|</v>
      </c>
      <c r="B45" t="s">
        <v>3</v>
      </c>
      <c r="C45" t="s">
        <v>8</v>
      </c>
      <c r="D45">
        <v>13</v>
      </c>
      <c r="E45" t="s">
        <v>3</v>
      </c>
      <c r="F45">
        <f t="shared" si="3"/>
        <v>56</v>
      </c>
      <c r="G45" t="s">
        <v>3</v>
      </c>
    </row>
    <row r="46" spans="1:8" x14ac:dyDescent="0.15">
      <c r="A46" t="str">
        <f t="shared" si="2"/>
        <v>|Lv15|59|</v>
      </c>
      <c r="B46" t="s">
        <v>3</v>
      </c>
      <c r="C46" t="s">
        <v>8</v>
      </c>
      <c r="D46">
        <v>15</v>
      </c>
      <c r="E46" t="s">
        <v>3</v>
      </c>
      <c r="F46">
        <f t="shared" si="3"/>
        <v>59</v>
      </c>
      <c r="G46" t="s">
        <v>3</v>
      </c>
    </row>
    <row r="47" spans="1:8" x14ac:dyDescent="0.15">
      <c r="A47" t="str">
        <f t="shared" si="2"/>
        <v>|Lv19|62|</v>
      </c>
      <c r="B47" t="s">
        <v>3</v>
      </c>
      <c r="C47" t="s">
        <v>8</v>
      </c>
      <c r="D47">
        <v>19</v>
      </c>
      <c r="E47" t="s">
        <v>3</v>
      </c>
      <c r="F47">
        <f t="shared" si="3"/>
        <v>62</v>
      </c>
      <c r="G47" t="s">
        <v>3</v>
      </c>
    </row>
    <row r="48" spans="1:8" x14ac:dyDescent="0.15">
      <c r="A48" t="str">
        <f t="shared" si="2"/>
        <v>|Lv21|65|</v>
      </c>
      <c r="B48" t="s">
        <v>3</v>
      </c>
      <c r="C48" t="s">
        <v>8</v>
      </c>
      <c r="D48">
        <v>21</v>
      </c>
      <c r="E48" t="s">
        <v>3</v>
      </c>
      <c r="F48">
        <f t="shared" si="3"/>
        <v>65</v>
      </c>
      <c r="G48" t="s">
        <v>3</v>
      </c>
    </row>
    <row r="49" spans="1:7" x14ac:dyDescent="0.15">
      <c r="A49" t="str">
        <f t="shared" si="2"/>
        <v>|Lv23|68|</v>
      </c>
      <c r="B49" t="s">
        <v>3</v>
      </c>
      <c r="C49" t="s">
        <v>8</v>
      </c>
      <c r="D49">
        <v>23</v>
      </c>
      <c r="E49" t="s">
        <v>3</v>
      </c>
      <c r="F49">
        <f t="shared" si="3"/>
        <v>68</v>
      </c>
      <c r="G49" t="s">
        <v>3</v>
      </c>
    </row>
    <row r="50" spans="1:7" x14ac:dyDescent="0.15">
      <c r="A50" t="str">
        <f t="shared" si="2"/>
        <v>|Lv25|71|</v>
      </c>
      <c r="B50" t="s">
        <v>3</v>
      </c>
      <c r="C50" t="s">
        <v>8</v>
      </c>
      <c r="D50">
        <v>25</v>
      </c>
      <c r="E50" t="s">
        <v>3</v>
      </c>
      <c r="F50">
        <f t="shared" si="3"/>
        <v>71</v>
      </c>
      <c r="G50" t="s">
        <v>3</v>
      </c>
    </row>
    <row r="51" spans="1:7" x14ac:dyDescent="0.15">
      <c r="A51" t="str">
        <f t="shared" si="2"/>
        <v>|Lv27|75|</v>
      </c>
      <c r="B51" t="s">
        <v>3</v>
      </c>
      <c r="C51" t="s">
        <v>8</v>
      </c>
      <c r="D51">
        <v>27</v>
      </c>
      <c r="E51" t="s">
        <v>3</v>
      </c>
      <c r="F51">
        <f t="shared" si="3"/>
        <v>75</v>
      </c>
      <c r="G51" t="s">
        <v>3</v>
      </c>
    </row>
    <row r="52" spans="1:7" x14ac:dyDescent="0.15">
      <c r="A52" t="str">
        <f t="shared" si="2"/>
        <v>|Lv29|78|</v>
      </c>
      <c r="B52" t="s">
        <v>3</v>
      </c>
      <c r="C52" t="s">
        <v>8</v>
      </c>
      <c r="D52">
        <v>29</v>
      </c>
      <c r="E52" t="s">
        <v>3</v>
      </c>
      <c r="F52">
        <f t="shared" si="3"/>
        <v>78</v>
      </c>
      <c r="G52" t="s">
        <v>3</v>
      </c>
    </row>
    <row r="53" spans="1:7" x14ac:dyDescent="0.15">
      <c r="A53" t="str">
        <f t="shared" si="2"/>
        <v>|Lv31|81|</v>
      </c>
      <c r="B53" t="s">
        <v>3</v>
      </c>
      <c r="C53" t="s">
        <v>8</v>
      </c>
      <c r="D53">
        <v>31</v>
      </c>
      <c r="E53" t="s">
        <v>3</v>
      </c>
      <c r="F53">
        <f t="shared" si="3"/>
        <v>81</v>
      </c>
      <c r="G53" t="s">
        <v>3</v>
      </c>
    </row>
    <row r="54" spans="1:7" x14ac:dyDescent="0.15">
      <c r="A54" t="str">
        <f t="shared" si="2"/>
        <v>|Lv33|84|</v>
      </c>
      <c r="B54" t="s">
        <v>3</v>
      </c>
      <c r="C54" t="s">
        <v>8</v>
      </c>
      <c r="D54">
        <v>33</v>
      </c>
      <c r="E54" t="s">
        <v>3</v>
      </c>
      <c r="F54">
        <f t="shared" si="3"/>
        <v>84</v>
      </c>
      <c r="G54" t="s">
        <v>3</v>
      </c>
    </row>
    <row r="55" spans="1:7" x14ac:dyDescent="0.15">
      <c r="A55" t="str">
        <f t="shared" si="2"/>
        <v>|Lv37|87|</v>
      </c>
      <c r="B55" t="s">
        <v>3</v>
      </c>
      <c r="C55" t="s">
        <v>8</v>
      </c>
      <c r="D55">
        <v>37</v>
      </c>
      <c r="E55" t="s">
        <v>3</v>
      </c>
      <c r="F55">
        <f t="shared" si="3"/>
        <v>87</v>
      </c>
      <c r="G55" t="s">
        <v>3</v>
      </c>
    </row>
    <row r="56" spans="1:7" x14ac:dyDescent="0.15">
      <c r="A56" t="str">
        <f t="shared" si="2"/>
        <v>|Lv39|90|</v>
      </c>
      <c r="B56" t="s">
        <v>3</v>
      </c>
      <c r="C56" t="s">
        <v>8</v>
      </c>
      <c r="D56">
        <v>39</v>
      </c>
      <c r="E56" t="s">
        <v>3</v>
      </c>
      <c r="F56">
        <f t="shared" si="3"/>
        <v>90</v>
      </c>
      <c r="G56" t="s">
        <v>3</v>
      </c>
    </row>
    <row r="57" spans="1:7" x14ac:dyDescent="0.15">
      <c r="A57" t="str">
        <f t="shared" si="2"/>
        <v>|Lv41|93|</v>
      </c>
      <c r="B57" t="s">
        <v>3</v>
      </c>
      <c r="C57" t="s">
        <v>8</v>
      </c>
      <c r="D57">
        <v>41</v>
      </c>
      <c r="E57" t="s">
        <v>3</v>
      </c>
      <c r="F57">
        <f t="shared" si="3"/>
        <v>93</v>
      </c>
      <c r="G57" t="s">
        <v>3</v>
      </c>
    </row>
    <row r="58" spans="1:7" x14ac:dyDescent="0.15">
      <c r="A58" t="str">
        <f t="shared" si="2"/>
        <v>|Lv43|96|</v>
      </c>
      <c r="B58" t="s">
        <v>3</v>
      </c>
      <c r="C58" t="s">
        <v>8</v>
      </c>
      <c r="D58">
        <v>43</v>
      </c>
      <c r="E58" t="s">
        <v>3</v>
      </c>
      <c r="F58">
        <f t="shared" si="3"/>
        <v>96</v>
      </c>
      <c r="G58" t="s">
        <v>3</v>
      </c>
    </row>
    <row r="59" spans="1:7" x14ac:dyDescent="0.15">
      <c r="A59" t="str">
        <f t="shared" si="2"/>
        <v>|Lv45|99|</v>
      </c>
      <c r="B59" t="s">
        <v>3</v>
      </c>
      <c r="C59" t="s">
        <v>8</v>
      </c>
      <c r="D59">
        <v>45</v>
      </c>
      <c r="E59" t="s">
        <v>3</v>
      </c>
      <c r="F59">
        <f t="shared" si="3"/>
        <v>99</v>
      </c>
      <c r="G59" t="s">
        <v>3</v>
      </c>
    </row>
    <row r="60" spans="1:7" x14ac:dyDescent="0.15">
      <c r="A60" t="str">
        <f t="shared" si="2"/>
        <v>|Lv47|102|</v>
      </c>
      <c r="B60" t="s">
        <v>3</v>
      </c>
      <c r="C60" t="s">
        <v>8</v>
      </c>
      <c r="D60">
        <v>47</v>
      </c>
      <c r="E60" t="s">
        <v>3</v>
      </c>
      <c r="F60">
        <f t="shared" si="3"/>
        <v>102</v>
      </c>
      <c r="G60" t="s">
        <v>3</v>
      </c>
    </row>
    <row r="61" spans="1:7" x14ac:dyDescent="0.15">
      <c r="A61" t="str">
        <f t="shared" si="2"/>
        <v>|Lv49|105|</v>
      </c>
      <c r="B61" t="s">
        <v>3</v>
      </c>
      <c r="C61" t="s">
        <v>8</v>
      </c>
      <c r="D61">
        <v>49</v>
      </c>
      <c r="E61" t="s">
        <v>3</v>
      </c>
      <c r="F61">
        <f t="shared" si="3"/>
        <v>105</v>
      </c>
      <c r="G61" t="s">
        <v>3</v>
      </c>
    </row>
    <row r="62" spans="1:7" x14ac:dyDescent="0.15">
      <c r="A62" t="str">
        <f t="shared" si="2"/>
        <v>|Lv51|108|</v>
      </c>
      <c r="B62" t="s">
        <v>3</v>
      </c>
      <c r="C62" t="s">
        <v>8</v>
      </c>
      <c r="D62">
        <v>51</v>
      </c>
      <c r="E62" t="s">
        <v>3</v>
      </c>
      <c r="F62">
        <f t="shared" si="3"/>
        <v>108</v>
      </c>
      <c r="G62" t="s">
        <v>3</v>
      </c>
    </row>
    <row r="63" spans="1:7" x14ac:dyDescent="0.15">
      <c r="A63" t="str">
        <f t="shared" si="2"/>
        <v>|Lv55|111|</v>
      </c>
      <c r="B63" t="s">
        <v>3</v>
      </c>
      <c r="C63" t="s">
        <v>8</v>
      </c>
      <c r="D63">
        <v>55</v>
      </c>
      <c r="E63" t="s">
        <v>3</v>
      </c>
      <c r="F63">
        <f t="shared" si="3"/>
        <v>111</v>
      </c>
      <c r="G63" t="s">
        <v>3</v>
      </c>
    </row>
    <row r="64" spans="1:7" x14ac:dyDescent="0.15">
      <c r="A64" t="str">
        <f t="shared" si="2"/>
        <v>|Lv57|114|</v>
      </c>
      <c r="B64" t="s">
        <v>3</v>
      </c>
      <c r="C64" t="s">
        <v>8</v>
      </c>
      <c r="D64">
        <v>57</v>
      </c>
      <c r="E64" t="s">
        <v>3</v>
      </c>
      <c r="F64">
        <f t="shared" si="3"/>
        <v>114</v>
      </c>
      <c r="G64" t="s">
        <v>3</v>
      </c>
    </row>
    <row r="65" spans="1:19" x14ac:dyDescent="0.15">
      <c r="A65" t="str">
        <f t="shared" si="2"/>
        <v>|Lv59|118|</v>
      </c>
      <c r="B65" t="s">
        <v>3</v>
      </c>
      <c r="C65" t="s">
        <v>8</v>
      </c>
      <c r="D65">
        <v>59</v>
      </c>
      <c r="E65" t="s">
        <v>3</v>
      </c>
      <c r="F65">
        <f t="shared" si="3"/>
        <v>118</v>
      </c>
      <c r="G65" t="s">
        <v>3</v>
      </c>
    </row>
    <row r="66" spans="1:19" x14ac:dyDescent="0.15">
      <c r="A66" t="str">
        <f>B66&amp;C66&amp;D66&amp;E66&amp;F66&amp;G66&amp;H66&amp;I66&amp;J66&amp;K66&amp;L66&amp;M66&amp;N66&amp;O66&amp;P66</f>
        <v>&amp;br;</v>
      </c>
      <c r="B66" t="s">
        <v>0</v>
      </c>
    </row>
    <row r="67" spans="1:19" x14ac:dyDescent="0.15">
      <c r="A67" t="str">
        <f>B67&amp;C67&amp;D67&amp;E67&amp;F67&amp;G67&amp;H67&amp;I67&amp;J67&amp;K67&amp;L67&amp;M67&amp;N67&amp;O67&amp;P67</f>
        <v>&amp;br;</v>
      </c>
      <c r="B67" t="s">
        <v>0</v>
      </c>
    </row>
    <row r="68" spans="1:19" x14ac:dyDescent="0.15">
      <c r="A68" t="str">
        <f>B68&amp;C68&amp;D68&amp;E68&amp;F68&amp;G68&amp;H68&amp;I68&amp;J68&amp;K68&amp;L68&amp;M68&amp;N68&amp;O68&amp;P68</f>
        <v>*マナボーナス [#q1a26f54]</v>
      </c>
      <c r="B68" t="s">
        <v>9</v>
      </c>
    </row>
    <row r="69" spans="1:19" x14ac:dyDescent="0.15">
      <c r="A69" t="str">
        <f t="shared" ref="A69:A78" si="4">B69&amp;C69&amp;D69&amp;G69&amp;H69&amp;I69&amp;J69&amp;K69&amp;L69&amp;M69&amp;N69&amp;O69&amp;P69&amp;Q69&amp;R69</f>
        <v>|LEFT:50|LEFT:50|LEFT:50|LEFT:50|LEFT:50|LEFT:50|c</v>
      </c>
      <c r="B69" t="s">
        <v>3</v>
      </c>
      <c r="C69" t="s">
        <v>4</v>
      </c>
      <c r="E69" t="s">
        <v>3</v>
      </c>
      <c r="G69" t="s">
        <v>3</v>
      </c>
      <c r="H69" t="s">
        <v>4</v>
      </c>
      <c r="I69" t="s">
        <v>3</v>
      </c>
      <c r="J69" t="s">
        <v>4</v>
      </c>
      <c r="K69" t="s">
        <v>3</v>
      </c>
      <c r="L69" t="s">
        <v>4</v>
      </c>
      <c r="M69" t="s">
        <v>3</v>
      </c>
      <c r="N69" t="s">
        <v>4</v>
      </c>
      <c r="O69" t="s">
        <v>3</v>
      </c>
      <c r="P69" t="s">
        <v>4</v>
      </c>
      <c r="Q69" t="s">
        <v>3</v>
      </c>
      <c r="R69" t="s">
        <v>5</v>
      </c>
    </row>
    <row r="70" spans="1:19" x14ac:dyDescent="0.15">
      <c r="A70" t="str">
        <f t="shared" si="4"/>
        <v>|レベル|白|青|黒|赤|緑|</v>
      </c>
      <c r="B70" t="s">
        <v>3</v>
      </c>
      <c r="C70" t="s">
        <v>6</v>
      </c>
      <c r="E70" t="s">
        <v>3</v>
      </c>
      <c r="F70" t="s">
        <v>10</v>
      </c>
      <c r="G70" t="s">
        <v>3</v>
      </c>
      <c r="H70" t="s">
        <v>11</v>
      </c>
      <c r="I70" t="s">
        <v>3</v>
      </c>
      <c r="J70" t="s">
        <v>12</v>
      </c>
      <c r="K70" t="s">
        <v>3</v>
      </c>
      <c r="L70" t="s">
        <v>13</v>
      </c>
      <c r="M70" t="s">
        <v>3</v>
      </c>
      <c r="N70" t="s">
        <v>14</v>
      </c>
      <c r="O70" t="s">
        <v>3</v>
      </c>
      <c r="P70" t="s">
        <v>15</v>
      </c>
      <c r="Q70" t="s">
        <v>3</v>
      </c>
      <c r="S70" t="s">
        <v>11</v>
      </c>
    </row>
    <row r="71" spans="1:19" x14ac:dyDescent="0.15">
      <c r="A71" t="str">
        <f t="shared" si="4"/>
        <v>|Lv1|2|-3|-3|2|0|</v>
      </c>
      <c r="B71" t="s">
        <v>3</v>
      </c>
      <c r="C71" t="s">
        <v>8</v>
      </c>
      <c r="D71">
        <v>1</v>
      </c>
      <c r="E71" t="s">
        <v>3</v>
      </c>
      <c r="G71" t="s">
        <v>3</v>
      </c>
      <c r="H71">
        <f>B208</f>
        <v>2</v>
      </c>
      <c r="I71" t="s">
        <v>3</v>
      </c>
      <c r="J71">
        <f>C208</f>
        <v>-3</v>
      </c>
      <c r="K71" t="s">
        <v>3</v>
      </c>
      <c r="L71">
        <f>D208</f>
        <v>-3</v>
      </c>
      <c r="M71" t="s">
        <v>3</v>
      </c>
      <c r="N71">
        <f>E208</f>
        <v>2</v>
      </c>
      <c r="O71" t="s">
        <v>3</v>
      </c>
      <c r="P71">
        <f>F208</f>
        <v>0</v>
      </c>
      <c r="Q71" t="s">
        <v>3</v>
      </c>
      <c r="S71" t="s">
        <v>12</v>
      </c>
    </row>
    <row r="72" spans="1:19" x14ac:dyDescent="0.15">
      <c r="A72" t="str">
        <f t="shared" si="4"/>
        <v>|Lv4|2|-3|-3|3|0|</v>
      </c>
      <c r="B72" t="s">
        <v>3</v>
      </c>
      <c r="C72" t="s">
        <v>8</v>
      </c>
      <c r="D72">
        <v>4</v>
      </c>
      <c r="E72" t="s">
        <v>3</v>
      </c>
      <c r="F72" t="str">
        <f t="shared" ref="F72:F80" si="5">IF(ISBLANK(D72),"",INDEX($F$129:$F$188,D72))</f>
        <v>赤</v>
      </c>
      <c r="G72" t="s">
        <v>3</v>
      </c>
      <c r="H72">
        <f>H71+IF(H$70=$F72,1,0)</f>
        <v>2</v>
      </c>
      <c r="I72" t="str">
        <f t="shared" ref="I72:Q80" si="6">I71</f>
        <v>|</v>
      </c>
      <c r="J72">
        <f>J71+IF(J$70=$F72,1,0)</f>
        <v>-3</v>
      </c>
      <c r="K72" t="str">
        <f t="shared" si="6"/>
        <v>|</v>
      </c>
      <c r="L72">
        <f>L71+IF(L$70=$F72,1,0)</f>
        <v>-3</v>
      </c>
      <c r="M72" t="str">
        <f t="shared" si="6"/>
        <v>|</v>
      </c>
      <c r="N72">
        <f>N71+IF(N$70=$F72,1,0)</f>
        <v>3</v>
      </c>
      <c r="O72" t="str">
        <f t="shared" si="6"/>
        <v>|</v>
      </c>
      <c r="P72">
        <f>P71+IF(P$70=$F72,1,0)</f>
        <v>0</v>
      </c>
      <c r="Q72" t="str">
        <f t="shared" si="6"/>
        <v>|</v>
      </c>
      <c r="S72" t="s">
        <v>13</v>
      </c>
    </row>
    <row r="73" spans="1:19" x14ac:dyDescent="0.15">
      <c r="A73" t="str">
        <f t="shared" si="4"/>
        <v>|Lv12|3|-3|-3|3|0|</v>
      </c>
      <c r="B73" t="s">
        <v>3</v>
      </c>
      <c r="C73" t="s">
        <v>8</v>
      </c>
      <c r="D73">
        <v>12</v>
      </c>
      <c r="E73" t="s">
        <v>3</v>
      </c>
      <c r="F73" t="str">
        <f t="shared" si="5"/>
        <v>白</v>
      </c>
      <c r="G73" t="s">
        <v>3</v>
      </c>
      <c r="H73">
        <f t="shared" ref="H73:P78" si="7">H72+IF(H$70=$F73,1,0)</f>
        <v>3</v>
      </c>
      <c r="I73" t="str">
        <f t="shared" si="6"/>
        <v>|</v>
      </c>
      <c r="J73">
        <f t="shared" si="7"/>
        <v>-3</v>
      </c>
      <c r="K73" t="str">
        <f t="shared" si="6"/>
        <v>|</v>
      </c>
      <c r="L73">
        <f t="shared" si="7"/>
        <v>-3</v>
      </c>
      <c r="M73" t="str">
        <f t="shared" si="6"/>
        <v>|</v>
      </c>
      <c r="N73">
        <f>N72+IF(N$70=$F73,1,0)</f>
        <v>3</v>
      </c>
      <c r="O73" t="str">
        <f t="shared" si="6"/>
        <v>|</v>
      </c>
      <c r="P73">
        <f t="shared" si="7"/>
        <v>0</v>
      </c>
      <c r="Q73" t="str">
        <f t="shared" si="6"/>
        <v>|</v>
      </c>
      <c r="S73" t="s">
        <v>14</v>
      </c>
    </row>
    <row r="74" spans="1:19" x14ac:dyDescent="0.15">
      <c r="A74" t="str">
        <f t="shared" si="4"/>
        <v>|Lv18|3|-2|-3|3|0|</v>
      </c>
      <c r="B74" t="s">
        <v>3</v>
      </c>
      <c r="C74" t="s">
        <v>8</v>
      </c>
      <c r="D74">
        <v>18</v>
      </c>
      <c r="E74" t="s">
        <v>3</v>
      </c>
      <c r="F74" t="str">
        <f t="shared" si="5"/>
        <v>青</v>
      </c>
      <c r="G74" t="s">
        <v>3</v>
      </c>
      <c r="H74">
        <f t="shared" si="7"/>
        <v>3</v>
      </c>
      <c r="I74" t="str">
        <f t="shared" si="6"/>
        <v>|</v>
      </c>
      <c r="J74">
        <f t="shared" si="7"/>
        <v>-2</v>
      </c>
      <c r="K74" t="str">
        <f t="shared" si="6"/>
        <v>|</v>
      </c>
      <c r="L74">
        <f t="shared" si="7"/>
        <v>-3</v>
      </c>
      <c r="M74" t="str">
        <f t="shared" si="6"/>
        <v>|</v>
      </c>
      <c r="N74">
        <f t="shared" si="7"/>
        <v>3</v>
      </c>
      <c r="O74" t="str">
        <f t="shared" si="6"/>
        <v>|</v>
      </c>
      <c r="P74">
        <f t="shared" si="7"/>
        <v>0</v>
      </c>
      <c r="Q74" t="str">
        <f t="shared" si="6"/>
        <v>|</v>
      </c>
      <c r="S74" t="s">
        <v>15</v>
      </c>
    </row>
    <row r="75" spans="1:19" x14ac:dyDescent="0.15">
      <c r="A75" t="str">
        <f t="shared" si="4"/>
        <v>|Lv24|3|-2|-1|3|0|</v>
      </c>
      <c r="B75" t="s">
        <v>3</v>
      </c>
      <c r="C75" t="s">
        <v>8</v>
      </c>
      <c r="D75">
        <v>24</v>
      </c>
      <c r="E75" t="s">
        <v>3</v>
      </c>
      <c r="F75" t="str">
        <f t="shared" si="5"/>
        <v>黒</v>
      </c>
      <c r="G75" t="s">
        <v>3</v>
      </c>
      <c r="H75">
        <f t="shared" si="7"/>
        <v>3</v>
      </c>
      <c r="I75" t="str">
        <f t="shared" si="6"/>
        <v>|</v>
      </c>
      <c r="J75">
        <f t="shared" si="7"/>
        <v>-2</v>
      </c>
      <c r="K75" t="str">
        <f t="shared" si="6"/>
        <v>|</v>
      </c>
      <c r="L75">
        <f>L74+IF(L$70=$F75,2,0)</f>
        <v>-1</v>
      </c>
      <c r="M75" t="str">
        <f t="shared" si="6"/>
        <v>|</v>
      </c>
      <c r="N75">
        <f t="shared" si="7"/>
        <v>3</v>
      </c>
      <c r="O75" t="str">
        <f t="shared" si="6"/>
        <v>|</v>
      </c>
      <c r="P75">
        <f>P74+IF(P$70=$F75,1,0)</f>
        <v>0</v>
      </c>
      <c r="Q75" t="str">
        <f t="shared" si="6"/>
        <v>|</v>
      </c>
    </row>
    <row r="76" spans="1:19" x14ac:dyDescent="0.15">
      <c r="A76" t="str">
        <f t="shared" si="4"/>
        <v>|Lv32|3|-2|-1|3|1|</v>
      </c>
      <c r="B76" t="s">
        <v>3</v>
      </c>
      <c r="C76" t="s">
        <v>8</v>
      </c>
      <c r="D76">
        <v>32</v>
      </c>
      <c r="E76" t="s">
        <v>3</v>
      </c>
      <c r="F76" t="str">
        <f t="shared" si="5"/>
        <v>緑</v>
      </c>
      <c r="G76" t="s">
        <v>3</v>
      </c>
      <c r="H76">
        <f t="shared" si="7"/>
        <v>3</v>
      </c>
      <c r="I76" t="str">
        <f t="shared" si="6"/>
        <v>|</v>
      </c>
      <c r="J76">
        <f t="shared" si="7"/>
        <v>-2</v>
      </c>
      <c r="K76" t="str">
        <f t="shared" si="6"/>
        <v>|</v>
      </c>
      <c r="L76">
        <f t="shared" si="7"/>
        <v>-1</v>
      </c>
      <c r="M76" t="str">
        <f t="shared" si="6"/>
        <v>|</v>
      </c>
      <c r="N76">
        <f t="shared" si="7"/>
        <v>3</v>
      </c>
      <c r="O76" t="str">
        <f t="shared" si="6"/>
        <v>|</v>
      </c>
      <c r="P76">
        <f t="shared" si="7"/>
        <v>1</v>
      </c>
      <c r="Q76" t="str">
        <f t="shared" si="6"/>
        <v>|</v>
      </c>
    </row>
    <row r="77" spans="1:19" x14ac:dyDescent="0.15">
      <c r="A77" t="str">
        <f t="shared" si="4"/>
        <v>|Lv38|3|-2|-1|4|1|</v>
      </c>
      <c r="B77" t="s">
        <v>3</v>
      </c>
      <c r="C77" t="s">
        <v>8</v>
      </c>
      <c r="D77">
        <v>38</v>
      </c>
      <c r="E77" t="s">
        <v>3</v>
      </c>
      <c r="F77" t="str">
        <f t="shared" si="5"/>
        <v>赤</v>
      </c>
      <c r="G77" t="s">
        <v>3</v>
      </c>
      <c r="H77">
        <f t="shared" si="7"/>
        <v>3</v>
      </c>
      <c r="I77" t="str">
        <f t="shared" si="6"/>
        <v>|</v>
      </c>
      <c r="J77">
        <f t="shared" si="7"/>
        <v>-2</v>
      </c>
      <c r="K77" t="str">
        <f t="shared" si="6"/>
        <v>|</v>
      </c>
      <c r="L77">
        <f t="shared" si="7"/>
        <v>-1</v>
      </c>
      <c r="M77" t="str">
        <f t="shared" si="6"/>
        <v>|</v>
      </c>
      <c r="N77">
        <f t="shared" si="7"/>
        <v>4</v>
      </c>
      <c r="O77" t="str">
        <f t="shared" si="6"/>
        <v>|</v>
      </c>
      <c r="P77">
        <f t="shared" si="7"/>
        <v>1</v>
      </c>
      <c r="Q77" t="str">
        <f t="shared" si="6"/>
        <v>|</v>
      </c>
    </row>
    <row r="78" spans="1:19" x14ac:dyDescent="0.15">
      <c r="A78" t="str">
        <f t="shared" si="4"/>
        <v>|Lv44|4|-2|-1|4|1|</v>
      </c>
      <c r="B78" t="s">
        <v>3</v>
      </c>
      <c r="C78" t="s">
        <v>8</v>
      </c>
      <c r="D78">
        <v>44</v>
      </c>
      <c r="E78" t="s">
        <v>3</v>
      </c>
      <c r="F78" t="str">
        <f t="shared" si="5"/>
        <v>白</v>
      </c>
      <c r="G78" t="s">
        <v>3</v>
      </c>
      <c r="H78">
        <f t="shared" si="7"/>
        <v>4</v>
      </c>
      <c r="I78" t="str">
        <f t="shared" si="6"/>
        <v>|</v>
      </c>
      <c r="J78">
        <f t="shared" si="7"/>
        <v>-2</v>
      </c>
      <c r="K78" t="str">
        <f t="shared" si="6"/>
        <v>|</v>
      </c>
      <c r="L78">
        <f t="shared" si="7"/>
        <v>-1</v>
      </c>
      <c r="M78" t="str">
        <f t="shared" si="6"/>
        <v>|</v>
      </c>
      <c r="N78">
        <f t="shared" si="7"/>
        <v>4</v>
      </c>
      <c r="O78" t="str">
        <f t="shared" si="6"/>
        <v>|</v>
      </c>
      <c r="P78">
        <f>P77+IF(P$70=$F78,1,0)</f>
        <v>1</v>
      </c>
      <c r="Q78" t="str">
        <f t="shared" si="6"/>
        <v>|</v>
      </c>
    </row>
    <row r="79" spans="1:19" x14ac:dyDescent="0.15">
      <c r="A79" t="str">
        <f>B79&amp;C79&amp;D79&amp;G79&amp;H79&amp;I79&amp;J79&amp;K79&amp;L79&amp;M79&amp;N79&amp;O79&amp;P79&amp;Q79&amp;R79</f>
        <v>|Lv52|4|-1|-1|4|1|</v>
      </c>
      <c r="B79" t="s">
        <v>3</v>
      </c>
      <c r="C79" t="s">
        <v>8</v>
      </c>
      <c r="D79">
        <v>52</v>
      </c>
      <c r="E79" t="s">
        <v>3</v>
      </c>
      <c r="F79" t="str">
        <f t="shared" si="5"/>
        <v>青</v>
      </c>
      <c r="G79" t="s">
        <v>3</v>
      </c>
      <c r="H79">
        <f>H78+IF(H$70=$F79,1,0)</f>
        <v>4</v>
      </c>
      <c r="I79" t="str">
        <f t="shared" si="6"/>
        <v>|</v>
      </c>
      <c r="J79">
        <f>J78+IF(J$70=$F79,1,0)</f>
        <v>-1</v>
      </c>
      <c r="K79" t="str">
        <f t="shared" si="6"/>
        <v>|</v>
      </c>
      <c r="L79">
        <f>L78+IF(L$70=$F79,1,0)</f>
        <v>-1</v>
      </c>
      <c r="M79" t="str">
        <f t="shared" si="6"/>
        <v>|</v>
      </c>
      <c r="N79">
        <f>N78+IF(N$70=$F79,1,0)</f>
        <v>4</v>
      </c>
      <c r="O79" t="str">
        <f t="shared" si="6"/>
        <v>|</v>
      </c>
      <c r="P79">
        <f>P78+IF(P$70=$F79,1,0)</f>
        <v>1</v>
      </c>
      <c r="Q79" t="str">
        <f t="shared" si="6"/>
        <v>|</v>
      </c>
    </row>
    <row r="80" spans="1:19" x14ac:dyDescent="0.15">
      <c r="A80" t="str">
        <f>B80&amp;C80&amp;D80&amp;G80&amp;H80&amp;I80&amp;J80&amp;K80&amp;L80&amp;M80&amp;N80&amp;O80&amp;P80&amp;Q80&amp;R80</f>
        <v>|Lv58|4|-1|-1|4|2|</v>
      </c>
      <c r="B80" t="s">
        <v>3</v>
      </c>
      <c r="C80" t="s">
        <v>8</v>
      </c>
      <c r="D80">
        <v>58</v>
      </c>
      <c r="E80" t="s">
        <v>3</v>
      </c>
      <c r="F80" t="str">
        <f t="shared" si="5"/>
        <v>緑</v>
      </c>
      <c r="G80" t="s">
        <v>3</v>
      </c>
      <c r="H80">
        <f>H79+IF(H$70=$F80,1,0)</f>
        <v>4</v>
      </c>
      <c r="I80" t="str">
        <f t="shared" si="6"/>
        <v>|</v>
      </c>
      <c r="J80">
        <f>J79+IF(J$70=$F80,1,0)</f>
        <v>-1</v>
      </c>
      <c r="K80" t="str">
        <f t="shared" si="6"/>
        <v>|</v>
      </c>
      <c r="L80">
        <f>L79+IF(L$70=$F80,1,0)</f>
        <v>-1</v>
      </c>
      <c r="M80" t="str">
        <f t="shared" si="6"/>
        <v>|</v>
      </c>
      <c r="N80">
        <f>N79+IF(N$70=$F80,1,0)</f>
        <v>4</v>
      </c>
      <c r="O80" t="str">
        <f t="shared" si="6"/>
        <v>|</v>
      </c>
      <c r="P80">
        <f>P79+IF(P$70=$F80,1,0)</f>
        <v>2</v>
      </c>
      <c r="Q80" t="str">
        <f t="shared" si="6"/>
        <v>|</v>
      </c>
    </row>
    <row r="81" spans="1:19" x14ac:dyDescent="0.15">
      <c r="A81" t="str">
        <f>B81&amp;C81&amp;D81&amp;E81&amp;F81&amp;G81&amp;H81&amp;I81&amp;J81&amp;K81&amp;L81&amp;M81&amp;N81&amp;O81&amp;P81</f>
        <v>&amp;br;</v>
      </c>
      <c r="B81" t="s">
        <v>0</v>
      </c>
    </row>
    <row r="82" spans="1:19" x14ac:dyDescent="0.15">
      <c r="A82" t="str">
        <f>B82&amp;C82&amp;D82&amp;E82&amp;F82&amp;G82&amp;H82&amp;I82&amp;J82&amp;K82&amp;L82&amp;M82&amp;N82&amp;O82&amp;P82</f>
        <v>&amp;br;</v>
      </c>
      <c r="B82" t="s">
        <v>0</v>
      </c>
    </row>
    <row r="83" spans="1:19" x14ac:dyDescent="0.15">
      <c r="A83" t="str">
        <f>B83&amp;C83&amp;D83&amp;E83&amp;F83&amp;G83&amp;H83&amp;I83&amp;J83&amp;K83&amp;L83&amp;M83&amp;N83&amp;O83&amp;P83</f>
        <v>*デッキ構築枚数上限 [#e6f382eb]</v>
      </c>
      <c r="B83" t="s">
        <v>16</v>
      </c>
    </row>
    <row r="84" spans="1:19" x14ac:dyDescent="0.15">
      <c r="A84" t="str">
        <f>B84&amp;C84&amp;D84&amp;E84&amp;F84&amp;G84&amp;H84&amp;I84&amp;J84&amp;K84&amp;L84&amp;M84&amp;N84&amp;O84&amp;P84</f>
        <v>構築枚数上限を越える枚数はデッキに入れられない。</v>
      </c>
      <c r="B84" t="s">
        <v>17</v>
      </c>
    </row>
    <row r="85" spans="1:19" x14ac:dyDescent="0.15">
      <c r="A85" t="str">
        <f t="shared" ref="A85:A94" si="8">B85&amp;C85&amp;D85&amp;G85&amp;H85&amp;I85&amp;J85&amp;K85&amp;L85&amp;M85&amp;N85&amp;O85&amp;P85&amp;Q85&amp;R85</f>
        <v>|LEFT:50|LEFT:80|LEFT:80|LEFT:80|c</v>
      </c>
      <c r="B85" t="s">
        <v>3</v>
      </c>
      <c r="C85" t="s">
        <v>4</v>
      </c>
      <c r="E85" t="s">
        <v>3</v>
      </c>
      <c r="G85" t="s">
        <v>3</v>
      </c>
      <c r="H85" t="s">
        <v>18</v>
      </c>
      <c r="I85" t="s">
        <v>3</v>
      </c>
      <c r="J85" t="s">
        <v>18</v>
      </c>
      <c r="K85" t="s">
        <v>3</v>
      </c>
      <c r="L85" t="s">
        <v>18</v>
      </c>
      <c r="M85" t="s">
        <v>3</v>
      </c>
      <c r="N85" t="s">
        <v>5</v>
      </c>
    </row>
    <row r="86" spans="1:19" x14ac:dyDescent="0.15">
      <c r="A86" t="str">
        <f t="shared" si="8"/>
        <v>|レベル|クリーチャー|呪文|サポート|</v>
      </c>
      <c r="B86" t="s">
        <v>3</v>
      </c>
      <c r="C86" t="s">
        <v>6</v>
      </c>
      <c r="E86" t="s">
        <v>3</v>
      </c>
      <c r="F86" t="s">
        <v>19</v>
      </c>
      <c r="G86" t="s">
        <v>3</v>
      </c>
      <c r="H86" t="s">
        <v>20</v>
      </c>
      <c r="I86" t="s">
        <v>3</v>
      </c>
      <c r="J86" t="s">
        <v>21</v>
      </c>
      <c r="K86" t="s">
        <v>3</v>
      </c>
      <c r="L86" t="s">
        <v>22</v>
      </c>
      <c r="M86" t="s">
        <v>3</v>
      </c>
      <c r="S86" t="s">
        <v>20</v>
      </c>
    </row>
    <row r="87" spans="1:19" x14ac:dyDescent="0.15">
      <c r="A87" t="str">
        <f t="shared" si="8"/>
        <v>|Lv1|6|2|2|</v>
      </c>
      <c r="B87" t="s">
        <v>3</v>
      </c>
      <c r="C87" t="s">
        <v>8</v>
      </c>
      <c r="D87">
        <v>1</v>
      </c>
      <c r="E87" t="s">
        <v>3</v>
      </c>
      <c r="G87" t="s">
        <v>3</v>
      </c>
      <c r="H87">
        <f>B206</f>
        <v>6</v>
      </c>
      <c r="I87" t="s">
        <v>3</v>
      </c>
      <c r="J87">
        <f>C206</f>
        <v>2</v>
      </c>
      <c r="K87" t="s">
        <v>3</v>
      </c>
      <c r="L87">
        <f>D206</f>
        <v>2</v>
      </c>
      <c r="M87" t="s">
        <v>3</v>
      </c>
      <c r="S87" t="s">
        <v>21</v>
      </c>
    </row>
    <row r="88" spans="1:19" x14ac:dyDescent="0.15">
      <c r="A88" t="str">
        <f t="shared" si="8"/>
        <v>|Lv2|7|2|2|</v>
      </c>
      <c r="B88" t="s">
        <v>3</v>
      </c>
      <c r="C88" t="s">
        <v>8</v>
      </c>
      <c r="D88">
        <v>2</v>
      </c>
      <c r="E88" t="s">
        <v>3</v>
      </c>
      <c r="F88" t="str">
        <f t="shared" ref="F88:F96" si="9">IF(ISBLANK(D88),"",INDEX($F$129:$F$188,D88))</f>
        <v>クリーチャー</v>
      </c>
      <c r="G88" t="s">
        <v>3</v>
      </c>
      <c r="H88">
        <f t="shared" ref="H88:H96" si="10">H87+IF(H$86=$F88,INDEX($H$129:$H$188,D88),0)</f>
        <v>7</v>
      </c>
      <c r="I88" t="s">
        <v>3</v>
      </c>
      <c r="J88">
        <f t="shared" ref="J88:J96" si="11">J87+IF(J$86=$F88,INDEX($H$129:$H$188,D88),0)</f>
        <v>2</v>
      </c>
      <c r="K88" t="s">
        <v>3</v>
      </c>
      <c r="L88">
        <f t="shared" ref="L88:L96" si="12">L87+IF(L$86=$F88,INDEX($H$129:$H$188,D88),0)</f>
        <v>2</v>
      </c>
      <c r="M88" t="s">
        <v>3</v>
      </c>
      <c r="S88" t="s">
        <v>22</v>
      </c>
    </row>
    <row r="89" spans="1:19" x14ac:dyDescent="0.15">
      <c r="A89" t="str">
        <f t="shared" si="8"/>
        <v>|Lv8|7|3|2|</v>
      </c>
      <c r="B89" t="s">
        <v>3</v>
      </c>
      <c r="C89" t="s">
        <v>8</v>
      </c>
      <c r="D89">
        <v>8</v>
      </c>
      <c r="E89" t="s">
        <v>3</v>
      </c>
      <c r="F89" t="str">
        <f t="shared" si="9"/>
        <v>呪文</v>
      </c>
      <c r="G89" t="s">
        <v>3</v>
      </c>
      <c r="H89">
        <f t="shared" si="10"/>
        <v>7</v>
      </c>
      <c r="I89" t="s">
        <v>3</v>
      </c>
      <c r="J89">
        <f t="shared" si="11"/>
        <v>3</v>
      </c>
      <c r="K89" t="s">
        <v>3</v>
      </c>
      <c r="L89">
        <f t="shared" si="12"/>
        <v>2</v>
      </c>
      <c r="M89" t="s">
        <v>3</v>
      </c>
    </row>
    <row r="90" spans="1:19" x14ac:dyDescent="0.15">
      <c r="A90" t="str">
        <f t="shared" si="8"/>
        <v>|Lv14|7|3|3|</v>
      </c>
      <c r="B90" t="s">
        <v>3</v>
      </c>
      <c r="C90" t="s">
        <v>8</v>
      </c>
      <c r="D90">
        <v>14</v>
      </c>
      <c r="E90" t="s">
        <v>3</v>
      </c>
      <c r="F90" t="str">
        <f t="shared" si="9"/>
        <v>サポート</v>
      </c>
      <c r="G90" t="s">
        <v>3</v>
      </c>
      <c r="H90">
        <f t="shared" si="10"/>
        <v>7</v>
      </c>
      <c r="I90" t="s">
        <v>3</v>
      </c>
      <c r="J90">
        <f t="shared" si="11"/>
        <v>3</v>
      </c>
      <c r="K90" t="s">
        <v>3</v>
      </c>
      <c r="L90">
        <f t="shared" si="12"/>
        <v>3</v>
      </c>
      <c r="M90" t="s">
        <v>3</v>
      </c>
    </row>
    <row r="91" spans="1:19" x14ac:dyDescent="0.15">
      <c r="A91" t="str">
        <f t="shared" si="8"/>
        <v>|Lv22|8|3|3|</v>
      </c>
      <c r="B91" t="s">
        <v>3</v>
      </c>
      <c r="C91" t="s">
        <v>8</v>
      </c>
      <c r="D91">
        <v>22</v>
      </c>
      <c r="E91" t="s">
        <v>3</v>
      </c>
      <c r="F91" t="str">
        <f t="shared" si="9"/>
        <v>クリーチャー</v>
      </c>
      <c r="G91" t="s">
        <v>3</v>
      </c>
      <c r="H91">
        <f t="shared" si="10"/>
        <v>8</v>
      </c>
      <c r="I91" t="s">
        <v>3</v>
      </c>
      <c r="J91">
        <f t="shared" si="11"/>
        <v>3</v>
      </c>
      <c r="K91" t="s">
        <v>3</v>
      </c>
      <c r="L91">
        <f t="shared" si="12"/>
        <v>3</v>
      </c>
      <c r="M91" t="s">
        <v>3</v>
      </c>
    </row>
    <row r="92" spans="1:19" x14ac:dyDescent="0.15">
      <c r="A92" t="str">
        <f t="shared" si="8"/>
        <v>|Lv28|8|4|3|</v>
      </c>
      <c r="B92" t="s">
        <v>3</v>
      </c>
      <c r="C92" t="s">
        <v>8</v>
      </c>
      <c r="D92">
        <v>28</v>
      </c>
      <c r="E92" t="s">
        <v>3</v>
      </c>
      <c r="F92" t="str">
        <f t="shared" si="9"/>
        <v>呪文</v>
      </c>
      <c r="G92" t="s">
        <v>3</v>
      </c>
      <c r="H92">
        <f t="shared" si="10"/>
        <v>8</v>
      </c>
      <c r="I92" t="s">
        <v>3</v>
      </c>
      <c r="J92">
        <f t="shared" si="11"/>
        <v>4</v>
      </c>
      <c r="K92" t="s">
        <v>3</v>
      </c>
      <c r="L92">
        <f t="shared" si="12"/>
        <v>3</v>
      </c>
      <c r="M92" t="s">
        <v>3</v>
      </c>
    </row>
    <row r="93" spans="1:19" x14ac:dyDescent="0.15">
      <c r="A93" t="str">
        <f t="shared" si="8"/>
        <v>|Lv34|8|4|4|</v>
      </c>
      <c r="B93" t="s">
        <v>3</v>
      </c>
      <c r="C93" t="s">
        <v>8</v>
      </c>
      <c r="D93">
        <v>34</v>
      </c>
      <c r="E93" t="s">
        <v>3</v>
      </c>
      <c r="F93" t="str">
        <f t="shared" si="9"/>
        <v>サポート</v>
      </c>
      <c r="G93" t="s">
        <v>3</v>
      </c>
      <c r="H93">
        <f t="shared" si="10"/>
        <v>8</v>
      </c>
      <c r="I93" t="s">
        <v>3</v>
      </c>
      <c r="J93">
        <f t="shared" si="11"/>
        <v>4</v>
      </c>
      <c r="K93" t="s">
        <v>3</v>
      </c>
      <c r="L93">
        <f t="shared" si="12"/>
        <v>4</v>
      </c>
      <c r="M93" t="s">
        <v>3</v>
      </c>
    </row>
    <row r="94" spans="1:19" x14ac:dyDescent="0.15">
      <c r="A94" t="str">
        <f t="shared" si="8"/>
        <v>|Lv42|9|4|4|</v>
      </c>
      <c r="B94" t="s">
        <v>3</v>
      </c>
      <c r="C94" t="s">
        <v>8</v>
      </c>
      <c r="D94">
        <v>42</v>
      </c>
      <c r="E94" t="s">
        <v>3</v>
      </c>
      <c r="F94" t="str">
        <f t="shared" si="9"/>
        <v>クリーチャー</v>
      </c>
      <c r="G94" t="s">
        <v>3</v>
      </c>
      <c r="H94">
        <f t="shared" si="10"/>
        <v>9</v>
      </c>
      <c r="I94" t="s">
        <v>3</v>
      </c>
      <c r="J94">
        <f t="shared" si="11"/>
        <v>4</v>
      </c>
      <c r="K94" t="s">
        <v>3</v>
      </c>
      <c r="L94">
        <f t="shared" si="12"/>
        <v>4</v>
      </c>
      <c r="M94" t="s">
        <v>3</v>
      </c>
    </row>
    <row r="95" spans="1:19" x14ac:dyDescent="0.15">
      <c r="A95" t="str">
        <f>B95&amp;C95&amp;D95&amp;G95&amp;H95&amp;I95&amp;J95&amp;K95&amp;L95&amp;M95&amp;N95&amp;O95&amp;P95&amp;Q95&amp;R95</f>
        <v>|Lv48|9|5|4|</v>
      </c>
      <c r="B95" t="s">
        <v>3</v>
      </c>
      <c r="C95" t="s">
        <v>8</v>
      </c>
      <c r="D95">
        <v>48</v>
      </c>
      <c r="E95" t="s">
        <v>3</v>
      </c>
      <c r="F95" t="str">
        <f t="shared" si="9"/>
        <v>呪文</v>
      </c>
      <c r="G95" t="s">
        <v>3</v>
      </c>
      <c r="H95">
        <f t="shared" si="10"/>
        <v>9</v>
      </c>
      <c r="I95" t="s">
        <v>3</v>
      </c>
      <c r="J95">
        <f t="shared" si="11"/>
        <v>5</v>
      </c>
      <c r="K95" t="s">
        <v>3</v>
      </c>
      <c r="L95">
        <f t="shared" si="12"/>
        <v>4</v>
      </c>
      <c r="M95" t="s">
        <v>3</v>
      </c>
    </row>
    <row r="96" spans="1:19" x14ac:dyDescent="0.15">
      <c r="A96" t="str">
        <f>B96&amp;C96&amp;D96&amp;G96&amp;H96&amp;I96&amp;J96&amp;K96&amp;L96&amp;M96&amp;N96&amp;O96&amp;P96&amp;Q96&amp;R96</f>
        <v>|Lv54|9|5|5|</v>
      </c>
      <c r="B96" t="s">
        <v>3</v>
      </c>
      <c r="C96" t="s">
        <v>8</v>
      </c>
      <c r="D96">
        <v>54</v>
      </c>
      <c r="E96" t="s">
        <v>3</v>
      </c>
      <c r="F96" t="str">
        <f t="shared" si="9"/>
        <v>サポート</v>
      </c>
      <c r="G96" t="s">
        <v>3</v>
      </c>
      <c r="H96">
        <f t="shared" si="10"/>
        <v>9</v>
      </c>
      <c r="I96" t="s">
        <v>3</v>
      </c>
      <c r="J96">
        <f t="shared" si="11"/>
        <v>5</v>
      </c>
      <c r="K96" t="s">
        <v>3</v>
      </c>
      <c r="L96">
        <f t="shared" si="12"/>
        <v>5</v>
      </c>
      <c r="M96" t="s">
        <v>3</v>
      </c>
    </row>
    <row r="97" spans="1:18" x14ac:dyDescent="0.15">
      <c r="A97" t="str">
        <f t="shared" ref="A97:A160" si="13">B97&amp;C97&amp;D97&amp;E97&amp;F97&amp;G97&amp;H97&amp;I97&amp;J97&amp;K97&amp;L97&amp;M97&amp;N97&amp;O97&amp;P97</f>
        <v>&amp;br;</v>
      </c>
      <c r="B97" t="s">
        <v>0</v>
      </c>
    </row>
    <row r="98" spans="1:18" x14ac:dyDescent="0.15">
      <c r="A98" t="str">
        <f t="shared" si="13"/>
        <v>&amp;br;</v>
      </c>
      <c r="B98" t="s">
        <v>0</v>
      </c>
    </row>
    <row r="99" spans="1:18" x14ac:dyDescent="0.15">
      <c r="A99" t="str">
        <f t="shared" si="13"/>
        <v>*PW能力一覧 [#a469e89f]</v>
      </c>
      <c r="B99" t="s">
        <v>23</v>
      </c>
    </row>
    <row r="100" spans="1:18" x14ac:dyDescent="0.15">
      <c r="A100" t="str">
        <f t="shared" si="13"/>
        <v>**第1能力：太陽帝国の祝福/Sun Empire's Blessing</v>
      </c>
      <c r="B100" t="s">
        <v>24</v>
      </c>
      <c r="D100" s="8" t="s">
        <v>829</v>
      </c>
      <c r="E100" t="s">
        <v>25</v>
      </c>
      <c r="F100" t="s">
        <v>839</v>
      </c>
      <c r="R100" t="str">
        <f>D100&amp;E100&amp;F100</f>
        <v>太陽帝国の祝福/Sun Empire's Blessing</v>
      </c>
    </row>
    <row r="101" spans="1:18" x14ac:dyDescent="0.15">
      <c r="A101" t="str">
        <f t="shared" si="13"/>
        <v>|LEFT:50|LEFT:50|LEFT:50|LEFT:300|c</v>
      </c>
      <c r="B101" t="s">
        <v>3</v>
      </c>
      <c r="C101" t="s">
        <v>4</v>
      </c>
      <c r="E101" t="s">
        <v>3</v>
      </c>
      <c r="F101" t="s">
        <v>4</v>
      </c>
      <c r="G101" t="s">
        <v>3</v>
      </c>
      <c r="H101" t="s">
        <v>4</v>
      </c>
      <c r="I101" t="s">
        <v>3</v>
      </c>
      <c r="J101" t="s">
        <v>26</v>
      </c>
      <c r="K101" t="s">
        <v>3</v>
      </c>
      <c r="L101" t="s">
        <v>5</v>
      </c>
    </row>
    <row r="102" spans="1:18" x14ac:dyDescent="0.15">
      <c r="A102" t="str">
        <f t="shared" si="13"/>
        <v>|解放Lv|レベル|コスト|効果|</v>
      </c>
      <c r="B102" t="s">
        <v>3</v>
      </c>
      <c r="C102" t="s">
        <v>27</v>
      </c>
      <c r="E102" t="s">
        <v>3</v>
      </c>
      <c r="F102" t="s">
        <v>6</v>
      </c>
      <c r="G102" t="s">
        <v>3</v>
      </c>
      <c r="H102" t="s">
        <v>28</v>
      </c>
      <c r="I102" t="s">
        <v>3</v>
      </c>
      <c r="J102" t="s">
        <v>29</v>
      </c>
      <c r="K102" t="s">
        <v>3</v>
      </c>
    </row>
    <row r="103" spans="1:18" x14ac:dyDescent="0.15">
      <c r="A103" t="str">
        <f t="shared" si="13"/>
        <v>|Lv6|Lv1|9|あなたがコントロールするクリーチャーのパワーの最小値に等しいライフを得る。|</v>
      </c>
      <c r="B103" t="s">
        <v>3</v>
      </c>
      <c r="C103" t="s">
        <v>8</v>
      </c>
      <c r="D103">
        <v>6</v>
      </c>
      <c r="E103" t="s">
        <v>3</v>
      </c>
      <c r="F103" t="s">
        <v>30</v>
      </c>
      <c r="G103" t="s">
        <v>3</v>
      </c>
      <c r="H103">
        <v>9</v>
      </c>
      <c r="I103" t="s">
        <v>3</v>
      </c>
      <c r="J103" s="8" t="s">
        <v>824</v>
      </c>
      <c r="K103" t="s">
        <v>3</v>
      </c>
    </row>
    <row r="104" spans="1:18" x14ac:dyDescent="0.15">
      <c r="A104" t="str">
        <f t="shared" si="13"/>
        <v>|Lv20|Lv2|9|あなたがコントロールするクリーチャーのパワーの最大値に等しいライフを得る。|</v>
      </c>
      <c r="B104" t="s">
        <v>3</v>
      </c>
      <c r="C104" t="s">
        <v>8</v>
      </c>
      <c r="D104">
        <v>20</v>
      </c>
      <c r="E104" t="s">
        <v>3</v>
      </c>
      <c r="F104" t="s">
        <v>31</v>
      </c>
      <c r="G104" t="s">
        <v>3</v>
      </c>
      <c r="H104">
        <f>H103</f>
        <v>9</v>
      </c>
      <c r="I104" t="s">
        <v>3</v>
      </c>
      <c r="J104" s="8" t="s">
        <v>832</v>
      </c>
      <c r="K104" t="s">
        <v>3</v>
      </c>
    </row>
    <row r="105" spans="1:18" x14ac:dyDescent="0.15">
      <c r="A105" t="str">
        <f t="shared" si="13"/>
        <v>|Lv36|Lv3|9|あなたがコントロールするクリーチャーは+1/+0の修正を受け、あなたがコントロールするクリーチャーのパワーの最大値に等しいライフを得る。|</v>
      </c>
      <c r="B105" t="s">
        <v>3</v>
      </c>
      <c r="C105" t="s">
        <v>8</v>
      </c>
      <c r="D105">
        <v>36</v>
      </c>
      <c r="E105" t="s">
        <v>3</v>
      </c>
      <c r="F105" t="s">
        <v>32</v>
      </c>
      <c r="G105" t="s">
        <v>3</v>
      </c>
      <c r="H105">
        <f>H104</f>
        <v>9</v>
      </c>
      <c r="I105" t="s">
        <v>3</v>
      </c>
      <c r="J105" s="8" t="s">
        <v>833</v>
      </c>
      <c r="K105" t="s">
        <v>3</v>
      </c>
    </row>
    <row r="106" spans="1:18" x14ac:dyDescent="0.15">
      <c r="A106" t="str">
        <f t="shared" si="13"/>
        <v>|Lv50|Lv4|9|あなたがコントロールするクリーチャーは+2/+0の修正を受け、あなたがコントロールするクリーチャーのパワーの最大値に等しいライフを得る。|</v>
      </c>
      <c r="B106" t="s">
        <v>3</v>
      </c>
      <c r="C106" t="s">
        <v>8</v>
      </c>
      <c r="D106">
        <v>50</v>
      </c>
      <c r="E106" t="s">
        <v>3</v>
      </c>
      <c r="F106" t="s">
        <v>33</v>
      </c>
      <c r="G106" t="s">
        <v>3</v>
      </c>
      <c r="H106">
        <f>H105</f>
        <v>9</v>
      </c>
      <c r="I106" t="s">
        <v>3</v>
      </c>
      <c r="J106" s="8" t="s">
        <v>834</v>
      </c>
      <c r="K106" t="s">
        <v>3</v>
      </c>
    </row>
    <row r="107" spans="1:18" x14ac:dyDescent="0.15">
      <c r="A107" t="str">
        <f t="shared" si="13"/>
        <v>&amp;br;</v>
      </c>
      <c r="B107" t="s">
        <v>0</v>
      </c>
    </row>
    <row r="108" spans="1:18" x14ac:dyDescent="0.15">
      <c r="A108" t="str">
        <f t="shared" si="13"/>
        <v>&amp;br;</v>
      </c>
      <c r="B108" t="s">
        <v>0</v>
      </c>
    </row>
    <row r="109" spans="1:18" x14ac:dyDescent="0.15">
      <c r="A109" t="str">
        <f t="shared" si="13"/>
        <v>**第2能力：恐竜呼び/Call Dinosaur</v>
      </c>
      <c r="B109" t="s">
        <v>34</v>
      </c>
      <c r="D109" s="8" t="s">
        <v>828</v>
      </c>
      <c r="E109" t="s">
        <v>25</v>
      </c>
      <c r="F109" t="s">
        <v>838</v>
      </c>
      <c r="R109" t="str">
        <f>D109&amp;E109&amp;F109</f>
        <v>恐竜呼び/Call Dinosaur</v>
      </c>
    </row>
    <row r="110" spans="1:18" x14ac:dyDescent="0.15">
      <c r="A110" t="str">
        <f t="shared" si="13"/>
        <v>|LEFT:50|LEFT:50|LEFT:50|LEFT:300|c</v>
      </c>
      <c r="B110" t="s">
        <v>3</v>
      </c>
      <c r="C110" t="s">
        <v>4</v>
      </c>
      <c r="E110" t="s">
        <v>3</v>
      </c>
      <c r="F110" t="s">
        <v>4</v>
      </c>
      <c r="G110" t="s">
        <v>3</v>
      </c>
      <c r="H110" t="s">
        <v>4</v>
      </c>
      <c r="I110" t="s">
        <v>3</v>
      </c>
      <c r="J110" t="s">
        <v>26</v>
      </c>
      <c r="K110" t="s">
        <v>3</v>
      </c>
      <c r="L110" t="s">
        <v>5</v>
      </c>
    </row>
    <row r="111" spans="1:18" x14ac:dyDescent="0.15">
      <c r="A111" t="str">
        <f t="shared" si="13"/>
        <v>|解放Lv|レベル|コスト|効果|</v>
      </c>
      <c r="B111" t="s">
        <v>3</v>
      </c>
      <c r="C111" t="s">
        <v>27</v>
      </c>
      <c r="E111" t="s">
        <v>3</v>
      </c>
      <c r="F111" t="s">
        <v>6</v>
      </c>
      <c r="G111" t="s">
        <v>3</v>
      </c>
      <c r="H111" t="s">
        <v>28</v>
      </c>
      <c r="I111" t="s">
        <v>3</v>
      </c>
      <c r="J111" t="s">
        <v>29</v>
      </c>
      <c r="K111" t="s">
        <v>3</v>
      </c>
    </row>
    <row r="112" spans="1:18" x14ac:dyDescent="0.15">
      <c r="A112" t="str">
        <f t="shared" si="13"/>
        <v>|Lv10|Lv1|12|トランプルを持つ3/3の恐竜・トークンを1体生成する。|</v>
      </c>
      <c r="B112" t="s">
        <v>3</v>
      </c>
      <c r="C112" t="s">
        <v>8</v>
      </c>
      <c r="D112">
        <v>10</v>
      </c>
      <c r="E112" t="s">
        <v>3</v>
      </c>
      <c r="F112" t="s">
        <v>30</v>
      </c>
      <c r="G112" t="s">
        <v>3</v>
      </c>
      <c r="H112">
        <v>12</v>
      </c>
      <c r="I112" t="s">
        <v>3</v>
      </c>
      <c r="J112" s="8" t="s">
        <v>825</v>
      </c>
      <c r="K112" t="s">
        <v>3</v>
      </c>
    </row>
    <row r="113" spans="1:19" x14ac:dyDescent="0.15">
      <c r="A113" t="str">
        <f t="shared" si="13"/>
        <v>|Lv26|Lv2|12|トランプルを持つ3/3の恐竜・トークンを2体生成する。|</v>
      </c>
      <c r="B113" t="s">
        <v>3</v>
      </c>
      <c r="C113" t="s">
        <v>8</v>
      </c>
      <c r="D113">
        <v>26</v>
      </c>
      <c r="E113" t="s">
        <v>3</v>
      </c>
      <c r="F113" t="s">
        <v>31</v>
      </c>
      <c r="G113" t="s">
        <v>3</v>
      </c>
      <c r="H113">
        <f>H112</f>
        <v>12</v>
      </c>
      <c r="I113" t="s">
        <v>3</v>
      </c>
      <c r="J113" s="8" t="s">
        <v>830</v>
      </c>
      <c r="K113" t="s">
        <v>3</v>
      </c>
    </row>
    <row r="114" spans="1:19" x14ac:dyDescent="0.15">
      <c r="A114" t="str">
        <f t="shared" si="13"/>
        <v>|Lv40|Lv3|12|トランプルを持つ3/3の恐竜・トークンを2体と、「あなたがコントロールする恐竜はバーサーカーを持つ」という能力を持つサポートトークン(シールド値1)を生成する。|</v>
      </c>
      <c r="B114" t="s">
        <v>3</v>
      </c>
      <c r="C114" t="s">
        <v>8</v>
      </c>
      <c r="D114">
        <v>40</v>
      </c>
      <c r="E114" t="s">
        <v>3</v>
      </c>
      <c r="F114" t="s">
        <v>32</v>
      </c>
      <c r="G114" t="s">
        <v>3</v>
      </c>
      <c r="H114">
        <f>H113</f>
        <v>12</v>
      </c>
      <c r="I114" t="s">
        <v>3</v>
      </c>
      <c r="J114" s="8" t="s">
        <v>831</v>
      </c>
      <c r="K114" t="s">
        <v>3</v>
      </c>
    </row>
    <row r="115" spans="1:19" x14ac:dyDescent="0.15">
      <c r="A115" t="str">
        <f t="shared" si="13"/>
        <v>|Lv56|Lv4|12|トランプルと「恐竜・トークンが先王に出るたび、このクリーチャーを補強する」を持つ6/6の太陽恵みの乗用恐竜トークンを1体と、「あなたがコントロールする恐竜はバーサーカーを持つ」という能力を持つサポートトークン(シールド値1)を生成する。|</v>
      </c>
      <c r="B115" t="s">
        <v>3</v>
      </c>
      <c r="C115" t="s">
        <v>8</v>
      </c>
      <c r="D115">
        <v>56</v>
      </c>
      <c r="E115" t="s">
        <v>3</v>
      </c>
      <c r="F115" t="s">
        <v>33</v>
      </c>
      <c r="G115" t="s">
        <v>3</v>
      </c>
      <c r="H115">
        <f>H114</f>
        <v>12</v>
      </c>
      <c r="I115" t="s">
        <v>3</v>
      </c>
      <c r="J115" s="8" t="s">
        <v>880</v>
      </c>
      <c r="K115" t="s">
        <v>3</v>
      </c>
    </row>
    <row r="116" spans="1:19" x14ac:dyDescent="0.15">
      <c r="A116" t="str">
        <f t="shared" si="13"/>
        <v>&amp;br;</v>
      </c>
      <c r="B116" t="s">
        <v>0</v>
      </c>
    </row>
    <row r="117" spans="1:19" x14ac:dyDescent="0.15">
      <c r="A117" t="str">
        <f t="shared" si="13"/>
        <v>&amp;br;</v>
      </c>
      <c r="B117" t="s">
        <v>0</v>
      </c>
    </row>
    <row r="118" spans="1:19" x14ac:dyDescent="0.15">
      <c r="A118" t="str">
        <f t="shared" si="13"/>
        <v>**第3能力：太陽帝国の怒り/Sun Empire's Rage</v>
      </c>
      <c r="B118" t="s">
        <v>35</v>
      </c>
      <c r="D118" s="8" t="s">
        <v>827</v>
      </c>
      <c r="E118" t="s">
        <v>25</v>
      </c>
      <c r="F118" t="s">
        <v>837</v>
      </c>
      <c r="R118" t="str">
        <f>D118&amp;E118&amp;F118</f>
        <v>太陽帝国の怒り/Sun Empire's Rage</v>
      </c>
    </row>
    <row r="119" spans="1:19" x14ac:dyDescent="0.15">
      <c r="A119" t="str">
        <f t="shared" si="13"/>
        <v>|LEFT:50|LEFT:50|LEFT:50|LEFT:300|c</v>
      </c>
      <c r="B119" t="s">
        <v>3</v>
      </c>
      <c r="C119" t="s">
        <v>4</v>
      </c>
      <c r="E119" t="s">
        <v>3</v>
      </c>
      <c r="F119" t="s">
        <v>4</v>
      </c>
      <c r="G119" t="s">
        <v>3</v>
      </c>
      <c r="H119" t="s">
        <v>4</v>
      </c>
      <c r="I119" t="s">
        <v>3</v>
      </c>
      <c r="J119" t="s">
        <v>26</v>
      </c>
      <c r="K119" t="s">
        <v>3</v>
      </c>
      <c r="L119" t="s">
        <v>5</v>
      </c>
    </row>
    <row r="120" spans="1:19" x14ac:dyDescent="0.15">
      <c r="A120" t="str">
        <f t="shared" si="13"/>
        <v>|解放Lv|レベル|コスト|効果|</v>
      </c>
      <c r="B120" t="s">
        <v>3</v>
      </c>
      <c r="C120" t="s">
        <v>27</v>
      </c>
      <c r="E120" t="s">
        <v>3</v>
      </c>
      <c r="F120" t="s">
        <v>6</v>
      </c>
      <c r="G120" t="s">
        <v>3</v>
      </c>
      <c r="H120" t="s">
        <v>28</v>
      </c>
      <c r="I120" t="s">
        <v>3</v>
      </c>
      <c r="J120" t="s">
        <v>29</v>
      </c>
      <c r="K120" t="s">
        <v>3</v>
      </c>
    </row>
    <row r="121" spans="1:19" x14ac:dyDescent="0.15">
      <c r="A121" t="str">
        <f t="shared" si="13"/>
        <v>|Lv16|Lv1|18|あなたのクリーチャーにそれぞれ1点のダメージを与える。その後、対戦相手のクリーチャーにそれぞれ3点のダメージを与える。|</v>
      </c>
      <c r="B121" t="s">
        <v>3</v>
      </c>
      <c r="C121" t="s">
        <v>8</v>
      </c>
      <c r="D121">
        <v>16</v>
      </c>
      <c r="E121" t="s">
        <v>3</v>
      </c>
      <c r="F121" t="s">
        <v>30</v>
      </c>
      <c r="G121" t="s">
        <v>3</v>
      </c>
      <c r="H121">
        <v>18</v>
      </c>
      <c r="I121" t="s">
        <v>3</v>
      </c>
      <c r="J121" s="8" t="s">
        <v>826</v>
      </c>
      <c r="K121" t="s">
        <v>3</v>
      </c>
    </row>
    <row r="122" spans="1:19" x14ac:dyDescent="0.15">
      <c r="A122" t="str">
        <f t="shared" si="13"/>
        <v>|Lv30|Lv2|18|あなたのクリーチャーにそれぞれ1点のダメージを与える。その後、対戦相手のクリーチャーにそれぞれ4点のダメージを与える。|</v>
      </c>
      <c r="B122" t="s">
        <v>3</v>
      </c>
      <c r="C122" t="s">
        <v>8</v>
      </c>
      <c r="D122">
        <v>30</v>
      </c>
      <c r="E122" t="s">
        <v>3</v>
      </c>
      <c r="F122" t="s">
        <v>31</v>
      </c>
      <c r="G122" t="s">
        <v>3</v>
      </c>
      <c r="H122">
        <f>H121</f>
        <v>18</v>
      </c>
      <c r="I122" t="s">
        <v>3</v>
      </c>
      <c r="J122" s="8" t="s">
        <v>835</v>
      </c>
      <c r="K122" t="s">
        <v>3</v>
      </c>
    </row>
    <row r="123" spans="1:19" x14ac:dyDescent="0.15">
      <c r="A123" t="str">
        <f t="shared" si="13"/>
        <v>|Lv46|Lv3|18|あなたのクリーチャーにそれぞれ1点のダメージを与える。その後、対戦相手のクリーチャーにそれぞれ4点のダメージを与え、それらはディフェンダーを失う。|</v>
      </c>
      <c r="B123" t="s">
        <v>3</v>
      </c>
      <c r="C123" t="s">
        <v>8</v>
      </c>
      <c r="D123">
        <v>46</v>
      </c>
      <c r="E123" t="s">
        <v>3</v>
      </c>
      <c r="F123" t="s">
        <v>32</v>
      </c>
      <c r="G123" t="s">
        <v>3</v>
      </c>
      <c r="H123">
        <f>H122</f>
        <v>18</v>
      </c>
      <c r="I123" t="s">
        <v>3</v>
      </c>
      <c r="J123" s="8" t="s">
        <v>836</v>
      </c>
      <c r="K123" t="s">
        <v>3</v>
      </c>
    </row>
    <row r="124" spans="1:19" x14ac:dyDescent="0.15">
      <c r="A124" t="str">
        <f t="shared" si="13"/>
        <v>|Lv60|Lv4|18|あなたのクリーチャーにそれぞれ1点のダメージを与える。その後、対戦相手のクリーチャーにそれぞれ6点のダメージを与え、それらはディフェンダー・到達・警戒を失う。|</v>
      </c>
      <c r="B124" t="s">
        <v>3</v>
      </c>
      <c r="C124" t="s">
        <v>8</v>
      </c>
      <c r="D124">
        <v>60</v>
      </c>
      <c r="E124" t="s">
        <v>3</v>
      </c>
      <c r="F124" t="s">
        <v>33</v>
      </c>
      <c r="G124" t="s">
        <v>3</v>
      </c>
      <c r="H124">
        <f>H123</f>
        <v>18</v>
      </c>
      <c r="I124" t="s">
        <v>3</v>
      </c>
      <c r="J124" s="8" t="s">
        <v>881</v>
      </c>
      <c r="K124" t="s">
        <v>3</v>
      </c>
    </row>
    <row r="125" spans="1:19" x14ac:dyDescent="0.15">
      <c r="A125" t="str">
        <f t="shared" si="13"/>
        <v>&amp;br;</v>
      </c>
      <c r="B125" t="s">
        <v>0</v>
      </c>
    </row>
    <row r="126" spans="1:19" x14ac:dyDescent="0.15">
      <c r="A126" t="str">
        <f t="shared" si="13"/>
        <v>&amp;br;</v>
      </c>
      <c r="B126" t="s">
        <v>0</v>
      </c>
    </row>
    <row r="127" spans="1:19" x14ac:dyDescent="0.15">
      <c r="A127" t="str">
        <f t="shared" si="13"/>
        <v>*レベルアップ報酬一覧</v>
      </c>
      <c r="B127" s="8" t="s">
        <v>666</v>
      </c>
      <c r="S127" s="8" t="s">
        <v>720</v>
      </c>
    </row>
    <row r="128" spans="1:19" x14ac:dyDescent="0.15">
      <c r="A128" t="str">
        <f t="shared" si="13"/>
        <v>|LEFT:50|LEFT:100|c</v>
      </c>
      <c r="B128" t="s">
        <v>3</v>
      </c>
      <c r="C128" t="s">
        <v>4</v>
      </c>
      <c r="E128" t="s">
        <v>3</v>
      </c>
      <c r="F128" t="s">
        <v>37</v>
      </c>
      <c r="I128" t="s">
        <v>3</v>
      </c>
      <c r="J128" t="s">
        <v>5</v>
      </c>
      <c r="R128" s="8" t="s">
        <v>654</v>
      </c>
    </row>
    <row r="129" spans="1:19" x14ac:dyDescent="0.15">
      <c r="A129" t="str">
        <f t="shared" si="13"/>
        <v>|レベル|報酬|</v>
      </c>
      <c r="B129" t="s">
        <v>3</v>
      </c>
      <c r="C129" t="s">
        <v>6</v>
      </c>
      <c r="E129" t="s">
        <v>3</v>
      </c>
      <c r="F129" t="s">
        <v>38</v>
      </c>
      <c r="I129" t="s">
        <v>3</v>
      </c>
      <c r="Q129" t="s">
        <v>7</v>
      </c>
      <c r="R129">
        <v>3</v>
      </c>
      <c r="S129">
        <v>2</v>
      </c>
    </row>
    <row r="130" spans="1:19" x14ac:dyDescent="0.15">
      <c r="A130" t="str">
        <f t="shared" si="13"/>
        <v>|Lｖ2|クリーチャー+1|</v>
      </c>
      <c r="B130" t="s">
        <v>3</v>
      </c>
      <c r="C130" t="s">
        <v>39</v>
      </c>
      <c r="D130">
        <v>2</v>
      </c>
      <c r="E130" t="s">
        <v>3</v>
      </c>
      <c r="F130" t="s">
        <v>20</v>
      </c>
      <c r="G130" t="str">
        <f>IF(OR(F130=$Q$138,F130=$Q$139,F130=$Q$140,F130=$Q$141,ISBLANK(F130)),"","+")</f>
        <v>+</v>
      </c>
      <c r="H130">
        <f>IF(F130="HP",IF($S$128="交互",IF(ISODD((D130-1)/2),$R$129,$S$129),$R$129),IF(F130="","",VLOOKUP(F130,$Q$129:$R$142,2,FALSE)))</f>
        <v>1</v>
      </c>
      <c r="I130" t="s">
        <v>3</v>
      </c>
      <c r="Q130" t="s">
        <v>20</v>
      </c>
      <c r="R130">
        <v>1</v>
      </c>
    </row>
    <row r="131" spans="1:19" x14ac:dyDescent="0.15">
      <c r="A131" t="str">
        <f t="shared" si="13"/>
        <v>|Lｖ3|HP+3|</v>
      </c>
      <c r="B131" t="s">
        <v>3</v>
      </c>
      <c r="C131" t="s">
        <v>39</v>
      </c>
      <c r="D131">
        <v>3</v>
      </c>
      <c r="E131" t="s">
        <v>3</v>
      </c>
      <c r="F131" t="s">
        <v>7</v>
      </c>
      <c r="G131" t="str">
        <f t="shared" ref="G131:G188" si="14">IF(OR(F131=$Q$138,F131=$Q$139,F131=$Q$140,F131=$Q$141,ISBLANK(F131)),"","+")</f>
        <v>+</v>
      </c>
      <c r="H131">
        <f>IF(F131="HP",IF($S$128="交互",IF(ISODD((D131-1)/2),$R$129,$S$129),$R$129),IF(F131="","",VLOOKUP(F131,$Q$129:$R$142,2,FALSE)))</f>
        <v>3</v>
      </c>
      <c r="I131" t="s">
        <v>3</v>
      </c>
      <c r="Q131" t="s">
        <v>21</v>
      </c>
      <c r="R131">
        <v>1</v>
      </c>
    </row>
    <row r="132" spans="1:19" x14ac:dyDescent="0.15">
      <c r="A132" t="str">
        <f t="shared" si="13"/>
        <v>|Lｖ4|赤+1|</v>
      </c>
      <c r="B132" t="s">
        <v>3</v>
      </c>
      <c r="C132" t="s">
        <v>39</v>
      </c>
      <c r="D132">
        <v>4</v>
      </c>
      <c r="E132" t="s">
        <v>3</v>
      </c>
      <c r="F132" t="s">
        <v>14</v>
      </c>
      <c r="G132" t="str">
        <f t="shared" si="14"/>
        <v>+</v>
      </c>
      <c r="H132">
        <f>IF(F132="HP",IF($S$128="交互",IF(ISODD((D132-1)/2),$R$129,$S$129),$R$129),IF(F132="","",VLOOKUP(F132,$Q$129:$R$142,2,FALSE)))</f>
        <v>1</v>
      </c>
      <c r="I132" t="s">
        <v>3</v>
      </c>
      <c r="Q132" t="s">
        <v>22</v>
      </c>
      <c r="R132">
        <v>1</v>
      </c>
    </row>
    <row r="133" spans="1:19" x14ac:dyDescent="0.15">
      <c r="A133" t="str">
        <f t="shared" si="13"/>
        <v>|Lｖ5|HP+3|</v>
      </c>
      <c r="B133" t="s">
        <v>3</v>
      </c>
      <c r="C133" t="s">
        <v>39</v>
      </c>
      <c r="D133">
        <v>5</v>
      </c>
      <c r="E133" t="s">
        <v>3</v>
      </c>
      <c r="F133" t="s">
        <v>7</v>
      </c>
      <c r="G133" t="str">
        <f t="shared" si="14"/>
        <v>+</v>
      </c>
      <c r="H133">
        <f>IF(F133="HP",IF($S$128="交互",IF(ISODD((D133-1)/2),$R$129,$S$129),$R$129),IF(F133="","",VLOOKUP(F133,$Q$129:$R$142,2,FALSE)))</f>
        <v>3</v>
      </c>
      <c r="I133" t="s">
        <v>3</v>
      </c>
      <c r="Q133" t="s">
        <v>11</v>
      </c>
      <c r="R133">
        <v>1</v>
      </c>
    </row>
    <row r="134" spans="1:19" x14ac:dyDescent="0.15">
      <c r="A134" t="str">
        <f t="shared" si="13"/>
        <v>|Lｖ6|第1能力Lv1|</v>
      </c>
      <c r="B134" t="s">
        <v>3</v>
      </c>
      <c r="C134" t="s">
        <v>39</v>
      </c>
      <c r="D134">
        <v>6</v>
      </c>
      <c r="E134" t="s">
        <v>3</v>
      </c>
      <c r="F134" t="s">
        <v>40</v>
      </c>
      <c r="G134" t="str">
        <f t="shared" si="14"/>
        <v/>
      </c>
      <c r="H134">
        <v>1</v>
      </c>
      <c r="I134" t="s">
        <v>3</v>
      </c>
      <c r="Q134" t="s">
        <v>12</v>
      </c>
      <c r="R134">
        <v>1</v>
      </c>
    </row>
    <row r="135" spans="1:19" x14ac:dyDescent="0.15">
      <c r="A135" t="str">
        <f t="shared" si="13"/>
        <v>|Lｖ7|HP+3|</v>
      </c>
      <c r="B135" t="s">
        <v>3</v>
      </c>
      <c r="C135" t="s">
        <v>39</v>
      </c>
      <c r="D135">
        <v>7</v>
      </c>
      <c r="E135" t="s">
        <v>3</v>
      </c>
      <c r="F135" t="s">
        <v>7</v>
      </c>
      <c r="G135" t="str">
        <f t="shared" si="14"/>
        <v>+</v>
      </c>
      <c r="H135">
        <f>IF(F135="HP",IF($S$128="交互",IF(ISODD((D135-1)/2),$R$129,$S$129),$R$129),IF(F135="","",VLOOKUP(F135,$Q$129:$R$142,2,FALSE)))</f>
        <v>3</v>
      </c>
      <c r="I135" t="s">
        <v>3</v>
      </c>
      <c r="Q135" t="s">
        <v>13</v>
      </c>
      <c r="R135">
        <v>1</v>
      </c>
    </row>
    <row r="136" spans="1:19" x14ac:dyDescent="0.15">
      <c r="A136" t="str">
        <f t="shared" si="13"/>
        <v>|Lｖ8|呪文+1|</v>
      </c>
      <c r="B136" t="s">
        <v>3</v>
      </c>
      <c r="C136" t="s">
        <v>39</v>
      </c>
      <c r="D136">
        <v>8</v>
      </c>
      <c r="E136" t="s">
        <v>3</v>
      </c>
      <c r="F136" t="s">
        <v>21</v>
      </c>
      <c r="G136" t="str">
        <f t="shared" si="14"/>
        <v>+</v>
      </c>
      <c r="H136">
        <f>IF(F136="HP",IF($S$128="交互",IF(ISODD((D136-1)/2),$R$129,$S$129),$R$129),IF(F136="","",VLOOKUP(F136,$Q$129:$R$142,2,FALSE)))</f>
        <v>1</v>
      </c>
      <c r="I136" t="s">
        <v>3</v>
      </c>
      <c r="Q136" t="s">
        <v>14</v>
      </c>
      <c r="R136">
        <v>1</v>
      </c>
    </row>
    <row r="137" spans="1:19" x14ac:dyDescent="0.15">
      <c r="A137" t="str">
        <f t="shared" si="13"/>
        <v>|Lｖ9|HP+3|</v>
      </c>
      <c r="B137" t="s">
        <v>3</v>
      </c>
      <c r="C137" t="s">
        <v>39</v>
      </c>
      <c r="D137">
        <v>9</v>
      </c>
      <c r="E137" t="s">
        <v>3</v>
      </c>
      <c r="F137" t="s">
        <v>7</v>
      </c>
      <c r="G137" t="str">
        <f t="shared" si="14"/>
        <v>+</v>
      </c>
      <c r="H137">
        <f>IF(F137="HP",IF($S$128="交互",IF(ISODD((D137-1)/2),$R$129,$S$129),$R$129),IF(F137="","",VLOOKUP(F137,$Q$129:$R$142,2,FALSE)))</f>
        <v>3</v>
      </c>
      <c r="I137" t="s">
        <v>3</v>
      </c>
      <c r="Q137" t="s">
        <v>15</v>
      </c>
      <c r="R137">
        <v>1</v>
      </c>
    </row>
    <row r="138" spans="1:19" x14ac:dyDescent="0.15">
      <c r="A138" t="str">
        <f t="shared" si="13"/>
        <v>|Lｖ10|第2能力Lv1|</v>
      </c>
      <c r="B138" t="s">
        <v>3</v>
      </c>
      <c r="C138" t="s">
        <v>39</v>
      </c>
      <c r="D138">
        <v>10</v>
      </c>
      <c r="E138" t="s">
        <v>3</v>
      </c>
      <c r="F138" t="s">
        <v>41</v>
      </c>
      <c r="G138" t="s">
        <v>44</v>
      </c>
      <c r="H138">
        <v>1</v>
      </c>
      <c r="I138" t="s">
        <v>3</v>
      </c>
      <c r="Q138" t="s">
        <v>40</v>
      </c>
    </row>
    <row r="139" spans="1:19" x14ac:dyDescent="0.15">
      <c r="A139" t="str">
        <f t="shared" si="13"/>
        <v>|Lｖ11|HP+3|</v>
      </c>
      <c r="B139" t="s">
        <v>3</v>
      </c>
      <c r="C139" t="s">
        <v>39</v>
      </c>
      <c r="D139">
        <v>11</v>
      </c>
      <c r="E139" t="s">
        <v>3</v>
      </c>
      <c r="F139" t="s">
        <v>7</v>
      </c>
      <c r="G139" t="str">
        <f>IF(OR(F139=$Q$138,F139=$Q$139,F139=$Q$140,F139=$Q$141,ISBLANK(F139)),"","+")</f>
        <v>+</v>
      </c>
      <c r="H139">
        <f>IF(F139="HP",IF($S$128="交互",IF(ISODD((D139-1)/2),$R$129,$S$129),$R$129),IF(F139="","",VLOOKUP(F139,$Q$129:$R$142,2,FALSE)))</f>
        <v>3</v>
      </c>
      <c r="I139" t="s">
        <v>3</v>
      </c>
      <c r="Q139" t="s">
        <v>41</v>
      </c>
    </row>
    <row r="140" spans="1:19" x14ac:dyDescent="0.15">
      <c r="A140" t="str">
        <f t="shared" si="13"/>
        <v>|Lｖ12|白+1|</v>
      </c>
      <c r="B140" t="s">
        <v>3</v>
      </c>
      <c r="C140" t="s">
        <v>39</v>
      </c>
      <c r="D140">
        <v>12</v>
      </c>
      <c r="E140" t="s">
        <v>3</v>
      </c>
      <c r="F140" t="s">
        <v>11</v>
      </c>
      <c r="G140" t="str">
        <f>IF(OR(F140=$Q$138,F140=$Q$139,F140=$Q$140,F140=$Q$141,ISBLANK(F140)),"","+")</f>
        <v>+</v>
      </c>
      <c r="H140">
        <f>IF(F140="HP",IF($S$128="交互",IF(ISODD((D140-1)/2),$R$129,$S$129),$R$129),IF(F140="","",VLOOKUP(F140,$Q$129:$R$142,2,FALSE)))</f>
        <v>1</v>
      </c>
      <c r="I140" t="s">
        <v>3</v>
      </c>
      <c r="Q140" t="s">
        <v>42</v>
      </c>
    </row>
    <row r="141" spans="1:19" x14ac:dyDescent="0.15">
      <c r="A141" t="str">
        <f t="shared" si="13"/>
        <v>|Lｖ13|HP+3|</v>
      </c>
      <c r="B141" t="s">
        <v>3</v>
      </c>
      <c r="C141" t="s">
        <v>39</v>
      </c>
      <c r="D141">
        <v>13</v>
      </c>
      <c r="E141" t="s">
        <v>3</v>
      </c>
      <c r="F141" t="s">
        <v>7</v>
      </c>
      <c r="G141" t="str">
        <f>IF(OR(F141=$Q$138,F141=$Q$139,F141=$Q$140,F141=$Q$141,ISBLANK(F141)),"","+")</f>
        <v>+</v>
      </c>
      <c r="H141">
        <f>IF(F141="HP",IF($S$128="交互",IF(ISODD((D141-1)/2),$R$129,$S$129),$R$129),IF(F141="","",VLOOKUP(F141,$Q$129:$R$142,2,FALSE)))</f>
        <v>3</v>
      </c>
      <c r="I141" t="s">
        <v>3</v>
      </c>
      <c r="Q141" t="s">
        <v>43</v>
      </c>
      <c r="R141" s="8" t="s">
        <v>665</v>
      </c>
    </row>
    <row r="142" spans="1:19" x14ac:dyDescent="0.15">
      <c r="A142" t="str">
        <f t="shared" si="13"/>
        <v>|Lｖ14|サポート+1|</v>
      </c>
      <c r="B142" t="s">
        <v>3</v>
      </c>
      <c r="C142" t="s">
        <v>39</v>
      </c>
      <c r="D142">
        <v>14</v>
      </c>
      <c r="E142" t="s">
        <v>3</v>
      </c>
      <c r="F142" t="s">
        <v>22</v>
      </c>
      <c r="G142" t="str">
        <f>IF(OR(F142=$Q$138,F142=$Q$139,F142=$Q$140,F142=$Q$141,ISBLANK(F142)),"","+")</f>
        <v>+</v>
      </c>
      <c r="H142">
        <f>IF(F142="HP",IF($S$128="交互",IF(ISODD((D142-1)/2),$R$129,$S$129),$R$129),IF(F142="","",VLOOKUP(F142,$Q$129:$R$142,2,FALSE)))</f>
        <v>1</v>
      </c>
      <c r="I142" t="s">
        <v>3</v>
      </c>
    </row>
    <row r="143" spans="1:19" x14ac:dyDescent="0.15">
      <c r="A143" t="str">
        <f t="shared" si="13"/>
        <v>|Lｖ15|HP+3|</v>
      </c>
      <c r="B143" t="s">
        <v>3</v>
      </c>
      <c r="C143" t="s">
        <v>39</v>
      </c>
      <c r="D143">
        <v>15</v>
      </c>
      <c r="E143" t="s">
        <v>3</v>
      </c>
      <c r="F143" t="s">
        <v>7</v>
      </c>
      <c r="G143" t="str">
        <f>IF(OR(F143=$Q$138,F143=$Q$139,F143=$Q$140,F143=$Q$141,ISBLANK(F143)),"","+")</f>
        <v>+</v>
      </c>
      <c r="H143">
        <f>IF(F143="HP",IF($S$128="交互",IF(ISODD((D143-1)/2),$R$129,$S$129),$R$129),IF(F143="","",VLOOKUP(F143,$Q$129:$R$142,2,FALSE)))</f>
        <v>3</v>
      </c>
      <c r="I143" t="s">
        <v>3</v>
      </c>
    </row>
    <row r="144" spans="1:19" x14ac:dyDescent="0.15">
      <c r="A144" t="str">
        <f t="shared" si="13"/>
        <v>|Lｖ16|第3能力Lv1|</v>
      </c>
      <c r="B144" t="s">
        <v>3</v>
      </c>
      <c r="C144" t="s">
        <v>39</v>
      </c>
      <c r="D144">
        <v>16</v>
      </c>
      <c r="E144" t="s">
        <v>3</v>
      </c>
      <c r="F144" t="s">
        <v>42</v>
      </c>
      <c r="G144" t="s">
        <v>44</v>
      </c>
      <c r="H144">
        <v>1</v>
      </c>
      <c r="I144" t="s">
        <v>3</v>
      </c>
    </row>
    <row r="145" spans="1:9" x14ac:dyDescent="0.15">
      <c r="A145" t="str">
        <f t="shared" si="13"/>
        <v>|Lｖ17|回復速度上昇 |</v>
      </c>
      <c r="B145" t="s">
        <v>3</v>
      </c>
      <c r="C145" t="s">
        <v>39</v>
      </c>
      <c r="D145">
        <v>17</v>
      </c>
      <c r="E145" t="s">
        <v>3</v>
      </c>
      <c r="F145" t="s">
        <v>43</v>
      </c>
      <c r="G145" t="str">
        <f>IF(OR(F145=$Q$138,F145=$Q$139,F145=$Q$140,F145=$Q$141,ISBLANK(F145)),"","+")</f>
        <v/>
      </c>
      <c r="H145" t="str">
        <f>IF(F145="HP",IF($S$128="交互",IF(ISODD((D145-1)/2),$R$129,$S$129),$R$129),IF(F145="","",VLOOKUP(F145,$Q$129:$R$142,2,FALSE)))</f>
        <v xml:space="preserve"> </v>
      </c>
      <c r="I145" t="s">
        <v>3</v>
      </c>
    </row>
    <row r="146" spans="1:9" x14ac:dyDescent="0.15">
      <c r="A146" t="str">
        <f t="shared" si="13"/>
        <v>|Lｖ18|青+1|</v>
      </c>
      <c r="B146" t="s">
        <v>3</v>
      </c>
      <c r="C146" t="s">
        <v>39</v>
      </c>
      <c r="D146">
        <v>18</v>
      </c>
      <c r="E146" t="s">
        <v>3</v>
      </c>
      <c r="F146" t="s">
        <v>12</v>
      </c>
      <c r="G146" t="str">
        <f>IF(OR(F146=$Q$138,F146=$Q$139,F146=$Q$140,F146=$Q$141,ISBLANK(F146)),"","+")</f>
        <v>+</v>
      </c>
      <c r="H146">
        <f>IF(F146="HP",IF($S$128="交互",IF(ISODD((D146-1)/2),$R$129,$S$129),$R$129),IF(F146="","",VLOOKUP(F146,$Q$129:$R$142,2,FALSE)))</f>
        <v>1</v>
      </c>
      <c r="I146" t="s">
        <v>3</v>
      </c>
    </row>
    <row r="147" spans="1:9" x14ac:dyDescent="0.15">
      <c r="A147" t="str">
        <f t="shared" si="13"/>
        <v>|Lｖ19|HP+3|</v>
      </c>
      <c r="B147" t="s">
        <v>3</v>
      </c>
      <c r="C147" t="s">
        <v>39</v>
      </c>
      <c r="D147">
        <v>19</v>
      </c>
      <c r="E147" t="s">
        <v>3</v>
      </c>
      <c r="F147" t="s">
        <v>7</v>
      </c>
      <c r="G147" t="str">
        <f>IF(OR(F147=$Q$138,F147=$Q$139,F147=$Q$140,F147=$Q$141,ISBLANK(F147)),"","+")</f>
        <v>+</v>
      </c>
      <c r="H147">
        <f>IF(F147="HP",IF($S$128="交互",IF(ISODD((D147-1)/2),$R$129,$S$129),$R$129),IF(F147="","",VLOOKUP(F147,$Q$129:$R$142,2,FALSE)))</f>
        <v>3</v>
      </c>
      <c r="I147" t="s">
        <v>3</v>
      </c>
    </row>
    <row r="148" spans="1:9" x14ac:dyDescent="0.15">
      <c r="A148" t="str">
        <f t="shared" si="13"/>
        <v>|Lｖ20|第1能力Lv2|</v>
      </c>
      <c r="B148" t="s">
        <v>3</v>
      </c>
      <c r="C148" t="s">
        <v>39</v>
      </c>
      <c r="D148">
        <v>20</v>
      </c>
      <c r="E148" t="s">
        <v>3</v>
      </c>
      <c r="F148" t="s">
        <v>40</v>
      </c>
      <c r="G148" t="s">
        <v>44</v>
      </c>
      <c r="H148">
        <v>2</v>
      </c>
      <c r="I148" t="s">
        <v>3</v>
      </c>
    </row>
    <row r="149" spans="1:9" x14ac:dyDescent="0.15">
      <c r="A149" t="str">
        <f t="shared" si="13"/>
        <v>|Lｖ21|HP+3|</v>
      </c>
      <c r="B149" t="s">
        <v>3</v>
      </c>
      <c r="C149" t="s">
        <v>39</v>
      </c>
      <c r="D149">
        <v>21</v>
      </c>
      <c r="E149" t="s">
        <v>3</v>
      </c>
      <c r="F149" t="s">
        <v>7</v>
      </c>
      <c r="G149" t="str">
        <f>IF(OR(F149=$Q$138,F149=$Q$139,F149=$Q$140,F149=$Q$141,ISBLANK(F149)),"","+")</f>
        <v>+</v>
      </c>
      <c r="H149">
        <f>IF(F149="HP",IF($S$128="交互",IF(ISODD((D149-1)/2),$R$129,$S$129),$R$129),IF(F149="","",VLOOKUP(F149,$Q$129:$R$142,2,FALSE)))</f>
        <v>3</v>
      </c>
      <c r="I149" t="s">
        <v>3</v>
      </c>
    </row>
    <row r="150" spans="1:9" x14ac:dyDescent="0.15">
      <c r="A150" t="str">
        <f t="shared" si="13"/>
        <v>|Lｖ22|クリーチャー+1|</v>
      </c>
      <c r="B150" t="s">
        <v>3</v>
      </c>
      <c r="C150" t="s">
        <v>39</v>
      </c>
      <c r="D150">
        <v>22</v>
      </c>
      <c r="E150" t="s">
        <v>3</v>
      </c>
      <c r="F150" t="s">
        <v>20</v>
      </c>
      <c r="G150" t="str">
        <f>IF(OR(F150=$Q$138,F150=$Q$139,F150=$Q$140,F150=$Q$141,ISBLANK(F150)),"","+")</f>
        <v>+</v>
      </c>
      <c r="H150">
        <f>IF(F150="HP",IF($S$128="交互",IF(ISODD((D150-1)/2),$R$129,$S$129),$R$129),IF(F150="","",VLOOKUP(F150,$Q$129:$R$142,2,FALSE)))</f>
        <v>1</v>
      </c>
      <c r="I150" t="s">
        <v>3</v>
      </c>
    </row>
    <row r="151" spans="1:9" x14ac:dyDescent="0.15">
      <c r="A151" t="str">
        <f t="shared" si="13"/>
        <v>|Lｖ23|HP+3|</v>
      </c>
      <c r="B151" t="s">
        <v>3</v>
      </c>
      <c r="C151" t="s">
        <v>39</v>
      </c>
      <c r="D151">
        <v>23</v>
      </c>
      <c r="E151" t="s">
        <v>3</v>
      </c>
      <c r="F151" t="s">
        <v>7</v>
      </c>
      <c r="G151" t="str">
        <f>IF(OR(F151=$Q$138,F151=$Q$139,F151=$Q$140,F151=$Q$141,ISBLANK(F151)),"","+")</f>
        <v>+</v>
      </c>
      <c r="H151">
        <f>IF(F151="HP",IF($S$128="交互",IF(ISODD((D151-1)/2),$R$129,$S$129),$R$129),IF(F151="","",VLOOKUP(F151,$Q$129:$R$142,2,FALSE)))</f>
        <v>3</v>
      </c>
      <c r="I151" t="s">
        <v>3</v>
      </c>
    </row>
    <row r="152" spans="1:9" x14ac:dyDescent="0.15">
      <c r="A152" t="str">
        <f t="shared" si="13"/>
        <v>|Lｖ24|黒+2|</v>
      </c>
      <c r="B152" t="s">
        <v>3</v>
      </c>
      <c r="C152" t="s">
        <v>39</v>
      </c>
      <c r="D152">
        <v>24</v>
      </c>
      <c r="E152" t="s">
        <v>3</v>
      </c>
      <c r="F152" t="s">
        <v>13</v>
      </c>
      <c r="G152" t="str">
        <f>IF(OR(F152=$Q$138,F152=$Q$139,F152=$Q$140,F152=$Q$141,ISBLANK(F152)),"","+")</f>
        <v>+</v>
      </c>
      <c r="H152">
        <v>2</v>
      </c>
      <c r="I152" t="s">
        <v>3</v>
      </c>
    </row>
    <row r="153" spans="1:9" x14ac:dyDescent="0.15">
      <c r="A153" t="str">
        <f t="shared" si="13"/>
        <v>|Lｖ25|HP+3|</v>
      </c>
      <c r="B153" t="s">
        <v>3</v>
      </c>
      <c r="C153" t="s">
        <v>39</v>
      </c>
      <c r="D153">
        <v>25</v>
      </c>
      <c r="E153" t="s">
        <v>3</v>
      </c>
      <c r="F153" t="s">
        <v>7</v>
      </c>
      <c r="G153" t="str">
        <f>IF(OR(F153=$Q$138,F153=$Q$139,F153=$Q$140,F153=$Q$141,ISBLANK(F153)),"","+")</f>
        <v>+</v>
      </c>
      <c r="H153">
        <f>IF(F153="HP",IF($S$128="交互",IF(ISODD((D153-1)/2),$R$129,$S$129),$R$129),IF(F153="","",VLOOKUP(F153,$Q$129:$R$142,2,FALSE)))</f>
        <v>3</v>
      </c>
      <c r="I153" t="s">
        <v>3</v>
      </c>
    </row>
    <row r="154" spans="1:9" x14ac:dyDescent="0.15">
      <c r="A154" t="str">
        <f t="shared" si="13"/>
        <v>|Lｖ26|第2能力Lv2|</v>
      </c>
      <c r="B154" t="s">
        <v>3</v>
      </c>
      <c r="C154" t="s">
        <v>39</v>
      </c>
      <c r="D154">
        <v>26</v>
      </c>
      <c r="E154" t="s">
        <v>3</v>
      </c>
      <c r="F154" t="s">
        <v>41</v>
      </c>
      <c r="G154" t="s">
        <v>44</v>
      </c>
      <c r="H154">
        <v>2</v>
      </c>
      <c r="I154" t="s">
        <v>3</v>
      </c>
    </row>
    <row r="155" spans="1:9" x14ac:dyDescent="0.15">
      <c r="A155" t="str">
        <f t="shared" si="13"/>
        <v>|Lｖ27|HP+4|</v>
      </c>
      <c r="B155" t="s">
        <v>3</v>
      </c>
      <c r="C155" t="s">
        <v>39</v>
      </c>
      <c r="D155">
        <v>27</v>
      </c>
      <c r="E155" t="s">
        <v>3</v>
      </c>
      <c r="F155" t="s">
        <v>7</v>
      </c>
      <c r="G155" t="str">
        <f>IF(OR(F155=$Q$138,F155=$Q$139,F155=$Q$140,F155=$Q$141,ISBLANK(F155)),"","+")</f>
        <v>+</v>
      </c>
      <c r="H155">
        <v>4</v>
      </c>
      <c r="I155" t="s">
        <v>3</v>
      </c>
    </row>
    <row r="156" spans="1:9" x14ac:dyDescent="0.15">
      <c r="A156" t="str">
        <f t="shared" si="13"/>
        <v>|Lｖ28|呪文+1|</v>
      </c>
      <c r="B156" t="s">
        <v>3</v>
      </c>
      <c r="C156" t="s">
        <v>39</v>
      </c>
      <c r="D156">
        <v>28</v>
      </c>
      <c r="E156" t="s">
        <v>3</v>
      </c>
      <c r="F156" t="s">
        <v>21</v>
      </c>
      <c r="G156" t="str">
        <f>IF(OR(F156=$Q$138,F156=$Q$139,F156=$Q$140,F156=$Q$141,ISBLANK(F156)),"","+")</f>
        <v>+</v>
      </c>
      <c r="H156">
        <f>IF(F156="HP",IF($S$128="交互",IF(ISODD((D156-1)/2),$R$129,$S$129),$R$129),IF(F156="","",VLOOKUP(F156,$Q$129:$R$142,2,FALSE)))</f>
        <v>1</v>
      </c>
      <c r="I156" t="s">
        <v>3</v>
      </c>
    </row>
    <row r="157" spans="1:9" x14ac:dyDescent="0.15">
      <c r="A157" t="str">
        <f t="shared" si="13"/>
        <v>|Lｖ29|HP+3|</v>
      </c>
      <c r="B157" t="s">
        <v>3</v>
      </c>
      <c r="C157" t="s">
        <v>39</v>
      </c>
      <c r="D157">
        <v>29</v>
      </c>
      <c r="E157" t="s">
        <v>3</v>
      </c>
      <c r="F157" t="s">
        <v>7</v>
      </c>
      <c r="G157" t="str">
        <f>IF(OR(F157=$Q$138,F157=$Q$139,F157=$Q$140,F157=$Q$141,ISBLANK(F157)),"","+")</f>
        <v>+</v>
      </c>
      <c r="H157">
        <f>IF(F157="HP",IF($S$128="交互",IF(ISODD((D157-1)/2),$R$129,$S$129),$R$129),IF(F157="","",VLOOKUP(F157,$Q$129:$R$142,2,FALSE)))</f>
        <v>3</v>
      </c>
      <c r="I157" t="s">
        <v>3</v>
      </c>
    </row>
    <row r="158" spans="1:9" x14ac:dyDescent="0.15">
      <c r="A158" t="str">
        <f t="shared" si="13"/>
        <v>|Lｖ30|第3能力Lv2|</v>
      </c>
      <c r="B158" t="s">
        <v>3</v>
      </c>
      <c r="C158" t="s">
        <v>39</v>
      </c>
      <c r="D158">
        <v>30</v>
      </c>
      <c r="E158" t="s">
        <v>3</v>
      </c>
      <c r="F158" t="s">
        <v>42</v>
      </c>
      <c r="G158" t="s">
        <v>44</v>
      </c>
      <c r="H158">
        <v>2</v>
      </c>
      <c r="I158" t="s">
        <v>3</v>
      </c>
    </row>
    <row r="159" spans="1:9" x14ac:dyDescent="0.15">
      <c r="A159" t="str">
        <f t="shared" si="13"/>
        <v>|Lｖ31|HP+3|</v>
      </c>
      <c r="B159" t="s">
        <v>3</v>
      </c>
      <c r="C159" t="s">
        <v>39</v>
      </c>
      <c r="D159">
        <v>31</v>
      </c>
      <c r="E159" t="s">
        <v>3</v>
      </c>
      <c r="F159" t="s">
        <v>7</v>
      </c>
      <c r="G159" t="str">
        <f>IF(OR(F159=$Q$138,F159=$Q$139,F159=$Q$140,F159=$Q$141,ISBLANK(F159)),"","+")</f>
        <v>+</v>
      </c>
      <c r="H159">
        <f>IF(F159="HP",IF($S$128="交互",IF(ISODD((D159-1)/2),$R$129,$S$129),$R$129),IF(F159="","",VLOOKUP(F159,$Q$129:$R$142,2,FALSE)))</f>
        <v>3</v>
      </c>
      <c r="I159" t="s">
        <v>3</v>
      </c>
    </row>
    <row r="160" spans="1:9" x14ac:dyDescent="0.15">
      <c r="A160" t="str">
        <f t="shared" si="13"/>
        <v>|Lｖ32|緑+1|</v>
      </c>
      <c r="B160" t="s">
        <v>3</v>
      </c>
      <c r="C160" t="s">
        <v>39</v>
      </c>
      <c r="D160">
        <v>32</v>
      </c>
      <c r="E160" t="s">
        <v>3</v>
      </c>
      <c r="F160" t="s">
        <v>15</v>
      </c>
      <c r="G160" t="str">
        <f>IF(OR(F160=$Q$138,F160=$Q$139,F160=$Q$140,F160=$Q$141,ISBLANK(F160)),"","+")</f>
        <v>+</v>
      </c>
      <c r="H160">
        <f>IF(F160="HP",IF($S$128="交互",IF(ISODD((D160-1)/2),$R$129,$S$129),$R$129),IF(F160="","",VLOOKUP(F160,$Q$129:$R$142,2,FALSE)))</f>
        <v>1</v>
      </c>
      <c r="I160" t="s">
        <v>3</v>
      </c>
    </row>
    <row r="161" spans="1:9" x14ac:dyDescent="0.15">
      <c r="A161" t="str">
        <f t="shared" ref="A161:A195" si="15">B161&amp;C161&amp;D161&amp;E161&amp;F161&amp;G161&amp;H161&amp;I161&amp;J161&amp;K161&amp;L161&amp;M161&amp;N161&amp;O161&amp;P161</f>
        <v>|Lｖ33|HP+3|</v>
      </c>
      <c r="B161" t="s">
        <v>3</v>
      </c>
      <c r="C161" t="s">
        <v>39</v>
      </c>
      <c r="D161">
        <v>33</v>
      </c>
      <c r="E161" t="s">
        <v>3</v>
      </c>
      <c r="F161" t="s">
        <v>7</v>
      </c>
      <c r="G161" t="str">
        <f>IF(OR(F161=$Q$138,F161=$Q$139,F161=$Q$140,F161=$Q$141,ISBLANK(F161)),"","+")</f>
        <v>+</v>
      </c>
      <c r="H161">
        <f>IF(F161="HP",IF($S$128="交互",IF(ISODD((D161-1)/2),$R$129,$S$129),$R$129),IF(F161="","",VLOOKUP(F161,$Q$129:$R$142,2,FALSE)))</f>
        <v>3</v>
      </c>
      <c r="I161" t="s">
        <v>3</v>
      </c>
    </row>
    <row r="162" spans="1:9" x14ac:dyDescent="0.15">
      <c r="A162" t="str">
        <f t="shared" si="15"/>
        <v>|Lｖ34|サポート+1|</v>
      </c>
      <c r="B162" t="s">
        <v>3</v>
      </c>
      <c r="C162" t="s">
        <v>39</v>
      </c>
      <c r="D162">
        <v>34</v>
      </c>
      <c r="E162" t="s">
        <v>3</v>
      </c>
      <c r="F162" t="s">
        <v>22</v>
      </c>
      <c r="G162" t="str">
        <f>IF(OR(F162=$Q$138,F162=$Q$139,F162=$Q$140,F162=$Q$141,ISBLANK(F162)),"","+")</f>
        <v>+</v>
      </c>
      <c r="H162">
        <f>IF(F162="HP",IF($S$128="交互",IF(ISODD((D162-1)/2),$R$129,$S$129),$R$129),IF(F162="","",VLOOKUP(F162,$Q$129:$R$142,2,FALSE)))</f>
        <v>1</v>
      </c>
      <c r="I162" t="s">
        <v>3</v>
      </c>
    </row>
    <row r="163" spans="1:9" x14ac:dyDescent="0.15">
      <c r="A163" t="str">
        <f t="shared" si="15"/>
        <v>|Lｖ35|回復速度上昇 |</v>
      </c>
      <c r="B163" t="s">
        <v>3</v>
      </c>
      <c r="C163" t="s">
        <v>39</v>
      </c>
      <c r="D163">
        <v>35</v>
      </c>
      <c r="E163" t="s">
        <v>3</v>
      </c>
      <c r="F163" t="s">
        <v>43</v>
      </c>
      <c r="G163" t="str">
        <f>IF(OR(F163=$Q$138,F163=$Q$139,F163=$Q$140,F163=$Q$141,ISBLANK(F163)),"","+")</f>
        <v/>
      </c>
      <c r="H163" t="str">
        <f>IF(F163="HP",IF($S$128="交互",IF(ISODD((D163-1)/2),$R$129,$S$129),$R$129),IF(F163="","",VLOOKUP(F163,$Q$129:$R$142,2,FALSE)))</f>
        <v xml:space="preserve"> </v>
      </c>
      <c r="I163" t="s">
        <v>3</v>
      </c>
    </row>
    <row r="164" spans="1:9" x14ac:dyDescent="0.15">
      <c r="A164" t="str">
        <f t="shared" si="15"/>
        <v>|Lｖ36|第1能力Lv3|</v>
      </c>
      <c r="B164" t="s">
        <v>3</v>
      </c>
      <c r="C164" t="s">
        <v>39</v>
      </c>
      <c r="D164">
        <v>36</v>
      </c>
      <c r="E164" t="s">
        <v>3</v>
      </c>
      <c r="F164" t="s">
        <v>40</v>
      </c>
      <c r="G164" t="s">
        <v>44</v>
      </c>
      <c r="H164">
        <v>3</v>
      </c>
      <c r="I164" t="s">
        <v>3</v>
      </c>
    </row>
    <row r="165" spans="1:9" x14ac:dyDescent="0.15">
      <c r="A165" t="str">
        <f t="shared" si="15"/>
        <v>|Lｖ37|HP+3|</v>
      </c>
      <c r="B165" t="s">
        <v>3</v>
      </c>
      <c r="C165" t="s">
        <v>39</v>
      </c>
      <c r="D165">
        <v>37</v>
      </c>
      <c r="E165" t="s">
        <v>3</v>
      </c>
      <c r="F165" t="s">
        <v>7</v>
      </c>
      <c r="G165" t="str">
        <f t="shared" ref="G165:G177" si="16">IF(OR(F165=$Q$138,F165=$Q$139,F165=$Q$140,F165=$Q$141,ISBLANK(F165)),"","+")</f>
        <v>+</v>
      </c>
      <c r="H165">
        <f>IF(F165="HP",IF($S$128="交互",IF(ISODD((D165-1)/2),$R$129,$S$129),$R$129),IF(F165="","",VLOOKUP(F165,$Q$129:$R$142,2,FALSE)))</f>
        <v>3</v>
      </c>
      <c r="I165" t="s">
        <v>3</v>
      </c>
    </row>
    <row r="166" spans="1:9" x14ac:dyDescent="0.15">
      <c r="A166" t="str">
        <f t="shared" si="15"/>
        <v>|Lｖ38|赤+1|</v>
      </c>
      <c r="B166" t="s">
        <v>3</v>
      </c>
      <c r="C166" t="s">
        <v>39</v>
      </c>
      <c r="D166">
        <v>38</v>
      </c>
      <c r="E166" t="s">
        <v>3</v>
      </c>
      <c r="F166" t="s">
        <v>14</v>
      </c>
      <c r="G166" t="str">
        <f t="shared" si="16"/>
        <v>+</v>
      </c>
      <c r="H166">
        <f>IF(F166="HP",IF($S$128="交互",IF(ISODD((D166-1)/2),$R$129,$S$129),$R$129),IF(F166="","",VLOOKUP(F166,$Q$129:$R$142,2,FALSE)))</f>
        <v>1</v>
      </c>
      <c r="I166" t="s">
        <v>3</v>
      </c>
    </row>
    <row r="167" spans="1:9" x14ac:dyDescent="0.15">
      <c r="A167" t="str">
        <f t="shared" si="15"/>
        <v>|Lｖ39|HP+3|</v>
      </c>
      <c r="B167" t="s">
        <v>3</v>
      </c>
      <c r="C167" t="s">
        <v>39</v>
      </c>
      <c r="D167">
        <v>39</v>
      </c>
      <c r="E167" t="s">
        <v>3</v>
      </c>
      <c r="F167" t="s">
        <v>7</v>
      </c>
      <c r="G167" t="str">
        <f t="shared" si="16"/>
        <v>+</v>
      </c>
      <c r="H167">
        <f>IF(F167="HP",IF($S$128="交互",IF(ISODD((D167-1)/2),$R$129,$S$129),$R$129),IF(F167="","",VLOOKUP(F167,$Q$129:$R$142,2,FALSE)))</f>
        <v>3</v>
      </c>
      <c r="I167" t="s">
        <v>3</v>
      </c>
    </row>
    <row r="168" spans="1:9" x14ac:dyDescent="0.15">
      <c r="A168" t="str">
        <f t="shared" si="15"/>
        <v>|Lｖ40|第2能力Lv3|</v>
      </c>
      <c r="B168" t="s">
        <v>3</v>
      </c>
      <c r="C168" t="s">
        <v>39</v>
      </c>
      <c r="D168">
        <v>40</v>
      </c>
      <c r="E168" t="s">
        <v>3</v>
      </c>
      <c r="F168" t="s">
        <v>41</v>
      </c>
      <c r="G168" t="str">
        <f t="shared" si="16"/>
        <v/>
      </c>
      <c r="H168">
        <v>3</v>
      </c>
      <c r="I168" t="s">
        <v>3</v>
      </c>
    </row>
    <row r="169" spans="1:9" x14ac:dyDescent="0.15">
      <c r="A169" t="str">
        <f t="shared" si="15"/>
        <v>|Lｖ41|HP+3|</v>
      </c>
      <c r="B169" t="s">
        <v>3</v>
      </c>
      <c r="C169" t="s">
        <v>39</v>
      </c>
      <c r="D169">
        <v>41</v>
      </c>
      <c r="E169" t="s">
        <v>3</v>
      </c>
      <c r="F169" t="s">
        <v>7</v>
      </c>
      <c r="G169" t="str">
        <f t="shared" si="16"/>
        <v>+</v>
      </c>
      <c r="H169">
        <f>IF(F169="HP",IF($S$128="交互",IF(ISODD((D169-1)/2),$R$129,$S$129),$R$129),IF(F169="","",VLOOKUP(F169,$Q$129:$R$142,2,FALSE)))</f>
        <v>3</v>
      </c>
      <c r="I169" t="s">
        <v>3</v>
      </c>
    </row>
    <row r="170" spans="1:9" x14ac:dyDescent="0.15">
      <c r="A170" t="str">
        <f t="shared" si="15"/>
        <v>|Lｖ42|クリーチャー+1|</v>
      </c>
      <c r="B170" t="s">
        <v>3</v>
      </c>
      <c r="C170" t="s">
        <v>39</v>
      </c>
      <c r="D170">
        <v>42</v>
      </c>
      <c r="E170" t="s">
        <v>3</v>
      </c>
      <c r="F170" t="s">
        <v>20</v>
      </c>
      <c r="G170" t="str">
        <f t="shared" si="16"/>
        <v>+</v>
      </c>
      <c r="H170">
        <f>IF(F170="HP",IF($S$128="交互",IF(ISODD((D170-1)/2),$R$129,$S$129),$R$129),IF(F170="","",VLOOKUP(F170,$Q$129:$R$142,2,FALSE)))</f>
        <v>1</v>
      </c>
      <c r="I170" t="s">
        <v>3</v>
      </c>
    </row>
    <row r="171" spans="1:9" x14ac:dyDescent="0.15">
      <c r="A171" t="str">
        <f t="shared" si="15"/>
        <v>|Lｖ43|HP+3|</v>
      </c>
      <c r="B171" t="s">
        <v>3</v>
      </c>
      <c r="C171" t="s">
        <v>39</v>
      </c>
      <c r="D171">
        <v>43</v>
      </c>
      <c r="E171" t="s">
        <v>3</v>
      </c>
      <c r="F171" t="s">
        <v>7</v>
      </c>
      <c r="G171" t="str">
        <f t="shared" si="16"/>
        <v>+</v>
      </c>
      <c r="H171">
        <f>IF(F171="HP",IF($S$128="交互",IF(ISODD((D171-1)/2),$R$129,$S$129),$R$129),IF(F171="","",VLOOKUP(F171,$Q$129:$R$142,2,FALSE)))</f>
        <v>3</v>
      </c>
      <c r="I171" t="s">
        <v>3</v>
      </c>
    </row>
    <row r="172" spans="1:9" x14ac:dyDescent="0.15">
      <c r="A172" t="str">
        <f t="shared" si="15"/>
        <v>|Lｖ44|白+1|</v>
      </c>
      <c r="B172" t="s">
        <v>3</v>
      </c>
      <c r="C172" t="s">
        <v>39</v>
      </c>
      <c r="D172">
        <v>44</v>
      </c>
      <c r="E172" t="s">
        <v>3</v>
      </c>
      <c r="F172" t="s">
        <v>11</v>
      </c>
      <c r="G172" t="str">
        <f t="shared" si="16"/>
        <v>+</v>
      </c>
      <c r="H172">
        <f>IF(F172="HP",IF($S$128="交互",IF(ISODD((D172-1)/2),$R$129,$S$129),$R$129),IF(F172="","",VLOOKUP(F172,$Q$129:$R$142,2,FALSE)))</f>
        <v>1</v>
      </c>
      <c r="I172" t="s">
        <v>3</v>
      </c>
    </row>
    <row r="173" spans="1:9" x14ac:dyDescent="0.15">
      <c r="A173" t="str">
        <f t="shared" si="15"/>
        <v>|Lｖ45|HP+3|</v>
      </c>
      <c r="B173" t="s">
        <v>3</v>
      </c>
      <c r="C173" t="s">
        <v>39</v>
      </c>
      <c r="D173">
        <v>45</v>
      </c>
      <c r="E173" t="s">
        <v>3</v>
      </c>
      <c r="F173" t="s">
        <v>7</v>
      </c>
      <c r="G173" t="str">
        <f t="shared" si="16"/>
        <v>+</v>
      </c>
      <c r="H173">
        <f>IF(F173="HP",IF($S$128="交互",IF(ISODD((D173-1)/2),$R$129,$S$129),$R$129),IF(F173="","",VLOOKUP(F173,$Q$129:$R$142,2,FALSE)))</f>
        <v>3</v>
      </c>
      <c r="I173" t="s">
        <v>3</v>
      </c>
    </row>
    <row r="174" spans="1:9" x14ac:dyDescent="0.15">
      <c r="A174" t="str">
        <f t="shared" si="15"/>
        <v>|Lｖ46|第3能力Lv3|</v>
      </c>
      <c r="B174" t="s">
        <v>3</v>
      </c>
      <c r="C174" t="s">
        <v>39</v>
      </c>
      <c r="D174">
        <v>46</v>
      </c>
      <c r="E174" t="s">
        <v>3</v>
      </c>
      <c r="F174" t="s">
        <v>42</v>
      </c>
      <c r="G174" t="str">
        <f t="shared" si="16"/>
        <v/>
      </c>
      <c r="H174">
        <v>3</v>
      </c>
      <c r="I174" t="s">
        <v>3</v>
      </c>
    </row>
    <row r="175" spans="1:9" x14ac:dyDescent="0.15">
      <c r="A175" t="str">
        <f t="shared" si="15"/>
        <v>|Lｖ47|HP+3|</v>
      </c>
      <c r="B175" t="s">
        <v>3</v>
      </c>
      <c r="C175" t="s">
        <v>39</v>
      </c>
      <c r="D175">
        <v>47</v>
      </c>
      <c r="E175" t="s">
        <v>3</v>
      </c>
      <c r="F175" t="s">
        <v>7</v>
      </c>
      <c r="G175" t="str">
        <f t="shared" si="16"/>
        <v>+</v>
      </c>
      <c r="H175">
        <f>IF(F175="HP",IF($S$128="交互",IF(ISODD((D175-1)/2),$R$129,$S$129),$R$129),IF(F175="","",VLOOKUP(F175,$Q$129:$R$142,2,FALSE)))</f>
        <v>3</v>
      </c>
      <c r="I175" t="s">
        <v>3</v>
      </c>
    </row>
    <row r="176" spans="1:9" x14ac:dyDescent="0.15">
      <c r="A176" t="str">
        <f t="shared" si="15"/>
        <v>|Lｖ48|呪文+1|</v>
      </c>
      <c r="B176" t="s">
        <v>3</v>
      </c>
      <c r="C176" t="s">
        <v>39</v>
      </c>
      <c r="D176">
        <v>48</v>
      </c>
      <c r="E176" t="s">
        <v>3</v>
      </c>
      <c r="F176" t="s">
        <v>21</v>
      </c>
      <c r="G176" t="str">
        <f t="shared" si="16"/>
        <v>+</v>
      </c>
      <c r="H176">
        <f>IF(F176="HP",IF($S$128="交互",IF(ISODD((D176-1)/2),$R$129,$S$129),$R$129),IF(F176="","",VLOOKUP(F176,$Q$129:$R$142,2,FALSE)))</f>
        <v>1</v>
      </c>
      <c r="I176" t="s">
        <v>3</v>
      </c>
    </row>
    <row r="177" spans="1:9" x14ac:dyDescent="0.15">
      <c r="A177" t="str">
        <f t="shared" si="15"/>
        <v>|Lｖ49|HP+3|</v>
      </c>
      <c r="B177" t="s">
        <v>3</v>
      </c>
      <c r="C177" t="s">
        <v>39</v>
      </c>
      <c r="D177">
        <v>49</v>
      </c>
      <c r="E177" t="s">
        <v>3</v>
      </c>
      <c r="F177" t="s">
        <v>7</v>
      </c>
      <c r="G177" t="str">
        <f t="shared" si="16"/>
        <v>+</v>
      </c>
      <c r="H177">
        <f>IF(F177="HP",IF($S$128="交互",IF(ISODD((D177-1)/2),$R$129,$S$129),$R$129),IF(F177="","",VLOOKUP(F177,$Q$129:$R$142,2,FALSE)))</f>
        <v>3</v>
      </c>
      <c r="I177" t="s">
        <v>3</v>
      </c>
    </row>
    <row r="178" spans="1:9" x14ac:dyDescent="0.15">
      <c r="A178" t="str">
        <f t="shared" si="15"/>
        <v>|Lｖ50|第1能力Lv4|</v>
      </c>
      <c r="B178" t="s">
        <v>3</v>
      </c>
      <c r="C178" t="s">
        <v>39</v>
      </c>
      <c r="D178">
        <v>50</v>
      </c>
      <c r="E178" t="s">
        <v>3</v>
      </c>
      <c r="F178" t="s">
        <v>40</v>
      </c>
      <c r="G178" t="s">
        <v>44</v>
      </c>
      <c r="H178">
        <v>4</v>
      </c>
      <c r="I178" t="s">
        <v>3</v>
      </c>
    </row>
    <row r="179" spans="1:9" x14ac:dyDescent="0.15">
      <c r="A179" t="str">
        <f t="shared" si="15"/>
        <v>|Lｖ51|HP+3|</v>
      </c>
      <c r="B179" t="s">
        <v>3</v>
      </c>
      <c r="C179" t="s">
        <v>39</v>
      </c>
      <c r="D179">
        <v>51</v>
      </c>
      <c r="E179" t="s">
        <v>3</v>
      </c>
      <c r="F179" t="s">
        <v>7</v>
      </c>
      <c r="G179" t="str">
        <f t="shared" ref="G179:G184" si="17">IF(OR(F179=$Q$138,F179=$Q$139,F179=$Q$140,F179=$Q$141,ISBLANK(F179)),"","+")</f>
        <v>+</v>
      </c>
      <c r="H179">
        <f>IF(F179="HP",IF($S$128="交互",IF(ISODD((D179-1)/2),$R$129,$S$129),$R$129),IF(F179="","",VLOOKUP(F179,$Q$129:$R$142,2,FALSE)))</f>
        <v>3</v>
      </c>
      <c r="I179" t="s">
        <v>3</v>
      </c>
    </row>
    <row r="180" spans="1:9" x14ac:dyDescent="0.15">
      <c r="A180" t="str">
        <f t="shared" si="15"/>
        <v>|Lｖ52|青+1|</v>
      </c>
      <c r="B180" t="s">
        <v>3</v>
      </c>
      <c r="C180" t="s">
        <v>39</v>
      </c>
      <c r="D180">
        <v>52</v>
      </c>
      <c r="E180" t="s">
        <v>3</v>
      </c>
      <c r="F180" t="s">
        <v>12</v>
      </c>
      <c r="G180" t="str">
        <f t="shared" si="17"/>
        <v>+</v>
      </c>
      <c r="H180">
        <f>IF(F180="HP",IF($S$128="交互",IF(ISODD((D180-1)/2),$R$129,$S$129),$R$129),IF(F180="","",VLOOKUP(F180,$Q$129:$R$142,2,FALSE)))</f>
        <v>1</v>
      </c>
      <c r="I180" t="s">
        <v>3</v>
      </c>
    </row>
    <row r="181" spans="1:9" x14ac:dyDescent="0.15">
      <c r="A181" t="str">
        <f t="shared" si="15"/>
        <v>|Lｖ53|回復速度上昇 |</v>
      </c>
      <c r="B181" t="s">
        <v>3</v>
      </c>
      <c r="C181" t="s">
        <v>39</v>
      </c>
      <c r="D181">
        <v>53</v>
      </c>
      <c r="E181" t="s">
        <v>3</v>
      </c>
      <c r="F181" t="s">
        <v>43</v>
      </c>
      <c r="G181" t="str">
        <f t="shared" si="17"/>
        <v/>
      </c>
      <c r="H181" t="str">
        <f>IF(F181="HP",IF($S$128="交互",IF(ISODD((D181-1)/2),$R$129,$S$129),$R$129),IF(F181="","",VLOOKUP(F181,$Q$129:$R$142,2,FALSE)))</f>
        <v xml:space="preserve"> </v>
      </c>
      <c r="I181" t="s">
        <v>3</v>
      </c>
    </row>
    <row r="182" spans="1:9" x14ac:dyDescent="0.15">
      <c r="A182" t="str">
        <f t="shared" si="15"/>
        <v>|Lｖ54|サポート+1|</v>
      </c>
      <c r="B182" t="s">
        <v>3</v>
      </c>
      <c r="C182" t="s">
        <v>39</v>
      </c>
      <c r="D182">
        <v>54</v>
      </c>
      <c r="E182" t="s">
        <v>3</v>
      </c>
      <c r="F182" t="s">
        <v>22</v>
      </c>
      <c r="G182" t="str">
        <f t="shared" si="17"/>
        <v>+</v>
      </c>
      <c r="H182">
        <f>IF(F182="HP",IF($S$128="交互",IF(ISODD((D182-1)/2),$R$129,$S$129),$R$129),IF(F182="","",VLOOKUP(F182,$Q$129:$R$142,2,FALSE)))</f>
        <v>1</v>
      </c>
      <c r="I182" t="s">
        <v>3</v>
      </c>
    </row>
    <row r="183" spans="1:9" x14ac:dyDescent="0.15">
      <c r="A183" t="str">
        <f t="shared" si="15"/>
        <v>|Lｖ55|HP+3|</v>
      </c>
      <c r="B183" t="s">
        <v>3</v>
      </c>
      <c r="C183" t="s">
        <v>39</v>
      </c>
      <c r="D183">
        <v>55</v>
      </c>
      <c r="E183" t="s">
        <v>3</v>
      </c>
      <c r="F183" t="s">
        <v>7</v>
      </c>
      <c r="G183" t="str">
        <f t="shared" si="17"/>
        <v>+</v>
      </c>
      <c r="H183">
        <f>IF(F183="HP",IF($S$128="交互",IF(ISODD((D183-1)/2),$R$129,$S$129),$R$129),IF(F183="","",VLOOKUP(F183,$Q$129:$R$142,2,FALSE)))</f>
        <v>3</v>
      </c>
      <c r="I183" t="s">
        <v>3</v>
      </c>
    </row>
    <row r="184" spans="1:9" x14ac:dyDescent="0.15">
      <c r="A184" t="str">
        <f t="shared" si="15"/>
        <v>|Lｖ56|第2能力Lv4|</v>
      </c>
      <c r="B184" t="s">
        <v>3</v>
      </c>
      <c r="C184" t="s">
        <v>39</v>
      </c>
      <c r="D184">
        <v>56</v>
      </c>
      <c r="E184" t="s">
        <v>3</v>
      </c>
      <c r="F184" t="s">
        <v>41</v>
      </c>
      <c r="G184" t="str">
        <f t="shared" si="17"/>
        <v/>
      </c>
      <c r="H184">
        <v>4</v>
      </c>
      <c r="I184" t="s">
        <v>3</v>
      </c>
    </row>
    <row r="185" spans="1:9" x14ac:dyDescent="0.15">
      <c r="A185" t="str">
        <f t="shared" si="15"/>
        <v>|Lｖ57|HP+3|</v>
      </c>
      <c r="B185" t="s">
        <v>3</v>
      </c>
      <c r="C185" t="s">
        <v>39</v>
      </c>
      <c r="D185">
        <v>57</v>
      </c>
      <c r="E185" t="s">
        <v>3</v>
      </c>
      <c r="F185" t="s">
        <v>7</v>
      </c>
      <c r="G185" t="str">
        <f t="shared" si="14"/>
        <v>+</v>
      </c>
      <c r="H185">
        <f>IF(F185="HP",IF($S$128="交互",IF(ISODD((D185-1)/2),$R$129,$S$129),$R$129),IF(F185="","",VLOOKUP(F185,$Q$129:$R$142,2,FALSE)))</f>
        <v>3</v>
      </c>
      <c r="I185" t="s">
        <v>3</v>
      </c>
    </row>
    <row r="186" spans="1:9" x14ac:dyDescent="0.15">
      <c r="A186" t="str">
        <f t="shared" si="15"/>
        <v>|Lｖ58|緑+1|</v>
      </c>
      <c r="B186" t="s">
        <v>3</v>
      </c>
      <c r="C186" t="s">
        <v>39</v>
      </c>
      <c r="D186">
        <v>58</v>
      </c>
      <c r="E186" t="s">
        <v>3</v>
      </c>
      <c r="F186" t="s">
        <v>15</v>
      </c>
      <c r="G186" t="str">
        <f t="shared" ref="G186" si="18">IF(OR(F186=$Q$138,F186=$Q$139,F186=$Q$140,F186=$Q$141,ISBLANK(F186)),"","+")</f>
        <v>+</v>
      </c>
      <c r="H186">
        <f t="shared" ref="H186" si="19">IF(F186="HP",IF($S$128="交互",IF(ISODD((D186-1)/2),$R$129,$S$129),$R$129),IF(F186="","",VLOOKUP(F186,$Q$129:$R$142,2,FALSE)))</f>
        <v>1</v>
      </c>
      <c r="I186" t="s">
        <v>3</v>
      </c>
    </row>
    <row r="187" spans="1:9" x14ac:dyDescent="0.15">
      <c r="A187" t="str">
        <f t="shared" si="15"/>
        <v>|Lｖ59|HP+4|</v>
      </c>
      <c r="B187" t="s">
        <v>3</v>
      </c>
      <c r="C187" t="s">
        <v>39</v>
      </c>
      <c r="D187">
        <v>59</v>
      </c>
      <c r="E187" t="s">
        <v>3</v>
      </c>
      <c r="F187" t="s">
        <v>7</v>
      </c>
      <c r="G187" t="str">
        <f t="shared" si="14"/>
        <v>+</v>
      </c>
      <c r="H187">
        <v>4</v>
      </c>
      <c r="I187" t="s">
        <v>3</v>
      </c>
    </row>
    <row r="188" spans="1:9" x14ac:dyDescent="0.15">
      <c r="A188" t="str">
        <f t="shared" si="15"/>
        <v>|Lｖ60|第3能力Lv4|</v>
      </c>
      <c r="B188" t="s">
        <v>3</v>
      </c>
      <c r="C188" t="s">
        <v>39</v>
      </c>
      <c r="D188">
        <v>60</v>
      </c>
      <c r="E188" t="s">
        <v>3</v>
      </c>
      <c r="F188" t="s">
        <v>42</v>
      </c>
      <c r="G188" t="str">
        <f t="shared" si="14"/>
        <v/>
      </c>
      <c r="H188">
        <v>4</v>
      </c>
      <c r="I188" t="s">
        <v>3</v>
      </c>
    </row>
    <row r="189" spans="1:9" x14ac:dyDescent="0.15">
      <c r="A189" t="str">
        <f t="shared" si="15"/>
        <v>必要総経験値：79920ルーン</v>
      </c>
      <c r="B189" t="s">
        <v>45</v>
      </c>
      <c r="C189">
        <v>79920</v>
      </c>
      <c r="F189" t="s">
        <v>46</v>
      </c>
    </row>
    <row r="190" spans="1:9" x14ac:dyDescent="0.15">
      <c r="A190" t="str">
        <f t="shared" si="15"/>
        <v>#endregion</v>
      </c>
      <c r="B190" t="s">
        <v>599</v>
      </c>
    </row>
    <row r="191" spans="1:9" x14ac:dyDescent="0.15">
      <c r="A191" t="str">
        <f t="shared" si="15"/>
        <v>&amp;br;</v>
      </c>
      <c r="B191" t="s">
        <v>0</v>
      </c>
    </row>
    <row r="192" spans="1:9" x14ac:dyDescent="0.15">
      <c r="A192" t="str">
        <f t="shared" si="15"/>
        <v>#back(text=戻る,left)</v>
      </c>
      <c r="B192" t="s">
        <v>47</v>
      </c>
    </row>
    <row r="193" spans="1:6" x14ac:dyDescent="0.15">
      <c r="A193" t="str">
        <f t="shared" si="15"/>
        <v>&amp;br;</v>
      </c>
      <c r="B193" t="s">
        <v>0</v>
      </c>
    </row>
    <row r="194" spans="1:6" x14ac:dyDescent="0.15">
      <c r="A194" t="str">
        <f t="shared" si="15"/>
        <v>#comment(above,nsize=[15],size=[30],num=[10])</v>
      </c>
      <c r="B194" t="s">
        <v>48</v>
      </c>
    </row>
    <row r="195" spans="1:6" x14ac:dyDescent="0.15">
      <c r="A195" t="str">
        <f t="shared" si="15"/>
        <v>[[プレインズウォーカーリスト&gt;プレインズウォーカーリスト]]</v>
      </c>
      <c r="B195" t="s">
        <v>49</v>
      </c>
    </row>
    <row r="202" spans="1:6" x14ac:dyDescent="0.15">
      <c r="B202" s="9" t="s">
        <v>655</v>
      </c>
    </row>
    <row r="203" spans="1:6" x14ac:dyDescent="0.15">
      <c r="B203" s="9" t="s">
        <v>656</v>
      </c>
      <c r="D203" s="8"/>
      <c r="E203" s="8"/>
    </row>
    <row r="204" spans="1:6" x14ac:dyDescent="0.15">
      <c r="B204" s="7">
        <v>38</v>
      </c>
    </row>
    <row r="205" spans="1:6" x14ac:dyDescent="0.15">
      <c r="B205" s="9" t="s">
        <v>657</v>
      </c>
      <c r="C205" s="9" t="s">
        <v>658</v>
      </c>
      <c r="D205" s="9" t="s">
        <v>659</v>
      </c>
    </row>
    <row r="206" spans="1:6" x14ac:dyDescent="0.15">
      <c r="B206" s="7">
        <v>6</v>
      </c>
      <c r="C206" s="7">
        <v>2</v>
      </c>
      <c r="D206" s="7">
        <v>2</v>
      </c>
    </row>
    <row r="207" spans="1:6" x14ac:dyDescent="0.15">
      <c r="B207" s="9" t="s">
        <v>660</v>
      </c>
      <c r="C207" s="9" t="s">
        <v>661</v>
      </c>
      <c r="D207" s="9" t="s">
        <v>662</v>
      </c>
      <c r="E207" s="9" t="s">
        <v>663</v>
      </c>
      <c r="F207" s="9" t="s">
        <v>664</v>
      </c>
    </row>
    <row r="208" spans="1:6" x14ac:dyDescent="0.15">
      <c r="B208" s="7">
        <v>2</v>
      </c>
      <c r="C208" s="7">
        <v>-3</v>
      </c>
      <c r="D208" s="7">
        <v>-3</v>
      </c>
      <c r="E208" s="7">
        <v>2</v>
      </c>
      <c r="F208" s="7">
        <v>0</v>
      </c>
    </row>
  </sheetData>
  <autoFilter ref="C129:I195">
    <sortState ref="C138:I184">
      <sortCondition ref="D129:D195"/>
    </sortState>
  </autoFilter>
  <phoneticPr fontId="4"/>
  <dataValidations count="3">
    <dataValidation type="list" showInputMessage="1" showErrorMessage="1" sqref="S128">
      <formula1>",交互"</formula1>
    </dataValidation>
    <dataValidation type="list" allowBlank="1" showInputMessage="1" showErrorMessage="1" sqref="F130:F188">
      <formula1>$Q$129:$Q$141</formula1>
    </dataValidation>
    <dataValidation type="list" allowBlank="1" showInputMessage="1" showErrorMessage="1" sqref="F189:F190">
      <formula1>$Q$119:$Q$131</formula1>
    </dataValidation>
  </dataValidations>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色フィルター">
                <anchor moveWithCells="1" sizeWithCells="1">
                  <from>
                    <xdr:col>5</xdr:col>
                    <xdr:colOff>209550</xdr:colOff>
                    <xdr:row>124</xdr:row>
                    <xdr:rowOff>152400</xdr:rowOff>
                  </from>
                  <to>
                    <xdr:col>6</xdr:col>
                    <xdr:colOff>85725</xdr:colOff>
                    <xdr:row>126</xdr:row>
                    <xdr:rowOff>66675</xdr:rowOff>
                  </to>
                </anchor>
              </controlPr>
            </control>
          </mc:Choice>
        </mc:AlternateContent>
        <mc:AlternateContent xmlns:mc="http://schemas.openxmlformats.org/markup-compatibility/2006">
          <mc:Choice Requires="x14">
            <control shapeId="70658" r:id="rId5" name="Button 2">
              <controlPr defaultSize="0" print="0" autoFill="0" autoPict="0" macro="[0]!種別フィルター">
                <anchor moveWithCells="1" sizeWithCells="1">
                  <from>
                    <xdr:col>7</xdr:col>
                    <xdr:colOff>104775</xdr:colOff>
                    <xdr:row>124</xdr:row>
                    <xdr:rowOff>161925</xdr:rowOff>
                  </from>
                  <to>
                    <xdr:col>7</xdr:col>
                    <xdr:colOff>666750</xdr:colOff>
                    <xdr:row>126</xdr:row>
                    <xdr:rowOff>76200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T164"/>
  <sheetViews>
    <sheetView workbookViewId="0">
      <selection activeCell="J16" sqref="J16"/>
    </sheetView>
  </sheetViews>
  <sheetFormatPr defaultColWidth="9" defaultRowHeight="13.5" x14ac:dyDescent="0.15"/>
  <cols>
    <col min="2" max="2" width="3.5" customWidth="1"/>
    <col min="3" max="3" width="7.875" customWidth="1"/>
    <col min="4" max="4" width="5.5" customWidth="1"/>
    <col min="5" max="5" width="2" customWidth="1"/>
    <col min="7" max="7" width="2" customWidth="1"/>
    <col min="8" max="8" width="6.625" customWidth="1"/>
    <col min="9" max="9" width="2" customWidth="1"/>
    <col min="10" max="10" width="6.75" customWidth="1"/>
    <col min="11" max="11" width="2" customWidth="1"/>
    <col min="12" max="12" width="5.125" customWidth="1"/>
    <col min="13" max="13" width="2" customWidth="1"/>
    <col min="14" max="14" width="6.125" customWidth="1"/>
    <col min="15" max="15" width="2" customWidth="1"/>
    <col min="16" max="16" width="5.375" customWidth="1"/>
    <col min="17" max="17" width="2.75" customWidth="1"/>
  </cols>
  <sheetData>
    <row r="1" spans="1:8" x14ac:dyDescent="0.15">
      <c r="A1" t="str">
        <f>B1&amp;C1&amp;D1&amp;E1&amp;F1&amp;G1&amp;H1&amp;I1&amp;J1&amp;K1&amp;L1&amp;M1&amp;N1&amp;O1&amp;P1</f>
        <v>特別オファーで購入するか、マナクリスタルで購入する事で入手できる。</v>
      </c>
      <c r="B1" t="s">
        <v>369</v>
      </c>
    </row>
    <row r="2" spans="1:8" x14ac:dyDescent="0.15">
      <c r="A2" t="str">
        <f>B2&amp;C2&amp;D2&amp;E2&amp;F2&amp;G2&amp;H2&amp;I2&amp;J2&amp;K2&amp;L2&amp;M2&amp;N2&amp;O2&amp;P2</f>
        <v>&amp;br;</v>
      </c>
      <c r="B2" t="s">
        <v>0</v>
      </c>
    </row>
    <row r="3" spans="1:8" x14ac:dyDescent="0.15">
      <c r="A3" t="str">
        <f>B3&amp;C3&amp;D3&amp;E3&amp;F3&amp;G3&amp;H3&amp;I3&amp;J3&amp;K3&amp;L3&amp;M3&amp;N3&amp;O3&amp;P3</f>
        <v>#contents()</v>
      </c>
      <c r="B3" t="s">
        <v>1</v>
      </c>
    </row>
    <row r="4" spans="1:8" x14ac:dyDescent="0.15">
      <c r="A4" t="str">
        <f>B4&amp;C4&amp;D4&amp;E4&amp;F4&amp;G4&amp;H4&amp;I4&amp;J4&amp;K4&amp;L4&amp;M4&amp;N4&amp;O4&amp;P4</f>
        <v>*HP [#f569d8c6]</v>
      </c>
      <c r="B4" t="s">
        <v>2</v>
      </c>
    </row>
    <row r="5" spans="1:8" x14ac:dyDescent="0.15">
      <c r="A5" t="str">
        <f>B5&amp;C5&amp;D5&amp;E5&amp;F5&amp;G5&amp;H5</f>
        <v>|LEFT:50|LEFT:50|c</v>
      </c>
      <c r="B5" t="s">
        <v>3</v>
      </c>
      <c r="C5" t="s">
        <v>4</v>
      </c>
      <c r="E5" t="s">
        <v>3</v>
      </c>
      <c r="F5" t="s">
        <v>4</v>
      </c>
      <c r="G5" t="s">
        <v>3</v>
      </c>
      <c r="H5" t="s">
        <v>5</v>
      </c>
    </row>
    <row r="6" spans="1:8" x14ac:dyDescent="0.15">
      <c r="A6" t="str">
        <f t="shared" ref="A6:A36" si="0">B6&amp;C6&amp;D6&amp;E6&amp;F6&amp;G6&amp;H6</f>
        <v>|レベル|HP|</v>
      </c>
      <c r="B6" t="s">
        <v>3</v>
      </c>
      <c r="C6" t="s">
        <v>6</v>
      </c>
      <c r="E6" t="s">
        <v>3</v>
      </c>
      <c r="F6" t="s">
        <v>7</v>
      </c>
      <c r="G6" t="s">
        <v>3</v>
      </c>
    </row>
    <row r="7" spans="1:8" x14ac:dyDescent="0.15">
      <c r="A7" t="str">
        <f t="shared" si="0"/>
        <v>|Lv1|32|</v>
      </c>
      <c r="B7" t="s">
        <v>3</v>
      </c>
      <c r="C7" t="s">
        <v>8</v>
      </c>
      <c r="D7">
        <v>1</v>
      </c>
      <c r="E7" t="s">
        <v>3</v>
      </c>
      <c r="F7">
        <v>32</v>
      </c>
      <c r="G7" t="s">
        <v>3</v>
      </c>
    </row>
    <row r="8" spans="1:8" x14ac:dyDescent="0.15">
      <c r="A8" t="str">
        <f t="shared" si="0"/>
        <v>|Lv3|34|</v>
      </c>
      <c r="B8" t="s">
        <v>3</v>
      </c>
      <c r="C8" t="s">
        <v>8</v>
      </c>
      <c r="D8">
        <v>3</v>
      </c>
      <c r="E8" t="s">
        <v>3</v>
      </c>
      <c r="F8">
        <f t="shared" ref="F8:F36" si="1">IF(ISBLANK(D8),"",F7+INDEX($H$99:$H$158,D8))</f>
        <v>34</v>
      </c>
      <c r="G8" t="s">
        <v>3</v>
      </c>
    </row>
    <row r="9" spans="1:8" x14ac:dyDescent="0.15">
      <c r="A9" t="str">
        <f t="shared" si="0"/>
        <v>|Lv5|36|</v>
      </c>
      <c r="B9" t="s">
        <v>3</v>
      </c>
      <c r="C9" t="s">
        <v>8</v>
      </c>
      <c r="D9">
        <v>5</v>
      </c>
      <c r="E9" t="s">
        <v>3</v>
      </c>
      <c r="F9">
        <f t="shared" si="1"/>
        <v>36</v>
      </c>
      <c r="G9" t="s">
        <v>3</v>
      </c>
    </row>
    <row r="10" spans="1:8" x14ac:dyDescent="0.15">
      <c r="A10" t="str">
        <f t="shared" si="0"/>
        <v>|Lv7|38|</v>
      </c>
      <c r="B10" t="s">
        <v>3</v>
      </c>
      <c r="C10" t="s">
        <v>8</v>
      </c>
      <c r="D10">
        <v>7</v>
      </c>
      <c r="E10" t="s">
        <v>3</v>
      </c>
      <c r="F10">
        <f t="shared" si="1"/>
        <v>38</v>
      </c>
      <c r="G10" t="s">
        <v>3</v>
      </c>
    </row>
    <row r="11" spans="1:8" x14ac:dyDescent="0.15">
      <c r="A11" t="str">
        <f t="shared" si="0"/>
        <v>|Lv9|40|</v>
      </c>
      <c r="B11" t="s">
        <v>3</v>
      </c>
      <c r="C11" t="s">
        <v>8</v>
      </c>
      <c r="D11">
        <v>9</v>
      </c>
      <c r="E11" t="s">
        <v>3</v>
      </c>
      <c r="F11">
        <f t="shared" si="1"/>
        <v>40</v>
      </c>
      <c r="G11" t="s">
        <v>3</v>
      </c>
    </row>
    <row r="12" spans="1:8" x14ac:dyDescent="0.15">
      <c r="A12" t="str">
        <f t="shared" si="0"/>
        <v>|Lv11|42|</v>
      </c>
      <c r="B12" t="s">
        <v>3</v>
      </c>
      <c r="C12" t="s">
        <v>8</v>
      </c>
      <c r="D12">
        <v>11</v>
      </c>
      <c r="E12" t="s">
        <v>3</v>
      </c>
      <c r="F12">
        <f t="shared" si="1"/>
        <v>42</v>
      </c>
      <c r="G12" t="s">
        <v>3</v>
      </c>
    </row>
    <row r="13" spans="1:8" x14ac:dyDescent="0.15">
      <c r="A13" t="str">
        <f t="shared" si="0"/>
        <v>|Lv13|44|</v>
      </c>
      <c r="B13" t="s">
        <v>3</v>
      </c>
      <c r="C13" t="s">
        <v>8</v>
      </c>
      <c r="D13">
        <v>13</v>
      </c>
      <c r="E13" t="s">
        <v>3</v>
      </c>
      <c r="F13">
        <f t="shared" si="1"/>
        <v>44</v>
      </c>
      <c r="G13" t="s">
        <v>3</v>
      </c>
    </row>
    <row r="14" spans="1:8" x14ac:dyDescent="0.15">
      <c r="A14" t="str">
        <f t="shared" si="0"/>
        <v>|Lv15|46|</v>
      </c>
      <c r="B14" t="s">
        <v>3</v>
      </c>
      <c r="C14" t="s">
        <v>8</v>
      </c>
      <c r="D14">
        <v>15</v>
      </c>
      <c r="E14" t="s">
        <v>3</v>
      </c>
      <c r="F14">
        <f t="shared" si="1"/>
        <v>46</v>
      </c>
      <c r="G14" t="s">
        <v>3</v>
      </c>
    </row>
    <row r="15" spans="1:8" x14ac:dyDescent="0.15">
      <c r="A15" t="str">
        <f t="shared" si="0"/>
        <v>|Lv17|48|</v>
      </c>
      <c r="B15" t="s">
        <v>3</v>
      </c>
      <c r="C15" t="s">
        <v>8</v>
      </c>
      <c r="D15">
        <v>17</v>
      </c>
      <c r="E15" t="s">
        <v>3</v>
      </c>
      <c r="F15">
        <f t="shared" si="1"/>
        <v>48</v>
      </c>
      <c r="G15" t="s">
        <v>3</v>
      </c>
    </row>
    <row r="16" spans="1:8" x14ac:dyDescent="0.15">
      <c r="A16" t="str">
        <f t="shared" si="0"/>
        <v>|Lv19|50|</v>
      </c>
      <c r="B16" t="s">
        <v>3</v>
      </c>
      <c r="C16" t="s">
        <v>8</v>
      </c>
      <c r="D16">
        <v>19</v>
      </c>
      <c r="E16" t="s">
        <v>3</v>
      </c>
      <c r="F16">
        <f t="shared" si="1"/>
        <v>50</v>
      </c>
      <c r="G16" t="s">
        <v>3</v>
      </c>
    </row>
    <row r="17" spans="1:7" x14ac:dyDescent="0.15">
      <c r="A17" t="str">
        <f t="shared" si="0"/>
        <v>|Lv21|52|</v>
      </c>
      <c r="B17" t="s">
        <v>3</v>
      </c>
      <c r="C17" t="s">
        <v>8</v>
      </c>
      <c r="D17">
        <v>21</v>
      </c>
      <c r="E17" t="s">
        <v>3</v>
      </c>
      <c r="F17">
        <f t="shared" si="1"/>
        <v>52</v>
      </c>
      <c r="G17" t="s">
        <v>3</v>
      </c>
    </row>
    <row r="18" spans="1:7" x14ac:dyDescent="0.15">
      <c r="A18" t="str">
        <f t="shared" si="0"/>
        <v>|Lv23|54|</v>
      </c>
      <c r="B18" t="s">
        <v>3</v>
      </c>
      <c r="C18" t="s">
        <v>8</v>
      </c>
      <c r="D18">
        <v>23</v>
      </c>
      <c r="E18" t="s">
        <v>3</v>
      </c>
      <c r="F18">
        <f t="shared" si="1"/>
        <v>54</v>
      </c>
      <c r="G18" t="s">
        <v>3</v>
      </c>
    </row>
    <row r="19" spans="1:7" x14ac:dyDescent="0.15">
      <c r="A19" t="str">
        <f t="shared" si="0"/>
        <v>|Lv25|56|</v>
      </c>
      <c r="B19" t="s">
        <v>3</v>
      </c>
      <c r="C19" t="s">
        <v>8</v>
      </c>
      <c r="D19">
        <v>25</v>
      </c>
      <c r="E19" t="s">
        <v>3</v>
      </c>
      <c r="F19">
        <f t="shared" si="1"/>
        <v>56</v>
      </c>
      <c r="G19" t="s">
        <v>3</v>
      </c>
    </row>
    <row r="20" spans="1:7" x14ac:dyDescent="0.15">
      <c r="A20" t="str">
        <f t="shared" si="0"/>
        <v>|Lv27|58|</v>
      </c>
      <c r="B20" t="s">
        <v>3</v>
      </c>
      <c r="C20" t="s">
        <v>8</v>
      </c>
      <c r="D20">
        <v>27</v>
      </c>
      <c r="E20" t="s">
        <v>3</v>
      </c>
      <c r="F20">
        <f t="shared" si="1"/>
        <v>58</v>
      </c>
      <c r="G20" t="s">
        <v>3</v>
      </c>
    </row>
    <row r="21" spans="1:7" x14ac:dyDescent="0.15">
      <c r="A21" t="str">
        <f t="shared" si="0"/>
        <v>|Lv29|60|</v>
      </c>
      <c r="B21" t="s">
        <v>3</v>
      </c>
      <c r="C21" t="s">
        <v>8</v>
      </c>
      <c r="D21">
        <v>29</v>
      </c>
      <c r="E21" t="s">
        <v>3</v>
      </c>
      <c r="F21">
        <f t="shared" si="1"/>
        <v>60</v>
      </c>
      <c r="G21" t="s">
        <v>3</v>
      </c>
    </row>
    <row r="22" spans="1:7" x14ac:dyDescent="0.15">
      <c r="A22" t="str">
        <f t="shared" si="0"/>
        <v>|Lv31|63|</v>
      </c>
      <c r="B22" t="s">
        <v>3</v>
      </c>
      <c r="C22" t="s">
        <v>8</v>
      </c>
      <c r="D22">
        <v>31</v>
      </c>
      <c r="E22" t="s">
        <v>3</v>
      </c>
      <c r="F22">
        <f t="shared" si="1"/>
        <v>63</v>
      </c>
      <c r="G22" t="s">
        <v>3</v>
      </c>
    </row>
    <row r="23" spans="1:7" x14ac:dyDescent="0.15">
      <c r="A23" t="str">
        <f t="shared" si="0"/>
        <v>|Lv33|66|</v>
      </c>
      <c r="B23" t="s">
        <v>3</v>
      </c>
      <c r="C23" t="s">
        <v>8</v>
      </c>
      <c r="D23">
        <v>33</v>
      </c>
      <c r="E23" t="s">
        <v>3</v>
      </c>
      <c r="F23">
        <f t="shared" si="1"/>
        <v>66</v>
      </c>
      <c r="G23" t="s">
        <v>3</v>
      </c>
    </row>
    <row r="24" spans="1:7" x14ac:dyDescent="0.15">
      <c r="A24" t="str">
        <f t="shared" si="0"/>
        <v>|Lv35|69|</v>
      </c>
      <c r="B24" t="s">
        <v>3</v>
      </c>
      <c r="C24" t="s">
        <v>8</v>
      </c>
      <c r="D24">
        <v>35</v>
      </c>
      <c r="E24" t="s">
        <v>3</v>
      </c>
      <c r="F24">
        <f t="shared" si="1"/>
        <v>69</v>
      </c>
      <c r="G24" t="s">
        <v>3</v>
      </c>
    </row>
    <row r="25" spans="1:7" x14ac:dyDescent="0.15">
      <c r="A25" t="str">
        <f t="shared" si="0"/>
        <v>|Lv37|72|</v>
      </c>
      <c r="B25" t="s">
        <v>3</v>
      </c>
      <c r="C25" t="s">
        <v>8</v>
      </c>
      <c r="D25">
        <v>37</v>
      </c>
      <c r="E25" t="s">
        <v>3</v>
      </c>
      <c r="F25">
        <f t="shared" si="1"/>
        <v>72</v>
      </c>
      <c r="G25" t="s">
        <v>3</v>
      </c>
    </row>
    <row r="26" spans="1:7" x14ac:dyDescent="0.15">
      <c r="A26" t="str">
        <f t="shared" si="0"/>
        <v>|Lv39|75|</v>
      </c>
      <c r="B26" t="s">
        <v>3</v>
      </c>
      <c r="C26" t="s">
        <v>8</v>
      </c>
      <c r="D26">
        <v>39</v>
      </c>
      <c r="E26" t="s">
        <v>3</v>
      </c>
      <c r="F26">
        <f t="shared" si="1"/>
        <v>75</v>
      </c>
      <c r="G26" t="s">
        <v>3</v>
      </c>
    </row>
    <row r="27" spans="1:7" x14ac:dyDescent="0.15">
      <c r="A27" t="str">
        <f t="shared" si="0"/>
        <v>|Lv41|78|</v>
      </c>
      <c r="B27" t="s">
        <v>3</v>
      </c>
      <c r="C27" t="s">
        <v>8</v>
      </c>
      <c r="D27">
        <v>41</v>
      </c>
      <c r="E27" t="s">
        <v>3</v>
      </c>
      <c r="F27">
        <f t="shared" si="1"/>
        <v>78</v>
      </c>
      <c r="G27" t="s">
        <v>3</v>
      </c>
    </row>
    <row r="28" spans="1:7" x14ac:dyDescent="0.15">
      <c r="A28" t="str">
        <f t="shared" si="0"/>
        <v>|Lv43|81|</v>
      </c>
      <c r="B28" t="s">
        <v>3</v>
      </c>
      <c r="C28" t="s">
        <v>8</v>
      </c>
      <c r="D28">
        <v>43</v>
      </c>
      <c r="E28" t="s">
        <v>3</v>
      </c>
      <c r="F28">
        <f t="shared" si="1"/>
        <v>81</v>
      </c>
      <c r="G28" t="s">
        <v>3</v>
      </c>
    </row>
    <row r="29" spans="1:7" x14ac:dyDescent="0.15">
      <c r="A29" t="str">
        <f t="shared" si="0"/>
        <v>|Lv45|84|</v>
      </c>
      <c r="B29" t="s">
        <v>3</v>
      </c>
      <c r="C29" t="s">
        <v>8</v>
      </c>
      <c r="D29">
        <v>45</v>
      </c>
      <c r="E29" t="s">
        <v>3</v>
      </c>
      <c r="F29">
        <f t="shared" si="1"/>
        <v>84</v>
      </c>
      <c r="G29" t="s">
        <v>3</v>
      </c>
    </row>
    <row r="30" spans="1:7" x14ac:dyDescent="0.15">
      <c r="A30" t="str">
        <f t="shared" si="0"/>
        <v>|Lv47|87|</v>
      </c>
      <c r="B30" t="s">
        <v>3</v>
      </c>
      <c r="C30" t="s">
        <v>8</v>
      </c>
      <c r="D30">
        <v>47</v>
      </c>
      <c r="E30" t="s">
        <v>3</v>
      </c>
      <c r="F30">
        <f t="shared" si="1"/>
        <v>87</v>
      </c>
      <c r="G30" t="s">
        <v>3</v>
      </c>
    </row>
    <row r="31" spans="1:7" x14ac:dyDescent="0.15">
      <c r="A31" t="str">
        <f t="shared" si="0"/>
        <v>|Lv49|90|</v>
      </c>
      <c r="B31" t="s">
        <v>3</v>
      </c>
      <c r="C31" t="s">
        <v>8</v>
      </c>
      <c r="D31">
        <v>49</v>
      </c>
      <c r="E31" t="s">
        <v>3</v>
      </c>
      <c r="F31">
        <f t="shared" si="1"/>
        <v>90</v>
      </c>
      <c r="G31" t="s">
        <v>3</v>
      </c>
    </row>
    <row r="32" spans="1:7" x14ac:dyDescent="0.15">
      <c r="A32" t="str">
        <f t="shared" si="0"/>
        <v>|Lv51|93|</v>
      </c>
      <c r="B32" t="s">
        <v>3</v>
      </c>
      <c r="C32" t="s">
        <v>8</v>
      </c>
      <c r="D32">
        <v>51</v>
      </c>
      <c r="E32" t="s">
        <v>3</v>
      </c>
      <c r="F32">
        <f t="shared" si="1"/>
        <v>93</v>
      </c>
      <c r="G32" t="s">
        <v>3</v>
      </c>
    </row>
    <row r="33" spans="1:19" x14ac:dyDescent="0.15">
      <c r="A33" t="str">
        <f t="shared" si="0"/>
        <v>|Lv53|96|</v>
      </c>
      <c r="B33" t="s">
        <v>3</v>
      </c>
      <c r="C33" t="s">
        <v>8</v>
      </c>
      <c r="D33">
        <v>53</v>
      </c>
      <c r="E33" t="s">
        <v>3</v>
      </c>
      <c r="F33">
        <f t="shared" si="1"/>
        <v>96</v>
      </c>
      <c r="G33" t="s">
        <v>3</v>
      </c>
    </row>
    <row r="34" spans="1:19" x14ac:dyDescent="0.15">
      <c r="A34" t="str">
        <f t="shared" si="0"/>
        <v>|Lv55|99|</v>
      </c>
      <c r="B34" t="s">
        <v>3</v>
      </c>
      <c r="C34" t="s">
        <v>8</v>
      </c>
      <c r="D34">
        <v>55</v>
      </c>
      <c r="E34" t="s">
        <v>3</v>
      </c>
      <c r="F34">
        <f t="shared" si="1"/>
        <v>99</v>
      </c>
      <c r="G34" t="s">
        <v>3</v>
      </c>
    </row>
    <row r="35" spans="1:19" x14ac:dyDescent="0.15">
      <c r="A35" t="str">
        <f t="shared" si="0"/>
        <v>|Lv57|102|</v>
      </c>
      <c r="B35" t="s">
        <v>3</v>
      </c>
      <c r="C35" t="s">
        <v>8</v>
      </c>
      <c r="D35">
        <v>57</v>
      </c>
      <c r="E35" t="s">
        <v>3</v>
      </c>
      <c r="F35">
        <f t="shared" si="1"/>
        <v>102</v>
      </c>
      <c r="G35" t="s">
        <v>3</v>
      </c>
    </row>
    <row r="36" spans="1:19" x14ac:dyDescent="0.15">
      <c r="A36" t="str">
        <f t="shared" si="0"/>
        <v>|Lv59|105|</v>
      </c>
      <c r="B36" t="s">
        <v>3</v>
      </c>
      <c r="C36" t="s">
        <v>8</v>
      </c>
      <c r="D36">
        <v>59</v>
      </c>
      <c r="E36" t="s">
        <v>3</v>
      </c>
      <c r="F36">
        <f t="shared" si="1"/>
        <v>105</v>
      </c>
      <c r="G36" t="s">
        <v>3</v>
      </c>
    </row>
    <row r="37" spans="1:19" x14ac:dyDescent="0.15">
      <c r="A37" t="str">
        <f>B37&amp;C37&amp;D37&amp;E37&amp;F37&amp;G37&amp;H37&amp;I37&amp;J37&amp;K37&amp;L37&amp;M37&amp;N37&amp;O37&amp;P37</f>
        <v>&amp;br;</v>
      </c>
      <c r="B37" t="s">
        <v>0</v>
      </c>
    </row>
    <row r="38" spans="1:19" x14ac:dyDescent="0.15">
      <c r="A38" t="str">
        <f>B38&amp;C38&amp;D38&amp;E38&amp;F38&amp;G38&amp;H38&amp;I38&amp;J38&amp;K38&amp;L38&amp;M38&amp;N38&amp;O38&amp;P38</f>
        <v>&amp;br;</v>
      </c>
      <c r="B38" t="s">
        <v>0</v>
      </c>
    </row>
    <row r="39" spans="1:19" x14ac:dyDescent="0.15">
      <c r="A39" t="str">
        <f>B39&amp;C39&amp;D39&amp;E39&amp;F39&amp;G39&amp;H39&amp;I39&amp;J39&amp;K39&amp;L39&amp;M39&amp;N39&amp;O39&amp;P39</f>
        <v>*マナボーナス [#q1a26f54]</v>
      </c>
      <c r="B39" t="s">
        <v>9</v>
      </c>
    </row>
    <row r="40" spans="1:19" x14ac:dyDescent="0.15">
      <c r="A40" t="str">
        <f t="shared" ref="A40:A49" si="2">B40&amp;C40&amp;D40&amp;G40&amp;H40&amp;I40&amp;J40&amp;K40&amp;L40&amp;M40&amp;N40&amp;O40&amp;P40&amp;Q40&amp;R40</f>
        <v>|LEFT:50|LEFT:50|LEFT:50|LEFT:50|LEFT:50|LEFT:50|c</v>
      </c>
      <c r="B40" t="s">
        <v>3</v>
      </c>
      <c r="C40" t="s">
        <v>4</v>
      </c>
      <c r="E40" t="s">
        <v>3</v>
      </c>
      <c r="G40" t="s">
        <v>3</v>
      </c>
      <c r="H40" t="s">
        <v>4</v>
      </c>
      <c r="I40" t="s">
        <v>3</v>
      </c>
      <c r="J40" t="s">
        <v>4</v>
      </c>
      <c r="K40" t="s">
        <v>3</v>
      </c>
      <c r="L40" t="s">
        <v>4</v>
      </c>
      <c r="M40" t="s">
        <v>3</v>
      </c>
      <c r="N40" t="s">
        <v>4</v>
      </c>
      <c r="O40" t="s">
        <v>3</v>
      </c>
      <c r="P40" t="s">
        <v>4</v>
      </c>
      <c r="Q40" t="s">
        <v>3</v>
      </c>
      <c r="R40" t="s">
        <v>5</v>
      </c>
    </row>
    <row r="41" spans="1:19" x14ac:dyDescent="0.15">
      <c r="A41" t="str">
        <f t="shared" si="2"/>
        <v>|レベル|白|青|黒|赤|緑|</v>
      </c>
      <c r="B41" t="s">
        <v>3</v>
      </c>
      <c r="C41" t="s">
        <v>6</v>
      </c>
      <c r="E41" t="s">
        <v>3</v>
      </c>
      <c r="F41" t="s">
        <v>10</v>
      </c>
      <c r="G41" t="s">
        <v>3</v>
      </c>
      <c r="H41" t="s">
        <v>11</v>
      </c>
      <c r="I41" t="s">
        <v>3</v>
      </c>
      <c r="J41" t="s">
        <v>12</v>
      </c>
      <c r="K41" t="s">
        <v>3</v>
      </c>
      <c r="L41" t="s">
        <v>13</v>
      </c>
      <c r="M41" t="s">
        <v>3</v>
      </c>
      <c r="N41" t="s">
        <v>14</v>
      </c>
      <c r="O41" t="s">
        <v>3</v>
      </c>
      <c r="P41" t="s">
        <v>15</v>
      </c>
      <c r="Q41" t="s">
        <v>3</v>
      </c>
      <c r="S41" t="s">
        <v>11</v>
      </c>
    </row>
    <row r="42" spans="1:19" x14ac:dyDescent="0.15">
      <c r="A42" t="str">
        <f t="shared" si="2"/>
        <v>|Lv1|-1|1|-1|-1|1|</v>
      </c>
      <c r="B42" t="s">
        <v>3</v>
      </c>
      <c r="C42" t="s">
        <v>8</v>
      </c>
      <c r="D42">
        <v>1</v>
      </c>
      <c r="E42" t="s">
        <v>3</v>
      </c>
      <c r="G42" t="s">
        <v>3</v>
      </c>
      <c r="H42">
        <v>-1</v>
      </c>
      <c r="I42" t="s">
        <v>3</v>
      </c>
      <c r="J42">
        <v>1</v>
      </c>
      <c r="K42" t="s">
        <v>3</v>
      </c>
      <c r="L42">
        <v>-1</v>
      </c>
      <c r="M42" t="s">
        <v>3</v>
      </c>
      <c r="N42">
        <v>-1</v>
      </c>
      <c r="O42" t="s">
        <v>3</v>
      </c>
      <c r="P42">
        <v>1</v>
      </c>
      <c r="Q42" t="s">
        <v>3</v>
      </c>
      <c r="S42" t="s">
        <v>12</v>
      </c>
    </row>
    <row r="43" spans="1:19" x14ac:dyDescent="0.15">
      <c r="A43" t="str">
        <f t="shared" si="2"/>
        <v>|Lv2|-1|2|-1|-1|1|</v>
      </c>
      <c r="B43" t="s">
        <v>3</v>
      </c>
      <c r="C43" t="s">
        <v>8</v>
      </c>
      <c r="D43">
        <v>2</v>
      </c>
      <c r="E43" t="s">
        <v>3</v>
      </c>
      <c r="F43" t="str">
        <f t="shared" ref="F43:F49" si="3">IF(ISBLANK(D43),"",INDEX($F$99:$F$158,D43))</f>
        <v>青</v>
      </c>
      <c r="G43" t="s">
        <v>3</v>
      </c>
      <c r="H43">
        <f>H42+IF(H$41=$F43,1,0)</f>
        <v>-1</v>
      </c>
      <c r="I43" t="str">
        <f t="shared" ref="I43:Q49" si="4">I42</f>
        <v>|</v>
      </c>
      <c r="J43">
        <f>J42+IF(J$41=$F43,1,0)</f>
        <v>2</v>
      </c>
      <c r="K43" t="str">
        <f t="shared" si="4"/>
        <v>|</v>
      </c>
      <c r="L43">
        <f>L42+IF(L$41=$F43,1,0)</f>
        <v>-1</v>
      </c>
      <c r="M43" t="str">
        <f t="shared" si="4"/>
        <v>|</v>
      </c>
      <c r="N43">
        <f>N42+IF(N$41=$F43,1,0)</f>
        <v>-1</v>
      </c>
      <c r="O43" t="str">
        <f t="shared" si="4"/>
        <v>|</v>
      </c>
      <c r="P43">
        <f>P42+IF(P$41=$F43,1,0)</f>
        <v>1</v>
      </c>
      <c r="Q43" t="str">
        <f t="shared" si="4"/>
        <v>|</v>
      </c>
      <c r="S43" t="s">
        <v>13</v>
      </c>
    </row>
    <row r="44" spans="1:19" x14ac:dyDescent="0.15">
      <c r="A44" t="str">
        <f t="shared" si="2"/>
        <v>|Lv10|-1|2|-1|-1|2|</v>
      </c>
      <c r="B44" t="s">
        <v>3</v>
      </c>
      <c r="C44" t="s">
        <v>8</v>
      </c>
      <c r="D44">
        <v>10</v>
      </c>
      <c r="E44" t="s">
        <v>3</v>
      </c>
      <c r="F44" t="str">
        <f t="shared" si="3"/>
        <v>緑</v>
      </c>
      <c r="G44" t="s">
        <v>3</v>
      </c>
      <c r="H44">
        <f t="shared" ref="H44:P49" si="5">H43+IF(H$41=$F44,1,0)</f>
        <v>-1</v>
      </c>
      <c r="I44" t="str">
        <f t="shared" si="4"/>
        <v>|</v>
      </c>
      <c r="J44">
        <f t="shared" si="5"/>
        <v>2</v>
      </c>
      <c r="K44" t="str">
        <f t="shared" si="4"/>
        <v>|</v>
      </c>
      <c r="L44">
        <f t="shared" si="5"/>
        <v>-1</v>
      </c>
      <c r="M44" t="str">
        <f t="shared" si="4"/>
        <v>|</v>
      </c>
      <c r="N44">
        <f>N43+IF(N$41=$F44,1,0)</f>
        <v>-1</v>
      </c>
      <c r="O44" t="str">
        <f t="shared" si="4"/>
        <v>|</v>
      </c>
      <c r="P44">
        <f t="shared" si="5"/>
        <v>2</v>
      </c>
      <c r="Q44" t="str">
        <f t="shared" si="4"/>
        <v>|</v>
      </c>
      <c r="S44" t="s">
        <v>14</v>
      </c>
    </row>
    <row r="45" spans="1:19" x14ac:dyDescent="0.15">
      <c r="A45" t="str">
        <f t="shared" si="2"/>
        <v>|Lv20|-1|2|0|-1|2|</v>
      </c>
      <c r="B45" t="s">
        <v>3</v>
      </c>
      <c r="C45" t="s">
        <v>8</v>
      </c>
      <c r="D45">
        <v>20</v>
      </c>
      <c r="E45" t="s">
        <v>3</v>
      </c>
      <c r="F45" t="str">
        <f t="shared" si="3"/>
        <v>黒</v>
      </c>
      <c r="G45" t="s">
        <v>3</v>
      </c>
      <c r="H45">
        <f t="shared" si="5"/>
        <v>-1</v>
      </c>
      <c r="I45" t="str">
        <f t="shared" si="4"/>
        <v>|</v>
      </c>
      <c r="J45">
        <f t="shared" si="5"/>
        <v>2</v>
      </c>
      <c r="K45" t="str">
        <f t="shared" si="4"/>
        <v>|</v>
      </c>
      <c r="L45">
        <f t="shared" si="5"/>
        <v>0</v>
      </c>
      <c r="M45" t="str">
        <f t="shared" si="4"/>
        <v>|</v>
      </c>
      <c r="N45">
        <f t="shared" si="5"/>
        <v>-1</v>
      </c>
      <c r="O45" t="str">
        <f t="shared" si="4"/>
        <v>|</v>
      </c>
      <c r="P45">
        <f t="shared" si="5"/>
        <v>2</v>
      </c>
      <c r="Q45" t="str">
        <f t="shared" si="4"/>
        <v>|</v>
      </c>
      <c r="S45" t="s">
        <v>15</v>
      </c>
    </row>
    <row r="46" spans="1:19" x14ac:dyDescent="0.15">
      <c r="A46" t="str">
        <f t="shared" si="2"/>
        <v>|Lv28|0|2|0|-1|2|</v>
      </c>
      <c r="B46" t="s">
        <v>3</v>
      </c>
      <c r="C46" t="s">
        <v>8</v>
      </c>
      <c r="D46">
        <v>28</v>
      </c>
      <c r="E46" t="s">
        <v>3</v>
      </c>
      <c r="F46" t="str">
        <f t="shared" si="3"/>
        <v>白</v>
      </c>
      <c r="G46" t="s">
        <v>3</v>
      </c>
      <c r="H46">
        <f t="shared" si="5"/>
        <v>0</v>
      </c>
      <c r="I46" t="str">
        <f t="shared" si="4"/>
        <v>|</v>
      </c>
      <c r="J46">
        <f t="shared" si="5"/>
        <v>2</v>
      </c>
      <c r="K46" t="str">
        <f t="shared" si="4"/>
        <v>|</v>
      </c>
      <c r="L46">
        <f t="shared" si="5"/>
        <v>0</v>
      </c>
      <c r="M46" t="str">
        <f t="shared" si="4"/>
        <v>|</v>
      </c>
      <c r="N46">
        <f t="shared" si="5"/>
        <v>-1</v>
      </c>
      <c r="O46" t="str">
        <f t="shared" si="4"/>
        <v>|</v>
      </c>
      <c r="P46">
        <f>P45+IF(P$41=$F46,1,0)</f>
        <v>2</v>
      </c>
      <c r="Q46" t="str">
        <f t="shared" si="4"/>
        <v>|</v>
      </c>
    </row>
    <row r="47" spans="1:19" x14ac:dyDescent="0.15">
      <c r="A47" t="str">
        <f t="shared" si="2"/>
        <v>|Lv38|0|2|0|0|2|</v>
      </c>
      <c r="B47" t="s">
        <v>3</v>
      </c>
      <c r="C47" t="s">
        <v>8</v>
      </c>
      <c r="D47">
        <v>38</v>
      </c>
      <c r="E47" t="s">
        <v>3</v>
      </c>
      <c r="F47" t="str">
        <f t="shared" si="3"/>
        <v>赤</v>
      </c>
      <c r="G47" t="s">
        <v>3</v>
      </c>
      <c r="H47">
        <f t="shared" si="5"/>
        <v>0</v>
      </c>
      <c r="I47" t="str">
        <f t="shared" si="4"/>
        <v>|</v>
      </c>
      <c r="J47">
        <f t="shared" si="5"/>
        <v>2</v>
      </c>
      <c r="K47" t="str">
        <f t="shared" si="4"/>
        <v>|</v>
      </c>
      <c r="L47">
        <f t="shared" si="5"/>
        <v>0</v>
      </c>
      <c r="M47" t="str">
        <f t="shared" si="4"/>
        <v>|</v>
      </c>
      <c r="N47">
        <f t="shared" si="5"/>
        <v>0</v>
      </c>
      <c r="O47" t="str">
        <f t="shared" si="4"/>
        <v>|</v>
      </c>
      <c r="P47">
        <f t="shared" si="5"/>
        <v>2</v>
      </c>
      <c r="Q47" t="str">
        <f t="shared" si="4"/>
        <v>|</v>
      </c>
    </row>
    <row r="48" spans="1:19" x14ac:dyDescent="0.15">
      <c r="A48" t="str">
        <f t="shared" si="2"/>
        <v>|Lv48|0|2|0|0|3|</v>
      </c>
      <c r="B48" t="s">
        <v>3</v>
      </c>
      <c r="C48" t="s">
        <v>8</v>
      </c>
      <c r="D48">
        <v>48</v>
      </c>
      <c r="E48" t="s">
        <v>3</v>
      </c>
      <c r="F48" t="str">
        <f t="shared" si="3"/>
        <v>緑</v>
      </c>
      <c r="G48" t="s">
        <v>3</v>
      </c>
      <c r="H48">
        <f t="shared" si="5"/>
        <v>0</v>
      </c>
      <c r="I48" t="str">
        <f t="shared" si="4"/>
        <v>|</v>
      </c>
      <c r="J48">
        <f t="shared" si="5"/>
        <v>2</v>
      </c>
      <c r="K48" t="str">
        <f t="shared" si="4"/>
        <v>|</v>
      </c>
      <c r="L48">
        <f t="shared" si="5"/>
        <v>0</v>
      </c>
      <c r="M48" t="str">
        <f t="shared" si="4"/>
        <v>|</v>
      </c>
      <c r="N48">
        <f t="shared" si="5"/>
        <v>0</v>
      </c>
      <c r="O48" t="str">
        <f t="shared" si="4"/>
        <v>|</v>
      </c>
      <c r="P48">
        <f t="shared" si="5"/>
        <v>3</v>
      </c>
      <c r="Q48" t="str">
        <f t="shared" si="4"/>
        <v>|</v>
      </c>
    </row>
    <row r="49" spans="1:19" x14ac:dyDescent="0.15">
      <c r="A49" t="str">
        <f t="shared" si="2"/>
        <v>|Lv54|0|3|0|0|3|</v>
      </c>
      <c r="B49" t="s">
        <v>3</v>
      </c>
      <c r="C49" t="s">
        <v>8</v>
      </c>
      <c r="D49">
        <v>54</v>
      </c>
      <c r="E49" t="s">
        <v>3</v>
      </c>
      <c r="F49" t="str">
        <f t="shared" si="3"/>
        <v>青</v>
      </c>
      <c r="G49" t="s">
        <v>3</v>
      </c>
      <c r="H49">
        <f t="shared" si="5"/>
        <v>0</v>
      </c>
      <c r="I49" t="str">
        <f t="shared" si="4"/>
        <v>|</v>
      </c>
      <c r="J49">
        <f t="shared" si="5"/>
        <v>3</v>
      </c>
      <c r="K49" t="str">
        <f t="shared" si="4"/>
        <v>|</v>
      </c>
      <c r="L49">
        <f t="shared" si="5"/>
        <v>0</v>
      </c>
      <c r="M49" t="str">
        <f t="shared" si="4"/>
        <v>|</v>
      </c>
      <c r="N49">
        <f t="shared" si="5"/>
        <v>0</v>
      </c>
      <c r="O49" t="str">
        <f t="shared" si="4"/>
        <v>|</v>
      </c>
      <c r="P49">
        <f>P48+IF(P$41=$F49,1,0)</f>
        <v>3</v>
      </c>
      <c r="Q49" t="str">
        <f t="shared" si="4"/>
        <v>|</v>
      </c>
    </row>
    <row r="50" spans="1:19" x14ac:dyDescent="0.15">
      <c r="A50" t="str">
        <f>B50&amp;C50&amp;D50&amp;E50&amp;F50&amp;G50&amp;H50&amp;I50&amp;J50&amp;K50&amp;L50&amp;M50&amp;N50&amp;O50&amp;P50</f>
        <v>&amp;br;</v>
      </c>
      <c r="B50" t="s">
        <v>0</v>
      </c>
    </row>
    <row r="51" spans="1:19" x14ac:dyDescent="0.15">
      <c r="A51" t="str">
        <f>B51&amp;C51&amp;D51&amp;E51&amp;F51&amp;G51&amp;H51&amp;I51&amp;J51&amp;K51&amp;L51&amp;M51&amp;N51&amp;O51&amp;P51</f>
        <v>&amp;br;</v>
      </c>
      <c r="B51" t="s">
        <v>0</v>
      </c>
    </row>
    <row r="52" spans="1:19" x14ac:dyDescent="0.15">
      <c r="A52" t="str">
        <f>B52&amp;C52&amp;D52&amp;E52&amp;F52&amp;G52&amp;H52&amp;I52&amp;J52&amp;K52&amp;L52&amp;M52&amp;N52&amp;O52&amp;P52</f>
        <v>*デッキ構築枚数上限 [#e6f382eb]</v>
      </c>
      <c r="B52" t="s">
        <v>16</v>
      </c>
    </row>
    <row r="53" spans="1:19" x14ac:dyDescent="0.15">
      <c r="A53" t="str">
        <f>B53&amp;C53&amp;D53&amp;E53&amp;F53&amp;G53&amp;H53&amp;I53&amp;J53&amp;K53&amp;L53&amp;M53&amp;N53&amp;O53&amp;P53</f>
        <v>構築枚数上限を越える枚数はデッキに入れられない。</v>
      </c>
      <c r="B53" t="s">
        <v>17</v>
      </c>
    </row>
    <row r="54" spans="1:19" x14ac:dyDescent="0.15">
      <c r="A54" t="str">
        <f t="shared" ref="A54:A65" si="6">B54&amp;C54&amp;D54&amp;G54&amp;H54&amp;I54&amp;J54&amp;K54&amp;L54&amp;M54&amp;N54&amp;O54&amp;P54&amp;Q54&amp;R54</f>
        <v>|LEFT:50|LEFT:80|LEFT:80|LEFT:80|c</v>
      </c>
      <c r="B54" t="s">
        <v>3</v>
      </c>
      <c r="C54" t="s">
        <v>4</v>
      </c>
      <c r="E54" t="s">
        <v>3</v>
      </c>
      <c r="G54" t="s">
        <v>3</v>
      </c>
      <c r="H54" t="s">
        <v>18</v>
      </c>
      <c r="I54" t="s">
        <v>3</v>
      </c>
      <c r="J54" t="s">
        <v>18</v>
      </c>
      <c r="K54" t="s">
        <v>3</v>
      </c>
      <c r="L54" t="s">
        <v>18</v>
      </c>
      <c r="M54" t="s">
        <v>3</v>
      </c>
      <c r="N54" t="s">
        <v>5</v>
      </c>
    </row>
    <row r="55" spans="1:19" x14ac:dyDescent="0.15">
      <c r="A55" t="str">
        <f t="shared" si="6"/>
        <v>|レベル|クリーチャー|呪文|サポート|</v>
      </c>
      <c r="B55" t="s">
        <v>3</v>
      </c>
      <c r="C55" t="s">
        <v>6</v>
      </c>
      <c r="E55" t="s">
        <v>3</v>
      </c>
      <c r="F55" t="s">
        <v>19</v>
      </c>
      <c r="G55" t="s">
        <v>3</v>
      </c>
      <c r="H55" t="s">
        <v>20</v>
      </c>
      <c r="I55" t="s">
        <v>3</v>
      </c>
      <c r="J55" t="s">
        <v>21</v>
      </c>
      <c r="K55" t="s">
        <v>3</v>
      </c>
      <c r="L55" t="s">
        <v>22</v>
      </c>
      <c r="M55" t="s">
        <v>3</v>
      </c>
      <c r="S55" t="s">
        <v>20</v>
      </c>
    </row>
    <row r="56" spans="1:19" x14ac:dyDescent="0.15">
      <c r="A56" t="str">
        <f t="shared" si="6"/>
        <v>|Lv1|2|5|3|</v>
      </c>
      <c r="B56" t="s">
        <v>3</v>
      </c>
      <c r="C56" t="s">
        <v>8</v>
      </c>
      <c r="D56">
        <v>1</v>
      </c>
      <c r="E56" t="s">
        <v>3</v>
      </c>
      <c r="G56" t="s">
        <v>3</v>
      </c>
      <c r="H56">
        <v>2</v>
      </c>
      <c r="I56" t="s">
        <v>3</v>
      </c>
      <c r="J56">
        <v>5</v>
      </c>
      <c r="K56" t="s">
        <v>3</v>
      </c>
      <c r="L56">
        <v>3</v>
      </c>
      <c r="M56" t="s">
        <v>3</v>
      </c>
      <c r="S56" t="s">
        <v>21</v>
      </c>
    </row>
    <row r="57" spans="1:19" x14ac:dyDescent="0.15">
      <c r="A57" t="str">
        <f t="shared" si="6"/>
        <v>|Lv4|3|5|3|</v>
      </c>
      <c r="B57" t="s">
        <v>3</v>
      </c>
      <c r="C57" t="s">
        <v>8</v>
      </c>
      <c r="D57">
        <v>4</v>
      </c>
      <c r="E57" t="s">
        <v>3</v>
      </c>
      <c r="F57" t="str">
        <f t="shared" ref="F57:F65" si="7">IF(ISBLANK(D57),"",INDEX($F$99:$F$158,D57))</f>
        <v>クリーチャー</v>
      </c>
      <c r="G57" t="s">
        <v>3</v>
      </c>
      <c r="H57">
        <f t="shared" ref="H57:H65" si="8">H56+IF(H$55=$F57,INDEX($H$99:$H$158,D57),0)</f>
        <v>3</v>
      </c>
      <c r="I57" t="s">
        <v>3</v>
      </c>
      <c r="J57">
        <f t="shared" ref="J57:J65" si="9">J56+IF(J$55=$F57,INDEX($H$99:$H$158,D57),0)</f>
        <v>5</v>
      </c>
      <c r="K57" t="s">
        <v>3</v>
      </c>
      <c r="L57">
        <f t="shared" ref="L57:L65" si="10">L56+IF(L$55=$F57,INDEX($H$99:$H$158,D57),0)</f>
        <v>3</v>
      </c>
      <c r="M57" t="s">
        <v>3</v>
      </c>
      <c r="S57" t="s">
        <v>22</v>
      </c>
    </row>
    <row r="58" spans="1:19" x14ac:dyDescent="0.15">
      <c r="A58" t="str">
        <f t="shared" si="6"/>
        <v>|Lv8|3|5|4|</v>
      </c>
      <c r="B58" t="s">
        <v>3</v>
      </c>
      <c r="C58" t="s">
        <v>8</v>
      </c>
      <c r="D58">
        <v>8</v>
      </c>
      <c r="E58" t="s">
        <v>3</v>
      </c>
      <c r="F58" t="str">
        <f t="shared" si="7"/>
        <v>サポート</v>
      </c>
      <c r="G58" t="s">
        <v>3</v>
      </c>
      <c r="H58">
        <f t="shared" si="8"/>
        <v>3</v>
      </c>
      <c r="I58" t="s">
        <v>3</v>
      </c>
      <c r="J58">
        <f t="shared" si="9"/>
        <v>5</v>
      </c>
      <c r="K58" t="s">
        <v>3</v>
      </c>
      <c r="L58">
        <f t="shared" si="10"/>
        <v>4</v>
      </c>
      <c r="M58" t="s">
        <v>3</v>
      </c>
    </row>
    <row r="59" spans="1:19" x14ac:dyDescent="0.15">
      <c r="A59" t="str">
        <f t="shared" si="6"/>
        <v>|Lv14|3|6|4|</v>
      </c>
      <c r="B59" t="s">
        <v>3</v>
      </c>
      <c r="C59" t="s">
        <v>8</v>
      </c>
      <c r="D59">
        <v>14</v>
      </c>
      <c r="E59" t="s">
        <v>3</v>
      </c>
      <c r="F59" t="str">
        <f t="shared" si="7"/>
        <v>呪文</v>
      </c>
      <c r="G59" t="s">
        <v>3</v>
      </c>
      <c r="H59">
        <f t="shared" si="8"/>
        <v>3</v>
      </c>
      <c r="I59" t="s">
        <v>3</v>
      </c>
      <c r="J59">
        <f t="shared" si="9"/>
        <v>6</v>
      </c>
      <c r="K59" t="s">
        <v>3</v>
      </c>
      <c r="L59">
        <f t="shared" si="10"/>
        <v>4</v>
      </c>
      <c r="M59" t="s">
        <v>3</v>
      </c>
    </row>
    <row r="60" spans="1:19" x14ac:dyDescent="0.15">
      <c r="A60" t="str">
        <f t="shared" si="6"/>
        <v>|Lv22|4|6|4|</v>
      </c>
      <c r="B60" t="s">
        <v>3</v>
      </c>
      <c r="C60" t="s">
        <v>8</v>
      </c>
      <c r="D60">
        <v>22</v>
      </c>
      <c r="E60" t="s">
        <v>3</v>
      </c>
      <c r="F60" t="str">
        <f t="shared" si="7"/>
        <v>クリーチャー</v>
      </c>
      <c r="G60" t="s">
        <v>3</v>
      </c>
      <c r="H60">
        <f t="shared" si="8"/>
        <v>4</v>
      </c>
      <c r="I60" t="s">
        <v>3</v>
      </c>
      <c r="J60">
        <f t="shared" si="9"/>
        <v>6</v>
      </c>
      <c r="K60" t="s">
        <v>3</v>
      </c>
      <c r="L60">
        <f t="shared" si="10"/>
        <v>4</v>
      </c>
      <c r="M60" t="s">
        <v>3</v>
      </c>
    </row>
    <row r="61" spans="1:19" x14ac:dyDescent="0.15">
      <c r="A61" t="str">
        <f t="shared" si="6"/>
        <v>|Lv26|4|6|5|</v>
      </c>
      <c r="B61" t="s">
        <v>3</v>
      </c>
      <c r="C61" t="s">
        <v>8</v>
      </c>
      <c r="D61">
        <v>26</v>
      </c>
      <c r="E61" t="s">
        <v>3</v>
      </c>
      <c r="F61" t="str">
        <f t="shared" si="7"/>
        <v>サポート</v>
      </c>
      <c r="G61" t="s">
        <v>3</v>
      </c>
      <c r="H61">
        <f t="shared" si="8"/>
        <v>4</v>
      </c>
      <c r="I61" t="s">
        <v>3</v>
      </c>
      <c r="J61">
        <f t="shared" si="9"/>
        <v>6</v>
      </c>
      <c r="K61" t="s">
        <v>3</v>
      </c>
      <c r="L61">
        <f t="shared" si="10"/>
        <v>5</v>
      </c>
      <c r="M61" t="s">
        <v>3</v>
      </c>
    </row>
    <row r="62" spans="1:19" x14ac:dyDescent="0.15">
      <c r="A62" t="str">
        <f t="shared" si="6"/>
        <v>|Lv32|4|7|5|</v>
      </c>
      <c r="B62" t="s">
        <v>3</v>
      </c>
      <c r="C62" t="s">
        <v>8</v>
      </c>
      <c r="D62">
        <v>32</v>
      </c>
      <c r="E62" t="s">
        <v>3</v>
      </c>
      <c r="F62" t="str">
        <f t="shared" si="7"/>
        <v>呪文</v>
      </c>
      <c r="G62" t="s">
        <v>3</v>
      </c>
      <c r="H62">
        <f t="shared" si="8"/>
        <v>4</v>
      </c>
      <c r="I62" t="s">
        <v>3</v>
      </c>
      <c r="J62">
        <f t="shared" si="9"/>
        <v>7</v>
      </c>
      <c r="K62" t="s">
        <v>3</v>
      </c>
      <c r="L62">
        <f t="shared" si="10"/>
        <v>5</v>
      </c>
      <c r="M62" t="s">
        <v>3</v>
      </c>
    </row>
    <row r="63" spans="1:19" x14ac:dyDescent="0.15">
      <c r="A63" t="str">
        <f t="shared" si="6"/>
        <v>|Lv42|5|7|5|</v>
      </c>
      <c r="B63" t="s">
        <v>3</v>
      </c>
      <c r="C63" t="s">
        <v>8</v>
      </c>
      <c r="D63">
        <v>42</v>
      </c>
      <c r="E63" t="s">
        <v>3</v>
      </c>
      <c r="F63" t="str">
        <f t="shared" si="7"/>
        <v>クリーチャー</v>
      </c>
      <c r="G63" t="s">
        <v>3</v>
      </c>
      <c r="H63">
        <f t="shared" si="8"/>
        <v>5</v>
      </c>
      <c r="I63" t="s">
        <v>3</v>
      </c>
      <c r="J63">
        <f t="shared" si="9"/>
        <v>7</v>
      </c>
      <c r="K63" t="s">
        <v>3</v>
      </c>
      <c r="L63">
        <f t="shared" si="10"/>
        <v>5</v>
      </c>
      <c r="M63" t="s">
        <v>3</v>
      </c>
    </row>
    <row r="64" spans="1:19" x14ac:dyDescent="0.15">
      <c r="A64" t="str">
        <f t="shared" si="6"/>
        <v>|Lv44|5|7|6|</v>
      </c>
      <c r="B64" t="s">
        <v>3</v>
      </c>
      <c r="C64" t="s">
        <v>8</v>
      </c>
      <c r="D64">
        <v>44</v>
      </c>
      <c r="E64" t="s">
        <v>3</v>
      </c>
      <c r="F64" t="str">
        <f t="shared" si="7"/>
        <v>サポート</v>
      </c>
      <c r="G64" t="s">
        <v>3</v>
      </c>
      <c r="H64">
        <f t="shared" si="8"/>
        <v>5</v>
      </c>
      <c r="I64" t="s">
        <v>3</v>
      </c>
      <c r="J64">
        <f t="shared" si="9"/>
        <v>7</v>
      </c>
      <c r="K64" t="s">
        <v>3</v>
      </c>
      <c r="L64">
        <f t="shared" si="10"/>
        <v>6</v>
      </c>
      <c r="M64" t="s">
        <v>3</v>
      </c>
    </row>
    <row r="65" spans="1:20" x14ac:dyDescent="0.15">
      <c r="A65" t="str">
        <f t="shared" si="6"/>
        <v>|Lv50|5|8|6|</v>
      </c>
      <c r="B65" t="s">
        <v>3</v>
      </c>
      <c r="C65" t="s">
        <v>8</v>
      </c>
      <c r="D65">
        <v>50</v>
      </c>
      <c r="E65" t="s">
        <v>3</v>
      </c>
      <c r="F65" t="str">
        <f t="shared" si="7"/>
        <v>呪文</v>
      </c>
      <c r="G65" t="s">
        <v>3</v>
      </c>
      <c r="H65">
        <f t="shared" si="8"/>
        <v>5</v>
      </c>
      <c r="I65" t="s">
        <v>3</v>
      </c>
      <c r="J65">
        <f t="shared" si="9"/>
        <v>8</v>
      </c>
      <c r="K65" t="s">
        <v>3</v>
      </c>
      <c r="L65">
        <f t="shared" si="10"/>
        <v>6</v>
      </c>
      <c r="M65" t="s">
        <v>3</v>
      </c>
    </row>
    <row r="66" spans="1:20" x14ac:dyDescent="0.15">
      <c r="A66" t="str">
        <f t="shared" ref="A66:A88" si="11">B66&amp;C66&amp;D66&amp;E66&amp;F66&amp;G66&amp;H66&amp;I66&amp;J66&amp;K66&amp;L66&amp;M66&amp;N66&amp;O66&amp;P66</f>
        <v>&amp;br;</v>
      </c>
      <c r="B66" t="s">
        <v>0</v>
      </c>
    </row>
    <row r="67" spans="1:20" x14ac:dyDescent="0.15">
      <c r="A67" t="str">
        <f t="shared" si="11"/>
        <v>&amp;br;</v>
      </c>
      <c r="B67" t="s">
        <v>0</v>
      </c>
    </row>
    <row r="68" spans="1:20" x14ac:dyDescent="0.15">
      <c r="A68" t="str">
        <f t="shared" si="11"/>
        <v>*PW能力一覧 [#a469e89f]</v>
      </c>
      <c r="B68" t="s">
        <v>23</v>
      </c>
    </row>
    <row r="69" spans="1:20" x14ac:dyDescent="0.15">
      <c r="A69" t="str">
        <f t="shared" si="11"/>
        <v>**第1能力：砕ける波/Crashing Waves</v>
      </c>
      <c r="B69" t="s">
        <v>24</v>
      </c>
      <c r="D69" t="s">
        <v>558</v>
      </c>
      <c r="E69" t="s">
        <v>25</v>
      </c>
      <c r="F69" t="s">
        <v>559</v>
      </c>
      <c r="R69" t="str">
        <f>D69&amp;E69&amp;F69</f>
        <v>砕ける波/Crashing Waves</v>
      </c>
      <c r="S69" t="s">
        <v>3</v>
      </c>
      <c r="T69">
        <f>H75</f>
        <v>9</v>
      </c>
    </row>
    <row r="70" spans="1:20" x14ac:dyDescent="0.15">
      <c r="A70" t="str">
        <f t="shared" si="11"/>
        <v>|LEFT:50|LEFT:50|LEFT:50|LEFT:300|c</v>
      </c>
      <c r="B70" t="s">
        <v>3</v>
      </c>
      <c r="C70" t="s">
        <v>4</v>
      </c>
      <c r="E70" t="s">
        <v>3</v>
      </c>
      <c r="F70" t="s">
        <v>4</v>
      </c>
      <c r="G70" t="s">
        <v>3</v>
      </c>
      <c r="H70" t="s">
        <v>4</v>
      </c>
      <c r="I70" t="s">
        <v>3</v>
      </c>
      <c r="J70" t="s">
        <v>26</v>
      </c>
      <c r="K70" t="s">
        <v>3</v>
      </c>
      <c r="L70" t="s">
        <v>5</v>
      </c>
      <c r="R70" t="s">
        <v>209</v>
      </c>
      <c r="S70" t="s">
        <v>3</v>
      </c>
      <c r="T70" t="str">
        <f>J75</f>
        <v>対戦相手から6マナを吸収し、6マナを得る。</v>
      </c>
    </row>
    <row r="71" spans="1:20" x14ac:dyDescent="0.15">
      <c r="A71" t="str">
        <f t="shared" si="11"/>
        <v>|解放Lv|レベル|コスト|効果|</v>
      </c>
      <c r="B71" t="s">
        <v>3</v>
      </c>
      <c r="C71" t="s">
        <v>27</v>
      </c>
      <c r="E71" t="s">
        <v>3</v>
      </c>
      <c r="F71" t="s">
        <v>6</v>
      </c>
      <c r="G71" t="s">
        <v>3</v>
      </c>
      <c r="H71" t="s">
        <v>28</v>
      </c>
      <c r="I71" t="s">
        <v>3</v>
      </c>
      <c r="J71" t="s">
        <v>29</v>
      </c>
      <c r="K71" t="s">
        <v>3</v>
      </c>
      <c r="R71" t="str">
        <f>D79&amp;E79&amp;F79</f>
        <v>渦巻く水塊/Swirling Waters</v>
      </c>
      <c r="S71" t="s">
        <v>3</v>
      </c>
      <c r="T71">
        <f>H84</f>
        <v>12</v>
      </c>
    </row>
    <row r="72" spans="1:20" x14ac:dyDescent="0.15">
      <c r="A72" t="str">
        <f t="shared" si="11"/>
        <v>|Lv6|Lv1|9|対戦相手から3マナを吸収し、3マナを得る。|</v>
      </c>
      <c r="B72" t="s">
        <v>3</v>
      </c>
      <c r="C72" t="s">
        <v>244</v>
      </c>
      <c r="E72" t="s">
        <v>3</v>
      </c>
      <c r="F72" t="s">
        <v>30</v>
      </c>
      <c r="G72" t="s">
        <v>3</v>
      </c>
      <c r="H72">
        <v>9</v>
      </c>
      <c r="I72" t="s">
        <v>3</v>
      </c>
      <c r="J72" t="s">
        <v>560</v>
      </c>
      <c r="K72" t="s">
        <v>3</v>
      </c>
      <c r="R72" t="s">
        <v>209</v>
      </c>
      <c r="S72" t="s">
        <v>3</v>
      </c>
      <c r="T72" t="str">
        <f>J84</f>
        <v>次のクリーチャーをあなたのライブラリーから取ってくる。それは12マナを得る。</v>
      </c>
    </row>
    <row r="73" spans="1:20" x14ac:dyDescent="0.15">
      <c r="A73" t="str">
        <f t="shared" si="11"/>
        <v>|Lv24|Lv2|9|対戦相手から4マナを吸収し、4マナを得る。|</v>
      </c>
      <c r="B73" t="s">
        <v>3</v>
      </c>
      <c r="C73" t="s">
        <v>246</v>
      </c>
      <c r="E73" t="s">
        <v>3</v>
      </c>
      <c r="F73" t="s">
        <v>31</v>
      </c>
      <c r="G73" t="s">
        <v>3</v>
      </c>
      <c r="H73">
        <v>9</v>
      </c>
      <c r="I73" t="s">
        <v>3</v>
      </c>
      <c r="J73" t="s">
        <v>561</v>
      </c>
      <c r="K73" t="s">
        <v>3</v>
      </c>
      <c r="R73" t="str">
        <f>D88&amp;E88&amp;F88</f>
        <v>深みより/From the Depths</v>
      </c>
      <c r="S73" t="s">
        <v>3</v>
      </c>
      <c r="T73">
        <f>H93</f>
        <v>24</v>
      </c>
    </row>
    <row r="74" spans="1:20" x14ac:dyDescent="0.15">
      <c r="A74" t="str">
        <f t="shared" si="11"/>
        <v>|Lv40|Lv3|9|対戦相手から5マナを吸収し、5マナを得る。|</v>
      </c>
      <c r="B74" t="s">
        <v>3</v>
      </c>
      <c r="C74" t="s">
        <v>248</v>
      </c>
      <c r="E74" t="s">
        <v>3</v>
      </c>
      <c r="F74" t="s">
        <v>32</v>
      </c>
      <c r="G74" t="s">
        <v>3</v>
      </c>
      <c r="H74">
        <v>9</v>
      </c>
      <c r="I74" t="s">
        <v>3</v>
      </c>
      <c r="J74" t="s">
        <v>562</v>
      </c>
      <c r="K74" t="s">
        <v>3</v>
      </c>
      <c r="R74" t="s">
        <v>209</v>
      </c>
      <c r="S74" t="s">
        <v>3</v>
      </c>
      <c r="T74" t="str">
        <f>J93</f>
        <v>到達とトランプルを持つ8/8の青のタコ・トークンを3体生成する。</v>
      </c>
    </row>
    <row r="75" spans="1:20" x14ac:dyDescent="0.15">
      <c r="A75" t="str">
        <f t="shared" si="11"/>
        <v>|Lv56|Lv4|9|対戦相手から6マナを吸収し、6マナを得る。|</v>
      </c>
      <c r="B75" t="s">
        <v>3</v>
      </c>
      <c r="C75" t="s">
        <v>250</v>
      </c>
      <c r="E75" t="s">
        <v>3</v>
      </c>
      <c r="F75" t="s">
        <v>33</v>
      </c>
      <c r="G75" t="s">
        <v>3</v>
      </c>
      <c r="H75">
        <v>9</v>
      </c>
      <c r="I75" t="s">
        <v>3</v>
      </c>
      <c r="J75" t="s">
        <v>563</v>
      </c>
      <c r="K75" t="s">
        <v>3</v>
      </c>
    </row>
    <row r="76" spans="1:20" x14ac:dyDescent="0.15">
      <c r="A76" t="str">
        <f t="shared" si="11"/>
        <v>v1.X.Xより修正。忠誠コスト6→9に。</v>
      </c>
      <c r="B76" t="s">
        <v>564</v>
      </c>
    </row>
    <row r="77" spans="1:20" x14ac:dyDescent="0.15">
      <c r="A77" t="str">
        <f t="shared" si="11"/>
        <v>&amp;br;</v>
      </c>
      <c r="B77" t="s">
        <v>0</v>
      </c>
    </row>
    <row r="78" spans="1:20" x14ac:dyDescent="0.15">
      <c r="A78" t="str">
        <f t="shared" si="11"/>
        <v>&amp;br;</v>
      </c>
      <c r="B78" t="s">
        <v>0</v>
      </c>
    </row>
    <row r="79" spans="1:20" x14ac:dyDescent="0.15">
      <c r="A79" t="str">
        <f t="shared" si="11"/>
        <v>**第2能力：渦巻く水塊/Swirling Waters</v>
      </c>
      <c r="B79" t="s">
        <v>34</v>
      </c>
      <c r="D79" t="s">
        <v>565</v>
      </c>
      <c r="E79" t="s">
        <v>25</v>
      </c>
      <c r="F79" t="s">
        <v>566</v>
      </c>
    </row>
    <row r="80" spans="1:20" x14ac:dyDescent="0.15">
      <c r="A80" t="str">
        <f t="shared" si="11"/>
        <v>|LEFT:50|LEFT:50|LEFT:50|LEFT:300|c</v>
      </c>
      <c r="B80" t="s">
        <v>3</v>
      </c>
      <c r="C80" t="s">
        <v>4</v>
      </c>
      <c r="E80" t="s">
        <v>3</v>
      </c>
      <c r="F80" t="s">
        <v>4</v>
      </c>
      <c r="G80" t="s">
        <v>3</v>
      </c>
      <c r="H80" t="s">
        <v>4</v>
      </c>
      <c r="I80" t="s">
        <v>3</v>
      </c>
      <c r="J80" t="s">
        <v>26</v>
      </c>
      <c r="K80" t="s">
        <v>3</v>
      </c>
      <c r="L80" t="s">
        <v>5</v>
      </c>
    </row>
    <row r="81" spans="1:12" x14ac:dyDescent="0.15">
      <c r="A81" t="str">
        <f t="shared" si="11"/>
        <v>|解放Lv|レベル|コスト|効果|</v>
      </c>
      <c r="B81" t="s">
        <v>3</v>
      </c>
      <c r="C81" t="s">
        <v>27</v>
      </c>
      <c r="E81" t="s">
        <v>3</v>
      </c>
      <c r="F81" t="s">
        <v>6</v>
      </c>
      <c r="G81" t="s">
        <v>3</v>
      </c>
      <c r="H81" t="s">
        <v>28</v>
      </c>
      <c r="I81" t="s">
        <v>3</v>
      </c>
      <c r="J81" t="s">
        <v>29</v>
      </c>
      <c r="K81" t="s">
        <v>3</v>
      </c>
    </row>
    <row r="82" spans="1:12" x14ac:dyDescent="0.15">
      <c r="A82" t="str">
        <f t="shared" si="11"/>
        <v>|Lv12|Lv1|12|次のクリーチャーをあなたのライブラリーから取ってくる。それは3マナを得る。|</v>
      </c>
      <c r="B82" t="s">
        <v>3</v>
      </c>
      <c r="C82" t="s">
        <v>254</v>
      </c>
      <c r="E82" t="s">
        <v>3</v>
      </c>
      <c r="F82" t="s">
        <v>30</v>
      </c>
      <c r="G82" t="s">
        <v>3</v>
      </c>
      <c r="H82">
        <v>12</v>
      </c>
      <c r="I82" t="s">
        <v>3</v>
      </c>
      <c r="J82" t="s">
        <v>567</v>
      </c>
      <c r="K82" t="s">
        <v>3</v>
      </c>
    </row>
    <row r="83" spans="1:12" x14ac:dyDescent="0.15">
      <c r="A83" t="str">
        <f t="shared" si="11"/>
        <v>|Lv30|Lv2|12|次のクリーチャーをあなたのライブラリーから取ってくる。それは6マナを得る。|</v>
      </c>
      <c r="B83" t="s">
        <v>3</v>
      </c>
      <c r="C83" t="s">
        <v>256</v>
      </c>
      <c r="E83" t="s">
        <v>3</v>
      </c>
      <c r="F83" t="s">
        <v>31</v>
      </c>
      <c r="G83" t="s">
        <v>3</v>
      </c>
      <c r="H83">
        <v>12</v>
      </c>
      <c r="I83" t="s">
        <v>3</v>
      </c>
      <c r="J83" t="s">
        <v>568</v>
      </c>
      <c r="K83" t="s">
        <v>3</v>
      </c>
    </row>
    <row r="84" spans="1:12" x14ac:dyDescent="0.15">
      <c r="A84" t="str">
        <f t="shared" si="11"/>
        <v>|Lv46|Lv3|12|次のクリーチャーをあなたのライブラリーから取ってくる。それは12マナを得る。|</v>
      </c>
      <c r="B84" t="s">
        <v>3</v>
      </c>
      <c r="C84" t="s">
        <v>258</v>
      </c>
      <c r="E84" t="s">
        <v>3</v>
      </c>
      <c r="F84" t="s">
        <v>32</v>
      </c>
      <c r="G84" t="s">
        <v>3</v>
      </c>
      <c r="H84">
        <v>12</v>
      </c>
      <c r="I84" t="s">
        <v>3</v>
      </c>
      <c r="J84" t="s">
        <v>569</v>
      </c>
      <c r="K84" t="s">
        <v>3</v>
      </c>
    </row>
    <row r="85" spans="1:12" x14ac:dyDescent="0.15">
      <c r="A85" t="str">
        <f t="shared" si="11"/>
        <v>|Lv58|Lv4|12|次のクリーチャーをあなたのライブラリーから取ってくる。それは16マナを得る。|</v>
      </c>
      <c r="B85" t="s">
        <v>3</v>
      </c>
      <c r="C85" t="s">
        <v>260</v>
      </c>
      <c r="E85" t="s">
        <v>3</v>
      </c>
      <c r="F85" t="s">
        <v>33</v>
      </c>
      <c r="G85" t="s">
        <v>3</v>
      </c>
      <c r="H85">
        <v>12</v>
      </c>
      <c r="I85" t="s">
        <v>3</v>
      </c>
      <c r="J85" t="s">
        <v>570</v>
      </c>
      <c r="K85" t="s">
        <v>3</v>
      </c>
    </row>
    <row r="86" spans="1:12" x14ac:dyDescent="0.15">
      <c r="A86" t="str">
        <f t="shared" si="11"/>
        <v>&amp;br;</v>
      </c>
      <c r="B86" t="s">
        <v>0</v>
      </c>
    </row>
    <row r="87" spans="1:12" x14ac:dyDescent="0.15">
      <c r="A87" t="str">
        <f t="shared" si="11"/>
        <v>&amp;br;</v>
      </c>
      <c r="B87" t="s">
        <v>0</v>
      </c>
    </row>
    <row r="88" spans="1:12" x14ac:dyDescent="0.15">
      <c r="A88" t="str">
        <f t="shared" si="11"/>
        <v>**第3能力：深みより/From the Depths</v>
      </c>
      <c r="B88" t="s">
        <v>35</v>
      </c>
      <c r="D88" t="s">
        <v>571</v>
      </c>
      <c r="E88" t="s">
        <v>25</v>
      </c>
      <c r="F88" t="s">
        <v>572</v>
      </c>
    </row>
    <row r="89" spans="1:12" x14ac:dyDescent="0.15">
      <c r="A89" t="str">
        <f t="shared" ref="A89:A152" si="12">B89&amp;C89&amp;D89&amp;E89&amp;F89&amp;G89&amp;H89&amp;I89&amp;J89&amp;K89&amp;L89&amp;M89&amp;N89&amp;O89&amp;P89</f>
        <v>|LEFT:50|LEFT:50|LEFT:50|LEFT:300|c</v>
      </c>
      <c r="B89" t="s">
        <v>3</v>
      </c>
      <c r="C89" t="s">
        <v>4</v>
      </c>
      <c r="E89" t="s">
        <v>3</v>
      </c>
      <c r="F89" t="s">
        <v>4</v>
      </c>
      <c r="G89" t="s">
        <v>3</v>
      </c>
      <c r="H89" t="s">
        <v>4</v>
      </c>
      <c r="I89" t="s">
        <v>3</v>
      </c>
      <c r="J89" t="s">
        <v>26</v>
      </c>
      <c r="K89" t="s">
        <v>3</v>
      </c>
      <c r="L89" t="s">
        <v>5</v>
      </c>
    </row>
    <row r="90" spans="1:12" x14ac:dyDescent="0.15">
      <c r="A90" t="str">
        <f t="shared" si="12"/>
        <v>|解放Lv|レベル|コスト|効果|</v>
      </c>
      <c r="B90" t="s">
        <v>3</v>
      </c>
      <c r="C90" t="s">
        <v>27</v>
      </c>
      <c r="E90" t="s">
        <v>3</v>
      </c>
      <c r="F90" t="s">
        <v>6</v>
      </c>
      <c r="G90" t="s">
        <v>3</v>
      </c>
      <c r="H90" t="s">
        <v>28</v>
      </c>
      <c r="I90" t="s">
        <v>3</v>
      </c>
      <c r="J90" t="s">
        <v>29</v>
      </c>
      <c r="K90" t="s">
        <v>3</v>
      </c>
    </row>
    <row r="91" spans="1:12" x14ac:dyDescent="0.15">
      <c r="A91" t="str">
        <f t="shared" si="12"/>
        <v>|Lv18|Lv1|24|到達とトランプルを持つ8/8の青のタコ・トークンを1体生成する。|</v>
      </c>
      <c r="B91" t="s">
        <v>3</v>
      </c>
      <c r="C91" t="s">
        <v>264</v>
      </c>
      <c r="E91" t="s">
        <v>3</v>
      </c>
      <c r="F91" t="s">
        <v>30</v>
      </c>
      <c r="G91" t="s">
        <v>3</v>
      </c>
      <c r="H91">
        <v>24</v>
      </c>
      <c r="I91" t="s">
        <v>3</v>
      </c>
      <c r="J91" t="s">
        <v>573</v>
      </c>
      <c r="K91" t="s">
        <v>3</v>
      </c>
    </row>
    <row r="92" spans="1:12" x14ac:dyDescent="0.15">
      <c r="A92" t="str">
        <f t="shared" si="12"/>
        <v>|Lv36|Lv2|24|到達とトランプルを持つ8/8の青のタコ・トークンを2体生成する。|</v>
      </c>
      <c r="B92" t="s">
        <v>3</v>
      </c>
      <c r="C92" t="s">
        <v>266</v>
      </c>
      <c r="E92" t="s">
        <v>3</v>
      </c>
      <c r="F92" t="s">
        <v>31</v>
      </c>
      <c r="G92" t="s">
        <v>3</v>
      </c>
      <c r="H92">
        <v>24</v>
      </c>
      <c r="I92" t="s">
        <v>3</v>
      </c>
      <c r="J92" t="s">
        <v>574</v>
      </c>
      <c r="K92" t="s">
        <v>3</v>
      </c>
    </row>
    <row r="93" spans="1:12" x14ac:dyDescent="0.15">
      <c r="A93" t="str">
        <f t="shared" si="12"/>
        <v>|Lv52|Lv3|24|到達とトランプルを持つ8/8の青のタコ・トークンを3体生成する。|</v>
      </c>
      <c r="B93" t="s">
        <v>3</v>
      </c>
      <c r="C93" t="s">
        <v>268</v>
      </c>
      <c r="E93" t="s">
        <v>3</v>
      </c>
      <c r="F93" t="s">
        <v>32</v>
      </c>
      <c r="G93" t="s">
        <v>3</v>
      </c>
      <c r="H93">
        <v>24</v>
      </c>
      <c r="I93" t="s">
        <v>3</v>
      </c>
      <c r="J93" t="s">
        <v>575</v>
      </c>
      <c r="K93" t="s">
        <v>3</v>
      </c>
    </row>
    <row r="94" spans="1:12" x14ac:dyDescent="0.15">
      <c r="A94" t="str">
        <f t="shared" si="12"/>
        <v>|Lv60|Lv4|24|到達とトランプルを持つ8/8の青のタコ・トークンを4体生成する。|</v>
      </c>
      <c r="B94" t="s">
        <v>3</v>
      </c>
      <c r="C94" t="s">
        <v>270</v>
      </c>
      <c r="E94" t="s">
        <v>3</v>
      </c>
      <c r="F94" t="s">
        <v>33</v>
      </c>
      <c r="G94" t="s">
        <v>3</v>
      </c>
      <c r="H94">
        <v>24</v>
      </c>
      <c r="I94" t="s">
        <v>3</v>
      </c>
      <c r="J94" t="s">
        <v>576</v>
      </c>
      <c r="K94" t="s">
        <v>3</v>
      </c>
    </row>
    <row r="95" spans="1:12" x14ac:dyDescent="0.15">
      <c r="A95" t="str">
        <f t="shared" si="12"/>
        <v>&amp;br;</v>
      </c>
      <c r="B95" t="s">
        <v>0</v>
      </c>
    </row>
    <row r="96" spans="1:12" x14ac:dyDescent="0.15">
      <c r="A96" t="str">
        <f t="shared" si="12"/>
        <v>&amp;br;</v>
      </c>
      <c r="B96" t="s">
        <v>0</v>
      </c>
    </row>
    <row r="97" spans="1:17" x14ac:dyDescent="0.15">
      <c r="A97" t="str">
        <f t="shared" si="12"/>
        <v>*レベルアップ報酬一覧 [#k0cef29c]</v>
      </c>
      <c r="B97" t="s">
        <v>36</v>
      </c>
    </row>
    <row r="98" spans="1:17" x14ac:dyDescent="0.15">
      <c r="A98" t="str">
        <f t="shared" si="12"/>
        <v>|LEFT:50|LEFT:100|c</v>
      </c>
      <c r="B98" t="s">
        <v>3</v>
      </c>
      <c r="C98" t="s">
        <v>4</v>
      </c>
      <c r="E98" t="s">
        <v>3</v>
      </c>
      <c r="F98" t="s">
        <v>37</v>
      </c>
      <c r="I98" t="s">
        <v>3</v>
      </c>
      <c r="J98" t="s">
        <v>5</v>
      </c>
    </row>
    <row r="99" spans="1:17" x14ac:dyDescent="0.15">
      <c r="A99" t="str">
        <f t="shared" si="12"/>
        <v>|レベル|報酬|</v>
      </c>
      <c r="B99" t="s">
        <v>3</v>
      </c>
      <c r="C99" t="s">
        <v>6</v>
      </c>
      <c r="E99" t="s">
        <v>3</v>
      </c>
      <c r="F99" t="s">
        <v>38</v>
      </c>
      <c r="I99" t="s">
        <v>3</v>
      </c>
      <c r="Q99" t="s">
        <v>7</v>
      </c>
    </row>
    <row r="100" spans="1:17" x14ac:dyDescent="0.15">
      <c r="A100" t="str">
        <f t="shared" si="12"/>
        <v>|Lｖ2|青+1|</v>
      </c>
      <c r="B100" t="s">
        <v>3</v>
      </c>
      <c r="C100" t="s">
        <v>39</v>
      </c>
      <c r="D100">
        <v>2</v>
      </c>
      <c r="E100" t="s">
        <v>3</v>
      </c>
      <c r="F100" t="s">
        <v>12</v>
      </c>
      <c r="G100" t="str">
        <f>IF(OR(F100=$Q$108,F100=$Q$109,F100=$Q$110,F100=$Q$111,ISBLANK(F100)),"","+")</f>
        <v>+</v>
      </c>
      <c r="H100">
        <v>1</v>
      </c>
      <c r="I100" t="s">
        <v>3</v>
      </c>
      <c r="Q100" t="s">
        <v>20</v>
      </c>
    </row>
    <row r="101" spans="1:17" x14ac:dyDescent="0.15">
      <c r="A101" t="str">
        <f t="shared" si="12"/>
        <v>|Lｖ3|HP+2|</v>
      </c>
      <c r="B101" t="s">
        <v>3</v>
      </c>
      <c r="C101" t="s">
        <v>39</v>
      </c>
      <c r="D101">
        <v>3</v>
      </c>
      <c r="E101" t="s">
        <v>3</v>
      </c>
      <c r="F101" t="s">
        <v>7</v>
      </c>
      <c r="G101" t="str">
        <f t="shared" ref="G101:G157" si="13">IF(OR(F101=$Q$108,F101=$Q$109,F101=$Q$110,F101=$Q$111,ISBLANK(F101)),"","+")</f>
        <v>+</v>
      </c>
      <c r="H101">
        <v>2</v>
      </c>
      <c r="I101" t="s">
        <v>3</v>
      </c>
      <c r="Q101" t="s">
        <v>21</v>
      </c>
    </row>
    <row r="102" spans="1:17" x14ac:dyDescent="0.15">
      <c r="A102" t="str">
        <f t="shared" si="12"/>
        <v>|Lｖ4|クリーチャー+1|</v>
      </c>
      <c r="B102" t="s">
        <v>3</v>
      </c>
      <c r="C102" t="s">
        <v>39</v>
      </c>
      <c r="D102">
        <v>4</v>
      </c>
      <c r="E102" t="s">
        <v>3</v>
      </c>
      <c r="F102" t="s">
        <v>20</v>
      </c>
      <c r="G102" t="str">
        <f t="shared" si="13"/>
        <v>+</v>
      </c>
      <c r="H102">
        <v>1</v>
      </c>
      <c r="I102" t="s">
        <v>3</v>
      </c>
      <c r="Q102" t="s">
        <v>22</v>
      </c>
    </row>
    <row r="103" spans="1:17" x14ac:dyDescent="0.15">
      <c r="A103" t="str">
        <f t="shared" si="12"/>
        <v>|Lｖ5|HP+2|</v>
      </c>
      <c r="B103" t="s">
        <v>3</v>
      </c>
      <c r="C103" t="s">
        <v>39</v>
      </c>
      <c r="D103">
        <v>5</v>
      </c>
      <c r="E103" t="s">
        <v>3</v>
      </c>
      <c r="F103" t="s">
        <v>7</v>
      </c>
      <c r="G103" t="str">
        <f t="shared" si="13"/>
        <v>+</v>
      </c>
      <c r="H103">
        <v>2</v>
      </c>
      <c r="I103" t="s">
        <v>3</v>
      </c>
      <c r="Q103" t="s">
        <v>11</v>
      </c>
    </row>
    <row r="104" spans="1:17" x14ac:dyDescent="0.15">
      <c r="A104" t="str">
        <f t="shared" si="12"/>
        <v>|Lｖ6|第1能力Lv1|</v>
      </c>
      <c r="B104" t="s">
        <v>3</v>
      </c>
      <c r="C104" t="s">
        <v>39</v>
      </c>
      <c r="D104">
        <v>6</v>
      </c>
      <c r="E104" t="s">
        <v>3</v>
      </c>
      <c r="F104" t="s">
        <v>40</v>
      </c>
      <c r="G104" t="str">
        <f t="shared" si="13"/>
        <v/>
      </c>
      <c r="H104">
        <v>1</v>
      </c>
      <c r="I104" t="s">
        <v>3</v>
      </c>
      <c r="Q104" t="s">
        <v>12</v>
      </c>
    </row>
    <row r="105" spans="1:17" x14ac:dyDescent="0.15">
      <c r="A105" t="str">
        <f t="shared" si="12"/>
        <v>|Lｖ7|HP+2|</v>
      </c>
      <c r="B105" t="s">
        <v>3</v>
      </c>
      <c r="C105" t="s">
        <v>39</v>
      </c>
      <c r="D105">
        <v>7</v>
      </c>
      <c r="E105" t="s">
        <v>3</v>
      </c>
      <c r="F105" t="s">
        <v>7</v>
      </c>
      <c r="G105" t="str">
        <f t="shared" si="13"/>
        <v>+</v>
      </c>
      <c r="H105">
        <v>2</v>
      </c>
      <c r="I105" t="s">
        <v>3</v>
      </c>
      <c r="Q105" t="s">
        <v>13</v>
      </c>
    </row>
    <row r="106" spans="1:17" x14ac:dyDescent="0.15">
      <c r="A106" t="str">
        <f t="shared" si="12"/>
        <v>|Lｖ8|サポート+1|</v>
      </c>
      <c r="B106" t="s">
        <v>3</v>
      </c>
      <c r="C106" t="s">
        <v>39</v>
      </c>
      <c r="D106">
        <v>8</v>
      </c>
      <c r="E106" t="s">
        <v>3</v>
      </c>
      <c r="F106" t="s">
        <v>22</v>
      </c>
      <c r="G106" t="str">
        <f t="shared" si="13"/>
        <v>+</v>
      </c>
      <c r="H106">
        <v>1</v>
      </c>
      <c r="I106" t="s">
        <v>3</v>
      </c>
      <c r="Q106" t="s">
        <v>14</v>
      </c>
    </row>
    <row r="107" spans="1:17" x14ac:dyDescent="0.15">
      <c r="A107" t="str">
        <f t="shared" si="12"/>
        <v>|Lｖ9|HP+2|</v>
      </c>
      <c r="B107" t="s">
        <v>3</v>
      </c>
      <c r="C107" t="s">
        <v>39</v>
      </c>
      <c r="D107">
        <v>9</v>
      </c>
      <c r="E107" t="s">
        <v>3</v>
      </c>
      <c r="F107" t="s">
        <v>7</v>
      </c>
      <c r="G107" t="str">
        <f t="shared" si="13"/>
        <v>+</v>
      </c>
      <c r="H107">
        <v>2</v>
      </c>
      <c r="I107" t="s">
        <v>3</v>
      </c>
      <c r="Q107" t="s">
        <v>15</v>
      </c>
    </row>
    <row r="108" spans="1:17" x14ac:dyDescent="0.15">
      <c r="A108" t="str">
        <f t="shared" si="12"/>
        <v>|Lｖ10|緑+1|</v>
      </c>
      <c r="B108" t="s">
        <v>3</v>
      </c>
      <c r="C108" t="s">
        <v>39</v>
      </c>
      <c r="D108">
        <v>10</v>
      </c>
      <c r="E108" t="s">
        <v>3</v>
      </c>
      <c r="F108" t="s">
        <v>15</v>
      </c>
      <c r="G108" t="str">
        <f t="shared" si="13"/>
        <v>+</v>
      </c>
      <c r="H108">
        <v>1</v>
      </c>
      <c r="I108" t="s">
        <v>3</v>
      </c>
      <c r="Q108" t="s">
        <v>40</v>
      </c>
    </row>
    <row r="109" spans="1:17" x14ac:dyDescent="0.15">
      <c r="A109" t="str">
        <f t="shared" si="12"/>
        <v>|Lｖ11|HP+2|</v>
      </c>
      <c r="B109" t="s">
        <v>3</v>
      </c>
      <c r="C109" t="s">
        <v>39</v>
      </c>
      <c r="D109">
        <v>11</v>
      </c>
      <c r="E109" t="s">
        <v>3</v>
      </c>
      <c r="F109" t="s">
        <v>7</v>
      </c>
      <c r="G109" t="str">
        <f t="shared" si="13"/>
        <v>+</v>
      </c>
      <c r="H109">
        <v>2</v>
      </c>
      <c r="I109" t="s">
        <v>3</v>
      </c>
      <c r="Q109" t="s">
        <v>41</v>
      </c>
    </row>
    <row r="110" spans="1:17" x14ac:dyDescent="0.15">
      <c r="A110" t="str">
        <f t="shared" si="12"/>
        <v>|Lｖ12|第2能力Lv1|</v>
      </c>
      <c r="B110" t="s">
        <v>3</v>
      </c>
      <c r="C110" t="s">
        <v>39</v>
      </c>
      <c r="D110">
        <v>12</v>
      </c>
      <c r="E110" t="s">
        <v>3</v>
      </c>
      <c r="F110" t="s">
        <v>41</v>
      </c>
      <c r="G110" t="str">
        <f t="shared" si="13"/>
        <v/>
      </c>
      <c r="H110">
        <v>1</v>
      </c>
      <c r="I110" t="s">
        <v>3</v>
      </c>
      <c r="Q110" t="s">
        <v>42</v>
      </c>
    </row>
    <row r="111" spans="1:17" x14ac:dyDescent="0.15">
      <c r="A111" t="str">
        <f t="shared" si="12"/>
        <v>|Lｖ13|HP+2|</v>
      </c>
      <c r="B111" t="s">
        <v>3</v>
      </c>
      <c r="C111" t="s">
        <v>39</v>
      </c>
      <c r="D111">
        <v>13</v>
      </c>
      <c r="E111" t="s">
        <v>3</v>
      </c>
      <c r="F111" t="s">
        <v>7</v>
      </c>
      <c r="G111" t="str">
        <f t="shared" si="13"/>
        <v>+</v>
      </c>
      <c r="H111">
        <v>2</v>
      </c>
      <c r="I111" t="s">
        <v>3</v>
      </c>
      <c r="Q111" t="s">
        <v>43</v>
      </c>
    </row>
    <row r="112" spans="1:17" x14ac:dyDescent="0.15">
      <c r="A112" t="str">
        <f t="shared" si="12"/>
        <v>|Lｖ14|呪文+1|</v>
      </c>
      <c r="B112" t="s">
        <v>3</v>
      </c>
      <c r="C112" t="s">
        <v>39</v>
      </c>
      <c r="D112">
        <v>14</v>
      </c>
      <c r="E112" t="s">
        <v>3</v>
      </c>
      <c r="F112" t="s">
        <v>21</v>
      </c>
      <c r="G112" t="str">
        <f t="shared" si="13"/>
        <v>+</v>
      </c>
      <c r="H112">
        <v>1</v>
      </c>
      <c r="I112" t="s">
        <v>3</v>
      </c>
    </row>
    <row r="113" spans="1:9" x14ac:dyDescent="0.15">
      <c r="A113" t="str">
        <f t="shared" si="12"/>
        <v>|Lｖ15|HP+2|</v>
      </c>
      <c r="B113" t="s">
        <v>3</v>
      </c>
      <c r="C113" t="s">
        <v>39</v>
      </c>
      <c r="D113">
        <v>15</v>
      </c>
      <c r="E113" t="s">
        <v>3</v>
      </c>
      <c r="F113" t="s">
        <v>7</v>
      </c>
      <c r="G113" t="str">
        <f t="shared" si="13"/>
        <v>+</v>
      </c>
      <c r="H113">
        <v>2</v>
      </c>
      <c r="I113" t="s">
        <v>3</v>
      </c>
    </row>
    <row r="114" spans="1:9" x14ac:dyDescent="0.15">
      <c r="A114" t="str">
        <f t="shared" si="12"/>
        <v>|Lｖ16|回復速度上昇|</v>
      </c>
      <c r="B114" t="s">
        <v>3</v>
      </c>
      <c r="C114" t="s">
        <v>39</v>
      </c>
      <c r="D114">
        <v>16</v>
      </c>
      <c r="E114" t="s">
        <v>3</v>
      </c>
      <c r="F114" t="s">
        <v>43</v>
      </c>
      <c r="G114" t="str">
        <f t="shared" si="13"/>
        <v/>
      </c>
      <c r="I114" t="s">
        <v>3</v>
      </c>
    </row>
    <row r="115" spans="1:9" x14ac:dyDescent="0.15">
      <c r="A115" t="str">
        <f t="shared" si="12"/>
        <v>|Lｖ17|HP+2|</v>
      </c>
      <c r="B115" t="s">
        <v>3</v>
      </c>
      <c r="C115" t="s">
        <v>39</v>
      </c>
      <c r="D115">
        <v>17</v>
      </c>
      <c r="E115" t="s">
        <v>3</v>
      </c>
      <c r="F115" t="s">
        <v>7</v>
      </c>
      <c r="G115" t="str">
        <f t="shared" si="13"/>
        <v>+</v>
      </c>
      <c r="H115">
        <v>2</v>
      </c>
      <c r="I115" t="s">
        <v>3</v>
      </c>
    </row>
    <row r="116" spans="1:9" x14ac:dyDescent="0.15">
      <c r="A116" t="str">
        <f t="shared" si="12"/>
        <v>|Lｖ18|第3能力Lv1|</v>
      </c>
      <c r="B116" t="s">
        <v>3</v>
      </c>
      <c r="C116" t="s">
        <v>39</v>
      </c>
      <c r="D116">
        <v>18</v>
      </c>
      <c r="E116" t="s">
        <v>3</v>
      </c>
      <c r="F116" t="s">
        <v>42</v>
      </c>
      <c r="G116" t="str">
        <f t="shared" si="13"/>
        <v/>
      </c>
      <c r="H116">
        <v>1</v>
      </c>
      <c r="I116" t="s">
        <v>3</v>
      </c>
    </row>
    <row r="117" spans="1:9" x14ac:dyDescent="0.15">
      <c r="A117" t="str">
        <f t="shared" si="12"/>
        <v>|Lｖ19|HP+2|</v>
      </c>
      <c r="B117" t="s">
        <v>3</v>
      </c>
      <c r="C117" t="s">
        <v>39</v>
      </c>
      <c r="D117">
        <v>19</v>
      </c>
      <c r="E117" t="s">
        <v>3</v>
      </c>
      <c r="F117" t="s">
        <v>7</v>
      </c>
      <c r="G117" t="str">
        <f t="shared" si="13"/>
        <v>+</v>
      </c>
      <c r="H117">
        <v>2</v>
      </c>
      <c r="I117" t="s">
        <v>3</v>
      </c>
    </row>
    <row r="118" spans="1:9" x14ac:dyDescent="0.15">
      <c r="A118" t="str">
        <f t="shared" si="12"/>
        <v>|Lｖ20|黒+1|</v>
      </c>
      <c r="B118" t="s">
        <v>3</v>
      </c>
      <c r="C118" t="s">
        <v>39</v>
      </c>
      <c r="D118">
        <v>20</v>
      </c>
      <c r="E118" t="s">
        <v>3</v>
      </c>
      <c r="F118" t="s">
        <v>13</v>
      </c>
      <c r="G118" t="str">
        <f t="shared" si="13"/>
        <v>+</v>
      </c>
      <c r="H118">
        <v>1</v>
      </c>
      <c r="I118" t="s">
        <v>3</v>
      </c>
    </row>
    <row r="119" spans="1:9" x14ac:dyDescent="0.15">
      <c r="A119" t="str">
        <f t="shared" si="12"/>
        <v>|Lｖ21|HP+2|</v>
      </c>
      <c r="B119" t="s">
        <v>3</v>
      </c>
      <c r="C119" t="s">
        <v>39</v>
      </c>
      <c r="D119">
        <v>21</v>
      </c>
      <c r="E119" t="s">
        <v>3</v>
      </c>
      <c r="F119" t="s">
        <v>7</v>
      </c>
      <c r="G119" t="str">
        <f t="shared" si="13"/>
        <v>+</v>
      </c>
      <c r="H119">
        <v>2</v>
      </c>
      <c r="I119" t="s">
        <v>3</v>
      </c>
    </row>
    <row r="120" spans="1:9" x14ac:dyDescent="0.15">
      <c r="A120" t="str">
        <f t="shared" si="12"/>
        <v>|Lｖ22|クリーチャー+1|</v>
      </c>
      <c r="B120" t="s">
        <v>3</v>
      </c>
      <c r="C120" t="s">
        <v>39</v>
      </c>
      <c r="D120">
        <v>22</v>
      </c>
      <c r="E120" t="s">
        <v>3</v>
      </c>
      <c r="F120" t="s">
        <v>20</v>
      </c>
      <c r="G120" t="str">
        <f t="shared" si="13"/>
        <v>+</v>
      </c>
      <c r="H120">
        <v>1</v>
      </c>
      <c r="I120" t="s">
        <v>3</v>
      </c>
    </row>
    <row r="121" spans="1:9" x14ac:dyDescent="0.15">
      <c r="A121" t="str">
        <f t="shared" si="12"/>
        <v>|Lｖ23|HP+2|</v>
      </c>
      <c r="B121" t="s">
        <v>3</v>
      </c>
      <c r="C121" t="s">
        <v>39</v>
      </c>
      <c r="D121">
        <v>23</v>
      </c>
      <c r="E121" t="s">
        <v>3</v>
      </c>
      <c r="F121" t="s">
        <v>7</v>
      </c>
      <c r="G121" t="str">
        <f t="shared" si="13"/>
        <v>+</v>
      </c>
      <c r="H121">
        <v>2</v>
      </c>
      <c r="I121" t="s">
        <v>3</v>
      </c>
    </row>
    <row r="122" spans="1:9" x14ac:dyDescent="0.15">
      <c r="A122" t="str">
        <f t="shared" si="12"/>
        <v>|Lｖ24|第1能力Lv2|</v>
      </c>
      <c r="B122" t="s">
        <v>3</v>
      </c>
      <c r="C122" t="s">
        <v>39</v>
      </c>
      <c r="D122">
        <v>24</v>
      </c>
      <c r="E122" t="s">
        <v>3</v>
      </c>
      <c r="F122" t="s">
        <v>40</v>
      </c>
      <c r="G122" t="str">
        <f t="shared" si="13"/>
        <v/>
      </c>
      <c r="H122">
        <v>2</v>
      </c>
      <c r="I122" t="s">
        <v>3</v>
      </c>
    </row>
    <row r="123" spans="1:9" x14ac:dyDescent="0.15">
      <c r="A123" t="str">
        <f t="shared" si="12"/>
        <v>|Lｖ25|HP+2|</v>
      </c>
      <c r="B123" t="s">
        <v>3</v>
      </c>
      <c r="C123" t="s">
        <v>39</v>
      </c>
      <c r="D123">
        <v>25</v>
      </c>
      <c r="E123" t="s">
        <v>3</v>
      </c>
      <c r="F123" t="s">
        <v>7</v>
      </c>
      <c r="G123" t="str">
        <f t="shared" si="13"/>
        <v>+</v>
      </c>
      <c r="H123">
        <v>2</v>
      </c>
      <c r="I123" t="s">
        <v>3</v>
      </c>
    </row>
    <row r="124" spans="1:9" x14ac:dyDescent="0.15">
      <c r="A124" t="str">
        <f t="shared" si="12"/>
        <v>|Lｖ26|サポート+1|</v>
      </c>
      <c r="B124" t="s">
        <v>3</v>
      </c>
      <c r="C124" t="s">
        <v>39</v>
      </c>
      <c r="D124">
        <v>26</v>
      </c>
      <c r="E124" t="s">
        <v>3</v>
      </c>
      <c r="F124" t="s">
        <v>22</v>
      </c>
      <c r="G124" t="str">
        <f t="shared" si="13"/>
        <v>+</v>
      </c>
      <c r="H124">
        <v>1</v>
      </c>
      <c r="I124" t="s">
        <v>3</v>
      </c>
    </row>
    <row r="125" spans="1:9" x14ac:dyDescent="0.15">
      <c r="A125" t="str">
        <f t="shared" si="12"/>
        <v>|Lｖ27|HP+2|</v>
      </c>
      <c r="B125" t="s">
        <v>3</v>
      </c>
      <c r="C125" t="s">
        <v>39</v>
      </c>
      <c r="D125">
        <v>27</v>
      </c>
      <c r="E125" t="s">
        <v>3</v>
      </c>
      <c r="F125" t="s">
        <v>7</v>
      </c>
      <c r="G125" t="str">
        <f t="shared" si="13"/>
        <v>+</v>
      </c>
      <c r="H125">
        <v>2</v>
      </c>
      <c r="I125" t="s">
        <v>3</v>
      </c>
    </row>
    <row r="126" spans="1:9" x14ac:dyDescent="0.15">
      <c r="A126" t="str">
        <f t="shared" si="12"/>
        <v>|Lｖ28|白+1|</v>
      </c>
      <c r="B126" t="s">
        <v>3</v>
      </c>
      <c r="C126" t="s">
        <v>39</v>
      </c>
      <c r="D126">
        <v>28</v>
      </c>
      <c r="E126" t="s">
        <v>3</v>
      </c>
      <c r="F126" t="s">
        <v>11</v>
      </c>
      <c r="G126" t="str">
        <f t="shared" si="13"/>
        <v>+</v>
      </c>
      <c r="H126">
        <v>1</v>
      </c>
      <c r="I126" t="s">
        <v>3</v>
      </c>
    </row>
    <row r="127" spans="1:9" x14ac:dyDescent="0.15">
      <c r="A127" t="str">
        <f t="shared" si="12"/>
        <v>|Lｖ29|HP+2|</v>
      </c>
      <c r="B127" t="s">
        <v>3</v>
      </c>
      <c r="C127" t="s">
        <v>39</v>
      </c>
      <c r="D127">
        <v>29</v>
      </c>
      <c r="E127" t="s">
        <v>3</v>
      </c>
      <c r="F127" t="s">
        <v>7</v>
      </c>
      <c r="G127" t="str">
        <f t="shared" si="13"/>
        <v>+</v>
      </c>
      <c r="H127">
        <v>2</v>
      </c>
      <c r="I127" t="s">
        <v>3</v>
      </c>
    </row>
    <row r="128" spans="1:9" x14ac:dyDescent="0.15">
      <c r="A128" t="str">
        <f t="shared" si="12"/>
        <v>|Lｖ30|第2能力Lv2|</v>
      </c>
      <c r="B128" t="s">
        <v>3</v>
      </c>
      <c r="C128" t="s">
        <v>39</v>
      </c>
      <c r="D128">
        <v>30</v>
      </c>
      <c r="E128" t="s">
        <v>3</v>
      </c>
      <c r="F128" t="s">
        <v>41</v>
      </c>
      <c r="G128" t="str">
        <f t="shared" si="13"/>
        <v/>
      </c>
      <c r="H128">
        <v>2</v>
      </c>
      <c r="I128" t="s">
        <v>3</v>
      </c>
    </row>
    <row r="129" spans="1:9" x14ac:dyDescent="0.15">
      <c r="A129" t="str">
        <f t="shared" si="12"/>
        <v>|Lｖ31|HP+3|</v>
      </c>
      <c r="B129" t="s">
        <v>3</v>
      </c>
      <c r="C129" t="s">
        <v>39</v>
      </c>
      <c r="D129">
        <v>31</v>
      </c>
      <c r="E129" t="s">
        <v>3</v>
      </c>
      <c r="F129" t="s">
        <v>7</v>
      </c>
      <c r="G129" t="str">
        <f t="shared" si="13"/>
        <v>+</v>
      </c>
      <c r="H129">
        <v>3</v>
      </c>
      <c r="I129" t="s">
        <v>3</v>
      </c>
    </row>
    <row r="130" spans="1:9" x14ac:dyDescent="0.15">
      <c r="A130" t="str">
        <f t="shared" si="12"/>
        <v>|Lｖ32|呪文+1|</v>
      </c>
      <c r="B130" t="s">
        <v>3</v>
      </c>
      <c r="C130" t="s">
        <v>39</v>
      </c>
      <c r="D130">
        <v>32</v>
      </c>
      <c r="E130" t="s">
        <v>3</v>
      </c>
      <c r="F130" t="s">
        <v>21</v>
      </c>
      <c r="G130" t="str">
        <f t="shared" si="13"/>
        <v>+</v>
      </c>
      <c r="H130">
        <v>1</v>
      </c>
      <c r="I130" t="s">
        <v>3</v>
      </c>
    </row>
    <row r="131" spans="1:9" x14ac:dyDescent="0.15">
      <c r="A131" t="str">
        <f t="shared" si="12"/>
        <v>|Lｖ33|HP+3|</v>
      </c>
      <c r="B131" t="s">
        <v>3</v>
      </c>
      <c r="C131" t="s">
        <v>39</v>
      </c>
      <c r="D131">
        <v>33</v>
      </c>
      <c r="E131" t="s">
        <v>3</v>
      </c>
      <c r="F131" t="s">
        <v>7</v>
      </c>
      <c r="G131" t="str">
        <f t="shared" si="13"/>
        <v>+</v>
      </c>
      <c r="H131">
        <v>3</v>
      </c>
      <c r="I131" t="s">
        <v>3</v>
      </c>
    </row>
    <row r="132" spans="1:9" x14ac:dyDescent="0.15">
      <c r="A132" t="str">
        <f t="shared" si="12"/>
        <v>|Lｖ34|回復速度上昇|</v>
      </c>
      <c r="B132" t="s">
        <v>3</v>
      </c>
      <c r="C132" t="s">
        <v>39</v>
      </c>
      <c r="D132">
        <v>34</v>
      </c>
      <c r="E132" t="s">
        <v>3</v>
      </c>
      <c r="F132" t="s">
        <v>43</v>
      </c>
      <c r="G132" t="str">
        <f t="shared" si="13"/>
        <v/>
      </c>
      <c r="I132" t="s">
        <v>3</v>
      </c>
    </row>
    <row r="133" spans="1:9" x14ac:dyDescent="0.15">
      <c r="A133" t="str">
        <f t="shared" si="12"/>
        <v>|Lｖ35|HP+3|</v>
      </c>
      <c r="B133" t="s">
        <v>3</v>
      </c>
      <c r="C133" t="s">
        <v>39</v>
      </c>
      <c r="D133">
        <v>35</v>
      </c>
      <c r="E133" t="s">
        <v>3</v>
      </c>
      <c r="F133" t="s">
        <v>7</v>
      </c>
      <c r="G133" t="str">
        <f t="shared" si="13"/>
        <v>+</v>
      </c>
      <c r="H133">
        <v>3</v>
      </c>
      <c r="I133" t="s">
        <v>3</v>
      </c>
    </row>
    <row r="134" spans="1:9" x14ac:dyDescent="0.15">
      <c r="A134" t="str">
        <f t="shared" si="12"/>
        <v>|Lｖ36|第3能力Lv2|</v>
      </c>
      <c r="B134" t="s">
        <v>3</v>
      </c>
      <c r="C134" t="s">
        <v>39</v>
      </c>
      <c r="D134">
        <v>36</v>
      </c>
      <c r="E134" t="s">
        <v>3</v>
      </c>
      <c r="F134" t="s">
        <v>42</v>
      </c>
      <c r="G134" t="str">
        <f t="shared" si="13"/>
        <v/>
      </c>
      <c r="H134">
        <v>2</v>
      </c>
      <c r="I134" t="s">
        <v>3</v>
      </c>
    </row>
    <row r="135" spans="1:9" x14ac:dyDescent="0.15">
      <c r="A135" t="str">
        <f t="shared" si="12"/>
        <v>|Lｖ37|HP+3|</v>
      </c>
      <c r="B135" t="s">
        <v>3</v>
      </c>
      <c r="C135" t="s">
        <v>39</v>
      </c>
      <c r="D135">
        <v>37</v>
      </c>
      <c r="E135" t="s">
        <v>3</v>
      </c>
      <c r="F135" t="s">
        <v>7</v>
      </c>
      <c r="G135" t="str">
        <f t="shared" si="13"/>
        <v>+</v>
      </c>
      <c r="H135">
        <v>3</v>
      </c>
      <c r="I135" t="s">
        <v>3</v>
      </c>
    </row>
    <row r="136" spans="1:9" x14ac:dyDescent="0.15">
      <c r="A136" t="str">
        <f t="shared" si="12"/>
        <v>|Lｖ38|赤+1|</v>
      </c>
      <c r="B136" t="s">
        <v>3</v>
      </c>
      <c r="C136" t="s">
        <v>39</v>
      </c>
      <c r="D136">
        <v>38</v>
      </c>
      <c r="E136" t="s">
        <v>3</v>
      </c>
      <c r="F136" t="s">
        <v>14</v>
      </c>
      <c r="G136" t="str">
        <f t="shared" si="13"/>
        <v>+</v>
      </c>
      <c r="H136">
        <v>1</v>
      </c>
      <c r="I136" t="s">
        <v>3</v>
      </c>
    </row>
    <row r="137" spans="1:9" x14ac:dyDescent="0.15">
      <c r="A137" t="str">
        <f t="shared" si="12"/>
        <v>|Lｖ39|HP+3|</v>
      </c>
      <c r="B137" t="s">
        <v>3</v>
      </c>
      <c r="C137" t="s">
        <v>39</v>
      </c>
      <c r="D137">
        <v>39</v>
      </c>
      <c r="E137" t="s">
        <v>3</v>
      </c>
      <c r="F137" t="s">
        <v>7</v>
      </c>
      <c r="G137" t="str">
        <f t="shared" si="13"/>
        <v>+</v>
      </c>
      <c r="H137">
        <v>3</v>
      </c>
      <c r="I137" t="s">
        <v>3</v>
      </c>
    </row>
    <row r="138" spans="1:9" x14ac:dyDescent="0.15">
      <c r="A138" t="str">
        <f t="shared" si="12"/>
        <v>|Lｖ40|第1能力Lv3|</v>
      </c>
      <c r="B138" t="s">
        <v>3</v>
      </c>
      <c r="C138" t="s">
        <v>39</v>
      </c>
      <c r="D138">
        <v>40</v>
      </c>
      <c r="E138" t="s">
        <v>3</v>
      </c>
      <c r="F138" t="s">
        <v>40</v>
      </c>
      <c r="G138" t="str">
        <f t="shared" si="13"/>
        <v/>
      </c>
      <c r="H138">
        <v>3</v>
      </c>
      <c r="I138" t="s">
        <v>3</v>
      </c>
    </row>
    <row r="139" spans="1:9" x14ac:dyDescent="0.15">
      <c r="A139" t="str">
        <f t="shared" si="12"/>
        <v>|Lｖ41|HP+3|</v>
      </c>
      <c r="B139" t="s">
        <v>3</v>
      </c>
      <c r="C139" t="s">
        <v>39</v>
      </c>
      <c r="D139">
        <v>41</v>
      </c>
      <c r="E139" t="s">
        <v>3</v>
      </c>
      <c r="F139" t="s">
        <v>7</v>
      </c>
      <c r="G139" t="str">
        <f t="shared" si="13"/>
        <v>+</v>
      </c>
      <c r="H139">
        <v>3</v>
      </c>
      <c r="I139" t="s">
        <v>3</v>
      </c>
    </row>
    <row r="140" spans="1:9" x14ac:dyDescent="0.15">
      <c r="A140" t="str">
        <f t="shared" si="12"/>
        <v>|Lｖ42|クリーチャー+1|</v>
      </c>
      <c r="B140" t="s">
        <v>3</v>
      </c>
      <c r="C140" t="s">
        <v>39</v>
      </c>
      <c r="D140">
        <v>42</v>
      </c>
      <c r="E140" t="s">
        <v>3</v>
      </c>
      <c r="F140" t="s">
        <v>20</v>
      </c>
      <c r="G140" t="str">
        <f t="shared" si="13"/>
        <v>+</v>
      </c>
      <c r="H140">
        <v>1</v>
      </c>
      <c r="I140" t="s">
        <v>3</v>
      </c>
    </row>
    <row r="141" spans="1:9" x14ac:dyDescent="0.15">
      <c r="A141" t="str">
        <f t="shared" si="12"/>
        <v>|Lｖ43|HP+3|</v>
      </c>
      <c r="B141" t="s">
        <v>3</v>
      </c>
      <c r="C141" t="s">
        <v>39</v>
      </c>
      <c r="D141">
        <v>43</v>
      </c>
      <c r="E141" t="s">
        <v>3</v>
      </c>
      <c r="F141" t="s">
        <v>7</v>
      </c>
      <c r="G141" t="str">
        <f t="shared" si="13"/>
        <v>+</v>
      </c>
      <c r="H141">
        <v>3</v>
      </c>
      <c r="I141" t="s">
        <v>3</v>
      </c>
    </row>
    <row r="142" spans="1:9" x14ac:dyDescent="0.15">
      <c r="A142" t="str">
        <f t="shared" si="12"/>
        <v>|Lｖ44|サポート+1|</v>
      </c>
      <c r="B142" t="s">
        <v>3</v>
      </c>
      <c r="C142" t="s">
        <v>39</v>
      </c>
      <c r="D142">
        <v>44</v>
      </c>
      <c r="E142" t="s">
        <v>3</v>
      </c>
      <c r="F142" t="s">
        <v>22</v>
      </c>
      <c r="G142" t="str">
        <f t="shared" si="13"/>
        <v>+</v>
      </c>
      <c r="H142">
        <v>1</v>
      </c>
      <c r="I142" t="s">
        <v>3</v>
      </c>
    </row>
    <row r="143" spans="1:9" x14ac:dyDescent="0.15">
      <c r="A143" t="str">
        <f t="shared" si="12"/>
        <v>|Lｖ45|HP+3|</v>
      </c>
      <c r="B143" t="s">
        <v>3</v>
      </c>
      <c r="C143" t="s">
        <v>39</v>
      </c>
      <c r="D143">
        <v>45</v>
      </c>
      <c r="E143" t="s">
        <v>3</v>
      </c>
      <c r="F143" t="s">
        <v>7</v>
      </c>
      <c r="G143" t="str">
        <f t="shared" si="13"/>
        <v>+</v>
      </c>
      <c r="H143">
        <v>3</v>
      </c>
      <c r="I143" t="s">
        <v>3</v>
      </c>
    </row>
    <row r="144" spans="1:9" x14ac:dyDescent="0.15">
      <c r="A144" t="str">
        <f t="shared" si="12"/>
        <v>|Lｖ46|第2能力Lv3|</v>
      </c>
      <c r="B144" t="s">
        <v>3</v>
      </c>
      <c r="C144" t="s">
        <v>39</v>
      </c>
      <c r="D144">
        <v>46</v>
      </c>
      <c r="E144" t="s">
        <v>3</v>
      </c>
      <c r="F144" t="s">
        <v>41</v>
      </c>
      <c r="G144" t="str">
        <f t="shared" si="13"/>
        <v/>
      </c>
      <c r="H144">
        <v>3</v>
      </c>
      <c r="I144" t="s">
        <v>3</v>
      </c>
    </row>
    <row r="145" spans="1:9" x14ac:dyDescent="0.15">
      <c r="A145" t="str">
        <f t="shared" si="12"/>
        <v>|Lｖ47|HP+3|</v>
      </c>
      <c r="B145" t="s">
        <v>3</v>
      </c>
      <c r="C145" t="s">
        <v>39</v>
      </c>
      <c r="D145">
        <v>47</v>
      </c>
      <c r="E145" t="s">
        <v>3</v>
      </c>
      <c r="F145" t="s">
        <v>7</v>
      </c>
      <c r="G145" t="str">
        <f t="shared" si="13"/>
        <v>+</v>
      </c>
      <c r="H145">
        <v>3</v>
      </c>
      <c r="I145" t="s">
        <v>3</v>
      </c>
    </row>
    <row r="146" spans="1:9" x14ac:dyDescent="0.15">
      <c r="A146" t="str">
        <f t="shared" si="12"/>
        <v>|Lｖ48|緑+1|</v>
      </c>
      <c r="B146" t="s">
        <v>3</v>
      </c>
      <c r="C146" t="s">
        <v>39</v>
      </c>
      <c r="D146">
        <v>48</v>
      </c>
      <c r="E146" t="s">
        <v>3</v>
      </c>
      <c r="F146" t="s">
        <v>15</v>
      </c>
      <c r="G146" t="str">
        <f t="shared" si="13"/>
        <v>+</v>
      </c>
      <c r="H146">
        <v>1</v>
      </c>
      <c r="I146" t="s">
        <v>3</v>
      </c>
    </row>
    <row r="147" spans="1:9" x14ac:dyDescent="0.15">
      <c r="A147" t="str">
        <f t="shared" si="12"/>
        <v>|Lｖ49|HP+3|</v>
      </c>
      <c r="B147" t="s">
        <v>3</v>
      </c>
      <c r="C147" t="s">
        <v>39</v>
      </c>
      <c r="D147">
        <v>49</v>
      </c>
      <c r="E147" t="s">
        <v>3</v>
      </c>
      <c r="F147" t="s">
        <v>7</v>
      </c>
      <c r="G147" t="str">
        <f t="shared" si="13"/>
        <v>+</v>
      </c>
      <c r="H147">
        <v>3</v>
      </c>
      <c r="I147" t="s">
        <v>3</v>
      </c>
    </row>
    <row r="148" spans="1:9" x14ac:dyDescent="0.15">
      <c r="A148" t="str">
        <f t="shared" si="12"/>
        <v>|Lｖ50|呪文+1|</v>
      </c>
      <c r="B148" t="s">
        <v>3</v>
      </c>
      <c r="C148" t="s">
        <v>39</v>
      </c>
      <c r="D148">
        <v>50</v>
      </c>
      <c r="E148" t="s">
        <v>3</v>
      </c>
      <c r="F148" t="s">
        <v>21</v>
      </c>
      <c r="G148" t="str">
        <f t="shared" si="13"/>
        <v>+</v>
      </c>
      <c r="H148">
        <v>1</v>
      </c>
      <c r="I148" t="s">
        <v>3</v>
      </c>
    </row>
    <row r="149" spans="1:9" x14ac:dyDescent="0.15">
      <c r="A149" t="str">
        <f t="shared" si="12"/>
        <v>|Lｖ51|HP+3|</v>
      </c>
      <c r="B149" t="s">
        <v>3</v>
      </c>
      <c r="C149" t="s">
        <v>39</v>
      </c>
      <c r="D149">
        <v>51</v>
      </c>
      <c r="E149" t="s">
        <v>3</v>
      </c>
      <c r="F149" t="s">
        <v>7</v>
      </c>
      <c r="G149" t="str">
        <f t="shared" si="13"/>
        <v>+</v>
      </c>
      <c r="H149">
        <v>3</v>
      </c>
      <c r="I149" t="s">
        <v>3</v>
      </c>
    </row>
    <row r="150" spans="1:9" x14ac:dyDescent="0.15">
      <c r="A150" t="str">
        <f t="shared" si="12"/>
        <v>|Lｖ52|第3能力Lv3|</v>
      </c>
      <c r="B150" t="s">
        <v>3</v>
      </c>
      <c r="C150" t="s">
        <v>39</v>
      </c>
      <c r="D150">
        <v>52</v>
      </c>
      <c r="E150" t="s">
        <v>3</v>
      </c>
      <c r="F150" t="s">
        <v>42</v>
      </c>
      <c r="G150" t="str">
        <f t="shared" si="13"/>
        <v/>
      </c>
      <c r="H150">
        <v>3</v>
      </c>
      <c r="I150" t="s">
        <v>3</v>
      </c>
    </row>
    <row r="151" spans="1:9" x14ac:dyDescent="0.15">
      <c r="A151" t="str">
        <f t="shared" si="12"/>
        <v>|Lｖ53|HP+3|</v>
      </c>
      <c r="B151" t="s">
        <v>3</v>
      </c>
      <c r="C151" t="s">
        <v>39</v>
      </c>
      <c r="D151">
        <v>53</v>
      </c>
      <c r="E151" t="s">
        <v>3</v>
      </c>
      <c r="F151" t="s">
        <v>7</v>
      </c>
      <c r="G151" t="str">
        <f t="shared" si="13"/>
        <v>+</v>
      </c>
      <c r="H151">
        <v>3</v>
      </c>
      <c r="I151" t="s">
        <v>3</v>
      </c>
    </row>
    <row r="152" spans="1:9" x14ac:dyDescent="0.15">
      <c r="A152" t="str">
        <f t="shared" si="12"/>
        <v>|Lｖ54|青+1|</v>
      </c>
      <c r="B152" t="s">
        <v>3</v>
      </c>
      <c r="C152" t="s">
        <v>39</v>
      </c>
      <c r="D152">
        <v>54</v>
      </c>
      <c r="E152" t="s">
        <v>3</v>
      </c>
      <c r="F152" t="s">
        <v>12</v>
      </c>
      <c r="G152" t="str">
        <f t="shared" si="13"/>
        <v>+</v>
      </c>
      <c r="H152">
        <v>1</v>
      </c>
      <c r="I152" t="s">
        <v>3</v>
      </c>
    </row>
    <row r="153" spans="1:9" x14ac:dyDescent="0.15">
      <c r="A153" t="str">
        <f t="shared" ref="A153:A164" si="14">B153&amp;C153&amp;D153&amp;E153&amp;F153&amp;G153&amp;H153&amp;I153&amp;J153&amp;K153&amp;L153&amp;M153&amp;N153&amp;O153&amp;P153</f>
        <v>|Lｖ55|HP+3|</v>
      </c>
      <c r="B153" t="s">
        <v>3</v>
      </c>
      <c r="C153" t="s">
        <v>39</v>
      </c>
      <c r="D153">
        <v>55</v>
      </c>
      <c r="E153" t="s">
        <v>3</v>
      </c>
      <c r="F153" t="s">
        <v>7</v>
      </c>
      <c r="G153" t="str">
        <f t="shared" si="13"/>
        <v>+</v>
      </c>
      <c r="H153">
        <v>3</v>
      </c>
      <c r="I153" t="s">
        <v>3</v>
      </c>
    </row>
    <row r="154" spans="1:9" x14ac:dyDescent="0.15">
      <c r="A154" t="str">
        <f t="shared" si="14"/>
        <v>|Lｖ56|第1能力Lv4|</v>
      </c>
      <c r="B154" t="s">
        <v>3</v>
      </c>
      <c r="C154" t="s">
        <v>39</v>
      </c>
      <c r="D154">
        <v>56</v>
      </c>
      <c r="E154" t="s">
        <v>3</v>
      </c>
      <c r="F154" t="s">
        <v>40</v>
      </c>
      <c r="G154" t="str">
        <f t="shared" si="13"/>
        <v/>
      </c>
      <c r="H154">
        <v>4</v>
      </c>
      <c r="I154" t="s">
        <v>3</v>
      </c>
    </row>
    <row r="155" spans="1:9" x14ac:dyDescent="0.15">
      <c r="A155" t="str">
        <f t="shared" si="14"/>
        <v>|Lｖ57|HP+3|</v>
      </c>
      <c r="B155" t="s">
        <v>3</v>
      </c>
      <c r="C155" t="s">
        <v>39</v>
      </c>
      <c r="D155">
        <v>57</v>
      </c>
      <c r="E155" t="s">
        <v>3</v>
      </c>
      <c r="F155" t="s">
        <v>7</v>
      </c>
      <c r="G155" t="str">
        <f>IF(OR(F155=$Q$108,F155=$Q$109,F155=$Q$110,F155=$Q$111,ISBLANK(F155)),"","+")</f>
        <v>+</v>
      </c>
      <c r="H155">
        <v>3</v>
      </c>
      <c r="I155" t="s">
        <v>3</v>
      </c>
    </row>
    <row r="156" spans="1:9" x14ac:dyDescent="0.15">
      <c r="A156" t="str">
        <f t="shared" si="14"/>
        <v>|Lｖ58|第2能力Lv4|</v>
      </c>
      <c r="B156" t="s">
        <v>3</v>
      </c>
      <c r="C156" t="s">
        <v>39</v>
      </c>
      <c r="D156">
        <v>58</v>
      </c>
      <c r="E156" t="s">
        <v>3</v>
      </c>
      <c r="F156" t="s">
        <v>41</v>
      </c>
      <c r="G156" t="str">
        <f t="shared" si="13"/>
        <v/>
      </c>
      <c r="H156">
        <v>4</v>
      </c>
      <c r="I156" t="s">
        <v>3</v>
      </c>
    </row>
    <row r="157" spans="1:9" x14ac:dyDescent="0.15">
      <c r="A157" t="str">
        <f t="shared" si="14"/>
        <v>|Lｖ59|HP+3|</v>
      </c>
      <c r="B157" t="s">
        <v>3</v>
      </c>
      <c r="C157" t="s">
        <v>39</v>
      </c>
      <c r="D157">
        <v>59</v>
      </c>
      <c r="E157" t="s">
        <v>3</v>
      </c>
      <c r="F157" t="s">
        <v>7</v>
      </c>
      <c r="G157" t="str">
        <f t="shared" si="13"/>
        <v>+</v>
      </c>
      <c r="H157">
        <v>3</v>
      </c>
      <c r="I157" t="s">
        <v>3</v>
      </c>
    </row>
    <row r="158" spans="1:9" x14ac:dyDescent="0.15">
      <c r="A158" t="str">
        <f t="shared" si="14"/>
        <v>|Lｖ60|第3能力Lv4|</v>
      </c>
      <c r="B158" t="s">
        <v>3</v>
      </c>
      <c r="C158" t="s">
        <v>39</v>
      </c>
      <c r="D158">
        <v>60</v>
      </c>
      <c r="E158" t="s">
        <v>3</v>
      </c>
      <c r="F158" t="s">
        <v>42</v>
      </c>
      <c r="G158" t="s">
        <v>44</v>
      </c>
      <c r="H158">
        <v>4</v>
      </c>
      <c r="I158" t="s">
        <v>3</v>
      </c>
    </row>
    <row r="159" spans="1:9" x14ac:dyDescent="0.15">
      <c r="A159" t="str">
        <f t="shared" si="14"/>
        <v>必要総経験値：160720ルーン</v>
      </c>
      <c r="B159" t="s">
        <v>45</v>
      </c>
      <c r="C159">
        <v>160720</v>
      </c>
      <c r="F159" t="s">
        <v>46</v>
      </c>
    </row>
    <row r="160" spans="1:9" x14ac:dyDescent="0.15">
      <c r="A160" t="str">
        <f t="shared" si="14"/>
        <v>&amp;br;</v>
      </c>
      <c r="B160" t="s">
        <v>0</v>
      </c>
    </row>
    <row r="161" spans="1:2" x14ac:dyDescent="0.15">
      <c r="A161" t="str">
        <f t="shared" si="14"/>
        <v>#back(text=戻る,left)</v>
      </c>
      <c r="B161" t="s">
        <v>47</v>
      </c>
    </row>
    <row r="162" spans="1:2" x14ac:dyDescent="0.15">
      <c r="A162" t="str">
        <f t="shared" si="14"/>
        <v>&amp;br;</v>
      </c>
      <c r="B162" t="s">
        <v>0</v>
      </c>
    </row>
    <row r="163" spans="1:2" x14ac:dyDescent="0.15">
      <c r="A163" t="str">
        <f t="shared" si="14"/>
        <v>#comment(above,nsize=[15],size=[30],num=[10])</v>
      </c>
      <c r="B163" t="s">
        <v>48</v>
      </c>
    </row>
    <row r="164" spans="1:2" x14ac:dyDescent="0.15">
      <c r="A164" t="str">
        <f t="shared" si="14"/>
        <v>[[プレインズウォーカーリスト&gt;プレインズウォーカーリスト]]</v>
      </c>
      <c r="B164" t="s">
        <v>49</v>
      </c>
    </row>
  </sheetData>
  <autoFilter ref="C99:I164"/>
  <phoneticPr fontId="4"/>
  <dataValidations count="4">
    <dataValidation type="list" allowBlank="1" showInputMessage="1" showErrorMessage="1" sqref="F118">
      <formula1>$Q$128:$Q$140</formula1>
    </dataValidation>
    <dataValidation type="list" allowBlank="1" showInputMessage="1" showErrorMessage="1" sqref="F159">
      <formula1>$Q$89:$Q$101</formula1>
    </dataValidation>
    <dataValidation type="list" allowBlank="1" showInputMessage="1" showErrorMessage="1" sqref="H100:H157">
      <formula1>",1,2,3,4,8"</formula1>
    </dataValidation>
    <dataValidation type="list" allowBlank="1" showInputMessage="1" showErrorMessage="1" sqref="F100:F117 F119:F158">
      <formula1>$Q$99:$Q$111</formula1>
    </dataValidation>
  </dataValidations>
  <pageMargins left="0.69930555555555596" right="0.69930555555555596"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A1:W208"/>
  <sheetViews>
    <sheetView topLeftCell="A124" workbookViewId="0">
      <selection activeCell="I144" sqref="I144"/>
    </sheetView>
  </sheetViews>
  <sheetFormatPr defaultColWidth="9" defaultRowHeight="13.5" x14ac:dyDescent="0.15"/>
  <cols>
    <col min="2" max="2" width="3.5" customWidth="1"/>
    <col min="3" max="3" width="7.875" customWidth="1"/>
    <col min="4" max="4" width="5.5" customWidth="1"/>
    <col min="5" max="5" width="2.875" customWidth="1"/>
    <col min="7" max="7" width="2" customWidth="1"/>
    <col min="9" max="9" width="2" customWidth="1"/>
    <col min="11" max="11" width="2" customWidth="1"/>
    <col min="13" max="13" width="2" customWidth="1"/>
    <col min="15" max="15" width="2" customWidth="1"/>
    <col min="17" max="17" width="2.75" customWidth="1"/>
  </cols>
  <sheetData>
    <row r="1" spans="1:23" x14ac:dyDescent="0.15">
      <c r="A1" t="str">
        <f t="shared" ref="A1:A13" si="0">C1&amp;D1&amp;E1&amp;F1&amp;G1&amp;H1&amp;I1&amp;J1&amp;K1&amp;L1&amp;M1&amp;N1&amp;O1&amp;P1&amp;Q1&amp;R1&amp;S1&amp;T1&amp;U1&amp;V1</f>
        <v>*Lv60時ステータス</v>
      </c>
      <c r="C1" t="s">
        <v>577</v>
      </c>
      <c r="W1">
        <v>107.142857142857</v>
      </c>
    </row>
    <row r="2" spans="1:23" x14ac:dyDescent="0.15">
      <c r="A2" t="str">
        <f t="shared" si="0"/>
        <v>|LEFT:70|LEFT:30|LEFT:30|LEFT:30|LEFT:30|LEFT:30|LEFT:70|LEFT:50|LEFT:60|c</v>
      </c>
      <c r="C2" t="s">
        <v>3</v>
      </c>
      <c r="D2" t="s">
        <v>578</v>
      </c>
      <c r="E2" t="s">
        <v>3</v>
      </c>
      <c r="F2" t="s">
        <v>579</v>
      </c>
      <c r="G2" t="s">
        <v>3</v>
      </c>
      <c r="H2" t="s">
        <v>579</v>
      </c>
      <c r="I2" t="s">
        <v>3</v>
      </c>
      <c r="J2" t="s">
        <v>579</v>
      </c>
      <c r="K2" t="s">
        <v>3</v>
      </c>
      <c r="L2" t="s">
        <v>579</v>
      </c>
      <c r="M2" t="s">
        <v>3</v>
      </c>
      <c r="N2" t="s">
        <v>579</v>
      </c>
      <c r="O2" t="s">
        <v>3</v>
      </c>
      <c r="P2" t="s">
        <v>578</v>
      </c>
      <c r="Q2" t="s">
        <v>3</v>
      </c>
      <c r="R2" t="s">
        <v>4</v>
      </c>
      <c r="S2" t="s">
        <v>3</v>
      </c>
      <c r="T2" t="s">
        <v>580</v>
      </c>
      <c r="U2" t="s">
        <v>3</v>
      </c>
      <c r="V2" t="s">
        <v>5</v>
      </c>
    </row>
    <row r="3" spans="1:23" x14ac:dyDescent="0.15">
      <c r="A3" t="str">
        <f t="shared" si="0"/>
        <v>|HP|&gt;|&gt;|&gt;|&gt;|マナボーナス|&gt;|&gt;|デッキ構築枚数上限|</v>
      </c>
      <c r="C3" t="s">
        <v>3</v>
      </c>
      <c r="D3" t="s">
        <v>7</v>
      </c>
      <c r="E3" t="s">
        <v>3</v>
      </c>
      <c r="F3" t="s">
        <v>209</v>
      </c>
      <c r="G3" t="s">
        <v>3</v>
      </c>
      <c r="H3" t="s">
        <v>209</v>
      </c>
      <c r="I3" t="s">
        <v>3</v>
      </c>
      <c r="J3" t="s">
        <v>209</v>
      </c>
      <c r="K3" t="s">
        <v>3</v>
      </c>
      <c r="L3" t="s">
        <v>209</v>
      </c>
      <c r="M3" t="s">
        <v>3</v>
      </c>
      <c r="N3" t="s">
        <v>581</v>
      </c>
      <c r="O3" t="s">
        <v>3</v>
      </c>
      <c r="P3" t="s">
        <v>209</v>
      </c>
      <c r="Q3" t="s">
        <v>3</v>
      </c>
      <c r="R3" t="s">
        <v>209</v>
      </c>
      <c r="S3" t="s">
        <v>3</v>
      </c>
      <c r="T3" t="s">
        <v>582</v>
      </c>
      <c r="U3" t="s">
        <v>3</v>
      </c>
    </row>
    <row r="4" spans="1:23" x14ac:dyDescent="0.15">
      <c r="A4" t="str">
        <f t="shared" si="0"/>
        <v>|^|白|青|黒|赤|緑|クリーチャー|呪文|サポート|</v>
      </c>
      <c r="C4" t="s">
        <v>3</v>
      </c>
      <c r="D4" t="s">
        <v>583</v>
      </c>
      <c r="E4" t="s">
        <v>3</v>
      </c>
      <c r="F4" t="s">
        <v>11</v>
      </c>
      <c r="G4" t="s">
        <v>3</v>
      </c>
      <c r="H4" t="s">
        <v>12</v>
      </c>
      <c r="I4" t="s">
        <v>3</v>
      </c>
      <c r="J4" t="s">
        <v>13</v>
      </c>
      <c r="K4" t="s">
        <v>3</v>
      </c>
      <c r="L4" t="s">
        <v>14</v>
      </c>
      <c r="M4" t="s">
        <v>3</v>
      </c>
      <c r="N4" t="s">
        <v>15</v>
      </c>
      <c r="O4" t="s">
        <v>3</v>
      </c>
      <c r="P4" t="s">
        <v>20</v>
      </c>
      <c r="Q4" t="s">
        <v>3</v>
      </c>
      <c r="R4" t="s">
        <v>21</v>
      </c>
      <c r="S4" t="s">
        <v>3</v>
      </c>
      <c r="T4" t="s">
        <v>22</v>
      </c>
      <c r="U4" t="s">
        <v>3</v>
      </c>
    </row>
    <row r="5" spans="1:23" x14ac:dyDescent="0.15">
      <c r="A5" t="str">
        <f t="shared" si="0"/>
        <v>|115|0|3|0|0|4|5|6|5|</v>
      </c>
      <c r="C5" t="s">
        <v>3</v>
      </c>
      <c r="D5">
        <f>VLOOKUP(MAX(D39:D67),D39:F67,3,TRUE)</f>
        <v>115</v>
      </c>
      <c r="E5" t="s">
        <v>3</v>
      </c>
      <c r="F5">
        <f>VLOOKUP(MAX($D$73:$D$83),$D$73:$P$83,5,TRUE)</f>
        <v>0</v>
      </c>
      <c r="G5" t="s">
        <v>3</v>
      </c>
      <c r="H5">
        <f>VLOOKUP(MAX($D$73:$D$83),$D$73:$P$83,7,TRUE)</f>
        <v>3</v>
      </c>
      <c r="I5" t="s">
        <v>3</v>
      </c>
      <c r="J5">
        <f>VLOOKUP(MAX($D$73:$D$83),$D$73:$P$83,9,TRUE)</f>
        <v>0</v>
      </c>
      <c r="K5" t="s">
        <v>3</v>
      </c>
      <c r="L5">
        <f>VLOOKUP(MAX($D$73:$D$83),$D$73:$P$83,11,TRUE)</f>
        <v>0</v>
      </c>
      <c r="M5" t="s">
        <v>3</v>
      </c>
      <c r="N5">
        <f>VLOOKUP(MAX($D$73:$D$83),$D$73:$P$83,13,TRUE)</f>
        <v>4</v>
      </c>
      <c r="O5" t="s">
        <v>3</v>
      </c>
      <c r="P5">
        <f>VLOOKUP(MAX($D$90:$D$95),$D$90:$L$95,5,TRUE)</f>
        <v>5</v>
      </c>
      <c r="Q5" t="s">
        <v>3</v>
      </c>
      <c r="R5">
        <f>VLOOKUP(MAX($D$90:$D$96),$D$90:$L$96,7,TRUE)</f>
        <v>6</v>
      </c>
      <c r="S5" t="s">
        <v>3</v>
      </c>
      <c r="T5">
        <f>VLOOKUP(MAX($D$90:$D$95),$D$90:$L$95,9,TRUE)</f>
        <v>5</v>
      </c>
      <c r="U5" t="s">
        <v>3</v>
      </c>
    </row>
    <row r="6" spans="1:23" x14ac:dyDescent="0.15">
      <c r="A6" t="str">
        <f t="shared" si="0"/>
        <v>||&gt;|&gt;|&gt;|&gt;|&gt;|&gt;|PW能力|コスト|</v>
      </c>
      <c r="C6" t="s">
        <v>3</v>
      </c>
      <c r="E6" t="s">
        <v>3</v>
      </c>
      <c r="F6" t="s">
        <v>209</v>
      </c>
      <c r="G6" t="s">
        <v>3</v>
      </c>
      <c r="H6" t="s">
        <v>209</v>
      </c>
      <c r="I6" t="s">
        <v>3</v>
      </c>
      <c r="J6" t="s">
        <v>209</v>
      </c>
      <c r="K6" t="s">
        <v>3</v>
      </c>
      <c r="L6" t="s">
        <v>209</v>
      </c>
      <c r="M6" t="s">
        <v>3</v>
      </c>
      <c r="N6" t="s">
        <v>209</v>
      </c>
      <c r="O6" t="s">
        <v>3</v>
      </c>
      <c r="P6" t="s">
        <v>209</v>
      </c>
      <c r="Q6" t="s">
        <v>3</v>
      </c>
      <c r="R6" t="s">
        <v>584</v>
      </c>
      <c r="S6" t="s">
        <v>3</v>
      </c>
      <c r="T6" t="s">
        <v>28</v>
      </c>
      <c r="U6" t="s">
        <v>3</v>
      </c>
    </row>
    <row r="7" spans="1:23" x14ac:dyDescent="0.15">
      <c r="A7" t="str">
        <f t="shared" si="0"/>
        <v>|第1能力|&gt;|&gt;|&gt;|&gt;|&gt;|&gt;|手綱/Harness|9|</v>
      </c>
      <c r="C7" t="s">
        <v>3</v>
      </c>
      <c r="D7" t="s">
        <v>585</v>
      </c>
      <c r="E7" t="s">
        <v>3</v>
      </c>
      <c r="F7" t="s">
        <v>209</v>
      </c>
      <c r="G7" t="s">
        <v>3</v>
      </c>
      <c r="H7" t="s">
        <v>209</v>
      </c>
      <c r="I7" t="s">
        <v>3</v>
      </c>
      <c r="J7" t="s">
        <v>209</v>
      </c>
      <c r="K7" t="s">
        <v>3</v>
      </c>
      <c r="L7" t="s">
        <v>209</v>
      </c>
      <c r="M7" t="s">
        <v>3</v>
      </c>
      <c r="N7" t="s">
        <v>209</v>
      </c>
      <c r="O7" t="s">
        <v>3</v>
      </c>
      <c r="P7" t="s">
        <v>209</v>
      </c>
      <c r="Q7" t="s">
        <v>3</v>
      </c>
      <c r="R7" t="str">
        <f>R100</f>
        <v>手綱/Harness</v>
      </c>
      <c r="S7" t="s">
        <v>3</v>
      </c>
      <c r="T7">
        <f>H106</f>
        <v>9</v>
      </c>
      <c r="U7" t="s">
        <v>3</v>
      </c>
    </row>
    <row r="8" spans="1:23" x14ac:dyDescent="0.15">
      <c r="A8" t="str">
        <f t="shared" si="0"/>
        <v>|&gt;|&gt;|&gt;|&gt;|&gt;|&gt;|&gt;|&gt;|自分の最初の手札に3マナ、それ以外の自分の各手札は1マナ得る。|</v>
      </c>
      <c r="C8" t="s">
        <v>3</v>
      </c>
      <c r="D8" t="s">
        <v>209</v>
      </c>
      <c r="E8" t="s">
        <v>3</v>
      </c>
      <c r="F8" t="s">
        <v>209</v>
      </c>
      <c r="G8" t="s">
        <v>3</v>
      </c>
      <c r="H8" t="s">
        <v>209</v>
      </c>
      <c r="I8" t="s">
        <v>3</v>
      </c>
      <c r="J8" t="s">
        <v>209</v>
      </c>
      <c r="K8" t="s">
        <v>3</v>
      </c>
      <c r="L8" t="s">
        <v>209</v>
      </c>
      <c r="M8" t="s">
        <v>3</v>
      </c>
      <c r="N8" t="s">
        <v>209</v>
      </c>
      <c r="O8" t="s">
        <v>3</v>
      </c>
      <c r="P8" t="s">
        <v>209</v>
      </c>
      <c r="Q8" t="s">
        <v>3</v>
      </c>
      <c r="R8" t="s">
        <v>209</v>
      </c>
      <c r="S8" t="s">
        <v>3</v>
      </c>
      <c r="T8" t="str">
        <f>J106</f>
        <v>自分の最初の手札に3マナ、それ以外の自分の各手札は1マナ得る。</v>
      </c>
      <c r="U8" t="s">
        <v>3</v>
      </c>
    </row>
    <row r="9" spans="1:23" x14ac:dyDescent="0.15">
      <c r="A9" t="str">
        <f t="shared" si="0"/>
        <v>|第2能力|&gt;|&gt;|&gt;|&gt;|&gt;|&gt;|落葉/Shed|12|</v>
      </c>
      <c r="C9" t="s">
        <v>3</v>
      </c>
      <c r="D9" t="s">
        <v>587</v>
      </c>
      <c r="E9" t="s">
        <v>3</v>
      </c>
      <c r="F9" t="s">
        <v>209</v>
      </c>
      <c r="G9" t="s">
        <v>3</v>
      </c>
      <c r="H9" t="s">
        <v>209</v>
      </c>
      <c r="I9" t="s">
        <v>3</v>
      </c>
      <c r="J9" t="s">
        <v>209</v>
      </c>
      <c r="K9" t="s">
        <v>3</v>
      </c>
      <c r="L9" t="s">
        <v>209</v>
      </c>
      <c r="M9" t="s">
        <v>3</v>
      </c>
      <c r="N9" t="s">
        <v>209</v>
      </c>
      <c r="O9" t="s">
        <v>3</v>
      </c>
      <c r="P9" t="s">
        <v>209</v>
      </c>
      <c r="Q9" t="s">
        <v>3</v>
      </c>
      <c r="R9" t="str">
        <f>R109</f>
        <v>落葉/Shed</v>
      </c>
      <c r="S9" t="s">
        <v>3</v>
      </c>
      <c r="T9">
        <f>H115</f>
        <v>12</v>
      </c>
      <c r="U9" t="s">
        <v>3</v>
      </c>
    </row>
    <row r="10" spans="1:23" x14ac:dyDescent="0.15">
      <c r="A10" t="str">
        <f t="shared" si="0"/>
        <v>|&gt;|&gt;|&gt;|&gt;|&gt;|&gt;|&gt;|&gt;|[[サイクリング]]を持たない各手札はサイクリング1を得る。|</v>
      </c>
      <c r="C10" t="s">
        <v>3</v>
      </c>
      <c r="D10" t="s">
        <v>209</v>
      </c>
      <c r="E10" t="s">
        <v>3</v>
      </c>
      <c r="F10" t="s">
        <v>209</v>
      </c>
      <c r="G10" t="s">
        <v>3</v>
      </c>
      <c r="H10" t="s">
        <v>209</v>
      </c>
      <c r="I10" t="s">
        <v>3</v>
      </c>
      <c r="J10" t="s">
        <v>209</v>
      </c>
      <c r="K10" t="s">
        <v>3</v>
      </c>
      <c r="L10" t="s">
        <v>209</v>
      </c>
      <c r="M10" t="s">
        <v>3</v>
      </c>
      <c r="N10" t="s">
        <v>209</v>
      </c>
      <c r="O10" t="s">
        <v>3</v>
      </c>
      <c r="P10" t="s">
        <v>209</v>
      </c>
      <c r="Q10" t="s">
        <v>3</v>
      </c>
      <c r="R10" t="s">
        <v>209</v>
      </c>
      <c r="S10" t="s">
        <v>3</v>
      </c>
      <c r="T10" t="str">
        <f>J115</f>
        <v>[[サイクリング]]を持たない各手札はサイクリング1を得る。</v>
      </c>
      <c r="U10" t="s">
        <v>3</v>
      </c>
    </row>
    <row r="11" spans="1:23" x14ac:dyDescent="0.15">
      <c r="A11" t="str">
        <f t="shared" si="0"/>
        <v>|第3能力|&gt;|&gt;|&gt;|&gt;|&gt;|&gt;|熱望/Aspire|21|</v>
      </c>
      <c r="C11" t="s">
        <v>3</v>
      </c>
      <c r="D11" t="s">
        <v>590</v>
      </c>
      <c r="E11" t="s">
        <v>3</v>
      </c>
      <c r="F11" t="s">
        <v>209</v>
      </c>
      <c r="G11" t="s">
        <v>3</v>
      </c>
      <c r="H11" t="s">
        <v>209</v>
      </c>
      <c r="I11" t="s">
        <v>3</v>
      </c>
      <c r="J11" t="s">
        <v>209</v>
      </c>
      <c r="K11" t="s">
        <v>3</v>
      </c>
      <c r="L11" t="s">
        <v>209</v>
      </c>
      <c r="M11" t="s">
        <v>3</v>
      </c>
      <c r="N11" t="s">
        <v>209</v>
      </c>
      <c r="O11" t="s">
        <v>3</v>
      </c>
      <c r="P11" t="s">
        <v>209</v>
      </c>
      <c r="Q11" t="s">
        <v>3</v>
      </c>
      <c r="R11" t="str">
        <f>R118</f>
        <v>熱望/Aspire</v>
      </c>
      <c r="S11" t="s">
        <v>3</v>
      </c>
      <c r="T11">
        <f>H124</f>
        <v>21</v>
      </c>
      <c r="U11" t="s">
        <v>3</v>
      </c>
    </row>
    <row r="12" spans="1:23" x14ac:dyDescent="0.15">
      <c r="A12" t="str">
        <f t="shared" si="0"/>
        <v>|&gt;|&gt;|&gt;|&gt;|&gt;|&gt;|&gt;|&gt;|「あなたがサイクリングするたびに、あなたの各手札は2マナ得ると共にあなたのコントロールする各クリーチャーは+4/+4の修整を得る」という能力を持つサポートトークン(シールド値3）を生成する。|</v>
      </c>
      <c r="C12" t="s">
        <v>3</v>
      </c>
      <c r="D12" t="s">
        <v>209</v>
      </c>
      <c r="E12" t="s">
        <v>3</v>
      </c>
      <c r="F12" t="s">
        <v>209</v>
      </c>
      <c r="G12" t="s">
        <v>3</v>
      </c>
      <c r="H12" t="s">
        <v>209</v>
      </c>
      <c r="I12" t="s">
        <v>3</v>
      </c>
      <c r="J12" t="s">
        <v>209</v>
      </c>
      <c r="K12" t="s">
        <v>3</v>
      </c>
      <c r="L12" t="s">
        <v>209</v>
      </c>
      <c r="M12" t="s">
        <v>3</v>
      </c>
      <c r="N12" t="s">
        <v>209</v>
      </c>
      <c r="O12" t="s">
        <v>3</v>
      </c>
      <c r="P12" t="s">
        <v>209</v>
      </c>
      <c r="Q12" t="s">
        <v>3</v>
      </c>
      <c r="R12" t="s">
        <v>209</v>
      </c>
      <c r="S12" t="s">
        <v>3</v>
      </c>
      <c r="T12" t="str">
        <f>J124</f>
        <v>「あなたがサイクリングするたびに、あなたの各手札は2マナ得ると共にあなたのコントロールする各クリーチャーは+4/+4の修整を得る」という能力を持つサポートトークン(シールド値3）を生成する。</v>
      </c>
      <c r="U12" t="s">
        <v>3</v>
      </c>
    </row>
    <row r="13" spans="1:23" x14ac:dyDescent="0.15">
      <c r="A13" t="str">
        <f t="shared" si="0"/>
        <v/>
      </c>
    </row>
    <row r="14" spans="1:23" x14ac:dyDescent="0.15">
      <c r="A14" t="str">
        <f t="shared" ref="A14:A33" si="1">B14&amp;C14&amp;D14&amp;E14&amp;F14&amp;G14&amp;H14&amp;I14&amp;J14&amp;K14&amp;L14&amp;M14&amp;N14&amp;O14&amp;P14&amp;Q14&amp;R14&amp;S14&amp;T14&amp;U14</f>
        <v>*評価</v>
      </c>
      <c r="B14" t="s">
        <v>592</v>
      </c>
      <c r="C14" t="s">
        <v>593</v>
      </c>
    </row>
    <row r="15" spans="1:23" x14ac:dyDescent="0.15">
      <c r="A15" t="str">
        <f t="shared" si="1"/>
        <v>・HPは平均以上</v>
      </c>
      <c r="B15" t="s">
        <v>594</v>
      </c>
      <c r="C15" s="8" t="s">
        <v>653</v>
      </c>
      <c r="D15" t="str">
        <f>IF(D5&gt;110,"以上",IF(D5&gt;104,"","以下"))</f>
        <v>以上</v>
      </c>
    </row>
    <row r="16" spans="1:23" x14ac:dyDescent="0.15">
      <c r="A16" t="str">
        <f t="shared" si="1"/>
        <v>・マナボーナス合計は+7。平均。</v>
      </c>
      <c r="B16" t="s">
        <v>594</v>
      </c>
      <c r="C16" t="s">
        <v>595</v>
      </c>
      <c r="D16">
        <f>SUM(F5:N5)</f>
        <v>7</v>
      </c>
      <c r="E16" t="s">
        <v>596</v>
      </c>
      <c r="F16" t="s">
        <v>597</v>
      </c>
      <c r="G16" t="str">
        <f>IF(D16&gt;8,"以上",IF(D16&gt;6,"","以下"))</f>
        <v/>
      </c>
      <c r="H16" t="s">
        <v>596</v>
      </c>
    </row>
    <row r="17" spans="1:6" x14ac:dyDescent="0.15">
      <c r="A17" t="str">
        <f t="shared" si="1"/>
        <v>・</v>
      </c>
      <c r="B17" t="s">
        <v>594</v>
      </c>
    </row>
    <row r="18" spans="1:6" x14ac:dyDescent="0.15">
      <c r="A18" t="str">
        <f t="shared" si="1"/>
        <v>・</v>
      </c>
      <c r="B18" t="s">
        <v>594</v>
      </c>
    </row>
    <row r="19" spans="1:6" x14ac:dyDescent="0.15">
      <c r="A19" t="str">
        <f t="shared" si="1"/>
        <v>・</v>
      </c>
      <c r="B19" t="s">
        <v>594</v>
      </c>
    </row>
    <row r="20" spans="1:6" x14ac:dyDescent="0.15">
      <c r="A20" t="str">
        <f t="shared" si="1"/>
        <v>*採用候補</v>
      </c>
      <c r="B20" s="8" t="s">
        <v>652</v>
      </c>
    </row>
    <row r="21" spans="1:6" x14ac:dyDescent="0.15">
      <c r="A21" t="str">
        <f t="shared" si="1"/>
        <v>・色が合えば採用候補レベルのものではなく、PWに合った採用候補を紹介</v>
      </c>
      <c r="B21" t="s">
        <v>645</v>
      </c>
    </row>
    <row r="22" spans="1:6" x14ac:dyDescent="0.15">
      <c r="A22" t="str">
        <f t="shared" si="1"/>
        <v/>
      </c>
    </row>
    <row r="23" spans="1:6" x14ac:dyDescent="0.15">
      <c r="A23" t="str">
        <f t="shared" si="1"/>
        <v>**スタンダード</v>
      </c>
      <c r="B23" s="8" t="s">
        <v>650</v>
      </c>
    </row>
    <row r="24" spans="1:6" x14ac:dyDescent="0.15">
      <c r="A24" t="str">
        <f t="shared" si="1"/>
        <v>スタンダード(ORI/KLD/AKH/HOU期)</v>
      </c>
      <c r="B24" t="s">
        <v>646</v>
      </c>
    </row>
    <row r="25" spans="1:6" x14ac:dyDescent="0.15">
      <c r="A25" t="str">
        <f t="shared" si="1"/>
        <v>《[[]]》[]：</v>
      </c>
      <c r="B25" s="8" t="s">
        <v>718</v>
      </c>
      <c r="D25" t="s">
        <v>719</v>
      </c>
      <c r="E25" s="8"/>
      <c r="F25" t="s">
        <v>713</v>
      </c>
    </row>
    <row r="26" spans="1:6" x14ac:dyDescent="0.15">
      <c r="A26" t="str">
        <f t="shared" si="1"/>
        <v>《[[]]》[]：</v>
      </c>
      <c r="B26" s="8" t="s">
        <v>718</v>
      </c>
      <c r="D26" t="s">
        <v>719</v>
      </c>
      <c r="E26" s="8"/>
      <c r="F26" t="s">
        <v>713</v>
      </c>
    </row>
    <row r="27" spans="1:6" x14ac:dyDescent="0.15">
      <c r="A27" t="str">
        <f t="shared" si="1"/>
        <v/>
      </c>
    </row>
    <row r="28" spans="1:6" x14ac:dyDescent="0.15">
      <c r="A28" t="str">
        <f t="shared" si="1"/>
        <v/>
      </c>
    </row>
    <row r="29" spans="1:6" x14ac:dyDescent="0.15">
      <c r="A29" t="str">
        <f t="shared" si="1"/>
        <v>**レガシー</v>
      </c>
      <c r="B29" s="8" t="s">
        <v>651</v>
      </c>
    </row>
    <row r="30" spans="1:6" x14ac:dyDescent="0.15">
      <c r="A30" t="str">
        <f t="shared" si="1"/>
        <v>《[[]]》[]：</v>
      </c>
      <c r="B30" s="8" t="s">
        <v>718</v>
      </c>
      <c r="D30" t="s">
        <v>719</v>
      </c>
      <c r="E30" s="8"/>
      <c r="F30" t="s">
        <v>713</v>
      </c>
    </row>
    <row r="31" spans="1:6" x14ac:dyDescent="0.15">
      <c r="A31" t="str">
        <f t="shared" si="1"/>
        <v>《[[]]》[]：</v>
      </c>
      <c r="B31" s="8" t="s">
        <v>718</v>
      </c>
      <c r="D31" t="s">
        <v>719</v>
      </c>
      <c r="E31" s="8"/>
      <c r="F31" t="s">
        <v>713</v>
      </c>
    </row>
    <row r="32" spans="1:6" x14ac:dyDescent="0.15">
      <c r="A32" t="str">
        <f t="shared" si="1"/>
        <v/>
      </c>
    </row>
    <row r="33" spans="1:8" x14ac:dyDescent="0.15">
      <c r="A33" t="str">
        <f t="shared" si="1"/>
        <v>#region(close,text=Lv60までの詳細データ)</v>
      </c>
      <c r="B33" t="s">
        <v>598</v>
      </c>
    </row>
    <row r="34" spans="1:8" x14ac:dyDescent="0.15">
      <c r="A34" t="str">
        <f>B34&amp;C34&amp;D34&amp;E34&amp;F34&amp;G34&amp;H34&amp;I34&amp;J34&amp;K34&amp;L34&amp;M34&amp;N34&amp;O34&amp;P34</f>
        <v/>
      </c>
    </row>
    <row r="35" spans="1:8" x14ac:dyDescent="0.15">
      <c r="A35" t="str">
        <f>B35&amp;C35&amp;D35&amp;E35&amp;F35&amp;G35&amp;H35&amp;I35&amp;J35&amp;K35&amp;L35&amp;M35&amp;N35&amp;O35&amp;P35</f>
        <v>&amp;br;</v>
      </c>
      <c r="B35" t="s">
        <v>0</v>
      </c>
    </row>
    <row r="36" spans="1:8" x14ac:dyDescent="0.15">
      <c r="A36" t="str">
        <f>B36&amp;C36&amp;D36&amp;E36&amp;F36&amp;G36&amp;H36&amp;I36&amp;J36&amp;K36&amp;L36&amp;M36&amp;N36&amp;O36&amp;P36</f>
        <v>*HP</v>
      </c>
      <c r="B36" s="8" t="s">
        <v>644</v>
      </c>
    </row>
    <row r="37" spans="1:8" x14ac:dyDescent="0.15">
      <c r="A37" t="str">
        <f>B37&amp;C37&amp;D37&amp;E37&amp;F37&amp;G37&amp;H37</f>
        <v>|LEFT:50|LEFT:50|c</v>
      </c>
      <c r="B37" t="s">
        <v>3</v>
      </c>
      <c r="C37" t="s">
        <v>4</v>
      </c>
      <c r="E37" t="s">
        <v>3</v>
      </c>
      <c r="F37" t="s">
        <v>4</v>
      </c>
      <c r="G37" t="s">
        <v>3</v>
      </c>
      <c r="H37" t="s">
        <v>5</v>
      </c>
    </row>
    <row r="38" spans="1:8" x14ac:dyDescent="0.15">
      <c r="A38" t="str">
        <f t="shared" ref="A38:A67" si="2">B38&amp;C38&amp;D38&amp;E38&amp;F38&amp;G38&amp;H38</f>
        <v>|レベル|HP|</v>
      </c>
      <c r="B38" t="s">
        <v>3</v>
      </c>
      <c r="C38" t="s">
        <v>6</v>
      </c>
      <c r="E38" t="s">
        <v>3</v>
      </c>
      <c r="F38" t="s">
        <v>7</v>
      </c>
      <c r="G38" t="s">
        <v>3</v>
      </c>
    </row>
    <row r="39" spans="1:8" x14ac:dyDescent="0.15">
      <c r="A39" t="str">
        <f t="shared" si="2"/>
        <v>|Lv1|45|</v>
      </c>
      <c r="B39" t="s">
        <v>3</v>
      </c>
      <c r="C39" t="s">
        <v>8</v>
      </c>
      <c r="D39">
        <v>1</v>
      </c>
      <c r="E39" t="s">
        <v>3</v>
      </c>
      <c r="F39">
        <f>B204</f>
        <v>45</v>
      </c>
      <c r="G39" t="s">
        <v>3</v>
      </c>
    </row>
    <row r="40" spans="1:8" x14ac:dyDescent="0.15">
      <c r="A40" t="str">
        <f t="shared" si="2"/>
        <v>|Lv3|48|</v>
      </c>
      <c r="B40" t="s">
        <v>3</v>
      </c>
      <c r="C40" t="s">
        <v>8</v>
      </c>
      <c r="D40">
        <v>3</v>
      </c>
      <c r="E40" t="s">
        <v>3</v>
      </c>
      <c r="F40">
        <f t="shared" ref="F40:F67" si="3">IF(ISBLANK(D40),"",F39+INDEX($H$129:$H$188,D40))</f>
        <v>48</v>
      </c>
      <c r="G40" t="s">
        <v>3</v>
      </c>
    </row>
    <row r="41" spans="1:8" x14ac:dyDescent="0.15">
      <c r="A41" t="str">
        <f t="shared" si="2"/>
        <v>|Lv5|50|</v>
      </c>
      <c r="B41" t="s">
        <v>3</v>
      </c>
      <c r="C41" t="s">
        <v>8</v>
      </c>
      <c r="D41">
        <v>5</v>
      </c>
      <c r="E41" t="s">
        <v>3</v>
      </c>
      <c r="F41">
        <f t="shared" si="3"/>
        <v>50</v>
      </c>
      <c r="G41" t="s">
        <v>3</v>
      </c>
    </row>
    <row r="42" spans="1:8" x14ac:dyDescent="0.15">
      <c r="A42" t="str">
        <f t="shared" si="2"/>
        <v>|Lv7|53|</v>
      </c>
      <c r="B42" t="s">
        <v>3</v>
      </c>
      <c r="C42" t="s">
        <v>8</v>
      </c>
      <c r="D42">
        <v>7</v>
      </c>
      <c r="E42" t="s">
        <v>3</v>
      </c>
      <c r="F42">
        <f t="shared" si="3"/>
        <v>53</v>
      </c>
      <c r="G42" t="s">
        <v>3</v>
      </c>
    </row>
    <row r="43" spans="1:8" x14ac:dyDescent="0.15">
      <c r="A43" t="str">
        <f t="shared" si="2"/>
        <v>|Lv9|55|</v>
      </c>
      <c r="B43" t="s">
        <v>3</v>
      </c>
      <c r="C43" t="s">
        <v>8</v>
      </c>
      <c r="D43">
        <v>9</v>
      </c>
      <c r="E43" t="s">
        <v>3</v>
      </c>
      <c r="F43">
        <f t="shared" si="3"/>
        <v>55</v>
      </c>
      <c r="G43" t="s">
        <v>3</v>
      </c>
    </row>
    <row r="44" spans="1:8" x14ac:dyDescent="0.15">
      <c r="A44" t="str">
        <f t="shared" si="2"/>
        <v>|Lv11|58|</v>
      </c>
      <c r="B44" t="s">
        <v>3</v>
      </c>
      <c r="C44" t="s">
        <v>8</v>
      </c>
      <c r="D44">
        <v>11</v>
      </c>
      <c r="E44" t="s">
        <v>3</v>
      </c>
      <c r="F44">
        <f t="shared" si="3"/>
        <v>58</v>
      </c>
      <c r="G44" t="s">
        <v>3</v>
      </c>
    </row>
    <row r="45" spans="1:8" x14ac:dyDescent="0.15">
      <c r="A45" t="str">
        <f t="shared" si="2"/>
        <v>|Lv13|60|</v>
      </c>
      <c r="B45" t="s">
        <v>3</v>
      </c>
      <c r="C45" t="s">
        <v>8</v>
      </c>
      <c r="D45">
        <v>13</v>
      </c>
      <c r="E45" t="s">
        <v>3</v>
      </c>
      <c r="F45">
        <f t="shared" si="3"/>
        <v>60</v>
      </c>
      <c r="G45" t="s">
        <v>3</v>
      </c>
    </row>
    <row r="46" spans="1:8" x14ac:dyDescent="0.15">
      <c r="A46" t="str">
        <f t="shared" si="2"/>
        <v>|Lv15|63|</v>
      </c>
      <c r="B46" t="s">
        <v>3</v>
      </c>
      <c r="C46" t="s">
        <v>8</v>
      </c>
      <c r="D46">
        <v>15</v>
      </c>
      <c r="E46" t="s">
        <v>3</v>
      </c>
      <c r="F46">
        <f t="shared" si="3"/>
        <v>63</v>
      </c>
      <c r="G46" t="s">
        <v>3</v>
      </c>
    </row>
    <row r="47" spans="1:8" x14ac:dyDescent="0.15">
      <c r="A47" t="str">
        <f t="shared" si="2"/>
        <v>|Lv17|65|</v>
      </c>
      <c r="B47" t="s">
        <v>3</v>
      </c>
      <c r="C47" t="s">
        <v>8</v>
      </c>
      <c r="D47">
        <v>17</v>
      </c>
      <c r="E47" t="s">
        <v>3</v>
      </c>
      <c r="F47">
        <f t="shared" si="3"/>
        <v>65</v>
      </c>
      <c r="G47" t="s">
        <v>3</v>
      </c>
    </row>
    <row r="48" spans="1:8" x14ac:dyDescent="0.15">
      <c r="A48" t="str">
        <f t="shared" si="2"/>
        <v>|Lv19|68|</v>
      </c>
      <c r="B48" t="s">
        <v>3</v>
      </c>
      <c r="C48" t="s">
        <v>8</v>
      </c>
      <c r="D48">
        <v>19</v>
      </c>
      <c r="E48" t="s">
        <v>3</v>
      </c>
      <c r="F48">
        <f t="shared" si="3"/>
        <v>68</v>
      </c>
      <c r="G48" t="s">
        <v>3</v>
      </c>
    </row>
    <row r="49" spans="1:7" x14ac:dyDescent="0.15">
      <c r="A49" t="str">
        <f t="shared" si="2"/>
        <v>|Lv21|70|</v>
      </c>
      <c r="B49" t="s">
        <v>3</v>
      </c>
      <c r="C49" t="s">
        <v>8</v>
      </c>
      <c r="D49">
        <v>21</v>
      </c>
      <c r="E49" t="s">
        <v>3</v>
      </c>
      <c r="F49">
        <f t="shared" si="3"/>
        <v>70</v>
      </c>
      <c r="G49" t="s">
        <v>3</v>
      </c>
    </row>
    <row r="50" spans="1:7" x14ac:dyDescent="0.15">
      <c r="A50" t="str">
        <f t="shared" si="2"/>
        <v>|Lv23|73|</v>
      </c>
      <c r="B50" t="s">
        <v>3</v>
      </c>
      <c r="C50" t="s">
        <v>8</v>
      </c>
      <c r="D50">
        <v>23</v>
      </c>
      <c r="E50" t="s">
        <v>3</v>
      </c>
      <c r="F50">
        <f t="shared" si="3"/>
        <v>73</v>
      </c>
      <c r="G50" t="s">
        <v>3</v>
      </c>
    </row>
    <row r="51" spans="1:7" x14ac:dyDescent="0.15">
      <c r="A51" t="str">
        <f t="shared" si="2"/>
        <v>|Lv25|75|</v>
      </c>
      <c r="B51" t="s">
        <v>3</v>
      </c>
      <c r="C51" t="s">
        <v>8</v>
      </c>
      <c r="D51">
        <v>25</v>
      </c>
      <c r="E51" t="s">
        <v>3</v>
      </c>
      <c r="F51">
        <f t="shared" si="3"/>
        <v>75</v>
      </c>
      <c r="G51" t="s">
        <v>3</v>
      </c>
    </row>
    <row r="52" spans="1:7" x14ac:dyDescent="0.15">
      <c r="A52" t="str">
        <f t="shared" si="2"/>
        <v>|Lv27|78|</v>
      </c>
      <c r="B52" t="s">
        <v>3</v>
      </c>
      <c r="C52" t="s">
        <v>8</v>
      </c>
      <c r="D52">
        <v>27</v>
      </c>
      <c r="E52" t="s">
        <v>3</v>
      </c>
      <c r="F52">
        <f t="shared" si="3"/>
        <v>78</v>
      </c>
      <c r="G52" t="s">
        <v>3</v>
      </c>
    </row>
    <row r="53" spans="1:7" x14ac:dyDescent="0.15">
      <c r="A53" t="str">
        <f t="shared" si="2"/>
        <v>|Lv29|80|</v>
      </c>
      <c r="B53" t="s">
        <v>3</v>
      </c>
      <c r="C53" t="s">
        <v>8</v>
      </c>
      <c r="D53">
        <v>29</v>
      </c>
      <c r="E53" t="s">
        <v>3</v>
      </c>
      <c r="F53">
        <f t="shared" si="3"/>
        <v>80</v>
      </c>
      <c r="G53" t="s">
        <v>3</v>
      </c>
    </row>
    <row r="54" spans="1:7" x14ac:dyDescent="0.15">
      <c r="A54" t="str">
        <f t="shared" si="2"/>
        <v>|Lv31|83|</v>
      </c>
      <c r="B54" t="s">
        <v>3</v>
      </c>
      <c r="C54" t="s">
        <v>8</v>
      </c>
      <c r="D54">
        <v>31</v>
      </c>
      <c r="E54" t="s">
        <v>3</v>
      </c>
      <c r="F54">
        <f t="shared" si="3"/>
        <v>83</v>
      </c>
      <c r="G54" t="s">
        <v>3</v>
      </c>
    </row>
    <row r="55" spans="1:7" x14ac:dyDescent="0.15">
      <c r="A55" t="str">
        <f t="shared" si="2"/>
        <v>|Lv33|85|</v>
      </c>
      <c r="B55" t="s">
        <v>3</v>
      </c>
      <c r="C55" t="s">
        <v>8</v>
      </c>
      <c r="D55">
        <v>33</v>
      </c>
      <c r="E55" t="s">
        <v>3</v>
      </c>
      <c r="F55">
        <f t="shared" si="3"/>
        <v>85</v>
      </c>
      <c r="G55" t="s">
        <v>3</v>
      </c>
    </row>
    <row r="56" spans="1:7" x14ac:dyDescent="0.15">
      <c r="A56" t="str">
        <f t="shared" si="2"/>
        <v>|Lv35|88|</v>
      </c>
      <c r="B56" t="s">
        <v>3</v>
      </c>
      <c r="C56" t="s">
        <v>8</v>
      </c>
      <c r="D56">
        <v>35</v>
      </c>
      <c r="E56" t="s">
        <v>3</v>
      </c>
      <c r="F56">
        <f t="shared" si="3"/>
        <v>88</v>
      </c>
      <c r="G56" t="s">
        <v>3</v>
      </c>
    </row>
    <row r="57" spans="1:7" x14ac:dyDescent="0.15">
      <c r="A57" t="str">
        <f t="shared" si="2"/>
        <v>|Lv37|90|</v>
      </c>
      <c r="B57" t="s">
        <v>3</v>
      </c>
      <c r="C57" t="s">
        <v>8</v>
      </c>
      <c r="D57">
        <v>37</v>
      </c>
      <c r="E57" t="s">
        <v>3</v>
      </c>
      <c r="F57">
        <f t="shared" si="3"/>
        <v>90</v>
      </c>
      <c r="G57" t="s">
        <v>3</v>
      </c>
    </row>
    <row r="58" spans="1:7" x14ac:dyDescent="0.15">
      <c r="A58" t="str">
        <f t="shared" si="2"/>
        <v>|Lv39|93|</v>
      </c>
      <c r="B58" t="s">
        <v>3</v>
      </c>
      <c r="C58" t="s">
        <v>8</v>
      </c>
      <c r="D58">
        <v>39</v>
      </c>
      <c r="E58" t="s">
        <v>3</v>
      </c>
      <c r="F58">
        <f t="shared" si="3"/>
        <v>93</v>
      </c>
      <c r="G58" t="s">
        <v>3</v>
      </c>
    </row>
    <row r="59" spans="1:7" x14ac:dyDescent="0.15">
      <c r="A59" t="str">
        <f t="shared" si="2"/>
        <v>|Lv41|95|</v>
      </c>
      <c r="B59" t="s">
        <v>3</v>
      </c>
      <c r="C59" t="s">
        <v>8</v>
      </c>
      <c r="D59">
        <v>41</v>
      </c>
      <c r="E59" t="s">
        <v>3</v>
      </c>
      <c r="F59">
        <f t="shared" si="3"/>
        <v>95</v>
      </c>
      <c r="G59" t="s">
        <v>3</v>
      </c>
    </row>
    <row r="60" spans="1:7" x14ac:dyDescent="0.15">
      <c r="A60" t="str">
        <f t="shared" si="2"/>
        <v>|Lv43|98|</v>
      </c>
      <c r="B60" t="s">
        <v>3</v>
      </c>
      <c r="C60" t="s">
        <v>8</v>
      </c>
      <c r="D60">
        <v>43</v>
      </c>
      <c r="E60" t="s">
        <v>3</v>
      </c>
      <c r="F60">
        <f t="shared" si="3"/>
        <v>98</v>
      </c>
      <c r="G60" t="s">
        <v>3</v>
      </c>
    </row>
    <row r="61" spans="1:7" x14ac:dyDescent="0.15">
      <c r="A61" t="str">
        <f t="shared" si="2"/>
        <v>|Lv45|100|</v>
      </c>
      <c r="B61" t="s">
        <v>3</v>
      </c>
      <c r="C61" t="s">
        <v>8</v>
      </c>
      <c r="D61">
        <v>45</v>
      </c>
      <c r="E61" t="s">
        <v>3</v>
      </c>
      <c r="F61">
        <f t="shared" si="3"/>
        <v>100</v>
      </c>
      <c r="G61" t="s">
        <v>3</v>
      </c>
    </row>
    <row r="62" spans="1:7" x14ac:dyDescent="0.15">
      <c r="A62" t="str">
        <f t="shared" si="2"/>
        <v>|Lv47|103|</v>
      </c>
      <c r="B62" t="s">
        <v>3</v>
      </c>
      <c r="C62" t="s">
        <v>8</v>
      </c>
      <c r="D62">
        <v>47</v>
      </c>
      <c r="E62" t="s">
        <v>3</v>
      </c>
      <c r="F62">
        <f t="shared" si="3"/>
        <v>103</v>
      </c>
      <c r="G62" t="s">
        <v>3</v>
      </c>
    </row>
    <row r="63" spans="1:7" x14ac:dyDescent="0.15">
      <c r="A63" t="str">
        <f t="shared" si="2"/>
        <v>|Lv49|105|</v>
      </c>
      <c r="B63" t="s">
        <v>3</v>
      </c>
      <c r="C63" t="s">
        <v>8</v>
      </c>
      <c r="D63">
        <v>49</v>
      </c>
      <c r="E63" t="s">
        <v>3</v>
      </c>
      <c r="F63">
        <f t="shared" si="3"/>
        <v>105</v>
      </c>
      <c r="G63" t="s">
        <v>3</v>
      </c>
    </row>
    <row r="64" spans="1:7" x14ac:dyDescent="0.15">
      <c r="A64" t="str">
        <f t="shared" si="2"/>
        <v>|Lv51|108|</v>
      </c>
      <c r="B64" t="s">
        <v>3</v>
      </c>
      <c r="C64" t="s">
        <v>8</v>
      </c>
      <c r="D64">
        <v>51</v>
      </c>
      <c r="E64" t="s">
        <v>3</v>
      </c>
      <c r="F64">
        <f t="shared" si="3"/>
        <v>108</v>
      </c>
      <c r="G64" t="s">
        <v>3</v>
      </c>
    </row>
    <row r="65" spans="1:19" x14ac:dyDescent="0.15">
      <c r="A65" t="str">
        <f t="shared" si="2"/>
        <v>|Lv53|110|</v>
      </c>
      <c r="B65" t="s">
        <v>3</v>
      </c>
      <c r="C65" t="s">
        <v>8</v>
      </c>
      <c r="D65">
        <v>53</v>
      </c>
      <c r="E65" t="s">
        <v>3</v>
      </c>
      <c r="F65">
        <f t="shared" si="3"/>
        <v>110</v>
      </c>
      <c r="G65" t="s">
        <v>3</v>
      </c>
    </row>
    <row r="66" spans="1:19" x14ac:dyDescent="0.15">
      <c r="A66" t="str">
        <f t="shared" si="2"/>
        <v>|Lv55|113|</v>
      </c>
      <c r="B66" t="s">
        <v>3</v>
      </c>
      <c r="C66" t="s">
        <v>8</v>
      </c>
      <c r="D66">
        <v>55</v>
      </c>
      <c r="E66" t="s">
        <v>3</v>
      </c>
      <c r="F66">
        <f t="shared" si="3"/>
        <v>113</v>
      </c>
      <c r="G66" t="s">
        <v>3</v>
      </c>
    </row>
    <row r="67" spans="1:19" x14ac:dyDescent="0.15">
      <c r="A67" t="str">
        <f t="shared" si="2"/>
        <v>|Lv57|115|</v>
      </c>
      <c r="B67" t="s">
        <v>3</v>
      </c>
      <c r="C67" t="s">
        <v>8</v>
      </c>
      <c r="D67">
        <v>57</v>
      </c>
      <c r="E67" t="s">
        <v>3</v>
      </c>
      <c r="F67">
        <f t="shared" si="3"/>
        <v>115</v>
      </c>
      <c r="G67" t="s">
        <v>3</v>
      </c>
    </row>
    <row r="68" spans="1:19" x14ac:dyDescent="0.15">
      <c r="A68" t="str">
        <f>B68&amp;C68&amp;D68&amp;E68&amp;F68&amp;G68&amp;H68&amp;I68&amp;J68&amp;K68&amp;L68&amp;M68&amp;N68&amp;O68&amp;P68</f>
        <v>&amp;br;</v>
      </c>
      <c r="B68" t="s">
        <v>0</v>
      </c>
    </row>
    <row r="69" spans="1:19" x14ac:dyDescent="0.15">
      <c r="A69" t="str">
        <f>B69&amp;C69&amp;D69&amp;E69&amp;F69&amp;G69&amp;H69&amp;I69&amp;J69&amp;K69&amp;L69&amp;M69&amp;N69&amp;O69&amp;P69</f>
        <v>&amp;br;</v>
      </c>
      <c r="B69" t="s">
        <v>0</v>
      </c>
    </row>
    <row r="70" spans="1:19" x14ac:dyDescent="0.15">
      <c r="A70" t="str">
        <f>B70&amp;C70&amp;D70&amp;E70&amp;F70&amp;G70&amp;H70&amp;I70&amp;J70&amp;K70&amp;L70&amp;M70&amp;N70&amp;O70&amp;P70</f>
        <v>*マナボーナス [#q1a26f54]</v>
      </c>
      <c r="B70" t="s">
        <v>9</v>
      </c>
    </row>
    <row r="71" spans="1:19" x14ac:dyDescent="0.15">
      <c r="A71" t="str">
        <f t="shared" ref="A71:A83" si="4">B71&amp;C71&amp;D71&amp;G71&amp;H71&amp;I71&amp;J71&amp;K71&amp;L71&amp;M71&amp;N71&amp;O71&amp;P71&amp;Q71&amp;R71</f>
        <v>|LEFT:50|LEFT:50|LEFT:50|LEFT:50|LEFT:50|LEFT:50|c</v>
      </c>
      <c r="B71" t="s">
        <v>3</v>
      </c>
      <c r="C71" t="s">
        <v>4</v>
      </c>
      <c r="E71" t="s">
        <v>3</v>
      </c>
      <c r="G71" t="s">
        <v>3</v>
      </c>
      <c r="H71" t="s">
        <v>4</v>
      </c>
      <c r="I71" t="s">
        <v>3</v>
      </c>
      <c r="J71" t="s">
        <v>4</v>
      </c>
      <c r="K71" t="s">
        <v>3</v>
      </c>
      <c r="L71" t="s">
        <v>4</v>
      </c>
      <c r="M71" t="s">
        <v>3</v>
      </c>
      <c r="N71" t="s">
        <v>4</v>
      </c>
      <c r="O71" t="s">
        <v>3</v>
      </c>
      <c r="P71" t="s">
        <v>4</v>
      </c>
      <c r="Q71" t="s">
        <v>3</v>
      </c>
      <c r="R71" t="s">
        <v>5</v>
      </c>
    </row>
    <row r="72" spans="1:19" x14ac:dyDescent="0.15">
      <c r="A72" t="str">
        <f t="shared" si="4"/>
        <v>|レベル|白|青|黒|赤|緑|</v>
      </c>
      <c r="B72" t="s">
        <v>3</v>
      </c>
      <c r="C72" t="s">
        <v>6</v>
      </c>
      <c r="E72" t="s">
        <v>3</v>
      </c>
      <c r="F72" t="s">
        <v>10</v>
      </c>
      <c r="G72" t="s">
        <v>3</v>
      </c>
      <c r="H72" t="s">
        <v>11</v>
      </c>
      <c r="I72" t="s">
        <v>3</v>
      </c>
      <c r="J72" t="s">
        <v>12</v>
      </c>
      <c r="K72" t="s">
        <v>3</v>
      </c>
      <c r="L72" t="s">
        <v>13</v>
      </c>
      <c r="M72" t="s">
        <v>3</v>
      </c>
      <c r="N72" t="s">
        <v>14</v>
      </c>
      <c r="O72" t="s">
        <v>3</v>
      </c>
      <c r="P72" t="s">
        <v>15</v>
      </c>
      <c r="Q72" t="s">
        <v>3</v>
      </c>
      <c r="S72" t="s">
        <v>11</v>
      </c>
    </row>
    <row r="73" spans="1:19" x14ac:dyDescent="0.15">
      <c r="A73" t="str">
        <f t="shared" si="4"/>
        <v>|Lv1|-2|1|-2|-2|2|</v>
      </c>
      <c r="B73" t="s">
        <v>3</v>
      </c>
      <c r="C73" t="s">
        <v>8</v>
      </c>
      <c r="D73">
        <v>1</v>
      </c>
      <c r="E73" t="s">
        <v>3</v>
      </c>
      <c r="G73" t="s">
        <v>3</v>
      </c>
      <c r="H73">
        <f>B208</f>
        <v>-2</v>
      </c>
      <c r="I73" t="s">
        <v>3</v>
      </c>
      <c r="J73">
        <f>C208</f>
        <v>1</v>
      </c>
      <c r="K73" t="s">
        <v>3</v>
      </c>
      <c r="L73">
        <f>D208</f>
        <v>-2</v>
      </c>
      <c r="M73" t="s">
        <v>3</v>
      </c>
      <c r="N73">
        <f>E208</f>
        <v>-2</v>
      </c>
      <c r="O73" t="s">
        <v>3</v>
      </c>
      <c r="P73">
        <f>F208</f>
        <v>2</v>
      </c>
      <c r="Q73" t="s">
        <v>3</v>
      </c>
      <c r="S73" t="s">
        <v>12</v>
      </c>
    </row>
    <row r="74" spans="1:19" x14ac:dyDescent="0.15">
      <c r="A74" t="str">
        <f t="shared" si="4"/>
        <v>|Lv2|-2|2|-2|-2|2|</v>
      </c>
      <c r="B74" t="s">
        <v>3</v>
      </c>
      <c r="C74" t="s">
        <v>8</v>
      </c>
      <c r="D74">
        <v>2</v>
      </c>
      <c r="E74" t="s">
        <v>3</v>
      </c>
      <c r="F74" t="str">
        <f t="shared" ref="F74:F83" si="5">IF(ISBLANK(D74),"",INDEX($F$129:$F$188,D74))</f>
        <v>青</v>
      </c>
      <c r="G74" t="s">
        <v>3</v>
      </c>
      <c r="H74">
        <f t="shared" ref="H74:H83" si="6">H73+IF(H$72=$F74,1,0)</f>
        <v>-2</v>
      </c>
      <c r="I74" t="str">
        <f t="shared" ref="I74:Q83" si="7">I73</f>
        <v>|</v>
      </c>
      <c r="J74">
        <f t="shared" ref="J74:J83" si="8">J73+IF(J$72=$F74,1,0)</f>
        <v>2</v>
      </c>
      <c r="K74" t="str">
        <f t="shared" si="7"/>
        <v>|</v>
      </c>
      <c r="L74">
        <f t="shared" ref="L74:L83" si="9">L73+IF(L$72=$F74,1,0)</f>
        <v>-2</v>
      </c>
      <c r="M74" t="str">
        <f t="shared" si="7"/>
        <v>|</v>
      </c>
      <c r="N74">
        <f t="shared" ref="N74:N83" si="10">N73+IF(N$72=$F74,1,0)</f>
        <v>-2</v>
      </c>
      <c r="O74" t="str">
        <f t="shared" si="7"/>
        <v>|</v>
      </c>
      <c r="P74">
        <f t="shared" ref="P74:P83" si="11">P73+IF(P$72=$F74,1,0)</f>
        <v>2</v>
      </c>
      <c r="Q74" t="str">
        <f t="shared" si="7"/>
        <v>|</v>
      </c>
      <c r="S74" t="s">
        <v>13</v>
      </c>
    </row>
    <row r="75" spans="1:19" x14ac:dyDescent="0.15">
      <c r="A75" t="str">
        <f t="shared" si="4"/>
        <v>|Lv8|-2|2|-2|-2|3|</v>
      </c>
      <c r="B75" t="s">
        <v>3</v>
      </c>
      <c r="C75" t="s">
        <v>8</v>
      </c>
      <c r="D75">
        <v>8</v>
      </c>
      <c r="E75" t="s">
        <v>3</v>
      </c>
      <c r="F75" t="str">
        <f t="shared" si="5"/>
        <v>緑</v>
      </c>
      <c r="G75" t="s">
        <v>3</v>
      </c>
      <c r="H75">
        <f t="shared" si="6"/>
        <v>-2</v>
      </c>
      <c r="I75" t="str">
        <f t="shared" si="7"/>
        <v>|</v>
      </c>
      <c r="J75">
        <f t="shared" si="8"/>
        <v>2</v>
      </c>
      <c r="K75" t="str">
        <f t="shared" si="7"/>
        <v>|</v>
      </c>
      <c r="L75">
        <f t="shared" si="9"/>
        <v>-2</v>
      </c>
      <c r="M75" t="str">
        <f t="shared" si="7"/>
        <v>|</v>
      </c>
      <c r="N75">
        <f t="shared" si="10"/>
        <v>-2</v>
      </c>
      <c r="O75" t="str">
        <f t="shared" si="7"/>
        <v>|</v>
      </c>
      <c r="P75">
        <f t="shared" si="11"/>
        <v>3</v>
      </c>
      <c r="Q75" t="str">
        <f t="shared" si="7"/>
        <v>|</v>
      </c>
      <c r="S75" t="s">
        <v>14</v>
      </c>
    </row>
    <row r="76" spans="1:19" x14ac:dyDescent="0.15">
      <c r="A76" t="str">
        <f t="shared" si="4"/>
        <v>|Lv14|-2|2|-1|-2|3|</v>
      </c>
      <c r="B76" t="s">
        <v>3</v>
      </c>
      <c r="C76" t="s">
        <v>8</v>
      </c>
      <c r="D76">
        <v>14</v>
      </c>
      <c r="E76" t="s">
        <v>3</v>
      </c>
      <c r="F76" t="str">
        <f t="shared" si="5"/>
        <v>黒</v>
      </c>
      <c r="G76" t="s">
        <v>3</v>
      </c>
      <c r="H76">
        <f t="shared" si="6"/>
        <v>-2</v>
      </c>
      <c r="I76" t="str">
        <f t="shared" si="7"/>
        <v>|</v>
      </c>
      <c r="J76">
        <f t="shared" si="8"/>
        <v>2</v>
      </c>
      <c r="K76" t="str">
        <f t="shared" si="7"/>
        <v>|</v>
      </c>
      <c r="L76">
        <f t="shared" si="9"/>
        <v>-1</v>
      </c>
      <c r="M76" t="str">
        <f t="shared" si="7"/>
        <v>|</v>
      </c>
      <c r="N76">
        <f t="shared" si="10"/>
        <v>-2</v>
      </c>
      <c r="O76" t="str">
        <f t="shared" si="7"/>
        <v>|</v>
      </c>
      <c r="P76">
        <f t="shared" si="11"/>
        <v>3</v>
      </c>
      <c r="Q76" t="str">
        <f t="shared" si="7"/>
        <v>|</v>
      </c>
      <c r="S76" t="s">
        <v>15</v>
      </c>
    </row>
    <row r="77" spans="1:19" x14ac:dyDescent="0.15">
      <c r="A77" t="str">
        <f t="shared" si="4"/>
        <v>|Lv20|-1|2|-1|-2|3|</v>
      </c>
      <c r="B77" t="s">
        <v>3</v>
      </c>
      <c r="C77" t="s">
        <v>8</v>
      </c>
      <c r="D77">
        <v>20</v>
      </c>
      <c r="E77" t="s">
        <v>3</v>
      </c>
      <c r="F77" t="str">
        <f t="shared" si="5"/>
        <v>白</v>
      </c>
      <c r="G77" t="s">
        <v>3</v>
      </c>
      <c r="H77">
        <f t="shared" si="6"/>
        <v>-1</v>
      </c>
      <c r="I77" t="str">
        <f t="shared" si="7"/>
        <v>|</v>
      </c>
      <c r="J77">
        <f t="shared" si="8"/>
        <v>2</v>
      </c>
      <c r="K77" t="str">
        <f t="shared" si="7"/>
        <v>|</v>
      </c>
      <c r="L77">
        <f t="shared" si="9"/>
        <v>-1</v>
      </c>
      <c r="M77" t="str">
        <f t="shared" si="7"/>
        <v>|</v>
      </c>
      <c r="N77">
        <f t="shared" si="10"/>
        <v>-2</v>
      </c>
      <c r="O77" t="str">
        <f t="shared" si="7"/>
        <v>|</v>
      </c>
      <c r="P77">
        <f t="shared" si="11"/>
        <v>3</v>
      </c>
      <c r="Q77" t="str">
        <f t="shared" si="7"/>
        <v>|</v>
      </c>
    </row>
    <row r="78" spans="1:19" x14ac:dyDescent="0.15">
      <c r="A78" t="str">
        <f t="shared" si="4"/>
        <v>|Lv26|-1|2|-1|-1|3|</v>
      </c>
      <c r="B78" t="s">
        <v>3</v>
      </c>
      <c r="C78" t="s">
        <v>8</v>
      </c>
      <c r="D78">
        <v>26</v>
      </c>
      <c r="E78" t="s">
        <v>3</v>
      </c>
      <c r="F78" t="str">
        <f t="shared" si="5"/>
        <v>赤</v>
      </c>
      <c r="G78" t="s">
        <v>3</v>
      </c>
      <c r="H78">
        <f t="shared" si="6"/>
        <v>-1</v>
      </c>
      <c r="I78" t="str">
        <f t="shared" si="7"/>
        <v>|</v>
      </c>
      <c r="J78">
        <f t="shared" si="8"/>
        <v>2</v>
      </c>
      <c r="K78" t="str">
        <f t="shared" si="7"/>
        <v>|</v>
      </c>
      <c r="L78">
        <f t="shared" si="9"/>
        <v>-1</v>
      </c>
      <c r="M78" t="str">
        <f t="shared" si="7"/>
        <v>|</v>
      </c>
      <c r="N78">
        <f t="shared" si="10"/>
        <v>-1</v>
      </c>
      <c r="O78" t="str">
        <f t="shared" si="7"/>
        <v>|</v>
      </c>
      <c r="P78">
        <f t="shared" si="11"/>
        <v>3</v>
      </c>
      <c r="Q78" t="str">
        <f t="shared" si="7"/>
        <v>|</v>
      </c>
    </row>
    <row r="79" spans="1:19" x14ac:dyDescent="0.15">
      <c r="A79" t="str">
        <f t="shared" si="4"/>
        <v>|Lv32|-1|3|-1|-1|3|</v>
      </c>
      <c r="B79" t="s">
        <v>3</v>
      </c>
      <c r="C79" t="s">
        <v>8</v>
      </c>
      <c r="D79">
        <v>32</v>
      </c>
      <c r="E79" t="s">
        <v>3</v>
      </c>
      <c r="F79" t="str">
        <f t="shared" si="5"/>
        <v>青</v>
      </c>
      <c r="G79" t="s">
        <v>3</v>
      </c>
      <c r="H79">
        <f t="shared" si="6"/>
        <v>-1</v>
      </c>
      <c r="I79" t="str">
        <f t="shared" si="7"/>
        <v>|</v>
      </c>
      <c r="J79">
        <f t="shared" si="8"/>
        <v>3</v>
      </c>
      <c r="K79" t="str">
        <f t="shared" si="7"/>
        <v>|</v>
      </c>
      <c r="L79">
        <f t="shared" si="9"/>
        <v>-1</v>
      </c>
      <c r="M79" t="str">
        <f t="shared" si="7"/>
        <v>|</v>
      </c>
      <c r="N79">
        <f t="shared" si="10"/>
        <v>-1</v>
      </c>
      <c r="O79" t="str">
        <f t="shared" si="7"/>
        <v>|</v>
      </c>
      <c r="P79">
        <f t="shared" si="11"/>
        <v>3</v>
      </c>
      <c r="Q79" t="str">
        <f t="shared" si="7"/>
        <v>|</v>
      </c>
    </row>
    <row r="80" spans="1:19" x14ac:dyDescent="0.15">
      <c r="A80" t="str">
        <f t="shared" si="4"/>
        <v>|Lv38|-1|3|-1|-1|4|</v>
      </c>
      <c r="B80" t="s">
        <v>3</v>
      </c>
      <c r="C80" t="s">
        <v>8</v>
      </c>
      <c r="D80">
        <v>38</v>
      </c>
      <c r="E80" t="s">
        <v>3</v>
      </c>
      <c r="F80" t="str">
        <f t="shared" si="5"/>
        <v>緑</v>
      </c>
      <c r="G80" t="s">
        <v>3</v>
      </c>
      <c r="H80">
        <f t="shared" si="6"/>
        <v>-1</v>
      </c>
      <c r="I80" t="str">
        <f t="shared" si="7"/>
        <v>|</v>
      </c>
      <c r="J80">
        <f t="shared" si="8"/>
        <v>3</v>
      </c>
      <c r="K80" t="str">
        <f t="shared" si="7"/>
        <v>|</v>
      </c>
      <c r="L80">
        <f t="shared" si="9"/>
        <v>-1</v>
      </c>
      <c r="M80" t="str">
        <f t="shared" si="7"/>
        <v>|</v>
      </c>
      <c r="N80">
        <f t="shared" si="10"/>
        <v>-1</v>
      </c>
      <c r="O80" t="str">
        <f t="shared" si="7"/>
        <v>|</v>
      </c>
      <c r="P80">
        <f t="shared" si="11"/>
        <v>4</v>
      </c>
      <c r="Q80" t="str">
        <f t="shared" si="7"/>
        <v>|</v>
      </c>
    </row>
    <row r="81" spans="1:19" x14ac:dyDescent="0.15">
      <c r="A81" t="str">
        <f t="shared" si="4"/>
        <v>|Lv44|-1|3|0|-1|4|</v>
      </c>
      <c r="B81" t="s">
        <v>3</v>
      </c>
      <c r="C81" t="s">
        <v>8</v>
      </c>
      <c r="D81">
        <v>44</v>
      </c>
      <c r="E81" t="s">
        <v>3</v>
      </c>
      <c r="F81" t="str">
        <f t="shared" si="5"/>
        <v>黒</v>
      </c>
      <c r="G81" t="s">
        <v>3</v>
      </c>
      <c r="H81">
        <f t="shared" si="6"/>
        <v>-1</v>
      </c>
      <c r="I81" t="str">
        <f t="shared" si="7"/>
        <v>|</v>
      </c>
      <c r="J81">
        <f t="shared" si="8"/>
        <v>3</v>
      </c>
      <c r="K81" t="str">
        <f t="shared" si="7"/>
        <v>|</v>
      </c>
      <c r="L81">
        <f t="shared" si="9"/>
        <v>0</v>
      </c>
      <c r="M81" t="str">
        <f t="shared" si="7"/>
        <v>|</v>
      </c>
      <c r="N81">
        <f t="shared" si="10"/>
        <v>-1</v>
      </c>
      <c r="O81" t="str">
        <f t="shared" si="7"/>
        <v>|</v>
      </c>
      <c r="P81">
        <f t="shared" si="11"/>
        <v>4</v>
      </c>
      <c r="Q81" t="str">
        <f t="shared" si="7"/>
        <v>|</v>
      </c>
    </row>
    <row r="82" spans="1:19" x14ac:dyDescent="0.15">
      <c r="A82" t="str">
        <f t="shared" si="4"/>
        <v>|Lv50|0|3|0|-1|4|</v>
      </c>
      <c r="B82" t="s">
        <v>3</v>
      </c>
      <c r="C82" t="s">
        <v>8</v>
      </c>
      <c r="D82">
        <v>50</v>
      </c>
      <c r="E82" t="s">
        <v>3</v>
      </c>
      <c r="F82" t="str">
        <f t="shared" si="5"/>
        <v>白</v>
      </c>
      <c r="G82" t="s">
        <v>3</v>
      </c>
      <c r="H82">
        <f t="shared" si="6"/>
        <v>0</v>
      </c>
      <c r="I82" t="str">
        <f t="shared" si="7"/>
        <v>|</v>
      </c>
      <c r="J82">
        <f t="shared" si="8"/>
        <v>3</v>
      </c>
      <c r="K82" t="str">
        <f t="shared" si="7"/>
        <v>|</v>
      </c>
      <c r="L82">
        <f t="shared" si="9"/>
        <v>0</v>
      </c>
      <c r="M82" t="str">
        <f t="shared" si="7"/>
        <v>|</v>
      </c>
      <c r="N82">
        <f t="shared" si="10"/>
        <v>-1</v>
      </c>
      <c r="O82" t="str">
        <f t="shared" si="7"/>
        <v>|</v>
      </c>
      <c r="P82">
        <f t="shared" si="11"/>
        <v>4</v>
      </c>
      <c r="Q82" t="str">
        <f t="shared" si="7"/>
        <v>|</v>
      </c>
    </row>
    <row r="83" spans="1:19" x14ac:dyDescent="0.15">
      <c r="A83" t="str">
        <f t="shared" si="4"/>
        <v>|Lv59|0|3|0|0|4|</v>
      </c>
      <c r="B83" t="s">
        <v>3</v>
      </c>
      <c r="C83" t="s">
        <v>8</v>
      </c>
      <c r="D83">
        <v>59</v>
      </c>
      <c r="E83" t="s">
        <v>3</v>
      </c>
      <c r="F83" t="str">
        <f t="shared" si="5"/>
        <v>赤</v>
      </c>
      <c r="G83" t="s">
        <v>3</v>
      </c>
      <c r="H83">
        <f t="shared" si="6"/>
        <v>0</v>
      </c>
      <c r="I83" t="str">
        <f t="shared" si="7"/>
        <v>|</v>
      </c>
      <c r="J83">
        <f t="shared" si="8"/>
        <v>3</v>
      </c>
      <c r="K83" t="str">
        <f t="shared" si="7"/>
        <v>|</v>
      </c>
      <c r="L83">
        <f t="shared" si="9"/>
        <v>0</v>
      </c>
      <c r="M83" t="str">
        <f t="shared" si="7"/>
        <v>|</v>
      </c>
      <c r="N83">
        <f t="shared" si="10"/>
        <v>0</v>
      </c>
      <c r="O83" t="str">
        <f t="shared" si="7"/>
        <v>|</v>
      </c>
      <c r="P83">
        <f t="shared" si="11"/>
        <v>4</v>
      </c>
      <c r="Q83" t="str">
        <f t="shared" si="7"/>
        <v>|</v>
      </c>
    </row>
    <row r="84" spans="1:19" x14ac:dyDescent="0.15">
      <c r="A84" t="str">
        <f>B84&amp;C84&amp;D84&amp;E84&amp;F84&amp;G84&amp;H84&amp;I84&amp;J84&amp;K84&amp;L84&amp;M84&amp;N84&amp;O84&amp;P84</f>
        <v>&amp;br;</v>
      </c>
      <c r="B84" t="s">
        <v>0</v>
      </c>
    </row>
    <row r="85" spans="1:19" x14ac:dyDescent="0.15">
      <c r="A85" t="str">
        <f>B85&amp;C85&amp;D85&amp;E85&amp;F85&amp;G85&amp;H85&amp;I85&amp;J85&amp;K85&amp;L85&amp;M85&amp;N85&amp;O85&amp;P85</f>
        <v>&amp;br;</v>
      </c>
      <c r="B85" t="s">
        <v>0</v>
      </c>
    </row>
    <row r="86" spans="1:19" x14ac:dyDescent="0.15">
      <c r="A86" t="str">
        <f>B86&amp;C86&amp;D86&amp;E86&amp;F86&amp;G86&amp;H86&amp;I86&amp;J86&amp;K86&amp;L86&amp;M86&amp;N86&amp;O86&amp;P86</f>
        <v>*デッキ構築枚数上限 [#e6f382eb]</v>
      </c>
      <c r="B86" t="s">
        <v>16</v>
      </c>
    </row>
    <row r="87" spans="1:19" x14ac:dyDescent="0.15">
      <c r="A87" t="str">
        <f>B87&amp;C87&amp;D87&amp;E87&amp;F87&amp;G87&amp;H87&amp;I87&amp;J87&amp;K87&amp;L87&amp;M87&amp;N87&amp;O87&amp;P87</f>
        <v>構築枚数上限を越える枚数はデッキに入れられない。</v>
      </c>
      <c r="B87" t="s">
        <v>17</v>
      </c>
    </row>
    <row r="88" spans="1:19" x14ac:dyDescent="0.15">
      <c r="A88" t="str">
        <f t="shared" ref="A88:A95" si="12">B88&amp;C88&amp;D88&amp;G88&amp;H88&amp;I88&amp;J88&amp;K88&amp;L88&amp;M88&amp;N88&amp;O88&amp;P88&amp;Q88&amp;R88</f>
        <v>|LEFT:50|LEFT:80|LEFT:80|LEFT:80|c</v>
      </c>
      <c r="B88" t="s">
        <v>3</v>
      </c>
      <c r="C88" t="s">
        <v>4</v>
      </c>
      <c r="E88" t="s">
        <v>3</v>
      </c>
      <c r="G88" t="s">
        <v>3</v>
      </c>
      <c r="H88" t="s">
        <v>18</v>
      </c>
      <c r="I88" t="s">
        <v>3</v>
      </c>
      <c r="J88" t="s">
        <v>18</v>
      </c>
      <c r="K88" t="s">
        <v>3</v>
      </c>
      <c r="L88" t="s">
        <v>18</v>
      </c>
      <c r="M88" t="s">
        <v>3</v>
      </c>
      <c r="N88" t="s">
        <v>5</v>
      </c>
    </row>
    <row r="89" spans="1:19" x14ac:dyDescent="0.15">
      <c r="A89" t="str">
        <f t="shared" si="12"/>
        <v>|レベル|クリーチャー|呪文|サポート|</v>
      </c>
      <c r="B89" t="s">
        <v>3</v>
      </c>
      <c r="C89" t="s">
        <v>6</v>
      </c>
      <c r="E89" t="s">
        <v>3</v>
      </c>
      <c r="F89" t="s">
        <v>19</v>
      </c>
      <c r="G89" t="s">
        <v>3</v>
      </c>
      <c r="H89" t="s">
        <v>20</v>
      </c>
      <c r="I89" t="s">
        <v>3</v>
      </c>
      <c r="J89" t="s">
        <v>21</v>
      </c>
      <c r="K89" t="s">
        <v>3</v>
      </c>
      <c r="L89" t="s">
        <v>22</v>
      </c>
      <c r="M89" t="s">
        <v>3</v>
      </c>
      <c r="S89" t="s">
        <v>20</v>
      </c>
    </row>
    <row r="90" spans="1:19" x14ac:dyDescent="0.15">
      <c r="A90" t="str">
        <f t="shared" si="12"/>
        <v>|Lv1|3|4|3|</v>
      </c>
      <c r="B90" t="s">
        <v>3</v>
      </c>
      <c r="C90" t="s">
        <v>8</v>
      </c>
      <c r="D90">
        <v>1</v>
      </c>
      <c r="E90" t="s">
        <v>3</v>
      </c>
      <c r="G90" t="s">
        <v>3</v>
      </c>
      <c r="H90">
        <f>B206</f>
        <v>3</v>
      </c>
      <c r="I90" t="s">
        <v>3</v>
      </c>
      <c r="J90">
        <f>C206</f>
        <v>4</v>
      </c>
      <c r="K90" t="s">
        <v>3</v>
      </c>
      <c r="L90">
        <f>D206</f>
        <v>3</v>
      </c>
      <c r="M90" t="s">
        <v>3</v>
      </c>
      <c r="S90" t="s">
        <v>21</v>
      </c>
    </row>
    <row r="91" spans="1:19" x14ac:dyDescent="0.15">
      <c r="A91" t="str">
        <f t="shared" si="12"/>
        <v>|Lv4|4|4|3|</v>
      </c>
      <c r="B91" t="s">
        <v>3</v>
      </c>
      <c r="C91" t="s">
        <v>8</v>
      </c>
      <c r="D91">
        <v>4</v>
      </c>
      <c r="E91" t="s">
        <v>3</v>
      </c>
      <c r="F91" t="str">
        <f t="shared" ref="F91:F96" si="13">IF(ISBLANK(D91),"",INDEX($F$129:$F$188,D91))</f>
        <v>クリーチャー</v>
      </c>
      <c r="G91" t="s">
        <v>3</v>
      </c>
      <c r="H91">
        <f t="shared" ref="H91:H96" si="14">H90+IF(H$89=$F91,INDEX($H$129:$H$188,D91),0)</f>
        <v>4</v>
      </c>
      <c r="I91" t="s">
        <v>3</v>
      </c>
      <c r="J91">
        <f t="shared" ref="J91:J96" si="15">J90+IF(J$89=$F91,INDEX($H$129:$H$188,D91),0)</f>
        <v>4</v>
      </c>
      <c r="K91" t="s">
        <v>3</v>
      </c>
      <c r="L91">
        <f t="shared" ref="L91:L96" si="16">L90+IF(L$89=$F91,INDEX($H$129:$H$188,D91),0)</f>
        <v>3</v>
      </c>
      <c r="M91" t="s">
        <v>3</v>
      </c>
      <c r="S91" t="s">
        <v>22</v>
      </c>
    </row>
    <row r="92" spans="1:19" x14ac:dyDescent="0.15">
      <c r="A92" t="str">
        <f t="shared" si="12"/>
        <v>|Lv10|4|4|4|</v>
      </c>
      <c r="B92" t="s">
        <v>3</v>
      </c>
      <c r="C92" t="s">
        <v>8</v>
      </c>
      <c r="D92">
        <v>10</v>
      </c>
      <c r="E92" t="s">
        <v>3</v>
      </c>
      <c r="F92" t="str">
        <f t="shared" si="13"/>
        <v>サポート</v>
      </c>
      <c r="G92" t="s">
        <v>3</v>
      </c>
      <c r="H92">
        <f t="shared" si="14"/>
        <v>4</v>
      </c>
      <c r="I92" t="s">
        <v>3</v>
      </c>
      <c r="J92">
        <f t="shared" si="15"/>
        <v>4</v>
      </c>
      <c r="K92" t="s">
        <v>3</v>
      </c>
      <c r="L92">
        <f t="shared" si="16"/>
        <v>4</v>
      </c>
      <c r="M92" t="s">
        <v>3</v>
      </c>
    </row>
    <row r="93" spans="1:19" x14ac:dyDescent="0.15">
      <c r="A93" t="str">
        <f t="shared" si="12"/>
        <v>|Lv16|4|5|4|</v>
      </c>
      <c r="B93" t="s">
        <v>3</v>
      </c>
      <c r="C93" t="s">
        <v>8</v>
      </c>
      <c r="D93">
        <v>16</v>
      </c>
      <c r="E93" t="s">
        <v>3</v>
      </c>
      <c r="F93" t="str">
        <f t="shared" si="13"/>
        <v>呪文</v>
      </c>
      <c r="G93" t="s">
        <v>3</v>
      </c>
      <c r="H93">
        <f t="shared" si="14"/>
        <v>4</v>
      </c>
      <c r="I93" t="s">
        <v>3</v>
      </c>
      <c r="J93">
        <f t="shared" si="15"/>
        <v>5</v>
      </c>
      <c r="K93" t="s">
        <v>3</v>
      </c>
      <c r="L93">
        <f t="shared" si="16"/>
        <v>4</v>
      </c>
      <c r="M93" t="s">
        <v>3</v>
      </c>
    </row>
    <row r="94" spans="1:19" x14ac:dyDescent="0.15">
      <c r="A94" t="str">
        <f t="shared" si="12"/>
        <v>|Lv28|5|5|4|</v>
      </c>
      <c r="B94" t="s">
        <v>3</v>
      </c>
      <c r="C94" t="s">
        <v>8</v>
      </c>
      <c r="D94">
        <v>28</v>
      </c>
      <c r="E94" t="s">
        <v>3</v>
      </c>
      <c r="F94" t="str">
        <f t="shared" si="13"/>
        <v>クリーチャー</v>
      </c>
      <c r="G94" t="s">
        <v>3</v>
      </c>
      <c r="H94">
        <f t="shared" si="14"/>
        <v>5</v>
      </c>
      <c r="I94" t="s">
        <v>3</v>
      </c>
      <c r="J94">
        <f t="shared" si="15"/>
        <v>5</v>
      </c>
      <c r="K94" t="s">
        <v>3</v>
      </c>
      <c r="L94">
        <f t="shared" si="16"/>
        <v>4</v>
      </c>
      <c r="M94" t="s">
        <v>3</v>
      </c>
    </row>
    <row r="95" spans="1:19" x14ac:dyDescent="0.15">
      <c r="A95" t="str">
        <f t="shared" si="12"/>
        <v>|Lv34|5|5|5|</v>
      </c>
      <c r="B95" t="s">
        <v>3</v>
      </c>
      <c r="C95" t="s">
        <v>8</v>
      </c>
      <c r="D95">
        <v>34</v>
      </c>
      <c r="E95" t="s">
        <v>3</v>
      </c>
      <c r="F95" t="str">
        <f t="shared" si="13"/>
        <v>サポート</v>
      </c>
      <c r="G95" t="s">
        <v>3</v>
      </c>
      <c r="H95">
        <f t="shared" si="14"/>
        <v>5</v>
      </c>
      <c r="I95" t="s">
        <v>3</v>
      </c>
      <c r="J95">
        <f t="shared" si="15"/>
        <v>5</v>
      </c>
      <c r="K95" t="s">
        <v>3</v>
      </c>
      <c r="L95">
        <f t="shared" si="16"/>
        <v>5</v>
      </c>
      <c r="M95" t="s">
        <v>3</v>
      </c>
    </row>
    <row r="96" spans="1:19" x14ac:dyDescent="0.15">
      <c r="A96" t="str">
        <f t="shared" ref="A96" si="17">B96&amp;C96&amp;D96&amp;G96&amp;H96&amp;I96&amp;J96&amp;K96&amp;L96&amp;M96&amp;N96&amp;O96&amp;P96&amp;Q96&amp;R96</f>
        <v>|Lv42|5|6|5|</v>
      </c>
      <c r="B96" t="s">
        <v>3</v>
      </c>
      <c r="C96" t="s">
        <v>8</v>
      </c>
      <c r="D96">
        <v>42</v>
      </c>
      <c r="E96" t="s">
        <v>3</v>
      </c>
      <c r="F96" t="str">
        <f t="shared" si="13"/>
        <v>呪文</v>
      </c>
      <c r="G96" t="s">
        <v>3</v>
      </c>
      <c r="H96">
        <f t="shared" si="14"/>
        <v>5</v>
      </c>
      <c r="I96" t="s">
        <v>3</v>
      </c>
      <c r="J96">
        <f t="shared" si="15"/>
        <v>6</v>
      </c>
      <c r="K96" t="s">
        <v>3</v>
      </c>
      <c r="L96">
        <f t="shared" si="16"/>
        <v>5</v>
      </c>
      <c r="M96" t="s">
        <v>3</v>
      </c>
    </row>
    <row r="97" spans="1:18" x14ac:dyDescent="0.15">
      <c r="A97" t="str">
        <f t="shared" ref="A97:A118" si="18">B97&amp;C97&amp;D97&amp;E97&amp;F97&amp;G97&amp;H97&amp;I97&amp;J97&amp;K97&amp;L97&amp;M97&amp;N97&amp;O97&amp;P97</f>
        <v>&amp;br;</v>
      </c>
      <c r="B97" t="s">
        <v>0</v>
      </c>
    </row>
    <row r="98" spans="1:18" x14ac:dyDescent="0.15">
      <c r="A98" t="str">
        <f t="shared" si="18"/>
        <v>&amp;br;</v>
      </c>
      <c r="B98" t="s">
        <v>0</v>
      </c>
    </row>
    <row r="99" spans="1:18" x14ac:dyDescent="0.15">
      <c r="A99" t="str">
        <f t="shared" si="18"/>
        <v>*PW能力一覧 [#a469e89f]</v>
      </c>
      <c r="B99" t="s">
        <v>23</v>
      </c>
    </row>
    <row r="100" spans="1:18" x14ac:dyDescent="0.15">
      <c r="A100" t="str">
        <f t="shared" si="18"/>
        <v>**第1能力：手綱/Harness</v>
      </c>
      <c r="B100" t="s">
        <v>24</v>
      </c>
      <c r="D100" t="s">
        <v>788</v>
      </c>
      <c r="E100" t="s">
        <v>25</v>
      </c>
      <c r="F100" t="s">
        <v>789</v>
      </c>
      <c r="R100" t="str">
        <f>D100&amp;E100&amp;F100</f>
        <v>手綱/Harness</v>
      </c>
    </row>
    <row r="101" spans="1:18" x14ac:dyDescent="0.15">
      <c r="A101" t="str">
        <f t="shared" si="18"/>
        <v>|LEFT:50|LEFT:50|LEFT:50|LEFT:300|c</v>
      </c>
      <c r="B101" t="s">
        <v>3</v>
      </c>
      <c r="C101" t="s">
        <v>4</v>
      </c>
      <c r="E101" t="s">
        <v>3</v>
      </c>
      <c r="F101" t="s">
        <v>4</v>
      </c>
      <c r="G101" t="s">
        <v>3</v>
      </c>
      <c r="H101" t="s">
        <v>4</v>
      </c>
      <c r="I101" t="s">
        <v>3</v>
      </c>
      <c r="J101" t="s">
        <v>26</v>
      </c>
      <c r="K101" t="s">
        <v>3</v>
      </c>
      <c r="L101" t="s">
        <v>5</v>
      </c>
    </row>
    <row r="102" spans="1:18" x14ac:dyDescent="0.15">
      <c r="A102" t="str">
        <f t="shared" si="18"/>
        <v>|解放Lv|レベル|コスト|効果|</v>
      </c>
      <c r="B102" t="s">
        <v>3</v>
      </c>
      <c r="C102" t="s">
        <v>27</v>
      </c>
      <c r="E102" t="s">
        <v>3</v>
      </c>
      <c r="F102" t="s">
        <v>6</v>
      </c>
      <c r="G102" t="s">
        <v>3</v>
      </c>
      <c r="H102" t="s">
        <v>28</v>
      </c>
      <c r="I102" t="s">
        <v>3</v>
      </c>
      <c r="J102" t="s">
        <v>29</v>
      </c>
      <c r="K102" t="s">
        <v>3</v>
      </c>
    </row>
    <row r="103" spans="1:18" x14ac:dyDescent="0.15">
      <c r="A103" t="str">
        <f t="shared" si="18"/>
        <v>|Lv6|Lv1|9|自分の[[サイクリング]]を持たない最初の手札は3マナ得る。|</v>
      </c>
      <c r="B103" t="s">
        <v>3</v>
      </c>
      <c r="C103" t="s">
        <v>8</v>
      </c>
      <c r="D103">
        <v>6</v>
      </c>
      <c r="E103" t="s">
        <v>3</v>
      </c>
      <c r="F103" t="s">
        <v>30</v>
      </c>
      <c r="G103" t="s">
        <v>3</v>
      </c>
      <c r="H103">
        <v>9</v>
      </c>
      <c r="I103" t="s">
        <v>3</v>
      </c>
      <c r="J103" s="8" t="s">
        <v>791</v>
      </c>
      <c r="K103" t="s">
        <v>3</v>
      </c>
    </row>
    <row r="104" spans="1:18" x14ac:dyDescent="0.15">
      <c r="A104" t="str">
        <f t="shared" si="18"/>
        <v>|Lv24|Lv2|9|自分の最初の手札は3マナ得る。|</v>
      </c>
      <c r="B104" t="s">
        <v>3</v>
      </c>
      <c r="C104" t="s">
        <v>8</v>
      </c>
      <c r="D104">
        <v>24</v>
      </c>
      <c r="E104" t="s">
        <v>3</v>
      </c>
      <c r="F104" t="s">
        <v>31</v>
      </c>
      <c r="G104" t="s">
        <v>3</v>
      </c>
      <c r="H104">
        <f>H103</f>
        <v>9</v>
      </c>
      <c r="I104" t="s">
        <v>3</v>
      </c>
      <c r="J104" s="8" t="s">
        <v>792</v>
      </c>
      <c r="K104" t="s">
        <v>3</v>
      </c>
    </row>
    <row r="105" spans="1:18" x14ac:dyDescent="0.15">
      <c r="A105" t="str">
        <f t="shared" si="18"/>
        <v>|Lv40|Lv3|9|自分の最初の手札に3マナ、他の[[サイクリング]]を持たない各手札は1マナ得る。|</v>
      </c>
      <c r="B105" t="s">
        <v>3</v>
      </c>
      <c r="C105" t="s">
        <v>8</v>
      </c>
      <c r="D105">
        <v>40</v>
      </c>
      <c r="E105" t="s">
        <v>3</v>
      </c>
      <c r="F105" t="s">
        <v>32</v>
      </c>
      <c r="G105" t="s">
        <v>3</v>
      </c>
      <c r="H105">
        <f>H104</f>
        <v>9</v>
      </c>
      <c r="I105" t="s">
        <v>3</v>
      </c>
      <c r="J105" s="8" t="s">
        <v>793</v>
      </c>
      <c r="K105" t="s">
        <v>3</v>
      </c>
    </row>
    <row r="106" spans="1:18" x14ac:dyDescent="0.15">
      <c r="A106" t="str">
        <f t="shared" si="18"/>
        <v>|Lv56|Lv4|9|自分の最初の手札に3マナ、それ以外の自分の各手札は1マナ得る。|</v>
      </c>
      <c r="B106" t="s">
        <v>3</v>
      </c>
      <c r="C106" t="s">
        <v>8</v>
      </c>
      <c r="D106">
        <v>56</v>
      </c>
      <c r="E106" t="s">
        <v>3</v>
      </c>
      <c r="F106" t="s">
        <v>33</v>
      </c>
      <c r="G106" t="s">
        <v>3</v>
      </c>
      <c r="H106">
        <f>H105</f>
        <v>9</v>
      </c>
      <c r="I106" t="s">
        <v>3</v>
      </c>
      <c r="J106" t="s">
        <v>790</v>
      </c>
      <c r="K106" t="s">
        <v>3</v>
      </c>
    </row>
    <row r="107" spans="1:18" x14ac:dyDescent="0.15">
      <c r="A107" t="str">
        <f t="shared" si="18"/>
        <v>&amp;br;</v>
      </c>
      <c r="B107" t="s">
        <v>0</v>
      </c>
    </row>
    <row r="108" spans="1:18" x14ac:dyDescent="0.15">
      <c r="A108" t="str">
        <f t="shared" si="18"/>
        <v>&amp;br;</v>
      </c>
      <c r="B108" t="s">
        <v>0</v>
      </c>
    </row>
    <row r="109" spans="1:18" x14ac:dyDescent="0.15">
      <c r="A109" t="str">
        <f t="shared" si="18"/>
        <v>**第2能力：落葉/Shed</v>
      </c>
      <c r="B109" t="s">
        <v>34</v>
      </c>
      <c r="D109" t="s">
        <v>794</v>
      </c>
      <c r="E109" t="s">
        <v>25</v>
      </c>
      <c r="F109" t="s">
        <v>795</v>
      </c>
      <c r="R109" t="str">
        <f>D109&amp;E109&amp;F109</f>
        <v>落葉/Shed</v>
      </c>
    </row>
    <row r="110" spans="1:18" x14ac:dyDescent="0.15">
      <c r="A110" t="str">
        <f t="shared" si="18"/>
        <v>|LEFT:50|LEFT:50|LEFT:50|LEFT:300|c</v>
      </c>
      <c r="B110" t="s">
        <v>3</v>
      </c>
      <c r="C110" t="s">
        <v>4</v>
      </c>
      <c r="E110" t="s">
        <v>3</v>
      </c>
      <c r="F110" t="s">
        <v>4</v>
      </c>
      <c r="G110" t="s">
        <v>3</v>
      </c>
      <c r="H110" t="s">
        <v>4</v>
      </c>
      <c r="I110" t="s">
        <v>3</v>
      </c>
      <c r="J110" t="s">
        <v>26</v>
      </c>
      <c r="K110" t="s">
        <v>3</v>
      </c>
      <c r="L110" t="s">
        <v>5</v>
      </c>
    </row>
    <row r="111" spans="1:18" x14ac:dyDescent="0.15">
      <c r="A111" t="str">
        <f t="shared" si="18"/>
        <v>|解放Lv|レベル|コスト|効果|</v>
      </c>
      <c r="B111" t="s">
        <v>3</v>
      </c>
      <c r="C111" t="s">
        <v>27</v>
      </c>
      <c r="E111" t="s">
        <v>3</v>
      </c>
      <c r="F111" t="s">
        <v>6</v>
      </c>
      <c r="G111" t="s">
        <v>3</v>
      </c>
      <c r="H111" t="s">
        <v>28</v>
      </c>
      <c r="I111" t="s">
        <v>3</v>
      </c>
      <c r="J111" t="s">
        <v>29</v>
      </c>
      <c r="K111" t="s">
        <v>3</v>
      </c>
    </row>
    <row r="112" spans="1:18" x14ac:dyDescent="0.15">
      <c r="A112" t="str">
        <f t="shared" si="18"/>
        <v>|Lv12|Lv1|12|[[サイクリング]]を持たない各手札はサイクリング4を得る。|</v>
      </c>
      <c r="B112" t="s">
        <v>3</v>
      </c>
      <c r="C112" t="s">
        <v>8</v>
      </c>
      <c r="D112">
        <v>12</v>
      </c>
      <c r="E112" t="s">
        <v>3</v>
      </c>
      <c r="F112" t="s">
        <v>30</v>
      </c>
      <c r="G112" t="s">
        <v>3</v>
      </c>
      <c r="H112">
        <v>12</v>
      </c>
      <c r="I112" t="s">
        <v>3</v>
      </c>
      <c r="J112" s="8" t="s">
        <v>796</v>
      </c>
      <c r="K112" t="s">
        <v>3</v>
      </c>
    </row>
    <row r="113" spans="1:19" x14ac:dyDescent="0.15">
      <c r="A113" t="str">
        <f t="shared" si="18"/>
        <v>|Lv30|Lv2|12|[[サイクリング]]を持たない各手札はサイクリング3を得る。|</v>
      </c>
      <c r="B113" t="s">
        <v>3</v>
      </c>
      <c r="C113" t="s">
        <v>8</v>
      </c>
      <c r="D113">
        <v>30</v>
      </c>
      <c r="E113" t="s">
        <v>3</v>
      </c>
      <c r="F113" t="s">
        <v>31</v>
      </c>
      <c r="G113" t="s">
        <v>3</v>
      </c>
      <c r="H113">
        <f>H112</f>
        <v>12</v>
      </c>
      <c r="I113" t="s">
        <v>3</v>
      </c>
      <c r="J113" s="8" t="s">
        <v>797</v>
      </c>
      <c r="K113" t="s">
        <v>3</v>
      </c>
    </row>
    <row r="114" spans="1:19" x14ac:dyDescent="0.15">
      <c r="A114" t="str">
        <f t="shared" si="18"/>
        <v>|Lv46|Lv3|12|[[サイクリング]]を持たない各手札はサイクリング2を得る。|</v>
      </c>
      <c r="B114" t="s">
        <v>3</v>
      </c>
      <c r="C114" t="s">
        <v>8</v>
      </c>
      <c r="D114">
        <v>46</v>
      </c>
      <c r="E114" t="s">
        <v>3</v>
      </c>
      <c r="F114" t="s">
        <v>32</v>
      </c>
      <c r="G114" t="s">
        <v>3</v>
      </c>
      <c r="H114">
        <f>H113</f>
        <v>12</v>
      </c>
      <c r="I114" t="s">
        <v>3</v>
      </c>
      <c r="J114" s="8" t="s">
        <v>798</v>
      </c>
      <c r="K114" t="s">
        <v>3</v>
      </c>
    </row>
    <row r="115" spans="1:19" x14ac:dyDescent="0.15">
      <c r="A115" t="str">
        <f t="shared" si="18"/>
        <v>|Lv58|Lv4|12|[[サイクリング]]を持たない各手札はサイクリング1を得る。|</v>
      </c>
      <c r="B115" t="s">
        <v>3</v>
      </c>
      <c r="C115" t="s">
        <v>8</v>
      </c>
      <c r="D115">
        <v>58</v>
      </c>
      <c r="E115" t="s">
        <v>3</v>
      </c>
      <c r="F115" t="s">
        <v>33</v>
      </c>
      <c r="G115" t="s">
        <v>3</v>
      </c>
      <c r="H115">
        <f>H114</f>
        <v>12</v>
      </c>
      <c r="I115" t="s">
        <v>3</v>
      </c>
      <c r="J115" s="8" t="s">
        <v>799</v>
      </c>
      <c r="K115" t="s">
        <v>3</v>
      </c>
    </row>
    <row r="116" spans="1:19" x14ac:dyDescent="0.15">
      <c r="A116" t="str">
        <f t="shared" si="18"/>
        <v>&amp;br;</v>
      </c>
      <c r="B116" t="s">
        <v>0</v>
      </c>
    </row>
    <row r="117" spans="1:19" x14ac:dyDescent="0.15">
      <c r="A117" t="str">
        <f t="shared" si="18"/>
        <v>&amp;br;</v>
      </c>
      <c r="B117" t="s">
        <v>0</v>
      </c>
    </row>
    <row r="118" spans="1:19" x14ac:dyDescent="0.15">
      <c r="A118" t="str">
        <f t="shared" si="18"/>
        <v>**第3能力：熱望/Aspire</v>
      </c>
      <c r="B118" t="s">
        <v>35</v>
      </c>
      <c r="D118" t="s">
        <v>800</v>
      </c>
      <c r="E118" t="s">
        <v>25</v>
      </c>
      <c r="F118" t="s">
        <v>801</v>
      </c>
      <c r="R118" t="str">
        <f>D118&amp;E118&amp;F118</f>
        <v>熱望/Aspire</v>
      </c>
    </row>
    <row r="119" spans="1:19" x14ac:dyDescent="0.15">
      <c r="A119" t="str">
        <f t="shared" ref="A119:A182" si="19">B119&amp;C119&amp;D119&amp;E119&amp;F119&amp;G119&amp;H119&amp;I119&amp;J119&amp;K119&amp;L119&amp;M119&amp;N119&amp;O119&amp;P119</f>
        <v>|LEFT:50|LEFT:50|LEFT:50|LEFT:300|c</v>
      </c>
      <c r="B119" t="s">
        <v>3</v>
      </c>
      <c r="C119" t="s">
        <v>4</v>
      </c>
      <c r="E119" t="s">
        <v>3</v>
      </c>
      <c r="F119" t="s">
        <v>4</v>
      </c>
      <c r="G119" t="s">
        <v>3</v>
      </c>
      <c r="H119" t="s">
        <v>4</v>
      </c>
      <c r="I119" t="s">
        <v>3</v>
      </c>
      <c r="J119" t="s">
        <v>26</v>
      </c>
      <c r="K119" t="s">
        <v>3</v>
      </c>
      <c r="L119" t="s">
        <v>5</v>
      </c>
    </row>
    <row r="120" spans="1:19" x14ac:dyDescent="0.15">
      <c r="A120" t="str">
        <f t="shared" si="19"/>
        <v>|解放Lv|レベル|コスト|効果|</v>
      </c>
      <c r="B120" t="s">
        <v>3</v>
      </c>
      <c r="C120" t="s">
        <v>27</v>
      </c>
      <c r="E120" t="s">
        <v>3</v>
      </c>
      <c r="F120" t="s">
        <v>6</v>
      </c>
      <c r="G120" t="s">
        <v>3</v>
      </c>
      <c r="H120" t="s">
        <v>28</v>
      </c>
      <c r="I120" t="s">
        <v>3</v>
      </c>
      <c r="J120" t="s">
        <v>29</v>
      </c>
      <c r="K120" t="s">
        <v>3</v>
      </c>
    </row>
    <row r="121" spans="1:19" x14ac:dyDescent="0.15">
      <c r="A121" t="str">
        <f t="shared" si="19"/>
        <v>|Lv18|Lv1|21|「あなたがサイクリングするたびに、あなたの各手札は1マナ得ると共にあなたのコントロールする各クリーチャーは+1/+1修整を得る」という能力を持つサポートトークン(シールド値3）を生成する。|</v>
      </c>
      <c r="B121" t="s">
        <v>3</v>
      </c>
      <c r="C121" t="s">
        <v>8</v>
      </c>
      <c r="D121">
        <v>18</v>
      </c>
      <c r="E121" t="s">
        <v>3</v>
      </c>
      <c r="F121" t="s">
        <v>30</v>
      </c>
      <c r="G121" t="s">
        <v>3</v>
      </c>
      <c r="H121">
        <v>21</v>
      </c>
      <c r="I121" t="s">
        <v>3</v>
      </c>
      <c r="J121" s="8" t="s">
        <v>803</v>
      </c>
      <c r="K121" t="s">
        <v>3</v>
      </c>
    </row>
    <row r="122" spans="1:19" x14ac:dyDescent="0.15">
      <c r="A122" t="str">
        <f t="shared" si="19"/>
        <v>|Lv36|Lv2|21|「あなたがサイクリングするたびに、あなたの各手札は1マナ得ると共にあなたのコントロールする各クリーチャーは+2/+2の修整を得る」という能力を持つサポートトークン(シールド値3）を生成する。|</v>
      </c>
      <c r="B122" t="s">
        <v>3</v>
      </c>
      <c r="C122" t="s">
        <v>8</v>
      </c>
      <c r="D122">
        <v>36</v>
      </c>
      <c r="E122" t="s">
        <v>3</v>
      </c>
      <c r="F122" t="s">
        <v>31</v>
      </c>
      <c r="G122" t="s">
        <v>3</v>
      </c>
      <c r="H122">
        <f>H121</f>
        <v>21</v>
      </c>
      <c r="I122" t="s">
        <v>3</v>
      </c>
      <c r="J122" s="8" t="s">
        <v>805</v>
      </c>
      <c r="K122" t="s">
        <v>3</v>
      </c>
    </row>
    <row r="123" spans="1:19" x14ac:dyDescent="0.15">
      <c r="A123" t="str">
        <f t="shared" si="19"/>
        <v>|Lv52|Lv3|21|「あなたがサイクリングするたびに、あなたの各手札は2マナ得ると共にあなたのコントロールする各クリーチャーは+3/+3の修整を得る」という能力を持つサポートトークン(シールド値3）を生成する。|</v>
      </c>
      <c r="B123" t="s">
        <v>3</v>
      </c>
      <c r="C123" t="s">
        <v>8</v>
      </c>
      <c r="D123">
        <v>52</v>
      </c>
      <c r="E123" t="s">
        <v>3</v>
      </c>
      <c r="F123" t="s">
        <v>32</v>
      </c>
      <c r="G123" t="s">
        <v>3</v>
      </c>
      <c r="H123">
        <f>H122</f>
        <v>21</v>
      </c>
      <c r="I123" t="s">
        <v>3</v>
      </c>
      <c r="J123" s="8" t="s">
        <v>804</v>
      </c>
      <c r="K123" t="s">
        <v>3</v>
      </c>
    </row>
    <row r="124" spans="1:19" x14ac:dyDescent="0.15">
      <c r="A124" t="str">
        <f t="shared" si="19"/>
        <v>|Lv60|Lv4|21|「あなたがサイクリングするたびに、あなたの各手札は2マナ得ると共にあなたのコントロールする各クリーチャーは+4/+4の修整を得る」という能力を持つサポートトークン(シールド値3）を生成する。|</v>
      </c>
      <c r="B124" t="s">
        <v>3</v>
      </c>
      <c r="C124" t="s">
        <v>8</v>
      </c>
      <c r="D124">
        <v>60</v>
      </c>
      <c r="E124" t="s">
        <v>3</v>
      </c>
      <c r="F124" t="s">
        <v>33</v>
      </c>
      <c r="G124" t="s">
        <v>3</v>
      </c>
      <c r="H124">
        <f>H123</f>
        <v>21</v>
      </c>
      <c r="I124" t="s">
        <v>3</v>
      </c>
      <c r="J124" t="s">
        <v>802</v>
      </c>
      <c r="K124" t="s">
        <v>3</v>
      </c>
    </row>
    <row r="125" spans="1:19" x14ac:dyDescent="0.15">
      <c r="A125" t="str">
        <f t="shared" si="19"/>
        <v>&amp;br;</v>
      </c>
      <c r="B125" t="s">
        <v>0</v>
      </c>
    </row>
    <row r="126" spans="1:19" x14ac:dyDescent="0.15">
      <c r="A126" t="str">
        <f t="shared" si="19"/>
        <v>&amp;br;</v>
      </c>
      <c r="B126" t="s">
        <v>0</v>
      </c>
    </row>
    <row r="127" spans="1:19" x14ac:dyDescent="0.15">
      <c r="A127" t="str">
        <f t="shared" si="19"/>
        <v>*レベルアップ報酬一覧</v>
      </c>
      <c r="B127" s="8" t="s">
        <v>666</v>
      </c>
      <c r="S127" s="8" t="s">
        <v>720</v>
      </c>
    </row>
    <row r="128" spans="1:19" x14ac:dyDescent="0.15">
      <c r="A128" t="str">
        <f t="shared" si="19"/>
        <v>|LEFT:50|LEFT:100|c</v>
      </c>
      <c r="B128" t="s">
        <v>3</v>
      </c>
      <c r="C128" t="s">
        <v>4</v>
      </c>
      <c r="E128" t="s">
        <v>3</v>
      </c>
      <c r="F128" t="s">
        <v>37</v>
      </c>
      <c r="I128" t="s">
        <v>3</v>
      </c>
      <c r="J128" t="s">
        <v>5</v>
      </c>
      <c r="R128" s="8" t="s">
        <v>654</v>
      </c>
      <c r="S128" t="s">
        <v>721</v>
      </c>
    </row>
    <row r="129" spans="1:19" x14ac:dyDescent="0.15">
      <c r="A129" t="str">
        <f t="shared" si="19"/>
        <v>|レベル|報酬|</v>
      </c>
      <c r="B129" t="s">
        <v>3</v>
      </c>
      <c r="C129" t="s">
        <v>6</v>
      </c>
      <c r="E129" t="s">
        <v>3</v>
      </c>
      <c r="F129" t="s">
        <v>38</v>
      </c>
      <c r="I129" t="s">
        <v>3</v>
      </c>
      <c r="Q129" t="s">
        <v>7</v>
      </c>
      <c r="R129">
        <v>3</v>
      </c>
      <c r="S129">
        <v>2</v>
      </c>
    </row>
    <row r="130" spans="1:19" x14ac:dyDescent="0.15">
      <c r="A130" t="str">
        <f t="shared" si="19"/>
        <v>|Lｖ2|青+1|</v>
      </c>
      <c r="B130" t="s">
        <v>3</v>
      </c>
      <c r="C130" t="s">
        <v>39</v>
      </c>
      <c r="D130">
        <v>2</v>
      </c>
      <c r="E130" t="s">
        <v>3</v>
      </c>
      <c r="F130" t="s">
        <v>12</v>
      </c>
      <c r="G130" t="str">
        <f>IF(OR(F130=$Q$138,F130=$Q$139,F130=$Q$140,F130=$Q$141,ISBLANK(F130)),"","+")</f>
        <v>+</v>
      </c>
      <c r="H130">
        <f>IF(F130="HP",IF($S$128="交互",IF(ISODD((D130-1)/2),$R$129,$S$129),$R$129),IF(F130="","",VLOOKUP(F130,$Q$129:$R$142,2,FALSE)))</f>
        <v>1</v>
      </c>
      <c r="I130" t="s">
        <v>3</v>
      </c>
      <c r="Q130" t="s">
        <v>20</v>
      </c>
      <c r="R130">
        <v>1</v>
      </c>
    </row>
    <row r="131" spans="1:19" x14ac:dyDescent="0.15">
      <c r="A131" t="str">
        <f t="shared" si="19"/>
        <v>|Lｖ3|HP+3|</v>
      </c>
      <c r="B131" t="s">
        <v>3</v>
      </c>
      <c r="C131" t="s">
        <v>39</v>
      </c>
      <c r="D131">
        <v>3</v>
      </c>
      <c r="E131" t="s">
        <v>3</v>
      </c>
      <c r="F131" t="s">
        <v>7</v>
      </c>
      <c r="G131" t="str">
        <f t="shared" ref="G131:G188" si="20">IF(OR(F131=$Q$138,F131=$Q$139,F131=$Q$140,F131=$Q$141,ISBLANK(F131)),"","+")</f>
        <v>+</v>
      </c>
      <c r="H131">
        <f t="shared" ref="H131:H187" si="21">IF(F131="HP",IF($S$128="交互",IF(ISODD((D131-1)/2),$R$129,$S$129),$R$129),IF(F131="","",VLOOKUP(F131,$Q$129:$R$142,2,FALSE)))</f>
        <v>3</v>
      </c>
      <c r="I131" t="s">
        <v>3</v>
      </c>
      <c r="Q131" t="s">
        <v>21</v>
      </c>
      <c r="R131">
        <v>1</v>
      </c>
    </row>
    <row r="132" spans="1:19" x14ac:dyDescent="0.15">
      <c r="A132" t="str">
        <f t="shared" si="19"/>
        <v>|Lｖ4|クリーチャー+1|</v>
      </c>
      <c r="B132" t="s">
        <v>3</v>
      </c>
      <c r="C132" t="s">
        <v>39</v>
      </c>
      <c r="D132">
        <v>4</v>
      </c>
      <c r="E132" t="s">
        <v>3</v>
      </c>
      <c r="F132" t="s">
        <v>20</v>
      </c>
      <c r="G132" t="str">
        <f t="shared" si="20"/>
        <v>+</v>
      </c>
      <c r="H132">
        <f t="shared" si="21"/>
        <v>1</v>
      </c>
      <c r="I132" t="s">
        <v>3</v>
      </c>
      <c r="Q132" t="s">
        <v>22</v>
      </c>
      <c r="R132">
        <v>1</v>
      </c>
    </row>
    <row r="133" spans="1:19" x14ac:dyDescent="0.15">
      <c r="A133" t="str">
        <f t="shared" si="19"/>
        <v>|Lｖ5|HP+2|</v>
      </c>
      <c r="B133" t="s">
        <v>3</v>
      </c>
      <c r="C133" t="s">
        <v>39</v>
      </c>
      <c r="D133">
        <v>5</v>
      </c>
      <c r="E133" t="s">
        <v>3</v>
      </c>
      <c r="F133" t="s">
        <v>7</v>
      </c>
      <c r="G133" t="str">
        <f t="shared" si="20"/>
        <v>+</v>
      </c>
      <c r="H133">
        <f t="shared" si="21"/>
        <v>2</v>
      </c>
      <c r="I133" t="s">
        <v>3</v>
      </c>
      <c r="Q133" t="s">
        <v>11</v>
      </c>
      <c r="R133">
        <v>1</v>
      </c>
    </row>
    <row r="134" spans="1:19" x14ac:dyDescent="0.15">
      <c r="A134" t="str">
        <f t="shared" si="19"/>
        <v>|Lｖ6|第1能力Lv1|</v>
      </c>
      <c r="B134" t="s">
        <v>3</v>
      </c>
      <c r="C134" t="s">
        <v>39</v>
      </c>
      <c r="D134">
        <v>6</v>
      </c>
      <c r="E134" t="s">
        <v>3</v>
      </c>
      <c r="F134" t="s">
        <v>40</v>
      </c>
      <c r="G134" t="str">
        <f t="shared" si="20"/>
        <v/>
      </c>
      <c r="H134">
        <v>1</v>
      </c>
      <c r="I134" t="s">
        <v>3</v>
      </c>
      <c r="Q134" t="s">
        <v>12</v>
      </c>
      <c r="R134">
        <v>1</v>
      </c>
    </row>
    <row r="135" spans="1:19" x14ac:dyDescent="0.15">
      <c r="A135" t="str">
        <f t="shared" si="19"/>
        <v>|Lｖ7|HP+3|</v>
      </c>
      <c r="B135" t="s">
        <v>3</v>
      </c>
      <c r="C135" t="s">
        <v>39</v>
      </c>
      <c r="D135">
        <v>7</v>
      </c>
      <c r="E135" t="s">
        <v>3</v>
      </c>
      <c r="F135" t="s">
        <v>7</v>
      </c>
      <c r="G135" t="str">
        <f t="shared" si="20"/>
        <v>+</v>
      </c>
      <c r="H135">
        <f t="shared" si="21"/>
        <v>3</v>
      </c>
      <c r="I135" t="s">
        <v>3</v>
      </c>
      <c r="Q135" t="s">
        <v>13</v>
      </c>
      <c r="R135">
        <v>1</v>
      </c>
    </row>
    <row r="136" spans="1:19" x14ac:dyDescent="0.15">
      <c r="A136" t="str">
        <f t="shared" si="19"/>
        <v>|Lｖ8|緑+1|</v>
      </c>
      <c r="B136" t="s">
        <v>3</v>
      </c>
      <c r="C136" t="s">
        <v>39</v>
      </c>
      <c r="D136">
        <v>8</v>
      </c>
      <c r="E136" t="s">
        <v>3</v>
      </c>
      <c r="F136" t="s">
        <v>15</v>
      </c>
      <c r="G136" t="str">
        <f t="shared" si="20"/>
        <v>+</v>
      </c>
      <c r="H136">
        <f t="shared" si="21"/>
        <v>1</v>
      </c>
      <c r="I136" t="s">
        <v>3</v>
      </c>
      <c r="Q136" t="s">
        <v>14</v>
      </c>
      <c r="R136">
        <v>1</v>
      </c>
    </row>
    <row r="137" spans="1:19" x14ac:dyDescent="0.15">
      <c r="A137" t="str">
        <f t="shared" si="19"/>
        <v>|Lｖ9|HP+2|</v>
      </c>
      <c r="B137" t="s">
        <v>3</v>
      </c>
      <c r="C137" t="s">
        <v>39</v>
      </c>
      <c r="D137">
        <v>9</v>
      </c>
      <c r="E137" t="s">
        <v>3</v>
      </c>
      <c r="F137" t="s">
        <v>7</v>
      </c>
      <c r="G137" t="str">
        <f t="shared" si="20"/>
        <v>+</v>
      </c>
      <c r="H137">
        <f t="shared" si="21"/>
        <v>2</v>
      </c>
      <c r="I137" t="s">
        <v>3</v>
      </c>
      <c r="Q137" t="s">
        <v>15</v>
      </c>
      <c r="R137">
        <v>1</v>
      </c>
    </row>
    <row r="138" spans="1:19" x14ac:dyDescent="0.15">
      <c r="A138" t="str">
        <f t="shared" si="19"/>
        <v>|Lｖ10|サポート+1|</v>
      </c>
      <c r="B138" t="s">
        <v>3</v>
      </c>
      <c r="C138" t="s">
        <v>39</v>
      </c>
      <c r="D138">
        <v>10</v>
      </c>
      <c r="E138" t="s">
        <v>3</v>
      </c>
      <c r="F138" t="s">
        <v>22</v>
      </c>
      <c r="G138" t="str">
        <f t="shared" si="20"/>
        <v>+</v>
      </c>
      <c r="H138">
        <f t="shared" si="21"/>
        <v>1</v>
      </c>
      <c r="I138" t="s">
        <v>3</v>
      </c>
      <c r="Q138" t="s">
        <v>40</v>
      </c>
    </row>
    <row r="139" spans="1:19" x14ac:dyDescent="0.15">
      <c r="A139" t="str">
        <f t="shared" si="19"/>
        <v>|Lｖ11|HP+3|</v>
      </c>
      <c r="B139" t="s">
        <v>3</v>
      </c>
      <c r="C139" t="s">
        <v>39</v>
      </c>
      <c r="D139">
        <v>11</v>
      </c>
      <c r="E139" t="s">
        <v>3</v>
      </c>
      <c r="F139" t="s">
        <v>7</v>
      </c>
      <c r="G139" t="str">
        <f t="shared" si="20"/>
        <v>+</v>
      </c>
      <c r="H139">
        <f t="shared" si="21"/>
        <v>3</v>
      </c>
      <c r="I139" t="s">
        <v>3</v>
      </c>
      <c r="Q139" t="s">
        <v>41</v>
      </c>
    </row>
    <row r="140" spans="1:19" x14ac:dyDescent="0.15">
      <c r="A140" t="str">
        <f t="shared" si="19"/>
        <v>|Lｖ12|第2能力Lv1|</v>
      </c>
      <c r="B140" t="s">
        <v>3</v>
      </c>
      <c r="C140" t="s">
        <v>39</v>
      </c>
      <c r="D140">
        <v>12</v>
      </c>
      <c r="E140" t="s">
        <v>3</v>
      </c>
      <c r="F140" t="s">
        <v>41</v>
      </c>
      <c r="G140" t="str">
        <f t="shared" si="20"/>
        <v/>
      </c>
      <c r="H140">
        <v>1</v>
      </c>
      <c r="I140" t="s">
        <v>3</v>
      </c>
      <c r="Q140" t="s">
        <v>42</v>
      </c>
    </row>
    <row r="141" spans="1:19" x14ac:dyDescent="0.15">
      <c r="A141" t="str">
        <f t="shared" si="19"/>
        <v>|Lｖ13|HP+2|</v>
      </c>
      <c r="B141" t="s">
        <v>3</v>
      </c>
      <c r="C141" t="s">
        <v>39</v>
      </c>
      <c r="D141">
        <v>13</v>
      </c>
      <c r="E141" t="s">
        <v>3</v>
      </c>
      <c r="F141" t="s">
        <v>7</v>
      </c>
      <c r="G141" t="str">
        <f t="shared" si="20"/>
        <v>+</v>
      </c>
      <c r="H141">
        <f t="shared" si="21"/>
        <v>2</v>
      </c>
      <c r="I141" t="s">
        <v>3</v>
      </c>
      <c r="Q141" t="s">
        <v>43</v>
      </c>
      <c r="R141" s="8" t="s">
        <v>665</v>
      </c>
    </row>
    <row r="142" spans="1:19" x14ac:dyDescent="0.15">
      <c r="A142" t="str">
        <f t="shared" si="19"/>
        <v>|Lｖ14|黒+1|</v>
      </c>
      <c r="B142" t="s">
        <v>3</v>
      </c>
      <c r="C142" t="s">
        <v>39</v>
      </c>
      <c r="D142">
        <v>14</v>
      </c>
      <c r="E142" t="s">
        <v>3</v>
      </c>
      <c r="F142" t="s">
        <v>13</v>
      </c>
      <c r="G142" t="str">
        <f t="shared" si="20"/>
        <v>+</v>
      </c>
      <c r="H142">
        <f t="shared" si="21"/>
        <v>1</v>
      </c>
      <c r="I142" t="s">
        <v>3</v>
      </c>
    </row>
    <row r="143" spans="1:19" x14ac:dyDescent="0.15">
      <c r="A143" t="str">
        <f t="shared" si="19"/>
        <v>|Lｖ15|HP+3|</v>
      </c>
      <c r="B143" t="s">
        <v>3</v>
      </c>
      <c r="C143" t="s">
        <v>39</v>
      </c>
      <c r="D143">
        <v>15</v>
      </c>
      <c r="E143" t="s">
        <v>3</v>
      </c>
      <c r="F143" t="s">
        <v>7</v>
      </c>
      <c r="G143" t="str">
        <f t="shared" si="20"/>
        <v>+</v>
      </c>
      <c r="H143">
        <f t="shared" si="21"/>
        <v>3</v>
      </c>
      <c r="I143" t="s">
        <v>3</v>
      </c>
    </row>
    <row r="144" spans="1:19" x14ac:dyDescent="0.15">
      <c r="A144" t="str">
        <f t="shared" si="19"/>
        <v>|Lｖ16|呪文+1|</v>
      </c>
      <c r="B144" t="s">
        <v>3</v>
      </c>
      <c r="C144" t="s">
        <v>39</v>
      </c>
      <c r="D144">
        <v>16</v>
      </c>
      <c r="E144" t="s">
        <v>3</v>
      </c>
      <c r="F144" t="s">
        <v>21</v>
      </c>
      <c r="G144" t="str">
        <f t="shared" si="20"/>
        <v>+</v>
      </c>
      <c r="H144">
        <f t="shared" si="21"/>
        <v>1</v>
      </c>
      <c r="I144" t="s">
        <v>3</v>
      </c>
    </row>
    <row r="145" spans="1:9" x14ac:dyDescent="0.15">
      <c r="A145" t="str">
        <f t="shared" si="19"/>
        <v>|Lｖ17|HP+2|</v>
      </c>
      <c r="B145" t="s">
        <v>3</v>
      </c>
      <c r="C145" t="s">
        <v>39</v>
      </c>
      <c r="D145">
        <v>17</v>
      </c>
      <c r="E145" t="s">
        <v>3</v>
      </c>
      <c r="F145" t="s">
        <v>7</v>
      </c>
      <c r="G145" t="str">
        <f t="shared" si="20"/>
        <v>+</v>
      </c>
      <c r="H145">
        <f t="shared" si="21"/>
        <v>2</v>
      </c>
      <c r="I145" t="s">
        <v>3</v>
      </c>
    </row>
    <row r="146" spans="1:9" x14ac:dyDescent="0.15">
      <c r="A146" t="str">
        <f t="shared" si="19"/>
        <v>|Lｖ18|第3能力Lv1|</v>
      </c>
      <c r="B146" t="s">
        <v>3</v>
      </c>
      <c r="C146" t="s">
        <v>39</v>
      </c>
      <c r="D146">
        <v>18</v>
      </c>
      <c r="E146" t="s">
        <v>3</v>
      </c>
      <c r="F146" t="s">
        <v>42</v>
      </c>
      <c r="G146" t="str">
        <f t="shared" si="20"/>
        <v/>
      </c>
      <c r="H146">
        <v>1</v>
      </c>
      <c r="I146" t="s">
        <v>3</v>
      </c>
    </row>
    <row r="147" spans="1:9" x14ac:dyDescent="0.15">
      <c r="A147" t="str">
        <f t="shared" si="19"/>
        <v>|Lｖ19|HP+3|</v>
      </c>
      <c r="B147" t="s">
        <v>3</v>
      </c>
      <c r="C147" t="s">
        <v>39</v>
      </c>
      <c r="D147">
        <v>19</v>
      </c>
      <c r="E147" t="s">
        <v>3</v>
      </c>
      <c r="F147" t="s">
        <v>7</v>
      </c>
      <c r="G147" t="str">
        <f t="shared" si="20"/>
        <v>+</v>
      </c>
      <c r="H147">
        <f t="shared" si="21"/>
        <v>3</v>
      </c>
      <c r="I147" t="s">
        <v>3</v>
      </c>
    </row>
    <row r="148" spans="1:9" x14ac:dyDescent="0.15">
      <c r="A148" t="str">
        <f t="shared" si="19"/>
        <v>|Lｖ20|白+1|</v>
      </c>
      <c r="B148" t="s">
        <v>3</v>
      </c>
      <c r="C148" t="s">
        <v>39</v>
      </c>
      <c r="D148">
        <v>20</v>
      </c>
      <c r="E148" t="s">
        <v>3</v>
      </c>
      <c r="F148" t="s">
        <v>11</v>
      </c>
      <c r="G148" t="str">
        <f t="shared" si="20"/>
        <v>+</v>
      </c>
      <c r="H148">
        <f t="shared" si="21"/>
        <v>1</v>
      </c>
      <c r="I148" t="s">
        <v>3</v>
      </c>
    </row>
    <row r="149" spans="1:9" x14ac:dyDescent="0.15">
      <c r="A149" t="str">
        <f t="shared" si="19"/>
        <v>|Lｖ21|HP+2|</v>
      </c>
      <c r="B149" t="s">
        <v>3</v>
      </c>
      <c r="C149" t="s">
        <v>39</v>
      </c>
      <c r="D149">
        <v>21</v>
      </c>
      <c r="E149" t="s">
        <v>3</v>
      </c>
      <c r="F149" t="s">
        <v>7</v>
      </c>
      <c r="G149" t="str">
        <f t="shared" si="20"/>
        <v>+</v>
      </c>
      <c r="H149">
        <f t="shared" si="21"/>
        <v>2</v>
      </c>
      <c r="I149" t="s">
        <v>3</v>
      </c>
    </row>
    <row r="150" spans="1:9" x14ac:dyDescent="0.15">
      <c r="A150" t="str">
        <f t="shared" si="19"/>
        <v>|Lｖ22|回復速度上昇 |</v>
      </c>
      <c r="B150" t="s">
        <v>3</v>
      </c>
      <c r="C150" t="s">
        <v>39</v>
      </c>
      <c r="D150">
        <v>22</v>
      </c>
      <c r="E150" t="s">
        <v>3</v>
      </c>
      <c r="F150" t="s">
        <v>43</v>
      </c>
      <c r="G150" t="str">
        <f t="shared" si="20"/>
        <v/>
      </c>
      <c r="H150" t="str">
        <f t="shared" si="21"/>
        <v xml:space="preserve"> </v>
      </c>
      <c r="I150" t="s">
        <v>3</v>
      </c>
    </row>
    <row r="151" spans="1:9" x14ac:dyDescent="0.15">
      <c r="A151" t="str">
        <f t="shared" si="19"/>
        <v>|Lｖ23|HP+3|</v>
      </c>
      <c r="B151" t="s">
        <v>3</v>
      </c>
      <c r="C151" t="s">
        <v>39</v>
      </c>
      <c r="D151">
        <v>23</v>
      </c>
      <c r="E151" t="s">
        <v>3</v>
      </c>
      <c r="F151" t="s">
        <v>7</v>
      </c>
      <c r="G151" t="str">
        <f t="shared" si="20"/>
        <v>+</v>
      </c>
      <c r="H151">
        <f t="shared" si="21"/>
        <v>3</v>
      </c>
      <c r="I151" t="s">
        <v>3</v>
      </c>
    </row>
    <row r="152" spans="1:9" x14ac:dyDescent="0.15">
      <c r="A152" t="str">
        <f t="shared" si="19"/>
        <v>|Lｖ24|第1能力Lv2|</v>
      </c>
      <c r="B152" t="s">
        <v>3</v>
      </c>
      <c r="C152" t="s">
        <v>39</v>
      </c>
      <c r="D152">
        <v>24</v>
      </c>
      <c r="E152" t="s">
        <v>3</v>
      </c>
      <c r="F152" t="s">
        <v>40</v>
      </c>
      <c r="G152" t="str">
        <f t="shared" si="20"/>
        <v/>
      </c>
      <c r="H152">
        <v>2</v>
      </c>
      <c r="I152" t="s">
        <v>3</v>
      </c>
    </row>
    <row r="153" spans="1:9" x14ac:dyDescent="0.15">
      <c r="A153" t="str">
        <f t="shared" si="19"/>
        <v>|Lｖ25|HP+2|</v>
      </c>
      <c r="B153" t="s">
        <v>3</v>
      </c>
      <c r="C153" t="s">
        <v>39</v>
      </c>
      <c r="D153">
        <v>25</v>
      </c>
      <c r="E153" t="s">
        <v>3</v>
      </c>
      <c r="F153" t="s">
        <v>7</v>
      </c>
      <c r="G153" t="str">
        <f t="shared" si="20"/>
        <v>+</v>
      </c>
      <c r="H153">
        <f t="shared" si="21"/>
        <v>2</v>
      </c>
      <c r="I153" t="s">
        <v>3</v>
      </c>
    </row>
    <row r="154" spans="1:9" x14ac:dyDescent="0.15">
      <c r="A154" t="str">
        <f t="shared" si="19"/>
        <v>|Lｖ26|赤+1|</v>
      </c>
      <c r="B154" t="s">
        <v>3</v>
      </c>
      <c r="C154" t="s">
        <v>39</v>
      </c>
      <c r="D154">
        <v>26</v>
      </c>
      <c r="E154" t="s">
        <v>3</v>
      </c>
      <c r="F154" t="s">
        <v>14</v>
      </c>
      <c r="G154" t="str">
        <f t="shared" si="20"/>
        <v>+</v>
      </c>
      <c r="H154">
        <f t="shared" si="21"/>
        <v>1</v>
      </c>
      <c r="I154" t="s">
        <v>3</v>
      </c>
    </row>
    <row r="155" spans="1:9" x14ac:dyDescent="0.15">
      <c r="A155" t="str">
        <f t="shared" si="19"/>
        <v>|Lｖ27|HP+3|</v>
      </c>
      <c r="B155" t="s">
        <v>3</v>
      </c>
      <c r="C155" t="s">
        <v>39</v>
      </c>
      <c r="D155">
        <v>27</v>
      </c>
      <c r="E155" t="s">
        <v>3</v>
      </c>
      <c r="F155" t="s">
        <v>7</v>
      </c>
      <c r="G155" t="str">
        <f t="shared" si="20"/>
        <v>+</v>
      </c>
      <c r="H155">
        <f t="shared" si="21"/>
        <v>3</v>
      </c>
      <c r="I155" t="s">
        <v>3</v>
      </c>
    </row>
    <row r="156" spans="1:9" x14ac:dyDescent="0.15">
      <c r="A156" t="str">
        <f t="shared" si="19"/>
        <v>|Lｖ28|クリーチャー+1|</v>
      </c>
      <c r="B156" t="s">
        <v>3</v>
      </c>
      <c r="C156" t="s">
        <v>39</v>
      </c>
      <c r="D156">
        <v>28</v>
      </c>
      <c r="E156" t="s">
        <v>3</v>
      </c>
      <c r="F156" t="s">
        <v>20</v>
      </c>
      <c r="G156" t="str">
        <f t="shared" si="20"/>
        <v>+</v>
      </c>
      <c r="H156">
        <f t="shared" si="21"/>
        <v>1</v>
      </c>
      <c r="I156" t="s">
        <v>3</v>
      </c>
    </row>
    <row r="157" spans="1:9" x14ac:dyDescent="0.15">
      <c r="A157" t="str">
        <f t="shared" si="19"/>
        <v>|Lｖ29|HP+2|</v>
      </c>
      <c r="B157" t="s">
        <v>3</v>
      </c>
      <c r="C157" t="s">
        <v>39</v>
      </c>
      <c r="D157">
        <v>29</v>
      </c>
      <c r="E157" t="s">
        <v>3</v>
      </c>
      <c r="F157" t="s">
        <v>7</v>
      </c>
      <c r="G157" t="str">
        <f t="shared" si="20"/>
        <v>+</v>
      </c>
      <c r="H157">
        <f t="shared" si="21"/>
        <v>2</v>
      </c>
      <c r="I157" t="s">
        <v>3</v>
      </c>
    </row>
    <row r="158" spans="1:9" x14ac:dyDescent="0.15">
      <c r="A158" t="str">
        <f t="shared" si="19"/>
        <v>|Lｖ30|第2能力Lv2|</v>
      </c>
      <c r="B158" t="s">
        <v>3</v>
      </c>
      <c r="C158" t="s">
        <v>39</v>
      </c>
      <c r="D158">
        <v>30</v>
      </c>
      <c r="E158" t="s">
        <v>3</v>
      </c>
      <c r="F158" t="s">
        <v>41</v>
      </c>
      <c r="G158" t="str">
        <f t="shared" si="20"/>
        <v/>
      </c>
      <c r="H158">
        <v>2</v>
      </c>
      <c r="I158" t="s">
        <v>3</v>
      </c>
    </row>
    <row r="159" spans="1:9" x14ac:dyDescent="0.15">
      <c r="A159" t="str">
        <f t="shared" si="19"/>
        <v>|Lｖ31|HP+3|</v>
      </c>
      <c r="B159" t="s">
        <v>3</v>
      </c>
      <c r="C159" t="s">
        <v>39</v>
      </c>
      <c r="D159">
        <v>31</v>
      </c>
      <c r="E159" t="s">
        <v>3</v>
      </c>
      <c r="F159" t="s">
        <v>7</v>
      </c>
      <c r="G159" t="str">
        <f t="shared" si="20"/>
        <v>+</v>
      </c>
      <c r="H159">
        <f t="shared" si="21"/>
        <v>3</v>
      </c>
      <c r="I159" t="s">
        <v>3</v>
      </c>
    </row>
    <row r="160" spans="1:9" x14ac:dyDescent="0.15">
      <c r="A160" t="str">
        <f t="shared" si="19"/>
        <v>|Lｖ32|青+1|</v>
      </c>
      <c r="B160" t="s">
        <v>3</v>
      </c>
      <c r="C160" t="s">
        <v>39</v>
      </c>
      <c r="D160">
        <v>32</v>
      </c>
      <c r="E160" t="s">
        <v>3</v>
      </c>
      <c r="F160" t="s">
        <v>12</v>
      </c>
      <c r="G160" t="str">
        <f t="shared" si="20"/>
        <v>+</v>
      </c>
      <c r="H160">
        <f t="shared" si="21"/>
        <v>1</v>
      </c>
      <c r="I160" t="s">
        <v>3</v>
      </c>
    </row>
    <row r="161" spans="1:9" x14ac:dyDescent="0.15">
      <c r="A161" t="str">
        <f t="shared" si="19"/>
        <v>|Lｖ33|HP+2|</v>
      </c>
      <c r="B161" t="s">
        <v>3</v>
      </c>
      <c r="C161" t="s">
        <v>39</v>
      </c>
      <c r="D161">
        <v>33</v>
      </c>
      <c r="E161" t="s">
        <v>3</v>
      </c>
      <c r="F161" t="s">
        <v>7</v>
      </c>
      <c r="G161" t="str">
        <f t="shared" si="20"/>
        <v>+</v>
      </c>
      <c r="H161">
        <f t="shared" si="21"/>
        <v>2</v>
      </c>
      <c r="I161" t="s">
        <v>3</v>
      </c>
    </row>
    <row r="162" spans="1:9" x14ac:dyDescent="0.15">
      <c r="A162" t="str">
        <f t="shared" si="19"/>
        <v>|Lｖ34|サポート+1|</v>
      </c>
      <c r="B162" t="s">
        <v>3</v>
      </c>
      <c r="C162" t="s">
        <v>39</v>
      </c>
      <c r="D162">
        <v>34</v>
      </c>
      <c r="E162" t="s">
        <v>3</v>
      </c>
      <c r="F162" t="s">
        <v>22</v>
      </c>
      <c r="G162" t="str">
        <f t="shared" si="20"/>
        <v>+</v>
      </c>
      <c r="H162">
        <f t="shared" si="21"/>
        <v>1</v>
      </c>
      <c r="I162" t="s">
        <v>3</v>
      </c>
    </row>
    <row r="163" spans="1:9" x14ac:dyDescent="0.15">
      <c r="A163" t="str">
        <f t="shared" si="19"/>
        <v>|Lｖ35|HP+3|</v>
      </c>
      <c r="B163" t="s">
        <v>3</v>
      </c>
      <c r="C163" t="s">
        <v>39</v>
      </c>
      <c r="D163">
        <v>35</v>
      </c>
      <c r="E163" t="s">
        <v>3</v>
      </c>
      <c r="F163" t="s">
        <v>7</v>
      </c>
      <c r="G163" t="str">
        <f t="shared" si="20"/>
        <v>+</v>
      </c>
      <c r="H163">
        <f t="shared" si="21"/>
        <v>3</v>
      </c>
      <c r="I163" t="s">
        <v>3</v>
      </c>
    </row>
    <row r="164" spans="1:9" x14ac:dyDescent="0.15">
      <c r="A164" t="str">
        <f t="shared" si="19"/>
        <v>|Lｖ36|第3能力Lv2|</v>
      </c>
      <c r="B164" t="s">
        <v>3</v>
      </c>
      <c r="C164" t="s">
        <v>39</v>
      </c>
      <c r="D164">
        <v>36</v>
      </c>
      <c r="E164" t="s">
        <v>3</v>
      </c>
      <c r="F164" t="s">
        <v>42</v>
      </c>
      <c r="G164" t="str">
        <f t="shared" si="20"/>
        <v/>
      </c>
      <c r="H164">
        <v>2</v>
      </c>
      <c r="I164" t="s">
        <v>3</v>
      </c>
    </row>
    <row r="165" spans="1:9" x14ac:dyDescent="0.15">
      <c r="A165" t="str">
        <f t="shared" si="19"/>
        <v>|Lｖ37|HP+2|</v>
      </c>
      <c r="B165" t="s">
        <v>3</v>
      </c>
      <c r="C165" t="s">
        <v>39</v>
      </c>
      <c r="D165">
        <v>37</v>
      </c>
      <c r="E165" t="s">
        <v>3</v>
      </c>
      <c r="F165" t="s">
        <v>7</v>
      </c>
      <c r="G165" t="str">
        <f t="shared" si="20"/>
        <v>+</v>
      </c>
      <c r="H165">
        <f t="shared" si="21"/>
        <v>2</v>
      </c>
      <c r="I165" t="s">
        <v>3</v>
      </c>
    </row>
    <row r="166" spans="1:9" x14ac:dyDescent="0.15">
      <c r="A166" t="str">
        <f t="shared" si="19"/>
        <v>|Lｖ38|緑+1|</v>
      </c>
      <c r="B166" t="s">
        <v>3</v>
      </c>
      <c r="C166" t="s">
        <v>39</v>
      </c>
      <c r="D166">
        <v>38</v>
      </c>
      <c r="E166" t="s">
        <v>3</v>
      </c>
      <c r="F166" t="s">
        <v>15</v>
      </c>
      <c r="G166" t="str">
        <f t="shared" si="20"/>
        <v>+</v>
      </c>
      <c r="H166">
        <f t="shared" si="21"/>
        <v>1</v>
      </c>
      <c r="I166" t="s">
        <v>3</v>
      </c>
    </row>
    <row r="167" spans="1:9" x14ac:dyDescent="0.15">
      <c r="A167" t="str">
        <f t="shared" si="19"/>
        <v>|Lｖ39|HP+3|</v>
      </c>
      <c r="B167" t="s">
        <v>3</v>
      </c>
      <c r="C167" t="s">
        <v>39</v>
      </c>
      <c r="D167">
        <v>39</v>
      </c>
      <c r="E167" t="s">
        <v>3</v>
      </c>
      <c r="F167" t="s">
        <v>7</v>
      </c>
      <c r="G167" t="str">
        <f t="shared" si="20"/>
        <v>+</v>
      </c>
      <c r="H167">
        <f t="shared" si="21"/>
        <v>3</v>
      </c>
      <c r="I167" t="s">
        <v>3</v>
      </c>
    </row>
    <row r="168" spans="1:9" x14ac:dyDescent="0.15">
      <c r="A168" t="str">
        <f t="shared" si="19"/>
        <v>|Lｖ40|第1能力Lv3|</v>
      </c>
      <c r="B168" t="s">
        <v>3</v>
      </c>
      <c r="C168" t="s">
        <v>39</v>
      </c>
      <c r="D168">
        <v>40</v>
      </c>
      <c r="E168" t="s">
        <v>3</v>
      </c>
      <c r="F168" t="s">
        <v>40</v>
      </c>
      <c r="G168" t="str">
        <f t="shared" si="20"/>
        <v/>
      </c>
      <c r="H168">
        <v>3</v>
      </c>
      <c r="I168" t="s">
        <v>3</v>
      </c>
    </row>
    <row r="169" spans="1:9" x14ac:dyDescent="0.15">
      <c r="A169" t="str">
        <f t="shared" si="19"/>
        <v>|Lｖ41|HP+2|</v>
      </c>
      <c r="B169" t="s">
        <v>3</v>
      </c>
      <c r="C169" t="s">
        <v>39</v>
      </c>
      <c r="D169">
        <v>41</v>
      </c>
      <c r="E169" t="s">
        <v>3</v>
      </c>
      <c r="F169" t="s">
        <v>7</v>
      </c>
      <c r="G169" t="str">
        <f t="shared" si="20"/>
        <v>+</v>
      </c>
      <c r="H169">
        <f t="shared" si="21"/>
        <v>2</v>
      </c>
      <c r="I169" t="s">
        <v>3</v>
      </c>
    </row>
    <row r="170" spans="1:9" x14ac:dyDescent="0.15">
      <c r="A170" t="str">
        <f t="shared" si="19"/>
        <v>|Lｖ42|呪文+1|</v>
      </c>
      <c r="B170" t="s">
        <v>3</v>
      </c>
      <c r="C170" t="s">
        <v>39</v>
      </c>
      <c r="D170">
        <v>42</v>
      </c>
      <c r="E170" t="s">
        <v>3</v>
      </c>
      <c r="F170" t="s">
        <v>21</v>
      </c>
      <c r="G170" t="str">
        <f t="shared" si="20"/>
        <v>+</v>
      </c>
      <c r="H170">
        <f t="shared" si="21"/>
        <v>1</v>
      </c>
      <c r="I170" t="s">
        <v>3</v>
      </c>
    </row>
    <row r="171" spans="1:9" x14ac:dyDescent="0.15">
      <c r="A171" t="str">
        <f t="shared" si="19"/>
        <v>|Lｖ43|HP+3|</v>
      </c>
      <c r="B171" t="s">
        <v>3</v>
      </c>
      <c r="C171" t="s">
        <v>39</v>
      </c>
      <c r="D171">
        <v>43</v>
      </c>
      <c r="E171" t="s">
        <v>3</v>
      </c>
      <c r="F171" t="s">
        <v>7</v>
      </c>
      <c r="G171" t="str">
        <f t="shared" si="20"/>
        <v>+</v>
      </c>
      <c r="H171">
        <f t="shared" si="21"/>
        <v>3</v>
      </c>
      <c r="I171" t="s">
        <v>3</v>
      </c>
    </row>
    <row r="172" spans="1:9" x14ac:dyDescent="0.15">
      <c r="A172" t="str">
        <f t="shared" si="19"/>
        <v>|Lｖ44|黒+1|</v>
      </c>
      <c r="B172" t="s">
        <v>3</v>
      </c>
      <c r="C172" t="s">
        <v>39</v>
      </c>
      <c r="D172">
        <v>44</v>
      </c>
      <c r="E172" t="s">
        <v>3</v>
      </c>
      <c r="F172" t="s">
        <v>13</v>
      </c>
      <c r="G172" t="str">
        <f t="shared" si="20"/>
        <v>+</v>
      </c>
      <c r="H172">
        <f t="shared" si="21"/>
        <v>1</v>
      </c>
      <c r="I172" t="s">
        <v>3</v>
      </c>
    </row>
    <row r="173" spans="1:9" x14ac:dyDescent="0.15">
      <c r="A173" t="str">
        <f t="shared" si="19"/>
        <v>|Lｖ45|HP+2|</v>
      </c>
      <c r="B173" t="s">
        <v>3</v>
      </c>
      <c r="C173" t="s">
        <v>39</v>
      </c>
      <c r="D173">
        <v>45</v>
      </c>
      <c r="E173" t="s">
        <v>3</v>
      </c>
      <c r="F173" t="s">
        <v>7</v>
      </c>
      <c r="G173" t="str">
        <f t="shared" si="20"/>
        <v>+</v>
      </c>
      <c r="H173">
        <f t="shared" si="21"/>
        <v>2</v>
      </c>
      <c r="I173" t="s">
        <v>3</v>
      </c>
    </row>
    <row r="174" spans="1:9" x14ac:dyDescent="0.15">
      <c r="A174" t="str">
        <f t="shared" si="19"/>
        <v>|Lｖ46|第2能力Lv3|</v>
      </c>
      <c r="B174" t="s">
        <v>3</v>
      </c>
      <c r="C174" t="s">
        <v>39</v>
      </c>
      <c r="D174">
        <v>46</v>
      </c>
      <c r="E174" t="s">
        <v>3</v>
      </c>
      <c r="F174" t="s">
        <v>41</v>
      </c>
      <c r="G174" t="str">
        <f t="shared" si="20"/>
        <v/>
      </c>
      <c r="H174">
        <v>3</v>
      </c>
      <c r="I174" t="s">
        <v>3</v>
      </c>
    </row>
    <row r="175" spans="1:9" x14ac:dyDescent="0.15">
      <c r="A175" t="str">
        <f t="shared" si="19"/>
        <v>|Lｖ47|HP+3|</v>
      </c>
      <c r="B175" t="s">
        <v>3</v>
      </c>
      <c r="C175" t="s">
        <v>39</v>
      </c>
      <c r="D175">
        <v>47</v>
      </c>
      <c r="E175" t="s">
        <v>3</v>
      </c>
      <c r="F175" t="s">
        <v>7</v>
      </c>
      <c r="G175" t="str">
        <f t="shared" si="20"/>
        <v>+</v>
      </c>
      <c r="H175">
        <f t="shared" si="21"/>
        <v>3</v>
      </c>
      <c r="I175" t="s">
        <v>3</v>
      </c>
    </row>
    <row r="176" spans="1:9" x14ac:dyDescent="0.15">
      <c r="A176" t="str">
        <f t="shared" si="19"/>
        <v>|Lｖ48|回復速度上昇 |</v>
      </c>
      <c r="B176" t="s">
        <v>3</v>
      </c>
      <c r="C176" t="s">
        <v>39</v>
      </c>
      <c r="D176">
        <v>48</v>
      </c>
      <c r="E176" t="s">
        <v>3</v>
      </c>
      <c r="F176" t="s">
        <v>43</v>
      </c>
      <c r="G176" t="str">
        <f t="shared" si="20"/>
        <v/>
      </c>
      <c r="H176" t="str">
        <f t="shared" si="21"/>
        <v xml:space="preserve"> </v>
      </c>
      <c r="I176" t="s">
        <v>3</v>
      </c>
    </row>
    <row r="177" spans="1:9" x14ac:dyDescent="0.15">
      <c r="A177" t="str">
        <f t="shared" si="19"/>
        <v>|Lｖ49|HP+2|</v>
      </c>
      <c r="B177" t="s">
        <v>3</v>
      </c>
      <c r="C177" t="s">
        <v>39</v>
      </c>
      <c r="D177">
        <v>49</v>
      </c>
      <c r="E177" t="s">
        <v>3</v>
      </c>
      <c r="F177" t="s">
        <v>7</v>
      </c>
      <c r="G177" t="str">
        <f t="shared" si="20"/>
        <v>+</v>
      </c>
      <c r="H177">
        <f t="shared" si="21"/>
        <v>2</v>
      </c>
      <c r="I177" t="s">
        <v>3</v>
      </c>
    </row>
    <row r="178" spans="1:9" x14ac:dyDescent="0.15">
      <c r="A178" t="str">
        <f t="shared" si="19"/>
        <v>|Lｖ50|白+1|</v>
      </c>
      <c r="B178" t="s">
        <v>3</v>
      </c>
      <c r="C178" t="s">
        <v>39</v>
      </c>
      <c r="D178">
        <v>50</v>
      </c>
      <c r="E178" t="s">
        <v>3</v>
      </c>
      <c r="F178" t="s">
        <v>11</v>
      </c>
      <c r="G178" t="str">
        <f t="shared" si="20"/>
        <v>+</v>
      </c>
      <c r="H178">
        <f t="shared" si="21"/>
        <v>1</v>
      </c>
      <c r="I178" t="s">
        <v>3</v>
      </c>
    </row>
    <row r="179" spans="1:9" x14ac:dyDescent="0.15">
      <c r="A179" t="str">
        <f t="shared" si="19"/>
        <v>|Lｖ51|HP+3|</v>
      </c>
      <c r="B179" t="s">
        <v>3</v>
      </c>
      <c r="C179" t="s">
        <v>39</v>
      </c>
      <c r="D179">
        <v>51</v>
      </c>
      <c r="E179" t="s">
        <v>3</v>
      </c>
      <c r="F179" t="s">
        <v>7</v>
      </c>
      <c r="G179" t="str">
        <f t="shared" si="20"/>
        <v>+</v>
      </c>
      <c r="H179">
        <f t="shared" si="21"/>
        <v>3</v>
      </c>
      <c r="I179" t="s">
        <v>3</v>
      </c>
    </row>
    <row r="180" spans="1:9" x14ac:dyDescent="0.15">
      <c r="A180" t="str">
        <f t="shared" si="19"/>
        <v>|Lｖ52|第3能力Lv3|</v>
      </c>
      <c r="B180" t="s">
        <v>3</v>
      </c>
      <c r="C180" t="s">
        <v>39</v>
      </c>
      <c r="D180">
        <v>52</v>
      </c>
      <c r="E180" t="s">
        <v>3</v>
      </c>
      <c r="F180" t="s">
        <v>42</v>
      </c>
      <c r="G180" t="str">
        <f t="shared" si="20"/>
        <v/>
      </c>
      <c r="H180">
        <v>3</v>
      </c>
      <c r="I180" t="s">
        <v>3</v>
      </c>
    </row>
    <row r="181" spans="1:9" x14ac:dyDescent="0.15">
      <c r="A181" t="str">
        <f t="shared" si="19"/>
        <v>|Lｖ53|HP+2|</v>
      </c>
      <c r="B181" t="s">
        <v>3</v>
      </c>
      <c r="C181" t="s">
        <v>39</v>
      </c>
      <c r="D181">
        <v>53</v>
      </c>
      <c r="E181" t="s">
        <v>3</v>
      </c>
      <c r="F181" t="s">
        <v>7</v>
      </c>
      <c r="G181" t="str">
        <f t="shared" si="20"/>
        <v>+</v>
      </c>
      <c r="H181">
        <f t="shared" si="21"/>
        <v>2</v>
      </c>
      <c r="I181" t="s">
        <v>3</v>
      </c>
    </row>
    <row r="182" spans="1:9" x14ac:dyDescent="0.15">
      <c r="A182" t="str">
        <f t="shared" si="19"/>
        <v>|Lｖ54|回復速度上昇 |</v>
      </c>
      <c r="B182" t="s">
        <v>3</v>
      </c>
      <c r="C182" t="s">
        <v>39</v>
      </c>
      <c r="D182">
        <v>54</v>
      </c>
      <c r="E182" t="s">
        <v>3</v>
      </c>
      <c r="F182" t="s">
        <v>43</v>
      </c>
      <c r="G182" t="str">
        <f t="shared" si="20"/>
        <v/>
      </c>
      <c r="H182" t="str">
        <f t="shared" si="21"/>
        <v xml:space="preserve"> </v>
      </c>
      <c r="I182" t="s">
        <v>3</v>
      </c>
    </row>
    <row r="183" spans="1:9" x14ac:dyDescent="0.15">
      <c r="A183" t="str">
        <f t="shared" ref="A183:A195" si="22">B183&amp;C183&amp;D183&amp;E183&amp;F183&amp;G183&amp;H183&amp;I183&amp;J183&amp;K183&amp;L183&amp;M183&amp;N183&amp;O183&amp;P183</f>
        <v>|Lｖ55|HP+3|</v>
      </c>
      <c r="B183" t="s">
        <v>3</v>
      </c>
      <c r="C183" t="s">
        <v>39</v>
      </c>
      <c r="D183">
        <v>55</v>
      </c>
      <c r="E183" t="s">
        <v>3</v>
      </c>
      <c r="F183" t="s">
        <v>7</v>
      </c>
      <c r="G183" t="str">
        <f t="shared" si="20"/>
        <v>+</v>
      </c>
      <c r="H183">
        <f t="shared" si="21"/>
        <v>3</v>
      </c>
      <c r="I183" t="s">
        <v>3</v>
      </c>
    </row>
    <row r="184" spans="1:9" x14ac:dyDescent="0.15">
      <c r="A184" t="str">
        <f t="shared" si="22"/>
        <v>|Lｖ56|第1能力Lv4|</v>
      </c>
      <c r="B184" t="s">
        <v>3</v>
      </c>
      <c r="C184" t="s">
        <v>39</v>
      </c>
      <c r="D184">
        <v>56</v>
      </c>
      <c r="E184" t="s">
        <v>3</v>
      </c>
      <c r="F184" t="s">
        <v>40</v>
      </c>
      <c r="G184" t="str">
        <f t="shared" si="20"/>
        <v/>
      </c>
      <c r="H184">
        <v>4</v>
      </c>
      <c r="I184" t="s">
        <v>3</v>
      </c>
    </row>
    <row r="185" spans="1:9" x14ac:dyDescent="0.15">
      <c r="A185" t="str">
        <f t="shared" si="22"/>
        <v>|Lｖ57|HP+2|</v>
      </c>
      <c r="B185" t="s">
        <v>3</v>
      </c>
      <c r="C185" t="s">
        <v>39</v>
      </c>
      <c r="D185">
        <v>57</v>
      </c>
      <c r="E185" t="s">
        <v>3</v>
      </c>
      <c r="F185" t="s">
        <v>7</v>
      </c>
      <c r="G185" t="str">
        <f t="shared" si="20"/>
        <v>+</v>
      </c>
      <c r="H185">
        <f t="shared" si="21"/>
        <v>2</v>
      </c>
      <c r="I185" t="s">
        <v>3</v>
      </c>
    </row>
    <row r="186" spans="1:9" x14ac:dyDescent="0.15">
      <c r="A186" t="str">
        <f t="shared" si="22"/>
        <v>|Lｖ58|第2能力Lv4|</v>
      </c>
      <c r="B186" t="s">
        <v>3</v>
      </c>
      <c r="C186" t="s">
        <v>39</v>
      </c>
      <c r="D186">
        <v>58</v>
      </c>
      <c r="E186" t="s">
        <v>3</v>
      </c>
      <c r="F186" t="s">
        <v>41</v>
      </c>
      <c r="G186" t="str">
        <f t="shared" si="20"/>
        <v/>
      </c>
      <c r="H186">
        <v>4</v>
      </c>
      <c r="I186" t="s">
        <v>3</v>
      </c>
    </row>
    <row r="187" spans="1:9" x14ac:dyDescent="0.15">
      <c r="A187" t="str">
        <f t="shared" si="22"/>
        <v>|Lｖ59|赤+1|</v>
      </c>
      <c r="B187" t="s">
        <v>3</v>
      </c>
      <c r="C187" t="s">
        <v>39</v>
      </c>
      <c r="D187">
        <v>59</v>
      </c>
      <c r="E187" t="s">
        <v>3</v>
      </c>
      <c r="F187" t="s">
        <v>14</v>
      </c>
      <c r="G187" t="str">
        <f t="shared" si="20"/>
        <v>+</v>
      </c>
      <c r="H187">
        <f t="shared" si="21"/>
        <v>1</v>
      </c>
      <c r="I187" t="s">
        <v>3</v>
      </c>
    </row>
    <row r="188" spans="1:9" x14ac:dyDescent="0.15">
      <c r="A188" t="str">
        <f t="shared" si="22"/>
        <v>|Lｖ60|第3能力Lv4|</v>
      </c>
      <c r="B188" t="s">
        <v>3</v>
      </c>
      <c r="C188" t="s">
        <v>39</v>
      </c>
      <c r="D188">
        <v>60</v>
      </c>
      <c r="E188" t="s">
        <v>3</v>
      </c>
      <c r="F188" t="s">
        <v>42</v>
      </c>
      <c r="G188" t="str">
        <f t="shared" si="20"/>
        <v/>
      </c>
      <c r="H188">
        <v>4</v>
      </c>
      <c r="I188" t="s">
        <v>3</v>
      </c>
    </row>
    <row r="189" spans="1:9" x14ac:dyDescent="0.15">
      <c r="A189" t="str">
        <f t="shared" si="22"/>
        <v>必要総経験値：79920ルーン</v>
      </c>
      <c r="B189" t="s">
        <v>45</v>
      </c>
      <c r="C189">
        <v>79920</v>
      </c>
      <c r="F189" t="s">
        <v>46</v>
      </c>
    </row>
    <row r="190" spans="1:9" x14ac:dyDescent="0.15">
      <c r="A190" t="str">
        <f t="shared" si="22"/>
        <v>#endregion</v>
      </c>
      <c r="B190" t="s">
        <v>599</v>
      </c>
    </row>
    <row r="191" spans="1:9" x14ac:dyDescent="0.15">
      <c r="A191" t="str">
        <f t="shared" si="22"/>
        <v>&amp;br;</v>
      </c>
      <c r="B191" t="s">
        <v>0</v>
      </c>
    </row>
    <row r="192" spans="1:9" x14ac:dyDescent="0.15">
      <c r="A192" t="str">
        <f t="shared" si="22"/>
        <v>#back(text=戻る,left)</v>
      </c>
      <c r="B192" t="s">
        <v>47</v>
      </c>
    </row>
    <row r="193" spans="1:6" x14ac:dyDescent="0.15">
      <c r="A193" t="str">
        <f t="shared" si="22"/>
        <v>&amp;br;</v>
      </c>
      <c r="B193" t="s">
        <v>0</v>
      </c>
    </row>
    <row r="194" spans="1:6" x14ac:dyDescent="0.15">
      <c r="A194" t="str">
        <f t="shared" si="22"/>
        <v>#comment(above,nsize=[15],size=[30],num=[10])</v>
      </c>
      <c r="B194" t="s">
        <v>48</v>
      </c>
    </row>
    <row r="195" spans="1:6" x14ac:dyDescent="0.15">
      <c r="A195" t="str">
        <f t="shared" si="22"/>
        <v>[[プレインズウォーカーリスト&gt;プレインズウォーカーリスト]]</v>
      </c>
      <c r="B195" t="s">
        <v>49</v>
      </c>
    </row>
    <row r="202" spans="1:6" x14ac:dyDescent="0.15">
      <c r="B202" s="9" t="s">
        <v>655</v>
      </c>
    </row>
    <row r="203" spans="1:6" x14ac:dyDescent="0.15">
      <c r="B203" s="9" t="s">
        <v>656</v>
      </c>
      <c r="D203" s="8"/>
      <c r="E203" s="8"/>
    </row>
    <row r="204" spans="1:6" x14ac:dyDescent="0.15">
      <c r="B204" s="7">
        <v>45</v>
      </c>
    </row>
    <row r="205" spans="1:6" x14ac:dyDescent="0.15">
      <c r="B205" s="9" t="s">
        <v>657</v>
      </c>
      <c r="C205" s="9" t="s">
        <v>658</v>
      </c>
      <c r="D205" s="9" t="s">
        <v>659</v>
      </c>
    </row>
    <row r="206" spans="1:6" x14ac:dyDescent="0.15">
      <c r="B206" s="7">
        <v>3</v>
      </c>
      <c r="C206" s="7">
        <v>4</v>
      </c>
      <c r="D206" s="7">
        <v>3</v>
      </c>
    </row>
    <row r="207" spans="1:6" x14ac:dyDescent="0.15">
      <c r="B207" s="9" t="s">
        <v>660</v>
      </c>
      <c r="C207" s="9" t="s">
        <v>661</v>
      </c>
      <c r="D207" s="9" t="s">
        <v>662</v>
      </c>
      <c r="E207" s="9" t="s">
        <v>663</v>
      </c>
      <c r="F207" s="9" t="s">
        <v>664</v>
      </c>
    </row>
    <row r="208" spans="1:6" x14ac:dyDescent="0.15">
      <c r="B208" s="7">
        <v>-2</v>
      </c>
      <c r="C208" s="7">
        <v>1</v>
      </c>
      <c r="D208" s="7">
        <v>-2</v>
      </c>
      <c r="E208" s="7">
        <v>-2</v>
      </c>
      <c r="F208" s="7">
        <v>2</v>
      </c>
    </row>
  </sheetData>
  <autoFilter ref="C129:I195"/>
  <phoneticPr fontId="5"/>
  <dataValidations count="3">
    <dataValidation type="list" showInputMessage="1" showErrorMessage="1" sqref="S128">
      <formula1>",交互"</formula1>
    </dataValidation>
    <dataValidation type="list" allowBlank="1" showInputMessage="1" showErrorMessage="1" sqref="F130:F188">
      <formula1>$Q$129:$Q$141</formula1>
    </dataValidation>
    <dataValidation type="list" allowBlank="1" showInputMessage="1" showErrorMessage="1" sqref="F189:F190">
      <formula1>$Q$119:$Q$131</formula1>
    </dataValidation>
  </dataValidations>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色フィルター">
                <anchor moveWithCells="1" sizeWithCells="1">
                  <from>
                    <xdr:col>5</xdr:col>
                    <xdr:colOff>209550</xdr:colOff>
                    <xdr:row>124</xdr:row>
                    <xdr:rowOff>152400</xdr:rowOff>
                  </from>
                  <to>
                    <xdr:col>6</xdr:col>
                    <xdr:colOff>85725</xdr:colOff>
                    <xdr:row>126</xdr:row>
                    <xdr:rowOff>66675</xdr:rowOff>
                  </to>
                </anchor>
              </controlPr>
            </control>
          </mc:Choice>
        </mc:AlternateContent>
        <mc:AlternateContent xmlns:mc="http://schemas.openxmlformats.org/markup-compatibility/2006">
          <mc:Choice Requires="x14">
            <control shapeId="35842" r:id="rId5" name="Button 2">
              <controlPr defaultSize="0" print="0" autoFill="0" autoPict="0" macro="[0]!種別フィルター">
                <anchor moveWithCells="1" sizeWithCells="1">
                  <from>
                    <xdr:col>7</xdr:col>
                    <xdr:colOff>104775</xdr:colOff>
                    <xdr:row>124</xdr:row>
                    <xdr:rowOff>161925</xdr:rowOff>
                  </from>
                  <to>
                    <xdr:col>7</xdr:col>
                    <xdr:colOff>666750</xdr:colOff>
                    <xdr:row>126</xdr:row>
                    <xdr:rowOff>76200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dimension ref="A1:W211"/>
  <sheetViews>
    <sheetView workbookViewId="0">
      <selection activeCell="P11" sqref="P11"/>
    </sheetView>
  </sheetViews>
  <sheetFormatPr defaultColWidth="9" defaultRowHeight="13.5" x14ac:dyDescent="0.15"/>
  <cols>
    <col min="2" max="2" width="3.5" customWidth="1"/>
    <col min="3" max="3" width="7.875" customWidth="1"/>
    <col min="4" max="4" width="5.5" customWidth="1"/>
    <col min="5" max="5" width="2.875" customWidth="1"/>
    <col min="7" max="7" width="2" customWidth="1"/>
    <col min="9" max="9" width="2" customWidth="1"/>
    <col min="11" max="11" width="2" customWidth="1"/>
    <col min="13" max="13" width="2" customWidth="1"/>
    <col min="15" max="15" width="2" customWidth="1"/>
    <col min="17" max="17" width="2.75" customWidth="1"/>
  </cols>
  <sheetData>
    <row r="1" spans="1:23" x14ac:dyDescent="0.15">
      <c r="A1" t="str">
        <f t="shared" ref="A1:A13" si="0">C1&amp;D1&amp;E1&amp;F1&amp;G1&amp;H1&amp;I1&amp;J1&amp;K1&amp;L1&amp;M1&amp;N1&amp;O1&amp;P1&amp;Q1&amp;R1&amp;S1&amp;T1&amp;U1&amp;V1</f>
        <v>*Lv60時ステータス</v>
      </c>
      <c r="C1" t="s">
        <v>577</v>
      </c>
      <c r="W1">
        <v>107.142857142857</v>
      </c>
    </row>
    <row r="2" spans="1:23" x14ac:dyDescent="0.15">
      <c r="A2" t="str">
        <f t="shared" si="0"/>
        <v>|LEFT:70|LEFT:30|LEFT:30|LEFT:30|LEFT:30|LEFT:30|LEFT:70|LEFT:50|LEFT:60|c</v>
      </c>
      <c r="C2" t="s">
        <v>3</v>
      </c>
      <c r="D2" t="s">
        <v>578</v>
      </c>
      <c r="E2" t="s">
        <v>3</v>
      </c>
      <c r="F2" t="s">
        <v>579</v>
      </c>
      <c r="G2" t="s">
        <v>3</v>
      </c>
      <c r="H2" t="s">
        <v>579</v>
      </c>
      <c r="I2" t="s">
        <v>3</v>
      </c>
      <c r="J2" t="s">
        <v>579</v>
      </c>
      <c r="K2" t="s">
        <v>3</v>
      </c>
      <c r="L2" t="s">
        <v>579</v>
      </c>
      <c r="M2" t="s">
        <v>3</v>
      </c>
      <c r="N2" t="s">
        <v>579</v>
      </c>
      <c r="O2" t="s">
        <v>3</v>
      </c>
      <c r="P2" t="s">
        <v>578</v>
      </c>
      <c r="Q2" t="s">
        <v>3</v>
      </c>
      <c r="R2" t="s">
        <v>4</v>
      </c>
      <c r="S2" t="s">
        <v>3</v>
      </c>
      <c r="T2" t="s">
        <v>580</v>
      </c>
      <c r="U2" t="s">
        <v>3</v>
      </c>
      <c r="V2" t="s">
        <v>5</v>
      </c>
    </row>
    <row r="3" spans="1:23" x14ac:dyDescent="0.15">
      <c r="A3" t="str">
        <f t="shared" si="0"/>
        <v>|HP|&gt;|&gt;|&gt;|&gt;|マナボーナス|&gt;|&gt;|デッキ構築枚数上限|</v>
      </c>
      <c r="C3" t="s">
        <v>3</v>
      </c>
      <c r="D3" t="s">
        <v>7</v>
      </c>
      <c r="E3" t="s">
        <v>3</v>
      </c>
      <c r="F3" t="s">
        <v>209</v>
      </c>
      <c r="G3" t="s">
        <v>3</v>
      </c>
      <c r="H3" t="s">
        <v>209</v>
      </c>
      <c r="I3" t="s">
        <v>3</v>
      </c>
      <c r="J3" t="s">
        <v>209</v>
      </c>
      <c r="K3" t="s">
        <v>3</v>
      </c>
      <c r="L3" t="s">
        <v>209</v>
      </c>
      <c r="M3" t="s">
        <v>3</v>
      </c>
      <c r="N3" t="s">
        <v>581</v>
      </c>
      <c r="O3" t="s">
        <v>3</v>
      </c>
      <c r="P3" t="s">
        <v>209</v>
      </c>
      <c r="Q3" t="s">
        <v>3</v>
      </c>
      <c r="R3" t="s">
        <v>209</v>
      </c>
      <c r="S3" t="s">
        <v>3</v>
      </c>
      <c r="T3" t="s">
        <v>582</v>
      </c>
      <c r="U3" t="s">
        <v>3</v>
      </c>
    </row>
    <row r="4" spans="1:23" x14ac:dyDescent="0.15">
      <c r="A4" t="str">
        <f t="shared" si="0"/>
        <v>|^|白|青|黒|赤|緑|クリーチャー|呪文|サポート|</v>
      </c>
      <c r="C4" t="s">
        <v>3</v>
      </c>
      <c r="D4" t="s">
        <v>583</v>
      </c>
      <c r="E4" t="s">
        <v>3</v>
      </c>
      <c r="F4" t="s">
        <v>11</v>
      </c>
      <c r="G4" t="s">
        <v>3</v>
      </c>
      <c r="H4" t="s">
        <v>12</v>
      </c>
      <c r="I4" t="s">
        <v>3</v>
      </c>
      <c r="J4" t="s">
        <v>13</v>
      </c>
      <c r="K4" t="s">
        <v>3</v>
      </c>
      <c r="L4" t="s">
        <v>14</v>
      </c>
      <c r="M4" t="s">
        <v>3</v>
      </c>
      <c r="N4" t="s">
        <v>15</v>
      </c>
      <c r="O4" t="s">
        <v>3</v>
      </c>
      <c r="P4" t="s">
        <v>20</v>
      </c>
      <c r="Q4" t="s">
        <v>3</v>
      </c>
      <c r="R4" t="s">
        <v>21</v>
      </c>
      <c r="S4" t="s">
        <v>3</v>
      </c>
      <c r="T4" t="s">
        <v>22</v>
      </c>
      <c r="U4" t="s">
        <v>3</v>
      </c>
    </row>
    <row r="5" spans="1:23" x14ac:dyDescent="0.15">
      <c r="A5" t="str">
        <f t="shared" si="0"/>
        <v>|132|-1|3|3|3|-1|5|8|5|</v>
      </c>
      <c r="C5" t="s">
        <v>3</v>
      </c>
      <c r="D5">
        <f>VLOOKUP(MAX(D43:D71),D43:F71,3,TRUE)</f>
        <v>132</v>
      </c>
      <c r="E5" t="s">
        <v>3</v>
      </c>
      <c r="F5">
        <f>VLOOKUP(MAX($D$77:$D$85),$D$77:$P$85,5,TRUE)</f>
        <v>-1</v>
      </c>
      <c r="G5" t="s">
        <v>3</v>
      </c>
      <c r="H5">
        <f>VLOOKUP(MAX($D$77:$D$85),$D$77:$P$85,7,TRUE)</f>
        <v>3</v>
      </c>
      <c r="I5" t="s">
        <v>3</v>
      </c>
      <c r="J5">
        <f>VLOOKUP(MAX($D$77:$D$85),$D$77:$P$85,9,TRUE)</f>
        <v>3</v>
      </c>
      <c r="K5" t="s">
        <v>3</v>
      </c>
      <c r="L5">
        <f>VLOOKUP(MAX($D$77:$D$85),$D$77:$P$85,11,TRUE)</f>
        <v>3</v>
      </c>
      <c r="M5" t="s">
        <v>3</v>
      </c>
      <c r="N5">
        <f>VLOOKUP(MAX($D$77:$D$85),$D$77:$P$85,13,TRUE)</f>
        <v>-1</v>
      </c>
      <c r="O5" t="s">
        <v>3</v>
      </c>
      <c r="P5">
        <f>VLOOKUP(MAX($D$92:$D$99),$D$92:$L$99,5,TRUE)</f>
        <v>5</v>
      </c>
      <c r="Q5" t="s">
        <v>3</v>
      </c>
      <c r="R5">
        <f>VLOOKUP(MAX($D$92:$D$99),$D$92:$L$99,7,TRUE)</f>
        <v>8</v>
      </c>
      <c r="S5" t="s">
        <v>3</v>
      </c>
      <c r="T5">
        <f>VLOOKUP(MAX($D$92:$D$99),$D$92:$L$99,9,TRUE)</f>
        <v>5</v>
      </c>
      <c r="U5" t="s">
        <v>3</v>
      </c>
    </row>
    <row r="6" spans="1:23" x14ac:dyDescent="0.15">
      <c r="A6" t="str">
        <f t="shared" si="0"/>
        <v>||&gt;|&gt;|&gt;|&gt;|&gt;|&gt;|PW能力|コスト|</v>
      </c>
      <c r="C6" t="s">
        <v>3</v>
      </c>
      <c r="E6" t="s">
        <v>3</v>
      </c>
      <c r="F6" t="s">
        <v>209</v>
      </c>
      <c r="G6" t="s">
        <v>3</v>
      </c>
      <c r="H6" t="s">
        <v>209</v>
      </c>
      <c r="I6" t="s">
        <v>3</v>
      </c>
      <c r="J6" t="s">
        <v>209</v>
      </c>
      <c r="K6" t="s">
        <v>3</v>
      </c>
      <c r="L6" t="s">
        <v>209</v>
      </c>
      <c r="M6" t="s">
        <v>3</v>
      </c>
      <c r="N6" t="s">
        <v>209</v>
      </c>
      <c r="O6" t="s">
        <v>3</v>
      </c>
      <c r="P6" t="s">
        <v>209</v>
      </c>
      <c r="Q6" t="s">
        <v>3</v>
      </c>
      <c r="R6" t="s">
        <v>584</v>
      </c>
      <c r="S6" t="s">
        <v>3</v>
      </c>
      <c r="T6" t="s">
        <v>28</v>
      </c>
      <c r="U6" t="s">
        <v>3</v>
      </c>
    </row>
    <row r="7" spans="1:23" x14ac:dyDescent="0.15">
      <c r="A7" t="str">
        <f t="shared" si="0"/>
        <v>|第1能力|&gt;|&gt;|&gt;|&gt;|&gt;|&gt;|蠍の一刺し/Scorpion's Sting|9|</v>
      </c>
      <c r="C7" t="s">
        <v>3</v>
      </c>
      <c r="D7" t="s">
        <v>585</v>
      </c>
      <c r="E7" t="s">
        <v>3</v>
      </c>
      <c r="F7" t="s">
        <v>209</v>
      </c>
      <c r="G7" t="s">
        <v>3</v>
      </c>
      <c r="H7" t="s">
        <v>209</v>
      </c>
      <c r="I7" t="s">
        <v>3</v>
      </c>
      <c r="J7" t="s">
        <v>209</v>
      </c>
      <c r="K7" t="s">
        <v>3</v>
      </c>
      <c r="L7" t="s">
        <v>209</v>
      </c>
      <c r="M7" t="s">
        <v>3</v>
      </c>
      <c r="N7" t="s">
        <v>209</v>
      </c>
      <c r="O7" t="s">
        <v>3</v>
      </c>
      <c r="P7" t="s">
        <v>209</v>
      </c>
      <c r="Q7" t="s">
        <v>3</v>
      </c>
      <c r="R7" t="str">
        <f>R103</f>
        <v>蠍の一刺し/Scorpion's Sting</v>
      </c>
      <c r="S7" t="s">
        <v>3</v>
      </c>
      <c r="T7">
        <f>H109</f>
        <v>9</v>
      </c>
      <c r="U7" t="s">
        <v>3</v>
      </c>
    </row>
    <row r="8" spans="1:23" x14ac:dyDescent="0.15">
      <c r="A8" t="str">
        <f t="shared" si="0"/>
        <v>|&gt;|&gt;|&gt;|&gt;|&gt;|&gt;|&gt;|&gt;|対戦相手がコントロールするクリーチャー1体を対象とし、それを破壊する。|</v>
      </c>
      <c r="C8" t="s">
        <v>3</v>
      </c>
      <c r="D8" t="s">
        <v>209</v>
      </c>
      <c r="E8" t="s">
        <v>3</v>
      </c>
      <c r="F8" t="s">
        <v>209</v>
      </c>
      <c r="G8" t="s">
        <v>3</v>
      </c>
      <c r="H8" t="s">
        <v>209</v>
      </c>
      <c r="I8" t="s">
        <v>3</v>
      </c>
      <c r="J8" t="s">
        <v>209</v>
      </c>
      <c r="K8" t="s">
        <v>3</v>
      </c>
      <c r="L8" t="s">
        <v>209</v>
      </c>
      <c r="M8" t="s">
        <v>3</v>
      </c>
      <c r="N8" t="s">
        <v>209</v>
      </c>
      <c r="O8" t="s">
        <v>3</v>
      </c>
      <c r="P8" t="s">
        <v>209</v>
      </c>
      <c r="Q8" t="s">
        <v>3</v>
      </c>
      <c r="R8" t="s">
        <v>209</v>
      </c>
      <c r="S8" t="s">
        <v>3</v>
      </c>
      <c r="T8" t="str">
        <f>J109</f>
        <v>対戦相手がコントロールするクリーチャー1体を対象とし、それを破壊する。</v>
      </c>
      <c r="U8" t="s">
        <v>3</v>
      </c>
    </row>
    <row r="9" spans="1:23" x14ac:dyDescent="0.15">
      <c r="A9" t="str">
        <f t="shared" si="0"/>
        <v>|第2能力|&gt;|&gt;|&gt;|&gt;|&gt;|&gt;|蝗の疫病/Plague of Locusts|15|</v>
      </c>
      <c r="C9" t="s">
        <v>3</v>
      </c>
      <c r="D9" t="s">
        <v>587</v>
      </c>
      <c r="E9" t="s">
        <v>3</v>
      </c>
      <c r="F9" t="s">
        <v>209</v>
      </c>
      <c r="G9" t="s">
        <v>3</v>
      </c>
      <c r="H9" t="s">
        <v>209</v>
      </c>
      <c r="I9" t="s">
        <v>3</v>
      </c>
      <c r="J9" t="s">
        <v>209</v>
      </c>
      <c r="K9" t="s">
        <v>3</v>
      </c>
      <c r="L9" t="s">
        <v>209</v>
      </c>
      <c r="M9" t="s">
        <v>3</v>
      </c>
      <c r="N9" t="s">
        <v>209</v>
      </c>
      <c r="O9" t="s">
        <v>3</v>
      </c>
      <c r="P9" t="s">
        <v>209</v>
      </c>
      <c r="Q9" t="s">
        <v>3</v>
      </c>
      <c r="R9" t="str">
        <f>R112</f>
        <v>蝗の疫病/Plague of Locusts</v>
      </c>
      <c r="S9" t="s">
        <v>3</v>
      </c>
      <c r="T9">
        <f>H118</f>
        <v>15</v>
      </c>
      <c r="U9" t="s">
        <v>3</v>
      </c>
    </row>
    <row r="10" spans="1:23" x14ac:dyDescent="0.15">
      <c r="A10" t="str">
        <f t="shared" si="0"/>
        <v>|&gt;|&gt;|&gt;|&gt;|&gt;|&gt;|&gt;|&gt;|あなたはカードを2枚引き、2/2のゾンビ・トークンを4体召喚する|</v>
      </c>
      <c r="C10" t="s">
        <v>3</v>
      </c>
      <c r="D10" t="s">
        <v>209</v>
      </c>
      <c r="E10" t="s">
        <v>3</v>
      </c>
      <c r="F10" t="s">
        <v>209</v>
      </c>
      <c r="G10" t="s">
        <v>3</v>
      </c>
      <c r="H10" t="s">
        <v>209</v>
      </c>
      <c r="I10" t="s">
        <v>3</v>
      </c>
      <c r="J10" t="s">
        <v>209</v>
      </c>
      <c r="K10" t="s">
        <v>3</v>
      </c>
      <c r="L10" t="s">
        <v>209</v>
      </c>
      <c r="M10" t="s">
        <v>3</v>
      </c>
      <c r="N10" t="s">
        <v>209</v>
      </c>
      <c r="O10" t="s">
        <v>3</v>
      </c>
      <c r="P10" t="s">
        <v>209</v>
      </c>
      <c r="Q10" t="s">
        <v>3</v>
      </c>
      <c r="R10" t="s">
        <v>209</v>
      </c>
      <c r="S10" t="s">
        <v>3</v>
      </c>
      <c r="T10" t="str">
        <f>J118</f>
        <v>あなたはカードを2枚引き、2/2のゾンビ・トークンを4体召喚する</v>
      </c>
      <c r="U10" t="s">
        <v>3</v>
      </c>
    </row>
    <row r="11" spans="1:23" x14ac:dyDescent="0.15">
      <c r="A11" t="str">
        <f t="shared" si="0"/>
        <v>|第3能力|&gt;|&gt;|&gt;|&gt;|&gt;|&gt;|スカラベの呼び声/Call of the Scarab|21|</v>
      </c>
      <c r="C11" t="s">
        <v>3</v>
      </c>
      <c r="D11" t="s">
        <v>590</v>
      </c>
      <c r="E11" t="s">
        <v>3</v>
      </c>
      <c r="F11" t="s">
        <v>209</v>
      </c>
      <c r="G11" t="s">
        <v>3</v>
      </c>
      <c r="H11" t="s">
        <v>209</v>
      </c>
      <c r="I11" t="s">
        <v>3</v>
      </c>
      <c r="J11" t="s">
        <v>209</v>
      </c>
      <c r="K11" t="s">
        <v>3</v>
      </c>
      <c r="L11" t="s">
        <v>209</v>
      </c>
      <c r="M11" t="s">
        <v>3</v>
      </c>
      <c r="N11" t="s">
        <v>209</v>
      </c>
      <c r="O11" t="s">
        <v>3</v>
      </c>
      <c r="P11" t="s">
        <v>209</v>
      </c>
      <c r="Q11" t="s">
        <v>3</v>
      </c>
      <c r="R11" t="str">
        <f>R121</f>
        <v>スカラベの呼び声/Call of the Scarab</v>
      </c>
      <c r="S11" t="s">
        <v>3</v>
      </c>
      <c r="T11">
        <f>H127</f>
        <v>21</v>
      </c>
      <c r="U11" t="s">
        <v>3</v>
      </c>
    </row>
    <row r="12" spans="1:23" x14ac:dyDescent="0.15">
      <c r="A12" t="str">
        <f t="shared" si="0"/>
        <v>|&gt;|&gt;|&gt;|&gt;|&gt;|&gt;|&gt;|&gt;|あなたの墓地に置かれた最後のクリーチャーはゾンビを得て戦場に戻る。その後、対戦相手はX点のダメージを受ける。Xはあなたがコントロールするゾンビの総数の9倍に等しい。|</v>
      </c>
      <c r="C12" t="s">
        <v>3</v>
      </c>
      <c r="D12" t="s">
        <v>209</v>
      </c>
      <c r="E12" t="s">
        <v>3</v>
      </c>
      <c r="F12" t="s">
        <v>209</v>
      </c>
      <c r="G12" t="s">
        <v>3</v>
      </c>
      <c r="H12" t="s">
        <v>209</v>
      </c>
      <c r="I12" t="s">
        <v>3</v>
      </c>
      <c r="J12" t="s">
        <v>209</v>
      </c>
      <c r="K12" t="s">
        <v>3</v>
      </c>
      <c r="L12" t="s">
        <v>209</v>
      </c>
      <c r="M12" t="s">
        <v>3</v>
      </c>
      <c r="N12" t="s">
        <v>209</v>
      </c>
      <c r="O12" t="s">
        <v>3</v>
      </c>
      <c r="P12" t="s">
        <v>209</v>
      </c>
      <c r="Q12" t="s">
        <v>3</v>
      </c>
      <c r="R12" t="s">
        <v>209</v>
      </c>
      <c r="S12" t="s">
        <v>3</v>
      </c>
      <c r="T12" t="str">
        <f>J127</f>
        <v>あなたの墓地に置かれた最後のクリーチャーはゾンビを得て戦場に戻る。その後、対戦相手はX点のダメージを受ける。Xはあなたがコントロールするゾンビの総数の9倍に等しい。</v>
      </c>
      <c r="U12" t="s">
        <v>3</v>
      </c>
    </row>
    <row r="13" spans="1:23" x14ac:dyDescent="0.15">
      <c r="A13" t="str">
        <f t="shared" si="0"/>
        <v/>
      </c>
    </row>
    <row r="14" spans="1:23" x14ac:dyDescent="0.15">
      <c r="A14" t="str">
        <f t="shared" ref="A14:A37" si="1">B14&amp;C14&amp;D14&amp;E14&amp;F14&amp;G14&amp;H14&amp;I14&amp;J14&amp;K14&amp;L14&amp;M14&amp;N14&amp;O14&amp;P14&amp;Q14&amp;R14&amp;S14&amp;T14&amp;U14</f>
        <v>*評価</v>
      </c>
      <c r="B14" t="s">
        <v>592</v>
      </c>
      <c r="C14" t="s">
        <v>593</v>
      </c>
    </row>
    <row r="15" spans="1:23" x14ac:dyDescent="0.15">
      <c r="A15" t="str">
        <f t="shared" si="1"/>
        <v>・HPは平均以上</v>
      </c>
      <c r="B15" t="s">
        <v>594</v>
      </c>
      <c r="C15" s="8" t="s">
        <v>653</v>
      </c>
      <c r="D15" t="str">
        <f>IF(D5&gt;110,"以上",IF(D5&gt;104,"","以下"))</f>
        <v>以上</v>
      </c>
    </row>
    <row r="16" spans="1:23" x14ac:dyDescent="0.15">
      <c r="A16" t="str">
        <f t="shared" si="1"/>
        <v>・マナボーナス合計は+7。平均。</v>
      </c>
      <c r="B16" t="s">
        <v>594</v>
      </c>
      <c r="C16" t="s">
        <v>595</v>
      </c>
      <c r="D16">
        <f>SUM(F5:N5)</f>
        <v>7</v>
      </c>
      <c r="E16" t="s">
        <v>596</v>
      </c>
      <c r="F16" t="s">
        <v>597</v>
      </c>
      <c r="G16" t="str">
        <f>IF(D16&gt;8,"以上",IF(D16&gt;6,"","以下"))</f>
        <v/>
      </c>
      <c r="H16" t="s">
        <v>596</v>
      </c>
    </row>
    <row r="17" spans="1:6" x14ac:dyDescent="0.15">
      <c r="A17" t="str">
        <f t="shared" si="1"/>
        <v>・要求経験値が高いがその分早い段階(Lv44)で各自色+3が揃うため、LvMAXにしなくても多少運用可能となる。</v>
      </c>
      <c r="B17" t="s">
        <v>594</v>
      </c>
      <c r="C17" t="s">
        <v>820</v>
      </c>
    </row>
    <row r="18" spans="1:6" x14ac:dyDescent="0.15">
      <c r="A18" t="str">
        <f t="shared" si="1"/>
        <v>・PW能力のLvアップも比較的他のPWより早い。Lv60で第3能力Lv4にならないPWは初。</v>
      </c>
      <c r="B18" t="s">
        <v>594</v>
      </c>
      <c r="C18" t="s">
        <v>821</v>
      </c>
    </row>
    <row r="19" spans="1:6" x14ac:dyDescent="0.15">
      <c r="A19" t="str">
        <f t="shared" si="1"/>
        <v>・第1能力が非常に強力。LV1～3の時点でも永続マイナス修正のため、非常に厄介。</v>
      </c>
      <c r="B19" t="s">
        <v>594</v>
      </c>
      <c r="C19" t="s">
        <v>822</v>
      </c>
    </row>
    <row r="20" spans="1:6" x14ac:dyDescent="0.15">
      <c r="A20" t="str">
        <f t="shared" si="1"/>
        <v>・</v>
      </c>
      <c r="B20" t="s">
        <v>594</v>
      </c>
    </row>
    <row r="21" spans="1:6" x14ac:dyDescent="0.15">
      <c r="A21" t="str">
        <f t="shared" si="1"/>
        <v>・</v>
      </c>
      <c r="B21" t="s">
        <v>594</v>
      </c>
    </row>
    <row r="22" spans="1:6" x14ac:dyDescent="0.15">
      <c r="A22" t="str">
        <f t="shared" si="1"/>
        <v>・ver2.2.5でとうとう現れた3色PW。</v>
      </c>
      <c r="B22" t="s">
        <v>594</v>
      </c>
      <c r="C22" t="s">
        <v>823</v>
      </c>
    </row>
    <row r="24" spans="1:6" x14ac:dyDescent="0.15">
      <c r="A24" t="str">
        <f t="shared" si="1"/>
        <v>*採用候補</v>
      </c>
      <c r="B24" s="8" t="s">
        <v>652</v>
      </c>
    </row>
    <row r="25" spans="1:6" x14ac:dyDescent="0.15">
      <c r="A25" t="str">
        <f t="shared" si="1"/>
        <v>・色が合えば採用候補レベルのものではなく、PWに合った採用候補を紹介</v>
      </c>
      <c r="B25" t="s">
        <v>645</v>
      </c>
    </row>
    <row r="26" spans="1:6" x14ac:dyDescent="0.15">
      <c r="A26" t="str">
        <f t="shared" si="1"/>
        <v/>
      </c>
    </row>
    <row r="27" spans="1:6" x14ac:dyDescent="0.15">
      <c r="A27" t="str">
        <f t="shared" si="1"/>
        <v>**スタンダード</v>
      </c>
      <c r="B27" s="8" t="s">
        <v>650</v>
      </c>
    </row>
    <row r="28" spans="1:6" x14ac:dyDescent="0.15">
      <c r="A28" t="str">
        <f t="shared" si="1"/>
        <v>スタンダード(ORI/KLD/AKH/HOU期)</v>
      </c>
      <c r="B28" t="s">
        <v>646</v>
      </c>
    </row>
    <row r="29" spans="1:6" x14ac:dyDescent="0.15">
      <c r="A29" t="str">
        <f t="shared" si="1"/>
        <v>《[[]]》[]：</v>
      </c>
      <c r="B29" s="8" t="s">
        <v>718</v>
      </c>
      <c r="D29" t="s">
        <v>719</v>
      </c>
      <c r="E29" s="8"/>
      <c r="F29" t="s">
        <v>713</v>
      </c>
    </row>
    <row r="30" spans="1:6" x14ac:dyDescent="0.15">
      <c r="A30" t="str">
        <f t="shared" si="1"/>
        <v>《[[]]》[]：</v>
      </c>
      <c r="B30" s="8" t="s">
        <v>718</v>
      </c>
      <c r="D30" t="s">
        <v>719</v>
      </c>
      <c r="E30" s="8"/>
      <c r="F30" t="s">
        <v>713</v>
      </c>
    </row>
    <row r="31" spans="1:6" x14ac:dyDescent="0.15">
      <c r="A31" t="str">
        <f t="shared" si="1"/>
        <v/>
      </c>
    </row>
    <row r="32" spans="1:6" x14ac:dyDescent="0.15">
      <c r="A32" t="str">
        <f t="shared" si="1"/>
        <v/>
      </c>
    </row>
    <row r="33" spans="1:8" x14ac:dyDescent="0.15">
      <c r="A33" t="str">
        <f t="shared" si="1"/>
        <v>**レガシー</v>
      </c>
      <c r="B33" s="8" t="s">
        <v>651</v>
      </c>
    </row>
    <row r="34" spans="1:8" x14ac:dyDescent="0.15">
      <c r="A34" t="str">
        <f t="shared" si="1"/>
        <v>《[[]]》[]：</v>
      </c>
      <c r="B34" s="8" t="s">
        <v>718</v>
      </c>
      <c r="D34" t="s">
        <v>719</v>
      </c>
      <c r="E34" s="8"/>
      <c r="F34" t="s">
        <v>713</v>
      </c>
    </row>
    <row r="35" spans="1:8" x14ac:dyDescent="0.15">
      <c r="A35" t="str">
        <f t="shared" si="1"/>
        <v>《[[]]》[]：</v>
      </c>
      <c r="B35" s="8" t="s">
        <v>718</v>
      </c>
      <c r="D35" t="s">
        <v>719</v>
      </c>
      <c r="E35" s="8"/>
      <c r="F35" t="s">
        <v>713</v>
      </c>
    </row>
    <row r="36" spans="1:8" x14ac:dyDescent="0.15">
      <c r="A36" t="str">
        <f t="shared" si="1"/>
        <v/>
      </c>
    </row>
    <row r="37" spans="1:8" x14ac:dyDescent="0.15">
      <c r="A37" t="str">
        <f t="shared" si="1"/>
        <v>#region(close,text=Lv60までの詳細データ)</v>
      </c>
      <c r="B37" t="s">
        <v>598</v>
      </c>
    </row>
    <row r="38" spans="1:8" x14ac:dyDescent="0.15">
      <c r="A38" t="str">
        <f>B38&amp;C38&amp;D38&amp;E38&amp;F38&amp;G38&amp;H38&amp;I38&amp;J38&amp;K38&amp;L38&amp;M38&amp;N38&amp;O38&amp;P38</f>
        <v/>
      </c>
    </row>
    <row r="39" spans="1:8" x14ac:dyDescent="0.15">
      <c r="A39" t="str">
        <f>B39&amp;C39&amp;D39&amp;E39&amp;F39&amp;G39&amp;H39&amp;I39&amp;J39&amp;K39&amp;L39&amp;M39&amp;N39&amp;O39&amp;P39</f>
        <v>&amp;br;</v>
      </c>
      <c r="B39" t="s">
        <v>0</v>
      </c>
    </row>
    <row r="40" spans="1:8" x14ac:dyDescent="0.15">
      <c r="A40" t="str">
        <f>B40&amp;C40&amp;D40&amp;E40&amp;F40&amp;G40&amp;H40&amp;I40&amp;J40&amp;K40&amp;L40&amp;M40&amp;N40&amp;O40&amp;P40</f>
        <v>*HP</v>
      </c>
      <c r="B40" s="8" t="s">
        <v>644</v>
      </c>
    </row>
    <row r="41" spans="1:8" x14ac:dyDescent="0.15">
      <c r="A41" t="str">
        <f>B41&amp;C41&amp;D41&amp;E41&amp;F41&amp;G41&amp;H41</f>
        <v>|LEFT:50|LEFT:50|c</v>
      </c>
      <c r="B41" t="s">
        <v>3</v>
      </c>
      <c r="C41" t="s">
        <v>4</v>
      </c>
      <c r="E41" t="s">
        <v>3</v>
      </c>
      <c r="F41" t="s">
        <v>4</v>
      </c>
      <c r="G41" t="s">
        <v>3</v>
      </c>
      <c r="H41" t="s">
        <v>5</v>
      </c>
    </row>
    <row r="42" spans="1:8" x14ac:dyDescent="0.15">
      <c r="A42" t="str">
        <f t="shared" ref="A42:A71" si="2">B42&amp;C42&amp;D42&amp;E42&amp;F42&amp;G42&amp;H42</f>
        <v>|レベル|HP|</v>
      </c>
      <c r="B42" t="s">
        <v>3</v>
      </c>
      <c r="C42" t="s">
        <v>6</v>
      </c>
      <c r="E42" t="s">
        <v>3</v>
      </c>
      <c r="F42" t="s">
        <v>7</v>
      </c>
      <c r="G42" t="s">
        <v>3</v>
      </c>
    </row>
    <row r="43" spans="1:8" x14ac:dyDescent="0.15">
      <c r="A43" t="str">
        <f t="shared" si="2"/>
        <v>|Lv1|62|</v>
      </c>
      <c r="B43" t="s">
        <v>3</v>
      </c>
      <c r="C43" t="s">
        <v>8</v>
      </c>
      <c r="D43">
        <v>1</v>
      </c>
      <c r="E43" t="s">
        <v>3</v>
      </c>
      <c r="F43">
        <f>B207</f>
        <v>62</v>
      </c>
      <c r="G43" t="s">
        <v>3</v>
      </c>
    </row>
    <row r="44" spans="1:8" x14ac:dyDescent="0.15">
      <c r="A44" t="str">
        <f t="shared" si="2"/>
        <v>|Lv3|63|</v>
      </c>
      <c r="B44" t="s">
        <v>3</v>
      </c>
      <c r="C44" t="s">
        <v>8</v>
      </c>
      <c r="D44">
        <v>3</v>
      </c>
      <c r="E44" t="s">
        <v>3</v>
      </c>
      <c r="F44">
        <f t="shared" ref="F44:F71" si="3">IF(ISBLANK(D44),"",F43+INDEX($H$132:$H$191,D44))</f>
        <v>63</v>
      </c>
      <c r="G44" t="s">
        <v>3</v>
      </c>
    </row>
    <row r="45" spans="1:8" x14ac:dyDescent="0.15">
      <c r="A45" t="str">
        <f t="shared" si="2"/>
        <v>|Lv5|64|</v>
      </c>
      <c r="B45" t="s">
        <v>3</v>
      </c>
      <c r="C45" t="s">
        <v>8</v>
      </c>
      <c r="D45">
        <v>5</v>
      </c>
      <c r="E45" t="s">
        <v>3</v>
      </c>
      <c r="F45">
        <f t="shared" si="3"/>
        <v>64</v>
      </c>
      <c r="G45" t="s">
        <v>3</v>
      </c>
    </row>
    <row r="46" spans="1:8" x14ac:dyDescent="0.15">
      <c r="A46" t="str">
        <f t="shared" si="2"/>
        <v>|Lv7|65|</v>
      </c>
      <c r="B46" t="s">
        <v>3</v>
      </c>
      <c r="C46" t="s">
        <v>8</v>
      </c>
      <c r="D46">
        <v>7</v>
      </c>
      <c r="E46" t="s">
        <v>3</v>
      </c>
      <c r="F46">
        <f t="shared" si="3"/>
        <v>65</v>
      </c>
      <c r="G46" t="s">
        <v>3</v>
      </c>
    </row>
    <row r="47" spans="1:8" x14ac:dyDescent="0.15">
      <c r="A47" t="str">
        <f t="shared" si="2"/>
        <v>|Lv9|66|</v>
      </c>
      <c r="B47" t="s">
        <v>3</v>
      </c>
      <c r="C47" t="s">
        <v>8</v>
      </c>
      <c r="D47">
        <v>9</v>
      </c>
      <c r="E47" t="s">
        <v>3</v>
      </c>
      <c r="F47">
        <f t="shared" si="3"/>
        <v>66</v>
      </c>
      <c r="G47" t="s">
        <v>3</v>
      </c>
    </row>
    <row r="48" spans="1:8" x14ac:dyDescent="0.15">
      <c r="A48" t="str">
        <f t="shared" si="2"/>
        <v>|Lv11|67|</v>
      </c>
      <c r="B48" t="s">
        <v>3</v>
      </c>
      <c r="C48" t="s">
        <v>8</v>
      </c>
      <c r="D48">
        <v>11</v>
      </c>
      <c r="E48" t="s">
        <v>3</v>
      </c>
      <c r="F48">
        <f t="shared" si="3"/>
        <v>67</v>
      </c>
      <c r="G48" t="s">
        <v>3</v>
      </c>
    </row>
    <row r="49" spans="1:7" x14ac:dyDescent="0.15">
      <c r="A49" t="str">
        <f t="shared" si="2"/>
        <v>|Lv13|69|</v>
      </c>
      <c r="B49" t="s">
        <v>3</v>
      </c>
      <c r="C49" t="s">
        <v>8</v>
      </c>
      <c r="D49">
        <v>13</v>
      </c>
      <c r="E49" t="s">
        <v>3</v>
      </c>
      <c r="F49">
        <f t="shared" si="3"/>
        <v>69</v>
      </c>
      <c r="G49" t="s">
        <v>3</v>
      </c>
    </row>
    <row r="50" spans="1:7" x14ac:dyDescent="0.15">
      <c r="A50" t="str">
        <f t="shared" si="2"/>
        <v>|Lv15|71|</v>
      </c>
      <c r="B50" t="s">
        <v>3</v>
      </c>
      <c r="C50" t="s">
        <v>8</v>
      </c>
      <c r="D50">
        <v>15</v>
      </c>
      <c r="E50" t="s">
        <v>3</v>
      </c>
      <c r="F50">
        <f t="shared" si="3"/>
        <v>71</v>
      </c>
      <c r="G50" t="s">
        <v>3</v>
      </c>
    </row>
    <row r="51" spans="1:7" x14ac:dyDescent="0.15">
      <c r="A51" t="str">
        <f t="shared" si="2"/>
        <v>|Lv17|73|</v>
      </c>
      <c r="B51" t="s">
        <v>3</v>
      </c>
      <c r="C51" t="s">
        <v>8</v>
      </c>
      <c r="D51">
        <v>17</v>
      </c>
      <c r="E51" t="s">
        <v>3</v>
      </c>
      <c r="F51">
        <f t="shared" si="3"/>
        <v>73</v>
      </c>
      <c r="G51" t="s">
        <v>3</v>
      </c>
    </row>
    <row r="52" spans="1:7" x14ac:dyDescent="0.15">
      <c r="A52" t="str">
        <f t="shared" si="2"/>
        <v>|Lv19|75|</v>
      </c>
      <c r="B52" t="s">
        <v>3</v>
      </c>
      <c r="C52" t="s">
        <v>8</v>
      </c>
      <c r="D52">
        <v>19</v>
      </c>
      <c r="E52" t="s">
        <v>3</v>
      </c>
      <c r="F52">
        <f t="shared" si="3"/>
        <v>75</v>
      </c>
      <c r="G52" t="s">
        <v>3</v>
      </c>
    </row>
    <row r="53" spans="1:7" x14ac:dyDescent="0.15">
      <c r="A53" t="str">
        <f t="shared" si="2"/>
        <v>|Lv21|77|</v>
      </c>
      <c r="B53" t="s">
        <v>3</v>
      </c>
      <c r="C53" t="s">
        <v>8</v>
      </c>
      <c r="D53">
        <v>21</v>
      </c>
      <c r="E53" t="s">
        <v>3</v>
      </c>
      <c r="F53">
        <f t="shared" si="3"/>
        <v>77</v>
      </c>
      <c r="G53" t="s">
        <v>3</v>
      </c>
    </row>
    <row r="54" spans="1:7" x14ac:dyDescent="0.15">
      <c r="A54" t="str">
        <f t="shared" si="2"/>
        <v>|Lv23|79|</v>
      </c>
      <c r="B54" t="s">
        <v>3</v>
      </c>
      <c r="C54" t="s">
        <v>8</v>
      </c>
      <c r="D54">
        <v>23</v>
      </c>
      <c r="E54" t="s">
        <v>3</v>
      </c>
      <c r="F54">
        <f t="shared" si="3"/>
        <v>79</v>
      </c>
      <c r="G54" t="s">
        <v>3</v>
      </c>
    </row>
    <row r="55" spans="1:7" x14ac:dyDescent="0.15">
      <c r="A55" t="str">
        <f t="shared" si="2"/>
        <v>|Lv25|81|</v>
      </c>
      <c r="B55" t="s">
        <v>3</v>
      </c>
      <c r="C55" t="s">
        <v>8</v>
      </c>
      <c r="D55">
        <v>25</v>
      </c>
      <c r="E55" t="s">
        <v>3</v>
      </c>
      <c r="F55">
        <f t="shared" si="3"/>
        <v>81</v>
      </c>
      <c r="G55" t="s">
        <v>3</v>
      </c>
    </row>
    <row r="56" spans="1:7" x14ac:dyDescent="0.15">
      <c r="A56" t="str">
        <f t="shared" si="2"/>
        <v>|Lv27|83|</v>
      </c>
      <c r="B56" t="s">
        <v>3</v>
      </c>
      <c r="C56" t="s">
        <v>8</v>
      </c>
      <c r="D56">
        <v>27</v>
      </c>
      <c r="E56" t="s">
        <v>3</v>
      </c>
      <c r="F56">
        <f t="shared" si="3"/>
        <v>83</v>
      </c>
      <c r="G56" t="s">
        <v>3</v>
      </c>
    </row>
    <row r="57" spans="1:7" x14ac:dyDescent="0.15">
      <c r="A57" t="str">
        <f t="shared" si="2"/>
        <v>|Lv29|85|</v>
      </c>
      <c r="B57" t="s">
        <v>3</v>
      </c>
      <c r="C57" t="s">
        <v>8</v>
      </c>
      <c r="D57">
        <v>29</v>
      </c>
      <c r="E57" t="s">
        <v>3</v>
      </c>
      <c r="F57">
        <f t="shared" si="3"/>
        <v>85</v>
      </c>
      <c r="G57" t="s">
        <v>3</v>
      </c>
    </row>
    <row r="58" spans="1:7" x14ac:dyDescent="0.15">
      <c r="A58" t="str">
        <f t="shared" si="2"/>
        <v>|Lv31|87|</v>
      </c>
      <c r="B58" t="s">
        <v>3</v>
      </c>
      <c r="C58" t="s">
        <v>8</v>
      </c>
      <c r="D58">
        <v>31</v>
      </c>
      <c r="E58" t="s">
        <v>3</v>
      </c>
      <c r="F58">
        <f t="shared" si="3"/>
        <v>87</v>
      </c>
      <c r="G58" t="s">
        <v>3</v>
      </c>
    </row>
    <row r="59" spans="1:7" x14ac:dyDescent="0.15">
      <c r="A59" t="str">
        <f t="shared" si="2"/>
        <v>|Lv33|89|</v>
      </c>
      <c r="B59" t="s">
        <v>3</v>
      </c>
      <c r="C59" t="s">
        <v>8</v>
      </c>
      <c r="D59">
        <v>33</v>
      </c>
      <c r="E59" t="s">
        <v>3</v>
      </c>
      <c r="F59">
        <f t="shared" si="3"/>
        <v>89</v>
      </c>
      <c r="G59" t="s">
        <v>3</v>
      </c>
    </row>
    <row r="60" spans="1:7" x14ac:dyDescent="0.15">
      <c r="A60" t="str">
        <f t="shared" si="2"/>
        <v>|Lv35|91|</v>
      </c>
      <c r="B60" t="s">
        <v>3</v>
      </c>
      <c r="C60" t="s">
        <v>8</v>
      </c>
      <c r="D60">
        <v>35</v>
      </c>
      <c r="E60" t="s">
        <v>3</v>
      </c>
      <c r="F60">
        <f t="shared" si="3"/>
        <v>91</v>
      </c>
      <c r="G60" t="s">
        <v>3</v>
      </c>
    </row>
    <row r="61" spans="1:7" x14ac:dyDescent="0.15">
      <c r="A61" t="str">
        <f t="shared" si="2"/>
        <v>|Lv37|93|</v>
      </c>
      <c r="B61" t="s">
        <v>3</v>
      </c>
      <c r="C61" t="s">
        <v>8</v>
      </c>
      <c r="D61">
        <v>37</v>
      </c>
      <c r="E61" t="s">
        <v>3</v>
      </c>
      <c r="F61">
        <f t="shared" si="3"/>
        <v>93</v>
      </c>
      <c r="G61" t="s">
        <v>3</v>
      </c>
    </row>
    <row r="62" spans="1:7" x14ac:dyDescent="0.15">
      <c r="A62" t="str">
        <f t="shared" si="2"/>
        <v>|Lv39|95|</v>
      </c>
      <c r="B62" t="s">
        <v>3</v>
      </c>
      <c r="C62" t="s">
        <v>8</v>
      </c>
      <c r="D62">
        <v>39</v>
      </c>
      <c r="E62" t="s">
        <v>3</v>
      </c>
      <c r="F62">
        <f t="shared" si="3"/>
        <v>95</v>
      </c>
      <c r="G62" t="s">
        <v>3</v>
      </c>
    </row>
    <row r="63" spans="1:7" x14ac:dyDescent="0.15">
      <c r="A63" t="str">
        <f t="shared" si="2"/>
        <v>|Lv41|98|</v>
      </c>
      <c r="B63" t="s">
        <v>3</v>
      </c>
      <c r="C63" t="s">
        <v>8</v>
      </c>
      <c r="D63">
        <v>41</v>
      </c>
      <c r="E63" t="s">
        <v>3</v>
      </c>
      <c r="F63">
        <f t="shared" si="3"/>
        <v>98</v>
      </c>
      <c r="G63" t="s">
        <v>3</v>
      </c>
    </row>
    <row r="64" spans="1:7" x14ac:dyDescent="0.15">
      <c r="A64" t="str">
        <f t="shared" si="2"/>
        <v>|Lv43|101|</v>
      </c>
      <c r="B64" t="s">
        <v>3</v>
      </c>
      <c r="C64" t="s">
        <v>8</v>
      </c>
      <c r="D64">
        <v>43</v>
      </c>
      <c r="E64" t="s">
        <v>3</v>
      </c>
      <c r="F64">
        <f t="shared" si="3"/>
        <v>101</v>
      </c>
      <c r="G64" t="s">
        <v>3</v>
      </c>
    </row>
    <row r="65" spans="1:19" x14ac:dyDescent="0.15">
      <c r="A65" t="str">
        <f t="shared" si="2"/>
        <v>|Lv45|104|</v>
      </c>
      <c r="B65" t="s">
        <v>3</v>
      </c>
      <c r="C65" t="s">
        <v>8</v>
      </c>
      <c r="D65">
        <v>45</v>
      </c>
      <c r="E65" t="s">
        <v>3</v>
      </c>
      <c r="F65">
        <f t="shared" si="3"/>
        <v>104</v>
      </c>
      <c r="G65" t="s">
        <v>3</v>
      </c>
    </row>
    <row r="66" spans="1:19" x14ac:dyDescent="0.15">
      <c r="A66" t="str">
        <f t="shared" si="2"/>
        <v>|Lv47|108|</v>
      </c>
      <c r="B66" t="s">
        <v>3</v>
      </c>
      <c r="C66" t="s">
        <v>8</v>
      </c>
      <c r="D66">
        <v>47</v>
      </c>
      <c r="E66" t="s">
        <v>3</v>
      </c>
      <c r="F66">
        <f t="shared" si="3"/>
        <v>108</v>
      </c>
      <c r="G66" t="s">
        <v>3</v>
      </c>
    </row>
    <row r="67" spans="1:19" x14ac:dyDescent="0.15">
      <c r="A67" t="str">
        <f t="shared" si="2"/>
        <v>|Lv49|112|</v>
      </c>
      <c r="B67" t="s">
        <v>3</v>
      </c>
      <c r="C67" t="s">
        <v>8</v>
      </c>
      <c r="D67">
        <v>49</v>
      </c>
      <c r="E67" t="s">
        <v>3</v>
      </c>
      <c r="F67">
        <f t="shared" si="3"/>
        <v>112</v>
      </c>
      <c r="G67" t="s">
        <v>3</v>
      </c>
    </row>
    <row r="68" spans="1:19" x14ac:dyDescent="0.15">
      <c r="A68" t="str">
        <f t="shared" si="2"/>
        <v>|Lv51|116|</v>
      </c>
      <c r="B68" t="s">
        <v>3</v>
      </c>
      <c r="C68" t="s">
        <v>8</v>
      </c>
      <c r="D68">
        <v>51</v>
      </c>
      <c r="E68" t="s">
        <v>3</v>
      </c>
      <c r="F68">
        <f t="shared" si="3"/>
        <v>116</v>
      </c>
      <c r="G68" t="s">
        <v>3</v>
      </c>
    </row>
    <row r="69" spans="1:19" x14ac:dyDescent="0.15">
      <c r="A69" t="str">
        <f t="shared" si="2"/>
        <v>|Lv53|121|</v>
      </c>
      <c r="B69" t="s">
        <v>3</v>
      </c>
      <c r="C69" t="s">
        <v>8</v>
      </c>
      <c r="D69">
        <v>53</v>
      </c>
      <c r="E69" t="s">
        <v>3</v>
      </c>
      <c r="F69">
        <f t="shared" si="3"/>
        <v>121</v>
      </c>
      <c r="G69" t="s">
        <v>3</v>
      </c>
    </row>
    <row r="70" spans="1:19" x14ac:dyDescent="0.15">
      <c r="A70" t="str">
        <f t="shared" si="2"/>
        <v>|Lv55|126|</v>
      </c>
      <c r="B70" t="s">
        <v>3</v>
      </c>
      <c r="C70" t="s">
        <v>8</v>
      </c>
      <c r="D70">
        <v>55</v>
      </c>
      <c r="E70" t="s">
        <v>3</v>
      </c>
      <c r="F70">
        <f t="shared" si="3"/>
        <v>126</v>
      </c>
      <c r="G70" t="s">
        <v>3</v>
      </c>
    </row>
    <row r="71" spans="1:19" x14ac:dyDescent="0.15">
      <c r="A71" t="str">
        <f t="shared" si="2"/>
        <v>|Lv57|132|</v>
      </c>
      <c r="B71" t="s">
        <v>3</v>
      </c>
      <c r="C71" t="s">
        <v>8</v>
      </c>
      <c r="D71">
        <v>57</v>
      </c>
      <c r="E71" t="s">
        <v>3</v>
      </c>
      <c r="F71">
        <f t="shared" si="3"/>
        <v>132</v>
      </c>
      <c r="G71" t="s">
        <v>3</v>
      </c>
    </row>
    <row r="72" spans="1:19" x14ac:dyDescent="0.15">
      <c r="A72" t="str">
        <f>B72&amp;C72&amp;D72&amp;E72&amp;F72&amp;G72&amp;H72&amp;I72&amp;J72&amp;K72&amp;L72&amp;M72&amp;N72&amp;O72&amp;P72</f>
        <v>&amp;br;</v>
      </c>
      <c r="B72" t="s">
        <v>0</v>
      </c>
    </row>
    <row r="73" spans="1:19" x14ac:dyDescent="0.15">
      <c r="A73" t="str">
        <f>B73&amp;C73&amp;D73&amp;E73&amp;F73&amp;G73&amp;H73&amp;I73&amp;J73&amp;K73&amp;L73&amp;M73&amp;N73&amp;O73&amp;P73</f>
        <v>&amp;br;</v>
      </c>
      <c r="B73" t="s">
        <v>0</v>
      </c>
    </row>
    <row r="74" spans="1:19" x14ac:dyDescent="0.15">
      <c r="A74" t="str">
        <f>B74&amp;C74&amp;D74&amp;E74&amp;F74&amp;G74&amp;H74&amp;I74&amp;J74&amp;K74&amp;L74&amp;M74&amp;N74&amp;O74&amp;P74</f>
        <v>*マナボーナス [#q1a26f54]</v>
      </c>
      <c r="B74" t="s">
        <v>9</v>
      </c>
    </row>
    <row r="75" spans="1:19" x14ac:dyDescent="0.15">
      <c r="A75" t="str">
        <f t="shared" ref="A75:A84" si="4">B75&amp;C75&amp;D75&amp;G75&amp;H75&amp;I75&amp;J75&amp;K75&amp;L75&amp;M75&amp;N75&amp;O75&amp;P75&amp;Q75&amp;R75</f>
        <v>|LEFT:50|LEFT:50|LEFT:50|LEFT:50|LEFT:50|LEFT:50|c</v>
      </c>
      <c r="B75" t="s">
        <v>3</v>
      </c>
      <c r="C75" t="s">
        <v>4</v>
      </c>
      <c r="E75" t="s">
        <v>3</v>
      </c>
      <c r="G75" t="s">
        <v>3</v>
      </c>
      <c r="H75" t="s">
        <v>4</v>
      </c>
      <c r="I75" t="s">
        <v>3</v>
      </c>
      <c r="J75" t="s">
        <v>4</v>
      </c>
      <c r="K75" t="s">
        <v>3</v>
      </c>
      <c r="L75" t="s">
        <v>4</v>
      </c>
      <c r="M75" t="s">
        <v>3</v>
      </c>
      <c r="N75" t="s">
        <v>4</v>
      </c>
      <c r="O75" t="s">
        <v>3</v>
      </c>
      <c r="P75" t="s">
        <v>4</v>
      </c>
      <c r="Q75" t="s">
        <v>3</v>
      </c>
      <c r="R75" t="s">
        <v>5</v>
      </c>
    </row>
    <row r="76" spans="1:19" x14ac:dyDescent="0.15">
      <c r="A76" t="str">
        <f t="shared" si="4"/>
        <v>|レベル|白|青|黒|赤|緑|</v>
      </c>
      <c r="B76" t="s">
        <v>3</v>
      </c>
      <c r="C76" t="s">
        <v>6</v>
      </c>
      <c r="E76" t="s">
        <v>3</v>
      </c>
      <c r="F76" t="s">
        <v>10</v>
      </c>
      <c r="G76" t="s">
        <v>3</v>
      </c>
      <c r="H76" t="s">
        <v>11</v>
      </c>
      <c r="I76" t="s">
        <v>3</v>
      </c>
      <c r="J76" t="s">
        <v>12</v>
      </c>
      <c r="K76" t="s">
        <v>3</v>
      </c>
      <c r="L76" t="s">
        <v>13</v>
      </c>
      <c r="M76" t="s">
        <v>3</v>
      </c>
      <c r="N76" t="s">
        <v>14</v>
      </c>
      <c r="O76" t="s">
        <v>3</v>
      </c>
      <c r="P76" t="s">
        <v>15</v>
      </c>
      <c r="Q76" t="s">
        <v>3</v>
      </c>
      <c r="S76" t="s">
        <v>11</v>
      </c>
    </row>
    <row r="77" spans="1:19" x14ac:dyDescent="0.15">
      <c r="A77" t="str">
        <f t="shared" si="4"/>
        <v>|Lv1|-2|1|1|1|-2|</v>
      </c>
      <c r="B77" t="s">
        <v>3</v>
      </c>
      <c r="C77" t="s">
        <v>8</v>
      </c>
      <c r="D77">
        <v>1</v>
      </c>
      <c r="E77" t="s">
        <v>3</v>
      </c>
      <c r="G77" t="s">
        <v>3</v>
      </c>
      <c r="H77">
        <f>B211</f>
        <v>-2</v>
      </c>
      <c r="I77" t="s">
        <v>3</v>
      </c>
      <c r="J77">
        <f>C211</f>
        <v>1</v>
      </c>
      <c r="K77" t="s">
        <v>3</v>
      </c>
      <c r="L77">
        <f>D211</f>
        <v>1</v>
      </c>
      <c r="M77" t="s">
        <v>3</v>
      </c>
      <c r="N77">
        <f>E211</f>
        <v>1</v>
      </c>
      <c r="O77" t="s">
        <v>3</v>
      </c>
      <c r="P77">
        <f>F211</f>
        <v>-2</v>
      </c>
      <c r="Q77" t="s">
        <v>3</v>
      </c>
      <c r="S77" t="s">
        <v>12</v>
      </c>
    </row>
    <row r="78" spans="1:19" x14ac:dyDescent="0.15">
      <c r="A78" t="str">
        <f t="shared" si="4"/>
        <v>|Lv2|-2|1|2|1|-2|</v>
      </c>
      <c r="B78" t="s">
        <v>3</v>
      </c>
      <c r="C78" t="s">
        <v>8</v>
      </c>
      <c r="D78">
        <v>2</v>
      </c>
      <c r="E78" t="s">
        <v>3</v>
      </c>
      <c r="F78" t="str">
        <f t="shared" ref="F78:F85" si="5">IF(ISBLANK(D78),"",INDEX($F$132:$F$191,D78))</f>
        <v>黒</v>
      </c>
      <c r="G78" t="s">
        <v>3</v>
      </c>
      <c r="H78">
        <f>H77+IF(H$76=$F78,1,0)</f>
        <v>-2</v>
      </c>
      <c r="I78" t="str">
        <f t="shared" ref="I78:Q85" si="6">I77</f>
        <v>|</v>
      </c>
      <c r="J78">
        <f>J77+IF(J$76=$F78,1,0)</f>
        <v>1</v>
      </c>
      <c r="K78" t="str">
        <f t="shared" si="6"/>
        <v>|</v>
      </c>
      <c r="L78">
        <f>L77+IF(L$76=$F78,1,0)</f>
        <v>2</v>
      </c>
      <c r="M78" t="str">
        <f t="shared" si="6"/>
        <v>|</v>
      </c>
      <c r="N78">
        <f>N77+IF(N$76=$F78,1,0)</f>
        <v>1</v>
      </c>
      <c r="O78" t="str">
        <f t="shared" si="6"/>
        <v>|</v>
      </c>
      <c r="P78">
        <f>P77+IF(P$76=$F78,1,0)</f>
        <v>-2</v>
      </c>
      <c r="Q78" t="str">
        <f t="shared" si="6"/>
        <v>|</v>
      </c>
      <c r="S78" t="s">
        <v>13</v>
      </c>
    </row>
    <row r="79" spans="1:19" x14ac:dyDescent="0.15">
      <c r="A79" t="str">
        <f t="shared" si="4"/>
        <v>|Lv4|-2|1|2|2|-2|</v>
      </c>
      <c r="B79" t="s">
        <v>3</v>
      </c>
      <c r="C79" t="s">
        <v>8</v>
      </c>
      <c r="D79">
        <v>4</v>
      </c>
      <c r="E79" t="s">
        <v>3</v>
      </c>
      <c r="F79" t="str">
        <f t="shared" si="5"/>
        <v>赤</v>
      </c>
      <c r="G79" t="s">
        <v>3</v>
      </c>
      <c r="H79">
        <f t="shared" ref="H79:P84" si="7">H78+IF(H$76=$F79,1,0)</f>
        <v>-2</v>
      </c>
      <c r="I79" t="str">
        <f t="shared" si="6"/>
        <v>|</v>
      </c>
      <c r="J79">
        <f t="shared" si="7"/>
        <v>1</v>
      </c>
      <c r="K79" t="str">
        <f t="shared" si="6"/>
        <v>|</v>
      </c>
      <c r="L79">
        <f t="shared" si="7"/>
        <v>2</v>
      </c>
      <c r="M79" t="str">
        <f t="shared" si="6"/>
        <v>|</v>
      </c>
      <c r="N79">
        <f>N78+IF(N$76=$F79,1,0)</f>
        <v>2</v>
      </c>
      <c r="O79" t="str">
        <f t="shared" si="6"/>
        <v>|</v>
      </c>
      <c r="P79">
        <f t="shared" si="7"/>
        <v>-2</v>
      </c>
      <c r="Q79" t="str">
        <f t="shared" si="6"/>
        <v>|</v>
      </c>
      <c r="S79" t="s">
        <v>14</v>
      </c>
    </row>
    <row r="80" spans="1:19" x14ac:dyDescent="0.15">
      <c r="A80" t="str">
        <f t="shared" si="4"/>
        <v>|Lv8|-2|2|2|2|-2|</v>
      </c>
      <c r="B80" t="s">
        <v>3</v>
      </c>
      <c r="C80" t="s">
        <v>8</v>
      </c>
      <c r="D80">
        <v>8</v>
      </c>
      <c r="E80" t="s">
        <v>3</v>
      </c>
      <c r="F80" t="str">
        <f t="shared" si="5"/>
        <v>青</v>
      </c>
      <c r="G80" t="s">
        <v>3</v>
      </c>
      <c r="H80">
        <f t="shared" si="7"/>
        <v>-2</v>
      </c>
      <c r="I80" t="str">
        <f t="shared" si="6"/>
        <v>|</v>
      </c>
      <c r="J80">
        <f t="shared" si="7"/>
        <v>2</v>
      </c>
      <c r="K80" t="str">
        <f t="shared" si="6"/>
        <v>|</v>
      </c>
      <c r="L80">
        <f t="shared" si="7"/>
        <v>2</v>
      </c>
      <c r="M80" t="str">
        <f t="shared" si="6"/>
        <v>|</v>
      </c>
      <c r="N80">
        <f t="shared" si="7"/>
        <v>2</v>
      </c>
      <c r="O80" t="str">
        <f t="shared" si="6"/>
        <v>|</v>
      </c>
      <c r="P80">
        <f t="shared" si="7"/>
        <v>-2</v>
      </c>
      <c r="Q80" t="str">
        <f t="shared" si="6"/>
        <v>|</v>
      </c>
      <c r="S80" t="s">
        <v>15</v>
      </c>
    </row>
    <row r="81" spans="1:19" x14ac:dyDescent="0.15">
      <c r="A81" t="str">
        <f t="shared" si="4"/>
        <v>|Lv14|-2|3|2|2|-2|</v>
      </c>
      <c r="B81" t="s">
        <v>3</v>
      </c>
      <c r="C81" t="s">
        <v>8</v>
      </c>
      <c r="D81">
        <v>14</v>
      </c>
      <c r="E81" t="s">
        <v>3</v>
      </c>
      <c r="F81" t="str">
        <f t="shared" si="5"/>
        <v>青</v>
      </c>
      <c r="G81" t="s">
        <v>3</v>
      </c>
      <c r="H81">
        <f t="shared" si="7"/>
        <v>-2</v>
      </c>
      <c r="I81" t="str">
        <f t="shared" si="6"/>
        <v>|</v>
      </c>
      <c r="J81">
        <f t="shared" si="7"/>
        <v>3</v>
      </c>
      <c r="K81" t="str">
        <f t="shared" si="6"/>
        <v>|</v>
      </c>
      <c r="L81">
        <f t="shared" si="7"/>
        <v>2</v>
      </c>
      <c r="M81" t="str">
        <f t="shared" si="6"/>
        <v>|</v>
      </c>
      <c r="N81">
        <f t="shared" si="7"/>
        <v>2</v>
      </c>
      <c r="O81" t="str">
        <f t="shared" si="6"/>
        <v>|</v>
      </c>
      <c r="P81">
        <f>P80+IF(P$76=$F81,1,0)</f>
        <v>-2</v>
      </c>
      <c r="Q81" t="str">
        <f t="shared" si="6"/>
        <v>|</v>
      </c>
    </row>
    <row r="82" spans="1:19" x14ac:dyDescent="0.15">
      <c r="A82" t="str">
        <f t="shared" si="4"/>
        <v>|Lv26|-2|3|2|3|-2|</v>
      </c>
      <c r="B82" t="s">
        <v>3</v>
      </c>
      <c r="C82" t="s">
        <v>8</v>
      </c>
      <c r="D82">
        <v>26</v>
      </c>
      <c r="E82" t="s">
        <v>3</v>
      </c>
      <c r="F82" t="str">
        <f t="shared" si="5"/>
        <v>赤</v>
      </c>
      <c r="G82" t="s">
        <v>3</v>
      </c>
      <c r="H82">
        <f t="shared" si="7"/>
        <v>-2</v>
      </c>
      <c r="I82" t="str">
        <f t="shared" si="6"/>
        <v>|</v>
      </c>
      <c r="J82">
        <f t="shared" si="7"/>
        <v>3</v>
      </c>
      <c r="K82" t="str">
        <f t="shared" si="6"/>
        <v>|</v>
      </c>
      <c r="L82">
        <f t="shared" si="7"/>
        <v>2</v>
      </c>
      <c r="M82" t="str">
        <f t="shared" si="6"/>
        <v>|</v>
      </c>
      <c r="N82">
        <f t="shared" si="7"/>
        <v>3</v>
      </c>
      <c r="O82" t="str">
        <f t="shared" si="6"/>
        <v>|</v>
      </c>
      <c r="P82">
        <f t="shared" si="7"/>
        <v>-2</v>
      </c>
      <c r="Q82" t="str">
        <f t="shared" si="6"/>
        <v>|</v>
      </c>
    </row>
    <row r="83" spans="1:19" x14ac:dyDescent="0.15">
      <c r="A83" t="str">
        <f t="shared" si="4"/>
        <v>|Lv44|-2|3|3|3|-2|</v>
      </c>
      <c r="B83" t="s">
        <v>3</v>
      </c>
      <c r="C83" t="s">
        <v>8</v>
      </c>
      <c r="D83">
        <v>44</v>
      </c>
      <c r="E83" t="s">
        <v>3</v>
      </c>
      <c r="F83" t="str">
        <f t="shared" si="5"/>
        <v>黒</v>
      </c>
      <c r="G83" t="s">
        <v>3</v>
      </c>
      <c r="H83">
        <f t="shared" si="7"/>
        <v>-2</v>
      </c>
      <c r="I83" t="str">
        <f t="shared" si="6"/>
        <v>|</v>
      </c>
      <c r="J83">
        <f t="shared" si="7"/>
        <v>3</v>
      </c>
      <c r="K83" t="str">
        <f t="shared" si="6"/>
        <v>|</v>
      </c>
      <c r="L83">
        <f t="shared" si="7"/>
        <v>3</v>
      </c>
      <c r="M83" t="str">
        <f t="shared" si="6"/>
        <v>|</v>
      </c>
      <c r="N83">
        <f t="shared" si="7"/>
        <v>3</v>
      </c>
      <c r="O83" t="str">
        <f t="shared" si="6"/>
        <v>|</v>
      </c>
      <c r="P83">
        <f t="shared" si="7"/>
        <v>-2</v>
      </c>
      <c r="Q83" t="str">
        <f t="shared" si="6"/>
        <v>|</v>
      </c>
    </row>
    <row r="84" spans="1:19" x14ac:dyDescent="0.15">
      <c r="A84" t="str">
        <f t="shared" si="4"/>
        <v>|Lv50|-2|3|3|3|-1|</v>
      </c>
      <c r="B84" t="s">
        <v>3</v>
      </c>
      <c r="C84" t="s">
        <v>8</v>
      </c>
      <c r="D84">
        <v>50</v>
      </c>
      <c r="E84" t="s">
        <v>3</v>
      </c>
      <c r="F84" t="str">
        <f t="shared" si="5"/>
        <v>緑</v>
      </c>
      <c r="G84" t="s">
        <v>3</v>
      </c>
      <c r="H84">
        <f t="shared" si="7"/>
        <v>-2</v>
      </c>
      <c r="I84" t="str">
        <f t="shared" si="6"/>
        <v>|</v>
      </c>
      <c r="J84">
        <f t="shared" si="7"/>
        <v>3</v>
      </c>
      <c r="K84" t="str">
        <f t="shared" si="6"/>
        <v>|</v>
      </c>
      <c r="L84">
        <f t="shared" si="7"/>
        <v>3</v>
      </c>
      <c r="M84" t="str">
        <f t="shared" si="6"/>
        <v>|</v>
      </c>
      <c r="N84">
        <f t="shared" si="7"/>
        <v>3</v>
      </c>
      <c r="O84" t="str">
        <f t="shared" si="6"/>
        <v>|</v>
      </c>
      <c r="P84">
        <f>P83+IF(P$76=$F84,1,0)</f>
        <v>-1</v>
      </c>
      <c r="Q84" t="str">
        <f t="shared" si="6"/>
        <v>|</v>
      </c>
    </row>
    <row r="85" spans="1:19" x14ac:dyDescent="0.15">
      <c r="A85" t="str">
        <f>B85&amp;C85&amp;D85&amp;G85&amp;H85&amp;I85&amp;J85&amp;K85&amp;L85&amp;M85&amp;N85&amp;O85&amp;P85&amp;Q85&amp;R85</f>
        <v>|Lv60|-1|3|3|3|-1|</v>
      </c>
      <c r="B85" t="s">
        <v>3</v>
      </c>
      <c r="C85" t="s">
        <v>8</v>
      </c>
      <c r="D85">
        <v>60</v>
      </c>
      <c r="E85" t="s">
        <v>3</v>
      </c>
      <c r="F85" t="str">
        <f t="shared" si="5"/>
        <v>白</v>
      </c>
      <c r="G85" t="s">
        <v>3</v>
      </c>
      <c r="H85">
        <f>H84+IF(H$76=$F85,1,0)</f>
        <v>-1</v>
      </c>
      <c r="I85" t="str">
        <f t="shared" si="6"/>
        <v>|</v>
      </c>
      <c r="J85">
        <f>J84+IF(J$76=$F85,1,0)</f>
        <v>3</v>
      </c>
      <c r="K85" t="str">
        <f t="shared" si="6"/>
        <v>|</v>
      </c>
      <c r="L85">
        <f>L84+IF(L$76=$F85,1,0)</f>
        <v>3</v>
      </c>
      <c r="M85" t="str">
        <f t="shared" si="6"/>
        <v>|</v>
      </c>
      <c r="N85">
        <f>N84+IF(N$76=$F85,1,0)</f>
        <v>3</v>
      </c>
      <c r="O85" t="str">
        <f t="shared" si="6"/>
        <v>|</v>
      </c>
      <c r="P85">
        <f>P84+IF(P$76=$F85,1,0)</f>
        <v>-1</v>
      </c>
      <c r="Q85" t="str">
        <f t="shared" si="6"/>
        <v>|</v>
      </c>
    </row>
    <row r="86" spans="1:19" x14ac:dyDescent="0.15">
      <c r="A86" t="str">
        <f>B86&amp;C86&amp;D86&amp;E86&amp;F86&amp;G86&amp;H86&amp;I86&amp;J86&amp;K86&amp;L86&amp;M86&amp;N86&amp;O86&amp;P86</f>
        <v>&amp;br;</v>
      </c>
      <c r="B86" t="s">
        <v>0</v>
      </c>
    </row>
    <row r="87" spans="1:19" x14ac:dyDescent="0.15">
      <c r="A87" t="str">
        <f>B87&amp;C87&amp;D87&amp;E87&amp;F87&amp;G87&amp;H87&amp;I87&amp;J87&amp;K87&amp;L87&amp;M87&amp;N87&amp;O87&amp;P87</f>
        <v>&amp;br;</v>
      </c>
      <c r="B87" t="s">
        <v>0</v>
      </c>
    </row>
    <row r="88" spans="1:19" x14ac:dyDescent="0.15">
      <c r="A88" t="str">
        <f>B88&amp;C88&amp;D88&amp;E88&amp;F88&amp;G88&amp;H88&amp;I88&amp;J88&amp;K88&amp;L88&amp;M88&amp;N88&amp;O88&amp;P88</f>
        <v>*デッキ構築枚数上限 [#e6f382eb]</v>
      </c>
      <c r="B88" t="s">
        <v>16</v>
      </c>
    </row>
    <row r="89" spans="1:19" x14ac:dyDescent="0.15">
      <c r="A89" t="str">
        <f>B89&amp;C89&amp;D89&amp;E89&amp;F89&amp;G89&amp;H89&amp;I89&amp;J89&amp;K89&amp;L89&amp;M89&amp;N89&amp;O89&amp;P89</f>
        <v>構築枚数上限を越える枚数はデッキに入れられない。</v>
      </c>
      <c r="B89" t="s">
        <v>17</v>
      </c>
    </row>
    <row r="90" spans="1:19" x14ac:dyDescent="0.15">
      <c r="A90" t="str">
        <f t="shared" ref="A90:A99" si="8">B90&amp;C90&amp;D90&amp;G90&amp;H90&amp;I90&amp;J90&amp;K90&amp;L90&amp;M90&amp;N90&amp;O90&amp;P90&amp;Q90&amp;R90</f>
        <v>|LEFT:50|LEFT:80|LEFT:80|LEFT:80|c</v>
      </c>
      <c r="B90" t="s">
        <v>3</v>
      </c>
      <c r="C90" t="s">
        <v>4</v>
      </c>
      <c r="E90" t="s">
        <v>3</v>
      </c>
      <c r="G90" t="s">
        <v>3</v>
      </c>
      <c r="H90" t="s">
        <v>18</v>
      </c>
      <c r="I90" t="s">
        <v>3</v>
      </c>
      <c r="J90" t="s">
        <v>18</v>
      </c>
      <c r="K90" t="s">
        <v>3</v>
      </c>
      <c r="L90" t="s">
        <v>18</v>
      </c>
      <c r="M90" t="s">
        <v>3</v>
      </c>
      <c r="N90" t="s">
        <v>5</v>
      </c>
    </row>
    <row r="91" spans="1:19" x14ac:dyDescent="0.15">
      <c r="A91" t="str">
        <f t="shared" si="8"/>
        <v>|レベル|クリーチャー|呪文|サポート|</v>
      </c>
      <c r="B91" t="s">
        <v>3</v>
      </c>
      <c r="C91" t="s">
        <v>6</v>
      </c>
      <c r="E91" t="s">
        <v>3</v>
      </c>
      <c r="F91" t="s">
        <v>19</v>
      </c>
      <c r="G91" t="s">
        <v>3</v>
      </c>
      <c r="H91" t="s">
        <v>20</v>
      </c>
      <c r="I91" t="s">
        <v>3</v>
      </c>
      <c r="J91" t="s">
        <v>21</v>
      </c>
      <c r="K91" t="s">
        <v>3</v>
      </c>
      <c r="L91" t="s">
        <v>22</v>
      </c>
      <c r="M91" t="s">
        <v>3</v>
      </c>
      <c r="S91" t="s">
        <v>20</v>
      </c>
    </row>
    <row r="92" spans="1:19" x14ac:dyDescent="0.15">
      <c r="A92" t="str">
        <f t="shared" si="8"/>
        <v>|Lv1|4|4|3|</v>
      </c>
      <c r="B92" t="s">
        <v>3</v>
      </c>
      <c r="C92" t="s">
        <v>8</v>
      </c>
      <c r="D92">
        <v>1</v>
      </c>
      <c r="E92" t="s">
        <v>3</v>
      </c>
      <c r="G92" t="s">
        <v>3</v>
      </c>
      <c r="H92">
        <f>B209</f>
        <v>4</v>
      </c>
      <c r="I92" t="s">
        <v>3</v>
      </c>
      <c r="J92">
        <f>C209</f>
        <v>4</v>
      </c>
      <c r="K92" t="s">
        <v>3</v>
      </c>
      <c r="L92">
        <f>D209</f>
        <v>3</v>
      </c>
      <c r="M92" t="s">
        <v>3</v>
      </c>
      <c r="S92" t="s">
        <v>21</v>
      </c>
    </row>
    <row r="93" spans="1:19" x14ac:dyDescent="0.15">
      <c r="A93" t="str">
        <f t="shared" si="8"/>
        <v>|Lv10|4|5|3|</v>
      </c>
      <c r="B93" t="s">
        <v>3</v>
      </c>
      <c r="C93" t="s">
        <v>8</v>
      </c>
      <c r="D93">
        <v>10</v>
      </c>
      <c r="E93" t="s">
        <v>3</v>
      </c>
      <c r="F93" t="str">
        <f t="shared" ref="F93:F99" si="9">IF(ISBLANK(D93),"",INDEX($F$132:$F$191,D93))</f>
        <v>呪文</v>
      </c>
      <c r="G93" t="s">
        <v>3</v>
      </c>
      <c r="H93">
        <f t="shared" ref="H93:H99" si="10">H92+IF(H$91=$F93,INDEX($H$132:$H$191,D93),0)</f>
        <v>4</v>
      </c>
      <c r="I93" t="s">
        <v>3</v>
      </c>
      <c r="J93">
        <f t="shared" ref="J93:J99" si="11">J92+IF(J$91=$F93,INDEX($H$132:$H$191,D93),0)</f>
        <v>5</v>
      </c>
      <c r="K93" t="s">
        <v>3</v>
      </c>
      <c r="L93">
        <f t="shared" ref="L93:L99" si="12">L92+IF(L$91=$F93,INDEX($H$132:$H$191,D93),0)</f>
        <v>3</v>
      </c>
      <c r="M93" t="s">
        <v>3</v>
      </c>
      <c r="S93" t="s">
        <v>22</v>
      </c>
    </row>
    <row r="94" spans="1:19" x14ac:dyDescent="0.15">
      <c r="A94" t="str">
        <f t="shared" si="8"/>
        <v>|Lv22|4|6|3|</v>
      </c>
      <c r="B94" t="s">
        <v>3</v>
      </c>
      <c r="C94" t="s">
        <v>8</v>
      </c>
      <c r="D94">
        <v>22</v>
      </c>
      <c r="E94" t="s">
        <v>3</v>
      </c>
      <c r="F94" t="str">
        <f t="shared" si="9"/>
        <v>呪文</v>
      </c>
      <c r="G94" t="s">
        <v>3</v>
      </c>
      <c r="H94">
        <f t="shared" si="10"/>
        <v>4</v>
      </c>
      <c r="I94" t="s">
        <v>3</v>
      </c>
      <c r="J94">
        <f t="shared" si="11"/>
        <v>6</v>
      </c>
      <c r="K94" t="s">
        <v>3</v>
      </c>
      <c r="L94">
        <f t="shared" si="12"/>
        <v>3</v>
      </c>
      <c r="M94" t="s">
        <v>3</v>
      </c>
    </row>
    <row r="95" spans="1:19" x14ac:dyDescent="0.15">
      <c r="A95" t="str">
        <f t="shared" si="8"/>
        <v>|Lv28|4|6|4|</v>
      </c>
      <c r="B95" t="s">
        <v>3</v>
      </c>
      <c r="C95" t="s">
        <v>8</v>
      </c>
      <c r="D95">
        <v>28</v>
      </c>
      <c r="E95" t="s">
        <v>3</v>
      </c>
      <c r="F95" t="str">
        <f t="shared" si="9"/>
        <v>サポート</v>
      </c>
      <c r="G95" t="s">
        <v>3</v>
      </c>
      <c r="H95">
        <f t="shared" si="10"/>
        <v>4</v>
      </c>
      <c r="I95" t="s">
        <v>3</v>
      </c>
      <c r="J95">
        <f t="shared" si="11"/>
        <v>6</v>
      </c>
      <c r="K95" t="s">
        <v>3</v>
      </c>
      <c r="L95">
        <f t="shared" si="12"/>
        <v>4</v>
      </c>
      <c r="M95" t="s">
        <v>3</v>
      </c>
    </row>
    <row r="96" spans="1:19" x14ac:dyDescent="0.15">
      <c r="A96" t="str">
        <f t="shared" si="8"/>
        <v>|Lv38|5|6|4|</v>
      </c>
      <c r="B96" t="s">
        <v>3</v>
      </c>
      <c r="C96" t="s">
        <v>8</v>
      </c>
      <c r="D96">
        <v>38</v>
      </c>
      <c r="E96" t="s">
        <v>3</v>
      </c>
      <c r="F96" t="str">
        <f t="shared" si="9"/>
        <v>クリーチャー</v>
      </c>
      <c r="G96" t="s">
        <v>3</v>
      </c>
      <c r="H96">
        <f t="shared" si="10"/>
        <v>5</v>
      </c>
      <c r="I96" t="s">
        <v>3</v>
      </c>
      <c r="J96">
        <f t="shared" si="11"/>
        <v>6</v>
      </c>
      <c r="K96" t="s">
        <v>3</v>
      </c>
      <c r="L96">
        <f t="shared" si="12"/>
        <v>4</v>
      </c>
      <c r="M96" t="s">
        <v>3</v>
      </c>
    </row>
    <row r="97" spans="1:18" x14ac:dyDescent="0.15">
      <c r="A97" t="str">
        <f t="shared" si="8"/>
        <v>|Lv42|5|6|5|</v>
      </c>
      <c r="B97" t="s">
        <v>3</v>
      </c>
      <c r="C97" t="s">
        <v>8</v>
      </c>
      <c r="D97">
        <v>42</v>
      </c>
      <c r="E97" t="s">
        <v>3</v>
      </c>
      <c r="F97" t="str">
        <f t="shared" si="9"/>
        <v>サポート</v>
      </c>
      <c r="G97" t="s">
        <v>3</v>
      </c>
      <c r="H97">
        <f t="shared" si="10"/>
        <v>5</v>
      </c>
      <c r="I97" t="s">
        <v>3</v>
      </c>
      <c r="J97">
        <f t="shared" si="11"/>
        <v>6</v>
      </c>
      <c r="K97" t="s">
        <v>3</v>
      </c>
      <c r="L97">
        <f t="shared" si="12"/>
        <v>5</v>
      </c>
      <c r="M97" t="s">
        <v>3</v>
      </c>
    </row>
    <row r="98" spans="1:18" x14ac:dyDescent="0.15">
      <c r="A98" t="str">
        <f t="shared" si="8"/>
        <v>|Lv48|5|7|5|</v>
      </c>
      <c r="B98" t="s">
        <v>3</v>
      </c>
      <c r="C98" t="s">
        <v>8</v>
      </c>
      <c r="D98">
        <v>48</v>
      </c>
      <c r="E98" t="s">
        <v>3</v>
      </c>
      <c r="F98" t="str">
        <f t="shared" si="9"/>
        <v>呪文</v>
      </c>
      <c r="G98" t="s">
        <v>3</v>
      </c>
      <c r="H98">
        <f t="shared" si="10"/>
        <v>5</v>
      </c>
      <c r="I98" t="s">
        <v>3</v>
      </c>
      <c r="J98">
        <f t="shared" si="11"/>
        <v>7</v>
      </c>
      <c r="K98" t="s">
        <v>3</v>
      </c>
      <c r="L98">
        <f t="shared" si="12"/>
        <v>5</v>
      </c>
      <c r="M98" t="s">
        <v>3</v>
      </c>
    </row>
    <row r="99" spans="1:18" x14ac:dyDescent="0.15">
      <c r="A99" t="str">
        <f t="shared" si="8"/>
        <v>|Lv59|5|8|5|</v>
      </c>
      <c r="B99" t="s">
        <v>3</v>
      </c>
      <c r="C99" t="s">
        <v>8</v>
      </c>
      <c r="D99">
        <v>59</v>
      </c>
      <c r="E99" t="s">
        <v>3</v>
      </c>
      <c r="F99" t="str">
        <f t="shared" si="9"/>
        <v>呪文</v>
      </c>
      <c r="G99" t="s">
        <v>3</v>
      </c>
      <c r="H99">
        <f t="shared" si="10"/>
        <v>5</v>
      </c>
      <c r="I99" t="s">
        <v>3</v>
      </c>
      <c r="J99">
        <f t="shared" si="11"/>
        <v>8</v>
      </c>
      <c r="K99" t="s">
        <v>3</v>
      </c>
      <c r="L99">
        <f t="shared" si="12"/>
        <v>5</v>
      </c>
      <c r="M99" t="s">
        <v>3</v>
      </c>
    </row>
    <row r="100" spans="1:18" x14ac:dyDescent="0.15">
      <c r="A100" t="str">
        <f t="shared" ref="A100:A163" si="13">B100&amp;C100&amp;D100&amp;E100&amp;F100&amp;G100&amp;H100&amp;I100&amp;J100&amp;K100&amp;L100&amp;M100&amp;N100&amp;O100&amp;P100</f>
        <v>&amp;br;</v>
      </c>
      <c r="B100" t="s">
        <v>0</v>
      </c>
    </row>
    <row r="101" spans="1:18" x14ac:dyDescent="0.15">
      <c r="A101" t="str">
        <f t="shared" si="13"/>
        <v>&amp;br;</v>
      </c>
      <c r="B101" t="s">
        <v>0</v>
      </c>
    </row>
    <row r="102" spans="1:18" x14ac:dyDescent="0.15">
      <c r="A102" t="str">
        <f t="shared" si="13"/>
        <v>*PW能力一覧 [#a469e89f]</v>
      </c>
      <c r="B102" t="s">
        <v>23</v>
      </c>
    </row>
    <row r="103" spans="1:18" x14ac:dyDescent="0.15">
      <c r="A103" t="str">
        <f t="shared" si="13"/>
        <v>**第1能力：蠍の一刺し/Scorpion's Sting</v>
      </c>
      <c r="B103" t="s">
        <v>24</v>
      </c>
      <c r="D103" t="s">
        <v>586</v>
      </c>
      <c r="E103" t="s">
        <v>25</v>
      </c>
      <c r="F103" t="s">
        <v>808</v>
      </c>
      <c r="R103" t="str">
        <f>D103&amp;E103&amp;F103</f>
        <v>蠍の一刺し/Scorpion's Sting</v>
      </c>
    </row>
    <row r="104" spans="1:18" x14ac:dyDescent="0.15">
      <c r="A104" t="str">
        <f t="shared" si="13"/>
        <v>|LEFT:50|LEFT:50|LEFT:50|LEFT:300|c</v>
      </c>
      <c r="B104" t="s">
        <v>3</v>
      </c>
      <c r="C104" t="s">
        <v>4</v>
      </c>
      <c r="E104" t="s">
        <v>3</v>
      </c>
      <c r="F104" t="s">
        <v>4</v>
      </c>
      <c r="G104" t="s">
        <v>3</v>
      </c>
      <c r="H104" t="s">
        <v>4</v>
      </c>
      <c r="I104" t="s">
        <v>3</v>
      </c>
      <c r="J104" t="s">
        <v>26</v>
      </c>
      <c r="K104" t="s">
        <v>3</v>
      </c>
      <c r="L104" t="s">
        <v>5</v>
      </c>
    </row>
    <row r="105" spans="1:18" x14ac:dyDescent="0.15">
      <c r="A105" t="str">
        <f t="shared" si="13"/>
        <v>|解放Lv|レベル|コスト|効果|</v>
      </c>
      <c r="B105" t="s">
        <v>3</v>
      </c>
      <c r="C105" t="s">
        <v>27</v>
      </c>
      <c r="E105" t="s">
        <v>3</v>
      </c>
      <c r="F105" t="s">
        <v>6</v>
      </c>
      <c r="G105" t="s">
        <v>3</v>
      </c>
      <c r="H105" t="s">
        <v>28</v>
      </c>
      <c r="I105" t="s">
        <v>3</v>
      </c>
      <c r="J105" t="s">
        <v>29</v>
      </c>
      <c r="K105" t="s">
        <v>3</v>
      </c>
    </row>
    <row r="106" spans="1:18" x14ac:dyDescent="0.15">
      <c r="A106" t="str">
        <f t="shared" si="13"/>
        <v>|Lv6|Lv1|9|対戦相手がコントロールするクリーチャー1体を対象とし、-1/-1の修正を与える。|</v>
      </c>
      <c r="B106" t="s">
        <v>3</v>
      </c>
      <c r="C106" t="s">
        <v>8</v>
      </c>
      <c r="D106">
        <v>6</v>
      </c>
      <c r="E106" t="s">
        <v>3</v>
      </c>
      <c r="F106" t="s">
        <v>30</v>
      </c>
      <c r="G106" t="s">
        <v>3</v>
      </c>
      <c r="H106">
        <v>9</v>
      </c>
      <c r="I106" t="s">
        <v>3</v>
      </c>
      <c r="J106" s="8" t="s">
        <v>811</v>
      </c>
      <c r="K106" t="s">
        <v>3</v>
      </c>
    </row>
    <row r="107" spans="1:18" x14ac:dyDescent="0.15">
      <c r="A107" t="str">
        <f t="shared" si="13"/>
        <v>|Lv24|Lv2|9|対戦相手がコントロールするクリーチャー1体を対象とし、-2/-2の修正を与える。|</v>
      </c>
      <c r="B107" t="s">
        <v>3</v>
      </c>
      <c r="C107" t="s">
        <v>8</v>
      </c>
      <c r="D107">
        <v>24</v>
      </c>
      <c r="E107" t="s">
        <v>3</v>
      </c>
      <c r="F107" t="s">
        <v>31</v>
      </c>
      <c r="G107" t="s">
        <v>3</v>
      </c>
      <c r="H107">
        <f>H106</f>
        <v>9</v>
      </c>
      <c r="I107" t="s">
        <v>3</v>
      </c>
      <c r="J107" s="8" t="s">
        <v>812</v>
      </c>
      <c r="K107" t="s">
        <v>3</v>
      </c>
    </row>
    <row r="108" spans="1:18" x14ac:dyDescent="0.15">
      <c r="A108" t="str">
        <f t="shared" si="13"/>
        <v>|Lv36|Lv3|9|対戦相手がコントロールするクリーチャー1体を対象とし、-3/-3の修正を与える。|</v>
      </c>
      <c r="B108" t="s">
        <v>3</v>
      </c>
      <c r="C108" t="s">
        <v>8</v>
      </c>
      <c r="D108">
        <v>36</v>
      </c>
      <c r="E108" t="s">
        <v>3</v>
      </c>
      <c r="F108" t="s">
        <v>32</v>
      </c>
      <c r="G108" t="s">
        <v>3</v>
      </c>
      <c r="H108">
        <f>H107</f>
        <v>9</v>
      </c>
      <c r="I108" t="s">
        <v>3</v>
      </c>
      <c r="J108" s="8" t="s">
        <v>813</v>
      </c>
      <c r="K108" t="s">
        <v>3</v>
      </c>
    </row>
    <row r="109" spans="1:18" x14ac:dyDescent="0.15">
      <c r="A109" t="str">
        <f t="shared" si="13"/>
        <v>|Lv52|Lv4|9|対戦相手がコントロールするクリーチャー1体を対象とし、それを破壊する。|</v>
      </c>
      <c r="B109" t="s">
        <v>3</v>
      </c>
      <c r="C109" t="s">
        <v>8</v>
      </c>
      <c r="D109">
        <v>52</v>
      </c>
      <c r="E109" t="s">
        <v>3</v>
      </c>
      <c r="F109" t="s">
        <v>33</v>
      </c>
      <c r="G109" t="s">
        <v>3</v>
      </c>
      <c r="H109">
        <f>H108</f>
        <v>9</v>
      </c>
      <c r="I109" t="s">
        <v>3</v>
      </c>
      <c r="J109" s="8" t="s">
        <v>806</v>
      </c>
      <c r="K109" t="s">
        <v>3</v>
      </c>
    </row>
    <row r="110" spans="1:18" x14ac:dyDescent="0.15">
      <c r="A110" t="str">
        <f t="shared" si="13"/>
        <v>&amp;br;</v>
      </c>
      <c r="B110" t="s">
        <v>0</v>
      </c>
    </row>
    <row r="111" spans="1:18" x14ac:dyDescent="0.15">
      <c r="A111" t="str">
        <f t="shared" si="13"/>
        <v>&amp;br;</v>
      </c>
      <c r="B111" t="s">
        <v>0</v>
      </c>
    </row>
    <row r="112" spans="1:18" x14ac:dyDescent="0.15">
      <c r="A112" t="str">
        <f t="shared" si="13"/>
        <v>**第2能力：蝗の疫病/Plague of Locusts</v>
      </c>
      <c r="B112" t="s">
        <v>34</v>
      </c>
      <c r="D112" t="s">
        <v>588</v>
      </c>
      <c r="E112" t="s">
        <v>25</v>
      </c>
      <c r="F112" t="s">
        <v>809</v>
      </c>
      <c r="R112" t="str">
        <f>D112&amp;E112&amp;F112</f>
        <v>蝗の疫病/Plague of Locusts</v>
      </c>
    </row>
    <row r="113" spans="1:18" x14ac:dyDescent="0.15">
      <c r="A113" t="str">
        <f t="shared" si="13"/>
        <v>|LEFT:50|LEFT:50|LEFT:50|LEFT:300|c</v>
      </c>
      <c r="B113" t="s">
        <v>3</v>
      </c>
      <c r="C113" t="s">
        <v>4</v>
      </c>
      <c r="E113" t="s">
        <v>3</v>
      </c>
      <c r="F113" t="s">
        <v>4</v>
      </c>
      <c r="G113" t="s">
        <v>3</v>
      </c>
      <c r="H113" t="s">
        <v>4</v>
      </c>
      <c r="I113" t="s">
        <v>3</v>
      </c>
      <c r="J113" t="s">
        <v>26</v>
      </c>
      <c r="K113" t="s">
        <v>3</v>
      </c>
      <c r="L113" t="s">
        <v>5</v>
      </c>
    </row>
    <row r="114" spans="1:18" x14ac:dyDescent="0.15">
      <c r="A114" t="str">
        <f t="shared" si="13"/>
        <v>|解放Lv|レベル|コスト|効果|</v>
      </c>
      <c r="B114" t="s">
        <v>3</v>
      </c>
      <c r="C114" t="s">
        <v>27</v>
      </c>
      <c r="E114" t="s">
        <v>3</v>
      </c>
      <c r="F114" t="s">
        <v>6</v>
      </c>
      <c r="G114" t="s">
        <v>3</v>
      </c>
      <c r="H114" t="s">
        <v>28</v>
      </c>
      <c r="I114" t="s">
        <v>3</v>
      </c>
      <c r="J114" t="s">
        <v>29</v>
      </c>
      <c r="K114" t="s">
        <v>3</v>
      </c>
    </row>
    <row r="115" spans="1:18" x14ac:dyDescent="0.15">
      <c r="A115" t="str">
        <f t="shared" si="13"/>
        <v>|Lv12|Lv1|15|あなたはカードを1枚引き、2/2のゾンビ・トークンを1体召喚する|</v>
      </c>
      <c r="B115" t="s">
        <v>3</v>
      </c>
      <c r="C115" t="s">
        <v>8</v>
      </c>
      <c r="D115">
        <v>12</v>
      </c>
      <c r="E115" t="s">
        <v>3</v>
      </c>
      <c r="F115" t="s">
        <v>30</v>
      </c>
      <c r="G115" t="s">
        <v>3</v>
      </c>
      <c r="H115">
        <v>15</v>
      </c>
      <c r="I115" t="s">
        <v>3</v>
      </c>
      <c r="J115" s="8" t="s">
        <v>814</v>
      </c>
      <c r="K115" t="s">
        <v>3</v>
      </c>
    </row>
    <row r="116" spans="1:18" x14ac:dyDescent="0.15">
      <c r="A116" t="str">
        <f t="shared" si="13"/>
        <v>|Lv30|Lv2|15|あなたはカードを1枚引き、2/2のゾンビ・トークンを2体召喚する|</v>
      </c>
      <c r="B116" t="s">
        <v>3</v>
      </c>
      <c r="C116" t="s">
        <v>8</v>
      </c>
      <c r="D116">
        <v>30</v>
      </c>
      <c r="E116" t="s">
        <v>3</v>
      </c>
      <c r="F116" t="s">
        <v>31</v>
      </c>
      <c r="G116" t="s">
        <v>3</v>
      </c>
      <c r="H116">
        <f>H115</f>
        <v>15</v>
      </c>
      <c r="I116" t="s">
        <v>3</v>
      </c>
      <c r="J116" s="8" t="s">
        <v>815</v>
      </c>
      <c r="K116" t="s">
        <v>3</v>
      </c>
    </row>
    <row r="117" spans="1:18" x14ac:dyDescent="0.15">
      <c r="A117" t="str">
        <f t="shared" si="13"/>
        <v>|Lv40|Lv3|15|あなたはカードを2枚引き、2/2のゾンビ・トークンを3体召喚する|</v>
      </c>
      <c r="B117" t="s">
        <v>3</v>
      </c>
      <c r="C117" t="s">
        <v>8</v>
      </c>
      <c r="D117">
        <v>40</v>
      </c>
      <c r="E117" t="s">
        <v>3</v>
      </c>
      <c r="F117" t="s">
        <v>32</v>
      </c>
      <c r="G117" t="s">
        <v>3</v>
      </c>
      <c r="H117">
        <f>H116</f>
        <v>15</v>
      </c>
      <c r="I117" t="s">
        <v>3</v>
      </c>
      <c r="J117" s="8" t="s">
        <v>816</v>
      </c>
      <c r="K117" t="s">
        <v>3</v>
      </c>
    </row>
    <row r="118" spans="1:18" x14ac:dyDescent="0.15">
      <c r="A118" t="str">
        <f t="shared" si="13"/>
        <v>|Lv56|Lv4|15|あなたはカードを2枚引き、2/2のゾンビ・トークンを4体召喚する|</v>
      </c>
      <c r="B118" t="s">
        <v>3</v>
      </c>
      <c r="C118" t="s">
        <v>8</v>
      </c>
      <c r="D118">
        <v>56</v>
      </c>
      <c r="E118" t="s">
        <v>3</v>
      </c>
      <c r="F118" t="s">
        <v>33</v>
      </c>
      <c r="G118" t="s">
        <v>3</v>
      </c>
      <c r="H118">
        <f>H117</f>
        <v>15</v>
      </c>
      <c r="I118" t="s">
        <v>3</v>
      </c>
      <c r="J118" t="s">
        <v>589</v>
      </c>
      <c r="K118" t="s">
        <v>3</v>
      </c>
    </row>
    <row r="119" spans="1:18" x14ac:dyDescent="0.15">
      <c r="A119" t="str">
        <f t="shared" si="13"/>
        <v>&amp;br;</v>
      </c>
      <c r="B119" t="s">
        <v>0</v>
      </c>
    </row>
    <row r="120" spans="1:18" x14ac:dyDescent="0.15">
      <c r="A120" t="str">
        <f t="shared" si="13"/>
        <v>&amp;br;</v>
      </c>
      <c r="B120" t="s">
        <v>0</v>
      </c>
    </row>
    <row r="121" spans="1:18" x14ac:dyDescent="0.15">
      <c r="A121" t="str">
        <f t="shared" si="13"/>
        <v>**第3能力：スカラベの呼び声/Call of the Scarab</v>
      </c>
      <c r="B121" t="s">
        <v>35</v>
      </c>
      <c r="D121" t="s">
        <v>591</v>
      </c>
      <c r="E121" t="s">
        <v>25</v>
      </c>
      <c r="F121" t="s">
        <v>810</v>
      </c>
      <c r="R121" t="str">
        <f>D121&amp;E121&amp;F121</f>
        <v>スカラベの呼び声/Call of the Scarab</v>
      </c>
    </row>
    <row r="122" spans="1:18" x14ac:dyDescent="0.15">
      <c r="A122" t="str">
        <f t="shared" si="13"/>
        <v>|LEFT:50|LEFT:50|LEFT:50|LEFT:300|c</v>
      </c>
      <c r="B122" t="s">
        <v>3</v>
      </c>
      <c r="C122" t="s">
        <v>4</v>
      </c>
      <c r="E122" t="s">
        <v>3</v>
      </c>
      <c r="F122" t="s">
        <v>4</v>
      </c>
      <c r="G122" t="s">
        <v>3</v>
      </c>
      <c r="H122" t="s">
        <v>4</v>
      </c>
      <c r="I122" t="s">
        <v>3</v>
      </c>
      <c r="J122" t="s">
        <v>26</v>
      </c>
      <c r="K122" t="s">
        <v>3</v>
      </c>
      <c r="L122" t="s">
        <v>5</v>
      </c>
    </row>
    <row r="123" spans="1:18" x14ac:dyDescent="0.15">
      <c r="A123" t="str">
        <f t="shared" si="13"/>
        <v>|解放Lv|レベル|コスト|効果|</v>
      </c>
      <c r="B123" t="s">
        <v>3</v>
      </c>
      <c r="C123" t="s">
        <v>27</v>
      </c>
      <c r="E123" t="s">
        <v>3</v>
      </c>
      <c r="F123" t="s">
        <v>6</v>
      </c>
      <c r="G123" t="s">
        <v>3</v>
      </c>
      <c r="H123" t="s">
        <v>28</v>
      </c>
      <c r="I123" t="s">
        <v>3</v>
      </c>
      <c r="J123" t="s">
        <v>29</v>
      </c>
      <c r="K123" t="s">
        <v>3</v>
      </c>
    </row>
    <row r="124" spans="1:18" x14ac:dyDescent="0.15">
      <c r="A124" t="str">
        <f t="shared" si="13"/>
        <v>|Lv16|Lv1|21|あなたの墓地に置かれた最後のクリーチャーはゾンビを得て戦場に戻る。その後、対戦相手はX点のダメージを受ける。Xはあなたがコントロールするゾンビの総数に等しい。|</v>
      </c>
      <c r="B124" t="s">
        <v>3</v>
      </c>
      <c r="C124" t="s">
        <v>8</v>
      </c>
      <c r="D124">
        <v>16</v>
      </c>
      <c r="E124" t="s">
        <v>3</v>
      </c>
      <c r="F124" t="s">
        <v>30</v>
      </c>
      <c r="G124" t="s">
        <v>3</v>
      </c>
      <c r="H124">
        <v>21</v>
      </c>
      <c r="I124" t="s">
        <v>3</v>
      </c>
      <c r="J124" s="8" t="s">
        <v>817</v>
      </c>
      <c r="K124" t="s">
        <v>3</v>
      </c>
    </row>
    <row r="125" spans="1:18" x14ac:dyDescent="0.15">
      <c r="A125" t="str">
        <f t="shared" si="13"/>
        <v>|Lv34|Lv2|21|あなたの墓地に置かれた最後のクリーチャーはゾンビを得て戦場に戻る。その後、対戦相手はX点のダメージを受ける。Xはあなたがコントロールするゾンビの総数の3倍に等しい。|</v>
      </c>
      <c r="B125" t="s">
        <v>3</v>
      </c>
      <c r="C125" t="s">
        <v>8</v>
      </c>
      <c r="D125">
        <v>34</v>
      </c>
      <c r="E125" t="s">
        <v>3</v>
      </c>
      <c r="F125" t="s">
        <v>31</v>
      </c>
      <c r="G125" t="s">
        <v>3</v>
      </c>
      <c r="H125">
        <f>H124</f>
        <v>21</v>
      </c>
      <c r="I125" t="s">
        <v>3</v>
      </c>
      <c r="J125" s="8" t="s">
        <v>818</v>
      </c>
      <c r="K125" t="s">
        <v>3</v>
      </c>
    </row>
    <row r="126" spans="1:18" x14ac:dyDescent="0.15">
      <c r="A126" t="str">
        <f t="shared" si="13"/>
        <v>|Lv46|Lv3|21|あなたの墓地に置かれた最後のクリーチャーはゾンビを得て戦場に戻る。その後、対戦相手はX点のダメージを受ける。Xはあなたがコントロールするゾンビの総数の6倍に等しい。|</v>
      </c>
      <c r="B126" t="s">
        <v>3</v>
      </c>
      <c r="C126" t="s">
        <v>8</v>
      </c>
      <c r="D126">
        <v>46</v>
      </c>
      <c r="E126" t="s">
        <v>3</v>
      </c>
      <c r="F126" t="s">
        <v>32</v>
      </c>
      <c r="G126" t="s">
        <v>3</v>
      </c>
      <c r="H126">
        <f>H125</f>
        <v>21</v>
      </c>
      <c r="I126" t="s">
        <v>3</v>
      </c>
      <c r="J126" s="8" t="s">
        <v>819</v>
      </c>
      <c r="K126" t="s">
        <v>3</v>
      </c>
    </row>
    <row r="127" spans="1:18" x14ac:dyDescent="0.15">
      <c r="A127" t="str">
        <f t="shared" si="13"/>
        <v>|Lv58|Lv4|21|あなたの墓地に置かれた最後のクリーチャーはゾンビを得て戦場に戻る。その後、対戦相手はX点のダメージを受ける。Xはあなたがコントロールするゾンビの総数の9倍に等しい。|</v>
      </c>
      <c r="B127" t="s">
        <v>3</v>
      </c>
      <c r="C127" t="s">
        <v>8</v>
      </c>
      <c r="D127">
        <v>58</v>
      </c>
      <c r="E127" t="s">
        <v>3</v>
      </c>
      <c r="F127" t="s">
        <v>33</v>
      </c>
      <c r="G127" t="s">
        <v>3</v>
      </c>
      <c r="H127">
        <f>H126</f>
        <v>21</v>
      </c>
      <c r="I127" t="s">
        <v>3</v>
      </c>
      <c r="J127" t="s">
        <v>807</v>
      </c>
      <c r="K127" t="s">
        <v>3</v>
      </c>
    </row>
    <row r="128" spans="1:18" x14ac:dyDescent="0.15">
      <c r="A128" t="str">
        <f t="shared" si="13"/>
        <v>&amp;br;</v>
      </c>
      <c r="B128" t="s">
        <v>0</v>
      </c>
    </row>
    <row r="129" spans="1:19" x14ac:dyDescent="0.15">
      <c r="A129" t="str">
        <f t="shared" si="13"/>
        <v>&amp;br;</v>
      </c>
      <c r="B129" t="s">
        <v>0</v>
      </c>
    </row>
    <row r="130" spans="1:19" x14ac:dyDescent="0.15">
      <c r="A130" t="str">
        <f t="shared" si="13"/>
        <v>*レベルアップ報酬一覧</v>
      </c>
      <c r="B130" s="8" t="s">
        <v>666</v>
      </c>
      <c r="S130" s="8" t="s">
        <v>720</v>
      </c>
    </row>
    <row r="131" spans="1:19" x14ac:dyDescent="0.15">
      <c r="A131" t="str">
        <f t="shared" si="13"/>
        <v>|LEFT:50|LEFT:100|c</v>
      </c>
      <c r="B131" t="s">
        <v>3</v>
      </c>
      <c r="C131" t="s">
        <v>4</v>
      </c>
      <c r="E131" t="s">
        <v>3</v>
      </c>
      <c r="F131" t="s">
        <v>37</v>
      </c>
      <c r="I131" t="s">
        <v>3</v>
      </c>
      <c r="J131" t="s">
        <v>5</v>
      </c>
      <c r="R131" s="8" t="s">
        <v>654</v>
      </c>
    </row>
    <row r="132" spans="1:19" x14ac:dyDescent="0.15">
      <c r="A132" t="str">
        <f t="shared" si="13"/>
        <v>|レベル|報酬|</v>
      </c>
      <c r="B132" t="s">
        <v>3</v>
      </c>
      <c r="C132" t="s">
        <v>6</v>
      </c>
      <c r="E132" t="s">
        <v>3</v>
      </c>
      <c r="F132" t="s">
        <v>38</v>
      </c>
      <c r="I132" t="s">
        <v>3</v>
      </c>
      <c r="Q132" t="s">
        <v>7</v>
      </c>
      <c r="R132">
        <v>5</v>
      </c>
      <c r="S132">
        <v>2</v>
      </c>
    </row>
    <row r="133" spans="1:19" x14ac:dyDescent="0.15">
      <c r="A133" t="str">
        <f t="shared" si="13"/>
        <v>|Lｖ2|黒+1|</v>
      </c>
      <c r="B133" t="s">
        <v>3</v>
      </c>
      <c r="C133" t="s">
        <v>39</v>
      </c>
      <c r="D133">
        <v>2</v>
      </c>
      <c r="E133" t="s">
        <v>3</v>
      </c>
      <c r="F133" t="s">
        <v>13</v>
      </c>
      <c r="G133" t="str">
        <f>IF(OR(F133=$Q$141,F133=$Q$142,F133=$Q$143,F133=$Q$144,ISBLANK(F133)),"","+")</f>
        <v>+</v>
      </c>
      <c r="H133">
        <v>1</v>
      </c>
      <c r="I133" t="s">
        <v>3</v>
      </c>
      <c r="Q133" t="s">
        <v>20</v>
      </c>
      <c r="R133">
        <v>1</v>
      </c>
    </row>
    <row r="134" spans="1:19" x14ac:dyDescent="0.15">
      <c r="A134" t="str">
        <f t="shared" si="13"/>
        <v>|Lｖ3|HP+1|</v>
      </c>
      <c r="B134" t="s">
        <v>3</v>
      </c>
      <c r="C134" t="s">
        <v>39</v>
      </c>
      <c r="D134">
        <v>3</v>
      </c>
      <c r="E134" t="s">
        <v>3</v>
      </c>
      <c r="F134" t="s">
        <v>7</v>
      </c>
      <c r="G134" t="str">
        <f t="shared" ref="G134:G191" si="14">IF(OR(F134=$Q$141,F134=$Q$142,F134=$Q$143,F134=$Q$144,ISBLANK(F134)),"","+")</f>
        <v>+</v>
      </c>
      <c r="H134">
        <v>1</v>
      </c>
      <c r="I134" t="s">
        <v>3</v>
      </c>
      <c r="Q134" t="s">
        <v>21</v>
      </c>
      <c r="R134">
        <v>1</v>
      </c>
    </row>
    <row r="135" spans="1:19" x14ac:dyDescent="0.15">
      <c r="A135" t="str">
        <f t="shared" si="13"/>
        <v>|Lｖ4|赤+1|</v>
      </c>
      <c r="B135" t="s">
        <v>3</v>
      </c>
      <c r="C135" t="s">
        <v>39</v>
      </c>
      <c r="D135">
        <v>4</v>
      </c>
      <c r="E135" t="s">
        <v>3</v>
      </c>
      <c r="F135" t="s">
        <v>14</v>
      </c>
      <c r="G135" t="str">
        <f t="shared" si="14"/>
        <v>+</v>
      </c>
      <c r="H135">
        <v>1</v>
      </c>
      <c r="I135" t="s">
        <v>3</v>
      </c>
      <c r="Q135" t="s">
        <v>22</v>
      </c>
      <c r="R135">
        <v>1</v>
      </c>
    </row>
    <row r="136" spans="1:19" x14ac:dyDescent="0.15">
      <c r="A136" t="str">
        <f t="shared" si="13"/>
        <v>|Lｖ5|HP+1|</v>
      </c>
      <c r="B136" t="s">
        <v>3</v>
      </c>
      <c r="C136" t="s">
        <v>39</v>
      </c>
      <c r="D136">
        <v>5</v>
      </c>
      <c r="E136" t="s">
        <v>3</v>
      </c>
      <c r="F136" t="s">
        <v>7</v>
      </c>
      <c r="G136" t="str">
        <f t="shared" si="14"/>
        <v>+</v>
      </c>
      <c r="H136">
        <v>1</v>
      </c>
      <c r="I136" t="s">
        <v>3</v>
      </c>
      <c r="Q136" t="s">
        <v>11</v>
      </c>
      <c r="R136">
        <v>1</v>
      </c>
    </row>
    <row r="137" spans="1:19" x14ac:dyDescent="0.15">
      <c r="A137" t="str">
        <f t="shared" si="13"/>
        <v>|Lｖ6|第1能力Lv1|</v>
      </c>
      <c r="B137" t="s">
        <v>3</v>
      </c>
      <c r="C137" t="s">
        <v>39</v>
      </c>
      <c r="D137">
        <v>6</v>
      </c>
      <c r="E137" t="s">
        <v>3</v>
      </c>
      <c r="F137" t="s">
        <v>40</v>
      </c>
      <c r="G137" t="str">
        <f t="shared" si="14"/>
        <v/>
      </c>
      <c r="H137">
        <v>1</v>
      </c>
      <c r="I137" t="s">
        <v>3</v>
      </c>
      <c r="Q137" t="s">
        <v>12</v>
      </c>
      <c r="R137">
        <v>1</v>
      </c>
    </row>
    <row r="138" spans="1:19" x14ac:dyDescent="0.15">
      <c r="A138" t="str">
        <f t="shared" si="13"/>
        <v>|Lｖ7|HP+1|</v>
      </c>
      <c r="B138" t="s">
        <v>3</v>
      </c>
      <c r="C138" t="s">
        <v>39</v>
      </c>
      <c r="D138">
        <v>7</v>
      </c>
      <c r="E138" t="s">
        <v>3</v>
      </c>
      <c r="F138" t="s">
        <v>7</v>
      </c>
      <c r="G138" t="str">
        <f t="shared" si="14"/>
        <v>+</v>
      </c>
      <c r="H138">
        <v>1</v>
      </c>
      <c r="I138" t="s">
        <v>3</v>
      </c>
      <c r="Q138" t="s">
        <v>13</v>
      </c>
      <c r="R138">
        <v>1</v>
      </c>
    </row>
    <row r="139" spans="1:19" x14ac:dyDescent="0.15">
      <c r="A139" t="str">
        <f t="shared" si="13"/>
        <v>|Lｖ8|青+1|</v>
      </c>
      <c r="B139" t="s">
        <v>3</v>
      </c>
      <c r="C139" t="s">
        <v>39</v>
      </c>
      <c r="D139">
        <v>8</v>
      </c>
      <c r="E139" t="s">
        <v>3</v>
      </c>
      <c r="F139" t="s">
        <v>12</v>
      </c>
      <c r="G139" t="str">
        <f t="shared" si="14"/>
        <v>+</v>
      </c>
      <c r="H139">
        <v>1</v>
      </c>
      <c r="I139" t="s">
        <v>3</v>
      </c>
      <c r="Q139" t="s">
        <v>14</v>
      </c>
      <c r="R139">
        <v>1</v>
      </c>
    </row>
    <row r="140" spans="1:19" x14ac:dyDescent="0.15">
      <c r="A140" t="str">
        <f t="shared" si="13"/>
        <v>|Lｖ9|HP+1|</v>
      </c>
      <c r="B140" t="s">
        <v>3</v>
      </c>
      <c r="C140" t="s">
        <v>39</v>
      </c>
      <c r="D140">
        <v>9</v>
      </c>
      <c r="E140" t="s">
        <v>3</v>
      </c>
      <c r="F140" t="s">
        <v>7</v>
      </c>
      <c r="G140" t="str">
        <f t="shared" si="14"/>
        <v>+</v>
      </c>
      <c r="H140">
        <v>1</v>
      </c>
      <c r="I140" t="s">
        <v>3</v>
      </c>
      <c r="Q140" t="s">
        <v>15</v>
      </c>
      <c r="R140">
        <v>1</v>
      </c>
    </row>
    <row r="141" spans="1:19" x14ac:dyDescent="0.15">
      <c r="A141" t="str">
        <f t="shared" si="13"/>
        <v>|Lｖ10|呪文+1|</v>
      </c>
      <c r="B141" t="s">
        <v>3</v>
      </c>
      <c r="C141" t="s">
        <v>39</v>
      </c>
      <c r="D141">
        <v>10</v>
      </c>
      <c r="E141" t="s">
        <v>3</v>
      </c>
      <c r="F141" t="s">
        <v>21</v>
      </c>
      <c r="G141" t="str">
        <f t="shared" si="14"/>
        <v>+</v>
      </c>
      <c r="H141">
        <v>1</v>
      </c>
      <c r="I141" t="s">
        <v>3</v>
      </c>
      <c r="Q141" t="s">
        <v>40</v>
      </c>
    </row>
    <row r="142" spans="1:19" x14ac:dyDescent="0.15">
      <c r="A142" t="str">
        <f t="shared" si="13"/>
        <v>|Lｖ11|HP+1|</v>
      </c>
      <c r="B142" t="s">
        <v>3</v>
      </c>
      <c r="C142" t="s">
        <v>39</v>
      </c>
      <c r="D142">
        <v>11</v>
      </c>
      <c r="E142" t="s">
        <v>3</v>
      </c>
      <c r="F142" t="s">
        <v>7</v>
      </c>
      <c r="G142" t="str">
        <f t="shared" si="14"/>
        <v>+</v>
      </c>
      <c r="H142">
        <v>1</v>
      </c>
      <c r="I142" t="s">
        <v>3</v>
      </c>
      <c r="Q142" t="s">
        <v>41</v>
      </c>
    </row>
    <row r="143" spans="1:19" x14ac:dyDescent="0.15">
      <c r="A143" t="str">
        <f t="shared" si="13"/>
        <v>|Lｖ12|第2能力Lv1|</v>
      </c>
      <c r="B143" t="s">
        <v>3</v>
      </c>
      <c r="C143" t="s">
        <v>39</v>
      </c>
      <c r="D143">
        <v>12</v>
      </c>
      <c r="E143" t="s">
        <v>3</v>
      </c>
      <c r="F143" t="s">
        <v>41</v>
      </c>
      <c r="G143" t="str">
        <f t="shared" si="14"/>
        <v/>
      </c>
      <c r="H143">
        <v>1</v>
      </c>
      <c r="I143" t="s">
        <v>3</v>
      </c>
      <c r="Q143" t="s">
        <v>42</v>
      </c>
    </row>
    <row r="144" spans="1:19" x14ac:dyDescent="0.15">
      <c r="A144" t="str">
        <f t="shared" si="13"/>
        <v>|Lｖ13|HP+2|</v>
      </c>
      <c r="B144" t="s">
        <v>3</v>
      </c>
      <c r="C144" t="s">
        <v>39</v>
      </c>
      <c r="D144">
        <v>13</v>
      </c>
      <c r="E144" t="s">
        <v>3</v>
      </c>
      <c r="F144" t="s">
        <v>7</v>
      </c>
      <c r="G144" t="str">
        <f t="shared" si="14"/>
        <v>+</v>
      </c>
      <c r="H144">
        <v>2</v>
      </c>
      <c r="I144" t="s">
        <v>3</v>
      </c>
      <c r="Q144" t="s">
        <v>43</v>
      </c>
      <c r="R144" s="8" t="s">
        <v>665</v>
      </c>
    </row>
    <row r="145" spans="1:9" x14ac:dyDescent="0.15">
      <c r="A145" t="str">
        <f t="shared" si="13"/>
        <v>|Lｖ14|青+1|</v>
      </c>
      <c r="B145" t="s">
        <v>3</v>
      </c>
      <c r="C145" t="s">
        <v>39</v>
      </c>
      <c r="D145">
        <v>14</v>
      </c>
      <c r="E145" t="s">
        <v>3</v>
      </c>
      <c r="F145" t="s">
        <v>12</v>
      </c>
      <c r="G145" t="str">
        <f t="shared" si="14"/>
        <v>+</v>
      </c>
      <c r="H145">
        <v>1</v>
      </c>
      <c r="I145" t="s">
        <v>3</v>
      </c>
    </row>
    <row r="146" spans="1:9" x14ac:dyDescent="0.15">
      <c r="A146" t="str">
        <f t="shared" si="13"/>
        <v>|Lｖ15|HP+2|</v>
      </c>
      <c r="B146" t="s">
        <v>3</v>
      </c>
      <c r="C146" t="s">
        <v>39</v>
      </c>
      <c r="D146">
        <v>15</v>
      </c>
      <c r="E146" t="s">
        <v>3</v>
      </c>
      <c r="F146" t="s">
        <v>7</v>
      </c>
      <c r="G146" t="str">
        <f t="shared" si="14"/>
        <v>+</v>
      </c>
      <c r="H146">
        <v>2</v>
      </c>
      <c r="I146" t="s">
        <v>3</v>
      </c>
    </row>
    <row r="147" spans="1:9" x14ac:dyDescent="0.15">
      <c r="A147" t="str">
        <f t="shared" si="13"/>
        <v>|Lｖ16|第3能力Lv1|</v>
      </c>
      <c r="B147" t="s">
        <v>3</v>
      </c>
      <c r="C147" t="s">
        <v>39</v>
      </c>
      <c r="D147">
        <v>16</v>
      </c>
      <c r="E147" t="s">
        <v>3</v>
      </c>
      <c r="F147" t="s">
        <v>42</v>
      </c>
      <c r="G147" t="s">
        <v>44</v>
      </c>
      <c r="H147">
        <v>1</v>
      </c>
      <c r="I147" t="s">
        <v>3</v>
      </c>
    </row>
    <row r="148" spans="1:9" x14ac:dyDescent="0.15">
      <c r="A148" t="str">
        <f t="shared" si="13"/>
        <v>|Lｖ17|HP+2|</v>
      </c>
      <c r="B148" t="s">
        <v>3</v>
      </c>
      <c r="C148" t="s">
        <v>39</v>
      </c>
      <c r="D148">
        <v>17</v>
      </c>
      <c r="E148" t="s">
        <v>3</v>
      </c>
      <c r="F148" t="s">
        <v>7</v>
      </c>
      <c r="G148" t="str">
        <f t="shared" si="14"/>
        <v>+</v>
      </c>
      <c r="H148">
        <v>2</v>
      </c>
      <c r="I148" t="s">
        <v>3</v>
      </c>
    </row>
    <row r="149" spans="1:9" x14ac:dyDescent="0.15">
      <c r="A149" t="str">
        <f t="shared" si="13"/>
        <v>|Lｖ18|回復速度上昇|</v>
      </c>
      <c r="B149" t="s">
        <v>3</v>
      </c>
      <c r="C149" t="s">
        <v>39</v>
      </c>
      <c r="D149">
        <v>18</v>
      </c>
      <c r="E149" t="s">
        <v>3</v>
      </c>
      <c r="F149" s="11" t="s">
        <v>43</v>
      </c>
      <c r="I149" t="s">
        <v>3</v>
      </c>
    </row>
    <row r="150" spans="1:9" x14ac:dyDescent="0.15">
      <c r="A150" t="str">
        <f t="shared" si="13"/>
        <v>|Lｖ19|HP+2|</v>
      </c>
      <c r="B150" t="s">
        <v>3</v>
      </c>
      <c r="C150" t="s">
        <v>39</v>
      </c>
      <c r="D150">
        <v>19</v>
      </c>
      <c r="E150" t="s">
        <v>3</v>
      </c>
      <c r="F150" t="s">
        <v>7</v>
      </c>
      <c r="G150" t="str">
        <f t="shared" si="14"/>
        <v>+</v>
      </c>
      <c r="H150">
        <v>2</v>
      </c>
      <c r="I150" t="s">
        <v>3</v>
      </c>
    </row>
    <row r="151" spans="1:9" x14ac:dyDescent="0.15">
      <c r="A151" t="str">
        <f t="shared" si="13"/>
        <v>|Lｖ20|回復速度上昇|</v>
      </c>
      <c r="B151" t="s">
        <v>3</v>
      </c>
      <c r="C151" t="s">
        <v>39</v>
      </c>
      <c r="D151">
        <v>20</v>
      </c>
      <c r="E151" t="s">
        <v>3</v>
      </c>
      <c r="F151" s="11" t="s">
        <v>43</v>
      </c>
      <c r="G151" t="str">
        <f t="shared" si="14"/>
        <v/>
      </c>
      <c r="H151" t="s">
        <v>44</v>
      </c>
      <c r="I151" t="s">
        <v>3</v>
      </c>
    </row>
    <row r="152" spans="1:9" x14ac:dyDescent="0.15">
      <c r="A152" t="str">
        <f t="shared" si="13"/>
        <v>|Lｖ21|HP+2|</v>
      </c>
      <c r="B152" t="s">
        <v>3</v>
      </c>
      <c r="C152" t="s">
        <v>39</v>
      </c>
      <c r="D152">
        <v>21</v>
      </c>
      <c r="E152" t="s">
        <v>3</v>
      </c>
      <c r="F152" t="s">
        <v>7</v>
      </c>
      <c r="G152" t="str">
        <f t="shared" si="14"/>
        <v>+</v>
      </c>
      <c r="H152">
        <v>2</v>
      </c>
      <c r="I152" t="s">
        <v>3</v>
      </c>
    </row>
    <row r="153" spans="1:9" x14ac:dyDescent="0.15">
      <c r="A153" t="str">
        <f t="shared" si="13"/>
        <v>|Lｖ22|呪文+1|</v>
      </c>
      <c r="B153" t="s">
        <v>3</v>
      </c>
      <c r="C153" t="s">
        <v>39</v>
      </c>
      <c r="D153">
        <v>22</v>
      </c>
      <c r="E153" t="s">
        <v>3</v>
      </c>
      <c r="F153" t="s">
        <v>21</v>
      </c>
      <c r="G153" t="str">
        <f t="shared" si="14"/>
        <v>+</v>
      </c>
      <c r="H153">
        <v>1</v>
      </c>
      <c r="I153" t="s">
        <v>3</v>
      </c>
    </row>
    <row r="154" spans="1:9" x14ac:dyDescent="0.15">
      <c r="A154" t="str">
        <f t="shared" si="13"/>
        <v>|Lｖ23|HP+2|</v>
      </c>
      <c r="B154" t="s">
        <v>3</v>
      </c>
      <c r="C154" t="s">
        <v>39</v>
      </c>
      <c r="D154">
        <v>23</v>
      </c>
      <c r="E154" t="s">
        <v>3</v>
      </c>
      <c r="F154" t="s">
        <v>7</v>
      </c>
      <c r="G154" t="str">
        <f t="shared" si="14"/>
        <v>+</v>
      </c>
      <c r="H154">
        <v>2</v>
      </c>
      <c r="I154" t="s">
        <v>3</v>
      </c>
    </row>
    <row r="155" spans="1:9" x14ac:dyDescent="0.15">
      <c r="A155" t="str">
        <f t="shared" si="13"/>
        <v>|Lｖ24|第1能力Lv2|</v>
      </c>
      <c r="B155" t="s">
        <v>3</v>
      </c>
      <c r="C155" t="s">
        <v>39</v>
      </c>
      <c r="D155">
        <v>24</v>
      </c>
      <c r="E155" t="s">
        <v>3</v>
      </c>
      <c r="F155" t="s">
        <v>40</v>
      </c>
      <c r="G155" t="str">
        <f t="shared" si="14"/>
        <v/>
      </c>
      <c r="H155">
        <v>2</v>
      </c>
      <c r="I155" t="s">
        <v>3</v>
      </c>
    </row>
    <row r="156" spans="1:9" x14ac:dyDescent="0.15">
      <c r="A156" t="str">
        <f t="shared" si="13"/>
        <v>|Lｖ25|HP+2|</v>
      </c>
      <c r="B156" t="s">
        <v>3</v>
      </c>
      <c r="C156" t="s">
        <v>39</v>
      </c>
      <c r="D156">
        <v>25</v>
      </c>
      <c r="E156" t="s">
        <v>3</v>
      </c>
      <c r="F156" t="s">
        <v>7</v>
      </c>
      <c r="G156" t="str">
        <f t="shared" si="14"/>
        <v>+</v>
      </c>
      <c r="H156">
        <v>2</v>
      </c>
      <c r="I156" t="s">
        <v>3</v>
      </c>
    </row>
    <row r="157" spans="1:9" x14ac:dyDescent="0.15">
      <c r="A157" t="str">
        <f t="shared" si="13"/>
        <v>|Lｖ26|赤+1|</v>
      </c>
      <c r="B157" t="s">
        <v>3</v>
      </c>
      <c r="C157" t="s">
        <v>39</v>
      </c>
      <c r="D157">
        <v>26</v>
      </c>
      <c r="E157" t="s">
        <v>3</v>
      </c>
      <c r="F157" t="s">
        <v>14</v>
      </c>
      <c r="G157" t="str">
        <f t="shared" si="14"/>
        <v>+</v>
      </c>
      <c r="H157">
        <v>1</v>
      </c>
      <c r="I157" t="s">
        <v>3</v>
      </c>
    </row>
    <row r="158" spans="1:9" x14ac:dyDescent="0.15">
      <c r="A158" t="str">
        <f t="shared" si="13"/>
        <v>|Lｖ27|HP+2|</v>
      </c>
      <c r="B158" t="s">
        <v>3</v>
      </c>
      <c r="C158" t="s">
        <v>39</v>
      </c>
      <c r="D158">
        <v>27</v>
      </c>
      <c r="E158" t="s">
        <v>3</v>
      </c>
      <c r="F158" t="s">
        <v>7</v>
      </c>
      <c r="G158" t="str">
        <f t="shared" si="14"/>
        <v>+</v>
      </c>
      <c r="H158">
        <v>2</v>
      </c>
      <c r="I158" t="s">
        <v>3</v>
      </c>
    </row>
    <row r="159" spans="1:9" x14ac:dyDescent="0.15">
      <c r="A159" t="str">
        <f t="shared" si="13"/>
        <v>|Lｖ28|サポート+1|</v>
      </c>
      <c r="B159" t="s">
        <v>3</v>
      </c>
      <c r="C159" t="s">
        <v>39</v>
      </c>
      <c r="D159">
        <v>28</v>
      </c>
      <c r="E159" t="s">
        <v>3</v>
      </c>
      <c r="F159" t="s">
        <v>22</v>
      </c>
      <c r="G159" t="str">
        <f t="shared" si="14"/>
        <v>+</v>
      </c>
      <c r="H159">
        <v>1</v>
      </c>
      <c r="I159" t="s">
        <v>3</v>
      </c>
    </row>
    <row r="160" spans="1:9" x14ac:dyDescent="0.15">
      <c r="A160" t="str">
        <f t="shared" si="13"/>
        <v>|Lｖ29|HP+2|</v>
      </c>
      <c r="B160" t="s">
        <v>3</v>
      </c>
      <c r="C160" t="s">
        <v>39</v>
      </c>
      <c r="D160">
        <v>29</v>
      </c>
      <c r="E160" t="s">
        <v>3</v>
      </c>
      <c r="F160" t="s">
        <v>7</v>
      </c>
      <c r="G160" t="str">
        <f t="shared" si="14"/>
        <v>+</v>
      </c>
      <c r="H160">
        <v>2</v>
      </c>
      <c r="I160" t="s">
        <v>3</v>
      </c>
    </row>
    <row r="161" spans="1:9" x14ac:dyDescent="0.15">
      <c r="A161" t="str">
        <f t="shared" si="13"/>
        <v>|Lｖ30|第2能力Lv2|</v>
      </c>
      <c r="B161" t="s">
        <v>3</v>
      </c>
      <c r="C161" t="s">
        <v>39</v>
      </c>
      <c r="D161">
        <v>30</v>
      </c>
      <c r="E161" t="s">
        <v>3</v>
      </c>
      <c r="F161" t="s">
        <v>41</v>
      </c>
      <c r="G161" t="str">
        <f t="shared" si="14"/>
        <v/>
      </c>
      <c r="H161">
        <v>2</v>
      </c>
      <c r="I161" t="s">
        <v>3</v>
      </c>
    </row>
    <row r="162" spans="1:9" x14ac:dyDescent="0.15">
      <c r="A162" t="str">
        <f t="shared" si="13"/>
        <v>|Lｖ31|HP+2|</v>
      </c>
      <c r="B162" t="s">
        <v>3</v>
      </c>
      <c r="C162" t="s">
        <v>39</v>
      </c>
      <c r="D162">
        <v>31</v>
      </c>
      <c r="E162" t="s">
        <v>3</v>
      </c>
      <c r="F162" t="s">
        <v>7</v>
      </c>
      <c r="G162" t="str">
        <f t="shared" si="14"/>
        <v>+</v>
      </c>
      <c r="H162">
        <v>2</v>
      </c>
      <c r="I162" t="s">
        <v>3</v>
      </c>
    </row>
    <row r="163" spans="1:9" x14ac:dyDescent="0.15">
      <c r="A163" t="str">
        <f t="shared" si="13"/>
        <v>|Lｖ32|回復速度上昇|</v>
      </c>
      <c r="B163" t="s">
        <v>3</v>
      </c>
      <c r="C163" t="s">
        <v>39</v>
      </c>
      <c r="D163">
        <v>32</v>
      </c>
      <c r="E163" t="s">
        <v>3</v>
      </c>
      <c r="F163" s="11" t="s">
        <v>43</v>
      </c>
      <c r="G163" t="str">
        <f t="shared" si="14"/>
        <v/>
      </c>
      <c r="H163" t="s">
        <v>44</v>
      </c>
      <c r="I163" t="s">
        <v>3</v>
      </c>
    </row>
    <row r="164" spans="1:9" x14ac:dyDescent="0.15">
      <c r="A164" t="str">
        <f t="shared" ref="A164:A198" si="15">B164&amp;C164&amp;D164&amp;E164&amp;F164&amp;G164&amp;H164&amp;I164&amp;J164&amp;K164&amp;L164&amp;M164&amp;N164&amp;O164&amp;P164</f>
        <v>|Lｖ33|HP+2|</v>
      </c>
      <c r="B164" t="s">
        <v>3</v>
      </c>
      <c r="C164" t="s">
        <v>39</v>
      </c>
      <c r="D164">
        <v>33</v>
      </c>
      <c r="E164" t="s">
        <v>3</v>
      </c>
      <c r="F164" t="s">
        <v>7</v>
      </c>
      <c r="G164" t="str">
        <f t="shared" si="14"/>
        <v>+</v>
      </c>
      <c r="H164">
        <v>2</v>
      </c>
      <c r="I164" t="s">
        <v>3</v>
      </c>
    </row>
    <row r="165" spans="1:9" x14ac:dyDescent="0.15">
      <c r="A165" t="str">
        <f t="shared" si="15"/>
        <v>|Lｖ34|第3能力Lv2|</v>
      </c>
      <c r="B165" t="s">
        <v>3</v>
      </c>
      <c r="C165" t="s">
        <v>39</v>
      </c>
      <c r="D165">
        <v>34</v>
      </c>
      <c r="E165" t="s">
        <v>3</v>
      </c>
      <c r="F165" t="s">
        <v>42</v>
      </c>
      <c r="G165" t="s">
        <v>44</v>
      </c>
      <c r="H165">
        <v>2</v>
      </c>
      <c r="I165" t="s">
        <v>3</v>
      </c>
    </row>
    <row r="166" spans="1:9" x14ac:dyDescent="0.15">
      <c r="A166" t="str">
        <f t="shared" si="15"/>
        <v>|Lｖ35|HP+2|</v>
      </c>
      <c r="B166" t="s">
        <v>3</v>
      </c>
      <c r="C166" t="s">
        <v>39</v>
      </c>
      <c r="D166">
        <v>35</v>
      </c>
      <c r="E166" t="s">
        <v>3</v>
      </c>
      <c r="F166" t="s">
        <v>7</v>
      </c>
      <c r="G166" t="str">
        <f t="shared" si="14"/>
        <v>+</v>
      </c>
      <c r="H166">
        <v>2</v>
      </c>
      <c r="I166" t="s">
        <v>3</v>
      </c>
    </row>
    <row r="167" spans="1:9" x14ac:dyDescent="0.15">
      <c r="A167" t="str">
        <f t="shared" si="15"/>
        <v>|Lｖ36|第1能力Lv3|</v>
      </c>
      <c r="B167" t="s">
        <v>3</v>
      </c>
      <c r="C167" t="s">
        <v>39</v>
      </c>
      <c r="D167">
        <v>36</v>
      </c>
      <c r="E167" t="s">
        <v>3</v>
      </c>
      <c r="F167" t="s">
        <v>40</v>
      </c>
      <c r="G167" t="s">
        <v>44</v>
      </c>
      <c r="H167">
        <v>3</v>
      </c>
      <c r="I167" t="s">
        <v>3</v>
      </c>
    </row>
    <row r="168" spans="1:9" x14ac:dyDescent="0.15">
      <c r="A168" t="str">
        <f t="shared" si="15"/>
        <v>|Lｖ37|HP+2|</v>
      </c>
      <c r="B168" t="s">
        <v>3</v>
      </c>
      <c r="C168" t="s">
        <v>39</v>
      </c>
      <c r="D168">
        <v>37</v>
      </c>
      <c r="E168" t="s">
        <v>3</v>
      </c>
      <c r="F168" t="s">
        <v>7</v>
      </c>
      <c r="G168" t="str">
        <f t="shared" si="14"/>
        <v>+</v>
      </c>
      <c r="H168">
        <v>2</v>
      </c>
      <c r="I168" t="s">
        <v>3</v>
      </c>
    </row>
    <row r="169" spans="1:9" x14ac:dyDescent="0.15">
      <c r="A169" t="str">
        <f t="shared" si="15"/>
        <v>|Lｖ38|クリーチャー+1|</v>
      </c>
      <c r="B169" t="s">
        <v>3</v>
      </c>
      <c r="C169" t="s">
        <v>39</v>
      </c>
      <c r="D169">
        <v>38</v>
      </c>
      <c r="E169" t="s">
        <v>3</v>
      </c>
      <c r="F169" t="s">
        <v>20</v>
      </c>
      <c r="G169" t="str">
        <f t="shared" si="14"/>
        <v>+</v>
      </c>
      <c r="H169">
        <v>1</v>
      </c>
      <c r="I169" t="s">
        <v>3</v>
      </c>
    </row>
    <row r="170" spans="1:9" x14ac:dyDescent="0.15">
      <c r="A170" t="str">
        <f t="shared" si="15"/>
        <v>|Lｖ39|HP+2|</v>
      </c>
      <c r="B170" t="s">
        <v>3</v>
      </c>
      <c r="C170" t="s">
        <v>39</v>
      </c>
      <c r="D170">
        <v>39</v>
      </c>
      <c r="E170" t="s">
        <v>3</v>
      </c>
      <c r="F170" t="s">
        <v>7</v>
      </c>
      <c r="G170" t="str">
        <f t="shared" si="14"/>
        <v>+</v>
      </c>
      <c r="H170">
        <v>2</v>
      </c>
      <c r="I170" t="s">
        <v>3</v>
      </c>
    </row>
    <row r="171" spans="1:9" x14ac:dyDescent="0.15">
      <c r="A171" t="str">
        <f t="shared" si="15"/>
        <v>|Lｖ40|第2能力Lv3|</v>
      </c>
      <c r="B171" t="s">
        <v>3</v>
      </c>
      <c r="C171" t="s">
        <v>39</v>
      </c>
      <c r="D171">
        <v>40</v>
      </c>
      <c r="E171" t="s">
        <v>3</v>
      </c>
      <c r="F171" t="s">
        <v>41</v>
      </c>
      <c r="G171" t="s">
        <v>44</v>
      </c>
      <c r="H171">
        <v>3</v>
      </c>
      <c r="I171" t="s">
        <v>3</v>
      </c>
    </row>
    <row r="172" spans="1:9" x14ac:dyDescent="0.15">
      <c r="A172" t="str">
        <f t="shared" si="15"/>
        <v>|Lｖ41|HP+3|</v>
      </c>
      <c r="B172" t="s">
        <v>3</v>
      </c>
      <c r="C172" t="s">
        <v>39</v>
      </c>
      <c r="D172">
        <v>41</v>
      </c>
      <c r="E172" t="s">
        <v>3</v>
      </c>
      <c r="F172" t="s">
        <v>7</v>
      </c>
      <c r="G172" t="str">
        <f t="shared" si="14"/>
        <v>+</v>
      </c>
      <c r="H172">
        <v>3</v>
      </c>
      <c r="I172" t="s">
        <v>3</v>
      </c>
    </row>
    <row r="173" spans="1:9" x14ac:dyDescent="0.15">
      <c r="A173" t="str">
        <f t="shared" si="15"/>
        <v>|Lｖ42|サポート+1|</v>
      </c>
      <c r="B173" t="s">
        <v>3</v>
      </c>
      <c r="C173" t="s">
        <v>39</v>
      </c>
      <c r="D173">
        <v>42</v>
      </c>
      <c r="E173" t="s">
        <v>3</v>
      </c>
      <c r="F173" t="s">
        <v>22</v>
      </c>
      <c r="G173" t="str">
        <f t="shared" si="14"/>
        <v>+</v>
      </c>
      <c r="H173">
        <v>1</v>
      </c>
      <c r="I173" t="s">
        <v>3</v>
      </c>
    </row>
    <row r="174" spans="1:9" x14ac:dyDescent="0.15">
      <c r="A174" t="str">
        <f t="shared" si="15"/>
        <v>|Lｖ43|HP+3|</v>
      </c>
      <c r="B174" t="s">
        <v>3</v>
      </c>
      <c r="C174" t="s">
        <v>39</v>
      </c>
      <c r="D174">
        <v>43</v>
      </c>
      <c r="E174" t="s">
        <v>3</v>
      </c>
      <c r="F174" t="s">
        <v>7</v>
      </c>
      <c r="G174" t="str">
        <f t="shared" si="14"/>
        <v>+</v>
      </c>
      <c r="H174">
        <v>3</v>
      </c>
      <c r="I174" t="s">
        <v>3</v>
      </c>
    </row>
    <row r="175" spans="1:9" x14ac:dyDescent="0.15">
      <c r="A175" t="str">
        <f t="shared" si="15"/>
        <v>|Lｖ44|黒+1|</v>
      </c>
      <c r="B175" t="s">
        <v>3</v>
      </c>
      <c r="C175" t="s">
        <v>39</v>
      </c>
      <c r="D175">
        <v>44</v>
      </c>
      <c r="E175" t="s">
        <v>3</v>
      </c>
      <c r="F175" t="s">
        <v>13</v>
      </c>
      <c r="G175" t="str">
        <f t="shared" si="14"/>
        <v>+</v>
      </c>
      <c r="H175">
        <v>1</v>
      </c>
      <c r="I175" t="s">
        <v>3</v>
      </c>
    </row>
    <row r="176" spans="1:9" x14ac:dyDescent="0.15">
      <c r="A176" t="str">
        <f t="shared" si="15"/>
        <v>|Lｖ45|HP+3|</v>
      </c>
      <c r="B176" t="s">
        <v>3</v>
      </c>
      <c r="C176" t="s">
        <v>39</v>
      </c>
      <c r="D176">
        <v>45</v>
      </c>
      <c r="E176" t="s">
        <v>3</v>
      </c>
      <c r="F176" t="s">
        <v>7</v>
      </c>
      <c r="G176" t="str">
        <f t="shared" si="14"/>
        <v>+</v>
      </c>
      <c r="H176">
        <v>3</v>
      </c>
      <c r="I176" t="s">
        <v>3</v>
      </c>
    </row>
    <row r="177" spans="1:9" x14ac:dyDescent="0.15">
      <c r="A177" t="str">
        <f t="shared" si="15"/>
        <v>|Lｖ46|第3能力Lv3|</v>
      </c>
      <c r="B177" t="s">
        <v>3</v>
      </c>
      <c r="C177" t="s">
        <v>39</v>
      </c>
      <c r="D177">
        <v>46</v>
      </c>
      <c r="E177" t="s">
        <v>3</v>
      </c>
      <c r="F177" t="s">
        <v>42</v>
      </c>
      <c r="G177" t="s">
        <v>44</v>
      </c>
      <c r="H177">
        <v>3</v>
      </c>
      <c r="I177" t="s">
        <v>3</v>
      </c>
    </row>
    <row r="178" spans="1:9" x14ac:dyDescent="0.15">
      <c r="A178" t="str">
        <f t="shared" si="15"/>
        <v>|Lｖ47|HP+4|</v>
      </c>
      <c r="B178" t="s">
        <v>3</v>
      </c>
      <c r="C178" t="s">
        <v>39</v>
      </c>
      <c r="D178">
        <v>47</v>
      </c>
      <c r="E178" t="s">
        <v>3</v>
      </c>
      <c r="F178" t="s">
        <v>7</v>
      </c>
      <c r="G178" t="str">
        <f t="shared" si="14"/>
        <v>+</v>
      </c>
      <c r="H178">
        <v>4</v>
      </c>
      <c r="I178" t="s">
        <v>3</v>
      </c>
    </row>
    <row r="179" spans="1:9" x14ac:dyDescent="0.15">
      <c r="A179" t="str">
        <f t="shared" si="15"/>
        <v>|Lｖ48|呪文+1|</v>
      </c>
      <c r="B179" t="s">
        <v>3</v>
      </c>
      <c r="C179" t="s">
        <v>39</v>
      </c>
      <c r="D179">
        <v>48</v>
      </c>
      <c r="E179" t="s">
        <v>3</v>
      </c>
      <c r="F179" t="s">
        <v>21</v>
      </c>
      <c r="G179" t="str">
        <f t="shared" si="14"/>
        <v>+</v>
      </c>
      <c r="H179">
        <v>1</v>
      </c>
      <c r="I179" t="s">
        <v>3</v>
      </c>
    </row>
    <row r="180" spans="1:9" x14ac:dyDescent="0.15">
      <c r="A180" t="str">
        <f t="shared" si="15"/>
        <v>|Lｖ49|HP+4|</v>
      </c>
      <c r="B180" t="s">
        <v>3</v>
      </c>
      <c r="C180" t="s">
        <v>39</v>
      </c>
      <c r="D180">
        <v>49</v>
      </c>
      <c r="E180" t="s">
        <v>3</v>
      </c>
      <c r="F180" t="s">
        <v>7</v>
      </c>
      <c r="G180" t="str">
        <f t="shared" si="14"/>
        <v>+</v>
      </c>
      <c r="H180">
        <v>4</v>
      </c>
      <c r="I180" t="s">
        <v>3</v>
      </c>
    </row>
    <row r="181" spans="1:9" x14ac:dyDescent="0.15">
      <c r="A181" t="str">
        <f t="shared" si="15"/>
        <v>|Lｖ50|緑+1|</v>
      </c>
      <c r="B181" t="s">
        <v>3</v>
      </c>
      <c r="C181" t="s">
        <v>39</v>
      </c>
      <c r="D181">
        <v>50</v>
      </c>
      <c r="E181" t="s">
        <v>3</v>
      </c>
      <c r="F181" t="s">
        <v>15</v>
      </c>
      <c r="G181" t="str">
        <f t="shared" si="14"/>
        <v>+</v>
      </c>
      <c r="H181">
        <v>1</v>
      </c>
      <c r="I181" t="s">
        <v>3</v>
      </c>
    </row>
    <row r="182" spans="1:9" x14ac:dyDescent="0.15">
      <c r="A182" t="str">
        <f t="shared" si="15"/>
        <v>|Lｖ51|HP+4|</v>
      </c>
      <c r="B182" t="s">
        <v>3</v>
      </c>
      <c r="C182" t="s">
        <v>39</v>
      </c>
      <c r="D182">
        <v>51</v>
      </c>
      <c r="E182" t="s">
        <v>3</v>
      </c>
      <c r="F182" t="s">
        <v>7</v>
      </c>
      <c r="G182" t="str">
        <f t="shared" si="14"/>
        <v>+</v>
      </c>
      <c r="H182">
        <v>4</v>
      </c>
      <c r="I182" t="s">
        <v>3</v>
      </c>
    </row>
    <row r="183" spans="1:9" x14ac:dyDescent="0.15">
      <c r="A183" t="str">
        <f t="shared" si="15"/>
        <v>|Lｖ52|第1能力Lv4|</v>
      </c>
      <c r="B183" t="s">
        <v>3</v>
      </c>
      <c r="C183" t="s">
        <v>39</v>
      </c>
      <c r="D183">
        <v>52</v>
      </c>
      <c r="E183" t="s">
        <v>3</v>
      </c>
      <c r="F183" t="s">
        <v>40</v>
      </c>
      <c r="G183" t="s">
        <v>44</v>
      </c>
      <c r="H183">
        <v>4</v>
      </c>
      <c r="I183" t="s">
        <v>3</v>
      </c>
    </row>
    <row r="184" spans="1:9" x14ac:dyDescent="0.15">
      <c r="A184" t="str">
        <f t="shared" si="15"/>
        <v>|Lｖ53|HP+5|</v>
      </c>
      <c r="B184" t="s">
        <v>3</v>
      </c>
      <c r="C184" t="s">
        <v>39</v>
      </c>
      <c r="D184">
        <v>53</v>
      </c>
      <c r="E184" t="s">
        <v>3</v>
      </c>
      <c r="F184" t="s">
        <v>7</v>
      </c>
      <c r="G184" t="str">
        <f t="shared" si="14"/>
        <v>+</v>
      </c>
      <c r="H184">
        <f t="shared" ref="H184:H190" si="16">IF(F184="HP",IF($S$131="交互",IF(ISODD((D184-1)/2),$R$132,$S$132),$R$132),IF(F184="","",VLOOKUP(F184,$Q$132:$R$145,2,FALSE)))</f>
        <v>5</v>
      </c>
      <c r="I184" t="s">
        <v>3</v>
      </c>
    </row>
    <row r="185" spans="1:9" x14ac:dyDescent="0.15">
      <c r="A185" t="str">
        <f t="shared" si="15"/>
        <v>|Lｖ54|回復速度上昇 |</v>
      </c>
      <c r="B185" t="s">
        <v>3</v>
      </c>
      <c r="C185" t="s">
        <v>39</v>
      </c>
      <c r="D185">
        <v>54</v>
      </c>
      <c r="E185" t="s">
        <v>3</v>
      </c>
      <c r="F185" s="11" t="s">
        <v>43</v>
      </c>
      <c r="G185" t="str">
        <f t="shared" si="14"/>
        <v/>
      </c>
      <c r="H185" t="str">
        <f t="shared" si="16"/>
        <v xml:space="preserve"> </v>
      </c>
      <c r="I185" t="s">
        <v>3</v>
      </c>
    </row>
    <row r="186" spans="1:9" x14ac:dyDescent="0.15">
      <c r="A186" t="str">
        <f t="shared" si="15"/>
        <v>|Lｖ55|HP+5|</v>
      </c>
      <c r="B186" t="s">
        <v>3</v>
      </c>
      <c r="C186" t="s">
        <v>39</v>
      </c>
      <c r="D186">
        <v>55</v>
      </c>
      <c r="E186" t="s">
        <v>3</v>
      </c>
      <c r="F186" t="s">
        <v>7</v>
      </c>
      <c r="G186" t="str">
        <f t="shared" si="14"/>
        <v>+</v>
      </c>
      <c r="H186">
        <f t="shared" si="16"/>
        <v>5</v>
      </c>
      <c r="I186" t="s">
        <v>3</v>
      </c>
    </row>
    <row r="187" spans="1:9" x14ac:dyDescent="0.15">
      <c r="A187" t="str">
        <f t="shared" si="15"/>
        <v>|Lｖ56|第2能力Lv4|</v>
      </c>
      <c r="B187" t="s">
        <v>3</v>
      </c>
      <c r="C187" t="s">
        <v>39</v>
      </c>
      <c r="D187">
        <v>56</v>
      </c>
      <c r="E187" t="s">
        <v>3</v>
      </c>
      <c r="F187" t="s">
        <v>41</v>
      </c>
      <c r="G187" t="s">
        <v>44</v>
      </c>
      <c r="H187">
        <v>4</v>
      </c>
      <c r="I187" t="s">
        <v>3</v>
      </c>
    </row>
    <row r="188" spans="1:9" x14ac:dyDescent="0.15">
      <c r="A188" t="str">
        <f t="shared" si="15"/>
        <v>|Lｖ57|HP+6|</v>
      </c>
      <c r="B188" t="s">
        <v>3</v>
      </c>
      <c r="C188" t="s">
        <v>39</v>
      </c>
      <c r="D188">
        <v>57</v>
      </c>
      <c r="E188" t="s">
        <v>3</v>
      </c>
      <c r="F188" t="s">
        <v>7</v>
      </c>
      <c r="G188" t="str">
        <f t="shared" si="14"/>
        <v>+</v>
      </c>
      <c r="H188">
        <v>6</v>
      </c>
      <c r="I188" t="s">
        <v>3</v>
      </c>
    </row>
    <row r="189" spans="1:9" x14ac:dyDescent="0.15">
      <c r="A189" t="str">
        <f t="shared" si="15"/>
        <v>|Lｖ58|第3能力Lv4|</v>
      </c>
      <c r="B189" t="s">
        <v>3</v>
      </c>
      <c r="C189" t="s">
        <v>39</v>
      </c>
      <c r="D189">
        <v>58</v>
      </c>
      <c r="E189" t="s">
        <v>3</v>
      </c>
      <c r="F189" t="s">
        <v>42</v>
      </c>
      <c r="G189" t="s">
        <v>44</v>
      </c>
      <c r="H189">
        <v>4</v>
      </c>
      <c r="I189" t="s">
        <v>3</v>
      </c>
    </row>
    <row r="190" spans="1:9" x14ac:dyDescent="0.15">
      <c r="A190" t="str">
        <f t="shared" si="15"/>
        <v>|Lｖ59|呪文+1|</v>
      </c>
      <c r="B190" t="s">
        <v>3</v>
      </c>
      <c r="C190" t="s">
        <v>39</v>
      </c>
      <c r="D190">
        <v>59</v>
      </c>
      <c r="E190" t="s">
        <v>3</v>
      </c>
      <c r="F190" t="s">
        <v>21</v>
      </c>
      <c r="G190" t="str">
        <f t="shared" si="14"/>
        <v>+</v>
      </c>
      <c r="H190">
        <f t="shared" si="16"/>
        <v>1</v>
      </c>
      <c r="I190" t="s">
        <v>3</v>
      </c>
    </row>
    <row r="191" spans="1:9" x14ac:dyDescent="0.15">
      <c r="A191" t="str">
        <f t="shared" si="15"/>
        <v>|Lｖ60|白+1|</v>
      </c>
      <c r="B191" t="s">
        <v>3</v>
      </c>
      <c r="C191" t="s">
        <v>39</v>
      </c>
      <c r="D191">
        <v>60</v>
      </c>
      <c r="E191" t="s">
        <v>3</v>
      </c>
      <c r="F191" t="s">
        <v>11</v>
      </c>
      <c r="G191" t="str">
        <f t="shared" si="14"/>
        <v>+</v>
      </c>
      <c r="H191">
        <v>1</v>
      </c>
      <c r="I191" t="s">
        <v>3</v>
      </c>
    </row>
    <row r="192" spans="1:9" x14ac:dyDescent="0.15">
      <c r="A192" t="str">
        <f t="shared" si="15"/>
        <v>必要総経験値：79920ルーン</v>
      </c>
      <c r="B192" t="s">
        <v>45</v>
      </c>
      <c r="C192">
        <v>79920</v>
      </c>
      <c r="F192" t="s">
        <v>46</v>
      </c>
    </row>
    <row r="193" spans="1:5" x14ac:dyDescent="0.15">
      <c r="A193" t="str">
        <f t="shared" si="15"/>
        <v>#endregion</v>
      </c>
      <c r="B193" t="s">
        <v>599</v>
      </c>
    </row>
    <row r="194" spans="1:5" x14ac:dyDescent="0.15">
      <c r="A194" t="str">
        <f t="shared" si="15"/>
        <v>&amp;br;</v>
      </c>
      <c r="B194" t="s">
        <v>0</v>
      </c>
    </row>
    <row r="195" spans="1:5" x14ac:dyDescent="0.15">
      <c r="A195" t="str">
        <f t="shared" si="15"/>
        <v>#back(text=戻る,left)</v>
      </c>
      <c r="B195" t="s">
        <v>47</v>
      </c>
    </row>
    <row r="196" spans="1:5" x14ac:dyDescent="0.15">
      <c r="A196" t="str">
        <f t="shared" si="15"/>
        <v>&amp;br;</v>
      </c>
      <c r="B196" t="s">
        <v>0</v>
      </c>
    </row>
    <row r="197" spans="1:5" x14ac:dyDescent="0.15">
      <c r="A197" t="str">
        <f t="shared" si="15"/>
        <v>#comment(above,nsize=[15],size=[30],num=[10])</v>
      </c>
      <c r="B197" t="s">
        <v>48</v>
      </c>
    </row>
    <row r="198" spans="1:5" x14ac:dyDescent="0.15">
      <c r="A198" t="str">
        <f t="shared" si="15"/>
        <v>[[プレインズウォーカーリスト&gt;プレインズウォーカーリスト]]</v>
      </c>
      <c r="B198" t="s">
        <v>49</v>
      </c>
    </row>
    <row r="205" spans="1:5" x14ac:dyDescent="0.15">
      <c r="B205" s="9" t="s">
        <v>655</v>
      </c>
    </row>
    <row r="206" spans="1:5" x14ac:dyDescent="0.15">
      <c r="B206" s="9" t="s">
        <v>656</v>
      </c>
      <c r="D206" s="8"/>
      <c r="E206" s="8"/>
    </row>
    <row r="207" spans="1:5" x14ac:dyDescent="0.15">
      <c r="B207" s="7">
        <v>62</v>
      </c>
    </row>
    <row r="208" spans="1:5" x14ac:dyDescent="0.15">
      <c r="B208" s="9" t="s">
        <v>657</v>
      </c>
      <c r="C208" s="9" t="s">
        <v>658</v>
      </c>
      <c r="D208" s="9" t="s">
        <v>659</v>
      </c>
    </row>
    <row r="209" spans="2:6" x14ac:dyDescent="0.15">
      <c r="B209" s="7">
        <v>4</v>
      </c>
      <c r="C209" s="7">
        <v>4</v>
      </c>
      <c r="D209" s="7">
        <v>3</v>
      </c>
    </row>
    <row r="210" spans="2:6" x14ac:dyDescent="0.15">
      <c r="B210" s="9" t="s">
        <v>660</v>
      </c>
      <c r="C210" s="9" t="s">
        <v>661</v>
      </c>
      <c r="D210" s="9" t="s">
        <v>662</v>
      </c>
      <c r="E210" s="9" t="s">
        <v>663</v>
      </c>
      <c r="F210" s="9" t="s">
        <v>664</v>
      </c>
    </row>
    <row r="211" spans="2:6" x14ac:dyDescent="0.15">
      <c r="B211" s="7">
        <v>-2</v>
      </c>
      <c r="C211" s="7">
        <v>1</v>
      </c>
      <c r="D211" s="7">
        <v>1</v>
      </c>
      <c r="E211" s="7">
        <v>1</v>
      </c>
      <c r="F211" s="7">
        <v>-2</v>
      </c>
    </row>
  </sheetData>
  <autoFilter ref="C132:I198"/>
  <phoneticPr fontId="4"/>
  <dataValidations count="3">
    <dataValidation type="list" showInputMessage="1" showErrorMessage="1" sqref="S131">
      <formula1>",交互"</formula1>
    </dataValidation>
    <dataValidation type="list" allowBlank="1" showInputMessage="1" showErrorMessage="1" sqref="F133:F191">
      <formula1>$Q$132:$Q$144</formula1>
    </dataValidation>
    <dataValidation type="list" allowBlank="1" showInputMessage="1" showErrorMessage="1" sqref="F192:F193">
      <formula1>$Q$122:$Q$134</formula1>
    </dataValidation>
  </dataValidations>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色フィルター">
                <anchor moveWithCells="1" sizeWithCells="1">
                  <from>
                    <xdr:col>5</xdr:col>
                    <xdr:colOff>209550</xdr:colOff>
                    <xdr:row>127</xdr:row>
                    <xdr:rowOff>152400</xdr:rowOff>
                  </from>
                  <to>
                    <xdr:col>6</xdr:col>
                    <xdr:colOff>85725</xdr:colOff>
                    <xdr:row>129</xdr:row>
                    <xdr:rowOff>66675</xdr:rowOff>
                  </to>
                </anchor>
              </controlPr>
            </control>
          </mc:Choice>
        </mc:AlternateContent>
        <mc:AlternateContent xmlns:mc="http://schemas.openxmlformats.org/markup-compatibility/2006">
          <mc:Choice Requires="x14">
            <control shapeId="69634" r:id="rId5" name="Button 2">
              <controlPr defaultSize="0" print="0" autoFill="0" autoPict="0" macro="[0]!種別フィルター">
                <anchor moveWithCells="1" sizeWithCells="1">
                  <from>
                    <xdr:col>7</xdr:col>
                    <xdr:colOff>104775</xdr:colOff>
                    <xdr:row>127</xdr:row>
                    <xdr:rowOff>161925</xdr:rowOff>
                  </from>
                  <to>
                    <xdr:col>7</xdr:col>
                    <xdr:colOff>666750</xdr:colOff>
                    <xdr:row>129</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35</vt:i4>
      </vt:variant>
    </vt:vector>
  </HeadingPairs>
  <TitlesOfParts>
    <vt:vector size="35" baseType="lpstr">
      <vt:lpstr>tnpl</vt:lpstr>
      <vt:lpstr>Gideon1</vt:lpstr>
      <vt:lpstr>Gideon2</vt:lpstr>
      <vt:lpstr>Gideon3</vt:lpstr>
      <vt:lpstr>peth1</vt:lpstr>
      <vt:lpstr>Jace1</vt:lpstr>
      <vt:lpstr>Tezz1</vt:lpstr>
      <vt:lpstr>Jace2</vt:lpstr>
      <vt:lpstr>Jace3</vt:lpstr>
      <vt:lpstr>Lilliana1</vt:lpstr>
      <vt:lpstr>ob</vt:lpstr>
      <vt:lpstr>Lilliana2</vt:lpstr>
      <vt:lpstr>Lilliana3</vt:lpstr>
      <vt:lpstr>Chandra1</vt:lpstr>
      <vt:lpstr>Koth</vt:lpstr>
      <vt:lpstr>Chandra2</vt:lpstr>
      <vt:lpstr>Nissa1</vt:lpstr>
      <vt:lpstr>Garruk1</vt:lpstr>
      <vt:lpstr>Nissa2</vt:lpstr>
      <vt:lpstr>Dovin</vt:lpstr>
      <vt:lpstr>Tezz2</vt:lpstr>
      <vt:lpstr>Sarkhan1</vt:lpstr>
      <vt:lpstr>Angrath</vt:lpstr>
      <vt:lpstr>PW平均</vt:lpstr>
      <vt:lpstr>Arlinn</vt:lpstr>
      <vt:lpstr>samut</vt:lpstr>
      <vt:lpstr>Sorin1</vt:lpstr>
      <vt:lpstr>Saheeli</vt:lpstr>
      <vt:lpstr>Vraska</vt:lpstr>
      <vt:lpstr>Ajani1</vt:lpstr>
      <vt:lpstr>Nahiri</vt:lpstr>
      <vt:lpstr>Huatli</vt:lpstr>
      <vt:lpstr>Kiora1</vt:lpstr>
      <vt:lpstr>Nissa3</vt:lpstr>
      <vt:lpstr>Bolas</vt:lpstr>
    </vt:vector>
  </TitlesOfParts>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c:creator>
  <cp:lastModifiedBy>komamura</cp:lastModifiedBy>
  <dcterms:created xsi:type="dcterms:W3CDTF">2017-03-22T00:21:00Z</dcterms:created>
  <dcterms:modified xsi:type="dcterms:W3CDTF">2018-03-22T10:28:23Z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1041-10.8.0.5745</vt:lpwstr>
  </property>
</Properties>
</file>