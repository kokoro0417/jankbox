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komamura\Documents\MTGPQ\MM\MM\MTG\MTGPQ\"/>
    </mc:Choice>
  </mc:AlternateContent>
  <bookViews>
    <workbookView xWindow="360" yWindow="210" windowWidth="2205" windowHeight="2925"/>
  </bookViews>
  <sheets>
    <sheet name="DB" sheetId="1" r:id="rId1"/>
    <sheet name="TAG" sheetId="35" r:id="rId2"/>
    <sheet name="破壊" sheetId="41" r:id="rId3"/>
    <sheet name="生物破壊" sheetId="42" r:id="rId4"/>
    <sheet name="Sheet3" sheetId="18" r:id="rId5"/>
    <sheet name="tnpl" sheetId="19" r:id="rId6"/>
    <sheet name="Sheet4" sheetId="34" r:id="rId7"/>
    <sheet name="DB入力中" sheetId="43" r:id="rId8"/>
    <sheet name="Sheet1" sheetId="44" r:id="rId9"/>
  </sheets>
  <definedNames>
    <definedName name="_xlnm._FilterDatabase" localSheetId="0" hidden="1">DB!$A$1:$S$1809</definedName>
    <definedName name="_xlnm._FilterDatabase" localSheetId="7" hidden="1">DB入力中!$A$1:$S$202</definedName>
    <definedName name="_xlnm._FilterDatabase" localSheetId="1" hidden="1">TAG!$Z$1:$AQ$1</definedName>
    <definedName name="_xlnm._FilterDatabase" localSheetId="3" hidden="1">生物破壊!$Z$132:$AS$155</definedName>
    <definedName name="_xlnm._FilterDatabase" localSheetId="2" hidden="1">破壊!$Z$3:$AG$245</definedName>
  </definedNames>
  <calcPr calcId="162913" refMode="R1C1"/>
</workbook>
</file>

<file path=xl/calcChain.xml><?xml version="1.0" encoding="utf-8"?>
<calcChain xmlns="http://schemas.openxmlformats.org/spreadsheetml/2006/main">
  <c r="S1773" i="1" l="1"/>
  <c r="S2" i="1" l="1"/>
  <c r="S1505" i="1"/>
  <c r="O208" i="44"/>
  <c r="N208" i="44" s="1"/>
  <c r="O209" i="44"/>
  <c r="N209" i="44" s="1"/>
  <c r="O210" i="44"/>
  <c r="N210" i="44" s="1"/>
  <c r="O211" i="44"/>
  <c r="N211" i="44" s="1"/>
  <c r="O212" i="44"/>
  <c r="N212" i="44" s="1"/>
  <c r="O213" i="44"/>
  <c r="N213" i="44" s="1"/>
  <c r="O214" i="44"/>
  <c r="N214" i="44" s="1"/>
  <c r="O215" i="44"/>
  <c r="N215" i="44" s="1"/>
  <c r="O223" i="44"/>
  <c r="N223" i="44" s="1"/>
  <c r="O224" i="44"/>
  <c r="N224" i="44" s="1"/>
  <c r="O225" i="44"/>
  <c r="N225" i="44" s="1"/>
  <c r="O226" i="44"/>
  <c r="N226" i="44" s="1"/>
  <c r="O227" i="44"/>
  <c r="N227" i="44" s="1"/>
  <c r="O228" i="44"/>
  <c r="N228" i="44" s="1"/>
  <c r="O229" i="44"/>
  <c r="N229" i="44" s="1"/>
  <c r="O230" i="44"/>
  <c r="N230" i="44" s="1"/>
  <c r="O231" i="44"/>
  <c r="N231" i="44" s="1"/>
  <c r="O232" i="44"/>
  <c r="N232" i="44" s="1"/>
  <c r="O200" i="44"/>
  <c r="N200" i="44" s="1"/>
  <c r="O201" i="44"/>
  <c r="N201" i="44" s="1"/>
  <c r="O202" i="44"/>
  <c r="N202" i="44" s="1"/>
  <c r="O203" i="44"/>
  <c r="N203" i="44" s="1"/>
  <c r="O204" i="44"/>
  <c r="N204" i="44" s="1"/>
  <c r="O205" i="44"/>
  <c r="N205" i="44" s="1"/>
  <c r="O206" i="44"/>
  <c r="N206" i="44" s="1"/>
  <c r="O207" i="44"/>
  <c r="N207" i="44" s="1"/>
  <c r="O193" i="44"/>
  <c r="N193" i="44" s="1"/>
  <c r="O194" i="44"/>
  <c r="N194" i="44" s="1"/>
  <c r="O195" i="44"/>
  <c r="N195" i="44" s="1"/>
  <c r="O196" i="44"/>
  <c r="N196" i="44" s="1"/>
  <c r="O197" i="44"/>
  <c r="N197" i="44" s="1"/>
  <c r="O198" i="44"/>
  <c r="N198" i="44" s="1"/>
  <c r="O199" i="44"/>
  <c r="N199" i="44" s="1"/>
  <c r="O182" i="44"/>
  <c r="N182" i="44" s="1"/>
  <c r="O183" i="44"/>
  <c r="N183" i="44" s="1"/>
  <c r="O184" i="44"/>
  <c r="N184" i="44" s="1"/>
  <c r="O185" i="44"/>
  <c r="N185" i="44" s="1"/>
  <c r="O186" i="44"/>
  <c r="N186" i="44" s="1"/>
  <c r="O187" i="44"/>
  <c r="N187" i="44" s="1"/>
  <c r="O188" i="44"/>
  <c r="N188" i="44" s="1"/>
  <c r="O189" i="44"/>
  <c r="N189" i="44" s="1"/>
  <c r="O190" i="44"/>
  <c r="N190" i="44" s="1"/>
  <c r="O191" i="44"/>
  <c r="N191" i="44" s="1"/>
  <c r="O192" i="44"/>
  <c r="N192" i="44" s="1"/>
  <c r="O177" i="44"/>
  <c r="N177" i="44" s="1"/>
  <c r="O178" i="44"/>
  <c r="N178" i="44" s="1"/>
  <c r="O179" i="44"/>
  <c r="N179" i="44" s="1"/>
  <c r="O180" i="44"/>
  <c r="N180" i="44" s="1"/>
  <c r="O181" i="44"/>
  <c r="N181" i="44" s="1"/>
  <c r="O150" i="44"/>
  <c r="N150" i="44" s="1"/>
  <c r="O151" i="44"/>
  <c r="N151" i="44" s="1"/>
  <c r="O152" i="44"/>
  <c r="N152" i="44" s="1"/>
  <c r="O153" i="44"/>
  <c r="N153" i="44" s="1"/>
  <c r="O154" i="44"/>
  <c r="N154" i="44" s="1"/>
  <c r="O155" i="44"/>
  <c r="N155" i="44" s="1"/>
  <c r="O156" i="44"/>
  <c r="N156" i="44" s="1"/>
  <c r="O157" i="44"/>
  <c r="N157" i="44" s="1"/>
  <c r="O158" i="44"/>
  <c r="N158" i="44" s="1"/>
  <c r="O159" i="44"/>
  <c r="N159" i="44" s="1"/>
  <c r="O160" i="44"/>
  <c r="N160" i="44" s="1"/>
  <c r="O161" i="44"/>
  <c r="N161" i="44" s="1"/>
  <c r="O162" i="44"/>
  <c r="N162" i="44" s="1"/>
  <c r="O163" i="44"/>
  <c r="N163" i="44" s="1"/>
  <c r="O164" i="44"/>
  <c r="N164" i="44" s="1"/>
  <c r="O165" i="44"/>
  <c r="N165" i="44" s="1"/>
  <c r="O166" i="44"/>
  <c r="N166" i="44" s="1"/>
  <c r="O167" i="44"/>
  <c r="N167" i="44" s="1"/>
  <c r="O168" i="44"/>
  <c r="N168" i="44" s="1"/>
  <c r="O169" i="44"/>
  <c r="N169" i="44" s="1"/>
  <c r="O170" i="44"/>
  <c r="N170" i="44" s="1"/>
  <c r="O171" i="44"/>
  <c r="N171" i="44" s="1"/>
  <c r="O172" i="44"/>
  <c r="N172" i="44" s="1"/>
  <c r="O173" i="44"/>
  <c r="N173" i="44" s="1"/>
  <c r="O174" i="44"/>
  <c r="N174" i="44" s="1"/>
  <c r="O175" i="44"/>
  <c r="N175" i="44" s="1"/>
  <c r="O176" i="44"/>
  <c r="N176" i="44" s="1"/>
  <c r="O144" i="44"/>
  <c r="N144" i="44" s="1"/>
  <c r="O145" i="44"/>
  <c r="N145" i="44" s="1"/>
  <c r="O146" i="44"/>
  <c r="N146" i="44" s="1"/>
  <c r="O147" i="44"/>
  <c r="N147" i="44" s="1"/>
  <c r="O148" i="44"/>
  <c r="N148" i="44" s="1"/>
  <c r="O149" i="44"/>
  <c r="N149" i="44" s="1"/>
  <c r="O143" i="44"/>
  <c r="N143" i="44" s="1"/>
  <c r="O113" i="44"/>
  <c r="N113" i="44" s="1"/>
  <c r="O114" i="44"/>
  <c r="N114" i="44" s="1"/>
  <c r="O115" i="44"/>
  <c r="N115" i="44" s="1"/>
  <c r="O116" i="44"/>
  <c r="N116" i="44" s="1"/>
  <c r="O117" i="44"/>
  <c r="N117" i="44" s="1"/>
  <c r="O118" i="44"/>
  <c r="N118" i="44" s="1"/>
  <c r="O119" i="44"/>
  <c r="N119" i="44" s="1"/>
  <c r="O120" i="44"/>
  <c r="N120" i="44" s="1"/>
  <c r="O121" i="44"/>
  <c r="N121" i="44" s="1"/>
  <c r="O122" i="44"/>
  <c r="N122" i="44" s="1"/>
  <c r="O123" i="44"/>
  <c r="N123" i="44" s="1"/>
  <c r="O124" i="44"/>
  <c r="N124" i="44" s="1"/>
  <c r="O125" i="44"/>
  <c r="N125" i="44" s="1"/>
  <c r="O126" i="44"/>
  <c r="N126" i="44" s="1"/>
  <c r="O127" i="44"/>
  <c r="N127" i="44" s="1"/>
  <c r="O128" i="44"/>
  <c r="N128" i="44" s="1"/>
  <c r="O129" i="44"/>
  <c r="N129" i="44" s="1"/>
  <c r="O130" i="44"/>
  <c r="N130" i="44" s="1"/>
  <c r="O131" i="44"/>
  <c r="N131" i="44" s="1"/>
  <c r="O132" i="44"/>
  <c r="N132" i="44" s="1"/>
  <c r="O133" i="44"/>
  <c r="N133" i="44" s="1"/>
  <c r="O134" i="44"/>
  <c r="N134" i="44" s="1"/>
  <c r="O135" i="44"/>
  <c r="N135" i="44" s="1"/>
  <c r="O136" i="44"/>
  <c r="N136" i="44" s="1"/>
  <c r="O137" i="44"/>
  <c r="N137" i="44" s="1"/>
  <c r="O138" i="44"/>
  <c r="N138" i="44" s="1"/>
  <c r="O139" i="44"/>
  <c r="N139" i="44" s="1"/>
  <c r="O140" i="44"/>
  <c r="N140" i="44" s="1"/>
  <c r="O141" i="44"/>
  <c r="N141" i="44" s="1"/>
  <c r="O142" i="44"/>
  <c r="N142" i="44" s="1"/>
  <c r="O108" i="44"/>
  <c r="N108" i="44" s="1"/>
  <c r="O109" i="44"/>
  <c r="N109" i="44" s="1"/>
  <c r="O110" i="44"/>
  <c r="N110" i="44" s="1"/>
  <c r="O111" i="44"/>
  <c r="N111" i="44" s="1"/>
  <c r="O112" i="44"/>
  <c r="N112" i="44" s="1"/>
  <c r="O82" i="44"/>
  <c r="N82" i="44" s="1"/>
  <c r="O83" i="44"/>
  <c r="N83" i="44" s="1"/>
  <c r="O84" i="44"/>
  <c r="N84" i="44" s="1"/>
  <c r="O85" i="44"/>
  <c r="N85" i="44" s="1"/>
  <c r="O86" i="44"/>
  <c r="N86" i="44" s="1"/>
  <c r="O87" i="44"/>
  <c r="N87" i="44" s="1"/>
  <c r="O88" i="44"/>
  <c r="N88" i="44" s="1"/>
  <c r="O89" i="44"/>
  <c r="N89" i="44" s="1"/>
  <c r="O90" i="44"/>
  <c r="N90" i="44" s="1"/>
  <c r="O91" i="44"/>
  <c r="N91" i="44" s="1"/>
  <c r="O92" i="44"/>
  <c r="N92" i="44" s="1"/>
  <c r="O93" i="44"/>
  <c r="N93" i="44" s="1"/>
  <c r="O94" i="44"/>
  <c r="N94" i="44" s="1"/>
  <c r="O95" i="44"/>
  <c r="N95" i="44" s="1"/>
  <c r="O96" i="44"/>
  <c r="N96" i="44" s="1"/>
  <c r="O97" i="44"/>
  <c r="N97" i="44" s="1"/>
  <c r="O98" i="44"/>
  <c r="N98" i="44" s="1"/>
  <c r="O99" i="44"/>
  <c r="N99" i="44" s="1"/>
  <c r="O100" i="44"/>
  <c r="N100" i="44" s="1"/>
  <c r="O101" i="44"/>
  <c r="N101" i="44" s="1"/>
  <c r="O102" i="44"/>
  <c r="N102" i="44" s="1"/>
  <c r="O103" i="44"/>
  <c r="N103" i="44" s="1"/>
  <c r="O104" i="44"/>
  <c r="N104" i="44" s="1"/>
  <c r="O105" i="44"/>
  <c r="N105" i="44" s="1"/>
  <c r="O106" i="44"/>
  <c r="N106" i="44" s="1"/>
  <c r="O107" i="44"/>
  <c r="N107" i="44" s="1"/>
  <c r="O75" i="44"/>
  <c r="N75" i="44" s="1"/>
  <c r="O76" i="44"/>
  <c r="N76" i="44" s="1"/>
  <c r="O77" i="44"/>
  <c r="N77" i="44" s="1"/>
  <c r="O78" i="44"/>
  <c r="N78" i="44" s="1"/>
  <c r="O79" i="44"/>
  <c r="N79" i="44" s="1"/>
  <c r="O80" i="44"/>
  <c r="N80" i="44" s="1"/>
  <c r="O81" i="44"/>
  <c r="N81" i="44" s="1"/>
  <c r="O49" i="44"/>
  <c r="N49" i="44" s="1"/>
  <c r="O50" i="44"/>
  <c r="N50" i="44" s="1"/>
  <c r="O51" i="44"/>
  <c r="N51" i="44" s="1"/>
  <c r="O52" i="44"/>
  <c r="N52" i="44" s="1"/>
  <c r="O53" i="44"/>
  <c r="N53" i="44" s="1"/>
  <c r="O54" i="44"/>
  <c r="N54" i="44" s="1"/>
  <c r="O55" i="44"/>
  <c r="N55" i="44" s="1"/>
  <c r="O56" i="44"/>
  <c r="N56" i="44" s="1"/>
  <c r="O57" i="44"/>
  <c r="N57" i="44" s="1"/>
  <c r="O58" i="44"/>
  <c r="N58" i="44" s="1"/>
  <c r="O59" i="44"/>
  <c r="N59" i="44" s="1"/>
  <c r="O60" i="44"/>
  <c r="N60" i="44" s="1"/>
  <c r="O61" i="44"/>
  <c r="N61" i="44" s="1"/>
  <c r="O62" i="44"/>
  <c r="N62" i="44" s="1"/>
  <c r="O63" i="44"/>
  <c r="N63" i="44" s="1"/>
  <c r="O64" i="44"/>
  <c r="N64" i="44" s="1"/>
  <c r="O65" i="44"/>
  <c r="N65" i="44" s="1"/>
  <c r="O66" i="44"/>
  <c r="N66" i="44" s="1"/>
  <c r="O67" i="44"/>
  <c r="N67" i="44" s="1"/>
  <c r="O68" i="44"/>
  <c r="N68" i="44" s="1"/>
  <c r="O69" i="44"/>
  <c r="N69" i="44" s="1"/>
  <c r="O70" i="44"/>
  <c r="N70" i="44" s="1"/>
  <c r="O71" i="44"/>
  <c r="N71" i="44" s="1"/>
  <c r="O72" i="44"/>
  <c r="N72" i="44" s="1"/>
  <c r="O73" i="44"/>
  <c r="N73" i="44" s="1"/>
  <c r="O74" i="44"/>
  <c r="N74" i="44" s="1"/>
  <c r="O41" i="44"/>
  <c r="N41" i="44" s="1"/>
  <c r="O42" i="44"/>
  <c r="N42" i="44" s="1"/>
  <c r="O43" i="44"/>
  <c r="N43" i="44" s="1"/>
  <c r="O44" i="44"/>
  <c r="N44" i="44" s="1"/>
  <c r="O45" i="44"/>
  <c r="N45" i="44" s="1"/>
  <c r="O46" i="44"/>
  <c r="N46" i="44" s="1"/>
  <c r="O47" i="44"/>
  <c r="N47" i="44" s="1"/>
  <c r="O48" i="44"/>
  <c r="N48" i="44" s="1"/>
  <c r="O12" i="44"/>
  <c r="N12" i="44" s="1"/>
  <c r="O13" i="44"/>
  <c r="N13" i="44" s="1"/>
  <c r="O14" i="44"/>
  <c r="N14" i="44" s="1"/>
  <c r="O15" i="44"/>
  <c r="N15" i="44" s="1"/>
  <c r="O16" i="44"/>
  <c r="N16" i="44" s="1"/>
  <c r="O17" i="44"/>
  <c r="N17" i="44" s="1"/>
  <c r="O18" i="44"/>
  <c r="N18" i="44" s="1"/>
  <c r="O19" i="44"/>
  <c r="N19" i="44" s="1"/>
  <c r="O20" i="44"/>
  <c r="N20" i="44" s="1"/>
  <c r="O21" i="44"/>
  <c r="N21" i="44" s="1"/>
  <c r="O22" i="44"/>
  <c r="N22" i="44" s="1"/>
  <c r="O23" i="44"/>
  <c r="N23" i="44" s="1"/>
  <c r="O24" i="44"/>
  <c r="N24" i="44" s="1"/>
  <c r="O25" i="44"/>
  <c r="N25" i="44" s="1"/>
  <c r="O26" i="44"/>
  <c r="N26" i="44" s="1"/>
  <c r="O27" i="44"/>
  <c r="N27" i="44" s="1"/>
  <c r="O28" i="44"/>
  <c r="N28" i="44" s="1"/>
  <c r="O29" i="44"/>
  <c r="N29" i="44" s="1"/>
  <c r="O30" i="44"/>
  <c r="N30" i="44" s="1"/>
  <c r="O31" i="44"/>
  <c r="N31" i="44" s="1"/>
  <c r="O32" i="44"/>
  <c r="N32" i="44" s="1"/>
  <c r="O33" i="44"/>
  <c r="N33" i="44" s="1"/>
  <c r="O34" i="44"/>
  <c r="N34" i="44" s="1"/>
  <c r="O35" i="44"/>
  <c r="N35" i="44" s="1"/>
  <c r="O36" i="44"/>
  <c r="N36" i="44" s="1"/>
  <c r="O37" i="44"/>
  <c r="N37" i="44" s="1"/>
  <c r="O38" i="44"/>
  <c r="N38" i="44" s="1"/>
  <c r="O39" i="44"/>
  <c r="N39" i="44" s="1"/>
  <c r="O40" i="44"/>
  <c r="N40" i="44" s="1"/>
  <c r="O11" i="44"/>
  <c r="N11" i="44" s="1"/>
  <c r="S193" i="43" l="1"/>
  <c r="S1705" i="1" l="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494" i="1" l="1"/>
  <c r="S1695" i="1" l="1"/>
  <c r="S1694" i="1"/>
  <c r="S1693" i="1"/>
  <c r="S1692" i="1"/>
  <c r="S1691" i="1"/>
  <c r="S1690" i="1"/>
  <c r="S1689" i="1"/>
  <c r="S1688" i="1"/>
  <c r="S1687" i="1"/>
  <c r="S1686" i="1"/>
  <c r="S1685" i="1"/>
  <c r="S1684" i="1"/>
  <c r="S1683" i="1"/>
  <c r="S1682" i="1"/>
  <c r="S1681" i="1"/>
  <c r="S1680" i="1"/>
  <c r="S1679" i="1"/>
  <c r="S1678" i="1"/>
  <c r="S1677" i="1"/>
  <c r="S1676" i="1"/>
  <c r="S1675" i="1"/>
  <c r="S1674" i="1"/>
  <c r="S1673" i="1"/>
  <c r="S1672" i="1"/>
  <c r="S1671" i="1"/>
  <c r="S1670" i="1"/>
  <c r="S1669" i="1"/>
  <c r="S1668" i="1"/>
  <c r="S1667" i="1"/>
  <c r="S1666" i="1"/>
  <c r="S1665" i="1"/>
  <c r="S1664" i="1"/>
  <c r="S1663" i="1"/>
  <c r="S1662" i="1"/>
  <c r="S1661" i="1"/>
  <c r="S1660" i="1"/>
  <c r="S1659" i="1"/>
  <c r="S1658" i="1"/>
  <c r="S1657" i="1"/>
  <c r="S1656" i="1"/>
  <c r="S1655" i="1"/>
  <c r="S1654" i="1"/>
  <c r="S1653" i="1"/>
  <c r="S1652" i="1"/>
  <c r="S1651" i="1"/>
  <c r="S1650" i="1"/>
  <c r="S1649" i="1"/>
  <c r="S1648" i="1"/>
  <c r="S1647" i="1"/>
  <c r="S1646" i="1"/>
  <c r="S1645" i="1"/>
  <c r="S1644" i="1"/>
  <c r="S1643" i="1"/>
  <c r="S1642" i="1"/>
  <c r="S1641" i="1"/>
  <c r="S1640" i="1"/>
  <c r="S1639" i="1"/>
  <c r="S1638" i="1"/>
  <c r="S1637" i="1"/>
  <c r="S1636" i="1"/>
  <c r="S1635" i="1"/>
  <c r="S1634" i="1"/>
  <c r="S1633" i="1"/>
  <c r="S1632" i="1"/>
  <c r="S1631" i="1"/>
  <c r="S1630" i="1"/>
  <c r="S1629" i="1"/>
  <c r="S1628" i="1"/>
  <c r="S1627" i="1"/>
  <c r="S1626" i="1"/>
  <c r="S1625" i="1"/>
  <c r="S1624" i="1"/>
  <c r="S1623" i="1"/>
  <c r="S1622" i="1"/>
  <c r="S1621" i="1"/>
  <c r="S1620" i="1"/>
  <c r="S1619"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9" i="1"/>
  <c r="S1568"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5" i="1"/>
  <c r="S1534" i="1"/>
  <c r="S1533" i="1"/>
  <c r="S1532"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4" i="1"/>
  <c r="S1503" i="1"/>
  <c r="S1502" i="1"/>
  <c r="S1501" i="1"/>
  <c r="S1500" i="1"/>
  <c r="S1499" i="1"/>
  <c r="S1498" i="1"/>
  <c r="S1497" i="1"/>
  <c r="S1496" i="1"/>
  <c r="S1495" i="1"/>
  <c r="S29" i="43" l="1"/>
  <c r="S163" i="43"/>
  <c r="S153" i="43"/>
  <c r="S192" i="43"/>
  <c r="S124" i="43"/>
  <c r="S191" i="43"/>
  <c r="S166" i="43"/>
  <c r="S92" i="43"/>
  <c r="S123" i="43"/>
  <c r="S125" i="43"/>
  <c r="S60" i="43"/>
  <c r="S190" i="43"/>
  <c r="S189" i="43"/>
  <c r="S61" i="43"/>
  <c r="S90" i="43"/>
  <c r="S160" i="43"/>
  <c r="S28" i="43"/>
  <c r="S30" i="43"/>
  <c r="S59" i="43"/>
  <c r="S155" i="43"/>
  <c r="S157" i="43"/>
  <c r="S154" i="43"/>
  <c r="S168" i="43"/>
  <c r="S89" i="43"/>
  <c r="S152" i="43"/>
  <c r="S122" i="43"/>
  <c r="S121" i="43"/>
  <c r="S62" i="43"/>
  <c r="S91" i="43"/>
  <c r="S167" i="43"/>
  <c r="S31" i="43"/>
  <c r="S150" i="43"/>
  <c r="S86" i="43"/>
  <c r="S187" i="43"/>
  <c r="S188" i="43"/>
  <c r="S118" i="43"/>
  <c r="S185" i="43"/>
  <c r="S88" i="43"/>
  <c r="S120" i="43"/>
  <c r="S117" i="43"/>
  <c r="S186" i="43"/>
  <c r="S55" i="43"/>
  <c r="S165" i="43"/>
  <c r="S27" i="43"/>
  <c r="S116" i="43"/>
  <c r="S57" i="43"/>
  <c r="S149" i="43"/>
  <c r="S87" i="43"/>
  <c r="S119" i="43"/>
  <c r="S115" i="43"/>
  <c r="S184" i="43"/>
  <c r="S183" i="43"/>
  <c r="S56" i="43"/>
  <c r="S182" i="43"/>
  <c r="S24" i="43"/>
  <c r="S26" i="43"/>
  <c r="S54" i="43"/>
  <c r="S23" i="43"/>
  <c r="S53" i="43"/>
  <c r="S178" i="43"/>
  <c r="S85" i="43"/>
  <c r="S148" i="43"/>
  <c r="S181" i="43"/>
  <c r="S147" i="43"/>
  <c r="S146" i="43"/>
  <c r="S84" i="43"/>
  <c r="S52" i="43"/>
  <c r="S179" i="43"/>
  <c r="S180" i="43"/>
  <c r="S151" i="43"/>
  <c r="S114" i="43"/>
  <c r="S162" i="43"/>
  <c r="S83" i="43"/>
  <c r="S22" i="43"/>
  <c r="S25" i="43"/>
  <c r="S58" i="43"/>
  <c r="S36" i="43"/>
  <c r="S70" i="43"/>
  <c r="S173" i="43"/>
  <c r="S103" i="43"/>
  <c r="S99" i="43"/>
  <c r="S98" i="43"/>
  <c r="S9" i="43"/>
  <c r="S102" i="43"/>
  <c r="S97" i="43"/>
  <c r="S96" i="43"/>
  <c r="S8" i="43"/>
  <c r="S134" i="43"/>
  <c r="S42" i="43"/>
  <c r="S35" i="43"/>
  <c r="S34" i="43"/>
  <c r="S33" i="43"/>
  <c r="S69" i="43"/>
  <c r="S12" i="43"/>
  <c r="S101" i="43"/>
  <c r="S131" i="43"/>
  <c r="S68" i="43"/>
  <c r="S32" i="43"/>
  <c r="S41" i="43"/>
  <c r="S172" i="43"/>
  <c r="S40" i="43"/>
  <c r="S7" i="43"/>
  <c r="S39" i="43"/>
  <c r="S135" i="43"/>
  <c r="S95" i="43"/>
  <c r="S67" i="43"/>
  <c r="S11" i="43"/>
  <c r="S6" i="43"/>
  <c r="S130" i="43"/>
  <c r="S129" i="43"/>
  <c r="S128" i="43"/>
  <c r="S5" i="43"/>
  <c r="S4" i="43"/>
  <c r="S171" i="43"/>
  <c r="S73" i="43"/>
  <c r="S100" i="43"/>
  <c r="S170" i="43"/>
  <c r="S94" i="43"/>
  <c r="S3" i="43"/>
  <c r="S133" i="43"/>
  <c r="S169" i="43"/>
  <c r="S38" i="43"/>
  <c r="S66" i="43"/>
  <c r="S65" i="43"/>
  <c r="S64" i="43"/>
  <c r="S37" i="43"/>
  <c r="S10" i="43"/>
  <c r="S127" i="43"/>
  <c r="S63" i="43"/>
  <c r="S132" i="43"/>
  <c r="S72" i="43"/>
  <c r="S71" i="43"/>
  <c r="S126" i="43"/>
  <c r="S93" i="43"/>
  <c r="S2" i="43"/>
  <c r="S110" i="43"/>
  <c r="S81" i="43"/>
  <c r="S142" i="43"/>
  <c r="S78" i="43"/>
  <c r="S21" i="43"/>
  <c r="S113" i="43"/>
  <c r="S141" i="43"/>
  <c r="S47" i="43"/>
  <c r="S46" i="43"/>
  <c r="S164" i="43"/>
  <c r="S45" i="43"/>
  <c r="S20" i="43"/>
  <c r="S145" i="43"/>
  <c r="S177" i="43"/>
  <c r="S144" i="43"/>
  <c r="S77" i="43"/>
  <c r="S44" i="43"/>
  <c r="S143" i="43"/>
  <c r="S109" i="43"/>
  <c r="S108" i="43"/>
  <c r="S140" i="43"/>
  <c r="S82" i="43"/>
  <c r="S159" i="43"/>
  <c r="S19" i="43"/>
  <c r="S176" i="43"/>
  <c r="S175" i="43"/>
  <c r="S107" i="43"/>
  <c r="S139" i="43"/>
  <c r="S112" i="43"/>
  <c r="S49" i="43"/>
  <c r="S106" i="43"/>
  <c r="S138" i="43"/>
  <c r="S76" i="43"/>
  <c r="S18" i="43"/>
  <c r="S137" i="43"/>
  <c r="S17" i="43"/>
  <c r="S80" i="43"/>
  <c r="S16" i="43"/>
  <c r="S105" i="43"/>
  <c r="S111" i="43"/>
  <c r="S51" i="43"/>
  <c r="S15" i="43"/>
  <c r="S174" i="43"/>
  <c r="S14" i="43"/>
  <c r="S79" i="43"/>
  <c r="S136" i="43"/>
  <c r="S158" i="43"/>
  <c r="S50" i="43"/>
  <c r="S75" i="43"/>
  <c r="S43" i="43"/>
  <c r="S156" i="43"/>
  <c r="S48" i="43"/>
  <c r="S104" i="43"/>
  <c r="S74" i="43"/>
  <c r="S13" i="43"/>
  <c r="S161" i="43"/>
  <c r="S198" i="43"/>
  <c r="S196" i="43"/>
  <c r="S202" i="43"/>
  <c r="S195" i="43"/>
  <c r="S194" i="43"/>
  <c r="S201" i="43"/>
  <c r="S197" i="43"/>
  <c r="S200" i="43"/>
  <c r="S199" i="43"/>
  <c r="G20" i="19"/>
  <c r="A20" i="19"/>
  <c r="G19" i="19"/>
  <c r="A19" i="19"/>
  <c r="G18" i="19"/>
  <c r="A18" i="19"/>
  <c r="G17" i="19"/>
  <c r="A17" i="19"/>
  <c r="G16" i="19"/>
  <c r="A16" i="19"/>
  <c r="G15" i="19"/>
  <c r="A15" i="19"/>
  <c r="G14" i="19"/>
  <c r="A14" i="19"/>
  <c r="G13" i="19"/>
  <c r="A13" i="19"/>
  <c r="G12" i="19"/>
  <c r="A12" i="19"/>
  <c r="G11" i="19"/>
  <c r="A11" i="19"/>
  <c r="G10" i="19"/>
  <c r="A10" i="19"/>
  <c r="G9" i="19"/>
  <c r="A9" i="19"/>
  <c r="G8" i="19"/>
  <c r="A8" i="19"/>
  <c r="G7" i="19"/>
  <c r="A7" i="19"/>
  <c r="G6" i="19"/>
  <c r="A6" i="19"/>
  <c r="G5" i="19"/>
  <c r="A5" i="19"/>
  <c r="A4" i="19"/>
  <c r="A3" i="19"/>
  <c r="A2" i="19"/>
  <c r="A1" i="19"/>
  <c r="D114" i="18"/>
  <c r="C114" i="18"/>
  <c r="D113" i="18"/>
  <c r="C113" i="18"/>
  <c r="D112" i="18"/>
  <c r="C112" i="18"/>
  <c r="D111" i="18"/>
  <c r="C111" i="18"/>
  <c r="D110" i="18"/>
  <c r="C110" i="18"/>
  <c r="D109" i="18"/>
  <c r="C109" i="18"/>
  <c r="D108" i="18"/>
  <c r="C108" i="18"/>
  <c r="D107" i="18"/>
  <c r="C107" i="18"/>
  <c r="D106" i="18"/>
  <c r="C106" i="18"/>
  <c r="D105" i="18"/>
  <c r="C105" i="18"/>
  <c r="D104" i="18"/>
  <c r="C104" i="18"/>
  <c r="D103" i="18"/>
  <c r="C103" i="18"/>
  <c r="D102" i="18"/>
  <c r="C102" i="18"/>
  <c r="D101" i="18"/>
  <c r="C101" i="18"/>
  <c r="D100" i="18"/>
  <c r="C100" i="18"/>
  <c r="D99" i="18"/>
  <c r="C99" i="18"/>
  <c r="D98" i="18"/>
  <c r="C98" i="18"/>
  <c r="D97" i="18"/>
  <c r="C97" i="18"/>
  <c r="D96" i="18"/>
  <c r="C96" i="18"/>
  <c r="D95" i="18"/>
  <c r="C95" i="18"/>
  <c r="D94" i="18"/>
  <c r="C94" i="18"/>
  <c r="D93" i="18"/>
  <c r="C93" i="18"/>
  <c r="D92" i="18"/>
  <c r="C92" i="18"/>
  <c r="D91" i="18"/>
  <c r="C91" i="18"/>
  <c r="D90" i="18"/>
  <c r="C90" i="18"/>
  <c r="D89" i="18"/>
  <c r="C89" i="18"/>
  <c r="D88" i="18"/>
  <c r="C88" i="18"/>
  <c r="D87" i="18"/>
  <c r="C87" i="18"/>
  <c r="D86" i="18"/>
  <c r="C86" i="18"/>
  <c r="D85" i="18"/>
  <c r="C85" i="18"/>
  <c r="D84" i="18"/>
  <c r="C84" i="18"/>
  <c r="D83" i="18"/>
  <c r="C83" i="18"/>
  <c r="D82" i="18"/>
  <c r="C82" i="18"/>
  <c r="D81" i="18"/>
  <c r="C81" i="18"/>
  <c r="D80" i="18"/>
  <c r="C80" i="18"/>
  <c r="D79" i="18"/>
  <c r="C79" i="18"/>
  <c r="D78" i="18"/>
  <c r="C78" i="18"/>
  <c r="D77" i="18"/>
  <c r="C77" i="18"/>
  <c r="D76" i="18"/>
  <c r="C76" i="18"/>
  <c r="D75" i="18"/>
  <c r="C75" i="18"/>
  <c r="D74" i="18"/>
  <c r="C74" i="18"/>
  <c r="D73" i="18"/>
  <c r="C73" i="18"/>
  <c r="D72" i="18"/>
  <c r="C72" i="18"/>
  <c r="D71" i="18"/>
  <c r="C71" i="18"/>
  <c r="D70" i="18"/>
  <c r="C70" i="18"/>
  <c r="D69" i="18"/>
  <c r="C69" i="18"/>
  <c r="D68" i="18"/>
  <c r="C68" i="18"/>
  <c r="D67" i="18"/>
  <c r="C67" i="18"/>
  <c r="D66" i="18"/>
  <c r="C66" i="18"/>
  <c r="D65" i="18"/>
  <c r="C65" i="18"/>
  <c r="D64" i="18"/>
  <c r="C64" i="18"/>
  <c r="D63" i="18"/>
  <c r="C63" i="18"/>
  <c r="D62" i="18"/>
  <c r="C62" i="18"/>
  <c r="D61" i="18"/>
  <c r="C61" i="18"/>
  <c r="D60" i="18"/>
  <c r="C60" i="18"/>
  <c r="D59" i="18"/>
  <c r="C59" i="18"/>
  <c r="D58" i="18"/>
  <c r="C58" i="18"/>
  <c r="D57" i="18"/>
  <c r="C57" i="18"/>
  <c r="D56" i="18"/>
  <c r="C56" i="18"/>
  <c r="D55" i="18"/>
  <c r="C55" i="18"/>
  <c r="D54" i="18"/>
  <c r="C54" i="18"/>
  <c r="D53" i="18"/>
  <c r="C53" i="18"/>
  <c r="D52" i="18"/>
  <c r="C52" i="18"/>
  <c r="D51" i="18"/>
  <c r="C51" i="18"/>
  <c r="D50" i="18"/>
  <c r="C50" i="18"/>
  <c r="D49" i="18"/>
  <c r="C49" i="18"/>
  <c r="D48" i="18"/>
  <c r="C48" i="18"/>
  <c r="D47" i="18"/>
  <c r="C47" i="18"/>
  <c r="D46" i="18"/>
  <c r="C46" i="18"/>
  <c r="D45" i="18"/>
  <c r="C45" i="18"/>
  <c r="D44" i="18"/>
  <c r="C44" i="18"/>
  <c r="D43" i="18"/>
  <c r="C43" i="18"/>
  <c r="D42" i="18"/>
  <c r="C42" i="18"/>
  <c r="D41" i="18"/>
  <c r="C41" i="18"/>
  <c r="D40" i="18"/>
  <c r="C40" i="18"/>
  <c r="D39" i="18"/>
  <c r="C39" i="18"/>
  <c r="D38" i="18"/>
  <c r="C38" i="18"/>
  <c r="D37" i="18"/>
  <c r="C37" i="18"/>
  <c r="D36" i="18"/>
  <c r="C36" i="18"/>
  <c r="D35" i="18"/>
  <c r="C35" i="18"/>
  <c r="D34" i="18"/>
  <c r="C34" i="18"/>
  <c r="D33" i="18"/>
  <c r="C33" i="18"/>
  <c r="D32" i="18"/>
  <c r="C32" i="18"/>
  <c r="D31" i="18"/>
  <c r="C31" i="18"/>
  <c r="D30" i="18"/>
  <c r="C30" i="18"/>
  <c r="D29" i="18"/>
  <c r="C29" i="18"/>
  <c r="D28" i="18"/>
  <c r="C28" i="18"/>
  <c r="D27" i="18"/>
  <c r="C27" i="18"/>
  <c r="D26" i="18"/>
  <c r="C26" i="18"/>
  <c r="D25" i="18"/>
  <c r="C25" i="18"/>
  <c r="D24" i="18"/>
  <c r="C24" i="18"/>
  <c r="D23" i="18"/>
  <c r="C23" i="18"/>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D4" i="18"/>
  <c r="C4" i="18"/>
  <c r="D3" i="18"/>
  <c r="C3" i="18"/>
  <c r="D2" i="18"/>
  <c r="C2" i="18"/>
  <c r="V155" i="42"/>
  <c r="U155" i="42"/>
  <c r="T155" i="42"/>
  <c r="L155" i="42"/>
  <c r="K155" i="42"/>
  <c r="I155" i="42"/>
  <c r="G155" i="42"/>
  <c r="F155" i="42"/>
  <c r="D155" i="42"/>
  <c r="C155" i="42"/>
  <c r="A155" i="42"/>
  <c r="V154" i="42"/>
  <c r="U154" i="42"/>
  <c r="T154" i="42"/>
  <c r="L154" i="42"/>
  <c r="K154" i="42"/>
  <c r="I154" i="42"/>
  <c r="G154" i="42"/>
  <c r="F154" i="42"/>
  <c r="D154" i="42"/>
  <c r="C154" i="42"/>
  <c r="A154" i="42"/>
  <c r="AE153" i="42"/>
  <c r="A153" i="42"/>
  <c r="A152" i="42"/>
  <c r="A151" i="42"/>
  <c r="A150" i="42"/>
  <c r="V149" i="42"/>
  <c r="U149" i="42"/>
  <c r="T149" i="42"/>
  <c r="L149" i="42"/>
  <c r="K149" i="42"/>
  <c r="I149" i="42"/>
  <c r="G149" i="42"/>
  <c r="F149" i="42"/>
  <c r="D149" i="42"/>
  <c r="C149" i="42"/>
  <c r="A149" i="42"/>
  <c r="AE148" i="42"/>
  <c r="A148" i="42"/>
  <c r="A147" i="42"/>
  <c r="A146" i="42"/>
  <c r="A145" i="42"/>
  <c r="V144" i="42"/>
  <c r="U144" i="42"/>
  <c r="T144" i="42"/>
  <c r="L144" i="42"/>
  <c r="K144" i="42"/>
  <c r="I144" i="42"/>
  <c r="G144" i="42"/>
  <c r="F144" i="42"/>
  <c r="D144" i="42"/>
  <c r="C144" i="42"/>
  <c r="A144" i="42"/>
  <c r="AE143" i="42"/>
  <c r="A143" i="42"/>
  <c r="A142" i="42"/>
  <c r="A141" i="42"/>
  <c r="A140" i="42"/>
  <c r="V139" i="42"/>
  <c r="U139" i="42"/>
  <c r="T139" i="42"/>
  <c r="L139" i="42"/>
  <c r="K139" i="42"/>
  <c r="I139" i="42"/>
  <c r="G139" i="42"/>
  <c r="F139" i="42"/>
  <c r="D139" i="42"/>
  <c r="C139" i="42"/>
  <c r="A139" i="42"/>
  <c r="V138" i="42"/>
  <c r="U138" i="42"/>
  <c r="T138" i="42"/>
  <c r="L138" i="42"/>
  <c r="K138" i="42"/>
  <c r="I138" i="42"/>
  <c r="G138" i="42"/>
  <c r="F138" i="42"/>
  <c r="D138" i="42"/>
  <c r="C138" i="42"/>
  <c r="A138" i="42"/>
  <c r="AE137" i="42"/>
  <c r="A137" i="42"/>
  <c r="A136" i="42"/>
  <c r="A135" i="42"/>
  <c r="A134" i="42"/>
  <c r="V133" i="42"/>
  <c r="U133" i="42"/>
  <c r="T133" i="42"/>
  <c r="L133" i="42"/>
  <c r="K133" i="42"/>
  <c r="I133" i="42"/>
  <c r="G133" i="42"/>
  <c r="F133" i="42"/>
  <c r="D133" i="42"/>
  <c r="C133" i="42"/>
  <c r="A133" i="42"/>
  <c r="V132" i="42"/>
  <c r="U132" i="42"/>
  <c r="T132" i="42"/>
  <c r="L132" i="42"/>
  <c r="K132" i="42"/>
  <c r="I132" i="42"/>
  <c r="G132" i="42"/>
  <c r="F132" i="42"/>
  <c r="D132" i="42"/>
  <c r="C132" i="42"/>
  <c r="A132" i="42"/>
  <c r="A131" i="42"/>
  <c r="A130" i="42"/>
  <c r="A129" i="42"/>
  <c r="A126" i="42"/>
  <c r="F125" i="42"/>
  <c r="A125" i="42"/>
  <c r="V122" i="42"/>
  <c r="U122" i="42"/>
  <c r="T122" i="42"/>
  <c r="L122" i="42"/>
  <c r="K122" i="42"/>
  <c r="I122" i="42"/>
  <c r="G122" i="42"/>
  <c r="F122" i="42"/>
  <c r="D122" i="42"/>
  <c r="C122" i="42"/>
  <c r="A122" i="42"/>
  <c r="V121" i="42"/>
  <c r="U121" i="42"/>
  <c r="T121" i="42"/>
  <c r="L121" i="42"/>
  <c r="K121" i="42"/>
  <c r="I121" i="42"/>
  <c r="G121" i="42"/>
  <c r="F121" i="42"/>
  <c r="D121" i="42"/>
  <c r="C121" i="42"/>
  <c r="A121" i="42"/>
  <c r="V120" i="42"/>
  <c r="U120" i="42"/>
  <c r="T120" i="42"/>
  <c r="L120" i="42"/>
  <c r="K120" i="42"/>
  <c r="I120" i="42"/>
  <c r="G120" i="42"/>
  <c r="F120" i="42"/>
  <c r="D120" i="42"/>
  <c r="C120" i="42"/>
  <c r="A120" i="42"/>
  <c r="V119" i="42"/>
  <c r="U119" i="42"/>
  <c r="T119" i="42"/>
  <c r="L119" i="42"/>
  <c r="K119" i="42"/>
  <c r="I119" i="42"/>
  <c r="G119" i="42"/>
  <c r="F119" i="42"/>
  <c r="D119" i="42"/>
  <c r="C119" i="42"/>
  <c r="A119" i="42"/>
  <c r="V118" i="42"/>
  <c r="U118" i="42"/>
  <c r="T118" i="42"/>
  <c r="L118" i="42"/>
  <c r="K118" i="42"/>
  <c r="I118" i="42"/>
  <c r="G118" i="42"/>
  <c r="F118" i="42"/>
  <c r="D118" i="42"/>
  <c r="C118" i="42"/>
  <c r="A118" i="42"/>
  <c r="AE117" i="42"/>
  <c r="A117" i="42"/>
  <c r="A116" i="42"/>
  <c r="A115" i="42"/>
  <c r="A114" i="42"/>
  <c r="V113" i="42"/>
  <c r="U113" i="42"/>
  <c r="T113" i="42"/>
  <c r="L113" i="42"/>
  <c r="K113" i="42"/>
  <c r="I113" i="42"/>
  <c r="G113" i="42"/>
  <c r="F113" i="42"/>
  <c r="D113" i="42"/>
  <c r="C113" i="42"/>
  <c r="A113" i="42"/>
  <c r="V112" i="42"/>
  <c r="U112" i="42"/>
  <c r="T112" i="42"/>
  <c r="L112" i="42"/>
  <c r="K112" i="42"/>
  <c r="I112" i="42"/>
  <c r="G112" i="42"/>
  <c r="F112" i="42"/>
  <c r="D112" i="42"/>
  <c r="C112" i="42"/>
  <c r="A112" i="42"/>
  <c r="V111" i="42"/>
  <c r="U111" i="42"/>
  <c r="T111" i="42"/>
  <c r="L111" i="42"/>
  <c r="K111" i="42"/>
  <c r="I111" i="42"/>
  <c r="G111" i="42"/>
  <c r="F111" i="42"/>
  <c r="D111" i="42"/>
  <c r="C111" i="42"/>
  <c r="A111" i="42"/>
  <c r="AE110" i="42"/>
  <c r="A110" i="42"/>
  <c r="A109" i="42"/>
  <c r="A108" i="42"/>
  <c r="A107" i="42"/>
  <c r="V106" i="42"/>
  <c r="U106" i="42"/>
  <c r="T106" i="42"/>
  <c r="L106" i="42"/>
  <c r="K106" i="42"/>
  <c r="I106" i="42"/>
  <c r="G106" i="42"/>
  <c r="F106" i="42"/>
  <c r="D106" i="42"/>
  <c r="C106" i="42"/>
  <c r="A106" i="42"/>
  <c r="V105" i="42"/>
  <c r="U105" i="42"/>
  <c r="T105" i="42"/>
  <c r="L105" i="42"/>
  <c r="K105" i="42"/>
  <c r="I105" i="42"/>
  <c r="G105" i="42"/>
  <c r="F105" i="42"/>
  <c r="D105" i="42"/>
  <c r="C105" i="42"/>
  <c r="A105" i="42"/>
  <c r="V104" i="42"/>
  <c r="U104" i="42"/>
  <c r="T104" i="42"/>
  <c r="L104" i="42"/>
  <c r="K104" i="42"/>
  <c r="I104" i="42"/>
  <c r="G104" i="42"/>
  <c r="F104" i="42"/>
  <c r="D104" i="42"/>
  <c r="C104" i="42"/>
  <c r="A104" i="42"/>
  <c r="V103" i="42"/>
  <c r="U103" i="42"/>
  <c r="T103" i="42"/>
  <c r="L103" i="42"/>
  <c r="K103" i="42"/>
  <c r="I103" i="42"/>
  <c r="G103" i="42"/>
  <c r="F103" i="42"/>
  <c r="D103" i="42"/>
  <c r="C103" i="42"/>
  <c r="A103" i="42"/>
  <c r="V102" i="42"/>
  <c r="U102" i="42"/>
  <c r="T102" i="42"/>
  <c r="L102" i="42"/>
  <c r="K102" i="42"/>
  <c r="I102" i="42"/>
  <c r="G102" i="42"/>
  <c r="F102" i="42"/>
  <c r="D102" i="42"/>
  <c r="C102" i="42"/>
  <c r="A102" i="42"/>
  <c r="V101" i="42"/>
  <c r="U101" i="42"/>
  <c r="T101" i="42"/>
  <c r="L101" i="42"/>
  <c r="K101" i="42"/>
  <c r="I101" i="42"/>
  <c r="G101" i="42"/>
  <c r="F101" i="42"/>
  <c r="D101" i="42"/>
  <c r="C101" i="42"/>
  <c r="A101" i="42"/>
  <c r="AE100" i="42"/>
  <c r="A100" i="42"/>
  <c r="A99" i="42"/>
  <c r="A98" i="42"/>
  <c r="A97" i="42"/>
  <c r="V96" i="42"/>
  <c r="U96" i="42"/>
  <c r="T96" i="42"/>
  <c r="L96" i="42"/>
  <c r="K96" i="42"/>
  <c r="I96" i="42"/>
  <c r="G96" i="42"/>
  <c r="F96" i="42"/>
  <c r="D96" i="42"/>
  <c r="C96" i="42"/>
  <c r="A96" i="42"/>
  <c r="V95" i="42"/>
  <c r="U95" i="42"/>
  <c r="T95" i="42"/>
  <c r="L95" i="42"/>
  <c r="K95" i="42"/>
  <c r="I95" i="42"/>
  <c r="G95" i="42"/>
  <c r="F95" i="42"/>
  <c r="D95" i="42"/>
  <c r="C95" i="42"/>
  <c r="A95" i="42"/>
  <c r="V94" i="42"/>
  <c r="U94" i="42"/>
  <c r="T94" i="42"/>
  <c r="L94" i="42"/>
  <c r="K94" i="42"/>
  <c r="I94" i="42"/>
  <c r="G94" i="42"/>
  <c r="F94" i="42"/>
  <c r="D94" i="42"/>
  <c r="C94" i="42"/>
  <c r="A94" i="42"/>
  <c r="V93" i="42"/>
  <c r="U93" i="42"/>
  <c r="T93" i="42"/>
  <c r="L93" i="42"/>
  <c r="K93" i="42"/>
  <c r="I93" i="42"/>
  <c r="G93" i="42"/>
  <c r="F93" i="42"/>
  <c r="D93" i="42"/>
  <c r="C93" i="42"/>
  <c r="A93" i="42"/>
  <c r="V92" i="42"/>
  <c r="U92" i="42"/>
  <c r="T92" i="42"/>
  <c r="L92" i="42"/>
  <c r="K92" i="42"/>
  <c r="I92" i="42"/>
  <c r="G92" i="42"/>
  <c r="F92" i="42"/>
  <c r="D92" i="42"/>
  <c r="C92" i="42"/>
  <c r="A92" i="42"/>
  <c r="V91" i="42"/>
  <c r="U91" i="42"/>
  <c r="T91" i="42"/>
  <c r="L91" i="42"/>
  <c r="K91" i="42"/>
  <c r="I91" i="42"/>
  <c r="G91" i="42"/>
  <c r="F91" i="42"/>
  <c r="D91" i="42"/>
  <c r="C91" i="42"/>
  <c r="A91" i="42"/>
  <c r="V90" i="42"/>
  <c r="U90" i="42"/>
  <c r="T90" i="42"/>
  <c r="L90" i="42"/>
  <c r="K90" i="42"/>
  <c r="I90" i="42"/>
  <c r="G90" i="42"/>
  <c r="F90" i="42"/>
  <c r="D90" i="42"/>
  <c r="C90" i="42"/>
  <c r="A90" i="42"/>
  <c r="AE89" i="42"/>
  <c r="A89" i="42"/>
  <c r="A88" i="42"/>
  <c r="A87" i="42"/>
  <c r="A86" i="42"/>
  <c r="V85" i="42"/>
  <c r="U85" i="42"/>
  <c r="T85" i="42"/>
  <c r="L85" i="42"/>
  <c r="K85" i="42"/>
  <c r="I85" i="42"/>
  <c r="G85" i="42"/>
  <c r="F85" i="42"/>
  <c r="D85" i="42"/>
  <c r="C85" i="42"/>
  <c r="A85" i="42"/>
  <c r="V84" i="42"/>
  <c r="U84" i="42"/>
  <c r="T84" i="42"/>
  <c r="L84" i="42"/>
  <c r="K84" i="42"/>
  <c r="I84" i="42"/>
  <c r="G84" i="42"/>
  <c r="F84" i="42"/>
  <c r="D84" i="42"/>
  <c r="C84" i="42"/>
  <c r="A84" i="42"/>
  <c r="V83" i="42"/>
  <c r="U83" i="42"/>
  <c r="T83" i="42"/>
  <c r="L83" i="42"/>
  <c r="K83" i="42"/>
  <c r="I83" i="42"/>
  <c r="G83" i="42"/>
  <c r="F83" i="42"/>
  <c r="D83" i="42"/>
  <c r="C83" i="42"/>
  <c r="A83" i="42"/>
  <c r="V82" i="42"/>
  <c r="U82" i="42"/>
  <c r="T82" i="42"/>
  <c r="L82" i="42"/>
  <c r="K82" i="42"/>
  <c r="I82" i="42"/>
  <c r="G82" i="42"/>
  <c r="F82" i="42"/>
  <c r="D82" i="42"/>
  <c r="C82" i="42"/>
  <c r="A82" i="42"/>
  <c r="V81" i="42"/>
  <c r="U81" i="42"/>
  <c r="T81" i="42"/>
  <c r="L81" i="42"/>
  <c r="K81" i="42"/>
  <c r="I81" i="42"/>
  <c r="G81" i="42"/>
  <c r="F81" i="42"/>
  <c r="D81" i="42"/>
  <c r="C81" i="42"/>
  <c r="A81" i="42"/>
  <c r="V80" i="42"/>
  <c r="U80" i="42"/>
  <c r="T80" i="42"/>
  <c r="L80" i="42"/>
  <c r="K80" i="42"/>
  <c r="I80" i="42"/>
  <c r="G80" i="42"/>
  <c r="F80" i="42"/>
  <c r="D80" i="42"/>
  <c r="C80" i="42"/>
  <c r="A80" i="42"/>
  <c r="V79" i="42"/>
  <c r="U79" i="42"/>
  <c r="T79" i="42"/>
  <c r="L79" i="42"/>
  <c r="K79" i="42"/>
  <c r="I79" i="42"/>
  <c r="G79" i="42"/>
  <c r="F79" i="42"/>
  <c r="D79" i="42"/>
  <c r="C79" i="42"/>
  <c r="A79" i="42"/>
  <c r="V78" i="42"/>
  <c r="U78" i="42"/>
  <c r="T78" i="42"/>
  <c r="L78" i="42"/>
  <c r="K78" i="42"/>
  <c r="I78" i="42"/>
  <c r="G78" i="42"/>
  <c r="F78" i="42"/>
  <c r="D78" i="42"/>
  <c r="C78" i="42"/>
  <c r="A78" i="42"/>
  <c r="V77" i="42"/>
  <c r="U77" i="42"/>
  <c r="T77" i="42"/>
  <c r="L77" i="42"/>
  <c r="K77" i="42"/>
  <c r="I77" i="42"/>
  <c r="G77" i="42"/>
  <c r="F77" i="42"/>
  <c r="D77" i="42"/>
  <c r="C77" i="42"/>
  <c r="A77" i="42"/>
  <c r="V76" i="42"/>
  <c r="U76" i="42"/>
  <c r="T76" i="42"/>
  <c r="L76" i="42"/>
  <c r="K76" i="42"/>
  <c r="I76" i="42"/>
  <c r="G76" i="42"/>
  <c r="F76" i="42"/>
  <c r="D76" i="42"/>
  <c r="C76" i="42"/>
  <c r="A76" i="42"/>
  <c r="V75" i="42"/>
  <c r="U75" i="42"/>
  <c r="T75" i="42"/>
  <c r="L75" i="42"/>
  <c r="K75" i="42"/>
  <c r="I75" i="42"/>
  <c r="G75" i="42"/>
  <c r="F75" i="42"/>
  <c r="D75" i="42"/>
  <c r="C75" i="42"/>
  <c r="A75" i="42"/>
  <c r="A74" i="42"/>
  <c r="A73" i="42"/>
  <c r="A72" i="42"/>
  <c r="V70" i="42"/>
  <c r="U70" i="42"/>
  <c r="T70" i="42"/>
  <c r="L70" i="42"/>
  <c r="K70" i="42"/>
  <c r="I70" i="42"/>
  <c r="G70" i="42"/>
  <c r="F70" i="42"/>
  <c r="D70" i="42"/>
  <c r="C70" i="42"/>
  <c r="A70" i="42"/>
  <c r="V69" i="42"/>
  <c r="U69" i="42"/>
  <c r="T69" i="42"/>
  <c r="L69" i="42"/>
  <c r="K69" i="42"/>
  <c r="I69" i="42"/>
  <c r="G69" i="42"/>
  <c r="F69" i="42"/>
  <c r="D69" i="42"/>
  <c r="C69" i="42"/>
  <c r="A69" i="42"/>
  <c r="V68" i="42"/>
  <c r="U68" i="42"/>
  <c r="T68" i="42"/>
  <c r="L68" i="42"/>
  <c r="K68" i="42"/>
  <c r="I68" i="42"/>
  <c r="G68" i="42"/>
  <c r="F68" i="42"/>
  <c r="D68" i="42"/>
  <c r="C68" i="42"/>
  <c r="A68" i="42"/>
  <c r="V67" i="42"/>
  <c r="U67" i="42"/>
  <c r="T67" i="42"/>
  <c r="L67" i="42"/>
  <c r="K67" i="42"/>
  <c r="I67" i="42"/>
  <c r="G67" i="42"/>
  <c r="F67" i="42"/>
  <c r="D67" i="42"/>
  <c r="C67" i="42"/>
  <c r="A67" i="42"/>
  <c r="V66" i="42"/>
  <c r="U66" i="42"/>
  <c r="T66" i="42"/>
  <c r="L66" i="42"/>
  <c r="K66" i="42"/>
  <c r="I66" i="42"/>
  <c r="G66" i="42"/>
  <c r="F66" i="42"/>
  <c r="D66" i="42"/>
  <c r="C66" i="42"/>
  <c r="A66" i="42"/>
  <c r="V65" i="42"/>
  <c r="U65" i="42"/>
  <c r="T65" i="42"/>
  <c r="L65" i="42"/>
  <c r="K65" i="42"/>
  <c r="I65" i="42"/>
  <c r="G65" i="42"/>
  <c r="F65" i="42"/>
  <c r="D65" i="42"/>
  <c r="C65" i="42"/>
  <c r="A65" i="42"/>
  <c r="V64" i="42"/>
  <c r="U64" i="42"/>
  <c r="T64" i="42"/>
  <c r="L64" i="42"/>
  <c r="K64" i="42"/>
  <c r="I64" i="42"/>
  <c r="G64" i="42"/>
  <c r="F64" i="42"/>
  <c r="D64" i="42"/>
  <c r="C64" i="42"/>
  <c r="A64" i="42"/>
  <c r="V63" i="42"/>
  <c r="U63" i="42"/>
  <c r="T63" i="42"/>
  <c r="L63" i="42"/>
  <c r="K63" i="42"/>
  <c r="I63" i="42"/>
  <c r="G63" i="42"/>
  <c r="F63" i="42"/>
  <c r="D63" i="42"/>
  <c r="C63" i="42"/>
  <c r="A63" i="42"/>
  <c r="V62" i="42"/>
  <c r="U62" i="42"/>
  <c r="T62" i="42"/>
  <c r="L62" i="42"/>
  <c r="K62" i="42"/>
  <c r="I62" i="42"/>
  <c r="G62" i="42"/>
  <c r="F62" i="42"/>
  <c r="D62" i="42"/>
  <c r="C62" i="42"/>
  <c r="A62" i="42"/>
  <c r="V61" i="42"/>
  <c r="U61" i="42"/>
  <c r="T61" i="42"/>
  <c r="L61" i="42"/>
  <c r="K61" i="42"/>
  <c r="I61" i="42"/>
  <c r="G61" i="42"/>
  <c r="F61" i="42"/>
  <c r="D61" i="42"/>
  <c r="C61" i="42"/>
  <c r="A61" i="42"/>
  <c r="V60" i="42"/>
  <c r="U60" i="42"/>
  <c r="T60" i="42"/>
  <c r="L60" i="42"/>
  <c r="K60" i="42"/>
  <c r="I60" i="42"/>
  <c r="G60" i="42"/>
  <c r="F60" i="42"/>
  <c r="D60" i="42"/>
  <c r="C60" i="42"/>
  <c r="A60" i="42"/>
  <c r="V59" i="42"/>
  <c r="U59" i="42"/>
  <c r="T59" i="42"/>
  <c r="L59" i="42"/>
  <c r="K59" i="42"/>
  <c r="I59" i="42"/>
  <c r="G59" i="42"/>
  <c r="F59" i="42"/>
  <c r="D59" i="42"/>
  <c r="C59" i="42"/>
  <c r="A59" i="42"/>
  <c r="A58" i="42"/>
  <c r="A57" i="42"/>
  <c r="A56" i="42"/>
  <c r="F55" i="42"/>
  <c r="A55" i="42"/>
  <c r="V52" i="42"/>
  <c r="U52" i="42"/>
  <c r="T52" i="42"/>
  <c r="L52" i="42"/>
  <c r="K52" i="42"/>
  <c r="I52" i="42"/>
  <c r="G52" i="42"/>
  <c r="F52" i="42"/>
  <c r="D52" i="42"/>
  <c r="C52" i="42"/>
  <c r="A52" i="42"/>
  <c r="AE51" i="42"/>
  <c r="A51" i="42"/>
  <c r="A50" i="42"/>
  <c r="A49" i="42"/>
  <c r="A48" i="42"/>
  <c r="V47" i="42"/>
  <c r="U47" i="42"/>
  <c r="T47" i="42"/>
  <c r="L47" i="42"/>
  <c r="K47" i="42"/>
  <c r="I47" i="42"/>
  <c r="G47" i="42"/>
  <c r="F47" i="42"/>
  <c r="D47" i="42"/>
  <c r="C47" i="42"/>
  <c r="A47" i="42"/>
  <c r="V46" i="42"/>
  <c r="U46" i="42"/>
  <c r="T46" i="42"/>
  <c r="L46" i="42"/>
  <c r="K46" i="42"/>
  <c r="I46" i="42"/>
  <c r="G46" i="42"/>
  <c r="F46" i="42"/>
  <c r="D46" i="42"/>
  <c r="C46" i="42"/>
  <c r="A46" i="42"/>
  <c r="V45" i="42"/>
  <c r="U45" i="42"/>
  <c r="T45" i="42"/>
  <c r="L45" i="42"/>
  <c r="K45" i="42"/>
  <c r="I45" i="42"/>
  <c r="G45" i="42"/>
  <c r="F45" i="42"/>
  <c r="D45" i="42"/>
  <c r="C45" i="42"/>
  <c r="A45" i="42"/>
  <c r="V44" i="42"/>
  <c r="U44" i="42"/>
  <c r="T44" i="42"/>
  <c r="L44" i="42"/>
  <c r="K44" i="42"/>
  <c r="I44" i="42"/>
  <c r="G44" i="42"/>
  <c r="F44" i="42"/>
  <c r="D44" i="42"/>
  <c r="C44" i="42"/>
  <c r="A44" i="42"/>
  <c r="AE43" i="42"/>
  <c r="A43" i="42"/>
  <c r="A42" i="42"/>
  <c r="A41" i="42"/>
  <c r="A40" i="42"/>
  <c r="V39" i="42"/>
  <c r="U39" i="42"/>
  <c r="T39" i="42"/>
  <c r="L39" i="42"/>
  <c r="K39" i="42"/>
  <c r="I39" i="42"/>
  <c r="G39" i="42"/>
  <c r="F39" i="42"/>
  <c r="D39" i="42"/>
  <c r="C39" i="42"/>
  <c r="A39" i="42"/>
  <c r="V38" i="42"/>
  <c r="U38" i="42"/>
  <c r="T38" i="42"/>
  <c r="L38" i="42"/>
  <c r="K38" i="42"/>
  <c r="I38" i="42"/>
  <c r="G38" i="42"/>
  <c r="F38" i="42"/>
  <c r="D38" i="42"/>
  <c r="C38" i="42"/>
  <c r="A38" i="42"/>
  <c r="V37" i="42"/>
  <c r="U37" i="42"/>
  <c r="T37" i="42"/>
  <c r="L37" i="42"/>
  <c r="K37" i="42"/>
  <c r="I37" i="42"/>
  <c r="G37" i="42"/>
  <c r="F37" i="42"/>
  <c r="D37" i="42"/>
  <c r="C37" i="42"/>
  <c r="A37" i="42"/>
  <c r="AE36" i="42"/>
  <c r="A36" i="42"/>
  <c r="A35" i="42"/>
  <c r="A34" i="42"/>
  <c r="A33" i="42"/>
  <c r="V32" i="42"/>
  <c r="U32" i="42"/>
  <c r="T32" i="42"/>
  <c r="L32" i="42"/>
  <c r="K32" i="42"/>
  <c r="I32" i="42"/>
  <c r="G32" i="42"/>
  <c r="F32" i="42"/>
  <c r="D32" i="42"/>
  <c r="C32" i="42"/>
  <c r="A32" i="42"/>
  <c r="V31" i="42"/>
  <c r="U31" i="42"/>
  <c r="T31" i="42"/>
  <c r="L31" i="42"/>
  <c r="K31" i="42"/>
  <c r="I31" i="42"/>
  <c r="G31" i="42"/>
  <c r="F31" i="42"/>
  <c r="D31" i="42"/>
  <c r="C31" i="42"/>
  <c r="A31" i="42"/>
  <c r="V30" i="42"/>
  <c r="U30" i="42"/>
  <c r="T30" i="42"/>
  <c r="L30" i="42"/>
  <c r="K30" i="42"/>
  <c r="I30" i="42"/>
  <c r="G30" i="42"/>
  <c r="F30" i="42"/>
  <c r="D30" i="42"/>
  <c r="C30" i="42"/>
  <c r="A30" i="42"/>
  <c r="V29" i="42"/>
  <c r="U29" i="42"/>
  <c r="T29" i="42"/>
  <c r="L29" i="42"/>
  <c r="K29" i="42"/>
  <c r="I29" i="42"/>
  <c r="G29" i="42"/>
  <c r="F29" i="42"/>
  <c r="D29" i="42"/>
  <c r="C29" i="42"/>
  <c r="A29" i="42"/>
  <c r="V28" i="42"/>
  <c r="U28" i="42"/>
  <c r="T28" i="42"/>
  <c r="L28" i="42"/>
  <c r="K28" i="42"/>
  <c r="I28" i="42"/>
  <c r="G28" i="42"/>
  <c r="F28" i="42"/>
  <c r="D28" i="42"/>
  <c r="C28" i="42"/>
  <c r="A28" i="42"/>
  <c r="V27" i="42"/>
  <c r="U27" i="42"/>
  <c r="T27" i="42"/>
  <c r="L27" i="42"/>
  <c r="K27" i="42"/>
  <c r="I27" i="42"/>
  <c r="G27" i="42"/>
  <c r="F27" i="42"/>
  <c r="D27" i="42"/>
  <c r="C27" i="42"/>
  <c r="A27" i="42"/>
  <c r="AE26" i="42"/>
  <c r="A26" i="42"/>
  <c r="A25" i="42"/>
  <c r="A24" i="42"/>
  <c r="A23" i="42"/>
  <c r="V22" i="42"/>
  <c r="U22" i="42"/>
  <c r="T22" i="42"/>
  <c r="L22" i="42"/>
  <c r="K22" i="42"/>
  <c r="I22" i="42"/>
  <c r="G22" i="42"/>
  <c r="F22" i="42"/>
  <c r="D22" i="42"/>
  <c r="C22" i="42"/>
  <c r="A22" i="42"/>
  <c r="V21" i="42"/>
  <c r="U21" i="42"/>
  <c r="T21" i="42"/>
  <c r="L21" i="42"/>
  <c r="K21" i="42"/>
  <c r="I21" i="42"/>
  <c r="G21" i="42"/>
  <c r="F21" i="42"/>
  <c r="D21" i="42"/>
  <c r="C21" i="42"/>
  <c r="A21" i="42"/>
  <c r="V20" i="42"/>
  <c r="U20" i="42"/>
  <c r="T20" i="42"/>
  <c r="L20" i="42"/>
  <c r="K20" i="42"/>
  <c r="I20" i="42"/>
  <c r="G20" i="42"/>
  <c r="F20" i="42"/>
  <c r="D20" i="42"/>
  <c r="C20" i="42"/>
  <c r="A20" i="42"/>
  <c r="V19" i="42"/>
  <c r="U19" i="42"/>
  <c r="T19" i="42"/>
  <c r="L19" i="42"/>
  <c r="K19" i="42"/>
  <c r="I19" i="42"/>
  <c r="G19" i="42"/>
  <c r="F19" i="42"/>
  <c r="D19" i="42"/>
  <c r="C19" i="42"/>
  <c r="A19" i="42"/>
  <c r="A18" i="42"/>
  <c r="A17" i="42"/>
  <c r="A16" i="42"/>
  <c r="V14" i="42"/>
  <c r="U14" i="42"/>
  <c r="T14" i="42"/>
  <c r="L14" i="42"/>
  <c r="K14" i="42"/>
  <c r="I14" i="42"/>
  <c r="G14" i="42"/>
  <c r="F14" i="42"/>
  <c r="D14" i="42"/>
  <c r="C14" i="42"/>
  <c r="A14" i="42"/>
  <c r="V13" i="42"/>
  <c r="U13" i="42"/>
  <c r="T13" i="42"/>
  <c r="L13" i="42"/>
  <c r="K13" i="42"/>
  <c r="I13" i="42"/>
  <c r="G13" i="42"/>
  <c r="F13" i="42"/>
  <c r="D13" i="42"/>
  <c r="C13" i="42"/>
  <c r="A13" i="42"/>
  <c r="A12" i="42"/>
  <c r="A11" i="42"/>
  <c r="A10" i="42"/>
  <c r="F9" i="42"/>
  <c r="A9" i="42"/>
  <c r="A6" i="42"/>
  <c r="A5" i="42"/>
  <c r="C4" i="42"/>
  <c r="A4" i="42"/>
  <c r="A3" i="42"/>
  <c r="A2" i="42"/>
  <c r="A259" i="41"/>
  <c r="A258" i="41"/>
  <c r="F257" i="41"/>
  <c r="A257" i="41"/>
  <c r="A254" i="41"/>
  <c r="A253" i="41"/>
  <c r="F252" i="41"/>
  <c r="A252" i="41"/>
  <c r="AG249" i="41"/>
  <c r="M249" i="41"/>
  <c r="A249" i="41"/>
  <c r="A248" i="41"/>
  <c r="F247" i="41"/>
  <c r="A247" i="41"/>
  <c r="AG245" i="41"/>
  <c r="AF245" i="41"/>
  <c r="AE245" i="41"/>
  <c r="AD245" i="41"/>
  <c r="AC245" i="41"/>
  <c r="V245" i="41"/>
  <c r="U245" i="41"/>
  <c r="T245" i="41"/>
  <c r="M245" i="41"/>
  <c r="L245" i="41"/>
  <c r="K245" i="41"/>
  <c r="I245" i="41"/>
  <c r="G245" i="41"/>
  <c r="F245" i="41"/>
  <c r="D245" i="41"/>
  <c r="C245" i="41"/>
  <c r="A245" i="41"/>
  <c r="AG244" i="41"/>
  <c r="AF244" i="41"/>
  <c r="AE244" i="41"/>
  <c r="AD244" i="41"/>
  <c r="AC244" i="41"/>
  <c r="V244" i="41"/>
  <c r="U244" i="41"/>
  <c r="T244" i="41"/>
  <c r="M244" i="41"/>
  <c r="L244" i="41"/>
  <c r="K244" i="41"/>
  <c r="I244" i="41"/>
  <c r="G244" i="41"/>
  <c r="F244" i="41"/>
  <c r="D244" i="41"/>
  <c r="C244" i="41"/>
  <c r="A244" i="41"/>
  <c r="AG243" i="41"/>
  <c r="AF243" i="41"/>
  <c r="AE243" i="41"/>
  <c r="AD243" i="41"/>
  <c r="AC243" i="41"/>
  <c r="V243" i="41"/>
  <c r="U243" i="41"/>
  <c r="T243" i="41"/>
  <c r="M243" i="41"/>
  <c r="L243" i="41"/>
  <c r="K243" i="41"/>
  <c r="I243" i="41"/>
  <c r="G243" i="41"/>
  <c r="F243" i="41"/>
  <c r="D243" i="41"/>
  <c r="C243" i="41"/>
  <c r="A243" i="41"/>
  <c r="AG242" i="41"/>
  <c r="AF242" i="41"/>
  <c r="AE242" i="41"/>
  <c r="AD242" i="41"/>
  <c r="AC242" i="41"/>
  <c r="V242" i="41"/>
  <c r="U242" i="41"/>
  <c r="T242" i="41"/>
  <c r="M242" i="41"/>
  <c r="L242" i="41"/>
  <c r="K242" i="41"/>
  <c r="I242" i="41"/>
  <c r="G242" i="41"/>
  <c r="F242" i="41"/>
  <c r="D242" i="41"/>
  <c r="C242" i="41"/>
  <c r="A242" i="41"/>
  <c r="AG241" i="41"/>
  <c r="AF241" i="41"/>
  <c r="AE241" i="41"/>
  <c r="AD241" i="41"/>
  <c r="AC241" i="41"/>
  <c r="V241" i="41"/>
  <c r="U241" i="41"/>
  <c r="T241" i="41"/>
  <c r="M241" i="41"/>
  <c r="L241" i="41"/>
  <c r="K241" i="41"/>
  <c r="I241" i="41"/>
  <c r="G241" i="41"/>
  <c r="F241" i="41"/>
  <c r="D241" i="41"/>
  <c r="C241" i="41"/>
  <c r="A241" i="41"/>
  <c r="AG240" i="41"/>
  <c r="AF240" i="41"/>
  <c r="AE240" i="41"/>
  <c r="AD240" i="41"/>
  <c r="AC240" i="41"/>
  <c r="V240" i="41"/>
  <c r="U240" i="41"/>
  <c r="T240" i="41"/>
  <c r="M240" i="41"/>
  <c r="L240" i="41"/>
  <c r="K240" i="41"/>
  <c r="I240" i="41"/>
  <c r="G240" i="41"/>
  <c r="F240" i="41"/>
  <c r="D240" i="41"/>
  <c r="C240" i="41"/>
  <c r="A240" i="41"/>
  <c r="AG239" i="41"/>
  <c r="AF239" i="41"/>
  <c r="AE239" i="41"/>
  <c r="AD239" i="41"/>
  <c r="AC239" i="41"/>
  <c r="V239" i="41"/>
  <c r="U239" i="41"/>
  <c r="T239" i="41"/>
  <c r="M239" i="41"/>
  <c r="L239" i="41"/>
  <c r="K239" i="41"/>
  <c r="I239" i="41"/>
  <c r="G239" i="41"/>
  <c r="F239" i="41"/>
  <c r="D239" i="41"/>
  <c r="C239" i="41"/>
  <c r="A239" i="41"/>
  <c r="AG238" i="41"/>
  <c r="AF238" i="41"/>
  <c r="AE238" i="41"/>
  <c r="AD238" i="41"/>
  <c r="AC238" i="41"/>
  <c r="V238" i="41"/>
  <c r="U238" i="41"/>
  <c r="T238" i="41"/>
  <c r="M238" i="41"/>
  <c r="L238" i="41"/>
  <c r="K238" i="41"/>
  <c r="I238" i="41"/>
  <c r="G238" i="41"/>
  <c r="F238" i="41"/>
  <c r="D238" i="41"/>
  <c r="C238" i="41"/>
  <c r="A238" i="41"/>
  <c r="AG237" i="41"/>
  <c r="AF237" i="41"/>
  <c r="AE237" i="41"/>
  <c r="AD237" i="41"/>
  <c r="AC237" i="41"/>
  <c r="V237" i="41"/>
  <c r="U237" i="41"/>
  <c r="T237" i="41"/>
  <c r="M237" i="41"/>
  <c r="L237" i="41"/>
  <c r="K237" i="41"/>
  <c r="I237" i="41"/>
  <c r="G237" i="41"/>
  <c r="F237" i="41"/>
  <c r="D237" i="41"/>
  <c r="C237" i="41"/>
  <c r="A237" i="41"/>
  <c r="AG236" i="41"/>
  <c r="AF236" i="41"/>
  <c r="AE236" i="41"/>
  <c r="AD236" i="41"/>
  <c r="AC236" i="41"/>
  <c r="V236" i="41"/>
  <c r="U236" i="41"/>
  <c r="T236" i="41"/>
  <c r="M236" i="41"/>
  <c r="L236" i="41"/>
  <c r="K236" i="41"/>
  <c r="I236" i="41"/>
  <c r="G236" i="41"/>
  <c r="F236" i="41"/>
  <c r="D236" i="41"/>
  <c r="C236" i="41"/>
  <c r="A236" i="41"/>
  <c r="AG235" i="41"/>
  <c r="AF235" i="41"/>
  <c r="AE235" i="41"/>
  <c r="AD235" i="41"/>
  <c r="AC235" i="41"/>
  <c r="V235" i="41"/>
  <c r="U235" i="41"/>
  <c r="T235" i="41"/>
  <c r="M235" i="41"/>
  <c r="L235" i="41"/>
  <c r="K235" i="41"/>
  <c r="I235" i="41"/>
  <c r="G235" i="41"/>
  <c r="F235" i="41"/>
  <c r="D235" i="41"/>
  <c r="C235" i="41"/>
  <c r="A235" i="41"/>
  <c r="AG234" i="41"/>
  <c r="AF234" i="41"/>
  <c r="AE234" i="41"/>
  <c r="AD234" i="41"/>
  <c r="AC234" i="41"/>
  <c r="V234" i="41"/>
  <c r="U234" i="41"/>
  <c r="T234" i="41"/>
  <c r="M234" i="41"/>
  <c r="L234" i="41"/>
  <c r="K234" i="41"/>
  <c r="I234" i="41"/>
  <c r="G234" i="41"/>
  <c r="F234" i="41"/>
  <c r="D234" i="41"/>
  <c r="C234" i="41"/>
  <c r="A234" i="41"/>
  <c r="AG233" i="41"/>
  <c r="AF233" i="41"/>
  <c r="AE233" i="41"/>
  <c r="AD233" i="41"/>
  <c r="AC233" i="41"/>
  <c r="V233" i="41"/>
  <c r="U233" i="41"/>
  <c r="T233" i="41"/>
  <c r="M233" i="41"/>
  <c r="L233" i="41"/>
  <c r="K233" i="41"/>
  <c r="I233" i="41"/>
  <c r="G233" i="41"/>
  <c r="F233" i="41"/>
  <c r="D233" i="41"/>
  <c r="C233" i="41"/>
  <c r="A233" i="41"/>
  <c r="AG232" i="41"/>
  <c r="AF232" i="41"/>
  <c r="AE232" i="41"/>
  <c r="AD232" i="41"/>
  <c r="AC232" i="41"/>
  <c r="V232" i="41"/>
  <c r="U232" i="41"/>
  <c r="T232" i="41"/>
  <c r="M232" i="41"/>
  <c r="L232" i="41"/>
  <c r="K232" i="41"/>
  <c r="I232" i="41"/>
  <c r="G232" i="41"/>
  <c r="F232" i="41"/>
  <c r="D232" i="41"/>
  <c r="C232" i="41"/>
  <c r="A232" i="41"/>
  <c r="AG231" i="41"/>
  <c r="AF231" i="41"/>
  <c r="AE231" i="41"/>
  <c r="AD231" i="41"/>
  <c r="AC231" i="41"/>
  <c r="V231" i="41"/>
  <c r="U231" i="41"/>
  <c r="T231" i="41"/>
  <c r="M231" i="41"/>
  <c r="L231" i="41"/>
  <c r="K231" i="41"/>
  <c r="I231" i="41"/>
  <c r="G231" i="41"/>
  <c r="F231" i="41"/>
  <c r="D231" i="41"/>
  <c r="C231" i="41"/>
  <c r="A231" i="41"/>
  <c r="AG230" i="41"/>
  <c r="AF230" i="41"/>
  <c r="AE230" i="41"/>
  <c r="AD230" i="41"/>
  <c r="AC230" i="41"/>
  <c r="V230" i="41"/>
  <c r="U230" i="41"/>
  <c r="T230" i="41"/>
  <c r="M230" i="41"/>
  <c r="L230" i="41"/>
  <c r="K230" i="41"/>
  <c r="I230" i="41"/>
  <c r="G230" i="41"/>
  <c r="F230" i="41"/>
  <c r="D230" i="41"/>
  <c r="C230" i="41"/>
  <c r="A230" i="41"/>
  <c r="AG229" i="41"/>
  <c r="AF229" i="41"/>
  <c r="AE229" i="41"/>
  <c r="AD229" i="41"/>
  <c r="AC229" i="41"/>
  <c r="V229" i="41"/>
  <c r="U229" i="41"/>
  <c r="T229" i="41"/>
  <c r="M229" i="41"/>
  <c r="L229" i="41"/>
  <c r="K229" i="41"/>
  <c r="I229" i="41"/>
  <c r="G229" i="41"/>
  <c r="F229" i="41"/>
  <c r="D229" i="41"/>
  <c r="C229" i="41"/>
  <c r="A229" i="41"/>
  <c r="AG228" i="41"/>
  <c r="AF228" i="41"/>
  <c r="AE228" i="41"/>
  <c r="AD228" i="41"/>
  <c r="AC228" i="41"/>
  <c r="V228" i="41"/>
  <c r="U228" i="41"/>
  <c r="T228" i="41"/>
  <c r="M228" i="41"/>
  <c r="L228" i="41"/>
  <c r="K228" i="41"/>
  <c r="I228" i="41"/>
  <c r="G228" i="41"/>
  <c r="F228" i="41"/>
  <c r="D228" i="41"/>
  <c r="C228" i="41"/>
  <c r="A228" i="41"/>
  <c r="AG227" i="41"/>
  <c r="AF227" i="41"/>
  <c r="AE227" i="41"/>
  <c r="AD227" i="41"/>
  <c r="AC227" i="41"/>
  <c r="V227" i="41"/>
  <c r="U227" i="41"/>
  <c r="T227" i="41"/>
  <c r="M227" i="41"/>
  <c r="L227" i="41"/>
  <c r="K227" i="41"/>
  <c r="I227" i="41"/>
  <c r="G227" i="41"/>
  <c r="F227" i="41"/>
  <c r="D227" i="41"/>
  <c r="C227" i="41"/>
  <c r="A227" i="41"/>
  <c r="AG226" i="41"/>
  <c r="AF226" i="41"/>
  <c r="AE226" i="41"/>
  <c r="AD226" i="41"/>
  <c r="AC226" i="41"/>
  <c r="V226" i="41"/>
  <c r="U226" i="41"/>
  <c r="T226" i="41"/>
  <c r="M226" i="41"/>
  <c r="L226" i="41"/>
  <c r="K226" i="41"/>
  <c r="I226" i="41"/>
  <c r="G226" i="41"/>
  <c r="F226" i="41"/>
  <c r="D226" i="41"/>
  <c r="C226" i="41"/>
  <c r="A226" i="41"/>
  <c r="AG225" i="41"/>
  <c r="AF225" i="41"/>
  <c r="AE225" i="41"/>
  <c r="AD225" i="41"/>
  <c r="AC225" i="41"/>
  <c r="V225" i="41"/>
  <c r="U225" i="41"/>
  <c r="T225" i="41"/>
  <c r="M225" i="41"/>
  <c r="L225" i="41"/>
  <c r="K225" i="41"/>
  <c r="I225" i="41"/>
  <c r="G225" i="41"/>
  <c r="F225" i="41"/>
  <c r="D225" i="41"/>
  <c r="C225" i="41"/>
  <c r="A225" i="41"/>
  <c r="AG224" i="41"/>
  <c r="AF224" i="41"/>
  <c r="AE224" i="41"/>
  <c r="AD224" i="41"/>
  <c r="AC224" i="41"/>
  <c r="V224" i="41"/>
  <c r="U224" i="41"/>
  <c r="T224" i="41"/>
  <c r="M224" i="41"/>
  <c r="L224" i="41"/>
  <c r="K224" i="41"/>
  <c r="I224" i="41"/>
  <c r="G224" i="41"/>
  <c r="F224" i="41"/>
  <c r="D224" i="41"/>
  <c r="C224" i="41"/>
  <c r="A224" i="41"/>
  <c r="AG223" i="41"/>
  <c r="AF223" i="41"/>
  <c r="AE223" i="41"/>
  <c r="AD223" i="41"/>
  <c r="AC223" i="41"/>
  <c r="V223" i="41"/>
  <c r="U223" i="41"/>
  <c r="T223" i="41"/>
  <c r="M223" i="41"/>
  <c r="L223" i="41"/>
  <c r="K223" i="41"/>
  <c r="I223" i="41"/>
  <c r="G223" i="41"/>
  <c r="F223" i="41"/>
  <c r="D223" i="41"/>
  <c r="C223" i="41"/>
  <c r="A223" i="41"/>
  <c r="AG222" i="41"/>
  <c r="AF222" i="41"/>
  <c r="AE222" i="41"/>
  <c r="AD222" i="41"/>
  <c r="AC222" i="41"/>
  <c r="V222" i="41"/>
  <c r="U222" i="41"/>
  <c r="T222" i="41"/>
  <c r="M222" i="41"/>
  <c r="L222" i="41"/>
  <c r="K222" i="41"/>
  <c r="I222" i="41"/>
  <c r="G222" i="41"/>
  <c r="F222" i="41"/>
  <c r="D222" i="41"/>
  <c r="C222" i="41"/>
  <c r="A222" i="41"/>
  <c r="AG221" i="41"/>
  <c r="AF221" i="41"/>
  <c r="AE221" i="41"/>
  <c r="AD221" i="41"/>
  <c r="AC221" i="41"/>
  <c r="V221" i="41"/>
  <c r="U221" i="41"/>
  <c r="T221" i="41"/>
  <c r="M221" i="41"/>
  <c r="L221" i="41"/>
  <c r="K221" i="41"/>
  <c r="I221" i="41"/>
  <c r="G221" i="41"/>
  <c r="F221" i="41"/>
  <c r="D221" i="41"/>
  <c r="C221" i="41"/>
  <c r="A221" i="41"/>
  <c r="AG220" i="41"/>
  <c r="AF220" i="41"/>
  <c r="AE220" i="41"/>
  <c r="AD220" i="41"/>
  <c r="AC220" i="41"/>
  <c r="V220" i="41"/>
  <c r="U220" i="41"/>
  <c r="T220" i="41"/>
  <c r="M220" i="41"/>
  <c r="L220" i="41"/>
  <c r="K220" i="41"/>
  <c r="I220" i="41"/>
  <c r="G220" i="41"/>
  <c r="F220" i="41"/>
  <c r="D220" i="41"/>
  <c r="C220" i="41"/>
  <c r="A220" i="41"/>
  <c r="AG219" i="41"/>
  <c r="AF219" i="41"/>
  <c r="AE219" i="41"/>
  <c r="AD219" i="41"/>
  <c r="AC219" i="41"/>
  <c r="V219" i="41"/>
  <c r="U219" i="41"/>
  <c r="T219" i="41"/>
  <c r="M219" i="41"/>
  <c r="L219" i="41"/>
  <c r="K219" i="41"/>
  <c r="I219" i="41"/>
  <c r="G219" i="41"/>
  <c r="F219" i="41"/>
  <c r="D219" i="41"/>
  <c r="C219" i="41"/>
  <c r="A219" i="41"/>
  <c r="AG218" i="41"/>
  <c r="AF218" i="41"/>
  <c r="AE218" i="41"/>
  <c r="AD218" i="41"/>
  <c r="AC218" i="41"/>
  <c r="V218" i="41"/>
  <c r="U218" i="41"/>
  <c r="T218" i="41"/>
  <c r="M218" i="41"/>
  <c r="L218" i="41"/>
  <c r="K218" i="41"/>
  <c r="I218" i="41"/>
  <c r="G218" i="41"/>
  <c r="F218" i="41"/>
  <c r="D218" i="41"/>
  <c r="C218" i="41"/>
  <c r="A218" i="41"/>
  <c r="AG217" i="41"/>
  <c r="AF217" i="41"/>
  <c r="AE217" i="41"/>
  <c r="AD217" i="41"/>
  <c r="AC217" i="41"/>
  <c r="V217" i="41"/>
  <c r="U217" i="41"/>
  <c r="T217" i="41"/>
  <c r="M217" i="41"/>
  <c r="L217" i="41"/>
  <c r="K217" i="41"/>
  <c r="I217" i="41"/>
  <c r="G217" i="41"/>
  <c r="F217" i="41"/>
  <c r="D217" i="41"/>
  <c r="C217" i="41"/>
  <c r="A217" i="41"/>
  <c r="AG216" i="41"/>
  <c r="AF216" i="41"/>
  <c r="AE216" i="41"/>
  <c r="AD216" i="41"/>
  <c r="AC216" i="41"/>
  <c r="V216" i="41"/>
  <c r="U216" i="41"/>
  <c r="T216" i="41"/>
  <c r="M216" i="41"/>
  <c r="L216" i="41"/>
  <c r="K216" i="41"/>
  <c r="I216" i="41"/>
  <c r="G216" i="41"/>
  <c r="F216" i="41"/>
  <c r="D216" i="41"/>
  <c r="C216" i="41"/>
  <c r="A216" i="41"/>
  <c r="AG215" i="41"/>
  <c r="AF215" i="41"/>
  <c r="AE215" i="41"/>
  <c r="AD215" i="41"/>
  <c r="AC215" i="41"/>
  <c r="V215" i="41"/>
  <c r="U215" i="41"/>
  <c r="T215" i="41"/>
  <c r="M215" i="41"/>
  <c r="L215" i="41"/>
  <c r="K215" i="41"/>
  <c r="I215" i="41"/>
  <c r="G215" i="41"/>
  <c r="F215" i="41"/>
  <c r="D215" i="41"/>
  <c r="C215" i="41"/>
  <c r="A215" i="41"/>
  <c r="AG214" i="41"/>
  <c r="AF214" i="41"/>
  <c r="AE214" i="41"/>
  <c r="AD214" i="41"/>
  <c r="AC214" i="41"/>
  <c r="V214" i="41"/>
  <c r="U214" i="41"/>
  <c r="T214" i="41"/>
  <c r="M214" i="41"/>
  <c r="L214" i="41"/>
  <c r="K214" i="41"/>
  <c r="I214" i="41"/>
  <c r="G214" i="41"/>
  <c r="F214" i="41"/>
  <c r="D214" i="41"/>
  <c r="C214" i="41"/>
  <c r="A214" i="41"/>
  <c r="AG213" i="41"/>
  <c r="AF213" i="41"/>
  <c r="AE213" i="41"/>
  <c r="AD213" i="41"/>
  <c r="AC213" i="41"/>
  <c r="V213" i="41"/>
  <c r="U213" i="41"/>
  <c r="T213" i="41"/>
  <c r="M213" i="41"/>
  <c r="L213" i="41"/>
  <c r="K213" i="41"/>
  <c r="I213" i="41"/>
  <c r="G213" i="41"/>
  <c r="F213" i="41"/>
  <c r="D213" i="41"/>
  <c r="C213" i="41"/>
  <c r="A213" i="41"/>
  <c r="AG212" i="41"/>
  <c r="AF212" i="41"/>
  <c r="AE212" i="41"/>
  <c r="AD212" i="41"/>
  <c r="AC212" i="41"/>
  <c r="V212" i="41"/>
  <c r="U212" i="41"/>
  <c r="T212" i="41"/>
  <c r="M212" i="41"/>
  <c r="L212" i="41"/>
  <c r="K212" i="41"/>
  <c r="I212" i="41"/>
  <c r="G212" i="41"/>
  <c r="F212" i="41"/>
  <c r="D212" i="41"/>
  <c r="C212" i="41"/>
  <c r="A212" i="41"/>
  <c r="AG211" i="41"/>
  <c r="AF211" i="41"/>
  <c r="AE211" i="41"/>
  <c r="AD211" i="41"/>
  <c r="AC211" i="41"/>
  <c r="V211" i="41"/>
  <c r="U211" i="41"/>
  <c r="T211" i="41"/>
  <c r="M211" i="41"/>
  <c r="L211" i="41"/>
  <c r="K211" i="41"/>
  <c r="I211" i="41"/>
  <c r="G211" i="41"/>
  <c r="F211" i="41"/>
  <c r="D211" i="41"/>
  <c r="C211" i="41"/>
  <c r="A211" i="41"/>
  <c r="AG210" i="41"/>
  <c r="AF210" i="41"/>
  <c r="AE210" i="41"/>
  <c r="AD210" i="41"/>
  <c r="AC210" i="41"/>
  <c r="V210" i="41"/>
  <c r="U210" i="41"/>
  <c r="T210" i="41"/>
  <c r="M210" i="41"/>
  <c r="L210" i="41"/>
  <c r="K210" i="41"/>
  <c r="I210" i="41"/>
  <c r="G210" i="41"/>
  <c r="F210" i="41"/>
  <c r="D210" i="41"/>
  <c r="C210" i="41"/>
  <c r="A210" i="41"/>
  <c r="AG209" i="41"/>
  <c r="AF209" i="41"/>
  <c r="AE209" i="41"/>
  <c r="AD209" i="41"/>
  <c r="AC209" i="41"/>
  <c r="V209" i="41"/>
  <c r="U209" i="41"/>
  <c r="T209" i="41"/>
  <c r="M209" i="41"/>
  <c r="L209" i="41"/>
  <c r="K209" i="41"/>
  <c r="I209" i="41"/>
  <c r="G209" i="41"/>
  <c r="F209" i="41"/>
  <c r="D209" i="41"/>
  <c r="C209" i="41"/>
  <c r="A209" i="41"/>
  <c r="AG208" i="41"/>
  <c r="AF208" i="41"/>
  <c r="AE208" i="41"/>
  <c r="AD208" i="41"/>
  <c r="AC208" i="41"/>
  <c r="V208" i="41"/>
  <c r="U208" i="41"/>
  <c r="T208" i="41"/>
  <c r="M208" i="41"/>
  <c r="L208" i="41"/>
  <c r="K208" i="41"/>
  <c r="I208" i="41"/>
  <c r="G208" i="41"/>
  <c r="F208" i="41"/>
  <c r="D208" i="41"/>
  <c r="C208" i="41"/>
  <c r="A208" i="41"/>
  <c r="AG207" i="41"/>
  <c r="AF207" i="41"/>
  <c r="AE207" i="41"/>
  <c r="AD207" i="41"/>
  <c r="AC207" i="41"/>
  <c r="V207" i="41"/>
  <c r="U207" i="41"/>
  <c r="T207" i="41"/>
  <c r="M207" i="41"/>
  <c r="L207" i="41"/>
  <c r="K207" i="41"/>
  <c r="I207" i="41"/>
  <c r="G207" i="41"/>
  <c r="F207" i="41"/>
  <c r="D207" i="41"/>
  <c r="C207" i="41"/>
  <c r="A207" i="41"/>
  <c r="AG206" i="41"/>
  <c r="AF206" i="41"/>
  <c r="AE206" i="41"/>
  <c r="AD206" i="41"/>
  <c r="AC206" i="41"/>
  <c r="V206" i="41"/>
  <c r="U206" i="41"/>
  <c r="T206" i="41"/>
  <c r="M206" i="41"/>
  <c r="L206" i="41"/>
  <c r="K206" i="41"/>
  <c r="I206" i="41"/>
  <c r="G206" i="41"/>
  <c r="F206" i="41"/>
  <c r="D206" i="41"/>
  <c r="C206" i="41"/>
  <c r="A206" i="41"/>
  <c r="AG205" i="41"/>
  <c r="AF205" i="41"/>
  <c r="AE205" i="41"/>
  <c r="AD205" i="41"/>
  <c r="AC205" i="41"/>
  <c r="V205" i="41"/>
  <c r="U205" i="41"/>
  <c r="T205" i="41"/>
  <c r="M205" i="41"/>
  <c r="L205" i="41"/>
  <c r="K205" i="41"/>
  <c r="I205" i="41"/>
  <c r="G205" i="41"/>
  <c r="F205" i="41"/>
  <c r="D205" i="41"/>
  <c r="C205" i="41"/>
  <c r="A205" i="41"/>
  <c r="AG204" i="41"/>
  <c r="AF204" i="41"/>
  <c r="AE204" i="41"/>
  <c r="AD204" i="41"/>
  <c r="AC204" i="41"/>
  <c r="V204" i="41"/>
  <c r="U204" i="41"/>
  <c r="T204" i="41"/>
  <c r="M204" i="41"/>
  <c r="L204" i="41"/>
  <c r="K204" i="41"/>
  <c r="I204" i="41"/>
  <c r="G204" i="41"/>
  <c r="F204" i="41"/>
  <c r="D204" i="41"/>
  <c r="C204" i="41"/>
  <c r="A204" i="41"/>
  <c r="AG203" i="41"/>
  <c r="AF203" i="41"/>
  <c r="AE203" i="41"/>
  <c r="AD203" i="41"/>
  <c r="AC203" i="41"/>
  <c r="V203" i="41"/>
  <c r="U203" i="41"/>
  <c r="T203" i="41"/>
  <c r="M203" i="41"/>
  <c r="L203" i="41"/>
  <c r="K203" i="41"/>
  <c r="I203" i="41"/>
  <c r="G203" i="41"/>
  <c r="F203" i="41"/>
  <c r="D203" i="41"/>
  <c r="C203" i="41"/>
  <c r="A203" i="41"/>
  <c r="AG202" i="41"/>
  <c r="AF202" i="41"/>
  <c r="AE202" i="41"/>
  <c r="AD202" i="41"/>
  <c r="AC202" i="41"/>
  <c r="V202" i="41"/>
  <c r="U202" i="41"/>
  <c r="T202" i="41"/>
  <c r="M202" i="41"/>
  <c r="L202" i="41"/>
  <c r="K202" i="41"/>
  <c r="I202" i="41"/>
  <c r="G202" i="41"/>
  <c r="F202" i="41"/>
  <c r="D202" i="41"/>
  <c r="C202" i="41"/>
  <c r="A202" i="41"/>
  <c r="AG201" i="41"/>
  <c r="AF201" i="41"/>
  <c r="AE201" i="41"/>
  <c r="AD201" i="41"/>
  <c r="AC201" i="41"/>
  <c r="V201" i="41"/>
  <c r="U201" i="41"/>
  <c r="T201" i="41"/>
  <c r="M201" i="41"/>
  <c r="L201" i="41"/>
  <c r="K201" i="41"/>
  <c r="I201" i="41"/>
  <c r="G201" i="41"/>
  <c r="F201" i="41"/>
  <c r="D201" i="41"/>
  <c r="C201" i="41"/>
  <c r="A201" i="41"/>
  <c r="AG200" i="41"/>
  <c r="AF200" i="41"/>
  <c r="AE200" i="41"/>
  <c r="AD200" i="41"/>
  <c r="AC200" i="41"/>
  <c r="V200" i="41"/>
  <c r="U200" i="41"/>
  <c r="T200" i="41"/>
  <c r="M200" i="41"/>
  <c r="L200" i="41"/>
  <c r="K200" i="41"/>
  <c r="I200" i="41"/>
  <c r="G200" i="41"/>
  <c r="F200" i="41"/>
  <c r="D200" i="41"/>
  <c r="C200" i="41"/>
  <c r="A200" i="41"/>
  <c r="AG199" i="41"/>
  <c r="AF199" i="41"/>
  <c r="AE199" i="41"/>
  <c r="AD199" i="41"/>
  <c r="AC199" i="41"/>
  <c r="V199" i="41"/>
  <c r="U199" i="41"/>
  <c r="T199" i="41"/>
  <c r="M199" i="41"/>
  <c r="L199" i="41"/>
  <c r="K199" i="41"/>
  <c r="I199" i="41"/>
  <c r="G199" i="41"/>
  <c r="F199" i="41"/>
  <c r="D199" i="41"/>
  <c r="C199" i="41"/>
  <c r="A199" i="41"/>
  <c r="AG198" i="41"/>
  <c r="AF198" i="41"/>
  <c r="AE198" i="41"/>
  <c r="AD198" i="41"/>
  <c r="AC198" i="41"/>
  <c r="V198" i="41"/>
  <c r="U198" i="41"/>
  <c r="T198" i="41"/>
  <c r="M198" i="41"/>
  <c r="L198" i="41"/>
  <c r="K198" i="41"/>
  <c r="I198" i="41"/>
  <c r="G198" i="41"/>
  <c r="F198" i="41"/>
  <c r="D198" i="41"/>
  <c r="C198" i="41"/>
  <c r="A198" i="41"/>
  <c r="AG197" i="41"/>
  <c r="AF197" i="41"/>
  <c r="AE197" i="41"/>
  <c r="AD197" i="41"/>
  <c r="AC197" i="41"/>
  <c r="V197" i="41"/>
  <c r="U197" i="41"/>
  <c r="T197" i="41"/>
  <c r="M197" i="41"/>
  <c r="L197" i="41"/>
  <c r="K197" i="41"/>
  <c r="I197" i="41"/>
  <c r="G197" i="41"/>
  <c r="F197" i="41"/>
  <c r="D197" i="41"/>
  <c r="C197" i="41"/>
  <c r="A197" i="41"/>
  <c r="AG196" i="41"/>
  <c r="AF196" i="41"/>
  <c r="AE196" i="41"/>
  <c r="AD196" i="41"/>
  <c r="AC196" i="41"/>
  <c r="V196" i="41"/>
  <c r="U196" i="41"/>
  <c r="T196" i="41"/>
  <c r="M196" i="41"/>
  <c r="L196" i="41"/>
  <c r="K196" i="41"/>
  <c r="I196" i="41"/>
  <c r="G196" i="41"/>
  <c r="F196" i="41"/>
  <c r="D196" i="41"/>
  <c r="C196" i="41"/>
  <c r="A196" i="41"/>
  <c r="AG195" i="41"/>
  <c r="AF195" i="41"/>
  <c r="AE195" i="41"/>
  <c r="AD195" i="41"/>
  <c r="AC195" i="41"/>
  <c r="V195" i="41"/>
  <c r="U195" i="41"/>
  <c r="T195" i="41"/>
  <c r="M195" i="41"/>
  <c r="L195" i="41"/>
  <c r="K195" i="41"/>
  <c r="I195" i="41"/>
  <c r="G195" i="41"/>
  <c r="F195" i="41"/>
  <c r="D195" i="41"/>
  <c r="C195" i="41"/>
  <c r="A195" i="41"/>
  <c r="AG194" i="41"/>
  <c r="AF194" i="41"/>
  <c r="AE194" i="41"/>
  <c r="AD194" i="41"/>
  <c r="AC194" i="41"/>
  <c r="V194" i="41"/>
  <c r="U194" i="41"/>
  <c r="T194" i="41"/>
  <c r="M194" i="41"/>
  <c r="L194" i="41"/>
  <c r="K194" i="41"/>
  <c r="I194" i="41"/>
  <c r="G194" i="41"/>
  <c r="F194" i="41"/>
  <c r="D194" i="41"/>
  <c r="C194" i="41"/>
  <c r="A194" i="41"/>
  <c r="AG193" i="41"/>
  <c r="AF193" i="41"/>
  <c r="AE193" i="41"/>
  <c r="AD193" i="41"/>
  <c r="AC193" i="41"/>
  <c r="V193" i="41"/>
  <c r="U193" i="41"/>
  <c r="T193" i="41"/>
  <c r="M193" i="41"/>
  <c r="L193" i="41"/>
  <c r="K193" i="41"/>
  <c r="I193" i="41"/>
  <c r="G193" i="41"/>
  <c r="F193" i="41"/>
  <c r="D193" i="41"/>
  <c r="C193" i="41"/>
  <c r="A193" i="41"/>
  <c r="AG192" i="41"/>
  <c r="AF192" i="41"/>
  <c r="AE192" i="41"/>
  <c r="AD192" i="41"/>
  <c r="AC192" i="41"/>
  <c r="V192" i="41"/>
  <c r="U192" i="41"/>
  <c r="T192" i="41"/>
  <c r="M192" i="41"/>
  <c r="L192" i="41"/>
  <c r="K192" i="41"/>
  <c r="I192" i="41"/>
  <c r="G192" i="41"/>
  <c r="F192" i="41"/>
  <c r="D192" i="41"/>
  <c r="C192" i="41"/>
  <c r="A192" i="41"/>
  <c r="AG191" i="41"/>
  <c r="AF191" i="41"/>
  <c r="AE191" i="41"/>
  <c r="AD191" i="41"/>
  <c r="AC191" i="41"/>
  <c r="V191" i="41"/>
  <c r="U191" i="41"/>
  <c r="T191" i="41"/>
  <c r="M191" i="41"/>
  <c r="L191" i="41"/>
  <c r="K191" i="41"/>
  <c r="I191" i="41"/>
  <c r="G191" i="41"/>
  <c r="F191" i="41"/>
  <c r="D191" i="41"/>
  <c r="C191" i="41"/>
  <c r="A191" i="41"/>
  <c r="AG190" i="41"/>
  <c r="AF190" i="41"/>
  <c r="AE190" i="41"/>
  <c r="AD190" i="41"/>
  <c r="AC190" i="41"/>
  <c r="V190" i="41"/>
  <c r="U190" i="41"/>
  <c r="T190" i="41"/>
  <c r="M190" i="41"/>
  <c r="L190" i="41"/>
  <c r="K190" i="41"/>
  <c r="I190" i="41"/>
  <c r="G190" i="41"/>
  <c r="F190" i="41"/>
  <c r="D190" i="41"/>
  <c r="C190" i="41"/>
  <c r="A190" i="41"/>
  <c r="AG189" i="41"/>
  <c r="AF189" i="41"/>
  <c r="AE189" i="41"/>
  <c r="AD189" i="41"/>
  <c r="AC189" i="41"/>
  <c r="V189" i="41"/>
  <c r="U189" i="41"/>
  <c r="T189" i="41"/>
  <c r="M189" i="41"/>
  <c r="L189" i="41"/>
  <c r="K189" i="41"/>
  <c r="I189" i="41"/>
  <c r="G189" i="41"/>
  <c r="F189" i="41"/>
  <c r="D189" i="41"/>
  <c r="C189" i="41"/>
  <c r="A189" i="41"/>
  <c r="AG188" i="41"/>
  <c r="AF188" i="41"/>
  <c r="AE188" i="41"/>
  <c r="AD188" i="41"/>
  <c r="AC188" i="41"/>
  <c r="V188" i="41"/>
  <c r="U188" i="41"/>
  <c r="T188" i="41"/>
  <c r="M188" i="41"/>
  <c r="L188" i="41"/>
  <c r="K188" i="41"/>
  <c r="I188" i="41"/>
  <c r="G188" i="41"/>
  <c r="F188" i="41"/>
  <c r="D188" i="41"/>
  <c r="C188" i="41"/>
  <c r="A188" i="41"/>
  <c r="AG187" i="41"/>
  <c r="AF187" i="41"/>
  <c r="AE187" i="41"/>
  <c r="AD187" i="41"/>
  <c r="AC187" i="41"/>
  <c r="V187" i="41"/>
  <c r="U187" i="41"/>
  <c r="T187" i="41"/>
  <c r="M187" i="41"/>
  <c r="L187" i="41"/>
  <c r="K187" i="41"/>
  <c r="I187" i="41"/>
  <c r="G187" i="41"/>
  <c r="F187" i="41"/>
  <c r="D187" i="41"/>
  <c r="C187" i="41"/>
  <c r="A187" i="41"/>
  <c r="AG186" i="41"/>
  <c r="AF186" i="41"/>
  <c r="AE186" i="41"/>
  <c r="AD186" i="41"/>
  <c r="AC186" i="41"/>
  <c r="V186" i="41"/>
  <c r="U186" i="41"/>
  <c r="T186" i="41"/>
  <c r="M186" i="41"/>
  <c r="L186" i="41"/>
  <c r="K186" i="41"/>
  <c r="I186" i="41"/>
  <c r="G186" i="41"/>
  <c r="F186" i="41"/>
  <c r="D186" i="41"/>
  <c r="C186" i="41"/>
  <c r="A186" i="41"/>
  <c r="AG185" i="41"/>
  <c r="AF185" i="41"/>
  <c r="AE185" i="41"/>
  <c r="AD185" i="41"/>
  <c r="AC185" i="41"/>
  <c r="V185" i="41"/>
  <c r="U185" i="41"/>
  <c r="T185" i="41"/>
  <c r="M185" i="41"/>
  <c r="L185" i="41"/>
  <c r="K185" i="41"/>
  <c r="I185" i="41"/>
  <c r="G185" i="41"/>
  <c r="F185" i="41"/>
  <c r="D185" i="41"/>
  <c r="C185" i="41"/>
  <c r="A185" i="41"/>
  <c r="AG184" i="41"/>
  <c r="AF184" i="41"/>
  <c r="AE184" i="41"/>
  <c r="AD184" i="41"/>
  <c r="AC184" i="41"/>
  <c r="V184" i="41"/>
  <c r="U184" i="41"/>
  <c r="T184" i="41"/>
  <c r="M184" i="41"/>
  <c r="L184" i="41"/>
  <c r="K184" i="41"/>
  <c r="I184" i="41"/>
  <c r="G184" i="41"/>
  <c r="F184" i="41"/>
  <c r="D184" i="41"/>
  <c r="C184" i="41"/>
  <c r="A184" i="41"/>
  <c r="AG183" i="41"/>
  <c r="AF183" i="41"/>
  <c r="AE183" i="41"/>
  <c r="AD183" i="41"/>
  <c r="AC183" i="41"/>
  <c r="V183" i="41"/>
  <c r="U183" i="41"/>
  <c r="T183" i="41"/>
  <c r="M183" i="41"/>
  <c r="L183" i="41"/>
  <c r="K183" i="41"/>
  <c r="I183" i="41"/>
  <c r="G183" i="41"/>
  <c r="F183" i="41"/>
  <c r="D183" i="41"/>
  <c r="C183" i="41"/>
  <c r="A183" i="41"/>
  <c r="AG182" i="41"/>
  <c r="AF182" i="41"/>
  <c r="AE182" i="41"/>
  <c r="AD182" i="41"/>
  <c r="AC182" i="41"/>
  <c r="V182" i="41"/>
  <c r="U182" i="41"/>
  <c r="T182" i="41"/>
  <c r="M182" i="41"/>
  <c r="L182" i="41"/>
  <c r="K182" i="41"/>
  <c r="I182" i="41"/>
  <c r="G182" i="41"/>
  <c r="F182" i="41"/>
  <c r="D182" i="41"/>
  <c r="C182" i="41"/>
  <c r="A182" i="41"/>
  <c r="AG181" i="41"/>
  <c r="AF181" i="41"/>
  <c r="AE181" i="41"/>
  <c r="AD181" i="41"/>
  <c r="AC181" i="41"/>
  <c r="V181" i="41"/>
  <c r="U181" i="41"/>
  <c r="T181" i="41"/>
  <c r="M181" i="41"/>
  <c r="L181" i="41"/>
  <c r="K181" i="41"/>
  <c r="I181" i="41"/>
  <c r="G181" i="41"/>
  <c r="F181" i="41"/>
  <c r="D181" i="41"/>
  <c r="C181" i="41"/>
  <c r="A181" i="41"/>
  <c r="AG180" i="41"/>
  <c r="AF180" i="41"/>
  <c r="AE180" i="41"/>
  <c r="AD180" i="41"/>
  <c r="AC180" i="41"/>
  <c r="V180" i="41"/>
  <c r="U180" i="41"/>
  <c r="T180" i="41"/>
  <c r="M180" i="41"/>
  <c r="L180" i="41"/>
  <c r="K180" i="41"/>
  <c r="I180" i="41"/>
  <c r="G180" i="41"/>
  <c r="F180" i="41"/>
  <c r="D180" i="41"/>
  <c r="C180" i="41"/>
  <c r="A180" i="41"/>
  <c r="AG179" i="41"/>
  <c r="AF179" i="41"/>
  <c r="AE179" i="41"/>
  <c r="AD179" i="41"/>
  <c r="AC179" i="41"/>
  <c r="V179" i="41"/>
  <c r="U179" i="41"/>
  <c r="T179" i="41"/>
  <c r="M179" i="41"/>
  <c r="L179" i="41"/>
  <c r="K179" i="41"/>
  <c r="I179" i="41"/>
  <c r="G179" i="41"/>
  <c r="F179" i="41"/>
  <c r="D179" i="41"/>
  <c r="C179" i="41"/>
  <c r="A179" i="41"/>
  <c r="AG178" i="41"/>
  <c r="AF178" i="41"/>
  <c r="AE178" i="41"/>
  <c r="AD178" i="41"/>
  <c r="AC178" i="41"/>
  <c r="V178" i="41"/>
  <c r="U178" i="41"/>
  <c r="T178" i="41"/>
  <c r="M178" i="41"/>
  <c r="L178" i="41"/>
  <c r="K178" i="41"/>
  <c r="I178" i="41"/>
  <c r="G178" i="41"/>
  <c r="F178" i="41"/>
  <c r="D178" i="41"/>
  <c r="C178" i="41"/>
  <c r="A178" i="41"/>
  <c r="AG177" i="41"/>
  <c r="AF177" i="41"/>
  <c r="AE177" i="41"/>
  <c r="AD177" i="41"/>
  <c r="AC177" i="41"/>
  <c r="V177" i="41"/>
  <c r="U177" i="41"/>
  <c r="T177" i="41"/>
  <c r="M177" i="41"/>
  <c r="L177" i="41"/>
  <c r="K177" i="41"/>
  <c r="I177" i="41"/>
  <c r="G177" i="41"/>
  <c r="F177" i="41"/>
  <c r="D177" i="41"/>
  <c r="C177" i="41"/>
  <c r="A177" i="41"/>
  <c r="AG176" i="41"/>
  <c r="AF176" i="41"/>
  <c r="AE176" i="41"/>
  <c r="AD176" i="41"/>
  <c r="AC176" i="41"/>
  <c r="V176" i="41"/>
  <c r="U176" i="41"/>
  <c r="T176" i="41"/>
  <c r="M176" i="41"/>
  <c r="L176" i="41"/>
  <c r="K176" i="41"/>
  <c r="I176" i="41"/>
  <c r="G176" i="41"/>
  <c r="F176" i="41"/>
  <c r="D176" i="41"/>
  <c r="C176" i="41"/>
  <c r="A176" i="41"/>
  <c r="AG175" i="41"/>
  <c r="AF175" i="41"/>
  <c r="AE175" i="41"/>
  <c r="AD175" i="41"/>
  <c r="AC175" i="41"/>
  <c r="V175" i="41"/>
  <c r="U175" i="41"/>
  <c r="T175" i="41"/>
  <c r="M175" i="41"/>
  <c r="L175" i="41"/>
  <c r="K175" i="41"/>
  <c r="I175" i="41"/>
  <c r="G175" i="41"/>
  <c r="F175" i="41"/>
  <c r="D175" i="41"/>
  <c r="C175" i="41"/>
  <c r="A175" i="41"/>
  <c r="AG174" i="41"/>
  <c r="AF174" i="41"/>
  <c r="AE174" i="41"/>
  <c r="AD174" i="41"/>
  <c r="AC174" i="41"/>
  <c r="V174" i="41"/>
  <c r="U174" i="41"/>
  <c r="T174" i="41"/>
  <c r="M174" i="41"/>
  <c r="L174" i="41"/>
  <c r="K174" i="41"/>
  <c r="I174" i="41"/>
  <c r="G174" i="41"/>
  <c r="F174" i="41"/>
  <c r="D174" i="41"/>
  <c r="C174" i="41"/>
  <c r="A174" i="41"/>
  <c r="AG173" i="41"/>
  <c r="AF173" i="41"/>
  <c r="AE173" i="41"/>
  <c r="AD173" i="41"/>
  <c r="AC173" i="41"/>
  <c r="V173" i="41"/>
  <c r="U173" i="41"/>
  <c r="T173" i="41"/>
  <c r="M173" i="41"/>
  <c r="L173" i="41"/>
  <c r="K173" i="41"/>
  <c r="I173" i="41"/>
  <c r="G173" i="41"/>
  <c r="F173" i="41"/>
  <c r="D173" i="41"/>
  <c r="C173" i="41"/>
  <c r="A173" i="41"/>
  <c r="AG172" i="41"/>
  <c r="AF172" i="41"/>
  <c r="AE172" i="41"/>
  <c r="AD172" i="41"/>
  <c r="AC172" i="41"/>
  <c r="V172" i="41"/>
  <c r="U172" i="41"/>
  <c r="T172" i="41"/>
  <c r="M172" i="41"/>
  <c r="L172" i="41"/>
  <c r="K172" i="41"/>
  <c r="I172" i="41"/>
  <c r="G172" i="41"/>
  <c r="F172" i="41"/>
  <c r="D172" i="41"/>
  <c r="C172" i="41"/>
  <c r="A172" i="41"/>
  <c r="AG171" i="41"/>
  <c r="AF171" i="41"/>
  <c r="AE171" i="41"/>
  <c r="AD171" i="41"/>
  <c r="AC171" i="41"/>
  <c r="V171" i="41"/>
  <c r="U171" i="41"/>
  <c r="T171" i="41"/>
  <c r="M171" i="41"/>
  <c r="L171" i="41"/>
  <c r="K171" i="41"/>
  <c r="I171" i="41"/>
  <c r="G171" i="41"/>
  <c r="F171" i="41"/>
  <c r="D171" i="41"/>
  <c r="C171" i="41"/>
  <c r="A171" i="41"/>
  <c r="AG170" i="41"/>
  <c r="AF170" i="41"/>
  <c r="AE170" i="41"/>
  <c r="AD170" i="41"/>
  <c r="AC170" i="41"/>
  <c r="V170" i="41"/>
  <c r="U170" i="41"/>
  <c r="T170" i="41"/>
  <c r="M170" i="41"/>
  <c r="L170" i="41"/>
  <c r="K170" i="41"/>
  <c r="I170" i="41"/>
  <c r="G170" i="41"/>
  <c r="F170" i="41"/>
  <c r="D170" i="41"/>
  <c r="C170" i="41"/>
  <c r="A170" i="41"/>
  <c r="AG169" i="41"/>
  <c r="AF169" i="41"/>
  <c r="AE169" i="41"/>
  <c r="AD169" i="41"/>
  <c r="AC169" i="41"/>
  <c r="V169" i="41"/>
  <c r="U169" i="41"/>
  <c r="T169" i="41"/>
  <c r="M169" i="41"/>
  <c r="L169" i="41"/>
  <c r="K169" i="41"/>
  <c r="I169" i="41"/>
  <c r="G169" i="41"/>
  <c r="F169" i="41"/>
  <c r="D169" i="41"/>
  <c r="C169" i="41"/>
  <c r="A169" i="41"/>
  <c r="AG168" i="41"/>
  <c r="AF168" i="41"/>
  <c r="AE168" i="41"/>
  <c r="AD168" i="41"/>
  <c r="AC168" i="41"/>
  <c r="V168" i="41"/>
  <c r="U168" i="41"/>
  <c r="T168" i="41"/>
  <c r="M168" i="41"/>
  <c r="L168" i="41"/>
  <c r="K168" i="41"/>
  <c r="I168" i="41"/>
  <c r="G168" i="41"/>
  <c r="F168" i="41"/>
  <c r="D168" i="41"/>
  <c r="C168" i="41"/>
  <c r="A168" i="41"/>
  <c r="AG167" i="41"/>
  <c r="AF167" i="41"/>
  <c r="AE167" i="41"/>
  <c r="AD167" i="41"/>
  <c r="AC167" i="41"/>
  <c r="V167" i="41"/>
  <c r="U167" i="41"/>
  <c r="T167" i="41"/>
  <c r="M167" i="41"/>
  <c r="L167" i="41"/>
  <c r="K167" i="41"/>
  <c r="I167" i="41"/>
  <c r="G167" i="41"/>
  <c r="F167" i="41"/>
  <c r="D167" i="41"/>
  <c r="C167" i="41"/>
  <c r="A167" i="41"/>
  <c r="AG166" i="41"/>
  <c r="AF166" i="41"/>
  <c r="AE166" i="41"/>
  <c r="AD166" i="41"/>
  <c r="AC166" i="41"/>
  <c r="V166" i="41"/>
  <c r="U166" i="41"/>
  <c r="T166" i="41"/>
  <c r="M166" i="41"/>
  <c r="L166" i="41"/>
  <c r="K166" i="41"/>
  <c r="I166" i="41"/>
  <c r="G166" i="41"/>
  <c r="F166" i="41"/>
  <c r="D166" i="41"/>
  <c r="C166" i="41"/>
  <c r="A166" i="41"/>
  <c r="AG165" i="41"/>
  <c r="AF165" i="41"/>
  <c r="AE165" i="41"/>
  <c r="AD165" i="41"/>
  <c r="AC165" i="41"/>
  <c r="V165" i="41"/>
  <c r="U165" i="41"/>
  <c r="T165" i="41"/>
  <c r="M165" i="41"/>
  <c r="L165" i="41"/>
  <c r="K165" i="41"/>
  <c r="I165" i="41"/>
  <c r="G165" i="41"/>
  <c r="F165" i="41"/>
  <c r="D165" i="41"/>
  <c r="C165" i="41"/>
  <c r="A165" i="41"/>
  <c r="AG164" i="41"/>
  <c r="AF164" i="41"/>
  <c r="AE164" i="41"/>
  <c r="AD164" i="41"/>
  <c r="AC164" i="41"/>
  <c r="V164" i="41"/>
  <c r="U164" i="41"/>
  <c r="T164" i="41"/>
  <c r="M164" i="41"/>
  <c r="L164" i="41"/>
  <c r="K164" i="41"/>
  <c r="I164" i="41"/>
  <c r="G164" i="41"/>
  <c r="F164" i="41"/>
  <c r="D164" i="41"/>
  <c r="C164" i="41"/>
  <c r="A164" i="41"/>
  <c r="AG163" i="41"/>
  <c r="AF163" i="41"/>
  <c r="AE163" i="41"/>
  <c r="AD163" i="41"/>
  <c r="AC163" i="41"/>
  <c r="V163" i="41"/>
  <c r="U163" i="41"/>
  <c r="T163" i="41"/>
  <c r="M163" i="41"/>
  <c r="L163" i="41"/>
  <c r="K163" i="41"/>
  <c r="I163" i="41"/>
  <c r="G163" i="41"/>
  <c r="F163" i="41"/>
  <c r="D163" i="41"/>
  <c r="C163" i="41"/>
  <c r="A163" i="41"/>
  <c r="AG162" i="41"/>
  <c r="AF162" i="41"/>
  <c r="AE162" i="41"/>
  <c r="AD162" i="41"/>
  <c r="AC162" i="41"/>
  <c r="V162" i="41"/>
  <c r="U162" i="41"/>
  <c r="T162" i="41"/>
  <c r="M162" i="41"/>
  <c r="L162" i="41"/>
  <c r="K162" i="41"/>
  <c r="I162" i="41"/>
  <c r="G162" i="41"/>
  <c r="F162" i="41"/>
  <c r="D162" i="41"/>
  <c r="C162" i="41"/>
  <c r="A162" i="41"/>
  <c r="AG161" i="41"/>
  <c r="AF161" i="41"/>
  <c r="AE161" i="41"/>
  <c r="AD161" i="41"/>
  <c r="AC161" i="41"/>
  <c r="V161" i="41"/>
  <c r="U161" i="41"/>
  <c r="T161" i="41"/>
  <c r="M161" i="41"/>
  <c r="L161" i="41"/>
  <c r="K161" i="41"/>
  <c r="I161" i="41"/>
  <c r="G161" i="41"/>
  <c r="F161" i="41"/>
  <c r="D161" i="41"/>
  <c r="C161" i="41"/>
  <c r="A161" i="41"/>
  <c r="AG160" i="41"/>
  <c r="AF160" i="41"/>
  <c r="AE160" i="41"/>
  <c r="AD160" i="41"/>
  <c r="AC160" i="41"/>
  <c r="V160" i="41"/>
  <c r="U160" i="41"/>
  <c r="T160" i="41"/>
  <c r="M160" i="41"/>
  <c r="L160" i="41"/>
  <c r="K160" i="41"/>
  <c r="I160" i="41"/>
  <c r="G160" i="41"/>
  <c r="F160" i="41"/>
  <c r="D160" i="41"/>
  <c r="C160" i="41"/>
  <c r="A160" i="41"/>
  <c r="AG159" i="41"/>
  <c r="AF159" i="41"/>
  <c r="AE159" i="41"/>
  <c r="AD159" i="41"/>
  <c r="AC159" i="41"/>
  <c r="V159" i="41"/>
  <c r="U159" i="41"/>
  <c r="T159" i="41"/>
  <c r="M159" i="41"/>
  <c r="L159" i="41"/>
  <c r="K159" i="41"/>
  <c r="I159" i="41"/>
  <c r="G159" i="41"/>
  <c r="F159" i="41"/>
  <c r="D159" i="41"/>
  <c r="C159" i="41"/>
  <c r="A159" i="41"/>
  <c r="AG158" i="41"/>
  <c r="AF158" i="41"/>
  <c r="AE158" i="41"/>
  <c r="AD158" i="41"/>
  <c r="AC158" i="41"/>
  <c r="V158" i="41"/>
  <c r="U158" i="41"/>
  <c r="T158" i="41"/>
  <c r="M158" i="41"/>
  <c r="L158" i="41"/>
  <c r="K158" i="41"/>
  <c r="I158" i="41"/>
  <c r="G158" i="41"/>
  <c r="F158" i="41"/>
  <c r="D158" i="41"/>
  <c r="C158" i="41"/>
  <c r="A158" i="41"/>
  <c r="AG157" i="41"/>
  <c r="AF157" i="41"/>
  <c r="AE157" i="41"/>
  <c r="AD157" i="41"/>
  <c r="AC157" i="41"/>
  <c r="V157" i="41"/>
  <c r="U157" i="41"/>
  <c r="T157" i="41"/>
  <c r="M157" i="41"/>
  <c r="L157" i="41"/>
  <c r="K157" i="41"/>
  <c r="I157" i="41"/>
  <c r="G157" i="41"/>
  <c r="F157" i="41"/>
  <c r="D157" i="41"/>
  <c r="C157" i="41"/>
  <c r="A157" i="41"/>
  <c r="AG156" i="41"/>
  <c r="AF156" i="41"/>
  <c r="AE156" i="41"/>
  <c r="AD156" i="41"/>
  <c r="AC156" i="41"/>
  <c r="V156" i="41"/>
  <c r="U156" i="41"/>
  <c r="T156" i="41"/>
  <c r="M156" i="41"/>
  <c r="L156" i="41"/>
  <c r="K156" i="41"/>
  <c r="I156" i="41"/>
  <c r="G156" i="41"/>
  <c r="F156" i="41"/>
  <c r="D156" i="41"/>
  <c r="C156" i="41"/>
  <c r="A156" i="41"/>
  <c r="AG155" i="41"/>
  <c r="AF155" i="41"/>
  <c r="AE155" i="41"/>
  <c r="AD155" i="41"/>
  <c r="AC155" i="41"/>
  <c r="V155" i="41"/>
  <c r="U155" i="41"/>
  <c r="T155" i="41"/>
  <c r="M155" i="41"/>
  <c r="L155" i="41"/>
  <c r="K155" i="41"/>
  <c r="I155" i="41"/>
  <c r="G155" i="41"/>
  <c r="F155" i="41"/>
  <c r="D155" i="41"/>
  <c r="C155" i="41"/>
  <c r="A155" i="41"/>
  <c r="AG154" i="41"/>
  <c r="AF154" i="41"/>
  <c r="AE154" i="41"/>
  <c r="AD154" i="41"/>
  <c r="AC154" i="41"/>
  <c r="V154" i="41"/>
  <c r="U154" i="41"/>
  <c r="T154" i="41"/>
  <c r="M154" i="41"/>
  <c r="L154" i="41"/>
  <c r="K154" i="41"/>
  <c r="I154" i="41"/>
  <c r="G154" i="41"/>
  <c r="F154" i="41"/>
  <c r="D154" i="41"/>
  <c r="C154" i="41"/>
  <c r="A154" i="41"/>
  <c r="AG153" i="41"/>
  <c r="AF153" i="41"/>
  <c r="AE153" i="41"/>
  <c r="AD153" i="41"/>
  <c r="AC153" i="41"/>
  <c r="V153" i="41"/>
  <c r="U153" i="41"/>
  <c r="T153" i="41"/>
  <c r="M153" i="41"/>
  <c r="L153" i="41"/>
  <c r="K153" i="41"/>
  <c r="I153" i="41"/>
  <c r="G153" i="41"/>
  <c r="F153" i="41"/>
  <c r="D153" i="41"/>
  <c r="C153" i="41"/>
  <c r="A153" i="41"/>
  <c r="AG152" i="41"/>
  <c r="AF152" i="41"/>
  <c r="AE152" i="41"/>
  <c r="AD152" i="41"/>
  <c r="AC152" i="41"/>
  <c r="V152" i="41"/>
  <c r="U152" i="41"/>
  <c r="T152" i="41"/>
  <c r="M152" i="41"/>
  <c r="L152" i="41"/>
  <c r="K152" i="41"/>
  <c r="I152" i="41"/>
  <c r="G152" i="41"/>
  <c r="F152" i="41"/>
  <c r="D152" i="41"/>
  <c r="C152" i="41"/>
  <c r="A152" i="41"/>
  <c r="AG151" i="41"/>
  <c r="AF151" i="41"/>
  <c r="AE151" i="41"/>
  <c r="AD151" i="41"/>
  <c r="AC151" i="41"/>
  <c r="V151" i="41"/>
  <c r="U151" i="41"/>
  <c r="T151" i="41"/>
  <c r="M151" i="41"/>
  <c r="L151" i="41"/>
  <c r="K151" i="41"/>
  <c r="I151" i="41"/>
  <c r="G151" i="41"/>
  <c r="F151" i="41"/>
  <c r="D151" i="41"/>
  <c r="C151" i="41"/>
  <c r="A151" i="41"/>
  <c r="AG150" i="41"/>
  <c r="AF150" i="41"/>
  <c r="AE150" i="41"/>
  <c r="AD150" i="41"/>
  <c r="AC150" i="41"/>
  <c r="V150" i="41"/>
  <c r="U150" i="41"/>
  <c r="T150" i="41"/>
  <c r="M150" i="41"/>
  <c r="L150" i="41"/>
  <c r="K150" i="41"/>
  <c r="I150" i="41"/>
  <c r="G150" i="41"/>
  <c r="F150" i="41"/>
  <c r="D150" i="41"/>
  <c r="C150" i="41"/>
  <c r="A150" i="41"/>
  <c r="AG149" i="41"/>
  <c r="AF149" i="41"/>
  <c r="AE149" i="41"/>
  <c r="AD149" i="41"/>
  <c r="AC149" i="41"/>
  <c r="V149" i="41"/>
  <c r="U149" i="41"/>
  <c r="T149" i="41"/>
  <c r="M149" i="41"/>
  <c r="L149" i="41"/>
  <c r="K149" i="41"/>
  <c r="I149" i="41"/>
  <c r="G149" i="41"/>
  <c r="F149" i="41"/>
  <c r="D149" i="41"/>
  <c r="C149" i="41"/>
  <c r="A149" i="41"/>
  <c r="AG148" i="41"/>
  <c r="AF148" i="41"/>
  <c r="AE148" i="41"/>
  <c r="AD148" i="41"/>
  <c r="AC148" i="41"/>
  <c r="V148" i="41"/>
  <c r="U148" i="41"/>
  <c r="T148" i="41"/>
  <c r="M148" i="41"/>
  <c r="L148" i="41"/>
  <c r="K148" i="41"/>
  <c r="I148" i="41"/>
  <c r="G148" i="41"/>
  <c r="F148" i="41"/>
  <c r="D148" i="41"/>
  <c r="C148" i="41"/>
  <c r="A148" i="41"/>
  <c r="AG147" i="41"/>
  <c r="AF147" i="41"/>
  <c r="AE147" i="41"/>
  <c r="AD147" i="41"/>
  <c r="AC147" i="41"/>
  <c r="V147" i="41"/>
  <c r="U147" i="41"/>
  <c r="T147" i="41"/>
  <c r="M147" i="41"/>
  <c r="L147" i="41"/>
  <c r="K147" i="41"/>
  <c r="I147" i="41"/>
  <c r="G147" i="41"/>
  <c r="F147" i="41"/>
  <c r="D147" i="41"/>
  <c r="C147" i="41"/>
  <c r="A147" i="41"/>
  <c r="AG146" i="41"/>
  <c r="AF146" i="41"/>
  <c r="AE146" i="41"/>
  <c r="AD146" i="41"/>
  <c r="AC146" i="41"/>
  <c r="V146" i="41"/>
  <c r="U146" i="41"/>
  <c r="T146" i="41"/>
  <c r="M146" i="41"/>
  <c r="L146" i="41"/>
  <c r="K146" i="41"/>
  <c r="I146" i="41"/>
  <c r="G146" i="41"/>
  <c r="F146" i="41"/>
  <c r="D146" i="41"/>
  <c r="C146" i="41"/>
  <c r="A146" i="41"/>
  <c r="AG145" i="41"/>
  <c r="AF145" i="41"/>
  <c r="AE145" i="41"/>
  <c r="AD145" i="41"/>
  <c r="AC145" i="41"/>
  <c r="V145" i="41"/>
  <c r="U145" i="41"/>
  <c r="T145" i="41"/>
  <c r="M145" i="41"/>
  <c r="L145" i="41"/>
  <c r="K145" i="41"/>
  <c r="I145" i="41"/>
  <c r="G145" i="41"/>
  <c r="F145" i="41"/>
  <c r="D145" i="41"/>
  <c r="C145" i="41"/>
  <c r="A145" i="41"/>
  <c r="AG144" i="41"/>
  <c r="AF144" i="41"/>
  <c r="AE144" i="41"/>
  <c r="AD144" i="41"/>
  <c r="AC144" i="41"/>
  <c r="V144" i="41"/>
  <c r="U144" i="41"/>
  <c r="T144" i="41"/>
  <c r="M144" i="41"/>
  <c r="L144" i="41"/>
  <c r="K144" i="41"/>
  <c r="I144" i="41"/>
  <c r="G144" i="41"/>
  <c r="F144" i="41"/>
  <c r="D144" i="41"/>
  <c r="C144" i="41"/>
  <c r="A144" i="41"/>
  <c r="AG143" i="41"/>
  <c r="AF143" i="41"/>
  <c r="AE143" i="41"/>
  <c r="AD143" i="41"/>
  <c r="AC143" i="41"/>
  <c r="V143" i="41"/>
  <c r="U143" i="41"/>
  <c r="T143" i="41"/>
  <c r="M143" i="41"/>
  <c r="L143" i="41"/>
  <c r="K143" i="41"/>
  <c r="I143" i="41"/>
  <c r="G143" i="41"/>
  <c r="F143" i="41"/>
  <c r="D143" i="41"/>
  <c r="C143" i="41"/>
  <c r="A143" i="41"/>
  <c r="AG142" i="41"/>
  <c r="AF142" i="41"/>
  <c r="AE142" i="41"/>
  <c r="AD142" i="41"/>
  <c r="AC142" i="41"/>
  <c r="V142" i="41"/>
  <c r="U142" i="41"/>
  <c r="T142" i="41"/>
  <c r="M142" i="41"/>
  <c r="L142" i="41"/>
  <c r="K142" i="41"/>
  <c r="I142" i="41"/>
  <c r="G142" i="41"/>
  <c r="F142" i="41"/>
  <c r="D142" i="41"/>
  <c r="C142" i="41"/>
  <c r="A142" i="41"/>
  <c r="AG141" i="41"/>
  <c r="AF141" i="41"/>
  <c r="AE141" i="41"/>
  <c r="AD141" i="41"/>
  <c r="AC141" i="41"/>
  <c r="V141" i="41"/>
  <c r="U141" i="41"/>
  <c r="T141" i="41"/>
  <c r="M141" i="41"/>
  <c r="L141" i="41"/>
  <c r="K141" i="41"/>
  <c r="I141" i="41"/>
  <c r="G141" i="41"/>
  <c r="F141" i="41"/>
  <c r="D141" i="41"/>
  <c r="C141" i="41"/>
  <c r="A141" i="41"/>
  <c r="AG140" i="41"/>
  <c r="AF140" i="41"/>
  <c r="AE140" i="41"/>
  <c r="AD140" i="41"/>
  <c r="AC140" i="41"/>
  <c r="V140" i="41"/>
  <c r="U140" i="41"/>
  <c r="T140" i="41"/>
  <c r="M140" i="41"/>
  <c r="L140" i="41"/>
  <c r="K140" i="41"/>
  <c r="I140" i="41"/>
  <c r="G140" i="41"/>
  <c r="F140" i="41"/>
  <c r="D140" i="41"/>
  <c r="C140" i="41"/>
  <c r="A140" i="41"/>
  <c r="AG139" i="41"/>
  <c r="AF139" i="41"/>
  <c r="AE139" i="41"/>
  <c r="AD139" i="41"/>
  <c r="AC139" i="41"/>
  <c r="V139" i="41"/>
  <c r="U139" i="41"/>
  <c r="T139" i="41"/>
  <c r="M139" i="41"/>
  <c r="L139" i="41"/>
  <c r="K139" i="41"/>
  <c r="I139" i="41"/>
  <c r="G139" i="41"/>
  <c r="F139" i="41"/>
  <c r="D139" i="41"/>
  <c r="C139" i="41"/>
  <c r="A139" i="41"/>
  <c r="AG138" i="41"/>
  <c r="AF138" i="41"/>
  <c r="AE138" i="41"/>
  <c r="AD138" i="41"/>
  <c r="AC138" i="41"/>
  <c r="V138" i="41"/>
  <c r="U138" i="41"/>
  <c r="T138" i="41"/>
  <c r="M138" i="41"/>
  <c r="L138" i="41"/>
  <c r="K138" i="41"/>
  <c r="I138" i="41"/>
  <c r="G138" i="41"/>
  <c r="F138" i="41"/>
  <c r="D138" i="41"/>
  <c r="C138" i="41"/>
  <c r="A138" i="41"/>
  <c r="AG137" i="41"/>
  <c r="AF137" i="41"/>
  <c r="AE137" i="41"/>
  <c r="AD137" i="41"/>
  <c r="AC137" i="41"/>
  <c r="V137" i="41"/>
  <c r="U137" i="41"/>
  <c r="T137" i="41"/>
  <c r="M137" i="41"/>
  <c r="L137" i="41"/>
  <c r="K137" i="41"/>
  <c r="I137" i="41"/>
  <c r="G137" i="41"/>
  <c r="F137" i="41"/>
  <c r="D137" i="41"/>
  <c r="C137" i="41"/>
  <c r="A137" i="41"/>
  <c r="AG136" i="41"/>
  <c r="AF136" i="41"/>
  <c r="AE136" i="41"/>
  <c r="AD136" i="41"/>
  <c r="AC136" i="41"/>
  <c r="V136" i="41"/>
  <c r="U136" i="41"/>
  <c r="T136" i="41"/>
  <c r="M136" i="41"/>
  <c r="L136" i="41"/>
  <c r="K136" i="41"/>
  <c r="I136" i="41"/>
  <c r="G136" i="41"/>
  <c r="F136" i="41"/>
  <c r="D136" i="41"/>
  <c r="C136" i="41"/>
  <c r="A136" i="41"/>
  <c r="AG135" i="41"/>
  <c r="AF135" i="41"/>
  <c r="AE135" i="41"/>
  <c r="AD135" i="41"/>
  <c r="AC135" i="41"/>
  <c r="V135" i="41"/>
  <c r="U135" i="41"/>
  <c r="T135" i="41"/>
  <c r="M135" i="41"/>
  <c r="L135" i="41"/>
  <c r="K135" i="41"/>
  <c r="I135" i="41"/>
  <c r="G135" i="41"/>
  <c r="F135" i="41"/>
  <c r="D135" i="41"/>
  <c r="C135" i="41"/>
  <c r="A135" i="41"/>
  <c r="AG134" i="41"/>
  <c r="AF134" i="41"/>
  <c r="AE134" i="41"/>
  <c r="AD134" i="41"/>
  <c r="AC134" i="41"/>
  <c r="V134" i="41"/>
  <c r="U134" i="41"/>
  <c r="T134" i="41"/>
  <c r="M134" i="41"/>
  <c r="L134" i="41"/>
  <c r="K134" i="41"/>
  <c r="I134" i="41"/>
  <c r="G134" i="41"/>
  <c r="F134" i="41"/>
  <c r="D134" i="41"/>
  <c r="C134" i="41"/>
  <c r="A134" i="41"/>
  <c r="AG133" i="41"/>
  <c r="AF133" i="41"/>
  <c r="AE133" i="41"/>
  <c r="AD133" i="41"/>
  <c r="AC133" i="41"/>
  <c r="V133" i="41"/>
  <c r="U133" i="41"/>
  <c r="T133" i="41"/>
  <c r="M133" i="41"/>
  <c r="L133" i="41"/>
  <c r="K133" i="41"/>
  <c r="I133" i="41"/>
  <c r="G133" i="41"/>
  <c r="F133" i="41"/>
  <c r="D133" i="41"/>
  <c r="C133" i="41"/>
  <c r="A133" i="41"/>
  <c r="AG132" i="41"/>
  <c r="AF132" i="41"/>
  <c r="AE132" i="41"/>
  <c r="AD132" i="41"/>
  <c r="AC132" i="41"/>
  <c r="V132" i="41"/>
  <c r="U132" i="41"/>
  <c r="T132" i="41"/>
  <c r="M132" i="41"/>
  <c r="L132" i="41"/>
  <c r="K132" i="41"/>
  <c r="I132" i="41"/>
  <c r="G132" i="41"/>
  <c r="F132" i="41"/>
  <c r="D132" i="41"/>
  <c r="C132" i="41"/>
  <c r="A132" i="41"/>
  <c r="AG131" i="41"/>
  <c r="AF131" i="41"/>
  <c r="AE131" i="41"/>
  <c r="AD131" i="41"/>
  <c r="AC131" i="41"/>
  <c r="V131" i="41"/>
  <c r="U131" i="41"/>
  <c r="T131" i="41"/>
  <c r="M131" i="41"/>
  <c r="L131" i="41"/>
  <c r="K131" i="41"/>
  <c r="I131" i="41"/>
  <c r="G131" i="41"/>
  <c r="F131" i="41"/>
  <c r="D131" i="41"/>
  <c r="C131" i="41"/>
  <c r="A131" i="41"/>
  <c r="AG130" i="41"/>
  <c r="AF130" i="41"/>
  <c r="AE130" i="41"/>
  <c r="AD130" i="41"/>
  <c r="AC130" i="41"/>
  <c r="V130" i="41"/>
  <c r="U130" i="41"/>
  <c r="T130" i="41"/>
  <c r="M130" i="41"/>
  <c r="L130" i="41"/>
  <c r="K130" i="41"/>
  <c r="I130" i="41"/>
  <c r="G130" i="41"/>
  <c r="F130" i="41"/>
  <c r="D130" i="41"/>
  <c r="C130" i="41"/>
  <c r="A130" i="41"/>
  <c r="AG129" i="41"/>
  <c r="AF129" i="41"/>
  <c r="AE129" i="41"/>
  <c r="AD129" i="41"/>
  <c r="AC129" i="41"/>
  <c r="V129" i="41"/>
  <c r="U129" i="41"/>
  <c r="T129" i="41"/>
  <c r="M129" i="41"/>
  <c r="L129" i="41"/>
  <c r="K129" i="41"/>
  <c r="I129" i="41"/>
  <c r="G129" i="41"/>
  <c r="F129" i="41"/>
  <c r="D129" i="41"/>
  <c r="C129" i="41"/>
  <c r="A129" i="41"/>
  <c r="AG128" i="41"/>
  <c r="AF128" i="41"/>
  <c r="AE128" i="41"/>
  <c r="AD128" i="41"/>
  <c r="AC128" i="41"/>
  <c r="V128" i="41"/>
  <c r="U128" i="41"/>
  <c r="T128" i="41"/>
  <c r="M128" i="41"/>
  <c r="L128" i="41"/>
  <c r="K128" i="41"/>
  <c r="I128" i="41"/>
  <c r="G128" i="41"/>
  <c r="F128" i="41"/>
  <c r="D128" i="41"/>
  <c r="C128" i="41"/>
  <c r="A128" i="41"/>
  <c r="AG127" i="41"/>
  <c r="AF127" i="41"/>
  <c r="AE127" i="41"/>
  <c r="AD127" i="41"/>
  <c r="AC127" i="41"/>
  <c r="V127" i="41"/>
  <c r="U127" i="41"/>
  <c r="T127" i="41"/>
  <c r="M127" i="41"/>
  <c r="L127" i="41"/>
  <c r="K127" i="41"/>
  <c r="I127" i="41"/>
  <c r="G127" i="41"/>
  <c r="F127" i="41"/>
  <c r="D127" i="41"/>
  <c r="C127" i="41"/>
  <c r="A127" i="41"/>
  <c r="AG126" i="41"/>
  <c r="AF126" i="41"/>
  <c r="AE126" i="41"/>
  <c r="AD126" i="41"/>
  <c r="AC126" i="41"/>
  <c r="V126" i="41"/>
  <c r="U126" i="41"/>
  <c r="T126" i="41"/>
  <c r="M126" i="41"/>
  <c r="L126" i="41"/>
  <c r="K126" i="41"/>
  <c r="I126" i="41"/>
  <c r="G126" i="41"/>
  <c r="F126" i="41"/>
  <c r="D126" i="41"/>
  <c r="C126" i="41"/>
  <c r="A126" i="41"/>
  <c r="AG125" i="41"/>
  <c r="AF125" i="41"/>
  <c r="AE125" i="41"/>
  <c r="AD125" i="41"/>
  <c r="AC125" i="41"/>
  <c r="V125" i="41"/>
  <c r="U125" i="41"/>
  <c r="T125" i="41"/>
  <c r="M125" i="41"/>
  <c r="L125" i="41"/>
  <c r="K125" i="41"/>
  <c r="I125" i="41"/>
  <c r="G125" i="41"/>
  <c r="F125" i="41"/>
  <c r="D125" i="41"/>
  <c r="C125" i="41"/>
  <c r="A125" i="41"/>
  <c r="AG124" i="41"/>
  <c r="AF124" i="41"/>
  <c r="AE124" i="41"/>
  <c r="AD124" i="41"/>
  <c r="AC124" i="41"/>
  <c r="V124" i="41"/>
  <c r="U124" i="41"/>
  <c r="T124" i="41"/>
  <c r="M124" i="41"/>
  <c r="L124" i="41"/>
  <c r="K124" i="41"/>
  <c r="I124" i="41"/>
  <c r="G124" i="41"/>
  <c r="F124" i="41"/>
  <c r="D124" i="41"/>
  <c r="C124" i="41"/>
  <c r="A124" i="41"/>
  <c r="AG123" i="41"/>
  <c r="AF123" i="41"/>
  <c r="AE123" i="41"/>
  <c r="AD123" i="41"/>
  <c r="AC123" i="41"/>
  <c r="V123" i="41"/>
  <c r="U123" i="41"/>
  <c r="T123" i="41"/>
  <c r="M123" i="41"/>
  <c r="L123" i="41"/>
  <c r="K123" i="41"/>
  <c r="I123" i="41"/>
  <c r="G123" i="41"/>
  <c r="F123" i="41"/>
  <c r="D123" i="41"/>
  <c r="C123" i="41"/>
  <c r="A123" i="41"/>
  <c r="AG122" i="41"/>
  <c r="AF122" i="41"/>
  <c r="AE122" i="41"/>
  <c r="AD122" i="41"/>
  <c r="AC122" i="41"/>
  <c r="V122" i="41"/>
  <c r="U122" i="41"/>
  <c r="T122" i="41"/>
  <c r="M122" i="41"/>
  <c r="L122" i="41"/>
  <c r="K122" i="41"/>
  <c r="I122" i="41"/>
  <c r="G122" i="41"/>
  <c r="F122" i="41"/>
  <c r="D122" i="41"/>
  <c r="C122" i="41"/>
  <c r="A122" i="41"/>
  <c r="AG121" i="41"/>
  <c r="AF121" i="41"/>
  <c r="AE121" i="41"/>
  <c r="AD121" i="41"/>
  <c r="AC121" i="41"/>
  <c r="V121" i="41"/>
  <c r="U121" i="41"/>
  <c r="T121" i="41"/>
  <c r="M121" i="41"/>
  <c r="L121" i="41"/>
  <c r="K121" i="41"/>
  <c r="I121" i="41"/>
  <c r="G121" i="41"/>
  <c r="F121" i="41"/>
  <c r="D121" i="41"/>
  <c r="C121" i="41"/>
  <c r="A121" i="41"/>
  <c r="AG120" i="41"/>
  <c r="AF120" i="41"/>
  <c r="AE120" i="41"/>
  <c r="AD120" i="41"/>
  <c r="AC120" i="41"/>
  <c r="V120" i="41"/>
  <c r="U120" i="41"/>
  <c r="T120" i="41"/>
  <c r="M120" i="41"/>
  <c r="L120" i="41"/>
  <c r="K120" i="41"/>
  <c r="I120" i="41"/>
  <c r="G120" i="41"/>
  <c r="F120" i="41"/>
  <c r="D120" i="41"/>
  <c r="C120" i="41"/>
  <c r="A120" i="41"/>
  <c r="AG119" i="41"/>
  <c r="AF119" i="41"/>
  <c r="AE119" i="41"/>
  <c r="AD119" i="41"/>
  <c r="AC119" i="41"/>
  <c r="V119" i="41"/>
  <c r="U119" i="41"/>
  <c r="T119" i="41"/>
  <c r="M119" i="41"/>
  <c r="L119" i="41"/>
  <c r="K119" i="41"/>
  <c r="I119" i="41"/>
  <c r="G119" i="41"/>
  <c r="F119" i="41"/>
  <c r="D119" i="41"/>
  <c r="C119" i="41"/>
  <c r="A119" i="41"/>
  <c r="AG118" i="41"/>
  <c r="AF118" i="41"/>
  <c r="AE118" i="41"/>
  <c r="AD118" i="41"/>
  <c r="AC118" i="41"/>
  <c r="V118" i="41"/>
  <c r="U118" i="41"/>
  <c r="T118" i="41"/>
  <c r="M118" i="41"/>
  <c r="L118" i="41"/>
  <c r="K118" i="41"/>
  <c r="I118" i="41"/>
  <c r="G118" i="41"/>
  <c r="F118" i="41"/>
  <c r="D118" i="41"/>
  <c r="C118" i="41"/>
  <c r="A118" i="41"/>
  <c r="AG117" i="41"/>
  <c r="AF117" i="41"/>
  <c r="AE117" i="41"/>
  <c r="AD117" i="41"/>
  <c r="AC117" i="41"/>
  <c r="V117" i="41"/>
  <c r="U117" i="41"/>
  <c r="T117" i="41"/>
  <c r="M117" i="41"/>
  <c r="L117" i="41"/>
  <c r="K117" i="41"/>
  <c r="I117" i="41"/>
  <c r="G117" i="41"/>
  <c r="F117" i="41"/>
  <c r="D117" i="41"/>
  <c r="C117" i="41"/>
  <c r="A117" i="41"/>
  <c r="AG116" i="41"/>
  <c r="AF116" i="41"/>
  <c r="AE116" i="41"/>
  <c r="AD116" i="41"/>
  <c r="AC116" i="41"/>
  <c r="V116" i="41"/>
  <c r="U116" i="41"/>
  <c r="T116" i="41"/>
  <c r="M116" i="41"/>
  <c r="L116" i="41"/>
  <c r="K116" i="41"/>
  <c r="I116" i="41"/>
  <c r="G116" i="41"/>
  <c r="F116" i="41"/>
  <c r="D116" i="41"/>
  <c r="C116" i="41"/>
  <c r="A116" i="41"/>
  <c r="AG115" i="41"/>
  <c r="AF115" i="41"/>
  <c r="AE115" i="41"/>
  <c r="AD115" i="41"/>
  <c r="AC115" i="41"/>
  <c r="V115" i="41"/>
  <c r="U115" i="41"/>
  <c r="T115" i="41"/>
  <c r="M115" i="41"/>
  <c r="L115" i="41"/>
  <c r="K115" i="41"/>
  <c r="I115" i="41"/>
  <c r="G115" i="41"/>
  <c r="F115" i="41"/>
  <c r="D115" i="41"/>
  <c r="C115" i="41"/>
  <c r="A115" i="41"/>
  <c r="AG114" i="41"/>
  <c r="AF114" i="41"/>
  <c r="AE114" i="41"/>
  <c r="AD114" i="41"/>
  <c r="AC114" i="41"/>
  <c r="V114" i="41"/>
  <c r="U114" i="41"/>
  <c r="T114" i="41"/>
  <c r="M114" i="41"/>
  <c r="L114" i="41"/>
  <c r="K114" i="41"/>
  <c r="I114" i="41"/>
  <c r="G114" i="41"/>
  <c r="F114" i="41"/>
  <c r="D114" i="41"/>
  <c r="C114" i="41"/>
  <c r="A114" i="41"/>
  <c r="AG113" i="41"/>
  <c r="AF113" i="41"/>
  <c r="AE113" i="41"/>
  <c r="AD113" i="41"/>
  <c r="AC113" i="41"/>
  <c r="V113" i="41"/>
  <c r="U113" i="41"/>
  <c r="T113" i="41"/>
  <c r="M113" i="41"/>
  <c r="L113" i="41"/>
  <c r="K113" i="41"/>
  <c r="I113" i="41"/>
  <c r="G113" i="41"/>
  <c r="F113" i="41"/>
  <c r="D113" i="41"/>
  <c r="C113" i="41"/>
  <c r="A113" i="41"/>
  <c r="AG112" i="41"/>
  <c r="AF112" i="41"/>
  <c r="AE112" i="41"/>
  <c r="AD112" i="41"/>
  <c r="AC112" i="41"/>
  <c r="V112" i="41"/>
  <c r="U112" i="41"/>
  <c r="T112" i="41"/>
  <c r="M112" i="41"/>
  <c r="L112" i="41"/>
  <c r="K112" i="41"/>
  <c r="I112" i="41"/>
  <c r="G112" i="41"/>
  <c r="F112" i="41"/>
  <c r="D112" i="41"/>
  <c r="C112" i="41"/>
  <c r="A112" i="41"/>
  <c r="AG111" i="41"/>
  <c r="AF111" i="41"/>
  <c r="AE111" i="41"/>
  <c r="AD111" i="41"/>
  <c r="AC111" i="41"/>
  <c r="V111" i="41"/>
  <c r="U111" i="41"/>
  <c r="T111" i="41"/>
  <c r="M111" i="41"/>
  <c r="L111" i="41"/>
  <c r="K111" i="41"/>
  <c r="I111" i="41"/>
  <c r="G111" i="41"/>
  <c r="F111" i="41"/>
  <c r="D111" i="41"/>
  <c r="C111" i="41"/>
  <c r="A111" i="41"/>
  <c r="AG110" i="41"/>
  <c r="AF110" i="41"/>
  <c r="AE110" i="41"/>
  <c r="AD110" i="41"/>
  <c r="AC110" i="41"/>
  <c r="V110" i="41"/>
  <c r="U110" i="41"/>
  <c r="T110" i="41"/>
  <c r="M110" i="41"/>
  <c r="L110" i="41"/>
  <c r="K110" i="41"/>
  <c r="I110" i="41"/>
  <c r="G110" i="41"/>
  <c r="F110" i="41"/>
  <c r="D110" i="41"/>
  <c r="C110" i="41"/>
  <c r="A110" i="41"/>
  <c r="AG109" i="41"/>
  <c r="AF109" i="41"/>
  <c r="AE109" i="41"/>
  <c r="AD109" i="41"/>
  <c r="AC109" i="41"/>
  <c r="V109" i="41"/>
  <c r="U109" i="41"/>
  <c r="T109" i="41"/>
  <c r="M109" i="41"/>
  <c r="L109" i="41"/>
  <c r="K109" i="41"/>
  <c r="I109" i="41"/>
  <c r="G109" i="41"/>
  <c r="F109" i="41"/>
  <c r="D109" i="41"/>
  <c r="C109" i="41"/>
  <c r="A109" i="41"/>
  <c r="AG108" i="41"/>
  <c r="AF108" i="41"/>
  <c r="AE108" i="41"/>
  <c r="AD108" i="41"/>
  <c r="AC108" i="41"/>
  <c r="V108" i="41"/>
  <c r="U108" i="41"/>
  <c r="T108" i="41"/>
  <c r="M108" i="41"/>
  <c r="L108" i="41"/>
  <c r="K108" i="41"/>
  <c r="I108" i="41"/>
  <c r="G108" i="41"/>
  <c r="F108" i="41"/>
  <c r="D108" i="41"/>
  <c r="C108" i="41"/>
  <c r="A108" i="41"/>
  <c r="AG107" i="41"/>
  <c r="AF107" i="41"/>
  <c r="AE107" i="41"/>
  <c r="AD107" i="41"/>
  <c r="AC107" i="41"/>
  <c r="V107" i="41"/>
  <c r="U107" i="41"/>
  <c r="T107" i="41"/>
  <c r="M107" i="41"/>
  <c r="L107" i="41"/>
  <c r="K107" i="41"/>
  <c r="I107" i="41"/>
  <c r="G107" i="41"/>
  <c r="F107" i="41"/>
  <c r="D107" i="41"/>
  <c r="C107" i="41"/>
  <c r="A107" i="41"/>
  <c r="AG106" i="41"/>
  <c r="AF106" i="41"/>
  <c r="AE106" i="41"/>
  <c r="AD106" i="41"/>
  <c r="AC106" i="41"/>
  <c r="V106" i="41"/>
  <c r="U106" i="41"/>
  <c r="T106" i="41"/>
  <c r="M106" i="41"/>
  <c r="L106" i="41"/>
  <c r="K106" i="41"/>
  <c r="I106" i="41"/>
  <c r="G106" i="41"/>
  <c r="F106" i="41"/>
  <c r="D106" i="41"/>
  <c r="C106" i="41"/>
  <c r="A106" i="41"/>
  <c r="AG105" i="41"/>
  <c r="AF105" i="41"/>
  <c r="AE105" i="41"/>
  <c r="AD105" i="41"/>
  <c r="AC105" i="41"/>
  <c r="V105" i="41"/>
  <c r="U105" i="41"/>
  <c r="T105" i="41"/>
  <c r="M105" i="41"/>
  <c r="L105" i="41"/>
  <c r="K105" i="41"/>
  <c r="I105" i="41"/>
  <c r="G105" i="41"/>
  <c r="F105" i="41"/>
  <c r="D105" i="41"/>
  <c r="C105" i="41"/>
  <c r="A105" i="41"/>
  <c r="AG104" i="41"/>
  <c r="AF104" i="41"/>
  <c r="AE104" i="41"/>
  <c r="AD104" i="41"/>
  <c r="AC104" i="41"/>
  <c r="V104" i="41"/>
  <c r="U104" i="41"/>
  <c r="T104" i="41"/>
  <c r="M104" i="41"/>
  <c r="L104" i="41"/>
  <c r="K104" i="41"/>
  <c r="I104" i="41"/>
  <c r="G104" i="41"/>
  <c r="F104" i="41"/>
  <c r="D104" i="41"/>
  <c r="C104" i="41"/>
  <c r="A104" i="41"/>
  <c r="AG103" i="41"/>
  <c r="AF103" i="41"/>
  <c r="AE103" i="41"/>
  <c r="AD103" i="41"/>
  <c r="AC103" i="41"/>
  <c r="V103" i="41"/>
  <c r="U103" i="41"/>
  <c r="T103" i="41"/>
  <c r="M103" i="41"/>
  <c r="L103" i="41"/>
  <c r="K103" i="41"/>
  <c r="I103" i="41"/>
  <c r="G103" i="41"/>
  <c r="F103" i="41"/>
  <c r="D103" i="41"/>
  <c r="C103" i="41"/>
  <c r="A103" i="41"/>
  <c r="AG102" i="41"/>
  <c r="AF102" i="41"/>
  <c r="AE102" i="41"/>
  <c r="AD102" i="41"/>
  <c r="AC102" i="41"/>
  <c r="V102" i="41"/>
  <c r="U102" i="41"/>
  <c r="T102" i="41"/>
  <c r="M102" i="41"/>
  <c r="L102" i="41"/>
  <c r="K102" i="41"/>
  <c r="I102" i="41"/>
  <c r="G102" i="41"/>
  <c r="F102" i="41"/>
  <c r="D102" i="41"/>
  <c r="C102" i="41"/>
  <c r="A102" i="41"/>
  <c r="AG101" i="41"/>
  <c r="AF101" i="41"/>
  <c r="AE101" i="41"/>
  <c r="AD101" i="41"/>
  <c r="AC101" i="41"/>
  <c r="V101" i="41"/>
  <c r="U101" i="41"/>
  <c r="T101" i="41"/>
  <c r="M101" i="41"/>
  <c r="L101" i="41"/>
  <c r="K101" i="41"/>
  <c r="I101" i="41"/>
  <c r="G101" i="41"/>
  <c r="F101" i="41"/>
  <c r="D101" i="41"/>
  <c r="C101" i="41"/>
  <c r="A101" i="41"/>
  <c r="AG100" i="41"/>
  <c r="AF100" i="41"/>
  <c r="AE100" i="41"/>
  <c r="AD100" i="41"/>
  <c r="AC100" i="41"/>
  <c r="V100" i="41"/>
  <c r="U100" i="41"/>
  <c r="T100" i="41"/>
  <c r="M100" i="41"/>
  <c r="L100" i="41"/>
  <c r="K100" i="41"/>
  <c r="I100" i="41"/>
  <c r="G100" i="41"/>
  <c r="F100" i="41"/>
  <c r="D100" i="41"/>
  <c r="C100" i="41"/>
  <c r="A100" i="41"/>
  <c r="AG99" i="41"/>
  <c r="AF99" i="41"/>
  <c r="AE99" i="41"/>
  <c r="AD99" i="41"/>
  <c r="AC99" i="41"/>
  <c r="V99" i="41"/>
  <c r="U99" i="41"/>
  <c r="T99" i="41"/>
  <c r="M99" i="41"/>
  <c r="L99" i="41"/>
  <c r="K99" i="41"/>
  <c r="I99" i="41"/>
  <c r="G99" i="41"/>
  <c r="F99" i="41"/>
  <c r="D99" i="41"/>
  <c r="C99" i="41"/>
  <c r="A99" i="41"/>
  <c r="AG98" i="41"/>
  <c r="AF98" i="41"/>
  <c r="AE98" i="41"/>
  <c r="AD98" i="41"/>
  <c r="AC98" i="41"/>
  <c r="V98" i="41"/>
  <c r="U98" i="41"/>
  <c r="T98" i="41"/>
  <c r="M98" i="41"/>
  <c r="L98" i="41"/>
  <c r="K98" i="41"/>
  <c r="I98" i="41"/>
  <c r="G98" i="41"/>
  <c r="F98" i="41"/>
  <c r="D98" i="41"/>
  <c r="C98" i="41"/>
  <c r="A98" i="41"/>
  <c r="AG97" i="41"/>
  <c r="AF97" i="41"/>
  <c r="AE97" i="41"/>
  <c r="AD97" i="41"/>
  <c r="AC97" i="41"/>
  <c r="V97" i="41"/>
  <c r="U97" i="41"/>
  <c r="T97" i="41"/>
  <c r="M97" i="41"/>
  <c r="L97" i="41"/>
  <c r="K97" i="41"/>
  <c r="I97" i="41"/>
  <c r="G97" i="41"/>
  <c r="F97" i="41"/>
  <c r="D97" i="41"/>
  <c r="C97" i="41"/>
  <c r="A97" i="41"/>
  <c r="AG96" i="41"/>
  <c r="AF96" i="41"/>
  <c r="AE96" i="41"/>
  <c r="AD96" i="41"/>
  <c r="AC96" i="41"/>
  <c r="V96" i="41"/>
  <c r="U96" i="41"/>
  <c r="T96" i="41"/>
  <c r="M96" i="41"/>
  <c r="L96" i="41"/>
  <c r="K96" i="41"/>
  <c r="I96" i="41"/>
  <c r="G96" i="41"/>
  <c r="F96" i="41"/>
  <c r="D96" i="41"/>
  <c r="C96" i="41"/>
  <c r="A96" i="41"/>
  <c r="AG95" i="41"/>
  <c r="AF95" i="41"/>
  <c r="AE95" i="41"/>
  <c r="AD95" i="41"/>
  <c r="AC95" i="41"/>
  <c r="V95" i="41"/>
  <c r="U95" i="41"/>
  <c r="T95" i="41"/>
  <c r="M95" i="41"/>
  <c r="L95" i="41"/>
  <c r="K95" i="41"/>
  <c r="I95" i="41"/>
  <c r="G95" i="41"/>
  <c r="F95" i="41"/>
  <c r="D95" i="41"/>
  <c r="C95" i="41"/>
  <c r="A95" i="41"/>
  <c r="AG94" i="41"/>
  <c r="AF94" i="41"/>
  <c r="AE94" i="41"/>
  <c r="AD94" i="41"/>
  <c r="AC94" i="41"/>
  <c r="V94" i="41"/>
  <c r="U94" i="41"/>
  <c r="T94" i="41"/>
  <c r="M94" i="41"/>
  <c r="L94" i="41"/>
  <c r="K94" i="41"/>
  <c r="I94" i="41"/>
  <c r="G94" i="41"/>
  <c r="F94" i="41"/>
  <c r="D94" i="41"/>
  <c r="C94" i="41"/>
  <c r="A94" i="41"/>
  <c r="AG93" i="41"/>
  <c r="AF93" i="41"/>
  <c r="AE93" i="41"/>
  <c r="AD93" i="41"/>
  <c r="AC93" i="41"/>
  <c r="V93" i="41"/>
  <c r="U93" i="41"/>
  <c r="T93" i="41"/>
  <c r="M93" i="41"/>
  <c r="L93" i="41"/>
  <c r="K93" i="41"/>
  <c r="I93" i="41"/>
  <c r="G93" i="41"/>
  <c r="F93" i="41"/>
  <c r="D93" i="41"/>
  <c r="C93" i="41"/>
  <c r="A93" i="41"/>
  <c r="AG92" i="41"/>
  <c r="AF92" i="41"/>
  <c r="AE92" i="41"/>
  <c r="AD92" i="41"/>
  <c r="AC92" i="41"/>
  <c r="V92" i="41"/>
  <c r="U92" i="41"/>
  <c r="T92" i="41"/>
  <c r="M92" i="41"/>
  <c r="L92" i="41"/>
  <c r="K92" i="41"/>
  <c r="I92" i="41"/>
  <c r="G92" i="41"/>
  <c r="F92" i="41"/>
  <c r="D92" i="41"/>
  <c r="C92" i="41"/>
  <c r="A92" i="41"/>
  <c r="AG91" i="41"/>
  <c r="AF91" i="41"/>
  <c r="AE91" i="41"/>
  <c r="AD91" i="41"/>
  <c r="AC91" i="41"/>
  <c r="V91" i="41"/>
  <c r="U91" i="41"/>
  <c r="T91" i="41"/>
  <c r="M91" i="41"/>
  <c r="L91" i="41"/>
  <c r="K91" i="41"/>
  <c r="I91" i="41"/>
  <c r="G91" i="41"/>
  <c r="F91" i="41"/>
  <c r="D91" i="41"/>
  <c r="C91" i="41"/>
  <c r="A91" i="41"/>
  <c r="AG90" i="41"/>
  <c r="AF90" i="41"/>
  <c r="AE90" i="41"/>
  <c r="AD90" i="41"/>
  <c r="AC90" i="41"/>
  <c r="V90" i="41"/>
  <c r="U90" i="41"/>
  <c r="T90" i="41"/>
  <c r="M90" i="41"/>
  <c r="L90" i="41"/>
  <c r="K90" i="41"/>
  <c r="I90" i="41"/>
  <c r="G90" i="41"/>
  <c r="F90" i="41"/>
  <c r="D90" i="41"/>
  <c r="C90" i="41"/>
  <c r="A90" i="41"/>
  <c r="AG89" i="41"/>
  <c r="AF89" i="41"/>
  <c r="AE89" i="41"/>
  <c r="AD89" i="41"/>
  <c r="AC89" i="41"/>
  <c r="V89" i="41"/>
  <c r="U89" i="41"/>
  <c r="T89" i="41"/>
  <c r="M89" i="41"/>
  <c r="L89" i="41"/>
  <c r="K89" i="41"/>
  <c r="I89" i="41"/>
  <c r="G89" i="41"/>
  <c r="F89" i="41"/>
  <c r="D89" i="41"/>
  <c r="C89" i="41"/>
  <c r="A89" i="41"/>
  <c r="AG88" i="41"/>
  <c r="AF88" i="41"/>
  <c r="AE88" i="41"/>
  <c r="AD88" i="41"/>
  <c r="AC88" i="41"/>
  <c r="V88" i="41"/>
  <c r="U88" i="41"/>
  <c r="T88" i="41"/>
  <c r="M88" i="41"/>
  <c r="L88" i="41"/>
  <c r="K88" i="41"/>
  <c r="I88" i="41"/>
  <c r="G88" i="41"/>
  <c r="F88" i="41"/>
  <c r="D88" i="41"/>
  <c r="C88" i="41"/>
  <c r="A88" i="41"/>
  <c r="AG87" i="41"/>
  <c r="AF87" i="41"/>
  <c r="AE87" i="41"/>
  <c r="AD87" i="41"/>
  <c r="AC87" i="41"/>
  <c r="V87" i="41"/>
  <c r="U87" i="41"/>
  <c r="T87" i="41"/>
  <c r="M87" i="41"/>
  <c r="L87" i="41"/>
  <c r="K87" i="41"/>
  <c r="I87" i="41"/>
  <c r="G87" i="41"/>
  <c r="F87" i="41"/>
  <c r="D87" i="41"/>
  <c r="C87" i="41"/>
  <c r="A87" i="41"/>
  <c r="AG86" i="41"/>
  <c r="AF86" i="41"/>
  <c r="AE86" i="41"/>
  <c r="AD86" i="41"/>
  <c r="AC86" i="41"/>
  <c r="V86" i="41"/>
  <c r="U86" i="41"/>
  <c r="T86" i="41"/>
  <c r="M86" i="41"/>
  <c r="L86" i="41"/>
  <c r="K86" i="41"/>
  <c r="I86" i="41"/>
  <c r="G86" i="41"/>
  <c r="F86" i="41"/>
  <c r="D86" i="41"/>
  <c r="C86" i="41"/>
  <c r="A86" i="41"/>
  <c r="AG85" i="41"/>
  <c r="AF85" i="41"/>
  <c r="AE85" i="41"/>
  <c r="AD85" i="41"/>
  <c r="AC85" i="41"/>
  <c r="V85" i="41"/>
  <c r="U85" i="41"/>
  <c r="T85" i="41"/>
  <c r="M85" i="41"/>
  <c r="L85" i="41"/>
  <c r="K85" i="41"/>
  <c r="I85" i="41"/>
  <c r="G85" i="41"/>
  <c r="F85" i="41"/>
  <c r="D85" i="41"/>
  <c r="C85" i="41"/>
  <c r="A85" i="41"/>
  <c r="AG84" i="41"/>
  <c r="AF84" i="41"/>
  <c r="AE84" i="41"/>
  <c r="AD84" i="41"/>
  <c r="AC84" i="41"/>
  <c r="V84" i="41"/>
  <c r="U84" i="41"/>
  <c r="T84" i="41"/>
  <c r="M84" i="41"/>
  <c r="L84" i="41"/>
  <c r="K84" i="41"/>
  <c r="I84" i="41"/>
  <c r="G84" i="41"/>
  <c r="F84" i="41"/>
  <c r="D84" i="41"/>
  <c r="C84" i="41"/>
  <c r="A84" i="41"/>
  <c r="AG83" i="41"/>
  <c r="AF83" i="41"/>
  <c r="AE83" i="41"/>
  <c r="AD83" i="41"/>
  <c r="AC83" i="41"/>
  <c r="V83" i="41"/>
  <c r="U83" i="41"/>
  <c r="T83" i="41"/>
  <c r="M83" i="41"/>
  <c r="L83" i="41"/>
  <c r="K83" i="41"/>
  <c r="I83" i="41"/>
  <c r="G83" i="41"/>
  <c r="F83" i="41"/>
  <c r="D83" i="41"/>
  <c r="C83" i="41"/>
  <c r="A83" i="41"/>
  <c r="AG82" i="41"/>
  <c r="AF82" i="41"/>
  <c r="AE82" i="41"/>
  <c r="AD82" i="41"/>
  <c r="AC82" i="41"/>
  <c r="V82" i="41"/>
  <c r="U82" i="41"/>
  <c r="T82" i="41"/>
  <c r="M82" i="41"/>
  <c r="L82" i="41"/>
  <c r="K82" i="41"/>
  <c r="I82" i="41"/>
  <c r="G82" i="41"/>
  <c r="F82" i="41"/>
  <c r="D82" i="41"/>
  <c r="C82" i="41"/>
  <c r="A82" i="41"/>
  <c r="AG81" i="41"/>
  <c r="AF81" i="41"/>
  <c r="AE81" i="41"/>
  <c r="AD81" i="41"/>
  <c r="AC81" i="41"/>
  <c r="V81" i="41"/>
  <c r="U81" i="41"/>
  <c r="T81" i="41"/>
  <c r="M81" i="41"/>
  <c r="L81" i="41"/>
  <c r="K81" i="41"/>
  <c r="I81" i="41"/>
  <c r="G81" i="41"/>
  <c r="F81" i="41"/>
  <c r="D81" i="41"/>
  <c r="C81" i="41"/>
  <c r="A81" i="41"/>
  <c r="AG80" i="41"/>
  <c r="AF80" i="41"/>
  <c r="AE80" i="41"/>
  <c r="AD80" i="41"/>
  <c r="AC80" i="41"/>
  <c r="V80" i="41"/>
  <c r="U80" i="41"/>
  <c r="T80" i="41"/>
  <c r="M80" i="41"/>
  <c r="L80" i="41"/>
  <c r="K80" i="41"/>
  <c r="I80" i="41"/>
  <c r="G80" i="41"/>
  <c r="F80" i="41"/>
  <c r="D80" i="41"/>
  <c r="C80" i="41"/>
  <c r="A80" i="41"/>
  <c r="AG79" i="41"/>
  <c r="AF79" i="41"/>
  <c r="AE79" i="41"/>
  <c r="AD79" i="41"/>
  <c r="AC79" i="41"/>
  <c r="V79" i="41"/>
  <c r="U79" i="41"/>
  <c r="T79" i="41"/>
  <c r="M79" i="41"/>
  <c r="L79" i="41"/>
  <c r="K79" i="41"/>
  <c r="I79" i="41"/>
  <c r="G79" i="41"/>
  <c r="F79" i="41"/>
  <c r="D79" i="41"/>
  <c r="C79" i="41"/>
  <c r="A79" i="41"/>
  <c r="AG78" i="41"/>
  <c r="AF78" i="41"/>
  <c r="AE78" i="41"/>
  <c r="AD78" i="41"/>
  <c r="AC78" i="41"/>
  <c r="V78" i="41"/>
  <c r="U78" i="41"/>
  <c r="T78" i="41"/>
  <c r="M78" i="41"/>
  <c r="L78" i="41"/>
  <c r="K78" i="41"/>
  <c r="I78" i="41"/>
  <c r="G78" i="41"/>
  <c r="F78" i="41"/>
  <c r="D78" i="41"/>
  <c r="C78" i="41"/>
  <c r="A78" i="41"/>
  <c r="AG77" i="41"/>
  <c r="AF77" i="41"/>
  <c r="AE77" i="41"/>
  <c r="AD77" i="41"/>
  <c r="AC77" i="41"/>
  <c r="V77" i="41"/>
  <c r="U77" i="41"/>
  <c r="T77" i="41"/>
  <c r="M77" i="41"/>
  <c r="L77" i="41"/>
  <c r="K77" i="41"/>
  <c r="I77" i="41"/>
  <c r="G77" i="41"/>
  <c r="F77" i="41"/>
  <c r="D77" i="41"/>
  <c r="C77" i="41"/>
  <c r="A77" i="41"/>
  <c r="AG76" i="41"/>
  <c r="AF76" i="41"/>
  <c r="AE76" i="41"/>
  <c r="AD76" i="41"/>
  <c r="AC76" i="41"/>
  <c r="V76" i="41"/>
  <c r="U76" i="41"/>
  <c r="T76" i="41"/>
  <c r="M76" i="41"/>
  <c r="L76" i="41"/>
  <c r="K76" i="41"/>
  <c r="I76" i="41"/>
  <c r="G76" i="41"/>
  <c r="F76" i="41"/>
  <c r="D76" i="41"/>
  <c r="C76" i="41"/>
  <c r="A76" i="41"/>
  <c r="AG75" i="41"/>
  <c r="AF75" i="41"/>
  <c r="AE75" i="41"/>
  <c r="AD75" i="41"/>
  <c r="AC75" i="41"/>
  <c r="V75" i="41"/>
  <c r="U75" i="41"/>
  <c r="T75" i="41"/>
  <c r="M75" i="41"/>
  <c r="L75" i="41"/>
  <c r="K75" i="41"/>
  <c r="I75" i="41"/>
  <c r="G75" i="41"/>
  <c r="F75" i="41"/>
  <c r="D75" i="41"/>
  <c r="C75" i="41"/>
  <c r="A75" i="41"/>
  <c r="AG74" i="41"/>
  <c r="AF74" i="41"/>
  <c r="AE74" i="41"/>
  <c r="AD74" i="41"/>
  <c r="AC74" i="41"/>
  <c r="V74" i="41"/>
  <c r="U74" i="41"/>
  <c r="T74" i="41"/>
  <c r="M74" i="41"/>
  <c r="L74" i="41"/>
  <c r="K74" i="41"/>
  <c r="I74" i="41"/>
  <c r="G74" i="41"/>
  <c r="F74" i="41"/>
  <c r="D74" i="41"/>
  <c r="C74" i="41"/>
  <c r="A74" i="41"/>
  <c r="AG73" i="41"/>
  <c r="AF73" i="41"/>
  <c r="AE73" i="41"/>
  <c r="AD73" i="41"/>
  <c r="AC73" i="41"/>
  <c r="V73" i="41"/>
  <c r="U73" i="41"/>
  <c r="T73" i="41"/>
  <c r="M73" i="41"/>
  <c r="L73" i="41"/>
  <c r="K73" i="41"/>
  <c r="I73" i="41"/>
  <c r="G73" i="41"/>
  <c r="F73" i="41"/>
  <c r="D73" i="41"/>
  <c r="C73" i="41"/>
  <c r="A73" i="41"/>
  <c r="AG72" i="41"/>
  <c r="AF72" i="41"/>
  <c r="AE72" i="41"/>
  <c r="AD72" i="41"/>
  <c r="AC72" i="41"/>
  <c r="V72" i="41"/>
  <c r="U72" i="41"/>
  <c r="T72" i="41"/>
  <c r="M72" i="41"/>
  <c r="L72" i="41"/>
  <c r="K72" i="41"/>
  <c r="I72" i="41"/>
  <c r="G72" i="41"/>
  <c r="F72" i="41"/>
  <c r="D72" i="41"/>
  <c r="C72" i="41"/>
  <c r="A72" i="41"/>
  <c r="AG71" i="41"/>
  <c r="AF71" i="41"/>
  <c r="AE71" i="41"/>
  <c r="AD71" i="41"/>
  <c r="AC71" i="41"/>
  <c r="V71" i="41"/>
  <c r="U71" i="41"/>
  <c r="T71" i="41"/>
  <c r="M71" i="41"/>
  <c r="L71" i="41"/>
  <c r="K71" i="41"/>
  <c r="I71" i="41"/>
  <c r="G71" i="41"/>
  <c r="F71" i="41"/>
  <c r="D71" i="41"/>
  <c r="C71" i="41"/>
  <c r="A71" i="41"/>
  <c r="AG70" i="41"/>
  <c r="AF70" i="41"/>
  <c r="AE70" i="41"/>
  <c r="AD70" i="41"/>
  <c r="AC70" i="41"/>
  <c r="V70" i="41"/>
  <c r="U70" i="41"/>
  <c r="T70" i="41"/>
  <c r="M70" i="41"/>
  <c r="L70" i="41"/>
  <c r="K70" i="41"/>
  <c r="I70" i="41"/>
  <c r="G70" i="41"/>
  <c r="F70" i="41"/>
  <c r="D70" i="41"/>
  <c r="C70" i="41"/>
  <c r="A70" i="41"/>
  <c r="AG69" i="41"/>
  <c r="AF69" i="41"/>
  <c r="AE69" i="41"/>
  <c r="AD69" i="41"/>
  <c r="AC69" i="41"/>
  <c r="V69" i="41"/>
  <c r="U69" i="41"/>
  <c r="T69" i="41"/>
  <c r="M69" i="41"/>
  <c r="L69" i="41"/>
  <c r="K69" i="41"/>
  <c r="I69" i="41"/>
  <c r="G69" i="41"/>
  <c r="F69" i="41"/>
  <c r="D69" i="41"/>
  <c r="C69" i="41"/>
  <c r="A69" i="41"/>
  <c r="AG68" i="41"/>
  <c r="AF68" i="41"/>
  <c r="AE68" i="41"/>
  <c r="AD68" i="41"/>
  <c r="AC68" i="41"/>
  <c r="V68" i="41"/>
  <c r="U68" i="41"/>
  <c r="T68" i="41"/>
  <c r="M68" i="41"/>
  <c r="L68" i="41"/>
  <c r="K68" i="41"/>
  <c r="I68" i="41"/>
  <c r="G68" i="41"/>
  <c r="F68" i="41"/>
  <c r="D68" i="41"/>
  <c r="C68" i="41"/>
  <c r="A68" i="41"/>
  <c r="AG67" i="41"/>
  <c r="AF67" i="41"/>
  <c r="AE67" i="41"/>
  <c r="AD67" i="41"/>
  <c r="AC67" i="41"/>
  <c r="V67" i="41"/>
  <c r="U67" i="41"/>
  <c r="T67" i="41"/>
  <c r="M67" i="41"/>
  <c r="L67" i="41"/>
  <c r="K67" i="41"/>
  <c r="I67" i="41"/>
  <c r="G67" i="41"/>
  <c r="F67" i="41"/>
  <c r="D67" i="41"/>
  <c r="C67" i="41"/>
  <c r="A67" i="41"/>
  <c r="AG66" i="41"/>
  <c r="AF66" i="41"/>
  <c r="AE66" i="41"/>
  <c r="AD66" i="41"/>
  <c r="AC66" i="41"/>
  <c r="V66" i="41"/>
  <c r="U66" i="41"/>
  <c r="T66" i="41"/>
  <c r="M66" i="41"/>
  <c r="L66" i="41"/>
  <c r="K66" i="41"/>
  <c r="I66" i="41"/>
  <c r="G66" i="41"/>
  <c r="F66" i="41"/>
  <c r="D66" i="41"/>
  <c r="C66" i="41"/>
  <c r="A66" i="41"/>
  <c r="AG65" i="41"/>
  <c r="AF65" i="41"/>
  <c r="AE65" i="41"/>
  <c r="AD65" i="41"/>
  <c r="AC65" i="41"/>
  <c r="V65" i="41"/>
  <c r="U65" i="41"/>
  <c r="T65" i="41"/>
  <c r="M65" i="41"/>
  <c r="L65" i="41"/>
  <c r="K65" i="41"/>
  <c r="I65" i="41"/>
  <c r="G65" i="41"/>
  <c r="F65" i="41"/>
  <c r="D65" i="41"/>
  <c r="C65" i="41"/>
  <c r="A65" i="41"/>
  <c r="AG64" i="41"/>
  <c r="AF64" i="41"/>
  <c r="AE64" i="41"/>
  <c r="AD64" i="41"/>
  <c r="AC64" i="41"/>
  <c r="V64" i="41"/>
  <c r="U64" i="41"/>
  <c r="T64" i="41"/>
  <c r="M64" i="41"/>
  <c r="L64" i="41"/>
  <c r="K64" i="41"/>
  <c r="I64" i="41"/>
  <c r="G64" i="41"/>
  <c r="F64" i="41"/>
  <c r="D64" i="41"/>
  <c r="C64" i="41"/>
  <c r="A64" i="41"/>
  <c r="AG63" i="41"/>
  <c r="AF63" i="41"/>
  <c r="AE63" i="41"/>
  <c r="AD63" i="41"/>
  <c r="AC63" i="41"/>
  <c r="V63" i="41"/>
  <c r="U63" i="41"/>
  <c r="T63" i="41"/>
  <c r="M63" i="41"/>
  <c r="L63" i="41"/>
  <c r="K63" i="41"/>
  <c r="I63" i="41"/>
  <c r="G63" i="41"/>
  <c r="F63" i="41"/>
  <c r="D63" i="41"/>
  <c r="C63" i="41"/>
  <c r="A63" i="41"/>
  <c r="AG62" i="41"/>
  <c r="AF62" i="41"/>
  <c r="AE62" i="41"/>
  <c r="AD62" i="41"/>
  <c r="AC62" i="41"/>
  <c r="V62" i="41"/>
  <c r="U62" i="41"/>
  <c r="T62" i="41"/>
  <c r="M62" i="41"/>
  <c r="L62" i="41"/>
  <c r="K62" i="41"/>
  <c r="I62" i="41"/>
  <c r="G62" i="41"/>
  <c r="F62" i="41"/>
  <c r="D62" i="41"/>
  <c r="C62" i="41"/>
  <c r="A62" i="41"/>
  <c r="AG61" i="41"/>
  <c r="AF61" i="41"/>
  <c r="AE61" i="41"/>
  <c r="AD61" i="41"/>
  <c r="AC61" i="41"/>
  <c r="V61" i="41"/>
  <c r="U61" i="41"/>
  <c r="T61" i="41"/>
  <c r="M61" i="41"/>
  <c r="L61" i="41"/>
  <c r="K61" i="41"/>
  <c r="I61" i="41"/>
  <c r="G61" i="41"/>
  <c r="F61" i="41"/>
  <c r="D61" i="41"/>
  <c r="C61" i="41"/>
  <c r="A61" i="41"/>
  <c r="AG60" i="41"/>
  <c r="AF60" i="41"/>
  <c r="AE60" i="41"/>
  <c r="AD60" i="41"/>
  <c r="AC60" i="41"/>
  <c r="V60" i="41"/>
  <c r="U60" i="41"/>
  <c r="T60" i="41"/>
  <c r="M60" i="41"/>
  <c r="L60" i="41"/>
  <c r="K60" i="41"/>
  <c r="I60" i="41"/>
  <c r="G60" i="41"/>
  <c r="F60" i="41"/>
  <c r="D60" i="41"/>
  <c r="C60" i="41"/>
  <c r="A60" i="41"/>
  <c r="AG59" i="41"/>
  <c r="AF59" i="41"/>
  <c r="AE59" i="41"/>
  <c r="AD59" i="41"/>
  <c r="AC59" i="41"/>
  <c r="V59" i="41"/>
  <c r="U59" i="41"/>
  <c r="T59" i="41"/>
  <c r="M59" i="41"/>
  <c r="L59" i="41"/>
  <c r="K59" i="41"/>
  <c r="I59" i="41"/>
  <c r="G59" i="41"/>
  <c r="F59" i="41"/>
  <c r="D59" i="41"/>
  <c r="C59" i="41"/>
  <c r="A59" i="41"/>
  <c r="AG58" i="41"/>
  <c r="AF58" i="41"/>
  <c r="AE58" i="41"/>
  <c r="AD58" i="41"/>
  <c r="AC58" i="41"/>
  <c r="V58" i="41"/>
  <c r="U58" i="41"/>
  <c r="T58" i="41"/>
  <c r="M58" i="41"/>
  <c r="L58" i="41"/>
  <c r="K58" i="41"/>
  <c r="I58" i="41"/>
  <c r="G58" i="41"/>
  <c r="F58" i="41"/>
  <c r="D58" i="41"/>
  <c r="C58" i="41"/>
  <c r="A58" i="41"/>
  <c r="AG57" i="41"/>
  <c r="AF57" i="41"/>
  <c r="AE57" i="41"/>
  <c r="AD57" i="41"/>
  <c r="AC57" i="41"/>
  <c r="V57" i="41"/>
  <c r="U57" i="41"/>
  <c r="T57" i="41"/>
  <c r="M57" i="41"/>
  <c r="L57" i="41"/>
  <c r="K57" i="41"/>
  <c r="I57" i="41"/>
  <c r="G57" i="41"/>
  <c r="F57" i="41"/>
  <c r="D57" i="41"/>
  <c r="C57" i="41"/>
  <c r="A57" i="41"/>
  <c r="AG56" i="41"/>
  <c r="AF56" i="41"/>
  <c r="AE56" i="41"/>
  <c r="AD56" i="41"/>
  <c r="AC56" i="41"/>
  <c r="V56" i="41"/>
  <c r="U56" i="41"/>
  <c r="T56" i="41"/>
  <c r="M56" i="41"/>
  <c r="L56" i="41"/>
  <c r="K56" i="41"/>
  <c r="I56" i="41"/>
  <c r="G56" i="41"/>
  <c r="F56" i="41"/>
  <c r="D56" i="41"/>
  <c r="C56" i="41"/>
  <c r="A56" i="41"/>
  <c r="AG55" i="41"/>
  <c r="AF55" i="41"/>
  <c r="AE55" i="41"/>
  <c r="AD55" i="41"/>
  <c r="AC55" i="41"/>
  <c r="V55" i="41"/>
  <c r="U55" i="41"/>
  <c r="T55" i="41"/>
  <c r="M55" i="41"/>
  <c r="L55" i="41"/>
  <c r="K55" i="41"/>
  <c r="I55" i="41"/>
  <c r="G55" i="41"/>
  <c r="F55" i="41"/>
  <c r="D55" i="41"/>
  <c r="C55" i="41"/>
  <c r="A55" i="41"/>
  <c r="AG54" i="41"/>
  <c r="AF54" i="41"/>
  <c r="AE54" i="41"/>
  <c r="AD54" i="41"/>
  <c r="AC54" i="41"/>
  <c r="V54" i="41"/>
  <c r="U54" i="41"/>
  <c r="T54" i="41"/>
  <c r="M54" i="41"/>
  <c r="L54" i="41"/>
  <c r="K54" i="41"/>
  <c r="I54" i="41"/>
  <c r="G54" i="41"/>
  <c r="F54" i="41"/>
  <c r="D54" i="41"/>
  <c r="C54" i="41"/>
  <c r="A54" i="41"/>
  <c r="AG53" i="41"/>
  <c r="AF53" i="41"/>
  <c r="AE53" i="41"/>
  <c r="AD53" i="41"/>
  <c r="AC53" i="41"/>
  <c r="V53" i="41"/>
  <c r="U53" i="41"/>
  <c r="T53" i="41"/>
  <c r="M53" i="41"/>
  <c r="L53" i="41"/>
  <c r="K53" i="41"/>
  <c r="I53" i="41"/>
  <c r="G53" i="41"/>
  <c r="F53" i="41"/>
  <c r="D53" i="41"/>
  <c r="C53" i="41"/>
  <c r="A53" i="41"/>
  <c r="AG52" i="41"/>
  <c r="AF52" i="41"/>
  <c r="AE52" i="41"/>
  <c r="AD52" i="41"/>
  <c r="AC52" i="41"/>
  <c r="V52" i="41"/>
  <c r="U52" i="41"/>
  <c r="T52" i="41"/>
  <c r="M52" i="41"/>
  <c r="L52" i="41"/>
  <c r="K52" i="41"/>
  <c r="I52" i="41"/>
  <c r="G52" i="41"/>
  <c r="F52" i="41"/>
  <c r="D52" i="41"/>
  <c r="C52" i="41"/>
  <c r="A52" i="41"/>
  <c r="AG51" i="41"/>
  <c r="AF51" i="41"/>
  <c r="AE51" i="41"/>
  <c r="AD51" i="41"/>
  <c r="AC51" i="41"/>
  <c r="V51" i="41"/>
  <c r="U51" i="41"/>
  <c r="T51" i="41"/>
  <c r="M51" i="41"/>
  <c r="L51" i="41"/>
  <c r="K51" i="41"/>
  <c r="I51" i="41"/>
  <c r="G51" i="41"/>
  <c r="F51" i="41"/>
  <c r="D51" i="41"/>
  <c r="C51" i="41"/>
  <c r="A51" i="41"/>
  <c r="AG50" i="41"/>
  <c r="AF50" i="41"/>
  <c r="AE50" i="41"/>
  <c r="AD50" i="41"/>
  <c r="AC50" i="41"/>
  <c r="V50" i="41"/>
  <c r="U50" i="41"/>
  <c r="T50" i="41"/>
  <c r="M50" i="41"/>
  <c r="L50" i="41"/>
  <c r="K50" i="41"/>
  <c r="I50" i="41"/>
  <c r="G50" i="41"/>
  <c r="F50" i="41"/>
  <c r="D50" i="41"/>
  <c r="C50" i="41"/>
  <c r="A50" i="41"/>
  <c r="AG49" i="41"/>
  <c r="AF49" i="41"/>
  <c r="AE49" i="41"/>
  <c r="AD49" i="41"/>
  <c r="AC49" i="41"/>
  <c r="V49" i="41"/>
  <c r="U49" i="41"/>
  <c r="T49" i="41"/>
  <c r="M49" i="41"/>
  <c r="L49" i="41"/>
  <c r="K49" i="41"/>
  <c r="I49" i="41"/>
  <c r="G49" i="41"/>
  <c r="F49" i="41"/>
  <c r="D49" i="41"/>
  <c r="C49" i="41"/>
  <c r="A49" i="41"/>
  <c r="AG48" i="41"/>
  <c r="AF48" i="41"/>
  <c r="AE48" i="41"/>
  <c r="AD48" i="41"/>
  <c r="AC48" i="41"/>
  <c r="V48" i="41"/>
  <c r="U48" i="41"/>
  <c r="T48" i="41"/>
  <c r="M48" i="41"/>
  <c r="L48" i="41"/>
  <c r="K48" i="41"/>
  <c r="I48" i="41"/>
  <c r="G48" i="41"/>
  <c r="F48" i="41"/>
  <c r="D48" i="41"/>
  <c r="C48" i="41"/>
  <c r="A48" i="41"/>
  <c r="AG47" i="41"/>
  <c r="AF47" i="41"/>
  <c r="AE47" i="41"/>
  <c r="AD47" i="41"/>
  <c r="AC47" i="41"/>
  <c r="V47" i="41"/>
  <c r="U47" i="41"/>
  <c r="T47" i="41"/>
  <c r="M47" i="41"/>
  <c r="L47" i="41"/>
  <c r="K47" i="41"/>
  <c r="I47" i="41"/>
  <c r="G47" i="41"/>
  <c r="F47" i="41"/>
  <c r="D47" i="41"/>
  <c r="C47" i="41"/>
  <c r="A47" i="41"/>
  <c r="AG46" i="41"/>
  <c r="AF46" i="41"/>
  <c r="AE46" i="41"/>
  <c r="AD46" i="41"/>
  <c r="AC46" i="41"/>
  <c r="V46" i="41"/>
  <c r="U46" i="41"/>
  <c r="T46" i="41"/>
  <c r="M46" i="41"/>
  <c r="L46" i="41"/>
  <c r="K46" i="41"/>
  <c r="I46" i="41"/>
  <c r="G46" i="41"/>
  <c r="F46" i="41"/>
  <c r="D46" i="41"/>
  <c r="C46" i="41"/>
  <c r="A46" i="41"/>
  <c r="AG45" i="41"/>
  <c r="AF45" i="41"/>
  <c r="AE45" i="41"/>
  <c r="AD45" i="41"/>
  <c r="AC45" i="41"/>
  <c r="V45" i="41"/>
  <c r="U45" i="41"/>
  <c r="T45" i="41"/>
  <c r="M45" i="41"/>
  <c r="L45" i="41"/>
  <c r="K45" i="41"/>
  <c r="I45" i="41"/>
  <c r="G45" i="41"/>
  <c r="F45" i="41"/>
  <c r="D45" i="41"/>
  <c r="C45" i="41"/>
  <c r="A45" i="41"/>
  <c r="AG44" i="41"/>
  <c r="AF44" i="41"/>
  <c r="AE44" i="41"/>
  <c r="AD44" i="41"/>
  <c r="AC44" i="41"/>
  <c r="V44" i="41"/>
  <c r="U44" i="41"/>
  <c r="T44" i="41"/>
  <c r="M44" i="41"/>
  <c r="L44" i="41"/>
  <c r="K44" i="41"/>
  <c r="I44" i="41"/>
  <c r="G44" i="41"/>
  <c r="F44" i="41"/>
  <c r="D44" i="41"/>
  <c r="C44" i="41"/>
  <c r="A44" i="41"/>
  <c r="AG43" i="41"/>
  <c r="AF43" i="41"/>
  <c r="AE43" i="41"/>
  <c r="AD43" i="41"/>
  <c r="AC43" i="41"/>
  <c r="V43" i="41"/>
  <c r="U43" i="41"/>
  <c r="T43" i="41"/>
  <c r="M43" i="41"/>
  <c r="L43" i="41"/>
  <c r="K43" i="41"/>
  <c r="I43" i="41"/>
  <c r="G43" i="41"/>
  <c r="F43" i="41"/>
  <c r="D43" i="41"/>
  <c r="C43" i="41"/>
  <c r="A43" i="41"/>
  <c r="AG42" i="41"/>
  <c r="AF42" i="41"/>
  <c r="AE42" i="41"/>
  <c r="AD42" i="41"/>
  <c r="AC42" i="41"/>
  <c r="V42" i="41"/>
  <c r="U42" i="41"/>
  <c r="T42" i="41"/>
  <c r="M42" i="41"/>
  <c r="L42" i="41"/>
  <c r="K42" i="41"/>
  <c r="I42" i="41"/>
  <c r="G42" i="41"/>
  <c r="F42" i="41"/>
  <c r="D42" i="41"/>
  <c r="C42" i="41"/>
  <c r="A42" i="41"/>
  <c r="AG41" i="41"/>
  <c r="AF41" i="41"/>
  <c r="AE41" i="41"/>
  <c r="AD41" i="41"/>
  <c r="AC41" i="41"/>
  <c r="V41" i="41"/>
  <c r="U41" i="41"/>
  <c r="T41" i="41"/>
  <c r="M41" i="41"/>
  <c r="L41" i="41"/>
  <c r="K41" i="41"/>
  <c r="I41" i="41"/>
  <c r="G41" i="41"/>
  <c r="F41" i="41"/>
  <c r="D41" i="41"/>
  <c r="C41" i="41"/>
  <c r="A41" i="41"/>
  <c r="AG40" i="41"/>
  <c r="AF40" i="41"/>
  <c r="AE40" i="41"/>
  <c r="AD40" i="41"/>
  <c r="AC40" i="41"/>
  <c r="V40" i="41"/>
  <c r="U40" i="41"/>
  <c r="T40" i="41"/>
  <c r="M40" i="41"/>
  <c r="L40" i="41"/>
  <c r="K40" i="41"/>
  <c r="I40" i="41"/>
  <c r="G40" i="41"/>
  <c r="F40" i="41"/>
  <c r="D40" i="41"/>
  <c r="C40" i="41"/>
  <c r="A40" i="41"/>
  <c r="AG39" i="41"/>
  <c r="AF39" i="41"/>
  <c r="AE39" i="41"/>
  <c r="AD39" i="41"/>
  <c r="AC39" i="41"/>
  <c r="V39" i="41"/>
  <c r="U39" i="41"/>
  <c r="T39" i="41"/>
  <c r="M39" i="41"/>
  <c r="L39" i="41"/>
  <c r="K39" i="41"/>
  <c r="I39" i="41"/>
  <c r="G39" i="41"/>
  <c r="F39" i="41"/>
  <c r="D39" i="41"/>
  <c r="C39" i="41"/>
  <c r="A39" i="41"/>
  <c r="AG38" i="41"/>
  <c r="AF38" i="41"/>
  <c r="AE38" i="41"/>
  <c r="AD38" i="41"/>
  <c r="AC38" i="41"/>
  <c r="V38" i="41"/>
  <c r="U38" i="41"/>
  <c r="T38" i="41"/>
  <c r="M38" i="41"/>
  <c r="L38" i="41"/>
  <c r="K38" i="41"/>
  <c r="I38" i="41"/>
  <c r="G38" i="41"/>
  <c r="F38" i="41"/>
  <c r="D38" i="41"/>
  <c r="C38" i="41"/>
  <c r="A38" i="41"/>
  <c r="AG37" i="41"/>
  <c r="AF37" i="41"/>
  <c r="AE37" i="41"/>
  <c r="AD37" i="41"/>
  <c r="AC37" i="41"/>
  <c r="V37" i="41"/>
  <c r="U37" i="41"/>
  <c r="T37" i="41"/>
  <c r="M37" i="41"/>
  <c r="L37" i="41"/>
  <c r="K37" i="41"/>
  <c r="I37" i="41"/>
  <c r="G37" i="41"/>
  <c r="F37" i="41"/>
  <c r="D37" i="41"/>
  <c r="C37" i="41"/>
  <c r="A37" i="41"/>
  <c r="AG36" i="41"/>
  <c r="AF36" i="41"/>
  <c r="AE36" i="41"/>
  <c r="AD36" i="41"/>
  <c r="AC36" i="41"/>
  <c r="V36" i="41"/>
  <c r="U36" i="41"/>
  <c r="T36" i="41"/>
  <c r="M36" i="41"/>
  <c r="L36" i="41"/>
  <c r="K36" i="41"/>
  <c r="I36" i="41"/>
  <c r="G36" i="41"/>
  <c r="F36" i="41"/>
  <c r="D36" i="41"/>
  <c r="C36" i="41"/>
  <c r="A36" i="41"/>
  <c r="AG35" i="41"/>
  <c r="AF35" i="41"/>
  <c r="AE35" i="41"/>
  <c r="AD35" i="41"/>
  <c r="AC35" i="41"/>
  <c r="V35" i="41"/>
  <c r="U35" i="41"/>
  <c r="T35" i="41"/>
  <c r="M35" i="41"/>
  <c r="L35" i="41"/>
  <c r="K35" i="41"/>
  <c r="I35" i="41"/>
  <c r="G35" i="41"/>
  <c r="F35" i="41"/>
  <c r="D35" i="41"/>
  <c r="C35" i="41"/>
  <c r="A35" i="41"/>
  <c r="AG34" i="41"/>
  <c r="AF34" i="41"/>
  <c r="AE34" i="41"/>
  <c r="AD34" i="41"/>
  <c r="AC34" i="41"/>
  <c r="V34" i="41"/>
  <c r="U34" i="41"/>
  <c r="T34" i="41"/>
  <c r="M34" i="41"/>
  <c r="L34" i="41"/>
  <c r="K34" i="41"/>
  <c r="I34" i="41"/>
  <c r="G34" i="41"/>
  <c r="F34" i="41"/>
  <c r="D34" i="41"/>
  <c r="C34" i="41"/>
  <c r="A34" i="41"/>
  <c r="AG33" i="41"/>
  <c r="AF33" i="41"/>
  <c r="AE33" i="41"/>
  <c r="AD33" i="41"/>
  <c r="AC33" i="41"/>
  <c r="V33" i="41"/>
  <c r="U33" i="41"/>
  <c r="T33" i="41"/>
  <c r="M33" i="41"/>
  <c r="L33" i="41"/>
  <c r="K33" i="41"/>
  <c r="I33" i="41"/>
  <c r="G33" i="41"/>
  <c r="F33" i="41"/>
  <c r="D33" i="41"/>
  <c r="C33" i="41"/>
  <c r="A33" i="41"/>
  <c r="AG32" i="41"/>
  <c r="AF32" i="41"/>
  <c r="AE32" i="41"/>
  <c r="AD32" i="41"/>
  <c r="AC32" i="41"/>
  <c r="V32" i="41"/>
  <c r="U32" i="41"/>
  <c r="T32" i="41"/>
  <c r="M32" i="41"/>
  <c r="L32" i="41"/>
  <c r="K32" i="41"/>
  <c r="I32" i="41"/>
  <c r="G32" i="41"/>
  <c r="F32" i="41"/>
  <c r="D32" i="41"/>
  <c r="C32" i="41"/>
  <c r="A32" i="41"/>
  <c r="AG31" i="41"/>
  <c r="AF31" i="41"/>
  <c r="AE31" i="41"/>
  <c r="AD31" i="41"/>
  <c r="AC31" i="41"/>
  <c r="V31" i="41"/>
  <c r="U31" i="41"/>
  <c r="T31" i="41"/>
  <c r="M31" i="41"/>
  <c r="L31" i="41"/>
  <c r="K31" i="41"/>
  <c r="I31" i="41"/>
  <c r="G31" i="41"/>
  <c r="F31" i="41"/>
  <c r="D31" i="41"/>
  <c r="C31" i="41"/>
  <c r="A31" i="41"/>
  <c r="AG30" i="41"/>
  <c r="AF30" i="41"/>
  <c r="AE30" i="41"/>
  <c r="AD30" i="41"/>
  <c r="AC30" i="41"/>
  <c r="V30" i="41"/>
  <c r="U30" i="41"/>
  <c r="T30" i="41"/>
  <c r="M30" i="41"/>
  <c r="L30" i="41"/>
  <c r="K30" i="41"/>
  <c r="I30" i="41"/>
  <c r="G30" i="41"/>
  <c r="F30" i="41"/>
  <c r="D30" i="41"/>
  <c r="C30" i="41"/>
  <c r="A30" i="41"/>
  <c r="AG29" i="41"/>
  <c r="AF29" i="41"/>
  <c r="AE29" i="41"/>
  <c r="AD29" i="41"/>
  <c r="AC29" i="41"/>
  <c r="V29" i="41"/>
  <c r="U29" i="41"/>
  <c r="T29" i="41"/>
  <c r="M29" i="41"/>
  <c r="L29" i="41"/>
  <c r="K29" i="41"/>
  <c r="I29" i="41"/>
  <c r="G29" i="41"/>
  <c r="F29" i="41"/>
  <c r="D29" i="41"/>
  <c r="C29" i="41"/>
  <c r="A29" i="41"/>
  <c r="AG28" i="41"/>
  <c r="AF28" i="41"/>
  <c r="AE28" i="41"/>
  <c r="AD28" i="41"/>
  <c r="AC28" i="41"/>
  <c r="V28" i="41"/>
  <c r="U28" i="41"/>
  <c r="T28" i="41"/>
  <c r="M28" i="41"/>
  <c r="L28" i="41"/>
  <c r="K28" i="41"/>
  <c r="I28" i="41"/>
  <c r="G28" i="41"/>
  <c r="F28" i="41"/>
  <c r="D28" i="41"/>
  <c r="C28" i="41"/>
  <c r="A28" i="41"/>
  <c r="AG27" i="41"/>
  <c r="AF27" i="41"/>
  <c r="AE27" i="41"/>
  <c r="AD27" i="41"/>
  <c r="AC27" i="41"/>
  <c r="V27" i="41"/>
  <c r="U27" i="41"/>
  <c r="T27" i="41"/>
  <c r="M27" i="41"/>
  <c r="L27" i="41"/>
  <c r="K27" i="41"/>
  <c r="I27" i="41"/>
  <c r="G27" i="41"/>
  <c r="F27" i="41"/>
  <c r="D27" i="41"/>
  <c r="C27" i="41"/>
  <c r="A27" i="41"/>
  <c r="AG26" i="41"/>
  <c r="AF26" i="41"/>
  <c r="AE26" i="41"/>
  <c r="AD26" i="41"/>
  <c r="AC26" i="41"/>
  <c r="V26" i="41"/>
  <c r="U26" i="41"/>
  <c r="T26" i="41"/>
  <c r="M26" i="41"/>
  <c r="L26" i="41"/>
  <c r="K26" i="41"/>
  <c r="I26" i="41"/>
  <c r="G26" i="41"/>
  <c r="F26" i="41"/>
  <c r="D26" i="41"/>
  <c r="C26" i="41"/>
  <c r="A26" i="41"/>
  <c r="AG25" i="41"/>
  <c r="AF25" i="41"/>
  <c r="AE25" i="41"/>
  <c r="AD25" i="41"/>
  <c r="AC25" i="41"/>
  <c r="V25" i="41"/>
  <c r="U25" i="41"/>
  <c r="T25" i="41"/>
  <c r="M25" i="41"/>
  <c r="L25" i="41"/>
  <c r="K25" i="41"/>
  <c r="I25" i="41"/>
  <c r="G25" i="41"/>
  <c r="F25" i="41"/>
  <c r="D25" i="41"/>
  <c r="C25" i="41"/>
  <c r="A25" i="41"/>
  <c r="AG24" i="41"/>
  <c r="AF24" i="41"/>
  <c r="AE24" i="41"/>
  <c r="AD24" i="41"/>
  <c r="AC24" i="41"/>
  <c r="V24" i="41"/>
  <c r="U24" i="41"/>
  <c r="T24" i="41"/>
  <c r="M24" i="41"/>
  <c r="L24" i="41"/>
  <c r="K24" i="41"/>
  <c r="I24" i="41"/>
  <c r="G24" i="41"/>
  <c r="F24" i="41"/>
  <c r="D24" i="41"/>
  <c r="C24" i="41"/>
  <c r="A24" i="41"/>
  <c r="AG23" i="41"/>
  <c r="AF23" i="41"/>
  <c r="AE23" i="41"/>
  <c r="AD23" i="41"/>
  <c r="AC23" i="41"/>
  <c r="V23" i="41"/>
  <c r="U23" i="41"/>
  <c r="T23" i="41"/>
  <c r="M23" i="41"/>
  <c r="L23" i="41"/>
  <c r="K23" i="41"/>
  <c r="I23" i="41"/>
  <c r="G23" i="41"/>
  <c r="F23" i="41"/>
  <c r="D23" i="41"/>
  <c r="C23" i="41"/>
  <c r="A23" i="41"/>
  <c r="AG22" i="41"/>
  <c r="AF22" i="41"/>
  <c r="AE22" i="41"/>
  <c r="AD22" i="41"/>
  <c r="AC22" i="41"/>
  <c r="V22" i="41"/>
  <c r="U22" i="41"/>
  <c r="T22" i="41"/>
  <c r="M22" i="41"/>
  <c r="L22" i="41"/>
  <c r="K22" i="41"/>
  <c r="I22" i="41"/>
  <c r="G22" i="41"/>
  <c r="F22" i="41"/>
  <c r="D22" i="41"/>
  <c r="C22" i="41"/>
  <c r="A22" i="41"/>
  <c r="AG21" i="41"/>
  <c r="AF21" i="41"/>
  <c r="AE21" i="41"/>
  <c r="AD21" i="41"/>
  <c r="AC21" i="41"/>
  <c r="V21" i="41"/>
  <c r="U21" i="41"/>
  <c r="T21" i="41"/>
  <c r="M21" i="41"/>
  <c r="L21" i="41"/>
  <c r="K21" i="41"/>
  <c r="I21" i="41"/>
  <c r="G21" i="41"/>
  <c r="F21" i="41"/>
  <c r="D21" i="41"/>
  <c r="C21" i="41"/>
  <c r="A21" i="41"/>
  <c r="AG20" i="41"/>
  <c r="AF20" i="41"/>
  <c r="AE20" i="41"/>
  <c r="AD20" i="41"/>
  <c r="AC20" i="41"/>
  <c r="V20" i="41"/>
  <c r="U20" i="41"/>
  <c r="T20" i="41"/>
  <c r="M20" i="41"/>
  <c r="L20" i="41"/>
  <c r="K20" i="41"/>
  <c r="I20" i="41"/>
  <c r="G20" i="41"/>
  <c r="F20" i="41"/>
  <c r="D20" i="41"/>
  <c r="C20" i="41"/>
  <c r="A20" i="41"/>
  <c r="AG19" i="41"/>
  <c r="AF19" i="41"/>
  <c r="AE19" i="41"/>
  <c r="AD19" i="41"/>
  <c r="AC19" i="41"/>
  <c r="V19" i="41"/>
  <c r="U19" i="41"/>
  <c r="T19" i="41"/>
  <c r="M19" i="41"/>
  <c r="L19" i="41"/>
  <c r="K19" i="41"/>
  <c r="I19" i="41"/>
  <c r="G19" i="41"/>
  <c r="F19" i="41"/>
  <c r="D19" i="41"/>
  <c r="C19" i="41"/>
  <c r="A19" i="41"/>
  <c r="AG18" i="41"/>
  <c r="AF18" i="41"/>
  <c r="AE18" i="41"/>
  <c r="AD18" i="41"/>
  <c r="AC18" i="41"/>
  <c r="V18" i="41"/>
  <c r="U18" i="41"/>
  <c r="T18" i="41"/>
  <c r="M18" i="41"/>
  <c r="L18" i="41"/>
  <c r="K18" i="41"/>
  <c r="I18" i="41"/>
  <c r="G18" i="41"/>
  <c r="F18" i="41"/>
  <c r="D18" i="41"/>
  <c r="C18" i="41"/>
  <c r="A18" i="41"/>
  <c r="AG17" i="41"/>
  <c r="AF17" i="41"/>
  <c r="AE17" i="41"/>
  <c r="AD17" i="41"/>
  <c r="AC17" i="41"/>
  <c r="V17" i="41"/>
  <c r="U17" i="41"/>
  <c r="T17" i="41"/>
  <c r="M17" i="41"/>
  <c r="L17" i="41"/>
  <c r="K17" i="41"/>
  <c r="I17" i="41"/>
  <c r="G17" i="41"/>
  <c r="F17" i="41"/>
  <c r="D17" i="41"/>
  <c r="C17" i="41"/>
  <c r="A17" i="41"/>
  <c r="AG16" i="41"/>
  <c r="AF16" i="41"/>
  <c r="AE16" i="41"/>
  <c r="AD16" i="41"/>
  <c r="AC16" i="41"/>
  <c r="V16" i="41"/>
  <c r="U16" i="41"/>
  <c r="T16" i="41"/>
  <c r="M16" i="41"/>
  <c r="L16" i="41"/>
  <c r="K16" i="41"/>
  <c r="I16" i="41"/>
  <c r="G16" i="41"/>
  <c r="F16" i="41"/>
  <c r="D16" i="41"/>
  <c r="C16" i="41"/>
  <c r="A16" i="41"/>
  <c r="AG15" i="41"/>
  <c r="AF15" i="41"/>
  <c r="AE15" i="41"/>
  <c r="AD15" i="41"/>
  <c r="AC15" i="41"/>
  <c r="V15" i="41"/>
  <c r="U15" i="41"/>
  <c r="T15" i="41"/>
  <c r="M15" i="41"/>
  <c r="L15" i="41"/>
  <c r="K15" i="41"/>
  <c r="I15" i="41"/>
  <c r="G15" i="41"/>
  <c r="F15" i="41"/>
  <c r="D15" i="41"/>
  <c r="C15" i="41"/>
  <c r="A15" i="41"/>
  <c r="AG14" i="41"/>
  <c r="AF14" i="41"/>
  <c r="AE14" i="41"/>
  <c r="AD14" i="41"/>
  <c r="AC14" i="41"/>
  <c r="V14" i="41"/>
  <c r="U14" i="41"/>
  <c r="T14" i="41"/>
  <c r="M14" i="41"/>
  <c r="L14" i="41"/>
  <c r="K14" i="41"/>
  <c r="I14" i="41"/>
  <c r="G14" i="41"/>
  <c r="F14" i="41"/>
  <c r="D14" i="41"/>
  <c r="C14" i="41"/>
  <c r="A14" i="41"/>
  <c r="AG13" i="41"/>
  <c r="AF13" i="41"/>
  <c r="AE13" i="41"/>
  <c r="AD13" i="41"/>
  <c r="AC13" i="41"/>
  <c r="V13" i="41"/>
  <c r="U13" i="41"/>
  <c r="T13" i="41"/>
  <c r="M13" i="41"/>
  <c r="L13" i="41"/>
  <c r="K13" i="41"/>
  <c r="I13" i="41"/>
  <c r="G13" i="41"/>
  <c r="F13" i="41"/>
  <c r="D13" i="41"/>
  <c r="C13" i="41"/>
  <c r="A13" i="41"/>
  <c r="AG12" i="41"/>
  <c r="AF12" i="41"/>
  <c r="AE12" i="41"/>
  <c r="AD12" i="41"/>
  <c r="AC12" i="41"/>
  <c r="V12" i="41"/>
  <c r="U12" i="41"/>
  <c r="T12" i="41"/>
  <c r="M12" i="41"/>
  <c r="L12" i="41"/>
  <c r="K12" i="41"/>
  <c r="I12" i="41"/>
  <c r="G12" i="41"/>
  <c r="F12" i="41"/>
  <c r="D12" i="41"/>
  <c r="C12" i="41"/>
  <c r="A12" i="41"/>
  <c r="AG11" i="41"/>
  <c r="AF11" i="41"/>
  <c r="AE11" i="41"/>
  <c r="AD11" i="41"/>
  <c r="AC11" i="41"/>
  <c r="V11" i="41"/>
  <c r="U11" i="41"/>
  <c r="T11" i="41"/>
  <c r="M11" i="41"/>
  <c r="L11" i="41"/>
  <c r="K11" i="41"/>
  <c r="I11" i="41"/>
  <c r="G11" i="41"/>
  <c r="F11" i="41"/>
  <c r="D11" i="41"/>
  <c r="C11" i="41"/>
  <c r="A11" i="41"/>
  <c r="AG10" i="41"/>
  <c r="AF10" i="41"/>
  <c r="AE10" i="41"/>
  <c r="AD10" i="41"/>
  <c r="AC10" i="41"/>
  <c r="V10" i="41"/>
  <c r="U10" i="41"/>
  <c r="T10" i="41"/>
  <c r="M10" i="41"/>
  <c r="L10" i="41"/>
  <c r="K10" i="41"/>
  <c r="I10" i="41"/>
  <c r="G10" i="41"/>
  <c r="F10" i="41"/>
  <c r="D10" i="41"/>
  <c r="C10" i="41"/>
  <c r="A10" i="41"/>
  <c r="AG9" i="41"/>
  <c r="AF9" i="41"/>
  <c r="AE9" i="41"/>
  <c r="AD9" i="41"/>
  <c r="AC9" i="41"/>
  <c r="V9" i="41"/>
  <c r="U9" i="41"/>
  <c r="T9" i="41"/>
  <c r="M9" i="41"/>
  <c r="L9" i="41"/>
  <c r="K9" i="41"/>
  <c r="I9" i="41"/>
  <c r="G9" i="41"/>
  <c r="F9" i="41"/>
  <c r="D9" i="41"/>
  <c r="C9" i="41"/>
  <c r="A9" i="41"/>
  <c r="AG8" i="41"/>
  <c r="M8" i="41"/>
  <c r="A8" i="41"/>
  <c r="A7" i="41"/>
  <c r="A6" i="41"/>
  <c r="A5" i="41"/>
  <c r="C4" i="41"/>
  <c r="A4" i="41"/>
  <c r="A3" i="41"/>
  <c r="A2" i="41"/>
  <c r="V523" i="35"/>
  <c r="U523" i="35"/>
  <c r="T523" i="35"/>
  <c r="O523" i="35"/>
  <c r="M523" i="35"/>
  <c r="L523" i="35"/>
  <c r="K523" i="35"/>
  <c r="I523" i="35"/>
  <c r="G523" i="35"/>
  <c r="F523" i="35"/>
  <c r="D523" i="35"/>
  <c r="C523" i="35"/>
  <c r="A523" i="35"/>
  <c r="V522" i="35"/>
  <c r="U522" i="35"/>
  <c r="T522" i="35"/>
  <c r="O522" i="35"/>
  <c r="M522" i="35"/>
  <c r="L522" i="35"/>
  <c r="K522" i="35"/>
  <c r="I522" i="35"/>
  <c r="G522" i="35"/>
  <c r="F522" i="35"/>
  <c r="D522" i="35"/>
  <c r="C522" i="35"/>
  <c r="A522" i="35"/>
  <c r="V521" i="35"/>
  <c r="U521" i="35"/>
  <c r="T521" i="35"/>
  <c r="O521" i="35"/>
  <c r="M521" i="35"/>
  <c r="L521" i="35"/>
  <c r="K521" i="35"/>
  <c r="I521" i="35"/>
  <c r="G521" i="35"/>
  <c r="F521" i="35"/>
  <c r="D521" i="35"/>
  <c r="C521" i="35"/>
  <c r="A521" i="35"/>
  <c r="V520" i="35"/>
  <c r="U520" i="35"/>
  <c r="T520" i="35"/>
  <c r="O520" i="35"/>
  <c r="M520" i="35"/>
  <c r="L520" i="35"/>
  <c r="K520" i="35"/>
  <c r="I520" i="35"/>
  <c r="G520" i="35"/>
  <c r="F520" i="35"/>
  <c r="D520" i="35"/>
  <c r="C520" i="35"/>
  <c r="A520" i="35"/>
  <c r="V519" i="35"/>
  <c r="U519" i="35"/>
  <c r="T519" i="35"/>
  <c r="O519" i="35"/>
  <c r="M519" i="35"/>
  <c r="L519" i="35"/>
  <c r="K519" i="35"/>
  <c r="I519" i="35"/>
  <c r="G519" i="35"/>
  <c r="F519" i="35"/>
  <c r="D519" i="35"/>
  <c r="C519" i="35"/>
  <c r="A519" i="35"/>
  <c r="V518" i="35"/>
  <c r="U518" i="35"/>
  <c r="T518" i="35"/>
  <c r="O518" i="35"/>
  <c r="M518" i="35"/>
  <c r="L518" i="35"/>
  <c r="K518" i="35"/>
  <c r="I518" i="35"/>
  <c r="G518" i="35"/>
  <c r="F518" i="35"/>
  <c r="D518" i="35"/>
  <c r="C518" i="35"/>
  <c r="A518" i="35"/>
  <c r="V517" i="35"/>
  <c r="U517" i="35"/>
  <c r="T517" i="35"/>
  <c r="O517" i="35"/>
  <c r="M517" i="35"/>
  <c r="L517" i="35"/>
  <c r="K517" i="35"/>
  <c r="I517" i="35"/>
  <c r="G517" i="35"/>
  <c r="F517" i="35"/>
  <c r="D517" i="35"/>
  <c r="C517" i="35"/>
  <c r="A517" i="35"/>
  <c r="V516" i="35"/>
  <c r="U516" i="35"/>
  <c r="T516" i="35"/>
  <c r="O516" i="35"/>
  <c r="M516" i="35"/>
  <c r="L516" i="35"/>
  <c r="K516" i="35"/>
  <c r="I516" i="35"/>
  <c r="G516" i="35"/>
  <c r="F516" i="35"/>
  <c r="D516" i="35"/>
  <c r="C516" i="35"/>
  <c r="A516" i="35"/>
  <c r="V515" i="35"/>
  <c r="U515" i="35"/>
  <c r="T515" i="35"/>
  <c r="O515" i="35"/>
  <c r="M515" i="35"/>
  <c r="L515" i="35"/>
  <c r="K515" i="35"/>
  <c r="I515" i="35"/>
  <c r="G515" i="35"/>
  <c r="F515" i="35"/>
  <c r="D515" i="35"/>
  <c r="C515" i="35"/>
  <c r="A515" i="35"/>
  <c r="V514" i="35"/>
  <c r="U514" i="35"/>
  <c r="T514" i="35"/>
  <c r="O514" i="35"/>
  <c r="M514" i="35"/>
  <c r="L514" i="35"/>
  <c r="K514" i="35"/>
  <c r="I514" i="35"/>
  <c r="G514" i="35"/>
  <c r="F514" i="35"/>
  <c r="D514" i="35"/>
  <c r="C514" i="35"/>
  <c r="A514" i="35"/>
  <c r="V513" i="35"/>
  <c r="U513" i="35"/>
  <c r="T513" i="35"/>
  <c r="O513" i="35"/>
  <c r="M513" i="35"/>
  <c r="L513" i="35"/>
  <c r="K513" i="35"/>
  <c r="I513" i="35"/>
  <c r="G513" i="35"/>
  <c r="F513" i="35"/>
  <c r="D513" i="35"/>
  <c r="C513" i="35"/>
  <c r="A513" i="35"/>
  <c r="V512" i="35"/>
  <c r="U512" i="35"/>
  <c r="T512" i="35"/>
  <c r="O512" i="35"/>
  <c r="M512" i="35"/>
  <c r="L512" i="35"/>
  <c r="K512" i="35"/>
  <c r="I512" i="35"/>
  <c r="G512" i="35"/>
  <c r="F512" i="35"/>
  <c r="D512" i="35"/>
  <c r="C512" i="35"/>
  <c r="A512" i="35"/>
  <c r="V511" i="35"/>
  <c r="U511" i="35"/>
  <c r="T511" i="35"/>
  <c r="O511" i="35"/>
  <c r="M511" i="35"/>
  <c r="L511" i="35"/>
  <c r="K511" i="35"/>
  <c r="I511" i="35"/>
  <c r="G511" i="35"/>
  <c r="F511" i="35"/>
  <c r="D511" i="35"/>
  <c r="C511" i="35"/>
  <c r="A511" i="35"/>
  <c r="V510" i="35"/>
  <c r="U510" i="35"/>
  <c r="T510" i="35"/>
  <c r="O510" i="35"/>
  <c r="M510" i="35"/>
  <c r="L510" i="35"/>
  <c r="K510" i="35"/>
  <c r="I510" i="35"/>
  <c r="G510" i="35"/>
  <c r="F510" i="35"/>
  <c r="D510" i="35"/>
  <c r="C510" i="35"/>
  <c r="A510" i="35"/>
  <c r="V509" i="35"/>
  <c r="U509" i="35"/>
  <c r="T509" i="35"/>
  <c r="O509" i="35"/>
  <c r="M509" i="35"/>
  <c r="L509" i="35"/>
  <c r="K509" i="35"/>
  <c r="I509" i="35"/>
  <c r="G509" i="35"/>
  <c r="F509" i="35"/>
  <c r="D509" i="35"/>
  <c r="C509" i="35"/>
  <c r="A509" i="35"/>
  <c r="V508" i="35"/>
  <c r="U508" i="35"/>
  <c r="T508" i="35"/>
  <c r="O508" i="35"/>
  <c r="M508" i="35"/>
  <c r="L508" i="35"/>
  <c r="K508" i="35"/>
  <c r="I508" i="35"/>
  <c r="G508" i="35"/>
  <c r="F508" i="35"/>
  <c r="D508" i="35"/>
  <c r="C508" i="35"/>
  <c r="A508" i="35"/>
  <c r="V507" i="35"/>
  <c r="U507" i="35"/>
  <c r="T507" i="35"/>
  <c r="O507" i="35"/>
  <c r="M507" i="35"/>
  <c r="L507" i="35"/>
  <c r="K507" i="35"/>
  <c r="I507" i="35"/>
  <c r="G507" i="35"/>
  <c r="F507" i="35"/>
  <c r="D507" i="35"/>
  <c r="C507" i="35"/>
  <c r="A507" i="35"/>
  <c r="V506" i="35"/>
  <c r="U506" i="35"/>
  <c r="T506" i="35"/>
  <c r="O506" i="35"/>
  <c r="M506" i="35"/>
  <c r="L506" i="35"/>
  <c r="K506" i="35"/>
  <c r="I506" i="35"/>
  <c r="G506" i="35"/>
  <c r="F506" i="35"/>
  <c r="D506" i="35"/>
  <c r="C506" i="35"/>
  <c r="A506" i="35"/>
  <c r="V505" i="35"/>
  <c r="M505" i="35"/>
  <c r="A505" i="35"/>
  <c r="A504" i="35"/>
  <c r="E502" i="35"/>
  <c r="C502" i="35"/>
  <c r="A502" i="35"/>
  <c r="V499" i="35"/>
  <c r="U499" i="35"/>
  <c r="T499" i="35"/>
  <c r="O499" i="35"/>
  <c r="M499" i="35"/>
  <c r="L499" i="35"/>
  <c r="K499" i="35"/>
  <c r="I499" i="35"/>
  <c r="G499" i="35"/>
  <c r="F499" i="35"/>
  <c r="D499" i="35"/>
  <c r="C499" i="35"/>
  <c r="A499" i="35"/>
  <c r="V498" i="35"/>
  <c r="U498" i="35"/>
  <c r="T498" i="35"/>
  <c r="O498" i="35"/>
  <c r="M498" i="35"/>
  <c r="L498" i="35"/>
  <c r="K498" i="35"/>
  <c r="I498" i="35"/>
  <c r="G498" i="35"/>
  <c r="F498" i="35"/>
  <c r="D498" i="35"/>
  <c r="C498" i="35"/>
  <c r="A498" i="35"/>
  <c r="V497" i="35"/>
  <c r="U497" i="35"/>
  <c r="T497" i="35"/>
  <c r="O497" i="35"/>
  <c r="M497" i="35"/>
  <c r="L497" i="35"/>
  <c r="K497" i="35"/>
  <c r="I497" i="35"/>
  <c r="G497" i="35"/>
  <c r="F497" i="35"/>
  <c r="D497" i="35"/>
  <c r="C497" i="35"/>
  <c r="A497" i="35"/>
  <c r="V496" i="35"/>
  <c r="U496" i="35"/>
  <c r="T496" i="35"/>
  <c r="O496" i="35"/>
  <c r="M496" i="35"/>
  <c r="L496" i="35"/>
  <c r="K496" i="35"/>
  <c r="I496" i="35"/>
  <c r="G496" i="35"/>
  <c r="F496" i="35"/>
  <c r="D496" i="35"/>
  <c r="C496" i="35"/>
  <c r="A496" i="35"/>
  <c r="V495" i="35"/>
  <c r="U495" i="35"/>
  <c r="T495" i="35"/>
  <c r="O495" i="35"/>
  <c r="M495" i="35"/>
  <c r="L495" i="35"/>
  <c r="K495" i="35"/>
  <c r="I495" i="35"/>
  <c r="G495" i="35"/>
  <c r="F495" i="35"/>
  <c r="D495" i="35"/>
  <c r="C495" i="35"/>
  <c r="A495" i="35"/>
  <c r="V494" i="35"/>
  <c r="U494" i="35"/>
  <c r="T494" i="35"/>
  <c r="O494" i="35"/>
  <c r="M494" i="35"/>
  <c r="L494" i="35"/>
  <c r="K494" i="35"/>
  <c r="I494" i="35"/>
  <c r="G494" i="35"/>
  <c r="F494" i="35"/>
  <c r="D494" i="35"/>
  <c r="C494" i="35"/>
  <c r="A494" i="35"/>
  <c r="V493" i="35"/>
  <c r="U493" i="35"/>
  <c r="T493" i="35"/>
  <c r="O493" i="35"/>
  <c r="M493" i="35"/>
  <c r="L493" i="35"/>
  <c r="K493" i="35"/>
  <c r="I493" i="35"/>
  <c r="G493" i="35"/>
  <c r="F493" i="35"/>
  <c r="D493" i="35"/>
  <c r="C493" i="35"/>
  <c r="A493" i="35"/>
  <c r="V492" i="35"/>
  <c r="U492" i="35"/>
  <c r="T492" i="35"/>
  <c r="O492" i="35"/>
  <c r="M492" i="35"/>
  <c r="L492" i="35"/>
  <c r="K492" i="35"/>
  <c r="I492" i="35"/>
  <c r="G492" i="35"/>
  <c r="F492" i="35"/>
  <c r="D492" i="35"/>
  <c r="C492" i="35"/>
  <c r="A492" i="35"/>
  <c r="V491" i="35"/>
  <c r="M491" i="35"/>
  <c r="A491" i="35"/>
  <c r="A490" i="35"/>
  <c r="E488" i="35"/>
  <c r="C488" i="35"/>
  <c r="A488" i="35"/>
  <c r="V485" i="35"/>
  <c r="U485" i="35"/>
  <c r="T485" i="35"/>
  <c r="O485" i="35"/>
  <c r="M485" i="35"/>
  <c r="L485" i="35"/>
  <c r="K485" i="35"/>
  <c r="I485" i="35"/>
  <c r="G485" i="35"/>
  <c r="F485" i="35"/>
  <c r="D485" i="35"/>
  <c r="C485" i="35"/>
  <c r="A485" i="35"/>
  <c r="V484" i="35"/>
  <c r="U484" i="35"/>
  <c r="T484" i="35"/>
  <c r="O484" i="35"/>
  <c r="M484" i="35"/>
  <c r="L484" i="35"/>
  <c r="K484" i="35"/>
  <c r="I484" i="35"/>
  <c r="G484" i="35"/>
  <c r="F484" i="35"/>
  <c r="D484" i="35"/>
  <c r="C484" i="35"/>
  <c r="A484" i="35"/>
  <c r="V483" i="35"/>
  <c r="U483" i="35"/>
  <c r="T483" i="35"/>
  <c r="O483" i="35"/>
  <c r="M483" i="35"/>
  <c r="L483" i="35"/>
  <c r="K483" i="35"/>
  <c r="I483" i="35"/>
  <c r="G483" i="35"/>
  <c r="F483" i="35"/>
  <c r="D483" i="35"/>
  <c r="C483" i="35"/>
  <c r="A483" i="35"/>
  <c r="V482" i="35"/>
  <c r="U482" i="35"/>
  <c r="T482" i="35"/>
  <c r="O482" i="35"/>
  <c r="M482" i="35"/>
  <c r="L482" i="35"/>
  <c r="K482" i="35"/>
  <c r="I482" i="35"/>
  <c r="G482" i="35"/>
  <c r="F482" i="35"/>
  <c r="D482" i="35"/>
  <c r="C482" i="35"/>
  <c r="A482" i="35"/>
  <c r="V481" i="35"/>
  <c r="U481" i="35"/>
  <c r="T481" i="35"/>
  <c r="O481" i="35"/>
  <c r="M481" i="35"/>
  <c r="L481" i="35"/>
  <c r="K481" i="35"/>
  <c r="I481" i="35"/>
  <c r="G481" i="35"/>
  <c r="F481" i="35"/>
  <c r="D481" i="35"/>
  <c r="C481" i="35"/>
  <c r="A481" i="35"/>
  <c r="V480" i="35"/>
  <c r="U480" i="35"/>
  <c r="T480" i="35"/>
  <c r="O480" i="35"/>
  <c r="M480" i="35"/>
  <c r="L480" i="35"/>
  <c r="K480" i="35"/>
  <c r="I480" i="35"/>
  <c r="G480" i="35"/>
  <c r="F480" i="35"/>
  <c r="D480" i="35"/>
  <c r="C480" i="35"/>
  <c r="A480" i="35"/>
  <c r="V479" i="35"/>
  <c r="U479" i="35"/>
  <c r="T479" i="35"/>
  <c r="O479" i="35"/>
  <c r="M479" i="35"/>
  <c r="L479" i="35"/>
  <c r="K479" i="35"/>
  <c r="I479" i="35"/>
  <c r="G479" i="35"/>
  <c r="F479" i="35"/>
  <c r="D479" i="35"/>
  <c r="C479" i="35"/>
  <c r="A479" i="35"/>
  <c r="V478" i="35"/>
  <c r="U478" i="35"/>
  <c r="T478" i="35"/>
  <c r="O478" i="35"/>
  <c r="M478" i="35"/>
  <c r="L478" i="35"/>
  <c r="K478" i="35"/>
  <c r="I478" i="35"/>
  <c r="G478" i="35"/>
  <c r="F478" i="35"/>
  <c r="D478" i="35"/>
  <c r="C478" i="35"/>
  <c r="A478" i="35"/>
  <c r="V477" i="35"/>
  <c r="U477" i="35"/>
  <c r="T477" i="35"/>
  <c r="O477" i="35"/>
  <c r="M477" i="35"/>
  <c r="L477" i="35"/>
  <c r="K477" i="35"/>
  <c r="I477" i="35"/>
  <c r="G477" i="35"/>
  <c r="F477" i="35"/>
  <c r="D477" i="35"/>
  <c r="C477" i="35"/>
  <c r="A477" i="35"/>
  <c r="V476" i="35"/>
  <c r="U476" i="35"/>
  <c r="T476" i="35"/>
  <c r="O476" i="35"/>
  <c r="M476" i="35"/>
  <c r="L476" i="35"/>
  <c r="K476" i="35"/>
  <c r="I476" i="35"/>
  <c r="G476" i="35"/>
  <c r="F476" i="35"/>
  <c r="D476" i="35"/>
  <c r="C476" i="35"/>
  <c r="A476" i="35"/>
  <c r="V475" i="35"/>
  <c r="U475" i="35"/>
  <c r="T475" i="35"/>
  <c r="O475" i="35"/>
  <c r="M475" i="35"/>
  <c r="L475" i="35"/>
  <c r="K475" i="35"/>
  <c r="I475" i="35"/>
  <c r="G475" i="35"/>
  <c r="F475" i="35"/>
  <c r="D475" i="35"/>
  <c r="C475" i="35"/>
  <c r="A475" i="35"/>
  <c r="V474" i="35"/>
  <c r="U474" i="35"/>
  <c r="T474" i="35"/>
  <c r="O474" i="35"/>
  <c r="M474" i="35"/>
  <c r="L474" i="35"/>
  <c r="K474" i="35"/>
  <c r="I474" i="35"/>
  <c r="G474" i="35"/>
  <c r="F474" i="35"/>
  <c r="D474" i="35"/>
  <c r="C474" i="35"/>
  <c r="A474" i="35"/>
  <c r="V473" i="35"/>
  <c r="M473" i="35"/>
  <c r="A473" i="35"/>
  <c r="A472" i="35"/>
  <c r="F471" i="35"/>
  <c r="A471" i="35"/>
  <c r="A470" i="35"/>
  <c r="V469" i="35"/>
  <c r="U469" i="35"/>
  <c r="T469" i="35"/>
  <c r="O469" i="35"/>
  <c r="M469" i="35"/>
  <c r="L469" i="35"/>
  <c r="K469" i="35"/>
  <c r="I469" i="35"/>
  <c r="G469" i="35"/>
  <c r="F469" i="35"/>
  <c r="D469" i="35"/>
  <c r="C469" i="35"/>
  <c r="A469" i="35"/>
  <c r="V468" i="35"/>
  <c r="U468" i="35"/>
  <c r="T468" i="35"/>
  <c r="O468" i="35"/>
  <c r="M468" i="35"/>
  <c r="L468" i="35"/>
  <c r="K468" i="35"/>
  <c r="I468" i="35"/>
  <c r="G468" i="35"/>
  <c r="F468" i="35"/>
  <c r="D468" i="35"/>
  <c r="C468" i="35"/>
  <c r="A468" i="35"/>
  <c r="V467" i="35"/>
  <c r="U467" i="35"/>
  <c r="T467" i="35"/>
  <c r="O467" i="35"/>
  <c r="M467" i="35"/>
  <c r="L467" i="35"/>
  <c r="K467" i="35"/>
  <c r="I467" i="35"/>
  <c r="G467" i="35"/>
  <c r="F467" i="35"/>
  <c r="D467" i="35"/>
  <c r="C467" i="35"/>
  <c r="A467" i="35"/>
  <c r="V466" i="35"/>
  <c r="U466" i="35"/>
  <c r="T466" i="35"/>
  <c r="O466" i="35"/>
  <c r="M466" i="35"/>
  <c r="L466" i="35"/>
  <c r="K466" i="35"/>
  <c r="I466" i="35"/>
  <c r="G466" i="35"/>
  <c r="F466" i="35"/>
  <c r="D466" i="35"/>
  <c r="C466" i="35"/>
  <c r="A466" i="35"/>
  <c r="V465" i="35"/>
  <c r="M465" i="35"/>
  <c r="A465" i="35"/>
  <c r="A464" i="35"/>
  <c r="F463" i="35"/>
  <c r="A463" i="35"/>
  <c r="A462" i="35"/>
  <c r="E460" i="35"/>
  <c r="C460" i="35"/>
  <c r="A460" i="35"/>
  <c r="V457" i="35"/>
  <c r="U457" i="35"/>
  <c r="T457" i="35"/>
  <c r="O457" i="35"/>
  <c r="M457" i="35"/>
  <c r="L457" i="35"/>
  <c r="K457" i="35"/>
  <c r="I457" i="35"/>
  <c r="G457" i="35"/>
  <c r="F457" i="35"/>
  <c r="D457" i="35"/>
  <c r="C457" i="35"/>
  <c r="A457" i="35"/>
  <c r="V456" i="35"/>
  <c r="M456" i="35"/>
  <c r="A456" i="35"/>
  <c r="V455" i="35"/>
  <c r="A455" i="35"/>
  <c r="V454" i="35"/>
  <c r="F454" i="35"/>
  <c r="C454" i="35"/>
  <c r="A454" i="35"/>
  <c r="A453" i="35"/>
  <c r="V452" i="35"/>
  <c r="U452" i="35"/>
  <c r="T452" i="35"/>
  <c r="O452" i="35"/>
  <c r="M452" i="35"/>
  <c r="L452" i="35"/>
  <c r="K452" i="35"/>
  <c r="I452" i="35"/>
  <c r="G452" i="35"/>
  <c r="F452" i="35"/>
  <c r="D452" i="35"/>
  <c r="C452" i="35"/>
  <c r="A452" i="35"/>
  <c r="V451" i="35"/>
  <c r="U451" i="35"/>
  <c r="T451" i="35"/>
  <c r="O451" i="35"/>
  <c r="M451" i="35"/>
  <c r="L451" i="35"/>
  <c r="K451" i="35"/>
  <c r="I451" i="35"/>
  <c r="G451" i="35"/>
  <c r="F451" i="35"/>
  <c r="D451" i="35"/>
  <c r="C451" i="35"/>
  <c r="A451" i="35"/>
  <c r="V450" i="35"/>
  <c r="U450" i="35"/>
  <c r="T450" i="35"/>
  <c r="O450" i="35"/>
  <c r="M450" i="35"/>
  <c r="L450" i="35"/>
  <c r="K450" i="35"/>
  <c r="I450" i="35"/>
  <c r="G450" i="35"/>
  <c r="F450" i="35"/>
  <c r="D450" i="35"/>
  <c r="C450" i="35"/>
  <c r="A450" i="35"/>
  <c r="V449" i="35"/>
  <c r="U449" i="35"/>
  <c r="T449" i="35"/>
  <c r="O449" i="35"/>
  <c r="M449" i="35"/>
  <c r="L449" i="35"/>
  <c r="K449" i="35"/>
  <c r="I449" i="35"/>
  <c r="G449" i="35"/>
  <c r="F449" i="35"/>
  <c r="D449" i="35"/>
  <c r="C449" i="35"/>
  <c r="A449" i="35"/>
  <c r="V448" i="35"/>
  <c r="U448" i="35"/>
  <c r="T448" i="35"/>
  <c r="O448" i="35"/>
  <c r="M448" i="35"/>
  <c r="L448" i="35"/>
  <c r="K448" i="35"/>
  <c r="I448" i="35"/>
  <c r="G448" i="35"/>
  <c r="F448" i="35"/>
  <c r="D448" i="35"/>
  <c r="C448" i="35"/>
  <c r="A448" i="35"/>
  <c r="V447" i="35"/>
  <c r="U447" i="35"/>
  <c r="T447" i="35"/>
  <c r="O447" i="35"/>
  <c r="M447" i="35"/>
  <c r="L447" i="35"/>
  <c r="K447" i="35"/>
  <c r="I447" i="35"/>
  <c r="G447" i="35"/>
  <c r="F447" i="35"/>
  <c r="D447" i="35"/>
  <c r="C447" i="35"/>
  <c r="A447" i="35"/>
  <c r="V446" i="35"/>
  <c r="U446" i="35"/>
  <c r="T446" i="35"/>
  <c r="O446" i="35"/>
  <c r="M446" i="35"/>
  <c r="L446" i="35"/>
  <c r="K446" i="35"/>
  <c r="I446" i="35"/>
  <c r="G446" i="35"/>
  <c r="F446" i="35"/>
  <c r="D446" i="35"/>
  <c r="C446" i="35"/>
  <c r="A446" i="35"/>
  <c r="V445" i="35"/>
  <c r="U445" i="35"/>
  <c r="T445" i="35"/>
  <c r="O445" i="35"/>
  <c r="M445" i="35"/>
  <c r="L445" i="35"/>
  <c r="K445" i="35"/>
  <c r="I445" i="35"/>
  <c r="G445" i="35"/>
  <c r="F445" i="35"/>
  <c r="D445" i="35"/>
  <c r="C445" i="35"/>
  <c r="A445" i="35"/>
  <c r="V444" i="35"/>
  <c r="U444" i="35"/>
  <c r="T444" i="35"/>
  <c r="O444" i="35"/>
  <c r="M444" i="35"/>
  <c r="L444" i="35"/>
  <c r="K444" i="35"/>
  <c r="I444" i="35"/>
  <c r="G444" i="35"/>
  <c r="F444" i="35"/>
  <c r="D444" i="35"/>
  <c r="C444" i="35"/>
  <c r="A444" i="35"/>
  <c r="V443" i="35"/>
  <c r="U443" i="35"/>
  <c r="T443" i="35"/>
  <c r="O443" i="35"/>
  <c r="M443" i="35"/>
  <c r="L443" i="35"/>
  <c r="K443" i="35"/>
  <c r="I443" i="35"/>
  <c r="G443" i="35"/>
  <c r="F443" i="35"/>
  <c r="D443" i="35"/>
  <c r="C443" i="35"/>
  <c r="A443" i="35"/>
  <c r="V442" i="35"/>
  <c r="U442" i="35"/>
  <c r="T442" i="35"/>
  <c r="O442" i="35"/>
  <c r="M442" i="35"/>
  <c r="L442" i="35"/>
  <c r="K442" i="35"/>
  <c r="I442" i="35"/>
  <c r="G442" i="35"/>
  <c r="F442" i="35"/>
  <c r="D442" i="35"/>
  <c r="C442" i="35"/>
  <c r="A442" i="35"/>
  <c r="V441" i="35"/>
  <c r="U441" i="35"/>
  <c r="T441" i="35"/>
  <c r="O441" i="35"/>
  <c r="M441" i="35"/>
  <c r="L441" i="35"/>
  <c r="K441" i="35"/>
  <c r="I441" i="35"/>
  <c r="G441" i="35"/>
  <c r="F441" i="35"/>
  <c r="D441" i="35"/>
  <c r="C441" i="35"/>
  <c r="A441" i="35"/>
  <c r="V440" i="35"/>
  <c r="U440" i="35"/>
  <c r="T440" i="35"/>
  <c r="O440" i="35"/>
  <c r="M440" i="35"/>
  <c r="L440" i="35"/>
  <c r="K440" i="35"/>
  <c r="I440" i="35"/>
  <c r="G440" i="35"/>
  <c r="F440" i="35"/>
  <c r="D440" i="35"/>
  <c r="C440" i="35"/>
  <c r="A440" i="35"/>
  <c r="V439" i="35"/>
  <c r="U439" i="35"/>
  <c r="T439" i="35"/>
  <c r="O439" i="35"/>
  <c r="M439" i="35"/>
  <c r="L439" i="35"/>
  <c r="K439" i="35"/>
  <c r="I439" i="35"/>
  <c r="G439" i="35"/>
  <c r="F439" i="35"/>
  <c r="D439" i="35"/>
  <c r="C439" i="35"/>
  <c r="A439" i="35"/>
  <c r="V438" i="35"/>
  <c r="U438" i="35"/>
  <c r="T438" i="35"/>
  <c r="O438" i="35"/>
  <c r="M438" i="35"/>
  <c r="L438" i="35"/>
  <c r="K438" i="35"/>
  <c r="I438" i="35"/>
  <c r="G438" i="35"/>
  <c r="F438" i="35"/>
  <c r="D438" i="35"/>
  <c r="C438" i="35"/>
  <c r="A438" i="35"/>
  <c r="V437" i="35"/>
  <c r="U437" i="35"/>
  <c r="T437" i="35"/>
  <c r="O437" i="35"/>
  <c r="M437" i="35"/>
  <c r="L437" i="35"/>
  <c r="K437" i="35"/>
  <c r="I437" i="35"/>
  <c r="G437" i="35"/>
  <c r="F437" i="35"/>
  <c r="D437" i="35"/>
  <c r="C437" i="35"/>
  <c r="A437" i="35"/>
  <c r="V436" i="35"/>
  <c r="U436" i="35"/>
  <c r="T436" i="35"/>
  <c r="O436" i="35"/>
  <c r="M436" i="35"/>
  <c r="L436" i="35"/>
  <c r="K436" i="35"/>
  <c r="I436" i="35"/>
  <c r="G436" i="35"/>
  <c r="F436" i="35"/>
  <c r="D436" i="35"/>
  <c r="C436" i="35"/>
  <c r="A436" i="35"/>
  <c r="V435" i="35"/>
  <c r="U435" i="35"/>
  <c r="T435" i="35"/>
  <c r="O435" i="35"/>
  <c r="M435" i="35"/>
  <c r="L435" i="35"/>
  <c r="K435" i="35"/>
  <c r="I435" i="35"/>
  <c r="G435" i="35"/>
  <c r="F435" i="35"/>
  <c r="D435" i="35"/>
  <c r="C435" i="35"/>
  <c r="A435" i="35"/>
  <c r="V434" i="35"/>
  <c r="U434" i="35"/>
  <c r="T434" i="35"/>
  <c r="O434" i="35"/>
  <c r="M434" i="35"/>
  <c r="L434" i="35"/>
  <c r="K434" i="35"/>
  <c r="I434" i="35"/>
  <c r="G434" i="35"/>
  <c r="F434" i="35"/>
  <c r="D434" i="35"/>
  <c r="C434" i="35"/>
  <c r="A434" i="35"/>
  <c r="V433" i="35"/>
  <c r="U433" i="35"/>
  <c r="T433" i="35"/>
  <c r="O433" i="35"/>
  <c r="M433" i="35"/>
  <c r="L433" i="35"/>
  <c r="K433" i="35"/>
  <c r="I433" i="35"/>
  <c r="G433" i="35"/>
  <c r="F433" i="35"/>
  <c r="D433" i="35"/>
  <c r="C433" i="35"/>
  <c r="A433" i="35"/>
  <c r="V432" i="35"/>
  <c r="U432" i="35"/>
  <c r="T432" i="35"/>
  <c r="O432" i="35"/>
  <c r="M432" i="35"/>
  <c r="L432" i="35"/>
  <c r="K432" i="35"/>
  <c r="I432" i="35"/>
  <c r="G432" i="35"/>
  <c r="F432" i="35"/>
  <c r="D432" i="35"/>
  <c r="C432" i="35"/>
  <c r="A432" i="35"/>
  <c r="V431" i="35"/>
  <c r="U431" i="35"/>
  <c r="T431" i="35"/>
  <c r="O431" i="35"/>
  <c r="M431" i="35"/>
  <c r="L431" i="35"/>
  <c r="K431" i="35"/>
  <c r="I431" i="35"/>
  <c r="G431" i="35"/>
  <c r="F431" i="35"/>
  <c r="D431" i="35"/>
  <c r="C431" i="35"/>
  <c r="A431" i="35"/>
  <c r="V430" i="35"/>
  <c r="M430" i="35"/>
  <c r="A430" i="35"/>
  <c r="V429" i="35"/>
  <c r="A429" i="35"/>
  <c r="V428" i="35"/>
  <c r="F428" i="35"/>
  <c r="C428" i="35"/>
  <c r="A428" i="35"/>
  <c r="A427" i="35"/>
  <c r="V426" i="35"/>
  <c r="U426" i="35"/>
  <c r="T426" i="35"/>
  <c r="O426" i="35"/>
  <c r="M426" i="35"/>
  <c r="L426" i="35"/>
  <c r="K426" i="35"/>
  <c r="I426" i="35"/>
  <c r="G426" i="35"/>
  <c r="F426" i="35"/>
  <c r="D426" i="35"/>
  <c r="C426" i="35"/>
  <c r="A426" i="35"/>
  <c r="V425" i="35"/>
  <c r="U425" i="35"/>
  <c r="T425" i="35"/>
  <c r="O425" i="35"/>
  <c r="M425" i="35"/>
  <c r="L425" i="35"/>
  <c r="K425" i="35"/>
  <c r="I425" i="35"/>
  <c r="G425" i="35"/>
  <c r="F425" i="35"/>
  <c r="D425" i="35"/>
  <c r="C425" i="35"/>
  <c r="A425" i="35"/>
  <c r="V424" i="35"/>
  <c r="U424" i="35"/>
  <c r="T424" i="35"/>
  <c r="O424" i="35"/>
  <c r="M424" i="35"/>
  <c r="L424" i="35"/>
  <c r="K424" i="35"/>
  <c r="I424" i="35"/>
  <c r="G424" i="35"/>
  <c r="F424" i="35"/>
  <c r="D424" i="35"/>
  <c r="C424" i="35"/>
  <c r="A424" i="35"/>
  <c r="V423" i="35"/>
  <c r="U423" i="35"/>
  <c r="T423" i="35"/>
  <c r="O423" i="35"/>
  <c r="M423" i="35"/>
  <c r="L423" i="35"/>
  <c r="K423" i="35"/>
  <c r="I423" i="35"/>
  <c r="G423" i="35"/>
  <c r="F423" i="35"/>
  <c r="D423" i="35"/>
  <c r="C423" i="35"/>
  <c r="A423" i="35"/>
  <c r="V422" i="35"/>
  <c r="M422" i="35"/>
  <c r="A422" i="35"/>
  <c r="A421" i="35"/>
  <c r="A420" i="35"/>
  <c r="A419" i="35"/>
  <c r="E417" i="35"/>
  <c r="C417" i="35"/>
  <c r="A417" i="35"/>
  <c r="V413" i="35"/>
  <c r="U413" i="35"/>
  <c r="T413" i="35"/>
  <c r="O413" i="35"/>
  <c r="M413" i="35"/>
  <c r="L413" i="35"/>
  <c r="K413" i="35"/>
  <c r="I413" i="35"/>
  <c r="G413" i="35"/>
  <c r="F413" i="35"/>
  <c r="D413" i="35"/>
  <c r="C413" i="35"/>
  <c r="A413" i="35"/>
  <c r="V412" i="35"/>
  <c r="U412" i="35"/>
  <c r="T412" i="35"/>
  <c r="O412" i="35"/>
  <c r="M412" i="35"/>
  <c r="L412" i="35"/>
  <c r="K412" i="35"/>
  <c r="I412" i="35"/>
  <c r="G412" i="35"/>
  <c r="F412" i="35"/>
  <c r="D412" i="35"/>
  <c r="C412" i="35"/>
  <c r="A412" i="35"/>
  <c r="V411" i="35"/>
  <c r="U411" i="35"/>
  <c r="T411" i="35"/>
  <c r="O411" i="35"/>
  <c r="M411" i="35"/>
  <c r="L411" i="35"/>
  <c r="K411" i="35"/>
  <c r="I411" i="35"/>
  <c r="G411" i="35"/>
  <c r="F411" i="35"/>
  <c r="D411" i="35"/>
  <c r="C411" i="35"/>
  <c r="A411" i="35"/>
  <c r="V410" i="35"/>
  <c r="U410" i="35"/>
  <c r="T410" i="35"/>
  <c r="O410" i="35"/>
  <c r="M410" i="35"/>
  <c r="L410" i="35"/>
  <c r="K410" i="35"/>
  <c r="I410" i="35"/>
  <c r="G410" i="35"/>
  <c r="F410" i="35"/>
  <c r="D410" i="35"/>
  <c r="C410" i="35"/>
  <c r="A410" i="35"/>
  <c r="V409" i="35"/>
  <c r="M409" i="35"/>
  <c r="A409" i="35"/>
  <c r="V408" i="35"/>
  <c r="A408" i="35"/>
  <c r="V407" i="35"/>
  <c r="F407" i="35"/>
  <c r="C407" i="35"/>
  <c r="A407" i="35"/>
  <c r="A406" i="35"/>
  <c r="V405" i="35"/>
  <c r="U405" i="35"/>
  <c r="T405" i="35"/>
  <c r="O405" i="35"/>
  <c r="M405" i="35"/>
  <c r="L405" i="35"/>
  <c r="K405" i="35"/>
  <c r="I405" i="35"/>
  <c r="G405" i="35"/>
  <c r="F405" i="35"/>
  <c r="D405" i="35"/>
  <c r="C405" i="35"/>
  <c r="A405" i="35"/>
  <c r="V404" i="35"/>
  <c r="U404" i="35"/>
  <c r="T404" i="35"/>
  <c r="O404" i="35"/>
  <c r="M404" i="35"/>
  <c r="L404" i="35"/>
  <c r="K404" i="35"/>
  <c r="I404" i="35"/>
  <c r="G404" i="35"/>
  <c r="F404" i="35"/>
  <c r="D404" i="35"/>
  <c r="C404" i="35"/>
  <c r="A404" i="35"/>
  <c r="V403" i="35"/>
  <c r="U403" i="35"/>
  <c r="T403" i="35"/>
  <c r="O403" i="35"/>
  <c r="M403" i="35"/>
  <c r="L403" i="35"/>
  <c r="K403" i="35"/>
  <c r="I403" i="35"/>
  <c r="G403" i="35"/>
  <c r="F403" i="35"/>
  <c r="D403" i="35"/>
  <c r="C403" i="35"/>
  <c r="A403" i="35"/>
  <c r="V402" i="35"/>
  <c r="U402" i="35"/>
  <c r="T402" i="35"/>
  <c r="O402" i="35"/>
  <c r="M402" i="35"/>
  <c r="L402" i="35"/>
  <c r="K402" i="35"/>
  <c r="I402" i="35"/>
  <c r="G402" i="35"/>
  <c r="F402" i="35"/>
  <c r="D402" i="35"/>
  <c r="C402" i="35"/>
  <c r="A402" i="35"/>
  <c r="V401" i="35"/>
  <c r="U401" i="35"/>
  <c r="T401" i="35"/>
  <c r="O401" i="35"/>
  <c r="M401" i="35"/>
  <c r="L401" i="35"/>
  <c r="K401" i="35"/>
  <c r="I401" i="35"/>
  <c r="G401" i="35"/>
  <c r="F401" i="35"/>
  <c r="D401" i="35"/>
  <c r="C401" i="35"/>
  <c r="A401" i="35"/>
  <c r="V400" i="35"/>
  <c r="U400" i="35"/>
  <c r="T400" i="35"/>
  <c r="O400" i="35"/>
  <c r="M400" i="35"/>
  <c r="L400" i="35"/>
  <c r="K400" i="35"/>
  <c r="I400" i="35"/>
  <c r="G400" i="35"/>
  <c r="F400" i="35"/>
  <c r="D400" i="35"/>
  <c r="C400" i="35"/>
  <c r="A400" i="35"/>
  <c r="V399" i="35"/>
  <c r="U399" i="35"/>
  <c r="T399" i="35"/>
  <c r="O399" i="35"/>
  <c r="M399" i="35"/>
  <c r="L399" i="35"/>
  <c r="K399" i="35"/>
  <c r="I399" i="35"/>
  <c r="G399" i="35"/>
  <c r="F399" i="35"/>
  <c r="D399" i="35"/>
  <c r="C399" i="35"/>
  <c r="A399" i="35"/>
  <c r="V398" i="35"/>
  <c r="U398" i="35"/>
  <c r="T398" i="35"/>
  <c r="O398" i="35"/>
  <c r="M398" i="35"/>
  <c r="L398" i="35"/>
  <c r="K398" i="35"/>
  <c r="I398" i="35"/>
  <c r="G398" i="35"/>
  <c r="F398" i="35"/>
  <c r="D398" i="35"/>
  <c r="C398" i="35"/>
  <c r="A398" i="35"/>
  <c r="V397" i="35"/>
  <c r="U397" i="35"/>
  <c r="T397" i="35"/>
  <c r="O397" i="35"/>
  <c r="M397" i="35"/>
  <c r="L397" i="35"/>
  <c r="K397" i="35"/>
  <c r="I397" i="35"/>
  <c r="G397" i="35"/>
  <c r="F397" i="35"/>
  <c r="D397" i="35"/>
  <c r="C397" i="35"/>
  <c r="A397" i="35"/>
  <c r="V396" i="35"/>
  <c r="U396" i="35"/>
  <c r="T396" i="35"/>
  <c r="O396" i="35"/>
  <c r="M396" i="35"/>
  <c r="L396" i="35"/>
  <c r="K396" i="35"/>
  <c r="I396" i="35"/>
  <c r="G396" i="35"/>
  <c r="F396" i="35"/>
  <c r="D396" i="35"/>
  <c r="C396" i="35"/>
  <c r="A396" i="35"/>
  <c r="V395" i="35"/>
  <c r="U395" i="35"/>
  <c r="T395" i="35"/>
  <c r="O395" i="35"/>
  <c r="M395" i="35"/>
  <c r="L395" i="35"/>
  <c r="K395" i="35"/>
  <c r="I395" i="35"/>
  <c r="G395" i="35"/>
  <c r="F395" i="35"/>
  <c r="D395" i="35"/>
  <c r="C395" i="35"/>
  <c r="A395" i="35"/>
  <c r="V394" i="35"/>
  <c r="U394" i="35"/>
  <c r="T394" i="35"/>
  <c r="O394" i="35"/>
  <c r="M394" i="35"/>
  <c r="L394" i="35"/>
  <c r="K394" i="35"/>
  <c r="I394" i="35"/>
  <c r="G394" i="35"/>
  <c r="F394" i="35"/>
  <c r="D394" i="35"/>
  <c r="C394" i="35"/>
  <c r="A394" i="35"/>
  <c r="V393" i="35"/>
  <c r="U393" i="35"/>
  <c r="T393" i="35"/>
  <c r="O393" i="35"/>
  <c r="M393" i="35"/>
  <c r="L393" i="35"/>
  <c r="K393" i="35"/>
  <c r="I393" i="35"/>
  <c r="G393" i="35"/>
  <c r="F393" i="35"/>
  <c r="D393" i="35"/>
  <c r="C393" i="35"/>
  <c r="A393" i="35"/>
  <c r="V392" i="35"/>
  <c r="U392" i="35"/>
  <c r="T392" i="35"/>
  <c r="O392" i="35"/>
  <c r="M392" i="35"/>
  <c r="L392" i="35"/>
  <c r="K392" i="35"/>
  <c r="I392" i="35"/>
  <c r="G392" i="35"/>
  <c r="F392" i="35"/>
  <c r="D392" i="35"/>
  <c r="C392" i="35"/>
  <c r="A392" i="35"/>
  <c r="V391" i="35"/>
  <c r="M391" i="35"/>
  <c r="A391" i="35"/>
  <c r="V390" i="35"/>
  <c r="A390" i="35"/>
  <c r="V389" i="35"/>
  <c r="F389" i="35"/>
  <c r="C389" i="35"/>
  <c r="A389" i="35"/>
  <c r="A388" i="35"/>
  <c r="V387" i="35"/>
  <c r="U387" i="35"/>
  <c r="T387" i="35"/>
  <c r="O387" i="35"/>
  <c r="M387" i="35"/>
  <c r="L387" i="35"/>
  <c r="K387" i="35"/>
  <c r="I387" i="35"/>
  <c r="G387" i="35"/>
  <c r="F387" i="35"/>
  <c r="D387" i="35"/>
  <c r="C387" i="35"/>
  <c r="A387" i="35"/>
  <c r="V386" i="35"/>
  <c r="U386" i="35"/>
  <c r="T386" i="35"/>
  <c r="O386" i="35"/>
  <c r="M386" i="35"/>
  <c r="L386" i="35"/>
  <c r="K386" i="35"/>
  <c r="I386" i="35"/>
  <c r="G386" i="35"/>
  <c r="F386" i="35"/>
  <c r="D386" i="35"/>
  <c r="C386" i="35"/>
  <c r="A386" i="35"/>
  <c r="V385" i="35"/>
  <c r="U385" i="35"/>
  <c r="T385" i="35"/>
  <c r="O385" i="35"/>
  <c r="M385" i="35"/>
  <c r="L385" i="35"/>
  <c r="K385" i="35"/>
  <c r="I385" i="35"/>
  <c r="G385" i="35"/>
  <c r="F385" i="35"/>
  <c r="D385" i="35"/>
  <c r="C385" i="35"/>
  <c r="A385" i="35"/>
  <c r="V384" i="35"/>
  <c r="U384" i="35"/>
  <c r="T384" i="35"/>
  <c r="O384" i="35"/>
  <c r="M384" i="35"/>
  <c r="L384" i="35"/>
  <c r="K384" i="35"/>
  <c r="I384" i="35"/>
  <c r="G384" i="35"/>
  <c r="F384" i="35"/>
  <c r="D384" i="35"/>
  <c r="C384" i="35"/>
  <c r="A384" i="35"/>
  <c r="V383" i="35"/>
  <c r="U383" i="35"/>
  <c r="T383" i="35"/>
  <c r="O383" i="35"/>
  <c r="M383" i="35"/>
  <c r="L383" i="35"/>
  <c r="K383" i="35"/>
  <c r="I383" i="35"/>
  <c r="G383" i="35"/>
  <c r="F383" i="35"/>
  <c r="D383" i="35"/>
  <c r="C383" i="35"/>
  <c r="A383" i="35"/>
  <c r="V382" i="35"/>
  <c r="U382" i="35"/>
  <c r="T382" i="35"/>
  <c r="O382" i="35"/>
  <c r="M382" i="35"/>
  <c r="L382" i="35"/>
  <c r="K382" i="35"/>
  <c r="I382" i="35"/>
  <c r="G382" i="35"/>
  <c r="F382" i="35"/>
  <c r="D382" i="35"/>
  <c r="C382" i="35"/>
  <c r="A382" i="35"/>
  <c r="V381" i="35"/>
  <c r="U381" i="35"/>
  <c r="T381" i="35"/>
  <c r="O381" i="35"/>
  <c r="M381" i="35"/>
  <c r="L381" i="35"/>
  <c r="K381" i="35"/>
  <c r="I381" i="35"/>
  <c r="G381" i="35"/>
  <c r="F381" i="35"/>
  <c r="D381" i="35"/>
  <c r="C381" i="35"/>
  <c r="A381" i="35"/>
  <c r="V380" i="35"/>
  <c r="U380" i="35"/>
  <c r="T380" i="35"/>
  <c r="O380" i="35"/>
  <c r="M380" i="35"/>
  <c r="L380" i="35"/>
  <c r="K380" i="35"/>
  <c r="I380" i="35"/>
  <c r="G380" i="35"/>
  <c r="F380" i="35"/>
  <c r="D380" i="35"/>
  <c r="C380" i="35"/>
  <c r="A380" i="35"/>
  <c r="V379" i="35"/>
  <c r="U379" i="35"/>
  <c r="T379" i="35"/>
  <c r="O379" i="35"/>
  <c r="M379" i="35"/>
  <c r="L379" i="35"/>
  <c r="K379" i="35"/>
  <c r="I379" i="35"/>
  <c r="G379" i="35"/>
  <c r="F379" i="35"/>
  <c r="D379" i="35"/>
  <c r="C379" i="35"/>
  <c r="A379" i="35"/>
  <c r="V378" i="35"/>
  <c r="M378" i="35"/>
  <c r="A378" i="35"/>
  <c r="V377" i="35"/>
  <c r="A377" i="35"/>
  <c r="V376" i="35"/>
  <c r="F376" i="35"/>
  <c r="C376" i="35"/>
  <c r="A376" i="35"/>
  <c r="A375" i="35"/>
  <c r="V374" i="35"/>
  <c r="U374" i="35"/>
  <c r="T374" i="35"/>
  <c r="O374" i="35"/>
  <c r="M374" i="35"/>
  <c r="L374" i="35"/>
  <c r="K374" i="35"/>
  <c r="I374" i="35"/>
  <c r="G374" i="35"/>
  <c r="F374" i="35"/>
  <c r="D374" i="35"/>
  <c r="C374" i="35"/>
  <c r="A374" i="35"/>
  <c r="V373" i="35"/>
  <c r="U373" i="35"/>
  <c r="T373" i="35"/>
  <c r="O373" i="35"/>
  <c r="M373" i="35"/>
  <c r="L373" i="35"/>
  <c r="K373" i="35"/>
  <c r="I373" i="35"/>
  <c r="G373" i="35"/>
  <c r="F373" i="35"/>
  <c r="D373" i="35"/>
  <c r="C373" i="35"/>
  <c r="A373" i="35"/>
  <c r="V372" i="35"/>
  <c r="U372" i="35"/>
  <c r="T372" i="35"/>
  <c r="O372" i="35"/>
  <c r="M372" i="35"/>
  <c r="L372" i="35"/>
  <c r="K372" i="35"/>
  <c r="I372" i="35"/>
  <c r="G372" i="35"/>
  <c r="F372" i="35"/>
  <c r="D372" i="35"/>
  <c r="C372" i="35"/>
  <c r="A372" i="35"/>
  <c r="V371" i="35"/>
  <c r="U371" i="35"/>
  <c r="T371" i="35"/>
  <c r="O371" i="35"/>
  <c r="M371" i="35"/>
  <c r="L371" i="35"/>
  <c r="K371" i="35"/>
  <c r="I371" i="35"/>
  <c r="G371" i="35"/>
  <c r="F371" i="35"/>
  <c r="D371" i="35"/>
  <c r="C371" i="35"/>
  <c r="A371" i="35"/>
  <c r="V370" i="35"/>
  <c r="U370" i="35"/>
  <c r="T370" i="35"/>
  <c r="O370" i="35"/>
  <c r="M370" i="35"/>
  <c r="L370" i="35"/>
  <c r="K370" i="35"/>
  <c r="I370" i="35"/>
  <c r="G370" i="35"/>
  <c r="F370" i="35"/>
  <c r="D370" i="35"/>
  <c r="C370" i="35"/>
  <c r="A370" i="35"/>
  <c r="V369" i="35"/>
  <c r="M369" i="35"/>
  <c r="A369" i="35"/>
  <c r="V368" i="35"/>
  <c r="A368" i="35"/>
  <c r="V367" i="35"/>
  <c r="F367" i="35"/>
  <c r="C367" i="35"/>
  <c r="A367" i="35"/>
  <c r="A366" i="35"/>
  <c r="V365" i="35"/>
  <c r="U365" i="35"/>
  <c r="T365" i="35"/>
  <c r="O365" i="35"/>
  <c r="M365" i="35"/>
  <c r="L365" i="35"/>
  <c r="K365" i="35"/>
  <c r="I365" i="35"/>
  <c r="G365" i="35"/>
  <c r="F365" i="35"/>
  <c r="D365" i="35"/>
  <c r="C365" i="35"/>
  <c r="A365" i="35"/>
  <c r="V364" i="35"/>
  <c r="M364" i="35"/>
  <c r="A364" i="35"/>
  <c r="V363" i="35"/>
  <c r="A363" i="35"/>
  <c r="V362" i="35"/>
  <c r="F362" i="35"/>
  <c r="C362" i="35"/>
  <c r="A362" i="35"/>
  <c r="A361" i="35"/>
  <c r="V360" i="35"/>
  <c r="U360" i="35"/>
  <c r="T360" i="35"/>
  <c r="O360" i="35"/>
  <c r="M360" i="35"/>
  <c r="L360" i="35"/>
  <c r="K360" i="35"/>
  <c r="I360" i="35"/>
  <c r="G360" i="35"/>
  <c r="F360" i="35"/>
  <c r="D360" i="35"/>
  <c r="C360" i="35"/>
  <c r="A360" i="35"/>
  <c r="V359" i="35"/>
  <c r="M359" i="35"/>
  <c r="A359" i="35"/>
  <c r="A358" i="35"/>
  <c r="F357" i="35"/>
  <c r="C357" i="35"/>
  <c r="A357" i="35"/>
  <c r="A356" i="35"/>
  <c r="E354" i="35"/>
  <c r="C354" i="35"/>
  <c r="A354" i="35"/>
  <c r="V351" i="35"/>
  <c r="U351" i="35"/>
  <c r="T351" i="35"/>
  <c r="O351" i="35"/>
  <c r="M351" i="35"/>
  <c r="L351" i="35"/>
  <c r="K351" i="35"/>
  <c r="I351" i="35"/>
  <c r="G351" i="35"/>
  <c r="F351" i="35"/>
  <c r="D351" i="35"/>
  <c r="C351" i="35"/>
  <c r="A351" i="35"/>
  <c r="V350" i="35"/>
  <c r="U350" i="35"/>
  <c r="T350" i="35"/>
  <c r="O350" i="35"/>
  <c r="M350" i="35"/>
  <c r="L350" i="35"/>
  <c r="K350" i="35"/>
  <c r="I350" i="35"/>
  <c r="G350" i="35"/>
  <c r="F350" i="35"/>
  <c r="D350" i="35"/>
  <c r="C350" i="35"/>
  <c r="A350" i="35"/>
  <c r="V349" i="35"/>
  <c r="U349" i="35"/>
  <c r="T349" i="35"/>
  <c r="O349" i="35"/>
  <c r="M349" i="35"/>
  <c r="L349" i="35"/>
  <c r="K349" i="35"/>
  <c r="I349" i="35"/>
  <c r="G349" i="35"/>
  <c r="F349" i="35"/>
  <c r="D349" i="35"/>
  <c r="C349" i="35"/>
  <c r="A349" i="35"/>
  <c r="V348" i="35"/>
  <c r="U348" i="35"/>
  <c r="T348" i="35"/>
  <c r="O348" i="35"/>
  <c r="M348" i="35"/>
  <c r="L348" i="35"/>
  <c r="K348" i="35"/>
  <c r="I348" i="35"/>
  <c r="G348" i="35"/>
  <c r="F348" i="35"/>
  <c r="D348" i="35"/>
  <c r="C348" i="35"/>
  <c r="A348" i="35"/>
  <c r="V347" i="35"/>
  <c r="U347" i="35"/>
  <c r="T347" i="35"/>
  <c r="O347" i="35"/>
  <c r="M347" i="35"/>
  <c r="L347" i="35"/>
  <c r="K347" i="35"/>
  <c r="I347" i="35"/>
  <c r="G347" i="35"/>
  <c r="F347" i="35"/>
  <c r="D347" i="35"/>
  <c r="C347" i="35"/>
  <c r="A347" i="35"/>
  <c r="V346" i="35"/>
  <c r="M346" i="35"/>
  <c r="A346" i="35"/>
  <c r="V345" i="35"/>
  <c r="A345" i="35"/>
  <c r="V344" i="35"/>
  <c r="F344" i="35"/>
  <c r="C344" i="35"/>
  <c r="A344" i="35"/>
  <c r="A343" i="35"/>
  <c r="V342" i="35"/>
  <c r="U342" i="35"/>
  <c r="T342" i="35"/>
  <c r="O342" i="35"/>
  <c r="M342" i="35"/>
  <c r="L342" i="35"/>
  <c r="K342" i="35"/>
  <c r="I342" i="35"/>
  <c r="G342" i="35"/>
  <c r="F342" i="35"/>
  <c r="D342" i="35"/>
  <c r="C342" i="35"/>
  <c r="A342" i="35"/>
  <c r="V341" i="35"/>
  <c r="U341" i="35"/>
  <c r="T341" i="35"/>
  <c r="O341" i="35"/>
  <c r="M341" i="35"/>
  <c r="L341" i="35"/>
  <c r="K341" i="35"/>
  <c r="I341" i="35"/>
  <c r="G341" i="35"/>
  <c r="F341" i="35"/>
  <c r="D341" i="35"/>
  <c r="C341" i="35"/>
  <c r="A341" i="35"/>
  <c r="V340" i="35"/>
  <c r="U340" i="35"/>
  <c r="T340" i="35"/>
  <c r="O340" i="35"/>
  <c r="M340" i="35"/>
  <c r="L340" i="35"/>
  <c r="K340" i="35"/>
  <c r="I340" i="35"/>
  <c r="G340" i="35"/>
  <c r="F340" i="35"/>
  <c r="D340" i="35"/>
  <c r="C340" i="35"/>
  <c r="A340" i="35"/>
  <c r="V339" i="35"/>
  <c r="U339" i="35"/>
  <c r="T339" i="35"/>
  <c r="O339" i="35"/>
  <c r="M339" i="35"/>
  <c r="L339" i="35"/>
  <c r="K339" i="35"/>
  <c r="I339" i="35"/>
  <c r="G339" i="35"/>
  <c r="F339" i="35"/>
  <c r="D339" i="35"/>
  <c r="C339" i="35"/>
  <c r="A339" i="35"/>
  <c r="V338" i="35"/>
  <c r="U338" i="35"/>
  <c r="T338" i="35"/>
  <c r="O338" i="35"/>
  <c r="M338" i="35"/>
  <c r="L338" i="35"/>
  <c r="K338" i="35"/>
  <c r="I338" i="35"/>
  <c r="G338" i="35"/>
  <c r="F338" i="35"/>
  <c r="D338" i="35"/>
  <c r="C338" i="35"/>
  <c r="A338" i="35"/>
  <c r="V337" i="35"/>
  <c r="U337" i="35"/>
  <c r="T337" i="35"/>
  <c r="O337" i="35"/>
  <c r="M337" i="35"/>
  <c r="L337" i="35"/>
  <c r="K337" i="35"/>
  <c r="I337" i="35"/>
  <c r="G337" i="35"/>
  <c r="F337" i="35"/>
  <c r="D337" i="35"/>
  <c r="C337" i="35"/>
  <c r="A337" i="35"/>
  <c r="V336" i="35"/>
  <c r="U336" i="35"/>
  <c r="T336" i="35"/>
  <c r="O336" i="35"/>
  <c r="M336" i="35"/>
  <c r="L336" i="35"/>
  <c r="K336" i="35"/>
  <c r="I336" i="35"/>
  <c r="G336" i="35"/>
  <c r="F336" i="35"/>
  <c r="D336" i="35"/>
  <c r="C336" i="35"/>
  <c r="A336" i="35"/>
  <c r="V335" i="35"/>
  <c r="U335" i="35"/>
  <c r="T335" i="35"/>
  <c r="O335" i="35"/>
  <c r="M335" i="35"/>
  <c r="L335" i="35"/>
  <c r="K335" i="35"/>
  <c r="I335" i="35"/>
  <c r="G335" i="35"/>
  <c r="F335" i="35"/>
  <c r="D335" i="35"/>
  <c r="C335" i="35"/>
  <c r="A335" i="35"/>
  <c r="V334" i="35"/>
  <c r="U334" i="35"/>
  <c r="T334" i="35"/>
  <c r="O334" i="35"/>
  <c r="M334" i="35"/>
  <c r="L334" i="35"/>
  <c r="K334" i="35"/>
  <c r="I334" i="35"/>
  <c r="G334" i="35"/>
  <c r="F334" i="35"/>
  <c r="D334" i="35"/>
  <c r="C334" i="35"/>
  <c r="A334" i="35"/>
  <c r="V333" i="35"/>
  <c r="M333" i="35"/>
  <c r="A333" i="35"/>
  <c r="V332" i="35"/>
  <c r="A332" i="35"/>
  <c r="V331" i="35"/>
  <c r="F331" i="35"/>
  <c r="C331" i="35"/>
  <c r="A331" i="35"/>
  <c r="A330" i="35"/>
  <c r="V329" i="35"/>
  <c r="U329" i="35"/>
  <c r="T329" i="35"/>
  <c r="O329" i="35"/>
  <c r="M329" i="35"/>
  <c r="L329" i="35"/>
  <c r="K329" i="35"/>
  <c r="I329" i="35"/>
  <c r="G329" i="35"/>
  <c r="F329" i="35"/>
  <c r="D329" i="35"/>
  <c r="C329" i="35"/>
  <c r="A329" i="35"/>
  <c r="V328" i="35"/>
  <c r="U328" i="35"/>
  <c r="T328" i="35"/>
  <c r="O328" i="35"/>
  <c r="M328" i="35"/>
  <c r="L328" i="35"/>
  <c r="K328" i="35"/>
  <c r="I328" i="35"/>
  <c r="G328" i="35"/>
  <c r="F328" i="35"/>
  <c r="D328" i="35"/>
  <c r="C328" i="35"/>
  <c r="A328" i="35"/>
  <c r="V327" i="35"/>
  <c r="U327" i="35"/>
  <c r="T327" i="35"/>
  <c r="O327" i="35"/>
  <c r="M327" i="35"/>
  <c r="L327" i="35"/>
  <c r="K327" i="35"/>
  <c r="I327" i="35"/>
  <c r="G327" i="35"/>
  <c r="F327" i="35"/>
  <c r="D327" i="35"/>
  <c r="C327" i="35"/>
  <c r="A327" i="35"/>
  <c r="V326" i="35"/>
  <c r="U326" i="35"/>
  <c r="T326" i="35"/>
  <c r="O326" i="35"/>
  <c r="M326" i="35"/>
  <c r="L326" i="35"/>
  <c r="K326" i="35"/>
  <c r="I326" i="35"/>
  <c r="G326" i="35"/>
  <c r="F326" i="35"/>
  <c r="D326" i="35"/>
  <c r="C326" i="35"/>
  <c r="A326" i="35"/>
  <c r="V325" i="35"/>
  <c r="U325" i="35"/>
  <c r="T325" i="35"/>
  <c r="O325" i="35"/>
  <c r="M325" i="35"/>
  <c r="L325" i="35"/>
  <c r="K325" i="35"/>
  <c r="I325" i="35"/>
  <c r="G325" i="35"/>
  <c r="F325" i="35"/>
  <c r="D325" i="35"/>
  <c r="C325" i="35"/>
  <c r="A325" i="35"/>
  <c r="V324" i="35"/>
  <c r="U324" i="35"/>
  <c r="T324" i="35"/>
  <c r="O324" i="35"/>
  <c r="M324" i="35"/>
  <c r="L324" i="35"/>
  <c r="K324" i="35"/>
  <c r="I324" i="35"/>
  <c r="G324" i="35"/>
  <c r="F324" i="35"/>
  <c r="D324" i="35"/>
  <c r="C324" i="35"/>
  <c r="A324" i="35"/>
  <c r="V323" i="35"/>
  <c r="U323" i="35"/>
  <c r="T323" i="35"/>
  <c r="O323" i="35"/>
  <c r="M323" i="35"/>
  <c r="L323" i="35"/>
  <c r="K323" i="35"/>
  <c r="I323" i="35"/>
  <c r="G323" i="35"/>
  <c r="F323" i="35"/>
  <c r="D323" i="35"/>
  <c r="C323" i="35"/>
  <c r="A323" i="35"/>
  <c r="V322" i="35"/>
  <c r="U322" i="35"/>
  <c r="T322" i="35"/>
  <c r="O322" i="35"/>
  <c r="M322" i="35"/>
  <c r="L322" i="35"/>
  <c r="K322" i="35"/>
  <c r="I322" i="35"/>
  <c r="G322" i="35"/>
  <c r="F322" i="35"/>
  <c r="D322" i="35"/>
  <c r="C322" i="35"/>
  <c r="A322" i="35"/>
  <c r="V321" i="35"/>
  <c r="U321" i="35"/>
  <c r="T321" i="35"/>
  <c r="O321" i="35"/>
  <c r="M321" i="35"/>
  <c r="L321" i="35"/>
  <c r="K321" i="35"/>
  <c r="I321" i="35"/>
  <c r="G321" i="35"/>
  <c r="F321" i="35"/>
  <c r="D321" i="35"/>
  <c r="C321" i="35"/>
  <c r="A321" i="35"/>
  <c r="V320" i="35"/>
  <c r="U320" i="35"/>
  <c r="T320" i="35"/>
  <c r="O320" i="35"/>
  <c r="M320" i="35"/>
  <c r="L320" i="35"/>
  <c r="K320" i="35"/>
  <c r="I320" i="35"/>
  <c r="G320" i="35"/>
  <c r="F320" i="35"/>
  <c r="D320" i="35"/>
  <c r="C320" i="35"/>
  <c r="A320" i="35"/>
  <c r="V319" i="35"/>
  <c r="U319" i="35"/>
  <c r="T319" i="35"/>
  <c r="O319" i="35"/>
  <c r="M319" i="35"/>
  <c r="L319" i="35"/>
  <c r="K319" i="35"/>
  <c r="I319" i="35"/>
  <c r="G319" i="35"/>
  <c r="F319" i="35"/>
  <c r="D319" i="35"/>
  <c r="C319" i="35"/>
  <c r="A319" i="35"/>
  <c r="V318" i="35"/>
  <c r="U318" i="35"/>
  <c r="T318" i="35"/>
  <c r="O318" i="35"/>
  <c r="M318" i="35"/>
  <c r="L318" i="35"/>
  <c r="K318" i="35"/>
  <c r="I318" i="35"/>
  <c r="G318" i="35"/>
  <c r="F318" i="35"/>
  <c r="D318" i="35"/>
  <c r="C318" i="35"/>
  <c r="A318" i="35"/>
  <c r="V317" i="35"/>
  <c r="U317" i="35"/>
  <c r="T317" i="35"/>
  <c r="O317" i="35"/>
  <c r="M317" i="35"/>
  <c r="L317" i="35"/>
  <c r="K317" i="35"/>
  <c r="I317" i="35"/>
  <c r="G317" i="35"/>
  <c r="F317" i="35"/>
  <c r="D317" i="35"/>
  <c r="C317" i="35"/>
  <c r="A317" i="35"/>
  <c r="V316" i="35"/>
  <c r="U316" i="35"/>
  <c r="T316" i="35"/>
  <c r="O316" i="35"/>
  <c r="M316" i="35"/>
  <c r="L316" i="35"/>
  <c r="K316" i="35"/>
  <c r="I316" i="35"/>
  <c r="G316" i="35"/>
  <c r="F316" i="35"/>
  <c r="D316" i="35"/>
  <c r="C316" i="35"/>
  <c r="A316" i="35"/>
  <c r="V315" i="35"/>
  <c r="U315" i="35"/>
  <c r="T315" i="35"/>
  <c r="O315" i="35"/>
  <c r="M315" i="35"/>
  <c r="L315" i="35"/>
  <c r="K315" i="35"/>
  <c r="I315" i="35"/>
  <c r="G315" i="35"/>
  <c r="F315" i="35"/>
  <c r="D315" i="35"/>
  <c r="C315" i="35"/>
  <c r="A315" i="35"/>
  <c r="V314" i="35"/>
  <c r="U314" i="35"/>
  <c r="T314" i="35"/>
  <c r="O314" i="35"/>
  <c r="M314" i="35"/>
  <c r="L314" i="35"/>
  <c r="K314" i="35"/>
  <c r="I314" i="35"/>
  <c r="G314" i="35"/>
  <c r="F314" i="35"/>
  <c r="D314" i="35"/>
  <c r="C314" i="35"/>
  <c r="A314" i="35"/>
  <c r="V313" i="35"/>
  <c r="U313" i="35"/>
  <c r="T313" i="35"/>
  <c r="O313" i="35"/>
  <c r="M313" i="35"/>
  <c r="L313" i="35"/>
  <c r="K313" i="35"/>
  <c r="I313" i="35"/>
  <c r="G313" i="35"/>
  <c r="F313" i="35"/>
  <c r="D313" i="35"/>
  <c r="C313" i="35"/>
  <c r="A313" i="35"/>
  <c r="V312" i="35"/>
  <c r="U312" i="35"/>
  <c r="T312" i="35"/>
  <c r="O312" i="35"/>
  <c r="M312" i="35"/>
  <c r="L312" i="35"/>
  <c r="K312" i="35"/>
  <c r="I312" i="35"/>
  <c r="G312" i="35"/>
  <c r="F312" i="35"/>
  <c r="D312" i="35"/>
  <c r="C312" i="35"/>
  <c r="A312" i="35"/>
  <c r="V311" i="35"/>
  <c r="U311" i="35"/>
  <c r="T311" i="35"/>
  <c r="O311" i="35"/>
  <c r="M311" i="35"/>
  <c r="L311" i="35"/>
  <c r="K311" i="35"/>
  <c r="I311" i="35"/>
  <c r="G311" i="35"/>
  <c r="F311" i="35"/>
  <c r="D311" i="35"/>
  <c r="C311" i="35"/>
  <c r="A311" i="35"/>
  <c r="V310" i="35"/>
  <c r="U310" i="35"/>
  <c r="T310" i="35"/>
  <c r="O310" i="35"/>
  <c r="M310" i="35"/>
  <c r="L310" i="35"/>
  <c r="K310" i="35"/>
  <c r="I310" i="35"/>
  <c r="G310" i="35"/>
  <c r="F310" i="35"/>
  <c r="D310" i="35"/>
  <c r="C310" i="35"/>
  <c r="A310" i="35"/>
  <c r="V309" i="35"/>
  <c r="U309" i="35"/>
  <c r="T309" i="35"/>
  <c r="O309" i="35"/>
  <c r="M309" i="35"/>
  <c r="L309" i="35"/>
  <c r="K309" i="35"/>
  <c r="I309" i="35"/>
  <c r="G309" i="35"/>
  <c r="F309" i="35"/>
  <c r="D309" i="35"/>
  <c r="C309" i="35"/>
  <c r="A309" i="35"/>
  <c r="V308" i="35"/>
  <c r="U308" i="35"/>
  <c r="T308" i="35"/>
  <c r="O308" i="35"/>
  <c r="M308" i="35"/>
  <c r="L308" i="35"/>
  <c r="K308" i="35"/>
  <c r="I308" i="35"/>
  <c r="G308" i="35"/>
  <c r="F308" i="35"/>
  <c r="D308" i="35"/>
  <c r="C308" i="35"/>
  <c r="A308" i="35"/>
  <c r="V307" i="35"/>
  <c r="U307" i="35"/>
  <c r="T307" i="35"/>
  <c r="O307" i="35"/>
  <c r="M307" i="35"/>
  <c r="L307" i="35"/>
  <c r="K307" i="35"/>
  <c r="I307" i="35"/>
  <c r="G307" i="35"/>
  <c r="F307" i="35"/>
  <c r="D307" i="35"/>
  <c r="C307" i="35"/>
  <c r="A307" i="35"/>
  <c r="V306" i="35"/>
  <c r="U306" i="35"/>
  <c r="T306" i="35"/>
  <c r="O306" i="35"/>
  <c r="M306" i="35"/>
  <c r="L306" i="35"/>
  <c r="K306" i="35"/>
  <c r="I306" i="35"/>
  <c r="G306" i="35"/>
  <c r="F306" i="35"/>
  <c r="D306" i="35"/>
  <c r="C306" i="35"/>
  <c r="A306" i="35"/>
  <c r="V305" i="35"/>
  <c r="U305" i="35"/>
  <c r="T305" i="35"/>
  <c r="O305" i="35"/>
  <c r="M305" i="35"/>
  <c r="L305" i="35"/>
  <c r="K305" i="35"/>
  <c r="I305" i="35"/>
  <c r="G305" i="35"/>
  <c r="F305" i="35"/>
  <c r="D305" i="35"/>
  <c r="C305" i="35"/>
  <c r="A305" i="35"/>
  <c r="V304" i="35"/>
  <c r="U304" i="35"/>
  <c r="T304" i="35"/>
  <c r="O304" i="35"/>
  <c r="M304" i="35"/>
  <c r="L304" i="35"/>
  <c r="K304" i="35"/>
  <c r="I304" i="35"/>
  <c r="G304" i="35"/>
  <c r="F304" i="35"/>
  <c r="D304" i="35"/>
  <c r="C304" i="35"/>
  <c r="A304" i="35"/>
  <c r="V303" i="35"/>
  <c r="U303" i="35"/>
  <c r="T303" i="35"/>
  <c r="O303" i="35"/>
  <c r="M303" i="35"/>
  <c r="L303" i="35"/>
  <c r="K303" i="35"/>
  <c r="I303" i="35"/>
  <c r="G303" i="35"/>
  <c r="F303" i="35"/>
  <c r="D303" i="35"/>
  <c r="C303" i="35"/>
  <c r="A303" i="35"/>
  <c r="V302" i="35"/>
  <c r="U302" i="35"/>
  <c r="T302" i="35"/>
  <c r="O302" i="35"/>
  <c r="M302" i="35"/>
  <c r="L302" i="35"/>
  <c r="K302" i="35"/>
  <c r="I302" i="35"/>
  <c r="G302" i="35"/>
  <c r="F302" i="35"/>
  <c r="D302" i="35"/>
  <c r="C302" i="35"/>
  <c r="A302" i="35"/>
  <c r="V301" i="35"/>
  <c r="U301" i="35"/>
  <c r="T301" i="35"/>
  <c r="O301" i="35"/>
  <c r="M301" i="35"/>
  <c r="L301" i="35"/>
  <c r="K301" i="35"/>
  <c r="I301" i="35"/>
  <c r="G301" i="35"/>
  <c r="F301" i="35"/>
  <c r="D301" i="35"/>
  <c r="C301" i="35"/>
  <c r="A301" i="35"/>
  <c r="V300" i="35"/>
  <c r="U300" i="35"/>
  <c r="T300" i="35"/>
  <c r="O300" i="35"/>
  <c r="M300" i="35"/>
  <c r="L300" i="35"/>
  <c r="K300" i="35"/>
  <c r="I300" i="35"/>
  <c r="G300" i="35"/>
  <c r="F300" i="35"/>
  <c r="D300" i="35"/>
  <c r="C300" i="35"/>
  <c r="A300" i="35"/>
  <c r="V299" i="35"/>
  <c r="U299" i="35"/>
  <c r="T299" i="35"/>
  <c r="O299" i="35"/>
  <c r="M299" i="35"/>
  <c r="L299" i="35"/>
  <c r="K299" i="35"/>
  <c r="I299" i="35"/>
  <c r="G299" i="35"/>
  <c r="F299" i="35"/>
  <c r="D299" i="35"/>
  <c r="C299" i="35"/>
  <c r="A299" i="35"/>
  <c r="V298" i="35"/>
  <c r="U298" i="35"/>
  <c r="T298" i="35"/>
  <c r="O298" i="35"/>
  <c r="M298" i="35"/>
  <c r="L298" i="35"/>
  <c r="K298" i="35"/>
  <c r="I298" i="35"/>
  <c r="G298" i="35"/>
  <c r="F298" i="35"/>
  <c r="D298" i="35"/>
  <c r="C298" i="35"/>
  <c r="A298" i="35"/>
  <c r="V297" i="35"/>
  <c r="U297" i="35"/>
  <c r="T297" i="35"/>
  <c r="O297" i="35"/>
  <c r="M297" i="35"/>
  <c r="L297" i="35"/>
  <c r="K297" i="35"/>
  <c r="I297" i="35"/>
  <c r="G297" i="35"/>
  <c r="F297" i="35"/>
  <c r="D297" i="35"/>
  <c r="C297" i="35"/>
  <c r="A297" i="35"/>
  <c r="V296" i="35"/>
  <c r="U296" i="35"/>
  <c r="T296" i="35"/>
  <c r="O296" i="35"/>
  <c r="M296" i="35"/>
  <c r="L296" i="35"/>
  <c r="K296" i="35"/>
  <c r="I296" i="35"/>
  <c r="G296" i="35"/>
  <c r="F296" i="35"/>
  <c r="D296" i="35"/>
  <c r="C296" i="35"/>
  <c r="A296" i="35"/>
  <c r="V295" i="35"/>
  <c r="U295" i="35"/>
  <c r="T295" i="35"/>
  <c r="O295" i="35"/>
  <c r="M295" i="35"/>
  <c r="L295" i="35"/>
  <c r="K295" i="35"/>
  <c r="I295" i="35"/>
  <c r="G295" i="35"/>
  <c r="F295" i="35"/>
  <c r="D295" i="35"/>
  <c r="C295" i="35"/>
  <c r="A295" i="35"/>
  <c r="V294" i="35"/>
  <c r="U294" i="35"/>
  <c r="T294" i="35"/>
  <c r="O294" i="35"/>
  <c r="M294" i="35"/>
  <c r="L294" i="35"/>
  <c r="K294" i="35"/>
  <c r="I294" i="35"/>
  <c r="G294" i="35"/>
  <c r="F294" i="35"/>
  <c r="D294" i="35"/>
  <c r="C294" i="35"/>
  <c r="A294" i="35"/>
  <c r="V293" i="35"/>
  <c r="U293" i="35"/>
  <c r="T293" i="35"/>
  <c r="O293" i="35"/>
  <c r="M293" i="35"/>
  <c r="L293" i="35"/>
  <c r="K293" i="35"/>
  <c r="I293" i="35"/>
  <c r="G293" i="35"/>
  <c r="F293" i="35"/>
  <c r="D293" i="35"/>
  <c r="C293" i="35"/>
  <c r="A293" i="35"/>
  <c r="V292" i="35"/>
  <c r="U292" i="35"/>
  <c r="T292" i="35"/>
  <c r="O292" i="35"/>
  <c r="M292" i="35"/>
  <c r="L292" i="35"/>
  <c r="K292" i="35"/>
  <c r="I292" i="35"/>
  <c r="G292" i="35"/>
  <c r="F292" i="35"/>
  <c r="D292" i="35"/>
  <c r="C292" i="35"/>
  <c r="A292" i="35"/>
  <c r="V291" i="35"/>
  <c r="U291" i="35"/>
  <c r="T291" i="35"/>
  <c r="O291" i="35"/>
  <c r="M291" i="35"/>
  <c r="L291" i="35"/>
  <c r="K291" i="35"/>
  <c r="I291" i="35"/>
  <c r="G291" i="35"/>
  <c r="F291" i="35"/>
  <c r="D291" i="35"/>
  <c r="C291" i="35"/>
  <c r="A291" i="35"/>
  <c r="V290" i="35"/>
  <c r="U290" i="35"/>
  <c r="T290" i="35"/>
  <c r="O290" i="35"/>
  <c r="M290" i="35"/>
  <c r="L290" i="35"/>
  <c r="K290" i="35"/>
  <c r="I290" i="35"/>
  <c r="G290" i="35"/>
  <c r="F290" i="35"/>
  <c r="D290" i="35"/>
  <c r="C290" i="35"/>
  <c r="A290" i="35"/>
  <c r="V289" i="35"/>
  <c r="U289" i="35"/>
  <c r="T289" i="35"/>
  <c r="O289" i="35"/>
  <c r="M289" i="35"/>
  <c r="L289" i="35"/>
  <c r="K289" i="35"/>
  <c r="I289" i="35"/>
  <c r="G289" i="35"/>
  <c r="F289" i="35"/>
  <c r="D289" i="35"/>
  <c r="C289" i="35"/>
  <c r="A289" i="35"/>
  <c r="V288" i="35"/>
  <c r="U288" i="35"/>
  <c r="T288" i="35"/>
  <c r="O288" i="35"/>
  <c r="M288" i="35"/>
  <c r="L288" i="35"/>
  <c r="K288" i="35"/>
  <c r="I288" i="35"/>
  <c r="G288" i="35"/>
  <c r="F288" i="35"/>
  <c r="D288" i="35"/>
  <c r="C288" i="35"/>
  <c r="A288" i="35"/>
  <c r="V287" i="35"/>
  <c r="U287" i="35"/>
  <c r="T287" i="35"/>
  <c r="O287" i="35"/>
  <c r="M287" i="35"/>
  <c r="L287" i="35"/>
  <c r="K287" i="35"/>
  <c r="I287" i="35"/>
  <c r="G287" i="35"/>
  <c r="F287" i="35"/>
  <c r="D287" i="35"/>
  <c r="C287" i="35"/>
  <c r="A287" i="35"/>
  <c r="V286" i="35"/>
  <c r="U286" i="35"/>
  <c r="T286" i="35"/>
  <c r="O286" i="35"/>
  <c r="M286" i="35"/>
  <c r="L286" i="35"/>
  <c r="K286" i="35"/>
  <c r="I286" i="35"/>
  <c r="G286" i="35"/>
  <c r="F286" i="35"/>
  <c r="D286" i="35"/>
  <c r="C286" i="35"/>
  <c r="A286" i="35"/>
  <c r="V285" i="35"/>
  <c r="U285" i="35"/>
  <c r="T285" i="35"/>
  <c r="O285" i="35"/>
  <c r="M285" i="35"/>
  <c r="L285" i="35"/>
  <c r="K285" i="35"/>
  <c r="I285" i="35"/>
  <c r="G285" i="35"/>
  <c r="F285" i="35"/>
  <c r="D285" i="35"/>
  <c r="C285" i="35"/>
  <c r="A285" i="35"/>
  <c r="V284" i="35"/>
  <c r="U284" i="35"/>
  <c r="T284" i="35"/>
  <c r="O284" i="35"/>
  <c r="M284" i="35"/>
  <c r="L284" i="35"/>
  <c r="K284" i="35"/>
  <c r="I284" i="35"/>
  <c r="G284" i="35"/>
  <c r="F284" i="35"/>
  <c r="D284" i="35"/>
  <c r="C284" i="35"/>
  <c r="A284" i="35"/>
  <c r="V283" i="35"/>
  <c r="U283" i="35"/>
  <c r="T283" i="35"/>
  <c r="O283" i="35"/>
  <c r="M283" i="35"/>
  <c r="L283" i="35"/>
  <c r="K283" i="35"/>
  <c r="I283" i="35"/>
  <c r="G283" i="35"/>
  <c r="F283" i="35"/>
  <c r="D283" i="35"/>
  <c r="C283" i="35"/>
  <c r="A283" i="35"/>
  <c r="V282" i="35"/>
  <c r="U282" i="35"/>
  <c r="T282" i="35"/>
  <c r="O282" i="35"/>
  <c r="M282" i="35"/>
  <c r="L282" i="35"/>
  <c r="K282" i="35"/>
  <c r="I282" i="35"/>
  <c r="G282" i="35"/>
  <c r="F282" i="35"/>
  <c r="D282" i="35"/>
  <c r="C282" i="35"/>
  <c r="A282" i="35"/>
  <c r="V281" i="35"/>
  <c r="U281" i="35"/>
  <c r="T281" i="35"/>
  <c r="O281" i="35"/>
  <c r="M281" i="35"/>
  <c r="L281" i="35"/>
  <c r="K281" i="35"/>
  <c r="I281" i="35"/>
  <c r="G281" i="35"/>
  <c r="F281" i="35"/>
  <c r="D281" i="35"/>
  <c r="C281" i="35"/>
  <c r="A281" i="35"/>
  <c r="V280" i="35"/>
  <c r="U280" i="35"/>
  <c r="T280" i="35"/>
  <c r="O280" i="35"/>
  <c r="M280" i="35"/>
  <c r="L280" i="35"/>
  <c r="K280" i="35"/>
  <c r="I280" i="35"/>
  <c r="G280" i="35"/>
  <c r="F280" i="35"/>
  <c r="D280" i="35"/>
  <c r="C280" i="35"/>
  <c r="A280" i="35"/>
  <c r="V279" i="35"/>
  <c r="U279" i="35"/>
  <c r="T279" i="35"/>
  <c r="O279" i="35"/>
  <c r="M279" i="35"/>
  <c r="L279" i="35"/>
  <c r="K279" i="35"/>
  <c r="I279" i="35"/>
  <c r="G279" i="35"/>
  <c r="F279" i="35"/>
  <c r="D279" i="35"/>
  <c r="C279" i="35"/>
  <c r="A279" i="35"/>
  <c r="V278" i="35"/>
  <c r="M278" i="35"/>
  <c r="A278" i="35"/>
  <c r="V277" i="35"/>
  <c r="A277" i="35"/>
  <c r="V276" i="35"/>
  <c r="F276" i="35"/>
  <c r="C276" i="35"/>
  <c r="A276" i="35"/>
  <c r="A275" i="35"/>
  <c r="V274" i="35"/>
  <c r="U274" i="35"/>
  <c r="T274" i="35"/>
  <c r="O274" i="35"/>
  <c r="M274" i="35"/>
  <c r="L274" i="35"/>
  <c r="K274" i="35"/>
  <c r="I274" i="35"/>
  <c r="G274" i="35"/>
  <c r="F274" i="35"/>
  <c r="D274" i="35"/>
  <c r="C274" i="35"/>
  <c r="A274" i="35"/>
  <c r="V273" i="35"/>
  <c r="U273" i="35"/>
  <c r="T273" i="35"/>
  <c r="O273" i="35"/>
  <c r="M273" i="35"/>
  <c r="L273" i="35"/>
  <c r="K273" i="35"/>
  <c r="I273" i="35"/>
  <c r="G273" i="35"/>
  <c r="F273" i="35"/>
  <c r="D273" i="35"/>
  <c r="C273" i="35"/>
  <c r="A273" i="35"/>
  <c r="V272" i="35"/>
  <c r="U272" i="35"/>
  <c r="T272" i="35"/>
  <c r="O272" i="35"/>
  <c r="M272" i="35"/>
  <c r="L272" i="35"/>
  <c r="K272" i="35"/>
  <c r="I272" i="35"/>
  <c r="G272" i="35"/>
  <c r="F272" i="35"/>
  <c r="D272" i="35"/>
  <c r="C272" i="35"/>
  <c r="A272" i="35"/>
  <c r="V271" i="35"/>
  <c r="U271" i="35"/>
  <c r="T271" i="35"/>
  <c r="O271" i="35"/>
  <c r="M271" i="35"/>
  <c r="L271" i="35"/>
  <c r="K271" i="35"/>
  <c r="I271" i="35"/>
  <c r="G271" i="35"/>
  <c r="F271" i="35"/>
  <c r="D271" i="35"/>
  <c r="C271" i="35"/>
  <c r="A271" i="35"/>
  <c r="V270" i="35"/>
  <c r="U270" i="35"/>
  <c r="T270" i="35"/>
  <c r="O270" i="35"/>
  <c r="M270" i="35"/>
  <c r="L270" i="35"/>
  <c r="K270" i="35"/>
  <c r="I270" i="35"/>
  <c r="G270" i="35"/>
  <c r="F270" i="35"/>
  <c r="D270" i="35"/>
  <c r="C270" i="35"/>
  <c r="A270" i="35"/>
  <c r="V269" i="35"/>
  <c r="U269" i="35"/>
  <c r="T269" i="35"/>
  <c r="O269" i="35"/>
  <c r="M269" i="35"/>
  <c r="L269" i="35"/>
  <c r="K269" i="35"/>
  <c r="I269" i="35"/>
  <c r="G269" i="35"/>
  <c r="F269" i="35"/>
  <c r="D269" i="35"/>
  <c r="C269" i="35"/>
  <c r="A269" i="35"/>
  <c r="V268" i="35"/>
  <c r="U268" i="35"/>
  <c r="T268" i="35"/>
  <c r="O268" i="35"/>
  <c r="M268" i="35"/>
  <c r="L268" i="35"/>
  <c r="K268" i="35"/>
  <c r="I268" i="35"/>
  <c r="G268" i="35"/>
  <c r="F268" i="35"/>
  <c r="D268" i="35"/>
  <c r="C268" i="35"/>
  <c r="A268" i="35"/>
  <c r="V267" i="35"/>
  <c r="M267" i="35"/>
  <c r="A267" i="35"/>
  <c r="V266" i="35"/>
  <c r="A266" i="35"/>
  <c r="V265" i="35"/>
  <c r="F265" i="35"/>
  <c r="C265" i="35"/>
  <c r="A265" i="35"/>
  <c r="A264" i="35"/>
  <c r="E262" i="35"/>
  <c r="C262" i="35"/>
  <c r="A262" i="35"/>
  <c r="V260" i="35"/>
  <c r="U260" i="35"/>
  <c r="T260" i="35"/>
  <c r="O260" i="35"/>
  <c r="M260" i="35"/>
  <c r="L260" i="35"/>
  <c r="K260" i="35"/>
  <c r="I260" i="35"/>
  <c r="G260" i="35"/>
  <c r="F260" i="35"/>
  <c r="D260" i="35"/>
  <c r="C260" i="35"/>
  <c r="A260" i="35"/>
  <c r="V259" i="35"/>
  <c r="U259" i="35"/>
  <c r="T259" i="35"/>
  <c r="O259" i="35"/>
  <c r="M259" i="35"/>
  <c r="L259" i="35"/>
  <c r="K259" i="35"/>
  <c r="I259" i="35"/>
  <c r="G259" i="35"/>
  <c r="F259" i="35"/>
  <c r="D259" i="35"/>
  <c r="C259" i="35"/>
  <c r="A259" i="35"/>
  <c r="V258" i="35"/>
  <c r="U258" i="35"/>
  <c r="T258" i="35"/>
  <c r="O258" i="35"/>
  <c r="M258" i="35"/>
  <c r="L258" i="35"/>
  <c r="K258" i="35"/>
  <c r="I258" i="35"/>
  <c r="G258" i="35"/>
  <c r="F258" i="35"/>
  <c r="D258" i="35"/>
  <c r="C258" i="35"/>
  <c r="A258" i="35"/>
  <c r="V257" i="35"/>
  <c r="U257" i="35"/>
  <c r="T257" i="35"/>
  <c r="O257" i="35"/>
  <c r="M257" i="35"/>
  <c r="L257" i="35"/>
  <c r="K257" i="35"/>
  <c r="I257" i="35"/>
  <c r="G257" i="35"/>
  <c r="F257" i="35"/>
  <c r="D257" i="35"/>
  <c r="C257" i="35"/>
  <c r="A257" i="35"/>
  <c r="V256" i="35"/>
  <c r="U256" i="35"/>
  <c r="T256" i="35"/>
  <c r="O256" i="35"/>
  <c r="M256" i="35"/>
  <c r="L256" i="35"/>
  <c r="K256" i="35"/>
  <c r="I256" i="35"/>
  <c r="G256" i="35"/>
  <c r="F256" i="35"/>
  <c r="D256" i="35"/>
  <c r="C256" i="35"/>
  <c r="A256" i="35"/>
  <c r="V255" i="35"/>
  <c r="U255" i="35"/>
  <c r="T255" i="35"/>
  <c r="O255" i="35"/>
  <c r="M255" i="35"/>
  <c r="L255" i="35"/>
  <c r="K255" i="35"/>
  <c r="I255" i="35"/>
  <c r="G255" i="35"/>
  <c r="F255" i="35"/>
  <c r="D255" i="35"/>
  <c r="C255" i="35"/>
  <c r="A255" i="35"/>
  <c r="V254" i="35"/>
  <c r="U254" i="35"/>
  <c r="T254" i="35"/>
  <c r="O254" i="35"/>
  <c r="M254" i="35"/>
  <c r="L254" i="35"/>
  <c r="K254" i="35"/>
  <c r="I254" i="35"/>
  <c r="G254" i="35"/>
  <c r="F254" i="35"/>
  <c r="D254" i="35"/>
  <c r="C254" i="35"/>
  <c r="A254" i="35"/>
  <c r="V253" i="35"/>
  <c r="U253" i="35"/>
  <c r="T253" i="35"/>
  <c r="O253" i="35"/>
  <c r="M253" i="35"/>
  <c r="L253" i="35"/>
  <c r="K253" i="35"/>
  <c r="I253" i="35"/>
  <c r="G253" i="35"/>
  <c r="F253" i="35"/>
  <c r="D253" i="35"/>
  <c r="C253" i="35"/>
  <c r="A253" i="35"/>
  <c r="V252" i="35"/>
  <c r="U252" i="35"/>
  <c r="T252" i="35"/>
  <c r="O252" i="35"/>
  <c r="M252" i="35"/>
  <c r="L252" i="35"/>
  <c r="K252" i="35"/>
  <c r="I252" i="35"/>
  <c r="G252" i="35"/>
  <c r="F252" i="35"/>
  <c r="D252" i="35"/>
  <c r="C252" i="35"/>
  <c r="A252" i="35"/>
  <c r="V251" i="35"/>
  <c r="U251" i="35"/>
  <c r="T251" i="35"/>
  <c r="O251" i="35"/>
  <c r="M251" i="35"/>
  <c r="L251" i="35"/>
  <c r="K251" i="35"/>
  <c r="I251" i="35"/>
  <c r="G251" i="35"/>
  <c r="F251" i="35"/>
  <c r="D251" i="35"/>
  <c r="C251" i="35"/>
  <c r="A251" i="35"/>
  <c r="V250" i="35"/>
  <c r="U250" i="35"/>
  <c r="T250" i="35"/>
  <c r="O250" i="35"/>
  <c r="M250" i="35"/>
  <c r="L250" i="35"/>
  <c r="K250" i="35"/>
  <c r="I250" i="35"/>
  <c r="G250" i="35"/>
  <c r="F250" i="35"/>
  <c r="D250" i="35"/>
  <c r="C250" i="35"/>
  <c r="A250" i="35"/>
  <c r="V249" i="35"/>
  <c r="U249" i="35"/>
  <c r="T249" i="35"/>
  <c r="O249" i="35"/>
  <c r="M249" i="35"/>
  <c r="L249" i="35"/>
  <c r="K249" i="35"/>
  <c r="I249" i="35"/>
  <c r="G249" i="35"/>
  <c r="F249" i="35"/>
  <c r="D249" i="35"/>
  <c r="C249" i="35"/>
  <c r="A249" i="35"/>
  <c r="V248" i="35"/>
  <c r="U248" i="35"/>
  <c r="T248" i="35"/>
  <c r="O248" i="35"/>
  <c r="M248" i="35"/>
  <c r="L248" i="35"/>
  <c r="K248" i="35"/>
  <c r="I248" i="35"/>
  <c r="G248" i="35"/>
  <c r="F248" i="35"/>
  <c r="D248" i="35"/>
  <c r="C248" i="35"/>
  <c r="A248" i="35"/>
  <c r="V247" i="35"/>
  <c r="M247" i="35"/>
  <c r="A247" i="35"/>
  <c r="V246" i="35"/>
  <c r="A246" i="35"/>
  <c r="V245" i="35"/>
  <c r="F245" i="35"/>
  <c r="C245" i="35"/>
  <c r="A245" i="35"/>
  <c r="A244" i="35"/>
  <c r="V243" i="35"/>
  <c r="U243" i="35"/>
  <c r="T243" i="35"/>
  <c r="O243" i="35"/>
  <c r="M243" i="35"/>
  <c r="L243" i="35"/>
  <c r="K243" i="35"/>
  <c r="I243" i="35"/>
  <c r="G243" i="35"/>
  <c r="F243" i="35"/>
  <c r="D243" i="35"/>
  <c r="C243" i="35"/>
  <c r="A243" i="35"/>
  <c r="V242" i="35"/>
  <c r="U242" i="35"/>
  <c r="T242" i="35"/>
  <c r="O242" i="35"/>
  <c r="M242" i="35"/>
  <c r="L242" i="35"/>
  <c r="K242" i="35"/>
  <c r="I242" i="35"/>
  <c r="G242" i="35"/>
  <c r="F242" i="35"/>
  <c r="D242" i="35"/>
  <c r="C242" i="35"/>
  <c r="A242" i="35"/>
  <c r="V241" i="35"/>
  <c r="U241" i="35"/>
  <c r="T241" i="35"/>
  <c r="O241" i="35"/>
  <c r="M241" i="35"/>
  <c r="L241" i="35"/>
  <c r="K241" i="35"/>
  <c r="I241" i="35"/>
  <c r="G241" i="35"/>
  <c r="F241" i="35"/>
  <c r="D241" i="35"/>
  <c r="C241" i="35"/>
  <c r="A241" i="35"/>
  <c r="V240" i="35"/>
  <c r="U240" i="35"/>
  <c r="T240" i="35"/>
  <c r="O240" i="35"/>
  <c r="M240" i="35"/>
  <c r="L240" i="35"/>
  <c r="K240" i="35"/>
  <c r="I240" i="35"/>
  <c r="G240" i="35"/>
  <c r="F240" i="35"/>
  <c r="D240" i="35"/>
  <c r="C240" i="35"/>
  <c r="A240" i="35"/>
  <c r="V239" i="35"/>
  <c r="U239" i="35"/>
  <c r="T239" i="35"/>
  <c r="O239" i="35"/>
  <c r="M239" i="35"/>
  <c r="L239" i="35"/>
  <c r="K239" i="35"/>
  <c r="I239" i="35"/>
  <c r="G239" i="35"/>
  <c r="F239" i="35"/>
  <c r="D239" i="35"/>
  <c r="C239" i="35"/>
  <c r="A239" i="35"/>
  <c r="V238" i="35"/>
  <c r="U238" i="35"/>
  <c r="T238" i="35"/>
  <c r="O238" i="35"/>
  <c r="M238" i="35"/>
  <c r="L238" i="35"/>
  <c r="K238" i="35"/>
  <c r="I238" i="35"/>
  <c r="G238" i="35"/>
  <c r="F238" i="35"/>
  <c r="D238" i="35"/>
  <c r="C238" i="35"/>
  <c r="A238" i="35"/>
  <c r="V237" i="35"/>
  <c r="U237" i="35"/>
  <c r="T237" i="35"/>
  <c r="O237" i="35"/>
  <c r="M237" i="35"/>
  <c r="L237" i="35"/>
  <c r="K237" i="35"/>
  <c r="I237" i="35"/>
  <c r="G237" i="35"/>
  <c r="F237" i="35"/>
  <c r="D237" i="35"/>
  <c r="C237" i="35"/>
  <c r="A237" i="35"/>
  <c r="V236" i="35"/>
  <c r="U236" i="35"/>
  <c r="T236" i="35"/>
  <c r="O236" i="35"/>
  <c r="M236" i="35"/>
  <c r="L236" i="35"/>
  <c r="K236" i="35"/>
  <c r="I236" i="35"/>
  <c r="G236" i="35"/>
  <c r="F236" i="35"/>
  <c r="D236" i="35"/>
  <c r="C236" i="35"/>
  <c r="A236" i="35"/>
  <c r="V235" i="35"/>
  <c r="U235" i="35"/>
  <c r="T235" i="35"/>
  <c r="O235" i="35"/>
  <c r="M235" i="35"/>
  <c r="L235" i="35"/>
  <c r="K235" i="35"/>
  <c r="I235" i="35"/>
  <c r="G235" i="35"/>
  <c r="F235" i="35"/>
  <c r="D235" i="35"/>
  <c r="C235" i="35"/>
  <c r="A235" i="35"/>
  <c r="V234" i="35"/>
  <c r="U234" i="35"/>
  <c r="T234" i="35"/>
  <c r="O234" i="35"/>
  <c r="M234" i="35"/>
  <c r="L234" i="35"/>
  <c r="K234" i="35"/>
  <c r="I234" i="35"/>
  <c r="G234" i="35"/>
  <c r="F234" i="35"/>
  <c r="D234" i="35"/>
  <c r="C234" i="35"/>
  <c r="A234" i="35"/>
  <c r="V233" i="35"/>
  <c r="U233" i="35"/>
  <c r="T233" i="35"/>
  <c r="O233" i="35"/>
  <c r="M233" i="35"/>
  <c r="L233" i="35"/>
  <c r="K233" i="35"/>
  <c r="I233" i="35"/>
  <c r="G233" i="35"/>
  <c r="F233" i="35"/>
  <c r="D233" i="35"/>
  <c r="C233" i="35"/>
  <c r="A233" i="35"/>
  <c r="V232" i="35"/>
  <c r="U232" i="35"/>
  <c r="T232" i="35"/>
  <c r="O232" i="35"/>
  <c r="M232" i="35"/>
  <c r="L232" i="35"/>
  <c r="K232" i="35"/>
  <c r="I232" i="35"/>
  <c r="G232" i="35"/>
  <c r="F232" i="35"/>
  <c r="D232" i="35"/>
  <c r="C232" i="35"/>
  <c r="A232" i="35"/>
  <c r="V231" i="35"/>
  <c r="U231" i="35"/>
  <c r="T231" i="35"/>
  <c r="O231" i="35"/>
  <c r="M231" i="35"/>
  <c r="L231" i="35"/>
  <c r="K231" i="35"/>
  <c r="I231" i="35"/>
  <c r="G231" i="35"/>
  <c r="F231" i="35"/>
  <c r="D231" i="35"/>
  <c r="C231" i="35"/>
  <c r="A231" i="35"/>
  <c r="V230" i="35"/>
  <c r="U230" i="35"/>
  <c r="T230" i="35"/>
  <c r="O230" i="35"/>
  <c r="M230" i="35"/>
  <c r="L230" i="35"/>
  <c r="K230" i="35"/>
  <c r="I230" i="35"/>
  <c r="G230" i="35"/>
  <c r="F230" i="35"/>
  <c r="D230" i="35"/>
  <c r="C230" i="35"/>
  <c r="A230" i="35"/>
  <c r="V229" i="35"/>
  <c r="U229" i="35"/>
  <c r="T229" i="35"/>
  <c r="O229" i="35"/>
  <c r="M229" i="35"/>
  <c r="L229" i="35"/>
  <c r="K229" i="35"/>
  <c r="I229" i="35"/>
  <c r="G229" i="35"/>
  <c r="F229" i="35"/>
  <c r="D229" i="35"/>
  <c r="C229" i="35"/>
  <c r="A229" i="35"/>
  <c r="V228" i="35"/>
  <c r="U228" i="35"/>
  <c r="T228" i="35"/>
  <c r="O228" i="35"/>
  <c r="M228" i="35"/>
  <c r="L228" i="35"/>
  <c r="K228" i="35"/>
  <c r="I228" i="35"/>
  <c r="G228" i="35"/>
  <c r="F228" i="35"/>
  <c r="D228" i="35"/>
  <c r="C228" i="35"/>
  <c r="A228" i="35"/>
  <c r="V227" i="35"/>
  <c r="U227" i="35"/>
  <c r="T227" i="35"/>
  <c r="O227" i="35"/>
  <c r="M227" i="35"/>
  <c r="L227" i="35"/>
  <c r="K227" i="35"/>
  <c r="I227" i="35"/>
  <c r="G227" i="35"/>
  <c r="F227" i="35"/>
  <c r="D227" i="35"/>
  <c r="C227" i="35"/>
  <c r="A227" i="35"/>
  <c r="V226" i="35"/>
  <c r="U226" i="35"/>
  <c r="T226" i="35"/>
  <c r="O226" i="35"/>
  <c r="M226" i="35"/>
  <c r="L226" i="35"/>
  <c r="K226" i="35"/>
  <c r="I226" i="35"/>
  <c r="G226" i="35"/>
  <c r="F226" i="35"/>
  <c r="D226" i="35"/>
  <c r="C226" i="35"/>
  <c r="A226" i="35"/>
  <c r="V225" i="35"/>
  <c r="U225" i="35"/>
  <c r="T225" i="35"/>
  <c r="O225" i="35"/>
  <c r="M225" i="35"/>
  <c r="L225" i="35"/>
  <c r="K225" i="35"/>
  <c r="I225" i="35"/>
  <c r="G225" i="35"/>
  <c r="F225" i="35"/>
  <c r="D225" i="35"/>
  <c r="C225" i="35"/>
  <c r="A225" i="35"/>
  <c r="V224" i="35"/>
  <c r="U224" i="35"/>
  <c r="T224" i="35"/>
  <c r="O224" i="35"/>
  <c r="M224" i="35"/>
  <c r="L224" i="35"/>
  <c r="K224" i="35"/>
  <c r="I224" i="35"/>
  <c r="G224" i="35"/>
  <c r="F224" i="35"/>
  <c r="D224" i="35"/>
  <c r="C224" i="35"/>
  <c r="A224" i="35"/>
  <c r="V223" i="35"/>
  <c r="U223" i="35"/>
  <c r="T223" i="35"/>
  <c r="O223" i="35"/>
  <c r="M223" i="35"/>
  <c r="L223" i="35"/>
  <c r="K223" i="35"/>
  <c r="I223" i="35"/>
  <c r="G223" i="35"/>
  <c r="F223" i="35"/>
  <c r="D223" i="35"/>
  <c r="C223" i="35"/>
  <c r="A223" i="35"/>
  <c r="V222" i="35"/>
  <c r="U222" i="35"/>
  <c r="T222" i="35"/>
  <c r="O222" i="35"/>
  <c r="M222" i="35"/>
  <c r="L222" i="35"/>
  <c r="K222" i="35"/>
  <c r="I222" i="35"/>
  <c r="G222" i="35"/>
  <c r="F222" i="35"/>
  <c r="D222" i="35"/>
  <c r="C222" i="35"/>
  <c r="A222" i="35"/>
  <c r="V221" i="35"/>
  <c r="U221" i="35"/>
  <c r="T221" i="35"/>
  <c r="O221" i="35"/>
  <c r="M221" i="35"/>
  <c r="L221" i="35"/>
  <c r="K221" i="35"/>
  <c r="I221" i="35"/>
  <c r="G221" i="35"/>
  <c r="F221" i="35"/>
  <c r="D221" i="35"/>
  <c r="C221" i="35"/>
  <c r="A221" i="35"/>
  <c r="V220" i="35"/>
  <c r="U220" i="35"/>
  <c r="T220" i="35"/>
  <c r="O220" i="35"/>
  <c r="M220" i="35"/>
  <c r="L220" i="35"/>
  <c r="K220" i="35"/>
  <c r="I220" i="35"/>
  <c r="G220" i="35"/>
  <c r="F220" i="35"/>
  <c r="D220" i="35"/>
  <c r="C220" i="35"/>
  <c r="A220" i="35"/>
  <c r="V219" i="35"/>
  <c r="U219" i="35"/>
  <c r="T219" i="35"/>
  <c r="O219" i="35"/>
  <c r="M219" i="35"/>
  <c r="L219" i="35"/>
  <c r="K219" i="35"/>
  <c r="I219" i="35"/>
  <c r="G219" i="35"/>
  <c r="F219" i="35"/>
  <c r="D219" i="35"/>
  <c r="C219" i="35"/>
  <c r="A219" i="35"/>
  <c r="V218" i="35"/>
  <c r="U218" i="35"/>
  <c r="T218" i="35"/>
  <c r="O218" i="35"/>
  <c r="M218" i="35"/>
  <c r="L218" i="35"/>
  <c r="K218" i="35"/>
  <c r="I218" i="35"/>
  <c r="G218" i="35"/>
  <c r="F218" i="35"/>
  <c r="D218" i="35"/>
  <c r="C218" i="35"/>
  <c r="A218" i="35"/>
  <c r="V217" i="35"/>
  <c r="U217" i="35"/>
  <c r="T217" i="35"/>
  <c r="O217" i="35"/>
  <c r="M217" i="35"/>
  <c r="L217" i="35"/>
  <c r="K217" i="35"/>
  <c r="I217" i="35"/>
  <c r="G217" i="35"/>
  <c r="F217" i="35"/>
  <c r="D217" i="35"/>
  <c r="C217" i="35"/>
  <c r="A217" i="35"/>
  <c r="V216" i="35"/>
  <c r="U216" i="35"/>
  <c r="T216" i="35"/>
  <c r="O216" i="35"/>
  <c r="M216" i="35"/>
  <c r="L216" i="35"/>
  <c r="K216" i="35"/>
  <c r="I216" i="35"/>
  <c r="G216" i="35"/>
  <c r="F216" i="35"/>
  <c r="D216" i="35"/>
  <c r="C216" i="35"/>
  <c r="A216" i="35"/>
  <c r="V215" i="35"/>
  <c r="U215" i="35"/>
  <c r="T215" i="35"/>
  <c r="O215" i="35"/>
  <c r="M215" i="35"/>
  <c r="L215" i="35"/>
  <c r="K215" i="35"/>
  <c r="I215" i="35"/>
  <c r="G215" i="35"/>
  <c r="F215" i="35"/>
  <c r="D215" i="35"/>
  <c r="C215" i="35"/>
  <c r="A215" i="35"/>
  <c r="V214" i="35"/>
  <c r="U214" i="35"/>
  <c r="T214" i="35"/>
  <c r="O214" i="35"/>
  <c r="M214" i="35"/>
  <c r="L214" i="35"/>
  <c r="K214" i="35"/>
  <c r="I214" i="35"/>
  <c r="G214" i="35"/>
  <c r="F214" i="35"/>
  <c r="D214" i="35"/>
  <c r="C214" i="35"/>
  <c r="A214" i="35"/>
  <c r="V213" i="35"/>
  <c r="U213" i="35"/>
  <c r="T213" i="35"/>
  <c r="O213" i="35"/>
  <c r="M213" i="35"/>
  <c r="L213" i="35"/>
  <c r="K213" i="35"/>
  <c r="I213" i="35"/>
  <c r="G213" i="35"/>
  <c r="F213" i="35"/>
  <c r="D213" i="35"/>
  <c r="C213" i="35"/>
  <c r="A213" i="35"/>
  <c r="V212" i="35"/>
  <c r="U212" i="35"/>
  <c r="T212" i="35"/>
  <c r="O212" i="35"/>
  <c r="M212" i="35"/>
  <c r="L212" i="35"/>
  <c r="K212" i="35"/>
  <c r="I212" i="35"/>
  <c r="G212" i="35"/>
  <c r="F212" i="35"/>
  <c r="D212" i="35"/>
  <c r="C212" i="35"/>
  <c r="A212" i="35"/>
  <c r="V211" i="35"/>
  <c r="U211" i="35"/>
  <c r="T211" i="35"/>
  <c r="O211" i="35"/>
  <c r="M211" i="35"/>
  <c r="L211" i="35"/>
  <c r="K211" i="35"/>
  <c r="I211" i="35"/>
  <c r="G211" i="35"/>
  <c r="F211" i="35"/>
  <c r="D211" i="35"/>
  <c r="C211" i="35"/>
  <c r="A211" i="35"/>
  <c r="V210" i="35"/>
  <c r="U210" i="35"/>
  <c r="T210" i="35"/>
  <c r="O210" i="35"/>
  <c r="M210" i="35"/>
  <c r="L210" i="35"/>
  <c r="K210" i="35"/>
  <c r="I210" i="35"/>
  <c r="G210" i="35"/>
  <c r="F210" i="35"/>
  <c r="D210" i="35"/>
  <c r="C210" i="35"/>
  <c r="A210" i="35"/>
  <c r="V209" i="35"/>
  <c r="U209" i="35"/>
  <c r="T209" i="35"/>
  <c r="O209" i="35"/>
  <c r="M209" i="35"/>
  <c r="L209" i="35"/>
  <c r="K209" i="35"/>
  <c r="I209" i="35"/>
  <c r="G209" i="35"/>
  <c r="F209" i="35"/>
  <c r="D209" i="35"/>
  <c r="C209" i="35"/>
  <c r="A209" i="35"/>
  <c r="V208" i="35"/>
  <c r="U208" i="35"/>
  <c r="T208" i="35"/>
  <c r="O208" i="35"/>
  <c r="M208" i="35"/>
  <c r="L208" i="35"/>
  <c r="K208" i="35"/>
  <c r="I208" i="35"/>
  <c r="G208" i="35"/>
  <c r="F208" i="35"/>
  <c r="D208" i="35"/>
  <c r="C208" i="35"/>
  <c r="A208" i="35"/>
  <c r="V207" i="35"/>
  <c r="U207" i="35"/>
  <c r="T207" i="35"/>
  <c r="O207" i="35"/>
  <c r="M207" i="35"/>
  <c r="L207" i="35"/>
  <c r="K207" i="35"/>
  <c r="I207" i="35"/>
  <c r="G207" i="35"/>
  <c r="F207" i="35"/>
  <c r="D207" i="35"/>
  <c r="C207" i="35"/>
  <c r="A207" i="35"/>
  <c r="V206" i="35"/>
  <c r="U206" i="35"/>
  <c r="T206" i="35"/>
  <c r="O206" i="35"/>
  <c r="M206" i="35"/>
  <c r="L206" i="35"/>
  <c r="K206" i="35"/>
  <c r="I206" i="35"/>
  <c r="G206" i="35"/>
  <c r="F206" i="35"/>
  <c r="D206" i="35"/>
  <c r="C206" i="35"/>
  <c r="A206" i="35"/>
  <c r="V205" i="35"/>
  <c r="U205" i="35"/>
  <c r="T205" i="35"/>
  <c r="O205" i="35"/>
  <c r="M205" i="35"/>
  <c r="L205" i="35"/>
  <c r="K205" i="35"/>
  <c r="I205" i="35"/>
  <c r="G205" i="35"/>
  <c r="F205" i="35"/>
  <c r="D205" i="35"/>
  <c r="C205" i="35"/>
  <c r="A205" i="35"/>
  <c r="V204" i="35"/>
  <c r="U204" i="35"/>
  <c r="T204" i="35"/>
  <c r="O204" i="35"/>
  <c r="M204" i="35"/>
  <c r="L204" i="35"/>
  <c r="K204" i="35"/>
  <c r="I204" i="35"/>
  <c r="G204" i="35"/>
  <c r="F204" i="35"/>
  <c r="D204" i="35"/>
  <c r="C204" i="35"/>
  <c r="A204" i="35"/>
  <c r="V203" i="35"/>
  <c r="U203" i="35"/>
  <c r="T203" i="35"/>
  <c r="O203" i="35"/>
  <c r="M203" i="35"/>
  <c r="L203" i="35"/>
  <c r="K203" i="35"/>
  <c r="I203" i="35"/>
  <c r="G203" i="35"/>
  <c r="F203" i="35"/>
  <c r="D203" i="35"/>
  <c r="C203" i="35"/>
  <c r="A203" i="35"/>
  <c r="V202" i="35"/>
  <c r="U202" i="35"/>
  <c r="T202" i="35"/>
  <c r="O202" i="35"/>
  <c r="M202" i="35"/>
  <c r="L202" i="35"/>
  <c r="K202" i="35"/>
  <c r="I202" i="35"/>
  <c r="G202" i="35"/>
  <c r="F202" i="35"/>
  <c r="D202" i="35"/>
  <c r="C202" i="35"/>
  <c r="A202" i="35"/>
  <c r="V201" i="35"/>
  <c r="U201" i="35"/>
  <c r="T201" i="35"/>
  <c r="O201" i="35"/>
  <c r="M201" i="35"/>
  <c r="L201" i="35"/>
  <c r="K201" i="35"/>
  <c r="I201" i="35"/>
  <c r="G201" i="35"/>
  <c r="F201" i="35"/>
  <c r="D201" i="35"/>
  <c r="C201" i="35"/>
  <c r="A201" i="35"/>
  <c r="V200" i="35"/>
  <c r="U200" i="35"/>
  <c r="T200" i="35"/>
  <c r="O200" i="35"/>
  <c r="M200" i="35"/>
  <c r="L200" i="35"/>
  <c r="K200" i="35"/>
  <c r="I200" i="35"/>
  <c r="G200" i="35"/>
  <c r="F200" i="35"/>
  <c r="D200" i="35"/>
  <c r="C200" i="35"/>
  <c r="A200" i="35"/>
  <c r="V199" i="35"/>
  <c r="U199" i="35"/>
  <c r="T199" i="35"/>
  <c r="O199" i="35"/>
  <c r="M199" i="35"/>
  <c r="L199" i="35"/>
  <c r="K199" i="35"/>
  <c r="I199" i="35"/>
  <c r="G199" i="35"/>
  <c r="F199" i="35"/>
  <c r="D199" i="35"/>
  <c r="C199" i="35"/>
  <c r="A199" i="35"/>
  <c r="V198" i="35"/>
  <c r="U198" i="35"/>
  <c r="T198" i="35"/>
  <c r="O198" i="35"/>
  <c r="M198" i="35"/>
  <c r="L198" i="35"/>
  <c r="K198" i="35"/>
  <c r="I198" i="35"/>
  <c r="G198" i="35"/>
  <c r="F198" i="35"/>
  <c r="D198" i="35"/>
  <c r="C198" i="35"/>
  <c r="A198" i="35"/>
  <c r="V197" i="35"/>
  <c r="M197" i="35"/>
  <c r="A197" i="35"/>
  <c r="V196" i="35"/>
  <c r="A196" i="35"/>
  <c r="V195" i="35"/>
  <c r="F195" i="35"/>
  <c r="C195" i="35"/>
  <c r="A195" i="35"/>
  <c r="A194" i="35"/>
  <c r="V193" i="35"/>
  <c r="U193" i="35"/>
  <c r="T193" i="35"/>
  <c r="O193" i="35"/>
  <c r="M193" i="35"/>
  <c r="L193" i="35"/>
  <c r="K193" i="35"/>
  <c r="I193" i="35"/>
  <c r="G193" i="35"/>
  <c r="F193" i="35"/>
  <c r="D193" i="35"/>
  <c r="C193" i="35"/>
  <c r="A193" i="35"/>
  <c r="V192" i="35"/>
  <c r="U192" i="35"/>
  <c r="T192" i="35"/>
  <c r="O192" i="35"/>
  <c r="M192" i="35"/>
  <c r="L192" i="35"/>
  <c r="K192" i="35"/>
  <c r="I192" i="35"/>
  <c r="G192" i="35"/>
  <c r="F192" i="35"/>
  <c r="D192" i="35"/>
  <c r="C192" i="35"/>
  <c r="A192" i="35"/>
  <c r="V191" i="35"/>
  <c r="U191" i="35"/>
  <c r="T191" i="35"/>
  <c r="O191" i="35"/>
  <c r="M191" i="35"/>
  <c r="L191" i="35"/>
  <c r="K191" i="35"/>
  <c r="I191" i="35"/>
  <c r="G191" i="35"/>
  <c r="F191" i="35"/>
  <c r="D191" i="35"/>
  <c r="C191" i="35"/>
  <c r="A191" i="35"/>
  <c r="V190" i="35"/>
  <c r="U190" i="35"/>
  <c r="T190" i="35"/>
  <c r="O190" i="35"/>
  <c r="M190" i="35"/>
  <c r="L190" i="35"/>
  <c r="K190" i="35"/>
  <c r="I190" i="35"/>
  <c r="G190" i="35"/>
  <c r="F190" i="35"/>
  <c r="D190" i="35"/>
  <c r="C190" i="35"/>
  <c r="A190" i="35"/>
  <c r="V189" i="35"/>
  <c r="U189" i="35"/>
  <c r="T189" i="35"/>
  <c r="O189" i="35"/>
  <c r="M189" i="35"/>
  <c r="L189" i="35"/>
  <c r="K189" i="35"/>
  <c r="I189" i="35"/>
  <c r="G189" i="35"/>
  <c r="F189" i="35"/>
  <c r="D189" i="35"/>
  <c r="C189" i="35"/>
  <c r="A189" i="35"/>
  <c r="V188" i="35"/>
  <c r="U188" i="35"/>
  <c r="T188" i="35"/>
  <c r="O188" i="35"/>
  <c r="M188" i="35"/>
  <c r="L188" i="35"/>
  <c r="K188" i="35"/>
  <c r="I188" i="35"/>
  <c r="G188" i="35"/>
  <c r="F188" i="35"/>
  <c r="D188" i="35"/>
  <c r="C188" i="35"/>
  <c r="A188" i="35"/>
  <c r="V187" i="35"/>
  <c r="U187" i="35"/>
  <c r="T187" i="35"/>
  <c r="O187" i="35"/>
  <c r="M187" i="35"/>
  <c r="L187" i="35"/>
  <c r="K187" i="35"/>
  <c r="I187" i="35"/>
  <c r="G187" i="35"/>
  <c r="F187" i="35"/>
  <c r="D187" i="35"/>
  <c r="C187" i="35"/>
  <c r="A187" i="35"/>
  <c r="V186" i="35"/>
  <c r="U186" i="35"/>
  <c r="T186" i="35"/>
  <c r="O186" i="35"/>
  <c r="M186" i="35"/>
  <c r="L186" i="35"/>
  <c r="K186" i="35"/>
  <c r="I186" i="35"/>
  <c r="G186" i="35"/>
  <c r="F186" i="35"/>
  <c r="D186" i="35"/>
  <c r="C186" i="35"/>
  <c r="A186" i="35"/>
  <c r="V185" i="35"/>
  <c r="U185" i="35"/>
  <c r="T185" i="35"/>
  <c r="O185" i="35"/>
  <c r="M185" i="35"/>
  <c r="L185" i="35"/>
  <c r="K185" i="35"/>
  <c r="I185" i="35"/>
  <c r="G185" i="35"/>
  <c r="F185" i="35"/>
  <c r="D185" i="35"/>
  <c r="C185" i="35"/>
  <c r="A185" i="35"/>
  <c r="V184" i="35"/>
  <c r="U184" i="35"/>
  <c r="T184" i="35"/>
  <c r="O184" i="35"/>
  <c r="M184" i="35"/>
  <c r="L184" i="35"/>
  <c r="K184" i="35"/>
  <c r="I184" i="35"/>
  <c r="G184" i="35"/>
  <c r="F184" i="35"/>
  <c r="D184" i="35"/>
  <c r="C184" i="35"/>
  <c r="A184" i="35"/>
  <c r="V183" i="35"/>
  <c r="U183" i="35"/>
  <c r="T183" i="35"/>
  <c r="O183" i="35"/>
  <c r="M183" i="35"/>
  <c r="L183" i="35"/>
  <c r="K183" i="35"/>
  <c r="I183" i="35"/>
  <c r="G183" i="35"/>
  <c r="F183" i="35"/>
  <c r="D183" i="35"/>
  <c r="C183" i="35"/>
  <c r="A183" i="35"/>
  <c r="V182" i="35"/>
  <c r="U182" i="35"/>
  <c r="T182" i="35"/>
  <c r="O182" i="35"/>
  <c r="M182" i="35"/>
  <c r="L182" i="35"/>
  <c r="K182" i="35"/>
  <c r="I182" i="35"/>
  <c r="G182" i="35"/>
  <c r="F182" i="35"/>
  <c r="D182" i="35"/>
  <c r="C182" i="35"/>
  <c r="A182" i="35"/>
  <c r="V181" i="35"/>
  <c r="U181" i="35"/>
  <c r="T181" i="35"/>
  <c r="O181" i="35"/>
  <c r="M181" i="35"/>
  <c r="L181" i="35"/>
  <c r="K181" i="35"/>
  <c r="I181" i="35"/>
  <c r="G181" i="35"/>
  <c r="F181" i="35"/>
  <c r="D181" i="35"/>
  <c r="C181" i="35"/>
  <c r="A181" i="35"/>
  <c r="V180" i="35"/>
  <c r="U180" i="35"/>
  <c r="T180" i="35"/>
  <c r="O180" i="35"/>
  <c r="M180" i="35"/>
  <c r="L180" i="35"/>
  <c r="K180" i="35"/>
  <c r="I180" i="35"/>
  <c r="G180" i="35"/>
  <c r="F180" i="35"/>
  <c r="D180" i="35"/>
  <c r="C180" i="35"/>
  <c r="A180" i="35"/>
  <c r="V179" i="35"/>
  <c r="U179" i="35"/>
  <c r="T179" i="35"/>
  <c r="O179" i="35"/>
  <c r="M179" i="35"/>
  <c r="L179" i="35"/>
  <c r="K179" i="35"/>
  <c r="I179" i="35"/>
  <c r="G179" i="35"/>
  <c r="F179" i="35"/>
  <c r="D179" i="35"/>
  <c r="C179" i="35"/>
  <c r="A179" i="35"/>
  <c r="M178" i="35"/>
  <c r="A178" i="35"/>
  <c r="A177" i="35"/>
  <c r="F176" i="35"/>
  <c r="C176" i="35"/>
  <c r="A176" i="35"/>
  <c r="A175" i="35"/>
  <c r="V174" i="35"/>
  <c r="U174" i="35"/>
  <c r="T174" i="35"/>
  <c r="O174" i="35"/>
  <c r="M174" i="35"/>
  <c r="L174" i="35"/>
  <c r="K174" i="35"/>
  <c r="I174" i="35"/>
  <c r="G174" i="35"/>
  <c r="F174" i="35"/>
  <c r="D174" i="35"/>
  <c r="C174" i="35"/>
  <c r="A174" i="35"/>
  <c r="V173" i="35"/>
  <c r="U173" i="35"/>
  <c r="T173" i="35"/>
  <c r="O173" i="35"/>
  <c r="M173" i="35"/>
  <c r="L173" i="35"/>
  <c r="K173" i="35"/>
  <c r="I173" i="35"/>
  <c r="G173" i="35"/>
  <c r="F173" i="35"/>
  <c r="D173" i="35"/>
  <c r="C173" i="35"/>
  <c r="A173" i="35"/>
  <c r="V172" i="35"/>
  <c r="U172" i="35"/>
  <c r="T172" i="35"/>
  <c r="O172" i="35"/>
  <c r="M172" i="35"/>
  <c r="L172" i="35"/>
  <c r="K172" i="35"/>
  <c r="I172" i="35"/>
  <c r="G172" i="35"/>
  <c r="F172" i="35"/>
  <c r="D172" i="35"/>
  <c r="C172" i="35"/>
  <c r="A172" i="35"/>
  <c r="V171" i="35"/>
  <c r="U171" i="35"/>
  <c r="T171" i="35"/>
  <c r="O171" i="35"/>
  <c r="M171" i="35"/>
  <c r="L171" i="35"/>
  <c r="K171" i="35"/>
  <c r="I171" i="35"/>
  <c r="G171" i="35"/>
  <c r="F171" i="35"/>
  <c r="D171" i="35"/>
  <c r="C171" i="35"/>
  <c r="A171" i="35"/>
  <c r="V170" i="35"/>
  <c r="U170" i="35"/>
  <c r="T170" i="35"/>
  <c r="O170" i="35"/>
  <c r="M170" i="35"/>
  <c r="L170" i="35"/>
  <c r="K170" i="35"/>
  <c r="I170" i="35"/>
  <c r="G170" i="35"/>
  <c r="F170" i="35"/>
  <c r="D170" i="35"/>
  <c r="C170" i="35"/>
  <c r="A170" i="35"/>
  <c r="V169" i="35"/>
  <c r="U169" i="35"/>
  <c r="T169" i="35"/>
  <c r="O169" i="35"/>
  <c r="M169" i="35"/>
  <c r="L169" i="35"/>
  <c r="K169" i="35"/>
  <c r="I169" i="35"/>
  <c r="G169" i="35"/>
  <c r="F169" i="35"/>
  <c r="D169" i="35"/>
  <c r="C169" i="35"/>
  <c r="A169" i="35"/>
  <c r="V168" i="35"/>
  <c r="U168" i="35"/>
  <c r="T168" i="35"/>
  <c r="O168" i="35"/>
  <c r="M168" i="35"/>
  <c r="L168" i="35"/>
  <c r="K168" i="35"/>
  <c r="I168" i="35"/>
  <c r="G168" i="35"/>
  <c r="F168" i="35"/>
  <c r="D168" i="35"/>
  <c r="C168" i="35"/>
  <c r="A168" i="35"/>
  <c r="V167" i="35"/>
  <c r="U167" i="35"/>
  <c r="T167" i="35"/>
  <c r="O167" i="35"/>
  <c r="M167" i="35"/>
  <c r="L167" i="35"/>
  <c r="K167" i="35"/>
  <c r="I167" i="35"/>
  <c r="G167" i="35"/>
  <c r="F167" i="35"/>
  <c r="D167" i="35"/>
  <c r="C167" i="35"/>
  <c r="A167" i="35"/>
  <c r="V166" i="35"/>
  <c r="U166" i="35"/>
  <c r="T166" i="35"/>
  <c r="O166" i="35"/>
  <c r="M166" i="35"/>
  <c r="L166" i="35"/>
  <c r="K166" i="35"/>
  <c r="I166" i="35"/>
  <c r="G166" i="35"/>
  <c r="F166" i="35"/>
  <c r="D166" i="35"/>
  <c r="C166" i="35"/>
  <c r="A166" i="35"/>
  <c r="V165" i="35"/>
  <c r="U165" i="35"/>
  <c r="T165" i="35"/>
  <c r="O165" i="35"/>
  <c r="M165" i="35"/>
  <c r="L165" i="35"/>
  <c r="K165" i="35"/>
  <c r="I165" i="35"/>
  <c r="G165" i="35"/>
  <c r="F165" i="35"/>
  <c r="D165" i="35"/>
  <c r="C165" i="35"/>
  <c r="A165" i="35"/>
  <c r="V164" i="35"/>
  <c r="U164" i="35"/>
  <c r="T164" i="35"/>
  <c r="O164" i="35"/>
  <c r="M164" i="35"/>
  <c r="L164" i="35"/>
  <c r="K164" i="35"/>
  <c r="I164" i="35"/>
  <c r="G164" i="35"/>
  <c r="F164" i="35"/>
  <c r="D164" i="35"/>
  <c r="C164" i="35"/>
  <c r="A164" i="35"/>
  <c r="V163" i="35"/>
  <c r="U163" i="35"/>
  <c r="T163" i="35"/>
  <c r="O163" i="35"/>
  <c r="M163" i="35"/>
  <c r="L163" i="35"/>
  <c r="K163" i="35"/>
  <c r="I163" i="35"/>
  <c r="G163" i="35"/>
  <c r="F163" i="35"/>
  <c r="D163" i="35"/>
  <c r="C163" i="35"/>
  <c r="A163" i="35"/>
  <c r="V162" i="35"/>
  <c r="U162" i="35"/>
  <c r="T162" i="35"/>
  <c r="O162" i="35"/>
  <c r="M162" i="35"/>
  <c r="L162" i="35"/>
  <c r="K162" i="35"/>
  <c r="I162" i="35"/>
  <c r="G162" i="35"/>
  <c r="F162" i="35"/>
  <c r="D162" i="35"/>
  <c r="C162" i="35"/>
  <c r="A162" i="35"/>
  <c r="V161" i="35"/>
  <c r="U161" i="35"/>
  <c r="T161" i="35"/>
  <c r="O161" i="35"/>
  <c r="M161" i="35"/>
  <c r="L161" i="35"/>
  <c r="K161" i="35"/>
  <c r="I161" i="35"/>
  <c r="G161" i="35"/>
  <c r="F161" i="35"/>
  <c r="D161" i="35"/>
  <c r="C161" i="35"/>
  <c r="A161" i="35"/>
  <c r="V160" i="35"/>
  <c r="U160" i="35"/>
  <c r="T160" i="35"/>
  <c r="O160" i="35"/>
  <c r="M160" i="35"/>
  <c r="L160" i="35"/>
  <c r="K160" i="35"/>
  <c r="I160" i="35"/>
  <c r="G160" i="35"/>
  <c r="F160" i="35"/>
  <c r="D160" i="35"/>
  <c r="C160" i="35"/>
  <c r="A160" i="35"/>
  <c r="V159" i="35"/>
  <c r="M159" i="35"/>
  <c r="A159" i="35"/>
  <c r="A158" i="35"/>
  <c r="F157" i="35"/>
  <c r="C157" i="35"/>
  <c r="A157" i="35"/>
  <c r="A156" i="35"/>
  <c r="E154" i="35"/>
  <c r="C154" i="35"/>
  <c r="A154" i="35"/>
  <c r="V151" i="35"/>
  <c r="U151" i="35"/>
  <c r="T151" i="35"/>
  <c r="O151" i="35"/>
  <c r="M151" i="35"/>
  <c r="L151" i="35"/>
  <c r="K151" i="35"/>
  <c r="I151" i="35"/>
  <c r="G151" i="35"/>
  <c r="F151" i="35"/>
  <c r="D151" i="35"/>
  <c r="C151" i="35"/>
  <c r="A151" i="35"/>
  <c r="V150" i="35"/>
  <c r="U150" i="35"/>
  <c r="T150" i="35"/>
  <c r="O150" i="35"/>
  <c r="M150" i="35"/>
  <c r="L150" i="35"/>
  <c r="K150" i="35"/>
  <c r="I150" i="35"/>
  <c r="G150" i="35"/>
  <c r="F150" i="35"/>
  <c r="D150" i="35"/>
  <c r="C150" i="35"/>
  <c r="A150" i="35"/>
  <c r="V149" i="35"/>
  <c r="U149" i="35"/>
  <c r="T149" i="35"/>
  <c r="O149" i="35"/>
  <c r="M149" i="35"/>
  <c r="L149" i="35"/>
  <c r="K149" i="35"/>
  <c r="I149" i="35"/>
  <c r="G149" i="35"/>
  <c r="F149" i="35"/>
  <c r="D149" i="35"/>
  <c r="C149" i="35"/>
  <c r="A149" i="35"/>
  <c r="V148" i="35"/>
  <c r="U148" i="35"/>
  <c r="T148" i="35"/>
  <c r="O148" i="35"/>
  <c r="M148" i="35"/>
  <c r="L148" i="35"/>
  <c r="K148" i="35"/>
  <c r="I148" i="35"/>
  <c r="G148" i="35"/>
  <c r="F148" i="35"/>
  <c r="D148" i="35"/>
  <c r="C148" i="35"/>
  <c r="A148" i="35"/>
  <c r="V147" i="35"/>
  <c r="U147" i="35"/>
  <c r="T147" i="35"/>
  <c r="O147" i="35"/>
  <c r="M147" i="35"/>
  <c r="L147" i="35"/>
  <c r="K147" i="35"/>
  <c r="I147" i="35"/>
  <c r="G147" i="35"/>
  <c r="F147" i="35"/>
  <c r="D147" i="35"/>
  <c r="C147" i="35"/>
  <c r="A147" i="35"/>
  <c r="M146" i="35"/>
  <c r="A146" i="35"/>
  <c r="A145" i="35"/>
  <c r="F144" i="35"/>
  <c r="C144" i="35"/>
  <c r="A144" i="35"/>
  <c r="A143" i="35"/>
  <c r="V142" i="35"/>
  <c r="U142" i="35"/>
  <c r="T142" i="35"/>
  <c r="O142" i="35"/>
  <c r="M142" i="35"/>
  <c r="L142" i="35"/>
  <c r="K142" i="35"/>
  <c r="I142" i="35"/>
  <c r="G142" i="35"/>
  <c r="F142" i="35"/>
  <c r="D142" i="35"/>
  <c r="C142" i="35"/>
  <c r="A142" i="35"/>
  <c r="V141" i="35"/>
  <c r="U141" i="35"/>
  <c r="T141" i="35"/>
  <c r="O141" i="35"/>
  <c r="M141" i="35"/>
  <c r="L141" i="35"/>
  <c r="K141" i="35"/>
  <c r="I141" i="35"/>
  <c r="G141" i="35"/>
  <c r="F141" i="35"/>
  <c r="D141" i="35"/>
  <c r="C141" i="35"/>
  <c r="A141" i="35"/>
  <c r="V140" i="35"/>
  <c r="U140" i="35"/>
  <c r="T140" i="35"/>
  <c r="O140" i="35"/>
  <c r="M140" i="35"/>
  <c r="L140" i="35"/>
  <c r="K140" i="35"/>
  <c r="I140" i="35"/>
  <c r="G140" i="35"/>
  <c r="F140" i="35"/>
  <c r="D140" i="35"/>
  <c r="C140" i="35"/>
  <c r="A140" i="35"/>
  <c r="V139" i="35"/>
  <c r="U139" i="35"/>
  <c r="T139" i="35"/>
  <c r="O139" i="35"/>
  <c r="M139" i="35"/>
  <c r="L139" i="35"/>
  <c r="K139" i="35"/>
  <c r="I139" i="35"/>
  <c r="G139" i="35"/>
  <c r="F139" i="35"/>
  <c r="D139" i="35"/>
  <c r="C139" i="35"/>
  <c r="A139" i="35"/>
  <c r="V138" i="35"/>
  <c r="U138" i="35"/>
  <c r="T138" i="35"/>
  <c r="O138" i="35"/>
  <c r="M138" i="35"/>
  <c r="L138" i="35"/>
  <c r="K138" i="35"/>
  <c r="I138" i="35"/>
  <c r="G138" i="35"/>
  <c r="F138" i="35"/>
  <c r="D138" i="35"/>
  <c r="C138" i="35"/>
  <c r="A138" i="35"/>
  <c r="V137" i="35"/>
  <c r="U137" i="35"/>
  <c r="T137" i="35"/>
  <c r="O137" i="35"/>
  <c r="M137" i="35"/>
  <c r="L137" i="35"/>
  <c r="K137" i="35"/>
  <c r="I137" i="35"/>
  <c r="G137" i="35"/>
  <c r="F137" i="35"/>
  <c r="D137" i="35"/>
  <c r="C137" i="35"/>
  <c r="A137" i="35"/>
  <c r="M136" i="35"/>
  <c r="A136" i="35"/>
  <c r="A135" i="35"/>
  <c r="F134" i="35"/>
  <c r="C134" i="35"/>
  <c r="A134" i="35"/>
  <c r="A133" i="35"/>
  <c r="V132" i="35"/>
  <c r="U132" i="35"/>
  <c r="T132" i="35"/>
  <c r="O132" i="35"/>
  <c r="M132" i="35"/>
  <c r="L132" i="35"/>
  <c r="K132" i="35"/>
  <c r="I132" i="35"/>
  <c r="G132" i="35"/>
  <c r="F132" i="35"/>
  <c r="D132" i="35"/>
  <c r="C132" i="35"/>
  <c r="A132" i="35"/>
  <c r="V131" i="35"/>
  <c r="U131" i="35"/>
  <c r="T131" i="35"/>
  <c r="O131" i="35"/>
  <c r="M131" i="35"/>
  <c r="L131" i="35"/>
  <c r="K131" i="35"/>
  <c r="I131" i="35"/>
  <c r="G131" i="35"/>
  <c r="F131" i="35"/>
  <c r="D131" i="35"/>
  <c r="C131" i="35"/>
  <c r="A131" i="35"/>
  <c r="V130" i="35"/>
  <c r="U130" i="35"/>
  <c r="T130" i="35"/>
  <c r="O130" i="35"/>
  <c r="M130" i="35"/>
  <c r="L130" i="35"/>
  <c r="K130" i="35"/>
  <c r="I130" i="35"/>
  <c r="G130" i="35"/>
  <c r="F130" i="35"/>
  <c r="D130" i="35"/>
  <c r="C130" i="35"/>
  <c r="A130" i="35"/>
  <c r="V129" i="35"/>
  <c r="U129" i="35"/>
  <c r="T129" i="35"/>
  <c r="O129" i="35"/>
  <c r="M129" i="35"/>
  <c r="L129" i="35"/>
  <c r="K129" i="35"/>
  <c r="I129" i="35"/>
  <c r="G129" i="35"/>
  <c r="F129" i="35"/>
  <c r="D129" i="35"/>
  <c r="C129" i="35"/>
  <c r="A129" i="35"/>
  <c r="V128" i="35"/>
  <c r="U128" i="35"/>
  <c r="T128" i="35"/>
  <c r="O128" i="35"/>
  <c r="M128" i="35"/>
  <c r="L128" i="35"/>
  <c r="K128" i="35"/>
  <c r="I128" i="35"/>
  <c r="G128" i="35"/>
  <c r="F128" i="35"/>
  <c r="D128" i="35"/>
  <c r="C128" i="35"/>
  <c r="A128" i="35"/>
  <c r="V127" i="35"/>
  <c r="U127" i="35"/>
  <c r="T127" i="35"/>
  <c r="O127" i="35"/>
  <c r="M127" i="35"/>
  <c r="L127" i="35"/>
  <c r="K127" i="35"/>
  <c r="I127" i="35"/>
  <c r="G127" i="35"/>
  <c r="F127" i="35"/>
  <c r="D127" i="35"/>
  <c r="C127" i="35"/>
  <c r="A127" i="35"/>
  <c r="V126" i="35"/>
  <c r="U126" i="35"/>
  <c r="T126" i="35"/>
  <c r="O126" i="35"/>
  <c r="M126" i="35"/>
  <c r="L126" i="35"/>
  <c r="K126" i="35"/>
  <c r="I126" i="35"/>
  <c r="G126" i="35"/>
  <c r="F126" i="35"/>
  <c r="D126" i="35"/>
  <c r="C126" i="35"/>
  <c r="A126" i="35"/>
  <c r="V125" i="35"/>
  <c r="U125" i="35"/>
  <c r="T125" i="35"/>
  <c r="O125" i="35"/>
  <c r="M125" i="35"/>
  <c r="L125" i="35"/>
  <c r="K125" i="35"/>
  <c r="I125" i="35"/>
  <c r="G125" i="35"/>
  <c r="F125" i="35"/>
  <c r="D125" i="35"/>
  <c r="C125" i="35"/>
  <c r="A125" i="35"/>
  <c r="M124" i="35"/>
  <c r="A124" i="35"/>
  <c r="A123" i="35"/>
  <c r="F122" i="35"/>
  <c r="C122" i="35"/>
  <c r="A122" i="35"/>
  <c r="A121" i="35"/>
  <c r="V120" i="35"/>
  <c r="U120" i="35"/>
  <c r="T120" i="35"/>
  <c r="O120" i="35"/>
  <c r="M120" i="35"/>
  <c r="L120" i="35"/>
  <c r="K120" i="35"/>
  <c r="I120" i="35"/>
  <c r="G120" i="35"/>
  <c r="F120" i="35"/>
  <c r="D120" i="35"/>
  <c r="C120" i="35"/>
  <c r="A120" i="35"/>
  <c r="V119" i="35"/>
  <c r="U119" i="35"/>
  <c r="T119" i="35"/>
  <c r="O119" i="35"/>
  <c r="M119" i="35"/>
  <c r="L119" i="35"/>
  <c r="K119" i="35"/>
  <c r="I119" i="35"/>
  <c r="G119" i="35"/>
  <c r="F119" i="35"/>
  <c r="D119" i="35"/>
  <c r="C119" i="35"/>
  <c r="A119" i="35"/>
  <c r="V118" i="35"/>
  <c r="U118" i="35"/>
  <c r="T118" i="35"/>
  <c r="O118" i="35"/>
  <c r="M118" i="35"/>
  <c r="L118" i="35"/>
  <c r="K118" i="35"/>
  <c r="I118" i="35"/>
  <c r="G118" i="35"/>
  <c r="F118" i="35"/>
  <c r="D118" i="35"/>
  <c r="C118" i="35"/>
  <c r="A118" i="35"/>
  <c r="V117" i="35"/>
  <c r="U117" i="35"/>
  <c r="T117" i="35"/>
  <c r="O117" i="35"/>
  <c r="M117" i="35"/>
  <c r="L117" i="35"/>
  <c r="K117" i="35"/>
  <c r="I117" i="35"/>
  <c r="G117" i="35"/>
  <c r="F117" i="35"/>
  <c r="D117" i="35"/>
  <c r="C117" i="35"/>
  <c r="A117" i="35"/>
  <c r="V116" i="35"/>
  <c r="U116" i="35"/>
  <c r="T116" i="35"/>
  <c r="O116" i="35"/>
  <c r="M116" i="35"/>
  <c r="L116" i="35"/>
  <c r="K116" i="35"/>
  <c r="I116" i="35"/>
  <c r="G116" i="35"/>
  <c r="F116" i="35"/>
  <c r="D116" i="35"/>
  <c r="C116" i="35"/>
  <c r="A116" i="35"/>
  <c r="V115" i="35"/>
  <c r="U115" i="35"/>
  <c r="T115" i="35"/>
  <c r="O115" i="35"/>
  <c r="M115" i="35"/>
  <c r="L115" i="35"/>
  <c r="K115" i="35"/>
  <c r="I115" i="35"/>
  <c r="G115" i="35"/>
  <c r="F115" i="35"/>
  <c r="D115" i="35"/>
  <c r="C115" i="35"/>
  <c r="A115" i="35"/>
  <c r="V114" i="35"/>
  <c r="U114" i="35"/>
  <c r="T114" i="35"/>
  <c r="O114" i="35"/>
  <c r="M114" i="35"/>
  <c r="L114" i="35"/>
  <c r="K114" i="35"/>
  <c r="I114" i="35"/>
  <c r="G114" i="35"/>
  <c r="F114" i="35"/>
  <c r="D114" i="35"/>
  <c r="C114" i="35"/>
  <c r="A114" i="35"/>
  <c r="V113" i="35"/>
  <c r="U113" i="35"/>
  <c r="T113" i="35"/>
  <c r="O113" i="35"/>
  <c r="M113" i="35"/>
  <c r="L113" i="35"/>
  <c r="K113" i="35"/>
  <c r="I113" i="35"/>
  <c r="G113" i="35"/>
  <c r="F113" i="35"/>
  <c r="D113" i="35"/>
  <c r="C113" i="35"/>
  <c r="A113" i="35"/>
  <c r="V112" i="35"/>
  <c r="U112" i="35"/>
  <c r="T112" i="35"/>
  <c r="O112" i="35"/>
  <c r="M112" i="35"/>
  <c r="L112" i="35"/>
  <c r="K112" i="35"/>
  <c r="I112" i="35"/>
  <c r="G112" i="35"/>
  <c r="F112" i="35"/>
  <c r="D112" i="35"/>
  <c r="C112" i="35"/>
  <c r="A112" i="35"/>
  <c r="V111" i="35"/>
  <c r="U111" i="35"/>
  <c r="T111" i="35"/>
  <c r="O111" i="35"/>
  <c r="M111" i="35"/>
  <c r="L111" i="35"/>
  <c r="K111" i="35"/>
  <c r="I111" i="35"/>
  <c r="G111" i="35"/>
  <c r="F111" i="35"/>
  <c r="D111" i="35"/>
  <c r="C111" i="35"/>
  <c r="A111" i="35"/>
  <c r="V110" i="35"/>
  <c r="U110" i="35"/>
  <c r="T110" i="35"/>
  <c r="O110" i="35"/>
  <c r="M110" i="35"/>
  <c r="L110" i="35"/>
  <c r="K110" i="35"/>
  <c r="I110" i="35"/>
  <c r="G110" i="35"/>
  <c r="F110" i="35"/>
  <c r="D110" i="35"/>
  <c r="C110" i="35"/>
  <c r="A110" i="35"/>
  <c r="V109" i="35"/>
  <c r="U109" i="35"/>
  <c r="T109" i="35"/>
  <c r="O109" i="35"/>
  <c r="M109" i="35"/>
  <c r="L109" i="35"/>
  <c r="K109" i="35"/>
  <c r="I109" i="35"/>
  <c r="G109" i="35"/>
  <c r="F109" i="35"/>
  <c r="D109" i="35"/>
  <c r="C109" i="35"/>
  <c r="A109" i="35"/>
  <c r="V108" i="35"/>
  <c r="U108" i="35"/>
  <c r="T108" i="35"/>
  <c r="O108" i="35"/>
  <c r="M108" i="35"/>
  <c r="L108" i="35"/>
  <c r="K108" i="35"/>
  <c r="I108" i="35"/>
  <c r="G108" i="35"/>
  <c r="F108" i="35"/>
  <c r="D108" i="35"/>
  <c r="C108" i="35"/>
  <c r="A108" i="35"/>
  <c r="V107" i="35"/>
  <c r="U107" i="35"/>
  <c r="T107" i="35"/>
  <c r="O107" i="35"/>
  <c r="M107" i="35"/>
  <c r="L107" i="35"/>
  <c r="K107" i="35"/>
  <c r="I107" i="35"/>
  <c r="G107" i="35"/>
  <c r="F107" i="35"/>
  <c r="D107" i="35"/>
  <c r="C107" i="35"/>
  <c r="A107" i="35"/>
  <c r="V106" i="35"/>
  <c r="U106" i="35"/>
  <c r="T106" i="35"/>
  <c r="O106" i="35"/>
  <c r="M106" i="35"/>
  <c r="L106" i="35"/>
  <c r="K106" i="35"/>
  <c r="I106" i="35"/>
  <c r="G106" i="35"/>
  <c r="F106" i="35"/>
  <c r="D106" i="35"/>
  <c r="C106" i="35"/>
  <c r="A106" i="35"/>
  <c r="V105" i="35"/>
  <c r="U105" i="35"/>
  <c r="T105" i="35"/>
  <c r="O105" i="35"/>
  <c r="M105" i="35"/>
  <c r="L105" i="35"/>
  <c r="K105" i="35"/>
  <c r="I105" i="35"/>
  <c r="G105" i="35"/>
  <c r="F105" i="35"/>
  <c r="D105" i="35"/>
  <c r="C105" i="35"/>
  <c r="A105" i="35"/>
  <c r="V104" i="35"/>
  <c r="U104" i="35"/>
  <c r="T104" i="35"/>
  <c r="O104" i="35"/>
  <c r="M104" i="35"/>
  <c r="L104" i="35"/>
  <c r="K104" i="35"/>
  <c r="I104" i="35"/>
  <c r="G104" i="35"/>
  <c r="F104" i="35"/>
  <c r="D104" i="35"/>
  <c r="C104" i="35"/>
  <c r="A104" i="35"/>
  <c r="V103" i="35"/>
  <c r="U103" i="35"/>
  <c r="T103" i="35"/>
  <c r="O103" i="35"/>
  <c r="M103" i="35"/>
  <c r="L103" i="35"/>
  <c r="K103" i="35"/>
  <c r="I103" i="35"/>
  <c r="G103" i="35"/>
  <c r="F103" i="35"/>
  <c r="D103" i="35"/>
  <c r="C103" i="35"/>
  <c r="A103" i="35"/>
  <c r="V102" i="35"/>
  <c r="U102" i="35"/>
  <c r="T102" i="35"/>
  <c r="O102" i="35"/>
  <c r="M102" i="35"/>
  <c r="L102" i="35"/>
  <c r="K102" i="35"/>
  <c r="I102" i="35"/>
  <c r="G102" i="35"/>
  <c r="F102" i="35"/>
  <c r="D102" i="35"/>
  <c r="C102" i="35"/>
  <c r="A102" i="35"/>
  <c r="V101" i="35"/>
  <c r="U101" i="35"/>
  <c r="T101" i="35"/>
  <c r="O101" i="35"/>
  <c r="M101" i="35"/>
  <c r="L101" i="35"/>
  <c r="K101" i="35"/>
  <c r="I101" i="35"/>
  <c r="G101" i="35"/>
  <c r="F101" i="35"/>
  <c r="D101" i="35"/>
  <c r="C101" i="35"/>
  <c r="A101" i="35"/>
  <c r="V100" i="35"/>
  <c r="U100" i="35"/>
  <c r="T100" i="35"/>
  <c r="O100" i="35"/>
  <c r="M100" i="35"/>
  <c r="L100" i="35"/>
  <c r="K100" i="35"/>
  <c r="I100" i="35"/>
  <c r="G100" i="35"/>
  <c r="F100" i="35"/>
  <c r="D100" i="35"/>
  <c r="C100" i="35"/>
  <c r="A100" i="35"/>
  <c r="V99" i="35"/>
  <c r="U99" i="35"/>
  <c r="T99" i="35"/>
  <c r="O99" i="35"/>
  <c r="M99" i="35"/>
  <c r="L99" i="35"/>
  <c r="K99" i="35"/>
  <c r="I99" i="35"/>
  <c r="G99" i="35"/>
  <c r="F99" i="35"/>
  <c r="D99" i="35"/>
  <c r="C99" i="35"/>
  <c r="A99" i="35"/>
  <c r="V98" i="35"/>
  <c r="U98" i="35"/>
  <c r="T98" i="35"/>
  <c r="O98" i="35"/>
  <c r="M98" i="35"/>
  <c r="L98" i="35"/>
  <c r="K98" i="35"/>
  <c r="I98" i="35"/>
  <c r="G98" i="35"/>
  <c r="F98" i="35"/>
  <c r="D98" i="35"/>
  <c r="C98" i="35"/>
  <c r="A98" i="35"/>
  <c r="V97" i="35"/>
  <c r="U97" i="35"/>
  <c r="T97" i="35"/>
  <c r="O97" i="35"/>
  <c r="M97" i="35"/>
  <c r="L97" i="35"/>
  <c r="K97" i="35"/>
  <c r="I97" i="35"/>
  <c r="G97" i="35"/>
  <c r="F97" i="35"/>
  <c r="D97" i="35"/>
  <c r="C97" i="35"/>
  <c r="A97" i="35"/>
  <c r="V96" i="35"/>
  <c r="U96" i="35"/>
  <c r="T96" i="35"/>
  <c r="O96" i="35"/>
  <c r="M96" i="35"/>
  <c r="L96" i="35"/>
  <c r="K96" i="35"/>
  <c r="I96" i="35"/>
  <c r="G96" i="35"/>
  <c r="F96" i="35"/>
  <c r="D96" i="35"/>
  <c r="C96" i="35"/>
  <c r="A96" i="35"/>
  <c r="V95" i="35"/>
  <c r="U95" i="35"/>
  <c r="T95" i="35"/>
  <c r="O95" i="35"/>
  <c r="M95" i="35"/>
  <c r="L95" i="35"/>
  <c r="K95" i="35"/>
  <c r="I95" i="35"/>
  <c r="G95" i="35"/>
  <c r="F95" i="35"/>
  <c r="D95" i="35"/>
  <c r="C95" i="35"/>
  <c r="A95" i="35"/>
  <c r="V94" i="35"/>
  <c r="U94" i="35"/>
  <c r="T94" i="35"/>
  <c r="O94" i="35"/>
  <c r="M94" i="35"/>
  <c r="L94" i="35"/>
  <c r="K94" i="35"/>
  <c r="I94" i="35"/>
  <c r="G94" i="35"/>
  <c r="F94" i="35"/>
  <c r="D94" i="35"/>
  <c r="C94" i="35"/>
  <c r="A94" i="35"/>
  <c r="V93" i="35"/>
  <c r="U93" i="35"/>
  <c r="T93" i="35"/>
  <c r="O93" i="35"/>
  <c r="M93" i="35"/>
  <c r="L93" i="35"/>
  <c r="K93" i="35"/>
  <c r="I93" i="35"/>
  <c r="G93" i="35"/>
  <c r="F93" i="35"/>
  <c r="D93" i="35"/>
  <c r="C93" i="35"/>
  <c r="A93" i="35"/>
  <c r="V92" i="35"/>
  <c r="U92" i="35"/>
  <c r="T92" i="35"/>
  <c r="O92" i="35"/>
  <c r="M92" i="35"/>
  <c r="L92" i="35"/>
  <c r="K92" i="35"/>
  <c r="I92" i="35"/>
  <c r="G92" i="35"/>
  <c r="F92" i="35"/>
  <c r="D92" i="35"/>
  <c r="C92" i="35"/>
  <c r="A92" i="35"/>
  <c r="V91" i="35"/>
  <c r="U91" i="35"/>
  <c r="T91" i="35"/>
  <c r="O91" i="35"/>
  <c r="M91" i="35"/>
  <c r="L91" i="35"/>
  <c r="K91" i="35"/>
  <c r="I91" i="35"/>
  <c r="G91" i="35"/>
  <c r="F91" i="35"/>
  <c r="D91" i="35"/>
  <c r="C91" i="35"/>
  <c r="A91" i="35"/>
  <c r="V90" i="35"/>
  <c r="U90" i="35"/>
  <c r="T90" i="35"/>
  <c r="O90" i="35"/>
  <c r="M90" i="35"/>
  <c r="L90" i="35"/>
  <c r="K90" i="35"/>
  <c r="I90" i="35"/>
  <c r="G90" i="35"/>
  <c r="F90" i="35"/>
  <c r="D90" i="35"/>
  <c r="C90" i="35"/>
  <c r="A90" i="35"/>
  <c r="V89" i="35"/>
  <c r="U89" i="35"/>
  <c r="T89" i="35"/>
  <c r="O89" i="35"/>
  <c r="M89" i="35"/>
  <c r="L89" i="35"/>
  <c r="K89" i="35"/>
  <c r="I89" i="35"/>
  <c r="G89" i="35"/>
  <c r="F89" i="35"/>
  <c r="D89" i="35"/>
  <c r="C89" i="35"/>
  <c r="A89" i="35"/>
  <c r="V88" i="35"/>
  <c r="U88" i="35"/>
  <c r="T88" i="35"/>
  <c r="O88" i="35"/>
  <c r="M88" i="35"/>
  <c r="L88" i="35"/>
  <c r="K88" i="35"/>
  <c r="I88" i="35"/>
  <c r="G88" i="35"/>
  <c r="F88" i="35"/>
  <c r="D88" i="35"/>
  <c r="C88" i="35"/>
  <c r="A88" i="35"/>
  <c r="V87" i="35"/>
  <c r="M87" i="35"/>
  <c r="A87" i="35"/>
  <c r="A86" i="35"/>
  <c r="F85" i="35"/>
  <c r="C85" i="35"/>
  <c r="A85" i="35"/>
  <c r="A84" i="35"/>
  <c r="E82" i="35"/>
  <c r="C82" i="35"/>
  <c r="A82" i="35"/>
  <c r="M36" i="35"/>
  <c r="A36" i="35"/>
  <c r="A35" i="35"/>
  <c r="AE32" i="35"/>
  <c r="M32" i="35"/>
  <c r="A32" i="35"/>
  <c r="A31" i="35"/>
  <c r="V28" i="35"/>
  <c r="U28" i="35"/>
  <c r="T28" i="35"/>
  <c r="O28" i="35"/>
  <c r="M28" i="35"/>
  <c r="L28" i="35"/>
  <c r="K28" i="35"/>
  <c r="I28" i="35"/>
  <c r="G28" i="35"/>
  <c r="F28" i="35"/>
  <c r="D28" i="35"/>
  <c r="C28" i="35"/>
  <c r="A28" i="35"/>
  <c r="M27" i="35"/>
  <c r="A27" i="35"/>
  <c r="A26" i="35"/>
  <c r="A25" i="35"/>
  <c r="A24" i="35"/>
  <c r="C23" i="35"/>
  <c r="A23" i="35"/>
  <c r="A22" i="35"/>
  <c r="AE19" i="35"/>
  <c r="M19" i="35"/>
  <c r="A19" i="35"/>
  <c r="A18" i="35"/>
  <c r="A17" i="35"/>
  <c r="A16" i="35"/>
  <c r="AE15" i="35"/>
  <c r="M15" i="35"/>
  <c r="A15" i="35"/>
  <c r="A14" i="35"/>
  <c r="A13" i="35"/>
  <c r="A12" i="35"/>
  <c r="AE11" i="35"/>
  <c r="M11" i="35"/>
  <c r="A11" i="35"/>
  <c r="A10" i="35"/>
  <c r="A9" i="35"/>
  <c r="A8" i="35"/>
  <c r="AE7" i="35"/>
  <c r="M7" i="35"/>
  <c r="A7" i="35"/>
  <c r="A6" i="35"/>
  <c r="A5" i="35"/>
  <c r="A4" i="35"/>
  <c r="A3" i="35"/>
  <c r="S1704" i="1"/>
  <c r="S1703" i="1"/>
  <c r="S1702" i="1"/>
  <c r="S1701" i="1"/>
  <c r="S1700" i="1"/>
  <c r="S1699" i="1"/>
  <c r="S1698" i="1"/>
  <c r="S1697" i="1"/>
  <c r="S1696" i="1"/>
  <c r="S1493" i="1"/>
  <c r="AA31" i="1"/>
  <c r="AC31" i="1" s="1"/>
  <c r="Z31" i="1"/>
  <c r="Y31" i="1"/>
  <c r="X31" i="1"/>
  <c r="W31" i="1"/>
  <c r="V31" i="1"/>
  <c r="AA30" i="1"/>
  <c r="AC30" i="1" s="1"/>
  <c r="Z30" i="1"/>
  <c r="Y30" i="1"/>
  <c r="X30" i="1"/>
  <c r="W30" i="1"/>
  <c r="V30" i="1"/>
  <c r="AA29" i="1"/>
  <c r="AC29" i="1" s="1"/>
  <c r="Z29" i="1"/>
  <c r="Y29" i="1"/>
  <c r="X29" i="1"/>
  <c r="W29" i="1"/>
  <c r="V29" i="1"/>
  <c r="AA28" i="1"/>
  <c r="AC28" i="1" s="1"/>
  <c r="Z28" i="1"/>
  <c r="Y28" i="1"/>
  <c r="X28" i="1"/>
  <c r="W28" i="1"/>
  <c r="V28" i="1"/>
  <c r="AA27" i="1"/>
  <c r="AC27" i="1" s="1"/>
  <c r="Z27" i="1"/>
  <c r="Y27" i="1"/>
  <c r="X27" i="1"/>
  <c r="W27" i="1"/>
  <c r="V27" i="1"/>
  <c r="AA26" i="1"/>
  <c r="AC26" i="1" s="1"/>
  <c r="Z26" i="1"/>
  <c r="Y26" i="1"/>
  <c r="X26" i="1"/>
  <c r="W26" i="1"/>
  <c r="V26" i="1"/>
  <c r="AA25" i="1"/>
  <c r="AC25" i="1" s="1"/>
  <c r="Z25" i="1"/>
  <c r="Y25" i="1"/>
  <c r="X25" i="1"/>
  <c r="W25" i="1"/>
  <c r="V25" i="1"/>
  <c r="AA24" i="1"/>
  <c r="AC24" i="1" s="1"/>
  <c r="Z24" i="1"/>
  <c r="Y24" i="1"/>
  <c r="X24" i="1"/>
  <c r="W24" i="1"/>
  <c r="V24" i="1"/>
  <c r="AA23" i="1"/>
  <c r="AC23" i="1" s="1"/>
  <c r="Z23" i="1"/>
  <c r="Y23" i="1"/>
  <c r="X23" i="1"/>
  <c r="W23" i="1"/>
  <c r="V23" i="1"/>
  <c r="AA22" i="1"/>
  <c r="AC22" i="1" s="1"/>
  <c r="Z22" i="1"/>
  <c r="Y22" i="1"/>
  <c r="X22" i="1"/>
  <c r="W22" i="1"/>
  <c r="V22" i="1"/>
  <c r="AC21" i="1"/>
  <c r="AA21" i="1"/>
  <c r="Z21" i="1"/>
  <c r="Y21" i="1"/>
  <c r="X21" i="1"/>
  <c r="W21" i="1"/>
  <c r="V21" i="1"/>
  <c r="AC20" i="1"/>
  <c r="AA20" i="1"/>
  <c r="Z20" i="1"/>
  <c r="Y20" i="1"/>
  <c r="X20" i="1"/>
  <c r="W20" i="1"/>
  <c r="V20" i="1"/>
  <c r="AC19" i="1"/>
  <c r="AA19" i="1"/>
  <c r="Z19" i="1"/>
  <c r="Y19" i="1"/>
  <c r="X19" i="1"/>
  <c r="W19" i="1"/>
  <c r="V19" i="1"/>
  <c r="AC18" i="1"/>
  <c r="AA18" i="1"/>
  <c r="Z18" i="1"/>
  <c r="Y18" i="1"/>
  <c r="X18" i="1"/>
  <c r="W18" i="1"/>
  <c r="V18" i="1"/>
  <c r="AC17" i="1"/>
  <c r="AA17" i="1"/>
  <c r="Z17" i="1"/>
  <c r="Y17" i="1"/>
  <c r="X17" i="1"/>
  <c r="W17" i="1"/>
  <c r="V17" i="1"/>
  <c r="AC16" i="1"/>
  <c r="AA16" i="1"/>
  <c r="Z16" i="1"/>
  <c r="Y16" i="1"/>
  <c r="X16" i="1"/>
  <c r="W16" i="1"/>
  <c r="V16" i="1"/>
  <c r="AC15" i="1"/>
  <c r="AA15" i="1"/>
  <c r="Z15" i="1"/>
  <c r="Y15" i="1"/>
  <c r="X15" i="1"/>
  <c r="W15" i="1"/>
  <c r="V15" i="1"/>
  <c r="AC14" i="1"/>
  <c r="AA14" i="1"/>
  <c r="Z14" i="1"/>
  <c r="Y14" i="1"/>
  <c r="X14" i="1"/>
  <c r="W14" i="1"/>
  <c r="V14" i="1"/>
  <c r="AC13" i="1"/>
  <c r="AA13" i="1"/>
  <c r="Z13" i="1"/>
  <c r="Y13" i="1"/>
  <c r="X13" i="1"/>
  <c r="W13" i="1"/>
  <c r="V13" i="1"/>
  <c r="AC12" i="1"/>
  <c r="AA12" i="1"/>
  <c r="Z12" i="1"/>
  <c r="Y12" i="1"/>
  <c r="X12" i="1"/>
  <c r="W12" i="1"/>
  <c r="V12" i="1"/>
  <c r="AC11" i="1"/>
  <c r="AA11" i="1"/>
  <c r="Z11" i="1"/>
  <c r="Y11" i="1"/>
  <c r="X11" i="1"/>
  <c r="W11" i="1"/>
  <c r="V11" i="1"/>
  <c r="AC10" i="1"/>
  <c r="AA10" i="1"/>
  <c r="Z10" i="1"/>
  <c r="Y10" i="1"/>
  <c r="X10" i="1"/>
  <c r="W10" i="1"/>
  <c r="V10" i="1"/>
  <c r="AC9" i="1"/>
  <c r="AA9" i="1"/>
  <c r="Z9" i="1"/>
  <c r="Y9" i="1"/>
  <c r="X9" i="1"/>
  <c r="W9" i="1"/>
  <c r="V9" i="1"/>
  <c r="AC8" i="1"/>
  <c r="AA8" i="1"/>
  <c r="Z8" i="1"/>
  <c r="Y8" i="1"/>
  <c r="X8" i="1"/>
  <c r="W8" i="1"/>
  <c r="V8" i="1"/>
  <c r="AC7" i="1"/>
  <c r="AA7" i="1"/>
  <c r="Z7" i="1"/>
  <c r="Y7" i="1"/>
  <c r="X7" i="1"/>
  <c r="W7" i="1"/>
  <c r="V7" i="1"/>
  <c r="AC6" i="1"/>
  <c r="AA6" i="1"/>
  <c r="Z6" i="1"/>
  <c r="Y6" i="1"/>
  <c r="X6" i="1"/>
  <c r="W6" i="1"/>
  <c r="V6" i="1"/>
  <c r="AC5" i="1"/>
  <c r="AA5" i="1"/>
  <c r="Z5" i="1"/>
  <c r="Y5" i="1"/>
  <c r="X5" i="1"/>
  <c r="W5" i="1"/>
  <c r="V5" i="1"/>
  <c r="AC4" i="1"/>
  <c r="AA4" i="1"/>
  <c r="Z4" i="1"/>
  <c r="Y4" i="1"/>
  <c r="X4" i="1"/>
  <c r="W4" i="1"/>
  <c r="V4" i="1"/>
  <c r="AC3" i="1"/>
  <c r="AA3" i="1"/>
  <c r="Z3" i="1"/>
  <c r="Y3" i="1"/>
  <c r="X3" i="1"/>
  <c r="W3" i="1"/>
  <c r="V3" i="1"/>
  <c r="AC2" i="1"/>
  <c r="AA2" i="1"/>
  <c r="Z2" i="1"/>
  <c r="Y2" i="1"/>
  <c r="X2" i="1"/>
  <c r="W2" i="1"/>
  <c r="V2" i="1"/>
  <c r="AA32" i="1" l="1"/>
  <c r="W32" i="1"/>
  <c r="V32" i="1"/>
  <c r="Z32" i="1"/>
  <c r="Y32" i="1"/>
  <c r="X32" i="1"/>
  <c r="V33" i="1" l="1"/>
</calcChain>
</file>

<file path=xl/sharedStrings.xml><?xml version="1.0" encoding="utf-8"?>
<sst xmlns="http://schemas.openxmlformats.org/spreadsheetml/2006/main" count="38526" uniqueCount="7201">
  <si>
    <t>Oracle's Vault</t>
  </si>
  <si>
    <t>神託者の大聖堂</t>
  </si>
  <si>
    <t>Cascading Cataracts</t>
  </si>
  <si>
    <t>大瀑布</t>
  </si>
  <si>
    <t>Sheltered Thicket</t>
  </si>
  <si>
    <t>隠れた茂み</t>
  </si>
  <si>
    <t>Scattered Groves</t>
  </si>
  <si>
    <t>まばらな木立ち</t>
  </si>
  <si>
    <t>Irrigated Farmland</t>
  </si>
  <si>
    <t>灌漑農地</t>
  </si>
  <si>
    <t>Fetid Pools</t>
  </si>
  <si>
    <t>異臭の池</t>
  </si>
  <si>
    <t>Canyon Slough</t>
  </si>
  <si>
    <t>泥濘の峡谷</t>
  </si>
  <si>
    <t>Rhonas's Monument</t>
  </si>
  <si>
    <t>ロナスの碑</t>
  </si>
  <si>
    <t>Oketra's Monument</t>
  </si>
  <si>
    <t>オケチラの碑</t>
  </si>
  <si>
    <t>Kefnet's Monument</t>
  </si>
  <si>
    <t>ケフネトの碑</t>
  </si>
  <si>
    <t>Hazoret's Monument</t>
  </si>
  <si>
    <t>ハゾレトの碑</t>
  </si>
  <si>
    <t>Bontu's Monument</t>
  </si>
  <si>
    <t>バントゥの碑</t>
  </si>
  <si>
    <t>Sunscorched Desert</t>
  </si>
  <si>
    <t>陽焼けした砂漠</t>
  </si>
  <si>
    <t>Painted Bluffs</t>
  </si>
  <si>
    <t>色彩の断崖</t>
  </si>
  <si>
    <t>Cradle of the Accursed</t>
  </si>
  <si>
    <t>呪われた者の揺り籠</t>
  </si>
  <si>
    <t>Honed Khopesh</t>
  </si>
  <si>
    <t>研ぎ澄まされたコペシュ</t>
  </si>
  <si>
    <t>Temmet, Vizier of Naktamun</t>
  </si>
  <si>
    <t>Neheb, the Worthy</t>
  </si>
  <si>
    <t>蓋世の英雄、ネヘブ</t>
  </si>
  <si>
    <t>Bounty of the Luxa</t>
  </si>
  <si>
    <t>ルクサの恵み</t>
  </si>
  <si>
    <t>Hapatra, Vizier of Poisons</t>
  </si>
  <si>
    <t>毒物の侍臣、ハパチラ</t>
  </si>
  <si>
    <t>Weaver of Currents</t>
  </si>
  <si>
    <t>水流織り</t>
  </si>
  <si>
    <t>Wayward Servant</t>
  </si>
  <si>
    <t>Shadowstorm Vizier</t>
  </si>
  <si>
    <t>影嵐の侍臣</t>
  </si>
  <si>
    <t>Khenra Charioteer</t>
  </si>
  <si>
    <t>ケンラの戦車乗り</t>
  </si>
  <si>
    <t>Enigma Drake</t>
  </si>
  <si>
    <t>奇怪なドレイク</t>
  </si>
  <si>
    <t>Decimator Beetle</t>
  </si>
  <si>
    <t>潰滅甲虫</t>
  </si>
  <si>
    <t>Aven Wind Guide</t>
  </si>
  <si>
    <t>風案内のエイヴン</t>
  </si>
  <si>
    <t>Ahn-Crop Champion</t>
  </si>
  <si>
    <t>アン一門の勇者</t>
  </si>
  <si>
    <t>Sandwurm Convergence</t>
  </si>
  <si>
    <t>サンドワームの収斂</t>
  </si>
  <si>
    <t>Vizier of the Menagerie</t>
  </si>
  <si>
    <t>生類の侍臣</t>
  </si>
  <si>
    <t>Rhonas the Indomitable</t>
  </si>
  <si>
    <t>Trial of Strength</t>
  </si>
  <si>
    <t>活力の試練</t>
  </si>
  <si>
    <t>Shefet Monitor</t>
  </si>
  <si>
    <t>シェフェトのオオトカゲ</t>
  </si>
  <si>
    <t>Prowling Serpopard</t>
  </si>
  <si>
    <t>うろつく蛇豹</t>
  </si>
  <si>
    <t>Honored Hydra</t>
  </si>
  <si>
    <t>名誉あるハイドラ</t>
  </si>
  <si>
    <t>Channeler Initiate</t>
  </si>
  <si>
    <t>媒介者の修練者</t>
  </si>
  <si>
    <t>Watchful Naga</t>
  </si>
  <si>
    <t>用心深いナーガ</t>
  </si>
  <si>
    <t>Exemplar of Strength</t>
  </si>
  <si>
    <t>活力の模範</t>
  </si>
  <si>
    <t>Gift of Paradise</t>
  </si>
  <si>
    <t>楽園の贈り物</t>
  </si>
  <si>
    <t>Cartouche of Strength</t>
  </si>
  <si>
    <t>活力のカルトーシュ</t>
  </si>
  <si>
    <t>Stinging Shot</t>
  </si>
  <si>
    <t>苦しめる一射</t>
  </si>
  <si>
    <t>Spidery Grasp</t>
  </si>
  <si>
    <t>蜘蛛の掌握</t>
  </si>
  <si>
    <t>Shed Weakness</t>
  </si>
  <si>
    <t>弱さからの脱皮</t>
  </si>
  <si>
    <t>Haze of Pollen</t>
  </si>
  <si>
    <t>花粉のもや</t>
  </si>
  <si>
    <t>Dissenter's Deliverance</t>
  </si>
  <si>
    <t>造反者の解放</t>
  </si>
  <si>
    <t>Naga Vitalist</t>
  </si>
  <si>
    <t>ナーガの生気論者</t>
  </si>
  <si>
    <t>Hooded Brawler</t>
  </si>
  <si>
    <t>頭巾の喧嘩屋</t>
  </si>
  <si>
    <t>Greater Sandwurm</t>
  </si>
  <si>
    <t>大いなるサンドワーム</t>
  </si>
  <si>
    <t>Giant Spider</t>
  </si>
  <si>
    <t>大蜘蛛</t>
  </si>
  <si>
    <t>Bitterblade Warrior</t>
  </si>
  <si>
    <t>苦刃の戦士</t>
  </si>
  <si>
    <t>Glorious End</t>
  </si>
  <si>
    <t>栄光の幕切れ</t>
  </si>
  <si>
    <t>Hazoret the Fervent</t>
  </si>
  <si>
    <t>熱烈の神ハゾレト</t>
  </si>
  <si>
    <t>Glorybringer</t>
  </si>
  <si>
    <t>Combat Celebrant</t>
  </si>
  <si>
    <t>戦闘の祝賀者</t>
  </si>
  <si>
    <t>Trial of Zeal</t>
  </si>
  <si>
    <t>激情の試練</t>
  </si>
  <si>
    <t>Hazoret's Favor</t>
  </si>
  <si>
    <t>ハゾレトの指名</t>
  </si>
  <si>
    <t>Sweltering Suns</t>
  </si>
  <si>
    <t>焼けつく双陽</t>
  </si>
  <si>
    <t>Deem Worthy</t>
  </si>
  <si>
    <t>蓋世の誉れ</t>
  </si>
  <si>
    <t>Heart-Piercer Manticore</t>
  </si>
  <si>
    <t>心臓貫きのマンティコア</t>
  </si>
  <si>
    <t>Limits of Solidarity</t>
  </si>
  <si>
    <t>結束の限界</t>
  </si>
  <si>
    <t>Consuming Fervor</t>
  </si>
  <si>
    <t>焼き尽くす熱情</t>
  </si>
  <si>
    <t>Flameblade Adept</t>
  </si>
  <si>
    <t>炎刃の達人</t>
  </si>
  <si>
    <t>Battlefield Scavenger</t>
  </si>
  <si>
    <t>戦場のゴミあさり</t>
  </si>
  <si>
    <t>Ahn-Crop Crasher</t>
  </si>
  <si>
    <t>アン一門の壊し屋</t>
  </si>
  <si>
    <t>Cartouche of Zeal</t>
  </si>
  <si>
    <t>激情のカルトーシュ</t>
  </si>
  <si>
    <t>Violent Impact</t>
  </si>
  <si>
    <t>暴力的な衝撃</t>
  </si>
  <si>
    <t>Pursue Glory</t>
  </si>
  <si>
    <t>栄光の探究</t>
  </si>
  <si>
    <t>Electrify</t>
  </si>
  <si>
    <t>感電</t>
  </si>
  <si>
    <t>Brute Strength</t>
  </si>
  <si>
    <t>凶暴な力</t>
  </si>
  <si>
    <t>Thresher Lizard</t>
  </si>
  <si>
    <t>オナガトカゲ</t>
  </si>
  <si>
    <t>Nimble-Blade Khenra</t>
  </si>
  <si>
    <t>捷刃のケンラ</t>
  </si>
  <si>
    <t>Nef-Crop Entangler</t>
  </si>
  <si>
    <t>ネフ一門の鉄球戦士</t>
  </si>
  <si>
    <t>Minotaur Sureshot</t>
  </si>
  <si>
    <t>ミノタウルスの名射手</t>
  </si>
  <si>
    <t>Manticore of the Gauntlet</t>
  </si>
  <si>
    <t>打擲場のマンティコア</t>
  </si>
  <si>
    <t>Emberhorn Minotaur</t>
  </si>
  <si>
    <t>燃えさし角のミノタウルス</t>
  </si>
  <si>
    <t>Desert Cerodon</t>
  </si>
  <si>
    <t>砂漠セロドン</t>
  </si>
  <si>
    <t>Bontu the Glorified</t>
  </si>
  <si>
    <t>栄光の神バントゥ</t>
  </si>
  <si>
    <t>Shadow of the Grave</t>
  </si>
  <si>
    <t>葬送の影</t>
  </si>
  <si>
    <t>Plague Belcher</t>
  </si>
  <si>
    <t>疫病吹き</t>
  </si>
  <si>
    <t>Dread Wanderer</t>
  </si>
  <si>
    <t>戦慄の放浪者</t>
  </si>
  <si>
    <t>Archfiend of Ifnir</t>
  </si>
  <si>
    <t>イフニルの魔神</t>
  </si>
  <si>
    <t>Trial of Ambition</t>
  </si>
  <si>
    <t>野望の試練</t>
  </si>
  <si>
    <t>Faith of the Devoted</t>
  </si>
  <si>
    <t>信者の確信</t>
  </si>
  <si>
    <t>Stir the Sands</t>
  </si>
  <si>
    <t>Ruthless Sniper</t>
  </si>
  <si>
    <t>無情な狙撃手</t>
  </si>
  <si>
    <t>Lord of the Accursed</t>
  </si>
  <si>
    <t>呪われた者の王</t>
  </si>
  <si>
    <t>Gravedigger</t>
  </si>
  <si>
    <t>グレイブディガー</t>
  </si>
  <si>
    <t>Bone Picker</t>
  </si>
  <si>
    <t>ホネツツキ</t>
  </si>
  <si>
    <t>Cartouche of Ambition</t>
  </si>
  <si>
    <t>Wander in Death</t>
  </si>
  <si>
    <t>死後の放浪</t>
  </si>
  <si>
    <t>Unburden</t>
  </si>
  <si>
    <t>荷降ろし</t>
  </si>
  <si>
    <t>Supernatural Stamina</t>
  </si>
  <si>
    <t>超常的耐久力</t>
  </si>
  <si>
    <t>Painful Lesson</t>
  </si>
  <si>
    <t>痛ましい教訓</t>
  </si>
  <si>
    <t>Final Reward</t>
  </si>
  <si>
    <t>最後の報賞</t>
  </si>
  <si>
    <t>Soulstinger</t>
  </si>
  <si>
    <t>魂刺し</t>
  </si>
  <si>
    <t>Pitiless Vizier</t>
  </si>
  <si>
    <t>冷酷な侍臣</t>
  </si>
  <si>
    <t>Miasmic Mummy</t>
  </si>
  <si>
    <t>瘴気ミイラ</t>
  </si>
  <si>
    <t>Horror of the Broken Lands</t>
  </si>
  <si>
    <t>遺棄地の恐怖</t>
  </si>
  <si>
    <t>Festering Mummy</t>
  </si>
  <si>
    <t>ただれたミイラ</t>
  </si>
  <si>
    <t>Doomed Dissenter</t>
  </si>
  <si>
    <t>悪運尽きた造反者</t>
  </si>
  <si>
    <t>Vizier of Many Faces</t>
  </si>
  <si>
    <t>多面相の侍臣</t>
  </si>
  <si>
    <t>Kefnet the Mindful</t>
  </si>
  <si>
    <t>周到の神ケフネト</t>
  </si>
  <si>
    <t>Curator of Mysteries</t>
  </si>
  <si>
    <t>秘法の管理者</t>
  </si>
  <si>
    <t>Trial of Knowledge</t>
  </si>
  <si>
    <t>知識の試練</t>
  </si>
  <si>
    <t>New Perspectives</t>
  </si>
  <si>
    <t>新たな視点</t>
  </si>
  <si>
    <t>Drake Haven</t>
  </si>
  <si>
    <t>ドレイクの安息地</t>
  </si>
  <si>
    <t>Glyph Keeper</t>
  </si>
  <si>
    <t>象形の守り手</t>
  </si>
  <si>
    <t>Censor</t>
  </si>
  <si>
    <t>検閲</t>
  </si>
  <si>
    <t>Zenith Seeker</t>
  </si>
  <si>
    <t>天頂の探求者</t>
  </si>
  <si>
    <t>Vizier of Tumbling Sands</t>
  </si>
  <si>
    <t>砂時計の侍臣</t>
  </si>
  <si>
    <t>Labyrinth Guardian</t>
  </si>
  <si>
    <t>迷宮の守護者</t>
  </si>
  <si>
    <t>Cartouche of Knowledge</t>
  </si>
  <si>
    <t>知識のカルトーシュ</t>
  </si>
  <si>
    <t>Winds of Rebuke</t>
  </si>
  <si>
    <t>叱責の風</t>
  </si>
  <si>
    <t>Hieroglyphic Illumination</t>
  </si>
  <si>
    <t>ヒエログリフの輝き</t>
  </si>
  <si>
    <t>Floodwaters</t>
  </si>
  <si>
    <t>大水</t>
  </si>
  <si>
    <t>Essence Scatter</t>
  </si>
  <si>
    <t>本質の散乱</t>
  </si>
  <si>
    <t>Compelling Argument</t>
  </si>
  <si>
    <t>抗えない主張</t>
  </si>
  <si>
    <t>Cancel</t>
  </si>
  <si>
    <t>取り消し</t>
  </si>
  <si>
    <t>Tah-Crop Skirmisher</t>
  </si>
  <si>
    <t>ター一門の散兵</t>
  </si>
  <si>
    <t>Shimmerscale Drake</t>
  </si>
  <si>
    <t>微光鱗のドレイク</t>
  </si>
  <si>
    <t>Scribe of the Mindful</t>
  </si>
  <si>
    <t>周到の書記官</t>
  </si>
  <si>
    <t>Hekma Sentinels</t>
  </si>
  <si>
    <t>ヘクマの歩哨</t>
  </si>
  <si>
    <t>Aven Initiate</t>
  </si>
  <si>
    <t>エイヴンの修練者</t>
  </si>
  <si>
    <t>Anointed Procession</t>
  </si>
  <si>
    <t>Oketra the True</t>
  </si>
  <si>
    <t>信義の神オケチラ</t>
  </si>
  <si>
    <t>Angel of Sanctions</t>
  </si>
  <si>
    <t>賞罰の天使</t>
  </si>
  <si>
    <t>Trial of Solidarity</t>
  </si>
  <si>
    <t>Gideon's Intervention</t>
  </si>
  <si>
    <t>ギデオンの介入</t>
  </si>
  <si>
    <t>Approach of the Second Sun</t>
  </si>
  <si>
    <t>副陽の接近</t>
  </si>
  <si>
    <t>Regal Caracal</t>
  </si>
  <si>
    <t>威厳あるカラカル</t>
  </si>
  <si>
    <t>Aven Mindcensor</t>
  </si>
  <si>
    <t>エイヴンの思考検閲者</t>
  </si>
  <si>
    <t>Cast Out</t>
  </si>
  <si>
    <t>排斥</t>
  </si>
  <si>
    <t>Renewed Faith</t>
  </si>
  <si>
    <t>新たな信仰</t>
  </si>
  <si>
    <t>Oketra's Attendant</t>
  </si>
  <si>
    <t>オケチラの従者</t>
  </si>
  <si>
    <t>Devoted Crop-Mate</t>
  </si>
  <si>
    <t>献身的な門友</t>
  </si>
  <si>
    <t>Cartouche of Solidarity</t>
  </si>
  <si>
    <t>In Oketra's Name</t>
  </si>
  <si>
    <t>オケチラの名のもとに</t>
  </si>
  <si>
    <t>Forsake the Worldly</t>
  </si>
  <si>
    <t>俗物の放棄</t>
  </si>
  <si>
    <t>Djeru's Resolve</t>
  </si>
  <si>
    <t>デジェルの決意</t>
  </si>
  <si>
    <t>Winged Shepherd</t>
  </si>
  <si>
    <t>有翼の番人</t>
  </si>
  <si>
    <t>Unwavering Initiate</t>
  </si>
  <si>
    <t>断固たる修練者</t>
  </si>
  <si>
    <t>Those Who Serve</t>
  </si>
  <si>
    <t>仕える者たち</t>
  </si>
  <si>
    <t>Tah-Crop Elite</t>
  </si>
  <si>
    <t>ター一門の精鋭</t>
  </si>
  <si>
    <t>Sacred Cat</t>
  </si>
  <si>
    <t>聖なる猫</t>
  </si>
  <si>
    <t>Rhet-Crop Spearmaster</t>
  </si>
  <si>
    <t>レト一門の槍の達人</t>
  </si>
  <si>
    <t>Gust Walker</t>
  </si>
  <si>
    <t>突風歩き</t>
  </si>
  <si>
    <t>Binding Mummy</t>
  </si>
  <si>
    <t>束縛のミイラ</t>
  </si>
  <si>
    <t>Anointer Priest</t>
  </si>
  <si>
    <t>選定の司祭</t>
  </si>
  <si>
    <t>このサポートがボードにある間、あなたがコントロールする最初のクリーチャーは+8/+8の修正を受ける。そのクリーチャーが攻撃したとき、対戦相手はX点のダメージを受ける。Xは対戦相手の手札のカードの枚数に等しい。あなたはX点のライフを得る。Xはあなたの手札のカードの枚数に等しい。</t>
  </si>
  <si>
    <t>サポート</t>
  </si>
  <si>
    <t>Sword of War and Peace</t>
  </si>
  <si>
    <t>戦争と平和の剣</t>
  </si>
  <si>
    <t>MP</t>
  </si>
  <si>
    <t>無色</t>
  </si>
  <si>
    <t>このサポートがボードにある間、あなたがコントロールする最初のクリーチャーは+8/+8の修正を受ける。そのクリーチャーが攻撃したとき、あなたは6点のライフを得て、あなたがコントロールしていて破壊された最後のカードを手札に戻す。</t>
  </si>
  <si>
    <t>Sword of Light and Shadow</t>
  </si>
  <si>
    <t>光と影の剣</t>
  </si>
  <si>
    <t>このサポートがボードにある間、あなたがコントロールする最初のクリーチャーは+8/+8の修正を受ける。そのクリーチャーが攻撃したとき、あなたは対戦相手と、対戦相手がコントロールする各クリーチャーに2点のダメージを与え、カードを1枚引く。</t>
  </si>
  <si>
    <t>Sword of Fire and Ice</t>
  </si>
  <si>
    <t>火と氷の剣</t>
  </si>
  <si>
    <t>このサポートがボードにある間、あなたがコントロールする最初のクリーチャーは+8/+8の修正を受ける。そのクリーチャーが攻撃したとき、あなたは3個のジェムをあなたのプレインズウォーカーの色に変換する。</t>
  </si>
  <si>
    <t>Sword of Feast and Famine</t>
  </si>
  <si>
    <t>饗宴と飢餓の剣</t>
  </si>
  <si>
    <t>このサポートがボードにある間、あなたがコントロールする最初のクリーチャーは+8/+8の修正を受ける。そのクリーチャーが攻撃したとき、あなたは2/2の緑の狼・トークンを1体召喚して、3マナを得る。</t>
  </si>
  <si>
    <t>Sword of Body and Mind</t>
  </si>
  <si>
    <t>肉体と精神の剣</t>
  </si>
  <si>
    <t>あなたのターン開始時に、あなたがサポートを3個以上コントロールしている場合、あなたは5マナを得る。</t>
  </si>
  <si>
    <t>Mox Opal</t>
  </si>
  <si>
    <t>オパールのモックス</t>
  </si>
  <si>
    <t>対戦相手がカードを1枚引いた時、あなたはカードを1枚引く。</t>
  </si>
  <si>
    <t>Mind's Eye</t>
  </si>
  <si>
    <t>このサポートが破壊されたとき、あなたの手札の最初のカードはいっぱいのマナを得る。</t>
  </si>
  <si>
    <t>Lotus Petal</t>
  </si>
  <si>
    <t>水蓮の花びら</t>
  </si>
  <si>
    <t>このサポートがボードにある間、あなたがコントロールする最初のクリーチャーは速攻を得る。&amp;br;あなたが「勇者の兜」と「魔力の篭手」をコントロールしている場合、あなたがコントロールする最初のクリーチャーは「ブロックされない」を得る。</t>
  </si>
  <si>
    <t>あなたが「勇者の兜」と「魔力の篭手」をコントロールしている場合、あなたがコントロールする最初のクリーチャーは「ブロックされない」を得る。</t>
  </si>
  <si>
    <t>このサポートがボードにある間、あなたがコントロールする最初のクリーチャーは速攻を得る。</t>
  </si>
  <si>
    <t>Lightning Greaves</t>
  </si>
  <si>
    <t>稲妻のすね当て</t>
  </si>
  <si>
    <t>このサポートがボードにある間、あなたがコントロールする最初のクリーチャーは+4/0の修正を受ける。&amp;br;あなたが「勇者の兜」と「稲妻のすね当て」をコントロールしている場合、あなたがコントロールする最初のクリーチャーは二段攻撃を得る。</t>
  </si>
  <si>
    <t>あなたが「勇者の兜」と「稲妻のすね当て」をコントロールしている場合、あなたがコントロールする最初のクリーチャーは二段攻撃を得る。</t>
  </si>
  <si>
    <t>このサポートがボードにある間、あなたがコントロールする最初のクリーチャーは+4/0の修正を受ける。</t>
  </si>
  <si>
    <t>Gauntlet of Power</t>
  </si>
  <si>
    <t>魔力の篭手</t>
  </si>
  <si>
    <t>このサポートがボードにある間、対戦相手の手札の各呪文のマナ・コストが5多くなる。</t>
  </si>
  <si>
    <t>Defense Grid</t>
  </si>
  <si>
    <t>防御の光網</t>
  </si>
  <si>
    <t>あなたのターン開始時に、あなたは3個のジェムをあなたのプレインズウォーカーの色に変換する。</t>
  </si>
  <si>
    <t>Chrome Mox</t>
  </si>
  <si>
    <t>金属モックス</t>
  </si>
  <si>
    <t>このサポートがボードにある間、あなたがコントロールする最初のクリーチャーは0/+4の修正を受ける。&amp;br;あなたが「魔力の篭手」と「稲妻のすね当て」をコントロールしている場合、あなたがコントロールする最初のクリーチャーは呪禁を得る。</t>
  </si>
  <si>
    <t>あなたが「魔力の篭手」と「稲妻のすね当て」をコントロールしている場合、あなたがコントロールする最初のクリーチャーは呪禁を得る。</t>
  </si>
  <si>
    <t>このサポートがボードにある間、あなたがコントロールする最初のクリーチャーは0/+4の修正を受ける。</t>
  </si>
  <si>
    <t>Champion's Helm</t>
  </si>
  <si>
    <t>勇者の兜</t>
  </si>
  <si>
    <t>対戦相手のターン開始時に、対戦相手はX点のダメージを受ける。Xは対戦相手の手札のカードの枚数の2倍に等しい。</t>
  </si>
  <si>
    <t>Black Vise</t>
  </si>
  <si>
    <t>黒の万力</t>
  </si>
  <si>
    <t>このクリーチャーが死亡したとき、あなたがコントロールする各クリーチャーは+4</t>
  </si>
  <si>
    <t>ワーム</t>
  </si>
  <si>
    <t>クリーチャー</t>
  </si>
  <si>
    <t>Wurmcoil Engine</t>
  </si>
  <si>
    <t>ワームとぐろエンジン</t>
  </si>
  <si>
    <t>このクリーチャーが戦場に出たか死亡したとき、対戦相手のプレインズウォーカーの色の各ジェムを破壊する。</t>
  </si>
  <si>
    <t>ゴーレム</t>
  </si>
  <si>
    <t>Sundering Titan</t>
  </si>
  <si>
    <t>隔離するタイタン</t>
  </si>
  <si>
    <t>-1の修正を受ける。</t>
  </si>
  <si>
    <t>このクリーチャーが戦場に出ている間、あなたのプレインズウォーカーがダメージを受ける場合、代わりにこのクリーチャーは-1</t>
  </si>
  <si>
    <t>天使</t>
  </si>
  <si>
    <t>Platinum Angel</t>
  </si>
  <si>
    <t>白金の天使</t>
  </si>
  <si>
    <t>飛行</t>
  </si>
  <si>
    <t>構築物</t>
  </si>
  <si>
    <t>飛行機械</t>
  </si>
  <si>
    <t>Ornithopter</t>
  </si>
  <si>
    <t>羽ばたき飛行機械</t>
  </si>
  <si>
    <t>サポートが破壊されたとき、このクリーチャーは+1/+1の修正を受ける。</t>
  </si>
  <si>
    <t>ビースト</t>
  </si>
  <si>
    <t>Arcbound Ravager</t>
  </si>
  <si>
    <t>電結の荒廃者</t>
  </si>
  <si>
    <t>Planar Bridge</t>
  </si>
  <si>
    <t>次元橋</t>
  </si>
  <si>
    <t>Gonti's Aether Heart</t>
  </si>
  <si>
    <t>ゴンティの霊気心臓</t>
  </si>
  <si>
    <t>Heart of Kiran</t>
  </si>
  <si>
    <t>キランの真意号</t>
  </si>
  <si>
    <t>Walking Ballista</t>
  </si>
  <si>
    <t>歩行バリスタ</t>
  </si>
  <si>
    <t>Peacewalker Colossus</t>
  </si>
  <si>
    <t>平和歩きの巨像</t>
  </si>
  <si>
    <t>Aethersphere Harvester</t>
  </si>
  <si>
    <t>霊気圏の収集艇</t>
  </si>
  <si>
    <t>Untethered Express</t>
  </si>
  <si>
    <t>暴走急行</t>
  </si>
  <si>
    <t>Treasure Keeper</t>
  </si>
  <si>
    <t>財宝の守り手</t>
  </si>
  <si>
    <t>Crackdown Construct</t>
  </si>
  <si>
    <t>弾圧する構築物</t>
  </si>
  <si>
    <t>Consulate Dreadnought</t>
  </si>
  <si>
    <t>領事府の弩級艦</t>
  </si>
  <si>
    <t>Oath of Ajani</t>
  </si>
  <si>
    <t>アジャニの誓い</t>
  </si>
  <si>
    <t>Rogue Refiner</t>
  </si>
  <si>
    <t>ならず者の精製屋</t>
  </si>
  <si>
    <t>Outland Boar</t>
  </si>
  <si>
    <t>辺境地の猪</t>
  </si>
  <si>
    <t>Maverick Thopterist</t>
  </si>
  <si>
    <t>異端の飛行機械職人</t>
  </si>
  <si>
    <t>Rishkar's Expertise</t>
  </si>
  <si>
    <t>リシュカーの巧技</t>
  </si>
  <si>
    <t>Rishkar, Peema Renegade</t>
  </si>
  <si>
    <t>ピーマの改革派、リシュカー</t>
  </si>
  <si>
    <t>Aetherwind Basker</t>
  </si>
  <si>
    <t>霊気風浴び</t>
  </si>
  <si>
    <t>Heroic Intervention</t>
  </si>
  <si>
    <t>英雄的介入</t>
  </si>
  <si>
    <t>Greenbelt Rampager</t>
  </si>
  <si>
    <t>緑地帯の暴れ者</t>
  </si>
  <si>
    <t>Peema Aether-Seer</t>
  </si>
  <si>
    <t>ピーマの霊気予見者</t>
  </si>
  <si>
    <t>Narnam Renegade</t>
  </si>
  <si>
    <t>ナーナムの改革派</t>
  </si>
  <si>
    <t>Hidden Herbalists</t>
  </si>
  <si>
    <t>隠れた薬草医</t>
  </si>
  <si>
    <t>Lightning Runner</t>
  </si>
  <si>
    <t>稲妻駆け</t>
  </si>
  <si>
    <t>Kari Zev, Skyship Raider</t>
  </si>
  <si>
    <t>航空船を強襲する者、カーリ・ゼヴ</t>
  </si>
  <si>
    <t>Release the Gremlins</t>
  </si>
  <si>
    <t>グレムリン解放</t>
  </si>
  <si>
    <t>Kari Zev's Expertise</t>
  </si>
  <si>
    <t>カーリ・ゼヴの巧技</t>
  </si>
  <si>
    <t>Freejam Regent</t>
  </si>
  <si>
    <t>無秩序街の主</t>
  </si>
  <si>
    <t>Gremlin Infestation</t>
  </si>
  <si>
    <t>グレムリンの侵入</t>
  </si>
  <si>
    <t>Hungry Flames</t>
  </si>
  <si>
    <t>飲み込む炎</t>
  </si>
  <si>
    <t>Reckless Racer</t>
  </si>
  <si>
    <t>無謀なレーサー</t>
  </si>
  <si>
    <t>Enraged Giant</t>
  </si>
  <si>
    <t>怒れる巨人</t>
  </si>
  <si>
    <t>Yahenni, Undying Partisan</t>
  </si>
  <si>
    <t>Herald of Anguish</t>
  </si>
  <si>
    <t>艱苦の伝令</t>
  </si>
  <si>
    <t>Yahenni's Expertise</t>
  </si>
  <si>
    <t>ヤヘンニの巧技</t>
  </si>
  <si>
    <t>Battle at the Bridge</t>
  </si>
  <si>
    <t>橋上の戦い</t>
  </si>
  <si>
    <t>Glint-Sleeve Siphoner</t>
  </si>
  <si>
    <t>光袖会の収集者</t>
  </si>
  <si>
    <t>Gonti's Machinations</t>
  </si>
  <si>
    <t>ゴンティの策謀</t>
  </si>
  <si>
    <t>Sly Requisitioner</t>
  </si>
  <si>
    <t>枉惑な調達者</t>
  </si>
  <si>
    <t>Ironclad Revolutionary</t>
  </si>
  <si>
    <t>鉄覆いの革命家</t>
  </si>
  <si>
    <t>Gifted Aetherborn</t>
  </si>
  <si>
    <t>才気ある霊基体</t>
  </si>
  <si>
    <t>Mechanized Production</t>
  </si>
  <si>
    <t>機械化製法</t>
  </si>
  <si>
    <t>Baral, Chief of Compliance</t>
  </si>
  <si>
    <t>遵法長、バラル</t>
  </si>
  <si>
    <t>Aethertide Whale</t>
  </si>
  <si>
    <t>霊気海嘯の鯨</t>
  </si>
  <si>
    <t>Whir of Invention</t>
  </si>
  <si>
    <t>発明品の唸り</t>
  </si>
  <si>
    <t>Baral's Expertise</t>
  </si>
  <si>
    <t>バラルの巧技</t>
  </si>
  <si>
    <t>Quicksmith Spy</t>
  </si>
  <si>
    <t>速製職人のスパイ</t>
  </si>
  <si>
    <t>Wind-Kin Raiders</t>
  </si>
  <si>
    <t>風友会の強襲者</t>
  </si>
  <si>
    <t>Shielded Aether Thief</t>
  </si>
  <si>
    <t>守られた霊気泥棒</t>
  </si>
  <si>
    <t>Sram, Senior Edificer</t>
  </si>
  <si>
    <t>上級建設官、スラム</t>
  </si>
  <si>
    <t>Exquisite Archangel</t>
  </si>
  <si>
    <t>極上の大天使</t>
  </si>
  <si>
    <t>Aethergeode Miner</t>
  </si>
  <si>
    <t>霊気晶の鉱夫</t>
  </si>
  <si>
    <t>Sram's Expertise</t>
  </si>
  <si>
    <t>スラムの巧技</t>
  </si>
  <si>
    <t>Consulate Crackdown</t>
  </si>
  <si>
    <t>領事府の弾圧</t>
  </si>
  <si>
    <t>Solemn Recruit</t>
  </si>
  <si>
    <t>生真面目な補充兵</t>
  </si>
  <si>
    <t>Aerial Modification</t>
  </si>
  <si>
    <t>浮遊化改造</t>
  </si>
  <si>
    <t>Restoration Specialist</t>
  </si>
  <si>
    <t>修復専門家</t>
  </si>
  <si>
    <t>Airdrop Aeronauts</t>
  </si>
  <si>
    <t>急降下飛空士</t>
  </si>
  <si>
    <t>Aeronaut Admiral</t>
  </si>
  <si>
    <t>飛空士の提督</t>
  </si>
  <si>
    <t>Skysovereign, Consul Flagship</t>
  </si>
  <si>
    <t>領事の旗艦、スカイソブリン</t>
  </si>
  <si>
    <t>Metalwork Colossus</t>
  </si>
  <si>
    <t>金属製の巨像</t>
  </si>
  <si>
    <t>Dynavolt Tower</t>
  </si>
  <si>
    <t>電招の塔</t>
  </si>
  <si>
    <t>Aetherworks Marvel</t>
  </si>
  <si>
    <t>霊気池の驚異</t>
  </si>
  <si>
    <t>Smuggler's Copter</t>
  </si>
  <si>
    <t>密輸人の回転翼機</t>
  </si>
  <si>
    <t>Scrapheap Scrounger</t>
  </si>
  <si>
    <t>屑鉄場のたかり屋</t>
  </si>
  <si>
    <t>Panharmonicon</t>
  </si>
  <si>
    <t>パンハモニコン</t>
  </si>
  <si>
    <t>Multiform Wonder</t>
  </si>
  <si>
    <t>多用途な逸品</t>
  </si>
  <si>
    <t>Fleetwheel Cruiser</t>
  </si>
  <si>
    <t>高速警備車</t>
  </si>
  <si>
    <t>Electrostatic Pummeler</t>
  </si>
  <si>
    <t>静電気式打撃体</t>
  </si>
  <si>
    <t>Deadlock Trap</t>
  </si>
  <si>
    <t>行き詰まりの罠</t>
  </si>
  <si>
    <t>Cultivator's Caravan</t>
  </si>
  <si>
    <t>耕作者の荷馬車</t>
  </si>
  <si>
    <t>Bomat Courier</t>
  </si>
  <si>
    <t>Aetherflux Reservoir</t>
  </si>
  <si>
    <t>霊気貯蔵器</t>
  </si>
  <si>
    <t>Snare Thopter</t>
  </si>
  <si>
    <t>捕獲飛行機械</t>
  </si>
  <si>
    <t>Ovalchase Dragster</t>
  </si>
  <si>
    <t>楕円競走車</t>
  </si>
  <si>
    <t>Iron League Steed</t>
  </si>
  <si>
    <t>鉄華会の馬</t>
  </si>
  <si>
    <t>Filigree Familiar</t>
  </si>
  <si>
    <t>金線の使い魔</t>
  </si>
  <si>
    <t>Fabrication Module</t>
  </si>
  <si>
    <t>製造機構</t>
  </si>
  <si>
    <t>Demolition Stomper</t>
  </si>
  <si>
    <t>破砕踏歩機</t>
  </si>
  <si>
    <t>Decoction Module</t>
  </si>
  <si>
    <t>Consulate Skygate</t>
  </si>
  <si>
    <t>領事府の空船口</t>
  </si>
  <si>
    <t>Bomat Bazaar Barge</t>
  </si>
  <si>
    <t>ボーマットのバザール船</t>
  </si>
  <si>
    <t>Ballista Charger</t>
  </si>
  <si>
    <t>バリスタ突撃車</t>
  </si>
  <si>
    <t>Aether Hub</t>
  </si>
  <si>
    <t>霊気拠点</t>
  </si>
  <si>
    <t>Weldfast Monitor</t>
  </si>
  <si>
    <t>速接会のオオトカゲ</t>
  </si>
  <si>
    <t>Sky Skiff</t>
  </si>
  <si>
    <t>航空艇</t>
  </si>
  <si>
    <t>Self-Assembler</t>
  </si>
  <si>
    <t>自己組立機械</t>
  </si>
  <si>
    <t>Renegade Freighter</t>
  </si>
  <si>
    <t>改革派の貨物車</t>
  </si>
  <si>
    <t>Prophetic Prism</t>
  </si>
  <si>
    <t>予言のプリズム</t>
  </si>
  <si>
    <t>Prakhata Pillar-Bug</t>
  </si>
  <si>
    <t>プラカタの柱行虫</t>
  </si>
  <si>
    <t>Narnam Cobra</t>
  </si>
  <si>
    <t>ナーナムのコブラ</t>
  </si>
  <si>
    <t>Dukhara Peafowl</t>
  </si>
  <si>
    <t>ダッカラの孔雀</t>
  </si>
  <si>
    <t>Bastion Mastodon</t>
  </si>
  <si>
    <t>砦のマストドン</t>
  </si>
  <si>
    <t>Aradara Express</t>
  </si>
  <si>
    <t>アラダラ急行</t>
  </si>
  <si>
    <t>Accomplished Automaton</t>
  </si>
  <si>
    <t>成し遂げた自動機械</t>
  </si>
  <si>
    <t>Rashmi, Eternities Crafter</t>
  </si>
  <si>
    <t>永遠の造り手、ラシュミ</t>
  </si>
  <si>
    <t>Kambal, Consul of Allocation</t>
  </si>
  <si>
    <t>配分の領事、カンバール</t>
  </si>
  <si>
    <t>Depala, Pilot Exemplar</t>
  </si>
  <si>
    <t>模範操縦士、デパラ</t>
  </si>
  <si>
    <t>Whirler Virtuoso</t>
  </si>
  <si>
    <t>つむじ風の巨匠</t>
  </si>
  <si>
    <t>Voltaic Brawler</t>
  </si>
  <si>
    <t>通電の喧嘩屋</t>
  </si>
  <si>
    <t>Veteran Motorist</t>
  </si>
  <si>
    <t>経験豊富な操縦者</t>
  </si>
  <si>
    <t>Unlicensed Disintegration</t>
  </si>
  <si>
    <t>無許可の分解</t>
  </si>
  <si>
    <t>Restoration Gearsmith</t>
  </si>
  <si>
    <t>機械修復職人</t>
  </si>
  <si>
    <t>Hazardous Conditions</t>
  </si>
  <si>
    <t>危険な状況</t>
  </si>
  <si>
    <t>Empyreal Voyager</t>
  </si>
  <si>
    <t>崇高な飛行士</t>
  </si>
  <si>
    <t>Contraband Kingpin</t>
  </si>
  <si>
    <t>禁制品の黒幕</t>
  </si>
  <si>
    <t>Cloudblazer</t>
  </si>
  <si>
    <t>雲先案内人</t>
  </si>
  <si>
    <t>Verdurous Gearhulk</t>
  </si>
  <si>
    <t>新緑の機械巨人</t>
  </si>
  <si>
    <t>Oviya Pashiri, Sage Lifecrafter</t>
  </si>
  <si>
    <t>造命の賢者、オビア・パースリー</t>
  </si>
  <si>
    <t>Bristling Hydra</t>
  </si>
  <si>
    <t>逆毛ハイドラ</t>
  </si>
  <si>
    <t>Architect of the Untamed</t>
  </si>
  <si>
    <t>獣性を築く者</t>
  </si>
  <si>
    <t>Wildest Dreams</t>
  </si>
  <si>
    <t>途方もない夢</t>
  </si>
  <si>
    <t>Servant of the Conduit</t>
  </si>
  <si>
    <t>導路の召使い</t>
  </si>
  <si>
    <t>Longtusk Cub</t>
  </si>
  <si>
    <t>牙長獣の仔</t>
  </si>
  <si>
    <t>Dubious Challenge</t>
  </si>
  <si>
    <t>怪しげな挑戦</t>
  </si>
  <si>
    <t>Cultivator of Blades</t>
  </si>
  <si>
    <t>刃の耕作者</t>
  </si>
  <si>
    <t>Arborback Stomper</t>
  </si>
  <si>
    <t>高木背の踏みつけ</t>
  </si>
  <si>
    <t>Nature's Way</t>
  </si>
  <si>
    <t>自然の流儀</t>
  </si>
  <si>
    <t>Ghirapur Guide</t>
  </si>
  <si>
    <t>ギラプールの案内人</t>
  </si>
  <si>
    <t>Fairgrounds Trumpeter</t>
  </si>
  <si>
    <t>博覧会場の吠え象</t>
  </si>
  <si>
    <t>Elegant Edgecrafters</t>
  </si>
  <si>
    <t>洗練された鍛刃士</t>
  </si>
  <si>
    <t>Durable Handicraft</t>
  </si>
  <si>
    <t>丈夫な手工品</t>
  </si>
  <si>
    <t>Creeping Mold</t>
  </si>
  <si>
    <t>忍び寄るカビ</t>
  </si>
  <si>
    <t>Blossoming Defense</t>
  </si>
  <si>
    <t>顕在的防御</t>
  </si>
  <si>
    <t>Armorcraft Judge</t>
  </si>
  <si>
    <t>鎧作りの審判者</t>
  </si>
  <si>
    <t>Wild Wanderer</t>
  </si>
  <si>
    <t>野生の放浪者</t>
  </si>
  <si>
    <t>Thriving Rhino</t>
  </si>
  <si>
    <t>亢進するサイ</t>
  </si>
  <si>
    <t>Sage of Shaila's Claim</t>
  </si>
  <si>
    <t>シャイラ専有地の賢者</t>
  </si>
  <si>
    <t>Riparian Tiger</t>
  </si>
  <si>
    <t>水辺の虎</t>
  </si>
  <si>
    <t>Peema Outrider</t>
  </si>
  <si>
    <t>ピーマの先導</t>
  </si>
  <si>
    <t>Ornamental Courage</t>
  </si>
  <si>
    <t>飾りの勇気</t>
  </si>
  <si>
    <t>Larger Than Life</t>
  </si>
  <si>
    <t>気宇壮大</t>
  </si>
  <si>
    <t>Kujar Seedsculptor</t>
  </si>
  <si>
    <t>クジャールの種子彫刻家</t>
  </si>
  <si>
    <t>Highspire Artisan</t>
  </si>
  <si>
    <t>高峰の職工</t>
  </si>
  <si>
    <t>Attune with Aether</t>
  </si>
  <si>
    <t>霊気との調和</t>
  </si>
  <si>
    <t>Appetite for the Unnatural</t>
  </si>
  <si>
    <t>人工物への興味</t>
  </si>
  <si>
    <t>Territorial Gorger</t>
  </si>
  <si>
    <t>縄張り持ちの大喰らい</t>
  </si>
  <si>
    <t>Pia Nalaar</t>
  </si>
  <si>
    <t>ピア・ナラー</t>
  </si>
  <si>
    <t>Combustible Gearhulk</t>
  </si>
  <si>
    <t>焼却の機械巨人</t>
  </si>
  <si>
    <t>Skyship Stalker</t>
  </si>
  <si>
    <t>航空船に忍び寄るもの</t>
  </si>
  <si>
    <t>Maulfist Doorbuster</t>
  </si>
  <si>
    <t>襲拳会の扉破り</t>
  </si>
  <si>
    <t>Madcap Experiment</t>
  </si>
  <si>
    <t>向こう見ずな実験</t>
  </si>
  <si>
    <t>Lathnu Hellion</t>
  </si>
  <si>
    <t>ラスヌーのヘリオン</t>
  </si>
  <si>
    <t>Harnessed Lightning</t>
  </si>
  <si>
    <t>蓄霊稲妻</t>
  </si>
  <si>
    <t>Fateful Showdown</t>
  </si>
  <si>
    <t>宿命の決着</t>
  </si>
  <si>
    <t>Start Your Engines</t>
  </si>
  <si>
    <t>エンジン始動</t>
  </si>
  <si>
    <t>Speedway Fanatic</t>
  </si>
  <si>
    <t>競走路の熱狂者</t>
  </si>
  <si>
    <t>Spark of Creativity</t>
  </si>
  <si>
    <t>独創の火花</t>
  </si>
  <si>
    <t>Quicksmith Genius</t>
  </si>
  <si>
    <t>天才速製職人</t>
  </si>
  <si>
    <t>Inventor's Apprentice</t>
  </si>
  <si>
    <t>発明者の見習い</t>
  </si>
  <si>
    <t>Incendiary Sabotage</t>
  </si>
  <si>
    <t>焼夷式破壊工作</t>
  </si>
  <si>
    <t>Furious Reprisal</t>
  </si>
  <si>
    <t>猛然たる報復</t>
  </si>
  <si>
    <t>Brazen Scourge</t>
  </si>
  <si>
    <t>真鍮の災い魔</t>
  </si>
  <si>
    <t>Aethertorch Renegade</t>
  </si>
  <si>
    <t>改革派の霊気砲手</t>
  </si>
  <si>
    <t>Thriving Grubs</t>
  </si>
  <si>
    <t>亢進する地虫</t>
  </si>
  <si>
    <t>Spontaneous Artist</t>
  </si>
  <si>
    <t>気ままな芸術家</t>
  </si>
  <si>
    <t>Spireside Infiltrator</t>
  </si>
  <si>
    <t>尖塔横の潜入者</t>
  </si>
  <si>
    <t>Salivating Gremlins</t>
  </si>
  <si>
    <t>垂涎グレムリン</t>
  </si>
  <si>
    <t>Ruinous Gremlin</t>
  </si>
  <si>
    <t>壊し屋グレムリン</t>
  </si>
  <si>
    <t>Renegade Tactics</t>
  </si>
  <si>
    <t>改革派の戦術</t>
  </si>
  <si>
    <t>Reckless Fireweaver</t>
  </si>
  <si>
    <t>無謀な炎織り</t>
  </si>
  <si>
    <t>Giant Spectacle</t>
  </si>
  <si>
    <t>Cathartic Reunion</t>
  </si>
  <si>
    <t>安堵の再会</t>
  </si>
  <si>
    <t>Built to Smash</t>
  </si>
  <si>
    <t>撃砕確約</t>
  </si>
  <si>
    <t>Syndicate Trafficker</t>
  </si>
  <si>
    <t>組織の密売人</t>
  </si>
  <si>
    <t>Noxious Gearhulk</t>
  </si>
  <si>
    <t>害悪の機械巨人</t>
  </si>
  <si>
    <t>Marionette Master</t>
  </si>
  <si>
    <t>マリオネットの達人</t>
  </si>
  <si>
    <t>Demon of Dark Schemes</t>
  </si>
  <si>
    <t>陰謀の悪魔</t>
  </si>
  <si>
    <t>Underhanded Designs</t>
  </si>
  <si>
    <t>奥の手</t>
  </si>
  <si>
    <t>Ovalchase Daredevil</t>
  </si>
  <si>
    <t>楕円競走の無謀者</t>
  </si>
  <si>
    <t>Midnight Oil</t>
  </si>
  <si>
    <t>夜更かし</t>
  </si>
  <si>
    <t>Lost Legacy</t>
  </si>
  <si>
    <t>Gonti, Lord of Luxury</t>
  </si>
  <si>
    <t>豪華の王、ゴンティ</t>
  </si>
  <si>
    <t>Eliminate the Competition</t>
  </si>
  <si>
    <t>競争排除</t>
  </si>
  <si>
    <t>Weaponcraft Enthusiast</t>
  </si>
  <si>
    <t>武器作り狂</t>
  </si>
  <si>
    <t>Morbid Curiosity</t>
  </si>
  <si>
    <t>病的な好奇心</t>
  </si>
  <si>
    <t>Make Obsolete</t>
  </si>
  <si>
    <t>陳腐化</t>
  </si>
  <si>
    <t>Fretwork Colony</t>
  </si>
  <si>
    <t>透彫虫の群棲</t>
  </si>
  <si>
    <t>Essence Extraction</t>
  </si>
  <si>
    <t>Aetherborn Marauder</t>
  </si>
  <si>
    <t>霊基体の匪賊</t>
  </si>
  <si>
    <t>Tidy Conclusion</t>
  </si>
  <si>
    <t>当然の結論</t>
  </si>
  <si>
    <t>Thriving Rats</t>
  </si>
  <si>
    <t>亢進するネズミ</t>
  </si>
  <si>
    <t>Rush of Vitality</t>
  </si>
  <si>
    <t>活力の奔出</t>
  </si>
  <si>
    <t>Night Market Lookout</t>
  </si>
  <si>
    <t>夜市の見張り</t>
  </si>
  <si>
    <t>Maulfist Squad</t>
  </si>
  <si>
    <t>襲拳会の部隊</t>
  </si>
  <si>
    <t>Live Fast</t>
  </si>
  <si>
    <t>放埒</t>
  </si>
  <si>
    <t>Lawless Broker</t>
  </si>
  <si>
    <t>不法仲買人</t>
  </si>
  <si>
    <t>Foundry Screecher</t>
  </si>
  <si>
    <t>鋳造所のコウモリ</t>
  </si>
  <si>
    <t>Dukhara Scavenger</t>
  </si>
  <si>
    <t>ダッカラのゴミあさり</t>
  </si>
  <si>
    <t>Die Young</t>
  </si>
  <si>
    <t>短命</t>
  </si>
  <si>
    <t>Ambitious Aetherborn</t>
  </si>
  <si>
    <t>霊基体の野心家</t>
  </si>
  <si>
    <t>Torrential Gearhulk</t>
  </si>
  <si>
    <t>奔流の機械巨人</t>
  </si>
  <si>
    <t>Padeem, Consul of Innovation</t>
  </si>
  <si>
    <t>発明の領事、パディーム</t>
  </si>
  <si>
    <t>Metallurgic Summonings</t>
  </si>
  <si>
    <t>機械医学的召喚</t>
  </si>
  <si>
    <t>Saheeli's Artistry</t>
  </si>
  <si>
    <t>サヒーリの芸術</t>
  </si>
  <si>
    <t>Paradoxical Outcome</t>
  </si>
  <si>
    <t>逆説的な結果</t>
  </si>
  <si>
    <t>Insidious Will</t>
  </si>
  <si>
    <t>腹黒い意志</t>
  </si>
  <si>
    <t>Era of Innovation</t>
  </si>
  <si>
    <t>革新の時代</t>
  </si>
  <si>
    <t>Confiscation Coup</t>
  </si>
  <si>
    <t>Aethersquall Ancient</t>
  </si>
  <si>
    <t>霊気烈風の古きもの</t>
  </si>
  <si>
    <t>Minister of Inquiries</t>
  </si>
  <si>
    <t>査問長官</t>
  </si>
  <si>
    <t>Long-Finned Skywhale</t>
  </si>
  <si>
    <t>ヒレナガ空鯨</t>
  </si>
  <si>
    <t>Janjeet Sentry</t>
  </si>
  <si>
    <t>ジャンジーの歩哨</t>
  </si>
  <si>
    <t>Glint-Nest Crane</t>
  </si>
  <si>
    <t>光り物集めの鶴</t>
  </si>
  <si>
    <t>Glimmer of Genius</t>
  </si>
  <si>
    <t>Experimental Aviator</t>
  </si>
  <si>
    <t>試験飛行士</t>
  </si>
  <si>
    <t>Aether Meltdown</t>
  </si>
  <si>
    <t>霊気溶融</t>
  </si>
  <si>
    <t>Weldfast Wingsmith</t>
  </si>
  <si>
    <t>速接会の翼鍛冶</t>
  </si>
  <si>
    <t>Vedalken Blademaster</t>
  </si>
  <si>
    <t>ヴィダルケンの刃の達人</t>
  </si>
  <si>
    <t>Thriving Turtle</t>
  </si>
  <si>
    <t>亢進する亀</t>
  </si>
  <si>
    <t>Tezzeret's Ambition</t>
  </si>
  <si>
    <t>テゼレットの野望</t>
  </si>
  <si>
    <t>Revolutionary Rebuff</t>
  </si>
  <si>
    <t>革命的拒絶</t>
  </si>
  <si>
    <t>Nimble Innovator</t>
  </si>
  <si>
    <t>敏捷な革新者</t>
  </si>
  <si>
    <t>Hightide Hermit</t>
  </si>
  <si>
    <t>タカシオヤドカリ</t>
  </si>
  <si>
    <t>Gearseeker Serpent</t>
  </si>
  <si>
    <t>歯車襲いの海蛇</t>
  </si>
  <si>
    <t>Aether Tradewinds</t>
  </si>
  <si>
    <t>上天の貿易風</t>
  </si>
  <si>
    <t>Aether Theorist</t>
  </si>
  <si>
    <t>理論霊気学者</t>
  </si>
  <si>
    <t>Cataclysmic Gearhulk</t>
  </si>
  <si>
    <t>激変の機械巨人</t>
  </si>
  <si>
    <t>Angel of Invention</t>
  </si>
  <si>
    <t>発明の天使</t>
  </si>
  <si>
    <t>Aetherstorm Roc</t>
  </si>
  <si>
    <t>霊気嵐のロック</t>
  </si>
  <si>
    <t>Toolcraft Exemplar</t>
  </si>
  <si>
    <t>模範的な造り手</t>
  </si>
  <si>
    <t>Refurbish</t>
  </si>
  <si>
    <t>復元</t>
  </si>
  <si>
    <t>Master Trinketeer</t>
  </si>
  <si>
    <t>小物作りの達人</t>
  </si>
  <si>
    <t>Fumigate</t>
  </si>
  <si>
    <t>燻蒸</t>
  </si>
  <si>
    <t>Captured by the Consulate</t>
  </si>
  <si>
    <t>領事府による拘禁</t>
  </si>
  <si>
    <t>Authority of the Consuls</t>
  </si>
  <si>
    <t>領事の権限</t>
  </si>
  <si>
    <t>Visionary Augmenter</t>
  </si>
  <si>
    <t>先見的な増強者</t>
  </si>
  <si>
    <t>Skywhaler's Shot</t>
  </si>
  <si>
    <t>空鯨捕りの一撃</t>
  </si>
  <si>
    <t>Gearshift Ace</t>
  </si>
  <si>
    <t>変速の名手</t>
  </si>
  <si>
    <t>Consul's Shieldguard</t>
  </si>
  <si>
    <t>領事の盾護員</t>
  </si>
  <si>
    <t>Consulate Surveillance</t>
  </si>
  <si>
    <t>領事府の看視</t>
  </si>
  <si>
    <t>Aerial Responder</t>
  </si>
  <si>
    <t>空中対応員</t>
  </si>
  <si>
    <t>Thriving Ibex</t>
  </si>
  <si>
    <t>亢進するアイベックス</t>
  </si>
  <si>
    <t>Propeller Pioneer</t>
  </si>
  <si>
    <t>プロペラの先駆者</t>
  </si>
  <si>
    <t>Pressure Point</t>
  </si>
  <si>
    <t>圧点</t>
  </si>
  <si>
    <t>Ninth Bridge Patrol</t>
  </si>
  <si>
    <t>第九橋の巡回員</t>
  </si>
  <si>
    <t>Herald of the Fair</t>
  </si>
  <si>
    <t>博覧会の歓迎者</t>
  </si>
  <si>
    <t>Glint-Sleeve Artisan</t>
  </si>
  <si>
    <t>光袖会の職工</t>
  </si>
  <si>
    <t>Fragmentize</t>
  </si>
  <si>
    <t>断片化</t>
  </si>
  <si>
    <t>Eddytrail Hawk</t>
  </si>
  <si>
    <t>渦跡の鷹</t>
  </si>
  <si>
    <t>Built to Last</t>
  </si>
  <si>
    <t>Aviary Mechanic</t>
  </si>
  <si>
    <t>格納庫の整備士</t>
  </si>
  <si>
    <t>Ulrich, Uncontested Alpha</t>
  </si>
  <si>
    <t>揺るぎない頭目、ウルリッチ</t>
  </si>
  <si>
    <t>Howling Chorus</t>
  </si>
  <si>
    <t>多重吠え</t>
  </si>
  <si>
    <t>Fibrous Entangler</t>
  </si>
  <si>
    <t>繊維質の絡み屋</t>
  </si>
  <si>
    <t>Sinuous Predator</t>
  </si>
  <si>
    <t>しなやかな捕食者</t>
  </si>
  <si>
    <t>Hanweir, the Writhing Township</t>
  </si>
  <si>
    <t>のたうつ居住区、ハンウィアー</t>
  </si>
  <si>
    <t>Erupting Dreadwolf</t>
  </si>
  <si>
    <t>噴出する戦慄狼</t>
  </si>
  <si>
    <t>Conduit of Emrakul</t>
  </si>
  <si>
    <t>エムラクールの伝導者</t>
  </si>
  <si>
    <t>Abolisher of Bloodlines</t>
  </si>
  <si>
    <t>血統の撤廃者</t>
  </si>
  <si>
    <t>Chittering Host</t>
  </si>
  <si>
    <t>騒がしい徒党</t>
  </si>
  <si>
    <t>Voracious Reader</t>
  </si>
  <si>
    <t>貪欲な読書家</t>
  </si>
  <si>
    <t>Brisela, Voice of Nightmares</t>
  </si>
  <si>
    <t>悪夢の声、ブリセラ</t>
  </si>
  <si>
    <t>Extricator of Flesh</t>
  </si>
  <si>
    <t>肉体からの解放者</t>
  </si>
  <si>
    <t>It That Rides as One</t>
  </si>
  <si>
    <t>同体騎手</t>
  </si>
  <si>
    <t>Emrakul, the Promised End</t>
  </si>
  <si>
    <t>約束された終末、エムラクール</t>
  </si>
  <si>
    <t>Decimator of the Provinces</t>
  </si>
  <si>
    <t>州民を滅ぼすもの</t>
  </si>
  <si>
    <t>Distended Mindbender</t>
  </si>
  <si>
    <t>膨らんだ意識曲げ</t>
  </si>
  <si>
    <t>Elder Deep-Fiend</t>
  </si>
  <si>
    <t>老いたる深海鬼</t>
  </si>
  <si>
    <t>Eternal Scourge</t>
  </si>
  <si>
    <t>永遠の災い魔</t>
  </si>
  <si>
    <t>Vexing Scuttler</t>
  </si>
  <si>
    <t>厄介な船沈め</t>
  </si>
  <si>
    <t>Abundant Maw</t>
  </si>
  <si>
    <t>甚だしい大口</t>
  </si>
  <si>
    <t>Drownyard Behemoth</t>
  </si>
  <si>
    <t>溺墓のビヒモス</t>
  </si>
  <si>
    <t>Mockery of Nature</t>
  </si>
  <si>
    <t>自然もどき</t>
  </si>
  <si>
    <t>Lashweed Lurker</t>
  </si>
  <si>
    <t>絡み草の闇潜み</t>
  </si>
  <si>
    <t>Heron's Grace Champion</t>
  </si>
  <si>
    <t>優雅な鷺の勇者</t>
  </si>
  <si>
    <t>Ulrich of the Krallenhorde</t>
  </si>
  <si>
    <t>爪の群れのウルリッチ</t>
  </si>
  <si>
    <t>Grim Flayer</t>
  </si>
  <si>
    <t>残忍な剥ぎ取り</t>
  </si>
  <si>
    <t>Mournwillow</t>
  </si>
  <si>
    <t>嘆き細工</t>
  </si>
  <si>
    <t>Mercurial Geists</t>
  </si>
  <si>
    <t>気紛れな霊</t>
  </si>
  <si>
    <t>Gisa and Geralf</t>
  </si>
  <si>
    <t>ギサとゲラルフ</t>
  </si>
  <si>
    <t>Campaign of Vengeance</t>
  </si>
  <si>
    <t>復讐作戦</t>
  </si>
  <si>
    <t>Ishkanah, Grafwidow</t>
  </si>
  <si>
    <t>墓後家蜘蛛、イシュカナ</t>
  </si>
  <si>
    <t>Spirit of the Hunt</t>
  </si>
  <si>
    <t>狩りの精霊</t>
  </si>
  <si>
    <t>Emrakul's Evangel</t>
  </si>
  <si>
    <t>エムラクールの福音者</t>
  </si>
  <si>
    <t>Ulvenwald Observer</t>
  </si>
  <si>
    <t>ウルヴェンワルドの観察者</t>
  </si>
  <si>
    <t>Gnarlwood Dryad</t>
  </si>
  <si>
    <t>節くれ木のドライアド</t>
  </si>
  <si>
    <t>Shrill Howler</t>
  </si>
  <si>
    <t>けたたましく吠えるもの</t>
  </si>
  <si>
    <t>Tangleclaw Werewolf</t>
  </si>
  <si>
    <t>絡み爪の人狼</t>
  </si>
  <si>
    <t>Foul Emissary</t>
  </si>
  <si>
    <t>邪悪の使者</t>
  </si>
  <si>
    <t>Kessig Prowler</t>
  </si>
  <si>
    <t>ケッシグをうろつくもの</t>
  </si>
  <si>
    <t>Nahiri's Wrath</t>
  </si>
  <si>
    <t>ナヒリの怒り</t>
  </si>
  <si>
    <t>Mirrorwing Dragon</t>
  </si>
  <si>
    <t>鏡翼のドラゴン</t>
  </si>
  <si>
    <t>Hanweir Battlements</t>
  </si>
  <si>
    <t>ハンウィアーの要塞</t>
  </si>
  <si>
    <t>Hanweir Garrison</t>
  </si>
  <si>
    <t>ハンウィアー守備隊</t>
  </si>
  <si>
    <t>Bedlam Reveler</t>
  </si>
  <si>
    <t>騒乱の歓楽者</t>
  </si>
  <si>
    <t>Impetuous Devils</t>
  </si>
  <si>
    <t>性急な悪魔</t>
  </si>
  <si>
    <t>Assembled Alphas</t>
  </si>
  <si>
    <t>集合した頭目</t>
  </si>
  <si>
    <t>Smoldering Werewolf</t>
  </si>
  <si>
    <t>くすぶる狼男</t>
  </si>
  <si>
    <t>Shreds of Sanity</t>
  </si>
  <si>
    <t>正気の欠片</t>
  </si>
  <si>
    <t>Weaver of Lightning</t>
  </si>
  <si>
    <t>稲妻織り</t>
  </si>
  <si>
    <t>Furyblade Vampire</t>
  </si>
  <si>
    <t>怒り刃の吸血鬼</t>
  </si>
  <si>
    <t>Conduit of Storms</t>
  </si>
  <si>
    <t>嵐の伝導者</t>
  </si>
  <si>
    <t>Tree of Perdition</t>
  </si>
  <si>
    <t>地獄の樹</t>
  </si>
  <si>
    <t>Oath of Liliana</t>
  </si>
  <si>
    <t>リリアナの誓い</t>
  </si>
  <si>
    <t>Stromkirk Condemned</t>
  </si>
  <si>
    <t>流城の死刑囚</t>
  </si>
  <si>
    <t>Noosegraf Mob</t>
  </si>
  <si>
    <t>絞墓の群衆</t>
  </si>
  <si>
    <t>Voldaren Pariah</t>
  </si>
  <si>
    <t>ヴォルダーレンの下層民</t>
  </si>
  <si>
    <t>Ruthless Disposal</t>
  </si>
  <si>
    <t>無情な処分</t>
  </si>
  <si>
    <t>Graf Harvest</t>
  </si>
  <si>
    <t>墓の収穫</t>
  </si>
  <si>
    <t>Whispers of Emrakul</t>
  </si>
  <si>
    <t>エムラクールの囁き</t>
  </si>
  <si>
    <t>Midnight Scavengers</t>
  </si>
  <si>
    <t>夜深の死体あさり</t>
  </si>
  <si>
    <t>Graf Rats</t>
  </si>
  <si>
    <t>墓ネズミ</t>
  </si>
  <si>
    <t>Mind's Dilation</t>
  </si>
  <si>
    <t>意識の拡張</t>
  </si>
  <si>
    <t>Wharf Infiltrator</t>
  </si>
  <si>
    <t>波止場の潜入者</t>
  </si>
  <si>
    <t>Imprisoned in the Moon</t>
  </si>
  <si>
    <t>月への封印</t>
  </si>
  <si>
    <t>Niblis of Frost</t>
  </si>
  <si>
    <t>Final Iteration</t>
  </si>
  <si>
    <t>繰り返しつくしたもの</t>
  </si>
  <si>
    <t>Docent of Perfection</t>
  </si>
  <si>
    <t>完成態の講師</t>
  </si>
  <si>
    <t>Nebelgast Herald</t>
  </si>
  <si>
    <t>ネベルガストの伝令</t>
  </si>
  <si>
    <t>Chilling Grasp</t>
  </si>
  <si>
    <t>冷たいわしづかみ</t>
  </si>
  <si>
    <t>Curious Homunculus</t>
  </si>
  <si>
    <t>詮索好きのホムンクルス</t>
  </si>
  <si>
    <t>Advanced Stitchwing</t>
  </si>
  <si>
    <t>改良された縫い翼</t>
  </si>
  <si>
    <t>Deploy the Gatewatch</t>
  </si>
  <si>
    <t>ゲートウォッチ配備</t>
  </si>
  <si>
    <t>Gisela, the Broken Blade</t>
  </si>
  <si>
    <t>折れた刃、ギセラ</t>
  </si>
  <si>
    <t>Bruna, the Fading Light</t>
  </si>
  <si>
    <t>消えゆく光、ブルーナ</t>
  </si>
  <si>
    <t>Selfless Spirit</t>
  </si>
  <si>
    <t>無私の霊魂</t>
  </si>
  <si>
    <t>Sanctifier of Souls</t>
  </si>
  <si>
    <t>魂の聖別者</t>
  </si>
  <si>
    <t>Thalia, Heretic Cathar</t>
  </si>
  <si>
    <t>異端聖戦士、サリア</t>
  </si>
  <si>
    <t>Extricator of Sin</t>
  </si>
  <si>
    <t>罪からの解放者</t>
  </si>
  <si>
    <t>Lone Rider</t>
  </si>
  <si>
    <t>単体騎手</t>
  </si>
  <si>
    <t>Subjugator Angel</t>
  </si>
  <si>
    <t>支配の天使</t>
  </si>
  <si>
    <t>Give No Ground</t>
  </si>
  <si>
    <t>一所懸命</t>
  </si>
  <si>
    <t>Ormendahl, Profane Prince</t>
  </si>
  <si>
    <t>不敬の皇子、オーメンダール</t>
  </si>
  <si>
    <t>Stonewing Antagonizer</t>
  </si>
  <si>
    <t>石翼の反目者</t>
  </si>
  <si>
    <t>Werewolf of Ancient Hunger</t>
  </si>
  <si>
    <t>古き飢えの人狼</t>
  </si>
  <si>
    <t>Lambholt Butcher</t>
  </si>
  <si>
    <t>ラムホルトの解体者</t>
  </si>
  <si>
    <t>Lone Wolf of the Natterknolls</t>
  </si>
  <si>
    <t>ナッターノールズの一匹狼</t>
  </si>
  <si>
    <t>Krallenhorde Howler</t>
  </si>
  <si>
    <t>爪の群れの咆哮者</t>
  </si>
  <si>
    <t>One of the Pack</t>
  </si>
  <si>
    <t>群れの一員</t>
  </si>
  <si>
    <t>Timber Shredder</t>
  </si>
  <si>
    <t>森林を切り裂くもの</t>
  </si>
  <si>
    <t>Vildin-Pack Alpha</t>
  </si>
  <si>
    <t>ヴィルディン群れの頭目</t>
  </si>
  <si>
    <t>Moonrise Intruder</t>
  </si>
  <si>
    <t>月の出の侵入者</t>
  </si>
  <si>
    <t>Flameheart Werewolf</t>
  </si>
  <si>
    <t>炎心の人狼</t>
  </si>
  <si>
    <t>Neck Breaker</t>
  </si>
  <si>
    <t>首折り</t>
  </si>
  <si>
    <t>Gatstaf Ravagers</t>
  </si>
  <si>
    <t>ガツタフの荒廃者</t>
  </si>
  <si>
    <t>Branded Howler</t>
  </si>
  <si>
    <t>焼き印の咆哮者</t>
  </si>
  <si>
    <t>Insidious Mist</t>
  </si>
  <si>
    <t>陰湿な霧</t>
  </si>
  <si>
    <t>Demon-Possessed Witch</t>
  </si>
  <si>
    <t>悪魔憑きの魔女</t>
  </si>
  <si>
    <t>Heir to the Night</t>
  </si>
  <si>
    <t>夜陰の後継者</t>
  </si>
  <si>
    <t>Awoken Horror</t>
  </si>
  <si>
    <t>目覚めた恐怖</t>
  </si>
  <si>
    <t>Persistent Nightmare</t>
  </si>
  <si>
    <t>絶え間ない悪夢</t>
  </si>
  <si>
    <t>Unimpeded Trespasser</t>
  </si>
  <si>
    <t>阻み難い侵入者</t>
  </si>
  <si>
    <t>Bearer of Overwhelming Truths</t>
  </si>
  <si>
    <t>禁断の真相を知る者</t>
  </si>
  <si>
    <t>Perfected Form</t>
  </si>
  <si>
    <t>完成態</t>
  </si>
  <si>
    <t>Avacyn, the Purifier</t>
  </si>
  <si>
    <t>浄化の天使、アヴァシン</t>
  </si>
  <si>
    <t>Westvale Cult Leader</t>
  </si>
  <si>
    <t>ウェストヴェイル教団の指導者</t>
  </si>
  <si>
    <t>Incited Rabble</t>
  </si>
  <si>
    <t>扇動された民衆</t>
  </si>
  <si>
    <t>Wayward Disciple</t>
  </si>
  <si>
    <t>むら気な信奉者</t>
  </si>
  <si>
    <t>Lunarch Inquisitors</t>
  </si>
  <si>
    <t>月皇の審問官</t>
  </si>
  <si>
    <t>Tamiyo's Journal</t>
  </si>
  <si>
    <t>タミヨウの日誌</t>
  </si>
  <si>
    <t>Drownyard Temple</t>
  </si>
  <si>
    <t>溺墓の寺院</t>
  </si>
  <si>
    <t>Corrupted Grafstone</t>
  </si>
  <si>
    <t>崩れた墓石</t>
  </si>
  <si>
    <t>Brain in a Jar</t>
  </si>
  <si>
    <t>瓶詰め脳</t>
  </si>
  <si>
    <t>Slayer's Plate</t>
  </si>
  <si>
    <t>処刑者の板金鎧</t>
  </si>
  <si>
    <t>Haunted Cloak</t>
  </si>
  <si>
    <t>憑依の外套</t>
  </si>
  <si>
    <t>Westvale Abbey</t>
  </si>
  <si>
    <t>ウェストヴェイルの修道院</t>
  </si>
  <si>
    <t>Port Town</t>
  </si>
  <si>
    <t>港町</t>
  </si>
  <si>
    <t>Neglected Heirloom</t>
  </si>
  <si>
    <t>Magnifying Glass</t>
  </si>
  <si>
    <t>拡大鏡</t>
  </si>
  <si>
    <t>Game Trail</t>
  </si>
  <si>
    <t>獲物道</t>
  </si>
  <si>
    <t>Fortified Village</t>
  </si>
  <si>
    <t>要塞化した村</t>
  </si>
  <si>
    <t>Foreboding Ruins</t>
  </si>
  <si>
    <t>凶兆の廃墟</t>
  </si>
  <si>
    <t>Choked Estuary</t>
  </si>
  <si>
    <t>詰まった河口</t>
  </si>
  <si>
    <t>Thraben Gargoyle</t>
  </si>
  <si>
    <t>スレイベンのガーゴイル</t>
  </si>
  <si>
    <t>Runaway Carriage</t>
  </si>
  <si>
    <t>遁走する馬車</t>
  </si>
  <si>
    <t>Harvest Hand</t>
  </si>
  <si>
    <t>収穫の手</t>
  </si>
  <si>
    <t>Woodland Stream</t>
  </si>
  <si>
    <t>森林地の小川</t>
  </si>
  <si>
    <t>True-Faith Censer</t>
  </si>
  <si>
    <t>信条の香炉</t>
  </si>
  <si>
    <t>Stone Quarry</t>
  </si>
  <si>
    <t>採石場</t>
  </si>
  <si>
    <t>Highland Lake</t>
  </si>
  <si>
    <t>高地の湖</t>
  </si>
  <si>
    <t>Foul Orchard</t>
  </si>
  <si>
    <t>穢れた果樹園</t>
  </si>
  <si>
    <t>Forsaken Sanctuary</t>
  </si>
  <si>
    <t>放棄された聖域</t>
  </si>
  <si>
    <t>Explosive Apparatus</t>
  </si>
  <si>
    <t>爆発性の機器</t>
  </si>
  <si>
    <t>Skeleton Key</t>
  </si>
  <si>
    <t>合鍵</t>
  </si>
  <si>
    <t>Shard of Broken Glass</t>
  </si>
  <si>
    <t>ガラスの破片</t>
  </si>
  <si>
    <t>Murderer's Axe</t>
  </si>
  <si>
    <t>殺人者の斧</t>
  </si>
  <si>
    <t>Wild-Field Scarecrow</t>
  </si>
  <si>
    <t>荒原のカカシ</t>
  </si>
  <si>
    <t>Wicker Witch</t>
  </si>
  <si>
    <t>枝細工の魔女</t>
  </si>
  <si>
    <t>Epitaph Golem</t>
  </si>
  <si>
    <t>墓碑のゴーレム</t>
  </si>
  <si>
    <t>Sigarda, Heron's Grace</t>
  </si>
  <si>
    <t>優雅な鷺、シガルダ</t>
  </si>
  <si>
    <t>Olivia, Mobilized for War</t>
  </si>
  <si>
    <t>戦争に向かう者、オリヴィア</t>
  </si>
  <si>
    <t>Fevered Visions</t>
  </si>
  <si>
    <t>熱病の幻視</t>
  </si>
  <si>
    <t>Invocation of Saint Traft</t>
  </si>
  <si>
    <t>聖トラフトの祈祷</t>
  </si>
  <si>
    <t>Anguished Unmaking</t>
  </si>
  <si>
    <t>苦渋の破棄</t>
  </si>
  <si>
    <t>Altered Ego</t>
  </si>
  <si>
    <t>もう一人の自分</t>
  </si>
  <si>
    <t>Prized Amalgam</t>
  </si>
  <si>
    <t>秘蔵の縫合体</t>
  </si>
  <si>
    <t>Seasons Past</t>
  </si>
  <si>
    <t>過ぎ去った季節</t>
  </si>
  <si>
    <t>Ulvenwald Hydra</t>
  </si>
  <si>
    <t>ウルヴェンワルドのハイドラ</t>
  </si>
  <si>
    <t>Soul Swallower</t>
  </si>
  <si>
    <t>魂を飲み込むもの</t>
  </si>
  <si>
    <t>Cryptolith Rite</t>
  </si>
  <si>
    <t>謎の石の儀式</t>
  </si>
  <si>
    <t>Silverfur Partisan</t>
  </si>
  <si>
    <t>銀毛の援護者</t>
  </si>
  <si>
    <t>Sage of Ancient Lore</t>
  </si>
  <si>
    <t>古き知恵の賢者</t>
  </si>
  <si>
    <t>Inexorable Blob</t>
  </si>
  <si>
    <t>容赦無い泥塊</t>
  </si>
  <si>
    <t>Deathcap Cultivator</t>
  </si>
  <si>
    <t>死天狗茸の栽培者</t>
  </si>
  <si>
    <t>Weirding Wood</t>
  </si>
  <si>
    <t>奇妙な森</t>
  </si>
  <si>
    <t>Ulvenwald Mysteries</t>
  </si>
  <si>
    <t>ウルヴェンワルドの謎</t>
  </si>
  <si>
    <t>Howlpack Resurgence</t>
  </si>
  <si>
    <t>吠え群れの復活</t>
  </si>
  <si>
    <t>Veteran Cathar</t>
  </si>
  <si>
    <t>古参の聖戦士</t>
  </si>
  <si>
    <t>Obsessive Skinner</t>
  </si>
  <si>
    <t>偏執的な皮剥ぎ人</t>
  </si>
  <si>
    <t>Lambholt Pacifist</t>
  </si>
  <si>
    <t>ラムホルトの平和主義者</t>
  </si>
  <si>
    <t>Hermit of the Natterknolls</t>
  </si>
  <si>
    <t>ナッターノールズの隠遁者</t>
  </si>
  <si>
    <t>Gloomwidow</t>
  </si>
  <si>
    <t>鬱後家蜘蛛</t>
  </si>
  <si>
    <t>Duskwatch Recruiter</t>
  </si>
  <si>
    <t>薄暮見の徴募兵</t>
  </si>
  <si>
    <t>Briarbridge Patrol</t>
  </si>
  <si>
    <t>茨橋の巡回兵</t>
  </si>
  <si>
    <t>Vessel of Nascency</t>
  </si>
  <si>
    <t>発生の器</t>
  </si>
  <si>
    <t>Equestrian Skill</t>
  </si>
  <si>
    <t>乗馬術</t>
  </si>
  <si>
    <t>Root Out</t>
  </si>
  <si>
    <t>根から絶つ</t>
  </si>
  <si>
    <t>Might Beyond Reason</t>
  </si>
  <si>
    <t>道理を超えた力</t>
  </si>
  <si>
    <t>Aim High</t>
  </si>
  <si>
    <t>狙いは高く</t>
  </si>
  <si>
    <t>Watcher in the Web</t>
  </si>
  <si>
    <t>巣網から見張るもの</t>
  </si>
  <si>
    <t>Solitary Hunter</t>
  </si>
  <si>
    <t>孤独な狩人</t>
  </si>
  <si>
    <t>Quilled Wolf</t>
  </si>
  <si>
    <t>針毛の狼</t>
  </si>
  <si>
    <t>Moldgraf Scavenger</t>
  </si>
  <si>
    <t>黴墓のゴミあさり</t>
  </si>
  <si>
    <t>Kessig Dire Swine</t>
  </si>
  <si>
    <t>ケッシグの不吉な豚</t>
  </si>
  <si>
    <t>Intrepid Provisioner</t>
  </si>
  <si>
    <t>剛胆な補給兵</t>
  </si>
  <si>
    <t>Hinterland Logger</t>
  </si>
  <si>
    <t>内陸の木こり</t>
  </si>
  <si>
    <t>Byway Courier</t>
  </si>
  <si>
    <t>裏道の急使</t>
  </si>
  <si>
    <t>Harness the Storm</t>
  </si>
  <si>
    <t>嵐の活用</t>
  </si>
  <si>
    <t>Wolf of Devil's Breach</t>
  </si>
  <si>
    <t>悪魔の棲家の狼</t>
  </si>
  <si>
    <t>Geier Reach Bandit</t>
  </si>
  <si>
    <t>ガイアー岬の山賊</t>
  </si>
  <si>
    <t>Goldnight Castigator</t>
  </si>
  <si>
    <t>黄金夜の懲罰者</t>
  </si>
  <si>
    <t>Devil's Playground</t>
  </si>
  <si>
    <t>悪魔の遊び場</t>
  </si>
  <si>
    <t>Avacyn's Judgement</t>
  </si>
  <si>
    <t>アヴァシンの裁き</t>
  </si>
  <si>
    <t>Scourge Wolf</t>
  </si>
  <si>
    <t>災いの狼</t>
  </si>
  <si>
    <t>Flameblade Angel</t>
  </si>
  <si>
    <t>炎刃の天使</t>
  </si>
  <si>
    <t>Falkenrath Gorger</t>
  </si>
  <si>
    <t>ファルケンラスの過食者</t>
  </si>
  <si>
    <t>Stensia Masquerade</t>
  </si>
  <si>
    <t>ステンシア仮面舞踏会</t>
  </si>
  <si>
    <t>Malevolent Whispers</t>
  </si>
  <si>
    <t>邪悪な囁き</t>
  </si>
  <si>
    <t>Lightning Axe</t>
  </si>
  <si>
    <t>稲妻の斧</t>
  </si>
  <si>
    <t>Inner Struggle</t>
  </si>
  <si>
    <t>内面の葛藤</t>
  </si>
  <si>
    <t>Village Messenger</t>
  </si>
  <si>
    <t>村の伝書使</t>
  </si>
  <si>
    <t>Mad Prophet</t>
  </si>
  <si>
    <t>狂気の預言者</t>
  </si>
  <si>
    <t>Kessig Forgemaster</t>
  </si>
  <si>
    <t>ケッシグの鍛冶場主</t>
  </si>
  <si>
    <t>Gibbering Fiend</t>
  </si>
  <si>
    <t>つぶやく悪鬼</t>
  </si>
  <si>
    <t>Breakneck Rider</t>
  </si>
  <si>
    <t>首折れ道の乗り手</t>
  </si>
  <si>
    <t>Vessel of Volatility</t>
  </si>
  <si>
    <t>突沸の器</t>
  </si>
  <si>
    <t>Uncaged Fury</t>
  </si>
  <si>
    <t>放たれた怒り</t>
  </si>
  <si>
    <t>Tormenting Voice</t>
  </si>
  <si>
    <t>苦しめる声</t>
  </si>
  <si>
    <t>Senseless Rage</t>
  </si>
  <si>
    <t>無差別な怒り</t>
  </si>
  <si>
    <t>Rush of Adrenaline</t>
  </si>
  <si>
    <t>アドレナリン作用</t>
  </si>
  <si>
    <t>Dual Shot</t>
  </si>
  <si>
    <t>両手撃ち</t>
  </si>
  <si>
    <t>Sanguinary Mage</t>
  </si>
  <si>
    <t>苛虐な魔道士</t>
  </si>
  <si>
    <t>Pyre Hound</t>
  </si>
  <si>
    <t>Hulking Devil</t>
  </si>
  <si>
    <t>巨体の悪魔</t>
  </si>
  <si>
    <t>Gatstaf Arsonists</t>
  </si>
  <si>
    <t>ガツタフの放火魔</t>
  </si>
  <si>
    <t>Convicted Killer</t>
  </si>
  <si>
    <t>既決殺人犯</t>
  </si>
  <si>
    <t>Bloodmad Vampire</t>
  </si>
  <si>
    <t>血狂いの吸血鬼</t>
  </si>
  <si>
    <t>Behold the Beyond</t>
  </si>
  <si>
    <t>来世の警告</t>
  </si>
  <si>
    <t>Relentless Dead</t>
  </si>
  <si>
    <t>無情な死者</t>
  </si>
  <si>
    <t>Mindwrack Demon</t>
  </si>
  <si>
    <t>精神壊しの悪魔</t>
  </si>
  <si>
    <t>To the Slaughter</t>
  </si>
  <si>
    <t>餌食</t>
  </si>
  <si>
    <t>From Under the Floorboards</t>
  </si>
  <si>
    <t>床下から</t>
  </si>
  <si>
    <t>Ever After</t>
  </si>
  <si>
    <t>末永く</t>
  </si>
  <si>
    <t>Elusive Tormentor</t>
  </si>
  <si>
    <t>神出鬼没な拷問者</t>
  </si>
  <si>
    <t>Diregraf Colossus</t>
  </si>
  <si>
    <t>戦墓の巨人</t>
  </si>
  <si>
    <t>Creeping Dread</t>
  </si>
  <si>
    <t>忍び寄る驚怖</t>
  </si>
  <si>
    <t>Call the Bloodline</t>
  </si>
  <si>
    <t>血統の呼び出し</t>
  </si>
  <si>
    <t>Pale Rider of Trostad</t>
  </si>
  <si>
    <t>トロスタッドの死騎手</t>
  </si>
  <si>
    <t>Morkrut Necropod</t>
  </si>
  <si>
    <t>モークラッドの屍蛞蝓</t>
  </si>
  <si>
    <t>Kindly Stranger</t>
  </si>
  <si>
    <t>親切な余所者</t>
  </si>
  <si>
    <t>Indulgent Aristocrat</t>
  </si>
  <si>
    <t>甘やかす貴種</t>
  </si>
  <si>
    <t>Heir of Falkenrath</t>
  </si>
  <si>
    <t>ファルケンラスの後継者</t>
  </si>
  <si>
    <t>Ghoulsteed</t>
  </si>
  <si>
    <t>グール馬</t>
  </si>
  <si>
    <t>Accursed Witch</t>
  </si>
  <si>
    <t>呪われた魔女</t>
  </si>
  <si>
    <t>Throttle</t>
  </si>
  <si>
    <t>絞首</t>
  </si>
  <si>
    <t>Shamble Back</t>
  </si>
  <si>
    <t>よろめく帰還</t>
  </si>
  <si>
    <t>Macabre Waltz</t>
  </si>
  <si>
    <t>死の円舞曲</t>
  </si>
  <si>
    <t>Grotesque Mutation</t>
  </si>
  <si>
    <t>奇怪な突然変異</t>
  </si>
  <si>
    <t>Vampire Noble</t>
  </si>
  <si>
    <t>吸血貴族</t>
  </si>
  <si>
    <t>Twins of Maurer Estate</t>
  </si>
  <si>
    <t>マウアー地所の双子</t>
  </si>
  <si>
    <t>Sanitarium Skeleton</t>
  </si>
  <si>
    <t>療養所の骸骨</t>
  </si>
  <si>
    <t>Hound of the Farbogs</t>
  </si>
  <si>
    <t>遠沼の猟犬</t>
  </si>
  <si>
    <t>Ghoulcaller's Accomplice</t>
  </si>
  <si>
    <t>グール呼びの共犯者</t>
  </si>
  <si>
    <t>Farbog Revenant</t>
  </si>
  <si>
    <t>遠沼の亡霊</t>
  </si>
  <si>
    <t>Crow of Dark Tidings</t>
  </si>
  <si>
    <t>闇告げカラス</t>
  </si>
  <si>
    <t>Engulf the Shore</t>
  </si>
  <si>
    <t>岸の飲み込み</t>
  </si>
  <si>
    <t>Thing in the Ice</t>
  </si>
  <si>
    <t>氷の中の存在</t>
  </si>
  <si>
    <t>Startled Awake</t>
  </si>
  <si>
    <t>驚恐の目覚め</t>
  </si>
  <si>
    <t>Rattlechains</t>
  </si>
  <si>
    <t>鎖鳴らし</t>
  </si>
  <si>
    <t>Geralf's Masterpiece</t>
  </si>
  <si>
    <t>ゲラルフの傑作</t>
  </si>
  <si>
    <t>Welcome to the Fold</t>
  </si>
  <si>
    <t>教団の歓迎</t>
  </si>
  <si>
    <t>Nephalia Moondrakes</t>
  </si>
  <si>
    <t>ネファリアの月ドレイク</t>
  </si>
  <si>
    <t>Forgotten Creation</t>
  </si>
  <si>
    <t>忘れられた作品</t>
  </si>
  <si>
    <t>Trail of Evidence</t>
  </si>
  <si>
    <t>証拠の痕跡</t>
  </si>
  <si>
    <t>Ongoing Investigation</t>
  </si>
  <si>
    <t>継続する調査</t>
  </si>
  <si>
    <t>Rise from the Tides</t>
  </si>
  <si>
    <t>潮からの蘇生</t>
  </si>
  <si>
    <t>Pore Over the Pages</t>
  </si>
  <si>
    <t>熟読</t>
  </si>
  <si>
    <t>Broken Concentration</t>
  </si>
  <si>
    <t>集中破り</t>
  </si>
  <si>
    <t>Uninvited Geist</t>
  </si>
  <si>
    <t>招かれざる霊</t>
  </si>
  <si>
    <t>Stitchwing Skaab</t>
  </si>
  <si>
    <t>縫い翼のスカーブ</t>
  </si>
  <si>
    <t>Drunau Corpse Trawler</t>
  </si>
  <si>
    <t>ドルナウの死体あさり</t>
  </si>
  <si>
    <t>Daring Sleuth</t>
  </si>
  <si>
    <t>果敢な捜索者</t>
  </si>
  <si>
    <t>Aberrant Researcher</t>
  </si>
  <si>
    <t>逸脱した研究者</t>
  </si>
  <si>
    <t>Vessel of Paramnesia</t>
  </si>
  <si>
    <t>健忘の器</t>
  </si>
  <si>
    <t>Pieces of the Puzzle</t>
  </si>
  <si>
    <t>パズルの欠片</t>
  </si>
  <si>
    <t>Nagging Thoughts</t>
  </si>
  <si>
    <t>収まらぬ思い</t>
  </si>
  <si>
    <t>Just the Wind</t>
  </si>
  <si>
    <t>ただの風</t>
  </si>
  <si>
    <t>Gone Missing</t>
  </si>
  <si>
    <t>行方不明</t>
  </si>
  <si>
    <t>Ghostly Wings</t>
  </si>
  <si>
    <t>かそけき翼</t>
  </si>
  <si>
    <t>Catalog</t>
  </si>
  <si>
    <t>目録</t>
  </si>
  <si>
    <t>Stormrider Spirit</t>
  </si>
  <si>
    <t>嵐乗りの精霊</t>
  </si>
  <si>
    <t>Stitched Mangler</t>
  </si>
  <si>
    <t>縫合の刻み獣</t>
  </si>
  <si>
    <t>Silburlind Snapper</t>
  </si>
  <si>
    <t>シルブールリンドのカミツキガメ</t>
  </si>
  <si>
    <t>Seagraf Skaab</t>
  </si>
  <si>
    <t>海墓のスカーブ</t>
  </si>
  <si>
    <t>Lamplighter of Selhoff</t>
  </si>
  <si>
    <t>セルホフのランプ灯し</t>
  </si>
  <si>
    <t>Drownyard Explorers</t>
  </si>
  <si>
    <t>溺墓の探検者</t>
  </si>
  <si>
    <t>Descend upon the Sinful</t>
  </si>
  <si>
    <t>罪人への急襲</t>
  </si>
  <si>
    <t>Odric, Lunarch Marshal</t>
  </si>
  <si>
    <t>月皇の司令官、オドリック</t>
  </si>
  <si>
    <t>Archangel Avacyn</t>
  </si>
  <si>
    <t>大天使アヴァシン</t>
  </si>
  <si>
    <t>Angel of Deliverance</t>
  </si>
  <si>
    <t>救出の天使</t>
  </si>
  <si>
    <t>Always Watching</t>
  </si>
  <si>
    <t>永遠の見守り</t>
  </si>
  <si>
    <t>Declaration in Stone</t>
  </si>
  <si>
    <t>石の宣告</t>
  </si>
  <si>
    <t>Thalia's Lieutenant</t>
  </si>
  <si>
    <t>サリアの副官</t>
  </si>
  <si>
    <t>Hanweir Militia Captain</t>
  </si>
  <si>
    <t>ハンウィアーの民兵隊長</t>
  </si>
  <si>
    <t>Drogskol Cavalry</t>
  </si>
  <si>
    <t>ドラグスコルの騎兵</t>
  </si>
  <si>
    <t>Silverstrike</t>
  </si>
  <si>
    <t>銀の一撃</t>
  </si>
  <si>
    <t>Hope Against Hope</t>
  </si>
  <si>
    <t>死中に活</t>
  </si>
  <si>
    <t>Not Forgotten</t>
  </si>
  <si>
    <t>忘られじ</t>
  </si>
  <si>
    <t>Humble the Brute</t>
  </si>
  <si>
    <t>粗暴者の貶め</t>
  </si>
  <si>
    <t>Town Gossipmonger</t>
  </si>
  <si>
    <t>町のゴシップ屋</t>
  </si>
  <si>
    <t>Spectral Shepherd</t>
  </si>
  <si>
    <t>霊体の羊飼い</t>
  </si>
  <si>
    <t>Pious Evangel</t>
  </si>
  <si>
    <t>敬虔な福音者</t>
  </si>
  <si>
    <t>Paranoid Parish-Blade</t>
  </si>
  <si>
    <t>偏執的な教区刃</t>
  </si>
  <si>
    <t>Nearheath Chaplain</t>
  </si>
  <si>
    <t>近野の司祭</t>
  </si>
  <si>
    <t>Avacynian Missionaries</t>
  </si>
  <si>
    <t>アヴァシン教の宣教師</t>
  </si>
  <si>
    <t>Vessel of Ephemera</t>
  </si>
  <si>
    <t>刹那の器</t>
  </si>
  <si>
    <t>Survive the Night</t>
  </si>
  <si>
    <t>今夜を生き延びる</t>
  </si>
  <si>
    <t>Strength of Arms</t>
  </si>
  <si>
    <t>腕っぷし</t>
  </si>
  <si>
    <t>Ethereal Guidance</t>
  </si>
  <si>
    <t>天上からの導き</t>
  </si>
  <si>
    <t>Chaplain’s Blessing</t>
  </si>
  <si>
    <t>司祭の祈り</t>
  </si>
  <si>
    <t>Unruly Mob</t>
  </si>
  <si>
    <t>物騒な群衆</t>
  </si>
  <si>
    <t>Thraben Inspector</t>
  </si>
  <si>
    <t>スレイベンの検査官</t>
  </si>
  <si>
    <t>Stern Constable</t>
  </si>
  <si>
    <t>厳格な巡邏官</t>
  </si>
  <si>
    <t>Moorland Drifter</t>
  </si>
  <si>
    <t>ムーアランドの流れ者</t>
  </si>
  <si>
    <t>Militant Inquisitor</t>
  </si>
  <si>
    <t>戦闘的な審問官</t>
  </si>
  <si>
    <t>Inspiring Captain</t>
  </si>
  <si>
    <t>鼓舞する隊長</t>
  </si>
  <si>
    <t>Emissary of the Sleepless</t>
  </si>
  <si>
    <t>眠れぬ者の使者</t>
  </si>
  <si>
    <t>Dauntless Cathar</t>
  </si>
  <si>
    <t>不屈の聖戦士</t>
  </si>
  <si>
    <t>Apothecary Geist</t>
  </si>
  <si>
    <t>薬剤師の霊</t>
  </si>
  <si>
    <t>あなたがコントロールするクリーチャーが戦場に出たとき、それを強化し、その後このサポートを破壊する。&amp;br;あなたが呪文を唱えたとき、あなたの手札の最初の呪文のマナ・コストはかからなくなる。その後このサポートを破壊する。</t>
  </si>
  <si>
    <t>あなたが呪文を唱えたとき、あなたの手札の最初の呪文のマナ・コストはかからなくなる。その後このサポートを破壊する。</t>
  </si>
  <si>
    <t>あなたがコントロールするクリーチャーが戦場に出たとき、それを強化し、その後このサポートを破壊する。</t>
  </si>
  <si>
    <t>Mirrorpool</t>
  </si>
  <si>
    <t>鏡の池</t>
  </si>
  <si>
    <t>神話レア</t>
  </si>
  <si>
    <t>このクリーチャーが戦場に出たとき、あなたはカードを6枚引く。&amp;br;ジェム5個を起動する：あなたが手札でコントロールする各カードは1マナを得る。&amp;br;ジェム5個に罠をかける：対戦相手から5マナ吸収する。&amp;br;威迫</t>
  </si>
  <si>
    <t>ジェム5個を起動する：あなたが手札でコントロールする各カードは1マナを得る。</t>
  </si>
  <si>
    <t>このクリーチャーが戦場に出たとき、あなたはカードを6枚引く。</t>
  </si>
  <si>
    <t>エルドラージ</t>
  </si>
  <si>
    <t>Kozilek, the Great Distortion</t>
  </si>
  <si>
    <t>大いなる歪み、コジレック</t>
  </si>
  <si>
    <t>このサポートがボードにある間、あなたがコントロールする最初のクリーチャーは+1/0の修正を受け、攻撃するたび1/1のコー・同盟者・トークンを1体召喚する。</t>
  </si>
  <si>
    <t>Captain's Claws</t>
  </si>
  <si>
    <t>隊長の鉤爪</t>
  </si>
  <si>
    <t>レア</t>
  </si>
  <si>
    <t>対戦相手がこのクリーチャーに呪文を唱えたとき、対戦相手はカードを1枚捨てる。</t>
  </si>
  <si>
    <t>Reality Smasher</t>
  </si>
  <si>
    <t>現実を砕くもの</t>
  </si>
  <si>
    <t>このクリーチャーが破壊されたとき、あなたのライブラリーの次のカードを取ってくる。それは3マナを得る。</t>
  </si>
  <si>
    <t>Matter Reshaper</t>
  </si>
  <si>
    <t>作り変えるもの</t>
  </si>
  <si>
    <t>このサポートがボードにある間、あなたがコントロールする最初のクリーチャーは+1/+1の修正を受けるとともに速攻を得る。</t>
  </si>
  <si>
    <t>Strider Harness</t>
  </si>
  <si>
    <t>闊歩するものの装具</t>
  </si>
  <si>
    <t>アンコモン</t>
  </si>
  <si>
    <t>クリーチャー1体を対象とする。あなたのターン終了時まで、それに+3/-3の修正を与える。</t>
  </si>
  <si>
    <t>呪文</t>
  </si>
  <si>
    <t>Spatial Contortion</t>
  </si>
  <si>
    <t>次元の歪曲</t>
  </si>
  <si>
    <t>クリーチャー1体を対象とする。それは+2/+2の修正を受ける。</t>
  </si>
  <si>
    <t>Chitinous Cloak</t>
  </si>
  <si>
    <t>甲殻の外套</t>
  </si>
  <si>
    <t>このクリーチャーが戦場に出たとき、あなたが3個以上のサポートをコントロールしている場合、このクリーチャーは+3/+3の修正を受ける。</t>
  </si>
  <si>
    <t>Walker of the Wastes</t>
  </si>
  <si>
    <t>荒地を歩くもの</t>
  </si>
  <si>
    <t>あなたのターン開始時に、カードを1枚引く。</t>
  </si>
  <si>
    <t>ウィザード</t>
  </si>
  <si>
    <t>マーフォーク</t>
  </si>
  <si>
    <t>Jori En, Ruin Diver</t>
  </si>
  <si>
    <t>遺跡潜り、ジョリー・エン</t>
  </si>
  <si>
    <t>青赤</t>
  </si>
  <si>
    <t>ジェム2個を起動する：あなたがコントロールする最初のクリーチャーと、対戦相手がコントロールする最初のクリーチャーを破壊する。</t>
  </si>
  <si>
    <t>このクリーチャーが戦場に出たとき、あなたがコントロールする他の各クリーチャーは「このクリーチャーが破壊されたとき、あなたはこのクリーチャーのパワーに等しいライフを得る。」を得る。</t>
  </si>
  <si>
    <t>クレリック</t>
  </si>
  <si>
    <t>コー</t>
  </si>
  <si>
    <t>Ayli, Eternal Pilgrim</t>
  </si>
  <si>
    <t>永代巡礼者、アイリ</t>
  </si>
  <si>
    <t>白黒</t>
  </si>
  <si>
    <t>あなたのターン開始時に、1個のジェムを緑に、1個のジェムを赤に変換する。&amp;br;ジェム2個を起動する：あなたのターン終了時まで、あなたの他のクリーチャーはバーサーカーとトランプルを得る。</t>
  </si>
  <si>
    <t>ジェム2個を起動する：あなたのターン終了時まで、あなたの他のクリーチャーはバーサーカーとトランプルを得る。</t>
  </si>
  <si>
    <t>あなたのターン開始時に、1個のジェムを緑に、1個のジェムを赤に変換する。</t>
  </si>
  <si>
    <t>同盟者</t>
  </si>
  <si>
    <t>エルフ</t>
  </si>
  <si>
    <t>Mina and Denn, Wildborn</t>
  </si>
  <si>
    <t>野生生まれのミーナとデーン</t>
  </si>
  <si>
    <t>赤緑</t>
  </si>
  <si>
    <t>このクリーチャーが戦場に出たとき、最後に破壊されたクリーチャー2体をあなたの手札に戻す。</t>
  </si>
  <si>
    <t>ゾンビ</t>
  </si>
  <si>
    <t>Baloth Null</t>
  </si>
  <si>
    <t>ベイロスの虚身</t>
  </si>
  <si>
    <t>黒緑</t>
  </si>
  <si>
    <t>あなたが呪文を唱えたとき、あなたのターン終了時まで、このクリーチャーは+1/+1の修正を受ける。</t>
  </si>
  <si>
    <t>人間</t>
  </si>
  <si>
    <t>Stormchaser Mage</t>
  </si>
  <si>
    <t>嵐追いの魔道士</t>
  </si>
  <si>
    <t>あなたがライフを得たとき、対戦相手に1点のダメージを与える。</t>
  </si>
  <si>
    <t>戦士</t>
  </si>
  <si>
    <t>吸血鬼</t>
  </si>
  <si>
    <t>Cliffhaven Vampire</t>
  </si>
  <si>
    <t>岸壁安息所の吸血鬼</t>
  </si>
  <si>
    <t>ジェム2個を起動する：あなたのターン終了時まで、このクリーチャーは+1/+1の修正を受けるとともにトランプルとバーサーカーを得る。</t>
  </si>
  <si>
    <t>Relentless Hunter</t>
  </si>
  <si>
    <t>執拗な狩人</t>
  </si>
  <si>
    <t>あなたがコントロールする無色のクリーチャーが戦場に出たとき、対戦相手に1点のダメージを与える。</t>
  </si>
  <si>
    <t>ドローン</t>
  </si>
  <si>
    <t>Flayer Drone</t>
  </si>
  <si>
    <t>鞭打ちドローン</t>
  </si>
  <si>
    <t>黒赤</t>
  </si>
  <si>
    <t>ジェム1個を起動する：対戦相手が手札でコントロールする最後のカードを捨てる。</t>
  </si>
  <si>
    <t>Mindmelter</t>
  </si>
  <si>
    <t>精神溶かし</t>
  </si>
  <si>
    <t>青黒</t>
  </si>
  <si>
    <t>このクリーチャーが戦場に出たとき、対戦相手の手札が6枚以下の場合、クリーチャー1体を対象とし、それを対戦相手の手札に戻す。あなたの次のターン開始時まで、それのマナ・コストは300多くなる。</t>
  </si>
  <si>
    <t>Reflector Mage</t>
  </si>
  <si>
    <t>反射魔道士</t>
  </si>
  <si>
    <t>白青</t>
  </si>
  <si>
    <t>あなたが3個以上のジェムをマッチさせたとき、あなたは2マナを得る。&amp;br;あなたがコントロールするクリーチャーが戦場に出たとき、あなたはカードを1枚引く。</t>
  </si>
  <si>
    <t>あなたがコントロールするクリーチャーが戦場に出たとき、あなたはカードを1枚引く。</t>
  </si>
  <si>
    <t>あなたが3個以上のジェムをマッチさせたとき、あなたは2マナを得る。</t>
  </si>
  <si>
    <t>Zendikar Resurgent</t>
  </si>
  <si>
    <t>ゼンディカーの復興者</t>
  </si>
  <si>
    <t>緑</t>
  </si>
  <si>
    <t>あなたが5個以上のジェムをマッチさせたとき、このクリーチャーが戦場で破壊されたいた場合、それをあなたの手札に戻す。</t>
  </si>
  <si>
    <t>このクリーチャーが戦場に出たとき、対戦相手がコントロールする1個のサポートジェムと、その周りの5×5ブロックを破壊する。</t>
  </si>
  <si>
    <t>World Breaker</t>
  </si>
  <si>
    <t>世界を壊すもの</t>
  </si>
  <si>
    <t>このサポートが戦場に出たとき、あなたのライブラリーの次のカード4枚から1枚を取ってくる。それは6マナを得る。&amp;br;あなたが3個以上の緑ジェムをマッチさせたとき、あなたは2マナを得る。</t>
  </si>
  <si>
    <t>あなたが3個以上の緑ジェムをマッチさせたとき、あなたは2マナを得る。</t>
  </si>
  <si>
    <t>このサポートが戦場に出たとき、あなたのライブラリーの次のカード4枚から1枚を取ってくる。それは6マナを得る。</t>
  </si>
  <si>
    <t>Oath of Nissa</t>
  </si>
  <si>
    <t>ニッサの誓い</t>
  </si>
  <si>
    <t>ボードに8個以上の緑ジェムがある場合、このクリーチャーは+6/+6の修正を受ける。</t>
  </si>
  <si>
    <t>ドルイド</t>
  </si>
  <si>
    <t>Sylvan Advocate</t>
  </si>
  <si>
    <t>森の代言者</t>
  </si>
  <si>
    <t>このクリーチャーが戦場に出たとき、戦場に出ているあなたのコントロールする各クリーチャーは+2/+2の修正を受けるとともにバーサーカーを得る。</t>
  </si>
  <si>
    <t>騎士</t>
  </si>
  <si>
    <t>Gladehart Cavalry</t>
  </si>
  <si>
    <t>林鹿騎兵隊</t>
  </si>
  <si>
    <t>このクリーチャーが戦場で破壊されたとき、3/3の緑の狼・トークンを1体召喚する。</t>
  </si>
  <si>
    <t>エレメンタル</t>
  </si>
  <si>
    <t>Seed Guardian</t>
  </si>
  <si>
    <t>種子の守護者</t>
  </si>
  <si>
    <t>上陸：あなたのターン終了時まで、戦場に出ているあなたのコントロールする最初のクリーチャーは+3/+3の修正を受ける。</t>
  </si>
  <si>
    <t>このクリーチャーが戦場に出ている間、あなたがコントロールするすべての土地・エレメンタルは警戒を得る。</t>
  </si>
  <si>
    <t>Embodiment of Insight</t>
  </si>
  <si>
    <t>洞察の具象化</t>
  </si>
  <si>
    <t>ジェム2個を起動する：このクリーチャーのライフを完全に回復する。</t>
  </si>
  <si>
    <t>このクリーチャーが戦場に出たとき、「このクリーチャーが破壊されたとき、このクリーチャーのパワーの3倍のマナを得る。」を持つ1/1のエルドラージの末裔を2体召喚する。</t>
  </si>
  <si>
    <t>Birthing Hulk</t>
  </si>
  <si>
    <t>産み落とす巨体</t>
  </si>
  <si>
    <t>あなたがコントロールするエルドラージ・クリーチャーが戦場に出たとき、この呪文をあなたの手札に戻す。</t>
  </si>
  <si>
    <t>対戦相手がコントロールする各クリーチャーに2点のダメージを与える。</t>
  </si>
  <si>
    <t>Kozilek's Return</t>
  </si>
  <si>
    <t>コジレックの帰還</t>
  </si>
  <si>
    <t>赤</t>
  </si>
  <si>
    <t>このクリーチャーが戦場に出たとき、対戦相手と、対戦相手がコントロールする各クリーチャーに6点のダメージを与える。</t>
  </si>
  <si>
    <t>あなたが呪文、サポート、またはクリーチャーを唱えたとき、あなたのターン終了時までこのクリーチャーのマナ・コストは1少なくなる。</t>
  </si>
  <si>
    <t>ドラゴン</t>
  </si>
  <si>
    <t>Tyrant of Valakut</t>
  </si>
  <si>
    <t>ヴァラクートの暴君</t>
  </si>
  <si>
    <t>このサポートが戦場に出たとき、プレインズウォーカー1体かクリーチャー1体を対象とし、それに5点のダメージを与える。&amp;br;あなたがコントロールするトークンでないクリーチャーかサポートが戦場に出たとき、対戦相手に2点のダメージを与える。</t>
  </si>
  <si>
    <t>あなたがコントロールするトークンでないクリーチャーかサポートが戦場に出たとき、対戦相手に2点のダメージを与える。</t>
  </si>
  <si>
    <t>このサポートが戦場に出たとき、プレインズウォーカー1体かクリーチャー1体を対象とし、それに5点のダメージを与える。</t>
  </si>
  <si>
    <t>Oath of Chandra</t>
  </si>
  <si>
    <t>チャンドラの誓い</t>
  </si>
  <si>
    <t>このクリーチャーが戦場に出たとき、あなたが最後に唱えた呪文をあなたの手札に戻し、6マナを得る。</t>
  </si>
  <si>
    <t>ゴブリン</t>
  </si>
  <si>
    <t>Goblin Dark-Dwellers</t>
  </si>
  <si>
    <t>ゴブリンの闇住まい</t>
  </si>
  <si>
    <t>あなたが呪文を唱えたとき、対戦相手に1点のダメージを与える。</t>
  </si>
  <si>
    <t>Pyromancer's Assault</t>
  </si>
  <si>
    <t>紅蓮術師の突撃</t>
  </si>
  <si>
    <t>クリーチャー1体かプレインズウォーカーを対象とし、それに5点のダメージを与え、対戦相手に5マナを与える。</t>
  </si>
  <si>
    <t>Devour in Flames</t>
  </si>
  <si>
    <t>食い荒らす炎</t>
  </si>
  <si>
    <t>あなたが呪文、サポート、またはクリーチャーを唱えたとき、あなたのターン終了時まで、この呪文のマナ・コストは1少なくなる。&amp;br;このクリーチャーが戦場に出たとき、あなたのターン終了時まで、あなたがコントロールする各クリーチャーは速攻を得るとともに+1/+0の修正を受ける。</t>
  </si>
  <si>
    <t>このクリーチャーが戦場に出たとき、あなたのターン終了時まで、あなたがコントロールする各クリーチャーは速攻を得るとともに+1/+0の修正を受ける。</t>
  </si>
  <si>
    <t>あなたが呪文、サポート、またはクリーチャーを唱えたとき、あなたのターン終了時まで、この呪文のマナ・コストは1少なくなる。</t>
  </si>
  <si>
    <t>Reckless Bushwhacker</t>
  </si>
  <si>
    <t>無謀な奇襲隊</t>
  </si>
  <si>
    <t>ジェム3個を起動する：あなたがコントロールする最初のゾンビは-2/-2の修正を受け、このクリーチャーは+2/+2の修正を受ける。</t>
  </si>
  <si>
    <t>対戦相手がコントロールするクリーチャーが戦場で破壊されたとき、2/2のゾンビを1体召喚する。</t>
  </si>
  <si>
    <t>Kalitas, Traitor of Ghet</t>
  </si>
  <si>
    <t>ゲトの裏切り者、カリタス</t>
  </si>
  <si>
    <t>黒</t>
  </si>
  <si>
    <t>あなたのターン終了時に、嚥下3を行う。</t>
  </si>
  <si>
    <t>あなたのターン開始時に、ボードに1個以上の無色ジェムがある場合、各無色ジェムをあなたのプレインズウォーカーの色に変換し、5点のダメージを受ける。</t>
  </si>
  <si>
    <t>Inverter of Truth</t>
  </si>
  <si>
    <t>真実を覆すもの</t>
  </si>
  <si>
    <t>対戦相手のクリーチャーが少なくとも1体戦場に出ている場合、対戦相手がコントロールするクリーチャー1体を対象とし、それを破壊する。そうでない場合、対戦相手に10点のダメージを与える。&amp;br;対戦相手の手札が少なくとも2枚ある場合、対戦相手がコントロールする最後の2枚のカードを捨てる。そうでない場合、対戦相手に10点のダメージを与える。</t>
  </si>
  <si>
    <t>対戦相手の手札が少なくとも2枚ある場合、対戦相手がコントロールする最後の2枚のカードを捨てる。そうでない場合、対戦相手に10点のダメージを与える。</t>
  </si>
  <si>
    <t>対戦相手のクリーチャーが少なくとも1体戦場に出ている場合、対戦相手がコントロールするクリーチャー1体を対象とし、それを破壊する。そうでない場合、対戦相手に10点のダメージを与える。</t>
  </si>
  <si>
    <t>Remorseless Punishment</t>
  </si>
  <si>
    <t>無情な処罰</t>
  </si>
  <si>
    <t>ジェム3個を起動する：2/2のゾンビ・トークンを2体召喚する。</t>
  </si>
  <si>
    <t>Drana's Chosen</t>
  </si>
  <si>
    <t>ドラーナに選ばれし者</t>
  </si>
  <si>
    <t>クリーチャー1体を対象とし、それに「このクリーチャーが戦闘ダメージを与えたとき、あなたはこのクリーチャーが与えたダメージに等しい点数のダメージを受ける」と「ブロックされない｣を与える。</t>
  </si>
  <si>
    <t>Visions of Brutality</t>
  </si>
  <si>
    <t>粗暴な幻視</t>
  </si>
  <si>
    <t>あなたのターン開始時に、あなたのコントロールする無色のクリーチャーが2体以下の場合、あなたは2点のダメージを受ける。</t>
  </si>
  <si>
    <t>Reaver Drone</t>
  </si>
  <si>
    <t>搾取ドローン</t>
  </si>
  <si>
    <t>あなたが呪文、サポート、またはクリーチャーを唱えたとき、あなたのターン終了時まで、この呪文のマナ・コストは1少なくなる。&amp;br;戦場の各クリーチャーをそのオーナーの手札に戻す。オーナーの手札に空きがない場合、それらのクリーチャーは破壊される。破壊を無効にする効果は無視する。&amp;br;到達とトランプルを持つ8/8のタコ・トークンを2体召喚する。</t>
  </si>
  <si>
    <t>到達とトランプルを持つ8/8のタコ・トークンを2体召喚する。</t>
  </si>
  <si>
    <t>戦場の各クリーチャーをそのオーナーの手札に戻す。オーナーの手札に空きがない場合、それらのクリーチャーは破壊される。破壊を無効にする効果は無視する。</t>
  </si>
  <si>
    <t>Crush of Tentacles</t>
  </si>
  <si>
    <t>押し潰す触手</t>
  </si>
  <si>
    <t>青</t>
  </si>
  <si>
    <t>このクリーチャーが戦場に出ている間、戦場に出ているあなたの各クリーチャーは呪禁を得る。</t>
  </si>
  <si>
    <t>スフィンクス</t>
  </si>
  <si>
    <t>Sphinx of the Final Word</t>
  </si>
  <si>
    <t>終止符のスフィンクス</t>
  </si>
  <si>
    <t>このサポートが戦場に出たとき、カードを2枚引く。&amp;br;あなたが呪文かサポートを唱えたとき、対戦相手から1マナを吸収する。</t>
  </si>
  <si>
    <t>あなたが呪文かサポートを唱えたとき、対戦相手から1マナを吸収する。</t>
  </si>
  <si>
    <t>このサポートが戦場に出たとき、カードを2枚引く。</t>
  </si>
  <si>
    <t>Oath of Jace</t>
  </si>
  <si>
    <t>ジェイスの誓い</t>
  </si>
  <si>
    <t>ジェム2個を起動する：あなたのターン終了時まで、あなたがコントロールする最初のクリーチャーはブロックされない。</t>
  </si>
  <si>
    <t>あなたがコントロールするクリーチャーが対戦相手にダメージを与えるたび、カードを1枚引く。</t>
  </si>
  <si>
    <t>Deepfathom Skulker</t>
  </si>
  <si>
    <t>深水潜み</t>
  </si>
  <si>
    <t>このクリーチャーが戦場で破壊されたとき、速攻を持つ1/1の島・トークンを3体召喚する。</t>
  </si>
  <si>
    <t>Cyclone Sire</t>
  </si>
  <si>
    <t>竜巻の種父</t>
  </si>
  <si>
    <t>再生4</t>
  </si>
  <si>
    <t>このクリーチャーが戦場に出たとき、あなたは10点のライフを得るとともに、対戦相手がクリーチャーを3体コントロールしている場合、飛行を持つ4/4の天使・トークンを2体召喚する。</t>
  </si>
  <si>
    <t>Linvala, the Preserver</t>
  </si>
  <si>
    <t>保護者、リンヴァーラ</t>
  </si>
  <si>
    <t>白</t>
  </si>
  <si>
    <t>このクリーチャーが戦場に出たとき、あなたのライブラリーのこのクリーチャー以外の最初の同盟者・クリーチャーを取ってくる。それのマナ・コストはかからなくなる。&amp;br;ジェム5個を起動する：あなたがコントロールする各クリーチャーは+1/+1の修正を受ける。</t>
  </si>
  <si>
    <t>ジェム5個を起動する：あなたがコントロールする各クリーチャーは+1/+1の修正を受ける。</t>
  </si>
  <si>
    <t>このクリーチャーが戦場に出たとき、あなたのライブラリーのこのクリーチャー以外の最初の同盟者・クリーチャーを取ってくる。それのマナ・コストはかからなくなる。</t>
  </si>
  <si>
    <t>General Tazri</t>
  </si>
  <si>
    <t>タズリ将軍</t>
  </si>
  <si>
    <t>このサポートが戦場に出たとき、1/1のコー・同盟者・トークンを4体召喚する。&amp;br;上陸、白：1/1のコー・同盟者・トークンを4体召喚する。</t>
  </si>
  <si>
    <t>上陸、白：1/1のコー・同盟者・トークンを4体召喚する。</t>
  </si>
  <si>
    <t>このサポートが戦場に出たとき、1/1のコー・同盟者・トークンを4体召喚する。</t>
  </si>
  <si>
    <t>Oath of Gideon</t>
  </si>
  <si>
    <t>ギデオンの誓い</t>
  </si>
  <si>
    <t>このクリーチャーが戦場に出ている間、あなたの各クリーチャーに+2/+2の修正とバーサーカーを与える。&amp;br;あなたがコントロールするクリーチャーが戦場で破壊されたとき、カードを1枚引く。</t>
  </si>
  <si>
    <t>あなたがコントロールするクリーチャーが戦場で破壊されたとき、カードを1枚引く。</t>
  </si>
  <si>
    <t>このクリーチャーが戦場に出ている間、あなたの各クリーチャーに+2/+2の修正とバーサーカーを与える。</t>
  </si>
  <si>
    <t>工匠</t>
  </si>
  <si>
    <t>Stone Haven Outfitter</t>
  </si>
  <si>
    <t>岩屋の装備役</t>
  </si>
  <si>
    <t>ジェム2個を起動する：あなたがコントロールする各クリーチャーは+1/+1の修正をうける。</t>
  </si>
  <si>
    <t>Munda's Vanguard</t>
  </si>
  <si>
    <t>ムンダの先兵</t>
  </si>
  <si>
    <t>あなたのターン終了時まで、あなたがコントロールする各クリーチャーは+1/+0の修正を受けるとともにバーサーカーとダメージ軽減を得る。</t>
  </si>
  <si>
    <t>Make a Stand</t>
  </si>
  <si>
    <t>抗戦</t>
  </si>
  <si>
    <t>クリーチャー1体を対象とする。それは+2/+2の修正を受けるとともに警戒を得る。</t>
  </si>
  <si>
    <t>Iona's Blessing</t>
  </si>
  <si>
    <t>イオナの祝福</t>
  </si>
  <si>
    <t>2/2の白の騎士・同盟者・トークンを2体召喚する。</t>
  </si>
  <si>
    <t>Allied Reinforcements</t>
  </si>
  <si>
    <t>同盟者の援軍</t>
  </si>
  <si>
    <t>対戦相手がジェムをマッチさせたとき、あなたは3マナを得る。</t>
  </si>
  <si>
    <t>Void Winnower</t>
  </si>
  <si>
    <t>虚空の選別者</t>
  </si>
  <si>
    <t>このクリーチャーが攻撃した時、対戦相手の得意な色の各ジェムを無色ジェムに変換する。</t>
  </si>
  <si>
    <t>Ulamog, the Ceaseless Hunger</t>
  </si>
  <si>
    <t>絶え間ない飢餓、ウラモグ</t>
  </si>
  <si>
    <t>このクリーチャーが戦場に出たとき、嚥下10を行い、昇華5をあなたのために行う。</t>
  </si>
  <si>
    <t>Oblivion Sower</t>
  </si>
  <si>
    <t>忘却蒔き</t>
  </si>
  <si>
    <t>このクリーチャーが攻撃した時、嚥下5を行う。</t>
  </si>
  <si>
    <t>Bane of Bala Ged</t>
  </si>
  <si>
    <t>バーラ・ゲドを滅ぼすもの</t>
  </si>
  <si>
    <t>あなたのターン開始時に、1個のジェムを青に、1個のジェムを黒に変換する。</t>
  </si>
  <si>
    <t>Sunken Hollow</t>
  </si>
  <si>
    <t>窪み渓谷</t>
  </si>
  <si>
    <t>あなたのターン開始時に、1個のジェムを赤に、1個のジェムを黒に変換する。</t>
  </si>
  <si>
    <t>Smoldering Marsh</t>
  </si>
  <si>
    <t>燻る湿地</t>
  </si>
  <si>
    <t>あなたのターン開始時に、3マナを得る。</t>
  </si>
  <si>
    <t>Shrine of the Forsaken Gods</t>
  </si>
  <si>
    <t>見捨てられた神々の神殿</t>
  </si>
  <si>
    <t>あなたのターン開始時に、1個のジェムを白に、1個のジェムを黒に変換する。</t>
  </si>
  <si>
    <t>Shambling Vent</t>
  </si>
  <si>
    <t>乱脈な気孔</t>
  </si>
  <si>
    <t>あなたのターン開始時に、あなたは1マナを得る。</t>
  </si>
  <si>
    <t>Sanctum of Ugin</t>
  </si>
  <si>
    <t>ウギンの聖域</t>
  </si>
  <si>
    <t>あなたのターン開始時に、1個のジェムを白に、1個のジェムを青に変換する。</t>
  </si>
  <si>
    <t>Prairie Stream</t>
  </si>
  <si>
    <t>大草原の川</t>
  </si>
  <si>
    <t>あなたのターン開始時に、1個のジェムを緑に、1個のジェムを青に変換する。</t>
  </si>
  <si>
    <t>Lumbering Falls</t>
  </si>
  <si>
    <t>伐採地の滝</t>
  </si>
  <si>
    <t>あなたのターン開始時に、1個のジェムを赤に、1個のジェムを緑に変換する。</t>
  </si>
  <si>
    <t>Cinder Glade</t>
  </si>
  <si>
    <t>燃えがらの林間地</t>
  </si>
  <si>
    <t>あなたのターン開始時に、1個のジェムを白に、1個のジェムを緑に変換する。</t>
  </si>
  <si>
    <t>Canopy Vista</t>
  </si>
  <si>
    <t>梢の眺望</t>
  </si>
  <si>
    <t>あなたがパワーが8以上の無色のクリーチャーを手札でコントロールしている場合、クリーチャー1体を対象とし、それを破壊する。</t>
  </si>
  <si>
    <t>Titan's Presence</t>
  </si>
  <si>
    <t>タイタンの存在</t>
  </si>
  <si>
    <t>あなたのターン終了時まで、あなたがコントロールする無色の各クリーチャーは、攻撃する代わりに、そのパワーをダメージとして対戦相手がコントロールする最初のクリーチャーに与える。</t>
  </si>
  <si>
    <t>Gruesome Slaughter</t>
  </si>
  <si>
    <t>陰惨な殺戮</t>
  </si>
  <si>
    <t>あなたの次のターン開始時まで、パワーが5以上の各クリーチャーは無効化される。</t>
  </si>
  <si>
    <t>Aligned Hedron Network</t>
  </si>
  <si>
    <t>連結面晶体構造</t>
  </si>
  <si>
    <t>覚醒15：このクリーチャーに+10/+10の修正を与える。</t>
  </si>
  <si>
    <t>Endless One</t>
  </si>
  <si>
    <t>果てしなきもの</t>
  </si>
  <si>
    <t>トランプル</t>
  </si>
  <si>
    <t>Eldrazi Devastator</t>
  </si>
  <si>
    <t>エルドラージの壊滅させるもの</t>
  </si>
  <si>
    <t>このクリーチャーが戦場に出たとき、10/10のエルドラージを1体召喚する。</t>
  </si>
  <si>
    <t>Desolation Twin</t>
  </si>
  <si>
    <t>荒廃の双子</t>
  </si>
  <si>
    <t>このクリーチャーが戦場に出たとき、あなたのライブラリーの最初の無色クリーチャーをライブラリーの一番上へ移動する。</t>
  </si>
  <si>
    <t>Conduit of Ruin</t>
  </si>
  <si>
    <t>破滅の伝導者</t>
  </si>
  <si>
    <t>このクリーチャーが戦場に出たとき、昇華2を行い、「このクリーチャーが破壊されたとき、このクリーチャーのパワーの3倍のマナを得る。」を持つ1/1のエルドラージの末裔を3体召喚する。</t>
  </si>
  <si>
    <t>昇華者</t>
  </si>
  <si>
    <t>Blight Herder</t>
  </si>
  <si>
    <t>荒廃を招くもの</t>
  </si>
  <si>
    <t>あなたのターンの開始時に、あなたは3マナを得る。</t>
  </si>
  <si>
    <t>Spawning Bed</t>
  </si>
  <si>
    <t>繁殖苗床</t>
  </si>
  <si>
    <t>ジェム1個を起動する：対戦相手がコントロールする最初のクリーチャーに1点のダメージを与え、あなたの次のターン開始時まで、それを無効化する。</t>
  </si>
  <si>
    <t>Pathway Arrows</t>
  </si>
  <si>
    <t>突き抜けの矢</t>
  </si>
  <si>
    <t>あなたのターン開始時に、2マナを得る。</t>
  </si>
  <si>
    <t>Hedron Archive</t>
  </si>
  <si>
    <t>面晶体の記録庫</t>
  </si>
  <si>
    <t>クリーチャー1体を対象とする。それに嚥下1と「あなたが攻撃したとき、あなたのターン終了時まで、そおれは+2/+2の修正を受ける。」を与える。</t>
  </si>
  <si>
    <t>Slab Hammer</t>
  </si>
  <si>
    <t>板岩の槌</t>
  </si>
  <si>
    <t>このクリーチャーが戦場に出たとき、昇華2を行う：このクリーチャーは+4/+4の修正を受ける。</t>
  </si>
  <si>
    <t>Ulamog's Despoiler</t>
  </si>
  <si>
    <t>Pilgrim's Eye</t>
  </si>
  <si>
    <t>巡礼者の目</t>
  </si>
  <si>
    <t>Deathless Behemoth</t>
  </si>
  <si>
    <t>不死のビヒモス</t>
  </si>
  <si>
    <t>バーサーカー</t>
  </si>
  <si>
    <t>Breaker of Armies</t>
  </si>
  <si>
    <t>軍団を破壊するもの</t>
  </si>
  <si>
    <t>このサポートが戦場に出たとき、クリーチャー1体を対象とする。あなたの次のターン開始時まで、それを無効化する。</t>
  </si>
  <si>
    <t>Skyline Cascade</t>
  </si>
  <si>
    <t>天空の滝</t>
  </si>
  <si>
    <t>コモン</t>
  </si>
  <si>
    <t>クリーチャー1体を対象とする。あなたの次のターン開始時まで、それに+1/+1の修正と警戒を与える。</t>
  </si>
  <si>
    <t>Sandstone Bridge</t>
  </si>
  <si>
    <t>砂岩の橋</t>
  </si>
  <si>
    <t>このサポートが戦場に出たとき、あなたがコントロールしていた最後に破壊されたクリーチャーをライブラリーの一番上に戻す。</t>
  </si>
  <si>
    <t>Mortuary Mire</t>
  </si>
  <si>
    <t>亡骸のぬかるみ</t>
  </si>
  <si>
    <t>あなたのターン開始時に、対戦相手が無色のクリーチャーをコントロールしている場合、あなたのターン終了時まで、あなたの最初のクリーチャーは+1/+1の修正を受け、接死とバーサーカーを得る。</t>
  </si>
  <si>
    <t>Hedron Blade</t>
  </si>
  <si>
    <t>面晶体の刃</t>
  </si>
  <si>
    <t>このサポートが戦場に出たとき、3個のジェムを緑に変換する。</t>
  </si>
  <si>
    <t>Fertile Thicket</t>
  </si>
  <si>
    <t>肥沃な茂み</t>
  </si>
  <si>
    <t>あなたのターン開始時に、1マナを得る。</t>
  </si>
  <si>
    <t>Ally Encampment</t>
  </si>
  <si>
    <t>同盟者の宿営地</t>
  </si>
  <si>
    <t>クリーチャー1体を対象とし、それを破壊して、嚥下3を行う。</t>
  </si>
  <si>
    <t>Scour from Existence</t>
  </si>
  <si>
    <t>存在の一掃</t>
  </si>
  <si>
    <t>このクリーチャーが戦場に出たとき、昇華1を行う：5点のライフを得る。</t>
  </si>
  <si>
    <t>Ruin Processor</t>
  </si>
  <si>
    <t>破滅の昇華者</t>
  </si>
  <si>
    <t>ジェム1個を起動する：2マナを得る。</t>
  </si>
  <si>
    <t>Kozilek's Channeler</t>
  </si>
  <si>
    <t>コジレックの媒介者</t>
  </si>
  <si>
    <t>あなたのライブラリーの最初のカードを取ってくる。それのマナ・コストはかからなくなる。</t>
  </si>
  <si>
    <t>Bring to Light</t>
  </si>
  <si>
    <t>白日の下に</t>
  </si>
  <si>
    <t>緑青</t>
  </si>
  <si>
    <t>どちらかのプレイヤーが上陸を発動させたとき、5/5のエレメンタルを1体召喚する。&amp;br;エレメンタル・クリーチャーが破壊されるたび、対戦相手に5点のダメージを与える。</t>
  </si>
  <si>
    <t>エレメンタル・クリーチャーが破壊されるたび、対戦相手に5点のダメージを与える。</t>
  </si>
  <si>
    <t>どちらかのプレイヤーが上陸を発動させたとき、5/5のエレメンタルを1体召喚する。</t>
  </si>
  <si>
    <t>Omnath, Locus of Rage</t>
  </si>
  <si>
    <t>怒りの座、オムナス</t>
  </si>
  <si>
    <t>対戦相手が上陸を発動させたとき、嚥下2を行い、カードを1枚引く。</t>
  </si>
  <si>
    <t>Sire of Stagnation</t>
  </si>
  <si>
    <t>淀みの種父</t>
  </si>
  <si>
    <t>このクリーチャーが攻撃したとき、これはあなたがコントロールする他の同盟者1体につき+2/+2の修正を受ける。</t>
  </si>
  <si>
    <t>Angelic Captain</t>
  </si>
  <si>
    <t>天使の隊長</t>
  </si>
  <si>
    <t>赤白</t>
  </si>
  <si>
    <t>あなたがコントロールするクリーチャーが破壊されるたび、あなたのターン終了時まで、対戦相手がコントロールする最初のクリーチャーは-2/-2の修正を受ける。</t>
  </si>
  <si>
    <t>このクリーチャーが戦場に出たとき、「このクリーチャーが破壊されたとき、このクリーチャーのパワーの3倍のマナを得る。」を持つ1/1のエルドラージの末裔を1体召喚する。</t>
  </si>
  <si>
    <t>Brood Butcher</t>
  </si>
  <si>
    <t>血統の解体者</t>
  </si>
  <si>
    <t>対戦相手の手札が5枚以下の場合、対戦相手がコントロールするクリーチャー1体を対象とし、それを対戦相手の手札に戻す。対戦相手に5点のダメージを与える。</t>
  </si>
  <si>
    <t>Brutal Expulsion</t>
  </si>
  <si>
    <t>粗暴な排除</t>
  </si>
  <si>
    <t>最後に破壊された同盟者・クリーチャー3対を戦場に戻す。</t>
  </si>
  <si>
    <t>March from the Tomb</t>
  </si>
  <si>
    <t>墓所からの行進</t>
  </si>
  <si>
    <t>このクリーチャーはあなたがコントロールするクリーチャーの数の+2に等しいパワーとタフネスの修正を受ける。&amp;br;このクリーチャーが攻撃した時、あなたが1体の同盟者をコントロールしている場合、あなたの次のターン開始時まで、このクリーチャーはトランプルを得る。&amp;br;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</si>
  <si>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</si>
  <si>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このクリーチャーが攻撃した時、あなたが1体の同盟者をコントロールしている場合、あなたの次のターン開始時まで、このクリーチャーはトランプルを得る。</t>
  </si>
  <si>
    <t>このクリーチャーはあなたがコントロールするクリーチャーの数の+2に等しいパワーとタフネスの修正を受ける。</t>
  </si>
  <si>
    <t>兵士</t>
  </si>
  <si>
    <t>Veteran Warleader</t>
  </si>
  <si>
    <t>古参の戦導者</t>
  </si>
  <si>
    <t>緑白</t>
  </si>
  <si>
    <t>あなたのターン終了時に、無色のクリーチャーがあなたのコントロール下で戦場にない場合、このクリーチャーを手札に戻す。</t>
  </si>
  <si>
    <t>Dust Stalker</t>
  </si>
  <si>
    <t>塵の中を忍び寄るもの</t>
  </si>
  <si>
    <t>ジェム5個を起動する：カードを1枚引いて、あなたと対戦相手両方に嚥下1を行う。</t>
  </si>
  <si>
    <t>このクリーチャーがプレインズウォーカーにダメージを与えたとき、嚥下2を行う。</t>
  </si>
  <si>
    <t>Fathom Feeder</t>
  </si>
  <si>
    <t>深水の大喰らい</t>
  </si>
  <si>
    <t>あなたが呪文を唱えたとき、このクリーチャーに+3/+3の修正を与える。</t>
  </si>
  <si>
    <t>Noyan Dar, Roil Shaper</t>
  </si>
  <si>
    <t>乱動を刻む者、ノヤン・ダール</t>
  </si>
  <si>
    <t>収斂：このクリーチャーが戦場に出たとき、これは+X/+Xの修正を受ける。Xの値はあなたが収斂したマナに等しい。</t>
  </si>
  <si>
    <t>Skyrider Elf</t>
  </si>
  <si>
    <t>空乗りのエルフ</t>
  </si>
  <si>
    <t>結集：あなたのターン終了時まで、あなたの各クリーチャーは二段攻撃を得る。</t>
  </si>
  <si>
    <t>Resolute Blademaster</t>
  </si>
  <si>
    <t>毅然たる刃の達人</t>
  </si>
  <si>
    <t>あなたがコントロールするクリーチャーが破壊されたとき、カードを1枚引く。</t>
  </si>
  <si>
    <t>Catacomb Sifter</t>
  </si>
  <si>
    <t>地下墓地の選別者</t>
  </si>
  <si>
    <t>このクリーチャーが戦場にいる間、あなたがコントロールする無色の各カードのマナ・コストは1少なくなる。</t>
  </si>
  <si>
    <t>Herald of Kozilek</t>
  </si>
  <si>
    <t>コジレックの伝令</t>
  </si>
  <si>
    <t>あなたのターン開始時に、あなたは1点のライフを得て、対戦相手に1点のダメージを与える。</t>
  </si>
  <si>
    <t>Drana's Emissary</t>
  </si>
  <si>
    <t>ドラーナの使者</t>
  </si>
  <si>
    <t>結集：あなたは1マナを失い、1/1の植物・トークンを1体召喚する。</t>
  </si>
  <si>
    <t>Grovetender Druids</t>
  </si>
  <si>
    <t>林番のドルイド</t>
  </si>
  <si>
    <t>上陸：あなたのターン終了時まで、このクリーチャーは+2/+2の修正を受ける。</t>
  </si>
  <si>
    <t>Grove Rumbler</t>
  </si>
  <si>
    <t>林の喧騒者</t>
  </si>
  <si>
    <t>無色のクリーチャーが戦場に出たとき、それは速攻を得る。</t>
  </si>
  <si>
    <t>Forerunner of Slaughter</t>
  </si>
  <si>
    <t>殺戮の先陣</t>
  </si>
  <si>
    <t>このクリーチャーが戦場に出たとき、昇華2を行う：対戦相手の手札の最初のカードからすべてのマナを吸収する。</t>
  </si>
  <si>
    <t>Ulamog's Nullifier</t>
  </si>
  <si>
    <t>ウラモグの失却させるもの</t>
  </si>
  <si>
    <t>クリーチャーをそのオーナーのライブラリーの一番上に戻す。&amp;br;覚醒8：速攻を持つ1/1の平地・エレメンタル・トークンを4体召喚する。</t>
  </si>
  <si>
    <t>覚醒8：速攻を持つ1/1の平地・エレメンタル・トークンを4体召喚する。</t>
  </si>
  <si>
    <t>クリーチャーをそのオーナーのライブラリーの一番上に戻す。</t>
  </si>
  <si>
    <t>Roil Spout</t>
  </si>
  <si>
    <t>乱動の噴出</t>
  </si>
  <si>
    <t>20個のジェムを緑に変換し、30点のライフを得る。</t>
  </si>
  <si>
    <t>Nissa's Renewal</t>
  </si>
  <si>
    <t>ニッサの復興</t>
  </si>
  <si>
    <t>上陸：このクリーチャーは+1/+1の修正を受ける。</t>
  </si>
  <si>
    <t>このクリーチャーがダメージを受けたとき、タフネスを失う代わりに-1/-1を失う。</t>
  </si>
  <si>
    <t>Undergrowth Champion</t>
  </si>
  <si>
    <t>下生えの勇者</t>
  </si>
  <si>
    <t>あなたがコントロールしている他のクリーチャーが破壊されたとき、それを戦場に戻す。</t>
  </si>
  <si>
    <t>Greenwarden of Murasa</t>
  </si>
  <si>
    <t>ムラーサの緑守り</t>
  </si>
  <si>
    <t>このサポートが破壊されたとき、最後に破壊されたエルドラージ・クリーチャーをあなたの手札に戻す。</t>
  </si>
  <si>
    <t>あなたのターン開始時に、「このクリーチャーが破壊されたとき、このクリーチャーのパワーの3倍のマナを得る。」を持つ1/1のエルドラージの末裔を1体召喚する。</t>
  </si>
  <si>
    <t>From Beyond</t>
  </si>
  <si>
    <t>彼方より</t>
  </si>
  <si>
    <t>このクリーチャーが戦場に出たとき、これは+X/+Xの修正を受ける。Xの値はあなたが収斂したマナに等しい。</t>
  </si>
  <si>
    <t>Woodland Wanderer</t>
  </si>
  <si>
    <t>放浪する森林</t>
  </si>
  <si>
    <t>上陸、緑：このクリーチャーは+2/+2の修正を受ける。</t>
  </si>
  <si>
    <t>ハイドラ</t>
  </si>
  <si>
    <t>Oran-Rief Hydra</t>
  </si>
  <si>
    <t>オラン＝リーフのハイドラ</t>
  </si>
  <si>
    <t>緑ジェム3個を起動する：手札の最初のクリーチャーは3マナを得る。</t>
  </si>
  <si>
    <t>シャーマン</t>
  </si>
  <si>
    <t>Beastcaller Savant</t>
  </si>
  <si>
    <t>獣呼びの学者</t>
  </si>
  <si>
    <t>上陸：あなたがコントロールする最初のクリーチャーは+1/+1の修正を受け、あなたは2点のライフを得る。</t>
  </si>
  <si>
    <t>Retreat to Kazandu</t>
  </si>
  <si>
    <t>カザンドゥへの撤退</t>
  </si>
  <si>
    <t>あなたのターン開始時に、1マナを得る。&amp;br;このサポートが破壊されたとき、6個のジェムを緑に変換する。</t>
  </si>
  <si>
    <t>このサポートが破壊されたとき、6個のジェムを緑に変換する。</t>
  </si>
  <si>
    <t>Blighted Woodland</t>
  </si>
  <si>
    <t>荒廃した森林</t>
  </si>
  <si>
    <t>5個のジェムを対戦相手の色からあなたの色に変換する。</t>
  </si>
  <si>
    <t>Sylvan Scrying</t>
  </si>
  <si>
    <t>森の占術</t>
  </si>
  <si>
    <t>収斂：クリーチャー1体を対象とする。あなたのターン終了時まで、それに+X/+Xの修正とトランプルを与える。Xは収斂されたマナの2倍に等しい。</t>
  </si>
  <si>
    <t>Infuse with the Elements</t>
  </si>
  <si>
    <t>大自然の注入</t>
  </si>
  <si>
    <t>ジェム1個を起動する：3個以上の無色ジェムがある場合、「このクリーチャーが破壊されたとき、このクリーチャーのパワーの3倍のマナを得る。」を持つ1/1のエルドラージの末裔を1体召喚する。</t>
  </si>
  <si>
    <t>Void Attendant</t>
  </si>
  <si>
    <t>虚空の従者</t>
  </si>
  <si>
    <t>結集：あなたのターン終了時まで、あなたの各クリーチャーに+2/+2の修正を与える。</t>
  </si>
  <si>
    <t>Tajuru Warcaller</t>
  </si>
  <si>
    <t>タジュールの戦呼び</t>
  </si>
  <si>
    <t>上陸：あなたのターン終了時まで、このクリーチャーは+1/+1の修正を受ける。</t>
  </si>
  <si>
    <t>猫</t>
  </si>
  <si>
    <t>Scythe Leopard</t>
  </si>
  <si>
    <t>鎌豹</t>
  </si>
  <si>
    <t>呪禁 トランプル</t>
  </si>
  <si>
    <t>Plated Crusher</t>
  </si>
  <si>
    <t>板金鎧の破壊屋</t>
  </si>
  <si>
    <t>上陸：2マナを失い、このクリーチャーに+2/+2の修正を与える。</t>
  </si>
  <si>
    <t>Murasa Ranger</t>
  </si>
  <si>
    <t>ムラーサのレインジャー</t>
  </si>
  <si>
    <t>ジェム3個を起動する：あなたは3マナを得る。</t>
  </si>
  <si>
    <t>Lifespring Druid</t>
  </si>
  <si>
    <t>生命湧きのドルイド</t>
  </si>
  <si>
    <t>Brood Monitor</t>
  </si>
  <si>
    <t>血統の観察者</t>
  </si>
  <si>
    <t>クリーチャー1体を対象とする。あなたのターン終了時まで、それに+2/+2の修正を与えて、3個のジェムを緑に変換する。</t>
  </si>
  <si>
    <t>Swell of Growth</t>
  </si>
  <si>
    <t>成長のうねり</t>
  </si>
  <si>
    <t>あなたのライブラリーの次のカード4枚からクリーチャーカード1枚を選び、ライブラリーの次のクリーチャーカード3枚をライブラリーの一番下に移動する。</t>
  </si>
  <si>
    <t>Seek the Wilds</t>
  </si>
  <si>
    <t>未開地の捜索</t>
  </si>
  <si>
    <t>1個のサポートジェムを破壊する。</t>
  </si>
  <si>
    <t>Reclaiming Vines</t>
  </si>
  <si>
    <t>回収蔦</t>
  </si>
  <si>
    <t>飛行を持つクリーチャー1体を対象とし、それを破壊する。</t>
  </si>
  <si>
    <t>Plummet</t>
  </si>
  <si>
    <t>垂直落下</t>
  </si>
  <si>
    <t>3個のジェムを緑に変換する。</t>
  </si>
  <si>
    <t>Natural Connection</t>
  </si>
  <si>
    <t>自然の繋がり</t>
  </si>
  <si>
    <t>クリーチャー1体を対象とし、それに+2/+2の修正を与える。&amp;br;覚醒12：速攻を持つ1/1の森・エレメンタル・トークンを4体召喚する。</t>
  </si>
  <si>
    <t>覚醒12：速攻を持つ1/1の森・エレメンタル・トークンを4体召喚する。</t>
  </si>
  <si>
    <t>クリーチャー1体を対象とし、それに+2/+2の修正を与える。</t>
  </si>
  <si>
    <t>Earthen Arms</t>
  </si>
  <si>
    <t>大地の武装</t>
  </si>
  <si>
    <t>「このクリーチャーが破壊されたとき、このクリーチャーのパワーの3倍のマナを得る。」を持つ1/1のエルドラージの末裔を2体召喚する。</t>
  </si>
  <si>
    <t>Call the Scions</t>
  </si>
  <si>
    <t>末裔の呼び出し</t>
  </si>
  <si>
    <t>Territorial Baloth</t>
  </si>
  <si>
    <t>領地のベイロス</t>
  </si>
  <si>
    <t>スカウト</t>
  </si>
  <si>
    <t>Tajuru Stalwart</t>
  </si>
  <si>
    <t>タジュールの重鎮</t>
  </si>
  <si>
    <t>結集：あなたのターン終了時まで、あなたの各クリーチャーに+1/+1の修正を与える。</t>
  </si>
  <si>
    <t>Tajuru Beastmaster</t>
  </si>
  <si>
    <t>タジュールの獣使い</t>
  </si>
  <si>
    <t>Snapping Gnarlid</t>
  </si>
  <si>
    <t>噛み付きナーリッド</t>
  </si>
  <si>
    <t>あなたがコントロールするクリーチャーが破壊されたとき、このクリーチャーは+1/+1の修正を受ける。</t>
  </si>
  <si>
    <t>ファンガス</t>
  </si>
  <si>
    <t>Rot Shambler</t>
  </si>
  <si>
    <t>腐敗のシャンブラー</t>
  </si>
  <si>
    <t>ジェム1個を起動する：あなたのターン終了時まで、このクリーチャーは+8/+8の修正を受けるとともにトランプルを得る。</t>
  </si>
  <si>
    <t>Oran-Rief Invoker</t>
  </si>
  <si>
    <t>オラン＝リーフの発動者</t>
  </si>
  <si>
    <t>到達</t>
  </si>
  <si>
    <t>昆虫</t>
  </si>
  <si>
    <t>Giant Mantis</t>
  </si>
  <si>
    <t>大カマキリ</t>
  </si>
  <si>
    <t>Eyeless Watcher</t>
  </si>
  <si>
    <t>目なしの見張り</t>
  </si>
  <si>
    <t>Broodhunter Wurm</t>
  </si>
  <si>
    <t>血統絶やしのワーム</t>
  </si>
  <si>
    <t>このクリーチャーが死亡したとき、「このクリーチャーが破壊されたとき、このクリーチャーのパワーの3倍のマナを得る。」を持つ1/1のエルドラージの末裔を１体召喚する。</t>
  </si>
  <si>
    <t>Blisterpod</t>
  </si>
  <si>
    <t>膨れ鞘</t>
  </si>
  <si>
    <t>クリーチャー1体を対象とし、それに4点のダメージを与える。その後、クリーチャー1体を対象とし、それに5点のダメージを与える。さらにクリーチャー1体を対象とし、それに6点のダメージを与える。嚥下5を行う。</t>
  </si>
  <si>
    <t>Serpentine Spike</t>
  </si>
  <si>
    <t>うねる撃ちこみ</t>
  </si>
  <si>
    <t>すべての青ジェムと白ジェムを嚥下する。</t>
  </si>
  <si>
    <t>Crumble to Dust</t>
  </si>
  <si>
    <t>塵への崩壊</t>
  </si>
  <si>
    <t>あなたのターン開始時に、ボードに8個以上の赤ジェムがある場合、飛行を持つ5/5のドラゴンを1体召喚する。</t>
  </si>
  <si>
    <t>Dragonmaster Outcast</t>
  </si>
  <si>
    <t>竜使いののけ者</t>
  </si>
  <si>
    <t>上陸、赤：このクリーチャーがこのゲームで破壊されたら、戦場に戻す。</t>
  </si>
  <si>
    <t>フェニックス</t>
  </si>
  <si>
    <t>Akoum Firebird</t>
  </si>
  <si>
    <t>アクームの火の鳥</t>
  </si>
  <si>
    <t>収斂：クリーチャー1体を対象とする。それにあなたが収斂したマナの5倍に等しいダメージを与える。</t>
  </si>
  <si>
    <t>Radiant Flames</t>
  </si>
  <si>
    <t>光輝の炎</t>
  </si>
  <si>
    <t>あなたがこのクリーチャーに呪文を唱えるたび、あなたのターン終了時まで、あなたのすべてのクリーチャーは+6/+6の修正を受ける。</t>
  </si>
  <si>
    <t>Zada, Hedron Grinder</t>
  </si>
  <si>
    <t>面晶体の掘削者、ザダ</t>
  </si>
  <si>
    <t>ジェム1個を起動する：あなたがコントロールする最初の無色のクリーチャーを破壊し、対戦相手がコントロールする最初のクリーチャーのパワーの3倍に等しいダメージを対戦相手に与える。</t>
  </si>
  <si>
    <t>Barrage Tyrant</t>
  </si>
  <si>
    <t>連射する暴君</t>
  </si>
  <si>
    <t>上陸：対戦相手がコントロールする最初のクリーチャーに4点のダメージを与える。</t>
  </si>
  <si>
    <t>上陸、赤：対戦相手がコントロールする最初のクリーチャーに8点のダメージを与える。</t>
  </si>
  <si>
    <t>Akoum Hellkite</t>
  </si>
  <si>
    <t>アクームのヘルカイト</t>
  </si>
  <si>
    <t>上陸：あなたのターン終了時まで、あなたがコントロールする最初のクリーチャーは+2/+0の修正を受け、対戦相手がコントロールする最初のクリーチャーはブロックできなくなる。</t>
  </si>
  <si>
    <t>Retreat to Valakut</t>
  </si>
  <si>
    <t>ヴァラクートへの撤退</t>
  </si>
  <si>
    <t>あなたが無色の呪文かサポートを唱えたか、無色のクリーチャーを戦場に出たとき、対戦相手に2点のダメージを与える。</t>
  </si>
  <si>
    <t>Molten Nursery</t>
  </si>
  <si>
    <t>溶鉄の生育場</t>
  </si>
  <si>
    <t>あなたのターン開始時に、1マナを得る。&amp;br;このサポートが破壊されたとき、対戦相手がコントロールする最初のクリーチャーに2点のダメージを与える。</t>
  </si>
  <si>
    <t>このサポートが破壊されたとき、対戦相手がコントロールする最初のクリーチャーに2点のダメージを与える。</t>
  </si>
  <si>
    <t>Blighted Gorge</t>
  </si>
  <si>
    <t>荒廃した山峡</t>
  </si>
  <si>
    <t>クリーチャー1体を対象とする。あなたのターン終了時まで、それのコントロールを得る。それは速攻を得る。</t>
  </si>
  <si>
    <t>Turn Against</t>
  </si>
  <si>
    <t>敵対</t>
  </si>
  <si>
    <t>対戦相手と対戦相手の各クリーチャーに2点のダメージを与える。&amp;br;覚醒11：対戦相手と対戦相手の各クリーチャーに4点のダメージをを与える。</t>
  </si>
  <si>
    <t>覚醒11：対戦相手と対戦相手の各クリーチャーに4点のダメージをを与える。</t>
  </si>
  <si>
    <t>対戦相手と対戦相手の各クリーチャーに2点のダメージを与える。</t>
  </si>
  <si>
    <t>Rolling Thunder</t>
  </si>
  <si>
    <t>とどろく雷鳴</t>
  </si>
  <si>
    <t>昇華1を行う：クリーチャー1体を対象とし、それに5点のダメージを与える。</t>
  </si>
  <si>
    <t>Processor Assault</t>
  </si>
  <si>
    <t>あなたがコントロールする無色のクリーチャー1体につき、このクリーチャーは+3/+0の修正を受ける。このクリーチャーがプレインズウォーカーにダメージを与えたとき、嚥下1を行う。</t>
  </si>
  <si>
    <t>Vile Aggregate</t>
  </si>
  <si>
    <t>不快な集合体</t>
  </si>
  <si>
    <t>欠色 トランプル</t>
  </si>
  <si>
    <t>Vestige of Emrakul</t>
  </si>
  <si>
    <t>エムラクールの名残</t>
  </si>
  <si>
    <t>ジェム1個を起動する：対戦相手がコントロールする最初のクリーチャーに3点のダメージを与える。</t>
  </si>
  <si>
    <t>Valakut Invoker</t>
  </si>
  <si>
    <t>ヴァラクートの発動者</t>
  </si>
  <si>
    <t>ジェム2個を起動する：あなたのターン終了時まで、このクリーチャーに+2/+0の修正を与える。</t>
  </si>
  <si>
    <t>Lavastep Raider</t>
  </si>
  <si>
    <t>溶岩足の略奪者</t>
  </si>
  <si>
    <t>どちらかのプレイヤーが上陸を発動させたとき、トランプルと速攻を持つ3/1の赤のエレメンタルを1体召喚する。あなたの次のターン終了時に、トークンは破壊される。</t>
  </si>
  <si>
    <t>Akoum Stonewaker</t>
  </si>
  <si>
    <t>アクームの石覚まし</t>
  </si>
  <si>
    <t>このサポートが戦場に出たとき、クリーチャー1体を対象とする。あなたのターン終了時まで、それに+1/+1の修正と先制攻撃を与える。&amp;br;あなたのターン開始時に、3マナを得る。</t>
  </si>
  <si>
    <t>このサポートが戦場に出たとき、クリーチャー1体を対象とする。あなたのターン終了時まで、それに+1/+1の修正と先制攻撃を与える。</t>
  </si>
  <si>
    <t>Looming Spires</t>
  </si>
  <si>
    <t>そびえる尖頂</t>
  </si>
  <si>
    <t>対戦相手の色のジェムを6個破壊する。</t>
  </si>
  <si>
    <t>Volcanic Upheaval</t>
  </si>
  <si>
    <t>火山の隆起</t>
  </si>
  <si>
    <t>クリーチャー1体を対象とし、それに3点のダメージを与え、嚥下1を行う。</t>
  </si>
  <si>
    <t>Touch of the Void</t>
  </si>
  <si>
    <t>虚空の接触</t>
  </si>
  <si>
    <t>あなたのターン終了時まで、+3/0の修正と先制攻撃を与える。</t>
  </si>
  <si>
    <t>Sure Strike</t>
  </si>
  <si>
    <t>確実な一撃</t>
  </si>
  <si>
    <t>クリーチャーかプレインズウォーカーを対象とする。それに5点のダメージを与える。</t>
  </si>
  <si>
    <t>Stonefury</t>
  </si>
  <si>
    <t>石の怒り</t>
  </si>
  <si>
    <t>クリーチャー1体を対象とする。それに戦場にあるクリーチャーの数の2倍に等しいダメージを与える。</t>
  </si>
  <si>
    <t>Outnumber</t>
  </si>
  <si>
    <t>多勢</t>
  </si>
  <si>
    <t>クリーチャー1体を対象とし、それに+1/+1の修正と速攻を与える。</t>
  </si>
  <si>
    <t>Goblin War Paint</t>
  </si>
  <si>
    <t>ゴブリンの戦化粧</t>
  </si>
  <si>
    <t>対戦相手がコントロールする各クリーチャーに1点のダメージを与える。&amp;br;覚醒16：速攻を持つ1/1の山・エレメンタル・トークンを4体召喚する。</t>
  </si>
  <si>
    <t>覚醒16：速攻を持つ1/1の山・エレメンタル・トークンを4体召喚する。</t>
  </si>
  <si>
    <t>対戦相手がコントロールする各クリーチャーに1点のダメージを与える。</t>
  </si>
  <si>
    <t>Boiling Earth</t>
  </si>
  <si>
    <t>沸き立つ大地</t>
  </si>
  <si>
    <t>Valakut Predator</t>
  </si>
  <si>
    <t>ヴァラクートの捕食者</t>
  </si>
  <si>
    <t>上陸：対戦相手に1点のダメージを与える。</t>
  </si>
  <si>
    <t>Tunneling Geopede</t>
  </si>
  <si>
    <t>穴掘り土百足</t>
  </si>
  <si>
    <t>威迫</t>
  </si>
  <si>
    <t>巨人</t>
  </si>
  <si>
    <t>Shatterskull Recruit</t>
  </si>
  <si>
    <t>髑髏砕きの補充兵</t>
  </si>
  <si>
    <t>Reckless Cohort</t>
  </si>
  <si>
    <t>命知らずの群勢</t>
  </si>
  <si>
    <t>結集：あなたのターン終了時まで、あなたの各クリーチャーはトランプルを得る。</t>
  </si>
  <si>
    <t>ミノタウロス</t>
  </si>
  <si>
    <t>Ondu Champion</t>
  </si>
  <si>
    <t>オンドゥの勇者</t>
  </si>
  <si>
    <t>ジェム1個を起動する：対戦相手に1点のダメージを与える。あなたが無色の呪文かサポートを唱えるか、無色のクリーチャーが戦場に出たとき、対戦相手に1点のダメージを与える。</t>
  </si>
  <si>
    <t>Nettle Drone</t>
  </si>
  <si>
    <t>棘撃ちドローン</t>
  </si>
  <si>
    <t>Makindi Sliderunner</t>
  </si>
  <si>
    <t>マキンディの滑り駆け</t>
  </si>
  <si>
    <t>あなたが無色の呪文、クリーチャー、またはサポートを唱えたとき、あなたのターン終了時まで、このクリーチャーは+1/+0の修正を受ける。</t>
  </si>
  <si>
    <t>Kozilek's Sentinel</t>
  </si>
  <si>
    <t>コジレックの歩哨</t>
  </si>
  <si>
    <t>結集：あなたのターン終了時まで、あなたがコントロールすす各クリーチャーに「ブロックされない」を与える。</t>
  </si>
  <si>
    <t>Firemantle Mage</t>
  </si>
  <si>
    <t>炎套の魔道士</t>
  </si>
  <si>
    <t>結集：あなたのターン終了時まで、あなたがコントロールする各クリーチャーに速攻を与える。</t>
  </si>
  <si>
    <t>Chasm Guide</t>
  </si>
  <si>
    <t>地割れの案内人</t>
  </si>
  <si>
    <t>上陸：あなたのターン終了時まで、このクリーチャーは先制攻撃を得る。</t>
  </si>
  <si>
    <t>Belligerent Whiptail</t>
  </si>
  <si>
    <t>好戦的な鞭尾</t>
  </si>
  <si>
    <t>あなたがコントロールするクリーチャーが戦場に出たとき、昇華1を行う：対戦相手がコントロールする最初のクリーチャーは-3/-3の修正を受ける。</t>
  </si>
  <si>
    <t>Wasteland Strangler</t>
  </si>
  <si>
    <t>不毛の地の絞殺者</t>
  </si>
  <si>
    <t>あなたのターン開始時に、あなたの他のクリーチャーと対戦相手がコントロールする最後のクリーチャー2体を破壊する。</t>
  </si>
  <si>
    <t>Smothering Abomination</t>
  </si>
  <si>
    <t>息詰まる忌まわしきもの</t>
  </si>
  <si>
    <t>このクリーチャーがプレインズウォーカーにダメージを与えたとき、あなたがコントロールする各クリーチャーに+1/+1の修正を与える。</t>
  </si>
  <si>
    <t>Drana, Liberator of Malakir</t>
  </si>
  <si>
    <t>マラキールの解放者、ドラーナ</t>
  </si>
  <si>
    <t>クリーチャー1体を対象とし、それを破壊する。&amp;br;覚醒9：速攻を持つ1/1の沼・エレメンタル・トークンを6体召喚する。</t>
  </si>
  <si>
    <t>覚醒9：速攻を持つ1/1の沼・エレメンタル・トークンを6体召喚する。</t>
  </si>
  <si>
    <t>クリーチャー1体を対象とし、それを破壊する。</t>
  </si>
  <si>
    <t>Ruinous Path</t>
  </si>
  <si>
    <t>破滅の道</t>
  </si>
  <si>
    <t>収斂：収斂された各マナにつきカードを1枚引き、収斂された各マナにつき3点のダメージを与える。</t>
  </si>
  <si>
    <t>Painful Truths</t>
  </si>
  <si>
    <t>苦い真理</t>
  </si>
  <si>
    <t>上陸：あなたのターン終了時まで、あなたの各クリーチャーに+3/0の修正を与える。</t>
  </si>
  <si>
    <t>上陸、黒：あなたのターン終了時まで、あなたの各クリーチャーに+6/0の修正を与える。</t>
  </si>
  <si>
    <t>Guul Draz Overseer</t>
  </si>
  <si>
    <t>グール・ドラズの監視者</t>
  </si>
  <si>
    <t>あなたがライフを得たとき、対戦相手に5点のダメージを与える。</t>
  </si>
  <si>
    <t>Defiant Bloodlord</t>
  </si>
  <si>
    <t>果敢な血王</t>
  </si>
  <si>
    <t>ジェム1個を起動する：あなたがコントロールする最後のクリーチャーは破壊される。あなたは5点のライフを得て、カードを3枚引く。</t>
  </si>
  <si>
    <t>Vampiric Rites</t>
  </si>
  <si>
    <t>吸血の儀式</t>
  </si>
  <si>
    <t>上陸：あなたがコントロールする最初のクリーチャーは、あなたのターン終了時まで、接死を得るとともに+1/+0の修正を受ける。あなたは1点のライフを得て、対戦相手に1点のダメージを与える。</t>
  </si>
  <si>
    <t>Retreat to Hagra</t>
  </si>
  <si>
    <t>ハグラへの撤退</t>
  </si>
  <si>
    <t>あなたのターン開始時に、1マナを得る。&amp;br;このサポートが破壊されたとき、対戦相手がコントロールする最初のクリーチャーを破壊する。</t>
  </si>
  <si>
    <t>このサポートが破壊されたとき、対戦相手がコントロールする最初のクリーチャーを破壊する。</t>
  </si>
  <si>
    <t>Blighted Fen</t>
  </si>
  <si>
    <t>荒廃した湿原</t>
  </si>
  <si>
    <t>嚥下1を行う。</t>
  </si>
  <si>
    <t>対戦相手の手札の最初のカードを捨てる。</t>
  </si>
  <si>
    <t>Transgress the Mind</t>
  </si>
  <si>
    <t>精神背信</t>
  </si>
  <si>
    <t>あなたのターン終了時まで、各クリーチャーに-2/-2の修正を与える。&amp;br;覚醒6：速攻を持つ1/1の沼・エレメンタル・トークンを3体召喚する。</t>
  </si>
  <si>
    <t>覚醒6：速攻を持つ1/1の沼・エレメンタル・トークンを3体召喚する。</t>
  </si>
  <si>
    <t>あなたのターン終了時まで、各クリーチャーに-2/-2の修正を与える。</t>
  </si>
  <si>
    <t>Rising Miasma</t>
  </si>
  <si>
    <t>湧き上がる瘴気</t>
  </si>
  <si>
    <t>クリーチャー1体を対象とし、それを破壊して、嚥下2を行う。</t>
  </si>
  <si>
    <t>Grip of Desolation</t>
  </si>
  <si>
    <t>荒廃の一掴み</t>
  </si>
  <si>
    <t>あなたのクリーチャー1体が死亡するたび、このクリーチャーは+1/+1の修正を受ける。</t>
  </si>
  <si>
    <t>Voracious Null</t>
  </si>
  <si>
    <t>大食の虚身</t>
  </si>
  <si>
    <t>このクリーチャーが破壊されたとき、あなたが無色のクリーチャーをコントロールしている場合、あなたは6マナを失い、このクリーチャーは戦場に戻される。</t>
  </si>
  <si>
    <t>Skitterskin</t>
  </si>
  <si>
    <t>ハヤバイ</t>
  </si>
  <si>
    <t>あなたがライフを得たとき、あなたのターン終了時まで、このクリーチャーは+1/+1の修正を受ける。</t>
  </si>
  <si>
    <t>コウモリ</t>
  </si>
  <si>
    <t>Malakir Familiar</t>
  </si>
  <si>
    <t>マラキールの使い魔</t>
  </si>
  <si>
    <t>ジェム1個を起動する：あなたのターン終了時まで、対戦相手がコントロールする最初のクリーチャーに-1/-1の修正を与える。</t>
  </si>
  <si>
    <t>暗殺者</t>
  </si>
  <si>
    <t>Hagra Sharpshooter</t>
  </si>
  <si>
    <t>ハグラの名射手</t>
  </si>
  <si>
    <t>このクリーチャーが破壊されたとき、「このクリーチャーが破壊されたとき、このクリーチャーのパワーの3倍のマナを得る。」を持つ1/1のエルドラージの末裔を1体召喚する。</t>
  </si>
  <si>
    <t>Carrier Thrall</t>
  </si>
  <si>
    <t>捕らわれの宿主</t>
  </si>
  <si>
    <t>あなたがライフを得たとき、このクリーチャーは+1/+1の修正を受ける。</t>
  </si>
  <si>
    <t>Bloodbond Vampire</t>
  </si>
  <si>
    <t>血の絆の吸血鬼</t>
  </si>
  <si>
    <t>対戦相手の手札の最後のカード2枚を破壊する。&amp;br;覚醒9：速攻を持つ1/1の沼・エレメンタル・トークンを3体召喚する。</t>
  </si>
  <si>
    <t>覚醒9：速攻を持つ1/1の沼・エレメンタル・トークンを3体召喚する。</t>
  </si>
  <si>
    <t>対戦相手の手札の最後のカード2枚を破壊する。</t>
  </si>
  <si>
    <t>Mire's Malice</t>
  </si>
  <si>
    <t>ぬかるみの敵意</t>
  </si>
  <si>
    <t>嚥下1を行い、「このクリーチャーが破壊されたとき、このクリーチャーのパワーの3倍のマナを得る。」を持つ1/1のエルドラージの末裔を1体召喚し、カードを1枚引く。</t>
  </si>
  <si>
    <t>Grave Birthing</t>
  </si>
  <si>
    <t>墓の出産</t>
  </si>
  <si>
    <t>最後に破壊されたクリーチャー2体をあなたの手札に戻す。</t>
  </si>
  <si>
    <t>Dutiful Return</t>
  </si>
  <si>
    <t>従順な復活</t>
  </si>
  <si>
    <t>クリーチャー1体を対象とする。あなたのターン終了時まで、それに-5/-5の修正を与える。</t>
  </si>
  <si>
    <t>Demon's Grasp</t>
  </si>
  <si>
    <t>悪魔の掌握</t>
  </si>
  <si>
    <t>パワーが3以下のクリーチャー1体を対象とし、それを破壊する。</t>
  </si>
  <si>
    <t>Complete Disregard</t>
  </si>
  <si>
    <t>完全無視</t>
  </si>
  <si>
    <t>あなたがコントロールするクリーチャー1体と対戦相手がコントロールするクリーチャー1体を対象とする。その両方を破壊する。</t>
  </si>
  <si>
    <t>Bone Splinters</t>
  </si>
  <si>
    <t>骨の粉砕</t>
  </si>
  <si>
    <t>あなたがコントロールするクリーチャー1体を対象とする。それを破壊してカードを2枚引く。</t>
  </si>
  <si>
    <t>Altar's Reap</t>
  </si>
  <si>
    <t>祭壇の刈り取り</t>
  </si>
  <si>
    <t>あなたがクリーチャーまたはサポートを唱えたとき、あなたは1点のライフを得て、対戦相手に1点のダメージを与える。</t>
  </si>
  <si>
    <t>ならずもの</t>
  </si>
  <si>
    <t>Zulaport Cutthroat</t>
  </si>
  <si>
    <t>ズーラポートの殺し屋</t>
  </si>
  <si>
    <t>2ターンのカウントダウン付きジェム1個を起動する：あなたのターン終了時まで、このクリーチャーは+1/+1の修正を受ける。</t>
  </si>
  <si>
    <t>このクリーチャーがプレインズウォーカーにダメージを与えたとき、嚥下1を行う。</t>
  </si>
  <si>
    <t>Sludge Crawler</t>
  </si>
  <si>
    <t>泥這い</t>
  </si>
  <si>
    <t>このクリーチャーが攻撃したとき、対戦相手に2点のダメージを与える。</t>
  </si>
  <si>
    <t>Silent Skimmer</t>
  </si>
  <si>
    <t>音無く飛ぶもの</t>
  </si>
  <si>
    <t>あなたがライフを得たとき、あなたのターン終了時まで、このクリーチャーは接死を得る。</t>
  </si>
  <si>
    <t>Nirkana Assassin</t>
  </si>
  <si>
    <t>ニルカーナの暗殺者</t>
  </si>
  <si>
    <t>このクリーチャーが戦場に出たとき、昇華1を行う：対戦相手の手札の最後のカードを破壊する。</t>
  </si>
  <si>
    <t>Mind Raker</t>
  </si>
  <si>
    <t>精神を掻き寄せるもの</t>
  </si>
  <si>
    <t>あなたがライフを得たとき、あなたのターン終了時まで、このクリーチャーは飛行を得る。</t>
  </si>
  <si>
    <t>Kalastria Nightwatch</t>
  </si>
  <si>
    <t>カラストリアの夜警</t>
  </si>
  <si>
    <t>結集：1点のライフを得て、対戦相手に1点のダメージを与える。</t>
  </si>
  <si>
    <t>Kalastria Healer</t>
  </si>
  <si>
    <t>カラストリアの癒し手</t>
  </si>
  <si>
    <t>Geyserfield Stalker</t>
  </si>
  <si>
    <t>間欠泉の忍び寄り</t>
  </si>
  <si>
    <t>このクリーチャーが戦場に出たとき、あなたが無色のクリーチャーをコントロールしている場合、2点のダメージを対戦相手に与える。</t>
  </si>
  <si>
    <t>Dominator Drone</t>
  </si>
  <si>
    <t>威圧ドローン</t>
  </si>
  <si>
    <t>Culling Drone</t>
  </si>
  <si>
    <t>淘汰ドローン</t>
  </si>
  <si>
    <t>5個以上のジェムをマッチさせるたび、10個のジェムを青に変換し、速攻を持つ1/1の島・エレメンタル・トークンを6体召喚する。</t>
  </si>
  <si>
    <t>Part the Waterveil</t>
  </si>
  <si>
    <t>水の帳の分離</t>
  </si>
  <si>
    <t>クリーチャー1体を対象とする。あなたがコントロールするクリーチャーの数が2体以下なら、それのコントロールを得る。</t>
  </si>
  <si>
    <t>Exert Influence</t>
  </si>
  <si>
    <t>影響力の行使</t>
  </si>
  <si>
    <t>あなたのコントロール下で無色のクリーチャーが戦場に出るたび、あなたのターン開始時まで対戦相手のすべてのクリーチャーを無効化する。</t>
  </si>
  <si>
    <t>Drowner of Hope</t>
  </si>
  <si>
    <t>希望を溺れさせるもの</t>
  </si>
  <si>
    <t>どちらかのプレイヤーが上陸を発動させたとき、あなたの次のターン開始時まで、対戦相手がコントロールする最初のクリーチャーは無効化され、あなたはカードを3枚引く。</t>
  </si>
  <si>
    <t>Prism Array</t>
  </si>
  <si>
    <t>プリズム結界</t>
  </si>
  <si>
    <t>カードを3枚引く。それらは6マナを得る。</t>
  </si>
  <si>
    <t>Ugin's Insight</t>
  </si>
  <si>
    <t>ウギンの洞察力</t>
  </si>
  <si>
    <t>対戦相手の手札の最初のカードからすべてのマナを吸収する。&amp;br;覚醒9：速攻を持つ1/1の島・エレメンタル・トークンを6体召喚する。</t>
  </si>
  <si>
    <t>覚醒9：速攻を持つ1/1の島・エレメンタル・トークンを6体召喚する。</t>
  </si>
  <si>
    <t>対戦相手の手札の最初のカードからすべてのマナを吸収する。</t>
  </si>
  <si>
    <t>Scatter to the Winds</t>
  </si>
  <si>
    <t>風への散乱</t>
  </si>
  <si>
    <t>上陸：あなたのターン終了時まで、対戦相手がコントロールする各クリーチャーを無効化する。</t>
  </si>
  <si>
    <t>上陸、青：あなたのターン開始時まで、対戦相手がコントロールする各クリーチャーを無効化する。</t>
  </si>
  <si>
    <t>Guardian of Tazeem</t>
  </si>
  <si>
    <t>タジームの守護者</t>
  </si>
  <si>
    <t>上陸：あなたの次のターン開始時まで、対戦相手がコントロールする最後のクリーチャーを無効化し、カードを1枚引く。</t>
  </si>
  <si>
    <t>Retreat to Coralhelm</t>
  </si>
  <si>
    <t>珊瑚兜への撤退</t>
  </si>
  <si>
    <t>あなたのターン開始時に、1マナを得る。&amp;br;このサポートが破壊されたとき、カードを2枚引く。</t>
  </si>
  <si>
    <t>このサポートが破壊されたとき、カードを2枚引く。</t>
  </si>
  <si>
    <t>Blighted Cataract</t>
  </si>
  <si>
    <t>荒廃した瀑布</t>
  </si>
  <si>
    <t>対戦相手の手札の最初のクリーチャーからすべてのマナを吸収し、嚥下1を行う。</t>
  </si>
  <si>
    <t>Horribly Awry</t>
  </si>
  <si>
    <t>手酷い失敗</t>
  </si>
  <si>
    <t>カードを2枚引く。&amp;br;覚醒8：速攻を持つ1/1の島・エレメンタル・トークンを4体召喚する。</t>
  </si>
  <si>
    <t>覚醒8：速攻を持つ1/1の島・エレメンタル・トークンを4体召喚する。</t>
  </si>
  <si>
    <t>カードを2枚引く。</t>
  </si>
  <si>
    <t>Coastal Discovery</t>
  </si>
  <si>
    <t>沿岸の発見</t>
  </si>
  <si>
    <t>収斂：手練された各マナにつきカードを1枚引く。</t>
  </si>
  <si>
    <t>Brilliant Spectrum</t>
  </si>
  <si>
    <t>輝く光波</t>
  </si>
  <si>
    <t>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</si>
  <si>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Adverse Conditions</t>
  </si>
  <si>
    <t>逆境</t>
  </si>
  <si>
    <t>このクリーチャーが戦場に出たとき、昇華2を行う：あなたが最後に唱えた呪文を手札に戻す。</t>
  </si>
  <si>
    <t>Ulamog's Reclaimer</t>
  </si>
  <si>
    <t>ウラモグの回収者</t>
  </si>
  <si>
    <t>このクリーチャーが戦場にいる間、あなたがコントロールする無色の各クリーチャーは+1/0の修正を受ける。</t>
  </si>
  <si>
    <t>Ruination Guide</t>
  </si>
  <si>
    <t>破滅を導くもの</t>
  </si>
  <si>
    <t>ジェム2個を起動する：昇華1を行う：あなたの最後のカードを捨てて、カードを1枚引く。</t>
  </si>
  <si>
    <t>Oracle of Dust</t>
  </si>
  <si>
    <t>塵の予言者</t>
  </si>
  <si>
    <t>このクリーチャーが戦場に出たとき、あなたが最後に唱えた覚醒を持つ呪文をあなたの手札に戻す。&amp;br;このクリーチャーが戦場にいる間、あなたがコントロールする各土地・クリーチャーは飛行を得る。</t>
  </si>
  <si>
    <t>このクリーチャーが戦場にいる間、あなたがコントロールする各土地・クリーチャーは飛行を得る。</t>
  </si>
  <si>
    <t>このクリーチャーが戦場に出たとき、あなたが最後に唱えた覚醒を持つ呪文をあなたの手札に戻す。</t>
  </si>
  <si>
    <t>Halimar Tidecaller</t>
  </si>
  <si>
    <t>ハリマーの潮呼び</t>
  </si>
  <si>
    <t>ジェム3個を起動する：昇華1を行う：あなたの次のターン開始時まで、対戦相手がコントロールする最初のクリーチャーを無効化する。</t>
  </si>
  <si>
    <t>Cryptic Cruiser</t>
  </si>
  <si>
    <t>ジェム1個を起動する：あなたのターン終了時まで、あなたがコントロールする最後のクリーチャーはブロックされない。</t>
  </si>
  <si>
    <t>Coralhelm Guide</t>
  </si>
  <si>
    <t>珊瑚兜の案内人</t>
  </si>
  <si>
    <t>このサポートがボードにあるとき、対戦相手がコントロールする各クリーチャーは-1/+0の修正を受ける。</t>
  </si>
  <si>
    <t>Dampening Pulse</t>
  </si>
  <si>
    <t>鈍化する脈動</t>
  </si>
  <si>
    <t>クリーチャー1体を対象とし、それに-6/0の修正を与えて、それは飛行を失う。</t>
  </si>
  <si>
    <t>Tightening Coils</t>
  </si>
  <si>
    <t>巻き締め付け</t>
  </si>
  <si>
    <t>2ターンのカウントダウン付きジェム1個を起動する：対戦相手がコントロールする最初のカードからすべてのマナを吸収し、嚥下1を行う。</t>
  </si>
  <si>
    <t>Spell Shrivel</t>
  </si>
  <si>
    <t>呪文萎れ</t>
  </si>
  <si>
    <t>クリーチャー1体を対象とする。あなたの次のターン開始時まで、それを無効化する。&amp;br;覚醒9：速攻を持つ1/1の島・エレメンタル・トークンを3体召喚する。</t>
  </si>
  <si>
    <t>覚醒9：速攻を持つ1/1の島・エレメンタル・トークンを3体召喚する。</t>
  </si>
  <si>
    <t>クリーチャー1体を対象とする。あなたの次のターン開始時まで、それを無効化する。</t>
  </si>
  <si>
    <t>Rush of Ice</t>
  </si>
  <si>
    <t>氷の猛進</t>
  </si>
  <si>
    <t>あなたの次のターン開始時まで、対戦相手がコントロールする各クリーチャーは-3/0の修正を受ける。&amp;br;カードを1枚引く。</t>
  </si>
  <si>
    <t>カードを1枚引く。</t>
  </si>
  <si>
    <t>あなたの次のターン開始時まで、対戦相手がコントロールする各クリーチャーは-3/0の修正を受ける。</t>
  </si>
  <si>
    <t>Roilmage's Trick</t>
  </si>
  <si>
    <t>乱動魔道士の計略</t>
  </si>
  <si>
    <t>対戦相手がコントロールする最初の呪文からすべてのマナを吸収する。</t>
  </si>
  <si>
    <t>Dispel</t>
  </si>
  <si>
    <t>払拭</t>
  </si>
  <si>
    <t>対戦相手の手札が5枚以下の場合、対戦相手がコントロールするクリーチャー1体を対象とし、それを対戦相手の手札に戻す。&amp;br;覚醒9：速攻を持つ1/1の島・エレメンタル・トークンを3体召喚する。</t>
  </si>
  <si>
    <t>対戦相手の手札が5枚以下の場合、対戦相手がコントロールするクリーチャー1体を対象とし、それを対戦相手の手札に戻す。</t>
  </si>
  <si>
    <t>Clutch of Currents</t>
  </si>
  <si>
    <t>掴み掛かる水流</t>
  </si>
  <si>
    <t>あなたのライブラリーの最初のカード3枚から1枚を選び、取ってくる。ライブラリーの次のカード2枚をライブラリーの一番下へ移動する。</t>
  </si>
  <si>
    <t>Anticipate</t>
  </si>
  <si>
    <t>予期</t>
  </si>
  <si>
    <t>Windrider Patrol</t>
  </si>
  <si>
    <t>風乗りの巡回兵</t>
  </si>
  <si>
    <t>Wave-Wing Elemental</t>
  </si>
  <si>
    <t>波翼の精霊</t>
  </si>
  <si>
    <t>あなたがコントロールする他のクリーチャーは0+/1の修正を受ける。</t>
  </si>
  <si>
    <t>Tide Drifter</t>
  </si>
  <si>
    <t>波に漂うもの</t>
  </si>
  <si>
    <t>このクリーチャーが破壊されたとき、カードを1枚引く。</t>
  </si>
  <si>
    <t>Salvage Drone</t>
  </si>
  <si>
    <t>回収ドローン</t>
  </si>
  <si>
    <t>このクリーチャーが戦場に出たとき、昇華1を行う：対戦相手の手札が5枚以下の場合、対戦相手がコントロールするクリーチャー1体を対象とし、それを対戦相手の手札に戻す。</t>
  </si>
  <si>
    <t>Murk Strider</t>
  </si>
  <si>
    <t>霞の徘徊者</t>
  </si>
  <si>
    <t>Mist Intruder</t>
  </si>
  <si>
    <t>霧の侵入者</t>
  </si>
  <si>
    <t>このクリーチャーが戦場に出たとき、「このクリーチャーが破壊されたとき、このクリーチャーのパワーの3倍のマナを得る。」を持つ1/1のエルドラージの末裔を1体召喚し、カードを1枚引く。</t>
  </si>
  <si>
    <t>Incubator Drone</t>
  </si>
  <si>
    <t>培養ドローン</t>
  </si>
  <si>
    <t>Eldrazi Skyspawner</t>
  </si>
  <si>
    <t>空中生成エルドラージ</t>
  </si>
  <si>
    <t>魚</t>
  </si>
  <si>
    <t>Cloud Manta</t>
  </si>
  <si>
    <t>雲マンタ</t>
  </si>
  <si>
    <t>ブロックされない。</t>
  </si>
  <si>
    <t>Benthic Infiltrator</t>
  </si>
  <si>
    <t>水底の潜入者</t>
  </si>
  <si>
    <t>このサポートが戦場に出たとき、両方のプレイヤーの手札の各クリーチャーと各サポートのマナを吸収する。&amp;br;このサポートが戦場にいる間、クリーチャーカードとサポートカードのマナ・コストが12多くなる。</t>
  </si>
  <si>
    <t>このサポートが戦場にいる間、クリーチャーカードとサポートカードのマナ・コストが12多くなる。</t>
  </si>
  <si>
    <t>このサポートが戦場に出たとき、両方のプレイヤーの手札の各クリーチャーと各サポートのマナを吸収する。</t>
  </si>
  <si>
    <t>Quarantine Field</t>
  </si>
  <si>
    <t>隔離の場</t>
  </si>
  <si>
    <t>結集：あなたのターン終了時まで、あなたがコントロールする各クリーチャーにダメージ軽減とバーサーカーを与える。</t>
  </si>
  <si>
    <t>Hero of Goma Fada</t>
  </si>
  <si>
    <t>ゴーマ・ファーダの英雄</t>
  </si>
  <si>
    <t>絆魂 警戒</t>
  </si>
  <si>
    <t>Felidar Sovereign</t>
  </si>
  <si>
    <t>フェリダーの君主</t>
  </si>
  <si>
    <t>上陸：最後に破壊された非呪文をあなたの手札に戻す。</t>
  </si>
  <si>
    <t>上陸、白：最後に破壊された非呪文を戦場に戻す。</t>
  </si>
  <si>
    <t>Emeria Shepherd</t>
  </si>
  <si>
    <t>エメリアの番人</t>
  </si>
  <si>
    <t>結集：あなたのターン終了時まで、あなたの各クリーチャーに絆魂を与える。</t>
  </si>
  <si>
    <t>Lantern Scout</t>
  </si>
  <si>
    <t>ランタンの斥候</t>
  </si>
  <si>
    <t>上陸：1/1のコー・同盟者・トークンを1体召喚し、あなたのターン終了時まで、あなたがコントロールする各クリーチャーは+1/+1の修正を受ける。</t>
  </si>
  <si>
    <t>Retreat to Emeria</t>
  </si>
  <si>
    <t>エメリアへの撤退</t>
  </si>
  <si>
    <t>あなたのターン開始時に、1マナを得る。このサポートが破壊されたとき、戦場であなたがコントロールするクリーチャーの数の2倍に等しいライフを得る。</t>
  </si>
  <si>
    <t>Blighted Steppe</t>
  </si>
  <si>
    <t>荒廃した草原</t>
  </si>
  <si>
    <t>1/1のコー・同盟者・トークンX体を戦場に出す。Xはあなたが収斂したマナに等しい。</t>
  </si>
  <si>
    <t>Unified Front</t>
  </si>
  <si>
    <t>統一戦線</t>
  </si>
  <si>
    <t>無効化されたクリーチャー1体を対象とし、それに5点のダメージを与える。</t>
  </si>
  <si>
    <t>Roil's Retribution</t>
  </si>
  <si>
    <t>乱動の報復</t>
  </si>
  <si>
    <t>あなたのターン終了時まで、あなたの各クリーチャーは絆魂を得る。&amp;br;覚醒8：速攻を持つ1/1の平地・エレメンタル・トークンを4体召喚する。</t>
  </si>
  <si>
    <t>あなたのターン終了時まで、あなたの各クリーチャーは絆魂を得る。</t>
  </si>
  <si>
    <t>Ondu Rising</t>
  </si>
  <si>
    <t>オンドゥの蜂起</t>
  </si>
  <si>
    <t>あなたの次のターン開始時まで、対戦相手がコントロールする各クリーチャーを無効化する。&amp;br;覚醒4：速攻を持つ1/1の平地・エレメンタル・トークンを2体召喚する。</t>
  </si>
  <si>
    <t>覚醒4：速攻を持つ1/1の平地・エレメンタル・トークンを2体召喚する。</t>
  </si>
  <si>
    <t>あなたの次のターン開始時まで、対戦相手がコントロールする各クリーチャーを無効化する。</t>
  </si>
  <si>
    <t>Encircling Fissure</t>
  </si>
  <si>
    <t>取り囲む地割れ</t>
  </si>
  <si>
    <t>あなたがライフを得たとき、1マナを失い、あなたがコントロールする最初のクリーチャーは+1/+1の修正を受ける。</t>
  </si>
  <si>
    <t>Serene Steward</t>
  </si>
  <si>
    <t>物静かな使用人</t>
  </si>
  <si>
    <t>結集：あなたの次のターン開始時まで、対戦相手がコントロールする最初のクリーチャーを無効化する。</t>
  </si>
  <si>
    <t>Kor Entanglers</t>
  </si>
  <si>
    <t>コーの絡め捕り</t>
  </si>
  <si>
    <t>結集：あなたのターン終了時まで、あなたがコントロールする各クリーチャーに先制攻撃を与える。</t>
  </si>
  <si>
    <t>Kor Bladewhirl</t>
  </si>
  <si>
    <t>コーの刃振り</t>
  </si>
  <si>
    <t>ジェム1個を起動する：あなたのターン終了時まで、あなたがコントロールする各クリーチャーに+1/+1の修正を与える。</t>
  </si>
  <si>
    <t>Cliffside Lookout</t>
  </si>
  <si>
    <t>絶壁の見張り</t>
  </si>
  <si>
    <t>このクリーチャーが戦場に出たとき、戦場にあるクリーチャーの数の2倍に等しいライフを得る。</t>
  </si>
  <si>
    <t>Angel of Renewal</t>
  </si>
  <si>
    <t>回生の天使</t>
  </si>
  <si>
    <t>対戦相手がコントロールするクリーチャーが攻撃したとき、それに6点のダメージを与えて、このサポートを破壊する。&amp;br;対戦相手がコントロールするクリーチャーがブロックしたとき、それに6点のダメージを与えて、このサポートを破壊する。</t>
  </si>
  <si>
    <t>対戦相手がコントロールするクリーチャーがブロックしたとき、それに6点のダメージを与えて、このサポートを破壊する。</t>
  </si>
  <si>
    <t>対戦相手がコントロールするクリーチャーが攻撃したとき、それに6点のダメージを与えて、このサポートを破壊する。</t>
  </si>
  <si>
    <t>Gideon's Reproach</t>
  </si>
  <si>
    <t>ギデオンの叱責</t>
  </si>
  <si>
    <t>あなたのターン終了時まで、あなたがコントロールする最初のクリーチャー2体に+1/+2の修正を与えて、あなたは2点のライフを得る。</t>
  </si>
  <si>
    <t>Tandem Tactics</t>
  </si>
  <si>
    <t>二人戦術</t>
  </si>
  <si>
    <t>パワー4以上のクリーチャー1体を対象とし、それを破壊する。</t>
  </si>
  <si>
    <t>Smite the Monstrous</t>
  </si>
  <si>
    <t>大物潰し</t>
  </si>
  <si>
    <t>無効化を持つクリーチャー1体を対象とし、それを破壊する。&amp;br;覚醒9：速攻を持つ1/1の平地・エレメンタル・トークンを3体召喚する。</t>
  </si>
  <si>
    <t>覚醒9：速攻を持つ1/1の平地・エレメンタル・トークンを3体召喚する。</t>
  </si>
  <si>
    <t>無効化を持つクリーチャー1体を対象とし、それを破壊する。</t>
  </si>
  <si>
    <t>Sheer Drop</t>
  </si>
  <si>
    <t>真っ逆さま</t>
  </si>
  <si>
    <t>クリーチャー1体を対象とする。あなたのターン終了時まで、それに+2/+2の修正とダメージ軽減を与える。</t>
  </si>
  <si>
    <t>Lithomancer's Focus</t>
  </si>
  <si>
    <t>石術師の焦点</t>
  </si>
  <si>
    <t>あなたのコントロールする各クリーチャーに+2/+1の修正を与える。</t>
  </si>
  <si>
    <t>Inspired Charge</t>
  </si>
  <si>
    <t>鼓舞する突撃</t>
  </si>
  <si>
    <t>クリーチャー1体を対象とし、それに飛行を与え、カードを1枚引く。</t>
  </si>
  <si>
    <t>Angelic Gift</t>
  </si>
  <si>
    <t>天使の贈り物</t>
  </si>
  <si>
    <t>ジェム1個を起動する：1点のライフを得る。</t>
  </si>
  <si>
    <t>Stone Haven Medic</t>
  </si>
  <si>
    <t>岩屋の衛生兵</t>
  </si>
  <si>
    <t>Shadow Glider</t>
  </si>
  <si>
    <t>影の滑空者</t>
  </si>
  <si>
    <t>Ondu Greathorn</t>
  </si>
  <si>
    <t>オンドゥの大角</t>
  </si>
  <si>
    <t>結集：あなたの次のターン開始時まで、あなたがコントロールする各クリーチャーに警戒を与える。</t>
  </si>
  <si>
    <t>Makindi Patrol</t>
  </si>
  <si>
    <t>マキンディの巡回兵</t>
  </si>
  <si>
    <t>Kor Castigator</t>
  </si>
  <si>
    <t>コーの懲罰者</t>
  </si>
  <si>
    <t>Kitesail Scout</t>
  </si>
  <si>
    <t>帆凧の斥候</t>
  </si>
  <si>
    <t>飛行 警戒</t>
  </si>
  <si>
    <t>スピリット</t>
  </si>
  <si>
    <t>Ghostly Sentinel</t>
  </si>
  <si>
    <t>幽霊の歩哨</t>
  </si>
  <si>
    <t>ジェム1個を起動する：対戦相手がコントロールしているサポートを1つ破壊して、このクリーチャーを破壊する。</t>
  </si>
  <si>
    <t>Felidar Cub</t>
  </si>
  <si>
    <t>フェリダーの仔</t>
  </si>
  <si>
    <t>Expedition Envoy</t>
  </si>
  <si>
    <t>探検隊の特使</t>
  </si>
  <si>
    <t>飛行&amp;br;このクリーチャーが戦場に出たとき、あなたは2点のライフを得る。</t>
  </si>
  <si>
    <t>グリフィン</t>
  </si>
  <si>
    <t>Courier Griffin</t>
  </si>
  <si>
    <t>グリフィンの急使</t>
  </si>
  <si>
    <t>ジェム3個を起動する：ライブラリーの次の呪文を手札へ取ってくる。あなたが手札でコントロールする最後の呪文のコストは0になる。</t>
  </si>
  <si>
    <t>Pyromancer's Goggles</t>
  </si>
  <si>
    <t>あなたがカードを1枚引くなら、代わりに、カードを2枚引く。&amp;br;あなたがライフを得るなら、代わりに、その2倍のライフを得る。</t>
  </si>
  <si>
    <t>Alhammarret's Archive</t>
  </si>
  <si>
    <t>アルハマレットの書庫</t>
  </si>
  <si>
    <t>あなたが3個以上のジェムをマッチさせるたび、飛行を持つ1/1の飛行機械を1体召喚する。&amp;br;このクリーチャーが破壊されたとき、飛行を持つ1/1の飛行機械を8体召喚する。</t>
  </si>
  <si>
    <t>Hangarback Walker</t>
  </si>
  <si>
    <t>搭載歩行機械</t>
  </si>
  <si>
    <t>あなたがコントロールする最初のクリーチャーは+2/+2の修正を受け、攻撃するとき3×3ジェムブロックを破壊する。</t>
  </si>
  <si>
    <t>Sword of the Animist</t>
  </si>
  <si>
    <t>精霊信者の剣</t>
  </si>
  <si>
    <t>あなたのターン開始時に、あなたのターン終了時まで、あなたのコントロールする最初のクリーチャーは「ブロックされない」を得る。</t>
  </si>
  <si>
    <t>Rogue's Passage</t>
  </si>
  <si>
    <t>ならず者の道</t>
  </si>
  <si>
    <t>あなたがダメージを受けるたび、そのダメージを2点減少させる。</t>
  </si>
  <si>
    <t>Orbs of Warding</t>
  </si>
  <si>
    <t>あなたが3個以上のサポートをコントロールしている場合、クリーチャー1体を対象とする。それは、+3/+3の修正を受けるとともに先制攻撃を得る。</t>
  </si>
  <si>
    <t>Helm of the Gods</t>
  </si>
  <si>
    <t>神々の兜</t>
  </si>
  <si>
    <t>このクリーチャーは攻撃できない。&amp;br;5個以上のジェムをマッチさせると、あなたのターン終了時まで、このクリーチャーは攻撃できる。&amp;br;このクリーチャーが攻撃したとき、対戦相手がコントロールする最初のクリーチャーは7点のダメージを受ける。</t>
  </si>
  <si>
    <t>Mage-Ring Responder</t>
  </si>
  <si>
    <t>魔道士輪の対応者</t>
  </si>
  <si>
    <t>あなたがコントロールするクリーチャーが攻撃したとき、あなたのターン終了時まで、それは+1/0修正を受ける。</t>
  </si>
  <si>
    <t>War Horn</t>
  </si>
  <si>
    <t>戦の角笛</t>
  </si>
  <si>
    <t>あなたがコントロールする最初のクリーチャーは+2/0の修正を受ける。&amp;br;このサポートが破壊されたとき、対戦相手は2点のダメージを受ける。</t>
  </si>
  <si>
    <t>Throwing Knife</t>
  </si>
  <si>
    <t>投げナイフ</t>
  </si>
  <si>
    <t>あなたが1体のクリーチャーをコントロールしているなら、コントロールしている最初のクリーチャーは+3/+3の修正を受ける。&amp;br;あなたが2体のクリーチャーをコントロールしているなら、コントロールしている最初のクリーチャーは+2/+2の修正を受ける。&amp;br;あなたが3体のクリーチャーをコントロールしているなら、コントロールしている最初のクリーチャーは+1/+1の修正を受ける。</t>
  </si>
  <si>
    <t>Sigil of Valor</t>
  </si>
  <si>
    <t>武勇の印章</t>
  </si>
  <si>
    <t>このサポートがボードに出たとき、対戦相手の最初のクリーチャーに2点のダメージを与える。&amp;br;あなたのターン開始時に、1マナを得る。</t>
  </si>
  <si>
    <t>Meteorite</t>
  </si>
  <si>
    <t>隕石</t>
  </si>
  <si>
    <t>あなたのターン開始時に、2マナを得る。&amp;br;このサポートが破壊されたとき、6マナを得る。</t>
  </si>
  <si>
    <t>Mage-Ring Network</t>
  </si>
  <si>
    <t>魔道士輪の魔力網</t>
  </si>
  <si>
    <t>ジェム1個を起動する：カードを1枚引く。</t>
  </si>
  <si>
    <t>Jayemdae Tome</t>
  </si>
  <si>
    <t>ジェイムデー秘本</t>
  </si>
  <si>
    <t>このサポートがボードにある間、あなたがコントロールする最初のクリーチャーは+2/+2の修正を受けるとともにバーサーカーを得る。</t>
  </si>
  <si>
    <t>Brawler's Plate</t>
  </si>
  <si>
    <t>喧嘩屋の板金鎧</t>
  </si>
  <si>
    <t>あなたがトークンでないクリーチャーを唱えるたび、あなたの次のターン開始時まで、そのクリーチャーは+3/+3の修正を受けるとともに飛行を得る。</t>
  </si>
  <si>
    <t>Angel's Tomb</t>
  </si>
  <si>
    <t>天使の墳墓</t>
  </si>
  <si>
    <t>飛行を持つ1/1の飛行機械を4体召喚する。</t>
  </si>
  <si>
    <t>Foundry of the Consuls</t>
  </si>
  <si>
    <t>領事の鋳造所</t>
  </si>
  <si>
    <t>あなたのサポートがボードにある場合、このクリーチャーは+2/0の修正を受けるとともにバーサーカーを得る。</t>
  </si>
  <si>
    <t>巨大戦車</t>
  </si>
  <si>
    <t>Ramroller</t>
  </si>
  <si>
    <t>破衝車</t>
  </si>
  <si>
    <t>キマイラ</t>
  </si>
  <si>
    <t>Gold-Forged Sentinel</t>
  </si>
  <si>
    <t>黄金造りの歩哨</t>
  </si>
  <si>
    <t>あなたがコントロールする他のクリーチャーが+1/+1の修正を受ける。</t>
  </si>
  <si>
    <t>Chief of the Foundry</t>
  </si>
  <si>
    <t>鋳造所の隊長</t>
  </si>
  <si>
    <t>Yavimaya Coast</t>
  </si>
  <si>
    <t>ヤヴィマヤの沿岸</t>
  </si>
  <si>
    <t>あなたがコントロールする最初のクリーチャーは+1/+1の修正を受ける。</t>
  </si>
  <si>
    <t>Veteran's Sidearm</t>
  </si>
  <si>
    <t>古参兵の予備武装</t>
  </si>
  <si>
    <t>あなたのターン開始時に、1個のジェムを青に、1個のジェムを赤に変換する。</t>
  </si>
  <si>
    <t>Shivan Reef</t>
  </si>
  <si>
    <t>シヴの浅瀬</t>
  </si>
  <si>
    <t>あなたが呪文を唱えたとき、1点のライフを得る。</t>
  </si>
  <si>
    <t>Prism Ring</t>
  </si>
  <si>
    <t>プリズムの指輪</t>
  </si>
  <si>
    <t>あなたのターン開始時に、1個のジェムを黒に、1個のジェムを緑に変換する。</t>
  </si>
  <si>
    <t>Llanowar Wastes</t>
  </si>
  <si>
    <t>ラノワールの荒原</t>
  </si>
  <si>
    <t>Caves of Koilos</t>
  </si>
  <si>
    <t>コイロスの洞窟</t>
  </si>
  <si>
    <t>あなたのターン開始時に、1個のジェムを赤に、1個のジェムを白に変換する。</t>
  </si>
  <si>
    <t>Battlefield Forge</t>
  </si>
  <si>
    <t>戦場の鍛冶場</t>
  </si>
  <si>
    <t>1ターンのカウントダウン付きジェム1個を起動する：あなたがコントロールする最初のカードは5マナを得る。</t>
  </si>
  <si>
    <t>Evolving Wilds</t>
  </si>
  <si>
    <t>進化する未開地</t>
  </si>
  <si>
    <t>クリーチャー1体を対象とする。あなたの次のターン開始時まで、それを無効化して、カードを1枚引く。</t>
  </si>
  <si>
    <t>Alchemist's Vial</t>
  </si>
  <si>
    <t>錬金術師の薬瓶</t>
  </si>
  <si>
    <t>Runed Servitor</t>
  </si>
  <si>
    <t>ルーンの苦役者</t>
  </si>
  <si>
    <t>Guardians of Meletis</t>
  </si>
  <si>
    <t>メレティスの守護者</t>
  </si>
  <si>
    <t>Guardian Automaton</t>
  </si>
  <si>
    <t>護衛する自動機械</t>
  </si>
  <si>
    <t>このクリーチャーは、他に味方のクリーチャーが戦場にいない限り攻撃できない。</t>
  </si>
  <si>
    <t>Bonded Construct</t>
  </si>
  <si>
    <t>結束した構築物</t>
  </si>
  <si>
    <t>あなたが3個以上の赤ジェムか緑ジェムをマッチさせるたび、このクリーチャーは+1/+1の修正を受ける。</t>
  </si>
  <si>
    <t>Zendikar Incarnate</t>
  </si>
  <si>
    <t>ゼンディカーの具現</t>
  </si>
  <si>
    <t>ドレイク</t>
  </si>
  <si>
    <t>Thunderclap Wyvern</t>
  </si>
  <si>
    <t>雷鳴のワイヴァーン</t>
  </si>
  <si>
    <t>このクリーチャーが戦場に出たとき、対戦相手は、あなたが戦場でコントロールするエルフ1体につき1点のダメージを受ける。</t>
  </si>
  <si>
    <t>Shaman of the Pack</t>
  </si>
  <si>
    <t>群れのシャーマン</t>
  </si>
  <si>
    <t>このクリーチャーが戦場に出たとき、あなたが3個以上のサポートをコントロールしている場合、3点のダメージをクリーチャー1体に与える。</t>
  </si>
  <si>
    <t>Reclusive Artificer</t>
  </si>
  <si>
    <t>隠棲した工匠</t>
  </si>
  <si>
    <t>このクリーチャーが戦場に出たとき、最後に破壊されたカードがあなたの手札に戻される。</t>
  </si>
  <si>
    <t>Possessed Skaab</t>
  </si>
  <si>
    <t>取り憑かれたスカーブ</t>
  </si>
  <si>
    <t>Iroas's Champion</t>
  </si>
  <si>
    <t>Citadel Castellan</t>
  </si>
  <si>
    <t>城塞の主</t>
  </si>
  <si>
    <t>このクリーチャーが戦場に出たとき、あなたの次のターン開始時まで、対戦相手がコントロールする最初のクリーチャーは無効化される。</t>
  </si>
  <si>
    <t>トカゲ</t>
  </si>
  <si>
    <t>Bounding Krasis</t>
  </si>
  <si>
    <t>跳ねる混成体</t>
  </si>
  <si>
    <t>ディフェンダーこのクリーチャーが戦場に出たとき、あなたがサポートを少なくとも1つコントロールしている場合、このクリーチャーが+1/+1の修正を受けるとともに絆魂を得る。</t>
  </si>
  <si>
    <t>Blood-Cursed Knight</t>
  </si>
  <si>
    <t>血に呪われた騎士</t>
  </si>
  <si>
    <t>猟犬</t>
  </si>
  <si>
    <t>Blazing Hellhound</t>
  </si>
  <si>
    <t>猛火のヘルハウンド</t>
  </si>
  <si>
    <t>赤黒</t>
  </si>
  <si>
    <t>緑ジェム2個を起動する：あなたがコントロールする最初のクリーチャーは強化される。</t>
  </si>
  <si>
    <t>Evolutionary Leap</t>
  </si>
  <si>
    <t>進化の飛躍</t>
  </si>
  <si>
    <t>戦場にあるすべてのクリーチャーとサポートを破壊する。</t>
  </si>
  <si>
    <t>The Great Aurora</t>
  </si>
  <si>
    <t>大オーロラ</t>
  </si>
  <si>
    <t>カードを5枚引く。&amp;br;20点のライフを得る。</t>
  </si>
  <si>
    <t>Nissa's Revelation</t>
  </si>
  <si>
    <t>ニッサの天啓</t>
  </si>
  <si>
    <t>このクリーチャーが戦場に出たとき、ライブラリーの次の緑のクリーチャーを手札へ移動する。そのクリーチャーは6マナを得る。</t>
  </si>
  <si>
    <t>Woodland Bellower</t>
  </si>
  <si>
    <t>森林の怒声吠え</t>
  </si>
  <si>
    <t>Gaea's Revenge</t>
  </si>
  <si>
    <t>ガイアの復讐者</t>
  </si>
  <si>
    <t>あなたが4個以上の緑ジェムをマッチさせたとき、2/2の緑のエレメンタルを2体出す。</t>
  </si>
  <si>
    <t>Zendikar's Roil</t>
  </si>
  <si>
    <t>ゼンディカーの乱動</t>
  </si>
  <si>
    <t>あなたの次のターン開始時まで、あなたのすべてのクリーチャーは+6/+6の修正を受ける。</t>
  </si>
  <si>
    <t>Joraga Invocation</t>
  </si>
  <si>
    <t>ジョラーガの祈祷</t>
  </si>
  <si>
    <t>緑ジェム1個を、1ターンのカウントダウンが付いた特別なジェムに変換する。これは、マッチ時に5個のジェムを緑に変換する。&amp;br;緑ジェムが8個以上ある場合、5個のジェムを緑に変換する。</t>
  </si>
  <si>
    <t>Animist's Awakening</t>
  </si>
  <si>
    <t>精霊信者の覚醒</t>
  </si>
  <si>
    <t>蜘蛛</t>
  </si>
  <si>
    <t>Skysnare Spider</t>
  </si>
  <si>
    <t>空網蜘蛛</t>
  </si>
  <si>
    <t>高名6</t>
  </si>
  <si>
    <t>Outland Colossus</t>
  </si>
  <si>
    <t>辺境地の巨人</t>
  </si>
  <si>
    <t>Managorger Hydra</t>
  </si>
  <si>
    <t>マナ喰らいのハイドラ</t>
  </si>
  <si>
    <t>Honored Hierarch</t>
  </si>
  <si>
    <t>名誉ある教主</t>
  </si>
  <si>
    <t>このクリーチャーが戦場に出たとき、手札の各サポートは3マナを得る。&amp;br;あなたがサポートを唱えるたび、3点のライフを得る。</t>
  </si>
  <si>
    <t>ケンタウルス</t>
  </si>
  <si>
    <t>Herald of the Pantheon</t>
  </si>
  <si>
    <t>万神殿の伝令</t>
  </si>
  <si>
    <t>Dwynen, Gilt-Leaf Daen</t>
  </si>
  <si>
    <t>光り葉の将帥、ドゥイネン</t>
  </si>
  <si>
    <t>あなたが、パワー4以上のクリーチャーを召喚したとき、カードを1枚引く。</t>
  </si>
  <si>
    <t>Elemental Bond</t>
  </si>
  <si>
    <t>精霊の絆</t>
  </si>
  <si>
    <t>パワーが4以下のすべてのクリーチャーは、あなたの次のターン開始時まで攻撃できない。</t>
  </si>
  <si>
    <t>Vine Snare</t>
  </si>
  <si>
    <t>蔦の罠</t>
  </si>
  <si>
    <t>クリーチャー1体を対象とする。あなたの次のターン開始時まで、それに+4/+4の修正を与える。</t>
  </si>
  <si>
    <t>Titanic Growth</t>
  </si>
  <si>
    <t>剛力化</t>
  </si>
  <si>
    <t>あなたがコントロールするクリーチャー1体を対象とする。それを破壊して12マナを得る。</t>
  </si>
  <si>
    <t>Reclaim</t>
  </si>
  <si>
    <t>回収</t>
  </si>
  <si>
    <t>ライブラリーの次のクリーチャーを手札へ移動する。&amp;br;ボードに8個以上の緑ジェムがある場合、ライブラリーの2体目のクリーチャーを手札へ移動する。&amp;br;ライブラリーの次のクリーチャー4体を破壊する。</t>
  </si>
  <si>
    <t>Gather the Pack</t>
  </si>
  <si>
    <t>群れの結集</t>
  </si>
  <si>
    <t>ディフェンダー</t>
  </si>
  <si>
    <t>Vastwood Gorger</t>
  </si>
  <si>
    <t>巨森を喰らうもの</t>
  </si>
  <si>
    <t>トロール</t>
  </si>
  <si>
    <t>Undercity Troll</t>
  </si>
  <si>
    <t>このクリーチャーが戦場に出たとき、ライブラリーの次のエルフ・クリーチャーを手札へ移動する。</t>
  </si>
  <si>
    <t>Sylvan Messenger</t>
  </si>
  <si>
    <t>森の伝書使</t>
  </si>
  <si>
    <t>あなたがコントロールするクリーチャーがブロックされたとき、あなたのターン終了時まで、そのブロックされたクリーチャーは+1/+1の修正を受けるとともにトランプルを得る。</t>
  </si>
  <si>
    <t>狼</t>
  </si>
  <si>
    <t>Somberwald Alpha</t>
  </si>
  <si>
    <t>ソンバーワルドの頭目</t>
  </si>
  <si>
    <t>サイ</t>
  </si>
  <si>
    <t>Rhox Maulers</t>
  </si>
  <si>
    <t>ロウクスのやっかいもの</t>
  </si>
  <si>
    <t>Dwynen's Elite</t>
  </si>
  <si>
    <t>ドゥイネンの精鋭</t>
  </si>
  <si>
    <t>このクリーチャーが戦場に出たとき、対戦相手がコントロールするサポートジェムを1個破壊する。</t>
  </si>
  <si>
    <t>ドライアド</t>
  </si>
  <si>
    <t>Conclave Naturalists</t>
  </si>
  <si>
    <t>議事会の自然主義者</t>
  </si>
  <si>
    <t>あなたのターン開始時に2個のジェムを緑に変換する。</t>
  </si>
  <si>
    <t>Nissa's Pilgrimage</t>
  </si>
  <si>
    <t>ニッサの巡礼</t>
  </si>
  <si>
    <t>クリーチャー1体を対象とする。あなたのターン終了時まで、それは+2/+2の修正を受けると共にバーサーカーを得る。</t>
  </si>
  <si>
    <t>Wild Instincts</t>
  </si>
  <si>
    <t>野性の本能</t>
  </si>
  <si>
    <t>クリーチャー1体を対象とする。あなたの次のターン開始時まで、それは戦場に出ているあなたのクリーチャー1体につき+1/+1の修正を受ける。</t>
  </si>
  <si>
    <t>Might of the Masses</t>
  </si>
  <si>
    <t>大群の力</t>
  </si>
  <si>
    <t>クリーチャー1体を対象とし、それに+1/+3の修正と到達を与える。</t>
  </si>
  <si>
    <t>Mantle of Webs</t>
  </si>
  <si>
    <t>蜘蛛の網のマントル</t>
  </si>
  <si>
    <t>飛行を持つクリーチャー1体を対象とする。それは3点のダメージを受ける。</t>
  </si>
  <si>
    <t>Aerial Volley</t>
  </si>
  <si>
    <t>空への斉射</t>
  </si>
  <si>
    <t>このクリーチャーが戦場に出たとき、クリーチャー1体を対象とする。あなたの次のターン開始時まで、それは+2/+2の修正を受ける。</t>
  </si>
  <si>
    <t>Yeva's Forcemage</t>
  </si>
  <si>
    <t>イェヴァの腕力魔道士</t>
  </si>
  <si>
    <t>モンク</t>
  </si>
  <si>
    <t>Valeron Wardens</t>
  </si>
  <si>
    <t>ヴァレロンの管理人</t>
  </si>
  <si>
    <t>このカードが補強されたとき、これは+1/+1の修正を受ける。</t>
  </si>
  <si>
    <t>Timberpack Wolf</t>
  </si>
  <si>
    <t>森林群れの狼</t>
  </si>
  <si>
    <t>Pharika's Disciple</t>
  </si>
  <si>
    <t>ファリカの信奉者</t>
  </si>
  <si>
    <t>Orchard Spirit</t>
  </si>
  <si>
    <t>果樹園の霊魂</t>
  </si>
  <si>
    <t>このクリーチャーが戦場に出たとき、あなたがコントロールする手札の最初のクリーチャーは3マナを得る。</t>
  </si>
  <si>
    <t>Llanowar Empath</t>
  </si>
  <si>
    <t>ラノワールの共感者</t>
  </si>
  <si>
    <t>Leaf Gilder</t>
  </si>
  <si>
    <t>葉光らせ</t>
  </si>
  <si>
    <t>Hitchclaw Recluse</t>
  </si>
  <si>
    <t>絡み爪のイトグモ</t>
  </si>
  <si>
    <t>このクリーチャーが戦場に出たとき、3個のジェムを緑に変換する。</t>
  </si>
  <si>
    <t>Elvish Visionary</t>
  </si>
  <si>
    <t>エルフの幻想家</t>
  </si>
  <si>
    <t>Caustic Caterpillar</t>
  </si>
  <si>
    <t>苛性イモムシ</t>
  </si>
  <si>
    <t>あなたが3個以上の赤ジェムをマッチさせたとき、対戦相手に4点のダメージを与える。</t>
  </si>
  <si>
    <t>Molten Vortex</t>
  </si>
  <si>
    <t>溶鉄の渦</t>
  </si>
  <si>
    <t>対戦相手がコントロールする、戦場にいる各クリーチャーに6点のダメージを与える。</t>
  </si>
  <si>
    <t>Chandra's Ignition</t>
  </si>
  <si>
    <t>チャンドラの灯の目覚め</t>
  </si>
  <si>
    <t>Avaricious Dragon</t>
  </si>
  <si>
    <t>強欲なドラゴン</t>
  </si>
  <si>
    <t>あなたがコントロールするトークンでないクリーチャー1体が戦場に出たとき、あなたのターン終了時まで、それは速攻とダメージ軽減を得る。</t>
  </si>
  <si>
    <t>Flameshadow Conjuring</t>
  </si>
  <si>
    <t>炎影の妖術</t>
  </si>
  <si>
    <t>クリーチャー1体を対象とし、それは4点のダメージを与える。&amp;br;ボードに8個以上の赤ジェムがある場合、対戦相手に4点のダメージを与える。</t>
  </si>
  <si>
    <t>Ravaging Blaze</t>
  </si>
  <si>
    <t>残虐無道の猛火</t>
  </si>
  <si>
    <t>クリーチャーかプレインズウォーカーを対象とする。それに6点のダメージを与える。</t>
  </si>
  <si>
    <t>Exquisite Firecraft</t>
  </si>
  <si>
    <t>極上の炎技</t>
  </si>
  <si>
    <t>Scab-Clan Berserker</t>
  </si>
  <si>
    <t>瘡蓋族の狂戦士</t>
  </si>
  <si>
    <t>このクリーチャーが戦場に出たとき、飛行を持つ1/1の飛行機械を4体召喚する。&amp;br;赤ジェム1個を起動する：あなたがコントロールする最初のサポートを破壊し、対戦相手に5点のダメージを与える。</t>
  </si>
  <si>
    <t>Pia and Kiran Nalaar</t>
  </si>
  <si>
    <t>ピア・ナラーとキラン・ナラー</t>
  </si>
  <si>
    <t>ヘリオン</t>
  </si>
  <si>
    <t>Embermaw Hellion</t>
  </si>
  <si>
    <t>燃えさし口のヘリオン</t>
  </si>
  <si>
    <t>このクリーチャーが戦場に出たとき、1ブロックの5×5ジェムを破壊する。</t>
  </si>
  <si>
    <t>Abbot of Keral Keep</t>
  </si>
  <si>
    <t>ケラル砦の修道院長</t>
  </si>
  <si>
    <t>このサポートがボードにある間、あなたがコントロールする最初のクリーチャーは+3/+2の修正を受けると共にトランプルとバーサーカーを得る。</t>
  </si>
  <si>
    <t>Call of the Full Moon</t>
  </si>
  <si>
    <t>満月の呼び声</t>
  </si>
  <si>
    <t>カードを1枚捨てて、2枚引く。</t>
  </si>
  <si>
    <t>Magmatic Insight</t>
  </si>
  <si>
    <t>マグマの洞察力</t>
  </si>
  <si>
    <t>クリーチャー1体を対象とし、それに+2/+1の修正と速攻を与える。</t>
  </si>
  <si>
    <t>Infectious Bloodlust</t>
  </si>
  <si>
    <t>伝染性渇血症</t>
  </si>
  <si>
    <t>あなたのクリーチャー1体を破壊し、対戦相手がコントロールするクリーチャー1体に5点のダメージを与える。</t>
  </si>
  <si>
    <t>Fiery Conclusion</t>
  </si>
  <si>
    <t>焦熱の結末</t>
  </si>
  <si>
    <t>対戦相手がコントロールする1このサポートジェムと、その周りの3×3ブロックを破壊する。</t>
  </si>
  <si>
    <t>Demolish</t>
  </si>
  <si>
    <t>破砕</t>
  </si>
  <si>
    <t>対戦相手に4点のダメージを、対戦相手のすべてのクリーチャーに1点のダメージを与える。</t>
  </si>
  <si>
    <t>Chandra's Fury</t>
  </si>
  <si>
    <t>チャンドラの憤怒</t>
  </si>
  <si>
    <t>対戦相手がコントロールする、ディフェンダーまたは到達を持たないクリーチャー1体を対象とする。それは、あなたにコントロールされ、あなたのターン終了時まで速攻を得る。</t>
  </si>
  <si>
    <t>Act of Treason</t>
  </si>
  <si>
    <t>反逆の行動</t>
  </si>
  <si>
    <t>このクリーチャーが戦場に出たとき、2ブロックの3×3ジェムを破壊する。</t>
  </si>
  <si>
    <t>Volcanic Rambler</t>
  </si>
  <si>
    <t>火山の彷徨</t>
  </si>
  <si>
    <t>このクリーチャーが戦場に出たとき、飛行を持つ1/1の飛行機械を1体召喚する。</t>
  </si>
  <si>
    <t>Thopter Engineer</t>
  </si>
  <si>
    <t>飛行機械技師</t>
  </si>
  <si>
    <t>Skyraker Giant</t>
  </si>
  <si>
    <t>空荒らしの巨人</t>
  </si>
  <si>
    <t>このクリーチャーが戦場に出たとき、あなたのターン終了時まで、すべてのクリーチャーはブロックできなくなる。</t>
  </si>
  <si>
    <t>Seismic Elemental</t>
  </si>
  <si>
    <t>地震の精霊</t>
  </si>
  <si>
    <t>このクリーチャーがブロックされたとき、あなたのターン終了時まで、これは+2/+0の修正を受けるとともに先制攻撃を得る。</t>
  </si>
  <si>
    <t>猪</t>
  </si>
  <si>
    <t>Prickleboar</t>
  </si>
  <si>
    <t>トゲイノシシ</t>
  </si>
  <si>
    <t>あなたが呪文またはサポートを唱えたとき、あなたのターン終了時まで、このクリーチャーは+1/+1の修正を受けると共にバーサーカーを得る。</t>
  </si>
  <si>
    <t>Mage-Ring Bully</t>
  </si>
  <si>
    <t>このクリーチャーが攻撃したとき、これはあなたがコントロールする戦場の他のゴブリン1体につき+5/0の修正を受けると共にバーサーカーを得る。</t>
  </si>
  <si>
    <t>Goblin Piledriver</t>
  </si>
  <si>
    <t>ゴブリンの群衆追い</t>
  </si>
  <si>
    <t>このクリーチャーが戦場に出たとき、対戦相手がコントロールするパワーが2以下のクリーチャー1体を対象とする。あなたのターン終了時まで、あなたはそれのコントロールを得る。また、そのクリーチャーは速攻を得る。</t>
  </si>
  <si>
    <t>Enthralling Victor</t>
  </si>
  <si>
    <t>心酔させる勝者</t>
  </si>
  <si>
    <t>Boggart Brute</t>
  </si>
  <si>
    <t>ボガートの粗暴者</t>
  </si>
  <si>
    <t>あなたのターン開始時に、対戦相手がコントロールする最初のクリーチャーは1点のダメージを受ける。</t>
  </si>
  <si>
    <t>Ghirapur AEther Grid</t>
  </si>
  <si>
    <t>ギラプールの霊気格子</t>
  </si>
  <si>
    <t>クリーチャー1体を対象とする。あなたの次のターン開始時まで、それに+3/+1の修正を与える。</t>
  </si>
  <si>
    <t>Titan's Strength</t>
  </si>
  <si>
    <t>タイタンの力</t>
  </si>
  <si>
    <t>対戦相手がコントロールしているサポートを1個破壊する。&amp;br;あなたは3点のダメージを受ける。</t>
  </si>
  <si>
    <t>Smash to Smithereens</t>
  </si>
  <si>
    <t>粉々</t>
  </si>
  <si>
    <t>クリーチャー1体か対戦相手を対象とする。それに3点のダメージを与える。</t>
  </si>
  <si>
    <t>Lightning Javelin</t>
  </si>
  <si>
    <t>稲妻の投槍</t>
  </si>
  <si>
    <t>クリーチャー1体を対象とし、それに2点のダメージを与える。&amp;br;ボード上に8個以上の赤ジェムがある場合、対象クリーチャーは代わりに3点のダメージを受ける。</t>
  </si>
  <si>
    <t>Fiery Impulse</t>
  </si>
  <si>
    <t>焦熱の衝動</t>
  </si>
  <si>
    <t>1/1のゴブリンを2体戦場に召喚する。</t>
  </si>
  <si>
    <t>Dragon Fodder</t>
  </si>
  <si>
    <t>ドラゴンの餌</t>
  </si>
  <si>
    <t>Subterranean Scout</t>
  </si>
  <si>
    <t>地底の斥候</t>
  </si>
  <si>
    <t>Goblin Glory Chaser</t>
  </si>
  <si>
    <t>ゴブリンの栄光追い</t>
  </si>
  <si>
    <t>このクリーチャーが戦場に出たとき、飛行を持つ1/1の飛行機械・クリーチャーを1体召喚する。</t>
  </si>
  <si>
    <t>Ghirapur Gearcrafter</t>
  </si>
  <si>
    <t>ギラプールの歯車造り</t>
  </si>
  <si>
    <t>速攻</t>
  </si>
  <si>
    <t>Firefiend Elemental</t>
  </si>
  <si>
    <t>炎魔の精霊</t>
  </si>
  <si>
    <t>Cobblebrute</t>
  </si>
  <si>
    <t>暴れ玉石</t>
  </si>
  <si>
    <t>あなたのターン開始時に、このクリーチャーは+1/0の修正を受ける。</t>
  </si>
  <si>
    <t>Bellows Lizard</t>
  </si>
  <si>
    <t>ふいごトカゲ</t>
  </si>
  <si>
    <t>Akroan Sergeant</t>
  </si>
  <si>
    <t>Acolyte of the Inferno</t>
  </si>
  <si>
    <t>業火の侍祭</t>
  </si>
  <si>
    <t>あなたのターン開始時に、対戦相手がコントロールするすべてのクリーチャーは2点のダメージを、対戦相手は1点のダメージを受ける。対戦相手の手札の最後のカードは破壊され、あなたはカードを1枚引く。&amp;br;このサポートが破壊されたとき、あなたは30点のダメージを受け、あなたの手札の最初のカード3枚が破壊される。</t>
  </si>
  <si>
    <t>Demonic Pact</t>
  </si>
  <si>
    <t>悪魔の契約</t>
  </si>
  <si>
    <t>対戦相手の手札の最初と最後のカードを捨てる。</t>
  </si>
  <si>
    <t>Infinite Obliteration</t>
  </si>
  <si>
    <t>無限の抹消</t>
  </si>
  <si>
    <t>対戦相手が戦場にクリーチャーを出していない間、このクリーチャーはダメージを受けない。&amp;br;このクリーチャーが破壊されたとき、あなたの手札に2枚以上のカードがある場合、手札の最初の2枚のカードを破壊する。そして、このクリーチャーを戦場に戻す。</t>
  </si>
  <si>
    <t>Erebos's Titan</t>
  </si>
  <si>
    <t>エレボスのタイタン</t>
  </si>
  <si>
    <t>ジェム5個に罠をかける：あなたがコントロールする各クリーチャーは2点のライフを得て、対戦相手がコントロールする各クリーチャーは2点のダメージを受ける。</t>
  </si>
  <si>
    <t>Tainted Remedy</t>
  </si>
  <si>
    <t>穢れた療法</t>
  </si>
  <si>
    <t>黒ジェム4個に罠をかける：対戦相手は4点のダメージを受け、あなたは4点のライフを得る。</t>
  </si>
  <si>
    <t>Shadows of the Past</t>
  </si>
  <si>
    <t>過去の過ち</t>
  </si>
  <si>
    <t>クリーチャー1体を対象とし、それを破壊する。&amp;br;ボードに8個以上の黒ジェムがある場合、2点のライフを得る。</t>
  </si>
  <si>
    <t>Unholy Hunger</t>
  </si>
  <si>
    <t>不浄な飢え</t>
  </si>
  <si>
    <t>あなたのターン終了時まで、すべてのクリーチャーは-6/-6の修正を受ける。</t>
  </si>
  <si>
    <t>Languish</t>
  </si>
  <si>
    <t>衰滅</t>
  </si>
  <si>
    <t>最後に死亡した、あなたがコントロールしていたクリーチャーを戦場に戻す。&amp;br;ボードに8個以上の黒ジェムがある場合、3マナを得る。</t>
  </si>
  <si>
    <t>Dark Petition</t>
  </si>
  <si>
    <t>闇の誓願</t>
  </si>
  <si>
    <t>このクリーチャーが戦場に出たとき、あなたは飛行を持つ5/5のデーモンを1体召喚する。&amp;br;黒ジェム5個に罠をかける：あなたは4点のダメージを受ける。</t>
  </si>
  <si>
    <t>Priest of the Blood Rite</t>
  </si>
  <si>
    <t>血の儀式の司祭</t>
  </si>
  <si>
    <t>デーモン</t>
  </si>
  <si>
    <t>Kothophed, Soul Hoarder</t>
  </si>
  <si>
    <t>魂の貯蔵者、コソフェッド</t>
  </si>
  <si>
    <t>Graveblade Marauder</t>
  </si>
  <si>
    <t>墓刃の匪賊</t>
  </si>
  <si>
    <t>インプ</t>
  </si>
  <si>
    <t>Fetid Imp</t>
  </si>
  <si>
    <t>異臭のインプ</t>
  </si>
  <si>
    <t>このクリーチャーが破壊されたとき、3マナ以上を持つカードをあなたが持つ場合、3マナを失い、このクリーチャーは戦場に戻される。</t>
  </si>
  <si>
    <t>ホラー</t>
  </si>
  <si>
    <t>Despoiler of Souls</t>
  </si>
  <si>
    <t>魂の略奪者</t>
  </si>
  <si>
    <t>あなたがサポートを唱えたとき、あなたのターン終了時まで、対戦相手がコントロールする最初のクリーチャーは-2/-2の修正を受ける。</t>
  </si>
  <si>
    <t>Blightcaster</t>
  </si>
  <si>
    <t>クリーチャー1体を対象とする。それに-3/-2の修正を与える。</t>
  </si>
  <si>
    <t>Weight of the Underworld</t>
  </si>
  <si>
    <t>死の国の重み</t>
  </si>
  <si>
    <t>あなたがコントロールする1体のクリーチャーを生け贄に捧げ、対戦相手の手札の最後の2枚のカードを破壊する。</t>
  </si>
  <si>
    <t>Tormented Thoughts</t>
  </si>
  <si>
    <t>苛まれし思考</t>
  </si>
  <si>
    <t>あなたと対戦相手の最後に破壊されたクリーチャーを戦場に戻す。</t>
  </si>
  <si>
    <t>Necromantic Summons</t>
  </si>
  <si>
    <t>屍術的召喚</t>
  </si>
  <si>
    <t>あなたの次のターン開始時まで、すべてのクリーチャーは-2/-2の修正を受ける。</t>
  </si>
  <si>
    <t>Eyeblight Massacre</t>
  </si>
  <si>
    <t>眼腐りの虐殺</t>
  </si>
  <si>
    <t>ゾンビでないクリーチャー1体を対象とし、それを破壊する。&amp;br;その後、あなたが最後にコントロールしていて破壊されたゾンビをあなたの手札に戻す。</t>
  </si>
  <si>
    <t>Cruel Revival</t>
  </si>
  <si>
    <t>残酷な蘇生</t>
  </si>
  <si>
    <t>クリーチャー1体を対象とする。それは+2/+2の修正を受けるとともに飛行と再生2を得る。</t>
  </si>
  <si>
    <t>Consecrated by Blood</t>
  </si>
  <si>
    <t>血による聖別</t>
  </si>
  <si>
    <t>このクリーチャーが戦場に出たとき、2/2のゾンビを2体召喚する。</t>
  </si>
  <si>
    <t>Revenant</t>
  </si>
  <si>
    <t>黄泉からの帰還者</t>
  </si>
  <si>
    <t>このクリーチャーが戦場に出たとき、3個のジェムを黒に変換する。</t>
  </si>
  <si>
    <t>Returned Centaur</t>
  </si>
  <si>
    <t>蘇りしケンタウルス</t>
  </si>
  <si>
    <t>対戦相手のクリーチャーが1体破壊されたとき、このクリーチャーは+1/+1の修正を受ける。</t>
  </si>
  <si>
    <t>Malakir Cullblade</t>
  </si>
  <si>
    <t>マラキールの選刃</t>
  </si>
  <si>
    <t>Gilt-Leaf Winnower</t>
  </si>
  <si>
    <t>光り葉の選別者</t>
  </si>
  <si>
    <t>このクリーチャーが戦場に出たとき、あなたが少なくとももう1体クリーチャーをコントロールしている場合、あなたがコントロールする他のクリーチャー1体は破壊され、対戦相手がコントロールする最初のクリーチャーも破壊される。</t>
  </si>
  <si>
    <t>肉袋の匪賊</t>
  </si>
  <si>
    <t>ナメクジ</t>
  </si>
  <si>
    <t>Catacomb Slug</t>
  </si>
  <si>
    <t>地下墓地のナメクジ</t>
  </si>
  <si>
    <t>あなたがコントロールする最初のクリーチャーは+2/0の修正を受ける。&amp;br;このサポートが破壊されたとき、カードを1枚引く。</t>
  </si>
  <si>
    <t>Infernal Scarring</t>
  </si>
  <si>
    <t>冥府の傷跡</t>
  </si>
  <si>
    <t>クリーチャー1体を対象とする。あなたのターン終了時まで、それは+1/0の修正を受けるとともに接死を得る。</t>
  </si>
  <si>
    <t>Touch of Moonglove</t>
  </si>
  <si>
    <t>ツキノテブクロの浸潤</t>
  </si>
  <si>
    <t>パワーが3以下のクリーチャー1体破壊する。</t>
  </si>
  <si>
    <t>Reave Soul</t>
  </si>
  <si>
    <t>魂裂き</t>
  </si>
  <si>
    <t>カードを2枚引く。&amp;br;2点のダメージを受ける。</t>
  </si>
  <si>
    <t>Read the Bones</t>
  </si>
  <si>
    <t>骨読み</t>
  </si>
  <si>
    <t>Nightsnare</t>
  </si>
  <si>
    <t>夜の罠</t>
  </si>
  <si>
    <t>クリーチャー1体を対象として、それのタフネスを完全回復する。そして、カードを1枚引く。</t>
  </si>
  <si>
    <t>Dark Dabbling</t>
  </si>
  <si>
    <t>闇の試み</t>
  </si>
  <si>
    <t>このクリーチャーが戦場に出たとき、2/2のゾンビを1体召喚する。</t>
  </si>
  <si>
    <t>Undead Servant</t>
  </si>
  <si>
    <t>アンデッドの召使い</t>
  </si>
  <si>
    <t>射手</t>
  </si>
  <si>
    <t>Thornbow Archer</t>
  </si>
  <si>
    <t>茨弓の射手</t>
  </si>
  <si>
    <t>Shambling Ghoul</t>
  </si>
  <si>
    <t>よろめくグール</t>
  </si>
  <si>
    <t>Rabid Bloodsucker</t>
  </si>
  <si>
    <t>狂暴な吸血者</t>
  </si>
  <si>
    <t>あなたのクリーチャー1体が死亡したとき、あなたの次のターン開始時まで、このクリーチャーは+2/+2の修正を受ける。</t>
  </si>
  <si>
    <t>Nantuko Husk</t>
  </si>
  <si>
    <t>ナントゥーコの鞘虫</t>
  </si>
  <si>
    <t>このクリーチャーが戦場に出たとき、クリーチャー1体を対象とする。それに接死を与える。</t>
  </si>
  <si>
    <t>Gnarlroot Trapper</t>
  </si>
  <si>
    <t>節くれ根の罠師</t>
  </si>
  <si>
    <t>このクリーチャーが戦場に出たとき、クリーチャー1体を対象とする。あなたのターン終了時までそれは-1/-1の修正を受ける。</t>
  </si>
  <si>
    <t>Eyeblight Assassin</t>
  </si>
  <si>
    <t>眼腐りの暗殺者</t>
  </si>
  <si>
    <t>Deadbridge Shaman</t>
  </si>
  <si>
    <t>死橋のシャーマン</t>
  </si>
  <si>
    <t>あなたのターン開始時に、あなたがサポートをコントロールしている場合、飛行を持つ1/1の飛行機械を4体召喚する。&amp;br;あなたがコントロールするトークンが対戦相手にダメージを与えたとき、カードを1枚引く。</t>
  </si>
  <si>
    <t>Thopter Spy Network</t>
  </si>
  <si>
    <t>ジェム5個に罠をかける：対戦相手から6マナを吸収し、あなたは3マナを得る。</t>
  </si>
  <si>
    <t>Dreadwaters</t>
  </si>
  <si>
    <t>戦慄水</t>
  </si>
  <si>
    <t>どちらのプレイヤーも手札のカードをすべてライブラリーに移動する。その後、ライブラリーを切り直す。&amp;br;どちらのプレイヤーもカードを5枚引く。&amp;br;あなたの手札のカードはすべて3マナを得る。</t>
  </si>
  <si>
    <t>Day's Undoing</t>
  </si>
  <si>
    <t>一日のやり直し</t>
  </si>
  <si>
    <t>Skaab Goliath</t>
  </si>
  <si>
    <t>スカーブの大巨人</t>
  </si>
  <si>
    <t>ジェム3個を起動する：対戦相手がコントロールする最初のカードは、4マナを失う。あなたの次のターン開始時まで、輪の信奉者は+4/+4の修正を受ける。あなたのターン終了時まで、対戦相手がコントロールするディフェンダーまたは到達を持つ最初のクリーチャーは無効化される。</t>
  </si>
  <si>
    <t>Disciple of the Ring</t>
  </si>
  <si>
    <t>輪の信奉者</t>
  </si>
  <si>
    <t>あなたのターン開始時に、対戦相手は3マナを失う。</t>
  </si>
  <si>
    <t>Jace's Sanctum</t>
  </si>
  <si>
    <t>ジェイスの聖域</t>
  </si>
  <si>
    <t>クリーチャー1体を対象とする。それは、破壊され、青の1/1のカエル・クリーチャーに取って代わられる。</t>
  </si>
  <si>
    <t>Turn to Frog</t>
  </si>
  <si>
    <t>蛙変化</t>
  </si>
  <si>
    <t>あなたのライブラリーの次のカード3枚から1枚を選ぶ。そのカードを取ってくる。それは6マナを得る。</t>
  </si>
  <si>
    <t>Talent of the Telepath</t>
  </si>
  <si>
    <t>テレパスの才能</t>
  </si>
  <si>
    <t>戦場のクリーチャーすべてをそのオーナーの手札に戻す。プレイヤーの手札に空きがない場合、それらのクリーチャーは破壊される。破壊を無効にする効果は無視する。</t>
  </si>
  <si>
    <t>Displacement Wave</t>
  </si>
  <si>
    <t>変位の波</t>
  </si>
  <si>
    <t>あなたが呪文またはサポートを唱えたとき、あなたのターン終了時まで、あなたは対戦相手がコントロールする最初のクリーチャーのコントロールを得て、それに速攻を与える。</t>
  </si>
  <si>
    <t>Willbreaker</t>
  </si>
  <si>
    <t>意志を砕く者</t>
  </si>
  <si>
    <t>ジン</t>
  </si>
  <si>
    <t>Soulblade Djinn</t>
  </si>
  <si>
    <t>魂刃のジン</t>
  </si>
  <si>
    <t>あなたが色つきジェムをマッチさせるたび、対戦相手から1マナを吸収する。</t>
  </si>
  <si>
    <t>ヴィダルケン</t>
  </si>
  <si>
    <t>Mizzium Meddler</t>
  </si>
  <si>
    <t>ミジウムの干渉者</t>
  </si>
  <si>
    <t>クリーチャーが戦場に出たとき、対戦相手の手札が5枚以下の場合、対戦相手がコントロールする線上にあるクリーチャー1体を対象とする。それは、オーナーの手札に戻され、マナ・コストは6多くなる。</t>
  </si>
  <si>
    <t>Harbinger of the Tides</t>
  </si>
  <si>
    <t>潮流の先駆け</t>
  </si>
  <si>
    <t>Alhammarret, High Arbiter</t>
  </si>
  <si>
    <t>高位調停者、アルハマレット</t>
  </si>
  <si>
    <t>あなたがカードを1枚引くたび、対戦相手の手札の最初のカードのマナ・コストが2多くなる。&amp;br;青ジェム1個を起動する：あなたの手札のカードを1枚破壊し、カードを1枚引く。</t>
  </si>
  <si>
    <t>Sphinx's Tutelage</t>
  </si>
  <si>
    <t>スフィンクスの後見</t>
  </si>
  <si>
    <t>あなたのターン終了時まで、対戦相手がコントロールする最初の2体のクリーチャーは無効化される。</t>
  </si>
  <si>
    <t>Send to Sleep</t>
  </si>
  <si>
    <t>眠りへの誘い</t>
  </si>
  <si>
    <t>あなたの次のターン開始時まで、対戦相手のすべてのクリーチャーは-2/0の修正を受ける。&amp;br;あなたはカードを1枚引く。</t>
  </si>
  <si>
    <t>Hydrolash</t>
  </si>
  <si>
    <t>水撃</t>
  </si>
  <si>
    <t>2ターンのカウントダウン付き青ジェム1個を起動する：対戦相手の手札の最初のカードのマナを完全に吸収する。</t>
  </si>
  <si>
    <t>Clash of Wills</t>
  </si>
  <si>
    <t>意思の激突</t>
  </si>
  <si>
    <t>対戦相手の手札の最初のクリーチャーからすべてのマナを吸収し、カードを1枚引く。</t>
  </si>
  <si>
    <t>Bone to Ash</t>
  </si>
  <si>
    <t>骨を灰に</t>
  </si>
  <si>
    <t>対戦相手の手札が5枚以下の場合、対戦相手がコントロールするクリーチャー1亭を対象とする。それはオーナーの手札に移動し、あなたはカードを1枚引く。</t>
  </si>
  <si>
    <t>Anchor to the AEther</t>
  </si>
  <si>
    <t>霊気への抑留</t>
  </si>
  <si>
    <t>このクリーチャーが戦場に出たとき、飛行を持つ1/1の飛行機械を2体召喚し、クリーチャー1体に「ブロックされない」を与える。</t>
  </si>
  <si>
    <t>ならず者</t>
  </si>
  <si>
    <t>Whirler Rogue</t>
  </si>
  <si>
    <t>つむじ風のならず者</t>
  </si>
  <si>
    <t>Tower Geist</t>
  </si>
  <si>
    <t>塔の霊</t>
  </si>
  <si>
    <t>ヒトデ</t>
  </si>
  <si>
    <t>Sigiled Starfish</t>
  </si>
  <si>
    <t>印章持ちのヒトデ</t>
  </si>
  <si>
    <t>Scrapskin Drake</t>
  </si>
  <si>
    <t>屑肌のドレイク</t>
  </si>
  <si>
    <t>鳥</t>
  </si>
  <si>
    <t>Ringwarden Owl</t>
  </si>
  <si>
    <t>あなたが呪文またはサポートを唱えたとき、あなたの次のターン開始時で、このクリーチャーは+1/+1の修正を受ける。&amp;br;このクリーチャーがプレインズウォーカーに戦闘ダメージを与えたとき、カードを1枚引く。</t>
  </si>
  <si>
    <t>Jhessian Thief</t>
  </si>
  <si>
    <t>ジェスの盗人</t>
  </si>
  <si>
    <t>このクリーチャーはボードに少なくとも8個の青ジェムがない限り攻撃できない。</t>
  </si>
  <si>
    <t>海蛇</t>
  </si>
  <si>
    <t>Deep-Sea Terror</t>
  </si>
  <si>
    <t>深海の恐怖</t>
  </si>
  <si>
    <t>あなたがダメージを受けるたび、1点のダメージを対戦相手に与える。</t>
  </si>
  <si>
    <t>Psychic Rebuttal</t>
  </si>
  <si>
    <t>精神的反論</t>
  </si>
  <si>
    <t>このサポートがボードにある間、対戦相手がコントロールする最初のクリーチャーは無効化される。</t>
  </si>
  <si>
    <t>Claustrophobia</t>
  </si>
  <si>
    <t>閉所恐怖症</t>
  </si>
  <si>
    <t>カードを1枚引く。&amp;br;クリーチャー1体に飛行を与える。</t>
  </si>
  <si>
    <t>Stratus Walk</t>
  </si>
  <si>
    <t>層雲歩み</t>
  </si>
  <si>
    <t>対戦相手は3マナを失う。</t>
  </si>
  <si>
    <t>Negate</t>
  </si>
  <si>
    <t>否認</t>
  </si>
  <si>
    <t>対戦相手の手札が5枚以下の場合、対戦相手がコントロールする戦場にあるクリーチャー1体をそのオーナーの手札に戻す。それは6マナを得る。</t>
  </si>
  <si>
    <t>Disperse</t>
  </si>
  <si>
    <t>分散</t>
  </si>
  <si>
    <t>3ターンのカウントダウン付き青ジェム1個を起動する：対戦相手の手札の最初のカードのマナを完全に吸収する。</t>
  </si>
  <si>
    <t>Calculated Dismissal</t>
  </si>
  <si>
    <t>計算された放逐</t>
  </si>
  <si>
    <t>カードを1枚引く。&amp;br;あなたのサポートがボードにある場合、さらにカードをもう1枚引く。</t>
  </si>
  <si>
    <t>Artificer's Epiphany</t>
  </si>
  <si>
    <t>工匠の天啓</t>
  </si>
  <si>
    <t>Watercourser</t>
  </si>
  <si>
    <t>狩漁者</t>
  </si>
  <si>
    <t>このクリーチャーが戦場に出たとき、対戦相手の手札が5枚以下の場合、対戦相手がコントロールするクリーチャー1体を対象とする。それは、オーナーの手札に戻され、6マナを得る。</t>
  </si>
  <si>
    <t>Separatist Voidmage</t>
  </si>
  <si>
    <t>分離主義者の虚空魔道士</t>
  </si>
  <si>
    <t>このクリーチャーが戦場に出たとき、あなたは3マナを失う。</t>
  </si>
  <si>
    <t>Screeching Skaab</t>
  </si>
  <si>
    <t>金切り声のスカーブ</t>
  </si>
  <si>
    <t>壁</t>
  </si>
  <si>
    <t>イリュージョン</t>
  </si>
  <si>
    <t>Nivix Barrier</t>
  </si>
  <si>
    <t>ニヴィックスの障壁</t>
  </si>
  <si>
    <t>Maritime Guard</t>
  </si>
  <si>
    <t>臨海の護衛</t>
  </si>
  <si>
    <t>フェアリー</t>
  </si>
  <si>
    <t>Faerie Miscreant</t>
  </si>
  <si>
    <t>フェアリーの悪党</t>
  </si>
  <si>
    <t>Aspiring Aeronaut</t>
  </si>
  <si>
    <t>飛空士志願者</t>
  </si>
  <si>
    <t>あなたのターン開始時に、あなたが最後にコントロールしていて破壊されたサポートをボードに戻す。&amp;br;あなたが4個以上のサポートをコントロールしている場合、あなたがコントロールするすべてのクリーチャーは+5/+5の修正を受ける。</t>
  </si>
  <si>
    <t>あなたが4個以上のサポートをコントロールしている場合、あなたがコントロールするすべてのクリーチャーは+5/+5の修正を受ける。</t>
  </si>
  <si>
    <t>あなたのターン開始時に、あなたが最後にコントロールしていて破壊されたサポートをボードに戻す。</t>
  </si>
  <si>
    <t>Starfield of Nyx</t>
  </si>
  <si>
    <t>ニクスの星原</t>
  </si>
  <si>
    <t>あなたが対戦相手のクリーチャーからダメージを受けるたび、そのクリーチャーは無効化される。&amp;br;このサポートが破壊されたとき、対戦相手のすべてのクリーチャーは有効化される。</t>
  </si>
  <si>
    <t>このサポートが破壊されたとき、対戦相手のすべてのクリーチャーは有効化される。</t>
  </si>
  <si>
    <t>あなたが対戦相手のクリーチャーからダメージを受けるたび、そのクリーチャーは無効化される。</t>
  </si>
  <si>
    <t>Hixus, Prison Warden</t>
  </si>
  <si>
    <t>牢獄の管理人、ヒクサス</t>
  </si>
  <si>
    <t>あなたがコントロールするクリーチャーを1体と対戦相手がコントロールするクリーチャーを1体選び、その後戦場にあるそれら以外のすべてのクリーチャーを破壊する。</t>
  </si>
  <si>
    <t>Tragic Arrogance</t>
  </si>
  <si>
    <t>悲劇的な傲慢</t>
  </si>
  <si>
    <t>対戦相手がコントロールするクリーチャーが攻撃するたび、2マナを得る。</t>
  </si>
  <si>
    <t>Archangel of Tithes</t>
  </si>
  <si>
    <t>徴税の大天使</t>
  </si>
  <si>
    <t>対戦相手がコントロールする最初のクリーチャーは無効化される。</t>
  </si>
  <si>
    <t>Suppression Bonds</t>
  </si>
  <si>
    <t>あなたがこれ以外のサポートを唱えたとき、飛行を持つ4/4の天使を1体召喚する。</t>
  </si>
  <si>
    <t>Sigil of the Empty Throne</t>
  </si>
  <si>
    <t>空位の玉座の印章</t>
  </si>
  <si>
    <t>各クリーチャー・トークンを破壊する。</t>
  </si>
  <si>
    <t>Hallowed Moonlight</t>
  </si>
  <si>
    <t>神聖なる月光</t>
  </si>
  <si>
    <t>ボードに8個以上の白ジェムがある場合、あなたのターン終了時まであなたのすべてのクリーチャーはダメージ軽減を得る。</t>
  </si>
  <si>
    <t>警戒を持つ2/2の騎士を4体召喚する。</t>
  </si>
  <si>
    <t>Gideon's Phalanx</t>
  </si>
  <si>
    <t>ギデオンの密集軍</t>
  </si>
  <si>
    <t>すべてのサポートは、そのマナ・コストが3多くなる。</t>
  </si>
  <si>
    <t>ペガサス</t>
  </si>
  <si>
    <t>Vryn Wingmare</t>
  </si>
  <si>
    <t>ヴリンの翼馬</t>
  </si>
  <si>
    <t>このクリーチャーが攻撃したとき、あなたのターン終了時まで、対戦相手がコントロールする最初のクリーチャーは無効化される。</t>
  </si>
  <si>
    <t>Sentinel of the Eternal Watch</t>
  </si>
  <si>
    <t>永遠警備の歩哨</t>
  </si>
  <si>
    <t>このクリーチャーがプレインズウォーカーにダメージを与えたとき、これが高名である場合、あなたの最初のクリーチャーに+1/+1の修正を与える。</t>
  </si>
  <si>
    <t>Relic Seeker</t>
  </si>
  <si>
    <t>秘宝の探求者</t>
  </si>
  <si>
    <t>白ジェム1個を起動する：あなたのターン終了時まで、対戦相手がコントロールするディフェンダーまたは到達を持つ最初のクリーチャーは無効化される。</t>
  </si>
  <si>
    <t>Kytheon's Irregulars</t>
  </si>
  <si>
    <t>キテオンの不正規軍</t>
  </si>
  <si>
    <t>このクリーチャーが戦場に出たとき、5個のジェムを白に変換する。</t>
  </si>
  <si>
    <t>Knight of the White Orchid</t>
  </si>
  <si>
    <t>白蘭の騎士</t>
  </si>
  <si>
    <t>あなたがコントロールするクリーチャー1体が戦場に出たとき、あなたのターン終了時まで、あなたがコントロールするすべてのクリーチャーは+1/+1の修正を受ける。</t>
  </si>
  <si>
    <t>Valor in Akros</t>
  </si>
  <si>
    <t>アクロスでの武勇</t>
  </si>
  <si>
    <t>このサポートがボードに出たとき、警戒を持つ2/2の騎士を1体召喚する。&amp;br;あなたがコントロールする最初のクリーチャーは+2/+2の修正を受けるとともに警戒を得る。</t>
  </si>
  <si>
    <t>あなたがコントロールする最初のクリーチャーは+2/+2の修正を受けるとともに警戒を得る。</t>
  </si>
  <si>
    <t>このサポートがボードに出たとき、警戒を持つ2/2の騎士を1体召喚する。</t>
  </si>
  <si>
    <t>Knightly Valor</t>
  </si>
  <si>
    <t>騎士の勇気</t>
  </si>
  <si>
    <t>無効化されたクリーチャー1体を対象とし、それを破壊する。</t>
  </si>
  <si>
    <t>Swift Reckoning</t>
  </si>
  <si>
    <t>迅速な報い</t>
  </si>
  <si>
    <t>5点のライフを得る。&amp;br;カードを1枚引く。</t>
  </si>
  <si>
    <t>5点のライフを得る。</t>
  </si>
  <si>
    <t>Healing Hands</t>
  </si>
  <si>
    <t>治癒の手</t>
  </si>
  <si>
    <t>対戦相手がコントロールする、ディフェンダーを持つクリーチャー1体を対象とし、それを破壊する。</t>
  </si>
  <si>
    <t>Celestial Flare</t>
  </si>
  <si>
    <t>天界のほとばしり</t>
  </si>
  <si>
    <t>War Oracle</t>
  </si>
  <si>
    <t>戦乱の神託者</t>
  </si>
  <si>
    <t>このクリーチャーが戦場に出たとき、あなたのライブラリーの最初のサポートを手札に移動する。</t>
  </si>
  <si>
    <t>アンテローブ</t>
  </si>
  <si>
    <t>Totem-Guide Hartebeest</t>
  </si>
  <si>
    <t>族霊導きの鹿羚羊</t>
  </si>
  <si>
    <t>このクリーチャーが戦場に出たとき、あなたがコントロールする全てのクリーチャーは+1/+1の修正を受ける。</t>
  </si>
  <si>
    <t>Patron of the Valiant</t>
  </si>
  <si>
    <t>勇者の守護神</t>
  </si>
  <si>
    <t>Heavy Infantry</t>
  </si>
  <si>
    <t>重歩兵</t>
  </si>
  <si>
    <t>このクリーチャーが攻撃したとき、それが高名である場合、あなたのターン終了時まで、あなたの他のクリーチャーが+1/+1の修正を受ける。</t>
  </si>
  <si>
    <t>Consul's Lieutenant</t>
  </si>
  <si>
    <t>領事補佐官</t>
  </si>
  <si>
    <t>あなたがサポートを唱えたとき、このクリーチャーは+2/+2の修正を受ける。</t>
  </si>
  <si>
    <t>Blessed Spirits</t>
  </si>
  <si>
    <t>祝福された霊魂</t>
  </si>
  <si>
    <t>このクリーチャーが戦場に出たとき、4点のライフを得る。</t>
  </si>
  <si>
    <t>Aven Battle Priest</t>
  </si>
  <si>
    <t>エイヴンの戦僧侶</t>
  </si>
  <si>
    <t>あなたのターン開始時に、あなたの次のターン開始時まで、あなたのコントロールする最初のクリーチャーは+1/+1の修正を受ける。</t>
  </si>
  <si>
    <t>Anointer of Champions</t>
  </si>
  <si>
    <t>勇者の選定師</t>
  </si>
  <si>
    <t>このクリーチャーが戦場に出たとき、あなたの次のターンの開始時まで、あなたのコントロールすべてのクリーチャーは+1/+1の修正を受ける。</t>
  </si>
  <si>
    <t>Ampryn Tactician</t>
  </si>
  <si>
    <t>アンプリンの戦術家</t>
  </si>
  <si>
    <t>あなたがコントロールするクリーチャーが破壊されたとき、1/1の兵士を召喚する。</t>
  </si>
  <si>
    <t>Murder Investigation</t>
  </si>
  <si>
    <t>殺人の捜査</t>
  </si>
  <si>
    <t>あなたのターン開始時に、あなたがコントロールする最初のクリーチャーは+1/+1の修正を受け、あなたのターン終了時まで対戦相手がコントロールするディフェンダーまたは到達を持つ最初のクリーチャーは無効化される。</t>
  </si>
  <si>
    <t>Grasp of the Hieromancer</t>
  </si>
  <si>
    <t>秘儀術師の掌握</t>
  </si>
  <si>
    <t>あなたの次のターン開始時まで、クリーチャー1体に+2/+2の修正と飛行を与える。</t>
  </si>
  <si>
    <t>Mighty Leap</t>
  </si>
  <si>
    <t>力強い跳躍</t>
  </si>
  <si>
    <t>あなたの次のターン開始時まで、あなたのすべてのクリーチャーは+2/+1の修正を受ける。&amp;br;ボードに8個以上の白ジェムがある場合、あなたのターン終了時まで、あなたのすべてのクリーチャーは警戒を得る。</t>
  </si>
  <si>
    <t>ボードに8個以上の白ジェムがある場合、あなたのターン終了時まで、あなたのすべてのクリーチャーは警戒を得る。</t>
  </si>
  <si>
    <t>あなたの次のターン開始時まで、あなたのすべてのクリーチャーは+2/+1の修正を受ける。</t>
  </si>
  <si>
    <t>キテオンの戦術</t>
  </si>
  <si>
    <t>あなたの次のターン開始まで、クリーチャー1体に+1/+1の修正とダメージ軽減を与える。</t>
  </si>
  <si>
    <t>Enshrouding Mist</t>
  </si>
  <si>
    <t>包み込む霧</t>
  </si>
  <si>
    <t>雄牛</t>
  </si>
  <si>
    <t>Yoked Ox</t>
  </si>
  <si>
    <t>鋤引きの雄牛</t>
  </si>
  <si>
    <t>Topan Freeblade</t>
  </si>
  <si>
    <t>トーパの自由刃</t>
  </si>
  <si>
    <t>確固たるエイヴン</t>
  </si>
  <si>
    <t>Knight of the Pilgrim's Road</t>
  </si>
  <si>
    <t>巡礼者の道の騎士</t>
  </si>
  <si>
    <t>絆魂</t>
  </si>
  <si>
    <t>Enlightened Ascetic</t>
  </si>
  <si>
    <t>悟った苦行者</t>
  </si>
  <si>
    <t>このクリーチャーが補強されたとき、あなたは2点のライフを得る。</t>
  </si>
  <si>
    <t>Cleric of the Forward Order</t>
  </si>
  <si>
    <t>前線の僧侶</t>
  </si>
  <si>
    <t>このクリーチャーが攻撃したとき、あなたのターン終了時まで、これは+1/+1の修正を受ける。</t>
  </si>
  <si>
    <t>Charging Griffin</t>
  </si>
  <si>
    <t>突進するグリフィン</t>
  </si>
  <si>
    <t>このクリーチャーが戦場に出たとき、最後に破壊されたサポートをあなたの手札に戻す。</t>
  </si>
  <si>
    <t>Auramancer</t>
  </si>
  <si>
    <t>オーラ術師</t>
  </si>
  <si>
    <t>このクリーチャーが戦場に出たとき、あなたのターン終了時までクリーチャーを1体無効化する。</t>
  </si>
  <si>
    <t>Akroan Jailer</t>
  </si>
  <si>
    <t>アクロスの看守</t>
  </si>
  <si>
    <t>テキスト合算</t>
    <rPh sb="4" eb="6">
      <t>ガッサン</t>
    </rPh>
    <phoneticPr fontId="1"/>
  </si>
  <si>
    <t>T</t>
    <phoneticPr fontId="1"/>
  </si>
  <si>
    <t>P</t>
    <phoneticPr fontId="1"/>
  </si>
  <si>
    <t>SLD</t>
  </si>
  <si>
    <t>テキスト3</t>
  </si>
  <si>
    <t>テキスト2</t>
  </si>
  <si>
    <t>テキスト1</t>
    <phoneticPr fontId="1"/>
  </si>
  <si>
    <t>ST3</t>
  </si>
  <si>
    <t>ST2</t>
  </si>
  <si>
    <t>ST1</t>
  </si>
  <si>
    <t>種別</t>
    <rPh sb="0" eb="2">
      <t>シュベツ</t>
    </rPh>
    <phoneticPr fontId="1"/>
  </si>
  <si>
    <t>英名</t>
    <rPh sb="0" eb="2">
      <t>エイメイ</t>
    </rPh>
    <phoneticPr fontId="1"/>
  </si>
  <si>
    <t>名</t>
    <rPh sb="0" eb="1">
      <t>メイ</t>
    </rPh>
    <phoneticPr fontId="1"/>
  </si>
  <si>
    <t>マナ</t>
  </si>
  <si>
    <t>Re</t>
  </si>
  <si>
    <t>色</t>
    <rPh sb="0" eb="1">
      <t>イロ</t>
    </rPh>
    <phoneticPr fontId="1"/>
  </si>
  <si>
    <t>Exp</t>
    <phoneticPr fontId="1"/>
  </si>
  <si>
    <t>聖別されたスフィンクス</t>
  </si>
  <si>
    <t>Consecrated Sphinx</t>
  </si>
  <si>
    <t>忠臣</t>
  </si>
  <si>
    <t>Loyal Retainers</t>
  </si>
  <si>
    <t>稲妻の連鎖</t>
  </si>
  <si>
    <t>Chain Lightning</t>
  </si>
  <si>
    <t>対抗呪文</t>
  </si>
  <si>
    <t>Counterspell</t>
  </si>
  <si>
    <t>暗黒の儀式</t>
  </si>
  <si>
    <t>Dark Ritual</t>
  </si>
  <si>
    <t>大渦の脈動</t>
  </si>
  <si>
    <t>Maelstrom Pulse</t>
  </si>
  <si>
    <t>名誉回復</t>
  </si>
  <si>
    <t>Vindicate</t>
  </si>
  <si>
    <t>神の怒り</t>
  </si>
  <si>
    <t>Wrath of God</t>
  </si>
  <si>
    <t>追い討ち</t>
  </si>
  <si>
    <t>Aggravated Assault</t>
  </si>
  <si>
    <t>否定の契約</t>
  </si>
  <si>
    <t>Pact of Negation</t>
  </si>
  <si>
    <t>Masterpiece</t>
  </si>
  <si>
    <t>LEFT:50</t>
  </si>
  <si>
    <t>LEFT:500</t>
  </si>
  <si>
    <t>c</t>
  </si>
  <si>
    <t>コスト</t>
  </si>
  <si>
    <t>カード名</t>
  </si>
  <si>
    <t>バウンス</t>
  </si>
  <si>
    <t>|</t>
    <phoneticPr fontId="1"/>
  </si>
  <si>
    <t>セット</t>
    <phoneticPr fontId="1"/>
  </si>
  <si>
    <t>BFZ</t>
  </si>
  <si>
    <t>OGW</t>
  </si>
  <si>
    <t>カード一覧</t>
  </si>
  <si>
    <t>*</t>
    <phoneticPr fontId="1"/>
  </si>
  <si>
    <t>能力</t>
    <rPh sb="0" eb="2">
      <t>ノウリョク</t>
    </rPh>
    <phoneticPr fontId="1"/>
  </si>
  <si>
    <t>|</t>
  </si>
  <si>
    <t>ORI</t>
  </si>
  <si>
    <t>飛行 ディフェンダー</t>
  </si>
  <si>
    <t>飛行 ディフェンダー &amp;br;このクリーチャーが攻撃したとき、あなたのターン終了時まで、これは+1/+1の修正を受ける。</t>
  </si>
  <si>
    <t>Stalwart Aven</t>
  </si>
  <si>
    <t>飛行 高名2</t>
  </si>
  <si>
    <t>警戒 高名1</t>
  </si>
  <si>
    <t>飛行 &amp;br;このクリーチャーが戦場に出たとき、4点のライフを得る。</t>
  </si>
  <si>
    <t>飛行 &amp;br;あなたがサポートを唱えたとき、このクリーチャーは+2/+2の修正を受ける。</t>
  </si>
  <si>
    <t>先制攻撃 高名1</t>
  </si>
  <si>
    <t>先制攻撃 高名1 &amp;br;このクリーチャーが攻撃したとき、それが高名である場合、あなたのターン終了時まで、あなたの他のクリーチャーが+1/+1の修正を受ける。</t>
  </si>
  <si>
    <t>飛行 &amp;br;このクリーチャーが戦場に出たとき、あなたがコントロールする全てのクリーチャーは+1/+1の修正を受ける。</t>
  </si>
  <si>
    <t>絆魂 高名2</t>
  </si>
  <si>
    <t>先制攻撃 ディフェンダー</t>
  </si>
  <si>
    <t>先制攻撃 ディフェンダー &amp;br;このクリーチャーが戦場に出たとき、5個のジェムを白に変換する。</t>
  </si>
  <si>
    <t>ディフェンダー 高名3</t>
  </si>
  <si>
    <t>ディフェンダー 高名3 &amp;br;白ジェム1個を起動する：あなたのターン終了時まで、対戦相手がコントロールするディフェンダーまたは到達を持つ最初のクリーチャーは無効化される。</t>
  </si>
  <si>
    <t>高名1</t>
  </si>
  <si>
    <t>高名1 &amp;br;このクリーチャーがプレインズウォーカーにダメージを与えたとき、これが高名である場合、あなたの最初のクリーチャーに+1/+1の修正を与える。</t>
  </si>
  <si>
    <t>警戒</t>
  </si>
  <si>
    <t>警戒 &amp;br;このクリーチャーが攻撃したとき、あなたのターン終了時まで、対戦相手がコントロールする最初のクリーチャーは無効化される。</t>
  </si>
  <si>
    <t>飛行 &amp;br;すべてのサポートは、そのマナ・コストが3多くなる。</t>
  </si>
  <si>
    <t>飛行 &amp;br;対戦相手がコントロールするクリーチャーが攻撃するたび、2マナを得る。</t>
  </si>
  <si>
    <t>飛行 &amp;br;このクリーチャーが戦場に出たとき、飛行を持つ1/1の飛行機械を1体召喚する。</t>
  </si>
  <si>
    <t>このクリーチャーが補強されたとき、カードを1枚引く。</t>
  </si>
  <si>
    <t>飛行 &amp;br;このクリーチャーが補強されたとき、カードを1枚引く。</t>
  </si>
  <si>
    <t>攻撃できない</t>
  </si>
  <si>
    <t>ディフェンダー &amp;br;攻撃できない</t>
  </si>
  <si>
    <t>あなたのサポートがボードにある場合、さらにカードをもう1枚引く。</t>
  </si>
  <si>
    <t>クリーチャー1体に飛行を与える。</t>
  </si>
  <si>
    <t>あなたが呪文またはサポートを唱えたとき、あなたの次のターン開始時で、このクリーチャーは+1/+1の修正を受ける。</t>
  </si>
  <si>
    <t>このクリーチャーがプレインズウォーカーに戦闘ダメージを与えたとき、カードを1枚引く。</t>
  </si>
  <si>
    <t>あなたが呪文を唱えたとき、あなたの次のターン開始時まで、このクリーチャーは+2/+2の修正を受ける。</t>
  </si>
  <si>
    <t>飛行 到達</t>
  </si>
  <si>
    <t>飛行 このクリーチャーが戦場に出たとき、あなたのライブラリーの次のカード2枚から1枚を選ぶ。そのカードを取ってきて、他のカードを破壊する。</t>
  </si>
  <si>
    <t>あなたの次のターン開始時まで、対戦相手のすべてのクリーチャーは-2/0の修正を受ける。</t>
  </si>
  <si>
    <t>あなたはカードを1枚引く。</t>
  </si>
  <si>
    <t>あなたがカードを1枚引くたび、対戦相手の手札の最初のカードのマナ・コストが2多くなる。</t>
  </si>
  <si>
    <t>青ジェム1個を起動する：あなたの手札のカードを1枚破壊し、カードを1枚引く。</t>
  </si>
  <si>
    <t>このカードが戦場に出たとき、あなたの次のターン開始時まで対戦相手の手札のすべてのカードのマナ・コストが6増加する。</t>
  </si>
  <si>
    <t>飛行 &amp;br;このカードが戦場に出たとき、あなたの次のターン開始時まで対戦相手の手札のすべてのカードのマナ・コストが6増加する。</t>
  </si>
  <si>
    <t>あなたが呪文を唱えたとき、あなたのターン終了時まで、あなたの他のクリーチャーは+2/+2の修正を受ける。</t>
  </si>
  <si>
    <t>飛行 &amp;br;あなたが呪文を唱えたとき、あなたのターン終了時まで、あなたの他のクリーチャーは+2/+2の修正を受ける。</t>
  </si>
  <si>
    <t>トランプル バーサーカー</t>
  </si>
  <si>
    <t>このクリーチャーが戦場に出たとき、あなたがコントロールする他の各クリーチャーは破壊される。このクリーチャーは、破壊されたクリーチャー1体につき+6/+6の修正を受ける。</t>
  </si>
  <si>
    <t>トランプル バーサーカー &amp;br;このクリーチャーが戦場に出たとき、あなたがコントロールする他の各クリーチャーは破壊される。このクリーチャーは、破壊されたクリーチャー1体につき+6/+6の修正を受ける。</t>
  </si>
  <si>
    <t>どちらのプレイヤーも手札のカードをすべてライブラリーに移動する。その後、ライブラリーを切り直す。</t>
  </si>
  <si>
    <t>どちらのプレイヤーもカードを5枚引く。</t>
  </si>
  <si>
    <t>あなたの手札のカードはすべて3マナを得る。</t>
  </si>
  <si>
    <t>あなたのターン開始時に、あなたがサポートをコントロールしている場合、飛行を持つ1/1の飛行機械を4体召喚する。</t>
  </si>
  <si>
    <t>あなたがコントロールするトークンが対戦相手にダメージを与えたとき、カードを1枚引く。</t>
  </si>
  <si>
    <t>このクリーチャーが攻撃したとき、対戦相手がエルフ・クリーチャーをコントロールしていない場合、対戦相手は1点のダメージを受ける。</t>
  </si>
  <si>
    <t>到達 &amp;br;このクリーチャーが攻撃したとき、対戦相手がエルフ・クリーチャーをコントロールしていない場合、対戦相手は1点のダメージを受ける。</t>
  </si>
  <si>
    <t>2点のダメージを受ける。</t>
  </si>
  <si>
    <t>あなたがコントロールする最初のクリーチャーは+2/0の修正を受ける。</t>
  </si>
  <si>
    <t>このサポートが破壊されたとき、カードを1枚引く。</t>
  </si>
  <si>
    <t>Fleshbag Marauder</t>
  </si>
  <si>
    <t>到達 威迫</t>
  </si>
  <si>
    <t>ゾンビでないクリーチャー1体を対象とし、それを破壊する。</t>
  </si>
  <si>
    <t>その後、あなたが最後にコントロールしていて破壊されたゾンビをあなたの手札に戻す。</t>
  </si>
  <si>
    <t>黒ジェム3個を起動する：あなたの次のターン開始時まで、異臭のインプは接死と到達を得る。</t>
  </si>
  <si>
    <t>飛行 &amp;br;黒ジェム3個を起動する：あなたの次のターン開始時まで、異臭のインプは接死と到達を得る。</t>
  </si>
  <si>
    <t>接死 バーサーカー</t>
  </si>
  <si>
    <t>このクリーチャーがプレインズウォーカーに戦闘ダメージを与えたとき、対戦相手は5点のダメージを受ける。</t>
  </si>
  <si>
    <t>接死 バーサーカー &amp;br;このクリーチャーがプレインズウォーカーに戦闘ダメージを与えたとき、対戦相手は5点のダメージを受ける。</t>
  </si>
  <si>
    <t>対戦相手のクリーチャーが1体破壊されたとき、カードを1枚引き、1点のダメージを受ける。</t>
  </si>
  <si>
    <t>飛行 &amp;br;対戦相手のクリーチャーが1体破壊されたとき、カードを1枚引き、1点のダメージを受ける。</t>
  </si>
  <si>
    <t>このクリーチャーが戦場に出たとき、あなたは飛行を持つ5/5のデーモンを1体召喚する。</t>
  </si>
  <si>
    <t>黒ジェム5個に罠をかける：あなたは4点のダメージを受ける。</t>
  </si>
  <si>
    <t>最後に死亡した、あなたがコントロールしていたクリーチャーを戦場に戻す。</t>
  </si>
  <si>
    <t>ボードに8個以上の黒ジェムがある場合、3マナを得る。</t>
  </si>
  <si>
    <t>ボードに8個以上の黒ジェムがある場合、2点のライフを得る。</t>
  </si>
  <si>
    <t>対戦相手が戦場にクリーチャーを出していない間、このクリーチャーはダメージを受けない。</t>
  </si>
  <si>
    <t>このクリーチャーが破壊されたとき、あなたの手札に2枚以上のカードがある場合、手札の最初の2枚のカードを破壊する。そして、このクリーチャーを戦場に戻す。</t>
  </si>
  <si>
    <t>あなたのターン開始時に、対戦相手がコントロールするすべてのクリーチャーは2点のダメージを、対戦相手は1点のダメージを受ける。対戦相手の手札の最後のカードは破壊され、あなたはカードを1枚引く。</t>
  </si>
  <si>
    <t>このサポートが破壊されたとき、あなたは30点のダメージを受け、あなたの手札の最初のカード3枚が破壊される。</t>
  </si>
  <si>
    <t>クリーチャー1体を対象とし、それに2点のダメージを与える。</t>
  </si>
  <si>
    <t>ボード上に8個以上の赤ジェムがある場合、対象クリーチャーは代わりに3点のダメージを受ける。</t>
  </si>
  <si>
    <t>対戦相手がコントロールしているサポートを1個破壊する。</t>
  </si>
  <si>
    <t>あなたは3点のダメージを受ける。</t>
  </si>
  <si>
    <t>あなたがコントロールする赤のクリーチャーが攻撃するたび、あなたのターン終了時まで、そのクリーチャーは+3/0の修正を受ける。</t>
  </si>
  <si>
    <t>トランプル バーサーカー &amp;br;あなたがコントロールする赤のクリーチャーが攻撃するたび、あなたのターン終了時まで、そのクリーチャーは+3/0の修正を受ける。</t>
  </si>
  <si>
    <t>このクリーチャーが戦場に出たとき、飛行を持つ1/1の飛行機械を4体召喚する。</t>
  </si>
  <si>
    <t>赤ジェム1個を起動する：あなたがコントロールする最初のサポートを破壊し、対戦相手に5点のダメージを与える。</t>
  </si>
  <si>
    <t>速攻 バーサーカー 高名3</t>
  </si>
  <si>
    <t>対戦相手が呪文かサポートを唱えるたび、対戦相手は3点のダメージを受ける。</t>
  </si>
  <si>
    <t>速攻 バーサーカー 高名3 &amp;br;対戦相手が呪文かサポートを唱えるたび、対戦相手は3点のダメージを受ける。</t>
  </si>
  <si>
    <t>クリーチャー1体を対象とし、それは4点のダメージを与える。</t>
  </si>
  <si>
    <t>ボードに8個以上の赤ジェムがある場合、対戦相手に4点のダメージを与える。</t>
  </si>
  <si>
    <t>あなたがカードを1枚引くたび、対戦相手の色のジェムを3個破壊する。</t>
  </si>
  <si>
    <t>飛行 &amp;br;あなたがカードを1枚引くたび、対戦相手の色のジェムを3個破壊する。</t>
  </si>
  <si>
    <t>バーサーカー 高名1</t>
  </si>
  <si>
    <t>ディフェンダー 高名2</t>
  </si>
  <si>
    <t>このクリーチャーが戦場に出たとき、あなたが他にエルフを少なくとも1体戦場に出している場合、1/1のエルフ戦士を1体召喚する。</t>
  </si>
  <si>
    <t>到達 &amp;br;このクリーチャーが戦場に出たとき、あなたが他にエルフを少なくとも1体戦場に出している場合、1/1のエルフ戦士を1体召喚する。</t>
  </si>
  <si>
    <t>バーサーカー 高名2</t>
  </si>
  <si>
    <t>高名1 再生3</t>
  </si>
  <si>
    <t>ライブラリーの次のクリーチャーを手札へ移動する。</t>
  </si>
  <si>
    <t>ボードに8個以上の緑ジェムがある場合、ライブラリーの2体目のクリーチャーを手札へ移動する。</t>
  </si>
  <si>
    <t>ライブラリーの次のクリーチャー4体を破壊する。</t>
  </si>
  <si>
    <t>緑ジェム1個を起動する：あなたの各クリーチャーは+2/+2の修正を受け、あなたは自分がコントロールするクリーチャーの数に等しいライフを得る。</t>
  </si>
  <si>
    <t>到達 &amp;br;緑ジェム1個を起動する：あなたの各クリーチャーは+2/+2の修正を受け、あなたは自分がコントロールするクリーチャーの数に等しいライフを得る。</t>
  </si>
  <si>
    <t>このクリーチャーが戦場に出たとき、手札の各サポートは3マナを得る。</t>
  </si>
  <si>
    <t>あなたがサポートを唱えるたび、3点のライフを得る。</t>
  </si>
  <si>
    <t>緑ジェム1個を起動する：名誉ある教主が高名であるなら、5マナを得る。</t>
  </si>
  <si>
    <t>警戒 高名1 &amp;br;緑ジェム1個を起動する：名誉ある教主が高名であるなら、5マナを得る。</t>
  </si>
  <si>
    <t>プレイヤー1人が呪文を唱えるたび、このクリーチャーは+1/+1の修正を受ける。</t>
  </si>
  <si>
    <t>トランプル &amp;br;プレイヤー1人が呪文を唱えるたび、このクリーチャーは+1/+1の修正を受ける。</t>
  </si>
  <si>
    <t>緑ジェム1個を、1ターンのカウントダウンが付いた特別なジェムに変換する。これは、マッチ時に5個のジェムを緑に変換する。</t>
  </si>
  <si>
    <t>緑ジェムが8個以上ある場合、5個のジェムを緑に変換する。</t>
  </si>
  <si>
    <t>速攻 呪禁</t>
  </si>
  <si>
    <t>カードを5枚引く。</t>
  </si>
  <si>
    <t>20点のライフを得る。</t>
  </si>
  <si>
    <t>赤ジェム1個を起動する：対戦相手がコントロールする最初のクリーチャーは1点のダメージを受ける。</t>
  </si>
  <si>
    <t>バーサーカー &amp;br;赤ジェム1個を起動する：対戦相手がコントロールする最初のクリーチャーは1点のダメージを受ける。</t>
  </si>
  <si>
    <t>警戒 高名2</t>
  </si>
  <si>
    <t>二段攻撃 バーサーカー</t>
  </si>
  <si>
    <t>あなたの飛行を持つ他のクリーチャーは+1/+1の修正を受ける。</t>
  </si>
  <si>
    <t>飛行 &amp;br;あなたの飛行を持つ他のクリーチャーは+1/+1の修正を受ける。</t>
  </si>
  <si>
    <t>このクリーチャーが死亡した時、あなたは2点のライフを得る。</t>
  </si>
  <si>
    <t>ディフェンダー &amp;br;このクリーチャーが死亡した時、あなたは2点のライフを得る。</t>
  </si>
  <si>
    <t>ディフェンダー 攻撃できない</t>
  </si>
  <si>
    <t>このサポートが破壊されたとき、6マナを得る。</t>
  </si>
  <si>
    <t>このサポートがボードに出たとき、対戦相手の最初のクリーチャーに2点のダメージを与える。</t>
  </si>
  <si>
    <t>あなたが1体のクリーチャーをコントロールしているなら、コントロールしている最初のクリーチャーは+3/+3の修正を受ける。</t>
  </si>
  <si>
    <t>あなたが2体のクリーチャーをコントロールしているなら、コントロールしている最初のクリーチャーは+2/+2の修正を受ける。</t>
  </si>
  <si>
    <t>あなたが3体のクリーチャーをコントロールしているなら、コントロールしている最初のクリーチャーは+1/+1の修正を受ける。</t>
  </si>
  <si>
    <t>このサポートが破壊されたとき、対戦相手は2点のダメージを受ける。</t>
  </si>
  <si>
    <t>このクリーチャーは攻撃できない。</t>
  </si>
  <si>
    <t>5個以上のジェムをマッチさせると、あなたのターン終了時まで、このクリーチャーは攻撃できる。</t>
  </si>
  <si>
    <t>このクリーチャーが攻撃したとき、対戦相手がコントロールする最初のクリーチャーは7点のダメージを受ける。</t>
  </si>
  <si>
    <t>あなたが3個以上のジェムをマッチさせるたび、飛行を持つ1/1の飛行機械を1体召喚する。</t>
  </si>
  <si>
    <t>このクリーチャーが破壊されたとき、飛行を持つ1/1の飛行機械を8体召喚する。</t>
  </si>
  <si>
    <t>あなたがカードを1枚引くなら、代わりに、カードを2枚引く。</t>
  </si>
  <si>
    <t>あなたがライフを得るなら、代わりに、その2倍のライフを得る。</t>
  </si>
  <si>
    <t>このクリーチャーが戦場に出たとき、あなたは2点のライフを得る。</t>
  </si>
  <si>
    <t>先制攻撃</t>
  </si>
  <si>
    <t>先制攻撃 &amp;br;上陸：あなたのターン終了時まで、このクリーチャーは+2/+2の修正を受ける。</t>
  </si>
  <si>
    <t>飛行 &amp;br;このクリーチャーが戦場に出たとき、戦場にあるクリーチャーの数の2倍に等しいライフを得る。</t>
  </si>
  <si>
    <t>収斂</t>
  </si>
  <si>
    <t>収斂 &amp;br;1/1のコー・同盟者・トークンX体を戦場に出す。Xはあなたが収斂したマナに等しい。</t>
  </si>
  <si>
    <t>飛行 &amp;br;上陸、白：最後に破壊された非呪文を戦場に戻す。&amp;br;上陸：最後に破壊された非呪文をあなたの手札に戻す。</t>
  </si>
  <si>
    <t>欠色</t>
  </si>
  <si>
    <t>欠色 &amp;br;ブロックされない。&amp;br;このクリーチャーがプレインズウォーカーにダメージを与えたとき、嚥下1を行う。</t>
  </si>
  <si>
    <t>欠色 飛行</t>
  </si>
  <si>
    <t>欠色 飛行 &amp;br;このクリーチャーが戦場に出たとき、「このクリーチャーが破壊されたとき、このクリーチャーのパワーの3倍のマナを得る。」を持つ1/1のエルドラージの末裔を1体召喚する。</t>
  </si>
  <si>
    <t>ディフェンダー 欠色</t>
  </si>
  <si>
    <t>ディフェンダー 欠色 &amp;br;このクリーチャーが戦場に出たとき、「このクリーチャーが破壊されたとき、このクリーチャーのパワーの3倍のマナを得る。」を持つ1/1のエルドラージの末裔を1体召喚し、カードを1枚引く。</t>
  </si>
  <si>
    <t>欠色 飛行 &amp;br;このクリーチャーがプレインズウォーカーにダメージを与えたとき、嚥下1を行う。</t>
  </si>
  <si>
    <t>欠色 &amp;br;このクリーチャーが戦場に出たとき、昇華1を行う：対戦相手の手札が5枚以下の場合、対戦相手がコントロールするクリーチャー1体を対象とし、それを対戦相手の手札に戻す。</t>
  </si>
  <si>
    <t>ディフェンダー 欠色 &amp;br;このクリーチャーがプレインズウォーカーにダメージを与えたとき、嚥下1を行う。&amp;br;このクリーチャーが破壊されたとき、カードを1枚引く。</t>
  </si>
  <si>
    <t>欠色 &amp;br;あなたがコントロールする他のクリーチャーは0+/1の修正を受ける。</t>
  </si>
  <si>
    <t>飛行 &amp;br;上陸：あなたのターン終了時まで、このクリーチャーは+2/+2の修正を受ける。</t>
  </si>
  <si>
    <t>欠色 &amp;br;2ターンのカウントダウン付きジェム1個を起動する：対戦相手がコントロールする最初のカードからすべてのマナを吸収し、嚥下1を行う。</t>
  </si>
  <si>
    <t>欠色 &amp;br;ジェム2個を起動する：昇華1を行う：あなたの最後のカードを捨てて、カードを1枚引く。</t>
  </si>
  <si>
    <t>欠色 &amp;br;このクリーチャーがプレインズウォーカーにダメージを与えたとき、嚥下1を行う。&amp;br;このクリーチャーが戦場にいる間、あなたがコントロールする無色の各クリーチャーは+1/0の修正を受ける。</t>
  </si>
  <si>
    <t>ディフェンダー 欠色 &amp;br;このクリーチャーが戦場に出たとき、昇華2を行う：あなたが最後に唱えた呪文を手札に戻す。</t>
  </si>
  <si>
    <t>欠色 &amp;br;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</si>
  <si>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欠色 &amp;br;対戦相手の手札の最初のクリーチャーからすべてのマナを吸収し、嚥下1を行う。</t>
  </si>
  <si>
    <t>飛行 &amp;br;上陸、青：あなたのターン開始時まで、対戦相手がコントロールする各クリーチャーを無効化する。&amp;br;上陸：あなたのターン終了時まで、対戦相手がコントロールする各クリーチャーを無効化する。</t>
  </si>
  <si>
    <t>このクリーチャーが戦場に出たとき、「このクリーチャーが破壊されたとき、このクリーチャーのパワーの3倍のマナを得る。」を持つ1/1のエルドラージの末裔を4体召喚する。</t>
  </si>
  <si>
    <t>欠色 &amp;br;このクリーチャーが戦場に出たとき、「このクリーチャーが破壊されたとき、このクリーチャーのパワーの3倍のマナを得る。」を持つ1/1のエルドラージの末裔を4体召喚する。 &amp;br;あなたのコントロール下で無色のクリーチャーが戦場に出るたび、あなたのターン開始時まで対戦相手のすべてのクリーチャーを無効化する。</t>
  </si>
  <si>
    <t>欠色 &amp;br;このクリーチャーがプレインズウォーカーにダメージを与えたとき、嚥下1を行う。</t>
  </si>
  <si>
    <t>欠色 &amp;br;このクリーチャーがプレインズウォーカーにダメージを与えたとき、嚥下1を行う。&amp;br;このクリーチャーが戦場に出たとき、あなたが無色のクリーチャーをコントロールしている場合、2点のダメージを対戦相手に与える。</t>
  </si>
  <si>
    <t>威迫。</t>
  </si>
  <si>
    <t>威迫。 &amp;br;上陸：あなたのターン終了時まで、このクリーチャーは+2/+2の修正を受ける。</t>
  </si>
  <si>
    <t>ディフェンダー &amp;br;あなたがライフを得たとき、あなたのターン終了時まで、このクリーチャーは飛行を得る。</t>
  </si>
  <si>
    <t>欠色 &amp;br;このクリーチャーが戦場に出たとき、昇華1を行う：対戦相手の手札の最後のカードを破壊する。</t>
  </si>
  <si>
    <t>欠色 飛行 &amp;br;このクリーチャーが攻撃したとき、対戦相手に2点のダメージを与える。</t>
  </si>
  <si>
    <t>欠色 &amp;br;このクリーチャーがプレインズウォーカーにダメージを与えたとき、嚥下1を行う。&amp;br;2ターンのカウントダウン付きジェム1個を起動する：あなたのターン終了時まで、このクリーチャーは+1/+1の修正を受ける。</t>
  </si>
  <si>
    <t>欠色 &amp;br;パワーが3以下のクリーチャー1体を対象とし、それを破壊する。&amp;br;嚥下1を行う。</t>
  </si>
  <si>
    <t>欠色 &amp;br;嚥下1を行い、「このクリーチャーが破壊されたとき、このクリーチャーのパワーの3倍のマナを得る。」を持つ1/1のエルドラージの末裔を1体召喚し、カードを1枚引く。</t>
  </si>
  <si>
    <t>ディフェンダー &amp;br;このクリーチャーが破壊されたとき、「このクリーチャーが破壊されたとき、このクリーチャーのパワーの3倍のマナを得る。」を持つ1/1のエルドラージの末裔を1体召喚する。</t>
  </si>
  <si>
    <t>接死 飛行</t>
  </si>
  <si>
    <t>接死 飛行 &amp;br;あなたがライフを得たとき、あなたのターン終了時まで、このクリーチャーは+1/+1の修正を受ける。</t>
  </si>
  <si>
    <t>欠色 &amp;br;このクリーチャーが破壊されたとき、あなたが無色のクリーチャーをコントロールしている場合、あなたは6マナを失い、このクリーチャーは戦場に戻される。</t>
  </si>
  <si>
    <t>欠色 &amp;br;クリーチャー1体を対象とし、それを破壊して、嚥下2を行う。</t>
  </si>
  <si>
    <t>欠色 &amp;br;対戦相手の手札の最初のカードを捨てる。&amp;br;嚥下1を行う。</t>
  </si>
  <si>
    <t>飛行 &amp;br;あなたがライフを得たとき、対戦相手に5点のダメージを与える。</t>
  </si>
  <si>
    <t>飛行 &amp;br;上陸、黒：あなたのターン終了時まで、あなたの各クリーチャーに+6/0の修正を与える。&amp;br;上陸：あなたのターン終了時まで、あなたの各クリーチャーに+3/0の修正を与える。</t>
  </si>
  <si>
    <t>先制攻撃 飛行</t>
  </si>
  <si>
    <t>先制攻撃 飛行 &amp;br;ブロックされない。 &amp;br;このクリーチャーがプレインズウォーカーにダメージを与えたとき、あなたがコントロールする各クリーチャーに+1/+1の修正を与える。</t>
  </si>
  <si>
    <t>ディフェンダー 飛行</t>
  </si>
  <si>
    <t>ディフェンダー 飛行 &amp;br;あなたのターン開始時に、あなたの他のクリーチャーと対戦相手がコントロールする最後のクリーチャー2体を破壊する。</t>
  </si>
  <si>
    <t>欠色 &amp;br;あなたがコントロールするクリーチャーが戦場に出たとき、昇華1を行う：対戦相手がコントロールする最初のクリーチャーは-3/-3の修正を受ける。</t>
  </si>
  <si>
    <t>欠色 &amp;br;あなたが無色の呪文、クリーチャー、またはサポートを唱えたとき、あなたのターン終了時まで、このクリーチャーは+1/+0の修正を受ける。</t>
  </si>
  <si>
    <t>トランプル &amp;br;上陸：あなたのターン終了時まで、このクリーチャーは+1/+1の修正を受ける。</t>
  </si>
  <si>
    <t>欠色 &amp;br;ジェム1個を起動する：対戦相手に1点のダメージを与える。あなたが無色の呪文かサポートを唱えるか、無色のクリーチャーが戦場に出たとき、対戦相手に1点のダメージを与える。</t>
  </si>
  <si>
    <t>ディフェンダー &amp;br;結集：あなたのターン終了時まで、あなたの各クリーチャーはトランプルを得る。</t>
  </si>
  <si>
    <t>欠色 &amp;br;クリーチャー1体を対象とし、それに3点のダメージを与え、嚥下1を行う。</t>
  </si>
  <si>
    <t>欠色 トランプル &amp;br;あなたがコントロールする無色のクリーチャー1体につき、このクリーチャーは+3/+0の修正を受ける。このクリーチャーがプレインズウォーカーにダメージを与えたとき、嚥下1を行う。</t>
  </si>
  <si>
    <t>欠色 &amp;br;クリーチャー1体を対象とする。あなたのターン終了時まで、それのコントロールを得る。それは速攻を得る。</t>
  </si>
  <si>
    <t>欠色 &amp;br;あなたが無色の呪文かサポートを唱えたか、無色のクリーチャーを戦場に出たとき、対戦相手に2点のダメージを与える。</t>
  </si>
  <si>
    <t>飛行 &amp;br;上陸、赤：対戦相手がコントロールする最初のクリーチャーに8点のダメージを与える。&amp;br;上陸：対戦相手がコントロールする最初のクリーチャーに4点のダメージを与える。</t>
  </si>
  <si>
    <t>欠色 &amp;br;ジェム1個を起動する：あなたがコントロールする最初の無色のクリーチャーを破壊し、対戦相手がコントロールする最初のクリーチャーのパワーの3倍に等しいダメージを対戦相手に与える。</t>
  </si>
  <si>
    <t>飛行 速攻</t>
  </si>
  <si>
    <t>飛行 速攻 &amp;br;上陸、赤：このクリーチャーがこのゲームで破壊されたら、戦場に戻す。</t>
  </si>
  <si>
    <t>欠色 &amp;br;すべての青ジェムと白ジェムを嚥下する。</t>
  </si>
  <si>
    <t>欠色 &amp;br;クリーチャー1体を対象とし、それに4点のダメージを与える。その後、クリーチャー1体を対象とし、それに5点のダメージを与える。さらにクリーチャー1体を対象とし、それに6点のダメージを与える。嚥下5を行う。</t>
  </si>
  <si>
    <t>ディフェンダー 欠色 &amp;br;このクリーチャーが死亡したとき、「このクリーチャーが破壊されたとき、このクリーチャーのパワーの3倍のマナを得る。」を持つ1/1のエルドラージの末裔を１体召喚する。</t>
  </si>
  <si>
    <t>欠色 &amp;br;このクリーチャーが戦場に出たとき、「このクリーチャーが破壊されたとき、このクリーチャーのパワーの3倍のマナを得る。」を持つ1/1のエルドラージの末裔を2体召喚する。</t>
  </si>
  <si>
    <t>到達 &amp;br;収斂：このクリーチャーが戦場に出たとき、これは+X/+Xの修正を受ける。Xの値はあなたが収斂したマナに等しい。</t>
  </si>
  <si>
    <t>欠色 &amp;br;「このクリーチャーが破壊されたとき、このクリーチャーのパワーの3倍のマナを得る。」を持つ1/1のエルドラージの末裔を2体召喚する。</t>
  </si>
  <si>
    <t>ディフェンダー 欠色 &amp;br;このクリーチャーが戦場に出たとき、「このクリーチャーが破壊されたとき、このクリーチャーのパワーの3倍のマナを得る。」を持つ1/1のエルドラージの末裔を1体召喚する。</t>
  </si>
  <si>
    <t>欠色 &amp;br;ジェム1個を起動する：3個以上の無色ジェムがある場合、「このクリーチャーが破壊されたとき、このクリーチャーのパワーの3倍のマナを得る。」を持つ1/1のエルドラージの末裔を1体召喚する。</t>
  </si>
  <si>
    <t>速攻 &amp;br;緑ジェム3個を起動する：手札の最初のクリーチャーは3マナを得る。</t>
  </si>
  <si>
    <t>トランプル &amp;br;上陸、緑：このクリーチャーは+2/+2の修正を受ける。&amp;br;上陸：このクリーチャーは+1/+1の修正を受ける。</t>
  </si>
  <si>
    <t>トランプル 警戒 収斂</t>
  </si>
  <si>
    <t>トランプル 警戒 収斂 &amp;br;このクリーチャーが戦場に出たとき、これは+X/+Xの修正を受ける。Xの値はあなたが収斂したマナに等しい。</t>
  </si>
  <si>
    <t>欠色 &amp;br;あなたのターン開始時に、「このクリーチャーが破壊されたとき、このクリーチャーのパワーの3倍のマナを得る。」を持つ1/1のエルドラージの末裔を1体召喚する。&amp;br;このサポートが破壊されたとき、最後に破壊されたエルドラージ・クリーチャーをあなたの手札に戻す。</t>
  </si>
  <si>
    <t>ディフェンダー &amp;br;このクリーチャーがダメージを受けたとき、タフネスを失う代わりに-1/-1を失う。&amp;br;上陸：このクリーチャーは+1/+1の修正を受ける。</t>
  </si>
  <si>
    <t>欠色 飛行 &amp;br;このクリーチャーが戦場に出たとき、昇華2を行う：対戦相手の手札の最初のカードからすべてのマナを吸収する。</t>
  </si>
  <si>
    <t>欠色 &amp;br;無色のクリーチャーが戦場に出たとき、それは速攻を得る。</t>
  </si>
  <si>
    <t>トランプル &amp;br;上陸：あなたのターン終了時まで、このクリーチャーは+2/+2の修正を受ける。</t>
  </si>
  <si>
    <t>飛行 &amp;br;あなたのターン開始時に、あなたは1点のライフを得て、対戦相手に1点のダメージを与える。</t>
  </si>
  <si>
    <t>欠色 &amp;br;このクリーチャーが戦場にいる間、あなたがコントロールする無色の各カードのマナ・コストは1少なくなる。</t>
  </si>
  <si>
    <t>ディフェンダー 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たとき、カードを1枚引く。</t>
  </si>
  <si>
    <t>ディフェンダー &amp;br;結集：あなたのターン終了時まで、あなたの各クリーチャーは二段攻撃を得る。</t>
  </si>
  <si>
    <t>ディフェンダー 飛行 &amp;br;収斂：このクリーチャーが戦場に出たとき、これは+X/+Xの修正を受ける。Xの値はあなたが収斂したマナに等しい。</t>
  </si>
  <si>
    <t>接死 欠色</t>
  </si>
  <si>
    <t>接死 欠色 &amp;br;このクリーチャーがプレインズウォーカーにダメージを与えたとき、嚥下2を行う。&amp;br;ジェム5個を起動する：カードを1枚引いて、あなたと対戦相手両方に嚥下1を行う。</t>
  </si>
  <si>
    <t>欠色 速攻</t>
  </si>
  <si>
    <t>欠色 速攻 &amp;br;あなたのターン終了時に、無色のクリーチャーがあなたのコントロール下で戦場にない場合、このクリーチャーを手札に戻す。</t>
  </si>
  <si>
    <t>欠色 &amp;br;対戦相手の手札が5枚以下の場合、対戦相手がコントロールするクリーチャー1体を対象とし、それを対戦相手の手札に戻す。対戦相手に5点のダメージを与える。</t>
  </si>
  <si>
    <t>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るたび、あなたのターン終了時まで、対戦相手がコントロールする最初のクリーチャーは-2/-2の修正を受ける。</t>
  </si>
  <si>
    <t>飛行 &amp;br;このクリーチャーが攻撃したとき、これはあなたがコントロールする他の同盟者1体につき+2/+2の修正を受ける。</t>
  </si>
  <si>
    <t>ディフェンダー 飛行 &amp;br;このクリーチャーが戦場に出たとき、あなたは10点のライフを得るとともに、対戦相手がクリーチャーを3体コントロールしている場合、飛行を持つ4/4の天使・トークンを2体召喚する。&amp;br;再生4</t>
  </si>
  <si>
    <t>飛行 &amp;br;このクリーチャーが戦場で破壊されたとき、速攻を持つ1/1の島・トークンを3体召喚する。</t>
  </si>
  <si>
    <t>欠色 &amp;br;あなたがコントロールするクリーチャーが対戦相手にダメージを与えるたび、カードを1枚引く。&amp;br;ジェム2個を起動する：あなたのターン終了時まで、あなたがコントロールする最初のクリーチャーはブロックされない。</t>
  </si>
  <si>
    <t>飛行 呪禁</t>
  </si>
  <si>
    <t>飛行 呪禁 &amp;br;このクリーチャーが戦場に出ている間、戦場に出ているあなたの各クリーチャーは呪禁を得る。</t>
  </si>
  <si>
    <t>欠色 &amp;br;クリーチャー1体を対象とし、それに「このクリーチャーが戦闘ダメージを与えたとき、あなたはこのクリーチャーが与えたダメージに等しい点数のダメージを受ける」と「ブロックされない｣を与える。</t>
  </si>
  <si>
    <t>欠色 飛行 &amp;br;あなたのターン開始時に、ボードに1個以上の無色ジェムがある場合、各無色ジェムをあなたのプレインズウォーカーの色に変換し、5点のダメージを受ける。&amp;br;あなたのターン終了時に、嚥下3を行う。</t>
  </si>
  <si>
    <t>絆魂 &amp;br;対戦相手がコントロールするクリーチャーが戦場で破壊されたとき、2/2のゾンビを1体召喚する。&amp;br;ジェム3個を起動する：あなたがコントロールする最初のゾンビは-2/-2の修正を受け、このクリーチャーは+2/+2の修正を受ける。</t>
  </si>
  <si>
    <t>威迫 &amp;br;このクリーチャーが戦場に出たとき、あなたが最後に唱えた呪文をあなたの手札に戻し、6マナを得る。</t>
  </si>
  <si>
    <t>飛行 &amp;br;あなたが呪文、サポート、またはクリーチャーを唱えたとき、あなたのターン終了時までこのクリーチャーのマナ・コストは1少なくなる。&amp;br;このクリーチャーが戦場に出たとき、対戦相手と、対戦相手がコントロールする各クリーチャーに6点のダメージを与える。</t>
  </si>
  <si>
    <t>欠色 &amp;br;対戦相手がコントロールする各クリーチャーに2点のダメージを与える。&amp;br;あなたがコントロールするエルドラージ・クリーチャーが戦場に出たとき、この呪文をあなたの手札に戻す。</t>
  </si>
  <si>
    <t>欠色 到達</t>
  </si>
  <si>
    <t>欠色 到達 &amp;br;このクリーチャーが戦場に出たとき、「このクリーチャーが破壊されたとき、このクリーチャーのパワーの3倍のマナを得る。」を持つ1/1のエルドラージの末裔を2体召喚する。&amp;br;ジェム2個を起動する：このクリーチャーのライフを完全に回復する。</t>
  </si>
  <si>
    <t>警戒 &amp;br;このクリーチャーが戦場に出ている間、あなたがコントロールするすべての土地・エレメンタルは警戒を得る。&amp;br;上陸：あなたのターン終了時まで、戦場に出ているあなたのコントロールする最初のクリーチャーは+3/+3の修正を受ける。</t>
  </si>
  <si>
    <t>到達 &amp;br;このクリーチャーが戦場で破壊されたとき、3/3の緑の狼・トークンを1体召喚する。</t>
  </si>
  <si>
    <t>警戒 &amp;br;ボードに8個以上の緑ジェムがある場合、このクリーチャーは+6/+6の修正を受ける。</t>
  </si>
  <si>
    <t>バーサーカー 欠色 到達</t>
  </si>
  <si>
    <t>バーサーカー 欠色 到達 &amp;br;このクリーチャーが戦場に出たとき、対戦相手がコントロールする1個のサポートジェムと、その周りの5×5ブロックを破壊する。&amp;br;あなたが5個以上のジェムをマッチさせたとき、このクリーチャーが戦場で破壊されたいた場合、それをあなたの手札に戻す。</t>
  </si>
  <si>
    <t>ブロックされない</t>
  </si>
  <si>
    <t>欠色 &amp;br;ブロックされない &amp;br;ジェム1個を起動する：対戦相手が手札でコントロールする最後のカードを捨てる。</t>
  </si>
  <si>
    <t>欠色 先制攻撃</t>
  </si>
  <si>
    <t>欠色 先制攻撃 &amp;br;あなたがコントロールする無色のクリーチャーが戦場に出たとき、対戦相手に1点のダメージを与える。</t>
  </si>
  <si>
    <t>飛行 &amp;br;あなたがライフを得たとき、対戦相手に1点のダメージを与える。</t>
  </si>
  <si>
    <t>飛行 速攻 &amp;br;あなたが呪文を唱えたとき、あなたのターン終了時まで、このクリーチャーは+1/+1の修正を受ける。</t>
  </si>
  <si>
    <t>接死</t>
  </si>
  <si>
    <t>接死 &amp;br;このクリーチャーが戦場に出たとき、あなたがコントロールする他の各クリーチャーは「このクリーチャーが破壊されたとき、あなたはこのクリーチャーのパワーに等しいライフを得る。」を得る。&amp;br;ジェム2個を起動する：あなたがコントロールする最初のクリーチャーと、対戦相手がコントロールする最初のクリーチャーを破壊する。</t>
  </si>
  <si>
    <t>トランプル &amp;br;このクリーチャーが戦場に出たとき、あなたが3個以上のサポートをコントロールしている場合、このクリーチャーは+3/+3の修正を受ける。</t>
  </si>
  <si>
    <t>バーサーカー 速攻 トランプル</t>
  </si>
  <si>
    <t>バーサーカー 速攻 トランプル &amp;br;対戦相手がこのクリーチャーに呪文を唱えたとき、対戦相手はカードを1枚捨てる。</t>
  </si>
  <si>
    <t>ジェム5個に罠をかける：対戦相手から5マナ吸収する。&amp;br;威迫</t>
  </si>
  <si>
    <t>SOI</t>
  </si>
  <si>
    <t>このクリーチャーが戦場に出たとき、あなたが2対以上のスピリットをコントロールしている場合、あなたは3点のライフを得る。</t>
  </si>
  <si>
    <t>飛行&amp;br;このクリーチャーが戦場に出たとき、あなたが2対以上のスピリットをコントロールしている場合、あなたは3点のライフを得る。</t>
  </si>
  <si>
    <t>このクリーチャーが死亡したとき、飛行を持つ1/1の白のスピリット・トークンを1体召喚する。</t>
  </si>
  <si>
    <t>ディフェンダー&amp;br;このクリーチャーが死亡したとき、飛行を持つ1/1の白のスピリット・トークンを1体召喚する。</t>
  </si>
  <si>
    <t>このクリーチャーが戦場に出たとき、あなたがコントロールしているスピリットが破壊されていた場合、飛行を持つ1/1の白のスピリット･トークンを1体召喚する。</t>
  </si>
  <si>
    <t>飛行&amp;br;このクリーチャーが戦場に出たとき、あなたがコントロールしているスピリットが破壊されていた場合、飛行を持つ1/1の白のスピリット･トークンを1体召喚する。</t>
  </si>
  <si>
    <t>このクリーチャーが戦場に出たとき、あなたの次のターン開始時まで、あなたがコントロールする各クリーチャーは+1/+1の修正を受ける。</t>
  </si>
  <si>
    <t>ディフェンダー&amp;br;このクリーチャーが戦場に出たとき、あなたの次のターン開始時まで、あなたがコントロールする各クリーチャーは+1/+1の修正を受ける。</t>
  </si>
  <si>
    <t>昂揚：このクリーチャーは飛行を得る。</t>
  </si>
  <si>
    <t>このクリーチャーが戦場に出たとき、クリーチャー1体を対象とする。あなたはカードを1枚捨てる。あなたの次のターン開始時まで、そのクリーチャーは無効化される。</t>
  </si>
  <si>
    <t>このクリーチャーが戦場に出たとき、調査を行う。</t>
  </si>
  <si>
    <t>あなたがコントロールするクリーチャーが死亡したとき、このクリーチャーは+1/+1の修正を受ける。</t>
  </si>
  <si>
    <t>あなたは5点のライフを得る。</t>
  </si>
  <si>
    <t>あなたのターン終了時まで、あなたがコントロールする各クリーチャーは+2/+1の修正を得る。</t>
  </si>
  <si>
    <t>クリーチャー1体を対象とする。あなたのターン終了時まで、それは+2/+2の修正を受ける。</t>
  </si>
  <si>
    <t>1/1の人間･兵士･トークンを1体召喚する。</t>
  </si>
  <si>
    <t>クリーチャー1体を対象とする。あなたのターン終了時まで、それは+2/+2の修正を受ける。&amp;br;1/1の人間･兵士･トークンを1体召喚する。</t>
  </si>
  <si>
    <t>クリーチャー1体を対象とする。あなたのターン終了時まで、それは+1/0の修正を受けるとともにダメージ軽減を得る。</t>
  </si>
  <si>
    <t>調査を行う。</t>
  </si>
  <si>
    <t>クリーチャー1体を対象とする。あなたのターン終了時まで、それは+1/0の修正を受けるとともにダメージ軽減を得る。&amp;br;調査を行う。</t>
  </si>
  <si>
    <t>このサポートが破壊されたとき、飛行を持つ1/1の白のスピリット・トークンを2体召喚する。</t>
  </si>
  <si>
    <t>あなたがこのクリーチャーに呪文を唱えたとき、このクリーチャーは変身する。</t>
  </si>
  <si>
    <t>このクリーチャーがこの形態に変身したとき、対戦相手がコントロールする最初のクリーチャーは無効化される。</t>
  </si>
  <si>
    <t>絆魂 ディフェンダー</t>
  </si>
  <si>
    <t>このクリーチャーが死亡したとき、飛行を持つ1/1の白のスピリット・トークンを2体召喚する。</t>
  </si>
  <si>
    <t>絆魂 ディフェンダー&amp;br;このクリーチャーが死亡したとき、飛行を持つ1/1の白のスピリット・トークンを2体召喚する。</t>
  </si>
  <si>
    <t>昂揚：このクリーチャーは+1/0の修正を受けるとともに先制攻撃を得る。</t>
  </si>
  <si>
    <t>あなたがコントロールするクリーチャーが戦場に出たとき、あなたは1点のライフを得る。</t>
  </si>
  <si>
    <t>ジェム2個を起動する：あなたはカードを1枚捨てて、このクリーチャーは変身する。</t>
  </si>
  <si>
    <t>あなたがコントロールするクリーチャーが戦場に出たとき、あなたは1点のライフを得る。&amp;br;ジェム2個を起動する：あなたはカードを1枚捨てて、このクリーチャーは変身する。</t>
  </si>
  <si>
    <t>あなたがコントロールするクリーチャーが死亡したとき、対戦相手は1点のダメージを受け、あなたは1点のライフを得る。</t>
  </si>
  <si>
    <t>ジェム1個を起動する：このクリーチャーは変身する。</t>
  </si>
  <si>
    <t>ジェム3個を起動する：このクリーチャーは+1/0の修正を受ける。</t>
  </si>
  <si>
    <t>パワーが6以上のクリーチャー1体を対象とし、それを破壊する。</t>
  </si>
  <si>
    <t>パワーが6以上のクリーチャー1体を対象とし、それを破壊する。&amp;br;調査を行う。</t>
  </si>
  <si>
    <t>飛行を持つ1/1の白のスピリット・トークンを2体召喚する。</t>
  </si>
  <si>
    <t>あなたがコントロールする最初のクリーチャーは+X/+Xの修正を受ける。Xはあなたがコントロールするクリーチャーの数に等しい。そのクリーチャーが人間である場合、それは先制攻撃を持つ。</t>
  </si>
  <si>
    <t>対戦相手がコントロールするクリーチャーが攻撃したとき、そのクリーチャーを破壊し、あなたは3点のライフを得て、このサポートを破壊する。</t>
  </si>
  <si>
    <t>あなたがコントロールするスピリットが戦場に出たとき、あなたは2点のライフを得る。</t>
  </si>
  <si>
    <t>ジェム2個を起動する：飛行を持つ1/1のスピリット・トークンを1体召喚する。</t>
  </si>
  <si>
    <t>飛行 ディフェンダー&amp;br;あなたがコントロールするスピリットが戦場に出たとき、あなたは2点のライフを得る。&amp;br;ジェム2個を起動する：飛行を持つ1/1のスピリット・トークンを1体召喚する。</t>
  </si>
  <si>
    <t>あなたのターン開始時に、あなたの手札がいっぱいの場合、このクリーチャーは変身する。</t>
  </si>
  <si>
    <t>あなたのターン開始時に、1/1のクレリック･トークンを1体召喚する。</t>
  </si>
  <si>
    <t>このクリーチャーがこの形態に変身したとき、このクリーチャーは+X/+Xの修正を受ける。Xはあなたがコントロールするクリーチャーの数の2倍に等しい。</t>
  </si>
  <si>
    <t>あなたがコントロールするクリーチャーが戦場に出たとき、このクリーチャーは+1/+1の修正を受ける。</t>
  </si>
  <si>
    <t>あなたのターン開始時に、1/1のクレリック･トークンを1体召喚する。&amp;br;このクリーチャーがこの形態に変身したとき、このクリーチャーは+X/+Xの修正を受ける。Xはあなたがコントロールするクリーチャーの数の2倍に等しい。&amp;br;あなたがコントロールするクリーチャーが戦場に出たとき、このクリーチャーは+1/+1の修正を受ける。</t>
  </si>
  <si>
    <t>このクリーチャーが戦場に出たとき、あなたがコントロールする各人間は+2/+2の修正を受ける。</t>
  </si>
  <si>
    <t>あなたがコントロールする人間が戦場に出たとき、このクリーチャーは+2/+2の修正を受ける。</t>
  </si>
  <si>
    <t>このクリーチャーが戦場に出たとき、あなたがコントロールする各人間は+2/+2の修正を受ける。&amp;br;あなたがコントロールする人間が戦場に出たとき、このクリーチャーは+2/+2の修正を受ける。</t>
  </si>
  <si>
    <t>クリーチャー1体を対象とし、それを破壊する。そのクリーチャーのオーナーは調査を行う。</t>
  </si>
  <si>
    <t>このサポートがボードにある間、あなたがコントロールするトークンでない各クリーチャーは+2/+2の修正を受けるとともに警戒を得る。</t>
  </si>
  <si>
    <t>このクリーチャーが戦闘ダメージを与えたとき、昂揚:対戦相手がコントロールする最初のクリーチャーを破壊する。</t>
  </si>
  <si>
    <t>飛行&amp;br;このクリーチャーが戦闘ダメージを与えたとき、昂揚:対戦相手がコントロールする最初のクリーチャーを破壊する。</t>
  </si>
  <si>
    <t>このクリーチャーが戦場に出たとき、あなたの次のターン開始時まで、あなたがコントロールする各クリーチャーはダメージ軽減と到達を得る。</t>
  </si>
  <si>
    <t>あなたがコントロールする天使でないクリーチャーが死亡したとき、このクリーチャーは変身する。</t>
  </si>
  <si>
    <t>飛行 警戒&amp;br;このクリーチャーが戦場に出たとき、あなたの次のターン開始時まで、あなたがコントロールする各クリーチャーはダメージ軽減と到達を得る。&amp;br;あなたがコントロールする天使でないクリーチャーが死亡したとき、このクリーチャーは変身する。</t>
  </si>
  <si>
    <t>このクリーチャーがこの形態に変身したとき、対戦相手と、対戦相手がコントロールする各クリーチャーは6点のダメージを受ける。</t>
  </si>
  <si>
    <t>飛行 警戒&amp;br;このクリーチャーがこの形態に変身したとき、対戦相手と、対戦相手がコントロールする各クリーチャーは6点のダメージを受ける。</t>
  </si>
  <si>
    <t>対戦相手のターンの戦闘開始時に、あなたのターン終了時まで、あなたがコントロールする各クリーチャーは到達と絆魂を得る。それらはタフネスを2得る。</t>
  </si>
  <si>
    <t>あなたのターンの戦闘開始時に、あなたのターン終了時まで、あなたがコントロールする各クリーチャーは飛行とバーサーカーとトランプルを得る。</t>
  </si>
  <si>
    <t>対戦相手のターンの戦闘開始時に、あなたのターン終了時まで、あなたがコントロールする各クリーチャーは到達と絆魂を得る。それらはタフネスを2得る。&amp;br;あなたのターンの戦闘開始時に、あなたのターン終了時まで、あなたがコントロールする各クリーチャーは飛行とバーサーカーとトランプルを得る。</t>
  </si>
  <si>
    <t>各クリーチャーを破壊する。</t>
  </si>
  <si>
    <t>昂揚：飛行を持つ4/4の白の天使・トークンを2体召喚する。</t>
  </si>
  <si>
    <t>各クリーチャーを破壊する。&amp;br;昂揚：飛行を持つ4/4の白の天使・トークンを2体召喚する。</t>
  </si>
  <si>
    <t>このクリーチャーが戦場に出たとき、あなたが他のゾンビをコントロールしている場合、カードを1枚捨てて、1枚引く。</t>
  </si>
  <si>
    <t>海亀</t>
  </si>
  <si>
    <t>各ターン開始時に、このクリーチャーは「攻撃できない」を得る。</t>
  </si>
  <si>
    <t>あなたが呪文を唱えたとき、あなたのターン終了時まで、このクリーチャーは「攻撃できない」を失う。</t>
  </si>
  <si>
    <t>各ターン開始時に、このクリーチャーは「攻撃できない」を得る。&amp;br;あなたが呪文を唱えたとき、あなたのターン終了時まで、このクリーチャーは「攻撃できない」を失う。</t>
  </si>
  <si>
    <t>このクリーチャーが戦場に出たとき、クリーチャー1体を対象とする。あなたの次のターン開始時まで、それは無効化される。</t>
  </si>
  <si>
    <t>あなたはカードを1枚捨てて2枚引く。</t>
  </si>
  <si>
    <t>クリーチャー1体を対象とする。それは+1/+1の修正を受けるとともに飛行を得る。</t>
  </si>
  <si>
    <t>クリーチャー1体を対象とし、それをオーナーのライブラリーの一番上に戻す。</t>
  </si>
  <si>
    <t>クリーチャー1体を対象とし、それをオーナーのライブラリーの一番上に戻す。&amp;br;調査を行う。</t>
  </si>
  <si>
    <t>マッドネス3</t>
  </si>
  <si>
    <t>マッドネス3&amp;br;対戦相手の手札が5枚以下の場合、対戦相手がコントロールするクリーチャー1体を対象とし、それを対戦相手の手札に戻す。</t>
  </si>
  <si>
    <t>マッドネス2</t>
  </si>
  <si>
    <t>あなたのライブラリーの次の2枚のカードのうち1枚を取ってくる。他のカードは、あなたのライブラリーの一番下へ移動する。</t>
  </si>
  <si>
    <t>マッドネス2&amp;br;あなたのライブラリーの次の2枚のカードのうち1枚を取ってくる。他のカードは、あなたのライブラリーの一番下へ移動する。</t>
  </si>
  <si>
    <t>あなたのライブラリーから次の呪文を2つ取ってくる。</t>
  </si>
  <si>
    <t>このサポートが破壊されたとき、あなたはカードを3枚引く。</t>
  </si>
  <si>
    <t>あなたが呪文を唱えたとき、このクリーチャーは変身する。</t>
  </si>
  <si>
    <t>飛行&amp;br;あなたが呪文を唱えたとき、このクリーチャーは変身する。</t>
  </si>
  <si>
    <t>あなたがコントロールするサポートカードが破壊されたとき、このクリーチャーは変身する。</t>
  </si>
  <si>
    <t>このクリーチャーがプレインズウォーカーに戦闘ダメージを与えたとき、調査を行う。</t>
  </si>
  <si>
    <t>あなたが呪文を唱えたとき、あなたのターン終了時まで、このクリーチャーは+1/+1の修正を受ける。&amp;br;このクリーチャーがプレインズウォーカーに戦闘ダメージを与えたとき、調査を行う。</t>
  </si>
  <si>
    <t>このクリーチャーが戦場に出たとき、2/2の黒のゾンビ･トークンを1体召喚する。</t>
  </si>
  <si>
    <t>ジェム1個を起動する：あなたのターン終了時まで、あなたがコントロールする最初のゾンビは接死とバーサーカーを得る。</t>
  </si>
  <si>
    <t>このクリーチャーが戦場に出たとき、2/2の黒のゾンビ･トークンを1体召喚する。&amp;br;ジェム1個を起動する：あなたのターン終了時まで、あなたがコントロールする最初のゾンビは接死とバーサーカーを得る。</t>
  </si>
  <si>
    <t>上陸、青：このクリーチャーが破壊されていた場合、あなたはカードを2枚捨てて、このクリーチャーを戦場に戻す。</t>
  </si>
  <si>
    <t>飛行&amp;br;上陸、青：このクリーチャーが破壊されていた場合、あなたはカードを2枚捨てて、このクリーチャーを戦場に戻す。</t>
  </si>
  <si>
    <t>このクリーチャーがプレインズウォーカーに戦闘ダメージを与えたとき、このクリーチャーは変身する。</t>
  </si>
  <si>
    <t>マッドネス2&amp;br;対戦相手の手札の最初のカードからすべてのマナを吸収する。</t>
  </si>
  <si>
    <t>あなたはカードを1枚捨て3枚引き、6マナを得る。</t>
  </si>
  <si>
    <t>2/2の黒のゾンビ･トークンを4体召喚する。</t>
  </si>
  <si>
    <t>あなたがコントロールするクリーチャーがプレインズウォーカーに戦闘ダメージを与えたとき、調査を行う。</t>
  </si>
  <si>
    <t>あなたが呪文を唱えたとき、調査を行う。</t>
  </si>
  <si>
    <t>このクリーチャーが戦場に出たとき、あなたはあなたの手札をすべて捨てて、カードを6枚引く。</t>
  </si>
  <si>
    <t>ブロックされない&amp;br;このクリーチャーが戦場に出たとき、あなたはあなたの手札をすべて捨てて、カードを6枚引く。</t>
  </si>
  <si>
    <t>あなたがコントロールする各クリーチャーは飛行を得る。</t>
  </si>
  <si>
    <t>上陸、青：このクリーチャーが破壊されていた場合、あなたのターン終了時まで、あなたの各クリーチャーは飛行を得る。</t>
  </si>
  <si>
    <t>飛行&amp;br;あなたがコントロールする各クリーチャーは飛行を得る。&amp;br;上陸、青：このクリーチャーが破壊されていた場合、あなたのターン終了時まで、あなたの各クリーチャーは飛行を得る。</t>
  </si>
  <si>
    <t>あなたがコントロールするクリーチャーが2体以下である場合、パワーが6以下のクリーチャー1体を対象とする。あなたはそれをコントロールする。</t>
  </si>
  <si>
    <t>マッドネス3&amp;br;あなたがコントロールするクリーチャーが2体以下である場合、パワーが6以下のクリーチャー1体を対象とする。あなたはそれをコントロールする。</t>
  </si>
  <si>
    <t>あなたがカードを1枚捨てたとき、このクリーチャーは+1/+1の修正を受ける。</t>
  </si>
  <si>
    <t>上陸、青：このクリーチャーが破壊されていた場合、あなたはカードを3枚捨てて、このクリーチャーを戦場に戻す。</t>
  </si>
  <si>
    <t>飛行&amp;br;あなたがカードを1枚捨てたとき、このクリーチャーは+1/+1の修正を受ける。&amp;br;上陸、青：このクリーチャーが破壊されていた場合、あなたはカードを3枚捨てて、このクリーチャーを戦場に戻す。</t>
  </si>
  <si>
    <t>このクリーチャーが戦場に出たとき、あなたの手札の各スピリットはそれぞれ6マナを得る。&amp;br;あなたがスピリットを引いたとき、そのクリーチャーは6マナを得る。</t>
  </si>
  <si>
    <t>このクリーチャーが戦場に出ている間、あなたがコントロールする各スピリットは呪禁を得る。</t>
  </si>
  <si>
    <t>飛行&amp;br;このクリーチャーが戦場に出たとき、あなたの手札の各スピリットはそれぞれ6マナを得る。&amp;br;あなたがスピリットを引いたとき、そのクリーチャーは6マナを得る。&amp;br;このクリーチャーが戦場に出ている間、あなたがコントロールする各スピリットは呪禁を得る。</t>
  </si>
  <si>
    <t>このクリーチャーが戦場に出たとき、あなたは13マナを得る。</t>
  </si>
  <si>
    <t>ブロックされない&amp;br;このクリーチャーが戦場に出たとき、あなたは13マナを得る。&amp;br;このクリーチャーがプレインズウォーカーに戦闘ダメージを与えたとき、このクリーチャーは変身する。</t>
  </si>
  <si>
    <t>ナイトメア</t>
  </si>
  <si>
    <t>このクリーチャーがプレインズウォーカーに戦闘ダメージを与えたとき、このクリーチャーをあなたの手札に戻す。</t>
  </si>
  <si>
    <t>ブロックされない&amp;br;このクリーチャーがプレインズウォーカーに戦闘ダメージを与えたとき、このクリーチャーをあなたの手札に戻す。</t>
  </si>
  <si>
    <t>このクリーチャーは攻撃したりブロックしたりできない。</t>
  </si>
  <si>
    <t>あなたが呪文かサポートを唱えたとき、このクリーチャーは1点のダメージを受ける。</t>
  </si>
  <si>
    <t>このクリーチャーがダメージを受けてタフネスが6以下になったとき、このクリーチャーは変身する。</t>
  </si>
  <si>
    <t>このクリーチャーは攻撃したりブロックしたりできない。&amp;br;あなたが呪文かサポートを唱えたとき、このクリーチャーは1点のダメージを受ける。&amp;br;このクリーチャーがダメージを受けてタフネスが6以下になったとき、このクリーチャーは変身する。</t>
  </si>
  <si>
    <t>クラーケン</t>
  </si>
  <si>
    <t>このクリーチャーがこの形態に変身したとき、ホラーでない各クリーチャーをオーナーの手札に戻す。</t>
  </si>
  <si>
    <t>対戦相手がコントロールする各クリーチャーを対戦相手のライブラリーの一番上に戻す。</t>
  </si>
  <si>
    <t>このクリーチャーが死亡したとき、カードを1枚捨てて、ジェム3個を黒に変換する。</t>
  </si>
  <si>
    <t>飛行 ディフェンダー&amp;br;このクリーチャーが死亡したとき、カードを1枚捨てて、ジェム3個を黒に変換する。</t>
  </si>
  <si>
    <t>ブロックされない 絆魂</t>
  </si>
  <si>
    <t>このクリーチャーが死亡したとき、2/2の黒のゾンビ・トークンを1体召喚する。</t>
  </si>
  <si>
    <t>ディフェンダー&amp;br;このクリーチャーが死亡したとき、2/2の黒のゾンビ・トークンを1体召喚する。</t>
  </si>
  <si>
    <t>スケルトン</t>
  </si>
  <si>
    <t>あなたのターン開始時に、このクリーチャーが破壊されていた場合、これをあなたの手札に戻す。</t>
  </si>
  <si>
    <t>ディフェンダー&amp;br;あなたのターン開始時に、このクリーチャーが破壊されていた場合、これをあなたの手札に戻す。</t>
  </si>
  <si>
    <t>クリーチャー1体を対象とする。あなたのターン終了時まで、それは+3/+1の修正を受けるとともに絆魂を得る。</t>
  </si>
  <si>
    <t>あなたはカードを1枚捨てる。あなたがコントロールしていて破壊された最後のクリーチャー2体をあなたの手札に戻す。</t>
  </si>
  <si>
    <t>2/2の黒のゾンビ･トークンを1体召喚し、あなたは2点のライフを得る。</t>
  </si>
  <si>
    <t>クリーチャー1体を対象とする。あなたのターン終了時まで、それは-4/-4の修正を受ける。</t>
  </si>
  <si>
    <t>対戦相手がこのクリーチャーに呪文を唱えたとき、対戦相手は3マナを得る。</t>
  </si>
  <si>
    <t>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</si>
  <si>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対戦相手がこのクリーチャーに呪文を唱えたとき、対戦相手は3マナを得る。&amp;br;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</si>
  <si>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馬</t>
  </si>
  <si>
    <t>上陸、黒：このクリーチャーが破壊されていた場合、あなたはカードを2枚捨てて、このクリーチャーを戦場に戻す。</t>
  </si>
  <si>
    <t>あなたがカードを捨てたとき、このクリーチャーは変身する。</t>
  </si>
  <si>
    <t>飛行 バーサーカー</t>
  </si>
  <si>
    <t>ジェム1個を起動する：あなたがコントロールする最初のクリーチャーを捨てる。あなたがコントロールする各吸血鬼は+1/+1の修正を受ける。</t>
  </si>
  <si>
    <t>絆魂&amp;br;ジェム1個を起動する：あなたがコントロールする最初のクリーチャーを捨てる。あなたがコントロールする各吸血鬼は+1/+1の修正を受ける。</t>
  </si>
  <si>
    <t>各ターン開始時に、昂揚：このクリーチャーは変身する。</t>
  </si>
  <si>
    <t>このクリーチャーがこの形態に変身したとき、対戦相手がコントロールする最初のクリーチャーを破壊する。</t>
  </si>
  <si>
    <t>ディフェンダー 威迫</t>
  </si>
  <si>
    <t>このクリーチャーが攻撃かブロックしたとき、あなたはカードを1枚引く。</t>
  </si>
  <si>
    <t>ディフェンダー 威迫&amp;br;このクリーチャーが攻撃かブロックしたとき、あなたはカードを1枚引く。</t>
  </si>
  <si>
    <t>このクリーチャーが戦場に出たとき、あなたはカードを1枚捨てる。</t>
  </si>
  <si>
    <t>ブロックされない&amp;br;このクリーチャーが戦場に出たとき、あなたはカードを1枚捨てる。</t>
  </si>
  <si>
    <t>ジェム2個を起動する：絆魂を持つ1/1の黒の吸血鬼･騎士・トークンを1体召喚する。</t>
  </si>
  <si>
    <t>あなたのターン開始時に、あなたはカードを1枚捨てる。その後、対戦相手はカードを1枚捨てて、3点のダメージを受ける。</t>
  </si>
  <si>
    <t>このクリーチャーが戦場に出たとき、このクリーチャーはあなたがコントロールするゾンビ1体につき+1/+1の修正を受ける。</t>
  </si>
  <si>
    <t>あなたがコントロールするゾンビが戦場に出たとき、このクリーチャーは+2/+2の修正を受ける。</t>
  </si>
  <si>
    <t>ディフェンダー&amp;br;このクリーチャーが戦場に出たとき、このクリーチャーはあなたがコントロールするゾンビ1体につき+1/+1の修正を受ける。&amp;br;あなたがコントロールするゾンビが戦場に出たとき、このクリーチャーは+2/+2の修正を受ける。</t>
  </si>
  <si>
    <t>このクリーチャーがこの形態に変身したとき、対戦相手が子tんトロールするディフェンダーか到達を持つ最初のクリーチャーを破壊する。</t>
  </si>
  <si>
    <t>あなたのターン開始時に対戦相手がディフェンダーか到達を持つクリーチャーをコントロールしている場合、このクリーチャーは変身する。</t>
  </si>
  <si>
    <t>このクリーチャーがプレインズウォーカーに戦闘ダメージを与えたとき、対戦相手がディフェンダーか到達を持つクリーチャーをコントロールしている場合、このクリーチャーは変身する。</t>
  </si>
  <si>
    <t>ブロックされない&amp;br;このクリーチャーがプレインズウォーカーに戦闘ダメージを与えたとき、対戦相手がディフェンダーか到達を持つクリーチャーをコントロールしている場合、このクリーチャーは変身する。</t>
  </si>
  <si>
    <t>あなたがコントロールしていて破壊された死後のゾンビ2体を戦場に戻す。</t>
  </si>
  <si>
    <t>2/2の黒のゾンビ･トークンを3体召喚し、あなたは3点のライフを得る。</t>
  </si>
  <si>
    <t>マッドネス3&amp;br;2/2の黒のゾンビ･トークンを3体召喚し、あなたは3点のライフを得る。</t>
  </si>
  <si>
    <t>昂揚：対戦相手は10点のダメージを受ける。</t>
  </si>
  <si>
    <t>クリーチャー1体を対象とし、それを破壊する。&amp;br;昂揚：対戦相手は10点のダメージを受ける。</t>
  </si>
  <si>
    <t>飛行 トランプル</t>
  </si>
  <si>
    <t>このクリーチャーが戦場に出たとき、あなたはカードを4枚捨てる。</t>
  </si>
  <si>
    <t>あなたのターン開始時に、5個以上の黒ジェムがある場合、あなたは4点のダメージを受ける。</t>
  </si>
  <si>
    <t>飛行 トランプル&amp;br;このクリーチャーが戦場に出たとき、あなたはカードを4枚捨てる。&amp;br;あなたのターン開始時に、5個以上の黒ジェムがある場合、あなたは4点のダメージを受ける。</t>
  </si>
  <si>
    <t>このクリーチャーが死亡したとき、このクリーチャーと、あなたがコントロールしていて破壊された最後の他のトークンでないゾンビを戦場に戻す。</t>
  </si>
  <si>
    <t>威迫&amp;br;このクリーチャーが死亡したとき、このクリーチャーと、あなたがコントロールしていて破壊された最後の他のトークンでないゾンビを戦場に戻す。</t>
  </si>
  <si>
    <t>あなたの手札をすべて捨てる。あなたはカードを6枚引く。あなたの手札の各カードは6マナを得る。</t>
  </si>
  <si>
    <t>このクリーチャーがプレインズウォーカーにダメージを与えたとき、このクリーチャーは+1/+1の修正を受ける。</t>
  </si>
  <si>
    <t>バーサーカー&amp;br;マッドネス3&amp;br;このクリーチャーがプレインズウォーカーにダメージを与えたとき、このクリーチャーは+1/+1の修正を受ける。</t>
  </si>
  <si>
    <t>狼男</t>
  </si>
  <si>
    <t>各ターン開始時に、直前のターンにカードが唱えられていなかった場合、このクリーチャーは変身する。</t>
  </si>
  <si>
    <t>各ターン開始時に、直前のターンにカードが2枚以上唱えられていた場合、このクリーチャーは変身する。</t>
  </si>
  <si>
    <t>威迫&amp;br;各ターン開始時に、直前のターンにカードが2枚以上唱えられていた場合、このクリーチャーは変身する。</t>
  </si>
  <si>
    <t>デビル</t>
  </si>
  <si>
    <t>あなたが呪文かサポートを唱えたとき、あなたのターン終了時まで、このクリーチャーは+1/+1の修正を受ける。</t>
  </si>
  <si>
    <t>トランプル&amp;br;あなたが呪文かサポートを唱えたとき、あなたのターン終了時まで、このクリーチャーは+1/+1の修正を受ける。</t>
  </si>
  <si>
    <t>クリーチャー1体とクリーチャー1体を対象とする。その前者は1点のダメージを受ける。その後、その後者は1点のダメージを受ける。</t>
  </si>
  <si>
    <t>クリーチャー1体を対象とする。あなたのターン終了時まで、それは+2/+1の修正を受けるとともにトランプルを得る。</t>
  </si>
  <si>
    <t>マッドネス3&amp;br;クリーチャー1体を対象とする。それは+2/+2の修正を受ける。</t>
  </si>
  <si>
    <t>クリーチャー1体を対象とする。あなたのターン終了時まで、それは+1/+1の修正を受けるとともに二段攻撃を得る。</t>
  </si>
  <si>
    <t>このサポートが破壊されたとき、あなたは6マナを得る。</t>
  </si>
  <si>
    <t>あなたのターン開始時に、あなたのターン終了時まであなたがコントロールする各クリーチャーはバーサーカーとトランプルを得る。</t>
  </si>
  <si>
    <t>あなたのターン開始時に、あなたのターン終了時まであなたがコントロールする各クリーチャーはバーサーカーとトランプルを得る。&amp;br;各ターン開始時に、直前のターンにカードが2枚以上唱えられていた場合、このクリーチャーは変身する。</t>
  </si>
  <si>
    <t>このクリーチャーが戦場に出たとき、対戦相手は1点のダメージを受ける。</t>
  </si>
  <si>
    <t>対戦相手のターン開始時に、昂揚：対戦相手は1点のダメージを受ける。</t>
  </si>
  <si>
    <t>このクリーチャーが戦場に出たとき、対戦相手は1点のダメージを受ける。&amp;br;対戦相手のターン開始時に、昂揚：対戦相手は1点のダメージを受ける。</t>
  </si>
  <si>
    <t>このクリーチャーがブロックしたかブロックされた状態になったとき、その相手のクリーチャーは1点のダメージを受ける。</t>
  </si>
  <si>
    <t>このクリーチャーがブロックしたかブロックされた状態になったとき、その相手のクリーチャーは1点のダメージを受ける。&amp;br;各ターン開始時に、直前のターンにカードが唱えられていなかった場合、このクリーチャーは変身する。</t>
  </si>
  <si>
    <t>このクリーチャーがブロックしたかブロックされた状態になったとき、その相手のクリーチャーは2点のダメージを受ける。</t>
  </si>
  <si>
    <t>このクリーチャーがブロックしたかブロックされた状態になったとき、その相手のクリーチャーは2点のダメージを受ける。&amp;br;各ターン開始時に、直前のターンにカードが2枚以上唱えられていた場合、このクリーチャーは変身する。</t>
  </si>
  <si>
    <t>ジェム1個を起動する：あなたはカードを1枚捨てて1枚引く。</t>
  </si>
  <si>
    <t>速攻&amp;br;ジェム1個を起動する：あなたはカードを1枚捨てて1枚引く。</t>
  </si>
  <si>
    <t>速攻&amp;br;各ターン開始時に、直前のターンにカードが唱えられていなかった場合、このクリーチャーは変身する。</t>
  </si>
  <si>
    <t>クリーチャー1体を対象とする。それはそのパワーに等しい点数のダメージ受ける。</t>
  </si>
  <si>
    <t>あなたはカードを1枚捨てて、クリーチャー1体を対象とする。それは5点のダメージを受ける。</t>
  </si>
  <si>
    <t>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</si>
  <si>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マッドネス3&amp;br;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</si>
  <si>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あなたのターン終了時まで、あなたがコントロールする各クリーチャーは先制攻撃を得る。</t>
  </si>
  <si>
    <t>あなたがコントロールする各吸血鬼は+2/+2の修正を受ける。</t>
  </si>
  <si>
    <t>マッドネス3&amp;br;あなたのターン終了時まで、あなたがコントロールする各クリーチャーは先制攻撃を得る。&amp;br;あなたがコントロールする各吸血鬼は+2/+2の修正を受ける。</t>
  </si>
  <si>
    <t>このクリーチャーが戦場に出ている間、あなたの手札の各吸血鬼はマッドネス3を得る。</t>
  </si>
  <si>
    <t>あなたかあなたがコントロールするクリーチャーがダメージを受けたとき、対戦相手は1点のダメージを受ける。</t>
  </si>
  <si>
    <t>飛行&amp;br;あなたかあなたがコントロールするクリーチャーがダメージを受けたとき、対戦相手は1点のダメージを受ける。</t>
  </si>
  <si>
    <t>昂揚：このクリーチャーは二段攻撃を得る。</t>
  </si>
  <si>
    <t>先制攻撃&amp;br;昂揚：このクリーチャーは二段攻撃を得る。</t>
  </si>
  <si>
    <t>クリーチャー1体かプレインズウォーカー1体を対象とし、それは2点のダメージを受ける。これをもう2回繰り返す。</t>
  </si>
  <si>
    <t>マッドネス3&amp;br;クリーチャー1体かプレインズウォーカー1体を対象とし、それは2点のダメージを受ける。これをもう2回繰り返す。</t>
  </si>
  <si>
    <t>「このクリーチャーが死亡したとき、対戦相手がコントロールする最初のクリーチャーはこのクリーチャーのパワーに等しい点数のダメージを受ける。」を持つ1/1の赤のデビル･トークンを4体召喚する。</t>
  </si>
  <si>
    <t>このクリーチャーが戦場に出ている間、あなたは2倍のダメージを受け、このクリーチャーは2倍のダメージを受ける。</t>
  </si>
  <si>
    <t>飛行 速攻&amp;br;このクリーチャーが戦場に出ている間、あなたは2倍のダメージを受け、このクリーチャーは2倍のダメージを受ける。</t>
  </si>
  <si>
    <t>あなたがコントロールする狼男が戦場に出たとき、そのクリーチャーは+2/+2の修正を受けるとともに速攻を得る。</t>
  </si>
  <si>
    <t>速攻&amp;br;各ターン開始時に、直前のターンにカードが唱えられていなかった場合、このクリーチャーは変身する。&amp;br;あなたがコントロールする狼男が戦場に出たとき、そのクリーチャーは+2/+2の修正を受けるとともに速攻を得る。</t>
  </si>
  <si>
    <t>あなたがコントロールする狼男が戦場に出たとき、そのクリーチャーは変身し、+3/+3の修正を受けるとともに速攻を得る。</t>
  </si>
  <si>
    <t>あなたがコントロールする狼男が戦場に出たとき、そのクリーチャーは変身し、+3/+3の修正を受けるとともに速攻を得る。&amp;br;各ターン開始時に、直前のターンにカードが2枚以上唱えられていた場合、このクリーチャーは変身する。</t>
  </si>
  <si>
    <t>このクリーチャーが攻撃したとき、あなたはカードを1枚捨てて、対戦相手と、対戦相手がコントロールする各クリーチャーは5点のダメージを受ける。</t>
  </si>
  <si>
    <t>あなたが呪文を唱えたとき、あなたの墓地の一番下の呪文をあなたの手札に戻し、その後ジェム3個を破壊する。</t>
  </si>
  <si>
    <t>このクリーチャーが死亡したとき、調査を行う。</t>
  </si>
  <si>
    <t>トランプル&amp;br;各ターン開始時に、直前のターンにカードが2枚以上唱えられていた場合、このクリーチャーは変身する。</t>
  </si>
  <si>
    <t>このクリーチャーが戦場に出たとき、あなたがコントロールする人間1体を対象とする。あなたのターン終了時まで、それは+2/+2の修正を受ける。</t>
  </si>
  <si>
    <t>トランプル&amp;br;このクリーチャーが戦場に出たとき、あなたがコントロールする人間1体を対象とする。あなたのターン終了時まで、それは+2/+2の修正を受ける。</t>
  </si>
  <si>
    <t>昂揚：このクリーチャーは+3/0の修正を受ける。</t>
  </si>
  <si>
    <t>クリーチャー1体を対象とする。あなたの次のターン開始時まで、それは+2/+2の修正を受けるとともに到達を得る。</t>
  </si>
  <si>
    <t>昂揚：そのクリーチャーは+1/+1の修正を受ける。</t>
  </si>
  <si>
    <t>クリーチャー1体を対象とする。それは+2/+2の修正を受ける。&amp;br;昂揚：そのクリーチャーは+1/+1の修正を受ける。</t>
  </si>
  <si>
    <t>対戦相手がコントロールする1個のサポートを破壊する。調査を行う。</t>
  </si>
  <si>
    <t>このサポートがボードにある間、あなたがコントロールする最初のクリーチャーは+3/+3の修正を受ける。そのクリーチャーが人間である場合、それはトランプルを得る。</t>
  </si>
  <si>
    <t>このサポートが破壊されたとき、あなたのライブラリーから次のサポートを取ってくる。</t>
  </si>
  <si>
    <t>このクリーチャーがクリーチャーに戦闘ダメージを与えたとき、調査を行う。</t>
  </si>
  <si>
    <t>あなたのターン終了時に、あなたの手札がいっぱいの場合、ジェム3個を緑に変換する。</t>
  </si>
  <si>
    <t>ディフェンダー&amp;br;このクリーチャーがクリーチャーに戦闘ダメージを与えたとき、調査を行う。&amp;br;あなたのターン終了時に、あなたの手札がいっぱいの場合、ジェム3個を緑に変換する。</t>
  </si>
  <si>
    <t>ジェム2個を起動する：次のクリーチャーをあなたのライブラリーから取ってくる。</t>
  </si>
  <si>
    <t>ジェム2個を起動する：次のクリーチャーをあなたのライブラリーから取ってくる。&amp;br;各ターン開始時に、直前のターンにカードが唱えられていなかった場合、このクリーチャーは変身する。</t>
  </si>
  <si>
    <t>このクリーチャーが戦場に出ている間、あなたの手札の各クリーチャーのマナ･コストは1少なくなる。</t>
  </si>
  <si>
    <t>このクリーチャーが戦場に出ている間、あなたの手札の各クリーチャーのマナ･コストは1少なくなる。&amp;br;各ターン開始時に、直前のターンにカードが2枚以上唱えられていた場合、このクリーチャーは変身する。</t>
  </si>
  <si>
    <t>対戦相手がカードを唱えたとき、あなたはカードを1枚引く。</t>
  </si>
  <si>
    <t>対戦相手がカードを唱えたとき、あなたはカードを1枚引く。&amp;br;各ターン開始時に、直前のターンにカードが唱えられていなかった場合、このクリーチャーは変身する。</t>
  </si>
  <si>
    <t>対戦相手がカードを唱えたとき、あなたはカードを2枚引く。</t>
  </si>
  <si>
    <t>対戦相手がカードを唱えたとき、あなたはカードを2枚引く。&amp;br;各ターン開始時に、直前のターンにカードが2枚以上唱えられていた場合、このクリーチャーは変身する。</t>
  </si>
  <si>
    <t>あなたがパワー6以上の他のクリーチャーをコントロールしていない限り、このクリーチャーは攻撃できない。</t>
  </si>
  <si>
    <t>あなたがパワー6以上の他のクリーチャーをコントロールしていない限り、このクリーチャーは攻撃できない。&amp;br;各ターン開始時に、直前のターンにカードが唱えられていなかった場合、このクリーチャーは変身する。</t>
  </si>
  <si>
    <t>このクリーチャーが戦場に出たとき、あなたがコントロールする最初のクリーチャーは+1/+1の修正を受ける。</t>
  </si>
  <si>
    <t>対戦相手のターン開始時に、昂揚：あなたがコントロールする最初のクリーチャーは+1/+1の修正を受ける。</t>
  </si>
  <si>
    <t>このクリーチャーが戦場に出たとき、あなたがコントロールする最初のクリーチャーは+1/+1の修正を受ける。&amp;br;対戦相手のターン開始時に、昂揚：あなたがコントロールする最初のクリーチャーは+1/+1の修正を受ける。</t>
  </si>
  <si>
    <t>ジェム1個を起動する：あなたのターン終了時まで、あなたがコントロールする各人間は二段攻撃を得る。</t>
  </si>
  <si>
    <t>このサポートがボード上にある間、あなたがコントロールする各狼と各狼男は+1/+1の修正を受けるとともにトランプルを得る。</t>
  </si>
  <si>
    <t>あなたがコントロールするトークンでないクリーチャーが死亡したとき、調査を行う。</t>
  </si>
  <si>
    <t>あなたがコントロールするサポートが戦場に出たとき、1/1の白の人間･兵士･トークンを1体召喚する。</t>
  </si>
  <si>
    <t>あなたがコントロールするトークンでないクリーチャーが死亡したとき、調査を行う。&amp;br;あなたがコントロールするサポートが戦場に出たとき、1/1の白の人間･兵士･トークンを1体召喚する。</t>
  </si>
  <si>
    <t>このサポートがボードに出たとき、調査を行う。</t>
  </si>
  <si>
    <t>あなたが3個以上の緑ジェムをマッチしさせたとき、あなたは1マナを得る。</t>
  </si>
  <si>
    <t>このサポートがボードに出たとき、調査を行う。&amp;br;あなたが3個以上の緑ジェムをマッチしさせたとき、あなたは1マナを得る。</t>
  </si>
  <si>
    <t>各ターン開始時に、ジェム1個を黒に変換し、ジェム1個を緑に変換する。</t>
  </si>
  <si>
    <t>昂揚：このクリーチャーは接死を持つ。</t>
  </si>
  <si>
    <t>各ターン開始時に、ジェム1個を黒に変換し、ジェム1個を緑に変換する。&amp;br;昂揚：このクリーチャーは接死を持つ。</t>
  </si>
  <si>
    <t>ウーズ</t>
  </si>
  <si>
    <t>このクリーチャーが攻撃したとき、昂揚：このクリーチャーは+3/+3の修正を受ける。</t>
  </si>
  <si>
    <t>あなたがカードを引いたとき、このクリーチャーは+1/+1の修正を受ける。</t>
  </si>
  <si>
    <t>このクリーチャーが戦場に出たとき、あなたはカードを1枚引く。</t>
  </si>
  <si>
    <t>あなたがカードを引いたとき、このクリーチャーは+1/+1の修正を受ける。&amp;br;このクリーチャーが戦場に出たとき、あなたはカードを1枚引く。&amp;br;各ターン開始時に、直前のターンにカードが唱えられていなかった場合、このクリーチャーは変身する。</t>
  </si>
  <si>
    <t>あなたがカードを引いたとき、このクリーチャーは+2/+2の修正を受ける。</t>
  </si>
  <si>
    <t>あなたがカードを引いたとき、このクリーチャーは+2/+2の修正を受ける。&amp;br;各ターン開始時に、直前のターンにカードが2枚以上唱えられていた場合、このクリーチャーは変身する。</t>
  </si>
  <si>
    <t>あなたがコントロールする狼か狼男が呪文の対象になったとき、そのクリーチャーは+4/+4の修正を受ける。</t>
  </si>
  <si>
    <t>トランプル&amp;br;あなたがコントロールする狼か狼男が呪文の対象になったとき、そのクリーチャーは+4/+4の修正を受ける。</t>
  </si>
  <si>
    <t>あなたがコントロールするクリーチャーが攻撃したとき、ジェム1個を緑に変換する。</t>
  </si>
  <si>
    <t>あなたのターン開始時に、昂揚：このクリーチャーは+5/+5の修正を受ける。</t>
  </si>
  <si>
    <t>トランプル&amp;br;あなたのターン開始時に、昂揚：このクリーチャーは+5/+5の修正を受ける。</t>
  </si>
  <si>
    <t>このクリーチャーが戦場に出たとき、ジェム6個を緑に変換する。&amp;br;あなたのターン開始時に、ジェム3個を緑に変換する。</t>
  </si>
  <si>
    <t>いずれかのプレイヤーが3個以上の緑ジェムをマッチさせたとき、このクリーチャーは+2/+2の修正を受ける。</t>
  </si>
  <si>
    <t>到達&amp;br;このクリーチャーが戦場に出たとき、ジェム6個を緑に変換する。&amp;br;あなたのターン開始時に、ジェム3個を緑に変換する。&amp;br;いずれかのプレイヤーが3個以上の緑ジェムをマッチさせたとき、このクリーチャーは+2/+2の修正を受ける。</t>
  </si>
  <si>
    <t>ジェム15個を緑に変換する。&amp;br;あなたがコントロールしていて破壊された最後のクリーチャーをあなたの手札に戻す。</t>
  </si>
  <si>
    <t>破壊された最後の呪文をあなたの手札に戻す。これによりこの呪文を手札に戻すことはできない。</t>
  </si>
  <si>
    <t>あなたがコントロールしていて破壊された最後のサポートをあなたの手札に戻す。</t>
  </si>
  <si>
    <t>ジェム15個を緑に変換する。&amp;br;あなたがコントロールしていて破壊された最後のクリーチャーをあなたの手札に戻す。&amp;br;破壊された最後の呪文をあなたの手札に戻す。これによりこの呪文を手札に戻すことはできない。&amp;br;あなたがコントロールしていて破壊された最後のサポートをあなたの手札に戻す。</t>
  </si>
  <si>
    <t>あなたがコントロールするゾンビが戦場に出たとき、このクリーチャーが破壊されていた場合、このクリーチャーを戦場に戻す。</t>
  </si>
  <si>
    <t>ディフェンダー&amp;br;あなたがコントロールするゾンビが戦場に出たとき、このクリーチャーが破壊されていた場合、このクリーチャーを戦場に戻す。</t>
  </si>
  <si>
    <t>あなたがコントロールするクリーチャー1体を対象とする。それはあなたがコントロールするクリーチャー1体につき+1/+1の修正を受ける。それを強化する。</t>
  </si>
  <si>
    <t>対戦相手がコントロールする最初のクリーチャーを破壊する。</t>
  </si>
  <si>
    <t>対戦相手がコントロールするサポートを無作為に1つ選び、それを破壊する。</t>
  </si>
  <si>
    <t>あなたは6点のダメージを受ける。</t>
  </si>
  <si>
    <t>対戦相手がコントロールする最初のクリーチャーを破壊する。&amp;br;対戦相手がコントロールするサポートを無作為に1つ選び、それを破壊する。&amp;br;あなたは6点のダメージを受ける。</t>
  </si>
  <si>
    <t>クリーチャー1体を対象とする。それは「このクリーチャーが攻撃したとき、あなたのターン終了時まで、このクリーチャーは+4/+4の修正を受ける。」を得る。</t>
  </si>
  <si>
    <t>あなたのターン終了時に、あなたはカードを1枚引く。</t>
  </si>
  <si>
    <t>対戦相手のターン終了時に、対戦相手はカードを1枚引く。対戦相手の手札が4枚以上の場合、対戦相手は4点のダメージを受ける。</t>
  </si>
  <si>
    <t>あなたのターン終了時に、あなたはカードを1枚引く。&amp;br;対戦相手のターン終了時に、対戦相手はカードを1枚引く。対戦相手の手札が4枚以上の場合、対戦相手は4点のダメージを受ける。</t>
  </si>
  <si>
    <t>あなたがコントロールするクリーチャーが戦場に出たとき、あなたはカードを1枚捨てる。そのクリーチャーは+3/+3の修正を受けるとともに飛行と速攻と絆魂を得る。</t>
  </si>
  <si>
    <t>あなたと、あなたがコントロールする書く人間は呪禁を得る。</t>
  </si>
  <si>
    <t>ジェム5個を起動する：1/1の白の人間･兵士･トークンを1体召喚する。</t>
  </si>
  <si>
    <t>飛行 警戒&amp;br;あなたと、あなたがコントロールする書く人間は呪禁を得る。&amp;br;ジェム5個を起動する：1/1の白の人間･兵士･トークンを1体召喚する。</t>
  </si>
  <si>
    <t>カカシ</t>
  </si>
  <si>
    <t>このクリーチャーが死亡したとき、3個のジェムをあなたのプレインズウォーカーの色に変換する。</t>
  </si>
  <si>
    <t>ディフェンダー&amp;br;このクリーチャーが死亡したとき、3個のジェムをあなたのプレインズウォーカーの色に変換する。</t>
  </si>
  <si>
    <t>クリーチャー1体を対象とする。それは+1/0の修正を受ける。</t>
  </si>
  <si>
    <t>クリーチャー1体を対象とする。それは「ブロックされない」と「このクリーチャーが戦闘ダメージを与えたとき、あなたはカードを1枚捨てる。」を得る。</t>
  </si>
  <si>
    <t>あなたのターン開始時に、ジェム2個を白か黒に変換する。</t>
  </si>
  <si>
    <t>あなたのターン開始時に、ジェム2個を黒か緑に変換する。</t>
  </si>
  <si>
    <t>あなたのターン開始時に、ジェム2個を青か赤に変換する。</t>
  </si>
  <si>
    <t>あなたのターン開始時に、ジェム2個を白か赤に変換する。</t>
  </si>
  <si>
    <t>このサポートがボードにある間、あなたがコントロールする最初のクリーチャーは+1/+1の修正を受けるとともに警戒を得る。</t>
  </si>
  <si>
    <t>そのクリーチャーが人間である場合、そのクリーチャーは+1/0の修正を受ける。</t>
  </si>
  <si>
    <t>このサポートがボードにある間、あなたがコントロールする最初のクリーチャーは+1/+1の修正を受けるとともに警戒を得る。&amp;br;そのクリーチャーが人間である場合、そのクリーチャーは+1/0の修正を受ける。</t>
  </si>
  <si>
    <t>あなたのターン開始時に、ジェム2個を緑か青に変換する。</t>
  </si>
  <si>
    <t>このクリーチャーが死亡したとき、あなたがコントロールする最初の人間は+1/+1の修正を受けるとともに「ブロックされない｣を得る。</t>
  </si>
  <si>
    <t>ディフェンダー&amp;br;このクリーチャーが死亡したとき、あなたがコントロールする最初の人間は+1/+1の修正を受けるとともに「ブロックされない｣を得る。</t>
  </si>
  <si>
    <t>トランプル 呪禁</t>
  </si>
  <si>
    <t>ガーゴイル</t>
  </si>
  <si>
    <t>このクリーチャーは攻撃できない。&amp;br;ジェム1個を起動する：このクリーチャーは変身する。</t>
  </si>
  <si>
    <t>このサポートが戦場に出たとき、昂揚(黒か青)：ジェム3個を黒か青に変換する。</t>
  </si>
  <si>
    <t>あなたのターン開始時に、ジェム1個を黒に変換し、ジェム1個を青に変換する。</t>
  </si>
  <si>
    <t>このサポートが戦場に出たとき、昂揚(黒か青)：ジェム3個を黒か青に変換する。&amp;br;あなたのターン開始時に、ジェム1個を黒に変換し、ジェム1個を青に変換する。</t>
  </si>
  <si>
    <t>このサポートが戦場に出たとき、昂揚(黒か赤)：ジェム3個を黒か赤に変換する。</t>
  </si>
  <si>
    <t>あなたのターン開始時に、ジェム1個を黒に変換し、ジェム1個を赤に変換する。</t>
  </si>
  <si>
    <t>このサポートが戦場に出たとき、昂揚(黒か赤)：ジェム3個を黒か赤に変換する。&amp;br;あなたのターン開始時に、ジェム1個を黒に変換し、ジェム1個を赤に変換する。</t>
  </si>
  <si>
    <t>このサポートが戦場に出たとき、昂揚(緑か白)：ジェム3個を白か緑に変換する。</t>
  </si>
  <si>
    <t>あなたのターン開始時に、ジェム1個を緑に変換し、ジェム1個を白に変換する。</t>
  </si>
  <si>
    <t>このサポートが戦場に出たとき、昂揚(緑か白)：ジェム3個を白か緑に変換する。&amp;br;あなたのターン開始時に、ジェム1個を緑に変換し、ジェム1個を白に変換する。</t>
  </si>
  <si>
    <t>このサポートが戦場に出たとき、昂揚(緑か赤)：ジェム3個を緑か赤に変換する。</t>
  </si>
  <si>
    <t>あなたのターン開始時に、ジェム1個を緑に変換し、ジェム1個を赤に変換する。</t>
  </si>
  <si>
    <t>このサポートが戦場に出たとき、昂揚(緑か赤)：ジェム3個を緑か赤に変換する。&amp;br;あなたのターン開始時に、ジェム1個を緑に変換し、ジェム1個を赤に変換する。</t>
  </si>
  <si>
    <t>ジェム1個を起動する：調査を行う。</t>
  </si>
  <si>
    <t>あなたのターン開始時に、あなたは1マナを得る。&amp;br;ジェム1個を起動する：調査を行う。</t>
  </si>
  <si>
    <t>あなたがコントロールするクリーチャーが変身したとき、そのクリーチャーは+2/+2の修正を受ける。</t>
  </si>
  <si>
    <t>このサポートが戦場に出たとき、昂揚(青か白)：ジェム3個を白か青に変換する。</t>
  </si>
  <si>
    <t>あなたのターン開始時に、ジェム1個を白に変換し、ジェム1個を青に変換する。</t>
  </si>
  <si>
    <t>このサポートが戦場に出たとき、昂揚(青か白)：ジェム3個を白か青に変換する。&amp;br;あなたのターン開始時に、ジェム1個を白に変換し、ジェム1個を青に変換する。</t>
  </si>
  <si>
    <t>あなたのターン開始時に、このクリーチャーのタフネスが10以下である場合、このクリーチャーは変身する。</t>
  </si>
  <si>
    <t>あなたがコントロールする人間が死亡したとき、このクリーチャーは0/-5の修正を受ける。</t>
  </si>
  <si>
    <t>ジェム3個を起動する：1/1の黒であり白である人間･クレリック･トークンを1体召喚する。&amp;br;このクリーチャーはブロックできない。</t>
  </si>
  <si>
    <t>あなたのターン開始時に、このクリーチャーのタフネスが10以下である場合、このクリーチャーは変身する。&amp;br;あなたがコントロールする人間が死亡したとき、このクリーチャーは0/-5の修正を受ける。&amp;br;ジェム3個を起動する：1/1の黒であり白である人間･クレリック･トークンを1体召喚する。&amp;br;このクリーチャーはブロックできない。</t>
  </si>
  <si>
    <t>飛行 絆魂 速攻</t>
  </si>
  <si>
    <t>クリーチャー1体を対象とする。それは警戒と速攻とトランプルを得る。</t>
  </si>
  <si>
    <t>あなたがコントロールする最初のクリーチャーは+4/+2の修正を受ける。そのクリーチャーが人間である場合、それは「このクリーチャーが破壊されたとき、飛行を持つ1/1の白のスピリット・トークンを1体召喚する。」を得る。</t>
  </si>
  <si>
    <t>あなたが3個以上のジェムをマッチさせたとき、あなたの手札の各呪文は1マナを得る。</t>
  </si>
  <si>
    <t>あなたのターン開始時に、ジェム2個をあなたのプレインズウォーカーの色に変換する。</t>
  </si>
  <si>
    <t>あなたのターン開始時に、あなたは3マナを得る。</t>
  </si>
  <si>
    <t>上陸：このサポートが破壊されていた場合、このサポートを戦場に戻す。</t>
  </si>
  <si>
    <t>あなたのターン開始時に、あなたは3マナを得る。&amp;br;上陸：このサポートが破壊されていた場合、このサポートを戦場に戻す。</t>
  </si>
  <si>
    <t>あなたのターン開始時に、調査を行う。</t>
  </si>
  <si>
    <t>EMN</t>
  </si>
  <si>
    <t>あなたがコントロールするクリーチャー1体を対象とする。あなたの次のターン開始時まで、それは+2/+6の修正を受けるとともに到達を得る。</t>
  </si>
  <si>
    <t>このクリーチャーが戦場に出たとき、あなたのターン終了時まで、対戦相手がコントロールする各クリーチャーは無効化される。</t>
  </si>
  <si>
    <t>飛行&amp;br;このクリーチャーが戦場に出たとき、あなたのターン終了時まで、対戦相手がコントロールする各クリーチャーは無効化される。</t>
  </si>
  <si>
    <t>先制攻撃 絆魂</t>
  </si>
  <si>
    <t>あなたが3点以上のライフを得たとき、このクリーチャーは変身する。</t>
  </si>
  <si>
    <t>先制攻撃 絆魂&amp;br;あなたが3点以上のライフを得たとき、このクリーチャーは変身する。</t>
  </si>
  <si>
    <t>先制攻撃 トランプル 絆魂</t>
  </si>
  <si>
    <t>このクリーチャーが戦場に出たとき、あなたがコントロールするクリーチャー1体を対象とし、それを破壊する。あなたは3/2のエルドラージ･ホラー・トークンを1体召喚する。</t>
  </si>
  <si>
    <t>あなたのターン開始jに、昂揚：このクリーチャーは変身する。</t>
  </si>
  <si>
    <t>このクリーチャーが戦場に出たとき、あなたがコントロールするクリーチャー1体を対象とし、それを破壊する。あなたは3/2のエルドラージ･ホラー・トークンを1体召喚する。&amp;br;あなたのターン開始jに、昂揚：このクリーチャーは変身する。</t>
  </si>
  <si>
    <t>このクリーチャーが出いている間、あなたがコントロールする各エルドラージは警戒を得る。</t>
  </si>
  <si>
    <t>あなたがコントロールするエルドラージが死亡したとき、あなたは3マナを吸収され、3/2のエルドラージ・ホラー・トークンを1体召喚する。</t>
  </si>
  <si>
    <t>このクリーチャーが出いている間、あなたがコントロールする各エルドラージは警戒を得る。&amp;br;あなたがコントロールするエルドラージが死亡したとき、あなたは3マナを吸収され、3/2のエルドラージ・ホラー・トークンを1体召喚する。</t>
  </si>
  <si>
    <t>対戦相手がコントロールするクリーチャーが戦場に出たとき、あなたの次のターン終了時まで、そのクリーチャーは無効化される。</t>
  </si>
  <si>
    <t>先制攻撃&amp;br;対戦相手がコントロールするクリーチャーが戦場に出たとき、あなたの次のターン終了時まで、そのクリーチャーは無効化される。</t>
  </si>
  <si>
    <t>あなたがコントロールするクリーチャーが戦場に出たとき、あなたのターン終了時まで、このクリーチャーは+1/+1の修正を受ける。</t>
  </si>
  <si>
    <t>あなたがコントロールするクリーチャーが死亡したとき、あなたは1/1の白のスピリット・トークンを1体召喚する。</t>
  </si>
  <si>
    <t>あなたがコントロールするクリーチャーが戦場に出たとき、あなたのターン終了時まで、このクリーチャーは+1/+1の修正を受ける。&amp;br;あなたがコントロールするクリーチャーが死亡したとき、あなたは1/1の白のスピリット・トークンを1体召喚する。</t>
  </si>
  <si>
    <t>ジェム2個を起動する：あなたのターン終了時まで、あなたがコントロールする各クリーチャーはダメージ軽減を得る。</t>
  </si>
  <si>
    <t>飛行&amp;br;ジェム2個を起動する：あなたのターン終了時まで、あなたがコントロールする各クリーチャーはダメージ軽減を得る。</t>
  </si>
  <si>
    <t>ジェム1個を起動する：あなたがコントロールしていて破壊された最後の人間を戦場に戻す。</t>
  </si>
  <si>
    <t>このクリーチャーは折れた刃、ギセラと合体する。</t>
  </si>
  <si>
    <t>飛行 警戒&amp;br;ジェム1個を起動する：あなたがコントロールしていて破壊された最後の人間を戦場に戻す。&amp;br;このクリーチャーは折れた刃、ギセラと合体する。</t>
  </si>
  <si>
    <t>飛行 先制攻撃 絆魂</t>
  </si>
  <si>
    <t>このクリーチャーは消えゆく光、ブルーナと合体する。</t>
  </si>
  <si>
    <t>飛行 先制攻撃 絆魂&amp;br;このクリーチャーは消えゆく光、ブルーナと合体する。</t>
  </si>
  <si>
    <t>飛行 先制攻撃 絆魂 警戒</t>
  </si>
  <si>
    <t>あなたが、合体してこのクリーチャーになったクリーチャー2体のうち一方を唱えた場合、代わりにこのクリーチャーを強化する。</t>
  </si>
  <si>
    <t>飛行 先制攻撃 絆魂 警戒&amp;br;あなたが、合体してこのクリーチャーになったクリーチャー2体のうち一方を唱えた場合、代わりにこのクリーチャーを強化する。</t>
  </si>
  <si>
    <t>あなたのライブラリーの最初の3体のクリーチャーを取ってきて、それらを戦場に出す。</t>
  </si>
  <si>
    <t>上陸：あなたはカードを2枚捨てて、このクリーチャーを戦場に戻す。</t>
  </si>
  <si>
    <t>飛行&amp;br;上陸：あなたはカードを2枚捨てて、このクリーチャーを戦場に戻す。</t>
  </si>
  <si>
    <t>ホムンクルス</t>
  </si>
  <si>
    <t>あなたのターン開始時に、あなたの手札の最初の呪文は2マナを得る。</t>
  </si>
  <si>
    <t>あんたのターン開始時に、あなたがこのゲームで3つ以上の呪文を唱えていた場合、このクリーチャーは変身する。</t>
  </si>
  <si>
    <t>あなたのターン開始時に、あなたの手札の各呪文は2マナを得る。</t>
  </si>
  <si>
    <t>あなたが呪文を唱えたとき、あなたのターン終了時まで、このクリーチャーは+2/+2の修正を受ける。</t>
  </si>
  <si>
    <t>あなたのターン開始時に、あなたの手札の各呪文は2マナを得る。&amp;br;あなたが呪文を唱えたとき、あなたのターン終了時まで、このクリーチャーは+2/+2の修正を受ける。</t>
  </si>
  <si>
    <t>クリーチャー2体を対象とする。あなたの次のターン開始時まで、それらは無効化される。</t>
  </si>
  <si>
    <t>マッドネス2&amp;br;クリーチャー2体を対象とする。あなたの次のターン開始時まで、それらは無効化される。</t>
  </si>
  <si>
    <t>あなたがコントロールするスピリットが戦場に出たとき、あなたのターン終了時まで、対戦相手がコントロールする最初のクリーチャーは無効化される。</t>
  </si>
  <si>
    <t>飛行&amp;br;あなたがコントロールするスピリットが戦場に出たとき、あなたのターン終了時まで、対戦相手がコントロールする最初のクリーチャーは無効化される。</t>
  </si>
  <si>
    <t>あなたが呪文を唱えたとき、あなたは1/1の人間･ウィザード・トークンを1体召喚する。</t>
  </si>
  <si>
    <t>各ターン開始時に、直前のターンにいずれかのプレイヤーが呪文を3つ以上唱えていた場合、このクリーチャーは変身する。</t>
  </si>
  <si>
    <t>飛行&amp;br;あなたが呪文を唱えたとき、あなたは1/1の人間･ウィザード・トークンを1体召喚する。&amp;br;各ターン開始時に、直前のターンにいずれかのプレイヤーが呪文を3つ以上唱えていた場合、このクリーチャーは変身する。</t>
  </si>
  <si>
    <t>このクリーチャーが戦場に出ている間、あなたがコントロールする各クリーチャーは+2/+1の修正を受けるとともに飛行を得る。</t>
  </si>
  <si>
    <t>飛行&amp;br;このクリーチャーが戦場に出ている間、あなたがコントロールする各クリーチャーは+2/+1の修正を受けるとともに飛行を得る。&amp;br;あなたが呪文を唱えたとき、あなたは1/1の人間･ウィザード・トークンを1体召喚する。</t>
  </si>
  <si>
    <t>あなたが呪文を唱えたとき、あなたのターン終了時まで、このクリーチャーは+3/+3の修正を受け、あなたの次のターン開始時まで、対戦相手がコントロールする最初のクリーチャーは無効化される。</t>
  </si>
  <si>
    <t>クリーチャー1体を対象とし、それを破壊する。そのクリーチャーのオーナーは、「あなたのターン開始時に、このクリーチャーのタフネスに等しいマナを得る。」を持つ0/1の封印の月・トークンを1体召喚する。</t>
  </si>
  <si>
    <t>このクリーチャーが対戦相手に戦闘ダメージを与えたとき、あなたはカードを1枚捨てて1枚引く。</t>
  </si>
  <si>
    <t>あなたがクリーチャーを捨てたとき、あなたは3/2のエルドラージ･ホラー･トークンを1体召喚する。</t>
  </si>
  <si>
    <t>ブロックされない&amp;br;このクリーチャーが対戦相手に戦闘ダメージを与えたとき、あなたはカードを1枚捨てて1枚引く。&amp;br;あなたがクリーチャーを捨てたとき、あなたは3/2のエルドラージ･ホラー･トークンを1体召喚する。</t>
  </si>
  <si>
    <t>対戦相手が呪文を唱えたとき、あなたは5マナを得る。</t>
  </si>
  <si>
    <t>ネズミ</t>
  </si>
  <si>
    <t>このクリーチャーは夜深の死体あさりと合体する。</t>
  </si>
  <si>
    <t>このクリーチャーは墓ネズミと合体する。</t>
  </si>
  <si>
    <t>このクリーチャーがこの形態に変身したとき、あなたの他のクリーチャーは+2/0の修正を受ける。</t>
  </si>
  <si>
    <t>速攻&amp;br;あなたが、合体してこのクリーチャーになったクリーチャー2体のうち一方を唱えた場合、代わりにこのクリーチャーを強化する。&amp;br;このクリーチャーがこの形態に変身したとき、あなたの他のクリーチャーは+2/0の修正を受ける。</t>
  </si>
  <si>
    <t>対戦相手はカードを無作為に1枚捨てる。</t>
  </si>
  <si>
    <t>昂揚：対戦相手はカードを無作為に1位枚捨てる。</t>
  </si>
  <si>
    <t>対戦相手はカードを無作為に1枚捨てる。&amp;br;昂揚：対戦相手はカードを無作為に1位枚捨てる。</t>
  </si>
  <si>
    <t>このサポートがボードにある間、あなたがコントロールする各ゾンビは威迫を得る。</t>
  </si>
  <si>
    <t>あなたがコントロールするクリーチャーが死亡したとき、あなたは2/2のゾンビ・トークンを1体召喚する。</t>
  </si>
  <si>
    <t>このサポートがボードにある間、あなたがコントロールする各ゾンビは威迫を得る。&amp;br;あなたがコントロールするクリーチャーが死亡したとき、あなたは2/2のゾンビ・トークンを1体召喚する。</t>
  </si>
  <si>
    <t>あなたはカードを1枚捨てて、あなたがコントロールする最初のクリーチャーを破壊する。クリーチャー2体を対象とする。あなたのターン終了時まで、それらは-13/-13の修正を受ける。</t>
  </si>
  <si>
    <t>あなたのターン開始時に、あなたがクリーチャーを3体以上コントロールしている場合、あなたの他のクリーチャーを破壊し、このクリーチャーは変身する。</t>
  </si>
  <si>
    <t>飛行&amp;br;マッドネス2&amp;br;あなたのターン開始時に、あなたがクリーチャーを3体以上コントロールしている場合、あなたの他のクリーチャーを破壊し、このクリーチャーは変身する。</t>
  </si>
  <si>
    <t>このクリーチャーがこの形態に変身したとき、対戦相手がコントロールする各クリーチャーを破壊する。</t>
  </si>
  <si>
    <t>飛行&amp;br;このクリーチャーがこの形態に変身したとき、対戦相手がコントロールする各クリーチャーを破壊する。</t>
  </si>
  <si>
    <t>いずれかのプレイヤーが呪文と唱えたとき、このクリーチャーは-1/-1の修正を受け、あなたは2/2のゾンビ･トークンを1体召喚する。</t>
  </si>
  <si>
    <t>あなたがカードを捨てたとき、あなたがコントロールする各吸血鬼は+1/+1の修正を受ける。</t>
  </si>
  <si>
    <t>あなたのターン開始時に、2/2のゾンビ･トークンを1体召喚する。</t>
  </si>
  <si>
    <t>このサポートがボードに出たとき、対戦相手がコントロールするクリーチャー1体対象とし、それを破壊する。</t>
  </si>
  <si>
    <t>あなたのターン開始時に、2/2のゾンビ･トークンを1体召喚する。&amp;br;このサポートがボードに出たとき、対戦相手がコントロールするクリーチャー1体対象とし、それを破壊する。</t>
  </si>
  <si>
    <t>植物</t>
  </si>
  <si>
    <t>このクリーチャーがダメージを受けたとき、対戦相手は、このクリーチャーの最大タフネスとこのクリーチャーのその時点でのタフネスの差に等しい点数のダメージを受ける。</t>
  </si>
  <si>
    <t>ディフェンダー&amp;br;このクリーチャーがダメージを受けたとき、対戦相手は、このクリーチャーの最大タフネスとこのクリーチャーのその時点でのタフネスの差に等しい点数のダメージを受ける。</t>
  </si>
  <si>
    <t>ジェム2個を起動する：このクリーチャーは変身する。</t>
  </si>
  <si>
    <t>このクリーチャーが攻撃したとき、ジェム1個を破壊する。</t>
  </si>
  <si>
    <t>ジェム2個を起動する：このクリーチャーは変身する。&amp;br;このクリーチャーが攻撃したとき、ジェム1個を破壊する。</t>
  </si>
  <si>
    <t>このクリーチャーが攻撃したとき、ジェム2個を破壊する。</t>
  </si>
  <si>
    <t>ジェム3個を起動する：あなたはカードを1枚捨てて、あなたのターン終了時まで、このクリーチャーは+3/+0の修正を受ける。</t>
  </si>
  <si>
    <t>トランプル バーサーカー&amp;br;ジェム3個を起動する：あなたはカードを1枚捨てて、あなたのターン終了時まで、このクリーチャーは+3/+0の修正を受ける。</t>
  </si>
  <si>
    <t>あなたが呪文を唱えたとき、対戦相手がコントロールする各クリーチャーは1点のダメージを受ける。</t>
  </si>
  <si>
    <t>到達&amp;br;あなたが呪文を唱えたとき、対戦相手がコントロールする各クリーチャーは1点のダメージを受ける。</t>
  </si>
  <si>
    <t>あなたはカードを1枚すてて、あなたが唱えた最後の呪文2枚をオーナーの手札に戻す。</t>
  </si>
  <si>
    <t>ジェムを1個起動する：このクリーチャーは変身する。</t>
  </si>
  <si>
    <t>このクリーチャーが戦場に出たとき、対戦相手がコントロールする各クリーチャーは2点のダメージを受ける。</t>
  </si>
  <si>
    <t>ジェムを1個起動する：このクリーチャーは変身する。&amp;br;このクリーチャーが戦場に出たとき、対戦相手がコントロールする各クリーチャーは2点のダメージを受ける。</t>
  </si>
  <si>
    <t>このクリーチャーが戦場に出た(この形態に変身した)とき、対戦相手は2点のダメージを受ける。</t>
  </si>
  <si>
    <t>このクリーチャーがブロックしたかブロックされた状態になったとき、対戦相手のクリーチャーは3点のダメージを受け、対戦相手は3点のダメージを受ける。</t>
  </si>
  <si>
    <t>ディフェンダー&amp;br;このクリーチャーがブロックしたかブロックされた状態になったとき、対戦相手のクリーチャーは3点のダメージを受け、対戦相手は3点のダメージを受ける。</t>
  </si>
  <si>
    <t>トランプル 速攻</t>
  </si>
  <si>
    <t>このクリーチャーが戦場に出たとき、あなたがコントロールしていないクリーチャー1体を対象とする。あなたのターン終了時まで、それはディフェンダーを得る。</t>
  </si>
  <si>
    <t>あなたのターン終了時に、このトークンクリーチャーを破壊する。</t>
  </si>
  <si>
    <t>トランプル 速攻&amp;br;このクリーチャーが戦場に出たとき、あなたがコントロールしていないクリーチャー1体を対象とする。あなたのターン終了時まで、それはディフェンダーを得る。&amp;br;あなたのターン終了時に、このトークンクリーチャーを破壊する。</t>
  </si>
  <si>
    <t>このクリーチャーが戦場に出たとき、あなたはあなたの手札をすべて捨てて、カードを3枚引く。</t>
  </si>
  <si>
    <t>あなたが呪文を唱えたとき、あなたのターン終了時まで、このクリーチャーは+1/+1の修正を受ける。&amp;br;このクリーチャーが戦場に出たとき、あなたはあなたの手札をすべて捨てて、カードを3枚引く。</t>
  </si>
  <si>
    <t>このクリーチャーが攻撃したとき、1/1の人間･トークンを1体召喚する。</t>
  </si>
  <si>
    <t>このクリーチャーはハンウィアーの要塞と合体する。</t>
  </si>
  <si>
    <t>このクリーチャーが攻撃したとき、1/1の人間･トークンを1体召喚する。&amp;br;このクリーチャーはハンウィアーの要塞と合体する。</t>
  </si>
  <si>
    <t>あなたのターン開始時に、あなたは2マナを得る。</t>
  </si>
  <si>
    <t>このクリーチャーはハンウィアー守備隊と合体する。</t>
  </si>
  <si>
    <t>あなたのターン開始時に、あなたは2マナを得る。&amp;br;このクリーチャーはハンウィアー守備隊と合体する。</t>
  </si>
  <si>
    <t>(このクリーチャーが攻撃するたび、3/2のエルドラージ・ホラー・トークンを1体召喚する。)</t>
  </si>
  <si>
    <t>トランプル 速攻&amp;br;あなたが、合体してこのクリーチャーになったクリーチャー2体のうち一方を唱えた場合、代わりにこのクリーチャーを強化する。&amp;br;(このクリーチャーが攻撃するたび、3/2のエルドラージ・ホラー・トークンを1体召喚する。)</t>
  </si>
  <si>
    <t>いずれかのプレイヤーが呪文を唱えたとき、それがこのクリーチャーを対象としていた場合、対戦相手がコントロールする各クリーチャーは2点のダメージを受ける。</t>
  </si>
  <si>
    <t>飛行&amp;br;いずれかのプレイヤーが呪文を唱えたとき、それがこのクリーチャーを対象としていた場合、対戦相手がコントロールする各クリーチャーは2点のダメージを受ける。</t>
  </si>
  <si>
    <t>あなたはカードを2枚捨てる。対戦相手がコントロールする各クリーチャーは6点のダメージを受け、対戦相手は6点のダメージを受ける。</t>
  </si>
  <si>
    <t>このクリーチャーが戦場に出たとき、あなたのライブラリーの最初のクリーチャーを取ってくる。</t>
  </si>
  <si>
    <t>このクリーチャーが死亡したとき、あなたは3/2のエルドラージ･ホラー･トークンを1体召喚する。</t>
  </si>
  <si>
    <t>このクリーチャーが戦場に出たとき、あなたのライブラリーの最初のクリーチャーを取ってくる。&amp;br;このクリーチャーが死亡したとき、あなたは3/2のエルドラージ･ホラー･トークンを1体召喚する。</t>
  </si>
  <si>
    <t>ディフェンダー&amp;br;ジェム1個を起動する：このクリーチャーは変身する。</t>
  </si>
  <si>
    <t>ブロックされない&amp;br;ジェム1個を起動する：このクリーチャーは変身する。</t>
  </si>
  <si>
    <t>このクリーチャーが対戦相手に戦闘ダメージを与えたとき、あなたは3/2のエルドラージ･ホラー･トークンを1体召喚する。</t>
  </si>
  <si>
    <t>ブロックされない&amp;br;このクリーチャーが対戦相手に戦闘ダメージを与えたとき、あなたは3/2のエルドラージ･ホラー･トークンを1体召喚する。</t>
  </si>
  <si>
    <t>このクリーチャーが戦場に出ている間、昂揚：このこのクリーチャーは+2/+2の修正を受ける。</t>
  </si>
  <si>
    <t>接死&amp;br;このクリーチャーが戦場に出ている間、昂揚：このこのクリーチャーは+2/+2の修正を受ける。</t>
  </si>
  <si>
    <t>ツリーフォーク</t>
  </si>
  <si>
    <t>あなたがコントロールする基本のタフネスが4以上のクリーチャーが死亡したとき、あなたはカードを1枚引く。</t>
  </si>
  <si>
    <t>あなたがコントロールするクリーチャーが死亡したとき、あなたは3/2のエルドラージ・ホラー・トークンを1体召喚する。</t>
  </si>
  <si>
    <t>このクリーチャーが戦場に出たとき、あなたがコントロールする各狼男は+3/+3の修正を受ける。</t>
  </si>
  <si>
    <t>ジェム1個を起動する：対戦相手はこのクリーチャーのパワーの2倍に等しい点数のダメージを受ける。</t>
  </si>
  <si>
    <t>このクリーチャーが戦場に出たとき、昂揚：到達を持つ1/3の緑の蜘蛛・トークンを3体召喚する。</t>
  </si>
  <si>
    <t>到達&amp;br;ジェム1個を起動する：対戦相手はこのクリーチャーのパワーの2倍に等しい点数のダメージを受ける。&amp;br;このクリーチャーが戦場に出たとき、昂揚：到達を持つ1/3の緑の蜘蛛・トークンを3体召喚する。</t>
  </si>
  <si>
    <t>あなたがコントロールするクリーチャーが攻撃したとき、あなたは1点のライフを得て、対戦相手は1点のダメージを受ける。</t>
  </si>
  <si>
    <t>このクリーチャーが戦場に出たとき、あなたのライブラリーの最初の4体のクリーチャーを破壊する。</t>
  </si>
  <si>
    <t>あなたのターン開始時に、あなたがコントロールしていて破壊された最後のゾンビを戦場に戻す。</t>
  </si>
  <si>
    <t>このクリーチャーが戦場に出たとき、あなたのライブラリーの最初の4体のクリーチャーを破壊する。&amp;br;あなたのターン開始時に、あなたがコントロールしていて破壊された最後のゾンビを戦場に戻す。</t>
  </si>
  <si>
    <t>あなたが呪文を唱えたとき、あなたのターン終了時まで、このクリーチャーは+3/0の修正を得る。</t>
  </si>
  <si>
    <t>飛行&amp;br;あなたが呪文を唱えたとき、あなたのターン終了時まで、このクリーチャーは+3/0の修正を得る。</t>
  </si>
  <si>
    <t>このクリーチャーが戦場に出たとき、あなたのターン終了時まで、対戦相手がコントロールするクリーチャーはブロックできない。</t>
  </si>
  <si>
    <t>速攻&amp;br;このクリーチャーが戦場に出たとき、あなたのターン終了時まで、対戦相手がコントロールするクリーチャーはブロックできない。</t>
  </si>
  <si>
    <t>あなたのターン開始時に、昂揚(黒か緑)：このクリーチャーは+2/+2の修正を受ける。</t>
  </si>
  <si>
    <t>このクリーチャーが対戦相手にダメージを与えたとき、ジェム2個を白か青か赤に変換する。</t>
  </si>
  <si>
    <t>トランプル&amp;br;あなたのターン開始時に、昂揚(黒か緑)：このクリーチャーは+2/+2の修正を受ける。&amp;br;このクリーチャーが対戦相手にダメージを与えたとき、ジェム2個を白か青か赤に変換する。</t>
  </si>
  <si>
    <t>このクリーチャーが戦場に出たか、この形態に変身したとき、あなたがコントロールする最初のクリーチャーは+4/+4の修正を受ける。</t>
  </si>
  <si>
    <t>このクリーチャーが戦場に出たか、この形態に変身したとき、あなたがコントロールする最初のクリーチャーは+4/+4の修正を受ける。&amp;br;各ターン開始時に、直前のターンにカードが唱えられていなかった場合、このクリーチャーは変身する。</t>
  </si>
  <si>
    <t>このクリーチャーがこの形態に変身したとき、対戦相手がコントロールする最初のクリーチャーはこのクリーチャーのパワーに等しい点数のダメージを受ける。</t>
  </si>
  <si>
    <t>このクリーチャーがこの形態に変身したとき、対戦相手がコントロールする最初のクリーチャーはこのクリーチャーのパワーに等しい点数のダメージを受ける。&amp;br;各ターン開始時に、直前のターンにカードが2枚以上唱えられていた場合、このクリーチャーは変身する。</t>
  </si>
  <si>
    <t>このクリーチャーが戦場に出たとき、あなたのターン終了時まで、あなたがコントロールする他の人間は+2/+2の修正を受けるとともに絆魂を得る。</t>
  </si>
  <si>
    <t>絆魂&amp;br;このクリーチャーが戦場に出たとき、あなたのターン終了時まで、あなたがコントロールする他の人間は+2/+2の修正を受けるとともに絆魂を得る。</t>
  </si>
  <si>
    <t>現出2</t>
  </si>
  <si>
    <t>このクリーチャーが戦場に出たとき、クリーチャー1体を対象とし、それをオーナーのライブラリーの一番上に戻す。</t>
  </si>
  <si>
    <t>現出2&amp;br;このクリーチャーが戦場に出たとき、クリーチャー1体を対象とし、それをオーナーのライブラリーの一番上に戻す。</t>
  </si>
  <si>
    <t>現出2&amp;br;このクリーチャーが戦場に出たとき、対戦相手がコントロールするサポートジェムを1個破壊する。</t>
  </si>
  <si>
    <t>呪禁</t>
  </si>
  <si>
    <t>呪禁&amp;br;現出2</t>
  </si>
  <si>
    <t>現出3</t>
  </si>
  <si>
    <t>このクリーチャーが戦場に出たとき、対戦相手は3点のダメージを受け、あなたは3点のライフを得る。</t>
  </si>
  <si>
    <t>現出3&amp;br;このクリーチャーが戦場に出たとき、対戦相手は3点のダメージを受け、あなたは3点のライフを得る。</t>
  </si>
  <si>
    <t>このクリーチャーが戦場に出たとき、あなたが最後に唱えた呪文をオーナーの手札に戻す。</t>
  </si>
  <si>
    <t>現出2&amp;br;このクリーチャーが戦場に出たとき、あなたが最後に唱えた呪文をオーナーの手札に戻す。</t>
  </si>
  <si>
    <t>タコ</t>
  </si>
  <si>
    <t>このクリーチャーが戦場に出たとき、あなたの次のターン開始時まで、対戦相手がコントロールする各クリーチャーは無効化される。</t>
  </si>
  <si>
    <t>現出3&amp;br;このクリーチャーが戦場に出たとき、あなたの次のターン開始時まで、対戦相手がコントロールする各クリーチャーは無効化される。</t>
  </si>
  <si>
    <t>このクリーチャーが戦場に出たとき、対戦相手はカードを無作為に2枚捨てる。</t>
  </si>
  <si>
    <t>現出2&amp;br;このクリーチャーが戦場に出たとき、対戦相手はカードを無作為に2枚捨てる。</t>
  </si>
  <si>
    <t>現出3。</t>
  </si>
  <si>
    <t>このクリーチャーが戦場に出たとき、あなたがコントロールする各クリーチャーは+4/+4の修正を受けるとともにトランプルと速攻とバーサーカーを得る。</t>
  </si>
  <si>
    <t>トランプル 速攻&amp;br;現出3。&amp;br;このクリーチャーが戦場に出たとき、あなたがコントロールする各クリーチャーは+4/+4の修正を受けるとともにトランプルと速攻とバーサーカーを得る。</t>
  </si>
  <si>
    <t>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</si>
  <si>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飛行 トランプル&amp;br;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</si>
  <si>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KLD</t>
  </si>
  <si>
    <t>ドワーフ</t>
  </si>
  <si>
    <t>このクリーチャーが戦場に出たとき、あなたの手札のカードが5枚以下の場合、あなたがコントロールする他のクリーチャーを1体対象とし、それをあなたの手札に戻す。</t>
  </si>
  <si>
    <t>このクリーチャーが戦場に出たとき、エネルギー化2を行う。</t>
  </si>
  <si>
    <t>超過1：あなたのターン終了時まで、あなたがコントロールする飛行を持たない最初のクリーチャーは飛行を得る。</t>
  </si>
  <si>
    <t>飛行&amp;br;このクリーチャーが戦場に出たとき、エネルギー化2を行う。&amp;br;超過1：あなたのターン終了時まで、あなたがコントロールする飛行を持たない最初のクリーチャーは飛行を得る。</t>
  </si>
  <si>
    <t>このクリーチャーが戦場に出たとき、製造1を行う。</t>
  </si>
  <si>
    <t>このクリーチャーが戦場に出たとき、あなたがコントロールするクリーチャー1体を対象とする。それはは+1/+1の修整を受ける。</t>
  </si>
  <si>
    <t>あなたがコントロールする他のクリーチャーが死亡したとき、このクリーチャーは+1/+1の修整を受ける。</t>
  </si>
  <si>
    <t>ディフェンダー&amp;br;あなたがコントロールする他のクリーチャーが死亡したとき、このクリーチャーは+1/+1の修整を受ける。</t>
  </si>
  <si>
    <t>飛行&amp;br;このクリーチャーが戦場に出たとき、製造1を行う。</t>
  </si>
  <si>
    <t>ヤギ</t>
  </si>
  <si>
    <t>超過2：このクリーチャーは+1/+1の修整を受ける。</t>
  </si>
  <si>
    <t>このクリーチャーが戦場に出たとき、エネルギー化2を行う。&amp;br;超過2：このクリーチャーは+1/+1の修整を受ける。</t>
  </si>
  <si>
    <t>クリーチャー1体を対象とする。それは+2/+2の修整を受けるとともにダメージ軽減を得る。</t>
  </si>
  <si>
    <t>対戦相手がコントロールするサポートを1個を破壊する。</t>
  </si>
  <si>
    <t>あなたがコントロールしていないクリーチャー1体を対象とする。あなたの次のターン開始時まで、それを無効化する。あなたはカードを1枚引く。</t>
  </si>
  <si>
    <t>飛行 警戒 絆魂</t>
  </si>
  <si>
    <t>超過1：あなたのターン終了時まで、あなたがコントロールする最初のクリーチャーはダメージ軽減とバーサーカーを得る。</t>
  </si>
  <si>
    <t>ディフェンダー&amp;br;このクリーチャーが戦場に出たとき、エネルギー化2を行う。&amp;br;超過1：あなたのターン終了時まで、あなたがコントロールする最初のクリーチャーはダメージ軽減とバーサーカーを得る。</t>
  </si>
  <si>
    <t>操縦士</t>
  </si>
  <si>
    <t>このクリーチャーが戦場に出たとき、あなたの手札の各機体は先制攻撃を得る。</t>
  </si>
  <si>
    <t>先制攻撃&amp;br;このクリーチャーが戦場に出たとき、あなたの手札の各機体は先制攻撃を得る。</t>
  </si>
  <si>
    <t>このクリーチャーが戦場に出たとき、製造2を行う。</t>
  </si>
  <si>
    <t>パワーが3以上のクリーチャー1体を対象とし、それを破壊する。あなたはカードを1枚引く。</t>
  </si>
  <si>
    <t>このサポートがボードに出たとき、エネルギー化4を行う。</t>
  </si>
  <si>
    <t>超過2：あなたは3点のライフを得る。</t>
  </si>
  <si>
    <t>このサポートがボードに出たとき、エネルギー化4を行う。&amp;br;超過2：あなたは3点のライフを得る。</t>
  </si>
  <si>
    <t>このクリーチャーが戦場に出ている間、あなたがコントロールする各構築物は+2/+2の修整を受ける。</t>
  </si>
  <si>
    <t>ジェム2個を起動する：飛行を持つ1/1の飛行機械･トークンを2体召喚する。</t>
  </si>
  <si>
    <t>このクリーチャーが戦場に出ている間、あなたがコントロールする各構築物は+2/+2の修整を受ける。&amp;br;ジェム2個を起動する：飛行を持つ1/1の飛行機械･トークンを2体召喚する。</t>
  </si>
  <si>
    <t>あなたのターン開始時に、あなたが無色のサポートを1個以上コントロールしている場合、このクリーチャーは+2/+1の修整を受ける。</t>
  </si>
  <si>
    <t>あなたのターン開始時に、あなたが無色のサポートを3個以上コントロールしている場合、あなたのターン終了時まで、このクリーチャーは先制攻撃を得る。</t>
  </si>
  <si>
    <t>あなたのターン開始時に、あなたが無色のサポートを1個以上コントロールしている場合、このクリーチャーは+2/+1の修整を受ける。&amp;br;あなたのターン開始時に、あなたが無色のサポートを3個以上コントロールしている場合、あなたのターン終了時まで、このクリーチャーは先制攻撃を得る。</t>
  </si>
  <si>
    <t>あなたがコントロールしていて破壊された最後のサポートをボードに戻す。</t>
  </si>
  <si>
    <t>対戦相手がコントロールするクリーチャーが戦場に出たとき、あなたの次のターン終了時まで、そのクリーチャーを無効化する。あなたは1点のライフを得る。</t>
  </si>
  <si>
    <t>このサポートがボードにある間、対戦相手がコントロールする最初のクリーチャーは攻撃できない。</t>
  </si>
  <si>
    <t>対戦相手が呪文を唱えたとき、対戦相手がコントロールする最初のクリーチャーは3点のダメージを受ける。</t>
  </si>
  <si>
    <t>このサポートがボードにある間、対戦相手がコントロールする最初のクリーチャーは攻撃できない。&amp;br;対戦相手が呪文を唱えたとき、対戦相手がコントロールする最初のクリーチャーは3点のダメージを受ける。</t>
  </si>
  <si>
    <t>あなたがコントロールするクリーチャーが戦場に出たとき、エネルギー化1を行う。</t>
  </si>
  <si>
    <t>超過1：このクリーチャーは+1/+1の修整を受ける。その後、あなたのターン終了時まで、対戦相手がコントロールする無効化されていない最初のクリーチャーを無効化する。</t>
  </si>
  <si>
    <t>飛行&amp;br;あなたがコントロールするクリーチャーが戦場に出たとき、エネルギー化1を行う。&amp;br;超過1：このクリーチャーは+1/+1の修整を受ける。その後、あなたのターン終了時まで、対戦相手がコントロールする無効化されていない最初のクリーチャーを無効化する。</t>
  </si>
  <si>
    <t>このクリーチャーが戦場に出ている間、あなたがコントロールする各クリーチャーは+3/+3の修整を受ける。</t>
  </si>
  <si>
    <t>飛行 警戒 絆魂&amp;br;このクリーチャーが戦場に出たとき、製造2を行う。&amp;br;このクリーチャーが戦場に出ている間、あなたがコントロールする各クリーチャーは+3/+3の修整を受ける。</t>
  </si>
  <si>
    <t>このクリーチャーが戦場に出たとき、あなたがコントロールする他の各クリーチャーを破壊し、対戦相手がコントロールする最初のクリーチャー以外の各クリーチャーを破壊し、各サポートを破壊する。</t>
  </si>
  <si>
    <t>警戒&amp;br;このクリーチャーが戦場に出たとき、あなたがコントロールする他の各クリーチャーを破壊し、対戦相手がコントロールする最初のクリーチャー以外の各クリーチャーを破壊し、各サポートを破壊する。</t>
  </si>
  <si>
    <t>このクリーチャーが戦場に出たとき、エネルギー化3を行う。</t>
  </si>
  <si>
    <t>超過1：カードを1枚引く。</t>
  </si>
  <si>
    <t>このクリーチャーが戦場に出たとき、エネルギー化3を行う。&amp;br;超過1：カードを1枚引く。</t>
  </si>
  <si>
    <t>ジェム1個を起動する：あなたのターン終了時まで、このクリーチャーは「ブロックされない｣を得る。</t>
  </si>
  <si>
    <t>カニ</t>
  </si>
  <si>
    <t>ディフェンダー&amp;br;このクリーチャーは攻撃できない</t>
  </si>
  <si>
    <t>このクリーチャーが戦場に出たとき、エネルギー化4を行う。</t>
  </si>
  <si>
    <t>超過1：あなたのターン終了時まで、このクリーチャーは「攻撃できない｣を失う。</t>
  </si>
  <si>
    <t>ディフェンダー&amp;br;このクリーチャーは攻撃できない&amp;br;このクリーチャーが戦場に出たとき、エネルギー化4を行う。&amp;br;超過1：あなたのターン終了時まで、このクリーチャーは「攻撃できない｣を失う。</t>
  </si>
  <si>
    <t>ディフェンダー&amp;br;このクリーチャーが戦場に出たとき、エネルギー化2を行う。&amp;br;超過2：このクリーチャーは+1/+1の修整を受ける。</t>
  </si>
  <si>
    <t>あなたが呪文かサポートかクリーチャーを唱えたとき、あなたのターン終了時まで、このクリーチャーは+1/+1の修整を受ける。</t>
  </si>
  <si>
    <t>あなたがコントロールするサポートがボードに出たとき、あなたのターン終了時まで、このクリーチャーは+飛行を得る。</t>
  </si>
  <si>
    <t>風のドレイク</t>
  </si>
  <si>
    <t>Wind Drake</t>
  </si>
  <si>
    <t>あなたの手札のカードと対戦相手の手札のカードがいずれも5枚以下の場合、あなたがコントロールするクリーチャー1体と対戦相手がコントロールするクリーチャー1体を対象とし、それらをオーナーの手札に戻す。</t>
  </si>
  <si>
    <t>対戦相手がコントロールする最初の無色でないカードからすべてのマナを吸収する。</t>
  </si>
  <si>
    <t>あなたはカードを3枚引く。</t>
  </si>
  <si>
    <t>このクリーチャーが戦場に出たとき、あなたは飛行を持つ1/1の飛行機械･トークンを2体召喚する。</t>
  </si>
  <si>
    <t>飛行&amp;br;このクリーチャーが戦場に出たとき、あなたは飛行を持つ1/1の飛行機械･トークンを2体召喚する。</t>
  </si>
  <si>
    <t>このクリーチャーが戦場に出たとき、あなたのライブラリーの次のカード4枚から1枚を取ってくる。</t>
  </si>
  <si>
    <t>飛行&amp;br;このクリーチャーが戦場に出たとき、あなたのライブラリーの次のカード4枚から1枚を取ってくる。</t>
  </si>
  <si>
    <t>超過1：あなたのターン終了時まで、対戦相手がコントロールする最初のクリーチャーを無効化する。</t>
  </si>
  <si>
    <t>このクリーチャーが戦場に出たとき、エネルギー化2を行う。&amp;br;超過1：あなたのターン終了時まで、対戦相手がコントロールする最初のクリーチャーを無効化する。</t>
  </si>
  <si>
    <t>鯨</t>
  </si>
  <si>
    <t>アドバイザー</t>
  </si>
  <si>
    <t>超過2：対戦相手の手札の最初のカードを対戦相手のライブラリーの一番上に移動する。</t>
  </si>
  <si>
    <t>このクリーチャーが戦場に出たとき、エネルギー化2を行う。&amp;br;超過2：対戦相手の手札の最初のカードを対戦相手のライブラリーの一番上に移動する。</t>
  </si>
  <si>
    <t>クリーチャー1体を対象とする。それは-2/0の修整を受ける。エネルギー化2を行う。</t>
  </si>
  <si>
    <t>カードを2枚引き、エネルギー化2を行う。</t>
  </si>
  <si>
    <t>リバイアサン</t>
  </si>
  <si>
    <t>あなたのターン開始時に、エネルギー化3を行う。</t>
  </si>
  <si>
    <t>超過3：他のクリーチャーをすべてオーナーの手札に戻す。オーナーの手札に空きがない場合、そのクリーチャーを破壊する。</t>
  </si>
  <si>
    <t>飛行&amp;br;あなたのターン開始時に、エネルギー化3を行う。&amp;br;超過3：他のクリーチャーをすべてオーナーの手札に戻す。オーナーの手札に空きがない場合、そのクリーチャーを破壊する。</t>
  </si>
  <si>
    <t>ボード上にエネルギー化ジェムが4個以上ある場合、対戦相手がコントロールするクリーチャー1体を対象とする。あなたはそれをコントロールする。その後、ボードからすべてのエネルギーを取り除く。</t>
  </si>
  <si>
    <t>戦場に出ているあなたがコントロールするトークンでない各クリーチャーをあなたの手札に戻す。それらは12マナを得る。</t>
  </si>
  <si>
    <t>あなたは、あなたの手札がいっぱいになるまでカードを引く。</t>
  </si>
  <si>
    <t>戦場に出ているあなたがコントロールするトークンでない各クリーチャーをあなたの手札に戻す。それらは12マナを得る。&amp;br;あなたは、あなたの手札がいっぱいになるまでカードを引く。</t>
  </si>
  <si>
    <t>クリーチャー1体を対象とする。それは+X/+Xの修整を受ける。Xはボード上のエネルギー化ジェムの総数に等しい。</t>
  </si>
  <si>
    <t>あなたがコントロールするサポートか工匠であるクリーチャーが戦場に出たとき、エネルギー化2を行う。</t>
  </si>
  <si>
    <t>超過3：あなたはカードを3枚引く。</t>
  </si>
  <si>
    <t>あなたがコントロールするサポートか工匠であるクリーチャーが戦場に出たとき、エネルギー化2を行う。&amp;br;超過3：あなたはカードを3枚引く。</t>
  </si>
  <si>
    <t>対戦相手がカードを唱えたとき、このサポートを破壊し、対戦相手のそのカードを破壊する。それの効果は誘発しない。</t>
  </si>
  <si>
    <t>このクリーチャーが戦場に出ている間、あなたがコントロールする無色の各クリーチャーは呪禁を得る。</t>
  </si>
  <si>
    <t>あなたのターン開始時に、あなたがサポートを1個以上コントロールしている場合、製造1を行い、カードを1枚引く。</t>
  </si>
  <si>
    <t>このクリーチャーが戦場に出ている間、あなたがコントロールする無色の各クリーチャーは呪禁を得る。&amp;br;あなたのターン開始時に、あなたがサポートを1個以上コントロールしている場合、製造1を行い、カードを1枚引く。</t>
  </si>
  <si>
    <t>あなたがこのクリーチャーを唱えたとき、唱えられたか破壊された最後の呪文2つをあなたの手札に戻す。</t>
  </si>
  <si>
    <t>ディフェンダー&amp;br;あなたがこのクリーチャーを唱えたとき、唱えられたか破壊された最後の呪文2つをあなたの手札に戻す。</t>
  </si>
  <si>
    <t>あなたが呪文を唱えたとき、あなたは飛行を持つ1/1の飛行機械・トークンを2体召喚する。</t>
  </si>
  <si>
    <t>霊基体</t>
  </si>
  <si>
    <t>クロコダイル</t>
  </si>
  <si>
    <t>このクリーチャーが戦場に出たとき、あなたがコントロールしていて最後に破壊されたカードをあなたの手札に戻す。</t>
  </si>
  <si>
    <t>あなたが戦場に出ている無色のクリーチャーをコントロールしている間、このクリーチャーは+1/0の修整を受ける。</t>
  </si>
  <si>
    <t>飛行&amp;br;あなたが戦場に出ている無色のクリーチャーをコントロールしている間、このクリーチャーは+1/0の修整を受ける。</t>
  </si>
  <si>
    <t>このクリーチャーが死亡したとき、あなたがコントロールする最初のクリーチャーは+1/+1の修整を受ける。</t>
  </si>
  <si>
    <t>ディフェンダー&amp;br;このクリーチャーが死亡したとき、あなたがコントロールする最初のクリーチャーは+1/+1の修整を受ける。</t>
  </si>
  <si>
    <t>威迫&amp;br;このクリーチャーが戦場に出たとき、製造1を行う。</t>
  </si>
  <si>
    <t>このクリーチャーが攻撃したとき、あなたは1点のライフを得て、対戦相手は1点のダメージを受ける。</t>
  </si>
  <si>
    <t>エネルギー化1を行う。</t>
  </si>
  <si>
    <t>クリーチャー1体を対象とする。あなたのターン終了時まで、それは-X/-Xの修整を受ける。Xはエネルギー化ジェムの総数に等しい。その後、ボードからすべてのエネルギーを取り除く。</t>
  </si>
  <si>
    <t>エネルギー化1を行う。&amp;br;クリーチャー1体を対象とする。あなたのターン終了時まで、それは-X/-Xの修整を受ける。Xはエネルギー化ジェムの総数に等しい。その後、ボードからすべてのエネルギーを取り除く。</t>
  </si>
  <si>
    <t>あなたはカードを2枚引き、4点のダメージを受ける。エネルギー化2を行う。</t>
  </si>
  <si>
    <t>クリーチャー1体を対象とする。あなたのターン終了時まで、それは+1/0の修整を受けるとともに絆魂とダメージ軽減を得る。</t>
  </si>
  <si>
    <t>クリーチャー1体を対象とし、それを破壊する。あなたはX点のライフを得る。Xはあなたがコントロールするサポートの総数に等しい。</t>
  </si>
  <si>
    <t>飛行 絆魂</t>
  </si>
  <si>
    <t>このクリーチャーが戦場に出たとき、このクリーチャーは+X/+Xの修整を受ける。Xはあなたがコントロールするクリーチャーの総数に等しい。</t>
  </si>
  <si>
    <t>飛行 絆魂&amp;br;このクリーチャーが戦場に出たとき、このクリーチャーは+X/+Xの修整を受ける。Xはあなたがコントロールするクリーチャーの総数に等しい。</t>
  </si>
  <si>
    <t>このクリーチャーはブロックできない。</t>
  </si>
  <si>
    <t>あなたのターン開始時に、このクリーチャーは+1/+1の修整を受け、あなたは1点のダメージを受ける。</t>
  </si>
  <si>
    <t>このクリーチャーはブロックできない。&amp;br;あなたのターン開始時に、このクリーチャーは+1/+1の修整を受け、あなたは1点のダメージを受ける。</t>
  </si>
  <si>
    <t>クリーチャー1体を対象とする。それは3点のダメージを受け、あなたは3点のライフを得る。</t>
  </si>
  <si>
    <t>対戦相手がコントロールする各クリーチャーは-1/-1の修整を受ける。</t>
  </si>
  <si>
    <t>あなたはカードをX枚引く。Xはあなたがコントロールするクリーチャーの2倍に等しい。その後、あなたがコントロールする各クリーチャーを破壊する。</t>
  </si>
  <si>
    <t>このクリーチャーが戦場に出たとき、あなたの手札のカードが5枚以下の場合、対戦相手の手札の最後のカードをあなたの手札に移動する。</t>
  </si>
  <si>
    <t>接死&amp;br;このクリーチャーが戦場に出たとき、あなたの手札のカードが5枚以下の場合、対戦相手の手札の最後のカードをあなたの手札に移動する。</t>
  </si>
  <si>
    <t>あなたがコントロールするサポートがボードに出たとき、このゲームでこのクリーチャーが破壊されていた場合、このクリーチャーをあなたの手札に戻す。</t>
  </si>
  <si>
    <t>対戦相手がコントロールする最初のクリーチャーX体を破壊する。Xはあなたがコントロールするクリーチャーの総数に等しい。あなたはXの5倍の点数のダメージを受ける。Xはあなたがコントロールするクリーチャーの総数に等しい。</t>
  </si>
  <si>
    <t>対戦相手は、手札をすべて捨ててその後カードを6枚引く。</t>
  </si>
  <si>
    <t>あなたのターンの開始時に、あなたはカードを2枚引く。その後、このサポートは1シールドを失う。</t>
  </si>
  <si>
    <t>あなたが3個以上の黒ジェムをマッチさせたとき、あなたは3マナを得る。</t>
  </si>
  <si>
    <t>このサポートが破壊されたとき、あなたはあなたの手札をすべて捨てる。</t>
  </si>
  <si>
    <t>あなたのターンの開始時に、あなたはカードを2枚引く。その後、このサポートは1シールドを失う。&amp;br;あなたが3個以上の黒ジェムをマッチさせたとき、あなたは3マナを得る。&amp;br;このサポートが破壊されたとき、あなたはあなたの手札をすべて捨てる。</t>
  </si>
  <si>
    <t>あなたがコントロールするサポートがボードに出たとき、あなたは1点のライフを得て、対戦相手は1点のダメージを受ける。</t>
  </si>
  <si>
    <t>あなたがコントロールするサポートがボードに出たとき、あなたは1点のライフを得て、対戦相手は1点のダメージを受ける。&amp;br;このサポートが破壊されたとき、対戦相手がコントロールする最初のクリーチャーを破壊する。</t>
  </si>
  <si>
    <t>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t>
  </si>
  <si>
    <t>超過2：あなたがコントロールしていて破壊された最後のクリーチャーを戦場に戻す。</t>
  </si>
  <si>
    <t>飛行&amp;br;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amp;br;超過2：あなたがコントロールしていて破壊された最後のクリーチャーを戦場に戻す。</t>
  </si>
  <si>
    <t>このクリーチャーが戦場に出たとき、製造3を行う。</t>
  </si>
  <si>
    <t>あなたがコントロールするサポートが破壊されたとき、対戦相手はこのクリーチャーのパワーに等しい点数のダメージを受ける。</t>
  </si>
  <si>
    <t>このクリーチャーが戦場に出たとき、製造3を行う。&amp;br;あなたがコントロールするサポートが破壊されたとき、対戦相手はこのクリーチャーのパワーに等しい点数のダメージを受ける。</t>
  </si>
  <si>
    <t>このクリーチャーが戦場に出たとき、クリーチャー1体を対象とし、それを破壊する。あなたは10点のライフを得る。</t>
  </si>
  <si>
    <t>ディフェンダー 威迫&amp;br;このクリーチャーが戦場に出たとき、クリーチャー1体を対象とし、それを破壊する。あなたは10点のライフを得る。</t>
  </si>
  <si>
    <t>あなたがコントロールするサポートがボードから破壊されたとき、このクリーチャーは+2/+2の修整を受ける。</t>
  </si>
  <si>
    <t>あなたがコントロールするサポートがボードに出たとき、対戦相手は1点のダメージを受ける。</t>
  </si>
  <si>
    <t>グレムリン</t>
  </si>
  <si>
    <t>このクリーチャーが死亡したとき、対戦相手がコントロールする最初のサポートを破壊する。</t>
  </si>
  <si>
    <t>あなたがコントロールするサポートがボードに出たとき、あなたのターン終了時まで、このクリーチャーは+2/0の修整を受けるとともにトランプルを得る。</t>
  </si>
  <si>
    <t>このクリーチャーが戦場に出たとき、エネルギー化1を行う。</t>
  </si>
  <si>
    <t>超過1：あなたのターン終了時まで、あなたの手札の各クリーチャーは速攻を得る。</t>
  </si>
  <si>
    <t>このクリーチャーが戦場に出たとき、エネルギー化1を行う。&amp;br;超過1：あなたのターン終了時まで、あなたの手札の各クリーチャーは速攻を得る。</t>
  </si>
  <si>
    <t>クリーチャー1体を対象とする。それは+3/+3の修整を受けるとともにトランプルを得る。</t>
  </si>
  <si>
    <t>あなたはカードを2枚捨てて3枚引く。</t>
  </si>
  <si>
    <t>クリーチャー1体を対象とする。それは+2/+1の修整を受けるとともにバーサーカーとトランプルを得る。</t>
  </si>
  <si>
    <t>クリーチャー1体を対象とする。あなたのターン終了時まで、それはブロックできない。あなたはカードを1枚引く。</t>
  </si>
  <si>
    <t>超過1：対戦相手は3点のダメージを受ける。</t>
  </si>
  <si>
    <t>このクリーチャーが戦場に出たとき、エネルギー化4を行う。&amp;br;超過1：対戦相手は3点のダメージを受ける。</t>
  </si>
  <si>
    <t>このクリーチャーが戦場に出ている間、あなたがサポートをコントロールしている場合、このクリーチャーは+1/+1の修整を受ける。</t>
  </si>
  <si>
    <t>あなたがサポートを唱えたとき、あなたはカードを無作為に1枚捨てて1枚引く。</t>
  </si>
  <si>
    <t>接死&amp;br;あなたがサポートを唱えたとき、あなたはカードを無作為に1枚捨てて1枚引く。</t>
  </si>
  <si>
    <t>このクリーチャーが戦場に出たとき、あなたの手札の各機体は速攻を得る。</t>
  </si>
  <si>
    <t>速攻&amp;br;このクリーチャーが戦場に出たとき、あなたの手札の各機体は速攻を得る。</t>
  </si>
  <si>
    <t>クリーチャー1体かプレインズウォーカー1体を対象とする。それは2点のダメージを受ける。これを2回行う。</t>
  </si>
  <si>
    <t>あなたがコントロールするサポートを1個破壊し、その後、戦場に出ている対戦相手がコントロールする各クリーチャーは4点のダメージを受ける。</t>
  </si>
  <si>
    <t>あなたはカードを無作為に1枚捨てる。クリーチャー1体を対象とする。それは6点のダメージを受ける。</t>
  </si>
  <si>
    <t>あなたのターン終了時まで、あなたがコントロールする各クリーチャーは+2/0の修整を受ける。あなたのターン終了時まで、あなたがコントロールする各機体は追加で+2/0の修整を受ける。</t>
  </si>
  <si>
    <t>あなたのターン終了時に、ボード上にエネルギー化ジェムがない場合、このクリーチャーを破壊する。そうでないなら、ボード上のジェム1個からエネルギーを取り除く。</t>
  </si>
  <si>
    <t>速攻&amp;br;このクリーチャーが戦場に出たとき、エネルギー化2を行う。&amp;br;あなたのターン終了時に、ボード上にエネルギー化ジェムがない場合、このクリーチャーを破壊する。そうでないなら、ボード上のジェム1個からエネルギーを取り除く。</t>
  </si>
  <si>
    <t>超過1：あなたのターン終了時まで、対戦相手がコントロールする無効化されていない最初のクリーチャーを無効化する。</t>
  </si>
  <si>
    <t>このクリーチャーが戦場に出たとき、エネルギー化2を行う。&amp;br;超過1：あなたのターン終了時まで、対戦相手がコントロールする無効化されていない最初のクリーチャーを無効化する。</t>
  </si>
  <si>
    <t>ジェム3個を起動する：あなたのターン終了時まで、このクリーチャーは+1/0の修整を受けるとともに先制攻撃を得る。</t>
  </si>
  <si>
    <t>飛行&amp;br;ジェム3個を起動する：あなたのターン終了時まで、このクリーチャーは+1/0の修整を受けるとともに先制攻撃を得る。</t>
  </si>
  <si>
    <t>クリーチャー1体を対象とする。それはあなたの手札のカードの枚数の2倍に等しい点数のダメージを受ける。</t>
  </si>
  <si>
    <t>エネルギー化3を行う。クリーチャー1体を対象とする。それはX点のダメージを受ける。Xはボード上のエネルギー化ジェムの総数に等しい。その後、ボードからすべてのエネルギーを取り除く。</t>
  </si>
  <si>
    <t>あなたのライブラリーの最初の無色の呪文かサポートかクリーチャーを取ってくる。あなたは5点のダメージを受ける。</t>
  </si>
  <si>
    <t>あなたがカードを引いたとき、対戦相手は5点のダメージを受ける。</t>
  </si>
  <si>
    <t>このクリーチャーが戦場に出たとき、あなたはカードを3枚引く。</t>
  </si>
  <si>
    <t>あなたがカードを引いたとき、対戦相手は5点のダメージを受ける。&amp;br;このクリーチャーが戦場に出たとき、あなたはカードを3枚引く。</t>
  </si>
  <si>
    <t>ジェム3個を起動する：あなたの次のターン開始時まで、あなたが紺とr-るする無色の各クリーチャーは+3/+3の修整を受ける。</t>
  </si>
  <si>
    <t>あなたのターン開始時に、製造1を行い、飛行を持つ1/1の飛行機械･トークンを1体召喚する。</t>
  </si>
  <si>
    <t>超過1：あなたのターン終了時まで、このクリーチャーは+X/+Xの修整を受ける。Xはボード上のエネルギー化ジェムの総数に等しい。</t>
  </si>
  <si>
    <t>トランプル&amp;br;超過1：あなたのターン終了時まで、このクリーチャーは+X/+Xの修整を受ける。Xはボード上のエネルギー化ジェムの総数に等しい。</t>
  </si>
  <si>
    <t>到達&amp;br;このクリーチャーが戦場に出たとき、製造1を行う。</t>
  </si>
  <si>
    <t>トランプル&amp;br;このクリーチャーが戦場に出たとき、製造1を行う。</t>
  </si>
  <si>
    <t>超過1：あなたのターン終了時まで、このクリーチャーは+2/+2の修整を受ける。</t>
  </si>
  <si>
    <t>トランプル&amp;br;このクリーチャーが戦場に出たとき、エネルギー化2を行う。&amp;br;超過1：あなたのターン終了時まで、このクリーチャーは+2/+2の修整を受ける。</t>
  </si>
  <si>
    <t>このクリーチャーが戦場に出たとき、ジェム3個を緑ジェムに変換する。</t>
  </si>
  <si>
    <t>対戦相手がコントロールするサポートを1個を破壊し、あなたは2点のライフを得る。</t>
  </si>
  <si>
    <t>ジェム3個を緑に変換し、エネルギー化2を行う。</t>
  </si>
  <si>
    <t>クリーチャー1体を対象とする。あなたのターン終了時まで、それは+4/+4の修整を受けるとともにトランプルを得る。</t>
  </si>
  <si>
    <t>クリーチャー1体を対象とする。あなたのターン終了時まで、それは+1/+3の修整を受ける。</t>
  </si>
  <si>
    <t>このクリーチャーが戦場に出たとき、あなたはカードをX枚引く。Xはあなたがコントロールするクリーチャーの総数に等しい。</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</si>
  <si>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</si>
  <si>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amp;br;このクリーチャーが戦場に出たとき、製造2を行う。</t>
  </si>
  <si>
    <t>象</t>
  </si>
  <si>
    <t>あなたのターン終了時に、このクリーチャーは+1/+1の修整を受ける。</t>
  </si>
  <si>
    <t>ジェム1個を起動する：あなたのターン終了時まで、あなたがコントロールする最初のクリーチャーは「ブロックされない」を得る。</t>
  </si>
  <si>
    <t>あなたがコントロールするクリーチャー1体を対象とする。あなたの次のターン開始時まで、それは+2/+2の修整を受けるとともに到達を得る。</t>
  </si>
  <si>
    <t>あなたがコントロールするクリーチャー1体を対象とする。あなたの次のターン開始時まで、それは警戒とトランプルを得る。</t>
  </si>
  <si>
    <t>あなたがコントロールするトークンでないクリーチャーが戦場に出たとき、そのクリーチャーは+1/+1の修整を受ける。</t>
  </si>
  <si>
    <t>このクリーチャーが戦場に出たとき、あなたは5点のライフを得る。</t>
  </si>
  <si>
    <t>超過1：あなたは5点のライフを得る。</t>
  </si>
  <si>
    <t>トランプル&amp;br;このクリーチャーが戦場に出たとき、あなたは5点のライフを得る。&amp;br;超過1：あなたは5点のライフを得る。</t>
  </si>
  <si>
    <t>あなたのターンの戦闘開始時に、あなたのターン終了時まで、あなたの他のクリーチャーは+X/+Xの修整を受ける。Xはこのクリーチャーのパワーに等しい。</t>
  </si>
  <si>
    <t>このクリーチャーが戦場に出たとき、製造2を行う。&amp;br;あなたのターンの戦闘開始時に、あなたのターン終了時まで、あなたの他のクリーチャーは+X/+Xの修整を受ける。Xはこのクリーチャーのパワーに等しい。</t>
  </si>
  <si>
    <t>このクリーチャーがプレインズウォーカーにダメージを与えたとき、エネルギー化1を行う。</t>
  </si>
  <si>
    <t>超過1：このクリーチャーは+1/+1の修整を受ける。</t>
  </si>
  <si>
    <t>このクリーチャーがプレインズウォーカーにダメージを与えたとき、エネルギー化1を行う。&amp;br;超過1：このクリーチャーは+1/+1の修整を受ける。</t>
  </si>
  <si>
    <t>超過1：あなたは3マナを得る。</t>
  </si>
  <si>
    <t>このクリーチャーが戦場に出たとき、エネルギー化2を行う。&amp;br;超過1：あなたは3マナを得る。</t>
  </si>
  <si>
    <t>あなたのライブラリーの最初のクリーチャーを取ってきて、それを戦場に出す。</t>
  </si>
  <si>
    <t>対戦相手のライブラリーの最初のクリーチャーを取ってきて、それを対戦相手のコントロール下で戦場に出す。</t>
  </si>
  <si>
    <t>あなたのライブラリーの最初のクリーチャーを取ってきて、それを戦場に出す。&amp;br;対戦相手のライブラリーの最初のクリーチャーを取ってきて、それを対戦相手のコントロール下で戦場に出す。</t>
  </si>
  <si>
    <t>あなたがコントロールしていて破壊された最後の呪文かサポートかクリーチャーを6つあなたの手札に戻す。</t>
  </si>
  <si>
    <t>あなたが3個以上のジェムをマッチさせたとき、エネルギー化1を行う。</t>
  </si>
  <si>
    <t>超過2：6/6の機械ビースト・トークンを1体召喚する。</t>
  </si>
  <si>
    <t>あなたが3個以上のジェムをマッチさせたとき、エネルギー化1を行う。&amp;br;超過2：6/6の機械ビースト・トークンを1体召喚する。</t>
  </si>
  <si>
    <t>超過1：このクリーチャーは+1/+1の修整を受ける。エネルギー化2を行う。</t>
  </si>
  <si>
    <t>このクリーチャーが戦場に出たとき、エネルギー化3を行う。&amp;br;超過1：このクリーチャーは+1/+1の修整を受ける。エネルギー化2を行う。</t>
  </si>
  <si>
    <t>ジェム4個を起動する：製造2を行い、飛行を持つ1/1の飛行機械・トークンを1体召喚する。</t>
  </si>
  <si>
    <t>トランプル ディフェンダー</t>
  </si>
  <si>
    <t>このクリーチャーが戦場に出たとき、あなたの他のクリーチャーは+4/+4の修整を受ける。</t>
  </si>
  <si>
    <t>トランプル ディフェンダー&amp;br;このクリーチャーが戦場に出たとき、あなたの他のクリーチャーは+4/+4の修整を受ける。</t>
  </si>
  <si>
    <t>このクリーチャーが戦場に出たとき、あなたは2点のライフを得て、カードを1枚引く。</t>
  </si>
  <si>
    <t>飛行&amp;br;このクリーチャーが戦場に出たとき、あなたは2点のライフを得て、カードを1枚引く。</t>
  </si>
  <si>
    <t>あなたが無色のサポートを唱えたとき、あなたはカードを1枚引く。</t>
  </si>
  <si>
    <t>絆魂&amp;br;あなたが無色のサポートを唱えたとき、あなたはカードを1枚引く。</t>
  </si>
  <si>
    <t>このクリーチャーがプレインズウォーカーにダメージを与えたとき、エネルギー化Xを行う。Xはこのクリーチャーのパワーに等しい。</t>
  </si>
  <si>
    <t>飛行 トランプル&amp;br;このクリーチャーがプレインズウォーカーにダメージを与えたとき、エネルギー化Xを行う。Xはこのクリーチャーのパワーに等しい。</t>
  </si>
  <si>
    <t>このクリーチャーが戦場に出たとき、あなたがコントロールしていて最後に破壊されたサポートをあなたの手札に戻す。</t>
  </si>
  <si>
    <t>このクリーチャーが戦場に出たとき、あなたはカードを1枚引き、あなたの手札の各機体は+1/+1の修整を受ける。</t>
  </si>
  <si>
    <t>超過1：あなたのターン終了時まで、このクリーチャーは+1/+1の修整を受けるとともにトランプルとバーサーカーを得る。</t>
  </si>
  <si>
    <t>このクリーチャーが戦場に出たとき、エネルギー化2を行う。&amp;br;超過1：あなたのターン終了時まで、このクリーチャーは+1/+1の修整を受けるとともにトランプルとバーサーカーを得る。</t>
  </si>
  <si>
    <t>超過2：飛行を持つ1/1の飛行機械・トークンを1体召喚する。</t>
  </si>
  <si>
    <t>このクリーチャーが戦場に出たとき、エネルギー化3を行う。&amp;br;超過2：飛行を持つ1/1の飛行機械・トークンを1体召喚する。</t>
  </si>
  <si>
    <t>あなたの次のターン開始時まで、戦場に出ている各クリーチャーは-2/-2の修整を受ける。</t>
  </si>
  <si>
    <t>クリーチャー1体を対象とし、それを破壊する。あなたがサポートをコントロールしている場合、対戦相手は3点のダメージを受ける。</t>
  </si>
  <si>
    <t>あなたがコントロールするドワーフか機体が戦場に出たとき、エネルギー化2を行う。</t>
  </si>
  <si>
    <t>超過1：あなたのライブラリーの次のドワーフか機体を取ってくる。</t>
  </si>
  <si>
    <t>このクリーチャーが戦場に出ている間、あなたがコントロールするドワーフや機体は+3/+3の修整を受ける。</t>
  </si>
  <si>
    <t>あなたがコントロールするドワーフか機体が戦場に出たとき、エネルギー化2を行う。&amp;br;超過1：あなたのライブラリーの次のドワーフか機体を取ってくる。&amp;br;このクリーチャーが戦場に出ている間、あなたがコントロールするドワーフや機体は+3/+3の修整を受ける。</t>
  </si>
  <si>
    <t>対戦相手が呪文かサポートを唱えたとき、対戦相手は5点のダメージを受け、あなたは5点のライフを得る。</t>
  </si>
  <si>
    <t>あなたが呪文かサポートかクリーチャーを唱えたとき、あなたのライブラリーの次のカードを取ってくる。</t>
  </si>
  <si>
    <t>機体</t>
  </si>
  <si>
    <t>搭乗1</t>
  </si>
  <si>
    <t>威迫&amp;br;搭乗1</t>
  </si>
  <si>
    <t>あなたが3個以上の白ジェムをマッチさせたとき、あなたの次のターン開始時まで、このクリーチャーは警戒を得る。</t>
  </si>
  <si>
    <t>あなたが3個以上の青ジェムをマッチさせたとき、あなたの次のターン開始時まで、このクリーチャーは飛行を得る。</t>
  </si>
  <si>
    <t>蛇</t>
  </si>
  <si>
    <t>あなたが3個以上の緑ジェムをマッチさせたとき、あなたの次のターン開始時まで、このクリーチャーは接死を得る。</t>
  </si>
  <si>
    <t>あなたが3個以上の黒ジェムをマッチさせたとき、あなたの次のターン開始時まで、このクリーチャーは絆魂を得る。</t>
  </si>
  <si>
    <t>このクリーチャーが攻撃したとき、あなたのターン終了時までこれは+1/+1の修整を受けるとともにトランプルを得る。</t>
  </si>
  <si>
    <t>このクリーチャーが攻撃したとき、あなたのターン終了時までこれは+1/+1の修整を受けるとともにトランプルを得る。&amp;br;搭乗1</t>
  </si>
  <si>
    <t>組立作業員</t>
  </si>
  <si>
    <t>あなたがこのクリーチャーをと穴得たとき、あなたのライブラリーから次のこれと同じカードを取ってくる。</t>
  </si>
  <si>
    <t>飛行&amp;br;搭乗1</t>
  </si>
  <si>
    <t>あなたが3個以上の赤ジェムをマッチさせたとき、あなたの次のターン開始時まで、このクリーチャーは「ブロックされない」を得る。</t>
  </si>
  <si>
    <t>カードを1枚引き、ジェム2個をあなたのプレインズウォーカーの色に変換する。</t>
  </si>
  <si>
    <t>このクリーチャーが攻撃したとき、対戦相手は1点のダメージを受ける。</t>
  </si>
  <si>
    <t>搭乗2</t>
  </si>
  <si>
    <t>このクリーチャーが攻撃したとき、対戦相手は1点のダメージを受ける。&amp;br;搭乗2</t>
  </si>
  <si>
    <t>このクリーチャーが戦場に出たとき、あなたはカードを1枚引く。&amp;br;搭乗2</t>
  </si>
  <si>
    <t>対戦相手がディフェンダーか到達を持つクリーチャーを3体以上コントロールしていないかぎり、このクリーチャーはブロックされない。</t>
  </si>
  <si>
    <t>対戦相手がディフェンダーか到達を持つクリーチャーを3体以上コントロールしていないかぎり、このクリーチャーはブロックされない。&amp;br;搭乗2</t>
  </si>
  <si>
    <t>狐</t>
  </si>
  <si>
    <t>このクリーチャーが死亡したとき、あなたはカードを1枚引く。</t>
  </si>
  <si>
    <t>ディフェンダー&amp;br;このクリーチャーが戦場に出たとき、あなたは2点のライフを得る。&amp;br;このクリーチャーが死亡したとき、あなたはカードを1枚引く。</t>
  </si>
  <si>
    <t>速攻&amp;br;このクリーチャーが戦場に出たとき、製造1を行う。</t>
  </si>
  <si>
    <t>速攻&amp;br;搭乗2</t>
  </si>
  <si>
    <t>このサポートがボードに出たとき、エネルギー化1を行う。</t>
  </si>
  <si>
    <t>ジェム1個を起動する：あなたは3マナを得る。</t>
  </si>
  <si>
    <t>このサポートがボードに出たとき、エネルギー化1を行う。&amp;br;ジェム1個を起動する：あなたは3マナを得る。&amp;br;超過1：あなたは3マナを得る。</t>
  </si>
  <si>
    <t>ジェム1個を起動する：エネルギー化1を行う。</t>
  </si>
  <si>
    <t>超過2：あなたがコントロールする最初のクリーチャーは+3/+3の修整を受ける。</t>
  </si>
  <si>
    <t>ジェム1個を起動する：エネルギー化1を行う。&amp;br;超過2：あなたがコントロールする最初のクリーチャーは+3/+3の修整を受ける。</t>
  </si>
  <si>
    <t>速攻 ディフェンダー</t>
  </si>
  <si>
    <t>このクリーチャーが死亡したとき、あなたはあなたの手札をすべて捨てて、その後カードを6枚引く。</t>
  </si>
  <si>
    <t>速攻 ディフェンダー&amp;br;このクリーチャーが死亡したとき、あなたはあなたの手札をすべて捨てて、その後カードを6枚引く。</t>
  </si>
  <si>
    <t>ジェム3個を起動する：あなたは3マナを得る。&amp;br;搭乗2</t>
  </si>
  <si>
    <t>超過1：あなたのターン終了時まで、このクリーチャーは+X/+0の修整を受ける。Xはボード上のエネルギー化ジェムの総数に等しい。その後、ボード上からエネルギーを5個取り除く。</t>
  </si>
  <si>
    <t>このクリーチャーが戦場に出たとき、エネルギー化3を行う。&amp;br;超過1：あなたのターン終了時まで、このクリーチャーは+X/+0の修整を受ける。Xはボード上のエネルギー化ジェムの総数に等しい。その後、ボード上からエネルギーを5個取り除く。</t>
  </si>
  <si>
    <t>超過1：あなたの次のターン開始時まで、このクリーチャーは飛行を得る。&amp;br;超過2：あなたの次のターン開始時まで、このクリーチャーは警戒を得る。</t>
  </si>
  <si>
    <t>超過3：あなたの次のターン開始時まで、このクリーチャーは+6/+6の修整を受ける。</t>
  </si>
  <si>
    <t>このクリーチャーが戦場に出たとき、エネルギー化3を行う。&amp;br;超過1：あなたの次のターン開始時まで、このクリーチャーは飛行を得る。&amp;br;超過2：あなたの次のターン開始時まで、このクリーチャーは警戒を得る。&amp;br;超過3：あなたの次のターン開始時まで、このクリーチャーは+6/+6の修整を受ける。</t>
  </si>
  <si>
    <t>あなたがコントロールするクリーチャーが死亡したとき、このゲームでこのクリーチャーが破壊されていた場合、このクリーチャーを戦場に戻す。</t>
  </si>
  <si>
    <t>バーサーカー&amp;br;あなたがコントロールするクリーチャーが死亡したとき、このゲームでこのクリーチャーが破壊されていた場合、このクリーチャーを戦場に戻す。</t>
  </si>
  <si>
    <t>このクリーチャーが攻撃したとき、あなたはカードを1枚捨てて、1枚引く。</t>
  </si>
  <si>
    <t>搭乗3</t>
  </si>
  <si>
    <t>飛行&amp;br;このクリーチャーが攻撃したとき、あなたはカードを1枚捨てて、1枚引く。&amp;br;搭乗3</t>
  </si>
  <si>
    <t>あなたが呪文を唱えたとき、あなたは2点のライフを得て、対戦相手は2点のダメージを受ける。</t>
  </si>
  <si>
    <t>このサポートがボードに出たとき、エネルギー化2を行う。</t>
  </si>
  <si>
    <t>超過1：あなたの次のターン開始時にまで、対戦相手がコントロールする最初のクリーチャーを無効化する。</t>
  </si>
  <si>
    <t>このサポートがボードに出たとき、エネルギー化2を行う。&amp;br;超過1：あなたの次のターン開始時にまで、対戦相手がコントロールする最初のクリーチャーを無効化する。</t>
  </si>
  <si>
    <t>あなたがカードを唱えたとき、あなたのライブラリーから同じタイプを持つ次のカードを取ってくる。このサポートは1シールドを失う。この効果で他のパンハモニコンを取ってくることはできない。</t>
  </si>
  <si>
    <t>あなたがコントロールするサポートがボードに出たとき、このクリーチャーは1マナを得る。</t>
  </si>
  <si>
    <t>このクリーチャーが死亡したとき、あなたがサポートを2個以上コントロールしている場合、あなたがコントロールするサポートを2個破壊し、このクリーチャーをあなたの手札に戻す。</t>
  </si>
  <si>
    <t>ディフェンダー&amp;br;あなたがコントロールするサポートがボードに出たとき、このクリーチャーは1マナを得る。&amp;br;このクリーチャーが死亡したとき、あなたがサポートを2個以上コントロールしている場合、あなたがコントロールするサポートを2個破壊し、このクリーチャーをあなたの手札に戻す。</t>
  </si>
  <si>
    <t>このクリーチャーが戦場に出たとき、対戦相手と、対戦相手がコントロールする各クリーチャーは5点のダメージを受ける。</t>
  </si>
  <si>
    <t>飛行&amp;br;このクリーチャーが戦場に出たとき、対戦相手と、対戦相手がコントロールする各クリーチャーは5点のダメージを受ける。&amp;br;搭乗3</t>
  </si>
  <si>
    <t>あなたがコントロールするクリーチャーが死亡するか、あなたがコントロールするサポートが破壊されるか、あなたが呪文を唱えたとき、エネルギー化1を行う。</t>
  </si>
  <si>
    <t>超過2：あなたのライブラリーの最初のカードを取ってくる。それはいっぱいのマナを得る。</t>
  </si>
  <si>
    <t>あなたがコントロールするクリーチャーが死亡するか、あなたがコントロールするサポートが破壊されるか、あなたが呪文を唱えたとき、エネルギー化1を行う。&amp;br;超過2：あなたのライブラリーの最初のカードを取ってくる。それはいっぱいのマナを得る。</t>
  </si>
  <si>
    <t>あなたが呪文かサポートかクリーチャーを唱えたとき、エネルギー化2を行う。</t>
  </si>
  <si>
    <t>超過1：対戦相手は5点のダメージを受ける。</t>
  </si>
  <si>
    <t>あなたが呪文かサポートかクリーチャーを唱えたとき、エネルギー化2を行う。&amp;br;超過1：対戦相手は5点のダメージを受ける。</t>
  </si>
  <si>
    <t>AER</t>
  </si>
  <si>
    <t>このクリーチャーが戦場に出たとき、あなたの手札の各機体は飛行を得る。</t>
  </si>
  <si>
    <t>飛行&amp;br;このクリーチャーが戦場に出たとき、あなたの手札の各機体は飛行を得る。</t>
  </si>
  <si>
    <t>飛行&amp;br;このクリーチャーが戦場に出たとき、あなたは5点のライフを得る。</t>
  </si>
  <si>
    <t>このクリーチャーが死亡したとき、あなたがコントロールしている破壊された最後の無色のクリーチャーとサポートをあなたの手札に戻す。</t>
  </si>
  <si>
    <t>クリーチャー1体を対象とする。それは+2/+2の修整を受けるとともに飛行を得る。</t>
  </si>
  <si>
    <t>二段攻撃</t>
  </si>
  <si>
    <t>対戦相手がコントロールする各サポートを破壊する。</t>
  </si>
  <si>
    <t>あなたは飛行を持つ1/1の飛行機械･トークンを6体召喚する。その後、あなたの手札のマナ･コストが6以下の最初のカードはいっぱいのマナを得る。</t>
  </si>
  <si>
    <t>このクリーチャーが戦闘ダメージを与えたとき、エネルギー化2を行う。</t>
  </si>
  <si>
    <t>超過1：エネルギー化2を行う。</t>
  </si>
  <si>
    <t>このクリーチャーが戦闘ダメージを与えたとき、エネルギー化2を行う。&amp;br;超過1：エネルギー化2を行う。</t>
  </si>
  <si>
    <t>このクリーチャーが死亡したとき、あなたは30点のライフを得る。</t>
  </si>
  <si>
    <t>飛行 警戒&amp;br;このクリーチャーが死亡したとき、あなたは30点のライフを得る。</t>
  </si>
  <si>
    <t>無色のクリーチャーか無色のサポートが戦場に出たとき、このクリーチャーは+1/+1の修整を受ける。</t>
  </si>
  <si>
    <t>このクリーチャーがブロックしたとき、エネルギー化1を行う。</t>
  </si>
  <si>
    <t>超過1：あなたはカードを1枚引く。</t>
  </si>
  <si>
    <t>ディフェンダー&amp;br;このクリーチャーがブロックしたとき、エネルギー化1を行う。&amp;br;超過1：あなたはカードを1枚引く。</t>
  </si>
  <si>
    <t>このクリーチャーが戦場に出たとき、あなたはカードをX枚引く。Xはあなたがコントロールするサポートの総数に等しい。</t>
  </si>
  <si>
    <t>対戦相手の手札のカードが5枚以下の場合、対戦相手がコントロールするクリーチャー1体を対象とし、それをオーナーの手札に戻す。あなたの手札のマナ･コストが8以下の最初のカードはいっぱいのマナを得る。</t>
  </si>
  <si>
    <t>あなたのライブラリーから最初のサポートを取ってきて、それを戦場に出す。</t>
  </si>
  <si>
    <t>このクリーチャーが戦場に出たとき、エネルギー化10を行う。</t>
  </si>
  <si>
    <t>飛行&amp;br;このクリーチャーが戦場に出たとき、エネルギー化10を行う。</t>
  </si>
  <si>
    <t>あなたのターン開始時に、あなたの手札の各呪文は4マナを得る。</t>
  </si>
  <si>
    <t>あなたが呪文を唱えたとき、あなたはカードを1枚引く。</t>
  </si>
  <si>
    <t>あなたのターン開始時に、あなたの手札の各呪文は4マナを得る。&amp;br;あなたが呪文を唱えたとき、あなたはカードを1枚引く。</t>
  </si>
  <si>
    <t>超過3：あなたがコントロールする各クリーチャーを強化する。</t>
  </si>
  <si>
    <t>接死 絆魂</t>
  </si>
  <si>
    <t>このクリーチャーが戦場に出たとき、あなたがサポートを1個以上コントロールしている場合、このクリーチャーは+2/+2の修整を受け、対戦相手は2点のダメージを受ける。あなたがコントロールするサポートを1個破壊する。</t>
  </si>
  <si>
    <t>あなたがコントロールするサポートが破壊されたとき、あなたは飛行を持つ1/1の飛行機械･トークンを1体召喚する。</t>
  </si>
  <si>
    <t>あなたがダメージを受けたとき、エネルギー1を行う。</t>
  </si>
  <si>
    <t>このサポートが破壊されたとき、ボード上にエネルギー化ジェムが2個以上ある場合、対戦相手は5点のダメージを受け、あなたは5点のライフを得て、ボード上からエネルギー化ジェムを2個取り除く。</t>
  </si>
  <si>
    <t>あなたがダメージを受けたとき、エネルギー1を行う。&amp;br;このサポートが破壊されたとき、ボード上にエネルギー化ジェムが2個以上ある場合、対戦相手は5点のダメージを受け、あなたは5点のライフを得て、ボード上からエネルギー化ジェムを2個取り除く。</t>
  </si>
  <si>
    <t>このクリーチャーが戦場に出たか戦闘ダメージを与えたとき、エネルギー化1を行う。</t>
  </si>
  <si>
    <t>あなたのターン開始時に、ボード上にエネルギー化ジェムが2個以上ある場合、ボード上からエネルギー化ジェムを2個取り除き、あなたはカードを1枚引く。</t>
  </si>
  <si>
    <t>威迫&amp;br;このクリーチャーが戦場に出たか戦闘ダメージを与えたとき、エネルギー化1を行う。&amp;br;あなたのターン開始時に、ボード上にエネルギー化ジェムが2個以上ある場合、ボード上からエネルギー化ジェムを2個取り除き、あなたはカードを1枚引く。</t>
  </si>
  <si>
    <t>クリーチャー1体を対象とする。-X/-Xの修整を受け、あなたはX点のライフを得る。Xはあなたがコントロールするサポートの総数に等しい。</t>
  </si>
  <si>
    <t>あなたの次のターン開始時まで、各クリーチャーは-5/-5の修整を受ける。その後、あなたの手札のマナ･コストが6以下の最初のクリーチャーはいっぱいのマナを得る。</t>
  </si>
  <si>
    <t>あなたのターン終了時に、対戦相手はカードを1枚捨てる。</t>
  </si>
  <si>
    <t>あなたがコントロールするサポートが破壊されたとき、対戦相手がコントロールする最初のクリーチャーは-2/-2の修整を受ける。</t>
  </si>
  <si>
    <t>飛行&amp;br;あなたのターン終了時に、対戦相手はカードを1枚捨てる。&amp;br;あなたがコントロールするサポートが破壊されたとき、対戦相手がコントロールする最初のクリーチャーは-2/-2の修整を受ける。</t>
  </si>
  <si>
    <t>対戦相手がコントロールするクリーチャーが死亡したとき、このクリーチャーは+1/+1の修整を受ける。</t>
  </si>
  <si>
    <t>あなたがコントロールするクリーチャーが死亡したとき、あなたのターン終了時まで、このクリーチャーはダメージ軽減とバーサーカーを得る。</t>
  </si>
  <si>
    <t>速攻&amp;br;対戦相手がコントロールするクリーチャーが死亡したとき、このクリーチャーは+1/+1の修整を受ける。&amp;br;あなたがコントロールするクリーチャーが死亡したとき、あなたのターン終了時まで、このクリーチャーはダメージ軽減とバーサーカーを得る。</t>
  </si>
  <si>
    <t>先制攻撃&amp;br;このクリーチャーが攻撃したとき、あなたはカードを1枚捨てて、1枚引く。</t>
  </si>
  <si>
    <t>対戦相手がコントロールするクリーチャー1体を対象とする。それは3点のダメージを受け、対戦相手は3点のダメージを受ける。</t>
  </si>
  <si>
    <t>あなたのターン終了時に、対戦相手が1個以上のサポートをコントロールしている場合、対戦相手は2点のダメージを受ける。</t>
  </si>
  <si>
    <t>対戦相手のコントロールするトークンでないサポートが破壊されたとき、2/2のグレムリン･トークンを2体召喚し、このサポートを破壊する。</t>
  </si>
  <si>
    <t>あなたのターン終了時に、対戦相手が1個以上のサポートをコントロールしている場合、対戦相手は2点のダメージを受ける。&amp;br;対戦相手のコントロールするトークンでないサポートが破壊されたとき、2/2のグレムリン･トークンを2体召喚し、このサポートを破壊する。</t>
  </si>
  <si>
    <t>超過1：あなたの次のターン開始時まで、このクリーチャーは+2/0の修整を受ける。</t>
  </si>
  <si>
    <t>飛行 ディフェンダー&amp;br;超過1：あなたの次のターン開始時まで、このクリーチャーは+2/0の修整を受ける。</t>
  </si>
  <si>
    <t>対戦相手がコントロールする機体1つを対象とする。ターン終了時まで、あなたはそれのコントロールを得る。それは速攻を得る。その後、あなたの手札のマナ･コストが4以下の最初のカードはいっぱいのマナを得る。</t>
  </si>
  <si>
    <t>対戦相手がコントロールするサポートを最大3個破壊し、その後、あなたは2/2のグレムリン･トークンを3体召喚する。</t>
  </si>
  <si>
    <t>海賊</t>
  </si>
  <si>
    <t>先制攻撃 威迫</t>
  </si>
  <si>
    <t>このクリーチャーが攻撃したとき、このクリーチャーは+2/+1の修整を受ける。</t>
  </si>
  <si>
    <t>先制攻撃 威迫&amp;br;このクリーチャーはブロックできない。&amp;br;このクリーチャーが攻撃したとき、このクリーチャーは+2/+1の修整を受ける。</t>
  </si>
  <si>
    <t>二段攻撃 速攻</t>
  </si>
  <si>
    <t>超過1：あなたのターン終了時まで、あなたがコントロールする各クリーチャーは+X/+Yの修整を受ける。Xはそのクリーチャーの基本のパワーに等しく、Yはそのクリーチャーの基本のタフネスに等しい。</t>
  </si>
  <si>
    <t>二段攻撃 速攻&amp;br;このクリーチャーが戦闘ダメージを与えたとき、エネルギー化2を行う。&amp;br;超過1：あなたのターン終了時まで、あなたがコントロールする各クリーチャーは+X/+Yの修整を受ける。Xはそのクリーチャーの基本のパワーに等しく、Yはそのクリーチャーの基本のタフネスに等しい。</t>
  </si>
  <si>
    <t>このクリーチャーが戦場に出たとき、エネルギー化Xを行う。Xはあなたの手札のカードの枚数に等しい。</t>
  </si>
  <si>
    <t>超過2：あなたのターン終了時まで、あなたがコントロールする最初のクリーチャーはバーサーカーを得る。</t>
  </si>
  <si>
    <t>このクリーチャーが戦場に出たとき、エネルギー化Xを行う。Xはあなたの手札のカードの枚数に等しい。&amp;br;超過2：あなたのターン終了時まで、あなたがコントロールする最初のクリーチャーはバーサーカーを得る。</t>
  </si>
  <si>
    <t>このクリーチャーが戦場に出たとき、ボード上にエネルギー化ジェムが2個以上ある場合、ボード上からエネルギー化ジェムを2個取り除く。</t>
  </si>
  <si>
    <t>このクリーチャーが戦場に出たとき、ボード上のエネルギー化ジェムが2個以下(2個未満)の場合、エネルギー化1を行い、このクリーチャーをあなたの手札に戻す。</t>
  </si>
  <si>
    <t>このクリーチャーが戦場に出たとき、ボード上にエネルギー化ジェムが2個以上ある場合、ボード上からエネルギー化ジェムを2個取り除く。&amp;br;このクリーチャーが戦場に出たとき、ボード上のエネルギー化ジェムが2個以下(2個未満)の場合、エネルギー化1を行い、このクリーチャーをあなたの手札に戻す。</t>
  </si>
  <si>
    <t>あなたの次のターン開始時まで、あなたがコントロールする各クリーチャーはダメージ軽減と呪禁を得る。</t>
  </si>
  <si>
    <t>このクリーチャーが戦場に出たかダメージを与えたとき、エネルギー化Xを行う。Xはあなたがコントロールするクリーチャーの総数に等しい。</t>
  </si>
  <si>
    <t>超過1：あなたのターン終了時まで、このクリーチャーは+3/+3の修整を受ける。</t>
  </si>
  <si>
    <t>トランプル&amp;br;このクリーチャーが戦場に出たかダメージを与えたとき、エネルギー化Xを行う。Xはあなたがコントロールするクリーチャーの総数に等しい。&amp;br;超過1：あなたのターン終了時まで、このクリーチャーは+3/+3の修整を受ける。</t>
  </si>
  <si>
    <t>このクリーチャーが戦場に出たとき、あなたがコントロールする各クリーチャーは+3/+3の修整を受ける。</t>
  </si>
  <si>
    <t>あなたのターン開始時に、ジェムX個を緑に変換する。Xはあなたがコントロールするクリーチャーの総数に等しい。</t>
  </si>
  <si>
    <t>このクリーチャーが戦場に出たとき、あなたがコントロールする各クリーチャーは+3/+3の修整を受ける。&amp;br;あなたのターン開始時に、ジェムX個を緑に変換する。Xはあなたがコントロールするクリーチャーの総数に等しい。</t>
  </si>
  <si>
    <t>ジェムX個を緑ジェムに変換する。Xはあなたの手札のカードの枚数の4倍に等しい。</t>
  </si>
  <si>
    <t>対戦相手がクリーチャーを3体以上コントロールしていないかぎり、このクリーチャーはブロックされない。</t>
  </si>
  <si>
    <t>このクリーチャーが戦場に出たとき、あなたはカードを1枚引き、エネルギー化2を行う。</t>
  </si>
  <si>
    <t>このサポートがボード上に出たとき、あなたがコントロールする各クリーチャーは+2/+2の修整を受ける。</t>
  </si>
  <si>
    <t>超過1：あなたのコントロールする各クリーチャーは+1/+1の修整を受ける。</t>
  </si>
  <si>
    <t>あなたがカードを唱えたとき、あなたのターン終了時まで、このクリーチャーは+1/+1の修整を受ける。</t>
  </si>
  <si>
    <t>このクリーチャーが死亡したとき、あなたのライブラリーからマナ･コストが5以下の最初のカードを取ってくる。</t>
  </si>
  <si>
    <t>このクリーチャーが攻撃したとき、このクリーチャーは+1/+1の修整を受ける。</t>
  </si>
  <si>
    <t>トランプル&amp;br;このクリーチャーが攻撃したとき、このクリーチャーは+1/+1の修整を受ける。&amp;br;搭乗2</t>
  </si>
  <si>
    <t>超過1：あなたのターン終了時まで、このクリーチャーは絆魂を得る。&amp;br;搭乗3</t>
  </si>
  <si>
    <t>飛行&amp;br;このクリーチャーが戦場に出たとき、エネルギー化2を行う。&amp;br;超過1：あなたのターン終了時まで、このクリーチャーは絆魂を得る。&amp;br;搭乗3</t>
  </si>
  <si>
    <t>超過2：あなたの手札の各機体は4マナを得る。</t>
  </si>
  <si>
    <t>到達&amp;br;超過2：あなたの手札の各機体は4マナを得る。&amp;br;搭乗3</t>
  </si>
  <si>
    <t>あなたのターン開始時に、対戦相手はX点のダメージを受け、このクリーチャーは-1/-1の修整を受ける。Xはこのクリーチャーのパワーに等しい。</t>
  </si>
  <si>
    <t>超過2：このクリーチャーは+1/+1の修整を受ける。&amp;br;あなたのターン開始時に、対戦相手はX点のダメージを受け、このクリーチャーは-1/-1の修整を受ける。Xはこのクリーチャーのパワーに等しい。</t>
  </si>
  <si>
    <t>このクリーチャーが戦場に出たとき、製造4を行う。</t>
  </si>
  <si>
    <t>搭乗4</t>
  </si>
  <si>
    <t>飛行 警戒&amp;br;このクリーチャーが戦場に出たとき、製造4を行う。&amp;br;搭乗4</t>
  </si>
  <si>
    <t>あなたがコントロールするトークンでないサポートがボードに出たとき、エネルギー化2を行う。</t>
  </si>
  <si>
    <t>超過3：あなたは1回の入れ替えを得る。このサポートは1シールドを失う。</t>
  </si>
  <si>
    <t>あなたがコントロールするトークンでないサポートがボードに出たとき、エネルギー化2を行う。&amp;br;超過3：あなたは1回の入れ替えを得る。このサポートは1シールドを失う。</t>
  </si>
  <si>
    <t>超過3：対戦相手のライブラリーから最初のクリーチャーを取ってきて、あなたのライブラリーの一番上に置く。その後、それをあなたのコントロール下で戦場に出す。</t>
  </si>
  <si>
    <t>KLDP</t>
  </si>
  <si>
    <t>飛行機械の配達網</t>
  </si>
  <si>
    <t>Thopter Pie Network</t>
  </si>
  <si>
    <t>あなたのターン開始時に、当社が誇る世界有数の飛行機械により、対戦相手がコントロールする各クリーチャーにパイを配達する。飛行機械の配達網の正確性は保障されない。パイのおいしさは保障されており、そうでないなら返金される。</t>
  </si>
  <si>
    <t>むら気な巨人</t>
  </si>
  <si>
    <t>Wayward Giant</t>
  </si>
  <si>
    <t>威迫 トランプル</t>
  </si>
  <si>
    <t>僧帽地帯をうろつくもの</t>
  </si>
  <si>
    <t>Cowl Prowler</t>
  </si>
  <si>
    <t>ギラプールの宇宙儀</t>
  </si>
  <si>
    <t>Ghirapur Orrery</t>
  </si>
  <si>
    <t>いずれかのプレイヤーが3個以上のジェムをマッチさせたとき、そのプレイヤーは1マナを得る。</t>
  </si>
  <si>
    <t>KLDM</t>
  </si>
  <si>
    <t>飛行 &amp;br;このクリーチャーが戦場に出ている間、あなたのプレインズウォーカーがダメージを受ける場合、代わりにこのクリーチャーは-1&amp;br;-1の修正を受ける。</t>
  </si>
  <si>
    <t>#ERROR!</t>
  </si>
  <si>
    <t>接死 絆魂 &amp;br;このクリーチャーが死亡したとき、あなたがコントロールする各クリーチャーは+4&amp;br;+4の修正を受けるとともに接死を得る。</t>
  </si>
  <si>
    <t>ヴィダルケンの枷</t>
  </si>
  <si>
    <t>Vedalken Shackles</t>
  </si>
  <si>
    <t>AKH</t>
  </si>
  <si>
    <t>あなたがコントロールするクリーチャー･トークンが戦場に出たとき、あなたは2点のライフを得る。</t>
  </si>
  <si>
    <t>不朽2</t>
  </si>
  <si>
    <t>あなたがコントロールするクリーチャー･トークンが戦場に出たとき、あなたは2点のライフを得る。&amp;br;不朽2</t>
  </si>
  <si>
    <t>他のゾンビが戦場に出たとき、あなたのターン終了時まで、対戦相手がコントロールする無効化されていない最初のクリーチャーを無効化する。</t>
  </si>
  <si>
    <t>督励2：あなたのターン終了時まで、このクリーチャーは+1/+1の修整を受けるとともに飛行を得る。</t>
  </si>
  <si>
    <t>督励3：あなたのターン終了時まで、このクリーチャーは+1/0の修整を受けるとともに先制攻撃とバーサーカーを得る。</t>
  </si>
  <si>
    <t>不朽4</t>
  </si>
  <si>
    <t>絆魂&amp;br;不朽4</t>
  </si>
  <si>
    <t>督励3：あなたのターン終了時まで、あなたがコントロールする各クリーチャーは+1/+1の修整を受ける。</t>
  </si>
  <si>
    <t>飛行&amp;br;督励3：あなたのターン終了時まで、あなたがコントロールする各クリーチャーは+1/+1の修整を受ける。</t>
  </si>
  <si>
    <t>不朽1</t>
  </si>
  <si>
    <t>警戒&amp;br;不朽1</t>
  </si>
  <si>
    <t>サイクリング1</t>
  </si>
  <si>
    <t>飛行 警戒&amp;br;サイクリング1</t>
  </si>
  <si>
    <t>クリーチャー1体を対象とする。あなたのターン終了時まで、それはダメージ軽減を得る。</t>
  </si>
  <si>
    <t>クリーチャー1体を対象とする。あなたのターン終了時まで、それはダメージ軽減を得る。&amp;br;サイクリング1</t>
  </si>
  <si>
    <t>対戦相手がボード上でコントロールするサポートを1個破壊する。</t>
  </si>
  <si>
    <t>対戦相手がボード上でコントロールするサポートを1個破壊する。&amp;br;サイクリング1</t>
  </si>
  <si>
    <t>あなたがコントロールする各クリーチャーは+1/+1の修整を受ける。あなたがコントロールする各ゾンビは追加で+1/0の修整を受ける。</t>
  </si>
  <si>
    <t>このサポートがボードに出たとき、あなたは警戒を持つ1/1の戦士･トークンを1体召喚する。</t>
  </si>
  <si>
    <t>このサポートがボード上にある間、あなたがコントロールする最初のクリーチャーは+2/+2の修整を受けるとともに先制攻撃を得る。</t>
  </si>
  <si>
    <t>このサポートがボードに出たとき、あなたは警戒を持つ1/1の戦士･トークンを1体召喚する。&amp;br;このサポートがボード上にある間、あなたがコントロールする最初のクリーチャーは+2/+2の修整を受けるとともに先制攻撃を得る。</t>
  </si>
  <si>
    <t>督励4：あなたがコントロールしていて破壊されたマナ･コストが6以下の最後のクリーチャーを戦場に戻す。</t>
  </si>
  <si>
    <t>あなたがこのカードをサイクリングしたとき、これは追放される代わりにあなたの墓地に置かれる。</t>
  </si>
  <si>
    <t>不朽1&amp;br;サイクリング2</t>
  </si>
  <si>
    <t>飛行&amp;br;あなたがこのカードをサイクリングしたとき、これは追放される代わりにあなたの墓地に置かれる。&amp;br;不朽1&amp;br;サイクリング2</t>
  </si>
  <si>
    <t>猶予の侍臣</t>
  </si>
  <si>
    <t>Vizier of Deferment</t>
  </si>
  <si>
    <t>このクリーチャーが戦場に出たとき、クリーチャー1体を対象とする。あなたの次のターン開始時までそれを無効化する。</t>
  </si>
  <si>
    <t>あなたは10点のライフを得る。</t>
  </si>
  <si>
    <t>あなたがこのカードをサイクリングしたとき、あなたは5点のライフを得る。</t>
  </si>
  <si>
    <t>あなたは10点のライフを得る。&amp;br;サイクリング1&amp;br;あなたがこのカードをサイクリングしたとき、あなたは5点のライフを得る。</t>
  </si>
  <si>
    <t>あなたがこのサポートを唱えたとき、クリーチャー1体を対象とする。このサポートが破壊されるまで、それを無効化する。</t>
  </si>
  <si>
    <t>サイクリング2</t>
  </si>
  <si>
    <t>あなたがこのサポートを唱えたとき、クリーチャー1体を対象とする。このサポートが破壊されるまで、それを無効化する。&amp;br;サイクリング2</t>
  </si>
  <si>
    <t>対戦相手がカードを引いたとき、そのプレイーやーのライブラリーの次のカードを追放する。</t>
  </si>
  <si>
    <t>飛行&amp;br;対戦相手がカードを引いたとき、そのプレイーやーのライブラリーの次のカードを追放する。</t>
  </si>
  <si>
    <t>あなたがコントロールする各猫･クリーチャーは+3/+3の修整を受けるとともに絆魂を得る。</t>
  </si>
  <si>
    <t>このクリーチャーが戦場に出たとき、絆魂を持つ1/1の猫・トークンを1体召喚する。</t>
  </si>
  <si>
    <t>あなたがコントロールする各猫･クリーチャーは+3/+3の修整を受けるとともに絆魂を得る。&amp;br;このクリーチャーが戦場に出たとき、絆魂を持つ1/1の猫・トークンを1体召喚する。</t>
  </si>
  <si>
    <t>あなたは7点のライフを得て、対戦相手は7点のダメージを受ける。その後、あなたはX店のライフを得て、対戦相手はXX点のダメージを受ける。Xはあなたの墓地にあるこれと同じカードの枚数を7倍した数に等しい。</t>
  </si>
  <si>
    <t>このサポートがボード上にある間、あなたのプレインズウォーカーかあなたのクリーチャーがダメージを受ける場合、代わりに、このサポートは1シールド失う。</t>
  </si>
  <si>
    <t>このサポートがボードに出たとき、あなたがコントロールする各クリーチャーは+3/+2の修整を受ける。</t>
  </si>
  <si>
    <t>あなたがコントロールするカルトーシュ・サポートがボードに出たとき、このサポートをあなたの手札に戻す。</t>
  </si>
  <si>
    <t>このサポートは強化されない。</t>
  </si>
  <si>
    <t>このサポートがボードに出たとき、あなたがコントロールする各クリーチャーは+3/+2の修整を受ける。&amp;br;あなたがコントロールするカルトーシュ・サポートがボードに出たとき、このサポートをあなたの手札に戻す。&amp;br;このサポートは強化されない。</t>
  </si>
  <si>
    <t>このクリーチャーが戦場に出たとき、クリーチャー1体を対象とし、それを破壊する。</t>
  </si>
  <si>
    <t>飛行&amp;br;このクリーチャーが戦場に出たとき、クリーチャー1体を対象とし、それを破壊する。</t>
  </si>
  <si>
    <t>神</t>
  </si>
  <si>
    <t>二段攻撃 ダメージ軽減</t>
  </si>
  <si>
    <t>ジェム2個を起動する：あなたは警戒を持つ1/1の戦士･トークンを1体召喚する。</t>
  </si>
  <si>
    <t>あなたがクリーチャーを3体コントロールしていないかぎり、このクリーチャーは攻撃できずブロックできない。</t>
  </si>
  <si>
    <t>二段攻撃 ダメージ軽減&amp;br;ジェム2個を起動する：あなたは警戒を持つ1/1の戦士･トークンを1体召喚する。&amp;br;あなたがクリーチャーを3体コントロールしていないかぎり、このクリーチャーは攻撃できずブロックできない。</t>
  </si>
  <si>
    <t>あなたがコントロールするクリーチャー･トークンが戦場に出たとき、それを強化する。</t>
  </si>
  <si>
    <t>不朽3</t>
  </si>
  <si>
    <t>飛行&amp;br;不朽3</t>
  </si>
  <si>
    <t>あなたがカードをサイクリングしたとき、あなたのターン終了時まで、このクリーチャーは+1/+1の修整を受ける。</t>
  </si>
  <si>
    <t>このクリーチャーが死亡したとき、あなたが唱えたかあなたがコントロールしていて破壊された最後の呪文をあなたの手札に戻す。</t>
  </si>
  <si>
    <t>ディフェンダー&amp;br;このクリーチャーが死亡したとき、あなたが唱えたかあなたがコントロールしていて破壊された最後の呪文をあなたの手札に戻す。</t>
  </si>
  <si>
    <t>飛行&amp;br;サイクリング2</t>
  </si>
  <si>
    <t>ナーガ</t>
  </si>
  <si>
    <t>対戦相手の手札の最初の呪文からすべてのマナを吸収する。</t>
  </si>
  <si>
    <t>対戦相手のライブラリーの最初のカード2枚を追放する。</t>
  </si>
  <si>
    <t>対戦相手のライブラリーの最初のカード2枚を追放する。&amp;br;サイクリング1</t>
  </si>
  <si>
    <t>対戦相手の手札の最初のクリーチャーからすべてのマナを吸収する。</t>
  </si>
  <si>
    <t>あなたの次のターン開始時まで、戦場に出ている各クリーチャーのパワーは0になる。</t>
  </si>
  <si>
    <t>あなたの次のターン開始時まで、戦場に出ている各クリーチャーのパワーは0になる。&amp;br;サイクリング1</t>
  </si>
  <si>
    <t>あなたはカードを2枚引く。</t>
  </si>
  <si>
    <t>あなたはカードを2枚引く。&amp;br;サイクリング1</t>
  </si>
  <si>
    <t>対戦相手の手札が5枚以下の場合、対戦相手のコントロールするクリーチャー2対を対象とし、それをプレイヤーの手札に戻し、その後、各プレイヤーのライブラリーの一番上から2枚のカードを破壊する。</t>
  </si>
  <si>
    <t>このサポートがボードに出たとき、あなたはカードを1枚引く。</t>
  </si>
  <si>
    <t>このサポートがボード上にある間、あなたがコントロールする最初のクリーチャーは+2/+2の修整を受けるとともに飛行を得る。</t>
  </si>
  <si>
    <t>このサポートがボードに出たとき、あなたはカードを1枚引く。&amp;br;このサポートがボード上にある間、あなたがコントロールする最初のクリーチャーは+2/+2の修整を受けるとともに飛行を得る。</t>
  </si>
  <si>
    <t>このクリーチャーが呪文の対象になったとき、このクリーチャーを破壊する。</t>
  </si>
  <si>
    <t>このクリーチャーが呪文の対象になったとき、このクリーチャーを破壊する。&amp;br;不朽2</t>
  </si>
  <si>
    <t>このクリーチャーが戦場に出たとき、あなたがコントロールする各クリーチャーは無効化を失う。</t>
  </si>
  <si>
    <t>サイクリング3</t>
  </si>
  <si>
    <t>あなたがこのカードをサイクリングしたとき、あなたがコントロールする各クリーチャーは無効化を失う。</t>
  </si>
  <si>
    <t>このクリーチャーが戦場に出たとき、あなたがコントロールする各クリーチャーは無効化を失う。&amp;br;サイクリング3&amp;br;あなたがこのカードをサイクリングしたとき、あなたがコントロールする各クリーチャーは無効化を失う。</t>
  </si>
  <si>
    <t>あなたがカードをサイクリングしたとき、あなたのターン終了時まで、あなたがコントロールする各クリーチャーは飛行を得る。</t>
  </si>
  <si>
    <t>飛行&amp;br;あなたがカードをサイクリングしたとき、あなたのターン終了時まで、あなたがコントロールする各クリーチャーは飛行を得る。</t>
  </si>
  <si>
    <t>対戦相手の手札の最初のカードからすべてのマナを吸収する。&amp;br;サイクリング1</t>
  </si>
  <si>
    <t>対戦相手がこのクリーチャーに呪文を唱えたとき、代わりにその呪文を破壊し、それの効果は誘発せず、その後、あなたの次のターン終了時まで、このクリーチャーを無効化する。</t>
  </si>
  <si>
    <t>飛行&amp;br;対戦相手がこのクリーチャーに呪文を唱えたとき、代わりにその呪文を破壊し、それの効果は誘発せず、その後、あなたの次のターン終了時まで、このクリーチャーを無効化する。&amp;br;不朽1</t>
  </si>
  <si>
    <t>あなたがカードをサイクリングしたとき、飛行を持つ2/2のドレイク･トークンを2体召喚する。</t>
  </si>
  <si>
    <t>このサポートがボード上にある間、あなたがサイクリングを持つカードを引いたとき、それは3マナを得る。</t>
  </si>
  <si>
    <t>このサポートがボードに出たとき、あなたの手札のサイクリングを持つ各カードは3マナを得て、その後あなたはカードを3枚引く。</t>
  </si>
  <si>
    <t>このサポートがボード上にある間、あなたがサイクリングを持つカードを引いたとき、それは3マナを得る。&amp;br;このサポートがボードに出たとき、あなたの手札のサイクリングを持つ各カードは3マナを得て、その後あなたはカードを3枚引く。</t>
  </si>
  <si>
    <t>このサポートがボードに出たとき、あなたはカードを3枚引く。</t>
  </si>
  <si>
    <t>このサポートがボードに出たとき、あなたはカードを3枚引く。&amp;br;あなたがコントロールするカルトーシュ・サポートがボードに出たとき、このサポートをあなたの手札に戻す。&amp;br;このサポートは強化されない。</t>
  </si>
  <si>
    <t>あなたが他のカードをサイクリングしたとき、あなたはカードを1枚引く。</t>
  </si>
  <si>
    <t>飛行&amp;br;あなたが他のカードをサイクリングしたとき、あなたはカードを1枚引く。&amp;br;サイクリング2</t>
  </si>
  <si>
    <t>飛行 ダメージ軽減</t>
  </si>
  <si>
    <t>ジェム2個を起動する：あなたはカードを2枚引く。</t>
  </si>
  <si>
    <t>あなたの手札のカードが少なくとも5枚でないかぎり、このクリーチャーは攻撃できずブロックできない。</t>
  </si>
  <si>
    <t>飛行 ダメージ軽減&amp;br;ジェム2個を起動する：あなたはカードを2枚引く。&amp;br;あなたの手札のカードが少なくとも5枚でないかぎり、このクリーチャーは攻撃できずブロックできない。</t>
  </si>
  <si>
    <t>多相の戦士</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</si>
  <si>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</si>
  <si>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amp;br;不朽1</t>
  </si>
  <si>
    <t>このクリーチャーが死亡したとき、あなたは2/2のゾンビ･トークンを1体召喚する。</t>
  </si>
  <si>
    <t>到達&amp;br;このクリーチャーが死亡したとき、あなたは2/2のゾンビ･トークンを1体召喚する。</t>
  </si>
  <si>
    <t>このクリーチャーが死亡したとき、対戦相手がコントロールする最初のクリーチャーは-1/-1の修整を受ける。</t>
  </si>
  <si>
    <t>あなたがカードをサイクリングしたとき、あなたのターン終了時まで、このクリーチャーは+2/+1の修整を受ける。</t>
  </si>
  <si>
    <t>あなたがカードをサイクリングしたとき、あなたのターン終了時まで、このクリーチャーは+2/+1の修整を受ける。&amp;br;サイクリング1</t>
  </si>
  <si>
    <t>ジャッカル</t>
  </si>
  <si>
    <t>このクリーチャーが戦場に出たとき、各プレイヤーはカードを1枚捨てる。</t>
  </si>
  <si>
    <t>ミノタウルス</t>
  </si>
  <si>
    <t>あなたがカードをサイクリングしたとき、あなたのターン終了時まで、このクリーチャーはダメージ軽減とバーサーカーを得る。</t>
  </si>
  <si>
    <t>蠍</t>
  </si>
  <si>
    <t>このクリーチャーが戦場に出たとき、あなたがコントロールする他の各クリーチャーは-3/-3の修整を受ける。</t>
  </si>
  <si>
    <t>プレイヤー1人を対象とする。そのプレイヤーはカードを2枚引き、4点のダメージを受ける。</t>
  </si>
  <si>
    <t>クリーチャー1体を対象とする。あなたのターン終了時まで、それは+2/0の修整を受けるとともに「このクリーチャーが死亡したとき、これを戦場に戻す。｣を得る。</t>
  </si>
  <si>
    <t>プレイヤー1人を対象とする。そのプレイヤーはカードを2枚捨てる。</t>
  </si>
  <si>
    <t>プレイヤー1人を対象とする。そのプレイヤーはカードを2枚捨てる。&amp;br;サイクリング2</t>
  </si>
  <si>
    <t>あなたがコントロールしていて破壊されたクリーチャー2体をあなたの手札に戻す。</t>
  </si>
  <si>
    <t>あなたがコントロールしていて破壊されたクリーチャー2体をあなたの手札に戻す。&amp;br;サイクリング2</t>
  </si>
  <si>
    <t>このサポートがボードに出たとき、クリーチャー1体を対象とする。それは-1/-1の修整を受ける。</t>
  </si>
  <si>
    <t>このサポートがボード上にある間、あなたがコントロールする最初のクリーチャーは+2/+2の修整を受けるとともに絆魂を得る。</t>
  </si>
  <si>
    <t>このサポートがボードに出たとき、クリーチャー1体を対象とする。それは-1/-1の修整を受ける。&amp;br;このサポートがボード上にある間、あなたがコントロールする最初のクリーチャーは+2/+2の修整を受けるとともに絆魂を得る。</t>
  </si>
  <si>
    <t>あなたがコントロールするクリーチャーが死亡したとき、このクリーチャーは3マナを得る。</t>
  </si>
  <si>
    <t>接死 飛行&amp;br;あなたがコントロールするクリーチャーが死亡したとき、このクリーチャーは3マナを得る。</t>
  </si>
  <si>
    <t>このクリーチャーが戦場に出たとき、あなたがコントロールしていて破壊された最後のクリーチャーをあなたの手札に戻す。</t>
  </si>
  <si>
    <t>ジェム2個を起動する：あなたのターン終了時まで、あなたがコントロールする各ゾンビは威迫を得る。</t>
  </si>
  <si>
    <t>このクリーチャーが戦場に出ている間、あなたがコントロールする各ゾンビは+1/+1の修整を受ける。</t>
  </si>
  <si>
    <t>ジェム2個を起動する：あなたのターン終了時まで、あなたがコントロールする各ゾンビは威迫を得る。&amp;br;このクリーチャーが戦場に出ている間、あなたがコントロールする各ゾンビは+1/+1の修整を受ける。</t>
  </si>
  <si>
    <t>あなたがカードをサイクリングしたとき、対戦相手がコントロールする最初のクリーチャーは-1/-1の修整を受ける。</t>
  </si>
  <si>
    <t>あなたは2/2のゾンビ・トークンを3体召喚する。</t>
  </si>
  <si>
    <t>あなたがこのカードをサイクリングしたとき、あなたは2/2のゾンビ・トークンを1体召喚する。</t>
  </si>
  <si>
    <t>あなたは2/2のゾンビ・トークンを3体召喚する。&amp;br;サイクリング2&amp;br;あなたがこのカードをサイクリングしたとき、あなたは2/2のゾンビ・トークンを1体召喚する。</t>
  </si>
  <si>
    <t>あなたがカードをサイクリングしたとき、対戦相手は5点のダメージを受け、あなたは5点のライフを得る。</t>
  </si>
  <si>
    <t>このサポートがボードに出たとき、対戦相手がコントロールするクリーチャー1体を対象とし、それを破壊する。</t>
  </si>
  <si>
    <t>このサポートがボードに出たとき、対戦相手がコントロールするクリーチャー1体を対象とし、それを破壊する。&amp;br;あなたがコントロールするカルトーシュ・サポートがボードに出たとき、このサポートをあなたの手札に戻す。&amp;br;このサポートは強化されない。</t>
  </si>
  <si>
    <t>あなたが他のカードをサイクリングしたとき、対戦相手がコントロールする最初のクリーチャーは-2/-2の修整を受ける。</t>
  </si>
  <si>
    <t>サイクリング4</t>
  </si>
  <si>
    <t>飛行&amp;br;あなたが他のカードをサイクリングしたとき、対戦相手がコントロールする最初のクリーチャーは-2/-2の修整を受ける。&amp;br;サイクリング4</t>
  </si>
  <si>
    <t>ジェム2個を起動する：このクリーチャーを戦場に戻す。この能力はこのクリーチャーが破壊された後にのみ発動する。</t>
  </si>
  <si>
    <t>このクリーチャーが戦場に出たとき、あなたの次のターン開始時までこれを無効化する。</t>
  </si>
  <si>
    <t>ディフェンダー&amp;br;ジェム2個を起動する：このクリーチャーを戦場に戻す。この能力はこのクリーチャーが破壊された後にのみ発動する。&amp;br;このクリーチャーが戦場に出たとき、あなたの次のターン開始時までこれを無効化する。</t>
  </si>
  <si>
    <t>このクリーチャーが戦場に出たとき、あなたがコントロールする他の各クリーチャーは-1/-1の修整を受ける。</t>
  </si>
  <si>
    <t>あなたがコントロールするゾンビが死亡したとき、対戦相手は3点のダメージを受ける。</t>
  </si>
  <si>
    <t>威迫&amp;br;このクリーチャーが戦場に出たとき、あなたがコントロールする他の各クリーチャーは-1/-1の修整を受ける。&amp;br;あなたがコントロールするゾンビが死亡したとき、対戦相手は3点のダメージを受ける。</t>
  </si>
  <si>
    <t>あなたがコントロールしていて追放された各カードをあなたの手札に戻す。</t>
  </si>
  <si>
    <t>威迫 ダメージ軽減</t>
  </si>
  <si>
    <t>ジェム3個を起動する：あなたがコントロールする他の最初のクリーチャーを破壊する。その後、あなたはカードを1枚引き、対戦相手は5点のダメージを受け、あなたは5点のライフを得る。</t>
  </si>
  <si>
    <t>あなたがコントロールするクリーチャーが死亡したとき、あなたの次のターン開始時まで、このクリーチャーは「攻撃できない」と「ブロックできない」を失う。</t>
  </si>
  <si>
    <t>威迫 ダメージ軽減&amp;br;ジェム3個を起動する：あなたがコントロールする他の最初のクリーチャーを破壊する。その後、あなたはカードを1枚引き、対戦相手は5点のダメージを受け、あなたは5点のライフを得る。&amp;br;あなたがコントロールするクリーチャーが死亡したとき、あなたの次のターン開始時まで、このクリーチャーは「攻撃できない」と「ブロックできない」を失う。</t>
  </si>
  <si>
    <t>残酷な真実</t>
  </si>
  <si>
    <t>Cruel Reality</t>
  </si>
  <si>
    <t>対戦相手のターン開始時に、対戦相手がコントロールする最初のクリーチャーは-3/-3の修整を受ける。対戦相手がクリーチャーをコントロールしていない場合、代わりに、対戦相手は5点のダメージを受ける。</t>
  </si>
  <si>
    <t>督励2：あなたのターン終了時まで、このクリーチャーは+1/+1の修整を受けるとともに威迫を得る。</t>
  </si>
  <si>
    <t>マンティコア</t>
  </si>
  <si>
    <t>このクリーチャーが戦場に出たとき、あなたがコントロールする他の最初のクリーチャーは-1/-1の修整を受け、対戦相手は3点のダメージを受ける。</t>
  </si>
  <si>
    <t>ジェム1個を起動する：あなたの次のターン開始時まで、このクリーチャーは+1/0の修整を受ける。</t>
  </si>
  <si>
    <t>到達&amp;br;ジェム1個を起動する：あなたの次のターン開始時まで、このクリーチャーは+1/0の修整を受ける。</t>
  </si>
  <si>
    <t>督励2：あなたのターン終了時まで、このクリーチャーは+1/+2の修整を受ける。</t>
  </si>
  <si>
    <t>トランプル&amp;br;督励2：あなたのターン終了時まで、このクリーチャーは+1/+2の修整を受ける。</t>
  </si>
  <si>
    <t>あなたが呪文を唱えたとき、あなたのターン終了時までこのクリーチャーは+1/+1の修整を受ける。</t>
  </si>
  <si>
    <t>あなたの手札が1枚以下の間、このクリーチャーは+1/+2の修整を受ける。</t>
  </si>
  <si>
    <t>クリーチャー1体を対象とする。それは+3/+1の修整を受けるとともにトランプルを得る。</t>
  </si>
  <si>
    <t>クリーチャー1体を対象とする。それは4点のダメージを受ける。</t>
  </si>
  <si>
    <t>あなたのターン終了時まで、あなたがこんとろーるする各クリーチャーは+2/0の修整を受ける。</t>
  </si>
  <si>
    <t>対戦相手がコントロールするサポートを1個破壊する。</t>
  </si>
  <si>
    <t>対戦相手がコントロールするサポートを1個破壊する。&amp;br;サイクリング2</t>
  </si>
  <si>
    <t>このサポートがボードに出たとき、クリーチャー1体を対象とする。あなたのターン終了時まで、それではブロックできない。</t>
  </si>
  <si>
    <t>このサポートがボード上にある間、あなたがコントロールする最初のクリーチャーは+2/+2の修整を受けるとともに速攻を得る。</t>
  </si>
  <si>
    <t>このサポートがボードに出たとき、クリーチャー1体を対象とする。あなたのターン終了時まで、それではブロックできない。&amp;br;このサポートがボード上にある間、あなたがコントロールする最初のクリーチャーは+2/+2の修整を受けるとともに速攻を得る。</t>
  </si>
  <si>
    <t>督励2：あなたのターン終了時まで、対戦相手がコントロールする、ディフェンダーか到達か警戒を持つ最初のクリーチャーではブロックできない。</t>
  </si>
  <si>
    <t>速攻&amp;br;督励2：あなたのターン終了時まで、対戦相手がコントロールする、ディフェンダーか到達か警戒を持つ最初のクリーチャーではブロックできない。</t>
  </si>
  <si>
    <t>督励2：あなたはカードを1枚捨てて1枚引く。</t>
  </si>
  <si>
    <t>あなたがカードをサイクリングしたとき、このクリーチャーは+1/0の修整を受ける。</t>
  </si>
  <si>
    <t>威迫&amp;br;あなたがカードをサイクリングしたとき、このクリーチャーは+1/0の修整を受ける。</t>
  </si>
  <si>
    <t>クリーチャー1体を対象とする。それは+5/+5の修整を受けるとともに「あなたのターン開始時に、このクリーチャーは-1/-1の修整を受ける。」を得る。</t>
  </si>
  <si>
    <t>対戦相手がコントロールするクリーチャー1体を対象とする。あなたのターン終了時まで、あなたはそれをコントロールし、それは速攻を得る。</t>
  </si>
  <si>
    <t>対戦相手がコントロールするクリーチャー1体を対象とする。あなたのターン終了時まで、あなたはそれをコントロールし、それは速攻を得る。&amp;br;サイクリング3</t>
  </si>
  <si>
    <t>このクリーチャーが戦場に出たとき、対戦相手はX点のダメージを受ける。Xはあなたがコントロールする他の最初のクリーチャーのパワーの2倍に等しい。その後、そのクリーチャーを破壊する。</t>
  </si>
  <si>
    <t>このクリーチャーが戦場に出たとき、対戦相手はX点のダメージを受ける。Xはあなたがコントロールする他の最初のクリーチャーのパワーの2倍に等しい。その後、そのクリーチャーを破壊する。&amp;br;不朽1</t>
  </si>
  <si>
    <t>クリーチャー1体を対象とする。それは12点のダメージを受ける。</t>
  </si>
  <si>
    <t>あなたがこのカードをサイクリングしたとき、クリーチャー1体を対象とする。それは3点のダメージを受ける。</t>
  </si>
  <si>
    <t>クリーチャー1体を対象とする。それは12点のダメージを受ける。&amp;br;サイクリング4&amp;br;あなたがこのカードをサイクリングしたとき、クリーチャー1体を対象とする。それは3点のダメージを受ける。</t>
  </si>
  <si>
    <t>各クリーチャーは6点のダメージを受ける。</t>
  </si>
  <si>
    <t>各クリーチャーは6点のダメージを受ける。&amp;br;サイクリング3</t>
  </si>
  <si>
    <t>あなたがコントロールするトークンでないクリーチャーが戦場に出たとき、そのクリーチャーは+2//0の修整を受けるとともに速攻を得る。</t>
  </si>
  <si>
    <t>このサポートがボードに出たとき、クリーチャー1体かプレインズウォーカー1体を対象とする。それは8点のダメージを受ける。</t>
  </si>
  <si>
    <t>このサポートがボードに出たとき、クリーチャー1体かプレインズウォーカー1体を対象とする。それは8点のダメージを受ける。&amp;br;あなたがコントロールするカルトーシュ・サポートがボードに出たとき、このサポートをあなたの手札に戻す。&amp;br;このサポートは強化されない。</t>
  </si>
  <si>
    <t>督励3：あなたのターン終了時まで、あなたがコントロールする各クリーチャーは無効化を失い、二段攻撃を得る。</t>
  </si>
  <si>
    <t>督励2：対戦相手がコントロールするドラゴンでない最初のクリーチャーは8点のダメージを受ける。</t>
  </si>
  <si>
    <t>飛行 速攻&amp;br;督励2：対戦相手がコントロールするドラゴンでない最初のクリーチャーは8点のダメージを受ける。</t>
  </si>
  <si>
    <t>速攻 ダメージ軽減</t>
  </si>
  <si>
    <t>ジェム2個を起動する：あなたはカードを1枚捨てる。その後対戦相手は6点のダメージを受ける。</t>
  </si>
  <si>
    <t>あなたの手札のカードが1枚以下でないかぎり、このクリーチャーは攻撃できずブロックできない。</t>
  </si>
  <si>
    <t>速攻 ダメージ軽減&amp;br;ジェム2個を起動する：あなたはカードを1枚捨てる。その後対戦相手は6点のダメージを受ける。&amp;br;あなたの手札のカードが1枚以下でないかぎり、このクリーチャーは攻撃できずブロックできない。</t>
  </si>
  <si>
    <t>あなたがコントロールする各クリーチャーはトランプルとバーサーカーと先制攻撃とダメージ軽減を得るとともに強化される。あなたのターン終了時に、あなたがコントロールする各クリーチャーを破壊する。</t>
  </si>
  <si>
    <t>督励2：あなたのターン終了時まで、このクリーチャーは+1/0の修整を受けるとともに接死を得る。</t>
  </si>
  <si>
    <t>督励3：あなたのターン終了時まで、このクリーチャーは+2/+2の修整を受ける。</t>
  </si>
  <si>
    <t>あなたのターン開始時に、ジェム1個をあなたのプレインズウォーカーの色に変換する。</t>
  </si>
  <si>
    <t>対戦相手がコントロールするサポートを1個破壊する。&amp;br;サイクリング1</t>
  </si>
  <si>
    <t>あなたの次のターン開始時まで、各クリーチャーと各プレインズウォーカーはダメージ軽減を得る。</t>
  </si>
  <si>
    <t>あなたの次のターン開始時まで、各クリーチャーと各プレインズウォーカーはダメージ軽減を得る。&amp;br;サイクリング3</t>
  </si>
  <si>
    <t>クリーチャー1体を対象とする。あなたのターン終了時まで、それは+2/+2の修整を受ける。</t>
  </si>
  <si>
    <t>クリーチャー1体を対象とする。あなたの次のターン開始時まで、それは+3/+3の修整を受けるとともに到達を得る。</t>
  </si>
  <si>
    <t>飛行を持つクリーチャー1体を対象とする。それは-3/-3の修整を受ける。</t>
  </si>
  <si>
    <t>飛行を持つクリーチャー1体を対象とする。それは-3/-3の修整を受ける。&amp;br;サイクリング2</t>
  </si>
  <si>
    <t>このサポートがボードに出たとき、あなたがコントロールするクリーチャー1体を対象とする。それは+1/+1の修整を受ける。</t>
  </si>
  <si>
    <t>このサポートがボード上にある間、あなたがコントロールする最初のクリーチャーは+2/+2の修整を受けるとともにトランプルを得る。</t>
  </si>
  <si>
    <t>このサポートがボードに出たとき、あなたがコントロールするクリーチャー1体を対象とする。それは+1/+1の修整を受ける。&amp;br;このサポートがボード上にある間、あなたがコントロールする最初のクリーチャーは+2/+2の修整を受けるとともにトランプルを得る。</t>
  </si>
  <si>
    <t>ジェム2個を起動する：あなたは2マナを得る。</t>
  </si>
  <si>
    <t>このサポートがボードに出たとき、あなたは3点のライフを得る。</t>
  </si>
  <si>
    <t>ジェム2個を起動する：あなたは2マナを得る。&amp;br;このサポートがボードに出たとき、あなたは3点のライフを得る。</t>
  </si>
  <si>
    <t>このクリーチャーが戦場に出たとき、あなたがコントロールする他の最初のクリーチャーは-3/-3の修整を受ける。</t>
  </si>
  <si>
    <t>このクリーチャーが攻撃したとき、あなたは3点のライフを得る。</t>
  </si>
  <si>
    <t>このクリーチャーが戦場に出たとき、あなたがコントロールする他の最初のクリーチャーは-3/-3の修整を受ける。&amp;br;このクリーチャーが攻撃したとき、あなたは3点のライフを得る。</t>
  </si>
  <si>
    <t>督励1：あなたはカードを1枚引く。</t>
  </si>
  <si>
    <t>あなたのターン開始jに、このクリーチャーは-1/-1の修整を受けr、ああなたは3つのジェムを緑に変換する。</t>
  </si>
  <si>
    <t>トランプル&amp;br;不朽1</t>
  </si>
  <si>
    <t>サイクリング6</t>
  </si>
  <si>
    <t>あなたがこのカードをサイクリングしたとき、あなたはジェム9個を緑に変換する。</t>
  </si>
  <si>
    <t>サイクリング6&amp;br;あなたがこのカードをサイクリングしたとき、あなたはジェム9個を緑に変換する。</t>
  </si>
  <si>
    <t>このサポートがボードに出たとき、あなたは6/4の活力獣・トークンを1体召喚する。</t>
  </si>
  <si>
    <t>このサポートがボードに出たとき、あなたは6/4の活力獣・トークンを1体召喚する。&amp;br;あなたがコントロールするカルトーシュ・サポートがボードに出たとき、このサポートをあなたの手札に戻す。&amp;br;このサポートは強化されない。</t>
  </si>
  <si>
    <t>接死 ダメージ軽減</t>
  </si>
  <si>
    <t>ジェム2個を起動する：あなたのターン終了時まで、あなたがコントロールする他の最初のクリーチャーは+4/0の修整を受ける。</t>
  </si>
  <si>
    <t>あなたが8以上のパワーを持つ他のクリーチャーをコントロールしていないかぎり、このクリーチャーは攻撃できずブロックできない。</t>
  </si>
  <si>
    <t>ロナスの勇者</t>
  </si>
  <si>
    <t>Champion of Rhonas</t>
  </si>
  <si>
    <t>非パック</t>
  </si>
  <si>
    <t>督励3：あなたの手札の最初のクリーチャーを戦場に移動する。</t>
  </si>
  <si>
    <t>あなたのターン開始時に、あなたのライブラリーの一番上のカードがクリーチャーであった場合、あなたはカードを1枚引く。</t>
  </si>
  <si>
    <t>あなたが3個以上のジェムをマッチさせたとき、あなたの手札の各クリーチャーは3マナ得る。</t>
  </si>
  <si>
    <t>あなたのターン開始時に、あなたのライブラリーの一番上のカードがクリーチャーであった場合、あなたはカードを1枚引く。&amp;br;あなたが3個以上のジェムをマッチさせたとき、あなたの手札の各クリーチャーは3マナ得る。</t>
  </si>
  <si>
    <t>このサポートがボードにある間、対戦相手がコントロールする飛行を持つクリーチャーは攻撃できない。</t>
  </si>
  <si>
    <t>あなたのターン終了時に、5/5のワーム･トークンを1体召喚する。</t>
  </si>
  <si>
    <t>このサポートがボードにある間、対戦相手がコントロールする飛行を持つクリーチャーは攻撃できない。&amp;br;あなたのターン終了時に、5/5のワーム･トークンを1体召喚する。</t>
  </si>
  <si>
    <t>督励2：あなたの次のターン開始時まで、あなたがコントロールする各クリーチャーは警戒を得る。</t>
  </si>
  <si>
    <t>このクリーチャーが戦場に出ている間、あなたがコントロールする各クリーチャー･トークンは飛行と警戒を得る。</t>
  </si>
  <si>
    <t>飛行 警戒&amp;br;このクリーチャーが戦場に出ている間、あなたがコントロールする各クリーチャー･トークンは飛行と警戒を得る。</t>
  </si>
  <si>
    <t>このクリーチャーが戦場に出たとき、あなたがコントロールする他の最初のクリーチャーは-1/-1の修整を受ける。</t>
  </si>
  <si>
    <t>このクリーチャーが攻撃したとき、対戦相手がコントロールする、ディフェンダーか到達か警戒を持つ最初のクリーチャーは-1/-1の修整を受ける。</t>
  </si>
  <si>
    <t>このクリーチャーが戦場に出たとき、あなたがコントロールする他の最初のクリーチャーは-1/-1の修整を受ける。&amp;br;このクリーチャーが攻撃したとき、対戦相手がコントロールする、ディフェンダーか到達か警戒を持つ最初のクリーチャーは-1/-1の修整を受ける。</t>
  </si>
  <si>
    <t>このクリーチャーが戦場に出たとき、これは+X/+Xの修整を受ける。Xはあなたの墓地にある呪文の総数に等しい。</t>
  </si>
  <si>
    <t>飛行&amp;br;このクリーチャーが戦場に出たとき、これは+X/+Xの修整を受ける。Xはあなたの墓地にある呪文の総数に等しい。</t>
  </si>
  <si>
    <t>このクリーチャーが戦場に出ている間、あなたがコントロールする各クリーチャーはトランプルを得る。</t>
  </si>
  <si>
    <t>あなたがカードをサイクリングしたとき、このクリーチャーは+1/+1の修整を受ける。</t>
  </si>
  <si>
    <t>飛行&amp;br;あなたがカードをサイクリングしたとき、このクリーチャーは+1/+1の修整を受ける。</t>
  </si>
  <si>
    <t>あなたがコントロールするゾンビが戦場に出たとき、あなたは2点のライフを得て、対戦相手は2点のダメージを受ける。</t>
  </si>
  <si>
    <t>ジェム2個を起動する：あなたは4マナを得る。</t>
  </si>
  <si>
    <t>このクリーチャーがプレインズウォーカーに戦闘ダメージを与えたとき、対戦相手がコントロールする最初のクリーチャーは-1/-1の修整を受け、あなたは接死を持つ1/1の蛇･トークンを1体召喚する。</t>
  </si>
  <si>
    <t>1ターンのカウントダウン付きジェム1個を起動する：あなたは5マナを得る。</t>
  </si>
  <si>
    <t>このクリーチャーが戦場に出ている間、あなたがコントロールする各ミノタウルスは先制攻撃を得る。</t>
  </si>
  <si>
    <t>このクリーチャーが戦場に出ている間、あなたの手札が1枚以下の場合、あなたがコントロールする各ミノタウルスは+6/0の修整を受ける。</t>
  </si>
  <si>
    <t>このクリーチャーが対戦相手に戦闘ダメージを与えたとき、あなたと対戦相手はカードを1枚捨てる。</t>
  </si>
  <si>
    <t>このクリーチャーが戦場に出ている間、あなたがコントロールする各ミノタウルスは先制攻撃を得る。&amp;br;このクリーチャーが戦場に出ている間、あなたの手札が1枚以下の場合、あなたがコントロールする各ミノタウルスは+6/0の修整を受ける。&amp;br;このクリーチャーが対戦相手に戦闘ダメージを与えたとき、あなたと対戦相手はカードを1枚捨てる。</t>
  </si>
  <si>
    <t>あなたのターンの戦闘開始時に、あなたのターン終了時まで、あなたがコントロールする各クリーチャー･トークンは+4/+4の修整を受ける。</t>
  </si>
  <si>
    <t>あなたのターンの戦闘開始時に、あなたのターン終了時まで、あなたがコントロールする各クリーチャー･トークンは+4/+4の修整を受ける。&amp;br;不朽1</t>
  </si>
  <si>
    <t>クリーチャー1体を対象とする。それは+2/+2の修整を受ける。</t>
  </si>
  <si>
    <t>ジェム1個を起動する：あなたは2/2のゾンビ･トークンを1個召喚し、このサポートを破壊する。</t>
  </si>
  <si>
    <t>ジェム1個を起動する：あなたは2/2のゾンビ･トークンを1個召喚し、このサポートを破壊する。&amp;br;あなたのターン開始時に、あなたは2マナを得る。</t>
  </si>
  <si>
    <t>このサポートがボードに出たとき、対戦相手は3点のダメージを受ける。</t>
  </si>
  <si>
    <t>このサポートがボードに出たとき、対戦相手は3点のダメージを受ける。&amp;br;あなたのターン開始時に、あなたは2マナを得る。</t>
  </si>
  <si>
    <t>このサポートがボードに出たとき、あなたの手札の黒の各クリーチャーは3マナを得る。</t>
  </si>
  <si>
    <t>あなたが黒のクリーチャーを引いたとき、そのクリーチャーは3マナを得る。</t>
  </si>
  <si>
    <t>あなたがクリーチャーを唱えたとき、あなたは2点のライフを得て、対戦相手は2点のダメージを受ける。</t>
  </si>
  <si>
    <t>このサポートがボードに出たとき、あなたの手札の黒の各クリーチャーは3マナを得る。&amp;br;あなたが黒のクリーチャーを引いたとき、そのクリーチャーは3マナを得る。&amp;br;あなたがクリーチャーを唱えたとき、あなたは2点のライフを得て、対戦相手は2点のダメージを受ける。</t>
  </si>
  <si>
    <t>このサポートがボードに出たとき、あなたの手札の赤の各クリーチャーは3マナを得る。</t>
  </si>
  <si>
    <t>あなたが赤のクリーチャーを引いたとき、そのクリーチャーは3マナを得る。</t>
  </si>
  <si>
    <t>あなたがクリーチャーを唱えたとき、あなたはカードを1枚捨てて1枚引く。</t>
  </si>
  <si>
    <t>このサポートがボードに出たとき、あなたの手札の赤の各クリーチャーは3マナを得る。&amp;br;あなたが赤のクリーチャーを引いたとき、そのクリーチャーは3マナを得る。&amp;br;あなたがクリーチャーを唱えたとき、あなたはカードを1枚捨てて1枚引く。</t>
  </si>
  <si>
    <t>このサポートがボードに出たとき、あなたの手札の青の各クリーチャーは3マナを得る。</t>
  </si>
  <si>
    <t>あなたが青のクリーチャーを引いたとき、そのクリーチャーは3マナを得る。</t>
  </si>
  <si>
    <t>あなたがクリーチャーを唱えたとき、あなたの次のターン開始時まで、対戦相手がコントロールする無効化されていない最初のクリーチャーを無効化する。</t>
  </si>
  <si>
    <t>このサポートがボードに出たとき、あなたの手札の青の各クリーチャーは3マナを得る。&amp;br;あなたが青のクリーチャーを引いたとき、そのクリーチャーは3マナを得る。&amp;br;あなたがクリーチャーを唱えたとき、あなたの次のターン開始時まで、対戦相手がコントロールする無効化されていない最初のクリーチャーを無効化する。</t>
  </si>
  <si>
    <t>このサポートがボードに出たとき、あなたの手札の白の各クリーチャーは3マナを得る。</t>
  </si>
  <si>
    <t>あなたが白のクリーチャーを引いたとき、そのクリーチャーは3マナを得る。</t>
  </si>
  <si>
    <t>あなたがクリーチャーを唱えたとき、あなたは警戒を持つ1/1の戦士･トークンを1体召喚する。</t>
  </si>
  <si>
    <t>このサポートがボードに出たとき、あなたの手札の白の各クリーチャーは3マナを得る。&amp;br;あなたが白のクリーチャーを引いたとき、そのクリーチャーは3マナを得る。&amp;br;あなたがクリーチャーを唱えたとき、あなたは警戒を持つ1/1の戦士･トークンを1体召喚する。</t>
  </si>
  <si>
    <t>このサポートがボードに出たとき、あなたの手札の緑の各クリーチャーは3マナを得る。</t>
  </si>
  <si>
    <t>あなたが緑のクリーチャーを引いたとき、そのクリーチャーは3マナを得る。</t>
  </si>
  <si>
    <t>あなたがクリーチャーを唱えたとき、あなたのターン終了時まで、あなたがコントロールする最初のクリーチャーは+2/+2の修整を受けるとともにトランプルを得る。</t>
  </si>
  <si>
    <t>このサポートがボードに出たとき、あなたの手札の緑の各クリーチャーは3マナを得る。&amp;br;あなたが緑のクリーチャーを引いたとき、そのクリーチャーは3マナを得る。&amp;br;あなたがクリーチャーを唱えたとき、あなたのターン終了時まで、あなたがコントロールする最初のクリーチャーは+2/+2の修整を受けるとともにトランプルを得る。</t>
  </si>
  <si>
    <t>あなたのターン開始時にジェム2個を赤か黒に変換する。</t>
  </si>
  <si>
    <t>あなたのターン開始時にジェム2個を赤か黒に変換する。&amp;br;サイクリング4</t>
  </si>
  <si>
    <t>あなたのターン開始時にジェム2個を青か黒に変換する。</t>
  </si>
  <si>
    <t>あなたのターン開始時にジェム2個を青か黒に変換する。&amp;br;サイクリング4</t>
  </si>
  <si>
    <t>あなたのターン開始時にジェム2個を白か青に変換する。</t>
  </si>
  <si>
    <t>あなたのターン開始時にジェム2個を白か青に変換する。&amp;br;サイクリング4</t>
  </si>
  <si>
    <t>あなたのターン開始時にジェム2個を白か緑に変換する。</t>
  </si>
  <si>
    <t>あなたのターン開始時にジェム2個を白か緑に変換する。&amp;br;サイクリング4</t>
  </si>
  <si>
    <t>あなたのターン開始時にジェム2個を赤か緑に変換する。</t>
  </si>
  <si>
    <t>あなたのターン開始時にジェム2個を赤か緑に変換する。&amp;br;サイクリング4</t>
  </si>
  <si>
    <t>3ターンのカウントダウン付きジェム1個を起動する：あなたの手札の各カードは3マナを得る。</t>
  </si>
  <si>
    <t>ジェム2個を起動する：カードを1枚引く。そのカードはXマナを得る。Xはこのサポートが持つシールドの数に等しい。</t>
  </si>
  <si>
    <t>神々のピラミッド</t>
  </si>
  <si>
    <t>Pyramid of the Pantheon</t>
  </si>
  <si>
    <t>あなたのターン開始時に、あなたはXマナを得る。Xはこのサポートが持つシールドの数に等しい。</t>
  </si>
  <si>
    <t>AKHM</t>
  </si>
  <si>
    <t>このクリーチャーが死亡したとき、あなたがコントロールしていて破壊された忠臣でない最後の3体のクリーチャーを戦場に戻す。</t>
  </si>
  <si>
    <t>到達&amp;br;このクリーチャーが死亡したとき、あなたがコントロールしていて破壊された忠臣でない最後の3体のクリーチャーを戦場に戻す。</t>
  </si>
  <si>
    <t>戦場に出ている各クリーチャーを追放する。</t>
  </si>
  <si>
    <t>対戦相手がカードを引いたとき、このクリーチャーは+3/+3の修整を受ける。</t>
  </si>
  <si>
    <t>飛行&amp;br;対戦相手がカードを引いたとき、このクリーチャーは+3/+3の修整を受ける。</t>
  </si>
  <si>
    <t>対戦相手は手札の各呪文を捨てる。</t>
  </si>
  <si>
    <t>あなたの手札の最初のカードはいっぱいのマナを得る。</t>
  </si>
  <si>
    <t>クリーチャー1体かプレインズウォーカー1体を対象とする。それは5点のダメージを受ける。ボード上に3個以上の赤ジェムがある場合、2個の赤ジェムを他の色に変換し、この呪文をあなたの手札に戻す。</t>
  </si>
  <si>
    <t>赤ジェム3個を起動する：あなたは1回の入れ替えを得る。</t>
  </si>
  <si>
    <t>クリーチャー1体を対象とし、それを追放する。</t>
  </si>
  <si>
    <t>対戦相手がコントロールする各クリーチャー･トークンと各サポート･トークンを破壊する。</t>
  </si>
  <si>
    <t>このサポートがボード上にある間、いずれかのプレイヤーが次に唱えるカードを破壊し、それの効果は誘発せず、その後、このサポートを破壊する。</t>
  </si>
  <si>
    <t>信念の決闘者</t>
  </si>
  <si>
    <t>Trueheart Duelist</t>
  </si>
  <si>
    <t>ディフェンダー 先制攻撃</t>
  </si>
  <si>
    <t>ディフェンダー 先制攻撃&amp;br;不朽2</t>
  </si>
  <si>
    <t>療治の侍臣</t>
  </si>
  <si>
    <t>Vizier of Remedies</t>
  </si>
  <si>
    <t>このクリーチャーが戦場に出たとき、あなたがコントロールする各クリーチャーは+1/+1の修整を受ける。</t>
  </si>
  <si>
    <t>栄光半ばの修練者</t>
  </si>
  <si>
    <t>Glory-Bound Initiate</t>
  </si>
  <si>
    <t>督励3：このクリーチャーは+3/+2の修整を受けるとともに絆魂を得る。</t>
  </si>
  <si>
    <t>双陽の熾天使</t>
  </si>
  <si>
    <t>Seraph of the Suns</t>
  </si>
  <si>
    <t>このクリーチャーがダメージを受ける場合、代わりにあなたのプレインズウォーカーが6点のダメージを受ける。</t>
  </si>
  <si>
    <t>このクリーチャーではブロックできない。</t>
  </si>
  <si>
    <t>飛行 ダメージ軽減&amp;br;このクリーチャーがダメージを受ける場合、代わりにあなたのプレインズウォーカーが6点のダメージを受ける。&amp;br;このクリーチャーではブロックできない。</t>
  </si>
  <si>
    <t>釣りドレイク</t>
  </si>
  <si>
    <t>Angler Drake</t>
  </si>
  <si>
    <t>このクリーチャーが戦場に出たとき、対戦相手の手札が5枚以下の場合、対戦相手がコントロールするクリーチャー1体を対象とし、それをプレイヤーの手札に戻す。</t>
  </si>
  <si>
    <t>飛行&amp;br;このクリーチャーが戦場に出たとき、対戦相手の手札が5枚以下の場合、対戦相手がコントロールするクリーチャー1体を対象とし、それをプレイヤーの手札に戻す。</t>
  </si>
  <si>
    <t>突風撃</t>
  </si>
  <si>
    <t>Galestrike</t>
  </si>
  <si>
    <t>対戦相手の手札が5枚以下の場合、対戦相手のコントロールするクリーチャー1体を対象とする。それをオーナーの手札に移動し、あなたはカードを1枚引く。</t>
  </si>
  <si>
    <t>驚異への入り口</t>
  </si>
  <si>
    <t>Open into Wonder</t>
  </si>
  <si>
    <t>あなたのターン終了時まで、あなたがコントロールする各クリーチャーは「ブロックされない｣と「このクリーチャーがダメージを与えたとき、あなたはカードを1枚引く。」を得る。</t>
  </si>
  <si>
    <t>謎めいた海蛇</t>
  </si>
  <si>
    <t>Cryptic Serpent</t>
  </si>
  <si>
    <t>あなたが呪文を唱えたとき、このクリーチャーは1マナを得る。</t>
  </si>
  <si>
    <t>明日からの引き寄せ</t>
  </si>
  <si>
    <t>Pull from Tomorrow</t>
  </si>
  <si>
    <t>あなたはカードを1枚捨てて5枚引く。</t>
  </si>
  <si>
    <t>予言により</t>
  </si>
  <si>
    <t>As Foretold</t>
  </si>
  <si>
    <t>あなたのターン開始時に、あなたはXマナを得る。Xはあなたがコントロールするサポートの総数に等しい。</t>
  </si>
  <si>
    <t>悪意のアムムト</t>
  </si>
  <si>
    <t>Baleful Ammit</t>
  </si>
  <si>
    <t>絆魂&amp;br;このクリーチャーが戦場に出たとき、あなたがコントロールする他の最初のクリーチャーは-1/-1の修整を受ける。</t>
  </si>
  <si>
    <t>不気味な徘徊者</t>
  </si>
  <si>
    <t>Grim Strider</t>
  </si>
  <si>
    <t>このクリーチャーが戦場に出たとき、このクリーチャーは-X/-Xの修整を受ける。Xはあなたの手札のカードの枚数に等しい。</t>
  </si>
  <si>
    <t>没収</t>
  </si>
  <si>
    <t>Dispossess</t>
  </si>
  <si>
    <t>対戦相手のライブラリーの最初の2個のサポートを追放する。</t>
  </si>
  <si>
    <t>リリアナの支配</t>
  </si>
  <si>
    <t>Liliana's Mastery</t>
  </si>
  <si>
    <t>このサポートがボード上にある間、あなたがコントロールする各ゾンビは+2/+2の修整を受ける。</t>
  </si>
  <si>
    <t>このサポートがボード上に出たとき、2/2のゾンビ･トークンを3体召喚する。</t>
  </si>
  <si>
    <t>このサポートがボード上にある間、あなたがコントロールする各ゾンビは+2/+2の修整を受ける。&amp;br;このサポートがボード上に出たとき、2/2のゾンビ･トークンを3体召喚する。</t>
  </si>
  <si>
    <t>血怒りの喧嘩屋</t>
  </si>
  <si>
    <t>Bloodrage Brawler</t>
  </si>
  <si>
    <t>このクリーチャーが戦場に出たとき、あなたがカードを1枚捨てる。</t>
  </si>
  <si>
    <t>戦炎の投槍手</t>
  </si>
  <si>
    <t>Warfire Javelineer</t>
  </si>
  <si>
    <t>このクリーチャーが戦場に出たとき、対戦相手がコントロールするクリーチャー1体を対象とする。それはX点のダメージを受ける。Xはあなたの墓地にある呪文の総数に等しい。</t>
  </si>
  <si>
    <t>力ずく</t>
  </si>
  <si>
    <t>By Force</t>
  </si>
  <si>
    <t>対戦相手がコントロールするサポートを3個破壊する。</t>
  </si>
  <si>
    <t>過酷な指導者</t>
  </si>
  <si>
    <t>Harsh Mentor</t>
  </si>
  <si>
    <t>対戦相手がカードを唱えたとき、対戦相手は3点のダメージを受ける。</t>
  </si>
  <si>
    <t>損魂魔道士</t>
  </si>
  <si>
    <t>Soul-Scar Mage</t>
  </si>
  <si>
    <t>あなたが呪文を唱えたとき、あなたのターン終了時まで、このクリーチャーは+2/+2の修整を受ける。対戦相手がコントロールする最初のクリーチャーは-1/-1の修整を受ける。</t>
  </si>
  <si>
    <t>横断地のクロコダイル</t>
  </si>
  <si>
    <t>Crocodile of the Crossing</t>
  </si>
  <si>
    <t>速攻&amp;br;このクリーチャーが戦場に出たとき、あなたがコントロールする他の最初のクリーチャーは-1/-1の修整を受ける。</t>
  </si>
  <si>
    <t>好戦的な巨口</t>
  </si>
  <si>
    <t>Defiant Greatmaw</t>
  </si>
  <si>
    <t>カバ</t>
  </si>
  <si>
    <t>第六感</t>
  </si>
  <si>
    <t>Sixth Sense</t>
  </si>
  <si>
    <t>あなたがコントロールするクリーチャー1体を対象とする。それは「このクリーチャーが戦闘ダメージを与えたとき、これのオーナーはカードを1枚引く。」を得る。</t>
  </si>
  <si>
    <t>刻み角</t>
  </si>
  <si>
    <t>Manglehorn</t>
  </si>
  <si>
    <t>あなたのターン開始時に、対戦相手がコントロールするサポート1個は1シールドを失う。</t>
  </si>
  <si>
    <t>このクリーチャーが戦場に出たとき、対戦相手がコントロールするサポートジェムを1個破壊する。&amp;br;あなたのターン開始時に、対戦相手がコントロールするサポート1個は1シールドを失う。</t>
  </si>
  <si>
    <t>収穫期</t>
  </si>
  <si>
    <t>Harvest Season</t>
  </si>
  <si>
    <t>ジェムX個を緑ジェムに変換する。Xはあなたがコントロールするクリーチャーの総数の4倍に等しい。</t>
  </si>
  <si>
    <t>無慈悲な投槍手</t>
  </si>
  <si>
    <t>Merciless Javelineer</t>
  </si>
  <si>
    <t>ジェム3個を起動する：対戦相手がコントロールする、ディフェンダーか到達か警戒を持つ最初のクリーチャーは-1/-1の修整を受ける。あなたのターン終了時まで、それはブロックできない。</t>
  </si>
  <si>
    <t>名誉ある門長</t>
  </si>
  <si>
    <t>Honored Crop-Captain</t>
  </si>
  <si>
    <t>このクリーチャーが攻撃したとき、あなたのターン終了時まであなたの他の各クリーチャーは+2/0の修整を受ける。</t>
  </si>
  <si>
    <t>ディフェンダー&amp;br;このクリーチャーが攻撃したとき、あなたのターン終了時まであなたの他の各クリーチャーは+2/0の修整を受ける。</t>
  </si>
  <si>
    <t>造反の代弁者、サムト</t>
  </si>
  <si>
    <t>Samut, Voice of Dissent</t>
  </si>
  <si>
    <t>ジェム2個を起動する：ターン終了時まで、あなたがコントロールする他の最初のクリーチャーは二段攻撃を得る。</t>
  </si>
  <si>
    <t>このクリーチャーが戦場に出ている間、あなたがコントロールする各クリーチャーは速攻を得る。</t>
  </si>
  <si>
    <t>二段攻撃&amp;br;ジェム2個を起動する：ターン終了時まで、あなたがコントロールする他の最初のクリーチャーは二段攻撃を得る。&amp;br;このクリーチャーが戦場に出ている間、あなたがコントロールする各クリーチャーは速攻を得る。</t>
  </si>
  <si>
    <t>王神の玉座</t>
  </si>
  <si>
    <t>Throne of the God-Pharaoh</t>
  </si>
  <si>
    <t>あなたがコントロールするクリーチャーが攻撃したとき、対戦相手はX点のダメージを受ける。Xはあなたがコントロールするクリーチャーの総数の2倍に等しい。</t>
  </si>
  <si>
    <t>《[[</t>
    <phoneticPr fontId="1"/>
  </si>
  <si>
    <t>]]》</t>
  </si>
  <si>
    <t>**</t>
    <phoneticPr fontId="1"/>
  </si>
  <si>
    <t>マジック:オリジン</t>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</si>
  <si>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phoneticPr fontId="1"/>
  </si>
  <si>
    <t>Kytheon's Tactics</t>
    <phoneticPr fontId="1"/>
  </si>
  <si>
    <t/>
  </si>
  <si>
    <t>死亡誘発</t>
    <rPh sb="0" eb="2">
      <t>シボウ</t>
    </rPh>
    <rPh sb="2" eb="4">
      <t>ユウハツ</t>
    </rPh>
    <phoneticPr fontId="1"/>
  </si>
  <si>
    <t>*</t>
    <phoneticPr fontId="1"/>
  </si>
  <si>
    <t>職業系部族</t>
    <rPh sb="0" eb="2">
      <t>ショクギョウ</t>
    </rPh>
    <rPh sb="2" eb="3">
      <t>ケイ</t>
    </rPh>
    <rPh sb="3" eb="5">
      <t>ブゾク</t>
    </rPh>
    <phoneticPr fontId="1"/>
  </si>
  <si>
    <t>生物分類系部族</t>
    <rPh sb="0" eb="2">
      <t>セイブツ</t>
    </rPh>
    <rPh sb="2" eb="4">
      <t>ブンルイ</t>
    </rPh>
    <rPh sb="4" eb="5">
      <t>ケイ</t>
    </rPh>
    <rPh sb="5" eb="7">
      <t>ブゾク</t>
    </rPh>
    <phoneticPr fontId="1"/>
  </si>
  <si>
    <t>[[</t>
    <phoneticPr fontId="1"/>
  </si>
  <si>
    <t>[[</t>
    <phoneticPr fontId="1"/>
  </si>
  <si>
    <t>*クリーチャー・タイプ一覧</t>
  </si>
  <si>
    <t>現在(v2.1アモンケット)までに登場したクリーチャー・タイプの一覧。</t>
  </si>
  <si>
    <t>目標などデッキコンセプトなどに関連する主要部族に関しては個別で一覧を作成。</t>
  </si>
  <si>
    <t>**あ行</t>
  </si>
  <si>
    <t>[[ウィザード&gt;ウィザード一覧]]</t>
  </si>
  <si>
    <t>[[エルドラージ&gt;エルドラージ一覧]]</t>
  </si>
  <si>
    <t>[[エルフ&gt;エルフ一覧]]</t>
  </si>
  <si>
    <t>[[狼&gt;狼一覧]]</t>
  </si>
  <si>
    <t>[[狼男&gt;狼男一覧]]</t>
  </si>
  <si>
    <t>**か行</t>
  </si>
  <si>
    <t>[[神&gt;神一覧]]</t>
  </si>
  <si>
    <t>[[機体&gt;機体一覧]]</t>
  </si>
  <si>
    <t>[[吸血鬼&gt;吸血鬼一覧]]</t>
  </si>
  <si>
    <t>[[構築物&gt;構築物一覧]]</t>
  </si>
  <si>
    <t>[[ゴブリン&gt;ゴブリン一覧]]</t>
  </si>
  <si>
    <t>**さ行</t>
  </si>
  <si>
    <t>[[スピリット&gt;スピリット一覧]]</t>
  </si>
  <si>
    <t>[[ゾンビ&gt;ゾンビ一覧]]</t>
  </si>
  <si>
    <t>**た行</t>
  </si>
  <si>
    <t>[[デーモン&gt;デーモン一覧]]</t>
  </si>
  <si>
    <t>[[天使&gt;天使一覧]]</t>
  </si>
  <si>
    <t>[[同盟者&gt;同盟者一覧]]</t>
  </si>
  <si>
    <t>[[ドラゴン&gt;ドラゴン一覧]]</t>
  </si>
  <si>
    <t>[[ドワーフ&gt;ドワーフ一覧]]</t>
  </si>
  <si>
    <t>**な行</t>
  </si>
  <si>
    <t>[[人間&gt;人間一覧]]</t>
  </si>
  <si>
    <t>[[猫&gt;猫一覧]]</t>
  </si>
  <si>
    <t>**は行</t>
  </si>
  <si>
    <t>[[飛行機械&gt;飛行機械一覧]]</t>
  </si>
  <si>
    <t>**ま行</t>
  </si>
  <si>
    <t>**や行以降</t>
  </si>
  <si>
    <t>/</t>
    <phoneticPr fontId="1"/>
  </si>
  <si>
    <t>威迫</t>
    <phoneticPr fontId="1"/>
  </si>
  <si>
    <t>あなたのターン開始時に、あなたの手札の最初の呪文は2マナを得る。&amp;br;あなたのターン開始時に、あなたがこのゲームで3つ以上の呪文を唱えていた場合、このクリーチャーは変身する。</t>
    <phoneticPr fontId="1"/>
  </si>
  <si>
    <t>ジェム3個を起動する：あなたの次のターン開始時まで、あなたがコントロールする無色の各クリーチャーは+3/+3の修整を受ける。&amp;br;あなたのターン開始時に、製造1を行い、飛行を持つ1/1の飛行機械･トークンを1体召喚する。</t>
    <phoneticPr fontId="1"/>
  </si>
  <si>
    <t>あなたのターン終了時まで、あなたがコントロールする各クリーチャーは+2/0の修整を受ける。&amp;br;サイクリング2</t>
    <phoneticPr fontId="1"/>
  </si>
  <si>
    <t>ブロックされない</t>
    <phoneticPr fontId="1"/>
  </si>
  <si>
    <t>LEFT:250</t>
  </si>
  <si>
    <t>このクリーチャーが戦場に出たとき、あなたのターン終了時まで、すべてのクリーチャーはブロックできなくなる。</t>
    <phoneticPr fontId="1"/>
  </si>
  <si>
    <t>ディフェンダー</t>
    <phoneticPr fontId="1"/>
  </si>
  <si>
    <t>#contents()</t>
    <phoneticPr fontId="1"/>
  </si>
  <si>
    <t>]]</t>
  </si>
  <si>
    <t>セット</t>
  </si>
  <si>
    <t>P</t>
  </si>
  <si>
    <t>T</t>
  </si>
  <si>
    <t>LEFT:120</t>
  </si>
  <si>
    <t>レアリティ</t>
    <phoneticPr fontId="1"/>
  </si>
  <si>
    <t>戦乱のゼンディカーブロック</t>
    <rPh sb="0" eb="2">
      <t>センラン</t>
    </rPh>
    <phoneticPr fontId="1"/>
  </si>
  <si>
    <t>イニストラードを覆う影ブロック</t>
  </si>
  <si>
    <t>カラデシュブロック</t>
  </si>
  <si>
    <t>アモンケットブロック</t>
  </si>
  <si>
    <t>クリーチャー</t>
    <phoneticPr fontId="1"/>
  </si>
  <si>
    <t>・タフネス順</t>
    <rPh sb="5" eb="6">
      <t>ジュン</t>
    </rPh>
    <phoneticPr fontId="1"/>
  </si>
  <si>
    <t>/</t>
    <phoneticPr fontId="1"/>
  </si>
  <si>
    <t>以上</t>
    <rPh sb="0" eb="2">
      <t>イジョウ</t>
    </rPh>
    <phoneticPr fontId="1"/>
  </si>
  <si>
    <t>未満</t>
    <rPh sb="0" eb="2">
      <t>ミマン</t>
    </rPh>
    <phoneticPr fontId="1"/>
  </si>
  <si>
    <t>タフネス</t>
    <phoneticPr fontId="1"/>
  </si>
  <si>
    <t>以下</t>
    <rPh sb="0" eb="2">
      <t>イカ</t>
    </rPh>
    <phoneticPr fontId="1"/>
  </si>
  <si>
    <t>Ver1</t>
    <phoneticPr fontId="1"/>
  </si>
  <si>
    <t>Ver2</t>
    <phoneticPr fontId="1"/>
  </si>
  <si>
    <t>LEFT:75</t>
    <phoneticPr fontId="1"/>
  </si>
  <si>
    <t>破壊</t>
    <rPh sb="0" eb="2">
      <t>ハカイ</t>
    </rPh>
    <phoneticPr fontId="1"/>
  </si>
  <si>
    <t>生物破壊</t>
    <rPh sb="0" eb="2">
      <t>セイブツ</t>
    </rPh>
    <rPh sb="2" eb="4">
      <t>ハカイ</t>
    </rPh>
    <phoneticPr fontId="1"/>
  </si>
  <si>
    <t>サポート破壊</t>
    <rPh sb="4" eb="6">
      <t>ハカイ</t>
    </rPh>
    <phoneticPr fontId="1"/>
  </si>
  <si>
    <t>手札破壊</t>
    <rPh sb="0" eb="2">
      <t>テフダ</t>
    </rPh>
    <rPh sb="2" eb="4">
      <t>ハカイ</t>
    </rPh>
    <phoneticPr fontId="1"/>
  </si>
  <si>
    <t>ジェム破壊</t>
    <rPh sb="3" eb="5">
      <t>ハカイ</t>
    </rPh>
    <phoneticPr fontId="1"/>
  </si>
  <si>
    <t>その他破壊</t>
    <rPh sb="2" eb="3">
      <t>タ</t>
    </rPh>
    <rPh sb="3" eb="5">
      <t>ハカイ</t>
    </rPh>
    <phoneticPr fontId="1"/>
  </si>
  <si>
    <t>破壊回収</t>
    <rPh sb="0" eb="2">
      <t>ハカイ</t>
    </rPh>
    <rPh sb="2" eb="4">
      <t>カイシュウ</t>
    </rPh>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</si>
  <si>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</si>
  <si>
    <t>非該当</t>
    <rPh sb="0" eb="3">
      <t>ヒガイトウ</t>
    </rPh>
    <phoneticPr fontId="1"/>
  </si>
  <si>
    <t>バウンス</t>
    <phoneticPr fontId="1"/>
  </si>
  <si>
    <t>プロペラの先駆者</t>
    <phoneticPr fontId="1"/>
  </si>
  <si>
    <t>永存確約</t>
    <phoneticPr fontId="1"/>
  </si>
  <si>
    <t>断片化</t>
    <phoneticPr fontId="1"/>
  </si>
  <si>
    <t>先見的な増強者</t>
    <phoneticPr fontId="1"/>
  </si>
  <si>
    <t>飛空士の提督</t>
    <phoneticPr fontId="1"/>
  </si>
  <si>
    <t>俗物の放棄</t>
    <phoneticPr fontId="1"/>
  </si>
  <si>
    <t>排斥</t>
    <phoneticPr fontId="1"/>
  </si>
  <si>
    <t>印章持ちのヒトデ</t>
    <phoneticPr fontId="1"/>
  </si>
  <si>
    <t>試験飛行士</t>
    <phoneticPr fontId="1"/>
  </si>
  <si>
    <t>風友会の強襲者</t>
    <phoneticPr fontId="1"/>
  </si>
  <si>
    <t>光り物集めの鶴</t>
    <phoneticPr fontId="1"/>
  </si>
  <si>
    <t>天才の片鱗</t>
    <phoneticPr fontId="1"/>
  </si>
  <si>
    <t>叱責の風</t>
    <phoneticPr fontId="1"/>
  </si>
  <si>
    <t>LO破壊</t>
    <rPh sb="2" eb="4">
      <t>ハカイ</t>
    </rPh>
    <phoneticPr fontId="1"/>
  </si>
  <si>
    <t>当然の結論</t>
    <phoneticPr fontId="1"/>
  </si>
  <si>
    <t>才気ある霊基体</t>
    <phoneticPr fontId="1"/>
  </si>
  <si>
    <t>本質の摘出</t>
    <phoneticPr fontId="1"/>
  </si>
  <si>
    <t>魂刺し</t>
    <phoneticPr fontId="1"/>
  </si>
  <si>
    <t>最後の報賞</t>
    <phoneticPr fontId="1"/>
  </si>
  <si>
    <t>砂の撹拌</t>
    <phoneticPr fontId="1"/>
  </si>
  <si>
    <t>野望の試練</t>
    <phoneticPr fontId="1"/>
  </si>
  <si>
    <t>悪意のアムムト</t>
    <phoneticPr fontId="1"/>
  </si>
  <si>
    <t>ORI</t>
    <phoneticPr fontId="1"/>
  </si>
  <si>
    <t>緑白</t>
    <phoneticPr fontId="1"/>
  </si>
  <si>
    <t>結束のカルトーシュ</t>
    <phoneticPr fontId="1"/>
  </si>
  <si>
    <t>風案内のエイヴン</t>
    <phoneticPr fontId="1"/>
  </si>
  <si>
    <t>屑鉄場のたかり屋</t>
    <phoneticPr fontId="1"/>
  </si>
  <si>
    <t>ナクタムンの侍臣、テムメト</t>
    <phoneticPr fontId="1"/>
  </si>
  <si>
    <t>慮外な押収</t>
    <phoneticPr fontId="1"/>
  </si>
  <si>
    <t>スフィンクスの後見</t>
    <phoneticPr fontId="1"/>
  </si>
  <si>
    <t>飛行機械の諜報網</t>
    <phoneticPr fontId="1"/>
  </si>
  <si>
    <t>抽出機構</t>
    <phoneticPr fontId="1"/>
  </si>
  <si>
    <t>黒赤</t>
    <phoneticPr fontId="1"/>
  </si>
  <si>
    <t>マリオネットの達人</t>
    <phoneticPr fontId="1"/>
  </si>
  <si>
    <t>奥の手</t>
    <phoneticPr fontId="1"/>
  </si>
  <si>
    <t>無許可の分解</t>
    <phoneticPr fontId="1"/>
  </si>
  <si>
    <t>金属製の巨像</t>
    <phoneticPr fontId="1"/>
  </si>
  <si>
    <t>黒赤</t>
    <phoneticPr fontId="1"/>
  </si>
  <si>
    <t>アクロスの兵長</t>
    <phoneticPr fontId="1"/>
  </si>
  <si>
    <t>地底街のトロール</t>
    <phoneticPr fontId="1"/>
  </si>
  <si>
    <t>このサポートがボード上に出たとき、あなたがコントロールする各クリーチャーは+2/+2の修整を受ける。&amp;br;超過1：あなたのコントロールする各クリーチャーは+1/+1の修整を受ける。</t>
    <phoneticPr fontId="1"/>
  </si>
  <si>
    <t>不屈の神ロナス</t>
    <phoneticPr fontId="1"/>
  </si>
  <si>
    <t>接死 ダメージ軽減&amp;br;ジェム2個を起動する：あなたのターン終了時まで、あなたがコントロールする他の最初のクリーチャーは+4/0の修整を受ける。&amp;br;あなたが8以上のパワーを持つ他のクリーチャーをコントロールしていないかぎり、このクリーチャーは攻撃できずブロックできない。</t>
    <phoneticPr fontId="1"/>
  </si>
  <si>
    <t>ナーナムの改革派</t>
    <phoneticPr fontId="1"/>
  </si>
  <si>
    <t>ガイアー岬の山賊</t>
    <phoneticPr fontId="1"/>
  </si>
  <si>
    <t>忘れられていた家宝</t>
    <phoneticPr fontId="1"/>
  </si>
  <si>
    <t>爪の群れのウルリッチ</t>
    <phoneticPr fontId="1"/>
  </si>
  <si>
    <t>ST</t>
  </si>
  <si>
    <t>ST</t>
    <phoneticPr fontId="1"/>
  </si>
  <si>
    <t>LG</t>
  </si>
  <si>
    <t>LG</t>
    <phoneticPr fontId="1"/>
  </si>
  <si>
    <t>野望のカルトーシュ</t>
    <phoneticPr fontId="1"/>
  </si>
  <si>
    <t>失われた遺産</t>
    <phoneticPr fontId="1"/>
  </si>
  <si>
    <t>絆魂&amp;br;あなたが無色のサポートを唱えたとき、あなたはカードを1枚引く。</t>
    <phoneticPr fontId="1"/>
  </si>
  <si>
    <t>精神の眼</t>
    <phoneticPr fontId="1"/>
  </si>
  <si>
    <t>ボーマットの急使</t>
    <phoneticPr fontId="1"/>
  </si>
  <si>
    <t>あなたが呪文またはサポートを唱えたとき、あなたの次のターン開始時で、このクリーチャーは+1/+1の修正を受ける。&amp;br;このクリーチャーがプレインズウォーカーに戦闘ダメージを与えたとき、カードを1枚引く。</t>
    <phoneticPr fontId="1"/>
  </si>
  <si>
    <t>ジェスの盗人</t>
    <phoneticPr fontId="1"/>
  </si>
  <si>
    <t>飛行&amp;br;あなたが呪文を唱えたとき、あなたの次のターン開始時まで、このクリーチャーは+2/+2の修正を受ける。</t>
    <phoneticPr fontId="1"/>
  </si>
  <si>
    <t>護輪のフクロウ</t>
    <phoneticPr fontId="1"/>
  </si>
  <si>
    <t>あなたが呪文またはサポートを唱えたとき、あなたのターン終了時まで、このクリーチャーは+1/+1の修正を受けると共にバーサーカーを得る。</t>
    <phoneticPr fontId="1"/>
  </si>
  <si>
    <t>魔道士輪の暴漢</t>
    <phoneticPr fontId="1"/>
  </si>
  <si>
    <t>飛行 速攻 &amp;br;あなたが呪文を唱えたとき、あなたのターン終了時まで、このクリーチャーは+1/+1の修正を受ける。</t>
    <phoneticPr fontId="1"/>
  </si>
  <si>
    <t>嵐追いの魔道士</t>
    <phoneticPr fontId="1"/>
  </si>
  <si>
    <t>あなたが呪文を唱えたとき、あなたのターン終了時まで、このクリーチャーは+1/+1の修正を受ける。&amp;br;このクリーチャーがプレインズウォーカーに戦闘ダメージを与えたとき、調査を行う。</t>
    <phoneticPr fontId="1"/>
  </si>
  <si>
    <t>あなたが呪文かサポートを唱えたとき、あなたのターン終了時まで、このクリーチャーは+1/+1の修正を受ける。</t>
    <phoneticPr fontId="1"/>
  </si>
  <si>
    <t>火の猟犬</t>
    <phoneticPr fontId="1"/>
  </si>
  <si>
    <t>飛行&amp;br;あなたが呪文を唱えたとき、あなたのターン終了時まで、このクリーチャーは+3/+3の修正を受け、あなたの次のターン開始時まで、対戦相手がコントロールする最初のクリーチャーは無効化される。</t>
    <phoneticPr fontId="1"/>
  </si>
  <si>
    <t>霜のニブリス</t>
    <phoneticPr fontId="1"/>
  </si>
  <si>
    <t>警戒を持つ2/2の騎士を4体召喚する。&amp;br;ボードに8個以上の白ジェムがある場合、あなたのターン終了時まであなたのすべてのクリーチャーはダメージ軽減を得る。</t>
    <phoneticPr fontId="1"/>
  </si>
  <si>
    <t>粉々</t>
    <phoneticPr fontId="1"/>
  </si>
  <si>
    <t>根から絶つ</t>
    <phoneticPr fontId="1"/>
  </si>
  <si>
    <t>回収蔦</t>
    <phoneticPr fontId="1"/>
  </si>
  <si>
    <t>破砕</t>
    <phoneticPr fontId="1"/>
  </si>
  <si>
    <t>結束の試練</t>
    <phoneticPr fontId="1"/>
  </si>
  <si>
    <t>収斂：収斂された各マナにつきカードを1枚引き、収斂された各マナにつき3点のダメージを与える。</t>
    <phoneticPr fontId="1"/>
  </si>
  <si>
    <t>謎めいた巡行者</t>
    <phoneticPr fontId="1"/>
  </si>
  <si>
    <t>塵の予言者</t>
    <phoneticPr fontId="1"/>
  </si>
  <si>
    <t>欠色 &amp;br;ジェム3個を起動する：昇華1を行う：あなたの次のターン開始時まで、対戦相手がコントロールする最初のクリーチャーを無効化する。</t>
    <phoneticPr fontId="1"/>
  </si>
  <si>
    <t>欠色 &amp;br;このクリーチャーが戦場に出たとき、昇華1を行う：対戦相手の手札が5枚以下の場合、対戦相手がコントロールするクリーチャー1体を対象とし、それを対戦相手の手札に戻す。</t>
    <phoneticPr fontId="1"/>
  </si>
  <si>
    <t>このクリーチャーが戦場に出たとき、昇華2を行う：このクリーチャーは+4/+4の修正を受ける。</t>
    <phoneticPr fontId="1"/>
  </si>
  <si>
    <t>ウラモグの強奪者</t>
    <phoneticPr fontId="1"/>
  </si>
  <si>
    <t>ウラモグの回収者</t>
    <phoneticPr fontId="1"/>
  </si>
  <si>
    <t>昇華者の突撃</t>
    <phoneticPr fontId="1"/>
  </si>
  <si>
    <t>欠色 &amp;br;昇華1を行う：クリーチャー1体を対象とし、それに5点のダメージを与える。</t>
    <phoneticPr fontId="1"/>
  </si>
  <si>
    <t>荒廃唱え</t>
    <phoneticPr fontId="1"/>
  </si>
  <si>
    <t>強欲なドラゴン</t>
    <phoneticPr fontId="1"/>
  </si>
  <si>
    <t>不死の援護者、ヤヘンニ</t>
    <phoneticPr fontId="1"/>
  </si>
  <si>
    <t>疫病吹き</t>
    <phoneticPr fontId="1"/>
  </si>
  <si>
    <t>栄光の神バントゥ</t>
    <phoneticPr fontId="1"/>
  </si>
  <si>
    <t>栄光をもたらすもの</t>
    <phoneticPr fontId="1"/>
  </si>
  <si>
    <t>護法の宝珠</t>
    <phoneticPr fontId="1"/>
  </si>
  <si>
    <t>HOU</t>
  </si>
  <si>
    <t>尽きぬ希望のエイヴン</t>
  </si>
  <si>
    <t>Aven of Enduring Hope</t>
  </si>
  <si>
    <t>このクリーチャーが戦場に出たとき、あなたは3点のライフを得る。</t>
  </si>
  <si>
    <t>不屈のエイヴン</t>
  </si>
  <si>
    <t>Dauntless Aven</t>
  </si>
  <si>
    <t>このクリーチャーが攻撃したとき、あなたがコントロールする無効化されている最初のクリーチャーを有効化する。</t>
  </si>
  <si>
    <t>廃却するミイラ</t>
  </si>
  <si>
    <t>Disposal Mummy</t>
  </si>
  <si>
    <t>このクリーチャーが戦場に出たとき、対戦相手の墓地に置かれた不朽か余波か永遠を持つ最後のクリーチャーを追放する。</t>
  </si>
  <si>
    <t>従順な召使い</t>
  </si>
  <si>
    <t>Dutiful Servants</t>
  </si>
  <si>
    <t>ミイラの大王</t>
  </si>
  <si>
    <t>Mummy Paramount</t>
  </si>
  <si>
    <t>ゾンビが戦場に出たとき、あなたのターン終了時まで、このクリーチャーは+1/+1の修整を受ける。</t>
  </si>
  <si>
    <t>オケチラの報復者</t>
  </si>
  <si>
    <t>Oketra's Avenger</t>
  </si>
  <si>
    <t>督励2：あなたのターン終了時まで、このクリーチャーはダメージ軽減とバーサーカーを得る。</t>
  </si>
  <si>
    <t>孤高のラクダ</t>
  </si>
  <si>
    <t>Solitary Camel</t>
  </si>
  <si>
    <t>ラクダ</t>
  </si>
  <si>
    <t>このクリーチャーが戦場に出たとき、あなたの墓地に砂漠がある場合、このクリーチャーは絆魂を得る。</t>
  </si>
  <si>
    <t>不動の歩哨</t>
  </si>
  <si>
    <t>Steadfast Sentinel</t>
  </si>
  <si>
    <t>永遠1</t>
  </si>
  <si>
    <t>英雄的行動</t>
  </si>
  <si>
    <t>Act of Heroism</t>
  </si>
  <si>
    <t>クリーチャー1体を対象とする。それは有効化される。その後、あなたの次のターン開始時まで、それは+2/+2の修整を受けるとともにディフェンダーを得る。</t>
  </si>
  <si>
    <t>Desert of the True</t>
  </si>
  <si>
    <t>砂漠</t>
  </si>
  <si>
    <t>あなたの手札の各カードは2マナを得る。</t>
  </si>
  <si>
    <t>砂爆破</t>
  </si>
  <si>
    <t>Sandblast</t>
  </si>
  <si>
    <t>あなたがコントロールするクリーチャーがブロックされたとき、ブロックしたクリーチャーは5点のダメージを受ける。このサポートを破壊する。</t>
  </si>
  <si>
    <t>対戦相手がコントロールするクリーチャーが攻撃したとき、そのクリーチャーは5点のダメージを受ける。このサポートを破壊する。</t>
  </si>
  <si>
    <t>王神の信者</t>
  </si>
  <si>
    <t>God-Pharaoh's Faithful</t>
  </si>
  <si>
    <t>(あなたがクリーチャーか呪文かサポートを唱えるたびに、あなたは1点のライフを得る。)</t>
  </si>
  <si>
    <t>陽光鞭の勇者</t>
  </si>
  <si>
    <t>Sunscourge Champion</t>
  </si>
  <si>
    <t>このクリーチャーが戦場に出たとき、あなたはX点のライフを得る。Xはこのクリーチャーのパワーに等しい。</t>
  </si>
  <si>
    <t>Desert's Hold</t>
  </si>
  <si>
    <t>オーラ</t>
  </si>
  <si>
    <t>対戦相手がコントロールする最初のクリーチャーを無効化する。</t>
  </si>
  <si>
    <t>あなたがこのカードを唱えたとき、あなたの墓地に砂漠･呪文がある場合、あなたは5点のライフを得る。</t>
  </si>
  <si>
    <t>典雅な襲撃者</t>
  </si>
  <si>
    <t>Adorned Pouncer</t>
  </si>
  <si>
    <t>結束に仕える者</t>
  </si>
  <si>
    <t>Steward of Solidarity</t>
  </si>
  <si>
    <t>督励1：あなたは警戒を持つ1/1の戦士･トークンを1体召喚する。</t>
  </si>
  <si>
    <t>信義の侍臣</t>
  </si>
  <si>
    <t>Vizier of the True</t>
  </si>
  <si>
    <t>あなたがコントロールするクリーチャーが攻撃したとき、あなたのターン終了時まで、対戦相手がコントロールする無効化されていない最初のクリーチャーを無効化する。</t>
  </si>
  <si>
    <t>ギデオンの敗北</t>
  </si>
  <si>
    <t>Gideon's Defeat</t>
  </si>
  <si>
    <t>対戦相手がコントロールするクリーチャーが攻撃したとき、それを追放する。その後あなたは5点のライフを得て、このサポートを破壊する。</t>
  </si>
  <si>
    <t>厳粛</t>
  </si>
  <si>
    <t>Solemnity</t>
  </si>
  <si>
    <t>対戦相手がカードをサイクリングしたとき、対戦相手の手札の最後のカードを破壊する。</t>
  </si>
  <si>
    <t>糾弾の天使</t>
  </si>
  <si>
    <t>Angel of Condemnation</t>
  </si>
  <si>
    <t>督励3：対戦相手がコントロールする最初のクリーチャーを追放する。</t>
  </si>
  <si>
    <t>冠毛の陽馬</t>
  </si>
  <si>
    <t>Crested Sunmare</t>
  </si>
  <si>
    <t>あなたがコントロールする他の各馬はダメージ軽減を得る。</t>
  </si>
  <si>
    <t>あなたがライフを得たとき、あなたのターン終了時まで(翻訳ミス：あなたのターン終了時に)、このクリーチャーは5/5の馬･トークンを1体召喚する。</t>
  </si>
  <si>
    <t>目を開いた者、デジェル</t>
  </si>
  <si>
    <t>Djeru, With Eyes Open</t>
  </si>
  <si>
    <t>(あなたが受けるダメージを10軽減させる。)</t>
  </si>
  <si>
    <t>圧倒的輝き</t>
  </si>
  <si>
    <t>Overwhelming Splendor</t>
  </si>
  <si>
    <t>呪い</t>
  </si>
  <si>
    <t>対戦相手の手札の各カードはマナ･コストが6マナ多くなる。</t>
  </si>
  <si>
    <t>空からの導き手</t>
  </si>
  <si>
    <t>Aerial Guide</t>
  </si>
  <si>
    <t>あなたのターンの戦闘開始時に、あなたのターン終了時まで、あなたが紺とトールする飛行を持たない最初のクリーチャーは飛行を得る。</t>
  </si>
  <si>
    <t>エイヴンの葦原忍び</t>
  </si>
  <si>
    <t>Aven Reedstalker</t>
  </si>
  <si>
    <t>狡猾な生き残り</t>
  </si>
  <si>
    <t>Cunning Survivor</t>
  </si>
  <si>
    <t>あなたがカードをサイクリングしたとき、あなたのターン終了時まで、このクリーチャーは+1/0の修整を受けるとともにブロックされない。</t>
  </si>
  <si>
    <t>実績ある戦闘員</t>
  </si>
  <si>
    <t>Proven Combatant</t>
  </si>
  <si>
    <t>最後の明日の予見者</t>
  </si>
  <si>
    <t>Seer of the Last Tomorrow</t>
  </si>
  <si>
    <t>相殺の風</t>
  </si>
  <si>
    <t>Countervailing Winds</t>
  </si>
  <si>
    <t>対戦相手の手札の最初のカードのマナを完全に吸収する。</t>
  </si>
  <si>
    <t>Desert of the Mindful</t>
  </si>
  <si>
    <t>あなたは6マナを得る。</t>
  </si>
  <si>
    <t>巧みな軍略</t>
  </si>
  <si>
    <t>Strategic Planning</t>
  </si>
  <si>
    <t>あなたのライブラリーの次の3枚のカードから1枚を取ってくる。その後、他のカードを破壊する。</t>
  </si>
  <si>
    <t>悲劇的教訓</t>
  </si>
  <si>
    <t>Tragic Lesson</t>
  </si>
  <si>
    <t>あなたはカードを2枚引く。あなたから3マナ吸収する。</t>
  </si>
  <si>
    <t>抑え難い渇き</t>
  </si>
  <si>
    <t>Unquenchable Thirst</t>
  </si>
  <si>
    <t>あなたの墓地に砂漠がある場合、クリーチャー1体を対象とする。あなたの次のターン開始時まで、それを無効化する。そうでない場合、あなたのターン終了時まで、それを無効化する。</t>
  </si>
  <si>
    <t>Unsummon</t>
  </si>
  <si>
    <t>対戦相手の手札が5枚以下の場合、対戦相手がコントロールするクリーチャー1対を対象とし、それを対戦相手の手札に戻す。</t>
  </si>
  <si>
    <t>厳しい事実の永遠衆</t>
  </si>
  <si>
    <t>Eternal of Harsh Truths</t>
  </si>
  <si>
    <t>このクリーチャーが対戦相手に戦闘ダメージを与えたとき、あなたはカードを1枚引く。</t>
  </si>
  <si>
    <t>加虐</t>
  </si>
  <si>
    <t>しなやかな打撃者</t>
  </si>
  <si>
    <t>Sinuous Striker</t>
  </si>
  <si>
    <t>ジェム1個を起動する：クリーチャー1体を対象とする。あなたのターン終了時まで、それは+1/+1の修整を受ける。</t>
  </si>
  <si>
    <t>永遠2</t>
  </si>
  <si>
    <t>至高の意志</t>
  </si>
  <si>
    <t>Supreme Will</t>
  </si>
  <si>
    <t>あなたのライブラリーの次の4枚のカードから1枚を取ってくる。その後、他の3枚のカードをあなたのライブラリーの一番下に移動する。</t>
  </si>
  <si>
    <t>機知の勇者</t>
  </si>
  <si>
    <t>Champion of Wits</t>
  </si>
  <si>
    <t>このクリーチャーが戦場に出たとき、あなたはカードを1枚捨てて、その後カードを2枚引く。</t>
  </si>
  <si>
    <t>敏捷な妨害術師</t>
  </si>
  <si>
    <t>Nimble Obstructionist</t>
  </si>
  <si>
    <t>あなたがこのカードをサイクリングしたとき、対戦相手がコントロールする各起動ジェムを破壊する。</t>
  </si>
  <si>
    <t>不吉なスフィンクス</t>
  </si>
  <si>
    <t>Ominous Sphinx</t>
  </si>
  <si>
    <t>あなたがカードをサイクリングしたとき、あなたの次のターン開始時まで、対戦相手がコントロールする最初のクリーチャーは-4/0の修整を受ける。</t>
  </si>
  <si>
    <t>選定の侍臣</t>
  </si>
  <si>
    <t>Vizier of the Anointed</t>
  </si>
  <si>
    <t>このクリーチャーが戦場に出たとき、不朽か永遠を持つあなたのライブラリーの最初のクリーチャーを破壊する。</t>
  </si>
  <si>
    <t>ゾンビが1体あなたのコントロール下で戦場に出たとき、あなたはカードを1枚引く。</t>
  </si>
  <si>
    <t>空想の脅威</t>
  </si>
  <si>
    <t>Imaginary Threats</t>
  </si>
  <si>
    <t>羊頭スフィンクスの君主、アネシ</t>
  </si>
  <si>
    <t>Unesh, Criosphinx Sovereign</t>
  </si>
  <si>
    <t>あなたの手札のスフィンクス･クリーチャーはマナ･コストが6少なくなる。</t>
  </si>
  <si>
    <t>このクリーチャーが戦場に出たとき、あなたが手札でコントロールするカードが4枚以下の場合、対戦相手のライブラリーの最初の2枚のカードをあなたの手札に取ってくる。</t>
  </si>
  <si>
    <t>永遠の刻</t>
  </si>
  <si>
    <t>Hour of Eternity</t>
  </si>
  <si>
    <t>(4/4のゾンビトークンをX体召喚する。Xはあなたの墓地にあるクリーチャーカードの総数に等しい。その後、あなたの墓地の各クリーチャーを追放する。)</t>
  </si>
  <si>
    <t>正気減らし</t>
  </si>
  <si>
    <t>Fraying Sanity</t>
  </si>
  <si>
    <t>対戦相手のターン終了時に対戦相手から5マナを吸収する。</t>
  </si>
  <si>
    <t>大群の諜報</t>
  </si>
  <si>
    <t>Swarm Intelligence</t>
  </si>
  <si>
    <t>あなたが呪文を唱えたとき、あなたの手札の次の呪文はいっぱいのマナを得る。その後このサポートは1シールドを失う。</t>
  </si>
  <si>
    <t>屍肉の金切り声上げ</t>
  </si>
  <si>
    <t>Carrion Screecher</t>
  </si>
  <si>
    <t>忌まわしい生き残り</t>
  </si>
  <si>
    <t>Grisly Survivor</t>
  </si>
  <si>
    <t>あなたがカードをサイクリングしたとき、あなたのターン終了時まで、このクリーチャーは+2/+0の修整を受ける。</t>
  </si>
  <si>
    <t>ケンラの永遠衆</t>
  </si>
  <si>
    <t>Khenra Eternal</t>
  </si>
  <si>
    <t>よろけ腐り獣</t>
  </si>
  <si>
    <t>Lurching Rotbeast</t>
  </si>
  <si>
    <t>無法の斬骨鬼</t>
  </si>
  <si>
    <t>Marauding Boneslasher</t>
  </si>
  <si>
    <t>呻きの壁</t>
  </si>
  <si>
    <t>Moaning Wall</t>
  </si>
  <si>
    <t>魂のたかり屋</t>
  </si>
  <si>
    <t>Scrounger of Souls</t>
  </si>
  <si>
    <t>不憫なラクダ</t>
  </si>
  <si>
    <t>Wretched Camel</t>
  </si>
  <si>
    <t>このクリーチャーが死亡したとき、あなたの墓地に砂漠がある場合、対戦相手はカードを1枚捨てる。</t>
  </si>
  <si>
    <t>Desert of the Glorified</t>
  </si>
  <si>
    <t>あなたが3点のダメージを受けて6マナを得る。</t>
  </si>
  <si>
    <t>致死の一刺し</t>
  </si>
  <si>
    <t>Lethal Sting</t>
  </si>
  <si>
    <t>あなたがコントロールするクリーチャー1体を対象とする。それは-1/-1の修整を受ける。クリーチャー1体を対象とする。それを破壊する。</t>
  </si>
  <si>
    <t>弱点消し</t>
  </si>
  <si>
    <t>Without Weakness</t>
  </si>
  <si>
    <t>あなたがコントロールするクリーチャー1体を対象とする。あなたのターン終了時まで、それはダメージ軽減を得る。</t>
  </si>
  <si>
    <t>無慈悲な永遠衆</t>
  </si>
  <si>
    <t>Merciless Eternal</t>
  </si>
  <si>
    <t>ジェム2個を起動する：クリーチャー1体を対象とする。あなたのターン終了時まで、それは+4/+4の修整を受ける。</t>
  </si>
  <si>
    <t>Vile Manifestation</t>
  </si>
  <si>
    <t>このクリーチャーが戦場に出たとき、これは+X/0の修整を受ける。Xはあなたの墓地のサイクリングを持つカードの枚数に等しい。</t>
  </si>
  <si>
    <t>リリアナの敗北</t>
  </si>
  <si>
    <t>Liliana's Defeat</t>
  </si>
  <si>
    <t>クリーチャー1体を対象とし、それを破壊する。対戦相手は3点のダメージを受ける。</t>
  </si>
  <si>
    <t>Razaketh's Rite</t>
  </si>
  <si>
    <t>あなたのライブラリーの次の4枚のカードのうち1枚を取ってくる。</t>
  </si>
  <si>
    <t>呪われた大群</t>
  </si>
  <si>
    <t>Accursed Horde</t>
  </si>
  <si>
    <t>ジェム2個を起動する：あなたのターン終了時まで、あなたがコントロールする各ゾンビはダメージ軽減を得る。</t>
  </si>
  <si>
    <t>アムムトの永遠衆</t>
  </si>
  <si>
    <t>Ammit Eternal</t>
  </si>
  <si>
    <t>対戦相手がクリーチャーか呪文かサポートを唱えたとき、このクリーチャーは-1/-1の修整を受ける。</t>
  </si>
  <si>
    <t>このクリーチャーが対戦相手に戦闘ダメージを与えたとき、このクリーチャーは+1/+1の修整を受ける。</t>
  </si>
  <si>
    <t>夢盗人</t>
  </si>
  <si>
    <t>Dreamstealer</t>
  </si>
  <si>
    <t>このクリーチャーが対戦相手に戦闘ダメージを与えたとき、対戦相手はカードを1枚捨てる。</t>
  </si>
  <si>
    <t>大災厄</t>
  </si>
  <si>
    <t>Doomfall</t>
  </si>
  <si>
    <t>対戦相手がコントロールする最初のクリーチャーを追放する。</t>
  </si>
  <si>
    <t>対戦相手の手札の最初のカードを追放する。</t>
  </si>
  <si>
    <t>黙示録の悪魔</t>
  </si>
  <si>
    <t>Apocalypse Demon</t>
  </si>
  <si>
    <t>このクリーチャーが戦場に出たとき、これは+X/+Xの修整を受ける。Xはあなたの墓地のカードの枚数に等しい。</t>
  </si>
  <si>
    <t>穢れた血、ラザケシュ</t>
  </si>
  <si>
    <t>Razaketh, the Foulblooded</t>
  </si>
  <si>
    <t>あなたがコントロールするクリーチャーが死亡したとき、あなたは10点のダメージを受ける。その後、あなたのライブラリーの最初のクリーチャーを取ってきて、それに10マナを与える。</t>
  </si>
  <si>
    <t>霰炎の責め苦</t>
  </si>
  <si>
    <t>Torment of Hailfire</t>
  </si>
  <si>
    <t>対戦相手はX点のダメージを受ける。Xは、対戦相手がコントロールするクリーチャーの総数の3倍と、対戦相手がコントロールするサポートの総数の2倍と、対戦相手が手札でコントロールするカードの枚数の合計に等しい。</t>
  </si>
  <si>
    <t>果敢なケンラ</t>
  </si>
  <si>
    <t>Defiant Khenra</t>
  </si>
  <si>
    <t>前線の壊滅者</t>
  </si>
  <si>
    <t>Frontline Devastator</t>
  </si>
  <si>
    <t>ジェム3個を起動する：クリーチャー1体を対象とする。あなたのターン終了時まで、それは+1/0の修整を受ける。</t>
  </si>
  <si>
    <t>金色のセロドン</t>
  </si>
  <si>
    <t>Gilded Cerodon</t>
  </si>
  <si>
    <t>このクリーチャーが攻撃したとき、あなたの墓地に砂漠がある場合、あなたのターン終了時まで、対戦相手がコントロールするディフェンダーか到達か警戒を持つ最初のクリーチャーはブロックできない。</t>
  </si>
  <si>
    <t>ケンラの潰し屋</t>
  </si>
  <si>
    <t>Khenra Scrapper</t>
  </si>
  <si>
    <t>督励2：クリーチャー1体を対象とする。あなたのターン終了時まで、それは+2/0の修整を受ける。</t>
  </si>
  <si>
    <t>棘モロク</t>
  </si>
  <si>
    <t>Thorned Moloch</t>
  </si>
  <si>
    <t>あなたが呪文かサポートを唱えたとき、あなたのターン終了時まで、このクリーチャーは+1/+1の修整を受ける。</t>
  </si>
  <si>
    <t>このクリーチャーが攻撃したとき、あなたのターン終了時まで、先制攻撃を得る。</t>
  </si>
  <si>
    <t>かすむ刀剣</t>
  </si>
  <si>
    <t>Blur of Blades</t>
  </si>
  <si>
    <t>対戦相手がコントロールするクリーチャー1体を対象とする。それは-1/-1の修整を受ける。対戦相手は3点のダメージを受ける。</t>
  </si>
  <si>
    <t>突破</t>
  </si>
  <si>
    <t>Crash Through</t>
  </si>
  <si>
    <t>あなたのターン終了時まで、あなたがコントロールする各クリーチャーはバーサーカーとトランプルを得る。あなたはカードを1枚引く。</t>
  </si>
  <si>
    <t>熱烈の砂漠</t>
  </si>
  <si>
    <t>Desert of the Fervent</t>
  </si>
  <si>
    <t>ジェム3個を破壊する。</t>
  </si>
  <si>
    <t>火をつける怒り</t>
  </si>
  <si>
    <t>Kindled Fury</t>
  </si>
  <si>
    <t>クリーチャー1体を対象とする。あなたのターン終了時まで、それは+1/0の修整を受けるとともに先制攻撃を得る。</t>
  </si>
  <si>
    <t>発射</t>
  </si>
  <si>
    <t>Open Fire</t>
  </si>
  <si>
    <t>クリーチャー1体かプレインズウォーカー1体を対象とする。それは3点のダメージを受ける。</t>
  </si>
  <si>
    <t>穿刺の一撃</t>
  </si>
  <si>
    <t>Puncturing Blow</t>
  </si>
  <si>
    <t>クリーチャー1体を対象とする。それは5点のダメージを受ける。</t>
  </si>
  <si>
    <t>熱烈の苦悶術師</t>
  </si>
  <si>
    <t>Fervent Paincaster</t>
  </si>
  <si>
    <t>督励2：対戦相手は3点のダメージを受ける。その後、対戦相手がコントロールする最初のクリーチャーは3点のダメージを受ける。</t>
  </si>
  <si>
    <t>砂かけ獣</t>
  </si>
  <si>
    <t>Sand Strangler</t>
  </si>
  <si>
    <t>このクリーチャーが戦場に出たとき、あなたの墓地に砂漠がある場合、クリーチャー1体を対象とする。それは4点のダメージを受ける。</t>
  </si>
  <si>
    <t>チャンドラの敗北</t>
  </si>
  <si>
    <t>Chandra's Defeat</t>
  </si>
  <si>
    <t>赤のクリーチャー1体を対象とする。それは10点のダメージを受ける。</t>
  </si>
  <si>
    <t>燃え拳のミノタウルス</t>
  </si>
  <si>
    <t>Burning-Fist Minotaur</t>
  </si>
  <si>
    <t>ジェム3個を起動する；あなたはカードを1枚捨てる。</t>
  </si>
  <si>
    <t>あなたがカードを1枚捨てたとき、このクリーチャーは+2/0の修整を受ける。</t>
  </si>
  <si>
    <t>混沌の大口</t>
  </si>
  <si>
    <t>Chaos Maw</t>
  </si>
  <si>
    <t>このクリーチャーが戦場に出たとき、他の各クリーチャーは5点のダメージを受ける。</t>
  </si>
  <si>
    <t>地揺すりのケンラ</t>
  </si>
  <si>
    <t>Earthshaker Khenra</t>
  </si>
  <si>
    <t>このクリーチャーが戦場に出たとき、パワーが6以下でディフェンダーか到達か警戒を持つ最初のクリーチャーはブロックできない。</t>
  </si>
  <si>
    <t>マグマロス</t>
  </si>
  <si>
    <t>Magmaroth</t>
  </si>
  <si>
    <t>あなたのターン開始時に、このクリーチャーは-2/-2の修整を受ける。</t>
  </si>
  <si>
    <t>あなたが呪文かサポートを唱えたとき、このクリーチャーは+1/+1の修整を受ける。</t>
  </si>
  <si>
    <t>業火の噴流</t>
  </si>
  <si>
    <t>Inferno Jet</t>
  </si>
  <si>
    <t>対戦相手は12点のダメージを受ける。</t>
  </si>
  <si>
    <t>永遠衆、ネヘブ</t>
  </si>
  <si>
    <t>Neheb, the Eternal</t>
  </si>
  <si>
    <t>このクリーチャーがプレインズウォーカーに戦闘ダメージを与えたとき、あなたは4マナを得る。</t>
  </si>
  <si>
    <t>野火の永遠衆</t>
  </si>
  <si>
    <t>Wildfire Eternal</t>
  </si>
  <si>
    <t>このクリーチャーがプレインズウォーカーにダメージを与えたとき、あなたの手札の最初の呪文はいっぱいのマナを得る。</t>
  </si>
  <si>
    <t>差し迫る破滅</t>
  </si>
  <si>
    <t>Imminent Doom</t>
  </si>
  <si>
    <t>あなたが呪文を唱えたとき、対戦相手はX点のダメージを受ける。Xはこのサポートのシールドの値に等しい。その後、このサポートは1シールドを得る。</t>
  </si>
  <si>
    <t>残忍な野猫</t>
  </si>
  <si>
    <t>Feral Prowler</t>
  </si>
  <si>
    <t>エリマキサンドワラ</t>
  </si>
  <si>
    <t>Frilled Sandwalla</t>
  </si>
  <si>
    <t>ジェム1個を起動する：クリーチャー1体を対象とする。あなたのターン終了時まで、それは+2/+2の修整を受ける。</t>
  </si>
  <si>
    <t>侵略ナーガ</t>
  </si>
  <si>
    <t>Harrier Naga</t>
  </si>
  <si>
    <t>オアシスの祭儀師</t>
  </si>
  <si>
    <t>Oasis Ritualist</t>
  </si>
  <si>
    <t>督励2：ジェム4個を緑に変換する。</t>
  </si>
  <si>
    <t>猛り狂うカバ</t>
  </si>
  <si>
    <t>Rampaging Hippo</t>
  </si>
  <si>
    <t>ロナスの重鎮</t>
  </si>
  <si>
    <t>Rhonas's Stalwart</t>
  </si>
  <si>
    <t>督励2：あなたのターン終了時まで、このクリーチャーは+1/+1の修整を受けるとともにブロックできない。</t>
  </si>
  <si>
    <t>横這ナーガ</t>
  </si>
  <si>
    <t>Sidewinder Naga</t>
  </si>
  <si>
    <t>このクリーチャーが戦場に出たとき、あなたの墓地に砂漠がある場合、このクリーチャーは+1/0の修整を受けるとともにトランプルを得る。</t>
  </si>
  <si>
    <t>砂の下から</t>
  </si>
  <si>
    <t>Beneath the Sands</t>
  </si>
  <si>
    <t>ジェム8個を緑に変換する。</t>
  </si>
  <si>
    <t>不屈の砂漠</t>
  </si>
  <si>
    <t>Desert of the Indomitable</t>
  </si>
  <si>
    <t>ジェム4個を緑に変換する。</t>
  </si>
  <si>
    <t>人生は続く</t>
  </si>
  <si>
    <t>Life Goes On</t>
  </si>
  <si>
    <t>あなたは6点のライフを得る。</t>
  </si>
  <si>
    <t>活力の信奉者</t>
  </si>
  <si>
    <t>Devotee of Strength</t>
  </si>
  <si>
    <t>ジェム1個を起動する：あなたのターン終了時まで、あなたがコントロールする最初のクリーチャーは+3/+3の修整を受ける。</t>
  </si>
  <si>
    <t>砂丘の易者</t>
  </si>
  <si>
    <t>Dune Diviner</t>
  </si>
  <si>
    <t>ジェム3個を起動する：あなたの墓地に砂漠･呪文がある場合、あなたは1点のライフを得る。</t>
  </si>
  <si>
    <t>強靭な狩り手</t>
  </si>
  <si>
    <t>Tenacious Hunter</t>
  </si>
  <si>
    <t>警戒 接死</t>
  </si>
  <si>
    <t>活力の贈り物</t>
  </si>
  <si>
    <t>Gift of Strength</t>
  </si>
  <si>
    <t>採石場の甲虫</t>
  </si>
  <si>
    <t>Quarry Beetle</t>
  </si>
  <si>
    <t>このクリーチャーが戦場に出たとき、ジェムX個を緑に変換する。Xはあなたの墓地にある呪文の総数の2倍に等しい。</t>
  </si>
  <si>
    <t>ラムナプの採掘者</t>
  </si>
  <si>
    <t>Ramunap Excavator</t>
  </si>
  <si>
    <t>あなたが3個以上のジェムをマッチさせたとき、あなたは1マナを得る。</t>
  </si>
  <si>
    <t>立て直しのケンラ</t>
  </si>
  <si>
    <t>Resilient Khenra</t>
  </si>
  <si>
    <t>このクリーチャーが戦場に出たとき、あなたがコントロールする他の最初のクリーチャーは+2/+2の修整を受ける。</t>
  </si>
  <si>
    <t>選別ワーム</t>
  </si>
  <si>
    <t>Sifter Wurm</t>
  </si>
  <si>
    <t>このクリーチャーが戦場に出たとき、あなたはX点のライフを得る。Xはあなたのライブラリーの最初のカードのマナ･コストに等しい。</t>
  </si>
  <si>
    <t>超克</t>
  </si>
  <si>
    <t>Overcome</t>
  </si>
  <si>
    <t>あなたのターン終了時まで、あなたがコントロールする各クリーチャーは+8/+8の修整を受けるとともにトランプルとバーサーカーを得る。</t>
  </si>
  <si>
    <t>威厳ある万卒隊長</t>
  </si>
  <si>
    <t>Majestic Myriarch</t>
  </si>
  <si>
    <t>ディフェンダー 飛行 呪禁</t>
  </si>
  <si>
    <t>このクリーチャーが戦場に出たとき、これは+X/+Xの修整を受ける。Xはあなたがコントロールするクリーチャーの総数の3倍に等しい。</t>
  </si>
  <si>
    <t>誇り高き君主</t>
  </si>
  <si>
    <t>Pride Sovereign</t>
  </si>
  <si>
    <t>(他の猫があなたのコントロール下で戦場に出るたび、これは+2/+2の修整を得る。)</t>
  </si>
  <si>
    <t>(督励2：絆魂を持つ1/1の猫・トークンを2体召喚する。)</t>
  </si>
  <si>
    <t>ラムナプのハイドラ</t>
  </si>
  <si>
    <t>Ramunap Hydra</t>
  </si>
  <si>
    <t>到達 トランプル</t>
  </si>
  <si>
    <t>このクリーチャーが戦場に出たとき、これは+X/+Xの修整を受ける。Xはあなたの墓地の砂漠・呪文の総数に等しい。</t>
  </si>
  <si>
    <t>あなたが砂漠･呪文を唱えたとき、このクリーチャーは+1/+1の修整を受ける。</t>
  </si>
  <si>
    <t>生類解放</t>
  </si>
  <si>
    <t>Uncage the Menagerie</t>
  </si>
  <si>
    <t>あなたのライブラリーからクリーチャーを6体取ってくる。</t>
  </si>
  <si>
    <t>スカラベの神</t>
  </si>
  <si>
    <t>The Scarab God</t>
  </si>
  <si>
    <t>ジェム1個を起動する：あなたの墓地に置かれた最後のクリーチャーはゾンビを得る。それを戦場に戻す。そのクリーチャーが死亡したとき、それを追放する。</t>
  </si>
  <si>
    <t>あなたのターン開始時に、対戦相手はX点のダメージを受ける。Xはあなたがコントロールするゾンビの総数の5倍に等しい。その後、あなたはカードをX枚引く。Xはあなたがコントロールするゾンビの総数に等しい。</t>
  </si>
  <si>
    <t>あなたのターン開始時に、このクリーチャーがあなたの墓地にあった場合、これをあなたの手札に戻す。</t>
  </si>
  <si>
    <t>蠍の神</t>
  </si>
  <si>
    <t>The Scorpion God</t>
  </si>
  <si>
    <t>(ジェム2個を起動する：対戦相手の最初のクリーチャーに-3/-3の修整を与える。)</t>
  </si>
  <si>
    <t>(クリーチャーが死亡するたび、あなたはカードを1枚引く。)</t>
  </si>
  <si>
    <t>(あなたのターン開始時に、このクリーチャーがあなたの墓地にあった場合、これをあなたの手札に戻す。)</t>
  </si>
  <si>
    <t>ほころびミイラ</t>
  </si>
  <si>
    <t>Unraveling Mummy</t>
  </si>
  <si>
    <t>ジェム1個を起動する：あなたのターン終了時まで、あなたのコントロールする最初のゾンビは絆魂と接死を得る。</t>
  </si>
  <si>
    <t>血水の化身</t>
  </si>
  <si>
    <t>Bloodwater Entity</t>
  </si>
  <si>
    <t>あなたが呪文を唱えたとき、あなたのターン終了時まで、このクリーチャーは+1/+1の修整を受ける。</t>
  </si>
  <si>
    <t>このクリーチャーが戦場に出たとき、あなたの墓地に置かれた最後の呪文をあなたのライブラリーの一番上へ移動する。</t>
  </si>
  <si>
    <t>蝗の神</t>
  </si>
  <si>
    <t>The Locust God</t>
  </si>
  <si>
    <t>(ジェム3個を起動する：あなたは手札を1枚捨てて、カードを1枚引く。&amp;br;あなたがカードを1枚引くたび、飛行と速攻を持つ1/1の昆虫・トークンを1体召喚する。)</t>
  </si>
  <si>
    <t>オベリスクの蜘蛛</t>
  </si>
  <si>
    <t>Obelisk Spider</t>
  </si>
  <si>
    <t>このクリーチャーがクリーチャーにダメージを与えたとき、そのダメージを与えられたクリーチャーは-1/-1の修整を受ける。その後、あなたは4点のライフを得て、対戦相手は4点のライフを失う。</t>
  </si>
  <si>
    <t>毅然たる生き残り</t>
  </si>
  <si>
    <t>Resolute Survivors</t>
  </si>
  <si>
    <t>督励2：対戦相手は1点のダメージを受け、あなたは1点のライフを得る。</t>
  </si>
  <si>
    <t>川ヤツガシラ</t>
  </si>
  <si>
    <t>River Hoopoe</t>
  </si>
  <si>
    <t>ジェム1個を起動する：あなたは3点のライフを得て、カードを1枚引く。</t>
  </si>
  <si>
    <t>彫像の忌まわしき者</t>
  </si>
  <si>
    <t>Graven Abomination</t>
  </si>
  <si>
    <t>このクリーチャーが攻撃したとき、対戦相手の墓地に置かれた最後のカードを追放する。</t>
  </si>
  <si>
    <t>忘れられた王族の壁</t>
  </si>
  <si>
    <t>Wall of Forgotten Pharaohs</t>
  </si>
  <si>
    <t>ジェム1個を起動する：あなたの墓地に砂漠がある場合、対戦相手は3点のダメージを受ける。</t>
  </si>
  <si>
    <t>生存者の野営地</t>
  </si>
  <si>
    <t>Survivors' Encampment</t>
  </si>
  <si>
    <t>あなたのターン終了時まで、あなたがコントロールするクリーチャー1体を無効化する。あなたは6マナを得る。</t>
  </si>
  <si>
    <t>旅行者の護符</t>
  </si>
  <si>
    <t>Traveler's Amulet</t>
  </si>
  <si>
    <t>ジェム2個をあなたのプレインズウォーカーの色に変換する。</t>
  </si>
  <si>
    <t>マナリス</t>
  </si>
  <si>
    <t>Manalith</t>
  </si>
  <si>
    <t>死者の砂丘</t>
  </si>
  <si>
    <t>Dunes of the Dead</t>
  </si>
  <si>
    <t>あなたは2/2のゾンビ･トークンを1体召喚する。</t>
  </si>
  <si>
    <t>ハシェプのオアシス</t>
  </si>
  <si>
    <t>Hashep Oasis</t>
  </si>
  <si>
    <t>クリーチャー1体を対象とする。あなたのターン終了時まで、それは+4/+4の修整を受ける。</t>
  </si>
  <si>
    <t>イフニルの死界</t>
  </si>
  <si>
    <t>Ifnir Deadlands</t>
  </si>
  <si>
    <t>クリーチャー1体を対象とする。それは-2/-2の修整を受ける。</t>
  </si>
  <si>
    <t>イプヌの細流</t>
  </si>
  <si>
    <t>Ipnu Rivulet</t>
  </si>
  <si>
    <t>対戦相手から6マナを吸収する。</t>
  </si>
  <si>
    <t>ラムナプの遺跡</t>
  </si>
  <si>
    <t>Ramunap Ruins</t>
  </si>
  <si>
    <t>対戦相手は4点のダメージを受ける。</t>
  </si>
  <si>
    <t>シェフェトの砂丘</t>
  </si>
  <si>
    <t>Shefet Dunes</t>
  </si>
  <si>
    <t>あなたがコントロールする各クリーチャーは+2/+2の修整を受ける。</t>
  </si>
  <si>
    <t>没収の曲杖</t>
  </si>
  <si>
    <t>Crook of Condemnation</t>
  </si>
  <si>
    <t>ジェム2個を起動する：対戦相手が墓地に置かれた不朽か永遠か余波を持つ最後のカードを追放する。</t>
  </si>
  <si>
    <t>崩れゆく死滅都市(永遠衆の墓所)</t>
  </si>
  <si>
    <t>Crumbling Necropolis(Crypt of the Eternals)</t>
  </si>
  <si>
    <t>あなたのターン開始時に、ジェム3個を黒か青か赤に変換する。</t>
  </si>
  <si>
    <t>蓋世の英雄の短剣</t>
  </si>
  <si>
    <t>Dagger of the Worthy</t>
  </si>
  <si>
    <t>装備品</t>
  </si>
  <si>
    <t>あなたがコントロールする最初のクリーチャーは+2/0の修整を受けるとともに加虐を得る。</t>
  </si>
  <si>
    <t>黄昏のピラミッド</t>
  </si>
  <si>
    <t>Sunset Pyramid</t>
  </si>
  <si>
    <t>あなたのターン開始時に、あなたはカードを1枚引く。その後、このサポートは1シールドを失う。</t>
  </si>
  <si>
    <t>Farm</t>
  </si>
  <si>
    <t>対戦相手がコントロールする次に攻撃したクリーチャーを破壊し、その後このサポートを破壊する。</t>
  </si>
  <si>
    <t>余波</t>
  </si>
  <si>
    <t>Market</t>
  </si>
  <si>
    <t>余波2：あなたはカードを2枚捨てて2枚引く。</t>
  </si>
  <si>
    <t>Consign</t>
  </si>
  <si>
    <t>Oblivion</t>
  </si>
  <si>
    <t>余波1：対戦相手はカードを2枚捨てる。</t>
  </si>
  <si>
    <t>Claim</t>
  </si>
  <si>
    <t>あなたの墓地に置かれたマナ･コストが12以下の最後のクリーチャーを戦場に戻す。</t>
  </si>
  <si>
    <t>Fame</t>
  </si>
  <si>
    <t>余波4：あなたのターン終了時まで、あなたがコントロールする最初のクリーチャーは、+4/0の修整を受けるとともに速攻を得る。</t>
  </si>
  <si>
    <t>Struggle</t>
  </si>
  <si>
    <t>クリーチャー1体を対象とする。それはX点のダメージを受ける。Xはボード上の赤ジェムの総数に等しい。</t>
  </si>
  <si>
    <t>Survive</t>
  </si>
  <si>
    <t>余波1：各プレイヤーの追放領域の各クリーチャーをそれぞれの墓地に戻す。</t>
  </si>
  <si>
    <t>Appeal</t>
  </si>
  <si>
    <t>クリーチャー1体を対象とする。あなたが次のターン開始時まで、それは+X/+Xの修整を受ける。Xはあなたがコントロールするクリーチャーの総数に等しい。</t>
  </si>
  <si>
    <t>Authority</t>
  </si>
  <si>
    <t>余波3：あなたのターン終了時まで、対戦相手がコントロールする最初の2体のクリーチャーを無効化する。あなたの次のターン開始時まで、あなたがコントロールする各クリーチャーは警戒を得る。</t>
  </si>
  <si>
    <t>Leave</t>
  </si>
  <si>
    <t>あなたがコントロールする各クリーチャーをあなたの手札に戻す。</t>
  </si>
  <si>
    <t>Chance</t>
  </si>
  <si>
    <t>余波2：あなたの手札のカードを4枚捨てて、その後カードを4枚引く。</t>
  </si>
  <si>
    <t>Reason</t>
  </si>
  <si>
    <t>Believe</t>
  </si>
  <si>
    <t>余波1：あなたのライブラリーの最初のクリーチャーを戦場に移動する。</t>
  </si>
  <si>
    <t>Grind</t>
  </si>
  <si>
    <t>対戦相手がコントロールする各クリーチャーは-2/-2の修整を受ける。</t>
  </si>
  <si>
    <t>Dust</t>
  </si>
  <si>
    <t>余波2：対戦相手がコントロールする最初のクリーチャーを追放する。</t>
  </si>
  <si>
    <t>Refuse</t>
  </si>
  <si>
    <t>対戦相手が呪文を唱えたとき、対戦相手はX点のダメージを受ける。Xはその呪文を唱えるコストに等しい。その後、サポートを破壊する。</t>
  </si>
  <si>
    <t>Cooperate</t>
  </si>
  <si>
    <t>余波3：対戦相手の墓地に置かれた際その呪文をあなたがコントロールする。それをあなたの手札に移動する。</t>
  </si>
  <si>
    <t>Driven</t>
  </si>
  <si>
    <t>あなたのターン終了時まで、あなたがコントロールす各クリーチャーはトランプルとバーサーカーと「このクリーチャーが攻撃したとき、あなたはカードを1枚引く。」を得る。</t>
  </si>
  <si>
    <t>Despair</t>
  </si>
  <si>
    <t>余波3：あなたがコントロールする各クリーチャーは威迫と｢このクリーチャーが戦闘ダメージを与えたとき、対戦相手はカードを1枚捨てる。」を得る。</t>
  </si>
  <si>
    <t>王神の天使</t>
  </si>
  <si>
    <t>Angel of the God-Pharaoh</t>
  </si>
  <si>
    <t>デジェルの拒絶</t>
  </si>
  <si>
    <t>Djeru's Renunciation</t>
  </si>
  <si>
    <t>あなたの次のターン開始時まで、対戦相手がコントロールする最初の2体のクリーチャーを無効化する。</t>
  </si>
  <si>
    <t>啓示の刻</t>
  </si>
  <si>
    <t>Hour of Revelation</t>
  </si>
  <si>
    <t>各クリーチャーとサポートを破壊する。</t>
  </si>
  <si>
    <t>オケチラ最後の慈悲</t>
  </si>
  <si>
    <t>Oketra's Last Mercy</t>
  </si>
  <si>
    <t>あなたはライフを完全し、あなたの手札の各カードからマナを完全に吸収する。</t>
  </si>
  <si>
    <t>救済の恩寵</t>
  </si>
  <si>
    <t>Saving Grace</t>
  </si>
  <si>
    <t>(クリーチャー1体を対象とする。それは+0/+8の修整とディフェンダーを得る。)</t>
  </si>
  <si>
    <t>型破りな戦術</t>
  </si>
  <si>
    <t>Unconventional Tactics</t>
  </si>
  <si>
    <t>(クリーチャー1体を対象とする。あなたの次のターン開始時までそれは+3/+3の修整を受けるとともに飛行とディフェンダーを得る。)</t>
  </si>
  <si>
    <t>(ゾンビがあなたのコントロール下で戦場に出るたび、これが墓地にあるならあなたの手札に戻す。)</t>
  </si>
  <si>
    <t>ジェイスの敗北</t>
  </si>
  <si>
    <t>Jace's Defeat</t>
  </si>
  <si>
    <t>(対戦相手が次に唱える呪文を破壊する。それは何も誘発させない。その後、このサポートを破壊する。)</t>
  </si>
  <si>
    <t>ケフネト最後の言葉</t>
  </si>
  <si>
    <t>Kefnet's Last Word</t>
  </si>
  <si>
    <t>あなたがコントロールするクリーチャーが2体以下である場合、クリーチャー1体を対象とする。あなたはそれをコントロールする。その後、あなたの手札の各カードからマナを完全に吸収する。</t>
  </si>
  <si>
    <t>謎変化</t>
  </si>
  <si>
    <t>Riddleform</t>
  </si>
  <si>
    <t>(あなたが呪文かサポートを唱えるたび、飛行と速攻を持つ1/1のスフィンクストークンを戦場に出す。ターン終了時にそれらを破壊する。)</t>
  </si>
  <si>
    <t>呪文織りの永遠衆</t>
  </si>
  <si>
    <t>Spellweaver Eternal</t>
  </si>
  <si>
    <t>(あなたが呪文を唱えるたび、ターン終了時までこれは+1/+1の修整を受ける。)</t>
  </si>
  <si>
    <t>縞カワヘビ</t>
  </si>
  <si>
    <t>Striped Riverwinder</t>
  </si>
  <si>
    <t>禍鞭の懲罰者</t>
  </si>
  <si>
    <t>Banewhip Punisher</t>
  </si>
  <si>
    <t>(このクリーチャーが戦場に出たとき、クリーチャー1体を対象とし、-1/-1の修整を与える。)</t>
  </si>
  <si>
    <t>(このクリーチャーが死亡したとき、対戦相手がコントロールする最初のクリーチャーを破壊する。)</t>
  </si>
  <si>
    <t>バントゥ最後の算段</t>
  </si>
  <si>
    <t>Bontu's Last Reckoning</t>
  </si>
  <si>
    <t>各クリーチャーを破壊する。あなたの手札の各カードからマナを完全に吸収する。</t>
  </si>
  <si>
    <t>栄光の刻</t>
  </si>
  <si>
    <t>Hour of Glory</t>
  </si>
  <si>
    <t>(クリーチャー1体を対象とし、それを追放する。そのクリーチャーのコントローラーにX点のダメージを与える。Xはそのクリーチャーの基本のパワーに等しい。)</t>
  </si>
  <si>
    <t>廃墟ネズミ</t>
  </si>
  <si>
    <t>Ruin Rat</t>
  </si>
  <si>
    <t>(このクリーチャーが死亡したとき、対戦相手の墓地にある最後に破壊された不朽か永遠か余波を持つカードを追放する。)</t>
  </si>
  <si>
    <t>スカラベの責め苦</t>
  </si>
  <si>
    <t>Torment of Scarabs</t>
  </si>
  <si>
    <t>(対戦相手のターン開始時に、対戦相手は3点のダメージを受ける。)</t>
  </si>
  <si>
    <t>毒の責め苦</t>
  </si>
  <si>
    <t>Torment of Venom</t>
  </si>
  <si>
    <t>(対戦相手のクリーチャー1体を対象とし、それに-3/-3の修整を与える。対戦相手は3点のダメージを受ける。)</t>
  </si>
  <si>
    <t>削剥</t>
  </si>
  <si>
    <t>Abrade</t>
  </si>
  <si>
    <t>(クリーチャー1体を対象とし、それに6点のダメージを与える。その後、対戦相手がコントロールするサポートを1つ破壊する。)</t>
  </si>
  <si>
    <t>火付け射手</t>
  </si>
  <si>
    <t>Firebrand Archer</t>
  </si>
  <si>
    <t>(あなたが呪文かサポートをを唱えるたび、対戦相手に2点のダメージを与える。)</t>
  </si>
  <si>
    <t>花崗岩のタイタン</t>
  </si>
  <si>
    <t>Granitic Titan</t>
  </si>
  <si>
    <t>ハゾレトの終わりなき怒り</t>
  </si>
  <si>
    <t>Hazoret's Undying Fury</t>
  </si>
  <si>
    <t>ライブラリーから最初の4つの呪文を取ってくる。それらのマナ･コストは0になる。あなたの手札の各カードからマナを完全に吸収する。この呪文でこれと同じカードを取ってくることはできない。</t>
  </si>
  <si>
    <t>破滅の刻</t>
  </si>
  <si>
    <t>Hour of Devastation</t>
  </si>
  <si>
    <t>(対戦相手がコントロールする各クリーチャーはダメージ軽減を失う。対戦相手と対戦相手がコントロールする各クリーチャーに12点のダメージを与える。)</t>
  </si>
  <si>
    <t>マンティコアの永遠衆</t>
  </si>
  <si>
    <t>Manticore Eternal</t>
  </si>
  <si>
    <t>待ち伏せ</t>
  </si>
  <si>
    <t>Ambuscade</t>
  </si>
  <si>
    <t>(あなたがコントロールする最初のクリーチャーに+2/+0の修整を与える。その後、対戦相手の最初のクリーチャーにX点のダメージを与える。Xはあなたの最初のクリーチャーのパワーに等しい。)</t>
  </si>
  <si>
    <t>苦弓の名射手</t>
  </si>
  <si>
    <t>Bitterbow Sharpshooters</t>
  </si>
  <si>
    <t>希望守り</t>
  </si>
  <si>
    <t>Hope Tender</t>
  </si>
  <si>
    <t>(督励3：ジェムを6つ緑に変換する。)</t>
  </si>
  <si>
    <t>約束の刻</t>
  </si>
  <si>
    <t>Hour of Promise</t>
  </si>
  <si>
    <t>(ジェムを15個緑に変換する。あなたの墓地に砂漠呪文が3枚以上ある場合、4/4のゾンビトークンを2体召喚する。)</t>
  </si>
  <si>
    <t>ニッサの敗北</t>
  </si>
  <si>
    <t>Nissa's Defeat</t>
  </si>
  <si>
    <t>(対戦相手がコントロールするサポートジェムを1つ破壊する。あなたは1枚カードを引く。)</t>
  </si>
  <si>
    <t>ロナス最後の抵抗</t>
  </si>
  <si>
    <t>Rhonas's Last Stand</t>
  </si>
  <si>
    <t>(7/6のロナスの蛇トークンを1体召喚する。あなたの手札の各カードからマナを完全に吸収する。</t>
  </si>
  <si>
    <t>終わりなき砂漠</t>
  </si>
  <si>
    <t>Endless Sands</t>
  </si>
  <si>
    <t>(最後に追放されたあなたのカードを手札に加える。それは6マナを得る。)</t>
  </si>
  <si>
    <t>王神の贈り物</t>
  </si>
  <si>
    <t>God-Pharaoh's Gift</t>
  </si>
  <si>
    <t>(あなたのターン開始時、あなたの最後の墓地のクリーチャーを戦場に戻す。それはゾンビと速攻を得る。ターン終了時、それを追放する。)</t>
  </si>
  <si>
    <t>虚ろな者</t>
  </si>
  <si>
    <t>Hollow One</t>
  </si>
  <si>
    <t>(あなたがカードをサイクリングするたび、ターン終了時まで手札にあるこのカードのコストは4軽減される。)</t>
  </si>
  <si>
    <t>敵意ある砂漠</t>
  </si>
  <si>
    <t>Hostile Desert</t>
  </si>
  <si>
    <t>(クリーチャー1体を対象とし、それに+X/+Xの修整を与える。Xはあなたの墓地にある砂漠・カードの総数に2を加えた数である。)</t>
  </si>
  <si>
    <t>屍肉あさりの地</t>
  </si>
  <si>
    <t>Scavenger Grounds</t>
  </si>
  <si>
    <t>(各プレイヤーの墓地を追放する。)</t>
  </si>
  <si>
    <t>HOUM</t>
  </si>
  <si>
    <t>ハルマゲドン</t>
  </si>
  <si>
    <t>Armageddon</t>
  </si>
  <si>
    <t>サポートでも起動ジェムでもない各ジェムを破壊する。</t>
  </si>
  <si>
    <t>悲哀の化身</t>
  </si>
  <si>
    <t>Avatar of Woe</t>
  </si>
  <si>
    <t>アバター</t>
  </si>
  <si>
    <t>クリーチャーが死亡したとき、このクリーチャーは6マナを得る。</t>
  </si>
  <si>
    <t>沸騰</t>
  </si>
  <si>
    <t>Boil</t>
  </si>
  <si>
    <t>対戦相手がコントロールする青の各サポートを破壊し、その後すべての青ジェムを破壊する。</t>
  </si>
  <si>
    <t>窒息</t>
  </si>
  <si>
    <t>Choke</t>
  </si>
  <si>
    <t>対戦相手が3個以上の青ジェムをマッチさせたとき、対戦相手から6マナを吸収する。</t>
  </si>
  <si>
    <t>絶滅の王</t>
  </si>
  <si>
    <t>Lord of Extinction</t>
  </si>
  <si>
    <t>このクリーチャーが戦場に出たとき、これは+X/+Xの修整を受ける。Xは両プレイヤーの墓地のカードの枚数に等しい。</t>
  </si>
  <si>
    <t>無慈悲</t>
  </si>
  <si>
    <t>No Mercy</t>
  </si>
  <si>
    <t>対戦相手がコントロールするクリーチャーが戦闘ダメージを与えたとき、そのクリーチャーを破壊する。その後、このサポートは1シールドを失う。</t>
  </si>
  <si>
    <t>全知</t>
  </si>
  <si>
    <t>Omniscience</t>
  </si>
  <si>
    <t>あなたの手札の各カードのマナ･コストは0マナになる。</t>
  </si>
  <si>
    <t>あなたがクリーチャーか呪文かサポートを唱えたとき、このサポートは1シールドを失う。</t>
  </si>
  <si>
    <t>粉砕の嵐</t>
  </si>
  <si>
    <t>Shatterstorm</t>
  </si>
  <si>
    <t>各サポートを破壊する。</t>
  </si>
  <si>
    <t>殺戮の契約</t>
  </si>
  <si>
    <t>Slaughter Pact</t>
  </si>
  <si>
    <t>クリーチャー1体を対象とし、それを破壊する。その後あなたは10点のダメージを受ける。</t>
  </si>
  <si>
    <t>隔離</t>
  </si>
  <si>
    <t>Sunder</t>
  </si>
  <si>
    <t>両プレイヤーの手札の各カードからすべてのマナを吸収する。</t>
  </si>
  <si>
    <t>飛行&amp;br;このクリーチャーが戦場に出たとき、あなたは3点のライフを得る。</t>
  </si>
  <si>
    <t>飛行&amp;br;このクリーチャーが攻撃したとき、あなたがコントロールする無効化されている最初のクリーチャーを有効化する。</t>
  </si>
  <si>
    <t>警戒&amp;br;永遠1</t>
  </si>
  <si>
    <t>あなたの手札の各カードは2マナを得る。&amp;br;サイクリング2</t>
  </si>
  <si>
    <t>あなたがコントロールするクリーチャーがブロックされたとき、ブロックしたクリーチャーは5点のダメージを受ける。このサポートを破壊する。&amp;br;対戦相手がコントロールするクリーチャーが攻撃したとき、そのクリーチャーは5点のダメージを受ける。このサポートを破壊する。</t>
  </si>
  <si>
    <t>このクリーチャーが戦場に出たとき、あなたはX点のライフを得る。Xはこのクリーチャーのパワーに等しい。&amp;br;永遠1</t>
  </si>
  <si>
    <t>対戦相手がコントロールする最初のクリーチャーを無効化する。&amp;br;あなたがこのカードを唱えたとき、あなたの墓地に砂漠･呪文がある場合、あなたは5点のライフを得る。</t>
  </si>
  <si>
    <t>二段攻撃&amp;br;永遠1</t>
  </si>
  <si>
    <t>飛行 警戒&amp;br;督励3：対戦相手がコントロールする最初のクリーチャーを追放する。</t>
  </si>
  <si>
    <t>あなたがコントロールする他の各馬はダメージ軽減を得る。&amp;br;あなたがライフを得たとき、あなたのターン終了時まで(翻訳ミス：あなたのターン終了時に)、このクリーチャーは5/5の馬･トークンを1体召喚する。</t>
  </si>
  <si>
    <t>警戒&amp;br;(あなたが受けるダメージを10軽減させる。)</t>
  </si>
  <si>
    <t>対戦相手の手札の最初のカードのマナを完全に吸収する。&amp;br;サイクリング2</t>
  </si>
  <si>
    <t>あなたは6マナを得る。&amp;br;サイクリング2</t>
  </si>
  <si>
    <t>このクリーチャーが対戦相手に戦闘ダメージを与えたとき、あなたはカードを1枚引く。&amp;br;加虐</t>
  </si>
  <si>
    <t>ジェム1個を起動する：クリーチャー1体を対象とする。あなたのターン終了時まで、それは+1/+1の修整を受ける。&amp;br;永遠2</t>
  </si>
  <si>
    <t>このクリーチャーが戦場に出たとき、あなたはカードを1枚捨てて、その後カードを2枚引く。&amp;br;永遠1</t>
  </si>
  <si>
    <t>飛行&amp;br;あなたがこのカードをサイクリングしたとき、対戦相手がコントロールする各起動ジェムを破壊する。&amp;br;サイクリング6</t>
  </si>
  <si>
    <t>飛行&amp;br;あなたがカードをサイクリングしたとき、あなたの次のターン開始時まで、対戦相手がコントロールする最初のクリーチャーは-4/0の修整を受ける。</t>
  </si>
  <si>
    <t>このクリーチャーが戦場に出たとき、不朽か永遠を持つあなたのライブラリーの最初のクリーチャーを破壊する。&amp;br;ゾンビが1体あなたのコントロール下で戦場に出たとき、あなたはカードを1枚引く。</t>
  </si>
  <si>
    <t>あなたの次のターン開始時まで、対戦相手がコントロールする各クリーチャーを無効化する。&amp;br;サイクリング4</t>
  </si>
  <si>
    <t>飛行&amp;br;あなたの手札のスフィンクス･クリーチャーはマナ･コストが6少なくなる。&amp;br;このクリーチャーが戦場に出たとき、あなたが手札でコントロールするカードが4枚以下の場合、対戦相手のライブラリーの最初の2枚のカードをあなたの手札に取ってくる。</t>
  </si>
  <si>
    <t>ディフェンダー&amp;br;サイクリング2</t>
  </si>
  <si>
    <t>あなたが3点のダメージを受けて6マナを得る。&amp;br;サイクリング2</t>
  </si>
  <si>
    <t>あなたがコントロールするクリーチャー1体を対象とする。あなたのターン終了時まで、それはダメージ軽減を得る。&amp;br;サイクリング2</t>
  </si>
  <si>
    <t>ジェム2個を起動する：クリーチャー1体を対象とする。あなたのターン終了時まで、それは+4/+4の修整を受ける。&amp;br;加虐</t>
  </si>
  <si>
    <t>このクリーチャーが戦場に出たとき、これは+X/0の修整を受ける。Xはあなたの墓地のサイクリングを持つカードの枚数に等しい。&amp;br;サイクリング2</t>
  </si>
  <si>
    <t>あなたのライブラリーの次の4枚のカードのうち1枚を取ってくる。&amp;br;サイクリング2</t>
  </si>
  <si>
    <t>対戦相手がクリーチャーか呪文かサポートを唱えたとき、このクリーチャーは-1/-1の修整を受ける。&amp;br;このクリーチャーが対戦相手に戦闘ダメージを与えたとき、このクリーチャーは+1/+1の修整を受ける。&amp;br;加虐</t>
  </si>
  <si>
    <t>威迫&amp;br;このクリーチャーが対戦相手に戦闘ダメージを与えたとき、対戦相手はカードを1枚捨てる。&amp;br;永遠1</t>
  </si>
  <si>
    <t>対戦相手がコントロールする最初のクリーチャーを追放する。&amp;br;対戦相手の手札の最初のカードを追放する。</t>
  </si>
  <si>
    <t>飛行&amp;br;このクリーチャーが戦場に出たとき、これは+X/+Xの修整を受ける。Xはあなたの墓地のカードの枚数に等しい。</t>
  </si>
  <si>
    <t>飛行 トランプル&amp;br;あなたがコントロールするクリーチャーが死亡したとき、あなたは10点のダメージを受ける。その後、あなたのライブラリーの最初のクリーチャーを取ってきて、それに10マナを与える。</t>
  </si>
  <si>
    <t>バーサーカー&amp;br;ジェム3個を起動する：クリーチャー1体を対象とする。あなたのターン終了時まで、それは+1/0の修整を受ける。&amp;br;加虐</t>
  </si>
  <si>
    <t>威迫&amp;br;督励2：クリーチャー1体を対象とする。あなたのターン終了時まで、それは+2/0の修整を受ける。</t>
  </si>
  <si>
    <t>あなたが呪文かサポートを唱えたとき、あなたのターン終了時まで、このクリーチャーは+1/+1の修整を受ける。&amp;br;このクリーチャーが攻撃したとき、あなたのターン終了時まで、先制攻撃を得る。</t>
  </si>
  <si>
    <t>ジェム3個を破壊する。&amp;br;サイクリング2</t>
  </si>
  <si>
    <t>先制攻撃&amp;br;ジェム3個を起動する；あなたはカードを1枚捨てる。&amp;br;あなたがカードを1枚捨てたとき、このクリーチャーは+2/0の修整を受ける。</t>
  </si>
  <si>
    <t>速攻&amp;br;このクリーチャーが戦場に出たとき、パワーが6以下でディフェンダーか到達か警戒を持つ最初のクリーチャーはブロックできない。&amp;br;永遠1</t>
  </si>
  <si>
    <t>あなたのターン開始時に、このクリーチャーは-2/-2の修整を受ける。&amp;br;あなたが呪文かサポートを唱えたとき、このクリーチャーは+1/+1の修整を受ける。</t>
  </si>
  <si>
    <t>対戦相手は12点のダメージを受ける。&amp;br;サイクリング4</t>
  </si>
  <si>
    <t>このクリーチャーがプレインズウォーカーに戦闘ダメージを与えたとき、あなたは4マナを得る。&amp;br;加虐</t>
  </si>
  <si>
    <t>このクリーチャーがプレインズウォーカーにダメージを与えたとき、あなたの手札の最初の呪文はいっぱいのマナを得る。&amp;br;加虐</t>
  </si>
  <si>
    <t>ディフェンダー&amp;br;このクリーチャーが死亡したとき、あなたはカードを1枚引く。</t>
  </si>
  <si>
    <t>トランプル&amp;br;サイクリング3</t>
  </si>
  <si>
    <t>ジェム8個を緑に変換する。&amp;br;サイクリング2</t>
  </si>
  <si>
    <t>ジェム4個を緑に変換する。&amp;br;サイクリング2</t>
  </si>
  <si>
    <t>このクリーチャーが戦場に出たとき、あなたがコントロールする他の最初のクリーチャーは+2/+2の修整を受ける。&amp;br;永遠1</t>
  </si>
  <si>
    <t>トランプル&amp;br;このクリーチャーが戦場に出たとき、あなたはX点のライフを得る。Xはあなたのライブラリーの最初のカードのマナ･コストに等しい。</t>
  </si>
  <si>
    <t>ディフェンダー 飛行 呪禁&amp;br;このクリーチャーが戦場に出たとき、これは+X/+Xの修整を受ける。Xはあなたがコントロールするクリーチャーの総数の3倍に等しい。</t>
  </si>
  <si>
    <t>(他の猫があなたのコントロール下で戦場に出るたび、これは+2/+2の修整を得る。)&amp;br;(督励2：絆魂を持つ1/1の猫・トークンを2体召喚する。)</t>
  </si>
  <si>
    <t>到達 トランプル&amp;br;このクリーチャーが戦場に出たとき、これは+X/+Xの修整を受ける。Xはあなたの墓地の砂漠・呪文の総数に等しい。&amp;br;あなたが砂漠･呪文を唱えたとき、このクリーチャーは+1/+1の修整を受ける。</t>
  </si>
  <si>
    <t>ジェム1個を起動する：あなたの墓地に置かれた最後のクリーチャーはゾンビを得る。それを戦場に戻す。そのクリーチャーが死亡したとき、それを追放する。&amp;br;あなたのターン開始時に、対戦相手はX点のダメージを受ける。Xはあなたがコントロールするゾンビの総数の5倍に等しい。その後、あなたはカードをX枚引く。Xはあなたがコントロールするゾンビの総数に等しい。&amp;br;あなたのターン開始時に、このクリーチャーがあなたの墓地にあった場合、これをあなたの手札に戻す。</t>
  </si>
  <si>
    <t>(ジェム2個を起動する：対戦相手の最初のクリーチャーに-3/-3の修整を与える。)&amp;br;(クリーチャーが死亡するたび、あなたはカードを1枚引く。)&amp;br;(あなたのターン開始時に、このクリーチャーがあなたの墓地にあった場合、これをあなたの手札に戻す。)</t>
  </si>
  <si>
    <t>飛行&amp;br;あなたが呪文を唱えたとき、あなたのターン終了時まで、このクリーチャーは+1/+1の修整を受ける。&amp;br;このクリーチャーが戦場に出たとき、あなたの墓地に置かれた最後の呪文をあなたのライブラリーの一番上へ移動する。</t>
  </si>
  <si>
    <t>飛行&amp;br;(ジェム3個を起動する：あなたは手札を1枚捨てて、カードを1枚引く。&amp;br;あなたがカードを1枚引くたび、飛行と速攻を持つ1/1の昆虫・トークンを1体召喚する。)&amp;br;(あなたのターン開始時に、このクリーチャーがあなたの墓地にあった場合、これをあなたの手札に戻す。)</t>
  </si>
  <si>
    <t>到達&amp;br;このクリーチャーがクリーチャーにダメージを与えたとき、そのダメージを与えられたクリーチャーは-1/-1の修整を受ける。その後、あなたは4点のライフを得て、対戦相手は4点のライフを失う。</t>
  </si>
  <si>
    <t>飛行&amp;br;ジェム1個を起動する：あなたは3点のライフを得て、カードを1枚引く。</t>
  </si>
  <si>
    <t>ディフェンダー&amp;br;ジェム1個を起動する：あなたの墓地に砂漠がある場合、対戦相手は3点のダメージを受ける。</t>
  </si>
  <si>
    <t>対戦相手がコントロールする次に攻撃したクリーチャーを破壊し、その後このサポートを破壊する。&amp;br;余波</t>
  </si>
  <si>
    <t>対戦相手の手札が5枚以下の場合、対戦相手がコントロールするクリーチャー1体を対象とし、それを対戦相手の手札に戻す。&amp;br;余波</t>
  </si>
  <si>
    <t>あなたの墓地に置かれたマナ･コストが12以下の最後のクリーチャーを戦場に戻す。&amp;br;余波</t>
  </si>
  <si>
    <t>クリーチャー1体を対象とする。それはX点のダメージを受ける。Xはボード上の赤ジェムの総数に等しい。&amp;br;余波</t>
  </si>
  <si>
    <t>クリーチャー1体を対象とする。あなたが次のターン開始時まで、それは+X/+Xの修整を受ける。Xはあなたがコントロールするクリーチャーの総数に等しい。&amp;br;余波</t>
  </si>
  <si>
    <t>あなたがコントロールする各クリーチャーをあなたの手札に戻す。&amp;br;余波</t>
  </si>
  <si>
    <t>あなたはカードを3枚引く。&amp;br;余波</t>
  </si>
  <si>
    <t>対戦相手がコントロールする各クリーチャーは-2/-2の修整を受ける。&amp;br;余波</t>
  </si>
  <si>
    <t>対戦相手が呪文を唱えたとき、対戦相手はX点のダメージを受ける。Xはその呪文を唱えるコストに等しい。その後、サポートを破壊する。&amp;br;余波</t>
  </si>
  <si>
    <t>あなたのターン終了時まで、あなたがコントロールす各クリーチャーはトランプルとバーサーカーと「このクリーチャーが攻撃したとき、あなたはカードを1枚引く。」を得る。&amp;br;余波</t>
  </si>
  <si>
    <t>飛行&amp;br;サイクリング3</t>
  </si>
  <si>
    <t>あなたの次のターン開始時まで、対戦相手がコントロールする最初の2体のクリーチャーを無効化する。&amp;br;サイクリング2</t>
  </si>
  <si>
    <t>(クリーチャー1体を対象とする。あなたの次のターン開始時までそれは+3/+3の修整を受けるとともに飛行とディフェンダーを得る。)&amp;br;(ゾンビがあなたのコントロール下で戦場に出るたび、これが墓地にあるならあなたの手札に戻す。)</t>
  </si>
  <si>
    <t>(あなたが呪文を唱えるたび、ターン終了時までこれは+1/+1の修整を受ける。)&amp;br;加虐</t>
  </si>
  <si>
    <t>呪禁&amp;br;サイクリング3</t>
  </si>
  <si>
    <t>ディフェンダー&amp;br;(このクリーチャーが戦場に出たとき、クリーチャー1体を対象とし、-1/-1の修整を与える。)&amp;br;(このクリーチャーが死亡したとき、対戦相手がコントロールする最初のクリーチャーを破壊する。)</t>
  </si>
  <si>
    <t>威迫&amp;br;サイクリング3</t>
  </si>
  <si>
    <t>(あなたがカードをサイクリングするたび、ターン終了時まで手札にあるこのカードのコストは4軽減される。)&amp;br;サイクリング4</t>
  </si>
  <si>
    <t>あなたの手札の各カードのマナ･コストは0マナになる。&amp;br;あなたがクリーチャーか呪文かサポートを唱えたとき、このサポートは1シールドを失う。</t>
  </si>
  <si>
    <t>農場+市場</t>
    <rPh sb="3" eb="5">
      <t>シジョウ</t>
    </rPh>
    <phoneticPr fontId="1"/>
  </si>
  <si>
    <t>徙家+忘妻</t>
    <phoneticPr fontId="1"/>
  </si>
  <si>
    <t>立身+出世</t>
    <phoneticPr fontId="1"/>
  </si>
  <si>
    <t>捲土+重来</t>
    <phoneticPr fontId="1"/>
  </si>
  <si>
    <t>旗幟+鮮明</t>
    <phoneticPr fontId="1"/>
  </si>
  <si>
    <t>雲遊+萍寄</t>
    <phoneticPr fontId="1"/>
  </si>
  <si>
    <t>大義+名分</t>
    <phoneticPr fontId="1"/>
  </si>
  <si>
    <t>翦草+除根</t>
    <phoneticPr fontId="1"/>
  </si>
  <si>
    <t>機略+縦横</t>
    <phoneticPr fontId="1"/>
  </si>
  <si>
    <t>悪戦+苦闘</t>
    <phoneticPr fontId="1"/>
  </si>
  <si>
    <t>機略+縦横</t>
  </si>
  <si>
    <t>クリーチャーを</t>
    <phoneticPr fontId="1"/>
  </si>
  <si>
    <t>する能力を持つ</t>
    <rPh sb="2" eb="4">
      <t>ノウリョク</t>
    </rPh>
    <rPh sb="5" eb="6">
      <t>モ</t>
    </rPh>
    <phoneticPr fontId="1"/>
  </si>
  <si>
    <t>クリーチャー</t>
    <phoneticPr fontId="1"/>
  </si>
  <si>
    <t>呪文</t>
    <rPh sb="0" eb="2">
      <t>ジュモン</t>
    </rPh>
    <phoneticPr fontId="1"/>
  </si>
  <si>
    <t>サポート</t>
    <phoneticPr fontId="1"/>
  </si>
  <si>
    <t>生物破壊</t>
    <rPh sb="0" eb="2">
      <t>セイブツ</t>
    </rPh>
    <rPh sb="2" eb="4">
      <t>ハカイ</t>
    </rPh>
    <phoneticPr fontId="1"/>
  </si>
  <si>
    <t>ジェム破壊</t>
    <rPh sb="3" eb="5">
      <t>ハカイ</t>
    </rPh>
    <phoneticPr fontId="1"/>
  </si>
  <si>
    <t>サポート破壊</t>
    <rPh sb="4" eb="6">
      <t>ハカイ</t>
    </rPh>
    <phoneticPr fontId="1"/>
  </si>
  <si>
    <t>手札破壊</t>
    <rPh sb="0" eb="2">
      <t>テフダ</t>
    </rPh>
    <rPh sb="2" eb="4">
      <t>ハカイ</t>
    </rPh>
    <phoneticPr fontId="1"/>
  </si>
  <si>
    <t>バウンス</t>
    <phoneticPr fontId="1"/>
  </si>
  <si>
    <t>LO</t>
    <phoneticPr fontId="1"/>
  </si>
  <si>
    <t>Woodland Bellower</t>
    <phoneticPr fontId="1"/>
  </si>
  <si>
    <t>&amp;br;</t>
  </si>
  <si>
    <t>《[[</t>
  </si>
  <si>
    <t>徙家+忘妻</t>
  </si>
  <si>
    <t>立身+出世</t>
  </si>
  <si>
    <t>捲土+重来</t>
  </si>
  <si>
    <t>旗幟+鮮明</t>
  </si>
  <si>
    <t>雲遊+萍寄</t>
  </si>
  <si>
    <t>大義+名分</t>
  </si>
  <si>
    <t>翦草+除根</t>
  </si>
  <si>
    <t>悪戦+苦闘</t>
  </si>
  <si>
    <t>市場</t>
    <rPh sb="0" eb="2">
      <t>シジョウ</t>
    </rPh>
    <phoneticPr fontId="1"/>
  </si>
  <si>
    <t>忘妻</t>
  </si>
  <si>
    <t>出世</t>
  </si>
  <si>
    <t>重来</t>
  </si>
  <si>
    <t>鮮明</t>
  </si>
  <si>
    <t>萍寄</t>
  </si>
  <si>
    <t>名分</t>
  </si>
  <si>
    <t>除根</t>
  </si>
  <si>
    <t>縦横</t>
  </si>
  <si>
    <t>苦闘</t>
  </si>
  <si>
    <t>確定破壊カード</t>
    <rPh sb="0" eb="2">
      <t>カクテイ</t>
    </rPh>
    <rPh sb="2" eb="4">
      <t>ハカイ</t>
    </rPh>
    <phoneticPr fontId="1"/>
  </si>
  <si>
    <t>アモンケット</t>
    <phoneticPr fontId="1"/>
  </si>
  <si>
    <t>破滅の刻</t>
    <rPh sb="0" eb="2">
      <t>ハメツ</t>
    </rPh>
    <rPh sb="3" eb="4">
      <t>コク</t>
    </rPh>
    <phoneticPr fontId="1"/>
  </si>
  <si>
    <t>他の自分の各クリーチャー</t>
    <rPh sb="0" eb="1">
      <t>タ</t>
    </rPh>
    <rPh sb="2" eb="4">
      <t>ジブン</t>
    </rPh>
    <rPh sb="5" eb="6">
      <t>カク</t>
    </rPh>
    <phoneticPr fontId="1"/>
  </si>
  <si>
    <t>CIP</t>
    <phoneticPr fontId="1"/>
  </si>
  <si>
    <t>対戦相手の最初のクリーチャー</t>
    <rPh sb="0" eb="2">
      <t>タイセン</t>
    </rPh>
    <rPh sb="2" eb="4">
      <t>アイテ</t>
    </rPh>
    <rPh sb="5" eb="7">
      <t>サイショ</t>
    </rPh>
    <phoneticPr fontId="1"/>
  </si>
  <si>
    <t>起動</t>
    <rPh sb="0" eb="2">
      <t>キドウ</t>
    </rPh>
    <phoneticPr fontId="1"/>
  </si>
  <si>
    <t>自身</t>
    <rPh sb="0" eb="2">
      <t>ジシン</t>
    </rPh>
    <phoneticPr fontId="1"/>
  </si>
  <si>
    <t>自ターン開始時</t>
    <rPh sb="0" eb="1">
      <t>ジ</t>
    </rPh>
    <rPh sb="4" eb="6">
      <t>カイシ</t>
    </rPh>
    <rPh sb="6" eb="7">
      <t>ジ</t>
    </rPh>
    <phoneticPr fontId="1"/>
  </si>
  <si>
    <t>自分の他のクリーチャーと対戦相手の最初以外のクリーチャー</t>
    <rPh sb="0" eb="1">
      <t>ジ</t>
    </rPh>
    <rPh sb="1" eb="2">
      <t>ブン</t>
    </rPh>
    <rPh sb="3" eb="4">
      <t>タ</t>
    </rPh>
    <rPh sb="12" eb="14">
      <t>タイセン</t>
    </rPh>
    <rPh sb="14" eb="16">
      <t>アイテ</t>
    </rPh>
    <rPh sb="17" eb="19">
      <t>サイショ</t>
    </rPh>
    <rPh sb="19" eb="21">
      <t>イガイ</t>
    </rPh>
    <phoneticPr fontId="1"/>
  </si>
  <si>
    <t>自分の最初の無色クリーチャー</t>
    <rPh sb="0" eb="2">
      <t>ジブン</t>
    </rPh>
    <rPh sb="3" eb="5">
      <t>サイショ</t>
    </rPh>
    <rPh sb="6" eb="8">
      <t>ムショク</t>
    </rPh>
    <phoneticPr fontId="1"/>
  </si>
  <si>
    <t>自分と対戦相手の最初のクリーチャー</t>
    <rPh sb="0" eb="2">
      <t>ジブン</t>
    </rPh>
    <rPh sb="3" eb="5">
      <t>タイセン</t>
    </rPh>
    <rPh sb="5" eb="7">
      <t>アイテ</t>
    </rPh>
    <rPh sb="8" eb="10">
      <t>サイショ</t>
    </rPh>
    <phoneticPr fontId="1"/>
  </si>
  <si>
    <t>破壊するクリーチャーの条件(パワーがN以上等)が無いカード</t>
    <rPh sb="0" eb="2">
      <t>ハカイ</t>
    </rPh>
    <rPh sb="11" eb="13">
      <t>ジョウケン</t>
    </rPh>
    <rPh sb="19" eb="21">
      <t>イジョウ</t>
    </rPh>
    <rPh sb="21" eb="22">
      <t>ナド</t>
    </rPh>
    <rPh sb="24" eb="25">
      <t>ナ</t>
    </rPh>
    <phoneticPr fontId="1"/>
  </si>
  <si>
    <t>CIP:他の自分のクリーチャーを破壊する</t>
    <rPh sb="4" eb="5">
      <t>タ</t>
    </rPh>
    <rPh sb="6" eb="8">
      <t>ジブン</t>
    </rPh>
    <rPh sb="16" eb="18">
      <t>ハカイ</t>
    </rPh>
    <phoneticPr fontId="1"/>
  </si>
  <si>
    <t>昂揚：戦闘ダメージを与えたとき</t>
    <rPh sb="0" eb="2">
      <t>コウヨウ</t>
    </rPh>
    <rPh sb="3" eb="5">
      <t>セントウ</t>
    </rPh>
    <rPh sb="10" eb="11">
      <t>アタ</t>
    </rPh>
    <phoneticPr fontId="1"/>
  </si>
  <si>
    <t>対戦相手の最初のクリーチャー</t>
    <rPh sb="0" eb="4">
      <t>タイセンアイテ</t>
    </rPh>
    <rPh sb="5" eb="7">
      <t>サイショ</t>
    </rPh>
    <phoneticPr fontId="1"/>
  </si>
  <si>
    <t>変身時</t>
    <rPh sb="0" eb="2">
      <t>ヘンシン</t>
    </rPh>
    <rPh sb="2" eb="3">
      <t>ジ</t>
    </rPh>
    <phoneticPr fontId="1"/>
  </si>
  <si>
    <t>対戦相手の最初のディフェンダーか到達クリーチャー</t>
    <rPh sb="0" eb="2">
      <t>タイセン</t>
    </rPh>
    <rPh sb="2" eb="4">
      <t>アイテ</t>
    </rPh>
    <rPh sb="5" eb="7">
      <t>サイショ</t>
    </rPh>
    <rPh sb="16" eb="18">
      <t>トウタツ</t>
    </rPh>
    <phoneticPr fontId="1"/>
  </si>
  <si>
    <t>CIP</t>
    <phoneticPr fontId="1"/>
  </si>
  <si>
    <t>自分のクリーチャー</t>
    <rPh sb="0" eb="2">
      <t>ジブン</t>
    </rPh>
    <phoneticPr fontId="1"/>
  </si>
  <si>
    <t>自ターン開始時：3体以上コントロールしている場合</t>
    <rPh sb="0" eb="1">
      <t>ジ</t>
    </rPh>
    <rPh sb="4" eb="6">
      <t>カイシ</t>
    </rPh>
    <rPh sb="6" eb="7">
      <t>ジ</t>
    </rPh>
    <rPh sb="9" eb="12">
      <t>タイイジョウ</t>
    </rPh>
    <rPh sb="22" eb="24">
      <t>バアイ</t>
    </rPh>
    <phoneticPr fontId="1"/>
  </si>
  <si>
    <t>自分の他のクリーチャー</t>
    <rPh sb="0" eb="2">
      <t>ジブン</t>
    </rPh>
    <rPh sb="3" eb="4">
      <t>タ</t>
    </rPh>
    <phoneticPr fontId="1"/>
  </si>
  <si>
    <t>対戦相手の各クリーチャー</t>
    <rPh sb="0" eb="2">
      <t>タイセン</t>
    </rPh>
    <rPh sb="2" eb="4">
      <t>アイテ</t>
    </rPh>
    <rPh sb="5" eb="6">
      <t>カク</t>
    </rPh>
    <phoneticPr fontId="1"/>
  </si>
  <si>
    <t>0(変身後)</t>
    <rPh sb="2" eb="4">
      <t>ヘンシン</t>
    </rPh>
    <rPh sb="4" eb="5">
      <t>ゴ</t>
    </rPh>
    <phoneticPr fontId="1"/>
  </si>
  <si>
    <t>クリーチャー1体</t>
    <rPh sb="7" eb="8">
      <t>タイ</t>
    </rPh>
    <phoneticPr fontId="1"/>
  </si>
  <si>
    <t>ターン終了時：エネルギージェム0の場合</t>
    <rPh sb="3" eb="6">
      <t>シュウリョウジ</t>
    </rPh>
    <rPh sb="17" eb="19">
      <t>バアイ</t>
    </rPh>
    <phoneticPr fontId="1"/>
  </si>
  <si>
    <t>信義の砂漠</t>
    <phoneticPr fontId="1"/>
  </si>
  <si>
    <t>砂爆破</t>
    <phoneticPr fontId="1"/>
  </si>
  <si>
    <t>砂漠の拘留</t>
    <phoneticPr fontId="1"/>
  </si>
  <si>
    <t>飛行&amp;br;あなたのターンの戦闘開始時に、あなたのターン終了時まで、あなたがコントロールする飛行を持たない最初のクリーチャーは飛行を得る。</t>
    <phoneticPr fontId="1"/>
  </si>
  <si>
    <t>周到の砂漠</t>
    <phoneticPr fontId="1"/>
  </si>
  <si>
    <t>送還</t>
    <phoneticPr fontId="1"/>
  </si>
  <si>
    <t>栄光の砂漠</t>
    <phoneticPr fontId="1"/>
  </si>
  <si>
    <t>致死の一刺し</t>
    <phoneticPr fontId="1"/>
  </si>
  <si>
    <t>不快の顕現</t>
    <phoneticPr fontId="1"/>
  </si>
  <si>
    <t>リリアナの敗北</t>
    <phoneticPr fontId="1"/>
  </si>
  <si>
    <t>ラザケシュの儀式</t>
    <phoneticPr fontId="1"/>
  </si>
  <si>
    <t>イロアスの勇者</t>
    <phoneticPr fontId="1"/>
  </si>
  <si>
    <t>反射魔道士</t>
    <phoneticPr fontId="1"/>
  </si>
  <si>
    <t>猛火のヘルハウンド</t>
    <phoneticPr fontId="1"/>
  </si>
  <si>
    <t>通電の喧嘩屋</t>
    <phoneticPr fontId="1"/>
  </si>
  <si>
    <t>巨人の光景</t>
    <phoneticPr fontId="1"/>
  </si>
  <si>
    <t>抑制する縛め</t>
    <phoneticPr fontId="1"/>
  </si>
  <si>
    <t>あなたがカードをサイクリングしたとき、あなたのターン終了時まで、このクリーチャーは+1/0の修整を受けるとともにブロックされない。</t>
    <phoneticPr fontId="1"/>
  </si>
  <si>
    <t>紅蓮術師のゴーグル</t>
    <phoneticPr fontId="1"/>
  </si>
  <si>
    <t>選定された行進</t>
    <phoneticPr fontId="1"/>
  </si>
  <si>
    <t>残酷な蘇生</t>
    <phoneticPr fontId="1"/>
  </si>
  <si>
    <t>むら気な召使い</t>
    <phoneticPr fontId="1"/>
  </si>
  <si>
    <t>ジェムを2個起動する：あなたがコントロールするクリーチャーが2体以下である場合、対戦相手がコントロールする最初のクリーチャーはあなたがコントロールする。</t>
    <phoneticPr fontId="1"/>
  </si>
  <si>
    <t>XLN</t>
  </si>
  <si>
    <t>XLN</t>
    <phoneticPr fontId="1"/>
  </si>
  <si>
    <t>青黒赤</t>
  </si>
  <si>
    <t>赤緑白</t>
  </si>
  <si>
    <t>アダントの先兵</t>
  </si>
  <si>
    <t>Adanto Vanguard</t>
  </si>
  <si>
    <t>吸血鬼</t>
    <rPh sb="0" eb="3">
      <t>キュウケツキ</t>
    </rPh>
    <phoneticPr fontId="1"/>
  </si>
  <si>
    <t>兵士</t>
    <rPh sb="0" eb="2">
      <t>ヘイシ</t>
    </rPh>
    <phoneticPr fontId="1"/>
  </si>
  <si>
    <t>日の出の使者</t>
  </si>
  <si>
    <t>Emissary of Sunrise</t>
  </si>
  <si>
    <t>人間</t>
    <rPh sb="0" eb="2">
      <t>ニンゲン</t>
    </rPh>
    <phoneticPr fontId="1"/>
  </si>
  <si>
    <t>帝国の槍騎兵</t>
  </si>
  <si>
    <t>Imperial Lancer</t>
  </si>
  <si>
    <t>騎士</t>
    <rPh sb="0" eb="2">
      <t>キシ</t>
    </rPh>
    <phoneticPr fontId="1"/>
  </si>
  <si>
    <t>駆り立てる僧侶</t>
  </si>
  <si>
    <t>Inspiring Cleric</t>
  </si>
  <si>
    <t>軍団の征服者</t>
  </si>
  <si>
    <t>Legion Conquistador</t>
  </si>
  <si>
    <t>血潮隊の聖騎士</t>
  </si>
  <si>
    <t>Paladin of the Bloodstained</t>
  </si>
  <si>
    <t>不動のアルマサウルス</t>
  </si>
  <si>
    <t>Steadfast Armasaur</t>
  </si>
  <si>
    <t>恐竜</t>
    <rPh sb="0" eb="2">
      <t>キョウリュウ</t>
    </rPh>
    <phoneticPr fontId="1"/>
  </si>
  <si>
    <t>縄張り持ちの槌頭</t>
  </si>
  <si>
    <t>Territorial Hammerskull</t>
  </si>
  <si>
    <t>啓蒙</t>
  </si>
  <si>
    <t>Demystify</t>
  </si>
  <si>
    <t>軍団の裁き</t>
  </si>
  <si>
    <t>Legion's Judgment</t>
  </si>
  <si>
    <t>若返りの儀式</t>
  </si>
  <si>
    <t>Ritual of Rejuvenation</t>
  </si>
  <si>
    <t>吠えるイージサウルス</t>
  </si>
  <si>
    <t>Bellowing Aegisaur</t>
  </si>
  <si>
    <t>薄暮まといの空渡り</t>
  </si>
  <si>
    <t>Duskborne Skymarcher</t>
  </si>
  <si>
    <t>宿営地の守り手</t>
  </si>
  <si>
    <t>Encampment Keeper</t>
  </si>
  <si>
    <t>猟犬</t>
    <rPh sb="0" eb="2">
      <t>リョウケン</t>
    </rPh>
    <phoneticPr fontId="1"/>
  </si>
  <si>
    <t>薄暮の賛美者</t>
  </si>
  <si>
    <t>Glorifier of Dusk</t>
  </si>
  <si>
    <t>帝国のエアロサウルス</t>
  </si>
  <si>
    <t>Imperial Aerosaur</t>
  </si>
  <si>
    <t>キンジャーリの呼び手</t>
  </si>
  <si>
    <t>Kinjalli's Caller</t>
  </si>
  <si>
    <t>女王の任命</t>
  </si>
  <si>
    <t>Queen's Commission</t>
  </si>
  <si>
    <t>防護の光</t>
  </si>
  <si>
    <t>Sheltering Light</t>
  </si>
  <si>
    <t>吸血鬼の士気</t>
  </si>
  <si>
    <t>Vampire's Zeal</t>
  </si>
  <si>
    <t>再誕の司教</t>
  </si>
  <si>
    <t>Bishop of Rebirth</t>
  </si>
  <si>
    <t>突き刺すケラトプス</t>
  </si>
  <si>
    <t>Goring Ceratops</t>
  </si>
  <si>
    <t>キンジャーリの陽光翼</t>
  </si>
  <si>
    <t>Kinjalli's Sunwing</t>
  </si>
  <si>
    <t>定命の枢軸</t>
  </si>
  <si>
    <t>Axis of Mortality</t>
  </si>
  <si>
    <t>イクサランの束縛</t>
  </si>
  <si>
    <t>Ixalan's Binding</t>
  </si>
  <si>
    <t>残骸の漂着</t>
  </si>
  <si>
    <t>Settle the Wreckage</t>
  </si>
  <si>
    <t>薄暮の使徒、マーブレン・フェイン</t>
  </si>
  <si>
    <t>Mavren Fein, Dusk Apostle</t>
  </si>
  <si>
    <t>覚醒の太陽の化身</t>
  </si>
  <si>
    <t>Wakening Sun's Avatar</t>
  </si>
  <si>
    <t>軍団の上陸</t>
  </si>
  <si>
    <t>Legion's Landing</t>
  </si>
  <si>
    <t>裕福な海賊</t>
  </si>
  <si>
    <t>Prosperous Pirates</t>
  </si>
  <si>
    <t>海賊</t>
    <rPh sb="0" eb="2">
      <t>カイゾク</t>
    </rPh>
    <phoneticPr fontId="1"/>
  </si>
  <si>
    <t>見習い形成師</t>
  </si>
  <si>
    <t>Shaper Apprentice</t>
  </si>
  <si>
    <t>難破船あさり</t>
  </si>
  <si>
    <t>Shipwreck Looter</t>
  </si>
  <si>
    <t>セイレーンの見張り番</t>
  </si>
  <si>
    <t>Siren Lookout</t>
  </si>
  <si>
    <t>セイレーン</t>
  </si>
  <si>
    <t>水罠織り</t>
  </si>
  <si>
    <t>Watertrap Weaver</t>
  </si>
  <si>
    <t>欲望の深み</t>
  </si>
  <si>
    <t>Depths of Desire</t>
  </si>
  <si>
    <t>潜水</t>
  </si>
  <si>
    <t>Dive Down</t>
  </si>
  <si>
    <t>風と共に</t>
  </si>
  <si>
    <t>One With the Wind</t>
  </si>
  <si>
    <t>危険な航海</t>
  </si>
  <si>
    <t>Perilous Voyage</t>
  </si>
  <si>
    <t>海賊の獲物</t>
  </si>
  <si>
    <t>Pirate's Prize</t>
  </si>
  <si>
    <t>セイレーンの策略</t>
  </si>
  <si>
    <t>Siren's Ruse</t>
  </si>
  <si>
    <t>巧射艦隊の操舵手</t>
  </si>
  <si>
    <t>Deadeye Quartermaster</t>
  </si>
  <si>
    <t>川潜み</t>
  </si>
  <si>
    <t>River Sneak</t>
  </si>
  <si>
    <t>戦士</t>
    <rPh sb="0" eb="2">
      <t>センシ</t>
    </rPh>
    <phoneticPr fontId="1"/>
  </si>
  <si>
    <t>岸の守り手</t>
  </si>
  <si>
    <t>Shore Keeper</t>
  </si>
  <si>
    <t>三葉虫</t>
    <rPh sb="0" eb="3">
      <t>サンヨウチュウ</t>
    </rPh>
    <phoneticPr fontId="1"/>
  </si>
  <si>
    <t>風雲艦隊の空中要員</t>
  </si>
  <si>
    <t>Storm Fleet Aerialist</t>
  </si>
  <si>
    <t>大嵐呼び</t>
  </si>
  <si>
    <t>Tempest Caller</t>
  </si>
  <si>
    <t>航路の作成</t>
  </si>
  <si>
    <t>Chart a Course</t>
  </si>
  <si>
    <t>見張りによる消散</t>
  </si>
  <si>
    <t>Lookout's Dispersal</t>
  </si>
  <si>
    <t>深根の水域</t>
  </si>
  <si>
    <t>Deeproot Waters</t>
  </si>
  <si>
    <t>順風</t>
  </si>
  <si>
    <t>Favorable Winds</t>
  </si>
  <si>
    <t>勇敢な妨害工作員</t>
  </si>
  <si>
    <t>Daring Saboteur</t>
  </si>
  <si>
    <t>船団呑み</t>
  </si>
  <si>
    <t>Fleet Swallower</t>
  </si>
  <si>
    <t>魚</t>
    <rPh sb="0" eb="1">
      <t>サカナ</t>
    </rPh>
    <phoneticPr fontId="1"/>
  </si>
  <si>
    <t>秘滝の軍使</t>
  </si>
  <si>
    <t>Herald of Secret Streams</t>
  </si>
  <si>
    <t>セイレーンの嵐鎮め</t>
  </si>
  <si>
    <t>Siren Stormtamer</t>
  </si>
  <si>
    <t>溢れ出る洞察</t>
  </si>
  <si>
    <t>Overflowing Insight</t>
  </si>
  <si>
    <t>川の叱責</t>
  </si>
  <si>
    <t>River's Rebuke</t>
  </si>
  <si>
    <t>秘儀での順応</t>
  </si>
  <si>
    <t>Arcane Adaptation</t>
  </si>
  <si>
    <t>波を司る者、コパラ</t>
  </si>
  <si>
    <t>Kopala, Warden of Waves</t>
  </si>
  <si>
    <t>呪文詐欺</t>
  </si>
  <si>
    <t>Spell Swindle</t>
  </si>
  <si>
    <t>アズカンタの探索</t>
  </si>
  <si>
    <t>Search for Azcanta</t>
  </si>
  <si>
    <t>巧射艦隊の拷問者</t>
  </si>
  <si>
    <t>Deadeye Tormentor</t>
  </si>
  <si>
    <t>自暴自棄の漂流者</t>
  </si>
  <si>
    <t>Desperate Castaways</t>
  </si>
  <si>
    <t>凶兆艦隊の貯め込み屋</t>
  </si>
  <si>
    <t>Dire Fleet Hoarder</t>
  </si>
  <si>
    <t>凶兆艦隊の侵入者</t>
  </si>
  <si>
    <t>Dire Fleet Interloper</t>
  </si>
  <si>
    <t>隠れ潜むチュパカブラ</t>
  </si>
  <si>
    <t>Lurking Chupacabra</t>
  </si>
  <si>
    <t>女王の工作員</t>
  </si>
  <si>
    <t>Queen's Agent</t>
  </si>
  <si>
    <t>探求者の従者</t>
  </si>
  <si>
    <t>Seekers' Squire</t>
  </si>
  <si>
    <t>指名手配の獄道者</t>
  </si>
  <si>
    <t>Wanted Scoundrels</t>
  </si>
  <si>
    <t>依頼殺人</t>
  </si>
  <si>
    <t>Contract Killing</t>
  </si>
  <si>
    <t>高くつく略奪</t>
  </si>
  <si>
    <t>Costly Plunder</t>
  </si>
  <si>
    <t>無情な略奪</t>
  </si>
  <si>
    <t>Heartless Pillage</t>
  </si>
  <si>
    <t>立ち枯れの守り手</t>
  </si>
  <si>
    <t>Blight Keeper</t>
  </si>
  <si>
    <t>蝙蝠</t>
    <rPh sb="0" eb="2">
      <t>コウモリ</t>
    </rPh>
    <phoneticPr fontId="1"/>
  </si>
  <si>
    <t>不死の古き者</t>
  </si>
  <si>
    <t>Deathless Ancient</t>
  </si>
  <si>
    <t>帆凧の掠め盗り</t>
  </si>
  <si>
    <t>Kitesail Freebooter</t>
  </si>
  <si>
    <t>無情な無頼漢</t>
  </si>
  <si>
    <t>Ruthless Knave</t>
  </si>
  <si>
    <t>オーク</t>
  </si>
  <si>
    <t>敵意ある征服者</t>
  </si>
  <si>
    <t>Vicious Conquistador</t>
  </si>
  <si>
    <t>強迫</t>
  </si>
  <si>
    <t>Duress</t>
  </si>
  <si>
    <t>不気味な船長の召集</t>
  </si>
  <si>
    <t>Grim Captain's Call</t>
  </si>
  <si>
    <t>板歩きの刑</t>
  </si>
  <si>
    <t>Walk the Plank</t>
  </si>
  <si>
    <t>略奪者の痕跡</t>
  </si>
  <si>
    <t>Raiders' Wake</t>
  </si>
  <si>
    <t>血潮隊の司教</t>
  </si>
  <si>
    <t>Bishop of the Bloodstained</t>
  </si>
  <si>
    <t>巧射艦隊の追跡者</t>
  </si>
  <si>
    <t>Deadeye Tracker</t>
  </si>
  <si>
    <t>深海艦隊の船長</t>
  </si>
  <si>
    <t>Fathom Fleet Captain</t>
  </si>
  <si>
    <t>ヴラスカの侮辱</t>
  </si>
  <si>
    <t>Vraska's Contempt</t>
  </si>
  <si>
    <t>富の享楽</t>
  </si>
  <si>
    <t>Revel in Riches</t>
  </si>
  <si>
    <t>剣呑な交渉</t>
  </si>
  <si>
    <t>Sword-Point Diplomacy</t>
  </si>
  <si>
    <t>凶兆艦隊の荒廃者</t>
  </si>
  <si>
    <t>Dire Fleet Ravager</t>
  </si>
  <si>
    <t>聖域探究者</t>
  </si>
  <si>
    <t>Sanctum Seeker</t>
  </si>
  <si>
    <t>アルゲールの断血</t>
  </si>
  <si>
    <t>Arguel's Blood Fast</t>
  </si>
  <si>
    <t>鉄面連合の海賊</t>
  </si>
  <si>
    <t>Brazen Buccaneers</t>
  </si>
  <si>
    <t>深海艦隊の扇動者</t>
  </si>
  <si>
    <t>Fathom Fleet Firebrand</t>
  </si>
  <si>
    <t>巣荒らし</t>
  </si>
  <si>
    <t>Nest Robber</t>
  </si>
  <si>
    <t>風雲艦隊の紅蓮術士</t>
  </si>
  <si>
    <t>Storm Fleet Pyromancer</t>
  </si>
  <si>
    <t>太陽冠のハンター</t>
  </si>
  <si>
    <t>Sun-Crowned Hunters</t>
  </si>
  <si>
    <t>猛竜の群れ</t>
  </si>
  <si>
    <t>Thrash of Raptors</t>
  </si>
  <si>
    <t>ティロナーリの騎士</t>
  </si>
  <si>
    <t>Tilonalli's Knight</t>
  </si>
  <si>
    <t>火炎砲発射</t>
  </si>
  <si>
    <t>Firecannon Blast</t>
  </si>
  <si>
    <t>苛立ち</t>
  </si>
  <si>
    <t>Rile</t>
  </si>
  <si>
    <t>向こう見ず</t>
  </si>
  <si>
    <t>Swashbuckling</t>
  </si>
  <si>
    <t>決別の砲撃</t>
  </si>
  <si>
    <t>Unfriendly Fire</t>
  </si>
  <si>
    <t>突進するモンストロサウルス</t>
  </si>
  <si>
    <t>Charging Monstrosaur</t>
  </si>
  <si>
    <t>火の祭殿の守り手</t>
  </si>
  <si>
    <t>Fire Shrine Keeper</t>
  </si>
  <si>
    <t>稲妻砲手</t>
  </si>
  <si>
    <t>Lightning-Rig Crew</t>
  </si>
  <si>
    <t>オテペクの猟匠</t>
  </si>
  <si>
    <t>Otepec Huntmaster</t>
  </si>
  <si>
    <t>猛竜の幼生</t>
  </si>
  <si>
    <t>Raptor Hatchling</t>
  </si>
  <si>
    <t>帆綱走り</t>
  </si>
  <si>
    <t>Rigging Runner</t>
  </si>
  <si>
    <t>ずる賢いゴブリン</t>
  </si>
  <si>
    <t>Wily Goblin</t>
  </si>
  <si>
    <t>焦熱の連続砲撃</t>
  </si>
  <si>
    <t>Fiery Cannonade</t>
  </si>
  <si>
    <t>間に合わせの砲弾</t>
  </si>
  <si>
    <t>Makeshift Munitions</t>
  </si>
  <si>
    <t>誘惑の財宝</t>
  </si>
  <si>
    <t>Trove of Temptation</t>
  </si>
  <si>
    <t>蠱惑的な船員</t>
  </si>
  <si>
    <t>Captivating Crew</t>
  </si>
  <si>
    <t>暴れ回るフェロキドン</t>
  </si>
  <si>
    <t>Rampaging Ferocidon</t>
  </si>
  <si>
    <t>荒くれ船員</t>
  </si>
  <si>
    <t>Rowdy Crew</t>
  </si>
  <si>
    <t>風雲艦隊の放火魔</t>
  </si>
  <si>
    <t>Storm Fleet Arsonist</t>
  </si>
  <si>
    <t>ティロナーリの肌変わり</t>
  </si>
  <si>
    <t>Tilonalli's Skinshifter</t>
  </si>
  <si>
    <t>反復連射</t>
  </si>
  <si>
    <t>Repeating Barrage</t>
  </si>
  <si>
    <t>太陽鳥の祈祷</t>
  </si>
  <si>
    <t>Sunbird's Invocation</t>
  </si>
  <si>
    <t>焼熱の太陽の化身</t>
  </si>
  <si>
    <t>Burning Sun's Avatar</t>
  </si>
  <si>
    <t>風雲船長ラネリー</t>
  </si>
  <si>
    <t>Captain Lannery Storm</t>
  </si>
  <si>
    <t>絶滅の星</t>
  </si>
  <si>
    <t>Star of Extinction</t>
  </si>
  <si>
    <t>ヴァンスの爆破砲</t>
  </si>
  <si>
    <t>Vance's Blasting Cannons</t>
  </si>
  <si>
    <t>巨大な戦慄大口</t>
  </si>
  <si>
    <t>Colossal Dreadmaw</t>
  </si>
  <si>
    <t>深根の戦士</t>
  </si>
  <si>
    <t>Deeproot Warrior</t>
  </si>
  <si>
    <t>イクサーリの卜占師</t>
  </si>
  <si>
    <t>Ixalli's Diviner</t>
  </si>
  <si>
    <t>翡翠の守護者</t>
  </si>
  <si>
    <t>Jade Guardian</t>
  </si>
  <si>
    <t>ジャングルの探査者</t>
  </si>
  <si>
    <t>Jungle Delver</t>
  </si>
  <si>
    <t>貪欲な短剣歯</t>
  </si>
  <si>
    <t>Ravenous Daggertooth</t>
  </si>
  <si>
    <t>塁壁壊し</t>
  </si>
  <si>
    <t>Crash the Ramparts</t>
  </si>
  <si>
    <t>創発的成長</t>
  </si>
  <si>
    <t>Emergent Growth</t>
  </si>
  <si>
    <t>真っ二つ</t>
  </si>
  <si>
    <t>Slice in Twain</t>
  </si>
  <si>
    <t>新たな地平</t>
  </si>
  <si>
    <t>New Horizons</t>
  </si>
  <si>
    <t>大物群れの操り手</t>
  </si>
  <si>
    <t>Drover of the Mighty</t>
  </si>
  <si>
    <t>イクサーリの守り手</t>
  </si>
  <si>
    <t>Ixalli's Keeper</t>
  </si>
  <si>
    <t>クメーナの語り部</t>
  </si>
  <si>
    <t>Kumena's Speaker</t>
  </si>
  <si>
    <t>マーフォークの枝渡り</t>
  </si>
  <si>
    <t>Merfolk Branchwalker</t>
  </si>
  <si>
    <t>群棲する猛竜</t>
  </si>
  <si>
    <t>Ranging Raptors</t>
  </si>
  <si>
    <t>轟く棘背びれ</t>
  </si>
  <si>
    <t>Thundering Spineback</t>
  </si>
  <si>
    <t>蔦形成師の神秘家</t>
  </si>
  <si>
    <t>Vineshaper Mystic</t>
  </si>
  <si>
    <t>川守りの恩恵</t>
  </si>
  <si>
    <t>River Heralds' Boon</t>
  </si>
  <si>
    <t>凶暴な踏みつけ</t>
  </si>
  <si>
    <t>Savage Stomp</t>
  </si>
  <si>
    <t>形成師の聖域</t>
  </si>
  <si>
    <t>Shapers' Sanctuary</t>
  </si>
  <si>
    <t>貪る死肉あさり</t>
  </si>
  <si>
    <t>Deathgorge Scavenger</t>
  </si>
  <si>
    <t>深根の勇者</t>
  </si>
  <si>
    <t>Deeproot Champion</t>
  </si>
  <si>
    <t>皇帝の先兵</t>
  </si>
  <si>
    <t>Emperor's Vanguard</t>
  </si>
  <si>
    <t>切り裂き顎の猛竜</t>
  </si>
  <si>
    <t>Ripjaw Raptor</t>
  </si>
  <si>
    <t>野茂み歩き</t>
  </si>
  <si>
    <t>Wildgrowth Walker</t>
  </si>
  <si>
    <t>恐竜との融和</t>
  </si>
  <si>
    <t>Commune with Dinosaurs</t>
  </si>
  <si>
    <t>殺戮の暴君</t>
  </si>
  <si>
    <t>Carnage Tyrant</t>
  </si>
  <si>
    <t>翠緑の太陽の化身</t>
  </si>
  <si>
    <t>Verdant Sun's Avatar</t>
  </si>
  <si>
    <t>イトリモクの成長儀式</t>
  </si>
  <si>
    <t>Growing Rites of Itlimoc</t>
  </si>
  <si>
    <t>巧射艦隊の略取者</t>
  </si>
  <si>
    <t>Deadeye Plunderers</t>
  </si>
  <si>
    <t>人質取り</t>
  </si>
  <si>
    <t>Hostage Taker</t>
  </si>
  <si>
    <t>凶兆艦隊の船長</t>
  </si>
  <si>
    <t>Dire Fleet Captain</t>
  </si>
  <si>
    <t>怒り狂う長剣歯</t>
  </si>
  <si>
    <t>Raging Swordtooth</t>
  </si>
  <si>
    <t>レギサウルスの頭目</t>
  </si>
  <si>
    <t>Regisaur Alpha</t>
  </si>
  <si>
    <t>好戦的なブロントドン</t>
  </si>
  <si>
    <t>Belligerent Brontodon</t>
  </si>
  <si>
    <t>饗宴への召集</t>
  </si>
  <si>
    <t>Call to the Feast</t>
  </si>
  <si>
    <t>マガーンの鏖殺者、ヴォーナ</t>
  </si>
  <si>
    <t>Vona, Butcher of Magan</t>
  </si>
  <si>
    <t>空の恐怖</t>
  </si>
  <si>
    <t>Sky Terror</t>
  </si>
  <si>
    <t>自然形成師</t>
  </si>
  <si>
    <t>Shapers of Nature</t>
  </si>
  <si>
    <t>轟く声、ティシャーナ</t>
  </si>
  <si>
    <t>Tishana, Voice of Thunder</t>
  </si>
  <si>
    <t>鉄面提督ベケット</t>
  </si>
  <si>
    <t>Admiral Beckett Brass</t>
  </si>
  <si>
    <t>太陽の化身、ギシャス</t>
  </si>
  <si>
    <t>Gishath, Sun's Avatar</t>
  </si>
  <si>
    <t>薄暮軍団の弩級艦</t>
  </si>
  <si>
    <t>Dusk Legion Dreadnought</t>
  </si>
  <si>
    <t>機体</t>
    <rPh sb="0" eb="2">
      <t>キタイ</t>
    </rPh>
    <phoneticPr fontId="1"/>
  </si>
  <si>
    <t>廃墟の地</t>
  </si>
  <si>
    <t>Field of Ruin</t>
  </si>
  <si>
    <t>秘儀司祭の杯</t>
  </si>
  <si>
    <t>Hierophant's Chalice</t>
  </si>
  <si>
    <t>海賊のカットラス</t>
  </si>
  <si>
    <t>Pirate's Cutlass</t>
  </si>
  <si>
    <t>装備品</t>
    <rPh sb="0" eb="2">
      <t>ソウビ</t>
    </rPh>
    <rPh sb="2" eb="3">
      <t>ヒン</t>
    </rPh>
    <phoneticPr fontId="1"/>
  </si>
  <si>
    <t>未知の岸</t>
  </si>
  <si>
    <t>Unknown Shores</t>
  </si>
  <si>
    <t>土地</t>
    <rPh sb="0" eb="2">
      <t>トチ</t>
    </rPh>
    <phoneticPr fontId="1"/>
  </si>
  <si>
    <t>繁雑な火炎砲</t>
  </si>
  <si>
    <t>Elaborate Firecannon</t>
  </si>
  <si>
    <t>起源の柱</t>
  </si>
  <si>
    <t>Pillar of Origins</t>
  </si>
  <si>
    <t>もぎ取り刃</t>
  </si>
  <si>
    <t>Prying Blade</t>
  </si>
  <si>
    <t>歩哨のトーテム像</t>
  </si>
  <si>
    <t>Sentinel Totem</t>
  </si>
  <si>
    <t>不吉な旗艦</t>
  </si>
  <si>
    <t>Fell Flagship</t>
  </si>
  <si>
    <t>征服者のガレオン船</t>
  </si>
  <si>
    <t>Conqueror's Galleon</t>
  </si>
  <si>
    <t>探査の短剣</t>
  </si>
  <si>
    <t>Dowsing Dagger</t>
  </si>
  <si>
    <t>原初の呪物</t>
  </si>
  <si>
    <t>Primal Amulet</t>
  </si>
  <si>
    <t>魔学コンパス</t>
  </si>
  <si>
    <t>Thaumatic Compass</t>
  </si>
  <si>
    <t>宝物の地図</t>
  </si>
  <si>
    <t>Treasure Map</t>
  </si>
  <si>
    <t>陰鬱な帆船</t>
  </si>
  <si>
    <t>Shadowed Caravel</t>
  </si>
  <si>
    <t>魔術遠眼鏡</t>
  </si>
  <si>
    <t>Sorcerous Spyglass</t>
  </si>
  <si>
    <t>手付かずの領土</t>
  </si>
  <si>
    <t>Unclaimed Territory</t>
  </si>
  <si>
    <t>勝者の戦旗</t>
  </si>
  <si>
    <t>Vanquisher's Banner</t>
  </si>
  <si>
    <t xml:space="preserve">  </t>
  </si>
  <si>
    <t xml:space="preserve">先制攻撃  </t>
  </si>
  <si>
    <t xml:space="preserve">警戒  </t>
  </si>
  <si>
    <t xml:space="preserve">飛行  </t>
  </si>
  <si>
    <t xml:space="preserve">ディフェンダー  </t>
  </si>
  <si>
    <t xml:space="preserve">ブロックされない  </t>
  </si>
  <si>
    <t xml:space="preserve">威迫  </t>
  </si>
  <si>
    <t xml:space="preserve">絆魂  </t>
  </si>
  <si>
    <t xml:space="preserve">威迫 接死 </t>
  </si>
  <si>
    <t xml:space="preserve">速攻  </t>
  </si>
  <si>
    <t xml:space="preserve">トランプル 速攻 </t>
  </si>
  <si>
    <t xml:space="preserve">トランプル  </t>
  </si>
  <si>
    <t xml:space="preserve">呪禁  </t>
  </si>
  <si>
    <t xml:space="preserve">トランプル 呪禁 </t>
  </si>
  <si>
    <t xml:space="preserve">警戒 絆魂 </t>
  </si>
  <si>
    <t xml:space="preserve">飛行 威迫 </t>
  </si>
  <si>
    <t>バーサーカー トランプル 警戒 速攻</t>
  </si>
  <si>
    <t>Whenever this creature attacks, it gets +1/+0 until end of turn.Activate 1: This creature gains Prevent Damage until end of turn. Lose 1 life.</t>
  </si>
  <si>
    <t>First StrikeWhen this creature enters the battlefield, it Explores 1.</t>
  </si>
  <si>
    <t>While you control a Dinosaur, this creature gains Double Strike.</t>
  </si>
  <si>
    <t>When this creature enters the battlefield, gain 6 life.</t>
  </si>
  <si>
    <t>When this creature enters the battlefield, you may fetch the next card named Legion Conquistador from your library into your hand.</t>
  </si>
  <si>
    <t>When this creature enters the battlefield, create a 1/1 Vampire token with lifelink.</t>
  </si>
  <si>
    <t>VigilanceActivate 2: Deals damage equal to its Toughness to the first creature your opponent controls with Defender, Vigilance or Reach.</t>
  </si>
  <si>
    <t>Whenever this creature attacks, disable the first creature your opponent controls until the end of the turn.</t>
  </si>
  <si>
    <t>Destroy an opponent’s nonland support.</t>
  </si>
  <si>
    <t>Destroy target creature with power 6 or greater</t>
  </si>
  <si>
    <t>You gain 6 life.Draw a card.</t>
  </si>
  <si>
    <t>Enrage: All creatures you control gets +1/+1.</t>
  </si>
  <si>
    <t>FlyingActivate 2: Your first other Vampire gets +2/+0 and Flying until end of turn.</t>
  </si>
  <si>
    <t>First StrikeWhen this creature dies, if there are 5 or more white gems, all your creatures gets +1/+1.</t>
  </si>
  <si>
    <t>Activate White 2: This creature gains Vigilance until end of turn. Lose 1 life.Activate Black 2: This creature gains Flying until end of turn. Lose 1 life.</t>
  </si>
  <si>
    <t>FlyingWhen this creature enters the battlefield, another target creature you control gets +1/+1 and gains flying until end of turn.</t>
  </si>
  <si>
    <t>Defender. While this creature is on the battlefield under your control, Dinosaurs cards in your hand cost 2 less.</t>
  </si>
  <si>
    <t>Create 2 1/1 White Vampire creature tokens with Lifelink.</t>
  </si>
  <si>
    <t>Target creature gains Prevent Damage until the beginning of your next turn. Pick one of the next 2 cards of your library. Fetch that card and destroy the other.</t>
  </si>
  <si>
    <t>The first creature you control gets +2/+2 until end of turn. If it’s a Vampire, it gains First Strike untilend of turn.</t>
  </si>
  <si>
    <t>VigilanceWhen this creature enters the battlefield, return the first creature from your graveyard with mana cost 8 or less to the battlefield, then reinforce the last other Vampire you control.</t>
  </si>
  <si>
    <t>Double StrikeWhenever this creature attacks, other creatures you control gains Double Strike until end of turn.</t>
  </si>
  <si>
    <t>FlyingWhile this creature is on the battlefield, creatures your opponent control enters the battlefield Disabled until the beginning of your opponent’s next turn.</t>
  </si>
  <si>
    <t>At the beginning of each player turn, that player gains 5 life and his or her opponent loses 5 life.</t>
  </si>
  <si>
    <t>While this support is on the board, creatures your opponent controls have &amp;#8220;When this creature attacks, convert 4 gems to your planeswalker colors, exile this creature and, at the end of turn, destroy Settle the Wreckage&amp;#8221;.</t>
  </si>
  <si>
    <t>When this creature enters the battlefield, destroy all non-Dinosaur creatures.</t>
  </si>
  <si>
    <t>When this support enters the board, create a 1/1 White Vampire token with lifelink.When you attack with a creature reinforced two or more times, transform this support.</t>
  </si>
  <si>
    <t>When this creature enters the battlefield, find 2 Treasures.</t>
  </si>
  <si>
    <t>While you control another Merfolk, this creature gains Flying.</t>
  </si>
  <si>
    <t>When this creature enters the battlefield, if you Raided, discard a card and draw a card.</t>
  </si>
  <si>
    <t>When this creature enters the battlefield, it Explores 1.</t>
  </si>
  <si>
    <t>When this creature enters the battlefield, target creature is disabled until the beginning of your next turn.</t>
  </si>
  <si>
    <t>Return target creature to its owner’s hand and find a Treasure.</t>
  </si>
  <si>
    <t>Target creature you control gains Hexproof and gets +0/+3 until the start of your next turn.</t>
  </si>
  <si>
    <t>Target creature gains Flying and gets +2/+2.</t>
  </si>
  <si>
    <t>Draw 2 cards and find a Treasure.</t>
  </si>
  <si>
    <t>Exile target creature you control, then return it to the battlefield under its owner’s control. If you control a Pirate, draw a card.</t>
  </si>
  <si>
    <t>When this creature enters the battlefield, fetch the first Vehicle card from your library.</t>
  </si>
  <si>
    <t>Unblockable. Whenever a Merfolk enters the battlefield under your control, this creature gets +1/+1 until end of turn.</t>
  </si>
  <si>
    <t>When this creature dies, if there are 6 or more blue gems, draw 3 cards.</t>
  </si>
  <si>
    <t>When this creature enters the battlefield, if you Raided, it gets +2/+2.</t>
  </si>
  <si>
    <t>Discard a card unless you Raided. Draw 3 cards.</t>
  </si>
  <si>
    <t>Whenever a nontoken Merfolk creature enters the battlefield under your control, create a 1/1 Merfolk token with hexproof and this support loses 1 shield.</t>
  </si>
  <si>
    <t>Creatures you control with Flying get +1/+1.</t>
  </si>
  <si>
    <t>Activate 4: Unblockable until end of turn.Whenever this creature causes combat damage to your opponent, discard a card and draw a card.</t>
  </si>
  <si>
    <t>When this creature deals damage to your opponent, increase the mana cost of the lower half of your opponent’s hand by 3.</t>
  </si>
  <si>
    <t>Activate 3: Your buffed creatures gains Unblockable until end of turn.</t>
  </si>
  <si>
    <t>Draw 3 cards.If you have 6 cards in your hand, each card in your hand gains 3 mana.</t>
  </si>
  <si>
    <t>Return all creatures and nonland supports your opponent controls to their owner’s hands and increase their cost by 2. If there is no room in your opponent’s hand, destroy them.</t>
  </si>
  <si>
    <t>When this support enters the battlefield, all creatures you control and all creatures in your hand gain the Merfolk, Vampire, Pirate and Dinosaur subtypes.When this support is destroyed, draw a card.</t>
  </si>
  <si>
    <t>Drain all mana from the first card in your opponent’s hand and find all 4 Treasures.</t>
  </si>
  <si>
    <t>At the beginning of your turn, pick one from the top two cards of your library. Fetch that card and destroy the other.At the end of your turn, if there are 7 or more cards in your graveyard, transform this support.</t>
  </si>
  <si>
    <t>When this creature enters the battlefield, if you Raided, your opponent discards a card.</t>
  </si>
  <si>
    <t>This creature can’t attack unless you control a support.</t>
  </si>
  <si>
    <t>When this creature dies, find a Treasure.</t>
  </si>
  <si>
    <t>Whenever a creature you control Explores, the first creature your opponent controls gets -3/-3 until end of turn.</t>
  </si>
  <si>
    <t>When this creature enters the battlefield, it Explores 2.</t>
  </si>
  <si>
    <t>When this creature dies, your opponent finds 2 Treasures.</t>
  </si>
  <si>
    <t>Destroy target creature and find 2 Treasures.</t>
  </si>
  <si>
    <t>Destroy the last creature you control and draw 2 cards.</t>
  </si>
  <si>
    <t>Your opponent discards 2 cards. If you Raided, find a Treasure.</t>
  </si>
  <si>
    <t>When this creature dies, if there are 4 or more black gems, your opponent loses 4 life and you gain 4 life.</t>
  </si>
  <si>
    <t>When this creature dies, if you control a Vampire reinforced 2 or more times, return this creature from your graveyard to your hand. It costs 3 less.</t>
  </si>
  <si>
    <t>When this creature enters the battlefield, exile the last noncreature card from your opponent’s hand.When this creature dies, your opponent draws a card.</t>
  </si>
  <si>
    <t>Activate 1: The first other creature you control is destroyed and you find 2 Treasures.At the end of your turn, if you control more than 3 Treasures, draw a card.</t>
  </si>
  <si>
    <t>Whenever this creature attacks, your opponent loses 2 life. If this creature is reinforced at least 2 times, your opponent loses 4 life instead.</t>
  </si>
  <si>
    <t>The opponent discards the first noncreature card from hand.</t>
  </si>
  <si>
    <t>Return a Pirate, Vampire, Dinosaur and Merfolk from your graveyard to your hand.You lose 2 life for each card returned this way and each card gains 3 mana.</t>
  </si>
  <si>
    <t>Destroy target non-Merfolk creature.</t>
  </si>
  <si>
    <t>Whenever your opponent discards a card, that player loses 3 life.At the end of your turn, if you Raided, your opponent discards a card.</t>
  </si>
  <si>
    <t>When this creature enters the battlefield, your opponent loses 1 life for each Vampire you control. Then that player loses 1 life for each time those Vampires were reinforced.</t>
  </si>
  <si>
    <t>Activate 3 Black: Exile the last 2 cards from your opponent’s graveyard. Then this creature Explores 1.</t>
  </si>
  <si>
    <t>Whenever this creature attacks, if you control another nontoken Pirate, you are drained of 3 mana and create a 2/2 Black Pirate token with Menace.</t>
  </si>
  <si>
    <t>Exile target creature. Your opponent loses 2 life. You gain 2 life.</t>
  </si>
  <si>
    <t>Whenever a creature your opponent controls dies, find a Treasure. At the beginning of your turn, if you control 3 or more treasures, all cards in your hand gains 1 mana.</t>
  </si>
  <si>
    <t>Trap 3 Blue: Draw a card. This support loses 1 Shield.Trap 3 Red: Your opponent loses 3 life. This support loses 1 Shield.</t>
  </si>
  <si>
    <t>When this creature enters the battlefield, you lose X life and your opponent loses X life times 2, where X is the number of black gems.</t>
  </si>
  <si>
    <t>Whenever this creature attacks, your opponent loses X life and you gain X life, where X is the number of times your Vampires have been reinforced.</t>
  </si>
  <si>
    <t>Activate 2: Lose 5 life and draw 2 cards.At the end of your turn, if you lost 20 or more life this game, transform this support.</t>
  </si>
  <si>
    <t>Activate 2: This creature gets +1/+0 until end of turn.</t>
  </si>
  <si>
    <t>When this creature enters the battlefield, if you Raided, it deals 3 damage to target creature or planeswalker.</t>
  </si>
  <si>
    <t>Enrage: Deals 3 damage to your opponent.</t>
  </si>
  <si>
    <t>While you control another Dinosaur, this creature gets +X/+0 and has Trample.</t>
  </si>
  <si>
    <t>Whenever this creature attacks, if you control a Dinosaur, this creature receives +1/+1 until end of turn.</t>
  </si>
  <si>
    <t>Deals 3 damage to target creature. If you Raided, deals 6 damage instead.</t>
  </si>
  <si>
    <t>Deals 1 damage to target creature you control. That creature gains Trample until end of turn. Draw a card.</t>
  </si>
  <si>
    <t>Target creature gains Haste and gets +2/+2.</t>
  </si>
  <si>
    <t>Deals 4 damage to target creature or planeswalker.</t>
  </si>
  <si>
    <t>Menace.When this creature dies, if there are 5 or more red gems, it deals 3 damage to the first 2 creatures your opponent controls.</t>
  </si>
  <si>
    <t>While this creature is on the battlefield, reduce the cost of the Dinosaurs in your hand by 2. Activate 1: Your Dinosaurs gain Haste until end of turn.</t>
  </si>
  <si>
    <t>Enrage: Create a 3/3 green Dinosaur creature token with Trample.</t>
  </si>
  <si>
    <t>When this creature enters the battlefield, find a Treasure.</t>
  </si>
  <si>
    <t>Deals 2 damage to each non-Pirate.</t>
  </si>
  <si>
    <t>Whenever this support loses 1 shield, deal 1 damage to the first creature an opponent controls.</t>
  </si>
  <si>
    <t>While this support is on the board, the first creature your opponent controls has Unblockable. At the end of your turn, find a Treasure.</t>
  </si>
  <si>
    <t>Activate 5 Red: Gain control of the first creature your opponent controls until end of turn. That creature gains Haste until end of turn.</t>
  </si>
  <si>
    <t>Menace. While this creature is on the battlefield, your opponent can’t gain life.Whenever another creature enters the battlefield, deal 1 damage to that creature’s controller.</t>
  </si>
  <si>
    <t>When this creature enters the battlefield, discard 2 cards then draw 2 cards.If the last two cards in your hand share a creature type, this creature gets +2/+2.</t>
  </si>
  <si>
    <t>When this creature enters the battlefield, if you Raided, destroy 2 blocks of 3&amp;#215;3 gems.</t>
  </si>
  <si>
    <t>Whenever this creature attacks, it gets +X/+Y until end of turn, where X is the power and Y is the toughness of the first other creature you control.</t>
  </si>
  <si>
    <t>Deals 4 damage to target player. If you Raided and there are 4 or more red gems, return this spell to your hand.</t>
  </si>
  <si>
    <t>Whenever you play a card that costs 15 or more mana, fetch the next card that costs 10 or less from your library. It gains full mana and this support loses 1 shield.</t>
  </si>
  <si>
    <t>When this creature enters the battlefield, it deals 3 damage to your opponent and 3 damage to target creature.</t>
  </si>
  <si>
    <t>Whenever this creature attacks, find a Treasure.Whenever a Treasure enters the board, Pirates you control get +X/+0 until end of turn where X is the number of Treasures you control.</t>
  </si>
  <si>
    <t>Deals 10 damage to each creature and destroy all the gems.</t>
  </si>
  <si>
    <t>Whenever this creature attacks, if your opponent controls a creature with Defender, this creature gets +1/+1 until end of turn.</t>
  </si>
  <si>
    <t>When this creature enters the battlefield, target Merfolk you control gets +1/+1.</t>
  </si>
  <si>
    <t>Activate 1: This creature gets +1/+1.</t>
  </si>
  <si>
    <t>Enrage: Gain 2 life.</t>
  </si>
  <si>
    <t>Target creature gets +3/+3 and gains Trample until end of turn.</t>
  </si>
  <si>
    <t>Target creature gets +5/+5 and gains Berserk until end of turn.</t>
  </si>
  <si>
    <t>Destroy a support controlled by your opponent. Draw a card.</t>
  </si>
  <si>
    <t>While this support is on the board, the first creature you control gets +1/+1.At the beginning of your turn, convert 2 gems to your planeswalker colors.</t>
  </si>
  <si>
    <t>While you control a Dinosaur, this creature gets +2/+2.Activate 1: Convert 3 gems to green.</t>
  </si>
  <si>
    <t>When this creature dies, if there are 8 or more green gems, your first creature gets +5/+5 and gains trample until end of turn.</t>
  </si>
  <si>
    <t>While you control another Merfolk or a blue support, this creature gets +1/+1.</t>
  </si>
  <si>
    <t>Enrage: Convert 2 gems to your planeswalker colors.</t>
  </si>
  <si>
    <t>Other Dinosaurs you control get +1/+1.Activate 1: Creates a 3/3 Dinosaur creature token with Trample.</t>
  </si>
  <si>
    <t>When this creature enters the battlefield, the first and second Merfolks on the battlefield under your control gets +1/+1.</t>
  </si>
  <si>
    <t>Target creature gets +1/+1. The first Merfolk you control, gets +1/+1.</t>
  </si>
  <si>
    <t>While you control a Dinosaur, this spell costs 2 less.The first creature you control gets +1/+1 and deals damage equals to its power to the first creature your opponent controls, then that creature deals damage equal to its power to your creature.</t>
  </si>
  <si>
    <t>Whenever you cast a spell or support, this creature gets +1/+1.</t>
  </si>
  <si>
    <t>Whenever this creature deals combat damage, it Explores 1.</t>
  </si>
  <si>
    <t>Enrage: Draw a card.</t>
  </si>
  <si>
    <t>Whenever a creature you control explores, this creature gets +1/+1 and you gain 3 life.</t>
  </si>
  <si>
    <t>Fetch the next Dinosaur card from your library and convert 3 gems to green.</t>
  </si>
  <si>
    <t>Can’t have it’s mana drained or raised.</t>
  </si>
  <si>
    <t>Whenever this or another creature enters the battlefield under your control, you gain life equal to its toughness.</t>
  </si>
  <si>
    <t>When this support enters the board, pick one of the first 4 creature cards of your library. Fetch that card and destroy the others. That card gains 3 mana. At the end of your turn, if you control three or more creatures, transform this support.</t>
  </si>
  <si>
    <t>When this creature enters the battlefield, it gets +1/+1 for each support you control. Activate 1: Find a Treasure.</t>
  </si>
  <si>
    <t>When this creature enters the battlefield, move target creature your opponent controls to your hand.When this creature dies, your opponent draws 2 cards.</t>
  </si>
  <si>
    <t>Whenever this creature attacks, it gets +1/+1 until end of turn for each other Pirate you control.</t>
  </si>
  <si>
    <t>When this creature enters the battlefield, it deals 1 damage to each other creature.</t>
  </si>
  <si>
    <t>While this creature is on the battlefield, other Dinosaurs you control have Haste.When this creature enters the battlefield, create a 3/3 green Dinosaur token with Trample.</t>
  </si>
  <si>
    <t>While this creature is on the battlefield, whenever a creature you control attacks, it gains +X/+0 where X is the difference between its toughness and its power until end of turn.</t>
  </si>
  <si>
    <t>Create a 1/1 White Vampire creature token with lifelink. If you control two or more Vampires, reinforce all your creatures.</t>
  </si>
  <si>
    <t>Activate 2: The first creature you control gets +2/+2.At the end of the turn, if you control a buffed creature, draw a card.</t>
  </si>
  <si>
    <t>When this creature enters the battlefield, draw a card for each creature you control, then this creature gets +X/+X, where X is equal to two times the amount of cards in your hand.</t>
  </si>
  <si>
    <t>While this creature is on the battlefield, other Pirates you control get +2/+2.When this creature deals damage, if you control 2 or more Pirates, gain control of the first creature your opponent controls.</t>
  </si>
  <si>
    <t>Whenever this creature deals damage, the first Dinosaur from your hand that is not Gishath, Sun’s Avatar gains full mana.</t>
  </si>
  <si>
    <t>Crew 4.</t>
  </si>
  <si>
    <t>When this support enters the battlefield, target opponent loses 2 life and you gain 2 life.Activate 1: Convert 3 colored gems to Loyalty gems.</t>
  </si>
  <si>
    <t>While this support is on the battlefield, your first creature gets +2/+1.Whenever a nontoken Pirate enters the battlefield under your control, if this support is in your hand, reduce its mana cost by 2.</t>
  </si>
  <si>
    <t>At the end of your turn, discard the last card from your hand. When you do, this support deals 2 damage to your opponent’s first creature.</t>
  </si>
  <si>
    <t>Activate 2: If you have 3 or more creatures that share a type in your deck, convert 3 gems to your planeswalker colors.</t>
  </si>
  <si>
    <t>While this support is on the board, your first creature gets +2/+0 and &amp;#8220;Whenever this creature deals combat damage, find a Treasure.&amp;#8221;</t>
  </si>
  <si>
    <t>Activate 2: Draw a card, then this support loses 1 Shield.When Sentinel Totem is destroyed, exile all cards from all graveyards.</t>
  </si>
  <si>
    <t>Crew 2.Whenever this creature deals combat damage, your opponent discards a card. While this creature is on the battlefield, other Pirates you control get +2/+0.</t>
  </si>
  <si>
    <t>Crew 4. When this support enters the board, create a 4/6 Vehicle token with “When this creature attacks, Conqueror’s Galleon gains 1 shield.”</t>
  </si>
  <si>
    <t>Your spells cost 1 less to cast.Whenever you cast a spell, this support gains 1 shield.</t>
  </si>
  <si>
    <t>Activate 2: Convert 2 gems to your planeswalker colors.At the end of your turn, if there are 8 or more gems of one of your planeswalker colors, transform this support.</t>
  </si>
  <si>
    <t>Activate 2: Gain 1 shield.At the end of your turn, if Treasure Map has 4 or more shield, transform this support and find 2 Treasures.</t>
  </si>
  <si>
    <t>Crew 2.Whenever a creature you control Explores, this creature gets +2/+2.</t>
  </si>
  <si>
    <t>At the beginning of your turn, convert 2 colored gems to Loyalty gems.Instead, if you have at least 3 creatures that share a type in your deck, convert 3 gems to your planeswalker colors.</t>
  </si>
  <si>
    <t>While this support is on the board, if you have 3 or more creatures that share a type in your deck, all your creatures gets +2/+2. Whenever a creature enters the battlefield under your control, if you have 3 or more creatures that share a type in your deck, draw a card.</t>
  </si>
  <si>
    <t>一番砦、アダント</t>
  </si>
  <si>
    <t>Adanto, the First Fort</t>
  </si>
  <si>
    <t>水没遺跡、アズカンタ</t>
  </si>
  <si>
    <t>Azcanta, the Sunken Ruin</t>
  </si>
  <si>
    <t>アクロゾズの神殿</t>
  </si>
  <si>
    <t>Temple of Aclazotz</t>
  </si>
  <si>
    <t>火を吐く稜堡</t>
  </si>
  <si>
    <t>Spitfire Bastion</t>
  </si>
  <si>
    <t>太陽の揺籃の地、イトリモク</t>
  </si>
  <si>
    <t>Itlimoc, Cradle of the Sun</t>
  </si>
  <si>
    <t>征服者の橋頭堡</t>
  </si>
  <si>
    <t>Conqueror's Foothold</t>
  </si>
  <si>
    <t>失われた谷間</t>
  </si>
  <si>
    <t>Lost Vale</t>
  </si>
  <si>
    <t>原初の水源</t>
  </si>
  <si>
    <t>Primal Wellspring</t>
  </si>
  <si>
    <t>オラーズカの尖塔</t>
  </si>
  <si>
    <t>Spires of Orazca</t>
  </si>
  <si>
    <t>宝物の入り江</t>
  </si>
  <si>
    <t>Treasure Cove</t>
  </si>
  <si>
    <t>土地</t>
    <rPh sb="0" eb="2">
      <t>トチ</t>
    </rPh>
    <phoneticPr fontId="1"/>
  </si>
  <si>
    <t>At the begining of your turn convert 2 gems to black. Activate 1 Black:Destroy the last creature you control and gain life equal to its toughness times 2.</t>
    <phoneticPr fontId="1"/>
  </si>
  <si>
    <t>At the begining of your turn convert 2 gems to your planeswalker colors. Activate 1 Red:Discard a card,then draw a card. Activate 1 Blue:Draw a card. Activate 1 Black:Return the last Creature card in your graveyard to your hand.</t>
  </si>
  <si>
    <t>At the begining of your turn convert 2 gems to red. Activate 2 Red:Deals 3 damage to the last creature your opponent controls.</t>
  </si>
  <si>
    <t>At the begining of your turn convert 2 gems to Loyality Gems. Whenever a Treasure you control is destroyed. draw a card and this support loses 1 shield.</t>
  </si>
  <si>
    <t>At the begining of your turn convert 2 gems to blue. Activate 2 Blue:Fetch the first spell or nonland support from your library, it gains 3 man</t>
  </si>
  <si>
    <t>At the beginning of your turn, convert X gems to green, where X is the number of creatures you control times 2.</t>
  </si>
  <si>
    <t>At the begining of your turn convert 2 gems to your planeswalker colors. Whenever you cast a spell that costs 9 or more mana, return that spell to your hand with 6 mana, and this support loses 1 shield.</t>
  </si>
  <si>
    <t>At the begining of your turn convert 2 gems to white. Activate 2 White:Create 2 1/1 white Vampire creature tokens with Lifelink.</t>
  </si>
  <si>
    <t>At the begining of your turn convert 3 gems to your planeswalker colors. Then,repeat this effect.</t>
  </si>
  <si>
    <t>At the begining of your turn convert 2 gems to Loyality Gems. While this support is on the battlefield, your opponent's first creature has its power reduced to 0. At the end of the opponent's turn, if he controls a creature with power equal to 0, this support loses 1 shield.</t>
  </si>
  <si>
    <t>ヴィズコーパの血男爵</t>
  </si>
  <si>
    <t>聖遺の騎士</t>
  </si>
  <si>
    <t>月の大魔術師</t>
  </si>
  <si>
    <t>魂売り</t>
  </si>
  <si>
    <t>電解</t>
    <rPh sb="0" eb="2">
      <t>デンカイ</t>
    </rPh>
    <phoneticPr fontId="1"/>
  </si>
  <si>
    <t>剣を鍬に</t>
  </si>
  <si>
    <t>霊気の薬瓶</t>
    <rPh sb="0" eb="2">
      <t>レイキ</t>
    </rPh>
    <rPh sb="3" eb="4">
      <t>ヤク</t>
    </rPh>
    <rPh sb="4" eb="5">
      <t>ビン</t>
    </rPh>
    <phoneticPr fontId="1"/>
  </si>
  <si>
    <t>捕食の呪い</t>
  </si>
  <si>
    <t>狼狽の嵐</t>
    <rPh sb="0" eb="2">
      <t>ロウバイ</t>
    </rPh>
    <rPh sb="3" eb="4">
      <t>アラシ</t>
    </rPh>
    <phoneticPr fontId="1"/>
  </si>
  <si>
    <t>血なまぐさい結合</t>
  </si>
  <si>
    <t>Blood Baron of Vizkopa</t>
  </si>
  <si>
    <t>Knight of the Reliquary</t>
  </si>
  <si>
    <t>Magus of the Moon</t>
  </si>
  <si>
    <t>Spiritmonger</t>
  </si>
  <si>
    <t>Electrolyze</t>
  </si>
  <si>
    <t>Swords to Plowshares</t>
  </si>
  <si>
    <t>Aether Vial</t>
  </si>
  <si>
    <t>Curse of Predation</t>
  </si>
  <si>
    <t>Flusterstorm</t>
  </si>
  <si>
    <t>Sanguine Bond</t>
  </si>
  <si>
    <t>Elite</t>
  </si>
  <si>
    <t>絆魂</t>
    <rPh sb="0" eb="1">
      <t>キズナ</t>
    </rPh>
    <rPh sb="1" eb="2">
      <t>タマシイ</t>
    </rPh>
    <phoneticPr fontId="1"/>
  </si>
  <si>
    <t>白黒</t>
    <phoneticPr fontId="1"/>
  </si>
  <si>
    <t>赤</t>
    <rPh sb="0" eb="1">
      <t>アカ</t>
    </rPh>
    <phoneticPr fontId="1"/>
  </si>
  <si>
    <t>ウィザード</t>
    <phoneticPr fontId="1"/>
  </si>
  <si>
    <t>黒緑</t>
    <rPh sb="0" eb="1">
      <t>クロ</t>
    </rPh>
    <rPh sb="1" eb="2">
      <t>ミドリ</t>
    </rPh>
    <phoneticPr fontId="1"/>
  </si>
  <si>
    <t>ビースト</t>
    <phoneticPr fontId="1"/>
  </si>
  <si>
    <t>青赤</t>
    <phoneticPr fontId="1"/>
  </si>
  <si>
    <t>白</t>
    <rPh sb="0" eb="1">
      <t>シロ</t>
    </rPh>
    <phoneticPr fontId="1"/>
  </si>
  <si>
    <t>無色</t>
    <phoneticPr fontId="1"/>
  </si>
  <si>
    <t>緑</t>
    <rPh sb="0" eb="1">
      <t>ミドリ</t>
    </rPh>
    <phoneticPr fontId="1"/>
  </si>
  <si>
    <t>青</t>
    <rPh sb="0" eb="1">
      <t>アオ</t>
    </rPh>
    <phoneticPr fontId="1"/>
  </si>
  <si>
    <t>黒</t>
    <rPh sb="0" eb="1">
      <t>クロ</t>
    </rPh>
    <phoneticPr fontId="1"/>
  </si>
  <si>
    <t>Geralf's Elite</t>
  </si>
  <si>
    <t>KLI</t>
  </si>
  <si>
    <t>KLI</t>
    <phoneticPr fontId="1"/>
  </si>
  <si>
    <t>AMI</t>
    <phoneticPr fontId="1"/>
  </si>
  <si>
    <t>HOI</t>
    <phoneticPr fontId="1"/>
  </si>
  <si>
    <t>XLE</t>
    <phoneticPr fontId="1"/>
  </si>
  <si>
    <t>沼</t>
    <rPh sb="0" eb="1">
      <t>ヌマ</t>
    </rPh>
    <phoneticPr fontId="1"/>
  </si>
  <si>
    <t>山</t>
    <rPh sb="0" eb="1">
      <t>ヤマ</t>
    </rPh>
    <phoneticPr fontId="1"/>
  </si>
  <si>
    <t>島</t>
    <rPh sb="0" eb="1">
      <t>シマ</t>
    </rPh>
    <phoneticPr fontId="1"/>
  </si>
  <si>
    <t>平地</t>
    <rPh sb="0" eb="2">
      <t>ヘイチ</t>
    </rPh>
    <phoneticPr fontId="1"/>
  </si>
  <si>
    <t>森</t>
    <rPh sb="0" eb="1">
      <t>モリ</t>
    </rPh>
    <phoneticPr fontId="1"/>
  </si>
  <si>
    <t>装備品</t>
    <rPh sb="0" eb="3">
      <t>ソウビヒン</t>
    </rPh>
    <phoneticPr fontId="1"/>
  </si>
  <si>
    <t>オーラ</t>
    <phoneticPr fontId="1"/>
  </si>
  <si>
    <t>クリーチャー</t>
    <phoneticPr fontId="1"/>
  </si>
  <si>
    <t>カルトーシュ</t>
    <phoneticPr fontId="1"/>
  </si>
  <si>
    <t>主張</t>
    <rPh sb="0" eb="2">
      <t>シュチョウ</t>
    </rPh>
    <phoneticPr fontId="1"/>
  </si>
  <si>
    <t>呪文</t>
    <phoneticPr fontId="1"/>
  </si>
  <si>
    <t>装備品</t>
    <phoneticPr fontId="1"/>
  </si>
  <si>
    <t>裏面</t>
    <rPh sb="0" eb="2">
      <t>ウラメン</t>
    </rPh>
    <phoneticPr fontId="1"/>
  </si>
  <si>
    <t>ジェム2個を起動する：5点のライフを失い、カードを2枚引く。</t>
    <rPh sb="12" eb="13">
      <t>テン</t>
    </rPh>
    <rPh sb="18" eb="19">
      <t>ウシナ</t>
    </rPh>
    <rPh sb="26" eb="27">
      <t>マイ</t>
    </rPh>
    <rPh sb="27" eb="28">
      <t>ヒ</t>
    </rPh>
    <phoneticPr fontId="1"/>
  </si>
  <si>
    <t>あなたのターン終了時に、このゲームであなたが20点以上のライフを失っていた場合、このサポートを変身させる。</t>
    <rPh sb="7" eb="10">
      <t>シュウリョウジ</t>
    </rPh>
    <rPh sb="24" eb="27">
      <t>テンイジョウ</t>
    </rPh>
    <rPh sb="32" eb="33">
      <t>ウシナ</t>
    </rPh>
    <rPh sb="37" eb="39">
      <t>バアイ</t>
    </rPh>
    <rPh sb="47" eb="49">
      <t>ヘンシン</t>
    </rPh>
    <phoneticPr fontId="1"/>
  </si>
  <si>
    <t>あなたのターン開始時に、ジェム2個を黒に変換する。</t>
    <rPh sb="7" eb="9">
      <t>カイシ</t>
    </rPh>
    <rPh sb="9" eb="10">
      <t>ジ</t>
    </rPh>
    <rPh sb="16" eb="17">
      <t>コ</t>
    </rPh>
    <rPh sb="18" eb="19">
      <t>クロ</t>
    </rPh>
    <rPh sb="20" eb="22">
      <t>ヘンカン</t>
    </rPh>
    <phoneticPr fontId="1"/>
  </si>
  <si>
    <t>黒ジェム1個を起動する：あなたがコントロールする最後のクリーチャーを破壊し、それのタフネスの2倍に等しい点数のライフを得る。</t>
    <rPh sb="0" eb="1">
      <t>クロ</t>
    </rPh>
    <rPh sb="5" eb="6">
      <t>コ</t>
    </rPh>
    <rPh sb="7" eb="9">
      <t>キドウ</t>
    </rPh>
    <rPh sb="24" eb="26">
      <t>サイゴ</t>
    </rPh>
    <rPh sb="34" eb="36">
      <t>ハカイ</t>
    </rPh>
    <rPh sb="47" eb="48">
      <t>バイ</t>
    </rPh>
    <rPh sb="49" eb="50">
      <t>ヒト</t>
    </rPh>
    <rPh sb="52" eb="54">
      <t>テンスウ</t>
    </rPh>
    <rPh sb="59" eb="60">
      <t>エ</t>
    </rPh>
    <phoneticPr fontId="1"/>
  </si>
  <si>
    <t>このクリーチャーが戦場に出たとき、クリーチャー1体を対象とする。これはそれに3点、対戦相手に3点のダメージを与える。</t>
    <rPh sb="24" eb="25">
      <t>タイ</t>
    </rPh>
    <rPh sb="26" eb="28">
      <t>タイショウ</t>
    </rPh>
    <rPh sb="39" eb="40">
      <t>テン</t>
    </rPh>
    <rPh sb="41" eb="43">
      <t>タイセン</t>
    </rPh>
    <rPh sb="43" eb="45">
      <t>アイテ</t>
    </rPh>
    <rPh sb="47" eb="48">
      <t>テン</t>
    </rPh>
    <rPh sb="54" eb="55">
      <t>アタ</t>
    </rPh>
    <phoneticPr fontId="1"/>
  </si>
  <si>
    <t>このクリーチャーが攻撃を与えるたび、宝物を1つ見つける。</t>
    <rPh sb="9" eb="11">
      <t>コウゲキ</t>
    </rPh>
    <rPh sb="12" eb="13">
      <t>アタ</t>
    </rPh>
    <rPh sb="18" eb="20">
      <t>タカラモノ</t>
    </rPh>
    <rPh sb="23" eb="24">
      <t>ミ</t>
    </rPh>
    <phoneticPr fontId="1"/>
  </si>
  <si>
    <t>宝物が1つボードに出るたび、ターン終了時まで、あなたがコントロールする海賊は+X/+0の修正を受ける。Xはあなたがコントロールする宝物の総数に等しい。</t>
    <rPh sb="0" eb="2">
      <t>タカラモノ</t>
    </rPh>
    <rPh sb="9" eb="10">
      <t>デ</t>
    </rPh>
    <rPh sb="17" eb="20">
      <t>シュウリョウジ</t>
    </rPh>
    <rPh sb="35" eb="37">
      <t>カイゾク</t>
    </rPh>
    <rPh sb="44" eb="46">
      <t>シュウセイ</t>
    </rPh>
    <rPh sb="47" eb="48">
      <t>ウ</t>
    </rPh>
    <rPh sb="65" eb="67">
      <t>タカラモノ</t>
    </rPh>
    <rPh sb="68" eb="70">
      <t>ソウスウ</t>
    </rPh>
    <rPh sb="71" eb="72">
      <t>ヒト</t>
    </rPh>
    <phoneticPr fontId="1"/>
  </si>
  <si>
    <t>これのマナを吸収したり、マナ・コストを多くしたりできない。</t>
    <rPh sb="6" eb="8">
      <t>キュウシュウ</t>
    </rPh>
    <rPh sb="19" eb="20">
      <t>オオ</t>
    </rPh>
    <phoneticPr fontId="1"/>
  </si>
  <si>
    <t>このクリーチャーが戦場に出たとき、あなたはX点のライフを失い、対戦相手はXの2倍の点数のライフを失う。Xは黒ジェムの総数に等しい。</t>
    <rPh sb="9" eb="11">
      <t>センジョウ</t>
    </rPh>
    <rPh sb="12" eb="13">
      <t>デ</t>
    </rPh>
    <rPh sb="22" eb="23">
      <t>テン</t>
    </rPh>
    <rPh sb="28" eb="29">
      <t>ウシナ</t>
    </rPh>
    <rPh sb="31" eb="33">
      <t>タイセン</t>
    </rPh>
    <rPh sb="33" eb="35">
      <t>アイテ</t>
    </rPh>
    <rPh sb="39" eb="40">
      <t>バイ</t>
    </rPh>
    <rPh sb="41" eb="43">
      <t>テンスウ</t>
    </rPh>
    <rPh sb="48" eb="49">
      <t>ウシナ</t>
    </rPh>
    <rPh sb="53" eb="54">
      <t>クロ</t>
    </rPh>
    <rPh sb="58" eb="60">
      <t>ソウスウ</t>
    </rPh>
    <rPh sb="61" eb="62">
      <t>ヒト</t>
    </rPh>
    <phoneticPr fontId="1"/>
  </si>
  <si>
    <t>このサポートがボードに出たとき、あなたのライブラリーの最初の4枚のクリーチャー・カードのうち1枚を選ぶ。そのカードを取ってきて、他を破壊する。そのカードは3マナを得る。</t>
    <rPh sb="11" eb="12">
      <t>デ</t>
    </rPh>
    <rPh sb="27" eb="29">
      <t>サイショ</t>
    </rPh>
    <rPh sb="31" eb="32">
      <t>マイ</t>
    </rPh>
    <rPh sb="47" eb="48">
      <t>マイ</t>
    </rPh>
    <rPh sb="49" eb="50">
      <t>エラ</t>
    </rPh>
    <rPh sb="58" eb="59">
      <t>ト</t>
    </rPh>
    <rPh sb="64" eb="65">
      <t>タ</t>
    </rPh>
    <rPh sb="66" eb="68">
      <t>ハカイ</t>
    </rPh>
    <rPh sb="81" eb="82">
      <t>エ</t>
    </rPh>
    <phoneticPr fontId="1"/>
  </si>
  <si>
    <t>あなたのターン終了時に、あなたがクリーチャーを3体以上コントロールしている場合、このサポートを変身させる。</t>
    <rPh sb="7" eb="10">
      <t>シュウリョウジ</t>
    </rPh>
    <rPh sb="24" eb="27">
      <t>タイイジョウ</t>
    </rPh>
    <rPh sb="37" eb="39">
      <t>バアイ</t>
    </rPh>
    <rPh sb="47" eb="49">
      <t>ヘンシン</t>
    </rPh>
    <phoneticPr fontId="1"/>
  </si>
  <si>
    <t>あなたのターン開始時に、ジェムX個を緑に変換する。Xはあなたのコントロールするクリーチャーの総数の2倍に等しい。</t>
    <rPh sb="7" eb="9">
      <t>カイシ</t>
    </rPh>
    <rPh sb="9" eb="10">
      <t>ジ</t>
    </rPh>
    <rPh sb="16" eb="17">
      <t>コ</t>
    </rPh>
    <rPh sb="18" eb="19">
      <t>ミドリ</t>
    </rPh>
    <rPh sb="20" eb="22">
      <t>ヘンカン</t>
    </rPh>
    <rPh sb="46" eb="48">
      <t>ソウスウ</t>
    </rPh>
    <rPh sb="50" eb="51">
      <t>バイ</t>
    </rPh>
    <rPh sb="52" eb="53">
      <t>ヒト</t>
    </rPh>
    <phoneticPr fontId="1"/>
  </si>
  <si>
    <t>このクリーチャーが戦場に出たとき、対戦相手がコントロールするクリーチャー1体を対象とし、それをあなたの手札に移動する。</t>
    <rPh sb="9" eb="11">
      <t>センジョウ</t>
    </rPh>
    <rPh sb="12" eb="13">
      <t>デ</t>
    </rPh>
    <rPh sb="17" eb="19">
      <t>タイセン</t>
    </rPh>
    <rPh sb="19" eb="21">
      <t>アイテ</t>
    </rPh>
    <rPh sb="37" eb="38">
      <t>タイ</t>
    </rPh>
    <rPh sb="39" eb="41">
      <t>タイショウ</t>
    </rPh>
    <rPh sb="51" eb="53">
      <t>テフダ</t>
    </rPh>
    <rPh sb="54" eb="56">
      <t>イドウ</t>
    </rPh>
    <phoneticPr fontId="1"/>
  </si>
  <si>
    <t>このクリーチャーが死亡した時、あなたは2点のライフを得る。対戦相手はカードを2枚引く。</t>
    <rPh sb="29" eb="31">
      <t>タイセン</t>
    </rPh>
    <rPh sb="31" eb="33">
      <t>アイテ</t>
    </rPh>
    <rPh sb="39" eb="40">
      <t>マイ</t>
    </rPh>
    <rPh sb="40" eb="41">
      <t>ヒ</t>
    </rPh>
    <phoneticPr fontId="1"/>
  </si>
  <si>
    <t>戦場にあなたの他のマーフォークが出ている間、対戦相手の呪文のマナ・コストは5多くなる。</t>
    <rPh sb="0" eb="2">
      <t>センジョウ</t>
    </rPh>
    <rPh sb="7" eb="8">
      <t>タ</t>
    </rPh>
    <rPh sb="16" eb="17">
      <t>デ</t>
    </rPh>
    <rPh sb="20" eb="21">
      <t>アイダ</t>
    </rPh>
    <rPh sb="22" eb="24">
      <t>タイセン</t>
    </rPh>
    <rPh sb="24" eb="26">
      <t>アイテ</t>
    </rPh>
    <rPh sb="27" eb="29">
      <t>ジュモン</t>
    </rPh>
    <rPh sb="38" eb="39">
      <t>オオ</t>
    </rPh>
    <phoneticPr fontId="1"/>
  </si>
  <si>
    <t>このサポートがボードに出たとき、絆魂を持つ1/1の白の吸血鬼・トークンを1体生成する。</t>
    <rPh sb="11" eb="12">
      <t>デ</t>
    </rPh>
    <rPh sb="16" eb="17">
      <t>キズナ</t>
    </rPh>
    <rPh sb="17" eb="18">
      <t>タマシイ</t>
    </rPh>
    <rPh sb="19" eb="20">
      <t>モ</t>
    </rPh>
    <rPh sb="25" eb="26">
      <t>シロ</t>
    </rPh>
    <rPh sb="27" eb="30">
      <t>キュウケツキ</t>
    </rPh>
    <rPh sb="37" eb="38">
      <t>タイ</t>
    </rPh>
    <rPh sb="38" eb="40">
      <t>セイセイ</t>
    </rPh>
    <phoneticPr fontId="1"/>
  </si>
  <si>
    <t>あなたが2回以上強化されたクリーチャーで攻撃した時、このサポートを変身させる。</t>
    <rPh sb="5" eb="8">
      <t>カイイジョウ</t>
    </rPh>
    <rPh sb="8" eb="10">
      <t>キョウカ</t>
    </rPh>
    <rPh sb="20" eb="22">
      <t>コウゲキ</t>
    </rPh>
    <rPh sb="24" eb="25">
      <t>トキ</t>
    </rPh>
    <rPh sb="33" eb="35">
      <t>ヘンシン</t>
    </rPh>
    <phoneticPr fontId="1"/>
  </si>
  <si>
    <t>あなたのターン開始時に、ジェム2個を白に変換する。</t>
    <rPh sb="7" eb="9">
      <t>カイシ</t>
    </rPh>
    <rPh sb="9" eb="10">
      <t>ジ</t>
    </rPh>
    <rPh sb="16" eb="17">
      <t>コ</t>
    </rPh>
    <rPh sb="18" eb="19">
      <t>シロ</t>
    </rPh>
    <rPh sb="20" eb="22">
      <t>ヘンカン</t>
    </rPh>
    <phoneticPr fontId="1"/>
  </si>
  <si>
    <t>白ジェム2個を起動する：絆魂を持つ1/1の白の吸血鬼・クリーチャー・トークンを2体生成する。</t>
    <rPh sb="0" eb="1">
      <t>シロ</t>
    </rPh>
    <rPh sb="5" eb="6">
      <t>コ</t>
    </rPh>
    <rPh sb="7" eb="9">
      <t>キドウ</t>
    </rPh>
    <rPh sb="12" eb="13">
      <t>キズナ</t>
    </rPh>
    <rPh sb="13" eb="14">
      <t>タマシイ</t>
    </rPh>
    <rPh sb="15" eb="16">
      <t>モ</t>
    </rPh>
    <rPh sb="21" eb="22">
      <t>シロ</t>
    </rPh>
    <rPh sb="23" eb="26">
      <t>キュウケツキ</t>
    </rPh>
    <rPh sb="40" eb="41">
      <t>タイ</t>
    </rPh>
    <rPh sb="41" eb="43">
      <t>セイセイ</t>
    </rPh>
    <phoneticPr fontId="1"/>
  </si>
  <si>
    <t>このクリーチャーが戦場に出ている間、あなたがコントロールするトークン出ない吸血鬼が攻撃するたび、絆魂を持つ1/1の白の吸血鬼・クリーチャー・トークンを、その吸血鬼が強化されている回数1回につき生成する。</t>
    <rPh sb="9" eb="11">
      <t>センジョウ</t>
    </rPh>
    <rPh sb="12" eb="13">
      <t>デ</t>
    </rPh>
    <rPh sb="16" eb="17">
      <t>アイダ</t>
    </rPh>
    <rPh sb="34" eb="35">
      <t>デ</t>
    </rPh>
    <rPh sb="37" eb="40">
      <t>キュウケツキ</t>
    </rPh>
    <rPh sb="41" eb="43">
      <t>コウゲキ</t>
    </rPh>
    <rPh sb="48" eb="50">
      <t>キズナタマシイ</t>
    </rPh>
    <rPh sb="78" eb="81">
      <t>キュウケツキ</t>
    </rPh>
    <rPh sb="82" eb="84">
      <t>キョウカ</t>
    </rPh>
    <rPh sb="89" eb="91">
      <t>カイスウ</t>
    </rPh>
    <rPh sb="92" eb="93">
      <t>カイ</t>
    </rPh>
    <rPh sb="96" eb="98">
      <t>セイセイ</t>
    </rPh>
    <phoneticPr fontId="1"/>
  </si>
  <si>
    <t>このクリーチャーが戦場に出ている間、あなたがコントロールする他の恐竜は速攻を持つ。</t>
    <rPh sb="9" eb="11">
      <t>センジョウ</t>
    </rPh>
    <rPh sb="12" eb="13">
      <t>デ</t>
    </rPh>
    <rPh sb="16" eb="17">
      <t>アイダ</t>
    </rPh>
    <rPh sb="30" eb="31">
      <t>タ</t>
    </rPh>
    <rPh sb="32" eb="34">
      <t>キョウリュウ</t>
    </rPh>
    <rPh sb="35" eb="37">
      <t>ソッコウ</t>
    </rPh>
    <rPh sb="38" eb="39">
      <t>モ</t>
    </rPh>
    <phoneticPr fontId="1"/>
  </si>
  <si>
    <t>このクリーチャーが戦場に出たとき、トランプルを持つ3/3の緑の恐竜・トークンを1体生成する。</t>
    <rPh sb="9" eb="11">
      <t>センジョウ</t>
    </rPh>
    <rPh sb="12" eb="13">
      <t>デ</t>
    </rPh>
    <rPh sb="23" eb="24">
      <t>モ</t>
    </rPh>
    <rPh sb="29" eb="30">
      <t>ミドリ</t>
    </rPh>
    <rPh sb="31" eb="33">
      <t>キョウリュウ</t>
    </rPh>
    <rPh sb="40" eb="41">
      <t>タイ</t>
    </rPh>
    <rPh sb="41" eb="43">
      <t>セイセイ</t>
    </rPh>
    <phoneticPr fontId="1"/>
  </si>
  <si>
    <t>このクリーチャーが攻撃するたび、対戦相手はX点のライフを失い、あなたはX点のライフを得る。Xはあなたの吸血鬼が強化された回数に等しい。</t>
    <rPh sb="9" eb="11">
      <t>コウゲキ</t>
    </rPh>
    <rPh sb="16" eb="18">
      <t>タイセン</t>
    </rPh>
    <rPh sb="18" eb="20">
      <t>アイテ</t>
    </rPh>
    <rPh sb="22" eb="23">
      <t>テン</t>
    </rPh>
    <rPh sb="28" eb="29">
      <t>ウシナ</t>
    </rPh>
    <rPh sb="36" eb="37">
      <t>テン</t>
    </rPh>
    <rPh sb="42" eb="43">
      <t>エ</t>
    </rPh>
    <rPh sb="51" eb="54">
      <t>キュウケツキ</t>
    </rPh>
    <rPh sb="55" eb="57">
      <t>キョウカ</t>
    </rPh>
    <rPh sb="60" eb="62">
      <t>カイスウ</t>
    </rPh>
    <rPh sb="63" eb="64">
      <t>ヒト</t>
    </rPh>
    <phoneticPr fontId="1"/>
  </si>
  <si>
    <t>While this creature is on the battlefield, whenever a non-token Vampire you control attacks, create a 1/1 White Vampire creature token with Lifelink for each time that vampire is reinforced.</t>
    <phoneticPr fontId="1"/>
  </si>
  <si>
    <t>あなたのターン開始時に、あなたのライブラリーの一番上から2枚のカードから1枚を選ぶ。そのカードを取ってきて、他を破壊する。</t>
    <rPh sb="7" eb="10">
      <t>カイシジ</t>
    </rPh>
    <rPh sb="23" eb="25">
      <t>イチバン</t>
    </rPh>
    <rPh sb="25" eb="26">
      <t>ウエ</t>
    </rPh>
    <rPh sb="29" eb="30">
      <t>マイ</t>
    </rPh>
    <rPh sb="37" eb="38">
      <t>マイ</t>
    </rPh>
    <rPh sb="39" eb="40">
      <t>エラ</t>
    </rPh>
    <rPh sb="48" eb="49">
      <t>ト</t>
    </rPh>
    <rPh sb="54" eb="55">
      <t>タ</t>
    </rPh>
    <rPh sb="56" eb="58">
      <t>ハカイ</t>
    </rPh>
    <phoneticPr fontId="1"/>
  </si>
  <si>
    <t>あなたのターン終了時に、あなたの墓地にカードが7枚以上ある場合、このサポートを変身させる。</t>
    <rPh sb="7" eb="10">
      <t>シュウリョウジ</t>
    </rPh>
    <rPh sb="16" eb="18">
      <t>ボチ</t>
    </rPh>
    <rPh sb="24" eb="25">
      <t>マイ</t>
    </rPh>
    <rPh sb="25" eb="27">
      <t>イジョウ</t>
    </rPh>
    <rPh sb="29" eb="31">
      <t>バアイ</t>
    </rPh>
    <rPh sb="39" eb="41">
      <t>ヘンシン</t>
    </rPh>
    <phoneticPr fontId="1"/>
  </si>
  <si>
    <t>あなたのターン開始時に、ジェム2個を青に変換する。</t>
    <rPh sb="7" eb="9">
      <t>カイシ</t>
    </rPh>
    <rPh sb="9" eb="10">
      <t>ジ</t>
    </rPh>
    <rPh sb="16" eb="17">
      <t>コ</t>
    </rPh>
    <rPh sb="18" eb="19">
      <t>アオ</t>
    </rPh>
    <rPh sb="20" eb="22">
      <t>ヘンカン</t>
    </rPh>
    <phoneticPr fontId="1"/>
  </si>
  <si>
    <t>青ジェム2個を起動する：あなたのライブラリーから最初の呪文化土地出ないサポートを取ってくる。それは3マナを得る。</t>
    <rPh sb="0" eb="1">
      <t>アオ</t>
    </rPh>
    <rPh sb="5" eb="6">
      <t>コ</t>
    </rPh>
    <rPh sb="7" eb="9">
      <t>キドウ</t>
    </rPh>
    <rPh sb="24" eb="26">
      <t>サイショ</t>
    </rPh>
    <rPh sb="27" eb="29">
      <t>ジュモン</t>
    </rPh>
    <rPh sb="29" eb="30">
      <t>カ</t>
    </rPh>
    <rPh sb="30" eb="32">
      <t>トチ</t>
    </rPh>
    <rPh sb="32" eb="33">
      <t>デ</t>
    </rPh>
    <rPh sb="40" eb="41">
      <t>ト</t>
    </rPh>
    <rPh sb="53" eb="54">
      <t>エ</t>
    </rPh>
    <phoneticPr fontId="1"/>
  </si>
  <si>
    <t>搭乗2</t>
    <rPh sb="0" eb="2">
      <t>トウジョウ</t>
    </rPh>
    <phoneticPr fontId="1"/>
  </si>
  <si>
    <t>あなたがコントロールするクリーチャーが探検を行うたび、このクリーチャーは+2/+2の修正を受ける。</t>
    <rPh sb="19" eb="21">
      <t>タンケン</t>
    </rPh>
    <rPh sb="22" eb="23">
      <t>オコナ</t>
    </rPh>
    <rPh sb="42" eb="44">
      <t>シュウセイ</t>
    </rPh>
    <rPh sb="45" eb="46">
      <t>ウ</t>
    </rPh>
    <phoneticPr fontId="1"/>
  </si>
  <si>
    <t>このサポートがボード上にある間、対戦相手のプレインズウォーカーは忠誠度能力を起動できない。</t>
    <rPh sb="10" eb="11">
      <t>ジョウ</t>
    </rPh>
    <rPh sb="14" eb="15">
      <t>アイダ</t>
    </rPh>
    <rPh sb="16" eb="18">
      <t>タイセン</t>
    </rPh>
    <rPh sb="18" eb="20">
      <t>アイテ</t>
    </rPh>
    <rPh sb="32" eb="34">
      <t>チュウセイ</t>
    </rPh>
    <rPh sb="34" eb="35">
      <t>ド</t>
    </rPh>
    <rPh sb="35" eb="37">
      <t>ノウリョク</t>
    </rPh>
    <rPh sb="38" eb="40">
      <t>キドウ</t>
    </rPh>
    <phoneticPr fontId="1"/>
  </si>
  <si>
    <t>対戦相手のターン終了時に、このサポートは1シールドを失う。</t>
    <rPh sb="0" eb="2">
      <t>タイセン</t>
    </rPh>
    <rPh sb="2" eb="4">
      <t>アイテ</t>
    </rPh>
    <rPh sb="8" eb="11">
      <t>シュウリョウジ</t>
    </rPh>
    <rPh sb="26" eb="27">
      <t>ウシナ</t>
    </rPh>
    <phoneticPr fontId="1"/>
  </si>
  <si>
    <t>対戦相手の手札の最初のカードからすべてのマナを吸収する。全てのマナを吸収し、宝物を4つ見つける。</t>
    <rPh sb="0" eb="2">
      <t>タイセン</t>
    </rPh>
    <rPh sb="2" eb="4">
      <t>アイテ</t>
    </rPh>
    <rPh sb="5" eb="7">
      <t>テフダ</t>
    </rPh>
    <rPh sb="28" eb="29">
      <t>スベ</t>
    </rPh>
    <rPh sb="34" eb="36">
      <t>キュウシュウ</t>
    </rPh>
    <rPh sb="38" eb="40">
      <t>タカラモノ</t>
    </rPh>
    <rPh sb="43" eb="44">
      <t>ミ</t>
    </rPh>
    <phoneticPr fontId="1"/>
  </si>
  <si>
    <t>あなたのターン開始時に、色ジェム2個を忠誠ジェムに変換する。</t>
    <rPh sb="7" eb="10">
      <t>カイシジ</t>
    </rPh>
    <rPh sb="12" eb="13">
      <t>イロ</t>
    </rPh>
    <rPh sb="17" eb="18">
      <t>コ</t>
    </rPh>
    <rPh sb="19" eb="21">
      <t>チュウセイ</t>
    </rPh>
    <rPh sb="25" eb="27">
      <t>ヘンカン</t>
    </rPh>
    <phoneticPr fontId="1"/>
  </si>
  <si>
    <t>あなたのデッキに共通のタイプを持つクリーチャーが3枚以上入っている場合、代わりにジェム3個をあなたのプレインズウォーカーの色に変換する。</t>
    <rPh sb="8" eb="10">
      <t>キョウツウ</t>
    </rPh>
    <rPh sb="15" eb="16">
      <t>モ</t>
    </rPh>
    <rPh sb="25" eb="28">
      <t>マイイジョウ</t>
    </rPh>
    <rPh sb="28" eb="29">
      <t>ハイ</t>
    </rPh>
    <rPh sb="33" eb="35">
      <t>バアイ</t>
    </rPh>
    <rPh sb="36" eb="37">
      <t>カ</t>
    </rPh>
    <rPh sb="44" eb="45">
      <t>コ</t>
    </rPh>
    <rPh sb="61" eb="62">
      <t>イロ</t>
    </rPh>
    <rPh sb="63" eb="65">
      <t>ヘンカン</t>
    </rPh>
    <phoneticPr fontId="1"/>
  </si>
  <si>
    <t>あなたのターン開始時に、ジェム2個を赤に変換する。</t>
    <rPh sb="7" eb="9">
      <t>カイシ</t>
    </rPh>
    <rPh sb="9" eb="10">
      <t>ジ</t>
    </rPh>
    <rPh sb="16" eb="17">
      <t>コ</t>
    </rPh>
    <rPh sb="18" eb="19">
      <t>アカ</t>
    </rPh>
    <rPh sb="20" eb="22">
      <t>ヘンカン</t>
    </rPh>
    <phoneticPr fontId="1"/>
  </si>
  <si>
    <t>あなたのターン開始時に、カードを1枚引く。あなたのターン終了時にあなたの最後のカードを捨てる。</t>
    <rPh sb="7" eb="9">
      <t>カイシ</t>
    </rPh>
    <rPh sb="9" eb="10">
      <t>ジ</t>
    </rPh>
    <rPh sb="17" eb="18">
      <t>マイ</t>
    </rPh>
    <rPh sb="18" eb="19">
      <t>ヒ</t>
    </rPh>
    <rPh sb="28" eb="31">
      <t>シュウリョウジ</t>
    </rPh>
    <rPh sb="36" eb="38">
      <t>サイゴ</t>
    </rPh>
    <rPh sb="43" eb="44">
      <t>ス</t>
    </rPh>
    <phoneticPr fontId="1"/>
  </si>
  <si>
    <t>対戦相手のターン開始時に、直前のターンにあなたがカードを3枚以上唱えていた場合、このサポートを変身させる。</t>
    <rPh sb="0" eb="2">
      <t>タイセン</t>
    </rPh>
    <rPh sb="2" eb="4">
      <t>アイテ</t>
    </rPh>
    <rPh sb="8" eb="10">
      <t>カイシ</t>
    </rPh>
    <rPh sb="10" eb="11">
      <t>ジ</t>
    </rPh>
    <rPh sb="13" eb="15">
      <t>チョクゼン</t>
    </rPh>
    <rPh sb="29" eb="32">
      <t>マイイジョウ</t>
    </rPh>
    <rPh sb="32" eb="33">
      <t>トナ</t>
    </rPh>
    <rPh sb="37" eb="39">
      <t>バアイ</t>
    </rPh>
    <rPh sb="47" eb="49">
      <t>ヘンシン</t>
    </rPh>
    <phoneticPr fontId="1"/>
  </si>
  <si>
    <t>赤ジェム2個を起動する；対戦相手がコントロールする最後のクリーチャーが3点のダメージを与える。</t>
    <rPh sb="0" eb="1">
      <t>アカ</t>
    </rPh>
    <rPh sb="5" eb="6">
      <t>コ</t>
    </rPh>
    <rPh sb="7" eb="9">
      <t>キドウ</t>
    </rPh>
    <rPh sb="12" eb="14">
      <t>タイセン</t>
    </rPh>
    <rPh sb="14" eb="16">
      <t>アイテ</t>
    </rPh>
    <rPh sb="25" eb="27">
      <t>サイゴ</t>
    </rPh>
    <rPh sb="36" eb="37">
      <t>テン</t>
    </rPh>
    <rPh sb="43" eb="44">
      <t>アタ</t>
    </rPh>
    <phoneticPr fontId="1"/>
  </si>
  <si>
    <t>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t>
    <rPh sb="10" eb="11">
      <t>ジョウ</t>
    </rPh>
    <rPh sb="14" eb="15">
      <t>アイダ</t>
    </rPh>
    <rPh sb="24" eb="26">
      <t>キョウツウ</t>
    </rPh>
    <rPh sb="31" eb="32">
      <t>モ</t>
    </rPh>
    <rPh sb="41" eb="44">
      <t>タイイジョウ</t>
    </rPh>
    <rPh sb="44" eb="45">
      <t>ハイ</t>
    </rPh>
    <rPh sb="49" eb="51">
      <t>バアイ</t>
    </rPh>
    <rPh sb="73" eb="75">
      <t>シュウセイ</t>
    </rPh>
    <rPh sb="76" eb="77">
      <t>ウ</t>
    </rPh>
    <rPh sb="97" eb="98">
      <t>カ</t>
    </rPh>
    <rPh sb="99" eb="101">
      <t>センジョウ</t>
    </rPh>
    <rPh sb="102" eb="103">
      <t>デ</t>
    </rPh>
    <rPh sb="115" eb="117">
      <t>キョウツウ</t>
    </rPh>
    <rPh sb="122" eb="123">
      <t>モ</t>
    </rPh>
    <rPh sb="132" eb="135">
      <t>タイイジョウ</t>
    </rPh>
    <rPh sb="135" eb="136">
      <t>ハイ</t>
    </rPh>
    <rPh sb="140" eb="142">
      <t>バアイ</t>
    </rPh>
    <rPh sb="148" eb="149">
      <t>マイ</t>
    </rPh>
    <rPh sb="149" eb="150">
      <t>ヒ</t>
    </rPh>
    <phoneticPr fontId="1"/>
  </si>
  <si>
    <t>これか他のクリーチャーがあなたのコントロール下で戦場に出るたび、あなたはそれのタフネスに等しい点数のライフを得る。</t>
    <rPh sb="3" eb="4">
      <t>タ</t>
    </rPh>
    <rPh sb="22" eb="23">
      <t>カ</t>
    </rPh>
    <rPh sb="24" eb="26">
      <t>センジョウ</t>
    </rPh>
    <rPh sb="27" eb="28">
      <t>デ</t>
    </rPh>
    <rPh sb="44" eb="45">
      <t>ヒト</t>
    </rPh>
    <rPh sb="47" eb="49">
      <t>テンスウ</t>
    </rPh>
    <rPh sb="54" eb="55">
      <t>エ</t>
    </rPh>
    <phoneticPr fontId="1"/>
  </si>
  <si>
    <t>このクリーチャーが戦場に出たとき、すべての恐竜でないクリーチャーを破壊する。</t>
    <rPh sb="9" eb="11">
      <t>センジョウ</t>
    </rPh>
    <rPh sb="12" eb="13">
      <t>デ</t>
    </rPh>
    <rPh sb="21" eb="23">
      <t>キョウリュウ</t>
    </rPh>
    <rPh sb="33" eb="35">
      <t>ハカイ</t>
    </rPh>
    <phoneticPr fontId="1"/>
  </si>
  <si>
    <t>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t>
    <rPh sb="7" eb="9">
      <t>カイシ</t>
    </rPh>
    <rPh sb="9" eb="10">
      <t>ジ</t>
    </rPh>
    <rPh sb="25" eb="26">
      <t>エ</t>
    </rPh>
    <rPh sb="35" eb="38">
      <t>シュウリョウジ</t>
    </rPh>
    <rPh sb="43" eb="45">
      <t>テフダ</t>
    </rPh>
    <rPh sb="46" eb="48">
      <t>サイショ</t>
    </rPh>
    <rPh sb="65" eb="66">
      <t>ヒト</t>
    </rPh>
    <rPh sb="71" eb="72">
      <t>エ</t>
    </rPh>
    <rPh sb="85" eb="86">
      <t>トナ</t>
    </rPh>
    <rPh sb="98" eb="100">
      <t>ハカイ</t>
    </rPh>
    <phoneticPr fontId="1"/>
  </si>
  <si>
    <t>あなたがライフを得るたび、このクリーチャーは+2/+2の修正を受ける。</t>
    <rPh sb="8" eb="9">
      <t>エ</t>
    </rPh>
    <rPh sb="28" eb="30">
      <t>シュウセイ</t>
    </rPh>
    <rPh sb="31" eb="32">
      <t>ウ</t>
    </rPh>
    <phoneticPr fontId="1"/>
  </si>
  <si>
    <t>あなたのターン開始時に、このクリーチャーのパワーが12以上である場合、ターン終了時まで、このクリーチャーは飛行を得る。</t>
    <rPh sb="7" eb="9">
      <t>カイシ</t>
    </rPh>
    <rPh sb="9" eb="10">
      <t>ジ</t>
    </rPh>
    <rPh sb="27" eb="29">
      <t>イジョウ</t>
    </rPh>
    <rPh sb="32" eb="34">
      <t>バアイ</t>
    </rPh>
    <rPh sb="38" eb="41">
      <t>シュウリョウジ</t>
    </rPh>
    <rPh sb="53" eb="55">
      <t>ヒコウ</t>
    </rPh>
    <rPh sb="56" eb="57">
      <t>エ</t>
    </rPh>
    <phoneticPr fontId="1"/>
  </si>
  <si>
    <t>このクリーチャーが戦場に出たとき、すべての土地・サポートを破壊する。</t>
    <rPh sb="9" eb="11">
      <t>センジョウ</t>
    </rPh>
    <rPh sb="12" eb="13">
      <t>デ</t>
    </rPh>
    <rPh sb="21" eb="23">
      <t>トチ</t>
    </rPh>
    <rPh sb="29" eb="31">
      <t>ハカイ</t>
    </rPh>
    <phoneticPr fontId="1"/>
  </si>
  <si>
    <t>赤ジェム2個を起動する：すべてのサポートは1シールドを失う。その後ジェムX個を赤に変換する。Xはボード上に出ているサポートの総数に等しい。</t>
    <rPh sb="0" eb="1">
      <t>アカ</t>
    </rPh>
    <rPh sb="5" eb="6">
      <t>コ</t>
    </rPh>
    <rPh sb="7" eb="9">
      <t>キドウ</t>
    </rPh>
    <rPh sb="27" eb="28">
      <t>ウシナ</t>
    </rPh>
    <rPh sb="32" eb="33">
      <t>ゴ</t>
    </rPh>
    <rPh sb="37" eb="38">
      <t>コ</t>
    </rPh>
    <rPh sb="39" eb="40">
      <t>アカ</t>
    </rPh>
    <rPh sb="41" eb="43">
      <t>ヘンカン</t>
    </rPh>
    <rPh sb="51" eb="52">
      <t>ジョウ</t>
    </rPh>
    <rPh sb="53" eb="54">
      <t>デ</t>
    </rPh>
    <rPh sb="62" eb="64">
      <t>ソウスウ</t>
    </rPh>
    <rPh sb="65" eb="66">
      <t>ヒト</t>
    </rPh>
    <phoneticPr fontId="1"/>
  </si>
  <si>
    <t>あなたがライフを得るたび、対戦相手はその点数に等しい点数のライフを失い、このサポートは1シールドを失う。</t>
    <rPh sb="8" eb="9">
      <t>エ</t>
    </rPh>
    <rPh sb="13" eb="15">
      <t>タイセン</t>
    </rPh>
    <rPh sb="15" eb="17">
      <t>アイテ</t>
    </rPh>
    <rPh sb="20" eb="22">
      <t>テンスウ</t>
    </rPh>
    <rPh sb="23" eb="24">
      <t>ヒト</t>
    </rPh>
    <rPh sb="26" eb="28">
      <t>テンスウ</t>
    </rPh>
    <rPh sb="33" eb="34">
      <t>ウシナ</t>
    </rPh>
    <rPh sb="49" eb="50">
      <t>ウシナ</t>
    </rPh>
    <phoneticPr fontId="1"/>
  </si>
  <si>
    <t>クリーチャー1体を対象とし、それを追放する。それのコントローラーはクリーチャーのパワーに等しい点数のライフを得る。</t>
    <rPh sb="7" eb="8">
      <t>タイ</t>
    </rPh>
    <rPh sb="9" eb="11">
      <t>タイショウ</t>
    </rPh>
    <rPh sb="44" eb="45">
      <t>ヒト</t>
    </rPh>
    <rPh sb="47" eb="49">
      <t>テンスウ</t>
    </rPh>
    <rPh sb="54" eb="55">
      <t>エ</t>
    </rPh>
    <phoneticPr fontId="1"/>
  </si>
  <si>
    <t>各クリーチャーにそれぞれ10点のダメージを与え、すべてのジェムを破壊する。</t>
    <rPh sb="0" eb="1">
      <t>カク</t>
    </rPh>
    <rPh sb="14" eb="15">
      <t>テン</t>
    </rPh>
    <rPh sb="21" eb="22">
      <t>アタ</t>
    </rPh>
    <rPh sb="32" eb="34">
      <t>ハカイ</t>
    </rPh>
    <phoneticPr fontId="1"/>
  </si>
  <si>
    <t>各プレイヤーのターン開始時に、そのプレイヤーは5点のライフを得て、そのプレイヤーの対戦相手は5点のライフを失う。</t>
    <rPh sb="0" eb="1">
      <t>カク</t>
    </rPh>
    <rPh sb="10" eb="12">
      <t>カイシ</t>
    </rPh>
    <rPh sb="12" eb="13">
      <t>ジ</t>
    </rPh>
    <rPh sb="24" eb="25">
      <t>テン</t>
    </rPh>
    <rPh sb="30" eb="31">
      <t>エ</t>
    </rPh>
    <rPh sb="41" eb="43">
      <t>タイセン</t>
    </rPh>
    <rPh sb="43" eb="45">
      <t>アイテ</t>
    </rPh>
    <rPh sb="47" eb="48">
      <t>テン</t>
    </rPh>
    <rPh sb="53" eb="54">
      <t>ウシナ</t>
    </rPh>
    <phoneticPr fontId="1"/>
  </si>
  <si>
    <t>このクリーチャーが戦場に出たとき、あなたの墓地からマナ・コストが8以下の最初のクリーチャーを戦場に戻し、その後あなたのコントロールする最後の他の吸血鬼を1体強化する。</t>
    <rPh sb="9" eb="11">
      <t>センジョウ</t>
    </rPh>
    <rPh sb="12" eb="13">
      <t>デ</t>
    </rPh>
    <rPh sb="21" eb="23">
      <t>ボチ</t>
    </rPh>
    <rPh sb="33" eb="35">
      <t>イカ</t>
    </rPh>
    <rPh sb="36" eb="38">
      <t>サイショ</t>
    </rPh>
    <rPh sb="46" eb="48">
      <t>センジョウ</t>
    </rPh>
    <rPh sb="49" eb="50">
      <t>モド</t>
    </rPh>
    <rPh sb="54" eb="55">
      <t>ゴ</t>
    </rPh>
    <rPh sb="67" eb="69">
      <t>サイゴ</t>
    </rPh>
    <rPh sb="70" eb="71">
      <t>タ</t>
    </rPh>
    <rPh sb="72" eb="75">
      <t>キュウケツキ</t>
    </rPh>
    <rPh sb="77" eb="78">
      <t>タイ</t>
    </rPh>
    <rPh sb="78" eb="80">
      <t>キョウカ</t>
    </rPh>
    <phoneticPr fontId="1"/>
  </si>
  <si>
    <t>絆魂を持つ1/1の白の吸血鬼・クリーチャー・トークンを1体生成する。</t>
    <rPh sb="0" eb="2">
      <t>キズナタマシイ</t>
    </rPh>
    <rPh sb="28" eb="31">
      <t>タイセイセイ</t>
    </rPh>
    <phoneticPr fontId="1"/>
  </si>
  <si>
    <t>あなたが2体以上の吸血鬼をコントロールしている場合、すべてのあなたのクリーチャーを強化する。</t>
    <rPh sb="5" eb="8">
      <t>タイイジョウ</t>
    </rPh>
    <rPh sb="9" eb="12">
      <t>キュウケツキ</t>
    </rPh>
    <rPh sb="23" eb="25">
      <t>バアイ</t>
    </rPh>
    <rPh sb="41" eb="43">
      <t>キョウカ</t>
    </rPh>
    <phoneticPr fontId="1"/>
  </si>
  <si>
    <t>このクリーチャーが攻撃するたび、ターン終了時まで、あなたがコントロールする他のクリーチャーは二段攻撃を得る。</t>
    <rPh sb="9" eb="11">
      <t>コウゲキ</t>
    </rPh>
    <rPh sb="19" eb="22">
      <t>シュウリョウジ</t>
    </rPh>
    <rPh sb="37" eb="38">
      <t>タ</t>
    </rPh>
    <rPh sb="46" eb="48">
      <t>ニダン</t>
    </rPh>
    <rPh sb="48" eb="50">
      <t>コウゲキ</t>
    </rPh>
    <rPh sb="51" eb="52">
      <t>エ</t>
    </rPh>
    <phoneticPr fontId="1"/>
  </si>
  <si>
    <t>このサポートがボードに出たとき、クリーチャー1体を対象とし、それを追放する。</t>
    <rPh sb="11" eb="12">
      <t>デ</t>
    </rPh>
    <rPh sb="23" eb="24">
      <t>タイ</t>
    </rPh>
    <rPh sb="25" eb="27">
      <t>タイショウ</t>
    </rPh>
    <rPh sb="33" eb="35">
      <t>ツイホウ</t>
    </rPh>
    <phoneticPr fontId="1"/>
  </si>
  <si>
    <t>このサポートがボード上にある間、対戦相手の手札にあるクリーチャーのマナ・コストは2多くなる。このサポートが破壊されたとき、対戦相手はカードを1枚引く。</t>
    <rPh sb="10" eb="11">
      <t>ジョウ</t>
    </rPh>
    <rPh sb="14" eb="15">
      <t>アイダ</t>
    </rPh>
    <rPh sb="16" eb="18">
      <t>タイセン</t>
    </rPh>
    <rPh sb="18" eb="20">
      <t>アイテ</t>
    </rPh>
    <rPh sb="21" eb="23">
      <t>テフダ</t>
    </rPh>
    <rPh sb="41" eb="42">
      <t>オオ</t>
    </rPh>
    <rPh sb="53" eb="55">
      <t>ハカイ</t>
    </rPh>
    <rPh sb="61" eb="63">
      <t>タイセン</t>
    </rPh>
    <rPh sb="63" eb="65">
      <t>アイテ</t>
    </rPh>
    <rPh sb="71" eb="72">
      <t>マイ</t>
    </rPh>
    <rPh sb="72" eb="73">
      <t>ヒ</t>
    </rPh>
    <phoneticPr fontId="1"/>
  </si>
  <si>
    <t>このクリーチャーが戦場に出ている間、対戦相手がコントロールするクリーチャーは、対戦相手の次のターン開始時まで無効化された状態で戦場に出る。</t>
    <rPh sb="9" eb="11">
      <t>センジョウ</t>
    </rPh>
    <rPh sb="12" eb="13">
      <t>デ</t>
    </rPh>
    <rPh sb="16" eb="17">
      <t>アイダ</t>
    </rPh>
    <rPh sb="18" eb="20">
      <t>タイセン</t>
    </rPh>
    <rPh sb="20" eb="22">
      <t>アイテ</t>
    </rPh>
    <rPh sb="39" eb="41">
      <t>タイセン</t>
    </rPh>
    <rPh sb="41" eb="43">
      <t>アイテ</t>
    </rPh>
    <rPh sb="44" eb="45">
      <t>ツギ</t>
    </rPh>
    <rPh sb="49" eb="51">
      <t>カイシ</t>
    </rPh>
    <rPh sb="51" eb="52">
      <t>ジ</t>
    </rPh>
    <rPh sb="54" eb="57">
      <t>ムコウカ</t>
    </rPh>
    <rPh sb="60" eb="62">
      <t>ジョウタイ</t>
    </rPh>
    <rPh sb="63" eb="65">
      <t>センジョウ</t>
    </rPh>
    <rPh sb="66" eb="67">
      <t>デ</t>
    </rPh>
    <phoneticPr fontId="1"/>
  </si>
  <si>
    <t>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t>
    <rPh sb="10" eb="11">
      <t>ジョウ</t>
    </rPh>
    <rPh sb="14" eb="15">
      <t>アイダ</t>
    </rPh>
    <rPh sb="16" eb="20">
      <t>タイセンアイテ</t>
    </rPh>
    <rPh sb="46" eb="48">
      <t>コウゲキ</t>
    </rPh>
    <rPh sb="50" eb="51">
      <t>トキ</t>
    </rPh>
    <rPh sb="56" eb="57">
      <t>コ</t>
    </rPh>
    <rPh sb="73" eb="74">
      <t>イロ</t>
    </rPh>
    <rPh sb="75" eb="77">
      <t>ヘンカン</t>
    </rPh>
    <rPh sb="88" eb="90">
      <t>ツイホウ</t>
    </rPh>
    <rPh sb="96" eb="99">
      <t>シュウリョウジ</t>
    </rPh>
    <rPh sb="101" eb="103">
      <t>ザンガイ</t>
    </rPh>
    <rPh sb="104" eb="106">
      <t>ヒョウチャク</t>
    </rPh>
    <rPh sb="107" eb="109">
      <t>ハカイ</t>
    </rPh>
    <rPh sb="113" eb="114">
      <t>モ</t>
    </rPh>
    <phoneticPr fontId="1"/>
  </si>
  <si>
    <t>このサポートが戦場に出たとき、あなたがコントロールするすべてのクリーチャーとあなたの手札のすべてのクリーチャーはマーフォークと吸血鬼と海賊と恐竜のサブタイプを得る。</t>
    <rPh sb="7" eb="9">
      <t>センジョウ</t>
    </rPh>
    <rPh sb="10" eb="11">
      <t>デ</t>
    </rPh>
    <rPh sb="42" eb="44">
      <t>テフダ</t>
    </rPh>
    <rPh sb="63" eb="66">
      <t>キュウケツキ</t>
    </rPh>
    <rPh sb="67" eb="69">
      <t>カイゾク</t>
    </rPh>
    <rPh sb="70" eb="72">
      <t>キョウリュウ</t>
    </rPh>
    <rPh sb="79" eb="80">
      <t>エ</t>
    </rPh>
    <phoneticPr fontId="1"/>
  </si>
  <si>
    <t>このサポートが破壊されたとき、カードを1枚引く。</t>
    <rPh sb="7" eb="9">
      <t>ハカイ</t>
    </rPh>
    <rPh sb="20" eb="22">
      <t>マイヒ</t>
    </rPh>
    <phoneticPr fontId="1"/>
  </si>
  <si>
    <t>ジェム4個を起動する:ターン終了時まで、ブロックされない。</t>
    <rPh sb="4" eb="5">
      <t>コ</t>
    </rPh>
    <rPh sb="6" eb="8">
      <t>キドウ</t>
    </rPh>
    <rPh sb="14" eb="17">
      <t>シュウリョウジ</t>
    </rPh>
    <phoneticPr fontId="1"/>
  </si>
  <si>
    <t>このクリーチャーが対戦相手に戦闘ダメージを与えるたび、カードを1枚捨てて、カードを1枚引く。</t>
    <rPh sb="9" eb="11">
      <t>タイセン</t>
    </rPh>
    <rPh sb="11" eb="13">
      <t>アイテ</t>
    </rPh>
    <rPh sb="14" eb="16">
      <t>セントウ</t>
    </rPh>
    <rPh sb="21" eb="22">
      <t>アタ</t>
    </rPh>
    <rPh sb="32" eb="33">
      <t>マイ</t>
    </rPh>
    <rPh sb="33" eb="34">
      <t>ス</t>
    </rPh>
    <rPh sb="42" eb="43">
      <t>マイ</t>
    </rPh>
    <rPh sb="43" eb="44">
      <t>ヒ</t>
    </rPh>
    <phoneticPr fontId="1"/>
  </si>
  <si>
    <t>このクリーチャーが対戦相手にダメージを与えたとき、対戦相手の手札の下半分のマナ・コストは3多くなる。</t>
    <rPh sb="19" eb="20">
      <t>アタ</t>
    </rPh>
    <rPh sb="25" eb="27">
      <t>タイセン</t>
    </rPh>
    <rPh sb="27" eb="29">
      <t>アイテ</t>
    </rPh>
    <rPh sb="30" eb="32">
      <t>テフダ</t>
    </rPh>
    <rPh sb="33" eb="36">
      <t>シタハンブン</t>
    </rPh>
    <rPh sb="45" eb="46">
      <t>オオ</t>
    </rPh>
    <phoneticPr fontId="1"/>
  </si>
  <si>
    <t>カードを3枚引く。</t>
    <rPh sb="5" eb="6">
      <t>マイ</t>
    </rPh>
    <rPh sb="6" eb="7">
      <t>ヒ</t>
    </rPh>
    <phoneticPr fontId="1"/>
  </si>
  <si>
    <t>あなたの手札にカードが6枚ある場合、あなたの手札の各カードはそれぞれ3マナを得る。</t>
    <rPh sb="4" eb="6">
      <t>テフダ</t>
    </rPh>
    <rPh sb="12" eb="13">
      <t>マイ</t>
    </rPh>
    <rPh sb="15" eb="17">
      <t>バアイ</t>
    </rPh>
    <rPh sb="22" eb="24">
      <t>テフダ</t>
    </rPh>
    <rPh sb="25" eb="26">
      <t>カク</t>
    </rPh>
    <rPh sb="38" eb="39">
      <t>エ</t>
    </rPh>
    <phoneticPr fontId="1"/>
  </si>
  <si>
    <t>対戦相手がコントロールするすべてのクリーチャーと土地出ないサポートをオーナーの手札に戻す。それらのマナ・コストは2多くなる。対戦相手の手札に空きがない場合、それらを破壊する。</t>
    <rPh sb="0" eb="2">
      <t>タイセン</t>
    </rPh>
    <rPh sb="2" eb="4">
      <t>アイテ</t>
    </rPh>
    <rPh sb="24" eb="26">
      <t>トチ</t>
    </rPh>
    <rPh sb="26" eb="27">
      <t>デ</t>
    </rPh>
    <rPh sb="39" eb="41">
      <t>テフダ</t>
    </rPh>
    <rPh sb="42" eb="43">
      <t>モド</t>
    </rPh>
    <rPh sb="57" eb="58">
      <t>オオ</t>
    </rPh>
    <rPh sb="62" eb="64">
      <t>タイセン</t>
    </rPh>
    <rPh sb="64" eb="66">
      <t>アイテ</t>
    </rPh>
    <rPh sb="67" eb="69">
      <t>テフダ</t>
    </rPh>
    <rPh sb="70" eb="71">
      <t>ア</t>
    </rPh>
    <rPh sb="75" eb="77">
      <t>バアイ</t>
    </rPh>
    <rPh sb="82" eb="84">
      <t>ハカイ</t>
    </rPh>
    <phoneticPr fontId="1"/>
  </si>
  <si>
    <t>ジェム2個を起動する：あなたがコントロールする最初のクリーチャーは+2/+2の修正を受ける。</t>
    <rPh sb="4" eb="5">
      <t>コ</t>
    </rPh>
    <rPh sb="6" eb="8">
      <t>キドウ</t>
    </rPh>
    <rPh sb="23" eb="25">
      <t>サイショ</t>
    </rPh>
    <rPh sb="39" eb="41">
      <t>シュウセイ</t>
    </rPh>
    <rPh sb="42" eb="43">
      <t>ウ</t>
    </rPh>
    <phoneticPr fontId="1"/>
  </si>
  <si>
    <t>ターン終了時に、あなたがバフされているクリーチャーをコントロールしている場合、カードを1枚引く。</t>
    <rPh sb="3" eb="6">
      <t>シュウリョウジ</t>
    </rPh>
    <rPh sb="36" eb="38">
      <t>バアイ</t>
    </rPh>
    <rPh sb="44" eb="45">
      <t>マイ</t>
    </rPh>
    <rPh sb="45" eb="46">
      <t>ヒ</t>
    </rPh>
    <phoneticPr fontId="1"/>
  </si>
  <si>
    <t>青ジェム3個を起動する：あなたのターン開始時まで、このクリーチャーは「このクリーチャーが死亡した時、対戦相手の手札の最初の呪文からすべてのマナを吸収する」を得る。</t>
    <rPh sb="0" eb="1">
      <t>アオ</t>
    </rPh>
    <rPh sb="5" eb="6">
      <t>コ</t>
    </rPh>
    <rPh sb="7" eb="9">
      <t>キドウ</t>
    </rPh>
    <rPh sb="19" eb="21">
      <t>カイシ</t>
    </rPh>
    <rPh sb="21" eb="22">
      <t>ジ</t>
    </rPh>
    <rPh sb="44" eb="46">
      <t>シボウ</t>
    </rPh>
    <rPh sb="48" eb="49">
      <t>トキ</t>
    </rPh>
    <rPh sb="50" eb="52">
      <t>タイセン</t>
    </rPh>
    <rPh sb="52" eb="54">
      <t>アイテ</t>
    </rPh>
    <rPh sb="55" eb="57">
      <t>テフダ</t>
    </rPh>
    <rPh sb="58" eb="60">
      <t>サイショ</t>
    </rPh>
    <rPh sb="61" eb="63">
      <t>ジュモン</t>
    </rPh>
    <rPh sb="72" eb="74">
      <t>キュウシュウ</t>
    </rPh>
    <rPh sb="78" eb="79">
      <t>エ</t>
    </rPh>
    <phoneticPr fontId="1"/>
  </si>
  <si>
    <t>このクリーチャーが戦場に出たとき、対戦相手はあなたがコントロールする吸血鬼1体につき1点のライフを失う。その後、そのプレイヤーは、それらの吸血鬼が強化された回数1回につき1点のライフを失う。</t>
    <rPh sb="9" eb="11">
      <t>センジョウ</t>
    </rPh>
    <rPh sb="12" eb="13">
      <t>デ</t>
    </rPh>
    <rPh sb="17" eb="19">
      <t>タイセン</t>
    </rPh>
    <rPh sb="19" eb="21">
      <t>アイテ</t>
    </rPh>
    <rPh sb="34" eb="37">
      <t>キュウケツキ</t>
    </rPh>
    <rPh sb="38" eb="39">
      <t>タイ</t>
    </rPh>
    <rPh sb="43" eb="44">
      <t>テン</t>
    </rPh>
    <rPh sb="49" eb="50">
      <t>ウシナ</t>
    </rPh>
    <rPh sb="54" eb="55">
      <t>ゴ</t>
    </rPh>
    <rPh sb="69" eb="72">
      <t>キュウケツキ</t>
    </rPh>
    <rPh sb="73" eb="75">
      <t>キョウカ</t>
    </rPh>
    <rPh sb="78" eb="80">
      <t>カイスウ</t>
    </rPh>
    <rPh sb="81" eb="82">
      <t>カイ</t>
    </rPh>
    <rPh sb="86" eb="87">
      <t>テン</t>
    </rPh>
    <rPh sb="92" eb="93">
      <t>ウシナ</t>
    </rPh>
    <phoneticPr fontId="1"/>
  </si>
  <si>
    <t>黒ジェム3個を起動する：対戦相手の墓地から最後の2枚のカードを追放する。その後、このクリーチャーは探検1を行う。</t>
    <rPh sb="0" eb="1">
      <t>クロ</t>
    </rPh>
    <rPh sb="5" eb="6">
      <t>コ</t>
    </rPh>
    <rPh sb="7" eb="9">
      <t>キドウ</t>
    </rPh>
    <rPh sb="12" eb="14">
      <t>タイセン</t>
    </rPh>
    <rPh sb="14" eb="16">
      <t>アイテ</t>
    </rPh>
    <rPh sb="17" eb="19">
      <t>ボチ</t>
    </rPh>
    <rPh sb="21" eb="23">
      <t>サイゴ</t>
    </rPh>
    <rPh sb="25" eb="26">
      <t>マイ</t>
    </rPh>
    <rPh sb="31" eb="33">
      <t>ツイホウ</t>
    </rPh>
    <rPh sb="38" eb="39">
      <t>ゴ</t>
    </rPh>
    <rPh sb="49" eb="51">
      <t>タンケン</t>
    </rPh>
    <rPh sb="53" eb="54">
      <t>オコナ</t>
    </rPh>
    <phoneticPr fontId="1"/>
  </si>
  <si>
    <t>このクリーチャーが攻撃するたび、あなたが他のトークンでない海賊をコントロールしている場合、あなたは3マナを吸収され、威迫を持つ2/2の黒の海賊・トークンを1体生成する。</t>
    <rPh sb="9" eb="11">
      <t>コウゲキ</t>
    </rPh>
    <rPh sb="20" eb="21">
      <t>タ</t>
    </rPh>
    <rPh sb="29" eb="31">
      <t>カイゾク</t>
    </rPh>
    <rPh sb="42" eb="44">
      <t>バアイ</t>
    </rPh>
    <rPh sb="53" eb="55">
      <t>キュウシュウ</t>
    </rPh>
    <rPh sb="58" eb="60">
      <t>イハク</t>
    </rPh>
    <rPh sb="61" eb="62">
      <t>モ</t>
    </rPh>
    <rPh sb="67" eb="68">
      <t>クロ</t>
    </rPh>
    <rPh sb="69" eb="71">
      <t>カイゾク</t>
    </rPh>
    <rPh sb="78" eb="79">
      <t>タイ</t>
    </rPh>
    <rPh sb="79" eb="81">
      <t>セイセイ</t>
    </rPh>
    <phoneticPr fontId="1"/>
  </si>
  <si>
    <t>対戦相手がコントロールするクリーチャーが死亡するたび、宝物を1つ見つける。</t>
    <rPh sb="0" eb="2">
      <t>タイセン</t>
    </rPh>
    <rPh sb="2" eb="4">
      <t>アイテ</t>
    </rPh>
    <rPh sb="20" eb="22">
      <t>シボウ</t>
    </rPh>
    <rPh sb="27" eb="29">
      <t>タカラモノ</t>
    </rPh>
    <rPh sb="32" eb="33">
      <t>ミ</t>
    </rPh>
    <phoneticPr fontId="1"/>
  </si>
  <si>
    <t>あなたのターン開始時に、あなたが宝物を3つ以上コントロールしている場合、あなたの手札のすべてのカードは1マナを得る。</t>
    <rPh sb="7" eb="9">
      <t>カイシ</t>
    </rPh>
    <rPh sb="9" eb="10">
      <t>ジ</t>
    </rPh>
    <rPh sb="16" eb="18">
      <t>タカラモノ</t>
    </rPh>
    <rPh sb="21" eb="23">
      <t>イジョウ</t>
    </rPh>
    <rPh sb="33" eb="35">
      <t>バアイ</t>
    </rPh>
    <rPh sb="40" eb="42">
      <t>テフダ</t>
    </rPh>
    <rPh sb="55" eb="56">
      <t>エ</t>
    </rPh>
    <phoneticPr fontId="1"/>
  </si>
  <si>
    <t>青ジェム3個に罠をかける：カードを1枚引く。このサポートは1シールドを失う。</t>
    <rPh sb="0" eb="1">
      <t>アオ</t>
    </rPh>
    <rPh sb="5" eb="6">
      <t>コ</t>
    </rPh>
    <rPh sb="7" eb="8">
      <t>ワナ</t>
    </rPh>
    <rPh sb="18" eb="19">
      <t>マイ</t>
    </rPh>
    <rPh sb="19" eb="20">
      <t>ヒ</t>
    </rPh>
    <rPh sb="35" eb="36">
      <t>ウシナ</t>
    </rPh>
    <phoneticPr fontId="1"/>
  </si>
  <si>
    <t>赤ジェム3個に罠をかける：対戦相手は3点のライフを失う。このサポートは1シールドを失う。</t>
    <rPh sb="0" eb="1">
      <t>アカ</t>
    </rPh>
    <rPh sb="5" eb="6">
      <t>コ</t>
    </rPh>
    <rPh sb="7" eb="8">
      <t>ワナ</t>
    </rPh>
    <rPh sb="13" eb="15">
      <t>タイセン</t>
    </rPh>
    <rPh sb="15" eb="17">
      <t>アイテ</t>
    </rPh>
    <rPh sb="19" eb="20">
      <t>テン</t>
    </rPh>
    <rPh sb="25" eb="26">
      <t>ウシナ</t>
    </rPh>
    <rPh sb="41" eb="42">
      <t>ウシナ</t>
    </rPh>
    <phoneticPr fontId="1"/>
  </si>
  <si>
    <t>クリーチャー1体を対象とし、それを追放する。</t>
    <rPh sb="7" eb="8">
      <t>タイ</t>
    </rPh>
    <rPh sb="9" eb="11">
      <t>タイショウ</t>
    </rPh>
    <phoneticPr fontId="1"/>
  </si>
  <si>
    <t>対戦相手は2点のライフを失う。あなたは2点のライフを得る。</t>
    <rPh sb="0" eb="2">
      <t>タイセン</t>
    </rPh>
    <rPh sb="2" eb="4">
      <t>アイテ</t>
    </rPh>
    <rPh sb="6" eb="7">
      <t>テン</t>
    </rPh>
    <rPh sb="12" eb="13">
      <t>ウシナ</t>
    </rPh>
    <rPh sb="20" eb="21">
      <t>テン</t>
    </rPh>
    <rPh sb="26" eb="27">
      <t>エ</t>
    </rPh>
    <phoneticPr fontId="1"/>
  </si>
  <si>
    <t>赤ジェム5個を起動する：ターン終了時まで、対戦相手がコントロールする最初のクリーチャーのコントロールを得る。ターン終了時まで、そのクリーチャーは速攻を得る。</t>
    <rPh sb="0" eb="1">
      <t>アカ</t>
    </rPh>
    <rPh sb="5" eb="6">
      <t>コ</t>
    </rPh>
    <rPh sb="7" eb="9">
      <t>キドウ</t>
    </rPh>
    <rPh sb="15" eb="18">
      <t>シュウリョウジ</t>
    </rPh>
    <rPh sb="21" eb="23">
      <t>タイセン</t>
    </rPh>
    <rPh sb="23" eb="25">
      <t>アイテ</t>
    </rPh>
    <rPh sb="34" eb="36">
      <t>サイショ</t>
    </rPh>
    <rPh sb="51" eb="52">
      <t>エ</t>
    </rPh>
    <rPh sb="57" eb="60">
      <t>シュウリョウジ</t>
    </rPh>
    <rPh sb="72" eb="74">
      <t>ソッコウ</t>
    </rPh>
    <rPh sb="75" eb="76">
      <t>エ</t>
    </rPh>
    <phoneticPr fontId="1"/>
  </si>
  <si>
    <t>このクリーチャーが戦場に出ている間、対戦相手はライフを得られない。</t>
    <rPh sb="9" eb="11">
      <t>センジョウ</t>
    </rPh>
    <rPh sb="12" eb="13">
      <t>デ</t>
    </rPh>
    <rPh sb="16" eb="17">
      <t>アイダ</t>
    </rPh>
    <rPh sb="18" eb="20">
      <t>タイセン</t>
    </rPh>
    <rPh sb="20" eb="22">
      <t>アイテ</t>
    </rPh>
    <rPh sb="27" eb="28">
      <t>エ</t>
    </rPh>
    <phoneticPr fontId="1"/>
  </si>
  <si>
    <t>他のクリーチャーが戦場に出るたび、そのクリーチャーのコントローラーに1点のダメージを与える。</t>
    <rPh sb="0" eb="1">
      <t>タ</t>
    </rPh>
    <rPh sb="9" eb="11">
      <t>センジョウ</t>
    </rPh>
    <rPh sb="12" eb="13">
      <t>デ</t>
    </rPh>
    <rPh sb="35" eb="36">
      <t>テン</t>
    </rPh>
    <rPh sb="42" eb="43">
      <t>アタ</t>
    </rPh>
    <phoneticPr fontId="1"/>
  </si>
  <si>
    <t>プレイヤー1人を対象とし、そのプレイヤーに4点のダメージを与える。あなたが強襲していて、赤ジェムが4個以上ある場合、この呪文をあなたの手札に戻す。</t>
    <rPh sb="6" eb="7">
      <t>ニン</t>
    </rPh>
    <rPh sb="8" eb="10">
      <t>タイショウ</t>
    </rPh>
    <rPh sb="22" eb="23">
      <t>テン</t>
    </rPh>
    <rPh sb="29" eb="30">
      <t>アタ</t>
    </rPh>
    <rPh sb="37" eb="39">
      <t>キョウシュウ</t>
    </rPh>
    <rPh sb="44" eb="45">
      <t>アカ</t>
    </rPh>
    <rPh sb="50" eb="51">
      <t>コ</t>
    </rPh>
    <rPh sb="51" eb="53">
      <t>イジョウ</t>
    </rPh>
    <rPh sb="55" eb="57">
      <t>バアイ</t>
    </rPh>
    <rPh sb="60" eb="62">
      <t>ジュモン</t>
    </rPh>
    <rPh sb="67" eb="69">
      <t>テフダ</t>
    </rPh>
    <rPh sb="70" eb="71">
      <t>モド</t>
    </rPh>
    <phoneticPr fontId="1"/>
  </si>
  <si>
    <t>このクリーチャーが戦場に出たとき、カードを2枚捨てて、その後カードを2枚引く。</t>
    <rPh sb="9" eb="11">
      <t>センジョウ</t>
    </rPh>
    <rPh sb="12" eb="13">
      <t>デ</t>
    </rPh>
    <rPh sb="22" eb="23">
      <t>マイ</t>
    </rPh>
    <rPh sb="23" eb="24">
      <t>ス</t>
    </rPh>
    <rPh sb="29" eb="30">
      <t>ゴ</t>
    </rPh>
    <rPh sb="35" eb="36">
      <t>マイ</t>
    </rPh>
    <rPh sb="36" eb="37">
      <t>ヒ</t>
    </rPh>
    <phoneticPr fontId="1"/>
  </si>
  <si>
    <t>あなたの手札の最後の2枚のカードに共通のクリーチャー・タイプがある場合、このクリーチャーは+2/+2の修正を受ける。</t>
    <rPh sb="4" eb="6">
      <t>テフダ</t>
    </rPh>
    <rPh sb="7" eb="9">
      <t>サイゴ</t>
    </rPh>
    <rPh sb="11" eb="12">
      <t>マイ</t>
    </rPh>
    <rPh sb="17" eb="19">
      <t>キョウツウ</t>
    </rPh>
    <rPh sb="33" eb="35">
      <t>バアイ</t>
    </rPh>
    <rPh sb="51" eb="53">
      <t>シュウセイ</t>
    </rPh>
    <rPh sb="54" eb="55">
      <t>ウ</t>
    </rPh>
    <phoneticPr fontId="1"/>
  </si>
  <si>
    <t>このクリーチャーが戦場に出たとき、あなたが強襲していた場合、2ブロックの3×3ジェムを破壊する。</t>
    <rPh sb="9" eb="11">
      <t>センジョウ</t>
    </rPh>
    <rPh sb="12" eb="13">
      <t>デ</t>
    </rPh>
    <rPh sb="21" eb="23">
      <t>キョウシュウ</t>
    </rPh>
    <rPh sb="27" eb="29">
      <t>バアイ</t>
    </rPh>
    <rPh sb="43" eb="45">
      <t>ハカイ</t>
    </rPh>
    <phoneticPr fontId="1"/>
  </si>
  <si>
    <t>ジェム3個を起動する；ターン終了時まで、バフされているあなたのクリーチャーはブロックされないを得る。</t>
    <rPh sb="4" eb="5">
      <t>コ</t>
    </rPh>
    <rPh sb="6" eb="8">
      <t>キドウ</t>
    </rPh>
    <rPh sb="14" eb="17">
      <t>シュウリョウジ</t>
    </rPh>
    <rPh sb="47" eb="48">
      <t>エ</t>
    </rPh>
    <phoneticPr fontId="1"/>
  </si>
  <si>
    <t>あなたが、マナ・コストが15以上のカードをプレイするたび、あなたのライブラリーから次のマナ・コストが10以下のカードを取ってくる。それはいっぱいのマナを得て、このサポートは1シールドを失う。</t>
    <rPh sb="14" eb="16">
      <t>イジョウ</t>
    </rPh>
    <rPh sb="41" eb="42">
      <t>ツギ</t>
    </rPh>
    <rPh sb="52" eb="54">
      <t>イカ</t>
    </rPh>
    <rPh sb="59" eb="60">
      <t>ト</t>
    </rPh>
    <rPh sb="76" eb="77">
      <t>エ</t>
    </rPh>
    <rPh sb="92" eb="93">
      <t>ウシナ</t>
    </rPh>
    <phoneticPr fontId="1"/>
  </si>
  <si>
    <t>このクリーチャーが攻撃するたび、これは+X/+Yの修正を受ける。XとYはそれぞれ、あなたがコントロールする他の最初のクリーチャーのパワーとタフネスに等しい。</t>
    <rPh sb="9" eb="11">
      <t>コウゲキ</t>
    </rPh>
    <rPh sb="25" eb="27">
      <t>シュウセイ</t>
    </rPh>
    <rPh sb="28" eb="29">
      <t>ウ</t>
    </rPh>
    <rPh sb="53" eb="54">
      <t>タ</t>
    </rPh>
    <rPh sb="55" eb="57">
      <t>サイショ</t>
    </rPh>
    <rPh sb="74" eb="75">
      <t>ヒト</t>
    </rPh>
    <phoneticPr fontId="1"/>
  </si>
  <si>
    <t>あなたのライブラリーから次の恐竜・カードを1枚取ってきて、ジェム3個を緑に変換する。</t>
    <rPh sb="14" eb="16">
      <t>キョウリュウ</t>
    </rPh>
    <rPh sb="22" eb="23">
      <t>マイ</t>
    </rPh>
    <rPh sb="23" eb="24">
      <t>ト</t>
    </rPh>
    <rPh sb="33" eb="34">
      <t>コ</t>
    </rPh>
    <rPh sb="35" eb="36">
      <t>ミドリ</t>
    </rPh>
    <rPh sb="37" eb="39">
      <t>ヘンカン</t>
    </rPh>
    <phoneticPr fontId="1"/>
  </si>
  <si>
    <t>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t>
    <rPh sb="9" eb="11">
      <t>センジョウ</t>
    </rPh>
    <rPh sb="12" eb="13">
      <t>デ</t>
    </rPh>
    <rPh sb="15" eb="17">
      <t>コウゲキ</t>
    </rPh>
    <rPh sb="22" eb="24">
      <t>タイセン</t>
    </rPh>
    <rPh sb="24" eb="26">
      <t>アイテ</t>
    </rPh>
    <rPh sb="27" eb="29">
      <t>ボチ</t>
    </rPh>
    <rPh sb="31" eb="33">
      <t>イチバン</t>
    </rPh>
    <rPh sb="33" eb="34">
      <t>ウエ</t>
    </rPh>
    <rPh sb="39" eb="41">
      <t>ツイホウ</t>
    </rPh>
    <rPh sb="46" eb="48">
      <t>ツイホウ</t>
    </rPh>
    <rPh sb="64" eb="66">
      <t>バアイ</t>
    </rPh>
    <rPh sb="72" eb="73">
      <t>テン</t>
    </rPh>
    <rPh sb="78" eb="79">
      <t>エ</t>
    </rPh>
    <rPh sb="84" eb="86">
      <t>ジュモン</t>
    </rPh>
    <rPh sb="94" eb="96">
      <t>バアイ</t>
    </rPh>
    <rPh sb="112" eb="114">
      <t>シュウセイ</t>
    </rPh>
    <rPh sb="115" eb="116">
      <t>ウ</t>
    </rPh>
    <phoneticPr fontId="1"/>
  </si>
  <si>
    <t>あなたが呪文かサポートを唱えたとき、このクリーチャーは+1/+1の修正を受ける。</t>
    <rPh sb="4" eb="6">
      <t>ジュモン</t>
    </rPh>
    <rPh sb="12" eb="13">
      <t>トナ</t>
    </rPh>
    <rPh sb="33" eb="35">
      <t>シュウセイ</t>
    </rPh>
    <rPh sb="36" eb="37">
      <t>ウ</t>
    </rPh>
    <phoneticPr fontId="1"/>
  </si>
  <si>
    <t>このクリーチャーが戦闘ダメージを与えるたび、これは探検1を行う。</t>
    <rPh sb="9" eb="11">
      <t>セントウ</t>
    </rPh>
    <rPh sb="16" eb="17">
      <t>アタ</t>
    </rPh>
    <rPh sb="25" eb="27">
      <t>タンケン</t>
    </rPh>
    <rPh sb="29" eb="30">
      <t>オコナ</t>
    </rPh>
    <phoneticPr fontId="1"/>
  </si>
  <si>
    <t>激昂：カードを1枚引く。</t>
    <rPh sb="0" eb="2">
      <t>ゲキコウ</t>
    </rPh>
    <rPh sb="8" eb="9">
      <t>マイ</t>
    </rPh>
    <rPh sb="9" eb="10">
      <t>ヒ</t>
    </rPh>
    <phoneticPr fontId="1"/>
  </si>
  <si>
    <t>あなたがコントロールするクリーチャーが探検を行うたび、このクリーチャーは+1/+1の修正を受け、あなたは3点のライフを得る。</t>
    <rPh sb="19" eb="21">
      <t>タンケン</t>
    </rPh>
    <rPh sb="22" eb="23">
      <t>オコナ</t>
    </rPh>
    <rPh sb="42" eb="44">
      <t>シュウセイ</t>
    </rPh>
    <rPh sb="45" eb="46">
      <t>ウ</t>
    </rPh>
    <rPh sb="53" eb="54">
      <t>テン</t>
    </rPh>
    <rPh sb="59" eb="60">
      <t>エ</t>
    </rPh>
    <phoneticPr fontId="1"/>
  </si>
  <si>
    <t>搭乗4</t>
    <rPh sb="0" eb="2">
      <t>トウジョウ</t>
    </rPh>
    <phoneticPr fontId="1"/>
  </si>
  <si>
    <t>(このサポートがボード上に出たとき、)「このクリーチャーが攻撃したとき、征服者のガレオン船は1シールドを得る。」をもつ4/5の機体・トークンを1体生成する。</t>
    <rPh sb="11" eb="12">
      <t>ジョウ</t>
    </rPh>
    <rPh sb="13" eb="14">
      <t>デ</t>
    </rPh>
    <rPh sb="29" eb="31">
      <t>コウゲキ</t>
    </rPh>
    <rPh sb="36" eb="39">
      <t>セイフクシャ</t>
    </rPh>
    <rPh sb="44" eb="45">
      <t>セン</t>
    </rPh>
    <rPh sb="52" eb="53">
      <t>エ</t>
    </rPh>
    <rPh sb="63" eb="65">
      <t>キタイ</t>
    </rPh>
    <rPh sb="72" eb="73">
      <t>タイ</t>
    </rPh>
    <rPh sb="73" eb="75">
      <t>セイセイ</t>
    </rPh>
    <phoneticPr fontId="1"/>
  </si>
  <si>
    <t>あなたのターン終了時に、このサポートが5シールド以上持っている場合、このサポートを変身させる。</t>
    <rPh sb="7" eb="10">
      <t>シュウリョウジ</t>
    </rPh>
    <rPh sb="24" eb="26">
      <t>イジョウ</t>
    </rPh>
    <rPh sb="26" eb="27">
      <t>モ</t>
    </rPh>
    <rPh sb="31" eb="33">
      <t>バアイ</t>
    </rPh>
    <rPh sb="41" eb="43">
      <t>ヘンシン</t>
    </rPh>
    <phoneticPr fontId="1"/>
  </si>
  <si>
    <t>あなたのターン開始時に、ジェム2個をあなたのプレインズウォーカーの色に変換する。</t>
    <rPh sb="7" eb="9">
      <t>カイシ</t>
    </rPh>
    <rPh sb="9" eb="10">
      <t>ジ</t>
    </rPh>
    <rPh sb="16" eb="17">
      <t>コ</t>
    </rPh>
    <phoneticPr fontId="1"/>
  </si>
  <si>
    <t>赤ジェム1個を起動する：カードを1枚捨てて、その後カードを1枚引く。&amp;br;青ジェム1個を起動する：カードを1枚引く。</t>
    <rPh sb="0" eb="1">
      <t>アカ</t>
    </rPh>
    <rPh sb="5" eb="6">
      <t>コ</t>
    </rPh>
    <rPh sb="7" eb="9">
      <t>キドウ</t>
    </rPh>
    <rPh sb="17" eb="18">
      <t>マイ</t>
    </rPh>
    <rPh sb="18" eb="19">
      <t>ス</t>
    </rPh>
    <rPh sb="24" eb="25">
      <t>ゴ</t>
    </rPh>
    <rPh sb="30" eb="31">
      <t>マイ</t>
    </rPh>
    <rPh sb="31" eb="32">
      <t>ヒ</t>
    </rPh>
    <rPh sb="38" eb="39">
      <t>アオ</t>
    </rPh>
    <rPh sb="43" eb="44">
      <t>コ</t>
    </rPh>
    <rPh sb="45" eb="47">
      <t>キドウ</t>
    </rPh>
    <rPh sb="55" eb="56">
      <t>マイ</t>
    </rPh>
    <rPh sb="56" eb="57">
      <t>ヒ</t>
    </rPh>
    <phoneticPr fontId="1"/>
  </si>
  <si>
    <t>黒ジェム1個を起動する：あなたの墓地のある最後のクリーチャー・カード1枚をあなたの手札に戻す。</t>
    <rPh sb="0" eb="1">
      <t>クロ</t>
    </rPh>
    <rPh sb="5" eb="6">
      <t>コ</t>
    </rPh>
    <rPh sb="7" eb="9">
      <t>キドウ</t>
    </rPh>
    <rPh sb="16" eb="18">
      <t>ボチ</t>
    </rPh>
    <rPh sb="21" eb="23">
      <t>サイゴ</t>
    </rPh>
    <rPh sb="35" eb="36">
      <t>マイ</t>
    </rPh>
    <rPh sb="41" eb="43">
      <t>テフダ</t>
    </rPh>
    <rPh sb="44" eb="45">
      <t>モド</t>
    </rPh>
    <phoneticPr fontId="1"/>
  </si>
  <si>
    <t>このサポートがボード上に出たとき、ディフェンダーとダメージ軽減を持つ0/2の植物・クリーチャー・トークン2体を対戦相手のコントロール下で生成する。</t>
    <rPh sb="29" eb="31">
      <t>ケイゲン</t>
    </rPh>
    <rPh sb="32" eb="33">
      <t>モ</t>
    </rPh>
    <rPh sb="38" eb="40">
      <t>ショクブツ</t>
    </rPh>
    <rPh sb="53" eb="54">
      <t>タイ</t>
    </rPh>
    <rPh sb="55" eb="57">
      <t>タイセン</t>
    </rPh>
    <rPh sb="57" eb="59">
      <t>アイテ</t>
    </rPh>
    <rPh sb="66" eb="67">
      <t>カ</t>
    </rPh>
    <rPh sb="68" eb="70">
      <t>セイセイ</t>
    </rPh>
    <phoneticPr fontId="1"/>
  </si>
  <si>
    <t>あなたの最初のクリーチャーは+2/+1の修正を受ける。</t>
    <rPh sb="4" eb="6">
      <t>サイショ</t>
    </rPh>
    <rPh sb="20" eb="22">
      <t>シュウセイ</t>
    </rPh>
    <rPh sb="23" eb="24">
      <t>ウ</t>
    </rPh>
    <phoneticPr fontId="1"/>
  </si>
  <si>
    <t>あなたの最初のクリーチャーが戦闘ダメージを与えるたび、このサポートを変身させる。</t>
    <rPh sb="4" eb="6">
      <t>サイショ</t>
    </rPh>
    <rPh sb="14" eb="16">
      <t>セントウ</t>
    </rPh>
    <rPh sb="21" eb="22">
      <t>アタ</t>
    </rPh>
    <rPh sb="34" eb="36">
      <t>ヘンシン</t>
    </rPh>
    <phoneticPr fontId="1"/>
  </si>
  <si>
    <t>When this support enters the board, create 2 0/2 Plant creature tokens with Defender and Prevent Damage for your opponent.Your first creature gets +2/+1.Whenever your first creature deals combat damage, transform this support.</t>
    <phoneticPr fontId="1"/>
  </si>
  <si>
    <t>あなたのターン開始時に、ジェム3個をあなたのプレインズウォーカーの色に変換する。その後、この効果をもう1回繰り返す。</t>
    <rPh sb="7" eb="10">
      <t>カイシジ</t>
    </rPh>
    <rPh sb="16" eb="17">
      <t>コ</t>
    </rPh>
    <rPh sb="33" eb="34">
      <t>イロ</t>
    </rPh>
    <rPh sb="35" eb="37">
      <t>ヘンカン</t>
    </rPh>
    <rPh sb="42" eb="43">
      <t>ゴ</t>
    </rPh>
    <rPh sb="46" eb="48">
      <t>コウカ</t>
    </rPh>
    <rPh sb="52" eb="53">
      <t>カイ</t>
    </rPh>
    <rPh sb="53" eb="54">
      <t>ク</t>
    </rPh>
    <rPh sb="55" eb="56">
      <t>カエ</t>
    </rPh>
    <phoneticPr fontId="1"/>
  </si>
  <si>
    <t>搭乗2</t>
    <rPh sb="0" eb="2">
      <t>トウジョウ</t>
    </rPh>
    <phoneticPr fontId="1"/>
  </si>
  <si>
    <t>このクリーチャーが戦闘ダメージを与えるたび、対戦相手はカードを1枚捨てる。</t>
    <rPh sb="22" eb="24">
      <t>タイセン</t>
    </rPh>
    <rPh sb="24" eb="26">
      <t>アイテ</t>
    </rPh>
    <rPh sb="32" eb="33">
      <t>マイ</t>
    </rPh>
    <rPh sb="33" eb="34">
      <t>ス</t>
    </rPh>
    <phoneticPr fontId="1"/>
  </si>
  <si>
    <t>このクリーチャーが戦場に出ている間、あなたがコントロールする他の海賊は+2/+0の修正を受ける。</t>
    <rPh sb="12" eb="13">
      <t>デ</t>
    </rPh>
    <rPh sb="16" eb="17">
      <t>アイダ</t>
    </rPh>
    <rPh sb="30" eb="31">
      <t>タ</t>
    </rPh>
    <rPh sb="32" eb="34">
      <t>カイゾク</t>
    </rPh>
    <rPh sb="41" eb="43">
      <t>シュウセイ</t>
    </rPh>
    <rPh sb="44" eb="45">
      <t>ウ</t>
    </rPh>
    <phoneticPr fontId="1"/>
  </si>
  <si>
    <t>あなたの呪文を唱えるマナ・コストは1少なくなる。</t>
    <rPh sb="4" eb="6">
      <t>ジュモン</t>
    </rPh>
    <rPh sb="7" eb="8">
      <t>トナ</t>
    </rPh>
    <rPh sb="18" eb="19">
      <t>スク</t>
    </rPh>
    <phoneticPr fontId="1"/>
  </si>
  <si>
    <t>あなたが呪文を唱えるたび、このサポートは1シールドを得る。</t>
    <rPh sb="4" eb="6">
      <t>ジュモン</t>
    </rPh>
    <rPh sb="7" eb="8">
      <t>トナ</t>
    </rPh>
    <rPh sb="26" eb="27">
      <t>エ</t>
    </rPh>
    <phoneticPr fontId="1"/>
  </si>
  <si>
    <t>あなたのターン終了時に、このサポートが4シールド以上持っている場合、このサポートを変身させる。</t>
    <rPh sb="7" eb="10">
      <t>シュウリョウジ</t>
    </rPh>
    <rPh sb="24" eb="26">
      <t>イジョウ</t>
    </rPh>
    <rPh sb="26" eb="27">
      <t>モ</t>
    </rPh>
    <rPh sb="31" eb="33">
      <t>バアイ</t>
    </rPh>
    <rPh sb="41" eb="43">
      <t>ヘンシン</t>
    </rPh>
    <phoneticPr fontId="1"/>
  </si>
  <si>
    <t>あなたが、マナ・コストが9以上の呪文を唱えるたび、その呪文を6マナ得た状態であなたの手札に戻し、このサポートは1シールドを失う。</t>
    <rPh sb="13" eb="15">
      <t>イジョウ</t>
    </rPh>
    <rPh sb="16" eb="18">
      <t>ジュモン</t>
    </rPh>
    <rPh sb="19" eb="20">
      <t>トナ</t>
    </rPh>
    <rPh sb="27" eb="29">
      <t>ジュモン</t>
    </rPh>
    <rPh sb="33" eb="34">
      <t>エ</t>
    </rPh>
    <rPh sb="35" eb="37">
      <t>ジョウタイ</t>
    </rPh>
    <rPh sb="42" eb="44">
      <t>テフダ</t>
    </rPh>
    <rPh sb="45" eb="46">
      <t>モド</t>
    </rPh>
    <rPh sb="61" eb="62">
      <t>ウシナ</t>
    </rPh>
    <phoneticPr fontId="1"/>
  </si>
  <si>
    <t>ジェム2個を起動する：ジェム2個をあなたのプレインズウォーカーの色に変換する。</t>
    <rPh sb="4" eb="5">
      <t>コ</t>
    </rPh>
    <rPh sb="6" eb="8">
      <t>キドウ</t>
    </rPh>
    <rPh sb="15" eb="16">
      <t>コ</t>
    </rPh>
    <rPh sb="32" eb="33">
      <t>イロ</t>
    </rPh>
    <rPh sb="34" eb="36">
      <t>ヘンカン</t>
    </rPh>
    <phoneticPr fontId="1"/>
  </si>
  <si>
    <t>あなたのターン終了時にあなたのプレインズウォーカーの色のうち1色のジェムが8個以上あった場合、このサポートを変身させる。</t>
    <rPh sb="7" eb="10">
      <t>シュウリョウジ</t>
    </rPh>
    <rPh sb="26" eb="27">
      <t>イロ</t>
    </rPh>
    <rPh sb="31" eb="32">
      <t>ショク</t>
    </rPh>
    <rPh sb="38" eb="41">
      <t>コイジョウ</t>
    </rPh>
    <rPh sb="44" eb="46">
      <t>バアイ</t>
    </rPh>
    <rPh sb="54" eb="56">
      <t>ヘンシン</t>
    </rPh>
    <phoneticPr fontId="1"/>
  </si>
  <si>
    <t>あなたのターン開始時に、ジェム2個を忠誠ジェムに変換する。</t>
    <rPh sb="7" eb="10">
      <t>カイシジ</t>
    </rPh>
    <rPh sb="16" eb="17">
      <t>コ</t>
    </rPh>
    <rPh sb="18" eb="20">
      <t>チュウセイ</t>
    </rPh>
    <rPh sb="24" eb="26">
      <t>ヘンカン</t>
    </rPh>
    <phoneticPr fontId="1"/>
  </si>
  <si>
    <t>このサポートが戦場に出ている間、対戦相手の最初のクリーチャーはそのパワーが0になる。</t>
    <rPh sb="7" eb="9">
      <t>センジョウ</t>
    </rPh>
    <rPh sb="10" eb="11">
      <t>デ</t>
    </rPh>
    <rPh sb="14" eb="15">
      <t>アイダ</t>
    </rPh>
    <rPh sb="16" eb="18">
      <t>タイセン</t>
    </rPh>
    <rPh sb="18" eb="20">
      <t>アイテ</t>
    </rPh>
    <rPh sb="21" eb="23">
      <t>サイショ</t>
    </rPh>
    <phoneticPr fontId="1"/>
  </si>
  <si>
    <t>対戦相手のターン終了時に、そのプレイヤーがパワー0に等しいクリーチャーをコントロールしている場合、このサポートは1シールドを失う。</t>
    <rPh sb="0" eb="2">
      <t>タイセン</t>
    </rPh>
    <rPh sb="2" eb="4">
      <t>アイテ</t>
    </rPh>
    <rPh sb="8" eb="11">
      <t>シュウリョウジ</t>
    </rPh>
    <rPh sb="26" eb="27">
      <t>ヒト</t>
    </rPh>
    <rPh sb="46" eb="48">
      <t>バアイ</t>
    </rPh>
    <rPh sb="62" eb="63">
      <t>ウシナ</t>
    </rPh>
    <phoneticPr fontId="1"/>
  </si>
  <si>
    <t>ジェム2個を起動する：このサポートは1シールドを得る。</t>
    <rPh sb="4" eb="5">
      <t>コ</t>
    </rPh>
    <rPh sb="6" eb="8">
      <t>キドウ</t>
    </rPh>
    <rPh sb="24" eb="25">
      <t>エ</t>
    </rPh>
    <phoneticPr fontId="1"/>
  </si>
  <si>
    <t>あなたのターン終了時に、このサポートが4シールド以上持っている場合、このサポートを変身させて、宝物を2つ見つける。</t>
    <rPh sb="7" eb="10">
      <t>シュウリョウジ</t>
    </rPh>
    <rPh sb="24" eb="26">
      <t>イジョウ</t>
    </rPh>
    <rPh sb="26" eb="27">
      <t>モ</t>
    </rPh>
    <rPh sb="31" eb="33">
      <t>バアイ</t>
    </rPh>
    <rPh sb="41" eb="43">
      <t>ヘンシン</t>
    </rPh>
    <rPh sb="47" eb="49">
      <t>タカラモノ</t>
    </rPh>
    <rPh sb="52" eb="53">
      <t>ミ</t>
    </rPh>
    <phoneticPr fontId="1"/>
  </si>
  <si>
    <t>あなたのターン開始時に、ジェム2個を忠誠ジェムに変換する。</t>
    <rPh sb="7" eb="9">
      <t>カイシ</t>
    </rPh>
    <rPh sb="9" eb="10">
      <t>ジ</t>
    </rPh>
    <rPh sb="16" eb="17">
      <t>コ</t>
    </rPh>
    <rPh sb="18" eb="20">
      <t>チュウセイ</t>
    </rPh>
    <rPh sb="24" eb="26">
      <t>ヘンカン</t>
    </rPh>
    <phoneticPr fontId="1"/>
  </si>
  <si>
    <t>あなたがコントロールする宝物が破壊されるたび、カードを1枚引き、このサポートは1シールドを失う。</t>
    <rPh sb="12" eb="14">
      <t>タカラモノ</t>
    </rPh>
    <rPh sb="15" eb="17">
      <t>ハカイ</t>
    </rPh>
    <rPh sb="28" eb="29">
      <t>マイ</t>
    </rPh>
    <rPh sb="29" eb="30">
      <t>ヒ</t>
    </rPh>
    <rPh sb="45" eb="46">
      <t>ウシナ</t>
    </rPh>
    <phoneticPr fontId="1"/>
  </si>
  <si>
    <t>このクリーチャーが戦場に出ている間、あなたがコントロールするクリーチャーが攻撃するたび、ターン終了時まで、それは+X/+0の修正を受ける。Xはそれのタフネスとパワーの差に等しい。</t>
    <rPh sb="9" eb="11">
      <t>センジョウ</t>
    </rPh>
    <rPh sb="12" eb="13">
      <t>デ</t>
    </rPh>
    <rPh sb="16" eb="17">
      <t>アイダ</t>
    </rPh>
    <rPh sb="37" eb="39">
      <t>コウゲキ</t>
    </rPh>
    <rPh sb="47" eb="50">
      <t>シュウリョウジ</t>
    </rPh>
    <rPh sb="62" eb="64">
      <t>シュウセイ</t>
    </rPh>
    <rPh sb="65" eb="66">
      <t>ウ</t>
    </rPh>
    <rPh sb="83" eb="84">
      <t>サ</t>
    </rPh>
    <rPh sb="85" eb="86">
      <t>ヒト</t>
    </rPh>
    <phoneticPr fontId="1"/>
  </si>
  <si>
    <t>激昂：あなたがコントロールするすべてのクリーチャーは+1/+1の修正を受ける。</t>
    <rPh sb="0" eb="2">
      <t>ゲキコウ</t>
    </rPh>
    <rPh sb="32" eb="34">
      <t>シュウセイ</t>
    </rPh>
    <rPh sb="35" eb="36">
      <t>ウ</t>
    </rPh>
    <phoneticPr fontId="1"/>
  </si>
  <si>
    <t>このクリーチャーが死亡した時、黒ジェムが4個以上ある場合、対戦相手は4点のライフを失い、あなたは4点のライフを得る。</t>
    <rPh sb="15" eb="16">
      <t>クロ</t>
    </rPh>
    <rPh sb="21" eb="24">
      <t>コイジョウ</t>
    </rPh>
    <rPh sb="26" eb="28">
      <t>バアイ</t>
    </rPh>
    <rPh sb="29" eb="31">
      <t>タイセン</t>
    </rPh>
    <rPh sb="31" eb="33">
      <t>アイテ</t>
    </rPh>
    <rPh sb="35" eb="36">
      <t>テン</t>
    </rPh>
    <rPh sb="41" eb="42">
      <t>ウシナ</t>
    </rPh>
    <rPh sb="49" eb="50">
      <t>テン</t>
    </rPh>
    <rPh sb="55" eb="56">
      <t>エ</t>
    </rPh>
    <phoneticPr fontId="1"/>
  </si>
  <si>
    <t>あなたが強襲していないかぎり、カードを1枚捨てる。</t>
    <rPh sb="4" eb="6">
      <t>キョウシュウ</t>
    </rPh>
    <rPh sb="20" eb="21">
      <t>マイ</t>
    </rPh>
    <rPh sb="21" eb="22">
      <t>ス</t>
    </rPh>
    <phoneticPr fontId="1"/>
  </si>
  <si>
    <t>カードを3枚引く。</t>
    <rPh sb="5" eb="6">
      <t>マイ</t>
    </rPh>
    <rPh sb="6" eb="7">
      <t>ヒ</t>
    </rPh>
    <phoneticPr fontId="1"/>
  </si>
  <si>
    <t>このクリーチャーが戦場に出たとき、これはあなたがコントロールするサポート1つにつき+1/+1の修正を受ける。</t>
    <rPh sb="9" eb="11">
      <t>センジョウ</t>
    </rPh>
    <rPh sb="12" eb="13">
      <t>デ</t>
    </rPh>
    <rPh sb="47" eb="49">
      <t>シュウセイ</t>
    </rPh>
    <rPh sb="50" eb="51">
      <t>ウ</t>
    </rPh>
    <phoneticPr fontId="1"/>
  </si>
  <si>
    <t>ジェム1個を起動する：宝物を1つ見つける。</t>
    <rPh sb="4" eb="5">
      <t>コ</t>
    </rPh>
    <rPh sb="6" eb="8">
      <t>キドウ</t>
    </rPh>
    <rPh sb="11" eb="13">
      <t>タカラモノ</t>
    </rPh>
    <rPh sb="16" eb="17">
      <t>ミ</t>
    </rPh>
    <phoneticPr fontId="1"/>
  </si>
  <si>
    <t>このクリーチャーが戦場に出たとき、あなたのライブラリーから最初の機体・カードを取ってくる。</t>
    <rPh sb="9" eb="11">
      <t>センジョウ</t>
    </rPh>
    <rPh sb="12" eb="13">
      <t>デ</t>
    </rPh>
    <rPh sb="29" eb="31">
      <t>サイショ</t>
    </rPh>
    <rPh sb="32" eb="34">
      <t>キタイ</t>
    </rPh>
    <rPh sb="39" eb="40">
      <t>ト</t>
    </rPh>
    <phoneticPr fontId="1"/>
  </si>
  <si>
    <t>このクリーチャーが死亡した時、あなたが2回以上強化された吸血鬼をコントロールしている場合、あなたの墓地からこのクリーチャーをあなたの手札に戻す。これのマナ・コストは3少なくなる。</t>
    <rPh sb="9" eb="11">
      <t>シボウ</t>
    </rPh>
    <rPh sb="13" eb="14">
      <t>トキ</t>
    </rPh>
    <rPh sb="20" eb="23">
      <t>カイイジョウ</t>
    </rPh>
    <rPh sb="23" eb="25">
      <t>キョウカ</t>
    </rPh>
    <rPh sb="28" eb="31">
      <t>キュウケツキ</t>
    </rPh>
    <rPh sb="42" eb="44">
      <t>バアイ</t>
    </rPh>
    <rPh sb="49" eb="51">
      <t>ボチ</t>
    </rPh>
    <rPh sb="66" eb="68">
      <t>テフダ</t>
    </rPh>
    <rPh sb="69" eb="70">
      <t>モド</t>
    </rPh>
    <rPh sb="83" eb="84">
      <t>スク</t>
    </rPh>
    <phoneticPr fontId="1"/>
  </si>
  <si>
    <t>トークンでないマーフォーク・クリーチャーがあなたのコントロール下で戦場に出るたび、呪禁を持つ1/1のマーフォーク・トークンを1体生成し、このサポートは1シールドを失う。</t>
    <rPh sb="41" eb="42">
      <t>ジュ</t>
    </rPh>
    <rPh sb="42" eb="43">
      <t>キン</t>
    </rPh>
    <rPh sb="44" eb="45">
      <t>モ</t>
    </rPh>
    <rPh sb="63" eb="66">
      <t>タイセイセイ</t>
    </rPh>
    <rPh sb="81" eb="82">
      <t>ウシナ</t>
    </rPh>
    <phoneticPr fontId="1"/>
  </si>
  <si>
    <t>このクリーチャーが攻撃するたび、ターン終了時まで、これはあなたがコントロールする他の海賊1体につき+1/+1の修正を受ける。</t>
    <rPh sb="9" eb="11">
      <t>コウゲキ</t>
    </rPh>
    <rPh sb="19" eb="22">
      <t>シュウリョウジ</t>
    </rPh>
    <rPh sb="40" eb="41">
      <t>タ</t>
    </rPh>
    <rPh sb="42" eb="44">
      <t>カイゾク</t>
    </rPh>
    <rPh sb="45" eb="46">
      <t>タイ</t>
    </rPh>
    <rPh sb="55" eb="57">
      <t>シュウセイ</t>
    </rPh>
    <rPh sb="58" eb="59">
      <t>ウ</t>
    </rPh>
    <phoneticPr fontId="1"/>
  </si>
  <si>
    <t>あなたが恐竜をコントロールしている間、このクリーチャーは+2/+2の修正を受ける。</t>
    <rPh sb="4" eb="6">
      <t>キョウリュウ</t>
    </rPh>
    <rPh sb="17" eb="18">
      <t>アイダ</t>
    </rPh>
    <rPh sb="34" eb="36">
      <t>シュウセイ</t>
    </rPh>
    <rPh sb="37" eb="38">
      <t>ウ</t>
    </rPh>
    <phoneticPr fontId="1"/>
  </si>
  <si>
    <t>ジェム1個を起動する：ジェム3個を緑に変換する。</t>
    <rPh sb="4" eb="5">
      <t>コ</t>
    </rPh>
    <rPh sb="6" eb="8">
      <t>キドウ</t>
    </rPh>
    <rPh sb="15" eb="16">
      <t>コ</t>
    </rPh>
    <rPh sb="17" eb="18">
      <t>ミドリ</t>
    </rPh>
    <rPh sb="19" eb="21">
      <t>ヘンカン</t>
    </rPh>
    <phoneticPr fontId="1"/>
  </si>
  <si>
    <t>対戦相手は手札からクリーチャーでない最初のカードを捨てる。</t>
    <rPh sb="0" eb="2">
      <t>タイセン</t>
    </rPh>
    <rPh sb="2" eb="4">
      <t>アイテ</t>
    </rPh>
    <rPh sb="5" eb="7">
      <t>テフダ</t>
    </rPh>
    <rPh sb="18" eb="20">
      <t>サイショ</t>
    </rPh>
    <rPh sb="25" eb="26">
      <t>ス</t>
    </rPh>
    <phoneticPr fontId="1"/>
  </si>
  <si>
    <t>ジェム2個を起動する：ターン終了時まで、あなたの最初の他の吸血鬼は+2/+0の修正を受けるとともに飛行を得る。</t>
    <rPh sb="24" eb="26">
      <t>サイショ</t>
    </rPh>
    <rPh sb="27" eb="28">
      <t>タ</t>
    </rPh>
    <rPh sb="29" eb="32">
      <t>キュウケツキ</t>
    </rPh>
    <rPh sb="39" eb="41">
      <t>シュウセイ</t>
    </rPh>
    <rPh sb="42" eb="43">
      <t>ウ</t>
    </rPh>
    <rPh sb="49" eb="51">
      <t>ヒコウ</t>
    </rPh>
    <rPh sb="52" eb="53">
      <t>エ</t>
    </rPh>
    <phoneticPr fontId="1"/>
  </si>
  <si>
    <t>あなたのターン終了時に、あなたの手札から最後のカードを捨てる。そうしたとき、このサポートは対戦相手の対処のクリーチャーに2点のダメージを与える。</t>
    <rPh sb="7" eb="10">
      <t>シュウリョウジ</t>
    </rPh>
    <rPh sb="16" eb="18">
      <t>テフダ</t>
    </rPh>
    <rPh sb="20" eb="22">
      <t>サイゴ</t>
    </rPh>
    <rPh sb="27" eb="28">
      <t>ス</t>
    </rPh>
    <rPh sb="45" eb="47">
      <t>タイセン</t>
    </rPh>
    <rPh sb="47" eb="49">
      <t>アイテ</t>
    </rPh>
    <rPh sb="50" eb="52">
      <t>タイショ</t>
    </rPh>
    <rPh sb="61" eb="62">
      <t>テン</t>
    </rPh>
    <rPh sb="68" eb="69">
      <t>アタ</t>
    </rPh>
    <phoneticPr fontId="1"/>
  </si>
  <si>
    <t>このクリーチャーが死亡した時、白ジェムが5個以上あった場合、あなたのすべてのクリーチャーは+1/+1の修正を受ける。</t>
    <rPh sb="9" eb="11">
      <t>シボウ</t>
    </rPh>
    <rPh sb="13" eb="14">
      <t>トキ</t>
    </rPh>
    <rPh sb="15" eb="16">
      <t>シロ</t>
    </rPh>
    <rPh sb="21" eb="24">
      <t>コイジョウ</t>
    </rPh>
    <rPh sb="27" eb="29">
      <t>バアイ</t>
    </rPh>
    <rPh sb="51" eb="53">
      <t>シュウセイ</t>
    </rPh>
    <rPh sb="54" eb="55">
      <t>ウ</t>
    </rPh>
    <phoneticPr fontId="1"/>
  </si>
  <si>
    <t>あなたがコントロールする飛行を持つクリーチャーは+1/+1の修正を受ける。</t>
    <rPh sb="12" eb="14">
      <t>ヒコウ</t>
    </rPh>
    <rPh sb="15" eb="16">
      <t>モ</t>
    </rPh>
    <rPh sb="30" eb="32">
      <t>シュウセイ</t>
    </rPh>
    <rPh sb="33" eb="34">
      <t>ウ</t>
    </rPh>
    <phoneticPr fontId="1"/>
  </si>
  <si>
    <t>海賊でない各クリーチャーにそれぞれ2点のダメージを与える。</t>
    <rPh sb="0" eb="2">
      <t>カイゾク</t>
    </rPh>
    <rPh sb="5" eb="6">
      <t>カク</t>
    </rPh>
    <rPh sb="18" eb="19">
      <t>テン</t>
    </rPh>
    <rPh sb="25" eb="26">
      <t>アタ</t>
    </rPh>
    <phoneticPr fontId="1"/>
  </si>
  <si>
    <t>このクリーチャーが死亡した時、赤ジェムが5個以上ある場合、これは対戦相手がコントロールする最初の2体のクリーチャーに3点のダメージを与える。</t>
    <rPh sb="9" eb="11">
      <t>シボウ</t>
    </rPh>
    <rPh sb="13" eb="14">
      <t>トキ</t>
    </rPh>
    <rPh sb="15" eb="16">
      <t>アカ</t>
    </rPh>
    <rPh sb="21" eb="24">
      <t>コイジョウ</t>
    </rPh>
    <rPh sb="26" eb="28">
      <t>バアイ</t>
    </rPh>
    <rPh sb="32" eb="34">
      <t>タイセン</t>
    </rPh>
    <rPh sb="34" eb="36">
      <t>アイテ</t>
    </rPh>
    <rPh sb="45" eb="47">
      <t>サイショ</t>
    </rPh>
    <rPh sb="49" eb="50">
      <t>タイ</t>
    </rPh>
    <rPh sb="59" eb="60">
      <t>テン</t>
    </rPh>
    <rPh sb="66" eb="67">
      <t>アタ</t>
    </rPh>
    <phoneticPr fontId="1"/>
  </si>
  <si>
    <t>白ジェム2個を起動する：ターン終了時まで、このクリーチャーは警戒を得る。1点のライフを失う。</t>
    <rPh sb="0" eb="1">
      <t>シロ</t>
    </rPh>
    <rPh sb="5" eb="6">
      <t>コ</t>
    </rPh>
    <rPh sb="7" eb="9">
      <t>キドウ</t>
    </rPh>
    <rPh sb="15" eb="18">
      <t>シュウリョウジ</t>
    </rPh>
    <rPh sb="30" eb="32">
      <t>ケイカイ</t>
    </rPh>
    <rPh sb="33" eb="34">
      <t>エ</t>
    </rPh>
    <rPh sb="37" eb="38">
      <t>テン</t>
    </rPh>
    <rPh sb="43" eb="44">
      <t>ウシナ</t>
    </rPh>
    <phoneticPr fontId="1"/>
  </si>
  <si>
    <t>黒ジェム2個を起動する：ターン終了時まで、このクリーチャーは飛行を得る。1点のライフを失う。</t>
    <rPh sb="0" eb="1">
      <t>クロ</t>
    </rPh>
    <rPh sb="5" eb="6">
      <t>コ</t>
    </rPh>
    <rPh sb="7" eb="9">
      <t>キドウ</t>
    </rPh>
    <rPh sb="15" eb="18">
      <t>シュウリョウジ</t>
    </rPh>
    <rPh sb="30" eb="32">
      <t>ヒコウ</t>
    </rPh>
    <rPh sb="33" eb="34">
      <t>エ</t>
    </rPh>
    <rPh sb="37" eb="38">
      <t>テン</t>
    </rPh>
    <rPh sb="43" eb="44">
      <t>ウシナ</t>
    </rPh>
    <phoneticPr fontId="1"/>
  </si>
  <si>
    <t>あなたの墓地から、海賊1体と吸血鬼1体と恐竜1体とマーフォーク1体をあなたの手札に戻す。</t>
    <rPh sb="4" eb="6">
      <t>ボチ</t>
    </rPh>
    <rPh sb="9" eb="11">
      <t>カイゾク</t>
    </rPh>
    <rPh sb="12" eb="13">
      <t>タイ</t>
    </rPh>
    <rPh sb="14" eb="17">
      <t>キュウケツキ</t>
    </rPh>
    <rPh sb="18" eb="19">
      <t>タイ</t>
    </rPh>
    <rPh sb="20" eb="22">
      <t>キョウリュウ</t>
    </rPh>
    <rPh sb="23" eb="24">
      <t>タイ</t>
    </rPh>
    <rPh sb="32" eb="33">
      <t>タイ</t>
    </rPh>
    <rPh sb="38" eb="40">
      <t>テフダ</t>
    </rPh>
    <rPh sb="41" eb="42">
      <t>モド</t>
    </rPh>
    <phoneticPr fontId="1"/>
  </si>
  <si>
    <t>これにより戻されたカード1枚につきあなたは2点のライフを失い、それらの各カードは3マナを得る。</t>
    <rPh sb="5" eb="6">
      <t>モド</t>
    </rPh>
    <rPh sb="13" eb="14">
      <t>マイ</t>
    </rPh>
    <rPh sb="22" eb="23">
      <t>テン</t>
    </rPh>
    <rPh sb="28" eb="29">
      <t>ウシナ</t>
    </rPh>
    <rPh sb="35" eb="36">
      <t>カク</t>
    </rPh>
    <rPh sb="44" eb="45">
      <t>エ</t>
    </rPh>
    <phoneticPr fontId="1"/>
  </si>
  <si>
    <t>このクリーチャーが戦場に出たとき、あなたがコントロールする他のクリーチャー1体を対象とする。ターン終了時まで、それは+1/+1の修正を受けるとともに飛行を得る。</t>
    <rPh sb="9" eb="11">
      <t>センジョウ</t>
    </rPh>
    <rPh sb="12" eb="13">
      <t>デ</t>
    </rPh>
    <rPh sb="29" eb="30">
      <t>タ</t>
    </rPh>
    <rPh sb="38" eb="39">
      <t>タイ</t>
    </rPh>
    <rPh sb="40" eb="42">
      <t>タイショウ</t>
    </rPh>
    <rPh sb="49" eb="52">
      <t>シュウリョウジ</t>
    </rPh>
    <rPh sb="64" eb="66">
      <t>シュウセイ</t>
    </rPh>
    <rPh sb="67" eb="68">
      <t>ウ</t>
    </rPh>
    <rPh sb="74" eb="76">
      <t>ヒコウ</t>
    </rPh>
    <rPh sb="77" eb="78">
      <t>エ</t>
    </rPh>
    <phoneticPr fontId="1"/>
  </si>
  <si>
    <t>このクリーチャーが死亡したとき、緑ジェムが8個以上ある場合、ターン終了時まで、あなたの最初のクリーチャーは+5/+5の修正を受けるとともにトランプルを得る。</t>
    <rPh sb="9" eb="11">
      <t>シボウ</t>
    </rPh>
    <rPh sb="16" eb="17">
      <t>ミドリ</t>
    </rPh>
    <rPh sb="22" eb="23">
      <t>コ</t>
    </rPh>
    <rPh sb="23" eb="25">
      <t>イジョウ</t>
    </rPh>
    <rPh sb="27" eb="29">
      <t>バアイ</t>
    </rPh>
    <rPh sb="33" eb="36">
      <t>シュウリョウジ</t>
    </rPh>
    <rPh sb="43" eb="45">
      <t>サイショ</t>
    </rPh>
    <rPh sb="59" eb="61">
      <t>シュウセイ</t>
    </rPh>
    <rPh sb="62" eb="63">
      <t>ウ</t>
    </rPh>
    <rPh sb="75" eb="76">
      <t>エ</t>
    </rPh>
    <phoneticPr fontId="1"/>
  </si>
  <si>
    <t>このクリーチャーが戦場に出ている間、あなたの手札の恐竜・カードのマナ・コストは2少なくなる。</t>
    <rPh sb="9" eb="11">
      <t>センジョウ</t>
    </rPh>
    <rPh sb="12" eb="13">
      <t>デ</t>
    </rPh>
    <rPh sb="16" eb="17">
      <t>アイダ</t>
    </rPh>
    <rPh sb="22" eb="24">
      <t>テフダ</t>
    </rPh>
    <rPh sb="25" eb="27">
      <t>キョウリュウ</t>
    </rPh>
    <rPh sb="40" eb="41">
      <t>スク</t>
    </rPh>
    <phoneticPr fontId="1"/>
  </si>
  <si>
    <t>このクリーチャーが戦場に出たとき、対戦相手の手札からクリーチャーでない最後の手札を追放する。</t>
    <rPh sb="9" eb="11">
      <t>センジョウ</t>
    </rPh>
    <rPh sb="12" eb="13">
      <t>デ</t>
    </rPh>
    <rPh sb="17" eb="19">
      <t>タイセン</t>
    </rPh>
    <rPh sb="19" eb="21">
      <t>アイテ</t>
    </rPh>
    <rPh sb="22" eb="24">
      <t>テフダ</t>
    </rPh>
    <rPh sb="35" eb="37">
      <t>サイゴ</t>
    </rPh>
    <rPh sb="38" eb="40">
      <t>テフダ</t>
    </rPh>
    <rPh sb="41" eb="43">
      <t>ツイホウ</t>
    </rPh>
    <phoneticPr fontId="1"/>
  </si>
  <si>
    <t>このクリーチャーが死亡した時、対戦相手はカードを1枚引く。</t>
    <rPh sb="9" eb="11">
      <t>シボウ</t>
    </rPh>
    <rPh sb="13" eb="14">
      <t>トキ</t>
    </rPh>
    <rPh sb="15" eb="17">
      <t>タイセン</t>
    </rPh>
    <rPh sb="17" eb="19">
      <t>アイテ</t>
    </rPh>
    <rPh sb="25" eb="26">
      <t>マイ</t>
    </rPh>
    <rPh sb="26" eb="27">
      <t>ヒ</t>
    </rPh>
    <phoneticPr fontId="1"/>
  </si>
  <si>
    <t>あなたが他のマーフォークか青のサポートをコントロールしている間、このクリーチャーは+1/+1の修正を受ける。</t>
    <rPh sb="4" eb="5">
      <t>タ</t>
    </rPh>
    <rPh sb="13" eb="14">
      <t>アオ</t>
    </rPh>
    <rPh sb="30" eb="31">
      <t>アイダ</t>
    </rPh>
    <rPh sb="47" eb="49">
      <t>シュウセイ</t>
    </rPh>
    <rPh sb="50" eb="51">
      <t>ウ</t>
    </rPh>
    <phoneticPr fontId="1"/>
  </si>
  <si>
    <t>ジェム2個を起動する：対戦相手のプレインズウォーカーに、あなたがコントロールする海賊1体につき1点のダメージを与える。</t>
    <rPh sb="11" eb="13">
      <t>タイセン</t>
    </rPh>
    <rPh sb="13" eb="15">
      <t>アイテ</t>
    </rPh>
    <rPh sb="40" eb="42">
      <t>カイゾク</t>
    </rPh>
    <rPh sb="43" eb="44">
      <t>タイ</t>
    </rPh>
    <rPh sb="48" eb="49">
      <t>テン</t>
    </rPh>
    <rPh sb="55" eb="56">
      <t>アタ</t>
    </rPh>
    <phoneticPr fontId="1"/>
  </si>
  <si>
    <t>海賊があなたのコントロール下で戦場に出るたび、この呪文のマナ・コストは3減る。</t>
    <rPh sb="0" eb="2">
      <t>カイゾク</t>
    </rPh>
    <rPh sb="13" eb="14">
      <t>カ</t>
    </rPh>
    <rPh sb="15" eb="17">
      <t>センジョウ</t>
    </rPh>
    <rPh sb="18" eb="19">
      <t>デ</t>
    </rPh>
    <rPh sb="25" eb="27">
      <t>ジュモン</t>
    </rPh>
    <rPh sb="36" eb="37">
      <t>ヘ</t>
    </rPh>
    <phoneticPr fontId="1"/>
  </si>
  <si>
    <t>対戦相手の手札の最初のカードから8マナを吸収する。</t>
    <rPh sb="0" eb="2">
      <t>タイセン</t>
    </rPh>
    <rPh sb="2" eb="4">
      <t>アイテ</t>
    </rPh>
    <rPh sb="5" eb="7">
      <t>テフダ</t>
    </rPh>
    <rPh sb="8" eb="10">
      <t>サイショ</t>
    </rPh>
    <rPh sb="20" eb="22">
      <t>キュウシュウ</t>
    </rPh>
    <phoneticPr fontId="1"/>
  </si>
  <si>
    <t>このサポートが1シールドを失ったとき、対戦相手がコントロールする最初のクリーチャーに1点のダメージを与える。</t>
    <rPh sb="13" eb="14">
      <t>ウシナ</t>
    </rPh>
    <rPh sb="19" eb="21">
      <t>タイセン</t>
    </rPh>
    <rPh sb="21" eb="23">
      <t>アイテ</t>
    </rPh>
    <rPh sb="32" eb="34">
      <t>サイショ</t>
    </rPh>
    <rPh sb="43" eb="44">
      <t>テン</t>
    </rPh>
    <rPh sb="50" eb="51">
      <t>アタ</t>
    </rPh>
    <phoneticPr fontId="1"/>
  </si>
  <si>
    <t>このクリーチャーが戦場に出たとき、これは探検1を行う。</t>
    <rPh sb="20" eb="22">
      <t>タンケン</t>
    </rPh>
    <rPh sb="24" eb="25">
      <t>オコナ</t>
    </rPh>
    <phoneticPr fontId="1"/>
  </si>
  <si>
    <t>このクリーチャーが戦場に出ている間、あなたの手札の恐竜のマナ・コストは2少なくなる。</t>
    <rPh sb="9" eb="11">
      <t>センジョウ</t>
    </rPh>
    <rPh sb="12" eb="13">
      <t>デ</t>
    </rPh>
    <rPh sb="16" eb="17">
      <t>アイダ</t>
    </rPh>
    <rPh sb="22" eb="24">
      <t>テフダ</t>
    </rPh>
    <rPh sb="25" eb="27">
      <t>キョウリュウ</t>
    </rPh>
    <rPh sb="36" eb="37">
      <t>スク</t>
    </rPh>
    <phoneticPr fontId="1"/>
  </si>
  <si>
    <t>ジェム1個を起動する：ターン終了時まで、あなたの恐竜は速攻を得る。</t>
    <rPh sb="4" eb="5">
      <t>コ</t>
    </rPh>
    <rPh sb="6" eb="8">
      <t>キドウ</t>
    </rPh>
    <rPh sb="14" eb="17">
      <t>シュウリョウジ</t>
    </rPh>
    <rPh sb="24" eb="26">
      <t>キョウリュウ</t>
    </rPh>
    <rPh sb="27" eb="29">
      <t>ソッコウ</t>
    </rPh>
    <rPh sb="30" eb="31">
      <t>エ</t>
    </rPh>
    <phoneticPr fontId="1"/>
  </si>
  <si>
    <t>ジェム2個を起動する：あなたのデッキに共通のタイプを持つクリーチャーが3体以上入っている場合、ジェム3個をあなたのプレインズウォーカーの色に変換する。</t>
    <rPh sb="4" eb="5">
      <t>コ</t>
    </rPh>
    <rPh sb="6" eb="8">
      <t>キドウ</t>
    </rPh>
    <rPh sb="19" eb="21">
      <t>キョウツウ</t>
    </rPh>
    <rPh sb="26" eb="27">
      <t>モ</t>
    </rPh>
    <rPh sb="36" eb="37">
      <t>タイ</t>
    </rPh>
    <rPh sb="37" eb="39">
      <t>イジョウ</t>
    </rPh>
    <rPh sb="39" eb="40">
      <t>ハイ</t>
    </rPh>
    <rPh sb="44" eb="46">
      <t>バアイ</t>
    </rPh>
    <rPh sb="51" eb="52">
      <t>コ</t>
    </rPh>
    <rPh sb="68" eb="69">
      <t>イロ</t>
    </rPh>
    <rPh sb="70" eb="72">
      <t>ヘンカン</t>
    </rPh>
    <phoneticPr fontId="1"/>
  </si>
  <si>
    <t>このサポートがボード上にある間、あなたの最初のクリーチャーは+2/+0の修正を受けるとともに「このクリーチャーが戦闘ダメージを与えるたび、宝物を1つ見つける」を得る。</t>
    <rPh sb="10" eb="11">
      <t>ジョウ</t>
    </rPh>
    <rPh sb="14" eb="15">
      <t>アイダ</t>
    </rPh>
    <rPh sb="20" eb="22">
      <t>サイショ</t>
    </rPh>
    <rPh sb="36" eb="38">
      <t>シュウセイ</t>
    </rPh>
    <rPh sb="39" eb="40">
      <t>ウ</t>
    </rPh>
    <rPh sb="56" eb="58">
      <t>セントウ</t>
    </rPh>
    <rPh sb="63" eb="64">
      <t>アタ</t>
    </rPh>
    <rPh sb="69" eb="71">
      <t>タカラモノ</t>
    </rPh>
    <rPh sb="74" eb="75">
      <t>ミ</t>
    </rPh>
    <rPh sb="80" eb="81">
      <t>エ</t>
    </rPh>
    <phoneticPr fontId="1"/>
  </si>
  <si>
    <t>絆魂を持つ1/1の白の吸血鬼・クリーチャー・トークンを2体生成する。</t>
    <rPh sb="0" eb="2">
      <t>キズナタマシイ</t>
    </rPh>
    <rPh sb="28" eb="31">
      <t>タイセイセイ</t>
    </rPh>
    <phoneticPr fontId="1"/>
  </si>
  <si>
    <t>このクリーチャーが戦場に出たとき、これは他の各クリーチャーにそれぞれ1点のダメージを与える。</t>
    <rPh sb="9" eb="11">
      <t>センジョウ</t>
    </rPh>
    <rPh sb="12" eb="13">
      <t>デ</t>
    </rPh>
    <rPh sb="20" eb="21">
      <t>タ</t>
    </rPh>
    <rPh sb="22" eb="23">
      <t>カク</t>
    </rPh>
    <rPh sb="35" eb="36">
      <t>テン</t>
    </rPh>
    <rPh sb="42" eb="43">
      <t>アタ</t>
    </rPh>
    <phoneticPr fontId="1"/>
  </si>
  <si>
    <t>対戦相手がカードを捨てるたび、そのプレイヤーは3点のライフを失う。</t>
    <rPh sb="0" eb="2">
      <t>タイセン</t>
    </rPh>
    <rPh sb="2" eb="4">
      <t>アイテ</t>
    </rPh>
    <rPh sb="9" eb="10">
      <t>ス</t>
    </rPh>
    <rPh sb="24" eb="25">
      <t>テン</t>
    </rPh>
    <rPh sb="30" eb="31">
      <t>ウシナ</t>
    </rPh>
    <phoneticPr fontId="1"/>
  </si>
  <si>
    <t>あなたのターン終了時に、あなたが強襲していた場合、対戦相手はカードを1枚捨てる。</t>
    <rPh sb="7" eb="10">
      <t>シュウリョウジ</t>
    </rPh>
    <rPh sb="16" eb="18">
      <t>キョウシュウ</t>
    </rPh>
    <rPh sb="22" eb="24">
      <t>バアイ</t>
    </rPh>
    <rPh sb="25" eb="27">
      <t>タイセン</t>
    </rPh>
    <rPh sb="27" eb="29">
      <t>アイテ</t>
    </rPh>
    <rPh sb="35" eb="36">
      <t>マイ</t>
    </rPh>
    <rPh sb="36" eb="37">
      <t>ス</t>
    </rPh>
    <phoneticPr fontId="1"/>
  </si>
  <si>
    <t>激昂：ジェム2個をあなたのプレインズウォーカーの色に変換する。</t>
    <rPh sb="0" eb="2">
      <t>ゲキコウ</t>
    </rPh>
    <rPh sb="7" eb="8">
      <t>コ</t>
    </rPh>
    <rPh sb="24" eb="25">
      <t>イロ</t>
    </rPh>
    <rPh sb="26" eb="28">
      <t>ヘンカン</t>
    </rPh>
    <phoneticPr fontId="1"/>
  </si>
  <si>
    <t>激昂：トランプルを持つ3/3の緑の恐竜・クリーチャー・トークンを1体生成する。</t>
    <rPh sb="0" eb="2">
      <t>ゲキコウ</t>
    </rPh>
    <rPh sb="9" eb="10">
      <t>モ</t>
    </rPh>
    <rPh sb="15" eb="16">
      <t>ミドリ</t>
    </rPh>
    <rPh sb="17" eb="19">
      <t>キョウリュウ</t>
    </rPh>
    <rPh sb="33" eb="36">
      <t>タイセイセイ</t>
    </rPh>
    <phoneticPr fontId="1"/>
  </si>
  <si>
    <t>このクリーチャーが戦場に出たとき、あなたが強襲していた場合、これは+2/+2の修正を受ける。</t>
    <rPh sb="9" eb="11">
      <t>センジョウ</t>
    </rPh>
    <rPh sb="12" eb="13">
      <t>デ</t>
    </rPh>
    <rPh sb="21" eb="23">
      <t>キョウシュウ</t>
    </rPh>
    <rPh sb="27" eb="29">
      <t>バアイ</t>
    </rPh>
    <rPh sb="39" eb="41">
      <t>シュウセイ</t>
    </rPh>
    <rPh sb="42" eb="43">
      <t>ウ</t>
    </rPh>
    <phoneticPr fontId="1"/>
  </si>
  <si>
    <t>クリーチャー1体を対象とする。それは+1/+1の修正を受ける。あなたがコントロールする最初のマーフォークは+1/+1の修正を受ける。</t>
    <rPh sb="7" eb="8">
      <t>タイ</t>
    </rPh>
    <rPh sb="9" eb="11">
      <t>タイショウ</t>
    </rPh>
    <rPh sb="24" eb="26">
      <t>シュウセイ</t>
    </rPh>
    <rPh sb="27" eb="28">
      <t>ウ</t>
    </rPh>
    <rPh sb="43" eb="45">
      <t>サイショ</t>
    </rPh>
    <rPh sb="59" eb="61">
      <t>シュウセイ</t>
    </rPh>
    <rPh sb="62" eb="63">
      <t>ウ</t>
    </rPh>
    <phoneticPr fontId="1"/>
  </si>
  <si>
    <t>マーフォークが1体あなたのコントロール下で戦場に出るたび、ターン終了時まで、このクリーチャーは+1/+1の修正を受ける。</t>
    <rPh sb="8" eb="9">
      <t>タイ</t>
    </rPh>
    <rPh sb="19" eb="20">
      <t>カ</t>
    </rPh>
    <rPh sb="21" eb="23">
      <t>センジョウ</t>
    </rPh>
    <rPh sb="24" eb="25">
      <t>デ</t>
    </rPh>
    <rPh sb="32" eb="35">
      <t>シュウリョウジ</t>
    </rPh>
    <rPh sb="53" eb="55">
      <t>シュウセイ</t>
    </rPh>
    <rPh sb="56" eb="57">
      <t>ウ</t>
    </rPh>
    <phoneticPr fontId="1"/>
  </si>
  <si>
    <t>ジェム1個を起動する：あなたがコントロールする他の最初のクリーチャーを破壊し、あなたは宝物を2つ見つける。</t>
    <rPh sb="4" eb="5">
      <t>コ</t>
    </rPh>
    <rPh sb="6" eb="8">
      <t>キドウ</t>
    </rPh>
    <rPh sb="23" eb="24">
      <t>タ</t>
    </rPh>
    <rPh sb="25" eb="27">
      <t>サイショ</t>
    </rPh>
    <rPh sb="35" eb="37">
      <t>ハカイ</t>
    </rPh>
    <rPh sb="43" eb="45">
      <t>タカラモノ</t>
    </rPh>
    <rPh sb="48" eb="49">
      <t>ミ</t>
    </rPh>
    <phoneticPr fontId="1"/>
  </si>
  <si>
    <t>あなたのターン終了時に、あなたが宝物を3つ以上コントロールしている場合、カードを1枚引く。</t>
    <rPh sb="7" eb="10">
      <t>シュウリョウジ</t>
    </rPh>
    <rPh sb="16" eb="18">
      <t>タカラモノ</t>
    </rPh>
    <rPh sb="21" eb="23">
      <t>イジョウ</t>
    </rPh>
    <rPh sb="33" eb="35">
      <t>バアイ</t>
    </rPh>
    <rPh sb="41" eb="42">
      <t>マイ</t>
    </rPh>
    <rPh sb="42" eb="43">
      <t>ヒ</t>
    </rPh>
    <phoneticPr fontId="1"/>
  </si>
  <si>
    <t>あなたが恐竜をコントロールしている間、この呪文のマナ・コストは2少なくなる。</t>
    <rPh sb="4" eb="6">
      <t>キョウリュウ</t>
    </rPh>
    <rPh sb="17" eb="18">
      <t>アイダ</t>
    </rPh>
    <rPh sb="21" eb="23">
      <t>ジュモン</t>
    </rPh>
    <rPh sb="32" eb="33">
      <t>スク</t>
    </rPh>
    <phoneticPr fontId="1"/>
  </si>
  <si>
    <t>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t>
    <rPh sb="12" eb="14">
      <t>サイショ</t>
    </rPh>
    <rPh sb="28" eb="30">
      <t>シュウセイ</t>
    </rPh>
    <rPh sb="31" eb="32">
      <t>ウ</t>
    </rPh>
    <rPh sb="41" eb="42">
      <t>ヒト</t>
    </rPh>
    <rPh sb="44" eb="46">
      <t>テンスウ</t>
    </rPh>
    <rPh sb="52" eb="56">
      <t>タイセンアイテ</t>
    </rPh>
    <rPh sb="65" eb="67">
      <t>サイショ</t>
    </rPh>
    <rPh sb="75" eb="76">
      <t>アタ</t>
    </rPh>
    <rPh sb="80" eb="81">
      <t>ゴ</t>
    </rPh>
    <rPh sb="97" eb="98">
      <t>ヒト</t>
    </rPh>
    <rPh sb="100" eb="102">
      <t>テンスウ</t>
    </rPh>
    <rPh sb="121" eb="122">
      <t>アタ</t>
    </rPh>
    <phoneticPr fontId="1"/>
  </si>
  <si>
    <t>ジェム2個を起動する：カードを1枚引き、その後このサポートは1シールドを失う。</t>
    <rPh sb="4" eb="5">
      <t>コ</t>
    </rPh>
    <rPh sb="6" eb="8">
      <t>キドウ</t>
    </rPh>
    <rPh sb="16" eb="18">
      <t>マイヒ</t>
    </rPh>
    <rPh sb="22" eb="23">
      <t>ゴ</t>
    </rPh>
    <rPh sb="36" eb="37">
      <t>ウシナ</t>
    </rPh>
    <phoneticPr fontId="1"/>
  </si>
  <si>
    <t>歩哨のトーテム像が破壊されたとき、すべての墓地からすべてのカードを追放する。</t>
    <rPh sb="0" eb="2">
      <t>ホショウ</t>
    </rPh>
    <rPh sb="7" eb="8">
      <t>ゾウ</t>
    </rPh>
    <rPh sb="9" eb="11">
      <t>ハカイ</t>
    </rPh>
    <rPh sb="21" eb="23">
      <t>ボチ</t>
    </rPh>
    <rPh sb="33" eb="35">
      <t>ツイホウ</t>
    </rPh>
    <phoneticPr fontId="1"/>
  </si>
  <si>
    <t>このサポートが戦場に出ている間、あなたがコントロールするクリーチャーは「対戦相手がこのクリーチャーに呪文を唱えるたび、カードを1枚引き、形成師の聖域は1シールドを失う」を持つ。</t>
    <rPh sb="7" eb="9">
      <t>センジョウ</t>
    </rPh>
    <rPh sb="10" eb="11">
      <t>デ</t>
    </rPh>
    <rPh sb="14" eb="15">
      <t>アイダ</t>
    </rPh>
    <rPh sb="36" eb="38">
      <t>タイセン</t>
    </rPh>
    <rPh sb="38" eb="40">
      <t>アイテ</t>
    </rPh>
    <rPh sb="50" eb="52">
      <t>ジュモン</t>
    </rPh>
    <rPh sb="53" eb="54">
      <t>トナ</t>
    </rPh>
    <rPh sb="64" eb="65">
      <t>マイ</t>
    </rPh>
    <rPh sb="65" eb="66">
      <t>ヒ</t>
    </rPh>
    <rPh sb="68" eb="70">
      <t>ケイセイ</t>
    </rPh>
    <rPh sb="70" eb="71">
      <t>シ</t>
    </rPh>
    <rPh sb="72" eb="74">
      <t>セイイキ</t>
    </rPh>
    <rPh sb="81" eb="82">
      <t>ウシナ</t>
    </rPh>
    <rPh sb="85" eb="86">
      <t>モ</t>
    </rPh>
    <phoneticPr fontId="1"/>
  </si>
  <si>
    <t>クリーチャー1体を対象とする。あなたの次のターン開始時まで、それはダメージ軽減を得る。</t>
    <rPh sb="7" eb="8">
      <t>タイ</t>
    </rPh>
    <rPh sb="9" eb="11">
      <t>タイショウ</t>
    </rPh>
    <rPh sb="19" eb="20">
      <t>ツギ</t>
    </rPh>
    <rPh sb="24" eb="26">
      <t>カイシ</t>
    </rPh>
    <rPh sb="26" eb="27">
      <t>ジ</t>
    </rPh>
    <rPh sb="37" eb="39">
      <t>ケイゲン</t>
    </rPh>
    <rPh sb="40" eb="41">
      <t>エ</t>
    </rPh>
    <phoneticPr fontId="1"/>
  </si>
  <si>
    <t>あなたのライブラリーの次の2枚のうち1枚を選ぶ。そのカードを取ってきて、他を破壊する。</t>
    <rPh sb="11" eb="12">
      <t>ツギ</t>
    </rPh>
    <rPh sb="14" eb="15">
      <t>マイ</t>
    </rPh>
    <rPh sb="19" eb="20">
      <t>マイ</t>
    </rPh>
    <rPh sb="21" eb="22">
      <t>エラ</t>
    </rPh>
    <rPh sb="30" eb="31">
      <t>ト</t>
    </rPh>
    <rPh sb="36" eb="37">
      <t>ホカ</t>
    </rPh>
    <rPh sb="38" eb="40">
      <t>ハカイ</t>
    </rPh>
    <phoneticPr fontId="1"/>
  </si>
  <si>
    <t>このクリーチャーが死亡した時、青ジェムが6個以上ある場合、カードを3枚引く。</t>
    <rPh sb="9" eb="11">
      <t>シボウ</t>
    </rPh>
    <rPh sb="13" eb="14">
      <t>トキ</t>
    </rPh>
    <rPh sb="15" eb="16">
      <t>アオ</t>
    </rPh>
    <rPh sb="21" eb="22">
      <t>コ</t>
    </rPh>
    <rPh sb="22" eb="24">
      <t>イジョウ</t>
    </rPh>
    <rPh sb="26" eb="28">
      <t>バアイ</t>
    </rPh>
    <rPh sb="34" eb="36">
      <t>マイヒ</t>
    </rPh>
    <phoneticPr fontId="1"/>
  </si>
  <si>
    <t>このクリーチャーが戦場に出たとき、ターン終了時まで、対戦相手のクリーチャーを無効化する。</t>
    <rPh sb="9" eb="11">
      <t>センジョウ</t>
    </rPh>
    <rPh sb="12" eb="13">
      <t>デ</t>
    </rPh>
    <rPh sb="20" eb="23">
      <t>シュウリョウジ</t>
    </rPh>
    <rPh sb="26" eb="30">
      <t>タイセンアイテ</t>
    </rPh>
    <rPh sb="38" eb="41">
      <t>ムコウカ</t>
    </rPh>
    <phoneticPr fontId="1"/>
  </si>
  <si>
    <t>Activate 2: Deal 1 damage to your opponent's planeswalker for each Pirate you control.</t>
  </si>
  <si>
    <t>Whenever a Pirate enters the battlefield under your control, reduce this spell's mana cost by 3.Drain 8 mana from the first card in your opponent’s hand.</t>
  </si>
  <si>
    <t>While this support is on the board, creatures you control have “Whenever an opponent casts a spell on this creature, draw a card and Shapers' Sanctuary loses 1 shield.”</t>
  </si>
  <si>
    <t>When this creature enters the battlefield, your opponent's creatures are disabled until end of turn.</t>
  </si>
  <si>
    <t>At the beginning of your turn, convert 2 gems to your opponent's planeswalker colors.When this support is destroyed, destroy a Land your opponent controls, convert 3 gems to your planeswalker colors, then convert 3 gems to your opponent planeswalker colors.</t>
  </si>
  <si>
    <t>Return the first creature your opponent controls to its owner's hand. If the creature cost was 10 or less, draw a card.</t>
  </si>
  <si>
    <t>At the beginning of your turn, convert 2 gems of your opponent's planeswalker colors to gems of other colors.</t>
  </si>
  <si>
    <t>When this creature enters the battlefield or attacks, exile the top card from your opponent's graveyard. If the exiled card is a creature, you gain 2 life. If it’s a spell or support, this creature gets +1/+1.</t>
  </si>
  <si>
    <t>When this support enters the board, exile target creature. While this support is on the board, increase the cost of creatures in your opponent's hand by 2. When this support is destroyed, your opponent draws a card.</t>
  </si>
  <si>
    <t>Activate 3 Blue: This creature gains &amp;#8220;When this creature dies, drain all the mana from the first spell in your opponent's hand.&amp;#8221; until the start of your turn.</t>
  </si>
  <si>
    <t>While you have another Merfolk in the battlefield, your opponent's spells cost 5 more mana.</t>
  </si>
  <si>
    <t>While this support is in play, your opponent's planeswalker can't activate Loyalty abilities.At the end of your opponent's turn, this support loses 1 shield.</t>
  </si>
  <si>
    <t>At the beginning of your turn, draw a card. At the end of your turn, discard your last card.At the beginning of your opponent's turn, if you cast 3 or more cards last turn, transform this support.</t>
  </si>
  <si>
    <t>Activate 1: Destroy your opponent's last creature. You lose 5 life.</t>
  </si>
  <si>
    <t>あなたがコントロールする他の恐竜は+1/+1の修正を受ける。</t>
    <rPh sb="12" eb="13">
      <t>タ</t>
    </rPh>
    <rPh sb="14" eb="16">
      <t>キョウリュウ</t>
    </rPh>
    <rPh sb="23" eb="25">
      <t>シュウセイ</t>
    </rPh>
    <rPh sb="26" eb="27">
      <t>ウ</t>
    </rPh>
    <phoneticPr fontId="1"/>
  </si>
  <si>
    <t>ジェム1個を起動する：トランプルを持つ3/3の緑の恐竜・クリーチャー・トークンを1体生成する。</t>
    <rPh sb="4" eb="5">
      <t>コ</t>
    </rPh>
    <rPh sb="6" eb="8">
      <t>キドウ</t>
    </rPh>
    <rPh sb="17" eb="18">
      <t>モ</t>
    </rPh>
    <rPh sb="23" eb="24">
      <t>ミドリ</t>
    </rPh>
    <rPh sb="25" eb="27">
      <t>キョウリュウ</t>
    </rPh>
    <rPh sb="41" eb="44">
      <t>タイセイセイ</t>
    </rPh>
    <phoneticPr fontId="1"/>
  </si>
  <si>
    <t>このサポートがボード上にある間、対戦相手がコントロールする最初のクリーチャーはブロックされないを持つ。</t>
    <rPh sb="10" eb="11">
      <t>ジョウ</t>
    </rPh>
    <rPh sb="14" eb="15">
      <t>アイダ</t>
    </rPh>
    <rPh sb="16" eb="18">
      <t>タイセン</t>
    </rPh>
    <rPh sb="18" eb="20">
      <t>アイテ</t>
    </rPh>
    <rPh sb="29" eb="31">
      <t>サイショ</t>
    </rPh>
    <rPh sb="48" eb="49">
      <t>モ</t>
    </rPh>
    <phoneticPr fontId="1"/>
  </si>
  <si>
    <t>あなたのターン終了時に、宝物を1つ見つける。</t>
    <rPh sb="7" eb="10">
      <t>シュウリョウジ</t>
    </rPh>
    <rPh sb="12" eb="14">
      <t>タカラモノ</t>
    </rPh>
    <rPh sb="17" eb="18">
      <t>ミ</t>
    </rPh>
    <phoneticPr fontId="1"/>
  </si>
  <si>
    <t>ターン終了時まで、あなたがコントロールする最初のクリーチャーは+2/+2の修正を受ける。それが吸血鬼である場合、ターン終了時まで、それは先制攻撃を得る。</t>
    <rPh sb="3" eb="6">
      <t>シュウリョウジ</t>
    </rPh>
    <rPh sb="21" eb="23">
      <t>サイショ</t>
    </rPh>
    <rPh sb="37" eb="39">
      <t>シュウセイ</t>
    </rPh>
    <rPh sb="40" eb="41">
      <t>ウ</t>
    </rPh>
    <rPh sb="47" eb="50">
      <t>キュウケツキ</t>
    </rPh>
    <rPh sb="53" eb="55">
      <t>バアイ</t>
    </rPh>
    <rPh sb="59" eb="62">
      <t>シュウリョウジ</t>
    </rPh>
    <rPh sb="68" eb="70">
      <t>センセイ</t>
    </rPh>
    <rPh sb="70" eb="72">
      <t>コウゲキ</t>
    </rPh>
    <rPh sb="73" eb="74">
      <t>エ</t>
    </rPh>
    <phoneticPr fontId="1"/>
  </si>
  <si>
    <t>このクリーチャーが攻撃するたび、対戦相手は2点のライフを失う。このクリーチャーが少なくとも2回強化されている場合、代わりに対戦相手は4点のライフを失う。</t>
    <rPh sb="9" eb="11">
      <t>コウゲキ</t>
    </rPh>
    <rPh sb="16" eb="18">
      <t>タイセン</t>
    </rPh>
    <rPh sb="18" eb="20">
      <t>アイテ</t>
    </rPh>
    <rPh sb="22" eb="23">
      <t>テン</t>
    </rPh>
    <rPh sb="28" eb="29">
      <t>ウシナ</t>
    </rPh>
    <rPh sb="40" eb="41">
      <t>スク</t>
    </rPh>
    <rPh sb="46" eb="47">
      <t>カイ</t>
    </rPh>
    <rPh sb="47" eb="49">
      <t>キョウカ</t>
    </rPh>
    <rPh sb="54" eb="56">
      <t>バアイ</t>
    </rPh>
    <rPh sb="57" eb="58">
      <t>カ</t>
    </rPh>
    <rPh sb="61" eb="63">
      <t>タイセン</t>
    </rPh>
    <rPh sb="63" eb="65">
      <t>アイテ</t>
    </rPh>
    <rPh sb="67" eb="68">
      <t>テン</t>
    </rPh>
    <rPh sb="73" eb="74">
      <t>ウシナ</t>
    </rPh>
    <phoneticPr fontId="1"/>
  </si>
  <si>
    <t>このクリーチャーが戦場に出たとき、戦場に出ているあなたがコントロールしている最初と2番目のマーフォークは+1/+1の修正を受ける。</t>
    <rPh sb="9" eb="11">
      <t>センジョウ</t>
    </rPh>
    <rPh sb="12" eb="13">
      <t>デ</t>
    </rPh>
    <rPh sb="17" eb="19">
      <t>センジョウ</t>
    </rPh>
    <rPh sb="20" eb="21">
      <t>デ</t>
    </rPh>
    <rPh sb="38" eb="40">
      <t>サイショ</t>
    </rPh>
    <rPh sb="42" eb="44">
      <t>バンメ</t>
    </rPh>
    <rPh sb="58" eb="60">
      <t>シュウセイ</t>
    </rPh>
    <rPh sb="61" eb="62">
      <t>ウ</t>
    </rPh>
    <phoneticPr fontId="1"/>
  </si>
  <si>
    <t>マーフォークでないクリーチャー1体を対象とし、それを破壊する。</t>
    <rPh sb="16" eb="17">
      <t>タイ</t>
    </rPh>
    <rPh sb="18" eb="20">
      <t>タイショウ</t>
    </rPh>
    <rPh sb="26" eb="28">
      <t>ハカイ</t>
    </rPh>
    <phoneticPr fontId="1"/>
  </si>
  <si>
    <t>このクリーチャーが戦場に出たとき、宝物を1つ見つける。</t>
    <rPh sb="17" eb="19">
      <t>タカラモノ</t>
    </rPh>
    <rPh sb="22" eb="23">
      <t>ミ</t>
    </rPh>
    <phoneticPr fontId="1"/>
  </si>
  <si>
    <t>クリーチャー1体を対象とし、それを破壊する。宝物を2つ見つける。</t>
    <rPh sb="7" eb="8">
      <t>タイ</t>
    </rPh>
    <rPh sb="9" eb="11">
      <t>タイショウ</t>
    </rPh>
    <rPh sb="17" eb="19">
      <t>ハカイ</t>
    </rPh>
    <rPh sb="22" eb="24">
      <t>タカラモノ</t>
    </rPh>
    <rPh sb="27" eb="28">
      <t>ミ</t>
    </rPh>
    <phoneticPr fontId="1"/>
  </si>
  <si>
    <t>あなたがコントロールする最後のクリーチャーを破壊し、カードを2枚引く。</t>
    <rPh sb="12" eb="14">
      <t>サイゴ</t>
    </rPh>
    <rPh sb="22" eb="24">
      <t>ハカイ</t>
    </rPh>
    <rPh sb="31" eb="32">
      <t>マイ</t>
    </rPh>
    <rPh sb="32" eb="33">
      <t>ヒ</t>
    </rPh>
    <phoneticPr fontId="1"/>
  </si>
  <si>
    <t>クリーチャー1体を対象とする。ターン終了時まで、それは+3/+3の修正を受けるとともにトランプを得る。</t>
    <rPh sb="7" eb="8">
      <t>タイ</t>
    </rPh>
    <rPh sb="9" eb="11">
      <t>タイショウ</t>
    </rPh>
    <rPh sb="18" eb="21">
      <t>シュウリョウジ</t>
    </rPh>
    <rPh sb="33" eb="35">
      <t>シュウセイ</t>
    </rPh>
    <rPh sb="36" eb="37">
      <t>ウ</t>
    </rPh>
    <rPh sb="48" eb="49">
      <t>エ</t>
    </rPh>
    <phoneticPr fontId="1"/>
  </si>
  <si>
    <t>対戦相手の土地出ないサポートを1つ破壊する。</t>
    <rPh sb="0" eb="2">
      <t>タイセン</t>
    </rPh>
    <rPh sb="2" eb="4">
      <t>アイテ</t>
    </rPh>
    <rPh sb="5" eb="8">
      <t>トチデ</t>
    </rPh>
    <rPh sb="17" eb="19">
      <t>ハカイ</t>
    </rPh>
    <phoneticPr fontId="1"/>
  </si>
  <si>
    <t>クリーチャー1体を対象とし、それをオーナーの手札に戻し、宝物を1つ見つける。</t>
    <rPh sb="7" eb="8">
      <t>タイ</t>
    </rPh>
    <rPh sb="9" eb="11">
      <t>タイショウ</t>
    </rPh>
    <rPh sb="22" eb="24">
      <t>テフダ</t>
    </rPh>
    <rPh sb="25" eb="26">
      <t>モド</t>
    </rPh>
    <rPh sb="28" eb="30">
      <t>タカラモノ</t>
    </rPh>
    <rPh sb="33" eb="34">
      <t>ミ</t>
    </rPh>
    <phoneticPr fontId="1"/>
  </si>
  <si>
    <t>あなたがコントロールするクリーチャー1体を対象とする。あなたの次のターン開始時まで、それは呪禁を得るとともに+0/+3の修正を受ける。</t>
    <rPh sb="19" eb="20">
      <t>タイ</t>
    </rPh>
    <rPh sb="21" eb="23">
      <t>タイショウ</t>
    </rPh>
    <rPh sb="31" eb="32">
      <t>ツギ</t>
    </rPh>
    <rPh sb="36" eb="38">
      <t>カイシ</t>
    </rPh>
    <rPh sb="38" eb="39">
      <t>ジ</t>
    </rPh>
    <rPh sb="45" eb="47">
      <t>ジュキン</t>
    </rPh>
    <rPh sb="48" eb="49">
      <t>エ</t>
    </rPh>
    <rPh sb="60" eb="62">
      <t>シュウセイ</t>
    </rPh>
    <rPh sb="63" eb="64">
      <t>ウ</t>
    </rPh>
    <phoneticPr fontId="1"/>
  </si>
  <si>
    <t>クリーチャー1体を対象とする。ターン終了時まで、それは+5/+5の修正を受けるとともにバーサーカーを得る。</t>
    <rPh sb="7" eb="8">
      <t>タイ</t>
    </rPh>
    <rPh sb="9" eb="11">
      <t>タイショウ</t>
    </rPh>
    <rPh sb="18" eb="21">
      <t>シュウリョウジ</t>
    </rPh>
    <rPh sb="33" eb="35">
      <t>シュウセイ</t>
    </rPh>
    <rPh sb="36" eb="37">
      <t>ウ</t>
    </rPh>
    <rPh sb="50" eb="51">
      <t>エ</t>
    </rPh>
    <phoneticPr fontId="1"/>
  </si>
  <si>
    <t>あなたのターン開始時に、ジェム2個を対戦相手のプレインズウォーカーの色に変換する。</t>
    <rPh sb="7" eb="9">
      <t>カイシ</t>
    </rPh>
    <rPh sb="9" eb="10">
      <t>ジ</t>
    </rPh>
    <rPh sb="16" eb="17">
      <t>コ</t>
    </rPh>
    <rPh sb="18" eb="20">
      <t>タイセン</t>
    </rPh>
    <rPh sb="20" eb="22">
      <t>アイテ</t>
    </rPh>
    <rPh sb="34" eb="35">
      <t>イロ</t>
    </rPh>
    <rPh sb="36" eb="38">
      <t>ヘンカン</t>
    </rPh>
    <phoneticPr fontId="1"/>
  </si>
  <si>
    <t>このサポートが破壊されたとき、対戦相手がコントロールする土地を1つ破壊し、ジェム3個をあなたのプレインズウォーカーの色に変換し、その後ジェム3個を対戦相手のプレインズウォーカーの色に変換する。</t>
    <rPh sb="7" eb="9">
      <t>ハカイ</t>
    </rPh>
    <rPh sb="15" eb="17">
      <t>タイセン</t>
    </rPh>
    <rPh sb="17" eb="19">
      <t>アイテ</t>
    </rPh>
    <rPh sb="28" eb="30">
      <t>トチ</t>
    </rPh>
    <rPh sb="33" eb="35">
      <t>ハカイ</t>
    </rPh>
    <rPh sb="41" eb="42">
      <t>コ</t>
    </rPh>
    <rPh sb="58" eb="59">
      <t>イロ</t>
    </rPh>
    <rPh sb="60" eb="62">
      <t>ヘンカン</t>
    </rPh>
    <rPh sb="66" eb="67">
      <t>ゴ</t>
    </rPh>
    <rPh sb="71" eb="72">
      <t>コ</t>
    </rPh>
    <rPh sb="73" eb="75">
      <t>タイセン</t>
    </rPh>
    <rPh sb="75" eb="77">
      <t>アイテ</t>
    </rPh>
    <rPh sb="89" eb="90">
      <t>イロ</t>
    </rPh>
    <rPh sb="91" eb="93">
      <t>ヘンカン</t>
    </rPh>
    <phoneticPr fontId="1"/>
  </si>
  <si>
    <t>クリーチャー1体を対象とし、それに3点のダメージを与える。あなたが強襲していた場合、代わりに6点のダメージを与える。</t>
    <rPh sb="7" eb="8">
      <t>タイ</t>
    </rPh>
    <rPh sb="9" eb="11">
      <t>タイショウ</t>
    </rPh>
    <rPh sb="18" eb="19">
      <t>テン</t>
    </rPh>
    <rPh sb="25" eb="26">
      <t>アタ</t>
    </rPh>
    <rPh sb="33" eb="35">
      <t>キョウシュウ</t>
    </rPh>
    <rPh sb="39" eb="41">
      <t>バアイ</t>
    </rPh>
    <rPh sb="42" eb="43">
      <t>カ</t>
    </rPh>
    <rPh sb="47" eb="48">
      <t>テン</t>
    </rPh>
    <rPh sb="54" eb="55">
      <t>アタ</t>
    </rPh>
    <phoneticPr fontId="1"/>
  </si>
  <si>
    <t>対戦相手はカードを2枚捨てる。あなたが強襲していた場合、宝物を1つ見つける。</t>
    <rPh sb="0" eb="2">
      <t>タイセン</t>
    </rPh>
    <rPh sb="2" eb="4">
      <t>アイテ</t>
    </rPh>
    <rPh sb="10" eb="11">
      <t>マイ</t>
    </rPh>
    <rPh sb="11" eb="12">
      <t>ス</t>
    </rPh>
    <rPh sb="28" eb="30">
      <t>タカラモノ</t>
    </rPh>
    <rPh sb="33" eb="34">
      <t>ミ</t>
    </rPh>
    <phoneticPr fontId="1"/>
  </si>
  <si>
    <t>このサポートがボード上に出たとき、対戦相手1人を対象とする。そのプレイヤーは2点のライフを失いあなたは2点のライフを得る。</t>
    <rPh sb="17" eb="19">
      <t>タイセン</t>
    </rPh>
    <rPh sb="19" eb="21">
      <t>アイテ</t>
    </rPh>
    <rPh sb="22" eb="23">
      <t>ニン</t>
    </rPh>
    <rPh sb="24" eb="26">
      <t>タイショウ</t>
    </rPh>
    <rPh sb="39" eb="40">
      <t>テン</t>
    </rPh>
    <rPh sb="45" eb="46">
      <t>ウシナ</t>
    </rPh>
    <rPh sb="52" eb="53">
      <t>テン</t>
    </rPh>
    <rPh sb="58" eb="59">
      <t>エ</t>
    </rPh>
    <phoneticPr fontId="1"/>
  </si>
  <si>
    <t>ジェム1個を起動する：色ジェム3個を忠誠ジェムに変換する。</t>
    <rPh sb="4" eb="5">
      <t>コ</t>
    </rPh>
    <rPh sb="6" eb="8">
      <t>キドウ</t>
    </rPh>
    <rPh sb="11" eb="12">
      <t>イロ</t>
    </rPh>
    <rPh sb="16" eb="17">
      <t>コ</t>
    </rPh>
    <rPh sb="18" eb="20">
      <t>チュウセイ</t>
    </rPh>
    <rPh sb="24" eb="26">
      <t>ヘンカン</t>
    </rPh>
    <phoneticPr fontId="1"/>
  </si>
  <si>
    <t>パワー6以上のクリーチャー1体を対象とし、それを破壊する。</t>
    <rPh sb="4" eb="6">
      <t>イジョウ</t>
    </rPh>
    <rPh sb="14" eb="15">
      <t>タイ</t>
    </rPh>
    <rPh sb="16" eb="18">
      <t>タイショウ</t>
    </rPh>
    <rPh sb="24" eb="26">
      <t>ハカイ</t>
    </rPh>
    <phoneticPr fontId="1"/>
  </si>
  <si>
    <t>このサポートがボード上にある間、あなたがコントロールする最初のクリーチャーは+1/+1の修正を受ける。</t>
    <rPh sb="10" eb="11">
      <t>ジョウ</t>
    </rPh>
    <rPh sb="14" eb="15">
      <t>アイダ</t>
    </rPh>
    <rPh sb="28" eb="30">
      <t>サイショ</t>
    </rPh>
    <rPh sb="44" eb="46">
      <t>シュウセイ</t>
    </rPh>
    <rPh sb="47" eb="48">
      <t>ウ</t>
    </rPh>
    <phoneticPr fontId="1"/>
  </si>
  <si>
    <t>あなたのターン開始時に、ジェム2個をあなたのプレインズウォーカーの色に変換する。</t>
    <rPh sb="7" eb="10">
      <t>カイシジ</t>
    </rPh>
    <rPh sb="16" eb="17">
      <t>コ</t>
    </rPh>
    <rPh sb="33" eb="34">
      <t>イロ</t>
    </rPh>
    <rPh sb="35" eb="37">
      <t>ヘンカン</t>
    </rPh>
    <phoneticPr fontId="1"/>
  </si>
  <si>
    <t>クリーチャー1体を対象とする。それは飛行を得るとともに+2/+2の修正を受ける。</t>
    <rPh sb="7" eb="8">
      <t>タイ</t>
    </rPh>
    <rPh sb="9" eb="11">
      <t>タイショウ</t>
    </rPh>
    <rPh sb="18" eb="20">
      <t>ヒコウ</t>
    </rPh>
    <rPh sb="21" eb="22">
      <t>エ</t>
    </rPh>
    <rPh sb="33" eb="35">
      <t>シュウセイ</t>
    </rPh>
    <rPh sb="36" eb="37">
      <t>ウ</t>
    </rPh>
    <phoneticPr fontId="1"/>
  </si>
  <si>
    <t>対戦相手がコントロールする最初のクリーチャーを1体オーナーの手札に戻す。そのクリーチャーのマナ・コストが10以下である場合、カードを1枚引く。</t>
    <rPh sb="0" eb="2">
      <t>タイセン</t>
    </rPh>
    <rPh sb="2" eb="4">
      <t>アイテ</t>
    </rPh>
    <rPh sb="13" eb="15">
      <t>サイショ</t>
    </rPh>
    <rPh sb="24" eb="25">
      <t>タイ</t>
    </rPh>
    <rPh sb="30" eb="32">
      <t>テフダ</t>
    </rPh>
    <rPh sb="33" eb="34">
      <t>モド</t>
    </rPh>
    <rPh sb="54" eb="56">
      <t>イカ</t>
    </rPh>
    <rPh sb="59" eb="61">
      <t>バアイ</t>
    </rPh>
    <rPh sb="67" eb="69">
      <t>マイヒ</t>
    </rPh>
    <phoneticPr fontId="1"/>
  </si>
  <si>
    <t>このサポートがボード上にある間、あなたの最初のクリーチャーは+2/+1の修正を受ける。</t>
    <rPh sb="10" eb="11">
      <t>ジョウ</t>
    </rPh>
    <rPh sb="14" eb="15">
      <t>アイダ</t>
    </rPh>
    <rPh sb="20" eb="22">
      <t>サイショ</t>
    </rPh>
    <rPh sb="36" eb="38">
      <t>シュウセイ</t>
    </rPh>
    <rPh sb="39" eb="40">
      <t>ウ</t>
    </rPh>
    <phoneticPr fontId="1"/>
  </si>
  <si>
    <t>トークンでない海賊があなたのコントロール下で戦場に出るたび、このサポートがあなたの手札にある場合、これのマナ・コストは2少なくなる。</t>
    <rPh sb="7" eb="9">
      <t>カイゾク</t>
    </rPh>
    <rPh sb="20" eb="21">
      <t>カ</t>
    </rPh>
    <rPh sb="22" eb="24">
      <t>センジョウ</t>
    </rPh>
    <rPh sb="25" eb="26">
      <t>デ</t>
    </rPh>
    <rPh sb="41" eb="43">
      <t>テフダ</t>
    </rPh>
    <rPh sb="46" eb="48">
      <t>バアイ</t>
    </rPh>
    <rPh sb="60" eb="61">
      <t>スク</t>
    </rPh>
    <phoneticPr fontId="1"/>
  </si>
  <si>
    <t>カードを2枚引き、宝物を1つ見つける。</t>
    <rPh sb="5" eb="6">
      <t>マイ</t>
    </rPh>
    <rPh sb="6" eb="7">
      <t>ヒ</t>
    </rPh>
    <rPh sb="9" eb="11">
      <t>タカラモノ</t>
    </rPh>
    <rPh sb="14" eb="15">
      <t>ミ</t>
    </rPh>
    <phoneticPr fontId="1"/>
  </si>
  <si>
    <t>あなたがコントロールするクリーチャー1体を対象とし、それに1点のダメージを与える。</t>
    <rPh sb="19" eb="20">
      <t>タイ</t>
    </rPh>
    <rPh sb="21" eb="23">
      <t>タイショウ</t>
    </rPh>
    <rPh sb="30" eb="31">
      <t>テン</t>
    </rPh>
    <rPh sb="37" eb="38">
      <t>アタ</t>
    </rPh>
    <phoneticPr fontId="1"/>
  </si>
  <si>
    <t>ターン終了時まで、そのクリーチャーはトランプルを得る。カードを1枚引く。</t>
    <rPh sb="3" eb="6">
      <t>シュウリョウジ</t>
    </rPh>
    <rPh sb="24" eb="25">
      <t>エ</t>
    </rPh>
    <rPh sb="32" eb="34">
      <t>マイヒ</t>
    </rPh>
    <phoneticPr fontId="1"/>
  </si>
  <si>
    <t>あなたは6点のライフを得る。</t>
    <rPh sb="5" eb="6">
      <t>テン</t>
    </rPh>
    <rPh sb="11" eb="12">
      <t>エ</t>
    </rPh>
    <phoneticPr fontId="1"/>
  </si>
  <si>
    <t>カードを1枚引く。</t>
    <rPh sb="5" eb="7">
      <t>マイヒ</t>
    </rPh>
    <phoneticPr fontId="1"/>
  </si>
  <si>
    <t>あなたがコントロールするクリーチャー1体を対象とし、それを追放する。その後それをオーナーのコントロール下で戦場に戻す。あなたが海賊をコントロールしている場合、カードを1枚引く。</t>
    <rPh sb="19" eb="20">
      <t>タイ</t>
    </rPh>
    <rPh sb="21" eb="23">
      <t>タイショウ</t>
    </rPh>
    <rPh sb="29" eb="31">
      <t>ツイホウ</t>
    </rPh>
    <rPh sb="36" eb="37">
      <t>ゴ</t>
    </rPh>
    <rPh sb="51" eb="52">
      <t>カ</t>
    </rPh>
    <rPh sb="53" eb="55">
      <t>センジョウ</t>
    </rPh>
    <rPh sb="56" eb="57">
      <t>モド</t>
    </rPh>
    <rPh sb="63" eb="65">
      <t>カイゾク</t>
    </rPh>
    <rPh sb="76" eb="78">
      <t>バアイ</t>
    </rPh>
    <rPh sb="84" eb="86">
      <t>マイヒ</t>
    </rPh>
    <phoneticPr fontId="1"/>
  </si>
  <si>
    <t>対戦相手がコントロールするサポートを1個破壊する。カードを1枚引く。</t>
    <rPh sb="0" eb="2">
      <t>タイセン</t>
    </rPh>
    <rPh sb="2" eb="4">
      <t>アイテ</t>
    </rPh>
    <rPh sb="19" eb="20">
      <t>コ</t>
    </rPh>
    <rPh sb="20" eb="22">
      <t>ハカイ</t>
    </rPh>
    <rPh sb="30" eb="32">
      <t>マイヒ</t>
    </rPh>
    <phoneticPr fontId="1"/>
  </si>
  <si>
    <t>クリーチャー1体を対象とする。それは速攻を得るとともに+2/+2の修正を受ける。</t>
    <rPh sb="7" eb="8">
      <t>タイ</t>
    </rPh>
    <rPh sb="9" eb="11">
      <t>タイショウ</t>
    </rPh>
    <rPh sb="18" eb="20">
      <t>ソッコウ</t>
    </rPh>
    <rPh sb="21" eb="22">
      <t>エ</t>
    </rPh>
    <rPh sb="33" eb="35">
      <t>シュウセイ</t>
    </rPh>
    <rPh sb="36" eb="37">
      <t>ウ</t>
    </rPh>
    <phoneticPr fontId="1"/>
  </si>
  <si>
    <t>クリーチャー1体かプレインズウォーカー1体を対象とし、それに4点のダメージを与える。</t>
    <rPh sb="7" eb="8">
      <t>タイ</t>
    </rPh>
    <rPh sb="20" eb="21">
      <t>タイ</t>
    </rPh>
    <rPh sb="22" eb="24">
      <t>タイショウ</t>
    </rPh>
    <rPh sb="31" eb="32">
      <t>テン</t>
    </rPh>
    <rPh sb="38" eb="39">
      <t>アタ</t>
    </rPh>
    <phoneticPr fontId="1"/>
  </si>
  <si>
    <t>あなたのターン開始時に、対戦相手のプレインズウォーカーの色ジェム2個を他の色のジェムに変換する。</t>
    <rPh sb="7" eb="10">
      <t>カイシジ</t>
    </rPh>
    <rPh sb="12" eb="14">
      <t>タイセン</t>
    </rPh>
    <rPh sb="14" eb="16">
      <t>アイテ</t>
    </rPh>
    <rPh sb="28" eb="29">
      <t>イロ</t>
    </rPh>
    <rPh sb="33" eb="34">
      <t>コ</t>
    </rPh>
    <rPh sb="35" eb="36">
      <t>タ</t>
    </rPh>
    <rPh sb="37" eb="38">
      <t>イロ</t>
    </rPh>
    <rPh sb="43" eb="45">
      <t>ヘンカン</t>
    </rPh>
    <phoneticPr fontId="1"/>
  </si>
  <si>
    <t>このクリーチャーが攻撃するたび、ターン終了時まで、それは+1/+0の修正を受ける。</t>
    <rPh sb="9" eb="11">
      <t>コウゲキ</t>
    </rPh>
    <rPh sb="19" eb="22">
      <t>シュウリョウジ</t>
    </rPh>
    <rPh sb="34" eb="36">
      <t>シュウセイ</t>
    </rPh>
    <rPh sb="37" eb="38">
      <t>ウ</t>
    </rPh>
    <phoneticPr fontId="1"/>
  </si>
  <si>
    <t>ジェム2個を起動する：ターン終了時まで、このクリーチャーはダメージ軽減を得る。3点のライフを失う。</t>
    <rPh sb="33" eb="35">
      <t>ケイゲン</t>
    </rPh>
    <rPh sb="36" eb="37">
      <t>エ</t>
    </rPh>
    <rPh sb="40" eb="41">
      <t>テン</t>
    </rPh>
    <rPh sb="46" eb="47">
      <t>ウシナ</t>
    </rPh>
    <phoneticPr fontId="1"/>
  </si>
  <si>
    <t>このクリーチャーが戦場に出たとき、これは探検1を行う。</t>
    <rPh sb="9" eb="11">
      <t>センジョウ</t>
    </rPh>
    <rPh sb="12" eb="13">
      <t>デ</t>
    </rPh>
    <rPh sb="20" eb="22">
      <t>タンケン</t>
    </rPh>
    <rPh sb="24" eb="25">
      <t>オコナ</t>
    </rPh>
    <phoneticPr fontId="1"/>
  </si>
  <si>
    <t>このクリーチャーが戦場に出たとき、あなたが強襲していた場合、対戦相手はカードを1枚捨てる。</t>
    <rPh sb="9" eb="11">
      <t>センジョウ</t>
    </rPh>
    <rPh sb="12" eb="13">
      <t>デ</t>
    </rPh>
    <rPh sb="30" eb="32">
      <t>タイセン</t>
    </rPh>
    <rPh sb="32" eb="34">
      <t>アイテ</t>
    </rPh>
    <rPh sb="40" eb="41">
      <t>マイ</t>
    </rPh>
    <rPh sb="41" eb="42">
      <t>ス</t>
    </rPh>
    <phoneticPr fontId="1"/>
  </si>
  <si>
    <t>このクリーチャーが攻撃するたび、対戦相手がディフェンダーを持つクリーチャーをコントロールしている場合、ターン終了時までこのクリーチャーは+1/+1の修正を受ける。</t>
    <rPh sb="9" eb="11">
      <t>コウゲキ</t>
    </rPh>
    <rPh sb="16" eb="18">
      <t>タイセン</t>
    </rPh>
    <rPh sb="18" eb="20">
      <t>アイテ</t>
    </rPh>
    <rPh sb="29" eb="30">
      <t>モ</t>
    </rPh>
    <rPh sb="48" eb="50">
      <t>バアイ</t>
    </rPh>
    <rPh sb="54" eb="57">
      <t>シュウリョウジ</t>
    </rPh>
    <rPh sb="74" eb="76">
      <t>シュウセイ</t>
    </rPh>
    <rPh sb="77" eb="78">
      <t>ウ</t>
    </rPh>
    <phoneticPr fontId="1"/>
  </si>
  <si>
    <t>あなたがサポートをコントロールしていない限り、このクリーチャーは攻撃できない。</t>
    <rPh sb="20" eb="21">
      <t>カギ</t>
    </rPh>
    <rPh sb="32" eb="34">
      <t>コウゲキ</t>
    </rPh>
    <phoneticPr fontId="1"/>
  </si>
  <si>
    <t>このクリーチャーが死亡した時、宝物を1つ見つける。</t>
    <rPh sb="9" eb="11">
      <t>シボウ</t>
    </rPh>
    <rPh sb="13" eb="14">
      <t>トキ</t>
    </rPh>
    <rPh sb="15" eb="17">
      <t>タカラモノ</t>
    </rPh>
    <rPh sb="20" eb="21">
      <t>ミ</t>
    </rPh>
    <phoneticPr fontId="1"/>
  </si>
  <si>
    <t>搭乗4</t>
    <rPh sb="0" eb="2">
      <t>トウジョウ</t>
    </rPh>
    <phoneticPr fontId="1"/>
  </si>
  <si>
    <t>ジェム2個を起動する：ターン終了時まで、このクリーチャーは+1/+0の修正を受ける。</t>
    <rPh sb="4" eb="5">
      <t>コ</t>
    </rPh>
    <rPh sb="6" eb="8">
      <t>キドウ</t>
    </rPh>
    <rPh sb="14" eb="17">
      <t>シュウリョウジ</t>
    </rPh>
    <rPh sb="35" eb="37">
      <t>シュウセイ</t>
    </rPh>
    <rPh sb="38" eb="39">
      <t>ウ</t>
    </rPh>
    <phoneticPr fontId="1"/>
  </si>
  <si>
    <t>あなたが恐竜をコントロールしている間、このクリーチャーは二段攻撃を得る。</t>
    <rPh sb="4" eb="6">
      <t>キョウリュウ</t>
    </rPh>
    <rPh sb="17" eb="18">
      <t>アイダ</t>
    </rPh>
    <rPh sb="28" eb="30">
      <t>ニダン</t>
    </rPh>
    <rPh sb="30" eb="32">
      <t>コウゲキ</t>
    </rPh>
    <rPh sb="33" eb="34">
      <t>エ</t>
    </rPh>
    <phoneticPr fontId="1"/>
  </si>
  <si>
    <t>このクリーチャーが戦場に出たとき、あなたは6点のライフを得る。</t>
    <rPh sb="9" eb="11">
      <t>センジョウ</t>
    </rPh>
    <rPh sb="12" eb="13">
      <t>デ</t>
    </rPh>
    <rPh sb="22" eb="23">
      <t>テン</t>
    </rPh>
    <rPh sb="28" eb="29">
      <t>エ</t>
    </rPh>
    <phoneticPr fontId="1"/>
  </si>
  <si>
    <t>このクリーチャーが戦場に出たとき、あなたがコントロールするマーフォーク1体を対象とする。それは+1/+1の修正を受ける。</t>
    <rPh sb="9" eb="11">
      <t>センジョウ</t>
    </rPh>
    <rPh sb="12" eb="13">
      <t>デ</t>
    </rPh>
    <rPh sb="36" eb="37">
      <t>タイ</t>
    </rPh>
    <rPh sb="38" eb="40">
      <t>タイショウ</t>
    </rPh>
    <rPh sb="53" eb="55">
      <t>シュウセイ</t>
    </rPh>
    <rPh sb="56" eb="57">
      <t>ウ</t>
    </rPh>
    <phoneticPr fontId="1"/>
  </si>
  <si>
    <t>ジェム1個を起動する：このクリーチャーは+1/+1の修正を受ける。</t>
    <rPh sb="4" eb="5">
      <t>コ</t>
    </rPh>
    <rPh sb="6" eb="8">
      <t>キドウ</t>
    </rPh>
    <rPh sb="26" eb="28">
      <t>シュウセイ</t>
    </rPh>
    <rPh sb="29" eb="30">
      <t>ウ</t>
    </rPh>
    <phoneticPr fontId="1"/>
  </si>
  <si>
    <t>このクリーチャーが戦場に出たとき、あなたはあなたのライブラリーから「軍団の征服者」という名前のカードを取ってきて、手札に加えても良い。</t>
    <rPh sb="9" eb="11">
      <t>センジョウ</t>
    </rPh>
    <rPh sb="12" eb="13">
      <t>デ</t>
    </rPh>
    <rPh sb="34" eb="36">
      <t>グンダン</t>
    </rPh>
    <rPh sb="37" eb="40">
      <t>セイフクシャ</t>
    </rPh>
    <rPh sb="44" eb="46">
      <t>ナマエ</t>
    </rPh>
    <rPh sb="51" eb="52">
      <t>ト</t>
    </rPh>
    <rPh sb="57" eb="59">
      <t>テフダ</t>
    </rPh>
    <rPh sb="60" eb="61">
      <t>クワ</t>
    </rPh>
    <rPh sb="64" eb="65">
      <t>ヨ</t>
    </rPh>
    <phoneticPr fontId="1"/>
  </si>
  <si>
    <t>あなたがコントロールするクリーチャーが探検を行うたび、対戦相手がコントロールする最初のクリーチャーは-3/-3の修正を受ける。</t>
    <rPh sb="19" eb="21">
      <t>タンケン</t>
    </rPh>
    <rPh sb="22" eb="23">
      <t>オコナ</t>
    </rPh>
    <rPh sb="27" eb="31">
      <t>タイセンアイテ</t>
    </rPh>
    <rPh sb="40" eb="42">
      <t>サイショ</t>
    </rPh>
    <rPh sb="56" eb="58">
      <t>シュウセイ</t>
    </rPh>
    <rPh sb="59" eb="60">
      <t>ウ</t>
    </rPh>
    <phoneticPr fontId="1"/>
  </si>
  <si>
    <t>このクリーチャーが戦場に出たとき、絆魂を持つ1/1の白の吸血鬼・クリーチャー・トークンを1体生成する。</t>
    <rPh sb="9" eb="11">
      <t>センジョウ</t>
    </rPh>
    <rPh sb="12" eb="13">
      <t>デ</t>
    </rPh>
    <rPh sb="17" eb="19">
      <t>キズナタマシイ</t>
    </rPh>
    <rPh sb="45" eb="48">
      <t>タイセイセイ</t>
    </rPh>
    <phoneticPr fontId="1"/>
  </si>
  <si>
    <t>このクリーチャーが戦場に出たとき、宝物を2つ見つける。</t>
    <rPh sb="9" eb="11">
      <t>センジョウ</t>
    </rPh>
    <rPh sb="12" eb="13">
      <t>デ</t>
    </rPh>
    <rPh sb="17" eb="19">
      <t>タカラモノ</t>
    </rPh>
    <rPh sb="22" eb="23">
      <t>ミ</t>
    </rPh>
    <phoneticPr fontId="1"/>
  </si>
  <si>
    <t>このクリーチャーが戦場に出たとき、これは探検2を行う。</t>
    <rPh sb="9" eb="11">
      <t>センジョウ</t>
    </rPh>
    <rPh sb="12" eb="13">
      <t>デ</t>
    </rPh>
    <rPh sb="20" eb="22">
      <t>タンケン</t>
    </rPh>
    <rPh sb="24" eb="25">
      <t>オコナ</t>
    </rPh>
    <phoneticPr fontId="1"/>
  </si>
  <si>
    <t>激昂：あなたは2点のライフを得る。</t>
    <rPh sb="0" eb="2">
      <t>ゲキコウ</t>
    </rPh>
    <rPh sb="8" eb="9">
      <t>テン</t>
    </rPh>
    <rPh sb="14" eb="15">
      <t>エ</t>
    </rPh>
    <phoneticPr fontId="1"/>
  </si>
  <si>
    <t>あなたが他のマーフォークをコントロールしている間、このクリーチャーは飛行を得る。</t>
    <rPh sb="4" eb="5">
      <t>タ</t>
    </rPh>
    <rPh sb="23" eb="24">
      <t>アイダ</t>
    </rPh>
    <rPh sb="34" eb="36">
      <t>ヒコウ</t>
    </rPh>
    <rPh sb="37" eb="38">
      <t>エ</t>
    </rPh>
    <phoneticPr fontId="1"/>
  </si>
  <si>
    <t>このクリーチャーが戦場に出たとき、あなたが強襲していた場合、カードを1枚捨てて、カードを1枚引く。</t>
    <rPh sb="9" eb="11">
      <t>センジョウ</t>
    </rPh>
    <rPh sb="12" eb="13">
      <t>デ</t>
    </rPh>
    <rPh sb="21" eb="23">
      <t>キョウシュウ</t>
    </rPh>
    <rPh sb="27" eb="29">
      <t>バアイ</t>
    </rPh>
    <rPh sb="35" eb="36">
      <t>マイ</t>
    </rPh>
    <rPh sb="36" eb="37">
      <t>ス</t>
    </rPh>
    <rPh sb="45" eb="47">
      <t>マイヒ</t>
    </rPh>
    <phoneticPr fontId="1"/>
  </si>
  <si>
    <t>ジェム2個を起動する：対戦相手がコントロールする、ディフェンダーか警戒か到達を持つ最初のクリーチャーに、これのタフネスに等しい点数のダメージを与える。</t>
    <rPh sb="4" eb="5">
      <t>コ</t>
    </rPh>
    <rPh sb="6" eb="8">
      <t>キドウ</t>
    </rPh>
    <rPh sb="11" eb="15">
      <t>タイセンアイテ</t>
    </rPh>
    <rPh sb="33" eb="35">
      <t>ケイカイ</t>
    </rPh>
    <rPh sb="36" eb="38">
      <t>トウタツ</t>
    </rPh>
    <rPh sb="39" eb="40">
      <t>モ</t>
    </rPh>
    <rPh sb="41" eb="43">
      <t>サイショ</t>
    </rPh>
    <rPh sb="60" eb="61">
      <t>ヒト</t>
    </rPh>
    <rPh sb="63" eb="65">
      <t>テンスウ</t>
    </rPh>
    <rPh sb="71" eb="72">
      <t>アタ</t>
    </rPh>
    <phoneticPr fontId="1"/>
  </si>
  <si>
    <t>このクリーチャーが戦場に出たとき、あなたが強襲していた場合、クリーチャー1体かプレインズウォーカー1体を対象とする。これはそれに3点のダメージを与える。</t>
    <rPh sb="9" eb="11">
      <t>センジョウ</t>
    </rPh>
    <rPh sb="12" eb="13">
      <t>デ</t>
    </rPh>
    <rPh sb="37" eb="38">
      <t>タイ</t>
    </rPh>
    <rPh sb="50" eb="51">
      <t>タイ</t>
    </rPh>
    <rPh sb="52" eb="54">
      <t>タイショウ</t>
    </rPh>
    <rPh sb="65" eb="66">
      <t>テン</t>
    </rPh>
    <rPh sb="72" eb="73">
      <t>アタ</t>
    </rPh>
    <phoneticPr fontId="1"/>
  </si>
  <si>
    <t>激昂：対戦相手に3点のダメージを与える。</t>
    <rPh sb="0" eb="2">
      <t>ゲキコウ</t>
    </rPh>
    <rPh sb="3" eb="5">
      <t>タイセン</t>
    </rPh>
    <rPh sb="5" eb="7">
      <t>アイテ</t>
    </rPh>
    <rPh sb="9" eb="10">
      <t>テン</t>
    </rPh>
    <rPh sb="16" eb="17">
      <t>アタ</t>
    </rPh>
    <phoneticPr fontId="1"/>
  </si>
  <si>
    <t>このクリーチャーが攻撃するたび、ターン終了時まで、対戦相手がコントロールする最初のクリーチャーを無効化する。</t>
    <rPh sb="9" eb="11">
      <t>コウゲキ</t>
    </rPh>
    <rPh sb="19" eb="22">
      <t>シュウリョウジ</t>
    </rPh>
    <rPh sb="25" eb="27">
      <t>タイセン</t>
    </rPh>
    <rPh sb="27" eb="29">
      <t>アイテ</t>
    </rPh>
    <rPh sb="38" eb="40">
      <t>サイショ</t>
    </rPh>
    <rPh sb="48" eb="51">
      <t>ムコウカ</t>
    </rPh>
    <phoneticPr fontId="1"/>
  </si>
  <si>
    <t>あなたが他の恐竜をコントロールしている間、このクリーチャーは+2/+0の修正を受けるとともにトランプルを得る。</t>
    <rPh sb="4" eb="5">
      <t>タ</t>
    </rPh>
    <rPh sb="6" eb="8">
      <t>キョウリュウ</t>
    </rPh>
    <rPh sb="19" eb="20">
      <t>アイダ</t>
    </rPh>
    <rPh sb="36" eb="38">
      <t>シュウセイ</t>
    </rPh>
    <rPh sb="39" eb="40">
      <t>ウ</t>
    </rPh>
    <rPh sb="52" eb="53">
      <t>エ</t>
    </rPh>
    <phoneticPr fontId="1"/>
  </si>
  <si>
    <t>このクリーチャーが攻撃するたび、あなたが恐竜をコントロールしている場合、ターン終了時まで、このクリーチャーは+1/+1の修正を受ける。</t>
    <rPh sb="9" eb="11">
      <t>コウゲキ</t>
    </rPh>
    <rPh sb="20" eb="22">
      <t>キョウリュウ</t>
    </rPh>
    <rPh sb="33" eb="35">
      <t>バアイ</t>
    </rPh>
    <rPh sb="39" eb="42">
      <t>シュウリョウジ</t>
    </rPh>
    <rPh sb="60" eb="62">
      <t>シュウセイ</t>
    </rPh>
    <rPh sb="63" eb="64">
      <t>ウ</t>
    </rPh>
    <phoneticPr fontId="1"/>
  </si>
  <si>
    <t>このクリーチャーが死亡した時、対戦相手は宝物を2つ見つける。</t>
    <rPh sb="9" eb="11">
      <t>シボウ</t>
    </rPh>
    <rPh sb="13" eb="14">
      <t>トキ</t>
    </rPh>
    <rPh sb="15" eb="17">
      <t>タイセン</t>
    </rPh>
    <rPh sb="17" eb="19">
      <t>アイテ</t>
    </rPh>
    <rPh sb="20" eb="22">
      <t>タカラモノ</t>
    </rPh>
    <rPh sb="25" eb="26">
      <t>ミ</t>
    </rPh>
    <phoneticPr fontId="1"/>
  </si>
  <si>
    <t>このクリーチャーが戦場に出たとき、クリーチャー1体を対象とする。あなたの次のターン開始時まで、それを無効化する。</t>
    <rPh sb="9" eb="11">
      <t>センジョウ</t>
    </rPh>
    <rPh sb="12" eb="13">
      <t>デ</t>
    </rPh>
    <rPh sb="24" eb="25">
      <t>タイ</t>
    </rPh>
    <rPh sb="26" eb="28">
      <t>タイショウ</t>
    </rPh>
    <rPh sb="36" eb="37">
      <t>ツギ</t>
    </rPh>
    <rPh sb="41" eb="44">
      <t>カイシジ</t>
    </rPh>
    <rPh sb="50" eb="53">
      <t>ムコウカ</t>
    </rPh>
    <phoneticPr fontId="1"/>
  </si>
  <si>
    <t>このクリーチャーが戦場に出ている間、あなたがコントロールするトークンでない吸血鬼が攻撃するたび、絆魂を持つ1/1の白の吸血鬼・クリーチャー・トークンを、その吸血鬼が強化されている回数1回につき生成する。</t>
    <rPh sb="9" eb="11">
      <t>センジョウ</t>
    </rPh>
    <rPh sb="12" eb="13">
      <t>デ</t>
    </rPh>
    <rPh sb="16" eb="17">
      <t>アイダ</t>
    </rPh>
    <rPh sb="37" eb="40">
      <t>キュウケツキ</t>
    </rPh>
    <rPh sb="41" eb="43">
      <t>コウゲキ</t>
    </rPh>
    <rPh sb="48" eb="50">
      <t>キズナタマシイ</t>
    </rPh>
    <rPh sb="78" eb="81">
      <t>キュウケツキ</t>
    </rPh>
    <rPh sb="82" eb="84">
      <t>キョウカ</t>
    </rPh>
    <rPh sb="89" eb="91">
      <t>カイスウ</t>
    </rPh>
    <rPh sb="92" eb="93">
      <t>カイ</t>
    </rPh>
    <rPh sb="96" eb="98">
      <t>セイセイ</t>
    </rPh>
    <phoneticPr fontId="1"/>
  </si>
  <si>
    <t>Activate 2: The first creature you control gets +2/+2.At the end of the turn, if you control a buffed creature, draw a card.</t>
    <phoneticPr fontId="1"/>
  </si>
  <si>
    <t>PLM</t>
    <phoneticPr fontId="1"/>
  </si>
  <si>
    <t>PLM</t>
    <phoneticPr fontId="1"/>
  </si>
  <si>
    <t>黒</t>
    <rPh sb="0" eb="1">
      <t>クロ</t>
    </rPh>
    <phoneticPr fontId="1"/>
  </si>
  <si>
    <t>神話レア</t>
    <phoneticPr fontId="1"/>
  </si>
  <si>
    <t>分解が必要</t>
    <rPh sb="0" eb="2">
      <t>ブンカイ</t>
    </rPh>
    <rPh sb="3" eb="5">
      <t>ヒツヨウ</t>
    </rPh>
    <phoneticPr fontId="1"/>
  </si>
  <si>
    <t>Some Disassembly Required</t>
    <phoneticPr fontId="1"/>
  </si>
  <si>
    <t>サポート</t>
    <phoneticPr fontId="1"/>
  </si>
  <si>
    <t>RIX</t>
    <phoneticPr fontId="1"/>
  </si>
  <si>
    <t>歓喜する空渡り</t>
  </si>
  <si>
    <t>Exultant Skymarcher</t>
  </si>
  <si>
    <t>薄暮の殉教者</t>
  </si>
  <si>
    <t>Martyr of Dusk</t>
  </si>
  <si>
    <t>猛竜の相棒</t>
  </si>
  <si>
    <t>Raptor Companion</t>
  </si>
  <si>
    <t>短角獣の歩哨</t>
  </si>
  <si>
    <t>Snubhorn Sentry</t>
  </si>
  <si>
    <t>征服者の誇り</t>
  </si>
  <si>
    <t>Pride of Conquerors</t>
  </si>
  <si>
    <t>不可解な終焉</t>
  </si>
  <si>
    <t>Baffling End</t>
  </si>
  <si>
    <t>従者の献身</t>
  </si>
  <si>
    <t>Squire's Devotion</t>
  </si>
  <si>
    <t>軍団の先駆け</t>
  </si>
  <si>
    <t>Forerunner of the Legion</t>
  </si>
  <si>
    <t>空渡りの野心家</t>
  </si>
  <si>
    <t>Skymarcher Aspirant</t>
  </si>
  <si>
    <t>神殿アルティサウルス</t>
  </si>
  <si>
    <t>Temple Altisaur</t>
  </si>
  <si>
    <t>スフィンクスの命令</t>
  </si>
  <si>
    <t>Sphinx's Decree</t>
  </si>
  <si>
    <t>贖罪の聖騎士</t>
  </si>
  <si>
    <t>Paladin of Atonement</t>
  </si>
  <si>
    <t>強者鏖殺</t>
  </si>
  <si>
    <t>Slaughter the Strong</t>
  </si>
  <si>
    <t>光輝の運命</t>
  </si>
  <si>
    <t>Radiant Destiny</t>
  </si>
  <si>
    <t>神話レア</t>
    <rPh sb="0" eb="2">
      <t>シンワ</t>
    </rPh>
    <phoneticPr fontId="1"/>
  </si>
  <si>
    <t>罠顎の暴君</t>
  </si>
  <si>
    <t>Trapjaw Tyrant</t>
  </si>
  <si>
    <t>原初の夜明け、ゼタルパ</t>
  </si>
  <si>
    <t>Zetalpa, Primal Dawn</t>
  </si>
  <si>
    <t>巧射艦隊の帆綱引き</t>
  </si>
  <si>
    <t>Deadeye Rig-Hauler</t>
  </si>
  <si>
    <t>霧まといの川守り</t>
  </si>
  <si>
    <t>Mist-Cloaked Herald</t>
  </si>
  <si>
    <t>銀エラの達人</t>
  </si>
  <si>
    <t>Silvergill Adept</t>
  </si>
  <si>
    <t>急流の魂</t>
  </si>
  <si>
    <t>Soul of the Rapids</t>
  </si>
  <si>
    <t>尖塔這い</t>
  </si>
  <si>
    <t>Spire Winder</t>
  </si>
  <si>
    <t>誓いの守護者</t>
  </si>
  <si>
    <t>Sworn Guardian</t>
  </si>
  <si>
    <t>黄金都市の秘密</t>
  </si>
  <si>
    <t>Secrets of the Golden City</t>
  </si>
  <si>
    <t>オラーズカからの排斥</t>
  </si>
  <si>
    <t>Expel from Orazca</t>
  </si>
  <si>
    <t>想起横溢</t>
  </si>
  <si>
    <t>Flood of Recollection</t>
  </si>
  <si>
    <t>誘導記憶喪失</t>
  </si>
  <si>
    <t>Induced Amnesia</t>
  </si>
  <si>
    <t>戦凧の匪賊</t>
  </si>
  <si>
    <t>Warkite Marauder</t>
  </si>
  <si>
    <t>提督の命令</t>
  </si>
  <si>
    <t>Admiral's Order</t>
  </si>
  <si>
    <t>クメーナの覚醒</t>
  </si>
  <si>
    <t>Kumena's Awakening</t>
  </si>
  <si>
    <t>原初の潮流、ネザール</t>
  </si>
  <si>
    <t>Nezahal, Primal Tide</t>
  </si>
  <si>
    <t>時間流の航海士</t>
  </si>
  <si>
    <t>Timestream Navigator</t>
  </si>
  <si>
    <t>運河のオオトカゲ</t>
  </si>
  <si>
    <t>Canal Monitor</t>
  </si>
  <si>
    <t>恐竜ハンター</t>
  </si>
  <si>
    <t>Dinosaur Hunter</t>
  </si>
  <si>
    <t>薄暮の軍馬</t>
  </si>
  <si>
    <t>Dusk Charger</t>
  </si>
  <si>
    <t>誓いを立てた吸血鬼</t>
  </si>
  <si>
    <t>Oathsworn Vampire</t>
  </si>
  <si>
    <t>サディストの空渡り</t>
  </si>
  <si>
    <t>Sadistic Skymarcher</t>
  </si>
  <si>
    <t>吸血鬼の亡霊</t>
  </si>
  <si>
    <t>Vampire Revenant</t>
  </si>
  <si>
    <t>死者の宝箱</t>
  </si>
  <si>
    <t>Dead Man's Chest</t>
  </si>
  <si>
    <t>連合の先駆け</t>
  </si>
  <si>
    <t>Forerunner of the Coalition</t>
  </si>
  <si>
    <t>貪欲なチュパカブラ</t>
  </si>
  <si>
    <t>Ravenous Chupacabra</t>
  </si>
  <si>
    <t>黄金の死</t>
  </si>
  <si>
    <t>Golden Demise</t>
  </si>
  <si>
    <t>首謀者の収得</t>
  </si>
  <si>
    <t>Mastermind's Acquisition</t>
  </si>
  <si>
    <t>薄暮の勇者</t>
  </si>
  <si>
    <t>Champion of Dusk</t>
  </si>
  <si>
    <t>凶兆艦隊の毒殺者</t>
  </si>
  <si>
    <t>Dire Fleet Poisoner</t>
  </si>
  <si>
    <t>ヴォーナの飢え</t>
  </si>
  <si>
    <t>Vona's Hunger</t>
  </si>
  <si>
    <t>原初の死、テジマク</t>
  </si>
  <si>
    <t>Tetzimoc, Primal Death</t>
  </si>
  <si>
    <t>黄昏の預言者</t>
  </si>
  <si>
    <t>Twilight Prophet</t>
  </si>
  <si>
    <t>勇敢な海賊</t>
  </si>
  <si>
    <t>Daring Buccaneer</t>
  </si>
  <si>
    <t>狂信的扇動者</t>
  </si>
  <si>
    <t>Fanatical Firebrand</t>
  </si>
  <si>
    <t>ゴブリンの先駆者</t>
  </si>
  <si>
    <t>Goblin Trailblazer</t>
  </si>
  <si>
    <t>オラーズカの猛竜</t>
  </si>
  <si>
    <t>Orazca Raptor</t>
  </si>
  <si>
    <t>風雲艦隊の剣客</t>
  </si>
  <si>
    <t>Storm Fleet Swashbuckler</t>
  </si>
  <si>
    <t>海賊の示威</t>
  </si>
  <si>
    <t>Buccaneer's Bravado</t>
  </si>
  <si>
    <t>ティロナーリの冠</t>
  </si>
  <si>
    <t>Tilonalli's Crown</t>
  </si>
  <si>
    <t>帝国の先駆け</t>
  </si>
  <si>
    <t>Forerunner of the Empire</t>
  </si>
  <si>
    <t>銀まといのフェロキドン</t>
  </si>
  <si>
    <t>Silverclad Ferocidons</t>
  </si>
  <si>
    <t>鉄面提督の報奨</t>
  </si>
  <si>
    <t>Brass's Bounty</t>
  </si>
  <si>
    <t>無謀な怒り</t>
  </si>
  <si>
    <t>Reckless Rage</t>
  </si>
  <si>
    <t>凶兆艦隊の向こう見ず</t>
  </si>
  <si>
    <t>Dire Fleet Daredevil</t>
  </si>
  <si>
    <t>ティロナーリの召喚士</t>
  </si>
  <si>
    <t>Tilonalli's Summoner</t>
  </si>
  <si>
    <t>血染めの太陽</t>
  </si>
  <si>
    <t>Blood Sun</t>
  </si>
  <si>
    <t>原初の嵐、エターリ</t>
  </si>
  <si>
    <t>Etali, Primal Storm</t>
  </si>
  <si>
    <t>再燃するフェニックス</t>
  </si>
  <si>
    <t>Rekindling Phoenix</t>
  </si>
  <si>
    <t>屈強な古参兵</t>
  </si>
  <si>
    <t>Hardy Veteran</t>
  </si>
  <si>
    <t>ジャングル生まれの開拓者</t>
  </si>
  <si>
    <t>Jungleborn Pioneer</t>
  </si>
  <si>
    <t>オラーズカの襞背</t>
  </si>
  <si>
    <t>Orazca Frillback</t>
  </si>
  <si>
    <t>鬱蒼たるアルマサウルス</t>
  </si>
  <si>
    <t>Overgrown Armasaur</t>
  </si>
  <si>
    <t>打ち壊すブロントドン</t>
  </si>
  <si>
    <t>Thrashing Brontodon</t>
  </si>
  <si>
    <t>未踏地への進入</t>
  </si>
  <si>
    <t>Enter the Unknown</t>
  </si>
  <si>
    <t>雷群れの渡り</t>
  </si>
  <si>
    <t>Thunderherd Migration</t>
  </si>
  <si>
    <t>冠羽の群れ使い</t>
  </si>
  <si>
    <t>Crested Herdcaller</t>
  </si>
  <si>
    <t>川守りの先駆け</t>
  </si>
  <si>
    <t>Forerunner of the Heralds</t>
  </si>
  <si>
    <t>翡翠光のレインジャー</t>
  </si>
  <si>
    <t>Jadelight Ranger</t>
  </si>
  <si>
    <t>発見の道</t>
  </si>
  <si>
    <t>Path of Discovery</t>
  </si>
  <si>
    <t>深根の精鋭</t>
  </si>
  <si>
    <t>Deeproot Elite</t>
  </si>
  <si>
    <t>むら気な長剣歯</t>
  </si>
  <si>
    <t>Wayward Swordtooth</t>
  </si>
  <si>
    <t>原初の飢え、ガルタ</t>
  </si>
  <si>
    <t>Ghalta, Primal Hunger</t>
  </si>
  <si>
    <t>万猛竜</t>
  </si>
  <si>
    <t>Polyraptor</t>
  </si>
  <si>
    <t>若葉のドライアド</t>
  </si>
  <si>
    <t>Tendershoot Dryad</t>
  </si>
  <si>
    <t>法をもたらす者、アゾール</t>
  </si>
  <si>
    <t>Azor, the Lawbringer</t>
  </si>
  <si>
    <t>凶兆艦隊の首折り</t>
  </si>
  <si>
    <t>Dire Fleet Neckbreaker</t>
  </si>
  <si>
    <t>攻角のケラトプス</t>
  </si>
  <si>
    <t>Siegehorn Ceratops</t>
  </si>
  <si>
    <t>軍団の副官</t>
  </si>
  <si>
    <t>Legion Lieutenant</t>
  </si>
  <si>
    <t>不敬の行進</t>
  </si>
  <si>
    <t>Profane Procession</t>
  </si>
  <si>
    <t>薄暮薔薇の墓所</t>
  </si>
  <si>
    <t>Tomb of the Dusk Rose</t>
  </si>
  <si>
    <t>薄暮薔薇、エレンダ</t>
  </si>
  <si>
    <t>Elenda, the Dusk Rose</t>
  </si>
  <si>
    <t>風雲艦隊の疾走者</t>
  </si>
  <si>
    <t>Storm Fleet Sprinter</t>
  </si>
  <si>
    <t>宝物庫襲撃</t>
  </si>
  <si>
    <t>Storm the Vault</t>
  </si>
  <si>
    <t>カトラカンの宝物庫</t>
  </si>
  <si>
    <t>Vault of Catlacan</t>
  </si>
  <si>
    <t>永遠への旅</t>
  </si>
  <si>
    <t>Journey to Eternity</t>
  </si>
  <si>
    <t>永遠の洞窟、アザル</t>
  </si>
  <si>
    <t>Atzal, Cave of Eternity</t>
  </si>
  <si>
    <t>執拗な猛竜</t>
  </si>
  <si>
    <t>Relentless Raptor</t>
  </si>
  <si>
    <t>胆力の道</t>
  </si>
  <si>
    <t>Path of Mettle</t>
  </si>
  <si>
    <t>制覇の塔、メッツァーリ</t>
  </si>
  <si>
    <t>Metzali, Tower of Triumph</t>
  </si>
  <si>
    <t>マーフォークの霧縛り</t>
  </si>
  <si>
    <t>Merfolk Mistbinder</t>
  </si>
  <si>
    <t>ハダーナの登臨</t>
  </si>
  <si>
    <t>Hadana's Climb</t>
  </si>
  <si>
    <t>オラーズカの翼神殿</t>
  </si>
  <si>
    <t>Winged Temple of Orazca</t>
  </si>
  <si>
    <t>オラーズカの暴君、クメーナ</t>
  </si>
  <si>
    <t>Kumena, Tyrant of Orazca</t>
  </si>
  <si>
    <t>原初の災厄、ザカマ</t>
  </si>
  <si>
    <t>Zacama, Primal Calamity</t>
  </si>
  <si>
    <t>無色</t>
    <rPh sb="0" eb="2">
      <t>ムショク</t>
    </rPh>
    <phoneticPr fontId="1"/>
  </si>
  <si>
    <t>覚醒した融合体</t>
  </si>
  <si>
    <t>Awakened Amalgam</t>
  </si>
  <si>
    <t>オラーズカの拱門</t>
  </si>
  <si>
    <t>Arch of Orazca</t>
  </si>
  <si>
    <t>黄金の守護者</t>
  </si>
  <si>
    <t>Golden Guardian</t>
  </si>
  <si>
    <t>黄金炉の駐屯所</t>
  </si>
  <si>
    <t>Gold Forge Garrison</t>
  </si>
  <si>
    <t>アゾールの門口</t>
  </si>
  <si>
    <t>Azor's Gateway</t>
  </si>
  <si>
    <t>太陽の聖域</t>
  </si>
  <si>
    <t>Sanctum of the Sun</t>
  </si>
  <si>
    <t>不滅の太陽</t>
  </si>
  <si>
    <t>The Immortal Sun</t>
  </si>
  <si>
    <t>RIE</t>
    <phoneticPr fontId="1"/>
  </si>
  <si>
    <t>白</t>
    <rPh sb="0" eb="1">
      <t>シロ</t>
    </rPh>
    <phoneticPr fontId="1"/>
  </si>
  <si>
    <t>青</t>
    <rPh sb="0" eb="1">
      <t>アオ</t>
    </rPh>
    <phoneticPr fontId="1"/>
  </si>
  <si>
    <t>黒</t>
    <rPh sb="0" eb="1">
      <t>クロ</t>
    </rPh>
    <phoneticPr fontId="1"/>
  </si>
  <si>
    <t>赤</t>
    <rPh sb="0" eb="1">
      <t>アカ</t>
    </rPh>
    <phoneticPr fontId="1"/>
  </si>
  <si>
    <t>緑</t>
    <rPh sb="0" eb="1">
      <t>ミドリ</t>
    </rPh>
    <phoneticPr fontId="1"/>
  </si>
  <si>
    <t>クリーチャー</t>
    <phoneticPr fontId="1"/>
  </si>
  <si>
    <t>昇る星、珠眼</t>
  </si>
  <si>
    <t>Jugan, the Rising Star</t>
  </si>
  <si>
    <t>潮の星、京河</t>
  </si>
  <si>
    <t>Keiga, the Tide Star</t>
  </si>
  <si>
    <t>夜の星、黒瘴</t>
  </si>
  <si>
    <t>Kokusho, the Evening Star</t>
  </si>
  <si>
    <t>降る星、流星</t>
  </si>
  <si>
    <t>Ryusei, the Falling Star</t>
  </si>
  <si>
    <t>明けの星、陽星</t>
  </si>
  <si>
    <t>Yosei, the Morning Star</t>
    <phoneticPr fontId="1"/>
  </si>
  <si>
    <t>ドラゴン</t>
    <phoneticPr fontId="1"/>
  </si>
  <si>
    <t>スピリット</t>
    <phoneticPr fontId="1"/>
  </si>
  <si>
    <t>飛行</t>
    <rPh sb="0" eb="2">
      <t>ヒコウ</t>
    </rPh>
    <phoneticPr fontId="1"/>
  </si>
  <si>
    <t>このクリーチャーが破壊されたとき、あなたの他の最初のクリーチャーは+5/+5の修正を受ける。緑ジェムが8個以上ある場合、ジェム16個を緑に変換する。</t>
    <rPh sb="9" eb="11">
      <t>ハカイ</t>
    </rPh>
    <rPh sb="21" eb="22">
      <t>タ</t>
    </rPh>
    <rPh sb="23" eb="25">
      <t>サイショ</t>
    </rPh>
    <rPh sb="39" eb="41">
      <t>シュウセイ</t>
    </rPh>
    <rPh sb="42" eb="43">
      <t>ウ</t>
    </rPh>
    <rPh sb="46" eb="47">
      <t>ミドリ</t>
    </rPh>
    <rPh sb="52" eb="53">
      <t>コ</t>
    </rPh>
    <rPh sb="53" eb="55">
      <t>イジョウ</t>
    </rPh>
    <rPh sb="57" eb="59">
      <t>バアイ</t>
    </rPh>
    <rPh sb="65" eb="66">
      <t>コ</t>
    </rPh>
    <rPh sb="67" eb="68">
      <t>ミドリ</t>
    </rPh>
    <rPh sb="69" eb="71">
      <t>ヘンカン</t>
    </rPh>
    <phoneticPr fontId="1"/>
  </si>
  <si>
    <t>このクリーチャーが破壊されたとき、対戦相手がコントロールする最初のクリーチャーのコントロールを得る。青ジェムが8個以上ある場合、それは+2/+2の修正を受けるとともに呪禁を得る。</t>
    <rPh sb="9" eb="11">
      <t>ハカイ</t>
    </rPh>
    <rPh sb="17" eb="21">
      <t>タイセンアイテ</t>
    </rPh>
    <rPh sb="30" eb="32">
      <t>サイショ</t>
    </rPh>
    <rPh sb="47" eb="48">
      <t>エ</t>
    </rPh>
    <rPh sb="50" eb="51">
      <t>アオ</t>
    </rPh>
    <rPh sb="56" eb="57">
      <t>コ</t>
    </rPh>
    <rPh sb="57" eb="59">
      <t>イジョウ</t>
    </rPh>
    <rPh sb="61" eb="63">
      <t>バアイ</t>
    </rPh>
    <rPh sb="73" eb="75">
      <t>シュウセイ</t>
    </rPh>
    <rPh sb="76" eb="77">
      <t>ウ</t>
    </rPh>
    <rPh sb="83" eb="84">
      <t>ジュ</t>
    </rPh>
    <rPh sb="84" eb="85">
      <t>キン</t>
    </rPh>
    <rPh sb="86" eb="87">
      <t>エ</t>
    </rPh>
    <phoneticPr fontId="1"/>
  </si>
  <si>
    <t>このクリーチャーが破壊されたとき、対戦相手は10点のライフを失い、あなたはそれと同じ点数のライフを得る。黒ジェムが8個以上ある場合、対戦相手の最初の3枚のカードを捨てる。</t>
    <rPh sb="9" eb="11">
      <t>ハカイ</t>
    </rPh>
    <rPh sb="17" eb="19">
      <t>タイセン</t>
    </rPh>
    <rPh sb="19" eb="21">
      <t>アイテ</t>
    </rPh>
    <rPh sb="24" eb="25">
      <t>テン</t>
    </rPh>
    <rPh sb="30" eb="31">
      <t>ウシナ</t>
    </rPh>
    <rPh sb="40" eb="41">
      <t>オナ</t>
    </rPh>
    <rPh sb="42" eb="44">
      <t>テンスウ</t>
    </rPh>
    <rPh sb="49" eb="50">
      <t>エ</t>
    </rPh>
    <rPh sb="52" eb="53">
      <t>クロ</t>
    </rPh>
    <rPh sb="58" eb="59">
      <t>コ</t>
    </rPh>
    <rPh sb="59" eb="61">
      <t>イジョウ</t>
    </rPh>
    <rPh sb="63" eb="65">
      <t>バアイ</t>
    </rPh>
    <rPh sb="66" eb="68">
      <t>タイセン</t>
    </rPh>
    <rPh sb="68" eb="70">
      <t>アイテ</t>
    </rPh>
    <rPh sb="71" eb="73">
      <t>サイショ</t>
    </rPh>
    <rPh sb="75" eb="76">
      <t>マイ</t>
    </rPh>
    <rPh sb="81" eb="82">
      <t>ス</t>
    </rPh>
    <phoneticPr fontId="1"/>
  </si>
  <si>
    <t>このクリーチャーが破壊されたとき、飛行を持たないクリーチャーに8点のダメージを与える。赤ジェムが8個以上ある場合、あなたの手札の最初の呪文はいっぱいのマナを得る。</t>
    <rPh sb="9" eb="11">
      <t>ハカイ</t>
    </rPh>
    <rPh sb="17" eb="19">
      <t>ヒコウ</t>
    </rPh>
    <rPh sb="20" eb="21">
      <t>モ</t>
    </rPh>
    <rPh sb="32" eb="33">
      <t>テン</t>
    </rPh>
    <rPh sb="39" eb="40">
      <t>アタ</t>
    </rPh>
    <rPh sb="43" eb="44">
      <t>アカ</t>
    </rPh>
    <rPh sb="49" eb="50">
      <t>コ</t>
    </rPh>
    <rPh sb="50" eb="52">
      <t>イジョウ</t>
    </rPh>
    <rPh sb="54" eb="56">
      <t>バアイ</t>
    </rPh>
    <rPh sb="61" eb="63">
      <t>テフダ</t>
    </rPh>
    <rPh sb="64" eb="66">
      <t>サイショ</t>
    </rPh>
    <rPh sb="67" eb="69">
      <t>ジュモン</t>
    </rPh>
    <rPh sb="78" eb="79">
      <t>エ</t>
    </rPh>
    <phoneticPr fontId="1"/>
  </si>
  <si>
    <t>このクリーチャーが破壊されたとき、あなたの次のターンまで、対戦相手はすべてのマナボーナスを失う。白ジェムが8個以上ある場合、すべてのクリーチャーを破壊する。</t>
    <rPh sb="9" eb="11">
      <t>ハカイ</t>
    </rPh>
    <rPh sb="21" eb="22">
      <t>ツギ</t>
    </rPh>
    <rPh sb="29" eb="31">
      <t>タイセン</t>
    </rPh>
    <rPh sb="31" eb="33">
      <t>アイテ</t>
    </rPh>
    <rPh sb="45" eb="46">
      <t>ウシナ</t>
    </rPh>
    <rPh sb="48" eb="49">
      <t>シロ</t>
    </rPh>
    <rPh sb="54" eb="55">
      <t>コ</t>
    </rPh>
    <rPh sb="55" eb="57">
      <t>イジョウ</t>
    </rPh>
    <rPh sb="59" eb="61">
      <t>バアイ</t>
    </rPh>
    <rPh sb="73" eb="75">
      <t>ハカイ</t>
    </rPh>
    <phoneticPr fontId="1"/>
  </si>
  <si>
    <t>このクリーチャーが戦場に出ている間、あなたがコントロールする他の海賊は+2/+2の修正を受ける。</t>
    <rPh sb="9" eb="11">
      <t>センジョウ</t>
    </rPh>
    <rPh sb="12" eb="13">
      <t>デ</t>
    </rPh>
    <rPh sb="16" eb="17">
      <t>アイダ</t>
    </rPh>
    <rPh sb="30" eb="31">
      <t>タ</t>
    </rPh>
    <rPh sb="32" eb="34">
      <t>カイゾク</t>
    </rPh>
    <rPh sb="41" eb="43">
      <t>シュウセイ</t>
    </rPh>
    <rPh sb="44" eb="45">
      <t>ウ</t>
    </rPh>
    <phoneticPr fontId="1"/>
  </si>
  <si>
    <t>このクリーチャーが戦闘ダメージを与えたとき、あなたが2体以上の海賊をコントロールしている場合、対戦相手のコントロールする最初のクリーチャーのコントロールを得る。</t>
    <rPh sb="9" eb="11">
      <t>セントウ</t>
    </rPh>
    <rPh sb="16" eb="17">
      <t>アタ</t>
    </rPh>
    <rPh sb="27" eb="30">
      <t>タイイジョウ</t>
    </rPh>
    <rPh sb="31" eb="33">
      <t>カイゾク</t>
    </rPh>
    <rPh sb="44" eb="46">
      <t>バアイ</t>
    </rPh>
    <rPh sb="47" eb="51">
      <t>タイセンアイテ</t>
    </rPh>
    <rPh sb="60" eb="62">
      <t>サイショ</t>
    </rPh>
    <rPh sb="77" eb="78">
      <t>エ</t>
    </rPh>
    <phoneticPr fontId="1"/>
  </si>
  <si>
    <t>あなたのターン開始時に、ジェム3個を黒に変換する。</t>
    <rPh sb="7" eb="9">
      <t>カイシ</t>
    </rPh>
    <rPh sb="9" eb="10">
      <t>ジ</t>
    </rPh>
    <rPh sb="16" eb="17">
      <t>コ</t>
    </rPh>
    <rPh sb="18" eb="19">
      <t>クロ</t>
    </rPh>
    <rPh sb="20" eb="22">
      <t>ヘンカン</t>
    </rPh>
    <phoneticPr fontId="1"/>
  </si>
  <si>
    <t>このクリーチャーが戦場に出たとき、クリーチャー1体を対象とする。これはそれに6点、対戦相手に6点のダメージを与える。</t>
    <rPh sb="24" eb="25">
      <t>タイ</t>
    </rPh>
    <rPh sb="26" eb="28">
      <t>タイショウ</t>
    </rPh>
    <rPh sb="39" eb="40">
      <t>テン</t>
    </rPh>
    <rPh sb="41" eb="43">
      <t>タイセン</t>
    </rPh>
    <rPh sb="43" eb="45">
      <t>アイテ</t>
    </rPh>
    <rPh sb="47" eb="48">
      <t>テン</t>
    </rPh>
    <rPh sb="54" eb="55">
      <t>アタ</t>
    </rPh>
    <phoneticPr fontId="1"/>
  </si>
  <si>
    <t>このクリーチャーがダメージを与えるたび、あなたの手札にある太陽の化身、ギシャスでない最初の恐竜はいっぱいのマナを得る。</t>
    <rPh sb="14" eb="15">
      <t>アタ</t>
    </rPh>
    <rPh sb="24" eb="26">
      <t>テフダ</t>
    </rPh>
    <rPh sb="29" eb="31">
      <t>タイヨウ</t>
    </rPh>
    <rPh sb="32" eb="34">
      <t>ケシン</t>
    </rPh>
    <rPh sb="42" eb="44">
      <t>サイショ</t>
    </rPh>
    <rPh sb="45" eb="47">
      <t>キョウリュウ</t>
    </rPh>
    <rPh sb="56" eb="57">
      <t>エ</t>
    </rPh>
    <phoneticPr fontId="1"/>
  </si>
  <si>
    <t>あなたのターン開始時に、ジェムX個を緑に変換する。Xはあなたのコントロールするクリーチャーの総数の3倍に等しい。</t>
    <rPh sb="7" eb="9">
      <t>カイシ</t>
    </rPh>
    <rPh sb="9" eb="10">
      <t>ジ</t>
    </rPh>
    <rPh sb="16" eb="17">
      <t>コ</t>
    </rPh>
    <rPh sb="18" eb="19">
      <t>ミドリ</t>
    </rPh>
    <rPh sb="20" eb="22">
      <t>ヘンカン</t>
    </rPh>
    <rPh sb="46" eb="48">
      <t>ソウスウ</t>
    </rPh>
    <rPh sb="50" eb="51">
      <t>バイ</t>
    </rPh>
    <rPh sb="52" eb="53">
      <t>ヒト</t>
    </rPh>
    <phoneticPr fontId="1"/>
  </si>
  <si>
    <t>このクリーチャーが死亡した時、対戦相手はカードを2枚引く。</t>
    <rPh sb="15" eb="17">
      <t>タイセン</t>
    </rPh>
    <rPh sb="17" eb="19">
      <t>アイテ</t>
    </rPh>
    <rPh sb="25" eb="26">
      <t>マイ</t>
    </rPh>
    <rPh sb="26" eb="27">
      <t>ヒ</t>
    </rPh>
    <phoneticPr fontId="1"/>
  </si>
  <si>
    <t>あなたのターン開始時に、ジェム3個を白に変換する。</t>
    <rPh sb="7" eb="9">
      <t>カイシ</t>
    </rPh>
    <rPh sb="9" eb="10">
      <t>ジ</t>
    </rPh>
    <rPh sb="16" eb="17">
      <t>コ</t>
    </rPh>
    <rPh sb="18" eb="19">
      <t>シロ</t>
    </rPh>
    <rPh sb="20" eb="22">
      <t>ヘンカン</t>
    </rPh>
    <phoneticPr fontId="1"/>
  </si>
  <si>
    <t>白ジェム3個を起動する：絆魂を持つ1/1の白の吸血鬼・クリーチャー・トークンを2体生成する。</t>
    <rPh sb="0" eb="1">
      <t>シロ</t>
    </rPh>
    <rPh sb="5" eb="6">
      <t>コ</t>
    </rPh>
    <rPh sb="7" eb="9">
      <t>キドウ</t>
    </rPh>
    <rPh sb="12" eb="13">
      <t>キズナ</t>
    </rPh>
    <rPh sb="13" eb="14">
      <t>タマシイ</t>
    </rPh>
    <rPh sb="15" eb="16">
      <t>モ</t>
    </rPh>
    <rPh sb="21" eb="22">
      <t>シロ</t>
    </rPh>
    <rPh sb="23" eb="26">
      <t>キュウケツキ</t>
    </rPh>
    <rPh sb="40" eb="41">
      <t>タイ</t>
    </rPh>
    <rPh sb="41" eb="43">
      <t>セイセイ</t>
    </rPh>
    <phoneticPr fontId="1"/>
  </si>
  <si>
    <t>あなたのターン開始時に、ジェム3個を青に変換する。</t>
    <rPh sb="7" eb="9">
      <t>カイシ</t>
    </rPh>
    <rPh sb="9" eb="10">
      <t>ジ</t>
    </rPh>
    <rPh sb="16" eb="17">
      <t>コ</t>
    </rPh>
    <rPh sb="18" eb="19">
      <t>アオ</t>
    </rPh>
    <rPh sb="20" eb="22">
      <t>ヘンカン</t>
    </rPh>
    <phoneticPr fontId="1"/>
  </si>
  <si>
    <t>青ジェム3個を起動する：あなたのライブラリーから最初の呪文か土地でないサポートを取ってくる。それは5マナを得る。</t>
    <rPh sb="0" eb="1">
      <t>アオ</t>
    </rPh>
    <rPh sb="5" eb="6">
      <t>コ</t>
    </rPh>
    <rPh sb="7" eb="9">
      <t>キドウ</t>
    </rPh>
    <rPh sb="24" eb="26">
      <t>サイショ</t>
    </rPh>
    <rPh sb="27" eb="29">
      <t>ジュモン</t>
    </rPh>
    <rPh sb="30" eb="32">
      <t>トチ</t>
    </rPh>
    <rPh sb="40" eb="41">
      <t>ト</t>
    </rPh>
    <rPh sb="53" eb="54">
      <t>エ</t>
    </rPh>
    <phoneticPr fontId="1"/>
  </si>
  <si>
    <t>搭乗3</t>
    <rPh sb="0" eb="2">
      <t>トウジョウ</t>
    </rPh>
    <phoneticPr fontId="1"/>
  </si>
  <si>
    <t>このクリーチャーが戦場に出たとき、あなたがコントロールするクリーチャー1体につきカードを1枚引く。その後、このクリーチャーは+X/+Xの修正を受ける。Xはあなたの手札のカードの枚数の2倍に等しい。</t>
    <rPh sb="9" eb="11">
      <t>センジョウ</t>
    </rPh>
    <rPh sb="12" eb="13">
      <t>デ</t>
    </rPh>
    <rPh sb="36" eb="37">
      <t>タイ</t>
    </rPh>
    <rPh sb="45" eb="46">
      <t>マイ</t>
    </rPh>
    <rPh sb="46" eb="47">
      <t>ヒ</t>
    </rPh>
    <rPh sb="51" eb="52">
      <t>ゴ</t>
    </rPh>
    <rPh sb="68" eb="70">
      <t>シュウセイ</t>
    </rPh>
    <rPh sb="71" eb="72">
      <t>ウ</t>
    </rPh>
    <rPh sb="81" eb="83">
      <t>テフダ</t>
    </rPh>
    <rPh sb="88" eb="90">
      <t>マイスウ</t>
    </rPh>
    <rPh sb="92" eb="93">
      <t>バイ</t>
    </rPh>
    <rPh sb="94" eb="95">
      <t>ヒト</t>
    </rPh>
    <phoneticPr fontId="1"/>
  </si>
  <si>
    <t>あなたのターン開始時に、ジェム3個を赤に変換する。</t>
    <rPh sb="7" eb="9">
      <t>カイシ</t>
    </rPh>
    <rPh sb="9" eb="10">
      <t>ジ</t>
    </rPh>
    <rPh sb="16" eb="17">
      <t>コ</t>
    </rPh>
    <rPh sb="18" eb="19">
      <t>アカ</t>
    </rPh>
    <rPh sb="20" eb="22">
      <t>ヘンカン</t>
    </rPh>
    <phoneticPr fontId="1"/>
  </si>
  <si>
    <t>ジェム2個を起動する：対戦相手の最後のクリーチャーを破壊する。あなたは5点のライフを失う。</t>
    <rPh sb="4" eb="5">
      <t>コ</t>
    </rPh>
    <rPh sb="6" eb="8">
      <t>キドウ</t>
    </rPh>
    <rPh sb="11" eb="13">
      <t>タイセン</t>
    </rPh>
    <rPh sb="13" eb="15">
      <t>アイテ</t>
    </rPh>
    <rPh sb="16" eb="18">
      <t>サイゴ</t>
    </rPh>
    <rPh sb="26" eb="28">
      <t>ハカイ</t>
    </rPh>
    <rPh sb="36" eb="37">
      <t>テン</t>
    </rPh>
    <rPh sb="42" eb="43">
      <t>ウシナ</t>
    </rPh>
    <phoneticPr fontId="1"/>
  </si>
  <si>
    <t>このクリーチャーが戦場に出たとき、あなたの墓地からマナ・コストが9以下の最初のクリーチャーを戦場に戻し、その後あなたのコントロールする最後の他の吸血鬼を1体強化する。</t>
    <rPh sb="9" eb="11">
      <t>センジョウ</t>
    </rPh>
    <rPh sb="12" eb="13">
      <t>デ</t>
    </rPh>
    <rPh sb="21" eb="23">
      <t>ボチ</t>
    </rPh>
    <rPh sb="33" eb="35">
      <t>イカ</t>
    </rPh>
    <rPh sb="36" eb="38">
      <t>サイショ</t>
    </rPh>
    <rPh sb="46" eb="48">
      <t>センジョウ</t>
    </rPh>
    <rPh sb="49" eb="50">
      <t>モド</t>
    </rPh>
    <rPh sb="54" eb="55">
      <t>ゴ</t>
    </rPh>
    <rPh sb="67" eb="69">
      <t>サイゴ</t>
    </rPh>
    <rPh sb="70" eb="71">
      <t>タ</t>
    </rPh>
    <rPh sb="72" eb="75">
      <t>キュウケツキ</t>
    </rPh>
    <rPh sb="77" eb="78">
      <t>タイ</t>
    </rPh>
    <rPh sb="78" eb="80">
      <t>キョウカ</t>
    </rPh>
    <phoneticPr fontId="1"/>
  </si>
  <si>
    <t>赤ジェム2個を起動する：ターン終了時まで、対戦相手がコントロールする最初のクリーチャーのコントロールを得る。ターン終了時まで、そのクリーチャーは速攻を得る。</t>
    <rPh sb="0" eb="1">
      <t>アカ</t>
    </rPh>
    <rPh sb="5" eb="6">
      <t>コ</t>
    </rPh>
    <rPh sb="7" eb="9">
      <t>キドウ</t>
    </rPh>
    <rPh sb="15" eb="18">
      <t>シュウリョウジ</t>
    </rPh>
    <rPh sb="21" eb="23">
      <t>タイセン</t>
    </rPh>
    <rPh sb="23" eb="25">
      <t>アイテ</t>
    </rPh>
    <rPh sb="34" eb="36">
      <t>サイショ</t>
    </rPh>
    <rPh sb="51" eb="52">
      <t>エ</t>
    </rPh>
    <rPh sb="57" eb="60">
      <t>シュウリョウジ</t>
    </rPh>
    <rPh sb="72" eb="74">
      <t>ソッコウ</t>
    </rPh>
    <rPh sb="75" eb="76">
      <t>エ</t>
    </rPh>
    <phoneticPr fontId="1"/>
  </si>
  <si>
    <t>(このサポートがボード上に出たとき、)「このクリーチャーが攻撃したとき、征服者のガレオン船は1シールドを得る。」をもつ4/6の機体・トークンを1体生成する。</t>
    <rPh sb="11" eb="12">
      <t>ジョウ</t>
    </rPh>
    <rPh sb="13" eb="14">
      <t>デ</t>
    </rPh>
    <rPh sb="29" eb="31">
      <t>コウゲキ</t>
    </rPh>
    <rPh sb="36" eb="39">
      <t>セイフクシャ</t>
    </rPh>
    <rPh sb="44" eb="45">
      <t>セン</t>
    </rPh>
    <rPh sb="52" eb="53">
      <t>エ</t>
    </rPh>
    <rPh sb="63" eb="65">
      <t>キタイ</t>
    </rPh>
    <rPh sb="72" eb="73">
      <t>タイ</t>
    </rPh>
    <rPh sb="73" eb="75">
      <t>セイセイ</t>
    </rPh>
    <phoneticPr fontId="1"/>
  </si>
  <si>
    <t>このクリーチャーが攻撃するたび、あなたが他のトークンでない海賊をコントロールしている場合、あなたは2マナを吸収され、威迫を持つ2/2の黒の海賊・トークンを1体生成する。</t>
    <rPh sb="9" eb="11">
      <t>コウゲキ</t>
    </rPh>
    <rPh sb="20" eb="21">
      <t>タ</t>
    </rPh>
    <rPh sb="29" eb="31">
      <t>カイゾク</t>
    </rPh>
    <rPh sb="42" eb="44">
      <t>バアイ</t>
    </rPh>
    <rPh sb="53" eb="55">
      <t>キュウシュウ</t>
    </rPh>
    <rPh sb="58" eb="60">
      <t>イハク</t>
    </rPh>
    <rPh sb="61" eb="62">
      <t>モ</t>
    </rPh>
    <rPh sb="67" eb="68">
      <t>クロ</t>
    </rPh>
    <rPh sb="69" eb="71">
      <t>カイゾク</t>
    </rPh>
    <rPh sb="78" eb="79">
      <t>タイ</t>
    </rPh>
    <rPh sb="79" eb="81">
      <t>セイセイ</t>
    </rPh>
    <phoneticPr fontId="1"/>
  </si>
  <si>
    <t>海賊</t>
    <rPh sb="0" eb="2">
      <t>カイゾク</t>
    </rPh>
    <phoneticPr fontId="1"/>
  </si>
  <si>
    <t>他のクリーチャーが戦場に出るたび、そのクリーチャーのコントローラーに2点のダメージを与える。</t>
    <rPh sb="0" eb="1">
      <t>タ</t>
    </rPh>
    <rPh sb="9" eb="11">
      <t>センジョウ</t>
    </rPh>
    <rPh sb="12" eb="13">
      <t>デ</t>
    </rPh>
    <rPh sb="35" eb="36">
      <t>テン</t>
    </rPh>
    <rPh sb="42" eb="43">
      <t>アタ</t>
    </rPh>
    <phoneticPr fontId="1"/>
  </si>
  <si>
    <t>プレイヤー1人を対象とし、そのプレイヤーに4点のダメージを与える。あなたが強襲していて、赤ジェムが6個以上ある場合、この呪文をあなたの手札に戻す。</t>
    <rPh sb="6" eb="7">
      <t>ニン</t>
    </rPh>
    <rPh sb="8" eb="10">
      <t>タイショウ</t>
    </rPh>
    <rPh sb="22" eb="23">
      <t>テン</t>
    </rPh>
    <rPh sb="29" eb="30">
      <t>アタ</t>
    </rPh>
    <rPh sb="37" eb="39">
      <t>キョウシュウ</t>
    </rPh>
    <rPh sb="44" eb="45">
      <t>アカ</t>
    </rPh>
    <rPh sb="50" eb="51">
      <t>コ</t>
    </rPh>
    <rPh sb="51" eb="53">
      <t>イジョウ</t>
    </rPh>
    <rPh sb="55" eb="57">
      <t>バアイ</t>
    </rPh>
    <rPh sb="60" eb="62">
      <t>ジュモン</t>
    </rPh>
    <rPh sb="67" eb="69">
      <t>テフダ</t>
    </rPh>
    <rPh sb="70" eb="71">
      <t>モド</t>
    </rPh>
    <phoneticPr fontId="1"/>
  </si>
  <si>
    <t>あなたのターン開始時に、あなたが宝物を4つ以上コントロールしている場合、あなたの手札のすべてのカードは3マナを得る。</t>
    <rPh sb="7" eb="9">
      <t>カイシ</t>
    </rPh>
    <rPh sb="9" eb="10">
      <t>ジ</t>
    </rPh>
    <rPh sb="16" eb="18">
      <t>タカラモノ</t>
    </rPh>
    <rPh sb="21" eb="23">
      <t>イジョウ</t>
    </rPh>
    <rPh sb="33" eb="35">
      <t>バアイ</t>
    </rPh>
    <rPh sb="40" eb="42">
      <t>テフダ</t>
    </rPh>
    <rPh sb="55" eb="56">
      <t>エ</t>
    </rPh>
    <phoneticPr fontId="1"/>
  </si>
  <si>
    <t>バーサーカー</t>
    <phoneticPr fontId="1"/>
  </si>
  <si>
    <t>あなたが、マナ・コストが10以上のカードをプレイするたび、あなたのライブラリーから次のマナ・コストが9以下のカードを取ってくる。それはいっぱいのマナを得て、このサポートは1シールドを失う。</t>
    <rPh sb="14" eb="16">
      <t>イジョウ</t>
    </rPh>
    <rPh sb="41" eb="42">
      <t>ツギ</t>
    </rPh>
    <rPh sb="51" eb="53">
      <t>イカ</t>
    </rPh>
    <rPh sb="58" eb="59">
      <t>ト</t>
    </rPh>
    <rPh sb="75" eb="76">
      <t>エ</t>
    </rPh>
    <rPh sb="91" eb="92">
      <t>ウシナ</t>
    </rPh>
    <phoneticPr fontId="1"/>
  </si>
  <si>
    <t>ジェム2個を起動する：このサポートは2シールドを得る。</t>
    <rPh sb="4" eb="5">
      <t>コ</t>
    </rPh>
    <rPh sb="6" eb="8">
      <t>キドウ</t>
    </rPh>
    <rPh sb="24" eb="25">
      <t>エ</t>
    </rPh>
    <phoneticPr fontId="1"/>
  </si>
  <si>
    <t>コウモリ</t>
    <phoneticPr fontId="1"/>
  </si>
  <si>
    <t>ジェム2個を起動する：ジェム3個を緑に変換する。</t>
    <rPh sb="4" eb="5">
      <t>コ</t>
    </rPh>
    <rPh sb="6" eb="8">
      <t>キドウ</t>
    </rPh>
    <rPh sb="15" eb="16">
      <t>コ</t>
    </rPh>
    <rPh sb="17" eb="18">
      <t>ミドリ</t>
    </rPh>
    <rPh sb="19" eb="21">
      <t>ヘンカン</t>
    </rPh>
    <phoneticPr fontId="1"/>
  </si>
  <si>
    <t>あなたが他のマーフォークか青のサポートをコントロールしている間、このクリーチャーは+2/+2の修正を受ける。</t>
    <rPh sb="4" eb="5">
      <t>タ</t>
    </rPh>
    <rPh sb="13" eb="14">
      <t>アオ</t>
    </rPh>
    <rPh sb="30" eb="31">
      <t>アイダ</t>
    </rPh>
    <rPh sb="47" eb="49">
      <t>シュウセイ</t>
    </rPh>
    <rPh sb="50" eb="51">
      <t>ウ</t>
    </rPh>
    <phoneticPr fontId="1"/>
  </si>
  <si>
    <t>ジェム2個を起動する：ターン終了時まで、あなたの恐竜は速攻を得る。</t>
    <rPh sb="4" eb="5">
      <t>コ</t>
    </rPh>
    <rPh sb="6" eb="8">
      <t>キドウ</t>
    </rPh>
    <rPh sb="14" eb="17">
      <t>シュウリョウジ</t>
    </rPh>
    <rPh sb="24" eb="26">
      <t>キョウリュウ</t>
    </rPh>
    <rPh sb="27" eb="29">
      <t>ソッコウ</t>
    </rPh>
    <rPh sb="30" eb="31">
      <t>エ</t>
    </rPh>
    <phoneticPr fontId="1"/>
  </si>
  <si>
    <t>あなたが恐竜をコントロールしている間、この呪文のマナ・コストは4少なくなる。</t>
    <rPh sb="4" eb="6">
      <t>キョウリュウ</t>
    </rPh>
    <rPh sb="17" eb="18">
      <t>アイダ</t>
    </rPh>
    <rPh sb="21" eb="23">
      <t>ジュモン</t>
    </rPh>
    <rPh sb="32" eb="33">
      <t>スク</t>
    </rPh>
    <phoneticPr fontId="1"/>
  </si>
  <si>
    <t>ジェム2個を起動する：トランプルを持つ3/3の緑の恐竜・クリーチャー・トークンを1体生成する。</t>
    <rPh sb="4" eb="5">
      <t>コ</t>
    </rPh>
    <rPh sb="6" eb="8">
      <t>キドウ</t>
    </rPh>
    <rPh sb="17" eb="18">
      <t>モ</t>
    </rPh>
    <rPh sb="23" eb="24">
      <t>ミドリ</t>
    </rPh>
    <rPh sb="25" eb="27">
      <t>キョウリュウ</t>
    </rPh>
    <rPh sb="41" eb="44">
      <t>タイセイセイ</t>
    </rPh>
    <phoneticPr fontId="1"/>
  </si>
  <si>
    <t>このクリーチャーが攻撃するたび、ターン終了時まで、それは+2/+0の修正を受ける。</t>
    <rPh sb="9" eb="11">
      <t>コウゲキ</t>
    </rPh>
    <rPh sb="19" eb="22">
      <t>シュウリョウジ</t>
    </rPh>
    <rPh sb="34" eb="36">
      <t>シュウセイ</t>
    </rPh>
    <rPh sb="37" eb="38">
      <t>ウ</t>
    </rPh>
    <phoneticPr fontId="1"/>
  </si>
  <si>
    <t>あなたがコントロールする最後のクリーチャーを破壊し、カードを3枚引く。</t>
    <rPh sb="12" eb="14">
      <t>サイゴ</t>
    </rPh>
    <rPh sb="22" eb="24">
      <t>ハカイ</t>
    </rPh>
    <rPh sb="31" eb="32">
      <t>マイ</t>
    </rPh>
    <rPh sb="32" eb="33">
      <t>ヒ</t>
    </rPh>
    <phoneticPr fontId="1"/>
  </si>
  <si>
    <t>クリーチャー1体を対象とする。ターン終了時まで、それは+3/+3の修正を受けるとともにトランプルを得る。</t>
    <rPh sb="7" eb="8">
      <t>タイ</t>
    </rPh>
    <rPh sb="9" eb="11">
      <t>タイショウ</t>
    </rPh>
    <rPh sb="18" eb="21">
      <t>シュウリョウジ</t>
    </rPh>
    <rPh sb="33" eb="35">
      <t>シュウセイ</t>
    </rPh>
    <rPh sb="36" eb="37">
      <t>ウ</t>
    </rPh>
    <rPh sb="49" eb="50">
      <t>エ</t>
    </rPh>
    <phoneticPr fontId="1"/>
  </si>
  <si>
    <t>このクリーチャーが攻撃するたび、対戦相手がディフェンダーを持つクリーチャーをコントロールしている場合、ターン終了時までこのクリーチャーは+2/+2の修正を受ける。</t>
    <rPh sb="9" eb="11">
      <t>コウゲキ</t>
    </rPh>
    <rPh sb="16" eb="18">
      <t>タイセン</t>
    </rPh>
    <rPh sb="18" eb="20">
      <t>アイテ</t>
    </rPh>
    <rPh sb="29" eb="30">
      <t>モ</t>
    </rPh>
    <rPh sb="48" eb="50">
      <t>バアイ</t>
    </rPh>
    <rPh sb="54" eb="57">
      <t>シュウリョウジ</t>
    </rPh>
    <rPh sb="74" eb="76">
      <t>シュウセイ</t>
    </rPh>
    <rPh sb="77" eb="78">
      <t>ウ</t>
    </rPh>
    <phoneticPr fontId="1"/>
  </si>
  <si>
    <t>対戦相手の土地でないサポートを1つ破壊する。</t>
    <rPh sb="0" eb="2">
      <t>タイセン</t>
    </rPh>
    <rPh sb="2" eb="4">
      <t>アイテ</t>
    </rPh>
    <rPh sb="5" eb="7">
      <t>トチ</t>
    </rPh>
    <rPh sb="17" eb="19">
      <t>ハカイ</t>
    </rPh>
    <phoneticPr fontId="1"/>
  </si>
  <si>
    <t>クリーチャー1体を対象とする。ターン終了時まで、それは+4/+4の修正を受けるとともにバーサーカーを得る。</t>
    <rPh sb="7" eb="8">
      <t>タイ</t>
    </rPh>
    <rPh sb="9" eb="11">
      <t>タイショウ</t>
    </rPh>
    <rPh sb="18" eb="21">
      <t>シュウリョウジ</t>
    </rPh>
    <rPh sb="33" eb="35">
      <t>シュウセイ</t>
    </rPh>
    <rPh sb="36" eb="37">
      <t>ウ</t>
    </rPh>
    <rPh sb="50" eb="51">
      <t>エ</t>
    </rPh>
    <phoneticPr fontId="1"/>
  </si>
  <si>
    <t>クリーチャー1体を対象とし、それに3点のダメージを与える。あなたが強襲していた場合、代わりに5点のダメージを与える。</t>
    <rPh sb="7" eb="8">
      <t>タイ</t>
    </rPh>
    <rPh sb="9" eb="11">
      <t>タイショウ</t>
    </rPh>
    <rPh sb="18" eb="19">
      <t>テン</t>
    </rPh>
    <rPh sb="25" eb="26">
      <t>アタ</t>
    </rPh>
    <rPh sb="33" eb="35">
      <t>キョウシュウ</t>
    </rPh>
    <rPh sb="39" eb="41">
      <t>バアイ</t>
    </rPh>
    <rPh sb="42" eb="43">
      <t>カ</t>
    </rPh>
    <rPh sb="47" eb="48">
      <t>テン</t>
    </rPh>
    <rPh sb="54" eb="55">
      <t>アタ</t>
    </rPh>
    <phoneticPr fontId="1"/>
  </si>
  <si>
    <t>ジェム2個を起動する：色ジェム3個を忠誠ジェムに変換する。</t>
    <rPh sb="4" eb="5">
      <t>コ</t>
    </rPh>
    <rPh sb="6" eb="8">
      <t>キドウ</t>
    </rPh>
    <rPh sb="11" eb="12">
      <t>イロ</t>
    </rPh>
    <rPh sb="16" eb="17">
      <t>コ</t>
    </rPh>
    <rPh sb="18" eb="20">
      <t>チュウセイ</t>
    </rPh>
    <rPh sb="24" eb="26">
      <t>ヘンカン</t>
    </rPh>
    <phoneticPr fontId="1"/>
  </si>
  <si>
    <t>ジェム2個を起動する：このクリーチャーは+1/+1の修正を受ける。</t>
    <rPh sb="4" eb="5">
      <t>コ</t>
    </rPh>
    <rPh sb="6" eb="8">
      <t>キドウ</t>
    </rPh>
    <rPh sb="26" eb="28">
      <t>シュウセイ</t>
    </rPh>
    <rPh sb="29" eb="30">
      <t>ウ</t>
    </rPh>
    <phoneticPr fontId="1"/>
  </si>
  <si>
    <t>パワー7以上のクリーチャー1体を対象とし、それを破壊する。</t>
    <rPh sb="4" eb="6">
      <t>イジョウ</t>
    </rPh>
    <rPh sb="14" eb="15">
      <t>タイ</t>
    </rPh>
    <rPh sb="16" eb="18">
      <t>タイショウ</t>
    </rPh>
    <rPh sb="24" eb="26">
      <t>ハカイ</t>
    </rPh>
    <phoneticPr fontId="1"/>
  </si>
  <si>
    <t>あなたがコントロールするクリーチャーが探検を行うたび、対戦相手がコントロールする最初のクリーチャーは-2/-2の修正を受ける。</t>
    <rPh sb="19" eb="21">
      <t>タンケン</t>
    </rPh>
    <rPh sb="22" eb="23">
      <t>オコナ</t>
    </rPh>
    <rPh sb="27" eb="31">
      <t>タイセンアイテ</t>
    </rPh>
    <rPh sb="40" eb="42">
      <t>サイショ</t>
    </rPh>
    <rPh sb="56" eb="58">
      <t>シュウセイ</t>
    </rPh>
    <rPh sb="59" eb="60">
      <t>ウ</t>
    </rPh>
    <phoneticPr fontId="1"/>
  </si>
  <si>
    <t>このクリーチャーが戦場に出たとき、あなたが強襲していた場合、クリーチャー1体かプレインズウォーカー1体を対象とする。これはそれに4点のダメージを与える。</t>
    <rPh sb="9" eb="11">
      <t>センジョウ</t>
    </rPh>
    <rPh sb="12" eb="13">
      <t>デ</t>
    </rPh>
    <rPh sb="37" eb="38">
      <t>タイ</t>
    </rPh>
    <rPh sb="50" eb="51">
      <t>タイ</t>
    </rPh>
    <rPh sb="52" eb="54">
      <t>タイショウ</t>
    </rPh>
    <rPh sb="65" eb="66">
      <t>テン</t>
    </rPh>
    <rPh sb="72" eb="73">
      <t>アタ</t>
    </rPh>
    <phoneticPr fontId="1"/>
  </si>
  <si>
    <t>あなたがコントロールするクリーチャー1体が戦闘ダメージを与えるたび、そのクリーチャーは+3/+3の修正を受け、このサポートは1シールドを失う。</t>
    <rPh sb="19" eb="20">
      <t>タイ</t>
    </rPh>
    <rPh sb="21" eb="23">
      <t>セントウ</t>
    </rPh>
    <rPh sb="28" eb="29">
      <t>アタ</t>
    </rPh>
    <rPh sb="49" eb="51">
      <t>シュウセイ</t>
    </rPh>
    <rPh sb="52" eb="53">
      <t>ウ</t>
    </rPh>
    <rPh sb="68" eb="69">
      <t>ウシナ</t>
    </rPh>
    <phoneticPr fontId="1"/>
  </si>
  <si>
    <t>クリーチャー最大2体を対象とする。それらの各クリーチャーにそれぞれ4点のダメージを与え、その後そのクリーチャーにそれが強化された回数1回につき3点のダメージを与える。カードを1枚引く。</t>
    <rPh sb="6" eb="8">
      <t>サイダイ</t>
    </rPh>
    <rPh sb="9" eb="10">
      <t>タイ</t>
    </rPh>
    <rPh sb="11" eb="13">
      <t>タイショウ</t>
    </rPh>
    <rPh sb="21" eb="22">
      <t>カク</t>
    </rPh>
    <rPh sb="34" eb="35">
      <t>テン</t>
    </rPh>
    <rPh sb="41" eb="42">
      <t>アタ</t>
    </rPh>
    <rPh sb="46" eb="47">
      <t>ゴ</t>
    </rPh>
    <rPh sb="59" eb="61">
      <t>キョウカ</t>
    </rPh>
    <rPh sb="64" eb="66">
      <t>カイスウ</t>
    </rPh>
    <rPh sb="67" eb="68">
      <t>カイ</t>
    </rPh>
    <rPh sb="72" eb="73">
      <t>テン</t>
    </rPh>
    <rPh sb="79" eb="80">
      <t>アタ</t>
    </rPh>
    <rPh sb="88" eb="90">
      <t>マイヒ</t>
    </rPh>
    <phoneticPr fontId="1"/>
  </si>
  <si>
    <t>対戦相手のターン終了時に、対戦相手の手札のすべてのカードから、直前のターンにあなたがプレイしたカード1枚につき4マナを吸収し、このサポートは1シールドを失う。</t>
    <rPh sb="0" eb="2">
      <t>タイセン</t>
    </rPh>
    <rPh sb="2" eb="4">
      <t>アイテ</t>
    </rPh>
    <rPh sb="8" eb="11">
      <t>シュウリョウジ</t>
    </rPh>
    <rPh sb="13" eb="15">
      <t>タイセン</t>
    </rPh>
    <rPh sb="15" eb="17">
      <t>アイテ</t>
    </rPh>
    <rPh sb="18" eb="20">
      <t>テフダ</t>
    </rPh>
    <rPh sb="31" eb="33">
      <t>チョクゼン</t>
    </rPh>
    <rPh sb="51" eb="52">
      <t>マイ</t>
    </rPh>
    <rPh sb="59" eb="61">
      <t>キュウシュウ</t>
    </rPh>
    <rPh sb="76" eb="77">
      <t>ウシナ</t>
    </rPh>
    <phoneticPr fontId="1"/>
  </si>
  <si>
    <t>このクリーチャーが戦場に出たとき、これはあなたの墓地にある土地1枚につき、+2/+2の修正を受ける。</t>
    <rPh sb="9" eb="11">
      <t>センジョウ</t>
    </rPh>
    <rPh sb="12" eb="13">
      <t>デ</t>
    </rPh>
    <rPh sb="24" eb="26">
      <t>ボチ</t>
    </rPh>
    <rPh sb="29" eb="31">
      <t>トチ</t>
    </rPh>
    <rPh sb="32" eb="33">
      <t>マイ</t>
    </rPh>
    <rPh sb="43" eb="45">
      <t>シュウセイ</t>
    </rPh>
    <rPh sb="46" eb="47">
      <t>ウ</t>
    </rPh>
    <phoneticPr fontId="1"/>
  </si>
  <si>
    <t>あなたがコントロールするサポートが破壊されるたび、あなたのライブラリーから次の土地を1つ取ってくる。それは6マナを得る。</t>
    <rPh sb="17" eb="19">
      <t>ハカイ</t>
    </rPh>
    <rPh sb="37" eb="38">
      <t>ツギ</t>
    </rPh>
    <rPh sb="39" eb="41">
      <t>トチ</t>
    </rPh>
    <rPh sb="44" eb="45">
      <t>ト</t>
    </rPh>
    <rPh sb="57" eb="58">
      <t>エ</t>
    </rPh>
    <phoneticPr fontId="1"/>
  </si>
  <si>
    <t>黒ジェム2個を起動する：再生3。</t>
    <rPh sb="0" eb="1">
      <t>クロ</t>
    </rPh>
    <rPh sb="5" eb="6">
      <t>コ</t>
    </rPh>
    <rPh sb="7" eb="9">
      <t>キドウ</t>
    </rPh>
    <rPh sb="12" eb="14">
      <t>サイセイ</t>
    </rPh>
    <phoneticPr fontId="1"/>
  </si>
  <si>
    <t>緑ジェム2個を起動する：6点のライフを得る。</t>
    <rPh sb="0" eb="1">
      <t>ミドリ</t>
    </rPh>
    <rPh sb="5" eb="6">
      <t>コ</t>
    </rPh>
    <rPh sb="7" eb="9">
      <t>キドウ</t>
    </rPh>
    <rPh sb="13" eb="14">
      <t>テン</t>
    </rPh>
    <rPh sb="19" eb="20">
      <t>エ</t>
    </rPh>
    <phoneticPr fontId="1"/>
  </si>
  <si>
    <t>バーサーカー&amp;br;このクリーチャーがクリーチャーにダメージを与えるたび、これは探検2を行う。</t>
    <rPh sb="31" eb="32">
      <t>アタ</t>
    </rPh>
    <rPh sb="40" eb="42">
      <t>タンケン</t>
    </rPh>
    <rPh sb="44" eb="45">
      <t>オコナ</t>
    </rPh>
    <phoneticPr fontId="1"/>
  </si>
  <si>
    <t>オーラ術師</t>
    <phoneticPr fontId="1"/>
  </si>
  <si>
    <t>#contents()</t>
  </si>
  <si>
    <t>*イクサラン [#v7f88890]</t>
  </si>
  <si>
    <t>カードギャラリー(リンクは海外公式サイト)</t>
  </si>
  <si>
    <t>https://d3go.com/magic-puzzle-quest-ixalan-set-gallery/</t>
  </si>
  <si>
    <t>**白 [#z0138fd5]</t>
  </si>
  <si>
    <t>**青 [#y935c63d]</t>
  </si>
  <si>
    <t>**黒 [#u9a51919]</t>
  </si>
  <si>
    <t>**赤 [#v132211f]</t>
  </si>
  <si>
    <t>**緑 [#k13810e8]</t>
  </si>
  <si>
    <t>**多色 [#jbc0a96a]</t>
  </si>
  <si>
    <t>**無色 [#t85aed49]</t>
  </si>
  <si>
    <t>*イクサラン・エリートカード [#gcc0bccf]</t>
  </si>
  <si>
    <t>https://d3go.com/mtgpq-card-list-elite-collection/</t>
  </si>
  <si>
    <t>LEFT:80</t>
  </si>
  <si>
    <t>LEFT:100</t>
  </si>
  <si>
    <t>レアリティ</t>
  </si>
  <si>
    <t>種別</t>
  </si>
  <si>
    <t>《[[アダントの先兵]]/Adanto Vanguard》</t>
  </si>
  <si>
    <t>《[[日の出の使者]]/Emissary of Sunrise》</t>
  </si>
  <si>
    <t>《[[帝国の槍騎兵]]/Imperial Lancer》</t>
  </si>
  <si>
    <t>《[[駆り立てる僧侶]]/Inspiring Cleric》</t>
  </si>
  <si>
    <t>《[[軍団の征服者]]/Legion Conquistador》</t>
  </si>
  <si>
    <t>《[[血潮隊の聖騎士]]/Paladin of the Bloodstained》</t>
  </si>
  <si>
    <t>《[[不動のアルマサウルス]]/Steadfast Armasaur》</t>
  </si>
  <si>
    <t>《[[縄張り持ちの槌頭]]/Territorial Hammerskull》</t>
  </si>
  <si>
    <t>《[[啓蒙]]/Demystify》</t>
  </si>
  <si>
    <t>《[[軍団の裁き]]/Legion's Judgment》</t>
  </si>
  <si>
    <t>《[[若返りの儀式]]/Ritual of Rejuvenation》</t>
  </si>
  <si>
    <t>《[[吠えるイージサウルス]]/Bellowing Aegisaur》</t>
  </si>
  <si>
    <t>《[[薄暮まといの空渡り]]/Duskborne Skymarcher》</t>
  </si>
  <si>
    <t>《[[宿営地の守り手]]/Encampment Keeper》</t>
  </si>
  <si>
    <t>《[[薄暮の賛美者]]/Glorifier of Dusk》</t>
  </si>
  <si>
    <t>《[[帝国のエアロサウルス]]/Imperial Aerosaur》</t>
  </si>
  <si>
    <t>《[[キンジャーリの呼び手]]/Kinjalli's Caller》</t>
  </si>
  <si>
    <t>《[[女王の任命]]/Queen's Commission》</t>
  </si>
  <si>
    <t>《[[防護の光]]/Sheltering Light》</t>
  </si>
  <si>
    <t>《[[吸血鬼の士気]]/Vampire's Zeal》</t>
  </si>
  <si>
    <t>《[[再誕の司教]]/Bishop of Rebirth》</t>
  </si>
  <si>
    <t>《[[突き刺すケラトプス]]/Goring Ceratops》</t>
  </si>
  <si>
    <t>《[[キンジャーリの陽光翼]]/Kinjalli's Sunwing》</t>
  </si>
  <si>
    <t>《[[定命の枢軸]]/Axis of Mortality》</t>
  </si>
  <si>
    <t>《[[イクサランの束縛]]/Ixalan's Binding》</t>
  </si>
  <si>
    <t>《[[残骸の漂着]]/Settle the Wreckage》</t>
  </si>
  <si>
    <t>《[[薄暮の使徒、マーブレン・フェイン]]/Mavren Fein, Dusk Apostle》</t>
  </si>
  <si>
    <t>《[[覚醒の太陽の化身]]/Wakening Sun's Avatar》</t>
  </si>
  <si>
    <t>[[《軍団の上陸/Legion's Landing》&amp;br;→《一番砦、アダント/Adanto, the First Fort》&gt;軍団の上陸]]</t>
  </si>
  <si>
    <t>《[[裕福な海賊]]/Prosperous Pirates》</t>
  </si>
  <si>
    <t>《[[見習い形成師]]/Shaper Apprentice》</t>
  </si>
  <si>
    <t>《[[難破船あさり]]/Shipwreck Looter》</t>
  </si>
  <si>
    <t>《[[セイレーンの見張り番]]/Siren Lookout》</t>
  </si>
  <si>
    <t>《[[水罠織り]]/Watertrap Weaver》</t>
  </si>
  <si>
    <t>《[[欲望の深み]]/Depths of Desire》</t>
  </si>
  <si>
    <t>《[[潜水]]/Dive Down》</t>
  </si>
  <si>
    <t>《[[風と共に]]/One With the Wind》</t>
  </si>
  <si>
    <t>《[[危険な航海]]/Perilous Voyage》</t>
  </si>
  <si>
    <t>《[[海賊の獲物]]/Pirate's Prize》</t>
  </si>
  <si>
    <t>《[[セイレーンの策略]]/Siren's Ruse》</t>
  </si>
  <si>
    <t>《[[巧射艦隊の操舵手]]/Deadeye Quartermaster》</t>
  </si>
  <si>
    <t>《[[川潜み]]/River Sneak》</t>
  </si>
  <si>
    <t>《[[岸の守り手]]/Shore Keeper》</t>
  </si>
  <si>
    <t>《[[風雲艦隊の空中要員]]/Storm Fleet Aerialist》</t>
  </si>
  <si>
    <t>《[[大嵐呼び]]/Tempest Caller》</t>
  </si>
  <si>
    <t>《[[航路の作成]]/Chart a Course》</t>
  </si>
  <si>
    <t>《[[見張りによる消散]]/Lookout's Dispersal》</t>
  </si>
  <si>
    <t>《[[深根の水域]]/Deeproot Waters》</t>
  </si>
  <si>
    <t>《[[順風]]/Favorable Winds》</t>
  </si>
  <si>
    <t>《[[勇敢な妨害工作員]]/Daring Saboteur》</t>
  </si>
  <si>
    <t>《[[船団呑み]]/Fleet Swallower》</t>
  </si>
  <si>
    <t>《[[秘滝の軍使]]/Herald of Secret Streams》</t>
  </si>
  <si>
    <t>《[[セイレーンの嵐鎮め]]/Siren Stormtamer》</t>
  </si>
  <si>
    <t>《[[溢れ出る洞察]]/Overflowing Insight》</t>
  </si>
  <si>
    <t>《[[川の叱責]]/River's Rebuke》</t>
  </si>
  <si>
    <t>《[[秘儀での順応]]/Arcane Adaptation》</t>
  </si>
  <si>
    <t>《[[波を司る者、コパラ]]/Kopala, Warden of Waves》</t>
  </si>
  <si>
    <t>《[[呪文詐欺]]/Spell Swindle》</t>
  </si>
  <si>
    <t>[[《アズカンタの探索/Search for Azcanta》&amp;br;→《水没遺跡、アズカンタ/Azcanta, the Sunken Ruin》&gt;アズカンタの探索]]</t>
  </si>
  <si>
    <t>《[[巧射艦隊の拷問者]]/Deadeye Tormentor》</t>
  </si>
  <si>
    <t>《[[自暴自棄の漂流者]]/Desperate Castaways》</t>
  </si>
  <si>
    <t>《[[凶兆艦隊の貯め込み屋]]/Dire Fleet Hoarder》</t>
  </si>
  <si>
    <t>《[[凶兆艦隊の侵入者]]/Dire Fleet Interloper》</t>
  </si>
  <si>
    <t>《[[隠れ潜むチュパカブラ]]/Lurking Chupacabra》</t>
  </si>
  <si>
    <t>《[[女王の工作員]]/Queen's Agent》</t>
  </si>
  <si>
    <t>《[[探求者の従者]]/Seekers' Squire》</t>
  </si>
  <si>
    <t>《[[指名手配の獄道者]]/Wanted Scoundrels》</t>
  </si>
  <si>
    <t>《[[依頼殺人]]/Contract Killing》</t>
  </si>
  <si>
    <t>《[[高くつく略奪]]/Costly Plunder》</t>
  </si>
  <si>
    <t>《[[無情な略奪]]/Heartless Pillage》</t>
  </si>
  <si>
    <t>《[[立ち枯れの守り手]]/Blight Keeper》</t>
  </si>
  <si>
    <t>《[[不死の古き者]]/Deathless Ancient》</t>
  </si>
  <si>
    <t>《[[帆凧の掠め盗り]]/Kitesail Freebooter》</t>
  </si>
  <si>
    <t>《[[無情な無頼漢]]/Ruthless Knave》</t>
  </si>
  <si>
    <t>《[[敵意ある征服者]]/Vicious Conquistador》</t>
  </si>
  <si>
    <t>《[[強迫]]/Duress》</t>
  </si>
  <si>
    <t>《[[不気味な船長の召集]]/Grim Captain's Call》</t>
  </si>
  <si>
    <t>《[[板歩きの刑]]/Walk the Plank》</t>
  </si>
  <si>
    <t>《[[略奪者の痕跡]]/Raiders' Wake》</t>
  </si>
  <si>
    <t>《[[血潮隊の司教]]/Bishop of the Bloodstained》</t>
  </si>
  <si>
    <t>《[[巧射艦隊の追跡者]]/Deadeye Tracker》</t>
  </si>
  <si>
    <t>《[[深海艦隊の船長]]/Fathom Fleet Captain》</t>
  </si>
  <si>
    <t>《[[ヴラスカの侮辱]]/Vraska's Contempt》</t>
  </si>
  <si>
    <t>《[[富の享楽]]/Revel in Riches》</t>
  </si>
  <si>
    <t>《[[剣呑な交渉]]/Sword-Point Diplomacy》</t>
  </si>
  <si>
    <t>《[[凶兆艦隊の荒廃者]]/Dire Fleet Ravager》</t>
  </si>
  <si>
    <t>《[[聖域探究者]]/Sanctum Seeker》</t>
  </si>
  <si>
    <t>[[《アルゲールの断血/Arguel's Blood Fastt》&amp;br;→《アクロゾズの神殿/Temple of Aclazotz》&gt;アルゲールの断血]]</t>
  </si>
  <si>
    <t>《[[鉄面連合の海賊]]/Brazen Buccaneers》</t>
  </si>
  <si>
    <t>《[[深海艦隊の扇動者]]/Fathom Fleet Firebrand》</t>
  </si>
  <si>
    <t>《[[巣荒らし]]/Nest Robber》</t>
  </si>
  <si>
    <t>《[[風雲艦隊の紅蓮術士]]/Storm Fleet Pyromancer》</t>
  </si>
  <si>
    <t>《[[太陽冠のハンター]]/Sun-Crowned Hunters》</t>
  </si>
  <si>
    <t>《[[猛竜の群れ]]/Thrash of Raptors》</t>
  </si>
  <si>
    <t>《[[ティロナーリの騎士]]/Tilonalli's Knight》</t>
  </si>
  <si>
    <t>《[[火炎砲発射]]/Firecannon Blast》</t>
  </si>
  <si>
    <t>《[[苛立ち]]/Rile》</t>
  </si>
  <si>
    <t>《[[向こう見ず]]/Swashbuckling》</t>
  </si>
  <si>
    <t>《[[決別の砲撃]]/Unfriendly Fire》</t>
  </si>
  <si>
    <t>《[[突進するモンストロサウルス]]/Charging Monstrosaur》</t>
  </si>
  <si>
    <t>《[[火の祭殿の守り手]]/Fire Shrine Keeper》</t>
  </si>
  <si>
    <t>《[[稲妻砲手]]/Lightning-Rig Crew》</t>
  </si>
  <si>
    <t>《[[オテペクの猟匠]]/Otepec Huntmaster》</t>
  </si>
  <si>
    <t>《[[猛竜の幼生]]/Raptor Hatchling》</t>
  </si>
  <si>
    <t>《[[帆綱走り]]/Rigging Runner》</t>
  </si>
  <si>
    <t>《[[ずる賢いゴブリン]]/Wily Goblin》</t>
  </si>
  <si>
    <t>《[[焦熱の連続砲撃]]/Fiery Cannonade》</t>
  </si>
  <si>
    <t>《[[間に合わせの砲弾]]/Makeshift Munitions》</t>
  </si>
  <si>
    <t>《[[誘惑の財宝]]/Trove of Temptation》</t>
  </si>
  <si>
    <t>《[[蠱惑的な船員]]/Captivating Crew》</t>
  </si>
  <si>
    <t>《[[暴れ回るフェロキドン]]/Rampaging Ferocidon》</t>
  </si>
  <si>
    <t>《[[荒くれ船員]]/Rowdy Crew》</t>
  </si>
  <si>
    <t>《[[風雲艦隊の放火魔]]/Storm Fleet Arsonist》</t>
  </si>
  <si>
    <t>《[[ティロナーリの肌変わり]]/Tilonalli's Skinshifter》</t>
  </si>
  <si>
    <t>《[[反復連射]]/Repeating Barrage》</t>
  </si>
  <si>
    <t>《[[太陽鳥の祈祷]]/Sunbird's Invocation》</t>
  </si>
  <si>
    <t>《[[焼熱の太陽の化身]]/Burning Sun's Avatar》</t>
  </si>
  <si>
    <t>《[[風雲船長ラネリー]]/Captain Lannery Storm》</t>
  </si>
  <si>
    <t>《[[絶滅の星]]/Star of Extinction》</t>
  </si>
  <si>
    <t>[[《ヴァンスの爆破砲/Vance's Blasting Cannons》&amp;br;→《火を吐く稜堡/Spitfire Bastion》&gt;ヴァンスの爆破砲]]</t>
  </si>
  <si>
    <t>《[[巨大な戦慄大口]]/Colossal Dreadmaw》</t>
  </si>
  <si>
    <t>《[[深根の戦士]]/Deeproot Warrior》</t>
  </si>
  <si>
    <t>《[[イクサーリの卜占師]]/Ixalli's Diviner》</t>
  </si>
  <si>
    <t>《[[翡翠の守護者]]/Jade Guardian》</t>
  </si>
  <si>
    <t>《[[ジャングルの探査者]]/Jungle Delver》</t>
  </si>
  <si>
    <t>《[[貪欲な短剣歯]]/Ravenous Daggertooth》</t>
  </si>
  <si>
    <t>《[[塁壁壊し]]/Crash the Ramparts》</t>
  </si>
  <si>
    <t>《[[創発的成長]]/Emergent Growth》</t>
  </si>
  <si>
    <t>《[[真っ二つ]]/Slice in Twain》</t>
  </si>
  <si>
    <t>《[[新たな地平]]/New Horizons》</t>
  </si>
  <si>
    <t>《[[大物群れの操り手]]/Drover of the Mighty》</t>
  </si>
  <si>
    <t>《[[イクサーリの守り手]]/Ixalli's Keeper》</t>
  </si>
  <si>
    <t>《[[クメーナの語り部]]/Kumena's Speaker》</t>
  </si>
  <si>
    <t>《[[マーフォークの枝渡り]]/Merfolk Branchwalker》</t>
  </si>
  <si>
    <t>《[[群棲する猛竜]]/Ranging Raptors》</t>
  </si>
  <si>
    <t>《[[轟く棘背びれ]]/Thundering Spineback》</t>
  </si>
  <si>
    <t>《[[蔦形成師の神秘家]]/Vineshaper Mystic》</t>
  </si>
  <si>
    <t>《[[川守りの恩恵]]/River Heralds' Boon》</t>
  </si>
  <si>
    <t>《[[凶暴な踏みつけ]]/Savage Stomp》</t>
  </si>
  <si>
    <t>《[[形成師の聖域]]/Shapers' Sanctuary》</t>
  </si>
  <si>
    <t>《[[貪る死肉あさり]]/Deathgorge Scavenger》</t>
  </si>
  <si>
    <t>《[[深根の勇者]]/Deeproot Champion》</t>
  </si>
  <si>
    <t>《[[皇帝の先兵]]/Emperor's Vanguard》</t>
  </si>
  <si>
    <t>《[[切り裂き顎の猛竜]]/Ripjaw Raptor》</t>
  </si>
  <si>
    <t>《[[野茂み歩き]]/Wildgrowth Walker》</t>
  </si>
  <si>
    <t>《[[恐竜との融和]]/Commune with Dinosaurs》</t>
  </si>
  <si>
    <t>《[[殺戮の暴君]]/Carnage Tyrant》</t>
  </si>
  <si>
    <t>《[[翠緑の太陽の化身]]/Verdant Sun's Avatar》</t>
  </si>
  <si>
    <t>[[《イトリモクの成長儀式/Growing Rites of Itlimoc》&amp;br;→《太陽の揺籃の地、イトリモク/Itlimoc, Cradle of the Sun》&gt;イトリモクの成長儀式]]</t>
  </si>
  <si>
    <t>《[[巧射艦隊の略取者]]/Deadeye Plunderers》</t>
  </si>
  <si>
    <t>《[[人質取り]]/Hostage Taker》</t>
  </si>
  <si>
    <t>《[[凶兆艦隊の船長]]/Dire Fleet Captain》</t>
  </si>
  <si>
    <t>《[[怒り狂う長剣歯]]/Raging Swordtooth》</t>
  </si>
  <si>
    <t>《[[レギサウルスの頭目]]/Regisaur Alpha》</t>
  </si>
  <si>
    <t>《[[好戦的なブロントドン]]/Belligerent Brontodon》</t>
  </si>
  <si>
    <t>《[[饗宴への召集]]/Call to the Feast》</t>
  </si>
  <si>
    <t>《[[マガーンの鏖殺者、ヴォーナ]]/Vona, Butcher of Magan》</t>
  </si>
  <si>
    <t>《[[空の恐怖]]/Sky Terror》</t>
  </si>
  <si>
    <t>《[[自然形成師]]/Shapers of Nature》</t>
  </si>
  <si>
    <t>《[[轟く声、ティシャーナ]]/Tishana, Voice of Thunder》</t>
  </si>
  <si>
    <t>《[[鉄面提督ベケット]]/Admiral Beckett Brass》</t>
  </si>
  <si>
    <t>《[[太陽の化身、ギシャス]]/Gishath, Sun's Avatar》</t>
  </si>
  <si>
    <t>《[[薄暮軍団の弩級艦]]/Dusk Legion Dreadnought》</t>
  </si>
  <si>
    <t>《[[廃墟の地]]/Field of Ruin》</t>
  </si>
  <si>
    <t>《[[秘儀司祭の杯]]/Hierophant's Chalice》</t>
  </si>
  <si>
    <t>《[[海賊のカットラス]]/Pirate's Cutlass》</t>
  </si>
  <si>
    <t>《[[未知の岸]]/Unknown Shores》</t>
  </si>
  <si>
    <t>《[[繁雑な火炎砲]]/Elaborate Firecannon》</t>
  </si>
  <si>
    <t>《[[起源の柱]]/Pillar of Origins》</t>
  </si>
  <si>
    <t>《[[もぎ取り刃]]/Prying Blade》</t>
  </si>
  <si>
    <t>《[[歩哨のトーテム像]]/Sentinel Totem》</t>
  </si>
  <si>
    <t>《[[不吉な旗艦]]/Fell Flagship》</t>
  </si>
  <si>
    <t>[[《征服者のガレオン船/Conqueror's Galleon》&amp;br;→《征服者の橋頭堡/Conqueror's Foothold》&gt;征服者のガレオン船]]</t>
  </si>
  <si>
    <t>[[《探査の短剣/Dowsing Dagger》&amp;br;→《失われた谷間/Lost Vale》&gt;探査の短剣]]</t>
  </si>
  <si>
    <t>[[《原初の呪物/Primal Amulet》&amp;br;→《原初の水源/Primal Wellspring》&gt;原初の呪物]]</t>
  </si>
  <si>
    <t>[[《魔学コンパス/Thaumatic Compass》&amp;br;→《オラーズカの尖塔/Spires of Orazca》&gt;魔学コンパス]]</t>
  </si>
  <si>
    <t>[[《宝物の地図/Treasure Map》&amp;br;→《宝物の入り江/Treasure Cove》&gt;宝物の地図]]</t>
  </si>
  <si>
    <t>《[[陰鬱な帆船]]/Shadowed Caravel》</t>
  </si>
  <si>
    <t>《[[魔術遠眼鏡]]/Sorcerous Spyglass》</t>
  </si>
  <si>
    <t>《[[手付かずの領土]]/Unclaimed Territory》</t>
  </si>
  <si>
    <t>《[[勝者の戦旗]]/Vanquisher's Banner》</t>
  </si>
  <si>
    <t>LEFT:450</t>
  </si>
  <si>
    <t>LEFT:150</t>
  </si>
  <si>
    <t>《[[ヴィズコーパの血男爵]]/Blood Baron of Vizkopa》</t>
  </si>
  <si>
    <t>《[[聖遺の騎士]]/Knight of the Reliquary》</t>
  </si>
  <si>
    <t>《[[月の大魔術師]]/Magus of the Moon》</t>
  </si>
  <si>
    <t>《[[魂売り]]/Spiritmonger》</t>
  </si>
  <si>
    <t>《[[電解]]/Electrolyze》</t>
  </si>
  <si>
    <t>《[[剣を鍬に]]/Swords to Plowshares》</t>
  </si>
  <si>
    <t>《[[霊気の薬瓶]]/Aether Vial》</t>
  </si>
  <si>
    <t>《[[捕食の呪い]]/Curse of Predation》</t>
  </si>
  <si>
    <t>《[[狼狽の嵐]]/Flusterstorm》</t>
  </si>
  <si>
    <t>《[[血なまぐさい結合]]/Sanguine Bond》</t>
  </si>
  <si>
    <t>深根の水域</t>
    <phoneticPr fontId="1"/>
  </si>
  <si>
    <t>探求者の従者</t>
    <phoneticPr fontId="1"/>
  </si>
  <si>
    <t>赤ジェム3個を起動する：対戦相手がコントロールする最後のクリーチャーが3点のダメージを与える。</t>
    <rPh sb="0" eb="1">
      <t>アカ</t>
    </rPh>
    <rPh sb="5" eb="6">
      <t>コ</t>
    </rPh>
    <rPh sb="7" eb="9">
      <t>キドウ</t>
    </rPh>
    <rPh sb="12" eb="14">
      <t>タイセン</t>
    </rPh>
    <rPh sb="14" eb="16">
      <t>アイテ</t>
    </rPh>
    <rPh sb="25" eb="27">
      <t>サイゴ</t>
    </rPh>
    <rPh sb="36" eb="37">
      <t>テン</t>
    </rPh>
    <rPh sb="43" eb="44">
      <t>アタ</t>
    </rPh>
    <phoneticPr fontId="1"/>
  </si>
  <si>
    <t>ジェム2個を起動する：カードを1枚引き、ジェム2個を忠誠ジェムに変換する。</t>
    <rPh sb="4" eb="5">
      <t>コ</t>
    </rPh>
    <rPh sb="6" eb="8">
      <t>キドウ</t>
    </rPh>
    <rPh sb="16" eb="17">
      <t>マイ</t>
    </rPh>
    <rPh sb="17" eb="18">
      <t>ヒ</t>
    </rPh>
    <rPh sb="24" eb="25">
      <t>コ</t>
    </rPh>
    <rPh sb="26" eb="28">
      <t>チュウセイ</t>
    </rPh>
    <rPh sb="32" eb="34">
      <t>ヘンカン</t>
    </rPh>
    <phoneticPr fontId="1"/>
  </si>
  <si>
    <t>あなたのターン終了時に、ボード上に忠誠ジェムが8個以上ある場合、10点のライフを得てこのサポートを変身させる。</t>
    <rPh sb="7" eb="10">
      <t>シュウリョウジ</t>
    </rPh>
    <rPh sb="15" eb="16">
      <t>ジョウ</t>
    </rPh>
    <rPh sb="17" eb="19">
      <t>チュウセイ</t>
    </rPh>
    <rPh sb="24" eb="25">
      <t>コ</t>
    </rPh>
    <rPh sb="25" eb="27">
      <t>イジョウ</t>
    </rPh>
    <rPh sb="29" eb="31">
      <t>バアイ</t>
    </rPh>
    <rPh sb="34" eb="35">
      <t>テン</t>
    </rPh>
    <rPh sb="40" eb="41">
      <t>エ</t>
    </rPh>
    <rPh sb="49" eb="51">
      <t>ヘンシン</t>
    </rPh>
    <phoneticPr fontId="1"/>
  </si>
  <si>
    <t>土地</t>
    <rPh sb="0" eb="2">
      <t>トチ</t>
    </rPh>
    <phoneticPr fontId="1"/>
  </si>
  <si>
    <t>あなたがライフを得るたびに、代わりに、そのライフの点数の端数を切り上げた半分の点数のライフを得る。あなたがライフを得るたびに、Xマナを得る。Xはあなたが得たライフの点数に等しい。</t>
    <rPh sb="8" eb="9">
      <t>エ</t>
    </rPh>
    <rPh sb="14" eb="15">
      <t>カ</t>
    </rPh>
    <rPh sb="25" eb="27">
      <t>テンスウ</t>
    </rPh>
    <rPh sb="28" eb="30">
      <t>ハスウ</t>
    </rPh>
    <rPh sb="31" eb="32">
      <t>キ</t>
    </rPh>
    <rPh sb="33" eb="34">
      <t>ア</t>
    </rPh>
    <rPh sb="36" eb="38">
      <t>ハンブン</t>
    </rPh>
    <rPh sb="39" eb="41">
      <t>テンスウ</t>
    </rPh>
    <rPh sb="46" eb="47">
      <t>エ</t>
    </rPh>
    <rPh sb="57" eb="58">
      <t>エ</t>
    </rPh>
    <rPh sb="67" eb="68">
      <t>エ</t>
    </rPh>
    <rPh sb="76" eb="77">
      <t>エ</t>
    </rPh>
    <rPh sb="82" eb="84">
      <t>テンスウ</t>
    </rPh>
    <rPh sb="85" eb="86">
      <t>ヒト</t>
    </rPh>
    <phoneticPr fontId="1"/>
  </si>
  <si>
    <t>スフィンクス</t>
    <phoneticPr fontId="1"/>
  </si>
  <si>
    <t>飛行</t>
    <rPh sb="0" eb="2">
      <t>ヒコウ</t>
    </rPh>
    <phoneticPr fontId="1"/>
  </si>
  <si>
    <t>このクリーチャーが戦場に出た時、あなたの次のターン開始時まで、対戦相手は呪文を唱えられない。</t>
    <rPh sb="9" eb="11">
      <t>センジョウ</t>
    </rPh>
    <rPh sb="12" eb="13">
      <t>デ</t>
    </rPh>
    <rPh sb="14" eb="15">
      <t>トキ</t>
    </rPh>
    <rPh sb="20" eb="21">
      <t>ツギ</t>
    </rPh>
    <rPh sb="25" eb="27">
      <t>カイシ</t>
    </rPh>
    <rPh sb="27" eb="28">
      <t>ジ</t>
    </rPh>
    <rPh sb="31" eb="33">
      <t>タイセン</t>
    </rPh>
    <rPh sb="33" eb="35">
      <t>アイテ</t>
    </rPh>
    <rPh sb="36" eb="38">
      <t>ジュモン</t>
    </rPh>
    <rPh sb="39" eb="40">
      <t>トナ</t>
    </rPh>
    <phoneticPr fontId="1"/>
  </si>
  <si>
    <t>このクリーチャーが攻撃するたび、ボード上に白ジェムが6個以上ある場合、8点のライフを得て、青ジェムが6個以上ある場合、カードを4枚引く。</t>
    <rPh sb="9" eb="11">
      <t>コウゲキ</t>
    </rPh>
    <rPh sb="19" eb="20">
      <t>ジョウ</t>
    </rPh>
    <rPh sb="21" eb="22">
      <t>シロ</t>
    </rPh>
    <rPh sb="27" eb="30">
      <t>コイジョウ</t>
    </rPh>
    <rPh sb="32" eb="34">
      <t>バアイ</t>
    </rPh>
    <rPh sb="36" eb="37">
      <t>テン</t>
    </rPh>
    <rPh sb="42" eb="43">
      <t>エ</t>
    </rPh>
    <rPh sb="45" eb="46">
      <t>アオ</t>
    </rPh>
    <rPh sb="51" eb="54">
      <t>コイジョウ</t>
    </rPh>
    <rPh sb="56" eb="58">
      <t>バアイ</t>
    </rPh>
    <rPh sb="64" eb="65">
      <t>マイ</t>
    </rPh>
    <rPh sb="65" eb="66">
      <t>ヒ</t>
    </rPh>
    <phoneticPr fontId="1"/>
  </si>
  <si>
    <t>吸血鬼</t>
    <rPh sb="0" eb="3">
      <t>キュウケツキ</t>
    </rPh>
    <phoneticPr fontId="1"/>
  </si>
  <si>
    <t>騎士</t>
    <rPh sb="0" eb="2">
      <t>キシ</t>
    </rPh>
    <phoneticPr fontId="1"/>
  </si>
  <si>
    <t>絆魂</t>
    <rPh sb="0" eb="1">
      <t>キズナ</t>
    </rPh>
    <rPh sb="1" eb="2">
      <t>タマシイ</t>
    </rPh>
    <phoneticPr fontId="1"/>
  </si>
  <si>
    <t>クリーチャーが死亡するたび、このクリーチャーを強化する。</t>
    <rPh sb="7" eb="9">
      <t>シボウ</t>
    </rPh>
    <rPh sb="23" eb="25">
      <t>キョウカ</t>
    </rPh>
    <phoneticPr fontId="1"/>
  </si>
  <si>
    <t>このクリーチャーが死亡した時、絆魂を持つ1/1の白の吸血鬼・トークンをX体生成する。Xはこのクリーチャーが強化された回数に1を足した数に等しい。</t>
    <rPh sb="9" eb="11">
      <t>シボウ</t>
    </rPh>
    <rPh sb="13" eb="14">
      <t>トキ</t>
    </rPh>
    <rPh sb="15" eb="16">
      <t>キズナ</t>
    </rPh>
    <rPh sb="16" eb="17">
      <t>タマシイ</t>
    </rPh>
    <rPh sb="18" eb="19">
      <t>モ</t>
    </rPh>
    <rPh sb="24" eb="25">
      <t>シロ</t>
    </rPh>
    <rPh sb="26" eb="29">
      <t>キュウケツキ</t>
    </rPh>
    <rPh sb="36" eb="37">
      <t>タイ</t>
    </rPh>
    <rPh sb="37" eb="39">
      <t>セイセイ</t>
    </rPh>
    <rPh sb="53" eb="55">
      <t>キョウカ</t>
    </rPh>
    <rPh sb="58" eb="60">
      <t>カイスウ</t>
    </rPh>
    <rPh sb="63" eb="64">
      <t>タ</t>
    </rPh>
    <rPh sb="66" eb="67">
      <t>カズ</t>
    </rPh>
    <rPh sb="68" eb="69">
      <t>ヒト</t>
    </rPh>
    <phoneticPr fontId="1"/>
  </si>
  <si>
    <t>エルダー</t>
  </si>
  <si>
    <t>エルダー</t>
    <phoneticPr fontId="1"/>
  </si>
  <si>
    <t>恐竜</t>
    <rPh sb="0" eb="2">
      <t>キョウリュウ</t>
    </rPh>
    <phoneticPr fontId="1"/>
  </si>
  <si>
    <t>速攻</t>
    <rPh sb="0" eb="2">
      <t>ソッコウ</t>
    </rPh>
    <phoneticPr fontId="1"/>
  </si>
  <si>
    <t>このクリーチャーが攻撃するたび、対戦相手のライブラリーの一番上のカードをあなたの手札に移動する。それはいっぱいのマナを得る。</t>
    <rPh sb="9" eb="11">
      <t>コウゲキ</t>
    </rPh>
    <rPh sb="16" eb="18">
      <t>タイセン</t>
    </rPh>
    <rPh sb="18" eb="20">
      <t>アイテ</t>
    </rPh>
    <rPh sb="28" eb="30">
      <t>イチバン</t>
    </rPh>
    <rPh sb="30" eb="31">
      <t>ウエ</t>
    </rPh>
    <rPh sb="40" eb="42">
      <t>テフダ</t>
    </rPh>
    <rPh sb="43" eb="45">
      <t>イドウ</t>
    </rPh>
    <rPh sb="59" eb="60">
      <t>エ</t>
    </rPh>
    <phoneticPr fontId="1"/>
  </si>
  <si>
    <t>トランプル　バーサーカー</t>
    <phoneticPr fontId="1"/>
  </si>
  <si>
    <t>このクリーチャーがあなたの手札にある間、これのマナ・コストはX少なくなる。Xはあなたのクリーチャーのパワーの合計に等しい。</t>
    <rPh sb="13" eb="15">
      <t>テフダ</t>
    </rPh>
    <rPh sb="18" eb="19">
      <t>アイダ</t>
    </rPh>
    <rPh sb="31" eb="32">
      <t>スク</t>
    </rPh>
    <rPh sb="54" eb="56">
      <t>ゴウケイ</t>
    </rPh>
    <rPh sb="57" eb="58">
      <t>ヒト</t>
    </rPh>
    <phoneticPr fontId="1"/>
  </si>
  <si>
    <t>マーフォーク</t>
    <phoneticPr fontId="1"/>
  </si>
  <si>
    <t>シャーマン</t>
    <phoneticPr fontId="1"/>
  </si>
  <si>
    <t>青ジェム2個を起動する：あなたがマーフォークを2体以上コントロールしている場合、カードを1枚引く。ターン終了時まで、このクリーチャーはブロックされないを得る。</t>
    <rPh sb="0" eb="1">
      <t>アオ</t>
    </rPh>
    <rPh sb="5" eb="6">
      <t>コ</t>
    </rPh>
    <rPh sb="7" eb="9">
      <t>キドウ</t>
    </rPh>
    <rPh sb="24" eb="27">
      <t>タイイジョウ</t>
    </rPh>
    <rPh sb="37" eb="39">
      <t>バアイ</t>
    </rPh>
    <rPh sb="45" eb="46">
      <t>マイ</t>
    </rPh>
    <rPh sb="46" eb="47">
      <t>ヒ</t>
    </rPh>
    <rPh sb="52" eb="55">
      <t>シュウリョウジ</t>
    </rPh>
    <rPh sb="76" eb="77">
      <t>エ</t>
    </rPh>
    <phoneticPr fontId="1"/>
  </si>
  <si>
    <t>緑ジェム2個を起動する：あなたがマーフォークを2体以上コントロールしている場合、カードを1枚引く。あなたのすべてのマーフォークは+1/+1の修正を受ける。</t>
    <rPh sb="0" eb="1">
      <t>ミドリ</t>
    </rPh>
    <rPh sb="5" eb="6">
      <t>コ</t>
    </rPh>
    <rPh sb="7" eb="9">
      <t>キドウ</t>
    </rPh>
    <rPh sb="24" eb="27">
      <t>タイイジョウ</t>
    </rPh>
    <rPh sb="37" eb="39">
      <t>バアイ</t>
    </rPh>
    <rPh sb="45" eb="46">
      <t>マイ</t>
    </rPh>
    <rPh sb="46" eb="47">
      <t>ヒ</t>
    </rPh>
    <rPh sb="70" eb="72">
      <t>シュウセイ</t>
    </rPh>
    <rPh sb="73" eb="74">
      <t>ウ</t>
    </rPh>
    <phoneticPr fontId="1"/>
  </si>
  <si>
    <t>これのマナを吸収したりマナ・コストを多くしたりできない。</t>
    <rPh sb="6" eb="8">
      <t>キュウシュウ</t>
    </rPh>
    <rPh sb="18" eb="19">
      <t>オオ</t>
    </rPh>
    <phoneticPr fontId="1"/>
  </si>
  <si>
    <t>対戦相手が呪文かサポートを唱えるたび、カードを1枚引く。</t>
    <rPh sb="0" eb="2">
      <t>タイセン</t>
    </rPh>
    <rPh sb="2" eb="4">
      <t>アイテ</t>
    </rPh>
    <rPh sb="5" eb="7">
      <t>ジュモン</t>
    </rPh>
    <rPh sb="13" eb="14">
      <t>トナ</t>
    </rPh>
    <rPh sb="24" eb="25">
      <t>マイ</t>
    </rPh>
    <rPh sb="25" eb="26">
      <t>ヒ</t>
    </rPh>
    <phoneticPr fontId="1"/>
  </si>
  <si>
    <t>ジェム2個を起動する：カードを1枚捨てる。あなたの次のターン開始時まで、原初の潮流、ネザールは呪禁を得る。</t>
    <rPh sb="4" eb="5">
      <t>コ</t>
    </rPh>
    <rPh sb="6" eb="8">
      <t>キドウ</t>
    </rPh>
    <rPh sb="16" eb="17">
      <t>マイ</t>
    </rPh>
    <rPh sb="17" eb="18">
      <t>ス</t>
    </rPh>
    <rPh sb="25" eb="26">
      <t>ツギ</t>
    </rPh>
    <rPh sb="30" eb="32">
      <t>カイシ</t>
    </rPh>
    <rPh sb="32" eb="33">
      <t>ジ</t>
    </rPh>
    <rPh sb="36" eb="38">
      <t>ゲンショ</t>
    </rPh>
    <rPh sb="39" eb="41">
      <t>チョウリュウ</t>
    </rPh>
    <rPh sb="47" eb="48">
      <t>ジュ</t>
    </rPh>
    <rPh sb="48" eb="49">
      <t>キン</t>
    </rPh>
    <rPh sb="50" eb="51">
      <t>エ</t>
    </rPh>
    <phoneticPr fontId="1"/>
  </si>
  <si>
    <t>激昂：ターン終了時まで、このクリーチャーは「このターン終了時に、このクリーチャーを強化する」を得る。</t>
    <rPh sb="0" eb="2">
      <t>ゲキコウ</t>
    </rPh>
    <rPh sb="6" eb="9">
      <t>シュウリョウジ</t>
    </rPh>
    <rPh sb="27" eb="30">
      <t>シュウリョウジ</t>
    </rPh>
    <rPh sb="41" eb="43">
      <t>キョウカ</t>
    </rPh>
    <rPh sb="47" eb="48">
      <t>エ</t>
    </rPh>
    <phoneticPr fontId="1"/>
  </si>
  <si>
    <t>フェニックス</t>
    <phoneticPr fontId="1"/>
  </si>
  <si>
    <t>このクリーチャーが死亡した時、「あなたのターン開始時に、このクリーチャーを破壊し、あなたの墓地から再燃するフェニックスを速攻を持った状態で戦場に戻す」を持つ0/1の赤のエレメンタル・トークンを1体生成する。</t>
    <rPh sb="9" eb="11">
      <t>シボウ</t>
    </rPh>
    <rPh sb="13" eb="14">
      <t>トキ</t>
    </rPh>
    <rPh sb="23" eb="25">
      <t>カイシ</t>
    </rPh>
    <rPh sb="25" eb="26">
      <t>ジ</t>
    </rPh>
    <rPh sb="37" eb="39">
      <t>ハカイ</t>
    </rPh>
    <rPh sb="45" eb="47">
      <t>ボチ</t>
    </rPh>
    <rPh sb="49" eb="51">
      <t>サイネン</t>
    </rPh>
    <rPh sb="60" eb="62">
      <t>ソッコウ</t>
    </rPh>
    <rPh sb="63" eb="64">
      <t>モ</t>
    </rPh>
    <rPh sb="66" eb="68">
      <t>ジョウタイ</t>
    </rPh>
    <rPh sb="69" eb="71">
      <t>センジョウ</t>
    </rPh>
    <rPh sb="72" eb="73">
      <t>モド</t>
    </rPh>
    <rPh sb="76" eb="77">
      <t>モ</t>
    </rPh>
    <rPh sb="82" eb="83">
      <t>アカ</t>
    </rPh>
    <rPh sb="97" eb="98">
      <t>タイ</t>
    </rPh>
    <rPh sb="98" eb="100">
      <t>セイセイ</t>
    </rPh>
    <phoneticPr fontId="1"/>
  </si>
  <si>
    <t>ドライアド</t>
    <phoneticPr fontId="1"/>
  </si>
  <si>
    <t>昇殿</t>
    <rPh sb="0" eb="1">
      <t>ショウ</t>
    </rPh>
    <rPh sb="1" eb="2">
      <t>デン</t>
    </rPh>
    <phoneticPr fontId="1"/>
  </si>
  <si>
    <t>このクリーチャーが戦場に出ている間、各プレイヤーのターン開始時に、1/1の緑の苗木・トークンを1体生成する。あなたが都市の承認を持っている場合、代わりに苗木・トークンを2体生成する。</t>
    <rPh sb="9" eb="11">
      <t>センジョウ</t>
    </rPh>
    <rPh sb="12" eb="13">
      <t>デ</t>
    </rPh>
    <rPh sb="16" eb="17">
      <t>アイダ</t>
    </rPh>
    <rPh sb="18" eb="19">
      <t>カク</t>
    </rPh>
    <rPh sb="28" eb="30">
      <t>カイシ</t>
    </rPh>
    <rPh sb="30" eb="31">
      <t>ジ</t>
    </rPh>
    <rPh sb="37" eb="38">
      <t>ミドリ</t>
    </rPh>
    <rPh sb="39" eb="41">
      <t>ナエギ</t>
    </rPh>
    <rPh sb="48" eb="49">
      <t>タイ</t>
    </rPh>
    <rPh sb="49" eb="51">
      <t>セイセイ</t>
    </rPh>
    <rPh sb="58" eb="60">
      <t>トシ</t>
    </rPh>
    <rPh sb="61" eb="63">
      <t>ショウニン</t>
    </rPh>
    <rPh sb="64" eb="65">
      <t>モ</t>
    </rPh>
    <rPh sb="69" eb="71">
      <t>バアイ</t>
    </rPh>
    <rPh sb="72" eb="73">
      <t>カ</t>
    </rPh>
    <rPh sb="76" eb="78">
      <t>ナエギ</t>
    </rPh>
    <rPh sb="85" eb="86">
      <t>タイ</t>
    </rPh>
    <rPh sb="86" eb="88">
      <t>セイセイ</t>
    </rPh>
    <phoneticPr fontId="1"/>
  </si>
  <si>
    <t>接死</t>
    <rPh sb="0" eb="1">
      <t>セッ</t>
    </rPh>
    <rPh sb="1" eb="2">
      <t>シ</t>
    </rPh>
    <phoneticPr fontId="1"/>
  </si>
  <si>
    <t>このカードがあなたの手札にある間、あなたのターン終了時に、このカードから2マナを吸収し、対戦相手の最初のクリーチャーは-1/-1の修正を受ける。</t>
    <rPh sb="10" eb="12">
      <t>テフダ</t>
    </rPh>
    <rPh sb="15" eb="16">
      <t>アイダ</t>
    </rPh>
    <rPh sb="24" eb="27">
      <t>シュウリョウジ</t>
    </rPh>
    <rPh sb="40" eb="42">
      <t>キュウシュウ</t>
    </rPh>
    <rPh sb="44" eb="46">
      <t>タイセン</t>
    </rPh>
    <rPh sb="46" eb="48">
      <t>アイテ</t>
    </rPh>
    <rPh sb="49" eb="51">
      <t>サイショ</t>
    </rPh>
    <rPh sb="65" eb="67">
      <t>シュウセイ</t>
    </rPh>
    <rPh sb="68" eb="69">
      <t>ウ</t>
    </rPh>
    <phoneticPr fontId="1"/>
  </si>
  <si>
    <t>このクリーチャーが戦場に出た時、対戦相手のクリーチャーは-6/-6の修正を受ける。</t>
    <rPh sb="9" eb="11">
      <t>センジョウ</t>
    </rPh>
    <rPh sb="12" eb="13">
      <t>デ</t>
    </rPh>
    <rPh sb="14" eb="15">
      <t>トキ</t>
    </rPh>
    <rPh sb="16" eb="18">
      <t>タイセン</t>
    </rPh>
    <rPh sb="18" eb="20">
      <t>アイテ</t>
    </rPh>
    <rPh sb="34" eb="36">
      <t>シュウセイ</t>
    </rPh>
    <rPh sb="37" eb="38">
      <t>ウ</t>
    </rPh>
    <phoneticPr fontId="1"/>
  </si>
  <si>
    <t>このサポートがボード上にある間、プレインズウォーカーの忠誠度能力は起動できず、あなたの呪文を唱えるマナ・コストは2少なくなり、あなたのクリーチャーは+1/+1の修正を受ける。</t>
    <rPh sb="10" eb="11">
      <t>ジョウ</t>
    </rPh>
    <rPh sb="14" eb="15">
      <t>アイダ</t>
    </rPh>
    <rPh sb="27" eb="29">
      <t>チュウセイ</t>
    </rPh>
    <rPh sb="29" eb="30">
      <t>ド</t>
    </rPh>
    <rPh sb="30" eb="32">
      <t>ノウリョク</t>
    </rPh>
    <rPh sb="33" eb="35">
      <t>キドウ</t>
    </rPh>
    <rPh sb="43" eb="45">
      <t>ジュモン</t>
    </rPh>
    <rPh sb="46" eb="47">
      <t>トナ</t>
    </rPh>
    <rPh sb="57" eb="58">
      <t>スク</t>
    </rPh>
    <rPh sb="80" eb="82">
      <t>シュウセイ</t>
    </rPh>
    <rPh sb="83" eb="84">
      <t>ウ</t>
    </rPh>
    <phoneticPr fontId="1"/>
  </si>
  <si>
    <t>あなたのターン開始時に、カードを1枚引く。</t>
    <rPh sb="7" eb="9">
      <t>カイシ</t>
    </rPh>
    <rPh sb="9" eb="10">
      <t>ジ</t>
    </rPh>
    <rPh sb="17" eb="18">
      <t>マイ</t>
    </rPh>
    <rPh sb="18" eb="19">
      <t>ヒ</t>
    </rPh>
    <phoneticPr fontId="1"/>
  </si>
  <si>
    <t>人間</t>
    <rPh sb="0" eb="2">
      <t>ニンゲン</t>
    </rPh>
    <phoneticPr fontId="1"/>
  </si>
  <si>
    <t>海賊</t>
    <rPh sb="0" eb="2">
      <t>カイゾク</t>
    </rPh>
    <phoneticPr fontId="1"/>
  </si>
  <si>
    <t>ウィザード</t>
    <phoneticPr fontId="1"/>
  </si>
  <si>
    <t>ジェム2個を起動する：あなたが都市の承認を持っている場合、1回の追加入れ替えを得る。</t>
    <rPh sb="4" eb="5">
      <t>コ</t>
    </rPh>
    <rPh sb="6" eb="8">
      <t>キドウ</t>
    </rPh>
    <rPh sb="15" eb="17">
      <t>トシ</t>
    </rPh>
    <rPh sb="18" eb="20">
      <t>ショウニン</t>
    </rPh>
    <rPh sb="21" eb="22">
      <t>モ</t>
    </rPh>
    <rPh sb="26" eb="28">
      <t>バアイ</t>
    </rPh>
    <rPh sb="30" eb="31">
      <t>カイ</t>
    </rPh>
    <rPh sb="32" eb="34">
      <t>ツイカ</t>
    </rPh>
    <rPh sb="34" eb="35">
      <t>イ</t>
    </rPh>
    <rPh sb="36" eb="37">
      <t>カ</t>
    </rPh>
    <rPh sb="39" eb="40">
      <t>エ</t>
    </rPh>
    <phoneticPr fontId="1"/>
  </si>
  <si>
    <t>激昂：対戦相手がコントロールしている最後のクリーチャーを追放する。</t>
    <rPh sb="0" eb="2">
      <t>ゲキコウ</t>
    </rPh>
    <rPh sb="3" eb="5">
      <t>タイセン</t>
    </rPh>
    <rPh sb="5" eb="7">
      <t>アイテ</t>
    </rPh>
    <rPh sb="18" eb="20">
      <t>サイゴ</t>
    </rPh>
    <rPh sb="28" eb="30">
      <t>ツイホウ</t>
    </rPh>
    <phoneticPr fontId="1"/>
  </si>
  <si>
    <t>このクリーチャーが破壊されたとき、対戦相手は自分のライブラリーから次のクリーチャー・カードを取ってくる。それはいっぱいのマナを得る。</t>
    <rPh sb="9" eb="11">
      <t>ハカイ</t>
    </rPh>
    <rPh sb="17" eb="19">
      <t>タイセン</t>
    </rPh>
    <rPh sb="19" eb="21">
      <t>アイテ</t>
    </rPh>
    <rPh sb="22" eb="24">
      <t>ジブン</t>
    </rPh>
    <rPh sb="33" eb="34">
      <t>ツギ</t>
    </rPh>
    <rPh sb="46" eb="47">
      <t>ト</t>
    </rPh>
    <rPh sb="63" eb="64">
      <t>エ</t>
    </rPh>
    <phoneticPr fontId="1"/>
  </si>
  <si>
    <t>クレリック</t>
    <phoneticPr fontId="1"/>
  </si>
  <si>
    <t>昇殿　飛行</t>
    <rPh sb="0" eb="1">
      <t>ショウ</t>
    </rPh>
    <rPh sb="1" eb="2">
      <t>デン</t>
    </rPh>
    <rPh sb="3" eb="5">
      <t>ヒコウ</t>
    </rPh>
    <phoneticPr fontId="1"/>
  </si>
  <si>
    <t>あなたのターン開始時に、あなたが都市の承認を持っている場合、カードを1枚引く。対戦相手はX点のライフを失い、あなたはX点のライフを得る。Xはそのカードのコストの端数を切り捨てた半分に等しい。</t>
    <rPh sb="7" eb="9">
      <t>カイシ</t>
    </rPh>
    <rPh sb="9" eb="10">
      <t>ジ</t>
    </rPh>
    <rPh sb="16" eb="18">
      <t>トシ</t>
    </rPh>
    <rPh sb="19" eb="21">
      <t>ショウニン</t>
    </rPh>
    <rPh sb="22" eb="23">
      <t>モ</t>
    </rPh>
    <rPh sb="27" eb="29">
      <t>バアイ</t>
    </rPh>
    <rPh sb="35" eb="36">
      <t>マイ</t>
    </rPh>
    <rPh sb="36" eb="37">
      <t>ヒ</t>
    </rPh>
    <rPh sb="39" eb="41">
      <t>タイセン</t>
    </rPh>
    <rPh sb="41" eb="43">
      <t>アイテ</t>
    </rPh>
    <rPh sb="45" eb="46">
      <t>テン</t>
    </rPh>
    <rPh sb="51" eb="52">
      <t>ウシナ</t>
    </rPh>
    <rPh sb="59" eb="60">
      <t>テン</t>
    </rPh>
    <rPh sb="65" eb="66">
      <t>エ</t>
    </rPh>
    <rPh sb="80" eb="82">
      <t>ハスウ</t>
    </rPh>
    <rPh sb="83" eb="84">
      <t>キ</t>
    </rPh>
    <rPh sb="85" eb="86">
      <t>ス</t>
    </rPh>
    <rPh sb="88" eb="90">
      <t>ハンブン</t>
    </rPh>
    <rPh sb="91" eb="92">
      <t>ヒト</t>
    </rPh>
    <phoneticPr fontId="1"/>
  </si>
  <si>
    <t>トランプル　バーサーカー&amp;br;原初の災厄、ザカマが戦場に出た時、ジェム9個をあなたのプレインズウォーカーの色のうちの1色に変換する。</t>
    <rPh sb="16" eb="18">
      <t>ゲンショ</t>
    </rPh>
    <rPh sb="19" eb="21">
      <t>サイヤク</t>
    </rPh>
    <rPh sb="26" eb="28">
      <t>センジョウ</t>
    </rPh>
    <rPh sb="29" eb="30">
      <t>デ</t>
    </rPh>
    <rPh sb="31" eb="32">
      <t>トキ</t>
    </rPh>
    <rPh sb="37" eb="38">
      <t>コ</t>
    </rPh>
    <rPh sb="54" eb="55">
      <t>イロ</t>
    </rPh>
    <rPh sb="60" eb="61">
      <t>ショク</t>
    </rPh>
    <rPh sb="62" eb="64">
      <t>ヘンカン</t>
    </rPh>
    <phoneticPr fontId="1"/>
  </si>
  <si>
    <t>緑ジェム1個を起動する：対戦相手がコントロールしていて土地でないサポートを1個破壊する。&amp;br;赤ジェム1個を起動する：対戦相手の最初のクリーチャーに3点のダメージを与える。</t>
    <rPh sb="0" eb="1">
      <t>ミドリ</t>
    </rPh>
    <rPh sb="5" eb="6">
      <t>コ</t>
    </rPh>
    <rPh sb="7" eb="9">
      <t>キドウ</t>
    </rPh>
    <rPh sb="12" eb="16">
      <t>タイセンアイテ</t>
    </rPh>
    <rPh sb="27" eb="29">
      <t>トチ</t>
    </rPh>
    <rPh sb="38" eb="39">
      <t>コ</t>
    </rPh>
    <rPh sb="39" eb="41">
      <t>ハカイ</t>
    </rPh>
    <rPh sb="48" eb="49">
      <t>アカ</t>
    </rPh>
    <rPh sb="53" eb="54">
      <t>コ</t>
    </rPh>
    <rPh sb="55" eb="57">
      <t>キドウ</t>
    </rPh>
    <rPh sb="60" eb="62">
      <t>タイセン</t>
    </rPh>
    <rPh sb="62" eb="64">
      <t>アイテ</t>
    </rPh>
    <rPh sb="65" eb="67">
      <t>サイショ</t>
    </rPh>
    <rPh sb="76" eb="77">
      <t>テン</t>
    </rPh>
    <rPh sb="83" eb="84">
      <t>アタ</t>
    </rPh>
    <phoneticPr fontId="1"/>
  </si>
  <si>
    <t>白ジェム1個を起動する：3点のライフを得る。</t>
    <rPh sb="0" eb="1">
      <t>シロ</t>
    </rPh>
    <rPh sb="5" eb="6">
      <t>コ</t>
    </rPh>
    <rPh sb="7" eb="9">
      <t>キドウ</t>
    </rPh>
    <rPh sb="13" eb="14">
      <t>テン</t>
    </rPh>
    <rPh sb="19" eb="20">
      <t>エ</t>
    </rPh>
    <phoneticPr fontId="1"/>
  </si>
  <si>
    <t>警戒　飛行　二段攻撃　トランプル</t>
    <rPh sb="0" eb="2">
      <t>ケイカイ</t>
    </rPh>
    <rPh sb="3" eb="5">
      <t>ヒコウ</t>
    </rPh>
    <rPh sb="6" eb="8">
      <t>ニダン</t>
    </rPh>
    <rPh sb="8" eb="10">
      <t>コウゲキ</t>
    </rPh>
    <phoneticPr fontId="1"/>
  </si>
  <si>
    <t>ジェム3個を起動する：あなたの次のターンの開始時まで、ダメージ軽減を得る。</t>
    <rPh sb="4" eb="5">
      <t>コ</t>
    </rPh>
    <rPh sb="6" eb="8">
      <t>キドウ</t>
    </rPh>
    <rPh sb="15" eb="16">
      <t>ツギ</t>
    </rPh>
    <rPh sb="21" eb="23">
      <t>カイシ</t>
    </rPh>
    <rPh sb="23" eb="24">
      <t>ジ</t>
    </rPh>
    <rPh sb="31" eb="33">
      <t>ケイゲン</t>
    </rPh>
    <rPh sb="34" eb="35">
      <t>エ</t>
    </rPh>
    <phoneticPr fontId="1"/>
  </si>
  <si>
    <t>対戦相手の手札の最初の呪文からすべてのマナを吸収する。あなたが強襲していた場合、9マナを得る。</t>
    <rPh sb="0" eb="2">
      <t>タイセン</t>
    </rPh>
    <rPh sb="2" eb="4">
      <t>アイテ</t>
    </rPh>
    <rPh sb="5" eb="7">
      <t>テフダ</t>
    </rPh>
    <rPh sb="8" eb="10">
      <t>サイショ</t>
    </rPh>
    <rPh sb="11" eb="13">
      <t>ジュモン</t>
    </rPh>
    <rPh sb="22" eb="24">
      <t>キュウシュウ</t>
    </rPh>
    <rPh sb="31" eb="33">
      <t>キョウシュウ</t>
    </rPh>
    <rPh sb="37" eb="39">
      <t>バアイ</t>
    </rPh>
    <rPh sb="44" eb="45">
      <t>エ</t>
    </rPh>
    <phoneticPr fontId="1"/>
  </si>
  <si>
    <t>土地</t>
    <rPh sb="0" eb="2">
      <t>トチ</t>
    </rPh>
    <phoneticPr fontId="1"/>
  </si>
  <si>
    <t>昇殿</t>
    <rPh sb="0" eb="1">
      <t>ショウ</t>
    </rPh>
    <rPh sb="1" eb="2">
      <t>デン</t>
    </rPh>
    <phoneticPr fontId="1"/>
  </si>
  <si>
    <t>あなたのターン開始時に、ジェム2個を忠誠ジェムに変換する。</t>
    <rPh sb="7" eb="9">
      <t>カイシ</t>
    </rPh>
    <rPh sb="9" eb="10">
      <t>ジ</t>
    </rPh>
    <rPh sb="16" eb="17">
      <t>コ</t>
    </rPh>
    <rPh sb="18" eb="20">
      <t>チュウセイ</t>
    </rPh>
    <rPh sb="24" eb="26">
      <t>ヘンカン</t>
    </rPh>
    <phoneticPr fontId="1"/>
  </si>
  <si>
    <t>ジェム2個を起動する：あなたが都市の承認を持っている場合、カードを1枚引く。それは2マナを得る。</t>
    <rPh sb="4" eb="5">
      <t>コ</t>
    </rPh>
    <rPh sb="6" eb="8">
      <t>キドウ</t>
    </rPh>
    <rPh sb="15" eb="17">
      <t>トシ</t>
    </rPh>
    <rPh sb="18" eb="20">
      <t>ショウニン</t>
    </rPh>
    <rPh sb="21" eb="22">
      <t>モ</t>
    </rPh>
    <rPh sb="26" eb="28">
      <t>バアイ</t>
    </rPh>
    <rPh sb="34" eb="35">
      <t>マイ</t>
    </rPh>
    <rPh sb="35" eb="36">
      <t>ヒ</t>
    </rPh>
    <rPh sb="45" eb="46">
      <t>エ</t>
    </rPh>
    <phoneticPr fontId="1"/>
  </si>
  <si>
    <t>このサポートが1シールドを失ったとき、カードを1枚引く。</t>
    <rPh sb="13" eb="14">
      <t>ウシナ</t>
    </rPh>
    <rPh sb="24" eb="25">
      <t>マイ</t>
    </rPh>
    <rPh sb="25" eb="26">
      <t>ヒ</t>
    </rPh>
    <phoneticPr fontId="1"/>
  </si>
  <si>
    <t>あなたのターン開始時に、ジェム2個を忠誠ジェムに変換し、すべての土地・サポートは1シールドを失う。</t>
    <rPh sb="7" eb="9">
      <t>カイシ</t>
    </rPh>
    <rPh sb="9" eb="10">
      <t>ジ</t>
    </rPh>
    <rPh sb="16" eb="17">
      <t>コ</t>
    </rPh>
    <rPh sb="18" eb="20">
      <t>チュウセイ</t>
    </rPh>
    <rPh sb="24" eb="26">
      <t>ヘンカン</t>
    </rPh>
    <rPh sb="32" eb="34">
      <t>トチ</t>
    </rPh>
    <rPh sb="46" eb="47">
      <t>ウシナ</t>
    </rPh>
    <phoneticPr fontId="1"/>
  </si>
  <si>
    <t>吸血鬼</t>
    <rPh sb="0" eb="3">
      <t>キュウケツキ</t>
    </rPh>
    <phoneticPr fontId="1"/>
  </si>
  <si>
    <t>騎士</t>
    <rPh sb="0" eb="2">
      <t>キシ</t>
    </rPh>
    <phoneticPr fontId="1"/>
  </si>
  <si>
    <t>このクリーチャーが戦場に出た時、あなたはカードをX枚引きX点のライフを失う。Xはあなたがコントロールしている吸血鬼の総数に等しい。</t>
    <rPh sb="9" eb="11">
      <t>センジョウ</t>
    </rPh>
    <rPh sb="12" eb="13">
      <t>デ</t>
    </rPh>
    <rPh sb="14" eb="15">
      <t>トキ</t>
    </rPh>
    <rPh sb="25" eb="26">
      <t>マイ</t>
    </rPh>
    <rPh sb="26" eb="27">
      <t>ヒ</t>
    </rPh>
    <rPh sb="29" eb="30">
      <t>テン</t>
    </rPh>
    <rPh sb="35" eb="36">
      <t>ウシナ</t>
    </rPh>
    <rPh sb="54" eb="57">
      <t>キュウケツキ</t>
    </rPh>
    <rPh sb="58" eb="60">
      <t>ソウスウ</t>
    </rPh>
    <rPh sb="61" eb="62">
      <t>ヒト</t>
    </rPh>
    <phoneticPr fontId="1"/>
  </si>
  <si>
    <t>戦士</t>
    <rPh sb="0" eb="2">
      <t>センシ</t>
    </rPh>
    <phoneticPr fontId="1"/>
  </si>
  <si>
    <t>他のマーフォークが1体あなたのコントロール下で戦場に出るたび、あなたがコントロールしているマーフォーク1体を無作為に選び、それは+1/+1の修正を受ける。</t>
    <rPh sb="0" eb="1">
      <t>タ</t>
    </rPh>
    <rPh sb="10" eb="11">
      <t>タイ</t>
    </rPh>
    <rPh sb="21" eb="22">
      <t>カ</t>
    </rPh>
    <rPh sb="23" eb="25">
      <t>センジョウ</t>
    </rPh>
    <rPh sb="26" eb="27">
      <t>デ</t>
    </rPh>
    <rPh sb="52" eb="53">
      <t>タイ</t>
    </rPh>
    <rPh sb="54" eb="57">
      <t>ムサクイ</t>
    </rPh>
    <rPh sb="58" eb="59">
      <t>エラ</t>
    </rPh>
    <rPh sb="70" eb="72">
      <t>シュウセイ</t>
    </rPh>
    <rPh sb="73" eb="74">
      <t>ウ</t>
    </rPh>
    <phoneticPr fontId="1"/>
  </si>
  <si>
    <t>人間</t>
    <rPh sb="0" eb="2">
      <t>ニンゲン</t>
    </rPh>
    <phoneticPr fontId="1"/>
  </si>
  <si>
    <t>海賊</t>
    <rPh sb="0" eb="2">
      <t>カイゾク</t>
    </rPh>
    <phoneticPr fontId="1"/>
  </si>
  <si>
    <t>先制攻撃</t>
    <rPh sb="0" eb="2">
      <t>センセイ</t>
    </rPh>
    <rPh sb="2" eb="4">
      <t>コウゲキ</t>
    </rPh>
    <phoneticPr fontId="1"/>
  </si>
  <si>
    <t>このクリーチャーが戦場に出た時、カードを1枚捨て、対戦相手の墓地の最初の呪文をあなたの手札に移動する。それは6マナを得る。</t>
    <rPh sb="9" eb="11">
      <t>センジョウ</t>
    </rPh>
    <rPh sb="12" eb="13">
      <t>デ</t>
    </rPh>
    <rPh sb="14" eb="15">
      <t>トキ</t>
    </rPh>
    <rPh sb="21" eb="22">
      <t>マイ</t>
    </rPh>
    <rPh sb="22" eb="23">
      <t>ス</t>
    </rPh>
    <rPh sb="25" eb="27">
      <t>タイセン</t>
    </rPh>
    <rPh sb="27" eb="29">
      <t>アイテ</t>
    </rPh>
    <rPh sb="30" eb="32">
      <t>ボチ</t>
    </rPh>
    <rPh sb="33" eb="35">
      <t>サイショ</t>
    </rPh>
    <rPh sb="36" eb="38">
      <t>ジュモン</t>
    </rPh>
    <rPh sb="43" eb="45">
      <t>テフダ</t>
    </rPh>
    <rPh sb="46" eb="48">
      <t>イドウ</t>
    </rPh>
    <rPh sb="58" eb="59">
      <t>エ</t>
    </rPh>
    <phoneticPr fontId="1"/>
  </si>
  <si>
    <t>接死</t>
    <rPh sb="0" eb="1">
      <t>セッ</t>
    </rPh>
    <rPh sb="1" eb="2">
      <t>シ</t>
    </rPh>
    <phoneticPr fontId="1"/>
  </si>
  <si>
    <t>このクリーチャーが戦場に出た時、あなたがコントロールしている海賊1体を対象とする。それは+1/+1の修正を受けるとともに接死とバーサーカーを得る。</t>
    <rPh sb="9" eb="11">
      <t>センジョウ</t>
    </rPh>
    <rPh sb="12" eb="13">
      <t>デ</t>
    </rPh>
    <rPh sb="14" eb="15">
      <t>トキ</t>
    </rPh>
    <rPh sb="30" eb="32">
      <t>カイゾク</t>
    </rPh>
    <rPh sb="33" eb="34">
      <t>タイ</t>
    </rPh>
    <rPh sb="35" eb="37">
      <t>タイショウ</t>
    </rPh>
    <rPh sb="50" eb="52">
      <t>シュウセイ</t>
    </rPh>
    <rPh sb="53" eb="54">
      <t>ウ</t>
    </rPh>
    <rPh sb="60" eb="61">
      <t>セッ</t>
    </rPh>
    <rPh sb="61" eb="62">
      <t>シ</t>
    </rPh>
    <rPh sb="70" eb="71">
      <t>エ</t>
    </rPh>
    <phoneticPr fontId="1"/>
  </si>
  <si>
    <t>ゴーレム</t>
    <phoneticPr fontId="1"/>
  </si>
  <si>
    <t>このサポートが戦場に出た時、ディフェンダーと「ジェム2個を起動する：これとあなたがコントロールしている他の最初のクリーチャーを破壊する。黄金の守護者を変身させる」を持つ6/6の無色の黄金の守護者・トークンを1体生成する。</t>
    <rPh sb="7" eb="9">
      <t>センジョウ</t>
    </rPh>
    <rPh sb="10" eb="11">
      <t>デ</t>
    </rPh>
    <rPh sb="12" eb="13">
      <t>トキ</t>
    </rPh>
    <rPh sb="27" eb="28">
      <t>コ</t>
    </rPh>
    <rPh sb="29" eb="31">
      <t>キドウ</t>
    </rPh>
    <rPh sb="51" eb="52">
      <t>タ</t>
    </rPh>
    <rPh sb="53" eb="55">
      <t>サイショ</t>
    </rPh>
    <rPh sb="63" eb="65">
      <t>ハカイ</t>
    </rPh>
    <rPh sb="68" eb="70">
      <t>オウゴン</t>
    </rPh>
    <rPh sb="71" eb="74">
      <t>シュゴシャ</t>
    </rPh>
    <rPh sb="75" eb="77">
      <t>ヘンシン</t>
    </rPh>
    <rPh sb="82" eb="83">
      <t>モ</t>
    </rPh>
    <rPh sb="88" eb="90">
      <t>ムショク</t>
    </rPh>
    <rPh sb="91" eb="93">
      <t>オウゴン</t>
    </rPh>
    <rPh sb="94" eb="97">
      <t>シュゴシャ</t>
    </rPh>
    <rPh sb="104" eb="105">
      <t>タイ</t>
    </rPh>
    <rPh sb="105" eb="107">
      <t>セイセイ</t>
    </rPh>
    <phoneticPr fontId="1"/>
  </si>
  <si>
    <t>あなたのターン開始時に、ジェム3個をあなたのプレインズウォーカーの色に変換する。</t>
    <rPh sb="7" eb="9">
      <t>カイシ</t>
    </rPh>
    <rPh sb="9" eb="10">
      <t>ジ</t>
    </rPh>
    <rPh sb="16" eb="17">
      <t>コ</t>
    </rPh>
    <rPh sb="33" eb="34">
      <t>イロ</t>
    </rPh>
    <rPh sb="35" eb="37">
      <t>ヘンカン</t>
    </rPh>
    <phoneticPr fontId="1"/>
  </si>
  <si>
    <t>ジェム2個を起動する：7/7の無色のゴーレム・クリーチャー・トークンを1体生成する。</t>
    <rPh sb="4" eb="5">
      <t>コ</t>
    </rPh>
    <rPh sb="6" eb="8">
      <t>キドウ</t>
    </rPh>
    <rPh sb="15" eb="17">
      <t>ムショク</t>
    </rPh>
    <rPh sb="36" eb="37">
      <t>タイ</t>
    </rPh>
    <rPh sb="37" eb="39">
      <t>セイセイ</t>
    </rPh>
    <phoneticPr fontId="1"/>
  </si>
  <si>
    <t>あなたのターン終了時に、あなたの最初のバフされていないクリーチャーは+2/+2の修正を受ける。</t>
    <rPh sb="7" eb="10">
      <t>シュウリョウジ</t>
    </rPh>
    <rPh sb="16" eb="18">
      <t>サイショ</t>
    </rPh>
    <rPh sb="40" eb="42">
      <t>シュウセイ</t>
    </rPh>
    <rPh sb="43" eb="44">
      <t>ウ</t>
    </rPh>
    <phoneticPr fontId="1"/>
  </si>
  <si>
    <t>あなたのターン終了時に、あなたがバフされているクリーチャーを3体以上コントロールしている場合、このサポートを変身させる。</t>
    <rPh sb="7" eb="10">
      <t>シュウリョウジ</t>
    </rPh>
    <rPh sb="31" eb="34">
      <t>タイイジョウ</t>
    </rPh>
    <rPh sb="44" eb="46">
      <t>バアイ</t>
    </rPh>
    <rPh sb="54" eb="56">
      <t>ヘンシン</t>
    </rPh>
    <phoneticPr fontId="1"/>
  </si>
  <si>
    <t>あなたのターン開始時に、ジェム3個を緑か青に変換する。</t>
    <rPh sb="7" eb="9">
      <t>カイシ</t>
    </rPh>
    <rPh sb="9" eb="10">
      <t>ジ</t>
    </rPh>
    <rPh sb="16" eb="17">
      <t>コ</t>
    </rPh>
    <rPh sb="18" eb="19">
      <t>ミドリ</t>
    </rPh>
    <rPh sb="20" eb="21">
      <t>アオ</t>
    </rPh>
    <rPh sb="22" eb="24">
      <t>ヘンカン</t>
    </rPh>
    <phoneticPr fontId="1"/>
  </si>
  <si>
    <t>ジェム2個を起動する：ターン終了時まで、あなたがコントロールしている最初のクリーチャーは飛行を得るとともに+X/+Xの修正を受ける。Xはそれのパワーに等しい。</t>
    <rPh sb="4" eb="5">
      <t>コ</t>
    </rPh>
    <rPh sb="6" eb="8">
      <t>キドウ</t>
    </rPh>
    <rPh sb="14" eb="17">
      <t>シュウリョウジ</t>
    </rPh>
    <rPh sb="34" eb="36">
      <t>サイショ</t>
    </rPh>
    <rPh sb="44" eb="46">
      <t>ヒコウ</t>
    </rPh>
    <rPh sb="47" eb="48">
      <t>エ</t>
    </rPh>
    <rPh sb="59" eb="61">
      <t>シュウセイ</t>
    </rPh>
    <rPh sb="62" eb="63">
      <t>ウ</t>
    </rPh>
    <rPh sb="75" eb="76">
      <t>ヒト</t>
    </rPh>
    <phoneticPr fontId="1"/>
  </si>
  <si>
    <t>オーラ</t>
    <phoneticPr fontId="1"/>
  </si>
  <si>
    <t>あなたがコントロールするクリーチャーが死亡するたび、それを戦場に戻し、このサポートを変身させる。</t>
    <rPh sb="19" eb="21">
      <t>シボウ</t>
    </rPh>
    <rPh sb="29" eb="31">
      <t>センジョウ</t>
    </rPh>
    <rPh sb="32" eb="33">
      <t>モド</t>
    </rPh>
    <rPh sb="42" eb="44">
      <t>ヘンシン</t>
    </rPh>
    <phoneticPr fontId="1"/>
  </si>
  <si>
    <t>あなたのターン開始時に、ジェム3個を黒か緑に変換する。</t>
    <rPh sb="7" eb="9">
      <t>カイシ</t>
    </rPh>
    <rPh sb="9" eb="10">
      <t>ジ</t>
    </rPh>
    <rPh sb="16" eb="17">
      <t>コ</t>
    </rPh>
    <rPh sb="18" eb="19">
      <t>クロ</t>
    </rPh>
    <rPh sb="20" eb="21">
      <t>ミドリ</t>
    </rPh>
    <rPh sb="22" eb="24">
      <t>ヘンカン</t>
    </rPh>
    <phoneticPr fontId="1"/>
  </si>
  <si>
    <t>ジェム2個を起動する：あなたの墓地から最初の無色のクリーチャーをあなたのコントロール下で戦場に移動する。</t>
    <rPh sb="4" eb="5">
      <t>コ</t>
    </rPh>
    <rPh sb="6" eb="8">
      <t>キドウ</t>
    </rPh>
    <rPh sb="15" eb="17">
      <t>ボチ</t>
    </rPh>
    <rPh sb="19" eb="21">
      <t>サイショ</t>
    </rPh>
    <rPh sb="22" eb="24">
      <t>ムショク</t>
    </rPh>
    <rPh sb="42" eb="43">
      <t>カ</t>
    </rPh>
    <rPh sb="44" eb="46">
      <t>センジョウ</t>
    </rPh>
    <rPh sb="47" eb="49">
      <t>イドウ</t>
    </rPh>
    <phoneticPr fontId="1"/>
  </si>
  <si>
    <t>このサポートがボード上にある間、あなたのターン開始時に、各プレイヤーはそれぞれカードを1枚引く。あなたが都市の承認を持っている場合、代わりに、あなたのみがカードを1枚引き、そのカードは2マナを得る。</t>
    <rPh sb="10" eb="11">
      <t>ジョウ</t>
    </rPh>
    <rPh sb="14" eb="15">
      <t>アイダ</t>
    </rPh>
    <rPh sb="23" eb="26">
      <t>カイシジ</t>
    </rPh>
    <rPh sb="28" eb="29">
      <t>カク</t>
    </rPh>
    <rPh sb="44" eb="45">
      <t>マイ</t>
    </rPh>
    <rPh sb="45" eb="46">
      <t>ヒ</t>
    </rPh>
    <rPh sb="52" eb="54">
      <t>トシ</t>
    </rPh>
    <rPh sb="55" eb="57">
      <t>ショウニン</t>
    </rPh>
    <rPh sb="58" eb="59">
      <t>モ</t>
    </rPh>
    <rPh sb="63" eb="65">
      <t>バアイ</t>
    </rPh>
    <rPh sb="66" eb="67">
      <t>カ</t>
    </rPh>
    <rPh sb="82" eb="83">
      <t>マイ</t>
    </rPh>
    <rPh sb="83" eb="84">
      <t>ヒ</t>
    </rPh>
    <rPh sb="96" eb="97">
      <t>エ</t>
    </rPh>
    <phoneticPr fontId="1"/>
  </si>
  <si>
    <t>速攻</t>
    <rPh sb="0" eb="2">
      <t>ソッコウ</t>
    </rPh>
    <phoneticPr fontId="1"/>
  </si>
  <si>
    <t>あなたがライフを失うたび、ボード上に黒か白のジェムが8個以上あった場合、このクリーチャーは+1/+1の修正を受ける。</t>
    <rPh sb="8" eb="9">
      <t>ウシナ</t>
    </rPh>
    <rPh sb="16" eb="17">
      <t>ジョウ</t>
    </rPh>
    <rPh sb="18" eb="19">
      <t>クロ</t>
    </rPh>
    <rPh sb="20" eb="21">
      <t>シロ</t>
    </rPh>
    <rPh sb="27" eb="30">
      <t>コイジョウ</t>
    </rPh>
    <rPh sb="33" eb="35">
      <t>バアイ</t>
    </rPh>
    <rPh sb="51" eb="53">
      <t>シュウセイ</t>
    </rPh>
    <rPh sb="54" eb="55">
      <t>ウ</t>
    </rPh>
    <phoneticPr fontId="1"/>
  </si>
  <si>
    <t>このクリーチャーが破壊されたとき、これの最大タフネスから1を引いた点数のライフを得る。</t>
    <rPh sb="9" eb="11">
      <t>ハカイ</t>
    </rPh>
    <rPh sb="20" eb="22">
      <t>サイダイ</t>
    </rPh>
    <rPh sb="30" eb="31">
      <t>ヒ</t>
    </rPh>
    <rPh sb="33" eb="35">
      <t>テンスウ</t>
    </rPh>
    <rPh sb="40" eb="41">
      <t>エ</t>
    </rPh>
    <phoneticPr fontId="1"/>
  </si>
  <si>
    <t>このサポートがボード上に出た時、これは人間でも恐竜でもない各クリーチャーに3点のダメージを与える。他のすべてのクリーチャーは先制攻撃を得る。</t>
    <rPh sb="10" eb="11">
      <t>ジョウ</t>
    </rPh>
    <rPh sb="12" eb="13">
      <t>デ</t>
    </rPh>
    <rPh sb="14" eb="15">
      <t>トキ</t>
    </rPh>
    <rPh sb="19" eb="21">
      <t>ニンゲン</t>
    </rPh>
    <rPh sb="23" eb="25">
      <t>キョウリュウ</t>
    </rPh>
    <rPh sb="29" eb="30">
      <t>カク</t>
    </rPh>
    <rPh sb="38" eb="39">
      <t>テン</t>
    </rPh>
    <rPh sb="45" eb="46">
      <t>アタ</t>
    </rPh>
    <rPh sb="49" eb="50">
      <t>タ</t>
    </rPh>
    <rPh sb="62" eb="64">
      <t>センセイ</t>
    </rPh>
    <rPh sb="64" eb="66">
      <t>コウゲキ</t>
    </rPh>
    <rPh sb="67" eb="68">
      <t>エ</t>
    </rPh>
    <phoneticPr fontId="1"/>
  </si>
  <si>
    <t>あなたのターン終了時に、あなたが先制攻撃を持つクリーチャーを3体以上コントロールしている場合、このサポートを変身させる。</t>
    <rPh sb="7" eb="10">
      <t>シュウリョウジ</t>
    </rPh>
    <rPh sb="16" eb="20">
      <t>センセイコウゲキ</t>
    </rPh>
    <rPh sb="21" eb="22">
      <t>モ</t>
    </rPh>
    <rPh sb="31" eb="34">
      <t>タイイジョウ</t>
    </rPh>
    <rPh sb="44" eb="46">
      <t>バアイ</t>
    </rPh>
    <rPh sb="54" eb="56">
      <t>ヘンシン</t>
    </rPh>
    <phoneticPr fontId="1"/>
  </si>
  <si>
    <t>土地</t>
    <rPh sb="0" eb="2">
      <t>トチ</t>
    </rPh>
    <phoneticPr fontId="1"/>
  </si>
  <si>
    <t>あなたのターン開始時に、ジェム3個を白か赤に変換する。</t>
    <rPh sb="7" eb="10">
      <t>カイシジ</t>
    </rPh>
    <rPh sb="16" eb="17">
      <t>コ</t>
    </rPh>
    <rPh sb="18" eb="19">
      <t>シロ</t>
    </rPh>
    <rPh sb="20" eb="21">
      <t>アカ</t>
    </rPh>
    <rPh sb="22" eb="24">
      <t>ヘンカン</t>
    </rPh>
    <phoneticPr fontId="1"/>
  </si>
  <si>
    <t>赤ジェム2個を起動する：対戦相手のプレインズウォーカーに4点のダメージを与える。</t>
    <rPh sb="0" eb="1">
      <t>アカ</t>
    </rPh>
    <rPh sb="5" eb="6">
      <t>コ</t>
    </rPh>
    <rPh sb="7" eb="9">
      <t>キドウ</t>
    </rPh>
    <rPh sb="12" eb="14">
      <t>タイセン</t>
    </rPh>
    <rPh sb="14" eb="16">
      <t>アイテ</t>
    </rPh>
    <rPh sb="29" eb="30">
      <t>テン</t>
    </rPh>
    <rPh sb="36" eb="37">
      <t>アタ</t>
    </rPh>
    <phoneticPr fontId="1"/>
  </si>
  <si>
    <t>白ジェム2個を起動する：対戦相手がコントロールしているクリーチャー1体を無作為に選んで破壊する。</t>
    <rPh sb="0" eb="1">
      <t>シロ</t>
    </rPh>
    <rPh sb="5" eb="6">
      <t>コ</t>
    </rPh>
    <rPh sb="7" eb="9">
      <t>キドウ</t>
    </rPh>
    <rPh sb="12" eb="14">
      <t>タイセン</t>
    </rPh>
    <rPh sb="14" eb="16">
      <t>アイテ</t>
    </rPh>
    <rPh sb="34" eb="35">
      <t>タイ</t>
    </rPh>
    <rPh sb="36" eb="39">
      <t>ムサクイ</t>
    </rPh>
    <rPh sb="40" eb="41">
      <t>エラ</t>
    </rPh>
    <rPh sb="43" eb="45">
      <t>ハカイ</t>
    </rPh>
    <phoneticPr fontId="1"/>
  </si>
  <si>
    <t>ジェム1個を起動する：対戦相手がコントロールしている最後のクリーチャーを追放する。このサポートは1シールドを得る。</t>
    <rPh sb="4" eb="5">
      <t>コ</t>
    </rPh>
    <rPh sb="6" eb="8">
      <t>キドウ</t>
    </rPh>
    <rPh sb="11" eb="15">
      <t>タイセンアイテ</t>
    </rPh>
    <rPh sb="26" eb="28">
      <t>サイゴ</t>
    </rPh>
    <rPh sb="36" eb="38">
      <t>ツイホウ</t>
    </rPh>
    <rPh sb="54" eb="55">
      <t>エ</t>
    </rPh>
    <phoneticPr fontId="1"/>
  </si>
  <si>
    <t>あなたのターン終了時に、このサポートが5シールド以上持っている場合、このサポートを変身させる。</t>
    <rPh sb="7" eb="10">
      <t>シュウリョウジ</t>
    </rPh>
    <rPh sb="24" eb="26">
      <t>イジョウ</t>
    </rPh>
    <rPh sb="26" eb="27">
      <t>モ</t>
    </rPh>
    <rPh sb="31" eb="33">
      <t>バアイ</t>
    </rPh>
    <rPh sb="41" eb="43">
      <t>ヘンシン</t>
    </rPh>
    <phoneticPr fontId="1"/>
  </si>
  <si>
    <t>あなたのターン開始時に、ジェム3個を黒か白に変換する。</t>
    <rPh sb="7" eb="10">
      <t>カイシジ</t>
    </rPh>
    <rPh sb="16" eb="17">
      <t>コ</t>
    </rPh>
    <rPh sb="18" eb="19">
      <t>クロ</t>
    </rPh>
    <rPh sb="20" eb="21">
      <t>シロ</t>
    </rPh>
    <rPh sb="22" eb="24">
      <t>ヘンカン</t>
    </rPh>
    <phoneticPr fontId="1"/>
  </si>
  <si>
    <t>ジェム2個を起動する：最後に追放された対戦相手のクリーチャーをあなたのコントロール下で戦場に移動する。</t>
    <rPh sb="4" eb="5">
      <t>コ</t>
    </rPh>
    <rPh sb="6" eb="8">
      <t>キドウ</t>
    </rPh>
    <rPh sb="11" eb="13">
      <t>サイゴ</t>
    </rPh>
    <rPh sb="14" eb="16">
      <t>ツイホウ</t>
    </rPh>
    <rPh sb="19" eb="21">
      <t>タイセン</t>
    </rPh>
    <rPh sb="21" eb="23">
      <t>アイテ</t>
    </rPh>
    <rPh sb="41" eb="42">
      <t>カ</t>
    </rPh>
    <rPh sb="43" eb="45">
      <t>センジョウ</t>
    </rPh>
    <rPh sb="46" eb="48">
      <t>イドウ</t>
    </rPh>
    <phoneticPr fontId="1"/>
  </si>
  <si>
    <t>昇殿</t>
    <rPh sb="0" eb="1">
      <t>ショウ</t>
    </rPh>
    <rPh sb="1" eb="2">
      <t>デン</t>
    </rPh>
    <phoneticPr fontId="1"/>
  </si>
  <si>
    <t>このサポートがボード上にある間、あなたのデッキに共通のタイプを持つクリーチャーが3体以上入っている場合、あなたのクリーチャーは+2/+2の修正を受ける。あなたが都市の承認を持っている場合、あなたのクリーチャーは先制攻撃を得る。</t>
    <rPh sb="10" eb="11">
      <t>ジョウ</t>
    </rPh>
    <rPh sb="14" eb="15">
      <t>アイダ</t>
    </rPh>
    <rPh sb="24" eb="26">
      <t>キョウツウ</t>
    </rPh>
    <rPh sb="31" eb="32">
      <t>モ</t>
    </rPh>
    <rPh sb="41" eb="44">
      <t>タイイジョウ</t>
    </rPh>
    <rPh sb="44" eb="45">
      <t>ハイ</t>
    </rPh>
    <rPh sb="49" eb="51">
      <t>バアイ</t>
    </rPh>
    <rPh sb="69" eb="71">
      <t>シュウセイ</t>
    </rPh>
    <rPh sb="72" eb="73">
      <t>ウ</t>
    </rPh>
    <rPh sb="80" eb="82">
      <t>トシ</t>
    </rPh>
    <rPh sb="83" eb="85">
      <t>ショウニン</t>
    </rPh>
    <rPh sb="86" eb="87">
      <t>モ</t>
    </rPh>
    <rPh sb="91" eb="93">
      <t>バアイ</t>
    </rPh>
    <rPh sb="105" eb="107">
      <t>センセイ</t>
    </rPh>
    <rPh sb="107" eb="109">
      <t>コウゲキ</t>
    </rPh>
    <rPh sb="110" eb="111">
      <t>エ</t>
    </rPh>
    <phoneticPr fontId="1"/>
  </si>
  <si>
    <t>パワーが6以上のクリーチャーをすべて破壊する。</t>
    <rPh sb="5" eb="7">
      <t>イジョウ</t>
    </rPh>
    <rPh sb="18" eb="20">
      <t>ハカイ</t>
    </rPh>
    <phoneticPr fontId="1"/>
  </si>
  <si>
    <t>あなたのターン終了時に、あなたが強襲していた場合、宝物を2つ見つける。その後、あなたが土地出ないサポートを5個以上コントロールしている場合、このサポートを変身させる。</t>
    <rPh sb="7" eb="10">
      <t>シュウリョウジ</t>
    </rPh>
    <rPh sb="16" eb="18">
      <t>キョウシュウ</t>
    </rPh>
    <rPh sb="22" eb="24">
      <t>バアイ</t>
    </rPh>
    <rPh sb="25" eb="27">
      <t>タカラモノ</t>
    </rPh>
    <rPh sb="30" eb="31">
      <t>ミ</t>
    </rPh>
    <rPh sb="37" eb="38">
      <t>ゴ</t>
    </rPh>
    <rPh sb="43" eb="45">
      <t>トチ</t>
    </rPh>
    <rPh sb="45" eb="46">
      <t>デ</t>
    </rPh>
    <rPh sb="54" eb="57">
      <t>コイジョウ</t>
    </rPh>
    <rPh sb="67" eb="69">
      <t>バアイ</t>
    </rPh>
    <rPh sb="77" eb="79">
      <t>ヘンシン</t>
    </rPh>
    <phoneticPr fontId="1"/>
  </si>
  <si>
    <t>あなたのターン開始時に、ジェムX個を青に変換する。Xはあなたがコントロールしているサポートの総数の2倍に等しい。</t>
    <rPh sb="7" eb="9">
      <t>カイシ</t>
    </rPh>
    <rPh sb="9" eb="10">
      <t>ジ</t>
    </rPh>
    <rPh sb="16" eb="17">
      <t>コ</t>
    </rPh>
    <rPh sb="18" eb="19">
      <t>アオ</t>
    </rPh>
    <rPh sb="20" eb="22">
      <t>ヘンカン</t>
    </rPh>
    <rPh sb="46" eb="48">
      <t>ソウスウ</t>
    </rPh>
    <rPh sb="50" eb="51">
      <t>バイ</t>
    </rPh>
    <rPh sb="52" eb="53">
      <t>ヒト</t>
    </rPh>
    <phoneticPr fontId="1"/>
  </si>
  <si>
    <t>人間</t>
    <rPh sb="0" eb="2">
      <t>ニンゲン</t>
    </rPh>
    <phoneticPr fontId="1"/>
  </si>
  <si>
    <t>このクリーチャーが攻撃するたび、赤ジェムが8個以上ある場合、速攻と「あなたのターン終了時に、あなたが都市の承認を持っていない場合、このクリーチャーを追放する」を持つ1/1の赤のエレメンタル・トークンを4体生成する。</t>
    <rPh sb="9" eb="11">
      <t>コウゲキ</t>
    </rPh>
    <rPh sb="16" eb="17">
      <t>アカ</t>
    </rPh>
    <rPh sb="22" eb="25">
      <t>コイジョウ</t>
    </rPh>
    <rPh sb="27" eb="29">
      <t>バアイ</t>
    </rPh>
    <rPh sb="30" eb="32">
      <t>ソッコウ</t>
    </rPh>
    <rPh sb="41" eb="44">
      <t>シュウリョウジ</t>
    </rPh>
    <rPh sb="50" eb="52">
      <t>トシ</t>
    </rPh>
    <rPh sb="53" eb="55">
      <t>ショウニン</t>
    </rPh>
    <rPh sb="56" eb="57">
      <t>モ</t>
    </rPh>
    <rPh sb="62" eb="64">
      <t>バアイ</t>
    </rPh>
    <rPh sb="74" eb="76">
      <t>ツイホウ</t>
    </rPh>
    <rPh sb="80" eb="81">
      <t>モ</t>
    </rPh>
    <rPh sb="86" eb="87">
      <t>アカ</t>
    </rPh>
    <rPh sb="101" eb="102">
      <t>タイ</t>
    </rPh>
    <rPh sb="102" eb="104">
      <t>セイセイ</t>
    </rPh>
    <phoneticPr fontId="1"/>
  </si>
  <si>
    <t>対戦相手の最初のクリーチャーを破壊する。あなたが都市の承認を持っている場合、代わりに対戦相手の最後の2体のクリーチャーを破壊する。</t>
    <rPh sb="0" eb="4">
      <t>タイセンアイテ</t>
    </rPh>
    <rPh sb="5" eb="7">
      <t>サイショ</t>
    </rPh>
    <rPh sb="15" eb="17">
      <t>ハカイ</t>
    </rPh>
    <rPh sb="24" eb="26">
      <t>トシ</t>
    </rPh>
    <rPh sb="27" eb="29">
      <t>ショウニン</t>
    </rPh>
    <rPh sb="30" eb="31">
      <t>モ</t>
    </rPh>
    <rPh sb="35" eb="37">
      <t>バアイ</t>
    </rPh>
    <rPh sb="38" eb="39">
      <t>カ</t>
    </rPh>
    <rPh sb="42" eb="44">
      <t>タイセン</t>
    </rPh>
    <rPh sb="44" eb="46">
      <t>アイテ</t>
    </rPh>
    <rPh sb="47" eb="49">
      <t>サイゴ</t>
    </rPh>
    <rPh sb="51" eb="52">
      <t>タイ</t>
    </rPh>
    <rPh sb="60" eb="62">
      <t>ハカイ</t>
    </rPh>
    <phoneticPr fontId="1"/>
  </si>
  <si>
    <t>海賊</t>
    <rPh sb="0" eb="2">
      <t>カイゾク</t>
    </rPh>
    <phoneticPr fontId="1"/>
  </si>
  <si>
    <t>飛行</t>
    <rPh sb="0" eb="2">
      <t>ヒコウ</t>
    </rPh>
    <phoneticPr fontId="1"/>
  </si>
  <si>
    <t>このクリーチャーが攻撃するたび、ターン終了時まで、対戦相手の最初のクリーチャーは-10/-0の修正を受けるとともに常設能力をすべて失う。</t>
    <rPh sb="9" eb="11">
      <t>コウゲキ</t>
    </rPh>
    <rPh sb="19" eb="22">
      <t>シュウリョウジ</t>
    </rPh>
    <rPh sb="25" eb="27">
      <t>タイセン</t>
    </rPh>
    <rPh sb="27" eb="29">
      <t>アイテ</t>
    </rPh>
    <rPh sb="30" eb="32">
      <t>サイショ</t>
    </rPh>
    <rPh sb="47" eb="49">
      <t>シュウセイ</t>
    </rPh>
    <rPh sb="50" eb="51">
      <t>ウ</t>
    </rPh>
    <rPh sb="57" eb="59">
      <t>ジョウセツ</t>
    </rPh>
    <rPh sb="59" eb="61">
      <t>ノウリョク</t>
    </rPh>
    <rPh sb="65" eb="66">
      <t>ウシナ</t>
    </rPh>
    <phoneticPr fontId="1"/>
  </si>
  <si>
    <t>恐竜</t>
    <rPh sb="0" eb="2">
      <t>キョウリュウ</t>
    </rPh>
    <phoneticPr fontId="1"/>
  </si>
  <si>
    <t>あなたのターン開始時に、あなたの手札のすべての土地・サポート・カードは3マナを得る。</t>
    <rPh sb="7" eb="9">
      <t>カイシ</t>
    </rPh>
    <rPh sb="9" eb="10">
      <t>ジ</t>
    </rPh>
    <rPh sb="16" eb="18">
      <t>テフダ</t>
    </rPh>
    <rPh sb="23" eb="25">
      <t>トチ</t>
    </rPh>
    <rPh sb="39" eb="40">
      <t>エ</t>
    </rPh>
    <phoneticPr fontId="1"/>
  </si>
  <si>
    <t>あなたが都市の承認を持っていない限り、このクリーチャーは攻撃したりブロックしたりできない。</t>
    <rPh sb="4" eb="6">
      <t>トシ</t>
    </rPh>
    <rPh sb="7" eb="9">
      <t>ショウニン</t>
    </rPh>
    <rPh sb="10" eb="11">
      <t>モ</t>
    </rPh>
    <rPh sb="16" eb="17">
      <t>カギ</t>
    </rPh>
    <rPh sb="28" eb="30">
      <t>コウゲキ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</si>
</sst>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8" tint="0.59999389629810485"/>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0">
      <alignment vertical="center"/>
    </xf>
  </cellStyleXfs>
  <cellXfs count="39">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0" xfId="0" applyFill="1"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0" xfId="0" applyBorder="1">
      <alignment vertical="center"/>
    </xf>
    <xf numFmtId="0" fontId="0" fillId="0" borderId="0" xfId="0" applyFill="1">
      <alignment vertical="center"/>
    </xf>
    <xf numFmtId="0" fontId="0" fillId="0" borderId="1" xfId="0" applyFill="1" applyBorder="1">
      <alignment vertical="center"/>
    </xf>
    <xf numFmtId="0" fontId="0" fillId="0" borderId="8" xfId="0" applyBorder="1">
      <alignment vertical="center"/>
    </xf>
    <xf numFmtId="0" fontId="0" fillId="2" borderId="1" xfId="0" applyFill="1" applyBorder="1">
      <alignment vertical="center"/>
    </xf>
    <xf numFmtId="0" fontId="0" fillId="4" borderId="1" xfId="0" applyFill="1" applyBorder="1">
      <alignment vertical="center"/>
    </xf>
    <xf numFmtId="0" fontId="0" fillId="0" borderId="9" xfId="0" applyBorder="1">
      <alignment vertical="center"/>
    </xf>
    <xf numFmtId="0" fontId="0" fillId="0" borderId="10" xfId="0" applyBorder="1">
      <alignment vertical="center"/>
    </xf>
    <xf numFmtId="0" fontId="0" fillId="0" borderId="1" xfId="0" applyFont="1" applyFill="1" applyBorder="1" applyAlignment="1">
      <alignment vertical="center"/>
    </xf>
    <xf numFmtId="0" fontId="0" fillId="0" borderId="11" xfId="0" applyFont="1" applyFill="1" applyBorder="1" applyAlignment="1">
      <alignment vertical="center"/>
    </xf>
    <xf numFmtId="0" fontId="0" fillId="5" borderId="12" xfId="0" applyFont="1" applyFill="1" applyBorder="1" applyAlignment="1">
      <alignment vertical="center"/>
    </xf>
    <xf numFmtId="0" fontId="2" fillId="0" borderId="1" xfId="0" applyFont="1" applyFill="1" applyBorder="1" applyAlignment="1">
      <alignment vertical="center"/>
    </xf>
    <xf numFmtId="0" fontId="2" fillId="0" borderId="0" xfId="0" applyFont="1" applyFill="1" applyAlignment="1">
      <alignment vertical="center"/>
    </xf>
    <xf numFmtId="0" fontId="0" fillId="0" borderId="12" xfId="0" applyFont="1" applyFill="1" applyBorder="1" applyAlignment="1">
      <alignment vertical="center"/>
    </xf>
    <xf numFmtId="0" fontId="0" fillId="0" borderId="1" xfId="0" applyNumberFormat="1" applyFont="1" applyFill="1" applyBorder="1" applyAlignment="1">
      <alignment vertical="center"/>
    </xf>
    <xf numFmtId="0" fontId="0" fillId="3" borderId="1" xfId="0" applyFill="1" applyBorder="1">
      <alignment vertical="center"/>
    </xf>
    <xf numFmtId="0" fontId="0" fillId="0" borderId="2" xfId="0" applyFont="1" applyFill="1" applyBorder="1" applyAlignment="1">
      <alignment vertical="center"/>
    </xf>
    <xf numFmtId="0" fontId="0" fillId="5" borderId="1" xfId="0" applyFont="1" applyFill="1" applyBorder="1" applyAlignment="1">
      <alignment vertical="center"/>
    </xf>
    <xf numFmtId="0" fontId="0" fillId="3" borderId="12" xfId="0" applyFont="1" applyFill="1" applyBorder="1" applyAlignment="1">
      <alignment vertical="center"/>
    </xf>
    <xf numFmtId="0" fontId="0" fillId="3" borderId="2" xfId="0" applyFill="1" applyBorder="1">
      <alignment vertical="center"/>
    </xf>
    <xf numFmtId="0" fontId="0" fillId="0" borderId="7" xfId="0" applyFill="1" applyBorder="1">
      <alignment vertical="center"/>
    </xf>
    <xf numFmtId="0" fontId="0" fillId="0" borderId="9" xfId="0" applyFill="1" applyBorder="1">
      <alignment vertical="center"/>
    </xf>
    <xf numFmtId="0" fontId="0" fillId="0" borderId="6" xfId="0" applyFill="1" applyBorder="1">
      <alignment vertical="center"/>
    </xf>
    <xf numFmtId="0" fontId="0" fillId="0" borderId="5" xfId="0" applyFill="1" applyBorder="1">
      <alignment vertical="center"/>
    </xf>
    <xf numFmtId="0" fontId="0" fillId="0" borderId="4" xfId="0" applyFill="1" applyBorder="1">
      <alignment vertical="center"/>
    </xf>
    <xf numFmtId="0" fontId="0" fillId="0" borderId="3" xfId="0" applyFill="1" applyBorder="1">
      <alignment vertical="center"/>
    </xf>
    <xf numFmtId="0" fontId="0" fillId="0" borderId="10" xfId="0" applyFill="1" applyBorder="1">
      <alignment vertical="center"/>
    </xf>
    <xf numFmtId="0" fontId="0" fillId="0" borderId="2" xfId="0" applyFill="1" applyBorder="1">
      <alignment vertical="center"/>
    </xf>
    <xf numFmtId="0" fontId="0" fillId="3" borderId="1" xfId="0" applyFont="1" applyFill="1" applyBorder="1" applyAlignment="1">
      <alignment vertical="center"/>
    </xf>
    <xf numFmtId="0" fontId="0" fillId="3" borderId="1" xfId="0" applyNumberFormat="1" applyFont="1" applyFill="1" applyBorder="1" applyAlignment="1">
      <alignment vertical="center"/>
    </xf>
  </cellXfs>
  <cellStyles count="1">
    <cellStyle name="標準" xfId="0" builtinId="0"/>
  </cellStyles>
  <dxfs count="66">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B2F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xdr:rowOff>
        </xdr:from>
        <xdr:to>
          <xdr:col>0</xdr:col>
          <xdr:colOff>628650</xdr:colOff>
          <xdr:row>1</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BFZ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0</xdr:row>
          <xdr:rowOff>38100</xdr:rowOff>
        </xdr:from>
        <xdr:to>
          <xdr:col>0</xdr:col>
          <xdr:colOff>1314450</xdr:colOff>
          <xdr:row>1</xdr:row>
          <xdr:rowOff>161925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SOI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0</xdr:row>
          <xdr:rowOff>38100</xdr:rowOff>
        </xdr:from>
        <xdr:to>
          <xdr:col>0</xdr:col>
          <xdr:colOff>2038350</xdr:colOff>
          <xdr:row>2</xdr:row>
          <xdr:rowOff>9525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KLD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0</xdr:row>
          <xdr:rowOff>47625</xdr:rowOff>
        </xdr:from>
        <xdr:to>
          <xdr:col>3</xdr:col>
          <xdr:colOff>152400</xdr:colOff>
          <xdr:row>2</xdr:row>
          <xdr:rowOff>47625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AKH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295275</xdr:colOff>
          <xdr:row>0</xdr:row>
          <xdr:rowOff>66675</xdr:rowOff>
        </xdr:from>
        <xdr:to>
          <xdr:col>5</xdr:col>
          <xdr:colOff>438150</xdr:colOff>
          <xdr:row>2</xdr:row>
          <xdr:rowOff>47625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ORI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152400</xdr:rowOff>
        </xdr:from>
        <xdr:to>
          <xdr:col>12</xdr:col>
          <xdr:colOff>390525</xdr:colOff>
          <xdr:row>2</xdr:row>
          <xdr:rowOff>114300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xdr:row>
          <xdr:rowOff>0</xdr:rowOff>
        </xdr:from>
        <xdr:to>
          <xdr:col>8</xdr:col>
          <xdr:colOff>381000</xdr:colOff>
          <xdr:row>2</xdr:row>
          <xdr:rowOff>123825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C1809"/>
  <sheetViews>
    <sheetView tabSelected="1" zoomScale="85" zoomScaleNormal="85" workbookViewId="0">
      <pane ySplit="1" topLeftCell="A2" activePane="bottomLeft" state="frozen"/>
      <selection pane="bottomLeft" activeCell="H1735" sqref="H1735"/>
    </sheetView>
  </sheetViews>
  <sheetFormatPr defaultRowHeight="13.5" x14ac:dyDescent="0.15"/>
  <cols>
    <col min="1" max="1" width="5.5" style="10" bestFit="1" customWidth="1"/>
    <col min="2" max="2" width="5.5" style="10" customWidth="1"/>
    <col min="3" max="3" width="5.5" style="10" bestFit="1" customWidth="1"/>
    <col min="4" max="4" width="5.25" style="10" bestFit="1" customWidth="1"/>
    <col min="5" max="5" width="7.75" style="10" customWidth="1"/>
    <col min="6" max="6" width="5" style="10" bestFit="1" customWidth="1"/>
    <col min="7" max="7" width="12.875" style="10" customWidth="1"/>
    <col min="8" max="8" width="6.875" style="10" customWidth="1"/>
    <col min="9" max="9" width="9" style="10"/>
    <col min="10" max="12" width="4.5" style="10" customWidth="1"/>
    <col min="13" max="15" width="3.25" style="10" customWidth="1"/>
    <col min="16" max="16" width="4.875" style="10" bestFit="1" customWidth="1"/>
    <col min="17" max="17" width="3.5" style="10" bestFit="1" customWidth="1"/>
    <col min="18" max="18" width="3.5" style="4" bestFit="1" customWidth="1"/>
    <col min="19" max="19" width="31.625" style="10" customWidth="1"/>
    <col min="20" max="16384" width="9" style="10"/>
  </cols>
  <sheetData>
    <row r="1" spans="1:29" x14ac:dyDescent="0.15">
      <c r="A1" s="29"/>
      <c r="B1" s="30"/>
      <c r="C1" s="31" t="s">
        <v>3140</v>
      </c>
      <c r="D1" s="32" t="s">
        <v>3139</v>
      </c>
      <c r="E1" s="33" t="s">
        <v>3138</v>
      </c>
      <c r="F1" s="33" t="s">
        <v>3137</v>
      </c>
      <c r="G1" s="33" t="s">
        <v>3136</v>
      </c>
      <c r="H1" s="33" t="s">
        <v>3135</v>
      </c>
      <c r="I1" s="33" t="s">
        <v>3134</v>
      </c>
      <c r="J1" s="33" t="s">
        <v>3133</v>
      </c>
      <c r="K1" s="33" t="s">
        <v>3132</v>
      </c>
      <c r="L1" s="33" t="s">
        <v>3131</v>
      </c>
      <c r="M1" s="33" t="s">
        <v>3130</v>
      </c>
      <c r="N1" s="33" t="s">
        <v>3129</v>
      </c>
      <c r="O1" s="33" t="s">
        <v>3128</v>
      </c>
      <c r="P1" s="33" t="s">
        <v>3127</v>
      </c>
      <c r="Q1" s="33" t="s">
        <v>3126</v>
      </c>
      <c r="R1" s="11" t="s">
        <v>3125</v>
      </c>
      <c r="S1" s="33" t="s">
        <v>3124</v>
      </c>
      <c r="T1" s="4" t="s">
        <v>3138</v>
      </c>
      <c r="W1" s="4" t="s">
        <v>1744</v>
      </c>
      <c r="X1" s="4" t="s">
        <v>1451</v>
      </c>
      <c r="Y1" s="4" t="s">
        <v>1441</v>
      </c>
      <c r="Z1" s="4" t="s">
        <v>1431</v>
      </c>
      <c r="AA1" s="4" t="s">
        <v>291</v>
      </c>
    </row>
    <row r="2" spans="1:29" hidden="1" x14ac:dyDescent="0.15">
      <c r="A2" s="34">
        <v>1</v>
      </c>
      <c r="B2" s="35" t="s">
        <v>4882</v>
      </c>
      <c r="C2" s="36" t="s">
        <v>3176</v>
      </c>
      <c r="D2" s="11" t="s">
        <v>1627</v>
      </c>
      <c r="E2" s="11" t="s">
        <v>1744</v>
      </c>
      <c r="F2" s="11">
        <v>5</v>
      </c>
      <c r="G2" s="11" t="s">
        <v>3123</v>
      </c>
      <c r="H2" s="11" t="s">
        <v>3122</v>
      </c>
      <c r="I2" s="11" t="s">
        <v>339</v>
      </c>
      <c r="J2" s="11" t="s">
        <v>1489</v>
      </c>
      <c r="K2" s="11" t="s">
        <v>1799</v>
      </c>
      <c r="L2" s="11"/>
      <c r="M2" s="11" t="s">
        <v>3121</v>
      </c>
      <c r="N2" s="11"/>
      <c r="O2" s="11"/>
      <c r="P2" s="11"/>
      <c r="Q2" s="11">
        <v>1</v>
      </c>
      <c r="R2" s="11">
        <v>1</v>
      </c>
      <c r="S2" s="11" t="str">
        <f>IF(M2="","",M2&amp;IF(N2="","","&amp;br;"&amp;N2)&amp;IF(O2="","","&amp;br;"&amp;O2))</f>
        <v>このクリーチャーが戦場に出たとき、あなたのターン終了時までクリーチャーを1体無効化する。</v>
      </c>
      <c r="T2" s="4" t="s">
        <v>1744</v>
      </c>
      <c r="U2" s="10">
        <v>1</v>
      </c>
      <c r="V2" s="10">
        <f t="shared" ref="V2:V31" si="0">COUNTIF(F:F,U2)</f>
        <v>16</v>
      </c>
      <c r="W2" s="10">
        <f t="shared" ref="W2:W31" si="1">COUNTIFS(F:F,U2,E:E,$T$2)</f>
        <v>10</v>
      </c>
      <c r="X2" s="10">
        <f t="shared" ref="X2:X31" si="2">COUNTIFS(F:F,U2,E:E,$T$3)</f>
        <v>3</v>
      </c>
      <c r="Y2" s="10">
        <f t="shared" ref="Y2:Y31" si="3">COUNTIFS(F:F,U2,E:E,$T$4)</f>
        <v>2</v>
      </c>
      <c r="Z2" s="10">
        <f t="shared" ref="Z2:Z31" si="4">COUNTIFS(F:F,U2,E:E,$T$5)</f>
        <v>0</v>
      </c>
      <c r="AA2" s="10">
        <f t="shared" ref="AA2:AA31" si="5">COUNTIFS(F:F,U2,E:E,$T$6)+COUNTIFS(F:F,U2,E:E,$T$7)</f>
        <v>0</v>
      </c>
      <c r="AB2" s="10">
        <v>1</v>
      </c>
      <c r="AC2" s="10">
        <f>COUNTIFS(R:R,AB2)</f>
        <v>112</v>
      </c>
    </row>
    <row r="3" spans="1:29" hidden="1" x14ac:dyDescent="0.15">
      <c r="A3" s="34">
        <v>2</v>
      </c>
      <c r="B3" s="35" t="s">
        <v>4881</v>
      </c>
      <c r="C3" s="36" t="s">
        <v>3176</v>
      </c>
      <c r="D3" s="11" t="s">
        <v>1627</v>
      </c>
      <c r="E3" s="11" t="s">
        <v>1744</v>
      </c>
      <c r="F3" s="11">
        <v>10</v>
      </c>
      <c r="G3" s="11" t="s">
        <v>6877</v>
      </c>
      <c r="H3" s="11" t="s">
        <v>3119</v>
      </c>
      <c r="I3" s="11" t="s">
        <v>339</v>
      </c>
      <c r="J3" s="11" t="s">
        <v>1489</v>
      </c>
      <c r="K3" s="11" t="s">
        <v>1463</v>
      </c>
      <c r="L3" s="11"/>
      <c r="M3" s="11" t="s">
        <v>3118</v>
      </c>
      <c r="N3" s="11"/>
      <c r="O3" s="11"/>
      <c r="P3" s="11"/>
      <c r="Q3" s="11">
        <v>2</v>
      </c>
      <c r="R3" s="11">
        <v>2</v>
      </c>
      <c r="S3" s="11" t="s">
        <v>3118</v>
      </c>
      <c r="T3" s="4" t="s">
        <v>1451</v>
      </c>
      <c r="U3" s="10">
        <v>2</v>
      </c>
      <c r="V3" s="10">
        <f t="shared" si="0"/>
        <v>21</v>
      </c>
      <c r="W3" s="10">
        <f t="shared" si="1"/>
        <v>11</v>
      </c>
      <c r="X3" s="10">
        <f t="shared" si="2"/>
        <v>7</v>
      </c>
      <c r="Y3" s="10">
        <f t="shared" si="3"/>
        <v>2</v>
      </c>
      <c r="Z3" s="10">
        <f t="shared" si="4"/>
        <v>0</v>
      </c>
      <c r="AA3" s="10">
        <f t="shared" si="5"/>
        <v>0</v>
      </c>
      <c r="AB3" s="10">
        <v>2</v>
      </c>
      <c r="AC3" s="10">
        <f t="shared" ref="AC3:AC21" si="6">COUNTIFS(R:R,AB3,Q:Q,AB3)</f>
        <v>126</v>
      </c>
    </row>
    <row r="4" spans="1:29" hidden="1" x14ac:dyDescent="0.15">
      <c r="A4" s="34">
        <v>3</v>
      </c>
      <c r="B4" s="35" t="s">
        <v>4881</v>
      </c>
      <c r="C4" s="36" t="s">
        <v>3176</v>
      </c>
      <c r="D4" s="11" t="s">
        <v>1627</v>
      </c>
      <c r="E4" s="11" t="s">
        <v>1744</v>
      </c>
      <c r="F4" s="11">
        <v>7</v>
      </c>
      <c r="G4" s="11" t="s">
        <v>3117</v>
      </c>
      <c r="H4" s="11" t="s">
        <v>3116</v>
      </c>
      <c r="I4" s="11" t="s">
        <v>339</v>
      </c>
      <c r="J4" s="11" t="s">
        <v>2416</v>
      </c>
      <c r="K4" s="11"/>
      <c r="L4" s="11"/>
      <c r="M4" s="11" t="s">
        <v>3177</v>
      </c>
      <c r="N4" s="11" t="s">
        <v>3115</v>
      </c>
      <c r="O4" s="11"/>
      <c r="P4" s="11"/>
      <c r="Q4" s="11">
        <v>1</v>
      </c>
      <c r="R4" s="11">
        <v>1</v>
      </c>
      <c r="S4" s="11" t="s">
        <v>3178</v>
      </c>
      <c r="T4" s="4" t="s">
        <v>1441</v>
      </c>
      <c r="U4" s="10">
        <v>3</v>
      </c>
      <c r="V4" s="10">
        <f t="shared" si="0"/>
        <v>53</v>
      </c>
      <c r="W4" s="10">
        <f t="shared" si="1"/>
        <v>32</v>
      </c>
      <c r="X4" s="10">
        <f t="shared" si="2"/>
        <v>15</v>
      </c>
      <c r="Y4" s="10">
        <f t="shared" si="3"/>
        <v>5</v>
      </c>
      <c r="Z4" s="10">
        <f t="shared" si="4"/>
        <v>1</v>
      </c>
      <c r="AA4" s="10">
        <f t="shared" si="5"/>
        <v>0</v>
      </c>
      <c r="AB4" s="10">
        <v>3</v>
      </c>
      <c r="AC4" s="10">
        <f t="shared" si="6"/>
        <v>42</v>
      </c>
    </row>
    <row r="5" spans="1:29" hidden="1" x14ac:dyDescent="0.15">
      <c r="A5" s="34">
        <v>4</v>
      </c>
      <c r="B5" s="35" t="s">
        <v>4881</v>
      </c>
      <c r="C5" s="36" t="s">
        <v>3176</v>
      </c>
      <c r="D5" s="11" t="s">
        <v>1627</v>
      </c>
      <c r="E5" s="11" t="s">
        <v>1744</v>
      </c>
      <c r="F5" s="11">
        <v>7</v>
      </c>
      <c r="G5" s="11" t="s">
        <v>3114</v>
      </c>
      <c r="H5" s="11" t="s">
        <v>3113</v>
      </c>
      <c r="I5" s="11" t="s">
        <v>339</v>
      </c>
      <c r="J5" s="11" t="s">
        <v>1489</v>
      </c>
      <c r="K5" s="11" t="s">
        <v>1470</v>
      </c>
      <c r="L5" s="11"/>
      <c r="M5" s="11" t="s">
        <v>3112</v>
      </c>
      <c r="N5" s="11"/>
      <c r="O5" s="11"/>
      <c r="P5" s="11"/>
      <c r="Q5" s="11">
        <v>2</v>
      </c>
      <c r="R5" s="11">
        <v>2</v>
      </c>
      <c r="S5" s="11" t="s">
        <v>3112</v>
      </c>
      <c r="T5" s="4" t="s">
        <v>1431</v>
      </c>
      <c r="U5" s="10">
        <v>4</v>
      </c>
      <c r="V5" s="10">
        <f t="shared" si="0"/>
        <v>71</v>
      </c>
      <c r="W5" s="10">
        <f t="shared" si="1"/>
        <v>40</v>
      </c>
      <c r="X5" s="10">
        <f t="shared" si="2"/>
        <v>21</v>
      </c>
      <c r="Y5" s="10">
        <f t="shared" si="3"/>
        <v>4</v>
      </c>
      <c r="Z5" s="10">
        <f t="shared" si="4"/>
        <v>4</v>
      </c>
      <c r="AA5" s="10">
        <f t="shared" si="5"/>
        <v>0</v>
      </c>
      <c r="AB5" s="10">
        <v>4</v>
      </c>
      <c r="AC5" s="10">
        <f t="shared" si="6"/>
        <v>141</v>
      </c>
    </row>
    <row r="6" spans="1:29" hidden="1" x14ac:dyDescent="0.15">
      <c r="A6" s="34">
        <v>5</v>
      </c>
      <c r="B6" s="35" t="s">
        <v>4881</v>
      </c>
      <c r="C6" s="36" t="s">
        <v>3176</v>
      </c>
      <c r="D6" s="11" t="s">
        <v>1627</v>
      </c>
      <c r="E6" s="11" t="s">
        <v>1744</v>
      </c>
      <c r="F6" s="11">
        <v>4</v>
      </c>
      <c r="G6" s="11" t="s">
        <v>3111</v>
      </c>
      <c r="H6" s="11" t="s">
        <v>3110</v>
      </c>
      <c r="I6" s="11" t="s">
        <v>339</v>
      </c>
      <c r="J6" s="11" t="s">
        <v>1890</v>
      </c>
      <c r="K6" s="11" t="s">
        <v>2634</v>
      </c>
      <c r="L6" s="11"/>
      <c r="M6" s="11" t="s">
        <v>3109</v>
      </c>
      <c r="N6" s="11"/>
      <c r="O6" s="11"/>
      <c r="P6" s="11"/>
      <c r="Q6" s="11">
        <v>1</v>
      </c>
      <c r="R6" s="11">
        <v>1</v>
      </c>
      <c r="S6" s="11" t="s">
        <v>3109</v>
      </c>
      <c r="T6" s="10" t="s">
        <v>291</v>
      </c>
      <c r="U6" s="10">
        <v>5</v>
      </c>
      <c r="V6" s="10">
        <f t="shared" si="0"/>
        <v>107</v>
      </c>
      <c r="W6" s="10">
        <f t="shared" si="1"/>
        <v>54</v>
      </c>
      <c r="X6" s="10">
        <f t="shared" si="2"/>
        <v>25</v>
      </c>
      <c r="Y6" s="10">
        <f t="shared" si="3"/>
        <v>23</v>
      </c>
      <c r="Z6" s="10">
        <f t="shared" si="4"/>
        <v>3</v>
      </c>
      <c r="AA6" s="10">
        <f t="shared" si="5"/>
        <v>0</v>
      </c>
      <c r="AB6" s="10">
        <v>5</v>
      </c>
      <c r="AC6" s="10">
        <f t="shared" si="6"/>
        <v>37</v>
      </c>
    </row>
    <row r="7" spans="1:29" hidden="1" x14ac:dyDescent="0.15">
      <c r="A7" s="34">
        <v>6</v>
      </c>
      <c r="B7" s="35" t="s">
        <v>4881</v>
      </c>
      <c r="C7" s="36" t="s">
        <v>3176</v>
      </c>
      <c r="D7" s="11" t="s">
        <v>1627</v>
      </c>
      <c r="E7" s="11" t="s">
        <v>1744</v>
      </c>
      <c r="F7" s="11">
        <v>6</v>
      </c>
      <c r="G7" s="11" t="s">
        <v>3108</v>
      </c>
      <c r="H7" s="11" t="s">
        <v>3107</v>
      </c>
      <c r="I7" s="11" t="s">
        <v>339</v>
      </c>
      <c r="J7" s="11" t="s">
        <v>1489</v>
      </c>
      <c r="K7" s="11" t="s">
        <v>1533</v>
      </c>
      <c r="L7" s="11"/>
      <c r="M7" s="11"/>
      <c r="N7" s="11"/>
      <c r="O7" s="11"/>
      <c r="P7" s="11"/>
      <c r="Q7" s="11">
        <v>2</v>
      </c>
      <c r="R7" s="11">
        <v>2</v>
      </c>
      <c r="S7" s="11"/>
      <c r="T7" s="10" t="s">
        <v>6281</v>
      </c>
      <c r="U7" s="10">
        <v>6</v>
      </c>
      <c r="V7" s="10">
        <f t="shared" si="0"/>
        <v>163</v>
      </c>
      <c r="W7" s="10">
        <f t="shared" si="1"/>
        <v>92</v>
      </c>
      <c r="X7" s="10">
        <f t="shared" si="2"/>
        <v>39</v>
      </c>
      <c r="Y7" s="10">
        <f t="shared" si="3"/>
        <v>19</v>
      </c>
      <c r="Z7" s="10">
        <f t="shared" si="4"/>
        <v>8</v>
      </c>
      <c r="AA7" s="10">
        <f t="shared" si="5"/>
        <v>0</v>
      </c>
      <c r="AB7" s="10">
        <v>6</v>
      </c>
      <c r="AC7" s="10">
        <f t="shared" si="6"/>
        <v>72</v>
      </c>
    </row>
    <row r="8" spans="1:29" hidden="1" x14ac:dyDescent="0.15">
      <c r="A8" s="34">
        <v>7</v>
      </c>
      <c r="B8" s="35" t="s">
        <v>4881</v>
      </c>
      <c r="C8" s="36" t="s">
        <v>3176</v>
      </c>
      <c r="D8" s="11" t="s">
        <v>1627</v>
      </c>
      <c r="E8" s="11" t="s">
        <v>1744</v>
      </c>
      <c r="F8" s="11">
        <v>10</v>
      </c>
      <c r="G8" s="11" t="s">
        <v>3106</v>
      </c>
      <c r="H8" s="11" t="s">
        <v>3179</v>
      </c>
      <c r="I8" s="11" t="s">
        <v>339</v>
      </c>
      <c r="J8" s="11" t="s">
        <v>2948</v>
      </c>
      <c r="K8" s="11" t="s">
        <v>1799</v>
      </c>
      <c r="L8" s="11"/>
      <c r="M8" s="11" t="s">
        <v>3180</v>
      </c>
      <c r="N8" s="11"/>
      <c r="O8" s="11"/>
      <c r="P8" s="11"/>
      <c r="Q8" s="11">
        <v>1</v>
      </c>
      <c r="R8" s="11">
        <v>3</v>
      </c>
      <c r="S8" s="11" t="s">
        <v>3180</v>
      </c>
      <c r="U8" s="10">
        <v>7</v>
      </c>
      <c r="V8" s="10">
        <f t="shared" si="0"/>
        <v>116</v>
      </c>
      <c r="W8" s="10">
        <f t="shared" si="1"/>
        <v>45</v>
      </c>
      <c r="X8" s="10">
        <f t="shared" si="2"/>
        <v>38</v>
      </c>
      <c r="Y8" s="10">
        <f t="shared" si="3"/>
        <v>20</v>
      </c>
      <c r="Z8" s="10">
        <f t="shared" si="4"/>
        <v>8</v>
      </c>
      <c r="AA8" s="10">
        <f t="shared" si="5"/>
        <v>0</v>
      </c>
      <c r="AB8" s="10">
        <v>7</v>
      </c>
      <c r="AC8" s="10">
        <f t="shared" si="6"/>
        <v>13</v>
      </c>
    </row>
    <row r="9" spans="1:29" hidden="1" x14ac:dyDescent="0.15">
      <c r="A9" s="34">
        <v>8</v>
      </c>
      <c r="B9" s="35" t="s">
        <v>4881</v>
      </c>
      <c r="C9" s="36" t="s">
        <v>3176</v>
      </c>
      <c r="D9" s="11" t="s">
        <v>1627</v>
      </c>
      <c r="E9" s="11" t="s">
        <v>1744</v>
      </c>
      <c r="F9" s="11">
        <v>9</v>
      </c>
      <c r="G9" s="11" t="s">
        <v>3105</v>
      </c>
      <c r="H9" s="11" t="s">
        <v>3104</v>
      </c>
      <c r="I9" s="11" t="s">
        <v>339</v>
      </c>
      <c r="J9" s="11" t="s">
        <v>1489</v>
      </c>
      <c r="K9" s="11" t="s">
        <v>1799</v>
      </c>
      <c r="L9" s="11"/>
      <c r="M9" s="11" t="s">
        <v>3181</v>
      </c>
      <c r="N9" s="11"/>
      <c r="O9" s="11"/>
      <c r="P9" s="11"/>
      <c r="Q9" s="11">
        <v>2</v>
      </c>
      <c r="R9" s="11">
        <v>2</v>
      </c>
      <c r="S9" s="11" t="s">
        <v>3181</v>
      </c>
      <c r="U9" s="10">
        <v>8</v>
      </c>
      <c r="V9" s="10">
        <f t="shared" si="0"/>
        <v>132</v>
      </c>
      <c r="W9" s="10">
        <f t="shared" si="1"/>
        <v>56</v>
      </c>
      <c r="X9" s="10">
        <f t="shared" si="2"/>
        <v>45</v>
      </c>
      <c r="Y9" s="10">
        <f t="shared" si="3"/>
        <v>18</v>
      </c>
      <c r="Z9" s="10">
        <f t="shared" si="4"/>
        <v>11</v>
      </c>
      <c r="AA9" s="10">
        <f t="shared" si="5"/>
        <v>0</v>
      </c>
      <c r="AB9" s="10">
        <v>8</v>
      </c>
      <c r="AC9" s="10">
        <f t="shared" si="6"/>
        <v>42</v>
      </c>
    </row>
    <row r="10" spans="1:29" hidden="1" x14ac:dyDescent="0.15">
      <c r="A10" s="34">
        <v>9</v>
      </c>
      <c r="B10" s="35" t="s">
        <v>4881</v>
      </c>
      <c r="C10" s="36" t="s">
        <v>3176</v>
      </c>
      <c r="D10" s="11" t="s">
        <v>1627</v>
      </c>
      <c r="E10" s="11" t="s">
        <v>1744</v>
      </c>
      <c r="F10" s="11">
        <v>9</v>
      </c>
      <c r="G10" s="11" t="s">
        <v>3103</v>
      </c>
      <c r="H10" s="11" t="s">
        <v>3102</v>
      </c>
      <c r="I10" s="11" t="s">
        <v>339</v>
      </c>
      <c r="J10" s="11" t="s">
        <v>3101</v>
      </c>
      <c r="K10" s="11"/>
      <c r="L10" s="11"/>
      <c r="M10" s="11" t="s">
        <v>2595</v>
      </c>
      <c r="N10" s="11"/>
      <c r="O10" s="11"/>
      <c r="P10" s="11"/>
      <c r="Q10" s="11">
        <v>1</v>
      </c>
      <c r="R10" s="11">
        <v>3</v>
      </c>
      <c r="S10" s="11" t="s">
        <v>4802</v>
      </c>
      <c r="U10" s="10">
        <v>9</v>
      </c>
      <c r="V10" s="10">
        <f t="shared" si="0"/>
        <v>127</v>
      </c>
      <c r="W10" s="10">
        <f t="shared" si="1"/>
        <v>40</v>
      </c>
      <c r="X10" s="10">
        <f t="shared" si="2"/>
        <v>57</v>
      </c>
      <c r="Y10" s="10">
        <f t="shared" si="3"/>
        <v>24</v>
      </c>
      <c r="Z10" s="10">
        <f t="shared" si="4"/>
        <v>5</v>
      </c>
      <c r="AA10" s="10">
        <f t="shared" si="5"/>
        <v>0</v>
      </c>
      <c r="AB10" s="10">
        <v>9</v>
      </c>
      <c r="AC10" s="10">
        <f t="shared" si="6"/>
        <v>1</v>
      </c>
    </row>
    <row r="11" spans="1:29" hidden="1" x14ac:dyDescent="0.15">
      <c r="A11" s="34">
        <v>10</v>
      </c>
      <c r="B11" s="35" t="s">
        <v>4881</v>
      </c>
      <c r="C11" s="36" t="s">
        <v>3176</v>
      </c>
      <c r="D11" s="11" t="s">
        <v>1627</v>
      </c>
      <c r="E11" s="11" t="s">
        <v>1744</v>
      </c>
      <c r="F11" s="11">
        <v>5</v>
      </c>
      <c r="G11" s="11" t="s">
        <v>3100</v>
      </c>
      <c r="H11" s="11" t="s">
        <v>3099</v>
      </c>
      <c r="I11" s="11" t="s">
        <v>1453</v>
      </c>
      <c r="J11" s="11"/>
      <c r="K11" s="11"/>
      <c r="L11" s="11"/>
      <c r="M11" s="11" t="s">
        <v>3098</v>
      </c>
      <c r="N11" s="11"/>
      <c r="O11" s="11"/>
      <c r="P11" s="11"/>
      <c r="Q11" s="11"/>
      <c r="R11" s="11"/>
      <c r="S11" s="11" t="s">
        <v>3098</v>
      </c>
      <c r="U11" s="10">
        <v>10</v>
      </c>
      <c r="V11" s="10">
        <f t="shared" si="0"/>
        <v>152</v>
      </c>
      <c r="W11" s="10">
        <f t="shared" si="1"/>
        <v>42</v>
      </c>
      <c r="X11" s="10">
        <f t="shared" si="2"/>
        <v>64</v>
      </c>
      <c r="Y11" s="10">
        <f t="shared" si="3"/>
        <v>29</v>
      </c>
      <c r="Z11" s="10">
        <f t="shared" si="4"/>
        <v>14</v>
      </c>
      <c r="AA11" s="10">
        <f t="shared" si="5"/>
        <v>0</v>
      </c>
      <c r="AB11" s="10">
        <v>10</v>
      </c>
      <c r="AC11" s="10">
        <f t="shared" si="6"/>
        <v>5</v>
      </c>
    </row>
    <row r="12" spans="1:29" hidden="1" x14ac:dyDescent="0.15">
      <c r="A12" s="34">
        <v>11</v>
      </c>
      <c r="B12" s="35" t="s">
        <v>4881</v>
      </c>
      <c r="C12" s="36" t="s">
        <v>3176</v>
      </c>
      <c r="D12" s="11" t="s">
        <v>1627</v>
      </c>
      <c r="E12" s="11" t="s">
        <v>1744</v>
      </c>
      <c r="F12" s="11">
        <v>11</v>
      </c>
      <c r="G12" s="11" t="s">
        <v>3097</v>
      </c>
      <c r="H12" s="11" t="s">
        <v>4755</v>
      </c>
      <c r="I12" s="11" t="s">
        <v>1453</v>
      </c>
      <c r="J12" s="11"/>
      <c r="K12" s="11"/>
      <c r="L12" s="11"/>
      <c r="M12" s="11" t="s">
        <v>3096</v>
      </c>
      <c r="N12" s="11" t="s">
        <v>3095</v>
      </c>
      <c r="O12" s="11"/>
      <c r="P12" s="11"/>
      <c r="Q12" s="11"/>
      <c r="R12" s="11"/>
      <c r="S12" s="11" t="s">
        <v>3094</v>
      </c>
      <c r="U12" s="10">
        <v>11</v>
      </c>
      <c r="V12" s="10">
        <f t="shared" si="0"/>
        <v>134</v>
      </c>
      <c r="W12" s="10">
        <f t="shared" si="1"/>
        <v>35</v>
      </c>
      <c r="X12" s="10">
        <f t="shared" si="2"/>
        <v>50</v>
      </c>
      <c r="Y12" s="10">
        <f t="shared" si="3"/>
        <v>35</v>
      </c>
      <c r="Z12" s="10">
        <f t="shared" si="4"/>
        <v>12</v>
      </c>
      <c r="AA12" s="10">
        <f t="shared" si="5"/>
        <v>0</v>
      </c>
      <c r="AB12" s="10">
        <v>11</v>
      </c>
      <c r="AC12" s="10">
        <f t="shared" si="6"/>
        <v>0</v>
      </c>
    </row>
    <row r="13" spans="1:29" hidden="1" x14ac:dyDescent="0.15">
      <c r="A13" s="34">
        <v>12</v>
      </c>
      <c r="B13" s="35" t="s">
        <v>4881</v>
      </c>
      <c r="C13" s="36" t="s">
        <v>3176</v>
      </c>
      <c r="D13" s="11" t="s">
        <v>1627</v>
      </c>
      <c r="E13" s="11" t="s">
        <v>1744</v>
      </c>
      <c r="F13" s="11">
        <v>6</v>
      </c>
      <c r="G13" s="11" t="s">
        <v>3093</v>
      </c>
      <c r="H13" s="11" t="s">
        <v>3092</v>
      </c>
      <c r="I13" s="11" t="s">
        <v>1453</v>
      </c>
      <c r="J13" s="11"/>
      <c r="K13" s="11"/>
      <c r="L13" s="11"/>
      <c r="M13" s="11" t="s">
        <v>3091</v>
      </c>
      <c r="N13" s="11"/>
      <c r="O13" s="11"/>
      <c r="P13" s="11"/>
      <c r="Q13" s="11"/>
      <c r="R13" s="11"/>
      <c r="S13" s="11" t="s">
        <v>3091</v>
      </c>
      <c r="U13" s="10">
        <v>12</v>
      </c>
      <c r="V13" s="10">
        <f t="shared" si="0"/>
        <v>100</v>
      </c>
      <c r="W13" s="10">
        <f t="shared" si="1"/>
        <v>17</v>
      </c>
      <c r="X13" s="10">
        <f t="shared" si="2"/>
        <v>34</v>
      </c>
      <c r="Y13" s="10">
        <f t="shared" si="3"/>
        <v>33</v>
      </c>
      <c r="Z13" s="10">
        <f t="shared" si="4"/>
        <v>14</v>
      </c>
      <c r="AA13" s="10">
        <f t="shared" si="5"/>
        <v>0</v>
      </c>
      <c r="AB13" s="10">
        <v>12</v>
      </c>
      <c r="AC13" s="10">
        <f t="shared" si="6"/>
        <v>7</v>
      </c>
    </row>
    <row r="14" spans="1:29" hidden="1" x14ac:dyDescent="0.15">
      <c r="A14" s="34">
        <v>13</v>
      </c>
      <c r="B14" s="35" t="s">
        <v>4881</v>
      </c>
      <c r="C14" s="36" t="s">
        <v>3176</v>
      </c>
      <c r="D14" s="11" t="s">
        <v>1627</v>
      </c>
      <c r="E14" s="11" t="s">
        <v>1744</v>
      </c>
      <c r="F14" s="11">
        <v>8</v>
      </c>
      <c r="G14" s="11" t="s">
        <v>3090</v>
      </c>
      <c r="H14" s="11" t="s">
        <v>3089</v>
      </c>
      <c r="I14" s="11" t="s">
        <v>288</v>
      </c>
      <c r="J14" s="11" t="s">
        <v>6306</v>
      </c>
      <c r="K14" s="11"/>
      <c r="L14" s="11"/>
      <c r="M14" s="11" t="s">
        <v>3088</v>
      </c>
      <c r="N14" s="11"/>
      <c r="O14" s="11"/>
      <c r="P14" s="11">
        <v>2</v>
      </c>
      <c r="Q14" s="11"/>
      <c r="R14" s="11"/>
      <c r="S14" s="11" t="s">
        <v>3088</v>
      </c>
      <c r="U14" s="10">
        <v>13</v>
      </c>
      <c r="V14" s="10">
        <f t="shared" si="0"/>
        <v>79</v>
      </c>
      <c r="W14" s="10">
        <f t="shared" si="1"/>
        <v>7</v>
      </c>
      <c r="X14" s="10">
        <f t="shared" si="2"/>
        <v>28</v>
      </c>
      <c r="Y14" s="10">
        <f t="shared" si="3"/>
        <v>26</v>
      </c>
      <c r="Z14" s="10">
        <f t="shared" si="4"/>
        <v>12</v>
      </c>
      <c r="AA14" s="10">
        <f t="shared" si="5"/>
        <v>0</v>
      </c>
      <c r="AB14" s="10">
        <v>13</v>
      </c>
      <c r="AC14" s="10">
        <f t="shared" si="6"/>
        <v>1</v>
      </c>
    </row>
    <row r="15" spans="1:29" hidden="1" x14ac:dyDescent="0.15">
      <c r="A15" s="34">
        <v>14</v>
      </c>
      <c r="B15" s="35" t="s">
        <v>4881</v>
      </c>
      <c r="C15" s="36" t="s">
        <v>3176</v>
      </c>
      <c r="D15" s="11" t="s">
        <v>1627</v>
      </c>
      <c r="E15" s="11" t="s">
        <v>1744</v>
      </c>
      <c r="F15" s="11">
        <v>5</v>
      </c>
      <c r="G15" s="11" t="s">
        <v>3087</v>
      </c>
      <c r="H15" s="11" t="s">
        <v>3086</v>
      </c>
      <c r="I15" s="11" t="s">
        <v>288</v>
      </c>
      <c r="J15" s="11" t="s">
        <v>6306</v>
      </c>
      <c r="K15" s="11"/>
      <c r="L15" s="11"/>
      <c r="M15" s="11" t="s">
        <v>3085</v>
      </c>
      <c r="N15" s="11"/>
      <c r="O15" s="11"/>
      <c r="P15" s="11">
        <v>2</v>
      </c>
      <c r="Q15" s="11"/>
      <c r="R15" s="11"/>
      <c r="S15" s="11" t="s">
        <v>3085</v>
      </c>
      <c r="U15" s="10">
        <v>14</v>
      </c>
      <c r="V15" s="10">
        <f t="shared" si="0"/>
        <v>78</v>
      </c>
      <c r="W15" s="10">
        <f t="shared" si="1"/>
        <v>5</v>
      </c>
      <c r="X15" s="10">
        <f t="shared" si="2"/>
        <v>24</v>
      </c>
      <c r="Y15" s="10">
        <f t="shared" si="3"/>
        <v>28</v>
      </c>
      <c r="Z15" s="10">
        <f t="shared" si="4"/>
        <v>19</v>
      </c>
      <c r="AA15" s="10">
        <f t="shared" si="5"/>
        <v>0</v>
      </c>
      <c r="AB15" s="10">
        <v>14</v>
      </c>
      <c r="AC15" s="10">
        <f t="shared" si="6"/>
        <v>0</v>
      </c>
    </row>
    <row r="16" spans="1:29" hidden="1" x14ac:dyDescent="0.15">
      <c r="A16" s="34">
        <v>15</v>
      </c>
      <c r="B16" s="35" t="s">
        <v>4881</v>
      </c>
      <c r="C16" s="36" t="s">
        <v>3176</v>
      </c>
      <c r="D16" s="11" t="s">
        <v>1627</v>
      </c>
      <c r="E16" s="11" t="s">
        <v>1451</v>
      </c>
      <c r="F16" s="11">
        <v>10</v>
      </c>
      <c r="G16" s="11" t="s">
        <v>3084</v>
      </c>
      <c r="H16" s="11" t="s">
        <v>3083</v>
      </c>
      <c r="I16" s="11" t="s">
        <v>339</v>
      </c>
      <c r="J16" s="11" t="s">
        <v>1489</v>
      </c>
      <c r="K16" s="11" t="s">
        <v>1799</v>
      </c>
      <c r="L16" s="11"/>
      <c r="M16" s="11" t="s">
        <v>3082</v>
      </c>
      <c r="N16" s="11"/>
      <c r="O16" s="11"/>
      <c r="P16" s="11"/>
      <c r="Q16" s="11">
        <v>4</v>
      </c>
      <c r="R16" s="11">
        <v>4</v>
      </c>
      <c r="S16" s="11" t="s">
        <v>3082</v>
      </c>
      <c r="U16" s="10">
        <v>15</v>
      </c>
      <c r="V16" s="10">
        <f t="shared" si="0"/>
        <v>72</v>
      </c>
      <c r="W16" s="10">
        <f t="shared" si="1"/>
        <v>9</v>
      </c>
      <c r="X16" s="10">
        <f t="shared" si="2"/>
        <v>19</v>
      </c>
      <c r="Y16" s="10">
        <f t="shared" si="3"/>
        <v>27</v>
      </c>
      <c r="Z16" s="10">
        <f t="shared" si="4"/>
        <v>14</v>
      </c>
      <c r="AA16" s="10">
        <f t="shared" si="5"/>
        <v>0</v>
      </c>
      <c r="AB16" s="10">
        <v>15</v>
      </c>
      <c r="AC16" s="10">
        <f t="shared" si="6"/>
        <v>0</v>
      </c>
    </row>
    <row r="17" spans="1:29" hidden="1" x14ac:dyDescent="0.15">
      <c r="A17" s="34">
        <v>16</v>
      </c>
      <c r="B17" s="35" t="s">
        <v>4881</v>
      </c>
      <c r="C17" s="36" t="s">
        <v>3176</v>
      </c>
      <c r="D17" s="11" t="s">
        <v>1627</v>
      </c>
      <c r="E17" s="11" t="s">
        <v>1451</v>
      </c>
      <c r="F17" s="11">
        <v>11</v>
      </c>
      <c r="G17" s="11" t="s">
        <v>3081</v>
      </c>
      <c r="H17" s="11" t="s">
        <v>3080</v>
      </c>
      <c r="I17" s="11" t="s">
        <v>339</v>
      </c>
      <c r="J17" s="11" t="s">
        <v>1489</v>
      </c>
      <c r="K17" s="11" t="s">
        <v>1470</v>
      </c>
      <c r="L17" s="11"/>
      <c r="M17" s="11" t="s">
        <v>3079</v>
      </c>
      <c r="N17" s="11"/>
      <c r="O17" s="11"/>
      <c r="P17" s="11"/>
      <c r="Q17" s="11">
        <v>4</v>
      </c>
      <c r="R17" s="11">
        <v>4</v>
      </c>
      <c r="S17" s="11" t="s">
        <v>3079</v>
      </c>
      <c r="U17" s="10">
        <v>16</v>
      </c>
      <c r="V17" s="10">
        <f t="shared" si="0"/>
        <v>77</v>
      </c>
      <c r="W17" s="10">
        <f t="shared" si="1"/>
        <v>4</v>
      </c>
      <c r="X17" s="10">
        <f t="shared" si="2"/>
        <v>21</v>
      </c>
      <c r="Y17" s="10">
        <f t="shared" si="3"/>
        <v>26</v>
      </c>
      <c r="Z17" s="10">
        <f t="shared" si="4"/>
        <v>17</v>
      </c>
      <c r="AA17" s="10">
        <f t="shared" si="5"/>
        <v>0</v>
      </c>
      <c r="AB17" s="10">
        <v>16</v>
      </c>
      <c r="AC17" s="10">
        <f t="shared" si="6"/>
        <v>0</v>
      </c>
    </row>
    <row r="18" spans="1:29" hidden="1" x14ac:dyDescent="0.15">
      <c r="A18" s="34">
        <v>17</v>
      </c>
      <c r="B18" s="35" t="s">
        <v>4881</v>
      </c>
      <c r="C18" s="36" t="s">
        <v>3176</v>
      </c>
      <c r="D18" s="11" t="s">
        <v>1627</v>
      </c>
      <c r="E18" s="11" t="s">
        <v>1451</v>
      </c>
      <c r="F18" s="11">
        <v>11</v>
      </c>
      <c r="G18" s="11" t="s">
        <v>3078</v>
      </c>
      <c r="H18" s="11" t="s">
        <v>3077</v>
      </c>
      <c r="I18" s="11" t="s">
        <v>339</v>
      </c>
      <c r="J18" s="11" t="s">
        <v>2948</v>
      </c>
      <c r="K18" s="11" t="s">
        <v>1470</v>
      </c>
      <c r="L18" s="11"/>
      <c r="M18" s="11" t="s">
        <v>351</v>
      </c>
      <c r="N18" s="11" t="s">
        <v>3076</v>
      </c>
      <c r="O18" s="11"/>
      <c r="P18" s="11"/>
      <c r="Q18" s="11">
        <v>3</v>
      </c>
      <c r="R18" s="11">
        <v>3</v>
      </c>
      <c r="S18" s="11" t="s">
        <v>3182</v>
      </c>
      <c r="U18" s="10">
        <v>17</v>
      </c>
      <c r="V18" s="10">
        <f t="shared" si="0"/>
        <v>38</v>
      </c>
      <c r="W18" s="10">
        <f t="shared" si="1"/>
        <v>3</v>
      </c>
      <c r="X18" s="10">
        <f t="shared" si="2"/>
        <v>10</v>
      </c>
      <c r="Y18" s="10">
        <f t="shared" si="3"/>
        <v>13</v>
      </c>
      <c r="Z18" s="10">
        <f t="shared" si="4"/>
        <v>9</v>
      </c>
      <c r="AA18" s="10">
        <f t="shared" si="5"/>
        <v>0</v>
      </c>
      <c r="AB18" s="10">
        <v>17</v>
      </c>
      <c r="AC18" s="10">
        <f t="shared" si="6"/>
        <v>0</v>
      </c>
    </row>
    <row r="19" spans="1:29" hidden="1" x14ac:dyDescent="0.15">
      <c r="A19" s="34">
        <v>18</v>
      </c>
      <c r="B19" s="35" t="s">
        <v>4881</v>
      </c>
      <c r="C19" s="36" t="s">
        <v>3176</v>
      </c>
      <c r="D19" s="11" t="s">
        <v>1627</v>
      </c>
      <c r="E19" s="11" t="s">
        <v>1451</v>
      </c>
      <c r="F19" s="11">
        <v>13</v>
      </c>
      <c r="G19" s="11" t="s">
        <v>3075</v>
      </c>
      <c r="H19" s="11" t="s">
        <v>3074</v>
      </c>
      <c r="I19" s="11" t="s">
        <v>339</v>
      </c>
      <c r="J19" s="11" t="s">
        <v>2407</v>
      </c>
      <c r="K19" s="11"/>
      <c r="L19" s="11"/>
      <c r="M19" s="11" t="s">
        <v>351</v>
      </c>
      <c r="N19" s="11" t="s">
        <v>3073</v>
      </c>
      <c r="O19" s="11"/>
      <c r="P19" s="11"/>
      <c r="Q19" s="11">
        <v>4</v>
      </c>
      <c r="R19" s="11">
        <v>4</v>
      </c>
      <c r="S19" s="11" t="s">
        <v>3183</v>
      </c>
      <c r="U19" s="10">
        <v>18</v>
      </c>
      <c r="V19" s="10">
        <f t="shared" si="0"/>
        <v>39</v>
      </c>
      <c r="W19" s="10">
        <f t="shared" si="1"/>
        <v>1</v>
      </c>
      <c r="X19" s="10">
        <f t="shared" si="2"/>
        <v>3</v>
      </c>
      <c r="Y19" s="10">
        <f t="shared" si="3"/>
        <v>14</v>
      </c>
      <c r="Z19" s="10">
        <f t="shared" si="4"/>
        <v>19</v>
      </c>
      <c r="AA19" s="10">
        <f t="shared" si="5"/>
        <v>0</v>
      </c>
      <c r="AB19" s="10">
        <v>18</v>
      </c>
      <c r="AC19" s="10">
        <f t="shared" si="6"/>
        <v>0</v>
      </c>
    </row>
    <row r="20" spans="1:29" hidden="1" x14ac:dyDescent="0.15">
      <c r="A20" s="34">
        <v>19</v>
      </c>
      <c r="B20" s="35" t="s">
        <v>4881</v>
      </c>
      <c r="C20" s="36" t="s">
        <v>3176</v>
      </c>
      <c r="D20" s="11" t="s">
        <v>1627</v>
      </c>
      <c r="E20" s="11" t="s">
        <v>1451</v>
      </c>
      <c r="F20" s="11">
        <v>12</v>
      </c>
      <c r="G20" s="11" t="s">
        <v>3072</v>
      </c>
      <c r="H20" s="11" t="s">
        <v>3071</v>
      </c>
      <c r="I20" s="11" t="s">
        <v>339</v>
      </c>
      <c r="J20" s="11" t="s">
        <v>1489</v>
      </c>
      <c r="K20" s="11" t="s">
        <v>1799</v>
      </c>
      <c r="L20" s="11"/>
      <c r="M20" s="11" t="s">
        <v>3184</v>
      </c>
      <c r="N20" s="11" t="s">
        <v>3070</v>
      </c>
      <c r="O20" s="11"/>
      <c r="P20" s="11"/>
      <c r="Q20" s="11">
        <v>4</v>
      </c>
      <c r="R20" s="11">
        <v>3</v>
      </c>
      <c r="S20" s="11" t="s">
        <v>3185</v>
      </c>
      <c r="U20" s="10">
        <v>19</v>
      </c>
      <c r="V20" s="10">
        <f t="shared" si="0"/>
        <v>16</v>
      </c>
      <c r="W20" s="10">
        <f t="shared" si="1"/>
        <v>1</v>
      </c>
      <c r="X20" s="10">
        <f t="shared" si="2"/>
        <v>5</v>
      </c>
      <c r="Y20" s="10">
        <f t="shared" si="3"/>
        <v>3</v>
      </c>
      <c r="Z20" s="10">
        <f t="shared" si="4"/>
        <v>6</v>
      </c>
      <c r="AA20" s="10">
        <f t="shared" si="5"/>
        <v>0</v>
      </c>
      <c r="AB20" s="10">
        <v>19</v>
      </c>
      <c r="AC20" s="10">
        <f t="shared" si="6"/>
        <v>0</v>
      </c>
    </row>
    <row r="21" spans="1:29" hidden="1" x14ac:dyDescent="0.15">
      <c r="A21" s="34">
        <v>20</v>
      </c>
      <c r="B21" s="35" t="s">
        <v>4881</v>
      </c>
      <c r="C21" s="36" t="s">
        <v>3176</v>
      </c>
      <c r="D21" s="11" t="s">
        <v>1627</v>
      </c>
      <c r="E21" s="11" t="s">
        <v>1451</v>
      </c>
      <c r="F21" s="11">
        <v>10</v>
      </c>
      <c r="G21" s="11" t="s">
        <v>3069</v>
      </c>
      <c r="H21" s="11" t="s">
        <v>3068</v>
      </c>
      <c r="I21" s="11" t="s">
        <v>339</v>
      </c>
      <c r="J21" s="11" t="s">
        <v>1489</v>
      </c>
      <c r="K21" s="11" t="s">
        <v>1799</v>
      </c>
      <c r="L21" s="11"/>
      <c r="M21" s="11" t="s">
        <v>2595</v>
      </c>
      <c r="N21" s="11"/>
      <c r="O21" s="11"/>
      <c r="P21" s="11"/>
      <c r="Q21" s="11">
        <v>3</v>
      </c>
      <c r="R21" s="11">
        <v>4</v>
      </c>
      <c r="S21" s="11" t="s">
        <v>2595</v>
      </c>
      <c r="U21" s="10">
        <v>20</v>
      </c>
      <c r="V21" s="10">
        <f t="shared" si="0"/>
        <v>32</v>
      </c>
      <c r="W21" s="10">
        <f t="shared" si="1"/>
        <v>1</v>
      </c>
      <c r="X21" s="10">
        <f t="shared" si="2"/>
        <v>4</v>
      </c>
      <c r="Y21" s="10">
        <f t="shared" si="3"/>
        <v>8</v>
      </c>
      <c r="Z21" s="10">
        <f t="shared" si="4"/>
        <v>19</v>
      </c>
      <c r="AA21" s="10">
        <f t="shared" si="5"/>
        <v>0</v>
      </c>
      <c r="AB21" s="10">
        <v>20</v>
      </c>
      <c r="AC21" s="10">
        <f t="shared" si="6"/>
        <v>0</v>
      </c>
    </row>
    <row r="22" spans="1:29" hidden="1" x14ac:dyDescent="0.15">
      <c r="A22" s="34">
        <v>21</v>
      </c>
      <c r="B22" s="35" t="s">
        <v>4881</v>
      </c>
      <c r="C22" s="36" t="s">
        <v>3176</v>
      </c>
      <c r="D22" s="11" t="s">
        <v>1627</v>
      </c>
      <c r="E22" s="11" t="s">
        <v>1451</v>
      </c>
      <c r="F22" s="11">
        <v>14</v>
      </c>
      <c r="G22" s="11" t="s">
        <v>3067</v>
      </c>
      <c r="H22" s="11" t="s">
        <v>3066</v>
      </c>
      <c r="I22" s="11" t="s">
        <v>339</v>
      </c>
      <c r="J22" s="11" t="s">
        <v>348</v>
      </c>
      <c r="K22" s="11"/>
      <c r="L22" s="11"/>
      <c r="M22" s="11" t="s">
        <v>351</v>
      </c>
      <c r="N22" s="11" t="s">
        <v>3065</v>
      </c>
      <c r="O22" s="11"/>
      <c r="P22" s="11"/>
      <c r="Q22" s="11">
        <v>4</v>
      </c>
      <c r="R22" s="11">
        <v>4</v>
      </c>
      <c r="S22" s="11" t="s">
        <v>3186</v>
      </c>
      <c r="U22" s="10">
        <v>21</v>
      </c>
      <c r="V22" s="10">
        <f t="shared" si="0"/>
        <v>18</v>
      </c>
      <c r="W22" s="10">
        <f t="shared" si="1"/>
        <v>0</v>
      </c>
      <c r="X22" s="10">
        <f t="shared" si="2"/>
        <v>3</v>
      </c>
      <c r="Y22" s="10">
        <f t="shared" si="3"/>
        <v>7</v>
      </c>
      <c r="Z22" s="10">
        <f t="shared" si="4"/>
        <v>7</v>
      </c>
      <c r="AA22" s="10">
        <f t="shared" si="5"/>
        <v>0</v>
      </c>
      <c r="AC22" s="10">
        <f t="shared" ref="AC22:AC31" si="7">COUNTIFS(L:L,AA22,K:K,$T$2)</f>
        <v>0</v>
      </c>
    </row>
    <row r="23" spans="1:29" hidden="1" x14ac:dyDescent="0.15">
      <c r="A23" s="34">
        <v>22</v>
      </c>
      <c r="B23" s="35" t="s">
        <v>4881</v>
      </c>
      <c r="C23" s="36" t="s">
        <v>3176</v>
      </c>
      <c r="D23" s="11" t="s">
        <v>1627</v>
      </c>
      <c r="E23" s="11" t="s">
        <v>1451</v>
      </c>
      <c r="F23" s="11">
        <v>11</v>
      </c>
      <c r="G23" s="11" t="s">
        <v>3064</v>
      </c>
      <c r="H23" s="11" t="s">
        <v>3063</v>
      </c>
      <c r="I23" s="11" t="s">
        <v>339</v>
      </c>
      <c r="J23" s="11" t="s">
        <v>3062</v>
      </c>
      <c r="K23" s="11"/>
      <c r="L23" s="11"/>
      <c r="M23" s="11" t="s">
        <v>3061</v>
      </c>
      <c r="N23" s="11"/>
      <c r="O23" s="11"/>
      <c r="P23" s="11"/>
      <c r="Q23" s="11">
        <v>2</v>
      </c>
      <c r="R23" s="11">
        <v>5</v>
      </c>
      <c r="S23" s="11" t="s">
        <v>3061</v>
      </c>
      <c r="U23" s="10">
        <v>22</v>
      </c>
      <c r="V23" s="10">
        <f t="shared" si="0"/>
        <v>5</v>
      </c>
      <c r="W23" s="10">
        <f t="shared" si="1"/>
        <v>0</v>
      </c>
      <c r="X23" s="10">
        <f t="shared" si="2"/>
        <v>1</v>
      </c>
      <c r="Y23" s="10">
        <f t="shared" si="3"/>
        <v>1</v>
      </c>
      <c r="Z23" s="10">
        <f t="shared" si="4"/>
        <v>3</v>
      </c>
      <c r="AA23" s="10">
        <f t="shared" si="5"/>
        <v>0</v>
      </c>
      <c r="AC23" s="10">
        <f t="shared" si="7"/>
        <v>0</v>
      </c>
    </row>
    <row r="24" spans="1:29" hidden="1" x14ac:dyDescent="0.15">
      <c r="A24" s="34">
        <v>23</v>
      </c>
      <c r="B24" s="35" t="s">
        <v>4881</v>
      </c>
      <c r="C24" s="36" t="s">
        <v>3176</v>
      </c>
      <c r="D24" s="11" t="s">
        <v>1627</v>
      </c>
      <c r="E24" s="11" t="s">
        <v>1451</v>
      </c>
      <c r="F24" s="11">
        <v>11</v>
      </c>
      <c r="G24" s="11" t="s">
        <v>3060</v>
      </c>
      <c r="H24" s="11" t="s">
        <v>3059</v>
      </c>
      <c r="I24" s="11" t="s">
        <v>339</v>
      </c>
      <c r="J24" s="11" t="s">
        <v>1489</v>
      </c>
      <c r="K24" s="11" t="s">
        <v>1470</v>
      </c>
      <c r="L24" s="11"/>
      <c r="M24" s="11" t="s">
        <v>3187</v>
      </c>
      <c r="N24" s="11"/>
      <c r="O24" s="11"/>
      <c r="P24" s="11"/>
      <c r="Q24" s="11">
        <v>3</v>
      </c>
      <c r="R24" s="11">
        <v>3</v>
      </c>
      <c r="S24" s="11" t="s">
        <v>3187</v>
      </c>
      <c r="U24" s="10">
        <v>23</v>
      </c>
      <c r="V24" s="10">
        <f t="shared" si="0"/>
        <v>8</v>
      </c>
      <c r="W24" s="10">
        <f t="shared" si="1"/>
        <v>1</v>
      </c>
      <c r="X24" s="10">
        <f t="shared" si="2"/>
        <v>1</v>
      </c>
      <c r="Y24" s="10">
        <f t="shared" si="3"/>
        <v>0</v>
      </c>
      <c r="Z24" s="10">
        <f t="shared" si="4"/>
        <v>5</v>
      </c>
      <c r="AA24" s="10">
        <f t="shared" si="5"/>
        <v>0</v>
      </c>
      <c r="AC24" s="10">
        <f t="shared" si="7"/>
        <v>0</v>
      </c>
    </row>
    <row r="25" spans="1:29" hidden="1" x14ac:dyDescent="0.15">
      <c r="A25" s="34">
        <v>24</v>
      </c>
      <c r="B25" s="35" t="s">
        <v>4881</v>
      </c>
      <c r="C25" s="36" t="s">
        <v>3176</v>
      </c>
      <c r="D25" s="11" t="s">
        <v>1627</v>
      </c>
      <c r="E25" s="11" t="s">
        <v>1451</v>
      </c>
      <c r="F25" s="11">
        <v>6</v>
      </c>
      <c r="G25" s="11" t="s">
        <v>3058</v>
      </c>
      <c r="H25" s="11" t="s">
        <v>3057</v>
      </c>
      <c r="I25" s="11" t="s">
        <v>1453</v>
      </c>
      <c r="J25" s="11"/>
      <c r="K25" s="11"/>
      <c r="L25" s="11"/>
      <c r="M25" s="11" t="s">
        <v>3056</v>
      </c>
      <c r="N25" s="11"/>
      <c r="O25" s="11"/>
      <c r="P25" s="11"/>
      <c r="Q25" s="11"/>
      <c r="R25" s="11"/>
      <c r="S25" s="11" t="s">
        <v>3056</v>
      </c>
      <c r="U25" s="10">
        <v>24</v>
      </c>
      <c r="V25" s="10">
        <f t="shared" si="0"/>
        <v>9</v>
      </c>
      <c r="W25" s="10">
        <f t="shared" si="1"/>
        <v>1</v>
      </c>
      <c r="X25" s="10">
        <f t="shared" si="2"/>
        <v>0</v>
      </c>
      <c r="Y25" s="10">
        <f t="shared" si="3"/>
        <v>3</v>
      </c>
      <c r="Z25" s="10">
        <f t="shared" si="4"/>
        <v>5</v>
      </c>
      <c r="AA25" s="10">
        <f t="shared" si="5"/>
        <v>0</v>
      </c>
      <c r="AC25" s="10">
        <f t="shared" si="7"/>
        <v>0</v>
      </c>
    </row>
    <row r="26" spans="1:29" hidden="1" x14ac:dyDescent="0.15">
      <c r="A26" s="34">
        <v>25</v>
      </c>
      <c r="B26" s="35" t="s">
        <v>4881</v>
      </c>
      <c r="C26" s="36" t="s">
        <v>3176</v>
      </c>
      <c r="D26" s="11" t="s">
        <v>1627</v>
      </c>
      <c r="E26" s="11" t="s">
        <v>1451</v>
      </c>
      <c r="F26" s="11">
        <v>6</v>
      </c>
      <c r="G26" s="11" t="s">
        <v>3055</v>
      </c>
      <c r="H26" s="11" t="s">
        <v>3054</v>
      </c>
      <c r="I26" s="11" t="s">
        <v>1453</v>
      </c>
      <c r="J26" s="11"/>
      <c r="K26" s="11"/>
      <c r="L26" s="11"/>
      <c r="M26" s="11" t="s">
        <v>3053</v>
      </c>
      <c r="N26" s="11" t="s">
        <v>2273</v>
      </c>
      <c r="O26" s="11"/>
      <c r="P26" s="11"/>
      <c r="Q26" s="11"/>
      <c r="R26" s="11"/>
      <c r="S26" s="11" t="s">
        <v>3052</v>
      </c>
      <c r="U26" s="10">
        <v>25</v>
      </c>
      <c r="V26" s="10">
        <f t="shared" si="0"/>
        <v>8</v>
      </c>
      <c r="W26" s="10">
        <f t="shared" si="1"/>
        <v>0</v>
      </c>
      <c r="X26" s="10">
        <f t="shared" si="2"/>
        <v>0</v>
      </c>
      <c r="Y26" s="10">
        <f t="shared" si="3"/>
        <v>0</v>
      </c>
      <c r="Z26" s="10">
        <f t="shared" si="4"/>
        <v>8</v>
      </c>
      <c r="AA26" s="10">
        <f t="shared" si="5"/>
        <v>0</v>
      </c>
      <c r="AC26" s="10">
        <f t="shared" si="7"/>
        <v>0</v>
      </c>
    </row>
    <row r="27" spans="1:29" hidden="1" x14ac:dyDescent="0.15">
      <c r="A27" s="34">
        <v>26</v>
      </c>
      <c r="B27" s="35" t="s">
        <v>4881</v>
      </c>
      <c r="C27" s="36" t="s">
        <v>3176</v>
      </c>
      <c r="D27" s="11" t="s">
        <v>1627</v>
      </c>
      <c r="E27" s="11" t="s">
        <v>1451</v>
      </c>
      <c r="F27" s="11">
        <v>6</v>
      </c>
      <c r="G27" s="11" t="s">
        <v>3051</v>
      </c>
      <c r="H27" s="11" t="s">
        <v>3050</v>
      </c>
      <c r="I27" s="11" t="s">
        <v>1453</v>
      </c>
      <c r="J27" s="11"/>
      <c r="K27" s="11"/>
      <c r="L27" s="11"/>
      <c r="M27" s="11" t="s">
        <v>3049</v>
      </c>
      <c r="N27" s="11"/>
      <c r="O27" s="11"/>
      <c r="P27" s="11"/>
      <c r="Q27" s="11"/>
      <c r="R27" s="11"/>
      <c r="S27" s="11" t="s">
        <v>3049</v>
      </c>
      <c r="U27" s="10">
        <v>26</v>
      </c>
      <c r="V27" s="10">
        <f t="shared" si="0"/>
        <v>2</v>
      </c>
      <c r="W27" s="10">
        <f t="shared" si="1"/>
        <v>0</v>
      </c>
      <c r="X27" s="10">
        <f t="shared" si="2"/>
        <v>0</v>
      </c>
      <c r="Y27" s="10">
        <f t="shared" si="3"/>
        <v>0</v>
      </c>
      <c r="Z27" s="10">
        <f t="shared" si="4"/>
        <v>2</v>
      </c>
      <c r="AA27" s="10">
        <f t="shared" si="5"/>
        <v>0</v>
      </c>
      <c r="AC27" s="10">
        <f t="shared" si="7"/>
        <v>0</v>
      </c>
    </row>
    <row r="28" spans="1:29" hidden="1" x14ac:dyDescent="0.15">
      <c r="A28" s="34">
        <v>27</v>
      </c>
      <c r="B28" s="35" t="s">
        <v>4881</v>
      </c>
      <c r="C28" s="36" t="s">
        <v>3176</v>
      </c>
      <c r="D28" s="11" t="s">
        <v>1627</v>
      </c>
      <c r="E28" s="11" t="s">
        <v>1451</v>
      </c>
      <c r="F28" s="11">
        <v>9</v>
      </c>
      <c r="G28" s="11" t="s">
        <v>3048</v>
      </c>
      <c r="H28" s="11" t="s">
        <v>3047</v>
      </c>
      <c r="I28" s="11" t="s">
        <v>288</v>
      </c>
      <c r="J28" s="11" t="s">
        <v>6306</v>
      </c>
      <c r="K28" s="11"/>
      <c r="L28" s="11"/>
      <c r="M28" s="11" t="s">
        <v>3046</v>
      </c>
      <c r="N28" s="11" t="s">
        <v>3045</v>
      </c>
      <c r="O28" s="11"/>
      <c r="P28" s="11">
        <v>2</v>
      </c>
      <c r="Q28" s="11"/>
      <c r="R28" s="11"/>
      <c r="S28" s="11" t="s">
        <v>3044</v>
      </c>
      <c r="U28" s="10">
        <v>27</v>
      </c>
      <c r="V28" s="10">
        <f t="shared" si="0"/>
        <v>1</v>
      </c>
      <c r="W28" s="10">
        <f t="shared" si="1"/>
        <v>0</v>
      </c>
      <c r="X28" s="10">
        <f t="shared" si="2"/>
        <v>0</v>
      </c>
      <c r="Y28" s="10">
        <f t="shared" si="3"/>
        <v>0</v>
      </c>
      <c r="Z28" s="10">
        <f t="shared" si="4"/>
        <v>1</v>
      </c>
      <c r="AA28" s="10">
        <f t="shared" si="5"/>
        <v>0</v>
      </c>
      <c r="AC28" s="10">
        <f t="shared" si="7"/>
        <v>0</v>
      </c>
    </row>
    <row r="29" spans="1:29" hidden="1" x14ac:dyDescent="0.15">
      <c r="A29" s="34">
        <v>28</v>
      </c>
      <c r="B29" s="35" t="s">
        <v>4881</v>
      </c>
      <c r="C29" s="36" t="s">
        <v>3176</v>
      </c>
      <c r="D29" s="11" t="s">
        <v>1627</v>
      </c>
      <c r="E29" s="11" t="s">
        <v>1451</v>
      </c>
      <c r="F29" s="11">
        <v>10</v>
      </c>
      <c r="G29" s="11" t="s">
        <v>3043</v>
      </c>
      <c r="H29" s="11" t="s">
        <v>3042</v>
      </c>
      <c r="I29" s="11" t="s">
        <v>288</v>
      </c>
      <c r="J29" s="11"/>
      <c r="K29" s="11"/>
      <c r="L29" s="11"/>
      <c r="M29" s="11" t="s">
        <v>3041</v>
      </c>
      <c r="N29" s="11"/>
      <c r="O29" s="11"/>
      <c r="P29" s="11">
        <v>2</v>
      </c>
      <c r="Q29" s="11"/>
      <c r="R29" s="11"/>
      <c r="S29" s="11" t="s">
        <v>3041</v>
      </c>
      <c r="U29" s="10">
        <v>28</v>
      </c>
      <c r="V29" s="10">
        <f t="shared" si="0"/>
        <v>1</v>
      </c>
      <c r="W29" s="10">
        <f t="shared" si="1"/>
        <v>0</v>
      </c>
      <c r="X29" s="10">
        <f t="shared" si="2"/>
        <v>0</v>
      </c>
      <c r="Y29" s="10">
        <f t="shared" si="3"/>
        <v>0</v>
      </c>
      <c r="Z29" s="10">
        <f t="shared" si="4"/>
        <v>1</v>
      </c>
      <c r="AA29" s="10">
        <f t="shared" si="5"/>
        <v>0</v>
      </c>
      <c r="AC29" s="10">
        <f t="shared" si="7"/>
        <v>0</v>
      </c>
    </row>
    <row r="30" spans="1:29" hidden="1" x14ac:dyDescent="0.15">
      <c r="A30" s="34">
        <v>29</v>
      </c>
      <c r="B30" s="35" t="s">
        <v>4881</v>
      </c>
      <c r="C30" s="36" t="s">
        <v>3176</v>
      </c>
      <c r="D30" s="11" t="s">
        <v>1627</v>
      </c>
      <c r="E30" s="11" t="s">
        <v>1441</v>
      </c>
      <c r="F30" s="11">
        <v>16</v>
      </c>
      <c r="G30" s="11" t="s">
        <v>3040</v>
      </c>
      <c r="H30" s="11" t="s">
        <v>3039</v>
      </c>
      <c r="I30" s="11" t="s">
        <v>339</v>
      </c>
      <c r="J30" s="11" t="s">
        <v>1489</v>
      </c>
      <c r="K30" s="11" t="s">
        <v>1533</v>
      </c>
      <c r="L30" s="11"/>
      <c r="M30" s="11" t="s">
        <v>3188</v>
      </c>
      <c r="N30" s="11" t="s">
        <v>3038</v>
      </c>
      <c r="O30" s="11"/>
      <c r="P30" s="11"/>
      <c r="Q30" s="11">
        <v>4</v>
      </c>
      <c r="R30" s="11">
        <v>4</v>
      </c>
      <c r="S30" s="11" t="s">
        <v>3189</v>
      </c>
      <c r="U30" s="10">
        <v>29</v>
      </c>
      <c r="V30" s="10">
        <f t="shared" si="0"/>
        <v>0</v>
      </c>
      <c r="W30" s="10">
        <f t="shared" si="1"/>
        <v>0</v>
      </c>
      <c r="X30" s="10">
        <f t="shared" si="2"/>
        <v>0</v>
      </c>
      <c r="Y30" s="10">
        <f t="shared" si="3"/>
        <v>0</v>
      </c>
      <c r="Z30" s="10">
        <f t="shared" si="4"/>
        <v>0</v>
      </c>
      <c r="AA30" s="10">
        <f t="shared" si="5"/>
        <v>0</v>
      </c>
      <c r="AC30" s="10">
        <f t="shared" si="7"/>
        <v>0</v>
      </c>
    </row>
    <row r="31" spans="1:29" hidden="1" x14ac:dyDescent="0.15">
      <c r="A31" s="34">
        <v>30</v>
      </c>
      <c r="B31" s="35" t="s">
        <v>4881</v>
      </c>
      <c r="C31" s="36" t="s">
        <v>3176</v>
      </c>
      <c r="D31" s="11" t="s">
        <v>1627</v>
      </c>
      <c r="E31" s="11" t="s">
        <v>1441</v>
      </c>
      <c r="F31" s="11">
        <v>14</v>
      </c>
      <c r="G31" s="11" t="s">
        <v>3037</v>
      </c>
      <c r="H31" s="11" t="s">
        <v>3036</v>
      </c>
      <c r="I31" s="11" t="s">
        <v>339</v>
      </c>
      <c r="J31" s="11" t="s">
        <v>1489</v>
      </c>
      <c r="K31" s="11" t="s">
        <v>1799</v>
      </c>
      <c r="L31" s="11"/>
      <c r="M31" s="11" t="s">
        <v>3190</v>
      </c>
      <c r="N31" s="11" t="s">
        <v>3035</v>
      </c>
      <c r="O31" s="11"/>
      <c r="P31" s="11"/>
      <c r="Q31" s="11">
        <v>6</v>
      </c>
      <c r="R31" s="11">
        <v>5</v>
      </c>
      <c r="S31" s="11" t="s">
        <v>3191</v>
      </c>
      <c r="U31" s="10">
        <v>30</v>
      </c>
      <c r="V31" s="10">
        <f t="shared" si="0"/>
        <v>1</v>
      </c>
      <c r="W31" s="10">
        <f t="shared" si="1"/>
        <v>0</v>
      </c>
      <c r="X31" s="10">
        <f t="shared" si="2"/>
        <v>0</v>
      </c>
      <c r="Y31" s="10">
        <f t="shared" si="3"/>
        <v>0</v>
      </c>
      <c r="Z31" s="10">
        <f t="shared" si="4"/>
        <v>0</v>
      </c>
      <c r="AA31" s="10">
        <f t="shared" si="5"/>
        <v>0</v>
      </c>
      <c r="AC31" s="10">
        <f t="shared" si="7"/>
        <v>0</v>
      </c>
    </row>
    <row r="32" spans="1:29" hidden="1" x14ac:dyDescent="0.15">
      <c r="A32" s="34">
        <v>31</v>
      </c>
      <c r="B32" s="35" t="s">
        <v>4881</v>
      </c>
      <c r="C32" s="36" t="s">
        <v>3176</v>
      </c>
      <c r="D32" s="11" t="s">
        <v>1627</v>
      </c>
      <c r="E32" s="11" t="s">
        <v>1441</v>
      </c>
      <c r="F32" s="11">
        <v>15</v>
      </c>
      <c r="G32" s="11" t="s">
        <v>3034</v>
      </c>
      <c r="H32" s="11" t="s">
        <v>3033</v>
      </c>
      <c r="I32" s="11" t="s">
        <v>339</v>
      </c>
      <c r="J32" s="11" t="s">
        <v>1489</v>
      </c>
      <c r="K32" s="11" t="s">
        <v>1799</v>
      </c>
      <c r="L32" s="11"/>
      <c r="M32" s="11" t="s">
        <v>3192</v>
      </c>
      <c r="N32" s="11" t="s">
        <v>3032</v>
      </c>
      <c r="O32" s="11"/>
      <c r="P32" s="11"/>
      <c r="Q32" s="11">
        <v>6</v>
      </c>
      <c r="R32" s="11">
        <v>6</v>
      </c>
      <c r="S32" s="11" t="s">
        <v>3193</v>
      </c>
      <c r="V32" s="10">
        <f t="shared" ref="V32:AA32" si="8">SUM(V2:V31)</f>
        <v>1676</v>
      </c>
      <c r="W32" s="10">
        <f t="shared" si="8"/>
        <v>507</v>
      </c>
      <c r="X32" s="10">
        <f t="shared" si="8"/>
        <v>517</v>
      </c>
      <c r="Y32" s="10">
        <f t="shared" si="8"/>
        <v>370</v>
      </c>
      <c r="Z32" s="10">
        <f t="shared" si="8"/>
        <v>227</v>
      </c>
      <c r="AA32" s="10">
        <f t="shared" si="8"/>
        <v>0</v>
      </c>
    </row>
    <row r="33" spans="1:22" hidden="1" x14ac:dyDescent="0.15">
      <c r="A33" s="34">
        <v>32</v>
      </c>
      <c r="B33" s="35" t="s">
        <v>4881</v>
      </c>
      <c r="C33" s="36" t="s">
        <v>3176</v>
      </c>
      <c r="D33" s="11" t="s">
        <v>1627</v>
      </c>
      <c r="E33" s="11" t="s">
        <v>1441</v>
      </c>
      <c r="F33" s="11">
        <v>17</v>
      </c>
      <c r="G33" s="11" t="s">
        <v>3031</v>
      </c>
      <c r="H33" s="11" t="s">
        <v>3030</v>
      </c>
      <c r="I33" s="11" t="s">
        <v>339</v>
      </c>
      <c r="J33" s="11" t="s">
        <v>2049</v>
      </c>
      <c r="K33" s="11" t="s">
        <v>1799</v>
      </c>
      <c r="L33" s="11"/>
      <c r="M33" s="11" t="s">
        <v>3194</v>
      </c>
      <c r="N33" s="11" t="s">
        <v>3029</v>
      </c>
      <c r="O33" s="11"/>
      <c r="P33" s="11"/>
      <c r="Q33" s="11">
        <v>5</v>
      </c>
      <c r="R33" s="11">
        <v>7</v>
      </c>
      <c r="S33" s="11" t="s">
        <v>3195</v>
      </c>
      <c r="V33" s="10">
        <f>SUM(W32:AA32)</f>
        <v>1621</v>
      </c>
    </row>
    <row r="34" spans="1:22" hidden="1" x14ac:dyDescent="0.15">
      <c r="A34" s="34">
        <v>33</v>
      </c>
      <c r="B34" s="35" t="s">
        <v>4881</v>
      </c>
      <c r="C34" s="36" t="s">
        <v>3176</v>
      </c>
      <c r="D34" s="11" t="s">
        <v>1627</v>
      </c>
      <c r="E34" s="11" t="s">
        <v>1441</v>
      </c>
      <c r="F34" s="11">
        <v>12</v>
      </c>
      <c r="G34" s="11" t="s">
        <v>3028</v>
      </c>
      <c r="H34" s="11" t="s">
        <v>3027</v>
      </c>
      <c r="I34" s="11" t="s">
        <v>339</v>
      </c>
      <c r="J34" s="11" t="s">
        <v>3026</v>
      </c>
      <c r="K34" s="11"/>
      <c r="L34" s="11"/>
      <c r="M34" s="11" t="s">
        <v>351</v>
      </c>
      <c r="N34" s="11" t="s">
        <v>3025</v>
      </c>
      <c r="O34" s="11"/>
      <c r="P34" s="11"/>
      <c r="Q34" s="11">
        <v>6</v>
      </c>
      <c r="R34" s="11">
        <v>5</v>
      </c>
      <c r="S34" s="11" t="s">
        <v>3196</v>
      </c>
    </row>
    <row r="35" spans="1:22" hidden="1" x14ac:dyDescent="0.15">
      <c r="A35" s="34">
        <v>34</v>
      </c>
      <c r="B35" s="35" t="s">
        <v>4881</v>
      </c>
      <c r="C35" s="36" t="s">
        <v>3176</v>
      </c>
      <c r="D35" s="11" t="s">
        <v>1627</v>
      </c>
      <c r="E35" s="11" t="s">
        <v>1441</v>
      </c>
      <c r="F35" s="11">
        <v>18</v>
      </c>
      <c r="G35" s="11" t="s">
        <v>3024</v>
      </c>
      <c r="H35" s="11" t="s">
        <v>3023</v>
      </c>
      <c r="I35" s="11" t="s">
        <v>1453</v>
      </c>
      <c r="J35" s="11"/>
      <c r="K35" s="11"/>
      <c r="L35" s="11"/>
      <c r="M35" s="11" t="s">
        <v>3022</v>
      </c>
      <c r="N35" s="11" t="s">
        <v>3021</v>
      </c>
      <c r="O35" s="11"/>
      <c r="P35" s="11"/>
      <c r="Q35" s="11"/>
      <c r="R35" s="11"/>
      <c r="S35" s="11" t="s">
        <v>4903</v>
      </c>
    </row>
    <row r="36" spans="1:22" hidden="1" x14ac:dyDescent="0.15">
      <c r="A36" s="34">
        <v>35</v>
      </c>
      <c r="B36" s="35" t="s">
        <v>4881</v>
      </c>
      <c r="C36" s="36" t="s">
        <v>3176</v>
      </c>
      <c r="D36" s="11" t="s">
        <v>1627</v>
      </c>
      <c r="E36" s="11" t="s">
        <v>1441</v>
      </c>
      <c r="F36" s="11">
        <v>8</v>
      </c>
      <c r="G36" s="11" t="s">
        <v>3020</v>
      </c>
      <c r="H36" s="11" t="s">
        <v>3019</v>
      </c>
      <c r="I36" s="11" t="s">
        <v>1453</v>
      </c>
      <c r="J36" s="11"/>
      <c r="K36" s="11"/>
      <c r="L36" s="11"/>
      <c r="M36" s="11" t="s">
        <v>3018</v>
      </c>
      <c r="N36" s="11"/>
      <c r="O36" s="11"/>
      <c r="P36" s="11"/>
      <c r="Q36" s="11"/>
      <c r="R36" s="11"/>
      <c r="S36" s="11" t="s">
        <v>3018</v>
      </c>
    </row>
    <row r="37" spans="1:22" hidden="1" x14ac:dyDescent="0.15">
      <c r="A37" s="34">
        <v>36</v>
      </c>
      <c r="B37" s="35" t="s">
        <v>4881</v>
      </c>
      <c r="C37" s="36" t="s">
        <v>3176</v>
      </c>
      <c r="D37" s="11" t="s">
        <v>1627</v>
      </c>
      <c r="E37" s="11" t="s">
        <v>1441</v>
      </c>
      <c r="F37" s="11">
        <v>14</v>
      </c>
      <c r="G37" s="11" t="s">
        <v>3017</v>
      </c>
      <c r="H37" s="11" t="s">
        <v>3016</v>
      </c>
      <c r="I37" s="11" t="s">
        <v>288</v>
      </c>
      <c r="J37" s="11"/>
      <c r="K37" s="11"/>
      <c r="L37" s="11"/>
      <c r="M37" s="11" t="s">
        <v>3015</v>
      </c>
      <c r="N37" s="11"/>
      <c r="O37" s="11"/>
      <c r="P37" s="11">
        <v>2</v>
      </c>
      <c r="Q37" s="11"/>
      <c r="R37" s="11"/>
      <c r="S37" s="11" t="s">
        <v>3015</v>
      </c>
    </row>
    <row r="38" spans="1:22" hidden="1" x14ac:dyDescent="0.15">
      <c r="A38" s="34">
        <v>37</v>
      </c>
      <c r="B38" s="35" t="s">
        <v>4881</v>
      </c>
      <c r="C38" s="36" t="s">
        <v>3176</v>
      </c>
      <c r="D38" s="11" t="s">
        <v>1627</v>
      </c>
      <c r="E38" s="11" t="s">
        <v>1441</v>
      </c>
      <c r="F38" s="11">
        <v>6</v>
      </c>
      <c r="G38" s="11" t="s">
        <v>5669</v>
      </c>
      <c r="H38" s="11" t="s">
        <v>3014</v>
      </c>
      <c r="I38" s="11" t="s">
        <v>288</v>
      </c>
      <c r="J38" s="11" t="s">
        <v>6306</v>
      </c>
      <c r="K38" s="11"/>
      <c r="L38" s="11"/>
      <c r="M38" s="11" t="s">
        <v>3013</v>
      </c>
      <c r="N38" s="11"/>
      <c r="O38" s="11"/>
      <c r="P38" s="11">
        <v>1</v>
      </c>
      <c r="Q38" s="11"/>
      <c r="R38" s="11"/>
      <c r="S38" s="11" t="s">
        <v>3013</v>
      </c>
    </row>
    <row r="39" spans="1:22" hidden="1" x14ac:dyDescent="0.15">
      <c r="A39" s="34">
        <v>38</v>
      </c>
      <c r="B39" s="35" t="s">
        <v>4881</v>
      </c>
      <c r="C39" s="36" t="s">
        <v>3176</v>
      </c>
      <c r="D39" s="11" t="s">
        <v>1627</v>
      </c>
      <c r="E39" s="11" t="s">
        <v>1431</v>
      </c>
      <c r="F39" s="11">
        <v>18</v>
      </c>
      <c r="G39" s="11" t="s">
        <v>3012</v>
      </c>
      <c r="H39" s="11" t="s">
        <v>3011</v>
      </c>
      <c r="I39" s="11" t="s">
        <v>339</v>
      </c>
      <c r="J39" s="11" t="s">
        <v>348</v>
      </c>
      <c r="K39" s="11"/>
      <c r="L39" s="11"/>
      <c r="M39" s="11" t="s">
        <v>351</v>
      </c>
      <c r="N39" s="11" t="s">
        <v>3010</v>
      </c>
      <c r="O39" s="11"/>
      <c r="P39" s="11"/>
      <c r="Q39" s="11">
        <v>7</v>
      </c>
      <c r="R39" s="11">
        <v>9</v>
      </c>
      <c r="S39" s="11" t="s">
        <v>3197</v>
      </c>
    </row>
    <row r="40" spans="1:22" hidden="1" x14ac:dyDescent="0.15">
      <c r="A40" s="34">
        <v>39</v>
      </c>
      <c r="B40" s="35" t="s">
        <v>4881</v>
      </c>
      <c r="C40" s="36" t="s">
        <v>3176</v>
      </c>
      <c r="D40" s="11" t="s">
        <v>1627</v>
      </c>
      <c r="E40" s="11" t="s">
        <v>1431</v>
      </c>
      <c r="F40" s="11">
        <v>10</v>
      </c>
      <c r="G40" s="11" t="s">
        <v>3009</v>
      </c>
      <c r="H40" s="11" t="s">
        <v>3008</v>
      </c>
      <c r="I40" s="11" t="s">
        <v>1453</v>
      </c>
      <c r="J40" s="11"/>
      <c r="K40" s="11"/>
      <c r="L40" s="11"/>
      <c r="M40" s="11" t="s">
        <v>3007</v>
      </c>
      <c r="N40" s="11"/>
      <c r="O40" s="11"/>
      <c r="P40" s="11"/>
      <c r="Q40" s="11"/>
      <c r="R40" s="11"/>
      <c r="S40" s="11" t="s">
        <v>3007</v>
      </c>
    </row>
    <row r="41" spans="1:22" hidden="1" x14ac:dyDescent="0.15">
      <c r="A41" s="34">
        <v>40</v>
      </c>
      <c r="B41" s="35" t="s">
        <v>4881</v>
      </c>
      <c r="C41" s="36" t="s">
        <v>3176</v>
      </c>
      <c r="D41" s="11" t="s">
        <v>1627</v>
      </c>
      <c r="E41" s="11" t="s">
        <v>1431</v>
      </c>
      <c r="F41" s="11">
        <v>6</v>
      </c>
      <c r="G41" s="11" t="s">
        <v>3006</v>
      </c>
      <c r="H41" s="11" t="s">
        <v>3005</v>
      </c>
      <c r="I41" s="11" t="s">
        <v>288</v>
      </c>
      <c r="J41" s="11"/>
      <c r="K41" s="11"/>
      <c r="L41" s="11"/>
      <c r="M41" s="11" t="s">
        <v>3004</v>
      </c>
      <c r="N41" s="11" t="s">
        <v>3003</v>
      </c>
      <c r="O41" s="11"/>
      <c r="P41" s="11">
        <v>1</v>
      </c>
      <c r="Q41" s="11"/>
      <c r="R41" s="11"/>
      <c r="S41" s="11" t="s">
        <v>3002</v>
      </c>
    </row>
    <row r="42" spans="1:22" hidden="1" x14ac:dyDescent="0.15">
      <c r="A42" s="34">
        <v>41</v>
      </c>
      <c r="B42" s="35" t="s">
        <v>4881</v>
      </c>
      <c r="C42" s="36" t="s">
        <v>3176</v>
      </c>
      <c r="D42" s="11" t="s">
        <v>1627</v>
      </c>
      <c r="E42" s="11" t="s">
        <v>1431</v>
      </c>
      <c r="F42" s="11">
        <v>20</v>
      </c>
      <c r="G42" s="11" t="s">
        <v>3001</v>
      </c>
      <c r="H42" s="11" t="s">
        <v>3000</v>
      </c>
      <c r="I42" s="11" t="s">
        <v>288</v>
      </c>
      <c r="J42" s="11"/>
      <c r="K42" s="11"/>
      <c r="L42" s="11"/>
      <c r="M42" s="11" t="s">
        <v>2999</v>
      </c>
      <c r="N42" s="11" t="s">
        <v>2998</v>
      </c>
      <c r="O42" s="11"/>
      <c r="P42" s="11">
        <v>4</v>
      </c>
      <c r="Q42" s="11"/>
      <c r="R42" s="11"/>
      <c r="S42" s="11" t="s">
        <v>2997</v>
      </c>
    </row>
    <row r="43" spans="1:22" hidden="1" x14ac:dyDescent="0.15">
      <c r="A43" s="34">
        <v>42</v>
      </c>
      <c r="B43" s="35" t="s">
        <v>4881</v>
      </c>
      <c r="C43" s="36" t="s">
        <v>3176</v>
      </c>
      <c r="D43" s="11" t="s">
        <v>1606</v>
      </c>
      <c r="E43" s="11" t="s">
        <v>1744</v>
      </c>
      <c r="F43" s="11">
        <v>10</v>
      </c>
      <c r="G43" s="11" t="s">
        <v>2996</v>
      </c>
      <c r="H43" s="11" t="s">
        <v>2995</v>
      </c>
      <c r="I43" s="11" t="s">
        <v>339</v>
      </c>
      <c r="J43" s="11" t="s">
        <v>1489</v>
      </c>
      <c r="K43" s="11" t="s">
        <v>1641</v>
      </c>
      <c r="L43" s="11"/>
      <c r="M43" s="11" t="s">
        <v>351</v>
      </c>
      <c r="N43" s="11" t="s">
        <v>2708</v>
      </c>
      <c r="O43" s="11"/>
      <c r="P43" s="11"/>
      <c r="Q43" s="11">
        <v>1</v>
      </c>
      <c r="R43" s="11">
        <v>2</v>
      </c>
      <c r="S43" s="11" t="s">
        <v>3198</v>
      </c>
    </row>
    <row r="44" spans="1:22" hidden="1" x14ac:dyDescent="0.15">
      <c r="A44" s="34">
        <v>43</v>
      </c>
      <c r="B44" s="35" t="s">
        <v>4881</v>
      </c>
      <c r="C44" s="36" t="s">
        <v>3176</v>
      </c>
      <c r="D44" s="11" t="s">
        <v>1606</v>
      </c>
      <c r="E44" s="11" t="s">
        <v>1744</v>
      </c>
      <c r="F44" s="11">
        <v>6</v>
      </c>
      <c r="G44" s="11" t="s">
        <v>2994</v>
      </c>
      <c r="H44" s="11" t="s">
        <v>2993</v>
      </c>
      <c r="I44" s="11" t="s">
        <v>339</v>
      </c>
      <c r="J44" s="11" t="s">
        <v>2992</v>
      </c>
      <c r="K44" s="11" t="s">
        <v>2938</v>
      </c>
      <c r="L44" s="11"/>
      <c r="M44" s="11" t="s">
        <v>351</v>
      </c>
      <c r="N44" s="11" t="s">
        <v>3199</v>
      </c>
      <c r="O44" s="11"/>
      <c r="P44" s="11"/>
      <c r="Q44" s="11">
        <v>1</v>
      </c>
      <c r="R44" s="11">
        <v>1</v>
      </c>
      <c r="S44" s="11" t="s">
        <v>3200</v>
      </c>
    </row>
    <row r="45" spans="1:22" hidden="1" x14ac:dyDescent="0.15">
      <c r="A45" s="34">
        <v>44</v>
      </c>
      <c r="B45" s="35" t="s">
        <v>4881</v>
      </c>
      <c r="C45" s="36" t="s">
        <v>3176</v>
      </c>
      <c r="D45" s="11" t="s">
        <v>1606</v>
      </c>
      <c r="E45" s="11" t="s">
        <v>1744</v>
      </c>
      <c r="F45" s="11">
        <v>8</v>
      </c>
      <c r="G45" s="11" t="s">
        <v>2991</v>
      </c>
      <c r="H45" s="11" t="s">
        <v>2990</v>
      </c>
      <c r="I45" s="11" t="s">
        <v>339</v>
      </c>
      <c r="J45" s="11" t="s">
        <v>1464</v>
      </c>
      <c r="K45" s="11" t="s">
        <v>1799</v>
      </c>
      <c r="L45" s="11"/>
      <c r="M45" s="11" t="s">
        <v>2595</v>
      </c>
      <c r="N45" s="11"/>
      <c r="O45" s="11"/>
      <c r="P45" s="11"/>
      <c r="Q45" s="11">
        <v>1</v>
      </c>
      <c r="R45" s="11">
        <v>3</v>
      </c>
      <c r="S45" s="11" t="s">
        <v>2595</v>
      </c>
    </row>
    <row r="46" spans="1:22" hidden="1" x14ac:dyDescent="0.15">
      <c r="A46" s="34">
        <v>45</v>
      </c>
      <c r="B46" s="35" t="s">
        <v>4881</v>
      </c>
      <c r="C46" s="36" t="s">
        <v>3176</v>
      </c>
      <c r="D46" s="11" t="s">
        <v>1606</v>
      </c>
      <c r="E46" s="11" t="s">
        <v>1744</v>
      </c>
      <c r="F46" s="11">
        <v>8</v>
      </c>
      <c r="G46" s="11" t="s">
        <v>2989</v>
      </c>
      <c r="H46" s="11" t="s">
        <v>2988</v>
      </c>
      <c r="I46" s="11" t="s">
        <v>339</v>
      </c>
      <c r="J46" s="11" t="s">
        <v>2987</v>
      </c>
      <c r="K46" s="11" t="s">
        <v>2986</v>
      </c>
      <c r="L46" s="11"/>
      <c r="M46" s="11" t="s">
        <v>2595</v>
      </c>
      <c r="N46" s="11" t="s">
        <v>3201</v>
      </c>
      <c r="O46" s="11"/>
      <c r="P46" s="11"/>
      <c r="Q46" s="11">
        <v>1</v>
      </c>
      <c r="R46" s="11">
        <v>4</v>
      </c>
      <c r="S46" s="11" t="s">
        <v>3202</v>
      </c>
    </row>
    <row r="47" spans="1:22" hidden="1" x14ac:dyDescent="0.15">
      <c r="A47" s="34">
        <v>46</v>
      </c>
      <c r="B47" s="35" t="s">
        <v>4881</v>
      </c>
      <c r="C47" s="36" t="s">
        <v>3176</v>
      </c>
      <c r="D47" s="11" t="s">
        <v>1606</v>
      </c>
      <c r="E47" s="11" t="s">
        <v>1744</v>
      </c>
      <c r="F47" s="11">
        <v>1</v>
      </c>
      <c r="G47" s="11" t="s">
        <v>2985</v>
      </c>
      <c r="H47" s="11" t="s">
        <v>2984</v>
      </c>
      <c r="I47" s="11" t="s">
        <v>339</v>
      </c>
      <c r="J47" s="11" t="s">
        <v>1484</v>
      </c>
      <c r="K47" s="11"/>
      <c r="L47" s="11"/>
      <c r="M47" s="11" t="s">
        <v>2983</v>
      </c>
      <c r="N47" s="11"/>
      <c r="O47" s="11"/>
      <c r="P47" s="11"/>
      <c r="Q47" s="11">
        <v>2</v>
      </c>
      <c r="R47" s="11">
        <v>1</v>
      </c>
      <c r="S47" s="11" t="s">
        <v>2983</v>
      </c>
    </row>
    <row r="48" spans="1:22" hidden="1" x14ac:dyDescent="0.15">
      <c r="A48" s="34">
        <v>47</v>
      </c>
      <c r="B48" s="35" t="s">
        <v>4881</v>
      </c>
      <c r="C48" s="36" t="s">
        <v>3176</v>
      </c>
      <c r="D48" s="11" t="s">
        <v>1606</v>
      </c>
      <c r="E48" s="11" t="s">
        <v>1744</v>
      </c>
      <c r="F48" s="11">
        <v>10</v>
      </c>
      <c r="G48" s="11" t="s">
        <v>2982</v>
      </c>
      <c r="H48" s="11" t="s">
        <v>2981</v>
      </c>
      <c r="I48" s="11" t="s">
        <v>339</v>
      </c>
      <c r="J48" s="11" t="s">
        <v>1489</v>
      </c>
      <c r="K48" s="11" t="s">
        <v>1463</v>
      </c>
      <c r="L48" s="11"/>
      <c r="M48" s="11" t="s">
        <v>2980</v>
      </c>
      <c r="N48" s="11"/>
      <c r="O48" s="11"/>
      <c r="P48" s="11"/>
      <c r="Q48" s="11">
        <v>2</v>
      </c>
      <c r="R48" s="11">
        <v>2</v>
      </c>
      <c r="S48" s="11" t="s">
        <v>2980</v>
      </c>
    </row>
    <row r="49" spans="1:19" hidden="1" x14ac:dyDescent="0.15">
      <c r="A49" s="34">
        <v>48</v>
      </c>
      <c r="B49" s="35" t="s">
        <v>4881</v>
      </c>
      <c r="C49" s="36" t="s">
        <v>3176</v>
      </c>
      <c r="D49" s="11" t="s">
        <v>1606</v>
      </c>
      <c r="E49" s="11" t="s">
        <v>1744</v>
      </c>
      <c r="F49" s="11">
        <v>7</v>
      </c>
      <c r="G49" s="11" t="s">
        <v>2979</v>
      </c>
      <c r="H49" s="11" t="s">
        <v>2978</v>
      </c>
      <c r="I49" s="11" t="s">
        <v>339</v>
      </c>
      <c r="J49" s="11" t="s">
        <v>1537</v>
      </c>
      <c r="K49" s="11"/>
      <c r="L49" s="11"/>
      <c r="M49" s="11" t="s">
        <v>2595</v>
      </c>
      <c r="N49" s="11"/>
      <c r="O49" s="11"/>
      <c r="P49" s="11"/>
      <c r="Q49" s="11">
        <v>2</v>
      </c>
      <c r="R49" s="11">
        <v>2</v>
      </c>
      <c r="S49" s="11" t="s">
        <v>2595</v>
      </c>
    </row>
    <row r="50" spans="1:19" hidden="1" x14ac:dyDescent="0.15">
      <c r="A50" s="34">
        <v>49</v>
      </c>
      <c r="B50" s="35" t="s">
        <v>4881</v>
      </c>
      <c r="C50" s="36" t="s">
        <v>3176</v>
      </c>
      <c r="D50" s="11" t="s">
        <v>1606</v>
      </c>
      <c r="E50" s="11" t="s">
        <v>1744</v>
      </c>
      <c r="F50" s="11">
        <v>2</v>
      </c>
      <c r="G50" s="11" t="s">
        <v>2977</v>
      </c>
      <c r="H50" s="11" t="s">
        <v>2976</v>
      </c>
      <c r="I50" s="11" t="s">
        <v>1453</v>
      </c>
      <c r="J50" s="11"/>
      <c r="K50" s="11"/>
      <c r="L50" s="11"/>
      <c r="M50" s="11" t="s">
        <v>2273</v>
      </c>
      <c r="N50" s="11" t="s">
        <v>3203</v>
      </c>
      <c r="O50" s="11"/>
      <c r="P50" s="11"/>
      <c r="Q50" s="11"/>
      <c r="R50" s="11"/>
      <c r="S50" s="11" t="s">
        <v>2975</v>
      </c>
    </row>
    <row r="51" spans="1:19" hidden="1" x14ac:dyDescent="0.15">
      <c r="A51" s="34">
        <v>50</v>
      </c>
      <c r="B51" s="35" t="s">
        <v>4881</v>
      </c>
      <c r="C51" s="36" t="s">
        <v>3176</v>
      </c>
      <c r="D51" s="11" t="s">
        <v>1606</v>
      </c>
      <c r="E51" s="11" t="s">
        <v>1744</v>
      </c>
      <c r="F51" s="11">
        <v>7</v>
      </c>
      <c r="G51" s="11" t="s">
        <v>2974</v>
      </c>
      <c r="H51" s="11" t="s">
        <v>2973</v>
      </c>
      <c r="I51" s="11" t="s">
        <v>1453</v>
      </c>
      <c r="J51" s="11"/>
      <c r="K51" s="11"/>
      <c r="L51" s="11"/>
      <c r="M51" s="11" t="s">
        <v>2972</v>
      </c>
      <c r="N51" s="11"/>
      <c r="O51" s="11"/>
      <c r="P51" s="11"/>
      <c r="Q51" s="11"/>
      <c r="R51" s="11"/>
      <c r="S51" s="11" t="s">
        <v>2972</v>
      </c>
    </row>
    <row r="52" spans="1:19" hidden="1" x14ac:dyDescent="0.15">
      <c r="A52" s="34">
        <v>51</v>
      </c>
      <c r="B52" s="35" t="s">
        <v>4881</v>
      </c>
      <c r="C52" s="36" t="s">
        <v>3176</v>
      </c>
      <c r="D52" s="11" t="s">
        <v>1606</v>
      </c>
      <c r="E52" s="11" t="s">
        <v>1744</v>
      </c>
      <c r="F52" s="11">
        <v>4</v>
      </c>
      <c r="G52" s="11" t="s">
        <v>2971</v>
      </c>
      <c r="H52" s="11" t="s">
        <v>2970</v>
      </c>
      <c r="I52" s="11" t="s">
        <v>1453</v>
      </c>
      <c r="J52" s="11"/>
      <c r="K52" s="11"/>
      <c r="L52" s="11"/>
      <c r="M52" s="11" t="s">
        <v>2969</v>
      </c>
      <c r="N52" s="11"/>
      <c r="O52" s="11"/>
      <c r="P52" s="11"/>
      <c r="Q52" s="11"/>
      <c r="R52" s="11"/>
      <c r="S52" s="11" t="s">
        <v>2969</v>
      </c>
    </row>
    <row r="53" spans="1:19" hidden="1" x14ac:dyDescent="0.15">
      <c r="A53" s="34">
        <v>52</v>
      </c>
      <c r="B53" s="35" t="s">
        <v>4881</v>
      </c>
      <c r="C53" s="36" t="s">
        <v>3176</v>
      </c>
      <c r="D53" s="11" t="s">
        <v>1606</v>
      </c>
      <c r="E53" s="11" t="s">
        <v>1744</v>
      </c>
      <c r="F53" s="11">
        <v>3</v>
      </c>
      <c r="G53" s="11" t="s">
        <v>2968</v>
      </c>
      <c r="H53" s="11" t="s">
        <v>2967</v>
      </c>
      <c r="I53" s="11" t="s">
        <v>1453</v>
      </c>
      <c r="J53" s="11"/>
      <c r="K53" s="11"/>
      <c r="L53" s="11"/>
      <c r="M53" s="11" t="s">
        <v>2966</v>
      </c>
      <c r="N53" s="11"/>
      <c r="O53" s="11"/>
      <c r="P53" s="11"/>
      <c r="Q53" s="11"/>
      <c r="R53" s="11"/>
      <c r="S53" s="11" t="s">
        <v>2966</v>
      </c>
    </row>
    <row r="54" spans="1:19" hidden="1" x14ac:dyDescent="0.15">
      <c r="A54" s="34">
        <v>53</v>
      </c>
      <c r="B54" s="35" t="s">
        <v>4881</v>
      </c>
      <c r="C54" s="36" t="s">
        <v>3176</v>
      </c>
      <c r="D54" s="11" t="s">
        <v>1606</v>
      </c>
      <c r="E54" s="11" t="s">
        <v>1744</v>
      </c>
      <c r="F54" s="11">
        <v>3</v>
      </c>
      <c r="G54" s="11" t="s">
        <v>2965</v>
      </c>
      <c r="H54" s="11" t="s">
        <v>2964</v>
      </c>
      <c r="I54" s="11" t="s">
        <v>1453</v>
      </c>
      <c r="J54" s="11" t="s">
        <v>6306</v>
      </c>
      <c r="K54" s="11"/>
      <c r="L54" s="11"/>
      <c r="M54" s="11" t="s">
        <v>2273</v>
      </c>
      <c r="N54" s="11" t="s">
        <v>3204</v>
      </c>
      <c r="O54" s="11"/>
      <c r="P54" s="11"/>
      <c r="Q54" s="11"/>
      <c r="R54" s="11"/>
      <c r="S54" s="11" t="s">
        <v>2963</v>
      </c>
    </row>
    <row r="55" spans="1:19" hidden="1" x14ac:dyDescent="0.15">
      <c r="A55" s="34">
        <v>54</v>
      </c>
      <c r="B55" s="35" t="s">
        <v>4881</v>
      </c>
      <c r="C55" s="36" t="s">
        <v>3176</v>
      </c>
      <c r="D55" s="11" t="s">
        <v>1606</v>
      </c>
      <c r="E55" s="11" t="s">
        <v>1744</v>
      </c>
      <c r="F55" s="11">
        <v>9</v>
      </c>
      <c r="G55" s="11" t="s">
        <v>2962</v>
      </c>
      <c r="H55" s="11" t="s">
        <v>2961</v>
      </c>
      <c r="I55" s="11" t="s">
        <v>288</v>
      </c>
      <c r="J55" s="11" t="s">
        <v>6306</v>
      </c>
      <c r="K55" s="11"/>
      <c r="L55" s="11"/>
      <c r="M55" s="11" t="s">
        <v>2960</v>
      </c>
      <c r="N55" s="11"/>
      <c r="O55" s="11"/>
      <c r="P55" s="11">
        <v>1</v>
      </c>
      <c r="Q55" s="11"/>
      <c r="R55" s="11"/>
      <c r="S55" s="11" t="s">
        <v>2960</v>
      </c>
    </row>
    <row r="56" spans="1:19" hidden="1" x14ac:dyDescent="0.15">
      <c r="A56" s="34">
        <v>55</v>
      </c>
      <c r="B56" s="35" t="s">
        <v>4881</v>
      </c>
      <c r="C56" s="36" t="s">
        <v>3176</v>
      </c>
      <c r="D56" s="11" t="s">
        <v>1606</v>
      </c>
      <c r="E56" s="11" t="s">
        <v>1744</v>
      </c>
      <c r="F56" s="11">
        <v>6</v>
      </c>
      <c r="G56" s="11" t="s">
        <v>2959</v>
      </c>
      <c r="H56" s="11" t="s">
        <v>2958</v>
      </c>
      <c r="I56" s="11" t="s">
        <v>288</v>
      </c>
      <c r="J56" s="11"/>
      <c r="K56" s="11"/>
      <c r="L56" s="11"/>
      <c r="M56" s="11" t="s">
        <v>2957</v>
      </c>
      <c r="N56" s="11"/>
      <c r="O56" s="11"/>
      <c r="P56" s="11">
        <v>2</v>
      </c>
      <c r="Q56" s="11"/>
      <c r="R56" s="11"/>
      <c r="S56" s="11" t="s">
        <v>2957</v>
      </c>
    </row>
    <row r="57" spans="1:19" hidden="1" x14ac:dyDescent="0.15">
      <c r="A57" s="34">
        <v>56</v>
      </c>
      <c r="B57" s="35" t="s">
        <v>4881</v>
      </c>
      <c r="C57" s="36" t="s">
        <v>3176</v>
      </c>
      <c r="D57" s="11" t="s">
        <v>1606</v>
      </c>
      <c r="E57" s="11" t="s">
        <v>1744</v>
      </c>
      <c r="F57" s="11">
        <v>9</v>
      </c>
      <c r="G57" s="11" t="s">
        <v>2956</v>
      </c>
      <c r="H57" s="11" t="s">
        <v>2955</v>
      </c>
      <c r="I57" s="11" t="s">
        <v>6307</v>
      </c>
      <c r="J57" s="11" t="s">
        <v>2954</v>
      </c>
      <c r="K57" s="11"/>
      <c r="L57" s="11"/>
      <c r="M57" s="11" t="s">
        <v>2953</v>
      </c>
      <c r="N57" s="11"/>
      <c r="O57" s="11"/>
      <c r="P57" s="11"/>
      <c r="Q57" s="11">
        <v>6</v>
      </c>
      <c r="R57" s="11">
        <v>6</v>
      </c>
      <c r="S57" s="11" t="s">
        <v>2953</v>
      </c>
    </row>
    <row r="58" spans="1:19" hidden="1" x14ac:dyDescent="0.15">
      <c r="A58" s="34">
        <v>57</v>
      </c>
      <c r="B58" s="35" t="s">
        <v>4881</v>
      </c>
      <c r="C58" s="36" t="s">
        <v>3176</v>
      </c>
      <c r="D58" s="11" t="s">
        <v>1606</v>
      </c>
      <c r="E58" s="11" t="s">
        <v>1451</v>
      </c>
      <c r="F58" s="11">
        <v>9</v>
      </c>
      <c r="G58" s="11" t="s">
        <v>4891</v>
      </c>
      <c r="H58" s="11" t="s">
        <v>2951</v>
      </c>
      <c r="I58" s="11" t="s">
        <v>339</v>
      </c>
      <c r="J58" s="11" t="s">
        <v>1489</v>
      </c>
      <c r="K58" s="11" t="s">
        <v>2938</v>
      </c>
      <c r="L58" s="11"/>
      <c r="M58" s="11" t="s">
        <v>3205</v>
      </c>
      <c r="N58" s="11" t="s">
        <v>3206</v>
      </c>
      <c r="O58" s="11"/>
      <c r="P58" s="11"/>
      <c r="Q58" s="11">
        <v>3</v>
      </c>
      <c r="R58" s="11">
        <v>5</v>
      </c>
      <c r="S58" s="11" t="s">
        <v>4890</v>
      </c>
    </row>
    <row r="59" spans="1:19" hidden="1" x14ac:dyDescent="0.15">
      <c r="A59" s="34">
        <v>58</v>
      </c>
      <c r="B59" s="35" t="s">
        <v>4881</v>
      </c>
      <c r="C59" s="36" t="s">
        <v>3176</v>
      </c>
      <c r="D59" s="11" t="s">
        <v>1606</v>
      </c>
      <c r="E59" s="11" t="s">
        <v>1451</v>
      </c>
      <c r="F59" s="11">
        <v>10</v>
      </c>
      <c r="G59" s="11" t="s">
        <v>4893</v>
      </c>
      <c r="H59" s="11" t="s">
        <v>2949</v>
      </c>
      <c r="I59" s="11" t="s">
        <v>339</v>
      </c>
      <c r="J59" s="11" t="s">
        <v>2948</v>
      </c>
      <c r="K59" s="11"/>
      <c r="L59" s="11"/>
      <c r="M59" s="11" t="s">
        <v>351</v>
      </c>
      <c r="N59" s="11" t="s">
        <v>3207</v>
      </c>
      <c r="O59" s="11"/>
      <c r="P59" s="11"/>
      <c r="Q59" s="11">
        <v>4</v>
      </c>
      <c r="R59" s="11">
        <v>4</v>
      </c>
      <c r="S59" s="11" t="s">
        <v>4892</v>
      </c>
    </row>
    <row r="60" spans="1:19" hidden="1" x14ac:dyDescent="0.15">
      <c r="A60" s="34">
        <v>59</v>
      </c>
      <c r="B60" s="35" t="s">
        <v>4881</v>
      </c>
      <c r="C60" s="36" t="s">
        <v>3176</v>
      </c>
      <c r="D60" s="11" t="s">
        <v>1606</v>
      </c>
      <c r="E60" s="11" t="s">
        <v>1451</v>
      </c>
      <c r="F60" s="11">
        <v>9</v>
      </c>
      <c r="G60" s="11" t="s">
        <v>2947</v>
      </c>
      <c r="H60" s="11" t="s">
        <v>2946</v>
      </c>
      <c r="I60" s="11" t="s">
        <v>339</v>
      </c>
      <c r="J60" s="11" t="s">
        <v>1484</v>
      </c>
      <c r="K60" s="11" t="s">
        <v>2515</v>
      </c>
      <c r="L60" s="11"/>
      <c r="M60" s="11" t="s">
        <v>3208</v>
      </c>
      <c r="N60" s="11"/>
      <c r="O60" s="11"/>
      <c r="P60" s="11"/>
      <c r="Q60" s="11">
        <v>3</v>
      </c>
      <c r="R60" s="11">
        <v>4</v>
      </c>
      <c r="S60" s="11" t="s">
        <v>3208</v>
      </c>
    </row>
    <row r="61" spans="1:19" hidden="1" x14ac:dyDescent="0.15">
      <c r="A61" s="34">
        <v>60</v>
      </c>
      <c r="B61" s="35" t="s">
        <v>4881</v>
      </c>
      <c r="C61" s="36" t="s">
        <v>3176</v>
      </c>
      <c r="D61" s="11" t="s">
        <v>1606</v>
      </c>
      <c r="E61" s="11" t="s">
        <v>1451</v>
      </c>
      <c r="F61" s="11">
        <v>8</v>
      </c>
      <c r="G61" s="11" t="s">
        <v>4841</v>
      </c>
      <c r="H61" s="11" t="s">
        <v>2944</v>
      </c>
      <c r="I61" s="11" t="s">
        <v>339</v>
      </c>
      <c r="J61" s="11" t="s">
        <v>2943</v>
      </c>
      <c r="K61" s="11"/>
      <c r="L61" s="11"/>
      <c r="M61" s="11" t="s">
        <v>1462</v>
      </c>
      <c r="N61" s="11"/>
      <c r="O61" s="11"/>
      <c r="P61" s="11"/>
      <c r="Q61" s="11">
        <v>3</v>
      </c>
      <c r="R61" s="11">
        <v>5</v>
      </c>
      <c r="S61" s="11" t="s">
        <v>1462</v>
      </c>
    </row>
    <row r="62" spans="1:19" hidden="1" x14ac:dyDescent="0.15">
      <c r="A62" s="34">
        <v>61</v>
      </c>
      <c r="B62" s="35" t="s">
        <v>4881</v>
      </c>
      <c r="C62" s="36" t="s">
        <v>3176</v>
      </c>
      <c r="D62" s="11" t="s">
        <v>1606</v>
      </c>
      <c r="E62" s="11" t="s">
        <v>1451</v>
      </c>
      <c r="F62" s="11">
        <v>9</v>
      </c>
      <c r="G62" s="11" t="s">
        <v>2942</v>
      </c>
      <c r="H62" s="11" t="s">
        <v>2941</v>
      </c>
      <c r="I62" s="11" t="s">
        <v>339</v>
      </c>
      <c r="J62" s="11" t="s">
        <v>2407</v>
      </c>
      <c r="K62" s="11"/>
      <c r="L62" s="11"/>
      <c r="M62" s="11" t="s">
        <v>3209</v>
      </c>
      <c r="N62" s="11"/>
      <c r="O62" s="11"/>
      <c r="P62" s="11"/>
      <c r="Q62" s="11">
        <v>4</v>
      </c>
      <c r="R62" s="11">
        <v>4</v>
      </c>
      <c r="S62" s="11" t="s">
        <v>3209</v>
      </c>
    </row>
    <row r="63" spans="1:19" hidden="1" x14ac:dyDescent="0.15">
      <c r="A63" s="34">
        <v>62</v>
      </c>
      <c r="B63" s="35" t="s">
        <v>4881</v>
      </c>
      <c r="C63" s="36" t="s">
        <v>3176</v>
      </c>
      <c r="D63" s="11" t="s">
        <v>1606</v>
      </c>
      <c r="E63" s="11" t="s">
        <v>1451</v>
      </c>
      <c r="F63" s="11">
        <v>15</v>
      </c>
      <c r="G63" s="11" t="s">
        <v>2940</v>
      </c>
      <c r="H63" s="11" t="s">
        <v>2939</v>
      </c>
      <c r="I63" s="11" t="s">
        <v>339</v>
      </c>
      <c r="J63" s="11" t="s">
        <v>1489</v>
      </c>
      <c r="K63" s="11" t="s">
        <v>2938</v>
      </c>
      <c r="L63" s="11" t="s">
        <v>1641</v>
      </c>
      <c r="M63" s="11" t="s">
        <v>2937</v>
      </c>
      <c r="N63" s="11"/>
      <c r="O63" s="11"/>
      <c r="P63" s="11"/>
      <c r="Q63" s="11">
        <v>4</v>
      </c>
      <c r="R63" s="11">
        <v>4</v>
      </c>
      <c r="S63" s="11" t="s">
        <v>2937</v>
      </c>
    </row>
    <row r="64" spans="1:19" hidden="1" x14ac:dyDescent="0.15">
      <c r="A64" s="34">
        <v>63</v>
      </c>
      <c r="B64" s="35" t="s">
        <v>4881</v>
      </c>
      <c r="C64" s="36" t="s">
        <v>3176</v>
      </c>
      <c r="D64" s="11" t="s">
        <v>1606</v>
      </c>
      <c r="E64" s="11" t="s">
        <v>1451</v>
      </c>
      <c r="F64" s="11">
        <v>7</v>
      </c>
      <c r="G64" s="11" t="s">
        <v>2936</v>
      </c>
      <c r="H64" s="11" t="s">
        <v>2935</v>
      </c>
      <c r="I64" s="11" t="s">
        <v>1453</v>
      </c>
      <c r="J64" s="11"/>
      <c r="K64" s="11"/>
      <c r="L64" s="11"/>
      <c r="M64" s="11" t="s">
        <v>2934</v>
      </c>
      <c r="N64" s="11"/>
      <c r="O64" s="11"/>
      <c r="P64" s="11"/>
      <c r="Q64" s="11"/>
      <c r="R64" s="11"/>
      <c r="S64" s="11" t="s">
        <v>2934</v>
      </c>
    </row>
    <row r="65" spans="1:19" hidden="1" x14ac:dyDescent="0.15">
      <c r="A65" s="34">
        <v>64</v>
      </c>
      <c r="B65" s="35" t="s">
        <v>4881</v>
      </c>
      <c r="C65" s="36" t="s">
        <v>3176</v>
      </c>
      <c r="D65" s="11" t="s">
        <v>1606</v>
      </c>
      <c r="E65" s="11" t="s">
        <v>1451</v>
      </c>
      <c r="F65" s="11">
        <v>7</v>
      </c>
      <c r="G65" s="11" t="s">
        <v>2933</v>
      </c>
      <c r="H65" s="11" t="s">
        <v>2932</v>
      </c>
      <c r="I65" s="11" t="s">
        <v>1453</v>
      </c>
      <c r="J65" s="11"/>
      <c r="K65" s="11"/>
      <c r="L65" s="11"/>
      <c r="M65" s="11" t="s">
        <v>2931</v>
      </c>
      <c r="N65" s="11"/>
      <c r="O65" s="11"/>
      <c r="P65" s="11"/>
      <c r="Q65" s="11"/>
      <c r="R65" s="11"/>
      <c r="S65" s="11" t="s">
        <v>2931</v>
      </c>
    </row>
    <row r="66" spans="1:19" hidden="1" x14ac:dyDescent="0.15">
      <c r="A66" s="34">
        <v>65</v>
      </c>
      <c r="B66" s="35" t="s">
        <v>4881</v>
      </c>
      <c r="C66" s="36" t="s">
        <v>3176</v>
      </c>
      <c r="D66" s="11" t="s">
        <v>1606</v>
      </c>
      <c r="E66" s="11" t="s">
        <v>1451</v>
      </c>
      <c r="F66" s="11">
        <v>4</v>
      </c>
      <c r="G66" s="11" t="s">
        <v>2930</v>
      </c>
      <c r="H66" s="11" t="s">
        <v>2929</v>
      </c>
      <c r="I66" s="11" t="s">
        <v>1453</v>
      </c>
      <c r="J66" s="11"/>
      <c r="K66" s="11"/>
      <c r="L66" s="11"/>
      <c r="M66" s="11" t="s">
        <v>2928</v>
      </c>
      <c r="N66" s="11"/>
      <c r="O66" s="11"/>
      <c r="P66" s="11"/>
      <c r="Q66" s="11"/>
      <c r="R66" s="11"/>
      <c r="S66" s="11" t="s">
        <v>2928</v>
      </c>
    </row>
    <row r="67" spans="1:19" hidden="1" x14ac:dyDescent="0.15">
      <c r="A67" s="34">
        <v>66</v>
      </c>
      <c r="B67" s="35" t="s">
        <v>4881</v>
      </c>
      <c r="C67" s="36" t="s">
        <v>3176</v>
      </c>
      <c r="D67" s="11" t="s">
        <v>1606</v>
      </c>
      <c r="E67" s="11" t="s">
        <v>1451</v>
      </c>
      <c r="F67" s="11">
        <v>10</v>
      </c>
      <c r="G67" s="11" t="s">
        <v>2927</v>
      </c>
      <c r="H67" s="11" t="s">
        <v>2926</v>
      </c>
      <c r="I67" s="11" t="s">
        <v>1453</v>
      </c>
      <c r="J67" s="11"/>
      <c r="K67" s="11"/>
      <c r="L67" s="11"/>
      <c r="M67" s="11" t="s">
        <v>3210</v>
      </c>
      <c r="N67" s="11" t="s">
        <v>3211</v>
      </c>
      <c r="O67" s="11"/>
      <c r="P67" s="11"/>
      <c r="Q67" s="11"/>
      <c r="R67" s="11"/>
      <c r="S67" s="11" t="s">
        <v>2925</v>
      </c>
    </row>
    <row r="68" spans="1:19" hidden="1" x14ac:dyDescent="0.15">
      <c r="A68" s="34">
        <v>67</v>
      </c>
      <c r="B68" s="35" t="s">
        <v>4881</v>
      </c>
      <c r="C68" s="36" t="s">
        <v>3176</v>
      </c>
      <c r="D68" s="11" t="s">
        <v>1606</v>
      </c>
      <c r="E68" s="11" t="s">
        <v>1451</v>
      </c>
      <c r="F68" s="11">
        <v>5</v>
      </c>
      <c r="G68" s="11" t="s">
        <v>2924</v>
      </c>
      <c r="H68" s="11" t="s">
        <v>2923</v>
      </c>
      <c r="I68" s="11" t="s">
        <v>1453</v>
      </c>
      <c r="J68" s="11"/>
      <c r="K68" s="11"/>
      <c r="L68" s="11"/>
      <c r="M68" s="11" t="s">
        <v>2922</v>
      </c>
      <c r="N68" s="11"/>
      <c r="O68" s="11"/>
      <c r="P68" s="11"/>
      <c r="Q68" s="11"/>
      <c r="R68" s="11"/>
      <c r="S68" s="11" t="s">
        <v>2922</v>
      </c>
    </row>
    <row r="69" spans="1:19" hidden="1" x14ac:dyDescent="0.15">
      <c r="A69" s="34">
        <v>68</v>
      </c>
      <c r="B69" s="35" t="s">
        <v>4881</v>
      </c>
      <c r="C69" s="36" t="s">
        <v>3176</v>
      </c>
      <c r="D69" s="11" t="s">
        <v>1606</v>
      </c>
      <c r="E69" s="11" t="s">
        <v>1451</v>
      </c>
      <c r="F69" s="11">
        <v>6</v>
      </c>
      <c r="G69" s="11" t="s">
        <v>4863</v>
      </c>
      <c r="H69" s="11" t="s">
        <v>2920</v>
      </c>
      <c r="I69" s="11" t="s">
        <v>288</v>
      </c>
      <c r="J69" s="11"/>
      <c r="K69" s="11"/>
      <c r="L69" s="11"/>
      <c r="M69" s="11" t="s">
        <v>3212</v>
      </c>
      <c r="N69" s="11" t="s">
        <v>3213</v>
      </c>
      <c r="O69" s="11"/>
      <c r="P69" s="11">
        <v>2</v>
      </c>
      <c r="Q69" s="11"/>
      <c r="R69" s="11"/>
      <c r="S69" s="11" t="s">
        <v>2919</v>
      </c>
    </row>
    <row r="70" spans="1:19" hidden="1" x14ac:dyDescent="0.15">
      <c r="A70" s="34">
        <v>69</v>
      </c>
      <c r="B70" s="35" t="s">
        <v>4881</v>
      </c>
      <c r="C70" s="36" t="s">
        <v>3176</v>
      </c>
      <c r="D70" s="11" t="s">
        <v>1606</v>
      </c>
      <c r="E70" s="11" t="s">
        <v>1441</v>
      </c>
      <c r="F70" s="11">
        <v>16</v>
      </c>
      <c r="G70" s="11" t="s">
        <v>2918</v>
      </c>
      <c r="H70" s="11" t="s">
        <v>2917</v>
      </c>
      <c r="I70" s="11" t="s">
        <v>339</v>
      </c>
      <c r="J70" s="11" t="s">
        <v>1608</v>
      </c>
      <c r="K70" s="11"/>
      <c r="L70" s="11"/>
      <c r="M70" s="11" t="s">
        <v>351</v>
      </c>
      <c r="N70" s="11" t="s">
        <v>3214</v>
      </c>
      <c r="O70" s="11"/>
      <c r="P70" s="11"/>
      <c r="Q70" s="11">
        <v>6</v>
      </c>
      <c r="R70" s="11">
        <v>6</v>
      </c>
      <c r="S70" s="11" t="s">
        <v>3215</v>
      </c>
    </row>
    <row r="71" spans="1:19" hidden="1" x14ac:dyDescent="0.15">
      <c r="A71" s="34">
        <v>70</v>
      </c>
      <c r="B71" s="35" t="s">
        <v>4881</v>
      </c>
      <c r="C71" s="36" t="s">
        <v>3176</v>
      </c>
      <c r="D71" s="11" t="s">
        <v>1606</v>
      </c>
      <c r="E71" s="11" t="s">
        <v>1441</v>
      </c>
      <c r="F71" s="11">
        <v>10</v>
      </c>
      <c r="G71" s="11" t="s">
        <v>2916</v>
      </c>
      <c r="H71" s="11" t="s">
        <v>2915</v>
      </c>
      <c r="I71" s="11" t="s">
        <v>339</v>
      </c>
      <c r="J71" s="11" t="s">
        <v>1464</v>
      </c>
      <c r="K71" s="11" t="s">
        <v>1463</v>
      </c>
      <c r="L71" s="11"/>
      <c r="M71" s="11" t="s">
        <v>2914</v>
      </c>
      <c r="N71" s="11"/>
      <c r="O71" s="11"/>
      <c r="P71" s="11"/>
      <c r="Q71" s="11">
        <v>4</v>
      </c>
      <c r="R71" s="11">
        <v>4</v>
      </c>
      <c r="S71" s="11" t="s">
        <v>2914</v>
      </c>
    </row>
    <row r="72" spans="1:19" hidden="1" x14ac:dyDescent="0.15">
      <c r="A72" s="34">
        <v>71</v>
      </c>
      <c r="B72" s="35" t="s">
        <v>4881</v>
      </c>
      <c r="C72" s="36" t="s">
        <v>3176</v>
      </c>
      <c r="D72" s="11" t="s">
        <v>1606</v>
      </c>
      <c r="E72" s="11" t="s">
        <v>1441</v>
      </c>
      <c r="F72" s="11">
        <v>9</v>
      </c>
      <c r="G72" s="11" t="s">
        <v>2913</v>
      </c>
      <c r="H72" s="11" t="s">
        <v>2912</v>
      </c>
      <c r="I72" s="11" t="s">
        <v>339</v>
      </c>
      <c r="J72" s="11" t="s">
        <v>2911</v>
      </c>
      <c r="K72" s="11" t="s">
        <v>1463</v>
      </c>
      <c r="L72" s="11"/>
      <c r="M72" s="11" t="s">
        <v>2910</v>
      </c>
      <c r="N72" s="11"/>
      <c r="O72" s="11"/>
      <c r="P72" s="11"/>
      <c r="Q72" s="11">
        <v>4</v>
      </c>
      <c r="R72" s="11">
        <v>7</v>
      </c>
      <c r="S72" s="11" t="s">
        <v>2910</v>
      </c>
    </row>
    <row r="73" spans="1:19" hidden="1" x14ac:dyDescent="0.15">
      <c r="A73" s="34">
        <v>72</v>
      </c>
      <c r="B73" s="35" t="s">
        <v>4881</v>
      </c>
      <c r="C73" s="36" t="s">
        <v>3176</v>
      </c>
      <c r="D73" s="11" t="s">
        <v>1606</v>
      </c>
      <c r="E73" s="11" t="s">
        <v>1441</v>
      </c>
      <c r="F73" s="11">
        <v>12</v>
      </c>
      <c r="G73" s="11" t="s">
        <v>2909</v>
      </c>
      <c r="H73" s="11" t="s">
        <v>2908</v>
      </c>
      <c r="I73" s="11" t="s">
        <v>339</v>
      </c>
      <c r="J73" s="11" t="s">
        <v>2907</v>
      </c>
      <c r="K73" s="11"/>
      <c r="L73" s="11"/>
      <c r="M73" s="11" t="s">
        <v>351</v>
      </c>
      <c r="N73" s="11" t="s">
        <v>3216</v>
      </c>
      <c r="O73" s="11"/>
      <c r="P73" s="11"/>
      <c r="Q73" s="11">
        <v>6</v>
      </c>
      <c r="R73" s="11">
        <v>5</v>
      </c>
      <c r="S73" s="11" t="s">
        <v>3217</v>
      </c>
    </row>
    <row r="74" spans="1:19" hidden="1" x14ac:dyDescent="0.15">
      <c r="A74" s="34">
        <v>73</v>
      </c>
      <c r="B74" s="35" t="s">
        <v>4881</v>
      </c>
      <c r="C74" s="36" t="s">
        <v>3176</v>
      </c>
      <c r="D74" s="11" t="s">
        <v>1606</v>
      </c>
      <c r="E74" s="11" t="s">
        <v>1441</v>
      </c>
      <c r="F74" s="11">
        <v>12</v>
      </c>
      <c r="G74" s="11" t="s">
        <v>2906</v>
      </c>
      <c r="H74" s="11" t="s">
        <v>2905</v>
      </c>
      <c r="I74" s="11" t="s">
        <v>339</v>
      </c>
      <c r="J74" s="11" t="s">
        <v>1489</v>
      </c>
      <c r="K74" s="11" t="s">
        <v>1463</v>
      </c>
      <c r="L74" s="11"/>
      <c r="M74" s="11" t="s">
        <v>2904</v>
      </c>
      <c r="N74" s="11"/>
      <c r="O74" s="11"/>
      <c r="P74" s="11"/>
      <c r="Q74" s="11">
        <v>2</v>
      </c>
      <c r="R74" s="11">
        <v>3</v>
      </c>
      <c r="S74" s="11" t="s">
        <v>2904</v>
      </c>
    </row>
    <row r="75" spans="1:19" hidden="1" x14ac:dyDescent="0.15">
      <c r="A75" s="34">
        <v>74</v>
      </c>
      <c r="B75" s="35" t="s">
        <v>4881</v>
      </c>
      <c r="C75" s="36" t="s">
        <v>3176</v>
      </c>
      <c r="D75" s="11" t="s">
        <v>1606</v>
      </c>
      <c r="E75" s="11" t="s">
        <v>1441</v>
      </c>
      <c r="F75" s="11">
        <v>14</v>
      </c>
      <c r="G75" s="11" t="s">
        <v>2903</v>
      </c>
      <c r="H75" s="11" t="s">
        <v>2902</v>
      </c>
      <c r="I75" s="11" t="s">
        <v>1453</v>
      </c>
      <c r="J75" s="11"/>
      <c r="K75" s="11"/>
      <c r="L75" s="11"/>
      <c r="M75" s="11" t="s">
        <v>2901</v>
      </c>
      <c r="N75" s="11"/>
      <c r="O75" s="11"/>
      <c r="P75" s="11"/>
      <c r="Q75" s="11"/>
      <c r="R75" s="11"/>
      <c r="S75" s="11" t="s">
        <v>2901</v>
      </c>
    </row>
    <row r="76" spans="1:19" hidden="1" x14ac:dyDescent="0.15">
      <c r="A76" s="34">
        <v>75</v>
      </c>
      <c r="B76" s="35" t="s">
        <v>4881</v>
      </c>
      <c r="C76" s="36" t="s">
        <v>3176</v>
      </c>
      <c r="D76" s="11" t="s">
        <v>1606</v>
      </c>
      <c r="E76" s="11" t="s">
        <v>1441</v>
      </c>
      <c r="F76" s="11">
        <v>5</v>
      </c>
      <c r="G76" s="11" t="s">
        <v>2900</v>
      </c>
      <c r="H76" s="11" t="s">
        <v>2899</v>
      </c>
      <c r="I76" s="11" t="s">
        <v>1453</v>
      </c>
      <c r="J76" s="11"/>
      <c r="K76" s="11"/>
      <c r="L76" s="11"/>
      <c r="M76" s="11" t="s">
        <v>2898</v>
      </c>
      <c r="N76" s="11"/>
      <c r="O76" s="11"/>
      <c r="P76" s="11"/>
      <c r="Q76" s="11"/>
      <c r="R76" s="11"/>
      <c r="S76" s="11" t="s">
        <v>2898</v>
      </c>
    </row>
    <row r="77" spans="1:19" hidden="1" x14ac:dyDescent="0.15">
      <c r="A77" s="34">
        <v>76</v>
      </c>
      <c r="B77" s="35" t="s">
        <v>4881</v>
      </c>
      <c r="C77" s="36" t="s">
        <v>3176</v>
      </c>
      <c r="D77" s="11" t="s">
        <v>1606</v>
      </c>
      <c r="E77" s="11" t="s">
        <v>1441</v>
      </c>
      <c r="F77" s="11">
        <v>9</v>
      </c>
      <c r="G77" s="11" t="s">
        <v>2897</v>
      </c>
      <c r="H77" s="11" t="s">
        <v>2896</v>
      </c>
      <c r="I77" s="11" t="s">
        <v>1453</v>
      </c>
      <c r="J77" s="11"/>
      <c r="K77" s="11"/>
      <c r="L77" s="11"/>
      <c r="M77" s="11" t="s">
        <v>2895</v>
      </c>
      <c r="N77" s="11"/>
      <c r="O77" s="11"/>
      <c r="P77" s="11"/>
      <c r="Q77" s="11"/>
      <c r="R77" s="11"/>
      <c r="S77" s="11" t="s">
        <v>2895</v>
      </c>
    </row>
    <row r="78" spans="1:19" hidden="1" x14ac:dyDescent="0.15">
      <c r="A78" s="34">
        <v>77</v>
      </c>
      <c r="B78" s="35" t="s">
        <v>4881</v>
      </c>
      <c r="C78" s="36" t="s">
        <v>3176</v>
      </c>
      <c r="D78" s="11" t="s">
        <v>1606</v>
      </c>
      <c r="E78" s="11" t="s">
        <v>1441</v>
      </c>
      <c r="F78" s="11">
        <v>9</v>
      </c>
      <c r="G78" s="11" t="s">
        <v>2894</v>
      </c>
      <c r="H78" s="11" t="s">
        <v>2893</v>
      </c>
      <c r="I78" s="11" t="s">
        <v>288</v>
      </c>
      <c r="J78" s="11"/>
      <c r="K78" s="11"/>
      <c r="L78" s="11"/>
      <c r="M78" s="11" t="s">
        <v>2892</v>
      </c>
      <c r="N78" s="11"/>
      <c r="O78" s="11"/>
      <c r="P78" s="11">
        <v>3</v>
      </c>
      <c r="Q78" s="11"/>
      <c r="R78" s="11"/>
      <c r="S78" s="11" t="s">
        <v>2892</v>
      </c>
    </row>
    <row r="79" spans="1:19" hidden="1" x14ac:dyDescent="0.15">
      <c r="A79" s="34">
        <v>78</v>
      </c>
      <c r="B79" s="35" t="s">
        <v>4881</v>
      </c>
      <c r="C79" s="36" t="s">
        <v>3176</v>
      </c>
      <c r="D79" s="11" t="s">
        <v>1606</v>
      </c>
      <c r="E79" s="11" t="s">
        <v>1431</v>
      </c>
      <c r="F79" s="11">
        <v>20</v>
      </c>
      <c r="G79" s="11" t="s">
        <v>2891</v>
      </c>
      <c r="H79" s="11" t="s">
        <v>2890</v>
      </c>
      <c r="I79" s="11" t="s">
        <v>339</v>
      </c>
      <c r="J79" s="11" t="s">
        <v>1489</v>
      </c>
      <c r="K79" s="11" t="s">
        <v>1463</v>
      </c>
      <c r="L79" s="11"/>
      <c r="M79" s="11" t="s">
        <v>2889</v>
      </c>
      <c r="N79" s="11"/>
      <c r="O79" s="11"/>
      <c r="P79" s="11"/>
      <c r="Q79" s="11">
        <v>7</v>
      </c>
      <c r="R79" s="11">
        <v>8</v>
      </c>
      <c r="S79" s="11" t="s">
        <v>2889</v>
      </c>
    </row>
    <row r="80" spans="1:19" hidden="1" x14ac:dyDescent="0.15">
      <c r="A80" s="34">
        <v>79</v>
      </c>
      <c r="B80" s="35" t="s">
        <v>4881</v>
      </c>
      <c r="C80" s="36" t="s">
        <v>3176</v>
      </c>
      <c r="D80" s="11" t="s">
        <v>1606</v>
      </c>
      <c r="E80" s="11" t="s">
        <v>1431</v>
      </c>
      <c r="F80" s="11">
        <v>12</v>
      </c>
      <c r="G80" s="11" t="s">
        <v>2888</v>
      </c>
      <c r="H80" s="11" t="s">
        <v>2887</v>
      </c>
      <c r="I80" s="11" t="s">
        <v>339</v>
      </c>
      <c r="J80" s="11" t="s">
        <v>1484</v>
      </c>
      <c r="K80" s="11" t="s">
        <v>2049</v>
      </c>
      <c r="L80" s="11"/>
      <c r="M80" s="11" t="s">
        <v>3218</v>
      </c>
      <c r="N80" s="11" t="s">
        <v>3219</v>
      </c>
      <c r="O80" s="11"/>
      <c r="P80" s="11"/>
      <c r="Q80" s="11">
        <v>1</v>
      </c>
      <c r="R80" s="11">
        <v>3</v>
      </c>
      <c r="S80" s="11" t="s">
        <v>3220</v>
      </c>
    </row>
    <row r="81" spans="1:19" hidden="1" x14ac:dyDescent="0.15">
      <c r="A81" s="34">
        <v>80</v>
      </c>
      <c r="B81" s="35" t="s">
        <v>4881</v>
      </c>
      <c r="C81" s="36" t="s">
        <v>3176</v>
      </c>
      <c r="D81" s="11" t="s">
        <v>1606</v>
      </c>
      <c r="E81" s="11" t="s">
        <v>1431</v>
      </c>
      <c r="F81" s="11">
        <v>10</v>
      </c>
      <c r="G81" s="11" t="s">
        <v>2886</v>
      </c>
      <c r="H81" s="11" t="s">
        <v>2885</v>
      </c>
      <c r="I81" s="11" t="s">
        <v>1453</v>
      </c>
      <c r="J81" s="11"/>
      <c r="K81" s="11"/>
      <c r="L81" s="11"/>
      <c r="M81" s="11" t="s">
        <v>3221</v>
      </c>
      <c r="N81" s="11" t="s">
        <v>3222</v>
      </c>
      <c r="O81" s="11" t="s">
        <v>3223</v>
      </c>
      <c r="P81" s="11"/>
      <c r="Q81" s="11"/>
      <c r="R81" s="11"/>
      <c r="S81" s="11" t="s">
        <v>2884</v>
      </c>
    </row>
    <row r="82" spans="1:19" hidden="1" x14ac:dyDescent="0.15">
      <c r="A82" s="34">
        <v>81</v>
      </c>
      <c r="B82" s="35" t="s">
        <v>4881</v>
      </c>
      <c r="C82" s="36" t="s">
        <v>3176</v>
      </c>
      <c r="D82" s="11" t="s">
        <v>1606</v>
      </c>
      <c r="E82" s="11" t="s">
        <v>1431</v>
      </c>
      <c r="F82" s="11">
        <v>16</v>
      </c>
      <c r="G82" s="11" t="s">
        <v>2883</v>
      </c>
      <c r="H82" s="11" t="s">
        <v>2882</v>
      </c>
      <c r="I82" s="11" t="s">
        <v>1453</v>
      </c>
      <c r="J82" s="11"/>
      <c r="K82" s="11"/>
      <c r="L82" s="11"/>
      <c r="M82" s="11" t="s">
        <v>2881</v>
      </c>
      <c r="N82" s="11"/>
      <c r="O82" s="11"/>
      <c r="P82" s="11"/>
      <c r="Q82" s="11"/>
      <c r="R82" s="11"/>
      <c r="S82" s="11" t="s">
        <v>2881</v>
      </c>
    </row>
    <row r="83" spans="1:19" hidden="1" x14ac:dyDescent="0.15">
      <c r="A83" s="34">
        <v>82</v>
      </c>
      <c r="B83" s="35" t="s">
        <v>4881</v>
      </c>
      <c r="C83" s="36" t="s">
        <v>3176</v>
      </c>
      <c r="D83" s="11" t="s">
        <v>1606</v>
      </c>
      <c r="E83" s="11" t="s">
        <v>1431</v>
      </c>
      <c r="F83" s="11">
        <v>13</v>
      </c>
      <c r="G83" s="11" t="s">
        <v>4864</v>
      </c>
      <c r="H83" s="11" t="s">
        <v>2880</v>
      </c>
      <c r="I83" s="11" t="s">
        <v>288</v>
      </c>
      <c r="J83" s="11"/>
      <c r="K83" s="11"/>
      <c r="L83" s="11"/>
      <c r="M83" s="11" t="s">
        <v>3224</v>
      </c>
      <c r="N83" s="11" t="s">
        <v>3225</v>
      </c>
      <c r="O83" s="11"/>
      <c r="P83" s="11">
        <v>3</v>
      </c>
      <c r="Q83" s="11"/>
      <c r="R83" s="11"/>
      <c r="S83" s="11" t="s">
        <v>2879</v>
      </c>
    </row>
    <row r="84" spans="1:19" hidden="1" x14ac:dyDescent="0.15">
      <c r="A84" s="34">
        <v>83</v>
      </c>
      <c r="B84" s="35" t="s">
        <v>4881</v>
      </c>
      <c r="C84" s="36" t="s">
        <v>3176</v>
      </c>
      <c r="D84" s="11" t="s">
        <v>1582</v>
      </c>
      <c r="E84" s="11" t="s">
        <v>1744</v>
      </c>
      <c r="F84" s="11">
        <v>8</v>
      </c>
      <c r="G84" s="11" t="s">
        <v>2878</v>
      </c>
      <c r="H84" s="11" t="s">
        <v>2877</v>
      </c>
      <c r="I84" s="11" t="s">
        <v>339</v>
      </c>
      <c r="J84" s="11" t="s">
        <v>1479</v>
      </c>
      <c r="K84" s="11" t="s">
        <v>1867</v>
      </c>
      <c r="L84" s="11"/>
      <c r="M84" s="11" t="s">
        <v>1738</v>
      </c>
      <c r="N84" s="11"/>
      <c r="O84" s="11"/>
      <c r="P84" s="11"/>
      <c r="Q84" s="11">
        <v>3</v>
      </c>
      <c r="R84" s="11">
        <v>1</v>
      </c>
      <c r="S84" s="11" t="s">
        <v>1738</v>
      </c>
    </row>
    <row r="85" spans="1:19" hidden="1" x14ac:dyDescent="0.15">
      <c r="A85" s="34">
        <v>84</v>
      </c>
      <c r="B85" s="35" t="s">
        <v>4881</v>
      </c>
      <c r="C85" s="36" t="s">
        <v>3176</v>
      </c>
      <c r="D85" s="11" t="s">
        <v>1582</v>
      </c>
      <c r="E85" s="11" t="s">
        <v>1744</v>
      </c>
      <c r="F85" s="11">
        <v>10</v>
      </c>
      <c r="G85" s="11" t="s">
        <v>2876</v>
      </c>
      <c r="H85" s="11" t="s">
        <v>2875</v>
      </c>
      <c r="I85" s="11" t="s">
        <v>339</v>
      </c>
      <c r="J85" s="11" t="s">
        <v>1479</v>
      </c>
      <c r="K85" s="11" t="s">
        <v>2132</v>
      </c>
      <c r="L85" s="11"/>
      <c r="M85" s="11" t="s">
        <v>2874</v>
      </c>
      <c r="N85" s="11"/>
      <c r="O85" s="11"/>
      <c r="P85" s="11"/>
      <c r="Q85" s="11">
        <v>2</v>
      </c>
      <c r="R85" s="11">
        <v>2</v>
      </c>
      <c r="S85" s="11" t="s">
        <v>2874</v>
      </c>
    </row>
    <row r="86" spans="1:19" hidden="1" x14ac:dyDescent="0.15">
      <c r="A86" s="34">
        <v>85</v>
      </c>
      <c r="B86" s="35" t="s">
        <v>4881</v>
      </c>
      <c r="C86" s="36" t="s">
        <v>3176</v>
      </c>
      <c r="D86" s="11" t="s">
        <v>1582</v>
      </c>
      <c r="E86" s="11" t="s">
        <v>1744</v>
      </c>
      <c r="F86" s="11">
        <v>5</v>
      </c>
      <c r="G86" s="11" t="s">
        <v>2873</v>
      </c>
      <c r="H86" s="11" t="s">
        <v>2872</v>
      </c>
      <c r="I86" s="11" t="s">
        <v>339</v>
      </c>
      <c r="J86" s="11" t="s">
        <v>1479</v>
      </c>
      <c r="K86" s="11" t="s">
        <v>1529</v>
      </c>
      <c r="L86" s="11"/>
      <c r="M86" s="11" t="s">
        <v>2871</v>
      </c>
      <c r="N86" s="11"/>
      <c r="O86" s="11"/>
      <c r="P86" s="11"/>
      <c r="Q86" s="11">
        <v>1</v>
      </c>
      <c r="R86" s="11">
        <v>1</v>
      </c>
      <c r="S86" s="11" t="s">
        <v>2871</v>
      </c>
    </row>
    <row r="87" spans="1:19" hidden="1" x14ac:dyDescent="0.15">
      <c r="A87" s="34">
        <v>86</v>
      </c>
      <c r="B87" s="35" t="s">
        <v>4881</v>
      </c>
      <c r="C87" s="36" t="s">
        <v>3176</v>
      </c>
      <c r="D87" s="11" t="s">
        <v>1582</v>
      </c>
      <c r="E87" s="11" t="s">
        <v>1744</v>
      </c>
      <c r="F87" s="11">
        <v>10</v>
      </c>
      <c r="G87" s="11" t="s">
        <v>2870</v>
      </c>
      <c r="H87" s="11" t="s">
        <v>2869</v>
      </c>
      <c r="I87" s="11" t="s">
        <v>339</v>
      </c>
      <c r="J87" s="11" t="s">
        <v>1484</v>
      </c>
      <c r="K87" s="11" t="s">
        <v>1945</v>
      </c>
      <c r="L87" s="11"/>
      <c r="M87" s="11" t="s">
        <v>2868</v>
      </c>
      <c r="N87" s="11"/>
      <c r="O87" s="11"/>
      <c r="P87" s="11"/>
      <c r="Q87" s="11">
        <v>2</v>
      </c>
      <c r="R87" s="11">
        <v>2</v>
      </c>
      <c r="S87" s="11" t="s">
        <v>2868</v>
      </c>
    </row>
    <row r="88" spans="1:19" hidden="1" x14ac:dyDescent="0.15">
      <c r="A88" s="34">
        <v>87</v>
      </c>
      <c r="B88" s="35" t="s">
        <v>4881</v>
      </c>
      <c r="C88" s="36" t="s">
        <v>3176</v>
      </c>
      <c r="D88" s="11" t="s">
        <v>1582</v>
      </c>
      <c r="E88" s="11" t="s">
        <v>1744</v>
      </c>
      <c r="F88" s="11">
        <v>10</v>
      </c>
      <c r="G88" s="11" t="s">
        <v>2867</v>
      </c>
      <c r="H88" s="11" t="s">
        <v>2866</v>
      </c>
      <c r="I88" s="11" t="s">
        <v>339</v>
      </c>
      <c r="J88" s="11" t="s">
        <v>1494</v>
      </c>
      <c r="K88" s="11"/>
      <c r="L88" s="11"/>
      <c r="M88" s="11" t="s">
        <v>351</v>
      </c>
      <c r="N88" s="11"/>
      <c r="O88" s="11"/>
      <c r="P88" s="11"/>
      <c r="Q88" s="11">
        <v>2</v>
      </c>
      <c r="R88" s="11">
        <v>2</v>
      </c>
      <c r="S88" s="11" t="s">
        <v>351</v>
      </c>
    </row>
    <row r="89" spans="1:19" hidden="1" x14ac:dyDescent="0.15">
      <c r="A89" s="34">
        <v>88</v>
      </c>
      <c r="B89" s="35" t="s">
        <v>4881</v>
      </c>
      <c r="C89" s="36" t="s">
        <v>3176</v>
      </c>
      <c r="D89" s="11" t="s">
        <v>1582</v>
      </c>
      <c r="E89" s="11" t="s">
        <v>1744</v>
      </c>
      <c r="F89" s="11">
        <v>6</v>
      </c>
      <c r="G89" s="11" t="s">
        <v>2865</v>
      </c>
      <c r="H89" s="11" t="s">
        <v>2864</v>
      </c>
      <c r="I89" s="11" t="s">
        <v>339</v>
      </c>
      <c r="J89" s="11" t="s">
        <v>1484</v>
      </c>
      <c r="K89" s="11"/>
      <c r="L89" s="11"/>
      <c r="M89" s="11"/>
      <c r="N89" s="11"/>
      <c r="O89" s="11"/>
      <c r="P89" s="11"/>
      <c r="Q89" s="11">
        <v>2</v>
      </c>
      <c r="R89" s="11">
        <v>2</v>
      </c>
      <c r="S89" s="11"/>
    </row>
    <row r="90" spans="1:19" hidden="1" x14ac:dyDescent="0.15">
      <c r="A90" s="34">
        <v>89</v>
      </c>
      <c r="B90" s="35" t="s">
        <v>4881</v>
      </c>
      <c r="C90" s="36" t="s">
        <v>4856</v>
      </c>
      <c r="D90" s="11" t="s">
        <v>1582</v>
      </c>
      <c r="E90" s="11" t="s">
        <v>1744</v>
      </c>
      <c r="F90" s="11">
        <v>9</v>
      </c>
      <c r="G90" s="11" t="s">
        <v>2863</v>
      </c>
      <c r="H90" s="11" t="s">
        <v>2862</v>
      </c>
      <c r="I90" s="11" t="s">
        <v>339</v>
      </c>
      <c r="J90" s="11" t="s">
        <v>1479</v>
      </c>
      <c r="K90" s="11" t="s">
        <v>2861</v>
      </c>
      <c r="L90" s="11"/>
      <c r="M90" s="11" t="s">
        <v>1944</v>
      </c>
      <c r="N90" s="11" t="s">
        <v>3226</v>
      </c>
      <c r="O90" s="11"/>
      <c r="P90" s="11"/>
      <c r="Q90" s="11">
        <v>1</v>
      </c>
      <c r="R90" s="11">
        <v>2</v>
      </c>
      <c r="S90" s="11" t="s">
        <v>3227</v>
      </c>
    </row>
    <row r="91" spans="1:19" hidden="1" x14ac:dyDescent="0.15">
      <c r="A91" s="34">
        <v>90</v>
      </c>
      <c r="B91" s="35" t="s">
        <v>4881</v>
      </c>
      <c r="C91" s="36" t="s">
        <v>3176</v>
      </c>
      <c r="D91" s="11" t="s">
        <v>1582</v>
      </c>
      <c r="E91" s="11" t="s">
        <v>1744</v>
      </c>
      <c r="F91" s="11">
        <v>12</v>
      </c>
      <c r="G91" s="11" t="s">
        <v>2860</v>
      </c>
      <c r="H91" s="11" t="s">
        <v>2859</v>
      </c>
      <c r="I91" s="11" t="s">
        <v>339</v>
      </c>
      <c r="J91" s="11" t="s">
        <v>1484</v>
      </c>
      <c r="K91" s="11"/>
      <c r="L91" s="11"/>
      <c r="M91" s="11" t="s">
        <v>2858</v>
      </c>
      <c r="N91" s="11"/>
      <c r="O91" s="11"/>
      <c r="P91" s="11"/>
      <c r="Q91" s="11">
        <v>2</v>
      </c>
      <c r="R91" s="11">
        <v>2</v>
      </c>
      <c r="S91" s="11" t="s">
        <v>2858</v>
      </c>
    </row>
    <row r="92" spans="1:19" hidden="1" x14ac:dyDescent="0.15">
      <c r="A92" s="34">
        <v>91</v>
      </c>
      <c r="B92" s="35" t="s">
        <v>4881</v>
      </c>
      <c r="C92" s="36" t="s">
        <v>3176</v>
      </c>
      <c r="D92" s="11" t="s">
        <v>1582</v>
      </c>
      <c r="E92" s="11" t="s">
        <v>1744</v>
      </c>
      <c r="F92" s="11">
        <v>11</v>
      </c>
      <c r="G92" s="11" t="s">
        <v>2857</v>
      </c>
      <c r="H92" s="11" t="s">
        <v>2856</v>
      </c>
      <c r="I92" s="11" t="s">
        <v>1453</v>
      </c>
      <c r="J92" s="11"/>
      <c r="K92" s="11"/>
      <c r="L92" s="11"/>
      <c r="M92" s="11" t="s">
        <v>2855</v>
      </c>
      <c r="N92" s="11"/>
      <c r="O92" s="11"/>
      <c r="P92" s="11"/>
      <c r="Q92" s="11"/>
      <c r="R92" s="11"/>
      <c r="S92" s="11" t="s">
        <v>2855</v>
      </c>
    </row>
    <row r="93" spans="1:19" hidden="1" x14ac:dyDescent="0.15">
      <c r="A93" s="34">
        <v>92</v>
      </c>
      <c r="B93" s="35" t="s">
        <v>4881</v>
      </c>
      <c r="C93" s="36" t="s">
        <v>3176</v>
      </c>
      <c r="D93" s="11" t="s">
        <v>1582</v>
      </c>
      <c r="E93" s="11" t="s">
        <v>1744</v>
      </c>
      <c r="F93" s="11">
        <v>12</v>
      </c>
      <c r="G93" s="11" t="s">
        <v>2854</v>
      </c>
      <c r="H93" s="11" t="s">
        <v>2853</v>
      </c>
      <c r="I93" s="11" t="s">
        <v>1453</v>
      </c>
      <c r="J93" s="11"/>
      <c r="K93" s="11"/>
      <c r="L93" s="11"/>
      <c r="M93" s="11" t="s">
        <v>2143</v>
      </c>
      <c r="N93" s="11"/>
      <c r="O93" s="11"/>
      <c r="P93" s="11"/>
      <c r="Q93" s="11"/>
      <c r="R93" s="11"/>
      <c r="S93" s="11" t="s">
        <v>2143</v>
      </c>
    </row>
    <row r="94" spans="1:19" hidden="1" x14ac:dyDescent="0.15">
      <c r="A94" s="34">
        <v>93</v>
      </c>
      <c r="B94" s="35" t="s">
        <v>4881</v>
      </c>
      <c r="C94" s="36" t="s">
        <v>3176</v>
      </c>
      <c r="D94" s="11" t="s">
        <v>1582</v>
      </c>
      <c r="E94" s="11" t="s">
        <v>1744</v>
      </c>
      <c r="F94" s="11">
        <v>4</v>
      </c>
      <c r="G94" s="11" t="s">
        <v>2852</v>
      </c>
      <c r="H94" s="11" t="s">
        <v>2851</v>
      </c>
      <c r="I94" s="11" t="s">
        <v>1453</v>
      </c>
      <c r="J94" s="11"/>
      <c r="K94" s="11"/>
      <c r="L94" s="11"/>
      <c r="M94" s="11" t="s">
        <v>2230</v>
      </c>
      <c r="N94" s="11" t="s">
        <v>3228</v>
      </c>
      <c r="O94" s="11"/>
      <c r="P94" s="11"/>
      <c r="Q94" s="11"/>
      <c r="R94" s="11"/>
      <c r="S94" s="11" t="s">
        <v>2850</v>
      </c>
    </row>
    <row r="95" spans="1:19" hidden="1" x14ac:dyDescent="0.15">
      <c r="A95" s="34">
        <v>94</v>
      </c>
      <c r="B95" s="35" t="s">
        <v>4881</v>
      </c>
      <c r="C95" s="36" t="s">
        <v>3176</v>
      </c>
      <c r="D95" s="11" t="s">
        <v>1582</v>
      </c>
      <c r="E95" s="11" t="s">
        <v>1744</v>
      </c>
      <c r="F95" s="11">
        <v>3</v>
      </c>
      <c r="G95" s="11" t="s">
        <v>2849</v>
      </c>
      <c r="H95" s="11" t="s">
        <v>2848</v>
      </c>
      <c r="I95" s="11" t="s">
        <v>1453</v>
      </c>
      <c r="J95" s="11"/>
      <c r="K95" s="11"/>
      <c r="L95" s="11"/>
      <c r="M95" s="11" t="s">
        <v>2847</v>
      </c>
      <c r="N95" s="11"/>
      <c r="O95" s="11"/>
      <c r="P95" s="11"/>
      <c r="Q95" s="11"/>
      <c r="R95" s="11"/>
      <c r="S95" s="11" t="s">
        <v>2847</v>
      </c>
    </row>
    <row r="96" spans="1:19" hidden="1" x14ac:dyDescent="0.15">
      <c r="A96" s="34">
        <v>95</v>
      </c>
      <c r="B96" s="35" t="s">
        <v>4881</v>
      </c>
      <c r="C96" s="36" t="s">
        <v>3176</v>
      </c>
      <c r="D96" s="11" t="s">
        <v>1582</v>
      </c>
      <c r="E96" s="11" t="s">
        <v>1744</v>
      </c>
      <c r="F96" s="11">
        <v>4</v>
      </c>
      <c r="G96" s="11" t="s">
        <v>2846</v>
      </c>
      <c r="H96" s="11" t="s">
        <v>2845</v>
      </c>
      <c r="I96" s="11" t="s">
        <v>1453</v>
      </c>
      <c r="J96" s="11"/>
      <c r="K96" s="11"/>
      <c r="L96" s="11"/>
      <c r="M96" s="11" t="s">
        <v>2844</v>
      </c>
      <c r="N96" s="11"/>
      <c r="O96" s="11"/>
      <c r="P96" s="11"/>
      <c r="Q96" s="11"/>
      <c r="R96" s="11"/>
      <c r="S96" s="11" t="s">
        <v>2844</v>
      </c>
    </row>
    <row r="97" spans="1:19" hidden="1" x14ac:dyDescent="0.15">
      <c r="A97" s="34">
        <v>96</v>
      </c>
      <c r="B97" s="35" t="s">
        <v>4881</v>
      </c>
      <c r="C97" s="36" t="s">
        <v>3176</v>
      </c>
      <c r="D97" s="11" t="s">
        <v>1582</v>
      </c>
      <c r="E97" s="11" t="s">
        <v>1744</v>
      </c>
      <c r="F97" s="11">
        <v>6</v>
      </c>
      <c r="G97" s="11" t="s">
        <v>2843</v>
      </c>
      <c r="H97" s="11" t="s">
        <v>2842</v>
      </c>
      <c r="I97" s="11" t="s">
        <v>288</v>
      </c>
      <c r="J97" s="11" t="s">
        <v>6306</v>
      </c>
      <c r="K97" s="11"/>
      <c r="L97" s="11"/>
      <c r="M97" s="11" t="s">
        <v>3229</v>
      </c>
      <c r="N97" s="11" t="s">
        <v>3230</v>
      </c>
      <c r="O97" s="11"/>
      <c r="P97" s="11">
        <v>2</v>
      </c>
      <c r="Q97" s="11"/>
      <c r="R97" s="11"/>
      <c r="S97" s="11" t="s">
        <v>2841</v>
      </c>
    </row>
    <row r="98" spans="1:19" hidden="1" x14ac:dyDescent="0.15">
      <c r="A98" s="34">
        <v>97</v>
      </c>
      <c r="B98" s="35" t="s">
        <v>4881</v>
      </c>
      <c r="C98" s="36" t="s">
        <v>3176</v>
      </c>
      <c r="D98" s="11" t="s">
        <v>1582</v>
      </c>
      <c r="E98" s="11" t="s">
        <v>1451</v>
      </c>
      <c r="F98" s="11">
        <v>12</v>
      </c>
      <c r="G98" s="11" t="s">
        <v>2840</v>
      </c>
      <c r="H98" s="11" t="s">
        <v>2839</v>
      </c>
      <c r="I98" s="11" t="s">
        <v>339</v>
      </c>
      <c r="J98" s="11" t="s">
        <v>2838</v>
      </c>
      <c r="K98" s="11"/>
      <c r="L98" s="11"/>
      <c r="M98" s="11" t="s">
        <v>2595</v>
      </c>
      <c r="N98" s="11"/>
      <c r="O98" s="11"/>
      <c r="P98" s="11"/>
      <c r="Q98" s="11">
        <v>2</v>
      </c>
      <c r="R98" s="11">
        <v>6</v>
      </c>
      <c r="S98" s="11" t="s">
        <v>2595</v>
      </c>
    </row>
    <row r="99" spans="1:19" hidden="1" x14ac:dyDescent="0.15">
      <c r="A99" s="34">
        <v>98</v>
      </c>
      <c r="B99" s="35" t="s">
        <v>4881</v>
      </c>
      <c r="C99" s="36" t="s">
        <v>3176</v>
      </c>
      <c r="D99" s="11" t="s">
        <v>1582</v>
      </c>
      <c r="E99" s="11" t="s">
        <v>1451</v>
      </c>
      <c r="F99" s="11">
        <v>10</v>
      </c>
      <c r="G99" s="11" t="s">
        <v>2837</v>
      </c>
      <c r="H99" s="11" t="s">
        <v>3231</v>
      </c>
      <c r="I99" s="11" t="s">
        <v>339</v>
      </c>
      <c r="J99" s="11" t="s">
        <v>1484</v>
      </c>
      <c r="K99" s="11" t="s">
        <v>1493</v>
      </c>
      <c r="L99" s="11"/>
      <c r="M99" s="11" t="s">
        <v>2836</v>
      </c>
      <c r="N99" s="11"/>
      <c r="O99" s="11"/>
      <c r="P99" s="11"/>
      <c r="Q99" s="11">
        <v>5</v>
      </c>
      <c r="R99" s="11">
        <v>3</v>
      </c>
      <c r="S99" s="11" t="s">
        <v>2836</v>
      </c>
    </row>
    <row r="100" spans="1:19" hidden="1" x14ac:dyDescent="0.15">
      <c r="A100" s="34">
        <v>99</v>
      </c>
      <c r="B100" s="35" t="s">
        <v>4881</v>
      </c>
      <c r="C100" s="36" t="s">
        <v>3176</v>
      </c>
      <c r="D100" s="11" t="s">
        <v>1582</v>
      </c>
      <c r="E100" s="11" t="s">
        <v>1451</v>
      </c>
      <c r="F100" s="11">
        <v>16</v>
      </c>
      <c r="G100" s="11" t="s">
        <v>2835</v>
      </c>
      <c r="H100" s="11" t="s">
        <v>2834</v>
      </c>
      <c r="I100" s="11" t="s">
        <v>339</v>
      </c>
      <c r="J100" s="11" t="s">
        <v>1479</v>
      </c>
      <c r="K100" s="11" t="s">
        <v>1493</v>
      </c>
      <c r="L100" s="11"/>
      <c r="M100" s="11" t="s">
        <v>3232</v>
      </c>
      <c r="N100" s="11"/>
      <c r="O100" s="11"/>
      <c r="P100" s="11"/>
      <c r="Q100" s="11">
        <v>4</v>
      </c>
      <c r="R100" s="11">
        <v>3</v>
      </c>
      <c r="S100" s="11" t="s">
        <v>3232</v>
      </c>
    </row>
    <row r="101" spans="1:19" hidden="1" x14ac:dyDescent="0.15">
      <c r="A101" s="34">
        <v>100</v>
      </c>
      <c r="B101" s="35" t="s">
        <v>4881</v>
      </c>
      <c r="C101" s="36" t="s">
        <v>3176</v>
      </c>
      <c r="D101" s="11" t="s">
        <v>1582</v>
      </c>
      <c r="E101" s="11" t="s">
        <v>1451</v>
      </c>
      <c r="F101" s="11">
        <v>9</v>
      </c>
      <c r="G101" s="11" t="s">
        <v>2833</v>
      </c>
      <c r="H101" s="11" t="s">
        <v>2832</v>
      </c>
      <c r="I101" s="11" t="s">
        <v>339</v>
      </c>
      <c r="J101" s="11" t="s">
        <v>1494</v>
      </c>
      <c r="K101" s="11" t="s">
        <v>1493</v>
      </c>
      <c r="L101" s="11"/>
      <c r="M101" s="11" t="s">
        <v>2831</v>
      </c>
      <c r="N101" s="11"/>
      <c r="O101" s="11"/>
      <c r="P101" s="11"/>
      <c r="Q101" s="11">
        <v>3</v>
      </c>
      <c r="R101" s="11">
        <v>3</v>
      </c>
      <c r="S101" s="11" t="s">
        <v>2831</v>
      </c>
    </row>
    <row r="102" spans="1:19" hidden="1" x14ac:dyDescent="0.15">
      <c r="A102" s="34">
        <v>101</v>
      </c>
      <c r="B102" s="35" t="s">
        <v>4881</v>
      </c>
      <c r="C102" s="36" t="s">
        <v>3176</v>
      </c>
      <c r="D102" s="11" t="s">
        <v>1582</v>
      </c>
      <c r="E102" s="11" t="s">
        <v>1451</v>
      </c>
      <c r="F102" s="11">
        <v>13</v>
      </c>
      <c r="G102" s="11" t="s">
        <v>2830</v>
      </c>
      <c r="H102" s="11" t="s">
        <v>2829</v>
      </c>
      <c r="I102" s="11" t="s">
        <v>339</v>
      </c>
      <c r="J102" s="11" t="s">
        <v>1484</v>
      </c>
      <c r="K102" s="11" t="s">
        <v>2575</v>
      </c>
      <c r="L102" s="11"/>
      <c r="M102" s="11" t="s">
        <v>2828</v>
      </c>
      <c r="N102" s="11"/>
      <c r="O102" s="11"/>
      <c r="P102" s="11"/>
      <c r="Q102" s="11">
        <v>3</v>
      </c>
      <c r="R102" s="11">
        <v>5</v>
      </c>
      <c r="S102" s="11" t="s">
        <v>2828</v>
      </c>
    </row>
    <row r="103" spans="1:19" hidden="1" x14ac:dyDescent="0.15">
      <c r="A103" s="34">
        <v>102</v>
      </c>
      <c r="B103" s="35" t="s">
        <v>4881</v>
      </c>
      <c r="C103" s="36" t="s">
        <v>3176</v>
      </c>
      <c r="D103" s="11" t="s">
        <v>1582</v>
      </c>
      <c r="E103" s="11" t="s">
        <v>1451</v>
      </c>
      <c r="F103" s="11">
        <v>15</v>
      </c>
      <c r="G103" s="11" t="s">
        <v>2827</v>
      </c>
      <c r="H103" s="11" t="s">
        <v>2826</v>
      </c>
      <c r="I103" s="11" t="s">
        <v>339</v>
      </c>
      <c r="J103" s="11" t="s">
        <v>2407</v>
      </c>
      <c r="K103" s="11"/>
      <c r="L103" s="11"/>
      <c r="M103" s="11" t="s">
        <v>2825</v>
      </c>
      <c r="N103" s="11"/>
      <c r="O103" s="11"/>
      <c r="P103" s="11"/>
      <c r="Q103" s="11">
        <v>3</v>
      </c>
      <c r="R103" s="11">
        <v>4</v>
      </c>
      <c r="S103" s="11" t="s">
        <v>2825</v>
      </c>
    </row>
    <row r="104" spans="1:19" hidden="1" x14ac:dyDescent="0.15">
      <c r="A104" s="34">
        <v>103</v>
      </c>
      <c r="B104" s="35" t="s">
        <v>4881</v>
      </c>
      <c r="C104" s="36" t="s">
        <v>3176</v>
      </c>
      <c r="D104" s="11" t="s">
        <v>1582</v>
      </c>
      <c r="E104" s="11" t="s">
        <v>1451</v>
      </c>
      <c r="F104" s="11">
        <v>15</v>
      </c>
      <c r="G104" s="11" t="s">
        <v>2824</v>
      </c>
      <c r="H104" s="11" t="s">
        <v>2823</v>
      </c>
      <c r="I104" s="11" t="s">
        <v>1453</v>
      </c>
      <c r="J104" s="11" t="s">
        <v>6306</v>
      </c>
      <c r="K104" s="11"/>
      <c r="L104" s="11"/>
      <c r="M104" s="11" t="s">
        <v>2822</v>
      </c>
      <c r="N104" s="11"/>
      <c r="O104" s="11"/>
      <c r="P104" s="11"/>
      <c r="Q104" s="11"/>
      <c r="R104" s="11"/>
      <c r="S104" s="11" t="s">
        <v>2822</v>
      </c>
    </row>
    <row r="105" spans="1:19" hidden="1" x14ac:dyDescent="0.15">
      <c r="A105" s="34">
        <v>104</v>
      </c>
      <c r="B105" s="35" t="s">
        <v>4881</v>
      </c>
      <c r="C105" s="36" t="s">
        <v>3176</v>
      </c>
      <c r="D105" s="11" t="s">
        <v>1582</v>
      </c>
      <c r="E105" s="11" t="s">
        <v>1451</v>
      </c>
      <c r="F105" s="11">
        <v>8</v>
      </c>
      <c r="G105" s="11" t="s">
        <v>5673</v>
      </c>
      <c r="H105" s="11" t="s">
        <v>2820</v>
      </c>
      <c r="I105" s="11" t="s">
        <v>1453</v>
      </c>
      <c r="J105" s="11"/>
      <c r="K105" s="11"/>
      <c r="L105" s="11"/>
      <c r="M105" s="11" t="s">
        <v>3233</v>
      </c>
      <c r="N105" s="11" t="s">
        <v>3234</v>
      </c>
      <c r="O105" s="11"/>
      <c r="P105" s="11"/>
      <c r="Q105" s="11"/>
      <c r="R105" s="11"/>
      <c r="S105" s="11" t="s">
        <v>2819</v>
      </c>
    </row>
    <row r="106" spans="1:19" hidden="1" x14ac:dyDescent="0.15">
      <c r="A106" s="34">
        <v>105</v>
      </c>
      <c r="B106" s="35" t="s">
        <v>4881</v>
      </c>
      <c r="C106" s="36" t="s">
        <v>3176</v>
      </c>
      <c r="D106" s="11" t="s">
        <v>1582</v>
      </c>
      <c r="E106" s="11" t="s">
        <v>1451</v>
      </c>
      <c r="F106" s="11">
        <v>9</v>
      </c>
      <c r="G106" s="11" t="s">
        <v>2818</v>
      </c>
      <c r="H106" s="11" t="s">
        <v>2817</v>
      </c>
      <c r="I106" s="11" t="s">
        <v>1453</v>
      </c>
      <c r="J106" s="11"/>
      <c r="K106" s="11"/>
      <c r="L106" s="11"/>
      <c r="M106" s="11" t="s">
        <v>2816</v>
      </c>
      <c r="N106" s="11"/>
      <c r="O106" s="11"/>
      <c r="P106" s="11"/>
      <c r="Q106" s="11"/>
      <c r="R106" s="11"/>
      <c r="S106" s="11" t="s">
        <v>2816</v>
      </c>
    </row>
    <row r="107" spans="1:19" hidden="1" x14ac:dyDescent="0.15">
      <c r="A107" s="34">
        <v>106</v>
      </c>
      <c r="B107" s="35" t="s">
        <v>4881</v>
      </c>
      <c r="C107" s="36" t="s">
        <v>3176</v>
      </c>
      <c r="D107" s="11" t="s">
        <v>1582</v>
      </c>
      <c r="E107" s="11" t="s">
        <v>1451</v>
      </c>
      <c r="F107" s="11">
        <v>6</v>
      </c>
      <c r="G107" s="11" t="s">
        <v>2815</v>
      </c>
      <c r="H107" s="11" t="s">
        <v>2814</v>
      </c>
      <c r="I107" s="11" t="s">
        <v>1453</v>
      </c>
      <c r="J107" s="11"/>
      <c r="K107" s="11"/>
      <c r="L107" s="11"/>
      <c r="M107" s="11" t="s">
        <v>2813</v>
      </c>
      <c r="N107" s="11"/>
      <c r="O107" s="11"/>
      <c r="P107" s="11"/>
      <c r="Q107" s="11"/>
      <c r="R107" s="11"/>
      <c r="S107" s="11" t="s">
        <v>2813</v>
      </c>
    </row>
    <row r="108" spans="1:19" hidden="1" x14ac:dyDescent="0.15">
      <c r="A108" s="34">
        <v>107</v>
      </c>
      <c r="B108" s="35" t="s">
        <v>4881</v>
      </c>
      <c r="C108" s="36" t="s">
        <v>3176</v>
      </c>
      <c r="D108" s="11" t="s">
        <v>1582</v>
      </c>
      <c r="E108" s="11" t="s">
        <v>1451</v>
      </c>
      <c r="F108" s="11">
        <v>6</v>
      </c>
      <c r="G108" s="11" t="s">
        <v>2812</v>
      </c>
      <c r="H108" s="11" t="s">
        <v>2811</v>
      </c>
      <c r="I108" s="11" t="s">
        <v>1453</v>
      </c>
      <c r="J108" s="11"/>
      <c r="K108" s="11"/>
      <c r="L108" s="11"/>
      <c r="M108" s="11" t="s">
        <v>2810</v>
      </c>
      <c r="N108" s="11"/>
      <c r="O108" s="11"/>
      <c r="P108" s="11"/>
      <c r="Q108" s="11"/>
      <c r="R108" s="11"/>
      <c r="S108" s="11" t="s">
        <v>2810</v>
      </c>
    </row>
    <row r="109" spans="1:19" hidden="1" x14ac:dyDescent="0.15">
      <c r="A109" s="34">
        <v>108</v>
      </c>
      <c r="B109" s="35" t="s">
        <v>4881</v>
      </c>
      <c r="C109" s="36" t="s">
        <v>3176</v>
      </c>
      <c r="D109" s="11" t="s">
        <v>1582</v>
      </c>
      <c r="E109" s="11" t="s">
        <v>1451</v>
      </c>
      <c r="F109" s="11">
        <v>8</v>
      </c>
      <c r="G109" s="11" t="s">
        <v>2809</v>
      </c>
      <c r="H109" s="11" t="s">
        <v>2808</v>
      </c>
      <c r="I109" s="11" t="s">
        <v>1453</v>
      </c>
      <c r="J109" s="11"/>
      <c r="K109" s="11"/>
      <c r="L109" s="11"/>
      <c r="M109" s="11" t="s">
        <v>2807</v>
      </c>
      <c r="N109" s="11"/>
      <c r="O109" s="11"/>
      <c r="P109" s="11"/>
      <c r="Q109" s="11"/>
      <c r="R109" s="11"/>
      <c r="S109" s="11" t="s">
        <v>2807</v>
      </c>
    </row>
    <row r="110" spans="1:19" hidden="1" x14ac:dyDescent="0.15">
      <c r="A110" s="34">
        <v>109</v>
      </c>
      <c r="B110" s="35" t="s">
        <v>4881</v>
      </c>
      <c r="C110" s="36" t="s">
        <v>3176</v>
      </c>
      <c r="D110" s="11" t="s">
        <v>1582</v>
      </c>
      <c r="E110" s="11" t="s">
        <v>1451</v>
      </c>
      <c r="F110" s="11">
        <v>6</v>
      </c>
      <c r="G110" s="11" t="s">
        <v>4919</v>
      </c>
      <c r="H110" s="11" t="s">
        <v>2806</v>
      </c>
      <c r="I110" s="11" t="s">
        <v>288</v>
      </c>
      <c r="J110" s="11"/>
      <c r="K110" s="11"/>
      <c r="L110" s="11"/>
      <c r="M110" s="11" t="s">
        <v>2805</v>
      </c>
      <c r="N110" s="11"/>
      <c r="O110" s="11"/>
      <c r="P110" s="11">
        <v>6</v>
      </c>
      <c r="Q110" s="11"/>
      <c r="R110" s="11"/>
      <c r="S110" s="11" t="s">
        <v>2805</v>
      </c>
    </row>
    <row r="111" spans="1:19" hidden="1" x14ac:dyDescent="0.15">
      <c r="A111" s="34">
        <v>110</v>
      </c>
      <c r="B111" s="35" t="s">
        <v>4881</v>
      </c>
      <c r="C111" s="36" t="s">
        <v>3176</v>
      </c>
      <c r="D111" s="11" t="s">
        <v>1582</v>
      </c>
      <c r="E111" s="11" t="s">
        <v>1441</v>
      </c>
      <c r="F111" s="11">
        <v>12</v>
      </c>
      <c r="G111" s="11" t="s">
        <v>2804</v>
      </c>
      <c r="H111" s="11" t="s">
        <v>2803</v>
      </c>
      <c r="I111" s="11" t="s">
        <v>339</v>
      </c>
      <c r="J111" s="11" t="s">
        <v>2802</v>
      </c>
      <c r="K111" s="11"/>
      <c r="L111" s="11"/>
      <c r="M111" s="11" t="s">
        <v>2801</v>
      </c>
      <c r="N111" s="11"/>
      <c r="O111" s="11"/>
      <c r="P111" s="11"/>
      <c r="Q111" s="11">
        <v>5</v>
      </c>
      <c r="R111" s="11">
        <v>2</v>
      </c>
      <c r="S111" s="11" t="s">
        <v>2801</v>
      </c>
    </row>
    <row r="112" spans="1:19" hidden="1" x14ac:dyDescent="0.15">
      <c r="A112" s="34">
        <v>111</v>
      </c>
      <c r="B112" s="35" t="s">
        <v>4881</v>
      </c>
      <c r="C112" s="36" t="s">
        <v>3176</v>
      </c>
      <c r="D112" s="11" t="s">
        <v>1582</v>
      </c>
      <c r="E112" s="11" t="s">
        <v>1441</v>
      </c>
      <c r="F112" s="11">
        <v>12</v>
      </c>
      <c r="G112" s="11" t="s">
        <v>2800</v>
      </c>
      <c r="H112" s="11" t="s">
        <v>2799</v>
      </c>
      <c r="I112" s="11" t="s">
        <v>339</v>
      </c>
      <c r="J112" s="11" t="s">
        <v>2798</v>
      </c>
      <c r="K112" s="11"/>
      <c r="L112" s="11"/>
      <c r="M112" s="11" t="s">
        <v>351</v>
      </c>
      <c r="N112" s="11" t="s">
        <v>3235</v>
      </c>
      <c r="O112" s="11"/>
      <c r="P112" s="11"/>
      <c r="Q112" s="11">
        <v>1</v>
      </c>
      <c r="R112" s="11">
        <v>8</v>
      </c>
      <c r="S112" s="11" t="s">
        <v>3236</v>
      </c>
    </row>
    <row r="113" spans="1:19" hidden="1" x14ac:dyDescent="0.15">
      <c r="A113" s="34">
        <v>112</v>
      </c>
      <c r="B113" s="35" t="s">
        <v>4881</v>
      </c>
      <c r="C113" s="36" t="s">
        <v>3176</v>
      </c>
      <c r="D113" s="11" t="s">
        <v>1582</v>
      </c>
      <c r="E113" s="11" t="s">
        <v>1441</v>
      </c>
      <c r="F113" s="11">
        <v>15</v>
      </c>
      <c r="G113" s="11" t="s">
        <v>2797</v>
      </c>
      <c r="H113" s="11" t="s">
        <v>2796</v>
      </c>
      <c r="I113" s="11" t="s">
        <v>339</v>
      </c>
      <c r="J113" s="11" t="s">
        <v>1489</v>
      </c>
      <c r="K113" s="11" t="s">
        <v>1493</v>
      </c>
      <c r="L113" s="11"/>
      <c r="M113" s="11" t="s">
        <v>3237</v>
      </c>
      <c r="N113" s="11" t="s">
        <v>3238</v>
      </c>
      <c r="O113" s="11"/>
      <c r="P113" s="11"/>
      <c r="Q113" s="11">
        <v>4</v>
      </c>
      <c r="R113" s="11">
        <v>7</v>
      </c>
      <c r="S113" s="11" t="s">
        <v>3239</v>
      </c>
    </row>
    <row r="114" spans="1:19" hidden="1" x14ac:dyDescent="0.15">
      <c r="A114" s="34">
        <v>113</v>
      </c>
      <c r="B114" s="35" t="s">
        <v>4881</v>
      </c>
      <c r="C114" s="36" t="s">
        <v>3176</v>
      </c>
      <c r="D114" s="11" t="s">
        <v>1582</v>
      </c>
      <c r="E114" s="11" t="s">
        <v>1441</v>
      </c>
      <c r="F114" s="11">
        <v>14</v>
      </c>
      <c r="G114" s="11" t="s">
        <v>2795</v>
      </c>
      <c r="H114" s="11" t="s">
        <v>2794</v>
      </c>
      <c r="I114" s="11" t="s">
        <v>339</v>
      </c>
      <c r="J114" s="11" t="s">
        <v>2793</v>
      </c>
      <c r="K114" s="11"/>
      <c r="L114" s="11"/>
      <c r="M114" s="11" t="s">
        <v>351</v>
      </c>
      <c r="N114" s="11" t="s">
        <v>3240</v>
      </c>
      <c r="O114" s="11"/>
      <c r="P114" s="11"/>
      <c r="Q114" s="11">
        <v>6</v>
      </c>
      <c r="R114" s="11">
        <v>6</v>
      </c>
      <c r="S114" s="11" t="s">
        <v>3241</v>
      </c>
    </row>
    <row r="115" spans="1:19" hidden="1" x14ac:dyDescent="0.15">
      <c r="A115" s="34">
        <v>114</v>
      </c>
      <c r="B115" s="35" t="s">
        <v>4881</v>
      </c>
      <c r="C115" s="36" t="s">
        <v>3176</v>
      </c>
      <c r="D115" s="11" t="s">
        <v>1582</v>
      </c>
      <c r="E115" s="11" t="s">
        <v>1441</v>
      </c>
      <c r="F115" s="11">
        <v>9</v>
      </c>
      <c r="G115" s="11" t="s">
        <v>2792</v>
      </c>
      <c r="H115" s="11" t="s">
        <v>2791</v>
      </c>
      <c r="I115" s="11" t="s">
        <v>339</v>
      </c>
      <c r="J115" s="11" t="s">
        <v>1489</v>
      </c>
      <c r="K115" s="11" t="s">
        <v>1470</v>
      </c>
      <c r="L115" s="11"/>
      <c r="M115" s="11" t="s">
        <v>3242</v>
      </c>
      <c r="N115" s="11" t="s">
        <v>3243</v>
      </c>
      <c r="O115" s="11"/>
      <c r="P115" s="11"/>
      <c r="Q115" s="11">
        <v>6</v>
      </c>
      <c r="R115" s="11">
        <v>6</v>
      </c>
      <c r="S115" s="11" t="s">
        <v>2790</v>
      </c>
    </row>
    <row r="116" spans="1:19" hidden="1" x14ac:dyDescent="0.15">
      <c r="A116" s="34">
        <v>115</v>
      </c>
      <c r="B116" s="35" t="s">
        <v>4881</v>
      </c>
      <c r="C116" s="36" t="s">
        <v>3176</v>
      </c>
      <c r="D116" s="11" t="s">
        <v>1582</v>
      </c>
      <c r="E116" s="11" t="s">
        <v>1441</v>
      </c>
      <c r="F116" s="11">
        <v>9</v>
      </c>
      <c r="G116" s="11" t="s">
        <v>2789</v>
      </c>
      <c r="H116" s="11" t="s">
        <v>2788</v>
      </c>
      <c r="I116" s="11" t="s">
        <v>1453</v>
      </c>
      <c r="J116" s="11"/>
      <c r="K116" s="11"/>
      <c r="L116" s="11"/>
      <c r="M116" s="11" t="s">
        <v>3244</v>
      </c>
      <c r="N116" s="11" t="s">
        <v>3245</v>
      </c>
      <c r="O116" s="11"/>
      <c r="P116" s="11"/>
      <c r="Q116" s="11"/>
      <c r="R116" s="11"/>
      <c r="S116" s="11" t="s">
        <v>2787</v>
      </c>
    </row>
    <row r="117" spans="1:19" hidden="1" x14ac:dyDescent="0.15">
      <c r="A117" s="34">
        <v>116</v>
      </c>
      <c r="B117" s="35" t="s">
        <v>4881</v>
      </c>
      <c r="C117" s="36" t="s">
        <v>3176</v>
      </c>
      <c r="D117" s="11" t="s">
        <v>1582</v>
      </c>
      <c r="E117" s="11" t="s">
        <v>1441</v>
      </c>
      <c r="F117" s="11">
        <v>12</v>
      </c>
      <c r="G117" s="11" t="s">
        <v>2786</v>
      </c>
      <c r="H117" s="11" t="s">
        <v>2785</v>
      </c>
      <c r="I117" s="11" t="s">
        <v>1453</v>
      </c>
      <c r="J117" s="11"/>
      <c r="K117" s="11"/>
      <c r="L117" s="11"/>
      <c r="M117" s="11" t="s">
        <v>2784</v>
      </c>
      <c r="N117" s="11"/>
      <c r="O117" s="11"/>
      <c r="P117" s="11"/>
      <c r="Q117" s="11"/>
      <c r="R117" s="11"/>
      <c r="S117" s="11" t="s">
        <v>2784</v>
      </c>
    </row>
    <row r="118" spans="1:19" hidden="1" x14ac:dyDescent="0.15">
      <c r="A118" s="34">
        <v>117</v>
      </c>
      <c r="B118" s="35" t="s">
        <v>4881</v>
      </c>
      <c r="C118" s="36" t="s">
        <v>3176</v>
      </c>
      <c r="D118" s="11" t="s">
        <v>1582</v>
      </c>
      <c r="E118" s="11" t="s">
        <v>1441</v>
      </c>
      <c r="F118" s="11">
        <v>8</v>
      </c>
      <c r="G118" s="11" t="s">
        <v>2783</v>
      </c>
      <c r="H118" s="11" t="s">
        <v>2782</v>
      </c>
      <c r="I118" s="11" t="s">
        <v>1453</v>
      </c>
      <c r="J118" s="11"/>
      <c r="K118" s="11"/>
      <c r="L118" s="11"/>
      <c r="M118" s="11" t="s">
        <v>2086</v>
      </c>
      <c r="N118" s="11" t="s">
        <v>3246</v>
      </c>
      <c r="O118" s="11"/>
      <c r="P118" s="11"/>
      <c r="Q118" s="11"/>
      <c r="R118" s="11"/>
      <c r="S118" s="11" t="s">
        <v>2781</v>
      </c>
    </row>
    <row r="119" spans="1:19" hidden="1" x14ac:dyDescent="0.15">
      <c r="A119" s="34">
        <v>118</v>
      </c>
      <c r="B119" s="35" t="s">
        <v>4881</v>
      </c>
      <c r="C119" s="36" t="s">
        <v>3176</v>
      </c>
      <c r="D119" s="11" t="s">
        <v>1582</v>
      </c>
      <c r="E119" s="11" t="s">
        <v>1441</v>
      </c>
      <c r="F119" s="11">
        <v>12</v>
      </c>
      <c r="G119" s="11" t="s">
        <v>2780</v>
      </c>
      <c r="H119" s="11" t="s">
        <v>2779</v>
      </c>
      <c r="I119" s="11" t="s">
        <v>288</v>
      </c>
      <c r="J119" s="11"/>
      <c r="K119" s="11"/>
      <c r="L119" s="11"/>
      <c r="M119" s="11" t="s">
        <v>2778</v>
      </c>
      <c r="N119" s="11"/>
      <c r="O119" s="11"/>
      <c r="P119" s="11">
        <v>2</v>
      </c>
      <c r="Q119" s="11"/>
      <c r="R119" s="11"/>
      <c r="S119" s="11" t="s">
        <v>2778</v>
      </c>
    </row>
    <row r="120" spans="1:19" hidden="1" x14ac:dyDescent="0.15">
      <c r="A120" s="34">
        <v>119</v>
      </c>
      <c r="B120" s="35" t="s">
        <v>4881</v>
      </c>
      <c r="C120" s="36" t="s">
        <v>3176</v>
      </c>
      <c r="D120" s="11" t="s">
        <v>1582</v>
      </c>
      <c r="E120" s="11" t="s">
        <v>1441</v>
      </c>
      <c r="F120" s="11">
        <v>15</v>
      </c>
      <c r="G120" s="11" t="s">
        <v>2777</v>
      </c>
      <c r="H120" s="11" t="s">
        <v>2776</v>
      </c>
      <c r="I120" s="11" t="s">
        <v>288</v>
      </c>
      <c r="J120" s="11"/>
      <c r="K120" s="11"/>
      <c r="L120" s="11"/>
      <c r="M120" s="11" t="s">
        <v>2775</v>
      </c>
      <c r="N120" s="11"/>
      <c r="O120" s="11"/>
      <c r="P120" s="11">
        <v>3</v>
      </c>
      <c r="Q120" s="11"/>
      <c r="R120" s="11"/>
      <c r="S120" s="11" t="s">
        <v>2775</v>
      </c>
    </row>
    <row r="121" spans="1:19" hidden="1" x14ac:dyDescent="0.15">
      <c r="A121" s="34">
        <v>120</v>
      </c>
      <c r="B121" s="35" t="s">
        <v>4881</v>
      </c>
      <c r="C121" s="36" t="s">
        <v>3176</v>
      </c>
      <c r="D121" s="11" t="s">
        <v>1582</v>
      </c>
      <c r="E121" s="11" t="s">
        <v>1431</v>
      </c>
      <c r="F121" s="11">
        <v>20</v>
      </c>
      <c r="G121" s="11" t="s">
        <v>2774</v>
      </c>
      <c r="H121" s="11" t="s">
        <v>2773</v>
      </c>
      <c r="I121" s="11" t="s">
        <v>339</v>
      </c>
      <c r="J121" s="11" t="s">
        <v>2049</v>
      </c>
      <c r="K121" s="11"/>
      <c r="L121" s="11"/>
      <c r="M121" s="11" t="s">
        <v>3247</v>
      </c>
      <c r="N121" s="11" t="s">
        <v>3248</v>
      </c>
      <c r="O121" s="11"/>
      <c r="P121" s="11"/>
      <c r="Q121" s="11">
        <v>8</v>
      </c>
      <c r="R121" s="11">
        <v>8</v>
      </c>
      <c r="S121" s="11" t="s">
        <v>2772</v>
      </c>
    </row>
    <row r="122" spans="1:19" hidden="1" x14ac:dyDescent="0.15">
      <c r="A122" s="34">
        <v>121</v>
      </c>
      <c r="B122" s="35" t="s">
        <v>4881</v>
      </c>
      <c r="C122" s="36" t="s">
        <v>3176</v>
      </c>
      <c r="D122" s="11" t="s">
        <v>1582</v>
      </c>
      <c r="E122" s="11" t="s">
        <v>1431</v>
      </c>
      <c r="F122" s="11">
        <v>6</v>
      </c>
      <c r="G122" s="11" t="s">
        <v>2771</v>
      </c>
      <c r="H122" s="11" t="s">
        <v>2770</v>
      </c>
      <c r="I122" s="11" t="s">
        <v>1453</v>
      </c>
      <c r="J122" s="11"/>
      <c r="K122" s="11"/>
      <c r="L122" s="11"/>
      <c r="M122" s="11" t="s">
        <v>2769</v>
      </c>
      <c r="N122" s="11"/>
      <c r="O122" s="11"/>
      <c r="P122" s="11"/>
      <c r="Q122" s="11"/>
      <c r="R122" s="11"/>
      <c r="S122" s="11" t="s">
        <v>2769</v>
      </c>
    </row>
    <row r="123" spans="1:19" hidden="1" x14ac:dyDescent="0.15">
      <c r="A123" s="34">
        <v>122</v>
      </c>
      <c r="B123" s="35" t="s">
        <v>4881</v>
      </c>
      <c r="C123" s="36" t="s">
        <v>3176</v>
      </c>
      <c r="D123" s="11" t="s">
        <v>1582</v>
      </c>
      <c r="E123" s="11" t="s">
        <v>1431</v>
      </c>
      <c r="F123" s="11">
        <v>21</v>
      </c>
      <c r="G123" s="11" t="s">
        <v>2768</v>
      </c>
      <c r="H123" s="11" t="s">
        <v>2767</v>
      </c>
      <c r="I123" s="11" t="s">
        <v>288</v>
      </c>
      <c r="J123" s="11"/>
      <c r="K123" s="11"/>
      <c r="L123" s="11"/>
      <c r="M123" s="11" t="s">
        <v>3249</v>
      </c>
      <c r="N123" s="11" t="s">
        <v>3250</v>
      </c>
      <c r="O123" s="11"/>
      <c r="P123" s="11">
        <v>3</v>
      </c>
      <c r="Q123" s="11"/>
      <c r="R123" s="11"/>
      <c r="S123" s="11" t="s">
        <v>2766</v>
      </c>
    </row>
    <row r="124" spans="1:19" hidden="1" x14ac:dyDescent="0.15">
      <c r="A124" s="34">
        <v>123</v>
      </c>
      <c r="B124" s="35" t="s">
        <v>4881</v>
      </c>
      <c r="C124" s="36" t="s">
        <v>3176</v>
      </c>
      <c r="D124" s="11" t="s">
        <v>1552</v>
      </c>
      <c r="E124" s="11" t="s">
        <v>1744</v>
      </c>
      <c r="F124" s="11">
        <v>6</v>
      </c>
      <c r="G124" s="11" t="s">
        <v>2765</v>
      </c>
      <c r="H124" s="11" t="s">
        <v>2764</v>
      </c>
      <c r="I124" s="11" t="s">
        <v>339</v>
      </c>
      <c r="J124" s="11" t="s">
        <v>1489</v>
      </c>
      <c r="K124" s="11" t="s">
        <v>2634</v>
      </c>
      <c r="L124" s="11"/>
      <c r="M124" s="11"/>
      <c r="N124" s="11"/>
      <c r="O124" s="11"/>
      <c r="P124" s="11"/>
      <c r="Q124" s="11">
        <v>3</v>
      </c>
      <c r="R124" s="11">
        <v>1</v>
      </c>
      <c r="S124" s="11"/>
    </row>
    <row r="125" spans="1:19" hidden="1" x14ac:dyDescent="0.15">
      <c r="A125" s="34">
        <v>124</v>
      </c>
      <c r="B125" s="35" t="s">
        <v>4881</v>
      </c>
      <c r="C125" s="36" t="s">
        <v>3176</v>
      </c>
      <c r="D125" s="11" t="s">
        <v>1552</v>
      </c>
      <c r="E125" s="11" t="s">
        <v>1744</v>
      </c>
      <c r="F125" s="11">
        <v>9</v>
      </c>
      <c r="G125" s="11" t="s">
        <v>4872</v>
      </c>
      <c r="H125" s="11" t="s">
        <v>2763</v>
      </c>
      <c r="I125" s="11" t="s">
        <v>339</v>
      </c>
      <c r="J125" s="11" t="s">
        <v>1489</v>
      </c>
      <c r="K125" s="11" t="s">
        <v>1799</v>
      </c>
      <c r="L125" s="11"/>
      <c r="M125" s="11" t="s">
        <v>3184</v>
      </c>
      <c r="N125" s="11"/>
      <c r="O125" s="11"/>
      <c r="P125" s="11"/>
      <c r="Q125" s="11">
        <v>2</v>
      </c>
      <c r="R125" s="11">
        <v>2</v>
      </c>
      <c r="S125" s="11" t="s">
        <v>3184</v>
      </c>
    </row>
    <row r="126" spans="1:19" hidden="1" x14ac:dyDescent="0.15">
      <c r="A126" s="34">
        <v>125</v>
      </c>
      <c r="B126" s="35" t="s">
        <v>4881</v>
      </c>
      <c r="C126" s="36" t="s">
        <v>3176</v>
      </c>
      <c r="D126" s="11" t="s">
        <v>1552</v>
      </c>
      <c r="E126" s="11" t="s">
        <v>1744</v>
      </c>
      <c r="F126" s="11">
        <v>7</v>
      </c>
      <c r="G126" s="11" t="s">
        <v>2762</v>
      </c>
      <c r="H126" s="11" t="s">
        <v>2761</v>
      </c>
      <c r="I126" s="11" t="s">
        <v>339</v>
      </c>
      <c r="J126" s="11" t="s">
        <v>2531</v>
      </c>
      <c r="K126" s="11"/>
      <c r="L126" s="11"/>
      <c r="M126" s="11" t="s">
        <v>2760</v>
      </c>
      <c r="N126" s="11"/>
      <c r="O126" s="11"/>
      <c r="P126" s="11"/>
      <c r="Q126" s="11">
        <v>1</v>
      </c>
      <c r="R126" s="11">
        <v>1</v>
      </c>
      <c r="S126" s="11" t="s">
        <v>2760</v>
      </c>
    </row>
    <row r="127" spans="1:19" hidden="1" x14ac:dyDescent="0.15">
      <c r="A127" s="34">
        <v>126</v>
      </c>
      <c r="B127" s="35" t="s">
        <v>4881</v>
      </c>
      <c r="C127" s="36" t="s">
        <v>3176</v>
      </c>
      <c r="D127" s="11" t="s">
        <v>1552</v>
      </c>
      <c r="E127" s="11" t="s">
        <v>1744</v>
      </c>
      <c r="F127" s="11">
        <v>8</v>
      </c>
      <c r="G127" s="11" t="s">
        <v>2759</v>
      </c>
      <c r="H127" s="11" t="s">
        <v>2758</v>
      </c>
      <c r="I127" s="11" t="s">
        <v>339</v>
      </c>
      <c r="J127" s="11" t="s">
        <v>1537</v>
      </c>
      <c r="K127" s="11"/>
      <c r="L127" s="11"/>
      <c r="M127" s="11" t="s">
        <v>2595</v>
      </c>
      <c r="N127" s="11"/>
      <c r="O127" s="11"/>
      <c r="P127" s="11"/>
      <c r="Q127" s="11">
        <v>3</v>
      </c>
      <c r="R127" s="11">
        <v>1</v>
      </c>
      <c r="S127" s="11" t="s">
        <v>2595</v>
      </c>
    </row>
    <row r="128" spans="1:19" hidden="1" x14ac:dyDescent="0.15">
      <c r="A128" s="34">
        <v>127</v>
      </c>
      <c r="B128" s="35" t="s">
        <v>4881</v>
      </c>
      <c r="C128" s="36" t="s">
        <v>3176</v>
      </c>
      <c r="D128" s="11" t="s">
        <v>1552</v>
      </c>
      <c r="E128" s="11" t="s">
        <v>1744</v>
      </c>
      <c r="F128" s="11">
        <v>8</v>
      </c>
      <c r="G128" s="11" t="s">
        <v>2757</v>
      </c>
      <c r="H128" s="11" t="s">
        <v>2756</v>
      </c>
      <c r="I128" s="11" t="s">
        <v>339</v>
      </c>
      <c r="J128" s="11" t="s">
        <v>1537</v>
      </c>
      <c r="K128" s="11"/>
      <c r="L128" s="11"/>
      <c r="M128" s="11" t="s">
        <v>2755</v>
      </c>
      <c r="N128" s="11"/>
      <c r="O128" s="11"/>
      <c r="P128" s="11"/>
      <c r="Q128" s="11">
        <v>2</v>
      </c>
      <c r="R128" s="11">
        <v>2</v>
      </c>
      <c r="S128" s="11" t="s">
        <v>2755</v>
      </c>
    </row>
    <row r="129" spans="1:19" hidden="1" x14ac:dyDescent="0.15">
      <c r="A129" s="34">
        <v>128</v>
      </c>
      <c r="B129" s="35" t="s">
        <v>4881</v>
      </c>
      <c r="C129" s="36" t="s">
        <v>3176</v>
      </c>
      <c r="D129" s="11" t="s">
        <v>1552</v>
      </c>
      <c r="E129" s="11" t="s">
        <v>1744</v>
      </c>
      <c r="F129" s="11">
        <v>9</v>
      </c>
      <c r="G129" s="11" t="s">
        <v>2754</v>
      </c>
      <c r="H129" s="11" t="s">
        <v>2753</v>
      </c>
      <c r="I129" s="11" t="s">
        <v>339</v>
      </c>
      <c r="J129" s="11" t="s">
        <v>1489</v>
      </c>
      <c r="K129" s="11" t="s">
        <v>1641</v>
      </c>
      <c r="L129" s="11"/>
      <c r="M129" s="11" t="s">
        <v>2752</v>
      </c>
      <c r="N129" s="11"/>
      <c r="O129" s="11"/>
      <c r="P129" s="11"/>
      <c r="Q129" s="11">
        <v>2</v>
      </c>
      <c r="R129" s="11">
        <v>1</v>
      </c>
      <c r="S129" s="11" t="s">
        <v>2752</v>
      </c>
    </row>
    <row r="130" spans="1:19" hidden="1" x14ac:dyDescent="0.15">
      <c r="A130" s="34">
        <v>129</v>
      </c>
      <c r="B130" s="35" t="s">
        <v>4881</v>
      </c>
      <c r="C130" s="36" t="s">
        <v>3176</v>
      </c>
      <c r="D130" s="11" t="s">
        <v>1552</v>
      </c>
      <c r="E130" s="11" t="s">
        <v>1744</v>
      </c>
      <c r="F130" s="11">
        <v>3</v>
      </c>
      <c r="G130" s="11" t="s">
        <v>2751</v>
      </c>
      <c r="H130" s="11" t="s">
        <v>2750</v>
      </c>
      <c r="I130" s="11" t="s">
        <v>339</v>
      </c>
      <c r="J130" s="11" t="s">
        <v>1564</v>
      </c>
      <c r="K130" s="11" t="s">
        <v>1493</v>
      </c>
      <c r="L130" s="11"/>
      <c r="M130" s="11"/>
      <c r="N130" s="11"/>
      <c r="O130" s="11"/>
      <c r="P130" s="11"/>
      <c r="Q130" s="11">
        <v>1</v>
      </c>
      <c r="R130" s="11">
        <v>1</v>
      </c>
      <c r="S130" s="11"/>
    </row>
    <row r="131" spans="1:19" hidden="1" x14ac:dyDescent="0.15">
      <c r="A131" s="34">
        <v>130</v>
      </c>
      <c r="B131" s="35" t="s">
        <v>4881</v>
      </c>
      <c r="C131" s="36" t="s">
        <v>3176</v>
      </c>
      <c r="D131" s="11" t="s">
        <v>1552</v>
      </c>
      <c r="E131" s="11" t="s">
        <v>1744</v>
      </c>
      <c r="F131" s="11">
        <v>4</v>
      </c>
      <c r="G131" s="11" t="s">
        <v>2749</v>
      </c>
      <c r="H131" s="11" t="s">
        <v>2748</v>
      </c>
      <c r="I131" s="11" t="s">
        <v>339</v>
      </c>
      <c r="J131" s="11" t="s">
        <v>1564</v>
      </c>
      <c r="K131" s="11" t="s">
        <v>1929</v>
      </c>
      <c r="L131" s="11"/>
      <c r="M131" s="11"/>
      <c r="N131" s="11"/>
      <c r="O131" s="11"/>
      <c r="P131" s="11"/>
      <c r="Q131" s="11">
        <v>2</v>
      </c>
      <c r="R131" s="11">
        <v>1</v>
      </c>
      <c r="S131" s="11"/>
    </row>
    <row r="132" spans="1:19" hidden="1" x14ac:dyDescent="0.15">
      <c r="A132" s="34">
        <v>131</v>
      </c>
      <c r="B132" s="35" t="s">
        <v>4881</v>
      </c>
      <c r="C132" s="36" t="s">
        <v>3176</v>
      </c>
      <c r="D132" s="11" t="s">
        <v>1552</v>
      </c>
      <c r="E132" s="11" t="s">
        <v>1744</v>
      </c>
      <c r="F132" s="11">
        <v>6</v>
      </c>
      <c r="G132" s="11" t="s">
        <v>2747</v>
      </c>
      <c r="H132" s="11" t="s">
        <v>2746</v>
      </c>
      <c r="I132" s="11" t="s">
        <v>1453</v>
      </c>
      <c r="J132" s="11"/>
      <c r="K132" s="11"/>
      <c r="L132" s="11"/>
      <c r="M132" s="11" t="s">
        <v>2745</v>
      </c>
      <c r="N132" s="11"/>
      <c r="O132" s="11"/>
      <c r="P132" s="11"/>
      <c r="Q132" s="11"/>
      <c r="R132" s="11"/>
      <c r="S132" s="11" t="s">
        <v>2745</v>
      </c>
    </row>
    <row r="133" spans="1:19" hidden="1" x14ac:dyDescent="0.15">
      <c r="A133" s="34">
        <v>132</v>
      </c>
      <c r="B133" s="35" t="s">
        <v>4881</v>
      </c>
      <c r="C133" s="36" t="s">
        <v>3176</v>
      </c>
      <c r="D133" s="11" t="s">
        <v>1552</v>
      </c>
      <c r="E133" s="11" t="s">
        <v>1744</v>
      </c>
      <c r="F133" s="11">
        <v>4</v>
      </c>
      <c r="G133" s="11" t="s">
        <v>2744</v>
      </c>
      <c r="H133" s="11" t="s">
        <v>2743</v>
      </c>
      <c r="I133" s="11" t="s">
        <v>1453</v>
      </c>
      <c r="J133" s="11"/>
      <c r="K133" s="11"/>
      <c r="L133" s="11"/>
      <c r="M133" s="11" t="s">
        <v>3251</v>
      </c>
      <c r="N133" s="11" t="s">
        <v>3252</v>
      </c>
      <c r="O133" s="11"/>
      <c r="P133" s="11"/>
      <c r="Q133" s="11"/>
      <c r="R133" s="11"/>
      <c r="S133" s="11" t="s">
        <v>2742</v>
      </c>
    </row>
    <row r="134" spans="1:19" hidden="1" x14ac:dyDescent="0.15">
      <c r="A134" s="34">
        <v>133</v>
      </c>
      <c r="B134" s="35" t="s">
        <v>4881</v>
      </c>
      <c r="C134" s="36" t="s">
        <v>3176</v>
      </c>
      <c r="D134" s="11" t="s">
        <v>1552</v>
      </c>
      <c r="E134" s="11" t="s">
        <v>1744</v>
      </c>
      <c r="F134" s="11">
        <v>6</v>
      </c>
      <c r="G134" s="11" t="s">
        <v>2741</v>
      </c>
      <c r="H134" s="11" t="s">
        <v>2740</v>
      </c>
      <c r="I134" s="11" t="s">
        <v>1453</v>
      </c>
      <c r="J134" s="11"/>
      <c r="K134" s="11"/>
      <c r="L134" s="11"/>
      <c r="M134" s="11" t="s">
        <v>2739</v>
      </c>
      <c r="N134" s="11"/>
      <c r="O134" s="11"/>
      <c r="P134" s="11"/>
      <c r="Q134" s="11"/>
      <c r="R134" s="11"/>
      <c r="S134" s="11" t="s">
        <v>2739</v>
      </c>
    </row>
    <row r="135" spans="1:19" hidden="1" x14ac:dyDescent="0.15">
      <c r="A135" s="34">
        <v>134</v>
      </c>
      <c r="B135" s="35" t="s">
        <v>4881</v>
      </c>
      <c r="C135" s="36" t="s">
        <v>3176</v>
      </c>
      <c r="D135" s="11" t="s">
        <v>1552</v>
      </c>
      <c r="E135" s="11" t="s">
        <v>1744</v>
      </c>
      <c r="F135" s="11">
        <v>3</v>
      </c>
      <c r="G135" s="11" t="s">
        <v>4904</v>
      </c>
      <c r="H135" s="11" t="s">
        <v>2737</v>
      </c>
      <c r="I135" s="11" t="s">
        <v>1453</v>
      </c>
      <c r="J135" s="11"/>
      <c r="K135" s="11"/>
      <c r="L135" s="11"/>
      <c r="M135" s="11" t="s">
        <v>3253</v>
      </c>
      <c r="N135" s="11" t="s">
        <v>3254</v>
      </c>
      <c r="O135" s="11"/>
      <c r="P135" s="11"/>
      <c r="Q135" s="11"/>
      <c r="R135" s="11"/>
      <c r="S135" s="11" t="s">
        <v>2736</v>
      </c>
    </row>
    <row r="136" spans="1:19" hidden="1" x14ac:dyDescent="0.15">
      <c r="A136" s="34">
        <v>135</v>
      </c>
      <c r="B136" s="35" t="s">
        <v>4881</v>
      </c>
      <c r="C136" s="36" t="s">
        <v>3176</v>
      </c>
      <c r="D136" s="11" t="s">
        <v>1552</v>
      </c>
      <c r="E136" s="11" t="s">
        <v>1744</v>
      </c>
      <c r="F136" s="11">
        <v>4</v>
      </c>
      <c r="G136" s="11" t="s">
        <v>2735</v>
      </c>
      <c r="H136" s="11" t="s">
        <v>2734</v>
      </c>
      <c r="I136" s="11" t="s">
        <v>1453</v>
      </c>
      <c r="J136" s="11"/>
      <c r="K136" s="11"/>
      <c r="L136" s="11"/>
      <c r="M136" s="11" t="s">
        <v>2733</v>
      </c>
      <c r="N136" s="11"/>
      <c r="O136" s="11"/>
      <c r="P136" s="11"/>
      <c r="Q136" s="11"/>
      <c r="R136" s="11"/>
      <c r="S136" s="11" t="s">
        <v>2733</v>
      </c>
    </row>
    <row r="137" spans="1:19" hidden="1" x14ac:dyDescent="0.15">
      <c r="A137" s="34">
        <v>136</v>
      </c>
      <c r="B137" s="35" t="s">
        <v>4881</v>
      </c>
      <c r="C137" s="36" t="s">
        <v>3176</v>
      </c>
      <c r="D137" s="11" t="s">
        <v>1552</v>
      </c>
      <c r="E137" s="11" t="s">
        <v>1744</v>
      </c>
      <c r="F137" s="11">
        <v>6</v>
      </c>
      <c r="G137" s="11" t="s">
        <v>2732</v>
      </c>
      <c r="H137" s="11" t="s">
        <v>2731</v>
      </c>
      <c r="I137" s="11" t="s">
        <v>288</v>
      </c>
      <c r="J137" s="11"/>
      <c r="K137" s="11"/>
      <c r="L137" s="11"/>
      <c r="M137" s="11" t="s">
        <v>2730</v>
      </c>
      <c r="N137" s="11"/>
      <c r="O137" s="11"/>
      <c r="P137" s="11">
        <v>2</v>
      </c>
      <c r="Q137" s="11"/>
      <c r="R137" s="11"/>
      <c r="S137" s="11" t="s">
        <v>2730</v>
      </c>
    </row>
    <row r="138" spans="1:19" hidden="1" x14ac:dyDescent="0.15">
      <c r="A138" s="34">
        <v>137</v>
      </c>
      <c r="B138" s="35" t="s">
        <v>4881</v>
      </c>
      <c r="C138" s="36" t="s">
        <v>3176</v>
      </c>
      <c r="D138" s="11" t="s">
        <v>1552</v>
      </c>
      <c r="E138" s="11" t="s">
        <v>1451</v>
      </c>
      <c r="F138" s="11">
        <v>11</v>
      </c>
      <c r="G138" s="11" t="s">
        <v>2729</v>
      </c>
      <c r="H138" s="11" t="s">
        <v>2728</v>
      </c>
      <c r="I138" s="11" t="s">
        <v>339</v>
      </c>
      <c r="J138" s="11" t="s">
        <v>1564</v>
      </c>
      <c r="K138" s="11" t="s">
        <v>1493</v>
      </c>
      <c r="L138" s="11"/>
      <c r="M138" s="11" t="s">
        <v>2048</v>
      </c>
      <c r="N138" s="11"/>
      <c r="O138" s="11"/>
      <c r="P138" s="11"/>
      <c r="Q138" s="11">
        <v>5</v>
      </c>
      <c r="R138" s="11">
        <v>3</v>
      </c>
      <c r="S138" s="11" t="s">
        <v>2048</v>
      </c>
    </row>
    <row r="139" spans="1:19" hidden="1" x14ac:dyDescent="0.15">
      <c r="A139" s="34">
        <v>138</v>
      </c>
      <c r="B139" s="35" t="s">
        <v>4881</v>
      </c>
      <c r="C139" s="36" t="s">
        <v>3176</v>
      </c>
      <c r="D139" s="11" t="s">
        <v>1552</v>
      </c>
      <c r="E139" s="11" t="s">
        <v>1451</v>
      </c>
      <c r="F139" s="11">
        <v>8</v>
      </c>
      <c r="G139" s="11" t="s">
        <v>2727</v>
      </c>
      <c r="H139" s="11" t="s">
        <v>2726</v>
      </c>
      <c r="I139" s="11" t="s">
        <v>339</v>
      </c>
      <c r="J139" s="11" t="s">
        <v>1489</v>
      </c>
      <c r="K139" s="11" t="s">
        <v>1493</v>
      </c>
      <c r="L139" s="11"/>
      <c r="M139" s="11" t="s">
        <v>2725</v>
      </c>
      <c r="N139" s="11"/>
      <c r="O139" s="11"/>
      <c r="P139" s="11"/>
      <c r="Q139" s="11">
        <v>4</v>
      </c>
      <c r="R139" s="11">
        <v>3</v>
      </c>
      <c r="S139" s="11" t="s">
        <v>2725</v>
      </c>
    </row>
    <row r="140" spans="1:19" hidden="1" x14ac:dyDescent="0.15">
      <c r="A140" s="34">
        <v>139</v>
      </c>
      <c r="B140" s="35" t="s">
        <v>4881</v>
      </c>
      <c r="C140" s="36" t="s">
        <v>3176</v>
      </c>
      <c r="D140" s="11" t="s">
        <v>1552</v>
      </c>
      <c r="E140" s="11" t="s">
        <v>1451</v>
      </c>
      <c r="F140" s="11">
        <v>10</v>
      </c>
      <c r="G140" s="11" t="s">
        <v>2724</v>
      </c>
      <c r="H140" s="11" t="s">
        <v>2723</v>
      </c>
      <c r="I140" s="11" t="s">
        <v>339</v>
      </c>
      <c r="J140" s="11" t="s">
        <v>1564</v>
      </c>
      <c r="K140" s="11" t="s">
        <v>1493</v>
      </c>
      <c r="L140" s="11"/>
      <c r="M140" s="11" t="s">
        <v>2722</v>
      </c>
      <c r="N140" s="11"/>
      <c r="O140" s="11"/>
      <c r="P140" s="11"/>
      <c r="Q140" s="11">
        <v>1</v>
      </c>
      <c r="R140" s="11">
        <v>2</v>
      </c>
      <c r="S140" s="11" t="s">
        <v>2722</v>
      </c>
    </row>
    <row r="141" spans="1:19" hidden="1" x14ac:dyDescent="0.15">
      <c r="A141" s="34">
        <v>140</v>
      </c>
      <c r="B141" s="35" t="s">
        <v>4881</v>
      </c>
      <c r="C141" s="36" t="s">
        <v>3176</v>
      </c>
      <c r="D141" s="11" t="s">
        <v>1552</v>
      </c>
      <c r="E141" s="11" t="s">
        <v>1451</v>
      </c>
      <c r="F141" s="11">
        <v>10</v>
      </c>
      <c r="G141" s="11" t="s">
        <v>4895</v>
      </c>
      <c r="H141" s="11" t="s">
        <v>2721</v>
      </c>
      <c r="I141" s="11" t="s">
        <v>339</v>
      </c>
      <c r="J141" s="11" t="s">
        <v>1489</v>
      </c>
      <c r="K141" s="11" t="s">
        <v>1493</v>
      </c>
      <c r="L141" s="11"/>
      <c r="M141" s="11" t="s">
        <v>2720</v>
      </c>
      <c r="N141" s="11"/>
      <c r="O141" s="11"/>
      <c r="P141" s="11"/>
      <c r="Q141" s="11">
        <v>4</v>
      </c>
      <c r="R141" s="11">
        <v>4</v>
      </c>
      <c r="S141" s="11" t="s">
        <v>4894</v>
      </c>
    </row>
    <row r="142" spans="1:19" hidden="1" x14ac:dyDescent="0.15">
      <c r="A142" s="34">
        <v>141</v>
      </c>
      <c r="B142" s="35" t="s">
        <v>4881</v>
      </c>
      <c r="C142" s="36" t="s">
        <v>3176</v>
      </c>
      <c r="D142" s="11" t="s">
        <v>1552</v>
      </c>
      <c r="E142" s="11" t="s">
        <v>1451</v>
      </c>
      <c r="F142" s="11">
        <v>11</v>
      </c>
      <c r="G142" s="11" t="s">
        <v>2719</v>
      </c>
      <c r="H142" s="11" t="s">
        <v>2718</v>
      </c>
      <c r="I142" s="11" t="s">
        <v>339</v>
      </c>
      <c r="J142" s="11" t="s">
        <v>2717</v>
      </c>
      <c r="K142" s="11"/>
      <c r="L142" s="11"/>
      <c r="M142" s="11" t="s">
        <v>2716</v>
      </c>
      <c r="N142" s="11"/>
      <c r="O142" s="11"/>
      <c r="P142" s="11"/>
      <c r="Q142" s="11">
        <v>3</v>
      </c>
      <c r="R142" s="11">
        <v>3</v>
      </c>
      <c r="S142" s="11" t="s">
        <v>2716</v>
      </c>
    </row>
    <row r="143" spans="1:19" hidden="1" x14ac:dyDescent="0.15">
      <c r="A143" s="34">
        <v>142</v>
      </c>
      <c r="B143" s="35" t="s">
        <v>4881</v>
      </c>
      <c r="C143" s="36" t="s">
        <v>3176</v>
      </c>
      <c r="D143" s="11" t="s">
        <v>1552</v>
      </c>
      <c r="E143" s="11" t="s">
        <v>1451</v>
      </c>
      <c r="F143" s="11">
        <v>10</v>
      </c>
      <c r="G143" s="11" t="s">
        <v>2715</v>
      </c>
      <c r="H143" s="11" t="s">
        <v>2714</v>
      </c>
      <c r="I143" s="11" t="s">
        <v>339</v>
      </c>
      <c r="J143" s="11" t="s">
        <v>1537</v>
      </c>
      <c r="K143" s="11"/>
      <c r="L143" s="11"/>
      <c r="M143" s="11" t="s">
        <v>2713</v>
      </c>
      <c r="N143" s="11"/>
      <c r="O143" s="11"/>
      <c r="P143" s="11"/>
      <c r="Q143" s="11">
        <v>4</v>
      </c>
      <c r="R143" s="11">
        <v>4</v>
      </c>
      <c r="S143" s="11" t="s">
        <v>4801</v>
      </c>
    </row>
    <row r="144" spans="1:19" hidden="1" x14ac:dyDescent="0.15">
      <c r="A144" s="34">
        <v>143</v>
      </c>
      <c r="B144" s="35" t="s">
        <v>4881</v>
      </c>
      <c r="C144" s="36" t="s">
        <v>3176</v>
      </c>
      <c r="D144" s="11" t="s">
        <v>1552</v>
      </c>
      <c r="E144" s="11" t="s">
        <v>1451</v>
      </c>
      <c r="F144" s="11">
        <v>11</v>
      </c>
      <c r="G144" s="11" t="s">
        <v>2712</v>
      </c>
      <c r="H144" s="11" t="s">
        <v>2711</v>
      </c>
      <c r="I144" s="11" t="s">
        <v>339</v>
      </c>
      <c r="J144" s="11" t="s">
        <v>2049</v>
      </c>
      <c r="K144" s="11"/>
      <c r="L144" s="11"/>
      <c r="M144" s="11" t="s">
        <v>1944</v>
      </c>
      <c r="N144" s="11"/>
      <c r="O144" s="11"/>
      <c r="P144" s="11"/>
      <c r="Q144" s="11">
        <v>4</v>
      </c>
      <c r="R144" s="11">
        <v>3</v>
      </c>
      <c r="S144" s="11" t="s">
        <v>1944</v>
      </c>
    </row>
    <row r="145" spans="1:19" hidden="1" x14ac:dyDescent="0.15">
      <c r="A145" s="34">
        <v>144</v>
      </c>
      <c r="B145" s="35" t="s">
        <v>4881</v>
      </c>
      <c r="C145" s="36" t="s">
        <v>3176</v>
      </c>
      <c r="D145" s="11" t="s">
        <v>1552</v>
      </c>
      <c r="E145" s="11" t="s">
        <v>1451</v>
      </c>
      <c r="F145" s="11">
        <v>9</v>
      </c>
      <c r="G145" s="11" t="s">
        <v>2710</v>
      </c>
      <c r="H145" s="11" t="s">
        <v>2709</v>
      </c>
      <c r="I145" s="11" t="s">
        <v>339</v>
      </c>
      <c r="J145" s="11" t="s">
        <v>1489</v>
      </c>
      <c r="K145" s="11" t="s">
        <v>1641</v>
      </c>
      <c r="L145" s="11"/>
      <c r="M145" s="11" t="s">
        <v>2708</v>
      </c>
      <c r="N145" s="11"/>
      <c r="O145" s="11"/>
      <c r="P145" s="11"/>
      <c r="Q145" s="11">
        <v>3</v>
      </c>
      <c r="R145" s="11">
        <v>3</v>
      </c>
      <c r="S145" s="11" t="s">
        <v>2708</v>
      </c>
    </row>
    <row r="146" spans="1:19" hidden="1" x14ac:dyDescent="0.15">
      <c r="A146" s="34">
        <v>145</v>
      </c>
      <c r="B146" s="35" t="s">
        <v>4881</v>
      </c>
      <c r="C146" s="36" t="s">
        <v>3176</v>
      </c>
      <c r="D146" s="11" t="s">
        <v>1552</v>
      </c>
      <c r="E146" s="11" t="s">
        <v>1451</v>
      </c>
      <c r="F146" s="11">
        <v>8</v>
      </c>
      <c r="G146" s="11" t="s">
        <v>2707</v>
      </c>
      <c r="H146" s="11" t="s">
        <v>2706</v>
      </c>
      <c r="I146" s="11" t="s">
        <v>339</v>
      </c>
      <c r="J146" s="11" t="s">
        <v>1537</v>
      </c>
      <c r="K146" s="11"/>
      <c r="L146" s="11"/>
      <c r="M146" s="11" t="s">
        <v>2705</v>
      </c>
      <c r="N146" s="11"/>
      <c r="O146" s="11"/>
      <c r="P146" s="11"/>
      <c r="Q146" s="11">
        <v>5</v>
      </c>
      <c r="R146" s="11">
        <v>3</v>
      </c>
      <c r="S146" s="11" t="s">
        <v>2705</v>
      </c>
    </row>
    <row r="147" spans="1:19" hidden="1" x14ac:dyDescent="0.15">
      <c r="A147" s="34">
        <v>146</v>
      </c>
      <c r="B147" s="35" t="s">
        <v>4881</v>
      </c>
      <c r="C147" s="36" t="s">
        <v>3176</v>
      </c>
      <c r="D147" s="11" t="s">
        <v>1552</v>
      </c>
      <c r="E147" s="11" t="s">
        <v>1451</v>
      </c>
      <c r="F147" s="11">
        <v>4</v>
      </c>
      <c r="G147" s="11" t="s">
        <v>2704</v>
      </c>
      <c r="H147" s="11" t="s">
        <v>2703</v>
      </c>
      <c r="I147" s="11" t="s">
        <v>1453</v>
      </c>
      <c r="J147" s="11"/>
      <c r="K147" s="11"/>
      <c r="L147" s="11"/>
      <c r="M147" s="11" t="s">
        <v>2702</v>
      </c>
      <c r="N147" s="11"/>
      <c r="O147" s="11"/>
      <c r="P147" s="11"/>
      <c r="Q147" s="11"/>
      <c r="R147" s="11"/>
      <c r="S147" s="11" t="s">
        <v>2702</v>
      </c>
    </row>
    <row r="148" spans="1:19" hidden="1" x14ac:dyDescent="0.15">
      <c r="A148" s="34">
        <v>147</v>
      </c>
      <c r="B148" s="35" t="s">
        <v>4881</v>
      </c>
      <c r="C148" s="36" t="s">
        <v>3176</v>
      </c>
      <c r="D148" s="11" t="s">
        <v>1552</v>
      </c>
      <c r="E148" s="11" t="s">
        <v>1451</v>
      </c>
      <c r="F148" s="11">
        <v>11</v>
      </c>
      <c r="G148" s="11" t="s">
        <v>2701</v>
      </c>
      <c r="H148" s="11" t="s">
        <v>2700</v>
      </c>
      <c r="I148" s="11" t="s">
        <v>1453</v>
      </c>
      <c r="J148" s="11"/>
      <c r="K148" s="11"/>
      <c r="L148" s="11"/>
      <c r="M148" s="11" t="s">
        <v>2699</v>
      </c>
      <c r="N148" s="11"/>
      <c r="O148" s="11"/>
      <c r="P148" s="11"/>
      <c r="Q148" s="11"/>
      <c r="R148" s="11"/>
      <c r="S148" s="11" t="s">
        <v>2699</v>
      </c>
    </row>
    <row r="149" spans="1:19" hidden="1" x14ac:dyDescent="0.15">
      <c r="A149" s="34">
        <v>148</v>
      </c>
      <c r="B149" s="35" t="s">
        <v>4881</v>
      </c>
      <c r="C149" s="36" t="s">
        <v>3176</v>
      </c>
      <c r="D149" s="11" t="s">
        <v>1552</v>
      </c>
      <c r="E149" s="11" t="s">
        <v>1451</v>
      </c>
      <c r="F149" s="11">
        <v>3</v>
      </c>
      <c r="G149" s="11" t="s">
        <v>4907</v>
      </c>
      <c r="H149" s="11" t="s">
        <v>2697</v>
      </c>
      <c r="I149" s="11" t="s">
        <v>1453</v>
      </c>
      <c r="J149" s="11"/>
      <c r="K149" s="11"/>
      <c r="L149" s="11"/>
      <c r="M149" s="11" t="s">
        <v>2696</v>
      </c>
      <c r="N149" s="11"/>
      <c r="O149" s="11"/>
      <c r="P149" s="11"/>
      <c r="Q149" s="11"/>
      <c r="R149" s="11"/>
      <c r="S149" s="11" t="s">
        <v>2696</v>
      </c>
    </row>
    <row r="150" spans="1:19" hidden="1" x14ac:dyDescent="0.15">
      <c r="A150" s="34">
        <v>149</v>
      </c>
      <c r="B150" s="35" t="s">
        <v>4881</v>
      </c>
      <c r="C150" s="36" t="s">
        <v>3176</v>
      </c>
      <c r="D150" s="11" t="s">
        <v>1552</v>
      </c>
      <c r="E150" s="11" t="s">
        <v>1451</v>
      </c>
      <c r="F150" s="11">
        <v>1</v>
      </c>
      <c r="G150" s="11" t="s">
        <v>2695</v>
      </c>
      <c r="H150" s="11" t="s">
        <v>2694</v>
      </c>
      <c r="I150" s="11" t="s">
        <v>1453</v>
      </c>
      <c r="J150" s="11"/>
      <c r="K150" s="11"/>
      <c r="L150" s="11"/>
      <c r="M150" s="11" t="s">
        <v>2693</v>
      </c>
      <c r="N150" s="11"/>
      <c r="O150" s="11"/>
      <c r="P150" s="11"/>
      <c r="Q150" s="11"/>
      <c r="R150" s="11"/>
      <c r="S150" s="11" t="s">
        <v>2693</v>
      </c>
    </row>
    <row r="151" spans="1:19" hidden="1" x14ac:dyDescent="0.15">
      <c r="A151" s="34">
        <v>150</v>
      </c>
      <c r="B151" s="35" t="s">
        <v>4881</v>
      </c>
      <c r="C151" s="36" t="s">
        <v>3176</v>
      </c>
      <c r="D151" s="11" t="s">
        <v>1552</v>
      </c>
      <c r="E151" s="11" t="s">
        <v>1451</v>
      </c>
      <c r="F151" s="11">
        <v>6</v>
      </c>
      <c r="G151" s="11" t="s">
        <v>2692</v>
      </c>
      <c r="H151" s="11" t="s">
        <v>2691</v>
      </c>
      <c r="I151" s="11" t="s">
        <v>1453</v>
      </c>
      <c r="J151" s="11" t="s">
        <v>6306</v>
      </c>
      <c r="K151" s="11"/>
      <c r="L151" s="11"/>
      <c r="M151" s="11" t="s">
        <v>2690</v>
      </c>
      <c r="N151" s="11"/>
      <c r="O151" s="11"/>
      <c r="P151" s="11"/>
      <c r="Q151" s="11"/>
      <c r="R151" s="11"/>
      <c r="S151" s="11" t="s">
        <v>2690</v>
      </c>
    </row>
    <row r="152" spans="1:19" hidden="1" x14ac:dyDescent="0.15">
      <c r="A152" s="34">
        <v>151</v>
      </c>
      <c r="B152" s="35" t="s">
        <v>4881</v>
      </c>
      <c r="C152" s="36" t="s">
        <v>3176</v>
      </c>
      <c r="D152" s="11" t="s">
        <v>1552</v>
      </c>
      <c r="E152" s="11" t="s">
        <v>1451</v>
      </c>
      <c r="F152" s="11">
        <v>5</v>
      </c>
      <c r="G152" s="11" t="s">
        <v>2689</v>
      </c>
      <c r="H152" s="11" t="s">
        <v>2688</v>
      </c>
      <c r="I152" s="11" t="s">
        <v>1453</v>
      </c>
      <c r="J152" s="11"/>
      <c r="K152" s="11"/>
      <c r="L152" s="11"/>
      <c r="M152" s="11" t="s">
        <v>2687</v>
      </c>
      <c r="N152" s="11"/>
      <c r="O152" s="11"/>
      <c r="P152" s="11"/>
      <c r="Q152" s="11"/>
      <c r="R152" s="11"/>
      <c r="S152" s="11" t="s">
        <v>2687</v>
      </c>
    </row>
    <row r="153" spans="1:19" hidden="1" x14ac:dyDescent="0.15">
      <c r="A153" s="34">
        <v>152</v>
      </c>
      <c r="B153" s="35" t="s">
        <v>4881</v>
      </c>
      <c r="C153" s="36" t="s">
        <v>3176</v>
      </c>
      <c r="D153" s="11" t="s">
        <v>1552</v>
      </c>
      <c r="E153" s="11" t="s">
        <v>1451</v>
      </c>
      <c r="F153" s="11">
        <v>13</v>
      </c>
      <c r="G153" s="11" t="s">
        <v>2686</v>
      </c>
      <c r="H153" s="11" t="s">
        <v>2685</v>
      </c>
      <c r="I153" s="11" t="s">
        <v>288</v>
      </c>
      <c r="J153" s="11" t="s">
        <v>6306</v>
      </c>
      <c r="K153" s="11"/>
      <c r="L153" s="11"/>
      <c r="M153" s="11" t="s">
        <v>2684</v>
      </c>
      <c r="N153" s="11"/>
      <c r="O153" s="11"/>
      <c r="P153" s="11">
        <v>2</v>
      </c>
      <c r="Q153" s="11"/>
      <c r="R153" s="11"/>
      <c r="S153" s="11" t="s">
        <v>2684</v>
      </c>
    </row>
    <row r="154" spans="1:19" hidden="1" x14ac:dyDescent="0.15">
      <c r="A154" s="34">
        <v>153</v>
      </c>
      <c r="B154" s="35" t="s">
        <v>4881</v>
      </c>
      <c r="C154" s="36" t="s">
        <v>3176</v>
      </c>
      <c r="D154" s="11" t="s">
        <v>1552</v>
      </c>
      <c r="E154" s="11" t="s">
        <v>1441</v>
      </c>
      <c r="F154" s="11">
        <v>13</v>
      </c>
      <c r="G154" s="11" t="s">
        <v>2683</v>
      </c>
      <c r="H154" s="11" t="s">
        <v>2682</v>
      </c>
      <c r="I154" s="11" t="s">
        <v>339</v>
      </c>
      <c r="J154" s="11" t="s">
        <v>1489</v>
      </c>
      <c r="K154" s="11" t="s">
        <v>2634</v>
      </c>
      <c r="L154" s="11"/>
      <c r="M154" s="11" t="s">
        <v>2681</v>
      </c>
      <c r="N154" s="11"/>
      <c r="O154" s="11"/>
      <c r="P154" s="11"/>
      <c r="Q154" s="11">
        <v>6</v>
      </c>
      <c r="R154" s="11">
        <v>5</v>
      </c>
      <c r="S154" s="11" t="s">
        <v>2681</v>
      </c>
    </row>
    <row r="155" spans="1:19" hidden="1" x14ac:dyDescent="0.15">
      <c r="A155" s="34">
        <v>154</v>
      </c>
      <c r="B155" s="35" t="s">
        <v>4881</v>
      </c>
      <c r="C155" s="36" t="s">
        <v>3176</v>
      </c>
      <c r="D155" s="11" t="s">
        <v>1552</v>
      </c>
      <c r="E155" s="11" t="s">
        <v>1441</v>
      </c>
      <c r="F155" s="11">
        <v>16</v>
      </c>
      <c r="G155" s="11" t="s">
        <v>2680</v>
      </c>
      <c r="H155" s="11" t="s">
        <v>2679</v>
      </c>
      <c r="I155" s="11" t="s">
        <v>339</v>
      </c>
      <c r="J155" s="11" t="s">
        <v>2678</v>
      </c>
      <c r="K155" s="11"/>
      <c r="L155" s="11"/>
      <c r="M155" s="11" t="s">
        <v>3218</v>
      </c>
      <c r="N155" s="11" t="s">
        <v>3255</v>
      </c>
      <c r="O155" s="11"/>
      <c r="P155" s="11"/>
      <c r="Q155" s="11">
        <v>5</v>
      </c>
      <c r="R155" s="11">
        <v>6</v>
      </c>
      <c r="S155" s="11" t="s">
        <v>3256</v>
      </c>
    </row>
    <row r="156" spans="1:19" hidden="1" x14ac:dyDescent="0.15">
      <c r="A156" s="34">
        <v>155</v>
      </c>
      <c r="B156" s="35" t="s">
        <v>4881</v>
      </c>
      <c r="C156" s="36" t="s">
        <v>3176</v>
      </c>
      <c r="D156" s="11" t="s">
        <v>1552</v>
      </c>
      <c r="E156" s="11" t="s">
        <v>1441</v>
      </c>
      <c r="F156" s="11">
        <v>17</v>
      </c>
      <c r="G156" s="11" t="s">
        <v>2677</v>
      </c>
      <c r="H156" s="11" t="s">
        <v>2676</v>
      </c>
      <c r="I156" s="11" t="s">
        <v>339</v>
      </c>
      <c r="J156" s="11" t="s">
        <v>1489</v>
      </c>
      <c r="K156" s="11" t="s">
        <v>1641</v>
      </c>
      <c r="L156" s="11"/>
      <c r="M156" s="11" t="s">
        <v>3257</v>
      </c>
      <c r="N156" s="11" t="s">
        <v>3258</v>
      </c>
      <c r="O156" s="11"/>
      <c r="P156" s="11"/>
      <c r="Q156" s="11">
        <v>6</v>
      </c>
      <c r="R156" s="11">
        <v>6</v>
      </c>
      <c r="S156" s="11" t="s">
        <v>2675</v>
      </c>
    </row>
    <row r="157" spans="1:19" hidden="1" x14ac:dyDescent="0.15">
      <c r="A157" s="34">
        <v>156</v>
      </c>
      <c r="B157" s="35" t="s">
        <v>4881</v>
      </c>
      <c r="C157" s="36" t="s">
        <v>3176</v>
      </c>
      <c r="D157" s="11" t="s">
        <v>1552</v>
      </c>
      <c r="E157" s="11" t="s">
        <v>1441</v>
      </c>
      <c r="F157" s="11">
        <v>16</v>
      </c>
      <c r="G157" s="11" t="s">
        <v>2674</v>
      </c>
      <c r="H157" s="11" t="s">
        <v>2673</v>
      </c>
      <c r="I157" s="11" t="s">
        <v>339</v>
      </c>
      <c r="J157" s="11" t="s">
        <v>1489</v>
      </c>
      <c r="K157" s="11" t="s">
        <v>1738</v>
      </c>
      <c r="L157" s="11"/>
      <c r="M157" s="11" t="s">
        <v>3259</v>
      </c>
      <c r="N157" s="11" t="s">
        <v>3260</v>
      </c>
      <c r="O157" s="11"/>
      <c r="P157" s="11"/>
      <c r="Q157" s="11">
        <v>6</v>
      </c>
      <c r="R157" s="11">
        <v>6</v>
      </c>
      <c r="S157" s="11" t="s">
        <v>3261</v>
      </c>
    </row>
    <row r="158" spans="1:19" hidden="1" x14ac:dyDescent="0.15">
      <c r="A158" s="34">
        <v>157</v>
      </c>
      <c r="B158" s="35" t="s">
        <v>4881</v>
      </c>
      <c r="C158" s="36" t="s">
        <v>3176</v>
      </c>
      <c r="D158" s="11" t="s">
        <v>1552</v>
      </c>
      <c r="E158" s="11" t="s">
        <v>1441</v>
      </c>
      <c r="F158" s="11">
        <v>6</v>
      </c>
      <c r="G158" s="11" t="s">
        <v>2672</v>
      </c>
      <c r="H158" s="11" t="s">
        <v>2671</v>
      </c>
      <c r="I158" s="11" t="s">
        <v>1453</v>
      </c>
      <c r="J158" s="11"/>
      <c r="K158" s="11"/>
      <c r="L158" s="11"/>
      <c r="M158" s="11" t="s">
        <v>2670</v>
      </c>
      <c r="N158" s="11"/>
      <c r="O158" s="11"/>
      <c r="P158" s="11"/>
      <c r="Q158" s="11"/>
      <c r="R158" s="11"/>
      <c r="S158" s="11" t="s">
        <v>2670</v>
      </c>
    </row>
    <row r="159" spans="1:19" hidden="1" x14ac:dyDescent="0.15">
      <c r="A159" s="34">
        <v>158</v>
      </c>
      <c r="B159" s="35" t="s">
        <v>4881</v>
      </c>
      <c r="C159" s="36" t="s">
        <v>3176</v>
      </c>
      <c r="D159" s="11" t="s">
        <v>1552</v>
      </c>
      <c r="E159" s="11" t="s">
        <v>1441</v>
      </c>
      <c r="F159" s="11">
        <v>6</v>
      </c>
      <c r="G159" s="11" t="s">
        <v>2669</v>
      </c>
      <c r="H159" s="11" t="s">
        <v>2668</v>
      </c>
      <c r="I159" s="11" t="s">
        <v>1453</v>
      </c>
      <c r="J159" s="11"/>
      <c r="K159" s="11"/>
      <c r="L159" s="11"/>
      <c r="M159" s="11" t="s">
        <v>3262</v>
      </c>
      <c r="N159" s="11" t="s">
        <v>3263</v>
      </c>
      <c r="O159" s="11"/>
      <c r="P159" s="11"/>
      <c r="Q159" s="11"/>
      <c r="R159" s="11"/>
      <c r="S159" s="11" t="s">
        <v>2667</v>
      </c>
    </row>
    <row r="160" spans="1:19" hidden="1" x14ac:dyDescent="0.15">
      <c r="A160" s="34">
        <v>159</v>
      </c>
      <c r="B160" s="35" t="s">
        <v>4881</v>
      </c>
      <c r="C160" s="36" t="s">
        <v>3176</v>
      </c>
      <c r="D160" s="11" t="s">
        <v>1552</v>
      </c>
      <c r="E160" s="11" t="s">
        <v>1441</v>
      </c>
      <c r="F160" s="11">
        <v>10</v>
      </c>
      <c r="G160" s="11" t="s">
        <v>2666</v>
      </c>
      <c r="H160" s="11" t="s">
        <v>2665</v>
      </c>
      <c r="I160" s="11" t="s">
        <v>288</v>
      </c>
      <c r="J160" s="11"/>
      <c r="K160" s="11"/>
      <c r="L160" s="11"/>
      <c r="M160" s="11" t="s">
        <v>2664</v>
      </c>
      <c r="N160" s="11"/>
      <c r="O160" s="11"/>
      <c r="P160" s="11">
        <v>2</v>
      </c>
      <c r="Q160" s="11"/>
      <c r="R160" s="11"/>
      <c r="S160" s="11" t="s">
        <v>2664</v>
      </c>
    </row>
    <row r="161" spans="1:19" hidden="1" x14ac:dyDescent="0.15">
      <c r="A161" s="34">
        <v>160</v>
      </c>
      <c r="B161" s="35" t="s">
        <v>4881</v>
      </c>
      <c r="C161" s="36" t="s">
        <v>3176</v>
      </c>
      <c r="D161" s="11" t="s">
        <v>1552</v>
      </c>
      <c r="E161" s="11" t="s">
        <v>1431</v>
      </c>
      <c r="F161" s="11">
        <v>15</v>
      </c>
      <c r="G161" s="11" t="s">
        <v>4920</v>
      </c>
      <c r="H161" s="11" t="s">
        <v>2662</v>
      </c>
      <c r="I161" s="11" t="s">
        <v>339</v>
      </c>
      <c r="J161" s="11" t="s">
        <v>1555</v>
      </c>
      <c r="K161" s="11"/>
      <c r="L161" s="11"/>
      <c r="M161" s="11" t="s">
        <v>351</v>
      </c>
      <c r="N161" s="11" t="s">
        <v>3264</v>
      </c>
      <c r="O161" s="11"/>
      <c r="P161" s="11"/>
      <c r="Q161" s="11">
        <v>8</v>
      </c>
      <c r="R161" s="11">
        <v>8</v>
      </c>
      <c r="S161" s="11" t="s">
        <v>3265</v>
      </c>
    </row>
    <row r="162" spans="1:19" hidden="1" x14ac:dyDescent="0.15">
      <c r="A162" s="34">
        <v>161</v>
      </c>
      <c r="B162" s="35" t="s">
        <v>4881</v>
      </c>
      <c r="C162" s="36" t="s">
        <v>3176</v>
      </c>
      <c r="D162" s="11" t="s">
        <v>1552</v>
      </c>
      <c r="E162" s="11" t="s">
        <v>1431</v>
      </c>
      <c r="F162" s="11">
        <v>14</v>
      </c>
      <c r="G162" s="11" t="s">
        <v>2661</v>
      </c>
      <c r="H162" s="11" t="s">
        <v>2660</v>
      </c>
      <c r="I162" s="11" t="s">
        <v>339</v>
      </c>
      <c r="J162" s="11"/>
      <c r="K162" s="11"/>
      <c r="L162" s="11"/>
      <c r="M162" s="11" t="s">
        <v>2659</v>
      </c>
      <c r="N162" s="11"/>
      <c r="O162" s="11"/>
      <c r="P162" s="11"/>
      <c r="Q162" s="11"/>
      <c r="R162" s="11"/>
      <c r="S162" s="11" t="s">
        <v>2659</v>
      </c>
    </row>
    <row r="163" spans="1:19" hidden="1" x14ac:dyDescent="0.15">
      <c r="A163" s="34">
        <v>162</v>
      </c>
      <c r="B163" s="35" t="s">
        <v>4881</v>
      </c>
      <c r="C163" s="36" t="s">
        <v>3176</v>
      </c>
      <c r="D163" s="11" t="s">
        <v>1552</v>
      </c>
      <c r="E163" s="11" t="s">
        <v>1431</v>
      </c>
      <c r="F163" s="11">
        <v>10</v>
      </c>
      <c r="G163" s="11" t="s">
        <v>2658</v>
      </c>
      <c r="H163" s="11" t="s">
        <v>2657</v>
      </c>
      <c r="I163" s="11" t="s">
        <v>288</v>
      </c>
      <c r="J163" s="11"/>
      <c r="K163" s="11"/>
      <c r="L163" s="11"/>
      <c r="M163" s="11" t="s">
        <v>2656</v>
      </c>
      <c r="N163" s="11"/>
      <c r="O163" s="11"/>
      <c r="P163" s="11">
        <v>3</v>
      </c>
      <c r="Q163" s="11"/>
      <c r="R163" s="11"/>
      <c r="S163" s="11" t="s">
        <v>2656</v>
      </c>
    </row>
    <row r="164" spans="1:19" hidden="1" x14ac:dyDescent="0.15">
      <c r="A164" s="34">
        <v>163</v>
      </c>
      <c r="B164" s="35" t="s">
        <v>4881</v>
      </c>
      <c r="C164" s="36" t="s">
        <v>3176</v>
      </c>
      <c r="D164" s="11" t="s">
        <v>1518</v>
      </c>
      <c r="E164" s="11" t="s">
        <v>1744</v>
      </c>
      <c r="F164" s="11">
        <v>3</v>
      </c>
      <c r="G164" s="11" t="s">
        <v>2655</v>
      </c>
      <c r="H164" s="11" t="s">
        <v>2654</v>
      </c>
      <c r="I164" s="11" t="s">
        <v>339</v>
      </c>
      <c r="J164" s="11" t="s">
        <v>1945</v>
      </c>
      <c r="K164" s="11"/>
      <c r="L164" s="11"/>
      <c r="M164" s="11"/>
      <c r="N164" s="11"/>
      <c r="O164" s="11"/>
      <c r="P164" s="11"/>
      <c r="Q164" s="11">
        <v>1</v>
      </c>
      <c r="R164" s="11">
        <v>1</v>
      </c>
      <c r="S164" s="11"/>
    </row>
    <row r="165" spans="1:19" hidden="1" x14ac:dyDescent="0.15">
      <c r="A165" s="34">
        <v>164</v>
      </c>
      <c r="B165" s="35" t="s">
        <v>4881</v>
      </c>
      <c r="C165" s="36" t="s">
        <v>3176</v>
      </c>
      <c r="D165" s="11" t="s">
        <v>1518</v>
      </c>
      <c r="E165" s="11" t="s">
        <v>1744</v>
      </c>
      <c r="F165" s="11">
        <v>5</v>
      </c>
      <c r="G165" s="11" t="s">
        <v>2653</v>
      </c>
      <c r="H165" s="11" t="s">
        <v>2652</v>
      </c>
      <c r="I165" s="11" t="s">
        <v>339</v>
      </c>
      <c r="J165" s="11" t="s">
        <v>1479</v>
      </c>
      <c r="K165" s="11" t="s">
        <v>1867</v>
      </c>
      <c r="L165" s="11"/>
      <c r="M165" s="11" t="s">
        <v>2651</v>
      </c>
      <c r="N165" s="11"/>
      <c r="O165" s="11"/>
      <c r="P165" s="11"/>
      <c r="Q165" s="11">
        <v>1</v>
      </c>
      <c r="R165" s="11">
        <v>1</v>
      </c>
      <c r="S165" s="11" t="s">
        <v>2651</v>
      </c>
    </row>
    <row r="166" spans="1:19" hidden="1" x14ac:dyDescent="0.15">
      <c r="A166" s="34">
        <v>165</v>
      </c>
      <c r="B166" s="35" t="s">
        <v>4881</v>
      </c>
      <c r="C166" s="36" t="s">
        <v>3176</v>
      </c>
      <c r="D166" s="11" t="s">
        <v>1518</v>
      </c>
      <c r="E166" s="11" t="s">
        <v>1744</v>
      </c>
      <c r="F166" s="11">
        <v>11</v>
      </c>
      <c r="G166" s="11" t="s">
        <v>2650</v>
      </c>
      <c r="H166" s="11" t="s">
        <v>2649</v>
      </c>
      <c r="I166" s="11" t="s">
        <v>339</v>
      </c>
      <c r="J166" s="11" t="s">
        <v>2564</v>
      </c>
      <c r="K166" s="11"/>
      <c r="L166" s="11"/>
      <c r="M166" s="11" t="s">
        <v>2595</v>
      </c>
      <c r="N166" s="11"/>
      <c r="O166" s="11"/>
      <c r="P166" s="11"/>
      <c r="Q166" s="11">
        <v>1</v>
      </c>
      <c r="R166" s="11">
        <v>3</v>
      </c>
      <c r="S166" s="11" t="s">
        <v>2595</v>
      </c>
    </row>
    <row r="167" spans="1:19" hidden="1" x14ac:dyDescent="0.15">
      <c r="A167" s="34">
        <v>166</v>
      </c>
      <c r="B167" s="35" t="s">
        <v>4881</v>
      </c>
      <c r="C167" s="36" t="s">
        <v>3176</v>
      </c>
      <c r="D167" s="11" t="s">
        <v>1518</v>
      </c>
      <c r="E167" s="11" t="s">
        <v>1744</v>
      </c>
      <c r="F167" s="11">
        <v>5</v>
      </c>
      <c r="G167" s="11" t="s">
        <v>2648</v>
      </c>
      <c r="H167" s="11" t="s">
        <v>2647</v>
      </c>
      <c r="I167" s="11" t="s">
        <v>339</v>
      </c>
      <c r="J167" s="11" t="s">
        <v>1479</v>
      </c>
      <c r="K167" s="11" t="s">
        <v>1529</v>
      </c>
      <c r="L167" s="11"/>
      <c r="M167" s="11"/>
      <c r="N167" s="11"/>
      <c r="O167" s="11"/>
      <c r="P167" s="11"/>
      <c r="Q167" s="11">
        <v>2</v>
      </c>
      <c r="R167" s="11">
        <v>1</v>
      </c>
      <c r="S167" s="11"/>
    </row>
    <row r="168" spans="1:19" hidden="1" x14ac:dyDescent="0.15">
      <c r="A168" s="34">
        <v>167</v>
      </c>
      <c r="B168" s="35" t="s">
        <v>4881</v>
      </c>
      <c r="C168" s="36" t="s">
        <v>3176</v>
      </c>
      <c r="D168" s="11" t="s">
        <v>1518</v>
      </c>
      <c r="E168" s="11" t="s">
        <v>1744</v>
      </c>
      <c r="F168" s="11">
        <v>7</v>
      </c>
      <c r="G168" s="11" t="s">
        <v>2646</v>
      </c>
      <c r="H168" s="11" t="s">
        <v>2645</v>
      </c>
      <c r="I168" s="11" t="s">
        <v>339</v>
      </c>
      <c r="J168" s="11" t="s">
        <v>1479</v>
      </c>
      <c r="K168" s="11" t="s">
        <v>1867</v>
      </c>
      <c r="L168" s="11"/>
      <c r="M168" s="11" t="s">
        <v>2644</v>
      </c>
      <c r="N168" s="11"/>
      <c r="O168" s="11"/>
      <c r="P168" s="11"/>
      <c r="Q168" s="11">
        <v>2</v>
      </c>
      <c r="R168" s="11">
        <v>2</v>
      </c>
      <c r="S168" s="11" t="s">
        <v>2644</v>
      </c>
    </row>
    <row r="169" spans="1:19" hidden="1" x14ac:dyDescent="0.15">
      <c r="A169" s="34">
        <v>168</v>
      </c>
      <c r="B169" s="35" t="s">
        <v>4881</v>
      </c>
      <c r="C169" s="36" t="s">
        <v>3176</v>
      </c>
      <c r="D169" s="11" t="s">
        <v>1518</v>
      </c>
      <c r="E169" s="11" t="s">
        <v>1744</v>
      </c>
      <c r="F169" s="11">
        <v>6</v>
      </c>
      <c r="G169" s="11" t="s">
        <v>2643</v>
      </c>
      <c r="H169" s="11" t="s">
        <v>2642</v>
      </c>
      <c r="I169" s="11" t="s">
        <v>339</v>
      </c>
      <c r="J169" s="11" t="s">
        <v>2407</v>
      </c>
      <c r="K169" s="11"/>
      <c r="L169" s="11"/>
      <c r="M169" s="11"/>
      <c r="N169" s="11"/>
      <c r="O169" s="11"/>
      <c r="P169" s="11"/>
      <c r="Q169" s="11">
        <v>2</v>
      </c>
      <c r="R169" s="11">
        <v>2</v>
      </c>
      <c r="S169" s="11"/>
    </row>
    <row r="170" spans="1:19" hidden="1" x14ac:dyDescent="0.15">
      <c r="A170" s="34">
        <v>169</v>
      </c>
      <c r="B170" s="35" t="s">
        <v>4881</v>
      </c>
      <c r="C170" s="36" t="s">
        <v>3176</v>
      </c>
      <c r="D170" s="11" t="s">
        <v>1518</v>
      </c>
      <c r="E170" s="11" t="s">
        <v>1744</v>
      </c>
      <c r="F170" s="11">
        <v>12</v>
      </c>
      <c r="G170" s="11" t="s">
        <v>2641</v>
      </c>
      <c r="H170" s="11" t="s">
        <v>2640</v>
      </c>
      <c r="I170" s="11" t="s">
        <v>339</v>
      </c>
      <c r="J170" s="11" t="s">
        <v>2575</v>
      </c>
      <c r="K170" s="11" t="s">
        <v>1493</v>
      </c>
      <c r="L170" s="11"/>
      <c r="M170" s="11" t="s">
        <v>3266</v>
      </c>
      <c r="N170" s="11"/>
      <c r="O170" s="11"/>
      <c r="P170" s="11"/>
      <c r="Q170" s="11">
        <v>2</v>
      </c>
      <c r="R170" s="11">
        <v>2</v>
      </c>
      <c r="S170" s="11" t="s">
        <v>3266</v>
      </c>
    </row>
    <row r="171" spans="1:19" hidden="1" x14ac:dyDescent="0.15">
      <c r="A171" s="34">
        <v>170</v>
      </c>
      <c r="B171" s="35" t="s">
        <v>4881</v>
      </c>
      <c r="C171" s="36" t="s">
        <v>3176</v>
      </c>
      <c r="D171" s="11" t="s">
        <v>1518</v>
      </c>
      <c r="E171" s="11" t="s">
        <v>1744</v>
      </c>
      <c r="F171" s="11">
        <v>8</v>
      </c>
      <c r="G171" s="11" t="s">
        <v>2639</v>
      </c>
      <c r="H171" s="11" t="s">
        <v>2638</v>
      </c>
      <c r="I171" s="11" t="s">
        <v>339</v>
      </c>
      <c r="J171" s="11" t="s">
        <v>2604</v>
      </c>
      <c r="K171" s="11"/>
      <c r="L171" s="11"/>
      <c r="M171" s="11" t="s">
        <v>2637</v>
      </c>
      <c r="N171" s="11"/>
      <c r="O171" s="11"/>
      <c r="P171" s="11"/>
      <c r="Q171" s="11">
        <v>2</v>
      </c>
      <c r="R171" s="11">
        <v>2</v>
      </c>
      <c r="S171" s="11" t="s">
        <v>2637</v>
      </c>
    </row>
    <row r="172" spans="1:19" hidden="1" x14ac:dyDescent="0.15">
      <c r="A172" s="34">
        <v>171</v>
      </c>
      <c r="B172" s="35" t="s">
        <v>4881</v>
      </c>
      <c r="C172" s="36" t="s">
        <v>3176</v>
      </c>
      <c r="D172" s="11" t="s">
        <v>1518</v>
      </c>
      <c r="E172" s="11" t="s">
        <v>1744</v>
      </c>
      <c r="F172" s="11">
        <v>7</v>
      </c>
      <c r="G172" s="11" t="s">
        <v>2636</v>
      </c>
      <c r="H172" s="11" t="s">
        <v>2635</v>
      </c>
      <c r="I172" s="11" t="s">
        <v>339</v>
      </c>
      <c r="J172" s="11" t="s">
        <v>1489</v>
      </c>
      <c r="K172" s="11" t="s">
        <v>2634</v>
      </c>
      <c r="L172" s="11"/>
      <c r="M172" s="11" t="s">
        <v>3267</v>
      </c>
      <c r="N172" s="11"/>
      <c r="O172" s="11"/>
      <c r="P172" s="11"/>
      <c r="Q172" s="11">
        <v>1</v>
      </c>
      <c r="R172" s="11">
        <v>1</v>
      </c>
      <c r="S172" s="11" t="s">
        <v>3267</v>
      </c>
    </row>
    <row r="173" spans="1:19" hidden="1" x14ac:dyDescent="0.15">
      <c r="A173" s="34">
        <v>172</v>
      </c>
      <c r="B173" s="35" t="s">
        <v>4881</v>
      </c>
      <c r="C173" s="36" t="s">
        <v>3176</v>
      </c>
      <c r="D173" s="11" t="s">
        <v>1518</v>
      </c>
      <c r="E173" s="11" t="s">
        <v>1744</v>
      </c>
      <c r="F173" s="11">
        <v>10</v>
      </c>
      <c r="G173" s="11" t="s">
        <v>2633</v>
      </c>
      <c r="H173" s="11" t="s">
        <v>2632</v>
      </c>
      <c r="I173" s="11" t="s">
        <v>339</v>
      </c>
      <c r="J173" s="11" t="s">
        <v>1479</v>
      </c>
      <c r="K173" s="11" t="s">
        <v>1867</v>
      </c>
      <c r="L173" s="11"/>
      <c r="M173" s="11" t="s">
        <v>2631</v>
      </c>
      <c r="N173" s="11"/>
      <c r="O173" s="11"/>
      <c r="P173" s="11"/>
      <c r="Q173" s="11">
        <v>2</v>
      </c>
      <c r="R173" s="11">
        <v>2</v>
      </c>
      <c r="S173" s="11" t="s">
        <v>2631</v>
      </c>
    </row>
    <row r="174" spans="1:19" hidden="1" x14ac:dyDescent="0.15">
      <c r="A174" s="34">
        <v>173</v>
      </c>
      <c r="B174" s="35" t="s">
        <v>4881</v>
      </c>
      <c r="C174" s="36" t="s">
        <v>3176</v>
      </c>
      <c r="D174" s="11" t="s">
        <v>1518</v>
      </c>
      <c r="E174" s="11" t="s">
        <v>1744</v>
      </c>
      <c r="F174" s="11">
        <v>1</v>
      </c>
      <c r="G174" s="11" t="s">
        <v>2630</v>
      </c>
      <c r="H174" s="11" t="s">
        <v>2629</v>
      </c>
      <c r="I174" s="11" t="s">
        <v>1453</v>
      </c>
      <c r="J174" s="11"/>
      <c r="K174" s="11"/>
      <c r="L174" s="11"/>
      <c r="M174" s="11" t="s">
        <v>2628</v>
      </c>
      <c r="N174" s="11"/>
      <c r="O174" s="11"/>
      <c r="P174" s="11"/>
      <c r="Q174" s="11"/>
      <c r="R174" s="11"/>
      <c r="S174" s="11" t="s">
        <v>2628</v>
      </c>
    </row>
    <row r="175" spans="1:19" hidden="1" x14ac:dyDescent="0.15">
      <c r="A175" s="34">
        <v>174</v>
      </c>
      <c r="B175" s="35" t="s">
        <v>4881</v>
      </c>
      <c r="C175" s="36" t="s">
        <v>3176</v>
      </c>
      <c r="D175" s="11" t="s">
        <v>1518</v>
      </c>
      <c r="E175" s="11" t="s">
        <v>1744</v>
      </c>
      <c r="F175" s="11">
        <v>9</v>
      </c>
      <c r="G175" s="11" t="s">
        <v>2627</v>
      </c>
      <c r="H175" s="11" t="s">
        <v>2626</v>
      </c>
      <c r="I175" s="11" t="s">
        <v>1453</v>
      </c>
      <c r="J175" s="11" t="s">
        <v>6306</v>
      </c>
      <c r="K175" s="11"/>
      <c r="L175" s="11"/>
      <c r="M175" s="11" t="s">
        <v>2625</v>
      </c>
      <c r="N175" s="11"/>
      <c r="O175" s="11"/>
      <c r="P175" s="11"/>
      <c r="Q175" s="11"/>
      <c r="R175" s="11"/>
      <c r="S175" s="11" t="s">
        <v>2625</v>
      </c>
    </row>
    <row r="176" spans="1:19" hidden="1" x14ac:dyDescent="0.15">
      <c r="A176" s="34">
        <v>175</v>
      </c>
      <c r="B176" s="35" t="s">
        <v>4881</v>
      </c>
      <c r="C176" s="36" t="s">
        <v>3176</v>
      </c>
      <c r="D176" s="11" t="s">
        <v>1518</v>
      </c>
      <c r="E176" s="11" t="s">
        <v>1744</v>
      </c>
      <c r="F176" s="11">
        <v>6</v>
      </c>
      <c r="G176" s="11" t="s">
        <v>2624</v>
      </c>
      <c r="H176" s="11" t="s">
        <v>2623</v>
      </c>
      <c r="I176" s="11" t="s">
        <v>1453</v>
      </c>
      <c r="J176" s="11"/>
      <c r="K176" s="11"/>
      <c r="L176" s="11"/>
      <c r="M176" s="11" t="s">
        <v>2622</v>
      </c>
      <c r="N176" s="11"/>
      <c r="O176" s="11"/>
      <c r="P176" s="11"/>
      <c r="Q176" s="11"/>
      <c r="R176" s="11"/>
      <c r="S176" s="11" t="s">
        <v>2622</v>
      </c>
    </row>
    <row r="177" spans="1:19" hidden="1" x14ac:dyDescent="0.15">
      <c r="A177" s="34">
        <v>176</v>
      </c>
      <c r="B177" s="35" t="s">
        <v>4881</v>
      </c>
      <c r="C177" s="36" t="s">
        <v>3176</v>
      </c>
      <c r="D177" s="11" t="s">
        <v>1518</v>
      </c>
      <c r="E177" s="11" t="s">
        <v>1744</v>
      </c>
      <c r="F177" s="11">
        <v>8</v>
      </c>
      <c r="G177" s="11" t="s">
        <v>2621</v>
      </c>
      <c r="H177" s="11" t="s">
        <v>2620</v>
      </c>
      <c r="I177" s="11" t="s">
        <v>1453</v>
      </c>
      <c r="J177" s="11"/>
      <c r="K177" s="11"/>
      <c r="L177" s="11"/>
      <c r="M177" s="11" t="s">
        <v>2619</v>
      </c>
      <c r="N177" s="11"/>
      <c r="O177" s="11"/>
      <c r="P177" s="11"/>
      <c r="Q177" s="11"/>
      <c r="R177" s="11"/>
      <c r="S177" s="11" t="s">
        <v>2619</v>
      </c>
    </row>
    <row r="178" spans="1:19" hidden="1" x14ac:dyDescent="0.15">
      <c r="A178" s="34">
        <v>177</v>
      </c>
      <c r="B178" s="35" t="s">
        <v>4881</v>
      </c>
      <c r="C178" s="36" t="s">
        <v>3176</v>
      </c>
      <c r="D178" s="11" t="s">
        <v>1518</v>
      </c>
      <c r="E178" s="11" t="s">
        <v>1744</v>
      </c>
      <c r="F178" s="11">
        <v>3</v>
      </c>
      <c r="G178" s="11" t="s">
        <v>2618</v>
      </c>
      <c r="H178" s="11" t="s">
        <v>2617</v>
      </c>
      <c r="I178" s="11" t="s">
        <v>288</v>
      </c>
      <c r="J178" s="11"/>
      <c r="K178" s="11"/>
      <c r="L178" s="11"/>
      <c r="M178" s="11" t="s">
        <v>2616</v>
      </c>
      <c r="N178" s="11"/>
      <c r="O178" s="11"/>
      <c r="P178" s="11">
        <v>3</v>
      </c>
      <c r="Q178" s="11"/>
      <c r="R178" s="11"/>
      <c r="S178" s="11" t="s">
        <v>2616</v>
      </c>
    </row>
    <row r="179" spans="1:19" hidden="1" x14ac:dyDescent="0.15">
      <c r="A179" s="34">
        <v>178</v>
      </c>
      <c r="B179" s="35" t="s">
        <v>4881</v>
      </c>
      <c r="C179" s="36" t="s">
        <v>3176</v>
      </c>
      <c r="D179" s="11" t="s">
        <v>1518</v>
      </c>
      <c r="E179" s="11" t="s">
        <v>1451</v>
      </c>
      <c r="F179" s="11">
        <v>11</v>
      </c>
      <c r="G179" s="11" t="s">
        <v>2615</v>
      </c>
      <c r="H179" s="11" t="s">
        <v>2614</v>
      </c>
      <c r="I179" s="11" t="s">
        <v>339</v>
      </c>
      <c r="J179" s="11" t="s">
        <v>2613</v>
      </c>
      <c r="K179" s="11"/>
      <c r="L179" s="11"/>
      <c r="M179" s="11" t="s">
        <v>2612</v>
      </c>
      <c r="N179" s="11"/>
      <c r="O179" s="11"/>
      <c r="P179" s="11"/>
      <c r="Q179" s="11">
        <v>4</v>
      </c>
      <c r="R179" s="11">
        <v>4</v>
      </c>
      <c r="S179" s="11" t="s">
        <v>2612</v>
      </c>
    </row>
    <row r="180" spans="1:19" hidden="1" x14ac:dyDescent="0.15">
      <c r="A180" s="34">
        <v>179</v>
      </c>
      <c r="B180" s="35" t="s">
        <v>4881</v>
      </c>
      <c r="C180" s="36" t="s">
        <v>3176</v>
      </c>
      <c r="D180" s="11" t="s">
        <v>1518</v>
      </c>
      <c r="E180" s="11" t="s">
        <v>1451</v>
      </c>
      <c r="F180" s="11">
        <v>13</v>
      </c>
      <c r="G180" s="11" t="s">
        <v>2611</v>
      </c>
      <c r="H180" s="11" t="s">
        <v>2610</v>
      </c>
      <c r="I180" s="11" t="s">
        <v>339</v>
      </c>
      <c r="J180" s="11" t="s">
        <v>1479</v>
      </c>
      <c r="K180" s="11" t="s">
        <v>1493</v>
      </c>
      <c r="L180" s="11"/>
      <c r="M180" s="11" t="s">
        <v>1944</v>
      </c>
      <c r="N180" s="11" t="s">
        <v>3268</v>
      </c>
      <c r="O180" s="11"/>
      <c r="P180" s="11"/>
      <c r="Q180" s="11">
        <v>4</v>
      </c>
      <c r="R180" s="11">
        <v>4</v>
      </c>
      <c r="S180" s="11" t="s">
        <v>3269</v>
      </c>
    </row>
    <row r="181" spans="1:19" hidden="1" x14ac:dyDescent="0.15">
      <c r="A181" s="34">
        <v>180</v>
      </c>
      <c r="B181" s="35" t="s">
        <v>4881</v>
      </c>
      <c r="C181" s="36" t="s">
        <v>3176</v>
      </c>
      <c r="D181" s="11" t="s">
        <v>1518</v>
      </c>
      <c r="E181" s="11" t="s">
        <v>1451</v>
      </c>
      <c r="F181" s="11">
        <v>11</v>
      </c>
      <c r="G181" s="11" t="s">
        <v>2609</v>
      </c>
      <c r="H181" s="11" t="s">
        <v>2608</v>
      </c>
      <c r="I181" s="11" t="s">
        <v>339</v>
      </c>
      <c r="J181" s="11" t="s">
        <v>2607</v>
      </c>
      <c r="K181" s="11" t="s">
        <v>1493</v>
      </c>
      <c r="L181" s="11"/>
      <c r="M181" s="11" t="s">
        <v>3270</v>
      </c>
      <c r="N181" s="11"/>
      <c r="O181" s="11"/>
      <c r="P181" s="11"/>
      <c r="Q181" s="11">
        <v>4</v>
      </c>
      <c r="R181" s="11">
        <v>4</v>
      </c>
      <c r="S181" s="11" t="s">
        <v>3270</v>
      </c>
    </row>
    <row r="182" spans="1:19" hidden="1" x14ac:dyDescent="0.15">
      <c r="A182" s="34">
        <v>181</v>
      </c>
      <c r="B182" s="35" t="s">
        <v>4881</v>
      </c>
      <c r="C182" s="36" t="s">
        <v>3176</v>
      </c>
      <c r="D182" s="11" t="s">
        <v>1518</v>
      </c>
      <c r="E182" s="11" t="s">
        <v>1451</v>
      </c>
      <c r="F182" s="11">
        <v>11</v>
      </c>
      <c r="G182" s="11" t="s">
        <v>2606</v>
      </c>
      <c r="H182" s="11" t="s">
        <v>2605</v>
      </c>
      <c r="I182" s="11" t="s">
        <v>339</v>
      </c>
      <c r="J182" s="11" t="s">
        <v>2604</v>
      </c>
      <c r="K182" s="11"/>
      <c r="L182" s="11"/>
      <c r="M182" s="11" t="s">
        <v>2603</v>
      </c>
      <c r="N182" s="11"/>
      <c r="O182" s="11"/>
      <c r="P182" s="11"/>
      <c r="Q182" s="11">
        <v>5</v>
      </c>
      <c r="R182" s="11">
        <v>3</v>
      </c>
      <c r="S182" s="11" t="s">
        <v>2603</v>
      </c>
    </row>
    <row r="183" spans="1:19" hidden="1" x14ac:dyDescent="0.15">
      <c r="A183" s="34">
        <v>182</v>
      </c>
      <c r="B183" s="35" t="s">
        <v>4881</v>
      </c>
      <c r="C183" s="36" t="s">
        <v>3176</v>
      </c>
      <c r="D183" s="11" t="s">
        <v>1518</v>
      </c>
      <c r="E183" s="11" t="s">
        <v>1451</v>
      </c>
      <c r="F183" s="11">
        <v>10</v>
      </c>
      <c r="G183" s="11" t="s">
        <v>2602</v>
      </c>
      <c r="H183" s="11" t="s">
        <v>2601</v>
      </c>
      <c r="I183" s="11" t="s">
        <v>339</v>
      </c>
      <c r="J183" s="11" t="s">
        <v>1479</v>
      </c>
      <c r="K183" s="11"/>
      <c r="L183" s="11"/>
      <c r="M183" s="11" t="s">
        <v>2600</v>
      </c>
      <c r="N183" s="11"/>
      <c r="O183" s="11"/>
      <c r="P183" s="11"/>
      <c r="Q183" s="11">
        <v>4</v>
      </c>
      <c r="R183" s="11">
        <v>4</v>
      </c>
      <c r="S183" s="11" t="s">
        <v>2600</v>
      </c>
    </row>
    <row r="184" spans="1:19" hidden="1" x14ac:dyDescent="0.15">
      <c r="A184" s="34">
        <v>183</v>
      </c>
      <c r="B184" s="35" t="s">
        <v>4881</v>
      </c>
      <c r="C184" s="36" t="s">
        <v>3176</v>
      </c>
      <c r="D184" s="11" t="s">
        <v>1518</v>
      </c>
      <c r="E184" s="11" t="s">
        <v>1451</v>
      </c>
      <c r="F184" s="11">
        <v>13</v>
      </c>
      <c r="G184" s="11" t="s">
        <v>4873</v>
      </c>
      <c r="H184" s="11" t="s">
        <v>2599</v>
      </c>
      <c r="I184" s="11" t="s">
        <v>339</v>
      </c>
      <c r="J184" s="11" t="s">
        <v>2598</v>
      </c>
      <c r="K184" s="11"/>
      <c r="L184" s="11"/>
      <c r="M184" s="11" t="s">
        <v>3271</v>
      </c>
      <c r="N184" s="11"/>
      <c r="O184" s="11"/>
      <c r="P184" s="11"/>
      <c r="Q184" s="11">
        <v>4</v>
      </c>
      <c r="R184" s="11">
        <v>4</v>
      </c>
      <c r="S184" s="11" t="s">
        <v>3271</v>
      </c>
    </row>
    <row r="185" spans="1:19" hidden="1" x14ac:dyDescent="0.15">
      <c r="A185" s="34">
        <v>184</v>
      </c>
      <c r="B185" s="35" t="s">
        <v>4881</v>
      </c>
      <c r="C185" s="36" t="s">
        <v>3176</v>
      </c>
      <c r="D185" s="11" t="s">
        <v>1518</v>
      </c>
      <c r="E185" s="11" t="s">
        <v>1451</v>
      </c>
      <c r="F185" s="11">
        <v>11</v>
      </c>
      <c r="G185" s="11" t="s">
        <v>2597</v>
      </c>
      <c r="H185" s="11" t="s">
        <v>2596</v>
      </c>
      <c r="I185" s="11" t="s">
        <v>339</v>
      </c>
      <c r="J185" s="11" t="s">
        <v>338</v>
      </c>
      <c r="K185" s="11"/>
      <c r="L185" s="11"/>
      <c r="M185" s="11" t="s">
        <v>2595</v>
      </c>
      <c r="N185" s="11"/>
      <c r="O185" s="11"/>
      <c r="P185" s="11"/>
      <c r="Q185" s="11">
        <v>3</v>
      </c>
      <c r="R185" s="11">
        <v>4</v>
      </c>
      <c r="S185" s="11" t="s">
        <v>2595</v>
      </c>
    </row>
    <row r="186" spans="1:19" hidden="1" x14ac:dyDescent="0.15">
      <c r="A186" s="34">
        <v>185</v>
      </c>
      <c r="B186" s="35" t="s">
        <v>4881</v>
      </c>
      <c r="C186" s="36" t="s">
        <v>3176</v>
      </c>
      <c r="D186" s="11" t="s">
        <v>1518</v>
      </c>
      <c r="E186" s="11" t="s">
        <v>1451</v>
      </c>
      <c r="F186" s="11">
        <v>6</v>
      </c>
      <c r="G186" s="11" t="s">
        <v>2594</v>
      </c>
      <c r="H186" s="11" t="s">
        <v>2593</v>
      </c>
      <c r="I186" s="11" t="s">
        <v>1453</v>
      </c>
      <c r="J186" s="11"/>
      <c r="K186" s="11"/>
      <c r="L186" s="11"/>
      <c r="M186" s="11" t="s">
        <v>3272</v>
      </c>
      <c r="N186" s="11" t="s">
        <v>3273</v>
      </c>
      <c r="O186" s="11" t="s">
        <v>3274</v>
      </c>
      <c r="P186" s="11"/>
      <c r="Q186" s="11"/>
      <c r="R186" s="11"/>
      <c r="S186" s="11" t="s">
        <v>2592</v>
      </c>
    </row>
    <row r="187" spans="1:19" hidden="1" x14ac:dyDescent="0.15">
      <c r="A187" s="34">
        <v>186</v>
      </c>
      <c r="B187" s="35" t="s">
        <v>4881</v>
      </c>
      <c r="C187" s="36" t="s">
        <v>3176</v>
      </c>
      <c r="D187" s="11" t="s">
        <v>1518</v>
      </c>
      <c r="E187" s="11" t="s">
        <v>1451</v>
      </c>
      <c r="F187" s="11">
        <v>3</v>
      </c>
      <c r="G187" s="11" t="s">
        <v>2591</v>
      </c>
      <c r="H187" s="11" t="s">
        <v>2590</v>
      </c>
      <c r="I187" s="11" t="s">
        <v>1453</v>
      </c>
      <c r="J187" s="11"/>
      <c r="K187" s="11"/>
      <c r="L187" s="11"/>
      <c r="M187" s="11" t="s">
        <v>2589</v>
      </c>
      <c r="N187" s="11"/>
      <c r="O187" s="11"/>
      <c r="P187" s="11"/>
      <c r="Q187" s="11"/>
      <c r="R187" s="11"/>
      <c r="S187" s="11" t="s">
        <v>2589</v>
      </c>
    </row>
    <row r="188" spans="1:19" hidden="1" x14ac:dyDescent="0.15">
      <c r="A188" s="34">
        <v>187</v>
      </c>
      <c r="B188" s="35" t="s">
        <v>4881</v>
      </c>
      <c r="C188" s="36" t="s">
        <v>3176</v>
      </c>
      <c r="D188" s="11" t="s">
        <v>1518</v>
      </c>
      <c r="E188" s="11" t="s">
        <v>1451</v>
      </c>
      <c r="F188" s="11">
        <v>6</v>
      </c>
      <c r="G188" s="11" t="s">
        <v>2588</v>
      </c>
      <c r="H188" s="11" t="s">
        <v>2587</v>
      </c>
      <c r="I188" s="11" t="s">
        <v>1453</v>
      </c>
      <c r="J188" s="11"/>
      <c r="K188" s="11"/>
      <c r="L188" s="11"/>
      <c r="M188" s="11" t="s">
        <v>2586</v>
      </c>
      <c r="N188" s="11"/>
      <c r="O188" s="11"/>
      <c r="P188" s="11"/>
      <c r="Q188" s="11"/>
      <c r="R188" s="11"/>
      <c r="S188" s="11" t="s">
        <v>2586</v>
      </c>
    </row>
    <row r="189" spans="1:19" hidden="1" x14ac:dyDescent="0.15">
      <c r="A189" s="34">
        <v>188</v>
      </c>
      <c r="B189" s="35" t="s">
        <v>4881</v>
      </c>
      <c r="C189" s="36" t="s">
        <v>3176</v>
      </c>
      <c r="D189" s="11" t="s">
        <v>1518</v>
      </c>
      <c r="E189" s="11" t="s">
        <v>1451</v>
      </c>
      <c r="F189" s="11">
        <v>6</v>
      </c>
      <c r="G189" s="11" t="s">
        <v>2585</v>
      </c>
      <c r="H189" s="11" t="s">
        <v>2584</v>
      </c>
      <c r="I189" s="11" t="s">
        <v>1453</v>
      </c>
      <c r="J189" s="11"/>
      <c r="K189" s="11"/>
      <c r="L189" s="11"/>
      <c r="M189" s="11" t="s">
        <v>2583</v>
      </c>
      <c r="N189" s="11"/>
      <c r="O189" s="11"/>
      <c r="P189" s="11"/>
      <c r="Q189" s="11"/>
      <c r="R189" s="11"/>
      <c r="S189" s="11" t="s">
        <v>2583</v>
      </c>
    </row>
    <row r="190" spans="1:19" hidden="1" x14ac:dyDescent="0.15">
      <c r="A190" s="34">
        <v>189</v>
      </c>
      <c r="B190" s="35" t="s">
        <v>4881</v>
      </c>
      <c r="C190" s="36" t="s">
        <v>3176</v>
      </c>
      <c r="D190" s="11" t="s">
        <v>1518</v>
      </c>
      <c r="E190" s="11" t="s">
        <v>1451</v>
      </c>
      <c r="F190" s="11">
        <v>5</v>
      </c>
      <c r="G190" s="11" t="s">
        <v>2582</v>
      </c>
      <c r="H190" s="11" t="s">
        <v>2581</v>
      </c>
      <c r="I190" s="11" t="s">
        <v>288</v>
      </c>
      <c r="J190" s="11"/>
      <c r="K190" s="11"/>
      <c r="L190" s="11"/>
      <c r="M190" s="11" t="s">
        <v>2580</v>
      </c>
      <c r="N190" s="11"/>
      <c r="O190" s="11"/>
      <c r="P190" s="11">
        <v>2</v>
      </c>
      <c r="Q190" s="11"/>
      <c r="R190" s="11"/>
      <c r="S190" s="11" t="s">
        <v>2580</v>
      </c>
    </row>
    <row r="191" spans="1:19" hidden="1" x14ac:dyDescent="0.15">
      <c r="A191" s="34">
        <v>190</v>
      </c>
      <c r="B191" s="35" t="s">
        <v>4881</v>
      </c>
      <c r="C191" s="36" t="s">
        <v>3176</v>
      </c>
      <c r="D191" s="11" t="s">
        <v>1518</v>
      </c>
      <c r="E191" s="11" t="s">
        <v>1441</v>
      </c>
      <c r="F191" s="11">
        <v>14</v>
      </c>
      <c r="G191" s="11" t="s">
        <v>2579</v>
      </c>
      <c r="H191" s="11" t="s">
        <v>2578</v>
      </c>
      <c r="I191" s="11" t="s">
        <v>339</v>
      </c>
      <c r="J191" s="11" t="s">
        <v>1479</v>
      </c>
      <c r="K191" s="11" t="s">
        <v>1493</v>
      </c>
      <c r="L191" s="11"/>
      <c r="M191" s="11" t="s">
        <v>1944</v>
      </c>
      <c r="N191" s="11" t="s">
        <v>3275</v>
      </c>
      <c r="O191" s="11"/>
      <c r="P191" s="11"/>
      <c r="Q191" s="11">
        <v>5</v>
      </c>
      <c r="R191" s="11">
        <v>6</v>
      </c>
      <c r="S191" s="11" t="s">
        <v>3276</v>
      </c>
    </row>
    <row r="192" spans="1:19" hidden="1" x14ac:dyDescent="0.15">
      <c r="A192" s="34">
        <v>191</v>
      </c>
      <c r="B192" s="35" t="s">
        <v>4881</v>
      </c>
      <c r="C192" s="36" t="s">
        <v>3176</v>
      </c>
      <c r="D192" s="11" t="s">
        <v>1518</v>
      </c>
      <c r="E192" s="11" t="s">
        <v>1441</v>
      </c>
      <c r="F192" s="11">
        <v>7</v>
      </c>
      <c r="G192" s="11" t="s">
        <v>2577</v>
      </c>
      <c r="H192" s="11" t="s">
        <v>2576</v>
      </c>
      <c r="I192" s="11" t="s">
        <v>339</v>
      </c>
      <c r="J192" s="11" t="s">
        <v>2575</v>
      </c>
      <c r="K192" s="11" t="s">
        <v>1867</v>
      </c>
      <c r="L192" s="11"/>
      <c r="M192" s="11" t="s">
        <v>3277</v>
      </c>
      <c r="N192" s="11" t="s">
        <v>3278</v>
      </c>
      <c r="O192" s="11"/>
      <c r="P192" s="11"/>
      <c r="Q192" s="11">
        <v>4</v>
      </c>
      <c r="R192" s="11">
        <v>4</v>
      </c>
      <c r="S192" s="11" t="s">
        <v>2574</v>
      </c>
    </row>
    <row r="193" spans="1:19" hidden="1" x14ac:dyDescent="0.15">
      <c r="A193" s="34">
        <v>192</v>
      </c>
      <c r="B193" s="35" t="s">
        <v>4881</v>
      </c>
      <c r="C193" s="36" t="s">
        <v>3176</v>
      </c>
      <c r="D193" s="11" t="s">
        <v>1518</v>
      </c>
      <c r="E193" s="11" t="s">
        <v>1441</v>
      </c>
      <c r="F193" s="11">
        <v>6</v>
      </c>
      <c r="G193" s="11" t="s">
        <v>2573</v>
      </c>
      <c r="H193" s="11" t="s">
        <v>2572</v>
      </c>
      <c r="I193" s="11" t="s">
        <v>339</v>
      </c>
      <c r="J193" s="11" t="s">
        <v>1489</v>
      </c>
      <c r="K193" s="11" t="s">
        <v>1529</v>
      </c>
      <c r="L193" s="11"/>
      <c r="M193" s="11" t="s">
        <v>3181</v>
      </c>
      <c r="N193" s="11" t="s">
        <v>3279</v>
      </c>
      <c r="O193" s="11"/>
      <c r="P193" s="11"/>
      <c r="Q193" s="11">
        <v>2</v>
      </c>
      <c r="R193" s="11">
        <v>2</v>
      </c>
      <c r="S193" s="11" t="s">
        <v>3280</v>
      </c>
    </row>
    <row r="194" spans="1:19" hidden="1" x14ac:dyDescent="0.15">
      <c r="A194" s="34">
        <v>193</v>
      </c>
      <c r="B194" s="35" t="s">
        <v>4881</v>
      </c>
      <c r="C194" s="36" t="s">
        <v>3176</v>
      </c>
      <c r="D194" s="11" t="s">
        <v>1518</v>
      </c>
      <c r="E194" s="11" t="s">
        <v>1441</v>
      </c>
      <c r="F194" s="11">
        <v>8</v>
      </c>
      <c r="G194" s="11" t="s">
        <v>2571</v>
      </c>
      <c r="H194" s="11" t="s">
        <v>2570</v>
      </c>
      <c r="I194" s="11" t="s">
        <v>339</v>
      </c>
      <c r="J194" s="11" t="s">
        <v>1863</v>
      </c>
      <c r="K194" s="11"/>
      <c r="L194" s="11"/>
      <c r="M194" s="11" t="s">
        <v>1707</v>
      </c>
      <c r="N194" s="11" t="s">
        <v>3281</v>
      </c>
      <c r="O194" s="11"/>
      <c r="P194" s="11"/>
      <c r="Q194" s="11">
        <v>3</v>
      </c>
      <c r="R194" s="11">
        <v>3</v>
      </c>
      <c r="S194" s="11" t="s">
        <v>3282</v>
      </c>
    </row>
    <row r="195" spans="1:19" hidden="1" x14ac:dyDescent="0.15">
      <c r="A195" s="34">
        <v>194</v>
      </c>
      <c r="B195" s="35" t="s">
        <v>4881</v>
      </c>
      <c r="C195" s="36" t="s">
        <v>3176</v>
      </c>
      <c r="D195" s="11" t="s">
        <v>1518</v>
      </c>
      <c r="E195" s="11" t="s">
        <v>1441</v>
      </c>
      <c r="F195" s="11">
        <v>15</v>
      </c>
      <c r="G195" s="11" t="s">
        <v>2569</v>
      </c>
      <c r="H195" s="11" t="s">
        <v>2568</v>
      </c>
      <c r="I195" s="11" t="s">
        <v>339</v>
      </c>
      <c r="J195" s="11" t="s">
        <v>2049</v>
      </c>
      <c r="K195" s="11"/>
      <c r="L195" s="11"/>
      <c r="M195" s="11" t="s">
        <v>2567</v>
      </c>
      <c r="N195" s="11"/>
      <c r="O195" s="11"/>
      <c r="P195" s="11"/>
      <c r="Q195" s="11">
        <v>6</v>
      </c>
      <c r="R195" s="11">
        <v>6</v>
      </c>
      <c r="S195" s="11" t="s">
        <v>2567</v>
      </c>
    </row>
    <row r="196" spans="1:19" hidden="1" x14ac:dyDescent="0.15">
      <c r="A196" s="34">
        <v>195</v>
      </c>
      <c r="B196" s="35" t="s">
        <v>4881</v>
      </c>
      <c r="C196" s="36" t="s">
        <v>3176</v>
      </c>
      <c r="D196" s="11" t="s">
        <v>1518</v>
      </c>
      <c r="E196" s="11" t="s">
        <v>1441</v>
      </c>
      <c r="F196" s="11">
        <v>16</v>
      </c>
      <c r="G196" s="11" t="s">
        <v>2566</v>
      </c>
      <c r="H196" s="11" t="s">
        <v>2565</v>
      </c>
      <c r="I196" s="11" t="s">
        <v>339</v>
      </c>
      <c r="J196" s="11" t="s">
        <v>2564</v>
      </c>
      <c r="K196" s="11"/>
      <c r="L196" s="11"/>
      <c r="M196" s="11" t="s">
        <v>1944</v>
      </c>
      <c r="N196" s="11"/>
      <c r="O196" s="11"/>
      <c r="P196" s="11"/>
      <c r="Q196" s="11">
        <v>6</v>
      </c>
      <c r="R196" s="11">
        <v>6</v>
      </c>
      <c r="S196" s="11" t="s">
        <v>1944</v>
      </c>
    </row>
    <row r="197" spans="1:19" hidden="1" x14ac:dyDescent="0.15">
      <c r="A197" s="34">
        <v>196</v>
      </c>
      <c r="B197" s="35" t="s">
        <v>4881</v>
      </c>
      <c r="C197" s="36" t="s">
        <v>3176</v>
      </c>
      <c r="D197" s="11" t="s">
        <v>1518</v>
      </c>
      <c r="E197" s="11" t="s">
        <v>1441</v>
      </c>
      <c r="F197" s="11">
        <v>5</v>
      </c>
      <c r="G197" s="11" t="s">
        <v>2563</v>
      </c>
      <c r="H197" s="11" t="s">
        <v>2562</v>
      </c>
      <c r="I197" s="11" t="s">
        <v>1453</v>
      </c>
      <c r="J197" s="11"/>
      <c r="K197" s="11"/>
      <c r="L197" s="11"/>
      <c r="M197" s="11" t="s">
        <v>3283</v>
      </c>
      <c r="N197" s="11" t="s">
        <v>3284</v>
      </c>
      <c r="O197" s="11"/>
      <c r="P197" s="11"/>
      <c r="Q197" s="11"/>
      <c r="R197" s="11"/>
      <c r="S197" s="11" t="s">
        <v>2561</v>
      </c>
    </row>
    <row r="198" spans="1:19" hidden="1" x14ac:dyDescent="0.15">
      <c r="A198" s="34">
        <v>197</v>
      </c>
      <c r="B198" s="35" t="s">
        <v>4881</v>
      </c>
      <c r="C198" s="36" t="s">
        <v>3176</v>
      </c>
      <c r="D198" s="11" t="s">
        <v>1518</v>
      </c>
      <c r="E198" s="11" t="s">
        <v>1441</v>
      </c>
      <c r="F198" s="11">
        <v>14</v>
      </c>
      <c r="G198" s="11" t="s">
        <v>2560</v>
      </c>
      <c r="H198" s="11" t="s">
        <v>2559</v>
      </c>
      <c r="I198" s="11" t="s">
        <v>1453</v>
      </c>
      <c r="J198" s="11"/>
      <c r="K198" s="11"/>
      <c r="L198" s="11"/>
      <c r="M198" s="11" t="s">
        <v>2558</v>
      </c>
      <c r="N198" s="11"/>
      <c r="O198" s="11"/>
      <c r="P198" s="11"/>
      <c r="Q198" s="11"/>
      <c r="R198" s="11"/>
      <c r="S198" s="11" t="s">
        <v>2558</v>
      </c>
    </row>
    <row r="199" spans="1:19" hidden="1" x14ac:dyDescent="0.15">
      <c r="A199" s="34">
        <v>198</v>
      </c>
      <c r="B199" s="35" t="s">
        <v>4881</v>
      </c>
      <c r="C199" s="36" t="s">
        <v>3176</v>
      </c>
      <c r="D199" s="11" t="s">
        <v>1518</v>
      </c>
      <c r="E199" s="11" t="s">
        <v>1441</v>
      </c>
      <c r="F199" s="11">
        <v>7</v>
      </c>
      <c r="G199" s="11" t="s">
        <v>2557</v>
      </c>
      <c r="H199" s="11" t="s">
        <v>2556</v>
      </c>
      <c r="I199" s="11" t="s">
        <v>288</v>
      </c>
      <c r="J199" s="11"/>
      <c r="K199" s="11"/>
      <c r="L199" s="11"/>
      <c r="M199" s="11" t="s">
        <v>2555</v>
      </c>
      <c r="N199" s="11"/>
      <c r="O199" s="11"/>
      <c r="P199" s="11">
        <v>4</v>
      </c>
      <c r="Q199" s="11"/>
      <c r="R199" s="11"/>
      <c r="S199" s="11" t="s">
        <v>2555</v>
      </c>
    </row>
    <row r="200" spans="1:19" hidden="1" x14ac:dyDescent="0.15">
      <c r="A200" s="34">
        <v>199</v>
      </c>
      <c r="B200" s="35" t="s">
        <v>4881</v>
      </c>
      <c r="C200" s="36" t="s">
        <v>3176</v>
      </c>
      <c r="D200" s="11" t="s">
        <v>1518</v>
      </c>
      <c r="E200" s="11" t="s">
        <v>1431</v>
      </c>
      <c r="F200" s="11">
        <v>23</v>
      </c>
      <c r="G200" s="11" t="s">
        <v>2554</v>
      </c>
      <c r="H200" s="11" t="s">
        <v>2553</v>
      </c>
      <c r="I200" s="11" t="s">
        <v>339</v>
      </c>
      <c r="J200" s="11" t="s">
        <v>1537</v>
      </c>
      <c r="K200" s="11"/>
      <c r="L200" s="11"/>
      <c r="M200" s="11" t="s">
        <v>3285</v>
      </c>
      <c r="N200" s="11"/>
      <c r="O200" s="11"/>
      <c r="P200" s="11"/>
      <c r="Q200" s="11">
        <v>9</v>
      </c>
      <c r="R200" s="11">
        <v>16</v>
      </c>
      <c r="S200" s="11" t="s">
        <v>3285</v>
      </c>
    </row>
    <row r="201" spans="1:19" hidden="1" x14ac:dyDescent="0.15">
      <c r="A201" s="34">
        <v>200</v>
      </c>
      <c r="B201" s="35" t="s">
        <v>4881</v>
      </c>
      <c r="C201" s="36" t="s">
        <v>3176</v>
      </c>
      <c r="D201" s="11" t="s">
        <v>1518</v>
      </c>
      <c r="E201" s="11" t="s">
        <v>1431</v>
      </c>
      <c r="F201" s="11">
        <v>16</v>
      </c>
      <c r="G201" s="11" t="s">
        <v>2552</v>
      </c>
      <c r="H201" s="11" t="s">
        <v>5606</v>
      </c>
      <c r="I201" s="11" t="s">
        <v>339</v>
      </c>
      <c r="J201" s="11" t="s">
        <v>357</v>
      </c>
      <c r="K201" s="11"/>
      <c r="L201" s="11"/>
      <c r="M201" s="11" t="s">
        <v>2550</v>
      </c>
      <c r="N201" s="11"/>
      <c r="O201" s="11"/>
      <c r="P201" s="11"/>
      <c r="Q201" s="11">
        <v>8</v>
      </c>
      <c r="R201" s="11">
        <v>7</v>
      </c>
      <c r="S201" s="11" t="s">
        <v>2550</v>
      </c>
    </row>
    <row r="202" spans="1:19" hidden="1" x14ac:dyDescent="0.15">
      <c r="A202" s="34">
        <v>201</v>
      </c>
      <c r="B202" s="35" t="s">
        <v>4881</v>
      </c>
      <c r="C202" s="36" t="s">
        <v>3176</v>
      </c>
      <c r="D202" s="11" t="s">
        <v>1518</v>
      </c>
      <c r="E202" s="11" t="s">
        <v>1431</v>
      </c>
      <c r="F202" s="11">
        <v>13</v>
      </c>
      <c r="G202" s="11" t="s">
        <v>2549</v>
      </c>
      <c r="H202" s="11" t="s">
        <v>2548</v>
      </c>
      <c r="I202" s="11" t="s">
        <v>1453</v>
      </c>
      <c r="J202" s="11"/>
      <c r="K202" s="11"/>
      <c r="L202" s="11"/>
      <c r="M202" s="11" t="s">
        <v>3286</v>
      </c>
      <c r="N202" s="11" t="s">
        <v>3287</v>
      </c>
      <c r="O202" s="11"/>
      <c r="P202" s="11"/>
      <c r="Q202" s="11"/>
      <c r="R202" s="11"/>
      <c r="S202" s="11" t="s">
        <v>2547</v>
      </c>
    </row>
    <row r="203" spans="1:19" hidden="1" x14ac:dyDescent="0.15">
      <c r="A203" s="34">
        <v>202</v>
      </c>
      <c r="B203" s="35" t="s">
        <v>4881</v>
      </c>
      <c r="C203" s="36" t="s">
        <v>3176</v>
      </c>
      <c r="D203" s="11" t="s">
        <v>1518</v>
      </c>
      <c r="E203" s="11" t="s">
        <v>1431</v>
      </c>
      <c r="F203" s="11">
        <v>15</v>
      </c>
      <c r="G203" s="11" t="s">
        <v>2546</v>
      </c>
      <c r="H203" s="11" t="s">
        <v>2545</v>
      </c>
      <c r="I203" s="11" t="s">
        <v>1453</v>
      </c>
      <c r="J203" s="11"/>
      <c r="K203" s="11"/>
      <c r="L203" s="11"/>
      <c r="M203" s="11" t="s">
        <v>2544</v>
      </c>
      <c r="N203" s="11"/>
      <c r="O203" s="11"/>
      <c r="P203" s="11"/>
      <c r="Q203" s="11"/>
      <c r="R203" s="11"/>
      <c r="S203" s="11" t="s">
        <v>2544</v>
      </c>
    </row>
    <row r="204" spans="1:19" hidden="1" x14ac:dyDescent="0.15">
      <c r="A204" s="34">
        <v>203</v>
      </c>
      <c r="B204" s="35" t="s">
        <v>4881</v>
      </c>
      <c r="C204" s="36" t="s">
        <v>3176</v>
      </c>
      <c r="D204" s="11" t="s">
        <v>1518</v>
      </c>
      <c r="E204" s="11" t="s">
        <v>1431</v>
      </c>
      <c r="F204" s="11">
        <v>15</v>
      </c>
      <c r="G204" s="11" t="s">
        <v>2543</v>
      </c>
      <c r="H204" s="11" t="s">
        <v>2542</v>
      </c>
      <c r="I204" s="11" t="s">
        <v>288</v>
      </c>
      <c r="J204" s="11"/>
      <c r="K204" s="11"/>
      <c r="L204" s="11"/>
      <c r="M204" s="11" t="s">
        <v>2541</v>
      </c>
      <c r="N204" s="11"/>
      <c r="O204" s="11"/>
      <c r="P204" s="11">
        <v>2</v>
      </c>
      <c r="Q204" s="11"/>
      <c r="R204" s="11"/>
      <c r="S204" s="11" t="s">
        <v>2541</v>
      </c>
    </row>
    <row r="205" spans="1:19" hidden="1" x14ac:dyDescent="0.15">
      <c r="A205" s="34">
        <v>204</v>
      </c>
      <c r="B205" s="35" t="s">
        <v>4881</v>
      </c>
      <c r="C205" s="36" t="s">
        <v>3176</v>
      </c>
      <c r="D205" s="11" t="s">
        <v>4871</v>
      </c>
      <c r="E205" s="11" t="s">
        <v>1451</v>
      </c>
      <c r="F205" s="11">
        <v>10</v>
      </c>
      <c r="G205" s="11" t="s">
        <v>5666</v>
      </c>
      <c r="H205" s="11" t="s">
        <v>2538</v>
      </c>
      <c r="I205" s="11" t="s">
        <v>339</v>
      </c>
      <c r="J205" s="11" t="s">
        <v>1537</v>
      </c>
      <c r="K205" s="11" t="s">
        <v>2537</v>
      </c>
      <c r="L205" s="11"/>
      <c r="M205" s="11" t="s">
        <v>1738</v>
      </c>
      <c r="N205" s="11" t="s">
        <v>3288</v>
      </c>
      <c r="O205" s="11"/>
      <c r="P205" s="11"/>
      <c r="Q205" s="11">
        <v>4</v>
      </c>
      <c r="R205" s="11">
        <v>3</v>
      </c>
      <c r="S205" s="11" t="s">
        <v>3289</v>
      </c>
    </row>
    <row r="206" spans="1:19" hidden="1" x14ac:dyDescent="0.15">
      <c r="A206" s="34">
        <v>205</v>
      </c>
      <c r="B206" s="35" t="s">
        <v>4881</v>
      </c>
      <c r="C206" s="36" t="s">
        <v>3176</v>
      </c>
      <c r="D206" s="11" t="s">
        <v>1474</v>
      </c>
      <c r="E206" s="11" t="s">
        <v>1451</v>
      </c>
      <c r="F206" s="11">
        <v>17</v>
      </c>
      <c r="G206" s="11" t="s">
        <v>2536</v>
      </c>
      <c r="H206" s="11" t="s">
        <v>2535</v>
      </c>
      <c r="I206" s="11" t="s">
        <v>339</v>
      </c>
      <c r="J206" s="11" t="s">
        <v>1494</v>
      </c>
      <c r="K206" s="11" t="s">
        <v>1533</v>
      </c>
      <c r="L206" s="11"/>
      <c r="M206" s="11" t="s">
        <v>2534</v>
      </c>
      <c r="N206" s="11"/>
      <c r="O206" s="11"/>
      <c r="P206" s="11"/>
      <c r="Q206" s="11">
        <v>4</v>
      </c>
      <c r="R206" s="11">
        <v>3</v>
      </c>
      <c r="S206" s="11" t="s">
        <v>2534</v>
      </c>
    </row>
    <row r="207" spans="1:19" hidden="1" x14ac:dyDescent="0.15">
      <c r="A207" s="34">
        <v>206</v>
      </c>
      <c r="B207" s="35" t="s">
        <v>4881</v>
      </c>
      <c r="C207" s="36" t="s">
        <v>3176</v>
      </c>
      <c r="D207" s="11" t="s">
        <v>1772</v>
      </c>
      <c r="E207" s="11" t="s">
        <v>1451</v>
      </c>
      <c r="F207" s="11">
        <v>11</v>
      </c>
      <c r="G207" s="11" t="s">
        <v>2533</v>
      </c>
      <c r="H207" s="11" t="s">
        <v>2532</v>
      </c>
      <c r="I207" s="11" t="s">
        <v>339</v>
      </c>
      <c r="J207" s="11" t="s">
        <v>2307</v>
      </c>
      <c r="K207" s="11" t="s">
        <v>2531</v>
      </c>
      <c r="L207" s="11"/>
      <c r="M207" s="11" t="s">
        <v>2530</v>
      </c>
      <c r="N207" s="11"/>
      <c r="O207" s="11"/>
      <c r="P207" s="11"/>
      <c r="Q207" s="11">
        <v>4</v>
      </c>
      <c r="R207" s="11">
        <v>4</v>
      </c>
      <c r="S207" s="11" t="s">
        <v>2530</v>
      </c>
    </row>
    <row r="208" spans="1:19" hidden="1" x14ac:dyDescent="0.15">
      <c r="A208" s="34">
        <v>207</v>
      </c>
      <c r="B208" s="35" t="s">
        <v>4881</v>
      </c>
      <c r="C208" s="36" t="s">
        <v>3176</v>
      </c>
      <c r="D208" s="11" t="s">
        <v>1802</v>
      </c>
      <c r="E208" s="11" t="s">
        <v>1451</v>
      </c>
      <c r="F208" s="11">
        <v>16</v>
      </c>
      <c r="G208" s="11" t="s">
        <v>2529</v>
      </c>
      <c r="H208" s="11" t="s">
        <v>2528</v>
      </c>
      <c r="I208" s="11" t="s">
        <v>339</v>
      </c>
      <c r="J208" s="11" t="s">
        <v>1489</v>
      </c>
      <c r="K208" s="11" t="s">
        <v>1533</v>
      </c>
      <c r="L208" s="11"/>
      <c r="M208" s="11" t="s">
        <v>3290</v>
      </c>
      <c r="N208" s="11"/>
      <c r="O208" s="11"/>
      <c r="P208" s="11"/>
      <c r="Q208" s="11">
        <v>3</v>
      </c>
      <c r="R208" s="11">
        <v>4</v>
      </c>
      <c r="S208" s="11" t="s">
        <v>3290</v>
      </c>
    </row>
    <row r="209" spans="1:19" hidden="1" x14ac:dyDescent="0.15">
      <c r="A209" s="34">
        <v>208</v>
      </c>
      <c r="B209" s="35" t="s">
        <v>4881</v>
      </c>
      <c r="C209" s="36" t="s">
        <v>3176</v>
      </c>
      <c r="D209" s="11" t="s">
        <v>1784</v>
      </c>
      <c r="E209" s="11" t="s">
        <v>1451</v>
      </c>
      <c r="F209" s="11">
        <v>19</v>
      </c>
      <c r="G209" s="11" t="s">
        <v>5664</v>
      </c>
      <c r="H209" s="11" t="s">
        <v>2527</v>
      </c>
      <c r="I209" s="11" t="s">
        <v>339</v>
      </c>
      <c r="J209" s="11" t="s">
        <v>1489</v>
      </c>
      <c r="K209" s="11" t="s">
        <v>1799</v>
      </c>
      <c r="L209" s="11"/>
      <c r="M209" s="11" t="s">
        <v>3291</v>
      </c>
      <c r="N209" s="11"/>
      <c r="O209" s="11"/>
      <c r="P209" s="11"/>
      <c r="Q209" s="11">
        <v>4</v>
      </c>
      <c r="R209" s="11">
        <v>4</v>
      </c>
      <c r="S209" s="11" t="s">
        <v>3291</v>
      </c>
    </row>
    <row r="210" spans="1:19" hidden="1" x14ac:dyDescent="0.15">
      <c r="A210" s="34">
        <v>209</v>
      </c>
      <c r="B210" s="35" t="s">
        <v>4881</v>
      </c>
      <c r="C210" s="36" t="s">
        <v>3176</v>
      </c>
      <c r="D210" s="11" t="s">
        <v>1508</v>
      </c>
      <c r="E210" s="11" t="s">
        <v>1451</v>
      </c>
      <c r="F210" s="11">
        <v>13</v>
      </c>
      <c r="G210" s="11" t="s">
        <v>2526</v>
      </c>
      <c r="H210" s="11" t="s">
        <v>2525</v>
      </c>
      <c r="I210" s="11" t="s">
        <v>339</v>
      </c>
      <c r="J210" s="11" t="s">
        <v>1484</v>
      </c>
      <c r="K210" s="11"/>
      <c r="L210" s="11"/>
      <c r="M210" s="11" t="s">
        <v>2524</v>
      </c>
      <c r="N210" s="11"/>
      <c r="O210" s="11"/>
      <c r="P210" s="11"/>
      <c r="Q210" s="11">
        <v>4</v>
      </c>
      <c r="R210" s="11">
        <v>3</v>
      </c>
      <c r="S210" s="11" t="s">
        <v>2524</v>
      </c>
    </row>
    <row r="211" spans="1:19" hidden="1" x14ac:dyDescent="0.15">
      <c r="A211" s="34">
        <v>210</v>
      </c>
      <c r="B211" s="35" t="s">
        <v>4881</v>
      </c>
      <c r="C211" s="36" t="s">
        <v>3176</v>
      </c>
      <c r="D211" s="11" t="s">
        <v>1467</v>
      </c>
      <c r="E211" s="11" t="s">
        <v>1451</v>
      </c>
      <c r="F211" s="11">
        <v>11</v>
      </c>
      <c r="G211" s="11" t="s">
        <v>2523</v>
      </c>
      <c r="H211" s="11" t="s">
        <v>2522</v>
      </c>
      <c r="I211" s="11" t="s">
        <v>339</v>
      </c>
      <c r="J211" s="11" t="s">
        <v>1489</v>
      </c>
      <c r="K211" s="11" t="s">
        <v>1641</v>
      </c>
      <c r="L211" s="11"/>
      <c r="M211" s="11" t="s">
        <v>2521</v>
      </c>
      <c r="N211" s="11"/>
      <c r="O211" s="11"/>
      <c r="P211" s="11"/>
      <c r="Q211" s="11">
        <v>3</v>
      </c>
      <c r="R211" s="11">
        <v>4</v>
      </c>
      <c r="S211" s="11" t="s">
        <v>2521</v>
      </c>
    </row>
    <row r="212" spans="1:19" hidden="1" x14ac:dyDescent="0.15">
      <c r="A212" s="34">
        <v>211</v>
      </c>
      <c r="B212" s="35" t="s">
        <v>4881</v>
      </c>
      <c r="C212" s="36" t="s">
        <v>3176</v>
      </c>
      <c r="D212" s="11" t="s">
        <v>1487</v>
      </c>
      <c r="E212" s="11" t="s">
        <v>1451</v>
      </c>
      <c r="F212" s="11">
        <v>10</v>
      </c>
      <c r="G212" s="11" t="s">
        <v>2520</v>
      </c>
      <c r="H212" s="11" t="s">
        <v>2519</v>
      </c>
      <c r="I212" s="11" t="s">
        <v>339</v>
      </c>
      <c r="J212" s="11" t="s">
        <v>1479</v>
      </c>
      <c r="K212" s="11" t="s">
        <v>1867</v>
      </c>
      <c r="L212" s="11"/>
      <c r="M212" s="11" t="s">
        <v>2518</v>
      </c>
      <c r="N212" s="11"/>
      <c r="O212" s="11"/>
      <c r="P212" s="11"/>
      <c r="Q212" s="11">
        <v>4</v>
      </c>
      <c r="R212" s="11">
        <v>3</v>
      </c>
      <c r="S212" s="11" t="s">
        <v>2518</v>
      </c>
    </row>
    <row r="213" spans="1:19" hidden="1" x14ac:dyDescent="0.15">
      <c r="A213" s="34">
        <v>212</v>
      </c>
      <c r="B213" s="35" t="s">
        <v>4881</v>
      </c>
      <c r="C213" s="36" t="s">
        <v>3176</v>
      </c>
      <c r="D213" s="11" t="s">
        <v>1512</v>
      </c>
      <c r="E213" s="11" t="s">
        <v>1451</v>
      </c>
      <c r="F213" s="11">
        <v>12</v>
      </c>
      <c r="G213" s="11" t="s">
        <v>2517</v>
      </c>
      <c r="H213" s="11" t="s">
        <v>2516</v>
      </c>
      <c r="I213" s="11" t="s">
        <v>339</v>
      </c>
      <c r="J213" s="11" t="s">
        <v>2515</v>
      </c>
      <c r="K213" s="11"/>
      <c r="L213" s="11"/>
      <c r="M213" s="11" t="s">
        <v>351</v>
      </c>
      <c r="N213" s="11" t="s">
        <v>3292</v>
      </c>
      <c r="O213" s="11"/>
      <c r="P213" s="11"/>
      <c r="Q213" s="11">
        <v>3</v>
      </c>
      <c r="R213" s="11">
        <v>4</v>
      </c>
      <c r="S213" s="11" t="s">
        <v>3293</v>
      </c>
    </row>
    <row r="214" spans="1:19" hidden="1" x14ac:dyDescent="0.15">
      <c r="A214" s="34">
        <v>213</v>
      </c>
      <c r="B214" s="35" t="s">
        <v>4881</v>
      </c>
      <c r="C214" s="36" t="s">
        <v>3176</v>
      </c>
      <c r="D214" s="11" t="s">
        <v>1482</v>
      </c>
      <c r="E214" s="11" t="s">
        <v>1431</v>
      </c>
      <c r="F214" s="11">
        <v>20</v>
      </c>
      <c r="G214" s="11" t="s">
        <v>2514</v>
      </c>
      <c r="H214" s="11" t="s">
        <v>2513</v>
      </c>
      <c r="I214" s="11" t="s">
        <v>339</v>
      </c>
      <c r="J214" s="11" t="s">
        <v>1537</v>
      </c>
      <c r="K214" s="11"/>
      <c r="L214" s="11"/>
      <c r="M214" s="11" t="s">
        <v>2512</v>
      </c>
      <c r="N214" s="11"/>
      <c r="O214" s="11"/>
      <c r="P214" s="11"/>
      <c r="Q214" s="11">
        <v>8</v>
      </c>
      <c r="R214" s="11">
        <v>8</v>
      </c>
      <c r="S214" s="11" t="s">
        <v>2512</v>
      </c>
    </row>
    <row r="215" spans="1:19" hidden="1" x14ac:dyDescent="0.15">
      <c r="A215" s="34">
        <v>214</v>
      </c>
      <c r="B215" s="35" t="s">
        <v>4881</v>
      </c>
      <c r="C215" s="36" t="s">
        <v>3176</v>
      </c>
      <c r="D215" s="11" t="s">
        <v>292</v>
      </c>
      <c r="E215" s="11" t="s">
        <v>1744</v>
      </c>
      <c r="F215" s="11">
        <v>3</v>
      </c>
      <c r="G215" s="11" t="s">
        <v>2511</v>
      </c>
      <c r="H215" s="11" t="s">
        <v>2510</v>
      </c>
      <c r="I215" s="11" t="s">
        <v>339</v>
      </c>
      <c r="J215" s="11" t="s">
        <v>352</v>
      </c>
      <c r="K215" s="11"/>
      <c r="L215" s="11"/>
      <c r="M215" s="11" t="s">
        <v>2509</v>
      </c>
      <c r="N215" s="11"/>
      <c r="O215" s="11"/>
      <c r="P215" s="11"/>
      <c r="Q215" s="11">
        <v>2</v>
      </c>
      <c r="R215" s="11">
        <v>1</v>
      </c>
      <c r="S215" s="11" t="s">
        <v>2509</v>
      </c>
    </row>
    <row r="216" spans="1:19" hidden="1" x14ac:dyDescent="0.15">
      <c r="A216" s="34">
        <v>215</v>
      </c>
      <c r="B216" s="35" t="s">
        <v>4881</v>
      </c>
      <c r="C216" s="36" t="s">
        <v>3176</v>
      </c>
      <c r="D216" s="11" t="s">
        <v>292</v>
      </c>
      <c r="E216" s="11" t="s">
        <v>1744</v>
      </c>
      <c r="F216" s="11">
        <v>10</v>
      </c>
      <c r="G216" s="11" t="s">
        <v>2508</v>
      </c>
      <c r="H216" s="11" t="s">
        <v>2507</v>
      </c>
      <c r="I216" s="11" t="s">
        <v>339</v>
      </c>
      <c r="J216" s="11" t="s">
        <v>352</v>
      </c>
      <c r="K216" s="11"/>
      <c r="L216" s="11"/>
      <c r="M216" s="11" t="s">
        <v>2595</v>
      </c>
      <c r="N216" s="11" t="s">
        <v>3294</v>
      </c>
      <c r="O216" s="11"/>
      <c r="P216" s="11"/>
      <c r="Q216" s="11">
        <v>2</v>
      </c>
      <c r="R216" s="11">
        <v>2</v>
      </c>
      <c r="S216" s="11" t="s">
        <v>3295</v>
      </c>
    </row>
    <row r="217" spans="1:19" hidden="1" x14ac:dyDescent="0.15">
      <c r="A217" s="34">
        <v>216</v>
      </c>
      <c r="B217" s="35" t="s">
        <v>4881</v>
      </c>
      <c r="C217" s="36" t="s">
        <v>3176</v>
      </c>
      <c r="D217" s="11" t="s">
        <v>292</v>
      </c>
      <c r="E217" s="11" t="s">
        <v>1744</v>
      </c>
      <c r="F217" s="11">
        <v>10</v>
      </c>
      <c r="G217" s="11" t="s">
        <v>2506</v>
      </c>
      <c r="H217" s="11" t="s">
        <v>2505</v>
      </c>
      <c r="I217" s="11" t="s">
        <v>339</v>
      </c>
      <c r="J217" s="11" t="s">
        <v>343</v>
      </c>
      <c r="K217" s="11"/>
      <c r="L217" s="11"/>
      <c r="M217" s="11" t="s">
        <v>3296</v>
      </c>
      <c r="N217" s="11"/>
      <c r="O217" s="11"/>
      <c r="P217" s="11"/>
      <c r="Q217" s="11">
        <v>1</v>
      </c>
      <c r="R217" s="11">
        <v>4</v>
      </c>
      <c r="S217" s="11" t="s">
        <v>3296</v>
      </c>
    </row>
    <row r="218" spans="1:19" hidden="1" x14ac:dyDescent="0.15">
      <c r="A218" s="34">
        <v>217</v>
      </c>
      <c r="B218" s="35" t="s">
        <v>4881</v>
      </c>
      <c r="C218" s="36" t="s">
        <v>3176</v>
      </c>
      <c r="D218" s="11" t="s">
        <v>292</v>
      </c>
      <c r="E218" s="11" t="s">
        <v>1744</v>
      </c>
      <c r="F218" s="11">
        <v>6</v>
      </c>
      <c r="G218" s="11" t="s">
        <v>2504</v>
      </c>
      <c r="H218" s="11" t="s">
        <v>2503</v>
      </c>
      <c r="I218" s="11" t="s">
        <v>339</v>
      </c>
      <c r="J218" s="11" t="s">
        <v>352</v>
      </c>
      <c r="K218" s="11"/>
      <c r="L218" s="11"/>
      <c r="M218" s="11"/>
      <c r="N218" s="11"/>
      <c r="O218" s="11"/>
      <c r="P218" s="11"/>
      <c r="Q218" s="11">
        <v>2</v>
      </c>
      <c r="R218" s="11">
        <v>2</v>
      </c>
      <c r="S218" s="11"/>
    </row>
    <row r="219" spans="1:19" hidden="1" x14ac:dyDescent="0.15">
      <c r="A219" s="34">
        <v>218</v>
      </c>
      <c r="B219" s="35" t="s">
        <v>4881</v>
      </c>
      <c r="C219" s="36" t="s">
        <v>3176</v>
      </c>
      <c r="D219" s="11" t="s">
        <v>292</v>
      </c>
      <c r="E219" s="11" t="s">
        <v>1744</v>
      </c>
      <c r="F219" s="11">
        <v>6</v>
      </c>
      <c r="G219" s="11" t="s">
        <v>2502</v>
      </c>
      <c r="H219" s="11" t="s">
        <v>2501</v>
      </c>
      <c r="I219" s="11" t="s">
        <v>1453</v>
      </c>
      <c r="J219" s="11"/>
      <c r="K219" s="11"/>
      <c r="L219" s="11"/>
      <c r="M219" s="11" t="s">
        <v>2500</v>
      </c>
      <c r="N219" s="11"/>
      <c r="O219" s="11"/>
      <c r="P219" s="11"/>
      <c r="Q219" s="11"/>
      <c r="R219" s="11"/>
      <c r="S219" s="11" t="s">
        <v>2500</v>
      </c>
    </row>
    <row r="220" spans="1:19" hidden="1" x14ac:dyDescent="0.15">
      <c r="A220" s="34">
        <v>219</v>
      </c>
      <c r="B220" s="35" t="s">
        <v>4881</v>
      </c>
      <c r="C220" s="36" t="s">
        <v>3176</v>
      </c>
      <c r="D220" s="11" t="s">
        <v>292</v>
      </c>
      <c r="E220" s="11" t="s">
        <v>1744</v>
      </c>
      <c r="F220" s="11">
        <v>3</v>
      </c>
      <c r="G220" s="11" t="s">
        <v>2499</v>
      </c>
      <c r="H220" s="11" t="s">
        <v>2498</v>
      </c>
      <c r="I220" s="11" t="s">
        <v>1453</v>
      </c>
      <c r="J220" s="11"/>
      <c r="K220" s="11"/>
      <c r="L220" s="11"/>
      <c r="M220" s="11" t="s">
        <v>2497</v>
      </c>
      <c r="N220" s="11"/>
      <c r="O220" s="11"/>
      <c r="P220" s="11"/>
      <c r="Q220" s="11"/>
      <c r="R220" s="11"/>
      <c r="S220" s="11" t="s">
        <v>2497</v>
      </c>
    </row>
    <row r="221" spans="1:19" hidden="1" x14ac:dyDescent="0.15">
      <c r="A221" s="34">
        <v>220</v>
      </c>
      <c r="B221" s="35" t="s">
        <v>4881</v>
      </c>
      <c r="C221" s="36" t="s">
        <v>3176</v>
      </c>
      <c r="D221" s="11" t="s">
        <v>292</v>
      </c>
      <c r="E221" s="11" t="s">
        <v>1744</v>
      </c>
      <c r="F221" s="11">
        <v>6</v>
      </c>
      <c r="G221" s="11" t="s">
        <v>2496</v>
      </c>
      <c r="H221" s="11" t="s">
        <v>2495</v>
      </c>
      <c r="I221" s="11" t="s">
        <v>288</v>
      </c>
      <c r="J221" s="11" t="s">
        <v>6250</v>
      </c>
      <c r="K221" s="11"/>
      <c r="L221" s="11"/>
      <c r="M221" s="11" t="s">
        <v>2494</v>
      </c>
      <c r="N221" s="11"/>
      <c r="O221" s="11"/>
      <c r="P221" s="11">
        <v>2</v>
      </c>
      <c r="Q221" s="11"/>
      <c r="R221" s="11"/>
      <c r="S221" s="11" t="s">
        <v>2494</v>
      </c>
    </row>
    <row r="222" spans="1:19" hidden="1" x14ac:dyDescent="0.15">
      <c r="A222" s="34">
        <v>221</v>
      </c>
      <c r="B222" s="35" t="s">
        <v>4881</v>
      </c>
      <c r="C222" s="36" t="s">
        <v>3176</v>
      </c>
      <c r="D222" s="11" t="s">
        <v>292</v>
      </c>
      <c r="E222" s="11" t="s">
        <v>1744</v>
      </c>
      <c r="F222" s="11">
        <v>6</v>
      </c>
      <c r="G222" s="11" t="s">
        <v>2493</v>
      </c>
      <c r="H222" s="11" t="s">
        <v>2492</v>
      </c>
      <c r="I222" s="11" t="s">
        <v>288</v>
      </c>
      <c r="J222" s="11" t="s">
        <v>6250</v>
      </c>
      <c r="K222" s="11"/>
      <c r="L222" s="11"/>
      <c r="M222" s="11" t="s">
        <v>1677</v>
      </c>
      <c r="N222" s="11"/>
      <c r="O222" s="11"/>
      <c r="P222" s="11">
        <v>2</v>
      </c>
      <c r="Q222" s="11"/>
      <c r="R222" s="11"/>
      <c r="S222" s="11" t="s">
        <v>1677</v>
      </c>
    </row>
    <row r="223" spans="1:19" hidden="1" x14ac:dyDescent="0.15">
      <c r="A223" s="34">
        <v>222</v>
      </c>
      <c r="B223" s="35" t="s">
        <v>4881</v>
      </c>
      <c r="C223" s="36" t="s">
        <v>3176</v>
      </c>
      <c r="D223" s="11" t="s">
        <v>292</v>
      </c>
      <c r="E223" s="11" t="s">
        <v>1744</v>
      </c>
      <c r="F223" s="11">
        <v>6</v>
      </c>
      <c r="G223" s="11" t="s">
        <v>2491</v>
      </c>
      <c r="H223" s="11" t="s">
        <v>2490</v>
      </c>
      <c r="I223" s="11" t="s">
        <v>288</v>
      </c>
      <c r="J223" s="11" t="s">
        <v>6250</v>
      </c>
      <c r="K223" s="11"/>
      <c r="L223" s="11"/>
      <c r="M223" s="11" t="s">
        <v>2489</v>
      </c>
      <c r="N223" s="11"/>
      <c r="O223" s="11"/>
      <c r="P223" s="11">
        <v>2</v>
      </c>
      <c r="Q223" s="11"/>
      <c r="R223" s="11"/>
      <c r="S223" s="11" t="s">
        <v>2489</v>
      </c>
    </row>
    <row r="224" spans="1:19" hidden="1" x14ac:dyDescent="0.15">
      <c r="A224" s="34">
        <v>223</v>
      </c>
      <c r="B224" s="35" t="s">
        <v>4881</v>
      </c>
      <c r="C224" s="36" t="s">
        <v>3176</v>
      </c>
      <c r="D224" s="11" t="s">
        <v>292</v>
      </c>
      <c r="E224" s="11" t="s">
        <v>1744</v>
      </c>
      <c r="F224" s="11">
        <v>6</v>
      </c>
      <c r="G224" s="11" t="s">
        <v>2488</v>
      </c>
      <c r="H224" s="11" t="s">
        <v>2487</v>
      </c>
      <c r="I224" s="11" t="s">
        <v>288</v>
      </c>
      <c r="J224" s="11"/>
      <c r="K224" s="11"/>
      <c r="L224" s="11"/>
      <c r="M224" s="11" t="s">
        <v>2486</v>
      </c>
      <c r="N224" s="11"/>
      <c r="O224" s="11"/>
      <c r="P224" s="11">
        <v>4</v>
      </c>
      <c r="Q224" s="11"/>
      <c r="R224" s="11"/>
      <c r="S224" s="11" t="s">
        <v>2486</v>
      </c>
    </row>
    <row r="225" spans="1:19" hidden="1" x14ac:dyDescent="0.15">
      <c r="A225" s="34">
        <v>224</v>
      </c>
      <c r="B225" s="35" t="s">
        <v>4881</v>
      </c>
      <c r="C225" s="36" t="s">
        <v>3176</v>
      </c>
      <c r="D225" s="11" t="s">
        <v>292</v>
      </c>
      <c r="E225" s="11" t="s">
        <v>1744</v>
      </c>
      <c r="F225" s="11">
        <v>6</v>
      </c>
      <c r="G225" s="11" t="s">
        <v>2485</v>
      </c>
      <c r="H225" s="11" t="s">
        <v>2484</v>
      </c>
      <c r="I225" s="11" t="s">
        <v>288</v>
      </c>
      <c r="J225" s="11" t="s">
        <v>6250</v>
      </c>
      <c r="K225" s="11"/>
      <c r="L225" s="11"/>
      <c r="M225" s="11" t="s">
        <v>2483</v>
      </c>
      <c r="N225" s="11"/>
      <c r="O225" s="11"/>
      <c r="P225" s="11">
        <v>2</v>
      </c>
      <c r="Q225" s="11"/>
      <c r="R225" s="11"/>
      <c r="S225" s="11" t="s">
        <v>2483</v>
      </c>
    </row>
    <row r="226" spans="1:19" hidden="1" x14ac:dyDescent="0.15">
      <c r="A226" s="34">
        <v>225</v>
      </c>
      <c r="B226" s="35" t="s">
        <v>4881</v>
      </c>
      <c r="C226" s="36" t="s">
        <v>3176</v>
      </c>
      <c r="D226" s="11" t="s">
        <v>292</v>
      </c>
      <c r="E226" s="11" t="s">
        <v>1744</v>
      </c>
      <c r="F226" s="11">
        <v>6</v>
      </c>
      <c r="G226" s="11" t="s">
        <v>2482</v>
      </c>
      <c r="H226" s="11" t="s">
        <v>2481</v>
      </c>
      <c r="I226" s="11" t="s">
        <v>288</v>
      </c>
      <c r="J226" s="11" t="s">
        <v>6305</v>
      </c>
      <c r="K226" s="11"/>
      <c r="L226" s="11"/>
      <c r="M226" s="11" t="s">
        <v>2480</v>
      </c>
      <c r="N226" s="11"/>
      <c r="O226" s="11"/>
      <c r="P226" s="11">
        <v>2</v>
      </c>
      <c r="Q226" s="11"/>
      <c r="R226" s="11"/>
      <c r="S226" s="11" t="s">
        <v>2480</v>
      </c>
    </row>
    <row r="227" spans="1:19" hidden="1" x14ac:dyDescent="0.15">
      <c r="A227" s="34">
        <v>226</v>
      </c>
      <c r="B227" s="35" t="s">
        <v>4881</v>
      </c>
      <c r="C227" s="36" t="s">
        <v>3176</v>
      </c>
      <c r="D227" s="11" t="s">
        <v>292</v>
      </c>
      <c r="E227" s="11" t="s">
        <v>1744</v>
      </c>
      <c r="F227" s="11">
        <v>6</v>
      </c>
      <c r="G227" s="11" t="s">
        <v>2479</v>
      </c>
      <c r="H227" s="11" t="s">
        <v>2478</v>
      </c>
      <c r="I227" s="11" t="s">
        <v>288</v>
      </c>
      <c r="J227" s="11" t="s">
        <v>6250</v>
      </c>
      <c r="K227" s="11"/>
      <c r="L227" s="11"/>
      <c r="M227" s="11" t="s">
        <v>1686</v>
      </c>
      <c r="N227" s="11"/>
      <c r="O227" s="11"/>
      <c r="P227" s="11">
        <v>2</v>
      </c>
      <c r="Q227" s="11"/>
      <c r="R227" s="11"/>
      <c r="S227" s="11" t="s">
        <v>1686</v>
      </c>
    </row>
    <row r="228" spans="1:19" hidden="1" x14ac:dyDescent="0.15">
      <c r="A228" s="34">
        <v>227</v>
      </c>
      <c r="B228" s="35" t="s">
        <v>4881</v>
      </c>
      <c r="C228" s="36" t="s">
        <v>3176</v>
      </c>
      <c r="D228" s="11" t="s">
        <v>292</v>
      </c>
      <c r="E228" s="11" t="s">
        <v>1451</v>
      </c>
      <c r="F228" s="11">
        <v>11</v>
      </c>
      <c r="G228" s="11" t="s">
        <v>2477</v>
      </c>
      <c r="H228" s="11" t="s">
        <v>2476</v>
      </c>
      <c r="I228" s="11" t="s">
        <v>339</v>
      </c>
      <c r="J228" s="11" t="s">
        <v>352</v>
      </c>
      <c r="K228" s="11"/>
      <c r="L228" s="11"/>
      <c r="M228" s="11" t="s">
        <v>2475</v>
      </c>
      <c r="N228" s="11"/>
      <c r="O228" s="11"/>
      <c r="P228" s="11"/>
      <c r="Q228" s="11">
        <v>3</v>
      </c>
      <c r="R228" s="11">
        <v>4</v>
      </c>
      <c r="S228" s="11" t="s">
        <v>2475</v>
      </c>
    </row>
    <row r="229" spans="1:19" hidden="1" x14ac:dyDescent="0.15">
      <c r="A229" s="34">
        <v>228</v>
      </c>
      <c r="B229" s="35" t="s">
        <v>4881</v>
      </c>
      <c r="C229" s="36" t="s">
        <v>3176</v>
      </c>
      <c r="D229" s="11" t="s">
        <v>292</v>
      </c>
      <c r="E229" s="11" t="s">
        <v>1451</v>
      </c>
      <c r="F229" s="11">
        <v>11</v>
      </c>
      <c r="G229" s="11" t="s">
        <v>2474</v>
      </c>
      <c r="H229" s="11" t="s">
        <v>2473</v>
      </c>
      <c r="I229" s="11" t="s">
        <v>339</v>
      </c>
      <c r="J229" s="11" t="s">
        <v>2472</v>
      </c>
      <c r="K229" s="11"/>
      <c r="L229" s="11"/>
      <c r="M229" s="11" t="s">
        <v>351</v>
      </c>
      <c r="N229" s="11"/>
      <c r="O229" s="11"/>
      <c r="P229" s="11"/>
      <c r="Q229" s="11">
        <v>4</v>
      </c>
      <c r="R229" s="11">
        <v>4</v>
      </c>
      <c r="S229" s="11" t="s">
        <v>351</v>
      </c>
    </row>
    <row r="230" spans="1:19" hidden="1" x14ac:dyDescent="0.15">
      <c r="A230" s="34">
        <v>229</v>
      </c>
      <c r="B230" s="35" t="s">
        <v>4881</v>
      </c>
      <c r="C230" s="36" t="s">
        <v>3176</v>
      </c>
      <c r="D230" s="11" t="s">
        <v>292</v>
      </c>
      <c r="E230" s="11" t="s">
        <v>1451</v>
      </c>
      <c r="F230" s="11">
        <v>12</v>
      </c>
      <c r="G230" s="11" t="s">
        <v>2471</v>
      </c>
      <c r="H230" s="11" t="s">
        <v>2470</v>
      </c>
      <c r="I230" s="11" t="s">
        <v>339</v>
      </c>
      <c r="J230" s="11" t="s">
        <v>2469</v>
      </c>
      <c r="K230" s="11"/>
      <c r="L230" s="11"/>
      <c r="M230" s="11" t="s">
        <v>2468</v>
      </c>
      <c r="N230" s="11"/>
      <c r="O230" s="11"/>
      <c r="P230" s="11"/>
      <c r="Q230" s="11">
        <v>3</v>
      </c>
      <c r="R230" s="11">
        <v>4</v>
      </c>
      <c r="S230" s="11" t="s">
        <v>2468</v>
      </c>
    </row>
    <row r="231" spans="1:19" hidden="1" x14ac:dyDescent="0.15">
      <c r="A231" s="34">
        <v>230</v>
      </c>
      <c r="B231" s="35" t="s">
        <v>4881</v>
      </c>
      <c r="C231" s="36" t="s">
        <v>3176</v>
      </c>
      <c r="D231" s="11" t="s">
        <v>292</v>
      </c>
      <c r="E231" s="11" t="s">
        <v>1451</v>
      </c>
      <c r="F231" s="11">
        <v>11</v>
      </c>
      <c r="G231" s="11" t="s">
        <v>2467</v>
      </c>
      <c r="H231" s="11" t="s">
        <v>2466</v>
      </c>
      <c r="I231" s="11" t="s">
        <v>1453</v>
      </c>
      <c r="J231" s="11"/>
      <c r="K231" s="11"/>
      <c r="L231" s="11"/>
      <c r="M231" s="11" t="s">
        <v>2465</v>
      </c>
      <c r="N231" s="11"/>
      <c r="O231" s="11"/>
      <c r="P231" s="11"/>
      <c r="Q231" s="11"/>
      <c r="R231" s="11"/>
      <c r="S231" s="11" t="s">
        <v>2465</v>
      </c>
    </row>
    <row r="232" spans="1:19" hidden="1" x14ac:dyDescent="0.15">
      <c r="A232" s="34">
        <v>231</v>
      </c>
      <c r="B232" s="35" t="s">
        <v>4881</v>
      </c>
      <c r="C232" s="36" t="s">
        <v>3176</v>
      </c>
      <c r="D232" s="11" t="s">
        <v>292</v>
      </c>
      <c r="E232" s="11" t="s">
        <v>1451</v>
      </c>
      <c r="F232" s="11">
        <v>12</v>
      </c>
      <c r="G232" s="11" t="s">
        <v>2464</v>
      </c>
      <c r="H232" s="11" t="s">
        <v>2463</v>
      </c>
      <c r="I232" s="11" t="s">
        <v>288</v>
      </c>
      <c r="J232" s="11"/>
      <c r="K232" s="11"/>
      <c r="L232" s="11"/>
      <c r="M232" s="11" t="s">
        <v>2462</v>
      </c>
      <c r="N232" s="11"/>
      <c r="O232" s="11"/>
      <c r="P232" s="11">
        <v>2</v>
      </c>
      <c r="Q232" s="11"/>
      <c r="R232" s="11"/>
      <c r="S232" s="11" t="s">
        <v>2462</v>
      </c>
    </row>
    <row r="233" spans="1:19" hidden="1" x14ac:dyDescent="0.15">
      <c r="A233" s="34">
        <v>232</v>
      </c>
      <c r="B233" s="35" t="s">
        <v>4881</v>
      </c>
      <c r="C233" s="36" t="s">
        <v>3176</v>
      </c>
      <c r="D233" s="11" t="s">
        <v>292</v>
      </c>
      <c r="E233" s="11" t="s">
        <v>1451</v>
      </c>
      <c r="F233" s="11">
        <v>8</v>
      </c>
      <c r="G233" s="11" t="s">
        <v>2461</v>
      </c>
      <c r="H233" s="11" t="s">
        <v>2460</v>
      </c>
      <c r="I233" s="11" t="s">
        <v>288</v>
      </c>
      <c r="J233" s="11" t="s">
        <v>6305</v>
      </c>
      <c r="K233" s="11"/>
      <c r="L233" s="11"/>
      <c r="M233" s="11" t="s">
        <v>2459</v>
      </c>
      <c r="N233" s="11"/>
      <c r="O233" s="11"/>
      <c r="P233" s="11">
        <v>3</v>
      </c>
      <c r="Q233" s="11"/>
      <c r="R233" s="11"/>
      <c r="S233" s="11" t="s">
        <v>2459</v>
      </c>
    </row>
    <row r="234" spans="1:19" hidden="1" x14ac:dyDescent="0.15">
      <c r="A234" s="34">
        <v>233</v>
      </c>
      <c r="B234" s="35" t="s">
        <v>4881</v>
      </c>
      <c r="C234" s="36" t="s">
        <v>3176</v>
      </c>
      <c r="D234" s="11" t="s">
        <v>292</v>
      </c>
      <c r="E234" s="11" t="s">
        <v>1451</v>
      </c>
      <c r="F234" s="11">
        <v>5</v>
      </c>
      <c r="G234" s="11" t="s">
        <v>2458</v>
      </c>
      <c r="H234" s="11" t="s">
        <v>2457</v>
      </c>
      <c r="I234" s="11" t="s">
        <v>288</v>
      </c>
      <c r="J234" s="11"/>
      <c r="K234" s="11"/>
      <c r="L234" s="11"/>
      <c r="M234" s="11" t="s">
        <v>2456</v>
      </c>
      <c r="N234" s="11"/>
      <c r="O234" s="11"/>
      <c r="P234" s="11">
        <v>4</v>
      </c>
      <c r="Q234" s="11"/>
      <c r="R234" s="11"/>
      <c r="S234" s="11" t="s">
        <v>2456</v>
      </c>
    </row>
    <row r="235" spans="1:19" hidden="1" x14ac:dyDescent="0.15">
      <c r="A235" s="34">
        <v>234</v>
      </c>
      <c r="B235" s="35" t="s">
        <v>4881</v>
      </c>
      <c r="C235" s="36" t="s">
        <v>3176</v>
      </c>
      <c r="D235" s="11" t="s">
        <v>292</v>
      </c>
      <c r="E235" s="11" t="s">
        <v>1451</v>
      </c>
      <c r="F235" s="11">
        <v>14</v>
      </c>
      <c r="G235" s="11" t="s">
        <v>2455</v>
      </c>
      <c r="H235" s="11" t="s">
        <v>2454</v>
      </c>
      <c r="I235" s="11" t="s">
        <v>288</v>
      </c>
      <c r="J235" s="11" t="s">
        <v>6250</v>
      </c>
      <c r="K235" s="11"/>
      <c r="L235" s="11"/>
      <c r="M235" s="11" t="s">
        <v>1726</v>
      </c>
      <c r="N235" s="11" t="s">
        <v>3297</v>
      </c>
      <c r="O235" s="11"/>
      <c r="P235" s="11">
        <v>2</v>
      </c>
      <c r="Q235" s="11"/>
      <c r="R235" s="11"/>
      <c r="S235" s="11" t="s">
        <v>2453</v>
      </c>
    </row>
    <row r="236" spans="1:19" hidden="1" x14ac:dyDescent="0.15">
      <c r="A236" s="34">
        <v>235</v>
      </c>
      <c r="B236" s="35" t="s">
        <v>4881</v>
      </c>
      <c r="C236" s="36" t="s">
        <v>3176</v>
      </c>
      <c r="D236" s="11" t="s">
        <v>292</v>
      </c>
      <c r="E236" s="11" t="s">
        <v>1451</v>
      </c>
      <c r="F236" s="11">
        <v>8</v>
      </c>
      <c r="G236" s="11" t="s">
        <v>2452</v>
      </c>
      <c r="H236" s="11" t="s">
        <v>2451</v>
      </c>
      <c r="I236" s="11" t="s">
        <v>288</v>
      </c>
      <c r="J236" s="11"/>
      <c r="K236" s="11"/>
      <c r="L236" s="11"/>
      <c r="M236" s="11" t="s">
        <v>3298</v>
      </c>
      <c r="N236" s="11" t="s">
        <v>1757</v>
      </c>
      <c r="O236" s="11"/>
      <c r="P236" s="11">
        <v>4</v>
      </c>
      <c r="Q236" s="11"/>
      <c r="R236" s="11"/>
      <c r="S236" s="11" t="s">
        <v>2450</v>
      </c>
    </row>
    <row r="237" spans="1:19" hidden="1" x14ac:dyDescent="0.15">
      <c r="A237" s="34">
        <v>236</v>
      </c>
      <c r="B237" s="35" t="s">
        <v>4881</v>
      </c>
      <c r="C237" s="36" t="s">
        <v>3176</v>
      </c>
      <c r="D237" s="11" t="s">
        <v>292</v>
      </c>
      <c r="E237" s="11" t="s">
        <v>1451</v>
      </c>
      <c r="F237" s="11">
        <v>9</v>
      </c>
      <c r="G237" s="11" t="s">
        <v>2449</v>
      </c>
      <c r="H237" s="11" t="s">
        <v>2448</v>
      </c>
      <c r="I237" s="11" t="s">
        <v>288</v>
      </c>
      <c r="J237" s="11" t="s">
        <v>6305</v>
      </c>
      <c r="K237" s="11"/>
      <c r="L237" s="11"/>
      <c r="M237" s="11" t="s">
        <v>3299</v>
      </c>
      <c r="N237" s="11" t="s">
        <v>3300</v>
      </c>
      <c r="O237" s="11" t="s">
        <v>3301</v>
      </c>
      <c r="P237" s="11">
        <v>3</v>
      </c>
      <c r="Q237" s="11"/>
      <c r="R237" s="11"/>
      <c r="S237" s="11" t="s">
        <v>2447</v>
      </c>
    </row>
    <row r="238" spans="1:19" hidden="1" x14ac:dyDescent="0.15">
      <c r="A238" s="34">
        <v>237</v>
      </c>
      <c r="B238" s="35" t="s">
        <v>4881</v>
      </c>
      <c r="C238" s="36" t="s">
        <v>3176</v>
      </c>
      <c r="D238" s="11" t="s">
        <v>292</v>
      </c>
      <c r="E238" s="11" t="s">
        <v>1451</v>
      </c>
      <c r="F238" s="11">
        <v>6</v>
      </c>
      <c r="G238" s="11" t="s">
        <v>2446</v>
      </c>
      <c r="H238" s="11" t="s">
        <v>2445</v>
      </c>
      <c r="I238" s="11" t="s">
        <v>288</v>
      </c>
      <c r="J238" s="11" t="s">
        <v>6305</v>
      </c>
      <c r="K238" s="11"/>
      <c r="L238" s="11"/>
      <c r="M238" s="11" t="s">
        <v>3229</v>
      </c>
      <c r="N238" s="11" t="s">
        <v>3302</v>
      </c>
      <c r="O238" s="11"/>
      <c r="P238" s="11">
        <v>2</v>
      </c>
      <c r="Q238" s="11"/>
      <c r="R238" s="11"/>
      <c r="S238" s="11" t="s">
        <v>2444</v>
      </c>
    </row>
    <row r="239" spans="1:19" hidden="1" x14ac:dyDescent="0.15">
      <c r="A239" s="34">
        <v>238</v>
      </c>
      <c r="B239" s="35" t="s">
        <v>4881</v>
      </c>
      <c r="C239" s="36" t="s">
        <v>3176</v>
      </c>
      <c r="D239" s="11" t="s">
        <v>292</v>
      </c>
      <c r="E239" s="11" t="s">
        <v>1451</v>
      </c>
      <c r="F239" s="11">
        <v>14</v>
      </c>
      <c r="G239" s="11" t="s">
        <v>2443</v>
      </c>
      <c r="H239" s="11" t="s">
        <v>2442</v>
      </c>
      <c r="I239" s="11" t="s">
        <v>288</v>
      </c>
      <c r="J239" s="11"/>
      <c r="K239" s="11"/>
      <c r="L239" s="11"/>
      <c r="M239" s="11" t="s">
        <v>2441</v>
      </c>
      <c r="N239" s="11"/>
      <c r="O239" s="11"/>
      <c r="P239" s="11">
        <v>3</v>
      </c>
      <c r="Q239" s="11"/>
      <c r="R239" s="11"/>
      <c r="S239" s="11" t="s">
        <v>2441</v>
      </c>
    </row>
    <row r="240" spans="1:19" hidden="1" x14ac:dyDescent="0.15">
      <c r="A240" s="34">
        <v>239</v>
      </c>
      <c r="B240" s="35" t="s">
        <v>4881</v>
      </c>
      <c r="C240" s="36" t="s">
        <v>3176</v>
      </c>
      <c r="D240" s="11" t="s">
        <v>292</v>
      </c>
      <c r="E240" s="11" t="s">
        <v>1441</v>
      </c>
      <c r="F240" s="11">
        <v>15</v>
      </c>
      <c r="G240" s="11" t="s">
        <v>2440</v>
      </c>
      <c r="H240" s="11" t="s">
        <v>2439</v>
      </c>
      <c r="I240" s="11" t="s">
        <v>339</v>
      </c>
      <c r="J240" s="11" t="s">
        <v>343</v>
      </c>
      <c r="K240" s="11"/>
      <c r="L240" s="11"/>
      <c r="M240" s="11" t="s">
        <v>3303</v>
      </c>
      <c r="N240" s="11" t="s">
        <v>3304</v>
      </c>
      <c r="O240" s="11" t="s">
        <v>3305</v>
      </c>
      <c r="P240" s="11"/>
      <c r="Q240" s="11">
        <v>7</v>
      </c>
      <c r="R240" s="11">
        <v>7</v>
      </c>
      <c r="S240" s="11" t="s">
        <v>2438</v>
      </c>
    </row>
    <row r="241" spans="1:19" hidden="1" x14ac:dyDescent="0.15">
      <c r="A241" s="34">
        <v>240</v>
      </c>
      <c r="B241" s="35" t="s">
        <v>4881</v>
      </c>
      <c r="C241" s="36" t="s">
        <v>3176</v>
      </c>
      <c r="D241" s="11" t="s">
        <v>292</v>
      </c>
      <c r="E241" s="11" t="s">
        <v>1441</v>
      </c>
      <c r="F241" s="11">
        <v>7</v>
      </c>
      <c r="G241" s="11" t="s">
        <v>2437</v>
      </c>
      <c r="H241" s="11" t="s">
        <v>2436</v>
      </c>
      <c r="I241" s="11" t="s">
        <v>1453</v>
      </c>
      <c r="J241" s="11" t="s">
        <v>6305</v>
      </c>
      <c r="K241" s="11"/>
      <c r="L241" s="11"/>
      <c r="M241" s="11" t="s">
        <v>2435</v>
      </c>
      <c r="N241" s="11"/>
      <c r="O241" s="11"/>
      <c r="P241" s="11"/>
      <c r="Q241" s="11"/>
      <c r="R241" s="11"/>
      <c r="S241" s="11" t="s">
        <v>2435</v>
      </c>
    </row>
    <row r="242" spans="1:19" hidden="1" x14ac:dyDescent="0.15">
      <c r="A242" s="34">
        <v>241</v>
      </c>
      <c r="B242" s="35" t="s">
        <v>4881</v>
      </c>
      <c r="C242" s="36" t="s">
        <v>3176</v>
      </c>
      <c r="D242" s="11" t="s">
        <v>292</v>
      </c>
      <c r="E242" s="11" t="s">
        <v>1441</v>
      </c>
      <c r="F242" s="11">
        <v>14</v>
      </c>
      <c r="G242" s="11" t="s">
        <v>4925</v>
      </c>
      <c r="H242" s="11" t="s">
        <v>2434</v>
      </c>
      <c r="I242" s="11" t="s">
        <v>288</v>
      </c>
      <c r="J242" s="11"/>
      <c r="K242" s="11"/>
      <c r="L242" s="11"/>
      <c r="M242" s="11" t="s">
        <v>2433</v>
      </c>
      <c r="N242" s="11"/>
      <c r="O242" s="11"/>
      <c r="P242" s="11">
        <v>6</v>
      </c>
      <c r="Q242" s="11"/>
      <c r="R242" s="11"/>
      <c r="S242" s="11" t="s">
        <v>2433</v>
      </c>
    </row>
    <row r="243" spans="1:19" hidden="1" x14ac:dyDescent="0.15">
      <c r="A243" s="34">
        <v>242</v>
      </c>
      <c r="B243" s="35" t="s">
        <v>4881</v>
      </c>
      <c r="C243" s="36" t="s">
        <v>3176</v>
      </c>
      <c r="D243" s="11" t="s">
        <v>292</v>
      </c>
      <c r="E243" s="11" t="s">
        <v>1441</v>
      </c>
      <c r="F243" s="11">
        <v>8</v>
      </c>
      <c r="G243" s="11" t="s">
        <v>2432</v>
      </c>
      <c r="H243" s="11" t="s">
        <v>2431</v>
      </c>
      <c r="I243" s="11" t="s">
        <v>288</v>
      </c>
      <c r="J243" s="11" t="s">
        <v>6250</v>
      </c>
      <c r="K243" s="11"/>
      <c r="L243" s="11"/>
      <c r="M243" s="11" t="s">
        <v>2430</v>
      </c>
      <c r="N243" s="11"/>
      <c r="O243" s="11"/>
      <c r="P243" s="11">
        <v>4</v>
      </c>
      <c r="Q243" s="11"/>
      <c r="R243" s="11"/>
      <c r="S243" s="11" t="s">
        <v>2430</v>
      </c>
    </row>
    <row r="244" spans="1:19" hidden="1" x14ac:dyDescent="0.15">
      <c r="A244" s="34">
        <v>243</v>
      </c>
      <c r="B244" s="35" t="s">
        <v>4881</v>
      </c>
      <c r="C244" s="36" t="s">
        <v>3176</v>
      </c>
      <c r="D244" s="11" t="s">
        <v>292</v>
      </c>
      <c r="E244" s="11" t="s">
        <v>1441</v>
      </c>
      <c r="F244" s="11">
        <v>7</v>
      </c>
      <c r="G244" s="11" t="s">
        <v>2429</v>
      </c>
      <c r="H244" s="11" t="s">
        <v>2428</v>
      </c>
      <c r="I244" s="11" t="s">
        <v>288</v>
      </c>
      <c r="J244" s="11" t="s">
        <v>6305</v>
      </c>
      <c r="K244" s="11"/>
      <c r="L244" s="11"/>
      <c r="M244" s="11" t="s">
        <v>2427</v>
      </c>
      <c r="N244" s="11"/>
      <c r="O244" s="11"/>
      <c r="P244" s="11">
        <v>2</v>
      </c>
      <c r="Q244" s="11"/>
      <c r="R244" s="11"/>
      <c r="S244" s="11" t="s">
        <v>2427</v>
      </c>
    </row>
    <row r="245" spans="1:19" hidden="1" x14ac:dyDescent="0.15">
      <c r="A245" s="34">
        <v>244</v>
      </c>
      <c r="B245" s="35" t="s">
        <v>4881</v>
      </c>
      <c r="C245" s="36" t="s">
        <v>3176</v>
      </c>
      <c r="D245" s="11" t="s">
        <v>292</v>
      </c>
      <c r="E245" s="11" t="s">
        <v>1431</v>
      </c>
      <c r="F245" s="11">
        <v>25</v>
      </c>
      <c r="G245" s="11" t="s">
        <v>2426</v>
      </c>
      <c r="H245" s="11" t="s">
        <v>2425</v>
      </c>
      <c r="I245" s="11" t="s">
        <v>339</v>
      </c>
      <c r="J245" s="11" t="s">
        <v>352</v>
      </c>
      <c r="K245" s="11"/>
      <c r="L245" s="11"/>
      <c r="M245" s="11" t="s">
        <v>3306</v>
      </c>
      <c r="N245" s="11" t="s">
        <v>3307</v>
      </c>
      <c r="O245" s="11"/>
      <c r="P245" s="11"/>
      <c r="Q245" s="11">
        <v>8</v>
      </c>
      <c r="R245" s="11">
        <v>8</v>
      </c>
      <c r="S245" s="11" t="s">
        <v>2424</v>
      </c>
    </row>
    <row r="246" spans="1:19" hidden="1" x14ac:dyDescent="0.15">
      <c r="A246" s="34">
        <v>245</v>
      </c>
      <c r="B246" s="35" t="s">
        <v>4881</v>
      </c>
      <c r="C246" s="36" t="s">
        <v>3176</v>
      </c>
      <c r="D246" s="11" t="s">
        <v>292</v>
      </c>
      <c r="E246" s="11" t="s">
        <v>1431</v>
      </c>
      <c r="F246" s="11">
        <v>12</v>
      </c>
      <c r="G246" s="11" t="s">
        <v>2423</v>
      </c>
      <c r="H246" s="11" t="s">
        <v>2422</v>
      </c>
      <c r="I246" s="11" t="s">
        <v>288</v>
      </c>
      <c r="J246" s="11"/>
      <c r="K246" s="11"/>
      <c r="L246" s="11"/>
      <c r="M246" s="11" t="s">
        <v>3308</v>
      </c>
      <c r="N246" s="11" t="s">
        <v>3309</v>
      </c>
      <c r="O246" s="11"/>
      <c r="P246" s="11">
        <v>4</v>
      </c>
      <c r="Q246" s="11"/>
      <c r="R246" s="11"/>
      <c r="S246" s="11" t="s">
        <v>2421</v>
      </c>
    </row>
    <row r="247" spans="1:19" hidden="1" x14ac:dyDescent="0.15">
      <c r="A247" s="34">
        <v>246</v>
      </c>
      <c r="B247" s="35" t="s">
        <v>4881</v>
      </c>
      <c r="C247" s="36" t="s">
        <v>3176</v>
      </c>
      <c r="D247" s="11" t="s">
        <v>292</v>
      </c>
      <c r="E247" s="11" t="s">
        <v>1431</v>
      </c>
      <c r="F247" s="11">
        <v>25</v>
      </c>
      <c r="G247" s="11" t="s">
        <v>5671</v>
      </c>
      <c r="H247" s="11" t="s">
        <v>2420</v>
      </c>
      <c r="I247" s="11" t="s">
        <v>288</v>
      </c>
      <c r="J247" s="11"/>
      <c r="K247" s="11"/>
      <c r="L247" s="11"/>
      <c r="M247" s="11" t="s">
        <v>2419</v>
      </c>
      <c r="N247" s="11"/>
      <c r="O247" s="11"/>
      <c r="P247" s="11">
        <v>3</v>
      </c>
      <c r="Q247" s="11"/>
      <c r="R247" s="11"/>
      <c r="S247" s="11" t="s">
        <v>2419</v>
      </c>
    </row>
    <row r="248" spans="1:19" hidden="1" x14ac:dyDescent="0.15">
      <c r="A248" s="34">
        <v>247</v>
      </c>
      <c r="B248" s="35" t="s">
        <v>4884</v>
      </c>
      <c r="C248" s="36" t="s">
        <v>3170</v>
      </c>
      <c r="D248" s="11" t="s">
        <v>1627</v>
      </c>
      <c r="E248" s="11" t="s">
        <v>1744</v>
      </c>
      <c r="F248" s="11">
        <v>7</v>
      </c>
      <c r="G248" s="11" t="s">
        <v>2418</v>
      </c>
      <c r="H248" s="11" t="s">
        <v>2417</v>
      </c>
      <c r="I248" s="11" t="s">
        <v>339</v>
      </c>
      <c r="J248" s="11" t="s">
        <v>2416</v>
      </c>
      <c r="K248" s="11"/>
      <c r="L248" s="11"/>
      <c r="M248" s="11" t="s">
        <v>351</v>
      </c>
      <c r="N248" s="11" t="s">
        <v>3310</v>
      </c>
      <c r="O248" s="11"/>
      <c r="P248" s="11"/>
      <c r="Q248" s="11">
        <v>1</v>
      </c>
      <c r="R248" s="11">
        <v>2</v>
      </c>
      <c r="S248" s="11" t="s">
        <v>2415</v>
      </c>
    </row>
    <row r="249" spans="1:19" hidden="1" x14ac:dyDescent="0.15">
      <c r="A249" s="34">
        <v>248</v>
      </c>
      <c r="B249" s="35" t="s">
        <v>4883</v>
      </c>
      <c r="C249" s="36" t="s">
        <v>3170</v>
      </c>
      <c r="D249" s="11" t="s">
        <v>1627</v>
      </c>
      <c r="E249" s="11" t="s">
        <v>1744</v>
      </c>
      <c r="F249" s="11">
        <v>5</v>
      </c>
      <c r="G249" s="11" t="s">
        <v>2414</v>
      </c>
      <c r="H249" s="11" t="s">
        <v>2413</v>
      </c>
      <c r="I249" s="11" t="s">
        <v>339</v>
      </c>
      <c r="J249" s="11" t="s">
        <v>1489</v>
      </c>
      <c r="K249" s="11" t="s">
        <v>1929</v>
      </c>
      <c r="L249" s="11" t="s">
        <v>1478</v>
      </c>
      <c r="M249" s="11"/>
      <c r="N249" s="11"/>
      <c r="O249" s="11"/>
      <c r="P249" s="11"/>
      <c r="Q249" s="11">
        <v>2</v>
      </c>
      <c r="R249" s="11">
        <v>1</v>
      </c>
      <c r="S249" s="11"/>
    </row>
    <row r="250" spans="1:19" hidden="1" x14ac:dyDescent="0.15">
      <c r="A250" s="34">
        <v>249</v>
      </c>
      <c r="B250" s="35" t="s">
        <v>4883</v>
      </c>
      <c r="C250" s="36" t="s">
        <v>3170</v>
      </c>
      <c r="D250" s="11" t="s">
        <v>1627</v>
      </c>
      <c r="E250" s="11" t="s">
        <v>1744</v>
      </c>
      <c r="F250" s="11">
        <v>5</v>
      </c>
      <c r="G250" s="11" t="s">
        <v>2412</v>
      </c>
      <c r="H250" s="11" t="s">
        <v>2411</v>
      </c>
      <c r="I250" s="11" t="s">
        <v>339</v>
      </c>
      <c r="J250" s="11" t="s">
        <v>1890</v>
      </c>
      <c r="K250" s="11" t="s">
        <v>357</v>
      </c>
      <c r="L250" s="11"/>
      <c r="M250" s="11" t="s">
        <v>2410</v>
      </c>
      <c r="N250" s="11"/>
      <c r="O250" s="11"/>
      <c r="P250" s="11"/>
      <c r="Q250" s="11">
        <v>2</v>
      </c>
      <c r="R250" s="11">
        <v>2</v>
      </c>
      <c r="S250" s="11" t="s">
        <v>2410</v>
      </c>
    </row>
    <row r="251" spans="1:19" hidden="1" x14ac:dyDescent="0.15">
      <c r="A251" s="34">
        <v>250</v>
      </c>
      <c r="B251" s="35" t="s">
        <v>4883</v>
      </c>
      <c r="C251" s="36" t="s">
        <v>3170</v>
      </c>
      <c r="D251" s="11" t="s">
        <v>1627</v>
      </c>
      <c r="E251" s="11" t="s">
        <v>1744</v>
      </c>
      <c r="F251" s="11">
        <v>10</v>
      </c>
      <c r="G251" s="11" t="s">
        <v>2409</v>
      </c>
      <c r="H251" s="11" t="s">
        <v>2408</v>
      </c>
      <c r="I251" s="11" t="s">
        <v>339</v>
      </c>
      <c r="J251" s="11" t="s">
        <v>2407</v>
      </c>
      <c r="K251" s="11" t="s">
        <v>1471</v>
      </c>
      <c r="L251" s="11"/>
      <c r="M251" s="11" t="s">
        <v>2406</v>
      </c>
      <c r="N251" s="11"/>
      <c r="O251" s="11"/>
      <c r="P251" s="11"/>
      <c r="Q251" s="11">
        <v>2</v>
      </c>
      <c r="R251" s="11">
        <v>2</v>
      </c>
      <c r="S251" s="11" t="s">
        <v>2406</v>
      </c>
    </row>
    <row r="252" spans="1:19" hidden="1" x14ac:dyDescent="0.15">
      <c r="A252" s="34">
        <v>251</v>
      </c>
      <c r="B252" s="35" t="s">
        <v>4883</v>
      </c>
      <c r="C252" s="36" t="s">
        <v>3170</v>
      </c>
      <c r="D252" s="11" t="s">
        <v>1627</v>
      </c>
      <c r="E252" s="11" t="s">
        <v>1744</v>
      </c>
      <c r="F252" s="11">
        <v>4</v>
      </c>
      <c r="G252" s="11" t="s">
        <v>2405</v>
      </c>
      <c r="H252" s="11" t="s">
        <v>2404</v>
      </c>
      <c r="I252" s="11" t="s">
        <v>339</v>
      </c>
      <c r="J252" s="11" t="s">
        <v>1471</v>
      </c>
      <c r="K252" s="11" t="s">
        <v>1929</v>
      </c>
      <c r="L252" s="11"/>
      <c r="M252" s="11" t="s">
        <v>351</v>
      </c>
      <c r="N252" s="11"/>
      <c r="O252" s="11"/>
      <c r="P252" s="11"/>
      <c r="Q252" s="11">
        <v>1</v>
      </c>
      <c r="R252" s="11">
        <v>1</v>
      </c>
      <c r="S252" s="11" t="s">
        <v>351</v>
      </c>
    </row>
    <row r="253" spans="1:19" hidden="1" x14ac:dyDescent="0.15">
      <c r="A253" s="34">
        <v>252</v>
      </c>
      <c r="B253" s="35" t="s">
        <v>4883</v>
      </c>
      <c r="C253" s="36" t="s">
        <v>3170</v>
      </c>
      <c r="D253" s="11" t="s">
        <v>1627</v>
      </c>
      <c r="E253" s="11" t="s">
        <v>1744</v>
      </c>
      <c r="F253" s="11">
        <v>6</v>
      </c>
      <c r="G253" s="11" t="s">
        <v>2403</v>
      </c>
      <c r="H253" s="11" t="s">
        <v>2402</v>
      </c>
      <c r="I253" s="11" t="s">
        <v>339</v>
      </c>
      <c r="J253" s="11" t="s">
        <v>1471</v>
      </c>
      <c r="K253" s="11" t="s">
        <v>1463</v>
      </c>
      <c r="L253" s="11" t="s">
        <v>1478</v>
      </c>
      <c r="M253" s="11"/>
      <c r="N253" s="11"/>
      <c r="O253" s="11"/>
      <c r="P253" s="11"/>
      <c r="Q253" s="11">
        <v>3</v>
      </c>
      <c r="R253" s="11">
        <v>1</v>
      </c>
      <c r="S253" s="11"/>
    </row>
    <row r="254" spans="1:19" hidden="1" x14ac:dyDescent="0.15">
      <c r="A254" s="34">
        <v>253</v>
      </c>
      <c r="B254" s="35" t="s">
        <v>4883</v>
      </c>
      <c r="C254" s="36" t="s">
        <v>3170</v>
      </c>
      <c r="D254" s="11" t="s">
        <v>1627</v>
      </c>
      <c r="E254" s="11" t="s">
        <v>1744</v>
      </c>
      <c r="F254" s="11">
        <v>10</v>
      </c>
      <c r="G254" s="11" t="s">
        <v>2401</v>
      </c>
      <c r="H254" s="11" t="s">
        <v>2400</v>
      </c>
      <c r="I254" s="11" t="s">
        <v>339</v>
      </c>
      <c r="J254" s="11" t="s">
        <v>1489</v>
      </c>
      <c r="K254" s="11" t="s">
        <v>1533</v>
      </c>
      <c r="L254" s="11" t="s">
        <v>1478</v>
      </c>
      <c r="M254" s="11" t="s">
        <v>2399</v>
      </c>
      <c r="N254" s="11"/>
      <c r="O254" s="11"/>
      <c r="P254" s="11"/>
      <c r="Q254" s="11">
        <v>1</v>
      </c>
      <c r="R254" s="11">
        <v>2</v>
      </c>
      <c r="S254" s="11" t="s">
        <v>2399</v>
      </c>
    </row>
    <row r="255" spans="1:19" hidden="1" x14ac:dyDescent="0.15">
      <c r="A255" s="34">
        <v>254</v>
      </c>
      <c r="B255" s="35" t="s">
        <v>4883</v>
      </c>
      <c r="C255" s="36" t="s">
        <v>3170</v>
      </c>
      <c r="D255" s="11" t="s">
        <v>1627</v>
      </c>
      <c r="E255" s="11" t="s">
        <v>1744</v>
      </c>
      <c r="F255" s="11">
        <v>8</v>
      </c>
      <c r="G255" s="11" t="s">
        <v>2398</v>
      </c>
      <c r="H255" s="11" t="s">
        <v>2397</v>
      </c>
      <c r="I255" s="11" t="s">
        <v>339</v>
      </c>
      <c r="J255" s="11" t="s">
        <v>357</v>
      </c>
      <c r="K255" s="11"/>
      <c r="L255" s="11"/>
      <c r="M255" s="11" t="s">
        <v>3311</v>
      </c>
      <c r="N255" s="11" t="s">
        <v>1831</v>
      </c>
      <c r="O255" s="11"/>
      <c r="P255" s="11"/>
      <c r="Q255" s="11">
        <v>1</v>
      </c>
      <c r="R255" s="11">
        <v>2</v>
      </c>
      <c r="S255" s="11" t="s">
        <v>3312</v>
      </c>
    </row>
    <row r="256" spans="1:19" hidden="1" x14ac:dyDescent="0.15">
      <c r="A256" s="34">
        <v>255</v>
      </c>
      <c r="B256" s="35" t="s">
        <v>4883</v>
      </c>
      <c r="C256" s="36" t="s">
        <v>3170</v>
      </c>
      <c r="D256" s="11" t="s">
        <v>1627</v>
      </c>
      <c r="E256" s="11" t="s">
        <v>1744</v>
      </c>
      <c r="F256" s="11">
        <v>7</v>
      </c>
      <c r="G256" s="11" t="s">
        <v>2396</v>
      </c>
      <c r="H256" s="11" t="s">
        <v>2395</v>
      </c>
      <c r="I256" s="11" t="s">
        <v>339</v>
      </c>
      <c r="J256" s="11" t="s">
        <v>1471</v>
      </c>
      <c r="K256" s="11" t="s">
        <v>1799</v>
      </c>
      <c r="L256" s="11"/>
      <c r="M256" s="11" t="s">
        <v>351</v>
      </c>
      <c r="N256" s="11"/>
      <c r="O256" s="11"/>
      <c r="P256" s="11"/>
      <c r="Q256" s="11">
        <v>2</v>
      </c>
      <c r="R256" s="11">
        <v>2</v>
      </c>
      <c r="S256" s="11" t="s">
        <v>351</v>
      </c>
    </row>
    <row r="257" spans="1:19" hidden="1" x14ac:dyDescent="0.15">
      <c r="A257" s="34">
        <v>256</v>
      </c>
      <c r="B257" s="35" t="s">
        <v>4883</v>
      </c>
      <c r="C257" s="36" t="s">
        <v>3170</v>
      </c>
      <c r="D257" s="11" t="s">
        <v>1627</v>
      </c>
      <c r="E257" s="11" t="s">
        <v>1744</v>
      </c>
      <c r="F257" s="11">
        <v>6</v>
      </c>
      <c r="G257" s="11" t="s">
        <v>2394</v>
      </c>
      <c r="H257" s="11" t="s">
        <v>2393</v>
      </c>
      <c r="I257" s="11" t="s">
        <v>339</v>
      </c>
      <c r="J257" s="11" t="s">
        <v>1471</v>
      </c>
      <c r="K257" s="11" t="s">
        <v>1470</v>
      </c>
      <c r="L257" s="11"/>
      <c r="M257" s="11" t="s">
        <v>2392</v>
      </c>
      <c r="N257" s="11"/>
      <c r="O257" s="11"/>
      <c r="P257" s="11"/>
      <c r="Q257" s="11">
        <v>1</v>
      </c>
      <c r="R257" s="11">
        <v>3</v>
      </c>
      <c r="S257" s="11" t="s">
        <v>2392</v>
      </c>
    </row>
    <row r="258" spans="1:19" hidden="1" x14ac:dyDescent="0.15">
      <c r="A258" s="34">
        <v>257</v>
      </c>
      <c r="B258" s="35" t="s">
        <v>4883</v>
      </c>
      <c r="C258" s="36" t="s">
        <v>3170</v>
      </c>
      <c r="D258" s="11" t="s">
        <v>1627</v>
      </c>
      <c r="E258" s="11" t="s">
        <v>1744</v>
      </c>
      <c r="F258" s="11">
        <v>8</v>
      </c>
      <c r="G258" s="11" t="s">
        <v>2391</v>
      </c>
      <c r="H258" s="11" t="s">
        <v>2390</v>
      </c>
      <c r="I258" s="11" t="s">
        <v>1453</v>
      </c>
      <c r="J258" s="11"/>
      <c r="K258" s="11"/>
      <c r="L258" s="11"/>
      <c r="M258" s="11" t="s">
        <v>2389</v>
      </c>
      <c r="N258" s="11"/>
      <c r="O258" s="11"/>
      <c r="P258" s="11"/>
      <c r="Q258" s="11"/>
      <c r="R258" s="11"/>
      <c r="S258" s="11" t="s">
        <v>2389</v>
      </c>
    </row>
    <row r="259" spans="1:19" hidden="1" x14ac:dyDescent="0.15">
      <c r="A259" s="34">
        <v>258</v>
      </c>
      <c r="B259" s="35" t="s">
        <v>4883</v>
      </c>
      <c r="C259" s="36" t="s">
        <v>3170</v>
      </c>
      <c r="D259" s="11" t="s">
        <v>1627</v>
      </c>
      <c r="E259" s="11" t="s">
        <v>1744</v>
      </c>
      <c r="F259" s="11">
        <v>5</v>
      </c>
      <c r="G259" s="11" t="s">
        <v>2388</v>
      </c>
      <c r="H259" s="11" t="s">
        <v>2387</v>
      </c>
      <c r="I259" s="11" t="s">
        <v>1453</v>
      </c>
      <c r="J259" s="11"/>
      <c r="K259" s="11"/>
      <c r="L259" s="11"/>
      <c r="M259" s="11" t="s">
        <v>2386</v>
      </c>
      <c r="N259" s="11"/>
      <c r="O259" s="11"/>
      <c r="P259" s="11"/>
      <c r="Q259" s="11"/>
      <c r="R259" s="11"/>
      <c r="S259" s="11" t="s">
        <v>2386</v>
      </c>
    </row>
    <row r="260" spans="1:19" hidden="1" x14ac:dyDescent="0.15">
      <c r="A260" s="34">
        <v>259</v>
      </c>
      <c r="B260" s="35" t="s">
        <v>4883</v>
      </c>
      <c r="C260" s="36" t="s">
        <v>3170</v>
      </c>
      <c r="D260" s="11" t="s">
        <v>1627</v>
      </c>
      <c r="E260" s="11" t="s">
        <v>1744</v>
      </c>
      <c r="F260" s="11">
        <v>3</v>
      </c>
      <c r="G260" s="11" t="s">
        <v>2385</v>
      </c>
      <c r="H260" s="11" t="s">
        <v>2384</v>
      </c>
      <c r="I260" s="11" t="s">
        <v>1453</v>
      </c>
      <c r="J260" s="11"/>
      <c r="K260" s="11"/>
      <c r="L260" s="11"/>
      <c r="M260" s="11" t="s">
        <v>2383</v>
      </c>
      <c r="N260" s="11"/>
      <c r="O260" s="11"/>
      <c r="P260" s="11"/>
      <c r="Q260" s="11"/>
      <c r="R260" s="11"/>
      <c r="S260" s="11" t="s">
        <v>2383</v>
      </c>
    </row>
    <row r="261" spans="1:19" hidden="1" x14ac:dyDescent="0.15">
      <c r="A261" s="34">
        <v>260</v>
      </c>
      <c r="B261" s="35" t="s">
        <v>4883</v>
      </c>
      <c r="C261" s="36" t="s">
        <v>3170</v>
      </c>
      <c r="D261" s="11" t="s">
        <v>1627</v>
      </c>
      <c r="E261" s="11" t="s">
        <v>1744</v>
      </c>
      <c r="F261" s="11">
        <v>8</v>
      </c>
      <c r="G261" s="11" t="s">
        <v>2382</v>
      </c>
      <c r="H261" s="11" t="s">
        <v>2381</v>
      </c>
      <c r="I261" s="11" t="s">
        <v>1453</v>
      </c>
      <c r="J261" s="11"/>
      <c r="K261" s="11"/>
      <c r="L261" s="11"/>
      <c r="M261" s="11" t="s">
        <v>2380</v>
      </c>
      <c r="N261" s="11" t="s">
        <v>2379</v>
      </c>
      <c r="O261" s="11"/>
      <c r="P261" s="11"/>
      <c r="Q261" s="11"/>
      <c r="R261" s="11"/>
      <c r="S261" s="11" t="s">
        <v>2378</v>
      </c>
    </row>
    <row r="262" spans="1:19" hidden="1" x14ac:dyDescent="0.15">
      <c r="A262" s="34">
        <v>261</v>
      </c>
      <c r="B262" s="35" t="s">
        <v>4883</v>
      </c>
      <c r="C262" s="36" t="s">
        <v>3170</v>
      </c>
      <c r="D262" s="11" t="s">
        <v>1627</v>
      </c>
      <c r="E262" s="11" t="s">
        <v>1744</v>
      </c>
      <c r="F262" s="11">
        <v>8</v>
      </c>
      <c r="G262" s="11" t="s">
        <v>2377</v>
      </c>
      <c r="H262" s="11" t="s">
        <v>2376</v>
      </c>
      <c r="I262" s="11" t="s">
        <v>1453</v>
      </c>
      <c r="J262" s="11"/>
      <c r="K262" s="11"/>
      <c r="L262" s="11"/>
      <c r="M262" s="11" t="s">
        <v>2375</v>
      </c>
      <c r="N262" s="11"/>
      <c r="O262" s="11"/>
      <c r="P262" s="11"/>
      <c r="Q262" s="11"/>
      <c r="R262" s="11"/>
      <c r="S262" s="11" t="s">
        <v>2375</v>
      </c>
    </row>
    <row r="263" spans="1:19" hidden="1" x14ac:dyDescent="0.15">
      <c r="A263" s="34">
        <v>262</v>
      </c>
      <c r="B263" s="35" t="s">
        <v>4883</v>
      </c>
      <c r="C263" s="36" t="s">
        <v>3170</v>
      </c>
      <c r="D263" s="11" t="s">
        <v>1627</v>
      </c>
      <c r="E263" s="11" t="s">
        <v>1744</v>
      </c>
      <c r="F263" s="11">
        <v>10</v>
      </c>
      <c r="G263" s="11" t="s">
        <v>2374</v>
      </c>
      <c r="H263" s="11" t="s">
        <v>2373</v>
      </c>
      <c r="I263" s="11" t="s">
        <v>1453</v>
      </c>
      <c r="J263" s="11"/>
      <c r="K263" s="11"/>
      <c r="L263" s="11"/>
      <c r="M263" s="11" t="s">
        <v>2372</v>
      </c>
      <c r="N263" s="11"/>
      <c r="O263" s="11"/>
      <c r="P263" s="11"/>
      <c r="Q263" s="11"/>
      <c r="R263" s="11"/>
      <c r="S263" s="11" t="s">
        <v>2372</v>
      </c>
    </row>
    <row r="264" spans="1:19" hidden="1" x14ac:dyDescent="0.15">
      <c r="A264" s="34">
        <v>263</v>
      </c>
      <c r="B264" s="35" t="s">
        <v>4883</v>
      </c>
      <c r="C264" s="36" t="s">
        <v>3170</v>
      </c>
      <c r="D264" s="11" t="s">
        <v>1627</v>
      </c>
      <c r="E264" s="11" t="s">
        <v>1744</v>
      </c>
      <c r="F264" s="11">
        <v>10</v>
      </c>
      <c r="G264" s="11" t="s">
        <v>2371</v>
      </c>
      <c r="H264" s="11" t="s">
        <v>2370</v>
      </c>
      <c r="I264" s="11" t="s">
        <v>288</v>
      </c>
      <c r="J264" s="11"/>
      <c r="K264" s="11"/>
      <c r="L264" s="11"/>
      <c r="M264" s="11" t="s">
        <v>2369</v>
      </c>
      <c r="N264" s="11" t="s">
        <v>2368</v>
      </c>
      <c r="O264" s="11"/>
      <c r="P264" s="11">
        <v>9</v>
      </c>
      <c r="Q264" s="11"/>
      <c r="R264" s="11"/>
      <c r="S264" s="11" t="s">
        <v>2367</v>
      </c>
    </row>
    <row r="265" spans="1:19" hidden="1" x14ac:dyDescent="0.15">
      <c r="A265" s="34">
        <v>264</v>
      </c>
      <c r="B265" s="35" t="s">
        <v>4883</v>
      </c>
      <c r="C265" s="36" t="s">
        <v>3170</v>
      </c>
      <c r="D265" s="11" t="s">
        <v>1627</v>
      </c>
      <c r="E265" s="11" t="s">
        <v>1451</v>
      </c>
      <c r="F265" s="11">
        <v>13</v>
      </c>
      <c r="G265" s="11" t="s">
        <v>2366</v>
      </c>
      <c r="H265" s="11" t="s">
        <v>2365</v>
      </c>
      <c r="I265" s="11" t="s">
        <v>339</v>
      </c>
      <c r="J265" s="11" t="s">
        <v>348</v>
      </c>
      <c r="K265" s="11" t="s">
        <v>1478</v>
      </c>
      <c r="L265" s="11"/>
      <c r="M265" s="11" t="s">
        <v>351</v>
      </c>
      <c r="N265" s="11" t="s">
        <v>2364</v>
      </c>
      <c r="O265" s="11"/>
      <c r="P265" s="11"/>
      <c r="Q265" s="11">
        <v>4</v>
      </c>
      <c r="R265" s="11">
        <v>4</v>
      </c>
      <c r="S265" s="11" t="s">
        <v>3313</v>
      </c>
    </row>
    <row r="266" spans="1:19" hidden="1" x14ac:dyDescent="0.15">
      <c r="A266" s="34">
        <v>265</v>
      </c>
      <c r="B266" s="35" t="s">
        <v>4883</v>
      </c>
      <c r="C266" s="36" t="s">
        <v>3170</v>
      </c>
      <c r="D266" s="11" t="s">
        <v>1627</v>
      </c>
      <c r="E266" s="11" t="s">
        <v>1451</v>
      </c>
      <c r="F266" s="11">
        <v>8</v>
      </c>
      <c r="G266" s="11" t="s">
        <v>2363</v>
      </c>
      <c r="H266" s="11" t="s">
        <v>2362</v>
      </c>
      <c r="I266" s="11" t="s">
        <v>339</v>
      </c>
      <c r="J266" s="11" t="s">
        <v>1471</v>
      </c>
      <c r="K266" s="11" t="s">
        <v>1929</v>
      </c>
      <c r="L266" s="11" t="s">
        <v>1478</v>
      </c>
      <c r="M266" s="11" t="s">
        <v>2361</v>
      </c>
      <c r="N266" s="11"/>
      <c r="O266" s="11"/>
      <c r="P266" s="11"/>
      <c r="Q266" s="11">
        <v>3</v>
      </c>
      <c r="R266" s="11">
        <v>3</v>
      </c>
      <c r="S266" s="11" t="s">
        <v>2361</v>
      </c>
    </row>
    <row r="267" spans="1:19" hidden="1" x14ac:dyDescent="0.15">
      <c r="A267" s="34">
        <v>266</v>
      </c>
      <c r="B267" s="35" t="s">
        <v>4883</v>
      </c>
      <c r="C267" s="36" t="s">
        <v>3170</v>
      </c>
      <c r="D267" s="11" t="s">
        <v>1627</v>
      </c>
      <c r="E267" s="11" t="s">
        <v>1451</v>
      </c>
      <c r="F267" s="11">
        <v>13</v>
      </c>
      <c r="G267" s="11" t="s">
        <v>2360</v>
      </c>
      <c r="H267" s="11" t="s">
        <v>2359</v>
      </c>
      <c r="I267" s="11" t="s">
        <v>339</v>
      </c>
      <c r="J267" s="11" t="s">
        <v>1471</v>
      </c>
      <c r="K267" s="11" t="s">
        <v>1799</v>
      </c>
      <c r="L267" s="11" t="s">
        <v>1478</v>
      </c>
      <c r="M267" s="11" t="s">
        <v>2358</v>
      </c>
      <c r="N267" s="11"/>
      <c r="O267" s="11"/>
      <c r="P267" s="11"/>
      <c r="Q267" s="11">
        <v>4</v>
      </c>
      <c r="R267" s="11">
        <v>4</v>
      </c>
      <c r="S267" s="11" t="s">
        <v>2358</v>
      </c>
    </row>
    <row r="268" spans="1:19" hidden="1" x14ac:dyDescent="0.15">
      <c r="A268" s="34">
        <v>267</v>
      </c>
      <c r="B268" s="35" t="s">
        <v>4883</v>
      </c>
      <c r="C268" s="36" t="s">
        <v>3170</v>
      </c>
      <c r="D268" s="11" t="s">
        <v>1627</v>
      </c>
      <c r="E268" s="11" t="s">
        <v>1451</v>
      </c>
      <c r="F268" s="11">
        <v>9</v>
      </c>
      <c r="G268" s="11" t="s">
        <v>2357</v>
      </c>
      <c r="H268" s="11" t="s">
        <v>2356</v>
      </c>
      <c r="I268" s="11" t="s">
        <v>339</v>
      </c>
      <c r="J268" s="11" t="s">
        <v>1471</v>
      </c>
      <c r="K268" s="11" t="s">
        <v>1799</v>
      </c>
      <c r="L268" s="11" t="s">
        <v>1478</v>
      </c>
      <c r="M268" s="11" t="s">
        <v>2355</v>
      </c>
      <c r="N268" s="11"/>
      <c r="O268" s="11"/>
      <c r="P268" s="11"/>
      <c r="Q268" s="11">
        <v>3</v>
      </c>
      <c r="R268" s="11">
        <v>4</v>
      </c>
      <c r="S268" s="11" t="s">
        <v>2355</v>
      </c>
    </row>
    <row r="269" spans="1:19" hidden="1" x14ac:dyDescent="0.15">
      <c r="A269" s="34">
        <v>268</v>
      </c>
      <c r="B269" s="35" t="s">
        <v>4883</v>
      </c>
      <c r="C269" s="36" t="s">
        <v>3170</v>
      </c>
      <c r="D269" s="11" t="s">
        <v>1627</v>
      </c>
      <c r="E269" s="11" t="s">
        <v>1451</v>
      </c>
      <c r="F269" s="11">
        <v>6</v>
      </c>
      <c r="G269" s="11" t="s">
        <v>2354</v>
      </c>
      <c r="H269" s="11" t="s">
        <v>2353</v>
      </c>
      <c r="I269" s="11" t="s">
        <v>339</v>
      </c>
      <c r="J269" s="11" t="s">
        <v>1489</v>
      </c>
      <c r="K269" s="11" t="s">
        <v>1470</v>
      </c>
      <c r="L269" s="11" t="s">
        <v>1478</v>
      </c>
      <c r="M269" s="11" t="s">
        <v>2352</v>
      </c>
      <c r="N269" s="11"/>
      <c r="O269" s="11"/>
      <c r="P269" s="11"/>
      <c r="Q269" s="11">
        <v>4</v>
      </c>
      <c r="R269" s="11">
        <v>4</v>
      </c>
      <c r="S269" s="11" t="s">
        <v>2352</v>
      </c>
    </row>
    <row r="270" spans="1:19" hidden="1" x14ac:dyDescent="0.15">
      <c r="A270" s="34">
        <v>269</v>
      </c>
      <c r="B270" s="35" t="s">
        <v>4883</v>
      </c>
      <c r="C270" s="36" t="s">
        <v>3170</v>
      </c>
      <c r="D270" s="11" t="s">
        <v>1627</v>
      </c>
      <c r="E270" s="11" t="s">
        <v>1451</v>
      </c>
      <c r="F270" s="11">
        <v>5</v>
      </c>
      <c r="G270" s="11" t="s">
        <v>2351</v>
      </c>
      <c r="H270" s="11" t="s">
        <v>2350</v>
      </c>
      <c r="I270" s="11" t="s">
        <v>1453</v>
      </c>
      <c r="J270" s="11"/>
      <c r="K270" s="11"/>
      <c r="L270" s="11"/>
      <c r="M270" s="11" t="s">
        <v>2349</v>
      </c>
      <c r="N270" s="11" t="s">
        <v>2348</v>
      </c>
      <c r="O270" s="11"/>
      <c r="P270" s="11"/>
      <c r="Q270" s="11"/>
      <c r="R270" s="11"/>
      <c r="S270" s="11" t="s">
        <v>2347</v>
      </c>
    </row>
    <row r="271" spans="1:19" hidden="1" x14ac:dyDescent="0.15">
      <c r="A271" s="34">
        <v>270</v>
      </c>
      <c r="B271" s="35" t="s">
        <v>4883</v>
      </c>
      <c r="C271" s="36" t="s">
        <v>3170</v>
      </c>
      <c r="D271" s="11" t="s">
        <v>1627</v>
      </c>
      <c r="E271" s="11" t="s">
        <v>1451</v>
      </c>
      <c r="F271" s="11">
        <v>4</v>
      </c>
      <c r="G271" s="11" t="s">
        <v>2346</v>
      </c>
      <c r="H271" s="11" t="s">
        <v>2345</v>
      </c>
      <c r="I271" s="11" t="s">
        <v>1453</v>
      </c>
      <c r="J271" s="11"/>
      <c r="K271" s="11"/>
      <c r="L271" s="11"/>
      <c r="M271" s="11" t="s">
        <v>2344</v>
      </c>
      <c r="N271" s="11" t="s">
        <v>1841</v>
      </c>
      <c r="O271" s="11"/>
      <c r="P271" s="11"/>
      <c r="Q271" s="11"/>
      <c r="R271" s="11"/>
      <c r="S271" s="11" t="s">
        <v>2343</v>
      </c>
    </row>
    <row r="272" spans="1:19" hidden="1" x14ac:dyDescent="0.15">
      <c r="A272" s="34">
        <v>271</v>
      </c>
      <c r="B272" s="35" t="s">
        <v>4883</v>
      </c>
      <c r="C272" s="36" t="s">
        <v>3170</v>
      </c>
      <c r="D272" s="11" t="s">
        <v>1627</v>
      </c>
      <c r="E272" s="11" t="s">
        <v>1451</v>
      </c>
      <c r="F272" s="11">
        <v>2</v>
      </c>
      <c r="G272" s="11" t="s">
        <v>2342</v>
      </c>
      <c r="H272" s="11" t="s">
        <v>2341</v>
      </c>
      <c r="I272" s="11" t="s">
        <v>1453</v>
      </c>
      <c r="J272" s="11"/>
      <c r="K272" s="11"/>
      <c r="L272" s="11"/>
      <c r="M272" s="11" t="s">
        <v>2340</v>
      </c>
      <c r="N272" s="11"/>
      <c r="O272" s="11"/>
      <c r="P272" s="11"/>
      <c r="Q272" s="11"/>
      <c r="R272" s="11"/>
      <c r="S272" s="11" t="s">
        <v>2340</v>
      </c>
    </row>
    <row r="273" spans="1:19" hidden="1" x14ac:dyDescent="0.15">
      <c r="A273" s="34">
        <v>272</v>
      </c>
      <c r="B273" s="35" t="s">
        <v>4883</v>
      </c>
      <c r="C273" s="36" t="s">
        <v>3170</v>
      </c>
      <c r="D273" s="11" t="s">
        <v>1627</v>
      </c>
      <c r="E273" s="11" t="s">
        <v>1451</v>
      </c>
      <c r="F273" s="11">
        <v>12</v>
      </c>
      <c r="G273" s="11" t="s">
        <v>2339</v>
      </c>
      <c r="H273" s="11" t="s">
        <v>2338</v>
      </c>
      <c r="I273" s="11" t="s">
        <v>1453</v>
      </c>
      <c r="J273" s="11"/>
      <c r="K273" s="11"/>
      <c r="L273" s="11"/>
      <c r="M273" s="11" t="s">
        <v>3314</v>
      </c>
      <c r="N273" s="11" t="s">
        <v>2337</v>
      </c>
      <c r="O273" s="11"/>
      <c r="P273" s="11"/>
      <c r="Q273" s="11"/>
      <c r="R273" s="11"/>
      <c r="S273" s="11" t="s">
        <v>3315</v>
      </c>
    </row>
    <row r="274" spans="1:19" hidden="1" x14ac:dyDescent="0.15">
      <c r="A274" s="34">
        <v>273</v>
      </c>
      <c r="B274" s="35" t="s">
        <v>4883</v>
      </c>
      <c r="C274" s="36" t="s">
        <v>3170</v>
      </c>
      <c r="D274" s="11" t="s">
        <v>1627</v>
      </c>
      <c r="E274" s="11" t="s">
        <v>1451</v>
      </c>
      <c r="F274" s="11">
        <v>11</v>
      </c>
      <c r="G274" s="11" t="s">
        <v>2336</v>
      </c>
      <c r="H274" s="11" t="s">
        <v>2335</v>
      </c>
      <c r="I274" s="11" t="s">
        <v>288</v>
      </c>
      <c r="J274" s="11" t="s">
        <v>6250</v>
      </c>
      <c r="K274" s="11"/>
      <c r="L274" s="11"/>
      <c r="M274" s="11" t="s">
        <v>2334</v>
      </c>
      <c r="N274" s="11"/>
      <c r="O274" s="11"/>
      <c r="P274" s="11">
        <v>2</v>
      </c>
      <c r="Q274" s="11"/>
      <c r="R274" s="11"/>
      <c r="S274" s="11" t="s">
        <v>2334</v>
      </c>
    </row>
    <row r="275" spans="1:19" hidden="1" x14ac:dyDescent="0.15">
      <c r="A275" s="34">
        <v>274</v>
      </c>
      <c r="B275" s="35" t="s">
        <v>4883</v>
      </c>
      <c r="C275" s="36" t="s">
        <v>3170</v>
      </c>
      <c r="D275" s="11" t="s">
        <v>1627</v>
      </c>
      <c r="E275" s="11" t="s">
        <v>1451</v>
      </c>
      <c r="F275" s="11">
        <v>4</v>
      </c>
      <c r="G275" s="11" t="s">
        <v>2333</v>
      </c>
      <c r="H275" s="11" t="s">
        <v>2332</v>
      </c>
      <c r="I275" s="11" t="s">
        <v>288</v>
      </c>
      <c r="J275" s="11"/>
      <c r="K275" s="11"/>
      <c r="L275" s="11"/>
      <c r="M275" s="11" t="s">
        <v>2331</v>
      </c>
      <c r="N275" s="11"/>
      <c r="O275" s="11"/>
      <c r="P275" s="11">
        <v>4</v>
      </c>
      <c r="Q275" s="11"/>
      <c r="R275" s="11"/>
      <c r="S275" s="11" t="s">
        <v>2331</v>
      </c>
    </row>
    <row r="276" spans="1:19" hidden="1" x14ac:dyDescent="0.15">
      <c r="A276" s="34">
        <v>275</v>
      </c>
      <c r="B276" s="35" t="s">
        <v>4883</v>
      </c>
      <c r="C276" s="36" t="s">
        <v>3170</v>
      </c>
      <c r="D276" s="11" t="s">
        <v>1627</v>
      </c>
      <c r="E276" s="11" t="s">
        <v>1441</v>
      </c>
      <c r="F276" s="11">
        <v>5</v>
      </c>
      <c r="G276" s="11" t="s">
        <v>2330</v>
      </c>
      <c r="H276" s="11" t="s">
        <v>2329</v>
      </c>
      <c r="I276" s="11" t="s">
        <v>339</v>
      </c>
      <c r="J276" s="11" t="s">
        <v>1489</v>
      </c>
      <c r="K276" s="11" t="s">
        <v>1929</v>
      </c>
      <c r="L276" s="11" t="s">
        <v>1478</v>
      </c>
      <c r="M276" s="11" t="s">
        <v>2328</v>
      </c>
      <c r="N276" s="11"/>
      <c r="O276" s="11"/>
      <c r="P276" s="11"/>
      <c r="Q276" s="11">
        <v>3</v>
      </c>
      <c r="R276" s="11">
        <v>2</v>
      </c>
      <c r="S276" s="11" t="s">
        <v>2328</v>
      </c>
    </row>
    <row r="277" spans="1:19" hidden="1" x14ac:dyDescent="0.15">
      <c r="A277" s="34">
        <v>276</v>
      </c>
      <c r="B277" s="35" t="s">
        <v>4883</v>
      </c>
      <c r="C277" s="36" t="s">
        <v>3170</v>
      </c>
      <c r="D277" s="11" t="s">
        <v>1627</v>
      </c>
      <c r="E277" s="11" t="s">
        <v>1431</v>
      </c>
      <c r="F277" s="11">
        <v>11</v>
      </c>
      <c r="G277" s="11" t="s">
        <v>2327</v>
      </c>
      <c r="H277" s="11" t="s">
        <v>2326</v>
      </c>
      <c r="I277" s="11" t="s">
        <v>339</v>
      </c>
      <c r="J277" s="11" t="s">
        <v>348</v>
      </c>
      <c r="K277" s="11"/>
      <c r="L277" s="11"/>
      <c r="M277" s="11" t="s">
        <v>351</v>
      </c>
      <c r="N277" s="11" t="s">
        <v>2325</v>
      </c>
      <c r="O277" s="11" t="s">
        <v>2324</v>
      </c>
      <c r="P277" s="11"/>
      <c r="Q277" s="11">
        <v>4</v>
      </c>
      <c r="R277" s="11">
        <v>4</v>
      </c>
      <c r="S277" s="11" t="s">
        <v>3316</v>
      </c>
    </row>
    <row r="278" spans="1:19" hidden="1" x14ac:dyDescent="0.15">
      <c r="A278" s="34">
        <v>277</v>
      </c>
      <c r="B278" s="35" t="s">
        <v>4883</v>
      </c>
      <c r="C278" s="36" t="s">
        <v>3170</v>
      </c>
      <c r="D278" s="11" t="s">
        <v>1627</v>
      </c>
      <c r="E278" s="11" t="s">
        <v>1431</v>
      </c>
      <c r="F278" s="11">
        <v>8</v>
      </c>
      <c r="G278" s="11" t="s">
        <v>2323</v>
      </c>
      <c r="H278" s="11" t="s">
        <v>2322</v>
      </c>
      <c r="I278" s="11" t="s">
        <v>339</v>
      </c>
      <c r="J278" s="11" t="s">
        <v>1890</v>
      </c>
      <c r="K278" s="11" t="s">
        <v>357</v>
      </c>
      <c r="L278" s="11"/>
      <c r="M278" s="11" t="s">
        <v>2321</v>
      </c>
      <c r="N278" s="11"/>
      <c r="O278" s="11"/>
      <c r="P278" s="11"/>
      <c r="Q278" s="11">
        <v>4</v>
      </c>
      <c r="R278" s="11">
        <v>6</v>
      </c>
      <c r="S278" s="11" t="s">
        <v>2321</v>
      </c>
    </row>
    <row r="279" spans="1:19" hidden="1" x14ac:dyDescent="0.15">
      <c r="A279" s="34">
        <v>278</v>
      </c>
      <c r="B279" s="35" t="s">
        <v>4883</v>
      </c>
      <c r="C279" s="36" t="s">
        <v>3170</v>
      </c>
      <c r="D279" s="11" t="s">
        <v>1627</v>
      </c>
      <c r="E279" s="11" t="s">
        <v>1431</v>
      </c>
      <c r="F279" s="11">
        <v>18</v>
      </c>
      <c r="G279" s="11" t="s">
        <v>2320</v>
      </c>
      <c r="H279" s="11" t="s">
        <v>2319</v>
      </c>
      <c r="I279" s="11" t="s">
        <v>339</v>
      </c>
      <c r="J279" s="11" t="s">
        <v>1489</v>
      </c>
      <c r="K279" s="11" t="s">
        <v>1533</v>
      </c>
      <c r="L279" s="11" t="s">
        <v>1478</v>
      </c>
      <c r="M279" s="11" t="s">
        <v>2318</v>
      </c>
      <c r="N279" s="11"/>
      <c r="O279" s="11"/>
      <c r="P279" s="11"/>
      <c r="Q279" s="11">
        <v>8</v>
      </c>
      <c r="R279" s="11">
        <v>7</v>
      </c>
      <c r="S279" s="11" t="s">
        <v>2318</v>
      </c>
    </row>
    <row r="280" spans="1:19" hidden="1" x14ac:dyDescent="0.15">
      <c r="A280" s="34">
        <v>279</v>
      </c>
      <c r="B280" s="35" t="s">
        <v>4883</v>
      </c>
      <c r="C280" s="36" t="s">
        <v>3170</v>
      </c>
      <c r="D280" s="11" t="s">
        <v>1627</v>
      </c>
      <c r="E280" s="11" t="s">
        <v>1431</v>
      </c>
      <c r="F280" s="11">
        <v>15</v>
      </c>
      <c r="G280" s="11" t="s">
        <v>2317</v>
      </c>
      <c r="H280" s="11" t="s">
        <v>2316</v>
      </c>
      <c r="I280" s="11" t="s">
        <v>288</v>
      </c>
      <c r="J280" s="11"/>
      <c r="K280" s="11"/>
      <c r="L280" s="11"/>
      <c r="M280" s="11" t="s">
        <v>2315</v>
      </c>
      <c r="N280" s="11" t="s">
        <v>2314</v>
      </c>
      <c r="O280" s="11"/>
      <c r="P280" s="11">
        <v>3</v>
      </c>
      <c r="Q280" s="11"/>
      <c r="R280" s="11"/>
      <c r="S280" s="11" t="s">
        <v>2313</v>
      </c>
    </row>
    <row r="281" spans="1:19" hidden="1" x14ac:dyDescent="0.15">
      <c r="A281" s="34">
        <v>280</v>
      </c>
      <c r="B281" s="35" t="s">
        <v>4883</v>
      </c>
      <c r="C281" s="36" t="s">
        <v>3170</v>
      </c>
      <c r="D281" s="11" t="s">
        <v>1606</v>
      </c>
      <c r="E281" s="11" t="s">
        <v>1744</v>
      </c>
      <c r="F281" s="11">
        <v>8</v>
      </c>
      <c r="G281" s="11" t="s">
        <v>2312</v>
      </c>
      <c r="H281" s="11" t="s">
        <v>2311</v>
      </c>
      <c r="I281" s="11" t="s">
        <v>339</v>
      </c>
      <c r="J281" s="11" t="s">
        <v>1435</v>
      </c>
      <c r="K281" s="11" t="s">
        <v>1501</v>
      </c>
      <c r="L281" s="11"/>
      <c r="M281" s="11" t="s">
        <v>3317</v>
      </c>
      <c r="N281" s="11" t="s">
        <v>2310</v>
      </c>
      <c r="O281" s="11" t="s">
        <v>2169</v>
      </c>
      <c r="P281" s="11"/>
      <c r="Q281" s="11">
        <v>3</v>
      </c>
      <c r="R281" s="11">
        <v>1</v>
      </c>
      <c r="S281" s="11" t="s">
        <v>3318</v>
      </c>
    </row>
    <row r="282" spans="1:19" hidden="1" x14ac:dyDescent="0.15">
      <c r="A282" s="34">
        <v>281</v>
      </c>
      <c r="B282" s="35" t="s">
        <v>4883</v>
      </c>
      <c r="C282" s="36" t="s">
        <v>3170</v>
      </c>
      <c r="D282" s="11" t="s">
        <v>1606</v>
      </c>
      <c r="E282" s="11" t="s">
        <v>1744</v>
      </c>
      <c r="F282" s="11">
        <v>5</v>
      </c>
      <c r="G282" s="11" t="s">
        <v>2309</v>
      </c>
      <c r="H282" s="11" t="s">
        <v>2308</v>
      </c>
      <c r="I282" s="11" t="s">
        <v>339</v>
      </c>
      <c r="J282" s="11" t="s">
        <v>2307</v>
      </c>
      <c r="K282" s="11"/>
      <c r="L282" s="11"/>
      <c r="M282" s="11" t="s">
        <v>351</v>
      </c>
      <c r="N282" s="11"/>
      <c r="O282" s="11"/>
      <c r="P282" s="11"/>
      <c r="Q282" s="11">
        <v>2</v>
      </c>
      <c r="R282" s="11">
        <v>1</v>
      </c>
      <c r="S282" s="11" t="s">
        <v>351</v>
      </c>
    </row>
    <row r="283" spans="1:19" hidden="1" x14ac:dyDescent="0.15">
      <c r="A283" s="34">
        <v>282</v>
      </c>
      <c r="B283" s="35" t="s">
        <v>4883</v>
      </c>
      <c r="C283" s="36" t="s">
        <v>3170</v>
      </c>
      <c r="D283" s="11" t="s">
        <v>1606</v>
      </c>
      <c r="E283" s="11" t="s">
        <v>1744</v>
      </c>
      <c r="F283" s="11">
        <v>11</v>
      </c>
      <c r="G283" s="11" t="s">
        <v>2306</v>
      </c>
      <c r="H283" s="11" t="s">
        <v>2305</v>
      </c>
      <c r="I283" s="11" t="s">
        <v>339</v>
      </c>
      <c r="J283" s="11" t="s">
        <v>1435</v>
      </c>
      <c r="K283" s="11" t="s">
        <v>1501</v>
      </c>
      <c r="L283" s="11"/>
      <c r="M283" s="11" t="s">
        <v>3319</v>
      </c>
      <c r="N283" s="11" t="s">
        <v>1786</v>
      </c>
      <c r="O283" s="11"/>
      <c r="P283" s="11"/>
      <c r="Q283" s="11">
        <v>2</v>
      </c>
      <c r="R283" s="11">
        <v>1</v>
      </c>
      <c r="S283" s="11" t="s">
        <v>3320</v>
      </c>
    </row>
    <row r="284" spans="1:19" hidden="1" x14ac:dyDescent="0.15">
      <c r="A284" s="34">
        <v>283</v>
      </c>
      <c r="B284" s="35" t="s">
        <v>4883</v>
      </c>
      <c r="C284" s="36" t="s">
        <v>3170</v>
      </c>
      <c r="D284" s="11" t="s">
        <v>1606</v>
      </c>
      <c r="E284" s="11" t="s">
        <v>1744</v>
      </c>
      <c r="F284" s="11">
        <v>7</v>
      </c>
      <c r="G284" s="11" t="s">
        <v>2304</v>
      </c>
      <c r="H284" s="11" t="s">
        <v>2303</v>
      </c>
      <c r="I284" s="11" t="s">
        <v>339</v>
      </c>
      <c r="J284" s="11" t="s">
        <v>1435</v>
      </c>
      <c r="K284" s="11" t="s">
        <v>1501</v>
      </c>
      <c r="L284" s="11"/>
      <c r="M284" s="11" t="s">
        <v>3321</v>
      </c>
      <c r="N284" s="11" t="s">
        <v>2302</v>
      </c>
      <c r="O284" s="11"/>
      <c r="P284" s="11"/>
      <c r="Q284" s="11">
        <v>1</v>
      </c>
      <c r="R284" s="11">
        <v>2</v>
      </c>
      <c r="S284" s="11" t="s">
        <v>3322</v>
      </c>
    </row>
    <row r="285" spans="1:19" hidden="1" x14ac:dyDescent="0.15">
      <c r="A285" s="34">
        <v>284</v>
      </c>
      <c r="B285" s="35" t="s">
        <v>4883</v>
      </c>
      <c r="C285" s="36" t="s">
        <v>3170</v>
      </c>
      <c r="D285" s="11" t="s">
        <v>1606</v>
      </c>
      <c r="E285" s="11" t="s">
        <v>1744</v>
      </c>
      <c r="F285" s="11">
        <v>5</v>
      </c>
      <c r="G285" s="11" t="s">
        <v>2301</v>
      </c>
      <c r="H285" s="11" t="s">
        <v>2300</v>
      </c>
      <c r="I285" s="11" t="s">
        <v>339</v>
      </c>
      <c r="J285" s="11" t="s">
        <v>1435</v>
      </c>
      <c r="K285" s="11" t="s">
        <v>1501</v>
      </c>
      <c r="L285" s="11"/>
      <c r="M285" s="11" t="s">
        <v>3319</v>
      </c>
      <c r="N285" s="11" t="s">
        <v>2169</v>
      </c>
      <c r="O285" s="11"/>
      <c r="P285" s="11"/>
      <c r="Q285" s="11">
        <v>1</v>
      </c>
      <c r="R285" s="11">
        <v>2</v>
      </c>
      <c r="S285" s="11" t="s">
        <v>3323</v>
      </c>
    </row>
    <row r="286" spans="1:19" hidden="1" x14ac:dyDescent="0.15">
      <c r="A286" s="34">
        <v>285</v>
      </c>
      <c r="B286" s="35" t="s">
        <v>4883</v>
      </c>
      <c r="C286" s="36" t="s">
        <v>3170</v>
      </c>
      <c r="D286" s="11" t="s">
        <v>1606</v>
      </c>
      <c r="E286" s="11" t="s">
        <v>1744</v>
      </c>
      <c r="F286" s="11">
        <v>3</v>
      </c>
      <c r="G286" s="11" t="s">
        <v>2299</v>
      </c>
      <c r="H286" s="11" t="s">
        <v>2298</v>
      </c>
      <c r="I286" s="11" t="s">
        <v>339</v>
      </c>
      <c r="J286" s="11" t="s">
        <v>1435</v>
      </c>
      <c r="K286" s="11" t="s">
        <v>1717</v>
      </c>
      <c r="L286" s="11"/>
      <c r="M286" s="11" t="s">
        <v>3317</v>
      </c>
      <c r="N286" s="11" t="s">
        <v>2297</v>
      </c>
      <c r="O286" s="11"/>
      <c r="P286" s="11"/>
      <c r="Q286" s="11">
        <v>2</v>
      </c>
      <c r="R286" s="11">
        <v>1</v>
      </c>
      <c r="S286" s="11" t="s">
        <v>4913</v>
      </c>
    </row>
    <row r="287" spans="1:19" hidden="1" x14ac:dyDescent="0.15">
      <c r="A287" s="34">
        <v>286</v>
      </c>
      <c r="B287" s="35" t="s">
        <v>4883</v>
      </c>
      <c r="C287" s="36" t="s">
        <v>3170</v>
      </c>
      <c r="D287" s="11" t="s">
        <v>1606</v>
      </c>
      <c r="E287" s="11" t="s">
        <v>1744</v>
      </c>
      <c r="F287" s="11">
        <v>6</v>
      </c>
      <c r="G287" s="11" t="s">
        <v>2296</v>
      </c>
      <c r="H287" s="11" t="s">
        <v>2295</v>
      </c>
      <c r="I287" s="11" t="s">
        <v>339</v>
      </c>
      <c r="J287" s="11" t="s">
        <v>1435</v>
      </c>
      <c r="K287" s="11" t="s">
        <v>1501</v>
      </c>
      <c r="L287" s="11"/>
      <c r="M287" s="11" t="s">
        <v>3321</v>
      </c>
      <c r="N287" s="11" t="s">
        <v>2169</v>
      </c>
      <c r="O287" s="11" t="s">
        <v>2294</v>
      </c>
      <c r="P287" s="11"/>
      <c r="Q287" s="11">
        <v>1</v>
      </c>
      <c r="R287" s="11">
        <v>1</v>
      </c>
      <c r="S287" s="11" t="s">
        <v>3325</v>
      </c>
    </row>
    <row r="288" spans="1:19" hidden="1" x14ac:dyDescent="0.15">
      <c r="A288" s="34">
        <v>287</v>
      </c>
      <c r="B288" s="35" t="s">
        <v>4883</v>
      </c>
      <c r="C288" s="36" t="s">
        <v>3170</v>
      </c>
      <c r="D288" s="11" t="s">
        <v>1606</v>
      </c>
      <c r="E288" s="11" t="s">
        <v>1744</v>
      </c>
      <c r="F288" s="11">
        <v>6</v>
      </c>
      <c r="G288" s="11" t="s">
        <v>2293</v>
      </c>
      <c r="H288" s="11" t="s">
        <v>2292</v>
      </c>
      <c r="I288" s="11" t="s">
        <v>339</v>
      </c>
      <c r="J288" s="11" t="s">
        <v>1435</v>
      </c>
      <c r="K288" s="11" t="s">
        <v>1501</v>
      </c>
      <c r="L288" s="11"/>
      <c r="M288" s="11" t="s">
        <v>3317</v>
      </c>
      <c r="N288" s="11" t="s">
        <v>2291</v>
      </c>
      <c r="O288" s="11"/>
      <c r="P288" s="11"/>
      <c r="Q288" s="11">
        <v>1</v>
      </c>
      <c r="R288" s="11">
        <v>3</v>
      </c>
      <c r="S288" s="11" t="s">
        <v>3326</v>
      </c>
    </row>
    <row r="289" spans="1:19" hidden="1" x14ac:dyDescent="0.15">
      <c r="A289" s="34">
        <v>288</v>
      </c>
      <c r="B289" s="35" t="s">
        <v>4883</v>
      </c>
      <c r="C289" s="36" t="s">
        <v>3170</v>
      </c>
      <c r="D289" s="11" t="s">
        <v>1606</v>
      </c>
      <c r="E289" s="11" t="s">
        <v>1744</v>
      </c>
      <c r="F289" s="11">
        <v>6</v>
      </c>
      <c r="G289" s="11" t="s">
        <v>2290</v>
      </c>
      <c r="H289" s="11" t="s">
        <v>2289</v>
      </c>
      <c r="I289" s="11" t="s">
        <v>339</v>
      </c>
      <c r="J289" s="11" t="s">
        <v>1537</v>
      </c>
      <c r="K289" s="11"/>
      <c r="L289" s="11"/>
      <c r="M289" s="11" t="s">
        <v>351</v>
      </c>
      <c r="N289" s="11" t="s">
        <v>1831</v>
      </c>
      <c r="O289" s="11"/>
      <c r="P289" s="11"/>
      <c r="Q289" s="11">
        <v>1</v>
      </c>
      <c r="R289" s="11">
        <v>2</v>
      </c>
      <c r="S289" s="11" t="s">
        <v>3327</v>
      </c>
    </row>
    <row r="290" spans="1:19" hidden="1" x14ac:dyDescent="0.15">
      <c r="A290" s="34">
        <v>289</v>
      </c>
      <c r="B290" s="35" t="s">
        <v>4883</v>
      </c>
      <c r="C290" s="36" t="s">
        <v>3170</v>
      </c>
      <c r="D290" s="11" t="s">
        <v>1606</v>
      </c>
      <c r="E290" s="11" t="s">
        <v>1744</v>
      </c>
      <c r="F290" s="11">
        <v>4</v>
      </c>
      <c r="G290" s="11" t="s">
        <v>2288</v>
      </c>
      <c r="H290" s="11" t="s">
        <v>2287</v>
      </c>
      <c r="I290" s="11" t="s">
        <v>339</v>
      </c>
      <c r="J290" s="11" t="s">
        <v>1464</v>
      </c>
      <c r="K290" s="11" t="s">
        <v>1463</v>
      </c>
      <c r="L290" s="11"/>
      <c r="M290" s="11"/>
      <c r="N290" s="11"/>
      <c r="O290" s="11"/>
      <c r="P290" s="11"/>
      <c r="Q290" s="11">
        <v>2</v>
      </c>
      <c r="R290" s="11">
        <v>1</v>
      </c>
      <c r="S290" s="11"/>
    </row>
    <row r="291" spans="1:19" hidden="1" x14ac:dyDescent="0.15">
      <c r="A291" s="34">
        <v>290</v>
      </c>
      <c r="B291" s="35" t="s">
        <v>4883</v>
      </c>
      <c r="C291" s="36" t="s">
        <v>3170</v>
      </c>
      <c r="D291" s="11" t="s">
        <v>1606</v>
      </c>
      <c r="E291" s="11" t="s">
        <v>1744</v>
      </c>
      <c r="F291" s="11">
        <v>4</v>
      </c>
      <c r="G291" s="11" t="s">
        <v>2286</v>
      </c>
      <c r="H291" s="11" t="s">
        <v>2285</v>
      </c>
      <c r="I291" s="11" t="s">
        <v>1453</v>
      </c>
      <c r="J291" s="11"/>
      <c r="K291" s="11"/>
      <c r="L291" s="11"/>
      <c r="M291" s="11" t="s">
        <v>2284</v>
      </c>
      <c r="N291" s="11"/>
      <c r="O291" s="11"/>
      <c r="P291" s="11"/>
      <c r="Q291" s="11"/>
      <c r="R291" s="11"/>
      <c r="S291" s="11" t="s">
        <v>2284</v>
      </c>
    </row>
    <row r="292" spans="1:19" hidden="1" x14ac:dyDescent="0.15">
      <c r="A292" s="34">
        <v>291</v>
      </c>
      <c r="B292" s="35" t="s">
        <v>4883</v>
      </c>
      <c r="C292" s="36" t="s">
        <v>3170</v>
      </c>
      <c r="D292" s="11" t="s">
        <v>1606</v>
      </c>
      <c r="E292" s="11" t="s">
        <v>1744</v>
      </c>
      <c r="F292" s="11">
        <v>6</v>
      </c>
      <c r="G292" s="11" t="s">
        <v>2283</v>
      </c>
      <c r="H292" s="11" t="s">
        <v>2282</v>
      </c>
      <c r="I292" s="11" t="s">
        <v>1453</v>
      </c>
      <c r="J292" s="11"/>
      <c r="K292" s="11"/>
      <c r="L292" s="11"/>
      <c r="M292" s="11" t="s">
        <v>2281</v>
      </c>
      <c r="N292" s="11" t="s">
        <v>2268</v>
      </c>
      <c r="O292" s="11"/>
      <c r="P292" s="11"/>
      <c r="Q292" s="11"/>
      <c r="R292" s="11"/>
      <c r="S292" s="11" t="s">
        <v>2280</v>
      </c>
    </row>
    <row r="293" spans="1:19" hidden="1" x14ac:dyDescent="0.15">
      <c r="A293" s="34">
        <v>292</v>
      </c>
      <c r="B293" s="35" t="s">
        <v>4883</v>
      </c>
      <c r="C293" s="36" t="s">
        <v>3170</v>
      </c>
      <c r="D293" s="11" t="s">
        <v>1606</v>
      </c>
      <c r="E293" s="11" t="s">
        <v>1744</v>
      </c>
      <c r="F293" s="11">
        <v>6</v>
      </c>
      <c r="G293" s="11" t="s">
        <v>2279</v>
      </c>
      <c r="H293" s="11" t="s">
        <v>2278</v>
      </c>
      <c r="I293" s="11" t="s">
        <v>1453</v>
      </c>
      <c r="J293" s="11"/>
      <c r="K293" s="11"/>
      <c r="L293" s="11"/>
      <c r="M293" s="11" t="s">
        <v>2277</v>
      </c>
      <c r="N293" s="11"/>
      <c r="O293" s="11"/>
      <c r="P293" s="11"/>
      <c r="Q293" s="11"/>
      <c r="R293" s="11"/>
      <c r="S293" s="11" t="s">
        <v>2277</v>
      </c>
    </row>
    <row r="294" spans="1:19" hidden="1" x14ac:dyDescent="0.15">
      <c r="A294" s="34">
        <v>293</v>
      </c>
      <c r="B294" s="35" t="s">
        <v>4883</v>
      </c>
      <c r="C294" s="36" t="s">
        <v>3170</v>
      </c>
      <c r="D294" s="11" t="s">
        <v>1606</v>
      </c>
      <c r="E294" s="11" t="s">
        <v>1744</v>
      </c>
      <c r="F294" s="11">
        <v>2</v>
      </c>
      <c r="G294" s="11" t="s">
        <v>2276</v>
      </c>
      <c r="H294" s="11" t="s">
        <v>2275</v>
      </c>
      <c r="I294" s="11" t="s">
        <v>1453</v>
      </c>
      <c r="J294" s="11"/>
      <c r="K294" s="11"/>
      <c r="L294" s="11"/>
      <c r="M294" s="11" t="s">
        <v>2274</v>
      </c>
      <c r="N294" s="11" t="s">
        <v>2273</v>
      </c>
      <c r="O294" s="11"/>
      <c r="P294" s="11"/>
      <c r="Q294" s="11"/>
      <c r="R294" s="11"/>
      <c r="S294" s="11" t="s">
        <v>2272</v>
      </c>
    </row>
    <row r="295" spans="1:19" hidden="1" x14ac:dyDescent="0.15">
      <c r="A295" s="34">
        <v>294</v>
      </c>
      <c r="B295" s="35" t="s">
        <v>4883</v>
      </c>
      <c r="C295" s="36" t="s">
        <v>3170</v>
      </c>
      <c r="D295" s="11" t="s">
        <v>1606</v>
      </c>
      <c r="E295" s="11" t="s">
        <v>1744</v>
      </c>
      <c r="F295" s="11">
        <v>1</v>
      </c>
      <c r="G295" s="11" t="s">
        <v>2271</v>
      </c>
      <c r="H295" s="11" t="s">
        <v>2270</v>
      </c>
      <c r="I295" s="11" t="s">
        <v>1453</v>
      </c>
      <c r="J295" s="11"/>
      <c r="K295" s="11"/>
      <c r="L295" s="11"/>
      <c r="M295" s="11" t="s">
        <v>2269</v>
      </c>
      <c r="N295" s="11" t="s">
        <v>2268</v>
      </c>
      <c r="O295" s="11"/>
      <c r="P295" s="11"/>
      <c r="Q295" s="11"/>
      <c r="R295" s="11"/>
      <c r="S295" s="11" t="s">
        <v>2267</v>
      </c>
    </row>
    <row r="296" spans="1:19" hidden="1" x14ac:dyDescent="0.15">
      <c r="A296" s="34">
        <v>295</v>
      </c>
      <c r="B296" s="35" t="s">
        <v>4883</v>
      </c>
      <c r="C296" s="36" t="s">
        <v>3170</v>
      </c>
      <c r="D296" s="11" t="s">
        <v>1606</v>
      </c>
      <c r="E296" s="11" t="s">
        <v>1744</v>
      </c>
      <c r="F296" s="11">
        <v>5</v>
      </c>
      <c r="G296" s="11" t="s">
        <v>2266</v>
      </c>
      <c r="H296" s="11" t="s">
        <v>2265</v>
      </c>
      <c r="I296" s="11" t="s">
        <v>1453</v>
      </c>
      <c r="J296" s="11"/>
      <c r="K296" s="11"/>
      <c r="L296" s="11"/>
      <c r="M296" s="11" t="s">
        <v>3317</v>
      </c>
      <c r="N296" s="11" t="s">
        <v>2264</v>
      </c>
      <c r="O296" s="11"/>
      <c r="P296" s="11"/>
      <c r="Q296" s="11"/>
      <c r="R296" s="11"/>
      <c r="S296" s="11" t="s">
        <v>3328</v>
      </c>
    </row>
    <row r="297" spans="1:19" hidden="1" x14ac:dyDescent="0.15">
      <c r="A297" s="34">
        <v>296</v>
      </c>
      <c r="B297" s="35" t="s">
        <v>4883</v>
      </c>
      <c r="C297" s="36" t="s">
        <v>3170</v>
      </c>
      <c r="D297" s="11" t="s">
        <v>1606</v>
      </c>
      <c r="E297" s="11" t="s">
        <v>1744</v>
      </c>
      <c r="F297" s="11">
        <v>10</v>
      </c>
      <c r="G297" s="11" t="s">
        <v>2263</v>
      </c>
      <c r="H297" s="11" t="s">
        <v>2262</v>
      </c>
      <c r="I297" s="11" t="s">
        <v>1453</v>
      </c>
      <c r="J297" s="11"/>
      <c r="K297" s="11"/>
      <c r="L297" s="11"/>
      <c r="M297" s="11" t="s">
        <v>2261</v>
      </c>
      <c r="N297" s="11"/>
      <c r="O297" s="11"/>
      <c r="P297" s="11"/>
      <c r="Q297" s="11"/>
      <c r="R297" s="11"/>
      <c r="S297" s="11" t="s">
        <v>2261</v>
      </c>
    </row>
    <row r="298" spans="1:19" hidden="1" x14ac:dyDescent="0.15">
      <c r="A298" s="34">
        <v>297</v>
      </c>
      <c r="B298" s="35" t="s">
        <v>4883</v>
      </c>
      <c r="C298" s="36" t="s">
        <v>3170</v>
      </c>
      <c r="D298" s="11" t="s">
        <v>1606</v>
      </c>
      <c r="E298" s="11" t="s">
        <v>1744</v>
      </c>
      <c r="F298" s="11">
        <v>7</v>
      </c>
      <c r="G298" s="11" t="s">
        <v>2260</v>
      </c>
      <c r="H298" s="11" t="s">
        <v>2259</v>
      </c>
      <c r="I298" s="11" t="s">
        <v>288</v>
      </c>
      <c r="J298" s="11"/>
      <c r="K298" s="11"/>
      <c r="L298" s="11"/>
      <c r="M298" s="11" t="s">
        <v>2258</v>
      </c>
      <c r="N298" s="11"/>
      <c r="O298" s="11"/>
      <c r="P298" s="11">
        <v>2</v>
      </c>
      <c r="Q298" s="11"/>
      <c r="R298" s="11"/>
      <c r="S298" s="11" t="s">
        <v>2258</v>
      </c>
    </row>
    <row r="299" spans="1:19" hidden="1" x14ac:dyDescent="0.15">
      <c r="A299" s="34">
        <v>298</v>
      </c>
      <c r="B299" s="35" t="s">
        <v>4883</v>
      </c>
      <c r="C299" s="36" t="s">
        <v>3170</v>
      </c>
      <c r="D299" s="11" t="s">
        <v>1606</v>
      </c>
      <c r="E299" s="11" t="s">
        <v>1451</v>
      </c>
      <c r="F299" s="11">
        <v>7</v>
      </c>
      <c r="G299" s="11" t="s">
        <v>2257</v>
      </c>
      <c r="H299" s="11" t="s">
        <v>2256</v>
      </c>
      <c r="I299" s="11" t="s">
        <v>339</v>
      </c>
      <c r="J299" s="11" t="s">
        <v>1464</v>
      </c>
      <c r="K299" s="11" t="s">
        <v>1929</v>
      </c>
      <c r="L299" s="11" t="s">
        <v>1478</v>
      </c>
      <c r="M299" s="11" t="s">
        <v>2255</v>
      </c>
      <c r="N299" s="11"/>
      <c r="O299" s="11"/>
      <c r="P299" s="11"/>
      <c r="Q299" s="11">
        <v>4</v>
      </c>
      <c r="R299" s="11">
        <v>3</v>
      </c>
      <c r="S299" s="11" t="s">
        <v>2255</v>
      </c>
    </row>
    <row r="300" spans="1:19" hidden="1" x14ac:dyDescent="0.15">
      <c r="A300" s="34">
        <v>299</v>
      </c>
      <c r="B300" s="35" t="s">
        <v>4883</v>
      </c>
      <c r="C300" s="36" t="s">
        <v>3170</v>
      </c>
      <c r="D300" s="11" t="s">
        <v>1606</v>
      </c>
      <c r="E300" s="11" t="s">
        <v>1451</v>
      </c>
      <c r="F300" s="11">
        <v>10</v>
      </c>
      <c r="G300" s="11" t="s">
        <v>4910</v>
      </c>
      <c r="H300" s="11" t="s">
        <v>2254</v>
      </c>
      <c r="I300" s="11" t="s">
        <v>339</v>
      </c>
      <c r="J300" s="11" t="s">
        <v>1435</v>
      </c>
      <c r="K300" s="11" t="s">
        <v>1717</v>
      </c>
      <c r="L300" s="11"/>
      <c r="M300" s="11" t="s">
        <v>3317</v>
      </c>
      <c r="N300" s="11" t="s">
        <v>2253</v>
      </c>
      <c r="O300" s="11"/>
      <c r="P300" s="11"/>
      <c r="Q300" s="11">
        <v>4</v>
      </c>
      <c r="R300" s="11">
        <v>4</v>
      </c>
      <c r="S300" s="11" t="s">
        <v>4912</v>
      </c>
    </row>
    <row r="301" spans="1:19" hidden="1" x14ac:dyDescent="0.15">
      <c r="A301" s="34">
        <v>300</v>
      </c>
      <c r="B301" s="35" t="s">
        <v>4883</v>
      </c>
      <c r="C301" s="36" t="s">
        <v>3170</v>
      </c>
      <c r="D301" s="11" t="s">
        <v>1606</v>
      </c>
      <c r="E301" s="11" t="s">
        <v>1451</v>
      </c>
      <c r="F301" s="11">
        <v>17</v>
      </c>
      <c r="G301" s="11" t="s">
        <v>2252</v>
      </c>
      <c r="H301" s="11" t="s">
        <v>2251</v>
      </c>
      <c r="I301" s="11" t="s">
        <v>339</v>
      </c>
      <c r="J301" s="11" t="s">
        <v>1489</v>
      </c>
      <c r="K301" s="11" t="s">
        <v>1463</v>
      </c>
      <c r="L301" s="11" t="s">
        <v>1478</v>
      </c>
      <c r="M301" s="11" t="s">
        <v>2250</v>
      </c>
      <c r="N301" s="11" t="s">
        <v>2249</v>
      </c>
      <c r="O301" s="11"/>
      <c r="P301" s="11"/>
      <c r="Q301" s="11">
        <v>3</v>
      </c>
      <c r="R301" s="11">
        <v>4</v>
      </c>
      <c r="S301" s="11" t="s">
        <v>2248</v>
      </c>
    </row>
    <row r="302" spans="1:19" hidden="1" x14ac:dyDescent="0.15">
      <c r="A302" s="34">
        <v>301</v>
      </c>
      <c r="B302" s="35" t="s">
        <v>4883</v>
      </c>
      <c r="C302" s="36" t="s">
        <v>3170</v>
      </c>
      <c r="D302" s="11" t="s">
        <v>1606</v>
      </c>
      <c r="E302" s="11" t="s">
        <v>1451</v>
      </c>
      <c r="F302" s="11">
        <v>6</v>
      </c>
      <c r="G302" s="11" t="s">
        <v>4911</v>
      </c>
      <c r="H302" s="11" t="s">
        <v>2246</v>
      </c>
      <c r="I302" s="11" t="s">
        <v>339</v>
      </c>
      <c r="J302" s="11" t="s">
        <v>1435</v>
      </c>
      <c r="K302" s="11" t="s">
        <v>1717</v>
      </c>
      <c r="L302" s="11"/>
      <c r="M302" s="11" t="s">
        <v>3317</v>
      </c>
      <c r="N302" s="11" t="s">
        <v>2245</v>
      </c>
      <c r="O302" s="11"/>
      <c r="P302" s="11"/>
      <c r="Q302" s="11">
        <v>3</v>
      </c>
      <c r="R302" s="11">
        <v>5</v>
      </c>
      <c r="S302" s="11" t="s">
        <v>3329</v>
      </c>
    </row>
    <row r="303" spans="1:19" hidden="1" x14ac:dyDescent="0.15">
      <c r="A303" s="34">
        <v>302</v>
      </c>
      <c r="B303" s="35" t="s">
        <v>4883</v>
      </c>
      <c r="C303" s="36" t="s">
        <v>3170</v>
      </c>
      <c r="D303" s="11" t="s">
        <v>1606</v>
      </c>
      <c r="E303" s="11" t="s">
        <v>1451</v>
      </c>
      <c r="F303" s="11">
        <v>10</v>
      </c>
      <c r="G303" s="11" t="s">
        <v>2244</v>
      </c>
      <c r="H303" s="11" t="s">
        <v>2243</v>
      </c>
      <c r="I303" s="11" t="s">
        <v>339</v>
      </c>
      <c r="J303" s="11" t="s">
        <v>1435</v>
      </c>
      <c r="K303" s="11" t="s">
        <v>1501</v>
      </c>
      <c r="L303" s="11"/>
      <c r="M303" s="11" t="s">
        <v>3317</v>
      </c>
      <c r="N303" s="11" t="s">
        <v>2169</v>
      </c>
      <c r="O303" s="11" t="s">
        <v>2242</v>
      </c>
      <c r="P303" s="11"/>
      <c r="Q303" s="11">
        <v>4</v>
      </c>
      <c r="R303" s="11">
        <v>3</v>
      </c>
      <c r="S303" s="11" t="s">
        <v>3330</v>
      </c>
    </row>
    <row r="304" spans="1:19" hidden="1" x14ac:dyDescent="0.15">
      <c r="A304" s="34">
        <v>303</v>
      </c>
      <c r="B304" s="35" t="s">
        <v>4883</v>
      </c>
      <c r="C304" s="36" t="s">
        <v>3170</v>
      </c>
      <c r="D304" s="11" t="s">
        <v>1606</v>
      </c>
      <c r="E304" s="11" t="s">
        <v>1451</v>
      </c>
      <c r="F304" s="11">
        <v>11</v>
      </c>
      <c r="G304" s="11" t="s">
        <v>4916</v>
      </c>
      <c r="H304" s="11" t="s">
        <v>2240</v>
      </c>
      <c r="I304" s="11" t="s">
        <v>339</v>
      </c>
      <c r="J304" s="11" t="s">
        <v>1435</v>
      </c>
      <c r="K304" s="11" t="s">
        <v>1717</v>
      </c>
      <c r="L304" s="11"/>
      <c r="M304" s="11" t="s">
        <v>3321</v>
      </c>
      <c r="N304" s="11" t="s">
        <v>2239</v>
      </c>
      <c r="O304" s="11"/>
      <c r="P304" s="11"/>
      <c r="Q304" s="11">
        <v>2</v>
      </c>
      <c r="R304" s="11">
        <v>5</v>
      </c>
      <c r="S304" s="11" t="s">
        <v>3331</v>
      </c>
    </row>
    <row r="305" spans="1:19" hidden="1" x14ac:dyDescent="0.15">
      <c r="A305" s="34">
        <v>304</v>
      </c>
      <c r="B305" s="35" t="s">
        <v>4883</v>
      </c>
      <c r="C305" s="36" t="s">
        <v>3170</v>
      </c>
      <c r="D305" s="11" t="s">
        <v>1606</v>
      </c>
      <c r="E305" s="11" t="s">
        <v>1451</v>
      </c>
      <c r="F305" s="11">
        <v>6</v>
      </c>
      <c r="G305" s="11" t="s">
        <v>2238</v>
      </c>
      <c r="H305" s="11" t="s">
        <v>2237</v>
      </c>
      <c r="I305" s="11" t="s">
        <v>1453</v>
      </c>
      <c r="J305" s="11"/>
      <c r="K305" s="11"/>
      <c r="L305" s="11"/>
      <c r="M305" s="11" t="s">
        <v>3317</v>
      </c>
      <c r="N305" s="11" t="s">
        <v>2236</v>
      </c>
      <c r="O305" s="11"/>
      <c r="P305" s="11"/>
      <c r="Q305" s="11"/>
      <c r="R305" s="11"/>
      <c r="S305" s="11" t="s">
        <v>3332</v>
      </c>
    </row>
    <row r="306" spans="1:19" hidden="1" x14ac:dyDescent="0.15">
      <c r="A306" s="34">
        <v>305</v>
      </c>
      <c r="B306" s="35" t="s">
        <v>4883</v>
      </c>
      <c r="C306" s="36" t="s">
        <v>3170</v>
      </c>
      <c r="D306" s="11" t="s">
        <v>1606</v>
      </c>
      <c r="E306" s="11" t="s">
        <v>1451</v>
      </c>
      <c r="F306" s="11">
        <v>9</v>
      </c>
      <c r="G306" s="11" t="s">
        <v>2235</v>
      </c>
      <c r="H306" s="11" t="s">
        <v>2234</v>
      </c>
      <c r="I306" s="11" t="s">
        <v>1453</v>
      </c>
      <c r="J306" s="11"/>
      <c r="K306" s="11"/>
      <c r="L306" s="11"/>
      <c r="M306" s="11" t="s">
        <v>2233</v>
      </c>
      <c r="N306" s="11"/>
      <c r="O306" s="11"/>
      <c r="P306" s="11"/>
      <c r="Q306" s="11"/>
      <c r="R306" s="11"/>
      <c r="S306" s="11" t="s">
        <v>2233</v>
      </c>
    </row>
    <row r="307" spans="1:19" hidden="1" x14ac:dyDescent="0.15">
      <c r="A307" s="34">
        <v>306</v>
      </c>
      <c r="B307" s="35" t="s">
        <v>4883</v>
      </c>
      <c r="C307" s="36" t="s">
        <v>3170</v>
      </c>
      <c r="D307" s="11" t="s">
        <v>1606</v>
      </c>
      <c r="E307" s="11" t="s">
        <v>1451</v>
      </c>
      <c r="F307" s="11">
        <v>3</v>
      </c>
      <c r="G307" s="11" t="s">
        <v>2232</v>
      </c>
      <c r="H307" s="11" t="s">
        <v>2231</v>
      </c>
      <c r="I307" s="11" t="s">
        <v>1453</v>
      </c>
      <c r="J307" s="11"/>
      <c r="K307" s="11"/>
      <c r="L307" s="11"/>
      <c r="M307" s="11" t="s">
        <v>2230</v>
      </c>
      <c r="N307" s="11" t="s">
        <v>2229</v>
      </c>
      <c r="O307" s="11"/>
      <c r="P307" s="11"/>
      <c r="Q307" s="11"/>
      <c r="R307" s="11"/>
      <c r="S307" s="11" t="s">
        <v>2228</v>
      </c>
    </row>
    <row r="308" spans="1:19" hidden="1" x14ac:dyDescent="0.15">
      <c r="A308" s="34">
        <v>307</v>
      </c>
      <c r="B308" s="35" t="s">
        <v>4883</v>
      </c>
      <c r="C308" s="36" t="s">
        <v>3170</v>
      </c>
      <c r="D308" s="11" t="s">
        <v>1606</v>
      </c>
      <c r="E308" s="11" t="s">
        <v>1451</v>
      </c>
      <c r="F308" s="11">
        <v>6</v>
      </c>
      <c r="G308" s="11" t="s">
        <v>2227</v>
      </c>
      <c r="H308" s="11" t="s">
        <v>2226</v>
      </c>
      <c r="I308" s="11" t="s">
        <v>1453</v>
      </c>
      <c r="J308" s="11"/>
      <c r="K308" s="11"/>
      <c r="L308" s="11"/>
      <c r="M308" s="11" t="s">
        <v>3317</v>
      </c>
      <c r="N308" s="11" t="s">
        <v>2225</v>
      </c>
      <c r="O308" s="11"/>
      <c r="P308" s="11"/>
      <c r="Q308" s="11"/>
      <c r="R308" s="11"/>
      <c r="S308" s="11" t="s">
        <v>3333</v>
      </c>
    </row>
    <row r="309" spans="1:19" hidden="1" x14ac:dyDescent="0.15">
      <c r="A309" s="34">
        <v>308</v>
      </c>
      <c r="B309" s="35" t="s">
        <v>4883</v>
      </c>
      <c r="C309" s="36" t="s">
        <v>3170</v>
      </c>
      <c r="D309" s="11" t="s">
        <v>1606</v>
      </c>
      <c r="E309" s="11" t="s">
        <v>1451</v>
      </c>
      <c r="F309" s="11">
        <v>12</v>
      </c>
      <c r="G309" s="11" t="s">
        <v>2224</v>
      </c>
      <c r="H309" s="11" t="s">
        <v>2223</v>
      </c>
      <c r="I309" s="11" t="s">
        <v>288</v>
      </c>
      <c r="J309" s="11" t="s">
        <v>6250</v>
      </c>
      <c r="K309" s="11"/>
      <c r="L309" s="11"/>
      <c r="M309" s="11" t="s">
        <v>1757</v>
      </c>
      <c r="N309" s="11" t="s">
        <v>2222</v>
      </c>
      <c r="O309" s="11"/>
      <c r="P309" s="11">
        <v>2</v>
      </c>
      <c r="Q309" s="11"/>
      <c r="R309" s="11"/>
      <c r="S309" s="11" t="s">
        <v>2221</v>
      </c>
    </row>
    <row r="310" spans="1:19" hidden="1" x14ac:dyDescent="0.15">
      <c r="A310" s="34">
        <v>309</v>
      </c>
      <c r="B310" s="35" t="s">
        <v>4883</v>
      </c>
      <c r="C310" s="36" t="s">
        <v>3170</v>
      </c>
      <c r="D310" s="11" t="s">
        <v>1606</v>
      </c>
      <c r="E310" s="11" t="s">
        <v>1451</v>
      </c>
      <c r="F310" s="11">
        <v>3</v>
      </c>
      <c r="G310" s="11" t="s">
        <v>2220</v>
      </c>
      <c r="H310" s="11" t="s">
        <v>2219</v>
      </c>
      <c r="I310" s="11" t="s">
        <v>288</v>
      </c>
      <c r="J310" s="11"/>
      <c r="K310" s="11"/>
      <c r="L310" s="11"/>
      <c r="M310" s="11" t="s">
        <v>2218</v>
      </c>
      <c r="N310" s="11"/>
      <c r="O310" s="11"/>
      <c r="P310" s="11">
        <v>3</v>
      </c>
      <c r="Q310" s="11"/>
      <c r="R310" s="11"/>
      <c r="S310" s="11" t="s">
        <v>2218</v>
      </c>
    </row>
    <row r="311" spans="1:19" hidden="1" x14ac:dyDescent="0.15">
      <c r="A311" s="34">
        <v>310</v>
      </c>
      <c r="B311" s="35" t="s">
        <v>4883</v>
      </c>
      <c r="C311" s="36" t="s">
        <v>3170</v>
      </c>
      <c r="D311" s="11" t="s">
        <v>1606</v>
      </c>
      <c r="E311" s="11" t="s">
        <v>1441</v>
      </c>
      <c r="F311" s="11">
        <v>13</v>
      </c>
      <c r="G311" s="11" t="s">
        <v>2217</v>
      </c>
      <c r="H311" s="11" t="s">
        <v>2216</v>
      </c>
      <c r="I311" s="11" t="s">
        <v>339</v>
      </c>
      <c r="J311" s="11" t="s">
        <v>1608</v>
      </c>
      <c r="K311" s="11"/>
      <c r="L311" s="11"/>
      <c r="M311" s="11" t="s">
        <v>351</v>
      </c>
      <c r="N311" s="11" t="s">
        <v>2215</v>
      </c>
      <c r="O311" s="11" t="s">
        <v>2214</v>
      </c>
      <c r="P311" s="11"/>
      <c r="Q311" s="11">
        <v>5</v>
      </c>
      <c r="R311" s="11">
        <v>6</v>
      </c>
      <c r="S311" s="11" t="s">
        <v>3334</v>
      </c>
    </row>
    <row r="312" spans="1:19" hidden="1" x14ac:dyDescent="0.15">
      <c r="A312" s="34">
        <v>311</v>
      </c>
      <c r="B312" s="35" t="s">
        <v>4883</v>
      </c>
      <c r="C312" s="36" t="s">
        <v>3170</v>
      </c>
      <c r="D312" s="11" t="s">
        <v>1606</v>
      </c>
      <c r="E312" s="11" t="s">
        <v>1441</v>
      </c>
      <c r="F312" s="11">
        <v>3</v>
      </c>
      <c r="G312" s="11" t="s">
        <v>2213</v>
      </c>
      <c r="H312" s="11" t="s">
        <v>2212</v>
      </c>
      <c r="I312" s="11" t="s">
        <v>1453</v>
      </c>
      <c r="J312" s="11"/>
      <c r="K312" s="11"/>
      <c r="L312" s="11"/>
      <c r="M312" s="11" t="s">
        <v>2211</v>
      </c>
      <c r="N312" s="11" t="s">
        <v>2210</v>
      </c>
      <c r="O312" s="11"/>
      <c r="P312" s="11"/>
      <c r="Q312" s="11"/>
      <c r="R312" s="11"/>
      <c r="S312" s="11" t="s">
        <v>2209</v>
      </c>
    </row>
    <row r="313" spans="1:19" hidden="1" x14ac:dyDescent="0.15">
      <c r="A313" s="34">
        <v>312</v>
      </c>
      <c r="B313" s="35" t="s">
        <v>4883</v>
      </c>
      <c r="C313" s="36" t="s">
        <v>3170</v>
      </c>
      <c r="D313" s="11" t="s">
        <v>1606</v>
      </c>
      <c r="E313" s="11" t="s">
        <v>1441</v>
      </c>
      <c r="F313" s="11">
        <v>21</v>
      </c>
      <c r="G313" s="11" t="s">
        <v>2208</v>
      </c>
      <c r="H313" s="11" t="s">
        <v>2207</v>
      </c>
      <c r="I313" s="11" t="s">
        <v>1453</v>
      </c>
      <c r="J313" s="11"/>
      <c r="K313" s="11"/>
      <c r="L313" s="11"/>
      <c r="M313" s="11" t="s">
        <v>2206</v>
      </c>
      <c r="N313" s="11"/>
      <c r="O313" s="11"/>
      <c r="P313" s="11"/>
      <c r="Q313" s="11"/>
      <c r="R313" s="11"/>
      <c r="S313" s="11" t="s">
        <v>2206</v>
      </c>
    </row>
    <row r="314" spans="1:19" hidden="1" x14ac:dyDescent="0.15">
      <c r="A314" s="34">
        <v>313</v>
      </c>
      <c r="B314" s="35" t="s">
        <v>4883</v>
      </c>
      <c r="C314" s="36" t="s">
        <v>3170</v>
      </c>
      <c r="D314" s="11" t="s">
        <v>1606</v>
      </c>
      <c r="E314" s="11" t="s">
        <v>1441</v>
      </c>
      <c r="F314" s="11">
        <v>6</v>
      </c>
      <c r="G314" s="11" t="s">
        <v>2205</v>
      </c>
      <c r="H314" s="11" t="s">
        <v>2204</v>
      </c>
      <c r="I314" s="11" t="s">
        <v>288</v>
      </c>
      <c r="J314" s="11"/>
      <c r="K314" s="11"/>
      <c r="L314" s="11"/>
      <c r="M314" s="11" t="s">
        <v>2203</v>
      </c>
      <c r="N314" s="11"/>
      <c r="O314" s="11"/>
      <c r="P314" s="11">
        <v>3</v>
      </c>
      <c r="Q314" s="11"/>
      <c r="R314" s="11"/>
      <c r="S314" s="11" t="s">
        <v>2203</v>
      </c>
    </row>
    <row r="315" spans="1:19" hidden="1" x14ac:dyDescent="0.15">
      <c r="A315" s="34">
        <v>314</v>
      </c>
      <c r="B315" s="35" t="s">
        <v>4883</v>
      </c>
      <c r="C315" s="36" t="s">
        <v>3170</v>
      </c>
      <c r="D315" s="11" t="s">
        <v>1606</v>
      </c>
      <c r="E315" s="11" t="s">
        <v>1431</v>
      </c>
      <c r="F315" s="11">
        <v>17</v>
      </c>
      <c r="G315" s="11" t="s">
        <v>2202</v>
      </c>
      <c r="H315" s="11" t="s">
        <v>2201</v>
      </c>
      <c r="I315" s="11" t="s">
        <v>339</v>
      </c>
      <c r="J315" s="11" t="s">
        <v>1435</v>
      </c>
      <c r="K315" s="11"/>
      <c r="L315" s="11"/>
      <c r="M315" s="11" t="s">
        <v>3317</v>
      </c>
      <c r="N315" s="11" t="s">
        <v>3335</v>
      </c>
      <c r="O315" s="11" t="s">
        <v>2200</v>
      </c>
      <c r="P315" s="11"/>
      <c r="Q315" s="11">
        <v>8</v>
      </c>
      <c r="R315" s="11">
        <v>8</v>
      </c>
      <c r="S315" s="11" t="s">
        <v>3336</v>
      </c>
    </row>
    <row r="316" spans="1:19" hidden="1" x14ac:dyDescent="0.15">
      <c r="A316" s="34">
        <v>315</v>
      </c>
      <c r="B316" s="35" t="s">
        <v>4883</v>
      </c>
      <c r="C316" s="36" t="s">
        <v>3170</v>
      </c>
      <c r="D316" s="11" t="s">
        <v>1606</v>
      </c>
      <c r="E316" s="11" t="s">
        <v>1431</v>
      </c>
      <c r="F316" s="11">
        <v>10</v>
      </c>
      <c r="G316" s="11" t="s">
        <v>2199</v>
      </c>
      <c r="H316" s="11" t="s">
        <v>2198</v>
      </c>
      <c r="I316" s="11" t="s">
        <v>1453</v>
      </c>
      <c r="J316" s="11"/>
      <c r="K316" s="11"/>
      <c r="L316" s="11"/>
      <c r="M316" s="11" t="s">
        <v>2197</v>
      </c>
      <c r="N316" s="11"/>
      <c r="O316" s="11"/>
      <c r="P316" s="11"/>
      <c r="Q316" s="11"/>
      <c r="R316" s="11"/>
      <c r="S316" s="11" t="s">
        <v>2197</v>
      </c>
    </row>
    <row r="317" spans="1:19" hidden="1" x14ac:dyDescent="0.15">
      <c r="A317" s="34">
        <v>316</v>
      </c>
      <c r="B317" s="35" t="s">
        <v>4883</v>
      </c>
      <c r="C317" s="36" t="s">
        <v>3170</v>
      </c>
      <c r="D317" s="11" t="s">
        <v>1606</v>
      </c>
      <c r="E317" s="11" t="s">
        <v>1431</v>
      </c>
      <c r="F317" s="11">
        <v>12</v>
      </c>
      <c r="G317" s="11" t="s">
        <v>2196</v>
      </c>
      <c r="H317" s="11" t="s">
        <v>2195</v>
      </c>
      <c r="I317" s="11" t="s">
        <v>288</v>
      </c>
      <c r="J317" s="11"/>
      <c r="K317" s="11"/>
      <c r="L317" s="11"/>
      <c r="M317" s="11" t="s">
        <v>2194</v>
      </c>
      <c r="N317" s="11"/>
      <c r="O317" s="11"/>
      <c r="P317" s="11">
        <v>10</v>
      </c>
      <c r="Q317" s="11"/>
      <c r="R317" s="11"/>
      <c r="S317" s="11" t="s">
        <v>2194</v>
      </c>
    </row>
    <row r="318" spans="1:19" hidden="1" x14ac:dyDescent="0.15">
      <c r="A318" s="34">
        <v>317</v>
      </c>
      <c r="B318" s="35" t="s">
        <v>4883</v>
      </c>
      <c r="C318" s="36" t="s">
        <v>3170</v>
      </c>
      <c r="D318" s="11" t="s">
        <v>1582</v>
      </c>
      <c r="E318" s="11" t="s">
        <v>1744</v>
      </c>
      <c r="F318" s="11">
        <v>10</v>
      </c>
      <c r="G318" s="11" t="s">
        <v>2193</v>
      </c>
      <c r="H318" s="11" t="s">
        <v>2192</v>
      </c>
      <c r="I318" s="11" t="s">
        <v>339</v>
      </c>
      <c r="J318" s="11" t="s">
        <v>1435</v>
      </c>
      <c r="K318" s="11" t="s">
        <v>1501</v>
      </c>
      <c r="L318" s="11"/>
      <c r="M318" s="11" t="s">
        <v>3317</v>
      </c>
      <c r="N318" s="11" t="s">
        <v>2169</v>
      </c>
      <c r="O318" s="11"/>
      <c r="P318" s="11"/>
      <c r="Q318" s="11">
        <v>2</v>
      </c>
      <c r="R318" s="11">
        <v>2</v>
      </c>
      <c r="S318" s="11" t="s">
        <v>3337</v>
      </c>
    </row>
    <row r="319" spans="1:19" hidden="1" x14ac:dyDescent="0.15">
      <c r="A319" s="34">
        <v>318</v>
      </c>
      <c r="B319" s="35" t="s">
        <v>4883</v>
      </c>
      <c r="C319" s="36" t="s">
        <v>3170</v>
      </c>
      <c r="D319" s="11" t="s">
        <v>1582</v>
      </c>
      <c r="E319" s="11" t="s">
        <v>1744</v>
      </c>
      <c r="F319" s="11">
        <v>9</v>
      </c>
      <c r="G319" s="11" t="s">
        <v>2191</v>
      </c>
      <c r="H319" s="11" t="s">
        <v>2190</v>
      </c>
      <c r="I319" s="11" t="s">
        <v>339</v>
      </c>
      <c r="J319" s="11" t="s">
        <v>1435</v>
      </c>
      <c r="K319" s="11" t="s">
        <v>1501</v>
      </c>
      <c r="L319" s="11"/>
      <c r="M319" s="11" t="s">
        <v>3317</v>
      </c>
      <c r="N319" s="11" t="s">
        <v>2169</v>
      </c>
      <c r="O319" s="11" t="s">
        <v>2189</v>
      </c>
      <c r="P319" s="11"/>
      <c r="Q319" s="11">
        <v>2</v>
      </c>
      <c r="R319" s="11">
        <v>1</v>
      </c>
      <c r="S319" s="11" t="s">
        <v>3338</v>
      </c>
    </row>
    <row r="320" spans="1:19" hidden="1" x14ac:dyDescent="0.15">
      <c r="A320" s="34">
        <v>319</v>
      </c>
      <c r="B320" s="35" t="s">
        <v>4883</v>
      </c>
      <c r="C320" s="36" t="s">
        <v>3170</v>
      </c>
      <c r="D320" s="11" t="s">
        <v>1582</v>
      </c>
      <c r="E320" s="11" t="s">
        <v>1744</v>
      </c>
      <c r="F320" s="11">
        <v>7</v>
      </c>
      <c r="G320" s="11" t="s">
        <v>2188</v>
      </c>
      <c r="H320" s="11" t="s">
        <v>2187</v>
      </c>
      <c r="I320" s="11" t="s">
        <v>339</v>
      </c>
      <c r="J320" s="11" t="s">
        <v>1537</v>
      </c>
      <c r="K320" s="11"/>
      <c r="L320" s="11"/>
      <c r="M320" s="11" t="s">
        <v>3339</v>
      </c>
      <c r="N320" s="11" t="s">
        <v>1831</v>
      </c>
      <c r="O320" s="11"/>
      <c r="P320" s="11"/>
      <c r="Q320" s="11">
        <v>2</v>
      </c>
      <c r="R320" s="11">
        <v>1</v>
      </c>
      <c r="S320" s="11" t="s">
        <v>3340</v>
      </c>
    </row>
    <row r="321" spans="1:19" hidden="1" x14ac:dyDescent="0.15">
      <c r="A321" s="34">
        <v>320</v>
      </c>
      <c r="B321" s="35" t="s">
        <v>4883</v>
      </c>
      <c r="C321" s="36" t="s">
        <v>3170</v>
      </c>
      <c r="D321" s="11" t="s">
        <v>1582</v>
      </c>
      <c r="E321" s="11" t="s">
        <v>1744</v>
      </c>
      <c r="F321" s="11">
        <v>13</v>
      </c>
      <c r="G321" s="11" t="s">
        <v>2186</v>
      </c>
      <c r="H321" s="11" t="s">
        <v>2185</v>
      </c>
      <c r="I321" s="11" t="s">
        <v>339</v>
      </c>
      <c r="J321" s="11" t="s">
        <v>1494</v>
      </c>
      <c r="K321" s="11" t="s">
        <v>1470</v>
      </c>
      <c r="L321" s="11" t="s">
        <v>1478</v>
      </c>
      <c r="M321" s="11" t="s">
        <v>2184</v>
      </c>
      <c r="N321" s="11"/>
      <c r="O321" s="11"/>
      <c r="P321" s="11"/>
      <c r="Q321" s="11">
        <v>1</v>
      </c>
      <c r="R321" s="11">
        <v>2</v>
      </c>
      <c r="S321" s="11" t="s">
        <v>2184</v>
      </c>
    </row>
    <row r="322" spans="1:19" hidden="1" x14ac:dyDescent="0.15">
      <c r="A322" s="34">
        <v>321</v>
      </c>
      <c r="B322" s="35" t="s">
        <v>4883</v>
      </c>
      <c r="C322" s="36" t="s">
        <v>3170</v>
      </c>
      <c r="D322" s="11" t="s">
        <v>1582</v>
      </c>
      <c r="E322" s="11" t="s">
        <v>1744</v>
      </c>
      <c r="F322" s="11">
        <v>7</v>
      </c>
      <c r="G322" s="11" t="s">
        <v>2183</v>
      </c>
      <c r="H322" s="11" t="s">
        <v>2182</v>
      </c>
      <c r="I322" s="11" t="s">
        <v>339</v>
      </c>
      <c r="J322" s="11" t="s">
        <v>1494</v>
      </c>
      <c r="K322" s="11" t="s">
        <v>1493</v>
      </c>
      <c r="L322" s="11" t="s">
        <v>1478</v>
      </c>
      <c r="M322" s="11" t="s">
        <v>2595</v>
      </c>
      <c r="N322" s="11" t="s">
        <v>2181</v>
      </c>
      <c r="O322" s="11"/>
      <c r="P322" s="11"/>
      <c r="Q322" s="11">
        <v>2</v>
      </c>
      <c r="R322" s="11">
        <v>2</v>
      </c>
      <c r="S322" s="11" t="s">
        <v>3341</v>
      </c>
    </row>
    <row r="323" spans="1:19" hidden="1" x14ac:dyDescent="0.15">
      <c r="A323" s="34">
        <v>322</v>
      </c>
      <c r="B323" s="35" t="s">
        <v>4883</v>
      </c>
      <c r="C323" s="36" t="s">
        <v>3170</v>
      </c>
      <c r="D323" s="11" t="s">
        <v>1582</v>
      </c>
      <c r="E323" s="11" t="s">
        <v>1744</v>
      </c>
      <c r="F323" s="11">
        <v>7</v>
      </c>
      <c r="G323" s="11" t="s">
        <v>2180</v>
      </c>
      <c r="H323" s="11" t="s">
        <v>2179</v>
      </c>
      <c r="I323" s="11" t="s">
        <v>339</v>
      </c>
      <c r="J323" s="11" t="s">
        <v>1435</v>
      </c>
      <c r="K323" s="11" t="s">
        <v>1717</v>
      </c>
      <c r="L323" s="11"/>
      <c r="M323" s="11" t="s">
        <v>3317</v>
      </c>
      <c r="N323" s="11" t="s">
        <v>2178</v>
      </c>
      <c r="O323" s="11"/>
      <c r="P323" s="11"/>
      <c r="Q323" s="11">
        <v>2</v>
      </c>
      <c r="R323" s="11">
        <v>2</v>
      </c>
      <c r="S323" s="11" t="s">
        <v>3342</v>
      </c>
    </row>
    <row r="324" spans="1:19" hidden="1" x14ac:dyDescent="0.15">
      <c r="A324" s="34">
        <v>323</v>
      </c>
      <c r="B324" s="35" t="s">
        <v>4883</v>
      </c>
      <c r="C324" s="36" t="s">
        <v>3170</v>
      </c>
      <c r="D324" s="11" t="s">
        <v>1582</v>
      </c>
      <c r="E324" s="11" t="s">
        <v>1744</v>
      </c>
      <c r="F324" s="11">
        <v>6</v>
      </c>
      <c r="G324" s="11" t="s">
        <v>2177</v>
      </c>
      <c r="H324" s="11" t="s">
        <v>2176</v>
      </c>
      <c r="I324" s="11" t="s">
        <v>339</v>
      </c>
      <c r="J324" s="11" t="s">
        <v>1494</v>
      </c>
      <c r="K324" s="11" t="s">
        <v>2132</v>
      </c>
      <c r="L324" s="11" t="s">
        <v>1478</v>
      </c>
      <c r="M324" s="11" t="s">
        <v>2175</v>
      </c>
      <c r="N324" s="11"/>
      <c r="O324" s="11"/>
      <c r="P324" s="11"/>
      <c r="Q324" s="11">
        <v>1</v>
      </c>
      <c r="R324" s="11">
        <v>2</v>
      </c>
      <c r="S324" s="11" t="s">
        <v>2175</v>
      </c>
    </row>
    <row r="325" spans="1:19" hidden="1" x14ac:dyDescent="0.15">
      <c r="A325" s="34">
        <v>324</v>
      </c>
      <c r="B325" s="35" t="s">
        <v>4883</v>
      </c>
      <c r="C325" s="36" t="s">
        <v>3170</v>
      </c>
      <c r="D325" s="11" t="s">
        <v>1582</v>
      </c>
      <c r="E325" s="11" t="s">
        <v>1744</v>
      </c>
      <c r="F325" s="11">
        <v>10</v>
      </c>
      <c r="G325" s="11" t="s">
        <v>2174</v>
      </c>
      <c r="H325" s="11" t="s">
        <v>2173</v>
      </c>
      <c r="I325" s="11" t="s">
        <v>339</v>
      </c>
      <c r="J325" s="11" t="s">
        <v>1435</v>
      </c>
      <c r="K325" s="11" t="s">
        <v>1501</v>
      </c>
      <c r="L325" s="11"/>
      <c r="M325" s="11" t="s">
        <v>3319</v>
      </c>
      <c r="N325" s="11" t="s">
        <v>2172</v>
      </c>
      <c r="O325" s="11"/>
      <c r="P325" s="11"/>
      <c r="Q325" s="11">
        <v>1</v>
      </c>
      <c r="R325" s="11">
        <v>3</v>
      </c>
      <c r="S325" s="11" t="s">
        <v>3343</v>
      </c>
    </row>
    <row r="326" spans="1:19" hidden="1" x14ac:dyDescent="0.15">
      <c r="A326" s="34">
        <v>325</v>
      </c>
      <c r="B326" s="35" t="s">
        <v>4883</v>
      </c>
      <c r="C326" s="36" t="s">
        <v>3170</v>
      </c>
      <c r="D326" s="11" t="s">
        <v>1582</v>
      </c>
      <c r="E326" s="11" t="s">
        <v>1744</v>
      </c>
      <c r="F326" s="11">
        <v>4</v>
      </c>
      <c r="G326" s="11" t="s">
        <v>2171</v>
      </c>
      <c r="H326" s="11" t="s">
        <v>2170</v>
      </c>
      <c r="I326" s="11" t="s">
        <v>339</v>
      </c>
      <c r="J326" s="11" t="s">
        <v>1435</v>
      </c>
      <c r="K326" s="11" t="s">
        <v>1501</v>
      </c>
      <c r="L326" s="11"/>
      <c r="M326" s="11" t="s">
        <v>3317</v>
      </c>
      <c r="N326" s="11" t="s">
        <v>2169</v>
      </c>
      <c r="O326" s="11" t="s">
        <v>2168</v>
      </c>
      <c r="P326" s="11"/>
      <c r="Q326" s="11">
        <v>1</v>
      </c>
      <c r="R326" s="11">
        <v>1</v>
      </c>
      <c r="S326" s="11" t="s">
        <v>3344</v>
      </c>
    </row>
    <row r="327" spans="1:19" hidden="1" x14ac:dyDescent="0.15">
      <c r="A327" s="34">
        <v>326</v>
      </c>
      <c r="B327" s="35" t="s">
        <v>4883</v>
      </c>
      <c r="C327" s="36" t="s">
        <v>3170</v>
      </c>
      <c r="D327" s="11" t="s">
        <v>1582</v>
      </c>
      <c r="E327" s="11" t="s">
        <v>1744</v>
      </c>
      <c r="F327" s="11">
        <v>18</v>
      </c>
      <c r="G327" s="11" t="s">
        <v>2167</v>
      </c>
      <c r="H327" s="11" t="s">
        <v>2166</v>
      </c>
      <c r="I327" s="11" t="s">
        <v>339</v>
      </c>
      <c r="J327" s="11" t="s">
        <v>1489</v>
      </c>
      <c r="K327" s="11" t="s">
        <v>2165</v>
      </c>
      <c r="L327" s="11" t="s">
        <v>1478</v>
      </c>
      <c r="M327" s="11" t="s">
        <v>2164</v>
      </c>
      <c r="N327" s="11"/>
      <c r="O327" s="11"/>
      <c r="P327" s="11"/>
      <c r="Q327" s="11">
        <v>2</v>
      </c>
      <c r="R327" s="11">
        <v>2</v>
      </c>
      <c r="S327" s="11" t="s">
        <v>2164</v>
      </c>
    </row>
    <row r="328" spans="1:19" hidden="1" x14ac:dyDescent="0.15">
      <c r="A328" s="34">
        <v>327</v>
      </c>
      <c r="B328" s="35" t="s">
        <v>4883</v>
      </c>
      <c r="C328" s="36" t="s">
        <v>3170</v>
      </c>
      <c r="D328" s="11" t="s">
        <v>1582</v>
      </c>
      <c r="E328" s="11" t="s">
        <v>1744</v>
      </c>
      <c r="F328" s="11">
        <v>1</v>
      </c>
      <c r="G328" s="11" t="s">
        <v>2163</v>
      </c>
      <c r="H328" s="11" t="s">
        <v>2162</v>
      </c>
      <c r="I328" s="11" t="s">
        <v>1453</v>
      </c>
      <c r="J328" s="11"/>
      <c r="K328" s="11"/>
      <c r="L328" s="11"/>
      <c r="M328" s="11" t="s">
        <v>2161</v>
      </c>
      <c r="N328" s="11"/>
      <c r="O328" s="11"/>
      <c r="P328" s="11"/>
      <c r="Q328" s="11"/>
      <c r="R328" s="11"/>
      <c r="S328" s="11" t="s">
        <v>2161</v>
      </c>
    </row>
    <row r="329" spans="1:19" hidden="1" x14ac:dyDescent="0.15">
      <c r="A329" s="34">
        <v>328</v>
      </c>
      <c r="B329" s="35" t="s">
        <v>4883</v>
      </c>
      <c r="C329" s="36" t="s">
        <v>3170</v>
      </c>
      <c r="D329" s="11" t="s">
        <v>1582</v>
      </c>
      <c r="E329" s="11" t="s">
        <v>1744</v>
      </c>
      <c r="F329" s="11">
        <v>5</v>
      </c>
      <c r="G329" s="11" t="s">
        <v>2160</v>
      </c>
      <c r="H329" s="11" t="s">
        <v>2159</v>
      </c>
      <c r="I329" s="11" t="s">
        <v>1453</v>
      </c>
      <c r="J329" s="11"/>
      <c r="K329" s="11"/>
      <c r="L329" s="11"/>
      <c r="M329" s="11" t="s">
        <v>2158</v>
      </c>
      <c r="N329" s="11"/>
      <c r="O329" s="11"/>
      <c r="P329" s="11"/>
      <c r="Q329" s="11"/>
      <c r="R329" s="11"/>
      <c r="S329" s="11" t="s">
        <v>2158</v>
      </c>
    </row>
    <row r="330" spans="1:19" hidden="1" x14ac:dyDescent="0.15">
      <c r="A330" s="34">
        <v>329</v>
      </c>
      <c r="B330" s="35" t="s">
        <v>4883</v>
      </c>
      <c r="C330" s="36" t="s">
        <v>3170</v>
      </c>
      <c r="D330" s="11" t="s">
        <v>1582</v>
      </c>
      <c r="E330" s="11" t="s">
        <v>1744</v>
      </c>
      <c r="F330" s="11">
        <v>4</v>
      </c>
      <c r="G330" s="11" t="s">
        <v>2157</v>
      </c>
      <c r="H330" s="11" t="s">
        <v>2156</v>
      </c>
      <c r="I330" s="11" t="s">
        <v>1453</v>
      </c>
      <c r="J330" s="11"/>
      <c r="K330" s="11"/>
      <c r="L330" s="11"/>
      <c r="M330" s="11" t="s">
        <v>3317</v>
      </c>
      <c r="N330" s="11" t="s">
        <v>2155</v>
      </c>
      <c r="O330" s="11" t="s">
        <v>2109</v>
      </c>
      <c r="P330" s="11"/>
      <c r="Q330" s="11"/>
      <c r="R330" s="11"/>
      <c r="S330" s="11" t="s">
        <v>3345</v>
      </c>
    </row>
    <row r="331" spans="1:19" hidden="1" x14ac:dyDescent="0.15">
      <c r="A331" s="34">
        <v>330</v>
      </c>
      <c r="B331" s="35" t="s">
        <v>4883</v>
      </c>
      <c r="C331" s="36" t="s">
        <v>3170</v>
      </c>
      <c r="D331" s="11" t="s">
        <v>1582</v>
      </c>
      <c r="E331" s="11" t="s">
        <v>1744</v>
      </c>
      <c r="F331" s="11">
        <v>9</v>
      </c>
      <c r="G331" s="11" t="s">
        <v>2154</v>
      </c>
      <c r="H331" s="11" t="s">
        <v>2153</v>
      </c>
      <c r="I331" s="11" t="s">
        <v>1453</v>
      </c>
      <c r="J331" s="11"/>
      <c r="K331" s="11"/>
      <c r="L331" s="11"/>
      <c r="M331" s="11" t="s">
        <v>2152</v>
      </c>
      <c r="N331" s="11"/>
      <c r="O331" s="11"/>
      <c r="P331" s="11"/>
      <c r="Q331" s="11"/>
      <c r="R331" s="11"/>
      <c r="S331" s="11" t="s">
        <v>2152</v>
      </c>
    </row>
    <row r="332" spans="1:19" hidden="1" x14ac:dyDescent="0.15">
      <c r="A332" s="34">
        <v>331</v>
      </c>
      <c r="B332" s="35" t="s">
        <v>4883</v>
      </c>
      <c r="C332" s="36" t="s">
        <v>3170</v>
      </c>
      <c r="D332" s="11" t="s">
        <v>1582</v>
      </c>
      <c r="E332" s="11" t="s">
        <v>1744</v>
      </c>
      <c r="F332" s="11">
        <v>8</v>
      </c>
      <c r="G332" s="11" t="s">
        <v>2151</v>
      </c>
      <c r="H332" s="11" t="s">
        <v>2150</v>
      </c>
      <c r="I332" s="11" t="s">
        <v>1453</v>
      </c>
      <c r="J332" s="11"/>
      <c r="K332" s="11"/>
      <c r="L332" s="11"/>
      <c r="M332" s="11" t="s">
        <v>2149</v>
      </c>
      <c r="N332" s="11"/>
      <c r="O332" s="11"/>
      <c r="P332" s="11"/>
      <c r="Q332" s="11"/>
      <c r="R332" s="11"/>
      <c r="S332" s="11" t="s">
        <v>2149</v>
      </c>
    </row>
    <row r="333" spans="1:19" hidden="1" x14ac:dyDescent="0.15">
      <c r="A333" s="34">
        <v>332</v>
      </c>
      <c r="B333" s="35" t="s">
        <v>4883</v>
      </c>
      <c r="C333" s="36" t="s">
        <v>3170</v>
      </c>
      <c r="D333" s="11" t="s">
        <v>1582</v>
      </c>
      <c r="E333" s="11" t="s">
        <v>1744</v>
      </c>
      <c r="F333" s="11">
        <v>7</v>
      </c>
      <c r="G333" s="11" t="s">
        <v>2148</v>
      </c>
      <c r="H333" s="11" t="s">
        <v>2147</v>
      </c>
      <c r="I333" s="11" t="s">
        <v>1453</v>
      </c>
      <c r="J333" s="11"/>
      <c r="K333" s="11"/>
      <c r="L333" s="11"/>
      <c r="M333" s="11" t="s">
        <v>3317</v>
      </c>
      <c r="N333" s="11" t="s">
        <v>2146</v>
      </c>
      <c r="O333" s="11"/>
      <c r="P333" s="11"/>
      <c r="Q333" s="11"/>
      <c r="R333" s="11"/>
      <c r="S333" s="11" t="s">
        <v>3346</v>
      </c>
    </row>
    <row r="334" spans="1:19" hidden="1" x14ac:dyDescent="0.15">
      <c r="A334" s="34">
        <v>333</v>
      </c>
      <c r="B334" s="35" t="s">
        <v>4883</v>
      </c>
      <c r="C334" s="36" t="s">
        <v>3170</v>
      </c>
      <c r="D334" s="11" t="s">
        <v>1582</v>
      </c>
      <c r="E334" s="11" t="s">
        <v>1744</v>
      </c>
      <c r="F334" s="11">
        <v>7</v>
      </c>
      <c r="G334" s="11" t="s">
        <v>2145</v>
      </c>
      <c r="H334" s="11" t="s">
        <v>2144</v>
      </c>
      <c r="I334" s="11" t="s">
        <v>1453</v>
      </c>
      <c r="J334" s="11"/>
      <c r="K334" s="11"/>
      <c r="L334" s="11"/>
      <c r="M334" s="11" t="s">
        <v>2143</v>
      </c>
      <c r="N334" s="11" t="s">
        <v>2142</v>
      </c>
      <c r="O334" s="11"/>
      <c r="P334" s="11"/>
      <c r="Q334" s="11"/>
      <c r="R334" s="11"/>
      <c r="S334" s="11" t="s">
        <v>2141</v>
      </c>
    </row>
    <row r="335" spans="1:19" hidden="1" x14ac:dyDescent="0.15">
      <c r="A335" s="34">
        <v>334</v>
      </c>
      <c r="B335" s="35" t="s">
        <v>4883</v>
      </c>
      <c r="C335" s="36" t="s">
        <v>3170</v>
      </c>
      <c r="D335" s="11" t="s">
        <v>1582</v>
      </c>
      <c r="E335" s="11" t="s">
        <v>1451</v>
      </c>
      <c r="F335" s="11">
        <v>9</v>
      </c>
      <c r="G335" s="11" t="s">
        <v>2140</v>
      </c>
      <c r="H335" s="11" t="s">
        <v>2139</v>
      </c>
      <c r="I335" s="11" t="s">
        <v>339</v>
      </c>
      <c r="J335" s="11" t="s">
        <v>1494</v>
      </c>
      <c r="K335" s="11" t="s">
        <v>1867</v>
      </c>
      <c r="L335" s="11"/>
      <c r="M335" s="11" t="s">
        <v>2138</v>
      </c>
      <c r="N335" s="11"/>
      <c r="O335" s="11"/>
      <c r="P335" s="11"/>
      <c r="Q335" s="11">
        <v>3</v>
      </c>
      <c r="R335" s="11">
        <v>3</v>
      </c>
      <c r="S335" s="11" t="s">
        <v>2138</v>
      </c>
    </row>
    <row r="336" spans="1:19" hidden="1" x14ac:dyDescent="0.15">
      <c r="A336" s="34">
        <v>335</v>
      </c>
      <c r="B336" s="35" t="s">
        <v>4883</v>
      </c>
      <c r="C336" s="36" t="s">
        <v>3170</v>
      </c>
      <c r="D336" s="11" t="s">
        <v>1582</v>
      </c>
      <c r="E336" s="11" t="s">
        <v>1451</v>
      </c>
      <c r="F336" s="11">
        <v>16</v>
      </c>
      <c r="G336" s="11" t="s">
        <v>2137</v>
      </c>
      <c r="H336" s="11" t="s">
        <v>2136</v>
      </c>
      <c r="I336" s="11" t="s">
        <v>339</v>
      </c>
      <c r="J336" s="11" t="s">
        <v>1494</v>
      </c>
      <c r="K336" s="11"/>
      <c r="L336" s="11"/>
      <c r="M336" s="11" t="s">
        <v>2595</v>
      </c>
      <c r="N336" s="11" t="s">
        <v>2135</v>
      </c>
      <c r="O336" s="11"/>
      <c r="P336" s="11"/>
      <c r="Q336" s="11">
        <v>4</v>
      </c>
      <c r="R336" s="11">
        <v>3</v>
      </c>
      <c r="S336" s="11" t="s">
        <v>3347</v>
      </c>
    </row>
    <row r="337" spans="1:19" hidden="1" x14ac:dyDescent="0.15">
      <c r="A337" s="34">
        <v>336</v>
      </c>
      <c r="B337" s="35" t="s">
        <v>4883</v>
      </c>
      <c r="C337" s="36" t="s">
        <v>3170</v>
      </c>
      <c r="D337" s="11" t="s">
        <v>1582</v>
      </c>
      <c r="E337" s="11" t="s">
        <v>1451</v>
      </c>
      <c r="F337" s="11">
        <v>9</v>
      </c>
      <c r="G337" s="11" t="s">
        <v>2134</v>
      </c>
      <c r="H337" s="11" t="s">
        <v>2133</v>
      </c>
      <c r="I337" s="11" t="s">
        <v>339</v>
      </c>
      <c r="J337" s="11" t="s">
        <v>1489</v>
      </c>
      <c r="K337" s="11" t="s">
        <v>2132</v>
      </c>
      <c r="L337" s="11" t="s">
        <v>1478</v>
      </c>
      <c r="M337" s="11" t="s">
        <v>2131</v>
      </c>
      <c r="N337" s="11"/>
      <c r="O337" s="11"/>
      <c r="P337" s="11"/>
      <c r="Q337" s="11">
        <v>4</v>
      </c>
      <c r="R337" s="11">
        <v>4</v>
      </c>
      <c r="S337" s="11" t="s">
        <v>2131</v>
      </c>
    </row>
    <row r="338" spans="1:19" hidden="1" x14ac:dyDescent="0.15">
      <c r="A338" s="34">
        <v>337</v>
      </c>
      <c r="B338" s="35" t="s">
        <v>4883</v>
      </c>
      <c r="C338" s="36" t="s">
        <v>3170</v>
      </c>
      <c r="D338" s="11" t="s">
        <v>1582</v>
      </c>
      <c r="E338" s="11" t="s">
        <v>1451</v>
      </c>
      <c r="F338" s="11">
        <v>11</v>
      </c>
      <c r="G338" s="11" t="s">
        <v>2130</v>
      </c>
      <c r="H338" s="11" t="s">
        <v>2129</v>
      </c>
      <c r="I338" s="11" t="s">
        <v>339</v>
      </c>
      <c r="J338" s="11" t="s">
        <v>2128</v>
      </c>
      <c r="K338" s="11"/>
      <c r="L338" s="11"/>
      <c r="M338" s="11" t="s">
        <v>3348</v>
      </c>
      <c r="N338" s="11" t="s">
        <v>2127</v>
      </c>
      <c r="O338" s="11"/>
      <c r="P338" s="11"/>
      <c r="Q338" s="11">
        <v>4</v>
      </c>
      <c r="R338" s="11">
        <v>3</v>
      </c>
      <c r="S338" s="11" t="s">
        <v>3349</v>
      </c>
    </row>
    <row r="339" spans="1:19" hidden="1" x14ac:dyDescent="0.15">
      <c r="A339" s="34">
        <v>338</v>
      </c>
      <c r="B339" s="35" t="s">
        <v>4883</v>
      </c>
      <c r="C339" s="36" t="s">
        <v>3170</v>
      </c>
      <c r="D339" s="11" t="s">
        <v>1582</v>
      </c>
      <c r="E339" s="11" t="s">
        <v>1451</v>
      </c>
      <c r="F339" s="11">
        <v>11</v>
      </c>
      <c r="G339" s="11" t="s">
        <v>2126</v>
      </c>
      <c r="H339" s="11" t="s">
        <v>2125</v>
      </c>
      <c r="I339" s="11" t="s">
        <v>339</v>
      </c>
      <c r="J339" s="11" t="s">
        <v>1435</v>
      </c>
      <c r="K339" s="11" t="s">
        <v>1501</v>
      </c>
      <c r="L339" s="11"/>
      <c r="M339" s="11" t="s">
        <v>3317</v>
      </c>
      <c r="N339" s="11" t="s">
        <v>2124</v>
      </c>
      <c r="O339" s="11"/>
      <c r="P339" s="11"/>
      <c r="Q339" s="11">
        <v>4</v>
      </c>
      <c r="R339" s="11">
        <v>3</v>
      </c>
      <c r="S339" s="11" t="s">
        <v>3350</v>
      </c>
    </row>
    <row r="340" spans="1:19" hidden="1" x14ac:dyDescent="0.15">
      <c r="A340" s="34">
        <v>339</v>
      </c>
      <c r="B340" s="35" t="s">
        <v>4883</v>
      </c>
      <c r="C340" s="36" t="s">
        <v>3170</v>
      </c>
      <c r="D340" s="11" t="s">
        <v>1582</v>
      </c>
      <c r="E340" s="11" t="s">
        <v>1451</v>
      </c>
      <c r="F340" s="11">
        <v>10</v>
      </c>
      <c r="G340" s="11" t="s">
        <v>2123</v>
      </c>
      <c r="H340" s="11" t="s">
        <v>2122</v>
      </c>
      <c r="I340" s="11" t="s">
        <v>339</v>
      </c>
      <c r="J340" s="11" t="s">
        <v>1484</v>
      </c>
      <c r="K340" s="11"/>
      <c r="L340" s="11"/>
      <c r="M340" s="11" t="s">
        <v>2121</v>
      </c>
      <c r="N340" s="11"/>
      <c r="O340" s="11"/>
      <c r="P340" s="11"/>
      <c r="Q340" s="11">
        <v>2</v>
      </c>
      <c r="R340" s="11">
        <v>2</v>
      </c>
      <c r="S340" s="11" t="s">
        <v>2121</v>
      </c>
    </row>
    <row r="341" spans="1:19" hidden="1" x14ac:dyDescent="0.15">
      <c r="A341" s="34">
        <v>340</v>
      </c>
      <c r="B341" s="35" t="s">
        <v>4883</v>
      </c>
      <c r="C341" s="36" t="s">
        <v>3170</v>
      </c>
      <c r="D341" s="11" t="s">
        <v>1582</v>
      </c>
      <c r="E341" s="11" t="s">
        <v>1451</v>
      </c>
      <c r="F341" s="11">
        <v>5</v>
      </c>
      <c r="G341" s="11" t="s">
        <v>2120</v>
      </c>
      <c r="H341" s="11" t="s">
        <v>2119</v>
      </c>
      <c r="I341" s="11" t="s">
        <v>1453</v>
      </c>
      <c r="J341" s="11"/>
      <c r="K341" s="11"/>
      <c r="L341" s="11"/>
      <c r="M341" s="11" t="s">
        <v>3317</v>
      </c>
      <c r="N341" s="11" t="s">
        <v>2118</v>
      </c>
      <c r="O341" s="11"/>
      <c r="P341" s="11"/>
      <c r="Q341" s="11"/>
      <c r="R341" s="11"/>
      <c r="S341" s="11" t="s">
        <v>3351</v>
      </c>
    </row>
    <row r="342" spans="1:19" hidden="1" x14ac:dyDescent="0.15">
      <c r="A342" s="34">
        <v>341</v>
      </c>
      <c r="B342" s="35" t="s">
        <v>4883</v>
      </c>
      <c r="C342" s="36" t="s">
        <v>3170</v>
      </c>
      <c r="D342" s="11" t="s">
        <v>1582</v>
      </c>
      <c r="E342" s="11" t="s">
        <v>1451</v>
      </c>
      <c r="F342" s="11">
        <v>8</v>
      </c>
      <c r="G342" s="11" t="s">
        <v>2117</v>
      </c>
      <c r="H342" s="11" t="s">
        <v>2116</v>
      </c>
      <c r="I342" s="11" t="s">
        <v>1453</v>
      </c>
      <c r="J342" s="11"/>
      <c r="K342" s="11"/>
      <c r="L342" s="11"/>
      <c r="M342" s="11" t="s">
        <v>2115</v>
      </c>
      <c r="N342" s="11" t="s">
        <v>2114</v>
      </c>
      <c r="O342" s="11"/>
      <c r="P342" s="11"/>
      <c r="Q342" s="11"/>
      <c r="R342" s="11"/>
      <c r="S342" s="11" t="s">
        <v>2113</v>
      </c>
    </row>
    <row r="343" spans="1:19" hidden="1" x14ac:dyDescent="0.15">
      <c r="A343" s="34">
        <v>342</v>
      </c>
      <c r="B343" s="35" t="s">
        <v>4883</v>
      </c>
      <c r="C343" s="36" t="s">
        <v>3170</v>
      </c>
      <c r="D343" s="11" t="s">
        <v>1582</v>
      </c>
      <c r="E343" s="11" t="s">
        <v>1451</v>
      </c>
      <c r="F343" s="11">
        <v>3</v>
      </c>
      <c r="G343" s="11" t="s">
        <v>2112</v>
      </c>
      <c r="H343" s="11" t="s">
        <v>2111</v>
      </c>
      <c r="I343" s="11" t="s">
        <v>1453</v>
      </c>
      <c r="J343" s="11"/>
      <c r="K343" s="11"/>
      <c r="L343" s="11"/>
      <c r="M343" s="11" t="s">
        <v>3317</v>
      </c>
      <c r="N343" s="11" t="s">
        <v>2110</v>
      </c>
      <c r="O343" s="11" t="s">
        <v>2109</v>
      </c>
      <c r="P343" s="11"/>
      <c r="Q343" s="11"/>
      <c r="R343" s="11"/>
      <c r="S343" s="11" t="s">
        <v>3352</v>
      </c>
    </row>
    <row r="344" spans="1:19" hidden="1" x14ac:dyDescent="0.15">
      <c r="A344" s="34">
        <v>343</v>
      </c>
      <c r="B344" s="35" t="s">
        <v>4883</v>
      </c>
      <c r="C344" s="36" t="s">
        <v>3170</v>
      </c>
      <c r="D344" s="11" t="s">
        <v>1582</v>
      </c>
      <c r="E344" s="11" t="s">
        <v>1451</v>
      </c>
      <c r="F344" s="11">
        <v>12</v>
      </c>
      <c r="G344" s="11" t="s">
        <v>2108</v>
      </c>
      <c r="H344" s="11" t="s">
        <v>2107</v>
      </c>
      <c r="I344" s="11" t="s">
        <v>288</v>
      </c>
      <c r="J344" s="11" t="s">
        <v>6250</v>
      </c>
      <c r="K344" s="11"/>
      <c r="L344" s="11"/>
      <c r="M344" s="11" t="s">
        <v>1757</v>
      </c>
      <c r="N344" s="11" t="s">
        <v>2106</v>
      </c>
      <c r="O344" s="11"/>
      <c r="P344" s="11">
        <v>2</v>
      </c>
      <c r="Q344" s="11"/>
      <c r="R344" s="11"/>
      <c r="S344" s="11" t="s">
        <v>2105</v>
      </c>
    </row>
    <row r="345" spans="1:19" hidden="1" x14ac:dyDescent="0.15">
      <c r="A345" s="34">
        <v>344</v>
      </c>
      <c r="B345" s="35" t="s">
        <v>4883</v>
      </c>
      <c r="C345" s="36" t="s">
        <v>3170</v>
      </c>
      <c r="D345" s="11" t="s">
        <v>1582</v>
      </c>
      <c r="E345" s="11" t="s">
        <v>1451</v>
      </c>
      <c r="F345" s="11">
        <v>4</v>
      </c>
      <c r="G345" s="11" t="s">
        <v>2104</v>
      </c>
      <c r="H345" s="11" t="s">
        <v>2103</v>
      </c>
      <c r="I345" s="11" t="s">
        <v>288</v>
      </c>
      <c r="J345" s="11"/>
      <c r="K345" s="11"/>
      <c r="L345" s="11"/>
      <c r="M345" s="11" t="s">
        <v>2102</v>
      </c>
      <c r="N345" s="11"/>
      <c r="O345" s="11"/>
      <c r="P345" s="11">
        <v>4</v>
      </c>
      <c r="Q345" s="11"/>
      <c r="R345" s="11"/>
      <c r="S345" s="11" t="s">
        <v>2102</v>
      </c>
    </row>
    <row r="346" spans="1:19" hidden="1" x14ac:dyDescent="0.15">
      <c r="A346" s="34">
        <v>345</v>
      </c>
      <c r="B346" s="35" t="s">
        <v>4883</v>
      </c>
      <c r="C346" s="36" t="s">
        <v>3170</v>
      </c>
      <c r="D346" s="11" t="s">
        <v>1582</v>
      </c>
      <c r="E346" s="11" t="s">
        <v>1451</v>
      </c>
      <c r="F346" s="11">
        <v>1</v>
      </c>
      <c r="G346" s="11" t="s">
        <v>2101</v>
      </c>
      <c r="H346" s="11" t="s">
        <v>2100</v>
      </c>
      <c r="I346" s="11" t="s">
        <v>288</v>
      </c>
      <c r="J346" s="11"/>
      <c r="K346" s="11"/>
      <c r="L346" s="11"/>
      <c r="M346" s="11" t="s">
        <v>2099</v>
      </c>
      <c r="N346" s="11"/>
      <c r="O346" s="11"/>
      <c r="P346" s="11">
        <v>2</v>
      </c>
      <c r="Q346" s="11"/>
      <c r="R346" s="11"/>
      <c r="S346" s="11" t="s">
        <v>2099</v>
      </c>
    </row>
    <row r="347" spans="1:19" hidden="1" x14ac:dyDescent="0.15">
      <c r="A347" s="34">
        <v>346</v>
      </c>
      <c r="B347" s="35" t="s">
        <v>4883</v>
      </c>
      <c r="C347" s="36" t="s">
        <v>3170</v>
      </c>
      <c r="D347" s="11" t="s">
        <v>1582</v>
      </c>
      <c r="E347" s="11" t="s">
        <v>1441</v>
      </c>
      <c r="F347" s="11">
        <v>14</v>
      </c>
      <c r="G347" s="11" t="s">
        <v>2098</v>
      </c>
      <c r="H347" s="11" t="s">
        <v>2097</v>
      </c>
      <c r="I347" s="11" t="s">
        <v>339</v>
      </c>
      <c r="J347" s="11" t="s">
        <v>1494</v>
      </c>
      <c r="K347" s="11"/>
      <c r="L347" s="11"/>
      <c r="M347" s="11" t="s">
        <v>351</v>
      </c>
      <c r="N347" s="11" t="s">
        <v>2096</v>
      </c>
      <c r="O347" s="11"/>
      <c r="P347" s="11"/>
      <c r="Q347" s="11">
        <v>5</v>
      </c>
      <c r="R347" s="11">
        <v>6</v>
      </c>
      <c r="S347" s="11" t="s">
        <v>3353</v>
      </c>
    </row>
    <row r="348" spans="1:19" hidden="1" x14ac:dyDescent="0.15">
      <c r="A348" s="34">
        <v>347</v>
      </c>
      <c r="B348" s="35" t="s">
        <v>4883</v>
      </c>
      <c r="C348" s="36" t="s">
        <v>3170</v>
      </c>
      <c r="D348" s="11" t="s">
        <v>1582</v>
      </c>
      <c r="E348" s="11" t="s">
        <v>1441</v>
      </c>
      <c r="F348" s="11">
        <v>15</v>
      </c>
      <c r="G348" s="11" t="s">
        <v>2095</v>
      </c>
      <c r="H348" s="11" t="s">
        <v>2094</v>
      </c>
      <c r="I348" s="11" t="s">
        <v>339</v>
      </c>
      <c r="J348" s="11" t="s">
        <v>1494</v>
      </c>
      <c r="K348" s="11"/>
      <c r="L348" s="11"/>
      <c r="M348" s="11" t="s">
        <v>351</v>
      </c>
      <c r="N348" s="11" t="s">
        <v>2093</v>
      </c>
      <c r="O348" s="11" t="s">
        <v>2092</v>
      </c>
      <c r="P348" s="11"/>
      <c r="Q348" s="11">
        <v>5</v>
      </c>
      <c r="R348" s="11">
        <v>6</v>
      </c>
      <c r="S348" s="11" t="s">
        <v>3354</v>
      </c>
    </row>
    <row r="349" spans="1:19" hidden="1" x14ac:dyDescent="0.15">
      <c r="A349" s="34">
        <v>348</v>
      </c>
      <c r="B349" s="35" t="s">
        <v>4883</v>
      </c>
      <c r="C349" s="36" t="s">
        <v>3170</v>
      </c>
      <c r="D349" s="11" t="s">
        <v>1582</v>
      </c>
      <c r="E349" s="11" t="s">
        <v>1441</v>
      </c>
      <c r="F349" s="11">
        <v>16</v>
      </c>
      <c r="G349" s="11" t="s">
        <v>2091</v>
      </c>
      <c r="H349" s="11" t="s">
        <v>2090</v>
      </c>
      <c r="I349" s="11" t="s">
        <v>1453</v>
      </c>
      <c r="J349" s="11"/>
      <c r="K349" s="11"/>
      <c r="L349" s="11"/>
      <c r="M349" s="11" t="s">
        <v>2089</v>
      </c>
      <c r="N349" s="11"/>
      <c r="O349" s="11"/>
      <c r="P349" s="11"/>
      <c r="Q349" s="11"/>
      <c r="R349" s="11"/>
      <c r="S349" s="11" t="s">
        <v>4909</v>
      </c>
    </row>
    <row r="350" spans="1:19" hidden="1" x14ac:dyDescent="0.15">
      <c r="A350" s="34">
        <v>349</v>
      </c>
      <c r="B350" s="35" t="s">
        <v>4883</v>
      </c>
      <c r="C350" s="36" t="s">
        <v>3170</v>
      </c>
      <c r="D350" s="11" t="s">
        <v>1582</v>
      </c>
      <c r="E350" s="11" t="s">
        <v>1441</v>
      </c>
      <c r="F350" s="11">
        <v>5</v>
      </c>
      <c r="G350" s="11" t="s">
        <v>2088</v>
      </c>
      <c r="H350" s="11" t="s">
        <v>2087</v>
      </c>
      <c r="I350" s="11" t="s">
        <v>1453</v>
      </c>
      <c r="J350" s="11"/>
      <c r="K350" s="11"/>
      <c r="L350" s="11"/>
      <c r="M350" s="11" t="s">
        <v>2086</v>
      </c>
      <c r="N350" s="11" t="s">
        <v>2085</v>
      </c>
      <c r="O350" s="11"/>
      <c r="P350" s="11"/>
      <c r="Q350" s="11"/>
      <c r="R350" s="11"/>
      <c r="S350" s="11" t="s">
        <v>2084</v>
      </c>
    </row>
    <row r="351" spans="1:19" hidden="1" x14ac:dyDescent="0.15">
      <c r="A351" s="34">
        <v>350</v>
      </c>
      <c r="B351" s="35" t="s">
        <v>4883</v>
      </c>
      <c r="C351" s="36" t="s">
        <v>3170</v>
      </c>
      <c r="D351" s="11" t="s">
        <v>1582</v>
      </c>
      <c r="E351" s="11" t="s">
        <v>1431</v>
      </c>
      <c r="F351" s="11">
        <v>12</v>
      </c>
      <c r="G351" s="11" t="s">
        <v>2083</v>
      </c>
      <c r="H351" s="11" t="s">
        <v>2082</v>
      </c>
      <c r="I351" s="11" t="s">
        <v>339</v>
      </c>
      <c r="J351" s="11" t="s">
        <v>1494</v>
      </c>
      <c r="K351" s="11" t="s">
        <v>1478</v>
      </c>
      <c r="L351" s="11"/>
      <c r="M351" s="11" t="s">
        <v>3355</v>
      </c>
      <c r="N351" s="11" t="s">
        <v>2310</v>
      </c>
      <c r="O351" s="11" t="s">
        <v>2081</v>
      </c>
      <c r="P351" s="11"/>
      <c r="Q351" s="11">
        <v>2</v>
      </c>
      <c r="R351" s="11">
        <v>3</v>
      </c>
      <c r="S351" s="11" t="s">
        <v>3356</v>
      </c>
    </row>
    <row r="352" spans="1:19" hidden="1" x14ac:dyDescent="0.15">
      <c r="A352" s="34">
        <v>351</v>
      </c>
      <c r="B352" s="35" t="s">
        <v>4883</v>
      </c>
      <c r="C352" s="36" t="s">
        <v>3170</v>
      </c>
      <c r="D352" s="11" t="s">
        <v>1582</v>
      </c>
      <c r="E352" s="11" t="s">
        <v>1431</v>
      </c>
      <c r="F352" s="11">
        <v>16</v>
      </c>
      <c r="G352" s="11" t="s">
        <v>2080</v>
      </c>
      <c r="H352" s="11" t="s">
        <v>2079</v>
      </c>
      <c r="I352" s="11" t="s">
        <v>339</v>
      </c>
      <c r="J352" s="11" t="s">
        <v>1435</v>
      </c>
      <c r="K352" s="11"/>
      <c r="L352" s="11"/>
      <c r="M352" s="11" t="s">
        <v>3357</v>
      </c>
      <c r="N352" s="11" t="s">
        <v>2078</v>
      </c>
      <c r="O352" s="11"/>
      <c r="P352" s="11"/>
      <c r="Q352" s="11">
        <v>8</v>
      </c>
      <c r="R352" s="11">
        <v>7</v>
      </c>
      <c r="S352" s="11" t="s">
        <v>3358</v>
      </c>
    </row>
    <row r="353" spans="1:19" hidden="1" x14ac:dyDescent="0.15">
      <c r="A353" s="34">
        <v>352</v>
      </c>
      <c r="B353" s="35" t="s">
        <v>4883</v>
      </c>
      <c r="C353" s="36" t="s">
        <v>3170</v>
      </c>
      <c r="D353" s="11" t="s">
        <v>1582</v>
      </c>
      <c r="E353" s="11" t="s">
        <v>1431</v>
      </c>
      <c r="F353" s="11">
        <v>18</v>
      </c>
      <c r="G353" s="11" t="s">
        <v>2077</v>
      </c>
      <c r="H353" s="11" t="s">
        <v>2076</v>
      </c>
      <c r="I353" s="11" t="s">
        <v>339</v>
      </c>
      <c r="J353" s="11" t="s">
        <v>1435</v>
      </c>
      <c r="K353" s="11" t="s">
        <v>1717</v>
      </c>
      <c r="L353" s="11"/>
      <c r="M353" s="11" t="s">
        <v>3317</v>
      </c>
      <c r="N353" s="11" t="s">
        <v>2075</v>
      </c>
      <c r="O353" s="11"/>
      <c r="P353" s="11"/>
      <c r="Q353" s="11">
        <v>8</v>
      </c>
      <c r="R353" s="11">
        <v>7</v>
      </c>
      <c r="S353" s="11" t="s">
        <v>3359</v>
      </c>
    </row>
    <row r="354" spans="1:19" hidden="1" x14ac:dyDescent="0.15">
      <c r="A354" s="34">
        <v>353</v>
      </c>
      <c r="B354" s="35" t="s">
        <v>4883</v>
      </c>
      <c r="C354" s="36" t="s">
        <v>3170</v>
      </c>
      <c r="D354" s="11" t="s">
        <v>1552</v>
      </c>
      <c r="E354" s="11" t="s">
        <v>1744</v>
      </c>
      <c r="F354" s="11">
        <v>5</v>
      </c>
      <c r="G354" s="11" t="s">
        <v>2074</v>
      </c>
      <c r="H354" s="11" t="s">
        <v>2073</v>
      </c>
      <c r="I354" s="11" t="s">
        <v>339</v>
      </c>
      <c r="J354" s="11" t="s">
        <v>338</v>
      </c>
      <c r="K354" s="11"/>
      <c r="L354" s="11"/>
      <c r="M354" s="11" t="s">
        <v>2072</v>
      </c>
      <c r="N354" s="11"/>
      <c r="O354" s="11"/>
      <c r="P354" s="11"/>
      <c r="Q354" s="11">
        <v>3</v>
      </c>
      <c r="R354" s="11">
        <v>1</v>
      </c>
      <c r="S354" s="11" t="s">
        <v>2072</v>
      </c>
    </row>
    <row r="355" spans="1:19" hidden="1" x14ac:dyDescent="0.15">
      <c r="A355" s="34">
        <v>354</v>
      </c>
      <c r="B355" s="35" t="s">
        <v>4883</v>
      </c>
      <c r="C355" s="36" t="s">
        <v>3170</v>
      </c>
      <c r="D355" s="11" t="s">
        <v>1552</v>
      </c>
      <c r="E355" s="11" t="s">
        <v>1744</v>
      </c>
      <c r="F355" s="11">
        <v>4</v>
      </c>
      <c r="G355" s="11" t="s">
        <v>2071</v>
      </c>
      <c r="H355" s="11" t="s">
        <v>2070</v>
      </c>
      <c r="I355" s="11" t="s">
        <v>339</v>
      </c>
      <c r="J355" s="11" t="s">
        <v>1564</v>
      </c>
      <c r="K355" s="11" t="s">
        <v>1929</v>
      </c>
      <c r="L355" s="11" t="s">
        <v>1478</v>
      </c>
      <c r="M355" s="11" t="s">
        <v>2069</v>
      </c>
      <c r="N355" s="11"/>
      <c r="O355" s="11"/>
      <c r="P355" s="11"/>
      <c r="Q355" s="11">
        <v>2</v>
      </c>
      <c r="R355" s="11">
        <v>1</v>
      </c>
      <c r="S355" s="11" t="s">
        <v>2069</v>
      </c>
    </row>
    <row r="356" spans="1:19" hidden="1" x14ac:dyDescent="0.15">
      <c r="A356" s="34">
        <v>355</v>
      </c>
      <c r="B356" s="35" t="s">
        <v>4883</v>
      </c>
      <c r="C356" s="36" t="s">
        <v>3170</v>
      </c>
      <c r="D356" s="11" t="s">
        <v>1552</v>
      </c>
      <c r="E356" s="11" t="s">
        <v>1744</v>
      </c>
      <c r="F356" s="11">
        <v>7</v>
      </c>
      <c r="G356" s="11" t="s">
        <v>2068</v>
      </c>
      <c r="H356" s="11" t="s">
        <v>2067</v>
      </c>
      <c r="I356" s="11" t="s">
        <v>339</v>
      </c>
      <c r="J356" s="11" t="s">
        <v>1489</v>
      </c>
      <c r="K356" s="11" t="s">
        <v>1867</v>
      </c>
      <c r="L356" s="11" t="s">
        <v>1478</v>
      </c>
      <c r="M356" s="11" t="s">
        <v>2066</v>
      </c>
      <c r="N356" s="11"/>
      <c r="O356" s="11"/>
      <c r="P356" s="11"/>
      <c r="Q356" s="11">
        <v>2</v>
      </c>
      <c r="R356" s="11">
        <v>2</v>
      </c>
      <c r="S356" s="11" t="s">
        <v>2066</v>
      </c>
    </row>
    <row r="357" spans="1:19" hidden="1" x14ac:dyDescent="0.15">
      <c r="A357" s="34">
        <v>356</v>
      </c>
      <c r="B357" s="35" t="s">
        <v>4883</v>
      </c>
      <c r="C357" s="36" t="s">
        <v>3170</v>
      </c>
      <c r="D357" s="11" t="s">
        <v>1552</v>
      </c>
      <c r="E357" s="11" t="s">
        <v>1744</v>
      </c>
      <c r="F357" s="11">
        <v>6</v>
      </c>
      <c r="G357" s="11" t="s">
        <v>2065</v>
      </c>
      <c r="H357" s="11" t="s">
        <v>2064</v>
      </c>
      <c r="I357" s="11" t="s">
        <v>339</v>
      </c>
      <c r="J357" s="11" t="s">
        <v>1435</v>
      </c>
      <c r="K357" s="11" t="s">
        <v>1501</v>
      </c>
      <c r="L357" s="11"/>
      <c r="M357" s="11" t="s">
        <v>3317</v>
      </c>
      <c r="N357" s="11" t="s">
        <v>2063</v>
      </c>
      <c r="O357" s="11"/>
      <c r="P357" s="11"/>
      <c r="Q357" s="11">
        <v>1</v>
      </c>
      <c r="R357" s="11">
        <v>3</v>
      </c>
      <c r="S357" s="11" t="s">
        <v>3360</v>
      </c>
    </row>
    <row r="358" spans="1:19" hidden="1" x14ac:dyDescent="0.15">
      <c r="A358" s="34">
        <v>357</v>
      </c>
      <c r="B358" s="35" t="s">
        <v>4883</v>
      </c>
      <c r="C358" s="36" t="s">
        <v>3170</v>
      </c>
      <c r="D358" s="11" t="s">
        <v>1552</v>
      </c>
      <c r="E358" s="11" t="s">
        <v>1744</v>
      </c>
      <c r="F358" s="11">
        <v>8</v>
      </c>
      <c r="G358" s="11" t="s">
        <v>2062</v>
      </c>
      <c r="H358" s="11" t="s">
        <v>2061</v>
      </c>
      <c r="I358" s="11" t="s">
        <v>339</v>
      </c>
      <c r="J358" s="11" t="s">
        <v>357</v>
      </c>
      <c r="K358" s="11"/>
      <c r="L358" s="11"/>
      <c r="M358" s="11" t="s">
        <v>1707</v>
      </c>
      <c r="N358" s="11" t="s">
        <v>1889</v>
      </c>
      <c r="O358" s="11"/>
      <c r="P358" s="11"/>
      <c r="Q358" s="11">
        <v>2</v>
      </c>
      <c r="R358" s="11">
        <v>1</v>
      </c>
      <c r="S358" s="11" t="s">
        <v>3361</v>
      </c>
    </row>
    <row r="359" spans="1:19" hidden="1" x14ac:dyDescent="0.15">
      <c r="A359" s="34">
        <v>358</v>
      </c>
      <c r="B359" s="35" t="s">
        <v>4883</v>
      </c>
      <c r="C359" s="36" t="s">
        <v>3170</v>
      </c>
      <c r="D359" s="11" t="s">
        <v>1552</v>
      </c>
      <c r="E359" s="11" t="s">
        <v>1744</v>
      </c>
      <c r="F359" s="11">
        <v>8</v>
      </c>
      <c r="G359" s="11" t="s">
        <v>2060</v>
      </c>
      <c r="H359" s="11" t="s">
        <v>2059</v>
      </c>
      <c r="I359" s="11" t="s">
        <v>339</v>
      </c>
      <c r="J359" s="11" t="s">
        <v>1435</v>
      </c>
      <c r="K359" s="11" t="s">
        <v>1501</v>
      </c>
      <c r="L359" s="11"/>
      <c r="M359" s="11" t="s">
        <v>3317</v>
      </c>
      <c r="N359" s="11" t="s">
        <v>2058</v>
      </c>
      <c r="O359" s="11"/>
      <c r="P359" s="11"/>
      <c r="Q359" s="11">
        <v>3</v>
      </c>
      <c r="R359" s="11">
        <v>1</v>
      </c>
      <c r="S359" s="11" t="s">
        <v>3362</v>
      </c>
    </row>
    <row r="360" spans="1:19" hidden="1" x14ac:dyDescent="0.15">
      <c r="A360" s="34">
        <v>359</v>
      </c>
      <c r="B360" s="35" t="s">
        <v>4883</v>
      </c>
      <c r="C360" s="36" t="s">
        <v>3170</v>
      </c>
      <c r="D360" s="11" t="s">
        <v>1552</v>
      </c>
      <c r="E360" s="11" t="s">
        <v>1744</v>
      </c>
      <c r="F360" s="11">
        <v>8</v>
      </c>
      <c r="G360" s="11" t="s">
        <v>2057</v>
      </c>
      <c r="H360" s="11" t="s">
        <v>2056</v>
      </c>
      <c r="I360" s="11" t="s">
        <v>339</v>
      </c>
      <c r="J360" s="11" t="s">
        <v>2055</v>
      </c>
      <c r="K360" s="11" t="s">
        <v>1493</v>
      </c>
      <c r="L360" s="11" t="s">
        <v>1478</v>
      </c>
      <c r="M360" s="11" t="s">
        <v>2595</v>
      </c>
      <c r="N360" s="11" t="s">
        <v>2054</v>
      </c>
      <c r="O360" s="11"/>
      <c r="P360" s="11"/>
      <c r="Q360" s="11">
        <v>2</v>
      </c>
      <c r="R360" s="11">
        <v>1</v>
      </c>
      <c r="S360" s="11" t="s">
        <v>3363</v>
      </c>
    </row>
    <row r="361" spans="1:19" hidden="1" x14ac:dyDescent="0.15">
      <c r="A361" s="34">
        <v>360</v>
      </c>
      <c r="B361" s="35" t="s">
        <v>4883</v>
      </c>
      <c r="C361" s="36" t="s">
        <v>3170</v>
      </c>
      <c r="D361" s="11" t="s">
        <v>1552</v>
      </c>
      <c r="E361" s="11" t="s">
        <v>1744</v>
      </c>
      <c r="F361" s="11">
        <v>5</v>
      </c>
      <c r="G361" s="11" t="s">
        <v>2053</v>
      </c>
      <c r="H361" s="11" t="s">
        <v>2052</v>
      </c>
      <c r="I361" s="11" t="s">
        <v>339</v>
      </c>
      <c r="J361" s="11" t="s">
        <v>1489</v>
      </c>
      <c r="K361" s="11" t="s">
        <v>1493</v>
      </c>
      <c r="L361" s="11" t="s">
        <v>1478</v>
      </c>
      <c r="M361" s="11"/>
      <c r="N361" s="11"/>
      <c r="O361" s="11"/>
      <c r="P361" s="11"/>
      <c r="Q361" s="11">
        <v>2</v>
      </c>
      <c r="R361" s="11">
        <v>2</v>
      </c>
      <c r="S361" s="11"/>
    </row>
    <row r="362" spans="1:19" hidden="1" x14ac:dyDescent="0.15">
      <c r="A362" s="34">
        <v>361</v>
      </c>
      <c r="B362" s="35" t="s">
        <v>4883</v>
      </c>
      <c r="C362" s="36" t="s">
        <v>3170</v>
      </c>
      <c r="D362" s="11" t="s">
        <v>1552</v>
      </c>
      <c r="E362" s="11" t="s">
        <v>1744</v>
      </c>
      <c r="F362" s="11">
        <v>6</v>
      </c>
      <c r="G362" s="11" t="s">
        <v>2051</v>
      </c>
      <c r="H362" s="11" t="s">
        <v>2050</v>
      </c>
      <c r="I362" s="11" t="s">
        <v>339</v>
      </c>
      <c r="J362" s="11" t="s">
        <v>2049</v>
      </c>
      <c r="K362" s="11" t="s">
        <v>1493</v>
      </c>
      <c r="L362" s="11" t="s">
        <v>1478</v>
      </c>
      <c r="M362" s="11" t="s">
        <v>2048</v>
      </c>
      <c r="N362" s="11"/>
      <c r="O362" s="11"/>
      <c r="P362" s="11"/>
      <c r="Q362" s="11">
        <v>2</v>
      </c>
      <c r="R362" s="11">
        <v>2</v>
      </c>
      <c r="S362" s="11" t="s">
        <v>4795</v>
      </c>
    </row>
    <row r="363" spans="1:19" hidden="1" x14ac:dyDescent="0.15">
      <c r="A363" s="34">
        <v>362</v>
      </c>
      <c r="B363" s="35" t="s">
        <v>4883</v>
      </c>
      <c r="C363" s="36" t="s">
        <v>3170</v>
      </c>
      <c r="D363" s="11" t="s">
        <v>1552</v>
      </c>
      <c r="E363" s="11" t="s">
        <v>1744</v>
      </c>
      <c r="F363" s="11">
        <v>5</v>
      </c>
      <c r="G363" s="11" t="s">
        <v>2047</v>
      </c>
      <c r="H363" s="11" t="s">
        <v>2046</v>
      </c>
      <c r="I363" s="11" t="s">
        <v>339</v>
      </c>
      <c r="J363" s="11" t="s">
        <v>1945</v>
      </c>
      <c r="K363" s="11"/>
      <c r="L363" s="11"/>
      <c r="M363" s="11" t="s">
        <v>2045</v>
      </c>
      <c r="N363" s="11"/>
      <c r="O363" s="11"/>
      <c r="P363" s="11"/>
      <c r="Q363" s="11">
        <v>2</v>
      </c>
      <c r="R363" s="11">
        <v>1</v>
      </c>
      <c r="S363" s="11" t="s">
        <v>2045</v>
      </c>
    </row>
    <row r="364" spans="1:19" hidden="1" x14ac:dyDescent="0.15">
      <c r="A364" s="34">
        <v>363</v>
      </c>
      <c r="B364" s="35" t="s">
        <v>4883</v>
      </c>
      <c r="C364" s="36" t="s">
        <v>3170</v>
      </c>
      <c r="D364" s="11" t="s">
        <v>1552</v>
      </c>
      <c r="E364" s="11" t="s">
        <v>1744</v>
      </c>
      <c r="F364" s="11">
        <v>6</v>
      </c>
      <c r="G364" s="11" t="s">
        <v>2044</v>
      </c>
      <c r="H364" s="11" t="s">
        <v>2043</v>
      </c>
      <c r="I364" s="11" t="s">
        <v>339</v>
      </c>
      <c r="J364" s="11" t="s">
        <v>1537</v>
      </c>
      <c r="K364" s="11"/>
      <c r="L364" s="11"/>
      <c r="M364" s="11" t="s">
        <v>1831</v>
      </c>
      <c r="N364" s="11"/>
      <c r="O364" s="11"/>
      <c r="P364" s="11"/>
      <c r="Q364" s="11">
        <v>2</v>
      </c>
      <c r="R364" s="11">
        <v>2</v>
      </c>
      <c r="S364" s="11" t="s">
        <v>1831</v>
      </c>
    </row>
    <row r="365" spans="1:19" hidden="1" x14ac:dyDescent="0.15">
      <c r="A365" s="34">
        <v>364</v>
      </c>
      <c r="B365" s="35" t="s">
        <v>4883</v>
      </c>
      <c r="C365" s="36" t="s">
        <v>3170</v>
      </c>
      <c r="D365" s="11" t="s">
        <v>1552</v>
      </c>
      <c r="E365" s="11" t="s">
        <v>1744</v>
      </c>
      <c r="F365" s="11">
        <v>6</v>
      </c>
      <c r="G365" s="11" t="s">
        <v>2042</v>
      </c>
      <c r="H365" s="11" t="s">
        <v>2041</v>
      </c>
      <c r="I365" s="11" t="s">
        <v>1453</v>
      </c>
      <c r="J365" s="11"/>
      <c r="K365" s="11"/>
      <c r="L365" s="11"/>
      <c r="M365" s="11" t="s">
        <v>2040</v>
      </c>
      <c r="N365" s="11" t="s">
        <v>2039</v>
      </c>
      <c r="O365" s="11"/>
      <c r="P365" s="11"/>
      <c r="Q365" s="11"/>
      <c r="R365" s="11"/>
      <c r="S365" s="11" t="s">
        <v>2038</v>
      </c>
    </row>
    <row r="366" spans="1:19" hidden="1" x14ac:dyDescent="0.15">
      <c r="A366" s="34">
        <v>365</v>
      </c>
      <c r="B366" s="35" t="s">
        <v>4883</v>
      </c>
      <c r="C366" s="36" t="s">
        <v>3170</v>
      </c>
      <c r="D366" s="11" t="s">
        <v>1552</v>
      </c>
      <c r="E366" s="11" t="s">
        <v>1744</v>
      </c>
      <c r="F366" s="11">
        <v>8</v>
      </c>
      <c r="G366" s="11" t="s">
        <v>2037</v>
      </c>
      <c r="H366" s="11" t="s">
        <v>2036</v>
      </c>
      <c r="I366" s="11" t="s">
        <v>1453</v>
      </c>
      <c r="J366" s="11"/>
      <c r="K366" s="11"/>
      <c r="L366" s="11"/>
      <c r="M366" s="11" t="s">
        <v>2035</v>
      </c>
      <c r="N366" s="11"/>
      <c r="O366" s="11"/>
      <c r="P366" s="11"/>
      <c r="Q366" s="11"/>
      <c r="R366" s="11"/>
      <c r="S366" s="11" t="s">
        <v>2035</v>
      </c>
    </row>
    <row r="367" spans="1:19" hidden="1" x14ac:dyDescent="0.15">
      <c r="A367" s="34">
        <v>366</v>
      </c>
      <c r="B367" s="35" t="s">
        <v>4883</v>
      </c>
      <c r="C367" s="36" t="s">
        <v>3170</v>
      </c>
      <c r="D367" s="11" t="s">
        <v>1552</v>
      </c>
      <c r="E367" s="11" t="s">
        <v>1744</v>
      </c>
      <c r="F367" s="11">
        <v>8</v>
      </c>
      <c r="G367" s="11" t="s">
        <v>2034</v>
      </c>
      <c r="H367" s="11" t="s">
        <v>2033</v>
      </c>
      <c r="I367" s="11" t="s">
        <v>1453</v>
      </c>
      <c r="J367" s="11"/>
      <c r="K367" s="11"/>
      <c r="L367" s="11"/>
      <c r="M367" s="11" t="s">
        <v>2032</v>
      </c>
      <c r="N367" s="11"/>
      <c r="O367" s="11"/>
      <c r="P367" s="11"/>
      <c r="Q367" s="11"/>
      <c r="R367" s="11"/>
      <c r="S367" s="11" t="s">
        <v>2032</v>
      </c>
    </row>
    <row r="368" spans="1:19" hidden="1" x14ac:dyDescent="0.15">
      <c r="A368" s="34">
        <v>367</v>
      </c>
      <c r="B368" s="35" t="s">
        <v>4883</v>
      </c>
      <c r="C368" s="36" t="s">
        <v>3170</v>
      </c>
      <c r="D368" s="11" t="s">
        <v>1552</v>
      </c>
      <c r="E368" s="11" t="s">
        <v>1744</v>
      </c>
      <c r="F368" s="11">
        <v>10</v>
      </c>
      <c r="G368" s="11" t="s">
        <v>2031</v>
      </c>
      <c r="H368" s="11" t="s">
        <v>2030</v>
      </c>
      <c r="I368" s="11" t="s">
        <v>1453</v>
      </c>
      <c r="J368" s="11"/>
      <c r="K368" s="11"/>
      <c r="L368" s="11"/>
      <c r="M368" s="11" t="s">
        <v>2029</v>
      </c>
      <c r="N368" s="11"/>
      <c r="O368" s="11"/>
      <c r="P368" s="11"/>
      <c r="Q368" s="11"/>
      <c r="R368" s="11"/>
      <c r="S368" s="11" t="s">
        <v>2029</v>
      </c>
    </row>
    <row r="369" spans="1:19" hidden="1" x14ac:dyDescent="0.15">
      <c r="A369" s="34">
        <v>368</v>
      </c>
      <c r="B369" s="35" t="s">
        <v>4883</v>
      </c>
      <c r="C369" s="36" t="s">
        <v>3170</v>
      </c>
      <c r="D369" s="11" t="s">
        <v>1552</v>
      </c>
      <c r="E369" s="11" t="s">
        <v>1744</v>
      </c>
      <c r="F369" s="11">
        <v>1</v>
      </c>
      <c r="G369" s="11" t="s">
        <v>2028</v>
      </c>
      <c r="H369" s="11" t="s">
        <v>2027</v>
      </c>
      <c r="I369" s="11" t="s">
        <v>1453</v>
      </c>
      <c r="J369" s="11"/>
      <c r="K369" s="11"/>
      <c r="L369" s="11"/>
      <c r="M369" s="11" t="s">
        <v>2026</v>
      </c>
      <c r="N369" s="11"/>
      <c r="O369" s="11"/>
      <c r="P369" s="11"/>
      <c r="Q369" s="11"/>
      <c r="R369" s="11"/>
      <c r="S369" s="11" t="s">
        <v>2026</v>
      </c>
    </row>
    <row r="370" spans="1:19" hidden="1" x14ac:dyDescent="0.15">
      <c r="A370" s="34">
        <v>369</v>
      </c>
      <c r="B370" s="35" t="s">
        <v>4883</v>
      </c>
      <c r="C370" s="36" t="s">
        <v>3170</v>
      </c>
      <c r="D370" s="11" t="s">
        <v>1552</v>
      </c>
      <c r="E370" s="11" t="s">
        <v>1744</v>
      </c>
      <c r="F370" s="11">
        <v>6</v>
      </c>
      <c r="G370" s="11" t="s">
        <v>2025</v>
      </c>
      <c r="H370" s="11" t="s">
        <v>2024</v>
      </c>
      <c r="I370" s="11" t="s">
        <v>1453</v>
      </c>
      <c r="J370" s="11"/>
      <c r="K370" s="11"/>
      <c r="L370" s="11"/>
      <c r="M370" s="11" t="s">
        <v>3317</v>
      </c>
      <c r="N370" s="11" t="s">
        <v>2023</v>
      </c>
      <c r="O370" s="11"/>
      <c r="P370" s="11"/>
      <c r="Q370" s="11"/>
      <c r="R370" s="11"/>
      <c r="S370" s="11" t="s">
        <v>3364</v>
      </c>
    </row>
    <row r="371" spans="1:19" hidden="1" x14ac:dyDescent="0.15">
      <c r="A371" s="34">
        <v>370</v>
      </c>
      <c r="B371" s="35" t="s">
        <v>4883</v>
      </c>
      <c r="C371" s="36" t="s">
        <v>3170</v>
      </c>
      <c r="D371" s="11" t="s">
        <v>1552</v>
      </c>
      <c r="E371" s="11" t="s">
        <v>1744</v>
      </c>
      <c r="F371" s="11">
        <v>6</v>
      </c>
      <c r="G371" s="11" t="s">
        <v>2022</v>
      </c>
      <c r="H371" s="11" t="s">
        <v>2021</v>
      </c>
      <c r="I371" s="11" t="s">
        <v>1453</v>
      </c>
      <c r="J371" s="11"/>
      <c r="K371" s="11"/>
      <c r="L371" s="11"/>
      <c r="M371" s="11" t="s">
        <v>2020</v>
      </c>
      <c r="N371" s="11"/>
      <c r="O371" s="11"/>
      <c r="P371" s="11"/>
      <c r="Q371" s="11"/>
      <c r="R371" s="11"/>
      <c r="S371" s="11" t="s">
        <v>2020</v>
      </c>
    </row>
    <row r="372" spans="1:19" hidden="1" x14ac:dyDescent="0.15">
      <c r="A372" s="34">
        <v>371</v>
      </c>
      <c r="B372" s="35" t="s">
        <v>4883</v>
      </c>
      <c r="C372" s="36" t="s">
        <v>3170</v>
      </c>
      <c r="D372" s="11" t="s">
        <v>1552</v>
      </c>
      <c r="E372" s="11" t="s">
        <v>1744</v>
      </c>
      <c r="F372" s="11">
        <v>15</v>
      </c>
      <c r="G372" s="11" t="s">
        <v>2019</v>
      </c>
      <c r="H372" s="11" t="s">
        <v>2018</v>
      </c>
      <c r="I372" s="11" t="s">
        <v>288</v>
      </c>
      <c r="J372" s="11" t="s">
        <v>6250</v>
      </c>
      <c r="K372" s="11"/>
      <c r="L372" s="11"/>
      <c r="M372" s="11" t="s">
        <v>2017</v>
      </c>
      <c r="N372" s="11" t="s">
        <v>1674</v>
      </c>
      <c r="O372" s="11"/>
      <c r="P372" s="11">
        <v>2</v>
      </c>
      <c r="Q372" s="11"/>
      <c r="R372" s="11"/>
      <c r="S372" s="11" t="s">
        <v>2016</v>
      </c>
    </row>
    <row r="373" spans="1:19" hidden="1" x14ac:dyDescent="0.15">
      <c r="A373" s="34">
        <v>372</v>
      </c>
      <c r="B373" s="35" t="s">
        <v>4883</v>
      </c>
      <c r="C373" s="36" t="s">
        <v>3170</v>
      </c>
      <c r="D373" s="11" t="s">
        <v>1552</v>
      </c>
      <c r="E373" s="11" t="s">
        <v>1451</v>
      </c>
      <c r="F373" s="11">
        <v>8</v>
      </c>
      <c r="G373" s="11" t="s">
        <v>2015</v>
      </c>
      <c r="H373" s="11" t="s">
        <v>2014</v>
      </c>
      <c r="I373" s="11" t="s">
        <v>339</v>
      </c>
      <c r="J373" s="11" t="s">
        <v>1489</v>
      </c>
      <c r="K373" s="11" t="s">
        <v>1867</v>
      </c>
      <c r="L373" s="11"/>
      <c r="M373" s="11" t="s">
        <v>2013</v>
      </c>
      <c r="N373" s="11"/>
      <c r="O373" s="11"/>
      <c r="P373" s="11"/>
      <c r="Q373" s="11">
        <v>2</v>
      </c>
      <c r="R373" s="11">
        <v>2</v>
      </c>
      <c r="S373" s="11" t="s">
        <v>2013</v>
      </c>
    </row>
    <row r="374" spans="1:19" hidden="1" x14ac:dyDescent="0.15">
      <c r="A374" s="34">
        <v>373</v>
      </c>
      <c r="B374" s="35" t="s">
        <v>4883</v>
      </c>
      <c r="C374" s="36" t="s">
        <v>3170</v>
      </c>
      <c r="D374" s="11" t="s">
        <v>1552</v>
      </c>
      <c r="E374" s="11" t="s">
        <v>1451</v>
      </c>
      <c r="F374" s="11">
        <v>7</v>
      </c>
      <c r="G374" s="11" t="s">
        <v>2012</v>
      </c>
      <c r="H374" s="11" t="s">
        <v>2011</v>
      </c>
      <c r="I374" s="11" t="s">
        <v>339</v>
      </c>
      <c r="J374" s="11" t="s">
        <v>1564</v>
      </c>
      <c r="K374" s="11" t="s">
        <v>1493</v>
      </c>
      <c r="L374" s="11"/>
      <c r="M374" s="11" t="s">
        <v>2010</v>
      </c>
      <c r="N374" s="11"/>
      <c r="O374" s="11"/>
      <c r="P374" s="11"/>
      <c r="Q374" s="11">
        <v>3</v>
      </c>
      <c r="R374" s="11">
        <v>4</v>
      </c>
      <c r="S374" s="11" t="s">
        <v>2010</v>
      </c>
    </row>
    <row r="375" spans="1:19" hidden="1" x14ac:dyDescent="0.15">
      <c r="A375" s="34">
        <v>374</v>
      </c>
      <c r="B375" s="35" t="s">
        <v>4883</v>
      </c>
      <c r="C375" s="36" t="s">
        <v>3170</v>
      </c>
      <c r="D375" s="11" t="s">
        <v>1552</v>
      </c>
      <c r="E375" s="11" t="s">
        <v>1451</v>
      </c>
      <c r="F375" s="11">
        <v>7</v>
      </c>
      <c r="G375" s="11" t="s">
        <v>2009</v>
      </c>
      <c r="H375" s="11" t="s">
        <v>2008</v>
      </c>
      <c r="I375" s="11" t="s">
        <v>339</v>
      </c>
      <c r="J375" s="11" t="s">
        <v>1489</v>
      </c>
      <c r="K375" s="11" t="s">
        <v>1867</v>
      </c>
      <c r="L375" s="11"/>
      <c r="M375" s="11" t="s">
        <v>2007</v>
      </c>
      <c r="N375" s="11"/>
      <c r="O375" s="11"/>
      <c r="P375" s="11"/>
      <c r="Q375" s="11">
        <v>3</v>
      </c>
      <c r="R375" s="11">
        <v>4</v>
      </c>
      <c r="S375" s="11" t="s">
        <v>2007</v>
      </c>
    </row>
    <row r="376" spans="1:19" hidden="1" x14ac:dyDescent="0.15">
      <c r="A376" s="34">
        <v>375</v>
      </c>
      <c r="B376" s="35" t="s">
        <v>4883</v>
      </c>
      <c r="C376" s="36" t="s">
        <v>3170</v>
      </c>
      <c r="D376" s="11" t="s">
        <v>1552</v>
      </c>
      <c r="E376" s="11" t="s">
        <v>1451</v>
      </c>
      <c r="F376" s="11">
        <v>10</v>
      </c>
      <c r="G376" s="11" t="s">
        <v>2006</v>
      </c>
      <c r="H376" s="11" t="s">
        <v>2005</v>
      </c>
      <c r="I376" s="11" t="s">
        <v>339</v>
      </c>
      <c r="J376" s="11" t="s">
        <v>1435</v>
      </c>
      <c r="K376" s="11" t="s">
        <v>1501</v>
      </c>
      <c r="L376" s="11"/>
      <c r="M376" s="11" t="s">
        <v>2004</v>
      </c>
      <c r="N376" s="11"/>
      <c r="O376" s="11"/>
      <c r="P376" s="11"/>
      <c r="Q376" s="11">
        <v>3</v>
      </c>
      <c r="R376" s="11">
        <v>4</v>
      </c>
      <c r="S376" s="11" t="s">
        <v>2004</v>
      </c>
    </row>
    <row r="377" spans="1:19" hidden="1" x14ac:dyDescent="0.15">
      <c r="A377" s="34">
        <v>376</v>
      </c>
      <c r="B377" s="35" t="s">
        <v>4883</v>
      </c>
      <c r="C377" s="36" t="s">
        <v>3170</v>
      </c>
      <c r="D377" s="11" t="s">
        <v>1552</v>
      </c>
      <c r="E377" s="11" t="s">
        <v>1451</v>
      </c>
      <c r="F377" s="11">
        <v>10</v>
      </c>
      <c r="G377" s="11" t="s">
        <v>2003</v>
      </c>
      <c r="H377" s="11" t="s">
        <v>2002</v>
      </c>
      <c r="I377" s="11" t="s">
        <v>339</v>
      </c>
      <c r="J377" s="11" t="s">
        <v>1435</v>
      </c>
      <c r="K377" s="11" t="s">
        <v>1501</v>
      </c>
      <c r="L377" s="11"/>
      <c r="M377" s="11" t="s">
        <v>2004</v>
      </c>
      <c r="N377" s="11" t="s">
        <v>2001</v>
      </c>
      <c r="O377" s="11"/>
      <c r="P377" s="11"/>
      <c r="Q377" s="11">
        <v>0</v>
      </c>
      <c r="R377" s="11">
        <v>5</v>
      </c>
      <c r="S377" s="11" t="s">
        <v>3365</v>
      </c>
    </row>
    <row r="378" spans="1:19" hidden="1" x14ac:dyDescent="0.15">
      <c r="A378" s="34">
        <v>377</v>
      </c>
      <c r="B378" s="35" t="s">
        <v>4883</v>
      </c>
      <c r="C378" s="36" t="s">
        <v>3170</v>
      </c>
      <c r="D378" s="11" t="s">
        <v>1552</v>
      </c>
      <c r="E378" s="11" t="s">
        <v>1451</v>
      </c>
      <c r="F378" s="11">
        <v>1</v>
      </c>
      <c r="G378" s="11" t="s">
        <v>4917</v>
      </c>
      <c r="H378" s="11" t="s">
        <v>2000</v>
      </c>
      <c r="I378" s="11" t="s">
        <v>1453</v>
      </c>
      <c r="J378" s="11"/>
      <c r="K378" s="11"/>
      <c r="L378" s="11"/>
      <c r="M378" s="11" t="s">
        <v>3317</v>
      </c>
      <c r="N378" s="11" t="s">
        <v>1999</v>
      </c>
      <c r="O378" s="11"/>
      <c r="P378" s="11"/>
      <c r="Q378" s="11"/>
      <c r="R378" s="11"/>
      <c r="S378" s="11" t="s">
        <v>4918</v>
      </c>
    </row>
    <row r="379" spans="1:19" hidden="1" x14ac:dyDescent="0.15">
      <c r="A379" s="34">
        <v>378</v>
      </c>
      <c r="B379" s="35" t="s">
        <v>4883</v>
      </c>
      <c r="C379" s="36" t="s">
        <v>3170</v>
      </c>
      <c r="D379" s="11" t="s">
        <v>1552</v>
      </c>
      <c r="E379" s="11" t="s">
        <v>1451</v>
      </c>
      <c r="F379" s="11">
        <v>9</v>
      </c>
      <c r="G379" s="11" t="s">
        <v>1998</v>
      </c>
      <c r="H379" s="11" t="s">
        <v>1997</v>
      </c>
      <c r="I379" s="11" t="s">
        <v>1453</v>
      </c>
      <c r="J379" s="11"/>
      <c r="K379" s="11"/>
      <c r="L379" s="11"/>
      <c r="M379" s="11" t="s">
        <v>1996</v>
      </c>
      <c r="N379" s="11" t="s">
        <v>1995</v>
      </c>
      <c r="O379" s="11"/>
      <c r="P379" s="11"/>
      <c r="Q379" s="11"/>
      <c r="R379" s="11"/>
      <c r="S379" s="11" t="s">
        <v>1994</v>
      </c>
    </row>
    <row r="380" spans="1:19" hidden="1" x14ac:dyDescent="0.15">
      <c r="A380" s="34">
        <v>379</v>
      </c>
      <c r="B380" s="35" t="s">
        <v>4883</v>
      </c>
      <c r="C380" s="36" t="s">
        <v>3170</v>
      </c>
      <c r="D380" s="11" t="s">
        <v>1552</v>
      </c>
      <c r="E380" s="11" t="s">
        <v>1451</v>
      </c>
      <c r="F380" s="11">
        <v>2</v>
      </c>
      <c r="G380" s="11" t="s">
        <v>1993</v>
      </c>
      <c r="H380" s="11" t="s">
        <v>1992</v>
      </c>
      <c r="I380" s="11" t="s">
        <v>1453</v>
      </c>
      <c r="J380" s="11"/>
      <c r="K380" s="11"/>
      <c r="L380" s="11"/>
      <c r="M380" s="11" t="s">
        <v>3317</v>
      </c>
      <c r="N380" s="11" t="s">
        <v>1991</v>
      </c>
      <c r="O380" s="11"/>
      <c r="P380" s="11"/>
      <c r="Q380" s="11"/>
      <c r="R380" s="11"/>
      <c r="S380" s="11" t="s">
        <v>3366</v>
      </c>
    </row>
    <row r="381" spans="1:19" hidden="1" x14ac:dyDescent="0.15">
      <c r="A381" s="34">
        <v>380</v>
      </c>
      <c r="B381" s="35" t="s">
        <v>4883</v>
      </c>
      <c r="C381" s="36" t="s">
        <v>3170</v>
      </c>
      <c r="D381" s="11" t="s">
        <v>1552</v>
      </c>
      <c r="E381" s="11" t="s">
        <v>1451</v>
      </c>
      <c r="F381" s="11">
        <v>11</v>
      </c>
      <c r="G381" s="11" t="s">
        <v>1990</v>
      </c>
      <c r="H381" s="11" t="s">
        <v>1989</v>
      </c>
      <c r="I381" s="11" t="s">
        <v>288</v>
      </c>
      <c r="J381" s="11" t="s">
        <v>6250</v>
      </c>
      <c r="K381" s="11"/>
      <c r="L381" s="11"/>
      <c r="M381" s="11" t="s">
        <v>1757</v>
      </c>
      <c r="N381" s="11" t="s">
        <v>1988</v>
      </c>
      <c r="O381" s="11"/>
      <c r="P381" s="11">
        <v>2</v>
      </c>
      <c r="Q381" s="11"/>
      <c r="R381" s="11"/>
      <c r="S381" s="11" t="s">
        <v>1987</v>
      </c>
    </row>
    <row r="382" spans="1:19" hidden="1" x14ac:dyDescent="0.15">
      <c r="A382" s="34">
        <v>381</v>
      </c>
      <c r="B382" s="35" t="s">
        <v>4883</v>
      </c>
      <c r="C382" s="36" t="s">
        <v>3170</v>
      </c>
      <c r="D382" s="11" t="s">
        <v>1552</v>
      </c>
      <c r="E382" s="11" t="s">
        <v>1451</v>
      </c>
      <c r="F382" s="11">
        <v>7</v>
      </c>
      <c r="G382" s="11" t="s">
        <v>1986</v>
      </c>
      <c r="H382" s="11" t="s">
        <v>1985</v>
      </c>
      <c r="I382" s="11" t="s">
        <v>288</v>
      </c>
      <c r="J382" s="11"/>
      <c r="K382" s="11"/>
      <c r="L382" s="11"/>
      <c r="M382" s="11" t="s">
        <v>3317</v>
      </c>
      <c r="N382" s="11" t="s">
        <v>1984</v>
      </c>
      <c r="O382" s="11"/>
      <c r="P382" s="11">
        <v>2</v>
      </c>
      <c r="Q382" s="11"/>
      <c r="R382" s="11"/>
      <c r="S382" s="11" t="s">
        <v>3367</v>
      </c>
    </row>
    <row r="383" spans="1:19" hidden="1" x14ac:dyDescent="0.15">
      <c r="A383" s="34">
        <v>382</v>
      </c>
      <c r="B383" s="35" t="s">
        <v>4883</v>
      </c>
      <c r="C383" s="36" t="s">
        <v>3170</v>
      </c>
      <c r="D383" s="11" t="s">
        <v>1552</v>
      </c>
      <c r="E383" s="11" t="s">
        <v>1451</v>
      </c>
      <c r="F383" s="11">
        <v>3</v>
      </c>
      <c r="G383" s="11" t="s">
        <v>1983</v>
      </c>
      <c r="H383" s="11" t="s">
        <v>1982</v>
      </c>
      <c r="I383" s="11" t="s">
        <v>288</v>
      </c>
      <c r="J383" s="11"/>
      <c r="K383" s="11"/>
      <c r="L383" s="11"/>
      <c r="M383" s="11" t="s">
        <v>1981</v>
      </c>
      <c r="N383" s="11"/>
      <c r="O383" s="11"/>
      <c r="P383" s="11">
        <v>4</v>
      </c>
      <c r="Q383" s="11"/>
      <c r="R383" s="11"/>
      <c r="S383" s="11" t="s">
        <v>1981</v>
      </c>
    </row>
    <row r="384" spans="1:19" hidden="1" x14ac:dyDescent="0.15">
      <c r="A384" s="34">
        <v>383</v>
      </c>
      <c r="B384" s="35" t="s">
        <v>4883</v>
      </c>
      <c r="C384" s="36" t="s">
        <v>3170</v>
      </c>
      <c r="D384" s="11" t="s">
        <v>1552</v>
      </c>
      <c r="E384" s="11" t="s">
        <v>1441</v>
      </c>
      <c r="F384" s="11">
        <v>12</v>
      </c>
      <c r="G384" s="11" t="s">
        <v>1980</v>
      </c>
      <c r="H384" s="11" t="s">
        <v>1979</v>
      </c>
      <c r="I384" s="11" t="s">
        <v>339</v>
      </c>
      <c r="J384" s="11" t="s">
        <v>1555</v>
      </c>
      <c r="K384" s="11"/>
      <c r="L384" s="11"/>
      <c r="M384" s="11" t="s">
        <v>351</v>
      </c>
      <c r="N384" s="11" t="s">
        <v>1978</v>
      </c>
      <c r="O384" s="11" t="s">
        <v>1977</v>
      </c>
      <c r="P384" s="11"/>
      <c r="Q384" s="11">
        <v>6</v>
      </c>
      <c r="R384" s="11">
        <v>6</v>
      </c>
      <c r="S384" s="11" t="s">
        <v>3368</v>
      </c>
    </row>
    <row r="385" spans="1:19" hidden="1" x14ac:dyDescent="0.15">
      <c r="A385" s="34">
        <v>384</v>
      </c>
      <c r="B385" s="35" t="s">
        <v>4883</v>
      </c>
      <c r="C385" s="36" t="s">
        <v>3170</v>
      </c>
      <c r="D385" s="11" t="s">
        <v>1552</v>
      </c>
      <c r="E385" s="11" t="s">
        <v>1441</v>
      </c>
      <c r="F385" s="11">
        <v>16</v>
      </c>
      <c r="G385" s="11" t="s">
        <v>1976</v>
      </c>
      <c r="H385" s="11" t="s">
        <v>1975</v>
      </c>
      <c r="I385" s="11" t="s">
        <v>339</v>
      </c>
      <c r="J385" s="11" t="s">
        <v>1435</v>
      </c>
      <c r="K385" s="11"/>
      <c r="L385" s="11"/>
      <c r="M385" s="11" t="s">
        <v>3317</v>
      </c>
      <c r="N385" s="11" t="s">
        <v>1974</v>
      </c>
      <c r="O385" s="11"/>
      <c r="P385" s="11"/>
      <c r="Q385" s="11">
        <v>7</v>
      </c>
      <c r="R385" s="11">
        <v>5</v>
      </c>
      <c r="S385" s="11" t="s">
        <v>3369</v>
      </c>
    </row>
    <row r="386" spans="1:19" hidden="1" x14ac:dyDescent="0.15">
      <c r="A386" s="34">
        <v>385</v>
      </c>
      <c r="B386" s="35" t="s">
        <v>4883</v>
      </c>
      <c r="C386" s="36" t="s">
        <v>3170</v>
      </c>
      <c r="D386" s="11" t="s">
        <v>1552</v>
      </c>
      <c r="E386" s="11" t="s">
        <v>1441</v>
      </c>
      <c r="F386" s="11">
        <v>10</v>
      </c>
      <c r="G386" s="11" t="s">
        <v>1973</v>
      </c>
      <c r="H386" s="11" t="s">
        <v>1972</v>
      </c>
      <c r="I386" s="11" t="s">
        <v>339</v>
      </c>
      <c r="J386" s="11" t="s">
        <v>1564</v>
      </c>
      <c r="K386" s="11" t="s">
        <v>1478</v>
      </c>
      <c r="L386" s="11"/>
      <c r="M386" s="11" t="s">
        <v>1971</v>
      </c>
      <c r="N386" s="11"/>
      <c r="O386" s="11"/>
      <c r="P386" s="11"/>
      <c r="Q386" s="11">
        <v>3</v>
      </c>
      <c r="R386" s="11">
        <v>3</v>
      </c>
      <c r="S386" s="11" t="s">
        <v>1971</v>
      </c>
    </row>
    <row r="387" spans="1:19" hidden="1" x14ac:dyDescent="0.15">
      <c r="A387" s="34">
        <v>386</v>
      </c>
      <c r="B387" s="35" t="s">
        <v>4883</v>
      </c>
      <c r="C387" s="36" t="s">
        <v>3170</v>
      </c>
      <c r="D387" s="11" t="s">
        <v>1552</v>
      </c>
      <c r="E387" s="11" t="s">
        <v>1441</v>
      </c>
      <c r="F387" s="11">
        <v>15</v>
      </c>
      <c r="G387" s="11" t="s">
        <v>1970</v>
      </c>
      <c r="H387" s="11" t="s">
        <v>1969</v>
      </c>
      <c r="I387" s="11" t="s">
        <v>1453</v>
      </c>
      <c r="J387" s="11"/>
      <c r="K387" s="11"/>
      <c r="L387" s="11"/>
      <c r="M387" s="11" t="s">
        <v>1968</v>
      </c>
      <c r="N387" s="11"/>
      <c r="O387" s="11"/>
      <c r="P387" s="11"/>
      <c r="Q387" s="11"/>
      <c r="R387" s="11"/>
      <c r="S387" s="11" t="s">
        <v>1968</v>
      </c>
    </row>
    <row r="388" spans="1:19" hidden="1" x14ac:dyDescent="0.15">
      <c r="A388" s="34">
        <v>387</v>
      </c>
      <c r="B388" s="35" t="s">
        <v>4883</v>
      </c>
      <c r="C388" s="36" t="s">
        <v>3170</v>
      </c>
      <c r="D388" s="11" t="s">
        <v>1552</v>
      </c>
      <c r="E388" s="11" t="s">
        <v>1431</v>
      </c>
      <c r="F388" s="11">
        <v>15</v>
      </c>
      <c r="G388" s="11" t="s">
        <v>1967</v>
      </c>
      <c r="H388" s="11" t="s">
        <v>1966</v>
      </c>
      <c r="I388" s="11" t="s">
        <v>339</v>
      </c>
      <c r="J388" s="11" t="s">
        <v>1965</v>
      </c>
      <c r="K388" s="11"/>
      <c r="L388" s="11"/>
      <c r="M388" s="11" t="s">
        <v>3370</v>
      </c>
      <c r="N388" s="11" t="s">
        <v>1964</v>
      </c>
      <c r="O388" s="11"/>
      <c r="P388" s="11"/>
      <c r="Q388" s="11">
        <v>8</v>
      </c>
      <c r="R388" s="11">
        <v>8</v>
      </c>
      <c r="S388" s="11" t="s">
        <v>3371</v>
      </c>
    </row>
    <row r="389" spans="1:19" hidden="1" x14ac:dyDescent="0.15">
      <c r="A389" s="34">
        <v>388</v>
      </c>
      <c r="B389" s="35" t="s">
        <v>4883</v>
      </c>
      <c r="C389" s="36" t="s">
        <v>3170</v>
      </c>
      <c r="D389" s="11" t="s">
        <v>1552</v>
      </c>
      <c r="E389" s="11" t="s">
        <v>1431</v>
      </c>
      <c r="F389" s="11">
        <v>7</v>
      </c>
      <c r="G389" s="11" t="s">
        <v>1963</v>
      </c>
      <c r="H389" s="11" t="s">
        <v>1962</v>
      </c>
      <c r="I389" s="11" t="s">
        <v>339</v>
      </c>
      <c r="J389" s="11" t="s">
        <v>1489</v>
      </c>
      <c r="K389" s="11" t="s">
        <v>1867</v>
      </c>
      <c r="L389" s="11"/>
      <c r="M389" s="11" t="s">
        <v>1961</v>
      </c>
      <c r="N389" s="11"/>
      <c r="O389" s="11"/>
      <c r="P389" s="11"/>
      <c r="Q389" s="11">
        <v>1</v>
      </c>
      <c r="R389" s="11">
        <v>1</v>
      </c>
      <c r="S389" s="11" t="s">
        <v>1961</v>
      </c>
    </row>
    <row r="390" spans="1:19" hidden="1" x14ac:dyDescent="0.15">
      <c r="A390" s="34">
        <v>389</v>
      </c>
      <c r="B390" s="35" t="s">
        <v>4883</v>
      </c>
      <c r="C390" s="36" t="s">
        <v>3170</v>
      </c>
      <c r="D390" s="11" t="s">
        <v>1552</v>
      </c>
      <c r="E390" s="11" t="s">
        <v>1431</v>
      </c>
      <c r="F390" s="11">
        <v>6</v>
      </c>
      <c r="G390" s="11" t="s">
        <v>1960</v>
      </c>
      <c r="H390" s="11" t="s">
        <v>1959</v>
      </c>
      <c r="I390" s="11" t="s">
        <v>1453</v>
      </c>
      <c r="J390" s="11"/>
      <c r="K390" s="11"/>
      <c r="L390" s="11"/>
      <c r="M390" s="11" t="s">
        <v>3317</v>
      </c>
      <c r="N390" s="11" t="s">
        <v>1958</v>
      </c>
      <c r="O390" s="11"/>
      <c r="P390" s="11"/>
      <c r="Q390" s="11"/>
      <c r="R390" s="11"/>
      <c r="S390" s="11" t="s">
        <v>3372</v>
      </c>
    </row>
    <row r="391" spans="1:19" hidden="1" x14ac:dyDescent="0.15">
      <c r="A391" s="34">
        <v>390</v>
      </c>
      <c r="B391" s="35" t="s">
        <v>4883</v>
      </c>
      <c r="C391" s="36" t="s">
        <v>3170</v>
      </c>
      <c r="D391" s="11" t="s">
        <v>1552</v>
      </c>
      <c r="E391" s="11" t="s">
        <v>1431</v>
      </c>
      <c r="F391" s="11">
        <v>14</v>
      </c>
      <c r="G391" s="11" t="s">
        <v>1957</v>
      </c>
      <c r="H391" s="11" t="s">
        <v>1956</v>
      </c>
      <c r="I391" s="11" t="s">
        <v>1453</v>
      </c>
      <c r="J391" s="11"/>
      <c r="K391" s="11"/>
      <c r="L391" s="11"/>
      <c r="M391" s="11" t="s">
        <v>3317</v>
      </c>
      <c r="N391" s="11" t="s">
        <v>1955</v>
      </c>
      <c r="O391" s="11"/>
      <c r="P391" s="11"/>
      <c r="Q391" s="11"/>
      <c r="R391" s="11"/>
      <c r="S391" s="11" t="s">
        <v>3373</v>
      </c>
    </row>
    <row r="392" spans="1:19" hidden="1" x14ac:dyDescent="0.15">
      <c r="A392" s="34">
        <v>391</v>
      </c>
      <c r="B392" s="35" t="s">
        <v>4883</v>
      </c>
      <c r="C392" s="36" t="s">
        <v>3170</v>
      </c>
      <c r="D392" s="11" t="s">
        <v>1518</v>
      </c>
      <c r="E392" s="11" t="s">
        <v>1744</v>
      </c>
      <c r="F392" s="11">
        <v>11</v>
      </c>
      <c r="G392" s="11" t="s">
        <v>1954</v>
      </c>
      <c r="H392" s="11" t="s">
        <v>1953</v>
      </c>
      <c r="I392" s="11" t="s">
        <v>339</v>
      </c>
      <c r="J392" s="11" t="s">
        <v>1435</v>
      </c>
      <c r="K392" s="11" t="s">
        <v>1501</v>
      </c>
      <c r="L392" s="11"/>
      <c r="M392" s="11" t="s">
        <v>3321</v>
      </c>
      <c r="N392" s="11" t="s">
        <v>1952</v>
      </c>
      <c r="O392" s="11"/>
      <c r="P392" s="11"/>
      <c r="Q392" s="11">
        <v>1</v>
      </c>
      <c r="R392" s="11">
        <v>1</v>
      </c>
      <c r="S392" s="11" t="s">
        <v>3374</v>
      </c>
    </row>
    <row r="393" spans="1:19" hidden="1" x14ac:dyDescent="0.15">
      <c r="A393" s="34">
        <v>392</v>
      </c>
      <c r="B393" s="35" t="s">
        <v>4883</v>
      </c>
      <c r="C393" s="36" t="s">
        <v>3170</v>
      </c>
      <c r="D393" s="11" t="s">
        <v>1518</v>
      </c>
      <c r="E393" s="11" t="s">
        <v>1744</v>
      </c>
      <c r="F393" s="11">
        <v>5</v>
      </c>
      <c r="G393" s="11" t="s">
        <v>1951</v>
      </c>
      <c r="H393" s="11" t="s">
        <v>1950</v>
      </c>
      <c r="I393" s="11" t="s">
        <v>339</v>
      </c>
      <c r="J393" s="11" t="s">
        <v>338</v>
      </c>
      <c r="K393" s="11"/>
      <c r="L393" s="11"/>
      <c r="M393" s="11"/>
      <c r="N393" s="11"/>
      <c r="O393" s="11"/>
      <c r="P393" s="11"/>
      <c r="Q393" s="11">
        <v>2</v>
      </c>
      <c r="R393" s="11">
        <v>1</v>
      </c>
      <c r="S393" s="11"/>
    </row>
    <row r="394" spans="1:19" hidden="1" x14ac:dyDescent="0.15">
      <c r="A394" s="34">
        <v>393</v>
      </c>
      <c r="B394" s="35" t="s">
        <v>4883</v>
      </c>
      <c r="C394" s="36" t="s">
        <v>3170</v>
      </c>
      <c r="D394" s="11" t="s">
        <v>1518</v>
      </c>
      <c r="E394" s="11" t="s">
        <v>1744</v>
      </c>
      <c r="F394" s="11">
        <v>13</v>
      </c>
      <c r="G394" s="11" t="s">
        <v>1949</v>
      </c>
      <c r="H394" s="11" t="s">
        <v>1948</v>
      </c>
      <c r="I394" s="11" t="s">
        <v>339</v>
      </c>
      <c r="J394" s="11" t="s">
        <v>1435</v>
      </c>
      <c r="K394" s="11" t="s">
        <v>1501</v>
      </c>
      <c r="L394" s="11"/>
      <c r="M394" s="11" t="s">
        <v>3317</v>
      </c>
      <c r="N394" s="11" t="s">
        <v>1545</v>
      </c>
      <c r="O394" s="11"/>
      <c r="P394" s="11"/>
      <c r="Q394" s="11">
        <v>1</v>
      </c>
      <c r="R394" s="11">
        <v>1</v>
      </c>
      <c r="S394" s="11" t="s">
        <v>3375</v>
      </c>
    </row>
    <row r="395" spans="1:19" hidden="1" x14ac:dyDescent="0.15">
      <c r="A395" s="34">
        <v>394</v>
      </c>
      <c r="B395" s="35" t="s">
        <v>4883</v>
      </c>
      <c r="C395" s="36" t="s">
        <v>3170</v>
      </c>
      <c r="D395" s="11" t="s">
        <v>1518</v>
      </c>
      <c r="E395" s="11" t="s">
        <v>1744</v>
      </c>
      <c r="F395" s="11">
        <v>8</v>
      </c>
      <c r="G395" s="11" t="s">
        <v>1947</v>
      </c>
      <c r="H395" s="11" t="s">
        <v>1946</v>
      </c>
      <c r="I395" s="11" t="s">
        <v>339</v>
      </c>
      <c r="J395" s="11" t="s">
        <v>1945</v>
      </c>
      <c r="K395" s="11"/>
      <c r="L395" s="11"/>
      <c r="M395" s="11" t="s">
        <v>1944</v>
      </c>
      <c r="N395" s="11"/>
      <c r="O395" s="11"/>
      <c r="P395" s="11"/>
      <c r="Q395" s="11">
        <v>1</v>
      </c>
      <c r="R395" s="11">
        <v>2</v>
      </c>
      <c r="S395" s="11" t="s">
        <v>1944</v>
      </c>
    </row>
    <row r="396" spans="1:19" hidden="1" x14ac:dyDescent="0.15">
      <c r="A396" s="34">
        <v>395</v>
      </c>
      <c r="B396" s="35" t="s">
        <v>4883</v>
      </c>
      <c r="C396" s="36" t="s">
        <v>3170</v>
      </c>
      <c r="D396" s="11" t="s">
        <v>1518</v>
      </c>
      <c r="E396" s="11" t="s">
        <v>1744</v>
      </c>
      <c r="F396" s="11">
        <v>11</v>
      </c>
      <c r="G396" s="11" t="s">
        <v>1943</v>
      </c>
      <c r="H396" s="11" t="s">
        <v>1942</v>
      </c>
      <c r="I396" s="11" t="s">
        <v>339</v>
      </c>
      <c r="J396" s="11" t="s">
        <v>1489</v>
      </c>
      <c r="K396" s="11" t="s">
        <v>1867</v>
      </c>
      <c r="L396" s="11"/>
      <c r="M396" s="11" t="s">
        <v>1941</v>
      </c>
      <c r="N396" s="11"/>
      <c r="O396" s="11"/>
      <c r="P396" s="11"/>
      <c r="Q396" s="11">
        <v>2</v>
      </c>
      <c r="R396" s="11">
        <v>2</v>
      </c>
      <c r="S396" s="11" t="s">
        <v>1941</v>
      </c>
    </row>
    <row r="397" spans="1:19" hidden="1" x14ac:dyDescent="0.15">
      <c r="A397" s="34">
        <v>396</v>
      </c>
      <c r="B397" s="35" t="s">
        <v>4883</v>
      </c>
      <c r="C397" s="36" t="s">
        <v>3170</v>
      </c>
      <c r="D397" s="11" t="s">
        <v>1518</v>
      </c>
      <c r="E397" s="11" t="s">
        <v>1744</v>
      </c>
      <c r="F397" s="11">
        <v>12</v>
      </c>
      <c r="G397" s="11" t="s">
        <v>1940</v>
      </c>
      <c r="H397" s="11" t="s">
        <v>1939</v>
      </c>
      <c r="I397" s="11" t="s">
        <v>339</v>
      </c>
      <c r="J397" s="11" t="s">
        <v>1938</v>
      </c>
      <c r="K397" s="11"/>
      <c r="L397" s="11"/>
      <c r="M397" s="11" t="s">
        <v>1937</v>
      </c>
      <c r="N397" s="11"/>
      <c r="O397" s="11"/>
      <c r="P397" s="11"/>
      <c r="Q397" s="11">
        <v>1</v>
      </c>
      <c r="R397" s="11">
        <v>1</v>
      </c>
      <c r="S397" s="11" t="s">
        <v>1937</v>
      </c>
    </row>
    <row r="398" spans="1:19" hidden="1" x14ac:dyDescent="0.15">
      <c r="A398" s="34">
        <v>397</v>
      </c>
      <c r="B398" s="35" t="s">
        <v>4883</v>
      </c>
      <c r="C398" s="36" t="s">
        <v>3170</v>
      </c>
      <c r="D398" s="11" t="s">
        <v>1518</v>
      </c>
      <c r="E398" s="11" t="s">
        <v>1744</v>
      </c>
      <c r="F398" s="11">
        <v>6</v>
      </c>
      <c r="G398" s="11" t="s">
        <v>1936</v>
      </c>
      <c r="H398" s="11" t="s">
        <v>1935</v>
      </c>
      <c r="I398" s="11" t="s">
        <v>339</v>
      </c>
      <c r="J398" s="11" t="s">
        <v>357</v>
      </c>
      <c r="K398" s="11"/>
      <c r="L398" s="11"/>
      <c r="M398" s="11" t="s">
        <v>1889</v>
      </c>
      <c r="N398" s="11"/>
      <c r="O398" s="11"/>
      <c r="P398" s="11"/>
      <c r="Q398" s="11">
        <v>2</v>
      </c>
      <c r="R398" s="11">
        <v>2</v>
      </c>
      <c r="S398" s="11" t="s">
        <v>1889</v>
      </c>
    </row>
    <row r="399" spans="1:19" hidden="1" x14ac:dyDescent="0.15">
      <c r="A399" s="34">
        <v>398</v>
      </c>
      <c r="B399" s="35" t="s">
        <v>4883</v>
      </c>
      <c r="C399" s="36" t="s">
        <v>3170</v>
      </c>
      <c r="D399" s="11" t="s">
        <v>1518</v>
      </c>
      <c r="E399" s="11" t="s">
        <v>1744</v>
      </c>
      <c r="F399" s="11">
        <v>13</v>
      </c>
      <c r="G399" s="11" t="s">
        <v>1934</v>
      </c>
      <c r="H399" s="11" t="s">
        <v>1933</v>
      </c>
      <c r="I399" s="11" t="s">
        <v>339</v>
      </c>
      <c r="J399" s="11" t="s">
        <v>1479</v>
      </c>
      <c r="K399" s="11" t="s">
        <v>1493</v>
      </c>
      <c r="L399" s="11"/>
      <c r="M399" s="11" t="s">
        <v>1932</v>
      </c>
      <c r="N399" s="11"/>
      <c r="O399" s="11"/>
      <c r="P399" s="11"/>
      <c r="Q399" s="11">
        <v>2</v>
      </c>
      <c r="R399" s="11">
        <v>2</v>
      </c>
      <c r="S399" s="11" t="s">
        <v>1932</v>
      </c>
    </row>
    <row r="400" spans="1:19" hidden="1" x14ac:dyDescent="0.15">
      <c r="A400" s="34">
        <v>399</v>
      </c>
      <c r="B400" s="35" t="s">
        <v>4883</v>
      </c>
      <c r="C400" s="36" t="s">
        <v>3170</v>
      </c>
      <c r="D400" s="11" t="s">
        <v>1518</v>
      </c>
      <c r="E400" s="11" t="s">
        <v>1744</v>
      </c>
      <c r="F400" s="11">
        <v>12</v>
      </c>
      <c r="G400" s="11" t="s">
        <v>1931</v>
      </c>
      <c r="H400" s="11" t="s">
        <v>1930</v>
      </c>
      <c r="I400" s="11" t="s">
        <v>339</v>
      </c>
      <c r="J400" s="11" t="s">
        <v>1479</v>
      </c>
      <c r="K400" s="11" t="s">
        <v>1929</v>
      </c>
      <c r="L400" s="11" t="s">
        <v>1478</v>
      </c>
      <c r="M400" s="11" t="s">
        <v>1944</v>
      </c>
      <c r="N400" s="11" t="s">
        <v>1813</v>
      </c>
      <c r="O400" s="11"/>
      <c r="P400" s="11"/>
      <c r="Q400" s="11">
        <v>0</v>
      </c>
      <c r="R400" s="11">
        <v>1</v>
      </c>
      <c r="S400" s="11" t="s">
        <v>3376</v>
      </c>
    </row>
    <row r="401" spans="1:19" hidden="1" x14ac:dyDescent="0.15">
      <c r="A401" s="34">
        <v>400</v>
      </c>
      <c r="B401" s="35" t="s">
        <v>4883</v>
      </c>
      <c r="C401" s="36" t="s">
        <v>3170</v>
      </c>
      <c r="D401" s="11" t="s">
        <v>1518</v>
      </c>
      <c r="E401" s="11" t="s">
        <v>1744</v>
      </c>
      <c r="F401" s="11">
        <v>7</v>
      </c>
      <c r="G401" s="11" t="s">
        <v>1928</v>
      </c>
      <c r="H401" s="11" t="s">
        <v>1927</v>
      </c>
      <c r="I401" s="11" t="s">
        <v>339</v>
      </c>
      <c r="J401" s="11" t="s">
        <v>357</v>
      </c>
      <c r="K401" s="11"/>
      <c r="L401" s="11"/>
      <c r="M401" s="11" t="s">
        <v>1831</v>
      </c>
      <c r="N401" s="11"/>
      <c r="O401" s="11"/>
      <c r="P401" s="11"/>
      <c r="Q401" s="11">
        <v>2</v>
      </c>
      <c r="R401" s="11">
        <v>2</v>
      </c>
      <c r="S401" s="11" t="s">
        <v>1831</v>
      </c>
    </row>
    <row r="402" spans="1:19" hidden="1" x14ac:dyDescent="0.15">
      <c r="A402" s="34">
        <v>401</v>
      </c>
      <c r="B402" s="35" t="s">
        <v>4883</v>
      </c>
      <c r="C402" s="36" t="s">
        <v>3170</v>
      </c>
      <c r="D402" s="11" t="s">
        <v>1518</v>
      </c>
      <c r="E402" s="11" t="s">
        <v>1744</v>
      </c>
      <c r="F402" s="11">
        <v>10</v>
      </c>
      <c r="G402" s="11" t="s">
        <v>1926</v>
      </c>
      <c r="H402" s="11" t="s">
        <v>1925</v>
      </c>
      <c r="I402" s="11" t="s">
        <v>1453</v>
      </c>
      <c r="J402" s="11"/>
      <c r="K402" s="11"/>
      <c r="L402" s="11"/>
      <c r="M402" s="11" t="s">
        <v>3317</v>
      </c>
      <c r="N402" s="11" t="s">
        <v>1924</v>
      </c>
      <c r="O402" s="11"/>
      <c r="P402" s="11"/>
      <c r="Q402" s="11"/>
      <c r="R402" s="11"/>
      <c r="S402" s="11" t="s">
        <v>3377</v>
      </c>
    </row>
    <row r="403" spans="1:19" hidden="1" x14ac:dyDescent="0.15">
      <c r="A403" s="34">
        <v>402</v>
      </c>
      <c r="B403" s="35" t="s">
        <v>4883</v>
      </c>
      <c r="C403" s="36" t="s">
        <v>3170</v>
      </c>
      <c r="D403" s="11" t="s">
        <v>1518</v>
      </c>
      <c r="E403" s="11" t="s">
        <v>1744</v>
      </c>
      <c r="F403" s="11">
        <v>6</v>
      </c>
      <c r="G403" s="11" t="s">
        <v>1923</v>
      </c>
      <c r="H403" s="11" t="s">
        <v>1922</v>
      </c>
      <c r="I403" s="11" t="s">
        <v>1453</v>
      </c>
      <c r="J403" s="11"/>
      <c r="K403" s="11"/>
      <c r="L403" s="11"/>
      <c r="M403" s="11" t="s">
        <v>1921</v>
      </c>
      <c r="N403" s="11" t="s">
        <v>1920</v>
      </c>
      <c r="O403" s="11"/>
      <c r="P403" s="11"/>
      <c r="Q403" s="11"/>
      <c r="R403" s="11"/>
      <c r="S403" s="11" t="s">
        <v>1919</v>
      </c>
    </row>
    <row r="404" spans="1:19" hidden="1" x14ac:dyDescent="0.15">
      <c r="A404" s="34">
        <v>403</v>
      </c>
      <c r="B404" s="35" t="s">
        <v>4883</v>
      </c>
      <c r="C404" s="36" t="s">
        <v>3170</v>
      </c>
      <c r="D404" s="11" t="s">
        <v>1518</v>
      </c>
      <c r="E404" s="11" t="s">
        <v>1744</v>
      </c>
      <c r="F404" s="11">
        <v>3</v>
      </c>
      <c r="G404" s="11" t="s">
        <v>1918</v>
      </c>
      <c r="H404" s="11" t="s">
        <v>1917</v>
      </c>
      <c r="I404" s="11" t="s">
        <v>1453</v>
      </c>
      <c r="J404" s="11"/>
      <c r="K404" s="11"/>
      <c r="L404" s="11"/>
      <c r="M404" s="11" t="s">
        <v>1916</v>
      </c>
      <c r="N404" s="11"/>
      <c r="O404" s="11"/>
      <c r="P404" s="11"/>
      <c r="Q404" s="11"/>
      <c r="R404" s="11"/>
      <c r="S404" s="11" t="s">
        <v>1916</v>
      </c>
    </row>
    <row r="405" spans="1:19" hidden="1" x14ac:dyDescent="0.15">
      <c r="A405" s="34">
        <v>404</v>
      </c>
      <c r="B405" s="35" t="s">
        <v>4883</v>
      </c>
      <c r="C405" s="36" t="s">
        <v>3170</v>
      </c>
      <c r="D405" s="11" t="s">
        <v>1518</v>
      </c>
      <c r="E405" s="11" t="s">
        <v>1744</v>
      </c>
      <c r="F405" s="11">
        <v>4</v>
      </c>
      <c r="G405" s="11" t="s">
        <v>1915</v>
      </c>
      <c r="H405" s="11" t="s">
        <v>1914</v>
      </c>
      <c r="I405" s="11" t="s">
        <v>1453</v>
      </c>
      <c r="J405" s="11"/>
      <c r="K405" s="11"/>
      <c r="L405" s="11"/>
      <c r="M405" s="11" t="s">
        <v>1913</v>
      </c>
      <c r="N405" s="11"/>
      <c r="O405" s="11"/>
      <c r="P405" s="11"/>
      <c r="Q405" s="11"/>
      <c r="R405" s="11"/>
      <c r="S405" s="11" t="s">
        <v>1913</v>
      </c>
    </row>
    <row r="406" spans="1:19" hidden="1" x14ac:dyDescent="0.15">
      <c r="A406" s="34">
        <v>405</v>
      </c>
      <c r="B406" s="35" t="s">
        <v>4883</v>
      </c>
      <c r="C406" s="36" t="s">
        <v>3170</v>
      </c>
      <c r="D406" s="11" t="s">
        <v>1518</v>
      </c>
      <c r="E406" s="11" t="s">
        <v>1744</v>
      </c>
      <c r="F406" s="11">
        <v>8</v>
      </c>
      <c r="G406" s="11" t="s">
        <v>4906</v>
      </c>
      <c r="H406" s="11" t="s">
        <v>1911</v>
      </c>
      <c r="I406" s="11" t="s">
        <v>1453</v>
      </c>
      <c r="J406" s="11"/>
      <c r="K406" s="11"/>
      <c r="L406" s="11"/>
      <c r="M406" s="11" t="s">
        <v>1910</v>
      </c>
      <c r="N406" s="11"/>
      <c r="O406" s="11"/>
      <c r="P406" s="11"/>
      <c r="Q406" s="11"/>
      <c r="R406" s="11"/>
      <c r="S406" s="11" t="s">
        <v>1910</v>
      </c>
    </row>
    <row r="407" spans="1:19" hidden="1" x14ac:dyDescent="0.15">
      <c r="A407" s="34">
        <v>406</v>
      </c>
      <c r="B407" s="35" t="s">
        <v>4883</v>
      </c>
      <c r="C407" s="36" t="s">
        <v>3170</v>
      </c>
      <c r="D407" s="11" t="s">
        <v>1518</v>
      </c>
      <c r="E407" s="11" t="s">
        <v>1744</v>
      </c>
      <c r="F407" s="11">
        <v>4</v>
      </c>
      <c r="G407" s="11" t="s">
        <v>1909</v>
      </c>
      <c r="H407" s="11" t="s">
        <v>1908</v>
      </c>
      <c r="I407" s="11" t="s">
        <v>1453</v>
      </c>
      <c r="J407" s="11"/>
      <c r="K407" s="11"/>
      <c r="L407" s="11"/>
      <c r="M407" s="11" t="s">
        <v>1907</v>
      </c>
      <c r="N407" s="11"/>
      <c r="O407" s="11"/>
      <c r="P407" s="11"/>
      <c r="Q407" s="11"/>
      <c r="R407" s="11"/>
      <c r="S407" s="11" t="s">
        <v>1907</v>
      </c>
    </row>
    <row r="408" spans="1:19" hidden="1" x14ac:dyDescent="0.15">
      <c r="A408" s="34">
        <v>407</v>
      </c>
      <c r="B408" s="35" t="s">
        <v>4883</v>
      </c>
      <c r="C408" s="36" t="s">
        <v>3170</v>
      </c>
      <c r="D408" s="11" t="s">
        <v>1518</v>
      </c>
      <c r="E408" s="11" t="s">
        <v>1744</v>
      </c>
      <c r="F408" s="11">
        <v>6</v>
      </c>
      <c r="G408" s="11" t="s">
        <v>1906</v>
      </c>
      <c r="H408" s="11" t="s">
        <v>1905</v>
      </c>
      <c r="I408" s="11" t="s">
        <v>1453</v>
      </c>
      <c r="J408" s="11"/>
      <c r="K408" s="11"/>
      <c r="L408" s="11"/>
      <c r="M408" s="11" t="s">
        <v>1904</v>
      </c>
      <c r="N408" s="11"/>
      <c r="O408" s="11"/>
      <c r="P408" s="11"/>
      <c r="Q408" s="11"/>
      <c r="R408" s="11"/>
      <c r="S408" s="11" t="s">
        <v>1904</v>
      </c>
    </row>
    <row r="409" spans="1:19" hidden="1" x14ac:dyDescent="0.15">
      <c r="A409" s="34">
        <v>408</v>
      </c>
      <c r="B409" s="35" t="s">
        <v>4883</v>
      </c>
      <c r="C409" s="36" t="s">
        <v>3170</v>
      </c>
      <c r="D409" s="11" t="s">
        <v>1518</v>
      </c>
      <c r="E409" s="11" t="s">
        <v>1451</v>
      </c>
      <c r="F409" s="11">
        <v>14</v>
      </c>
      <c r="G409" s="11" t="s">
        <v>1903</v>
      </c>
      <c r="H409" s="11" t="s">
        <v>1902</v>
      </c>
      <c r="I409" s="11" t="s">
        <v>339</v>
      </c>
      <c r="J409" s="11" t="s">
        <v>1435</v>
      </c>
      <c r="K409" s="11" t="s">
        <v>1501</v>
      </c>
      <c r="L409" s="11"/>
      <c r="M409" s="11" t="s">
        <v>3321</v>
      </c>
      <c r="N409" s="11" t="s">
        <v>1786</v>
      </c>
      <c r="O409" s="11"/>
      <c r="P409" s="11"/>
      <c r="Q409" s="11">
        <v>3</v>
      </c>
      <c r="R409" s="11">
        <v>3</v>
      </c>
      <c r="S409" s="11" t="s">
        <v>3378</v>
      </c>
    </row>
    <row r="410" spans="1:19" hidden="1" x14ac:dyDescent="0.15">
      <c r="A410" s="34">
        <v>409</v>
      </c>
      <c r="B410" s="35" t="s">
        <v>4883</v>
      </c>
      <c r="C410" s="36" t="s">
        <v>3170</v>
      </c>
      <c r="D410" s="11" t="s">
        <v>1518</v>
      </c>
      <c r="E410" s="11" t="s">
        <v>1451</v>
      </c>
      <c r="F410" s="11">
        <v>14</v>
      </c>
      <c r="G410" s="11" t="s">
        <v>1901</v>
      </c>
      <c r="H410" s="11" t="s">
        <v>1900</v>
      </c>
      <c r="I410" s="11" t="s">
        <v>339</v>
      </c>
      <c r="J410" s="11" t="s">
        <v>1479</v>
      </c>
      <c r="K410" s="11" t="s">
        <v>1529</v>
      </c>
      <c r="L410" s="11"/>
      <c r="M410" s="11" t="s">
        <v>1899</v>
      </c>
      <c r="N410" s="11"/>
      <c r="O410" s="11"/>
      <c r="P410" s="11"/>
      <c r="Q410" s="11">
        <v>1</v>
      </c>
      <c r="R410" s="11">
        <v>1</v>
      </c>
      <c r="S410" s="11" t="s">
        <v>1899</v>
      </c>
    </row>
    <row r="411" spans="1:19" hidden="1" x14ac:dyDescent="0.15">
      <c r="A411" s="34">
        <v>410</v>
      </c>
      <c r="B411" s="35" t="s">
        <v>4883</v>
      </c>
      <c r="C411" s="36" t="s">
        <v>3170</v>
      </c>
      <c r="D411" s="11" t="s">
        <v>1518</v>
      </c>
      <c r="E411" s="11" t="s">
        <v>1451</v>
      </c>
      <c r="F411" s="11">
        <v>9</v>
      </c>
      <c r="G411" s="11" t="s">
        <v>1898</v>
      </c>
      <c r="H411" s="11" t="s">
        <v>1897</v>
      </c>
      <c r="I411" s="11" t="s">
        <v>339</v>
      </c>
      <c r="J411" s="11" t="s">
        <v>1489</v>
      </c>
      <c r="K411" s="11" t="s">
        <v>1493</v>
      </c>
      <c r="L411" s="11"/>
      <c r="M411" s="11" t="s">
        <v>1896</v>
      </c>
      <c r="N411" s="11"/>
      <c r="O411" s="11"/>
      <c r="P411" s="11"/>
      <c r="Q411" s="11">
        <v>4</v>
      </c>
      <c r="R411" s="11">
        <v>4</v>
      </c>
      <c r="S411" s="11" t="s">
        <v>1896</v>
      </c>
    </row>
    <row r="412" spans="1:19" hidden="1" x14ac:dyDescent="0.15">
      <c r="A412" s="34">
        <v>411</v>
      </c>
      <c r="B412" s="35" t="s">
        <v>4883</v>
      </c>
      <c r="C412" s="36" t="s">
        <v>3170</v>
      </c>
      <c r="D412" s="11" t="s">
        <v>1518</v>
      </c>
      <c r="E412" s="11" t="s">
        <v>1451</v>
      </c>
      <c r="F412" s="11">
        <v>18</v>
      </c>
      <c r="G412" s="11" t="s">
        <v>1895</v>
      </c>
      <c r="H412" s="11" t="s">
        <v>1894</v>
      </c>
      <c r="I412" s="11" t="s">
        <v>339</v>
      </c>
      <c r="J412" s="11" t="s">
        <v>357</v>
      </c>
      <c r="K412" s="11"/>
      <c r="L412" s="11"/>
      <c r="M412" s="11" t="s">
        <v>1893</v>
      </c>
      <c r="N412" s="11"/>
      <c r="O412" s="11"/>
      <c r="P412" s="11"/>
      <c r="Q412" s="11">
        <v>7</v>
      </c>
      <c r="R412" s="11">
        <v>6</v>
      </c>
      <c r="S412" s="11" t="s">
        <v>1893</v>
      </c>
    </row>
    <row r="413" spans="1:19" hidden="1" x14ac:dyDescent="0.15">
      <c r="A413" s="34">
        <v>412</v>
      </c>
      <c r="B413" s="35" t="s">
        <v>4883</v>
      </c>
      <c r="C413" s="36" t="s">
        <v>3170</v>
      </c>
      <c r="D413" s="11" t="s">
        <v>1518</v>
      </c>
      <c r="E413" s="11" t="s">
        <v>1451</v>
      </c>
      <c r="F413" s="11">
        <v>8</v>
      </c>
      <c r="G413" s="11" t="s">
        <v>1892</v>
      </c>
      <c r="H413" s="11" t="s">
        <v>1891</v>
      </c>
      <c r="I413" s="11" t="s">
        <v>339</v>
      </c>
      <c r="J413" s="11" t="s">
        <v>1890</v>
      </c>
      <c r="K413" s="11"/>
      <c r="L413" s="11"/>
      <c r="M413" s="11" t="s">
        <v>1889</v>
      </c>
      <c r="N413" s="11"/>
      <c r="O413" s="11"/>
      <c r="P413" s="11"/>
      <c r="Q413" s="11">
        <v>4</v>
      </c>
      <c r="R413" s="11">
        <v>4</v>
      </c>
      <c r="S413" s="11" t="s">
        <v>1889</v>
      </c>
    </row>
    <row r="414" spans="1:19" hidden="1" x14ac:dyDescent="0.15">
      <c r="A414" s="34">
        <v>413</v>
      </c>
      <c r="B414" s="35" t="s">
        <v>4883</v>
      </c>
      <c r="C414" s="36" t="s">
        <v>3170</v>
      </c>
      <c r="D414" s="11" t="s">
        <v>1518</v>
      </c>
      <c r="E414" s="11" t="s">
        <v>1451</v>
      </c>
      <c r="F414" s="11">
        <v>16</v>
      </c>
      <c r="G414" s="11" t="s">
        <v>1888</v>
      </c>
      <c r="H414" s="11" t="s">
        <v>1887</v>
      </c>
      <c r="I414" s="11" t="s">
        <v>339</v>
      </c>
      <c r="J414" s="11" t="s">
        <v>1479</v>
      </c>
      <c r="K414" s="11" t="s">
        <v>1493</v>
      </c>
      <c r="L414" s="11" t="s">
        <v>1478</v>
      </c>
      <c r="M414" s="11" t="s">
        <v>1886</v>
      </c>
      <c r="N414" s="11"/>
      <c r="O414" s="11"/>
      <c r="P414" s="11"/>
      <c r="Q414" s="11">
        <v>4</v>
      </c>
      <c r="R414" s="11">
        <v>3</v>
      </c>
      <c r="S414" s="11" t="s">
        <v>1886</v>
      </c>
    </row>
    <row r="415" spans="1:19" hidden="1" x14ac:dyDescent="0.15">
      <c r="A415" s="34">
        <v>414</v>
      </c>
      <c r="B415" s="35" t="s">
        <v>4883</v>
      </c>
      <c r="C415" s="36" t="s">
        <v>3170</v>
      </c>
      <c r="D415" s="11" t="s">
        <v>1518</v>
      </c>
      <c r="E415" s="11" t="s">
        <v>1451</v>
      </c>
      <c r="F415" s="11">
        <v>6</v>
      </c>
      <c r="G415" s="11" t="s">
        <v>1885</v>
      </c>
      <c r="H415" s="11" t="s">
        <v>1884</v>
      </c>
      <c r="I415" s="11" t="s">
        <v>339</v>
      </c>
      <c r="J415" s="11" t="s">
        <v>1435</v>
      </c>
      <c r="K415" s="11" t="s">
        <v>1717</v>
      </c>
      <c r="L415" s="11"/>
      <c r="M415" s="11" t="s">
        <v>3317</v>
      </c>
      <c r="N415" s="11" t="s">
        <v>1883</v>
      </c>
      <c r="O415" s="11"/>
      <c r="P415" s="11"/>
      <c r="Q415" s="11">
        <v>3</v>
      </c>
      <c r="R415" s="11">
        <v>4</v>
      </c>
      <c r="S415" s="11" t="s">
        <v>3379</v>
      </c>
    </row>
    <row r="416" spans="1:19" hidden="1" x14ac:dyDescent="0.15">
      <c r="A416" s="34">
        <v>415</v>
      </c>
      <c r="B416" s="35" t="s">
        <v>4883</v>
      </c>
      <c r="C416" s="36" t="s">
        <v>3170</v>
      </c>
      <c r="D416" s="11" t="s">
        <v>1518</v>
      </c>
      <c r="E416" s="11" t="s">
        <v>1451</v>
      </c>
      <c r="F416" s="11">
        <v>16</v>
      </c>
      <c r="G416" s="11" t="s">
        <v>1882</v>
      </c>
      <c r="H416" s="11" t="s">
        <v>1881</v>
      </c>
      <c r="I416" s="11" t="s">
        <v>1453</v>
      </c>
      <c r="J416" s="11"/>
      <c r="K416" s="11"/>
      <c r="L416" s="11"/>
      <c r="M416" s="11" t="s">
        <v>1880</v>
      </c>
      <c r="N416" s="11"/>
      <c r="O416" s="11"/>
      <c r="P416" s="11"/>
      <c r="Q416" s="11"/>
      <c r="R416" s="11"/>
      <c r="S416" s="11" t="s">
        <v>1880</v>
      </c>
    </row>
    <row r="417" spans="1:19" hidden="1" x14ac:dyDescent="0.15">
      <c r="A417" s="34">
        <v>416</v>
      </c>
      <c r="B417" s="35" t="s">
        <v>4883</v>
      </c>
      <c r="C417" s="36" t="s">
        <v>3170</v>
      </c>
      <c r="D417" s="11" t="s">
        <v>1518</v>
      </c>
      <c r="E417" s="11" t="s">
        <v>1451</v>
      </c>
      <c r="F417" s="11">
        <v>8</v>
      </c>
      <c r="G417" s="11" t="s">
        <v>1879</v>
      </c>
      <c r="H417" s="11" t="s">
        <v>1878</v>
      </c>
      <c r="I417" s="11" t="s">
        <v>1453</v>
      </c>
      <c r="J417" s="11"/>
      <c r="K417" s="11"/>
      <c r="L417" s="11"/>
      <c r="M417" s="11" t="s">
        <v>1877</v>
      </c>
      <c r="N417" s="11"/>
      <c r="O417" s="11"/>
      <c r="P417" s="11"/>
      <c r="Q417" s="11"/>
      <c r="R417" s="11"/>
      <c r="S417" s="11" t="s">
        <v>1877</v>
      </c>
    </row>
    <row r="418" spans="1:19" hidden="1" x14ac:dyDescent="0.15">
      <c r="A418" s="34">
        <v>417</v>
      </c>
      <c r="B418" s="35" t="s">
        <v>4883</v>
      </c>
      <c r="C418" s="36" t="s">
        <v>3170</v>
      </c>
      <c r="D418" s="11" t="s">
        <v>1518</v>
      </c>
      <c r="E418" s="11" t="s">
        <v>1451</v>
      </c>
      <c r="F418" s="11">
        <v>7</v>
      </c>
      <c r="G418" s="11" t="s">
        <v>1876</v>
      </c>
      <c r="H418" s="11" t="s">
        <v>1875</v>
      </c>
      <c r="I418" s="11" t="s">
        <v>288</v>
      </c>
      <c r="J418" s="11" t="s">
        <v>6250</v>
      </c>
      <c r="K418" s="11"/>
      <c r="L418" s="11"/>
      <c r="M418" s="11" t="s">
        <v>1757</v>
      </c>
      <c r="N418" s="11" t="s">
        <v>1874</v>
      </c>
      <c r="O418" s="11"/>
      <c r="P418" s="11">
        <v>2</v>
      </c>
      <c r="Q418" s="11"/>
      <c r="R418" s="11"/>
      <c r="S418" s="11" t="s">
        <v>1873</v>
      </c>
    </row>
    <row r="419" spans="1:19" hidden="1" x14ac:dyDescent="0.15">
      <c r="A419" s="34">
        <v>418</v>
      </c>
      <c r="B419" s="35" t="s">
        <v>4883</v>
      </c>
      <c r="C419" s="36" t="s">
        <v>3170</v>
      </c>
      <c r="D419" s="11" t="s">
        <v>1518</v>
      </c>
      <c r="E419" s="11" t="s">
        <v>1451</v>
      </c>
      <c r="F419" s="11">
        <v>4</v>
      </c>
      <c r="G419" s="11" t="s">
        <v>1872</v>
      </c>
      <c r="H419" s="11" t="s">
        <v>1871</v>
      </c>
      <c r="I419" s="11" t="s">
        <v>288</v>
      </c>
      <c r="J419" s="11"/>
      <c r="K419" s="11"/>
      <c r="L419" s="11"/>
      <c r="M419" s="11" t="s">
        <v>1870</v>
      </c>
      <c r="N419" s="11"/>
      <c r="O419" s="11"/>
      <c r="P419" s="11">
        <v>4</v>
      </c>
      <c r="Q419" s="11"/>
      <c r="R419" s="11"/>
      <c r="S419" s="11" t="s">
        <v>1870</v>
      </c>
    </row>
    <row r="420" spans="1:19" hidden="1" x14ac:dyDescent="0.15">
      <c r="A420" s="34">
        <v>419</v>
      </c>
      <c r="B420" s="35" t="s">
        <v>4883</v>
      </c>
      <c r="C420" s="36" t="s">
        <v>3170</v>
      </c>
      <c r="D420" s="11" t="s">
        <v>1518</v>
      </c>
      <c r="E420" s="11" t="s">
        <v>1441</v>
      </c>
      <c r="F420" s="11">
        <v>15</v>
      </c>
      <c r="G420" s="11" t="s">
        <v>1869</v>
      </c>
      <c r="H420" s="11" t="s">
        <v>1868</v>
      </c>
      <c r="I420" s="11" t="s">
        <v>339</v>
      </c>
      <c r="J420" s="11" t="s">
        <v>1479</v>
      </c>
      <c r="K420" s="11" t="s">
        <v>1867</v>
      </c>
      <c r="L420" s="11" t="s">
        <v>1478</v>
      </c>
      <c r="M420" s="11" t="s">
        <v>2755</v>
      </c>
      <c r="N420" s="11" t="s">
        <v>1866</v>
      </c>
      <c r="O420" s="11"/>
      <c r="P420" s="11"/>
      <c r="Q420" s="11">
        <v>4</v>
      </c>
      <c r="R420" s="11">
        <v>4</v>
      </c>
      <c r="S420" s="11" t="s">
        <v>3380</v>
      </c>
    </row>
    <row r="421" spans="1:19" hidden="1" x14ac:dyDescent="0.15">
      <c r="A421" s="34">
        <v>420</v>
      </c>
      <c r="B421" s="35" t="s">
        <v>4883</v>
      </c>
      <c r="C421" s="36" t="s">
        <v>3170</v>
      </c>
      <c r="D421" s="11" t="s">
        <v>1518</v>
      </c>
      <c r="E421" s="11" t="s">
        <v>1441</v>
      </c>
      <c r="F421" s="11">
        <v>15</v>
      </c>
      <c r="G421" s="11" t="s">
        <v>1865</v>
      </c>
      <c r="H421" s="11" t="s">
        <v>1864</v>
      </c>
      <c r="I421" s="11" t="s">
        <v>339</v>
      </c>
      <c r="J421" s="11" t="s">
        <v>1863</v>
      </c>
      <c r="K421" s="11"/>
      <c r="L421" s="11"/>
      <c r="M421" s="11" t="s">
        <v>1707</v>
      </c>
      <c r="N421" s="11" t="s">
        <v>1862</v>
      </c>
      <c r="O421" s="11" t="s">
        <v>1848</v>
      </c>
      <c r="P421" s="11"/>
      <c r="Q421" s="11">
        <v>5</v>
      </c>
      <c r="R421" s="11">
        <v>5</v>
      </c>
      <c r="S421" s="11" t="s">
        <v>3381</v>
      </c>
    </row>
    <row r="422" spans="1:19" hidden="1" x14ac:dyDescent="0.15">
      <c r="A422" s="34">
        <v>421</v>
      </c>
      <c r="B422" s="35" t="s">
        <v>4883</v>
      </c>
      <c r="C422" s="36" t="s">
        <v>3170</v>
      </c>
      <c r="D422" s="11" t="s">
        <v>1518</v>
      </c>
      <c r="E422" s="11" t="s">
        <v>1441</v>
      </c>
      <c r="F422" s="11">
        <v>15</v>
      </c>
      <c r="G422" s="11" t="s">
        <v>1861</v>
      </c>
      <c r="H422" s="11" t="s">
        <v>1860</v>
      </c>
      <c r="I422" s="11" t="s">
        <v>339</v>
      </c>
      <c r="J422" s="11" t="s">
        <v>1537</v>
      </c>
      <c r="K422" s="11"/>
      <c r="L422" s="11"/>
      <c r="M422" s="11" t="s">
        <v>3382</v>
      </c>
      <c r="N422" s="11" t="s">
        <v>1859</v>
      </c>
      <c r="O422" s="11"/>
      <c r="P422" s="11"/>
      <c r="Q422" s="11">
        <v>3</v>
      </c>
      <c r="R422" s="11">
        <v>3</v>
      </c>
      <c r="S422" s="11" t="s">
        <v>3383</v>
      </c>
    </row>
    <row r="423" spans="1:19" hidden="1" x14ac:dyDescent="0.15">
      <c r="A423" s="34">
        <v>422</v>
      </c>
      <c r="B423" s="35" t="s">
        <v>4883</v>
      </c>
      <c r="C423" s="36" t="s">
        <v>3170</v>
      </c>
      <c r="D423" s="11" t="s">
        <v>1518</v>
      </c>
      <c r="E423" s="11" t="s">
        <v>1441</v>
      </c>
      <c r="F423" s="11">
        <v>9</v>
      </c>
      <c r="G423" s="11" t="s">
        <v>1858</v>
      </c>
      <c r="H423" s="11" t="s">
        <v>1857</v>
      </c>
      <c r="I423" s="11" t="s">
        <v>288</v>
      </c>
      <c r="J423" s="11"/>
      <c r="K423" s="11"/>
      <c r="L423" s="11"/>
      <c r="M423" s="11" t="s">
        <v>3317</v>
      </c>
      <c r="N423" s="11" t="s">
        <v>1856</v>
      </c>
      <c r="O423" s="11" t="s">
        <v>1855</v>
      </c>
      <c r="P423" s="11">
        <v>3</v>
      </c>
      <c r="Q423" s="11"/>
      <c r="R423" s="11"/>
      <c r="S423" s="11" t="s">
        <v>3384</v>
      </c>
    </row>
    <row r="424" spans="1:19" hidden="1" x14ac:dyDescent="0.15">
      <c r="A424" s="34">
        <v>423</v>
      </c>
      <c r="B424" s="35" t="s">
        <v>4883</v>
      </c>
      <c r="C424" s="36" t="s">
        <v>3170</v>
      </c>
      <c r="D424" s="11" t="s">
        <v>1518</v>
      </c>
      <c r="E424" s="11" t="s">
        <v>1431</v>
      </c>
      <c r="F424" s="11">
        <v>17</v>
      </c>
      <c r="G424" s="11" t="s">
        <v>1854</v>
      </c>
      <c r="H424" s="11" t="s">
        <v>1853</v>
      </c>
      <c r="I424" s="11" t="s">
        <v>339</v>
      </c>
      <c r="J424" s="11" t="s">
        <v>1537</v>
      </c>
      <c r="K424" s="11"/>
      <c r="L424" s="11"/>
      <c r="M424" s="11" t="s">
        <v>1852</v>
      </c>
      <c r="N424" s="11"/>
      <c r="O424" s="11"/>
      <c r="P424" s="11"/>
      <c r="Q424" s="11">
        <v>4</v>
      </c>
      <c r="R424" s="11">
        <v>5</v>
      </c>
      <c r="S424" s="11" t="s">
        <v>1852</v>
      </c>
    </row>
    <row r="425" spans="1:19" hidden="1" x14ac:dyDescent="0.15">
      <c r="A425" s="34">
        <v>424</v>
      </c>
      <c r="B425" s="35" t="s">
        <v>4883</v>
      </c>
      <c r="C425" s="36" t="s">
        <v>3170</v>
      </c>
      <c r="D425" s="11" t="s">
        <v>1518</v>
      </c>
      <c r="E425" s="11" t="s">
        <v>1431</v>
      </c>
      <c r="F425" s="11">
        <v>16</v>
      </c>
      <c r="G425" s="11" t="s">
        <v>1851</v>
      </c>
      <c r="H425" s="11" t="s">
        <v>1850</v>
      </c>
      <c r="I425" s="11" t="s">
        <v>339</v>
      </c>
      <c r="J425" s="11" t="s">
        <v>1537</v>
      </c>
      <c r="K425" s="11"/>
      <c r="L425" s="11"/>
      <c r="M425" s="11" t="s">
        <v>2595</v>
      </c>
      <c r="N425" s="11" t="s">
        <v>1849</v>
      </c>
      <c r="O425" s="11" t="s">
        <v>1848</v>
      </c>
      <c r="P425" s="11"/>
      <c r="Q425" s="11">
        <v>4</v>
      </c>
      <c r="R425" s="11">
        <v>4</v>
      </c>
      <c r="S425" s="11" t="s">
        <v>3385</v>
      </c>
    </row>
    <row r="426" spans="1:19" hidden="1" x14ac:dyDescent="0.15">
      <c r="A426" s="34">
        <v>425</v>
      </c>
      <c r="B426" s="35" t="s">
        <v>4883</v>
      </c>
      <c r="C426" s="36" t="s">
        <v>3170</v>
      </c>
      <c r="D426" s="11" t="s">
        <v>1518</v>
      </c>
      <c r="E426" s="11" t="s">
        <v>1431</v>
      </c>
      <c r="F426" s="11">
        <v>20</v>
      </c>
      <c r="G426" s="11" t="s">
        <v>1847</v>
      </c>
      <c r="H426" s="11" t="s">
        <v>1846</v>
      </c>
      <c r="I426" s="11" t="s">
        <v>1453</v>
      </c>
      <c r="J426" s="11"/>
      <c r="K426" s="11"/>
      <c r="L426" s="11"/>
      <c r="M426" s="11" t="s">
        <v>1845</v>
      </c>
      <c r="N426" s="11"/>
      <c r="O426" s="11"/>
      <c r="P426" s="11"/>
      <c r="Q426" s="11"/>
      <c r="R426" s="11"/>
      <c r="S426" s="11" t="s">
        <v>1845</v>
      </c>
    </row>
    <row r="427" spans="1:19" hidden="1" x14ac:dyDescent="0.15">
      <c r="A427" s="34">
        <v>426</v>
      </c>
      <c r="B427" s="35" t="s">
        <v>4883</v>
      </c>
      <c r="C427" s="36" t="s">
        <v>3170</v>
      </c>
      <c r="D427" s="11" t="s">
        <v>1512</v>
      </c>
      <c r="E427" s="11" t="s">
        <v>1451</v>
      </c>
      <c r="F427" s="11">
        <v>10</v>
      </c>
      <c r="G427" s="11" t="s">
        <v>1844</v>
      </c>
      <c r="H427" s="11" t="s">
        <v>1843</v>
      </c>
      <c r="I427" s="11" t="s">
        <v>1453</v>
      </c>
      <c r="J427" s="11"/>
      <c r="K427" s="11"/>
      <c r="L427" s="11"/>
      <c r="M427" s="11" t="s">
        <v>1842</v>
      </c>
      <c r="N427" s="11" t="s">
        <v>1841</v>
      </c>
      <c r="O427" s="11"/>
      <c r="P427" s="11"/>
      <c r="Q427" s="11"/>
      <c r="R427" s="11"/>
      <c r="S427" s="11" t="s">
        <v>1840</v>
      </c>
    </row>
    <row r="428" spans="1:19" hidden="1" x14ac:dyDescent="0.15">
      <c r="A428" s="34">
        <v>427</v>
      </c>
      <c r="B428" s="35" t="s">
        <v>4883</v>
      </c>
      <c r="C428" s="36" t="s">
        <v>3170</v>
      </c>
      <c r="D428" s="11" t="s">
        <v>1508</v>
      </c>
      <c r="E428" s="11" t="s">
        <v>1451</v>
      </c>
      <c r="F428" s="11">
        <v>11</v>
      </c>
      <c r="G428" s="11" t="s">
        <v>1839</v>
      </c>
      <c r="H428" s="11" t="s">
        <v>1838</v>
      </c>
      <c r="I428" s="11" t="s">
        <v>339</v>
      </c>
      <c r="J428" s="11" t="s">
        <v>1435</v>
      </c>
      <c r="K428" s="11" t="s">
        <v>1717</v>
      </c>
      <c r="L428" s="11"/>
      <c r="M428" s="11" t="s">
        <v>3319</v>
      </c>
      <c r="N428" s="11" t="s">
        <v>1837</v>
      </c>
      <c r="O428" s="11"/>
      <c r="P428" s="11"/>
      <c r="Q428" s="11">
        <v>3</v>
      </c>
      <c r="R428" s="11">
        <v>4</v>
      </c>
      <c r="S428" s="11" t="s">
        <v>3386</v>
      </c>
    </row>
    <row r="429" spans="1:19" hidden="1" x14ac:dyDescent="0.15">
      <c r="A429" s="34">
        <v>428</v>
      </c>
      <c r="B429" s="35" t="s">
        <v>4883</v>
      </c>
      <c r="C429" s="36" t="s">
        <v>3170</v>
      </c>
      <c r="D429" s="11" t="s">
        <v>1504</v>
      </c>
      <c r="E429" s="11" t="s">
        <v>1451</v>
      </c>
      <c r="F429" s="11">
        <v>11</v>
      </c>
      <c r="G429" s="11" t="s">
        <v>1836</v>
      </c>
      <c r="H429" s="11" t="s">
        <v>1835</v>
      </c>
      <c r="I429" s="11" t="s">
        <v>339</v>
      </c>
      <c r="J429" s="11" t="s">
        <v>1435</v>
      </c>
      <c r="K429" s="11" t="s">
        <v>1501</v>
      </c>
      <c r="L429" s="11"/>
      <c r="M429" s="11" t="s">
        <v>3317</v>
      </c>
      <c r="N429" s="11" t="s">
        <v>1834</v>
      </c>
      <c r="O429" s="11"/>
      <c r="P429" s="11"/>
      <c r="Q429" s="11">
        <v>4</v>
      </c>
      <c r="R429" s="11">
        <v>3</v>
      </c>
      <c r="S429" s="11" t="s">
        <v>3387</v>
      </c>
    </row>
    <row r="430" spans="1:19" hidden="1" x14ac:dyDescent="0.15">
      <c r="A430" s="34">
        <v>429</v>
      </c>
      <c r="B430" s="35" t="s">
        <v>4883</v>
      </c>
      <c r="C430" s="36" t="s">
        <v>3170</v>
      </c>
      <c r="D430" s="11" t="s">
        <v>1482</v>
      </c>
      <c r="E430" s="11" t="s">
        <v>1451</v>
      </c>
      <c r="F430" s="11">
        <v>13</v>
      </c>
      <c r="G430" s="11" t="s">
        <v>1833</v>
      </c>
      <c r="H430" s="11" t="s">
        <v>1832</v>
      </c>
      <c r="I430" s="11" t="s">
        <v>339</v>
      </c>
      <c r="J430" s="11" t="s">
        <v>1537</v>
      </c>
      <c r="K430" s="11"/>
      <c r="L430" s="11"/>
      <c r="M430" s="11" t="s">
        <v>1707</v>
      </c>
      <c r="N430" s="11" t="s">
        <v>1831</v>
      </c>
      <c r="O430" s="11"/>
      <c r="P430" s="11"/>
      <c r="Q430" s="11">
        <v>4</v>
      </c>
      <c r="R430" s="11">
        <v>4</v>
      </c>
      <c r="S430" s="11" t="s">
        <v>3388</v>
      </c>
    </row>
    <row r="431" spans="1:19" hidden="1" x14ac:dyDescent="0.15">
      <c r="A431" s="34">
        <v>430</v>
      </c>
      <c r="B431" s="35" t="s">
        <v>4883</v>
      </c>
      <c r="C431" s="36" t="s">
        <v>3170</v>
      </c>
      <c r="D431" s="11" t="s">
        <v>1802</v>
      </c>
      <c r="E431" s="11" t="s">
        <v>1451</v>
      </c>
      <c r="F431" s="11">
        <v>8</v>
      </c>
      <c r="G431" s="11" t="s">
        <v>1830</v>
      </c>
      <c r="H431" s="11" t="s">
        <v>1829</v>
      </c>
      <c r="I431" s="11" t="s">
        <v>339</v>
      </c>
      <c r="J431" s="11" t="s">
        <v>1479</v>
      </c>
      <c r="K431" s="11" t="s">
        <v>1529</v>
      </c>
      <c r="L431" s="11" t="s">
        <v>1478</v>
      </c>
      <c r="M431" s="11" t="s">
        <v>1828</v>
      </c>
      <c r="N431" s="11"/>
      <c r="O431" s="11"/>
      <c r="P431" s="11"/>
      <c r="Q431" s="11">
        <v>3</v>
      </c>
      <c r="R431" s="11">
        <v>3</v>
      </c>
      <c r="S431" s="11" t="s">
        <v>1828</v>
      </c>
    </row>
    <row r="432" spans="1:19" hidden="1" x14ac:dyDescent="0.15">
      <c r="A432" s="34">
        <v>431</v>
      </c>
      <c r="B432" s="35" t="s">
        <v>4883</v>
      </c>
      <c r="C432" s="36" t="s">
        <v>3170</v>
      </c>
      <c r="D432" s="11" t="s">
        <v>1474</v>
      </c>
      <c r="E432" s="11" t="s">
        <v>1451</v>
      </c>
      <c r="F432" s="11">
        <v>17</v>
      </c>
      <c r="G432" s="11" t="s">
        <v>1827</v>
      </c>
      <c r="H432" s="11" t="s">
        <v>1826</v>
      </c>
      <c r="I432" s="11" t="s">
        <v>339</v>
      </c>
      <c r="J432" s="11" t="s">
        <v>1494</v>
      </c>
      <c r="K432" s="11" t="s">
        <v>1470</v>
      </c>
      <c r="L432" s="11" t="s">
        <v>1478</v>
      </c>
      <c r="M432" s="11" t="s">
        <v>351</v>
      </c>
      <c r="N432" s="11" t="s">
        <v>1825</v>
      </c>
      <c r="O432" s="11"/>
      <c r="P432" s="11"/>
      <c r="Q432" s="11">
        <v>4</v>
      </c>
      <c r="R432" s="11">
        <v>4</v>
      </c>
      <c r="S432" s="11" t="s">
        <v>3389</v>
      </c>
    </row>
    <row r="433" spans="1:19" hidden="1" x14ac:dyDescent="0.15">
      <c r="A433" s="34">
        <v>432</v>
      </c>
      <c r="B433" s="35" t="s">
        <v>4883</v>
      </c>
      <c r="C433" s="36" t="s">
        <v>3170</v>
      </c>
      <c r="D433" s="11" t="s">
        <v>1467</v>
      </c>
      <c r="E433" s="11" t="s">
        <v>1451</v>
      </c>
      <c r="F433" s="11">
        <v>12</v>
      </c>
      <c r="G433" s="11" t="s">
        <v>1824</v>
      </c>
      <c r="H433" s="11" t="s">
        <v>1823</v>
      </c>
      <c r="I433" s="11" t="s">
        <v>339</v>
      </c>
      <c r="J433" s="11" t="s">
        <v>1435</v>
      </c>
      <c r="K433" s="11" t="s">
        <v>1501</v>
      </c>
      <c r="L433" s="11"/>
      <c r="M433" s="11" t="s">
        <v>3317</v>
      </c>
      <c r="N433" s="11" t="s">
        <v>1822</v>
      </c>
      <c r="O433" s="11"/>
      <c r="P433" s="11"/>
      <c r="Q433" s="11">
        <v>3</v>
      </c>
      <c r="R433" s="11">
        <v>5</v>
      </c>
      <c r="S433" s="11" t="s">
        <v>3390</v>
      </c>
    </row>
    <row r="434" spans="1:19" hidden="1" x14ac:dyDescent="0.15">
      <c r="A434" s="34">
        <v>433</v>
      </c>
      <c r="B434" s="35" t="s">
        <v>4883</v>
      </c>
      <c r="C434" s="36" t="s">
        <v>3170</v>
      </c>
      <c r="D434" s="11" t="s">
        <v>1487</v>
      </c>
      <c r="E434" s="11" t="s">
        <v>1451</v>
      </c>
      <c r="F434" s="11">
        <v>13</v>
      </c>
      <c r="G434" s="11" t="s">
        <v>1821</v>
      </c>
      <c r="H434" s="11" t="s">
        <v>1820</v>
      </c>
      <c r="I434" s="11" t="s">
        <v>339</v>
      </c>
      <c r="J434" s="11" t="s">
        <v>1435</v>
      </c>
      <c r="K434" s="11" t="s">
        <v>1501</v>
      </c>
      <c r="L434" s="11"/>
      <c r="M434" s="11" t="s">
        <v>3321</v>
      </c>
      <c r="N434" s="11" t="s">
        <v>1786</v>
      </c>
      <c r="O434" s="11" t="s">
        <v>1819</v>
      </c>
      <c r="P434" s="11"/>
      <c r="Q434" s="11">
        <v>3</v>
      </c>
      <c r="R434" s="11">
        <v>4</v>
      </c>
      <c r="S434" s="11" t="s">
        <v>3391</v>
      </c>
    </row>
    <row r="435" spans="1:19" hidden="1" x14ac:dyDescent="0.15">
      <c r="A435" s="34">
        <v>434</v>
      </c>
      <c r="B435" s="35" t="s">
        <v>4883</v>
      </c>
      <c r="C435" s="36" t="s">
        <v>3170</v>
      </c>
      <c r="D435" s="11" t="s">
        <v>1784</v>
      </c>
      <c r="E435" s="11" t="s">
        <v>1451</v>
      </c>
      <c r="F435" s="11">
        <v>17</v>
      </c>
      <c r="G435" s="11" t="s">
        <v>1818</v>
      </c>
      <c r="H435" s="11" t="s">
        <v>1817</v>
      </c>
      <c r="I435" s="11" t="s">
        <v>339</v>
      </c>
      <c r="J435" s="11" t="s">
        <v>1489</v>
      </c>
      <c r="K435" s="11" t="s">
        <v>1799</v>
      </c>
      <c r="L435" s="11" t="s">
        <v>1478</v>
      </c>
      <c r="M435" s="11" t="s">
        <v>2595</v>
      </c>
      <c r="N435" s="11" t="s">
        <v>1816</v>
      </c>
      <c r="O435" s="11"/>
      <c r="P435" s="11"/>
      <c r="Q435" s="11">
        <v>4</v>
      </c>
      <c r="R435" s="11">
        <v>4</v>
      </c>
      <c r="S435" s="11" t="s">
        <v>3392</v>
      </c>
    </row>
    <row r="436" spans="1:19" hidden="1" x14ac:dyDescent="0.15">
      <c r="A436" s="34">
        <v>435</v>
      </c>
      <c r="B436" s="35" t="s">
        <v>4883</v>
      </c>
      <c r="C436" s="36" t="s">
        <v>3170</v>
      </c>
      <c r="D436" s="11" t="s">
        <v>1772</v>
      </c>
      <c r="E436" s="11" t="s">
        <v>1451</v>
      </c>
      <c r="F436" s="11">
        <v>17</v>
      </c>
      <c r="G436" s="11" t="s">
        <v>1815</v>
      </c>
      <c r="H436" s="11" t="s">
        <v>1814</v>
      </c>
      <c r="I436" s="11" t="s">
        <v>339</v>
      </c>
      <c r="J436" s="11" t="s">
        <v>1479</v>
      </c>
      <c r="K436" s="11" t="s">
        <v>1493</v>
      </c>
      <c r="L436" s="11" t="s">
        <v>1478</v>
      </c>
      <c r="M436" s="11" t="s">
        <v>3357</v>
      </c>
      <c r="N436" s="11" t="s">
        <v>1813</v>
      </c>
      <c r="O436" s="11"/>
      <c r="P436" s="11"/>
      <c r="Q436" s="11">
        <v>3</v>
      </c>
      <c r="R436" s="11">
        <v>3</v>
      </c>
      <c r="S436" s="11" t="s">
        <v>3393</v>
      </c>
    </row>
    <row r="437" spans="1:19" hidden="1" x14ac:dyDescent="0.15">
      <c r="A437" s="34">
        <v>436</v>
      </c>
      <c r="B437" s="35" t="s">
        <v>4883</v>
      </c>
      <c r="C437" s="36" t="s">
        <v>3170</v>
      </c>
      <c r="D437" s="11" t="s">
        <v>1512</v>
      </c>
      <c r="E437" s="11" t="s">
        <v>1441</v>
      </c>
      <c r="F437" s="11">
        <v>18</v>
      </c>
      <c r="G437" s="11" t="s">
        <v>1812</v>
      </c>
      <c r="H437" s="11" t="s">
        <v>1811</v>
      </c>
      <c r="I437" s="11" t="s">
        <v>339</v>
      </c>
      <c r="J437" s="11" t="s">
        <v>1464</v>
      </c>
      <c r="K437" s="11" t="s">
        <v>1478</v>
      </c>
      <c r="L437" s="11"/>
      <c r="M437" s="11" t="s">
        <v>1810</v>
      </c>
      <c r="N437" s="11"/>
      <c r="O437" s="11"/>
      <c r="P437" s="11"/>
      <c r="Q437" s="11">
        <v>4</v>
      </c>
      <c r="R437" s="11">
        <v>4</v>
      </c>
      <c r="S437" s="11" t="s">
        <v>1810</v>
      </c>
    </row>
    <row r="438" spans="1:19" hidden="1" x14ac:dyDescent="0.15">
      <c r="A438" s="34">
        <v>437</v>
      </c>
      <c r="B438" s="35" t="s">
        <v>4883</v>
      </c>
      <c r="C438" s="36" t="s">
        <v>3170</v>
      </c>
      <c r="D438" s="11" t="s">
        <v>1508</v>
      </c>
      <c r="E438" s="11" t="s">
        <v>1441</v>
      </c>
      <c r="F438" s="11">
        <v>20</v>
      </c>
      <c r="G438" s="11" t="s">
        <v>1809</v>
      </c>
      <c r="H438" s="11" t="s">
        <v>1808</v>
      </c>
      <c r="I438" s="11" t="s">
        <v>339</v>
      </c>
      <c r="J438" s="11" t="s">
        <v>1435</v>
      </c>
      <c r="K438" s="11" t="s">
        <v>1501</v>
      </c>
      <c r="L438" s="11"/>
      <c r="M438" s="11" t="s">
        <v>3394</v>
      </c>
      <c r="N438" s="11" t="s">
        <v>1807</v>
      </c>
      <c r="O438" s="11" t="s">
        <v>1806</v>
      </c>
      <c r="P438" s="11"/>
      <c r="Q438" s="11">
        <v>6</v>
      </c>
      <c r="R438" s="11">
        <v>6</v>
      </c>
      <c r="S438" s="11" t="s">
        <v>3395</v>
      </c>
    </row>
    <row r="439" spans="1:19" hidden="1" x14ac:dyDescent="0.15">
      <c r="A439" s="34">
        <v>438</v>
      </c>
      <c r="B439" s="35" t="s">
        <v>4883</v>
      </c>
      <c r="C439" s="36" t="s">
        <v>3170</v>
      </c>
      <c r="D439" s="11" t="s">
        <v>1504</v>
      </c>
      <c r="E439" s="11" t="s">
        <v>1441</v>
      </c>
      <c r="F439" s="11">
        <v>11</v>
      </c>
      <c r="G439" s="11" t="s">
        <v>1805</v>
      </c>
      <c r="H439" s="11" t="s">
        <v>1804</v>
      </c>
      <c r="I439" s="11" t="s">
        <v>339</v>
      </c>
      <c r="J439" s="11" t="s">
        <v>1435</v>
      </c>
      <c r="K439" s="11"/>
      <c r="L439" s="11"/>
      <c r="M439" s="11" t="s">
        <v>3396</v>
      </c>
      <c r="N439" s="11" t="s">
        <v>1803</v>
      </c>
      <c r="O439" s="11"/>
      <c r="P439" s="11"/>
      <c r="Q439" s="11">
        <v>7</v>
      </c>
      <c r="R439" s="11">
        <v>5</v>
      </c>
      <c r="S439" s="11" t="s">
        <v>3397</v>
      </c>
    </row>
    <row r="440" spans="1:19" hidden="1" x14ac:dyDescent="0.15">
      <c r="A440" s="34">
        <v>439</v>
      </c>
      <c r="B440" s="35" t="s">
        <v>4883</v>
      </c>
      <c r="C440" s="36" t="s">
        <v>3170</v>
      </c>
      <c r="D440" s="11" t="s">
        <v>1802</v>
      </c>
      <c r="E440" s="11" t="s">
        <v>1441</v>
      </c>
      <c r="F440" s="11">
        <v>15</v>
      </c>
      <c r="G440" s="11" t="s">
        <v>1801</v>
      </c>
      <c r="H440" s="11" t="s">
        <v>1800</v>
      </c>
      <c r="I440" s="11" t="s">
        <v>339</v>
      </c>
      <c r="J440" s="11" t="s">
        <v>1489</v>
      </c>
      <c r="K440" s="11" t="s">
        <v>1799</v>
      </c>
      <c r="L440" s="11" t="s">
        <v>1478</v>
      </c>
      <c r="M440" s="11" t="s">
        <v>1798</v>
      </c>
      <c r="N440" s="11" t="s">
        <v>1797</v>
      </c>
      <c r="O440" s="11" t="s">
        <v>1796</v>
      </c>
      <c r="P440" s="11"/>
      <c r="Q440" s="11">
        <v>1</v>
      </c>
      <c r="R440" s="11">
        <v>1</v>
      </c>
      <c r="S440" s="11" t="s">
        <v>1795</v>
      </c>
    </row>
    <row r="441" spans="1:19" hidden="1" x14ac:dyDescent="0.15">
      <c r="A441" s="34">
        <v>440</v>
      </c>
      <c r="B441" s="35" t="s">
        <v>4883</v>
      </c>
      <c r="C441" s="36" t="s">
        <v>3170</v>
      </c>
      <c r="D441" s="11" t="s">
        <v>1474</v>
      </c>
      <c r="E441" s="11" t="s">
        <v>1441</v>
      </c>
      <c r="F441" s="11">
        <v>20</v>
      </c>
      <c r="G441" s="11" t="s">
        <v>1794</v>
      </c>
      <c r="H441" s="11" t="s">
        <v>1793</v>
      </c>
      <c r="I441" s="11" t="s">
        <v>1453</v>
      </c>
      <c r="J441" s="11"/>
      <c r="K441" s="11"/>
      <c r="L441" s="11"/>
      <c r="M441" s="11" t="s">
        <v>1792</v>
      </c>
      <c r="N441" s="11"/>
      <c r="O441" s="11"/>
      <c r="P441" s="11"/>
      <c r="Q441" s="11"/>
      <c r="R441" s="11"/>
      <c r="S441" s="11" t="s">
        <v>1792</v>
      </c>
    </row>
    <row r="442" spans="1:19" hidden="1" x14ac:dyDescent="0.15">
      <c r="A442" s="34">
        <v>441</v>
      </c>
      <c r="B442" s="35" t="s">
        <v>4883</v>
      </c>
      <c r="C442" s="36" t="s">
        <v>3170</v>
      </c>
      <c r="D442" s="11" t="s">
        <v>1467</v>
      </c>
      <c r="E442" s="11" t="s">
        <v>1441</v>
      </c>
      <c r="F442" s="11">
        <v>12</v>
      </c>
      <c r="G442" s="11" t="s">
        <v>1791</v>
      </c>
      <c r="H442" s="11" t="s">
        <v>1790</v>
      </c>
      <c r="I442" s="11" t="s">
        <v>1453</v>
      </c>
      <c r="J442" s="11"/>
      <c r="K442" s="11"/>
      <c r="L442" s="11"/>
      <c r="M442" s="11" t="s">
        <v>3317</v>
      </c>
      <c r="N442" s="11" t="s">
        <v>1789</v>
      </c>
      <c r="O442" s="11"/>
      <c r="P442" s="11"/>
      <c r="Q442" s="11"/>
      <c r="R442" s="11"/>
      <c r="S442" s="11" t="s">
        <v>3398</v>
      </c>
    </row>
    <row r="443" spans="1:19" hidden="1" x14ac:dyDescent="0.15">
      <c r="A443" s="34">
        <v>442</v>
      </c>
      <c r="B443" s="35" t="s">
        <v>4883</v>
      </c>
      <c r="C443" s="36" t="s">
        <v>3170</v>
      </c>
      <c r="D443" s="11" t="s">
        <v>1487</v>
      </c>
      <c r="E443" s="11" t="s">
        <v>1441</v>
      </c>
      <c r="F443" s="11">
        <v>17</v>
      </c>
      <c r="G443" s="11" t="s">
        <v>1788</v>
      </c>
      <c r="H443" s="11" t="s">
        <v>1787</v>
      </c>
      <c r="I443" s="11" t="s">
        <v>339</v>
      </c>
      <c r="J443" s="11" t="s">
        <v>1435</v>
      </c>
      <c r="K443" s="11" t="s">
        <v>1501</v>
      </c>
      <c r="L443" s="11"/>
      <c r="M443" s="11" t="s">
        <v>3317</v>
      </c>
      <c r="N443" s="11" t="s">
        <v>1786</v>
      </c>
      <c r="O443" s="11" t="s">
        <v>1785</v>
      </c>
      <c r="P443" s="11"/>
      <c r="Q443" s="11">
        <v>6</v>
      </c>
      <c r="R443" s="11">
        <v>6</v>
      </c>
      <c r="S443" s="11" t="s">
        <v>3399</v>
      </c>
    </row>
    <row r="444" spans="1:19" hidden="1" x14ac:dyDescent="0.15">
      <c r="A444" s="34">
        <v>443</v>
      </c>
      <c r="B444" s="35" t="s">
        <v>4883</v>
      </c>
      <c r="C444" s="36" t="s">
        <v>3170</v>
      </c>
      <c r="D444" s="11" t="s">
        <v>1784</v>
      </c>
      <c r="E444" s="11" t="s">
        <v>1441</v>
      </c>
      <c r="F444" s="11">
        <v>16</v>
      </c>
      <c r="G444" s="11" t="s">
        <v>1783</v>
      </c>
      <c r="H444" s="11" t="s">
        <v>1782</v>
      </c>
      <c r="I444" s="11" t="s">
        <v>339</v>
      </c>
      <c r="J444" s="11" t="s">
        <v>348</v>
      </c>
      <c r="K444" s="11" t="s">
        <v>1478</v>
      </c>
      <c r="L444" s="11"/>
      <c r="M444" s="11" t="s">
        <v>351</v>
      </c>
      <c r="N444" s="11" t="s">
        <v>1781</v>
      </c>
      <c r="O444" s="11"/>
      <c r="P444" s="11"/>
      <c r="Q444" s="11">
        <v>6</v>
      </c>
      <c r="R444" s="11">
        <v>5</v>
      </c>
      <c r="S444" s="11" t="s">
        <v>3400</v>
      </c>
    </row>
    <row r="445" spans="1:19" hidden="1" x14ac:dyDescent="0.15">
      <c r="A445" s="34">
        <v>444</v>
      </c>
      <c r="B445" s="35" t="s">
        <v>4883</v>
      </c>
      <c r="C445" s="36" t="s">
        <v>3170</v>
      </c>
      <c r="D445" s="11" t="s">
        <v>1508</v>
      </c>
      <c r="E445" s="11" t="s">
        <v>1431</v>
      </c>
      <c r="F445" s="11">
        <v>18</v>
      </c>
      <c r="G445" s="11" t="s">
        <v>1780</v>
      </c>
      <c r="H445" s="11" t="s">
        <v>1779</v>
      </c>
      <c r="I445" s="11" t="s">
        <v>339</v>
      </c>
      <c r="J445" s="11" t="s">
        <v>1435</v>
      </c>
      <c r="K445" s="11"/>
      <c r="L445" s="11"/>
      <c r="M445" s="11" t="s">
        <v>1778</v>
      </c>
      <c r="N445" s="11"/>
      <c r="O445" s="11"/>
      <c r="P445" s="11"/>
      <c r="Q445" s="11">
        <v>7</v>
      </c>
      <c r="R445" s="11">
        <v>9</v>
      </c>
      <c r="S445" s="11" t="s">
        <v>1778</v>
      </c>
    </row>
    <row r="446" spans="1:19" hidden="1" x14ac:dyDescent="0.15">
      <c r="A446" s="34">
        <v>445</v>
      </c>
      <c r="B446" s="35" t="s">
        <v>4883</v>
      </c>
      <c r="C446" s="36" t="s">
        <v>3170</v>
      </c>
      <c r="D446" s="11" t="s">
        <v>1482</v>
      </c>
      <c r="E446" s="11" t="s">
        <v>1431</v>
      </c>
      <c r="F446" s="11">
        <v>18</v>
      </c>
      <c r="G446" s="11" t="s">
        <v>1777</v>
      </c>
      <c r="H446" s="11" t="s">
        <v>1776</v>
      </c>
      <c r="I446" s="11" t="s">
        <v>339</v>
      </c>
      <c r="J446" s="11" t="s">
        <v>1537</v>
      </c>
      <c r="K446" s="11"/>
      <c r="L446" s="11"/>
      <c r="M446" s="11" t="s">
        <v>1775</v>
      </c>
      <c r="N446" s="11" t="s">
        <v>1774</v>
      </c>
      <c r="O446" s="11"/>
      <c r="P446" s="11"/>
      <c r="Q446" s="11">
        <v>8</v>
      </c>
      <c r="R446" s="11">
        <v>8</v>
      </c>
      <c r="S446" s="11" t="s">
        <v>1773</v>
      </c>
    </row>
    <row r="447" spans="1:19" hidden="1" x14ac:dyDescent="0.15">
      <c r="A447" s="34">
        <v>446</v>
      </c>
      <c r="B447" s="35" t="s">
        <v>4883</v>
      </c>
      <c r="C447" s="36" t="s">
        <v>3170</v>
      </c>
      <c r="D447" s="11" t="s">
        <v>1772</v>
      </c>
      <c r="E447" s="11" t="s">
        <v>1431</v>
      </c>
      <c r="F447" s="11">
        <v>10</v>
      </c>
      <c r="G447" s="11" t="s">
        <v>1771</v>
      </c>
      <c r="H447" s="11" t="s">
        <v>1770</v>
      </c>
      <c r="I447" s="11" t="s">
        <v>1453</v>
      </c>
      <c r="J447" s="11"/>
      <c r="K447" s="11"/>
      <c r="L447" s="11"/>
      <c r="M447" s="11" t="s">
        <v>1769</v>
      </c>
      <c r="N447" s="11"/>
      <c r="O447" s="11"/>
      <c r="P447" s="11"/>
      <c r="Q447" s="11"/>
      <c r="R447" s="11"/>
      <c r="S447" s="11" t="s">
        <v>1769</v>
      </c>
    </row>
    <row r="448" spans="1:19" hidden="1" x14ac:dyDescent="0.15">
      <c r="A448" s="34">
        <v>447</v>
      </c>
      <c r="B448" s="35" t="s">
        <v>4883</v>
      </c>
      <c r="C448" s="36" t="s">
        <v>3170</v>
      </c>
      <c r="D448" s="11" t="s">
        <v>292</v>
      </c>
      <c r="E448" s="11" t="s">
        <v>1744</v>
      </c>
      <c r="F448" s="11">
        <v>14</v>
      </c>
      <c r="G448" s="11" t="s">
        <v>1768</v>
      </c>
      <c r="H448" s="11" t="s">
        <v>1767</v>
      </c>
      <c r="I448" s="11" t="s">
        <v>339</v>
      </c>
      <c r="J448" s="11" t="s">
        <v>1435</v>
      </c>
      <c r="K448" s="11"/>
      <c r="L448" s="11"/>
      <c r="M448" s="11" t="s">
        <v>1766</v>
      </c>
      <c r="N448" s="11"/>
      <c r="O448" s="11"/>
      <c r="P448" s="11"/>
      <c r="Q448" s="11">
        <v>4</v>
      </c>
      <c r="R448" s="11">
        <v>4</v>
      </c>
      <c r="S448" s="11" t="s">
        <v>1766</v>
      </c>
    </row>
    <row r="449" spans="1:19" hidden="1" x14ac:dyDescent="0.15">
      <c r="A449" s="34">
        <v>448</v>
      </c>
      <c r="B449" s="35" t="s">
        <v>4883</v>
      </c>
      <c r="C449" s="36" t="s">
        <v>3170</v>
      </c>
      <c r="D449" s="11" t="s">
        <v>292</v>
      </c>
      <c r="E449" s="11" t="s">
        <v>1744</v>
      </c>
      <c r="F449" s="11">
        <v>17</v>
      </c>
      <c r="G449" s="11" t="s">
        <v>1765</v>
      </c>
      <c r="H449" s="11" t="s">
        <v>1764</v>
      </c>
      <c r="I449" s="11" t="s">
        <v>339</v>
      </c>
      <c r="J449" s="11" t="s">
        <v>1435</v>
      </c>
      <c r="K449" s="11" t="s">
        <v>1717</v>
      </c>
      <c r="L449" s="11"/>
      <c r="M449" s="11" t="s">
        <v>1763</v>
      </c>
      <c r="N449" s="11"/>
      <c r="O449" s="11"/>
      <c r="P449" s="11"/>
      <c r="Q449" s="11">
        <v>5</v>
      </c>
      <c r="R449" s="11">
        <v>5</v>
      </c>
      <c r="S449" s="11" t="s">
        <v>1763</v>
      </c>
    </row>
    <row r="450" spans="1:19" hidden="1" x14ac:dyDescent="0.15">
      <c r="A450" s="34">
        <v>449</v>
      </c>
      <c r="B450" s="35" t="s">
        <v>4883</v>
      </c>
      <c r="C450" s="36" t="s">
        <v>3170</v>
      </c>
      <c r="D450" s="11" t="s">
        <v>292</v>
      </c>
      <c r="E450" s="11" t="s">
        <v>1744</v>
      </c>
      <c r="F450" s="11">
        <v>12</v>
      </c>
      <c r="G450" s="11" t="s">
        <v>1762</v>
      </c>
      <c r="H450" s="11" t="s">
        <v>1761</v>
      </c>
      <c r="I450" s="11" t="s">
        <v>1453</v>
      </c>
      <c r="J450" s="11"/>
      <c r="K450" s="11"/>
      <c r="L450" s="11"/>
      <c r="M450" s="11" t="s">
        <v>1760</v>
      </c>
      <c r="N450" s="11"/>
      <c r="O450" s="11"/>
      <c r="P450" s="11"/>
      <c r="Q450" s="11"/>
      <c r="R450" s="11"/>
      <c r="S450" s="11" t="s">
        <v>1760</v>
      </c>
    </row>
    <row r="451" spans="1:19" hidden="1" x14ac:dyDescent="0.15">
      <c r="A451" s="34">
        <v>450</v>
      </c>
      <c r="B451" s="35" t="s">
        <v>4883</v>
      </c>
      <c r="C451" s="36" t="s">
        <v>3170</v>
      </c>
      <c r="D451" s="11" t="s">
        <v>292</v>
      </c>
      <c r="E451" s="11" t="s">
        <v>1744</v>
      </c>
      <c r="F451" s="11">
        <v>10</v>
      </c>
      <c r="G451" s="11" t="s">
        <v>1759</v>
      </c>
      <c r="H451" s="11" t="s">
        <v>1758</v>
      </c>
      <c r="I451" s="11" t="s">
        <v>288</v>
      </c>
      <c r="J451" s="11" t="s">
        <v>6250</v>
      </c>
      <c r="K451" s="11"/>
      <c r="L451" s="11"/>
      <c r="M451" s="11" t="s">
        <v>1757</v>
      </c>
      <c r="N451" s="11"/>
      <c r="O451" s="11"/>
      <c r="P451" s="11">
        <v>2</v>
      </c>
      <c r="Q451" s="11"/>
      <c r="R451" s="11"/>
      <c r="S451" s="11" t="s">
        <v>1757</v>
      </c>
    </row>
    <row r="452" spans="1:19" hidden="1" x14ac:dyDescent="0.15">
      <c r="A452" s="34">
        <v>451</v>
      </c>
      <c r="B452" s="35" t="s">
        <v>4883</v>
      </c>
      <c r="C452" s="36" t="s">
        <v>3170</v>
      </c>
      <c r="D452" s="11" t="s">
        <v>292</v>
      </c>
      <c r="E452" s="11" t="s">
        <v>1744</v>
      </c>
      <c r="F452" s="11">
        <v>2</v>
      </c>
      <c r="G452" s="11" t="s">
        <v>1756</v>
      </c>
      <c r="H452" s="11" t="s">
        <v>1755</v>
      </c>
      <c r="I452" s="11" t="s">
        <v>288</v>
      </c>
      <c r="J452" s="11" t="s">
        <v>6250</v>
      </c>
      <c r="K452" s="11"/>
      <c r="L452" s="11"/>
      <c r="M452" s="11" t="s">
        <v>1754</v>
      </c>
      <c r="N452" s="11"/>
      <c r="O452" s="11"/>
      <c r="P452" s="11">
        <v>2</v>
      </c>
      <c r="Q452" s="11"/>
      <c r="R452" s="11"/>
      <c r="S452" s="11" t="s">
        <v>1754</v>
      </c>
    </row>
    <row r="453" spans="1:19" hidden="1" x14ac:dyDescent="0.15">
      <c r="A453" s="34">
        <v>452</v>
      </c>
      <c r="B453" s="35" t="s">
        <v>4883</v>
      </c>
      <c r="C453" s="36" t="s">
        <v>3170</v>
      </c>
      <c r="D453" s="11" t="s">
        <v>292</v>
      </c>
      <c r="E453" s="11" t="s">
        <v>1744</v>
      </c>
      <c r="F453" s="11">
        <v>8</v>
      </c>
      <c r="G453" s="11" t="s">
        <v>1753</v>
      </c>
      <c r="H453" s="11" t="s">
        <v>1752</v>
      </c>
      <c r="I453" s="11" t="s">
        <v>288</v>
      </c>
      <c r="J453" s="11" t="s">
        <v>6305</v>
      </c>
      <c r="K453" s="11"/>
      <c r="L453" s="11"/>
      <c r="M453" s="11" t="s">
        <v>1751</v>
      </c>
      <c r="N453" s="11"/>
      <c r="O453" s="11"/>
      <c r="P453" s="11">
        <v>2</v>
      </c>
      <c r="Q453" s="11"/>
      <c r="R453" s="11"/>
      <c r="S453" s="11" t="s">
        <v>1751</v>
      </c>
    </row>
    <row r="454" spans="1:19" hidden="1" x14ac:dyDescent="0.15">
      <c r="A454" s="34">
        <v>453</v>
      </c>
      <c r="B454" s="35" t="s">
        <v>4883</v>
      </c>
      <c r="C454" s="36" t="s">
        <v>3170</v>
      </c>
      <c r="D454" s="11" t="s">
        <v>292</v>
      </c>
      <c r="E454" s="11" t="s">
        <v>1744</v>
      </c>
      <c r="F454" s="11">
        <v>11</v>
      </c>
      <c r="G454" s="11" t="s">
        <v>1750</v>
      </c>
      <c r="H454" s="11" t="s">
        <v>1749</v>
      </c>
      <c r="I454" s="11" t="s">
        <v>288</v>
      </c>
      <c r="J454" s="11" t="s">
        <v>6250</v>
      </c>
      <c r="K454" s="11"/>
      <c r="L454" s="11"/>
      <c r="M454" s="11" t="s">
        <v>1748</v>
      </c>
      <c r="N454" s="11"/>
      <c r="O454" s="11"/>
      <c r="P454" s="11">
        <v>2</v>
      </c>
      <c r="Q454" s="11"/>
      <c r="R454" s="11"/>
      <c r="S454" s="11" t="s">
        <v>1748</v>
      </c>
    </row>
    <row r="455" spans="1:19" hidden="1" x14ac:dyDescent="0.15">
      <c r="A455" s="34">
        <v>454</v>
      </c>
      <c r="B455" s="35" t="s">
        <v>4883</v>
      </c>
      <c r="C455" s="36" t="s">
        <v>3170</v>
      </c>
      <c r="D455" s="11" t="s">
        <v>292</v>
      </c>
      <c r="E455" s="11" t="s">
        <v>1744</v>
      </c>
      <c r="F455" s="11">
        <v>15</v>
      </c>
      <c r="G455" s="11" t="s">
        <v>1747</v>
      </c>
      <c r="H455" s="11" t="s">
        <v>1746</v>
      </c>
      <c r="I455" s="11" t="s">
        <v>288</v>
      </c>
      <c r="J455" s="11" t="s">
        <v>6250</v>
      </c>
      <c r="K455" s="11"/>
      <c r="L455" s="11"/>
      <c r="M455" s="11" t="s">
        <v>1745</v>
      </c>
      <c r="N455" s="11"/>
      <c r="O455" s="11"/>
      <c r="P455" s="11">
        <v>2</v>
      </c>
      <c r="Q455" s="11"/>
      <c r="R455" s="11"/>
      <c r="S455" s="11" t="s">
        <v>1745</v>
      </c>
    </row>
    <row r="456" spans="1:19" hidden="1" x14ac:dyDescent="0.15">
      <c r="A456" s="34">
        <v>455</v>
      </c>
      <c r="B456" s="35" t="s">
        <v>4883</v>
      </c>
      <c r="C456" s="36" t="s">
        <v>3170</v>
      </c>
      <c r="D456" s="11" t="s">
        <v>292</v>
      </c>
      <c r="E456" s="11" t="s">
        <v>1744</v>
      </c>
      <c r="F456" s="11">
        <v>8</v>
      </c>
      <c r="G456" s="11" t="s">
        <v>1743</v>
      </c>
      <c r="H456" s="11" t="s">
        <v>1742</v>
      </c>
      <c r="I456" s="11" t="s">
        <v>288</v>
      </c>
      <c r="J456" s="11" t="s">
        <v>6250</v>
      </c>
      <c r="K456" s="11"/>
      <c r="L456" s="11"/>
      <c r="M456" s="11" t="s">
        <v>1741</v>
      </c>
      <c r="N456" s="11"/>
      <c r="O456" s="11"/>
      <c r="P456" s="11">
        <v>3</v>
      </c>
      <c r="Q456" s="11"/>
      <c r="R456" s="11"/>
      <c r="S456" s="11" t="s">
        <v>1741</v>
      </c>
    </row>
    <row r="457" spans="1:19" hidden="1" x14ac:dyDescent="0.15">
      <c r="A457" s="34">
        <v>456</v>
      </c>
      <c r="B457" s="35" t="s">
        <v>4883</v>
      </c>
      <c r="C457" s="36" t="s">
        <v>3170</v>
      </c>
      <c r="D457" s="11" t="s">
        <v>292</v>
      </c>
      <c r="E457" s="11" t="s">
        <v>1451</v>
      </c>
      <c r="F457" s="11">
        <v>19</v>
      </c>
      <c r="G457" s="11" t="s">
        <v>1740</v>
      </c>
      <c r="H457" s="11" t="s">
        <v>1739</v>
      </c>
      <c r="I457" s="11" t="s">
        <v>339</v>
      </c>
      <c r="J457" s="11" t="s">
        <v>1435</v>
      </c>
      <c r="K457" s="11"/>
      <c r="L457" s="11"/>
      <c r="M457" s="11" t="s">
        <v>1738</v>
      </c>
      <c r="N457" s="11"/>
      <c r="O457" s="11"/>
      <c r="P457" s="11"/>
      <c r="Q457" s="11">
        <v>10</v>
      </c>
      <c r="R457" s="11">
        <v>8</v>
      </c>
      <c r="S457" s="11" t="s">
        <v>1738</v>
      </c>
    </row>
    <row r="458" spans="1:19" hidden="1" x14ac:dyDescent="0.15">
      <c r="A458" s="34">
        <v>457</v>
      </c>
      <c r="B458" s="35" t="s">
        <v>4883</v>
      </c>
      <c r="C458" s="36" t="s">
        <v>3170</v>
      </c>
      <c r="D458" s="11" t="s">
        <v>292</v>
      </c>
      <c r="E458" s="11" t="s">
        <v>1451</v>
      </c>
      <c r="F458" s="11">
        <v>19</v>
      </c>
      <c r="G458" s="11" t="s">
        <v>1737</v>
      </c>
      <c r="H458" s="11" t="s">
        <v>1736</v>
      </c>
      <c r="I458" s="11" t="s">
        <v>339</v>
      </c>
      <c r="J458" s="11" t="s">
        <v>1435</v>
      </c>
      <c r="K458" s="11"/>
      <c r="L458" s="11"/>
      <c r="M458" s="11" t="s">
        <v>3194</v>
      </c>
      <c r="N458" s="11"/>
      <c r="O458" s="11"/>
      <c r="P458" s="11"/>
      <c r="Q458" s="11">
        <v>6</v>
      </c>
      <c r="R458" s="11">
        <v>6</v>
      </c>
      <c r="S458" s="11" t="s">
        <v>3194</v>
      </c>
    </row>
    <row r="459" spans="1:19" hidden="1" x14ac:dyDescent="0.15">
      <c r="A459" s="34">
        <v>458</v>
      </c>
      <c r="B459" s="35" t="s">
        <v>4883</v>
      </c>
      <c r="C459" s="36" t="s">
        <v>3170</v>
      </c>
      <c r="D459" s="11" t="s">
        <v>292</v>
      </c>
      <c r="E459" s="11" t="s">
        <v>1451</v>
      </c>
      <c r="F459" s="11">
        <v>13</v>
      </c>
      <c r="G459" s="11" t="s">
        <v>1735</v>
      </c>
      <c r="H459" s="11" t="s">
        <v>1734</v>
      </c>
      <c r="I459" s="11" t="s">
        <v>339</v>
      </c>
      <c r="J459" s="11" t="s">
        <v>353</v>
      </c>
      <c r="K459" s="11"/>
      <c r="L459" s="11"/>
      <c r="M459" s="11" t="s">
        <v>351</v>
      </c>
      <c r="N459" s="11"/>
      <c r="O459" s="11"/>
      <c r="P459" s="11"/>
      <c r="Q459" s="11">
        <v>4</v>
      </c>
      <c r="R459" s="11">
        <v>4</v>
      </c>
      <c r="S459" s="11" t="s">
        <v>351</v>
      </c>
    </row>
    <row r="460" spans="1:19" hidden="1" x14ac:dyDescent="0.15">
      <c r="A460" s="34">
        <v>459</v>
      </c>
      <c r="B460" s="35" t="s">
        <v>4883</v>
      </c>
      <c r="C460" s="36" t="s">
        <v>3170</v>
      </c>
      <c r="D460" s="11" t="s">
        <v>292</v>
      </c>
      <c r="E460" s="11" t="s">
        <v>1451</v>
      </c>
      <c r="F460" s="11">
        <v>14</v>
      </c>
      <c r="G460" s="11" t="s">
        <v>4915</v>
      </c>
      <c r="H460" s="11" t="s">
        <v>1733</v>
      </c>
      <c r="I460" s="11" t="s">
        <v>339</v>
      </c>
      <c r="J460" s="11" t="s">
        <v>1435</v>
      </c>
      <c r="K460" s="11" t="s">
        <v>1717</v>
      </c>
      <c r="L460" s="11"/>
      <c r="M460" s="11" t="s">
        <v>1732</v>
      </c>
      <c r="N460" s="11"/>
      <c r="O460" s="11"/>
      <c r="P460" s="11"/>
      <c r="Q460" s="11">
        <v>5</v>
      </c>
      <c r="R460" s="11">
        <v>5</v>
      </c>
      <c r="S460" s="11" t="s">
        <v>4914</v>
      </c>
    </row>
    <row r="461" spans="1:19" hidden="1" x14ac:dyDescent="0.15">
      <c r="A461" s="34">
        <v>460</v>
      </c>
      <c r="B461" s="35" t="s">
        <v>4883</v>
      </c>
      <c r="C461" s="36" t="s">
        <v>3170</v>
      </c>
      <c r="D461" s="11" t="s">
        <v>292</v>
      </c>
      <c r="E461" s="11" t="s">
        <v>1451</v>
      </c>
      <c r="F461" s="11">
        <v>8</v>
      </c>
      <c r="G461" s="11" t="s">
        <v>1731</v>
      </c>
      <c r="H461" s="11" t="s">
        <v>1730</v>
      </c>
      <c r="I461" s="11" t="s">
        <v>1453</v>
      </c>
      <c r="J461" s="11"/>
      <c r="K461" s="11"/>
      <c r="L461" s="11"/>
      <c r="M461" s="11" t="s">
        <v>1729</v>
      </c>
      <c r="N461" s="11"/>
      <c r="O461" s="11"/>
      <c r="P461" s="11"/>
      <c r="Q461" s="11"/>
      <c r="R461" s="11"/>
      <c r="S461" s="11" t="s">
        <v>1729</v>
      </c>
    </row>
    <row r="462" spans="1:19" hidden="1" x14ac:dyDescent="0.15">
      <c r="A462" s="34">
        <v>461</v>
      </c>
      <c r="B462" s="35" t="s">
        <v>4883</v>
      </c>
      <c r="C462" s="36" t="s">
        <v>3170</v>
      </c>
      <c r="D462" s="11" t="s">
        <v>292</v>
      </c>
      <c r="E462" s="11" t="s">
        <v>1451</v>
      </c>
      <c r="F462" s="11">
        <v>17</v>
      </c>
      <c r="G462" s="11" t="s">
        <v>1728</v>
      </c>
      <c r="H462" s="11" t="s">
        <v>1727</v>
      </c>
      <c r="I462" s="11" t="s">
        <v>288</v>
      </c>
      <c r="J462" s="11"/>
      <c r="K462" s="11"/>
      <c r="L462" s="11"/>
      <c r="M462" s="11" t="s">
        <v>1726</v>
      </c>
      <c r="N462" s="11"/>
      <c r="O462" s="11"/>
      <c r="P462" s="11">
        <v>4</v>
      </c>
      <c r="Q462" s="11"/>
      <c r="R462" s="11"/>
      <c r="S462" s="11" t="s">
        <v>1726</v>
      </c>
    </row>
    <row r="463" spans="1:19" hidden="1" x14ac:dyDescent="0.15">
      <c r="A463" s="34">
        <v>462</v>
      </c>
      <c r="B463" s="35" t="s">
        <v>4883</v>
      </c>
      <c r="C463" s="36" t="s">
        <v>3170</v>
      </c>
      <c r="D463" s="11" t="s">
        <v>292</v>
      </c>
      <c r="E463" s="11" t="s">
        <v>1451</v>
      </c>
      <c r="F463" s="11">
        <v>2</v>
      </c>
      <c r="G463" s="11" t="s">
        <v>1725</v>
      </c>
      <c r="H463" s="11" t="s">
        <v>1724</v>
      </c>
      <c r="I463" s="11" t="s">
        <v>288</v>
      </c>
      <c r="J463" s="11"/>
      <c r="K463" s="11"/>
      <c r="L463" s="11"/>
      <c r="M463" s="11" t="s">
        <v>1723</v>
      </c>
      <c r="N463" s="11"/>
      <c r="O463" s="11"/>
      <c r="P463" s="11">
        <v>3</v>
      </c>
      <c r="Q463" s="11"/>
      <c r="R463" s="11"/>
      <c r="S463" s="11" t="s">
        <v>1723</v>
      </c>
    </row>
    <row r="464" spans="1:19" hidden="1" x14ac:dyDescent="0.15">
      <c r="A464" s="34">
        <v>463</v>
      </c>
      <c r="B464" s="35" t="s">
        <v>4883</v>
      </c>
      <c r="C464" s="36" t="s">
        <v>3170</v>
      </c>
      <c r="D464" s="11" t="s">
        <v>292</v>
      </c>
      <c r="E464" s="11" t="s">
        <v>1451</v>
      </c>
      <c r="F464" s="11">
        <v>16</v>
      </c>
      <c r="G464" s="11" t="s">
        <v>1722</v>
      </c>
      <c r="H464" s="11" t="s">
        <v>1721</v>
      </c>
      <c r="I464" s="11" t="s">
        <v>288</v>
      </c>
      <c r="J464" s="11" t="s">
        <v>6250</v>
      </c>
      <c r="K464" s="11"/>
      <c r="L464" s="11"/>
      <c r="M464" s="11" t="s">
        <v>1720</v>
      </c>
      <c r="N464" s="11"/>
      <c r="O464" s="11"/>
      <c r="P464" s="11">
        <v>9</v>
      </c>
      <c r="Q464" s="11"/>
      <c r="R464" s="11"/>
      <c r="S464" s="11" t="s">
        <v>1720</v>
      </c>
    </row>
    <row r="465" spans="1:19" hidden="1" x14ac:dyDescent="0.15">
      <c r="A465" s="34">
        <v>464</v>
      </c>
      <c r="B465" s="35" t="s">
        <v>4883</v>
      </c>
      <c r="C465" s="36" t="s">
        <v>3170</v>
      </c>
      <c r="D465" s="11" t="s">
        <v>292</v>
      </c>
      <c r="E465" s="11" t="s">
        <v>1441</v>
      </c>
      <c r="F465" s="11">
        <v>11</v>
      </c>
      <c r="G465" s="11" t="s">
        <v>1719</v>
      </c>
      <c r="H465" s="11" t="s">
        <v>1718</v>
      </c>
      <c r="I465" s="11" t="s">
        <v>339</v>
      </c>
      <c r="J465" s="11" t="s">
        <v>1435</v>
      </c>
      <c r="K465" s="11" t="s">
        <v>1717</v>
      </c>
      <c r="L465" s="11"/>
      <c r="M465" s="11" t="s">
        <v>1716</v>
      </c>
      <c r="N465" s="11"/>
      <c r="O465" s="11"/>
      <c r="P465" s="11"/>
      <c r="Q465" s="11">
        <v>5</v>
      </c>
      <c r="R465" s="11">
        <v>6</v>
      </c>
      <c r="S465" s="11" t="s">
        <v>1716</v>
      </c>
    </row>
    <row r="466" spans="1:19" hidden="1" x14ac:dyDescent="0.15">
      <c r="A466" s="34">
        <v>465</v>
      </c>
      <c r="B466" s="35" t="s">
        <v>4883</v>
      </c>
      <c r="C466" s="36" t="s">
        <v>3170</v>
      </c>
      <c r="D466" s="11" t="s">
        <v>292</v>
      </c>
      <c r="E466" s="11" t="s">
        <v>1441</v>
      </c>
      <c r="F466" s="11">
        <v>15</v>
      </c>
      <c r="G466" s="11" t="s">
        <v>1715</v>
      </c>
      <c r="H466" s="11" t="s">
        <v>1714</v>
      </c>
      <c r="I466" s="11" t="s">
        <v>339</v>
      </c>
      <c r="J466" s="11" t="s">
        <v>1435</v>
      </c>
      <c r="K466" s="11"/>
      <c r="L466" s="11"/>
      <c r="M466" s="11" t="s">
        <v>1713</v>
      </c>
      <c r="N466" s="11"/>
      <c r="O466" s="11"/>
      <c r="P466" s="11"/>
      <c r="Q466" s="11">
        <v>5</v>
      </c>
      <c r="R466" s="11">
        <v>5</v>
      </c>
      <c r="S466" s="11" t="s">
        <v>1713</v>
      </c>
    </row>
    <row r="467" spans="1:19" hidden="1" x14ac:dyDescent="0.15">
      <c r="A467" s="34">
        <v>466</v>
      </c>
      <c r="B467" s="35" t="s">
        <v>4883</v>
      </c>
      <c r="C467" s="36" t="s">
        <v>3170</v>
      </c>
      <c r="D467" s="11" t="s">
        <v>292</v>
      </c>
      <c r="E467" s="11" t="s">
        <v>1441</v>
      </c>
      <c r="F467" s="11">
        <v>21</v>
      </c>
      <c r="G467" s="11" t="s">
        <v>1712</v>
      </c>
      <c r="H467" s="11" t="s">
        <v>1711</v>
      </c>
      <c r="I467" s="11" t="s">
        <v>339</v>
      </c>
      <c r="J467" s="11" t="s">
        <v>1435</v>
      </c>
      <c r="K467" s="11"/>
      <c r="L467" s="11"/>
      <c r="M467" s="11" t="s">
        <v>1710</v>
      </c>
      <c r="N467" s="11"/>
      <c r="O467" s="11"/>
      <c r="P467" s="11"/>
      <c r="Q467" s="11">
        <v>10</v>
      </c>
      <c r="R467" s="11">
        <v>10</v>
      </c>
      <c r="S467" s="11" t="s">
        <v>1710</v>
      </c>
    </row>
    <row r="468" spans="1:19" hidden="1" x14ac:dyDescent="0.15">
      <c r="A468" s="34">
        <v>467</v>
      </c>
      <c r="B468" s="35" t="s">
        <v>4883</v>
      </c>
      <c r="C468" s="36" t="s">
        <v>3170</v>
      </c>
      <c r="D468" s="11" t="s">
        <v>292</v>
      </c>
      <c r="E468" s="11" t="s">
        <v>1441</v>
      </c>
      <c r="F468" s="11">
        <v>18</v>
      </c>
      <c r="G468" s="11" t="s">
        <v>1709</v>
      </c>
      <c r="H468" s="11" t="s">
        <v>1708</v>
      </c>
      <c r="I468" s="11" t="s">
        <v>339</v>
      </c>
      <c r="J468" s="11" t="s">
        <v>1435</v>
      </c>
      <c r="K468" s="11"/>
      <c r="L468" s="11"/>
      <c r="M468" s="11" t="s">
        <v>1707</v>
      </c>
      <c r="N468" s="11"/>
      <c r="O468" s="11"/>
      <c r="P468" s="11"/>
      <c r="Q468" s="11">
        <v>8</v>
      </c>
      <c r="R468" s="11">
        <v>9</v>
      </c>
      <c r="S468" s="11" t="s">
        <v>1707</v>
      </c>
    </row>
    <row r="469" spans="1:19" hidden="1" x14ac:dyDescent="0.15">
      <c r="A469" s="34">
        <v>468</v>
      </c>
      <c r="B469" s="35" t="s">
        <v>4883</v>
      </c>
      <c r="C469" s="36" t="s">
        <v>3170</v>
      </c>
      <c r="D469" s="11" t="s">
        <v>292</v>
      </c>
      <c r="E469" s="11" t="s">
        <v>1441</v>
      </c>
      <c r="F469" s="11">
        <v>8</v>
      </c>
      <c r="G469" s="11" t="s">
        <v>1706</v>
      </c>
      <c r="H469" s="11" t="s">
        <v>1705</v>
      </c>
      <c r="I469" s="11" t="s">
        <v>339</v>
      </c>
      <c r="J469" s="11" t="s">
        <v>1435</v>
      </c>
      <c r="K469" s="11"/>
      <c r="L469" s="11"/>
      <c r="M469" s="11" t="s">
        <v>1704</v>
      </c>
      <c r="N469" s="11"/>
      <c r="O469" s="11"/>
      <c r="P469" s="11"/>
      <c r="Q469" s="11">
        <v>4</v>
      </c>
      <c r="R469" s="11">
        <v>4</v>
      </c>
      <c r="S469" s="11" t="s">
        <v>1704</v>
      </c>
    </row>
    <row r="470" spans="1:19" hidden="1" x14ac:dyDescent="0.15">
      <c r="A470" s="34">
        <v>469</v>
      </c>
      <c r="B470" s="35" t="s">
        <v>4883</v>
      </c>
      <c r="C470" s="36" t="s">
        <v>3170</v>
      </c>
      <c r="D470" s="11" t="s">
        <v>292</v>
      </c>
      <c r="E470" s="11" t="s">
        <v>1441</v>
      </c>
      <c r="F470" s="11">
        <v>3</v>
      </c>
      <c r="G470" s="11" t="s">
        <v>1703</v>
      </c>
      <c r="H470" s="11" t="s">
        <v>1702</v>
      </c>
      <c r="I470" s="11" t="s">
        <v>1453</v>
      </c>
      <c r="J470" s="11"/>
      <c r="K470" s="11"/>
      <c r="L470" s="11"/>
      <c r="M470" s="11" t="s">
        <v>1701</v>
      </c>
      <c r="N470" s="11"/>
      <c r="O470" s="11"/>
      <c r="P470" s="11"/>
      <c r="Q470" s="11"/>
      <c r="R470" s="11"/>
      <c r="S470" s="11" t="s">
        <v>1701</v>
      </c>
    </row>
    <row r="471" spans="1:19" hidden="1" x14ac:dyDescent="0.15">
      <c r="A471" s="34">
        <v>470</v>
      </c>
      <c r="B471" s="35" t="s">
        <v>4883</v>
      </c>
      <c r="C471" s="36" t="s">
        <v>3170</v>
      </c>
      <c r="D471" s="11" t="s">
        <v>292</v>
      </c>
      <c r="E471" s="11" t="s">
        <v>1441</v>
      </c>
      <c r="F471" s="11">
        <v>5</v>
      </c>
      <c r="G471" s="11" t="s">
        <v>1700</v>
      </c>
      <c r="H471" s="11" t="s">
        <v>1699</v>
      </c>
      <c r="I471" s="11" t="s">
        <v>1453</v>
      </c>
      <c r="J471" s="11"/>
      <c r="K471" s="11"/>
      <c r="L471" s="11"/>
      <c r="M471" s="11" t="s">
        <v>1698</v>
      </c>
      <c r="N471" s="11"/>
      <c r="O471" s="11"/>
      <c r="P471" s="11"/>
      <c r="Q471" s="11"/>
      <c r="R471" s="11"/>
      <c r="S471" s="11" t="s">
        <v>1698</v>
      </c>
    </row>
    <row r="472" spans="1:19" hidden="1" x14ac:dyDescent="0.15">
      <c r="A472" s="34">
        <v>471</v>
      </c>
      <c r="B472" s="35" t="s">
        <v>4883</v>
      </c>
      <c r="C472" s="36" t="s">
        <v>3170</v>
      </c>
      <c r="D472" s="11" t="s">
        <v>292</v>
      </c>
      <c r="E472" s="11" t="s">
        <v>1441</v>
      </c>
      <c r="F472" s="11">
        <v>2</v>
      </c>
      <c r="G472" s="11" t="s">
        <v>1697</v>
      </c>
      <c r="H472" s="11" t="s">
        <v>1696</v>
      </c>
      <c r="I472" s="11" t="s">
        <v>1453</v>
      </c>
      <c r="J472" s="11"/>
      <c r="K472" s="11"/>
      <c r="L472" s="11"/>
      <c r="M472" s="11" t="s">
        <v>1695</v>
      </c>
      <c r="N472" s="11"/>
      <c r="O472" s="11"/>
      <c r="P472" s="11"/>
      <c r="Q472" s="11"/>
      <c r="R472" s="11"/>
      <c r="S472" s="11" t="s">
        <v>1695</v>
      </c>
    </row>
    <row r="473" spans="1:19" hidden="1" x14ac:dyDescent="0.15">
      <c r="A473" s="34">
        <v>472</v>
      </c>
      <c r="B473" s="35" t="s">
        <v>4883</v>
      </c>
      <c r="C473" s="36" t="s">
        <v>3170</v>
      </c>
      <c r="D473" s="11" t="s">
        <v>292</v>
      </c>
      <c r="E473" s="11" t="s">
        <v>1441</v>
      </c>
      <c r="F473" s="11">
        <v>5</v>
      </c>
      <c r="G473" s="11" t="s">
        <v>1694</v>
      </c>
      <c r="H473" s="11" t="s">
        <v>1693</v>
      </c>
      <c r="I473" s="11" t="s">
        <v>288</v>
      </c>
      <c r="J473" s="11" t="s">
        <v>6250</v>
      </c>
      <c r="K473" s="11"/>
      <c r="L473" s="11"/>
      <c r="M473" s="11" t="s">
        <v>1692</v>
      </c>
      <c r="N473" s="11"/>
      <c r="O473" s="11"/>
      <c r="P473" s="11">
        <v>2</v>
      </c>
      <c r="Q473" s="11"/>
      <c r="R473" s="11"/>
      <c r="S473" s="11" t="s">
        <v>1692</v>
      </c>
    </row>
    <row r="474" spans="1:19" hidden="1" x14ac:dyDescent="0.15">
      <c r="A474" s="34">
        <v>473</v>
      </c>
      <c r="B474" s="35" t="s">
        <v>4883</v>
      </c>
      <c r="C474" s="36" t="s">
        <v>3170</v>
      </c>
      <c r="D474" s="11" t="s">
        <v>292</v>
      </c>
      <c r="E474" s="11" t="s">
        <v>1441</v>
      </c>
      <c r="F474" s="11">
        <v>5</v>
      </c>
      <c r="G474" s="11" t="s">
        <v>1691</v>
      </c>
      <c r="H474" s="11" t="s">
        <v>1690</v>
      </c>
      <c r="I474" s="11" t="s">
        <v>288</v>
      </c>
      <c r="J474" s="11" t="s">
        <v>6250</v>
      </c>
      <c r="K474" s="11" t="s">
        <v>6301</v>
      </c>
      <c r="L474" s="11" t="s">
        <v>6304</v>
      </c>
      <c r="M474" s="11" t="s">
        <v>1689</v>
      </c>
      <c r="N474" s="11"/>
      <c r="O474" s="11"/>
      <c r="P474" s="11">
        <v>2</v>
      </c>
      <c r="Q474" s="11"/>
      <c r="R474" s="11"/>
      <c r="S474" s="11" t="s">
        <v>1689</v>
      </c>
    </row>
    <row r="475" spans="1:19" hidden="1" x14ac:dyDescent="0.15">
      <c r="A475" s="34">
        <v>474</v>
      </c>
      <c r="B475" s="35" t="s">
        <v>4883</v>
      </c>
      <c r="C475" s="36" t="s">
        <v>3170</v>
      </c>
      <c r="D475" s="11" t="s">
        <v>292</v>
      </c>
      <c r="E475" s="11" t="s">
        <v>1441</v>
      </c>
      <c r="F475" s="11">
        <v>8</v>
      </c>
      <c r="G475" s="11" t="s">
        <v>1688</v>
      </c>
      <c r="H475" s="11" t="s">
        <v>1687</v>
      </c>
      <c r="I475" s="11" t="s">
        <v>288</v>
      </c>
      <c r="J475" s="11" t="s">
        <v>6250</v>
      </c>
      <c r="K475" s="11"/>
      <c r="L475" s="11"/>
      <c r="M475" s="11" t="s">
        <v>1686</v>
      </c>
      <c r="N475" s="11"/>
      <c r="O475" s="11"/>
      <c r="P475" s="11">
        <v>3</v>
      </c>
      <c r="Q475" s="11"/>
      <c r="R475" s="11"/>
      <c r="S475" s="11" t="s">
        <v>1686</v>
      </c>
    </row>
    <row r="476" spans="1:19" hidden="1" x14ac:dyDescent="0.15">
      <c r="A476" s="34">
        <v>475</v>
      </c>
      <c r="B476" s="35" t="s">
        <v>4883</v>
      </c>
      <c r="C476" s="36" t="s">
        <v>3170</v>
      </c>
      <c r="D476" s="11" t="s">
        <v>292</v>
      </c>
      <c r="E476" s="11" t="s">
        <v>1441</v>
      </c>
      <c r="F476" s="11">
        <v>5</v>
      </c>
      <c r="G476" s="11" t="s">
        <v>1685</v>
      </c>
      <c r="H476" s="11" t="s">
        <v>1684</v>
      </c>
      <c r="I476" s="11" t="s">
        <v>288</v>
      </c>
      <c r="J476" s="11" t="s">
        <v>6250</v>
      </c>
      <c r="K476" s="11"/>
      <c r="L476" s="11"/>
      <c r="M476" s="11" t="s">
        <v>1683</v>
      </c>
      <c r="N476" s="11"/>
      <c r="O476" s="11"/>
      <c r="P476" s="11">
        <v>2</v>
      </c>
      <c r="Q476" s="11"/>
      <c r="R476" s="11"/>
      <c r="S476" s="11" t="s">
        <v>1683</v>
      </c>
    </row>
    <row r="477" spans="1:19" hidden="1" x14ac:dyDescent="0.15">
      <c r="A477" s="34">
        <v>476</v>
      </c>
      <c r="B477" s="35" t="s">
        <v>4883</v>
      </c>
      <c r="C477" s="36" t="s">
        <v>3170</v>
      </c>
      <c r="D477" s="11" t="s">
        <v>292</v>
      </c>
      <c r="E477" s="11" t="s">
        <v>1441</v>
      </c>
      <c r="F477" s="11">
        <v>5</v>
      </c>
      <c r="G477" s="11" t="s">
        <v>1682</v>
      </c>
      <c r="H477" s="11" t="s">
        <v>1681</v>
      </c>
      <c r="I477" s="11" t="s">
        <v>288</v>
      </c>
      <c r="J477" s="11" t="s">
        <v>6250</v>
      </c>
      <c r="K477" s="11"/>
      <c r="L477" s="11"/>
      <c r="M477" s="11" t="s">
        <v>1680</v>
      </c>
      <c r="N477" s="11"/>
      <c r="O477" s="11"/>
      <c r="P477" s="11">
        <v>10</v>
      </c>
      <c r="Q477" s="11"/>
      <c r="R477" s="11"/>
      <c r="S477" s="11" t="s">
        <v>1680</v>
      </c>
    </row>
    <row r="478" spans="1:19" hidden="1" x14ac:dyDescent="0.15">
      <c r="A478" s="34">
        <v>477</v>
      </c>
      <c r="B478" s="35" t="s">
        <v>4883</v>
      </c>
      <c r="C478" s="36" t="s">
        <v>3170</v>
      </c>
      <c r="D478" s="11" t="s">
        <v>292</v>
      </c>
      <c r="E478" s="11" t="s">
        <v>1441</v>
      </c>
      <c r="F478" s="11">
        <v>7</v>
      </c>
      <c r="G478" s="11" t="s">
        <v>1679</v>
      </c>
      <c r="H478" s="11" t="s">
        <v>1678</v>
      </c>
      <c r="I478" s="11" t="s">
        <v>288</v>
      </c>
      <c r="J478" s="11" t="s">
        <v>6250</v>
      </c>
      <c r="K478" s="11"/>
      <c r="L478" s="11"/>
      <c r="M478" s="11" t="s">
        <v>1677</v>
      </c>
      <c r="N478" s="11"/>
      <c r="O478" s="11"/>
      <c r="P478" s="11">
        <v>3</v>
      </c>
      <c r="Q478" s="11"/>
      <c r="R478" s="11"/>
      <c r="S478" s="11" t="s">
        <v>1677</v>
      </c>
    </row>
    <row r="479" spans="1:19" hidden="1" x14ac:dyDescent="0.15">
      <c r="A479" s="34">
        <v>478</v>
      </c>
      <c r="B479" s="35" t="s">
        <v>4883</v>
      </c>
      <c r="C479" s="36" t="s">
        <v>3170</v>
      </c>
      <c r="D479" s="11" t="s">
        <v>292</v>
      </c>
      <c r="E479" s="11" t="s">
        <v>1441</v>
      </c>
      <c r="F479" s="11">
        <v>5</v>
      </c>
      <c r="G479" s="11" t="s">
        <v>1676</v>
      </c>
      <c r="H479" s="11" t="s">
        <v>1675</v>
      </c>
      <c r="I479" s="11" t="s">
        <v>288</v>
      </c>
      <c r="J479" s="11" t="s">
        <v>6250</v>
      </c>
      <c r="K479" s="11"/>
      <c r="L479" s="11"/>
      <c r="M479" s="11" t="s">
        <v>1674</v>
      </c>
      <c r="N479" s="11"/>
      <c r="O479" s="11"/>
      <c r="P479" s="11">
        <v>3</v>
      </c>
      <c r="Q479" s="11"/>
      <c r="R479" s="11"/>
      <c r="S479" s="11" t="s">
        <v>1674</v>
      </c>
    </row>
    <row r="480" spans="1:19" hidden="1" x14ac:dyDescent="0.15">
      <c r="A480" s="34">
        <v>479</v>
      </c>
      <c r="B480" s="35" t="s">
        <v>4883</v>
      </c>
      <c r="C480" s="36" t="s">
        <v>3170</v>
      </c>
      <c r="D480" s="11" t="s">
        <v>292</v>
      </c>
      <c r="E480" s="11" t="s">
        <v>1441</v>
      </c>
      <c r="F480" s="11">
        <v>5</v>
      </c>
      <c r="G480" s="11" t="s">
        <v>1673</v>
      </c>
      <c r="H480" s="11" t="s">
        <v>1672</v>
      </c>
      <c r="I480" s="11" t="s">
        <v>288</v>
      </c>
      <c r="J480" s="11" t="s">
        <v>6250</v>
      </c>
      <c r="K480" s="11"/>
      <c r="L480" s="11"/>
      <c r="M480" s="11" t="s">
        <v>1671</v>
      </c>
      <c r="N480" s="11"/>
      <c r="O480" s="11"/>
      <c r="P480" s="11">
        <v>2</v>
      </c>
      <c r="Q480" s="11"/>
      <c r="R480" s="11"/>
      <c r="S480" s="11" t="s">
        <v>1671</v>
      </c>
    </row>
    <row r="481" spans="1:19" hidden="1" x14ac:dyDescent="0.15">
      <c r="A481" s="34">
        <v>480</v>
      </c>
      <c r="B481" s="35" t="s">
        <v>4883</v>
      </c>
      <c r="C481" s="36" t="s">
        <v>3170</v>
      </c>
      <c r="D481" s="11" t="s">
        <v>292</v>
      </c>
      <c r="E481" s="11" t="s">
        <v>1441</v>
      </c>
      <c r="F481" s="11">
        <v>5</v>
      </c>
      <c r="G481" s="11" t="s">
        <v>1670</v>
      </c>
      <c r="H481" s="11" t="s">
        <v>1669</v>
      </c>
      <c r="I481" s="11" t="s">
        <v>288</v>
      </c>
      <c r="J481" s="11" t="s">
        <v>6250</v>
      </c>
      <c r="K481" s="11"/>
      <c r="L481" s="11"/>
      <c r="M481" s="11" t="s">
        <v>1668</v>
      </c>
      <c r="N481" s="11"/>
      <c r="O481" s="11"/>
      <c r="P481" s="11">
        <v>2</v>
      </c>
      <c r="Q481" s="11"/>
      <c r="R481" s="11"/>
      <c r="S481" s="11" t="s">
        <v>1668</v>
      </c>
    </row>
    <row r="482" spans="1:19" hidden="1" x14ac:dyDescent="0.15">
      <c r="A482" s="34">
        <v>481</v>
      </c>
      <c r="B482" s="35" t="s">
        <v>4883</v>
      </c>
      <c r="C482" s="36" t="s">
        <v>3170</v>
      </c>
      <c r="D482" s="11" t="s">
        <v>292</v>
      </c>
      <c r="E482" s="11" t="s">
        <v>1431</v>
      </c>
      <c r="F482" s="11">
        <v>18</v>
      </c>
      <c r="G482" s="11" t="s">
        <v>1667</v>
      </c>
      <c r="H482" s="11" t="s">
        <v>1666</v>
      </c>
      <c r="I482" s="11" t="s">
        <v>339</v>
      </c>
      <c r="J482" s="11" t="s">
        <v>1435</v>
      </c>
      <c r="K482" s="11"/>
      <c r="L482" s="11"/>
      <c r="M482" s="11" t="s">
        <v>1665</v>
      </c>
      <c r="N482" s="11"/>
      <c r="O482" s="11"/>
      <c r="P482" s="11"/>
      <c r="Q482" s="11">
        <v>9</v>
      </c>
      <c r="R482" s="11">
        <v>6</v>
      </c>
      <c r="S482" s="11" t="s">
        <v>1665</v>
      </c>
    </row>
    <row r="483" spans="1:19" hidden="1" x14ac:dyDescent="0.15">
      <c r="A483" s="34">
        <v>482</v>
      </c>
      <c r="B483" s="35" t="s">
        <v>4883</v>
      </c>
      <c r="C483" s="36" t="s">
        <v>3170</v>
      </c>
      <c r="D483" s="11" t="s">
        <v>292</v>
      </c>
      <c r="E483" s="11" t="s">
        <v>1431</v>
      </c>
      <c r="F483" s="11">
        <v>14</v>
      </c>
      <c r="G483" s="11" t="s">
        <v>1664</v>
      </c>
      <c r="H483" s="11" t="s">
        <v>1663</v>
      </c>
      <c r="I483" s="11" t="s">
        <v>339</v>
      </c>
      <c r="J483" s="11" t="s">
        <v>1435</v>
      </c>
      <c r="K483" s="11"/>
      <c r="L483" s="11"/>
      <c r="M483" s="11" t="s">
        <v>1662</v>
      </c>
      <c r="N483" s="11"/>
      <c r="O483" s="11"/>
      <c r="P483" s="11"/>
      <c r="Q483" s="11">
        <v>6</v>
      </c>
      <c r="R483" s="11">
        <v>9</v>
      </c>
      <c r="S483" s="11" t="s">
        <v>1662</v>
      </c>
    </row>
    <row r="484" spans="1:19" hidden="1" x14ac:dyDescent="0.15">
      <c r="A484" s="34">
        <v>483</v>
      </c>
      <c r="B484" s="35" t="s">
        <v>4883</v>
      </c>
      <c r="C484" s="36" t="s">
        <v>3170</v>
      </c>
      <c r="D484" s="11" t="s">
        <v>292</v>
      </c>
      <c r="E484" s="11" t="s">
        <v>1431</v>
      </c>
      <c r="F484" s="11">
        <v>21</v>
      </c>
      <c r="G484" s="11" t="s">
        <v>1661</v>
      </c>
      <c r="H484" s="11" t="s">
        <v>1660</v>
      </c>
      <c r="I484" s="11" t="s">
        <v>339</v>
      </c>
      <c r="J484" s="11" t="s">
        <v>1435</v>
      </c>
      <c r="K484" s="11"/>
      <c r="L484" s="11"/>
      <c r="M484" s="11" t="s">
        <v>1659</v>
      </c>
      <c r="N484" s="11"/>
      <c r="O484" s="11"/>
      <c r="P484" s="11"/>
      <c r="Q484" s="11">
        <v>10</v>
      </c>
      <c r="R484" s="11">
        <v>10</v>
      </c>
      <c r="S484" s="11" t="s">
        <v>1659</v>
      </c>
    </row>
    <row r="485" spans="1:19" hidden="1" x14ac:dyDescent="0.15">
      <c r="A485" s="34">
        <v>484</v>
      </c>
      <c r="B485" s="35" t="s">
        <v>4883</v>
      </c>
      <c r="C485" s="36" t="s">
        <v>3170</v>
      </c>
      <c r="D485" s="11" t="s">
        <v>292</v>
      </c>
      <c r="E485" s="11" t="s">
        <v>1431</v>
      </c>
      <c r="F485" s="11">
        <v>25</v>
      </c>
      <c r="G485" s="11" t="s">
        <v>1658</v>
      </c>
      <c r="H485" s="11" t="s">
        <v>1657</v>
      </c>
      <c r="I485" s="11" t="s">
        <v>339</v>
      </c>
      <c r="J485" s="11" t="s">
        <v>1435</v>
      </c>
      <c r="K485" s="11"/>
      <c r="L485" s="11"/>
      <c r="M485" s="11" t="s">
        <v>1656</v>
      </c>
      <c r="N485" s="11"/>
      <c r="O485" s="11"/>
      <c r="P485" s="11"/>
      <c r="Q485" s="11">
        <v>11</v>
      </c>
      <c r="R485" s="11">
        <v>9</v>
      </c>
      <c r="S485" s="11" t="s">
        <v>1656</v>
      </c>
    </row>
    <row r="486" spans="1:19" hidden="1" x14ac:dyDescent="0.15">
      <c r="A486" s="34">
        <v>485</v>
      </c>
      <c r="B486" s="35" t="s">
        <v>4883</v>
      </c>
      <c r="C486" s="36" t="s">
        <v>3171</v>
      </c>
      <c r="D486" s="11" t="s">
        <v>1627</v>
      </c>
      <c r="E486" s="11" t="s">
        <v>1451</v>
      </c>
      <c r="F486" s="11">
        <v>7</v>
      </c>
      <c r="G486" s="11" t="s">
        <v>1655</v>
      </c>
      <c r="H486" s="11" t="s">
        <v>1654</v>
      </c>
      <c r="I486" s="11" t="s">
        <v>1453</v>
      </c>
      <c r="J486" s="11"/>
      <c r="K486" s="11"/>
      <c r="L486" s="11"/>
      <c r="M486" s="11" t="s">
        <v>1653</v>
      </c>
      <c r="N486" s="11"/>
      <c r="O486" s="11"/>
      <c r="P486" s="11"/>
      <c r="Q486" s="11"/>
      <c r="R486" s="11"/>
      <c r="S486" s="11" t="s">
        <v>1653</v>
      </c>
    </row>
    <row r="487" spans="1:19" hidden="1" x14ac:dyDescent="0.15">
      <c r="A487" s="34">
        <v>486</v>
      </c>
      <c r="B487" s="35" t="s">
        <v>4883</v>
      </c>
      <c r="C487" s="36" t="s">
        <v>3171</v>
      </c>
      <c r="D487" s="11" t="s">
        <v>1627</v>
      </c>
      <c r="E487" s="11" t="s">
        <v>1451</v>
      </c>
      <c r="F487" s="11">
        <v>10</v>
      </c>
      <c r="G487" s="11" t="s">
        <v>1652</v>
      </c>
      <c r="H487" s="11" t="s">
        <v>1651</v>
      </c>
      <c r="I487" s="11" t="s">
        <v>1453</v>
      </c>
      <c r="J487" s="11"/>
      <c r="K487" s="11"/>
      <c r="L487" s="11"/>
      <c r="M487" s="11" t="s">
        <v>1650</v>
      </c>
      <c r="N487" s="11"/>
      <c r="O487" s="11"/>
      <c r="P487" s="11"/>
      <c r="Q487" s="11"/>
      <c r="R487" s="11"/>
      <c r="S487" s="11" t="s">
        <v>1650</v>
      </c>
    </row>
    <row r="488" spans="1:19" hidden="1" x14ac:dyDescent="0.15">
      <c r="A488" s="34">
        <v>487</v>
      </c>
      <c r="B488" s="35" t="s">
        <v>4883</v>
      </c>
      <c r="C488" s="36" t="s">
        <v>3171</v>
      </c>
      <c r="D488" s="11" t="s">
        <v>1627</v>
      </c>
      <c r="E488" s="11" t="s">
        <v>1451</v>
      </c>
      <c r="F488" s="11">
        <v>15</v>
      </c>
      <c r="G488" s="11" t="s">
        <v>1649</v>
      </c>
      <c r="H488" s="11" t="s">
        <v>1648</v>
      </c>
      <c r="I488" s="11" t="s">
        <v>1453</v>
      </c>
      <c r="J488" s="11"/>
      <c r="K488" s="11"/>
      <c r="L488" s="11"/>
      <c r="M488" s="11" t="s">
        <v>1647</v>
      </c>
      <c r="N488" s="11"/>
      <c r="O488" s="11"/>
      <c r="P488" s="11"/>
      <c r="Q488" s="11"/>
      <c r="R488" s="11"/>
      <c r="S488" s="11" t="s">
        <v>1647</v>
      </c>
    </row>
    <row r="489" spans="1:19" hidden="1" x14ac:dyDescent="0.15">
      <c r="A489" s="34">
        <v>488</v>
      </c>
      <c r="B489" s="35" t="s">
        <v>4883</v>
      </c>
      <c r="C489" s="36" t="s">
        <v>3171</v>
      </c>
      <c r="D489" s="11" t="s">
        <v>1627</v>
      </c>
      <c r="E489" s="11" t="s">
        <v>1441</v>
      </c>
      <c r="F489" s="11">
        <v>14</v>
      </c>
      <c r="G489" s="11" t="s">
        <v>1646</v>
      </c>
      <c r="H489" s="11" t="s">
        <v>1645</v>
      </c>
      <c r="I489" s="11" t="s">
        <v>339</v>
      </c>
      <c r="J489" s="11" t="s">
        <v>1471</v>
      </c>
      <c r="K489" s="11" t="s">
        <v>1533</v>
      </c>
      <c r="L489" s="11" t="s">
        <v>1478</v>
      </c>
      <c r="M489" s="11" t="s">
        <v>1644</v>
      </c>
      <c r="N489" s="11"/>
      <c r="O489" s="11"/>
      <c r="P489" s="11"/>
      <c r="Q489" s="11">
        <v>4</v>
      </c>
      <c r="R489" s="11">
        <v>4</v>
      </c>
      <c r="S489" s="11" t="s">
        <v>1644</v>
      </c>
    </row>
    <row r="490" spans="1:19" hidden="1" x14ac:dyDescent="0.15">
      <c r="A490" s="34">
        <v>489</v>
      </c>
      <c r="B490" s="35" t="s">
        <v>4883</v>
      </c>
      <c r="C490" s="36" t="s">
        <v>3171</v>
      </c>
      <c r="D490" s="11" t="s">
        <v>1627</v>
      </c>
      <c r="E490" s="11" t="s">
        <v>1441</v>
      </c>
      <c r="F490" s="11">
        <v>17</v>
      </c>
      <c r="G490" s="11" t="s">
        <v>1643</v>
      </c>
      <c r="H490" s="11" t="s">
        <v>1642</v>
      </c>
      <c r="I490" s="11" t="s">
        <v>339</v>
      </c>
      <c r="J490" s="11" t="s">
        <v>1471</v>
      </c>
      <c r="K490" s="11" t="s">
        <v>1641</v>
      </c>
      <c r="L490" s="11" t="s">
        <v>1478</v>
      </c>
      <c r="M490" s="11" t="s">
        <v>1640</v>
      </c>
      <c r="N490" s="11" t="s">
        <v>1639</v>
      </c>
      <c r="O490" s="11"/>
      <c r="P490" s="11"/>
      <c r="Q490" s="11">
        <v>4</v>
      </c>
      <c r="R490" s="11">
        <v>4</v>
      </c>
      <c r="S490" s="11" t="s">
        <v>1638</v>
      </c>
    </row>
    <row r="491" spans="1:19" hidden="1" x14ac:dyDescent="0.15">
      <c r="A491" s="34">
        <v>490</v>
      </c>
      <c r="B491" s="35" t="s">
        <v>4883</v>
      </c>
      <c r="C491" s="36" t="s">
        <v>3171</v>
      </c>
      <c r="D491" s="11" t="s">
        <v>1627</v>
      </c>
      <c r="E491" s="11" t="s">
        <v>1441</v>
      </c>
      <c r="F491" s="11">
        <v>5</v>
      </c>
      <c r="G491" s="11" t="s">
        <v>1637</v>
      </c>
      <c r="H491" s="11" t="s">
        <v>1636</v>
      </c>
      <c r="I491" s="11" t="s">
        <v>288</v>
      </c>
      <c r="J491" s="11"/>
      <c r="K491" s="11"/>
      <c r="L491" s="11"/>
      <c r="M491" s="11" t="s">
        <v>1635</v>
      </c>
      <c r="N491" s="11" t="s">
        <v>1634</v>
      </c>
      <c r="O491" s="11"/>
      <c r="P491" s="11">
        <v>3</v>
      </c>
      <c r="Q491" s="11"/>
      <c r="R491" s="11"/>
      <c r="S491" s="11" t="s">
        <v>1633</v>
      </c>
    </row>
    <row r="492" spans="1:19" hidden="1" x14ac:dyDescent="0.15">
      <c r="A492" s="34">
        <v>491</v>
      </c>
      <c r="B492" s="35" t="s">
        <v>4883</v>
      </c>
      <c r="C492" s="36" t="s">
        <v>3171</v>
      </c>
      <c r="D492" s="11" t="s">
        <v>1627</v>
      </c>
      <c r="E492" s="11" t="s">
        <v>1431</v>
      </c>
      <c r="F492" s="11">
        <v>20</v>
      </c>
      <c r="G492" s="11" t="s">
        <v>1632</v>
      </c>
      <c r="H492" s="11" t="s">
        <v>1631</v>
      </c>
      <c r="I492" s="11" t="s">
        <v>339</v>
      </c>
      <c r="J492" s="11" t="s">
        <v>1489</v>
      </c>
      <c r="K492" s="11" t="s">
        <v>1478</v>
      </c>
      <c r="L492" s="11"/>
      <c r="M492" s="11" t="s">
        <v>1630</v>
      </c>
      <c r="N492" s="11" t="s">
        <v>1629</v>
      </c>
      <c r="O492" s="11"/>
      <c r="P492" s="11"/>
      <c r="Q492" s="11">
        <v>4</v>
      </c>
      <c r="R492" s="11">
        <v>4</v>
      </c>
      <c r="S492" s="11" t="s">
        <v>1628</v>
      </c>
    </row>
    <row r="493" spans="1:19" hidden="1" x14ac:dyDescent="0.15">
      <c r="A493" s="34">
        <v>492</v>
      </c>
      <c r="B493" s="35" t="s">
        <v>4883</v>
      </c>
      <c r="C493" s="36" t="s">
        <v>3171</v>
      </c>
      <c r="D493" s="11" t="s">
        <v>1627</v>
      </c>
      <c r="E493" s="11" t="s">
        <v>1431</v>
      </c>
      <c r="F493" s="11">
        <v>17</v>
      </c>
      <c r="G493" s="11" t="s">
        <v>1626</v>
      </c>
      <c r="H493" s="11" t="s">
        <v>1625</v>
      </c>
      <c r="I493" s="11" t="s">
        <v>339</v>
      </c>
      <c r="J493" s="11" t="s">
        <v>348</v>
      </c>
      <c r="K493" s="11"/>
      <c r="L493" s="11"/>
      <c r="M493" s="11" t="s">
        <v>3357</v>
      </c>
      <c r="N493" s="11" t="s">
        <v>1624</v>
      </c>
      <c r="O493" s="11" t="s">
        <v>1623</v>
      </c>
      <c r="P493" s="11"/>
      <c r="Q493" s="11">
        <v>8</v>
      </c>
      <c r="R493" s="11">
        <v>8</v>
      </c>
      <c r="S493" s="11" t="s">
        <v>3401</v>
      </c>
    </row>
    <row r="494" spans="1:19" hidden="1" x14ac:dyDescent="0.15">
      <c r="A494" s="34">
        <v>493</v>
      </c>
      <c r="B494" s="35" t="s">
        <v>4883</v>
      </c>
      <c r="C494" s="36" t="s">
        <v>3171</v>
      </c>
      <c r="D494" s="11" t="s">
        <v>1606</v>
      </c>
      <c r="E494" s="11" t="s">
        <v>1451</v>
      </c>
      <c r="F494" s="11">
        <v>11</v>
      </c>
      <c r="G494" s="11" t="s">
        <v>1622</v>
      </c>
      <c r="H494" s="11" t="s">
        <v>1621</v>
      </c>
      <c r="I494" s="11" t="s">
        <v>339</v>
      </c>
      <c r="J494" s="11" t="s">
        <v>1537</v>
      </c>
      <c r="K494" s="11"/>
      <c r="L494" s="11"/>
      <c r="M494" s="11" t="s">
        <v>351</v>
      </c>
      <c r="N494" s="11" t="s">
        <v>1620</v>
      </c>
      <c r="O494" s="11"/>
      <c r="P494" s="11"/>
      <c r="Q494" s="11">
        <v>3</v>
      </c>
      <c r="R494" s="11">
        <v>4</v>
      </c>
      <c r="S494" s="11" t="s">
        <v>3402</v>
      </c>
    </row>
    <row r="495" spans="1:19" hidden="1" x14ac:dyDescent="0.15">
      <c r="A495" s="34">
        <v>494</v>
      </c>
      <c r="B495" s="35" t="s">
        <v>4883</v>
      </c>
      <c r="C495" s="36" t="s">
        <v>3171</v>
      </c>
      <c r="D495" s="11" t="s">
        <v>1606</v>
      </c>
      <c r="E495" s="11" t="s">
        <v>1441</v>
      </c>
      <c r="F495" s="11">
        <v>16</v>
      </c>
      <c r="G495" s="11" t="s">
        <v>1619</v>
      </c>
      <c r="H495" s="11" t="s">
        <v>1618</v>
      </c>
      <c r="I495" s="11" t="s">
        <v>339</v>
      </c>
      <c r="J495" s="11" t="s">
        <v>1435</v>
      </c>
      <c r="K495" s="11"/>
      <c r="L495" s="11"/>
      <c r="M495" s="11" t="s">
        <v>3317</v>
      </c>
      <c r="N495" s="11" t="s">
        <v>1617</v>
      </c>
      <c r="O495" s="11" t="s">
        <v>1616</v>
      </c>
      <c r="P495" s="11"/>
      <c r="Q495" s="11">
        <v>4</v>
      </c>
      <c r="R495" s="11">
        <v>4</v>
      </c>
      <c r="S495" s="11" t="s">
        <v>3403</v>
      </c>
    </row>
    <row r="496" spans="1:19" hidden="1" x14ac:dyDescent="0.15">
      <c r="A496" s="34">
        <v>495</v>
      </c>
      <c r="B496" s="35" t="s">
        <v>4883</v>
      </c>
      <c r="C496" s="36" t="s">
        <v>3171</v>
      </c>
      <c r="D496" s="11" t="s">
        <v>1606</v>
      </c>
      <c r="E496" s="11" t="s">
        <v>1441</v>
      </c>
      <c r="F496" s="11">
        <v>8</v>
      </c>
      <c r="G496" s="11" t="s">
        <v>1615</v>
      </c>
      <c r="H496" s="11" t="s">
        <v>1614</v>
      </c>
      <c r="I496" s="11" t="s">
        <v>288</v>
      </c>
      <c r="J496" s="11"/>
      <c r="K496" s="11"/>
      <c r="L496" s="11"/>
      <c r="M496" s="11" t="s">
        <v>1613</v>
      </c>
      <c r="N496" s="11" t="s">
        <v>1612</v>
      </c>
      <c r="O496" s="11"/>
      <c r="P496" s="11">
        <v>3</v>
      </c>
      <c r="Q496" s="11"/>
      <c r="R496" s="11"/>
      <c r="S496" s="11" t="s">
        <v>1611</v>
      </c>
    </row>
    <row r="497" spans="1:19" hidden="1" x14ac:dyDescent="0.15">
      <c r="A497" s="34">
        <v>496</v>
      </c>
      <c r="B497" s="35" t="s">
        <v>4883</v>
      </c>
      <c r="C497" s="36" t="s">
        <v>3171</v>
      </c>
      <c r="D497" s="11" t="s">
        <v>1606</v>
      </c>
      <c r="E497" s="11" t="s">
        <v>1431</v>
      </c>
      <c r="F497" s="11">
        <v>19</v>
      </c>
      <c r="G497" s="11" t="s">
        <v>1610</v>
      </c>
      <c r="H497" s="11" t="s">
        <v>1609</v>
      </c>
      <c r="I497" s="11" t="s">
        <v>339</v>
      </c>
      <c r="J497" s="11" t="s">
        <v>1608</v>
      </c>
      <c r="K497" s="11"/>
      <c r="L497" s="11"/>
      <c r="M497" s="11" t="s">
        <v>3404</v>
      </c>
      <c r="N497" s="11" t="s">
        <v>1607</v>
      </c>
      <c r="O497" s="11"/>
      <c r="P497" s="11"/>
      <c r="Q497" s="11">
        <v>5</v>
      </c>
      <c r="R497" s="11">
        <v>5</v>
      </c>
      <c r="S497" s="11" t="s">
        <v>3405</v>
      </c>
    </row>
    <row r="498" spans="1:19" hidden="1" x14ac:dyDescent="0.15">
      <c r="A498" s="34">
        <v>497</v>
      </c>
      <c r="B498" s="35" t="s">
        <v>4883</v>
      </c>
      <c r="C498" s="36" t="s">
        <v>3171</v>
      </c>
      <c r="D498" s="11" t="s">
        <v>1606</v>
      </c>
      <c r="E498" s="11" t="s">
        <v>1431</v>
      </c>
      <c r="F498" s="11">
        <v>21</v>
      </c>
      <c r="G498" s="11" t="s">
        <v>1605</v>
      </c>
      <c r="H498" s="11" t="s">
        <v>1604</v>
      </c>
      <c r="I498" s="11" t="s">
        <v>1453</v>
      </c>
      <c r="J498" s="11"/>
      <c r="K498" s="11"/>
      <c r="L498" s="11"/>
      <c r="M498" s="11" t="s">
        <v>1575</v>
      </c>
      <c r="N498" s="11" t="s">
        <v>1603</v>
      </c>
      <c r="O498" s="11" t="s">
        <v>1602</v>
      </c>
      <c r="P498" s="11"/>
      <c r="Q498" s="11"/>
      <c r="R498" s="11"/>
      <c r="S498" s="11" t="s">
        <v>1601</v>
      </c>
    </row>
    <row r="499" spans="1:19" hidden="1" x14ac:dyDescent="0.15">
      <c r="A499" s="34">
        <v>498</v>
      </c>
      <c r="B499" s="35" t="s">
        <v>4883</v>
      </c>
      <c r="C499" s="36" t="s">
        <v>3171</v>
      </c>
      <c r="D499" s="11" t="s">
        <v>1582</v>
      </c>
      <c r="E499" s="11" t="s">
        <v>1451</v>
      </c>
      <c r="F499" s="11">
        <v>9</v>
      </c>
      <c r="G499" s="11" t="s">
        <v>1600</v>
      </c>
      <c r="H499" s="11" t="s">
        <v>1599</v>
      </c>
      <c r="I499" s="11" t="s">
        <v>339</v>
      </c>
      <c r="J499" s="11" t="s">
        <v>1435</v>
      </c>
      <c r="K499" s="11" t="s">
        <v>1501</v>
      </c>
      <c r="L499" s="11"/>
      <c r="M499" s="11" t="s">
        <v>1598</v>
      </c>
      <c r="N499" s="11"/>
      <c r="O499" s="11"/>
      <c r="P499" s="11"/>
      <c r="Q499" s="11">
        <v>5</v>
      </c>
      <c r="R499" s="11">
        <v>4</v>
      </c>
      <c r="S499" s="11" t="s">
        <v>1598</v>
      </c>
    </row>
    <row r="500" spans="1:19" hidden="1" x14ac:dyDescent="0.15">
      <c r="A500" s="34">
        <v>499</v>
      </c>
      <c r="B500" s="35" t="s">
        <v>4883</v>
      </c>
      <c r="C500" s="36" t="s">
        <v>3171</v>
      </c>
      <c r="D500" s="11" t="s">
        <v>1582</v>
      </c>
      <c r="E500" s="11" t="s">
        <v>1451</v>
      </c>
      <c r="F500" s="11">
        <v>22</v>
      </c>
      <c r="G500" s="11" t="s">
        <v>1597</v>
      </c>
      <c r="H500" s="11" t="s">
        <v>1596</v>
      </c>
      <c r="I500" s="11" t="s">
        <v>1453</v>
      </c>
      <c r="J500" s="11"/>
      <c r="K500" s="11"/>
      <c r="L500" s="11"/>
      <c r="M500" s="11" t="s">
        <v>3317</v>
      </c>
      <c r="N500" s="11" t="s">
        <v>1595</v>
      </c>
      <c r="O500" s="11"/>
      <c r="P500" s="11"/>
      <c r="Q500" s="11"/>
      <c r="R500" s="11"/>
      <c r="S500" s="11" t="s">
        <v>3406</v>
      </c>
    </row>
    <row r="501" spans="1:19" hidden="1" x14ac:dyDescent="0.15">
      <c r="A501" s="34">
        <v>500</v>
      </c>
      <c r="B501" s="35" t="s">
        <v>4883</v>
      </c>
      <c r="C501" s="36" t="s">
        <v>3171</v>
      </c>
      <c r="D501" s="11" t="s">
        <v>1582</v>
      </c>
      <c r="E501" s="11" t="s">
        <v>1441</v>
      </c>
      <c r="F501" s="11">
        <v>20</v>
      </c>
      <c r="G501" s="11" t="s">
        <v>1594</v>
      </c>
      <c r="H501" s="11" t="s">
        <v>1593</v>
      </c>
      <c r="I501" s="11" t="s">
        <v>339</v>
      </c>
      <c r="J501" s="11" t="s">
        <v>1494</v>
      </c>
      <c r="K501" s="11" t="s">
        <v>1493</v>
      </c>
      <c r="L501" s="11" t="s">
        <v>1478</v>
      </c>
      <c r="M501" s="11" t="s">
        <v>1592</v>
      </c>
      <c r="N501" s="11"/>
      <c r="O501" s="11"/>
      <c r="P501" s="11"/>
      <c r="Q501" s="11">
        <v>6</v>
      </c>
      <c r="R501" s="11">
        <v>6</v>
      </c>
      <c r="S501" s="11" t="s">
        <v>1592</v>
      </c>
    </row>
    <row r="502" spans="1:19" hidden="1" x14ac:dyDescent="0.15">
      <c r="A502" s="34">
        <v>501</v>
      </c>
      <c r="B502" s="35" t="s">
        <v>4883</v>
      </c>
      <c r="C502" s="36" t="s">
        <v>3171</v>
      </c>
      <c r="D502" s="11" t="s">
        <v>1582</v>
      </c>
      <c r="E502" s="11" t="s">
        <v>1441</v>
      </c>
      <c r="F502" s="11">
        <v>20</v>
      </c>
      <c r="G502" s="11" t="s">
        <v>1591</v>
      </c>
      <c r="H502" s="11" t="s">
        <v>1590</v>
      </c>
      <c r="I502" s="11" t="s">
        <v>1453</v>
      </c>
      <c r="J502" s="11"/>
      <c r="K502" s="11"/>
      <c r="L502" s="11"/>
      <c r="M502" s="11" t="s">
        <v>1589</v>
      </c>
      <c r="N502" s="11" t="s">
        <v>1588</v>
      </c>
      <c r="O502" s="11"/>
      <c r="P502" s="11"/>
      <c r="Q502" s="11"/>
      <c r="R502" s="11"/>
      <c r="S502" s="11" t="s">
        <v>1587</v>
      </c>
    </row>
    <row r="503" spans="1:19" hidden="1" x14ac:dyDescent="0.15">
      <c r="A503" s="34">
        <v>502</v>
      </c>
      <c r="B503" s="35" t="s">
        <v>4883</v>
      </c>
      <c r="C503" s="36" t="s">
        <v>3171</v>
      </c>
      <c r="D503" s="11" t="s">
        <v>1582</v>
      </c>
      <c r="E503" s="11" t="s">
        <v>1431</v>
      </c>
      <c r="F503" s="11">
        <v>23</v>
      </c>
      <c r="G503" s="11" t="s">
        <v>1586</v>
      </c>
      <c r="H503" s="11" t="s">
        <v>1585</v>
      </c>
      <c r="I503" s="11" t="s">
        <v>339</v>
      </c>
      <c r="J503" s="11" t="s">
        <v>1435</v>
      </c>
      <c r="K503" s="11"/>
      <c r="L503" s="11"/>
      <c r="M503" s="11" t="s">
        <v>3319</v>
      </c>
      <c r="N503" s="11" t="s">
        <v>1584</v>
      </c>
      <c r="O503" s="11" t="s">
        <v>1583</v>
      </c>
      <c r="P503" s="11"/>
      <c r="Q503" s="11">
        <v>8</v>
      </c>
      <c r="R503" s="11">
        <v>8</v>
      </c>
      <c r="S503" s="11" t="s">
        <v>3407</v>
      </c>
    </row>
    <row r="504" spans="1:19" hidden="1" x14ac:dyDescent="0.15">
      <c r="A504" s="34">
        <v>503</v>
      </c>
      <c r="B504" s="35" t="s">
        <v>4883</v>
      </c>
      <c r="C504" s="36" t="s">
        <v>3171</v>
      </c>
      <c r="D504" s="11" t="s">
        <v>1582</v>
      </c>
      <c r="E504" s="11" t="s">
        <v>1431</v>
      </c>
      <c r="F504" s="11">
        <v>12</v>
      </c>
      <c r="G504" s="11" t="s">
        <v>1581</v>
      </c>
      <c r="H504" s="11" t="s">
        <v>1580</v>
      </c>
      <c r="I504" s="11" t="s">
        <v>339</v>
      </c>
      <c r="J504" s="11" t="s">
        <v>1494</v>
      </c>
      <c r="K504" s="11" t="s">
        <v>1493</v>
      </c>
      <c r="L504" s="11"/>
      <c r="M504" s="11" t="s">
        <v>3109</v>
      </c>
      <c r="N504" s="11" t="s">
        <v>1579</v>
      </c>
      <c r="O504" s="11" t="s">
        <v>1578</v>
      </c>
      <c r="P504" s="11"/>
      <c r="Q504" s="11">
        <v>3</v>
      </c>
      <c r="R504" s="11">
        <v>4</v>
      </c>
      <c r="S504" s="11" t="s">
        <v>3408</v>
      </c>
    </row>
    <row r="505" spans="1:19" hidden="1" x14ac:dyDescent="0.15">
      <c r="A505" s="34">
        <v>504</v>
      </c>
      <c r="B505" s="35" t="s">
        <v>4883</v>
      </c>
      <c r="C505" s="36" t="s">
        <v>3171</v>
      </c>
      <c r="D505" s="11" t="s">
        <v>1552</v>
      </c>
      <c r="E505" s="11" t="s">
        <v>1451</v>
      </c>
      <c r="F505" s="11">
        <v>7</v>
      </c>
      <c r="G505" s="11" t="s">
        <v>1577</v>
      </c>
      <c r="H505" s="11" t="s">
        <v>1576</v>
      </c>
      <c r="I505" s="11" t="s">
        <v>339</v>
      </c>
      <c r="J505" s="11" t="s">
        <v>1564</v>
      </c>
      <c r="K505" s="11" t="s">
        <v>1493</v>
      </c>
      <c r="L505" s="11" t="s">
        <v>1478</v>
      </c>
      <c r="M505" s="11" t="s">
        <v>1575</v>
      </c>
      <c r="N505" s="11" t="s">
        <v>1574</v>
      </c>
      <c r="O505" s="11"/>
      <c r="P505" s="11"/>
      <c r="Q505" s="11">
        <v>4</v>
      </c>
      <c r="R505" s="11">
        <v>3</v>
      </c>
      <c r="S505" s="11" t="s">
        <v>1573</v>
      </c>
    </row>
    <row r="506" spans="1:19" hidden="1" x14ac:dyDescent="0.15">
      <c r="A506" s="34">
        <v>505</v>
      </c>
      <c r="B506" s="35" t="s">
        <v>4883</v>
      </c>
      <c r="C506" s="36" t="s">
        <v>3171</v>
      </c>
      <c r="D506" s="11" t="s">
        <v>1552</v>
      </c>
      <c r="E506" s="11" t="s">
        <v>1451</v>
      </c>
      <c r="F506" s="11">
        <v>3</v>
      </c>
      <c r="G506" s="11" t="s">
        <v>1572</v>
      </c>
      <c r="H506" s="11" t="s">
        <v>1571</v>
      </c>
      <c r="I506" s="11" t="s">
        <v>1453</v>
      </c>
      <c r="J506" s="11"/>
      <c r="K506" s="11"/>
      <c r="L506" s="11"/>
      <c r="M506" s="11" t="s">
        <v>1570</v>
      </c>
      <c r="N506" s="11"/>
      <c r="O506" s="11"/>
      <c r="P506" s="11"/>
      <c r="Q506" s="11"/>
      <c r="R506" s="11"/>
      <c r="S506" s="11" t="s">
        <v>1570</v>
      </c>
    </row>
    <row r="507" spans="1:19" hidden="1" x14ac:dyDescent="0.15">
      <c r="A507" s="34">
        <v>506</v>
      </c>
      <c r="B507" s="35" t="s">
        <v>4883</v>
      </c>
      <c r="C507" s="36" t="s">
        <v>3171</v>
      </c>
      <c r="D507" s="11" t="s">
        <v>1552</v>
      </c>
      <c r="E507" s="11" t="s">
        <v>1451</v>
      </c>
      <c r="F507" s="11">
        <v>5</v>
      </c>
      <c r="G507" s="11" t="s">
        <v>1569</v>
      </c>
      <c r="H507" s="11" t="s">
        <v>1568</v>
      </c>
      <c r="I507" s="11" t="s">
        <v>288</v>
      </c>
      <c r="J507" s="11"/>
      <c r="K507" s="11"/>
      <c r="L507" s="11"/>
      <c r="M507" s="11" t="s">
        <v>1567</v>
      </c>
      <c r="N507" s="11"/>
      <c r="O507" s="11"/>
      <c r="P507" s="11">
        <v>2</v>
      </c>
      <c r="Q507" s="11"/>
      <c r="R507" s="11"/>
      <c r="S507" s="11" t="s">
        <v>1567</v>
      </c>
    </row>
    <row r="508" spans="1:19" hidden="1" x14ac:dyDescent="0.15">
      <c r="A508" s="34">
        <v>507</v>
      </c>
      <c r="B508" s="35" t="s">
        <v>4883</v>
      </c>
      <c r="C508" s="36" t="s">
        <v>3171</v>
      </c>
      <c r="D508" s="11" t="s">
        <v>1552</v>
      </c>
      <c r="E508" s="11" t="s">
        <v>1441</v>
      </c>
      <c r="F508" s="11">
        <v>13</v>
      </c>
      <c r="G508" s="11" t="s">
        <v>1566</v>
      </c>
      <c r="H508" s="11" t="s">
        <v>1565</v>
      </c>
      <c r="I508" s="11" t="s">
        <v>339</v>
      </c>
      <c r="J508" s="11" t="s">
        <v>1564</v>
      </c>
      <c r="K508" s="11"/>
      <c r="L508" s="11"/>
      <c r="M508" s="11" t="s">
        <v>2048</v>
      </c>
      <c r="N508" s="11" t="s">
        <v>1563</v>
      </c>
      <c r="O508" s="11"/>
      <c r="P508" s="11"/>
      <c r="Q508" s="11">
        <v>4</v>
      </c>
      <c r="R508" s="11">
        <v>4</v>
      </c>
      <c r="S508" s="11" t="s">
        <v>3409</v>
      </c>
    </row>
    <row r="509" spans="1:19" hidden="1" x14ac:dyDescent="0.15">
      <c r="A509" s="34">
        <v>508</v>
      </c>
      <c r="B509" s="35" t="s">
        <v>4883</v>
      </c>
      <c r="C509" s="36" t="s">
        <v>3171</v>
      </c>
      <c r="D509" s="11" t="s">
        <v>1552</v>
      </c>
      <c r="E509" s="11" t="s">
        <v>1441</v>
      </c>
      <c r="F509" s="11">
        <v>11</v>
      </c>
      <c r="G509" s="11" t="s">
        <v>1562</v>
      </c>
      <c r="H509" s="11" t="s">
        <v>1561</v>
      </c>
      <c r="I509" s="11" t="s">
        <v>288</v>
      </c>
      <c r="J509" s="11"/>
      <c r="K509" s="11"/>
      <c r="L509" s="11"/>
      <c r="M509" s="11" t="s">
        <v>1560</v>
      </c>
      <c r="N509" s="11" t="s">
        <v>1559</v>
      </c>
      <c r="O509" s="11"/>
      <c r="P509" s="11">
        <v>3</v>
      </c>
      <c r="Q509" s="11"/>
      <c r="R509" s="11"/>
      <c r="S509" s="11" t="s">
        <v>1558</v>
      </c>
    </row>
    <row r="510" spans="1:19" hidden="1" x14ac:dyDescent="0.15">
      <c r="A510" s="34">
        <v>509</v>
      </c>
      <c r="B510" s="35" t="s">
        <v>4883</v>
      </c>
      <c r="C510" s="36" t="s">
        <v>3171</v>
      </c>
      <c r="D510" s="11" t="s">
        <v>1552</v>
      </c>
      <c r="E510" s="11" t="s">
        <v>1431</v>
      </c>
      <c r="F510" s="11">
        <v>20</v>
      </c>
      <c r="G510" s="11" t="s">
        <v>1557</v>
      </c>
      <c r="H510" s="11" t="s">
        <v>1556</v>
      </c>
      <c r="I510" s="11" t="s">
        <v>339</v>
      </c>
      <c r="J510" s="11" t="s">
        <v>1555</v>
      </c>
      <c r="K510" s="11"/>
      <c r="L510" s="11"/>
      <c r="M510" s="11" t="s">
        <v>351</v>
      </c>
      <c r="N510" s="11" t="s">
        <v>1554</v>
      </c>
      <c r="O510" s="11" t="s">
        <v>1553</v>
      </c>
      <c r="P510" s="11"/>
      <c r="Q510" s="11">
        <v>9</v>
      </c>
      <c r="R510" s="11">
        <v>8</v>
      </c>
      <c r="S510" s="11" t="s">
        <v>3410</v>
      </c>
    </row>
    <row r="511" spans="1:19" hidden="1" x14ac:dyDescent="0.15">
      <c r="A511" s="34">
        <v>510</v>
      </c>
      <c r="B511" s="35" t="s">
        <v>4883</v>
      </c>
      <c r="C511" s="36" t="s">
        <v>3171</v>
      </c>
      <c r="D511" s="11" t="s">
        <v>1552</v>
      </c>
      <c r="E511" s="11" t="s">
        <v>1431</v>
      </c>
      <c r="F511" s="11">
        <v>3</v>
      </c>
      <c r="G511" s="11" t="s">
        <v>1551</v>
      </c>
      <c r="H511" s="11" t="s">
        <v>1550</v>
      </c>
      <c r="I511" s="11" t="s">
        <v>1453</v>
      </c>
      <c r="J511" s="11"/>
      <c r="K511" s="11"/>
      <c r="L511" s="11"/>
      <c r="M511" s="11" t="s">
        <v>3317</v>
      </c>
      <c r="N511" s="11" t="s">
        <v>1549</v>
      </c>
      <c r="O511" s="11" t="s">
        <v>1548</v>
      </c>
      <c r="P511" s="11"/>
      <c r="Q511" s="11"/>
      <c r="R511" s="11"/>
      <c r="S511" s="11" t="s">
        <v>3411</v>
      </c>
    </row>
    <row r="512" spans="1:19" hidden="1" x14ac:dyDescent="0.15">
      <c r="A512" s="34">
        <v>511</v>
      </c>
      <c r="B512" s="35" t="s">
        <v>4883</v>
      </c>
      <c r="C512" s="36" t="s">
        <v>3171</v>
      </c>
      <c r="D512" s="11" t="s">
        <v>1518</v>
      </c>
      <c r="E512" s="11" t="s">
        <v>1451</v>
      </c>
      <c r="F512" s="11">
        <v>21</v>
      </c>
      <c r="G512" s="11" t="s">
        <v>1547</v>
      </c>
      <c r="H512" s="11" t="s">
        <v>1546</v>
      </c>
      <c r="I512" s="11" t="s">
        <v>339</v>
      </c>
      <c r="J512" s="11" t="s">
        <v>1435</v>
      </c>
      <c r="K512" s="11" t="s">
        <v>1501</v>
      </c>
      <c r="L512" s="11"/>
      <c r="M512" s="11" t="s">
        <v>3412</v>
      </c>
      <c r="N512" s="11" t="s">
        <v>1545</v>
      </c>
      <c r="O512" s="11" t="s">
        <v>1544</v>
      </c>
      <c r="P512" s="11"/>
      <c r="Q512" s="11">
        <v>5</v>
      </c>
      <c r="R512" s="11">
        <v>4</v>
      </c>
      <c r="S512" s="11" t="s">
        <v>3413</v>
      </c>
    </row>
    <row r="513" spans="1:19" hidden="1" x14ac:dyDescent="0.15">
      <c r="A513" s="34">
        <v>512</v>
      </c>
      <c r="B513" s="35" t="s">
        <v>4883</v>
      </c>
      <c r="C513" s="36" t="s">
        <v>3171</v>
      </c>
      <c r="D513" s="11" t="s">
        <v>1518</v>
      </c>
      <c r="E513" s="11" t="s">
        <v>1451</v>
      </c>
      <c r="F513" s="11">
        <v>20</v>
      </c>
      <c r="G513" s="11" t="s">
        <v>1543</v>
      </c>
      <c r="H513" s="11" t="s">
        <v>1542</v>
      </c>
      <c r="I513" s="11" t="s">
        <v>339</v>
      </c>
      <c r="J513" s="11" t="s">
        <v>1537</v>
      </c>
      <c r="K513" s="11"/>
      <c r="L513" s="11"/>
      <c r="M513" s="11" t="s">
        <v>3194</v>
      </c>
      <c r="N513" s="11" t="s">
        <v>1541</v>
      </c>
      <c r="O513" s="11" t="s">
        <v>1540</v>
      </c>
      <c r="P513" s="11"/>
      <c r="Q513" s="11">
        <v>4</v>
      </c>
      <c r="R513" s="11">
        <v>4</v>
      </c>
      <c r="S513" s="11" t="s">
        <v>3414</v>
      </c>
    </row>
    <row r="514" spans="1:19" hidden="1" x14ac:dyDescent="0.15">
      <c r="A514" s="34">
        <v>513</v>
      </c>
      <c r="B514" s="35" t="s">
        <v>4883</v>
      </c>
      <c r="C514" s="36" t="s">
        <v>3171</v>
      </c>
      <c r="D514" s="11" t="s">
        <v>1518</v>
      </c>
      <c r="E514" s="11" t="s">
        <v>1451</v>
      </c>
      <c r="F514" s="11">
        <v>16</v>
      </c>
      <c r="G514" s="11" t="s">
        <v>1539</v>
      </c>
      <c r="H514" s="11" t="s">
        <v>1538</v>
      </c>
      <c r="I514" s="11" t="s">
        <v>339</v>
      </c>
      <c r="J514" s="11" t="s">
        <v>1537</v>
      </c>
      <c r="K514" s="11"/>
      <c r="L514" s="11"/>
      <c r="M514" s="11" t="s">
        <v>1944</v>
      </c>
      <c r="N514" s="11" t="s">
        <v>1536</v>
      </c>
      <c r="O514" s="11"/>
      <c r="P514" s="11"/>
      <c r="Q514" s="11">
        <v>3</v>
      </c>
      <c r="R514" s="11">
        <v>4</v>
      </c>
      <c r="S514" s="11" t="s">
        <v>3415</v>
      </c>
    </row>
    <row r="515" spans="1:19" hidden="1" x14ac:dyDescent="0.15">
      <c r="A515" s="34">
        <v>514</v>
      </c>
      <c r="B515" s="35" t="s">
        <v>4883</v>
      </c>
      <c r="C515" s="36" t="s">
        <v>3171</v>
      </c>
      <c r="D515" s="11" t="s">
        <v>1518</v>
      </c>
      <c r="E515" s="11" t="s">
        <v>1441</v>
      </c>
      <c r="F515" s="11">
        <v>21</v>
      </c>
      <c r="G515" s="11" t="s">
        <v>1535</v>
      </c>
      <c r="H515" s="11" t="s">
        <v>1534</v>
      </c>
      <c r="I515" s="11" t="s">
        <v>339</v>
      </c>
      <c r="J515" s="11" t="s">
        <v>1479</v>
      </c>
      <c r="K515" s="11" t="s">
        <v>1533</v>
      </c>
      <c r="L515" s="11"/>
      <c r="M515" s="11" t="s">
        <v>1532</v>
      </c>
      <c r="N515" s="11"/>
      <c r="O515" s="11"/>
      <c r="P515" s="11"/>
      <c r="Q515" s="11">
        <v>6</v>
      </c>
      <c r="R515" s="11">
        <v>6</v>
      </c>
      <c r="S515" s="11" t="s">
        <v>1532</v>
      </c>
    </row>
    <row r="516" spans="1:19" hidden="1" x14ac:dyDescent="0.15">
      <c r="A516" s="34">
        <v>515</v>
      </c>
      <c r="B516" s="35" t="s">
        <v>4883</v>
      </c>
      <c r="C516" s="36" t="s">
        <v>3171</v>
      </c>
      <c r="D516" s="11" t="s">
        <v>1518</v>
      </c>
      <c r="E516" s="11" t="s">
        <v>1441</v>
      </c>
      <c r="F516" s="11">
        <v>15</v>
      </c>
      <c r="G516" s="11" t="s">
        <v>1531</v>
      </c>
      <c r="H516" s="11" t="s">
        <v>1530</v>
      </c>
      <c r="I516" s="11" t="s">
        <v>339</v>
      </c>
      <c r="J516" s="11" t="s">
        <v>1479</v>
      </c>
      <c r="K516" s="11" t="s">
        <v>1529</v>
      </c>
      <c r="L516" s="11" t="s">
        <v>1478</v>
      </c>
      <c r="M516" s="11" t="s">
        <v>3194</v>
      </c>
      <c r="N516" s="11" t="s">
        <v>1528</v>
      </c>
      <c r="O516" s="11"/>
      <c r="P516" s="11"/>
      <c r="Q516" s="11">
        <v>3</v>
      </c>
      <c r="R516" s="11">
        <v>4</v>
      </c>
      <c r="S516" s="11" t="s">
        <v>3416</v>
      </c>
    </row>
    <row r="517" spans="1:19" hidden="1" x14ac:dyDescent="0.15">
      <c r="A517" s="34">
        <v>516</v>
      </c>
      <c r="B517" s="35" t="s">
        <v>4883</v>
      </c>
      <c r="C517" s="36" t="s">
        <v>3171</v>
      </c>
      <c r="D517" s="11" t="s">
        <v>1518</v>
      </c>
      <c r="E517" s="11" t="s">
        <v>1441</v>
      </c>
      <c r="F517" s="11">
        <v>15</v>
      </c>
      <c r="G517" s="11" t="s">
        <v>1527</v>
      </c>
      <c r="H517" s="11" t="s">
        <v>1526</v>
      </c>
      <c r="I517" s="11" t="s">
        <v>288</v>
      </c>
      <c r="J517" s="11"/>
      <c r="K517" s="11"/>
      <c r="L517" s="11"/>
      <c r="M517" s="11" t="s">
        <v>1525</v>
      </c>
      <c r="N517" s="11" t="s">
        <v>1524</v>
      </c>
      <c r="O517" s="11"/>
      <c r="P517" s="11">
        <v>3</v>
      </c>
      <c r="Q517" s="11"/>
      <c r="R517" s="11"/>
      <c r="S517" s="11" t="s">
        <v>1523</v>
      </c>
    </row>
    <row r="518" spans="1:19" hidden="1" x14ac:dyDescent="0.15">
      <c r="A518" s="34">
        <v>517</v>
      </c>
      <c r="B518" s="35" t="s">
        <v>4883</v>
      </c>
      <c r="C518" s="36" t="s">
        <v>3171</v>
      </c>
      <c r="D518" s="11" t="s">
        <v>1518</v>
      </c>
      <c r="E518" s="11" t="s">
        <v>1431</v>
      </c>
      <c r="F518" s="11">
        <v>25</v>
      </c>
      <c r="G518" s="11" t="s">
        <v>1522</v>
      </c>
      <c r="H518" s="11" t="s">
        <v>1521</v>
      </c>
      <c r="I518" s="11" t="s">
        <v>339</v>
      </c>
      <c r="J518" s="11" t="s">
        <v>1435</v>
      </c>
      <c r="K518" s="11"/>
      <c r="L518" s="11"/>
      <c r="M518" s="11" t="s">
        <v>3417</v>
      </c>
      <c r="N518" s="11" t="s">
        <v>1520</v>
      </c>
      <c r="O518" s="11" t="s">
        <v>1519</v>
      </c>
      <c r="P518" s="11"/>
      <c r="Q518" s="11">
        <v>5</v>
      </c>
      <c r="R518" s="11">
        <v>7</v>
      </c>
      <c r="S518" s="11" t="s">
        <v>3418</v>
      </c>
    </row>
    <row r="519" spans="1:19" hidden="1" x14ac:dyDescent="0.15">
      <c r="A519" s="34">
        <v>518</v>
      </c>
      <c r="B519" s="35" t="s">
        <v>4883</v>
      </c>
      <c r="C519" s="36" t="s">
        <v>3171</v>
      </c>
      <c r="D519" s="11" t="s">
        <v>1518</v>
      </c>
      <c r="E519" s="11" t="s">
        <v>1431</v>
      </c>
      <c r="F519" s="11">
        <v>14</v>
      </c>
      <c r="G519" s="11" t="s">
        <v>1517</v>
      </c>
      <c r="H519" s="11" t="s">
        <v>1516</v>
      </c>
      <c r="I519" s="11" t="s">
        <v>288</v>
      </c>
      <c r="J519" s="11"/>
      <c r="K519" s="11"/>
      <c r="L519" s="11"/>
      <c r="M519" s="11" t="s">
        <v>1515</v>
      </c>
      <c r="N519" s="11" t="s">
        <v>1514</v>
      </c>
      <c r="O519" s="11"/>
      <c r="P519" s="11">
        <v>3</v>
      </c>
      <c r="Q519" s="11"/>
      <c r="R519" s="11"/>
      <c r="S519" s="11" t="s">
        <v>1513</v>
      </c>
    </row>
    <row r="520" spans="1:19" hidden="1" x14ac:dyDescent="0.15">
      <c r="A520" s="34">
        <v>519</v>
      </c>
      <c r="B520" s="35" t="s">
        <v>4883</v>
      </c>
      <c r="C520" s="36" t="s">
        <v>3171</v>
      </c>
      <c r="D520" s="11" t="s">
        <v>1512</v>
      </c>
      <c r="E520" s="11" t="s">
        <v>1451</v>
      </c>
      <c r="F520" s="11">
        <v>11</v>
      </c>
      <c r="G520" s="11" t="s">
        <v>5665</v>
      </c>
      <c r="H520" s="11" t="s">
        <v>1510</v>
      </c>
      <c r="I520" s="11" t="s">
        <v>339</v>
      </c>
      <c r="J520" s="11" t="s">
        <v>1489</v>
      </c>
      <c r="K520" s="11" t="s">
        <v>1463</v>
      </c>
      <c r="L520" s="11"/>
      <c r="M520" s="11" t="s">
        <v>1509</v>
      </c>
      <c r="N520" s="11"/>
      <c r="O520" s="11"/>
      <c r="P520" s="11"/>
      <c r="Q520" s="11">
        <v>3</v>
      </c>
      <c r="R520" s="11">
        <v>4</v>
      </c>
      <c r="S520" s="11" t="s">
        <v>1509</v>
      </c>
    </row>
    <row r="521" spans="1:19" hidden="1" x14ac:dyDescent="0.15">
      <c r="A521" s="34">
        <v>520</v>
      </c>
      <c r="B521" s="35" t="s">
        <v>4883</v>
      </c>
      <c r="C521" s="36" t="s">
        <v>3171</v>
      </c>
      <c r="D521" s="11" t="s">
        <v>1508</v>
      </c>
      <c r="E521" s="11" t="s">
        <v>1451</v>
      </c>
      <c r="F521" s="11">
        <v>20</v>
      </c>
      <c r="G521" s="11" t="s">
        <v>1507</v>
      </c>
      <c r="H521" s="11" t="s">
        <v>1506</v>
      </c>
      <c r="I521" s="11" t="s">
        <v>339</v>
      </c>
      <c r="J521" s="11" t="s">
        <v>1435</v>
      </c>
      <c r="K521" s="11" t="s">
        <v>1501</v>
      </c>
      <c r="L521" s="11"/>
      <c r="M521" s="11" t="s">
        <v>3317</v>
      </c>
      <c r="N521" s="11" t="s">
        <v>3419</v>
      </c>
      <c r="O521" s="11" t="s">
        <v>1505</v>
      </c>
      <c r="P521" s="11"/>
      <c r="Q521" s="11">
        <v>4</v>
      </c>
      <c r="R521" s="11">
        <v>4</v>
      </c>
      <c r="S521" s="11" t="s">
        <v>3420</v>
      </c>
    </row>
    <row r="522" spans="1:19" hidden="1" x14ac:dyDescent="0.15">
      <c r="A522" s="34">
        <v>521</v>
      </c>
      <c r="B522" s="35" t="s">
        <v>4883</v>
      </c>
      <c r="C522" s="36" t="s">
        <v>3171</v>
      </c>
      <c r="D522" s="11" t="s">
        <v>1504</v>
      </c>
      <c r="E522" s="11" t="s">
        <v>1451</v>
      </c>
      <c r="F522" s="11">
        <v>15</v>
      </c>
      <c r="G522" s="11" t="s">
        <v>1503</v>
      </c>
      <c r="H522" s="11" t="s">
        <v>1502</v>
      </c>
      <c r="I522" s="11" t="s">
        <v>339</v>
      </c>
      <c r="J522" s="11" t="s">
        <v>1435</v>
      </c>
      <c r="K522" s="11" t="s">
        <v>1501</v>
      </c>
      <c r="L522" s="11"/>
      <c r="M522" s="11" t="s">
        <v>3421</v>
      </c>
      <c r="N522" s="11" t="s">
        <v>1500</v>
      </c>
      <c r="O522" s="11"/>
      <c r="P522" s="11"/>
      <c r="Q522" s="11">
        <v>4</v>
      </c>
      <c r="R522" s="11">
        <v>2</v>
      </c>
      <c r="S522" s="11" t="s">
        <v>3422</v>
      </c>
    </row>
    <row r="523" spans="1:19" hidden="1" x14ac:dyDescent="0.15">
      <c r="A523" s="34">
        <v>522</v>
      </c>
      <c r="B523" s="35" t="s">
        <v>4883</v>
      </c>
      <c r="C523" s="36" t="s">
        <v>3171</v>
      </c>
      <c r="D523" s="11" t="s">
        <v>1482</v>
      </c>
      <c r="E523" s="11" t="s">
        <v>1451</v>
      </c>
      <c r="F523" s="11">
        <v>10</v>
      </c>
      <c r="G523" s="11" t="s">
        <v>1499</v>
      </c>
      <c r="H523" s="11" t="s">
        <v>1498</v>
      </c>
      <c r="I523" s="11" t="s">
        <v>339</v>
      </c>
      <c r="J523" s="11" t="s">
        <v>1489</v>
      </c>
      <c r="K523" s="11" t="s">
        <v>1493</v>
      </c>
      <c r="L523" s="11"/>
      <c r="M523" s="11" t="s">
        <v>1497</v>
      </c>
      <c r="N523" s="11"/>
      <c r="O523" s="11"/>
      <c r="P523" s="11"/>
      <c r="Q523" s="11">
        <v>4</v>
      </c>
      <c r="R523" s="11">
        <v>4</v>
      </c>
      <c r="S523" s="11" t="s">
        <v>1497</v>
      </c>
    </row>
    <row r="524" spans="1:19" hidden="1" x14ac:dyDescent="0.15">
      <c r="A524" s="34">
        <v>523</v>
      </c>
      <c r="B524" s="35" t="s">
        <v>4883</v>
      </c>
      <c r="C524" s="36" t="s">
        <v>3171</v>
      </c>
      <c r="D524" s="11" t="s">
        <v>1474</v>
      </c>
      <c r="E524" s="11" t="s">
        <v>1451</v>
      </c>
      <c r="F524" s="11">
        <v>16</v>
      </c>
      <c r="G524" s="11" t="s">
        <v>1496</v>
      </c>
      <c r="H524" s="11" t="s">
        <v>1495</v>
      </c>
      <c r="I524" s="11" t="s">
        <v>339</v>
      </c>
      <c r="J524" s="11" t="s">
        <v>1494</v>
      </c>
      <c r="K524" s="11" t="s">
        <v>1493</v>
      </c>
      <c r="L524" s="11" t="s">
        <v>1478</v>
      </c>
      <c r="M524" s="11" t="s">
        <v>351</v>
      </c>
      <c r="N524" s="11" t="s">
        <v>1492</v>
      </c>
      <c r="O524" s="11"/>
      <c r="P524" s="11"/>
      <c r="Q524" s="11">
        <v>3</v>
      </c>
      <c r="R524" s="11">
        <v>5</v>
      </c>
      <c r="S524" s="11" t="s">
        <v>3423</v>
      </c>
    </row>
    <row r="525" spans="1:19" hidden="1" x14ac:dyDescent="0.15">
      <c r="A525" s="34">
        <v>524</v>
      </c>
      <c r="B525" s="35" t="s">
        <v>4883</v>
      </c>
      <c r="C525" s="36" t="s">
        <v>3171</v>
      </c>
      <c r="D525" s="11" t="s">
        <v>1467</v>
      </c>
      <c r="E525" s="11" t="s">
        <v>1451</v>
      </c>
      <c r="F525" s="11">
        <v>12</v>
      </c>
      <c r="G525" s="11" t="s">
        <v>4897</v>
      </c>
      <c r="H525" s="11" t="s">
        <v>1490</v>
      </c>
      <c r="I525" s="11" t="s">
        <v>339</v>
      </c>
      <c r="J525" s="11" t="s">
        <v>1489</v>
      </c>
      <c r="K525" s="11" t="s">
        <v>1463</v>
      </c>
      <c r="L525" s="11"/>
      <c r="M525" s="11" t="s">
        <v>3370</v>
      </c>
      <c r="N525" s="11" t="s">
        <v>1488</v>
      </c>
      <c r="O525" s="11"/>
      <c r="P525" s="11"/>
      <c r="Q525" s="11">
        <v>2</v>
      </c>
      <c r="R525" s="11">
        <v>4</v>
      </c>
      <c r="S525" s="11" t="s">
        <v>4896</v>
      </c>
    </row>
    <row r="526" spans="1:19" hidden="1" x14ac:dyDescent="0.15">
      <c r="A526" s="34">
        <v>525</v>
      </c>
      <c r="B526" s="35" t="s">
        <v>4883</v>
      </c>
      <c r="C526" s="36" t="s">
        <v>3171</v>
      </c>
      <c r="D526" s="11" t="s">
        <v>1487</v>
      </c>
      <c r="E526" s="11" t="s">
        <v>1451</v>
      </c>
      <c r="F526" s="11">
        <v>17</v>
      </c>
      <c r="G526" s="11" t="s">
        <v>1486</v>
      </c>
      <c r="H526" s="11" t="s">
        <v>1485</v>
      </c>
      <c r="I526" s="11" t="s">
        <v>339</v>
      </c>
      <c r="J526" s="11" t="s">
        <v>1484</v>
      </c>
      <c r="K526" s="11" t="s">
        <v>357</v>
      </c>
      <c r="L526" s="11"/>
      <c r="M526" s="11" t="s">
        <v>1483</v>
      </c>
      <c r="N526" s="11"/>
      <c r="O526" s="11"/>
      <c r="P526" s="11"/>
      <c r="Q526" s="11">
        <v>4</v>
      </c>
      <c r="R526" s="11">
        <v>5</v>
      </c>
      <c r="S526" s="11" t="s">
        <v>1483</v>
      </c>
    </row>
    <row r="527" spans="1:19" hidden="1" x14ac:dyDescent="0.15">
      <c r="A527" s="34">
        <v>526</v>
      </c>
      <c r="B527" s="35" t="s">
        <v>4883</v>
      </c>
      <c r="C527" s="36" t="s">
        <v>3171</v>
      </c>
      <c r="D527" s="11" t="s">
        <v>1482</v>
      </c>
      <c r="E527" s="11" t="s">
        <v>1441</v>
      </c>
      <c r="F527" s="11">
        <v>14</v>
      </c>
      <c r="G527" s="11" t="s">
        <v>1481</v>
      </c>
      <c r="H527" s="11" t="s">
        <v>1480</v>
      </c>
      <c r="I527" s="11" t="s">
        <v>339</v>
      </c>
      <c r="J527" s="11" t="s">
        <v>1479</v>
      </c>
      <c r="K527" s="11" t="s">
        <v>1478</v>
      </c>
      <c r="L527" s="11"/>
      <c r="M527" s="11" t="s">
        <v>1477</v>
      </c>
      <c r="N527" s="11" t="s">
        <v>1476</v>
      </c>
      <c r="O527" s="11"/>
      <c r="P527" s="11"/>
      <c r="Q527" s="11">
        <v>6</v>
      </c>
      <c r="R527" s="11">
        <v>6</v>
      </c>
      <c r="S527" s="11" t="s">
        <v>1475</v>
      </c>
    </row>
    <row r="528" spans="1:19" hidden="1" x14ac:dyDescent="0.15">
      <c r="A528" s="34">
        <v>527</v>
      </c>
      <c r="B528" s="35" t="s">
        <v>4883</v>
      </c>
      <c r="C528" s="36" t="s">
        <v>3171</v>
      </c>
      <c r="D528" s="11" t="s">
        <v>1474</v>
      </c>
      <c r="E528" s="11" t="s">
        <v>1441</v>
      </c>
      <c r="F528" s="11">
        <v>16</v>
      </c>
      <c r="G528" s="11" t="s">
        <v>1473</v>
      </c>
      <c r="H528" s="11" t="s">
        <v>1472</v>
      </c>
      <c r="I528" s="11" t="s">
        <v>339</v>
      </c>
      <c r="J528" s="11" t="s">
        <v>1471</v>
      </c>
      <c r="K528" s="11" t="s">
        <v>1470</v>
      </c>
      <c r="L528" s="11"/>
      <c r="M528" s="11" t="s">
        <v>3425</v>
      </c>
      <c r="N528" s="11" t="s">
        <v>1469</v>
      </c>
      <c r="O528" s="11" t="s">
        <v>1468</v>
      </c>
      <c r="P528" s="11"/>
      <c r="Q528" s="11">
        <v>5</v>
      </c>
      <c r="R528" s="11">
        <v>6</v>
      </c>
      <c r="S528" s="11" t="s">
        <v>3426</v>
      </c>
    </row>
    <row r="529" spans="1:19" hidden="1" x14ac:dyDescent="0.15">
      <c r="A529" s="34">
        <v>528</v>
      </c>
      <c r="B529" s="35" t="s">
        <v>4883</v>
      </c>
      <c r="C529" s="36" t="s">
        <v>3171</v>
      </c>
      <c r="D529" s="11" t="s">
        <v>1467</v>
      </c>
      <c r="E529" s="11" t="s">
        <v>1441</v>
      </c>
      <c r="F529" s="11">
        <v>10</v>
      </c>
      <c r="G529" s="11" t="s">
        <v>1466</v>
      </c>
      <c r="H529" s="11" t="s">
        <v>1465</v>
      </c>
      <c r="I529" s="11" t="s">
        <v>339</v>
      </c>
      <c r="J529" s="11" t="s">
        <v>1464</v>
      </c>
      <c r="K529" s="11" t="s">
        <v>1463</v>
      </c>
      <c r="L529" s="11"/>
      <c r="M529" s="11" t="s">
        <v>1462</v>
      </c>
      <c r="N529" s="11"/>
      <c r="O529" s="11"/>
      <c r="P529" s="11"/>
      <c r="Q529" s="11">
        <v>4</v>
      </c>
      <c r="R529" s="11">
        <v>5</v>
      </c>
      <c r="S529" s="11" t="s">
        <v>1462</v>
      </c>
    </row>
    <row r="530" spans="1:19" hidden="1" x14ac:dyDescent="0.15">
      <c r="A530" s="34">
        <v>529</v>
      </c>
      <c r="B530" s="35" t="s">
        <v>4883</v>
      </c>
      <c r="C530" s="36" t="s">
        <v>3171</v>
      </c>
      <c r="D530" s="11" t="s">
        <v>292</v>
      </c>
      <c r="E530" s="11" t="s">
        <v>1451</v>
      </c>
      <c r="F530" s="11">
        <v>15</v>
      </c>
      <c r="G530" s="11" t="s">
        <v>1461</v>
      </c>
      <c r="H530" s="11" t="s">
        <v>1460</v>
      </c>
      <c r="I530" s="11" t="s">
        <v>339</v>
      </c>
      <c r="J530" s="11" t="s">
        <v>1435</v>
      </c>
      <c r="K530" s="11"/>
      <c r="L530" s="11"/>
      <c r="M530" s="11" t="s">
        <v>1707</v>
      </c>
      <c r="N530" s="11" t="s">
        <v>1459</v>
      </c>
      <c r="O530" s="11"/>
      <c r="P530" s="11"/>
      <c r="Q530" s="11">
        <v>4</v>
      </c>
      <c r="R530" s="11">
        <v>4</v>
      </c>
      <c r="S530" s="11" t="s">
        <v>3427</v>
      </c>
    </row>
    <row r="531" spans="1:19" hidden="1" x14ac:dyDescent="0.15">
      <c r="A531" s="34">
        <v>530</v>
      </c>
      <c r="B531" s="35" t="s">
        <v>4883</v>
      </c>
      <c r="C531" s="36" t="s">
        <v>3171</v>
      </c>
      <c r="D531" s="11" t="s">
        <v>292</v>
      </c>
      <c r="E531" s="11" t="s">
        <v>1451</v>
      </c>
      <c r="F531" s="11">
        <v>7</v>
      </c>
      <c r="G531" s="11" t="s">
        <v>1458</v>
      </c>
      <c r="H531" s="11" t="s">
        <v>1457</v>
      </c>
      <c r="I531" s="11" t="s">
        <v>1453</v>
      </c>
      <c r="J531" s="11"/>
      <c r="K531" s="11"/>
      <c r="L531" s="11"/>
      <c r="M531" s="11" t="s">
        <v>1456</v>
      </c>
      <c r="N531" s="11"/>
      <c r="O531" s="11"/>
      <c r="P531" s="11"/>
      <c r="Q531" s="11"/>
      <c r="R531" s="11"/>
      <c r="S531" s="11" t="s">
        <v>1456</v>
      </c>
    </row>
    <row r="532" spans="1:19" hidden="1" x14ac:dyDescent="0.15">
      <c r="A532" s="34">
        <v>531</v>
      </c>
      <c r="B532" s="35" t="s">
        <v>4883</v>
      </c>
      <c r="C532" s="36" t="s">
        <v>3171</v>
      </c>
      <c r="D532" s="11" t="s">
        <v>292</v>
      </c>
      <c r="E532" s="11" t="s">
        <v>1451</v>
      </c>
      <c r="F532" s="11">
        <v>8</v>
      </c>
      <c r="G532" s="11" t="s">
        <v>1455</v>
      </c>
      <c r="H532" s="11" t="s">
        <v>1454</v>
      </c>
      <c r="I532" s="11" t="s">
        <v>1453</v>
      </c>
      <c r="J532" s="11"/>
      <c r="K532" s="11"/>
      <c r="L532" s="11"/>
      <c r="M532" s="11" t="s">
        <v>1452</v>
      </c>
      <c r="N532" s="11"/>
      <c r="O532" s="11"/>
      <c r="P532" s="11"/>
      <c r="Q532" s="11"/>
      <c r="R532" s="11"/>
      <c r="S532" s="11" t="s">
        <v>1452</v>
      </c>
    </row>
    <row r="533" spans="1:19" hidden="1" x14ac:dyDescent="0.15">
      <c r="A533" s="34">
        <v>532</v>
      </c>
      <c r="B533" s="35" t="s">
        <v>4883</v>
      </c>
      <c r="C533" s="36" t="s">
        <v>3171</v>
      </c>
      <c r="D533" s="11" t="s">
        <v>292</v>
      </c>
      <c r="E533" s="11" t="s">
        <v>1451</v>
      </c>
      <c r="F533" s="11">
        <v>8</v>
      </c>
      <c r="G533" s="11" t="s">
        <v>1450</v>
      </c>
      <c r="H533" s="11" t="s">
        <v>1449</v>
      </c>
      <c r="I533" s="11" t="s">
        <v>288</v>
      </c>
      <c r="J533" s="11"/>
      <c r="K533" s="11"/>
      <c r="L533" s="11"/>
      <c r="M533" s="11" t="s">
        <v>1448</v>
      </c>
      <c r="N533" s="11"/>
      <c r="O533" s="11"/>
      <c r="P533" s="11">
        <v>2</v>
      </c>
      <c r="Q533" s="11"/>
      <c r="R533" s="11"/>
      <c r="S533" s="11" t="s">
        <v>1448</v>
      </c>
    </row>
    <row r="534" spans="1:19" hidden="1" x14ac:dyDescent="0.15">
      <c r="A534" s="34">
        <v>533</v>
      </c>
      <c r="B534" s="35" t="s">
        <v>4883</v>
      </c>
      <c r="C534" s="36" t="s">
        <v>3171</v>
      </c>
      <c r="D534" s="11" t="s">
        <v>292</v>
      </c>
      <c r="E534" s="11" t="s">
        <v>1441</v>
      </c>
      <c r="F534" s="11">
        <v>13</v>
      </c>
      <c r="G534" s="11" t="s">
        <v>1447</v>
      </c>
      <c r="H534" s="11" t="s">
        <v>1446</v>
      </c>
      <c r="I534" s="11" t="s">
        <v>339</v>
      </c>
      <c r="J534" s="11" t="s">
        <v>1435</v>
      </c>
      <c r="K534" s="11"/>
      <c r="L534" s="11"/>
      <c r="M534" s="11" t="s">
        <v>1445</v>
      </c>
      <c r="N534" s="11"/>
      <c r="O534" s="11"/>
      <c r="P534" s="11"/>
      <c r="Q534" s="11">
        <v>4</v>
      </c>
      <c r="R534" s="11">
        <v>3</v>
      </c>
      <c r="S534" s="11" t="s">
        <v>1445</v>
      </c>
    </row>
    <row r="535" spans="1:19" hidden="1" x14ac:dyDescent="0.15">
      <c r="A535" s="34">
        <v>534</v>
      </c>
      <c r="B535" s="35" t="s">
        <v>4883</v>
      </c>
      <c r="C535" s="36" t="s">
        <v>3171</v>
      </c>
      <c r="D535" s="11" t="s">
        <v>292</v>
      </c>
      <c r="E535" s="11" t="s">
        <v>1441</v>
      </c>
      <c r="F535" s="11">
        <v>20</v>
      </c>
      <c r="G535" s="11" t="s">
        <v>1444</v>
      </c>
      <c r="H535" s="11" t="s">
        <v>1443</v>
      </c>
      <c r="I535" s="11" t="s">
        <v>339</v>
      </c>
      <c r="J535" s="11" t="s">
        <v>1435</v>
      </c>
      <c r="K535" s="11"/>
      <c r="L535" s="11"/>
      <c r="M535" s="11" t="s">
        <v>3428</v>
      </c>
      <c r="N535" s="11" t="s">
        <v>1442</v>
      </c>
      <c r="O535" s="11"/>
      <c r="P535" s="11"/>
      <c r="Q535" s="11">
        <v>5</v>
      </c>
      <c r="R535" s="11">
        <v>5</v>
      </c>
      <c r="S535" s="11" t="s">
        <v>3429</v>
      </c>
    </row>
    <row r="536" spans="1:19" hidden="1" x14ac:dyDescent="0.15">
      <c r="A536" s="34">
        <v>535</v>
      </c>
      <c r="B536" s="35" t="s">
        <v>4883</v>
      </c>
      <c r="C536" s="36" t="s">
        <v>3171</v>
      </c>
      <c r="D536" s="11" t="s">
        <v>292</v>
      </c>
      <c r="E536" s="11" t="s">
        <v>1441</v>
      </c>
      <c r="F536" s="11">
        <v>18</v>
      </c>
      <c r="G536" s="11" t="s">
        <v>1440</v>
      </c>
      <c r="H536" s="11" t="s">
        <v>1439</v>
      </c>
      <c r="I536" s="11" t="s">
        <v>288</v>
      </c>
      <c r="J536" s="11" t="s">
        <v>6305</v>
      </c>
      <c r="K536" s="11"/>
      <c r="L536" s="11"/>
      <c r="M536" s="11" t="s">
        <v>1438</v>
      </c>
      <c r="N536" s="11"/>
      <c r="O536" s="11"/>
      <c r="P536" s="11">
        <v>2</v>
      </c>
      <c r="Q536" s="11"/>
      <c r="R536" s="11"/>
      <c r="S536" s="11" t="s">
        <v>1438</v>
      </c>
    </row>
    <row r="537" spans="1:19" hidden="1" x14ac:dyDescent="0.15">
      <c r="A537" s="34">
        <v>536</v>
      </c>
      <c r="B537" s="35" t="s">
        <v>4883</v>
      </c>
      <c r="C537" s="36" t="s">
        <v>3171</v>
      </c>
      <c r="D537" s="11" t="s">
        <v>292</v>
      </c>
      <c r="E537" s="11" t="s">
        <v>1431</v>
      </c>
      <c r="F537" s="11">
        <v>28</v>
      </c>
      <c r="G537" s="11" t="s">
        <v>1437</v>
      </c>
      <c r="H537" s="11" t="s">
        <v>1436</v>
      </c>
      <c r="I537" s="11" t="s">
        <v>339</v>
      </c>
      <c r="J537" s="11" t="s">
        <v>1435</v>
      </c>
      <c r="K537" s="11"/>
      <c r="L537" s="11"/>
      <c r="M537" s="11" t="s">
        <v>1434</v>
      </c>
      <c r="N537" s="11" t="s">
        <v>1433</v>
      </c>
      <c r="O537" s="11" t="s">
        <v>3430</v>
      </c>
      <c r="P537" s="11"/>
      <c r="Q537" s="11">
        <v>12</v>
      </c>
      <c r="R537" s="11">
        <v>12</v>
      </c>
      <c r="S537" s="11" t="s">
        <v>1432</v>
      </c>
    </row>
    <row r="538" spans="1:19" hidden="1" x14ac:dyDescent="0.15">
      <c r="A538" s="34">
        <v>537</v>
      </c>
      <c r="B538" s="35" t="s">
        <v>4883</v>
      </c>
      <c r="C538" s="36" t="s">
        <v>3171</v>
      </c>
      <c r="D538" s="11" t="s">
        <v>292</v>
      </c>
      <c r="E538" s="11" t="s">
        <v>1431</v>
      </c>
      <c r="F538" s="11">
        <v>4</v>
      </c>
      <c r="G538" s="11" t="s">
        <v>1430</v>
      </c>
      <c r="H538" s="11" t="s">
        <v>1429</v>
      </c>
      <c r="I538" s="11" t="s">
        <v>288</v>
      </c>
      <c r="J538" s="11" t="s">
        <v>6250</v>
      </c>
      <c r="K538" s="11"/>
      <c r="L538" s="11"/>
      <c r="M538" s="11" t="s">
        <v>1428</v>
      </c>
      <c r="N538" s="11" t="s">
        <v>1427</v>
      </c>
      <c r="O538" s="11"/>
      <c r="P538" s="11">
        <v>10</v>
      </c>
      <c r="Q538" s="11"/>
      <c r="R538" s="11"/>
      <c r="S538" s="11" t="s">
        <v>1426</v>
      </c>
    </row>
    <row r="539" spans="1:19" hidden="1" x14ac:dyDescent="0.15">
      <c r="A539" s="34">
        <v>538</v>
      </c>
      <c r="B539" s="35" t="s">
        <v>4883</v>
      </c>
      <c r="C539" s="36" t="s">
        <v>3431</v>
      </c>
      <c r="D539" s="11" t="s">
        <v>1627</v>
      </c>
      <c r="E539" s="11" t="s">
        <v>1744</v>
      </c>
      <c r="F539" s="11">
        <v>5</v>
      </c>
      <c r="G539" s="11" t="s">
        <v>1425</v>
      </c>
      <c r="H539" s="11" t="s">
        <v>1424</v>
      </c>
      <c r="I539" s="11" t="s">
        <v>339</v>
      </c>
      <c r="J539" s="11" t="s">
        <v>2407</v>
      </c>
      <c r="K539" s="11"/>
      <c r="L539" s="11"/>
      <c r="M539" s="11" t="s">
        <v>351</v>
      </c>
      <c r="N539" s="11" t="s">
        <v>3432</v>
      </c>
      <c r="O539" s="11"/>
      <c r="P539" s="11"/>
      <c r="Q539" s="11">
        <v>1</v>
      </c>
      <c r="R539" s="11">
        <v>2</v>
      </c>
      <c r="S539" s="11" t="s">
        <v>3433</v>
      </c>
    </row>
    <row r="540" spans="1:19" hidden="1" x14ac:dyDescent="0.15">
      <c r="A540" s="34">
        <v>539</v>
      </c>
      <c r="B540" s="35" t="s">
        <v>4883</v>
      </c>
      <c r="C540" s="36" t="s">
        <v>3431</v>
      </c>
      <c r="D540" s="11" t="s">
        <v>1627</v>
      </c>
      <c r="E540" s="11" t="s">
        <v>1744</v>
      </c>
      <c r="F540" s="11">
        <v>7</v>
      </c>
      <c r="G540" s="11" t="s">
        <v>1423</v>
      </c>
      <c r="H540" s="11" t="s">
        <v>1422</v>
      </c>
      <c r="I540" s="11" t="s">
        <v>339</v>
      </c>
      <c r="J540" s="11" t="s">
        <v>1489</v>
      </c>
      <c r="K540" s="11" t="s">
        <v>1799</v>
      </c>
      <c r="L540" s="11"/>
      <c r="M540" s="11" t="s">
        <v>2595</v>
      </c>
      <c r="N540" s="11" t="s">
        <v>3434</v>
      </c>
      <c r="O540" s="11"/>
      <c r="P540" s="11"/>
      <c r="Q540" s="11">
        <v>2</v>
      </c>
      <c r="R540" s="11">
        <v>1</v>
      </c>
      <c r="S540" s="11" t="s">
        <v>3435</v>
      </c>
    </row>
    <row r="541" spans="1:19" hidden="1" x14ac:dyDescent="0.15">
      <c r="A541" s="34">
        <v>540</v>
      </c>
      <c r="B541" s="35" t="s">
        <v>4883</v>
      </c>
      <c r="C541" s="36" t="s">
        <v>3431</v>
      </c>
      <c r="D541" s="11" t="s">
        <v>1627</v>
      </c>
      <c r="E541" s="11" t="s">
        <v>1744</v>
      </c>
      <c r="F541" s="11">
        <v>7</v>
      </c>
      <c r="G541" s="11" t="s">
        <v>1421</v>
      </c>
      <c r="H541" s="11" t="s">
        <v>1420</v>
      </c>
      <c r="I541" s="11" t="s">
        <v>339</v>
      </c>
      <c r="J541" s="11" t="s">
        <v>2407</v>
      </c>
      <c r="K541" s="11"/>
      <c r="L541" s="11"/>
      <c r="M541" s="11" t="s">
        <v>351</v>
      </c>
      <c r="N541" s="11" t="s">
        <v>3436</v>
      </c>
      <c r="O541" s="11"/>
      <c r="P541" s="11"/>
      <c r="Q541" s="11">
        <v>1</v>
      </c>
      <c r="R541" s="11">
        <v>2</v>
      </c>
      <c r="S541" s="11" t="s">
        <v>3437</v>
      </c>
    </row>
    <row r="542" spans="1:19" hidden="1" x14ac:dyDescent="0.15">
      <c r="A542" s="34">
        <v>541</v>
      </c>
      <c r="B542" s="35" t="s">
        <v>4883</v>
      </c>
      <c r="C542" s="36" t="s">
        <v>3431</v>
      </c>
      <c r="D542" s="11" t="s">
        <v>1627</v>
      </c>
      <c r="E542" s="11" t="s">
        <v>1744</v>
      </c>
      <c r="F542" s="11">
        <v>11</v>
      </c>
      <c r="G542" s="11" t="s">
        <v>1419</v>
      </c>
      <c r="H542" s="11" t="s">
        <v>1418</v>
      </c>
      <c r="I542" s="11" t="s">
        <v>339</v>
      </c>
      <c r="J542" s="11" t="s">
        <v>1489</v>
      </c>
      <c r="K542" s="11" t="s">
        <v>1533</v>
      </c>
      <c r="L542" s="11"/>
      <c r="M542" s="11" t="s">
        <v>2595</v>
      </c>
      <c r="N542" s="11" t="s">
        <v>3438</v>
      </c>
      <c r="O542" s="11"/>
      <c r="P542" s="11"/>
      <c r="Q542" s="11">
        <v>2</v>
      </c>
      <c r="R542" s="11">
        <v>2</v>
      </c>
      <c r="S542" s="11" t="s">
        <v>3439</v>
      </c>
    </row>
    <row r="543" spans="1:19" hidden="1" x14ac:dyDescent="0.15">
      <c r="A543" s="34">
        <v>542</v>
      </c>
      <c r="B543" s="35" t="s">
        <v>4883</v>
      </c>
      <c r="C543" s="36" t="s">
        <v>3431</v>
      </c>
      <c r="D543" s="11" t="s">
        <v>1627</v>
      </c>
      <c r="E543" s="11" t="s">
        <v>1744</v>
      </c>
      <c r="F543" s="11">
        <v>4</v>
      </c>
      <c r="G543" s="11" t="s">
        <v>1417</v>
      </c>
      <c r="H543" s="11" t="s">
        <v>1416</v>
      </c>
      <c r="I543" s="11" t="s">
        <v>339</v>
      </c>
      <c r="J543" s="11" t="s">
        <v>1489</v>
      </c>
      <c r="K543" s="11" t="s">
        <v>1470</v>
      </c>
      <c r="L543" s="11"/>
      <c r="M543" s="11" t="s">
        <v>2595</v>
      </c>
      <c r="N543" s="11"/>
      <c r="O543" s="11"/>
      <c r="P543" s="11"/>
      <c r="Q543" s="11">
        <v>1</v>
      </c>
      <c r="R543" s="11">
        <v>2</v>
      </c>
      <c r="S543" s="11" t="s">
        <v>2595</v>
      </c>
    </row>
    <row r="544" spans="1:19" hidden="1" x14ac:dyDescent="0.15">
      <c r="A544" s="34">
        <v>543</v>
      </c>
      <c r="B544" s="35" t="s">
        <v>4883</v>
      </c>
      <c r="C544" s="36" t="s">
        <v>3431</v>
      </c>
      <c r="D544" s="11" t="s">
        <v>1627</v>
      </c>
      <c r="E544" s="11" t="s">
        <v>1744</v>
      </c>
      <c r="F544" s="11">
        <v>5</v>
      </c>
      <c r="G544" s="11" t="s">
        <v>1415</v>
      </c>
      <c r="H544" s="11" t="s">
        <v>1414</v>
      </c>
      <c r="I544" s="11" t="s">
        <v>339</v>
      </c>
      <c r="J544" s="11" t="s">
        <v>2407</v>
      </c>
      <c r="K544" s="11"/>
      <c r="L544" s="11"/>
      <c r="M544" s="11" t="s">
        <v>3440</v>
      </c>
      <c r="N544" s="11"/>
      <c r="O544" s="11"/>
      <c r="P544" s="11"/>
      <c r="Q544" s="11">
        <v>2</v>
      </c>
      <c r="R544" s="11">
        <v>2</v>
      </c>
      <c r="S544" s="11" t="s">
        <v>3440</v>
      </c>
    </row>
    <row r="545" spans="1:19" hidden="1" x14ac:dyDescent="0.15">
      <c r="A545" s="34">
        <v>544</v>
      </c>
      <c r="B545" s="35" t="s">
        <v>4883</v>
      </c>
      <c r="C545" s="36" t="s">
        <v>3431</v>
      </c>
      <c r="D545" s="11" t="s">
        <v>1627</v>
      </c>
      <c r="E545" s="11" t="s">
        <v>1744</v>
      </c>
      <c r="F545" s="11">
        <v>3</v>
      </c>
      <c r="G545" s="11" t="s">
        <v>1413</v>
      </c>
      <c r="H545" s="11" t="s">
        <v>1412</v>
      </c>
      <c r="I545" s="11" t="s">
        <v>339</v>
      </c>
      <c r="J545" s="11" t="s">
        <v>1489</v>
      </c>
      <c r="K545" s="11" t="s">
        <v>1799</v>
      </c>
      <c r="L545" s="11"/>
      <c r="M545" s="11" t="s">
        <v>3441</v>
      </c>
      <c r="N545" s="11"/>
      <c r="O545" s="11"/>
      <c r="P545" s="11"/>
      <c r="Q545" s="11">
        <v>2</v>
      </c>
      <c r="R545" s="11">
        <v>2</v>
      </c>
      <c r="S545" s="11" t="s">
        <v>3441</v>
      </c>
    </row>
    <row r="546" spans="1:19" hidden="1" x14ac:dyDescent="0.15">
      <c r="A546" s="34">
        <v>545</v>
      </c>
      <c r="B546" s="35" t="s">
        <v>4883</v>
      </c>
      <c r="C546" s="36" t="s">
        <v>3431</v>
      </c>
      <c r="D546" s="11" t="s">
        <v>1627</v>
      </c>
      <c r="E546" s="11" t="s">
        <v>1744</v>
      </c>
      <c r="F546" s="11">
        <v>5</v>
      </c>
      <c r="G546" s="11" t="s">
        <v>1411</v>
      </c>
      <c r="H546" s="11" t="s">
        <v>1410</v>
      </c>
      <c r="I546" s="11" t="s">
        <v>339</v>
      </c>
      <c r="J546" s="11" t="s">
        <v>1489</v>
      </c>
      <c r="K546" s="11" t="s">
        <v>1799</v>
      </c>
      <c r="L546" s="11"/>
      <c r="M546" s="11" t="s">
        <v>3442</v>
      </c>
      <c r="N546" s="11"/>
      <c r="O546" s="11"/>
      <c r="P546" s="11"/>
      <c r="Q546" s="11">
        <v>1</v>
      </c>
      <c r="R546" s="11">
        <v>2</v>
      </c>
      <c r="S546" s="11" t="s">
        <v>3442</v>
      </c>
    </row>
    <row r="547" spans="1:19" hidden="1" x14ac:dyDescent="0.15">
      <c r="A547" s="34">
        <v>546</v>
      </c>
      <c r="B547" s="35" t="s">
        <v>4883</v>
      </c>
      <c r="C547" s="36" t="s">
        <v>3431</v>
      </c>
      <c r="D547" s="11" t="s">
        <v>1627</v>
      </c>
      <c r="E547" s="11" t="s">
        <v>1744</v>
      </c>
      <c r="F547" s="11">
        <v>6</v>
      </c>
      <c r="G547" s="11" t="s">
        <v>1409</v>
      </c>
      <c r="H547" s="11" t="s">
        <v>1408</v>
      </c>
      <c r="I547" s="11" t="s">
        <v>339</v>
      </c>
      <c r="J547" s="11" t="s">
        <v>1489</v>
      </c>
      <c r="K547" s="11"/>
      <c r="L547" s="11"/>
      <c r="M547" s="11" t="s">
        <v>3443</v>
      </c>
      <c r="N547" s="11"/>
      <c r="O547" s="11"/>
      <c r="P547" s="11"/>
      <c r="Q547" s="11">
        <v>1</v>
      </c>
      <c r="R547" s="11">
        <v>1</v>
      </c>
      <c r="S547" s="11" t="s">
        <v>3443</v>
      </c>
    </row>
    <row r="548" spans="1:19" hidden="1" x14ac:dyDescent="0.15">
      <c r="A548" s="34">
        <v>547</v>
      </c>
      <c r="B548" s="35" t="s">
        <v>4883</v>
      </c>
      <c r="C548" s="36" t="s">
        <v>3431</v>
      </c>
      <c r="D548" s="11" t="s">
        <v>1627</v>
      </c>
      <c r="E548" s="11" t="s">
        <v>1744</v>
      </c>
      <c r="F548" s="11">
        <v>3</v>
      </c>
      <c r="G548" s="11" t="s">
        <v>1407</v>
      </c>
      <c r="H548" s="11" t="s">
        <v>1406</v>
      </c>
      <c r="I548" s="11" t="s">
        <v>1453</v>
      </c>
      <c r="J548" s="11"/>
      <c r="K548" s="11"/>
      <c r="L548" s="11"/>
      <c r="M548" s="11" t="s">
        <v>3444</v>
      </c>
      <c r="N548" s="11"/>
      <c r="O548" s="11"/>
      <c r="P548" s="11"/>
      <c r="Q548" s="11"/>
      <c r="R548" s="11"/>
      <c r="S548" s="11" t="s">
        <v>3444</v>
      </c>
    </row>
    <row r="549" spans="1:19" hidden="1" x14ac:dyDescent="0.15">
      <c r="A549" s="34">
        <v>548</v>
      </c>
      <c r="B549" s="35" t="s">
        <v>4883</v>
      </c>
      <c r="C549" s="36" t="s">
        <v>3431</v>
      </c>
      <c r="D549" s="11" t="s">
        <v>1627</v>
      </c>
      <c r="E549" s="11" t="s">
        <v>1744</v>
      </c>
      <c r="F549" s="11">
        <v>3</v>
      </c>
      <c r="G549" s="11" t="s">
        <v>1405</v>
      </c>
      <c r="H549" s="11" t="s">
        <v>1404</v>
      </c>
      <c r="I549" s="11" t="s">
        <v>1453</v>
      </c>
      <c r="J549" s="11"/>
      <c r="K549" s="11"/>
      <c r="L549" s="11"/>
      <c r="M549" s="11" t="s">
        <v>3445</v>
      </c>
      <c r="N549" s="11"/>
      <c r="O549" s="11"/>
      <c r="P549" s="11"/>
      <c r="Q549" s="11"/>
      <c r="R549" s="11"/>
      <c r="S549" s="11" t="s">
        <v>3445</v>
      </c>
    </row>
    <row r="550" spans="1:19" hidden="1" x14ac:dyDescent="0.15">
      <c r="A550" s="34">
        <v>549</v>
      </c>
      <c r="B550" s="35" t="s">
        <v>4883</v>
      </c>
      <c r="C550" s="36" t="s">
        <v>3431</v>
      </c>
      <c r="D550" s="11" t="s">
        <v>1627</v>
      </c>
      <c r="E550" s="11" t="s">
        <v>1744</v>
      </c>
      <c r="F550" s="11">
        <v>3</v>
      </c>
      <c r="G550" s="11" t="s">
        <v>1403</v>
      </c>
      <c r="H550" s="11" t="s">
        <v>1402</v>
      </c>
      <c r="I550" s="11" t="s">
        <v>1453</v>
      </c>
      <c r="J550" s="11"/>
      <c r="K550" s="11"/>
      <c r="L550" s="11"/>
      <c r="M550" s="11" t="s">
        <v>3446</v>
      </c>
      <c r="N550" s="11" t="s">
        <v>3447</v>
      </c>
      <c r="O550" s="11"/>
      <c r="P550" s="11"/>
      <c r="Q550" s="11"/>
      <c r="R550" s="11"/>
      <c r="S550" s="11" t="s">
        <v>3448</v>
      </c>
    </row>
    <row r="551" spans="1:19" hidden="1" x14ac:dyDescent="0.15">
      <c r="A551" s="34">
        <v>550</v>
      </c>
      <c r="B551" s="35" t="s">
        <v>4883</v>
      </c>
      <c r="C551" s="36" t="s">
        <v>3431</v>
      </c>
      <c r="D551" s="11" t="s">
        <v>1627</v>
      </c>
      <c r="E551" s="11" t="s">
        <v>1744</v>
      </c>
      <c r="F551" s="11">
        <v>3</v>
      </c>
      <c r="G551" s="11" t="s">
        <v>1401</v>
      </c>
      <c r="H551" s="11" t="s">
        <v>1400</v>
      </c>
      <c r="I551" s="11" t="s">
        <v>1453</v>
      </c>
      <c r="J551" s="11"/>
      <c r="K551" s="11"/>
      <c r="L551" s="11"/>
      <c r="M551" s="11" t="s">
        <v>3449</v>
      </c>
      <c r="N551" s="11" t="s">
        <v>3450</v>
      </c>
      <c r="O551" s="11"/>
      <c r="P551" s="11"/>
      <c r="Q551" s="11"/>
      <c r="R551" s="11"/>
      <c r="S551" s="11" t="s">
        <v>3451</v>
      </c>
    </row>
    <row r="552" spans="1:19" hidden="1" x14ac:dyDescent="0.15">
      <c r="A552" s="34">
        <v>551</v>
      </c>
      <c r="B552" s="35" t="s">
        <v>4883</v>
      </c>
      <c r="C552" s="36" t="s">
        <v>3431</v>
      </c>
      <c r="D552" s="11" t="s">
        <v>1627</v>
      </c>
      <c r="E552" s="11" t="s">
        <v>1744</v>
      </c>
      <c r="F552" s="11">
        <v>3</v>
      </c>
      <c r="G552" s="11" t="s">
        <v>1399</v>
      </c>
      <c r="H552" s="11" t="s">
        <v>1398</v>
      </c>
      <c r="I552" s="11" t="s">
        <v>288</v>
      </c>
      <c r="J552" s="11"/>
      <c r="K552" s="11"/>
      <c r="L552" s="11"/>
      <c r="M552" s="11" t="s">
        <v>3452</v>
      </c>
      <c r="N552" s="11"/>
      <c r="O552" s="11"/>
      <c r="P552" s="11">
        <v>1</v>
      </c>
      <c r="Q552" s="11"/>
      <c r="R552" s="11"/>
      <c r="S552" s="11" t="s">
        <v>3452</v>
      </c>
    </row>
    <row r="553" spans="1:19" hidden="1" x14ac:dyDescent="0.15">
      <c r="A553" s="34">
        <v>552</v>
      </c>
      <c r="B553" s="35" t="s">
        <v>4883</v>
      </c>
      <c r="C553" s="36" t="s">
        <v>3431</v>
      </c>
      <c r="D553" s="11" t="s">
        <v>1627</v>
      </c>
      <c r="E553" s="11" t="s">
        <v>1451</v>
      </c>
      <c r="F553" s="11">
        <v>11</v>
      </c>
      <c r="G553" s="11" t="s">
        <v>1397</v>
      </c>
      <c r="H553" s="11" t="s">
        <v>1396</v>
      </c>
      <c r="I553" s="11" t="s">
        <v>339</v>
      </c>
      <c r="J553" s="11" t="s">
        <v>1489</v>
      </c>
      <c r="K553" s="11" t="s">
        <v>1470</v>
      </c>
      <c r="L553" s="11"/>
      <c r="M553" s="11" t="s">
        <v>3453</v>
      </c>
      <c r="N553" s="11"/>
      <c r="O553" s="11"/>
      <c r="P553" s="11"/>
      <c r="Q553" s="11">
        <v>4</v>
      </c>
      <c r="R553" s="11">
        <v>4</v>
      </c>
      <c r="S553" s="11" t="s">
        <v>3453</v>
      </c>
    </row>
    <row r="554" spans="1:19" hidden="1" x14ac:dyDescent="0.15">
      <c r="A554" s="34">
        <v>553</v>
      </c>
      <c r="B554" s="35" t="s">
        <v>4883</v>
      </c>
      <c r="C554" s="36" t="s">
        <v>3431</v>
      </c>
      <c r="D554" s="11" t="s">
        <v>1627</v>
      </c>
      <c r="E554" s="11" t="s">
        <v>1451</v>
      </c>
      <c r="F554" s="11">
        <v>0</v>
      </c>
      <c r="G554" s="11" t="s">
        <v>1047</v>
      </c>
      <c r="H554" s="11" t="s">
        <v>1046</v>
      </c>
      <c r="I554" s="11" t="s">
        <v>339</v>
      </c>
      <c r="J554" s="11" t="s">
        <v>1489</v>
      </c>
      <c r="K554" s="11" t="s">
        <v>1470</v>
      </c>
      <c r="L554" s="11"/>
      <c r="M554" s="11" t="s">
        <v>3454</v>
      </c>
      <c r="N554" s="11"/>
      <c r="O554" s="11"/>
      <c r="P554" s="11"/>
      <c r="Q554" s="11">
        <v>5</v>
      </c>
      <c r="R554" s="11">
        <v>5</v>
      </c>
      <c r="S554" s="11" t="s">
        <v>3454</v>
      </c>
    </row>
    <row r="555" spans="1:19" hidden="1" x14ac:dyDescent="0.15">
      <c r="A555" s="34">
        <v>554</v>
      </c>
      <c r="B555" s="35" t="s">
        <v>4883</v>
      </c>
      <c r="C555" s="36" t="s">
        <v>3431</v>
      </c>
      <c r="D555" s="11" t="s">
        <v>1627</v>
      </c>
      <c r="E555" s="11" t="s">
        <v>1451</v>
      </c>
      <c r="F555" s="11">
        <v>10</v>
      </c>
      <c r="G555" s="11" t="s">
        <v>1395</v>
      </c>
      <c r="H555" s="11" t="s">
        <v>1394</v>
      </c>
      <c r="I555" s="11" t="s">
        <v>339</v>
      </c>
      <c r="J555" s="11" t="s">
        <v>1489</v>
      </c>
      <c r="K555" s="11" t="s">
        <v>1470</v>
      </c>
      <c r="L555" s="11"/>
      <c r="M555" s="11" t="s">
        <v>3455</v>
      </c>
      <c r="N555" s="11" t="s">
        <v>3456</v>
      </c>
      <c r="O555" s="11"/>
      <c r="P555" s="11"/>
      <c r="Q555" s="11">
        <v>3</v>
      </c>
      <c r="R555" s="11">
        <v>1</v>
      </c>
      <c r="S555" s="11" t="s">
        <v>3457</v>
      </c>
    </row>
    <row r="556" spans="1:19" hidden="1" x14ac:dyDescent="0.15">
      <c r="A556" s="34">
        <v>555</v>
      </c>
      <c r="B556" s="35" t="s">
        <v>4883</v>
      </c>
      <c r="C556" s="36" t="s">
        <v>3431</v>
      </c>
      <c r="D556" s="11" t="s">
        <v>1627</v>
      </c>
      <c r="E556" s="11" t="s">
        <v>1451</v>
      </c>
      <c r="F556" s="11">
        <v>6</v>
      </c>
      <c r="G556" s="11" t="s">
        <v>1393</v>
      </c>
      <c r="H556" s="11" t="s">
        <v>1392</v>
      </c>
      <c r="I556" s="11" t="s">
        <v>339</v>
      </c>
      <c r="J556" s="11" t="s">
        <v>1489</v>
      </c>
      <c r="K556" s="11" t="s">
        <v>1799</v>
      </c>
      <c r="L556" s="11"/>
      <c r="M556" s="11" t="s">
        <v>3458</v>
      </c>
      <c r="N556" s="11"/>
      <c r="O556" s="11"/>
      <c r="P556" s="11"/>
      <c r="Q556" s="11">
        <v>4</v>
      </c>
      <c r="R556" s="11">
        <v>3</v>
      </c>
      <c r="S556" s="11" t="s">
        <v>3458</v>
      </c>
    </row>
    <row r="557" spans="1:19" hidden="1" x14ac:dyDescent="0.15">
      <c r="A557" s="34">
        <v>556</v>
      </c>
      <c r="B557" s="35" t="s">
        <v>4883</v>
      </c>
      <c r="C557" s="36" t="s">
        <v>3431</v>
      </c>
      <c r="D557" s="11" t="s">
        <v>1627</v>
      </c>
      <c r="E557" s="11" t="s">
        <v>1451</v>
      </c>
      <c r="F557" s="11">
        <v>8</v>
      </c>
      <c r="G557" s="11" t="s">
        <v>1391</v>
      </c>
      <c r="H557" s="11" t="s">
        <v>1390</v>
      </c>
      <c r="I557" s="11" t="s">
        <v>339</v>
      </c>
      <c r="J557" s="11" t="s">
        <v>1489</v>
      </c>
      <c r="K557" s="11" t="s">
        <v>1470</v>
      </c>
      <c r="L557" s="11"/>
      <c r="M557" s="11" t="s">
        <v>3459</v>
      </c>
      <c r="N557" s="11" t="s">
        <v>3460</v>
      </c>
      <c r="O557" s="11"/>
      <c r="P557" s="11"/>
      <c r="Q557" s="11">
        <v>4</v>
      </c>
      <c r="R557" s="11">
        <v>4</v>
      </c>
      <c r="S557" s="11" t="s">
        <v>3461</v>
      </c>
    </row>
    <row r="558" spans="1:19" hidden="1" x14ac:dyDescent="0.15">
      <c r="A558" s="34">
        <v>557</v>
      </c>
      <c r="B558" s="35" t="s">
        <v>4883</v>
      </c>
      <c r="C558" s="36" t="s">
        <v>3431</v>
      </c>
      <c r="D558" s="11" t="s">
        <v>1627</v>
      </c>
      <c r="E558" s="11" t="s">
        <v>1451</v>
      </c>
      <c r="F558" s="11">
        <v>0</v>
      </c>
      <c r="G558" s="11" t="s">
        <v>1045</v>
      </c>
      <c r="H558" s="11" t="s">
        <v>1044</v>
      </c>
      <c r="I558" s="11" t="s">
        <v>339</v>
      </c>
      <c r="J558" s="11" t="s">
        <v>1489</v>
      </c>
      <c r="K558" s="11" t="s">
        <v>1470</v>
      </c>
      <c r="L558" s="11"/>
      <c r="M558" s="11" t="s">
        <v>3462</v>
      </c>
      <c r="N558" s="11"/>
      <c r="O558" s="11"/>
      <c r="P558" s="11"/>
      <c r="Q558" s="11">
        <v>6</v>
      </c>
      <c r="R558" s="11">
        <v>6</v>
      </c>
      <c r="S558" s="11" t="s">
        <v>3462</v>
      </c>
    </row>
    <row r="559" spans="1:19" hidden="1" x14ac:dyDescent="0.15">
      <c r="A559" s="34">
        <v>558</v>
      </c>
      <c r="B559" s="35" t="s">
        <v>4883</v>
      </c>
      <c r="C559" s="36" t="s">
        <v>3431</v>
      </c>
      <c r="D559" s="11" t="s">
        <v>1627</v>
      </c>
      <c r="E559" s="11" t="s">
        <v>1451</v>
      </c>
      <c r="F559" s="11">
        <v>7</v>
      </c>
      <c r="G559" s="11" t="s">
        <v>1389</v>
      </c>
      <c r="H559" s="11" t="s">
        <v>1388</v>
      </c>
      <c r="I559" s="11" t="s">
        <v>339</v>
      </c>
      <c r="J559" s="11" t="s">
        <v>2407</v>
      </c>
      <c r="K559" s="11"/>
      <c r="L559" s="11"/>
      <c r="M559" s="11" t="s">
        <v>351</v>
      </c>
      <c r="N559" s="11"/>
      <c r="O559" s="11"/>
      <c r="P559" s="11"/>
      <c r="Q559" s="11">
        <v>4</v>
      </c>
      <c r="R559" s="11">
        <v>4</v>
      </c>
      <c r="S559" s="11" t="s">
        <v>351</v>
      </c>
    </row>
    <row r="560" spans="1:19" hidden="1" x14ac:dyDescent="0.15">
      <c r="A560" s="34">
        <v>559</v>
      </c>
      <c r="B560" s="35" t="s">
        <v>4883</v>
      </c>
      <c r="C560" s="36" t="s">
        <v>3431</v>
      </c>
      <c r="D560" s="11" t="s">
        <v>1627</v>
      </c>
      <c r="E560" s="11" t="s">
        <v>1451</v>
      </c>
      <c r="F560" s="11">
        <v>6</v>
      </c>
      <c r="G560" s="11" t="s">
        <v>1387</v>
      </c>
      <c r="H560" s="11" t="s">
        <v>1386</v>
      </c>
      <c r="I560" s="11" t="s">
        <v>339</v>
      </c>
      <c r="J560" s="11" t="s">
        <v>1489</v>
      </c>
      <c r="K560" s="11"/>
      <c r="L560" s="11"/>
      <c r="M560" s="11" t="s">
        <v>3463</v>
      </c>
      <c r="N560" s="11"/>
      <c r="O560" s="11"/>
      <c r="P560" s="11"/>
      <c r="Q560" s="11">
        <v>2</v>
      </c>
      <c r="R560" s="11">
        <v>2</v>
      </c>
      <c r="S560" s="11" t="s">
        <v>3463</v>
      </c>
    </row>
    <row r="561" spans="1:19" hidden="1" x14ac:dyDescent="0.15">
      <c r="A561" s="34">
        <v>560</v>
      </c>
      <c r="B561" s="35" t="s">
        <v>4883</v>
      </c>
      <c r="C561" s="36" t="s">
        <v>3431</v>
      </c>
      <c r="D561" s="11" t="s">
        <v>1627</v>
      </c>
      <c r="E561" s="11" t="s">
        <v>1451</v>
      </c>
      <c r="F561" s="11">
        <v>0</v>
      </c>
      <c r="G561" s="11" t="s">
        <v>1043</v>
      </c>
      <c r="H561" s="11" t="s">
        <v>1042</v>
      </c>
      <c r="I561" s="11" t="s">
        <v>339</v>
      </c>
      <c r="J561" s="11" t="s">
        <v>1489</v>
      </c>
      <c r="K561" s="11"/>
      <c r="L561" s="11"/>
      <c r="M561" s="11" t="s">
        <v>3464</v>
      </c>
      <c r="N561" s="11"/>
      <c r="O561" s="11"/>
      <c r="P561" s="11"/>
      <c r="Q561" s="11">
        <v>6</v>
      </c>
      <c r="R561" s="11">
        <v>6</v>
      </c>
      <c r="S561" s="11" t="s">
        <v>3464</v>
      </c>
    </row>
    <row r="562" spans="1:19" hidden="1" x14ac:dyDescent="0.15">
      <c r="A562" s="34">
        <v>561</v>
      </c>
      <c r="B562" s="35" t="s">
        <v>4883</v>
      </c>
      <c r="C562" s="36" t="s">
        <v>3431</v>
      </c>
      <c r="D562" s="11" t="s">
        <v>1627</v>
      </c>
      <c r="E562" s="11" t="s">
        <v>1451</v>
      </c>
      <c r="F562" s="11">
        <v>8</v>
      </c>
      <c r="G562" s="11" t="s">
        <v>1385</v>
      </c>
      <c r="H562" s="11" t="s">
        <v>1384</v>
      </c>
      <c r="I562" s="11" t="s">
        <v>1453</v>
      </c>
      <c r="J562" s="11"/>
      <c r="K562" s="11"/>
      <c r="L562" s="11"/>
      <c r="M562" s="11" t="s">
        <v>3465</v>
      </c>
      <c r="N562" s="11" t="s">
        <v>3450</v>
      </c>
      <c r="O562" s="11"/>
      <c r="P562" s="11"/>
      <c r="Q562" s="11"/>
      <c r="R562" s="11"/>
      <c r="S562" s="11" t="s">
        <v>3466</v>
      </c>
    </row>
    <row r="563" spans="1:19" hidden="1" x14ac:dyDescent="0.15">
      <c r="A563" s="34">
        <v>562</v>
      </c>
      <c r="B563" s="35" t="s">
        <v>4883</v>
      </c>
      <c r="C563" s="36" t="s">
        <v>3431</v>
      </c>
      <c r="D563" s="11" t="s">
        <v>1627</v>
      </c>
      <c r="E563" s="11" t="s">
        <v>1451</v>
      </c>
      <c r="F563" s="11">
        <v>3</v>
      </c>
      <c r="G563" s="11" t="s">
        <v>1383</v>
      </c>
      <c r="H563" s="11" t="s">
        <v>1382</v>
      </c>
      <c r="I563" s="11" t="s">
        <v>1453</v>
      </c>
      <c r="J563" s="11"/>
      <c r="K563" s="11"/>
      <c r="L563" s="11"/>
      <c r="M563" s="11" t="s">
        <v>3467</v>
      </c>
      <c r="N563" s="11"/>
      <c r="O563" s="11"/>
      <c r="P563" s="11"/>
      <c r="Q563" s="11"/>
      <c r="R563" s="11"/>
      <c r="S563" s="11" t="s">
        <v>3467</v>
      </c>
    </row>
    <row r="564" spans="1:19" hidden="1" x14ac:dyDescent="0.15">
      <c r="A564" s="34">
        <v>563</v>
      </c>
      <c r="B564" s="35" t="s">
        <v>4883</v>
      </c>
      <c r="C564" s="36" t="s">
        <v>3431</v>
      </c>
      <c r="D564" s="11" t="s">
        <v>1627</v>
      </c>
      <c r="E564" s="11" t="s">
        <v>1451</v>
      </c>
      <c r="F564" s="11">
        <v>5</v>
      </c>
      <c r="G564" s="11" t="s">
        <v>1381</v>
      </c>
      <c r="H564" s="11" t="s">
        <v>1380</v>
      </c>
      <c r="I564" s="11" t="s">
        <v>1453</v>
      </c>
      <c r="J564" s="11"/>
      <c r="K564" s="11"/>
      <c r="L564" s="11"/>
      <c r="M564" s="11" t="s">
        <v>3468</v>
      </c>
      <c r="N564" s="11"/>
      <c r="O564" s="11"/>
      <c r="P564" s="11"/>
      <c r="Q564" s="11"/>
      <c r="R564" s="11"/>
      <c r="S564" s="11" t="s">
        <v>3468</v>
      </c>
    </row>
    <row r="565" spans="1:19" hidden="1" x14ac:dyDescent="0.15">
      <c r="A565" s="34">
        <v>564</v>
      </c>
      <c r="B565" s="35" t="s">
        <v>4883</v>
      </c>
      <c r="C565" s="36" t="s">
        <v>3431</v>
      </c>
      <c r="D565" s="11" t="s">
        <v>1627</v>
      </c>
      <c r="E565" s="11" t="s">
        <v>1451</v>
      </c>
      <c r="F565" s="11">
        <v>9</v>
      </c>
      <c r="G565" s="11" t="s">
        <v>1379</v>
      </c>
      <c r="H565" s="11" t="s">
        <v>1378</v>
      </c>
      <c r="I565" s="11" t="s">
        <v>288</v>
      </c>
      <c r="J565" s="11"/>
      <c r="K565" s="11"/>
      <c r="L565" s="11"/>
      <c r="M565" s="11" t="s">
        <v>3469</v>
      </c>
      <c r="N565" s="11"/>
      <c r="O565" s="11"/>
      <c r="P565" s="11">
        <v>1</v>
      </c>
      <c r="Q565" s="11"/>
      <c r="R565" s="11"/>
      <c r="S565" s="11" t="s">
        <v>3469</v>
      </c>
    </row>
    <row r="566" spans="1:19" hidden="1" x14ac:dyDescent="0.15">
      <c r="A566" s="34">
        <v>565</v>
      </c>
      <c r="B566" s="35" t="s">
        <v>4883</v>
      </c>
      <c r="C566" s="36" t="s">
        <v>3431</v>
      </c>
      <c r="D566" s="11" t="s">
        <v>1627</v>
      </c>
      <c r="E566" s="11" t="s">
        <v>1441</v>
      </c>
      <c r="F566" s="11">
        <v>13</v>
      </c>
      <c r="G566" s="11" t="s">
        <v>1377</v>
      </c>
      <c r="H566" s="11" t="s">
        <v>1376</v>
      </c>
      <c r="I566" s="11" t="s">
        <v>339</v>
      </c>
      <c r="J566" s="11" t="s">
        <v>2407</v>
      </c>
      <c r="K566" s="11" t="s">
        <v>1533</v>
      </c>
      <c r="L566" s="11"/>
      <c r="M566" s="11" t="s">
        <v>3177</v>
      </c>
      <c r="N566" s="11" t="s">
        <v>3470</v>
      </c>
      <c r="O566" s="11" t="s">
        <v>3471</v>
      </c>
      <c r="P566" s="11"/>
      <c r="Q566" s="11">
        <v>6</v>
      </c>
      <c r="R566" s="11">
        <v>6</v>
      </c>
      <c r="S566" s="11" t="s">
        <v>3472</v>
      </c>
    </row>
    <row r="567" spans="1:19" hidden="1" x14ac:dyDescent="0.15">
      <c r="A567" s="34">
        <v>566</v>
      </c>
      <c r="B567" s="35" t="s">
        <v>4883</v>
      </c>
      <c r="C567" s="36" t="s">
        <v>3431</v>
      </c>
      <c r="D567" s="11" t="s">
        <v>1627</v>
      </c>
      <c r="E567" s="11" t="s">
        <v>1441</v>
      </c>
      <c r="F567" s="11">
        <v>12</v>
      </c>
      <c r="G567" s="11" t="s">
        <v>1375</v>
      </c>
      <c r="H567" s="11" t="s">
        <v>1374</v>
      </c>
      <c r="I567" s="11" t="s">
        <v>339</v>
      </c>
      <c r="J567" s="11" t="s">
        <v>1489</v>
      </c>
      <c r="K567" s="11" t="s">
        <v>1799</v>
      </c>
      <c r="L567" s="11"/>
      <c r="M567" s="11" t="s">
        <v>3473</v>
      </c>
      <c r="N567" s="11"/>
      <c r="O567" s="11"/>
      <c r="P567" s="11"/>
      <c r="Q567" s="11">
        <v>6</v>
      </c>
      <c r="R567" s="11">
        <v>6</v>
      </c>
      <c r="S567" s="11" t="s">
        <v>3473</v>
      </c>
    </row>
    <row r="568" spans="1:19" hidden="1" x14ac:dyDescent="0.15">
      <c r="A568" s="34">
        <v>567</v>
      </c>
      <c r="B568" s="35" t="s">
        <v>4883</v>
      </c>
      <c r="C568" s="36" t="s">
        <v>3431</v>
      </c>
      <c r="D568" s="11" t="s">
        <v>1627</v>
      </c>
      <c r="E568" s="11" t="s">
        <v>1441</v>
      </c>
      <c r="F568" s="11">
        <v>0</v>
      </c>
      <c r="G568" s="11" t="s">
        <v>1041</v>
      </c>
      <c r="H568" s="11" t="s">
        <v>1040</v>
      </c>
      <c r="I568" s="11" t="s">
        <v>339</v>
      </c>
      <c r="J568" s="11" t="s">
        <v>1489</v>
      </c>
      <c r="K568" s="11" t="s">
        <v>1470</v>
      </c>
      <c r="L568" s="11"/>
      <c r="M568" s="11" t="s">
        <v>3474</v>
      </c>
      <c r="N568" s="11" t="s">
        <v>3475</v>
      </c>
      <c r="O568" s="11" t="s">
        <v>3476</v>
      </c>
      <c r="P568" s="11"/>
      <c r="Q568" s="11">
        <v>2</v>
      </c>
      <c r="R568" s="11">
        <v>2</v>
      </c>
      <c r="S568" s="11" t="s">
        <v>3477</v>
      </c>
    </row>
    <row r="569" spans="1:19" hidden="1" x14ac:dyDescent="0.15">
      <c r="A569" s="34">
        <v>568</v>
      </c>
      <c r="B569" s="35" t="s">
        <v>4883</v>
      </c>
      <c r="C569" s="36" t="s">
        <v>3431</v>
      </c>
      <c r="D569" s="11" t="s">
        <v>1627</v>
      </c>
      <c r="E569" s="11" t="s">
        <v>1441</v>
      </c>
      <c r="F569" s="11">
        <v>13</v>
      </c>
      <c r="G569" s="11" t="s">
        <v>1373</v>
      </c>
      <c r="H569" s="11" t="s">
        <v>1372</v>
      </c>
      <c r="I569" s="11" t="s">
        <v>339</v>
      </c>
      <c r="J569" s="11" t="s">
        <v>1489</v>
      </c>
      <c r="K569" s="11" t="s">
        <v>1799</v>
      </c>
      <c r="L569" s="11"/>
      <c r="M569" s="11" t="s">
        <v>3478</v>
      </c>
      <c r="N569" s="11" t="s">
        <v>3479</v>
      </c>
      <c r="O569" s="11"/>
      <c r="P569" s="11"/>
      <c r="Q569" s="11">
        <v>1</v>
      </c>
      <c r="R569" s="11">
        <v>1</v>
      </c>
      <c r="S569" s="11" t="s">
        <v>3480</v>
      </c>
    </row>
    <row r="570" spans="1:19" hidden="1" x14ac:dyDescent="0.15">
      <c r="A570" s="34">
        <v>569</v>
      </c>
      <c r="B570" s="35" t="s">
        <v>4883</v>
      </c>
      <c r="C570" s="36" t="s">
        <v>3431</v>
      </c>
      <c r="D570" s="11" t="s">
        <v>1627</v>
      </c>
      <c r="E570" s="11" t="s">
        <v>1441</v>
      </c>
      <c r="F570" s="11">
        <v>10</v>
      </c>
      <c r="G570" s="11" t="s">
        <v>1371</v>
      </c>
      <c r="H570" s="11" t="s">
        <v>1370</v>
      </c>
      <c r="I570" s="11" t="s">
        <v>1453</v>
      </c>
      <c r="J570" s="11"/>
      <c r="K570" s="11"/>
      <c r="L570" s="11"/>
      <c r="M570" s="11" t="s">
        <v>3481</v>
      </c>
      <c r="N570" s="11"/>
      <c r="O570" s="11"/>
      <c r="P570" s="11"/>
      <c r="Q570" s="11"/>
      <c r="R570" s="11"/>
      <c r="S570" s="11" t="s">
        <v>3481</v>
      </c>
    </row>
    <row r="571" spans="1:19" hidden="1" x14ac:dyDescent="0.15">
      <c r="A571" s="34">
        <v>570</v>
      </c>
      <c r="B571" s="35" t="s">
        <v>4883</v>
      </c>
      <c r="C571" s="36" t="s">
        <v>3431</v>
      </c>
      <c r="D571" s="11" t="s">
        <v>1627</v>
      </c>
      <c r="E571" s="11" t="s">
        <v>1441</v>
      </c>
      <c r="F571" s="11">
        <v>11</v>
      </c>
      <c r="G571" s="11" t="s">
        <v>1369</v>
      </c>
      <c r="H571" s="11" t="s">
        <v>1368</v>
      </c>
      <c r="I571" s="11" t="s">
        <v>288</v>
      </c>
      <c r="J571" s="11"/>
      <c r="K571" s="11"/>
      <c r="L571" s="11"/>
      <c r="M571" s="11" t="s">
        <v>3482</v>
      </c>
      <c r="N571" s="11"/>
      <c r="O571" s="11"/>
      <c r="P571" s="11">
        <v>3</v>
      </c>
      <c r="Q571" s="11"/>
      <c r="R571" s="11"/>
      <c r="S571" s="11" t="s">
        <v>3482</v>
      </c>
    </row>
    <row r="572" spans="1:19" hidden="1" x14ac:dyDescent="0.15">
      <c r="A572" s="34">
        <v>571</v>
      </c>
      <c r="B572" s="35" t="s">
        <v>4883</v>
      </c>
      <c r="C572" s="36" t="s">
        <v>3431</v>
      </c>
      <c r="D572" s="11" t="s">
        <v>1627</v>
      </c>
      <c r="E572" s="11" t="s">
        <v>1431</v>
      </c>
      <c r="F572" s="11">
        <v>16</v>
      </c>
      <c r="G572" s="11" t="s">
        <v>1367</v>
      </c>
      <c r="H572" s="11" t="s">
        <v>1366</v>
      </c>
      <c r="I572" s="11" t="s">
        <v>339</v>
      </c>
      <c r="J572" s="11" t="s">
        <v>348</v>
      </c>
      <c r="K572" s="11"/>
      <c r="L572" s="11"/>
      <c r="M572" s="11" t="s">
        <v>351</v>
      </c>
      <c r="N572" s="11" t="s">
        <v>3483</v>
      </c>
      <c r="O572" s="11"/>
      <c r="P572" s="11"/>
      <c r="Q572" s="11">
        <v>8</v>
      </c>
      <c r="R572" s="11">
        <v>8</v>
      </c>
      <c r="S572" s="11" t="s">
        <v>3484</v>
      </c>
    </row>
    <row r="573" spans="1:19" hidden="1" x14ac:dyDescent="0.15">
      <c r="A573" s="34">
        <v>572</v>
      </c>
      <c r="B573" s="35" t="s">
        <v>4883</v>
      </c>
      <c r="C573" s="36" t="s">
        <v>3431</v>
      </c>
      <c r="D573" s="11" t="s">
        <v>1627</v>
      </c>
      <c r="E573" s="11" t="s">
        <v>1431</v>
      </c>
      <c r="F573" s="11">
        <v>18</v>
      </c>
      <c r="G573" s="11" t="s">
        <v>1365</v>
      </c>
      <c r="H573" s="11" t="s">
        <v>1364</v>
      </c>
      <c r="I573" s="11" t="s">
        <v>339</v>
      </c>
      <c r="J573" s="11" t="s">
        <v>348</v>
      </c>
      <c r="K573" s="11"/>
      <c r="L573" s="11"/>
      <c r="M573" s="11" t="s">
        <v>2406</v>
      </c>
      <c r="N573" s="11" t="s">
        <v>3485</v>
      </c>
      <c r="O573" s="11" t="s">
        <v>3486</v>
      </c>
      <c r="P573" s="11"/>
      <c r="Q573" s="11">
        <v>8</v>
      </c>
      <c r="R573" s="11">
        <v>8</v>
      </c>
      <c r="S573" s="11" t="s">
        <v>3487</v>
      </c>
    </row>
    <row r="574" spans="1:19" hidden="1" x14ac:dyDescent="0.15">
      <c r="A574" s="34">
        <v>573</v>
      </c>
      <c r="B574" s="35" t="s">
        <v>4883</v>
      </c>
      <c r="C574" s="36" t="s">
        <v>3431</v>
      </c>
      <c r="D574" s="11" t="s">
        <v>1627</v>
      </c>
      <c r="E574" s="11" t="s">
        <v>1431</v>
      </c>
      <c r="F574" s="11">
        <v>0</v>
      </c>
      <c r="G574" s="11" t="s">
        <v>1039</v>
      </c>
      <c r="H574" s="11" t="s">
        <v>1038</v>
      </c>
      <c r="I574" s="11" t="s">
        <v>339</v>
      </c>
      <c r="J574" s="11" t="s">
        <v>348</v>
      </c>
      <c r="K574" s="11"/>
      <c r="L574" s="11"/>
      <c r="M574" s="11" t="s">
        <v>2406</v>
      </c>
      <c r="N574" s="11" t="s">
        <v>3488</v>
      </c>
      <c r="O574" s="11"/>
      <c r="P574" s="11"/>
      <c r="Q574" s="11">
        <v>10</v>
      </c>
      <c r="R574" s="11">
        <v>10</v>
      </c>
      <c r="S574" s="11" t="s">
        <v>3489</v>
      </c>
    </row>
    <row r="575" spans="1:19" hidden="1" x14ac:dyDescent="0.15">
      <c r="A575" s="34">
        <v>574</v>
      </c>
      <c r="B575" s="35" t="s">
        <v>4883</v>
      </c>
      <c r="C575" s="36" t="s">
        <v>3431</v>
      </c>
      <c r="D575" s="11" t="s">
        <v>1627</v>
      </c>
      <c r="E575" s="11" t="s">
        <v>1431</v>
      </c>
      <c r="F575" s="11">
        <v>24</v>
      </c>
      <c r="G575" s="11" t="s">
        <v>1363</v>
      </c>
      <c r="H575" s="11" t="s">
        <v>1362</v>
      </c>
      <c r="I575" s="11" t="s">
        <v>339</v>
      </c>
      <c r="J575" s="11" t="s">
        <v>1489</v>
      </c>
      <c r="K575" s="11" t="s">
        <v>1799</v>
      </c>
      <c r="L575" s="11"/>
      <c r="M575" s="11" t="s">
        <v>3490</v>
      </c>
      <c r="N575" s="11" t="s">
        <v>3491</v>
      </c>
      <c r="O575" s="11"/>
      <c r="P575" s="11"/>
      <c r="Q575" s="11">
        <v>8</v>
      </c>
      <c r="R575" s="11">
        <v>8</v>
      </c>
      <c r="S575" s="11" t="s">
        <v>3492</v>
      </c>
    </row>
    <row r="576" spans="1:19" hidden="1" x14ac:dyDescent="0.15">
      <c r="A576" s="34">
        <v>575</v>
      </c>
      <c r="B576" s="35" t="s">
        <v>4883</v>
      </c>
      <c r="C576" s="36" t="s">
        <v>3431</v>
      </c>
      <c r="D576" s="11" t="s">
        <v>1627</v>
      </c>
      <c r="E576" s="11" t="s">
        <v>1431</v>
      </c>
      <c r="F576" s="11">
        <v>12</v>
      </c>
      <c r="G576" s="11" t="s">
        <v>1361</v>
      </c>
      <c r="H576" s="11" t="s">
        <v>1360</v>
      </c>
      <c r="I576" s="11" t="s">
        <v>1453</v>
      </c>
      <c r="J576" s="11"/>
      <c r="K576" s="11"/>
      <c r="L576" s="11"/>
      <c r="M576" s="11" t="s">
        <v>3493</v>
      </c>
      <c r="N576" s="11" t="s">
        <v>3494</v>
      </c>
      <c r="O576" s="11"/>
      <c r="P576" s="11"/>
      <c r="Q576" s="11"/>
      <c r="R576" s="11"/>
      <c r="S576" s="11" t="s">
        <v>3495</v>
      </c>
    </row>
    <row r="577" spans="1:19" hidden="1" x14ac:dyDescent="0.15">
      <c r="A577" s="34">
        <v>576</v>
      </c>
      <c r="B577" s="35" t="s">
        <v>4883</v>
      </c>
      <c r="C577" s="36" t="s">
        <v>3431</v>
      </c>
      <c r="D577" s="11" t="s">
        <v>1606</v>
      </c>
      <c r="E577" s="11" t="s">
        <v>1744</v>
      </c>
      <c r="F577" s="11">
        <v>6</v>
      </c>
      <c r="G577" s="11" t="s">
        <v>1359</v>
      </c>
      <c r="H577" s="11" t="s">
        <v>1358</v>
      </c>
      <c r="I577" s="11" t="s">
        <v>339</v>
      </c>
      <c r="J577" s="11" t="s">
        <v>1489</v>
      </c>
      <c r="K577" s="11" t="s">
        <v>1463</v>
      </c>
      <c r="L577" s="11"/>
      <c r="M577" s="11" t="s">
        <v>3442</v>
      </c>
      <c r="N577" s="11"/>
      <c r="O577" s="11"/>
      <c r="P577" s="11"/>
      <c r="Q577" s="11">
        <v>1</v>
      </c>
      <c r="R577" s="11">
        <v>2</v>
      </c>
      <c r="S577" s="11" t="s">
        <v>3442</v>
      </c>
    </row>
    <row r="578" spans="1:19" hidden="1" x14ac:dyDescent="0.15">
      <c r="A578" s="34">
        <v>577</v>
      </c>
      <c r="B578" s="35" t="s">
        <v>4883</v>
      </c>
      <c r="C578" s="36" t="s">
        <v>3431</v>
      </c>
      <c r="D578" s="11" t="s">
        <v>1606</v>
      </c>
      <c r="E578" s="11" t="s">
        <v>1744</v>
      </c>
      <c r="F578" s="11">
        <v>3</v>
      </c>
      <c r="G578" s="11" t="s">
        <v>1357</v>
      </c>
      <c r="H578" s="11" t="s">
        <v>1356</v>
      </c>
      <c r="I578" s="11" t="s">
        <v>339</v>
      </c>
      <c r="J578" s="11" t="s">
        <v>1484</v>
      </c>
      <c r="K578" s="11" t="s">
        <v>2802</v>
      </c>
      <c r="L578" s="11"/>
      <c r="M578" s="11" t="s">
        <v>3496</v>
      </c>
      <c r="N578" s="11"/>
      <c r="O578" s="11"/>
      <c r="P578" s="11"/>
      <c r="Q578" s="11">
        <v>1</v>
      </c>
      <c r="R578" s="11">
        <v>2</v>
      </c>
      <c r="S578" s="11" t="s">
        <v>3496</v>
      </c>
    </row>
    <row r="579" spans="1:19" hidden="1" x14ac:dyDescent="0.15">
      <c r="A579" s="34">
        <v>578</v>
      </c>
      <c r="B579" s="35" t="s">
        <v>4883</v>
      </c>
      <c r="C579" s="36" t="s">
        <v>3431</v>
      </c>
      <c r="D579" s="11" t="s">
        <v>1606</v>
      </c>
      <c r="E579" s="11" t="s">
        <v>1744</v>
      </c>
      <c r="F579" s="11">
        <v>5</v>
      </c>
      <c r="G579" s="11" t="s">
        <v>1355</v>
      </c>
      <c r="H579" s="11" t="s">
        <v>1354</v>
      </c>
      <c r="I579" s="11" t="s">
        <v>339</v>
      </c>
      <c r="J579" s="11" t="s">
        <v>1484</v>
      </c>
      <c r="K579" s="11"/>
      <c r="L579" s="11"/>
      <c r="M579" s="11"/>
      <c r="N579" s="11"/>
      <c r="O579" s="11"/>
      <c r="P579" s="11"/>
      <c r="Q579" s="11">
        <v>1</v>
      </c>
      <c r="R579" s="11">
        <v>3</v>
      </c>
      <c r="S579" s="11"/>
    </row>
    <row r="580" spans="1:19" hidden="1" x14ac:dyDescent="0.15">
      <c r="A580" s="34">
        <v>579</v>
      </c>
      <c r="B580" s="35" t="s">
        <v>4883</v>
      </c>
      <c r="C580" s="36" t="s">
        <v>3431</v>
      </c>
      <c r="D580" s="11" t="s">
        <v>1606</v>
      </c>
      <c r="E580" s="11" t="s">
        <v>1744</v>
      </c>
      <c r="F580" s="11">
        <v>11</v>
      </c>
      <c r="G580" s="11" t="s">
        <v>1353</v>
      </c>
      <c r="H580" s="11" t="s">
        <v>1352</v>
      </c>
      <c r="I580" s="11" t="s">
        <v>339</v>
      </c>
      <c r="J580" s="11" t="s">
        <v>3497</v>
      </c>
      <c r="K580" s="11"/>
      <c r="L580" s="11"/>
      <c r="M580" s="11" t="s">
        <v>3498</v>
      </c>
      <c r="N580" s="11" t="s">
        <v>3499</v>
      </c>
      <c r="O580" s="11"/>
      <c r="P580" s="11"/>
      <c r="Q580" s="11">
        <v>6</v>
      </c>
      <c r="R580" s="11">
        <v>6</v>
      </c>
      <c r="S580" s="11" t="s">
        <v>3500</v>
      </c>
    </row>
    <row r="581" spans="1:19" hidden="1" x14ac:dyDescent="0.15">
      <c r="A581" s="34">
        <v>580</v>
      </c>
      <c r="B581" s="35" t="s">
        <v>4883</v>
      </c>
      <c r="C581" s="36" t="s">
        <v>3431</v>
      </c>
      <c r="D581" s="11" t="s">
        <v>1606</v>
      </c>
      <c r="E581" s="11" t="s">
        <v>1744</v>
      </c>
      <c r="F581" s="11">
        <v>5</v>
      </c>
      <c r="G581" s="11" t="s">
        <v>1351</v>
      </c>
      <c r="H581" s="11" t="s">
        <v>1350</v>
      </c>
      <c r="I581" s="11" t="s">
        <v>339</v>
      </c>
      <c r="J581" s="11" t="s">
        <v>1484</v>
      </c>
      <c r="K581" s="11" t="s">
        <v>2802</v>
      </c>
      <c r="L581" s="11"/>
      <c r="M581" s="11" t="s">
        <v>3501</v>
      </c>
      <c r="N581" s="11"/>
      <c r="O581" s="11"/>
      <c r="P581" s="11"/>
      <c r="Q581" s="11">
        <v>1</v>
      </c>
      <c r="R581" s="11">
        <v>2</v>
      </c>
      <c r="S581" s="11" t="s">
        <v>3501</v>
      </c>
    </row>
    <row r="582" spans="1:19" hidden="1" x14ac:dyDescent="0.15">
      <c r="A582" s="34">
        <v>581</v>
      </c>
      <c r="B582" s="35" t="s">
        <v>4883</v>
      </c>
      <c r="C582" s="36" t="s">
        <v>3431</v>
      </c>
      <c r="D582" s="11" t="s">
        <v>1606</v>
      </c>
      <c r="E582" s="11" t="s">
        <v>1744</v>
      </c>
      <c r="F582" s="11">
        <v>6</v>
      </c>
      <c r="G582" s="11" t="s">
        <v>1349</v>
      </c>
      <c r="H582" s="11" t="s">
        <v>1348</v>
      </c>
      <c r="I582" s="11" t="s">
        <v>339</v>
      </c>
      <c r="J582" s="11" t="s">
        <v>2407</v>
      </c>
      <c r="K582" s="11"/>
      <c r="L582" s="11"/>
      <c r="M582" s="11" t="s">
        <v>351</v>
      </c>
      <c r="N582" s="11"/>
      <c r="O582" s="11"/>
      <c r="P582" s="11"/>
      <c r="Q582" s="11">
        <v>2</v>
      </c>
      <c r="R582" s="11">
        <v>2</v>
      </c>
      <c r="S582" s="11" t="s">
        <v>351</v>
      </c>
    </row>
    <row r="583" spans="1:19" hidden="1" x14ac:dyDescent="0.15">
      <c r="A583" s="34">
        <v>582</v>
      </c>
      <c r="B583" s="35" t="s">
        <v>4883</v>
      </c>
      <c r="C583" s="36" t="s">
        <v>3431</v>
      </c>
      <c r="D583" s="11" t="s">
        <v>1606</v>
      </c>
      <c r="E583" s="11" t="s">
        <v>1744</v>
      </c>
      <c r="F583" s="11">
        <v>4</v>
      </c>
      <c r="G583" s="11" t="s">
        <v>1347</v>
      </c>
      <c r="H583" s="11" t="s">
        <v>1346</v>
      </c>
      <c r="I583" s="11" t="s">
        <v>1453</v>
      </c>
      <c r="J583" s="11"/>
      <c r="K583" s="11"/>
      <c r="L583" s="11"/>
      <c r="M583" s="11" t="s">
        <v>3502</v>
      </c>
      <c r="N583" s="11"/>
      <c r="O583" s="11"/>
      <c r="P583" s="11"/>
      <c r="Q583" s="11"/>
      <c r="R583" s="11"/>
      <c r="S583" s="11" t="s">
        <v>3502</v>
      </c>
    </row>
    <row r="584" spans="1:19" hidden="1" x14ac:dyDescent="0.15">
      <c r="A584" s="34">
        <v>583</v>
      </c>
      <c r="B584" s="35" t="s">
        <v>4883</v>
      </c>
      <c r="C584" s="36" t="s">
        <v>3431</v>
      </c>
      <c r="D584" s="11" t="s">
        <v>1606</v>
      </c>
      <c r="E584" s="11" t="s">
        <v>1744</v>
      </c>
      <c r="F584" s="11">
        <v>3</v>
      </c>
      <c r="G584" s="11" t="s">
        <v>1345</v>
      </c>
      <c r="H584" s="11" t="s">
        <v>1344</v>
      </c>
      <c r="I584" s="11" t="s">
        <v>1453</v>
      </c>
      <c r="J584" s="11"/>
      <c r="K584" s="11"/>
      <c r="L584" s="11"/>
      <c r="M584" s="11" t="s">
        <v>3503</v>
      </c>
      <c r="N584" s="11"/>
      <c r="O584" s="11"/>
      <c r="P584" s="11"/>
      <c r="Q584" s="11"/>
      <c r="R584" s="11"/>
      <c r="S584" s="11" t="s">
        <v>3503</v>
      </c>
    </row>
    <row r="585" spans="1:19" hidden="1" x14ac:dyDescent="0.15">
      <c r="A585" s="34">
        <v>584</v>
      </c>
      <c r="B585" s="35" t="s">
        <v>4883</v>
      </c>
      <c r="C585" s="36" t="s">
        <v>3431</v>
      </c>
      <c r="D585" s="11" t="s">
        <v>1606</v>
      </c>
      <c r="E585" s="11" t="s">
        <v>1744</v>
      </c>
      <c r="F585" s="11">
        <v>11</v>
      </c>
      <c r="G585" s="11" t="s">
        <v>1343</v>
      </c>
      <c r="H585" s="11" t="s">
        <v>1342</v>
      </c>
      <c r="I585" s="11" t="s">
        <v>1453</v>
      </c>
      <c r="J585" s="11"/>
      <c r="K585" s="11"/>
      <c r="L585" s="11"/>
      <c r="M585" s="11" t="s">
        <v>3504</v>
      </c>
      <c r="N585" s="11" t="s">
        <v>3450</v>
      </c>
      <c r="O585" s="11"/>
      <c r="P585" s="11"/>
      <c r="Q585" s="11"/>
      <c r="R585" s="11"/>
      <c r="S585" s="11" t="s">
        <v>3505</v>
      </c>
    </row>
    <row r="586" spans="1:19" hidden="1" x14ac:dyDescent="0.15">
      <c r="A586" s="34">
        <v>585</v>
      </c>
      <c r="B586" s="35" t="s">
        <v>4883</v>
      </c>
      <c r="C586" s="36" t="s">
        <v>3431</v>
      </c>
      <c r="D586" s="11" t="s">
        <v>1606</v>
      </c>
      <c r="E586" s="11" t="s">
        <v>1744</v>
      </c>
      <c r="F586" s="11">
        <v>10</v>
      </c>
      <c r="G586" s="11" t="s">
        <v>1341</v>
      </c>
      <c r="H586" s="11" t="s">
        <v>1340</v>
      </c>
      <c r="I586" s="11" t="s">
        <v>1453</v>
      </c>
      <c r="J586" s="11"/>
      <c r="K586" s="11"/>
      <c r="L586" s="11"/>
      <c r="M586" s="11" t="s">
        <v>3506</v>
      </c>
      <c r="N586" s="11" t="s">
        <v>2281</v>
      </c>
      <c r="O586" s="11"/>
      <c r="P586" s="11"/>
      <c r="Q586" s="11"/>
      <c r="R586" s="11"/>
      <c r="S586" s="11" t="s">
        <v>3507</v>
      </c>
    </row>
    <row r="587" spans="1:19" hidden="1" x14ac:dyDescent="0.15">
      <c r="A587" s="34">
        <v>586</v>
      </c>
      <c r="B587" s="35" t="s">
        <v>4883</v>
      </c>
      <c r="C587" s="36" t="s">
        <v>3431</v>
      </c>
      <c r="D587" s="11" t="s">
        <v>1606</v>
      </c>
      <c r="E587" s="11" t="s">
        <v>1744</v>
      </c>
      <c r="F587" s="11">
        <v>7</v>
      </c>
      <c r="G587" s="11" t="s">
        <v>1339</v>
      </c>
      <c r="H587" s="11" t="s">
        <v>1338</v>
      </c>
      <c r="I587" s="11" t="s">
        <v>1453</v>
      </c>
      <c r="J587" s="11"/>
      <c r="K587" s="11"/>
      <c r="L587" s="11"/>
      <c r="M587" s="11" t="s">
        <v>3508</v>
      </c>
      <c r="N587" s="11" t="s">
        <v>3509</v>
      </c>
      <c r="O587" s="11"/>
      <c r="P587" s="11"/>
      <c r="Q587" s="11"/>
      <c r="R587" s="11"/>
      <c r="S587" s="11" t="s">
        <v>3510</v>
      </c>
    </row>
    <row r="588" spans="1:19" hidden="1" x14ac:dyDescent="0.15">
      <c r="A588" s="34">
        <v>587</v>
      </c>
      <c r="B588" s="35" t="s">
        <v>4883</v>
      </c>
      <c r="C588" s="36" t="s">
        <v>3431</v>
      </c>
      <c r="D588" s="11" t="s">
        <v>1606</v>
      </c>
      <c r="E588" s="11" t="s">
        <v>1744</v>
      </c>
      <c r="F588" s="11">
        <v>8</v>
      </c>
      <c r="G588" s="11" t="s">
        <v>1337</v>
      </c>
      <c r="H588" s="11" t="s">
        <v>1336</v>
      </c>
      <c r="I588" s="11" t="s">
        <v>1453</v>
      </c>
      <c r="J588" s="11"/>
      <c r="K588" s="11"/>
      <c r="L588" s="11"/>
      <c r="M588" s="11" t="s">
        <v>3511</v>
      </c>
      <c r="N588" s="11"/>
      <c r="O588" s="11"/>
      <c r="P588" s="11"/>
      <c r="Q588" s="11"/>
      <c r="R588" s="11"/>
      <c r="S588" s="11" t="s">
        <v>3511</v>
      </c>
    </row>
    <row r="589" spans="1:19" hidden="1" x14ac:dyDescent="0.15">
      <c r="A589" s="34">
        <v>588</v>
      </c>
      <c r="B589" s="35" t="s">
        <v>4883</v>
      </c>
      <c r="C589" s="36" t="s">
        <v>3431</v>
      </c>
      <c r="D589" s="11" t="s">
        <v>1606</v>
      </c>
      <c r="E589" s="11" t="s">
        <v>1744</v>
      </c>
      <c r="F589" s="11">
        <v>3</v>
      </c>
      <c r="G589" s="11" t="s">
        <v>1335</v>
      </c>
      <c r="H589" s="11" t="s">
        <v>1334</v>
      </c>
      <c r="I589" s="11" t="s">
        <v>288</v>
      </c>
      <c r="J589" s="11"/>
      <c r="K589" s="11"/>
      <c r="L589" s="11"/>
      <c r="M589" s="11" t="s">
        <v>3512</v>
      </c>
      <c r="N589" s="11"/>
      <c r="O589" s="11"/>
      <c r="P589" s="11">
        <v>1</v>
      </c>
      <c r="Q589" s="11"/>
      <c r="R589" s="11"/>
      <c r="S589" s="11" t="s">
        <v>3512</v>
      </c>
    </row>
    <row r="590" spans="1:19" hidden="1" x14ac:dyDescent="0.15">
      <c r="A590" s="34">
        <v>589</v>
      </c>
      <c r="B590" s="35" t="s">
        <v>4883</v>
      </c>
      <c r="C590" s="36" t="s">
        <v>3431</v>
      </c>
      <c r="D590" s="11" t="s">
        <v>1606</v>
      </c>
      <c r="E590" s="11" t="s">
        <v>1451</v>
      </c>
      <c r="F590" s="11">
        <v>8</v>
      </c>
      <c r="G590" s="11" t="s">
        <v>1333</v>
      </c>
      <c r="H590" s="11" t="s">
        <v>1332</v>
      </c>
      <c r="I590" s="11" t="s">
        <v>339</v>
      </c>
      <c r="J590" s="11" t="s">
        <v>1489</v>
      </c>
      <c r="K590" s="11" t="s">
        <v>1945</v>
      </c>
      <c r="L590" s="11"/>
      <c r="M590" s="11" t="s">
        <v>351</v>
      </c>
      <c r="N590" s="11" t="s">
        <v>3513</v>
      </c>
      <c r="O590" s="11"/>
      <c r="P590" s="11"/>
      <c r="Q590" s="11">
        <v>4</v>
      </c>
      <c r="R590" s="11">
        <v>3</v>
      </c>
      <c r="S590" s="11" t="s">
        <v>3514</v>
      </c>
    </row>
    <row r="591" spans="1:19" hidden="1" x14ac:dyDescent="0.15">
      <c r="A591" s="34">
        <v>590</v>
      </c>
      <c r="B591" s="35" t="s">
        <v>4883</v>
      </c>
      <c r="C591" s="36" t="s">
        <v>3431</v>
      </c>
      <c r="D591" s="11" t="s">
        <v>1606</v>
      </c>
      <c r="E591" s="11" t="s">
        <v>1451</v>
      </c>
      <c r="F591" s="11">
        <v>0</v>
      </c>
      <c r="G591" s="11" t="s">
        <v>1037</v>
      </c>
      <c r="H591" s="11" t="s">
        <v>1036</v>
      </c>
      <c r="I591" s="11" t="s">
        <v>339</v>
      </c>
      <c r="J591" s="11" t="s">
        <v>1945</v>
      </c>
      <c r="K591" s="11" t="s">
        <v>2802</v>
      </c>
      <c r="L591" s="11"/>
      <c r="M591" s="11" t="s">
        <v>351</v>
      </c>
      <c r="N591" s="11"/>
      <c r="O591" s="11"/>
      <c r="P591" s="11"/>
      <c r="Q591" s="11">
        <v>5</v>
      </c>
      <c r="R591" s="11">
        <v>4</v>
      </c>
      <c r="S591" s="11" t="s">
        <v>351</v>
      </c>
    </row>
    <row r="592" spans="1:19" hidden="1" x14ac:dyDescent="0.15">
      <c r="A592" s="34">
        <v>591</v>
      </c>
      <c r="B592" s="35" t="s">
        <v>4883</v>
      </c>
      <c r="C592" s="36" t="s">
        <v>3431</v>
      </c>
      <c r="D592" s="11" t="s">
        <v>1606</v>
      </c>
      <c r="E592" s="11" t="s">
        <v>1451</v>
      </c>
      <c r="F592" s="11">
        <v>5</v>
      </c>
      <c r="G592" s="11" t="s">
        <v>1331</v>
      </c>
      <c r="H592" s="11" t="s">
        <v>1330</v>
      </c>
      <c r="I592" s="11" t="s">
        <v>339</v>
      </c>
      <c r="J592" s="11" t="s">
        <v>1489</v>
      </c>
      <c r="K592" s="11" t="s">
        <v>2938</v>
      </c>
      <c r="L592" s="11"/>
      <c r="M592" s="11" t="s">
        <v>3515</v>
      </c>
      <c r="N592" s="11"/>
      <c r="O592" s="11"/>
      <c r="P592" s="11"/>
      <c r="Q592" s="11">
        <v>3</v>
      </c>
      <c r="R592" s="11">
        <v>2</v>
      </c>
      <c r="S592" s="11" t="s">
        <v>3515</v>
      </c>
    </row>
    <row r="593" spans="1:19" hidden="1" x14ac:dyDescent="0.15">
      <c r="A593" s="34">
        <v>592</v>
      </c>
      <c r="B593" s="35" t="s">
        <v>4883</v>
      </c>
      <c r="C593" s="36" t="s">
        <v>3431</v>
      </c>
      <c r="D593" s="11" t="s">
        <v>1606</v>
      </c>
      <c r="E593" s="11" t="s">
        <v>1451</v>
      </c>
      <c r="F593" s="11">
        <v>0</v>
      </c>
      <c r="G593" s="11" t="s">
        <v>1035</v>
      </c>
      <c r="H593" s="11" t="s">
        <v>1034</v>
      </c>
      <c r="I593" s="11" t="s">
        <v>339</v>
      </c>
      <c r="J593" s="11" t="s">
        <v>1489</v>
      </c>
      <c r="K593" s="11" t="s">
        <v>1463</v>
      </c>
      <c r="L593" s="11"/>
      <c r="M593" s="11" t="s">
        <v>1488</v>
      </c>
      <c r="N593" s="11" t="s">
        <v>3516</v>
      </c>
      <c r="O593" s="11"/>
      <c r="P593" s="11"/>
      <c r="Q593" s="11">
        <v>4</v>
      </c>
      <c r="R593" s="11">
        <v>3</v>
      </c>
      <c r="S593" s="11" t="s">
        <v>4898</v>
      </c>
    </row>
    <row r="594" spans="1:19" hidden="1" x14ac:dyDescent="0.15">
      <c r="A594" s="34">
        <v>593</v>
      </c>
      <c r="B594" s="35" t="s">
        <v>4883</v>
      </c>
      <c r="C594" s="36" t="s">
        <v>3431</v>
      </c>
      <c r="D594" s="11" t="s">
        <v>1606</v>
      </c>
      <c r="E594" s="11" t="s">
        <v>1451</v>
      </c>
      <c r="F594" s="11">
        <v>12</v>
      </c>
      <c r="G594" s="11" t="s">
        <v>1329</v>
      </c>
      <c r="H594" s="11" t="s">
        <v>1328</v>
      </c>
      <c r="I594" s="11" t="s">
        <v>339</v>
      </c>
      <c r="J594" s="11" t="s">
        <v>1484</v>
      </c>
      <c r="K594" s="11"/>
      <c r="L594" s="11"/>
      <c r="M594" s="11" t="s">
        <v>3518</v>
      </c>
      <c r="N594" s="11" t="s">
        <v>3519</v>
      </c>
      <c r="O594" s="11"/>
      <c r="P594" s="11"/>
      <c r="Q594" s="11">
        <v>4</v>
      </c>
      <c r="R594" s="11">
        <v>4</v>
      </c>
      <c r="S594" s="11" t="s">
        <v>3520</v>
      </c>
    </row>
    <row r="595" spans="1:19" hidden="1" x14ac:dyDescent="0.15">
      <c r="A595" s="34">
        <v>594</v>
      </c>
      <c r="B595" s="35" t="s">
        <v>4883</v>
      </c>
      <c r="C595" s="36" t="s">
        <v>3431</v>
      </c>
      <c r="D595" s="11" t="s">
        <v>1606</v>
      </c>
      <c r="E595" s="11" t="s">
        <v>1451</v>
      </c>
      <c r="F595" s="11">
        <v>7</v>
      </c>
      <c r="G595" s="11" t="s">
        <v>1327</v>
      </c>
      <c r="H595" s="11" t="s">
        <v>1326</v>
      </c>
      <c r="I595" s="11" t="s">
        <v>339</v>
      </c>
      <c r="J595" s="11" t="s">
        <v>1484</v>
      </c>
      <c r="K595" s="11"/>
      <c r="L595" s="11"/>
      <c r="M595" s="11" t="s">
        <v>351</v>
      </c>
      <c r="N595" s="11" t="s">
        <v>3521</v>
      </c>
      <c r="O595" s="11"/>
      <c r="P595" s="11"/>
      <c r="Q595" s="11">
        <v>4</v>
      </c>
      <c r="R595" s="11">
        <v>2</v>
      </c>
      <c r="S595" s="11" t="s">
        <v>3522</v>
      </c>
    </row>
    <row r="596" spans="1:19" hidden="1" x14ac:dyDescent="0.15">
      <c r="A596" s="34">
        <v>595</v>
      </c>
      <c r="B596" s="35" t="s">
        <v>4883</v>
      </c>
      <c r="C596" s="36" t="s">
        <v>3431</v>
      </c>
      <c r="D596" s="11" t="s">
        <v>1606</v>
      </c>
      <c r="E596" s="11" t="s">
        <v>1451</v>
      </c>
      <c r="F596" s="11">
        <v>13</v>
      </c>
      <c r="G596" s="11" t="s">
        <v>1325</v>
      </c>
      <c r="H596" s="11" t="s">
        <v>1324</v>
      </c>
      <c r="I596" s="11" t="s">
        <v>339</v>
      </c>
      <c r="J596" s="11" t="s">
        <v>2407</v>
      </c>
      <c r="K596" s="11"/>
      <c r="L596" s="11"/>
      <c r="M596" s="11" t="s">
        <v>3523</v>
      </c>
      <c r="N596" s="11"/>
      <c r="O596" s="11"/>
      <c r="P596" s="11"/>
      <c r="Q596" s="11">
        <v>3</v>
      </c>
      <c r="R596" s="11">
        <v>3</v>
      </c>
      <c r="S596" s="11" t="s">
        <v>3523</v>
      </c>
    </row>
    <row r="597" spans="1:19" hidden="1" x14ac:dyDescent="0.15">
      <c r="A597" s="34">
        <v>596</v>
      </c>
      <c r="B597" s="35" t="s">
        <v>4883</v>
      </c>
      <c r="C597" s="36" t="s">
        <v>3431</v>
      </c>
      <c r="D597" s="11" t="s">
        <v>1606</v>
      </c>
      <c r="E597" s="11" t="s">
        <v>1451</v>
      </c>
      <c r="F597" s="11">
        <v>0</v>
      </c>
      <c r="G597" s="11" t="s">
        <v>1033</v>
      </c>
      <c r="H597" s="11" t="s">
        <v>1032</v>
      </c>
      <c r="I597" s="11" t="s">
        <v>339</v>
      </c>
      <c r="J597" s="11" t="s">
        <v>2407</v>
      </c>
      <c r="K597" s="11"/>
      <c r="L597" s="11"/>
      <c r="M597" s="11" t="s">
        <v>3419</v>
      </c>
      <c r="N597" s="11"/>
      <c r="O597" s="11"/>
      <c r="P597" s="11"/>
      <c r="Q597" s="11">
        <v>5</v>
      </c>
      <c r="R597" s="11">
        <v>5</v>
      </c>
      <c r="S597" s="11" t="s">
        <v>4799</v>
      </c>
    </row>
    <row r="598" spans="1:19" hidden="1" x14ac:dyDescent="0.15">
      <c r="A598" s="34">
        <v>597</v>
      </c>
      <c r="B598" s="35" t="s">
        <v>4883</v>
      </c>
      <c r="C598" s="36" t="s">
        <v>3431</v>
      </c>
      <c r="D598" s="11" t="s">
        <v>1606</v>
      </c>
      <c r="E598" s="11" t="s">
        <v>1451</v>
      </c>
      <c r="F598" s="11">
        <v>8</v>
      </c>
      <c r="G598" s="11" t="s">
        <v>1323</v>
      </c>
      <c r="H598" s="11" t="s">
        <v>1322</v>
      </c>
      <c r="I598" s="11" t="s">
        <v>1453</v>
      </c>
      <c r="J598" s="11"/>
      <c r="K598" s="11"/>
      <c r="L598" s="11"/>
      <c r="M598" s="11" t="s">
        <v>3508</v>
      </c>
      <c r="N598" s="11" t="s">
        <v>2211</v>
      </c>
      <c r="O598" s="11"/>
      <c r="P598" s="11"/>
      <c r="Q598" s="11"/>
      <c r="R598" s="11"/>
      <c r="S598" s="11" t="s">
        <v>3524</v>
      </c>
    </row>
    <row r="599" spans="1:19" hidden="1" x14ac:dyDescent="0.15">
      <c r="A599" s="34">
        <v>598</v>
      </c>
      <c r="B599" s="35" t="s">
        <v>4883</v>
      </c>
      <c r="C599" s="36" t="s">
        <v>3431</v>
      </c>
      <c r="D599" s="11" t="s">
        <v>1606</v>
      </c>
      <c r="E599" s="11" t="s">
        <v>1451</v>
      </c>
      <c r="F599" s="11">
        <v>9</v>
      </c>
      <c r="G599" s="11" t="s">
        <v>1321</v>
      </c>
      <c r="H599" s="11" t="s">
        <v>1320</v>
      </c>
      <c r="I599" s="11" t="s">
        <v>1453</v>
      </c>
      <c r="J599" s="11"/>
      <c r="K599" s="11"/>
      <c r="L599" s="11"/>
      <c r="M599" s="11" t="s">
        <v>3525</v>
      </c>
      <c r="N599" s="11"/>
      <c r="O599" s="11"/>
      <c r="P599" s="11"/>
      <c r="Q599" s="11"/>
      <c r="R599" s="11"/>
      <c r="S599" s="11" t="s">
        <v>3525</v>
      </c>
    </row>
    <row r="600" spans="1:19" hidden="1" x14ac:dyDescent="0.15">
      <c r="A600" s="34">
        <v>599</v>
      </c>
      <c r="B600" s="35" t="s">
        <v>4883</v>
      </c>
      <c r="C600" s="36" t="s">
        <v>3431</v>
      </c>
      <c r="D600" s="11" t="s">
        <v>1606</v>
      </c>
      <c r="E600" s="11" t="s">
        <v>1451</v>
      </c>
      <c r="F600" s="11">
        <v>15</v>
      </c>
      <c r="G600" s="11" t="s">
        <v>1319</v>
      </c>
      <c r="H600" s="11" t="s">
        <v>1318</v>
      </c>
      <c r="I600" s="11" t="s">
        <v>1453</v>
      </c>
      <c r="J600" s="11"/>
      <c r="K600" s="11"/>
      <c r="L600" s="11"/>
      <c r="M600" s="11" t="s">
        <v>3526</v>
      </c>
      <c r="N600" s="11"/>
      <c r="O600" s="11"/>
      <c r="P600" s="11"/>
      <c r="Q600" s="11"/>
      <c r="R600" s="11"/>
      <c r="S600" s="11" t="s">
        <v>3526</v>
      </c>
    </row>
    <row r="601" spans="1:19" hidden="1" x14ac:dyDescent="0.15">
      <c r="A601" s="34">
        <v>600</v>
      </c>
      <c r="B601" s="35" t="s">
        <v>4883</v>
      </c>
      <c r="C601" s="36" t="s">
        <v>3431</v>
      </c>
      <c r="D601" s="11" t="s">
        <v>1606</v>
      </c>
      <c r="E601" s="11" t="s">
        <v>1451</v>
      </c>
      <c r="F601" s="11">
        <v>12</v>
      </c>
      <c r="G601" s="11" t="s">
        <v>1317</v>
      </c>
      <c r="H601" s="11" t="s">
        <v>1316</v>
      </c>
      <c r="I601" s="11" t="s">
        <v>288</v>
      </c>
      <c r="J601" s="11"/>
      <c r="K601" s="11"/>
      <c r="L601" s="11"/>
      <c r="M601" s="11" t="s">
        <v>3527</v>
      </c>
      <c r="N601" s="11"/>
      <c r="O601" s="11"/>
      <c r="P601" s="11">
        <v>2</v>
      </c>
      <c r="Q601" s="11"/>
      <c r="R601" s="11"/>
      <c r="S601" s="11" t="s">
        <v>3527</v>
      </c>
    </row>
    <row r="602" spans="1:19" hidden="1" x14ac:dyDescent="0.15">
      <c r="A602" s="34">
        <v>601</v>
      </c>
      <c r="B602" s="35" t="s">
        <v>4883</v>
      </c>
      <c r="C602" s="36" t="s">
        <v>3431</v>
      </c>
      <c r="D602" s="11" t="s">
        <v>1606</v>
      </c>
      <c r="E602" s="11" t="s">
        <v>1451</v>
      </c>
      <c r="F602" s="11">
        <v>6</v>
      </c>
      <c r="G602" s="11" t="s">
        <v>1315</v>
      </c>
      <c r="H602" s="11" t="s">
        <v>1314</v>
      </c>
      <c r="I602" s="11" t="s">
        <v>288</v>
      </c>
      <c r="J602" s="11"/>
      <c r="K602" s="11"/>
      <c r="L602" s="11"/>
      <c r="M602" s="11" t="s">
        <v>3528</v>
      </c>
      <c r="N602" s="11"/>
      <c r="O602" s="11"/>
      <c r="P602" s="11">
        <v>2</v>
      </c>
      <c r="Q602" s="11"/>
      <c r="R602" s="11"/>
      <c r="S602" s="11" t="s">
        <v>3528</v>
      </c>
    </row>
    <row r="603" spans="1:19" hidden="1" x14ac:dyDescent="0.15">
      <c r="A603" s="34">
        <v>602</v>
      </c>
      <c r="B603" s="35" t="s">
        <v>4883</v>
      </c>
      <c r="C603" s="36" t="s">
        <v>3431</v>
      </c>
      <c r="D603" s="11" t="s">
        <v>1606</v>
      </c>
      <c r="E603" s="11" t="s">
        <v>1441</v>
      </c>
      <c r="F603" s="11">
        <v>10</v>
      </c>
      <c r="G603" s="11" t="s">
        <v>1313</v>
      </c>
      <c r="H603" s="11" t="s">
        <v>1312</v>
      </c>
      <c r="I603" s="11" t="s">
        <v>339</v>
      </c>
      <c r="J603" s="11" t="s">
        <v>1484</v>
      </c>
      <c r="K603" s="11" t="s">
        <v>2802</v>
      </c>
      <c r="L603" s="11"/>
      <c r="M603" s="11" t="s">
        <v>3419</v>
      </c>
      <c r="N603" s="11" t="s">
        <v>3529</v>
      </c>
      <c r="O603" s="11"/>
      <c r="P603" s="11"/>
      <c r="Q603" s="11">
        <v>3</v>
      </c>
      <c r="R603" s="11">
        <v>3</v>
      </c>
      <c r="S603" s="11" t="s">
        <v>3530</v>
      </c>
    </row>
    <row r="604" spans="1:19" hidden="1" x14ac:dyDescent="0.15">
      <c r="A604" s="34">
        <v>603</v>
      </c>
      <c r="B604" s="35" t="s">
        <v>4883</v>
      </c>
      <c r="C604" s="36" t="s">
        <v>3431</v>
      </c>
      <c r="D604" s="11" t="s">
        <v>1606</v>
      </c>
      <c r="E604" s="11" t="s">
        <v>1441</v>
      </c>
      <c r="F604" s="11">
        <v>11</v>
      </c>
      <c r="G604" s="11" t="s">
        <v>1311</v>
      </c>
      <c r="H604" s="11" t="s">
        <v>1310</v>
      </c>
      <c r="I604" s="11" t="s">
        <v>339</v>
      </c>
      <c r="J604" s="11" t="s">
        <v>2515</v>
      </c>
      <c r="K604" s="11"/>
      <c r="L604" s="11"/>
      <c r="M604" s="11" t="s">
        <v>351</v>
      </c>
      <c r="N604" s="11" t="s">
        <v>3531</v>
      </c>
      <c r="O604" s="11" t="s">
        <v>3532</v>
      </c>
      <c r="P604" s="11"/>
      <c r="Q604" s="11">
        <v>6</v>
      </c>
      <c r="R604" s="11">
        <v>6</v>
      </c>
      <c r="S604" s="11" t="s">
        <v>3533</v>
      </c>
    </row>
    <row r="605" spans="1:19" hidden="1" x14ac:dyDescent="0.15">
      <c r="A605" s="34">
        <v>604</v>
      </c>
      <c r="B605" s="35" t="s">
        <v>4883</v>
      </c>
      <c r="C605" s="36" t="s">
        <v>3431</v>
      </c>
      <c r="D605" s="11" t="s">
        <v>1606</v>
      </c>
      <c r="E605" s="11" t="s">
        <v>1441</v>
      </c>
      <c r="F605" s="11">
        <v>11</v>
      </c>
      <c r="G605" s="11" t="s">
        <v>1309</v>
      </c>
      <c r="H605" s="11" t="s">
        <v>1308</v>
      </c>
      <c r="I605" s="11" t="s">
        <v>1453</v>
      </c>
      <c r="J605" s="11"/>
      <c r="K605" s="11"/>
      <c r="L605" s="11"/>
      <c r="M605" s="11" t="s">
        <v>3506</v>
      </c>
      <c r="N605" s="11" t="s">
        <v>3534</v>
      </c>
      <c r="O605" s="11"/>
      <c r="P605" s="11"/>
      <c r="Q605" s="11"/>
      <c r="R605" s="11"/>
      <c r="S605" s="11" t="s">
        <v>3535</v>
      </c>
    </row>
    <row r="606" spans="1:19" hidden="1" x14ac:dyDescent="0.15">
      <c r="A606" s="34">
        <v>605</v>
      </c>
      <c r="B606" s="35" t="s">
        <v>4883</v>
      </c>
      <c r="C606" s="36" t="s">
        <v>3431</v>
      </c>
      <c r="D606" s="11" t="s">
        <v>1606</v>
      </c>
      <c r="E606" s="11" t="s">
        <v>1431</v>
      </c>
      <c r="F606" s="11">
        <v>7</v>
      </c>
      <c r="G606" s="11" t="s">
        <v>1307</v>
      </c>
      <c r="H606" s="11" t="s">
        <v>6294</v>
      </c>
      <c r="I606" s="11" t="s">
        <v>339</v>
      </c>
      <c r="J606" s="11" t="s">
        <v>1484</v>
      </c>
      <c r="K606" s="11" t="s">
        <v>2802</v>
      </c>
      <c r="L606" s="11"/>
      <c r="M606" s="11" t="s">
        <v>351</v>
      </c>
      <c r="N606" s="11" t="s">
        <v>3536</v>
      </c>
      <c r="O606" s="11" t="s">
        <v>3537</v>
      </c>
      <c r="P606" s="11"/>
      <c r="Q606" s="11">
        <v>2</v>
      </c>
      <c r="R606" s="11">
        <v>2</v>
      </c>
      <c r="S606" s="11" t="s">
        <v>3538</v>
      </c>
    </row>
    <row r="607" spans="1:19" hidden="1" x14ac:dyDescent="0.15">
      <c r="A607" s="34">
        <v>606</v>
      </c>
      <c r="B607" s="35" t="s">
        <v>4883</v>
      </c>
      <c r="C607" s="36" t="s">
        <v>3431</v>
      </c>
      <c r="D607" s="11" t="s">
        <v>1606</v>
      </c>
      <c r="E607" s="11" t="s">
        <v>1431</v>
      </c>
      <c r="F607" s="11">
        <v>18</v>
      </c>
      <c r="G607" s="11" t="s">
        <v>1305</v>
      </c>
      <c r="H607" s="11" t="s">
        <v>1304</v>
      </c>
      <c r="I607" s="11" t="s">
        <v>339</v>
      </c>
      <c r="J607" s="11" t="s">
        <v>2407</v>
      </c>
      <c r="K607" s="11"/>
      <c r="L607" s="11"/>
      <c r="M607" s="11" t="s">
        <v>351</v>
      </c>
      <c r="N607" s="11" t="s">
        <v>3539</v>
      </c>
      <c r="O607" s="11" t="s">
        <v>3540</v>
      </c>
      <c r="P607" s="11"/>
      <c r="Q607" s="11">
        <v>8</v>
      </c>
      <c r="R607" s="11">
        <v>7</v>
      </c>
      <c r="S607" s="11" t="s">
        <v>3541</v>
      </c>
    </row>
    <row r="608" spans="1:19" hidden="1" x14ac:dyDescent="0.15">
      <c r="A608" s="34">
        <v>607</v>
      </c>
      <c r="B608" s="35" t="s">
        <v>4883</v>
      </c>
      <c r="C608" s="36" t="s">
        <v>3431</v>
      </c>
      <c r="D608" s="11" t="s">
        <v>1606</v>
      </c>
      <c r="E608" s="11" t="s">
        <v>1431</v>
      </c>
      <c r="F608" s="11">
        <v>6</v>
      </c>
      <c r="G608" s="11" t="s">
        <v>1303</v>
      </c>
      <c r="H608" s="11" t="s">
        <v>1302</v>
      </c>
      <c r="I608" s="11" t="s">
        <v>339</v>
      </c>
      <c r="J608" s="11" t="s">
        <v>2407</v>
      </c>
      <c r="K608" s="11"/>
      <c r="L608" s="11"/>
      <c r="M608" s="11" t="s">
        <v>3419</v>
      </c>
      <c r="N608" s="11" t="s">
        <v>3542</v>
      </c>
      <c r="O608" s="11" t="s">
        <v>3523</v>
      </c>
      <c r="P608" s="11"/>
      <c r="Q608" s="11">
        <v>1</v>
      </c>
      <c r="R608" s="11">
        <v>1</v>
      </c>
      <c r="S608" s="11" t="s">
        <v>3543</v>
      </c>
    </row>
    <row r="609" spans="1:19" hidden="1" x14ac:dyDescent="0.15">
      <c r="A609" s="34">
        <v>608</v>
      </c>
      <c r="B609" s="35" t="s">
        <v>4883</v>
      </c>
      <c r="C609" s="36" t="s">
        <v>3431</v>
      </c>
      <c r="D609" s="11" t="s">
        <v>1606</v>
      </c>
      <c r="E609" s="11" t="s">
        <v>1431</v>
      </c>
      <c r="F609" s="11">
        <v>0</v>
      </c>
      <c r="G609" s="11" t="s">
        <v>1031</v>
      </c>
      <c r="H609" s="11" t="s">
        <v>1030</v>
      </c>
      <c r="I609" s="11" t="s">
        <v>339</v>
      </c>
      <c r="J609" s="11" t="s">
        <v>3544</v>
      </c>
      <c r="K609" s="11"/>
      <c r="L609" s="11"/>
      <c r="M609" s="11" t="s">
        <v>3419</v>
      </c>
      <c r="N609" s="11" t="s">
        <v>3545</v>
      </c>
      <c r="O609" s="11"/>
      <c r="P609" s="11"/>
      <c r="Q609" s="11">
        <v>1</v>
      </c>
      <c r="R609" s="11">
        <v>1</v>
      </c>
      <c r="S609" s="11" t="s">
        <v>3546</v>
      </c>
    </row>
    <row r="610" spans="1:19" hidden="1" x14ac:dyDescent="0.15">
      <c r="A610" s="34">
        <v>609</v>
      </c>
      <c r="B610" s="35" t="s">
        <v>4883</v>
      </c>
      <c r="C610" s="36" t="s">
        <v>3431</v>
      </c>
      <c r="D610" s="11" t="s">
        <v>1606</v>
      </c>
      <c r="E610" s="11" t="s">
        <v>1431</v>
      </c>
      <c r="F610" s="11">
        <v>4</v>
      </c>
      <c r="G610" s="11" t="s">
        <v>1301</v>
      </c>
      <c r="H610" s="11" t="s">
        <v>1300</v>
      </c>
      <c r="I610" s="11" t="s">
        <v>339</v>
      </c>
      <c r="J610" s="11" t="s">
        <v>2802</v>
      </c>
      <c r="K610" s="11"/>
      <c r="L610" s="11"/>
      <c r="M610" s="11" t="s">
        <v>3547</v>
      </c>
      <c r="N610" s="11" t="s">
        <v>3548</v>
      </c>
      <c r="O610" s="11" t="s">
        <v>3549</v>
      </c>
      <c r="P610" s="11"/>
      <c r="Q610" s="11">
        <v>0</v>
      </c>
      <c r="R610" s="11">
        <v>10</v>
      </c>
      <c r="S610" s="11" t="s">
        <v>3550</v>
      </c>
    </row>
    <row r="611" spans="1:19" hidden="1" x14ac:dyDescent="0.15">
      <c r="A611" s="34">
        <v>610</v>
      </c>
      <c r="B611" s="35" t="s">
        <v>4883</v>
      </c>
      <c r="C611" s="36" t="s">
        <v>3431</v>
      </c>
      <c r="D611" s="11" t="s">
        <v>1606</v>
      </c>
      <c r="E611" s="11" t="s">
        <v>1431</v>
      </c>
      <c r="F611" s="11">
        <v>0</v>
      </c>
      <c r="G611" s="11" t="s">
        <v>1029</v>
      </c>
      <c r="H611" s="11" t="s">
        <v>1028</v>
      </c>
      <c r="I611" s="11" t="s">
        <v>339</v>
      </c>
      <c r="J611" s="11" t="s">
        <v>3551</v>
      </c>
      <c r="K611" s="11" t="s">
        <v>2802</v>
      </c>
      <c r="L611" s="11"/>
      <c r="M611" s="11" t="s">
        <v>3552</v>
      </c>
      <c r="N611" s="11"/>
      <c r="O611" s="11"/>
      <c r="P611" s="11"/>
      <c r="Q611" s="11">
        <v>7</v>
      </c>
      <c r="R611" s="11">
        <v>8</v>
      </c>
      <c r="S611" s="11" t="s">
        <v>3552</v>
      </c>
    </row>
    <row r="612" spans="1:19" hidden="1" x14ac:dyDescent="0.15">
      <c r="A612" s="34">
        <v>611</v>
      </c>
      <c r="B612" s="35" t="s">
        <v>4883</v>
      </c>
      <c r="C612" s="36" t="s">
        <v>3431</v>
      </c>
      <c r="D612" s="11" t="s">
        <v>1606</v>
      </c>
      <c r="E612" s="11" t="s">
        <v>1431</v>
      </c>
      <c r="F612" s="11">
        <v>18</v>
      </c>
      <c r="G612" s="11" t="s">
        <v>1299</v>
      </c>
      <c r="H612" s="11" t="s">
        <v>1298</v>
      </c>
      <c r="I612" s="11" t="s">
        <v>1453</v>
      </c>
      <c r="J612" s="11"/>
      <c r="K612" s="11"/>
      <c r="L612" s="11"/>
      <c r="M612" s="11" t="s">
        <v>3553</v>
      </c>
      <c r="N612" s="11"/>
      <c r="O612" s="11"/>
      <c r="P612" s="11"/>
      <c r="Q612" s="11"/>
      <c r="R612" s="11"/>
      <c r="S612" s="11" t="s">
        <v>3553</v>
      </c>
    </row>
    <row r="613" spans="1:19" hidden="1" x14ac:dyDescent="0.15">
      <c r="A613" s="34">
        <v>612</v>
      </c>
      <c r="B613" s="35" t="s">
        <v>4883</v>
      </c>
      <c r="C613" s="36" t="s">
        <v>3431</v>
      </c>
      <c r="D613" s="11" t="s">
        <v>1582</v>
      </c>
      <c r="E613" s="11" t="s">
        <v>1744</v>
      </c>
      <c r="F613" s="11">
        <v>6</v>
      </c>
      <c r="G613" s="11" t="s">
        <v>1297</v>
      </c>
      <c r="H613" s="11" t="s">
        <v>1296</v>
      </c>
      <c r="I613" s="11" t="s">
        <v>339</v>
      </c>
      <c r="J613" s="11" t="s">
        <v>1484</v>
      </c>
      <c r="K613" s="11" t="s">
        <v>2948</v>
      </c>
      <c r="L613" s="11"/>
      <c r="M613" s="11" t="s">
        <v>3177</v>
      </c>
      <c r="N613" s="11" t="s">
        <v>3554</v>
      </c>
      <c r="O613" s="11"/>
      <c r="P613" s="11"/>
      <c r="Q613" s="11">
        <v>2</v>
      </c>
      <c r="R613" s="11">
        <v>1</v>
      </c>
      <c r="S613" s="11" t="s">
        <v>3555</v>
      </c>
    </row>
    <row r="614" spans="1:19" hidden="1" x14ac:dyDescent="0.15">
      <c r="A614" s="34">
        <v>613</v>
      </c>
      <c r="B614" s="35" t="s">
        <v>4883</v>
      </c>
      <c r="C614" s="36" t="s">
        <v>3431</v>
      </c>
      <c r="D614" s="11" t="s">
        <v>1582</v>
      </c>
      <c r="E614" s="11" t="s">
        <v>1744</v>
      </c>
      <c r="F614" s="11">
        <v>10</v>
      </c>
      <c r="G614" s="11" t="s">
        <v>1295</v>
      </c>
      <c r="H614" s="11" t="s">
        <v>1294</v>
      </c>
      <c r="I614" s="11" t="s">
        <v>339</v>
      </c>
      <c r="J614" s="11" t="s">
        <v>2407</v>
      </c>
      <c r="K614" s="11"/>
      <c r="L614" s="11"/>
      <c r="M614" s="11" t="s">
        <v>3556</v>
      </c>
      <c r="N614" s="11"/>
      <c r="O614" s="11"/>
      <c r="P614" s="11"/>
      <c r="Q614" s="11">
        <v>1</v>
      </c>
      <c r="R614" s="11">
        <v>3</v>
      </c>
      <c r="S614" s="11" t="s">
        <v>3556</v>
      </c>
    </row>
    <row r="615" spans="1:19" hidden="1" x14ac:dyDescent="0.15">
      <c r="A615" s="34">
        <v>614</v>
      </c>
      <c r="B615" s="35" t="s">
        <v>4883</v>
      </c>
      <c r="C615" s="36" t="s">
        <v>3431</v>
      </c>
      <c r="D615" s="11" t="s">
        <v>1582</v>
      </c>
      <c r="E615" s="11" t="s">
        <v>1744</v>
      </c>
      <c r="F615" s="11">
        <v>10</v>
      </c>
      <c r="G615" s="11" t="s">
        <v>1293</v>
      </c>
      <c r="H615" s="11" t="s">
        <v>1292</v>
      </c>
      <c r="I615" s="11" t="s">
        <v>339</v>
      </c>
      <c r="J615" s="11" t="s">
        <v>1489</v>
      </c>
      <c r="K615" s="11" t="s">
        <v>2938</v>
      </c>
      <c r="L615" s="11"/>
      <c r="M615" s="11" t="s">
        <v>2595</v>
      </c>
      <c r="N615" s="11" t="s">
        <v>3557</v>
      </c>
      <c r="O615" s="11"/>
      <c r="P615" s="11"/>
      <c r="Q615" s="11">
        <v>2</v>
      </c>
      <c r="R615" s="11">
        <v>2</v>
      </c>
      <c r="S615" s="11" t="s">
        <v>3558</v>
      </c>
    </row>
    <row r="616" spans="1:19" hidden="1" x14ac:dyDescent="0.15">
      <c r="A616" s="34">
        <v>615</v>
      </c>
      <c r="B616" s="35" t="s">
        <v>4883</v>
      </c>
      <c r="C616" s="36" t="s">
        <v>3431</v>
      </c>
      <c r="D616" s="11" t="s">
        <v>1582</v>
      </c>
      <c r="E616" s="11" t="s">
        <v>1744</v>
      </c>
      <c r="F616" s="11">
        <v>9</v>
      </c>
      <c r="G616" s="11" t="s">
        <v>1291</v>
      </c>
      <c r="H616" s="11" t="s">
        <v>1290</v>
      </c>
      <c r="I616" s="11" t="s">
        <v>339</v>
      </c>
      <c r="J616" s="11" t="s">
        <v>1484</v>
      </c>
      <c r="K616" s="11" t="s">
        <v>2537</v>
      </c>
      <c r="L616" s="11"/>
      <c r="M616" s="11"/>
      <c r="N616" s="11"/>
      <c r="O616" s="11"/>
      <c r="P616" s="11"/>
      <c r="Q616" s="11">
        <v>4</v>
      </c>
      <c r="R616" s="11">
        <v>2</v>
      </c>
      <c r="S616" s="11"/>
    </row>
    <row r="617" spans="1:19" hidden="1" x14ac:dyDescent="0.15">
      <c r="A617" s="34">
        <v>616</v>
      </c>
      <c r="B617" s="35" t="s">
        <v>4883</v>
      </c>
      <c r="C617" s="36" t="s">
        <v>3431</v>
      </c>
      <c r="D617" s="11" t="s">
        <v>1582</v>
      </c>
      <c r="E617" s="11" t="s">
        <v>1744</v>
      </c>
      <c r="F617" s="11">
        <v>9</v>
      </c>
      <c r="G617" s="11" t="s">
        <v>1289</v>
      </c>
      <c r="H617" s="11" t="s">
        <v>1288</v>
      </c>
      <c r="I617" s="11" t="s">
        <v>339</v>
      </c>
      <c r="J617" s="11" t="s">
        <v>3559</v>
      </c>
      <c r="K617" s="11"/>
      <c r="L617" s="11"/>
      <c r="M617" s="11" t="s">
        <v>2595</v>
      </c>
      <c r="N617" s="11" t="s">
        <v>3560</v>
      </c>
      <c r="O617" s="11"/>
      <c r="P617" s="11"/>
      <c r="Q617" s="11">
        <v>1</v>
      </c>
      <c r="R617" s="11">
        <v>2</v>
      </c>
      <c r="S617" s="11" t="s">
        <v>3561</v>
      </c>
    </row>
    <row r="618" spans="1:19" hidden="1" x14ac:dyDescent="0.15">
      <c r="A618" s="34">
        <v>617</v>
      </c>
      <c r="B618" s="35" t="s">
        <v>4883</v>
      </c>
      <c r="C618" s="36" t="s">
        <v>3431</v>
      </c>
      <c r="D618" s="11" t="s">
        <v>1582</v>
      </c>
      <c r="E618" s="11" t="s">
        <v>1744</v>
      </c>
      <c r="F618" s="11">
        <v>12</v>
      </c>
      <c r="G618" s="11" t="s">
        <v>1287</v>
      </c>
      <c r="H618" s="11" t="s">
        <v>1286</v>
      </c>
      <c r="I618" s="11" t="s">
        <v>339</v>
      </c>
      <c r="J618" s="11" t="s">
        <v>1494</v>
      </c>
      <c r="K618" s="11"/>
      <c r="L618" s="11"/>
      <c r="M618" s="11" t="s">
        <v>3506</v>
      </c>
      <c r="N618" s="11"/>
      <c r="O618" s="11"/>
      <c r="P618" s="11"/>
      <c r="Q618" s="11">
        <v>2</v>
      </c>
      <c r="R618" s="11">
        <v>3</v>
      </c>
      <c r="S618" s="11" t="s">
        <v>3506</v>
      </c>
    </row>
    <row r="619" spans="1:19" hidden="1" x14ac:dyDescent="0.15">
      <c r="A619" s="34">
        <v>618</v>
      </c>
      <c r="B619" s="35" t="s">
        <v>4883</v>
      </c>
      <c r="C619" s="36" t="s">
        <v>3431</v>
      </c>
      <c r="D619" s="11" t="s">
        <v>1582</v>
      </c>
      <c r="E619" s="11" t="s">
        <v>1744</v>
      </c>
      <c r="F619" s="11">
        <v>8</v>
      </c>
      <c r="G619" s="11" t="s">
        <v>1285</v>
      </c>
      <c r="H619" s="11" t="s">
        <v>1284</v>
      </c>
      <c r="I619" s="11" t="s">
        <v>339</v>
      </c>
      <c r="J619" s="11" t="s">
        <v>1494</v>
      </c>
      <c r="K619" s="11"/>
      <c r="L619" s="11"/>
      <c r="M619" s="11"/>
      <c r="N619" s="11"/>
      <c r="O619" s="11"/>
      <c r="P619" s="11"/>
      <c r="Q619" s="11">
        <v>3</v>
      </c>
      <c r="R619" s="11">
        <v>2</v>
      </c>
      <c r="S619" s="11"/>
    </row>
    <row r="620" spans="1:19" hidden="1" x14ac:dyDescent="0.15">
      <c r="A620" s="34">
        <v>619</v>
      </c>
      <c r="B620" s="35" t="s">
        <v>4883</v>
      </c>
      <c r="C620" s="36" t="s">
        <v>3431</v>
      </c>
      <c r="D620" s="11" t="s">
        <v>1582</v>
      </c>
      <c r="E620" s="11" t="s">
        <v>1744</v>
      </c>
      <c r="F620" s="11">
        <v>4</v>
      </c>
      <c r="G620" s="11" t="s">
        <v>1283</v>
      </c>
      <c r="H620" s="11" t="s">
        <v>1282</v>
      </c>
      <c r="I620" s="11" t="s">
        <v>1453</v>
      </c>
      <c r="J620" s="11"/>
      <c r="K620" s="11"/>
      <c r="L620" s="11"/>
      <c r="M620" s="11" t="s">
        <v>3562</v>
      </c>
      <c r="N620" s="11"/>
      <c r="O620" s="11"/>
      <c r="P620" s="11"/>
      <c r="Q620" s="11"/>
      <c r="R620" s="11"/>
      <c r="S620" s="11" t="s">
        <v>3562</v>
      </c>
    </row>
    <row r="621" spans="1:19" hidden="1" x14ac:dyDescent="0.15">
      <c r="A621" s="34">
        <v>620</v>
      </c>
      <c r="B621" s="35" t="s">
        <v>4883</v>
      </c>
      <c r="C621" s="36" t="s">
        <v>3431</v>
      </c>
      <c r="D621" s="11" t="s">
        <v>1582</v>
      </c>
      <c r="E621" s="11" t="s">
        <v>1744</v>
      </c>
      <c r="F621" s="11">
        <v>6</v>
      </c>
      <c r="G621" s="11" t="s">
        <v>1281</v>
      </c>
      <c r="H621" s="11" t="s">
        <v>1280</v>
      </c>
      <c r="I621" s="11" t="s">
        <v>1453</v>
      </c>
      <c r="J621" s="11"/>
      <c r="K621" s="11"/>
      <c r="L621" s="11"/>
      <c r="M621" s="11" t="s">
        <v>3563</v>
      </c>
      <c r="N621" s="11"/>
      <c r="O621" s="11"/>
      <c r="P621" s="11"/>
      <c r="Q621" s="11"/>
      <c r="R621" s="11"/>
      <c r="S621" s="11" t="s">
        <v>3563</v>
      </c>
    </row>
    <row r="622" spans="1:19" hidden="1" x14ac:dyDescent="0.15">
      <c r="A622" s="34">
        <v>621</v>
      </c>
      <c r="B622" s="35" t="s">
        <v>4883</v>
      </c>
      <c r="C622" s="36" t="s">
        <v>3431</v>
      </c>
      <c r="D622" s="11" t="s">
        <v>1582</v>
      </c>
      <c r="E622" s="11" t="s">
        <v>1744</v>
      </c>
      <c r="F622" s="11">
        <v>7</v>
      </c>
      <c r="G622" s="11" t="s">
        <v>1279</v>
      </c>
      <c r="H622" s="11" t="s">
        <v>1278</v>
      </c>
      <c r="I622" s="11" t="s">
        <v>1453</v>
      </c>
      <c r="J622" s="11"/>
      <c r="K622" s="11"/>
      <c r="L622" s="11"/>
      <c r="M622" s="11" t="s">
        <v>3564</v>
      </c>
      <c r="N622" s="11"/>
      <c r="O622" s="11"/>
      <c r="P622" s="11"/>
      <c r="Q622" s="11"/>
      <c r="R622" s="11"/>
      <c r="S622" s="11" t="s">
        <v>3564</v>
      </c>
    </row>
    <row r="623" spans="1:19" hidden="1" x14ac:dyDescent="0.15">
      <c r="A623" s="34">
        <v>622</v>
      </c>
      <c r="B623" s="35" t="s">
        <v>4883</v>
      </c>
      <c r="C623" s="36" t="s">
        <v>3431</v>
      </c>
      <c r="D623" s="11" t="s">
        <v>1582</v>
      </c>
      <c r="E623" s="11" t="s">
        <v>1744</v>
      </c>
      <c r="F623" s="11">
        <v>7</v>
      </c>
      <c r="G623" s="11" t="s">
        <v>1277</v>
      </c>
      <c r="H623" s="11" t="s">
        <v>1276</v>
      </c>
      <c r="I623" s="11" t="s">
        <v>1453</v>
      </c>
      <c r="J623" s="11"/>
      <c r="K623" s="11"/>
      <c r="L623" s="11"/>
      <c r="M623" s="11" t="s">
        <v>3565</v>
      </c>
      <c r="N623" s="11"/>
      <c r="O623" s="11"/>
      <c r="P623" s="11"/>
      <c r="Q623" s="11"/>
      <c r="R623" s="11"/>
      <c r="S623" s="11" t="s">
        <v>3565</v>
      </c>
    </row>
    <row r="624" spans="1:19" hidden="1" x14ac:dyDescent="0.15">
      <c r="A624" s="34">
        <v>623</v>
      </c>
      <c r="B624" s="35" t="s">
        <v>4883</v>
      </c>
      <c r="C624" s="36" t="s">
        <v>3431</v>
      </c>
      <c r="D624" s="11" t="s">
        <v>1582</v>
      </c>
      <c r="E624" s="11" t="s">
        <v>1451</v>
      </c>
      <c r="F624" s="11">
        <v>11</v>
      </c>
      <c r="G624" s="11" t="s">
        <v>1275</v>
      </c>
      <c r="H624" s="11" t="s">
        <v>1274</v>
      </c>
      <c r="I624" s="11" t="s">
        <v>339</v>
      </c>
      <c r="J624" s="11" t="s">
        <v>1489</v>
      </c>
      <c r="K624" s="11" t="s">
        <v>1867</v>
      </c>
      <c r="L624" s="11"/>
      <c r="M624" s="11" t="s">
        <v>3566</v>
      </c>
      <c r="N624" s="11" t="s">
        <v>3567</v>
      </c>
      <c r="O624" s="11"/>
      <c r="P624" s="11"/>
      <c r="Q624" s="11">
        <v>5</v>
      </c>
      <c r="R624" s="11">
        <v>3</v>
      </c>
      <c r="S624" s="11" t="s">
        <v>3568</v>
      </c>
    </row>
    <row r="625" spans="1:19" hidden="1" x14ac:dyDescent="0.15">
      <c r="A625" s="34">
        <v>624</v>
      </c>
      <c r="B625" s="35" t="s">
        <v>4883</v>
      </c>
      <c r="C625" s="36" t="s">
        <v>3431</v>
      </c>
      <c r="D625" s="11" t="s">
        <v>1582</v>
      </c>
      <c r="E625" s="11" t="s">
        <v>1451</v>
      </c>
      <c r="F625" s="11">
        <v>9</v>
      </c>
      <c r="G625" s="11" t="s">
        <v>1273</v>
      </c>
      <c r="H625" s="11" t="s">
        <v>1272</v>
      </c>
      <c r="I625" s="11" t="s">
        <v>339</v>
      </c>
      <c r="J625" s="11" t="s">
        <v>1484</v>
      </c>
      <c r="K625" s="11" t="s">
        <v>3569</v>
      </c>
      <c r="L625" s="11"/>
      <c r="M625" s="11" t="s">
        <v>3570</v>
      </c>
      <c r="N625" s="11"/>
      <c r="O625" s="11"/>
      <c r="P625" s="11"/>
      <c r="Q625" s="11">
        <v>4</v>
      </c>
      <c r="R625" s="11">
        <v>4</v>
      </c>
      <c r="S625" s="11" t="s">
        <v>3570</v>
      </c>
    </row>
    <row r="626" spans="1:19" hidden="1" x14ac:dyDescent="0.15">
      <c r="A626" s="34">
        <v>625</v>
      </c>
      <c r="B626" s="35" t="s">
        <v>4883</v>
      </c>
      <c r="C626" s="36" t="s">
        <v>3431</v>
      </c>
      <c r="D626" s="11" t="s">
        <v>1582</v>
      </c>
      <c r="E626" s="11" t="s">
        <v>1451</v>
      </c>
      <c r="F626" s="11">
        <v>7</v>
      </c>
      <c r="G626" s="11" t="s">
        <v>1271</v>
      </c>
      <c r="H626" s="11" t="s">
        <v>1270</v>
      </c>
      <c r="I626" s="11" t="s">
        <v>339</v>
      </c>
      <c r="J626" s="11" t="s">
        <v>1494</v>
      </c>
      <c r="K626" s="11"/>
      <c r="L626" s="11"/>
      <c r="M626" s="11" t="s">
        <v>3571</v>
      </c>
      <c r="N626" s="11"/>
      <c r="O626" s="11"/>
      <c r="P626" s="11"/>
      <c r="Q626" s="11">
        <v>3</v>
      </c>
      <c r="R626" s="11">
        <v>2</v>
      </c>
      <c r="S626" s="11" t="s">
        <v>3571</v>
      </c>
    </row>
    <row r="627" spans="1:19" hidden="1" x14ac:dyDescent="0.15">
      <c r="A627" s="34">
        <v>626</v>
      </c>
      <c r="B627" s="35" t="s">
        <v>4883</v>
      </c>
      <c r="C627" s="36" t="s">
        <v>3431</v>
      </c>
      <c r="D627" s="11" t="s">
        <v>1582</v>
      </c>
      <c r="E627" s="11" t="s">
        <v>1451</v>
      </c>
      <c r="F627" s="11">
        <v>0</v>
      </c>
      <c r="G627" s="11" t="s">
        <v>1027</v>
      </c>
      <c r="H627" s="11" t="s">
        <v>1026</v>
      </c>
      <c r="I627" s="11" t="s">
        <v>339</v>
      </c>
      <c r="J627" s="11" t="s">
        <v>1494</v>
      </c>
      <c r="K627" s="11"/>
      <c r="L627" s="11"/>
      <c r="M627" s="11" t="s">
        <v>3572</v>
      </c>
      <c r="N627" s="11"/>
      <c r="O627" s="11"/>
      <c r="P627" s="11"/>
      <c r="Q627" s="11">
        <v>4</v>
      </c>
      <c r="R627" s="11">
        <v>3</v>
      </c>
      <c r="S627" s="11" t="s">
        <v>3572</v>
      </c>
    </row>
    <row r="628" spans="1:19" hidden="1" x14ac:dyDescent="0.15">
      <c r="A628" s="34">
        <v>627</v>
      </c>
      <c r="B628" s="35" t="s">
        <v>4883</v>
      </c>
      <c r="C628" s="36" t="s">
        <v>3431</v>
      </c>
      <c r="D628" s="11" t="s">
        <v>1582</v>
      </c>
      <c r="E628" s="11" t="s">
        <v>1451</v>
      </c>
      <c r="F628" s="11">
        <v>12</v>
      </c>
      <c r="G628" s="11" t="s">
        <v>1269</v>
      </c>
      <c r="H628" s="11" t="s">
        <v>1268</v>
      </c>
      <c r="I628" s="11" t="s">
        <v>339</v>
      </c>
      <c r="J628" s="11" t="s">
        <v>1494</v>
      </c>
      <c r="K628" s="11"/>
      <c r="L628" s="11"/>
      <c r="M628" s="11" t="s">
        <v>3109</v>
      </c>
      <c r="N628" s="11" t="s">
        <v>3573</v>
      </c>
      <c r="O628" s="11"/>
      <c r="P628" s="11"/>
      <c r="Q628" s="11">
        <v>2</v>
      </c>
      <c r="R628" s="11">
        <v>2</v>
      </c>
      <c r="S628" s="11" t="s">
        <v>3574</v>
      </c>
    </row>
    <row r="629" spans="1:19" hidden="1" x14ac:dyDescent="0.15">
      <c r="A629" s="34">
        <v>628</v>
      </c>
      <c r="B629" s="35" t="s">
        <v>4883</v>
      </c>
      <c r="C629" s="36" t="s">
        <v>3431</v>
      </c>
      <c r="D629" s="11" t="s">
        <v>1582</v>
      </c>
      <c r="E629" s="11" t="s">
        <v>1451</v>
      </c>
      <c r="F629" s="11">
        <v>10</v>
      </c>
      <c r="G629" s="11" t="s">
        <v>1267</v>
      </c>
      <c r="H629" s="11" t="s">
        <v>1266</v>
      </c>
      <c r="I629" s="11" t="s">
        <v>339</v>
      </c>
      <c r="J629" s="11" t="s">
        <v>1489</v>
      </c>
      <c r="K629" s="11"/>
      <c r="L629" s="11"/>
      <c r="M629" s="11" t="s">
        <v>3575</v>
      </c>
      <c r="N629" s="11"/>
      <c r="O629" s="11"/>
      <c r="P629" s="11"/>
      <c r="Q629" s="11">
        <v>2</v>
      </c>
      <c r="R629" s="11">
        <v>3</v>
      </c>
      <c r="S629" s="11" t="s">
        <v>3575</v>
      </c>
    </row>
    <row r="630" spans="1:19" hidden="1" x14ac:dyDescent="0.15">
      <c r="A630" s="34">
        <v>629</v>
      </c>
      <c r="B630" s="35" t="s">
        <v>4883</v>
      </c>
      <c r="C630" s="36" t="s">
        <v>3431</v>
      </c>
      <c r="D630" s="11" t="s">
        <v>1582</v>
      </c>
      <c r="E630" s="11" t="s">
        <v>1451</v>
      </c>
      <c r="F630" s="11">
        <v>0</v>
      </c>
      <c r="G630" s="11" t="s">
        <v>1025</v>
      </c>
      <c r="H630" s="11" t="s">
        <v>1024</v>
      </c>
      <c r="I630" s="11" t="s">
        <v>339</v>
      </c>
      <c r="J630" s="11" t="s">
        <v>1489</v>
      </c>
      <c r="K630" s="11" t="s">
        <v>1867</v>
      </c>
      <c r="L630" s="11"/>
      <c r="M630" s="11" t="s">
        <v>3576</v>
      </c>
      <c r="N630" s="11"/>
      <c r="O630" s="11"/>
      <c r="P630" s="11"/>
      <c r="Q630" s="11">
        <v>4</v>
      </c>
      <c r="R630" s="11">
        <v>5</v>
      </c>
      <c r="S630" s="11" t="s">
        <v>3576</v>
      </c>
    </row>
    <row r="631" spans="1:19" hidden="1" x14ac:dyDescent="0.15">
      <c r="A631" s="34">
        <v>630</v>
      </c>
      <c r="B631" s="35" t="s">
        <v>4883</v>
      </c>
      <c r="C631" s="36" t="s">
        <v>3431</v>
      </c>
      <c r="D631" s="11" t="s">
        <v>1582</v>
      </c>
      <c r="E631" s="11" t="s">
        <v>1451</v>
      </c>
      <c r="F631" s="11">
        <v>9</v>
      </c>
      <c r="G631" s="11" t="s">
        <v>1265</v>
      </c>
      <c r="H631" s="11" t="s">
        <v>1264</v>
      </c>
      <c r="I631" s="11" t="s">
        <v>339</v>
      </c>
      <c r="J631" s="11" t="s">
        <v>2838</v>
      </c>
      <c r="K631" s="11" t="s">
        <v>2802</v>
      </c>
      <c r="L631" s="11"/>
      <c r="M631" s="11" t="s">
        <v>3577</v>
      </c>
      <c r="N631" s="11" t="s">
        <v>3578</v>
      </c>
      <c r="O631" s="11"/>
      <c r="P631" s="11"/>
      <c r="Q631" s="11">
        <v>4</v>
      </c>
      <c r="R631" s="11">
        <v>4</v>
      </c>
      <c r="S631" s="11" t="s">
        <v>3579</v>
      </c>
    </row>
    <row r="632" spans="1:19" hidden="1" x14ac:dyDescent="0.15">
      <c r="A632" s="34">
        <v>631</v>
      </c>
      <c r="B632" s="35" t="s">
        <v>4883</v>
      </c>
      <c r="C632" s="36" t="s">
        <v>3431</v>
      </c>
      <c r="D632" s="11" t="s">
        <v>1582</v>
      </c>
      <c r="E632" s="11" t="s">
        <v>1451</v>
      </c>
      <c r="F632" s="11">
        <v>12</v>
      </c>
      <c r="G632" s="11" t="s">
        <v>1263</v>
      </c>
      <c r="H632" s="11" t="s">
        <v>1262</v>
      </c>
      <c r="I632" s="11" t="s">
        <v>339</v>
      </c>
      <c r="J632" s="11" t="s">
        <v>2407</v>
      </c>
      <c r="K632" s="11"/>
      <c r="L632" s="11"/>
      <c r="M632" s="11" t="s">
        <v>3419</v>
      </c>
      <c r="N632" s="11" t="s">
        <v>3580</v>
      </c>
      <c r="O632" s="11"/>
      <c r="P632" s="11"/>
      <c r="Q632" s="11">
        <v>4</v>
      </c>
      <c r="R632" s="11">
        <v>4</v>
      </c>
      <c r="S632" s="11" t="s">
        <v>3581</v>
      </c>
    </row>
    <row r="633" spans="1:19" hidden="1" x14ac:dyDescent="0.15">
      <c r="A633" s="34">
        <v>632</v>
      </c>
      <c r="B633" s="35" t="s">
        <v>4883</v>
      </c>
      <c r="C633" s="36" t="s">
        <v>3431</v>
      </c>
      <c r="D633" s="11" t="s">
        <v>1582</v>
      </c>
      <c r="E633" s="11" t="s">
        <v>1451</v>
      </c>
      <c r="F633" s="11">
        <v>6</v>
      </c>
      <c r="G633" s="11" t="s">
        <v>1261</v>
      </c>
      <c r="H633" s="11" t="s">
        <v>1260</v>
      </c>
      <c r="I633" s="11" t="s">
        <v>288</v>
      </c>
      <c r="J633" s="11"/>
      <c r="K633" s="11"/>
      <c r="L633" s="11"/>
      <c r="M633" s="11" t="s">
        <v>3582</v>
      </c>
      <c r="N633" s="11"/>
      <c r="O633" s="11"/>
      <c r="P633" s="11">
        <v>3</v>
      </c>
      <c r="Q633" s="11"/>
      <c r="R633" s="11"/>
      <c r="S633" s="11" t="s">
        <v>3582</v>
      </c>
    </row>
    <row r="634" spans="1:19" hidden="1" x14ac:dyDescent="0.15">
      <c r="A634" s="34">
        <v>633</v>
      </c>
      <c r="B634" s="35" t="s">
        <v>4883</v>
      </c>
      <c r="C634" s="36" t="s">
        <v>3431</v>
      </c>
      <c r="D634" s="11" t="s">
        <v>1582</v>
      </c>
      <c r="E634" s="11" t="s">
        <v>1451</v>
      </c>
      <c r="F634" s="11">
        <v>14</v>
      </c>
      <c r="G634" s="11" t="s">
        <v>1259</v>
      </c>
      <c r="H634" s="11" t="s">
        <v>1258</v>
      </c>
      <c r="I634" s="11" t="s">
        <v>288</v>
      </c>
      <c r="J634" s="11"/>
      <c r="K634" s="11"/>
      <c r="L634" s="11"/>
      <c r="M634" s="11" t="s">
        <v>3583</v>
      </c>
      <c r="N634" s="11"/>
      <c r="O634" s="11"/>
      <c r="P634" s="11">
        <v>3</v>
      </c>
      <c r="Q634" s="11"/>
      <c r="R634" s="11"/>
      <c r="S634" s="11" t="s">
        <v>3583</v>
      </c>
    </row>
    <row r="635" spans="1:19" hidden="1" x14ac:dyDescent="0.15">
      <c r="A635" s="34">
        <v>634</v>
      </c>
      <c r="B635" s="35" t="s">
        <v>4883</v>
      </c>
      <c r="C635" s="36" t="s">
        <v>3431</v>
      </c>
      <c r="D635" s="11" t="s">
        <v>1582</v>
      </c>
      <c r="E635" s="11" t="s">
        <v>1441</v>
      </c>
      <c r="F635" s="11">
        <v>10</v>
      </c>
      <c r="G635" s="11" t="s">
        <v>1257</v>
      </c>
      <c r="H635" s="11" t="s">
        <v>1256</v>
      </c>
      <c r="I635" s="11" t="s">
        <v>339</v>
      </c>
      <c r="J635" s="11" t="s">
        <v>1484</v>
      </c>
      <c r="K635" s="11" t="s">
        <v>2049</v>
      </c>
      <c r="L635" s="11"/>
      <c r="M635" s="11" t="s">
        <v>2595</v>
      </c>
      <c r="N635" s="11" t="s">
        <v>3584</v>
      </c>
      <c r="O635" s="11" t="s">
        <v>3585</v>
      </c>
      <c r="P635" s="11"/>
      <c r="Q635" s="11">
        <v>2</v>
      </c>
      <c r="R635" s="11">
        <v>2</v>
      </c>
      <c r="S635" s="11" t="s">
        <v>3586</v>
      </c>
    </row>
    <row r="636" spans="1:19" hidden="1" x14ac:dyDescent="0.15">
      <c r="A636" s="34">
        <v>635</v>
      </c>
      <c r="B636" s="35" t="s">
        <v>4883</v>
      </c>
      <c r="C636" s="36" t="s">
        <v>3431</v>
      </c>
      <c r="D636" s="11" t="s">
        <v>1582</v>
      </c>
      <c r="E636" s="11" t="s">
        <v>1441</v>
      </c>
      <c r="F636" s="11">
        <v>12</v>
      </c>
      <c r="G636" s="11" t="s">
        <v>1255</v>
      </c>
      <c r="H636" s="11" t="s">
        <v>1254</v>
      </c>
      <c r="I636" s="11" t="s">
        <v>339</v>
      </c>
      <c r="J636" s="11" t="s">
        <v>1494</v>
      </c>
      <c r="K636" s="11" t="s">
        <v>1463</v>
      </c>
      <c r="L636" s="11"/>
      <c r="M636" s="11" t="s">
        <v>3587</v>
      </c>
      <c r="N636" s="11" t="s">
        <v>3588</v>
      </c>
      <c r="O636" s="11"/>
      <c r="P636" s="11"/>
      <c r="Q636" s="11">
        <v>2</v>
      </c>
      <c r="R636" s="11">
        <v>2</v>
      </c>
      <c r="S636" s="11" t="s">
        <v>4754</v>
      </c>
    </row>
    <row r="637" spans="1:19" hidden="1" x14ac:dyDescent="0.15">
      <c r="A637" s="34">
        <v>636</v>
      </c>
      <c r="B637" s="35" t="s">
        <v>4883</v>
      </c>
      <c r="C637" s="36" t="s">
        <v>3431</v>
      </c>
      <c r="D637" s="11" t="s">
        <v>1582</v>
      </c>
      <c r="E637" s="11" t="s">
        <v>1441</v>
      </c>
      <c r="F637" s="11">
        <v>0</v>
      </c>
      <c r="G637" s="11" t="s">
        <v>1023</v>
      </c>
      <c r="H637" s="11" t="s">
        <v>1022</v>
      </c>
      <c r="I637" s="11" t="s">
        <v>339</v>
      </c>
      <c r="J637" s="11" t="s">
        <v>1537</v>
      </c>
      <c r="K637" s="11"/>
      <c r="L637" s="11"/>
      <c r="M637" s="11" t="s">
        <v>3419</v>
      </c>
      <c r="N637" s="11" t="s">
        <v>3589</v>
      </c>
      <c r="O637" s="11"/>
      <c r="P637" s="11"/>
      <c r="Q637" s="11">
        <v>1</v>
      </c>
      <c r="R637" s="11">
        <v>1</v>
      </c>
      <c r="S637" s="11" t="s">
        <v>3590</v>
      </c>
    </row>
    <row r="638" spans="1:19" hidden="1" x14ac:dyDescent="0.15">
      <c r="A638" s="34">
        <v>637</v>
      </c>
      <c r="B638" s="35" t="s">
        <v>4883</v>
      </c>
      <c r="C638" s="36" t="s">
        <v>3431</v>
      </c>
      <c r="D638" s="11" t="s">
        <v>1582</v>
      </c>
      <c r="E638" s="11" t="s">
        <v>1441</v>
      </c>
      <c r="F638" s="11">
        <v>13</v>
      </c>
      <c r="G638" s="11" t="s">
        <v>1253</v>
      </c>
      <c r="H638" s="11" t="s">
        <v>1252</v>
      </c>
      <c r="I638" s="11" t="s">
        <v>1453</v>
      </c>
      <c r="J638" s="11"/>
      <c r="K638" s="11"/>
      <c r="L638" s="11"/>
      <c r="M638" s="11" t="s">
        <v>3591</v>
      </c>
      <c r="N638" s="11"/>
      <c r="O638" s="11"/>
      <c r="P638" s="11"/>
      <c r="Q638" s="11"/>
      <c r="R638" s="11"/>
      <c r="S638" s="11" t="s">
        <v>3591</v>
      </c>
    </row>
    <row r="639" spans="1:19" hidden="1" x14ac:dyDescent="0.15">
      <c r="A639" s="34">
        <v>638</v>
      </c>
      <c r="B639" s="35" t="s">
        <v>4883</v>
      </c>
      <c r="C639" s="36" t="s">
        <v>3431</v>
      </c>
      <c r="D639" s="11" t="s">
        <v>1582</v>
      </c>
      <c r="E639" s="11" t="s">
        <v>1441</v>
      </c>
      <c r="F639" s="11">
        <v>7</v>
      </c>
      <c r="G639" s="11" t="s">
        <v>1251</v>
      </c>
      <c r="H639" s="11" t="s">
        <v>1250</v>
      </c>
      <c r="I639" s="11" t="s">
        <v>1453</v>
      </c>
      <c r="J639" s="11"/>
      <c r="K639" s="11"/>
      <c r="L639" s="11"/>
      <c r="M639" s="11" t="s">
        <v>3506</v>
      </c>
      <c r="N639" s="11" t="s">
        <v>3592</v>
      </c>
      <c r="O639" s="11"/>
      <c r="P639" s="11"/>
      <c r="Q639" s="11"/>
      <c r="R639" s="11"/>
      <c r="S639" s="11" t="s">
        <v>3593</v>
      </c>
    </row>
    <row r="640" spans="1:19" hidden="1" x14ac:dyDescent="0.15">
      <c r="A640" s="34">
        <v>639</v>
      </c>
      <c r="B640" s="35" t="s">
        <v>4883</v>
      </c>
      <c r="C640" s="36" t="s">
        <v>3431</v>
      </c>
      <c r="D640" s="11" t="s">
        <v>1582</v>
      </c>
      <c r="E640" s="11" t="s">
        <v>1441</v>
      </c>
      <c r="F640" s="11">
        <v>5</v>
      </c>
      <c r="G640" s="11" t="s">
        <v>1249</v>
      </c>
      <c r="H640" s="11" t="s">
        <v>1248</v>
      </c>
      <c r="I640" s="11" t="s">
        <v>1453</v>
      </c>
      <c r="J640" s="11"/>
      <c r="K640" s="11"/>
      <c r="L640" s="11"/>
      <c r="M640" s="11" t="s">
        <v>2086</v>
      </c>
      <c r="N640" s="11" t="s">
        <v>3594</v>
      </c>
      <c r="O640" s="11"/>
      <c r="P640" s="11"/>
      <c r="Q640" s="11"/>
      <c r="R640" s="11"/>
      <c r="S640" s="11" t="s">
        <v>3595</v>
      </c>
    </row>
    <row r="641" spans="1:19" hidden="1" x14ac:dyDescent="0.15">
      <c r="A641" s="34">
        <v>640</v>
      </c>
      <c r="B641" s="35" t="s">
        <v>4883</v>
      </c>
      <c r="C641" s="36" t="s">
        <v>3431</v>
      </c>
      <c r="D641" s="11" t="s">
        <v>1582</v>
      </c>
      <c r="E641" s="11" t="s">
        <v>1431</v>
      </c>
      <c r="F641" s="11">
        <v>8</v>
      </c>
      <c r="G641" s="11" t="s">
        <v>1247</v>
      </c>
      <c r="H641" s="11" t="s">
        <v>1246</v>
      </c>
      <c r="I641" s="11" t="s">
        <v>339</v>
      </c>
      <c r="J641" s="11" t="s">
        <v>2793</v>
      </c>
      <c r="K641" s="11"/>
      <c r="L641" s="11"/>
      <c r="M641" s="11" t="s">
        <v>3596</v>
      </c>
      <c r="N641" s="11" t="s">
        <v>3597</v>
      </c>
      <c r="O641" s="11" t="s">
        <v>3598</v>
      </c>
      <c r="P641" s="11"/>
      <c r="Q641" s="11">
        <v>7</v>
      </c>
      <c r="R641" s="11">
        <v>8</v>
      </c>
      <c r="S641" s="11" t="s">
        <v>3599</v>
      </c>
    </row>
    <row r="642" spans="1:19" hidden="1" x14ac:dyDescent="0.15">
      <c r="A642" s="34">
        <v>641</v>
      </c>
      <c r="B642" s="35" t="s">
        <v>4883</v>
      </c>
      <c r="C642" s="36" t="s">
        <v>3431</v>
      </c>
      <c r="D642" s="11" t="s">
        <v>1582</v>
      </c>
      <c r="E642" s="11" t="s">
        <v>1431</v>
      </c>
      <c r="F642" s="11">
        <v>14</v>
      </c>
      <c r="G642" s="11" t="s">
        <v>1245</v>
      </c>
      <c r="H642" s="11" t="s">
        <v>1244</v>
      </c>
      <c r="I642" s="11" t="s">
        <v>339</v>
      </c>
      <c r="J642" s="11" t="s">
        <v>1484</v>
      </c>
      <c r="K642" s="11"/>
      <c r="L642" s="11"/>
      <c r="M642" s="11" t="s">
        <v>2048</v>
      </c>
      <c r="N642" s="11" t="s">
        <v>3600</v>
      </c>
      <c r="O642" s="11"/>
      <c r="P642" s="11"/>
      <c r="Q642" s="11">
        <v>2</v>
      </c>
      <c r="R642" s="11">
        <v>2</v>
      </c>
      <c r="S642" s="11" t="s">
        <v>3601</v>
      </c>
    </row>
    <row r="643" spans="1:19" hidden="1" x14ac:dyDescent="0.15">
      <c r="A643" s="34">
        <v>642</v>
      </c>
      <c r="B643" s="35" t="s">
        <v>4883</v>
      </c>
      <c r="C643" s="36" t="s">
        <v>3431</v>
      </c>
      <c r="D643" s="11" t="s">
        <v>1582</v>
      </c>
      <c r="E643" s="11" t="s">
        <v>1431</v>
      </c>
      <c r="F643" s="11">
        <v>15</v>
      </c>
      <c r="G643" s="11" t="s">
        <v>1243</v>
      </c>
      <c r="H643" s="11" t="s">
        <v>1242</v>
      </c>
      <c r="I643" s="11" t="s">
        <v>1453</v>
      </c>
      <c r="J643" s="11"/>
      <c r="K643" s="11"/>
      <c r="L643" s="11"/>
      <c r="M643" s="11" t="s">
        <v>3602</v>
      </c>
      <c r="N643" s="11"/>
      <c r="O643" s="11"/>
      <c r="P643" s="11"/>
      <c r="Q643" s="11"/>
      <c r="R643" s="11"/>
      <c r="S643" s="11" t="s">
        <v>3602</v>
      </c>
    </row>
    <row r="644" spans="1:19" hidden="1" x14ac:dyDescent="0.15">
      <c r="A644" s="34">
        <v>643</v>
      </c>
      <c r="B644" s="35" t="s">
        <v>4883</v>
      </c>
      <c r="C644" s="36" t="s">
        <v>3431</v>
      </c>
      <c r="D644" s="11" t="s">
        <v>1552</v>
      </c>
      <c r="E644" s="11" t="s">
        <v>1744</v>
      </c>
      <c r="F644" s="11">
        <v>16</v>
      </c>
      <c r="G644" s="11" t="s">
        <v>1241</v>
      </c>
      <c r="H644" s="11" t="s">
        <v>1240</v>
      </c>
      <c r="I644" s="11" t="s">
        <v>339</v>
      </c>
      <c r="J644" s="11" t="s">
        <v>1494</v>
      </c>
      <c r="K644" s="11"/>
      <c r="L644" s="11"/>
      <c r="M644" s="11" t="s">
        <v>1738</v>
      </c>
      <c r="N644" s="11" t="s">
        <v>3506</v>
      </c>
      <c r="O644" s="11" t="s">
        <v>3603</v>
      </c>
      <c r="P644" s="11"/>
      <c r="Q644" s="11">
        <v>3</v>
      </c>
      <c r="R644" s="11">
        <v>1</v>
      </c>
      <c r="S644" s="11" t="s">
        <v>3604</v>
      </c>
    </row>
    <row r="645" spans="1:19" hidden="1" x14ac:dyDescent="0.15">
      <c r="A645" s="34">
        <v>644</v>
      </c>
      <c r="B645" s="35" t="s">
        <v>4883</v>
      </c>
      <c r="C645" s="36" t="s">
        <v>3431</v>
      </c>
      <c r="D645" s="11" t="s">
        <v>1552</v>
      </c>
      <c r="E645" s="11" t="s">
        <v>1744</v>
      </c>
      <c r="F645" s="11">
        <v>11</v>
      </c>
      <c r="G645" s="11" t="s">
        <v>1239</v>
      </c>
      <c r="H645" s="11" t="s">
        <v>1238</v>
      </c>
      <c r="I645" s="11" t="s">
        <v>339</v>
      </c>
      <c r="J645" s="11" t="s">
        <v>1489</v>
      </c>
      <c r="K645" s="11" t="s">
        <v>3605</v>
      </c>
      <c r="L645" s="11"/>
      <c r="M645" s="11" t="s">
        <v>3606</v>
      </c>
      <c r="N645" s="11"/>
      <c r="O645" s="11"/>
      <c r="P645" s="11"/>
      <c r="Q645" s="11">
        <v>2</v>
      </c>
      <c r="R645" s="11">
        <v>2</v>
      </c>
      <c r="S645" s="11" t="s">
        <v>3606</v>
      </c>
    </row>
    <row r="646" spans="1:19" hidden="1" x14ac:dyDescent="0.15">
      <c r="A646" s="34">
        <v>645</v>
      </c>
      <c r="B646" s="35" t="s">
        <v>4883</v>
      </c>
      <c r="C646" s="36" t="s">
        <v>3431</v>
      </c>
      <c r="D646" s="11" t="s">
        <v>1552</v>
      </c>
      <c r="E646" s="11" t="s">
        <v>1744</v>
      </c>
      <c r="F646" s="11">
        <v>0</v>
      </c>
      <c r="G646" s="11" t="s">
        <v>1021</v>
      </c>
      <c r="H646" s="11" t="s">
        <v>1020</v>
      </c>
      <c r="I646" s="11" t="s">
        <v>339</v>
      </c>
      <c r="J646" s="11" t="s">
        <v>3605</v>
      </c>
      <c r="K646" s="11"/>
      <c r="L646" s="11"/>
      <c r="M646" s="11" t="s">
        <v>3607</v>
      </c>
      <c r="N646" s="11"/>
      <c r="O646" s="11"/>
      <c r="P646" s="11"/>
      <c r="Q646" s="11">
        <v>4</v>
      </c>
      <c r="R646" s="11">
        <v>4</v>
      </c>
      <c r="S646" s="11" t="s">
        <v>3607</v>
      </c>
    </row>
    <row r="647" spans="1:19" hidden="1" x14ac:dyDescent="0.15">
      <c r="A647" s="34">
        <v>646</v>
      </c>
      <c r="B647" s="35" t="s">
        <v>4883</v>
      </c>
      <c r="C647" s="36" t="s">
        <v>3431</v>
      </c>
      <c r="D647" s="11" t="s">
        <v>1552</v>
      </c>
      <c r="E647" s="11" t="s">
        <v>1744</v>
      </c>
      <c r="F647" s="11">
        <v>9</v>
      </c>
      <c r="G647" s="11" t="s">
        <v>1237</v>
      </c>
      <c r="H647" s="11" t="s">
        <v>1236</v>
      </c>
      <c r="I647" s="11" t="s">
        <v>339</v>
      </c>
      <c r="J647" s="11" t="s">
        <v>1489</v>
      </c>
      <c r="K647" s="11" t="s">
        <v>3605</v>
      </c>
      <c r="L647" s="11"/>
      <c r="M647" s="11" t="s">
        <v>3606</v>
      </c>
      <c r="N647" s="11"/>
      <c r="O647" s="11"/>
      <c r="P647" s="11"/>
      <c r="Q647" s="11">
        <v>2</v>
      </c>
      <c r="R647" s="11">
        <v>1</v>
      </c>
      <c r="S647" s="11" t="s">
        <v>3606</v>
      </c>
    </row>
    <row r="648" spans="1:19" hidden="1" x14ac:dyDescent="0.15">
      <c r="A648" s="34">
        <v>647</v>
      </c>
      <c r="B648" s="35" t="s">
        <v>4883</v>
      </c>
      <c r="C648" s="36" t="s">
        <v>3431</v>
      </c>
      <c r="D648" s="11" t="s">
        <v>1552</v>
      </c>
      <c r="E648" s="11" t="s">
        <v>1744</v>
      </c>
      <c r="F648" s="11">
        <v>0</v>
      </c>
      <c r="G648" s="11" t="s">
        <v>1019</v>
      </c>
      <c r="H648" s="11" t="s">
        <v>1018</v>
      </c>
      <c r="I648" s="11" t="s">
        <v>339</v>
      </c>
      <c r="J648" s="11" t="s">
        <v>3605</v>
      </c>
      <c r="K648" s="11"/>
      <c r="L648" s="11"/>
      <c r="M648" s="11" t="s">
        <v>2048</v>
      </c>
      <c r="N648" s="11" t="s">
        <v>3607</v>
      </c>
      <c r="O648" s="11"/>
      <c r="P648" s="11"/>
      <c r="Q648" s="11">
        <v>4</v>
      </c>
      <c r="R648" s="11">
        <v>3</v>
      </c>
      <c r="S648" s="11" t="s">
        <v>3608</v>
      </c>
    </row>
    <row r="649" spans="1:19" hidden="1" x14ac:dyDescent="0.15">
      <c r="A649" s="34">
        <v>648</v>
      </c>
      <c r="B649" s="35" t="s">
        <v>4883</v>
      </c>
      <c r="C649" s="36" t="s">
        <v>3431</v>
      </c>
      <c r="D649" s="11" t="s">
        <v>1552</v>
      </c>
      <c r="E649" s="11" t="s">
        <v>1744</v>
      </c>
      <c r="F649" s="11">
        <v>11</v>
      </c>
      <c r="G649" s="11" t="s">
        <v>1235</v>
      </c>
      <c r="H649" s="11" t="s">
        <v>1234</v>
      </c>
      <c r="I649" s="11" t="s">
        <v>339</v>
      </c>
      <c r="J649" s="11" t="s">
        <v>3609</v>
      </c>
      <c r="K649" s="11"/>
      <c r="L649" s="11"/>
      <c r="M649" s="11" t="s">
        <v>2595</v>
      </c>
      <c r="N649" s="11"/>
      <c r="O649" s="11"/>
      <c r="P649" s="11"/>
      <c r="Q649" s="11">
        <v>4</v>
      </c>
      <c r="R649" s="11">
        <v>2</v>
      </c>
      <c r="S649" s="11" t="s">
        <v>2595</v>
      </c>
    </row>
    <row r="650" spans="1:19" hidden="1" x14ac:dyDescent="0.15">
      <c r="A650" s="34">
        <v>649</v>
      </c>
      <c r="B650" s="35" t="s">
        <v>4883</v>
      </c>
      <c r="C650" s="36" t="s">
        <v>3431</v>
      </c>
      <c r="D650" s="11" t="s">
        <v>1552</v>
      </c>
      <c r="E650" s="11" t="s">
        <v>1744</v>
      </c>
      <c r="F650" s="11">
        <v>6</v>
      </c>
      <c r="G650" s="11" t="s">
        <v>4900</v>
      </c>
      <c r="H650" s="11" t="s">
        <v>1233</v>
      </c>
      <c r="I650" s="11" t="s">
        <v>339</v>
      </c>
      <c r="J650" s="11" t="s">
        <v>1537</v>
      </c>
      <c r="K650" s="11" t="s">
        <v>2537</v>
      </c>
      <c r="L650" s="11"/>
      <c r="M650" s="11" t="s">
        <v>1707</v>
      </c>
      <c r="N650" s="11" t="s">
        <v>3610</v>
      </c>
      <c r="O650" s="11"/>
      <c r="P650" s="11"/>
      <c r="Q650" s="11">
        <v>1</v>
      </c>
      <c r="R650" s="11">
        <v>2</v>
      </c>
      <c r="S650" s="11" t="s">
        <v>3611</v>
      </c>
    </row>
    <row r="651" spans="1:19" hidden="1" x14ac:dyDescent="0.15">
      <c r="A651" s="34">
        <v>650</v>
      </c>
      <c r="B651" s="35" t="s">
        <v>4883</v>
      </c>
      <c r="C651" s="36" t="s">
        <v>3431</v>
      </c>
      <c r="D651" s="11" t="s">
        <v>1552</v>
      </c>
      <c r="E651" s="11" t="s">
        <v>1744</v>
      </c>
      <c r="F651" s="11">
        <v>12</v>
      </c>
      <c r="G651" s="11" t="s">
        <v>1232</v>
      </c>
      <c r="H651" s="11" t="s">
        <v>1231</v>
      </c>
      <c r="I651" s="11" t="s">
        <v>339</v>
      </c>
      <c r="J651" s="11" t="s">
        <v>1494</v>
      </c>
      <c r="K651" s="11" t="s">
        <v>1463</v>
      </c>
      <c r="L651" s="11"/>
      <c r="M651" s="11" t="s">
        <v>3610</v>
      </c>
      <c r="N651" s="11"/>
      <c r="O651" s="11"/>
      <c r="P651" s="11"/>
      <c r="Q651" s="11">
        <v>1</v>
      </c>
      <c r="R651" s="11">
        <v>3</v>
      </c>
      <c r="S651" s="11" t="s">
        <v>4899</v>
      </c>
    </row>
    <row r="652" spans="1:19" hidden="1" x14ac:dyDescent="0.15">
      <c r="A652" s="34">
        <v>651</v>
      </c>
      <c r="B652" s="35" t="s">
        <v>4883</v>
      </c>
      <c r="C652" s="36" t="s">
        <v>3431</v>
      </c>
      <c r="D652" s="11" t="s">
        <v>1552</v>
      </c>
      <c r="E652" s="11" t="s">
        <v>1744</v>
      </c>
      <c r="F652" s="11">
        <v>4</v>
      </c>
      <c r="G652" s="11" t="s">
        <v>1230</v>
      </c>
      <c r="H652" s="11" t="s">
        <v>1229</v>
      </c>
      <c r="I652" s="11" t="s">
        <v>1453</v>
      </c>
      <c r="J652" s="11"/>
      <c r="K652" s="11"/>
      <c r="L652" s="11"/>
      <c r="M652" s="11" t="s">
        <v>3612</v>
      </c>
      <c r="N652" s="11"/>
      <c r="O652" s="11"/>
      <c r="P652" s="11"/>
      <c r="Q652" s="11"/>
      <c r="R652" s="11"/>
      <c r="S652" s="11" t="s">
        <v>3612</v>
      </c>
    </row>
    <row r="653" spans="1:19" hidden="1" x14ac:dyDescent="0.15">
      <c r="A653" s="34">
        <v>652</v>
      </c>
      <c r="B653" s="35" t="s">
        <v>4883</v>
      </c>
      <c r="C653" s="36" t="s">
        <v>3431</v>
      </c>
      <c r="D653" s="11" t="s">
        <v>1552</v>
      </c>
      <c r="E653" s="11" t="s">
        <v>1744</v>
      </c>
      <c r="F653" s="11">
        <v>3</v>
      </c>
      <c r="G653" s="11" t="s">
        <v>1228</v>
      </c>
      <c r="H653" s="11" t="s">
        <v>1227</v>
      </c>
      <c r="I653" s="11" t="s">
        <v>1453</v>
      </c>
      <c r="J653" s="11"/>
      <c r="K653" s="11"/>
      <c r="L653" s="11"/>
      <c r="M653" s="11" t="s">
        <v>3613</v>
      </c>
      <c r="N653" s="11"/>
      <c r="O653" s="11"/>
      <c r="P653" s="11"/>
      <c r="Q653" s="11"/>
      <c r="R653" s="11"/>
      <c r="S653" s="11" t="s">
        <v>3613</v>
      </c>
    </row>
    <row r="654" spans="1:19" hidden="1" x14ac:dyDescent="0.15">
      <c r="A654" s="34">
        <v>653</v>
      </c>
      <c r="B654" s="35" t="s">
        <v>4883</v>
      </c>
      <c r="C654" s="36" t="s">
        <v>3431</v>
      </c>
      <c r="D654" s="11" t="s">
        <v>1552</v>
      </c>
      <c r="E654" s="11" t="s">
        <v>1744</v>
      </c>
      <c r="F654" s="11">
        <v>10</v>
      </c>
      <c r="G654" s="11" t="s">
        <v>1226</v>
      </c>
      <c r="H654" s="11" t="s">
        <v>1225</v>
      </c>
      <c r="I654" s="11" t="s">
        <v>1453</v>
      </c>
      <c r="J654" s="11"/>
      <c r="K654" s="11"/>
      <c r="L654" s="11"/>
      <c r="M654" s="11" t="s">
        <v>3506</v>
      </c>
      <c r="N654" s="11" t="s">
        <v>1456</v>
      </c>
      <c r="O654" s="11"/>
      <c r="P654" s="11"/>
      <c r="Q654" s="11"/>
      <c r="R654" s="11"/>
      <c r="S654" s="11" t="s">
        <v>3614</v>
      </c>
    </row>
    <row r="655" spans="1:19" hidden="1" x14ac:dyDescent="0.15">
      <c r="A655" s="34">
        <v>654</v>
      </c>
      <c r="B655" s="35" t="s">
        <v>4883</v>
      </c>
      <c r="C655" s="36" t="s">
        <v>3431</v>
      </c>
      <c r="D655" s="11" t="s">
        <v>1552</v>
      </c>
      <c r="E655" s="11" t="s">
        <v>1744</v>
      </c>
      <c r="F655" s="11">
        <v>6</v>
      </c>
      <c r="G655" s="11" t="s">
        <v>1224</v>
      </c>
      <c r="H655" s="11" t="s">
        <v>1223</v>
      </c>
      <c r="I655" s="11" t="s">
        <v>1453</v>
      </c>
      <c r="J655" s="11"/>
      <c r="K655" s="11"/>
      <c r="L655" s="11"/>
      <c r="M655" s="11" t="s">
        <v>3502</v>
      </c>
      <c r="N655" s="11"/>
      <c r="O655" s="11"/>
      <c r="P655" s="11"/>
      <c r="Q655" s="11"/>
      <c r="R655" s="11"/>
      <c r="S655" s="11" t="s">
        <v>3502</v>
      </c>
    </row>
    <row r="656" spans="1:19" hidden="1" x14ac:dyDescent="0.15">
      <c r="A656" s="34">
        <v>655</v>
      </c>
      <c r="B656" s="35" t="s">
        <v>4883</v>
      </c>
      <c r="C656" s="36" t="s">
        <v>3431</v>
      </c>
      <c r="D656" s="11" t="s">
        <v>1552</v>
      </c>
      <c r="E656" s="11" t="s">
        <v>1744</v>
      </c>
      <c r="F656" s="11">
        <v>5</v>
      </c>
      <c r="G656" s="11" t="s">
        <v>1222</v>
      </c>
      <c r="H656" s="11" t="s">
        <v>1221</v>
      </c>
      <c r="I656" s="11" t="s">
        <v>1453</v>
      </c>
      <c r="J656" s="11"/>
      <c r="K656" s="11"/>
      <c r="L656" s="11"/>
      <c r="M656" s="11" t="s">
        <v>3615</v>
      </c>
      <c r="N656" s="11"/>
      <c r="O656" s="11"/>
      <c r="P656" s="11"/>
      <c r="Q656" s="11"/>
      <c r="R656" s="11"/>
      <c r="S656" s="11" t="s">
        <v>3615</v>
      </c>
    </row>
    <row r="657" spans="1:19" hidden="1" x14ac:dyDescent="0.15">
      <c r="A657" s="34">
        <v>656</v>
      </c>
      <c r="B657" s="35" t="s">
        <v>4883</v>
      </c>
      <c r="C657" s="36" t="s">
        <v>3431</v>
      </c>
      <c r="D657" s="11" t="s">
        <v>1552</v>
      </c>
      <c r="E657" s="11" t="s">
        <v>1744</v>
      </c>
      <c r="F657" s="11">
        <v>3</v>
      </c>
      <c r="G657" s="11" t="s">
        <v>1220</v>
      </c>
      <c r="H657" s="11" t="s">
        <v>1219</v>
      </c>
      <c r="I657" s="11" t="s">
        <v>288</v>
      </c>
      <c r="J657" s="11"/>
      <c r="K657" s="11"/>
      <c r="L657" s="11"/>
      <c r="M657" s="11" t="s">
        <v>3616</v>
      </c>
      <c r="N657" s="11"/>
      <c r="O657" s="11"/>
      <c r="P657" s="11">
        <v>1</v>
      </c>
      <c r="Q657" s="11"/>
      <c r="R657" s="11"/>
      <c r="S657" s="11" t="s">
        <v>3616</v>
      </c>
    </row>
    <row r="658" spans="1:19" hidden="1" x14ac:dyDescent="0.15">
      <c r="A658" s="34">
        <v>657</v>
      </c>
      <c r="B658" s="35" t="s">
        <v>4883</v>
      </c>
      <c r="C658" s="36" t="s">
        <v>3431</v>
      </c>
      <c r="D658" s="11" t="s">
        <v>1552</v>
      </c>
      <c r="E658" s="11" t="s">
        <v>1451</v>
      </c>
      <c r="F658" s="11">
        <v>8</v>
      </c>
      <c r="G658" s="11" t="s">
        <v>1218</v>
      </c>
      <c r="H658" s="11" t="s">
        <v>1217</v>
      </c>
      <c r="I658" s="11" t="s">
        <v>339</v>
      </c>
      <c r="J658" s="11" t="s">
        <v>1489</v>
      </c>
      <c r="K658" s="11" t="s">
        <v>1929</v>
      </c>
      <c r="L658" s="11" t="s">
        <v>3605</v>
      </c>
      <c r="M658" s="11" t="s">
        <v>3606</v>
      </c>
      <c r="N658" s="11"/>
      <c r="O658" s="11"/>
      <c r="P658" s="11"/>
      <c r="Q658" s="11">
        <v>4</v>
      </c>
      <c r="R658" s="11">
        <v>4</v>
      </c>
      <c r="S658" s="11" t="s">
        <v>3606</v>
      </c>
    </row>
    <row r="659" spans="1:19" hidden="1" x14ac:dyDescent="0.15">
      <c r="A659" s="34">
        <v>658</v>
      </c>
      <c r="B659" s="35" t="s">
        <v>4883</v>
      </c>
      <c r="C659" s="36" t="s">
        <v>3431</v>
      </c>
      <c r="D659" s="11" t="s">
        <v>1552</v>
      </c>
      <c r="E659" s="11" t="s">
        <v>1451</v>
      </c>
      <c r="F659" s="11">
        <v>0</v>
      </c>
      <c r="G659" s="11" t="s">
        <v>1017</v>
      </c>
      <c r="H659" s="11" t="s">
        <v>1016</v>
      </c>
      <c r="I659" s="11" t="s">
        <v>339</v>
      </c>
      <c r="J659" s="11" t="s">
        <v>3605</v>
      </c>
      <c r="K659" s="11"/>
      <c r="L659" s="11"/>
      <c r="M659" s="11" t="s">
        <v>3617</v>
      </c>
      <c r="N659" s="11" t="s">
        <v>3607</v>
      </c>
      <c r="O659" s="11"/>
      <c r="P659" s="11"/>
      <c r="Q659" s="11">
        <v>5</v>
      </c>
      <c r="R659" s="11">
        <v>5</v>
      </c>
      <c r="S659" s="11" t="s">
        <v>3618</v>
      </c>
    </row>
    <row r="660" spans="1:19" hidden="1" x14ac:dyDescent="0.15">
      <c r="A660" s="34">
        <v>659</v>
      </c>
      <c r="B660" s="35" t="s">
        <v>4883</v>
      </c>
      <c r="C660" s="36" t="s">
        <v>3431</v>
      </c>
      <c r="D660" s="11" t="s">
        <v>1552</v>
      </c>
      <c r="E660" s="11" t="s">
        <v>1451</v>
      </c>
      <c r="F660" s="11">
        <v>7</v>
      </c>
      <c r="G660" s="11" t="s">
        <v>1216</v>
      </c>
      <c r="H660" s="11" t="s">
        <v>1215</v>
      </c>
      <c r="I660" s="11" t="s">
        <v>339</v>
      </c>
      <c r="J660" s="11" t="s">
        <v>3609</v>
      </c>
      <c r="K660" s="11"/>
      <c r="L660" s="11"/>
      <c r="M660" s="11" t="s">
        <v>3619</v>
      </c>
      <c r="N660" s="11" t="s">
        <v>3620</v>
      </c>
      <c r="O660" s="11"/>
      <c r="P660" s="11"/>
      <c r="Q660" s="11">
        <v>3</v>
      </c>
      <c r="R660" s="11">
        <v>2</v>
      </c>
      <c r="S660" s="11" t="s">
        <v>3621</v>
      </c>
    </row>
    <row r="661" spans="1:19" hidden="1" x14ac:dyDescent="0.15">
      <c r="A661" s="34">
        <v>660</v>
      </c>
      <c r="B661" s="35" t="s">
        <v>4883</v>
      </c>
      <c r="C661" s="36" t="s">
        <v>3431</v>
      </c>
      <c r="D661" s="11" t="s">
        <v>1552</v>
      </c>
      <c r="E661" s="11" t="s">
        <v>1451</v>
      </c>
      <c r="F661" s="11">
        <v>13</v>
      </c>
      <c r="G661" s="11" t="s">
        <v>1214</v>
      </c>
      <c r="H661" s="11" t="s">
        <v>1213</v>
      </c>
      <c r="I661" s="11" t="s">
        <v>339</v>
      </c>
      <c r="J661" s="11" t="s">
        <v>1489</v>
      </c>
      <c r="K661" s="11" t="s">
        <v>1867</v>
      </c>
      <c r="L661" s="11" t="s">
        <v>3605</v>
      </c>
      <c r="M661" s="11" t="s">
        <v>3622</v>
      </c>
      <c r="N661" s="11" t="s">
        <v>3606</v>
      </c>
      <c r="O661" s="11"/>
      <c r="P661" s="11"/>
      <c r="Q661" s="11">
        <v>3</v>
      </c>
      <c r="R661" s="11">
        <v>2</v>
      </c>
      <c r="S661" s="11" t="s">
        <v>3623</v>
      </c>
    </row>
    <row r="662" spans="1:19" hidden="1" x14ac:dyDescent="0.15">
      <c r="A662" s="34">
        <v>661</v>
      </c>
      <c r="B662" s="35" t="s">
        <v>4883</v>
      </c>
      <c r="C662" s="36" t="s">
        <v>3431</v>
      </c>
      <c r="D662" s="11" t="s">
        <v>1552</v>
      </c>
      <c r="E662" s="11" t="s">
        <v>1451</v>
      </c>
      <c r="F662" s="11">
        <v>0</v>
      </c>
      <c r="G662" s="11" t="s">
        <v>1015</v>
      </c>
      <c r="H662" s="11" t="s">
        <v>1014</v>
      </c>
      <c r="I662" s="11" t="s">
        <v>339</v>
      </c>
      <c r="J662" s="11" t="s">
        <v>3605</v>
      </c>
      <c r="K662" s="11"/>
      <c r="L662" s="11"/>
      <c r="M662" s="11" t="s">
        <v>3624</v>
      </c>
      <c r="N662" s="11" t="s">
        <v>3607</v>
      </c>
      <c r="O662" s="11"/>
      <c r="P662" s="11"/>
      <c r="Q662" s="11">
        <v>4</v>
      </c>
      <c r="R662" s="11">
        <v>3</v>
      </c>
      <c r="S662" s="11" t="s">
        <v>3625</v>
      </c>
    </row>
    <row r="663" spans="1:19" hidden="1" x14ac:dyDescent="0.15">
      <c r="A663" s="34">
        <v>662</v>
      </c>
      <c r="B663" s="35" t="s">
        <v>4883</v>
      </c>
      <c r="C663" s="36" t="s">
        <v>3431</v>
      </c>
      <c r="D663" s="11" t="s">
        <v>1552</v>
      </c>
      <c r="E663" s="11" t="s">
        <v>1451</v>
      </c>
      <c r="F663" s="11">
        <v>8</v>
      </c>
      <c r="G663" s="11" t="s">
        <v>1212</v>
      </c>
      <c r="H663" s="11" t="s">
        <v>1211</v>
      </c>
      <c r="I663" s="11" t="s">
        <v>339</v>
      </c>
      <c r="J663" s="11" t="s">
        <v>1489</v>
      </c>
      <c r="K663" s="11" t="s">
        <v>1867</v>
      </c>
      <c r="L663" s="11"/>
      <c r="M663" s="11" t="s">
        <v>2755</v>
      </c>
      <c r="N663" s="11" t="s">
        <v>3626</v>
      </c>
      <c r="O663" s="11"/>
      <c r="P663" s="11"/>
      <c r="Q663" s="11">
        <v>4</v>
      </c>
      <c r="R663" s="11">
        <v>4</v>
      </c>
      <c r="S663" s="11" t="s">
        <v>3627</v>
      </c>
    </row>
    <row r="664" spans="1:19" hidden="1" x14ac:dyDescent="0.15">
      <c r="A664" s="34">
        <v>663</v>
      </c>
      <c r="B664" s="35" t="s">
        <v>4883</v>
      </c>
      <c r="C664" s="36" t="s">
        <v>3431</v>
      </c>
      <c r="D664" s="11" t="s">
        <v>1552</v>
      </c>
      <c r="E664" s="11" t="s">
        <v>1451</v>
      </c>
      <c r="F664" s="11">
        <v>8</v>
      </c>
      <c r="G664" s="11" t="s">
        <v>1210</v>
      </c>
      <c r="H664" s="11" t="s">
        <v>1209</v>
      </c>
      <c r="I664" s="11" t="s">
        <v>339</v>
      </c>
      <c r="J664" s="11" t="s">
        <v>1489</v>
      </c>
      <c r="K664" s="11" t="s">
        <v>3605</v>
      </c>
      <c r="L664" s="11"/>
      <c r="M664" s="11" t="s">
        <v>2755</v>
      </c>
      <c r="N664" s="11" t="s">
        <v>3606</v>
      </c>
      <c r="O664" s="11"/>
      <c r="P664" s="11"/>
      <c r="Q664" s="11">
        <v>3</v>
      </c>
      <c r="R664" s="11">
        <v>3</v>
      </c>
      <c r="S664" s="11" t="s">
        <v>3628</v>
      </c>
    </row>
    <row r="665" spans="1:19" hidden="1" x14ac:dyDescent="0.15">
      <c r="A665" s="34">
        <v>664</v>
      </c>
      <c r="B665" s="35" t="s">
        <v>4883</v>
      </c>
      <c r="C665" s="36" t="s">
        <v>3431</v>
      </c>
      <c r="D665" s="11" t="s">
        <v>1552</v>
      </c>
      <c r="E665" s="11" t="s">
        <v>1451</v>
      </c>
      <c r="F665" s="11">
        <v>0</v>
      </c>
      <c r="G665" s="11" t="s">
        <v>1013</v>
      </c>
      <c r="H665" s="11" t="s">
        <v>1012</v>
      </c>
      <c r="I665" s="11" t="s">
        <v>339</v>
      </c>
      <c r="J665" s="11" t="s">
        <v>3605</v>
      </c>
      <c r="K665" s="11"/>
      <c r="L665" s="11"/>
      <c r="M665" s="11" t="s">
        <v>2048</v>
      </c>
      <c r="N665" s="11" t="s">
        <v>3607</v>
      </c>
      <c r="O665" s="11"/>
      <c r="P665" s="11"/>
      <c r="Q665" s="11">
        <v>5</v>
      </c>
      <c r="R665" s="11">
        <v>5</v>
      </c>
      <c r="S665" s="11" t="s">
        <v>3608</v>
      </c>
    </row>
    <row r="666" spans="1:19" hidden="1" x14ac:dyDescent="0.15">
      <c r="A666" s="34">
        <v>665</v>
      </c>
      <c r="B666" s="35" t="s">
        <v>4883</v>
      </c>
      <c r="C666" s="36" t="s">
        <v>3431</v>
      </c>
      <c r="D666" s="11" t="s">
        <v>1552</v>
      </c>
      <c r="E666" s="11" t="s">
        <v>1451</v>
      </c>
      <c r="F666" s="11">
        <v>6</v>
      </c>
      <c r="G666" s="11" t="s">
        <v>1208</v>
      </c>
      <c r="H666" s="11" t="s">
        <v>1207</v>
      </c>
      <c r="I666" s="11" t="s">
        <v>1453</v>
      </c>
      <c r="J666" s="11"/>
      <c r="K666" s="11"/>
      <c r="L666" s="11"/>
      <c r="M666" s="11" t="s">
        <v>3629</v>
      </c>
      <c r="N666" s="11"/>
      <c r="O666" s="11"/>
      <c r="P666" s="11"/>
      <c r="Q666" s="11"/>
      <c r="R666" s="11"/>
      <c r="S666" s="11" t="s">
        <v>3629</v>
      </c>
    </row>
    <row r="667" spans="1:19" hidden="1" x14ac:dyDescent="0.15">
      <c r="A667" s="34">
        <v>666</v>
      </c>
      <c r="B667" s="35" t="s">
        <v>4883</v>
      </c>
      <c r="C667" s="36" t="s">
        <v>3431</v>
      </c>
      <c r="D667" s="11" t="s">
        <v>1552</v>
      </c>
      <c r="E667" s="11" t="s">
        <v>1451</v>
      </c>
      <c r="F667" s="11">
        <v>3</v>
      </c>
      <c r="G667" s="11" t="s">
        <v>1206</v>
      </c>
      <c r="H667" s="11" t="s">
        <v>1205</v>
      </c>
      <c r="I667" s="11" t="s">
        <v>1453</v>
      </c>
      <c r="J667" s="11"/>
      <c r="K667" s="11"/>
      <c r="L667" s="11"/>
      <c r="M667" s="11" t="s">
        <v>3630</v>
      </c>
      <c r="N667" s="11"/>
      <c r="O667" s="11"/>
      <c r="P667" s="11"/>
      <c r="Q667" s="11"/>
      <c r="R667" s="11"/>
      <c r="S667" s="11" t="s">
        <v>3630</v>
      </c>
    </row>
    <row r="668" spans="1:19" hidden="1" x14ac:dyDescent="0.15">
      <c r="A668" s="34">
        <v>667</v>
      </c>
      <c r="B668" s="35" t="s">
        <v>4883</v>
      </c>
      <c r="C668" s="36" t="s">
        <v>3431</v>
      </c>
      <c r="D668" s="11" t="s">
        <v>1552</v>
      </c>
      <c r="E668" s="11" t="s">
        <v>1451</v>
      </c>
      <c r="F668" s="11">
        <v>5</v>
      </c>
      <c r="G668" s="11" t="s">
        <v>1204</v>
      </c>
      <c r="H668" s="11" t="s">
        <v>1203</v>
      </c>
      <c r="I668" s="11" t="s">
        <v>1453</v>
      </c>
      <c r="J668" s="11"/>
      <c r="K668" s="11"/>
      <c r="L668" s="11"/>
      <c r="M668" s="11" t="s">
        <v>3506</v>
      </c>
      <c r="N668" s="11" t="s">
        <v>3631</v>
      </c>
      <c r="O668" s="11"/>
      <c r="P668" s="11"/>
      <c r="Q668" s="11"/>
      <c r="R668" s="11"/>
      <c r="S668" s="11" t="s">
        <v>3632</v>
      </c>
    </row>
    <row r="669" spans="1:19" hidden="1" x14ac:dyDescent="0.15">
      <c r="A669" s="34">
        <v>668</v>
      </c>
      <c r="B669" s="35" t="s">
        <v>4883</v>
      </c>
      <c r="C669" s="36" t="s">
        <v>3431</v>
      </c>
      <c r="D669" s="11" t="s">
        <v>1552</v>
      </c>
      <c r="E669" s="11" t="s">
        <v>1451</v>
      </c>
      <c r="F669" s="11">
        <v>11</v>
      </c>
      <c r="G669" s="11" t="s">
        <v>1202</v>
      </c>
      <c r="H669" s="11" t="s">
        <v>1201</v>
      </c>
      <c r="I669" s="11" t="s">
        <v>1453</v>
      </c>
      <c r="J669" s="11"/>
      <c r="K669" s="11"/>
      <c r="L669" s="11"/>
      <c r="M669" s="11" t="s">
        <v>3506</v>
      </c>
      <c r="N669" s="11" t="s">
        <v>3633</v>
      </c>
      <c r="O669" s="11" t="s">
        <v>3634</v>
      </c>
      <c r="P669" s="11"/>
      <c r="Q669" s="11"/>
      <c r="R669" s="11"/>
      <c r="S669" s="11" t="s">
        <v>3635</v>
      </c>
    </row>
    <row r="670" spans="1:19" hidden="1" x14ac:dyDescent="0.15">
      <c r="A670" s="34">
        <v>669</v>
      </c>
      <c r="B670" s="35" t="s">
        <v>4883</v>
      </c>
      <c r="C670" s="36" t="s">
        <v>3431</v>
      </c>
      <c r="D670" s="11" t="s">
        <v>1552</v>
      </c>
      <c r="E670" s="11" t="s">
        <v>1441</v>
      </c>
      <c r="F670" s="11">
        <v>13</v>
      </c>
      <c r="G670" s="11" t="s">
        <v>1200</v>
      </c>
      <c r="H670" s="11" t="s">
        <v>1199</v>
      </c>
      <c r="I670" s="11" t="s">
        <v>339</v>
      </c>
      <c r="J670" s="11" t="s">
        <v>1494</v>
      </c>
      <c r="K670" s="11" t="s">
        <v>1738</v>
      </c>
      <c r="L670" s="11"/>
      <c r="M670" s="11" t="s">
        <v>3636</v>
      </c>
      <c r="N670" s="11"/>
      <c r="O670" s="11"/>
      <c r="P670" s="11"/>
      <c r="Q670" s="11">
        <v>4</v>
      </c>
      <c r="R670" s="11">
        <v>3</v>
      </c>
      <c r="S670" s="11" t="s">
        <v>3636</v>
      </c>
    </row>
    <row r="671" spans="1:19" hidden="1" x14ac:dyDescent="0.15">
      <c r="A671" s="34">
        <v>670</v>
      </c>
      <c r="B671" s="35" t="s">
        <v>4883</v>
      </c>
      <c r="C671" s="36" t="s">
        <v>3431</v>
      </c>
      <c r="D671" s="11" t="s">
        <v>1552</v>
      </c>
      <c r="E671" s="11" t="s">
        <v>1441</v>
      </c>
      <c r="F671" s="11">
        <v>11</v>
      </c>
      <c r="G671" s="11" t="s">
        <v>1198</v>
      </c>
      <c r="H671" s="11" t="s">
        <v>1197</v>
      </c>
      <c r="I671" s="11" t="s">
        <v>339</v>
      </c>
      <c r="J671" s="11" t="s">
        <v>348</v>
      </c>
      <c r="K671" s="11"/>
      <c r="L671" s="11"/>
      <c r="M671" s="11" t="s">
        <v>351</v>
      </c>
      <c r="N671" s="11" t="s">
        <v>3637</v>
      </c>
      <c r="O671" s="11"/>
      <c r="P671" s="11"/>
      <c r="Q671" s="11">
        <v>4</v>
      </c>
      <c r="R671" s="11">
        <v>4</v>
      </c>
      <c r="S671" s="11" t="s">
        <v>3638</v>
      </c>
    </row>
    <row r="672" spans="1:19" hidden="1" x14ac:dyDescent="0.15">
      <c r="A672" s="34">
        <v>671</v>
      </c>
      <c r="B672" s="35" t="s">
        <v>4883</v>
      </c>
      <c r="C672" s="36" t="s">
        <v>3431</v>
      </c>
      <c r="D672" s="11" t="s">
        <v>1552</v>
      </c>
      <c r="E672" s="11" t="s">
        <v>1441</v>
      </c>
      <c r="F672" s="11">
        <v>8</v>
      </c>
      <c r="G672" s="11" t="s">
        <v>1196</v>
      </c>
      <c r="H672" s="11" t="s">
        <v>1195</v>
      </c>
      <c r="I672" s="11" t="s">
        <v>339</v>
      </c>
      <c r="J672" s="11" t="s">
        <v>2604</v>
      </c>
      <c r="K672" s="11" t="s">
        <v>2802</v>
      </c>
      <c r="L672" s="11"/>
      <c r="M672" s="11" t="s">
        <v>3311</v>
      </c>
      <c r="N672" s="11" t="s">
        <v>3639</v>
      </c>
      <c r="O672" s="11"/>
      <c r="P672" s="11"/>
      <c r="Q672" s="11">
        <v>4</v>
      </c>
      <c r="R672" s="11">
        <v>4</v>
      </c>
      <c r="S672" s="11" t="s">
        <v>3640</v>
      </c>
    </row>
    <row r="673" spans="1:19" hidden="1" x14ac:dyDescent="0.15">
      <c r="A673" s="34">
        <v>672</v>
      </c>
      <c r="B673" s="35" t="s">
        <v>4883</v>
      </c>
      <c r="C673" s="36" t="s">
        <v>3431</v>
      </c>
      <c r="D673" s="11" t="s">
        <v>1552</v>
      </c>
      <c r="E673" s="11" t="s">
        <v>1441</v>
      </c>
      <c r="F673" s="11">
        <v>9</v>
      </c>
      <c r="G673" s="11" t="s">
        <v>1194</v>
      </c>
      <c r="H673" s="11" t="s">
        <v>1193</v>
      </c>
      <c r="I673" s="11" t="s">
        <v>1453</v>
      </c>
      <c r="J673" s="11"/>
      <c r="K673" s="11"/>
      <c r="L673" s="11"/>
      <c r="M673" s="11" t="s">
        <v>3506</v>
      </c>
      <c r="N673" s="11" t="s">
        <v>3641</v>
      </c>
      <c r="O673" s="11"/>
      <c r="P673" s="11"/>
      <c r="Q673" s="11"/>
      <c r="R673" s="11"/>
      <c r="S673" s="11" t="s">
        <v>3642</v>
      </c>
    </row>
    <row r="674" spans="1:19" hidden="1" x14ac:dyDescent="0.15">
      <c r="A674" s="34">
        <v>673</v>
      </c>
      <c r="B674" s="35" t="s">
        <v>4883</v>
      </c>
      <c r="C674" s="36" t="s">
        <v>3431</v>
      </c>
      <c r="D674" s="11" t="s">
        <v>1552</v>
      </c>
      <c r="E674" s="11" t="s">
        <v>1441</v>
      </c>
      <c r="F674" s="11">
        <v>4</v>
      </c>
      <c r="G674" s="11" t="s">
        <v>1192</v>
      </c>
      <c r="H674" s="11" t="s">
        <v>1191</v>
      </c>
      <c r="I674" s="11" t="s">
        <v>1453</v>
      </c>
      <c r="J674" s="11"/>
      <c r="K674" s="11"/>
      <c r="L674" s="11"/>
      <c r="M674" s="11" t="s">
        <v>3643</v>
      </c>
      <c r="N674" s="11"/>
      <c r="O674" s="11"/>
      <c r="P674" s="11"/>
      <c r="Q674" s="11"/>
      <c r="R674" s="11"/>
      <c r="S674" s="11" t="s">
        <v>3643</v>
      </c>
    </row>
    <row r="675" spans="1:19" hidden="1" x14ac:dyDescent="0.15">
      <c r="A675" s="34">
        <v>674</v>
      </c>
      <c r="B675" s="35" t="s">
        <v>4883</v>
      </c>
      <c r="C675" s="36" t="s">
        <v>3431</v>
      </c>
      <c r="D675" s="11" t="s">
        <v>1552</v>
      </c>
      <c r="E675" s="11" t="s">
        <v>1431</v>
      </c>
      <c r="F675" s="11">
        <v>8</v>
      </c>
      <c r="G675" s="11" t="s">
        <v>1190</v>
      </c>
      <c r="H675" s="11" t="s">
        <v>1189</v>
      </c>
      <c r="I675" s="11" t="s">
        <v>339</v>
      </c>
      <c r="J675" s="11" t="s">
        <v>348</v>
      </c>
      <c r="K675" s="11"/>
      <c r="L675" s="11"/>
      <c r="M675" s="11" t="s">
        <v>3370</v>
      </c>
      <c r="N675" s="11" t="s">
        <v>3644</v>
      </c>
      <c r="O675" s="11"/>
      <c r="P675" s="11"/>
      <c r="Q675" s="11">
        <v>8</v>
      </c>
      <c r="R675" s="11">
        <v>16</v>
      </c>
      <c r="S675" s="11" t="s">
        <v>3645</v>
      </c>
    </row>
    <row r="676" spans="1:19" hidden="1" x14ac:dyDescent="0.15">
      <c r="A676" s="34">
        <v>675</v>
      </c>
      <c r="B676" s="35" t="s">
        <v>4883</v>
      </c>
      <c r="C676" s="36" t="s">
        <v>3431</v>
      </c>
      <c r="D676" s="11" t="s">
        <v>1552</v>
      </c>
      <c r="E676" s="11" t="s">
        <v>1431</v>
      </c>
      <c r="F676" s="11">
        <v>12</v>
      </c>
      <c r="G676" s="11" t="s">
        <v>4878</v>
      </c>
      <c r="H676" s="11" t="s">
        <v>1187</v>
      </c>
      <c r="I676" s="11" t="s">
        <v>339</v>
      </c>
      <c r="J676" s="11" t="s">
        <v>1489</v>
      </c>
      <c r="K676" s="11" t="s">
        <v>2938</v>
      </c>
      <c r="L676" s="11" t="s">
        <v>3605</v>
      </c>
      <c r="M676" s="11" t="s">
        <v>2755</v>
      </c>
      <c r="N676" s="11" t="s">
        <v>3606</v>
      </c>
      <c r="O676" s="11" t="s">
        <v>3646</v>
      </c>
      <c r="P676" s="11"/>
      <c r="Q676" s="11">
        <v>6</v>
      </c>
      <c r="R676" s="11">
        <v>5</v>
      </c>
      <c r="S676" s="11" t="s">
        <v>3647</v>
      </c>
    </row>
    <row r="677" spans="1:19" hidden="1" x14ac:dyDescent="0.15">
      <c r="A677" s="34">
        <v>676</v>
      </c>
      <c r="B677" s="35" t="s">
        <v>4883</v>
      </c>
      <c r="C677" s="36" t="s">
        <v>3431</v>
      </c>
      <c r="D677" s="11" t="s">
        <v>1552</v>
      </c>
      <c r="E677" s="11" t="s">
        <v>1431</v>
      </c>
      <c r="F677" s="11">
        <v>0</v>
      </c>
      <c r="G677" s="11" t="s">
        <v>1011</v>
      </c>
      <c r="H677" s="11" t="s">
        <v>1010</v>
      </c>
      <c r="I677" s="11" t="s">
        <v>339</v>
      </c>
      <c r="J677" s="11" t="s">
        <v>3605</v>
      </c>
      <c r="K677" s="11"/>
      <c r="L677" s="11"/>
      <c r="M677" s="11" t="s">
        <v>3648</v>
      </c>
      <c r="N677" s="11" t="s">
        <v>3607</v>
      </c>
      <c r="O677" s="11"/>
      <c r="P677" s="11"/>
      <c r="Q677" s="11">
        <v>12</v>
      </c>
      <c r="R677" s="11">
        <v>11</v>
      </c>
      <c r="S677" s="11" t="s">
        <v>3649</v>
      </c>
    </row>
    <row r="678" spans="1:19" hidden="1" x14ac:dyDescent="0.15">
      <c r="A678" s="34">
        <v>677</v>
      </c>
      <c r="B678" s="35" t="s">
        <v>4883</v>
      </c>
      <c r="C678" s="36" t="s">
        <v>3431</v>
      </c>
      <c r="D678" s="11" t="s">
        <v>1552</v>
      </c>
      <c r="E678" s="11" t="s">
        <v>1431</v>
      </c>
      <c r="F678" s="11">
        <v>18</v>
      </c>
      <c r="G678" s="11" t="s">
        <v>1186</v>
      </c>
      <c r="H678" s="11" t="s">
        <v>1185</v>
      </c>
      <c r="I678" s="11" t="s">
        <v>339</v>
      </c>
      <c r="J678" s="11" t="s">
        <v>1537</v>
      </c>
      <c r="K678" s="11" t="s">
        <v>2604</v>
      </c>
      <c r="L678" s="11"/>
      <c r="M678" s="11" t="s">
        <v>3650</v>
      </c>
      <c r="N678" s="11"/>
      <c r="O678" s="11"/>
      <c r="P678" s="11"/>
      <c r="Q678" s="11">
        <v>5</v>
      </c>
      <c r="R678" s="11">
        <v>5</v>
      </c>
      <c r="S678" s="11" t="s">
        <v>3650</v>
      </c>
    </row>
    <row r="679" spans="1:19" hidden="1" x14ac:dyDescent="0.15">
      <c r="A679" s="34">
        <v>678</v>
      </c>
      <c r="B679" s="35" t="s">
        <v>4883</v>
      </c>
      <c r="C679" s="36" t="s">
        <v>3431</v>
      </c>
      <c r="D679" s="11" t="s">
        <v>1552</v>
      </c>
      <c r="E679" s="11" t="s">
        <v>1431</v>
      </c>
      <c r="F679" s="11">
        <v>12</v>
      </c>
      <c r="G679" s="11" t="s">
        <v>1184</v>
      </c>
      <c r="H679" s="11" t="s">
        <v>1183</v>
      </c>
      <c r="I679" s="11" t="s">
        <v>288</v>
      </c>
      <c r="J679" s="11"/>
      <c r="K679" s="11"/>
      <c r="L679" s="11"/>
      <c r="M679" s="11" t="s">
        <v>3651</v>
      </c>
      <c r="N679" s="11"/>
      <c r="O679" s="11"/>
      <c r="P679" s="11">
        <v>3</v>
      </c>
      <c r="Q679" s="11"/>
      <c r="R679" s="11"/>
      <c r="S679" s="11" t="s">
        <v>3651</v>
      </c>
    </row>
    <row r="680" spans="1:19" hidden="1" x14ac:dyDescent="0.15">
      <c r="A680" s="34">
        <v>679</v>
      </c>
      <c r="B680" s="35" t="s">
        <v>4883</v>
      </c>
      <c r="C680" s="36" t="s">
        <v>3431</v>
      </c>
      <c r="D680" s="11" t="s">
        <v>1518</v>
      </c>
      <c r="E680" s="11" t="s">
        <v>1744</v>
      </c>
      <c r="F680" s="11">
        <v>7</v>
      </c>
      <c r="G680" s="11" t="s">
        <v>1182</v>
      </c>
      <c r="H680" s="11" t="s">
        <v>1181</v>
      </c>
      <c r="I680" s="11" t="s">
        <v>339</v>
      </c>
      <c r="J680" s="11" t="s">
        <v>1489</v>
      </c>
      <c r="K680" s="11" t="s">
        <v>1929</v>
      </c>
      <c r="L680" s="11"/>
      <c r="M680" s="11" t="s">
        <v>3652</v>
      </c>
      <c r="N680" s="11"/>
      <c r="O680" s="11"/>
      <c r="P680" s="11"/>
      <c r="Q680" s="11">
        <v>2</v>
      </c>
      <c r="R680" s="11">
        <v>1</v>
      </c>
      <c r="S680" s="11" t="s">
        <v>3652</v>
      </c>
    </row>
    <row r="681" spans="1:19" hidden="1" x14ac:dyDescent="0.15">
      <c r="A681" s="34">
        <v>680</v>
      </c>
      <c r="B681" s="35" t="s">
        <v>4883</v>
      </c>
      <c r="C681" s="36" t="s">
        <v>3431</v>
      </c>
      <c r="D681" s="11" t="s">
        <v>1518</v>
      </c>
      <c r="E681" s="11" t="s">
        <v>1744</v>
      </c>
      <c r="F681" s="11">
        <v>12</v>
      </c>
      <c r="G681" s="11" t="s">
        <v>1180</v>
      </c>
      <c r="H681" s="11" t="s">
        <v>1179</v>
      </c>
      <c r="I681" s="11" t="s">
        <v>339</v>
      </c>
      <c r="J681" s="11" t="s">
        <v>1489</v>
      </c>
      <c r="K681" s="11" t="s">
        <v>3605</v>
      </c>
      <c r="L681" s="11"/>
      <c r="M681" s="11" t="s">
        <v>3606</v>
      </c>
      <c r="N681" s="11"/>
      <c r="O681" s="11"/>
      <c r="P681" s="11"/>
      <c r="Q681" s="11">
        <v>2</v>
      </c>
      <c r="R681" s="11">
        <v>1</v>
      </c>
      <c r="S681" s="11" t="s">
        <v>3606</v>
      </c>
    </row>
    <row r="682" spans="1:19" hidden="1" x14ac:dyDescent="0.15">
      <c r="A682" s="34">
        <v>681</v>
      </c>
      <c r="B682" s="35" t="s">
        <v>4883</v>
      </c>
      <c r="C682" s="36" t="s">
        <v>3431</v>
      </c>
      <c r="D682" s="11" t="s">
        <v>1518</v>
      </c>
      <c r="E682" s="11" t="s">
        <v>1744</v>
      </c>
      <c r="F682" s="11">
        <v>0</v>
      </c>
      <c r="G682" s="11" t="s">
        <v>1009</v>
      </c>
      <c r="H682" s="11" t="s">
        <v>1008</v>
      </c>
      <c r="I682" s="11" t="s">
        <v>339</v>
      </c>
      <c r="J682" s="11" t="s">
        <v>3605</v>
      </c>
      <c r="K682" s="11"/>
      <c r="L682" s="11"/>
      <c r="M682" s="11" t="s">
        <v>1707</v>
      </c>
      <c r="N682" s="11" t="s">
        <v>3607</v>
      </c>
      <c r="O682" s="11"/>
      <c r="P682" s="11"/>
      <c r="Q682" s="11">
        <v>4</v>
      </c>
      <c r="R682" s="11">
        <v>2</v>
      </c>
      <c r="S682" s="11" t="s">
        <v>3653</v>
      </c>
    </row>
    <row r="683" spans="1:19" hidden="1" x14ac:dyDescent="0.15">
      <c r="A683" s="34">
        <v>682</v>
      </c>
      <c r="B683" s="35" t="s">
        <v>4883</v>
      </c>
      <c r="C683" s="36" t="s">
        <v>3431</v>
      </c>
      <c r="D683" s="11" t="s">
        <v>1518</v>
      </c>
      <c r="E683" s="11" t="s">
        <v>1744</v>
      </c>
      <c r="F683" s="11">
        <v>9</v>
      </c>
      <c r="G683" s="11" t="s">
        <v>1178</v>
      </c>
      <c r="H683" s="11" t="s">
        <v>1177</v>
      </c>
      <c r="I683" s="11" t="s">
        <v>339</v>
      </c>
      <c r="J683" s="11" t="s">
        <v>1489</v>
      </c>
      <c r="K683" s="11" t="s">
        <v>1929</v>
      </c>
      <c r="L683" s="11"/>
      <c r="M683" s="11" t="s">
        <v>1707</v>
      </c>
      <c r="N683" s="11" t="s">
        <v>3654</v>
      </c>
      <c r="O683" s="11"/>
      <c r="P683" s="11"/>
      <c r="Q683" s="11">
        <v>2</v>
      </c>
      <c r="R683" s="11">
        <v>2</v>
      </c>
      <c r="S683" s="11" t="s">
        <v>3655</v>
      </c>
    </row>
    <row r="684" spans="1:19" hidden="1" x14ac:dyDescent="0.15">
      <c r="A684" s="34">
        <v>683</v>
      </c>
      <c r="B684" s="35" t="s">
        <v>4883</v>
      </c>
      <c r="C684" s="36" t="s">
        <v>3431</v>
      </c>
      <c r="D684" s="11" t="s">
        <v>1518</v>
      </c>
      <c r="E684" s="11" t="s">
        <v>1744</v>
      </c>
      <c r="F684" s="11">
        <v>24</v>
      </c>
      <c r="G684" s="11" t="s">
        <v>1176</v>
      </c>
      <c r="H684" s="11" t="s">
        <v>1175</v>
      </c>
      <c r="I684" s="11" t="s">
        <v>339</v>
      </c>
      <c r="J684" s="11" t="s">
        <v>2717</v>
      </c>
      <c r="K684" s="11" t="s">
        <v>2802</v>
      </c>
      <c r="L684" s="11"/>
      <c r="M684" s="11" t="s">
        <v>1707</v>
      </c>
      <c r="N684" s="11"/>
      <c r="O684" s="11"/>
      <c r="P684" s="11"/>
      <c r="Q684" s="11">
        <v>6</v>
      </c>
      <c r="R684" s="11">
        <v>6</v>
      </c>
      <c r="S684" s="11" t="s">
        <v>1707</v>
      </c>
    </row>
    <row r="685" spans="1:19" hidden="1" x14ac:dyDescent="0.15">
      <c r="A685" s="34">
        <v>684</v>
      </c>
      <c r="B685" s="35" t="s">
        <v>4883</v>
      </c>
      <c r="C685" s="36" t="s">
        <v>3431</v>
      </c>
      <c r="D685" s="11" t="s">
        <v>1518</v>
      </c>
      <c r="E685" s="11" t="s">
        <v>1744</v>
      </c>
      <c r="F685" s="11">
        <v>8</v>
      </c>
      <c r="G685" s="11" t="s">
        <v>1174</v>
      </c>
      <c r="H685" s="11" t="s">
        <v>1173</v>
      </c>
      <c r="I685" s="11" t="s">
        <v>339</v>
      </c>
      <c r="J685" s="11" t="s">
        <v>1938</v>
      </c>
      <c r="K685" s="11"/>
      <c r="L685" s="11"/>
      <c r="M685" s="11" t="s">
        <v>3656</v>
      </c>
      <c r="N685" s="11"/>
      <c r="O685" s="11"/>
      <c r="P685" s="11"/>
      <c r="Q685" s="11">
        <v>1</v>
      </c>
      <c r="R685" s="11">
        <v>3</v>
      </c>
      <c r="S685" s="11" t="s">
        <v>3656</v>
      </c>
    </row>
    <row r="686" spans="1:19" hidden="1" x14ac:dyDescent="0.15">
      <c r="A686" s="34">
        <v>685</v>
      </c>
      <c r="B686" s="35" t="s">
        <v>4883</v>
      </c>
      <c r="C686" s="36" t="s">
        <v>3431</v>
      </c>
      <c r="D686" s="11" t="s">
        <v>1518</v>
      </c>
      <c r="E686" s="11" t="s">
        <v>1744</v>
      </c>
      <c r="F686" s="11">
        <v>6</v>
      </c>
      <c r="G686" s="11" t="s">
        <v>1172</v>
      </c>
      <c r="H686" s="11" t="s">
        <v>1171</v>
      </c>
      <c r="I686" s="11" t="s">
        <v>339</v>
      </c>
      <c r="J686" s="11"/>
      <c r="K686" s="11"/>
      <c r="L686" s="11"/>
      <c r="M686" s="11"/>
      <c r="N686" s="11"/>
      <c r="O686" s="11"/>
      <c r="P686" s="11"/>
      <c r="Q686" s="11">
        <v>2</v>
      </c>
      <c r="R686" s="11">
        <v>2</v>
      </c>
      <c r="S686" s="11"/>
    </row>
    <row r="687" spans="1:19" hidden="1" x14ac:dyDescent="0.15">
      <c r="A687" s="34">
        <v>686</v>
      </c>
      <c r="B687" s="35" t="s">
        <v>4883</v>
      </c>
      <c r="C687" s="36" t="s">
        <v>3431</v>
      </c>
      <c r="D687" s="11" t="s">
        <v>1518</v>
      </c>
      <c r="E687" s="11" t="s">
        <v>1744</v>
      </c>
      <c r="F687" s="11">
        <v>15</v>
      </c>
      <c r="G687" s="11" t="s">
        <v>1170</v>
      </c>
      <c r="H687" s="11" t="s">
        <v>1169</v>
      </c>
      <c r="I687" s="11" t="s">
        <v>339</v>
      </c>
      <c r="J687" s="11" t="s">
        <v>1489</v>
      </c>
      <c r="K687" s="11" t="s">
        <v>1493</v>
      </c>
      <c r="L687" s="11" t="s">
        <v>3605</v>
      </c>
      <c r="M687" s="11" t="s">
        <v>3606</v>
      </c>
      <c r="N687" s="11"/>
      <c r="O687" s="11"/>
      <c r="P687" s="11"/>
      <c r="Q687" s="11">
        <v>1</v>
      </c>
      <c r="R687" s="11">
        <v>2</v>
      </c>
      <c r="S687" s="11" t="s">
        <v>3606</v>
      </c>
    </row>
    <row r="688" spans="1:19" hidden="1" x14ac:dyDescent="0.15">
      <c r="A688" s="34">
        <v>687</v>
      </c>
      <c r="B688" s="35" t="s">
        <v>4883</v>
      </c>
      <c r="C688" s="36" t="s">
        <v>3431</v>
      </c>
      <c r="D688" s="11" t="s">
        <v>1518</v>
      </c>
      <c r="E688" s="11" t="s">
        <v>1744</v>
      </c>
      <c r="F688" s="11">
        <v>0</v>
      </c>
      <c r="G688" s="11" t="s">
        <v>1007</v>
      </c>
      <c r="H688" s="11" t="s">
        <v>1006</v>
      </c>
      <c r="I688" s="11" t="s">
        <v>339</v>
      </c>
      <c r="J688" s="11" t="s">
        <v>3605</v>
      </c>
      <c r="K688" s="11"/>
      <c r="L688" s="11"/>
      <c r="M688" s="11" t="s">
        <v>3607</v>
      </c>
      <c r="N688" s="11"/>
      <c r="O688" s="11"/>
      <c r="P688" s="11"/>
      <c r="Q688" s="11">
        <v>5</v>
      </c>
      <c r="R688" s="11">
        <v>5</v>
      </c>
      <c r="S688" s="11" t="s">
        <v>3607</v>
      </c>
    </row>
    <row r="689" spans="1:19" hidden="1" x14ac:dyDescent="0.15">
      <c r="A689" s="34">
        <v>688</v>
      </c>
      <c r="B689" s="35" t="s">
        <v>4883</v>
      </c>
      <c r="C689" s="36" t="s">
        <v>3431</v>
      </c>
      <c r="D689" s="11" t="s">
        <v>1518</v>
      </c>
      <c r="E689" s="11" t="s">
        <v>1744</v>
      </c>
      <c r="F689" s="11">
        <v>14</v>
      </c>
      <c r="G689" s="11" t="s">
        <v>1168</v>
      </c>
      <c r="H689" s="11" t="s">
        <v>1167</v>
      </c>
      <c r="I689" s="11" t="s">
        <v>339</v>
      </c>
      <c r="J689" s="11" t="s">
        <v>2564</v>
      </c>
      <c r="K689" s="11"/>
      <c r="L689" s="11"/>
      <c r="M689" s="11" t="s">
        <v>1944</v>
      </c>
      <c r="N689" s="11"/>
      <c r="O689" s="11"/>
      <c r="P689" s="11"/>
      <c r="Q689" s="11">
        <v>1</v>
      </c>
      <c r="R689" s="11">
        <v>4</v>
      </c>
      <c r="S689" s="11" t="s">
        <v>1944</v>
      </c>
    </row>
    <row r="690" spans="1:19" hidden="1" x14ac:dyDescent="0.15">
      <c r="A690" s="34">
        <v>689</v>
      </c>
      <c r="B690" s="35" t="s">
        <v>4883</v>
      </c>
      <c r="C690" s="36" t="s">
        <v>3431</v>
      </c>
      <c r="D690" s="11" t="s">
        <v>1518</v>
      </c>
      <c r="E690" s="11" t="s">
        <v>1744</v>
      </c>
      <c r="F690" s="11">
        <v>6</v>
      </c>
      <c r="G690" s="11" t="s">
        <v>1166</v>
      </c>
      <c r="H690" s="11" t="s">
        <v>1165</v>
      </c>
      <c r="I690" s="11" t="s">
        <v>1453</v>
      </c>
      <c r="J690" s="11"/>
      <c r="K690" s="11"/>
      <c r="L690" s="11"/>
      <c r="M690" s="11" t="s">
        <v>3657</v>
      </c>
      <c r="N690" s="11"/>
      <c r="O690" s="11"/>
      <c r="P690" s="11"/>
      <c r="Q690" s="11"/>
      <c r="R690" s="11"/>
      <c r="S690" s="11" t="s">
        <v>3657</v>
      </c>
    </row>
    <row r="691" spans="1:19" hidden="1" x14ac:dyDescent="0.15">
      <c r="A691" s="34">
        <v>690</v>
      </c>
      <c r="B691" s="35" t="s">
        <v>4883</v>
      </c>
      <c r="C691" s="36" t="s">
        <v>3431</v>
      </c>
      <c r="D691" s="11" t="s">
        <v>1518</v>
      </c>
      <c r="E691" s="11" t="s">
        <v>1744</v>
      </c>
      <c r="F691" s="11">
        <v>8</v>
      </c>
      <c r="G691" s="11" t="s">
        <v>1164</v>
      </c>
      <c r="H691" s="11" t="s">
        <v>1163</v>
      </c>
      <c r="I691" s="11" t="s">
        <v>1453</v>
      </c>
      <c r="J691" s="11"/>
      <c r="K691" s="11"/>
      <c r="L691" s="11"/>
      <c r="M691" s="11" t="s">
        <v>1456</v>
      </c>
      <c r="N691" s="11" t="s">
        <v>3658</v>
      </c>
      <c r="O691" s="11"/>
      <c r="P691" s="11"/>
      <c r="Q691" s="11"/>
      <c r="R691" s="11"/>
      <c r="S691" s="11" t="s">
        <v>3659</v>
      </c>
    </row>
    <row r="692" spans="1:19" hidden="1" x14ac:dyDescent="0.15">
      <c r="A692" s="34">
        <v>691</v>
      </c>
      <c r="B692" s="35" t="s">
        <v>4883</v>
      </c>
      <c r="C692" s="36" t="s">
        <v>3431</v>
      </c>
      <c r="D692" s="11" t="s">
        <v>1518</v>
      </c>
      <c r="E692" s="11" t="s">
        <v>1744</v>
      </c>
      <c r="F692" s="11">
        <v>10</v>
      </c>
      <c r="G692" s="11" t="s">
        <v>4905</v>
      </c>
      <c r="H692" s="11" t="s">
        <v>1161</v>
      </c>
      <c r="I692" s="11" t="s">
        <v>1453</v>
      </c>
      <c r="J692" s="11"/>
      <c r="K692" s="11"/>
      <c r="L692" s="11"/>
      <c r="M692" s="11" t="s">
        <v>3660</v>
      </c>
      <c r="N692" s="11"/>
      <c r="O692" s="11"/>
      <c r="P692" s="11"/>
      <c r="Q692" s="11"/>
      <c r="R692" s="11"/>
      <c r="S692" s="11" t="s">
        <v>3660</v>
      </c>
    </row>
    <row r="693" spans="1:19" hidden="1" x14ac:dyDescent="0.15">
      <c r="A693" s="34">
        <v>692</v>
      </c>
      <c r="B693" s="35" t="s">
        <v>4883</v>
      </c>
      <c r="C693" s="36" t="s">
        <v>3431</v>
      </c>
      <c r="D693" s="11" t="s">
        <v>1518</v>
      </c>
      <c r="E693" s="11" t="s">
        <v>1744</v>
      </c>
      <c r="F693" s="11">
        <v>10</v>
      </c>
      <c r="G693" s="11" t="s">
        <v>1160</v>
      </c>
      <c r="H693" s="11" t="s">
        <v>1159</v>
      </c>
      <c r="I693" s="11" t="s">
        <v>288</v>
      </c>
      <c r="J693" s="11"/>
      <c r="K693" s="11"/>
      <c r="L693" s="11"/>
      <c r="M693" s="11" t="s">
        <v>3661</v>
      </c>
      <c r="N693" s="11"/>
      <c r="O693" s="11"/>
      <c r="P693" s="11">
        <v>1</v>
      </c>
      <c r="Q693" s="11"/>
      <c r="R693" s="11"/>
      <c r="S693" s="11" t="s">
        <v>3661</v>
      </c>
    </row>
    <row r="694" spans="1:19" hidden="1" x14ac:dyDescent="0.15">
      <c r="A694" s="34">
        <v>693</v>
      </c>
      <c r="B694" s="35" t="s">
        <v>4883</v>
      </c>
      <c r="C694" s="36" t="s">
        <v>3431</v>
      </c>
      <c r="D694" s="11" t="s">
        <v>1518</v>
      </c>
      <c r="E694" s="11" t="s">
        <v>1744</v>
      </c>
      <c r="F694" s="11">
        <v>4</v>
      </c>
      <c r="G694" s="11" t="s">
        <v>1158</v>
      </c>
      <c r="H694" s="11" t="s">
        <v>1157</v>
      </c>
      <c r="I694" s="11" t="s">
        <v>288</v>
      </c>
      <c r="J694" s="11"/>
      <c r="K694" s="11"/>
      <c r="L694" s="11"/>
      <c r="M694" s="11" t="s">
        <v>3662</v>
      </c>
      <c r="N694" s="11"/>
      <c r="O694" s="11"/>
      <c r="P694" s="11">
        <v>1</v>
      </c>
      <c r="Q694" s="11"/>
      <c r="R694" s="11"/>
      <c r="S694" s="11" t="s">
        <v>3662</v>
      </c>
    </row>
    <row r="695" spans="1:19" hidden="1" x14ac:dyDescent="0.15">
      <c r="A695" s="34">
        <v>694</v>
      </c>
      <c r="B695" s="35" t="s">
        <v>4883</v>
      </c>
      <c r="C695" s="36" t="s">
        <v>3431</v>
      </c>
      <c r="D695" s="11" t="s">
        <v>1518</v>
      </c>
      <c r="E695" s="11" t="s">
        <v>1451</v>
      </c>
      <c r="F695" s="11">
        <v>16</v>
      </c>
      <c r="G695" s="11" t="s">
        <v>1156</v>
      </c>
      <c r="H695" s="11" t="s">
        <v>1155</v>
      </c>
      <c r="I695" s="11" t="s">
        <v>339</v>
      </c>
      <c r="J695" s="11" t="s">
        <v>1489</v>
      </c>
      <c r="K695" s="11" t="s">
        <v>1493</v>
      </c>
      <c r="L695" s="11"/>
      <c r="M695" s="11" t="s">
        <v>2595</v>
      </c>
      <c r="N695" s="11" t="s">
        <v>3663</v>
      </c>
      <c r="O695" s="11" t="s">
        <v>3664</v>
      </c>
      <c r="P695" s="11"/>
      <c r="Q695" s="11">
        <v>4</v>
      </c>
      <c r="R695" s="11">
        <v>4</v>
      </c>
      <c r="S695" s="11" t="s">
        <v>3665</v>
      </c>
    </row>
    <row r="696" spans="1:19" hidden="1" x14ac:dyDescent="0.15">
      <c r="A696" s="34">
        <v>695</v>
      </c>
      <c r="B696" s="35" t="s">
        <v>4883</v>
      </c>
      <c r="C696" s="36" t="s">
        <v>3431</v>
      </c>
      <c r="D696" s="11" t="s">
        <v>1518</v>
      </c>
      <c r="E696" s="11" t="s">
        <v>1451</v>
      </c>
      <c r="F696" s="11">
        <v>19</v>
      </c>
      <c r="G696" s="11" t="s">
        <v>1154</v>
      </c>
      <c r="H696" s="11" t="s">
        <v>1153</v>
      </c>
      <c r="I696" s="11" t="s">
        <v>339</v>
      </c>
      <c r="J696" s="11" t="s">
        <v>1489</v>
      </c>
      <c r="K696" s="11" t="s">
        <v>1493</v>
      </c>
      <c r="L696" s="11" t="s">
        <v>3605</v>
      </c>
      <c r="M696" s="11" t="s">
        <v>3666</v>
      </c>
      <c r="N696" s="11" t="s">
        <v>3606</v>
      </c>
      <c r="O696" s="11"/>
      <c r="P696" s="11"/>
      <c r="Q696" s="11">
        <v>4</v>
      </c>
      <c r="R696" s="11">
        <v>4</v>
      </c>
      <c r="S696" s="11" t="s">
        <v>3667</v>
      </c>
    </row>
    <row r="697" spans="1:19" hidden="1" x14ac:dyDescent="0.15">
      <c r="A697" s="34">
        <v>696</v>
      </c>
      <c r="B697" s="35" t="s">
        <v>4883</v>
      </c>
      <c r="C697" s="36" t="s">
        <v>3431</v>
      </c>
      <c r="D697" s="11" t="s">
        <v>1518</v>
      </c>
      <c r="E697" s="11" t="s">
        <v>1451</v>
      </c>
      <c r="F697" s="11">
        <v>0</v>
      </c>
      <c r="G697" s="11" t="s">
        <v>1005</v>
      </c>
      <c r="H697" s="11" t="s">
        <v>1004</v>
      </c>
      <c r="I697" s="11" t="s">
        <v>339</v>
      </c>
      <c r="J697" s="11" t="s">
        <v>3605</v>
      </c>
      <c r="K697" s="11"/>
      <c r="L697" s="11"/>
      <c r="M697" s="11" t="s">
        <v>3668</v>
      </c>
      <c r="N697" s="11" t="s">
        <v>3607</v>
      </c>
      <c r="O697" s="11"/>
      <c r="P697" s="11"/>
      <c r="Q697" s="11">
        <v>6</v>
      </c>
      <c r="R697" s="11">
        <v>6</v>
      </c>
      <c r="S697" s="11" t="s">
        <v>3669</v>
      </c>
    </row>
    <row r="698" spans="1:19" hidden="1" x14ac:dyDescent="0.15">
      <c r="A698" s="34">
        <v>697</v>
      </c>
      <c r="B698" s="35" t="s">
        <v>4883</v>
      </c>
      <c r="C698" s="36" t="s">
        <v>3431</v>
      </c>
      <c r="D698" s="11" t="s">
        <v>1518</v>
      </c>
      <c r="E698" s="11" t="s">
        <v>1451</v>
      </c>
      <c r="F698" s="11">
        <v>14</v>
      </c>
      <c r="G698" s="11" t="s">
        <v>1152</v>
      </c>
      <c r="H698" s="11" t="s">
        <v>1151</v>
      </c>
      <c r="I698" s="11" t="s">
        <v>339</v>
      </c>
      <c r="J698" s="11" t="s">
        <v>2564</v>
      </c>
      <c r="K698" s="11"/>
      <c r="L698" s="11"/>
      <c r="M698" s="11" t="s">
        <v>1944</v>
      </c>
      <c r="N698" s="11"/>
      <c r="O698" s="11"/>
      <c r="P698" s="11"/>
      <c r="Q698" s="11">
        <v>4</v>
      </c>
      <c r="R698" s="11">
        <v>4</v>
      </c>
      <c r="S698" s="11" t="s">
        <v>1944</v>
      </c>
    </row>
    <row r="699" spans="1:19" hidden="1" x14ac:dyDescent="0.15">
      <c r="A699" s="34">
        <v>698</v>
      </c>
      <c r="B699" s="35" t="s">
        <v>4883</v>
      </c>
      <c r="C699" s="36" t="s">
        <v>3431</v>
      </c>
      <c r="D699" s="11" t="s">
        <v>1518</v>
      </c>
      <c r="E699" s="11" t="s">
        <v>1451</v>
      </c>
      <c r="F699" s="11">
        <v>18</v>
      </c>
      <c r="G699" s="11" t="s">
        <v>1150</v>
      </c>
      <c r="H699" s="11" t="s">
        <v>1149</v>
      </c>
      <c r="I699" s="11" t="s">
        <v>339</v>
      </c>
      <c r="J699" s="11" t="s">
        <v>1489</v>
      </c>
      <c r="K699" s="11" t="s">
        <v>3605</v>
      </c>
      <c r="L699" s="11"/>
      <c r="M699" s="11" t="s">
        <v>3670</v>
      </c>
      <c r="N699" s="11" t="s">
        <v>3606</v>
      </c>
      <c r="O699" s="11"/>
      <c r="P699" s="11"/>
      <c r="Q699" s="11">
        <v>3</v>
      </c>
      <c r="R699" s="11">
        <v>4</v>
      </c>
      <c r="S699" s="11" t="s">
        <v>3671</v>
      </c>
    </row>
    <row r="700" spans="1:19" hidden="1" x14ac:dyDescent="0.15">
      <c r="A700" s="34">
        <v>699</v>
      </c>
      <c r="B700" s="35" t="s">
        <v>4883</v>
      </c>
      <c r="C700" s="36" t="s">
        <v>3431</v>
      </c>
      <c r="D700" s="11" t="s">
        <v>1518</v>
      </c>
      <c r="E700" s="11" t="s">
        <v>1451</v>
      </c>
      <c r="F700" s="11">
        <v>0</v>
      </c>
      <c r="G700" s="11" t="s">
        <v>1003</v>
      </c>
      <c r="H700" s="11" t="s">
        <v>1002</v>
      </c>
      <c r="I700" s="11" t="s">
        <v>339</v>
      </c>
      <c r="J700" s="11" t="s">
        <v>3605</v>
      </c>
      <c r="K700" s="11"/>
      <c r="L700" s="11"/>
      <c r="M700" s="11" t="s">
        <v>3672</v>
      </c>
      <c r="N700" s="11" t="s">
        <v>3607</v>
      </c>
      <c r="O700" s="11"/>
      <c r="P700" s="11"/>
      <c r="Q700" s="11">
        <v>4</v>
      </c>
      <c r="R700" s="11">
        <v>6</v>
      </c>
      <c r="S700" s="11" t="s">
        <v>3673</v>
      </c>
    </row>
    <row r="701" spans="1:19" hidden="1" x14ac:dyDescent="0.15">
      <c r="A701" s="34">
        <v>700</v>
      </c>
      <c r="B701" s="35" t="s">
        <v>4883</v>
      </c>
      <c r="C701" s="36" t="s">
        <v>3431</v>
      </c>
      <c r="D701" s="11" t="s">
        <v>1518</v>
      </c>
      <c r="E701" s="11" t="s">
        <v>1451</v>
      </c>
      <c r="F701" s="11">
        <v>11</v>
      </c>
      <c r="G701" s="11" t="s">
        <v>1148</v>
      </c>
      <c r="H701" s="11" t="s">
        <v>1147</v>
      </c>
      <c r="I701" s="11" t="s">
        <v>339</v>
      </c>
      <c r="J701" s="11" t="s">
        <v>1489</v>
      </c>
      <c r="K701" s="11" t="s">
        <v>1867</v>
      </c>
      <c r="L701" s="11" t="s">
        <v>3605</v>
      </c>
      <c r="M701" s="11" t="s">
        <v>3674</v>
      </c>
      <c r="N701" s="11" t="s">
        <v>3606</v>
      </c>
      <c r="O701" s="11"/>
      <c r="P701" s="11"/>
      <c r="Q701" s="11">
        <v>4</v>
      </c>
      <c r="R701" s="11">
        <v>4</v>
      </c>
      <c r="S701" s="11" t="s">
        <v>3675</v>
      </c>
    </row>
    <row r="702" spans="1:19" hidden="1" x14ac:dyDescent="0.15">
      <c r="A702" s="34">
        <v>701</v>
      </c>
      <c r="B702" s="35" t="s">
        <v>4883</v>
      </c>
      <c r="C702" s="36" t="s">
        <v>3431</v>
      </c>
      <c r="D702" s="11" t="s">
        <v>1518</v>
      </c>
      <c r="E702" s="11" t="s">
        <v>1451</v>
      </c>
      <c r="F702" s="11">
        <v>0</v>
      </c>
      <c r="G702" s="11" t="s">
        <v>1001</v>
      </c>
      <c r="H702" s="11" t="s">
        <v>1000</v>
      </c>
      <c r="I702" s="11" t="s">
        <v>339</v>
      </c>
      <c r="J702" s="11"/>
      <c r="K702" s="11"/>
      <c r="L702" s="11"/>
      <c r="M702" s="11" t="s">
        <v>3607</v>
      </c>
      <c r="N702" s="11"/>
      <c r="O702" s="11"/>
      <c r="P702" s="11"/>
      <c r="Q702" s="11">
        <v>6</v>
      </c>
      <c r="R702" s="11">
        <v>6</v>
      </c>
      <c r="S702" s="11" t="s">
        <v>3607</v>
      </c>
    </row>
    <row r="703" spans="1:19" hidden="1" x14ac:dyDescent="0.15">
      <c r="A703" s="34">
        <v>702</v>
      </c>
      <c r="B703" s="35" t="s">
        <v>4883</v>
      </c>
      <c r="C703" s="36" t="s">
        <v>3431</v>
      </c>
      <c r="D703" s="11" t="s">
        <v>1518</v>
      </c>
      <c r="E703" s="11" t="s">
        <v>1451</v>
      </c>
      <c r="F703" s="11">
        <v>7</v>
      </c>
      <c r="G703" s="11" t="s">
        <v>1146</v>
      </c>
      <c r="H703" s="11" t="s">
        <v>1145</v>
      </c>
      <c r="I703" s="11" t="s">
        <v>339</v>
      </c>
      <c r="J703" s="11" t="s">
        <v>1489</v>
      </c>
      <c r="K703" s="11" t="s">
        <v>2938</v>
      </c>
      <c r="L703" s="11"/>
      <c r="M703" s="11" t="s">
        <v>3676</v>
      </c>
      <c r="N703" s="11" t="s">
        <v>3677</v>
      </c>
      <c r="O703" s="11"/>
      <c r="P703" s="11"/>
      <c r="Q703" s="11">
        <v>1</v>
      </c>
      <c r="R703" s="11">
        <v>1</v>
      </c>
      <c r="S703" s="11" t="s">
        <v>3678</v>
      </c>
    </row>
    <row r="704" spans="1:19" hidden="1" x14ac:dyDescent="0.15">
      <c r="A704" s="34">
        <v>703</v>
      </c>
      <c r="B704" s="35" t="s">
        <v>4883</v>
      </c>
      <c r="C704" s="36" t="s">
        <v>3431</v>
      </c>
      <c r="D704" s="11" t="s">
        <v>1518</v>
      </c>
      <c r="E704" s="11" t="s">
        <v>1451</v>
      </c>
      <c r="F704" s="11">
        <v>9</v>
      </c>
      <c r="G704" s="11" t="s">
        <v>1144</v>
      </c>
      <c r="H704" s="11" t="s">
        <v>1143</v>
      </c>
      <c r="I704" s="11" t="s">
        <v>339</v>
      </c>
      <c r="J704" s="11" t="s">
        <v>1489</v>
      </c>
      <c r="K704" s="11" t="s">
        <v>1799</v>
      </c>
      <c r="L704" s="11"/>
      <c r="M704" s="11" t="s">
        <v>3679</v>
      </c>
      <c r="N704" s="11"/>
      <c r="O704" s="11"/>
      <c r="P704" s="11"/>
      <c r="Q704" s="11">
        <v>2</v>
      </c>
      <c r="R704" s="11">
        <v>2</v>
      </c>
      <c r="S704" s="11" t="s">
        <v>3679</v>
      </c>
    </row>
    <row r="705" spans="1:19" hidden="1" x14ac:dyDescent="0.15">
      <c r="A705" s="34">
        <v>704</v>
      </c>
      <c r="B705" s="35" t="s">
        <v>4883</v>
      </c>
      <c r="C705" s="36" t="s">
        <v>3431</v>
      </c>
      <c r="D705" s="11" t="s">
        <v>1518</v>
      </c>
      <c r="E705" s="11" t="s">
        <v>1451</v>
      </c>
      <c r="F705" s="11">
        <v>3</v>
      </c>
      <c r="G705" s="11" t="s">
        <v>1142</v>
      </c>
      <c r="H705" s="11" t="s">
        <v>1141</v>
      </c>
      <c r="I705" s="11" t="s">
        <v>288</v>
      </c>
      <c r="J705" s="11"/>
      <c r="K705" s="11"/>
      <c r="L705" s="11"/>
      <c r="M705" s="11" t="s">
        <v>3680</v>
      </c>
      <c r="N705" s="11"/>
      <c r="O705" s="11"/>
      <c r="P705" s="11">
        <v>3</v>
      </c>
      <c r="Q705" s="11"/>
      <c r="R705" s="11"/>
      <c r="S705" s="11" t="s">
        <v>3680</v>
      </c>
    </row>
    <row r="706" spans="1:19" hidden="1" x14ac:dyDescent="0.15">
      <c r="A706" s="34">
        <v>705</v>
      </c>
      <c r="B706" s="35" t="s">
        <v>4883</v>
      </c>
      <c r="C706" s="36" t="s">
        <v>3431</v>
      </c>
      <c r="D706" s="11" t="s">
        <v>1518</v>
      </c>
      <c r="E706" s="11" t="s">
        <v>1451</v>
      </c>
      <c r="F706" s="11">
        <v>6</v>
      </c>
      <c r="G706" s="11" t="s">
        <v>1140</v>
      </c>
      <c r="H706" s="11" t="s">
        <v>1139</v>
      </c>
      <c r="I706" s="11" t="s">
        <v>288</v>
      </c>
      <c r="J706" s="11"/>
      <c r="K706" s="11"/>
      <c r="L706" s="11"/>
      <c r="M706" s="11" t="s">
        <v>3681</v>
      </c>
      <c r="N706" s="11" t="s">
        <v>3682</v>
      </c>
      <c r="O706" s="11"/>
      <c r="P706" s="11">
        <v>2</v>
      </c>
      <c r="Q706" s="11"/>
      <c r="R706" s="11"/>
      <c r="S706" s="11" t="s">
        <v>3683</v>
      </c>
    </row>
    <row r="707" spans="1:19" hidden="1" x14ac:dyDescent="0.15">
      <c r="A707" s="34">
        <v>706</v>
      </c>
      <c r="B707" s="35" t="s">
        <v>4883</v>
      </c>
      <c r="C707" s="36" t="s">
        <v>3431</v>
      </c>
      <c r="D707" s="11" t="s">
        <v>1518</v>
      </c>
      <c r="E707" s="11" t="s">
        <v>1451</v>
      </c>
      <c r="F707" s="11">
        <v>5</v>
      </c>
      <c r="G707" s="11" t="s">
        <v>1138</v>
      </c>
      <c r="H707" s="11" t="s">
        <v>1137</v>
      </c>
      <c r="I707" s="11" t="s">
        <v>288</v>
      </c>
      <c r="J707" s="11"/>
      <c r="K707" s="11"/>
      <c r="L707" s="11"/>
      <c r="M707" s="11" t="s">
        <v>3684</v>
      </c>
      <c r="N707" s="11" t="s">
        <v>3685</v>
      </c>
      <c r="O707" s="11"/>
      <c r="P707" s="11">
        <v>3</v>
      </c>
      <c r="Q707" s="11"/>
      <c r="R707" s="11"/>
      <c r="S707" s="11" t="s">
        <v>3686</v>
      </c>
    </row>
    <row r="708" spans="1:19" hidden="1" x14ac:dyDescent="0.15">
      <c r="A708" s="34">
        <v>707</v>
      </c>
      <c r="B708" s="35" t="s">
        <v>4883</v>
      </c>
      <c r="C708" s="36" t="s">
        <v>3431</v>
      </c>
      <c r="D708" s="11" t="s">
        <v>1518</v>
      </c>
      <c r="E708" s="11" t="s">
        <v>1441</v>
      </c>
      <c r="F708" s="11">
        <v>9</v>
      </c>
      <c r="G708" s="11" t="s">
        <v>1136</v>
      </c>
      <c r="H708" s="11" t="s">
        <v>1135</v>
      </c>
      <c r="I708" s="11" t="s">
        <v>339</v>
      </c>
      <c r="J708" s="11" t="s">
        <v>1489</v>
      </c>
      <c r="K708" s="11" t="s">
        <v>1529</v>
      </c>
      <c r="L708" s="11"/>
      <c r="M708" s="11" t="s">
        <v>3687</v>
      </c>
      <c r="N708" s="11" t="s">
        <v>3688</v>
      </c>
      <c r="O708" s="11"/>
      <c r="P708" s="11"/>
      <c r="Q708" s="11">
        <v>4</v>
      </c>
      <c r="R708" s="11">
        <v>3</v>
      </c>
      <c r="S708" s="11" t="s">
        <v>3689</v>
      </c>
    </row>
    <row r="709" spans="1:19" hidden="1" x14ac:dyDescent="0.15">
      <c r="A709" s="34">
        <v>708</v>
      </c>
      <c r="B709" s="35" t="s">
        <v>4883</v>
      </c>
      <c r="C709" s="36" t="s">
        <v>3431</v>
      </c>
      <c r="D709" s="11" t="s">
        <v>1518</v>
      </c>
      <c r="E709" s="11" t="s">
        <v>1441</v>
      </c>
      <c r="F709" s="11">
        <v>11</v>
      </c>
      <c r="G709" s="11" t="s">
        <v>1134</v>
      </c>
      <c r="H709" s="11" t="s">
        <v>1133</v>
      </c>
      <c r="I709" s="11" t="s">
        <v>339</v>
      </c>
      <c r="J709" s="11" t="s">
        <v>3690</v>
      </c>
      <c r="K709" s="11"/>
      <c r="L709" s="11"/>
      <c r="M709" s="11" t="s">
        <v>3691</v>
      </c>
      <c r="N709" s="11"/>
      <c r="O709" s="11"/>
      <c r="P709" s="11"/>
      <c r="Q709" s="11">
        <v>3</v>
      </c>
      <c r="R709" s="11">
        <v>3</v>
      </c>
      <c r="S709" s="11" t="s">
        <v>3691</v>
      </c>
    </row>
    <row r="710" spans="1:19" hidden="1" x14ac:dyDescent="0.15">
      <c r="A710" s="34">
        <v>709</v>
      </c>
      <c r="B710" s="35" t="s">
        <v>4883</v>
      </c>
      <c r="C710" s="36" t="s">
        <v>3431</v>
      </c>
      <c r="D710" s="11" t="s">
        <v>1518</v>
      </c>
      <c r="E710" s="11" t="s">
        <v>1441</v>
      </c>
      <c r="F710" s="11">
        <v>16</v>
      </c>
      <c r="G710" s="11" t="s">
        <v>1132</v>
      </c>
      <c r="H710" s="11" t="s">
        <v>1131</v>
      </c>
      <c r="I710" s="11" t="s">
        <v>339</v>
      </c>
      <c r="J710" s="11" t="s">
        <v>1489</v>
      </c>
      <c r="K710" s="11" t="s">
        <v>1867</v>
      </c>
      <c r="L710" s="11" t="s">
        <v>3605</v>
      </c>
      <c r="M710" s="11" t="s">
        <v>3692</v>
      </c>
      <c r="N710" s="11" t="s">
        <v>3693</v>
      </c>
      <c r="O710" s="11" t="s">
        <v>3606</v>
      </c>
      <c r="P710" s="11"/>
      <c r="Q710" s="11">
        <v>1</v>
      </c>
      <c r="R710" s="11">
        <v>1</v>
      </c>
      <c r="S710" s="11" t="s">
        <v>3694</v>
      </c>
    </row>
    <row r="711" spans="1:19" hidden="1" x14ac:dyDescent="0.15">
      <c r="A711" s="34">
        <v>710</v>
      </c>
      <c r="B711" s="35" t="s">
        <v>4883</v>
      </c>
      <c r="C711" s="36" t="s">
        <v>3431</v>
      </c>
      <c r="D711" s="11" t="s">
        <v>1518</v>
      </c>
      <c r="E711" s="11" t="s">
        <v>1441</v>
      </c>
      <c r="F711" s="11">
        <v>0</v>
      </c>
      <c r="G711" s="11" t="s">
        <v>999</v>
      </c>
      <c r="H711" s="11" t="s">
        <v>998</v>
      </c>
      <c r="I711" s="11" t="s">
        <v>339</v>
      </c>
      <c r="J711" s="11" t="s">
        <v>3605</v>
      </c>
      <c r="K711" s="11"/>
      <c r="L711" s="11"/>
      <c r="M711" s="11" t="s">
        <v>3695</v>
      </c>
      <c r="N711" s="11" t="s">
        <v>3607</v>
      </c>
      <c r="O711" s="11"/>
      <c r="P711" s="11"/>
      <c r="Q711" s="11">
        <v>4</v>
      </c>
      <c r="R711" s="11">
        <v>4</v>
      </c>
      <c r="S711" s="11" t="s">
        <v>3696</v>
      </c>
    </row>
    <row r="712" spans="1:19" hidden="1" x14ac:dyDescent="0.15">
      <c r="A712" s="34">
        <v>711</v>
      </c>
      <c r="B712" s="35" t="s">
        <v>4883</v>
      </c>
      <c r="C712" s="36" t="s">
        <v>3431</v>
      </c>
      <c r="D712" s="11" t="s">
        <v>1518</v>
      </c>
      <c r="E712" s="11" t="s">
        <v>1441</v>
      </c>
      <c r="F712" s="11">
        <v>13</v>
      </c>
      <c r="G712" s="11" t="s">
        <v>1130</v>
      </c>
      <c r="H712" s="11" t="s">
        <v>1129</v>
      </c>
      <c r="I712" s="11" t="s">
        <v>339</v>
      </c>
      <c r="J712" s="11" t="s">
        <v>2604</v>
      </c>
      <c r="K712" s="11" t="s">
        <v>1493</v>
      </c>
      <c r="L712" s="11"/>
      <c r="M712" s="11" t="s">
        <v>1707</v>
      </c>
      <c r="N712" s="11" t="s">
        <v>3697</v>
      </c>
      <c r="O712" s="11"/>
      <c r="P712" s="11"/>
      <c r="Q712" s="11">
        <v>2</v>
      </c>
      <c r="R712" s="11">
        <v>2</v>
      </c>
      <c r="S712" s="11" t="s">
        <v>3698</v>
      </c>
    </row>
    <row r="713" spans="1:19" hidden="1" x14ac:dyDescent="0.15">
      <c r="A713" s="34">
        <v>712</v>
      </c>
      <c r="B713" s="35" t="s">
        <v>4883</v>
      </c>
      <c r="C713" s="36" t="s">
        <v>3431</v>
      </c>
      <c r="D713" s="11" t="s">
        <v>1518</v>
      </c>
      <c r="E713" s="11" t="s">
        <v>1441</v>
      </c>
      <c r="F713" s="11">
        <v>5</v>
      </c>
      <c r="G713" s="11" t="s">
        <v>1128</v>
      </c>
      <c r="H713" s="11" t="s">
        <v>1127</v>
      </c>
      <c r="I713" s="11" t="s">
        <v>288</v>
      </c>
      <c r="J713" s="11"/>
      <c r="K713" s="11"/>
      <c r="L713" s="11"/>
      <c r="M713" s="11" t="s">
        <v>3699</v>
      </c>
      <c r="N713" s="11"/>
      <c r="O713" s="11"/>
      <c r="P713" s="11">
        <v>3</v>
      </c>
      <c r="Q713" s="11"/>
      <c r="R713" s="11"/>
      <c r="S713" s="11" t="s">
        <v>3699</v>
      </c>
    </row>
    <row r="714" spans="1:19" hidden="1" x14ac:dyDescent="0.15">
      <c r="A714" s="34">
        <v>713</v>
      </c>
      <c r="B714" s="35" t="s">
        <v>4883</v>
      </c>
      <c r="C714" s="36" t="s">
        <v>3431</v>
      </c>
      <c r="D714" s="11" t="s">
        <v>1518</v>
      </c>
      <c r="E714" s="11" t="s">
        <v>1431</v>
      </c>
      <c r="F714" s="11">
        <v>10</v>
      </c>
      <c r="G714" s="11" t="s">
        <v>1126</v>
      </c>
      <c r="H714" s="11" t="s">
        <v>1125</v>
      </c>
      <c r="I714" s="11" t="s">
        <v>339</v>
      </c>
      <c r="J714" s="11" t="s">
        <v>338</v>
      </c>
      <c r="K714" s="11"/>
      <c r="L714" s="11"/>
      <c r="M714" s="11" t="s">
        <v>1707</v>
      </c>
      <c r="N714" s="11" t="s">
        <v>3700</v>
      </c>
      <c r="O714" s="11"/>
      <c r="P714" s="11"/>
      <c r="Q714" s="11">
        <v>6</v>
      </c>
      <c r="R714" s="11">
        <v>6</v>
      </c>
      <c r="S714" s="11" t="s">
        <v>3701</v>
      </c>
    </row>
    <row r="715" spans="1:19" hidden="1" x14ac:dyDescent="0.15">
      <c r="A715" s="34">
        <v>714</v>
      </c>
      <c r="B715" s="35" t="s">
        <v>4883</v>
      </c>
      <c r="C715" s="36" t="s">
        <v>3431</v>
      </c>
      <c r="D715" s="11" t="s">
        <v>1518</v>
      </c>
      <c r="E715" s="11" t="s">
        <v>1431</v>
      </c>
      <c r="F715" s="11">
        <v>14</v>
      </c>
      <c r="G715" s="11" t="s">
        <v>1124</v>
      </c>
      <c r="H715" s="11" t="s">
        <v>1123</v>
      </c>
      <c r="I715" s="11" t="s">
        <v>339</v>
      </c>
      <c r="J715" s="11" t="s">
        <v>1863</v>
      </c>
      <c r="K715" s="11"/>
      <c r="L715" s="11"/>
      <c r="M715" s="11" t="s">
        <v>1944</v>
      </c>
      <c r="N715" s="11" t="s">
        <v>3702</v>
      </c>
      <c r="O715" s="11" t="s">
        <v>3703</v>
      </c>
      <c r="P715" s="11"/>
      <c r="Q715" s="11">
        <v>1</v>
      </c>
      <c r="R715" s="11">
        <v>1</v>
      </c>
      <c r="S715" s="11" t="s">
        <v>3704</v>
      </c>
    </row>
    <row r="716" spans="1:19" hidden="1" x14ac:dyDescent="0.15">
      <c r="A716" s="34">
        <v>715</v>
      </c>
      <c r="B716" s="35" t="s">
        <v>4883</v>
      </c>
      <c r="C716" s="36" t="s">
        <v>3431</v>
      </c>
      <c r="D716" s="11" t="s">
        <v>1518</v>
      </c>
      <c r="E716" s="11" t="s">
        <v>1431</v>
      </c>
      <c r="F716" s="11">
        <v>20</v>
      </c>
      <c r="G716" s="11" t="s">
        <v>1122</v>
      </c>
      <c r="H716" s="11" t="s">
        <v>1121</v>
      </c>
      <c r="I716" s="11" t="s">
        <v>1453</v>
      </c>
      <c r="J716" s="11"/>
      <c r="K716" s="11"/>
      <c r="L716" s="11"/>
      <c r="M716" s="11" t="s">
        <v>3705</v>
      </c>
      <c r="N716" s="11" t="s">
        <v>3706</v>
      </c>
      <c r="O716" s="11" t="s">
        <v>3707</v>
      </c>
      <c r="P716" s="11"/>
      <c r="Q716" s="11"/>
      <c r="R716" s="11"/>
      <c r="S716" s="11" t="s">
        <v>3708</v>
      </c>
    </row>
    <row r="717" spans="1:19" hidden="1" x14ac:dyDescent="0.15">
      <c r="A717" s="34">
        <v>716</v>
      </c>
      <c r="B717" s="35" t="s">
        <v>4883</v>
      </c>
      <c r="C717" s="36" t="s">
        <v>3431</v>
      </c>
      <c r="D717" s="11" t="s">
        <v>1508</v>
      </c>
      <c r="E717" s="11" t="s">
        <v>1441</v>
      </c>
      <c r="F717" s="11">
        <v>10</v>
      </c>
      <c r="G717" s="11" t="s">
        <v>1120</v>
      </c>
      <c r="H717" s="11" t="s">
        <v>1119</v>
      </c>
      <c r="I717" s="11" t="s">
        <v>339</v>
      </c>
      <c r="J717" s="11" t="s">
        <v>1484</v>
      </c>
      <c r="K717" s="11"/>
      <c r="L717" s="11"/>
      <c r="M717" s="11" t="s">
        <v>2595</v>
      </c>
      <c r="N717" s="11" t="s">
        <v>3709</v>
      </c>
      <c r="O717" s="11"/>
      <c r="P717" s="11"/>
      <c r="Q717" s="11">
        <v>2</v>
      </c>
      <c r="R717" s="11">
        <v>2</v>
      </c>
      <c r="S717" s="11" t="s">
        <v>3710</v>
      </c>
    </row>
    <row r="718" spans="1:19" hidden="1" x14ac:dyDescent="0.15">
      <c r="A718" s="34">
        <v>717</v>
      </c>
      <c r="B718" s="35" t="s">
        <v>4883</v>
      </c>
      <c r="C718" s="36" t="s">
        <v>3431</v>
      </c>
      <c r="D718" s="11" t="s">
        <v>1772</v>
      </c>
      <c r="E718" s="11" t="s">
        <v>1441</v>
      </c>
      <c r="F718" s="11">
        <v>12</v>
      </c>
      <c r="G718" s="11" t="s">
        <v>1118</v>
      </c>
      <c r="H718" s="11" t="s">
        <v>1117</v>
      </c>
      <c r="I718" s="11" t="s">
        <v>1453</v>
      </c>
      <c r="J718" s="11"/>
      <c r="K718" s="11"/>
      <c r="L718" s="11"/>
      <c r="M718" s="11" t="s">
        <v>3711</v>
      </c>
      <c r="N718" s="11"/>
      <c r="O718" s="11"/>
      <c r="P718" s="11"/>
      <c r="Q718" s="11"/>
      <c r="R718" s="11"/>
      <c r="S718" s="11" t="s">
        <v>3711</v>
      </c>
    </row>
    <row r="719" spans="1:19" hidden="1" x14ac:dyDescent="0.15">
      <c r="A719" s="34">
        <v>718</v>
      </c>
      <c r="B719" s="35" t="s">
        <v>4883</v>
      </c>
      <c r="C719" s="36" t="s">
        <v>3431</v>
      </c>
      <c r="D719" s="11" t="s">
        <v>1474</v>
      </c>
      <c r="E719" s="11" t="s">
        <v>1441</v>
      </c>
      <c r="F719" s="11">
        <v>12</v>
      </c>
      <c r="G719" s="11" t="s">
        <v>1116</v>
      </c>
      <c r="H719" s="11" t="s">
        <v>1115</v>
      </c>
      <c r="I719" s="11" t="s">
        <v>1453</v>
      </c>
      <c r="J719" s="11"/>
      <c r="K719" s="11"/>
      <c r="L719" s="11"/>
      <c r="M719" s="11" t="s">
        <v>3712</v>
      </c>
      <c r="N719" s="11" t="s">
        <v>3713</v>
      </c>
      <c r="O719" s="11" t="s">
        <v>3714</v>
      </c>
      <c r="P719" s="11"/>
      <c r="Q719" s="11"/>
      <c r="R719" s="11"/>
      <c r="S719" s="11" t="s">
        <v>3715</v>
      </c>
    </row>
    <row r="720" spans="1:19" hidden="1" x14ac:dyDescent="0.15">
      <c r="A720" s="34">
        <v>719</v>
      </c>
      <c r="B720" s="35" t="s">
        <v>4883</v>
      </c>
      <c r="C720" s="36" t="s">
        <v>3431</v>
      </c>
      <c r="D720" s="11" t="s">
        <v>1512</v>
      </c>
      <c r="E720" s="11" t="s">
        <v>1441</v>
      </c>
      <c r="F720" s="11">
        <v>12</v>
      </c>
      <c r="G720" s="11" t="s">
        <v>1114</v>
      </c>
      <c r="H720" s="11" t="s">
        <v>1113</v>
      </c>
      <c r="I720" s="11" t="s">
        <v>1453</v>
      </c>
      <c r="J720" s="11"/>
      <c r="K720" s="11"/>
      <c r="L720" s="11"/>
      <c r="M720" s="11" t="s">
        <v>3716</v>
      </c>
      <c r="N720" s="11"/>
      <c r="O720" s="11"/>
      <c r="P720" s="11"/>
      <c r="Q720" s="11"/>
      <c r="R720" s="11"/>
      <c r="S720" s="11" t="s">
        <v>3716</v>
      </c>
    </row>
    <row r="721" spans="1:19" hidden="1" x14ac:dyDescent="0.15">
      <c r="A721" s="34">
        <v>720</v>
      </c>
      <c r="B721" s="35" t="s">
        <v>4883</v>
      </c>
      <c r="C721" s="36" t="s">
        <v>3431</v>
      </c>
      <c r="D721" s="11" t="s">
        <v>1467</v>
      </c>
      <c r="E721" s="11" t="s">
        <v>1441</v>
      </c>
      <c r="F721" s="11">
        <v>6</v>
      </c>
      <c r="G721" s="11" t="s">
        <v>1112</v>
      </c>
      <c r="H721" s="11" t="s">
        <v>1111</v>
      </c>
      <c r="I721" s="11" t="s">
        <v>288</v>
      </c>
      <c r="J721" s="11"/>
      <c r="K721" s="11"/>
      <c r="L721" s="11"/>
      <c r="M721" s="11" t="s">
        <v>3717</v>
      </c>
      <c r="N721" s="11" t="s">
        <v>3718</v>
      </c>
      <c r="O721" s="11"/>
      <c r="P721" s="11">
        <v>3</v>
      </c>
      <c r="Q721" s="11"/>
      <c r="R721" s="11"/>
      <c r="S721" s="11" t="s">
        <v>3719</v>
      </c>
    </row>
    <row r="722" spans="1:19" hidden="1" x14ac:dyDescent="0.15">
      <c r="A722" s="34">
        <v>721</v>
      </c>
      <c r="B722" s="35" t="s">
        <v>4883</v>
      </c>
      <c r="C722" s="36" t="s">
        <v>3431</v>
      </c>
      <c r="D722" s="11" t="s">
        <v>1504</v>
      </c>
      <c r="E722" s="11" t="s">
        <v>1431</v>
      </c>
      <c r="F722" s="11">
        <v>20</v>
      </c>
      <c r="G722" s="11" t="s">
        <v>1110</v>
      </c>
      <c r="H722" s="11" t="s">
        <v>1109</v>
      </c>
      <c r="I722" s="11" t="s">
        <v>339</v>
      </c>
      <c r="J722" s="11" t="s">
        <v>1494</v>
      </c>
      <c r="K722" s="11" t="s">
        <v>1533</v>
      </c>
      <c r="L722" s="11"/>
      <c r="M722" s="11" t="s">
        <v>3720</v>
      </c>
      <c r="N722" s="11"/>
      <c r="O722" s="11"/>
      <c r="P722" s="11"/>
      <c r="Q722" s="11">
        <v>8</v>
      </c>
      <c r="R722" s="11">
        <v>8</v>
      </c>
      <c r="S722" s="11" t="s">
        <v>3720</v>
      </c>
    </row>
    <row r="723" spans="1:19" hidden="1" x14ac:dyDescent="0.15">
      <c r="A723" s="34">
        <v>722</v>
      </c>
      <c r="B723" s="35" t="s">
        <v>4883</v>
      </c>
      <c r="C723" s="36" t="s">
        <v>3431</v>
      </c>
      <c r="D723" s="11" t="s">
        <v>1802</v>
      </c>
      <c r="E723" s="11" t="s">
        <v>1431</v>
      </c>
      <c r="F723" s="11">
        <v>15</v>
      </c>
      <c r="G723" s="11" t="s">
        <v>1108</v>
      </c>
      <c r="H723" s="11" t="s">
        <v>1107</v>
      </c>
      <c r="I723" s="11" t="s">
        <v>339</v>
      </c>
      <c r="J723" s="11" t="s">
        <v>348</v>
      </c>
      <c r="K723" s="11"/>
      <c r="L723" s="11"/>
      <c r="M723" s="11" t="s">
        <v>2406</v>
      </c>
      <c r="N723" s="11" t="s">
        <v>3721</v>
      </c>
      <c r="O723" s="11" t="s">
        <v>3722</v>
      </c>
      <c r="P723" s="11"/>
      <c r="Q723" s="11">
        <v>7</v>
      </c>
      <c r="R723" s="11">
        <v>8</v>
      </c>
      <c r="S723" s="11" t="s">
        <v>3723</v>
      </c>
    </row>
    <row r="724" spans="1:19" hidden="1" x14ac:dyDescent="0.15">
      <c r="A724" s="34">
        <v>723</v>
      </c>
      <c r="B724" s="35" t="s">
        <v>4883</v>
      </c>
      <c r="C724" s="36" t="s">
        <v>3431</v>
      </c>
      <c r="D724" s="11" t="s">
        <v>292</v>
      </c>
      <c r="E724" s="11" t="s">
        <v>1744</v>
      </c>
      <c r="F724" s="11">
        <v>15</v>
      </c>
      <c r="G724" s="11" t="s">
        <v>1106</v>
      </c>
      <c r="H724" s="11" t="s">
        <v>1105</v>
      </c>
      <c r="I724" s="11" t="s">
        <v>339</v>
      </c>
      <c r="J724" s="11" t="s">
        <v>343</v>
      </c>
      <c r="K724" s="11"/>
      <c r="L724" s="11"/>
      <c r="M724" s="11" t="s">
        <v>2595</v>
      </c>
      <c r="N724" s="11"/>
      <c r="O724" s="11"/>
      <c r="P724" s="11"/>
      <c r="Q724" s="11">
        <v>3</v>
      </c>
      <c r="R724" s="11">
        <v>5</v>
      </c>
      <c r="S724" s="11" t="s">
        <v>2595</v>
      </c>
    </row>
    <row r="725" spans="1:19" hidden="1" x14ac:dyDescent="0.15">
      <c r="A725" s="34">
        <v>724</v>
      </c>
      <c r="B725" s="35" t="s">
        <v>4883</v>
      </c>
      <c r="C725" s="36" t="s">
        <v>3431</v>
      </c>
      <c r="D725" s="11" t="s">
        <v>292</v>
      </c>
      <c r="E725" s="11" t="s">
        <v>1744</v>
      </c>
      <c r="F725" s="11">
        <v>5</v>
      </c>
      <c r="G725" s="11" t="s">
        <v>1104</v>
      </c>
      <c r="H725" s="11" t="s">
        <v>1103</v>
      </c>
      <c r="I725" s="11" t="s">
        <v>339</v>
      </c>
      <c r="J725" s="11" t="s">
        <v>3724</v>
      </c>
      <c r="K725" s="11"/>
      <c r="L725" s="11"/>
      <c r="M725" s="11"/>
      <c r="N725" s="11"/>
      <c r="O725" s="11"/>
      <c r="P725" s="11"/>
      <c r="Q725" s="11">
        <v>3</v>
      </c>
      <c r="R725" s="11">
        <v>1</v>
      </c>
      <c r="S725" s="11"/>
    </row>
    <row r="726" spans="1:19" hidden="1" x14ac:dyDescent="0.15">
      <c r="A726" s="34">
        <v>725</v>
      </c>
      <c r="B726" s="35" t="s">
        <v>4883</v>
      </c>
      <c r="C726" s="36" t="s">
        <v>3431</v>
      </c>
      <c r="D726" s="11" t="s">
        <v>292</v>
      </c>
      <c r="E726" s="11" t="s">
        <v>1744</v>
      </c>
      <c r="F726" s="11">
        <v>6</v>
      </c>
      <c r="G726" s="11" t="s">
        <v>1102</v>
      </c>
      <c r="H726" s="11" t="s">
        <v>1101</v>
      </c>
      <c r="I726" s="11" t="s">
        <v>339</v>
      </c>
      <c r="J726" s="11" t="s">
        <v>3724</v>
      </c>
      <c r="K726" s="11"/>
      <c r="L726" s="11"/>
      <c r="M726" s="11" t="s">
        <v>2595</v>
      </c>
      <c r="N726" s="11" t="s">
        <v>3725</v>
      </c>
      <c r="O726" s="11"/>
      <c r="P726" s="11"/>
      <c r="Q726" s="11">
        <v>1</v>
      </c>
      <c r="R726" s="11">
        <v>1</v>
      </c>
      <c r="S726" s="11" t="s">
        <v>3726</v>
      </c>
    </row>
    <row r="727" spans="1:19" hidden="1" x14ac:dyDescent="0.15">
      <c r="A727" s="34">
        <v>726</v>
      </c>
      <c r="B727" s="35" t="s">
        <v>4883</v>
      </c>
      <c r="C727" s="36" t="s">
        <v>3431</v>
      </c>
      <c r="D727" s="11" t="s">
        <v>292</v>
      </c>
      <c r="E727" s="11" t="s">
        <v>1744</v>
      </c>
      <c r="F727" s="11">
        <v>5</v>
      </c>
      <c r="G727" s="11" t="s">
        <v>1100</v>
      </c>
      <c r="H727" s="11" t="s">
        <v>1099</v>
      </c>
      <c r="I727" s="11" t="s">
        <v>1453</v>
      </c>
      <c r="J727" s="11"/>
      <c r="K727" s="11"/>
      <c r="L727" s="11"/>
      <c r="M727" s="11" t="s">
        <v>1456</v>
      </c>
      <c r="N727" s="11"/>
      <c r="O727" s="11"/>
      <c r="P727" s="11"/>
      <c r="Q727" s="11"/>
      <c r="R727" s="11"/>
      <c r="S727" s="11" t="s">
        <v>1456</v>
      </c>
    </row>
    <row r="728" spans="1:19" hidden="1" x14ac:dyDescent="0.15">
      <c r="A728" s="34">
        <v>727</v>
      </c>
      <c r="B728" s="35" t="s">
        <v>4883</v>
      </c>
      <c r="C728" s="36" t="s">
        <v>3431</v>
      </c>
      <c r="D728" s="11" t="s">
        <v>292</v>
      </c>
      <c r="E728" s="11" t="s">
        <v>1744</v>
      </c>
      <c r="F728" s="11">
        <v>1</v>
      </c>
      <c r="G728" s="11" t="s">
        <v>1098</v>
      </c>
      <c r="H728" s="11" t="s">
        <v>1097</v>
      </c>
      <c r="I728" s="11" t="s">
        <v>1453</v>
      </c>
      <c r="J728" s="11"/>
      <c r="K728" s="11"/>
      <c r="L728" s="11"/>
      <c r="M728" s="11" t="s">
        <v>3727</v>
      </c>
      <c r="N728" s="11"/>
      <c r="O728" s="11"/>
      <c r="P728" s="11"/>
      <c r="Q728" s="11"/>
      <c r="R728" s="11"/>
      <c r="S728" s="11" t="s">
        <v>3727</v>
      </c>
    </row>
    <row r="729" spans="1:19" hidden="1" x14ac:dyDescent="0.15">
      <c r="A729" s="34">
        <v>728</v>
      </c>
      <c r="B729" s="35" t="s">
        <v>4883</v>
      </c>
      <c r="C729" s="36" t="s">
        <v>3431</v>
      </c>
      <c r="D729" s="11" t="s">
        <v>292</v>
      </c>
      <c r="E729" s="11" t="s">
        <v>1744</v>
      </c>
      <c r="F729" s="11">
        <v>11</v>
      </c>
      <c r="G729" s="11" t="s">
        <v>1096</v>
      </c>
      <c r="H729" s="11" t="s">
        <v>1095</v>
      </c>
      <c r="I729" s="11" t="s">
        <v>1453</v>
      </c>
      <c r="J729" s="11"/>
      <c r="K729" s="11"/>
      <c r="L729" s="11"/>
      <c r="M729" s="11" t="s">
        <v>3728</v>
      </c>
      <c r="N729" s="11"/>
      <c r="O729" s="11"/>
      <c r="P729" s="11"/>
      <c r="Q729" s="11"/>
      <c r="R729" s="11"/>
      <c r="S729" s="11" t="s">
        <v>3728</v>
      </c>
    </row>
    <row r="730" spans="1:19" hidden="1" x14ac:dyDescent="0.15">
      <c r="A730" s="34">
        <v>729</v>
      </c>
      <c r="B730" s="35" t="s">
        <v>4883</v>
      </c>
      <c r="C730" s="36" t="s">
        <v>3431</v>
      </c>
      <c r="D730" s="11" t="s">
        <v>292</v>
      </c>
      <c r="E730" s="11" t="s">
        <v>1744</v>
      </c>
      <c r="F730" s="11">
        <v>1</v>
      </c>
      <c r="G730" s="11" t="s">
        <v>1094</v>
      </c>
      <c r="H730" s="11" t="s">
        <v>1093</v>
      </c>
      <c r="I730" s="11" t="s">
        <v>288</v>
      </c>
      <c r="J730" s="11"/>
      <c r="K730" s="11"/>
      <c r="L730" s="11"/>
      <c r="M730" s="11" t="s">
        <v>3302</v>
      </c>
      <c r="N730" s="11"/>
      <c r="O730" s="11"/>
      <c r="P730" s="11">
        <v>1</v>
      </c>
      <c r="Q730" s="11"/>
      <c r="R730" s="11"/>
      <c r="S730" s="11" t="s">
        <v>3302</v>
      </c>
    </row>
    <row r="731" spans="1:19" hidden="1" x14ac:dyDescent="0.15">
      <c r="A731" s="34">
        <v>730</v>
      </c>
      <c r="B731" s="35" t="s">
        <v>4883</v>
      </c>
      <c r="C731" s="36" t="s">
        <v>3431</v>
      </c>
      <c r="D731" s="11" t="s">
        <v>292</v>
      </c>
      <c r="E731" s="11" t="s">
        <v>1744</v>
      </c>
      <c r="F731" s="11">
        <v>11</v>
      </c>
      <c r="G731" s="11" t="s">
        <v>1092</v>
      </c>
      <c r="H731" s="11" t="s">
        <v>1091</v>
      </c>
      <c r="I731" s="11" t="s">
        <v>288</v>
      </c>
      <c r="J731" s="11" t="s">
        <v>6250</v>
      </c>
      <c r="K731" s="11"/>
      <c r="L731" s="11"/>
      <c r="M731" s="11" t="s">
        <v>3729</v>
      </c>
      <c r="N731" s="11"/>
      <c r="O731" s="11"/>
      <c r="P731" s="11">
        <v>3</v>
      </c>
      <c r="Q731" s="11"/>
      <c r="R731" s="11"/>
      <c r="S731" s="11" t="s">
        <v>3729</v>
      </c>
    </row>
    <row r="732" spans="1:19" hidden="1" x14ac:dyDescent="0.15">
      <c r="A732" s="34">
        <v>731</v>
      </c>
      <c r="B732" s="35" t="s">
        <v>4883</v>
      </c>
      <c r="C732" s="36" t="s">
        <v>3431</v>
      </c>
      <c r="D732" s="11" t="s">
        <v>292</v>
      </c>
      <c r="E732" s="11" t="s">
        <v>1744</v>
      </c>
      <c r="F732" s="11">
        <v>11</v>
      </c>
      <c r="G732" s="11" t="s">
        <v>1090</v>
      </c>
      <c r="H732" s="11" t="s">
        <v>1089</v>
      </c>
      <c r="I732" s="11" t="s">
        <v>288</v>
      </c>
      <c r="J732" s="11" t="s">
        <v>6250</v>
      </c>
      <c r="K732" s="11"/>
      <c r="L732" s="11"/>
      <c r="M732" s="11" t="s">
        <v>3730</v>
      </c>
      <c r="N732" s="11"/>
      <c r="O732" s="11"/>
      <c r="P732" s="11">
        <v>3</v>
      </c>
      <c r="Q732" s="11"/>
      <c r="R732" s="11"/>
      <c r="S732" s="11" t="s">
        <v>3730</v>
      </c>
    </row>
    <row r="733" spans="1:19" hidden="1" x14ac:dyDescent="0.15">
      <c r="A733" s="34">
        <v>732</v>
      </c>
      <c r="B733" s="35" t="s">
        <v>4883</v>
      </c>
      <c r="C733" s="36" t="s">
        <v>3431</v>
      </c>
      <c r="D733" s="11" t="s">
        <v>292</v>
      </c>
      <c r="E733" s="11" t="s">
        <v>1744</v>
      </c>
      <c r="F733" s="11">
        <v>11</v>
      </c>
      <c r="G733" s="11" t="s">
        <v>1088</v>
      </c>
      <c r="H733" s="11" t="s">
        <v>1087</v>
      </c>
      <c r="I733" s="11" t="s">
        <v>288</v>
      </c>
      <c r="J733" s="11" t="s">
        <v>6250</v>
      </c>
      <c r="K733" s="11"/>
      <c r="L733" s="11"/>
      <c r="M733" s="11" t="s">
        <v>3731</v>
      </c>
      <c r="N733" s="11"/>
      <c r="O733" s="11"/>
      <c r="P733" s="11">
        <v>3</v>
      </c>
      <c r="Q733" s="11"/>
      <c r="R733" s="11"/>
      <c r="S733" s="11" t="s">
        <v>3731</v>
      </c>
    </row>
    <row r="734" spans="1:19" hidden="1" x14ac:dyDescent="0.15">
      <c r="A734" s="34">
        <v>733</v>
      </c>
      <c r="B734" s="35" t="s">
        <v>4883</v>
      </c>
      <c r="C734" s="36" t="s">
        <v>3431</v>
      </c>
      <c r="D734" s="11" t="s">
        <v>292</v>
      </c>
      <c r="E734" s="11" t="s">
        <v>1744</v>
      </c>
      <c r="F734" s="11">
        <v>11</v>
      </c>
      <c r="G734" s="11" t="s">
        <v>1086</v>
      </c>
      <c r="H734" s="11" t="s">
        <v>1085</v>
      </c>
      <c r="I734" s="11" t="s">
        <v>288</v>
      </c>
      <c r="J734" s="11" t="s">
        <v>6250</v>
      </c>
      <c r="K734" s="11"/>
      <c r="L734" s="11"/>
      <c r="M734" s="11" t="s">
        <v>3732</v>
      </c>
      <c r="N734" s="11"/>
      <c r="O734" s="11"/>
      <c r="P734" s="11">
        <v>3</v>
      </c>
      <c r="Q734" s="11"/>
      <c r="R734" s="11"/>
      <c r="S734" s="11" t="s">
        <v>3732</v>
      </c>
    </row>
    <row r="735" spans="1:19" hidden="1" x14ac:dyDescent="0.15">
      <c r="A735" s="34">
        <v>734</v>
      </c>
      <c r="B735" s="35" t="s">
        <v>4883</v>
      </c>
      <c r="C735" s="36" t="s">
        <v>3431</v>
      </c>
      <c r="D735" s="11" t="s">
        <v>292</v>
      </c>
      <c r="E735" s="11" t="s">
        <v>1744</v>
      </c>
      <c r="F735" s="11">
        <v>4</v>
      </c>
      <c r="G735" s="11" t="s">
        <v>1084</v>
      </c>
      <c r="H735" s="11" t="s">
        <v>1083</v>
      </c>
      <c r="I735" s="11" t="s">
        <v>288</v>
      </c>
      <c r="J735" s="11"/>
      <c r="K735" s="11"/>
      <c r="L735" s="11"/>
      <c r="M735" s="11" t="s">
        <v>3733</v>
      </c>
      <c r="N735" s="11" t="s">
        <v>3734</v>
      </c>
      <c r="O735" s="11"/>
      <c r="P735" s="11">
        <v>2</v>
      </c>
      <c r="Q735" s="11"/>
      <c r="R735" s="11"/>
      <c r="S735" s="11" t="s">
        <v>3735</v>
      </c>
    </row>
    <row r="736" spans="1:19" hidden="1" x14ac:dyDescent="0.15">
      <c r="A736" s="34">
        <v>735</v>
      </c>
      <c r="B736" s="35" t="s">
        <v>4883</v>
      </c>
      <c r="C736" s="36" t="s">
        <v>3431</v>
      </c>
      <c r="D736" s="11" t="s">
        <v>292</v>
      </c>
      <c r="E736" s="11" t="s">
        <v>1744</v>
      </c>
      <c r="F736" s="11">
        <v>11</v>
      </c>
      <c r="G736" s="11" t="s">
        <v>1082</v>
      </c>
      <c r="H736" s="11" t="s">
        <v>1081</v>
      </c>
      <c r="I736" s="11" t="s">
        <v>288</v>
      </c>
      <c r="J736" s="11" t="s">
        <v>6250</v>
      </c>
      <c r="K736" s="11"/>
      <c r="L736" s="11"/>
      <c r="M736" s="11" t="s">
        <v>3736</v>
      </c>
      <c r="N736" s="11"/>
      <c r="O736" s="11"/>
      <c r="P736" s="11">
        <v>3</v>
      </c>
      <c r="Q736" s="11"/>
      <c r="R736" s="11"/>
      <c r="S736" s="11" t="s">
        <v>3736</v>
      </c>
    </row>
    <row r="737" spans="1:19" hidden="1" x14ac:dyDescent="0.15">
      <c r="A737" s="34">
        <v>736</v>
      </c>
      <c r="B737" s="35" t="s">
        <v>4883</v>
      </c>
      <c r="C737" s="36" t="s">
        <v>3431</v>
      </c>
      <c r="D737" s="11" t="s">
        <v>292</v>
      </c>
      <c r="E737" s="11" t="s">
        <v>1451</v>
      </c>
      <c r="F737" s="11">
        <v>13</v>
      </c>
      <c r="G737" s="11" t="s">
        <v>1080</v>
      </c>
      <c r="H737" s="11" t="s">
        <v>1079</v>
      </c>
      <c r="I737" s="11" t="s">
        <v>339</v>
      </c>
      <c r="J737" s="11" t="s">
        <v>3724</v>
      </c>
      <c r="K737" s="11"/>
      <c r="L737" s="11"/>
      <c r="M737" s="11" t="s">
        <v>2595</v>
      </c>
      <c r="N737" s="11" t="s">
        <v>3737</v>
      </c>
      <c r="O737" s="11"/>
      <c r="P737" s="11"/>
      <c r="Q737" s="11">
        <v>4</v>
      </c>
      <c r="R737" s="11">
        <v>4</v>
      </c>
      <c r="S737" s="11" t="s">
        <v>3738</v>
      </c>
    </row>
    <row r="738" spans="1:19" hidden="1" x14ac:dyDescent="0.15">
      <c r="A738" s="34">
        <v>737</v>
      </c>
      <c r="B738" s="35" t="s">
        <v>4883</v>
      </c>
      <c r="C738" s="36" t="s">
        <v>3431</v>
      </c>
      <c r="D738" s="11" t="s">
        <v>292</v>
      </c>
      <c r="E738" s="11" t="s">
        <v>1451</v>
      </c>
      <c r="F738" s="11">
        <v>10</v>
      </c>
      <c r="G738" s="11" t="s">
        <v>1078</v>
      </c>
      <c r="H738" s="11" t="s">
        <v>1077</v>
      </c>
      <c r="I738" s="11" t="s">
        <v>339</v>
      </c>
      <c r="J738" s="11" t="s">
        <v>352</v>
      </c>
      <c r="K738" s="11"/>
      <c r="L738" s="11"/>
      <c r="M738" s="11" t="s">
        <v>3739</v>
      </c>
      <c r="N738" s="11"/>
      <c r="O738" s="11"/>
      <c r="P738" s="11"/>
      <c r="Q738" s="11">
        <v>5</v>
      </c>
      <c r="R738" s="11">
        <v>1</v>
      </c>
      <c r="S738" s="11" t="s">
        <v>3739</v>
      </c>
    </row>
    <row r="739" spans="1:19" hidden="1" x14ac:dyDescent="0.15">
      <c r="A739" s="34">
        <v>738</v>
      </c>
      <c r="B739" s="35" t="s">
        <v>4883</v>
      </c>
      <c r="C739" s="36" t="s">
        <v>3431</v>
      </c>
      <c r="D739" s="11" t="s">
        <v>292</v>
      </c>
      <c r="E739" s="11" t="s">
        <v>1451</v>
      </c>
      <c r="F739" s="11">
        <v>9</v>
      </c>
      <c r="G739" s="11" t="s">
        <v>1076</v>
      </c>
      <c r="H739" s="11" t="s">
        <v>1075</v>
      </c>
      <c r="I739" s="11" t="s">
        <v>339</v>
      </c>
      <c r="J739" s="11" t="s">
        <v>3740</v>
      </c>
      <c r="K739" s="11"/>
      <c r="L739" s="11"/>
      <c r="M739" s="11" t="s">
        <v>3303</v>
      </c>
      <c r="N739" s="11" t="s">
        <v>3463</v>
      </c>
      <c r="O739" s="11"/>
      <c r="P739" s="11"/>
      <c r="Q739" s="11">
        <v>4</v>
      </c>
      <c r="R739" s="11">
        <v>4</v>
      </c>
      <c r="S739" s="11" t="s">
        <v>3741</v>
      </c>
    </row>
    <row r="740" spans="1:19" hidden="1" x14ac:dyDescent="0.15">
      <c r="A740" s="34">
        <v>739</v>
      </c>
      <c r="B740" s="35" t="s">
        <v>4883</v>
      </c>
      <c r="C740" s="36" t="s">
        <v>3431</v>
      </c>
      <c r="D740" s="11" t="s">
        <v>292</v>
      </c>
      <c r="E740" s="11" t="s">
        <v>1451</v>
      </c>
      <c r="F740" s="11">
        <v>0</v>
      </c>
      <c r="G740" s="11" t="s">
        <v>997</v>
      </c>
      <c r="H740" s="11" t="s">
        <v>996</v>
      </c>
      <c r="I740" s="11" t="s">
        <v>339</v>
      </c>
      <c r="J740" s="11" t="s">
        <v>3740</v>
      </c>
      <c r="K740" s="11" t="s">
        <v>2802</v>
      </c>
      <c r="L740" s="11"/>
      <c r="M740" s="11" t="s">
        <v>351</v>
      </c>
      <c r="N740" s="11"/>
      <c r="O740" s="11"/>
      <c r="P740" s="11"/>
      <c r="Q740" s="11">
        <v>6</v>
      </c>
      <c r="R740" s="11">
        <v>6</v>
      </c>
      <c r="S740" s="11" t="s">
        <v>351</v>
      </c>
    </row>
    <row r="741" spans="1:19" hidden="1" x14ac:dyDescent="0.15">
      <c r="A741" s="34">
        <v>740</v>
      </c>
      <c r="B741" s="35" t="s">
        <v>4883</v>
      </c>
      <c r="C741" s="36" t="s">
        <v>3431</v>
      </c>
      <c r="D741" s="11" t="s">
        <v>292</v>
      </c>
      <c r="E741" s="11" t="s">
        <v>1451</v>
      </c>
      <c r="F741" s="11">
        <v>10</v>
      </c>
      <c r="G741" s="11" t="s">
        <v>1074</v>
      </c>
      <c r="H741" s="11" t="s">
        <v>1073</v>
      </c>
      <c r="I741" s="11" t="s">
        <v>288</v>
      </c>
      <c r="J741" s="11" t="s">
        <v>6250</v>
      </c>
      <c r="K741" s="11"/>
      <c r="L741" s="11"/>
      <c r="M741" s="11" t="s">
        <v>3742</v>
      </c>
      <c r="N741" s="11" t="s">
        <v>3743</v>
      </c>
      <c r="O741" s="11"/>
      <c r="P741" s="11">
        <v>3</v>
      </c>
      <c r="Q741" s="11"/>
      <c r="R741" s="11"/>
      <c r="S741" s="11" t="s">
        <v>3744</v>
      </c>
    </row>
    <row r="742" spans="1:19" hidden="1" x14ac:dyDescent="0.15">
      <c r="A742" s="34">
        <v>741</v>
      </c>
      <c r="B742" s="35" t="s">
        <v>4883</v>
      </c>
      <c r="C742" s="36" t="s">
        <v>3431</v>
      </c>
      <c r="D742" s="11" t="s">
        <v>292</v>
      </c>
      <c r="E742" s="11" t="s">
        <v>1451</v>
      </c>
      <c r="F742" s="11">
        <v>10</v>
      </c>
      <c r="G742" s="11" t="s">
        <v>1072</v>
      </c>
      <c r="H742" s="11" t="s">
        <v>1071</v>
      </c>
      <c r="I742" s="11" t="s">
        <v>288</v>
      </c>
      <c r="J742" s="11" t="s">
        <v>6250</v>
      </c>
      <c r="K742" s="11"/>
      <c r="L742" s="11"/>
      <c r="M742" s="11" t="s">
        <v>3745</v>
      </c>
      <c r="N742" s="11" t="s">
        <v>3746</v>
      </c>
      <c r="O742" s="11"/>
      <c r="P742" s="11">
        <v>3</v>
      </c>
      <c r="Q742" s="11"/>
      <c r="R742" s="11"/>
      <c r="S742" s="11" t="s">
        <v>3747</v>
      </c>
    </row>
    <row r="743" spans="1:19" hidden="1" x14ac:dyDescent="0.15">
      <c r="A743" s="34">
        <v>742</v>
      </c>
      <c r="B743" s="35" t="s">
        <v>4883</v>
      </c>
      <c r="C743" s="36" t="s">
        <v>3431</v>
      </c>
      <c r="D743" s="11" t="s">
        <v>292</v>
      </c>
      <c r="E743" s="11" t="s">
        <v>1451</v>
      </c>
      <c r="F743" s="11">
        <v>10</v>
      </c>
      <c r="G743" s="11" t="s">
        <v>1070</v>
      </c>
      <c r="H743" s="11" t="s">
        <v>1069</v>
      </c>
      <c r="I743" s="11" t="s">
        <v>288</v>
      </c>
      <c r="J743" s="11" t="s">
        <v>6250</v>
      </c>
      <c r="K743" s="11"/>
      <c r="L743" s="11"/>
      <c r="M743" s="11" t="s">
        <v>3748</v>
      </c>
      <c r="N743" s="11" t="s">
        <v>3749</v>
      </c>
      <c r="O743" s="11"/>
      <c r="P743" s="11">
        <v>3</v>
      </c>
      <c r="Q743" s="11"/>
      <c r="R743" s="11"/>
      <c r="S743" s="11" t="s">
        <v>3750</v>
      </c>
    </row>
    <row r="744" spans="1:19" hidden="1" x14ac:dyDescent="0.15">
      <c r="A744" s="34">
        <v>743</v>
      </c>
      <c r="B744" s="35" t="s">
        <v>4883</v>
      </c>
      <c r="C744" s="36" t="s">
        <v>3431</v>
      </c>
      <c r="D744" s="11" t="s">
        <v>292</v>
      </c>
      <c r="E744" s="11" t="s">
        <v>1451</v>
      </c>
      <c r="F744" s="11">
        <v>10</v>
      </c>
      <c r="G744" s="11" t="s">
        <v>1068</v>
      </c>
      <c r="H744" s="11" t="s">
        <v>1067</v>
      </c>
      <c r="I744" s="11" t="s">
        <v>288</v>
      </c>
      <c r="J744" s="11" t="s">
        <v>6250</v>
      </c>
      <c r="K744" s="11"/>
      <c r="L744" s="11"/>
      <c r="M744" s="11" t="s">
        <v>3751</v>
      </c>
      <c r="N744" s="11" t="s">
        <v>3752</v>
      </c>
      <c r="O744" s="11"/>
      <c r="P744" s="11">
        <v>3</v>
      </c>
      <c r="Q744" s="11"/>
      <c r="R744" s="11"/>
      <c r="S744" s="11" t="s">
        <v>3753</v>
      </c>
    </row>
    <row r="745" spans="1:19" hidden="1" x14ac:dyDescent="0.15">
      <c r="A745" s="34">
        <v>744</v>
      </c>
      <c r="B745" s="35" t="s">
        <v>4883</v>
      </c>
      <c r="C745" s="36" t="s">
        <v>3431</v>
      </c>
      <c r="D745" s="11" t="s">
        <v>292</v>
      </c>
      <c r="E745" s="11" t="s">
        <v>1451</v>
      </c>
      <c r="F745" s="11">
        <v>5</v>
      </c>
      <c r="G745" s="11" t="s">
        <v>1066</v>
      </c>
      <c r="H745" s="11" t="s">
        <v>1065</v>
      </c>
      <c r="I745" s="11" t="s">
        <v>288</v>
      </c>
      <c r="J745" s="11"/>
      <c r="K745" s="11"/>
      <c r="L745" s="11"/>
      <c r="M745" s="11" t="s">
        <v>1680</v>
      </c>
      <c r="N745" s="11" t="s">
        <v>3754</v>
      </c>
      <c r="O745" s="11"/>
      <c r="P745" s="11">
        <v>3</v>
      </c>
      <c r="Q745" s="11"/>
      <c r="R745" s="11"/>
      <c r="S745" s="11" t="s">
        <v>3755</v>
      </c>
    </row>
    <row r="746" spans="1:19" hidden="1" x14ac:dyDescent="0.15">
      <c r="A746" s="34">
        <v>745</v>
      </c>
      <c r="B746" s="35" t="s">
        <v>4883</v>
      </c>
      <c r="C746" s="36" t="s">
        <v>3431</v>
      </c>
      <c r="D746" s="11" t="s">
        <v>292</v>
      </c>
      <c r="E746" s="11" t="s">
        <v>1451</v>
      </c>
      <c r="F746" s="11">
        <v>7</v>
      </c>
      <c r="G746" s="11" t="s">
        <v>4879</v>
      </c>
      <c r="H746" s="11" t="s">
        <v>1064</v>
      </c>
      <c r="I746" s="11" t="s">
        <v>288</v>
      </c>
      <c r="J746" s="11"/>
      <c r="K746" s="11"/>
      <c r="L746" s="11"/>
      <c r="M746" s="11" t="s">
        <v>3756</v>
      </c>
      <c r="N746" s="11"/>
      <c r="O746" s="11"/>
      <c r="P746" s="11">
        <v>3</v>
      </c>
      <c r="Q746" s="11"/>
      <c r="R746" s="11"/>
      <c r="S746" s="11" t="s">
        <v>3756</v>
      </c>
    </row>
    <row r="747" spans="1:19" hidden="1" x14ac:dyDescent="0.15">
      <c r="A747" s="34">
        <v>746</v>
      </c>
      <c r="B747" s="35" t="s">
        <v>4883</v>
      </c>
      <c r="C747" s="36" t="s">
        <v>3431</v>
      </c>
      <c r="D747" s="11" t="s">
        <v>292</v>
      </c>
      <c r="E747" s="11" t="s">
        <v>1451</v>
      </c>
      <c r="F747" s="11">
        <v>10</v>
      </c>
      <c r="G747" s="11" t="s">
        <v>1063</v>
      </c>
      <c r="H747" s="11" t="s">
        <v>1062</v>
      </c>
      <c r="I747" s="11" t="s">
        <v>288</v>
      </c>
      <c r="J747" s="11" t="s">
        <v>6250</v>
      </c>
      <c r="K747" s="11"/>
      <c r="L747" s="11"/>
      <c r="M747" s="11" t="s">
        <v>3757</v>
      </c>
      <c r="N747" s="11" t="s">
        <v>3758</v>
      </c>
      <c r="O747" s="11"/>
      <c r="P747" s="11">
        <v>3</v>
      </c>
      <c r="Q747" s="11"/>
      <c r="R747" s="11"/>
      <c r="S747" s="11" t="s">
        <v>3759</v>
      </c>
    </row>
    <row r="748" spans="1:19" hidden="1" x14ac:dyDescent="0.15">
      <c r="A748" s="34">
        <v>747</v>
      </c>
      <c r="B748" s="35" t="s">
        <v>4883</v>
      </c>
      <c r="C748" s="36" t="s">
        <v>3431</v>
      </c>
      <c r="D748" s="11" t="s">
        <v>292</v>
      </c>
      <c r="E748" s="11" t="s">
        <v>1441</v>
      </c>
      <c r="F748" s="11">
        <v>15</v>
      </c>
      <c r="G748" s="11" t="s">
        <v>1061</v>
      </c>
      <c r="H748" s="11" t="s">
        <v>1060</v>
      </c>
      <c r="I748" s="11" t="s">
        <v>339</v>
      </c>
      <c r="J748" s="11" t="s">
        <v>352</v>
      </c>
      <c r="K748" s="11"/>
      <c r="L748" s="11"/>
      <c r="M748" s="11" t="s">
        <v>3760</v>
      </c>
      <c r="N748" s="11" t="s">
        <v>3761</v>
      </c>
      <c r="O748" s="11" t="s">
        <v>3762</v>
      </c>
      <c r="P748" s="11"/>
      <c r="Q748" s="11">
        <v>0</v>
      </c>
      <c r="R748" s="11">
        <v>35</v>
      </c>
      <c r="S748" s="11" t="s">
        <v>3763</v>
      </c>
    </row>
    <row r="749" spans="1:19" hidden="1" x14ac:dyDescent="0.15">
      <c r="A749" s="34">
        <v>748</v>
      </c>
      <c r="B749" s="35" t="s">
        <v>4883</v>
      </c>
      <c r="C749" s="36" t="s">
        <v>3431</v>
      </c>
      <c r="D749" s="11" t="s">
        <v>292</v>
      </c>
      <c r="E749" s="11" t="s">
        <v>1441</v>
      </c>
      <c r="F749" s="11">
        <v>0</v>
      </c>
      <c r="G749" s="11" t="s">
        <v>995</v>
      </c>
      <c r="H749" s="11" t="s">
        <v>994</v>
      </c>
      <c r="I749" s="11" t="s">
        <v>339</v>
      </c>
      <c r="J749" s="11" t="s">
        <v>2793</v>
      </c>
      <c r="K749" s="11"/>
      <c r="L749" s="11"/>
      <c r="M749" s="11" t="s">
        <v>3764</v>
      </c>
      <c r="N749" s="11"/>
      <c r="O749" s="11"/>
      <c r="P749" s="11"/>
      <c r="Q749" s="11">
        <v>15</v>
      </c>
      <c r="R749" s="11">
        <v>13</v>
      </c>
      <c r="S749" s="11" t="s">
        <v>3764</v>
      </c>
    </row>
    <row r="750" spans="1:19" hidden="1" x14ac:dyDescent="0.15">
      <c r="A750" s="34">
        <v>749</v>
      </c>
      <c r="B750" s="35" t="s">
        <v>4883</v>
      </c>
      <c r="C750" s="36" t="s">
        <v>3431</v>
      </c>
      <c r="D750" s="11" t="s">
        <v>292</v>
      </c>
      <c r="E750" s="11" t="s">
        <v>1441</v>
      </c>
      <c r="F750" s="11">
        <v>1</v>
      </c>
      <c r="G750" s="11" t="s">
        <v>1059</v>
      </c>
      <c r="H750" s="11" t="s">
        <v>1058</v>
      </c>
      <c r="I750" s="11" t="s">
        <v>1453</v>
      </c>
      <c r="J750" s="11"/>
      <c r="K750" s="11"/>
      <c r="L750" s="11"/>
      <c r="M750" s="11" t="s">
        <v>3765</v>
      </c>
      <c r="N750" s="11"/>
      <c r="O750" s="11"/>
      <c r="P750" s="11"/>
      <c r="Q750" s="11"/>
      <c r="R750" s="11"/>
      <c r="S750" s="11" t="s">
        <v>3765</v>
      </c>
    </row>
    <row r="751" spans="1:19" hidden="1" x14ac:dyDescent="0.15">
      <c r="A751" s="34">
        <v>750</v>
      </c>
      <c r="B751" s="35" t="s">
        <v>4883</v>
      </c>
      <c r="C751" s="36" t="s">
        <v>3431</v>
      </c>
      <c r="D751" s="11" t="s">
        <v>292</v>
      </c>
      <c r="E751" s="11" t="s">
        <v>1441</v>
      </c>
      <c r="F751" s="11">
        <v>9</v>
      </c>
      <c r="G751" s="11" t="s">
        <v>1057</v>
      </c>
      <c r="H751" s="11" t="s">
        <v>1056</v>
      </c>
      <c r="I751" s="11" t="s">
        <v>288</v>
      </c>
      <c r="J751" s="11"/>
      <c r="K751" s="11"/>
      <c r="L751" s="11"/>
      <c r="M751" s="11" t="s">
        <v>3766</v>
      </c>
      <c r="N751" s="11"/>
      <c r="O751" s="11"/>
      <c r="P751" s="11">
        <v>3</v>
      </c>
      <c r="Q751" s="11"/>
      <c r="R751" s="11"/>
      <c r="S751" s="11" t="s">
        <v>3766</v>
      </c>
    </row>
    <row r="752" spans="1:19" hidden="1" x14ac:dyDescent="0.15">
      <c r="A752" s="34">
        <v>751</v>
      </c>
      <c r="B752" s="35" t="s">
        <v>4883</v>
      </c>
      <c r="C752" s="36" t="s">
        <v>3431</v>
      </c>
      <c r="D752" s="11" t="s">
        <v>292</v>
      </c>
      <c r="E752" s="11" t="s">
        <v>1441</v>
      </c>
      <c r="F752" s="11">
        <v>8</v>
      </c>
      <c r="G752" s="11" t="s">
        <v>1055</v>
      </c>
      <c r="H752" s="11" t="s">
        <v>1054</v>
      </c>
      <c r="I752" s="11" t="s">
        <v>288</v>
      </c>
      <c r="J752" s="11"/>
      <c r="K752" s="11"/>
      <c r="L752" s="11"/>
      <c r="M752" s="11" t="s">
        <v>3767</v>
      </c>
      <c r="N752" s="11"/>
      <c r="O752" s="11"/>
      <c r="P752" s="11">
        <v>3</v>
      </c>
      <c r="Q752" s="11"/>
      <c r="R752" s="11"/>
      <c r="S752" s="11" t="s">
        <v>3767</v>
      </c>
    </row>
    <row r="753" spans="1:19" hidden="1" x14ac:dyDescent="0.15">
      <c r="A753" s="34">
        <v>752</v>
      </c>
      <c r="B753" s="35" t="s">
        <v>4883</v>
      </c>
      <c r="C753" s="36" t="s">
        <v>3431</v>
      </c>
      <c r="D753" s="11" t="s">
        <v>292</v>
      </c>
      <c r="E753" s="11" t="s">
        <v>1441</v>
      </c>
      <c r="F753" s="11">
        <v>7</v>
      </c>
      <c r="G753" s="11" t="s">
        <v>1053</v>
      </c>
      <c r="H753" s="11" t="s">
        <v>1052</v>
      </c>
      <c r="I753" s="11" t="s">
        <v>288</v>
      </c>
      <c r="J753" s="11"/>
      <c r="K753" s="11"/>
      <c r="L753" s="11"/>
      <c r="M753" s="11" t="s">
        <v>3768</v>
      </c>
      <c r="N753" s="11"/>
      <c r="O753" s="11"/>
      <c r="P753" s="11">
        <v>3</v>
      </c>
      <c r="Q753" s="11"/>
      <c r="R753" s="11"/>
      <c r="S753" s="11" t="s">
        <v>3768</v>
      </c>
    </row>
    <row r="754" spans="1:19" hidden="1" x14ac:dyDescent="0.15">
      <c r="A754" s="34">
        <v>753</v>
      </c>
      <c r="B754" s="35" t="s">
        <v>4883</v>
      </c>
      <c r="C754" s="36" t="s">
        <v>3431</v>
      </c>
      <c r="D754" s="11" t="s">
        <v>292</v>
      </c>
      <c r="E754" s="11" t="s">
        <v>1441</v>
      </c>
      <c r="F754" s="11">
        <v>9</v>
      </c>
      <c r="G754" s="11" t="s">
        <v>1051</v>
      </c>
      <c r="H754" s="11" t="s">
        <v>1050</v>
      </c>
      <c r="I754" s="11" t="s">
        <v>288</v>
      </c>
      <c r="J754" s="11" t="s">
        <v>6250</v>
      </c>
      <c r="K754" s="11"/>
      <c r="L754" s="11"/>
      <c r="M754" s="11" t="s">
        <v>3769</v>
      </c>
      <c r="N754" s="11" t="s">
        <v>3770</v>
      </c>
      <c r="O754" s="11"/>
      <c r="P754" s="11">
        <v>3</v>
      </c>
      <c r="Q754" s="11"/>
      <c r="R754" s="11"/>
      <c r="S754" s="11" t="s">
        <v>3771</v>
      </c>
    </row>
    <row r="755" spans="1:19" hidden="1" x14ac:dyDescent="0.15">
      <c r="A755" s="34">
        <v>754</v>
      </c>
      <c r="B755" s="35" t="s">
        <v>4883</v>
      </c>
      <c r="C755" s="36" t="s">
        <v>3431</v>
      </c>
      <c r="D755" s="11" t="s">
        <v>292</v>
      </c>
      <c r="E755" s="11" t="s">
        <v>1441</v>
      </c>
      <c r="F755" s="11">
        <v>5</v>
      </c>
      <c r="G755" s="11" t="s">
        <v>1049</v>
      </c>
      <c r="H755" s="11" t="s">
        <v>1048</v>
      </c>
      <c r="I755" s="11" t="s">
        <v>288</v>
      </c>
      <c r="J755" s="11"/>
      <c r="K755" s="11"/>
      <c r="L755" s="11"/>
      <c r="M755" s="11" t="s">
        <v>3772</v>
      </c>
      <c r="N755" s="11"/>
      <c r="O755" s="11"/>
      <c r="P755" s="11">
        <v>3</v>
      </c>
      <c r="Q755" s="11"/>
      <c r="R755" s="11"/>
      <c r="S755" s="11" t="s">
        <v>3772</v>
      </c>
    </row>
    <row r="756" spans="1:19" hidden="1" x14ac:dyDescent="0.15">
      <c r="A756" s="34">
        <v>755</v>
      </c>
      <c r="B756" s="35" t="s">
        <v>4883</v>
      </c>
      <c r="C756" s="36" t="s">
        <v>3773</v>
      </c>
      <c r="D756" s="11" t="s">
        <v>1627</v>
      </c>
      <c r="E756" s="11" t="s">
        <v>1451</v>
      </c>
      <c r="F756" s="11">
        <v>4</v>
      </c>
      <c r="G756" s="11" t="s">
        <v>993</v>
      </c>
      <c r="H756" s="11" t="s">
        <v>992</v>
      </c>
      <c r="I756" s="11" t="s">
        <v>1453</v>
      </c>
      <c r="J756" s="11"/>
      <c r="K756" s="11"/>
      <c r="L756" s="11"/>
      <c r="M756" s="11" t="s">
        <v>3774</v>
      </c>
      <c r="N756" s="11"/>
      <c r="O756" s="11"/>
      <c r="P756" s="11"/>
      <c r="Q756" s="11"/>
      <c r="R756" s="11"/>
      <c r="S756" s="11" t="s">
        <v>3774</v>
      </c>
    </row>
    <row r="757" spans="1:19" hidden="1" x14ac:dyDescent="0.15">
      <c r="A757" s="34">
        <v>756</v>
      </c>
      <c r="B757" s="35" t="s">
        <v>4883</v>
      </c>
      <c r="C757" s="36" t="s">
        <v>3773</v>
      </c>
      <c r="D757" s="11" t="s">
        <v>1627</v>
      </c>
      <c r="E757" s="11" t="s">
        <v>1451</v>
      </c>
      <c r="F757" s="11">
        <v>8</v>
      </c>
      <c r="G757" s="11" t="s">
        <v>991</v>
      </c>
      <c r="H757" s="11" t="s">
        <v>990</v>
      </c>
      <c r="I757" s="11" t="s">
        <v>339</v>
      </c>
      <c r="J757" s="11" t="s">
        <v>348</v>
      </c>
      <c r="K757" s="11"/>
      <c r="L757" s="11"/>
      <c r="M757" s="11" t="s">
        <v>351</v>
      </c>
      <c r="N757" s="11" t="s">
        <v>3775</v>
      </c>
      <c r="O757" s="11"/>
      <c r="P757" s="11"/>
      <c r="Q757" s="11">
        <v>4</v>
      </c>
      <c r="R757" s="11">
        <v>3</v>
      </c>
      <c r="S757" s="11" t="s">
        <v>3776</v>
      </c>
    </row>
    <row r="758" spans="1:19" hidden="1" x14ac:dyDescent="0.15">
      <c r="A758" s="34">
        <v>757</v>
      </c>
      <c r="B758" s="35" t="s">
        <v>4883</v>
      </c>
      <c r="C758" s="36" t="s">
        <v>3773</v>
      </c>
      <c r="D758" s="11" t="s">
        <v>1627</v>
      </c>
      <c r="E758" s="11" t="s">
        <v>1451</v>
      </c>
      <c r="F758" s="11">
        <v>4</v>
      </c>
      <c r="G758" s="11" t="s">
        <v>989</v>
      </c>
      <c r="H758" s="11" t="s">
        <v>988</v>
      </c>
      <c r="I758" s="11" t="s">
        <v>339</v>
      </c>
      <c r="J758" s="11" t="s">
        <v>1489</v>
      </c>
      <c r="K758" s="11" t="s">
        <v>1533</v>
      </c>
      <c r="L758" s="11"/>
      <c r="M758" s="11" t="s">
        <v>3777</v>
      </c>
      <c r="N758" s="11" t="s">
        <v>3778</v>
      </c>
      <c r="O758" s="11"/>
      <c r="P758" s="11"/>
      <c r="Q758" s="11">
        <v>1</v>
      </c>
      <c r="R758" s="11">
        <v>1</v>
      </c>
      <c r="S758" s="11" t="s">
        <v>3779</v>
      </c>
    </row>
    <row r="759" spans="1:19" hidden="1" x14ac:dyDescent="0.15">
      <c r="A759" s="34">
        <v>758</v>
      </c>
      <c r="B759" s="35" t="s">
        <v>4883</v>
      </c>
      <c r="C759" s="36" t="s">
        <v>3773</v>
      </c>
      <c r="D759" s="11" t="s">
        <v>1627</v>
      </c>
      <c r="E759" s="11" t="s">
        <v>1451</v>
      </c>
      <c r="F759" s="11">
        <v>0</v>
      </c>
      <c r="G759" s="11" t="s">
        <v>858</v>
      </c>
      <c r="H759" s="11" t="s">
        <v>857</v>
      </c>
      <c r="I759" s="11" t="s">
        <v>339</v>
      </c>
      <c r="J759" s="11" t="s">
        <v>1435</v>
      </c>
      <c r="K759" s="11" t="s">
        <v>2802</v>
      </c>
      <c r="L759" s="11"/>
      <c r="M759" s="11" t="s">
        <v>3780</v>
      </c>
      <c r="N759" s="11"/>
      <c r="O759" s="11"/>
      <c r="P759" s="11"/>
      <c r="Q759" s="11">
        <v>4</v>
      </c>
      <c r="R759" s="11">
        <v>4</v>
      </c>
      <c r="S759" s="11" t="s">
        <v>3780</v>
      </c>
    </row>
    <row r="760" spans="1:19" hidden="1" x14ac:dyDescent="0.15">
      <c r="A760" s="34">
        <v>759</v>
      </c>
      <c r="B760" s="35" t="s">
        <v>4883</v>
      </c>
      <c r="C760" s="36" t="s">
        <v>3773</v>
      </c>
      <c r="D760" s="11" t="s">
        <v>1627</v>
      </c>
      <c r="E760" s="11" t="s">
        <v>1451</v>
      </c>
      <c r="F760" s="11">
        <v>15</v>
      </c>
      <c r="G760" s="11" t="s">
        <v>987</v>
      </c>
      <c r="H760" s="11" t="s">
        <v>986</v>
      </c>
      <c r="I760" s="11" t="s">
        <v>339</v>
      </c>
      <c r="J760" s="11" t="s">
        <v>1489</v>
      </c>
      <c r="K760" s="11" t="s">
        <v>1470</v>
      </c>
      <c r="L760" s="11"/>
      <c r="M760" s="11" t="s">
        <v>3781</v>
      </c>
      <c r="N760" s="11" t="s">
        <v>3782</v>
      </c>
      <c r="O760" s="11"/>
      <c r="P760" s="11"/>
      <c r="Q760" s="11">
        <v>2</v>
      </c>
      <c r="R760" s="11">
        <v>5</v>
      </c>
      <c r="S760" s="11" t="s">
        <v>3783</v>
      </c>
    </row>
    <row r="761" spans="1:19" hidden="1" x14ac:dyDescent="0.15">
      <c r="A761" s="34">
        <v>760</v>
      </c>
      <c r="B761" s="35" t="s">
        <v>4883</v>
      </c>
      <c r="C761" s="36" t="s">
        <v>3773</v>
      </c>
      <c r="D761" s="11" t="s">
        <v>1627</v>
      </c>
      <c r="E761" s="11" t="s">
        <v>1451</v>
      </c>
      <c r="F761" s="11">
        <v>0</v>
      </c>
      <c r="G761" s="11" t="s">
        <v>856</v>
      </c>
      <c r="H761" s="11" t="s">
        <v>855</v>
      </c>
      <c r="I761" s="11" t="s">
        <v>339</v>
      </c>
      <c r="J761" s="11" t="s">
        <v>1435</v>
      </c>
      <c r="K761" s="11" t="s">
        <v>2802</v>
      </c>
      <c r="L761" s="11"/>
      <c r="M761" s="11" t="s">
        <v>3784</v>
      </c>
      <c r="N761" s="11" t="s">
        <v>3785</v>
      </c>
      <c r="O761" s="11"/>
      <c r="P761" s="11"/>
      <c r="Q761" s="11">
        <v>3</v>
      </c>
      <c r="R761" s="11">
        <v>5</v>
      </c>
      <c r="S761" s="11" t="s">
        <v>3786</v>
      </c>
    </row>
    <row r="762" spans="1:19" hidden="1" x14ac:dyDescent="0.15">
      <c r="A762" s="34">
        <v>761</v>
      </c>
      <c r="B762" s="35" t="s">
        <v>4883</v>
      </c>
      <c r="C762" s="36" t="s">
        <v>3773</v>
      </c>
      <c r="D762" s="11" t="s">
        <v>1627</v>
      </c>
      <c r="E762" s="11" t="s">
        <v>1441</v>
      </c>
      <c r="F762" s="11">
        <v>15</v>
      </c>
      <c r="G762" s="11" t="s">
        <v>985</v>
      </c>
      <c r="H762" s="11" t="s">
        <v>984</v>
      </c>
      <c r="I762" s="11" t="s">
        <v>339</v>
      </c>
      <c r="J762" s="11" t="s">
        <v>1489</v>
      </c>
      <c r="K762" s="11" t="s">
        <v>1799</v>
      </c>
      <c r="L762" s="11"/>
      <c r="M762" s="11" t="s">
        <v>3311</v>
      </c>
      <c r="N762" s="11" t="s">
        <v>3787</v>
      </c>
      <c r="O762" s="11"/>
      <c r="P762" s="11"/>
      <c r="Q762" s="11">
        <v>6</v>
      </c>
      <c r="R762" s="11">
        <v>5</v>
      </c>
      <c r="S762" s="11" t="s">
        <v>3788</v>
      </c>
    </row>
    <row r="763" spans="1:19" hidden="1" x14ac:dyDescent="0.15">
      <c r="A763" s="34">
        <v>762</v>
      </c>
      <c r="B763" s="35" t="s">
        <v>4883</v>
      </c>
      <c r="C763" s="36" t="s">
        <v>3773</v>
      </c>
      <c r="D763" s="11" t="s">
        <v>1627</v>
      </c>
      <c r="E763" s="11" t="s">
        <v>1441</v>
      </c>
      <c r="F763" s="11">
        <v>7</v>
      </c>
      <c r="G763" s="11" t="s">
        <v>983</v>
      </c>
      <c r="H763" s="11" t="s">
        <v>982</v>
      </c>
      <c r="I763" s="11" t="s">
        <v>339</v>
      </c>
      <c r="J763" s="11" t="s">
        <v>1489</v>
      </c>
      <c r="K763" s="11" t="s">
        <v>1470</v>
      </c>
      <c r="L763" s="11"/>
      <c r="M763" s="11" t="s">
        <v>3789</v>
      </c>
      <c r="N763" s="11" t="s">
        <v>3790</v>
      </c>
      <c r="O763" s="11"/>
      <c r="P763" s="11"/>
      <c r="Q763" s="11">
        <v>5</v>
      </c>
      <c r="R763" s="11">
        <v>6</v>
      </c>
      <c r="S763" s="11" t="s">
        <v>3791</v>
      </c>
    </row>
    <row r="764" spans="1:19" hidden="1" x14ac:dyDescent="0.15">
      <c r="A764" s="34">
        <v>763</v>
      </c>
      <c r="B764" s="35" t="s">
        <v>4883</v>
      </c>
      <c r="C764" s="36" t="s">
        <v>3773</v>
      </c>
      <c r="D764" s="11" t="s">
        <v>1627</v>
      </c>
      <c r="E764" s="11" t="s">
        <v>1441</v>
      </c>
      <c r="F764" s="11">
        <v>10</v>
      </c>
      <c r="G764" s="11" t="s">
        <v>981</v>
      </c>
      <c r="H764" s="11" t="s">
        <v>980</v>
      </c>
      <c r="I764" s="11" t="s">
        <v>339</v>
      </c>
      <c r="J764" s="11" t="s">
        <v>2407</v>
      </c>
      <c r="K764" s="11" t="s">
        <v>1470</v>
      </c>
      <c r="L764" s="11"/>
      <c r="M764" s="11" t="s">
        <v>351</v>
      </c>
      <c r="N764" s="11" t="s">
        <v>3792</v>
      </c>
      <c r="O764" s="11"/>
      <c r="P764" s="11"/>
      <c r="Q764" s="11">
        <v>6</v>
      </c>
      <c r="R764" s="11">
        <v>5</v>
      </c>
      <c r="S764" s="11" t="s">
        <v>3793</v>
      </c>
    </row>
    <row r="765" spans="1:19" hidden="1" x14ac:dyDescent="0.15">
      <c r="A765" s="34">
        <v>764</v>
      </c>
      <c r="B765" s="35" t="s">
        <v>4883</v>
      </c>
      <c r="C765" s="36" t="s">
        <v>3773</v>
      </c>
      <c r="D765" s="11" t="s">
        <v>1627</v>
      </c>
      <c r="E765" s="11" t="s">
        <v>1441</v>
      </c>
      <c r="F765" s="11">
        <v>18</v>
      </c>
      <c r="G765" s="11" t="s">
        <v>979</v>
      </c>
      <c r="H765" s="11" t="s">
        <v>978</v>
      </c>
      <c r="I765" s="11" t="s">
        <v>339</v>
      </c>
      <c r="J765" s="11" t="s">
        <v>348</v>
      </c>
      <c r="K765" s="11" t="s">
        <v>2802</v>
      </c>
      <c r="L765" s="11"/>
      <c r="M765" s="11" t="s">
        <v>2406</v>
      </c>
      <c r="N765" s="11" t="s">
        <v>3794</v>
      </c>
      <c r="O765" s="11" t="s">
        <v>3795</v>
      </c>
      <c r="P765" s="11"/>
      <c r="Q765" s="11">
        <v>5</v>
      </c>
      <c r="R765" s="11">
        <v>7</v>
      </c>
      <c r="S765" s="11" t="s">
        <v>3796</v>
      </c>
    </row>
    <row r="766" spans="1:19" hidden="1" x14ac:dyDescent="0.15">
      <c r="A766" s="34">
        <v>765</v>
      </c>
      <c r="B766" s="35" t="s">
        <v>4883</v>
      </c>
      <c r="C766" s="36" t="s">
        <v>3773</v>
      </c>
      <c r="D766" s="11" t="s">
        <v>1627</v>
      </c>
      <c r="E766" s="11" t="s">
        <v>1431</v>
      </c>
      <c r="F766" s="11">
        <v>12</v>
      </c>
      <c r="G766" s="11" t="s">
        <v>977</v>
      </c>
      <c r="H766" s="11" t="s">
        <v>976</v>
      </c>
      <c r="I766" s="11" t="s">
        <v>339</v>
      </c>
      <c r="J766" s="11" t="s">
        <v>348</v>
      </c>
      <c r="K766" s="11" t="s">
        <v>2802</v>
      </c>
      <c r="L766" s="11"/>
      <c r="M766" s="11" t="s">
        <v>3797</v>
      </c>
      <c r="N766" s="11" t="s">
        <v>3798</v>
      </c>
      <c r="O766" s="11"/>
      <c r="P766" s="11"/>
      <c r="Q766" s="11">
        <v>8</v>
      </c>
      <c r="R766" s="11">
        <v>8</v>
      </c>
      <c r="S766" s="11" t="s">
        <v>3799</v>
      </c>
    </row>
    <row r="767" spans="1:19" hidden="1" x14ac:dyDescent="0.15">
      <c r="A767" s="34">
        <v>766</v>
      </c>
      <c r="B767" s="35" t="s">
        <v>4883</v>
      </c>
      <c r="C767" s="36" t="s">
        <v>3773</v>
      </c>
      <c r="D767" s="11" t="s">
        <v>1627</v>
      </c>
      <c r="E767" s="11" t="s">
        <v>1431</v>
      </c>
      <c r="F767" s="11">
        <v>0</v>
      </c>
      <c r="G767" s="11" t="s">
        <v>854</v>
      </c>
      <c r="H767" s="11" t="s">
        <v>853</v>
      </c>
      <c r="I767" s="11" t="s">
        <v>339</v>
      </c>
      <c r="J767" s="11" t="s">
        <v>1435</v>
      </c>
      <c r="K767" s="11" t="s">
        <v>348</v>
      </c>
      <c r="L767" s="11"/>
      <c r="M767" s="11" t="s">
        <v>3800</v>
      </c>
      <c r="N767" s="11" t="s">
        <v>3801</v>
      </c>
      <c r="O767" s="11"/>
      <c r="P767" s="11"/>
      <c r="Q767" s="11">
        <v>9</v>
      </c>
      <c r="R767" s="11">
        <v>10</v>
      </c>
      <c r="S767" s="11" t="s">
        <v>3802</v>
      </c>
    </row>
    <row r="768" spans="1:19" hidden="1" x14ac:dyDescent="0.15">
      <c r="A768" s="34">
        <v>767</v>
      </c>
      <c r="B768" s="35" t="s">
        <v>4883</v>
      </c>
      <c r="C768" s="36" t="s">
        <v>3773</v>
      </c>
      <c r="D768" s="11" t="s">
        <v>1627</v>
      </c>
      <c r="E768" s="11" t="s">
        <v>1431</v>
      </c>
      <c r="F768" s="11">
        <v>23</v>
      </c>
      <c r="G768" s="11" t="s">
        <v>975</v>
      </c>
      <c r="H768" s="11" t="s">
        <v>974</v>
      </c>
      <c r="I768" s="11" t="s">
        <v>1453</v>
      </c>
      <c r="J768" s="11"/>
      <c r="K768" s="11"/>
      <c r="L768" s="11"/>
      <c r="M768" s="11" t="s">
        <v>3803</v>
      </c>
      <c r="N768" s="11"/>
      <c r="O768" s="11"/>
      <c r="P768" s="11"/>
      <c r="Q768" s="11"/>
      <c r="R768" s="11"/>
      <c r="S768" s="11" t="s">
        <v>3803</v>
      </c>
    </row>
    <row r="769" spans="1:19" hidden="1" x14ac:dyDescent="0.15">
      <c r="A769" s="34">
        <v>768</v>
      </c>
      <c r="B769" s="35" t="s">
        <v>4883</v>
      </c>
      <c r="C769" s="36" t="s">
        <v>3773</v>
      </c>
      <c r="D769" s="11" t="s">
        <v>1606</v>
      </c>
      <c r="E769" s="11" t="s">
        <v>1451</v>
      </c>
      <c r="F769" s="11">
        <v>10</v>
      </c>
      <c r="G769" s="11" t="s">
        <v>973</v>
      </c>
      <c r="H769" s="11" t="s">
        <v>972</v>
      </c>
      <c r="I769" s="11" t="s">
        <v>339</v>
      </c>
      <c r="J769" s="11" t="s">
        <v>1484</v>
      </c>
      <c r="K769" s="11" t="s">
        <v>2802</v>
      </c>
      <c r="L769" s="11"/>
      <c r="M769" s="11" t="s">
        <v>351</v>
      </c>
      <c r="N769" s="11" t="s">
        <v>3804</v>
      </c>
      <c r="O769" s="11"/>
      <c r="P769" s="11"/>
      <c r="Q769" s="11">
        <v>3</v>
      </c>
      <c r="R769" s="11">
        <v>4</v>
      </c>
      <c r="S769" s="11" t="s">
        <v>3805</v>
      </c>
    </row>
    <row r="770" spans="1:19" hidden="1" x14ac:dyDescent="0.15">
      <c r="A770" s="34">
        <v>769</v>
      </c>
      <c r="B770" s="35" t="s">
        <v>4883</v>
      </c>
      <c r="C770" s="36" t="s">
        <v>3773</v>
      </c>
      <c r="D770" s="11" t="s">
        <v>1606</v>
      </c>
      <c r="E770" s="11" t="s">
        <v>1451</v>
      </c>
      <c r="F770" s="11">
        <v>14</v>
      </c>
      <c r="G770" s="11" t="s">
        <v>971</v>
      </c>
      <c r="H770" s="11" t="s">
        <v>970</v>
      </c>
      <c r="I770" s="11" t="s">
        <v>339</v>
      </c>
      <c r="J770" s="11" t="s">
        <v>3806</v>
      </c>
      <c r="K770" s="11"/>
      <c r="L770" s="11"/>
      <c r="M770" s="11" t="s">
        <v>3807</v>
      </c>
      <c r="N770" s="11" t="s">
        <v>3808</v>
      </c>
      <c r="O770" s="11"/>
      <c r="P770" s="11"/>
      <c r="Q770" s="11">
        <v>4</v>
      </c>
      <c r="R770" s="11">
        <v>4</v>
      </c>
      <c r="S770" s="11" t="s">
        <v>4796</v>
      </c>
    </row>
    <row r="771" spans="1:19" hidden="1" x14ac:dyDescent="0.15">
      <c r="A771" s="34">
        <v>770</v>
      </c>
      <c r="B771" s="35" t="s">
        <v>4883</v>
      </c>
      <c r="C771" s="36" t="s">
        <v>3773</v>
      </c>
      <c r="D771" s="11" t="s">
        <v>1606</v>
      </c>
      <c r="E771" s="11" t="s">
        <v>1451</v>
      </c>
      <c r="F771" s="11">
        <v>0</v>
      </c>
      <c r="G771" s="11" t="s">
        <v>852</v>
      </c>
      <c r="H771" s="11" t="s">
        <v>851</v>
      </c>
      <c r="I771" s="11" t="s">
        <v>339</v>
      </c>
      <c r="J771" s="11" t="s">
        <v>1435</v>
      </c>
      <c r="K771" s="11" t="s">
        <v>3806</v>
      </c>
      <c r="L771" s="11"/>
      <c r="M771" s="11" t="s">
        <v>3809</v>
      </c>
      <c r="N771" s="11" t="s">
        <v>3810</v>
      </c>
      <c r="O771" s="11"/>
      <c r="P771" s="11"/>
      <c r="Q771" s="11">
        <v>3</v>
      </c>
      <c r="R771" s="11">
        <v>4</v>
      </c>
      <c r="S771" s="11" t="s">
        <v>3811</v>
      </c>
    </row>
    <row r="772" spans="1:19" hidden="1" x14ac:dyDescent="0.15">
      <c r="A772" s="34">
        <v>771</v>
      </c>
      <c r="B772" s="35" t="s">
        <v>4883</v>
      </c>
      <c r="C772" s="36" t="s">
        <v>3773</v>
      </c>
      <c r="D772" s="11" t="s">
        <v>1606</v>
      </c>
      <c r="E772" s="11" t="s">
        <v>1451</v>
      </c>
      <c r="F772" s="11">
        <v>4</v>
      </c>
      <c r="G772" s="11" t="s">
        <v>969</v>
      </c>
      <c r="H772" s="11" t="s">
        <v>968</v>
      </c>
      <c r="I772" s="11" t="s">
        <v>1453</v>
      </c>
      <c r="J772" s="11"/>
      <c r="K772" s="11"/>
      <c r="L772" s="11"/>
      <c r="M772" s="11" t="s">
        <v>3508</v>
      </c>
      <c r="N772" s="11" t="s">
        <v>3812</v>
      </c>
      <c r="O772" s="11"/>
      <c r="P772" s="11"/>
      <c r="Q772" s="11"/>
      <c r="R772" s="11"/>
      <c r="S772" s="11" t="s">
        <v>3813</v>
      </c>
    </row>
    <row r="773" spans="1:19" hidden="1" x14ac:dyDescent="0.15">
      <c r="A773" s="34">
        <v>772</v>
      </c>
      <c r="B773" s="35" t="s">
        <v>4883</v>
      </c>
      <c r="C773" s="36" t="s">
        <v>3773</v>
      </c>
      <c r="D773" s="11" t="s">
        <v>1606</v>
      </c>
      <c r="E773" s="11" t="s">
        <v>1451</v>
      </c>
      <c r="F773" s="11">
        <v>9</v>
      </c>
      <c r="G773" s="11" t="s">
        <v>967</v>
      </c>
      <c r="H773" s="11" t="s">
        <v>966</v>
      </c>
      <c r="I773" s="11" t="s">
        <v>339</v>
      </c>
      <c r="J773" s="11" t="s">
        <v>2407</v>
      </c>
      <c r="K773" s="11"/>
      <c r="L773" s="11"/>
      <c r="M773" s="11" t="s">
        <v>351</v>
      </c>
      <c r="N773" s="11" t="s">
        <v>3814</v>
      </c>
      <c r="O773" s="11"/>
      <c r="P773" s="11"/>
      <c r="Q773" s="11">
        <v>4</v>
      </c>
      <c r="R773" s="11">
        <v>3</v>
      </c>
      <c r="S773" s="11" t="s">
        <v>3815</v>
      </c>
    </row>
    <row r="774" spans="1:19" hidden="1" x14ac:dyDescent="0.15">
      <c r="A774" s="34">
        <v>773</v>
      </c>
      <c r="B774" s="35" t="s">
        <v>4883</v>
      </c>
      <c r="C774" s="36" t="s">
        <v>3773</v>
      </c>
      <c r="D774" s="11" t="s">
        <v>1606</v>
      </c>
      <c r="E774" s="11" t="s">
        <v>1441</v>
      </c>
      <c r="F774" s="11">
        <v>9</v>
      </c>
      <c r="G774" s="11" t="s">
        <v>965</v>
      </c>
      <c r="H774" s="11" t="s">
        <v>964</v>
      </c>
      <c r="I774" s="11" t="s">
        <v>339</v>
      </c>
      <c r="J774" s="11" t="s">
        <v>1945</v>
      </c>
      <c r="K774" s="11" t="s">
        <v>2802</v>
      </c>
      <c r="L774" s="11"/>
      <c r="M774" s="11" t="s">
        <v>351</v>
      </c>
      <c r="N774" s="11" t="s">
        <v>3816</v>
      </c>
      <c r="O774" s="11" t="s">
        <v>3817</v>
      </c>
      <c r="P774" s="11"/>
      <c r="Q774" s="11">
        <v>6</v>
      </c>
      <c r="R774" s="11">
        <v>5</v>
      </c>
      <c r="S774" s="11" t="s">
        <v>3818</v>
      </c>
    </row>
    <row r="775" spans="1:19" hidden="1" x14ac:dyDescent="0.15">
      <c r="A775" s="34">
        <v>774</v>
      </c>
      <c r="B775" s="35" t="s">
        <v>4883</v>
      </c>
      <c r="C775" s="36" t="s">
        <v>3773</v>
      </c>
      <c r="D775" s="11" t="s">
        <v>1606</v>
      </c>
      <c r="E775" s="11" t="s">
        <v>1441</v>
      </c>
      <c r="F775" s="11">
        <v>0</v>
      </c>
      <c r="G775" s="11" t="s">
        <v>963</v>
      </c>
      <c r="H775" s="11" t="s">
        <v>962</v>
      </c>
      <c r="I775" s="11" t="s">
        <v>339</v>
      </c>
      <c r="J775" s="11" t="s">
        <v>1435</v>
      </c>
      <c r="K775" s="11" t="s">
        <v>1945</v>
      </c>
      <c r="L775" s="11"/>
      <c r="M775" s="11" t="s">
        <v>351</v>
      </c>
      <c r="N775" s="11" t="s">
        <v>3819</v>
      </c>
      <c r="O775" s="11" t="s">
        <v>3816</v>
      </c>
      <c r="P775" s="11"/>
      <c r="Q775" s="11">
        <v>6</v>
      </c>
      <c r="R775" s="11">
        <v>5</v>
      </c>
      <c r="S775" s="11" t="s">
        <v>3820</v>
      </c>
    </row>
    <row r="776" spans="1:19" hidden="1" x14ac:dyDescent="0.15">
      <c r="A776" s="34">
        <v>775</v>
      </c>
      <c r="B776" s="35" t="s">
        <v>4883</v>
      </c>
      <c r="C776" s="36" t="s">
        <v>3773</v>
      </c>
      <c r="D776" s="11" t="s">
        <v>1606</v>
      </c>
      <c r="E776" s="11" t="s">
        <v>1441</v>
      </c>
      <c r="F776" s="11">
        <v>7</v>
      </c>
      <c r="G776" s="11" t="s">
        <v>4902</v>
      </c>
      <c r="H776" s="11" t="s">
        <v>961</v>
      </c>
      <c r="I776" s="11" t="s">
        <v>339</v>
      </c>
      <c r="J776" s="11" t="s">
        <v>2407</v>
      </c>
      <c r="K776" s="11"/>
      <c r="L776" s="11"/>
      <c r="M776" s="11" t="s">
        <v>351</v>
      </c>
      <c r="N776" s="11" t="s">
        <v>3821</v>
      </c>
      <c r="O776" s="11"/>
      <c r="P776" s="11"/>
      <c r="Q776" s="11">
        <v>3</v>
      </c>
      <c r="R776" s="11">
        <v>3</v>
      </c>
      <c r="S776" s="11" t="s">
        <v>4901</v>
      </c>
    </row>
    <row r="777" spans="1:19" hidden="1" x14ac:dyDescent="0.15">
      <c r="A777" s="34">
        <v>776</v>
      </c>
      <c r="B777" s="35" t="s">
        <v>4883</v>
      </c>
      <c r="C777" s="36" t="s">
        <v>3773</v>
      </c>
      <c r="D777" s="11" t="s">
        <v>1606</v>
      </c>
      <c r="E777" s="11" t="s">
        <v>1441</v>
      </c>
      <c r="F777" s="11">
        <v>3</v>
      </c>
      <c r="G777" s="11" t="s">
        <v>960</v>
      </c>
      <c r="H777" s="11" t="s">
        <v>959</v>
      </c>
      <c r="I777" s="11" t="s">
        <v>1453</v>
      </c>
      <c r="J777" s="11"/>
      <c r="K777" s="11"/>
      <c r="L777" s="11"/>
      <c r="M777" s="11" t="s">
        <v>3822</v>
      </c>
      <c r="N777" s="11"/>
      <c r="O777" s="11"/>
      <c r="P777" s="11"/>
      <c r="Q777" s="11"/>
      <c r="R777" s="11"/>
      <c r="S777" s="11" t="s">
        <v>3822</v>
      </c>
    </row>
    <row r="778" spans="1:19" hidden="1" x14ac:dyDescent="0.15">
      <c r="A778" s="34">
        <v>777</v>
      </c>
      <c r="B778" s="35" t="s">
        <v>4883</v>
      </c>
      <c r="C778" s="36" t="s">
        <v>3773</v>
      </c>
      <c r="D778" s="11" t="s">
        <v>1606</v>
      </c>
      <c r="E778" s="11" t="s">
        <v>1441</v>
      </c>
      <c r="F778" s="11">
        <v>13</v>
      </c>
      <c r="G778" s="11" t="s">
        <v>958</v>
      </c>
      <c r="H778" s="11" t="s">
        <v>957</v>
      </c>
      <c r="I778" s="11" t="s">
        <v>339</v>
      </c>
      <c r="J778" s="11" t="s">
        <v>1489</v>
      </c>
      <c r="K778" s="11" t="s">
        <v>2802</v>
      </c>
      <c r="L778" s="11"/>
      <c r="M778" s="11" t="s">
        <v>3419</v>
      </c>
      <c r="N778" s="11" t="s">
        <v>3823</v>
      </c>
      <c r="O778" s="11" t="s">
        <v>3824</v>
      </c>
      <c r="P778" s="11"/>
      <c r="Q778" s="11">
        <v>5</v>
      </c>
      <c r="R778" s="11">
        <v>5</v>
      </c>
      <c r="S778" s="11" t="s">
        <v>3825</v>
      </c>
    </row>
    <row r="779" spans="1:19" hidden="1" x14ac:dyDescent="0.15">
      <c r="A779" s="34">
        <v>778</v>
      </c>
      <c r="B779" s="35" t="s">
        <v>4883</v>
      </c>
      <c r="C779" s="36" t="s">
        <v>3773</v>
      </c>
      <c r="D779" s="11" t="s">
        <v>1606</v>
      </c>
      <c r="E779" s="11" t="s">
        <v>1431</v>
      </c>
      <c r="F779" s="11">
        <v>8</v>
      </c>
      <c r="G779" s="11" t="s">
        <v>956</v>
      </c>
      <c r="H779" s="11" t="s">
        <v>955</v>
      </c>
      <c r="I779" s="11" t="s">
        <v>288</v>
      </c>
      <c r="J779" s="11"/>
      <c r="K779" s="11"/>
      <c r="L779" s="11"/>
      <c r="M779" s="11" t="s">
        <v>3826</v>
      </c>
      <c r="N779" s="11"/>
      <c r="O779" s="11"/>
      <c r="P779" s="11">
        <v>9</v>
      </c>
      <c r="Q779" s="11"/>
      <c r="R779" s="11"/>
      <c r="S779" s="11" t="s">
        <v>3826</v>
      </c>
    </row>
    <row r="780" spans="1:19" hidden="1" x14ac:dyDescent="0.15">
      <c r="A780" s="34">
        <v>779</v>
      </c>
      <c r="B780" s="35" t="s">
        <v>4883</v>
      </c>
      <c r="C780" s="36" t="s">
        <v>3773</v>
      </c>
      <c r="D780" s="11" t="s">
        <v>1582</v>
      </c>
      <c r="E780" s="11" t="s">
        <v>1451</v>
      </c>
      <c r="F780" s="11">
        <v>10</v>
      </c>
      <c r="G780" s="11" t="s">
        <v>954</v>
      </c>
      <c r="H780" s="11" t="s">
        <v>953</v>
      </c>
      <c r="I780" s="11" t="s">
        <v>339</v>
      </c>
      <c r="J780" s="11" t="s">
        <v>3827</v>
      </c>
      <c r="K780" s="11"/>
      <c r="L780" s="11"/>
      <c r="M780" s="11" t="s">
        <v>3828</v>
      </c>
      <c r="N780" s="11"/>
      <c r="O780" s="11"/>
      <c r="P780" s="11"/>
      <c r="Q780" s="11">
        <v>3</v>
      </c>
      <c r="R780" s="11">
        <v>2</v>
      </c>
      <c r="S780" s="11" t="s">
        <v>3828</v>
      </c>
    </row>
    <row r="781" spans="1:19" hidden="1" x14ac:dyDescent="0.15">
      <c r="A781" s="34">
        <v>780</v>
      </c>
      <c r="B781" s="35" t="s">
        <v>4883</v>
      </c>
      <c r="C781" s="36" t="s">
        <v>3773</v>
      </c>
      <c r="D781" s="11" t="s">
        <v>1582</v>
      </c>
      <c r="E781" s="11" t="s">
        <v>1451</v>
      </c>
      <c r="F781" s="11">
        <v>10</v>
      </c>
      <c r="G781" s="11" t="s">
        <v>952</v>
      </c>
      <c r="H781" s="11" t="s">
        <v>951</v>
      </c>
      <c r="I781" s="11" t="s">
        <v>339</v>
      </c>
      <c r="J781" s="11" t="s">
        <v>1489</v>
      </c>
      <c r="K781" s="11" t="s">
        <v>2938</v>
      </c>
      <c r="L781" s="11"/>
      <c r="M781" s="11" t="s">
        <v>3829</v>
      </c>
      <c r="N781" s="11"/>
      <c r="O781" s="11"/>
      <c r="P781" s="11"/>
      <c r="Q781" s="11">
        <v>3</v>
      </c>
      <c r="R781" s="11">
        <v>3</v>
      </c>
      <c r="S781" s="11" t="s">
        <v>3829</v>
      </c>
    </row>
    <row r="782" spans="1:19" hidden="1" x14ac:dyDescent="0.15">
      <c r="A782" s="34">
        <v>781</v>
      </c>
      <c r="B782" s="35" t="s">
        <v>4883</v>
      </c>
      <c r="C782" s="36" t="s">
        <v>3773</v>
      </c>
      <c r="D782" s="11" t="s">
        <v>1582</v>
      </c>
      <c r="E782" s="11" t="s">
        <v>1451</v>
      </c>
      <c r="F782" s="11">
        <v>0</v>
      </c>
      <c r="G782" s="11" t="s">
        <v>850</v>
      </c>
      <c r="H782" s="11" t="s">
        <v>849</v>
      </c>
      <c r="I782" s="11" t="s">
        <v>339</v>
      </c>
      <c r="J782" s="11" t="s">
        <v>1435</v>
      </c>
      <c r="K782" s="11" t="s">
        <v>2802</v>
      </c>
      <c r="L782" s="11"/>
      <c r="M782" s="11" t="s">
        <v>2755</v>
      </c>
      <c r="N782" s="11" t="s">
        <v>3801</v>
      </c>
      <c r="O782" s="11" t="s">
        <v>3830</v>
      </c>
      <c r="P782" s="11"/>
      <c r="Q782" s="11">
        <v>3</v>
      </c>
      <c r="R782" s="11">
        <v>4</v>
      </c>
      <c r="S782" s="11" t="s">
        <v>3831</v>
      </c>
    </row>
    <row r="783" spans="1:19" hidden="1" x14ac:dyDescent="0.15">
      <c r="A783" s="34">
        <v>782</v>
      </c>
      <c r="B783" s="35" t="s">
        <v>4883</v>
      </c>
      <c r="C783" s="36" t="s">
        <v>3773</v>
      </c>
      <c r="D783" s="11" t="s">
        <v>1582</v>
      </c>
      <c r="E783" s="11" t="s">
        <v>1451</v>
      </c>
      <c r="F783" s="11">
        <v>3</v>
      </c>
      <c r="G783" s="11" t="s">
        <v>950</v>
      </c>
      <c r="H783" s="11" t="s">
        <v>949</v>
      </c>
      <c r="I783" s="11" t="s">
        <v>1453</v>
      </c>
      <c r="J783" s="11"/>
      <c r="K783" s="11"/>
      <c r="L783" s="11"/>
      <c r="M783" s="11" t="s">
        <v>3832</v>
      </c>
      <c r="N783" s="11" t="s">
        <v>3833</v>
      </c>
      <c r="O783" s="11"/>
      <c r="P783" s="11"/>
      <c r="Q783" s="11"/>
      <c r="R783" s="11"/>
      <c r="S783" s="11" t="s">
        <v>3834</v>
      </c>
    </row>
    <row r="784" spans="1:19" hidden="1" x14ac:dyDescent="0.15">
      <c r="A784" s="34">
        <v>783</v>
      </c>
      <c r="B784" s="35" t="s">
        <v>4883</v>
      </c>
      <c r="C784" s="36" t="s">
        <v>3773</v>
      </c>
      <c r="D784" s="11" t="s">
        <v>1582</v>
      </c>
      <c r="E784" s="11" t="s">
        <v>1451</v>
      </c>
      <c r="F784" s="11">
        <v>11</v>
      </c>
      <c r="G784" s="11" t="s">
        <v>948</v>
      </c>
      <c r="H784" s="11" t="s">
        <v>947</v>
      </c>
      <c r="I784" s="11" t="s">
        <v>288</v>
      </c>
      <c r="J784" s="11"/>
      <c r="K784" s="11"/>
      <c r="L784" s="11"/>
      <c r="M784" s="11" t="s">
        <v>3835</v>
      </c>
      <c r="N784" s="11" t="s">
        <v>3836</v>
      </c>
      <c r="O784" s="11"/>
      <c r="P784" s="11">
        <v>3</v>
      </c>
      <c r="Q784" s="11"/>
      <c r="R784" s="11"/>
      <c r="S784" s="11" t="s">
        <v>3837</v>
      </c>
    </row>
    <row r="785" spans="1:19" hidden="1" x14ac:dyDescent="0.15">
      <c r="A785" s="34">
        <v>784</v>
      </c>
      <c r="B785" s="35" t="s">
        <v>4883</v>
      </c>
      <c r="C785" s="36" t="s">
        <v>3773</v>
      </c>
      <c r="D785" s="11" t="s">
        <v>1582</v>
      </c>
      <c r="E785" s="11" t="s">
        <v>1451</v>
      </c>
      <c r="F785" s="11">
        <v>10</v>
      </c>
      <c r="G785" s="11" t="s">
        <v>946</v>
      </c>
      <c r="H785" s="11" t="s">
        <v>945</v>
      </c>
      <c r="I785" s="11" t="s">
        <v>1453</v>
      </c>
      <c r="J785" s="11"/>
      <c r="K785" s="11"/>
      <c r="L785" s="11"/>
      <c r="M785" s="11" t="s">
        <v>3838</v>
      </c>
      <c r="N785" s="11"/>
      <c r="O785" s="11"/>
      <c r="P785" s="11"/>
      <c r="Q785" s="11"/>
      <c r="R785" s="11"/>
      <c r="S785" s="11" t="s">
        <v>3838</v>
      </c>
    </row>
    <row r="786" spans="1:19" hidden="1" x14ac:dyDescent="0.15">
      <c r="A786" s="34">
        <v>785</v>
      </c>
      <c r="B786" s="35" t="s">
        <v>4883</v>
      </c>
      <c r="C786" s="36" t="s">
        <v>3773</v>
      </c>
      <c r="D786" s="11" t="s">
        <v>1582</v>
      </c>
      <c r="E786" s="11" t="s">
        <v>1441</v>
      </c>
      <c r="F786" s="11">
        <v>14</v>
      </c>
      <c r="G786" s="11" t="s">
        <v>944</v>
      </c>
      <c r="H786" s="11" t="s">
        <v>943</v>
      </c>
      <c r="I786" s="11" t="s">
        <v>339</v>
      </c>
      <c r="J786" s="11" t="s">
        <v>1494</v>
      </c>
      <c r="K786" s="11" t="s">
        <v>2802</v>
      </c>
      <c r="L786" s="11"/>
      <c r="M786" s="11" t="s">
        <v>351</v>
      </c>
      <c r="N786" s="11" t="s">
        <v>3508</v>
      </c>
      <c r="O786" s="11" t="s">
        <v>3839</v>
      </c>
      <c r="P786" s="11"/>
      <c r="Q786" s="11">
        <v>6</v>
      </c>
      <c r="R786" s="11">
        <v>6</v>
      </c>
      <c r="S786" s="11" t="s">
        <v>3840</v>
      </c>
    </row>
    <row r="787" spans="1:19" hidden="1" x14ac:dyDescent="0.15">
      <c r="A787" s="34">
        <v>786</v>
      </c>
      <c r="B787" s="35" t="s">
        <v>4883</v>
      </c>
      <c r="C787" s="36" t="s">
        <v>3773</v>
      </c>
      <c r="D787" s="11" t="s">
        <v>1582</v>
      </c>
      <c r="E787" s="11" t="s">
        <v>1441</v>
      </c>
      <c r="F787" s="11">
        <v>0</v>
      </c>
      <c r="G787" s="11" t="s">
        <v>848</v>
      </c>
      <c r="H787" s="11" t="s">
        <v>847</v>
      </c>
      <c r="I787" s="11" t="s">
        <v>339</v>
      </c>
      <c r="J787" s="11" t="s">
        <v>1435</v>
      </c>
      <c r="K787" s="11" t="s">
        <v>1494</v>
      </c>
      <c r="L787" s="11"/>
      <c r="M787" s="11" t="s">
        <v>351</v>
      </c>
      <c r="N787" s="11" t="s">
        <v>3841</v>
      </c>
      <c r="O787" s="11"/>
      <c r="P787" s="11"/>
      <c r="Q787" s="11">
        <v>6</v>
      </c>
      <c r="R787" s="11">
        <v>5</v>
      </c>
      <c r="S787" s="11" t="s">
        <v>3842</v>
      </c>
    </row>
    <row r="788" spans="1:19" hidden="1" x14ac:dyDescent="0.15">
      <c r="A788" s="34">
        <v>787</v>
      </c>
      <c r="B788" s="35" t="s">
        <v>4883</v>
      </c>
      <c r="C788" s="36" t="s">
        <v>3773</v>
      </c>
      <c r="D788" s="11" t="s">
        <v>1582</v>
      </c>
      <c r="E788" s="11" t="s">
        <v>1441</v>
      </c>
      <c r="F788" s="11">
        <v>9</v>
      </c>
      <c r="G788" s="11" t="s">
        <v>942</v>
      </c>
      <c r="H788" s="11" t="s">
        <v>941</v>
      </c>
      <c r="I788" s="11" t="s">
        <v>339</v>
      </c>
      <c r="J788" s="11" t="s">
        <v>1484</v>
      </c>
      <c r="K788" s="11"/>
      <c r="L788" s="11"/>
      <c r="M788" s="11" t="s">
        <v>3843</v>
      </c>
      <c r="N788" s="11"/>
      <c r="O788" s="11"/>
      <c r="P788" s="11"/>
      <c r="Q788" s="11">
        <v>6</v>
      </c>
      <c r="R788" s="11">
        <v>6</v>
      </c>
      <c r="S788" s="11" t="s">
        <v>3843</v>
      </c>
    </row>
    <row r="789" spans="1:19" hidden="1" x14ac:dyDescent="0.15">
      <c r="A789" s="34">
        <v>788</v>
      </c>
      <c r="B789" s="35" t="s">
        <v>4883</v>
      </c>
      <c r="C789" s="36" t="s">
        <v>3773</v>
      </c>
      <c r="D789" s="11" t="s">
        <v>1582</v>
      </c>
      <c r="E789" s="11" t="s">
        <v>1441</v>
      </c>
      <c r="F789" s="11">
        <v>14</v>
      </c>
      <c r="G789" s="11" t="s">
        <v>940</v>
      </c>
      <c r="H789" s="11" t="s">
        <v>939</v>
      </c>
      <c r="I789" s="11" t="s">
        <v>339</v>
      </c>
      <c r="J789" s="11" t="s">
        <v>1494</v>
      </c>
      <c r="K789" s="11" t="s">
        <v>2802</v>
      </c>
      <c r="L789" s="11"/>
      <c r="M789" s="11" t="s">
        <v>3844</v>
      </c>
      <c r="N789" s="11"/>
      <c r="O789" s="11"/>
      <c r="P789" s="11"/>
      <c r="Q789" s="11">
        <v>6</v>
      </c>
      <c r="R789" s="11">
        <v>6</v>
      </c>
      <c r="S789" s="11" t="s">
        <v>3844</v>
      </c>
    </row>
    <row r="790" spans="1:19" hidden="1" x14ac:dyDescent="0.15">
      <c r="A790" s="34">
        <v>789</v>
      </c>
      <c r="B790" s="35" t="s">
        <v>4883</v>
      </c>
      <c r="C790" s="36" t="s">
        <v>3773</v>
      </c>
      <c r="D790" s="11" t="s">
        <v>1582</v>
      </c>
      <c r="E790" s="11" t="s">
        <v>1441</v>
      </c>
      <c r="F790" s="11">
        <v>11</v>
      </c>
      <c r="G790" s="11" t="s">
        <v>938</v>
      </c>
      <c r="H790" s="11" t="s">
        <v>937</v>
      </c>
      <c r="I790" s="11" t="s">
        <v>288</v>
      </c>
      <c r="J790" s="11"/>
      <c r="K790" s="11"/>
      <c r="L790" s="11"/>
      <c r="M790" s="11" t="s">
        <v>3845</v>
      </c>
      <c r="N790" s="11" t="s">
        <v>3846</v>
      </c>
      <c r="O790" s="11"/>
      <c r="P790" s="11">
        <v>3</v>
      </c>
      <c r="Q790" s="11"/>
      <c r="R790" s="11"/>
      <c r="S790" s="11" t="s">
        <v>3847</v>
      </c>
    </row>
    <row r="791" spans="1:19" hidden="1" x14ac:dyDescent="0.15">
      <c r="A791" s="34">
        <v>790</v>
      </c>
      <c r="B791" s="35" t="s">
        <v>4883</v>
      </c>
      <c r="C791" s="36" t="s">
        <v>3773</v>
      </c>
      <c r="D791" s="11" t="s">
        <v>1582</v>
      </c>
      <c r="E791" s="11" t="s">
        <v>1431</v>
      </c>
      <c r="F791" s="11">
        <v>18</v>
      </c>
      <c r="G791" s="11" t="s">
        <v>936</v>
      </c>
      <c r="H791" s="11" t="s">
        <v>935</v>
      </c>
      <c r="I791" s="11" t="s">
        <v>339</v>
      </c>
      <c r="J791" s="11" t="s">
        <v>3848</v>
      </c>
      <c r="K791" s="11"/>
      <c r="L791" s="11"/>
      <c r="M791" s="11" t="s">
        <v>2595</v>
      </c>
      <c r="N791" s="11" t="s">
        <v>3849</v>
      </c>
      <c r="O791" s="11"/>
      <c r="P791" s="11"/>
      <c r="Q791" s="11">
        <v>1</v>
      </c>
      <c r="R791" s="11">
        <v>13</v>
      </c>
      <c r="S791" s="11" t="s">
        <v>3850</v>
      </c>
    </row>
    <row r="792" spans="1:19" hidden="1" x14ac:dyDescent="0.15">
      <c r="A792" s="34">
        <v>791</v>
      </c>
      <c r="B792" s="35" t="s">
        <v>4883</v>
      </c>
      <c r="C792" s="36" t="s">
        <v>3773</v>
      </c>
      <c r="D792" s="11" t="s">
        <v>1552</v>
      </c>
      <c r="E792" s="11" t="s">
        <v>1451</v>
      </c>
      <c r="F792" s="11">
        <v>15</v>
      </c>
      <c r="G792" s="11" t="s">
        <v>934</v>
      </c>
      <c r="H792" s="11" t="s">
        <v>933</v>
      </c>
      <c r="I792" s="11" t="s">
        <v>339</v>
      </c>
      <c r="J792" s="11" t="s">
        <v>3605</v>
      </c>
      <c r="K792" s="11" t="s">
        <v>2802</v>
      </c>
      <c r="L792" s="11"/>
      <c r="M792" s="11" t="s">
        <v>3851</v>
      </c>
      <c r="N792" s="11" t="s">
        <v>3852</v>
      </c>
      <c r="O792" s="11"/>
      <c r="P792" s="11"/>
      <c r="Q792" s="11">
        <v>5</v>
      </c>
      <c r="R792" s="11">
        <v>4</v>
      </c>
      <c r="S792" s="11" t="s">
        <v>3853</v>
      </c>
    </row>
    <row r="793" spans="1:19" hidden="1" x14ac:dyDescent="0.15">
      <c r="A793" s="34">
        <v>792</v>
      </c>
      <c r="B793" s="35" t="s">
        <v>4883</v>
      </c>
      <c r="C793" s="36" t="s">
        <v>3773</v>
      </c>
      <c r="D793" s="11" t="s">
        <v>1552</v>
      </c>
      <c r="E793" s="11" t="s">
        <v>1451</v>
      </c>
      <c r="F793" s="11">
        <v>0</v>
      </c>
      <c r="G793" s="11" t="s">
        <v>846</v>
      </c>
      <c r="H793" s="11" t="s">
        <v>845</v>
      </c>
      <c r="I793" s="11" t="s">
        <v>339</v>
      </c>
      <c r="J793" s="11" t="s">
        <v>1435</v>
      </c>
      <c r="K793" s="11" t="s">
        <v>3605</v>
      </c>
      <c r="L793" s="11"/>
      <c r="M793" s="11" t="s">
        <v>3854</v>
      </c>
      <c r="N793" s="11"/>
      <c r="O793" s="11"/>
      <c r="P793" s="11"/>
      <c r="Q793" s="11">
        <v>5</v>
      </c>
      <c r="R793" s="11">
        <v>4</v>
      </c>
      <c r="S793" s="11" t="s">
        <v>3854</v>
      </c>
    </row>
    <row r="794" spans="1:19" hidden="1" x14ac:dyDescent="0.15">
      <c r="A794" s="34">
        <v>793</v>
      </c>
      <c r="B794" s="35" t="s">
        <v>4883</v>
      </c>
      <c r="C794" s="36" t="s">
        <v>3773</v>
      </c>
      <c r="D794" s="11" t="s">
        <v>1552</v>
      </c>
      <c r="E794" s="11" t="s">
        <v>1451</v>
      </c>
      <c r="F794" s="11">
        <v>10</v>
      </c>
      <c r="G794" s="11" t="s">
        <v>932</v>
      </c>
      <c r="H794" s="11" t="s">
        <v>931</v>
      </c>
      <c r="I794" s="11" t="s">
        <v>339</v>
      </c>
      <c r="J794" s="11" t="s">
        <v>1494</v>
      </c>
      <c r="K794" s="11" t="s">
        <v>1738</v>
      </c>
      <c r="L794" s="11"/>
      <c r="M794" s="11" t="s">
        <v>3218</v>
      </c>
      <c r="N794" s="11" t="s">
        <v>3855</v>
      </c>
      <c r="O794" s="11"/>
      <c r="P794" s="11"/>
      <c r="Q794" s="11">
        <v>3</v>
      </c>
      <c r="R794" s="11">
        <v>4</v>
      </c>
      <c r="S794" s="11" t="s">
        <v>3856</v>
      </c>
    </row>
    <row r="795" spans="1:19" hidden="1" x14ac:dyDescent="0.15">
      <c r="A795" s="34">
        <v>794</v>
      </c>
      <c r="B795" s="35" t="s">
        <v>4883</v>
      </c>
      <c r="C795" s="36" t="s">
        <v>3773</v>
      </c>
      <c r="D795" s="11" t="s">
        <v>1552</v>
      </c>
      <c r="E795" s="11" t="s">
        <v>1451</v>
      </c>
      <c r="F795" s="11">
        <v>15</v>
      </c>
      <c r="G795" s="11" t="s">
        <v>930</v>
      </c>
      <c r="H795" s="11" t="s">
        <v>929</v>
      </c>
      <c r="I795" s="11" t="s">
        <v>339</v>
      </c>
      <c r="J795" s="11" t="s">
        <v>1489</v>
      </c>
      <c r="K795" s="11" t="s">
        <v>1867</v>
      </c>
      <c r="L795" s="11"/>
      <c r="M795" s="11" t="s">
        <v>1944</v>
      </c>
      <c r="N795" s="11" t="s">
        <v>3857</v>
      </c>
      <c r="O795" s="11"/>
      <c r="P795" s="11"/>
      <c r="Q795" s="11">
        <v>1</v>
      </c>
      <c r="R795" s="11">
        <v>4</v>
      </c>
      <c r="S795" s="11" t="s">
        <v>3858</v>
      </c>
    </row>
    <row r="796" spans="1:19" hidden="1" x14ac:dyDescent="0.15">
      <c r="A796" s="34">
        <v>795</v>
      </c>
      <c r="B796" s="35" t="s">
        <v>4883</v>
      </c>
      <c r="C796" s="36" t="s">
        <v>3773</v>
      </c>
      <c r="D796" s="11" t="s">
        <v>1552</v>
      </c>
      <c r="E796" s="11" t="s">
        <v>1451</v>
      </c>
      <c r="F796" s="11">
        <v>4</v>
      </c>
      <c r="G796" s="11" t="s">
        <v>928</v>
      </c>
      <c r="H796" s="11" t="s">
        <v>927</v>
      </c>
      <c r="I796" s="11" t="s">
        <v>1453</v>
      </c>
      <c r="J796" s="11"/>
      <c r="K796" s="11"/>
      <c r="L796" s="11"/>
      <c r="M796" s="11" t="s">
        <v>3859</v>
      </c>
      <c r="N796" s="11"/>
      <c r="O796" s="11"/>
      <c r="P796" s="11"/>
      <c r="Q796" s="11"/>
      <c r="R796" s="11"/>
      <c r="S796" s="11" t="s">
        <v>3859</v>
      </c>
    </row>
    <row r="797" spans="1:19" hidden="1" x14ac:dyDescent="0.15">
      <c r="A797" s="34">
        <v>796</v>
      </c>
      <c r="B797" s="35" t="s">
        <v>4883</v>
      </c>
      <c r="C797" s="36" t="s">
        <v>3773</v>
      </c>
      <c r="D797" s="11" t="s">
        <v>1552</v>
      </c>
      <c r="E797" s="11" t="s">
        <v>1451</v>
      </c>
      <c r="F797" s="11">
        <v>14</v>
      </c>
      <c r="G797" s="11" t="s">
        <v>926</v>
      </c>
      <c r="H797" s="11" t="s">
        <v>925</v>
      </c>
      <c r="I797" s="11" t="s">
        <v>339</v>
      </c>
      <c r="J797" s="11" t="s">
        <v>3605</v>
      </c>
      <c r="K797" s="11" t="s">
        <v>2802</v>
      </c>
      <c r="L797" s="11"/>
      <c r="M797" s="11" t="s">
        <v>3860</v>
      </c>
      <c r="N797" s="11" t="s">
        <v>3861</v>
      </c>
      <c r="O797" s="11"/>
      <c r="P797" s="11"/>
      <c r="Q797" s="11">
        <v>3</v>
      </c>
      <c r="R797" s="11">
        <v>2</v>
      </c>
      <c r="S797" s="11" t="s">
        <v>3862</v>
      </c>
    </row>
    <row r="798" spans="1:19" hidden="1" x14ac:dyDescent="0.15">
      <c r="A798" s="34">
        <v>797</v>
      </c>
      <c r="B798" s="35" t="s">
        <v>4883</v>
      </c>
      <c r="C798" s="36" t="s">
        <v>3773</v>
      </c>
      <c r="D798" s="11" t="s">
        <v>1552</v>
      </c>
      <c r="E798" s="11" t="s">
        <v>1451</v>
      </c>
      <c r="F798" s="11">
        <v>0</v>
      </c>
      <c r="G798" s="11" t="s">
        <v>844</v>
      </c>
      <c r="H798" s="11" t="s">
        <v>843</v>
      </c>
      <c r="I798" s="11" t="s">
        <v>339</v>
      </c>
      <c r="J798" s="11" t="s">
        <v>1435</v>
      </c>
      <c r="K798" s="11" t="s">
        <v>3605</v>
      </c>
      <c r="L798" s="11"/>
      <c r="M798" s="11" t="s">
        <v>3863</v>
      </c>
      <c r="N798" s="11"/>
      <c r="O798" s="11"/>
      <c r="P798" s="11"/>
      <c r="Q798" s="11">
        <v>6</v>
      </c>
      <c r="R798" s="11">
        <v>4</v>
      </c>
      <c r="S798" s="11" t="s">
        <v>3863</v>
      </c>
    </row>
    <row r="799" spans="1:19" hidden="1" x14ac:dyDescent="0.15">
      <c r="A799" s="34">
        <v>798</v>
      </c>
      <c r="B799" s="35" t="s">
        <v>4883</v>
      </c>
      <c r="C799" s="36" t="s">
        <v>3773</v>
      </c>
      <c r="D799" s="11" t="s">
        <v>1552</v>
      </c>
      <c r="E799" s="11" t="s">
        <v>1441</v>
      </c>
      <c r="F799" s="11">
        <v>17</v>
      </c>
      <c r="G799" s="11" t="s">
        <v>924</v>
      </c>
      <c r="H799" s="11" t="s">
        <v>923</v>
      </c>
      <c r="I799" s="11" t="s">
        <v>339</v>
      </c>
      <c r="J799" s="11" t="s">
        <v>2604</v>
      </c>
      <c r="K799" s="11"/>
      <c r="L799" s="11"/>
      <c r="M799" s="11" t="s">
        <v>2595</v>
      </c>
      <c r="N799" s="11" t="s">
        <v>3864</v>
      </c>
      <c r="O799" s="11"/>
      <c r="P799" s="11"/>
      <c r="Q799" s="11">
        <v>6</v>
      </c>
      <c r="R799" s="11">
        <v>6</v>
      </c>
      <c r="S799" s="11" t="s">
        <v>3865</v>
      </c>
    </row>
    <row r="800" spans="1:19" hidden="1" x14ac:dyDescent="0.15">
      <c r="A800" s="34">
        <v>799</v>
      </c>
      <c r="B800" s="35" t="s">
        <v>4883</v>
      </c>
      <c r="C800" s="36" t="s">
        <v>3773</v>
      </c>
      <c r="D800" s="11" t="s">
        <v>1552</v>
      </c>
      <c r="E800" s="11" t="s">
        <v>1441</v>
      </c>
      <c r="F800" s="11">
        <v>3</v>
      </c>
      <c r="G800" s="11" t="s">
        <v>922</v>
      </c>
      <c r="H800" s="11" t="s">
        <v>921</v>
      </c>
      <c r="I800" s="11" t="s">
        <v>339</v>
      </c>
      <c r="J800" s="11" t="s">
        <v>3609</v>
      </c>
      <c r="K800" s="11"/>
      <c r="L800" s="11"/>
      <c r="M800" s="11" t="s">
        <v>3866</v>
      </c>
      <c r="N800" s="11" t="s">
        <v>3867</v>
      </c>
      <c r="O800" s="11" t="s">
        <v>3868</v>
      </c>
      <c r="P800" s="11"/>
      <c r="Q800" s="11">
        <v>6</v>
      </c>
      <c r="R800" s="11">
        <v>1</v>
      </c>
      <c r="S800" s="11" t="s">
        <v>3869</v>
      </c>
    </row>
    <row r="801" spans="1:19" hidden="1" x14ac:dyDescent="0.15">
      <c r="A801" s="34">
        <v>800</v>
      </c>
      <c r="B801" s="35" t="s">
        <v>4883</v>
      </c>
      <c r="C801" s="36" t="s">
        <v>3773</v>
      </c>
      <c r="D801" s="11" t="s">
        <v>1552</v>
      </c>
      <c r="E801" s="11" t="s">
        <v>1441</v>
      </c>
      <c r="F801" s="11">
        <v>13</v>
      </c>
      <c r="G801" s="11" t="s">
        <v>920</v>
      </c>
      <c r="H801" s="11" t="s">
        <v>919</v>
      </c>
      <c r="I801" s="11" t="s">
        <v>339</v>
      </c>
      <c r="J801" s="11" t="s">
        <v>3609</v>
      </c>
      <c r="K801" s="11" t="s">
        <v>2802</v>
      </c>
      <c r="L801" s="11"/>
      <c r="M801" s="11" t="s">
        <v>1488</v>
      </c>
      <c r="N801" s="11" t="s">
        <v>3870</v>
      </c>
      <c r="O801" s="11"/>
      <c r="P801" s="11"/>
      <c r="Q801" s="11">
        <v>5</v>
      </c>
      <c r="R801" s="11">
        <v>6</v>
      </c>
      <c r="S801" s="11" t="s">
        <v>3871</v>
      </c>
    </row>
    <row r="802" spans="1:19" hidden="1" x14ac:dyDescent="0.15">
      <c r="A802" s="34">
        <v>801</v>
      </c>
      <c r="B802" s="35" t="s">
        <v>4883</v>
      </c>
      <c r="C802" s="36" t="s">
        <v>3773</v>
      </c>
      <c r="D802" s="11" t="s">
        <v>1552</v>
      </c>
      <c r="E802" s="11" t="s">
        <v>1441</v>
      </c>
      <c r="F802" s="11">
        <v>15</v>
      </c>
      <c r="G802" s="11" t="s">
        <v>918</v>
      </c>
      <c r="H802" s="11" t="s">
        <v>917</v>
      </c>
      <c r="I802" s="11" t="s">
        <v>339</v>
      </c>
      <c r="J802" s="11" t="s">
        <v>1489</v>
      </c>
      <c r="K802" s="11" t="s">
        <v>1799</v>
      </c>
      <c r="L802" s="11"/>
      <c r="M802" s="11" t="s">
        <v>3872</v>
      </c>
      <c r="N802" s="11" t="s">
        <v>3873</v>
      </c>
      <c r="O802" s="11"/>
      <c r="P802" s="11"/>
      <c r="Q802" s="11">
        <v>5</v>
      </c>
      <c r="R802" s="11">
        <v>6</v>
      </c>
      <c r="S802" s="11" t="s">
        <v>3874</v>
      </c>
    </row>
    <row r="803" spans="1:19" hidden="1" x14ac:dyDescent="0.15">
      <c r="A803" s="34">
        <v>802</v>
      </c>
      <c r="B803" s="35" t="s">
        <v>4883</v>
      </c>
      <c r="C803" s="36" t="s">
        <v>3773</v>
      </c>
      <c r="D803" s="11" t="s">
        <v>1552</v>
      </c>
      <c r="E803" s="11" t="s">
        <v>1441</v>
      </c>
      <c r="F803" s="11">
        <v>17</v>
      </c>
      <c r="G803" s="11" t="s">
        <v>916</v>
      </c>
      <c r="H803" s="11" t="s">
        <v>915</v>
      </c>
      <c r="I803" s="11" t="s">
        <v>339</v>
      </c>
      <c r="J803" s="11" t="s">
        <v>1533</v>
      </c>
      <c r="K803" s="11"/>
      <c r="L803" s="11"/>
      <c r="M803" s="11" t="s">
        <v>3875</v>
      </c>
      <c r="N803" s="11" t="s">
        <v>3876</v>
      </c>
      <c r="O803" s="11"/>
      <c r="P803" s="11"/>
      <c r="Q803" s="11">
        <v>1</v>
      </c>
      <c r="R803" s="11">
        <v>11</v>
      </c>
      <c r="S803" s="11" t="s">
        <v>3877</v>
      </c>
    </row>
    <row r="804" spans="1:19" hidden="1" x14ac:dyDescent="0.15">
      <c r="A804" s="34">
        <v>803</v>
      </c>
      <c r="B804" s="35" t="s">
        <v>4883</v>
      </c>
      <c r="C804" s="36" t="s">
        <v>3773</v>
      </c>
      <c r="D804" s="11" t="s">
        <v>1552</v>
      </c>
      <c r="E804" s="11" t="s">
        <v>1441</v>
      </c>
      <c r="F804" s="11">
        <v>0</v>
      </c>
      <c r="G804" s="11" t="s">
        <v>842</v>
      </c>
      <c r="H804" s="11" t="s">
        <v>841</v>
      </c>
      <c r="I804" s="11" t="s">
        <v>339</v>
      </c>
      <c r="J804" s="11" t="s">
        <v>1435</v>
      </c>
      <c r="K804" s="11" t="s">
        <v>3690</v>
      </c>
      <c r="L804" s="11"/>
      <c r="M804" s="11" t="s">
        <v>3866</v>
      </c>
      <c r="N804" s="11" t="s">
        <v>3801</v>
      </c>
      <c r="O804" s="11" t="s">
        <v>3878</v>
      </c>
      <c r="P804" s="11"/>
      <c r="Q804" s="11">
        <v>8</v>
      </c>
      <c r="R804" s="11">
        <v>8</v>
      </c>
      <c r="S804" s="11" t="s">
        <v>3879</v>
      </c>
    </row>
    <row r="805" spans="1:19" hidden="1" x14ac:dyDescent="0.15">
      <c r="A805" s="34">
        <v>804</v>
      </c>
      <c r="B805" s="35" t="s">
        <v>4883</v>
      </c>
      <c r="C805" s="36" t="s">
        <v>3773</v>
      </c>
      <c r="D805" s="11" t="s">
        <v>1552</v>
      </c>
      <c r="E805" s="11" t="s">
        <v>1431</v>
      </c>
      <c r="F805" s="11">
        <v>20</v>
      </c>
      <c r="G805" s="11" t="s">
        <v>914</v>
      </c>
      <c r="H805" s="11" t="s">
        <v>913</v>
      </c>
      <c r="I805" s="11" t="s">
        <v>339</v>
      </c>
      <c r="J805" s="11" t="s">
        <v>1555</v>
      </c>
      <c r="K805" s="11"/>
      <c r="L805" s="11"/>
      <c r="M805" s="11" t="s">
        <v>351</v>
      </c>
      <c r="N805" s="11" t="s">
        <v>3880</v>
      </c>
      <c r="O805" s="11"/>
      <c r="P805" s="11"/>
      <c r="Q805" s="11">
        <v>7</v>
      </c>
      <c r="R805" s="11">
        <v>8</v>
      </c>
      <c r="S805" s="11" t="s">
        <v>3881</v>
      </c>
    </row>
    <row r="806" spans="1:19" hidden="1" x14ac:dyDescent="0.15">
      <c r="A806" s="34">
        <v>805</v>
      </c>
      <c r="B806" s="35" t="s">
        <v>4883</v>
      </c>
      <c r="C806" s="36" t="s">
        <v>3773</v>
      </c>
      <c r="D806" s="11" t="s">
        <v>1552</v>
      </c>
      <c r="E806" s="11" t="s">
        <v>1431</v>
      </c>
      <c r="F806" s="11">
        <v>8</v>
      </c>
      <c r="G806" s="11" t="s">
        <v>912</v>
      </c>
      <c r="H806" s="11" t="s">
        <v>911</v>
      </c>
      <c r="I806" s="11" t="s">
        <v>1453</v>
      </c>
      <c r="J806" s="11"/>
      <c r="K806" s="11"/>
      <c r="L806" s="11"/>
      <c r="M806" s="11" t="s">
        <v>3882</v>
      </c>
      <c r="N806" s="11"/>
      <c r="O806" s="11"/>
      <c r="P806" s="11"/>
      <c r="Q806" s="11"/>
      <c r="R806" s="11"/>
      <c r="S806" s="11" t="s">
        <v>3882</v>
      </c>
    </row>
    <row r="807" spans="1:19" hidden="1" x14ac:dyDescent="0.15">
      <c r="A807" s="34">
        <v>806</v>
      </c>
      <c r="B807" s="35" t="s">
        <v>4883</v>
      </c>
      <c r="C807" s="36" t="s">
        <v>3773</v>
      </c>
      <c r="D807" s="11" t="s">
        <v>1518</v>
      </c>
      <c r="E807" s="11" t="s">
        <v>1451</v>
      </c>
      <c r="F807" s="11">
        <v>8</v>
      </c>
      <c r="G807" s="11" t="s">
        <v>910</v>
      </c>
      <c r="H807" s="11" t="s">
        <v>909</v>
      </c>
      <c r="I807" s="11" t="s">
        <v>339</v>
      </c>
      <c r="J807" s="11" t="s">
        <v>3605</v>
      </c>
      <c r="K807" s="11" t="s">
        <v>2802</v>
      </c>
      <c r="L807" s="11"/>
      <c r="M807" s="11" t="s">
        <v>3851</v>
      </c>
      <c r="N807" s="11"/>
      <c r="O807" s="11"/>
      <c r="P807" s="11"/>
      <c r="Q807" s="11">
        <v>4</v>
      </c>
      <c r="R807" s="11">
        <v>3</v>
      </c>
      <c r="S807" s="11" t="s">
        <v>3851</v>
      </c>
    </row>
    <row r="808" spans="1:19" hidden="1" x14ac:dyDescent="0.15">
      <c r="A808" s="34">
        <v>807</v>
      </c>
      <c r="B808" s="35" t="s">
        <v>4883</v>
      </c>
      <c r="C808" s="36" t="s">
        <v>3773</v>
      </c>
      <c r="D808" s="11" t="s">
        <v>1518</v>
      </c>
      <c r="E808" s="11" t="s">
        <v>1451</v>
      </c>
      <c r="F808" s="11">
        <v>0</v>
      </c>
      <c r="G808" s="11" t="s">
        <v>840</v>
      </c>
      <c r="H808" s="11" t="s">
        <v>839</v>
      </c>
      <c r="I808" s="11" t="s">
        <v>339</v>
      </c>
      <c r="J808" s="11" t="s">
        <v>1435</v>
      </c>
      <c r="K808" s="11" t="s">
        <v>3605</v>
      </c>
      <c r="L808" s="11"/>
      <c r="M808" s="11" t="s">
        <v>2048</v>
      </c>
      <c r="N808" s="11"/>
      <c r="O808" s="11"/>
      <c r="P808" s="11"/>
      <c r="Q808" s="11">
        <v>4</v>
      </c>
      <c r="R808" s="11">
        <v>4</v>
      </c>
      <c r="S808" s="11" t="s">
        <v>2048</v>
      </c>
    </row>
    <row r="809" spans="1:19" hidden="1" x14ac:dyDescent="0.15">
      <c r="A809" s="34">
        <v>808</v>
      </c>
      <c r="B809" s="35" t="s">
        <v>4883</v>
      </c>
      <c r="C809" s="36" t="s">
        <v>3773</v>
      </c>
      <c r="D809" s="11" t="s">
        <v>1518</v>
      </c>
      <c r="E809" s="11" t="s">
        <v>1451</v>
      </c>
      <c r="F809" s="11">
        <v>7</v>
      </c>
      <c r="G809" s="11" t="s">
        <v>908</v>
      </c>
      <c r="H809" s="11" t="s">
        <v>907</v>
      </c>
      <c r="I809" s="11" t="s">
        <v>339</v>
      </c>
      <c r="J809" s="11" t="s">
        <v>1489</v>
      </c>
      <c r="K809" s="11" t="s">
        <v>2802</v>
      </c>
      <c r="L809" s="11"/>
      <c r="M809" s="11" t="s">
        <v>3883</v>
      </c>
      <c r="N809" s="11" t="s">
        <v>3884</v>
      </c>
      <c r="O809" s="11"/>
      <c r="P809" s="11"/>
      <c r="Q809" s="11">
        <v>1</v>
      </c>
      <c r="R809" s="11">
        <v>1</v>
      </c>
      <c r="S809" s="11" t="s">
        <v>3885</v>
      </c>
    </row>
    <row r="810" spans="1:19" hidden="1" x14ac:dyDescent="0.15">
      <c r="A810" s="34">
        <v>809</v>
      </c>
      <c r="B810" s="35" t="s">
        <v>4883</v>
      </c>
      <c r="C810" s="36" t="s">
        <v>3773</v>
      </c>
      <c r="D810" s="11" t="s">
        <v>1518</v>
      </c>
      <c r="E810" s="11" t="s">
        <v>1451</v>
      </c>
      <c r="F810" s="11">
        <v>11</v>
      </c>
      <c r="G810" s="11" t="s">
        <v>906</v>
      </c>
      <c r="H810" s="11" t="s">
        <v>905</v>
      </c>
      <c r="I810" s="11" t="s">
        <v>339</v>
      </c>
      <c r="J810" s="11" t="s">
        <v>3605</v>
      </c>
      <c r="K810" s="11" t="s">
        <v>2802</v>
      </c>
      <c r="L810" s="11"/>
      <c r="M810" s="11" t="s">
        <v>2595</v>
      </c>
      <c r="N810" s="11" t="s">
        <v>3463</v>
      </c>
      <c r="O810" s="11"/>
      <c r="P810" s="11"/>
      <c r="Q810" s="11">
        <v>2</v>
      </c>
      <c r="R810" s="11">
        <v>4</v>
      </c>
      <c r="S810" s="11" t="s">
        <v>3886</v>
      </c>
    </row>
    <row r="811" spans="1:19" hidden="1" x14ac:dyDescent="0.15">
      <c r="A811" s="34">
        <v>810</v>
      </c>
      <c r="B811" s="35" t="s">
        <v>4883</v>
      </c>
      <c r="C811" s="36" t="s">
        <v>3773</v>
      </c>
      <c r="D811" s="11" t="s">
        <v>1518</v>
      </c>
      <c r="E811" s="11" t="s">
        <v>1451</v>
      </c>
      <c r="F811" s="11">
        <v>0</v>
      </c>
      <c r="G811" s="11" t="s">
        <v>838</v>
      </c>
      <c r="H811" s="11" t="s">
        <v>837</v>
      </c>
      <c r="I811" s="11" t="s">
        <v>339</v>
      </c>
      <c r="J811" s="11" t="s">
        <v>1435</v>
      </c>
      <c r="K811" s="11" t="s">
        <v>3605</v>
      </c>
      <c r="L811" s="11"/>
      <c r="M811" s="11" t="s">
        <v>1944</v>
      </c>
      <c r="N811" s="11"/>
      <c r="O811" s="11"/>
      <c r="P811" s="11"/>
      <c r="Q811" s="11">
        <v>4</v>
      </c>
      <c r="R811" s="11">
        <v>6</v>
      </c>
      <c r="S811" s="11" t="s">
        <v>1944</v>
      </c>
    </row>
    <row r="812" spans="1:19" hidden="1" x14ac:dyDescent="0.15">
      <c r="A812" s="34">
        <v>811</v>
      </c>
      <c r="B812" s="35" t="s">
        <v>4883</v>
      </c>
      <c r="C812" s="36" t="s">
        <v>3773</v>
      </c>
      <c r="D812" s="11" t="s">
        <v>1518</v>
      </c>
      <c r="E812" s="11" t="s">
        <v>1451</v>
      </c>
      <c r="F812" s="11">
        <v>15</v>
      </c>
      <c r="G812" s="11" t="s">
        <v>904</v>
      </c>
      <c r="H812" s="11" t="s">
        <v>903</v>
      </c>
      <c r="I812" s="11" t="s">
        <v>339</v>
      </c>
      <c r="J812" s="11" t="s">
        <v>3605</v>
      </c>
      <c r="K812" s="11" t="s">
        <v>2802</v>
      </c>
      <c r="L812" s="11"/>
      <c r="M812" s="11" t="s">
        <v>3419</v>
      </c>
      <c r="N812" s="11" t="s">
        <v>3463</v>
      </c>
      <c r="O812" s="11"/>
      <c r="P812" s="11"/>
      <c r="Q812" s="11">
        <v>4</v>
      </c>
      <c r="R812" s="11">
        <v>2</v>
      </c>
      <c r="S812" s="11" t="s">
        <v>3887</v>
      </c>
    </row>
    <row r="813" spans="1:19" hidden="1" x14ac:dyDescent="0.15">
      <c r="A813" s="34">
        <v>812</v>
      </c>
      <c r="B813" s="35" t="s">
        <v>4883</v>
      </c>
      <c r="C813" s="36" t="s">
        <v>3773</v>
      </c>
      <c r="D813" s="11" t="s">
        <v>1518</v>
      </c>
      <c r="E813" s="11" t="s">
        <v>1451</v>
      </c>
      <c r="F813" s="11">
        <v>0</v>
      </c>
      <c r="G813" s="11" t="s">
        <v>836</v>
      </c>
      <c r="H813" s="11" t="s">
        <v>835</v>
      </c>
      <c r="I813" s="11" t="s">
        <v>339</v>
      </c>
      <c r="J813" s="11" t="s">
        <v>1435</v>
      </c>
      <c r="K813" s="11" t="s">
        <v>3605</v>
      </c>
      <c r="L813" s="11"/>
      <c r="M813" s="11" t="s">
        <v>3419</v>
      </c>
      <c r="N813" s="11" t="s">
        <v>3888</v>
      </c>
      <c r="O813" s="11"/>
      <c r="P813" s="11"/>
      <c r="Q813" s="11">
        <v>3</v>
      </c>
      <c r="R813" s="11">
        <v>5</v>
      </c>
      <c r="S813" s="11" t="s">
        <v>3889</v>
      </c>
    </row>
    <row r="814" spans="1:19" hidden="1" x14ac:dyDescent="0.15">
      <c r="A814" s="34">
        <v>813</v>
      </c>
      <c r="B814" s="35" t="s">
        <v>4883</v>
      </c>
      <c r="C814" s="36" t="s">
        <v>3773</v>
      </c>
      <c r="D814" s="11" t="s">
        <v>1518</v>
      </c>
      <c r="E814" s="11" t="s">
        <v>1451</v>
      </c>
      <c r="F814" s="11">
        <v>12</v>
      </c>
      <c r="G814" s="11" t="s">
        <v>902</v>
      </c>
      <c r="H814" s="11" t="s">
        <v>901</v>
      </c>
      <c r="I814" s="11" t="s">
        <v>339</v>
      </c>
      <c r="J814" s="11" t="s">
        <v>2613</v>
      </c>
      <c r="K814" s="11" t="s">
        <v>2802</v>
      </c>
      <c r="L814" s="11"/>
      <c r="M814" s="11" t="s">
        <v>3425</v>
      </c>
      <c r="N814" s="11" t="s">
        <v>3890</v>
      </c>
      <c r="O814" s="11"/>
      <c r="P814" s="11"/>
      <c r="Q814" s="11">
        <v>4</v>
      </c>
      <c r="R814" s="11">
        <v>4</v>
      </c>
      <c r="S814" s="11" t="s">
        <v>3891</v>
      </c>
    </row>
    <row r="815" spans="1:19" hidden="1" x14ac:dyDescent="0.15">
      <c r="A815" s="34">
        <v>814</v>
      </c>
      <c r="B815" s="35" t="s">
        <v>4883</v>
      </c>
      <c r="C815" s="36" t="s">
        <v>3773</v>
      </c>
      <c r="D815" s="11" t="s">
        <v>1518</v>
      </c>
      <c r="E815" s="11" t="s">
        <v>1441</v>
      </c>
      <c r="F815" s="11">
        <v>14</v>
      </c>
      <c r="G815" s="11" t="s">
        <v>900</v>
      </c>
      <c r="H815" s="11" t="s">
        <v>899</v>
      </c>
      <c r="I815" s="11" t="s">
        <v>339</v>
      </c>
      <c r="J815" s="11" t="s">
        <v>3892</v>
      </c>
      <c r="K815" s="11"/>
      <c r="L815" s="11"/>
      <c r="M815" s="11" t="s">
        <v>3893</v>
      </c>
      <c r="N815" s="11"/>
      <c r="O815" s="11"/>
      <c r="P815" s="11"/>
      <c r="Q815" s="11">
        <v>6</v>
      </c>
      <c r="R815" s="11">
        <v>6</v>
      </c>
      <c r="S815" s="11" t="s">
        <v>3893</v>
      </c>
    </row>
    <row r="816" spans="1:19" hidden="1" x14ac:dyDescent="0.15">
      <c r="A816" s="34">
        <v>815</v>
      </c>
      <c r="B816" s="35" t="s">
        <v>4883</v>
      </c>
      <c r="C816" s="36" t="s">
        <v>3773</v>
      </c>
      <c r="D816" s="11" t="s">
        <v>1518</v>
      </c>
      <c r="E816" s="11" t="s">
        <v>1441</v>
      </c>
      <c r="F816" s="11">
        <v>13</v>
      </c>
      <c r="G816" s="11" t="s">
        <v>898</v>
      </c>
      <c r="H816" s="11" t="s">
        <v>897</v>
      </c>
      <c r="I816" s="11" t="s">
        <v>339</v>
      </c>
      <c r="J816" s="11" t="s">
        <v>1489</v>
      </c>
      <c r="K816" s="11" t="s">
        <v>2802</v>
      </c>
      <c r="L816" s="11"/>
      <c r="M816" s="11" t="s">
        <v>3894</v>
      </c>
      <c r="N816" s="11"/>
      <c r="O816" s="11"/>
      <c r="P816" s="11"/>
      <c r="Q816" s="11">
        <v>6</v>
      </c>
      <c r="R816" s="11">
        <v>5</v>
      </c>
      <c r="S816" s="11" t="s">
        <v>3894</v>
      </c>
    </row>
    <row r="817" spans="1:19" hidden="1" x14ac:dyDescent="0.15">
      <c r="A817" s="34">
        <v>816</v>
      </c>
      <c r="B817" s="35" t="s">
        <v>4883</v>
      </c>
      <c r="C817" s="36" t="s">
        <v>3773</v>
      </c>
      <c r="D817" s="11" t="s">
        <v>1518</v>
      </c>
      <c r="E817" s="11" t="s">
        <v>1441</v>
      </c>
      <c r="F817" s="11">
        <v>18</v>
      </c>
      <c r="G817" s="11" t="s">
        <v>896</v>
      </c>
      <c r="H817" s="11" t="s">
        <v>895</v>
      </c>
      <c r="I817" s="11" t="s">
        <v>339</v>
      </c>
      <c r="J817" s="11" t="s">
        <v>2604</v>
      </c>
      <c r="K817" s="11" t="s">
        <v>2407</v>
      </c>
      <c r="L817" s="11"/>
      <c r="M817" s="11" t="s">
        <v>3895</v>
      </c>
      <c r="N817" s="11"/>
      <c r="O817" s="11"/>
      <c r="P817" s="11"/>
      <c r="Q817" s="11">
        <v>6</v>
      </c>
      <c r="R817" s="11">
        <v>6</v>
      </c>
      <c r="S817" s="11" t="s">
        <v>3895</v>
      </c>
    </row>
    <row r="818" spans="1:19" hidden="1" x14ac:dyDescent="0.15">
      <c r="A818" s="34">
        <v>817</v>
      </c>
      <c r="B818" s="35" t="s">
        <v>4883</v>
      </c>
      <c r="C818" s="36" t="s">
        <v>3773</v>
      </c>
      <c r="D818" s="11" t="s">
        <v>1518</v>
      </c>
      <c r="E818" s="11" t="s">
        <v>1431</v>
      </c>
      <c r="F818" s="11">
        <v>21</v>
      </c>
      <c r="G818" s="11" t="s">
        <v>894</v>
      </c>
      <c r="H818" s="11" t="s">
        <v>893</v>
      </c>
      <c r="I818" s="11" t="s">
        <v>339</v>
      </c>
      <c r="J818" s="11" t="s">
        <v>2564</v>
      </c>
      <c r="K818" s="11"/>
      <c r="L818" s="11"/>
      <c r="M818" s="11" t="s">
        <v>1944</v>
      </c>
      <c r="N818" s="11" t="s">
        <v>3896</v>
      </c>
      <c r="O818" s="11" t="s">
        <v>3897</v>
      </c>
      <c r="P818" s="11"/>
      <c r="Q818" s="11">
        <v>7</v>
      </c>
      <c r="R818" s="11">
        <v>9</v>
      </c>
      <c r="S818" s="11" t="s">
        <v>3898</v>
      </c>
    </row>
    <row r="819" spans="1:19" hidden="1" x14ac:dyDescent="0.15">
      <c r="A819" s="34">
        <v>818</v>
      </c>
      <c r="B819" s="35" t="s">
        <v>4883</v>
      </c>
      <c r="C819" s="36" t="s">
        <v>3773</v>
      </c>
      <c r="D819" s="11" t="s">
        <v>1474</v>
      </c>
      <c r="E819" s="11" t="s">
        <v>1451</v>
      </c>
      <c r="F819" s="11">
        <v>8</v>
      </c>
      <c r="G819" s="11" t="s">
        <v>892</v>
      </c>
      <c r="H819" s="11" t="s">
        <v>891</v>
      </c>
      <c r="I819" s="11" t="s">
        <v>288</v>
      </c>
      <c r="J819" s="11"/>
      <c r="K819" s="11"/>
      <c r="L819" s="11"/>
      <c r="M819" s="11" t="s">
        <v>3899</v>
      </c>
      <c r="N819" s="11"/>
      <c r="O819" s="11"/>
      <c r="P819" s="11">
        <v>3</v>
      </c>
      <c r="Q819" s="11"/>
      <c r="R819" s="11"/>
      <c r="S819" s="11" t="s">
        <v>3899</v>
      </c>
    </row>
    <row r="820" spans="1:19" hidden="1" x14ac:dyDescent="0.15">
      <c r="A820" s="34">
        <v>819</v>
      </c>
      <c r="B820" s="35" t="s">
        <v>4883</v>
      </c>
      <c r="C820" s="36" t="s">
        <v>3773</v>
      </c>
      <c r="D820" s="11" t="s">
        <v>1508</v>
      </c>
      <c r="E820" s="11" t="s">
        <v>1431</v>
      </c>
      <c r="F820" s="11">
        <v>14</v>
      </c>
      <c r="G820" s="11" t="s">
        <v>890</v>
      </c>
      <c r="H820" s="11" t="s">
        <v>889</v>
      </c>
      <c r="I820" s="11" t="s">
        <v>339</v>
      </c>
      <c r="J820" s="11" t="s">
        <v>1489</v>
      </c>
      <c r="K820" s="11" t="s">
        <v>1463</v>
      </c>
      <c r="L820" s="11"/>
      <c r="M820" s="11" t="s">
        <v>3900</v>
      </c>
      <c r="N820" s="11" t="s">
        <v>3901</v>
      </c>
      <c r="O820" s="11"/>
      <c r="P820" s="11"/>
      <c r="Q820" s="11">
        <v>8</v>
      </c>
      <c r="R820" s="11">
        <v>8</v>
      </c>
      <c r="S820" s="11" t="s">
        <v>3902</v>
      </c>
    </row>
    <row r="821" spans="1:19" hidden="1" x14ac:dyDescent="0.15">
      <c r="A821" s="34">
        <v>820</v>
      </c>
      <c r="B821" s="35" t="s">
        <v>4883</v>
      </c>
      <c r="C821" s="36" t="s">
        <v>3773</v>
      </c>
      <c r="D821" s="11" t="s">
        <v>1467</v>
      </c>
      <c r="E821" s="11" t="s">
        <v>1451</v>
      </c>
      <c r="F821" s="11">
        <v>10</v>
      </c>
      <c r="G821" s="11" t="s">
        <v>888</v>
      </c>
      <c r="H821" s="11" t="s">
        <v>887</v>
      </c>
      <c r="I821" s="11" t="s">
        <v>339</v>
      </c>
      <c r="J821" s="11" t="s">
        <v>2407</v>
      </c>
      <c r="K821" s="11"/>
      <c r="L821" s="11"/>
      <c r="M821" s="11" t="s">
        <v>351</v>
      </c>
      <c r="N821" s="11" t="s">
        <v>3903</v>
      </c>
      <c r="O821" s="11"/>
      <c r="P821" s="11"/>
      <c r="Q821" s="11">
        <v>3</v>
      </c>
      <c r="R821" s="11">
        <v>5</v>
      </c>
      <c r="S821" s="11" t="s">
        <v>3904</v>
      </c>
    </row>
    <row r="822" spans="1:19" hidden="1" x14ac:dyDescent="0.15">
      <c r="A822" s="34">
        <v>821</v>
      </c>
      <c r="B822" s="35" t="s">
        <v>4883</v>
      </c>
      <c r="C822" s="36" t="s">
        <v>3773</v>
      </c>
      <c r="D822" s="11" t="s">
        <v>1487</v>
      </c>
      <c r="E822" s="11" t="s">
        <v>1451</v>
      </c>
      <c r="F822" s="11">
        <v>16</v>
      </c>
      <c r="G822" s="11" t="s">
        <v>886</v>
      </c>
      <c r="H822" s="11" t="s">
        <v>885</v>
      </c>
      <c r="I822" s="11" t="s">
        <v>339</v>
      </c>
      <c r="J822" s="11" t="s">
        <v>3848</v>
      </c>
      <c r="K822" s="11" t="s">
        <v>3559</v>
      </c>
      <c r="L822" s="11"/>
      <c r="M822" s="11" t="s">
        <v>2755</v>
      </c>
      <c r="N822" s="11" t="s">
        <v>3905</v>
      </c>
      <c r="O822" s="11"/>
      <c r="P822" s="11"/>
      <c r="Q822" s="11">
        <v>4</v>
      </c>
      <c r="R822" s="11">
        <v>3</v>
      </c>
      <c r="S822" s="11" t="s">
        <v>3906</v>
      </c>
    </row>
    <row r="823" spans="1:19" hidden="1" x14ac:dyDescent="0.15">
      <c r="A823" s="34">
        <v>822</v>
      </c>
      <c r="B823" s="35" t="s">
        <v>4883</v>
      </c>
      <c r="C823" s="36" t="s">
        <v>3773</v>
      </c>
      <c r="D823" s="11" t="s">
        <v>1487</v>
      </c>
      <c r="E823" s="11" t="s">
        <v>1431</v>
      </c>
      <c r="F823" s="11">
        <v>11</v>
      </c>
      <c r="G823" s="11" t="s">
        <v>884</v>
      </c>
      <c r="H823" s="11" t="s">
        <v>883</v>
      </c>
      <c r="I823" s="11" t="s">
        <v>339</v>
      </c>
      <c r="J823" s="11" t="s">
        <v>1489</v>
      </c>
      <c r="K823" s="11" t="s">
        <v>1493</v>
      </c>
      <c r="L823" s="11"/>
      <c r="M823" s="11" t="s">
        <v>1707</v>
      </c>
      <c r="N823" s="11" t="s">
        <v>3907</v>
      </c>
      <c r="O823" s="11" t="s">
        <v>3908</v>
      </c>
      <c r="P823" s="11"/>
      <c r="Q823" s="11">
        <v>2</v>
      </c>
      <c r="R823" s="11">
        <v>2</v>
      </c>
      <c r="S823" s="11" t="s">
        <v>3909</v>
      </c>
    </row>
    <row r="824" spans="1:19" hidden="1" x14ac:dyDescent="0.15">
      <c r="A824" s="34">
        <v>823</v>
      </c>
      <c r="B824" s="35" t="s">
        <v>4883</v>
      </c>
      <c r="C824" s="36" t="s">
        <v>3773</v>
      </c>
      <c r="D824" s="11" t="s">
        <v>1482</v>
      </c>
      <c r="E824" s="11" t="s">
        <v>1431</v>
      </c>
      <c r="F824" s="11">
        <v>18</v>
      </c>
      <c r="G824" s="11" t="s">
        <v>4880</v>
      </c>
      <c r="H824" s="11" t="s">
        <v>881</v>
      </c>
      <c r="I824" s="11" t="s">
        <v>339</v>
      </c>
      <c r="J824" s="11" t="s">
        <v>1489</v>
      </c>
      <c r="K824" s="11" t="s">
        <v>3605</v>
      </c>
      <c r="L824" s="11"/>
      <c r="M824" s="11" t="s">
        <v>3910</v>
      </c>
      <c r="N824" s="11" t="s">
        <v>3606</v>
      </c>
      <c r="O824" s="11"/>
      <c r="P824" s="11"/>
      <c r="Q824" s="11">
        <v>8</v>
      </c>
      <c r="R824" s="11">
        <v>8</v>
      </c>
      <c r="S824" s="11" t="s">
        <v>3911</v>
      </c>
    </row>
    <row r="825" spans="1:19" hidden="1" x14ac:dyDescent="0.15">
      <c r="A825" s="34">
        <v>824</v>
      </c>
      <c r="B825" s="35" t="s">
        <v>4883</v>
      </c>
      <c r="C825" s="36" t="s">
        <v>3773</v>
      </c>
      <c r="D825" s="11" t="s">
        <v>1482</v>
      </c>
      <c r="E825" s="11" t="s">
        <v>1431</v>
      </c>
      <c r="F825" s="11">
        <v>0</v>
      </c>
      <c r="G825" s="11" t="s">
        <v>834</v>
      </c>
      <c r="H825" s="11" t="s">
        <v>833</v>
      </c>
      <c r="I825" s="11" t="s">
        <v>339</v>
      </c>
      <c r="J825" s="11" t="s">
        <v>3605</v>
      </c>
      <c r="K825" s="11"/>
      <c r="L825" s="11"/>
      <c r="M825" s="11" t="s">
        <v>3912</v>
      </c>
      <c r="N825" s="11" t="s">
        <v>3607</v>
      </c>
      <c r="O825" s="11"/>
      <c r="P825" s="11"/>
      <c r="Q825" s="11">
        <v>12</v>
      </c>
      <c r="R825" s="11">
        <v>12</v>
      </c>
      <c r="S825" s="11" t="s">
        <v>3913</v>
      </c>
    </row>
    <row r="826" spans="1:19" hidden="1" x14ac:dyDescent="0.15">
      <c r="A826" s="34">
        <v>825</v>
      </c>
      <c r="B826" s="35" t="s">
        <v>4883</v>
      </c>
      <c r="C826" s="36" t="s">
        <v>3773</v>
      </c>
      <c r="D826" s="11" t="s">
        <v>1802</v>
      </c>
      <c r="E826" s="11" t="s">
        <v>1441</v>
      </c>
      <c r="F826" s="11">
        <v>16</v>
      </c>
      <c r="G826" s="11" t="s">
        <v>880</v>
      </c>
      <c r="H826" s="11" t="s">
        <v>879</v>
      </c>
      <c r="I826" s="11" t="s">
        <v>339</v>
      </c>
      <c r="J826" s="11" t="s">
        <v>1489</v>
      </c>
      <c r="K826" s="11" t="s">
        <v>1533</v>
      </c>
      <c r="L826" s="11"/>
      <c r="M826" s="11" t="s">
        <v>3109</v>
      </c>
      <c r="N826" s="11" t="s">
        <v>3914</v>
      </c>
      <c r="O826" s="11"/>
      <c r="P826" s="11"/>
      <c r="Q826" s="11">
        <v>6</v>
      </c>
      <c r="R826" s="11">
        <v>6</v>
      </c>
      <c r="S826" s="11" t="s">
        <v>3915</v>
      </c>
    </row>
    <row r="827" spans="1:19" hidden="1" x14ac:dyDescent="0.15">
      <c r="A827" s="34">
        <v>826</v>
      </c>
      <c r="B827" s="35" t="s">
        <v>4883</v>
      </c>
      <c r="C827" s="36" t="s">
        <v>3773</v>
      </c>
      <c r="D827" s="11" t="s">
        <v>292</v>
      </c>
      <c r="E827" s="11" t="s">
        <v>1451</v>
      </c>
      <c r="F827" s="11">
        <v>14</v>
      </c>
      <c r="G827" s="11" t="s">
        <v>878</v>
      </c>
      <c r="H827" s="11" t="s">
        <v>877</v>
      </c>
      <c r="I827" s="11" t="s">
        <v>339</v>
      </c>
      <c r="J827" s="11" t="s">
        <v>1435</v>
      </c>
      <c r="K827" s="11" t="s">
        <v>2802</v>
      </c>
      <c r="L827" s="11"/>
      <c r="M827" s="11" t="s">
        <v>3916</v>
      </c>
      <c r="N827" s="11" t="s">
        <v>3917</v>
      </c>
      <c r="O827" s="11"/>
      <c r="P827" s="11"/>
      <c r="Q827" s="11">
        <v>5</v>
      </c>
      <c r="R827" s="11">
        <v>4</v>
      </c>
      <c r="S827" s="11" t="s">
        <v>3918</v>
      </c>
    </row>
    <row r="828" spans="1:19" hidden="1" x14ac:dyDescent="0.15">
      <c r="A828" s="34">
        <v>827</v>
      </c>
      <c r="B828" s="35" t="s">
        <v>4883</v>
      </c>
      <c r="C828" s="36" t="s">
        <v>3773</v>
      </c>
      <c r="D828" s="11" t="s">
        <v>292</v>
      </c>
      <c r="E828" s="11" t="s">
        <v>1451</v>
      </c>
      <c r="F828" s="11">
        <v>16</v>
      </c>
      <c r="G828" s="11" t="s">
        <v>876</v>
      </c>
      <c r="H828" s="11" t="s">
        <v>875</v>
      </c>
      <c r="I828" s="11" t="s">
        <v>339</v>
      </c>
      <c r="J828" s="11" t="s">
        <v>1435</v>
      </c>
      <c r="K828" s="11" t="s">
        <v>357</v>
      </c>
      <c r="L828" s="11"/>
      <c r="M828" s="11" t="s">
        <v>3916</v>
      </c>
      <c r="N828" s="11" t="s">
        <v>2612</v>
      </c>
      <c r="O828" s="11"/>
      <c r="P828" s="11"/>
      <c r="Q828" s="11">
        <v>6</v>
      </c>
      <c r="R828" s="11">
        <v>5</v>
      </c>
      <c r="S828" s="11" t="s">
        <v>3919</v>
      </c>
    </row>
    <row r="829" spans="1:19" hidden="1" x14ac:dyDescent="0.15">
      <c r="A829" s="34">
        <v>828</v>
      </c>
      <c r="B829" s="35" t="s">
        <v>4883</v>
      </c>
      <c r="C829" s="36" t="s">
        <v>3773</v>
      </c>
      <c r="D829" s="11" t="s">
        <v>292</v>
      </c>
      <c r="E829" s="11" t="s">
        <v>1451</v>
      </c>
      <c r="F829" s="11">
        <v>16</v>
      </c>
      <c r="G829" s="11" t="s">
        <v>874</v>
      </c>
      <c r="H829" s="11" t="s">
        <v>873</v>
      </c>
      <c r="I829" s="11" t="s">
        <v>339</v>
      </c>
      <c r="J829" s="11" t="s">
        <v>1435</v>
      </c>
      <c r="K829" s="11"/>
      <c r="L829" s="11"/>
      <c r="M829" s="11" t="s">
        <v>3920</v>
      </c>
      <c r="N829" s="11" t="s">
        <v>3916</v>
      </c>
      <c r="O829" s="11"/>
      <c r="P829" s="11"/>
      <c r="Q829" s="11">
        <v>5</v>
      </c>
      <c r="R829" s="11">
        <v>7</v>
      </c>
      <c r="S829" s="11" t="s">
        <v>3921</v>
      </c>
    </row>
    <row r="830" spans="1:19" hidden="1" x14ac:dyDescent="0.15">
      <c r="A830" s="34">
        <v>829</v>
      </c>
      <c r="B830" s="35" t="s">
        <v>4883</v>
      </c>
      <c r="C830" s="36" t="s">
        <v>3773</v>
      </c>
      <c r="D830" s="11" t="s">
        <v>292</v>
      </c>
      <c r="E830" s="11" t="s">
        <v>1451</v>
      </c>
      <c r="F830" s="11">
        <v>23</v>
      </c>
      <c r="G830" s="11" t="s">
        <v>872</v>
      </c>
      <c r="H830" s="11" t="s">
        <v>871</v>
      </c>
      <c r="I830" s="11" t="s">
        <v>339</v>
      </c>
      <c r="J830" s="11" t="s">
        <v>1435</v>
      </c>
      <c r="K830" s="11"/>
      <c r="L830" s="11"/>
      <c r="M830" s="11" t="s">
        <v>3922</v>
      </c>
      <c r="N830" s="11" t="s">
        <v>3923</v>
      </c>
      <c r="O830" s="11"/>
      <c r="P830" s="11"/>
      <c r="Q830" s="11">
        <v>3</v>
      </c>
      <c r="R830" s="11">
        <v>4</v>
      </c>
      <c r="S830" s="11" t="s">
        <v>3924</v>
      </c>
    </row>
    <row r="831" spans="1:19" hidden="1" x14ac:dyDescent="0.15">
      <c r="A831" s="34">
        <v>830</v>
      </c>
      <c r="B831" s="35" t="s">
        <v>4883</v>
      </c>
      <c r="C831" s="36" t="s">
        <v>3773</v>
      </c>
      <c r="D831" s="11" t="s">
        <v>292</v>
      </c>
      <c r="E831" s="11" t="s">
        <v>1451</v>
      </c>
      <c r="F831" s="11">
        <v>14</v>
      </c>
      <c r="G831" s="11" t="s">
        <v>870</v>
      </c>
      <c r="H831" s="11" t="s">
        <v>869</v>
      </c>
      <c r="I831" s="11" t="s">
        <v>339</v>
      </c>
      <c r="J831" s="11" t="s">
        <v>1435</v>
      </c>
      <c r="K831" s="11"/>
      <c r="L831" s="11"/>
      <c r="M831" s="11" t="s">
        <v>3916</v>
      </c>
      <c r="N831" s="11" t="s">
        <v>3925</v>
      </c>
      <c r="O831" s="11"/>
      <c r="P831" s="11"/>
      <c r="Q831" s="11">
        <v>4</v>
      </c>
      <c r="R831" s="11">
        <v>5</v>
      </c>
      <c r="S831" s="11" t="s">
        <v>3926</v>
      </c>
    </row>
    <row r="832" spans="1:19" hidden="1" x14ac:dyDescent="0.15">
      <c r="A832" s="34">
        <v>831</v>
      </c>
      <c r="B832" s="35" t="s">
        <v>4883</v>
      </c>
      <c r="C832" s="36" t="s">
        <v>3773</v>
      </c>
      <c r="D832" s="11" t="s">
        <v>292</v>
      </c>
      <c r="E832" s="11" t="s">
        <v>1441</v>
      </c>
      <c r="F832" s="11">
        <v>12</v>
      </c>
      <c r="G832" s="11" t="s">
        <v>868</v>
      </c>
      <c r="H832" s="11" t="s">
        <v>867</v>
      </c>
      <c r="I832" s="11" t="s">
        <v>339</v>
      </c>
      <c r="J832" s="11" t="s">
        <v>1435</v>
      </c>
      <c r="K832" s="11" t="s">
        <v>2802</v>
      </c>
      <c r="L832" s="11"/>
      <c r="M832" s="11" t="s">
        <v>2595</v>
      </c>
      <c r="N832" s="11" t="s">
        <v>3560</v>
      </c>
      <c r="O832" s="11"/>
      <c r="P832" s="11"/>
      <c r="Q832" s="11">
        <v>3</v>
      </c>
      <c r="R832" s="11">
        <v>3</v>
      </c>
      <c r="S832" s="11" t="s">
        <v>3561</v>
      </c>
    </row>
    <row r="833" spans="1:19" hidden="1" x14ac:dyDescent="0.15">
      <c r="A833" s="34">
        <v>832</v>
      </c>
      <c r="B833" s="35" t="s">
        <v>4883</v>
      </c>
      <c r="C833" s="36" t="s">
        <v>3773</v>
      </c>
      <c r="D833" s="11" t="s">
        <v>292</v>
      </c>
      <c r="E833" s="11" t="s">
        <v>1441</v>
      </c>
      <c r="F833" s="11">
        <v>19</v>
      </c>
      <c r="G833" s="11" t="s">
        <v>866</v>
      </c>
      <c r="H833" s="11" t="s">
        <v>865</v>
      </c>
      <c r="I833" s="11" t="s">
        <v>339</v>
      </c>
      <c r="J833" s="11" t="s">
        <v>1435</v>
      </c>
      <c r="K833" s="11" t="s">
        <v>3927</v>
      </c>
      <c r="L833" s="11"/>
      <c r="M833" s="11" t="s">
        <v>3922</v>
      </c>
      <c r="N833" s="11" t="s">
        <v>3928</v>
      </c>
      <c r="O833" s="11"/>
      <c r="P833" s="11"/>
      <c r="Q833" s="11">
        <v>5</v>
      </c>
      <c r="R833" s="11">
        <v>6</v>
      </c>
      <c r="S833" s="11" t="s">
        <v>3929</v>
      </c>
    </row>
    <row r="834" spans="1:19" hidden="1" x14ac:dyDescent="0.15">
      <c r="A834" s="34">
        <v>833</v>
      </c>
      <c r="B834" s="35" t="s">
        <v>4883</v>
      </c>
      <c r="C834" s="36" t="s">
        <v>3773</v>
      </c>
      <c r="D834" s="11" t="s">
        <v>292</v>
      </c>
      <c r="E834" s="11" t="s">
        <v>1441</v>
      </c>
      <c r="F834" s="11">
        <v>16</v>
      </c>
      <c r="G834" s="11" t="s">
        <v>864</v>
      </c>
      <c r="H834" s="11" t="s">
        <v>863</v>
      </c>
      <c r="I834" s="11" t="s">
        <v>339</v>
      </c>
      <c r="J834" s="11" t="s">
        <v>1435</v>
      </c>
      <c r="K834" s="11" t="s">
        <v>1945</v>
      </c>
      <c r="L834" s="11"/>
      <c r="M834" s="11" t="s">
        <v>3916</v>
      </c>
      <c r="N834" s="11" t="s">
        <v>3930</v>
      </c>
      <c r="O834" s="11"/>
      <c r="P834" s="11"/>
      <c r="Q834" s="11">
        <v>6</v>
      </c>
      <c r="R834" s="11">
        <v>6</v>
      </c>
      <c r="S834" s="11" t="s">
        <v>3931</v>
      </c>
    </row>
    <row r="835" spans="1:19" hidden="1" x14ac:dyDescent="0.15">
      <c r="A835" s="34">
        <v>834</v>
      </c>
      <c r="B835" s="35" t="s">
        <v>4883</v>
      </c>
      <c r="C835" s="36" t="s">
        <v>3773</v>
      </c>
      <c r="D835" s="11" t="s">
        <v>292</v>
      </c>
      <c r="E835" s="11" t="s">
        <v>1431</v>
      </c>
      <c r="F835" s="11">
        <v>21</v>
      </c>
      <c r="G835" s="11" t="s">
        <v>862</v>
      </c>
      <c r="H835" s="11" t="s">
        <v>861</v>
      </c>
      <c r="I835" s="11" t="s">
        <v>339</v>
      </c>
      <c r="J835" s="11" t="s">
        <v>1435</v>
      </c>
      <c r="K835" s="11" t="s">
        <v>2717</v>
      </c>
      <c r="L835" s="11"/>
      <c r="M835" s="11" t="s">
        <v>3866</v>
      </c>
      <c r="N835" s="11" t="s">
        <v>3932</v>
      </c>
      <c r="O835" s="11" t="s">
        <v>3933</v>
      </c>
      <c r="P835" s="11"/>
      <c r="Q835" s="11">
        <v>8</v>
      </c>
      <c r="R835" s="11">
        <v>8</v>
      </c>
      <c r="S835" s="11" t="s">
        <v>3934</v>
      </c>
    </row>
    <row r="836" spans="1:19" hidden="1" x14ac:dyDescent="0.15">
      <c r="A836" s="34">
        <v>835</v>
      </c>
      <c r="B836" s="35" t="s">
        <v>4883</v>
      </c>
      <c r="C836" s="36" t="s">
        <v>3773</v>
      </c>
      <c r="D836" s="11" t="s">
        <v>292</v>
      </c>
      <c r="E836" s="11" t="s">
        <v>1431</v>
      </c>
      <c r="F836" s="11">
        <v>20</v>
      </c>
      <c r="G836" s="11" t="s">
        <v>860</v>
      </c>
      <c r="H836" s="11" t="s">
        <v>859</v>
      </c>
      <c r="I836" s="11" t="s">
        <v>339</v>
      </c>
      <c r="J836" s="11" t="s">
        <v>1435</v>
      </c>
      <c r="K836" s="11"/>
      <c r="L836" s="11"/>
      <c r="M836" s="11" t="s">
        <v>3596</v>
      </c>
      <c r="N836" s="11" t="s">
        <v>3935</v>
      </c>
      <c r="O836" s="11"/>
      <c r="P836" s="11"/>
      <c r="Q836" s="11">
        <v>13</v>
      </c>
      <c r="R836" s="11">
        <v>13</v>
      </c>
      <c r="S836" s="11" t="s">
        <v>3936</v>
      </c>
    </row>
    <row r="837" spans="1:19" hidden="1" x14ac:dyDescent="0.15">
      <c r="A837" s="34">
        <v>836</v>
      </c>
      <c r="B837" s="35" t="s">
        <v>4881</v>
      </c>
      <c r="C837" s="36" t="s">
        <v>3937</v>
      </c>
      <c r="D837" s="11" t="s">
        <v>1627</v>
      </c>
      <c r="E837" s="11" t="s">
        <v>1744</v>
      </c>
      <c r="F837" s="11">
        <v>1</v>
      </c>
      <c r="G837" s="11" t="s">
        <v>832</v>
      </c>
      <c r="H837" s="11" t="s">
        <v>831</v>
      </c>
      <c r="I837" s="11" t="s">
        <v>339</v>
      </c>
      <c r="J837" s="11" t="s">
        <v>3938</v>
      </c>
      <c r="K837" s="11" t="s">
        <v>1641</v>
      </c>
      <c r="L837" s="11"/>
      <c r="M837" s="11" t="s">
        <v>3939</v>
      </c>
      <c r="N837" s="11"/>
      <c r="O837" s="11"/>
      <c r="P837" s="11"/>
      <c r="Q837" s="11">
        <v>2</v>
      </c>
      <c r="R837" s="11">
        <v>2</v>
      </c>
      <c r="S837" s="11" t="s">
        <v>3939</v>
      </c>
    </row>
    <row r="838" spans="1:19" hidden="1" x14ac:dyDescent="0.15">
      <c r="A838" s="34">
        <v>837</v>
      </c>
      <c r="B838" s="35" t="s">
        <v>4881</v>
      </c>
      <c r="C838" s="36" t="s">
        <v>3937</v>
      </c>
      <c r="D838" s="11" t="s">
        <v>1627</v>
      </c>
      <c r="E838" s="11" t="s">
        <v>1744</v>
      </c>
      <c r="F838" s="11">
        <v>6</v>
      </c>
      <c r="G838" s="11" t="s">
        <v>829</v>
      </c>
      <c r="H838" s="11" t="s">
        <v>828</v>
      </c>
      <c r="I838" s="11" t="s">
        <v>339</v>
      </c>
      <c r="J838" s="11" t="s">
        <v>2948</v>
      </c>
      <c r="K838" s="11"/>
      <c r="L838" s="11"/>
      <c r="M838" s="11" t="s">
        <v>351</v>
      </c>
      <c r="N838" s="11" t="s">
        <v>3940</v>
      </c>
      <c r="O838" s="11" t="s">
        <v>3941</v>
      </c>
      <c r="P838" s="11"/>
      <c r="Q838" s="11">
        <v>1</v>
      </c>
      <c r="R838" s="11">
        <v>2</v>
      </c>
      <c r="S838" s="11" t="s">
        <v>3942</v>
      </c>
    </row>
    <row r="839" spans="1:19" hidden="1" x14ac:dyDescent="0.15">
      <c r="A839" s="34">
        <v>838</v>
      </c>
      <c r="B839" s="35" t="s">
        <v>4881</v>
      </c>
      <c r="C839" s="36" t="s">
        <v>3937</v>
      </c>
      <c r="D839" s="11" t="s">
        <v>1627</v>
      </c>
      <c r="E839" s="11" t="s">
        <v>1744</v>
      </c>
      <c r="F839" s="11">
        <v>5</v>
      </c>
      <c r="G839" s="11" t="s">
        <v>825</v>
      </c>
      <c r="H839" s="11" t="s">
        <v>824</v>
      </c>
      <c r="I839" s="11" t="s">
        <v>339</v>
      </c>
      <c r="J839" s="11" t="s">
        <v>3938</v>
      </c>
      <c r="K839" s="11" t="s">
        <v>1641</v>
      </c>
      <c r="L839" s="11"/>
      <c r="M839" s="11" t="s">
        <v>3943</v>
      </c>
      <c r="N839" s="11"/>
      <c r="O839" s="11"/>
      <c r="P839" s="11"/>
      <c r="Q839" s="11">
        <v>2</v>
      </c>
      <c r="R839" s="11">
        <v>2</v>
      </c>
      <c r="S839" s="11" t="s">
        <v>3943</v>
      </c>
    </row>
    <row r="840" spans="1:19" hidden="1" x14ac:dyDescent="0.15">
      <c r="A840" s="34">
        <v>839</v>
      </c>
      <c r="B840" s="35" t="s">
        <v>4881</v>
      </c>
      <c r="C840" s="36" t="s">
        <v>3937</v>
      </c>
      <c r="D840" s="11" t="s">
        <v>1627</v>
      </c>
      <c r="E840" s="11" t="s">
        <v>1744</v>
      </c>
      <c r="F840" s="11">
        <v>7</v>
      </c>
      <c r="G840" s="11" t="s">
        <v>823</v>
      </c>
      <c r="H840" s="11" t="s">
        <v>822</v>
      </c>
      <c r="I840" s="11" t="s">
        <v>339</v>
      </c>
      <c r="J840" s="11" t="s">
        <v>1489</v>
      </c>
      <c r="K840" s="11"/>
      <c r="L840" s="11"/>
      <c r="M840" s="11" t="s">
        <v>3944</v>
      </c>
      <c r="N840" s="11"/>
      <c r="O840" s="11"/>
      <c r="P840" s="11"/>
      <c r="Q840" s="11">
        <v>2</v>
      </c>
      <c r="R840" s="11">
        <v>1</v>
      </c>
      <c r="S840" s="11" t="s">
        <v>3944</v>
      </c>
    </row>
    <row r="841" spans="1:19" hidden="1" x14ac:dyDescent="0.15">
      <c r="A841" s="34">
        <v>840</v>
      </c>
      <c r="B841" s="35" t="s">
        <v>4881</v>
      </c>
      <c r="C841" s="36" t="s">
        <v>3937</v>
      </c>
      <c r="D841" s="11" t="s">
        <v>1627</v>
      </c>
      <c r="E841" s="11" t="s">
        <v>1744</v>
      </c>
      <c r="F841" s="11">
        <v>7</v>
      </c>
      <c r="G841" s="11" t="s">
        <v>821</v>
      </c>
      <c r="H841" s="11" t="s">
        <v>820</v>
      </c>
      <c r="I841" s="11" t="s">
        <v>339</v>
      </c>
      <c r="J841" s="11" t="s">
        <v>3938</v>
      </c>
      <c r="K841" s="11" t="s">
        <v>1799</v>
      </c>
      <c r="L841" s="11"/>
      <c r="M841" s="11" t="s">
        <v>2595</v>
      </c>
      <c r="N841" s="11" t="s">
        <v>3945</v>
      </c>
      <c r="O841" s="11"/>
      <c r="P841" s="11"/>
      <c r="Q841" s="11">
        <v>1</v>
      </c>
      <c r="R841" s="11">
        <v>1</v>
      </c>
      <c r="S841" s="11" t="s">
        <v>3946</v>
      </c>
    </row>
    <row r="842" spans="1:19" hidden="1" x14ac:dyDescent="0.15">
      <c r="A842" s="34">
        <v>841</v>
      </c>
      <c r="B842" s="35" t="s">
        <v>4881</v>
      </c>
      <c r="C842" s="36" t="s">
        <v>3937</v>
      </c>
      <c r="D842" s="11" t="s">
        <v>1627</v>
      </c>
      <c r="E842" s="11" t="s">
        <v>1744</v>
      </c>
      <c r="F842" s="11">
        <v>5</v>
      </c>
      <c r="G842" s="11" t="s">
        <v>4834</v>
      </c>
      <c r="H842" s="11" t="s">
        <v>816</v>
      </c>
      <c r="I842" s="11" t="s">
        <v>339</v>
      </c>
      <c r="J842" s="11" t="s">
        <v>1489</v>
      </c>
      <c r="K842" s="11" t="s">
        <v>1641</v>
      </c>
      <c r="L842" s="11"/>
      <c r="M842" s="11" t="s">
        <v>351</v>
      </c>
      <c r="N842" s="11" t="s">
        <v>3943</v>
      </c>
      <c r="O842" s="11"/>
      <c r="P842" s="11"/>
      <c r="Q842" s="11">
        <v>2</v>
      </c>
      <c r="R842" s="11">
        <v>1</v>
      </c>
      <c r="S842" s="11" t="s">
        <v>3947</v>
      </c>
    </row>
    <row r="843" spans="1:19" hidden="1" x14ac:dyDescent="0.15">
      <c r="A843" s="34">
        <v>842</v>
      </c>
      <c r="B843" s="35" t="s">
        <v>4881</v>
      </c>
      <c r="C843" s="36" t="s">
        <v>3937</v>
      </c>
      <c r="D843" s="11" t="s">
        <v>1627</v>
      </c>
      <c r="E843" s="11" t="s">
        <v>1744</v>
      </c>
      <c r="F843" s="11">
        <v>7</v>
      </c>
      <c r="G843" s="11" t="s">
        <v>815</v>
      </c>
      <c r="H843" s="11" t="s">
        <v>814</v>
      </c>
      <c r="I843" s="11" t="s">
        <v>339</v>
      </c>
      <c r="J843" s="11" t="s">
        <v>3948</v>
      </c>
      <c r="K843" s="11"/>
      <c r="L843" s="11"/>
      <c r="M843" s="11" t="s">
        <v>3940</v>
      </c>
      <c r="N843" s="11" t="s">
        <v>3949</v>
      </c>
      <c r="O843" s="11"/>
      <c r="P843" s="11"/>
      <c r="Q843" s="11">
        <v>1</v>
      </c>
      <c r="R843" s="11">
        <v>3</v>
      </c>
      <c r="S843" s="11" t="s">
        <v>3950</v>
      </c>
    </row>
    <row r="844" spans="1:19" hidden="1" x14ac:dyDescent="0.15">
      <c r="A844" s="34">
        <v>843</v>
      </c>
      <c r="B844" s="35" t="s">
        <v>4881</v>
      </c>
      <c r="C844" s="36" t="s">
        <v>3937</v>
      </c>
      <c r="D844" s="11" t="s">
        <v>1627</v>
      </c>
      <c r="E844" s="11" t="s">
        <v>1744</v>
      </c>
      <c r="F844" s="11">
        <v>2</v>
      </c>
      <c r="G844" s="11" t="s">
        <v>4835</v>
      </c>
      <c r="H844" s="11" t="s">
        <v>830</v>
      </c>
      <c r="I844" s="11" t="s">
        <v>1453</v>
      </c>
      <c r="J844" s="11"/>
      <c r="K844" s="11"/>
      <c r="L844" s="11"/>
      <c r="M844" s="11" t="s">
        <v>3951</v>
      </c>
      <c r="N844" s="11"/>
      <c r="O844" s="11"/>
      <c r="P844" s="11"/>
      <c r="Q844" s="11"/>
      <c r="R844" s="11"/>
      <c r="S844" s="11" t="s">
        <v>3951</v>
      </c>
    </row>
    <row r="845" spans="1:19" hidden="1" x14ac:dyDescent="0.15">
      <c r="A845" s="34">
        <v>844</v>
      </c>
      <c r="B845" s="35" t="s">
        <v>4881</v>
      </c>
      <c r="C845" s="36" t="s">
        <v>3937</v>
      </c>
      <c r="D845" s="11" t="s">
        <v>1627</v>
      </c>
      <c r="E845" s="11" t="s">
        <v>1744</v>
      </c>
      <c r="F845" s="11">
        <v>8</v>
      </c>
      <c r="G845" s="11" t="s">
        <v>4836</v>
      </c>
      <c r="H845" s="11" t="s">
        <v>826</v>
      </c>
      <c r="I845" s="11" t="s">
        <v>1453</v>
      </c>
      <c r="J845" s="11"/>
      <c r="K845" s="11"/>
      <c r="L845" s="11"/>
      <c r="M845" s="11" t="s">
        <v>3952</v>
      </c>
      <c r="N845" s="11"/>
      <c r="O845" s="11"/>
      <c r="P845" s="11"/>
      <c r="Q845" s="11"/>
      <c r="R845" s="11"/>
      <c r="S845" s="11" t="s">
        <v>3952</v>
      </c>
    </row>
    <row r="846" spans="1:19" hidden="1" x14ac:dyDescent="0.15">
      <c r="A846" s="34">
        <v>845</v>
      </c>
      <c r="B846" s="35" t="s">
        <v>4881</v>
      </c>
      <c r="C846" s="36" t="s">
        <v>3937</v>
      </c>
      <c r="D846" s="11" t="s">
        <v>1627</v>
      </c>
      <c r="E846" s="11" t="s">
        <v>1744</v>
      </c>
      <c r="F846" s="11">
        <v>7</v>
      </c>
      <c r="G846" s="11" t="s">
        <v>819</v>
      </c>
      <c r="H846" s="11" t="s">
        <v>818</v>
      </c>
      <c r="I846" s="11" t="s">
        <v>1453</v>
      </c>
      <c r="J846" s="11"/>
      <c r="K846" s="11"/>
      <c r="L846" s="11"/>
      <c r="M846" s="11" t="s">
        <v>3953</v>
      </c>
      <c r="N846" s="11"/>
      <c r="O846" s="11"/>
      <c r="P846" s="11"/>
      <c r="Q846" s="11"/>
      <c r="R846" s="11"/>
      <c r="S846" s="11" t="s">
        <v>3953</v>
      </c>
    </row>
    <row r="847" spans="1:19" hidden="1" x14ac:dyDescent="0.15">
      <c r="A847" s="34">
        <v>846</v>
      </c>
      <c r="B847" s="35" t="s">
        <v>4881</v>
      </c>
      <c r="C847" s="36" t="s">
        <v>3937</v>
      </c>
      <c r="D847" s="11" t="s">
        <v>1627</v>
      </c>
      <c r="E847" s="11" t="s">
        <v>1451</v>
      </c>
      <c r="F847" s="11">
        <v>12</v>
      </c>
      <c r="G847" s="11" t="s">
        <v>813</v>
      </c>
      <c r="H847" s="11" t="s">
        <v>812</v>
      </c>
      <c r="I847" s="11" t="s">
        <v>339</v>
      </c>
      <c r="J847" s="11" t="s">
        <v>3938</v>
      </c>
      <c r="K847" s="11" t="s">
        <v>1799</v>
      </c>
      <c r="L847" s="11"/>
      <c r="M847" s="11" t="s">
        <v>3954</v>
      </c>
      <c r="N847" s="11"/>
      <c r="O847" s="11"/>
      <c r="P847" s="11"/>
      <c r="Q847" s="11">
        <v>3</v>
      </c>
      <c r="R847" s="11">
        <v>4</v>
      </c>
      <c r="S847" s="11" t="s">
        <v>3954</v>
      </c>
    </row>
    <row r="848" spans="1:19" hidden="1" x14ac:dyDescent="0.15">
      <c r="A848" s="34">
        <v>847</v>
      </c>
      <c r="B848" s="35" t="s">
        <v>4881</v>
      </c>
      <c r="C848" s="36" t="s">
        <v>3937</v>
      </c>
      <c r="D848" s="11" t="s">
        <v>1627</v>
      </c>
      <c r="E848" s="11" t="s">
        <v>1451</v>
      </c>
      <c r="F848" s="11">
        <v>11</v>
      </c>
      <c r="G848" s="11" t="s">
        <v>809</v>
      </c>
      <c r="H848" s="11" t="s">
        <v>808</v>
      </c>
      <c r="I848" s="11" t="s">
        <v>339</v>
      </c>
      <c r="J848" s="11" t="s">
        <v>3938</v>
      </c>
      <c r="K848" s="11" t="s">
        <v>1799</v>
      </c>
      <c r="L848" s="11"/>
      <c r="M848" s="11" t="s">
        <v>2595</v>
      </c>
      <c r="N848" s="11" t="s">
        <v>3940</v>
      </c>
      <c r="O848" s="11" t="s">
        <v>3955</v>
      </c>
      <c r="P848" s="11"/>
      <c r="Q848" s="11">
        <v>3</v>
      </c>
      <c r="R848" s="11">
        <v>4</v>
      </c>
      <c r="S848" s="11" t="s">
        <v>3956</v>
      </c>
    </row>
    <row r="849" spans="1:19" hidden="1" x14ac:dyDescent="0.15">
      <c r="A849" s="34">
        <v>848</v>
      </c>
      <c r="B849" s="35" t="s">
        <v>4881</v>
      </c>
      <c r="C849" s="36" t="s">
        <v>3937</v>
      </c>
      <c r="D849" s="11" t="s">
        <v>1627</v>
      </c>
      <c r="E849" s="11" t="s">
        <v>1451</v>
      </c>
      <c r="F849" s="11">
        <v>11</v>
      </c>
      <c r="G849" s="11" t="s">
        <v>807</v>
      </c>
      <c r="H849" s="11" t="s">
        <v>806</v>
      </c>
      <c r="I849" s="11" t="s">
        <v>339</v>
      </c>
      <c r="J849" s="11" t="s">
        <v>3938</v>
      </c>
      <c r="K849" s="11" t="s">
        <v>3957</v>
      </c>
      <c r="L849" s="11"/>
      <c r="M849" s="11" t="s">
        <v>3311</v>
      </c>
      <c r="N849" s="11" t="s">
        <v>3958</v>
      </c>
      <c r="O849" s="11"/>
      <c r="P849" s="11"/>
      <c r="Q849" s="11">
        <v>4</v>
      </c>
      <c r="R849" s="11">
        <v>3</v>
      </c>
      <c r="S849" s="11" t="s">
        <v>3959</v>
      </c>
    </row>
    <row r="850" spans="1:19" hidden="1" x14ac:dyDescent="0.15">
      <c r="A850" s="34">
        <v>849</v>
      </c>
      <c r="B850" s="35" t="s">
        <v>4881</v>
      </c>
      <c r="C850" s="36" t="s">
        <v>3937</v>
      </c>
      <c r="D850" s="11" t="s">
        <v>1627</v>
      </c>
      <c r="E850" s="11" t="s">
        <v>1451</v>
      </c>
      <c r="F850" s="11">
        <v>6</v>
      </c>
      <c r="G850" s="11" t="s">
        <v>4837</v>
      </c>
      <c r="H850" s="11" t="s">
        <v>802</v>
      </c>
      <c r="I850" s="11" t="s">
        <v>339</v>
      </c>
      <c r="J850" s="11" t="s">
        <v>3938</v>
      </c>
      <c r="K850" s="11" t="s">
        <v>1641</v>
      </c>
      <c r="L850" s="11"/>
      <c r="M850" s="11" t="s">
        <v>3960</v>
      </c>
      <c r="N850" s="11"/>
      <c r="O850" s="11"/>
      <c r="P850" s="11"/>
      <c r="Q850" s="11">
        <v>4</v>
      </c>
      <c r="R850" s="11">
        <v>3</v>
      </c>
      <c r="S850" s="11" t="s">
        <v>3960</v>
      </c>
    </row>
    <row r="851" spans="1:19" hidden="1" x14ac:dyDescent="0.15">
      <c r="A851" s="34">
        <v>850</v>
      </c>
      <c r="B851" s="35" t="s">
        <v>4881</v>
      </c>
      <c r="C851" s="36" t="s">
        <v>3937</v>
      </c>
      <c r="D851" s="11" t="s">
        <v>1627</v>
      </c>
      <c r="E851" s="11" t="s">
        <v>1451</v>
      </c>
      <c r="F851" s="11">
        <v>13</v>
      </c>
      <c r="G851" s="11" t="s">
        <v>805</v>
      </c>
      <c r="H851" s="11" t="s">
        <v>804</v>
      </c>
      <c r="I851" s="11" t="s">
        <v>1453</v>
      </c>
      <c r="J851" s="11"/>
      <c r="K851" s="11"/>
      <c r="L851" s="11"/>
      <c r="M851" s="11" t="s">
        <v>3961</v>
      </c>
      <c r="N851" s="11"/>
      <c r="O851" s="11"/>
      <c r="P851" s="11"/>
      <c r="Q851" s="11"/>
      <c r="R851" s="11"/>
      <c r="S851" s="11" t="s">
        <v>3961</v>
      </c>
    </row>
    <row r="852" spans="1:19" hidden="1" x14ac:dyDescent="0.15">
      <c r="A852" s="34">
        <v>851</v>
      </c>
      <c r="B852" s="35" t="s">
        <v>4881</v>
      </c>
      <c r="C852" s="36" t="s">
        <v>3937</v>
      </c>
      <c r="D852" s="11" t="s">
        <v>1627</v>
      </c>
      <c r="E852" s="11" t="s">
        <v>1451</v>
      </c>
      <c r="F852" s="11">
        <v>5</v>
      </c>
      <c r="G852" s="11" t="s">
        <v>811</v>
      </c>
      <c r="H852" s="11" t="s">
        <v>810</v>
      </c>
      <c r="I852" s="11" t="s">
        <v>288</v>
      </c>
      <c r="J852" s="11"/>
      <c r="K852" s="11"/>
      <c r="L852" s="11"/>
      <c r="M852" s="11" t="s">
        <v>3962</v>
      </c>
      <c r="N852" s="11" t="s">
        <v>3963</v>
      </c>
      <c r="O852" s="11"/>
      <c r="P852" s="11">
        <v>3</v>
      </c>
      <c r="Q852" s="11"/>
      <c r="R852" s="11"/>
      <c r="S852" s="11" t="s">
        <v>3964</v>
      </c>
    </row>
    <row r="853" spans="1:19" hidden="1" x14ac:dyDescent="0.15">
      <c r="A853" s="34">
        <v>852</v>
      </c>
      <c r="B853" s="35" t="s">
        <v>4881</v>
      </c>
      <c r="C853" s="36" t="s">
        <v>3937</v>
      </c>
      <c r="D853" s="11" t="s">
        <v>1627</v>
      </c>
      <c r="E853" s="11" t="s">
        <v>1441</v>
      </c>
      <c r="F853" s="11">
        <v>15</v>
      </c>
      <c r="G853" s="11" t="s">
        <v>795</v>
      </c>
      <c r="H853" s="11" t="s">
        <v>794</v>
      </c>
      <c r="I853" s="11" t="s">
        <v>339</v>
      </c>
      <c r="J853" s="11" t="s">
        <v>3938</v>
      </c>
      <c r="K853" s="11" t="s">
        <v>1641</v>
      </c>
      <c r="L853" s="11"/>
      <c r="M853" s="11" t="s">
        <v>3965</v>
      </c>
      <c r="N853" s="11" t="s">
        <v>3966</v>
      </c>
      <c r="O853" s="11"/>
      <c r="P853" s="11"/>
      <c r="Q853" s="11">
        <v>6</v>
      </c>
      <c r="R853" s="11">
        <v>5</v>
      </c>
      <c r="S853" s="11" t="s">
        <v>3967</v>
      </c>
    </row>
    <row r="854" spans="1:19" hidden="1" x14ac:dyDescent="0.15">
      <c r="A854" s="34">
        <v>853</v>
      </c>
      <c r="B854" s="35" t="s">
        <v>4881</v>
      </c>
      <c r="C854" s="36" t="s">
        <v>3937</v>
      </c>
      <c r="D854" s="11" t="s">
        <v>1627</v>
      </c>
      <c r="E854" s="11" t="s">
        <v>1441</v>
      </c>
      <c r="F854" s="11">
        <v>16</v>
      </c>
      <c r="G854" s="11" t="s">
        <v>791</v>
      </c>
      <c r="H854" s="11" t="s">
        <v>790</v>
      </c>
      <c r="I854" s="11" t="s">
        <v>339</v>
      </c>
      <c r="J854" s="11" t="s">
        <v>3938</v>
      </c>
      <c r="K854" s="11" t="s">
        <v>1641</v>
      </c>
      <c r="L854" s="11"/>
      <c r="M854" s="11" t="s">
        <v>3968</v>
      </c>
      <c r="N854" s="11" t="s">
        <v>3969</v>
      </c>
      <c r="O854" s="11"/>
      <c r="P854" s="11"/>
      <c r="Q854" s="11">
        <v>6</v>
      </c>
      <c r="R854" s="11">
        <v>6</v>
      </c>
      <c r="S854" s="11" t="s">
        <v>3970</v>
      </c>
    </row>
    <row r="855" spans="1:19" hidden="1" x14ac:dyDescent="0.15">
      <c r="A855" s="34">
        <v>854</v>
      </c>
      <c r="B855" s="35" t="s">
        <v>4881</v>
      </c>
      <c r="C855" s="36" t="s">
        <v>3937</v>
      </c>
      <c r="D855" s="11" t="s">
        <v>1627</v>
      </c>
      <c r="E855" s="11" t="s">
        <v>1441</v>
      </c>
      <c r="F855" s="11">
        <v>16</v>
      </c>
      <c r="G855" s="11" t="s">
        <v>797</v>
      </c>
      <c r="H855" s="11" t="s">
        <v>796</v>
      </c>
      <c r="I855" s="11" t="s">
        <v>1453</v>
      </c>
      <c r="J855" s="11"/>
      <c r="K855" s="11"/>
      <c r="L855" s="11"/>
      <c r="M855" s="11" t="s">
        <v>3493</v>
      </c>
      <c r="N855" s="11"/>
      <c r="O855" s="11"/>
      <c r="P855" s="11"/>
      <c r="Q855" s="11"/>
      <c r="R855" s="11"/>
      <c r="S855" s="11" t="s">
        <v>3493</v>
      </c>
    </row>
    <row r="856" spans="1:19" hidden="1" x14ac:dyDescent="0.15">
      <c r="A856" s="34">
        <v>855</v>
      </c>
      <c r="B856" s="35" t="s">
        <v>4881</v>
      </c>
      <c r="C856" s="36" t="s">
        <v>3937</v>
      </c>
      <c r="D856" s="11" t="s">
        <v>1627</v>
      </c>
      <c r="E856" s="11" t="s">
        <v>1441</v>
      </c>
      <c r="F856" s="11">
        <v>10</v>
      </c>
      <c r="G856" s="11" t="s">
        <v>793</v>
      </c>
      <c r="H856" s="11" t="s">
        <v>792</v>
      </c>
      <c r="I856" s="11" t="s">
        <v>1453</v>
      </c>
      <c r="J856" s="11"/>
      <c r="K856" s="11"/>
      <c r="L856" s="11"/>
      <c r="M856" s="11" t="s">
        <v>3971</v>
      </c>
      <c r="N856" s="11"/>
      <c r="O856" s="11"/>
      <c r="P856" s="11"/>
      <c r="Q856" s="11"/>
      <c r="R856" s="11"/>
      <c r="S856" s="11" t="s">
        <v>3971</v>
      </c>
    </row>
    <row r="857" spans="1:19" hidden="1" x14ac:dyDescent="0.15">
      <c r="A857" s="34">
        <v>856</v>
      </c>
      <c r="B857" s="35" t="s">
        <v>4881</v>
      </c>
      <c r="C857" s="36" t="s">
        <v>3937</v>
      </c>
      <c r="D857" s="11" t="s">
        <v>1627</v>
      </c>
      <c r="E857" s="11" t="s">
        <v>1441</v>
      </c>
      <c r="F857" s="11">
        <v>7</v>
      </c>
      <c r="G857" s="11" t="s">
        <v>801</v>
      </c>
      <c r="H857" s="11" t="s">
        <v>800</v>
      </c>
      <c r="I857" s="11" t="s">
        <v>288</v>
      </c>
      <c r="J857" s="11"/>
      <c r="K857" s="11"/>
      <c r="L857" s="11"/>
      <c r="M857" s="11" t="s">
        <v>3972</v>
      </c>
      <c r="N857" s="11"/>
      <c r="O857" s="11"/>
      <c r="P857" s="11">
        <v>3</v>
      </c>
      <c r="Q857" s="11"/>
      <c r="R857" s="11"/>
      <c r="S857" s="11" t="s">
        <v>3972</v>
      </c>
    </row>
    <row r="858" spans="1:19" hidden="1" x14ac:dyDescent="0.15">
      <c r="A858" s="34">
        <v>857</v>
      </c>
      <c r="B858" s="35" t="s">
        <v>4881</v>
      </c>
      <c r="C858" s="36" t="s">
        <v>3937</v>
      </c>
      <c r="D858" s="11" t="s">
        <v>1627</v>
      </c>
      <c r="E858" s="11" t="s">
        <v>1441</v>
      </c>
      <c r="F858" s="11">
        <v>16</v>
      </c>
      <c r="G858" s="11" t="s">
        <v>799</v>
      </c>
      <c r="H858" s="11" t="s">
        <v>798</v>
      </c>
      <c r="I858" s="11" t="s">
        <v>288</v>
      </c>
      <c r="J858" s="11" t="s">
        <v>6306</v>
      </c>
      <c r="K858" s="11"/>
      <c r="L858" s="11"/>
      <c r="M858" s="11" t="s">
        <v>3973</v>
      </c>
      <c r="N858" s="11" t="s">
        <v>3974</v>
      </c>
      <c r="O858" s="11"/>
      <c r="P858" s="11">
        <v>2</v>
      </c>
      <c r="Q858" s="11"/>
      <c r="R858" s="11"/>
      <c r="S858" s="11" t="s">
        <v>3975</v>
      </c>
    </row>
    <row r="859" spans="1:19" hidden="1" x14ac:dyDescent="0.15">
      <c r="A859" s="34">
        <v>858</v>
      </c>
      <c r="B859" s="35" t="s">
        <v>4881</v>
      </c>
      <c r="C859" s="36" t="s">
        <v>3937</v>
      </c>
      <c r="D859" s="11" t="s">
        <v>1627</v>
      </c>
      <c r="E859" s="11" t="s">
        <v>1431</v>
      </c>
      <c r="F859" s="11">
        <v>14</v>
      </c>
      <c r="G859" s="11" t="s">
        <v>789</v>
      </c>
      <c r="H859" s="11" t="s">
        <v>788</v>
      </c>
      <c r="I859" s="11" t="s">
        <v>339</v>
      </c>
      <c r="J859" s="11" t="s">
        <v>2948</v>
      </c>
      <c r="K859" s="11"/>
      <c r="L859" s="11"/>
      <c r="M859" s="11" t="s">
        <v>351</v>
      </c>
      <c r="N859" s="11" t="s">
        <v>3976</v>
      </c>
      <c r="O859" s="11" t="s">
        <v>3977</v>
      </c>
      <c r="P859" s="11"/>
      <c r="Q859" s="11">
        <v>8</v>
      </c>
      <c r="R859" s="11">
        <v>8</v>
      </c>
      <c r="S859" s="11" t="s">
        <v>3978</v>
      </c>
    </row>
    <row r="860" spans="1:19" hidden="1" x14ac:dyDescent="0.15">
      <c r="A860" s="34">
        <v>859</v>
      </c>
      <c r="B860" s="35" t="s">
        <v>4881</v>
      </c>
      <c r="C860" s="36" t="s">
        <v>3937</v>
      </c>
      <c r="D860" s="11" t="s">
        <v>1627</v>
      </c>
      <c r="E860" s="11" t="s">
        <v>1431</v>
      </c>
      <c r="F860" s="11">
        <v>18</v>
      </c>
      <c r="G860" s="11" t="s">
        <v>787</v>
      </c>
      <c r="H860" s="11" t="s">
        <v>786</v>
      </c>
      <c r="I860" s="11" t="s">
        <v>339</v>
      </c>
      <c r="J860" s="11" t="s">
        <v>348</v>
      </c>
      <c r="K860" s="11"/>
      <c r="L860" s="11"/>
      <c r="M860" s="11" t="s">
        <v>3954</v>
      </c>
      <c r="N860" s="11" t="s">
        <v>3960</v>
      </c>
      <c r="O860" s="11" t="s">
        <v>3979</v>
      </c>
      <c r="P860" s="11"/>
      <c r="Q860" s="11">
        <v>8</v>
      </c>
      <c r="R860" s="11">
        <v>8</v>
      </c>
      <c r="S860" s="11" t="s">
        <v>3980</v>
      </c>
    </row>
    <row r="861" spans="1:19" hidden="1" x14ac:dyDescent="0.15">
      <c r="A861" s="34">
        <v>860</v>
      </c>
      <c r="B861" s="35" t="s">
        <v>4881</v>
      </c>
      <c r="C861" s="36" t="s">
        <v>3937</v>
      </c>
      <c r="D861" s="11" t="s">
        <v>1627</v>
      </c>
      <c r="E861" s="11" t="s">
        <v>1431</v>
      </c>
      <c r="F861" s="11">
        <v>24</v>
      </c>
      <c r="G861" s="11" t="s">
        <v>785</v>
      </c>
      <c r="H861" s="11" t="s">
        <v>784</v>
      </c>
      <c r="I861" s="11" t="s">
        <v>339</v>
      </c>
      <c r="J861" s="11" t="s">
        <v>352</v>
      </c>
      <c r="K861" s="11"/>
      <c r="L861" s="11"/>
      <c r="M861" s="11" t="s">
        <v>3194</v>
      </c>
      <c r="N861" s="11" t="s">
        <v>3981</v>
      </c>
      <c r="O861" s="11"/>
      <c r="P861" s="11"/>
      <c r="Q861" s="11">
        <v>8</v>
      </c>
      <c r="R861" s="11">
        <v>8</v>
      </c>
      <c r="S861" s="11" t="s">
        <v>3982</v>
      </c>
    </row>
    <row r="862" spans="1:19" hidden="1" x14ac:dyDescent="0.15">
      <c r="A862" s="34">
        <v>861</v>
      </c>
      <c r="B862" s="35" t="s">
        <v>4881</v>
      </c>
      <c r="C862" s="36" t="s">
        <v>3937</v>
      </c>
      <c r="D862" s="11" t="s">
        <v>1606</v>
      </c>
      <c r="E862" s="11" t="s">
        <v>1744</v>
      </c>
      <c r="F862" s="11">
        <v>9</v>
      </c>
      <c r="G862" s="11" t="s">
        <v>783</v>
      </c>
      <c r="H862" s="11" t="s">
        <v>782</v>
      </c>
      <c r="I862" s="11" t="s">
        <v>339</v>
      </c>
      <c r="J862" s="11" t="s">
        <v>2911</v>
      </c>
      <c r="K862" s="11" t="s">
        <v>2938</v>
      </c>
      <c r="L862" s="11"/>
      <c r="M862" s="11" t="s">
        <v>3983</v>
      </c>
      <c r="N862" s="11" t="s">
        <v>3984</v>
      </c>
      <c r="O862" s="11"/>
      <c r="P862" s="11"/>
      <c r="Q862" s="11">
        <v>1</v>
      </c>
      <c r="R862" s="11">
        <v>3</v>
      </c>
      <c r="S862" s="11" t="s">
        <v>3985</v>
      </c>
    </row>
    <row r="863" spans="1:19" hidden="1" x14ac:dyDescent="0.15">
      <c r="A863" s="34">
        <v>862</v>
      </c>
      <c r="B863" s="35" t="s">
        <v>4881</v>
      </c>
      <c r="C863" s="36" t="s">
        <v>3937</v>
      </c>
      <c r="D863" s="11" t="s">
        <v>1606</v>
      </c>
      <c r="E863" s="11" t="s">
        <v>1744</v>
      </c>
      <c r="F863" s="11">
        <v>6</v>
      </c>
      <c r="G863" s="11" t="s">
        <v>779</v>
      </c>
      <c r="H863" s="11" t="s">
        <v>778</v>
      </c>
      <c r="I863" s="11" t="s">
        <v>339</v>
      </c>
      <c r="J863" s="11" t="s">
        <v>2954</v>
      </c>
      <c r="K863" s="11"/>
      <c r="L863" s="11"/>
      <c r="M863" s="11" t="s">
        <v>3986</v>
      </c>
      <c r="N863" s="11"/>
      <c r="O863" s="11"/>
      <c r="P863" s="11"/>
      <c r="Q863" s="11">
        <v>1</v>
      </c>
      <c r="R863" s="11">
        <v>3</v>
      </c>
      <c r="S863" s="11" t="s">
        <v>3986</v>
      </c>
    </row>
    <row r="864" spans="1:19" hidden="1" x14ac:dyDescent="0.15">
      <c r="A864" s="34">
        <v>863</v>
      </c>
      <c r="B864" s="35" t="s">
        <v>4881</v>
      </c>
      <c r="C864" s="36" t="s">
        <v>3937</v>
      </c>
      <c r="D864" s="11" t="s">
        <v>1606</v>
      </c>
      <c r="E864" s="11" t="s">
        <v>1744</v>
      </c>
      <c r="F864" s="11">
        <v>15</v>
      </c>
      <c r="G864" s="11" t="s">
        <v>777</v>
      </c>
      <c r="H864" s="11" t="s">
        <v>776</v>
      </c>
      <c r="I864" s="11" t="s">
        <v>339</v>
      </c>
      <c r="J864" s="11" t="s">
        <v>3987</v>
      </c>
      <c r="K864" s="11"/>
      <c r="L864" s="11"/>
      <c r="M864" s="11" t="s">
        <v>3988</v>
      </c>
      <c r="N864" s="11" t="s">
        <v>3989</v>
      </c>
      <c r="O864" s="11" t="s">
        <v>3990</v>
      </c>
      <c r="P864" s="11"/>
      <c r="Q864" s="11">
        <v>6</v>
      </c>
      <c r="R864" s="11">
        <v>6</v>
      </c>
      <c r="S864" s="11" t="s">
        <v>3991</v>
      </c>
    </row>
    <row r="865" spans="1:19" hidden="1" x14ac:dyDescent="0.15">
      <c r="A865" s="34">
        <v>864</v>
      </c>
      <c r="B865" s="35" t="s">
        <v>4881</v>
      </c>
      <c r="C865" s="36" t="s">
        <v>3937</v>
      </c>
      <c r="D865" s="11" t="s">
        <v>1606</v>
      </c>
      <c r="E865" s="11" t="s">
        <v>1744</v>
      </c>
      <c r="F865" s="11">
        <v>7</v>
      </c>
      <c r="G865" s="11" t="s">
        <v>775</v>
      </c>
      <c r="H865" s="11" t="s">
        <v>774</v>
      </c>
      <c r="I865" s="11" t="s">
        <v>339</v>
      </c>
      <c r="J865" s="11" t="s">
        <v>2911</v>
      </c>
      <c r="K865" s="11" t="s">
        <v>1641</v>
      </c>
      <c r="L865" s="11"/>
      <c r="M865" s="11" t="s">
        <v>3693</v>
      </c>
      <c r="N865" s="11"/>
      <c r="O865" s="11"/>
      <c r="P865" s="11"/>
      <c r="Q865" s="11">
        <v>2</v>
      </c>
      <c r="R865" s="11">
        <v>2</v>
      </c>
      <c r="S865" s="11" t="s">
        <v>3693</v>
      </c>
    </row>
    <row r="866" spans="1:19" hidden="1" x14ac:dyDescent="0.15">
      <c r="A866" s="34">
        <v>865</v>
      </c>
      <c r="B866" s="35" t="s">
        <v>4881</v>
      </c>
      <c r="C866" s="36" t="s">
        <v>3937</v>
      </c>
      <c r="D866" s="11" t="s">
        <v>1606</v>
      </c>
      <c r="E866" s="11" t="s">
        <v>1744</v>
      </c>
      <c r="F866" s="11">
        <v>11</v>
      </c>
      <c r="G866" s="11" t="s">
        <v>769</v>
      </c>
      <c r="H866" s="11" t="s">
        <v>768</v>
      </c>
      <c r="I866" s="11" t="s">
        <v>339</v>
      </c>
      <c r="J866" s="11" t="s">
        <v>3497</v>
      </c>
      <c r="K866" s="11"/>
      <c r="L866" s="11"/>
      <c r="M866" s="11" t="s">
        <v>2595</v>
      </c>
      <c r="N866" s="11" t="s">
        <v>3940</v>
      </c>
      <c r="O866" s="11" t="s">
        <v>3949</v>
      </c>
      <c r="P866" s="11"/>
      <c r="Q866" s="11">
        <v>1</v>
      </c>
      <c r="R866" s="11">
        <v>3</v>
      </c>
      <c r="S866" s="11" t="s">
        <v>3992</v>
      </c>
    </row>
    <row r="867" spans="1:19" hidden="1" x14ac:dyDescent="0.15">
      <c r="A867" s="34">
        <v>866</v>
      </c>
      <c r="B867" s="35" t="s">
        <v>4881</v>
      </c>
      <c r="C867" s="36" t="s">
        <v>3937</v>
      </c>
      <c r="D867" s="11" t="s">
        <v>1606</v>
      </c>
      <c r="E867" s="11" t="s">
        <v>1744</v>
      </c>
      <c r="F867" s="11">
        <v>7</v>
      </c>
      <c r="G867" s="11" t="s">
        <v>767</v>
      </c>
      <c r="H867" s="11" t="s">
        <v>766</v>
      </c>
      <c r="I867" s="11" t="s">
        <v>339</v>
      </c>
      <c r="J867" s="11" t="s">
        <v>2911</v>
      </c>
      <c r="K867" s="11" t="s">
        <v>1799</v>
      </c>
      <c r="L867" s="11"/>
      <c r="M867" s="11" t="s">
        <v>3993</v>
      </c>
      <c r="N867" s="11"/>
      <c r="O867" s="11"/>
      <c r="P867" s="11"/>
      <c r="Q867" s="11">
        <v>2</v>
      </c>
      <c r="R867" s="11">
        <v>2</v>
      </c>
      <c r="S867" s="11" t="s">
        <v>3993</v>
      </c>
    </row>
    <row r="868" spans="1:19" hidden="1" x14ac:dyDescent="0.15">
      <c r="A868" s="34">
        <v>867</v>
      </c>
      <c r="B868" s="35" t="s">
        <v>4881</v>
      </c>
      <c r="C868" s="36" t="s">
        <v>3937</v>
      </c>
      <c r="D868" s="11" t="s">
        <v>1606</v>
      </c>
      <c r="E868" s="11" t="s">
        <v>1744</v>
      </c>
      <c r="F868" s="11">
        <v>5</v>
      </c>
      <c r="G868" s="11" t="s">
        <v>765</v>
      </c>
      <c r="H868" s="11" t="s">
        <v>764</v>
      </c>
      <c r="I868" s="11" t="s">
        <v>339</v>
      </c>
      <c r="J868" s="11" t="s">
        <v>1489</v>
      </c>
      <c r="K868" s="11" t="s">
        <v>1641</v>
      </c>
      <c r="L868" s="11"/>
      <c r="M868" s="11" t="s">
        <v>3994</v>
      </c>
      <c r="N868" s="11"/>
      <c r="O868" s="11"/>
      <c r="P868" s="11"/>
      <c r="Q868" s="11">
        <v>2</v>
      </c>
      <c r="R868" s="11">
        <v>2</v>
      </c>
      <c r="S868" s="11" t="s">
        <v>3994</v>
      </c>
    </row>
    <row r="869" spans="1:19" hidden="1" x14ac:dyDescent="0.15">
      <c r="A869" s="34">
        <v>868</v>
      </c>
      <c r="B869" s="35" t="s">
        <v>4881</v>
      </c>
      <c r="C869" s="36" t="s">
        <v>3937</v>
      </c>
      <c r="D869" s="11" t="s">
        <v>1606</v>
      </c>
      <c r="E869" s="11" t="s">
        <v>1744</v>
      </c>
      <c r="F869" s="11">
        <v>6</v>
      </c>
      <c r="G869" s="11" t="s">
        <v>3995</v>
      </c>
      <c r="H869" s="11" t="s">
        <v>3996</v>
      </c>
      <c r="I869" s="11" t="s">
        <v>339</v>
      </c>
      <c r="J869" s="11" t="s">
        <v>2515</v>
      </c>
      <c r="K869" s="11"/>
      <c r="L869" s="11"/>
      <c r="M869" s="11" t="s">
        <v>351</v>
      </c>
      <c r="N869" s="11"/>
      <c r="O869" s="11"/>
      <c r="P869" s="11"/>
      <c r="Q869" s="11">
        <v>2</v>
      </c>
      <c r="R869" s="11">
        <v>2</v>
      </c>
      <c r="S869" s="11" t="s">
        <v>351</v>
      </c>
    </row>
    <row r="870" spans="1:19" hidden="1" x14ac:dyDescent="0.15">
      <c r="A870" s="34">
        <v>869</v>
      </c>
      <c r="B870" s="35" t="s">
        <v>4881</v>
      </c>
      <c r="C870" s="36" t="s">
        <v>3937</v>
      </c>
      <c r="D870" s="11" t="s">
        <v>1606</v>
      </c>
      <c r="E870" s="11" t="s">
        <v>1744</v>
      </c>
      <c r="F870" s="11">
        <v>6</v>
      </c>
      <c r="G870" s="11" t="s">
        <v>781</v>
      </c>
      <c r="H870" s="11" t="s">
        <v>780</v>
      </c>
      <c r="I870" s="11" t="s">
        <v>1453</v>
      </c>
      <c r="J870" s="11"/>
      <c r="K870" s="11"/>
      <c r="L870" s="11"/>
      <c r="M870" s="11" t="s">
        <v>3997</v>
      </c>
      <c r="N870" s="11"/>
      <c r="O870" s="11"/>
      <c r="P870" s="11"/>
      <c r="Q870" s="11"/>
      <c r="R870" s="11"/>
      <c r="S870" s="11" t="s">
        <v>3997</v>
      </c>
    </row>
    <row r="871" spans="1:19" hidden="1" x14ac:dyDescent="0.15">
      <c r="A871" s="34">
        <v>870</v>
      </c>
      <c r="B871" s="35" t="s">
        <v>4881</v>
      </c>
      <c r="C871" s="36" t="s">
        <v>3937</v>
      </c>
      <c r="D871" s="11" t="s">
        <v>1606</v>
      </c>
      <c r="E871" s="11" t="s">
        <v>1744</v>
      </c>
      <c r="F871" s="11">
        <v>6</v>
      </c>
      <c r="G871" s="11" t="s">
        <v>773</v>
      </c>
      <c r="H871" s="11" t="s">
        <v>772</v>
      </c>
      <c r="I871" s="11" t="s">
        <v>1453</v>
      </c>
      <c r="J871" s="11"/>
      <c r="K871" s="11"/>
      <c r="L871" s="11"/>
      <c r="M871" s="11" t="s">
        <v>3998</v>
      </c>
      <c r="N871" s="11"/>
      <c r="O871" s="11"/>
      <c r="P871" s="11"/>
      <c r="Q871" s="11"/>
      <c r="R871" s="11"/>
      <c r="S871" s="11" t="s">
        <v>3998</v>
      </c>
    </row>
    <row r="872" spans="1:19" hidden="1" x14ac:dyDescent="0.15">
      <c r="A872" s="34">
        <v>871</v>
      </c>
      <c r="B872" s="35" t="s">
        <v>4881</v>
      </c>
      <c r="C872" s="36" t="s">
        <v>3937</v>
      </c>
      <c r="D872" s="11" t="s">
        <v>1606</v>
      </c>
      <c r="E872" s="11" t="s">
        <v>1744</v>
      </c>
      <c r="F872" s="11">
        <v>6</v>
      </c>
      <c r="G872" s="11" t="s">
        <v>771</v>
      </c>
      <c r="H872" s="11" t="s">
        <v>770</v>
      </c>
      <c r="I872" s="11" t="s">
        <v>1453</v>
      </c>
      <c r="J872" s="11"/>
      <c r="K872" s="11"/>
      <c r="L872" s="11"/>
      <c r="M872" s="11" t="s">
        <v>3999</v>
      </c>
      <c r="N872" s="11"/>
      <c r="O872" s="11"/>
      <c r="P872" s="11"/>
      <c r="Q872" s="11"/>
      <c r="R872" s="11"/>
      <c r="S872" s="11" t="s">
        <v>3999</v>
      </c>
    </row>
    <row r="873" spans="1:19" hidden="1" x14ac:dyDescent="0.15">
      <c r="A873" s="34">
        <v>872</v>
      </c>
      <c r="B873" s="35" t="s">
        <v>4881</v>
      </c>
      <c r="C873" s="36" t="s">
        <v>3937</v>
      </c>
      <c r="D873" s="11" t="s">
        <v>1606</v>
      </c>
      <c r="E873" s="11" t="s">
        <v>1451</v>
      </c>
      <c r="F873" s="11">
        <v>10</v>
      </c>
      <c r="G873" s="11" t="s">
        <v>4842</v>
      </c>
      <c r="H873" s="11" t="s">
        <v>760</v>
      </c>
      <c r="I873" s="11" t="s">
        <v>339</v>
      </c>
      <c r="J873" s="11" t="s">
        <v>1489</v>
      </c>
      <c r="K873" s="11" t="s">
        <v>1641</v>
      </c>
      <c r="L873" s="11"/>
      <c r="M873" s="11" t="s">
        <v>351</v>
      </c>
      <c r="N873" s="11" t="s">
        <v>4000</v>
      </c>
      <c r="O873" s="11"/>
      <c r="P873" s="11"/>
      <c r="Q873" s="11">
        <v>3</v>
      </c>
      <c r="R873" s="11">
        <v>5</v>
      </c>
      <c r="S873" s="11" t="s">
        <v>4001</v>
      </c>
    </row>
    <row r="874" spans="1:19" hidden="1" x14ac:dyDescent="0.15">
      <c r="A874" s="34">
        <v>873</v>
      </c>
      <c r="B874" s="35" t="s">
        <v>4881</v>
      </c>
      <c r="C874" s="36" t="s">
        <v>3937</v>
      </c>
      <c r="D874" s="11" t="s">
        <v>1606</v>
      </c>
      <c r="E874" s="11" t="s">
        <v>1451</v>
      </c>
      <c r="F874" s="11">
        <v>9</v>
      </c>
      <c r="G874" s="11" t="s">
        <v>4844</v>
      </c>
      <c r="H874" s="11" t="s">
        <v>757</v>
      </c>
      <c r="I874" s="11" t="s">
        <v>339</v>
      </c>
      <c r="J874" s="11" t="s">
        <v>2948</v>
      </c>
      <c r="K874" s="11"/>
      <c r="L874" s="11"/>
      <c r="M874" s="11" t="s">
        <v>351</v>
      </c>
      <c r="N874" s="11" t="s">
        <v>4002</v>
      </c>
      <c r="O874" s="11"/>
      <c r="P874" s="11"/>
      <c r="Q874" s="11">
        <v>3</v>
      </c>
      <c r="R874" s="11">
        <v>5</v>
      </c>
      <c r="S874" s="11" t="s">
        <v>4003</v>
      </c>
    </row>
    <row r="875" spans="1:19" hidden="1" x14ac:dyDescent="0.15">
      <c r="A875" s="34">
        <v>874</v>
      </c>
      <c r="B875" s="35" t="s">
        <v>4881</v>
      </c>
      <c r="C875" s="36" t="s">
        <v>3937</v>
      </c>
      <c r="D875" s="11" t="s">
        <v>1606</v>
      </c>
      <c r="E875" s="11" t="s">
        <v>1451</v>
      </c>
      <c r="F875" s="11">
        <v>9</v>
      </c>
      <c r="G875" s="11" t="s">
        <v>756</v>
      </c>
      <c r="H875" s="11" t="s">
        <v>755</v>
      </c>
      <c r="I875" s="11" t="s">
        <v>339</v>
      </c>
      <c r="J875" s="11" t="s">
        <v>2911</v>
      </c>
      <c r="K875" s="11" t="s">
        <v>1799</v>
      </c>
      <c r="L875" s="11"/>
      <c r="M875" s="11" t="s">
        <v>3940</v>
      </c>
      <c r="N875" s="11" t="s">
        <v>4004</v>
      </c>
      <c r="O875" s="11"/>
      <c r="P875" s="11"/>
      <c r="Q875" s="11">
        <v>3</v>
      </c>
      <c r="R875" s="11">
        <v>4</v>
      </c>
      <c r="S875" s="11" t="s">
        <v>4005</v>
      </c>
    </row>
    <row r="876" spans="1:19" hidden="1" x14ac:dyDescent="0.15">
      <c r="A876" s="34">
        <v>875</v>
      </c>
      <c r="B876" s="35" t="s">
        <v>4881</v>
      </c>
      <c r="C876" s="36" t="s">
        <v>3937</v>
      </c>
      <c r="D876" s="11" t="s">
        <v>1606</v>
      </c>
      <c r="E876" s="11" t="s">
        <v>1451</v>
      </c>
      <c r="F876" s="11">
        <v>9</v>
      </c>
      <c r="G876" s="11" t="s">
        <v>754</v>
      </c>
      <c r="H876" s="11" t="s">
        <v>753</v>
      </c>
      <c r="I876" s="11" t="s">
        <v>339</v>
      </c>
      <c r="J876" s="11" t="s">
        <v>4006</v>
      </c>
      <c r="K876" s="11"/>
      <c r="L876" s="11"/>
      <c r="M876" s="11" t="s">
        <v>3177</v>
      </c>
      <c r="N876" s="11"/>
      <c r="O876" s="11"/>
      <c r="P876" s="11"/>
      <c r="Q876" s="11">
        <v>4</v>
      </c>
      <c r="R876" s="11">
        <v>3</v>
      </c>
      <c r="S876" s="11" t="s">
        <v>3177</v>
      </c>
    </row>
    <row r="877" spans="1:19" hidden="1" x14ac:dyDescent="0.15">
      <c r="A877" s="34">
        <v>876</v>
      </c>
      <c r="B877" s="35" t="s">
        <v>4881</v>
      </c>
      <c r="C877" s="36" t="s">
        <v>3937</v>
      </c>
      <c r="D877" s="11" t="s">
        <v>1606</v>
      </c>
      <c r="E877" s="11" t="s">
        <v>1451</v>
      </c>
      <c r="F877" s="11">
        <v>12</v>
      </c>
      <c r="G877" s="11" t="s">
        <v>752</v>
      </c>
      <c r="H877" s="11" t="s">
        <v>751</v>
      </c>
      <c r="I877" s="11" t="s">
        <v>339</v>
      </c>
      <c r="J877" s="11" t="s">
        <v>2911</v>
      </c>
      <c r="K877" s="11" t="s">
        <v>4007</v>
      </c>
      <c r="L877" s="11"/>
      <c r="M877" s="11" t="s">
        <v>3940</v>
      </c>
      <c r="N877" s="11" t="s">
        <v>4008</v>
      </c>
      <c r="O877" s="11"/>
      <c r="P877" s="11"/>
      <c r="Q877" s="11">
        <v>3</v>
      </c>
      <c r="R877" s="11">
        <v>4</v>
      </c>
      <c r="S877" s="11" t="s">
        <v>4009</v>
      </c>
    </row>
    <row r="878" spans="1:19" hidden="1" x14ac:dyDescent="0.15">
      <c r="A878" s="34">
        <v>877</v>
      </c>
      <c r="B878" s="35" t="s">
        <v>4881</v>
      </c>
      <c r="C878" s="36" t="s">
        <v>3937</v>
      </c>
      <c r="D878" s="11" t="s">
        <v>1606</v>
      </c>
      <c r="E878" s="11" t="s">
        <v>1451</v>
      </c>
      <c r="F878" s="11">
        <v>8</v>
      </c>
      <c r="G878" s="11" t="s">
        <v>763</v>
      </c>
      <c r="H878" s="11" t="s">
        <v>762</v>
      </c>
      <c r="I878" s="11" t="s">
        <v>1453</v>
      </c>
      <c r="J878" s="11"/>
      <c r="K878" s="11"/>
      <c r="L878" s="11"/>
      <c r="M878" s="11" t="s">
        <v>4010</v>
      </c>
      <c r="N878" s="11"/>
      <c r="O878" s="11"/>
      <c r="P878" s="11"/>
      <c r="Q878" s="11"/>
      <c r="R878" s="11"/>
      <c r="S878" s="11" t="s">
        <v>4010</v>
      </c>
    </row>
    <row r="879" spans="1:19" hidden="1" x14ac:dyDescent="0.15">
      <c r="A879" s="34">
        <v>878</v>
      </c>
      <c r="B879" s="35" t="s">
        <v>4881</v>
      </c>
      <c r="C879" s="36" t="s">
        <v>3937</v>
      </c>
      <c r="D879" s="11" t="s">
        <v>1606</v>
      </c>
      <c r="E879" s="11" t="s">
        <v>1451</v>
      </c>
      <c r="F879" s="11">
        <v>5</v>
      </c>
      <c r="G879" s="11" t="s">
        <v>4845</v>
      </c>
      <c r="H879" s="11" t="s">
        <v>759</v>
      </c>
      <c r="I879" s="11" t="s">
        <v>1453</v>
      </c>
      <c r="J879" s="11"/>
      <c r="K879" s="11"/>
      <c r="L879" s="11"/>
      <c r="M879" s="11" t="s">
        <v>4011</v>
      </c>
      <c r="N879" s="11"/>
      <c r="O879" s="11"/>
      <c r="P879" s="11"/>
      <c r="Q879" s="11"/>
      <c r="R879" s="11"/>
      <c r="S879" s="11" t="s">
        <v>4011</v>
      </c>
    </row>
    <row r="880" spans="1:19" hidden="1" x14ac:dyDescent="0.15">
      <c r="A880" s="34">
        <v>879</v>
      </c>
      <c r="B880" s="35" t="s">
        <v>4881</v>
      </c>
      <c r="C880" s="36" t="s">
        <v>3937</v>
      </c>
      <c r="D880" s="11" t="s">
        <v>1606</v>
      </c>
      <c r="E880" s="11" t="s">
        <v>1441</v>
      </c>
      <c r="F880" s="11">
        <v>18</v>
      </c>
      <c r="G880" s="11" t="s">
        <v>750</v>
      </c>
      <c r="H880" s="11" t="s">
        <v>749</v>
      </c>
      <c r="I880" s="11" t="s">
        <v>339</v>
      </c>
      <c r="J880" s="11" t="s">
        <v>4012</v>
      </c>
      <c r="K880" s="11"/>
      <c r="L880" s="11"/>
      <c r="M880" s="11" t="s">
        <v>351</v>
      </c>
      <c r="N880" s="11" t="s">
        <v>4013</v>
      </c>
      <c r="O880" s="11" t="s">
        <v>4014</v>
      </c>
      <c r="P880" s="11"/>
      <c r="Q880" s="11">
        <v>6</v>
      </c>
      <c r="R880" s="11">
        <v>6</v>
      </c>
      <c r="S880" s="11" t="s">
        <v>4015</v>
      </c>
    </row>
    <row r="881" spans="1:19" hidden="1" x14ac:dyDescent="0.15">
      <c r="A881" s="34">
        <v>880</v>
      </c>
      <c r="B881" s="35" t="s">
        <v>4881</v>
      </c>
      <c r="C881" s="36" t="s">
        <v>3937</v>
      </c>
      <c r="D881" s="11" t="s">
        <v>1606</v>
      </c>
      <c r="E881" s="11" t="s">
        <v>1441</v>
      </c>
      <c r="F881" s="11">
        <v>15</v>
      </c>
      <c r="G881" s="11" t="s">
        <v>4862</v>
      </c>
      <c r="H881" s="11" t="s">
        <v>748</v>
      </c>
      <c r="I881" s="11" t="s">
        <v>1453</v>
      </c>
      <c r="J881" s="11"/>
      <c r="K881" s="11"/>
      <c r="L881" s="11"/>
      <c r="M881" s="11" t="s">
        <v>4016</v>
      </c>
      <c r="N881" s="11"/>
      <c r="O881" s="11"/>
      <c r="P881" s="11"/>
      <c r="Q881" s="11"/>
      <c r="R881" s="11"/>
      <c r="S881" s="11" t="s">
        <v>4016</v>
      </c>
    </row>
    <row r="882" spans="1:19" hidden="1" x14ac:dyDescent="0.15">
      <c r="A882" s="34">
        <v>881</v>
      </c>
      <c r="B882" s="35" t="s">
        <v>4881</v>
      </c>
      <c r="C882" s="36" t="s">
        <v>3937</v>
      </c>
      <c r="D882" s="11" t="s">
        <v>1606</v>
      </c>
      <c r="E882" s="11" t="s">
        <v>1441</v>
      </c>
      <c r="F882" s="11">
        <v>20</v>
      </c>
      <c r="G882" s="11" t="s">
        <v>743</v>
      </c>
      <c r="H882" s="11" t="s">
        <v>742</v>
      </c>
      <c r="I882" s="11" t="s">
        <v>1453</v>
      </c>
      <c r="J882" s="11"/>
      <c r="K882" s="11"/>
      <c r="L882" s="11"/>
      <c r="M882" s="11" t="s">
        <v>4017</v>
      </c>
      <c r="N882" s="11" t="s">
        <v>4018</v>
      </c>
      <c r="O882" s="11"/>
      <c r="P882" s="11"/>
      <c r="Q882" s="11"/>
      <c r="R882" s="11"/>
      <c r="S882" s="11" t="s">
        <v>4019</v>
      </c>
    </row>
    <row r="883" spans="1:19" hidden="1" x14ac:dyDescent="0.15">
      <c r="A883" s="34">
        <v>882</v>
      </c>
      <c r="B883" s="35" t="s">
        <v>4881</v>
      </c>
      <c r="C883" s="36" t="s">
        <v>3937</v>
      </c>
      <c r="D883" s="11" t="s">
        <v>1606</v>
      </c>
      <c r="E883" s="11" t="s">
        <v>1441</v>
      </c>
      <c r="F883" s="11">
        <v>11</v>
      </c>
      <c r="G883" s="11" t="s">
        <v>741</v>
      </c>
      <c r="H883" s="11" t="s">
        <v>740</v>
      </c>
      <c r="I883" s="11" t="s">
        <v>1453</v>
      </c>
      <c r="J883" s="11"/>
      <c r="K883" s="11"/>
      <c r="L883" s="11"/>
      <c r="M883" s="11" t="s">
        <v>4020</v>
      </c>
      <c r="N883" s="11"/>
      <c r="O883" s="11"/>
      <c r="P883" s="11"/>
      <c r="Q883" s="11"/>
      <c r="R883" s="11"/>
      <c r="S883" s="11" t="s">
        <v>4020</v>
      </c>
    </row>
    <row r="884" spans="1:19" hidden="1" x14ac:dyDescent="0.15">
      <c r="A884" s="34">
        <v>883</v>
      </c>
      <c r="B884" s="35" t="s">
        <v>4881</v>
      </c>
      <c r="C884" s="36" t="s">
        <v>3937</v>
      </c>
      <c r="D884" s="11" t="s">
        <v>1606</v>
      </c>
      <c r="E884" s="11" t="s">
        <v>1441</v>
      </c>
      <c r="F884" s="11">
        <v>5</v>
      </c>
      <c r="G884" s="11" t="s">
        <v>747</v>
      </c>
      <c r="H884" s="11" t="s">
        <v>746</v>
      </c>
      <c r="I884" s="11" t="s">
        <v>288</v>
      </c>
      <c r="J884" s="11"/>
      <c r="K884" s="11"/>
      <c r="L884" s="11"/>
      <c r="M884" s="11" t="s">
        <v>4021</v>
      </c>
      <c r="N884" s="11" t="s">
        <v>4022</v>
      </c>
      <c r="O884" s="11"/>
      <c r="P884" s="11">
        <v>3</v>
      </c>
      <c r="Q884" s="11"/>
      <c r="R884" s="11"/>
      <c r="S884" s="11" t="s">
        <v>4023</v>
      </c>
    </row>
    <row r="885" spans="1:19" hidden="1" x14ac:dyDescent="0.15">
      <c r="A885" s="34">
        <v>884</v>
      </c>
      <c r="B885" s="35" t="s">
        <v>4881</v>
      </c>
      <c r="C885" s="36" t="s">
        <v>3937</v>
      </c>
      <c r="D885" s="11" t="s">
        <v>1606</v>
      </c>
      <c r="E885" s="11" t="s">
        <v>1441</v>
      </c>
      <c r="F885" s="11">
        <v>6</v>
      </c>
      <c r="G885" s="11" t="s">
        <v>745</v>
      </c>
      <c r="H885" s="11" t="s">
        <v>744</v>
      </c>
      <c r="I885" s="11" t="s">
        <v>288</v>
      </c>
      <c r="J885" s="11"/>
      <c r="K885" s="11"/>
      <c r="L885" s="11"/>
      <c r="M885" s="11" t="s">
        <v>4024</v>
      </c>
      <c r="N885" s="11"/>
      <c r="O885" s="11"/>
      <c r="P885" s="11">
        <v>2</v>
      </c>
      <c r="Q885" s="11"/>
      <c r="R885" s="11"/>
      <c r="S885" s="11" t="s">
        <v>4024</v>
      </c>
    </row>
    <row r="886" spans="1:19" hidden="1" x14ac:dyDescent="0.15">
      <c r="A886" s="34">
        <v>885</v>
      </c>
      <c r="B886" s="35" t="s">
        <v>4881</v>
      </c>
      <c r="C886" s="36" t="s">
        <v>3937</v>
      </c>
      <c r="D886" s="11" t="s">
        <v>1606</v>
      </c>
      <c r="E886" s="11" t="s">
        <v>1431</v>
      </c>
      <c r="F886" s="11">
        <v>11</v>
      </c>
      <c r="G886" s="11" t="s">
        <v>737</v>
      </c>
      <c r="H886" s="11" t="s">
        <v>736</v>
      </c>
      <c r="I886" s="11" t="s">
        <v>339</v>
      </c>
      <c r="J886" s="11" t="s">
        <v>2911</v>
      </c>
      <c r="K886" s="11" t="s">
        <v>1641</v>
      </c>
      <c r="L886" s="11"/>
      <c r="M886" s="11" t="s">
        <v>4025</v>
      </c>
      <c r="N886" s="11" t="s">
        <v>4026</v>
      </c>
      <c r="O886" s="11"/>
      <c r="P886" s="11"/>
      <c r="Q886" s="11">
        <v>4</v>
      </c>
      <c r="R886" s="11">
        <v>4</v>
      </c>
      <c r="S886" s="11" t="s">
        <v>4027</v>
      </c>
    </row>
    <row r="887" spans="1:19" hidden="1" x14ac:dyDescent="0.15">
      <c r="A887" s="34">
        <v>886</v>
      </c>
      <c r="B887" s="35" t="s">
        <v>4881</v>
      </c>
      <c r="C887" s="36" t="s">
        <v>3937</v>
      </c>
      <c r="D887" s="11" t="s">
        <v>1606</v>
      </c>
      <c r="E887" s="11" t="s">
        <v>1431</v>
      </c>
      <c r="F887" s="11">
        <v>24</v>
      </c>
      <c r="G887" s="11" t="s">
        <v>735</v>
      </c>
      <c r="H887" s="11" t="s">
        <v>734</v>
      </c>
      <c r="I887" s="11" t="s">
        <v>339</v>
      </c>
      <c r="J887" s="11" t="s">
        <v>352</v>
      </c>
      <c r="K887" s="11"/>
      <c r="L887" s="11"/>
      <c r="M887" s="11" t="s">
        <v>2595</v>
      </c>
      <c r="N887" s="11" t="s">
        <v>4028</v>
      </c>
      <c r="O887" s="11"/>
      <c r="P887" s="11"/>
      <c r="Q887" s="11">
        <v>8</v>
      </c>
      <c r="R887" s="11">
        <v>8</v>
      </c>
      <c r="S887" s="11" t="s">
        <v>4029</v>
      </c>
    </row>
    <row r="888" spans="1:19" hidden="1" x14ac:dyDescent="0.15">
      <c r="A888" s="34">
        <v>887</v>
      </c>
      <c r="B888" s="35" t="s">
        <v>4881</v>
      </c>
      <c r="C888" s="36" t="s">
        <v>3937</v>
      </c>
      <c r="D888" s="11" t="s">
        <v>1606</v>
      </c>
      <c r="E888" s="11" t="s">
        <v>1431</v>
      </c>
      <c r="F888" s="11">
        <v>11</v>
      </c>
      <c r="G888" s="11" t="s">
        <v>739</v>
      </c>
      <c r="H888" s="11" t="s">
        <v>738</v>
      </c>
      <c r="I888" s="11" t="s">
        <v>288</v>
      </c>
      <c r="J888" s="11"/>
      <c r="K888" s="11"/>
      <c r="L888" s="11"/>
      <c r="M888" s="11" t="s">
        <v>4030</v>
      </c>
      <c r="N888" s="11"/>
      <c r="O888" s="11"/>
      <c r="P888" s="11">
        <v>3</v>
      </c>
      <c r="Q888" s="11"/>
      <c r="R888" s="11"/>
      <c r="S888" s="11" t="s">
        <v>4030</v>
      </c>
    </row>
    <row r="889" spans="1:19" hidden="1" x14ac:dyDescent="0.15">
      <c r="A889" s="34">
        <v>888</v>
      </c>
      <c r="B889" s="35" t="s">
        <v>4881</v>
      </c>
      <c r="C889" s="36" t="s">
        <v>3937</v>
      </c>
      <c r="D889" s="11" t="s">
        <v>1582</v>
      </c>
      <c r="E889" s="11" t="s">
        <v>1744</v>
      </c>
      <c r="F889" s="11">
        <v>5</v>
      </c>
      <c r="G889" s="11" t="s">
        <v>733</v>
      </c>
      <c r="H889" s="11" t="s">
        <v>732</v>
      </c>
      <c r="I889" s="11" t="s">
        <v>339</v>
      </c>
      <c r="J889" s="11" t="s">
        <v>4031</v>
      </c>
      <c r="K889" s="11" t="s">
        <v>1641</v>
      </c>
      <c r="L889" s="11"/>
      <c r="M889" s="11" t="s">
        <v>3943</v>
      </c>
      <c r="N889" s="11"/>
      <c r="O889" s="11"/>
      <c r="P889" s="11"/>
      <c r="Q889" s="11">
        <v>2</v>
      </c>
      <c r="R889" s="11">
        <v>1</v>
      </c>
      <c r="S889" s="11" t="s">
        <v>3943</v>
      </c>
    </row>
    <row r="890" spans="1:19" hidden="1" x14ac:dyDescent="0.15">
      <c r="A890" s="34">
        <v>889</v>
      </c>
      <c r="B890" s="35" t="s">
        <v>4881</v>
      </c>
      <c r="C890" s="36" t="s">
        <v>3937</v>
      </c>
      <c r="D890" s="11" t="s">
        <v>1582</v>
      </c>
      <c r="E890" s="11" t="s">
        <v>1744</v>
      </c>
      <c r="F890" s="11">
        <v>10</v>
      </c>
      <c r="G890" s="11" t="s">
        <v>729</v>
      </c>
      <c r="H890" s="11" t="s">
        <v>728</v>
      </c>
      <c r="I890" s="11" t="s">
        <v>339</v>
      </c>
      <c r="J890" s="11" t="s">
        <v>4032</v>
      </c>
      <c r="K890" s="11"/>
      <c r="L890" s="11"/>
      <c r="M890" s="11" t="s">
        <v>4033</v>
      </c>
      <c r="N890" s="11"/>
      <c r="O890" s="11"/>
      <c r="P890" s="11"/>
      <c r="Q890" s="11">
        <v>1</v>
      </c>
      <c r="R890" s="11">
        <v>3</v>
      </c>
      <c r="S890" s="11" t="s">
        <v>4033</v>
      </c>
    </row>
    <row r="891" spans="1:19" hidden="1" x14ac:dyDescent="0.15">
      <c r="A891" s="34">
        <v>890</v>
      </c>
      <c r="B891" s="35" t="s">
        <v>4881</v>
      </c>
      <c r="C891" s="36" t="s">
        <v>3937</v>
      </c>
      <c r="D891" s="11" t="s">
        <v>1582</v>
      </c>
      <c r="E891" s="11" t="s">
        <v>1744</v>
      </c>
      <c r="F891" s="11">
        <v>7</v>
      </c>
      <c r="G891" s="11" t="s">
        <v>727</v>
      </c>
      <c r="H891" s="11" t="s">
        <v>726</v>
      </c>
      <c r="I891" s="11" t="s">
        <v>339</v>
      </c>
      <c r="J891" s="11" t="s">
        <v>2128</v>
      </c>
      <c r="K891" s="11"/>
      <c r="L891" s="11"/>
      <c r="M891" s="11" t="s">
        <v>351</v>
      </c>
      <c r="N891" s="11" t="s">
        <v>4034</v>
      </c>
      <c r="O891" s="11"/>
      <c r="P891" s="11"/>
      <c r="Q891" s="11">
        <v>2</v>
      </c>
      <c r="R891" s="11">
        <v>1</v>
      </c>
      <c r="S891" s="11" t="s">
        <v>4035</v>
      </c>
    </row>
    <row r="892" spans="1:19" hidden="1" x14ac:dyDescent="0.15">
      <c r="A892" s="34">
        <v>891</v>
      </c>
      <c r="B892" s="35" t="s">
        <v>4881</v>
      </c>
      <c r="C892" s="36" t="s">
        <v>3937</v>
      </c>
      <c r="D892" s="11" t="s">
        <v>1582</v>
      </c>
      <c r="E892" s="11" t="s">
        <v>1744</v>
      </c>
      <c r="F892" s="11">
        <v>11</v>
      </c>
      <c r="G892" s="11" t="s">
        <v>725</v>
      </c>
      <c r="H892" s="11" t="s">
        <v>724</v>
      </c>
      <c r="I892" s="11" t="s">
        <v>339</v>
      </c>
      <c r="J892" s="11" t="s">
        <v>4031</v>
      </c>
      <c r="K892" s="11" t="s">
        <v>2938</v>
      </c>
      <c r="L892" s="11"/>
      <c r="M892" s="11" t="s">
        <v>2595</v>
      </c>
      <c r="N892" s="11" t="s">
        <v>4036</v>
      </c>
      <c r="O892" s="11"/>
      <c r="P892" s="11"/>
      <c r="Q892" s="11">
        <v>3</v>
      </c>
      <c r="R892" s="11">
        <v>1</v>
      </c>
      <c r="S892" s="11" t="s">
        <v>4037</v>
      </c>
    </row>
    <row r="893" spans="1:19" hidden="1" x14ac:dyDescent="0.15">
      <c r="A893" s="34">
        <v>892</v>
      </c>
      <c r="B893" s="35" t="s">
        <v>4881</v>
      </c>
      <c r="C893" s="36" t="s">
        <v>3937</v>
      </c>
      <c r="D893" s="11" t="s">
        <v>1582</v>
      </c>
      <c r="E893" s="11" t="s">
        <v>1744</v>
      </c>
      <c r="F893" s="11">
        <v>8</v>
      </c>
      <c r="G893" s="11" t="s">
        <v>721</v>
      </c>
      <c r="H893" s="11" t="s">
        <v>720</v>
      </c>
      <c r="I893" s="11" t="s">
        <v>339</v>
      </c>
      <c r="J893" s="11" t="s">
        <v>1489</v>
      </c>
      <c r="K893" s="11" t="s">
        <v>1641</v>
      </c>
      <c r="L893" s="11"/>
      <c r="M893" s="11" t="s">
        <v>2048</v>
      </c>
      <c r="N893" s="11" t="s">
        <v>3943</v>
      </c>
      <c r="O893" s="11"/>
      <c r="P893" s="11"/>
      <c r="Q893" s="11">
        <v>3</v>
      </c>
      <c r="R893" s="11">
        <v>1</v>
      </c>
      <c r="S893" s="11" t="s">
        <v>4038</v>
      </c>
    </row>
    <row r="894" spans="1:19" hidden="1" x14ac:dyDescent="0.15">
      <c r="A894" s="34">
        <v>893</v>
      </c>
      <c r="B894" s="35" t="s">
        <v>4881</v>
      </c>
      <c r="C894" s="36" t="s">
        <v>3937</v>
      </c>
      <c r="D894" s="11" t="s">
        <v>1582</v>
      </c>
      <c r="E894" s="11" t="s">
        <v>1744</v>
      </c>
      <c r="F894" s="11">
        <v>11</v>
      </c>
      <c r="G894" s="11" t="s">
        <v>719</v>
      </c>
      <c r="H894" s="11" t="s">
        <v>718</v>
      </c>
      <c r="I894" s="11" t="s">
        <v>339</v>
      </c>
      <c r="J894" s="11" t="s">
        <v>1489</v>
      </c>
      <c r="K894" s="11" t="s">
        <v>2938</v>
      </c>
      <c r="L894" s="11"/>
      <c r="M894" s="11" t="s">
        <v>4039</v>
      </c>
      <c r="N894" s="11"/>
      <c r="O894" s="11"/>
      <c r="P894" s="11"/>
      <c r="Q894" s="11">
        <v>1</v>
      </c>
      <c r="R894" s="11">
        <v>1</v>
      </c>
      <c r="S894" s="11" t="s">
        <v>4039</v>
      </c>
    </row>
    <row r="895" spans="1:19" hidden="1" x14ac:dyDescent="0.15">
      <c r="A895" s="34">
        <v>894</v>
      </c>
      <c r="B895" s="35" t="s">
        <v>4881</v>
      </c>
      <c r="C895" s="36" t="s">
        <v>3937</v>
      </c>
      <c r="D895" s="11" t="s">
        <v>1582</v>
      </c>
      <c r="E895" s="11" t="s">
        <v>1744</v>
      </c>
      <c r="F895" s="11">
        <v>8</v>
      </c>
      <c r="G895" s="11" t="s">
        <v>715</v>
      </c>
      <c r="H895" s="11" t="s">
        <v>714</v>
      </c>
      <c r="I895" s="11" t="s">
        <v>339</v>
      </c>
      <c r="J895" s="11" t="s">
        <v>3827</v>
      </c>
      <c r="K895" s="11"/>
      <c r="L895" s="11"/>
      <c r="M895" s="11" t="s">
        <v>3940</v>
      </c>
      <c r="N895" s="11" t="s">
        <v>3949</v>
      </c>
      <c r="O895" s="11"/>
      <c r="P895" s="11"/>
      <c r="Q895" s="11">
        <v>1</v>
      </c>
      <c r="R895" s="11">
        <v>2</v>
      </c>
      <c r="S895" s="11" t="s">
        <v>3950</v>
      </c>
    </row>
    <row r="896" spans="1:19" hidden="1" x14ac:dyDescent="0.15">
      <c r="A896" s="34">
        <v>895</v>
      </c>
      <c r="B896" s="35" t="s">
        <v>4881</v>
      </c>
      <c r="C896" s="36" t="s">
        <v>3937</v>
      </c>
      <c r="D896" s="11" t="s">
        <v>1582</v>
      </c>
      <c r="E896" s="11" t="s">
        <v>1744</v>
      </c>
      <c r="F896" s="11">
        <v>5</v>
      </c>
      <c r="G896" s="11" t="s">
        <v>731</v>
      </c>
      <c r="H896" s="11" t="s">
        <v>730</v>
      </c>
      <c r="I896" s="11" t="s">
        <v>1453</v>
      </c>
      <c r="J896" s="11"/>
      <c r="K896" s="11"/>
      <c r="L896" s="11"/>
      <c r="M896" s="11" t="s">
        <v>4040</v>
      </c>
      <c r="N896" s="11" t="s">
        <v>4041</v>
      </c>
      <c r="O896" s="11"/>
      <c r="P896" s="11"/>
      <c r="Q896" s="11"/>
      <c r="R896" s="11"/>
      <c r="S896" s="11" t="s">
        <v>4042</v>
      </c>
    </row>
    <row r="897" spans="1:19" hidden="1" x14ac:dyDescent="0.15">
      <c r="A897" s="34">
        <v>896</v>
      </c>
      <c r="B897" s="35" t="s">
        <v>4881</v>
      </c>
      <c r="C897" s="36" t="s">
        <v>3937</v>
      </c>
      <c r="D897" s="11" t="s">
        <v>1582</v>
      </c>
      <c r="E897" s="11" t="s">
        <v>1744</v>
      </c>
      <c r="F897" s="11">
        <v>4</v>
      </c>
      <c r="G897" s="11" t="s">
        <v>723</v>
      </c>
      <c r="H897" s="11" t="s">
        <v>722</v>
      </c>
      <c r="I897" s="11" t="s">
        <v>1453</v>
      </c>
      <c r="J897" s="11"/>
      <c r="K897" s="11"/>
      <c r="L897" s="11"/>
      <c r="M897" s="11" t="s">
        <v>4043</v>
      </c>
      <c r="N897" s="11"/>
      <c r="O897" s="11"/>
      <c r="P897" s="11"/>
      <c r="Q897" s="11"/>
      <c r="R897" s="11"/>
      <c r="S897" s="11" t="s">
        <v>4043</v>
      </c>
    </row>
    <row r="898" spans="1:19" hidden="1" x14ac:dyDescent="0.15">
      <c r="A898" s="34">
        <v>897</v>
      </c>
      <c r="B898" s="35" t="s">
        <v>4881</v>
      </c>
      <c r="C898" s="36" t="s">
        <v>3937</v>
      </c>
      <c r="D898" s="11" t="s">
        <v>1582</v>
      </c>
      <c r="E898" s="11" t="s">
        <v>1744</v>
      </c>
      <c r="F898" s="11">
        <v>4</v>
      </c>
      <c r="G898" s="11" t="s">
        <v>717</v>
      </c>
      <c r="H898" s="11" t="s">
        <v>716</v>
      </c>
      <c r="I898" s="11" t="s">
        <v>1453</v>
      </c>
      <c r="J898" s="11"/>
      <c r="K898" s="11"/>
      <c r="L898" s="11"/>
      <c r="M898" s="11" t="s">
        <v>4044</v>
      </c>
      <c r="N898" s="11"/>
      <c r="O898" s="11"/>
      <c r="P898" s="11"/>
      <c r="Q898" s="11"/>
      <c r="R898" s="11"/>
      <c r="S898" s="11" t="s">
        <v>4044</v>
      </c>
    </row>
    <row r="899" spans="1:19" hidden="1" x14ac:dyDescent="0.15">
      <c r="A899" s="34">
        <v>898</v>
      </c>
      <c r="B899" s="35" t="s">
        <v>4881</v>
      </c>
      <c r="C899" s="36" t="s">
        <v>3937</v>
      </c>
      <c r="D899" s="11" t="s">
        <v>1582</v>
      </c>
      <c r="E899" s="11" t="s">
        <v>1744</v>
      </c>
      <c r="F899" s="11">
        <v>10</v>
      </c>
      <c r="G899" s="11" t="s">
        <v>4848</v>
      </c>
      <c r="H899" s="11" t="s">
        <v>712</v>
      </c>
      <c r="I899" s="11" t="s">
        <v>1453</v>
      </c>
      <c r="J899" s="11"/>
      <c r="K899" s="11"/>
      <c r="L899" s="11"/>
      <c r="M899" s="11" t="s">
        <v>4045</v>
      </c>
      <c r="N899" s="11"/>
      <c r="O899" s="11"/>
      <c r="P899" s="11"/>
      <c r="Q899" s="11"/>
      <c r="R899" s="11"/>
      <c r="S899" s="11" t="s">
        <v>4045</v>
      </c>
    </row>
    <row r="900" spans="1:19" hidden="1" x14ac:dyDescent="0.15">
      <c r="A900" s="34">
        <v>899</v>
      </c>
      <c r="B900" s="35" t="s">
        <v>4881</v>
      </c>
      <c r="C900" s="36" t="s">
        <v>3937</v>
      </c>
      <c r="D900" s="11" t="s">
        <v>1582</v>
      </c>
      <c r="E900" s="11" t="s">
        <v>1451</v>
      </c>
      <c r="F900" s="11">
        <v>20</v>
      </c>
      <c r="G900" s="11" t="s">
        <v>711</v>
      </c>
      <c r="H900" s="11" t="s">
        <v>710</v>
      </c>
      <c r="I900" s="11" t="s">
        <v>339</v>
      </c>
      <c r="J900" s="11" t="s">
        <v>4031</v>
      </c>
      <c r="K900" s="11" t="s">
        <v>2938</v>
      </c>
      <c r="L900" s="11"/>
      <c r="M900" s="11" t="s">
        <v>4046</v>
      </c>
      <c r="N900" s="11" t="s">
        <v>4047</v>
      </c>
      <c r="O900" s="11"/>
      <c r="P900" s="11"/>
      <c r="Q900" s="11">
        <v>4</v>
      </c>
      <c r="R900" s="11">
        <v>4</v>
      </c>
      <c r="S900" s="11" t="s">
        <v>4048</v>
      </c>
    </row>
    <row r="901" spans="1:19" hidden="1" x14ac:dyDescent="0.15">
      <c r="A901" s="34">
        <v>900</v>
      </c>
      <c r="B901" s="35" t="s">
        <v>4881</v>
      </c>
      <c r="C901" s="36" t="s">
        <v>3937</v>
      </c>
      <c r="D901" s="11" t="s">
        <v>1582</v>
      </c>
      <c r="E901" s="11" t="s">
        <v>1451</v>
      </c>
      <c r="F901" s="11">
        <v>4</v>
      </c>
      <c r="G901" s="11" t="s">
        <v>708</v>
      </c>
      <c r="H901" s="11" t="s">
        <v>707</v>
      </c>
      <c r="I901" s="11" t="s">
        <v>339</v>
      </c>
      <c r="J901" s="11" t="s">
        <v>1945</v>
      </c>
      <c r="K901" s="11"/>
      <c r="L901" s="11"/>
      <c r="M901" s="11" t="s">
        <v>4049</v>
      </c>
      <c r="N901" s="11" t="s">
        <v>4050</v>
      </c>
      <c r="O901" s="11"/>
      <c r="P901" s="11"/>
      <c r="Q901" s="11">
        <v>1</v>
      </c>
      <c r="R901" s="11">
        <v>1</v>
      </c>
      <c r="S901" s="11" t="s">
        <v>4051</v>
      </c>
    </row>
    <row r="902" spans="1:19" hidden="1" x14ac:dyDescent="0.15">
      <c r="A902" s="34">
        <v>901</v>
      </c>
      <c r="B902" s="35" t="s">
        <v>4881</v>
      </c>
      <c r="C902" s="36" t="s">
        <v>3937</v>
      </c>
      <c r="D902" s="11" t="s">
        <v>1582</v>
      </c>
      <c r="E902" s="11" t="s">
        <v>1451</v>
      </c>
      <c r="F902" s="11">
        <v>9</v>
      </c>
      <c r="G902" s="11" t="s">
        <v>702</v>
      </c>
      <c r="H902" s="11" t="s">
        <v>701</v>
      </c>
      <c r="I902" s="11" t="s">
        <v>339</v>
      </c>
      <c r="J902" s="11" t="s">
        <v>4031</v>
      </c>
      <c r="K902" s="11" t="s">
        <v>1641</v>
      </c>
      <c r="L902" s="11"/>
      <c r="M902" s="11" t="s">
        <v>3960</v>
      </c>
      <c r="N902" s="11"/>
      <c r="O902" s="11"/>
      <c r="P902" s="11"/>
      <c r="Q902" s="11">
        <v>1</v>
      </c>
      <c r="R902" s="11">
        <v>7</v>
      </c>
      <c r="S902" s="11" t="s">
        <v>3960</v>
      </c>
    </row>
    <row r="903" spans="1:19" hidden="1" x14ac:dyDescent="0.15">
      <c r="A903" s="34">
        <v>902</v>
      </c>
      <c r="B903" s="35" t="s">
        <v>4881</v>
      </c>
      <c r="C903" s="36" t="s">
        <v>3937</v>
      </c>
      <c r="D903" s="11" t="s">
        <v>1582</v>
      </c>
      <c r="E903" s="11" t="s">
        <v>1451</v>
      </c>
      <c r="F903" s="11">
        <v>9</v>
      </c>
      <c r="G903" s="11" t="s">
        <v>4850</v>
      </c>
      <c r="H903" s="11" t="s">
        <v>709</v>
      </c>
      <c r="I903" s="11" t="s">
        <v>1453</v>
      </c>
      <c r="J903" s="11"/>
      <c r="K903" s="11"/>
      <c r="L903" s="11"/>
      <c r="M903" s="11" t="s">
        <v>4052</v>
      </c>
      <c r="N903" s="11"/>
      <c r="O903" s="11"/>
      <c r="P903" s="11"/>
      <c r="Q903" s="11"/>
      <c r="R903" s="11"/>
      <c r="S903" s="11" t="s">
        <v>4052</v>
      </c>
    </row>
    <row r="904" spans="1:19" hidden="1" x14ac:dyDescent="0.15">
      <c r="A904" s="34">
        <v>903</v>
      </c>
      <c r="B904" s="35" t="s">
        <v>4881</v>
      </c>
      <c r="C904" s="36" t="s">
        <v>3937</v>
      </c>
      <c r="D904" s="11" t="s">
        <v>1582</v>
      </c>
      <c r="E904" s="11" t="s">
        <v>1451</v>
      </c>
      <c r="F904" s="11">
        <v>6</v>
      </c>
      <c r="G904" s="11" t="s">
        <v>706</v>
      </c>
      <c r="H904" s="11" t="s">
        <v>705</v>
      </c>
      <c r="I904" s="11" t="s">
        <v>1453</v>
      </c>
      <c r="J904" s="11"/>
      <c r="K904" s="11"/>
      <c r="L904" s="11"/>
      <c r="M904" s="11" t="s">
        <v>4053</v>
      </c>
      <c r="N904" s="11"/>
      <c r="O904" s="11"/>
      <c r="P904" s="11"/>
      <c r="Q904" s="11"/>
      <c r="R904" s="11"/>
      <c r="S904" s="11" t="s">
        <v>4053</v>
      </c>
    </row>
    <row r="905" spans="1:19" hidden="1" x14ac:dyDescent="0.15">
      <c r="A905" s="34">
        <v>904</v>
      </c>
      <c r="B905" s="35" t="s">
        <v>4881</v>
      </c>
      <c r="C905" s="36" t="s">
        <v>3937</v>
      </c>
      <c r="D905" s="11" t="s">
        <v>1582</v>
      </c>
      <c r="E905" s="11" t="s">
        <v>1451</v>
      </c>
      <c r="F905" s="11">
        <v>12</v>
      </c>
      <c r="G905" s="11" t="s">
        <v>704</v>
      </c>
      <c r="H905" s="11" t="s">
        <v>703</v>
      </c>
      <c r="I905" s="11" t="s">
        <v>1453</v>
      </c>
      <c r="J905" s="11"/>
      <c r="K905" s="11"/>
      <c r="L905" s="11"/>
      <c r="M905" s="11" t="s">
        <v>4054</v>
      </c>
      <c r="N905" s="11"/>
      <c r="O905" s="11"/>
      <c r="P905" s="11"/>
      <c r="Q905" s="11"/>
      <c r="R905" s="11"/>
      <c r="S905" s="11" t="s">
        <v>4054</v>
      </c>
    </row>
    <row r="906" spans="1:19" hidden="1" x14ac:dyDescent="0.15">
      <c r="A906" s="34">
        <v>905</v>
      </c>
      <c r="B906" s="35" t="s">
        <v>4881</v>
      </c>
      <c r="C906" s="36" t="s">
        <v>3937</v>
      </c>
      <c r="D906" s="11" t="s">
        <v>1582</v>
      </c>
      <c r="E906" s="11" t="s">
        <v>1441</v>
      </c>
      <c r="F906" s="11">
        <v>18</v>
      </c>
      <c r="G906" s="11" t="s">
        <v>698</v>
      </c>
      <c r="H906" s="11" t="s">
        <v>697</v>
      </c>
      <c r="I906" s="11" t="s">
        <v>339</v>
      </c>
      <c r="J906" s="11" t="s">
        <v>4031</v>
      </c>
      <c r="K906" s="11" t="s">
        <v>2938</v>
      </c>
      <c r="L906" s="11"/>
      <c r="M906" s="11" t="s">
        <v>3425</v>
      </c>
      <c r="N906" s="11" t="s">
        <v>4055</v>
      </c>
      <c r="O906" s="11"/>
      <c r="P906" s="11"/>
      <c r="Q906" s="11">
        <v>5</v>
      </c>
      <c r="R906" s="11">
        <v>6</v>
      </c>
      <c r="S906" s="11" t="s">
        <v>4056</v>
      </c>
    </row>
    <row r="907" spans="1:19" hidden="1" x14ac:dyDescent="0.15">
      <c r="A907" s="34">
        <v>906</v>
      </c>
      <c r="B907" s="35" t="s">
        <v>4881</v>
      </c>
      <c r="C907" s="36" t="s">
        <v>3937</v>
      </c>
      <c r="D907" s="11" t="s">
        <v>1582</v>
      </c>
      <c r="E907" s="11" t="s">
        <v>1441</v>
      </c>
      <c r="F907" s="11">
        <v>12</v>
      </c>
      <c r="G907" s="11" t="s">
        <v>693</v>
      </c>
      <c r="H907" s="11" t="s">
        <v>692</v>
      </c>
      <c r="I907" s="11" t="s">
        <v>339</v>
      </c>
      <c r="J907" s="11" t="s">
        <v>1489</v>
      </c>
      <c r="K907" s="11" t="s">
        <v>3957</v>
      </c>
      <c r="L907" s="11"/>
      <c r="M907" s="11" t="s">
        <v>4057</v>
      </c>
      <c r="N907" s="11"/>
      <c r="O907" s="11"/>
      <c r="P907" s="11"/>
      <c r="Q907" s="11">
        <v>6</v>
      </c>
      <c r="R907" s="11">
        <v>4</v>
      </c>
      <c r="S907" s="11" t="s">
        <v>4057</v>
      </c>
    </row>
    <row r="908" spans="1:19" hidden="1" x14ac:dyDescent="0.15">
      <c r="A908" s="34">
        <v>907</v>
      </c>
      <c r="B908" s="35" t="s">
        <v>4881</v>
      </c>
      <c r="C908" s="36" t="s">
        <v>3937</v>
      </c>
      <c r="D908" s="11" t="s">
        <v>1582</v>
      </c>
      <c r="E908" s="11" t="s">
        <v>1441</v>
      </c>
      <c r="F908" s="11">
        <v>1</v>
      </c>
      <c r="G908" s="11" t="s">
        <v>700</v>
      </c>
      <c r="H908" s="11" t="s">
        <v>699</v>
      </c>
      <c r="I908" s="11" t="s">
        <v>1453</v>
      </c>
      <c r="J908" s="11"/>
      <c r="K908" s="11"/>
      <c r="L908" s="11"/>
      <c r="M908" s="11" t="s">
        <v>4058</v>
      </c>
      <c r="N908" s="11"/>
      <c r="O908" s="11"/>
      <c r="P908" s="11"/>
      <c r="Q908" s="11"/>
      <c r="R908" s="11"/>
      <c r="S908" s="11" t="s">
        <v>4058</v>
      </c>
    </row>
    <row r="909" spans="1:19" hidden="1" x14ac:dyDescent="0.15">
      <c r="A909" s="34">
        <v>908</v>
      </c>
      <c r="B909" s="35" t="s">
        <v>4881</v>
      </c>
      <c r="C909" s="36" t="s">
        <v>3937</v>
      </c>
      <c r="D909" s="11" t="s">
        <v>1582</v>
      </c>
      <c r="E909" s="11" t="s">
        <v>1441</v>
      </c>
      <c r="F909" s="11">
        <v>12</v>
      </c>
      <c r="G909" s="11" t="s">
        <v>4886</v>
      </c>
      <c r="H909" s="11" t="s">
        <v>696</v>
      </c>
      <c r="I909" s="11" t="s">
        <v>1453</v>
      </c>
      <c r="J909" s="11"/>
      <c r="K909" s="11"/>
      <c r="L909" s="11"/>
      <c r="M909" s="11" t="s">
        <v>4059</v>
      </c>
      <c r="N909" s="11"/>
      <c r="O909" s="11"/>
      <c r="P909" s="11"/>
      <c r="Q909" s="11"/>
      <c r="R909" s="11"/>
      <c r="S909" s="11" t="s">
        <v>4059</v>
      </c>
    </row>
    <row r="910" spans="1:19" hidden="1" x14ac:dyDescent="0.15">
      <c r="A910" s="34">
        <v>909</v>
      </c>
      <c r="B910" s="35" t="s">
        <v>4881</v>
      </c>
      <c r="C910" s="36" t="s">
        <v>3937</v>
      </c>
      <c r="D910" s="11" t="s">
        <v>1582</v>
      </c>
      <c r="E910" s="11" t="s">
        <v>1441</v>
      </c>
      <c r="F910" s="11">
        <v>11</v>
      </c>
      <c r="G910" s="11" t="s">
        <v>695</v>
      </c>
      <c r="H910" s="11" t="s">
        <v>694</v>
      </c>
      <c r="I910" s="11" t="s">
        <v>288</v>
      </c>
      <c r="J910" s="11"/>
      <c r="K910" s="11"/>
      <c r="L910" s="11"/>
      <c r="M910" s="11" t="s">
        <v>4060</v>
      </c>
      <c r="N910" s="11" t="s">
        <v>4061</v>
      </c>
      <c r="O910" s="11" t="s">
        <v>4062</v>
      </c>
      <c r="P910" s="11">
        <v>5</v>
      </c>
      <c r="Q910" s="11"/>
      <c r="R910" s="11"/>
      <c r="S910" s="11" t="s">
        <v>4063</v>
      </c>
    </row>
    <row r="911" spans="1:19" hidden="1" x14ac:dyDescent="0.15">
      <c r="A911" s="34">
        <v>910</v>
      </c>
      <c r="B911" s="35" t="s">
        <v>4881</v>
      </c>
      <c r="C911" s="36" t="s">
        <v>3937</v>
      </c>
      <c r="D911" s="11" t="s">
        <v>1582</v>
      </c>
      <c r="E911" s="11" t="s">
        <v>1441</v>
      </c>
      <c r="F911" s="11">
        <v>7</v>
      </c>
      <c r="G911" s="11" t="s">
        <v>4868</v>
      </c>
      <c r="H911" s="11" t="s">
        <v>690</v>
      </c>
      <c r="I911" s="11" t="s">
        <v>288</v>
      </c>
      <c r="J911" s="11"/>
      <c r="K911" s="11"/>
      <c r="L911" s="11"/>
      <c r="M911" s="11" t="s">
        <v>4064</v>
      </c>
      <c r="N911" s="11" t="s">
        <v>2106</v>
      </c>
      <c r="O911" s="11"/>
      <c r="P911" s="11">
        <v>3</v>
      </c>
      <c r="Q911" s="11"/>
      <c r="R911" s="11"/>
      <c r="S911" s="11" t="s">
        <v>4065</v>
      </c>
    </row>
    <row r="912" spans="1:19" hidden="1" x14ac:dyDescent="0.15">
      <c r="A912" s="34">
        <v>911</v>
      </c>
      <c r="B912" s="35" t="s">
        <v>4881</v>
      </c>
      <c r="C912" s="36" t="s">
        <v>3937</v>
      </c>
      <c r="D912" s="11" t="s">
        <v>1582</v>
      </c>
      <c r="E912" s="11" t="s">
        <v>1431</v>
      </c>
      <c r="F912" s="11">
        <v>21</v>
      </c>
      <c r="G912" s="11" t="s">
        <v>689</v>
      </c>
      <c r="H912" s="11" t="s">
        <v>688</v>
      </c>
      <c r="I912" s="11" t="s">
        <v>339</v>
      </c>
      <c r="J912" s="11" t="s">
        <v>2793</v>
      </c>
      <c r="K912" s="11"/>
      <c r="L912" s="11"/>
      <c r="M912" s="11" t="s">
        <v>351</v>
      </c>
      <c r="N912" s="11" t="s">
        <v>4066</v>
      </c>
      <c r="O912" s="11" t="s">
        <v>4067</v>
      </c>
      <c r="P912" s="11"/>
      <c r="Q912" s="11">
        <v>8</v>
      </c>
      <c r="R912" s="11">
        <v>8</v>
      </c>
      <c r="S912" s="11" t="s">
        <v>4068</v>
      </c>
    </row>
    <row r="913" spans="1:19" hidden="1" x14ac:dyDescent="0.15">
      <c r="A913" s="34">
        <v>912</v>
      </c>
      <c r="B913" s="35" t="s">
        <v>4881</v>
      </c>
      <c r="C913" s="36" t="s">
        <v>3937</v>
      </c>
      <c r="D913" s="11" t="s">
        <v>1582</v>
      </c>
      <c r="E913" s="11" t="s">
        <v>1431</v>
      </c>
      <c r="F913" s="11">
        <v>15</v>
      </c>
      <c r="G913" s="11" t="s">
        <v>4867</v>
      </c>
      <c r="H913" s="11" t="s">
        <v>686</v>
      </c>
      <c r="I913" s="11" t="s">
        <v>339</v>
      </c>
      <c r="J913" s="11" t="s">
        <v>1489</v>
      </c>
      <c r="K913" s="11" t="s">
        <v>1641</v>
      </c>
      <c r="L913" s="11"/>
      <c r="M913" s="11" t="s">
        <v>4069</v>
      </c>
      <c r="N913" s="11" t="s">
        <v>4070</v>
      </c>
      <c r="O913" s="11"/>
      <c r="P913" s="11"/>
      <c r="Q913" s="11">
        <v>4</v>
      </c>
      <c r="R913" s="11">
        <v>4</v>
      </c>
      <c r="S913" s="11" t="s">
        <v>4071</v>
      </c>
    </row>
    <row r="914" spans="1:19" hidden="1" x14ac:dyDescent="0.15">
      <c r="A914" s="34">
        <v>913</v>
      </c>
      <c r="B914" s="35" t="s">
        <v>4881</v>
      </c>
      <c r="C914" s="36" t="s">
        <v>3937</v>
      </c>
      <c r="D914" s="11" t="s">
        <v>1582</v>
      </c>
      <c r="E914" s="11" t="s">
        <v>1431</v>
      </c>
      <c r="F914" s="11">
        <v>18</v>
      </c>
      <c r="G914" s="11" t="s">
        <v>685</v>
      </c>
      <c r="H914" s="11" t="s">
        <v>684</v>
      </c>
      <c r="I914" s="11" t="s">
        <v>339</v>
      </c>
      <c r="J914" s="11" t="s">
        <v>352</v>
      </c>
      <c r="K914" s="11"/>
      <c r="L914" s="11"/>
      <c r="M914" s="11" t="s">
        <v>3577</v>
      </c>
      <c r="N914" s="11" t="s">
        <v>4072</v>
      </c>
      <c r="O914" s="11"/>
      <c r="P914" s="11"/>
      <c r="Q914" s="11">
        <v>8</v>
      </c>
      <c r="R914" s="11">
        <v>8</v>
      </c>
      <c r="S914" s="11" t="s">
        <v>4073</v>
      </c>
    </row>
    <row r="915" spans="1:19" hidden="1" x14ac:dyDescent="0.15">
      <c r="A915" s="34">
        <v>914</v>
      </c>
      <c r="B915" s="35" t="s">
        <v>4881</v>
      </c>
      <c r="C915" s="36" t="s">
        <v>3937</v>
      </c>
      <c r="D915" s="11" t="s">
        <v>1582</v>
      </c>
      <c r="E915" s="11" t="s">
        <v>1431</v>
      </c>
      <c r="F915" s="11">
        <v>8</v>
      </c>
      <c r="G915" s="11" t="s">
        <v>683</v>
      </c>
      <c r="H915" s="11" t="s">
        <v>682</v>
      </c>
      <c r="I915" s="11" t="s">
        <v>339</v>
      </c>
      <c r="J915" s="11" t="s">
        <v>4031</v>
      </c>
      <c r="K915" s="11" t="s">
        <v>2938</v>
      </c>
      <c r="L915" s="11"/>
      <c r="M915" s="11" t="s">
        <v>4074</v>
      </c>
      <c r="N915" s="11"/>
      <c r="O915" s="11"/>
      <c r="P915" s="11"/>
      <c r="Q915" s="11">
        <v>2</v>
      </c>
      <c r="R915" s="11">
        <v>2</v>
      </c>
      <c r="S915" s="11" t="s">
        <v>4074</v>
      </c>
    </row>
    <row r="916" spans="1:19" hidden="1" x14ac:dyDescent="0.15">
      <c r="A916" s="34">
        <v>915</v>
      </c>
      <c r="B916" s="35" t="s">
        <v>4881</v>
      </c>
      <c r="C916" s="36" t="s">
        <v>3937</v>
      </c>
      <c r="D916" s="11" t="s">
        <v>1552</v>
      </c>
      <c r="E916" s="11" t="s">
        <v>1744</v>
      </c>
      <c r="F916" s="11">
        <v>12</v>
      </c>
      <c r="G916" s="11" t="s">
        <v>676</v>
      </c>
      <c r="H916" s="11" t="s">
        <v>675</v>
      </c>
      <c r="I916" s="11" t="s">
        <v>339</v>
      </c>
      <c r="J916" s="11" t="s">
        <v>1489</v>
      </c>
      <c r="K916" s="11" t="s">
        <v>1641</v>
      </c>
      <c r="L916" s="11"/>
      <c r="M916" s="11" t="s">
        <v>4075</v>
      </c>
      <c r="N916" s="11"/>
      <c r="O916" s="11"/>
      <c r="P916" s="11"/>
      <c r="Q916" s="11">
        <v>1</v>
      </c>
      <c r="R916" s="11">
        <v>3</v>
      </c>
      <c r="S916" s="11" t="s">
        <v>4075</v>
      </c>
    </row>
    <row r="917" spans="1:19" hidden="1" x14ac:dyDescent="0.15">
      <c r="A917" s="34">
        <v>916</v>
      </c>
      <c r="B917" s="35" t="s">
        <v>4881</v>
      </c>
      <c r="C917" s="36" t="s">
        <v>3937</v>
      </c>
      <c r="D917" s="11" t="s">
        <v>1552</v>
      </c>
      <c r="E917" s="11" t="s">
        <v>1744</v>
      </c>
      <c r="F917" s="11">
        <v>9</v>
      </c>
      <c r="G917" s="11" t="s">
        <v>672</v>
      </c>
      <c r="H917" s="11" t="s">
        <v>671</v>
      </c>
      <c r="I917" s="11" t="s">
        <v>339</v>
      </c>
      <c r="J917" s="11" t="s">
        <v>4076</v>
      </c>
      <c r="K917" s="11"/>
      <c r="L917" s="11"/>
      <c r="M917" s="11" t="s">
        <v>4077</v>
      </c>
      <c r="N917" s="11"/>
      <c r="O917" s="11"/>
      <c r="P917" s="11"/>
      <c r="Q917" s="11">
        <v>1</v>
      </c>
      <c r="R917" s="11">
        <v>1</v>
      </c>
      <c r="S917" s="11" t="s">
        <v>4077</v>
      </c>
    </row>
    <row r="918" spans="1:19" hidden="1" x14ac:dyDescent="0.15">
      <c r="A918" s="34">
        <v>917</v>
      </c>
      <c r="B918" s="35" t="s">
        <v>4881</v>
      </c>
      <c r="C918" s="36" t="s">
        <v>3937</v>
      </c>
      <c r="D918" s="11" t="s">
        <v>1552</v>
      </c>
      <c r="E918" s="11" t="s">
        <v>1744</v>
      </c>
      <c r="F918" s="11">
        <v>5</v>
      </c>
      <c r="G918" s="11" t="s">
        <v>670</v>
      </c>
      <c r="H918" s="11" t="s">
        <v>669</v>
      </c>
      <c r="I918" s="11" t="s">
        <v>339</v>
      </c>
      <c r="J918" s="11" t="s">
        <v>4076</v>
      </c>
      <c r="K918" s="11"/>
      <c r="L918" s="11"/>
      <c r="M918" s="11" t="s">
        <v>4078</v>
      </c>
      <c r="N918" s="11"/>
      <c r="O918" s="11"/>
      <c r="P918" s="11"/>
      <c r="Q918" s="11">
        <v>1</v>
      </c>
      <c r="R918" s="11">
        <v>2</v>
      </c>
      <c r="S918" s="11" t="s">
        <v>4078</v>
      </c>
    </row>
    <row r="919" spans="1:19" hidden="1" x14ac:dyDescent="0.15">
      <c r="A919" s="34">
        <v>918</v>
      </c>
      <c r="B919" s="35" t="s">
        <v>4881</v>
      </c>
      <c r="C919" s="36" t="s">
        <v>3937</v>
      </c>
      <c r="D919" s="11" t="s">
        <v>1552</v>
      </c>
      <c r="E919" s="11" t="s">
        <v>1744</v>
      </c>
      <c r="F919" s="11">
        <v>11</v>
      </c>
      <c r="G919" s="11" t="s">
        <v>668</v>
      </c>
      <c r="H919" s="11" t="s">
        <v>667</v>
      </c>
      <c r="I919" s="11" t="s">
        <v>339</v>
      </c>
      <c r="J919" s="11" t="s">
        <v>1489</v>
      </c>
      <c r="K919" s="11" t="s">
        <v>2938</v>
      </c>
      <c r="L919" s="11"/>
      <c r="M919" s="11" t="s">
        <v>3619</v>
      </c>
      <c r="N919" s="11"/>
      <c r="O919" s="11"/>
      <c r="P919" s="11"/>
      <c r="Q919" s="11">
        <v>3</v>
      </c>
      <c r="R919" s="11">
        <v>1</v>
      </c>
      <c r="S919" s="11" t="s">
        <v>3619</v>
      </c>
    </row>
    <row r="920" spans="1:19" hidden="1" x14ac:dyDescent="0.15">
      <c r="A920" s="34">
        <v>919</v>
      </c>
      <c r="B920" s="35" t="s">
        <v>4881</v>
      </c>
      <c r="C920" s="36" t="s">
        <v>3937</v>
      </c>
      <c r="D920" s="11" t="s">
        <v>1552</v>
      </c>
      <c r="E920" s="11" t="s">
        <v>1744</v>
      </c>
      <c r="F920" s="11">
        <v>6</v>
      </c>
      <c r="G920" s="11" t="s">
        <v>666</v>
      </c>
      <c r="H920" s="11" t="s">
        <v>665</v>
      </c>
      <c r="I920" s="11" t="s">
        <v>339</v>
      </c>
      <c r="J920" s="11" t="s">
        <v>1489</v>
      </c>
      <c r="K920" s="11" t="s">
        <v>2938</v>
      </c>
      <c r="L920" s="11"/>
      <c r="M920" s="11" t="s">
        <v>4079</v>
      </c>
      <c r="N920" s="11" t="s">
        <v>4080</v>
      </c>
      <c r="O920" s="11"/>
      <c r="P920" s="11"/>
      <c r="Q920" s="11">
        <v>2</v>
      </c>
      <c r="R920" s="11">
        <v>2</v>
      </c>
      <c r="S920" s="11" t="s">
        <v>4081</v>
      </c>
    </row>
    <row r="921" spans="1:19" hidden="1" x14ac:dyDescent="0.15">
      <c r="A921" s="34">
        <v>920</v>
      </c>
      <c r="B921" s="35" t="s">
        <v>4881</v>
      </c>
      <c r="C921" s="36" t="s">
        <v>3937</v>
      </c>
      <c r="D921" s="11" t="s">
        <v>1552</v>
      </c>
      <c r="E921" s="11" t="s">
        <v>1744</v>
      </c>
      <c r="F921" s="11">
        <v>9</v>
      </c>
      <c r="G921" s="11" t="s">
        <v>664</v>
      </c>
      <c r="H921" s="11" t="s">
        <v>663</v>
      </c>
      <c r="I921" s="11" t="s">
        <v>339</v>
      </c>
      <c r="J921" s="11" t="s">
        <v>4076</v>
      </c>
      <c r="K921" s="11"/>
      <c r="L921" s="11"/>
      <c r="M921" s="11" t="s">
        <v>3940</v>
      </c>
      <c r="N921" s="11" t="s">
        <v>3949</v>
      </c>
      <c r="O921" s="11"/>
      <c r="P921" s="11"/>
      <c r="Q921" s="11">
        <v>2</v>
      </c>
      <c r="R921" s="11">
        <v>1</v>
      </c>
      <c r="S921" s="11" t="s">
        <v>3950</v>
      </c>
    </row>
    <row r="922" spans="1:19" hidden="1" x14ac:dyDescent="0.15">
      <c r="A922" s="34">
        <v>921</v>
      </c>
      <c r="B922" s="35" t="s">
        <v>4881</v>
      </c>
      <c r="C922" s="36" t="s">
        <v>3937</v>
      </c>
      <c r="D922" s="11" t="s">
        <v>1552</v>
      </c>
      <c r="E922" s="11" t="s">
        <v>1744</v>
      </c>
      <c r="F922" s="11">
        <v>3</v>
      </c>
      <c r="G922" s="11" t="s">
        <v>681</v>
      </c>
      <c r="H922" s="11" t="s">
        <v>680</v>
      </c>
      <c r="I922" s="11" t="s">
        <v>1453</v>
      </c>
      <c r="J922" s="11"/>
      <c r="K922" s="11"/>
      <c r="L922" s="11"/>
      <c r="M922" s="11" t="s">
        <v>4082</v>
      </c>
      <c r="N922" s="11"/>
      <c r="O922" s="11"/>
      <c r="P922" s="11"/>
      <c r="Q922" s="11"/>
      <c r="R922" s="11"/>
      <c r="S922" s="11" t="s">
        <v>4082</v>
      </c>
    </row>
    <row r="923" spans="1:19" hidden="1" x14ac:dyDescent="0.15">
      <c r="A923" s="34">
        <v>922</v>
      </c>
      <c r="B923" s="35" t="s">
        <v>4881</v>
      </c>
      <c r="C923" s="36" t="s">
        <v>3937</v>
      </c>
      <c r="D923" s="11" t="s">
        <v>1552</v>
      </c>
      <c r="E923" s="11" t="s">
        <v>1744</v>
      </c>
      <c r="F923" s="11">
        <v>6</v>
      </c>
      <c r="G923" s="11" t="s">
        <v>679</v>
      </c>
      <c r="H923" s="11" t="s">
        <v>678</v>
      </c>
      <c r="I923" s="11" t="s">
        <v>1453</v>
      </c>
      <c r="J923" s="11"/>
      <c r="K923" s="11"/>
      <c r="L923" s="11"/>
      <c r="M923" s="11" t="s">
        <v>4083</v>
      </c>
      <c r="N923" s="11"/>
      <c r="O923" s="11"/>
      <c r="P923" s="11"/>
      <c r="Q923" s="11"/>
      <c r="R923" s="11"/>
      <c r="S923" s="11" t="s">
        <v>4083</v>
      </c>
    </row>
    <row r="924" spans="1:19" hidden="1" x14ac:dyDescent="0.15">
      <c r="A924" s="34">
        <v>923</v>
      </c>
      <c r="B924" s="35" t="s">
        <v>4881</v>
      </c>
      <c r="C924" s="36" t="s">
        <v>3937</v>
      </c>
      <c r="D924" s="11" t="s">
        <v>1552</v>
      </c>
      <c r="E924" s="11" t="s">
        <v>1744</v>
      </c>
      <c r="F924" s="11">
        <v>5</v>
      </c>
      <c r="G924" s="11" t="s">
        <v>5668</v>
      </c>
      <c r="H924" s="11" t="s">
        <v>677</v>
      </c>
      <c r="I924" s="11" t="s">
        <v>1453</v>
      </c>
      <c r="J924" s="11" t="s">
        <v>6306</v>
      </c>
      <c r="K924" s="11"/>
      <c r="L924" s="11"/>
      <c r="M924" s="11" t="s">
        <v>4084</v>
      </c>
      <c r="N924" s="11"/>
      <c r="O924" s="11"/>
      <c r="P924" s="11"/>
      <c r="Q924" s="11"/>
      <c r="R924" s="11"/>
      <c r="S924" s="11" t="s">
        <v>4084</v>
      </c>
    </row>
    <row r="925" spans="1:19" hidden="1" x14ac:dyDescent="0.15">
      <c r="A925" s="34">
        <v>924</v>
      </c>
      <c r="B925" s="35" t="s">
        <v>4881</v>
      </c>
      <c r="C925" s="36" t="s">
        <v>3937</v>
      </c>
      <c r="D925" s="11" t="s">
        <v>1552</v>
      </c>
      <c r="E925" s="11" t="s">
        <v>1744</v>
      </c>
      <c r="F925" s="11">
        <v>9</v>
      </c>
      <c r="G925" s="11" t="s">
        <v>674</v>
      </c>
      <c r="H925" s="11" t="s">
        <v>673</v>
      </c>
      <c r="I925" s="11" t="s">
        <v>1453</v>
      </c>
      <c r="J925" s="11"/>
      <c r="K925" s="11"/>
      <c r="L925" s="11"/>
      <c r="M925" s="11" t="s">
        <v>4085</v>
      </c>
      <c r="N925" s="11"/>
      <c r="O925" s="11"/>
      <c r="P925" s="11"/>
      <c r="Q925" s="11"/>
      <c r="R925" s="11"/>
      <c r="S925" s="11" t="s">
        <v>4085</v>
      </c>
    </row>
    <row r="926" spans="1:19" hidden="1" x14ac:dyDescent="0.15">
      <c r="A926" s="34">
        <v>925</v>
      </c>
      <c r="B926" s="35" t="s">
        <v>4881</v>
      </c>
      <c r="C926" s="36" t="s">
        <v>3937</v>
      </c>
      <c r="D926" s="11" t="s">
        <v>1552</v>
      </c>
      <c r="E926" s="11" t="s">
        <v>1451</v>
      </c>
      <c r="F926" s="11">
        <v>12</v>
      </c>
      <c r="G926" s="11" t="s">
        <v>662</v>
      </c>
      <c r="H926" s="11" t="s">
        <v>661</v>
      </c>
      <c r="I926" s="11" t="s">
        <v>339</v>
      </c>
      <c r="J926" s="11" t="s">
        <v>1489</v>
      </c>
      <c r="K926" s="11" t="s">
        <v>2938</v>
      </c>
      <c r="L926" s="11"/>
      <c r="M926" s="11" t="s">
        <v>3989</v>
      </c>
      <c r="N926" s="11" t="s">
        <v>4086</v>
      </c>
      <c r="O926" s="11"/>
      <c r="P926" s="11"/>
      <c r="Q926" s="11">
        <v>3</v>
      </c>
      <c r="R926" s="11">
        <v>4</v>
      </c>
      <c r="S926" s="11" t="s">
        <v>4087</v>
      </c>
    </row>
    <row r="927" spans="1:19" hidden="1" x14ac:dyDescent="0.15">
      <c r="A927" s="34">
        <v>926</v>
      </c>
      <c r="B927" s="35" t="s">
        <v>4881</v>
      </c>
      <c r="C927" s="36" t="s">
        <v>3937</v>
      </c>
      <c r="D927" s="11" t="s">
        <v>1552</v>
      </c>
      <c r="E927" s="11" t="s">
        <v>1451</v>
      </c>
      <c r="F927" s="11">
        <v>7</v>
      </c>
      <c r="G927" s="11" t="s">
        <v>660</v>
      </c>
      <c r="H927" s="11" t="s">
        <v>659</v>
      </c>
      <c r="I927" s="11" t="s">
        <v>339</v>
      </c>
      <c r="J927" s="11" t="s">
        <v>4076</v>
      </c>
      <c r="K927" s="11"/>
      <c r="L927" s="11"/>
      <c r="M927" s="11" t="s">
        <v>2755</v>
      </c>
      <c r="N927" s="11"/>
      <c r="O927" s="11"/>
      <c r="P927" s="11"/>
      <c r="Q927" s="11">
        <v>3</v>
      </c>
      <c r="R927" s="11">
        <v>3</v>
      </c>
      <c r="S927" s="11" t="s">
        <v>2755</v>
      </c>
    </row>
    <row r="928" spans="1:19" hidden="1" x14ac:dyDescent="0.15">
      <c r="A928" s="34">
        <v>927</v>
      </c>
      <c r="B928" s="35" t="s">
        <v>4881</v>
      </c>
      <c r="C928" s="36" t="s">
        <v>3937</v>
      </c>
      <c r="D928" s="11" t="s">
        <v>1552</v>
      </c>
      <c r="E928" s="11" t="s">
        <v>1451</v>
      </c>
      <c r="F928" s="11">
        <v>7</v>
      </c>
      <c r="G928" s="11" t="s">
        <v>654</v>
      </c>
      <c r="H928" s="11" t="s">
        <v>653</v>
      </c>
      <c r="I928" s="11" t="s">
        <v>339</v>
      </c>
      <c r="J928" s="11" t="s">
        <v>1489</v>
      </c>
      <c r="K928" s="11" t="s">
        <v>1641</v>
      </c>
      <c r="L928" s="11"/>
      <c r="M928" s="11" t="s">
        <v>4088</v>
      </c>
      <c r="N928" s="11"/>
      <c r="O928" s="11"/>
      <c r="P928" s="11"/>
      <c r="Q928" s="11">
        <v>3</v>
      </c>
      <c r="R928" s="11">
        <v>4</v>
      </c>
      <c r="S928" s="11" t="s">
        <v>4088</v>
      </c>
    </row>
    <row r="929" spans="1:19" hidden="1" x14ac:dyDescent="0.15">
      <c r="A929" s="34">
        <v>928</v>
      </c>
      <c r="B929" s="35" t="s">
        <v>4881</v>
      </c>
      <c r="C929" s="36" t="s">
        <v>3937</v>
      </c>
      <c r="D929" s="11" t="s">
        <v>1552</v>
      </c>
      <c r="E929" s="11" t="s">
        <v>1451</v>
      </c>
      <c r="F929" s="11">
        <v>10</v>
      </c>
      <c r="G929" s="11" t="s">
        <v>652</v>
      </c>
      <c r="H929" s="11" t="s">
        <v>651</v>
      </c>
      <c r="I929" s="11" t="s">
        <v>339</v>
      </c>
      <c r="J929" s="11" t="s">
        <v>1489</v>
      </c>
      <c r="K929" s="11" t="s">
        <v>1641</v>
      </c>
      <c r="L929" s="11"/>
      <c r="M929" s="11" t="s">
        <v>3425</v>
      </c>
      <c r="N929" s="11" t="s">
        <v>4089</v>
      </c>
      <c r="O929" s="11"/>
      <c r="P929" s="11"/>
      <c r="Q929" s="11">
        <v>3</v>
      </c>
      <c r="R929" s="11">
        <v>4</v>
      </c>
      <c r="S929" s="11" t="s">
        <v>4090</v>
      </c>
    </row>
    <row r="930" spans="1:19" hidden="1" x14ac:dyDescent="0.15">
      <c r="A930" s="34">
        <v>929</v>
      </c>
      <c r="B930" s="35" t="s">
        <v>4881</v>
      </c>
      <c r="C930" s="36" t="s">
        <v>3937</v>
      </c>
      <c r="D930" s="11" t="s">
        <v>1552</v>
      </c>
      <c r="E930" s="11" t="s">
        <v>1451</v>
      </c>
      <c r="F930" s="11">
        <v>10</v>
      </c>
      <c r="G930" s="11" t="s">
        <v>648</v>
      </c>
      <c r="H930" s="11" t="s">
        <v>647</v>
      </c>
      <c r="I930" s="11" t="s">
        <v>339</v>
      </c>
      <c r="J930" s="11" t="s">
        <v>1489</v>
      </c>
      <c r="K930" s="11" t="s">
        <v>3957</v>
      </c>
      <c r="L930" s="11"/>
      <c r="M930" s="11" t="s">
        <v>2755</v>
      </c>
      <c r="N930" s="11" t="s">
        <v>4091</v>
      </c>
      <c r="O930" s="11"/>
      <c r="P930" s="11"/>
      <c r="Q930" s="11">
        <v>4</v>
      </c>
      <c r="R930" s="11">
        <v>3</v>
      </c>
      <c r="S930" s="11" t="s">
        <v>4092</v>
      </c>
    </row>
    <row r="931" spans="1:19" hidden="1" x14ac:dyDescent="0.15">
      <c r="A931" s="34">
        <v>930</v>
      </c>
      <c r="B931" s="35" t="s">
        <v>4881</v>
      </c>
      <c r="C931" s="36" t="s">
        <v>3937</v>
      </c>
      <c r="D931" s="11" t="s">
        <v>1552</v>
      </c>
      <c r="E931" s="11" t="s">
        <v>1451</v>
      </c>
      <c r="F931" s="11">
        <v>6</v>
      </c>
      <c r="G931" s="11" t="s">
        <v>658</v>
      </c>
      <c r="H931" s="11" t="s">
        <v>657</v>
      </c>
      <c r="I931" s="11" t="s">
        <v>1453</v>
      </c>
      <c r="J931" s="11"/>
      <c r="K931" s="11"/>
      <c r="L931" s="11"/>
      <c r="M931" s="11" t="s">
        <v>4093</v>
      </c>
      <c r="N931" s="11"/>
      <c r="O931" s="11"/>
      <c r="P931" s="11"/>
      <c r="Q931" s="11"/>
      <c r="R931" s="11"/>
      <c r="S931" s="11" t="s">
        <v>4093</v>
      </c>
    </row>
    <row r="932" spans="1:19" hidden="1" x14ac:dyDescent="0.15">
      <c r="A932" s="34">
        <v>931</v>
      </c>
      <c r="B932" s="35" t="s">
        <v>4881</v>
      </c>
      <c r="C932" s="36" t="s">
        <v>3937</v>
      </c>
      <c r="D932" s="11" t="s">
        <v>1552</v>
      </c>
      <c r="E932" s="11" t="s">
        <v>1451</v>
      </c>
      <c r="F932" s="11">
        <v>10</v>
      </c>
      <c r="G932" s="11" t="s">
        <v>656</v>
      </c>
      <c r="H932" s="11" t="s">
        <v>655</v>
      </c>
      <c r="I932" s="11" t="s">
        <v>1453</v>
      </c>
      <c r="J932" s="11"/>
      <c r="K932" s="11"/>
      <c r="L932" s="11"/>
      <c r="M932" s="11" t="s">
        <v>4094</v>
      </c>
      <c r="N932" s="11"/>
      <c r="O932" s="11"/>
      <c r="P932" s="11"/>
      <c r="Q932" s="11"/>
      <c r="R932" s="11"/>
      <c r="S932" s="11" t="s">
        <v>4094</v>
      </c>
    </row>
    <row r="933" spans="1:19" hidden="1" x14ac:dyDescent="0.15">
      <c r="A933" s="34">
        <v>932</v>
      </c>
      <c r="B933" s="35" t="s">
        <v>4881</v>
      </c>
      <c r="C933" s="36" t="s">
        <v>3937</v>
      </c>
      <c r="D933" s="11" t="s">
        <v>1552</v>
      </c>
      <c r="E933" s="11" t="s">
        <v>1451</v>
      </c>
      <c r="F933" s="11">
        <v>3</v>
      </c>
      <c r="G933" s="11" t="s">
        <v>650</v>
      </c>
      <c r="H933" s="11" t="s">
        <v>649</v>
      </c>
      <c r="I933" s="11" t="s">
        <v>1453</v>
      </c>
      <c r="J933" s="11"/>
      <c r="K933" s="11"/>
      <c r="L933" s="11"/>
      <c r="M933" s="11" t="s">
        <v>4095</v>
      </c>
      <c r="N933" s="11"/>
      <c r="O933" s="11"/>
      <c r="P933" s="11"/>
      <c r="Q933" s="11"/>
      <c r="R933" s="11"/>
      <c r="S933" s="11" t="s">
        <v>4095</v>
      </c>
    </row>
    <row r="934" spans="1:19" hidden="1" x14ac:dyDescent="0.15">
      <c r="A934" s="34">
        <v>933</v>
      </c>
      <c r="B934" s="35" t="s">
        <v>4881</v>
      </c>
      <c r="C934" s="36" t="s">
        <v>3937</v>
      </c>
      <c r="D934" s="11" t="s">
        <v>1552</v>
      </c>
      <c r="E934" s="11" t="s">
        <v>1451</v>
      </c>
      <c r="F934" s="11">
        <v>2</v>
      </c>
      <c r="G934" s="11" t="s">
        <v>646</v>
      </c>
      <c r="H934" s="11" t="s">
        <v>645</v>
      </c>
      <c r="I934" s="11" t="s">
        <v>1453</v>
      </c>
      <c r="J934" s="11"/>
      <c r="K934" s="11"/>
      <c r="L934" s="11"/>
      <c r="M934" s="11" t="s">
        <v>4096</v>
      </c>
      <c r="N934" s="11"/>
      <c r="O934" s="11"/>
      <c r="P934" s="11"/>
      <c r="Q934" s="11"/>
      <c r="R934" s="11"/>
      <c r="S934" s="11" t="s">
        <v>4096</v>
      </c>
    </row>
    <row r="935" spans="1:19" hidden="1" x14ac:dyDescent="0.15">
      <c r="A935" s="34">
        <v>934</v>
      </c>
      <c r="B935" s="35" t="s">
        <v>4881</v>
      </c>
      <c r="C935" s="36" t="s">
        <v>3937</v>
      </c>
      <c r="D935" s="11" t="s">
        <v>1552</v>
      </c>
      <c r="E935" s="11" t="s">
        <v>1441</v>
      </c>
      <c r="F935" s="11">
        <v>10</v>
      </c>
      <c r="G935" s="11" t="s">
        <v>640</v>
      </c>
      <c r="H935" s="11" t="s">
        <v>639</v>
      </c>
      <c r="I935" s="11" t="s">
        <v>339</v>
      </c>
      <c r="J935" s="11" t="s">
        <v>2678</v>
      </c>
      <c r="K935" s="11"/>
      <c r="L935" s="11"/>
      <c r="M935" s="11" t="s">
        <v>2755</v>
      </c>
      <c r="N935" s="11" t="s">
        <v>3940</v>
      </c>
      <c r="O935" s="11" t="s">
        <v>4097</v>
      </c>
      <c r="P935" s="11"/>
      <c r="Q935" s="11">
        <v>6</v>
      </c>
      <c r="R935" s="11">
        <v>6</v>
      </c>
      <c r="S935" s="11" t="s">
        <v>4098</v>
      </c>
    </row>
    <row r="936" spans="1:19" hidden="1" x14ac:dyDescent="0.15">
      <c r="A936" s="34">
        <v>935</v>
      </c>
      <c r="B936" s="35" t="s">
        <v>4881</v>
      </c>
      <c r="C936" s="36" t="s">
        <v>3937</v>
      </c>
      <c r="D936" s="11" t="s">
        <v>1552</v>
      </c>
      <c r="E936" s="11" t="s">
        <v>1441</v>
      </c>
      <c r="F936" s="11">
        <v>13</v>
      </c>
      <c r="G936" s="11" t="s">
        <v>636</v>
      </c>
      <c r="H936" s="11" t="s">
        <v>635</v>
      </c>
      <c r="I936" s="11" t="s">
        <v>339</v>
      </c>
      <c r="J936" s="11" t="s">
        <v>1489</v>
      </c>
      <c r="K936" s="11" t="s">
        <v>1493</v>
      </c>
      <c r="L936" s="11"/>
      <c r="M936" s="11" t="s">
        <v>3940</v>
      </c>
      <c r="N936" s="11" t="s">
        <v>4099</v>
      </c>
      <c r="O936" s="11"/>
      <c r="P936" s="11"/>
      <c r="Q936" s="11">
        <v>7</v>
      </c>
      <c r="R936" s="11">
        <v>5</v>
      </c>
      <c r="S936" s="11" t="s">
        <v>4100</v>
      </c>
    </row>
    <row r="937" spans="1:19" hidden="1" x14ac:dyDescent="0.15">
      <c r="A937" s="34">
        <v>936</v>
      </c>
      <c r="B937" s="35" t="s">
        <v>4881</v>
      </c>
      <c r="C937" s="36" t="s">
        <v>3937</v>
      </c>
      <c r="D937" s="11" t="s">
        <v>1552</v>
      </c>
      <c r="E937" s="11" t="s">
        <v>1441</v>
      </c>
      <c r="F937" s="11">
        <v>15</v>
      </c>
      <c r="G937" s="11" t="s">
        <v>634</v>
      </c>
      <c r="H937" s="11" t="s">
        <v>633</v>
      </c>
      <c r="I937" s="11" t="s">
        <v>339</v>
      </c>
      <c r="J937" s="11" t="s">
        <v>1555</v>
      </c>
      <c r="K937" s="11"/>
      <c r="L937" s="11"/>
      <c r="M937" s="11" t="s">
        <v>351</v>
      </c>
      <c r="N937" s="11" t="s">
        <v>4101</v>
      </c>
      <c r="O937" s="11"/>
      <c r="P937" s="11"/>
      <c r="Q937" s="11">
        <v>6</v>
      </c>
      <c r="R937" s="11">
        <v>6</v>
      </c>
      <c r="S937" s="11" t="s">
        <v>4102</v>
      </c>
    </row>
    <row r="938" spans="1:19" hidden="1" x14ac:dyDescent="0.15">
      <c r="A938" s="34">
        <v>937</v>
      </c>
      <c r="B938" s="35" t="s">
        <v>4881</v>
      </c>
      <c r="C938" s="36" t="s">
        <v>3937</v>
      </c>
      <c r="D938" s="11" t="s">
        <v>1552</v>
      </c>
      <c r="E938" s="11" t="s">
        <v>1441</v>
      </c>
      <c r="F938" s="11">
        <v>6</v>
      </c>
      <c r="G938" s="11" t="s">
        <v>644</v>
      </c>
      <c r="H938" s="11" t="s">
        <v>643</v>
      </c>
      <c r="I938" s="11" t="s">
        <v>1453</v>
      </c>
      <c r="J938" s="11"/>
      <c r="K938" s="11"/>
      <c r="L938" s="11"/>
      <c r="M938" s="11" t="s">
        <v>4103</v>
      </c>
      <c r="N938" s="11"/>
      <c r="O938" s="11"/>
      <c r="P938" s="11"/>
      <c r="Q938" s="11"/>
      <c r="R938" s="11"/>
      <c r="S938" s="11" t="s">
        <v>4103</v>
      </c>
    </row>
    <row r="939" spans="1:19" hidden="1" x14ac:dyDescent="0.15">
      <c r="A939" s="34">
        <v>938</v>
      </c>
      <c r="B939" s="35" t="s">
        <v>4881</v>
      </c>
      <c r="C939" s="36" t="s">
        <v>3937</v>
      </c>
      <c r="D939" s="11" t="s">
        <v>1552</v>
      </c>
      <c r="E939" s="11" t="s">
        <v>1441</v>
      </c>
      <c r="F939" s="11">
        <v>10</v>
      </c>
      <c r="G939" s="11" t="s">
        <v>642</v>
      </c>
      <c r="H939" s="11" t="s">
        <v>641</v>
      </c>
      <c r="I939" s="11" t="s">
        <v>1453</v>
      </c>
      <c r="J939" s="11"/>
      <c r="K939" s="11"/>
      <c r="L939" s="11"/>
      <c r="M939" s="11" t="s">
        <v>4104</v>
      </c>
      <c r="N939" s="11"/>
      <c r="O939" s="11"/>
      <c r="P939" s="11"/>
      <c r="Q939" s="11"/>
      <c r="R939" s="11"/>
      <c r="S939" s="11" t="s">
        <v>4104</v>
      </c>
    </row>
    <row r="940" spans="1:19" hidden="1" x14ac:dyDescent="0.15">
      <c r="A940" s="34">
        <v>939</v>
      </c>
      <c r="B940" s="35" t="s">
        <v>4881</v>
      </c>
      <c r="C940" s="36" t="s">
        <v>3937</v>
      </c>
      <c r="D940" s="11" t="s">
        <v>1552</v>
      </c>
      <c r="E940" s="11" t="s">
        <v>1441</v>
      </c>
      <c r="F940" s="11">
        <v>5</v>
      </c>
      <c r="G940" s="11" t="s">
        <v>638</v>
      </c>
      <c r="H940" s="11" t="s">
        <v>637</v>
      </c>
      <c r="I940" s="11" t="s">
        <v>1453</v>
      </c>
      <c r="J940" s="11"/>
      <c r="K940" s="11"/>
      <c r="L940" s="11"/>
      <c r="M940" s="11" t="s">
        <v>4105</v>
      </c>
      <c r="N940" s="11"/>
      <c r="O940" s="11"/>
      <c r="P940" s="11"/>
      <c r="Q940" s="11"/>
      <c r="R940" s="11"/>
      <c r="S940" s="11" t="s">
        <v>4105</v>
      </c>
    </row>
    <row r="941" spans="1:19" hidden="1" x14ac:dyDescent="0.15">
      <c r="A941" s="34">
        <v>940</v>
      </c>
      <c r="B941" s="35" t="s">
        <v>4881</v>
      </c>
      <c r="C941" s="36" t="s">
        <v>3937</v>
      </c>
      <c r="D941" s="11" t="s">
        <v>1552</v>
      </c>
      <c r="E941" s="11" t="s">
        <v>1431</v>
      </c>
      <c r="F941" s="11">
        <v>25</v>
      </c>
      <c r="G941" s="11" t="s">
        <v>632</v>
      </c>
      <c r="H941" s="11" t="s">
        <v>631</v>
      </c>
      <c r="I941" s="11" t="s">
        <v>339</v>
      </c>
      <c r="J941" s="11" t="s">
        <v>352</v>
      </c>
      <c r="K941" s="11"/>
      <c r="L941" s="11"/>
      <c r="M941" s="11" t="s">
        <v>4106</v>
      </c>
      <c r="N941" s="11" t="s">
        <v>4107</v>
      </c>
      <c r="O941" s="11"/>
      <c r="P941" s="11"/>
      <c r="Q941" s="11">
        <v>8</v>
      </c>
      <c r="R941" s="11">
        <v>8</v>
      </c>
      <c r="S941" s="11" t="s">
        <v>4108</v>
      </c>
    </row>
    <row r="942" spans="1:19" hidden="1" x14ac:dyDescent="0.15">
      <c r="A942" s="34">
        <v>941</v>
      </c>
      <c r="B942" s="35" t="s">
        <v>4881</v>
      </c>
      <c r="C942" s="36" t="s">
        <v>3937</v>
      </c>
      <c r="D942" s="11" t="s">
        <v>1552</v>
      </c>
      <c r="E942" s="11" t="s">
        <v>1431</v>
      </c>
      <c r="F942" s="11">
        <v>14</v>
      </c>
      <c r="G942" s="11" t="s">
        <v>630</v>
      </c>
      <c r="H942" s="11" t="s">
        <v>629</v>
      </c>
      <c r="I942" s="11" t="s">
        <v>339</v>
      </c>
      <c r="J942" s="11" t="s">
        <v>1489</v>
      </c>
      <c r="K942" s="11" t="s">
        <v>1641</v>
      </c>
      <c r="L942" s="11"/>
      <c r="M942" s="11" t="s">
        <v>4109</v>
      </c>
      <c r="N942" s="11" t="s">
        <v>4110</v>
      </c>
      <c r="O942" s="11"/>
      <c r="P942" s="11"/>
      <c r="Q942" s="11">
        <v>4</v>
      </c>
      <c r="R942" s="11">
        <v>4</v>
      </c>
      <c r="S942" s="11" t="s">
        <v>4797</v>
      </c>
    </row>
    <row r="943" spans="1:19" hidden="1" x14ac:dyDescent="0.15">
      <c r="A943" s="34">
        <v>942</v>
      </c>
      <c r="B943" s="35" t="s">
        <v>4881</v>
      </c>
      <c r="C943" s="36" t="s">
        <v>3937</v>
      </c>
      <c r="D943" s="11" t="s">
        <v>1552</v>
      </c>
      <c r="E943" s="11" t="s">
        <v>1431</v>
      </c>
      <c r="F943" s="11">
        <v>11</v>
      </c>
      <c r="G943" s="11" t="s">
        <v>628</v>
      </c>
      <c r="H943" s="11" t="s">
        <v>627</v>
      </c>
      <c r="I943" s="11" t="s">
        <v>339</v>
      </c>
      <c r="J943" s="11" t="s">
        <v>4076</v>
      </c>
      <c r="K943" s="11"/>
      <c r="L943" s="11"/>
      <c r="M943" s="11" t="s">
        <v>1707</v>
      </c>
      <c r="N943" s="11" t="s">
        <v>4111</v>
      </c>
      <c r="O943" s="11"/>
      <c r="P943" s="11"/>
      <c r="Q943" s="11">
        <v>2</v>
      </c>
      <c r="R943" s="11">
        <v>2</v>
      </c>
      <c r="S943" s="11" t="s">
        <v>4112</v>
      </c>
    </row>
    <row r="944" spans="1:19" hidden="1" x14ac:dyDescent="0.15">
      <c r="A944" s="34">
        <v>943</v>
      </c>
      <c r="B944" s="35" t="s">
        <v>4881</v>
      </c>
      <c r="C944" s="36" t="s">
        <v>3937</v>
      </c>
      <c r="D944" s="11" t="s">
        <v>1518</v>
      </c>
      <c r="E944" s="11" t="s">
        <v>1744</v>
      </c>
      <c r="F944" s="11">
        <v>11</v>
      </c>
      <c r="G944" s="11" t="s">
        <v>622</v>
      </c>
      <c r="H944" s="11" t="s">
        <v>621</v>
      </c>
      <c r="I944" s="11" t="s">
        <v>339</v>
      </c>
      <c r="J944" s="11" t="s">
        <v>1479</v>
      </c>
      <c r="K944" s="11" t="s">
        <v>1641</v>
      </c>
      <c r="L944" s="11"/>
      <c r="M944" s="11" t="s">
        <v>1944</v>
      </c>
      <c r="N944" s="11" t="s">
        <v>3943</v>
      </c>
      <c r="O944" s="11"/>
      <c r="P944" s="11"/>
      <c r="Q944" s="11">
        <v>1</v>
      </c>
      <c r="R944" s="11">
        <v>3</v>
      </c>
      <c r="S944" s="11" t="s">
        <v>4113</v>
      </c>
    </row>
    <row r="945" spans="1:19" hidden="1" x14ac:dyDescent="0.15">
      <c r="A945" s="34">
        <v>944</v>
      </c>
      <c r="B945" s="35" t="s">
        <v>4881</v>
      </c>
      <c r="C945" s="36" t="s">
        <v>3937</v>
      </c>
      <c r="D945" s="11" t="s">
        <v>1518</v>
      </c>
      <c r="E945" s="11" t="s">
        <v>1744</v>
      </c>
      <c r="F945" s="11">
        <v>8</v>
      </c>
      <c r="G945" s="11" t="s">
        <v>620</v>
      </c>
      <c r="H945" s="11" t="s">
        <v>619</v>
      </c>
      <c r="I945" s="11" t="s">
        <v>339</v>
      </c>
      <c r="J945" s="11" t="s">
        <v>1479</v>
      </c>
      <c r="K945" s="11" t="s">
        <v>1529</v>
      </c>
      <c r="L945" s="11"/>
      <c r="M945" s="11" t="s">
        <v>3944</v>
      </c>
      <c r="N945" s="11"/>
      <c r="O945" s="11"/>
      <c r="P945" s="11"/>
      <c r="Q945" s="11">
        <v>1</v>
      </c>
      <c r="R945" s="11">
        <v>2</v>
      </c>
      <c r="S945" s="11" t="s">
        <v>3944</v>
      </c>
    </row>
    <row r="946" spans="1:19" hidden="1" x14ac:dyDescent="0.15">
      <c r="A946" s="34">
        <v>945</v>
      </c>
      <c r="B946" s="35" t="s">
        <v>4881</v>
      </c>
      <c r="C946" s="36" t="s">
        <v>3937</v>
      </c>
      <c r="D946" s="11" t="s">
        <v>1518</v>
      </c>
      <c r="E946" s="11" t="s">
        <v>1744</v>
      </c>
      <c r="F946" s="11">
        <v>9</v>
      </c>
      <c r="G946" s="11" t="s">
        <v>614</v>
      </c>
      <c r="H946" s="11" t="s">
        <v>613</v>
      </c>
      <c r="I946" s="11" t="s">
        <v>339</v>
      </c>
      <c r="J946" s="11" t="s">
        <v>1479</v>
      </c>
      <c r="K946" s="11" t="s">
        <v>1641</v>
      </c>
      <c r="L946" s="11"/>
      <c r="M946" s="11" t="s">
        <v>1707</v>
      </c>
      <c r="N946" s="11" t="s">
        <v>3943</v>
      </c>
      <c r="O946" s="11"/>
      <c r="P946" s="11"/>
      <c r="Q946" s="11">
        <v>2</v>
      </c>
      <c r="R946" s="11">
        <v>2</v>
      </c>
      <c r="S946" s="11" t="s">
        <v>4114</v>
      </c>
    </row>
    <row r="947" spans="1:19" hidden="1" x14ac:dyDescent="0.15">
      <c r="A947" s="34">
        <v>946</v>
      </c>
      <c r="B947" s="35" t="s">
        <v>4881</v>
      </c>
      <c r="C947" s="36" t="s">
        <v>3937</v>
      </c>
      <c r="D947" s="11" t="s">
        <v>1518</v>
      </c>
      <c r="E947" s="11" t="s">
        <v>1744</v>
      </c>
      <c r="F947" s="11">
        <v>11</v>
      </c>
      <c r="G947" s="11" t="s">
        <v>612</v>
      </c>
      <c r="H947" s="11" t="s">
        <v>611</v>
      </c>
      <c r="I947" s="11" t="s">
        <v>339</v>
      </c>
      <c r="J947" s="11" t="s">
        <v>1890</v>
      </c>
      <c r="K947" s="11"/>
      <c r="L947" s="11"/>
      <c r="M947" s="11" t="s">
        <v>1707</v>
      </c>
      <c r="N947" s="11" t="s">
        <v>3940</v>
      </c>
      <c r="O947" s="11" t="s">
        <v>4115</v>
      </c>
      <c r="P947" s="11"/>
      <c r="Q947" s="11">
        <v>2</v>
      </c>
      <c r="R947" s="11">
        <v>2</v>
      </c>
      <c r="S947" s="11" t="s">
        <v>4116</v>
      </c>
    </row>
    <row r="948" spans="1:19" hidden="1" x14ac:dyDescent="0.15">
      <c r="A948" s="34">
        <v>947</v>
      </c>
      <c r="B948" s="35" t="s">
        <v>4881</v>
      </c>
      <c r="C948" s="36" t="s">
        <v>3937</v>
      </c>
      <c r="D948" s="11" t="s">
        <v>1518</v>
      </c>
      <c r="E948" s="11" t="s">
        <v>1744</v>
      </c>
      <c r="F948" s="11">
        <v>8</v>
      </c>
      <c r="G948" s="11" t="s">
        <v>610</v>
      </c>
      <c r="H948" s="11" t="s">
        <v>609</v>
      </c>
      <c r="I948" s="11" t="s">
        <v>339</v>
      </c>
      <c r="J948" s="11" t="s">
        <v>1479</v>
      </c>
      <c r="K948" s="11" t="s">
        <v>1529</v>
      </c>
      <c r="L948" s="11"/>
      <c r="M948" s="11" t="s">
        <v>3983</v>
      </c>
      <c r="N948" s="11"/>
      <c r="O948" s="11"/>
      <c r="P948" s="11"/>
      <c r="Q948" s="11">
        <v>2</v>
      </c>
      <c r="R948" s="11">
        <v>1</v>
      </c>
      <c r="S948" s="11" t="s">
        <v>3983</v>
      </c>
    </row>
    <row r="949" spans="1:19" hidden="1" x14ac:dyDescent="0.15">
      <c r="A949" s="34">
        <v>948</v>
      </c>
      <c r="B949" s="35" t="s">
        <v>4881</v>
      </c>
      <c r="C949" s="36" t="s">
        <v>3937</v>
      </c>
      <c r="D949" s="11" t="s">
        <v>1518</v>
      </c>
      <c r="E949" s="11" t="s">
        <v>1744</v>
      </c>
      <c r="F949" s="11">
        <v>11</v>
      </c>
      <c r="G949" s="11" t="s">
        <v>608</v>
      </c>
      <c r="H949" s="11" t="s">
        <v>607</v>
      </c>
      <c r="I949" s="11" t="s">
        <v>339</v>
      </c>
      <c r="J949" s="11" t="s">
        <v>2607</v>
      </c>
      <c r="K949" s="11"/>
      <c r="L949" s="11"/>
      <c r="M949" s="11" t="s">
        <v>2595</v>
      </c>
      <c r="N949" s="11" t="s">
        <v>3940</v>
      </c>
      <c r="O949" s="11" t="s">
        <v>3949</v>
      </c>
      <c r="P949" s="11"/>
      <c r="Q949" s="11">
        <v>1</v>
      </c>
      <c r="R949" s="11">
        <v>2</v>
      </c>
      <c r="S949" s="11" t="s">
        <v>3992</v>
      </c>
    </row>
    <row r="950" spans="1:19" hidden="1" x14ac:dyDescent="0.15">
      <c r="A950" s="34">
        <v>949</v>
      </c>
      <c r="B950" s="35" t="s">
        <v>4881</v>
      </c>
      <c r="C950" s="36" t="s">
        <v>3937</v>
      </c>
      <c r="D950" s="11" t="s">
        <v>1518</v>
      </c>
      <c r="E950" s="11" t="s">
        <v>1744</v>
      </c>
      <c r="F950" s="11">
        <v>8</v>
      </c>
      <c r="G950" s="11" t="s">
        <v>606</v>
      </c>
      <c r="H950" s="11" t="s">
        <v>605</v>
      </c>
      <c r="I950" s="11" t="s">
        <v>339</v>
      </c>
      <c r="J950" s="11" t="s">
        <v>1479</v>
      </c>
      <c r="K950" s="11" t="s">
        <v>1529</v>
      </c>
      <c r="L950" s="11"/>
      <c r="M950" s="11" t="s">
        <v>4117</v>
      </c>
      <c r="N950" s="11"/>
      <c r="O950" s="11"/>
      <c r="P950" s="11"/>
      <c r="Q950" s="11">
        <v>2</v>
      </c>
      <c r="R950" s="11">
        <v>1</v>
      </c>
      <c r="S950" s="11" t="s">
        <v>4117</v>
      </c>
    </row>
    <row r="951" spans="1:19" hidden="1" x14ac:dyDescent="0.15">
      <c r="A951" s="34">
        <v>950</v>
      </c>
      <c r="B951" s="35" t="s">
        <v>4881</v>
      </c>
      <c r="C951" s="36" t="s">
        <v>3937</v>
      </c>
      <c r="D951" s="11" t="s">
        <v>1518</v>
      </c>
      <c r="E951" s="11" t="s">
        <v>1744</v>
      </c>
      <c r="F951" s="11">
        <v>10</v>
      </c>
      <c r="G951" s="11" t="s">
        <v>626</v>
      </c>
      <c r="H951" s="11" t="s">
        <v>625</v>
      </c>
      <c r="I951" s="11" t="s">
        <v>1453</v>
      </c>
      <c r="J951" s="11"/>
      <c r="K951" s="11"/>
      <c r="L951" s="11"/>
      <c r="M951" s="11" t="s">
        <v>4118</v>
      </c>
      <c r="N951" s="11"/>
      <c r="O951" s="11"/>
      <c r="P951" s="11"/>
      <c r="Q951" s="11"/>
      <c r="R951" s="11"/>
      <c r="S951" s="11" t="s">
        <v>4118</v>
      </c>
    </row>
    <row r="952" spans="1:19" hidden="1" x14ac:dyDescent="0.15">
      <c r="A952" s="34">
        <v>951</v>
      </c>
      <c r="B952" s="35" t="s">
        <v>4881</v>
      </c>
      <c r="C952" s="36" t="s">
        <v>3937</v>
      </c>
      <c r="D952" s="11" t="s">
        <v>1518</v>
      </c>
      <c r="E952" s="11" t="s">
        <v>1744</v>
      </c>
      <c r="F952" s="11">
        <v>4</v>
      </c>
      <c r="G952" s="11" t="s">
        <v>624</v>
      </c>
      <c r="H952" s="11" t="s">
        <v>623</v>
      </c>
      <c r="I952" s="11" t="s">
        <v>1453</v>
      </c>
      <c r="J952" s="11"/>
      <c r="K952" s="11"/>
      <c r="L952" s="11"/>
      <c r="M952" s="11" t="s">
        <v>4119</v>
      </c>
      <c r="N952" s="11"/>
      <c r="O952" s="11"/>
      <c r="P952" s="11"/>
      <c r="Q952" s="11"/>
      <c r="R952" s="11"/>
      <c r="S952" s="11" t="s">
        <v>4119</v>
      </c>
    </row>
    <row r="953" spans="1:19" hidden="1" x14ac:dyDescent="0.15">
      <c r="A953" s="34">
        <v>952</v>
      </c>
      <c r="B953" s="35" t="s">
        <v>4881</v>
      </c>
      <c r="C953" s="36" t="s">
        <v>3937</v>
      </c>
      <c r="D953" s="11" t="s">
        <v>1518</v>
      </c>
      <c r="E953" s="11" t="s">
        <v>1744</v>
      </c>
      <c r="F953" s="11">
        <v>4</v>
      </c>
      <c r="G953" s="11" t="s">
        <v>618</v>
      </c>
      <c r="H953" s="11" t="s">
        <v>617</v>
      </c>
      <c r="I953" s="11" t="s">
        <v>1453</v>
      </c>
      <c r="J953" s="11"/>
      <c r="K953" s="11"/>
      <c r="L953" s="11"/>
      <c r="M953" s="11" t="s">
        <v>4120</v>
      </c>
      <c r="N953" s="11"/>
      <c r="O953" s="11"/>
      <c r="P953" s="11"/>
      <c r="Q953" s="11"/>
      <c r="R953" s="11"/>
      <c r="S953" s="11" t="s">
        <v>4120</v>
      </c>
    </row>
    <row r="954" spans="1:19" hidden="1" x14ac:dyDescent="0.15">
      <c r="A954" s="34">
        <v>953</v>
      </c>
      <c r="B954" s="35" t="s">
        <v>4881</v>
      </c>
      <c r="C954" s="36" t="s">
        <v>3937</v>
      </c>
      <c r="D954" s="11" t="s">
        <v>1518</v>
      </c>
      <c r="E954" s="11" t="s">
        <v>1744</v>
      </c>
      <c r="F954" s="11">
        <v>2</v>
      </c>
      <c r="G954" s="11" t="s">
        <v>616</v>
      </c>
      <c r="H954" s="11" t="s">
        <v>615</v>
      </c>
      <c r="I954" s="11" t="s">
        <v>1453</v>
      </c>
      <c r="J954" s="11"/>
      <c r="K954" s="11"/>
      <c r="L954" s="11"/>
      <c r="M954" s="11" t="s">
        <v>4121</v>
      </c>
      <c r="N954" s="11"/>
      <c r="O954" s="11"/>
      <c r="P954" s="11"/>
      <c r="Q954" s="11"/>
      <c r="R954" s="11"/>
      <c r="S954" s="11" t="s">
        <v>4121</v>
      </c>
    </row>
    <row r="955" spans="1:19" hidden="1" x14ac:dyDescent="0.15">
      <c r="A955" s="34">
        <v>954</v>
      </c>
      <c r="B955" s="35" t="s">
        <v>4881</v>
      </c>
      <c r="C955" s="36" t="s">
        <v>3937</v>
      </c>
      <c r="D955" s="11" t="s">
        <v>1518</v>
      </c>
      <c r="E955" s="11" t="s">
        <v>1451</v>
      </c>
      <c r="F955" s="11">
        <v>17</v>
      </c>
      <c r="G955" s="11" t="s">
        <v>604</v>
      </c>
      <c r="H955" s="11" t="s">
        <v>603</v>
      </c>
      <c r="I955" s="11" t="s">
        <v>339</v>
      </c>
      <c r="J955" s="11" t="s">
        <v>1479</v>
      </c>
      <c r="K955" s="11" t="s">
        <v>1641</v>
      </c>
      <c r="L955" s="11"/>
      <c r="M955" s="11" t="s">
        <v>4122</v>
      </c>
      <c r="N955" s="11"/>
      <c r="O955" s="11"/>
      <c r="P955" s="11"/>
      <c r="Q955" s="11">
        <v>4</v>
      </c>
      <c r="R955" s="11">
        <v>4</v>
      </c>
      <c r="S955" s="11" t="s">
        <v>4122</v>
      </c>
    </row>
    <row r="956" spans="1:19" hidden="1" x14ac:dyDescent="0.15">
      <c r="A956" s="34">
        <v>955</v>
      </c>
      <c r="B956" s="35" t="s">
        <v>4881</v>
      </c>
      <c r="C956" s="36" t="s">
        <v>3937</v>
      </c>
      <c r="D956" s="11" t="s">
        <v>1518</v>
      </c>
      <c r="E956" s="11" t="s">
        <v>1451</v>
      </c>
      <c r="F956" s="11">
        <v>10</v>
      </c>
      <c r="G956" s="11" t="s">
        <v>596</v>
      </c>
      <c r="H956" s="11" t="s">
        <v>595</v>
      </c>
      <c r="I956" s="11" t="s">
        <v>339</v>
      </c>
      <c r="J956" s="11" t="s">
        <v>1479</v>
      </c>
      <c r="K956" s="11" t="s">
        <v>1641</v>
      </c>
      <c r="L956" s="11"/>
      <c r="M956" s="11" t="s">
        <v>4123</v>
      </c>
      <c r="N956" s="11" t="s">
        <v>3960</v>
      </c>
      <c r="O956" s="11"/>
      <c r="P956" s="11"/>
      <c r="Q956" s="11">
        <v>3</v>
      </c>
      <c r="R956" s="11">
        <v>4</v>
      </c>
      <c r="S956" s="11" t="s">
        <v>4124</v>
      </c>
    </row>
    <row r="957" spans="1:19" hidden="1" x14ac:dyDescent="0.15">
      <c r="A957" s="34">
        <v>956</v>
      </c>
      <c r="B957" s="35" t="s">
        <v>4881</v>
      </c>
      <c r="C957" s="36" t="s">
        <v>3937</v>
      </c>
      <c r="D957" s="11" t="s">
        <v>1518</v>
      </c>
      <c r="E957" s="11" t="s">
        <v>1451</v>
      </c>
      <c r="F957" s="11">
        <v>14</v>
      </c>
      <c r="G957" s="11" t="s">
        <v>594</v>
      </c>
      <c r="H957" s="11" t="s">
        <v>593</v>
      </c>
      <c r="I957" s="11" t="s">
        <v>339</v>
      </c>
      <c r="J957" s="11" t="s">
        <v>4125</v>
      </c>
      <c r="K957" s="11"/>
      <c r="L957" s="11"/>
      <c r="M957" s="11" t="s">
        <v>4126</v>
      </c>
      <c r="N957" s="11"/>
      <c r="O957" s="11"/>
      <c r="P957" s="11"/>
      <c r="Q957" s="11">
        <v>4</v>
      </c>
      <c r="R957" s="11">
        <v>4</v>
      </c>
      <c r="S957" s="11" t="s">
        <v>4126</v>
      </c>
    </row>
    <row r="958" spans="1:19" hidden="1" x14ac:dyDescent="0.15">
      <c r="A958" s="34">
        <v>957</v>
      </c>
      <c r="B958" s="35" t="s">
        <v>4881</v>
      </c>
      <c r="C958" s="36" t="s">
        <v>3937</v>
      </c>
      <c r="D958" s="11" t="s">
        <v>1518</v>
      </c>
      <c r="E958" s="11" t="s">
        <v>1451</v>
      </c>
      <c r="F958" s="11">
        <v>7</v>
      </c>
      <c r="G958" s="11" t="s">
        <v>592</v>
      </c>
      <c r="H958" s="11" t="s">
        <v>591</v>
      </c>
      <c r="I958" s="11" t="s">
        <v>339</v>
      </c>
      <c r="J958" s="11" t="s">
        <v>1479</v>
      </c>
      <c r="K958" s="11" t="s">
        <v>1929</v>
      </c>
      <c r="L958" s="11"/>
      <c r="M958" s="11" t="s">
        <v>4127</v>
      </c>
      <c r="N958" s="11"/>
      <c r="O958" s="11"/>
      <c r="P958" s="11"/>
      <c r="Q958" s="11">
        <v>4</v>
      </c>
      <c r="R958" s="11">
        <v>3</v>
      </c>
      <c r="S958" s="11" t="s">
        <v>4127</v>
      </c>
    </row>
    <row r="959" spans="1:19" hidden="1" x14ac:dyDescent="0.15">
      <c r="A959" s="34">
        <v>958</v>
      </c>
      <c r="B959" s="35" t="s">
        <v>4881</v>
      </c>
      <c r="C959" s="36" t="s">
        <v>3937</v>
      </c>
      <c r="D959" s="11" t="s">
        <v>1518</v>
      </c>
      <c r="E959" s="11" t="s">
        <v>1451</v>
      </c>
      <c r="F959" s="11">
        <v>4</v>
      </c>
      <c r="G959" s="11" t="s">
        <v>602</v>
      </c>
      <c r="H959" s="11" t="s">
        <v>601</v>
      </c>
      <c r="I959" s="11" t="s">
        <v>1453</v>
      </c>
      <c r="J959" s="11"/>
      <c r="K959" s="11"/>
      <c r="L959" s="11"/>
      <c r="M959" s="11" t="s">
        <v>4128</v>
      </c>
      <c r="N959" s="11"/>
      <c r="O959" s="11"/>
      <c r="P959" s="11"/>
      <c r="Q959" s="11"/>
      <c r="R959" s="11"/>
      <c r="S959" s="11" t="s">
        <v>4128</v>
      </c>
    </row>
    <row r="960" spans="1:19" hidden="1" x14ac:dyDescent="0.15">
      <c r="A960" s="34">
        <v>959</v>
      </c>
      <c r="B960" s="35" t="s">
        <v>4881</v>
      </c>
      <c r="C960" s="36" t="s">
        <v>3937</v>
      </c>
      <c r="D960" s="11" t="s">
        <v>1518</v>
      </c>
      <c r="E960" s="11" t="s">
        <v>1451</v>
      </c>
      <c r="F960" s="11">
        <v>8</v>
      </c>
      <c r="G960" s="11" t="s">
        <v>600</v>
      </c>
      <c r="H960" s="11" t="s">
        <v>599</v>
      </c>
      <c r="I960" s="11" t="s">
        <v>1453</v>
      </c>
      <c r="J960" s="11"/>
      <c r="K960" s="11"/>
      <c r="L960" s="11"/>
      <c r="M960" s="11" t="s">
        <v>3952</v>
      </c>
      <c r="N960" s="11"/>
      <c r="O960" s="11"/>
      <c r="P960" s="11"/>
      <c r="Q960" s="11"/>
      <c r="R960" s="11"/>
      <c r="S960" s="11" t="s">
        <v>3952</v>
      </c>
    </row>
    <row r="961" spans="1:19" hidden="1" x14ac:dyDescent="0.15">
      <c r="A961" s="34">
        <v>960</v>
      </c>
      <c r="B961" s="35" t="s">
        <v>4881</v>
      </c>
      <c r="C961" s="36" t="s">
        <v>3937</v>
      </c>
      <c r="D961" s="11" t="s">
        <v>1518</v>
      </c>
      <c r="E961" s="11" t="s">
        <v>1451</v>
      </c>
      <c r="F961" s="11">
        <v>2</v>
      </c>
      <c r="G961" s="11" t="s">
        <v>590</v>
      </c>
      <c r="H961" s="11" t="s">
        <v>589</v>
      </c>
      <c r="I961" s="11" t="s">
        <v>1453</v>
      </c>
      <c r="J961" s="11"/>
      <c r="K961" s="11"/>
      <c r="L961" s="11"/>
      <c r="M961" s="11" t="s">
        <v>4129</v>
      </c>
      <c r="N961" s="11"/>
      <c r="O961" s="11"/>
      <c r="P961" s="11"/>
      <c r="Q961" s="11"/>
      <c r="R961" s="11"/>
      <c r="S961" s="11" t="s">
        <v>4129</v>
      </c>
    </row>
    <row r="962" spans="1:19" hidden="1" x14ac:dyDescent="0.15">
      <c r="A962" s="34">
        <v>961</v>
      </c>
      <c r="B962" s="35" t="s">
        <v>4881</v>
      </c>
      <c r="C962" s="36" t="s">
        <v>3937</v>
      </c>
      <c r="D962" s="11" t="s">
        <v>1518</v>
      </c>
      <c r="E962" s="11" t="s">
        <v>1451</v>
      </c>
      <c r="F962" s="11">
        <v>6</v>
      </c>
      <c r="G962" s="11" t="s">
        <v>598</v>
      </c>
      <c r="H962" s="11" t="s">
        <v>597</v>
      </c>
      <c r="I962" s="11" t="s">
        <v>288</v>
      </c>
      <c r="J962" s="11"/>
      <c r="K962" s="11"/>
      <c r="L962" s="11"/>
      <c r="M962" s="11" t="s">
        <v>4130</v>
      </c>
      <c r="N962" s="11"/>
      <c r="O962" s="11"/>
      <c r="P962" s="11">
        <v>3</v>
      </c>
      <c r="Q962" s="11"/>
      <c r="R962" s="11"/>
      <c r="S962" s="11" t="s">
        <v>4130</v>
      </c>
    </row>
    <row r="963" spans="1:19" hidden="1" x14ac:dyDescent="0.15">
      <c r="A963" s="34">
        <v>962</v>
      </c>
      <c r="B963" s="35" t="s">
        <v>4881</v>
      </c>
      <c r="C963" s="36" t="s">
        <v>3937</v>
      </c>
      <c r="D963" s="11" t="s">
        <v>1518</v>
      </c>
      <c r="E963" s="11" t="s">
        <v>1441</v>
      </c>
      <c r="F963" s="11">
        <v>14</v>
      </c>
      <c r="G963" s="11" t="s">
        <v>588</v>
      </c>
      <c r="H963" s="11" t="s">
        <v>587</v>
      </c>
      <c r="I963" s="11" t="s">
        <v>339</v>
      </c>
      <c r="J963" s="11" t="s">
        <v>357</v>
      </c>
      <c r="K963" s="11"/>
      <c r="L963" s="11"/>
      <c r="M963" s="11" t="s">
        <v>1707</v>
      </c>
      <c r="N963" s="11" t="s">
        <v>4131</v>
      </c>
      <c r="O963" s="11" t="s">
        <v>4132</v>
      </c>
      <c r="P963" s="11"/>
      <c r="Q963" s="11">
        <v>6</v>
      </c>
      <c r="R963" s="11">
        <v>5</v>
      </c>
      <c r="S963" s="11" t="s">
        <v>4133</v>
      </c>
    </row>
    <row r="964" spans="1:19" hidden="1" x14ac:dyDescent="0.15">
      <c r="A964" s="34">
        <v>963</v>
      </c>
      <c r="B964" s="35" t="s">
        <v>4881</v>
      </c>
      <c r="C964" s="36" t="s">
        <v>3937</v>
      </c>
      <c r="D964" s="11" t="s">
        <v>1518</v>
      </c>
      <c r="E964" s="11" t="s">
        <v>1441</v>
      </c>
      <c r="F964" s="11">
        <v>10</v>
      </c>
      <c r="G964" s="11" t="s">
        <v>586</v>
      </c>
      <c r="H964" s="11" t="s">
        <v>585</v>
      </c>
      <c r="I964" s="11" t="s">
        <v>339</v>
      </c>
      <c r="J964" s="11" t="s">
        <v>1479</v>
      </c>
      <c r="K964" s="11" t="s">
        <v>1641</v>
      </c>
      <c r="L964" s="11"/>
      <c r="M964" s="11" t="s">
        <v>3960</v>
      </c>
      <c r="N964" s="11" t="s">
        <v>4134</v>
      </c>
      <c r="O964" s="11"/>
      <c r="P964" s="11"/>
      <c r="Q964" s="11">
        <v>3</v>
      </c>
      <c r="R964" s="11">
        <v>3</v>
      </c>
      <c r="S964" s="11" t="s">
        <v>4135</v>
      </c>
    </row>
    <row r="965" spans="1:19" hidden="1" x14ac:dyDescent="0.15">
      <c r="A965" s="34">
        <v>964</v>
      </c>
      <c r="B965" s="35" t="s">
        <v>4881</v>
      </c>
      <c r="C965" s="36" t="s">
        <v>3937</v>
      </c>
      <c r="D965" s="11" t="s">
        <v>1518</v>
      </c>
      <c r="E965" s="11" t="s">
        <v>1441</v>
      </c>
      <c r="F965" s="11">
        <v>15</v>
      </c>
      <c r="G965" s="11" t="s">
        <v>582</v>
      </c>
      <c r="H965" s="11" t="s">
        <v>581</v>
      </c>
      <c r="I965" s="11" t="s">
        <v>339</v>
      </c>
      <c r="J965" s="11" t="s">
        <v>1890</v>
      </c>
      <c r="K965" s="11"/>
      <c r="L965" s="11"/>
      <c r="M965" s="11" t="s">
        <v>4136</v>
      </c>
      <c r="N965" s="11" t="s">
        <v>4137</v>
      </c>
      <c r="O965" s="11"/>
      <c r="P965" s="11"/>
      <c r="Q965" s="11">
        <v>6</v>
      </c>
      <c r="R965" s="11">
        <v>6</v>
      </c>
      <c r="S965" s="11" t="s">
        <v>4138</v>
      </c>
    </row>
    <row r="966" spans="1:19" hidden="1" x14ac:dyDescent="0.15">
      <c r="A966" s="34">
        <v>965</v>
      </c>
      <c r="B966" s="35" t="s">
        <v>4881</v>
      </c>
      <c r="C966" s="36" t="s">
        <v>3937</v>
      </c>
      <c r="D966" s="11" t="s">
        <v>1518</v>
      </c>
      <c r="E966" s="11" t="s">
        <v>1441</v>
      </c>
      <c r="F966" s="11">
        <v>14</v>
      </c>
      <c r="G966" s="11" t="s">
        <v>580</v>
      </c>
      <c r="H966" s="11" t="s">
        <v>579</v>
      </c>
      <c r="I966" s="11" t="s">
        <v>339</v>
      </c>
      <c r="J966" s="11" t="s">
        <v>1479</v>
      </c>
      <c r="K966" s="11" t="s">
        <v>1529</v>
      </c>
      <c r="L966" s="11"/>
      <c r="M966" s="11" t="s">
        <v>3940</v>
      </c>
      <c r="N966" s="11" t="s">
        <v>4139</v>
      </c>
      <c r="O966" s="11"/>
      <c r="P966" s="11"/>
      <c r="Q966" s="11">
        <v>6</v>
      </c>
      <c r="R966" s="11">
        <v>6</v>
      </c>
      <c r="S966" s="11" t="s">
        <v>4140</v>
      </c>
    </row>
    <row r="967" spans="1:19" hidden="1" x14ac:dyDescent="0.15">
      <c r="A967" s="34">
        <v>966</v>
      </c>
      <c r="B967" s="35" t="s">
        <v>4881</v>
      </c>
      <c r="C967" s="36" t="s">
        <v>3937</v>
      </c>
      <c r="D967" s="11" t="s">
        <v>1518</v>
      </c>
      <c r="E967" s="11" t="s">
        <v>1441</v>
      </c>
      <c r="F967" s="11">
        <v>11</v>
      </c>
      <c r="G967" s="11" t="s">
        <v>584</v>
      </c>
      <c r="H967" s="11" t="s">
        <v>583</v>
      </c>
      <c r="I967" s="11" t="s">
        <v>1453</v>
      </c>
      <c r="J967" s="11"/>
      <c r="K967" s="11"/>
      <c r="L967" s="11"/>
      <c r="M967" s="11" t="s">
        <v>4141</v>
      </c>
      <c r="N967" s="11" t="s">
        <v>4142</v>
      </c>
      <c r="O967" s="11"/>
      <c r="P967" s="11"/>
      <c r="Q967" s="11"/>
      <c r="R967" s="11"/>
      <c r="S967" s="11" t="s">
        <v>4143</v>
      </c>
    </row>
    <row r="968" spans="1:19" hidden="1" x14ac:dyDescent="0.15">
      <c r="A968" s="34">
        <v>967</v>
      </c>
      <c r="B968" s="35" t="s">
        <v>4881</v>
      </c>
      <c r="C968" s="36" t="s">
        <v>3937</v>
      </c>
      <c r="D968" s="11" t="s">
        <v>1518</v>
      </c>
      <c r="E968" s="11" t="s">
        <v>1441</v>
      </c>
      <c r="F968" s="11">
        <v>24</v>
      </c>
      <c r="G968" s="11" t="s">
        <v>578</v>
      </c>
      <c r="H968" s="11" t="s">
        <v>577</v>
      </c>
      <c r="I968" s="11" t="s">
        <v>1453</v>
      </c>
      <c r="J968" s="11"/>
      <c r="K968" s="11"/>
      <c r="L968" s="11"/>
      <c r="M968" s="11" t="s">
        <v>4144</v>
      </c>
      <c r="N968" s="11"/>
      <c r="O968" s="11"/>
      <c r="P968" s="11"/>
      <c r="Q968" s="11"/>
      <c r="R968" s="11"/>
      <c r="S968" s="11" t="s">
        <v>4144</v>
      </c>
    </row>
    <row r="969" spans="1:19" hidden="1" x14ac:dyDescent="0.15">
      <c r="A969" s="34">
        <v>968</v>
      </c>
      <c r="B969" s="35" t="s">
        <v>4881</v>
      </c>
      <c r="C969" s="36" t="s">
        <v>3937</v>
      </c>
      <c r="D969" s="11" t="s">
        <v>1518</v>
      </c>
      <c r="E969" s="11" t="s">
        <v>1431</v>
      </c>
      <c r="F969" s="11">
        <v>19</v>
      </c>
      <c r="G969" s="11" t="s">
        <v>576</v>
      </c>
      <c r="H969" s="11" t="s">
        <v>575</v>
      </c>
      <c r="I969" s="11" t="s">
        <v>339</v>
      </c>
      <c r="J969" s="11" t="s">
        <v>1479</v>
      </c>
      <c r="K969" s="11" t="s">
        <v>1641</v>
      </c>
      <c r="L969" s="11" t="s">
        <v>1529</v>
      </c>
      <c r="M969" s="11" t="s">
        <v>4145</v>
      </c>
      <c r="N969" s="11" t="s">
        <v>4146</v>
      </c>
      <c r="O969" s="11"/>
      <c r="P969" s="11"/>
      <c r="Q969" s="11">
        <v>7</v>
      </c>
      <c r="R969" s="11">
        <v>8</v>
      </c>
      <c r="S969" s="11" t="s">
        <v>4147</v>
      </c>
    </row>
    <row r="970" spans="1:19" hidden="1" x14ac:dyDescent="0.15">
      <c r="A970" s="34">
        <v>969</v>
      </c>
      <c r="B970" s="35" t="s">
        <v>4881</v>
      </c>
      <c r="C970" s="36" t="s">
        <v>3937</v>
      </c>
      <c r="D970" s="11" t="s">
        <v>1518</v>
      </c>
      <c r="E970" s="11" t="s">
        <v>1431</v>
      </c>
      <c r="F970" s="11">
        <v>12</v>
      </c>
      <c r="G970" s="11" t="s">
        <v>574</v>
      </c>
      <c r="H970" s="11" t="s">
        <v>573</v>
      </c>
      <c r="I970" s="11" t="s">
        <v>339</v>
      </c>
      <c r="J970" s="11" t="s">
        <v>1863</v>
      </c>
      <c r="K970" s="11"/>
      <c r="L970" s="11"/>
      <c r="M970" s="11" t="s">
        <v>3983</v>
      </c>
      <c r="N970" s="11" t="s">
        <v>4148</v>
      </c>
      <c r="O970" s="11"/>
      <c r="P970" s="11"/>
      <c r="Q970" s="11">
        <v>1</v>
      </c>
      <c r="R970" s="11">
        <v>1</v>
      </c>
      <c r="S970" s="11" t="s">
        <v>4149</v>
      </c>
    </row>
    <row r="971" spans="1:19" hidden="1" x14ac:dyDescent="0.15">
      <c r="A971" s="34">
        <v>970</v>
      </c>
      <c r="B971" s="35" t="s">
        <v>4881</v>
      </c>
      <c r="C971" s="36" t="s">
        <v>3937</v>
      </c>
      <c r="D971" s="11" t="s">
        <v>1518</v>
      </c>
      <c r="E971" s="11" t="s">
        <v>1431</v>
      </c>
      <c r="F971" s="11">
        <v>7</v>
      </c>
      <c r="G971" s="11" t="s">
        <v>572</v>
      </c>
      <c r="H971" s="11" t="s">
        <v>571</v>
      </c>
      <c r="I971" s="11" t="s">
        <v>339</v>
      </c>
      <c r="J971" s="11" t="s">
        <v>1489</v>
      </c>
      <c r="K971" s="11" t="s">
        <v>1641</v>
      </c>
      <c r="L971" s="11"/>
      <c r="M971" s="11" t="s">
        <v>4150</v>
      </c>
      <c r="N971" s="11"/>
      <c r="O971" s="11"/>
      <c r="P971" s="11"/>
      <c r="Q971" s="11">
        <v>2</v>
      </c>
      <c r="R971" s="11">
        <v>2</v>
      </c>
      <c r="S971" s="11" t="s">
        <v>4150</v>
      </c>
    </row>
    <row r="972" spans="1:19" hidden="1" x14ac:dyDescent="0.15">
      <c r="A972" s="34">
        <v>971</v>
      </c>
      <c r="B972" s="35" t="s">
        <v>4881</v>
      </c>
      <c r="C972" s="36" t="s">
        <v>3937</v>
      </c>
      <c r="D972" s="11" t="s">
        <v>1518</v>
      </c>
      <c r="E972" s="11" t="s">
        <v>1431</v>
      </c>
      <c r="F972" s="11">
        <v>22</v>
      </c>
      <c r="G972" s="11" t="s">
        <v>570</v>
      </c>
      <c r="H972" s="11" t="s">
        <v>569</v>
      </c>
      <c r="I972" s="11" t="s">
        <v>339</v>
      </c>
      <c r="J972" s="11" t="s">
        <v>352</v>
      </c>
      <c r="K972" s="11"/>
      <c r="L972" s="11"/>
      <c r="M972" s="11" t="s">
        <v>4151</v>
      </c>
      <c r="N972" s="11" t="s">
        <v>4152</v>
      </c>
      <c r="O972" s="11"/>
      <c r="P972" s="11"/>
      <c r="Q972" s="11">
        <v>8</v>
      </c>
      <c r="R972" s="11">
        <v>8</v>
      </c>
      <c r="S972" s="11" t="s">
        <v>4153</v>
      </c>
    </row>
    <row r="973" spans="1:19" hidden="1" x14ac:dyDescent="0.15">
      <c r="A973" s="34">
        <v>972</v>
      </c>
      <c r="B973" s="35" t="s">
        <v>4881</v>
      </c>
      <c r="C973" s="36" t="s">
        <v>3937</v>
      </c>
      <c r="D973" s="11" t="s">
        <v>1512</v>
      </c>
      <c r="E973" s="11" t="s">
        <v>1451</v>
      </c>
      <c r="F973" s="11">
        <v>13</v>
      </c>
      <c r="G973" s="11" t="s">
        <v>568</v>
      </c>
      <c r="H973" s="11" t="s">
        <v>567</v>
      </c>
      <c r="I973" s="11" t="s">
        <v>339</v>
      </c>
      <c r="J973" s="11" t="s">
        <v>1489</v>
      </c>
      <c r="K973" s="11" t="s">
        <v>1929</v>
      </c>
      <c r="L973" s="11"/>
      <c r="M973" s="11" t="s">
        <v>351</v>
      </c>
      <c r="N973" s="11" t="s">
        <v>4154</v>
      </c>
      <c r="O973" s="11"/>
      <c r="P973" s="11"/>
      <c r="Q973" s="11">
        <v>4</v>
      </c>
      <c r="R973" s="11">
        <v>4</v>
      </c>
      <c r="S973" s="11" t="s">
        <v>4155</v>
      </c>
    </row>
    <row r="974" spans="1:19" hidden="1" x14ac:dyDescent="0.15">
      <c r="A974" s="34">
        <v>973</v>
      </c>
      <c r="B974" s="35" t="s">
        <v>4881</v>
      </c>
      <c r="C974" s="36" t="s">
        <v>3937</v>
      </c>
      <c r="D974" s="11" t="s">
        <v>1508</v>
      </c>
      <c r="E974" s="11" t="s">
        <v>1451</v>
      </c>
      <c r="F974" s="11">
        <v>12</v>
      </c>
      <c r="G974" s="11" t="s">
        <v>566</v>
      </c>
      <c r="H974" s="11" t="s">
        <v>565</v>
      </c>
      <c r="I974" s="11" t="s">
        <v>339</v>
      </c>
      <c r="J974" s="11" t="s">
        <v>4031</v>
      </c>
      <c r="K974" s="11" t="s">
        <v>2938</v>
      </c>
      <c r="L974" s="11"/>
      <c r="M974" s="11" t="s">
        <v>3109</v>
      </c>
      <c r="N974" s="11" t="s">
        <v>4156</v>
      </c>
      <c r="O974" s="11"/>
      <c r="P974" s="11"/>
      <c r="Q974" s="11">
        <v>2</v>
      </c>
      <c r="R974" s="11">
        <v>5</v>
      </c>
      <c r="S974" s="11" t="s">
        <v>4887</v>
      </c>
    </row>
    <row r="975" spans="1:19" hidden="1" x14ac:dyDescent="0.15">
      <c r="A975" s="34">
        <v>974</v>
      </c>
      <c r="B975" s="35" t="s">
        <v>4881</v>
      </c>
      <c r="C975" s="36" t="s">
        <v>3937</v>
      </c>
      <c r="D975" s="11" t="s">
        <v>1772</v>
      </c>
      <c r="E975" s="11" t="s">
        <v>1451</v>
      </c>
      <c r="F975" s="11">
        <v>16</v>
      </c>
      <c r="G975" s="11" t="s">
        <v>564</v>
      </c>
      <c r="H975" s="11" t="s">
        <v>563</v>
      </c>
      <c r="I975" s="11" t="s">
        <v>339</v>
      </c>
      <c r="J975" s="11" t="s">
        <v>2911</v>
      </c>
      <c r="K975" s="11" t="s">
        <v>1929</v>
      </c>
      <c r="L975" s="11"/>
      <c r="M975" s="11" t="s">
        <v>3596</v>
      </c>
      <c r="N975" s="11" t="s">
        <v>4158</v>
      </c>
      <c r="O975" s="11"/>
      <c r="P975" s="11"/>
      <c r="Q975" s="11">
        <v>3</v>
      </c>
      <c r="R975" s="11">
        <v>4</v>
      </c>
      <c r="S975" s="11" t="s">
        <v>4159</v>
      </c>
    </row>
    <row r="976" spans="1:19" hidden="1" x14ac:dyDescent="0.15">
      <c r="A976" s="34">
        <v>975</v>
      </c>
      <c r="B976" s="35" t="s">
        <v>4881</v>
      </c>
      <c r="C976" s="36" t="s">
        <v>3937</v>
      </c>
      <c r="D976" s="11" t="s">
        <v>1474</v>
      </c>
      <c r="E976" s="11" t="s">
        <v>1451</v>
      </c>
      <c r="F976" s="11">
        <v>16</v>
      </c>
      <c r="G976" s="11" t="s">
        <v>560</v>
      </c>
      <c r="H976" s="11" t="s">
        <v>559</v>
      </c>
      <c r="I976" s="11" t="s">
        <v>339</v>
      </c>
      <c r="J976" s="11" t="s">
        <v>1489</v>
      </c>
      <c r="K976" s="11" t="s">
        <v>1641</v>
      </c>
      <c r="L976" s="11"/>
      <c r="M976" s="11" t="s">
        <v>4160</v>
      </c>
      <c r="N976" s="11"/>
      <c r="O976" s="11"/>
      <c r="P976" s="11"/>
      <c r="Q976" s="11">
        <v>4</v>
      </c>
      <c r="R976" s="11">
        <v>4</v>
      </c>
      <c r="S976" s="11" t="s">
        <v>4160</v>
      </c>
    </row>
    <row r="977" spans="1:19" hidden="1" x14ac:dyDescent="0.15">
      <c r="A977" s="34">
        <v>976</v>
      </c>
      <c r="B977" s="35" t="s">
        <v>4881</v>
      </c>
      <c r="C977" s="36" t="s">
        <v>3937</v>
      </c>
      <c r="D977" s="11" t="s">
        <v>1784</v>
      </c>
      <c r="E977" s="11" t="s">
        <v>1451</v>
      </c>
      <c r="F977" s="11">
        <v>16</v>
      </c>
      <c r="G977" s="11" t="s">
        <v>556</v>
      </c>
      <c r="H977" s="11" t="s">
        <v>555</v>
      </c>
      <c r="I977" s="11" t="s">
        <v>339</v>
      </c>
      <c r="J977" s="11" t="s">
        <v>3938</v>
      </c>
      <c r="K977" s="11" t="s">
        <v>3957</v>
      </c>
      <c r="L977" s="11"/>
      <c r="M977" s="11" t="s">
        <v>4161</v>
      </c>
      <c r="N977" s="11"/>
      <c r="O977" s="11"/>
      <c r="P977" s="11"/>
      <c r="Q977" s="11">
        <v>6</v>
      </c>
      <c r="R977" s="11">
        <v>2</v>
      </c>
      <c r="S977" s="11" t="s">
        <v>4161</v>
      </c>
    </row>
    <row r="978" spans="1:19" hidden="1" x14ac:dyDescent="0.15">
      <c r="A978" s="34">
        <v>977</v>
      </c>
      <c r="B978" s="35" t="s">
        <v>4881</v>
      </c>
      <c r="C978" s="36" t="s">
        <v>3937</v>
      </c>
      <c r="D978" s="11" t="s">
        <v>1482</v>
      </c>
      <c r="E978" s="11" t="s">
        <v>1451</v>
      </c>
      <c r="F978" s="11">
        <v>9</v>
      </c>
      <c r="G978" s="11" t="s">
        <v>5667</v>
      </c>
      <c r="H978" s="11" t="s">
        <v>553</v>
      </c>
      <c r="I978" s="11" t="s">
        <v>339</v>
      </c>
      <c r="J978" s="11" t="s">
        <v>1489</v>
      </c>
      <c r="K978" s="11" t="s">
        <v>1493</v>
      </c>
      <c r="L978" s="11"/>
      <c r="M978" s="11" t="s">
        <v>3940</v>
      </c>
      <c r="N978" s="11" t="s">
        <v>4162</v>
      </c>
      <c r="O978" s="11"/>
      <c r="P978" s="11"/>
      <c r="Q978" s="11">
        <v>4</v>
      </c>
      <c r="R978" s="11">
        <v>3</v>
      </c>
      <c r="S978" s="11" t="s">
        <v>4163</v>
      </c>
    </row>
    <row r="979" spans="1:19" hidden="1" x14ac:dyDescent="0.15">
      <c r="A979" s="34">
        <v>978</v>
      </c>
      <c r="B979" s="35" t="s">
        <v>4881</v>
      </c>
      <c r="C979" s="36" t="s">
        <v>3937</v>
      </c>
      <c r="D979" s="11" t="s">
        <v>1467</v>
      </c>
      <c r="E979" s="11" t="s">
        <v>1451</v>
      </c>
      <c r="F979" s="11">
        <v>11</v>
      </c>
      <c r="G979" s="11" t="s">
        <v>552</v>
      </c>
      <c r="H979" s="11" t="s">
        <v>551</v>
      </c>
      <c r="I979" s="11" t="s">
        <v>339</v>
      </c>
      <c r="J979" s="11" t="s">
        <v>2911</v>
      </c>
      <c r="K979" s="11" t="s">
        <v>1641</v>
      </c>
      <c r="L979" s="11"/>
      <c r="M979" s="11" t="s">
        <v>3983</v>
      </c>
      <c r="N979" s="11" t="s">
        <v>4164</v>
      </c>
      <c r="O979" s="11"/>
      <c r="P979" s="11"/>
      <c r="Q979" s="11">
        <v>3</v>
      </c>
      <c r="R979" s="11">
        <v>4</v>
      </c>
      <c r="S979" s="11" t="s">
        <v>4165</v>
      </c>
    </row>
    <row r="980" spans="1:19" hidden="1" x14ac:dyDescent="0.15">
      <c r="A980" s="34">
        <v>979</v>
      </c>
      <c r="B980" s="35" t="s">
        <v>4881</v>
      </c>
      <c r="C980" s="36" t="s">
        <v>3937</v>
      </c>
      <c r="D980" s="11" t="s">
        <v>1487</v>
      </c>
      <c r="E980" s="11" t="s">
        <v>1451</v>
      </c>
      <c r="F980" s="11">
        <v>7</v>
      </c>
      <c r="G980" s="11" t="s">
        <v>562</v>
      </c>
      <c r="H980" s="11" t="s">
        <v>561</v>
      </c>
      <c r="I980" s="11" t="s">
        <v>1453</v>
      </c>
      <c r="J980" s="11"/>
      <c r="K980" s="11"/>
      <c r="L980" s="11"/>
      <c r="M980" s="11" t="s">
        <v>4166</v>
      </c>
      <c r="N980" s="11"/>
      <c r="O980" s="11"/>
      <c r="P980" s="11"/>
      <c r="Q980" s="11"/>
      <c r="R980" s="11"/>
      <c r="S980" s="11" t="s">
        <v>4166</v>
      </c>
    </row>
    <row r="981" spans="1:19" hidden="1" x14ac:dyDescent="0.15">
      <c r="A981" s="34">
        <v>980</v>
      </c>
      <c r="B981" s="35" t="s">
        <v>4881</v>
      </c>
      <c r="C981" s="36" t="s">
        <v>3937</v>
      </c>
      <c r="D981" s="11" t="s">
        <v>1504</v>
      </c>
      <c r="E981" s="11" t="s">
        <v>1451</v>
      </c>
      <c r="F981" s="11">
        <v>9</v>
      </c>
      <c r="G981" s="11" t="s">
        <v>4869</v>
      </c>
      <c r="H981" s="11" t="s">
        <v>557</v>
      </c>
      <c r="I981" s="11" t="s">
        <v>1453</v>
      </c>
      <c r="J981" s="11"/>
      <c r="K981" s="11"/>
      <c r="L981" s="11"/>
      <c r="M981" s="11" t="s">
        <v>4167</v>
      </c>
      <c r="N981" s="11"/>
      <c r="O981" s="11"/>
      <c r="P981" s="11"/>
      <c r="Q981" s="11"/>
      <c r="R981" s="11"/>
      <c r="S981" s="11" t="s">
        <v>4167</v>
      </c>
    </row>
    <row r="982" spans="1:19" hidden="1" x14ac:dyDescent="0.15">
      <c r="A982" s="34">
        <v>981</v>
      </c>
      <c r="B982" s="35" t="s">
        <v>4881</v>
      </c>
      <c r="C982" s="36" t="s">
        <v>3937</v>
      </c>
      <c r="D982" s="11" t="s">
        <v>1784</v>
      </c>
      <c r="E982" s="11" t="s">
        <v>1431</v>
      </c>
      <c r="F982" s="11">
        <v>26</v>
      </c>
      <c r="G982" s="11" t="s">
        <v>550</v>
      </c>
      <c r="H982" s="11" t="s">
        <v>549</v>
      </c>
      <c r="I982" s="11" t="s">
        <v>339</v>
      </c>
      <c r="J982" s="11" t="s">
        <v>3938</v>
      </c>
      <c r="K982" s="11" t="s">
        <v>3957</v>
      </c>
      <c r="L982" s="11"/>
      <c r="M982" s="11" t="s">
        <v>4168</v>
      </c>
      <c r="N982" s="11" t="s">
        <v>4169</v>
      </c>
      <c r="O982" s="11" t="s">
        <v>4170</v>
      </c>
      <c r="P982" s="11"/>
      <c r="Q982" s="11">
        <v>3</v>
      </c>
      <c r="R982" s="11">
        <v>3</v>
      </c>
      <c r="S982" s="11" t="s">
        <v>4171</v>
      </c>
    </row>
    <row r="983" spans="1:19" hidden="1" x14ac:dyDescent="0.15">
      <c r="A983" s="34">
        <v>982</v>
      </c>
      <c r="B983" s="35" t="s">
        <v>4881</v>
      </c>
      <c r="C983" s="36" t="s">
        <v>3937</v>
      </c>
      <c r="D983" s="11" t="s">
        <v>1474</v>
      </c>
      <c r="E983" s="11" t="s">
        <v>1431</v>
      </c>
      <c r="F983" s="11">
        <v>20</v>
      </c>
      <c r="G983" s="11" t="s">
        <v>548</v>
      </c>
      <c r="H983" s="11" t="s">
        <v>547</v>
      </c>
      <c r="I983" s="11" t="s">
        <v>339</v>
      </c>
      <c r="J983" s="11" t="s">
        <v>1489</v>
      </c>
      <c r="K983" s="11" t="s">
        <v>4007</v>
      </c>
      <c r="L983" s="11"/>
      <c r="M983" s="11" t="s">
        <v>4172</v>
      </c>
      <c r="N983" s="11"/>
      <c r="O983" s="11"/>
      <c r="P983" s="11"/>
      <c r="Q983" s="11">
        <v>4</v>
      </c>
      <c r="R983" s="11">
        <v>4</v>
      </c>
      <c r="S983" s="11" t="s">
        <v>4172</v>
      </c>
    </row>
    <row r="984" spans="1:19" hidden="1" x14ac:dyDescent="0.15">
      <c r="A984" s="34">
        <v>983</v>
      </c>
      <c r="B984" s="35" t="s">
        <v>4881</v>
      </c>
      <c r="C984" s="36" t="s">
        <v>3937</v>
      </c>
      <c r="D984" s="11" t="s">
        <v>1772</v>
      </c>
      <c r="E984" s="11" t="s">
        <v>1431</v>
      </c>
      <c r="F984" s="11">
        <v>17</v>
      </c>
      <c r="G984" s="11" t="s">
        <v>546</v>
      </c>
      <c r="H984" s="11" t="s">
        <v>545</v>
      </c>
      <c r="I984" s="11" t="s">
        <v>339</v>
      </c>
      <c r="J984" s="11" t="s">
        <v>1479</v>
      </c>
      <c r="K984" s="11" t="s">
        <v>1529</v>
      </c>
      <c r="L984" s="11"/>
      <c r="M984" s="11" t="s">
        <v>4173</v>
      </c>
      <c r="N984" s="11"/>
      <c r="O984" s="11"/>
      <c r="P984" s="11"/>
      <c r="Q984" s="11">
        <v>3</v>
      </c>
      <c r="R984" s="11">
        <v>3</v>
      </c>
      <c r="S984" s="11" t="s">
        <v>4173</v>
      </c>
    </row>
    <row r="985" spans="1:19" hidden="1" x14ac:dyDescent="0.15">
      <c r="A985" s="34">
        <v>984</v>
      </c>
      <c r="B985" s="35" t="s">
        <v>4881</v>
      </c>
      <c r="C985" s="36" t="s">
        <v>3937</v>
      </c>
      <c r="D985" s="11" t="s">
        <v>292</v>
      </c>
      <c r="E985" s="11" t="s">
        <v>1744</v>
      </c>
      <c r="F985" s="11">
        <v>6</v>
      </c>
      <c r="G985" s="11" t="s">
        <v>544</v>
      </c>
      <c r="H985" s="11" t="s">
        <v>543</v>
      </c>
      <c r="I985" s="11" t="s">
        <v>339</v>
      </c>
      <c r="J985" s="11" t="s">
        <v>352</v>
      </c>
      <c r="K985" s="11"/>
      <c r="L985" s="11"/>
      <c r="M985" s="11" t="s">
        <v>3943</v>
      </c>
      <c r="N985" s="11"/>
      <c r="O985" s="11"/>
      <c r="P985" s="11"/>
      <c r="Q985" s="11">
        <v>2</v>
      </c>
      <c r="R985" s="11">
        <v>2</v>
      </c>
      <c r="S985" s="11" t="s">
        <v>3943</v>
      </c>
    </row>
    <row r="986" spans="1:19" hidden="1" x14ac:dyDescent="0.15">
      <c r="A986" s="34">
        <v>985</v>
      </c>
      <c r="B986" s="35" t="s">
        <v>4881</v>
      </c>
      <c r="C986" s="36" t="s">
        <v>3937</v>
      </c>
      <c r="D986" s="11" t="s">
        <v>292</v>
      </c>
      <c r="E986" s="11" t="s">
        <v>1744</v>
      </c>
      <c r="F986" s="11">
        <v>7</v>
      </c>
      <c r="G986" s="11" t="s">
        <v>542</v>
      </c>
      <c r="H986" s="11" t="s">
        <v>541</v>
      </c>
      <c r="I986" s="11" t="s">
        <v>339</v>
      </c>
      <c r="J986" s="11" t="s">
        <v>4174</v>
      </c>
      <c r="K986" s="11"/>
      <c r="L986" s="11"/>
      <c r="M986" s="11" t="s">
        <v>2048</v>
      </c>
      <c r="N986" s="11" t="s">
        <v>4175</v>
      </c>
      <c r="O986" s="11"/>
      <c r="P986" s="11"/>
      <c r="Q986" s="11">
        <v>2</v>
      </c>
      <c r="R986" s="11">
        <v>2</v>
      </c>
      <c r="S986" s="11" t="s">
        <v>4176</v>
      </c>
    </row>
    <row r="987" spans="1:19" hidden="1" x14ac:dyDescent="0.15">
      <c r="A987" s="34">
        <v>986</v>
      </c>
      <c r="B987" s="35" t="s">
        <v>4881</v>
      </c>
      <c r="C987" s="36" t="s">
        <v>3937</v>
      </c>
      <c r="D987" s="11" t="s">
        <v>292</v>
      </c>
      <c r="E987" s="11" t="s">
        <v>1744</v>
      </c>
      <c r="F987" s="11">
        <v>4</v>
      </c>
      <c r="G987" s="11" t="s">
        <v>540</v>
      </c>
      <c r="H987" s="11" t="s">
        <v>539</v>
      </c>
      <c r="I987" s="11" t="s">
        <v>339</v>
      </c>
      <c r="J987" s="11" t="s">
        <v>4125</v>
      </c>
      <c r="K987" s="11"/>
      <c r="L987" s="11"/>
      <c r="M987" s="11" t="s">
        <v>4177</v>
      </c>
      <c r="N987" s="11"/>
      <c r="O987" s="11"/>
      <c r="P987" s="11"/>
      <c r="Q987" s="11">
        <v>1</v>
      </c>
      <c r="R987" s="11">
        <v>2</v>
      </c>
      <c r="S987" s="11" t="s">
        <v>4177</v>
      </c>
    </row>
    <row r="988" spans="1:19" hidden="1" x14ac:dyDescent="0.15">
      <c r="A988" s="34">
        <v>987</v>
      </c>
      <c r="B988" s="35" t="s">
        <v>4881</v>
      </c>
      <c r="C988" s="36" t="s">
        <v>3937</v>
      </c>
      <c r="D988" s="11" t="s">
        <v>292</v>
      </c>
      <c r="E988" s="11" t="s">
        <v>1744</v>
      </c>
      <c r="F988" s="11">
        <v>11</v>
      </c>
      <c r="G988" s="11" t="s">
        <v>516</v>
      </c>
      <c r="H988" s="11" t="s">
        <v>515</v>
      </c>
      <c r="I988" s="11" t="s">
        <v>339</v>
      </c>
      <c r="J988" s="11" t="s">
        <v>2986</v>
      </c>
      <c r="K988" s="11"/>
      <c r="L988" s="11"/>
      <c r="M988" s="11" t="s">
        <v>1944</v>
      </c>
      <c r="N988" s="11"/>
      <c r="O988" s="11"/>
      <c r="P988" s="11"/>
      <c r="Q988" s="11">
        <v>1</v>
      </c>
      <c r="R988" s="11">
        <v>3</v>
      </c>
      <c r="S988" s="11" t="s">
        <v>1944</v>
      </c>
    </row>
    <row r="989" spans="1:19" hidden="1" x14ac:dyDescent="0.15">
      <c r="A989" s="34">
        <v>988</v>
      </c>
      <c r="B989" s="35" t="s">
        <v>4881</v>
      </c>
      <c r="C989" s="36" t="s">
        <v>3937</v>
      </c>
      <c r="D989" s="11" t="s">
        <v>292</v>
      </c>
      <c r="E989" s="11" t="s">
        <v>1744</v>
      </c>
      <c r="F989" s="11">
        <v>6</v>
      </c>
      <c r="G989" s="11" t="s">
        <v>538</v>
      </c>
      <c r="H989" s="11" t="s">
        <v>537</v>
      </c>
      <c r="I989" s="11" t="s">
        <v>339</v>
      </c>
      <c r="J989" s="11" t="s">
        <v>2948</v>
      </c>
      <c r="K989" s="11"/>
      <c r="L989" s="11"/>
      <c r="M989" s="11" t="s">
        <v>4178</v>
      </c>
      <c r="N989" s="11"/>
      <c r="O989" s="11"/>
      <c r="P989" s="11"/>
      <c r="Q989" s="11">
        <v>1</v>
      </c>
      <c r="R989" s="11">
        <v>3</v>
      </c>
      <c r="S989" s="11" t="s">
        <v>4178</v>
      </c>
    </row>
    <row r="990" spans="1:19" hidden="1" x14ac:dyDescent="0.15">
      <c r="A990" s="34">
        <v>989</v>
      </c>
      <c r="B990" s="35" t="s">
        <v>4881</v>
      </c>
      <c r="C990" s="36" t="s">
        <v>3937</v>
      </c>
      <c r="D990" s="11" t="s">
        <v>292</v>
      </c>
      <c r="E990" s="11" t="s">
        <v>1744</v>
      </c>
      <c r="F990" s="11">
        <v>5</v>
      </c>
      <c r="G990" s="11" t="s">
        <v>536</v>
      </c>
      <c r="H990" s="11" t="s">
        <v>535</v>
      </c>
      <c r="I990" s="11" t="s">
        <v>339</v>
      </c>
      <c r="J990" s="11" t="s">
        <v>4179</v>
      </c>
      <c r="K990" s="11" t="s">
        <v>352</v>
      </c>
      <c r="L990" s="11"/>
      <c r="M990" s="11" t="s">
        <v>4180</v>
      </c>
      <c r="N990" s="11"/>
      <c r="O990" s="11"/>
      <c r="P990" s="11"/>
      <c r="Q990" s="11">
        <v>2</v>
      </c>
      <c r="R990" s="11">
        <v>1</v>
      </c>
      <c r="S990" s="11" t="s">
        <v>4180</v>
      </c>
    </row>
    <row r="991" spans="1:19" hidden="1" x14ac:dyDescent="0.15">
      <c r="A991" s="34">
        <v>990</v>
      </c>
      <c r="B991" s="35" t="s">
        <v>4881</v>
      </c>
      <c r="C991" s="36" t="s">
        <v>3937</v>
      </c>
      <c r="D991" s="11" t="s">
        <v>292</v>
      </c>
      <c r="E991" s="11" t="s">
        <v>1744</v>
      </c>
      <c r="F991" s="11">
        <v>5</v>
      </c>
      <c r="G991" s="11" t="s">
        <v>534</v>
      </c>
      <c r="H991" s="11" t="s">
        <v>533</v>
      </c>
      <c r="I991" s="11" t="s">
        <v>339</v>
      </c>
      <c r="J991" s="11" t="s">
        <v>1945</v>
      </c>
      <c r="K991" s="11"/>
      <c r="L991" s="11"/>
      <c r="M991" s="11" t="s">
        <v>4181</v>
      </c>
      <c r="N991" s="11"/>
      <c r="O991" s="11"/>
      <c r="P991" s="11"/>
      <c r="Q991" s="11">
        <v>2</v>
      </c>
      <c r="R991" s="11">
        <v>2</v>
      </c>
      <c r="S991" s="11" t="s">
        <v>4181</v>
      </c>
    </row>
    <row r="992" spans="1:19" hidden="1" x14ac:dyDescent="0.15">
      <c r="A992" s="34">
        <v>991</v>
      </c>
      <c r="B992" s="35" t="s">
        <v>4881</v>
      </c>
      <c r="C992" s="36" t="s">
        <v>3937</v>
      </c>
      <c r="D992" s="11" t="s">
        <v>292</v>
      </c>
      <c r="E992" s="11" t="s">
        <v>1744</v>
      </c>
      <c r="F992" s="11">
        <v>9</v>
      </c>
      <c r="G992" s="11" t="s">
        <v>530</v>
      </c>
      <c r="H992" s="11" t="s">
        <v>529</v>
      </c>
      <c r="I992" s="11" t="s">
        <v>339</v>
      </c>
      <c r="J992" s="11" t="s">
        <v>4174</v>
      </c>
      <c r="K992" s="11"/>
      <c r="L992" s="11"/>
      <c r="M992" s="11" t="s">
        <v>4182</v>
      </c>
      <c r="N992" s="11" t="s">
        <v>4175</v>
      </c>
      <c r="O992" s="11"/>
      <c r="P992" s="11"/>
      <c r="Q992" s="11">
        <v>2</v>
      </c>
      <c r="R992" s="11">
        <v>2</v>
      </c>
      <c r="S992" s="11" t="s">
        <v>4183</v>
      </c>
    </row>
    <row r="993" spans="1:19" hidden="1" x14ac:dyDescent="0.15">
      <c r="A993" s="34">
        <v>992</v>
      </c>
      <c r="B993" s="35" t="s">
        <v>4881</v>
      </c>
      <c r="C993" s="36" t="s">
        <v>3937</v>
      </c>
      <c r="D993" s="11" t="s">
        <v>292</v>
      </c>
      <c r="E993" s="11" t="s">
        <v>1744</v>
      </c>
      <c r="F993" s="11">
        <v>8</v>
      </c>
      <c r="G993" s="11" t="s">
        <v>528</v>
      </c>
      <c r="H993" s="11" t="s">
        <v>527</v>
      </c>
      <c r="I993" s="11" t="s">
        <v>339</v>
      </c>
      <c r="J993" s="11" t="s">
        <v>4184</v>
      </c>
      <c r="K993" s="11"/>
      <c r="L993" s="11"/>
      <c r="M993" s="11" t="s">
        <v>4185</v>
      </c>
      <c r="N993" s="11"/>
      <c r="O993" s="11"/>
      <c r="P993" s="11"/>
      <c r="Q993" s="11">
        <v>2</v>
      </c>
      <c r="R993" s="11">
        <v>2</v>
      </c>
      <c r="S993" s="11" t="s">
        <v>4185</v>
      </c>
    </row>
    <row r="994" spans="1:19" hidden="1" x14ac:dyDescent="0.15">
      <c r="A994" s="34">
        <v>993</v>
      </c>
      <c r="B994" s="35" t="s">
        <v>4881</v>
      </c>
      <c r="C994" s="36" t="s">
        <v>3937</v>
      </c>
      <c r="D994" s="11" t="s">
        <v>292</v>
      </c>
      <c r="E994" s="11" t="s">
        <v>1744</v>
      </c>
      <c r="F994" s="11">
        <v>8</v>
      </c>
      <c r="G994" s="11" t="s">
        <v>526</v>
      </c>
      <c r="H994" s="11" t="s">
        <v>525</v>
      </c>
      <c r="I994" s="11" t="s">
        <v>339</v>
      </c>
      <c r="J994" s="11" t="s">
        <v>4174</v>
      </c>
      <c r="K994" s="11"/>
      <c r="L994" s="11"/>
      <c r="M994" s="11" t="s">
        <v>351</v>
      </c>
      <c r="N994" s="11" t="s">
        <v>4175</v>
      </c>
      <c r="O994" s="11"/>
      <c r="P994" s="11"/>
      <c r="Q994" s="11">
        <v>2</v>
      </c>
      <c r="R994" s="11">
        <v>2</v>
      </c>
      <c r="S994" s="11" t="s">
        <v>4186</v>
      </c>
    </row>
    <row r="995" spans="1:19" hidden="1" x14ac:dyDescent="0.15">
      <c r="A995" s="34">
        <v>994</v>
      </c>
      <c r="B995" s="35" t="s">
        <v>4881</v>
      </c>
      <c r="C995" s="36" t="s">
        <v>3937</v>
      </c>
      <c r="D995" s="11" t="s">
        <v>292</v>
      </c>
      <c r="E995" s="11" t="s">
        <v>1744</v>
      </c>
      <c r="F995" s="11">
        <v>5</v>
      </c>
      <c r="G995" s="11" t="s">
        <v>524</v>
      </c>
      <c r="H995" s="11" t="s">
        <v>523</v>
      </c>
      <c r="I995" s="11" t="s">
        <v>339</v>
      </c>
      <c r="J995" s="11" t="s">
        <v>2531</v>
      </c>
      <c r="K995" s="11"/>
      <c r="L995" s="11"/>
      <c r="M995" s="11" t="s">
        <v>4187</v>
      </c>
      <c r="N995" s="11"/>
      <c r="O995" s="11"/>
      <c r="P995" s="11"/>
      <c r="Q995" s="11">
        <v>3</v>
      </c>
      <c r="R995" s="11">
        <v>1</v>
      </c>
      <c r="S995" s="11" t="s">
        <v>4187</v>
      </c>
    </row>
    <row r="996" spans="1:19" hidden="1" x14ac:dyDescent="0.15">
      <c r="A996" s="34">
        <v>995</v>
      </c>
      <c r="B996" s="35" t="s">
        <v>4881</v>
      </c>
      <c r="C996" s="36" t="s">
        <v>3937</v>
      </c>
      <c r="D996" s="11" t="s">
        <v>292</v>
      </c>
      <c r="E996" s="11" t="s">
        <v>1744</v>
      </c>
      <c r="F996" s="11">
        <v>7</v>
      </c>
      <c r="G996" s="11" t="s">
        <v>532</v>
      </c>
      <c r="H996" s="11" t="s">
        <v>531</v>
      </c>
      <c r="I996" s="11" t="s">
        <v>1453</v>
      </c>
      <c r="J996" s="11"/>
      <c r="K996" s="11"/>
      <c r="L996" s="11"/>
      <c r="M996" s="11" t="s">
        <v>4188</v>
      </c>
      <c r="N996" s="11"/>
      <c r="O996" s="11"/>
      <c r="P996" s="11"/>
      <c r="Q996" s="11"/>
      <c r="R996" s="11"/>
      <c r="S996" s="11" t="s">
        <v>4188</v>
      </c>
    </row>
    <row r="997" spans="1:19" hidden="1" x14ac:dyDescent="0.15">
      <c r="A997" s="34">
        <v>996</v>
      </c>
      <c r="B997" s="35" t="s">
        <v>4881</v>
      </c>
      <c r="C997" s="36" t="s">
        <v>3937</v>
      </c>
      <c r="D997" s="11" t="s">
        <v>292</v>
      </c>
      <c r="E997" s="11" t="s">
        <v>1451</v>
      </c>
      <c r="F997" s="11">
        <v>13</v>
      </c>
      <c r="G997" s="11" t="s">
        <v>520</v>
      </c>
      <c r="H997" s="11" t="s">
        <v>519</v>
      </c>
      <c r="I997" s="11" t="s">
        <v>339</v>
      </c>
      <c r="J997" s="11" t="s">
        <v>4174</v>
      </c>
      <c r="K997" s="11"/>
      <c r="L997" s="11"/>
      <c r="M997" s="11" t="s">
        <v>4189</v>
      </c>
      <c r="N997" s="11" t="s">
        <v>4190</v>
      </c>
      <c r="O997" s="11"/>
      <c r="P997" s="11"/>
      <c r="Q997" s="11">
        <v>4</v>
      </c>
      <c r="R997" s="11">
        <v>4</v>
      </c>
      <c r="S997" s="11" t="s">
        <v>4191</v>
      </c>
    </row>
    <row r="998" spans="1:19" hidden="1" x14ac:dyDescent="0.15">
      <c r="A998" s="34">
        <v>997</v>
      </c>
      <c r="B998" s="35" t="s">
        <v>4881</v>
      </c>
      <c r="C998" s="36" t="s">
        <v>3937</v>
      </c>
      <c r="D998" s="11" t="s">
        <v>292</v>
      </c>
      <c r="E998" s="11" t="s">
        <v>1451</v>
      </c>
      <c r="F998" s="11">
        <v>11</v>
      </c>
      <c r="G998" s="11" t="s">
        <v>518</v>
      </c>
      <c r="H998" s="11" t="s">
        <v>517</v>
      </c>
      <c r="I998" s="11" t="s">
        <v>339</v>
      </c>
      <c r="J998" s="11" t="s">
        <v>4174</v>
      </c>
      <c r="K998" s="11"/>
      <c r="L998" s="11"/>
      <c r="M998" s="11" t="s">
        <v>3693</v>
      </c>
      <c r="N998" s="11" t="s">
        <v>4190</v>
      </c>
      <c r="O998" s="11"/>
      <c r="P998" s="11"/>
      <c r="Q998" s="11">
        <v>4</v>
      </c>
      <c r="R998" s="11">
        <v>4</v>
      </c>
      <c r="S998" s="11" t="s">
        <v>4192</v>
      </c>
    </row>
    <row r="999" spans="1:19" hidden="1" x14ac:dyDescent="0.15">
      <c r="A999" s="34">
        <v>998</v>
      </c>
      <c r="B999" s="35" t="s">
        <v>4881</v>
      </c>
      <c r="C999" s="36" t="s">
        <v>3937</v>
      </c>
      <c r="D999" s="11" t="s">
        <v>292</v>
      </c>
      <c r="E999" s="11" t="s">
        <v>1451</v>
      </c>
      <c r="F999" s="11">
        <v>9</v>
      </c>
      <c r="G999" s="11" t="s">
        <v>513</v>
      </c>
      <c r="H999" s="11" t="s">
        <v>512</v>
      </c>
      <c r="I999" s="11" t="s">
        <v>339</v>
      </c>
      <c r="J999" s="11" t="s">
        <v>4174</v>
      </c>
      <c r="K999" s="11"/>
      <c r="L999" s="11"/>
      <c r="M999" s="11" t="s">
        <v>4193</v>
      </c>
      <c r="N999" s="11" t="s">
        <v>4190</v>
      </c>
      <c r="O999" s="11"/>
      <c r="P999" s="11"/>
      <c r="Q999" s="11">
        <v>4</v>
      </c>
      <c r="R999" s="11">
        <v>4</v>
      </c>
      <c r="S999" s="11" t="s">
        <v>4194</v>
      </c>
    </row>
    <row r="1000" spans="1:19" hidden="1" x14ac:dyDescent="0.15">
      <c r="A1000" s="34">
        <v>999</v>
      </c>
      <c r="B1000" s="35" t="s">
        <v>4881</v>
      </c>
      <c r="C1000" s="36" t="s">
        <v>3937</v>
      </c>
      <c r="D1000" s="11" t="s">
        <v>292</v>
      </c>
      <c r="E1000" s="11" t="s">
        <v>1451</v>
      </c>
      <c r="F1000" s="11">
        <v>16</v>
      </c>
      <c r="G1000" s="11" t="s">
        <v>509</v>
      </c>
      <c r="H1000" s="11" t="s">
        <v>508</v>
      </c>
      <c r="I1000" s="11" t="s">
        <v>339</v>
      </c>
      <c r="J1000" s="11" t="s">
        <v>4195</v>
      </c>
      <c r="K1000" s="11" t="s">
        <v>352</v>
      </c>
      <c r="L1000" s="11"/>
      <c r="M1000" s="11" t="s">
        <v>2595</v>
      </c>
      <c r="N1000" s="11" t="s">
        <v>3310</v>
      </c>
      <c r="O1000" s="11" t="s">
        <v>4196</v>
      </c>
      <c r="P1000" s="11"/>
      <c r="Q1000" s="11">
        <v>4</v>
      </c>
      <c r="R1000" s="11">
        <v>4</v>
      </c>
      <c r="S1000" s="11" t="s">
        <v>4197</v>
      </c>
    </row>
    <row r="1001" spans="1:19" hidden="1" x14ac:dyDescent="0.15">
      <c r="A1001" s="34">
        <v>1000</v>
      </c>
      <c r="B1001" s="35" t="s">
        <v>4881</v>
      </c>
      <c r="C1001" s="36" t="s">
        <v>3937</v>
      </c>
      <c r="D1001" s="11" t="s">
        <v>292</v>
      </c>
      <c r="E1001" s="11" t="s">
        <v>1451</v>
      </c>
      <c r="F1001" s="11">
        <v>12</v>
      </c>
      <c r="G1001" s="11" t="s">
        <v>507</v>
      </c>
      <c r="H1001" s="11" t="s">
        <v>506</v>
      </c>
      <c r="I1001" s="11" t="s">
        <v>339</v>
      </c>
      <c r="J1001" s="11" t="s">
        <v>352</v>
      </c>
      <c r="K1001" s="11"/>
      <c r="L1001" s="11"/>
      <c r="M1001" s="11" t="s">
        <v>2755</v>
      </c>
      <c r="N1001" s="11" t="s">
        <v>3943</v>
      </c>
      <c r="O1001" s="11"/>
      <c r="P1001" s="11"/>
      <c r="Q1001" s="11">
        <v>4</v>
      </c>
      <c r="R1001" s="11">
        <v>4</v>
      </c>
      <c r="S1001" s="11" t="s">
        <v>4198</v>
      </c>
    </row>
    <row r="1002" spans="1:19" hidden="1" x14ac:dyDescent="0.15">
      <c r="A1002" s="34">
        <v>1001</v>
      </c>
      <c r="B1002" s="35" t="s">
        <v>4881</v>
      </c>
      <c r="C1002" s="36" t="s">
        <v>3937</v>
      </c>
      <c r="D1002" s="11" t="s">
        <v>292</v>
      </c>
      <c r="E1002" s="11" t="s">
        <v>1451</v>
      </c>
      <c r="F1002" s="11">
        <v>12</v>
      </c>
      <c r="G1002" s="11" t="s">
        <v>505</v>
      </c>
      <c r="H1002" s="11" t="s">
        <v>504</v>
      </c>
      <c r="I1002" s="11" t="s">
        <v>339</v>
      </c>
      <c r="J1002" s="11" t="s">
        <v>4174</v>
      </c>
      <c r="K1002" s="11"/>
      <c r="L1002" s="11"/>
      <c r="M1002" s="11" t="s">
        <v>2755</v>
      </c>
      <c r="N1002" s="11" t="s">
        <v>4190</v>
      </c>
      <c r="O1002" s="11"/>
      <c r="P1002" s="11"/>
      <c r="Q1002" s="11">
        <v>4</v>
      </c>
      <c r="R1002" s="11">
        <v>4</v>
      </c>
      <c r="S1002" s="11" t="s">
        <v>4199</v>
      </c>
    </row>
    <row r="1003" spans="1:19" hidden="1" x14ac:dyDescent="0.15">
      <c r="A1003" s="34">
        <v>1002</v>
      </c>
      <c r="B1003" s="35" t="s">
        <v>4881</v>
      </c>
      <c r="C1003" s="36" t="s">
        <v>3937</v>
      </c>
      <c r="D1003" s="11" t="s">
        <v>292</v>
      </c>
      <c r="E1003" s="11" t="s">
        <v>1451</v>
      </c>
      <c r="F1003" s="11">
        <v>12</v>
      </c>
      <c r="G1003" s="11" t="s">
        <v>503</v>
      </c>
      <c r="H1003" s="11" t="s">
        <v>502</v>
      </c>
      <c r="I1003" s="11" t="s">
        <v>339</v>
      </c>
      <c r="J1003" s="11" t="s">
        <v>353</v>
      </c>
      <c r="K1003" s="11"/>
      <c r="L1003" s="11"/>
      <c r="M1003" s="11" t="s">
        <v>3370</v>
      </c>
      <c r="N1003" s="11"/>
      <c r="O1003" s="11"/>
      <c r="P1003" s="11"/>
      <c r="Q1003" s="11">
        <v>4</v>
      </c>
      <c r="R1003" s="11">
        <v>3</v>
      </c>
      <c r="S1003" s="11" t="s">
        <v>3370</v>
      </c>
    </row>
    <row r="1004" spans="1:19" hidden="1" x14ac:dyDescent="0.15">
      <c r="A1004" s="34">
        <v>1003</v>
      </c>
      <c r="B1004" s="35" t="s">
        <v>4881</v>
      </c>
      <c r="C1004" s="36" t="s">
        <v>3937</v>
      </c>
      <c r="D1004" s="11" t="s">
        <v>292</v>
      </c>
      <c r="E1004" s="11" t="s">
        <v>1451</v>
      </c>
      <c r="F1004" s="11">
        <v>6</v>
      </c>
      <c r="G1004" s="11" t="s">
        <v>522</v>
      </c>
      <c r="H1004" s="11" t="s">
        <v>521</v>
      </c>
      <c r="I1004" s="11" t="s">
        <v>288</v>
      </c>
      <c r="J1004" s="11" t="s">
        <v>6250</v>
      </c>
      <c r="K1004" s="11"/>
      <c r="L1004" s="11"/>
      <c r="M1004" s="11" t="s">
        <v>4200</v>
      </c>
      <c r="N1004" s="11" t="s">
        <v>4201</v>
      </c>
      <c r="O1004" s="11" t="s">
        <v>4139</v>
      </c>
      <c r="P1004" s="11">
        <v>3</v>
      </c>
      <c r="Q1004" s="11"/>
      <c r="R1004" s="11"/>
      <c r="S1004" s="11" t="s">
        <v>4202</v>
      </c>
    </row>
    <row r="1005" spans="1:19" hidden="1" x14ac:dyDescent="0.15">
      <c r="A1005" s="34">
        <v>1004</v>
      </c>
      <c r="B1005" s="35" t="s">
        <v>4881</v>
      </c>
      <c r="C1005" s="36" t="s">
        <v>3937</v>
      </c>
      <c r="D1005" s="11" t="s">
        <v>292</v>
      </c>
      <c r="E1005" s="11" t="s">
        <v>1451</v>
      </c>
      <c r="F1005" s="11">
        <v>2</v>
      </c>
      <c r="G1005" s="11" t="s">
        <v>4865</v>
      </c>
      <c r="H1005" s="11" t="s">
        <v>514</v>
      </c>
      <c r="I1005" s="11" t="s">
        <v>288</v>
      </c>
      <c r="J1005" s="11"/>
      <c r="K1005" s="11"/>
      <c r="L1005" s="11"/>
      <c r="M1005" s="11" t="s">
        <v>3976</v>
      </c>
      <c r="N1005" s="11"/>
      <c r="O1005" s="11"/>
      <c r="P1005" s="11">
        <v>3</v>
      </c>
      <c r="Q1005" s="11"/>
      <c r="R1005" s="11"/>
      <c r="S1005" s="11" t="s">
        <v>3976</v>
      </c>
    </row>
    <row r="1006" spans="1:19" hidden="1" x14ac:dyDescent="0.15">
      <c r="A1006" s="34">
        <v>1005</v>
      </c>
      <c r="B1006" s="35" t="s">
        <v>4881</v>
      </c>
      <c r="C1006" s="36" t="s">
        <v>3937</v>
      </c>
      <c r="D1006" s="11" t="s">
        <v>292</v>
      </c>
      <c r="E1006" s="11" t="s">
        <v>1451</v>
      </c>
      <c r="F1006" s="11">
        <v>9</v>
      </c>
      <c r="G1006" s="11" t="s">
        <v>511</v>
      </c>
      <c r="H1006" s="11" t="s">
        <v>510</v>
      </c>
      <c r="I1006" s="11" t="s">
        <v>288</v>
      </c>
      <c r="J1006" s="11"/>
      <c r="K1006" s="11"/>
      <c r="L1006" s="11"/>
      <c r="M1006" s="11" t="s">
        <v>4203</v>
      </c>
      <c r="N1006" s="11" t="s">
        <v>4204</v>
      </c>
      <c r="O1006" s="11"/>
      <c r="P1006" s="11">
        <v>3</v>
      </c>
      <c r="Q1006" s="11"/>
      <c r="R1006" s="11"/>
      <c r="S1006" s="11" t="s">
        <v>4205</v>
      </c>
    </row>
    <row r="1007" spans="1:19" hidden="1" x14ac:dyDescent="0.15">
      <c r="A1007" s="34">
        <v>1006</v>
      </c>
      <c r="B1007" s="35" t="s">
        <v>4881</v>
      </c>
      <c r="C1007" s="36" t="s">
        <v>3937</v>
      </c>
      <c r="D1007" s="11" t="s">
        <v>292</v>
      </c>
      <c r="E1007" s="11" t="s">
        <v>1441</v>
      </c>
      <c r="F1007" s="11">
        <v>12</v>
      </c>
      <c r="G1007" s="11" t="s">
        <v>4889</v>
      </c>
      <c r="H1007" s="11" t="s">
        <v>499</v>
      </c>
      <c r="I1007" s="11" t="s">
        <v>339</v>
      </c>
      <c r="J1007" s="11" t="s">
        <v>352</v>
      </c>
      <c r="K1007" s="11"/>
      <c r="L1007" s="11"/>
      <c r="M1007" s="11" t="s">
        <v>4206</v>
      </c>
      <c r="N1007" s="11" t="s">
        <v>4207</v>
      </c>
      <c r="O1007" s="11"/>
      <c r="P1007" s="11"/>
      <c r="Q1007" s="11">
        <v>6</v>
      </c>
      <c r="R1007" s="11">
        <v>6</v>
      </c>
      <c r="S1007" s="11" t="s">
        <v>4208</v>
      </c>
    </row>
    <row r="1008" spans="1:19" hidden="1" x14ac:dyDescent="0.15">
      <c r="A1008" s="34">
        <v>1007</v>
      </c>
      <c r="B1008" s="35" t="s">
        <v>4881</v>
      </c>
      <c r="C1008" s="36" t="s">
        <v>3937</v>
      </c>
      <c r="D1008" s="11" t="s">
        <v>292</v>
      </c>
      <c r="E1008" s="11" t="s">
        <v>1441</v>
      </c>
      <c r="F1008" s="11">
        <v>16</v>
      </c>
      <c r="G1008" s="11" t="s">
        <v>498</v>
      </c>
      <c r="H1008" s="11" t="s">
        <v>497</v>
      </c>
      <c r="I1008" s="11" t="s">
        <v>339</v>
      </c>
      <c r="J1008" s="11" t="s">
        <v>4174</v>
      </c>
      <c r="K1008" s="11"/>
      <c r="L1008" s="11"/>
      <c r="M1008" s="11" t="s">
        <v>1899</v>
      </c>
      <c r="N1008" s="11" t="s">
        <v>4190</v>
      </c>
      <c r="O1008" s="11"/>
      <c r="P1008" s="11"/>
      <c r="Q1008" s="11">
        <v>6</v>
      </c>
      <c r="R1008" s="11">
        <v>6</v>
      </c>
      <c r="S1008" s="11" t="s">
        <v>4209</v>
      </c>
    </row>
    <row r="1009" spans="1:19" hidden="1" x14ac:dyDescent="0.15">
      <c r="A1009" s="34">
        <v>1008</v>
      </c>
      <c r="B1009" s="35" t="s">
        <v>4881</v>
      </c>
      <c r="C1009" s="36" t="s">
        <v>3937</v>
      </c>
      <c r="D1009" s="11" t="s">
        <v>292</v>
      </c>
      <c r="E1009" s="11" t="s">
        <v>1441</v>
      </c>
      <c r="F1009" s="11">
        <v>7</v>
      </c>
      <c r="G1009" s="11" t="s">
        <v>494</v>
      </c>
      <c r="H1009" s="11" t="s">
        <v>493</v>
      </c>
      <c r="I1009" s="11" t="s">
        <v>339</v>
      </c>
      <c r="J1009" s="11" t="s">
        <v>352</v>
      </c>
      <c r="K1009" s="11"/>
      <c r="L1009" s="11"/>
      <c r="M1009" s="11" t="s">
        <v>3983</v>
      </c>
      <c r="N1009" s="11" t="s">
        <v>4210</v>
      </c>
      <c r="O1009" s="11"/>
      <c r="P1009" s="11"/>
      <c r="Q1009" s="11">
        <v>3</v>
      </c>
      <c r="R1009" s="11">
        <v>3</v>
      </c>
      <c r="S1009" s="11" t="s">
        <v>4211</v>
      </c>
    </row>
    <row r="1010" spans="1:19" hidden="1" x14ac:dyDescent="0.15">
      <c r="A1010" s="34">
        <v>1009</v>
      </c>
      <c r="B1010" s="35" t="s">
        <v>4881</v>
      </c>
      <c r="C1010" s="36" t="s">
        <v>3937</v>
      </c>
      <c r="D1010" s="11" t="s">
        <v>292</v>
      </c>
      <c r="E1010" s="11" t="s">
        <v>1441</v>
      </c>
      <c r="F1010" s="11">
        <v>15</v>
      </c>
      <c r="G1010" s="11" t="s">
        <v>492</v>
      </c>
      <c r="H1010" s="11" t="s">
        <v>491</v>
      </c>
      <c r="I1010" s="11" t="s">
        <v>339</v>
      </c>
      <c r="J1010" s="11" t="s">
        <v>4174</v>
      </c>
      <c r="K1010" s="11"/>
      <c r="L1010" s="11"/>
      <c r="M1010" s="11" t="s">
        <v>2755</v>
      </c>
      <c r="N1010" s="11" t="s">
        <v>4190</v>
      </c>
      <c r="O1010" s="11"/>
      <c r="P1010" s="11"/>
      <c r="Q1010" s="11">
        <v>6</v>
      </c>
      <c r="R1010" s="11">
        <v>6</v>
      </c>
      <c r="S1010" s="11" t="s">
        <v>4199</v>
      </c>
    </row>
    <row r="1011" spans="1:19" hidden="1" x14ac:dyDescent="0.15">
      <c r="A1011" s="34">
        <v>1010</v>
      </c>
      <c r="B1011" s="35" t="s">
        <v>4881</v>
      </c>
      <c r="C1011" s="36" t="s">
        <v>3937</v>
      </c>
      <c r="D1011" s="11" t="s">
        <v>292</v>
      </c>
      <c r="E1011" s="11" t="s">
        <v>1441</v>
      </c>
      <c r="F1011" s="11">
        <v>12</v>
      </c>
      <c r="G1011" s="11" t="s">
        <v>490</v>
      </c>
      <c r="H1011" s="11" t="s">
        <v>489</v>
      </c>
      <c r="I1011" s="11" t="s">
        <v>339</v>
      </c>
      <c r="J1011" s="11" t="s">
        <v>352</v>
      </c>
      <c r="K1011" s="11"/>
      <c r="L1011" s="11"/>
      <c r="M1011" s="11" t="s">
        <v>3983</v>
      </c>
      <c r="N1011" s="11" t="s">
        <v>4212</v>
      </c>
      <c r="O1011" s="11" t="s">
        <v>4213</v>
      </c>
      <c r="P1011" s="11"/>
      <c r="Q1011" s="11">
        <v>6</v>
      </c>
      <c r="R1011" s="11">
        <v>6</v>
      </c>
      <c r="S1011" s="11" t="s">
        <v>4214</v>
      </c>
    </row>
    <row r="1012" spans="1:19" hidden="1" x14ac:dyDescent="0.15">
      <c r="A1012" s="34">
        <v>1011</v>
      </c>
      <c r="B1012" s="35" t="s">
        <v>4881</v>
      </c>
      <c r="C1012" s="36" t="s">
        <v>3937</v>
      </c>
      <c r="D1012" s="11" t="s">
        <v>292</v>
      </c>
      <c r="E1012" s="11" t="s">
        <v>1441</v>
      </c>
      <c r="F1012" s="11">
        <v>20</v>
      </c>
      <c r="G1012" s="11" t="s">
        <v>4860</v>
      </c>
      <c r="H1012" s="11" t="s">
        <v>485</v>
      </c>
      <c r="I1012" s="11" t="s">
        <v>339</v>
      </c>
      <c r="J1012" s="11" t="s">
        <v>352</v>
      </c>
      <c r="K1012" s="11"/>
      <c r="L1012" s="11"/>
      <c r="M1012" s="11" t="s">
        <v>1738</v>
      </c>
      <c r="N1012" s="11" t="s">
        <v>4215</v>
      </c>
      <c r="O1012" s="11"/>
      <c r="P1012" s="11"/>
      <c r="Q1012" s="11">
        <v>6</v>
      </c>
      <c r="R1012" s="11">
        <v>5</v>
      </c>
      <c r="S1012" s="11" t="s">
        <v>4216</v>
      </c>
    </row>
    <row r="1013" spans="1:19" hidden="1" x14ac:dyDescent="0.15">
      <c r="A1013" s="34">
        <v>1012</v>
      </c>
      <c r="B1013" s="35" t="s">
        <v>4881</v>
      </c>
      <c r="C1013" s="36" t="s">
        <v>3937</v>
      </c>
      <c r="D1013" s="11" t="s">
        <v>292</v>
      </c>
      <c r="E1013" s="11" t="s">
        <v>1441</v>
      </c>
      <c r="F1013" s="11">
        <v>14</v>
      </c>
      <c r="G1013" s="11" t="s">
        <v>484</v>
      </c>
      <c r="H1013" s="11" t="s">
        <v>483</v>
      </c>
      <c r="I1013" s="11" t="s">
        <v>339</v>
      </c>
      <c r="J1013" s="11" t="s">
        <v>4174</v>
      </c>
      <c r="K1013" s="11"/>
      <c r="L1013" s="11"/>
      <c r="M1013" s="11" t="s">
        <v>351</v>
      </c>
      <c r="N1013" s="11" t="s">
        <v>4217</v>
      </c>
      <c r="O1013" s="11" t="s">
        <v>4218</v>
      </c>
      <c r="P1013" s="11"/>
      <c r="Q1013" s="11">
        <v>6</v>
      </c>
      <c r="R1013" s="11">
        <v>6</v>
      </c>
      <c r="S1013" s="11" t="s">
        <v>4219</v>
      </c>
    </row>
    <row r="1014" spans="1:19" hidden="1" x14ac:dyDescent="0.15">
      <c r="A1014" s="34">
        <v>1013</v>
      </c>
      <c r="B1014" s="35" t="s">
        <v>4881</v>
      </c>
      <c r="C1014" s="36" t="s">
        <v>3937</v>
      </c>
      <c r="D1014" s="11" t="s">
        <v>292</v>
      </c>
      <c r="E1014" s="11" t="s">
        <v>1441</v>
      </c>
      <c r="F1014" s="11">
        <v>8</v>
      </c>
      <c r="G1014" s="11" t="s">
        <v>501</v>
      </c>
      <c r="H1014" s="11" t="s">
        <v>500</v>
      </c>
      <c r="I1014" s="11" t="s">
        <v>288</v>
      </c>
      <c r="J1014" s="11"/>
      <c r="K1014" s="11"/>
      <c r="L1014" s="11"/>
      <c r="M1014" s="11" t="s">
        <v>4220</v>
      </c>
      <c r="N1014" s="11"/>
      <c r="O1014" s="11"/>
      <c r="P1014" s="11">
        <v>3</v>
      </c>
      <c r="Q1014" s="11"/>
      <c r="R1014" s="11"/>
      <c r="S1014" s="11" t="s">
        <v>4220</v>
      </c>
    </row>
    <row r="1015" spans="1:19" hidden="1" x14ac:dyDescent="0.15">
      <c r="A1015" s="34">
        <v>1014</v>
      </c>
      <c r="B1015" s="35" t="s">
        <v>4881</v>
      </c>
      <c r="C1015" s="36" t="s">
        <v>3937</v>
      </c>
      <c r="D1015" s="11" t="s">
        <v>292</v>
      </c>
      <c r="E1015" s="11" t="s">
        <v>1441</v>
      </c>
      <c r="F1015" s="11">
        <v>3</v>
      </c>
      <c r="G1015" s="11" t="s">
        <v>496</v>
      </c>
      <c r="H1015" s="11" t="s">
        <v>495</v>
      </c>
      <c r="I1015" s="11" t="s">
        <v>288</v>
      </c>
      <c r="J1015" s="11"/>
      <c r="K1015" s="11"/>
      <c r="L1015" s="11"/>
      <c r="M1015" s="11" t="s">
        <v>4221</v>
      </c>
      <c r="N1015" s="11" t="s">
        <v>4222</v>
      </c>
      <c r="O1015" s="11"/>
      <c r="P1015" s="11">
        <v>3</v>
      </c>
      <c r="Q1015" s="11"/>
      <c r="R1015" s="11"/>
      <c r="S1015" s="11" t="s">
        <v>4223</v>
      </c>
    </row>
    <row r="1016" spans="1:19" hidden="1" x14ac:dyDescent="0.15">
      <c r="A1016" s="34">
        <v>1015</v>
      </c>
      <c r="B1016" s="35" t="s">
        <v>4881</v>
      </c>
      <c r="C1016" s="36" t="s">
        <v>3937</v>
      </c>
      <c r="D1016" s="11" t="s">
        <v>292</v>
      </c>
      <c r="E1016" s="11" t="s">
        <v>1441</v>
      </c>
      <c r="F1016" s="11">
        <v>13</v>
      </c>
      <c r="G1016" s="11" t="s">
        <v>488</v>
      </c>
      <c r="H1016" s="11" t="s">
        <v>487</v>
      </c>
      <c r="I1016" s="11" t="s">
        <v>288</v>
      </c>
      <c r="J1016" s="11"/>
      <c r="K1016" s="11"/>
      <c r="L1016" s="11"/>
      <c r="M1016" s="11" t="s">
        <v>4224</v>
      </c>
      <c r="N1016" s="11"/>
      <c r="O1016" s="11"/>
      <c r="P1016" s="11">
        <v>5</v>
      </c>
      <c r="Q1016" s="11"/>
      <c r="R1016" s="11"/>
      <c r="S1016" s="11" t="s">
        <v>4224</v>
      </c>
    </row>
    <row r="1017" spans="1:19" hidden="1" x14ac:dyDescent="0.15">
      <c r="A1017" s="34">
        <v>1016</v>
      </c>
      <c r="B1017" s="35" t="s">
        <v>4881</v>
      </c>
      <c r="C1017" s="36" t="s">
        <v>3937</v>
      </c>
      <c r="D1017" s="11" t="s">
        <v>292</v>
      </c>
      <c r="E1017" s="11" t="s">
        <v>1431</v>
      </c>
      <c r="F1017" s="11">
        <v>14</v>
      </c>
      <c r="G1017" s="11" t="s">
        <v>4870</v>
      </c>
      <c r="H1017" s="11" t="s">
        <v>477</v>
      </c>
      <c r="I1017" s="11" t="s">
        <v>339</v>
      </c>
      <c r="J1017" s="11" t="s">
        <v>352</v>
      </c>
      <c r="K1017" s="11"/>
      <c r="L1017" s="11"/>
      <c r="M1017" s="11" t="s">
        <v>2595</v>
      </c>
      <c r="N1017" s="11" t="s">
        <v>4225</v>
      </c>
      <c r="O1017" s="11" t="s">
        <v>4226</v>
      </c>
      <c r="P1017" s="11"/>
      <c r="Q1017" s="11">
        <v>12</v>
      </c>
      <c r="R1017" s="11">
        <v>12</v>
      </c>
      <c r="S1017" s="11" t="s">
        <v>4227</v>
      </c>
    </row>
    <row r="1018" spans="1:19" hidden="1" x14ac:dyDescent="0.15">
      <c r="A1018" s="34">
        <v>1017</v>
      </c>
      <c r="B1018" s="35" t="s">
        <v>4881</v>
      </c>
      <c r="C1018" s="36" t="s">
        <v>3937</v>
      </c>
      <c r="D1018" s="11" t="s">
        <v>292</v>
      </c>
      <c r="E1018" s="11" t="s">
        <v>1431</v>
      </c>
      <c r="F1018" s="11">
        <v>25</v>
      </c>
      <c r="G1018" s="11" t="s">
        <v>476</v>
      </c>
      <c r="H1018" s="11" t="s">
        <v>475</v>
      </c>
      <c r="I1018" s="11" t="s">
        <v>339</v>
      </c>
      <c r="J1018" s="11" t="s">
        <v>4174</v>
      </c>
      <c r="K1018" s="11"/>
      <c r="L1018" s="11"/>
      <c r="M1018" s="11" t="s">
        <v>351</v>
      </c>
      <c r="N1018" s="11" t="s">
        <v>4228</v>
      </c>
      <c r="O1018" s="11" t="s">
        <v>4218</v>
      </c>
      <c r="P1018" s="11"/>
      <c r="Q1018" s="11">
        <v>12</v>
      </c>
      <c r="R1018" s="11">
        <v>12</v>
      </c>
      <c r="S1018" s="11" t="s">
        <v>4229</v>
      </c>
    </row>
    <row r="1019" spans="1:19" hidden="1" x14ac:dyDescent="0.15">
      <c r="A1019" s="34">
        <v>1018</v>
      </c>
      <c r="B1019" s="35" t="s">
        <v>4881</v>
      </c>
      <c r="C1019" s="36" t="s">
        <v>3937</v>
      </c>
      <c r="D1019" s="11" t="s">
        <v>292</v>
      </c>
      <c r="E1019" s="11" t="s">
        <v>1431</v>
      </c>
      <c r="F1019" s="11">
        <v>16</v>
      </c>
      <c r="G1019" s="11" t="s">
        <v>482</v>
      </c>
      <c r="H1019" s="11" t="s">
        <v>481</v>
      </c>
      <c r="I1019" s="11" t="s">
        <v>288</v>
      </c>
      <c r="J1019" s="11"/>
      <c r="K1019" s="11"/>
      <c r="L1019" s="11"/>
      <c r="M1019" s="11" t="s">
        <v>4230</v>
      </c>
      <c r="N1019" s="11" t="s">
        <v>4231</v>
      </c>
      <c r="O1019" s="11"/>
      <c r="P1019" s="11">
        <v>3</v>
      </c>
      <c r="Q1019" s="11"/>
      <c r="R1019" s="11"/>
      <c r="S1019" s="11" t="s">
        <v>4232</v>
      </c>
    </row>
    <row r="1020" spans="1:19" hidden="1" x14ac:dyDescent="0.15">
      <c r="A1020" s="34">
        <v>1019</v>
      </c>
      <c r="B1020" s="35" t="s">
        <v>4881</v>
      </c>
      <c r="C1020" s="36" t="s">
        <v>3937</v>
      </c>
      <c r="D1020" s="11" t="s">
        <v>292</v>
      </c>
      <c r="E1020" s="11" t="s">
        <v>1431</v>
      </c>
      <c r="F1020" s="11">
        <v>8</v>
      </c>
      <c r="G1020" s="11" t="s">
        <v>480</v>
      </c>
      <c r="H1020" s="11" t="s">
        <v>479</v>
      </c>
      <c r="I1020" s="11" t="s">
        <v>288</v>
      </c>
      <c r="J1020" s="11"/>
      <c r="K1020" s="11"/>
      <c r="L1020" s="11"/>
      <c r="M1020" s="11" t="s">
        <v>4233</v>
      </c>
      <c r="N1020" s="11" t="s">
        <v>4234</v>
      </c>
      <c r="O1020" s="11"/>
      <c r="P1020" s="11">
        <v>3</v>
      </c>
      <c r="Q1020" s="11"/>
      <c r="R1020" s="11"/>
      <c r="S1020" s="11" t="s">
        <v>4235</v>
      </c>
    </row>
    <row r="1021" spans="1:19" hidden="1" x14ac:dyDescent="0.15">
      <c r="A1021" s="34">
        <v>1020</v>
      </c>
      <c r="B1021" s="35" t="s">
        <v>4881</v>
      </c>
      <c r="C1021" s="36" t="s">
        <v>4236</v>
      </c>
      <c r="D1021" s="11" t="s">
        <v>1627</v>
      </c>
      <c r="E1021" s="11" t="s">
        <v>1451</v>
      </c>
      <c r="F1021" s="11">
        <v>8</v>
      </c>
      <c r="G1021" s="11" t="s">
        <v>4838</v>
      </c>
      <c r="H1021" s="11" t="s">
        <v>473</v>
      </c>
      <c r="I1021" s="11" t="s">
        <v>339</v>
      </c>
      <c r="J1021" s="11" t="s">
        <v>1489</v>
      </c>
      <c r="K1021" s="11" t="s">
        <v>3957</v>
      </c>
      <c r="L1021" s="11"/>
      <c r="M1021" s="11" t="s">
        <v>351</v>
      </c>
      <c r="N1021" s="11" t="s">
        <v>4237</v>
      </c>
      <c r="O1021" s="11"/>
      <c r="P1021" s="11"/>
      <c r="Q1021" s="11">
        <v>4</v>
      </c>
      <c r="R1021" s="11">
        <v>3</v>
      </c>
      <c r="S1021" s="11" t="s">
        <v>4238</v>
      </c>
    </row>
    <row r="1022" spans="1:19" hidden="1" x14ac:dyDescent="0.15">
      <c r="A1022" s="34">
        <v>1021</v>
      </c>
      <c r="B1022" s="35" t="s">
        <v>4881</v>
      </c>
      <c r="C1022" s="36" t="s">
        <v>4236</v>
      </c>
      <c r="D1022" s="11" t="s">
        <v>1627</v>
      </c>
      <c r="E1022" s="11" t="s">
        <v>1451</v>
      </c>
      <c r="F1022" s="11">
        <v>10</v>
      </c>
      <c r="G1022" s="11" t="s">
        <v>472</v>
      </c>
      <c r="H1022" s="11" t="s">
        <v>471</v>
      </c>
      <c r="I1022" s="11" t="s">
        <v>339</v>
      </c>
      <c r="J1022" s="11" t="s">
        <v>3938</v>
      </c>
      <c r="K1022" s="11" t="s">
        <v>1929</v>
      </c>
      <c r="L1022" s="11"/>
      <c r="M1022" s="11" t="s">
        <v>351</v>
      </c>
      <c r="N1022" s="11" t="s">
        <v>4131</v>
      </c>
      <c r="O1022" s="11"/>
      <c r="P1022" s="11"/>
      <c r="Q1022" s="11">
        <v>4</v>
      </c>
      <c r="R1022" s="11">
        <v>3</v>
      </c>
      <c r="S1022" s="11" t="s">
        <v>4239</v>
      </c>
    </row>
    <row r="1023" spans="1:19" hidden="1" x14ac:dyDescent="0.15">
      <c r="A1023" s="34">
        <v>1022</v>
      </c>
      <c r="B1023" s="35" t="s">
        <v>4881</v>
      </c>
      <c r="C1023" s="36" t="s">
        <v>4236</v>
      </c>
      <c r="D1023" s="11" t="s">
        <v>1627</v>
      </c>
      <c r="E1023" s="11" t="s">
        <v>1451</v>
      </c>
      <c r="F1023" s="11">
        <v>21</v>
      </c>
      <c r="G1023" s="11" t="s">
        <v>470</v>
      </c>
      <c r="H1023" s="11" t="s">
        <v>469</v>
      </c>
      <c r="I1023" s="11" t="s">
        <v>339</v>
      </c>
      <c r="J1023" s="11" t="s">
        <v>3938</v>
      </c>
      <c r="K1023" s="11" t="s">
        <v>1641</v>
      </c>
      <c r="L1023" s="11"/>
      <c r="M1023" s="11" t="s">
        <v>4240</v>
      </c>
      <c r="N1023" s="11"/>
      <c r="O1023" s="11"/>
      <c r="P1023" s="11"/>
      <c r="Q1023" s="11">
        <v>4</v>
      </c>
      <c r="R1023" s="11">
        <v>3</v>
      </c>
      <c r="S1023" s="11" t="s">
        <v>4240</v>
      </c>
    </row>
    <row r="1024" spans="1:19" hidden="1" x14ac:dyDescent="0.15">
      <c r="A1024" s="34">
        <v>1023</v>
      </c>
      <c r="B1024" s="35" t="s">
        <v>4881</v>
      </c>
      <c r="C1024" s="36" t="s">
        <v>4236</v>
      </c>
      <c r="D1024" s="11" t="s">
        <v>1627</v>
      </c>
      <c r="E1024" s="11" t="s">
        <v>1451</v>
      </c>
      <c r="F1024" s="11">
        <v>4</v>
      </c>
      <c r="G1024" s="11" t="s">
        <v>468</v>
      </c>
      <c r="H1024" s="11" t="s">
        <v>467</v>
      </c>
      <c r="I1024" s="11" t="s">
        <v>1453</v>
      </c>
      <c r="J1024" s="11"/>
      <c r="K1024" s="11"/>
      <c r="L1024" s="11"/>
      <c r="M1024" s="11" t="s">
        <v>4241</v>
      </c>
      <c r="N1024" s="11"/>
      <c r="O1024" s="11"/>
      <c r="P1024" s="11"/>
      <c r="Q1024" s="11"/>
      <c r="R1024" s="11"/>
      <c r="S1024" s="11" t="s">
        <v>4241</v>
      </c>
    </row>
    <row r="1025" spans="1:19" hidden="1" x14ac:dyDescent="0.15">
      <c r="A1025" s="34">
        <v>1024</v>
      </c>
      <c r="B1025" s="35" t="s">
        <v>4881</v>
      </c>
      <c r="C1025" s="36" t="s">
        <v>4236</v>
      </c>
      <c r="D1025" s="11" t="s">
        <v>1627</v>
      </c>
      <c r="E1025" s="11" t="s">
        <v>1441</v>
      </c>
      <c r="F1025" s="11">
        <v>6</v>
      </c>
      <c r="G1025" s="11" t="s">
        <v>466</v>
      </c>
      <c r="H1025" s="11" t="s">
        <v>465</v>
      </c>
      <c r="I1025" s="11" t="s">
        <v>339</v>
      </c>
      <c r="J1025" s="11" t="s">
        <v>3938</v>
      </c>
      <c r="K1025" s="11" t="s">
        <v>1493</v>
      </c>
      <c r="L1025" s="11"/>
      <c r="M1025" s="11" t="s">
        <v>4242</v>
      </c>
      <c r="N1025" s="11"/>
      <c r="O1025" s="11"/>
      <c r="P1025" s="11"/>
      <c r="Q1025" s="11">
        <v>3</v>
      </c>
      <c r="R1025" s="11">
        <v>3</v>
      </c>
      <c r="S1025" s="11" t="s">
        <v>4242</v>
      </c>
    </row>
    <row r="1026" spans="1:19" hidden="1" x14ac:dyDescent="0.15">
      <c r="A1026" s="34">
        <v>1025</v>
      </c>
      <c r="B1026" s="35" t="s">
        <v>4881</v>
      </c>
      <c r="C1026" s="36" t="s">
        <v>4236</v>
      </c>
      <c r="D1026" s="11" t="s">
        <v>1627</v>
      </c>
      <c r="E1026" s="11" t="s">
        <v>1441</v>
      </c>
      <c r="F1026" s="11">
        <v>24</v>
      </c>
      <c r="G1026" s="11" t="s">
        <v>464</v>
      </c>
      <c r="H1026" s="11" t="s">
        <v>463</v>
      </c>
      <c r="I1026" s="11" t="s">
        <v>1453</v>
      </c>
      <c r="J1026" s="11"/>
      <c r="K1026" s="11"/>
      <c r="L1026" s="11"/>
      <c r="M1026" s="11" t="s">
        <v>4243</v>
      </c>
      <c r="N1026" s="11"/>
      <c r="O1026" s="11"/>
      <c r="P1026" s="11"/>
      <c r="Q1026" s="11"/>
      <c r="R1026" s="11"/>
      <c r="S1026" s="11" t="s">
        <v>4243</v>
      </c>
    </row>
    <row r="1027" spans="1:19" hidden="1" x14ac:dyDescent="0.15">
      <c r="A1027" s="34">
        <v>1026</v>
      </c>
      <c r="B1027" s="35" t="s">
        <v>4881</v>
      </c>
      <c r="C1027" s="36" t="s">
        <v>4236</v>
      </c>
      <c r="D1027" s="11" t="s">
        <v>1627</v>
      </c>
      <c r="E1027" s="11" t="s">
        <v>1441</v>
      </c>
      <c r="F1027" s="11">
        <v>13</v>
      </c>
      <c r="G1027" s="11" t="s">
        <v>462</v>
      </c>
      <c r="H1027" s="11" t="s">
        <v>461</v>
      </c>
      <c r="I1027" s="11" t="s">
        <v>1453</v>
      </c>
      <c r="J1027" s="11"/>
      <c r="K1027" s="11"/>
      <c r="L1027" s="11"/>
      <c r="M1027" s="11" t="s">
        <v>4244</v>
      </c>
      <c r="N1027" s="11"/>
      <c r="O1027" s="11"/>
      <c r="P1027" s="11"/>
      <c r="Q1027" s="11"/>
      <c r="R1027" s="11"/>
      <c r="S1027" s="11" t="s">
        <v>4244</v>
      </c>
    </row>
    <row r="1028" spans="1:19" hidden="1" x14ac:dyDescent="0.15">
      <c r="A1028" s="34">
        <v>1027</v>
      </c>
      <c r="B1028" s="35" t="s">
        <v>4881</v>
      </c>
      <c r="C1028" s="36" t="s">
        <v>4236</v>
      </c>
      <c r="D1028" s="11" t="s">
        <v>1627</v>
      </c>
      <c r="E1028" s="11" t="s">
        <v>1431</v>
      </c>
      <c r="F1028" s="11">
        <v>9</v>
      </c>
      <c r="G1028" s="11" t="s">
        <v>460</v>
      </c>
      <c r="H1028" s="11" t="s">
        <v>459</v>
      </c>
      <c r="I1028" s="11" t="s">
        <v>339</v>
      </c>
      <c r="J1028" s="11" t="s">
        <v>3938</v>
      </c>
      <c r="K1028" s="11" t="s">
        <v>1929</v>
      </c>
      <c r="L1028" s="11"/>
      <c r="M1028" s="11" t="s">
        <v>4245</v>
      </c>
      <c r="N1028" s="11" t="s">
        <v>4246</v>
      </c>
      <c r="O1028" s="11"/>
      <c r="P1028" s="11"/>
      <c r="Q1028" s="11">
        <v>4</v>
      </c>
      <c r="R1028" s="11">
        <v>4</v>
      </c>
      <c r="S1028" s="11" t="s">
        <v>4247</v>
      </c>
    </row>
    <row r="1029" spans="1:19" hidden="1" x14ac:dyDescent="0.15">
      <c r="A1029" s="34">
        <v>1028</v>
      </c>
      <c r="B1029" s="35" t="s">
        <v>4881</v>
      </c>
      <c r="C1029" s="36" t="s">
        <v>4236</v>
      </c>
      <c r="D1029" s="11" t="s">
        <v>1627</v>
      </c>
      <c r="E1029" s="11" t="s">
        <v>1431</v>
      </c>
      <c r="F1029" s="11">
        <v>16</v>
      </c>
      <c r="G1029" s="11" t="s">
        <v>458</v>
      </c>
      <c r="H1029" s="11" t="s">
        <v>457</v>
      </c>
      <c r="I1029" s="11" t="s">
        <v>339</v>
      </c>
      <c r="J1029" s="11" t="s">
        <v>348</v>
      </c>
      <c r="K1029" s="11"/>
      <c r="L1029" s="11"/>
      <c r="M1029" s="11" t="s">
        <v>2406</v>
      </c>
      <c r="N1029" s="11" t="s">
        <v>4248</v>
      </c>
      <c r="O1029" s="11"/>
      <c r="P1029" s="11"/>
      <c r="Q1029" s="11">
        <v>8</v>
      </c>
      <c r="R1029" s="11">
        <v>8</v>
      </c>
      <c r="S1029" s="11" t="s">
        <v>4249</v>
      </c>
    </row>
    <row r="1030" spans="1:19" hidden="1" x14ac:dyDescent="0.15">
      <c r="A1030" s="34">
        <v>1029</v>
      </c>
      <c r="B1030" s="35" t="s">
        <v>4881</v>
      </c>
      <c r="C1030" s="36" t="s">
        <v>4236</v>
      </c>
      <c r="D1030" s="11" t="s">
        <v>1627</v>
      </c>
      <c r="E1030" s="11" t="s">
        <v>1431</v>
      </c>
      <c r="F1030" s="11">
        <v>4</v>
      </c>
      <c r="G1030" s="11" t="s">
        <v>456</v>
      </c>
      <c r="H1030" s="11" t="s">
        <v>455</v>
      </c>
      <c r="I1030" s="11" t="s">
        <v>339</v>
      </c>
      <c r="J1030" s="11" t="s">
        <v>3938</v>
      </c>
      <c r="K1030" s="11" t="s">
        <v>4007</v>
      </c>
      <c r="L1030" s="11"/>
      <c r="M1030" s="11" t="s">
        <v>4250</v>
      </c>
      <c r="N1030" s="11"/>
      <c r="O1030" s="11"/>
      <c r="P1030" s="11"/>
      <c r="Q1030" s="11">
        <v>4</v>
      </c>
      <c r="R1030" s="11">
        <v>4</v>
      </c>
      <c r="S1030" s="11" t="s">
        <v>4250</v>
      </c>
    </row>
    <row r="1031" spans="1:19" hidden="1" x14ac:dyDescent="0.15">
      <c r="A1031" s="34">
        <v>1030</v>
      </c>
      <c r="B1031" s="35" t="s">
        <v>4881</v>
      </c>
      <c r="C1031" s="36" t="s">
        <v>4236</v>
      </c>
      <c r="D1031" s="11" t="s">
        <v>1606</v>
      </c>
      <c r="E1031" s="11" t="s">
        <v>1451</v>
      </c>
      <c r="F1031" s="11">
        <v>10</v>
      </c>
      <c r="G1031" s="11" t="s">
        <v>454</v>
      </c>
      <c r="H1031" s="11" t="s">
        <v>453</v>
      </c>
      <c r="I1031" s="11" t="s">
        <v>339</v>
      </c>
      <c r="J1031" s="11" t="s">
        <v>2911</v>
      </c>
      <c r="K1031" s="11" t="s">
        <v>2938</v>
      </c>
      <c r="L1031" s="11"/>
      <c r="M1031" s="11" t="s">
        <v>2595</v>
      </c>
      <c r="N1031" s="11" t="s">
        <v>4251</v>
      </c>
      <c r="O1031" s="11" t="s">
        <v>4252</v>
      </c>
      <c r="P1031" s="11"/>
      <c r="Q1031" s="11">
        <v>1</v>
      </c>
      <c r="R1031" s="11">
        <v>6</v>
      </c>
      <c r="S1031" s="11" t="s">
        <v>4253</v>
      </c>
    </row>
    <row r="1032" spans="1:19" hidden="1" x14ac:dyDescent="0.15">
      <c r="A1032" s="34">
        <v>1031</v>
      </c>
      <c r="B1032" s="35" t="s">
        <v>4881</v>
      </c>
      <c r="C1032" s="36" t="s">
        <v>4236</v>
      </c>
      <c r="D1032" s="11" t="s">
        <v>1606</v>
      </c>
      <c r="E1032" s="11" t="s">
        <v>1451</v>
      </c>
      <c r="F1032" s="11">
        <v>7</v>
      </c>
      <c r="G1032" s="11" t="s">
        <v>4843</v>
      </c>
      <c r="H1032" s="11" t="s">
        <v>451</v>
      </c>
      <c r="I1032" s="11" t="s">
        <v>339</v>
      </c>
      <c r="J1032" s="11" t="s">
        <v>1489</v>
      </c>
      <c r="K1032" s="11" t="s">
        <v>1641</v>
      </c>
      <c r="L1032" s="11"/>
      <c r="M1032" s="11" t="s">
        <v>351</v>
      </c>
      <c r="N1032" s="11"/>
      <c r="O1032" s="11"/>
      <c r="P1032" s="11"/>
      <c r="Q1032" s="11">
        <v>4</v>
      </c>
      <c r="R1032" s="11">
        <v>3</v>
      </c>
      <c r="S1032" s="11" t="s">
        <v>351</v>
      </c>
    </row>
    <row r="1033" spans="1:19" hidden="1" x14ac:dyDescent="0.15">
      <c r="A1033" s="34">
        <v>1032</v>
      </c>
      <c r="B1033" s="35" t="s">
        <v>4881</v>
      </c>
      <c r="C1033" s="36" t="s">
        <v>4236</v>
      </c>
      <c r="D1033" s="11" t="s">
        <v>1606</v>
      </c>
      <c r="E1033" s="11" t="s">
        <v>1441</v>
      </c>
      <c r="F1033" s="11">
        <v>11</v>
      </c>
      <c r="G1033" s="11" t="s">
        <v>450</v>
      </c>
      <c r="H1033" s="11" t="s">
        <v>449</v>
      </c>
      <c r="I1033" s="11" t="s">
        <v>339</v>
      </c>
      <c r="J1033" s="11" t="s">
        <v>1489</v>
      </c>
      <c r="K1033" s="11" t="s">
        <v>1641</v>
      </c>
      <c r="L1033" s="11"/>
      <c r="M1033" s="11" t="s">
        <v>4254</v>
      </c>
      <c r="N1033" s="11"/>
      <c r="O1033" s="11"/>
      <c r="P1033" s="11"/>
      <c r="Q1033" s="11">
        <v>4</v>
      </c>
      <c r="R1033" s="11">
        <v>5</v>
      </c>
      <c r="S1033" s="11" t="s">
        <v>4254</v>
      </c>
    </row>
    <row r="1034" spans="1:19" hidden="1" x14ac:dyDescent="0.15">
      <c r="A1034" s="34">
        <v>1033</v>
      </c>
      <c r="B1034" s="35" t="s">
        <v>4881</v>
      </c>
      <c r="C1034" s="36" t="s">
        <v>4236</v>
      </c>
      <c r="D1034" s="11" t="s">
        <v>1606</v>
      </c>
      <c r="E1034" s="11" t="s">
        <v>1441</v>
      </c>
      <c r="F1034" s="11">
        <v>10</v>
      </c>
      <c r="G1034" s="11" t="s">
        <v>448</v>
      </c>
      <c r="H1034" s="11" t="s">
        <v>447</v>
      </c>
      <c r="I1034" s="11" t="s">
        <v>1453</v>
      </c>
      <c r="J1034" s="11"/>
      <c r="K1034" s="11"/>
      <c r="L1034" s="11"/>
      <c r="M1034" s="11" t="s">
        <v>4255</v>
      </c>
      <c r="N1034" s="11"/>
      <c r="O1034" s="11"/>
      <c r="P1034" s="11"/>
      <c r="Q1034" s="11"/>
      <c r="R1034" s="11"/>
      <c r="S1034" s="11" t="s">
        <v>4255</v>
      </c>
    </row>
    <row r="1035" spans="1:19" hidden="1" x14ac:dyDescent="0.15">
      <c r="A1035" s="34">
        <v>1034</v>
      </c>
      <c r="B1035" s="35" t="s">
        <v>4881</v>
      </c>
      <c r="C1035" s="36" t="s">
        <v>4236</v>
      </c>
      <c r="D1035" s="11" t="s">
        <v>1606</v>
      </c>
      <c r="E1035" s="11" t="s">
        <v>1441</v>
      </c>
      <c r="F1035" s="11">
        <v>11</v>
      </c>
      <c r="G1035" s="11" t="s">
        <v>446</v>
      </c>
      <c r="H1035" s="11" t="s">
        <v>445</v>
      </c>
      <c r="I1035" s="11" t="s">
        <v>1453</v>
      </c>
      <c r="J1035" s="11"/>
      <c r="K1035" s="11"/>
      <c r="L1035" s="11"/>
      <c r="M1035" s="11" t="s">
        <v>4256</v>
      </c>
      <c r="N1035" s="11"/>
      <c r="O1035" s="11"/>
      <c r="P1035" s="11"/>
      <c r="Q1035" s="11"/>
      <c r="R1035" s="11"/>
      <c r="S1035" s="11" t="s">
        <v>4256</v>
      </c>
    </row>
    <row r="1036" spans="1:19" hidden="1" x14ac:dyDescent="0.15">
      <c r="A1036" s="34">
        <v>1035</v>
      </c>
      <c r="B1036" s="35" t="s">
        <v>4881</v>
      </c>
      <c r="C1036" s="36" t="s">
        <v>4236</v>
      </c>
      <c r="D1036" s="11" t="s">
        <v>1606</v>
      </c>
      <c r="E1036" s="11" t="s">
        <v>1431</v>
      </c>
      <c r="F1036" s="11">
        <v>17</v>
      </c>
      <c r="G1036" s="11" t="s">
        <v>444</v>
      </c>
      <c r="H1036" s="11" t="s">
        <v>443</v>
      </c>
      <c r="I1036" s="11" t="s">
        <v>339</v>
      </c>
      <c r="J1036" s="11" t="s">
        <v>4006</v>
      </c>
      <c r="K1036" s="11"/>
      <c r="L1036" s="11"/>
      <c r="M1036" s="11" t="s">
        <v>351</v>
      </c>
      <c r="N1036" s="11" t="s">
        <v>4257</v>
      </c>
      <c r="O1036" s="11"/>
      <c r="P1036" s="11"/>
      <c r="Q1036" s="11">
        <v>10</v>
      </c>
      <c r="R1036" s="11">
        <v>6</v>
      </c>
      <c r="S1036" s="11" t="s">
        <v>4258</v>
      </c>
    </row>
    <row r="1037" spans="1:19" hidden="1" x14ac:dyDescent="0.15">
      <c r="A1037" s="34">
        <v>1036</v>
      </c>
      <c r="B1037" s="35" t="s">
        <v>4881</v>
      </c>
      <c r="C1037" s="36" t="s">
        <v>4236</v>
      </c>
      <c r="D1037" s="11" t="s">
        <v>1606</v>
      </c>
      <c r="E1037" s="11" t="s">
        <v>1431</v>
      </c>
      <c r="F1037" s="11">
        <v>8</v>
      </c>
      <c r="G1037" s="11" t="s">
        <v>442</v>
      </c>
      <c r="H1037" s="11" t="s">
        <v>441</v>
      </c>
      <c r="I1037" s="11" t="s">
        <v>339</v>
      </c>
      <c r="J1037" s="11" t="s">
        <v>1489</v>
      </c>
      <c r="K1037" s="11" t="s">
        <v>1463</v>
      </c>
      <c r="L1037" s="11"/>
      <c r="M1037" s="11" t="s">
        <v>4259</v>
      </c>
      <c r="N1037" s="11" t="s">
        <v>4260</v>
      </c>
      <c r="O1037" s="11"/>
      <c r="P1037" s="11"/>
      <c r="Q1037" s="11">
        <v>5</v>
      </c>
      <c r="R1037" s="11">
        <v>5</v>
      </c>
      <c r="S1037" s="11" t="s">
        <v>4261</v>
      </c>
    </row>
    <row r="1038" spans="1:19" hidden="1" x14ac:dyDescent="0.15">
      <c r="A1038" s="34">
        <v>1037</v>
      </c>
      <c r="B1038" s="35" t="s">
        <v>4881</v>
      </c>
      <c r="C1038" s="36" t="s">
        <v>4236</v>
      </c>
      <c r="D1038" s="11" t="s">
        <v>1606</v>
      </c>
      <c r="E1038" s="11" t="s">
        <v>1431</v>
      </c>
      <c r="F1038" s="11">
        <v>6</v>
      </c>
      <c r="G1038" s="11" t="s">
        <v>440</v>
      </c>
      <c r="H1038" s="11" t="s">
        <v>439</v>
      </c>
      <c r="I1038" s="11" t="s">
        <v>288</v>
      </c>
      <c r="J1038" s="11" t="s">
        <v>6306</v>
      </c>
      <c r="K1038" s="11"/>
      <c r="L1038" s="11"/>
      <c r="M1038" s="11" t="s">
        <v>4262</v>
      </c>
      <c r="N1038" s="11"/>
      <c r="O1038" s="11"/>
      <c r="P1038" s="11">
        <v>3</v>
      </c>
      <c r="Q1038" s="11"/>
      <c r="R1038" s="11"/>
      <c r="S1038" s="11" t="s">
        <v>4262</v>
      </c>
    </row>
    <row r="1039" spans="1:19" hidden="1" x14ac:dyDescent="0.15">
      <c r="A1039" s="34">
        <v>1038</v>
      </c>
      <c r="B1039" s="35" t="s">
        <v>4881</v>
      </c>
      <c r="C1039" s="36" t="s">
        <v>4236</v>
      </c>
      <c r="D1039" s="11" t="s">
        <v>1582</v>
      </c>
      <c r="E1039" s="11" t="s">
        <v>1451</v>
      </c>
      <c r="F1039" s="11">
        <v>13</v>
      </c>
      <c r="G1039" s="11" t="s">
        <v>4849</v>
      </c>
      <c r="H1039" s="11" t="s">
        <v>437</v>
      </c>
      <c r="I1039" s="11" t="s">
        <v>339</v>
      </c>
      <c r="J1039" s="11" t="s">
        <v>4031</v>
      </c>
      <c r="K1039" s="11" t="s">
        <v>1494</v>
      </c>
      <c r="L1039" s="11"/>
      <c r="M1039" s="11" t="s">
        <v>4263</v>
      </c>
      <c r="N1039" s="11"/>
      <c r="O1039" s="11"/>
      <c r="P1039" s="11"/>
      <c r="Q1039" s="11">
        <v>3</v>
      </c>
      <c r="R1039" s="11">
        <v>4</v>
      </c>
      <c r="S1039" s="11" t="s">
        <v>4263</v>
      </c>
    </row>
    <row r="1040" spans="1:19" hidden="1" x14ac:dyDescent="0.15">
      <c r="A1040" s="34">
        <v>1039</v>
      </c>
      <c r="B1040" s="35" t="s">
        <v>4881</v>
      </c>
      <c r="C1040" s="36" t="s">
        <v>4236</v>
      </c>
      <c r="D1040" s="11" t="s">
        <v>1582</v>
      </c>
      <c r="E1040" s="11" t="s">
        <v>1451</v>
      </c>
      <c r="F1040" s="11">
        <v>8</v>
      </c>
      <c r="G1040" s="11" t="s">
        <v>436</v>
      </c>
      <c r="H1040" s="11" t="s">
        <v>435</v>
      </c>
      <c r="I1040" s="11" t="s">
        <v>339</v>
      </c>
      <c r="J1040" s="11" t="s">
        <v>4031</v>
      </c>
      <c r="K1040" s="11" t="s">
        <v>1641</v>
      </c>
      <c r="L1040" s="11"/>
      <c r="M1040" s="11" t="s">
        <v>4264</v>
      </c>
      <c r="N1040" s="11"/>
      <c r="O1040" s="11"/>
      <c r="P1040" s="11"/>
      <c r="Q1040" s="11">
        <v>4</v>
      </c>
      <c r="R1040" s="11">
        <v>4</v>
      </c>
      <c r="S1040" s="11" t="s">
        <v>4264</v>
      </c>
    </row>
    <row r="1041" spans="1:19" hidden="1" x14ac:dyDescent="0.15">
      <c r="A1041" s="34">
        <v>1040</v>
      </c>
      <c r="B1041" s="35" t="s">
        <v>4881</v>
      </c>
      <c r="C1041" s="36" t="s">
        <v>4236</v>
      </c>
      <c r="D1041" s="11" t="s">
        <v>1582</v>
      </c>
      <c r="E1041" s="11" t="s">
        <v>1451</v>
      </c>
      <c r="F1041" s="11">
        <v>10</v>
      </c>
      <c r="G1041" s="11" t="s">
        <v>434</v>
      </c>
      <c r="H1041" s="11" t="s">
        <v>433</v>
      </c>
      <c r="I1041" s="11" t="s">
        <v>339</v>
      </c>
      <c r="J1041" s="11" t="s">
        <v>1489</v>
      </c>
      <c r="K1041" s="11" t="s">
        <v>1641</v>
      </c>
      <c r="L1041" s="11"/>
      <c r="M1041" s="11" t="s">
        <v>4265</v>
      </c>
      <c r="N1041" s="11"/>
      <c r="O1041" s="11"/>
      <c r="P1041" s="11"/>
      <c r="Q1041" s="11">
        <v>4</v>
      </c>
      <c r="R1041" s="11">
        <v>4</v>
      </c>
      <c r="S1041" s="11" t="s">
        <v>4265</v>
      </c>
    </row>
    <row r="1042" spans="1:19" hidden="1" x14ac:dyDescent="0.15">
      <c r="A1042" s="34">
        <v>1041</v>
      </c>
      <c r="B1042" s="35" t="s">
        <v>4881</v>
      </c>
      <c r="C1042" s="36" t="s">
        <v>4236</v>
      </c>
      <c r="D1042" s="11" t="s">
        <v>1582</v>
      </c>
      <c r="E1042" s="11" t="s">
        <v>1451</v>
      </c>
      <c r="F1042" s="11">
        <v>11</v>
      </c>
      <c r="G1042" s="11" t="s">
        <v>432</v>
      </c>
      <c r="H1042" s="11" t="s">
        <v>431</v>
      </c>
      <c r="I1042" s="11" t="s">
        <v>288</v>
      </c>
      <c r="J1042" s="11"/>
      <c r="K1042" s="11"/>
      <c r="L1042" s="11"/>
      <c r="M1042" s="11" t="s">
        <v>4266</v>
      </c>
      <c r="N1042" s="11" t="s">
        <v>4267</v>
      </c>
      <c r="O1042" s="11"/>
      <c r="P1042" s="11">
        <v>3</v>
      </c>
      <c r="Q1042" s="11"/>
      <c r="R1042" s="11"/>
      <c r="S1042" s="11" t="s">
        <v>4268</v>
      </c>
    </row>
    <row r="1043" spans="1:19" hidden="1" x14ac:dyDescent="0.15">
      <c r="A1043" s="34">
        <v>1042</v>
      </c>
      <c r="B1043" s="35" t="s">
        <v>4881</v>
      </c>
      <c r="C1043" s="36" t="s">
        <v>4236</v>
      </c>
      <c r="D1043" s="11" t="s">
        <v>1582</v>
      </c>
      <c r="E1043" s="11" t="s">
        <v>1441</v>
      </c>
      <c r="F1043" s="11">
        <v>17</v>
      </c>
      <c r="G1043" s="11" t="s">
        <v>430</v>
      </c>
      <c r="H1043" s="11" t="s">
        <v>429</v>
      </c>
      <c r="I1043" s="11" t="s">
        <v>339</v>
      </c>
      <c r="J1043" s="11" t="s">
        <v>1489</v>
      </c>
      <c r="K1043" s="11" t="s">
        <v>2938</v>
      </c>
      <c r="L1043" s="11"/>
      <c r="M1043" s="11" t="s">
        <v>2048</v>
      </c>
      <c r="N1043" s="11" t="s">
        <v>4269</v>
      </c>
      <c r="O1043" s="11" t="s">
        <v>4270</v>
      </c>
      <c r="P1043" s="11"/>
      <c r="Q1043" s="11">
        <v>6</v>
      </c>
      <c r="R1043" s="11">
        <v>5</v>
      </c>
      <c r="S1043" s="11" t="s">
        <v>4271</v>
      </c>
    </row>
    <row r="1044" spans="1:19" hidden="1" x14ac:dyDescent="0.15">
      <c r="A1044" s="34">
        <v>1043</v>
      </c>
      <c r="B1044" s="35" t="s">
        <v>4881</v>
      </c>
      <c r="C1044" s="36" t="s">
        <v>4236</v>
      </c>
      <c r="D1044" s="11" t="s">
        <v>1582</v>
      </c>
      <c r="E1044" s="11" t="s">
        <v>1441</v>
      </c>
      <c r="F1044" s="11">
        <v>7</v>
      </c>
      <c r="G1044" s="11" t="s">
        <v>428</v>
      </c>
      <c r="H1044" s="11" t="s">
        <v>427</v>
      </c>
      <c r="I1044" s="11" t="s">
        <v>1453</v>
      </c>
      <c r="J1044" s="11"/>
      <c r="K1044" s="11"/>
      <c r="L1044" s="11"/>
      <c r="M1044" s="11" t="s">
        <v>4272</v>
      </c>
      <c r="N1044" s="11"/>
      <c r="O1044" s="11"/>
      <c r="P1044" s="11"/>
      <c r="Q1044" s="11"/>
      <c r="R1044" s="11"/>
      <c r="S1044" s="11" t="s">
        <v>4272</v>
      </c>
    </row>
    <row r="1045" spans="1:19" hidden="1" x14ac:dyDescent="0.15">
      <c r="A1045" s="34">
        <v>1044</v>
      </c>
      <c r="B1045" s="35" t="s">
        <v>4881</v>
      </c>
      <c r="C1045" s="36" t="s">
        <v>4236</v>
      </c>
      <c r="D1045" s="11" t="s">
        <v>1582</v>
      </c>
      <c r="E1045" s="11" t="s">
        <v>1441</v>
      </c>
      <c r="F1045" s="11">
        <v>14</v>
      </c>
      <c r="G1045" s="11" t="s">
        <v>426</v>
      </c>
      <c r="H1045" s="11" t="s">
        <v>425</v>
      </c>
      <c r="I1045" s="11" t="s">
        <v>1453</v>
      </c>
      <c r="J1045" s="11"/>
      <c r="K1045" s="11"/>
      <c r="L1045" s="11"/>
      <c r="M1045" s="11" t="s">
        <v>4273</v>
      </c>
      <c r="N1045" s="11"/>
      <c r="O1045" s="11"/>
      <c r="P1045" s="11"/>
      <c r="Q1045" s="11"/>
      <c r="R1045" s="11"/>
      <c r="S1045" s="11" t="s">
        <v>4273</v>
      </c>
    </row>
    <row r="1046" spans="1:19" hidden="1" x14ac:dyDescent="0.15">
      <c r="A1046" s="34">
        <v>1045</v>
      </c>
      <c r="B1046" s="35" t="s">
        <v>4881</v>
      </c>
      <c r="C1046" s="36" t="s">
        <v>4236</v>
      </c>
      <c r="D1046" s="11" t="s">
        <v>1582</v>
      </c>
      <c r="E1046" s="11" t="s">
        <v>1431</v>
      </c>
      <c r="F1046" s="11">
        <v>13</v>
      </c>
      <c r="G1046" s="11" t="s">
        <v>424</v>
      </c>
      <c r="H1046" s="11" t="s">
        <v>423</v>
      </c>
      <c r="I1046" s="11" t="s">
        <v>339</v>
      </c>
      <c r="J1046" s="11" t="s">
        <v>2793</v>
      </c>
      <c r="K1046" s="11"/>
      <c r="L1046" s="11"/>
      <c r="M1046" s="11" t="s">
        <v>351</v>
      </c>
      <c r="N1046" s="11" t="s">
        <v>4274</v>
      </c>
      <c r="O1046" s="11" t="s">
        <v>4275</v>
      </c>
      <c r="P1046" s="11"/>
      <c r="Q1046" s="11">
        <v>5</v>
      </c>
      <c r="R1046" s="11">
        <v>5</v>
      </c>
      <c r="S1046" s="11" t="s">
        <v>4276</v>
      </c>
    </row>
    <row r="1047" spans="1:19" hidden="1" x14ac:dyDescent="0.15">
      <c r="A1047" s="34">
        <v>1046</v>
      </c>
      <c r="B1047" s="35" t="s">
        <v>4881</v>
      </c>
      <c r="C1047" s="36" t="s">
        <v>4236</v>
      </c>
      <c r="D1047" s="11" t="s">
        <v>1582</v>
      </c>
      <c r="E1047" s="11" t="s">
        <v>1431</v>
      </c>
      <c r="F1047" s="11">
        <v>11</v>
      </c>
      <c r="G1047" s="11" t="s">
        <v>4921</v>
      </c>
      <c r="H1047" s="11" t="s">
        <v>422</v>
      </c>
      <c r="I1047" s="11" t="s">
        <v>339</v>
      </c>
      <c r="J1047" s="11" t="s">
        <v>4031</v>
      </c>
      <c r="K1047" s="11" t="s">
        <v>1494</v>
      </c>
      <c r="L1047" s="11"/>
      <c r="M1047" s="11" t="s">
        <v>2755</v>
      </c>
      <c r="N1047" s="11" t="s">
        <v>4277</v>
      </c>
      <c r="O1047" s="11" t="s">
        <v>4278</v>
      </c>
      <c r="P1047" s="11"/>
      <c r="Q1047" s="11">
        <v>2</v>
      </c>
      <c r="R1047" s="11">
        <v>2</v>
      </c>
      <c r="S1047" s="11" t="s">
        <v>4279</v>
      </c>
    </row>
    <row r="1048" spans="1:19" hidden="1" x14ac:dyDescent="0.15">
      <c r="A1048" s="34">
        <v>1047</v>
      </c>
      <c r="B1048" s="35" t="s">
        <v>4881</v>
      </c>
      <c r="C1048" s="36" t="s">
        <v>4236</v>
      </c>
      <c r="D1048" s="11" t="s">
        <v>1552</v>
      </c>
      <c r="E1048" s="11" t="s">
        <v>1451</v>
      </c>
      <c r="F1048" s="11">
        <v>13</v>
      </c>
      <c r="G1048" s="11" t="s">
        <v>421</v>
      </c>
      <c r="H1048" s="11" t="s">
        <v>420</v>
      </c>
      <c r="I1048" s="11" t="s">
        <v>339</v>
      </c>
      <c r="J1048" s="11" t="s">
        <v>2049</v>
      </c>
      <c r="K1048" s="11"/>
      <c r="L1048" s="11"/>
      <c r="M1048" s="11" t="s">
        <v>3866</v>
      </c>
      <c r="N1048" s="11"/>
      <c r="O1048" s="11"/>
      <c r="P1048" s="11"/>
      <c r="Q1048" s="11">
        <v>4</v>
      </c>
      <c r="R1048" s="11">
        <v>4</v>
      </c>
      <c r="S1048" s="11" t="s">
        <v>3866</v>
      </c>
    </row>
    <row r="1049" spans="1:19" hidden="1" x14ac:dyDescent="0.15">
      <c r="A1049" s="34">
        <v>1048</v>
      </c>
      <c r="B1049" s="35" t="s">
        <v>4881</v>
      </c>
      <c r="C1049" s="36" t="s">
        <v>4236</v>
      </c>
      <c r="D1049" s="11" t="s">
        <v>1552</v>
      </c>
      <c r="E1049" s="11" t="s">
        <v>1451</v>
      </c>
      <c r="F1049" s="11">
        <v>9</v>
      </c>
      <c r="G1049" s="11" t="s">
        <v>419</v>
      </c>
      <c r="H1049" s="11" t="s">
        <v>418</v>
      </c>
      <c r="I1049" s="11" t="s">
        <v>339</v>
      </c>
      <c r="J1049" s="11" t="s">
        <v>1489</v>
      </c>
      <c r="K1049" s="11" t="s">
        <v>3957</v>
      </c>
      <c r="L1049" s="11"/>
      <c r="M1049" s="11" t="s">
        <v>3311</v>
      </c>
      <c r="N1049" s="11" t="s">
        <v>4217</v>
      </c>
      <c r="O1049" s="11"/>
      <c r="P1049" s="11"/>
      <c r="Q1049" s="11">
        <v>2</v>
      </c>
      <c r="R1049" s="11">
        <v>3</v>
      </c>
      <c r="S1049" s="11" t="s">
        <v>4280</v>
      </c>
    </row>
    <row r="1050" spans="1:19" hidden="1" x14ac:dyDescent="0.15">
      <c r="A1050" s="34">
        <v>1049</v>
      </c>
      <c r="B1050" s="35" t="s">
        <v>4881</v>
      </c>
      <c r="C1050" s="36" t="s">
        <v>4236</v>
      </c>
      <c r="D1050" s="11" t="s">
        <v>1552</v>
      </c>
      <c r="E1050" s="11" t="s">
        <v>1451</v>
      </c>
      <c r="F1050" s="11">
        <v>9</v>
      </c>
      <c r="G1050" s="11" t="s">
        <v>417</v>
      </c>
      <c r="H1050" s="11" t="s">
        <v>416</v>
      </c>
      <c r="I1050" s="11" t="s">
        <v>1453</v>
      </c>
      <c r="J1050" s="11"/>
      <c r="K1050" s="11"/>
      <c r="L1050" s="11"/>
      <c r="M1050" s="11" t="s">
        <v>4281</v>
      </c>
      <c r="N1050" s="11"/>
      <c r="O1050" s="11"/>
      <c r="P1050" s="11"/>
      <c r="Q1050" s="11"/>
      <c r="R1050" s="11"/>
      <c r="S1050" s="11" t="s">
        <v>4281</v>
      </c>
    </row>
    <row r="1051" spans="1:19" hidden="1" x14ac:dyDescent="0.15">
      <c r="A1051" s="34">
        <v>1050</v>
      </c>
      <c r="B1051" s="35" t="s">
        <v>4881</v>
      </c>
      <c r="C1051" s="36" t="s">
        <v>4236</v>
      </c>
      <c r="D1051" s="11" t="s">
        <v>1552</v>
      </c>
      <c r="E1051" s="11" t="s">
        <v>1451</v>
      </c>
      <c r="F1051" s="11">
        <v>8</v>
      </c>
      <c r="G1051" s="11" t="s">
        <v>415</v>
      </c>
      <c r="H1051" s="11" t="s">
        <v>414</v>
      </c>
      <c r="I1051" s="11" t="s">
        <v>288</v>
      </c>
      <c r="J1051" s="11" t="s">
        <v>6306</v>
      </c>
      <c r="K1051" s="11"/>
      <c r="L1051" s="11"/>
      <c r="M1051" s="11" t="s">
        <v>4282</v>
      </c>
      <c r="N1051" s="11" t="s">
        <v>4283</v>
      </c>
      <c r="O1051" s="11"/>
      <c r="P1051" s="11">
        <v>3</v>
      </c>
      <c r="Q1051" s="11"/>
      <c r="R1051" s="11"/>
      <c r="S1051" s="11" t="s">
        <v>4284</v>
      </c>
    </row>
    <row r="1052" spans="1:19" hidden="1" x14ac:dyDescent="0.15">
      <c r="A1052" s="34">
        <v>1051</v>
      </c>
      <c r="B1052" s="35" t="s">
        <v>4881</v>
      </c>
      <c r="C1052" s="36" t="s">
        <v>4236</v>
      </c>
      <c r="D1052" s="11" t="s">
        <v>1552</v>
      </c>
      <c r="E1052" s="11" t="s">
        <v>1441</v>
      </c>
      <c r="F1052" s="11">
        <v>15</v>
      </c>
      <c r="G1052" s="11" t="s">
        <v>413</v>
      </c>
      <c r="H1052" s="11" t="s">
        <v>412</v>
      </c>
      <c r="I1052" s="11" t="s">
        <v>339</v>
      </c>
      <c r="J1052" s="11" t="s">
        <v>1555</v>
      </c>
      <c r="K1052" s="11"/>
      <c r="L1052" s="11"/>
      <c r="M1052" s="11" t="s">
        <v>3177</v>
      </c>
      <c r="N1052" s="11" t="s">
        <v>4285</v>
      </c>
      <c r="O1052" s="11"/>
      <c r="P1052" s="11"/>
      <c r="Q1052" s="11">
        <v>6</v>
      </c>
      <c r="R1052" s="11">
        <v>6</v>
      </c>
      <c r="S1052" s="11" t="s">
        <v>4286</v>
      </c>
    </row>
    <row r="1053" spans="1:19" hidden="1" x14ac:dyDescent="0.15">
      <c r="A1053" s="34">
        <v>1052</v>
      </c>
      <c r="B1053" s="35" t="s">
        <v>4881</v>
      </c>
      <c r="C1053" s="36" t="s">
        <v>4236</v>
      </c>
      <c r="D1053" s="11" t="s">
        <v>1552</v>
      </c>
      <c r="E1053" s="11" t="s">
        <v>1441</v>
      </c>
      <c r="F1053" s="11">
        <v>6</v>
      </c>
      <c r="G1053" s="11" t="s">
        <v>411</v>
      </c>
      <c r="H1053" s="11" t="s">
        <v>410</v>
      </c>
      <c r="I1053" s="11" t="s">
        <v>1453</v>
      </c>
      <c r="J1053" s="11"/>
      <c r="K1053" s="11"/>
      <c r="L1053" s="11"/>
      <c r="M1053" s="11" t="s">
        <v>4287</v>
      </c>
      <c r="N1053" s="11"/>
      <c r="O1053" s="11"/>
      <c r="P1053" s="11"/>
      <c r="Q1053" s="11"/>
      <c r="R1053" s="11"/>
      <c r="S1053" s="11" t="s">
        <v>4287</v>
      </c>
    </row>
    <row r="1054" spans="1:19" hidden="1" x14ac:dyDescent="0.15">
      <c r="A1054" s="34">
        <v>1053</v>
      </c>
      <c r="B1054" s="35" t="s">
        <v>4881</v>
      </c>
      <c r="C1054" s="36" t="s">
        <v>4236</v>
      </c>
      <c r="D1054" s="11" t="s">
        <v>1552</v>
      </c>
      <c r="E1054" s="11" t="s">
        <v>1441</v>
      </c>
      <c r="F1054" s="11">
        <v>16</v>
      </c>
      <c r="G1054" s="11" t="s">
        <v>409</v>
      </c>
      <c r="H1054" s="11" t="s">
        <v>408</v>
      </c>
      <c r="I1054" s="11" t="s">
        <v>1453</v>
      </c>
      <c r="J1054" s="11"/>
      <c r="K1054" s="11"/>
      <c r="L1054" s="11"/>
      <c r="M1054" s="11" t="s">
        <v>4288</v>
      </c>
      <c r="N1054" s="11"/>
      <c r="O1054" s="11"/>
      <c r="P1054" s="11"/>
      <c r="Q1054" s="11"/>
      <c r="R1054" s="11"/>
      <c r="S1054" s="11" t="s">
        <v>4288</v>
      </c>
    </row>
    <row r="1055" spans="1:19" hidden="1" x14ac:dyDescent="0.15">
      <c r="A1055" s="34">
        <v>1054</v>
      </c>
      <c r="B1055" s="35" t="s">
        <v>4881</v>
      </c>
      <c r="C1055" s="36" t="s">
        <v>4236</v>
      </c>
      <c r="D1055" s="11" t="s">
        <v>1552</v>
      </c>
      <c r="E1055" s="11" t="s">
        <v>1431</v>
      </c>
      <c r="F1055" s="11">
        <v>5</v>
      </c>
      <c r="G1055" s="11" t="s">
        <v>407</v>
      </c>
      <c r="H1055" s="11" t="s">
        <v>406</v>
      </c>
      <c r="I1055" s="11" t="s">
        <v>339</v>
      </c>
      <c r="J1055" s="11" t="s">
        <v>1489</v>
      </c>
      <c r="K1055" s="11" t="s">
        <v>4289</v>
      </c>
      <c r="L1055" s="11"/>
      <c r="M1055" s="11" t="s">
        <v>4290</v>
      </c>
      <c r="N1055" s="11" t="s">
        <v>4049</v>
      </c>
      <c r="O1055" s="11" t="s">
        <v>4291</v>
      </c>
      <c r="P1055" s="11"/>
      <c r="Q1055" s="11">
        <v>1</v>
      </c>
      <c r="R1055" s="11">
        <v>3</v>
      </c>
      <c r="S1055" s="11" t="s">
        <v>4292</v>
      </c>
    </row>
    <row r="1056" spans="1:19" hidden="1" x14ac:dyDescent="0.15">
      <c r="A1056" s="34">
        <v>1055</v>
      </c>
      <c r="B1056" s="35" t="s">
        <v>4881</v>
      </c>
      <c r="C1056" s="36" t="s">
        <v>4236</v>
      </c>
      <c r="D1056" s="11" t="s">
        <v>1552</v>
      </c>
      <c r="E1056" s="11" t="s">
        <v>1431</v>
      </c>
      <c r="F1056" s="11">
        <v>6</v>
      </c>
      <c r="G1056" s="11" t="s">
        <v>405</v>
      </c>
      <c r="H1056" s="11" t="s">
        <v>404</v>
      </c>
      <c r="I1056" s="11" t="s">
        <v>339</v>
      </c>
      <c r="J1056" s="11" t="s">
        <v>1489</v>
      </c>
      <c r="K1056" s="11" t="s">
        <v>1493</v>
      </c>
      <c r="L1056" s="11"/>
      <c r="M1056" s="11" t="s">
        <v>4293</v>
      </c>
      <c r="N1056" s="11" t="s">
        <v>4245</v>
      </c>
      <c r="O1056" s="11" t="s">
        <v>4294</v>
      </c>
      <c r="P1056" s="11"/>
      <c r="Q1056" s="11">
        <v>2</v>
      </c>
      <c r="R1056" s="11">
        <v>2</v>
      </c>
      <c r="S1056" s="11" t="s">
        <v>4295</v>
      </c>
    </row>
    <row r="1057" spans="1:19" hidden="1" x14ac:dyDescent="0.15">
      <c r="A1057" s="34">
        <v>1056</v>
      </c>
      <c r="B1057" s="35" t="s">
        <v>4881</v>
      </c>
      <c r="C1057" s="36" t="s">
        <v>4236</v>
      </c>
      <c r="D1057" s="11" t="s">
        <v>1518</v>
      </c>
      <c r="E1057" s="11" t="s">
        <v>1451</v>
      </c>
      <c r="F1057" s="11">
        <v>10</v>
      </c>
      <c r="G1057" s="11" t="s">
        <v>403</v>
      </c>
      <c r="H1057" s="11" t="s">
        <v>402</v>
      </c>
      <c r="I1057" s="11" t="s">
        <v>339</v>
      </c>
      <c r="J1057" s="11" t="s">
        <v>1489</v>
      </c>
      <c r="K1057" s="11" t="s">
        <v>1529</v>
      </c>
      <c r="L1057" s="11"/>
      <c r="M1057" s="11" t="s">
        <v>4117</v>
      </c>
      <c r="N1057" s="11"/>
      <c r="O1057" s="11"/>
      <c r="P1057" s="11"/>
      <c r="Q1057" s="11">
        <v>4</v>
      </c>
      <c r="R1057" s="11">
        <v>4</v>
      </c>
      <c r="S1057" s="11" t="s">
        <v>4117</v>
      </c>
    </row>
    <row r="1058" spans="1:19" hidden="1" x14ac:dyDescent="0.15">
      <c r="A1058" s="34">
        <v>1057</v>
      </c>
      <c r="B1058" s="35" t="s">
        <v>4881</v>
      </c>
      <c r="C1058" s="36" t="s">
        <v>4236</v>
      </c>
      <c r="D1058" s="11" t="s">
        <v>1518</v>
      </c>
      <c r="E1058" s="11" t="s">
        <v>1451</v>
      </c>
      <c r="F1058" s="11">
        <v>11</v>
      </c>
      <c r="G1058" s="11" t="s">
        <v>4877</v>
      </c>
      <c r="H1058" s="11" t="s">
        <v>400</v>
      </c>
      <c r="I1058" s="11" t="s">
        <v>339</v>
      </c>
      <c r="J1058" s="11" t="s">
        <v>1479</v>
      </c>
      <c r="K1058" s="11" t="s">
        <v>1493</v>
      </c>
      <c r="L1058" s="11"/>
      <c r="M1058" s="11" t="s">
        <v>3425</v>
      </c>
      <c r="N1058" s="11"/>
      <c r="O1058" s="11"/>
      <c r="P1058" s="11"/>
      <c r="Q1058" s="11">
        <v>4</v>
      </c>
      <c r="R1058" s="11">
        <v>5</v>
      </c>
      <c r="S1058" s="11" t="s">
        <v>3425</v>
      </c>
    </row>
    <row r="1059" spans="1:19" hidden="1" x14ac:dyDescent="0.15">
      <c r="A1059" s="34">
        <v>1058</v>
      </c>
      <c r="B1059" s="35" t="s">
        <v>4881</v>
      </c>
      <c r="C1059" s="36" t="s">
        <v>4236</v>
      </c>
      <c r="D1059" s="11" t="s">
        <v>1518</v>
      </c>
      <c r="E1059" s="11" t="s">
        <v>1451</v>
      </c>
      <c r="F1059" s="11">
        <v>13</v>
      </c>
      <c r="G1059" s="11" t="s">
        <v>399</v>
      </c>
      <c r="H1059" s="11" t="s">
        <v>398</v>
      </c>
      <c r="I1059" s="11" t="s">
        <v>339</v>
      </c>
      <c r="J1059" s="11" t="s">
        <v>1479</v>
      </c>
      <c r="K1059" s="11" t="s">
        <v>1529</v>
      </c>
      <c r="L1059" s="11"/>
      <c r="M1059" s="11" t="s">
        <v>4296</v>
      </c>
      <c r="N1059" s="11" t="s">
        <v>4297</v>
      </c>
      <c r="O1059" s="11"/>
      <c r="P1059" s="11"/>
      <c r="Q1059" s="11">
        <v>4</v>
      </c>
      <c r="R1059" s="11">
        <v>3</v>
      </c>
      <c r="S1059" s="11" t="s">
        <v>4298</v>
      </c>
    </row>
    <row r="1060" spans="1:19" hidden="1" x14ac:dyDescent="0.15">
      <c r="A1060" s="34">
        <v>1059</v>
      </c>
      <c r="B1060" s="35" t="s">
        <v>4881</v>
      </c>
      <c r="C1060" s="36" t="s">
        <v>4236</v>
      </c>
      <c r="D1060" s="11" t="s">
        <v>1518</v>
      </c>
      <c r="E1060" s="11" t="s">
        <v>1441</v>
      </c>
      <c r="F1060" s="11">
        <v>7</v>
      </c>
      <c r="G1060" s="11" t="s">
        <v>397</v>
      </c>
      <c r="H1060" s="11" t="s">
        <v>396</v>
      </c>
      <c r="I1060" s="11" t="s">
        <v>339</v>
      </c>
      <c r="J1060" s="11" t="s">
        <v>4125</v>
      </c>
      <c r="K1060" s="11"/>
      <c r="L1060" s="11"/>
      <c r="M1060" s="11" t="s">
        <v>4299</v>
      </c>
      <c r="N1060" s="11" t="s">
        <v>4300</v>
      </c>
      <c r="O1060" s="11"/>
      <c r="P1060" s="11"/>
      <c r="Q1060" s="11">
        <v>6</v>
      </c>
      <c r="R1060" s="11">
        <v>6</v>
      </c>
      <c r="S1060" s="11" t="s">
        <v>4301</v>
      </c>
    </row>
    <row r="1061" spans="1:19" hidden="1" x14ac:dyDescent="0.15">
      <c r="A1061" s="34">
        <v>1060</v>
      </c>
      <c r="B1061" s="35" t="s">
        <v>4881</v>
      </c>
      <c r="C1061" s="36" t="s">
        <v>4236</v>
      </c>
      <c r="D1061" s="11" t="s">
        <v>1518</v>
      </c>
      <c r="E1061" s="11" t="s">
        <v>1441</v>
      </c>
      <c r="F1061" s="11">
        <v>14</v>
      </c>
      <c r="G1061" s="11" t="s">
        <v>395</v>
      </c>
      <c r="H1061" s="11" t="s">
        <v>394</v>
      </c>
      <c r="I1061" s="11" t="s">
        <v>1453</v>
      </c>
      <c r="J1061" s="11"/>
      <c r="K1061" s="11"/>
      <c r="L1061" s="11"/>
      <c r="M1061" s="11" t="s">
        <v>4302</v>
      </c>
      <c r="N1061" s="11"/>
      <c r="O1061" s="11"/>
      <c r="P1061" s="11"/>
      <c r="Q1061" s="11"/>
      <c r="R1061" s="11"/>
      <c r="S1061" s="11" t="s">
        <v>4302</v>
      </c>
    </row>
    <row r="1062" spans="1:19" hidden="1" x14ac:dyDescent="0.15">
      <c r="A1062" s="34">
        <v>1061</v>
      </c>
      <c r="B1062" s="35" t="s">
        <v>4881</v>
      </c>
      <c r="C1062" s="36" t="s">
        <v>4236</v>
      </c>
      <c r="D1062" s="11" t="s">
        <v>1518</v>
      </c>
      <c r="E1062" s="11" t="s">
        <v>1431</v>
      </c>
      <c r="F1062" s="11">
        <v>20</v>
      </c>
      <c r="G1062" s="11" t="s">
        <v>393</v>
      </c>
      <c r="H1062" s="11" t="s">
        <v>392</v>
      </c>
      <c r="I1062" s="11" t="s">
        <v>339</v>
      </c>
      <c r="J1062" s="11" t="s">
        <v>2531</v>
      </c>
      <c r="K1062" s="11"/>
      <c r="L1062" s="11"/>
      <c r="M1062" s="11" t="s">
        <v>1707</v>
      </c>
      <c r="N1062" s="11" t="s">
        <v>4303</v>
      </c>
      <c r="O1062" s="11" t="s">
        <v>4304</v>
      </c>
      <c r="P1062" s="11"/>
      <c r="Q1062" s="11">
        <v>8</v>
      </c>
      <c r="R1062" s="11">
        <v>8</v>
      </c>
      <c r="S1062" s="11" t="s">
        <v>4305</v>
      </c>
    </row>
    <row r="1063" spans="1:19" hidden="1" x14ac:dyDescent="0.15">
      <c r="A1063" s="34">
        <v>1062</v>
      </c>
      <c r="B1063" s="35" t="s">
        <v>4881</v>
      </c>
      <c r="C1063" s="36" t="s">
        <v>4236</v>
      </c>
      <c r="D1063" s="11" t="s">
        <v>1518</v>
      </c>
      <c r="E1063" s="11" t="s">
        <v>1431</v>
      </c>
      <c r="F1063" s="11">
        <v>16</v>
      </c>
      <c r="G1063" s="11" t="s">
        <v>391</v>
      </c>
      <c r="H1063" s="11" t="s">
        <v>390</v>
      </c>
      <c r="I1063" s="11" t="s">
        <v>339</v>
      </c>
      <c r="J1063" s="11" t="s">
        <v>1479</v>
      </c>
      <c r="K1063" s="11" t="s">
        <v>1529</v>
      </c>
      <c r="L1063" s="11"/>
      <c r="M1063" s="11" t="s">
        <v>4306</v>
      </c>
      <c r="N1063" s="11" t="s">
        <v>4307</v>
      </c>
      <c r="O1063" s="11"/>
      <c r="P1063" s="11"/>
      <c r="Q1063" s="11">
        <v>5</v>
      </c>
      <c r="R1063" s="11">
        <v>5</v>
      </c>
      <c r="S1063" s="11" t="s">
        <v>4308</v>
      </c>
    </row>
    <row r="1064" spans="1:19" hidden="1" x14ac:dyDescent="0.15">
      <c r="A1064" s="34">
        <v>1063</v>
      </c>
      <c r="B1064" s="35" t="s">
        <v>4881</v>
      </c>
      <c r="C1064" s="36" t="s">
        <v>4236</v>
      </c>
      <c r="D1064" s="11" t="s">
        <v>1518</v>
      </c>
      <c r="E1064" s="11" t="s">
        <v>1431</v>
      </c>
      <c r="F1064" s="11">
        <v>5</v>
      </c>
      <c r="G1064" s="11" t="s">
        <v>389</v>
      </c>
      <c r="H1064" s="11" t="s">
        <v>388</v>
      </c>
      <c r="I1064" s="11" t="s">
        <v>1453</v>
      </c>
      <c r="J1064" s="11"/>
      <c r="K1064" s="11"/>
      <c r="L1064" s="11"/>
      <c r="M1064" s="11" t="s">
        <v>4309</v>
      </c>
      <c r="N1064" s="11"/>
      <c r="O1064" s="11"/>
      <c r="P1064" s="11"/>
      <c r="Q1064" s="11"/>
      <c r="R1064" s="11"/>
      <c r="S1064" s="11" t="s">
        <v>4309</v>
      </c>
    </row>
    <row r="1065" spans="1:19" hidden="1" x14ac:dyDescent="0.15">
      <c r="A1065" s="34">
        <v>1064</v>
      </c>
      <c r="B1065" s="35" t="s">
        <v>4881</v>
      </c>
      <c r="C1065" s="36" t="s">
        <v>4236</v>
      </c>
      <c r="D1065" s="11" t="s">
        <v>1467</v>
      </c>
      <c r="E1065" s="11" t="s">
        <v>1451</v>
      </c>
      <c r="F1065" s="11">
        <v>6</v>
      </c>
      <c r="G1065" s="11" t="s">
        <v>387</v>
      </c>
      <c r="H1065" s="11" t="s">
        <v>386</v>
      </c>
      <c r="I1065" s="11" t="s">
        <v>339</v>
      </c>
      <c r="J1065" s="11" t="s">
        <v>1489</v>
      </c>
      <c r="K1065" s="11" t="s">
        <v>1641</v>
      </c>
      <c r="L1065" s="11"/>
      <c r="M1065" s="11" t="s">
        <v>4000</v>
      </c>
      <c r="N1065" s="11"/>
      <c r="O1065" s="11"/>
      <c r="P1065" s="11"/>
      <c r="Q1065" s="11">
        <v>2</v>
      </c>
      <c r="R1065" s="11">
        <v>2</v>
      </c>
      <c r="S1065" s="11" t="s">
        <v>4000</v>
      </c>
    </row>
    <row r="1066" spans="1:19" hidden="1" x14ac:dyDescent="0.15">
      <c r="A1066" s="34">
        <v>1065</v>
      </c>
      <c r="B1066" s="35" t="s">
        <v>4881</v>
      </c>
      <c r="C1066" s="36" t="s">
        <v>4236</v>
      </c>
      <c r="D1066" s="11" t="s">
        <v>1482</v>
      </c>
      <c r="E1066" s="11" t="s">
        <v>1451</v>
      </c>
      <c r="F1066" s="11">
        <v>9</v>
      </c>
      <c r="G1066" s="11" t="s">
        <v>385</v>
      </c>
      <c r="H1066" s="11" t="s">
        <v>384</v>
      </c>
      <c r="I1066" s="11" t="s">
        <v>339</v>
      </c>
      <c r="J1066" s="11" t="s">
        <v>2717</v>
      </c>
      <c r="K1066" s="11"/>
      <c r="L1066" s="11"/>
      <c r="M1066" s="11" t="s">
        <v>4310</v>
      </c>
      <c r="N1066" s="11"/>
      <c r="O1066" s="11"/>
      <c r="P1066" s="11"/>
      <c r="Q1066" s="11">
        <v>4</v>
      </c>
      <c r="R1066" s="11">
        <v>4</v>
      </c>
      <c r="S1066" s="11" t="s">
        <v>4310</v>
      </c>
    </row>
    <row r="1067" spans="1:19" hidden="1" x14ac:dyDescent="0.15">
      <c r="A1067" s="34">
        <v>1066</v>
      </c>
      <c r="B1067" s="35" t="s">
        <v>4881</v>
      </c>
      <c r="C1067" s="36" t="s">
        <v>4236</v>
      </c>
      <c r="D1067" s="11" t="s">
        <v>1772</v>
      </c>
      <c r="E1067" s="11" t="s">
        <v>1451</v>
      </c>
      <c r="F1067" s="11">
        <v>11</v>
      </c>
      <c r="G1067" s="11" t="s">
        <v>383</v>
      </c>
      <c r="H1067" s="11" t="s">
        <v>382</v>
      </c>
      <c r="I1067" s="11" t="s">
        <v>339</v>
      </c>
      <c r="J1067" s="11" t="s">
        <v>1489</v>
      </c>
      <c r="K1067" s="11" t="s">
        <v>2938</v>
      </c>
      <c r="L1067" s="11"/>
      <c r="M1067" s="11" t="s">
        <v>4311</v>
      </c>
      <c r="N1067" s="11"/>
      <c r="O1067" s="11"/>
      <c r="P1067" s="11"/>
      <c r="Q1067" s="11">
        <v>4</v>
      </c>
      <c r="R1067" s="11">
        <v>3</v>
      </c>
      <c r="S1067" s="11" t="s">
        <v>4311</v>
      </c>
    </row>
    <row r="1068" spans="1:19" hidden="1" x14ac:dyDescent="0.15">
      <c r="A1068" s="34">
        <v>1067</v>
      </c>
      <c r="B1068" s="35" t="s">
        <v>4881</v>
      </c>
      <c r="C1068" s="36" t="s">
        <v>4236</v>
      </c>
      <c r="D1068" s="11" t="s">
        <v>1802</v>
      </c>
      <c r="E1068" s="11" t="s">
        <v>1441</v>
      </c>
      <c r="F1068" s="11">
        <v>10</v>
      </c>
      <c r="G1068" s="11" t="s">
        <v>381</v>
      </c>
      <c r="H1068" s="11" t="s">
        <v>380</v>
      </c>
      <c r="I1068" s="11" t="s">
        <v>288</v>
      </c>
      <c r="J1068" s="11"/>
      <c r="K1068" s="11"/>
      <c r="L1068" s="11"/>
      <c r="M1068" s="11" t="s">
        <v>4312</v>
      </c>
      <c r="N1068" s="11" t="s">
        <v>4313</v>
      </c>
      <c r="O1068" s="11"/>
      <c r="P1068" s="11">
        <v>3</v>
      </c>
      <c r="Q1068" s="11"/>
      <c r="R1068" s="11"/>
      <c r="S1068" s="11" t="s">
        <v>4874</v>
      </c>
    </row>
    <row r="1069" spans="1:19" hidden="1" x14ac:dyDescent="0.15">
      <c r="A1069" s="34">
        <v>1068</v>
      </c>
      <c r="B1069" s="35" t="s">
        <v>4881</v>
      </c>
      <c r="C1069" s="36" t="s">
        <v>4236</v>
      </c>
      <c r="D1069" s="11" t="s">
        <v>292</v>
      </c>
      <c r="E1069" s="11" t="s">
        <v>1451</v>
      </c>
      <c r="F1069" s="11">
        <v>10</v>
      </c>
      <c r="G1069" s="11" t="s">
        <v>379</v>
      </c>
      <c r="H1069" s="11" t="s">
        <v>378</v>
      </c>
      <c r="I1069" s="11" t="s">
        <v>339</v>
      </c>
      <c r="J1069" s="11" t="s">
        <v>4174</v>
      </c>
      <c r="K1069" s="11"/>
      <c r="L1069" s="11"/>
      <c r="M1069" s="11" t="s">
        <v>4190</v>
      </c>
      <c r="N1069" s="11"/>
      <c r="O1069" s="11"/>
      <c r="P1069" s="11"/>
      <c r="Q1069" s="11">
        <v>5</v>
      </c>
      <c r="R1069" s="11">
        <v>5</v>
      </c>
      <c r="S1069" s="11" t="s">
        <v>4190</v>
      </c>
    </row>
    <row r="1070" spans="1:19" hidden="1" x14ac:dyDescent="0.15">
      <c r="A1070" s="34">
        <v>1069</v>
      </c>
      <c r="B1070" s="35" t="s">
        <v>4881</v>
      </c>
      <c r="C1070" s="36" t="s">
        <v>4236</v>
      </c>
      <c r="D1070" s="11" t="s">
        <v>292</v>
      </c>
      <c r="E1070" s="11" t="s">
        <v>1451</v>
      </c>
      <c r="F1070" s="11">
        <v>9</v>
      </c>
      <c r="G1070" s="11" t="s">
        <v>377</v>
      </c>
      <c r="H1070" s="11" t="s">
        <v>376</v>
      </c>
      <c r="I1070" s="11" t="s">
        <v>339</v>
      </c>
      <c r="J1070" s="11" t="s">
        <v>352</v>
      </c>
      <c r="K1070" s="11"/>
      <c r="L1070" s="11"/>
      <c r="M1070" s="11" t="s">
        <v>4314</v>
      </c>
      <c r="N1070" s="11"/>
      <c r="O1070" s="11"/>
      <c r="P1070" s="11"/>
      <c r="Q1070" s="11">
        <v>2</v>
      </c>
      <c r="R1070" s="11">
        <v>2</v>
      </c>
      <c r="S1070" s="11" t="s">
        <v>4314</v>
      </c>
    </row>
    <row r="1071" spans="1:19" hidden="1" x14ac:dyDescent="0.15">
      <c r="A1071" s="34">
        <v>1070</v>
      </c>
      <c r="B1071" s="35" t="s">
        <v>4881</v>
      </c>
      <c r="C1071" s="36" t="s">
        <v>4236</v>
      </c>
      <c r="D1071" s="11" t="s">
        <v>292</v>
      </c>
      <c r="E1071" s="11" t="s">
        <v>1451</v>
      </c>
      <c r="F1071" s="11">
        <v>12</v>
      </c>
      <c r="G1071" s="11" t="s">
        <v>375</v>
      </c>
      <c r="H1071" s="11" t="s">
        <v>374</v>
      </c>
      <c r="I1071" s="11" t="s">
        <v>339</v>
      </c>
      <c r="J1071" s="11" t="s">
        <v>352</v>
      </c>
      <c r="K1071" s="11"/>
      <c r="L1071" s="11"/>
      <c r="M1071" s="11" t="s">
        <v>4315</v>
      </c>
      <c r="N1071" s="11"/>
      <c r="O1071" s="11"/>
      <c r="P1071" s="11"/>
      <c r="Q1071" s="11">
        <v>4</v>
      </c>
      <c r="R1071" s="11">
        <v>4</v>
      </c>
      <c r="S1071" s="11" t="s">
        <v>4315</v>
      </c>
    </row>
    <row r="1072" spans="1:19" hidden="1" x14ac:dyDescent="0.15">
      <c r="A1072" s="34">
        <v>1071</v>
      </c>
      <c r="B1072" s="35" t="s">
        <v>4881</v>
      </c>
      <c r="C1072" s="36" t="s">
        <v>4236</v>
      </c>
      <c r="D1072" s="11" t="s">
        <v>292</v>
      </c>
      <c r="E1072" s="11" t="s">
        <v>1451</v>
      </c>
      <c r="F1072" s="11">
        <v>18</v>
      </c>
      <c r="G1072" s="11" t="s">
        <v>373</v>
      </c>
      <c r="H1072" s="11" t="s">
        <v>372</v>
      </c>
      <c r="I1072" s="11" t="s">
        <v>339</v>
      </c>
      <c r="J1072" s="11" t="s">
        <v>4174</v>
      </c>
      <c r="K1072" s="11"/>
      <c r="L1072" s="11"/>
      <c r="M1072" s="11" t="s">
        <v>1707</v>
      </c>
      <c r="N1072" s="11" t="s">
        <v>4316</v>
      </c>
      <c r="O1072" s="11" t="s">
        <v>4190</v>
      </c>
      <c r="P1072" s="11"/>
      <c r="Q1072" s="11">
        <v>4</v>
      </c>
      <c r="R1072" s="11">
        <v>4</v>
      </c>
      <c r="S1072" s="11" t="s">
        <v>4317</v>
      </c>
    </row>
    <row r="1073" spans="1:19" hidden="1" x14ac:dyDescent="0.15">
      <c r="A1073" s="34">
        <v>1072</v>
      </c>
      <c r="B1073" s="35" t="s">
        <v>4881</v>
      </c>
      <c r="C1073" s="36" t="s">
        <v>4236</v>
      </c>
      <c r="D1073" s="11" t="s">
        <v>292</v>
      </c>
      <c r="E1073" s="11" t="s">
        <v>1441</v>
      </c>
      <c r="F1073" s="11">
        <v>11</v>
      </c>
      <c r="G1073" s="11" t="s">
        <v>371</v>
      </c>
      <c r="H1073" s="11" t="s">
        <v>370</v>
      </c>
      <c r="I1073" s="11" t="s">
        <v>339</v>
      </c>
      <c r="J1073" s="11" t="s">
        <v>4174</v>
      </c>
      <c r="K1073" s="11"/>
      <c r="L1073" s="11"/>
      <c r="M1073" s="11" t="s">
        <v>351</v>
      </c>
      <c r="N1073" s="11" t="s">
        <v>3940</v>
      </c>
      <c r="O1073" s="11" t="s">
        <v>4318</v>
      </c>
      <c r="P1073" s="11"/>
      <c r="Q1073" s="11">
        <v>6</v>
      </c>
      <c r="R1073" s="11">
        <v>6</v>
      </c>
      <c r="S1073" s="11" t="s">
        <v>4319</v>
      </c>
    </row>
    <row r="1074" spans="1:19" hidden="1" x14ac:dyDescent="0.15">
      <c r="A1074" s="34">
        <v>1073</v>
      </c>
      <c r="B1074" s="35" t="s">
        <v>4881</v>
      </c>
      <c r="C1074" s="36" t="s">
        <v>4236</v>
      </c>
      <c r="D1074" s="11" t="s">
        <v>292</v>
      </c>
      <c r="E1074" s="11" t="s">
        <v>1441</v>
      </c>
      <c r="F1074" s="11">
        <v>18</v>
      </c>
      <c r="G1074" s="11" t="s">
        <v>369</v>
      </c>
      <c r="H1074" s="11" t="s">
        <v>368</v>
      </c>
      <c r="I1074" s="11" t="s">
        <v>339</v>
      </c>
      <c r="J1074" s="11" t="s">
        <v>4174</v>
      </c>
      <c r="K1074" s="11"/>
      <c r="L1074" s="11"/>
      <c r="M1074" s="11" t="s">
        <v>1944</v>
      </c>
      <c r="N1074" s="11" t="s">
        <v>4320</v>
      </c>
      <c r="O1074" s="11" t="s">
        <v>4218</v>
      </c>
      <c r="P1074" s="11"/>
      <c r="Q1074" s="11">
        <v>6</v>
      </c>
      <c r="R1074" s="11">
        <v>6</v>
      </c>
      <c r="S1074" s="11" t="s">
        <v>4321</v>
      </c>
    </row>
    <row r="1075" spans="1:19" hidden="1" x14ac:dyDescent="0.15">
      <c r="A1075" s="34">
        <v>1074</v>
      </c>
      <c r="B1075" s="35" t="s">
        <v>4881</v>
      </c>
      <c r="C1075" s="36" t="s">
        <v>4236</v>
      </c>
      <c r="D1075" s="11" t="s">
        <v>292</v>
      </c>
      <c r="E1075" s="11" t="s">
        <v>1441</v>
      </c>
      <c r="F1075" s="11">
        <v>17</v>
      </c>
      <c r="G1075" s="11" t="s">
        <v>367</v>
      </c>
      <c r="H1075" s="11" t="s">
        <v>366</v>
      </c>
      <c r="I1075" s="11" t="s">
        <v>339</v>
      </c>
      <c r="J1075" s="11" t="s">
        <v>352</v>
      </c>
      <c r="K1075" s="11"/>
      <c r="L1075" s="11"/>
      <c r="M1075" s="11" t="s">
        <v>3949</v>
      </c>
      <c r="N1075" s="11" t="s">
        <v>4322</v>
      </c>
      <c r="O1075" s="11"/>
      <c r="P1075" s="11"/>
      <c r="Q1075" s="11">
        <v>5</v>
      </c>
      <c r="R1075" s="11">
        <v>5</v>
      </c>
      <c r="S1075" s="11" t="s">
        <v>4323</v>
      </c>
    </row>
    <row r="1076" spans="1:19" hidden="1" x14ac:dyDescent="0.15">
      <c r="A1076" s="34">
        <v>1075</v>
      </c>
      <c r="B1076" s="35" t="s">
        <v>4881</v>
      </c>
      <c r="C1076" s="36" t="s">
        <v>4236</v>
      </c>
      <c r="D1076" s="11" t="s">
        <v>292</v>
      </c>
      <c r="E1076" s="11" t="s">
        <v>1431</v>
      </c>
      <c r="F1076" s="11">
        <v>25</v>
      </c>
      <c r="G1076" s="11" t="s">
        <v>365</v>
      </c>
      <c r="H1076" s="11" t="s">
        <v>364</v>
      </c>
      <c r="I1076" s="11" t="s">
        <v>339</v>
      </c>
      <c r="J1076" s="11" t="s">
        <v>4174</v>
      </c>
      <c r="K1076" s="11"/>
      <c r="L1076" s="11"/>
      <c r="M1076" s="11" t="s">
        <v>2406</v>
      </c>
      <c r="N1076" s="11" t="s">
        <v>4324</v>
      </c>
      <c r="O1076" s="11" t="s">
        <v>4325</v>
      </c>
      <c r="P1076" s="11"/>
      <c r="Q1076" s="11">
        <v>12</v>
      </c>
      <c r="R1076" s="11">
        <v>12</v>
      </c>
      <c r="S1076" s="11" t="s">
        <v>4326</v>
      </c>
    </row>
    <row r="1077" spans="1:19" hidden="1" x14ac:dyDescent="0.15">
      <c r="A1077" s="34">
        <v>1076</v>
      </c>
      <c r="B1077" s="35" t="s">
        <v>4881</v>
      </c>
      <c r="C1077" s="36" t="s">
        <v>4236</v>
      </c>
      <c r="D1077" s="11" t="s">
        <v>292</v>
      </c>
      <c r="E1077" s="11" t="s">
        <v>1431</v>
      </c>
      <c r="F1077" s="11">
        <v>6</v>
      </c>
      <c r="G1077" s="11" t="s">
        <v>363</v>
      </c>
      <c r="H1077" s="11" t="s">
        <v>362</v>
      </c>
      <c r="I1077" s="11" t="s">
        <v>288</v>
      </c>
      <c r="J1077" s="11"/>
      <c r="K1077" s="11"/>
      <c r="L1077" s="11"/>
      <c r="M1077" s="11" t="s">
        <v>4327</v>
      </c>
      <c r="N1077" s="11" t="s">
        <v>4328</v>
      </c>
      <c r="O1077" s="11"/>
      <c r="P1077" s="11">
        <v>3</v>
      </c>
      <c r="Q1077" s="11"/>
      <c r="R1077" s="11"/>
      <c r="S1077" s="11" t="s">
        <v>4329</v>
      </c>
    </row>
    <row r="1078" spans="1:19" hidden="1" x14ac:dyDescent="0.15">
      <c r="A1078" s="34">
        <v>1077</v>
      </c>
      <c r="B1078" s="35" t="s">
        <v>4881</v>
      </c>
      <c r="C1078" s="36" t="s">
        <v>4236</v>
      </c>
      <c r="D1078" s="11" t="s">
        <v>292</v>
      </c>
      <c r="E1078" s="11" t="s">
        <v>1431</v>
      </c>
      <c r="F1078" s="11">
        <v>11</v>
      </c>
      <c r="G1078" s="11" t="s">
        <v>361</v>
      </c>
      <c r="H1078" s="11" t="s">
        <v>360</v>
      </c>
      <c r="I1078" s="11" t="s">
        <v>288</v>
      </c>
      <c r="J1078" s="11"/>
      <c r="K1078" s="11"/>
      <c r="L1078" s="11"/>
      <c r="M1078" s="11" t="s">
        <v>4330</v>
      </c>
      <c r="N1078" s="11"/>
      <c r="O1078" s="11"/>
      <c r="P1078" s="11">
        <v>3</v>
      </c>
      <c r="Q1078" s="11"/>
      <c r="R1078" s="11"/>
      <c r="S1078" s="11" t="s">
        <v>4330</v>
      </c>
    </row>
    <row r="1079" spans="1:19" hidden="1" x14ac:dyDescent="0.15">
      <c r="A1079" s="34">
        <v>1078</v>
      </c>
      <c r="B1079" s="35" t="s">
        <v>4881</v>
      </c>
      <c r="C1079" s="36" t="s">
        <v>6578</v>
      </c>
      <c r="D1079" s="11" t="s">
        <v>1606</v>
      </c>
      <c r="E1079" s="11" t="s">
        <v>1431</v>
      </c>
      <c r="F1079" s="11">
        <v>15</v>
      </c>
      <c r="G1079" s="11" t="s">
        <v>4332</v>
      </c>
      <c r="H1079" s="11" t="s">
        <v>4333</v>
      </c>
      <c r="I1079" s="11" t="s">
        <v>288</v>
      </c>
      <c r="J1079" s="11"/>
      <c r="K1079" s="11"/>
      <c r="L1079" s="11"/>
      <c r="M1079" s="11" t="s">
        <v>4334</v>
      </c>
      <c r="N1079" s="11"/>
      <c r="O1079" s="11"/>
      <c r="P1079" s="11">
        <v>3</v>
      </c>
      <c r="Q1079" s="11"/>
      <c r="R1079" s="11"/>
      <c r="S1079" s="11" t="s">
        <v>4334</v>
      </c>
    </row>
    <row r="1080" spans="1:19" hidden="1" x14ac:dyDescent="0.15">
      <c r="A1080" s="34">
        <v>1079</v>
      </c>
      <c r="B1080" s="35" t="s">
        <v>4881</v>
      </c>
      <c r="C1080" s="36" t="s">
        <v>6578</v>
      </c>
      <c r="D1080" s="11" t="s">
        <v>1552</v>
      </c>
      <c r="E1080" s="11" t="s">
        <v>1441</v>
      </c>
      <c r="F1080" s="11">
        <v>12</v>
      </c>
      <c r="G1080" s="11" t="s">
        <v>4335</v>
      </c>
      <c r="H1080" s="11" t="s">
        <v>4336</v>
      </c>
      <c r="I1080" s="11" t="s">
        <v>339</v>
      </c>
      <c r="J1080" s="11" t="s">
        <v>2049</v>
      </c>
      <c r="K1080" s="11"/>
      <c r="L1080" s="11"/>
      <c r="M1080" s="11" t="s">
        <v>4337</v>
      </c>
      <c r="N1080" s="11"/>
      <c r="O1080" s="11"/>
      <c r="P1080" s="11"/>
      <c r="Q1080" s="11">
        <v>6</v>
      </c>
      <c r="R1080" s="11">
        <v>5</v>
      </c>
      <c r="S1080" s="11" t="s">
        <v>4337</v>
      </c>
    </row>
    <row r="1081" spans="1:19" hidden="1" x14ac:dyDescent="0.15">
      <c r="A1081" s="34">
        <v>1080</v>
      </c>
      <c r="B1081" s="35" t="s">
        <v>4881</v>
      </c>
      <c r="C1081" s="36" t="s">
        <v>6578</v>
      </c>
      <c r="D1081" s="11" t="s">
        <v>1518</v>
      </c>
      <c r="E1081" s="11" t="s">
        <v>1441</v>
      </c>
      <c r="F1081" s="11">
        <v>9</v>
      </c>
      <c r="G1081" s="11" t="s">
        <v>4338</v>
      </c>
      <c r="H1081" s="11" t="s">
        <v>4339</v>
      </c>
      <c r="I1081" s="11" t="s">
        <v>339</v>
      </c>
      <c r="J1081" s="11" t="s">
        <v>338</v>
      </c>
      <c r="K1081" s="11"/>
      <c r="L1081" s="11"/>
      <c r="M1081" s="11"/>
      <c r="N1081" s="11"/>
      <c r="O1081" s="11"/>
      <c r="P1081" s="11"/>
      <c r="Q1081" s="11">
        <v>6</v>
      </c>
      <c r="R1081" s="11">
        <v>6</v>
      </c>
      <c r="S1081" s="11"/>
    </row>
    <row r="1082" spans="1:19" hidden="1" x14ac:dyDescent="0.15">
      <c r="A1082" s="34">
        <v>1081</v>
      </c>
      <c r="B1082" s="35" t="s">
        <v>4881</v>
      </c>
      <c r="C1082" s="36" t="s">
        <v>6578</v>
      </c>
      <c r="D1082" s="11" t="s">
        <v>292</v>
      </c>
      <c r="E1082" s="11" t="s">
        <v>1441</v>
      </c>
      <c r="F1082" s="11">
        <v>6</v>
      </c>
      <c r="G1082" s="11" t="s">
        <v>4340</v>
      </c>
      <c r="H1082" s="11" t="s">
        <v>4341</v>
      </c>
      <c r="I1082" s="11" t="s">
        <v>288</v>
      </c>
      <c r="J1082" s="11"/>
      <c r="K1082" s="11"/>
      <c r="L1082" s="11"/>
      <c r="M1082" s="11" t="s">
        <v>4342</v>
      </c>
      <c r="N1082" s="11"/>
      <c r="O1082" s="11"/>
      <c r="P1082" s="11">
        <v>3</v>
      </c>
      <c r="Q1082" s="11"/>
      <c r="R1082" s="11"/>
      <c r="S1082" s="11" t="s">
        <v>4342</v>
      </c>
    </row>
    <row r="1083" spans="1:19" hidden="1" x14ac:dyDescent="0.15">
      <c r="A1083" s="34">
        <v>1082</v>
      </c>
      <c r="B1083" s="35" t="s">
        <v>4881</v>
      </c>
      <c r="C1083" s="36" t="s">
        <v>6296</v>
      </c>
      <c r="D1083" s="11" t="s">
        <v>292</v>
      </c>
      <c r="E1083" s="11" t="s">
        <v>3161</v>
      </c>
      <c r="F1083" s="11">
        <v>13</v>
      </c>
      <c r="G1083" s="11" t="s">
        <v>359</v>
      </c>
      <c r="H1083" s="11" t="s">
        <v>358</v>
      </c>
      <c r="I1083" s="11" t="s">
        <v>339</v>
      </c>
      <c r="J1083" s="11" t="s">
        <v>357</v>
      </c>
      <c r="K1083" s="11"/>
      <c r="L1083" s="11"/>
      <c r="M1083" s="11" t="s">
        <v>356</v>
      </c>
      <c r="N1083" s="11"/>
      <c r="O1083" s="11"/>
      <c r="P1083" s="11"/>
      <c r="Q1083" s="11">
        <v>8</v>
      </c>
      <c r="R1083" s="11">
        <v>8</v>
      </c>
      <c r="S1083" s="11" t="s">
        <v>356</v>
      </c>
    </row>
    <row r="1084" spans="1:19" hidden="1" x14ac:dyDescent="0.15">
      <c r="A1084" s="34">
        <v>1083</v>
      </c>
      <c r="B1084" s="35" t="s">
        <v>4881</v>
      </c>
      <c r="C1084" s="36" t="s">
        <v>6295</v>
      </c>
      <c r="D1084" s="11" t="s">
        <v>292</v>
      </c>
      <c r="E1084" s="11" t="s">
        <v>3161</v>
      </c>
      <c r="F1084" s="11">
        <v>4</v>
      </c>
      <c r="G1084" s="11" t="s">
        <v>355</v>
      </c>
      <c r="H1084" s="11" t="s">
        <v>354</v>
      </c>
      <c r="I1084" s="11" t="s">
        <v>339</v>
      </c>
      <c r="J1084" s="11" t="s">
        <v>353</v>
      </c>
      <c r="K1084" s="11" t="s">
        <v>352</v>
      </c>
      <c r="L1084" s="11"/>
      <c r="M1084" s="11" t="s">
        <v>351</v>
      </c>
      <c r="N1084" s="11"/>
      <c r="O1084" s="11"/>
      <c r="P1084" s="11"/>
      <c r="Q1084" s="11">
        <v>4</v>
      </c>
      <c r="R1084" s="11">
        <v>4</v>
      </c>
      <c r="S1084" s="11" t="s">
        <v>351</v>
      </c>
    </row>
    <row r="1085" spans="1:19" hidden="1" x14ac:dyDescent="0.15">
      <c r="A1085" s="34">
        <v>1084</v>
      </c>
      <c r="B1085" s="35" t="s">
        <v>4881</v>
      </c>
      <c r="C1085" s="36" t="s">
        <v>6295</v>
      </c>
      <c r="D1085" s="11" t="s">
        <v>292</v>
      </c>
      <c r="E1085" s="11" t="s">
        <v>3161</v>
      </c>
      <c r="F1085" s="11">
        <v>13</v>
      </c>
      <c r="G1085" s="11" t="s">
        <v>350</v>
      </c>
      <c r="H1085" s="11" t="s">
        <v>349</v>
      </c>
      <c r="I1085" s="11" t="s">
        <v>339</v>
      </c>
      <c r="J1085" s="11" t="s">
        <v>348</v>
      </c>
      <c r="K1085" s="11"/>
      <c r="L1085" s="11"/>
      <c r="M1085" s="11" t="s">
        <v>351</v>
      </c>
      <c r="N1085" s="11" t="s">
        <v>347</v>
      </c>
      <c r="O1085" s="11" t="s">
        <v>346</v>
      </c>
      <c r="P1085" s="11"/>
      <c r="Q1085" s="11">
        <v>4</v>
      </c>
      <c r="R1085" s="11">
        <v>4</v>
      </c>
      <c r="S1085" s="11" t="s">
        <v>4344</v>
      </c>
    </row>
    <row r="1086" spans="1:19" hidden="1" x14ac:dyDescent="0.15">
      <c r="A1086" s="34">
        <v>1085</v>
      </c>
      <c r="B1086" s="35" t="s">
        <v>4881</v>
      </c>
      <c r="C1086" s="36" t="s">
        <v>6295</v>
      </c>
      <c r="D1086" s="11" t="s">
        <v>292</v>
      </c>
      <c r="E1086" s="11" t="s">
        <v>3161</v>
      </c>
      <c r="F1086" s="11">
        <v>23</v>
      </c>
      <c r="G1086" s="11" t="s">
        <v>345</v>
      </c>
      <c r="H1086" s="11" t="s">
        <v>344</v>
      </c>
      <c r="I1086" s="11" t="s">
        <v>339</v>
      </c>
      <c r="J1086" s="11" t="s">
        <v>343</v>
      </c>
      <c r="K1086" s="11"/>
      <c r="L1086" s="11"/>
      <c r="M1086" s="11" t="s">
        <v>342</v>
      </c>
      <c r="N1086" s="11"/>
      <c r="O1086" s="11"/>
      <c r="P1086" s="11"/>
      <c r="Q1086" s="11">
        <v>7</v>
      </c>
      <c r="R1086" s="11">
        <v>10</v>
      </c>
      <c r="S1086" s="11" t="s">
        <v>342</v>
      </c>
    </row>
    <row r="1087" spans="1:19" hidden="1" x14ac:dyDescent="0.15">
      <c r="A1087" s="34">
        <v>1086</v>
      </c>
      <c r="B1087" s="35" t="s">
        <v>4881</v>
      </c>
      <c r="C1087" s="36" t="s">
        <v>6295</v>
      </c>
      <c r="D1087" s="11" t="s">
        <v>292</v>
      </c>
      <c r="E1087" s="11" t="s">
        <v>3161</v>
      </c>
      <c r="F1087" s="11">
        <v>16</v>
      </c>
      <c r="G1087" s="11" t="s">
        <v>341</v>
      </c>
      <c r="H1087" s="11" t="s">
        <v>340</v>
      </c>
      <c r="I1087" s="11" t="s">
        <v>339</v>
      </c>
      <c r="J1087" s="11" t="s">
        <v>338</v>
      </c>
      <c r="K1087" s="11"/>
      <c r="L1087" s="11"/>
      <c r="M1087" s="11" t="s">
        <v>4263</v>
      </c>
      <c r="N1087" s="11" t="s">
        <v>337</v>
      </c>
      <c r="O1087" s="11" t="s">
        <v>4345</v>
      </c>
      <c r="P1087" s="11"/>
      <c r="Q1087" s="11">
        <v>8</v>
      </c>
      <c r="R1087" s="11">
        <v>8</v>
      </c>
      <c r="S1087" s="11" t="s">
        <v>4346</v>
      </c>
    </row>
    <row r="1088" spans="1:19" hidden="1" x14ac:dyDescent="0.15">
      <c r="A1088" s="34">
        <v>1087</v>
      </c>
      <c r="B1088" s="35" t="s">
        <v>4881</v>
      </c>
      <c r="C1088" s="36" t="s">
        <v>6295</v>
      </c>
      <c r="D1088" s="11" t="s">
        <v>292</v>
      </c>
      <c r="E1088" s="11" t="s">
        <v>3161</v>
      </c>
      <c r="F1088" s="11">
        <v>15</v>
      </c>
      <c r="G1088" s="11" t="s">
        <v>336</v>
      </c>
      <c r="H1088" s="11" t="s">
        <v>335</v>
      </c>
      <c r="I1088" s="11" t="s">
        <v>288</v>
      </c>
      <c r="J1088" s="11"/>
      <c r="K1088" s="11"/>
      <c r="L1088" s="11"/>
      <c r="M1088" s="11" t="s">
        <v>334</v>
      </c>
      <c r="N1088" s="11"/>
      <c r="O1088" s="11"/>
      <c r="P1088" s="11">
        <v>3</v>
      </c>
      <c r="Q1088" s="11"/>
      <c r="R1088" s="11"/>
      <c r="S1088" s="11" t="s">
        <v>334</v>
      </c>
    </row>
    <row r="1089" spans="1:19" hidden="1" x14ac:dyDescent="0.15">
      <c r="A1089" s="34">
        <v>1088</v>
      </c>
      <c r="B1089" s="35" t="s">
        <v>4881</v>
      </c>
      <c r="C1089" s="36" t="s">
        <v>6295</v>
      </c>
      <c r="D1089" s="11" t="s">
        <v>292</v>
      </c>
      <c r="E1089" s="11" t="s">
        <v>3161</v>
      </c>
      <c r="F1089" s="11">
        <v>5</v>
      </c>
      <c r="G1089" s="11" t="s">
        <v>333</v>
      </c>
      <c r="H1089" s="11" t="s">
        <v>332</v>
      </c>
      <c r="I1089" s="11" t="s">
        <v>288</v>
      </c>
      <c r="J1089" s="11"/>
      <c r="K1089" s="11"/>
      <c r="L1089" s="11"/>
      <c r="M1089" s="11" t="s">
        <v>331</v>
      </c>
      <c r="N1089" s="11" t="s">
        <v>330</v>
      </c>
      <c r="O1089" s="11"/>
      <c r="P1089" s="11">
        <v>2</v>
      </c>
      <c r="Q1089" s="11"/>
      <c r="R1089" s="11"/>
      <c r="S1089" s="11" t="s">
        <v>329</v>
      </c>
    </row>
    <row r="1090" spans="1:19" hidden="1" x14ac:dyDescent="0.15">
      <c r="A1090" s="34">
        <v>1089</v>
      </c>
      <c r="B1090" s="35" t="s">
        <v>4881</v>
      </c>
      <c r="C1090" s="36" t="s">
        <v>6295</v>
      </c>
      <c r="D1090" s="11" t="s">
        <v>292</v>
      </c>
      <c r="E1090" s="11" t="s">
        <v>3161</v>
      </c>
      <c r="F1090" s="11">
        <v>9</v>
      </c>
      <c r="G1090" s="11" t="s">
        <v>328</v>
      </c>
      <c r="H1090" s="11" t="s">
        <v>327</v>
      </c>
      <c r="I1090" s="11" t="s">
        <v>288</v>
      </c>
      <c r="J1090" s="11"/>
      <c r="K1090" s="11"/>
      <c r="L1090" s="11"/>
      <c r="M1090" s="11" t="s">
        <v>326</v>
      </c>
      <c r="N1090" s="11"/>
      <c r="O1090" s="11"/>
      <c r="P1090" s="11">
        <v>3</v>
      </c>
      <c r="Q1090" s="11"/>
      <c r="R1090" s="11"/>
      <c r="S1090" s="11" t="s">
        <v>326</v>
      </c>
    </row>
    <row r="1091" spans="1:19" hidden="1" x14ac:dyDescent="0.15">
      <c r="A1091" s="34">
        <v>1090</v>
      </c>
      <c r="B1091" s="35" t="s">
        <v>4881</v>
      </c>
      <c r="C1091" s="36" t="s">
        <v>6295</v>
      </c>
      <c r="D1091" s="11" t="s">
        <v>292</v>
      </c>
      <c r="E1091" s="11" t="s">
        <v>3161</v>
      </c>
      <c r="F1091" s="11">
        <v>10</v>
      </c>
      <c r="G1091" s="11" t="s">
        <v>325</v>
      </c>
      <c r="H1091" s="11" t="s">
        <v>324</v>
      </c>
      <c r="I1091" s="11" t="s">
        <v>288</v>
      </c>
      <c r="J1091" s="11"/>
      <c r="K1091" s="11"/>
      <c r="L1091" s="11"/>
      <c r="M1091" s="11" t="s">
        <v>323</v>
      </c>
      <c r="N1091" s="11"/>
      <c r="O1091" s="11"/>
      <c r="P1091" s="11">
        <v>2</v>
      </c>
      <c r="Q1091" s="11"/>
      <c r="R1091" s="11"/>
      <c r="S1091" s="11" t="s">
        <v>323</v>
      </c>
    </row>
    <row r="1092" spans="1:19" hidden="1" x14ac:dyDescent="0.15">
      <c r="A1092" s="34">
        <v>1091</v>
      </c>
      <c r="B1092" s="35" t="s">
        <v>4881</v>
      </c>
      <c r="C1092" s="36" t="s">
        <v>6295</v>
      </c>
      <c r="D1092" s="11" t="s">
        <v>292</v>
      </c>
      <c r="E1092" s="11" t="s">
        <v>3161</v>
      </c>
      <c r="F1092" s="11">
        <v>6</v>
      </c>
      <c r="G1092" s="11" t="s">
        <v>322</v>
      </c>
      <c r="H1092" s="11" t="s">
        <v>321</v>
      </c>
      <c r="I1092" s="11" t="s">
        <v>288</v>
      </c>
      <c r="J1092" s="11"/>
      <c r="K1092" s="11"/>
      <c r="L1092" s="11"/>
      <c r="M1092" s="11" t="s">
        <v>320</v>
      </c>
      <c r="N1092" s="11" t="s">
        <v>319</v>
      </c>
      <c r="O1092" s="11"/>
      <c r="P1092" s="11">
        <v>2</v>
      </c>
      <c r="Q1092" s="11"/>
      <c r="R1092" s="11"/>
      <c r="S1092" s="11" t="s">
        <v>318</v>
      </c>
    </row>
    <row r="1093" spans="1:19" hidden="1" x14ac:dyDescent="0.15">
      <c r="A1093" s="34">
        <v>1092</v>
      </c>
      <c r="B1093" s="35" t="s">
        <v>4881</v>
      </c>
      <c r="C1093" s="36" t="s">
        <v>6295</v>
      </c>
      <c r="D1093" s="11" t="s">
        <v>292</v>
      </c>
      <c r="E1093" s="11" t="s">
        <v>3161</v>
      </c>
      <c r="F1093" s="11">
        <v>5</v>
      </c>
      <c r="G1093" s="11" t="s">
        <v>317</v>
      </c>
      <c r="H1093" s="11" t="s">
        <v>316</v>
      </c>
      <c r="I1093" s="11" t="s">
        <v>288</v>
      </c>
      <c r="J1093" s="11"/>
      <c r="K1093" s="11"/>
      <c r="L1093" s="11"/>
      <c r="M1093" s="11" t="s">
        <v>315</v>
      </c>
      <c r="N1093" s="11" t="s">
        <v>314</v>
      </c>
      <c r="O1093" s="11"/>
      <c r="P1093" s="11">
        <v>2</v>
      </c>
      <c r="Q1093" s="11"/>
      <c r="R1093" s="11"/>
      <c r="S1093" s="11" t="s">
        <v>313</v>
      </c>
    </row>
    <row r="1094" spans="1:19" hidden="1" x14ac:dyDescent="0.15">
      <c r="A1094" s="34">
        <v>1093</v>
      </c>
      <c r="B1094" s="35" t="s">
        <v>4881</v>
      </c>
      <c r="C1094" s="36" t="s">
        <v>6295</v>
      </c>
      <c r="D1094" s="11" t="s">
        <v>292</v>
      </c>
      <c r="E1094" s="11" t="s">
        <v>3161</v>
      </c>
      <c r="F1094" s="11">
        <v>7</v>
      </c>
      <c r="G1094" s="11" t="s">
        <v>312</v>
      </c>
      <c r="H1094" s="11" t="s">
        <v>311</v>
      </c>
      <c r="I1094" s="11" t="s">
        <v>288</v>
      </c>
      <c r="J1094" s="11"/>
      <c r="K1094" s="11"/>
      <c r="L1094" s="11"/>
      <c r="M1094" s="11" t="s">
        <v>310</v>
      </c>
      <c r="N1094" s="11"/>
      <c r="O1094" s="11"/>
      <c r="P1094" s="11">
        <v>1</v>
      </c>
      <c r="Q1094" s="11"/>
      <c r="R1094" s="11"/>
      <c r="S1094" s="11" t="s">
        <v>310</v>
      </c>
    </row>
    <row r="1095" spans="1:19" hidden="1" x14ac:dyDescent="0.15">
      <c r="A1095" s="34">
        <v>1094</v>
      </c>
      <c r="B1095" s="35" t="s">
        <v>4881</v>
      </c>
      <c r="C1095" s="36" t="s">
        <v>6295</v>
      </c>
      <c r="D1095" s="11" t="s">
        <v>292</v>
      </c>
      <c r="E1095" s="11" t="s">
        <v>3161</v>
      </c>
      <c r="F1095" s="11">
        <v>10</v>
      </c>
      <c r="G1095" s="11" t="s">
        <v>4888</v>
      </c>
      <c r="H1095" s="11" t="s">
        <v>309</v>
      </c>
      <c r="I1095" s="11" t="s">
        <v>288</v>
      </c>
      <c r="J1095" s="11"/>
      <c r="K1095" s="11"/>
      <c r="L1095" s="11"/>
      <c r="M1095" s="11" t="s">
        <v>308</v>
      </c>
      <c r="N1095" s="11"/>
      <c r="O1095" s="11"/>
      <c r="P1095" s="11">
        <v>2</v>
      </c>
      <c r="Q1095" s="11"/>
      <c r="R1095" s="11"/>
      <c r="S1095" s="11" t="s">
        <v>308</v>
      </c>
    </row>
    <row r="1096" spans="1:19" hidden="1" x14ac:dyDescent="0.15">
      <c r="A1096" s="34">
        <v>1095</v>
      </c>
      <c r="B1096" s="35" t="s">
        <v>4881</v>
      </c>
      <c r="C1096" s="36" t="s">
        <v>6295</v>
      </c>
      <c r="D1096" s="11" t="s">
        <v>292</v>
      </c>
      <c r="E1096" s="11" t="s">
        <v>3161</v>
      </c>
      <c r="F1096" s="11">
        <v>10</v>
      </c>
      <c r="G1096" s="11" t="s">
        <v>307</v>
      </c>
      <c r="H1096" s="11" t="s">
        <v>306</v>
      </c>
      <c r="I1096" s="11" t="s">
        <v>288</v>
      </c>
      <c r="J1096" s="11"/>
      <c r="K1096" s="11"/>
      <c r="L1096" s="11"/>
      <c r="M1096" s="11" t="s">
        <v>305</v>
      </c>
      <c r="N1096" s="11"/>
      <c r="O1096" s="11"/>
      <c r="P1096" s="11">
        <v>3</v>
      </c>
      <c r="Q1096" s="11"/>
      <c r="R1096" s="11"/>
      <c r="S1096" s="11" t="s">
        <v>305</v>
      </c>
    </row>
    <row r="1097" spans="1:19" hidden="1" x14ac:dyDescent="0.15">
      <c r="A1097" s="34">
        <v>1096</v>
      </c>
      <c r="B1097" s="35" t="s">
        <v>4881</v>
      </c>
      <c r="C1097" s="36" t="s">
        <v>6295</v>
      </c>
      <c r="D1097" s="11" t="s">
        <v>292</v>
      </c>
      <c r="E1097" s="11" t="s">
        <v>3161</v>
      </c>
      <c r="F1097" s="11">
        <v>11</v>
      </c>
      <c r="G1097" s="11" t="s">
        <v>304</v>
      </c>
      <c r="H1097" s="11" t="s">
        <v>303</v>
      </c>
      <c r="I1097" s="11" t="s">
        <v>288</v>
      </c>
      <c r="J1097" s="11"/>
      <c r="K1097" s="11"/>
      <c r="L1097" s="11"/>
      <c r="M1097" s="11" t="s">
        <v>302</v>
      </c>
      <c r="N1097" s="11"/>
      <c r="O1097" s="11"/>
      <c r="P1097" s="11">
        <v>2</v>
      </c>
      <c r="Q1097" s="11"/>
      <c r="R1097" s="11"/>
      <c r="S1097" s="11" t="s">
        <v>302</v>
      </c>
    </row>
    <row r="1098" spans="1:19" hidden="1" x14ac:dyDescent="0.15">
      <c r="A1098" s="34">
        <v>1097</v>
      </c>
      <c r="B1098" s="35" t="s">
        <v>4881</v>
      </c>
      <c r="C1098" s="36" t="s">
        <v>6295</v>
      </c>
      <c r="D1098" s="11" t="s">
        <v>292</v>
      </c>
      <c r="E1098" s="11" t="s">
        <v>3161</v>
      </c>
      <c r="F1098" s="11">
        <v>15</v>
      </c>
      <c r="G1098" s="11" t="s">
        <v>301</v>
      </c>
      <c r="H1098" s="11" t="s">
        <v>300</v>
      </c>
      <c r="I1098" s="11" t="s">
        <v>288</v>
      </c>
      <c r="J1098" s="11"/>
      <c r="K1098" s="11"/>
      <c r="L1098" s="11"/>
      <c r="M1098" s="11" t="s">
        <v>299</v>
      </c>
      <c r="N1098" s="11"/>
      <c r="O1098" s="11"/>
      <c r="P1098" s="11">
        <v>2</v>
      </c>
      <c r="Q1098" s="11"/>
      <c r="R1098" s="11"/>
      <c r="S1098" s="11" t="s">
        <v>299</v>
      </c>
    </row>
    <row r="1099" spans="1:19" hidden="1" x14ac:dyDescent="0.15">
      <c r="A1099" s="34">
        <v>1098</v>
      </c>
      <c r="B1099" s="35" t="s">
        <v>4881</v>
      </c>
      <c r="C1099" s="36" t="s">
        <v>6295</v>
      </c>
      <c r="D1099" s="11" t="s">
        <v>292</v>
      </c>
      <c r="E1099" s="11" t="s">
        <v>3161</v>
      </c>
      <c r="F1099" s="11">
        <v>13</v>
      </c>
      <c r="G1099" s="11" t="s">
        <v>298</v>
      </c>
      <c r="H1099" s="11" t="s">
        <v>297</v>
      </c>
      <c r="I1099" s="11" t="s">
        <v>288</v>
      </c>
      <c r="J1099" s="11"/>
      <c r="K1099" s="11"/>
      <c r="L1099" s="11"/>
      <c r="M1099" s="11" t="s">
        <v>296</v>
      </c>
      <c r="N1099" s="11"/>
      <c r="O1099" s="11"/>
      <c r="P1099" s="11">
        <v>2</v>
      </c>
      <c r="Q1099" s="11"/>
      <c r="R1099" s="11"/>
      <c r="S1099" s="11" t="s">
        <v>296</v>
      </c>
    </row>
    <row r="1100" spans="1:19" hidden="1" x14ac:dyDescent="0.15">
      <c r="A1100" s="34">
        <v>1099</v>
      </c>
      <c r="B1100" s="35" t="s">
        <v>4881</v>
      </c>
      <c r="C1100" s="36" t="s">
        <v>6295</v>
      </c>
      <c r="D1100" s="11" t="s">
        <v>292</v>
      </c>
      <c r="E1100" s="11" t="s">
        <v>3161</v>
      </c>
      <c r="F1100" s="11">
        <v>16</v>
      </c>
      <c r="G1100" s="11" t="s">
        <v>295</v>
      </c>
      <c r="H1100" s="11" t="s">
        <v>294</v>
      </c>
      <c r="I1100" s="11" t="s">
        <v>288</v>
      </c>
      <c r="J1100" s="11"/>
      <c r="K1100" s="11"/>
      <c r="L1100" s="11"/>
      <c r="M1100" s="11" t="s">
        <v>293</v>
      </c>
      <c r="N1100" s="11"/>
      <c r="O1100" s="11"/>
      <c r="P1100" s="11">
        <v>2</v>
      </c>
      <c r="Q1100" s="11"/>
      <c r="R1100" s="11"/>
      <c r="S1100" s="11" t="s">
        <v>293</v>
      </c>
    </row>
    <row r="1101" spans="1:19" hidden="1" x14ac:dyDescent="0.15">
      <c r="A1101" s="34">
        <v>1100</v>
      </c>
      <c r="B1101" s="35" t="s">
        <v>4881</v>
      </c>
      <c r="C1101" s="36" t="s">
        <v>6295</v>
      </c>
      <c r="D1101" s="11" t="s">
        <v>292</v>
      </c>
      <c r="E1101" s="11" t="s">
        <v>3161</v>
      </c>
      <c r="F1101" s="11">
        <v>17</v>
      </c>
      <c r="G1101" s="11" t="s">
        <v>290</v>
      </c>
      <c r="H1101" s="11" t="s">
        <v>289</v>
      </c>
      <c r="I1101" s="11" t="s">
        <v>288</v>
      </c>
      <c r="J1101" s="11"/>
      <c r="K1101" s="11"/>
      <c r="L1101" s="11"/>
      <c r="M1101" s="11" t="s">
        <v>287</v>
      </c>
      <c r="N1101" s="11"/>
      <c r="O1101" s="11"/>
      <c r="P1101" s="11">
        <v>2</v>
      </c>
      <c r="Q1101" s="11"/>
      <c r="R1101" s="11"/>
      <c r="S1101" s="11" t="s">
        <v>287</v>
      </c>
    </row>
    <row r="1102" spans="1:19" hidden="1" x14ac:dyDescent="0.15">
      <c r="A1102" s="34">
        <v>1101</v>
      </c>
      <c r="B1102" s="35" t="s">
        <v>4881</v>
      </c>
      <c r="C1102" s="36" t="s">
        <v>6295</v>
      </c>
      <c r="D1102" s="11" t="s">
        <v>292</v>
      </c>
      <c r="E1102" s="11" t="s">
        <v>3161</v>
      </c>
      <c r="F1102" s="11">
        <v>15</v>
      </c>
      <c r="G1102" s="11" t="s">
        <v>4347</v>
      </c>
      <c r="H1102" s="11" t="s">
        <v>4348</v>
      </c>
      <c r="I1102" s="11" t="s">
        <v>288</v>
      </c>
      <c r="J1102" s="11"/>
      <c r="K1102" s="11"/>
      <c r="L1102" s="11"/>
      <c r="M1102" s="11" t="s">
        <v>5675</v>
      </c>
      <c r="N1102" s="11"/>
      <c r="O1102" s="11"/>
      <c r="P1102" s="11">
        <v>2</v>
      </c>
      <c r="Q1102" s="11"/>
      <c r="R1102" s="11"/>
      <c r="S1102" s="11" t="s">
        <v>5675</v>
      </c>
    </row>
    <row r="1103" spans="1:19" hidden="1" x14ac:dyDescent="0.15">
      <c r="A1103" s="34">
        <v>1102</v>
      </c>
      <c r="B1103" s="35" t="s">
        <v>4881</v>
      </c>
      <c r="C1103" s="36" t="s">
        <v>4349</v>
      </c>
      <c r="D1103" s="11" t="s">
        <v>1627</v>
      </c>
      <c r="E1103" s="11" t="s">
        <v>1744</v>
      </c>
      <c r="F1103" s="11">
        <v>11</v>
      </c>
      <c r="G1103" s="11" t="s">
        <v>286</v>
      </c>
      <c r="H1103" s="11" t="s">
        <v>285</v>
      </c>
      <c r="I1103" s="11" t="s">
        <v>339</v>
      </c>
      <c r="J1103" s="11" t="s">
        <v>1489</v>
      </c>
      <c r="K1103" s="11" t="s">
        <v>1470</v>
      </c>
      <c r="L1103" s="11"/>
      <c r="M1103" s="11" t="s">
        <v>4350</v>
      </c>
      <c r="N1103" s="11" t="s">
        <v>4351</v>
      </c>
      <c r="O1103" s="11"/>
      <c r="P1103" s="11"/>
      <c r="Q1103" s="11">
        <v>1</v>
      </c>
      <c r="R1103" s="11">
        <v>3</v>
      </c>
      <c r="S1103" s="11" t="s">
        <v>4352</v>
      </c>
    </row>
    <row r="1104" spans="1:19" hidden="1" x14ac:dyDescent="0.15">
      <c r="A1104" s="34">
        <v>1103</v>
      </c>
      <c r="B1104" s="35" t="s">
        <v>4881</v>
      </c>
      <c r="C1104" s="36" t="s">
        <v>4349</v>
      </c>
      <c r="D1104" s="11" t="s">
        <v>1627</v>
      </c>
      <c r="E1104" s="11" t="s">
        <v>1744</v>
      </c>
      <c r="F1104" s="11">
        <v>5</v>
      </c>
      <c r="G1104" s="11" t="s">
        <v>284</v>
      </c>
      <c r="H1104" s="11" t="s">
        <v>283</v>
      </c>
      <c r="I1104" s="11" t="s">
        <v>339</v>
      </c>
      <c r="J1104" s="11" t="s">
        <v>1484</v>
      </c>
      <c r="K1104" s="11"/>
      <c r="L1104" s="11"/>
      <c r="M1104" s="11" t="s">
        <v>4353</v>
      </c>
      <c r="N1104" s="11"/>
      <c r="O1104" s="11"/>
      <c r="P1104" s="11"/>
      <c r="Q1104" s="11">
        <v>2</v>
      </c>
      <c r="R1104" s="11">
        <v>2</v>
      </c>
      <c r="S1104" s="11" t="s">
        <v>4353</v>
      </c>
    </row>
    <row r="1105" spans="1:19" hidden="1" x14ac:dyDescent="0.15">
      <c r="A1105" s="34">
        <v>1104</v>
      </c>
      <c r="B1105" s="35" t="s">
        <v>4881</v>
      </c>
      <c r="C1105" s="36" t="s">
        <v>4349</v>
      </c>
      <c r="D1105" s="11" t="s">
        <v>1627</v>
      </c>
      <c r="E1105" s="11" t="s">
        <v>1744</v>
      </c>
      <c r="F1105" s="11">
        <v>4</v>
      </c>
      <c r="G1105" s="11" t="s">
        <v>282</v>
      </c>
      <c r="H1105" s="11" t="s">
        <v>281</v>
      </c>
      <c r="I1105" s="11" t="s">
        <v>339</v>
      </c>
      <c r="J1105" s="11" t="s">
        <v>1489</v>
      </c>
      <c r="K1105" s="11" t="s">
        <v>1463</v>
      </c>
      <c r="L1105" s="11"/>
      <c r="M1105" s="11" t="s">
        <v>4354</v>
      </c>
      <c r="N1105" s="11"/>
      <c r="O1105" s="11"/>
      <c r="P1105" s="11"/>
      <c r="Q1105" s="11">
        <v>2</v>
      </c>
      <c r="R1105" s="11">
        <v>2</v>
      </c>
      <c r="S1105" s="11" t="s">
        <v>4354</v>
      </c>
    </row>
    <row r="1106" spans="1:19" hidden="1" x14ac:dyDescent="0.15">
      <c r="A1106" s="34">
        <v>1105</v>
      </c>
      <c r="B1106" s="35" t="s">
        <v>4881</v>
      </c>
      <c r="C1106" s="36" t="s">
        <v>4349</v>
      </c>
      <c r="D1106" s="11" t="s">
        <v>1627</v>
      </c>
      <c r="E1106" s="11" t="s">
        <v>1744</v>
      </c>
      <c r="F1106" s="11">
        <v>4</v>
      </c>
      <c r="G1106" s="11" t="s">
        <v>280</v>
      </c>
      <c r="H1106" s="11" t="s">
        <v>279</v>
      </c>
      <c r="I1106" s="11" t="s">
        <v>339</v>
      </c>
      <c r="J1106" s="11" t="s">
        <v>1489</v>
      </c>
      <c r="K1106" s="11" t="s">
        <v>1493</v>
      </c>
      <c r="L1106" s="11"/>
      <c r="M1106" s="11" t="s">
        <v>4355</v>
      </c>
      <c r="N1106" s="11"/>
      <c r="O1106" s="11"/>
      <c r="P1106" s="11"/>
      <c r="Q1106" s="11">
        <v>3</v>
      </c>
      <c r="R1106" s="11">
        <v>1</v>
      </c>
      <c r="S1106" s="11" t="s">
        <v>4355</v>
      </c>
    </row>
    <row r="1107" spans="1:19" hidden="1" x14ac:dyDescent="0.15">
      <c r="A1107" s="34">
        <v>1106</v>
      </c>
      <c r="B1107" s="35" t="s">
        <v>4881</v>
      </c>
      <c r="C1107" s="36" t="s">
        <v>4349</v>
      </c>
      <c r="D1107" s="11" t="s">
        <v>1627</v>
      </c>
      <c r="E1107" s="11" t="s">
        <v>1744</v>
      </c>
      <c r="F1107" s="11">
        <v>8</v>
      </c>
      <c r="G1107" s="11" t="s">
        <v>278</v>
      </c>
      <c r="H1107" s="11" t="s">
        <v>277</v>
      </c>
      <c r="I1107" s="11" t="s">
        <v>339</v>
      </c>
      <c r="J1107" s="11" t="s">
        <v>1890</v>
      </c>
      <c r="K1107" s="11"/>
      <c r="L1107" s="11"/>
      <c r="M1107" s="11" t="s">
        <v>3109</v>
      </c>
      <c r="N1107" s="11" t="s">
        <v>4356</v>
      </c>
      <c r="O1107" s="11"/>
      <c r="P1107" s="11"/>
      <c r="Q1107" s="11">
        <v>2</v>
      </c>
      <c r="R1107" s="11">
        <v>2</v>
      </c>
      <c r="S1107" s="11" t="s">
        <v>4357</v>
      </c>
    </row>
    <row r="1108" spans="1:19" hidden="1" x14ac:dyDescent="0.15">
      <c r="A1108" s="34">
        <v>1107</v>
      </c>
      <c r="B1108" s="35" t="s">
        <v>4881</v>
      </c>
      <c r="C1108" s="36" t="s">
        <v>4349</v>
      </c>
      <c r="D1108" s="11" t="s">
        <v>1627</v>
      </c>
      <c r="E1108" s="11" t="s">
        <v>1744</v>
      </c>
      <c r="F1108" s="11">
        <v>13</v>
      </c>
      <c r="G1108" s="11" t="s">
        <v>276</v>
      </c>
      <c r="H1108" s="11" t="s">
        <v>275</v>
      </c>
      <c r="I1108" s="11" t="s">
        <v>339</v>
      </c>
      <c r="J1108" s="11" t="s">
        <v>2948</v>
      </c>
      <c r="K1108" s="11" t="s">
        <v>1493</v>
      </c>
      <c r="L1108" s="11"/>
      <c r="M1108" s="11" t="s">
        <v>351</v>
      </c>
      <c r="N1108" s="11" t="s">
        <v>4358</v>
      </c>
      <c r="O1108" s="11"/>
      <c r="P1108" s="11"/>
      <c r="Q1108" s="11">
        <v>2</v>
      </c>
      <c r="R1108" s="11">
        <v>2</v>
      </c>
      <c r="S1108" s="11" t="s">
        <v>4359</v>
      </c>
    </row>
    <row r="1109" spans="1:19" hidden="1" x14ac:dyDescent="0.15">
      <c r="A1109" s="34">
        <v>1108</v>
      </c>
      <c r="B1109" s="35" t="s">
        <v>4881</v>
      </c>
      <c r="C1109" s="36" t="s">
        <v>4349</v>
      </c>
      <c r="D1109" s="11" t="s">
        <v>1627</v>
      </c>
      <c r="E1109" s="11" t="s">
        <v>1744</v>
      </c>
      <c r="F1109" s="11">
        <v>6</v>
      </c>
      <c r="G1109" s="11" t="s">
        <v>274</v>
      </c>
      <c r="H1109" s="11" t="s">
        <v>273</v>
      </c>
      <c r="I1109" s="11" t="s">
        <v>339</v>
      </c>
      <c r="J1109" s="11" t="s">
        <v>1484</v>
      </c>
      <c r="K1109" s="11"/>
      <c r="L1109" s="11"/>
      <c r="M1109" s="11"/>
      <c r="N1109" s="11"/>
      <c r="O1109" s="11"/>
      <c r="P1109" s="11"/>
      <c r="Q1109" s="11">
        <v>2</v>
      </c>
      <c r="R1109" s="11">
        <v>4</v>
      </c>
      <c r="S1109" s="11"/>
    </row>
    <row r="1110" spans="1:19" hidden="1" x14ac:dyDescent="0.15">
      <c r="A1110" s="34">
        <v>1109</v>
      </c>
      <c r="B1110" s="35" t="s">
        <v>4881</v>
      </c>
      <c r="C1110" s="36" t="s">
        <v>4349</v>
      </c>
      <c r="D1110" s="11" t="s">
        <v>1627</v>
      </c>
      <c r="E1110" s="11" t="s">
        <v>1744</v>
      </c>
      <c r="F1110" s="11">
        <v>10</v>
      </c>
      <c r="G1110" s="11" t="s">
        <v>272</v>
      </c>
      <c r="H1110" s="11" t="s">
        <v>271</v>
      </c>
      <c r="I1110" s="11" t="s">
        <v>339</v>
      </c>
      <c r="J1110" s="11" t="s">
        <v>1489</v>
      </c>
      <c r="K1110" s="11" t="s">
        <v>1493</v>
      </c>
      <c r="L1110" s="11"/>
      <c r="M1110" s="11" t="s">
        <v>3194</v>
      </c>
      <c r="N1110" s="11" t="s">
        <v>4360</v>
      </c>
      <c r="O1110" s="11"/>
      <c r="P1110" s="11"/>
      <c r="Q1110" s="11">
        <v>3</v>
      </c>
      <c r="R1110" s="11">
        <v>2</v>
      </c>
      <c r="S1110" s="11" t="s">
        <v>4361</v>
      </c>
    </row>
    <row r="1111" spans="1:19" hidden="1" x14ac:dyDescent="0.15">
      <c r="A1111" s="34">
        <v>1110</v>
      </c>
      <c r="B1111" s="35" t="s">
        <v>4881</v>
      </c>
      <c r="C1111" s="36" t="s">
        <v>4349</v>
      </c>
      <c r="D1111" s="11" t="s">
        <v>1627</v>
      </c>
      <c r="E1111" s="11" t="s">
        <v>1744</v>
      </c>
      <c r="F1111" s="11">
        <v>14</v>
      </c>
      <c r="G1111" s="11" t="s">
        <v>270</v>
      </c>
      <c r="H1111" s="11" t="s">
        <v>269</v>
      </c>
      <c r="I1111" s="11" t="s">
        <v>339</v>
      </c>
      <c r="J1111" s="11" t="s">
        <v>348</v>
      </c>
      <c r="K1111" s="11"/>
      <c r="L1111" s="11"/>
      <c r="M1111" s="11" t="s">
        <v>2406</v>
      </c>
      <c r="N1111" s="11" t="s">
        <v>4362</v>
      </c>
      <c r="O1111" s="11"/>
      <c r="P1111" s="11"/>
      <c r="Q1111" s="11">
        <v>3</v>
      </c>
      <c r="R1111" s="11">
        <v>3</v>
      </c>
      <c r="S1111" s="11" t="s">
        <v>4363</v>
      </c>
    </row>
    <row r="1112" spans="1:19" hidden="1" x14ac:dyDescent="0.15">
      <c r="A1112" s="34">
        <v>1111</v>
      </c>
      <c r="B1112" s="35" t="s">
        <v>4881</v>
      </c>
      <c r="C1112" s="36" t="s">
        <v>4349</v>
      </c>
      <c r="D1112" s="11" t="s">
        <v>1627</v>
      </c>
      <c r="E1112" s="11" t="s">
        <v>1744</v>
      </c>
      <c r="F1112" s="11">
        <v>4</v>
      </c>
      <c r="G1112" s="11" t="s">
        <v>268</v>
      </c>
      <c r="H1112" s="11" t="s">
        <v>267</v>
      </c>
      <c r="I1112" s="11" t="s">
        <v>1453</v>
      </c>
      <c r="J1112" s="11"/>
      <c r="K1112" s="11"/>
      <c r="L1112" s="11"/>
      <c r="M1112" s="11" t="s">
        <v>4364</v>
      </c>
      <c r="N1112" s="11" t="s">
        <v>4362</v>
      </c>
      <c r="O1112" s="11"/>
      <c r="P1112" s="11"/>
      <c r="Q1112" s="11"/>
      <c r="R1112" s="11"/>
      <c r="S1112" s="11" t="s">
        <v>4365</v>
      </c>
    </row>
    <row r="1113" spans="1:19" hidden="1" x14ac:dyDescent="0.15">
      <c r="A1113" s="34">
        <v>1112</v>
      </c>
      <c r="B1113" s="35" t="s">
        <v>4881</v>
      </c>
      <c r="C1113" s="36" t="s">
        <v>4349</v>
      </c>
      <c r="D1113" s="11" t="s">
        <v>1627</v>
      </c>
      <c r="E1113" s="11" t="s">
        <v>1744</v>
      </c>
      <c r="F1113" s="11">
        <v>5</v>
      </c>
      <c r="G1113" s="11" t="s">
        <v>4839</v>
      </c>
      <c r="H1113" s="11" t="s">
        <v>265</v>
      </c>
      <c r="I1113" s="11" t="s">
        <v>1453</v>
      </c>
      <c r="J1113" s="11"/>
      <c r="K1113" s="11"/>
      <c r="L1113" s="11"/>
      <c r="M1113" s="11" t="s">
        <v>4366</v>
      </c>
      <c r="N1113" s="11" t="s">
        <v>4362</v>
      </c>
      <c r="O1113" s="11"/>
      <c r="P1113" s="11"/>
      <c r="Q1113" s="11"/>
      <c r="R1113" s="11"/>
      <c r="S1113" s="11" t="s">
        <v>4367</v>
      </c>
    </row>
    <row r="1114" spans="1:19" hidden="1" x14ac:dyDescent="0.15">
      <c r="A1114" s="34">
        <v>1113</v>
      </c>
      <c r="B1114" s="35" t="s">
        <v>4881</v>
      </c>
      <c r="C1114" s="36" t="s">
        <v>4349</v>
      </c>
      <c r="D1114" s="11" t="s">
        <v>1627</v>
      </c>
      <c r="E1114" s="11" t="s">
        <v>1744</v>
      </c>
      <c r="F1114" s="11">
        <v>9</v>
      </c>
      <c r="G1114" s="11" t="s">
        <v>264</v>
      </c>
      <c r="H1114" s="11" t="s">
        <v>263</v>
      </c>
      <c r="I1114" s="11" t="s">
        <v>1453</v>
      </c>
      <c r="J1114" s="11"/>
      <c r="K1114" s="11"/>
      <c r="L1114" s="11"/>
      <c r="M1114" s="11" t="s">
        <v>4368</v>
      </c>
      <c r="N1114" s="11"/>
      <c r="O1114" s="11"/>
      <c r="P1114" s="11"/>
      <c r="Q1114" s="11"/>
      <c r="R1114" s="11"/>
      <c r="S1114" s="11" t="s">
        <v>4368</v>
      </c>
    </row>
    <row r="1115" spans="1:19" hidden="1" x14ac:dyDescent="0.15">
      <c r="A1115" s="34">
        <v>1114</v>
      </c>
      <c r="B1115" s="35" t="s">
        <v>4881</v>
      </c>
      <c r="C1115" s="36" t="s">
        <v>4349</v>
      </c>
      <c r="D1115" s="11" t="s">
        <v>1627</v>
      </c>
      <c r="E1115" s="11" t="s">
        <v>1744</v>
      </c>
      <c r="F1115" s="11">
        <v>9</v>
      </c>
      <c r="G1115" s="11" t="s">
        <v>4858</v>
      </c>
      <c r="H1115" s="11" t="s">
        <v>262</v>
      </c>
      <c r="I1115" s="11" t="s">
        <v>288</v>
      </c>
      <c r="J1115" s="11" t="s">
        <v>6306</v>
      </c>
      <c r="K1115" s="11" t="s">
        <v>6308</v>
      </c>
      <c r="L1115" s="11"/>
      <c r="M1115" s="11" t="s">
        <v>4369</v>
      </c>
      <c r="N1115" s="11" t="s">
        <v>4370</v>
      </c>
      <c r="O1115" s="11"/>
      <c r="P1115" s="11">
        <v>3</v>
      </c>
      <c r="Q1115" s="11"/>
      <c r="R1115" s="11"/>
      <c r="S1115" s="11" t="s">
        <v>4371</v>
      </c>
    </row>
    <row r="1116" spans="1:19" hidden="1" x14ac:dyDescent="0.15">
      <c r="A1116" s="34">
        <v>1115</v>
      </c>
      <c r="B1116" s="35" t="s">
        <v>4881</v>
      </c>
      <c r="C1116" s="36" t="s">
        <v>4349</v>
      </c>
      <c r="D1116" s="11" t="s">
        <v>1627</v>
      </c>
      <c r="E1116" s="11" t="s">
        <v>1451</v>
      </c>
      <c r="F1116" s="11">
        <v>11</v>
      </c>
      <c r="G1116" s="11" t="s">
        <v>261</v>
      </c>
      <c r="H1116" s="11" t="s">
        <v>260</v>
      </c>
      <c r="I1116" s="11" t="s">
        <v>339</v>
      </c>
      <c r="J1116" s="11" t="s">
        <v>1489</v>
      </c>
      <c r="K1116" s="11" t="s">
        <v>1493</v>
      </c>
      <c r="L1116" s="11"/>
      <c r="M1116" s="11" t="s">
        <v>4372</v>
      </c>
      <c r="N1116" s="11"/>
      <c r="O1116" s="11"/>
      <c r="P1116" s="11"/>
      <c r="Q1116" s="11">
        <v>4</v>
      </c>
      <c r="R1116" s="11">
        <v>3</v>
      </c>
      <c r="S1116" s="11" t="s">
        <v>4372</v>
      </c>
    </row>
    <row r="1117" spans="1:19" hidden="1" x14ac:dyDescent="0.15">
      <c r="A1117" s="34">
        <v>1116</v>
      </c>
      <c r="B1117" s="35" t="s">
        <v>4881</v>
      </c>
      <c r="C1117" s="36" t="s">
        <v>4349</v>
      </c>
      <c r="D1117" s="11" t="s">
        <v>1627</v>
      </c>
      <c r="E1117" s="11" t="s">
        <v>1451</v>
      </c>
      <c r="F1117" s="11">
        <v>12</v>
      </c>
      <c r="G1117" s="11" t="s">
        <v>259</v>
      </c>
      <c r="H1117" s="11" t="s">
        <v>258</v>
      </c>
      <c r="I1117" s="11" t="s">
        <v>339</v>
      </c>
      <c r="J1117" s="11" t="s">
        <v>2948</v>
      </c>
      <c r="K1117" s="11" t="s">
        <v>1799</v>
      </c>
      <c r="L1117" s="11"/>
      <c r="M1117" s="11" t="s">
        <v>351</v>
      </c>
      <c r="N1117" s="11" t="s">
        <v>4373</v>
      </c>
      <c r="O1117" s="11" t="s">
        <v>4374</v>
      </c>
      <c r="P1117" s="11"/>
      <c r="Q1117" s="11">
        <v>4</v>
      </c>
      <c r="R1117" s="11">
        <v>4</v>
      </c>
      <c r="S1117" s="11" t="s">
        <v>4375</v>
      </c>
    </row>
    <row r="1118" spans="1:19" hidden="1" x14ac:dyDescent="0.15">
      <c r="A1118" s="34">
        <v>1117</v>
      </c>
      <c r="B1118" s="35" t="s">
        <v>4881</v>
      </c>
      <c r="C1118" s="36" t="s">
        <v>4349</v>
      </c>
      <c r="D1118" s="11" t="s">
        <v>1627</v>
      </c>
      <c r="E1118" s="11" t="s">
        <v>1451</v>
      </c>
      <c r="F1118" s="11">
        <v>4</v>
      </c>
      <c r="G1118" s="11" t="s">
        <v>4376</v>
      </c>
      <c r="H1118" s="11" t="s">
        <v>4377</v>
      </c>
      <c r="I1118" s="11" t="s">
        <v>339</v>
      </c>
      <c r="J1118" s="11" t="s">
        <v>1489</v>
      </c>
      <c r="K1118" s="11" t="s">
        <v>1470</v>
      </c>
      <c r="L1118" s="11"/>
      <c r="M1118" s="11" t="s">
        <v>4378</v>
      </c>
      <c r="N1118" s="11"/>
      <c r="O1118" s="11"/>
      <c r="P1118" s="11"/>
      <c r="Q1118" s="11">
        <v>2</v>
      </c>
      <c r="R1118" s="11">
        <v>2</v>
      </c>
      <c r="S1118" s="11" t="s">
        <v>4378</v>
      </c>
    </row>
    <row r="1119" spans="1:19" hidden="1" x14ac:dyDescent="0.15">
      <c r="A1119" s="34">
        <v>1118</v>
      </c>
      <c r="B1119" s="35" t="s">
        <v>4881</v>
      </c>
      <c r="C1119" s="36" t="s">
        <v>4349</v>
      </c>
      <c r="D1119" s="11" t="s">
        <v>1627</v>
      </c>
      <c r="E1119" s="11" t="s">
        <v>1451</v>
      </c>
      <c r="F1119" s="11">
        <v>6</v>
      </c>
      <c r="G1119" s="11" t="s">
        <v>257</v>
      </c>
      <c r="H1119" s="11" t="s">
        <v>256</v>
      </c>
      <c r="I1119" s="11" t="s">
        <v>1453</v>
      </c>
      <c r="J1119" s="11"/>
      <c r="K1119" s="11"/>
      <c r="L1119" s="11"/>
      <c r="M1119" s="11" t="s">
        <v>4379</v>
      </c>
      <c r="N1119" s="11" t="s">
        <v>4362</v>
      </c>
      <c r="O1119" s="11" t="s">
        <v>4380</v>
      </c>
      <c r="P1119" s="11"/>
      <c r="Q1119" s="11"/>
      <c r="R1119" s="11"/>
      <c r="S1119" s="11" t="s">
        <v>4381</v>
      </c>
    </row>
    <row r="1120" spans="1:19" hidden="1" x14ac:dyDescent="0.15">
      <c r="A1120" s="34">
        <v>1119</v>
      </c>
      <c r="B1120" s="35" t="s">
        <v>4881</v>
      </c>
      <c r="C1120" s="36" t="s">
        <v>4349</v>
      </c>
      <c r="D1120" s="11" t="s">
        <v>1627</v>
      </c>
      <c r="E1120" s="11" t="s">
        <v>1451</v>
      </c>
      <c r="F1120" s="11">
        <v>11</v>
      </c>
      <c r="G1120" s="11" t="s">
        <v>4840</v>
      </c>
      <c r="H1120" s="11" t="s">
        <v>254</v>
      </c>
      <c r="I1120" s="11" t="s">
        <v>288</v>
      </c>
      <c r="J1120" s="11"/>
      <c r="K1120" s="11"/>
      <c r="L1120" s="11"/>
      <c r="M1120" s="11" t="s">
        <v>4382</v>
      </c>
      <c r="N1120" s="11" t="s">
        <v>4383</v>
      </c>
      <c r="O1120" s="11"/>
      <c r="P1120" s="11">
        <v>3</v>
      </c>
      <c r="Q1120" s="11"/>
      <c r="R1120" s="11"/>
      <c r="S1120" s="11" t="s">
        <v>4384</v>
      </c>
    </row>
    <row r="1121" spans="1:19" hidden="1" x14ac:dyDescent="0.15">
      <c r="A1121" s="34">
        <v>1120</v>
      </c>
      <c r="B1121" s="35" t="s">
        <v>4881</v>
      </c>
      <c r="C1121" s="36" t="s">
        <v>4349</v>
      </c>
      <c r="D1121" s="11" t="s">
        <v>1627</v>
      </c>
      <c r="E1121" s="11" t="s">
        <v>1441</v>
      </c>
      <c r="F1121" s="11">
        <v>10</v>
      </c>
      <c r="G1121" s="11" t="s">
        <v>253</v>
      </c>
      <c r="H1121" s="11" t="s">
        <v>252</v>
      </c>
      <c r="I1121" s="11" t="s">
        <v>339</v>
      </c>
      <c r="J1121" s="11" t="s">
        <v>2948</v>
      </c>
      <c r="K1121" s="11" t="s">
        <v>1463</v>
      </c>
      <c r="L1121" s="11"/>
      <c r="M1121" s="11" t="s">
        <v>351</v>
      </c>
      <c r="N1121" s="11" t="s">
        <v>4385</v>
      </c>
      <c r="O1121" s="11"/>
      <c r="P1121" s="11"/>
      <c r="Q1121" s="11">
        <v>3</v>
      </c>
      <c r="R1121" s="11">
        <v>2</v>
      </c>
      <c r="S1121" s="11" t="s">
        <v>4386</v>
      </c>
    </row>
    <row r="1122" spans="1:19" hidden="1" x14ac:dyDescent="0.15">
      <c r="A1122" s="34">
        <v>1121</v>
      </c>
      <c r="B1122" s="35" t="s">
        <v>4881</v>
      </c>
      <c r="C1122" s="36" t="s">
        <v>4349</v>
      </c>
      <c r="D1122" s="11" t="s">
        <v>1627</v>
      </c>
      <c r="E1122" s="11" t="s">
        <v>1441</v>
      </c>
      <c r="F1122" s="11">
        <v>18</v>
      </c>
      <c r="G1122" s="11" t="s">
        <v>251</v>
      </c>
      <c r="H1122" s="11" t="s">
        <v>250</v>
      </c>
      <c r="I1122" s="11" t="s">
        <v>339</v>
      </c>
      <c r="J1122" s="11" t="s">
        <v>1890</v>
      </c>
      <c r="K1122" s="11"/>
      <c r="L1122" s="11"/>
      <c r="M1122" s="11" t="s">
        <v>4387</v>
      </c>
      <c r="N1122" s="11" t="s">
        <v>4388</v>
      </c>
      <c r="O1122" s="11"/>
      <c r="P1122" s="11"/>
      <c r="Q1122" s="11">
        <v>3</v>
      </c>
      <c r="R1122" s="11">
        <v>3</v>
      </c>
      <c r="S1122" s="11" t="s">
        <v>4389</v>
      </c>
    </row>
    <row r="1123" spans="1:19" hidden="1" x14ac:dyDescent="0.15">
      <c r="A1123" s="34">
        <v>1122</v>
      </c>
      <c r="B1123" s="35" t="s">
        <v>4881</v>
      </c>
      <c r="C1123" s="36" t="s">
        <v>4349</v>
      </c>
      <c r="D1123" s="11" t="s">
        <v>1627</v>
      </c>
      <c r="E1123" s="11" t="s">
        <v>1441</v>
      </c>
      <c r="F1123" s="11">
        <v>16</v>
      </c>
      <c r="G1123" s="11" t="s">
        <v>249</v>
      </c>
      <c r="H1123" s="11" t="s">
        <v>248</v>
      </c>
      <c r="I1123" s="11" t="s">
        <v>1453</v>
      </c>
      <c r="J1123" s="11"/>
      <c r="K1123" s="11"/>
      <c r="L1123" s="11"/>
      <c r="M1123" s="11" t="s">
        <v>4390</v>
      </c>
      <c r="N1123" s="11"/>
      <c r="O1123" s="11"/>
      <c r="P1123" s="11"/>
      <c r="Q1123" s="11"/>
      <c r="R1123" s="11"/>
      <c r="S1123" s="11" t="s">
        <v>4390</v>
      </c>
    </row>
    <row r="1124" spans="1:19" hidden="1" x14ac:dyDescent="0.15">
      <c r="A1124" s="34">
        <v>1123</v>
      </c>
      <c r="B1124" s="35" t="s">
        <v>4881</v>
      </c>
      <c r="C1124" s="36" t="s">
        <v>4349</v>
      </c>
      <c r="D1124" s="11" t="s">
        <v>1627</v>
      </c>
      <c r="E1124" s="11" t="s">
        <v>1441</v>
      </c>
      <c r="F1124" s="11">
        <v>10</v>
      </c>
      <c r="G1124" s="11" t="s">
        <v>247</v>
      </c>
      <c r="H1124" s="11" t="s">
        <v>246</v>
      </c>
      <c r="I1124" s="11" t="s">
        <v>288</v>
      </c>
      <c r="J1124" s="11"/>
      <c r="K1124" s="11"/>
      <c r="L1124" s="11"/>
      <c r="M1124" s="11" t="s">
        <v>4391</v>
      </c>
      <c r="N1124" s="11"/>
      <c r="O1124" s="11"/>
      <c r="P1124" s="11">
        <v>2</v>
      </c>
      <c r="Q1124" s="11"/>
      <c r="R1124" s="11"/>
      <c r="S1124" s="11" t="s">
        <v>4391</v>
      </c>
    </row>
    <row r="1125" spans="1:19" hidden="1" x14ac:dyDescent="0.15">
      <c r="A1125" s="34">
        <v>1124</v>
      </c>
      <c r="B1125" s="35" t="s">
        <v>4881</v>
      </c>
      <c r="C1125" s="36" t="s">
        <v>4349</v>
      </c>
      <c r="D1125" s="11" t="s">
        <v>1627</v>
      </c>
      <c r="E1125" s="11" t="s">
        <v>1441</v>
      </c>
      <c r="F1125" s="11">
        <v>16</v>
      </c>
      <c r="G1125" s="11" t="s">
        <v>4908</v>
      </c>
      <c r="H1125" s="11" t="s">
        <v>245</v>
      </c>
      <c r="I1125" s="11" t="s">
        <v>288</v>
      </c>
      <c r="J1125" s="11"/>
      <c r="K1125" s="11"/>
      <c r="L1125" s="11"/>
      <c r="M1125" s="11" t="s">
        <v>4392</v>
      </c>
      <c r="N1125" s="11" t="s">
        <v>4393</v>
      </c>
      <c r="O1125" s="11" t="s">
        <v>4394</v>
      </c>
      <c r="P1125" s="11">
        <v>3</v>
      </c>
      <c r="Q1125" s="11"/>
      <c r="R1125" s="11"/>
      <c r="S1125" s="11" t="s">
        <v>4395</v>
      </c>
    </row>
    <row r="1126" spans="1:19" hidden="1" x14ac:dyDescent="0.15">
      <c r="A1126" s="34">
        <v>1125</v>
      </c>
      <c r="B1126" s="35" t="s">
        <v>4881</v>
      </c>
      <c r="C1126" s="36" t="s">
        <v>4349</v>
      </c>
      <c r="D1126" s="11" t="s">
        <v>1627</v>
      </c>
      <c r="E1126" s="11" t="s">
        <v>1431</v>
      </c>
      <c r="F1126" s="11">
        <v>16</v>
      </c>
      <c r="G1126" s="11" t="s">
        <v>244</v>
      </c>
      <c r="H1126" s="11" t="s">
        <v>243</v>
      </c>
      <c r="I1126" s="11" t="s">
        <v>339</v>
      </c>
      <c r="J1126" s="11" t="s">
        <v>348</v>
      </c>
      <c r="K1126" s="11"/>
      <c r="L1126" s="11"/>
      <c r="M1126" s="11" t="s">
        <v>351</v>
      </c>
      <c r="N1126" s="11" t="s">
        <v>4396</v>
      </c>
      <c r="O1126" s="11"/>
      <c r="P1126" s="11"/>
      <c r="Q1126" s="11">
        <v>7</v>
      </c>
      <c r="R1126" s="11">
        <v>8</v>
      </c>
      <c r="S1126" s="11" t="s">
        <v>4397</v>
      </c>
    </row>
    <row r="1127" spans="1:19" hidden="1" x14ac:dyDescent="0.15">
      <c r="A1127" s="34">
        <v>1126</v>
      </c>
      <c r="B1127" s="35" t="s">
        <v>4881</v>
      </c>
      <c r="C1127" s="36" t="s">
        <v>4349</v>
      </c>
      <c r="D1127" s="11" t="s">
        <v>1627</v>
      </c>
      <c r="E1127" s="11" t="s">
        <v>1431</v>
      </c>
      <c r="F1127" s="11">
        <v>10</v>
      </c>
      <c r="G1127" s="11" t="s">
        <v>242</v>
      </c>
      <c r="H1127" s="11" t="s">
        <v>241</v>
      </c>
      <c r="I1127" s="11" t="s">
        <v>339</v>
      </c>
      <c r="J1127" s="11" t="s">
        <v>4398</v>
      </c>
      <c r="K1127" s="11"/>
      <c r="L1127" s="11"/>
      <c r="M1127" s="11" t="s">
        <v>4399</v>
      </c>
      <c r="N1127" s="11" t="s">
        <v>4400</v>
      </c>
      <c r="O1127" s="11" t="s">
        <v>4401</v>
      </c>
      <c r="P1127" s="11"/>
      <c r="Q1127" s="11">
        <v>3</v>
      </c>
      <c r="R1127" s="11">
        <v>6</v>
      </c>
      <c r="S1127" s="11" t="s">
        <v>4402</v>
      </c>
    </row>
    <row r="1128" spans="1:19" hidden="1" x14ac:dyDescent="0.15">
      <c r="A1128" s="34">
        <v>1127</v>
      </c>
      <c r="B1128" s="35" t="s">
        <v>4881</v>
      </c>
      <c r="C1128" s="36" t="s">
        <v>4349</v>
      </c>
      <c r="D1128" s="11" t="s">
        <v>1627</v>
      </c>
      <c r="E1128" s="11" t="s">
        <v>1431</v>
      </c>
      <c r="F1128" s="11">
        <v>8</v>
      </c>
      <c r="G1128" s="11" t="s">
        <v>5672</v>
      </c>
      <c r="H1128" s="11" t="s">
        <v>240</v>
      </c>
      <c r="I1128" s="11" t="s">
        <v>288</v>
      </c>
      <c r="J1128" s="11"/>
      <c r="K1128" s="11"/>
      <c r="L1128" s="11"/>
      <c r="M1128" s="11" t="s">
        <v>4403</v>
      </c>
      <c r="N1128" s="11"/>
      <c r="O1128" s="11"/>
      <c r="P1128" s="11">
        <v>3</v>
      </c>
      <c r="Q1128" s="11"/>
      <c r="R1128" s="11"/>
      <c r="S1128" s="11" t="s">
        <v>4403</v>
      </c>
    </row>
    <row r="1129" spans="1:19" hidden="1" x14ac:dyDescent="0.15">
      <c r="A1129" s="34">
        <v>1128</v>
      </c>
      <c r="B1129" s="35" t="s">
        <v>4881</v>
      </c>
      <c r="C1129" s="36" t="s">
        <v>4349</v>
      </c>
      <c r="D1129" s="11" t="s">
        <v>1606</v>
      </c>
      <c r="E1129" s="11" t="s">
        <v>1744</v>
      </c>
      <c r="F1129" s="11">
        <v>11</v>
      </c>
      <c r="G1129" s="11" t="s">
        <v>239</v>
      </c>
      <c r="H1129" s="11" t="s">
        <v>238</v>
      </c>
      <c r="I1129" s="11" t="s">
        <v>339</v>
      </c>
      <c r="J1129" s="11" t="s">
        <v>2948</v>
      </c>
      <c r="K1129" s="11" t="s">
        <v>1493</v>
      </c>
      <c r="L1129" s="11"/>
      <c r="M1129" s="11" t="s">
        <v>351</v>
      </c>
      <c r="N1129" s="11" t="s">
        <v>4404</v>
      </c>
      <c r="O1129" s="11"/>
      <c r="P1129" s="11"/>
      <c r="Q1129" s="11">
        <v>2</v>
      </c>
      <c r="R1129" s="11">
        <v>1</v>
      </c>
      <c r="S1129" s="11" t="s">
        <v>4405</v>
      </c>
    </row>
    <row r="1130" spans="1:19" hidden="1" x14ac:dyDescent="0.15">
      <c r="A1130" s="34">
        <v>1129</v>
      </c>
      <c r="B1130" s="35" t="s">
        <v>4881</v>
      </c>
      <c r="C1130" s="36" t="s">
        <v>4349</v>
      </c>
      <c r="D1130" s="11" t="s">
        <v>1606</v>
      </c>
      <c r="E1130" s="11" t="s">
        <v>1744</v>
      </c>
      <c r="F1130" s="11">
        <v>6</v>
      </c>
      <c r="G1130" s="11" t="s">
        <v>237</v>
      </c>
      <c r="H1130" s="11" t="s">
        <v>236</v>
      </c>
      <c r="I1130" s="11" t="s">
        <v>339</v>
      </c>
      <c r="J1130" s="11" t="s">
        <v>1489</v>
      </c>
      <c r="K1130" s="11" t="s">
        <v>1470</v>
      </c>
      <c r="L1130" s="11"/>
      <c r="M1130" s="11" t="s">
        <v>4406</v>
      </c>
      <c r="N1130" s="11"/>
      <c r="O1130" s="11"/>
      <c r="P1130" s="11"/>
      <c r="Q1130" s="11">
        <v>2</v>
      </c>
      <c r="R1130" s="11">
        <v>3</v>
      </c>
      <c r="S1130" s="11" t="s">
        <v>4406</v>
      </c>
    </row>
    <row r="1131" spans="1:19" hidden="1" x14ac:dyDescent="0.15">
      <c r="A1131" s="34">
        <v>1130</v>
      </c>
      <c r="B1131" s="35" t="s">
        <v>4881</v>
      </c>
      <c r="C1131" s="36" t="s">
        <v>4349</v>
      </c>
      <c r="D1131" s="11" t="s">
        <v>1606</v>
      </c>
      <c r="E1131" s="11" t="s">
        <v>1744</v>
      </c>
      <c r="F1131" s="11">
        <v>15</v>
      </c>
      <c r="G1131" s="11" t="s">
        <v>235</v>
      </c>
      <c r="H1131" s="11" t="s">
        <v>234</v>
      </c>
      <c r="I1131" s="11" t="s">
        <v>339</v>
      </c>
      <c r="J1131" s="11" t="s">
        <v>1489</v>
      </c>
      <c r="K1131" s="11" t="s">
        <v>1470</v>
      </c>
      <c r="L1131" s="11"/>
      <c r="M1131" s="11" t="s">
        <v>2595</v>
      </c>
      <c r="N1131" s="11" t="s">
        <v>4407</v>
      </c>
      <c r="O1131" s="11"/>
      <c r="P1131" s="11"/>
      <c r="Q1131" s="11">
        <v>2</v>
      </c>
      <c r="R1131" s="11">
        <v>2</v>
      </c>
      <c r="S1131" s="11" t="s">
        <v>4408</v>
      </c>
    </row>
    <row r="1132" spans="1:19" hidden="1" x14ac:dyDescent="0.15">
      <c r="A1132" s="34">
        <v>1131</v>
      </c>
      <c r="B1132" s="35" t="s">
        <v>4881</v>
      </c>
      <c r="C1132" s="36" t="s">
        <v>4349</v>
      </c>
      <c r="D1132" s="11" t="s">
        <v>1606</v>
      </c>
      <c r="E1132" s="11" t="s">
        <v>1744</v>
      </c>
      <c r="F1132" s="11">
        <v>13</v>
      </c>
      <c r="G1132" s="11" t="s">
        <v>233</v>
      </c>
      <c r="H1132" s="11" t="s">
        <v>232</v>
      </c>
      <c r="I1132" s="11" t="s">
        <v>339</v>
      </c>
      <c r="J1132" s="11" t="s">
        <v>2515</v>
      </c>
      <c r="K1132" s="11"/>
      <c r="L1132" s="11"/>
      <c r="M1132" s="11" t="s">
        <v>351</v>
      </c>
      <c r="N1132" s="11" t="s">
        <v>4383</v>
      </c>
      <c r="O1132" s="11"/>
      <c r="P1132" s="11"/>
      <c r="Q1132" s="11">
        <v>3</v>
      </c>
      <c r="R1132" s="11">
        <v>4</v>
      </c>
      <c r="S1132" s="11" t="s">
        <v>4409</v>
      </c>
    </row>
    <row r="1133" spans="1:19" hidden="1" x14ac:dyDescent="0.15">
      <c r="A1133" s="34">
        <v>1132</v>
      </c>
      <c r="B1133" s="35" t="s">
        <v>4881</v>
      </c>
      <c r="C1133" s="36" t="s">
        <v>4349</v>
      </c>
      <c r="D1133" s="11" t="s">
        <v>1606</v>
      </c>
      <c r="E1133" s="11" t="s">
        <v>1744</v>
      </c>
      <c r="F1133" s="11">
        <v>10</v>
      </c>
      <c r="G1133" s="11" t="s">
        <v>231</v>
      </c>
      <c r="H1133" s="11" t="s">
        <v>230</v>
      </c>
      <c r="I1133" s="11" t="s">
        <v>339</v>
      </c>
      <c r="J1133" s="11" t="s">
        <v>4410</v>
      </c>
      <c r="K1133" s="11" t="s">
        <v>1493</v>
      </c>
      <c r="L1133" s="11"/>
      <c r="M1133" s="11" t="s">
        <v>4404</v>
      </c>
      <c r="N1133" s="11"/>
      <c r="O1133" s="11"/>
      <c r="P1133" s="11"/>
      <c r="Q1133" s="11">
        <v>2</v>
      </c>
      <c r="R1133" s="11">
        <v>1</v>
      </c>
      <c r="S1133" s="11" t="s">
        <v>4404</v>
      </c>
    </row>
    <row r="1134" spans="1:19" hidden="1" x14ac:dyDescent="0.15">
      <c r="A1134" s="34">
        <v>1133</v>
      </c>
      <c r="B1134" s="35" t="s">
        <v>4881</v>
      </c>
      <c r="C1134" s="36" t="s">
        <v>4349</v>
      </c>
      <c r="D1134" s="11" t="s">
        <v>1606</v>
      </c>
      <c r="E1134" s="11" t="s">
        <v>1744</v>
      </c>
      <c r="F1134" s="11">
        <v>6</v>
      </c>
      <c r="G1134" s="11" t="s">
        <v>229</v>
      </c>
      <c r="H1134" s="11" t="s">
        <v>228</v>
      </c>
      <c r="I1134" s="11" t="s">
        <v>1453</v>
      </c>
      <c r="J1134" s="11"/>
      <c r="K1134" s="11"/>
      <c r="L1134" s="11"/>
      <c r="M1134" s="11" t="s">
        <v>4411</v>
      </c>
      <c r="N1134" s="11"/>
      <c r="O1134" s="11"/>
      <c r="P1134" s="11"/>
      <c r="Q1134" s="11"/>
      <c r="R1134" s="11"/>
      <c r="S1134" s="11" t="s">
        <v>4411</v>
      </c>
    </row>
    <row r="1135" spans="1:19" hidden="1" x14ac:dyDescent="0.15">
      <c r="A1135" s="34">
        <v>1134</v>
      </c>
      <c r="B1135" s="35" t="s">
        <v>4881</v>
      </c>
      <c r="C1135" s="36" t="s">
        <v>4349</v>
      </c>
      <c r="D1135" s="11" t="s">
        <v>1606</v>
      </c>
      <c r="E1135" s="11" t="s">
        <v>1744</v>
      </c>
      <c r="F1135" s="11">
        <v>12</v>
      </c>
      <c r="G1135" s="11" t="s">
        <v>227</v>
      </c>
      <c r="H1135" s="11" t="s">
        <v>226</v>
      </c>
      <c r="I1135" s="11" t="s">
        <v>1453</v>
      </c>
      <c r="J1135" s="11"/>
      <c r="K1135" s="11"/>
      <c r="L1135" s="11"/>
      <c r="M1135" s="11" t="s">
        <v>4412</v>
      </c>
      <c r="N1135" s="11" t="s">
        <v>4362</v>
      </c>
      <c r="O1135" s="11"/>
      <c r="P1135" s="11"/>
      <c r="Q1135" s="11"/>
      <c r="R1135" s="11"/>
      <c r="S1135" s="11" t="s">
        <v>4413</v>
      </c>
    </row>
    <row r="1136" spans="1:19" hidden="1" x14ac:dyDescent="0.15">
      <c r="A1136" s="34">
        <v>1135</v>
      </c>
      <c r="B1136" s="35" t="s">
        <v>4881</v>
      </c>
      <c r="C1136" s="36" t="s">
        <v>4349</v>
      </c>
      <c r="D1136" s="11" t="s">
        <v>1606</v>
      </c>
      <c r="E1136" s="11" t="s">
        <v>1744</v>
      </c>
      <c r="F1136" s="11">
        <v>6</v>
      </c>
      <c r="G1136" s="11" t="s">
        <v>225</v>
      </c>
      <c r="H1136" s="11" t="s">
        <v>224</v>
      </c>
      <c r="I1136" s="11" t="s">
        <v>1453</v>
      </c>
      <c r="J1136" s="11"/>
      <c r="K1136" s="11"/>
      <c r="L1136" s="11"/>
      <c r="M1136" s="11" t="s">
        <v>4414</v>
      </c>
      <c r="N1136" s="11"/>
      <c r="O1136" s="11"/>
      <c r="P1136" s="11"/>
      <c r="Q1136" s="11"/>
      <c r="R1136" s="11"/>
      <c r="S1136" s="11" t="s">
        <v>4414</v>
      </c>
    </row>
    <row r="1137" spans="1:19" hidden="1" x14ac:dyDescent="0.15">
      <c r="A1137" s="34">
        <v>1136</v>
      </c>
      <c r="B1137" s="35" t="s">
        <v>4881</v>
      </c>
      <c r="C1137" s="36" t="s">
        <v>4349</v>
      </c>
      <c r="D1137" s="11" t="s">
        <v>1606</v>
      </c>
      <c r="E1137" s="11" t="s">
        <v>1744</v>
      </c>
      <c r="F1137" s="11">
        <v>4</v>
      </c>
      <c r="G1137" s="11" t="s">
        <v>223</v>
      </c>
      <c r="H1137" s="11" t="s">
        <v>222</v>
      </c>
      <c r="I1137" s="11" t="s">
        <v>1453</v>
      </c>
      <c r="J1137" s="11"/>
      <c r="K1137" s="11"/>
      <c r="L1137" s="11"/>
      <c r="M1137" s="11" t="s">
        <v>4415</v>
      </c>
      <c r="N1137" s="11" t="s">
        <v>4362</v>
      </c>
      <c r="O1137" s="11"/>
      <c r="P1137" s="11"/>
      <c r="Q1137" s="11"/>
      <c r="R1137" s="11"/>
      <c r="S1137" s="11" t="s">
        <v>4416</v>
      </c>
    </row>
    <row r="1138" spans="1:19" hidden="1" x14ac:dyDescent="0.15">
      <c r="A1138" s="34">
        <v>1137</v>
      </c>
      <c r="B1138" s="35" t="s">
        <v>4881</v>
      </c>
      <c r="C1138" s="36" t="s">
        <v>4349</v>
      </c>
      <c r="D1138" s="11" t="s">
        <v>1606</v>
      </c>
      <c r="E1138" s="11" t="s">
        <v>1744</v>
      </c>
      <c r="F1138" s="11">
        <v>4</v>
      </c>
      <c r="G1138" s="11" t="s">
        <v>221</v>
      </c>
      <c r="H1138" s="11" t="s">
        <v>220</v>
      </c>
      <c r="I1138" s="11" t="s">
        <v>1453</v>
      </c>
      <c r="J1138" s="11"/>
      <c r="K1138" s="11"/>
      <c r="L1138" s="11"/>
      <c r="M1138" s="11" t="s">
        <v>4417</v>
      </c>
      <c r="N1138" s="11" t="s">
        <v>4362</v>
      </c>
      <c r="O1138" s="11"/>
      <c r="P1138" s="11"/>
      <c r="Q1138" s="11"/>
      <c r="R1138" s="11"/>
      <c r="S1138" s="11" t="s">
        <v>4418</v>
      </c>
    </row>
    <row r="1139" spans="1:19" hidden="1" x14ac:dyDescent="0.15">
      <c r="A1139" s="34">
        <v>1138</v>
      </c>
      <c r="B1139" s="35" t="s">
        <v>4881</v>
      </c>
      <c r="C1139" s="36" t="s">
        <v>4349</v>
      </c>
      <c r="D1139" s="11" t="s">
        <v>1606</v>
      </c>
      <c r="E1139" s="11" t="s">
        <v>1744</v>
      </c>
      <c r="F1139" s="11">
        <v>4</v>
      </c>
      <c r="G1139" s="11" t="s">
        <v>4846</v>
      </c>
      <c r="H1139" s="11" t="s">
        <v>218</v>
      </c>
      <c r="I1139" s="11" t="s">
        <v>1453</v>
      </c>
      <c r="J1139" s="11"/>
      <c r="K1139" s="11"/>
      <c r="L1139" s="11"/>
      <c r="M1139" s="11" t="s">
        <v>4419</v>
      </c>
      <c r="N1139" s="11"/>
      <c r="O1139" s="11"/>
      <c r="P1139" s="11"/>
      <c r="Q1139" s="11"/>
      <c r="R1139" s="11"/>
      <c r="S1139" s="11" t="s">
        <v>4419</v>
      </c>
    </row>
    <row r="1140" spans="1:19" hidden="1" x14ac:dyDescent="0.15">
      <c r="A1140" s="34">
        <v>1139</v>
      </c>
      <c r="B1140" s="35" t="s">
        <v>4881</v>
      </c>
      <c r="C1140" s="36" t="s">
        <v>4349</v>
      </c>
      <c r="D1140" s="11" t="s">
        <v>1606</v>
      </c>
      <c r="E1140" s="11" t="s">
        <v>1744</v>
      </c>
      <c r="F1140" s="11">
        <v>8</v>
      </c>
      <c r="G1140" s="11" t="s">
        <v>217</v>
      </c>
      <c r="H1140" s="11" t="s">
        <v>216</v>
      </c>
      <c r="I1140" s="11" t="s">
        <v>288</v>
      </c>
      <c r="J1140" s="11" t="s">
        <v>6306</v>
      </c>
      <c r="K1140" s="11" t="s">
        <v>6308</v>
      </c>
      <c r="L1140" s="11"/>
      <c r="M1140" s="11" t="s">
        <v>4420</v>
      </c>
      <c r="N1140" s="11" t="s">
        <v>4421</v>
      </c>
      <c r="O1140" s="11"/>
      <c r="P1140" s="11">
        <v>3</v>
      </c>
      <c r="Q1140" s="11"/>
      <c r="R1140" s="11"/>
      <c r="S1140" s="11" t="s">
        <v>4422</v>
      </c>
    </row>
    <row r="1141" spans="1:19" hidden="1" x14ac:dyDescent="0.15">
      <c r="A1141" s="34">
        <v>1140</v>
      </c>
      <c r="B1141" s="35" t="s">
        <v>4881</v>
      </c>
      <c r="C1141" s="36" t="s">
        <v>4349</v>
      </c>
      <c r="D1141" s="11" t="s">
        <v>1606</v>
      </c>
      <c r="E1141" s="11" t="s">
        <v>1451</v>
      </c>
      <c r="F1141" s="11">
        <v>5</v>
      </c>
      <c r="G1141" s="11" t="s">
        <v>215</v>
      </c>
      <c r="H1141" s="11" t="s">
        <v>214</v>
      </c>
      <c r="I1141" s="11" t="s">
        <v>339</v>
      </c>
      <c r="J1141" s="11" t="s">
        <v>2987</v>
      </c>
      <c r="K1141" s="11" t="s">
        <v>1493</v>
      </c>
      <c r="L1141" s="11"/>
      <c r="M1141" s="11" t="s">
        <v>4423</v>
      </c>
      <c r="N1141" s="11" t="s">
        <v>4351</v>
      </c>
      <c r="O1141" s="11"/>
      <c r="P1141" s="11"/>
      <c r="Q1141" s="11">
        <v>3</v>
      </c>
      <c r="R1141" s="11">
        <v>4</v>
      </c>
      <c r="S1141" s="11" t="s">
        <v>4424</v>
      </c>
    </row>
    <row r="1142" spans="1:19" hidden="1" x14ac:dyDescent="0.15">
      <c r="A1142" s="34">
        <v>1141</v>
      </c>
      <c r="B1142" s="35" t="s">
        <v>4881</v>
      </c>
      <c r="C1142" s="36" t="s">
        <v>4349</v>
      </c>
      <c r="D1142" s="11" t="s">
        <v>1606</v>
      </c>
      <c r="E1142" s="11" t="s">
        <v>1451</v>
      </c>
      <c r="F1142" s="11">
        <v>6</v>
      </c>
      <c r="G1142" s="11" t="s">
        <v>213</v>
      </c>
      <c r="H1142" s="11" t="s">
        <v>212</v>
      </c>
      <c r="I1142" s="11" t="s">
        <v>339</v>
      </c>
      <c r="J1142" s="11" t="s">
        <v>1489</v>
      </c>
      <c r="K1142" s="11" t="s">
        <v>1470</v>
      </c>
      <c r="L1142" s="11"/>
      <c r="M1142" s="11" t="s">
        <v>4425</v>
      </c>
      <c r="N1142" s="11" t="s">
        <v>4426</v>
      </c>
      <c r="O1142" s="11" t="s">
        <v>4427</v>
      </c>
      <c r="P1142" s="11"/>
      <c r="Q1142" s="11">
        <v>2</v>
      </c>
      <c r="R1142" s="11">
        <v>4</v>
      </c>
      <c r="S1142" s="11" t="s">
        <v>4428</v>
      </c>
    </row>
    <row r="1143" spans="1:19" hidden="1" x14ac:dyDescent="0.15">
      <c r="A1143" s="34">
        <v>1142</v>
      </c>
      <c r="B1143" s="35" t="s">
        <v>4881</v>
      </c>
      <c r="C1143" s="36" t="s">
        <v>4349</v>
      </c>
      <c r="D1143" s="11" t="s">
        <v>1606</v>
      </c>
      <c r="E1143" s="11" t="s">
        <v>1451</v>
      </c>
      <c r="F1143" s="11">
        <v>11</v>
      </c>
      <c r="G1143" s="11" t="s">
        <v>211</v>
      </c>
      <c r="H1143" s="11" t="s">
        <v>210</v>
      </c>
      <c r="I1143" s="11" t="s">
        <v>339</v>
      </c>
      <c r="J1143" s="11" t="s">
        <v>2948</v>
      </c>
      <c r="K1143" s="11" t="s">
        <v>1463</v>
      </c>
      <c r="L1143" s="11"/>
      <c r="M1143" s="11" t="s">
        <v>351</v>
      </c>
      <c r="N1143" s="11" t="s">
        <v>4429</v>
      </c>
      <c r="O1143" s="11"/>
      <c r="P1143" s="11"/>
      <c r="Q1143" s="11">
        <v>4</v>
      </c>
      <c r="R1143" s="11">
        <v>4</v>
      </c>
      <c r="S1143" s="11" t="s">
        <v>4430</v>
      </c>
    </row>
    <row r="1144" spans="1:19" hidden="1" x14ac:dyDescent="0.15">
      <c r="A1144" s="34">
        <v>1143</v>
      </c>
      <c r="B1144" s="35" t="s">
        <v>4881</v>
      </c>
      <c r="C1144" s="36" t="s">
        <v>4349</v>
      </c>
      <c r="D1144" s="11" t="s">
        <v>1606</v>
      </c>
      <c r="E1144" s="11" t="s">
        <v>1451</v>
      </c>
      <c r="F1144" s="11">
        <v>7</v>
      </c>
      <c r="G1144" s="11" t="s">
        <v>209</v>
      </c>
      <c r="H1144" s="11" t="s">
        <v>208</v>
      </c>
      <c r="I1144" s="11" t="s">
        <v>1453</v>
      </c>
      <c r="J1144" s="11"/>
      <c r="K1144" s="11"/>
      <c r="L1144" s="11"/>
      <c r="M1144" s="11" t="s">
        <v>2211</v>
      </c>
      <c r="N1144" s="11" t="s">
        <v>4362</v>
      </c>
      <c r="O1144" s="11"/>
      <c r="P1144" s="11"/>
      <c r="Q1144" s="11"/>
      <c r="R1144" s="11"/>
      <c r="S1144" s="11" t="s">
        <v>4431</v>
      </c>
    </row>
    <row r="1145" spans="1:19" hidden="1" x14ac:dyDescent="0.15">
      <c r="A1145" s="34">
        <v>1144</v>
      </c>
      <c r="B1145" s="35" t="s">
        <v>4881</v>
      </c>
      <c r="C1145" s="36" t="s">
        <v>4349</v>
      </c>
      <c r="D1145" s="11" t="s">
        <v>1606</v>
      </c>
      <c r="E1145" s="11" t="s">
        <v>1451</v>
      </c>
      <c r="F1145" s="11">
        <v>21</v>
      </c>
      <c r="G1145" s="11" t="s">
        <v>6309</v>
      </c>
      <c r="H1145" s="11"/>
      <c r="I1145" s="11" t="s">
        <v>6310</v>
      </c>
      <c r="J1145" s="11" t="s">
        <v>6306</v>
      </c>
      <c r="K1145" s="11"/>
      <c r="L1145" s="11"/>
      <c r="M1145" s="11"/>
      <c r="N1145" s="11"/>
      <c r="O1145" s="11"/>
      <c r="P1145" s="11"/>
      <c r="Q1145" s="11"/>
      <c r="R1145" s="11"/>
      <c r="S1145" s="11"/>
    </row>
    <row r="1146" spans="1:19" hidden="1" x14ac:dyDescent="0.15">
      <c r="A1146" s="34">
        <v>1145</v>
      </c>
      <c r="B1146" s="35" t="s">
        <v>4881</v>
      </c>
      <c r="C1146" s="36" t="s">
        <v>4349</v>
      </c>
      <c r="D1146" s="11" t="s">
        <v>1606</v>
      </c>
      <c r="E1146" s="11" t="s">
        <v>1441</v>
      </c>
      <c r="F1146" s="11">
        <v>15</v>
      </c>
      <c r="G1146" s="11" t="s">
        <v>207</v>
      </c>
      <c r="H1146" s="11" t="s">
        <v>206</v>
      </c>
      <c r="I1146" s="11" t="s">
        <v>339</v>
      </c>
      <c r="J1146" s="11" t="s">
        <v>1608</v>
      </c>
      <c r="K1146" s="11"/>
      <c r="L1146" s="11"/>
      <c r="M1146" s="11" t="s">
        <v>351</v>
      </c>
      <c r="N1146" s="11" t="s">
        <v>4432</v>
      </c>
      <c r="O1146" s="11" t="s">
        <v>4360</v>
      </c>
      <c r="P1146" s="11"/>
      <c r="Q1146" s="11">
        <v>6</v>
      </c>
      <c r="R1146" s="11">
        <v>6</v>
      </c>
      <c r="S1146" s="11" t="s">
        <v>4433</v>
      </c>
    </row>
    <row r="1147" spans="1:19" hidden="1" x14ac:dyDescent="0.15">
      <c r="A1147" s="34">
        <v>1146</v>
      </c>
      <c r="B1147" s="35" t="s">
        <v>4881</v>
      </c>
      <c r="C1147" s="36" t="s">
        <v>4349</v>
      </c>
      <c r="D1147" s="11" t="s">
        <v>1606</v>
      </c>
      <c r="E1147" s="11" t="s">
        <v>1441</v>
      </c>
      <c r="F1147" s="11">
        <v>4</v>
      </c>
      <c r="G1147" s="11" t="s">
        <v>205</v>
      </c>
      <c r="H1147" s="11" t="s">
        <v>204</v>
      </c>
      <c r="I1147" s="11" t="s">
        <v>288</v>
      </c>
      <c r="J1147" s="11"/>
      <c r="K1147" s="11"/>
      <c r="L1147" s="11"/>
      <c r="M1147" s="11" t="s">
        <v>4434</v>
      </c>
      <c r="N1147" s="11"/>
      <c r="O1147" s="11"/>
      <c r="P1147" s="11">
        <v>3</v>
      </c>
      <c r="Q1147" s="11"/>
      <c r="R1147" s="11"/>
      <c r="S1147" s="11" t="s">
        <v>4434</v>
      </c>
    </row>
    <row r="1148" spans="1:19" hidden="1" x14ac:dyDescent="0.15">
      <c r="A1148" s="34">
        <v>1147</v>
      </c>
      <c r="B1148" s="35" t="s">
        <v>4881</v>
      </c>
      <c r="C1148" s="36" t="s">
        <v>4349</v>
      </c>
      <c r="D1148" s="11" t="s">
        <v>1606</v>
      </c>
      <c r="E1148" s="11" t="s">
        <v>1441</v>
      </c>
      <c r="F1148" s="11">
        <v>5</v>
      </c>
      <c r="G1148" s="11" t="s">
        <v>203</v>
      </c>
      <c r="H1148" s="11" t="s">
        <v>202</v>
      </c>
      <c r="I1148" s="11" t="s">
        <v>288</v>
      </c>
      <c r="J1148" s="11"/>
      <c r="K1148" s="11"/>
      <c r="L1148" s="11"/>
      <c r="M1148" s="11" t="s">
        <v>4435</v>
      </c>
      <c r="N1148" s="11" t="s">
        <v>4436</v>
      </c>
      <c r="O1148" s="11"/>
      <c r="P1148" s="11">
        <v>3</v>
      </c>
      <c r="Q1148" s="11"/>
      <c r="R1148" s="11"/>
      <c r="S1148" s="11" t="s">
        <v>4437</v>
      </c>
    </row>
    <row r="1149" spans="1:19" hidden="1" x14ac:dyDescent="0.15">
      <c r="A1149" s="34">
        <v>1148</v>
      </c>
      <c r="B1149" s="35" t="s">
        <v>4881</v>
      </c>
      <c r="C1149" s="36" t="s">
        <v>4349</v>
      </c>
      <c r="D1149" s="11" t="s">
        <v>1606</v>
      </c>
      <c r="E1149" s="11" t="s">
        <v>1441</v>
      </c>
      <c r="F1149" s="11">
        <v>11</v>
      </c>
      <c r="G1149" s="11" t="s">
        <v>201</v>
      </c>
      <c r="H1149" s="11" t="s">
        <v>200</v>
      </c>
      <c r="I1149" s="11" t="s">
        <v>288</v>
      </c>
      <c r="J1149" s="11"/>
      <c r="K1149" s="11"/>
      <c r="L1149" s="11"/>
      <c r="M1149" s="11" t="s">
        <v>4438</v>
      </c>
      <c r="N1149" s="11" t="s">
        <v>4393</v>
      </c>
      <c r="O1149" s="11" t="s">
        <v>4394</v>
      </c>
      <c r="P1149" s="11">
        <v>3</v>
      </c>
      <c r="Q1149" s="11"/>
      <c r="R1149" s="11"/>
      <c r="S1149" s="11" t="s">
        <v>4439</v>
      </c>
    </row>
    <row r="1150" spans="1:19" hidden="1" x14ac:dyDescent="0.15">
      <c r="A1150" s="34">
        <v>1149</v>
      </c>
      <c r="B1150" s="35" t="s">
        <v>4881</v>
      </c>
      <c r="C1150" s="36" t="s">
        <v>4349</v>
      </c>
      <c r="D1150" s="11" t="s">
        <v>1606</v>
      </c>
      <c r="E1150" s="11" t="s">
        <v>1431</v>
      </c>
      <c r="F1150" s="11">
        <v>10</v>
      </c>
      <c r="G1150" s="11" t="s">
        <v>199</v>
      </c>
      <c r="H1150" s="11" t="s">
        <v>198</v>
      </c>
      <c r="I1150" s="11" t="s">
        <v>339</v>
      </c>
      <c r="J1150" s="11" t="s">
        <v>1608</v>
      </c>
      <c r="K1150" s="11"/>
      <c r="L1150" s="11"/>
      <c r="M1150" s="11" t="s">
        <v>351</v>
      </c>
      <c r="N1150" s="11" t="s">
        <v>4440</v>
      </c>
      <c r="O1150" s="11" t="s">
        <v>4383</v>
      </c>
      <c r="P1150" s="11"/>
      <c r="Q1150" s="11">
        <v>6</v>
      </c>
      <c r="R1150" s="11">
        <v>6</v>
      </c>
      <c r="S1150" s="11" t="s">
        <v>4441</v>
      </c>
    </row>
    <row r="1151" spans="1:19" hidden="1" x14ac:dyDescent="0.15">
      <c r="A1151" s="34">
        <v>1150</v>
      </c>
      <c r="B1151" s="35" t="s">
        <v>4881</v>
      </c>
      <c r="C1151" s="36" t="s">
        <v>4349</v>
      </c>
      <c r="D1151" s="11" t="s">
        <v>1606</v>
      </c>
      <c r="E1151" s="11" t="s">
        <v>1431</v>
      </c>
      <c r="F1151" s="11">
        <v>10</v>
      </c>
      <c r="G1151" s="11" t="s">
        <v>197</v>
      </c>
      <c r="H1151" s="11" t="s">
        <v>196</v>
      </c>
      <c r="I1151" s="11" t="s">
        <v>339</v>
      </c>
      <c r="J1151" s="11" t="s">
        <v>4398</v>
      </c>
      <c r="K1151" s="11"/>
      <c r="L1151" s="11"/>
      <c r="M1151" s="11" t="s">
        <v>4442</v>
      </c>
      <c r="N1151" s="11" t="s">
        <v>4443</v>
      </c>
      <c r="O1151" s="11" t="s">
        <v>4444</v>
      </c>
      <c r="P1151" s="11"/>
      <c r="Q1151" s="11">
        <v>5</v>
      </c>
      <c r="R1151" s="11">
        <v>5</v>
      </c>
      <c r="S1151" s="11" t="s">
        <v>4445</v>
      </c>
    </row>
    <row r="1152" spans="1:19" hidden="1" x14ac:dyDescent="0.15">
      <c r="A1152" s="34">
        <v>1151</v>
      </c>
      <c r="B1152" s="35" t="s">
        <v>4881</v>
      </c>
      <c r="C1152" s="36" t="s">
        <v>4349</v>
      </c>
      <c r="D1152" s="11" t="s">
        <v>1606</v>
      </c>
      <c r="E1152" s="11" t="s">
        <v>1431</v>
      </c>
      <c r="F1152" s="11">
        <v>7</v>
      </c>
      <c r="G1152" s="11" t="s">
        <v>195</v>
      </c>
      <c r="H1152" s="11" t="s">
        <v>194</v>
      </c>
      <c r="I1152" s="11" t="s">
        <v>339</v>
      </c>
      <c r="J1152" s="11" t="s">
        <v>4446</v>
      </c>
      <c r="K1152" s="11" t="s">
        <v>1470</v>
      </c>
      <c r="L1152" s="11"/>
      <c r="M1152" s="11" t="s">
        <v>4447</v>
      </c>
      <c r="N1152" s="11" t="s">
        <v>4360</v>
      </c>
      <c r="O1152" s="11"/>
      <c r="P1152" s="11"/>
      <c r="Q1152" s="11">
        <v>1</v>
      </c>
      <c r="R1152" s="11">
        <v>1</v>
      </c>
      <c r="S1152" s="11" t="s">
        <v>4448</v>
      </c>
    </row>
    <row r="1153" spans="1:19" hidden="1" x14ac:dyDescent="0.15">
      <c r="A1153" s="34">
        <v>1152</v>
      </c>
      <c r="B1153" s="35" t="s">
        <v>4881</v>
      </c>
      <c r="C1153" s="36" t="s">
        <v>4349</v>
      </c>
      <c r="D1153" s="11" t="s">
        <v>1582</v>
      </c>
      <c r="E1153" s="11" t="s">
        <v>1744</v>
      </c>
      <c r="F1153" s="11">
        <v>8</v>
      </c>
      <c r="G1153" s="11" t="s">
        <v>193</v>
      </c>
      <c r="H1153" s="11" t="s">
        <v>192</v>
      </c>
      <c r="I1153" s="11" t="s">
        <v>339</v>
      </c>
      <c r="J1153" s="11" t="s">
        <v>1489</v>
      </c>
      <c r="K1153" s="11"/>
      <c r="L1153" s="11"/>
      <c r="M1153" s="11" t="s">
        <v>1944</v>
      </c>
      <c r="N1153" s="11" t="s">
        <v>4449</v>
      </c>
      <c r="O1153" s="11"/>
      <c r="P1153" s="11"/>
      <c r="Q1153" s="11">
        <v>1</v>
      </c>
      <c r="R1153" s="11">
        <v>1</v>
      </c>
      <c r="S1153" s="11" t="s">
        <v>4450</v>
      </c>
    </row>
    <row r="1154" spans="1:19" hidden="1" x14ac:dyDescent="0.15">
      <c r="A1154" s="34">
        <v>1153</v>
      </c>
      <c r="B1154" s="35" t="s">
        <v>4881</v>
      </c>
      <c r="C1154" s="36" t="s">
        <v>4349</v>
      </c>
      <c r="D1154" s="11" t="s">
        <v>1582</v>
      </c>
      <c r="E1154" s="11" t="s">
        <v>1744</v>
      </c>
      <c r="F1154" s="11">
        <v>6</v>
      </c>
      <c r="G1154" s="11" t="s">
        <v>191</v>
      </c>
      <c r="H1154" s="11" t="s">
        <v>190</v>
      </c>
      <c r="I1154" s="11" t="s">
        <v>339</v>
      </c>
      <c r="J1154" s="11" t="s">
        <v>1484</v>
      </c>
      <c r="K1154" s="11"/>
      <c r="L1154" s="11"/>
      <c r="M1154" s="11" t="s">
        <v>4451</v>
      </c>
      <c r="N1154" s="11"/>
      <c r="O1154" s="11"/>
      <c r="P1154" s="11"/>
      <c r="Q1154" s="11">
        <v>1</v>
      </c>
      <c r="R1154" s="11">
        <v>1</v>
      </c>
      <c r="S1154" s="11" t="s">
        <v>4451</v>
      </c>
    </row>
    <row r="1155" spans="1:19" hidden="1" x14ac:dyDescent="0.15">
      <c r="A1155" s="34">
        <v>1154</v>
      </c>
      <c r="B1155" s="35" t="s">
        <v>4881</v>
      </c>
      <c r="C1155" s="36" t="s">
        <v>4349</v>
      </c>
      <c r="D1155" s="11" t="s">
        <v>1582</v>
      </c>
      <c r="E1155" s="11" t="s">
        <v>1744</v>
      </c>
      <c r="F1155" s="11">
        <v>10</v>
      </c>
      <c r="G1155" s="11" t="s">
        <v>189</v>
      </c>
      <c r="H1155" s="11" t="s">
        <v>188</v>
      </c>
      <c r="I1155" s="11" t="s">
        <v>339</v>
      </c>
      <c r="J1155" s="11" t="s">
        <v>2802</v>
      </c>
      <c r="K1155" s="11"/>
      <c r="L1155" s="11"/>
      <c r="M1155" s="11" t="s">
        <v>4452</v>
      </c>
      <c r="N1155" s="11" t="s">
        <v>4362</v>
      </c>
      <c r="O1155" s="11"/>
      <c r="P1155" s="11"/>
      <c r="Q1155" s="11">
        <v>3</v>
      </c>
      <c r="R1155" s="11">
        <v>3</v>
      </c>
      <c r="S1155" s="11" t="s">
        <v>4453</v>
      </c>
    </row>
    <row r="1156" spans="1:19" hidden="1" x14ac:dyDescent="0.15">
      <c r="A1156" s="34">
        <v>1155</v>
      </c>
      <c r="B1156" s="35" t="s">
        <v>4881</v>
      </c>
      <c r="C1156" s="36" t="s">
        <v>4349</v>
      </c>
      <c r="D1156" s="11" t="s">
        <v>1582</v>
      </c>
      <c r="E1156" s="11" t="s">
        <v>1744</v>
      </c>
      <c r="F1156" s="11">
        <v>6</v>
      </c>
      <c r="G1156" s="11" t="s">
        <v>187</v>
      </c>
      <c r="H1156" s="11" t="s">
        <v>186</v>
      </c>
      <c r="I1156" s="11" t="s">
        <v>339</v>
      </c>
      <c r="J1156" s="11" t="s">
        <v>1484</v>
      </c>
      <c r="K1156" s="11" t="s">
        <v>4454</v>
      </c>
      <c r="L1156" s="11"/>
      <c r="M1156" s="11" t="s">
        <v>4455</v>
      </c>
      <c r="N1156" s="11"/>
      <c r="O1156" s="11"/>
      <c r="P1156" s="11"/>
      <c r="Q1156" s="11">
        <v>2</v>
      </c>
      <c r="R1156" s="11">
        <v>2</v>
      </c>
      <c r="S1156" s="11" t="s">
        <v>4455</v>
      </c>
    </row>
    <row r="1157" spans="1:19" hidden="1" x14ac:dyDescent="0.15">
      <c r="A1157" s="34">
        <v>1156</v>
      </c>
      <c r="B1157" s="35" t="s">
        <v>4881</v>
      </c>
      <c r="C1157" s="36" t="s">
        <v>4349</v>
      </c>
      <c r="D1157" s="11" t="s">
        <v>1582</v>
      </c>
      <c r="E1157" s="11" t="s">
        <v>1744</v>
      </c>
      <c r="F1157" s="11">
        <v>9</v>
      </c>
      <c r="G1157" s="11" t="s">
        <v>185</v>
      </c>
      <c r="H1157" s="11" t="s">
        <v>184</v>
      </c>
      <c r="I1157" s="11" t="s">
        <v>339</v>
      </c>
      <c r="J1157" s="11" t="s">
        <v>4456</v>
      </c>
      <c r="K1157" s="11" t="s">
        <v>1470</v>
      </c>
      <c r="L1157" s="11"/>
      <c r="M1157" s="11" t="s">
        <v>4457</v>
      </c>
      <c r="N1157" s="11"/>
      <c r="O1157" s="11"/>
      <c r="P1157" s="11"/>
      <c r="Q1157" s="11">
        <v>3</v>
      </c>
      <c r="R1157" s="11">
        <v>2</v>
      </c>
      <c r="S1157" s="11" t="s">
        <v>4457</v>
      </c>
    </row>
    <row r="1158" spans="1:19" hidden="1" x14ac:dyDescent="0.15">
      <c r="A1158" s="34">
        <v>1157</v>
      </c>
      <c r="B1158" s="35" t="s">
        <v>4881</v>
      </c>
      <c r="C1158" s="36" t="s">
        <v>4349</v>
      </c>
      <c r="D1158" s="11" t="s">
        <v>1582</v>
      </c>
      <c r="E1158" s="11" t="s">
        <v>1744</v>
      </c>
      <c r="F1158" s="11">
        <v>5</v>
      </c>
      <c r="G1158" s="11" t="s">
        <v>4851</v>
      </c>
      <c r="H1158" s="11" t="s">
        <v>182</v>
      </c>
      <c r="I1158" s="11" t="s">
        <v>339</v>
      </c>
      <c r="J1158" s="11" t="s">
        <v>4458</v>
      </c>
      <c r="K1158" s="11" t="s">
        <v>2793</v>
      </c>
      <c r="L1158" s="11"/>
      <c r="M1158" s="11" t="s">
        <v>4459</v>
      </c>
      <c r="N1158" s="11"/>
      <c r="O1158" s="11"/>
      <c r="P1158" s="11"/>
      <c r="Q1158" s="11">
        <v>4</v>
      </c>
      <c r="R1158" s="11">
        <v>5</v>
      </c>
      <c r="S1158" s="11" t="s">
        <v>4459</v>
      </c>
    </row>
    <row r="1159" spans="1:19" hidden="1" x14ac:dyDescent="0.15">
      <c r="A1159" s="34">
        <v>1158</v>
      </c>
      <c r="B1159" s="35" t="s">
        <v>4881</v>
      </c>
      <c r="C1159" s="36" t="s">
        <v>4349</v>
      </c>
      <c r="D1159" s="11" t="s">
        <v>1582</v>
      </c>
      <c r="E1159" s="11" t="s">
        <v>1744</v>
      </c>
      <c r="F1159" s="11">
        <v>7</v>
      </c>
      <c r="G1159" s="11" t="s">
        <v>4852</v>
      </c>
      <c r="H1159" s="11" t="s">
        <v>180</v>
      </c>
      <c r="I1159" s="11" t="s">
        <v>1453</v>
      </c>
      <c r="J1159" s="11"/>
      <c r="K1159" s="11"/>
      <c r="L1159" s="11"/>
      <c r="M1159" s="11" t="s">
        <v>2086</v>
      </c>
      <c r="N1159" s="11"/>
      <c r="O1159" s="11"/>
      <c r="P1159" s="11"/>
      <c r="Q1159" s="11"/>
      <c r="R1159" s="11"/>
      <c r="S1159" s="11" t="s">
        <v>2086</v>
      </c>
    </row>
    <row r="1160" spans="1:19" hidden="1" x14ac:dyDescent="0.15">
      <c r="A1160" s="34">
        <v>1159</v>
      </c>
      <c r="B1160" s="35" t="s">
        <v>4881</v>
      </c>
      <c r="C1160" s="36" t="s">
        <v>4349</v>
      </c>
      <c r="D1160" s="11" t="s">
        <v>1582</v>
      </c>
      <c r="E1160" s="11" t="s">
        <v>1744</v>
      </c>
      <c r="F1160" s="11">
        <v>10</v>
      </c>
      <c r="G1160" s="11" t="s">
        <v>179</v>
      </c>
      <c r="H1160" s="11" t="s">
        <v>178</v>
      </c>
      <c r="I1160" s="11" t="s">
        <v>1453</v>
      </c>
      <c r="J1160" s="11"/>
      <c r="K1160" s="11"/>
      <c r="L1160" s="11"/>
      <c r="M1160" s="11" t="s">
        <v>4460</v>
      </c>
      <c r="N1160" s="11"/>
      <c r="O1160" s="11"/>
      <c r="P1160" s="11"/>
      <c r="Q1160" s="11"/>
      <c r="R1160" s="11"/>
      <c r="S1160" s="11" t="s">
        <v>4460</v>
      </c>
    </row>
    <row r="1161" spans="1:19" hidden="1" x14ac:dyDescent="0.15">
      <c r="A1161" s="34">
        <v>1160</v>
      </c>
      <c r="B1161" s="35" t="s">
        <v>4881</v>
      </c>
      <c r="C1161" s="36" t="s">
        <v>4349</v>
      </c>
      <c r="D1161" s="11" t="s">
        <v>1582</v>
      </c>
      <c r="E1161" s="11" t="s">
        <v>1744</v>
      </c>
      <c r="F1161" s="11">
        <v>5</v>
      </c>
      <c r="G1161" s="11" t="s">
        <v>177</v>
      </c>
      <c r="H1161" s="11" t="s">
        <v>176</v>
      </c>
      <c r="I1161" s="11" t="s">
        <v>1453</v>
      </c>
      <c r="J1161" s="11"/>
      <c r="K1161" s="11"/>
      <c r="L1161" s="11"/>
      <c r="M1161" s="11" t="s">
        <v>4461</v>
      </c>
      <c r="N1161" s="11"/>
      <c r="O1161" s="11"/>
      <c r="P1161" s="11"/>
      <c r="Q1161" s="11"/>
      <c r="R1161" s="11"/>
      <c r="S1161" s="11" t="s">
        <v>4461</v>
      </c>
    </row>
    <row r="1162" spans="1:19" hidden="1" x14ac:dyDescent="0.15">
      <c r="A1162" s="34">
        <v>1161</v>
      </c>
      <c r="B1162" s="35" t="s">
        <v>4881</v>
      </c>
      <c r="C1162" s="36" t="s">
        <v>4349</v>
      </c>
      <c r="D1162" s="11" t="s">
        <v>1582</v>
      </c>
      <c r="E1162" s="11" t="s">
        <v>1744</v>
      </c>
      <c r="F1162" s="11">
        <v>7</v>
      </c>
      <c r="G1162" s="11" t="s">
        <v>175</v>
      </c>
      <c r="H1162" s="11" t="s">
        <v>174</v>
      </c>
      <c r="I1162" s="11" t="s">
        <v>1453</v>
      </c>
      <c r="J1162" s="11"/>
      <c r="K1162" s="11"/>
      <c r="L1162" s="11"/>
      <c r="M1162" s="11" t="s">
        <v>4462</v>
      </c>
      <c r="N1162" s="11" t="s">
        <v>4383</v>
      </c>
      <c r="O1162" s="11"/>
      <c r="P1162" s="11"/>
      <c r="Q1162" s="11"/>
      <c r="R1162" s="11"/>
      <c r="S1162" s="11" t="s">
        <v>4463</v>
      </c>
    </row>
    <row r="1163" spans="1:19" hidden="1" x14ac:dyDescent="0.15">
      <c r="A1163" s="34">
        <v>1162</v>
      </c>
      <c r="B1163" s="35" t="s">
        <v>4881</v>
      </c>
      <c r="C1163" s="36" t="s">
        <v>4349</v>
      </c>
      <c r="D1163" s="11" t="s">
        <v>1582</v>
      </c>
      <c r="E1163" s="11" t="s">
        <v>1744</v>
      </c>
      <c r="F1163" s="11">
        <v>9</v>
      </c>
      <c r="G1163" s="11" t="s">
        <v>173</v>
      </c>
      <c r="H1163" s="11" t="s">
        <v>172</v>
      </c>
      <c r="I1163" s="11" t="s">
        <v>1453</v>
      </c>
      <c r="J1163" s="11"/>
      <c r="K1163" s="11"/>
      <c r="L1163" s="11"/>
      <c r="M1163" s="11" t="s">
        <v>4464</v>
      </c>
      <c r="N1163" s="11" t="s">
        <v>4383</v>
      </c>
      <c r="O1163" s="11"/>
      <c r="P1163" s="11"/>
      <c r="Q1163" s="11"/>
      <c r="R1163" s="11"/>
      <c r="S1163" s="11" t="s">
        <v>4465</v>
      </c>
    </row>
    <row r="1164" spans="1:19" hidden="1" x14ac:dyDescent="0.15">
      <c r="A1164" s="34">
        <v>1163</v>
      </c>
      <c r="B1164" s="35" t="s">
        <v>4881</v>
      </c>
      <c r="C1164" s="36" t="s">
        <v>4349</v>
      </c>
      <c r="D1164" s="11" t="s">
        <v>1582</v>
      </c>
      <c r="E1164" s="11" t="s">
        <v>1744</v>
      </c>
      <c r="F1164" s="11">
        <v>9</v>
      </c>
      <c r="G1164" s="11" t="s">
        <v>4885</v>
      </c>
      <c r="H1164" s="11" t="s">
        <v>171</v>
      </c>
      <c r="I1164" s="11" t="s">
        <v>288</v>
      </c>
      <c r="J1164" s="11" t="s">
        <v>6306</v>
      </c>
      <c r="K1164" s="11" t="s">
        <v>6308</v>
      </c>
      <c r="L1164" s="11"/>
      <c r="M1164" s="11" t="s">
        <v>4466</v>
      </c>
      <c r="N1164" s="11" t="s">
        <v>4467</v>
      </c>
      <c r="O1164" s="11"/>
      <c r="P1164" s="11">
        <v>3</v>
      </c>
      <c r="Q1164" s="11"/>
      <c r="R1164" s="11"/>
      <c r="S1164" s="11" t="s">
        <v>4468</v>
      </c>
    </row>
    <row r="1165" spans="1:19" hidden="1" x14ac:dyDescent="0.15">
      <c r="A1165" s="34">
        <v>1164</v>
      </c>
      <c r="B1165" s="35" t="s">
        <v>4881</v>
      </c>
      <c r="C1165" s="36" t="s">
        <v>4349</v>
      </c>
      <c r="D1165" s="11" t="s">
        <v>1582</v>
      </c>
      <c r="E1165" s="11" t="s">
        <v>1451</v>
      </c>
      <c r="F1165" s="11">
        <v>15</v>
      </c>
      <c r="G1165" s="11" t="s">
        <v>170</v>
      </c>
      <c r="H1165" s="11" t="s">
        <v>169</v>
      </c>
      <c r="I1165" s="11" t="s">
        <v>339</v>
      </c>
      <c r="J1165" s="11" t="s">
        <v>2948</v>
      </c>
      <c r="K1165" s="11"/>
      <c r="L1165" s="11"/>
      <c r="M1165" s="11" t="s">
        <v>3348</v>
      </c>
      <c r="N1165" s="11" t="s">
        <v>4469</v>
      </c>
      <c r="O1165" s="11"/>
      <c r="P1165" s="11"/>
      <c r="Q1165" s="11">
        <v>4</v>
      </c>
      <c r="R1165" s="11">
        <v>3</v>
      </c>
      <c r="S1165" s="11" t="s">
        <v>4470</v>
      </c>
    </row>
    <row r="1166" spans="1:19" hidden="1" x14ac:dyDescent="0.15">
      <c r="A1166" s="34">
        <v>1165</v>
      </c>
      <c r="B1166" s="35" t="s">
        <v>4881</v>
      </c>
      <c r="C1166" s="36" t="s">
        <v>4349</v>
      </c>
      <c r="D1166" s="11" t="s">
        <v>1582</v>
      </c>
      <c r="E1166" s="11" t="s">
        <v>1451</v>
      </c>
      <c r="F1166" s="11">
        <v>13</v>
      </c>
      <c r="G1166" s="11" t="s">
        <v>168</v>
      </c>
      <c r="H1166" s="11" t="s">
        <v>167</v>
      </c>
      <c r="I1166" s="11" t="s">
        <v>339</v>
      </c>
      <c r="J1166" s="11" t="s">
        <v>1484</v>
      </c>
      <c r="K1166" s="11"/>
      <c r="L1166" s="11"/>
      <c r="M1166" s="11" t="s">
        <v>4471</v>
      </c>
      <c r="N1166" s="11"/>
      <c r="O1166" s="11"/>
      <c r="P1166" s="11"/>
      <c r="Q1166" s="11">
        <v>4</v>
      </c>
      <c r="R1166" s="11">
        <v>4</v>
      </c>
      <c r="S1166" s="11" t="s">
        <v>4471</v>
      </c>
    </row>
    <row r="1167" spans="1:19" hidden="1" x14ac:dyDescent="0.15">
      <c r="A1167" s="34">
        <v>1166</v>
      </c>
      <c r="B1167" s="35" t="s">
        <v>4881</v>
      </c>
      <c r="C1167" s="36" t="s">
        <v>4349</v>
      </c>
      <c r="D1167" s="11" t="s">
        <v>1582</v>
      </c>
      <c r="E1167" s="11" t="s">
        <v>1451</v>
      </c>
      <c r="F1167" s="11">
        <v>14</v>
      </c>
      <c r="G1167" s="11" t="s">
        <v>166</v>
      </c>
      <c r="H1167" s="11" t="s">
        <v>165</v>
      </c>
      <c r="I1167" s="11" t="s">
        <v>339</v>
      </c>
      <c r="J1167" s="11" t="s">
        <v>1484</v>
      </c>
      <c r="K1167" s="11"/>
      <c r="L1167" s="11"/>
      <c r="M1167" s="11" t="s">
        <v>4472</v>
      </c>
      <c r="N1167" s="11" t="s">
        <v>4473</v>
      </c>
      <c r="O1167" s="11"/>
      <c r="P1167" s="11"/>
      <c r="Q1167" s="11">
        <v>3</v>
      </c>
      <c r="R1167" s="11">
        <v>4</v>
      </c>
      <c r="S1167" s="11" t="s">
        <v>4474</v>
      </c>
    </row>
    <row r="1168" spans="1:19" hidden="1" x14ac:dyDescent="0.15">
      <c r="A1168" s="34">
        <v>1167</v>
      </c>
      <c r="B1168" s="35" t="s">
        <v>4881</v>
      </c>
      <c r="C1168" s="36" t="s">
        <v>4349</v>
      </c>
      <c r="D1168" s="11" t="s">
        <v>1582</v>
      </c>
      <c r="E1168" s="11" t="s">
        <v>1451</v>
      </c>
      <c r="F1168" s="11">
        <v>9</v>
      </c>
      <c r="G1168" s="11" t="s">
        <v>164</v>
      </c>
      <c r="H1168" s="11" t="s">
        <v>163</v>
      </c>
      <c r="I1168" s="11" t="s">
        <v>339</v>
      </c>
      <c r="J1168" s="11" t="s">
        <v>1489</v>
      </c>
      <c r="K1168" s="11" t="s">
        <v>2861</v>
      </c>
      <c r="L1168" s="11"/>
      <c r="M1168" s="11" t="s">
        <v>4475</v>
      </c>
      <c r="N1168" s="11"/>
      <c r="O1168" s="11"/>
      <c r="P1168" s="11"/>
      <c r="Q1168" s="11">
        <v>3</v>
      </c>
      <c r="R1168" s="11">
        <v>4</v>
      </c>
      <c r="S1168" s="11" t="s">
        <v>4475</v>
      </c>
    </row>
    <row r="1169" spans="1:19" hidden="1" x14ac:dyDescent="0.15">
      <c r="A1169" s="34">
        <v>1168</v>
      </c>
      <c r="B1169" s="35" t="s">
        <v>4881</v>
      </c>
      <c r="C1169" s="36" t="s">
        <v>4349</v>
      </c>
      <c r="D1169" s="11" t="s">
        <v>1582</v>
      </c>
      <c r="E1169" s="11" t="s">
        <v>1451</v>
      </c>
      <c r="F1169" s="11">
        <v>7</v>
      </c>
      <c r="G1169" s="11" t="s">
        <v>4853</v>
      </c>
      <c r="H1169" s="11" t="s">
        <v>162</v>
      </c>
      <c r="I1169" s="11" t="s">
        <v>1453</v>
      </c>
      <c r="J1169" s="11"/>
      <c r="K1169" s="11"/>
      <c r="L1169" s="11"/>
      <c r="M1169" s="11" t="s">
        <v>4476</v>
      </c>
      <c r="N1169" s="11" t="s">
        <v>4383</v>
      </c>
      <c r="O1169" s="11" t="s">
        <v>4477</v>
      </c>
      <c r="P1169" s="11"/>
      <c r="Q1169" s="11"/>
      <c r="R1169" s="11"/>
      <c r="S1169" s="11" t="s">
        <v>4478</v>
      </c>
    </row>
    <row r="1170" spans="1:19" hidden="1" x14ac:dyDescent="0.15">
      <c r="A1170" s="34">
        <v>1169</v>
      </c>
      <c r="B1170" s="35" t="s">
        <v>4881</v>
      </c>
      <c r="C1170" s="36" t="s">
        <v>4349</v>
      </c>
      <c r="D1170" s="11" t="s">
        <v>1582</v>
      </c>
      <c r="E1170" s="11" t="s">
        <v>1451</v>
      </c>
      <c r="F1170" s="11">
        <v>5</v>
      </c>
      <c r="G1170" s="11" t="s">
        <v>161</v>
      </c>
      <c r="H1170" s="11" t="s">
        <v>160</v>
      </c>
      <c r="I1170" s="11" t="s">
        <v>288</v>
      </c>
      <c r="J1170" s="11"/>
      <c r="K1170" s="11"/>
      <c r="L1170" s="11"/>
      <c r="M1170" s="11" t="s">
        <v>4479</v>
      </c>
      <c r="N1170" s="11"/>
      <c r="O1170" s="11"/>
      <c r="P1170" s="11">
        <v>3</v>
      </c>
      <c r="Q1170" s="11"/>
      <c r="R1170" s="11"/>
      <c r="S1170" s="11" t="s">
        <v>4479</v>
      </c>
    </row>
    <row r="1171" spans="1:19" hidden="1" x14ac:dyDescent="0.15">
      <c r="A1171" s="34">
        <v>1170</v>
      </c>
      <c r="B1171" s="35" t="s">
        <v>4881</v>
      </c>
      <c r="C1171" s="36" t="s">
        <v>4349</v>
      </c>
      <c r="D1171" s="11" t="s">
        <v>1582</v>
      </c>
      <c r="E1171" s="11" t="s">
        <v>1451</v>
      </c>
      <c r="F1171" s="11">
        <v>8</v>
      </c>
      <c r="G1171" s="11" t="s">
        <v>4854</v>
      </c>
      <c r="H1171" s="11" t="s">
        <v>158</v>
      </c>
      <c r="I1171" s="11" t="s">
        <v>288</v>
      </c>
      <c r="J1171" s="11"/>
      <c r="K1171" s="11"/>
      <c r="L1171" s="11"/>
      <c r="M1171" s="11" t="s">
        <v>4480</v>
      </c>
      <c r="N1171" s="11" t="s">
        <v>4393</v>
      </c>
      <c r="O1171" s="11" t="s">
        <v>4394</v>
      </c>
      <c r="P1171" s="11">
        <v>3</v>
      </c>
      <c r="Q1171" s="11"/>
      <c r="R1171" s="11"/>
      <c r="S1171" s="11" t="s">
        <v>4481</v>
      </c>
    </row>
    <row r="1172" spans="1:19" hidden="1" x14ac:dyDescent="0.15">
      <c r="A1172" s="34">
        <v>1171</v>
      </c>
      <c r="B1172" s="35" t="s">
        <v>4881</v>
      </c>
      <c r="C1172" s="36" t="s">
        <v>4349</v>
      </c>
      <c r="D1172" s="11" t="s">
        <v>1582</v>
      </c>
      <c r="E1172" s="11" t="s">
        <v>1441</v>
      </c>
      <c r="F1172" s="11">
        <v>19</v>
      </c>
      <c r="G1172" s="11" t="s">
        <v>157</v>
      </c>
      <c r="H1172" s="11" t="s">
        <v>156</v>
      </c>
      <c r="I1172" s="11" t="s">
        <v>339</v>
      </c>
      <c r="J1172" s="11" t="s">
        <v>2793</v>
      </c>
      <c r="K1172" s="11"/>
      <c r="L1172" s="11"/>
      <c r="M1172" s="11" t="s">
        <v>351</v>
      </c>
      <c r="N1172" s="11" t="s">
        <v>4482</v>
      </c>
      <c r="O1172" s="11" t="s">
        <v>4483</v>
      </c>
      <c r="P1172" s="11"/>
      <c r="Q1172" s="11">
        <v>5</v>
      </c>
      <c r="R1172" s="11">
        <v>4</v>
      </c>
      <c r="S1172" s="11" t="s">
        <v>4484</v>
      </c>
    </row>
    <row r="1173" spans="1:19" hidden="1" x14ac:dyDescent="0.15">
      <c r="A1173" s="34">
        <v>1172</v>
      </c>
      <c r="B1173" s="35" t="s">
        <v>4881</v>
      </c>
      <c r="C1173" s="36" t="s">
        <v>4349</v>
      </c>
      <c r="D1173" s="11" t="s">
        <v>1582</v>
      </c>
      <c r="E1173" s="11" t="s">
        <v>1441</v>
      </c>
      <c r="F1173" s="11">
        <v>15</v>
      </c>
      <c r="G1173" s="11" t="s">
        <v>155</v>
      </c>
      <c r="H1173" s="11" t="s">
        <v>154</v>
      </c>
      <c r="I1173" s="11" t="s">
        <v>339</v>
      </c>
      <c r="J1173" s="11" t="s">
        <v>1484</v>
      </c>
      <c r="K1173" s="11" t="s">
        <v>4454</v>
      </c>
      <c r="L1173" s="11"/>
      <c r="M1173" s="11" t="s">
        <v>2595</v>
      </c>
      <c r="N1173" s="11" t="s">
        <v>4485</v>
      </c>
      <c r="O1173" s="11" t="s">
        <v>4486</v>
      </c>
      <c r="P1173" s="11"/>
      <c r="Q1173" s="11">
        <v>4</v>
      </c>
      <c r="R1173" s="11">
        <v>3</v>
      </c>
      <c r="S1173" s="11" t="s">
        <v>4487</v>
      </c>
    </row>
    <row r="1174" spans="1:19" hidden="1" x14ac:dyDescent="0.15">
      <c r="A1174" s="34">
        <v>1173</v>
      </c>
      <c r="B1174" s="35" t="s">
        <v>4881</v>
      </c>
      <c r="C1174" s="36" t="s">
        <v>4349</v>
      </c>
      <c r="D1174" s="11" t="s">
        <v>1582</v>
      </c>
      <c r="E1174" s="11" t="s">
        <v>1441</v>
      </c>
      <c r="F1174" s="11">
        <v>12</v>
      </c>
      <c r="G1174" s="11" t="s">
        <v>4922</v>
      </c>
      <c r="H1174" s="11" t="s">
        <v>152</v>
      </c>
      <c r="I1174" s="11" t="s">
        <v>339</v>
      </c>
      <c r="J1174" s="11" t="s">
        <v>1484</v>
      </c>
      <c r="K1174" s="11" t="s">
        <v>357</v>
      </c>
      <c r="L1174" s="11"/>
      <c r="M1174" s="11" t="s">
        <v>2048</v>
      </c>
      <c r="N1174" s="11" t="s">
        <v>4488</v>
      </c>
      <c r="O1174" s="11" t="s">
        <v>4489</v>
      </c>
      <c r="P1174" s="11"/>
      <c r="Q1174" s="11">
        <v>6</v>
      </c>
      <c r="R1174" s="11">
        <v>5</v>
      </c>
      <c r="S1174" s="11" t="s">
        <v>4490</v>
      </c>
    </row>
    <row r="1175" spans="1:19" hidden="1" x14ac:dyDescent="0.15">
      <c r="A1175" s="34">
        <v>1174</v>
      </c>
      <c r="B1175" s="35" t="s">
        <v>4881</v>
      </c>
      <c r="C1175" s="36" t="s">
        <v>4349</v>
      </c>
      <c r="D1175" s="11" t="s">
        <v>1582</v>
      </c>
      <c r="E1175" s="11" t="s">
        <v>1441</v>
      </c>
      <c r="F1175" s="11">
        <v>12</v>
      </c>
      <c r="G1175" s="11" t="s">
        <v>151</v>
      </c>
      <c r="H1175" s="11" t="s">
        <v>150</v>
      </c>
      <c r="I1175" s="11" t="s">
        <v>1453</v>
      </c>
      <c r="J1175" s="11"/>
      <c r="K1175" s="11"/>
      <c r="L1175" s="11"/>
      <c r="M1175" s="11" t="s">
        <v>4491</v>
      </c>
      <c r="N1175" s="11"/>
      <c r="O1175" s="11"/>
      <c r="P1175" s="11"/>
      <c r="Q1175" s="11"/>
      <c r="R1175" s="11"/>
      <c r="S1175" s="11" t="s">
        <v>4491</v>
      </c>
    </row>
    <row r="1176" spans="1:19" hidden="1" x14ac:dyDescent="0.15">
      <c r="A1176" s="34">
        <v>1175</v>
      </c>
      <c r="B1176" s="35" t="s">
        <v>4881</v>
      </c>
      <c r="C1176" s="36" t="s">
        <v>4349</v>
      </c>
      <c r="D1176" s="11" t="s">
        <v>1582</v>
      </c>
      <c r="E1176" s="11" t="s">
        <v>1431</v>
      </c>
      <c r="F1176" s="11">
        <v>8</v>
      </c>
      <c r="G1176" s="11" t="s">
        <v>4923</v>
      </c>
      <c r="H1176" s="11" t="s">
        <v>148</v>
      </c>
      <c r="I1176" s="11" t="s">
        <v>339</v>
      </c>
      <c r="J1176" s="11" t="s">
        <v>4398</v>
      </c>
      <c r="K1176" s="11"/>
      <c r="L1176" s="11"/>
      <c r="M1176" s="11" t="s">
        <v>4492</v>
      </c>
      <c r="N1176" s="11" t="s">
        <v>4493</v>
      </c>
      <c r="O1176" s="11" t="s">
        <v>4494</v>
      </c>
      <c r="P1176" s="11"/>
      <c r="Q1176" s="11">
        <v>8</v>
      </c>
      <c r="R1176" s="11">
        <v>8</v>
      </c>
      <c r="S1176" s="11" t="s">
        <v>4495</v>
      </c>
    </row>
    <row r="1177" spans="1:19" hidden="1" x14ac:dyDescent="0.15">
      <c r="A1177" s="34">
        <v>1176</v>
      </c>
      <c r="B1177" s="35" t="s">
        <v>4881</v>
      </c>
      <c r="C1177" s="36" t="s">
        <v>4349</v>
      </c>
      <c r="D1177" s="11" t="s">
        <v>1582</v>
      </c>
      <c r="E1177" s="11" t="s">
        <v>1431</v>
      </c>
      <c r="F1177" s="11">
        <v>11</v>
      </c>
      <c r="G1177" s="11" t="s">
        <v>4496</v>
      </c>
      <c r="H1177" s="11" t="s">
        <v>4497</v>
      </c>
      <c r="I1177" s="11" t="s">
        <v>288</v>
      </c>
      <c r="J1177" s="11"/>
      <c r="K1177" s="11"/>
      <c r="L1177" s="11"/>
      <c r="M1177" s="11" t="s">
        <v>4498</v>
      </c>
      <c r="N1177" s="11"/>
      <c r="O1177" s="11"/>
      <c r="P1177" s="11">
        <v>2</v>
      </c>
      <c r="Q1177" s="11"/>
      <c r="R1177" s="11"/>
      <c r="S1177" s="11" t="s">
        <v>4498</v>
      </c>
    </row>
    <row r="1178" spans="1:19" hidden="1" x14ac:dyDescent="0.15">
      <c r="A1178" s="34">
        <v>1177</v>
      </c>
      <c r="B1178" s="35" t="s">
        <v>4881</v>
      </c>
      <c r="C1178" s="36" t="s">
        <v>4349</v>
      </c>
      <c r="D1178" s="11" t="s">
        <v>1552</v>
      </c>
      <c r="E1178" s="11" t="s">
        <v>1744</v>
      </c>
      <c r="F1178" s="11">
        <v>9</v>
      </c>
      <c r="G1178" s="11" t="s">
        <v>147</v>
      </c>
      <c r="H1178" s="11" t="s">
        <v>146</v>
      </c>
      <c r="I1178" s="11" t="s">
        <v>339</v>
      </c>
      <c r="J1178" s="11" t="s">
        <v>357</v>
      </c>
      <c r="K1178" s="11"/>
      <c r="L1178" s="11"/>
      <c r="M1178" s="11" t="s">
        <v>4362</v>
      </c>
      <c r="N1178" s="11"/>
      <c r="O1178" s="11"/>
      <c r="P1178" s="11"/>
      <c r="Q1178" s="11">
        <v>4</v>
      </c>
      <c r="R1178" s="11">
        <v>3</v>
      </c>
      <c r="S1178" s="11" t="s">
        <v>4362</v>
      </c>
    </row>
    <row r="1179" spans="1:19" hidden="1" x14ac:dyDescent="0.15">
      <c r="A1179" s="34">
        <v>1178</v>
      </c>
      <c r="B1179" s="35" t="s">
        <v>4881</v>
      </c>
      <c r="C1179" s="36" t="s">
        <v>4349</v>
      </c>
      <c r="D1179" s="11" t="s">
        <v>1552</v>
      </c>
      <c r="E1179" s="11" t="s">
        <v>1744</v>
      </c>
      <c r="F1179" s="11">
        <v>6</v>
      </c>
      <c r="G1179" s="11" t="s">
        <v>145</v>
      </c>
      <c r="H1179" s="11" t="s">
        <v>144</v>
      </c>
      <c r="I1179" s="11" t="s">
        <v>339</v>
      </c>
      <c r="J1179" s="11" t="s">
        <v>4456</v>
      </c>
      <c r="K1179" s="11" t="s">
        <v>1493</v>
      </c>
      <c r="L1179" s="11"/>
      <c r="M1179" s="11" t="s">
        <v>4499</v>
      </c>
      <c r="N1179" s="11"/>
      <c r="O1179" s="11"/>
      <c r="P1179" s="11"/>
      <c r="Q1179" s="11">
        <v>3</v>
      </c>
      <c r="R1179" s="11">
        <v>2</v>
      </c>
      <c r="S1179" s="11" t="s">
        <v>4499</v>
      </c>
    </row>
    <row r="1180" spans="1:19" hidden="1" x14ac:dyDescent="0.15">
      <c r="A1180" s="34">
        <v>1179</v>
      </c>
      <c r="B1180" s="35" t="s">
        <v>4881</v>
      </c>
      <c r="C1180" s="36" t="s">
        <v>4349</v>
      </c>
      <c r="D1180" s="11" t="s">
        <v>1552</v>
      </c>
      <c r="E1180" s="11" t="s">
        <v>1744</v>
      </c>
      <c r="F1180" s="11">
        <v>10</v>
      </c>
      <c r="G1180" s="11" t="s">
        <v>143</v>
      </c>
      <c r="H1180" s="11" t="s">
        <v>142</v>
      </c>
      <c r="I1180" s="11" t="s">
        <v>339</v>
      </c>
      <c r="J1180" s="11" t="s">
        <v>4500</v>
      </c>
      <c r="K1180" s="11"/>
      <c r="L1180" s="11"/>
      <c r="M1180" s="11" t="s">
        <v>4501</v>
      </c>
      <c r="N1180" s="11"/>
      <c r="O1180" s="11"/>
      <c r="P1180" s="11"/>
      <c r="Q1180" s="11">
        <v>3</v>
      </c>
      <c r="R1180" s="11">
        <v>2</v>
      </c>
      <c r="S1180" s="11" t="s">
        <v>4501</v>
      </c>
    </row>
    <row r="1181" spans="1:19" hidden="1" x14ac:dyDescent="0.15">
      <c r="A1181" s="34">
        <v>1180</v>
      </c>
      <c r="B1181" s="35" t="s">
        <v>4881</v>
      </c>
      <c r="C1181" s="36" t="s">
        <v>4349</v>
      </c>
      <c r="D1181" s="11" t="s">
        <v>1552</v>
      </c>
      <c r="E1181" s="11" t="s">
        <v>1744</v>
      </c>
      <c r="F1181" s="11">
        <v>16</v>
      </c>
      <c r="G1181" s="11" t="s">
        <v>141</v>
      </c>
      <c r="H1181" s="11" t="s">
        <v>140</v>
      </c>
      <c r="I1181" s="11" t="s">
        <v>339</v>
      </c>
      <c r="J1181" s="11" t="s">
        <v>4456</v>
      </c>
      <c r="K1181" s="11" t="s">
        <v>2861</v>
      </c>
      <c r="L1181" s="11"/>
      <c r="M1181" s="11" t="s">
        <v>1944</v>
      </c>
      <c r="N1181" s="11" t="s">
        <v>4502</v>
      </c>
      <c r="O1181" s="11"/>
      <c r="P1181" s="11"/>
      <c r="Q1181" s="11">
        <v>2</v>
      </c>
      <c r="R1181" s="11">
        <v>3</v>
      </c>
      <c r="S1181" s="11" t="s">
        <v>4503</v>
      </c>
    </row>
    <row r="1182" spans="1:19" hidden="1" x14ac:dyDescent="0.15">
      <c r="A1182" s="34">
        <v>1181</v>
      </c>
      <c r="B1182" s="35" t="s">
        <v>4881</v>
      </c>
      <c r="C1182" s="36" t="s">
        <v>4349</v>
      </c>
      <c r="D1182" s="11" t="s">
        <v>1552</v>
      </c>
      <c r="E1182" s="11" t="s">
        <v>1744</v>
      </c>
      <c r="F1182" s="11">
        <v>5</v>
      </c>
      <c r="G1182" s="11" t="s">
        <v>139</v>
      </c>
      <c r="H1182" s="11" t="s">
        <v>138</v>
      </c>
      <c r="I1182" s="11" t="s">
        <v>339</v>
      </c>
      <c r="J1182" s="11" t="s">
        <v>1489</v>
      </c>
      <c r="K1182" s="11" t="s">
        <v>1493</v>
      </c>
      <c r="L1182" s="11"/>
      <c r="M1182" s="11" t="s">
        <v>1707</v>
      </c>
      <c r="N1182" s="11" t="s">
        <v>4504</v>
      </c>
      <c r="O1182" s="11"/>
      <c r="P1182" s="11"/>
      <c r="Q1182" s="11">
        <v>2</v>
      </c>
      <c r="R1182" s="11">
        <v>1</v>
      </c>
      <c r="S1182" s="11" t="s">
        <v>4505</v>
      </c>
    </row>
    <row r="1183" spans="1:19" hidden="1" x14ac:dyDescent="0.15">
      <c r="A1183" s="34">
        <v>1182</v>
      </c>
      <c r="B1183" s="35" t="s">
        <v>4881</v>
      </c>
      <c r="C1183" s="36" t="s">
        <v>4349</v>
      </c>
      <c r="D1183" s="11" t="s">
        <v>1552</v>
      </c>
      <c r="E1183" s="11" t="s">
        <v>1744</v>
      </c>
      <c r="F1183" s="11">
        <v>6</v>
      </c>
      <c r="G1183" s="11" t="s">
        <v>137</v>
      </c>
      <c r="H1183" s="11" t="s">
        <v>136</v>
      </c>
      <c r="I1183" s="11" t="s">
        <v>339</v>
      </c>
      <c r="J1183" s="11" t="s">
        <v>4454</v>
      </c>
      <c r="K1183" s="11" t="s">
        <v>1493</v>
      </c>
      <c r="L1183" s="11"/>
      <c r="M1183" s="11" t="s">
        <v>4506</v>
      </c>
      <c r="N1183" s="11"/>
      <c r="O1183" s="11"/>
      <c r="P1183" s="11"/>
      <c r="Q1183" s="11">
        <v>1</v>
      </c>
      <c r="R1183" s="11">
        <v>3</v>
      </c>
      <c r="S1183" s="11" t="s">
        <v>4506</v>
      </c>
    </row>
    <row r="1184" spans="1:19" hidden="1" x14ac:dyDescent="0.15">
      <c r="A1184" s="34">
        <v>1183</v>
      </c>
      <c r="B1184" s="35" t="s">
        <v>4881</v>
      </c>
      <c r="C1184" s="36" t="s">
        <v>4349</v>
      </c>
      <c r="D1184" s="11" t="s">
        <v>1552</v>
      </c>
      <c r="E1184" s="11" t="s">
        <v>1744</v>
      </c>
      <c r="F1184" s="11">
        <v>8</v>
      </c>
      <c r="G1184" s="11" t="s">
        <v>135</v>
      </c>
      <c r="H1184" s="11" t="s">
        <v>134</v>
      </c>
      <c r="I1184" s="11" t="s">
        <v>339</v>
      </c>
      <c r="J1184" s="11" t="s">
        <v>2531</v>
      </c>
      <c r="K1184" s="11"/>
      <c r="L1184" s="11"/>
      <c r="M1184" s="11" t="s">
        <v>4507</v>
      </c>
      <c r="N1184" s="11"/>
      <c r="O1184" s="11"/>
      <c r="P1184" s="11"/>
      <c r="Q1184" s="11">
        <v>3</v>
      </c>
      <c r="R1184" s="11">
        <v>2</v>
      </c>
      <c r="S1184" s="11" t="s">
        <v>4507</v>
      </c>
    </row>
    <row r="1185" spans="1:19" hidden="1" x14ac:dyDescent="0.15">
      <c r="A1185" s="34">
        <v>1184</v>
      </c>
      <c r="B1185" s="35" t="s">
        <v>4881</v>
      </c>
      <c r="C1185" s="36" t="s">
        <v>4349</v>
      </c>
      <c r="D1185" s="11" t="s">
        <v>1552</v>
      </c>
      <c r="E1185" s="11" t="s">
        <v>1744</v>
      </c>
      <c r="F1185" s="11">
        <v>3</v>
      </c>
      <c r="G1185" s="11" t="s">
        <v>133</v>
      </c>
      <c r="H1185" s="11" t="s">
        <v>132</v>
      </c>
      <c r="I1185" s="11" t="s">
        <v>1453</v>
      </c>
      <c r="J1185" s="11"/>
      <c r="K1185" s="11"/>
      <c r="L1185" s="11"/>
      <c r="M1185" s="11" t="s">
        <v>4508</v>
      </c>
      <c r="N1185" s="11"/>
      <c r="O1185" s="11"/>
      <c r="P1185" s="11"/>
      <c r="Q1185" s="11"/>
      <c r="R1185" s="11"/>
      <c r="S1185" s="11" t="s">
        <v>4508</v>
      </c>
    </row>
    <row r="1186" spans="1:19" hidden="1" x14ac:dyDescent="0.15">
      <c r="A1186" s="34">
        <v>1185</v>
      </c>
      <c r="B1186" s="35" t="s">
        <v>4881</v>
      </c>
      <c r="C1186" s="36" t="s">
        <v>4349</v>
      </c>
      <c r="D1186" s="11" t="s">
        <v>1552</v>
      </c>
      <c r="E1186" s="11" t="s">
        <v>1744</v>
      </c>
      <c r="F1186" s="11">
        <v>8</v>
      </c>
      <c r="G1186" s="11" t="s">
        <v>131</v>
      </c>
      <c r="H1186" s="11" t="s">
        <v>130</v>
      </c>
      <c r="I1186" s="11" t="s">
        <v>1453</v>
      </c>
      <c r="J1186" s="11"/>
      <c r="K1186" s="11"/>
      <c r="L1186" s="11"/>
      <c r="M1186" s="11" t="s">
        <v>4509</v>
      </c>
      <c r="N1186" s="11"/>
      <c r="O1186" s="11"/>
      <c r="P1186" s="11"/>
      <c r="Q1186" s="11"/>
      <c r="R1186" s="11"/>
      <c r="S1186" s="11" t="s">
        <v>4509</v>
      </c>
    </row>
    <row r="1187" spans="1:19" hidden="1" x14ac:dyDescent="0.15">
      <c r="A1187" s="34">
        <v>1186</v>
      </c>
      <c r="B1187" s="35" t="s">
        <v>4881</v>
      </c>
      <c r="C1187" s="36" t="s">
        <v>4349</v>
      </c>
      <c r="D1187" s="11" t="s">
        <v>1552</v>
      </c>
      <c r="E1187" s="11" t="s">
        <v>1744</v>
      </c>
      <c r="F1187" s="11">
        <v>4</v>
      </c>
      <c r="G1187" s="11" t="s">
        <v>129</v>
      </c>
      <c r="H1187" s="11" t="s">
        <v>128</v>
      </c>
      <c r="I1187" s="11" t="s">
        <v>1453</v>
      </c>
      <c r="J1187" s="11"/>
      <c r="K1187" s="11"/>
      <c r="L1187" s="11"/>
      <c r="M1187" s="11" t="s">
        <v>4510</v>
      </c>
      <c r="N1187" s="11" t="s">
        <v>4383</v>
      </c>
      <c r="O1187" s="11"/>
      <c r="P1187" s="11"/>
      <c r="Q1187" s="11"/>
      <c r="R1187" s="11"/>
      <c r="S1187" s="11" t="s">
        <v>4798</v>
      </c>
    </row>
    <row r="1188" spans="1:19" hidden="1" x14ac:dyDescent="0.15">
      <c r="A1188" s="34">
        <v>1187</v>
      </c>
      <c r="B1188" s="35" t="s">
        <v>4881</v>
      </c>
      <c r="C1188" s="36" t="s">
        <v>4349</v>
      </c>
      <c r="D1188" s="11" t="s">
        <v>1552</v>
      </c>
      <c r="E1188" s="11" t="s">
        <v>1744</v>
      </c>
      <c r="F1188" s="11">
        <v>5</v>
      </c>
      <c r="G1188" s="11" t="s">
        <v>127</v>
      </c>
      <c r="H1188" s="11" t="s">
        <v>126</v>
      </c>
      <c r="I1188" s="11" t="s">
        <v>1453</v>
      </c>
      <c r="J1188" s="11"/>
      <c r="K1188" s="11"/>
      <c r="L1188" s="11"/>
      <c r="M1188" s="11" t="s">
        <v>4511</v>
      </c>
      <c r="N1188" s="11" t="s">
        <v>4383</v>
      </c>
      <c r="O1188" s="11"/>
      <c r="P1188" s="11"/>
      <c r="Q1188" s="11"/>
      <c r="R1188" s="11"/>
      <c r="S1188" s="11" t="s">
        <v>4512</v>
      </c>
    </row>
    <row r="1189" spans="1:19" hidden="1" x14ac:dyDescent="0.15">
      <c r="A1189" s="34">
        <v>1188</v>
      </c>
      <c r="B1189" s="35" t="s">
        <v>4881</v>
      </c>
      <c r="C1189" s="36" t="s">
        <v>4349</v>
      </c>
      <c r="D1189" s="11" t="s">
        <v>1552</v>
      </c>
      <c r="E1189" s="11" t="s">
        <v>1744</v>
      </c>
      <c r="F1189" s="11">
        <v>6</v>
      </c>
      <c r="G1189" s="11" t="s">
        <v>125</v>
      </c>
      <c r="H1189" s="11" t="s">
        <v>124</v>
      </c>
      <c r="I1189" s="11" t="s">
        <v>288</v>
      </c>
      <c r="J1189" s="11" t="s">
        <v>6306</v>
      </c>
      <c r="K1189" s="11" t="s">
        <v>6308</v>
      </c>
      <c r="L1189" s="11"/>
      <c r="M1189" s="11" t="s">
        <v>4513</v>
      </c>
      <c r="N1189" s="11" t="s">
        <v>4514</v>
      </c>
      <c r="O1189" s="11"/>
      <c r="P1189" s="11">
        <v>3</v>
      </c>
      <c r="Q1189" s="11"/>
      <c r="R1189" s="11"/>
      <c r="S1189" s="11" t="s">
        <v>4515</v>
      </c>
    </row>
    <row r="1190" spans="1:19" hidden="1" x14ac:dyDescent="0.15">
      <c r="A1190" s="34">
        <v>1189</v>
      </c>
      <c r="B1190" s="35" t="s">
        <v>4881</v>
      </c>
      <c r="C1190" s="36" t="s">
        <v>4349</v>
      </c>
      <c r="D1190" s="11" t="s">
        <v>1552</v>
      </c>
      <c r="E1190" s="11" t="s">
        <v>1451</v>
      </c>
      <c r="F1190" s="11">
        <v>9</v>
      </c>
      <c r="G1190" s="11" t="s">
        <v>123</v>
      </c>
      <c r="H1190" s="11" t="s">
        <v>122</v>
      </c>
      <c r="I1190" s="11" t="s">
        <v>339</v>
      </c>
      <c r="J1190" s="11" t="s">
        <v>4456</v>
      </c>
      <c r="K1190" s="11" t="s">
        <v>1493</v>
      </c>
      <c r="L1190" s="11"/>
      <c r="M1190" s="11" t="s">
        <v>2755</v>
      </c>
      <c r="N1190" s="11" t="s">
        <v>4516</v>
      </c>
      <c r="O1190" s="11"/>
      <c r="P1190" s="11"/>
      <c r="Q1190" s="11">
        <v>4</v>
      </c>
      <c r="R1190" s="11">
        <v>3</v>
      </c>
      <c r="S1190" s="11" t="s">
        <v>4517</v>
      </c>
    </row>
    <row r="1191" spans="1:19" hidden="1" x14ac:dyDescent="0.15">
      <c r="A1191" s="34">
        <v>1190</v>
      </c>
      <c r="B1191" s="35" t="s">
        <v>4881</v>
      </c>
      <c r="C1191" s="36" t="s">
        <v>4349</v>
      </c>
      <c r="D1191" s="11" t="s">
        <v>1552</v>
      </c>
      <c r="E1191" s="11" t="s">
        <v>1451</v>
      </c>
      <c r="F1191" s="11">
        <v>7</v>
      </c>
      <c r="G1191" s="11" t="s">
        <v>121</v>
      </c>
      <c r="H1191" s="11" t="s">
        <v>120</v>
      </c>
      <c r="I1191" s="11" t="s">
        <v>339</v>
      </c>
      <c r="J1191" s="11" t="s">
        <v>4454</v>
      </c>
      <c r="K1191" s="11" t="s">
        <v>2938</v>
      </c>
      <c r="L1191" s="11"/>
      <c r="M1191" s="11" t="s">
        <v>4518</v>
      </c>
      <c r="N1191" s="11"/>
      <c r="O1191" s="11"/>
      <c r="P1191" s="11"/>
      <c r="Q1191" s="11">
        <v>4</v>
      </c>
      <c r="R1191" s="11">
        <v>4</v>
      </c>
      <c r="S1191" s="11" t="s">
        <v>4518</v>
      </c>
    </row>
    <row r="1192" spans="1:19" hidden="1" x14ac:dyDescent="0.15">
      <c r="A1192" s="34">
        <v>1191</v>
      </c>
      <c r="B1192" s="35" t="s">
        <v>4881</v>
      </c>
      <c r="C1192" s="36" t="s">
        <v>4349</v>
      </c>
      <c r="D1192" s="11" t="s">
        <v>1552</v>
      </c>
      <c r="E1192" s="11" t="s">
        <v>1451</v>
      </c>
      <c r="F1192" s="11">
        <v>9</v>
      </c>
      <c r="G1192" s="11" t="s">
        <v>119</v>
      </c>
      <c r="H1192" s="11" t="s">
        <v>118</v>
      </c>
      <c r="I1192" s="11" t="s">
        <v>339</v>
      </c>
      <c r="J1192" s="11" t="s">
        <v>4454</v>
      </c>
      <c r="K1192" s="11" t="s">
        <v>1493</v>
      </c>
      <c r="L1192" s="11"/>
      <c r="M1192" s="11" t="s">
        <v>2048</v>
      </c>
      <c r="N1192" s="11" t="s">
        <v>4519</v>
      </c>
      <c r="O1192" s="11"/>
      <c r="P1192" s="11"/>
      <c r="Q1192" s="11">
        <v>3</v>
      </c>
      <c r="R1192" s="11">
        <v>4</v>
      </c>
      <c r="S1192" s="11" t="s">
        <v>4520</v>
      </c>
    </row>
    <row r="1193" spans="1:19" hidden="1" x14ac:dyDescent="0.15">
      <c r="A1193" s="34">
        <v>1192</v>
      </c>
      <c r="B1193" s="35" t="s">
        <v>4881</v>
      </c>
      <c r="C1193" s="36" t="s">
        <v>4349</v>
      </c>
      <c r="D1193" s="11" t="s">
        <v>1552</v>
      </c>
      <c r="E1193" s="11" t="s">
        <v>1451</v>
      </c>
      <c r="F1193" s="11">
        <v>6</v>
      </c>
      <c r="G1193" s="11" t="s">
        <v>117</v>
      </c>
      <c r="H1193" s="11" t="s">
        <v>116</v>
      </c>
      <c r="I1193" s="11" t="s">
        <v>1453</v>
      </c>
      <c r="J1193" s="11" t="s">
        <v>6306</v>
      </c>
      <c r="K1193" s="11"/>
      <c r="L1193" s="11"/>
      <c r="M1193" s="11" t="s">
        <v>4521</v>
      </c>
      <c r="N1193" s="11"/>
      <c r="O1193" s="11"/>
      <c r="P1193" s="11"/>
      <c r="Q1193" s="11"/>
      <c r="R1193" s="11"/>
      <c r="S1193" s="11" t="s">
        <v>4521</v>
      </c>
    </row>
    <row r="1194" spans="1:19" hidden="1" x14ac:dyDescent="0.15">
      <c r="A1194" s="34">
        <v>1193</v>
      </c>
      <c r="B1194" s="35" t="s">
        <v>4881</v>
      </c>
      <c r="C1194" s="36" t="s">
        <v>4349</v>
      </c>
      <c r="D1194" s="11" t="s">
        <v>1552</v>
      </c>
      <c r="E1194" s="11" t="s">
        <v>1451</v>
      </c>
      <c r="F1194" s="11">
        <v>8</v>
      </c>
      <c r="G1194" s="11" t="s">
        <v>115</v>
      </c>
      <c r="H1194" s="11" t="s">
        <v>114</v>
      </c>
      <c r="I1194" s="11" t="s">
        <v>1453</v>
      </c>
      <c r="J1194" s="11"/>
      <c r="K1194" s="11"/>
      <c r="L1194" s="11"/>
      <c r="M1194" s="11" t="s">
        <v>4522</v>
      </c>
      <c r="N1194" s="11" t="s">
        <v>4426</v>
      </c>
      <c r="O1194" s="11"/>
      <c r="P1194" s="11"/>
      <c r="Q1194" s="11"/>
      <c r="R1194" s="11"/>
      <c r="S1194" s="11" t="s">
        <v>4523</v>
      </c>
    </row>
    <row r="1195" spans="1:19" hidden="1" x14ac:dyDescent="0.15">
      <c r="A1195" s="34">
        <v>1194</v>
      </c>
      <c r="B1195" s="35" t="s">
        <v>4881</v>
      </c>
      <c r="C1195" s="36" t="s">
        <v>4349</v>
      </c>
      <c r="D1195" s="11" t="s">
        <v>1552</v>
      </c>
      <c r="E1195" s="11" t="s">
        <v>1441</v>
      </c>
      <c r="F1195" s="11">
        <v>18</v>
      </c>
      <c r="G1195" s="11" t="s">
        <v>113</v>
      </c>
      <c r="H1195" s="11" t="s">
        <v>112</v>
      </c>
      <c r="I1195" s="11" t="s">
        <v>339</v>
      </c>
      <c r="J1195" s="11" t="s">
        <v>4500</v>
      </c>
      <c r="K1195" s="11"/>
      <c r="L1195" s="11"/>
      <c r="M1195" s="11" t="s">
        <v>4524</v>
      </c>
      <c r="N1195" s="11" t="s">
        <v>4360</v>
      </c>
      <c r="O1195" s="11"/>
      <c r="P1195" s="11"/>
      <c r="Q1195" s="11">
        <v>6</v>
      </c>
      <c r="R1195" s="11">
        <v>5</v>
      </c>
      <c r="S1195" s="11" t="s">
        <v>4525</v>
      </c>
    </row>
    <row r="1196" spans="1:19" hidden="1" x14ac:dyDescent="0.15">
      <c r="A1196" s="34">
        <v>1195</v>
      </c>
      <c r="B1196" s="35" t="s">
        <v>4881</v>
      </c>
      <c r="C1196" s="36" t="s">
        <v>4349</v>
      </c>
      <c r="D1196" s="11" t="s">
        <v>1552</v>
      </c>
      <c r="E1196" s="11" t="s">
        <v>1441</v>
      </c>
      <c r="F1196" s="11">
        <v>11</v>
      </c>
      <c r="G1196" s="11" t="s">
        <v>111</v>
      </c>
      <c r="H1196" s="11" t="s">
        <v>110</v>
      </c>
      <c r="I1196" s="11" t="s">
        <v>1453</v>
      </c>
      <c r="J1196" s="11"/>
      <c r="K1196" s="11"/>
      <c r="L1196" s="11"/>
      <c r="M1196" s="11" t="s">
        <v>4526</v>
      </c>
      <c r="N1196" s="11" t="s">
        <v>4483</v>
      </c>
      <c r="O1196" s="11" t="s">
        <v>4527</v>
      </c>
      <c r="P1196" s="11"/>
      <c r="Q1196" s="11"/>
      <c r="R1196" s="11"/>
      <c r="S1196" s="11" t="s">
        <v>4528</v>
      </c>
    </row>
    <row r="1197" spans="1:19" hidden="1" x14ac:dyDescent="0.15">
      <c r="A1197" s="34">
        <v>1196</v>
      </c>
      <c r="B1197" s="35" t="s">
        <v>4881</v>
      </c>
      <c r="C1197" s="36" t="s">
        <v>4349</v>
      </c>
      <c r="D1197" s="11" t="s">
        <v>1552</v>
      </c>
      <c r="E1197" s="11" t="s">
        <v>1441</v>
      </c>
      <c r="F1197" s="11">
        <v>11</v>
      </c>
      <c r="G1197" s="11" t="s">
        <v>109</v>
      </c>
      <c r="H1197" s="11" t="s">
        <v>108</v>
      </c>
      <c r="I1197" s="11" t="s">
        <v>1453</v>
      </c>
      <c r="J1197" s="11"/>
      <c r="K1197" s="11"/>
      <c r="L1197" s="11"/>
      <c r="M1197" s="11" t="s">
        <v>4529</v>
      </c>
      <c r="N1197" s="11" t="s">
        <v>4426</v>
      </c>
      <c r="O1197" s="11"/>
      <c r="P1197" s="11"/>
      <c r="Q1197" s="11"/>
      <c r="R1197" s="11"/>
      <c r="S1197" s="11" t="s">
        <v>4530</v>
      </c>
    </row>
    <row r="1198" spans="1:19" hidden="1" x14ac:dyDescent="0.15">
      <c r="A1198" s="34">
        <v>1197</v>
      </c>
      <c r="B1198" s="35" t="s">
        <v>4881</v>
      </c>
      <c r="C1198" s="36" t="s">
        <v>4349</v>
      </c>
      <c r="D1198" s="11" t="s">
        <v>1552</v>
      </c>
      <c r="E1198" s="11" t="s">
        <v>1441</v>
      </c>
      <c r="F1198" s="11">
        <v>5</v>
      </c>
      <c r="G1198" s="11" t="s">
        <v>107</v>
      </c>
      <c r="H1198" s="11" t="s">
        <v>106</v>
      </c>
      <c r="I1198" s="11" t="s">
        <v>288</v>
      </c>
      <c r="J1198" s="11"/>
      <c r="K1198" s="11"/>
      <c r="L1198" s="11"/>
      <c r="M1198" s="11" t="s">
        <v>4531</v>
      </c>
      <c r="N1198" s="11"/>
      <c r="O1198" s="11"/>
      <c r="P1198" s="11">
        <v>3</v>
      </c>
      <c r="Q1198" s="11"/>
      <c r="R1198" s="11"/>
      <c r="S1198" s="11" t="s">
        <v>4531</v>
      </c>
    </row>
    <row r="1199" spans="1:19" hidden="1" x14ac:dyDescent="0.15">
      <c r="A1199" s="34">
        <v>1198</v>
      </c>
      <c r="B1199" s="35" t="s">
        <v>4881</v>
      </c>
      <c r="C1199" s="36" t="s">
        <v>4349</v>
      </c>
      <c r="D1199" s="11" t="s">
        <v>1552</v>
      </c>
      <c r="E1199" s="11" t="s">
        <v>1441</v>
      </c>
      <c r="F1199" s="11">
        <v>17</v>
      </c>
      <c r="G1199" s="11" t="s">
        <v>105</v>
      </c>
      <c r="H1199" s="11" t="s">
        <v>104</v>
      </c>
      <c r="I1199" s="11" t="s">
        <v>288</v>
      </c>
      <c r="J1199" s="11"/>
      <c r="K1199" s="11"/>
      <c r="L1199" s="11"/>
      <c r="M1199" s="11" t="s">
        <v>4532</v>
      </c>
      <c r="N1199" s="11" t="s">
        <v>4393</v>
      </c>
      <c r="O1199" s="11" t="s">
        <v>4394</v>
      </c>
      <c r="P1199" s="11">
        <v>3</v>
      </c>
      <c r="Q1199" s="11"/>
      <c r="R1199" s="11"/>
      <c r="S1199" s="11" t="s">
        <v>4533</v>
      </c>
    </row>
    <row r="1200" spans="1:19" hidden="1" x14ac:dyDescent="0.15">
      <c r="A1200" s="34">
        <v>1199</v>
      </c>
      <c r="B1200" s="35" t="s">
        <v>4881</v>
      </c>
      <c r="C1200" s="36" t="s">
        <v>4349</v>
      </c>
      <c r="D1200" s="11" t="s">
        <v>1552</v>
      </c>
      <c r="E1200" s="11" t="s">
        <v>1431</v>
      </c>
      <c r="F1200" s="11">
        <v>6</v>
      </c>
      <c r="G1200" s="11" t="s">
        <v>103</v>
      </c>
      <c r="H1200" s="11" t="s">
        <v>102</v>
      </c>
      <c r="I1200" s="11" t="s">
        <v>339</v>
      </c>
      <c r="J1200" s="11" t="s">
        <v>1489</v>
      </c>
      <c r="K1200" s="11" t="s">
        <v>1493</v>
      </c>
      <c r="L1200" s="11"/>
      <c r="M1200" s="11" t="s">
        <v>4534</v>
      </c>
      <c r="N1200" s="11"/>
      <c r="O1200" s="11"/>
      <c r="P1200" s="11"/>
      <c r="Q1200" s="11">
        <v>4</v>
      </c>
      <c r="R1200" s="11">
        <v>4</v>
      </c>
      <c r="S1200" s="11" t="s">
        <v>4534</v>
      </c>
    </row>
    <row r="1201" spans="1:19" hidden="1" x14ac:dyDescent="0.15">
      <c r="A1201" s="34">
        <v>1200</v>
      </c>
      <c r="B1201" s="35" t="s">
        <v>4881</v>
      </c>
      <c r="C1201" s="36" t="s">
        <v>4349</v>
      </c>
      <c r="D1201" s="11" t="s">
        <v>1552</v>
      </c>
      <c r="E1201" s="11" t="s">
        <v>1431</v>
      </c>
      <c r="F1201" s="11">
        <v>19</v>
      </c>
      <c r="G1201" s="11" t="s">
        <v>4924</v>
      </c>
      <c r="H1201" s="11" t="s">
        <v>101</v>
      </c>
      <c r="I1201" s="11" t="s">
        <v>339</v>
      </c>
      <c r="J1201" s="11" t="s">
        <v>1555</v>
      </c>
      <c r="K1201" s="11"/>
      <c r="L1201" s="11"/>
      <c r="M1201" s="11" t="s">
        <v>3370</v>
      </c>
      <c r="N1201" s="11" t="s">
        <v>4535</v>
      </c>
      <c r="O1201" s="11"/>
      <c r="P1201" s="11"/>
      <c r="Q1201" s="11">
        <v>8</v>
      </c>
      <c r="R1201" s="11">
        <v>8</v>
      </c>
      <c r="S1201" s="11" t="s">
        <v>4536</v>
      </c>
    </row>
    <row r="1202" spans="1:19" hidden="1" x14ac:dyDescent="0.15">
      <c r="A1202" s="34">
        <v>1201</v>
      </c>
      <c r="B1202" s="35" t="s">
        <v>4881</v>
      </c>
      <c r="C1202" s="36" t="s">
        <v>4349</v>
      </c>
      <c r="D1202" s="11" t="s">
        <v>1552</v>
      </c>
      <c r="E1202" s="11" t="s">
        <v>1431</v>
      </c>
      <c r="F1202" s="11">
        <v>10</v>
      </c>
      <c r="G1202" s="11" t="s">
        <v>100</v>
      </c>
      <c r="H1202" s="11" t="s">
        <v>99</v>
      </c>
      <c r="I1202" s="11" t="s">
        <v>339</v>
      </c>
      <c r="J1202" s="11" t="s">
        <v>4398</v>
      </c>
      <c r="K1202" s="11"/>
      <c r="L1202" s="11"/>
      <c r="M1202" s="11" t="s">
        <v>4537</v>
      </c>
      <c r="N1202" s="11" t="s">
        <v>4538</v>
      </c>
      <c r="O1202" s="11" t="s">
        <v>4539</v>
      </c>
      <c r="P1202" s="11"/>
      <c r="Q1202" s="11">
        <v>5</v>
      </c>
      <c r="R1202" s="11">
        <v>4</v>
      </c>
      <c r="S1202" s="11" t="s">
        <v>4540</v>
      </c>
    </row>
    <row r="1203" spans="1:19" hidden="1" x14ac:dyDescent="0.15">
      <c r="A1203" s="34">
        <v>1202</v>
      </c>
      <c r="B1203" s="35" t="s">
        <v>4881</v>
      </c>
      <c r="C1203" s="36" t="s">
        <v>4349</v>
      </c>
      <c r="D1203" s="11" t="s">
        <v>1552</v>
      </c>
      <c r="E1203" s="11" t="s">
        <v>1431</v>
      </c>
      <c r="F1203" s="11">
        <v>4</v>
      </c>
      <c r="G1203" s="11" t="s">
        <v>98</v>
      </c>
      <c r="H1203" s="11" t="s">
        <v>97</v>
      </c>
      <c r="I1203" s="11" t="s">
        <v>1453</v>
      </c>
      <c r="J1203" s="11"/>
      <c r="K1203" s="11"/>
      <c r="L1203" s="11"/>
      <c r="M1203" s="11" t="s">
        <v>4541</v>
      </c>
      <c r="N1203" s="11"/>
      <c r="O1203" s="11"/>
      <c r="P1203" s="11"/>
      <c r="Q1203" s="11"/>
      <c r="R1203" s="11"/>
      <c r="S1203" s="11" t="s">
        <v>4541</v>
      </c>
    </row>
    <row r="1204" spans="1:19" hidden="1" x14ac:dyDescent="0.15">
      <c r="A1204" s="34">
        <v>1203</v>
      </c>
      <c r="B1204" s="35" t="s">
        <v>4881</v>
      </c>
      <c r="C1204" s="36" t="s">
        <v>4349</v>
      </c>
      <c r="D1204" s="11" t="s">
        <v>1518</v>
      </c>
      <c r="E1204" s="11" t="s">
        <v>1744</v>
      </c>
      <c r="F1204" s="11">
        <v>6</v>
      </c>
      <c r="G1204" s="11" t="s">
        <v>96</v>
      </c>
      <c r="H1204" s="11" t="s">
        <v>95</v>
      </c>
      <c r="I1204" s="11" t="s">
        <v>339</v>
      </c>
      <c r="J1204" s="11" t="s">
        <v>4454</v>
      </c>
      <c r="K1204" s="11" t="s">
        <v>1493</v>
      </c>
      <c r="L1204" s="11"/>
      <c r="M1204" s="11" t="s">
        <v>4542</v>
      </c>
      <c r="N1204" s="11"/>
      <c r="O1204" s="11"/>
      <c r="P1204" s="11"/>
      <c r="Q1204" s="11">
        <v>2</v>
      </c>
      <c r="R1204" s="11">
        <v>2</v>
      </c>
      <c r="S1204" s="11" t="s">
        <v>4542</v>
      </c>
    </row>
    <row r="1205" spans="1:19" hidden="1" x14ac:dyDescent="0.15">
      <c r="A1205" s="34">
        <v>1204</v>
      </c>
      <c r="B1205" s="35" t="s">
        <v>4881</v>
      </c>
      <c r="C1205" s="36" t="s">
        <v>4349</v>
      </c>
      <c r="D1205" s="11" t="s">
        <v>1518</v>
      </c>
      <c r="E1205" s="11" t="s">
        <v>1744</v>
      </c>
      <c r="F1205" s="11">
        <v>15</v>
      </c>
      <c r="G1205" s="11" t="s">
        <v>94</v>
      </c>
      <c r="H1205" s="11" t="s">
        <v>93</v>
      </c>
      <c r="I1205" s="11" t="s">
        <v>339</v>
      </c>
      <c r="J1205" s="11" t="s">
        <v>2564</v>
      </c>
      <c r="K1205" s="11"/>
      <c r="L1205" s="11"/>
      <c r="M1205" s="11" t="s">
        <v>1944</v>
      </c>
      <c r="N1205" s="11"/>
      <c r="O1205" s="11"/>
      <c r="P1205" s="11"/>
      <c r="Q1205" s="11">
        <v>2</v>
      </c>
      <c r="R1205" s="11">
        <v>4</v>
      </c>
      <c r="S1205" s="11" t="s">
        <v>1944</v>
      </c>
    </row>
    <row r="1206" spans="1:19" hidden="1" x14ac:dyDescent="0.15">
      <c r="A1206" s="34">
        <v>1205</v>
      </c>
      <c r="B1206" s="35" t="s">
        <v>4881</v>
      </c>
      <c r="C1206" s="36" t="s">
        <v>4349</v>
      </c>
      <c r="D1206" s="11" t="s">
        <v>1518</v>
      </c>
      <c r="E1206" s="11" t="s">
        <v>1744</v>
      </c>
      <c r="F1206" s="11">
        <v>15</v>
      </c>
      <c r="G1206" s="11" t="s">
        <v>92</v>
      </c>
      <c r="H1206" s="11" t="s">
        <v>91</v>
      </c>
      <c r="I1206" s="11" t="s">
        <v>339</v>
      </c>
      <c r="J1206" s="11" t="s">
        <v>338</v>
      </c>
      <c r="K1206" s="11"/>
      <c r="L1206" s="11"/>
      <c r="M1206" s="11" t="s">
        <v>4362</v>
      </c>
      <c r="N1206" s="11"/>
      <c r="O1206" s="11"/>
      <c r="P1206" s="11"/>
      <c r="Q1206" s="11">
        <v>5</v>
      </c>
      <c r="R1206" s="11">
        <v>5</v>
      </c>
      <c r="S1206" s="11" t="s">
        <v>4362</v>
      </c>
    </row>
    <row r="1207" spans="1:19" hidden="1" x14ac:dyDescent="0.15">
      <c r="A1207" s="34">
        <v>1206</v>
      </c>
      <c r="B1207" s="35" t="s">
        <v>4881</v>
      </c>
      <c r="C1207" s="36" t="s">
        <v>4349</v>
      </c>
      <c r="D1207" s="11" t="s">
        <v>1518</v>
      </c>
      <c r="E1207" s="11" t="s">
        <v>1744</v>
      </c>
      <c r="F1207" s="11">
        <v>9</v>
      </c>
      <c r="G1207" s="11" t="s">
        <v>90</v>
      </c>
      <c r="H1207" s="11" t="s">
        <v>89</v>
      </c>
      <c r="I1207" s="11" t="s">
        <v>339</v>
      </c>
      <c r="J1207" s="11" t="s">
        <v>4410</v>
      </c>
      <c r="K1207" s="11" t="s">
        <v>1493</v>
      </c>
      <c r="L1207" s="11"/>
      <c r="M1207" s="11" t="s">
        <v>4543</v>
      </c>
      <c r="N1207" s="11"/>
      <c r="O1207" s="11"/>
      <c r="P1207" s="11"/>
      <c r="Q1207" s="11">
        <v>3</v>
      </c>
      <c r="R1207" s="11">
        <v>2</v>
      </c>
      <c r="S1207" s="11" t="s">
        <v>4543</v>
      </c>
    </row>
    <row r="1208" spans="1:19" hidden="1" x14ac:dyDescent="0.15">
      <c r="A1208" s="34">
        <v>1207</v>
      </c>
      <c r="B1208" s="35" t="s">
        <v>4881</v>
      </c>
      <c r="C1208" s="36" t="s">
        <v>4349</v>
      </c>
      <c r="D1208" s="11" t="s">
        <v>1518</v>
      </c>
      <c r="E1208" s="11" t="s">
        <v>1744</v>
      </c>
      <c r="F1208" s="11">
        <v>8</v>
      </c>
      <c r="G1208" s="11" t="s">
        <v>88</v>
      </c>
      <c r="H1208" s="11" t="s">
        <v>87</v>
      </c>
      <c r="I1208" s="11" t="s">
        <v>339</v>
      </c>
      <c r="J1208" s="11" t="s">
        <v>4410</v>
      </c>
      <c r="K1208" s="11" t="s">
        <v>1529</v>
      </c>
      <c r="L1208" s="11"/>
      <c r="M1208" s="11" t="s">
        <v>4544</v>
      </c>
      <c r="N1208" s="11"/>
      <c r="O1208" s="11"/>
      <c r="P1208" s="11"/>
      <c r="Q1208" s="11">
        <v>1</v>
      </c>
      <c r="R1208" s="11">
        <v>2</v>
      </c>
      <c r="S1208" s="11" t="s">
        <v>4544</v>
      </c>
    </row>
    <row r="1209" spans="1:19" hidden="1" x14ac:dyDescent="0.15">
      <c r="A1209" s="34">
        <v>1208</v>
      </c>
      <c r="B1209" s="35" t="s">
        <v>4881</v>
      </c>
      <c r="C1209" s="36" t="s">
        <v>4349</v>
      </c>
      <c r="D1209" s="11" t="s">
        <v>1518</v>
      </c>
      <c r="E1209" s="11" t="s">
        <v>1744</v>
      </c>
      <c r="F1209" s="11">
        <v>4</v>
      </c>
      <c r="G1209" s="11" t="s">
        <v>86</v>
      </c>
      <c r="H1209" s="11" t="s">
        <v>85</v>
      </c>
      <c r="I1209" s="11" t="s">
        <v>1453</v>
      </c>
      <c r="J1209" s="11"/>
      <c r="K1209" s="11"/>
      <c r="L1209" s="11"/>
      <c r="M1209" s="11" t="s">
        <v>4511</v>
      </c>
      <c r="N1209" s="11" t="s">
        <v>4362</v>
      </c>
      <c r="O1209" s="11"/>
      <c r="P1209" s="11"/>
      <c r="Q1209" s="11"/>
      <c r="R1209" s="11"/>
      <c r="S1209" s="11" t="s">
        <v>4545</v>
      </c>
    </row>
    <row r="1210" spans="1:19" hidden="1" x14ac:dyDescent="0.15">
      <c r="A1210" s="34">
        <v>1209</v>
      </c>
      <c r="B1210" s="35" t="s">
        <v>4881</v>
      </c>
      <c r="C1210" s="36" t="s">
        <v>4349</v>
      </c>
      <c r="D1210" s="11" t="s">
        <v>1518</v>
      </c>
      <c r="E1210" s="11" t="s">
        <v>1744</v>
      </c>
      <c r="F1210" s="11">
        <v>12</v>
      </c>
      <c r="G1210" s="11" t="s">
        <v>84</v>
      </c>
      <c r="H1210" s="11" t="s">
        <v>83</v>
      </c>
      <c r="I1210" s="11" t="s">
        <v>1453</v>
      </c>
      <c r="J1210" s="11"/>
      <c r="K1210" s="11"/>
      <c r="L1210" s="11"/>
      <c r="M1210" s="11" t="s">
        <v>4546</v>
      </c>
      <c r="N1210" s="11" t="s">
        <v>4426</v>
      </c>
      <c r="O1210" s="11"/>
      <c r="P1210" s="11"/>
      <c r="Q1210" s="11"/>
      <c r="R1210" s="11"/>
      <c r="S1210" s="11" t="s">
        <v>4547</v>
      </c>
    </row>
    <row r="1211" spans="1:19" hidden="1" x14ac:dyDescent="0.15">
      <c r="A1211" s="34">
        <v>1210</v>
      </c>
      <c r="B1211" s="35" t="s">
        <v>4881</v>
      </c>
      <c r="C1211" s="36" t="s">
        <v>4349</v>
      </c>
      <c r="D1211" s="11" t="s">
        <v>1518</v>
      </c>
      <c r="E1211" s="11" t="s">
        <v>1744</v>
      </c>
      <c r="F1211" s="11">
        <v>2</v>
      </c>
      <c r="G1211" s="11" t="s">
        <v>82</v>
      </c>
      <c r="H1211" s="11" t="s">
        <v>81</v>
      </c>
      <c r="I1211" s="11" t="s">
        <v>1453</v>
      </c>
      <c r="J1211" s="11"/>
      <c r="K1211" s="11"/>
      <c r="L1211" s="11"/>
      <c r="M1211" s="11" t="s">
        <v>4548</v>
      </c>
      <c r="N1211" s="11"/>
      <c r="O1211" s="11"/>
      <c r="P1211" s="11"/>
      <c r="Q1211" s="11"/>
      <c r="R1211" s="11"/>
      <c r="S1211" s="11" t="s">
        <v>4548</v>
      </c>
    </row>
    <row r="1212" spans="1:19" hidden="1" x14ac:dyDescent="0.15">
      <c r="A1212" s="34">
        <v>1211</v>
      </c>
      <c r="B1212" s="35" t="s">
        <v>4881</v>
      </c>
      <c r="C1212" s="36" t="s">
        <v>4349</v>
      </c>
      <c r="D1212" s="11" t="s">
        <v>1518</v>
      </c>
      <c r="E1212" s="11" t="s">
        <v>1744</v>
      </c>
      <c r="F1212" s="11">
        <v>8</v>
      </c>
      <c r="G1212" s="11" t="s">
        <v>80</v>
      </c>
      <c r="H1212" s="11" t="s">
        <v>79</v>
      </c>
      <c r="I1212" s="11" t="s">
        <v>1453</v>
      </c>
      <c r="J1212" s="11"/>
      <c r="K1212" s="11"/>
      <c r="L1212" s="11"/>
      <c r="M1212" s="11" t="s">
        <v>4549</v>
      </c>
      <c r="N1212" s="11"/>
      <c r="O1212" s="11"/>
      <c r="P1212" s="11"/>
      <c r="Q1212" s="11"/>
      <c r="R1212" s="11"/>
      <c r="S1212" s="11" t="s">
        <v>4549</v>
      </c>
    </row>
    <row r="1213" spans="1:19" hidden="1" x14ac:dyDescent="0.15">
      <c r="A1213" s="34">
        <v>1212</v>
      </c>
      <c r="B1213" s="35" t="s">
        <v>4881</v>
      </c>
      <c r="C1213" s="36" t="s">
        <v>4349</v>
      </c>
      <c r="D1213" s="11" t="s">
        <v>1518</v>
      </c>
      <c r="E1213" s="11" t="s">
        <v>1744</v>
      </c>
      <c r="F1213" s="11">
        <v>9</v>
      </c>
      <c r="G1213" s="11" t="s">
        <v>78</v>
      </c>
      <c r="H1213" s="11" t="s">
        <v>77</v>
      </c>
      <c r="I1213" s="11" t="s">
        <v>1453</v>
      </c>
      <c r="J1213" s="11"/>
      <c r="K1213" s="11"/>
      <c r="L1213" s="11"/>
      <c r="M1213" s="11" t="s">
        <v>4550</v>
      </c>
      <c r="N1213" s="11" t="s">
        <v>4383</v>
      </c>
      <c r="O1213" s="11"/>
      <c r="P1213" s="11"/>
      <c r="Q1213" s="11"/>
      <c r="R1213" s="11"/>
      <c r="S1213" s="11" t="s">
        <v>4551</v>
      </c>
    </row>
    <row r="1214" spans="1:19" hidden="1" x14ac:dyDescent="0.15">
      <c r="A1214" s="34">
        <v>1213</v>
      </c>
      <c r="B1214" s="35" t="s">
        <v>4881</v>
      </c>
      <c r="C1214" s="36" t="s">
        <v>4349</v>
      </c>
      <c r="D1214" s="11" t="s">
        <v>1518</v>
      </c>
      <c r="E1214" s="11" t="s">
        <v>1744</v>
      </c>
      <c r="F1214" s="11">
        <v>9</v>
      </c>
      <c r="G1214" s="11" t="s">
        <v>76</v>
      </c>
      <c r="H1214" s="11" t="s">
        <v>75</v>
      </c>
      <c r="I1214" s="11" t="s">
        <v>288</v>
      </c>
      <c r="J1214" s="11" t="s">
        <v>6306</v>
      </c>
      <c r="K1214" s="11" t="s">
        <v>6308</v>
      </c>
      <c r="L1214" s="11"/>
      <c r="M1214" s="11" t="s">
        <v>4552</v>
      </c>
      <c r="N1214" s="11" t="s">
        <v>4553</v>
      </c>
      <c r="O1214" s="11"/>
      <c r="P1214" s="11">
        <v>3</v>
      </c>
      <c r="Q1214" s="11"/>
      <c r="R1214" s="11"/>
      <c r="S1214" s="11" t="s">
        <v>4554</v>
      </c>
    </row>
    <row r="1215" spans="1:19" hidden="1" x14ac:dyDescent="0.15">
      <c r="A1215" s="34">
        <v>1214</v>
      </c>
      <c r="B1215" s="35" t="s">
        <v>4881</v>
      </c>
      <c r="C1215" s="36" t="s">
        <v>4349</v>
      </c>
      <c r="D1215" s="11" t="s">
        <v>1518</v>
      </c>
      <c r="E1215" s="11" t="s">
        <v>1744</v>
      </c>
      <c r="F1215" s="11">
        <v>12</v>
      </c>
      <c r="G1215" s="11" t="s">
        <v>74</v>
      </c>
      <c r="H1215" s="11" t="s">
        <v>73</v>
      </c>
      <c r="I1215" s="11" t="s">
        <v>288</v>
      </c>
      <c r="J1215" s="11" t="s">
        <v>6306</v>
      </c>
      <c r="K1215" s="11"/>
      <c r="L1215" s="11"/>
      <c r="M1215" s="11" t="s">
        <v>4555</v>
      </c>
      <c r="N1215" s="11" t="s">
        <v>4556</v>
      </c>
      <c r="O1215" s="11"/>
      <c r="P1215" s="11">
        <v>3</v>
      </c>
      <c r="Q1215" s="11"/>
      <c r="R1215" s="11"/>
      <c r="S1215" s="11" t="s">
        <v>4557</v>
      </c>
    </row>
    <row r="1216" spans="1:19" hidden="1" x14ac:dyDescent="0.15">
      <c r="A1216" s="34">
        <v>1215</v>
      </c>
      <c r="B1216" s="35" t="s">
        <v>4881</v>
      </c>
      <c r="C1216" s="36" t="s">
        <v>4349</v>
      </c>
      <c r="D1216" s="11" t="s">
        <v>1518</v>
      </c>
      <c r="E1216" s="11" t="s">
        <v>1451</v>
      </c>
      <c r="F1216" s="11">
        <v>9</v>
      </c>
      <c r="G1216" s="11" t="s">
        <v>72</v>
      </c>
      <c r="H1216" s="11" t="s">
        <v>71</v>
      </c>
      <c r="I1216" s="11" t="s">
        <v>339</v>
      </c>
      <c r="J1216" s="11" t="s">
        <v>1489</v>
      </c>
      <c r="K1216" s="11" t="s">
        <v>1493</v>
      </c>
      <c r="L1216" s="11"/>
      <c r="M1216" s="11" t="s">
        <v>4558</v>
      </c>
      <c r="N1216" s="11" t="s">
        <v>4559</v>
      </c>
      <c r="O1216" s="11"/>
      <c r="P1216" s="11"/>
      <c r="Q1216" s="11">
        <v>4</v>
      </c>
      <c r="R1216" s="11">
        <v>4</v>
      </c>
      <c r="S1216" s="11" t="s">
        <v>4560</v>
      </c>
    </row>
    <row r="1217" spans="1:19" hidden="1" x14ac:dyDescent="0.15">
      <c r="A1217" s="34">
        <v>1216</v>
      </c>
      <c r="B1217" s="35" t="s">
        <v>4881</v>
      </c>
      <c r="C1217" s="36" t="s">
        <v>4349</v>
      </c>
      <c r="D1217" s="11" t="s">
        <v>1518</v>
      </c>
      <c r="E1217" s="11" t="s">
        <v>1451</v>
      </c>
      <c r="F1217" s="11">
        <v>10</v>
      </c>
      <c r="G1217" s="11" t="s">
        <v>70</v>
      </c>
      <c r="H1217" s="11" t="s">
        <v>69</v>
      </c>
      <c r="I1217" s="11" t="s">
        <v>339</v>
      </c>
      <c r="J1217" s="11" t="s">
        <v>4410</v>
      </c>
      <c r="K1217" s="11" t="s">
        <v>1463</v>
      </c>
      <c r="L1217" s="11"/>
      <c r="M1217" s="11" t="s">
        <v>4561</v>
      </c>
      <c r="N1217" s="11"/>
      <c r="O1217" s="11"/>
      <c r="P1217" s="11"/>
      <c r="Q1217" s="11">
        <v>4</v>
      </c>
      <c r="R1217" s="11">
        <v>4</v>
      </c>
      <c r="S1217" s="11" t="s">
        <v>4561</v>
      </c>
    </row>
    <row r="1218" spans="1:19" hidden="1" x14ac:dyDescent="0.15">
      <c r="A1218" s="34">
        <v>1217</v>
      </c>
      <c r="B1218" s="35" t="s">
        <v>4881</v>
      </c>
      <c r="C1218" s="36" t="s">
        <v>4349</v>
      </c>
      <c r="D1218" s="11" t="s">
        <v>1518</v>
      </c>
      <c r="E1218" s="11" t="s">
        <v>1441</v>
      </c>
      <c r="F1218" s="11">
        <v>9</v>
      </c>
      <c r="G1218" s="11" t="s">
        <v>68</v>
      </c>
      <c r="H1218" s="11" t="s">
        <v>67</v>
      </c>
      <c r="I1218" s="11" t="s">
        <v>339</v>
      </c>
      <c r="J1218" s="11" t="s">
        <v>1489</v>
      </c>
      <c r="K1218" s="11" t="s">
        <v>1529</v>
      </c>
      <c r="L1218" s="11"/>
      <c r="M1218" s="11" t="s">
        <v>4562</v>
      </c>
      <c r="N1218" s="11"/>
      <c r="O1218" s="11"/>
      <c r="P1218" s="11"/>
      <c r="Q1218" s="11">
        <v>5</v>
      </c>
      <c r="R1218" s="11">
        <v>6</v>
      </c>
      <c r="S1218" s="11" t="s">
        <v>4562</v>
      </c>
    </row>
    <row r="1219" spans="1:19" hidden="1" x14ac:dyDescent="0.15">
      <c r="A1219" s="34">
        <v>1218</v>
      </c>
      <c r="B1219" s="35" t="s">
        <v>4881</v>
      </c>
      <c r="C1219" s="36" t="s">
        <v>4349</v>
      </c>
      <c r="D1219" s="11" t="s">
        <v>1518</v>
      </c>
      <c r="E1219" s="11" t="s">
        <v>1441</v>
      </c>
      <c r="F1219" s="11">
        <v>20</v>
      </c>
      <c r="G1219" s="11" t="s">
        <v>66</v>
      </c>
      <c r="H1219" s="11" t="s">
        <v>65</v>
      </c>
      <c r="I1219" s="11" t="s">
        <v>339</v>
      </c>
      <c r="J1219" s="11" t="s">
        <v>1863</v>
      </c>
      <c r="K1219" s="11"/>
      <c r="L1219" s="11"/>
      <c r="M1219" s="11" t="s">
        <v>1707</v>
      </c>
      <c r="N1219" s="11" t="s">
        <v>4360</v>
      </c>
      <c r="O1219" s="11"/>
      <c r="P1219" s="11"/>
      <c r="Q1219" s="11">
        <v>8</v>
      </c>
      <c r="R1219" s="11">
        <v>8</v>
      </c>
      <c r="S1219" s="11" t="s">
        <v>4563</v>
      </c>
    </row>
    <row r="1220" spans="1:19" hidden="1" x14ac:dyDescent="0.15">
      <c r="A1220" s="34">
        <v>1219</v>
      </c>
      <c r="B1220" s="35" t="s">
        <v>4881</v>
      </c>
      <c r="C1220" s="36" t="s">
        <v>4349</v>
      </c>
      <c r="D1220" s="11" t="s">
        <v>1518</v>
      </c>
      <c r="E1220" s="11" t="s">
        <v>1441</v>
      </c>
      <c r="F1220" s="11">
        <v>9</v>
      </c>
      <c r="G1220" s="11" t="s">
        <v>64</v>
      </c>
      <c r="H1220" s="11" t="s">
        <v>63</v>
      </c>
      <c r="I1220" s="11" t="s">
        <v>339</v>
      </c>
      <c r="J1220" s="11" t="s">
        <v>1890</v>
      </c>
      <c r="K1220" s="11" t="s">
        <v>4179</v>
      </c>
      <c r="L1220" s="11"/>
      <c r="M1220" s="11"/>
      <c r="N1220" s="11"/>
      <c r="O1220" s="11"/>
      <c r="P1220" s="11"/>
      <c r="Q1220" s="11">
        <v>6</v>
      </c>
      <c r="R1220" s="11">
        <v>5</v>
      </c>
      <c r="S1220" s="11"/>
    </row>
    <row r="1221" spans="1:19" hidden="1" x14ac:dyDescent="0.15">
      <c r="A1221" s="34">
        <v>1220</v>
      </c>
      <c r="B1221" s="35" t="s">
        <v>4881</v>
      </c>
      <c r="C1221" s="36" t="s">
        <v>4349</v>
      </c>
      <c r="D1221" s="11" t="s">
        <v>1518</v>
      </c>
      <c r="E1221" s="11" t="s">
        <v>1441</v>
      </c>
      <c r="F1221" s="11">
        <v>12</v>
      </c>
      <c r="G1221" s="11" t="s">
        <v>62</v>
      </c>
      <c r="H1221" s="11" t="s">
        <v>61</v>
      </c>
      <c r="I1221" s="11" t="s">
        <v>339</v>
      </c>
      <c r="J1221" s="11" t="s">
        <v>2531</v>
      </c>
      <c r="K1221" s="11"/>
      <c r="L1221" s="11"/>
      <c r="M1221" s="11" t="s">
        <v>4564</v>
      </c>
      <c r="N1221" s="11" t="s">
        <v>4565</v>
      </c>
      <c r="O1221" s="11"/>
      <c r="P1221" s="11"/>
      <c r="Q1221" s="11">
        <v>6</v>
      </c>
      <c r="R1221" s="11">
        <v>5</v>
      </c>
      <c r="S1221" s="11" t="s">
        <v>4566</v>
      </c>
    </row>
    <row r="1222" spans="1:19" hidden="1" x14ac:dyDescent="0.15">
      <c r="A1222" s="34">
        <v>1221</v>
      </c>
      <c r="B1222" s="35" t="s">
        <v>4881</v>
      </c>
      <c r="C1222" s="36" t="s">
        <v>4349</v>
      </c>
      <c r="D1222" s="11" t="s">
        <v>1518</v>
      </c>
      <c r="E1222" s="11" t="s">
        <v>1441</v>
      </c>
      <c r="F1222" s="11">
        <v>14</v>
      </c>
      <c r="G1222" s="11" t="s">
        <v>60</v>
      </c>
      <c r="H1222" s="11" t="s">
        <v>59</v>
      </c>
      <c r="I1222" s="11" t="s">
        <v>288</v>
      </c>
      <c r="J1222" s="11"/>
      <c r="K1222" s="11"/>
      <c r="L1222" s="11"/>
      <c r="M1222" s="11" t="s">
        <v>4567</v>
      </c>
      <c r="N1222" s="11" t="s">
        <v>4393</v>
      </c>
      <c r="O1222" s="11" t="s">
        <v>4394</v>
      </c>
      <c r="P1222" s="11">
        <v>3</v>
      </c>
      <c r="Q1222" s="11"/>
      <c r="R1222" s="11"/>
      <c r="S1222" s="11" t="s">
        <v>4568</v>
      </c>
    </row>
    <row r="1223" spans="1:19" hidden="1" x14ac:dyDescent="0.15">
      <c r="A1223" s="34">
        <v>1222</v>
      </c>
      <c r="B1223" s="35" t="s">
        <v>4881</v>
      </c>
      <c r="C1223" s="36" t="s">
        <v>4349</v>
      </c>
      <c r="D1223" s="11" t="s">
        <v>1518</v>
      </c>
      <c r="E1223" s="11" t="s">
        <v>1431</v>
      </c>
      <c r="F1223" s="11">
        <v>9</v>
      </c>
      <c r="G1223" s="11" t="s">
        <v>4875</v>
      </c>
      <c r="H1223" s="11" t="s">
        <v>58</v>
      </c>
      <c r="I1223" s="11" t="s">
        <v>339</v>
      </c>
      <c r="J1223" s="11" t="s">
        <v>4398</v>
      </c>
      <c r="K1223" s="11"/>
      <c r="L1223" s="11"/>
      <c r="M1223" s="11" t="s">
        <v>4569</v>
      </c>
      <c r="N1223" s="11" t="s">
        <v>4570</v>
      </c>
      <c r="O1223" s="11" t="s">
        <v>4571</v>
      </c>
      <c r="P1223" s="11"/>
      <c r="Q1223" s="11">
        <v>6</v>
      </c>
      <c r="R1223" s="11">
        <v>6</v>
      </c>
      <c r="S1223" s="11" t="s">
        <v>4876</v>
      </c>
    </row>
    <row r="1224" spans="1:19" hidden="1" x14ac:dyDescent="0.15">
      <c r="A1224" s="34">
        <v>1223</v>
      </c>
      <c r="B1224" s="35" t="s">
        <v>4881</v>
      </c>
      <c r="C1224" s="36" t="s">
        <v>4349</v>
      </c>
      <c r="D1224" s="11" t="s">
        <v>1518</v>
      </c>
      <c r="E1224" s="11" t="s">
        <v>1431</v>
      </c>
      <c r="F1224" s="11">
        <v>19</v>
      </c>
      <c r="G1224" s="11" t="s">
        <v>4572</v>
      </c>
      <c r="H1224" s="11" t="s">
        <v>4573</v>
      </c>
      <c r="I1224" s="11" t="s">
        <v>339</v>
      </c>
      <c r="J1224" s="11" t="s">
        <v>4454</v>
      </c>
      <c r="K1224" s="11" t="s">
        <v>1493</v>
      </c>
      <c r="L1224" s="11" t="s">
        <v>4574</v>
      </c>
      <c r="M1224" s="11" t="s">
        <v>4575</v>
      </c>
      <c r="N1224" s="11"/>
      <c r="O1224" s="11"/>
      <c r="P1224" s="11"/>
      <c r="Q1224" s="11">
        <v>3</v>
      </c>
      <c r="R1224" s="11">
        <v>3</v>
      </c>
      <c r="S1224" s="11" t="s">
        <v>4575</v>
      </c>
    </row>
    <row r="1225" spans="1:19" hidden="1" x14ac:dyDescent="0.15">
      <c r="A1225" s="34">
        <v>1224</v>
      </c>
      <c r="B1225" s="35" t="s">
        <v>4881</v>
      </c>
      <c r="C1225" s="36" t="s">
        <v>4349</v>
      </c>
      <c r="D1225" s="11" t="s">
        <v>1518</v>
      </c>
      <c r="E1225" s="11" t="s">
        <v>1431</v>
      </c>
      <c r="F1225" s="11">
        <v>20</v>
      </c>
      <c r="G1225" s="11" t="s">
        <v>57</v>
      </c>
      <c r="H1225" s="11" t="s">
        <v>56</v>
      </c>
      <c r="I1225" s="11" t="s">
        <v>339</v>
      </c>
      <c r="J1225" s="11" t="s">
        <v>4410</v>
      </c>
      <c r="K1225" s="11" t="s">
        <v>1470</v>
      </c>
      <c r="L1225" s="11"/>
      <c r="M1225" s="11" t="s">
        <v>4576</v>
      </c>
      <c r="N1225" s="11" t="s">
        <v>4577</v>
      </c>
      <c r="O1225" s="11"/>
      <c r="P1225" s="11"/>
      <c r="Q1225" s="11">
        <v>3</v>
      </c>
      <c r="R1225" s="11">
        <v>4</v>
      </c>
      <c r="S1225" s="11" t="s">
        <v>4578</v>
      </c>
    </row>
    <row r="1226" spans="1:19" hidden="1" x14ac:dyDescent="0.15">
      <c r="A1226" s="34">
        <v>1225</v>
      </c>
      <c r="B1226" s="35" t="s">
        <v>4881</v>
      </c>
      <c r="C1226" s="36" t="s">
        <v>4349</v>
      </c>
      <c r="D1226" s="11" t="s">
        <v>1518</v>
      </c>
      <c r="E1226" s="11" t="s">
        <v>1431</v>
      </c>
      <c r="F1226" s="11">
        <v>15</v>
      </c>
      <c r="G1226" s="11" t="s">
        <v>55</v>
      </c>
      <c r="H1226" s="11" t="s">
        <v>54</v>
      </c>
      <c r="I1226" s="11" t="s">
        <v>288</v>
      </c>
      <c r="J1226" s="11"/>
      <c r="K1226" s="11"/>
      <c r="L1226" s="11"/>
      <c r="M1226" s="11" t="s">
        <v>4579</v>
      </c>
      <c r="N1226" s="11" t="s">
        <v>4580</v>
      </c>
      <c r="O1226" s="11"/>
      <c r="P1226" s="11">
        <v>3</v>
      </c>
      <c r="Q1226" s="11"/>
      <c r="R1226" s="11"/>
      <c r="S1226" s="11" t="s">
        <v>4581</v>
      </c>
    </row>
    <row r="1227" spans="1:19" hidden="1" x14ac:dyDescent="0.15">
      <c r="A1227" s="34">
        <v>1226</v>
      </c>
      <c r="B1227" s="35" t="s">
        <v>4881</v>
      </c>
      <c r="C1227" s="36" t="s">
        <v>4349</v>
      </c>
      <c r="D1227" s="11" t="s">
        <v>4857</v>
      </c>
      <c r="E1227" s="11" t="s">
        <v>1451</v>
      </c>
      <c r="F1227" s="11">
        <v>10</v>
      </c>
      <c r="G1227" s="11" t="s">
        <v>53</v>
      </c>
      <c r="H1227" s="11" t="s">
        <v>52</v>
      </c>
      <c r="I1227" s="11" t="s">
        <v>339</v>
      </c>
      <c r="J1227" s="11" t="s">
        <v>1489</v>
      </c>
      <c r="K1227" s="11" t="s">
        <v>1493</v>
      </c>
      <c r="L1227" s="11"/>
      <c r="M1227" s="11" t="s">
        <v>4582</v>
      </c>
      <c r="N1227" s="11"/>
      <c r="O1227" s="11"/>
      <c r="P1227" s="11"/>
      <c r="Q1227" s="11">
        <v>4</v>
      </c>
      <c r="R1227" s="11">
        <v>4</v>
      </c>
      <c r="S1227" s="11" t="s">
        <v>4582</v>
      </c>
    </row>
    <row r="1228" spans="1:19" hidden="1" x14ac:dyDescent="0.15">
      <c r="A1228" s="34">
        <v>1227</v>
      </c>
      <c r="B1228" s="35" t="s">
        <v>4881</v>
      </c>
      <c r="C1228" s="36" t="s">
        <v>4349</v>
      </c>
      <c r="D1228" s="11" t="s">
        <v>1512</v>
      </c>
      <c r="E1228" s="11" t="s">
        <v>1451</v>
      </c>
      <c r="F1228" s="11">
        <v>17</v>
      </c>
      <c r="G1228" s="11" t="s">
        <v>4859</v>
      </c>
      <c r="H1228" s="11" t="s">
        <v>50</v>
      </c>
      <c r="I1228" s="11" t="s">
        <v>339</v>
      </c>
      <c r="J1228" s="11" t="s">
        <v>2948</v>
      </c>
      <c r="K1228" s="11" t="s">
        <v>1493</v>
      </c>
      <c r="L1228" s="11"/>
      <c r="M1228" s="11" t="s">
        <v>2406</v>
      </c>
      <c r="N1228" s="11" t="s">
        <v>4583</v>
      </c>
      <c r="O1228" s="11"/>
      <c r="P1228" s="11"/>
      <c r="Q1228" s="11">
        <v>3</v>
      </c>
      <c r="R1228" s="11">
        <v>4</v>
      </c>
      <c r="S1228" s="11" t="s">
        <v>4584</v>
      </c>
    </row>
    <row r="1229" spans="1:19" hidden="1" x14ac:dyDescent="0.15">
      <c r="A1229" s="34">
        <v>1228</v>
      </c>
      <c r="B1229" s="35" t="s">
        <v>4881</v>
      </c>
      <c r="C1229" s="36" t="s">
        <v>4349</v>
      </c>
      <c r="D1229" s="11" t="s">
        <v>1487</v>
      </c>
      <c r="E1229" s="11" t="s">
        <v>1451</v>
      </c>
      <c r="F1229" s="11">
        <v>11</v>
      </c>
      <c r="G1229" s="11" t="s">
        <v>49</v>
      </c>
      <c r="H1229" s="11" t="s">
        <v>48</v>
      </c>
      <c r="I1229" s="11" t="s">
        <v>339</v>
      </c>
      <c r="J1229" s="11" t="s">
        <v>1945</v>
      </c>
      <c r="K1229" s="11"/>
      <c r="L1229" s="11"/>
      <c r="M1229" s="11" t="s">
        <v>4585</v>
      </c>
      <c r="N1229" s="11" t="s">
        <v>4586</v>
      </c>
      <c r="O1229" s="11"/>
      <c r="P1229" s="11"/>
      <c r="Q1229" s="11">
        <v>4</v>
      </c>
      <c r="R1229" s="11">
        <v>5</v>
      </c>
      <c r="S1229" s="11" t="s">
        <v>4587</v>
      </c>
    </row>
    <row r="1230" spans="1:19" hidden="1" x14ac:dyDescent="0.15">
      <c r="A1230" s="34">
        <v>1229</v>
      </c>
      <c r="B1230" s="35" t="s">
        <v>4881</v>
      </c>
      <c r="C1230" s="36" t="s">
        <v>4349</v>
      </c>
      <c r="D1230" s="11" t="s">
        <v>1467</v>
      </c>
      <c r="E1230" s="11" t="s">
        <v>1451</v>
      </c>
      <c r="F1230" s="11">
        <v>12</v>
      </c>
      <c r="G1230" s="11" t="s">
        <v>47</v>
      </c>
      <c r="H1230" s="11" t="s">
        <v>46</v>
      </c>
      <c r="I1230" s="11" t="s">
        <v>339</v>
      </c>
      <c r="J1230" s="11" t="s">
        <v>2515</v>
      </c>
      <c r="K1230" s="11"/>
      <c r="L1230" s="11"/>
      <c r="M1230" s="11" t="s">
        <v>351</v>
      </c>
      <c r="N1230" s="11" t="s">
        <v>4588</v>
      </c>
      <c r="O1230" s="11"/>
      <c r="P1230" s="11"/>
      <c r="Q1230" s="11">
        <v>1</v>
      </c>
      <c r="R1230" s="11">
        <v>1</v>
      </c>
      <c r="S1230" s="11" t="s">
        <v>4589</v>
      </c>
    </row>
    <row r="1231" spans="1:19" hidden="1" x14ac:dyDescent="0.15">
      <c r="A1231" s="34">
        <v>1230</v>
      </c>
      <c r="B1231" s="35" t="s">
        <v>4881</v>
      </c>
      <c r="C1231" s="36" t="s">
        <v>4349</v>
      </c>
      <c r="D1231" s="11" t="s">
        <v>1482</v>
      </c>
      <c r="E1231" s="11" t="s">
        <v>1451</v>
      </c>
      <c r="F1231" s="11">
        <v>12</v>
      </c>
      <c r="G1231" s="11" t="s">
        <v>45</v>
      </c>
      <c r="H1231" s="11" t="s">
        <v>44</v>
      </c>
      <c r="I1231" s="11" t="s">
        <v>339</v>
      </c>
      <c r="J1231" s="11" t="s">
        <v>4454</v>
      </c>
      <c r="K1231" s="11" t="s">
        <v>1493</v>
      </c>
      <c r="L1231" s="11"/>
      <c r="M1231" s="11" t="s">
        <v>4590</v>
      </c>
      <c r="N1231" s="11"/>
      <c r="O1231" s="11"/>
      <c r="P1231" s="11"/>
      <c r="Q1231" s="11">
        <v>4</v>
      </c>
      <c r="R1231" s="11">
        <v>4</v>
      </c>
      <c r="S1231" s="11" t="s">
        <v>4590</v>
      </c>
    </row>
    <row r="1232" spans="1:19" hidden="1" x14ac:dyDescent="0.15">
      <c r="A1232" s="34">
        <v>1231</v>
      </c>
      <c r="B1232" s="35" t="s">
        <v>4881</v>
      </c>
      <c r="C1232" s="36" t="s">
        <v>4349</v>
      </c>
      <c r="D1232" s="11" t="s">
        <v>1508</v>
      </c>
      <c r="E1232" s="11" t="s">
        <v>1451</v>
      </c>
      <c r="F1232" s="11">
        <v>10</v>
      </c>
      <c r="G1232" s="11" t="s">
        <v>43</v>
      </c>
      <c r="H1232" s="11" t="s">
        <v>42</v>
      </c>
      <c r="I1232" s="11" t="s">
        <v>339</v>
      </c>
      <c r="J1232" s="11" t="s">
        <v>1489</v>
      </c>
      <c r="K1232" s="11" t="s">
        <v>1470</v>
      </c>
      <c r="L1232" s="11"/>
      <c r="M1232" s="11" t="s">
        <v>351</v>
      </c>
      <c r="N1232" s="11" t="s">
        <v>4591</v>
      </c>
      <c r="O1232" s="11"/>
      <c r="P1232" s="11"/>
      <c r="Q1232" s="11">
        <v>1</v>
      </c>
      <c r="R1232" s="11">
        <v>3</v>
      </c>
      <c r="S1232" s="11" t="s">
        <v>4592</v>
      </c>
    </row>
    <row r="1233" spans="1:19" hidden="1" x14ac:dyDescent="0.15">
      <c r="A1233" s="34">
        <v>1232</v>
      </c>
      <c r="B1233" s="35" t="s">
        <v>4881</v>
      </c>
      <c r="C1233" s="36" t="s">
        <v>4349</v>
      </c>
      <c r="D1233" s="11" t="s">
        <v>1474</v>
      </c>
      <c r="E1233" s="11" t="s">
        <v>1451</v>
      </c>
      <c r="F1233" s="11">
        <v>14</v>
      </c>
      <c r="G1233" s="11" t="s">
        <v>5674</v>
      </c>
      <c r="H1233" s="11" t="s">
        <v>41</v>
      </c>
      <c r="I1233" s="11" t="s">
        <v>339</v>
      </c>
      <c r="J1233" s="11" t="s">
        <v>1484</v>
      </c>
      <c r="K1233" s="11"/>
      <c r="L1233" s="11"/>
      <c r="M1233" s="11" t="s">
        <v>4593</v>
      </c>
      <c r="N1233" s="11"/>
      <c r="O1233" s="11"/>
      <c r="P1233" s="11"/>
      <c r="Q1233" s="11">
        <v>4</v>
      </c>
      <c r="R1233" s="11">
        <v>4</v>
      </c>
      <c r="S1233" s="11" t="s">
        <v>4593</v>
      </c>
    </row>
    <row r="1234" spans="1:19" hidden="1" x14ac:dyDescent="0.15">
      <c r="A1234" s="34">
        <v>1233</v>
      </c>
      <c r="B1234" s="35" t="s">
        <v>4881</v>
      </c>
      <c r="C1234" s="36" t="s">
        <v>4349</v>
      </c>
      <c r="D1234" s="11" t="s">
        <v>1772</v>
      </c>
      <c r="E1234" s="11" t="s">
        <v>1451</v>
      </c>
      <c r="F1234" s="11">
        <v>14</v>
      </c>
      <c r="G1234" s="11" t="s">
        <v>40</v>
      </c>
      <c r="H1234" s="11" t="s">
        <v>39</v>
      </c>
      <c r="I1234" s="11" t="s">
        <v>339</v>
      </c>
      <c r="J1234" s="11" t="s">
        <v>4410</v>
      </c>
      <c r="K1234" s="11" t="s">
        <v>1529</v>
      </c>
      <c r="L1234" s="11"/>
      <c r="M1234" s="11" t="s">
        <v>4594</v>
      </c>
      <c r="N1234" s="11"/>
      <c r="O1234" s="11"/>
      <c r="P1234" s="11"/>
      <c r="Q1234" s="11">
        <v>4</v>
      </c>
      <c r="R1234" s="11">
        <v>4</v>
      </c>
      <c r="S1234" s="11" t="s">
        <v>4594</v>
      </c>
    </row>
    <row r="1235" spans="1:19" hidden="1" x14ac:dyDescent="0.15">
      <c r="A1235" s="34">
        <v>1234</v>
      </c>
      <c r="B1235" s="35" t="s">
        <v>4881</v>
      </c>
      <c r="C1235" s="36" t="s">
        <v>4349</v>
      </c>
      <c r="D1235" s="11" t="s">
        <v>1487</v>
      </c>
      <c r="E1235" s="11" t="s">
        <v>1441</v>
      </c>
      <c r="F1235" s="11">
        <v>17</v>
      </c>
      <c r="G1235" s="11" t="s">
        <v>38</v>
      </c>
      <c r="H1235" s="11" t="s">
        <v>37</v>
      </c>
      <c r="I1235" s="11" t="s">
        <v>339</v>
      </c>
      <c r="J1235" s="11" t="s">
        <v>1489</v>
      </c>
      <c r="K1235" s="11" t="s">
        <v>1470</v>
      </c>
      <c r="L1235" s="11"/>
      <c r="M1235" s="11" t="s">
        <v>4595</v>
      </c>
      <c r="N1235" s="11"/>
      <c r="O1235" s="11"/>
      <c r="P1235" s="11"/>
      <c r="Q1235" s="11">
        <v>6</v>
      </c>
      <c r="R1235" s="11">
        <v>6</v>
      </c>
      <c r="S1235" s="11" t="s">
        <v>4595</v>
      </c>
    </row>
    <row r="1236" spans="1:19" hidden="1" x14ac:dyDescent="0.15">
      <c r="A1236" s="34">
        <v>1235</v>
      </c>
      <c r="B1236" s="35" t="s">
        <v>4881</v>
      </c>
      <c r="C1236" s="36" t="s">
        <v>4349</v>
      </c>
      <c r="D1236" s="11" t="s">
        <v>1772</v>
      </c>
      <c r="E1236" s="11" t="s">
        <v>1441</v>
      </c>
      <c r="F1236" s="11">
        <v>8</v>
      </c>
      <c r="G1236" s="11" t="s">
        <v>36</v>
      </c>
      <c r="H1236" s="11" t="s">
        <v>35</v>
      </c>
      <c r="I1236" s="11" t="s">
        <v>288</v>
      </c>
      <c r="J1236" s="11"/>
      <c r="K1236" s="11"/>
      <c r="L1236" s="11"/>
      <c r="M1236" s="11" t="s">
        <v>4596</v>
      </c>
      <c r="N1236" s="11"/>
      <c r="O1236" s="11"/>
      <c r="P1236" s="11">
        <v>3</v>
      </c>
      <c r="Q1236" s="11"/>
      <c r="R1236" s="11"/>
      <c r="S1236" s="11" t="s">
        <v>4596</v>
      </c>
    </row>
    <row r="1237" spans="1:19" hidden="1" x14ac:dyDescent="0.15">
      <c r="A1237" s="34">
        <v>1236</v>
      </c>
      <c r="B1237" s="35" t="s">
        <v>4881</v>
      </c>
      <c r="C1237" s="36" t="s">
        <v>4349</v>
      </c>
      <c r="D1237" s="11" t="s">
        <v>4866</v>
      </c>
      <c r="E1237" s="11" t="s">
        <v>1431</v>
      </c>
      <c r="F1237" s="11">
        <v>11</v>
      </c>
      <c r="G1237" s="11" t="s">
        <v>34</v>
      </c>
      <c r="H1237" s="11" t="s">
        <v>33</v>
      </c>
      <c r="I1237" s="11" t="s">
        <v>339</v>
      </c>
      <c r="J1237" s="11" t="s">
        <v>4456</v>
      </c>
      <c r="K1237" s="11" t="s">
        <v>1493</v>
      </c>
      <c r="L1237" s="11"/>
      <c r="M1237" s="11" t="s">
        <v>4597</v>
      </c>
      <c r="N1237" s="11" t="s">
        <v>4598</v>
      </c>
      <c r="O1237" s="11" t="s">
        <v>4599</v>
      </c>
      <c r="P1237" s="11"/>
      <c r="Q1237" s="11">
        <v>4</v>
      </c>
      <c r="R1237" s="11">
        <v>4</v>
      </c>
      <c r="S1237" s="11" t="s">
        <v>4600</v>
      </c>
    </row>
    <row r="1238" spans="1:19" hidden="1" x14ac:dyDescent="0.15">
      <c r="A1238" s="34">
        <v>1237</v>
      </c>
      <c r="B1238" s="35" t="s">
        <v>4881</v>
      </c>
      <c r="C1238" s="36" t="s">
        <v>4349</v>
      </c>
      <c r="D1238" s="11" t="s">
        <v>1512</v>
      </c>
      <c r="E1238" s="11" t="s">
        <v>1431</v>
      </c>
      <c r="F1238" s="11">
        <v>14</v>
      </c>
      <c r="G1238" s="11" t="s">
        <v>4861</v>
      </c>
      <c r="H1238" s="11" t="s">
        <v>32</v>
      </c>
      <c r="I1238" s="11" t="s">
        <v>339</v>
      </c>
      <c r="J1238" s="11" t="s">
        <v>1489</v>
      </c>
      <c r="K1238" s="11" t="s">
        <v>1470</v>
      </c>
      <c r="L1238" s="11"/>
      <c r="M1238" s="11" t="s">
        <v>4601</v>
      </c>
      <c r="N1238" s="11" t="s">
        <v>4360</v>
      </c>
      <c r="O1238" s="11"/>
      <c r="P1238" s="11"/>
      <c r="Q1238" s="11">
        <v>8</v>
      </c>
      <c r="R1238" s="11">
        <v>8</v>
      </c>
      <c r="S1238" s="11" t="s">
        <v>4602</v>
      </c>
    </row>
    <row r="1239" spans="1:19" hidden="1" x14ac:dyDescent="0.15">
      <c r="A1239" s="34">
        <v>1238</v>
      </c>
      <c r="B1239" s="35" t="s">
        <v>4881</v>
      </c>
      <c r="C1239" s="36" t="s">
        <v>4349</v>
      </c>
      <c r="D1239" s="11" t="s">
        <v>292</v>
      </c>
      <c r="E1239" s="11" t="s">
        <v>1744</v>
      </c>
      <c r="F1239" s="11">
        <v>5</v>
      </c>
      <c r="G1239" s="11" t="s">
        <v>31</v>
      </c>
      <c r="H1239" s="11" t="s">
        <v>30</v>
      </c>
      <c r="I1239" s="11" t="s">
        <v>1453</v>
      </c>
      <c r="J1239" s="11" t="s">
        <v>6311</v>
      </c>
      <c r="K1239" s="11"/>
      <c r="L1239" s="11"/>
      <c r="M1239" s="11" t="s">
        <v>4603</v>
      </c>
      <c r="N1239" s="11"/>
      <c r="O1239" s="11"/>
      <c r="P1239" s="11"/>
      <c r="Q1239" s="11"/>
      <c r="R1239" s="11"/>
      <c r="S1239" s="11" t="s">
        <v>4603</v>
      </c>
    </row>
    <row r="1240" spans="1:19" hidden="1" x14ac:dyDescent="0.15">
      <c r="A1240" s="34">
        <v>1239</v>
      </c>
      <c r="B1240" s="35" t="s">
        <v>4881</v>
      </c>
      <c r="C1240" s="36" t="s">
        <v>4349</v>
      </c>
      <c r="D1240" s="11" t="s">
        <v>292</v>
      </c>
      <c r="E1240" s="11" t="s">
        <v>1744</v>
      </c>
      <c r="F1240" s="11">
        <v>7</v>
      </c>
      <c r="G1240" s="11" t="s">
        <v>29</v>
      </c>
      <c r="H1240" s="11" t="s">
        <v>28</v>
      </c>
      <c r="I1240" s="11" t="s">
        <v>288</v>
      </c>
      <c r="J1240" s="11" t="s">
        <v>6250</v>
      </c>
      <c r="K1240" s="11"/>
      <c r="L1240" s="11"/>
      <c r="M1240" s="11" t="s">
        <v>4604</v>
      </c>
      <c r="N1240" s="11" t="s">
        <v>3875</v>
      </c>
      <c r="O1240" s="11"/>
      <c r="P1240" s="11">
        <v>3</v>
      </c>
      <c r="Q1240" s="11"/>
      <c r="R1240" s="11"/>
      <c r="S1240" s="11" t="s">
        <v>4605</v>
      </c>
    </row>
    <row r="1241" spans="1:19" hidden="1" x14ac:dyDescent="0.15">
      <c r="A1241" s="34">
        <v>1240</v>
      </c>
      <c r="B1241" s="35" t="s">
        <v>4881</v>
      </c>
      <c r="C1241" s="36" t="s">
        <v>4349</v>
      </c>
      <c r="D1241" s="11" t="s">
        <v>292</v>
      </c>
      <c r="E1241" s="11" t="s">
        <v>1744</v>
      </c>
      <c r="F1241" s="11">
        <v>5</v>
      </c>
      <c r="G1241" s="11" t="s">
        <v>27</v>
      </c>
      <c r="H1241" s="11" t="s">
        <v>26</v>
      </c>
      <c r="I1241" s="11" t="s">
        <v>288</v>
      </c>
      <c r="J1241" s="11" t="s">
        <v>6250</v>
      </c>
      <c r="K1241" s="11"/>
      <c r="L1241" s="11"/>
      <c r="M1241" s="11" t="s">
        <v>4544</v>
      </c>
      <c r="N1241" s="11"/>
      <c r="O1241" s="11"/>
      <c r="P1241" s="11">
        <v>3</v>
      </c>
      <c r="Q1241" s="11"/>
      <c r="R1241" s="11"/>
      <c r="S1241" s="11" t="s">
        <v>4544</v>
      </c>
    </row>
    <row r="1242" spans="1:19" hidden="1" x14ac:dyDescent="0.15">
      <c r="A1242" s="34">
        <v>1241</v>
      </c>
      <c r="B1242" s="35" t="s">
        <v>4881</v>
      </c>
      <c r="C1242" s="36" t="s">
        <v>4349</v>
      </c>
      <c r="D1242" s="11" t="s">
        <v>292</v>
      </c>
      <c r="E1242" s="11" t="s">
        <v>1744</v>
      </c>
      <c r="F1242" s="11">
        <v>17</v>
      </c>
      <c r="G1242" s="11" t="s">
        <v>25</v>
      </c>
      <c r="H1242" s="11" t="s">
        <v>24</v>
      </c>
      <c r="I1242" s="11" t="s">
        <v>288</v>
      </c>
      <c r="J1242" s="11" t="s">
        <v>6250</v>
      </c>
      <c r="K1242" s="11"/>
      <c r="L1242" s="11"/>
      <c r="M1242" s="11" t="s">
        <v>4606</v>
      </c>
      <c r="N1242" s="11" t="s">
        <v>3875</v>
      </c>
      <c r="O1242" s="11"/>
      <c r="P1242" s="11">
        <v>3</v>
      </c>
      <c r="Q1242" s="11"/>
      <c r="R1242" s="11"/>
      <c r="S1242" s="11" t="s">
        <v>4607</v>
      </c>
    </row>
    <row r="1243" spans="1:19" hidden="1" x14ac:dyDescent="0.15">
      <c r="A1243" s="34">
        <v>1242</v>
      </c>
      <c r="B1243" s="35" t="s">
        <v>4881</v>
      </c>
      <c r="C1243" s="36" t="s">
        <v>4349</v>
      </c>
      <c r="D1243" s="11" t="s">
        <v>292</v>
      </c>
      <c r="E1243" s="11" t="s">
        <v>1451</v>
      </c>
      <c r="F1243" s="11">
        <v>16</v>
      </c>
      <c r="G1243" s="11" t="s">
        <v>23</v>
      </c>
      <c r="H1243" s="11" t="s">
        <v>22</v>
      </c>
      <c r="I1243" s="11" t="s">
        <v>288</v>
      </c>
      <c r="J1243" s="11"/>
      <c r="K1243" s="11"/>
      <c r="L1243" s="11"/>
      <c r="M1243" s="11" t="s">
        <v>4608</v>
      </c>
      <c r="N1243" s="11" t="s">
        <v>4609</v>
      </c>
      <c r="O1243" s="11" t="s">
        <v>4610</v>
      </c>
      <c r="P1243" s="11">
        <v>3</v>
      </c>
      <c r="Q1243" s="11"/>
      <c r="R1243" s="11"/>
      <c r="S1243" s="11" t="s">
        <v>4611</v>
      </c>
    </row>
    <row r="1244" spans="1:19" hidden="1" x14ac:dyDescent="0.15">
      <c r="A1244" s="34">
        <v>1243</v>
      </c>
      <c r="B1244" s="35" t="s">
        <v>4881</v>
      </c>
      <c r="C1244" s="36" t="s">
        <v>4349</v>
      </c>
      <c r="D1244" s="11" t="s">
        <v>292</v>
      </c>
      <c r="E1244" s="11" t="s">
        <v>1451</v>
      </c>
      <c r="F1244" s="11">
        <v>14</v>
      </c>
      <c r="G1244" s="11" t="s">
        <v>21</v>
      </c>
      <c r="H1244" s="11" t="s">
        <v>20</v>
      </c>
      <c r="I1244" s="11" t="s">
        <v>288</v>
      </c>
      <c r="J1244" s="11"/>
      <c r="K1244" s="11"/>
      <c r="L1244" s="11"/>
      <c r="M1244" s="11" t="s">
        <v>4612</v>
      </c>
      <c r="N1244" s="11" t="s">
        <v>4613</v>
      </c>
      <c r="O1244" s="11" t="s">
        <v>4614</v>
      </c>
      <c r="P1244" s="11">
        <v>3</v>
      </c>
      <c r="Q1244" s="11"/>
      <c r="R1244" s="11"/>
      <c r="S1244" s="11" t="s">
        <v>4615</v>
      </c>
    </row>
    <row r="1245" spans="1:19" hidden="1" x14ac:dyDescent="0.15">
      <c r="A1245" s="34">
        <v>1244</v>
      </c>
      <c r="B1245" s="35" t="s">
        <v>4881</v>
      </c>
      <c r="C1245" s="36" t="s">
        <v>4349</v>
      </c>
      <c r="D1245" s="11" t="s">
        <v>292</v>
      </c>
      <c r="E1245" s="11" t="s">
        <v>1451</v>
      </c>
      <c r="F1245" s="11">
        <v>16</v>
      </c>
      <c r="G1245" s="11" t="s">
        <v>19</v>
      </c>
      <c r="H1245" s="11" t="s">
        <v>18</v>
      </c>
      <c r="I1245" s="11" t="s">
        <v>288</v>
      </c>
      <c r="J1245" s="11"/>
      <c r="K1245" s="11"/>
      <c r="L1245" s="11"/>
      <c r="M1245" s="11" t="s">
        <v>4616</v>
      </c>
      <c r="N1245" s="11" t="s">
        <v>4617</v>
      </c>
      <c r="O1245" s="11" t="s">
        <v>4618</v>
      </c>
      <c r="P1245" s="11">
        <v>3</v>
      </c>
      <c r="Q1245" s="11"/>
      <c r="R1245" s="11"/>
      <c r="S1245" s="11" t="s">
        <v>4619</v>
      </c>
    </row>
    <row r="1246" spans="1:19" hidden="1" x14ac:dyDescent="0.15">
      <c r="A1246" s="34">
        <v>1245</v>
      </c>
      <c r="B1246" s="35" t="s">
        <v>4881</v>
      </c>
      <c r="C1246" s="36" t="s">
        <v>4349</v>
      </c>
      <c r="D1246" s="11" t="s">
        <v>292</v>
      </c>
      <c r="E1246" s="11" t="s">
        <v>1451</v>
      </c>
      <c r="F1246" s="11">
        <v>15</v>
      </c>
      <c r="G1246" s="11" t="s">
        <v>17</v>
      </c>
      <c r="H1246" s="11" t="s">
        <v>16</v>
      </c>
      <c r="I1246" s="11" t="s">
        <v>288</v>
      </c>
      <c r="J1246" s="11"/>
      <c r="K1246" s="11"/>
      <c r="L1246" s="11"/>
      <c r="M1246" s="11" t="s">
        <v>4620</v>
      </c>
      <c r="N1246" s="11" t="s">
        <v>4621</v>
      </c>
      <c r="O1246" s="11" t="s">
        <v>4622</v>
      </c>
      <c r="P1246" s="11">
        <v>3</v>
      </c>
      <c r="Q1246" s="11"/>
      <c r="R1246" s="11"/>
      <c r="S1246" s="11" t="s">
        <v>4623</v>
      </c>
    </row>
    <row r="1247" spans="1:19" hidden="1" x14ac:dyDescent="0.15">
      <c r="A1247" s="34">
        <v>1246</v>
      </c>
      <c r="B1247" s="35" t="s">
        <v>4881</v>
      </c>
      <c r="C1247" s="36" t="s">
        <v>4349</v>
      </c>
      <c r="D1247" s="11" t="s">
        <v>292</v>
      </c>
      <c r="E1247" s="11" t="s">
        <v>1451</v>
      </c>
      <c r="F1247" s="11">
        <v>15</v>
      </c>
      <c r="G1247" s="11" t="s">
        <v>15</v>
      </c>
      <c r="H1247" s="11" t="s">
        <v>14</v>
      </c>
      <c r="I1247" s="11" t="s">
        <v>288</v>
      </c>
      <c r="J1247" s="11"/>
      <c r="K1247" s="11"/>
      <c r="L1247" s="11"/>
      <c r="M1247" s="11" t="s">
        <v>4624</v>
      </c>
      <c r="N1247" s="11" t="s">
        <v>4625</v>
      </c>
      <c r="O1247" s="11" t="s">
        <v>4626</v>
      </c>
      <c r="P1247" s="11">
        <v>3</v>
      </c>
      <c r="Q1247" s="11"/>
      <c r="R1247" s="11"/>
      <c r="S1247" s="11" t="s">
        <v>4627</v>
      </c>
    </row>
    <row r="1248" spans="1:19" hidden="1" x14ac:dyDescent="0.15">
      <c r="A1248" s="34">
        <v>1247</v>
      </c>
      <c r="B1248" s="35" t="s">
        <v>4881</v>
      </c>
      <c r="C1248" s="36" t="s">
        <v>4349</v>
      </c>
      <c r="D1248" s="11" t="s">
        <v>292</v>
      </c>
      <c r="E1248" s="11" t="s">
        <v>1441</v>
      </c>
      <c r="F1248" s="11">
        <v>6</v>
      </c>
      <c r="G1248" s="11" t="s">
        <v>13</v>
      </c>
      <c r="H1248" s="11" t="s">
        <v>12</v>
      </c>
      <c r="I1248" s="11" t="s">
        <v>288</v>
      </c>
      <c r="J1248" s="11" t="s">
        <v>6250</v>
      </c>
      <c r="K1248" s="11" t="s">
        <v>6300</v>
      </c>
      <c r="L1248" s="11" t="s">
        <v>6301</v>
      </c>
      <c r="M1248" s="11" t="s">
        <v>4628</v>
      </c>
      <c r="N1248" s="11" t="s">
        <v>4483</v>
      </c>
      <c r="O1248" s="11"/>
      <c r="P1248" s="11">
        <v>3</v>
      </c>
      <c r="Q1248" s="11"/>
      <c r="R1248" s="11"/>
      <c r="S1248" s="11" t="s">
        <v>4629</v>
      </c>
    </row>
    <row r="1249" spans="1:19" hidden="1" x14ac:dyDescent="0.15">
      <c r="A1249" s="34">
        <v>1248</v>
      </c>
      <c r="B1249" s="35" t="s">
        <v>4881</v>
      </c>
      <c r="C1249" s="36" t="s">
        <v>4349</v>
      </c>
      <c r="D1249" s="11" t="s">
        <v>292</v>
      </c>
      <c r="E1249" s="11" t="s">
        <v>1441</v>
      </c>
      <c r="F1249" s="11">
        <v>6</v>
      </c>
      <c r="G1249" s="11" t="s">
        <v>11</v>
      </c>
      <c r="H1249" s="11" t="s">
        <v>10</v>
      </c>
      <c r="I1249" s="11" t="s">
        <v>288</v>
      </c>
      <c r="J1249" s="11" t="s">
        <v>6250</v>
      </c>
      <c r="K1249" s="11" t="s">
        <v>6302</v>
      </c>
      <c r="L1249" s="11" t="s">
        <v>6300</v>
      </c>
      <c r="M1249" s="11" t="s">
        <v>4630</v>
      </c>
      <c r="N1249" s="11" t="s">
        <v>4483</v>
      </c>
      <c r="O1249" s="11"/>
      <c r="P1249" s="11">
        <v>3</v>
      </c>
      <c r="Q1249" s="11"/>
      <c r="R1249" s="11"/>
      <c r="S1249" s="11" t="s">
        <v>4631</v>
      </c>
    </row>
    <row r="1250" spans="1:19" hidden="1" x14ac:dyDescent="0.15">
      <c r="A1250" s="34">
        <v>1249</v>
      </c>
      <c r="B1250" s="35" t="s">
        <v>4881</v>
      </c>
      <c r="C1250" s="36" t="s">
        <v>4349</v>
      </c>
      <c r="D1250" s="11" t="s">
        <v>292</v>
      </c>
      <c r="E1250" s="11" t="s">
        <v>1441</v>
      </c>
      <c r="F1250" s="11">
        <v>6</v>
      </c>
      <c r="G1250" s="11" t="s">
        <v>9</v>
      </c>
      <c r="H1250" s="11" t="s">
        <v>8</v>
      </c>
      <c r="I1250" s="11" t="s">
        <v>288</v>
      </c>
      <c r="J1250" s="11" t="s">
        <v>6250</v>
      </c>
      <c r="K1250" s="11" t="s">
        <v>6303</v>
      </c>
      <c r="L1250" s="11" t="s">
        <v>6302</v>
      </c>
      <c r="M1250" s="11" t="s">
        <v>4632</v>
      </c>
      <c r="N1250" s="11" t="s">
        <v>4483</v>
      </c>
      <c r="O1250" s="11"/>
      <c r="P1250" s="11">
        <v>3</v>
      </c>
      <c r="Q1250" s="11"/>
      <c r="R1250" s="11"/>
      <c r="S1250" s="11" t="s">
        <v>4633</v>
      </c>
    </row>
    <row r="1251" spans="1:19" hidden="1" x14ac:dyDescent="0.15">
      <c r="A1251" s="34">
        <v>1250</v>
      </c>
      <c r="B1251" s="35" t="s">
        <v>4881</v>
      </c>
      <c r="C1251" s="36" t="s">
        <v>4349</v>
      </c>
      <c r="D1251" s="11" t="s">
        <v>292</v>
      </c>
      <c r="E1251" s="11" t="s">
        <v>1441</v>
      </c>
      <c r="F1251" s="11">
        <v>6</v>
      </c>
      <c r="G1251" s="11" t="s">
        <v>7</v>
      </c>
      <c r="H1251" s="11" t="s">
        <v>6</v>
      </c>
      <c r="I1251" s="11" t="s">
        <v>288</v>
      </c>
      <c r="J1251" s="11" t="s">
        <v>6250</v>
      </c>
      <c r="K1251" s="11" t="s">
        <v>6304</v>
      </c>
      <c r="L1251" s="11" t="s">
        <v>6303</v>
      </c>
      <c r="M1251" s="11" t="s">
        <v>4634</v>
      </c>
      <c r="N1251" s="11" t="s">
        <v>4483</v>
      </c>
      <c r="O1251" s="11"/>
      <c r="P1251" s="11">
        <v>3</v>
      </c>
      <c r="Q1251" s="11"/>
      <c r="R1251" s="11"/>
      <c r="S1251" s="11" t="s">
        <v>4635</v>
      </c>
    </row>
    <row r="1252" spans="1:19" hidden="1" x14ac:dyDescent="0.15">
      <c r="A1252" s="34">
        <v>1251</v>
      </c>
      <c r="B1252" s="35" t="s">
        <v>4881</v>
      </c>
      <c r="C1252" s="36" t="s">
        <v>4349</v>
      </c>
      <c r="D1252" s="11" t="s">
        <v>292</v>
      </c>
      <c r="E1252" s="11" t="s">
        <v>1441</v>
      </c>
      <c r="F1252" s="11">
        <v>6</v>
      </c>
      <c r="G1252" s="11" t="s">
        <v>5</v>
      </c>
      <c r="H1252" s="11" t="s">
        <v>4</v>
      </c>
      <c r="I1252" s="11" t="s">
        <v>288</v>
      </c>
      <c r="J1252" s="11" t="s">
        <v>6250</v>
      </c>
      <c r="K1252" s="11" t="s">
        <v>6301</v>
      </c>
      <c r="L1252" s="11" t="s">
        <v>6304</v>
      </c>
      <c r="M1252" s="11" t="s">
        <v>4636</v>
      </c>
      <c r="N1252" s="11" t="s">
        <v>4483</v>
      </c>
      <c r="O1252" s="11"/>
      <c r="P1252" s="11">
        <v>3</v>
      </c>
      <c r="Q1252" s="11"/>
      <c r="R1252" s="11"/>
      <c r="S1252" s="11" t="s">
        <v>4637</v>
      </c>
    </row>
    <row r="1253" spans="1:19" hidden="1" x14ac:dyDescent="0.15">
      <c r="A1253" s="34">
        <v>1252</v>
      </c>
      <c r="B1253" s="35" t="s">
        <v>4881</v>
      </c>
      <c r="C1253" s="36" t="s">
        <v>4349</v>
      </c>
      <c r="D1253" s="11" t="s">
        <v>292</v>
      </c>
      <c r="E1253" s="11" t="s">
        <v>1431</v>
      </c>
      <c r="F1253" s="11">
        <v>13</v>
      </c>
      <c r="G1253" s="11" t="s">
        <v>3</v>
      </c>
      <c r="H1253" s="11" t="s">
        <v>2</v>
      </c>
      <c r="I1253" s="11" t="s">
        <v>288</v>
      </c>
      <c r="J1253" s="11" t="s">
        <v>6250</v>
      </c>
      <c r="K1253" s="11"/>
      <c r="L1253" s="11"/>
      <c r="M1253" s="11" t="s">
        <v>4638</v>
      </c>
      <c r="N1253" s="11"/>
      <c r="O1253" s="11"/>
      <c r="P1253" s="11">
        <v>3</v>
      </c>
      <c r="Q1253" s="11"/>
      <c r="R1253" s="11"/>
      <c r="S1253" s="11" t="s">
        <v>4638</v>
      </c>
    </row>
    <row r="1254" spans="1:19" hidden="1" x14ac:dyDescent="0.15">
      <c r="A1254" s="34">
        <v>1253</v>
      </c>
      <c r="B1254" s="35" t="s">
        <v>4881</v>
      </c>
      <c r="C1254" s="36" t="s">
        <v>4349</v>
      </c>
      <c r="D1254" s="11" t="s">
        <v>292</v>
      </c>
      <c r="E1254" s="11" t="s">
        <v>1431</v>
      </c>
      <c r="F1254" s="11">
        <v>7</v>
      </c>
      <c r="G1254" s="11" t="s">
        <v>1</v>
      </c>
      <c r="H1254" s="11" t="s">
        <v>0</v>
      </c>
      <c r="I1254" s="11" t="s">
        <v>288</v>
      </c>
      <c r="J1254" s="11"/>
      <c r="K1254" s="11"/>
      <c r="L1254" s="11"/>
      <c r="M1254" s="11" t="s">
        <v>4639</v>
      </c>
      <c r="N1254" s="11"/>
      <c r="O1254" s="11"/>
      <c r="P1254" s="11">
        <v>3</v>
      </c>
      <c r="Q1254" s="11"/>
      <c r="R1254" s="11"/>
      <c r="S1254" s="11" t="s">
        <v>4639</v>
      </c>
    </row>
    <row r="1255" spans="1:19" hidden="1" x14ac:dyDescent="0.15">
      <c r="A1255" s="34">
        <v>1254</v>
      </c>
      <c r="B1255" s="35" t="s">
        <v>4881</v>
      </c>
      <c r="C1255" s="36" t="s">
        <v>4349</v>
      </c>
      <c r="D1255" s="11" t="s">
        <v>292</v>
      </c>
      <c r="E1255" s="11" t="s">
        <v>1431</v>
      </c>
      <c r="F1255" s="11">
        <v>5</v>
      </c>
      <c r="G1255" s="11" t="s">
        <v>4640</v>
      </c>
      <c r="H1255" s="11" t="s">
        <v>4641</v>
      </c>
      <c r="I1255" s="11" t="s">
        <v>288</v>
      </c>
      <c r="J1255" s="11"/>
      <c r="K1255" s="11"/>
      <c r="L1255" s="11"/>
      <c r="M1255" s="11" t="s">
        <v>4642</v>
      </c>
      <c r="N1255" s="11"/>
      <c r="O1255" s="11"/>
      <c r="P1255" s="11">
        <v>3</v>
      </c>
      <c r="Q1255" s="11"/>
      <c r="R1255" s="11"/>
      <c r="S1255" s="11" t="s">
        <v>4642</v>
      </c>
    </row>
    <row r="1256" spans="1:19" hidden="1" x14ac:dyDescent="0.15">
      <c r="A1256" s="34">
        <v>1255</v>
      </c>
      <c r="B1256" s="35" t="s">
        <v>4881</v>
      </c>
      <c r="C1256" s="36" t="s">
        <v>6297</v>
      </c>
      <c r="D1256" s="11" t="s">
        <v>1627</v>
      </c>
      <c r="E1256" s="11" t="s">
        <v>3161</v>
      </c>
      <c r="F1256" s="11">
        <v>18</v>
      </c>
      <c r="G1256" s="11" t="s">
        <v>3143</v>
      </c>
      <c r="H1256" s="11" t="s">
        <v>3144</v>
      </c>
      <c r="I1256" s="11" t="s">
        <v>339</v>
      </c>
      <c r="J1256" s="11" t="s">
        <v>1489</v>
      </c>
      <c r="K1256" s="11" t="s">
        <v>4007</v>
      </c>
      <c r="L1256" s="11"/>
      <c r="M1256" s="11" t="s">
        <v>1944</v>
      </c>
      <c r="N1256" s="11" t="s">
        <v>4644</v>
      </c>
      <c r="O1256" s="11"/>
      <c r="P1256" s="11"/>
      <c r="Q1256" s="11">
        <v>5</v>
      </c>
      <c r="R1256" s="11">
        <v>5</v>
      </c>
      <c r="S1256" s="11" t="s">
        <v>4645</v>
      </c>
    </row>
    <row r="1257" spans="1:19" hidden="1" x14ac:dyDescent="0.15">
      <c r="A1257" s="34">
        <v>1256</v>
      </c>
      <c r="B1257" s="35" t="s">
        <v>4881</v>
      </c>
      <c r="C1257" s="36" t="s">
        <v>6297</v>
      </c>
      <c r="D1257" s="11" t="s">
        <v>1627</v>
      </c>
      <c r="E1257" s="11" t="s">
        <v>3161</v>
      </c>
      <c r="F1257" s="11">
        <v>7</v>
      </c>
      <c r="G1257" s="11" t="s">
        <v>3155</v>
      </c>
      <c r="H1257" s="11" t="s">
        <v>3156</v>
      </c>
      <c r="I1257" s="11" t="s">
        <v>1453</v>
      </c>
      <c r="J1257" s="11"/>
      <c r="K1257" s="11"/>
      <c r="L1257" s="11"/>
      <c r="M1257" s="11" t="s">
        <v>4646</v>
      </c>
      <c r="N1257" s="11"/>
      <c r="O1257" s="11"/>
      <c r="P1257" s="11"/>
      <c r="Q1257" s="11"/>
      <c r="R1257" s="11"/>
      <c r="S1257" s="11" t="s">
        <v>4646</v>
      </c>
    </row>
    <row r="1258" spans="1:19" hidden="1" x14ac:dyDescent="0.15">
      <c r="A1258" s="34">
        <v>1257</v>
      </c>
      <c r="B1258" s="35" t="s">
        <v>4881</v>
      </c>
      <c r="C1258" s="36" t="s">
        <v>6297</v>
      </c>
      <c r="D1258" s="11" t="s">
        <v>1606</v>
      </c>
      <c r="E1258" s="11" t="s">
        <v>3161</v>
      </c>
      <c r="F1258" s="11">
        <v>16</v>
      </c>
      <c r="G1258" s="11" t="s">
        <v>3141</v>
      </c>
      <c r="H1258" s="11" t="s">
        <v>3142</v>
      </c>
      <c r="I1258" s="11" t="s">
        <v>339</v>
      </c>
      <c r="J1258" s="11" t="s">
        <v>1608</v>
      </c>
      <c r="K1258" s="11"/>
      <c r="L1258" s="11"/>
      <c r="M1258" s="11" t="s">
        <v>351</v>
      </c>
      <c r="N1258" s="11" t="s">
        <v>4647</v>
      </c>
      <c r="O1258" s="11"/>
      <c r="P1258" s="11"/>
      <c r="Q1258" s="11">
        <v>2</v>
      </c>
      <c r="R1258" s="11">
        <v>4</v>
      </c>
      <c r="S1258" s="11" t="s">
        <v>4648</v>
      </c>
    </row>
    <row r="1259" spans="1:19" hidden="1" x14ac:dyDescent="0.15">
      <c r="A1259" s="34">
        <v>1258</v>
      </c>
      <c r="B1259" s="35" t="s">
        <v>4881</v>
      </c>
      <c r="C1259" s="36" t="s">
        <v>6297</v>
      </c>
      <c r="D1259" s="11" t="s">
        <v>1606</v>
      </c>
      <c r="E1259" s="11" t="s">
        <v>3161</v>
      </c>
      <c r="F1259" s="11">
        <v>16</v>
      </c>
      <c r="G1259" s="11" t="s">
        <v>3147</v>
      </c>
      <c r="H1259" s="11" t="s">
        <v>3148</v>
      </c>
      <c r="I1259" s="11" t="s">
        <v>1453</v>
      </c>
      <c r="J1259" s="11"/>
      <c r="K1259" s="11"/>
      <c r="L1259" s="11"/>
      <c r="M1259" s="11" t="s">
        <v>4649</v>
      </c>
      <c r="N1259" s="11"/>
      <c r="O1259" s="11"/>
      <c r="P1259" s="11"/>
      <c r="Q1259" s="11"/>
      <c r="R1259" s="11"/>
      <c r="S1259" s="11" t="s">
        <v>4649</v>
      </c>
    </row>
    <row r="1260" spans="1:19" hidden="1" x14ac:dyDescent="0.15">
      <c r="A1260" s="34">
        <v>1259</v>
      </c>
      <c r="B1260" s="35" t="s">
        <v>4881</v>
      </c>
      <c r="C1260" s="36" t="s">
        <v>6297</v>
      </c>
      <c r="D1260" s="11" t="s">
        <v>1582</v>
      </c>
      <c r="E1260" s="11" t="s">
        <v>3161</v>
      </c>
      <c r="F1260" s="11">
        <v>6</v>
      </c>
      <c r="G1260" s="11" t="s">
        <v>3149</v>
      </c>
      <c r="H1260" s="11" t="s">
        <v>3150</v>
      </c>
      <c r="I1260" s="11" t="s">
        <v>1453</v>
      </c>
      <c r="J1260" s="11"/>
      <c r="K1260" s="11"/>
      <c r="L1260" s="11"/>
      <c r="M1260" s="11" t="s">
        <v>4650</v>
      </c>
      <c r="N1260" s="11"/>
      <c r="O1260" s="11"/>
      <c r="P1260" s="11"/>
      <c r="Q1260" s="11"/>
      <c r="R1260" s="11"/>
      <c r="S1260" s="11" t="s">
        <v>4650</v>
      </c>
    </row>
    <row r="1261" spans="1:19" hidden="1" x14ac:dyDescent="0.15">
      <c r="A1261" s="34">
        <v>1260</v>
      </c>
      <c r="B1261" s="35" t="s">
        <v>4881</v>
      </c>
      <c r="C1261" s="36" t="s">
        <v>6297</v>
      </c>
      <c r="D1261" s="11" t="s">
        <v>1552</v>
      </c>
      <c r="E1261" s="11" t="s">
        <v>3161</v>
      </c>
      <c r="F1261" s="11">
        <v>8</v>
      </c>
      <c r="G1261" s="11" t="s">
        <v>3145</v>
      </c>
      <c r="H1261" s="11" t="s">
        <v>3146</v>
      </c>
      <c r="I1261" s="11" t="s">
        <v>1453</v>
      </c>
      <c r="J1261" s="11"/>
      <c r="K1261" s="11"/>
      <c r="L1261" s="11"/>
      <c r="M1261" s="11" t="s">
        <v>4651</v>
      </c>
      <c r="N1261" s="11"/>
      <c r="O1261" s="11"/>
      <c r="P1261" s="11"/>
      <c r="Q1261" s="11"/>
      <c r="R1261" s="11"/>
      <c r="S1261" s="11" t="s">
        <v>4651</v>
      </c>
    </row>
    <row r="1262" spans="1:19" hidden="1" x14ac:dyDescent="0.15">
      <c r="A1262" s="34">
        <v>1261</v>
      </c>
      <c r="B1262" s="35" t="s">
        <v>4881</v>
      </c>
      <c r="C1262" s="36" t="s">
        <v>6297</v>
      </c>
      <c r="D1262" s="11" t="s">
        <v>1552</v>
      </c>
      <c r="E1262" s="11" t="s">
        <v>3161</v>
      </c>
      <c r="F1262" s="11">
        <v>13</v>
      </c>
      <c r="G1262" s="11" t="s">
        <v>3157</v>
      </c>
      <c r="H1262" s="11" t="s">
        <v>3158</v>
      </c>
      <c r="I1262" s="11" t="s">
        <v>288</v>
      </c>
      <c r="J1262" s="11"/>
      <c r="K1262" s="11"/>
      <c r="L1262" s="11"/>
      <c r="M1262" s="11" t="s">
        <v>4652</v>
      </c>
      <c r="N1262" s="11"/>
      <c r="O1262" s="11"/>
      <c r="P1262" s="11">
        <v>3</v>
      </c>
      <c r="Q1262" s="11"/>
      <c r="R1262" s="11"/>
      <c r="S1262" s="11" t="s">
        <v>4652</v>
      </c>
    </row>
    <row r="1263" spans="1:19" hidden="1" x14ac:dyDescent="0.15">
      <c r="A1263" s="34">
        <v>1262</v>
      </c>
      <c r="B1263" s="35" t="s">
        <v>4881</v>
      </c>
      <c r="C1263" s="36" t="s">
        <v>6297</v>
      </c>
      <c r="D1263" s="11" t="s">
        <v>1474</v>
      </c>
      <c r="E1263" s="11" t="s">
        <v>3161</v>
      </c>
      <c r="F1263" s="11">
        <v>8</v>
      </c>
      <c r="G1263" s="11" t="s">
        <v>3153</v>
      </c>
      <c r="H1263" s="11" t="s">
        <v>3154</v>
      </c>
      <c r="I1263" s="11" t="s">
        <v>1453</v>
      </c>
      <c r="J1263" s="11"/>
      <c r="K1263" s="11"/>
      <c r="L1263" s="11"/>
      <c r="M1263" s="11" t="s">
        <v>4653</v>
      </c>
      <c r="N1263" s="11"/>
      <c r="O1263" s="11"/>
      <c r="P1263" s="11"/>
      <c r="Q1263" s="11"/>
      <c r="R1263" s="11"/>
      <c r="S1263" s="11" t="s">
        <v>4653</v>
      </c>
    </row>
    <row r="1264" spans="1:19" hidden="1" x14ac:dyDescent="0.15">
      <c r="A1264" s="34">
        <v>1263</v>
      </c>
      <c r="B1264" s="35" t="s">
        <v>4881</v>
      </c>
      <c r="C1264" s="36" t="s">
        <v>6297</v>
      </c>
      <c r="D1264" s="11" t="s">
        <v>1487</v>
      </c>
      <c r="E1264" s="11" t="s">
        <v>3161</v>
      </c>
      <c r="F1264" s="11">
        <v>6</v>
      </c>
      <c r="G1264" s="11" t="s">
        <v>3151</v>
      </c>
      <c r="H1264" s="11" t="s">
        <v>3152</v>
      </c>
      <c r="I1264" s="11" t="s">
        <v>1453</v>
      </c>
      <c r="J1264" s="11"/>
      <c r="K1264" s="11"/>
      <c r="L1264" s="11"/>
      <c r="M1264" s="11" t="s">
        <v>4654</v>
      </c>
      <c r="N1264" s="11"/>
      <c r="O1264" s="11"/>
      <c r="P1264" s="11"/>
      <c r="Q1264" s="11"/>
      <c r="R1264" s="11"/>
      <c r="S1264" s="11" t="s">
        <v>4654</v>
      </c>
    </row>
    <row r="1265" spans="1:19" hidden="1" x14ac:dyDescent="0.15">
      <c r="A1265" s="34">
        <v>1264</v>
      </c>
      <c r="B1265" s="35" t="s">
        <v>4881</v>
      </c>
      <c r="C1265" s="36" t="s">
        <v>4349</v>
      </c>
      <c r="D1265" s="11" t="s">
        <v>292</v>
      </c>
      <c r="E1265" s="11" t="s">
        <v>3161</v>
      </c>
      <c r="F1265" s="11">
        <v>2</v>
      </c>
      <c r="G1265" s="11" t="s">
        <v>3159</v>
      </c>
      <c r="H1265" s="11" t="s">
        <v>3160</v>
      </c>
      <c r="I1265" s="11" t="s">
        <v>288</v>
      </c>
      <c r="J1265" s="11"/>
      <c r="K1265" s="11"/>
      <c r="L1265" s="11"/>
      <c r="M1265" s="11" t="s">
        <v>4655</v>
      </c>
      <c r="N1265" s="11"/>
      <c r="O1265" s="11"/>
      <c r="P1265" s="11">
        <v>10</v>
      </c>
      <c r="Q1265" s="11"/>
      <c r="R1265" s="11"/>
      <c r="S1265" s="11" t="s">
        <v>4655</v>
      </c>
    </row>
    <row r="1266" spans="1:19" hidden="1" x14ac:dyDescent="0.15">
      <c r="A1266" s="34">
        <v>1265</v>
      </c>
      <c r="B1266" s="35" t="s">
        <v>4881</v>
      </c>
      <c r="C1266" s="36" t="s">
        <v>4349</v>
      </c>
      <c r="D1266" s="11" t="s">
        <v>1627</v>
      </c>
      <c r="E1266" s="11" t="s">
        <v>1451</v>
      </c>
      <c r="F1266" s="11">
        <v>10</v>
      </c>
      <c r="G1266" s="11" t="s">
        <v>4656</v>
      </c>
      <c r="H1266" s="11" t="s">
        <v>4657</v>
      </c>
      <c r="I1266" s="11" t="s">
        <v>339</v>
      </c>
      <c r="J1266" s="11" t="s">
        <v>1489</v>
      </c>
      <c r="K1266" s="11" t="s">
        <v>1493</v>
      </c>
      <c r="L1266" s="11"/>
      <c r="M1266" s="11" t="s">
        <v>4658</v>
      </c>
      <c r="N1266" s="11" t="s">
        <v>4351</v>
      </c>
      <c r="O1266" s="11"/>
      <c r="P1266" s="11"/>
      <c r="Q1266" s="11">
        <v>2</v>
      </c>
      <c r="R1266" s="11">
        <v>2</v>
      </c>
      <c r="S1266" s="11" t="s">
        <v>4659</v>
      </c>
    </row>
    <row r="1267" spans="1:19" hidden="1" x14ac:dyDescent="0.15">
      <c r="A1267" s="34">
        <v>1266</v>
      </c>
      <c r="B1267" s="35" t="s">
        <v>4881</v>
      </c>
      <c r="C1267" s="36" t="s">
        <v>4349</v>
      </c>
      <c r="D1267" s="11" t="s">
        <v>1627</v>
      </c>
      <c r="E1267" s="11" t="s">
        <v>1451</v>
      </c>
      <c r="F1267" s="11">
        <v>12</v>
      </c>
      <c r="G1267" s="11" t="s">
        <v>4660</v>
      </c>
      <c r="H1267" s="11" t="s">
        <v>4661</v>
      </c>
      <c r="I1267" s="11" t="s">
        <v>339</v>
      </c>
      <c r="J1267" s="11" t="s">
        <v>1489</v>
      </c>
      <c r="K1267" s="11" t="s">
        <v>1470</v>
      </c>
      <c r="L1267" s="11"/>
      <c r="M1267" s="11" t="s">
        <v>4662</v>
      </c>
      <c r="N1267" s="11"/>
      <c r="O1267" s="11"/>
      <c r="P1267" s="11"/>
      <c r="Q1267" s="11">
        <v>4</v>
      </c>
      <c r="R1267" s="11">
        <v>3</v>
      </c>
      <c r="S1267" s="11" t="s">
        <v>4662</v>
      </c>
    </row>
    <row r="1268" spans="1:19" hidden="1" x14ac:dyDescent="0.15">
      <c r="A1268" s="34">
        <v>1267</v>
      </c>
      <c r="B1268" s="35" t="s">
        <v>4881</v>
      </c>
      <c r="C1268" s="36" t="s">
        <v>4349</v>
      </c>
      <c r="D1268" s="11" t="s">
        <v>1627</v>
      </c>
      <c r="E1268" s="11" t="s">
        <v>1441</v>
      </c>
      <c r="F1268" s="11">
        <v>8</v>
      </c>
      <c r="G1268" s="11" t="s">
        <v>4663</v>
      </c>
      <c r="H1268" s="11" t="s">
        <v>4664</v>
      </c>
      <c r="I1268" s="11" t="s">
        <v>339</v>
      </c>
      <c r="J1268" s="11" t="s">
        <v>1489</v>
      </c>
      <c r="K1268" s="11" t="s">
        <v>1493</v>
      </c>
      <c r="L1268" s="11"/>
      <c r="M1268" s="11" t="s">
        <v>4665</v>
      </c>
      <c r="N1268" s="11"/>
      <c r="O1268" s="11"/>
      <c r="P1268" s="11"/>
      <c r="Q1268" s="11">
        <v>4</v>
      </c>
      <c r="R1268" s="11">
        <v>4</v>
      </c>
      <c r="S1268" s="11" t="s">
        <v>4665</v>
      </c>
    </row>
    <row r="1269" spans="1:19" hidden="1" x14ac:dyDescent="0.15">
      <c r="A1269" s="34">
        <v>1268</v>
      </c>
      <c r="B1269" s="35" t="s">
        <v>4881</v>
      </c>
      <c r="C1269" s="36" t="s">
        <v>4349</v>
      </c>
      <c r="D1269" s="11" t="s">
        <v>1627</v>
      </c>
      <c r="E1269" s="11" t="s">
        <v>1441</v>
      </c>
      <c r="F1269" s="11">
        <v>7</v>
      </c>
      <c r="G1269" s="11" t="s">
        <v>4666</v>
      </c>
      <c r="H1269" s="11" t="s">
        <v>4667</v>
      </c>
      <c r="I1269" s="11" t="s">
        <v>339</v>
      </c>
      <c r="J1269" s="11" t="s">
        <v>348</v>
      </c>
      <c r="K1269" s="11"/>
      <c r="L1269" s="11"/>
      <c r="M1269" s="11" t="s">
        <v>4442</v>
      </c>
      <c r="N1269" s="11" t="s">
        <v>4668</v>
      </c>
      <c r="O1269" s="11" t="s">
        <v>4669</v>
      </c>
      <c r="P1269" s="11"/>
      <c r="Q1269" s="11">
        <v>4</v>
      </c>
      <c r="R1269" s="11">
        <v>4</v>
      </c>
      <c r="S1269" s="11" t="s">
        <v>4670</v>
      </c>
    </row>
    <row r="1270" spans="1:19" hidden="1" x14ac:dyDescent="0.15">
      <c r="A1270" s="34">
        <v>1269</v>
      </c>
      <c r="B1270" s="35" t="s">
        <v>4881</v>
      </c>
      <c r="C1270" s="36" t="s">
        <v>4349</v>
      </c>
      <c r="D1270" s="11" t="s">
        <v>1606</v>
      </c>
      <c r="E1270" s="11" t="s">
        <v>1451</v>
      </c>
      <c r="F1270" s="11">
        <v>12</v>
      </c>
      <c r="G1270" s="11" t="s">
        <v>4671</v>
      </c>
      <c r="H1270" s="11" t="s">
        <v>4672</v>
      </c>
      <c r="I1270" s="11" t="s">
        <v>339</v>
      </c>
      <c r="J1270" s="11" t="s">
        <v>2515</v>
      </c>
      <c r="K1270" s="11"/>
      <c r="L1270" s="11"/>
      <c r="M1270" s="11" t="s">
        <v>351</v>
      </c>
      <c r="N1270" s="11" t="s">
        <v>4673</v>
      </c>
      <c r="O1270" s="11"/>
      <c r="P1270" s="11"/>
      <c r="Q1270" s="11">
        <v>4</v>
      </c>
      <c r="R1270" s="11">
        <v>4</v>
      </c>
      <c r="S1270" s="11" t="s">
        <v>4674</v>
      </c>
    </row>
    <row r="1271" spans="1:19" hidden="1" x14ac:dyDescent="0.15">
      <c r="A1271" s="34">
        <v>1270</v>
      </c>
      <c r="B1271" s="35" t="s">
        <v>4881</v>
      </c>
      <c r="C1271" s="36" t="s">
        <v>4349</v>
      </c>
      <c r="D1271" s="11" t="s">
        <v>1606</v>
      </c>
      <c r="E1271" s="11" t="s">
        <v>1451</v>
      </c>
      <c r="F1271" s="11">
        <v>6</v>
      </c>
      <c r="G1271" s="11" t="s">
        <v>4675</v>
      </c>
      <c r="H1271" s="11" t="s">
        <v>4676</v>
      </c>
      <c r="I1271" s="11" t="s">
        <v>1453</v>
      </c>
      <c r="J1271" s="11"/>
      <c r="K1271" s="11"/>
      <c r="L1271" s="11"/>
      <c r="M1271" s="11" t="s">
        <v>4677</v>
      </c>
      <c r="N1271" s="11"/>
      <c r="O1271" s="11"/>
      <c r="P1271" s="11"/>
      <c r="Q1271" s="11"/>
      <c r="R1271" s="11"/>
      <c r="S1271" s="11" t="s">
        <v>4677</v>
      </c>
    </row>
    <row r="1272" spans="1:19" hidden="1" x14ac:dyDescent="0.15">
      <c r="A1272" s="34">
        <v>1271</v>
      </c>
      <c r="B1272" s="35" t="s">
        <v>4881</v>
      </c>
      <c r="C1272" s="36" t="s">
        <v>4349</v>
      </c>
      <c r="D1272" s="11" t="s">
        <v>1606</v>
      </c>
      <c r="E1272" s="11" t="s">
        <v>1451</v>
      </c>
      <c r="F1272" s="11">
        <v>10</v>
      </c>
      <c r="G1272" s="11" t="s">
        <v>4678</v>
      </c>
      <c r="H1272" s="11" t="s">
        <v>4679</v>
      </c>
      <c r="I1272" s="11" t="s">
        <v>1453</v>
      </c>
      <c r="J1272" s="11"/>
      <c r="K1272" s="11"/>
      <c r="L1272" s="11"/>
      <c r="M1272" s="11" t="s">
        <v>4680</v>
      </c>
      <c r="N1272" s="11"/>
      <c r="O1272" s="11"/>
      <c r="P1272" s="11"/>
      <c r="Q1272" s="11"/>
      <c r="R1272" s="11"/>
      <c r="S1272" s="11" t="s">
        <v>4680</v>
      </c>
    </row>
    <row r="1273" spans="1:19" hidden="1" x14ac:dyDescent="0.15">
      <c r="A1273" s="34">
        <v>1272</v>
      </c>
      <c r="B1273" s="35" t="s">
        <v>4881</v>
      </c>
      <c r="C1273" s="36" t="s">
        <v>4349</v>
      </c>
      <c r="D1273" s="11" t="s">
        <v>1606</v>
      </c>
      <c r="E1273" s="11" t="s">
        <v>1441</v>
      </c>
      <c r="F1273" s="11">
        <v>17</v>
      </c>
      <c r="G1273" s="11" t="s">
        <v>4681</v>
      </c>
      <c r="H1273" s="11" t="s">
        <v>4682</v>
      </c>
      <c r="I1273" s="11" t="s">
        <v>339</v>
      </c>
      <c r="J1273" s="11" t="s">
        <v>2954</v>
      </c>
      <c r="K1273" s="11"/>
      <c r="L1273" s="11"/>
      <c r="M1273" s="11" t="s">
        <v>4683</v>
      </c>
      <c r="N1273" s="11"/>
      <c r="O1273" s="11"/>
      <c r="P1273" s="11"/>
      <c r="Q1273" s="11">
        <v>8</v>
      </c>
      <c r="R1273" s="11">
        <v>7</v>
      </c>
      <c r="S1273" s="11" t="s">
        <v>4683</v>
      </c>
    </row>
    <row r="1274" spans="1:19" hidden="1" x14ac:dyDescent="0.15">
      <c r="A1274" s="34">
        <v>1273</v>
      </c>
      <c r="B1274" s="35" t="s">
        <v>4881</v>
      </c>
      <c r="C1274" s="36" t="s">
        <v>4349</v>
      </c>
      <c r="D1274" s="11" t="s">
        <v>1606</v>
      </c>
      <c r="E1274" s="11" t="s">
        <v>1441</v>
      </c>
      <c r="F1274" s="11">
        <v>2</v>
      </c>
      <c r="G1274" s="11" t="s">
        <v>4684</v>
      </c>
      <c r="H1274" s="11" t="s">
        <v>4685</v>
      </c>
      <c r="I1274" s="11" t="s">
        <v>1453</v>
      </c>
      <c r="J1274" s="11"/>
      <c r="K1274" s="11"/>
      <c r="L1274" s="11"/>
      <c r="M1274" s="11" t="s">
        <v>4686</v>
      </c>
      <c r="N1274" s="11"/>
      <c r="O1274" s="11"/>
      <c r="P1274" s="11"/>
      <c r="Q1274" s="11"/>
      <c r="R1274" s="11"/>
      <c r="S1274" s="11" t="s">
        <v>4686</v>
      </c>
    </row>
    <row r="1275" spans="1:19" hidden="1" x14ac:dyDescent="0.15">
      <c r="A1275" s="34">
        <v>1274</v>
      </c>
      <c r="B1275" s="35" t="s">
        <v>4881</v>
      </c>
      <c r="C1275" s="36" t="s">
        <v>4349</v>
      </c>
      <c r="D1275" s="11" t="s">
        <v>1606</v>
      </c>
      <c r="E1275" s="11" t="s">
        <v>1431</v>
      </c>
      <c r="F1275" s="11">
        <v>8</v>
      </c>
      <c r="G1275" s="11" t="s">
        <v>4687</v>
      </c>
      <c r="H1275" s="11" t="s">
        <v>4688</v>
      </c>
      <c r="I1275" s="11" t="s">
        <v>288</v>
      </c>
      <c r="J1275" s="11"/>
      <c r="K1275" s="11"/>
      <c r="L1275" s="11"/>
      <c r="M1275" s="11" t="s">
        <v>4689</v>
      </c>
      <c r="N1275" s="11"/>
      <c r="O1275" s="11"/>
      <c r="P1275" s="11">
        <v>2</v>
      </c>
      <c r="Q1275" s="11"/>
      <c r="R1275" s="11"/>
      <c r="S1275" s="11" t="s">
        <v>4689</v>
      </c>
    </row>
    <row r="1276" spans="1:19" hidden="1" x14ac:dyDescent="0.15">
      <c r="A1276" s="34">
        <v>1275</v>
      </c>
      <c r="B1276" s="35" t="s">
        <v>4881</v>
      </c>
      <c r="C1276" s="36" t="s">
        <v>4349</v>
      </c>
      <c r="D1276" s="11" t="s">
        <v>1582</v>
      </c>
      <c r="E1276" s="11" t="s">
        <v>1451</v>
      </c>
      <c r="F1276" s="11">
        <v>10</v>
      </c>
      <c r="G1276" s="11" t="s">
        <v>4855</v>
      </c>
      <c r="H1276" s="11" t="s">
        <v>4691</v>
      </c>
      <c r="I1276" s="11" t="s">
        <v>339</v>
      </c>
      <c r="J1276" s="11" t="s">
        <v>4032</v>
      </c>
      <c r="K1276" s="11" t="s">
        <v>2793</v>
      </c>
      <c r="L1276" s="11"/>
      <c r="M1276" s="11" t="s">
        <v>3109</v>
      </c>
      <c r="N1276" s="11" t="s">
        <v>4585</v>
      </c>
      <c r="O1276" s="11"/>
      <c r="P1276" s="11"/>
      <c r="Q1276" s="11">
        <v>4</v>
      </c>
      <c r="R1276" s="11">
        <v>3</v>
      </c>
      <c r="S1276" s="11" t="s">
        <v>4692</v>
      </c>
    </row>
    <row r="1277" spans="1:19" hidden="1" x14ac:dyDescent="0.15">
      <c r="A1277" s="34">
        <v>1276</v>
      </c>
      <c r="B1277" s="35" t="s">
        <v>4881</v>
      </c>
      <c r="C1277" s="36" t="s">
        <v>4349</v>
      </c>
      <c r="D1277" s="11" t="s">
        <v>1582</v>
      </c>
      <c r="E1277" s="11" t="s">
        <v>1451</v>
      </c>
      <c r="F1277" s="11">
        <v>9</v>
      </c>
      <c r="G1277" s="11" t="s">
        <v>4693</v>
      </c>
      <c r="H1277" s="11" t="s">
        <v>4694</v>
      </c>
      <c r="I1277" s="11" t="s">
        <v>339</v>
      </c>
      <c r="J1277" s="11" t="s">
        <v>2802</v>
      </c>
      <c r="K1277" s="11"/>
      <c r="L1277" s="11"/>
      <c r="M1277" s="11" t="s">
        <v>4695</v>
      </c>
      <c r="N1277" s="11"/>
      <c r="O1277" s="11"/>
      <c r="P1277" s="11"/>
      <c r="Q1277" s="11">
        <v>6</v>
      </c>
      <c r="R1277" s="11">
        <v>6</v>
      </c>
      <c r="S1277" s="11" t="s">
        <v>4695</v>
      </c>
    </row>
    <row r="1278" spans="1:19" hidden="1" x14ac:dyDescent="0.15">
      <c r="A1278" s="34">
        <v>1277</v>
      </c>
      <c r="B1278" s="35" t="s">
        <v>4881</v>
      </c>
      <c r="C1278" s="36" t="s">
        <v>4349</v>
      </c>
      <c r="D1278" s="11" t="s">
        <v>1582</v>
      </c>
      <c r="E1278" s="11" t="s">
        <v>1441</v>
      </c>
      <c r="F1278" s="11">
        <v>8</v>
      </c>
      <c r="G1278" s="11" t="s">
        <v>4696</v>
      </c>
      <c r="H1278" s="11" t="s">
        <v>4697</v>
      </c>
      <c r="I1278" s="11" t="s">
        <v>1453</v>
      </c>
      <c r="J1278" s="11"/>
      <c r="K1278" s="11"/>
      <c r="L1278" s="11"/>
      <c r="M1278" s="11" t="s">
        <v>4698</v>
      </c>
      <c r="N1278" s="11"/>
      <c r="O1278" s="11"/>
      <c r="P1278" s="11"/>
      <c r="Q1278" s="11"/>
      <c r="R1278" s="11"/>
      <c r="S1278" s="11" t="s">
        <v>4698</v>
      </c>
    </row>
    <row r="1279" spans="1:19" hidden="1" x14ac:dyDescent="0.15">
      <c r="A1279" s="34">
        <v>1278</v>
      </c>
      <c r="B1279" s="35" t="s">
        <v>4881</v>
      </c>
      <c r="C1279" s="36" t="s">
        <v>4349</v>
      </c>
      <c r="D1279" s="11" t="s">
        <v>1582</v>
      </c>
      <c r="E1279" s="11" t="s">
        <v>1441</v>
      </c>
      <c r="F1279" s="11">
        <v>13</v>
      </c>
      <c r="G1279" s="11" t="s">
        <v>4699</v>
      </c>
      <c r="H1279" s="11" t="s">
        <v>4700</v>
      </c>
      <c r="I1279" s="11" t="s">
        <v>288</v>
      </c>
      <c r="J1279" s="11"/>
      <c r="K1279" s="11"/>
      <c r="L1279" s="11"/>
      <c r="M1279" s="11" t="s">
        <v>4701</v>
      </c>
      <c r="N1279" s="11" t="s">
        <v>4702</v>
      </c>
      <c r="O1279" s="11"/>
      <c r="P1279" s="11"/>
      <c r="Q1279" s="11"/>
      <c r="R1279" s="11"/>
      <c r="S1279" s="11" t="s">
        <v>4703</v>
      </c>
    </row>
    <row r="1280" spans="1:19" hidden="1" x14ac:dyDescent="0.15">
      <c r="A1280" s="34">
        <v>1279</v>
      </c>
      <c r="B1280" s="35" t="s">
        <v>4881</v>
      </c>
      <c r="C1280" s="36" t="s">
        <v>4349</v>
      </c>
      <c r="D1280" s="11" t="s">
        <v>1552</v>
      </c>
      <c r="E1280" s="11" t="s">
        <v>1451</v>
      </c>
      <c r="F1280" s="11">
        <v>8</v>
      </c>
      <c r="G1280" s="11" t="s">
        <v>4704</v>
      </c>
      <c r="H1280" s="11" t="s">
        <v>4705</v>
      </c>
      <c r="I1280" s="11" t="s">
        <v>339</v>
      </c>
      <c r="J1280" s="11" t="s">
        <v>4456</v>
      </c>
      <c r="K1280" s="11" t="s">
        <v>1493</v>
      </c>
      <c r="L1280" s="11"/>
      <c r="M1280" s="11" t="s">
        <v>4706</v>
      </c>
      <c r="N1280" s="11"/>
      <c r="O1280" s="11"/>
      <c r="P1280" s="11"/>
      <c r="Q1280" s="11">
        <v>4</v>
      </c>
      <c r="R1280" s="11">
        <v>3</v>
      </c>
      <c r="S1280" s="11" t="s">
        <v>4706</v>
      </c>
    </row>
    <row r="1281" spans="1:19" hidden="1" x14ac:dyDescent="0.15">
      <c r="A1281" s="34">
        <v>1280</v>
      </c>
      <c r="B1281" s="35" t="s">
        <v>4881</v>
      </c>
      <c r="C1281" s="36" t="s">
        <v>4349</v>
      </c>
      <c r="D1281" s="11" t="s">
        <v>1552</v>
      </c>
      <c r="E1281" s="11" t="s">
        <v>1451</v>
      </c>
      <c r="F1281" s="11">
        <v>14</v>
      </c>
      <c r="G1281" s="11" t="s">
        <v>4707</v>
      </c>
      <c r="H1281" s="11" t="s">
        <v>4708</v>
      </c>
      <c r="I1281" s="11" t="s">
        <v>339</v>
      </c>
      <c r="J1281" s="11" t="s">
        <v>4456</v>
      </c>
      <c r="K1281" s="11" t="s">
        <v>1493</v>
      </c>
      <c r="L1281" s="11"/>
      <c r="M1281" s="11" t="s">
        <v>4709</v>
      </c>
      <c r="N1281" s="11"/>
      <c r="O1281" s="11"/>
      <c r="P1281" s="11"/>
      <c r="Q1281" s="11">
        <v>2</v>
      </c>
      <c r="R1281" s="11">
        <v>3</v>
      </c>
      <c r="S1281" s="11" t="s">
        <v>4709</v>
      </c>
    </row>
    <row r="1282" spans="1:19" hidden="1" x14ac:dyDescent="0.15">
      <c r="A1282" s="34">
        <v>1281</v>
      </c>
      <c r="B1282" s="35" t="s">
        <v>4881</v>
      </c>
      <c r="C1282" s="36" t="s">
        <v>4349</v>
      </c>
      <c r="D1282" s="11" t="s">
        <v>1552</v>
      </c>
      <c r="E1282" s="11" t="s">
        <v>1451</v>
      </c>
      <c r="F1282" s="11">
        <v>16</v>
      </c>
      <c r="G1282" s="11" t="s">
        <v>4710</v>
      </c>
      <c r="H1282" s="11" t="s">
        <v>4711</v>
      </c>
      <c r="I1282" s="11" t="s">
        <v>1453</v>
      </c>
      <c r="J1282" s="11"/>
      <c r="K1282" s="11"/>
      <c r="L1282" s="11"/>
      <c r="M1282" s="11" t="s">
        <v>4712</v>
      </c>
      <c r="N1282" s="11"/>
      <c r="O1282" s="11"/>
      <c r="P1282" s="11"/>
      <c r="Q1282" s="11"/>
      <c r="R1282" s="11"/>
      <c r="S1282" s="11" t="s">
        <v>4712</v>
      </c>
    </row>
    <row r="1283" spans="1:19" hidden="1" x14ac:dyDescent="0.15">
      <c r="A1283" s="34">
        <v>1282</v>
      </c>
      <c r="B1283" s="35" t="s">
        <v>4881</v>
      </c>
      <c r="C1283" s="36" t="s">
        <v>4349</v>
      </c>
      <c r="D1283" s="11" t="s">
        <v>1552</v>
      </c>
      <c r="E1283" s="11" t="s">
        <v>1441</v>
      </c>
      <c r="F1283" s="11">
        <v>9</v>
      </c>
      <c r="G1283" s="11" t="s">
        <v>4713</v>
      </c>
      <c r="H1283" s="11" t="s">
        <v>4714</v>
      </c>
      <c r="I1283" s="11" t="s">
        <v>339</v>
      </c>
      <c r="J1283" s="11" t="s">
        <v>1489</v>
      </c>
      <c r="K1283" s="11" t="s">
        <v>1470</v>
      </c>
      <c r="L1283" s="11"/>
      <c r="M1283" s="11" t="s">
        <v>4715</v>
      </c>
      <c r="N1283" s="11"/>
      <c r="O1283" s="11"/>
      <c r="P1283" s="11"/>
      <c r="Q1283" s="11">
        <v>4</v>
      </c>
      <c r="R1283" s="11">
        <v>4</v>
      </c>
      <c r="S1283" s="11" t="s">
        <v>4715</v>
      </c>
    </row>
    <row r="1284" spans="1:19" hidden="1" x14ac:dyDescent="0.15">
      <c r="A1284" s="34">
        <v>1283</v>
      </c>
      <c r="B1284" s="35" t="s">
        <v>4881</v>
      </c>
      <c r="C1284" s="36" t="s">
        <v>4349</v>
      </c>
      <c r="D1284" s="11" t="s">
        <v>1552</v>
      </c>
      <c r="E1284" s="11" t="s">
        <v>1441</v>
      </c>
      <c r="F1284" s="11">
        <v>19</v>
      </c>
      <c r="G1284" s="11" t="s">
        <v>4716</v>
      </c>
      <c r="H1284" s="11" t="s">
        <v>4717</v>
      </c>
      <c r="I1284" s="11" t="s">
        <v>339</v>
      </c>
      <c r="J1284" s="11" t="s">
        <v>1489</v>
      </c>
      <c r="K1284" s="11" t="s">
        <v>1463</v>
      </c>
      <c r="L1284" s="11"/>
      <c r="M1284" s="11" t="s">
        <v>4718</v>
      </c>
      <c r="N1284" s="11"/>
      <c r="O1284" s="11"/>
      <c r="P1284" s="11"/>
      <c r="Q1284" s="11">
        <v>4</v>
      </c>
      <c r="R1284" s="11">
        <v>4</v>
      </c>
      <c r="S1284" s="11" t="s">
        <v>4718</v>
      </c>
    </row>
    <row r="1285" spans="1:19" hidden="1" x14ac:dyDescent="0.15">
      <c r="A1285" s="34">
        <v>1284</v>
      </c>
      <c r="B1285" s="35" t="s">
        <v>4881</v>
      </c>
      <c r="C1285" s="36" t="s">
        <v>4349</v>
      </c>
      <c r="D1285" s="11" t="s">
        <v>1518</v>
      </c>
      <c r="E1285" s="11" t="s">
        <v>1451</v>
      </c>
      <c r="F1285" s="11">
        <v>10</v>
      </c>
      <c r="G1285" s="11" t="s">
        <v>4719</v>
      </c>
      <c r="H1285" s="11" t="s">
        <v>4720</v>
      </c>
      <c r="I1285" s="11" t="s">
        <v>339</v>
      </c>
      <c r="J1285" s="11" t="s">
        <v>4032</v>
      </c>
      <c r="K1285" s="11"/>
      <c r="L1285" s="11"/>
      <c r="M1285" s="11" t="s">
        <v>2755</v>
      </c>
      <c r="N1285" s="11" t="s">
        <v>4585</v>
      </c>
      <c r="O1285" s="11"/>
      <c r="P1285" s="11"/>
      <c r="Q1285" s="11">
        <v>5</v>
      </c>
      <c r="R1285" s="11">
        <v>4</v>
      </c>
      <c r="S1285" s="11" t="s">
        <v>4721</v>
      </c>
    </row>
    <row r="1286" spans="1:19" hidden="1" x14ac:dyDescent="0.15">
      <c r="A1286" s="34">
        <v>1285</v>
      </c>
      <c r="B1286" s="35" t="s">
        <v>4881</v>
      </c>
      <c r="C1286" s="36" t="s">
        <v>4349</v>
      </c>
      <c r="D1286" s="11" t="s">
        <v>1518</v>
      </c>
      <c r="E1286" s="11" t="s">
        <v>1451</v>
      </c>
      <c r="F1286" s="11">
        <v>8</v>
      </c>
      <c r="G1286" s="11" t="s">
        <v>4722</v>
      </c>
      <c r="H1286" s="11" t="s">
        <v>4723</v>
      </c>
      <c r="I1286" s="11" t="s">
        <v>339</v>
      </c>
      <c r="J1286" s="11" t="s">
        <v>4724</v>
      </c>
      <c r="K1286" s="11"/>
      <c r="L1286" s="11"/>
      <c r="M1286" s="11" t="s">
        <v>4488</v>
      </c>
      <c r="N1286" s="11"/>
      <c r="O1286" s="11"/>
      <c r="P1286" s="11"/>
      <c r="Q1286" s="11">
        <v>5</v>
      </c>
      <c r="R1286" s="11">
        <v>6</v>
      </c>
      <c r="S1286" s="11" t="s">
        <v>4488</v>
      </c>
    </row>
    <row r="1287" spans="1:19" hidden="1" x14ac:dyDescent="0.15">
      <c r="A1287" s="34">
        <v>1286</v>
      </c>
      <c r="B1287" s="35" t="s">
        <v>4881</v>
      </c>
      <c r="C1287" s="36" t="s">
        <v>4349</v>
      </c>
      <c r="D1287" s="11" t="s">
        <v>1518</v>
      </c>
      <c r="E1287" s="11" t="s">
        <v>1451</v>
      </c>
      <c r="F1287" s="11">
        <v>9</v>
      </c>
      <c r="G1287" s="11" t="s">
        <v>4725</v>
      </c>
      <c r="H1287" s="11" t="s">
        <v>4726</v>
      </c>
      <c r="I1287" s="11" t="s">
        <v>1453</v>
      </c>
      <c r="J1287" s="11" t="s">
        <v>6306</v>
      </c>
      <c r="K1287" s="11"/>
      <c r="L1287" s="11"/>
      <c r="M1287" s="11" t="s">
        <v>4727</v>
      </c>
      <c r="N1287" s="11"/>
      <c r="O1287" s="11"/>
      <c r="P1287" s="11"/>
      <c r="Q1287" s="11"/>
      <c r="R1287" s="11"/>
      <c r="S1287" s="11" t="s">
        <v>4727</v>
      </c>
    </row>
    <row r="1288" spans="1:19" hidden="1" x14ac:dyDescent="0.15">
      <c r="A1288" s="34">
        <v>1287</v>
      </c>
      <c r="B1288" s="35" t="s">
        <v>4881</v>
      </c>
      <c r="C1288" s="36" t="s">
        <v>4349</v>
      </c>
      <c r="D1288" s="11" t="s">
        <v>1518</v>
      </c>
      <c r="E1288" s="11" t="s">
        <v>1441</v>
      </c>
      <c r="F1288" s="11">
        <v>14</v>
      </c>
      <c r="G1288" s="11" t="s">
        <v>4728</v>
      </c>
      <c r="H1288" s="11" t="s">
        <v>4729</v>
      </c>
      <c r="I1288" s="11" t="s">
        <v>339</v>
      </c>
      <c r="J1288" s="11" t="s">
        <v>357</v>
      </c>
      <c r="K1288" s="11"/>
      <c r="L1288" s="11"/>
      <c r="M1288" s="11" t="s">
        <v>2612</v>
      </c>
      <c r="N1288" s="11" t="s">
        <v>4730</v>
      </c>
      <c r="O1288" s="11"/>
      <c r="P1288" s="11"/>
      <c r="Q1288" s="11">
        <v>6</v>
      </c>
      <c r="R1288" s="11">
        <v>6</v>
      </c>
      <c r="S1288" s="11" t="s">
        <v>4731</v>
      </c>
    </row>
    <row r="1289" spans="1:19" hidden="1" x14ac:dyDescent="0.15">
      <c r="A1289" s="34">
        <v>1288</v>
      </c>
      <c r="B1289" s="35" t="s">
        <v>4881</v>
      </c>
      <c r="C1289" s="36" t="s">
        <v>4349</v>
      </c>
      <c r="D1289" s="11" t="s">
        <v>1518</v>
      </c>
      <c r="E1289" s="11" t="s">
        <v>1441</v>
      </c>
      <c r="F1289" s="11">
        <v>7</v>
      </c>
      <c r="G1289" s="11" t="s">
        <v>4732</v>
      </c>
      <c r="H1289" s="11" t="s">
        <v>4733</v>
      </c>
      <c r="I1289" s="11" t="s">
        <v>1453</v>
      </c>
      <c r="J1289" s="11"/>
      <c r="K1289" s="11"/>
      <c r="L1289" s="11"/>
      <c r="M1289" s="11" t="s">
        <v>4734</v>
      </c>
      <c r="N1289" s="11"/>
      <c r="O1289" s="11"/>
      <c r="P1289" s="11"/>
      <c r="Q1289" s="11"/>
      <c r="R1289" s="11"/>
      <c r="S1289" s="11" t="s">
        <v>4734</v>
      </c>
    </row>
    <row r="1290" spans="1:19" hidden="1" x14ac:dyDescent="0.15">
      <c r="A1290" s="34">
        <v>1289</v>
      </c>
      <c r="B1290" s="35" t="s">
        <v>4881</v>
      </c>
      <c r="C1290" s="36" t="s">
        <v>4349</v>
      </c>
      <c r="D1290" s="11" t="s">
        <v>1504</v>
      </c>
      <c r="E1290" s="11" t="s">
        <v>1451</v>
      </c>
      <c r="F1290" s="11">
        <v>12</v>
      </c>
      <c r="G1290" s="11" t="s">
        <v>4735</v>
      </c>
      <c r="H1290" s="11" t="s">
        <v>4736</v>
      </c>
      <c r="I1290" s="11" t="s">
        <v>339</v>
      </c>
      <c r="J1290" s="11" t="s">
        <v>4456</v>
      </c>
      <c r="K1290" s="11" t="s">
        <v>1493</v>
      </c>
      <c r="L1290" s="11"/>
      <c r="M1290" s="11" t="s">
        <v>4737</v>
      </c>
      <c r="N1290" s="11"/>
      <c r="O1290" s="11"/>
      <c r="P1290" s="11"/>
      <c r="Q1290" s="11">
        <v>4</v>
      </c>
      <c r="R1290" s="11">
        <v>2</v>
      </c>
      <c r="S1290" s="11" t="s">
        <v>4737</v>
      </c>
    </row>
    <row r="1291" spans="1:19" hidden="1" x14ac:dyDescent="0.15">
      <c r="A1291" s="34">
        <v>1290</v>
      </c>
      <c r="B1291" s="35" t="s">
        <v>4881</v>
      </c>
      <c r="C1291" s="36" t="s">
        <v>4349</v>
      </c>
      <c r="D1291" s="11" t="s">
        <v>1784</v>
      </c>
      <c r="E1291" s="11" t="s">
        <v>1451</v>
      </c>
      <c r="F1291" s="11">
        <v>12</v>
      </c>
      <c r="G1291" s="11" t="s">
        <v>4738</v>
      </c>
      <c r="H1291" s="11" t="s">
        <v>4739</v>
      </c>
      <c r="I1291" s="11" t="s">
        <v>339</v>
      </c>
      <c r="J1291" s="11" t="s">
        <v>1489</v>
      </c>
      <c r="K1291" s="11" t="s">
        <v>1493</v>
      </c>
      <c r="L1291" s="11"/>
      <c r="M1291" s="11" t="s">
        <v>2595</v>
      </c>
      <c r="N1291" s="11" t="s">
        <v>4740</v>
      </c>
      <c r="O1291" s="11"/>
      <c r="P1291" s="11"/>
      <c r="Q1291" s="11">
        <v>4</v>
      </c>
      <c r="R1291" s="11">
        <v>3</v>
      </c>
      <c r="S1291" s="11" t="s">
        <v>4741</v>
      </c>
    </row>
    <row r="1292" spans="1:19" hidden="1" x14ac:dyDescent="0.15">
      <c r="A1292" s="34">
        <v>1291</v>
      </c>
      <c r="B1292" s="35" t="s">
        <v>4881</v>
      </c>
      <c r="C1292" s="36" t="s">
        <v>4349</v>
      </c>
      <c r="D1292" s="11" t="s">
        <v>1482</v>
      </c>
      <c r="E1292" s="11" t="s">
        <v>1431</v>
      </c>
      <c r="F1292" s="11">
        <v>24</v>
      </c>
      <c r="G1292" s="11" t="s">
        <v>4742</v>
      </c>
      <c r="H1292" s="11" t="s">
        <v>4743</v>
      </c>
      <c r="I1292" s="11" t="s">
        <v>339</v>
      </c>
      <c r="J1292" s="11" t="s">
        <v>1489</v>
      </c>
      <c r="K1292" s="11" t="s">
        <v>1493</v>
      </c>
      <c r="L1292" s="11"/>
      <c r="M1292" s="11" t="s">
        <v>4242</v>
      </c>
      <c r="N1292" s="11" t="s">
        <v>4744</v>
      </c>
      <c r="O1292" s="11" t="s">
        <v>4745</v>
      </c>
      <c r="P1292" s="11"/>
      <c r="Q1292" s="11">
        <v>7</v>
      </c>
      <c r="R1292" s="11">
        <v>8</v>
      </c>
      <c r="S1292" s="11" t="s">
        <v>4746</v>
      </c>
    </row>
    <row r="1293" spans="1:19" hidden="1" x14ac:dyDescent="0.15">
      <c r="A1293" s="34">
        <v>1292</v>
      </c>
      <c r="B1293" s="35" t="s">
        <v>4881</v>
      </c>
      <c r="C1293" s="36" t="s">
        <v>4349</v>
      </c>
      <c r="D1293" s="11" t="s">
        <v>292</v>
      </c>
      <c r="E1293" s="11" t="s">
        <v>1431</v>
      </c>
      <c r="F1293" s="11">
        <v>19</v>
      </c>
      <c r="G1293" s="11" t="s">
        <v>4747</v>
      </c>
      <c r="H1293" s="11" t="s">
        <v>4748</v>
      </c>
      <c r="I1293" s="11" t="s">
        <v>288</v>
      </c>
      <c r="J1293" s="11"/>
      <c r="K1293" s="11"/>
      <c r="L1293" s="11"/>
      <c r="M1293" s="11" t="s">
        <v>4749</v>
      </c>
      <c r="N1293" s="11"/>
      <c r="O1293" s="11"/>
      <c r="P1293" s="11">
        <v>3</v>
      </c>
      <c r="Q1293" s="11"/>
      <c r="R1293" s="11"/>
      <c r="S1293" s="11" t="s">
        <v>4749</v>
      </c>
    </row>
    <row r="1294" spans="1:19" s="21" customFormat="1" hidden="1" x14ac:dyDescent="0.15">
      <c r="A1294" s="34">
        <v>1293</v>
      </c>
      <c r="B1294" s="35" t="s">
        <v>4881</v>
      </c>
      <c r="C1294" s="17" t="s">
        <v>4926</v>
      </c>
      <c r="D1294" s="25" t="s">
        <v>1627</v>
      </c>
      <c r="E1294" s="18" t="s">
        <v>1744</v>
      </c>
      <c r="F1294" s="22">
        <v>8</v>
      </c>
      <c r="G1294" s="20" t="s">
        <v>4927</v>
      </c>
      <c r="H1294" s="20" t="s">
        <v>4928</v>
      </c>
      <c r="I1294" s="18" t="s">
        <v>339</v>
      </c>
      <c r="J1294" s="17" t="s">
        <v>2948</v>
      </c>
      <c r="K1294" s="17" t="s">
        <v>1470</v>
      </c>
      <c r="L1294" s="17"/>
      <c r="M1294" s="17" t="s">
        <v>351</v>
      </c>
      <c r="N1294" s="17" t="s">
        <v>4929</v>
      </c>
      <c r="O1294" s="17"/>
      <c r="P1294" s="23"/>
      <c r="Q1294" s="17">
        <v>2</v>
      </c>
      <c r="R1294" s="17">
        <v>2</v>
      </c>
      <c r="S1294" s="17" t="s">
        <v>5507</v>
      </c>
    </row>
    <row r="1295" spans="1:19" s="21" customFormat="1" hidden="1" x14ac:dyDescent="0.15">
      <c r="A1295" s="34">
        <v>1294</v>
      </c>
      <c r="B1295" s="35" t="s">
        <v>4881</v>
      </c>
      <c r="C1295" s="17" t="s">
        <v>4926</v>
      </c>
      <c r="D1295" s="25" t="s">
        <v>1627</v>
      </c>
      <c r="E1295" s="18" t="s">
        <v>1744</v>
      </c>
      <c r="F1295" s="22">
        <v>6</v>
      </c>
      <c r="G1295" s="20" t="s">
        <v>4930</v>
      </c>
      <c r="H1295" s="20" t="s">
        <v>4931</v>
      </c>
      <c r="I1295" s="18" t="s">
        <v>339</v>
      </c>
      <c r="J1295" s="17" t="s">
        <v>2948</v>
      </c>
      <c r="K1295" s="17" t="s">
        <v>1493</v>
      </c>
      <c r="L1295" s="17"/>
      <c r="M1295" s="17" t="s">
        <v>351</v>
      </c>
      <c r="N1295" s="17" t="s">
        <v>4932</v>
      </c>
      <c r="O1295" s="17"/>
      <c r="P1295" s="23"/>
      <c r="Q1295" s="17">
        <v>2</v>
      </c>
      <c r="R1295" s="17">
        <v>1</v>
      </c>
      <c r="S1295" s="17" t="s">
        <v>5508</v>
      </c>
    </row>
    <row r="1296" spans="1:19" s="21" customFormat="1" hidden="1" x14ac:dyDescent="0.15">
      <c r="A1296" s="34">
        <v>1295</v>
      </c>
      <c r="B1296" s="35" t="s">
        <v>4881</v>
      </c>
      <c r="C1296" s="17" t="s">
        <v>4926</v>
      </c>
      <c r="D1296" s="25" t="s">
        <v>1627</v>
      </c>
      <c r="E1296" s="18" t="s">
        <v>1744</v>
      </c>
      <c r="F1296" s="22">
        <v>8</v>
      </c>
      <c r="G1296" s="20" t="s">
        <v>4933</v>
      </c>
      <c r="H1296" s="20" t="s">
        <v>4934</v>
      </c>
      <c r="I1296" s="18" t="s">
        <v>339</v>
      </c>
      <c r="J1296" s="17" t="s">
        <v>1484</v>
      </c>
      <c r="K1296" s="17" t="s">
        <v>4454</v>
      </c>
      <c r="L1296" s="17"/>
      <c r="M1296" s="17" t="s">
        <v>4935</v>
      </c>
      <c r="N1296" s="17"/>
      <c r="O1296" s="17"/>
      <c r="P1296" s="23"/>
      <c r="Q1296" s="17">
        <v>1</v>
      </c>
      <c r="R1296" s="17">
        <v>3</v>
      </c>
      <c r="S1296" s="17" t="s">
        <v>4935</v>
      </c>
    </row>
    <row r="1297" spans="1:19" s="21" customFormat="1" hidden="1" x14ac:dyDescent="0.15">
      <c r="A1297" s="34">
        <v>1296</v>
      </c>
      <c r="B1297" s="35" t="s">
        <v>4881</v>
      </c>
      <c r="C1297" s="17" t="s">
        <v>4926</v>
      </c>
      <c r="D1297" s="25" t="s">
        <v>1627</v>
      </c>
      <c r="E1297" s="18" t="s">
        <v>1744</v>
      </c>
      <c r="F1297" s="22">
        <v>10</v>
      </c>
      <c r="G1297" s="20" t="s">
        <v>4936</v>
      </c>
      <c r="H1297" s="20" t="s">
        <v>4937</v>
      </c>
      <c r="I1297" s="18" t="s">
        <v>339</v>
      </c>
      <c r="J1297" s="17" t="s">
        <v>1484</v>
      </c>
      <c r="K1297" s="17"/>
      <c r="L1297" s="17"/>
      <c r="M1297" s="17" t="s">
        <v>2595</v>
      </c>
      <c r="N1297" s="17"/>
      <c r="O1297" s="17"/>
      <c r="P1297" s="23"/>
      <c r="Q1297" s="17">
        <v>2</v>
      </c>
      <c r="R1297" s="17">
        <v>5</v>
      </c>
      <c r="S1297" s="17" t="s">
        <v>2595</v>
      </c>
    </row>
    <row r="1298" spans="1:19" s="21" customFormat="1" hidden="1" x14ac:dyDescent="0.15">
      <c r="A1298" s="34">
        <v>1297</v>
      </c>
      <c r="B1298" s="35" t="s">
        <v>4881</v>
      </c>
      <c r="C1298" s="17" t="s">
        <v>4926</v>
      </c>
      <c r="D1298" s="25" t="s">
        <v>1627</v>
      </c>
      <c r="E1298" s="18" t="s">
        <v>1744</v>
      </c>
      <c r="F1298" s="22">
        <v>5</v>
      </c>
      <c r="G1298" s="20" t="s">
        <v>4938</v>
      </c>
      <c r="H1298" s="20" t="s">
        <v>4939</v>
      </c>
      <c r="I1298" s="18" t="s">
        <v>339</v>
      </c>
      <c r="J1298" s="17" t="s">
        <v>1484</v>
      </c>
      <c r="K1298" s="17"/>
      <c r="L1298" s="17"/>
      <c r="M1298" s="17" t="s">
        <v>4940</v>
      </c>
      <c r="N1298" s="17"/>
      <c r="O1298" s="17"/>
      <c r="P1298" s="23"/>
      <c r="Q1298" s="17">
        <v>2</v>
      </c>
      <c r="R1298" s="17">
        <v>2</v>
      </c>
      <c r="S1298" s="17" t="s">
        <v>4940</v>
      </c>
    </row>
    <row r="1299" spans="1:19" s="21" customFormat="1" hidden="1" x14ac:dyDescent="0.15">
      <c r="A1299" s="34">
        <v>1298</v>
      </c>
      <c r="B1299" s="35" t="s">
        <v>4881</v>
      </c>
      <c r="C1299" s="17" t="s">
        <v>4926</v>
      </c>
      <c r="D1299" s="25" t="s">
        <v>1627</v>
      </c>
      <c r="E1299" s="18" t="s">
        <v>1744</v>
      </c>
      <c r="F1299" s="22">
        <v>5</v>
      </c>
      <c r="G1299" s="20" t="s">
        <v>4941</v>
      </c>
      <c r="H1299" s="20" t="s">
        <v>4942</v>
      </c>
      <c r="I1299" s="18" t="s">
        <v>339</v>
      </c>
      <c r="J1299" s="17" t="s">
        <v>1489</v>
      </c>
      <c r="K1299" s="17" t="s">
        <v>1493</v>
      </c>
      <c r="L1299" s="17"/>
      <c r="M1299" s="17" t="s">
        <v>4943</v>
      </c>
      <c r="N1299" s="17"/>
      <c r="O1299" s="17"/>
      <c r="P1299" s="23"/>
      <c r="Q1299" s="17">
        <v>3</v>
      </c>
      <c r="R1299" s="17">
        <v>1</v>
      </c>
      <c r="S1299" s="17" t="s">
        <v>4943</v>
      </c>
    </row>
    <row r="1300" spans="1:19" s="21" customFormat="1" hidden="1" x14ac:dyDescent="0.15">
      <c r="A1300" s="34">
        <v>1299</v>
      </c>
      <c r="B1300" s="35" t="s">
        <v>4881</v>
      </c>
      <c r="C1300" s="17" t="s">
        <v>4926</v>
      </c>
      <c r="D1300" s="25" t="s">
        <v>1627</v>
      </c>
      <c r="E1300" s="18" t="s">
        <v>1744</v>
      </c>
      <c r="F1300" s="22">
        <v>5</v>
      </c>
      <c r="G1300" s="20" t="s">
        <v>4944</v>
      </c>
      <c r="H1300" s="20" t="s">
        <v>4945</v>
      </c>
      <c r="I1300" s="18" t="s">
        <v>339</v>
      </c>
      <c r="J1300" s="17" t="s">
        <v>4946</v>
      </c>
      <c r="K1300" s="17"/>
      <c r="L1300" s="17"/>
      <c r="M1300" s="17" t="s">
        <v>4947</v>
      </c>
      <c r="N1300" s="17"/>
      <c r="O1300" s="17"/>
      <c r="P1300" s="23"/>
      <c r="Q1300" s="17">
        <v>2</v>
      </c>
      <c r="R1300" s="17">
        <v>2</v>
      </c>
      <c r="S1300" s="17" t="s">
        <v>4947</v>
      </c>
    </row>
    <row r="1301" spans="1:19" s="21" customFormat="1" hidden="1" x14ac:dyDescent="0.15">
      <c r="A1301" s="34">
        <v>1300</v>
      </c>
      <c r="B1301" s="35" t="s">
        <v>4881</v>
      </c>
      <c r="C1301" s="17" t="s">
        <v>4926</v>
      </c>
      <c r="D1301" s="25" t="s">
        <v>1627</v>
      </c>
      <c r="E1301" s="18" t="s">
        <v>1744</v>
      </c>
      <c r="F1301" s="22">
        <v>12</v>
      </c>
      <c r="G1301" s="20" t="s">
        <v>4948</v>
      </c>
      <c r="H1301" s="20" t="s">
        <v>4949</v>
      </c>
      <c r="I1301" s="18" t="s">
        <v>339</v>
      </c>
      <c r="J1301" s="17" t="s">
        <v>1489</v>
      </c>
      <c r="K1301" s="17" t="s">
        <v>1470</v>
      </c>
      <c r="L1301" s="17"/>
      <c r="M1301" s="17" t="s">
        <v>3194</v>
      </c>
      <c r="N1301" s="17" t="s">
        <v>4950</v>
      </c>
      <c r="O1301" s="17"/>
      <c r="P1301" s="23"/>
      <c r="Q1301" s="17">
        <v>2</v>
      </c>
      <c r="R1301" s="17">
        <v>2</v>
      </c>
      <c r="S1301" s="17" t="s">
        <v>5509</v>
      </c>
    </row>
    <row r="1302" spans="1:19" s="21" customFormat="1" hidden="1" x14ac:dyDescent="0.15">
      <c r="A1302" s="34">
        <v>1301</v>
      </c>
      <c r="B1302" s="35" t="s">
        <v>4881</v>
      </c>
      <c r="C1302" s="17" t="s">
        <v>4926</v>
      </c>
      <c r="D1302" s="25" t="s">
        <v>1627</v>
      </c>
      <c r="E1302" s="18" t="s">
        <v>1744</v>
      </c>
      <c r="F1302" s="22">
        <v>2</v>
      </c>
      <c r="G1302" s="20" t="s">
        <v>4951</v>
      </c>
      <c r="H1302" s="20" t="s">
        <v>4952</v>
      </c>
      <c r="I1302" s="18" t="s">
        <v>1453</v>
      </c>
      <c r="J1302" s="17"/>
      <c r="K1302" s="17"/>
      <c r="L1302" s="17"/>
      <c r="M1302" s="17" t="s">
        <v>4953</v>
      </c>
      <c r="N1302" s="17"/>
      <c r="O1302" s="17"/>
      <c r="P1302" s="23"/>
      <c r="Q1302" s="17" t="s">
        <v>4756</v>
      </c>
      <c r="R1302" s="17" t="s">
        <v>4756</v>
      </c>
      <c r="S1302" s="17" t="s">
        <v>4953</v>
      </c>
    </row>
    <row r="1303" spans="1:19" s="21" customFormat="1" hidden="1" x14ac:dyDescent="0.15">
      <c r="A1303" s="34">
        <v>1302</v>
      </c>
      <c r="B1303" s="35" t="s">
        <v>4881</v>
      </c>
      <c r="C1303" s="17" t="s">
        <v>4926</v>
      </c>
      <c r="D1303" s="25" t="s">
        <v>1627</v>
      </c>
      <c r="E1303" s="18" t="s">
        <v>1744</v>
      </c>
      <c r="F1303" s="22">
        <v>6</v>
      </c>
      <c r="G1303" s="17" t="s">
        <v>5653</v>
      </c>
      <c r="H1303" s="20" t="s">
        <v>4954</v>
      </c>
      <c r="I1303" s="18" t="s">
        <v>1453</v>
      </c>
      <c r="J1303" s="17" t="s">
        <v>4955</v>
      </c>
      <c r="K1303" s="17"/>
      <c r="L1303" s="17"/>
      <c r="M1303" s="17" t="s">
        <v>4956</v>
      </c>
      <c r="N1303" s="17" t="s">
        <v>4383</v>
      </c>
      <c r="O1303" s="17"/>
      <c r="P1303" s="23"/>
      <c r="Q1303" s="17" t="s">
        <v>4756</v>
      </c>
      <c r="R1303" s="17" t="s">
        <v>4756</v>
      </c>
      <c r="S1303" s="17" t="s">
        <v>5510</v>
      </c>
    </row>
    <row r="1304" spans="1:19" s="21" customFormat="1" hidden="1" x14ac:dyDescent="0.15">
      <c r="A1304" s="34">
        <v>1303</v>
      </c>
      <c r="B1304" s="35" t="s">
        <v>4881</v>
      </c>
      <c r="C1304" s="17" t="s">
        <v>4926</v>
      </c>
      <c r="D1304" s="25" t="s">
        <v>1627</v>
      </c>
      <c r="E1304" s="18" t="s">
        <v>1744</v>
      </c>
      <c r="F1304" s="22">
        <v>6</v>
      </c>
      <c r="G1304" s="20" t="s">
        <v>5654</v>
      </c>
      <c r="H1304" s="20" t="s">
        <v>4958</v>
      </c>
      <c r="I1304" s="18" t="s">
        <v>288</v>
      </c>
      <c r="J1304" s="17"/>
      <c r="K1304" s="17"/>
      <c r="L1304" s="17"/>
      <c r="M1304" s="17" t="s">
        <v>4959</v>
      </c>
      <c r="N1304" s="17" t="s">
        <v>4960</v>
      </c>
      <c r="O1304" s="17"/>
      <c r="P1304" s="23">
        <v>10</v>
      </c>
      <c r="Q1304" s="17" t="s">
        <v>4756</v>
      </c>
      <c r="R1304" s="17" t="s">
        <v>4756</v>
      </c>
      <c r="S1304" s="17" t="s">
        <v>5511</v>
      </c>
    </row>
    <row r="1305" spans="1:19" s="21" customFormat="1" hidden="1" x14ac:dyDescent="0.15">
      <c r="A1305" s="34">
        <v>1304</v>
      </c>
      <c r="B1305" s="35" t="s">
        <v>4881</v>
      </c>
      <c r="C1305" s="17" t="s">
        <v>4926</v>
      </c>
      <c r="D1305" s="25" t="s">
        <v>1627</v>
      </c>
      <c r="E1305" s="18" t="s">
        <v>1451</v>
      </c>
      <c r="F1305" s="22">
        <v>4</v>
      </c>
      <c r="G1305" s="20" t="s">
        <v>4961</v>
      </c>
      <c r="H1305" s="20" t="s">
        <v>4962</v>
      </c>
      <c r="I1305" s="18" t="s">
        <v>339</v>
      </c>
      <c r="J1305" s="17" t="s">
        <v>1489</v>
      </c>
      <c r="K1305" s="17" t="s">
        <v>1463</v>
      </c>
      <c r="L1305" s="17"/>
      <c r="M1305" s="17" t="s">
        <v>4963</v>
      </c>
      <c r="N1305" s="17"/>
      <c r="O1305" s="17"/>
      <c r="P1305" s="23"/>
      <c r="Q1305" s="17">
        <v>0</v>
      </c>
      <c r="R1305" s="17">
        <v>4</v>
      </c>
      <c r="S1305" s="17" t="s">
        <v>4963</v>
      </c>
    </row>
    <row r="1306" spans="1:19" s="21" customFormat="1" hidden="1" x14ac:dyDescent="0.15">
      <c r="A1306" s="34">
        <v>1305</v>
      </c>
      <c r="B1306" s="35" t="s">
        <v>4881</v>
      </c>
      <c r="C1306" s="17" t="s">
        <v>4926</v>
      </c>
      <c r="D1306" s="25" t="s">
        <v>1627</v>
      </c>
      <c r="E1306" s="18" t="s">
        <v>1451</v>
      </c>
      <c r="F1306" s="22">
        <v>13</v>
      </c>
      <c r="G1306" s="20" t="s">
        <v>4964</v>
      </c>
      <c r="H1306" s="20" t="s">
        <v>4965</v>
      </c>
      <c r="I1306" s="18" t="s">
        <v>339</v>
      </c>
      <c r="J1306" s="17" t="s">
        <v>1489</v>
      </c>
      <c r="K1306" s="17" t="s">
        <v>1463</v>
      </c>
      <c r="L1306" s="17"/>
      <c r="M1306" s="17" t="s">
        <v>4966</v>
      </c>
      <c r="N1306" s="17" t="s">
        <v>4950</v>
      </c>
      <c r="O1306" s="17"/>
      <c r="P1306" s="23"/>
      <c r="Q1306" s="17">
        <v>2</v>
      </c>
      <c r="R1306" s="17">
        <v>3</v>
      </c>
      <c r="S1306" s="17" t="s">
        <v>5512</v>
      </c>
    </row>
    <row r="1307" spans="1:19" s="21" customFormat="1" hidden="1" x14ac:dyDescent="0.15">
      <c r="A1307" s="34">
        <v>1306</v>
      </c>
      <c r="B1307" s="35" t="s">
        <v>4881</v>
      </c>
      <c r="C1307" s="17" t="s">
        <v>4926</v>
      </c>
      <c r="D1307" s="25" t="s">
        <v>1627</v>
      </c>
      <c r="E1307" s="18" t="s">
        <v>1451</v>
      </c>
      <c r="F1307" s="22">
        <v>4</v>
      </c>
      <c r="G1307" s="20" t="s">
        <v>5655</v>
      </c>
      <c r="H1307" s="20" t="s">
        <v>4967</v>
      </c>
      <c r="I1307" s="18" t="s">
        <v>288</v>
      </c>
      <c r="J1307" s="17" t="s">
        <v>4968</v>
      </c>
      <c r="K1307" s="17"/>
      <c r="L1307" s="17"/>
      <c r="M1307" s="17" t="s">
        <v>4969</v>
      </c>
      <c r="N1307" s="17" t="s">
        <v>4970</v>
      </c>
      <c r="O1307" s="17"/>
      <c r="P1307" s="23">
        <v>1</v>
      </c>
      <c r="Q1307" s="17" t="s">
        <v>4756</v>
      </c>
      <c r="R1307" s="17" t="s">
        <v>4756</v>
      </c>
      <c r="S1307" s="17" t="s">
        <v>5513</v>
      </c>
    </row>
    <row r="1308" spans="1:19" s="21" customFormat="1" hidden="1" x14ac:dyDescent="0.15">
      <c r="A1308" s="34">
        <v>1307</v>
      </c>
      <c r="B1308" s="35" t="s">
        <v>4881</v>
      </c>
      <c r="C1308" s="17" t="s">
        <v>4926</v>
      </c>
      <c r="D1308" s="25" t="s">
        <v>1627</v>
      </c>
      <c r="E1308" s="18" t="s">
        <v>1441</v>
      </c>
      <c r="F1308" s="22">
        <v>6</v>
      </c>
      <c r="G1308" s="20" t="s">
        <v>4971</v>
      </c>
      <c r="H1308" s="20" t="s">
        <v>4972</v>
      </c>
      <c r="I1308" s="18" t="s">
        <v>339</v>
      </c>
      <c r="J1308" s="17" t="s">
        <v>1890</v>
      </c>
      <c r="K1308" s="17"/>
      <c r="L1308" s="17"/>
      <c r="M1308" s="17" t="s">
        <v>4242</v>
      </c>
      <c r="N1308" s="17" t="s">
        <v>4950</v>
      </c>
      <c r="O1308" s="17"/>
      <c r="P1308" s="23"/>
      <c r="Q1308" s="17">
        <v>1</v>
      </c>
      <c r="R1308" s="17">
        <v>1</v>
      </c>
      <c r="S1308" s="17" t="s">
        <v>5514</v>
      </c>
    </row>
    <row r="1309" spans="1:19" s="21" customFormat="1" hidden="1" x14ac:dyDescent="0.15">
      <c r="A1309" s="34">
        <v>1308</v>
      </c>
      <c r="B1309" s="35" t="s">
        <v>4881</v>
      </c>
      <c r="C1309" s="17" t="s">
        <v>4926</v>
      </c>
      <c r="D1309" s="25" t="s">
        <v>1627</v>
      </c>
      <c r="E1309" s="18" t="s">
        <v>1441</v>
      </c>
      <c r="F1309" s="22">
        <v>5</v>
      </c>
      <c r="G1309" s="20" t="s">
        <v>4973</v>
      </c>
      <c r="H1309" s="20" t="s">
        <v>4974</v>
      </c>
      <c r="I1309" s="18" t="s">
        <v>339</v>
      </c>
      <c r="J1309" s="17" t="s">
        <v>1489</v>
      </c>
      <c r="K1309" s="17" t="s">
        <v>1493</v>
      </c>
      <c r="L1309" s="17"/>
      <c r="M1309" s="17" t="s">
        <v>4975</v>
      </c>
      <c r="N1309" s="17"/>
      <c r="O1309" s="17"/>
      <c r="P1309" s="23"/>
      <c r="Q1309" s="17">
        <v>4</v>
      </c>
      <c r="R1309" s="17">
        <v>4</v>
      </c>
      <c r="S1309" s="17" t="s">
        <v>4975</v>
      </c>
    </row>
    <row r="1310" spans="1:19" s="21" customFormat="1" hidden="1" x14ac:dyDescent="0.15">
      <c r="A1310" s="34">
        <v>1309</v>
      </c>
      <c r="B1310" s="35" t="s">
        <v>4881</v>
      </c>
      <c r="C1310" s="17" t="s">
        <v>4926</v>
      </c>
      <c r="D1310" s="25" t="s">
        <v>1627</v>
      </c>
      <c r="E1310" s="18" t="s">
        <v>1441</v>
      </c>
      <c r="F1310" s="22">
        <v>12</v>
      </c>
      <c r="G1310" s="20" t="s">
        <v>4976</v>
      </c>
      <c r="H1310" s="20" t="s">
        <v>4977</v>
      </c>
      <c r="I1310" s="18" t="s">
        <v>339</v>
      </c>
      <c r="J1310" s="17" t="s">
        <v>1489</v>
      </c>
      <c r="K1310" s="17" t="s">
        <v>1470</v>
      </c>
      <c r="L1310" s="17"/>
      <c r="M1310" s="17" t="s">
        <v>4978</v>
      </c>
      <c r="N1310" s="17"/>
      <c r="O1310" s="17"/>
      <c r="P1310" s="23"/>
      <c r="Q1310" s="17">
        <v>6</v>
      </c>
      <c r="R1310" s="17">
        <v>5</v>
      </c>
      <c r="S1310" s="17" t="s">
        <v>4978</v>
      </c>
    </row>
    <row r="1311" spans="1:19" s="21" customFormat="1" hidden="1" x14ac:dyDescent="0.15">
      <c r="A1311" s="34">
        <v>1310</v>
      </c>
      <c r="B1311" s="35" t="s">
        <v>4881</v>
      </c>
      <c r="C1311" s="17" t="s">
        <v>4926</v>
      </c>
      <c r="D1311" s="25" t="s">
        <v>1627</v>
      </c>
      <c r="E1311" s="18" t="s">
        <v>1441</v>
      </c>
      <c r="F1311" s="22">
        <v>9</v>
      </c>
      <c r="G1311" s="20" t="s">
        <v>4979</v>
      </c>
      <c r="H1311" s="20" t="s">
        <v>4980</v>
      </c>
      <c r="I1311" s="18" t="s">
        <v>288</v>
      </c>
      <c r="J1311" s="17"/>
      <c r="K1311" s="17"/>
      <c r="L1311" s="17"/>
      <c r="M1311" s="17" t="s">
        <v>4981</v>
      </c>
      <c r="N1311" s="17"/>
      <c r="O1311" s="17"/>
      <c r="P1311" s="23">
        <v>2</v>
      </c>
      <c r="Q1311" s="17" t="s">
        <v>4756</v>
      </c>
      <c r="R1311" s="17" t="s">
        <v>4756</v>
      </c>
      <c r="S1311" s="17" t="s">
        <v>4981</v>
      </c>
    </row>
    <row r="1312" spans="1:19" s="21" customFormat="1" hidden="1" x14ac:dyDescent="0.15">
      <c r="A1312" s="34">
        <v>1311</v>
      </c>
      <c r="B1312" s="35" t="s">
        <v>4881</v>
      </c>
      <c r="C1312" s="17" t="s">
        <v>4926</v>
      </c>
      <c r="D1312" s="25" t="s">
        <v>1627</v>
      </c>
      <c r="E1312" s="18" t="s">
        <v>1441</v>
      </c>
      <c r="F1312" s="22">
        <v>9</v>
      </c>
      <c r="G1312" s="20" t="s">
        <v>4982</v>
      </c>
      <c r="H1312" s="20" t="s">
        <v>4983</v>
      </c>
      <c r="I1312" s="18" t="s">
        <v>288</v>
      </c>
      <c r="J1312" s="17"/>
      <c r="K1312" s="17"/>
      <c r="L1312" s="17"/>
      <c r="M1312" s="17" t="s">
        <v>4984</v>
      </c>
      <c r="N1312" s="17"/>
      <c r="O1312" s="17"/>
      <c r="P1312" s="23">
        <v>3</v>
      </c>
      <c r="Q1312" s="17" t="s">
        <v>4756</v>
      </c>
      <c r="R1312" s="17" t="s">
        <v>4756</v>
      </c>
      <c r="S1312" s="17" t="s">
        <v>4984</v>
      </c>
    </row>
    <row r="1313" spans="1:19" s="21" customFormat="1" hidden="1" x14ac:dyDescent="0.15">
      <c r="A1313" s="34">
        <v>1312</v>
      </c>
      <c r="B1313" s="35" t="s">
        <v>4881</v>
      </c>
      <c r="C1313" s="17" t="s">
        <v>4926</v>
      </c>
      <c r="D1313" s="25" t="s">
        <v>1627</v>
      </c>
      <c r="E1313" s="18" t="s">
        <v>1431</v>
      </c>
      <c r="F1313" s="22">
        <v>22</v>
      </c>
      <c r="G1313" s="20" t="s">
        <v>4985</v>
      </c>
      <c r="H1313" s="20" t="s">
        <v>4986</v>
      </c>
      <c r="I1313" s="18" t="s">
        <v>339</v>
      </c>
      <c r="J1313" s="17" t="s">
        <v>348</v>
      </c>
      <c r="K1313" s="17"/>
      <c r="L1313" s="17"/>
      <c r="M1313" s="17" t="s">
        <v>2406</v>
      </c>
      <c r="N1313" s="17" t="s">
        <v>4987</v>
      </c>
      <c r="O1313" s="17"/>
      <c r="P1313" s="23"/>
      <c r="Q1313" s="17">
        <v>6</v>
      </c>
      <c r="R1313" s="17">
        <v>6</v>
      </c>
      <c r="S1313" s="17" t="s">
        <v>5515</v>
      </c>
    </row>
    <row r="1314" spans="1:19" s="21" customFormat="1" hidden="1" x14ac:dyDescent="0.15">
      <c r="A1314" s="34">
        <v>1313</v>
      </c>
      <c r="B1314" s="35" t="s">
        <v>4881</v>
      </c>
      <c r="C1314" s="17" t="s">
        <v>4926</v>
      </c>
      <c r="D1314" s="25" t="s">
        <v>1627</v>
      </c>
      <c r="E1314" s="18" t="s">
        <v>1431</v>
      </c>
      <c r="F1314" s="22">
        <v>12</v>
      </c>
      <c r="G1314" s="20" t="s">
        <v>4988</v>
      </c>
      <c r="H1314" s="20" t="s">
        <v>4989</v>
      </c>
      <c r="I1314" s="18" t="s">
        <v>339</v>
      </c>
      <c r="J1314" s="17" t="s">
        <v>3569</v>
      </c>
      <c r="K1314" s="17"/>
      <c r="L1314" s="17"/>
      <c r="M1314" s="17" t="s">
        <v>4990</v>
      </c>
      <c r="N1314" s="17" t="s">
        <v>4991</v>
      </c>
      <c r="O1314" s="17"/>
      <c r="P1314" s="23"/>
      <c r="Q1314" s="17">
        <v>5</v>
      </c>
      <c r="R1314" s="17">
        <v>5</v>
      </c>
      <c r="S1314" s="17" t="s">
        <v>5516</v>
      </c>
    </row>
    <row r="1315" spans="1:19" s="21" customFormat="1" hidden="1" x14ac:dyDescent="0.15">
      <c r="A1315" s="34">
        <v>1314</v>
      </c>
      <c r="B1315" s="35" t="s">
        <v>4881</v>
      </c>
      <c r="C1315" s="17" t="s">
        <v>4926</v>
      </c>
      <c r="D1315" s="25" t="s">
        <v>1627</v>
      </c>
      <c r="E1315" s="18" t="s">
        <v>1431</v>
      </c>
      <c r="F1315" s="22">
        <v>14</v>
      </c>
      <c r="G1315" s="20" t="s">
        <v>4992</v>
      </c>
      <c r="H1315" s="20" t="s">
        <v>4993</v>
      </c>
      <c r="I1315" s="18" t="s">
        <v>339</v>
      </c>
      <c r="J1315" s="17" t="s">
        <v>1489</v>
      </c>
      <c r="K1315" s="17" t="s">
        <v>1493</v>
      </c>
      <c r="L1315" s="17"/>
      <c r="M1315" s="17" t="s">
        <v>3194</v>
      </c>
      <c r="N1315" s="17" t="s">
        <v>4994</v>
      </c>
      <c r="O1315" s="17"/>
      <c r="P1315" s="23"/>
      <c r="Q1315" s="17">
        <v>4</v>
      </c>
      <c r="R1315" s="17">
        <v>3</v>
      </c>
      <c r="S1315" s="17" t="s">
        <v>5517</v>
      </c>
    </row>
    <row r="1316" spans="1:19" s="21" customFormat="1" hidden="1" x14ac:dyDescent="0.15">
      <c r="A1316" s="34">
        <v>1315</v>
      </c>
      <c r="B1316" s="35" t="s">
        <v>4881</v>
      </c>
      <c r="C1316" s="17" t="s">
        <v>4926</v>
      </c>
      <c r="D1316" s="25" t="s">
        <v>1627</v>
      </c>
      <c r="E1316" s="18" t="s">
        <v>1431</v>
      </c>
      <c r="F1316" s="22">
        <v>12</v>
      </c>
      <c r="G1316" s="20" t="s">
        <v>4995</v>
      </c>
      <c r="H1316" s="20" t="s">
        <v>4996</v>
      </c>
      <c r="I1316" s="18" t="s">
        <v>288</v>
      </c>
      <c r="J1316" s="17" t="s">
        <v>4968</v>
      </c>
      <c r="K1316" s="17" t="s">
        <v>4997</v>
      </c>
      <c r="L1316" s="17"/>
      <c r="M1316" s="17" t="s">
        <v>4998</v>
      </c>
      <c r="N1316" s="17"/>
      <c r="O1316" s="17"/>
      <c r="P1316" s="23">
        <v>4</v>
      </c>
      <c r="Q1316" s="17" t="s">
        <v>4756</v>
      </c>
      <c r="R1316" s="17" t="s">
        <v>4756</v>
      </c>
      <c r="S1316" s="17" t="s">
        <v>4998</v>
      </c>
    </row>
    <row r="1317" spans="1:19" s="21" customFormat="1" hidden="1" x14ac:dyDescent="0.15">
      <c r="A1317" s="34">
        <v>1316</v>
      </c>
      <c r="B1317" s="35" t="s">
        <v>4881</v>
      </c>
      <c r="C1317" s="17" t="s">
        <v>4926</v>
      </c>
      <c r="D1317" s="25" t="s">
        <v>1606</v>
      </c>
      <c r="E1317" s="18" t="s">
        <v>1744</v>
      </c>
      <c r="F1317" s="22">
        <v>10</v>
      </c>
      <c r="G1317" s="20" t="s">
        <v>4999</v>
      </c>
      <c r="H1317" s="20" t="s">
        <v>5000</v>
      </c>
      <c r="I1317" s="18" t="s">
        <v>339</v>
      </c>
      <c r="J1317" s="17" t="s">
        <v>2515</v>
      </c>
      <c r="K1317" s="17"/>
      <c r="L1317" s="17"/>
      <c r="M1317" s="17" t="s">
        <v>351</v>
      </c>
      <c r="N1317" s="17" t="s">
        <v>5001</v>
      </c>
      <c r="O1317" s="17"/>
      <c r="P1317" s="23"/>
      <c r="Q1317" s="17">
        <v>2</v>
      </c>
      <c r="R1317" s="17">
        <v>2</v>
      </c>
      <c r="S1317" s="17" t="s">
        <v>5656</v>
      </c>
    </row>
    <row r="1318" spans="1:19" s="21" customFormat="1" hidden="1" x14ac:dyDescent="0.15">
      <c r="A1318" s="34">
        <v>1317</v>
      </c>
      <c r="B1318" s="35" t="s">
        <v>4881</v>
      </c>
      <c r="C1318" s="17" t="s">
        <v>4926</v>
      </c>
      <c r="D1318" s="25" t="s">
        <v>1606</v>
      </c>
      <c r="E1318" s="18" t="s">
        <v>1744</v>
      </c>
      <c r="F1318" s="22">
        <v>11</v>
      </c>
      <c r="G1318" s="20" t="s">
        <v>5002</v>
      </c>
      <c r="H1318" s="20" t="s">
        <v>5003</v>
      </c>
      <c r="I1318" s="18" t="s">
        <v>339</v>
      </c>
      <c r="J1318" s="17" t="s">
        <v>2948</v>
      </c>
      <c r="K1318" s="17" t="s">
        <v>1493</v>
      </c>
      <c r="L1318" s="17"/>
      <c r="M1318" s="17" t="s">
        <v>3177</v>
      </c>
      <c r="N1318" s="17"/>
      <c r="O1318" s="17"/>
      <c r="P1318" s="23"/>
      <c r="Q1318" s="17">
        <v>2</v>
      </c>
      <c r="R1318" s="17">
        <v>3</v>
      </c>
      <c r="S1318" s="17" t="s">
        <v>3177</v>
      </c>
    </row>
    <row r="1319" spans="1:19" s="21" customFormat="1" hidden="1" x14ac:dyDescent="0.15">
      <c r="A1319" s="34">
        <v>1318</v>
      </c>
      <c r="B1319" s="35" t="s">
        <v>4881</v>
      </c>
      <c r="C1319" s="17" t="s">
        <v>4926</v>
      </c>
      <c r="D1319" s="25" t="s">
        <v>1606</v>
      </c>
      <c r="E1319" s="18" t="s">
        <v>1744</v>
      </c>
      <c r="F1319" s="22">
        <v>7</v>
      </c>
      <c r="G1319" s="17" t="s">
        <v>5004</v>
      </c>
      <c r="H1319" s="20" t="s">
        <v>5005</v>
      </c>
      <c r="I1319" s="18" t="s">
        <v>339</v>
      </c>
      <c r="J1319" s="17" t="s">
        <v>1489</v>
      </c>
      <c r="K1319" s="17" t="s">
        <v>1493</v>
      </c>
      <c r="L1319" s="17"/>
      <c r="M1319" s="17" t="s">
        <v>5006</v>
      </c>
      <c r="N1319" s="17"/>
      <c r="O1319" s="17"/>
      <c r="P1319" s="23"/>
      <c r="Q1319" s="17">
        <v>1</v>
      </c>
      <c r="R1319" s="17">
        <v>3</v>
      </c>
      <c r="S1319" s="17" t="s">
        <v>5670</v>
      </c>
    </row>
    <row r="1320" spans="1:19" s="21" customFormat="1" hidden="1" x14ac:dyDescent="0.15">
      <c r="A1320" s="34">
        <v>1319</v>
      </c>
      <c r="B1320" s="35" t="s">
        <v>4881</v>
      </c>
      <c r="C1320" s="17" t="s">
        <v>4926</v>
      </c>
      <c r="D1320" s="25" t="s">
        <v>1606</v>
      </c>
      <c r="E1320" s="18" t="s">
        <v>1744</v>
      </c>
      <c r="F1320" s="22">
        <v>7</v>
      </c>
      <c r="G1320" s="17" t="s">
        <v>5007</v>
      </c>
      <c r="H1320" s="20" t="s">
        <v>5008</v>
      </c>
      <c r="I1320" s="18" t="s">
        <v>339</v>
      </c>
      <c r="J1320" s="17" t="s">
        <v>1489</v>
      </c>
      <c r="K1320" s="17" t="s">
        <v>1493</v>
      </c>
      <c r="L1320" s="17"/>
      <c r="M1320" s="17" t="s">
        <v>4950</v>
      </c>
      <c r="N1320" s="17"/>
      <c r="O1320" s="17"/>
      <c r="P1320" s="23"/>
      <c r="Q1320" s="17">
        <v>1</v>
      </c>
      <c r="R1320" s="17">
        <v>1</v>
      </c>
      <c r="S1320" s="17" t="s">
        <v>4950</v>
      </c>
    </row>
    <row r="1321" spans="1:19" s="21" customFormat="1" hidden="1" x14ac:dyDescent="0.15">
      <c r="A1321" s="34">
        <v>1320</v>
      </c>
      <c r="B1321" s="35" t="s">
        <v>4881</v>
      </c>
      <c r="C1321" s="17" t="s">
        <v>4926</v>
      </c>
      <c r="D1321" s="25" t="s">
        <v>1606</v>
      </c>
      <c r="E1321" s="18" t="s">
        <v>1744</v>
      </c>
      <c r="F1321" s="22">
        <v>8</v>
      </c>
      <c r="G1321" s="17" t="s">
        <v>5009</v>
      </c>
      <c r="H1321" s="20" t="s">
        <v>5010</v>
      </c>
      <c r="I1321" s="18" t="s">
        <v>339</v>
      </c>
      <c r="J1321" s="17" t="s">
        <v>4410</v>
      </c>
      <c r="K1321" s="17" t="s">
        <v>1470</v>
      </c>
      <c r="L1321" s="17"/>
      <c r="M1321" s="17" t="s">
        <v>2595</v>
      </c>
      <c r="N1321" s="17"/>
      <c r="O1321" s="17"/>
      <c r="P1321" s="23"/>
      <c r="Q1321" s="17">
        <v>1</v>
      </c>
      <c r="R1321" s="17">
        <v>4</v>
      </c>
      <c r="S1321" s="17" t="s">
        <v>2595</v>
      </c>
    </row>
    <row r="1322" spans="1:19" s="21" customFormat="1" hidden="1" x14ac:dyDescent="0.15">
      <c r="A1322" s="34">
        <v>1321</v>
      </c>
      <c r="B1322" s="35" t="s">
        <v>4881</v>
      </c>
      <c r="C1322" s="17" t="s">
        <v>4926</v>
      </c>
      <c r="D1322" s="25" t="s">
        <v>1606</v>
      </c>
      <c r="E1322" s="18" t="s">
        <v>1744</v>
      </c>
      <c r="F1322" s="22">
        <v>7</v>
      </c>
      <c r="G1322" s="20" t="s">
        <v>5011</v>
      </c>
      <c r="H1322" s="20" t="s">
        <v>5012</v>
      </c>
      <c r="I1322" s="18" t="s">
        <v>1453</v>
      </c>
      <c r="J1322" s="17"/>
      <c r="K1322" s="17"/>
      <c r="L1322" s="17"/>
      <c r="M1322" s="17" t="s">
        <v>5013</v>
      </c>
      <c r="N1322" s="17" t="s">
        <v>4383</v>
      </c>
      <c r="O1322" s="17"/>
      <c r="P1322" s="23"/>
      <c r="Q1322" s="17" t="s">
        <v>4756</v>
      </c>
      <c r="R1322" s="17" t="s">
        <v>4756</v>
      </c>
      <c r="S1322" s="17" t="s">
        <v>5518</v>
      </c>
    </row>
    <row r="1323" spans="1:19" s="21" customFormat="1" hidden="1" x14ac:dyDescent="0.15">
      <c r="A1323" s="34">
        <v>1322</v>
      </c>
      <c r="B1323" s="35" t="s">
        <v>4881</v>
      </c>
      <c r="C1323" s="17" t="s">
        <v>4926</v>
      </c>
      <c r="D1323" s="25" t="s">
        <v>1606</v>
      </c>
      <c r="E1323" s="18" t="s">
        <v>1744</v>
      </c>
      <c r="F1323" s="22">
        <v>3</v>
      </c>
      <c r="G1323" s="17" t="s">
        <v>5657</v>
      </c>
      <c r="H1323" s="20" t="s">
        <v>5014</v>
      </c>
      <c r="I1323" s="18" t="s">
        <v>1453</v>
      </c>
      <c r="J1323" s="17" t="s">
        <v>4955</v>
      </c>
      <c r="K1323" s="17"/>
      <c r="L1323" s="17"/>
      <c r="M1323" s="17" t="s">
        <v>5015</v>
      </c>
      <c r="N1323" s="17" t="s">
        <v>4383</v>
      </c>
      <c r="O1323" s="17"/>
      <c r="P1323" s="23"/>
      <c r="Q1323" s="17" t="s">
        <v>4756</v>
      </c>
      <c r="R1323" s="17" t="s">
        <v>4756</v>
      </c>
      <c r="S1323" s="17" t="s">
        <v>5519</v>
      </c>
    </row>
    <row r="1324" spans="1:19" s="21" customFormat="1" hidden="1" x14ac:dyDescent="0.15">
      <c r="A1324" s="34">
        <v>1323</v>
      </c>
      <c r="B1324" s="35" t="s">
        <v>4881</v>
      </c>
      <c r="C1324" s="17" t="s">
        <v>4926</v>
      </c>
      <c r="D1324" s="25" t="s">
        <v>1606</v>
      </c>
      <c r="E1324" s="18" t="s">
        <v>1744</v>
      </c>
      <c r="F1324" s="22">
        <v>2</v>
      </c>
      <c r="G1324" s="17" t="s">
        <v>5016</v>
      </c>
      <c r="H1324" s="20" t="s">
        <v>5017</v>
      </c>
      <c r="I1324" s="18" t="s">
        <v>1453</v>
      </c>
      <c r="J1324" s="17"/>
      <c r="K1324" s="17"/>
      <c r="L1324" s="17"/>
      <c r="M1324" s="17" t="s">
        <v>5018</v>
      </c>
      <c r="N1324" s="17"/>
      <c r="O1324" s="17"/>
      <c r="P1324" s="23"/>
      <c r="Q1324" s="17" t="s">
        <v>4756</v>
      </c>
      <c r="R1324" s="17" t="s">
        <v>4756</v>
      </c>
      <c r="S1324" s="17" t="s">
        <v>5018</v>
      </c>
    </row>
    <row r="1325" spans="1:19" s="21" customFormat="1" hidden="1" x14ac:dyDescent="0.15">
      <c r="A1325" s="34">
        <v>1324</v>
      </c>
      <c r="B1325" s="35" t="s">
        <v>4881</v>
      </c>
      <c r="C1325" s="17" t="s">
        <v>4926</v>
      </c>
      <c r="D1325" s="25" t="s">
        <v>1606</v>
      </c>
      <c r="E1325" s="18" t="s">
        <v>1744</v>
      </c>
      <c r="F1325" s="22">
        <v>2</v>
      </c>
      <c r="G1325" s="20" t="s">
        <v>5019</v>
      </c>
      <c r="H1325" s="20" t="s">
        <v>5020</v>
      </c>
      <c r="I1325" s="18" t="s">
        <v>1453</v>
      </c>
      <c r="J1325" s="17"/>
      <c r="K1325" s="17"/>
      <c r="L1325" s="17"/>
      <c r="M1325" s="17" t="s">
        <v>5021</v>
      </c>
      <c r="N1325" s="17"/>
      <c r="O1325" s="17"/>
      <c r="P1325" s="23"/>
      <c r="Q1325" s="17" t="s">
        <v>4756</v>
      </c>
      <c r="R1325" s="17" t="s">
        <v>4756</v>
      </c>
      <c r="S1325" s="17" t="s">
        <v>5021</v>
      </c>
    </row>
    <row r="1326" spans="1:19" s="21" customFormat="1" hidden="1" x14ac:dyDescent="0.15">
      <c r="A1326" s="34">
        <v>1325</v>
      </c>
      <c r="B1326" s="35" t="s">
        <v>4881</v>
      </c>
      <c r="C1326" s="17" t="s">
        <v>4926</v>
      </c>
      <c r="D1326" s="25" t="s">
        <v>1606</v>
      </c>
      <c r="E1326" s="18" t="s">
        <v>1744</v>
      </c>
      <c r="F1326" s="22">
        <v>2</v>
      </c>
      <c r="G1326" s="17" t="s">
        <v>5022</v>
      </c>
      <c r="H1326" s="20" t="s">
        <v>5023</v>
      </c>
      <c r="I1326" s="18" t="s">
        <v>1453</v>
      </c>
      <c r="J1326" s="11" t="s">
        <v>6306</v>
      </c>
      <c r="K1326" s="17"/>
      <c r="L1326" s="17"/>
      <c r="M1326" s="17" t="s">
        <v>5024</v>
      </c>
      <c r="N1326" s="17"/>
      <c r="O1326" s="17"/>
      <c r="P1326" s="23"/>
      <c r="Q1326" s="17" t="s">
        <v>4756</v>
      </c>
      <c r="R1326" s="17" t="s">
        <v>4756</v>
      </c>
      <c r="S1326" s="17" t="s">
        <v>5024</v>
      </c>
    </row>
    <row r="1327" spans="1:19" s="21" customFormat="1" hidden="1" x14ac:dyDescent="0.15">
      <c r="A1327" s="34">
        <v>1326</v>
      </c>
      <c r="B1327" s="35" t="s">
        <v>4881</v>
      </c>
      <c r="C1327" s="17" t="s">
        <v>4926</v>
      </c>
      <c r="D1327" s="25" t="s">
        <v>1606</v>
      </c>
      <c r="E1327" s="18" t="s">
        <v>1744</v>
      </c>
      <c r="F1327" s="22">
        <v>4</v>
      </c>
      <c r="G1327" s="17" t="s">
        <v>5658</v>
      </c>
      <c r="H1327" s="20" t="s">
        <v>5025</v>
      </c>
      <c r="I1327" s="18" t="s">
        <v>1453</v>
      </c>
      <c r="J1327" s="17"/>
      <c r="K1327" s="17"/>
      <c r="L1327" s="17"/>
      <c r="M1327" s="17" t="s">
        <v>5026</v>
      </c>
      <c r="N1327" s="17"/>
      <c r="O1327" s="17"/>
      <c r="P1327" s="23"/>
      <c r="Q1327" s="17" t="s">
        <v>4756</v>
      </c>
      <c r="R1327" s="17" t="s">
        <v>4756</v>
      </c>
      <c r="S1327" s="17" t="s">
        <v>5026</v>
      </c>
    </row>
    <row r="1328" spans="1:19" s="21" customFormat="1" hidden="1" x14ac:dyDescent="0.15">
      <c r="A1328" s="34">
        <v>1327</v>
      </c>
      <c r="B1328" s="35" t="s">
        <v>4881</v>
      </c>
      <c r="C1328" s="17" t="s">
        <v>4926</v>
      </c>
      <c r="D1328" s="25" t="s">
        <v>1606</v>
      </c>
      <c r="E1328" s="18" t="s">
        <v>1451</v>
      </c>
      <c r="F1328" s="22">
        <v>14</v>
      </c>
      <c r="G1328" s="17" t="s">
        <v>5027</v>
      </c>
      <c r="H1328" s="20" t="s">
        <v>5028</v>
      </c>
      <c r="I1328" s="18" t="s">
        <v>339</v>
      </c>
      <c r="J1328" s="17" t="s">
        <v>1484</v>
      </c>
      <c r="K1328" s="17" t="s">
        <v>1470</v>
      </c>
      <c r="L1328" s="17"/>
      <c r="M1328" s="17" t="s">
        <v>5029</v>
      </c>
      <c r="N1328" s="17" t="s">
        <v>5030</v>
      </c>
      <c r="O1328" s="17"/>
      <c r="P1328" s="23"/>
      <c r="Q1328" s="17">
        <v>2</v>
      </c>
      <c r="R1328" s="17">
        <v>4</v>
      </c>
      <c r="S1328" s="17" t="s">
        <v>5520</v>
      </c>
    </row>
    <row r="1329" spans="1:19" s="21" customFormat="1" hidden="1" x14ac:dyDescent="0.15">
      <c r="A1329" s="34">
        <v>1328</v>
      </c>
      <c r="B1329" s="35" t="s">
        <v>4881</v>
      </c>
      <c r="C1329" s="17" t="s">
        <v>4926</v>
      </c>
      <c r="D1329" s="25" t="s">
        <v>1606</v>
      </c>
      <c r="E1329" s="18" t="s">
        <v>1451</v>
      </c>
      <c r="F1329" s="22">
        <v>11</v>
      </c>
      <c r="G1329" s="17" t="s">
        <v>5031</v>
      </c>
      <c r="H1329" s="20" t="s">
        <v>5032</v>
      </c>
      <c r="I1329" s="18" t="s">
        <v>339</v>
      </c>
      <c r="J1329" s="17" t="s">
        <v>4410</v>
      </c>
      <c r="K1329" s="17" t="s">
        <v>1493</v>
      </c>
      <c r="L1329" s="17"/>
      <c r="M1329" s="17" t="s">
        <v>5033</v>
      </c>
      <c r="N1329" s="17" t="s">
        <v>5034</v>
      </c>
      <c r="O1329" s="17"/>
      <c r="P1329" s="23"/>
      <c r="Q1329" s="17">
        <v>2</v>
      </c>
      <c r="R1329" s="17">
        <v>2</v>
      </c>
      <c r="S1329" s="17" t="s">
        <v>5521</v>
      </c>
    </row>
    <row r="1330" spans="1:19" s="21" customFormat="1" hidden="1" x14ac:dyDescent="0.15">
      <c r="A1330" s="34">
        <v>1329</v>
      </c>
      <c r="B1330" s="35" t="s">
        <v>4881</v>
      </c>
      <c r="C1330" s="17" t="s">
        <v>4926</v>
      </c>
      <c r="D1330" s="25" t="s">
        <v>1606</v>
      </c>
      <c r="E1330" s="18" t="s">
        <v>1451</v>
      </c>
      <c r="F1330" s="22">
        <v>3</v>
      </c>
      <c r="G1330" s="17" t="s">
        <v>5035</v>
      </c>
      <c r="H1330" s="20" t="s">
        <v>5036</v>
      </c>
      <c r="I1330" s="18" t="s">
        <v>1453</v>
      </c>
      <c r="J1330" s="17"/>
      <c r="K1330" s="17"/>
      <c r="L1330" s="17"/>
      <c r="M1330" s="17" t="s">
        <v>5037</v>
      </c>
      <c r="N1330" s="17"/>
      <c r="O1330" s="17"/>
      <c r="P1330" s="23"/>
      <c r="Q1330" s="17" t="s">
        <v>4756</v>
      </c>
      <c r="R1330" s="17" t="s">
        <v>4756</v>
      </c>
      <c r="S1330" s="17" t="s">
        <v>5037</v>
      </c>
    </row>
    <row r="1331" spans="1:19" s="21" customFormat="1" hidden="1" x14ac:dyDescent="0.15">
      <c r="A1331" s="34">
        <v>1330</v>
      </c>
      <c r="B1331" s="35" t="s">
        <v>4881</v>
      </c>
      <c r="C1331" s="17" t="s">
        <v>4926</v>
      </c>
      <c r="D1331" s="25" t="s">
        <v>1606</v>
      </c>
      <c r="E1331" s="18" t="s">
        <v>1441</v>
      </c>
      <c r="F1331" s="22">
        <v>9</v>
      </c>
      <c r="G1331" s="20" t="s">
        <v>5038</v>
      </c>
      <c r="H1331" s="20" t="s">
        <v>5039</v>
      </c>
      <c r="I1331" s="18" t="s">
        <v>339</v>
      </c>
      <c r="J1331" s="17" t="s">
        <v>4410</v>
      </c>
      <c r="K1331" s="17" t="s">
        <v>1463</v>
      </c>
      <c r="L1331" s="17"/>
      <c r="M1331" s="17" t="s">
        <v>5040</v>
      </c>
      <c r="N1331" s="17" t="s">
        <v>4950</v>
      </c>
      <c r="O1331" s="17"/>
      <c r="P1331" s="23"/>
      <c r="Q1331" s="17">
        <v>2</v>
      </c>
      <c r="R1331" s="17">
        <v>1</v>
      </c>
      <c r="S1331" s="17" t="s">
        <v>5522</v>
      </c>
    </row>
    <row r="1332" spans="1:19" s="21" customFormat="1" hidden="1" x14ac:dyDescent="0.15">
      <c r="A1332" s="34">
        <v>1331</v>
      </c>
      <c r="B1332" s="35" t="s">
        <v>4881</v>
      </c>
      <c r="C1332" s="17" t="s">
        <v>4926</v>
      </c>
      <c r="D1332" s="25" t="s">
        <v>1606</v>
      </c>
      <c r="E1332" s="18" t="s">
        <v>1441</v>
      </c>
      <c r="F1332" s="22">
        <v>18</v>
      </c>
      <c r="G1332" s="17" t="s">
        <v>5041</v>
      </c>
      <c r="H1332" s="20" t="s">
        <v>5042</v>
      </c>
      <c r="I1332" s="18" t="s">
        <v>339</v>
      </c>
      <c r="J1332" s="17" t="s">
        <v>2948</v>
      </c>
      <c r="K1332" s="17" t="s">
        <v>1463</v>
      </c>
      <c r="L1332" s="17"/>
      <c r="M1332" s="17" t="s">
        <v>351</v>
      </c>
      <c r="N1332" s="17" t="s">
        <v>5043</v>
      </c>
      <c r="O1332" s="17" t="s">
        <v>4564</v>
      </c>
      <c r="P1332" s="23"/>
      <c r="Q1332" s="17">
        <v>6</v>
      </c>
      <c r="R1332" s="17">
        <v>5</v>
      </c>
      <c r="S1332" s="17" t="s">
        <v>5523</v>
      </c>
    </row>
    <row r="1333" spans="1:19" s="21" customFormat="1" hidden="1" x14ac:dyDescent="0.15">
      <c r="A1333" s="34">
        <v>1332</v>
      </c>
      <c r="B1333" s="35" t="s">
        <v>4881</v>
      </c>
      <c r="C1333" s="17" t="s">
        <v>4926</v>
      </c>
      <c r="D1333" s="25" t="s">
        <v>1606</v>
      </c>
      <c r="E1333" s="18" t="s">
        <v>1441</v>
      </c>
      <c r="F1333" s="22">
        <v>22</v>
      </c>
      <c r="G1333" s="17" t="s">
        <v>5044</v>
      </c>
      <c r="H1333" s="20" t="s">
        <v>5045</v>
      </c>
      <c r="I1333" s="18" t="s">
        <v>339</v>
      </c>
      <c r="J1333" s="17" t="s">
        <v>1608</v>
      </c>
      <c r="K1333" s="17"/>
      <c r="L1333" s="17"/>
      <c r="M1333" s="17" t="s">
        <v>351</v>
      </c>
      <c r="N1333" s="17" t="s">
        <v>5046</v>
      </c>
      <c r="O1333" s="17"/>
      <c r="P1333" s="23"/>
      <c r="Q1333" s="17">
        <v>6</v>
      </c>
      <c r="R1333" s="17">
        <v>6</v>
      </c>
      <c r="S1333" s="17" t="s">
        <v>5524</v>
      </c>
    </row>
    <row r="1334" spans="1:19" s="21" customFormat="1" hidden="1" x14ac:dyDescent="0.15">
      <c r="A1334" s="34">
        <v>1333</v>
      </c>
      <c r="B1334" s="35" t="s">
        <v>4881</v>
      </c>
      <c r="C1334" s="17" t="s">
        <v>4926</v>
      </c>
      <c r="D1334" s="25" t="s">
        <v>1606</v>
      </c>
      <c r="E1334" s="18" t="s">
        <v>1441</v>
      </c>
      <c r="F1334" s="22">
        <v>10</v>
      </c>
      <c r="G1334" s="17" t="s">
        <v>5047</v>
      </c>
      <c r="H1334" s="20" t="s">
        <v>5048</v>
      </c>
      <c r="I1334" s="18" t="s">
        <v>339</v>
      </c>
      <c r="J1334" s="17" t="s">
        <v>1489</v>
      </c>
      <c r="K1334" s="17" t="s">
        <v>1470</v>
      </c>
      <c r="L1334" s="17"/>
      <c r="M1334" s="17" t="s">
        <v>5049</v>
      </c>
      <c r="N1334" s="17" t="s">
        <v>5050</v>
      </c>
      <c r="O1334" s="17"/>
      <c r="P1334" s="23"/>
      <c r="Q1334" s="17">
        <v>4</v>
      </c>
      <c r="R1334" s="17">
        <v>6</v>
      </c>
      <c r="S1334" s="17" t="s">
        <v>5525</v>
      </c>
    </row>
    <row r="1335" spans="1:19" s="21" customFormat="1" hidden="1" x14ac:dyDescent="0.15">
      <c r="A1335" s="34">
        <v>1334</v>
      </c>
      <c r="B1335" s="35" t="s">
        <v>4881</v>
      </c>
      <c r="C1335" s="17" t="s">
        <v>4926</v>
      </c>
      <c r="D1335" s="25" t="s">
        <v>1606</v>
      </c>
      <c r="E1335" s="18" t="s">
        <v>1441</v>
      </c>
      <c r="F1335" s="22">
        <v>5</v>
      </c>
      <c r="G1335" s="17" t="s">
        <v>5051</v>
      </c>
      <c r="H1335" s="20" t="s">
        <v>5052</v>
      </c>
      <c r="I1335" s="18" t="s">
        <v>1453</v>
      </c>
      <c r="J1335" s="17"/>
      <c r="K1335" s="17"/>
      <c r="L1335" s="17"/>
      <c r="M1335" s="17" t="s">
        <v>2349</v>
      </c>
      <c r="N1335" s="17" t="s">
        <v>4483</v>
      </c>
      <c r="O1335" s="17"/>
      <c r="P1335" s="23"/>
      <c r="Q1335" s="17" t="s">
        <v>4756</v>
      </c>
      <c r="R1335" s="17" t="s">
        <v>4756</v>
      </c>
      <c r="S1335" s="17" t="s">
        <v>5526</v>
      </c>
    </row>
    <row r="1336" spans="1:19" s="21" customFormat="1" hidden="1" x14ac:dyDescent="0.15">
      <c r="A1336" s="34">
        <v>1335</v>
      </c>
      <c r="B1336" s="35" t="s">
        <v>4881</v>
      </c>
      <c r="C1336" s="17" t="s">
        <v>4926</v>
      </c>
      <c r="D1336" s="25" t="s">
        <v>1606</v>
      </c>
      <c r="E1336" s="18" t="s">
        <v>1431</v>
      </c>
      <c r="F1336" s="22">
        <v>16</v>
      </c>
      <c r="G1336" s="17" t="s">
        <v>5053</v>
      </c>
      <c r="H1336" s="20" t="s">
        <v>5054</v>
      </c>
      <c r="I1336" s="18" t="s">
        <v>339</v>
      </c>
      <c r="J1336" s="17" t="s">
        <v>1608</v>
      </c>
      <c r="K1336" s="17"/>
      <c r="L1336" s="17"/>
      <c r="M1336" s="17" t="s">
        <v>351</v>
      </c>
      <c r="N1336" s="17" t="s">
        <v>5055</v>
      </c>
      <c r="O1336" s="17" t="s">
        <v>5056</v>
      </c>
      <c r="P1336" s="23"/>
      <c r="Q1336" s="17">
        <v>8</v>
      </c>
      <c r="R1336" s="17">
        <v>8</v>
      </c>
      <c r="S1336" s="17" t="s">
        <v>5527</v>
      </c>
    </row>
    <row r="1337" spans="1:19" s="21" customFormat="1" hidden="1" x14ac:dyDescent="0.15">
      <c r="A1337" s="34">
        <v>1336</v>
      </c>
      <c r="B1337" s="35" t="s">
        <v>4881</v>
      </c>
      <c r="C1337" s="17" t="s">
        <v>4926</v>
      </c>
      <c r="D1337" s="25" t="s">
        <v>1606</v>
      </c>
      <c r="E1337" s="18" t="s">
        <v>1431</v>
      </c>
      <c r="F1337" s="22">
        <v>13</v>
      </c>
      <c r="G1337" s="17" t="s">
        <v>5057</v>
      </c>
      <c r="H1337" s="20" t="s">
        <v>5058</v>
      </c>
      <c r="I1337" s="18" t="s">
        <v>1453</v>
      </c>
      <c r="J1337" s="17"/>
      <c r="K1337" s="17"/>
      <c r="L1337" s="17"/>
      <c r="M1337" s="17" t="s">
        <v>5059</v>
      </c>
      <c r="N1337" s="17"/>
      <c r="O1337" s="17"/>
      <c r="P1337" s="23"/>
      <c r="Q1337" s="17" t="s">
        <v>4756</v>
      </c>
      <c r="R1337" s="17" t="s">
        <v>4756</v>
      </c>
      <c r="S1337" s="17" t="s">
        <v>5059</v>
      </c>
    </row>
    <row r="1338" spans="1:19" s="21" customFormat="1" hidden="1" x14ac:dyDescent="0.15">
      <c r="A1338" s="34">
        <v>1337</v>
      </c>
      <c r="B1338" s="35" t="s">
        <v>4881</v>
      </c>
      <c r="C1338" s="17" t="s">
        <v>4926</v>
      </c>
      <c r="D1338" s="25" t="s">
        <v>1606</v>
      </c>
      <c r="E1338" s="18" t="s">
        <v>1431</v>
      </c>
      <c r="F1338" s="22">
        <v>20</v>
      </c>
      <c r="G1338" s="17" t="s">
        <v>5060</v>
      </c>
      <c r="H1338" s="20" t="s">
        <v>5061</v>
      </c>
      <c r="I1338" s="18" t="s">
        <v>288</v>
      </c>
      <c r="J1338" s="17" t="s">
        <v>4968</v>
      </c>
      <c r="K1338" s="17" t="s">
        <v>4997</v>
      </c>
      <c r="L1338" s="17"/>
      <c r="M1338" s="17" t="s">
        <v>5062</v>
      </c>
      <c r="N1338" s="17"/>
      <c r="O1338" s="17"/>
      <c r="P1338" s="23"/>
      <c r="Q1338" s="17" t="s">
        <v>4756</v>
      </c>
      <c r="R1338" s="17" t="s">
        <v>4756</v>
      </c>
      <c r="S1338" s="17" t="s">
        <v>5062</v>
      </c>
    </row>
    <row r="1339" spans="1:19" s="21" customFormat="1" hidden="1" x14ac:dyDescent="0.15">
      <c r="A1339" s="34">
        <v>1338</v>
      </c>
      <c r="B1339" s="35" t="s">
        <v>4881</v>
      </c>
      <c r="C1339" s="17" t="s">
        <v>4926</v>
      </c>
      <c r="D1339" s="25" t="s">
        <v>1606</v>
      </c>
      <c r="E1339" s="18" t="s">
        <v>1431</v>
      </c>
      <c r="F1339" s="22">
        <v>13</v>
      </c>
      <c r="G1339" s="17" t="s">
        <v>5063</v>
      </c>
      <c r="H1339" s="20" t="s">
        <v>5064</v>
      </c>
      <c r="I1339" s="18" t="s">
        <v>288</v>
      </c>
      <c r="J1339" s="17"/>
      <c r="K1339" s="17"/>
      <c r="L1339" s="17"/>
      <c r="M1339" s="17" t="s">
        <v>5065</v>
      </c>
      <c r="N1339" s="17"/>
      <c r="O1339" s="17"/>
      <c r="P1339" s="23">
        <v>4</v>
      </c>
      <c r="Q1339" s="17" t="s">
        <v>4756</v>
      </c>
      <c r="R1339" s="17" t="s">
        <v>4756</v>
      </c>
      <c r="S1339" s="17" t="s">
        <v>5065</v>
      </c>
    </row>
    <row r="1340" spans="1:19" s="21" customFormat="1" hidden="1" x14ac:dyDescent="0.15">
      <c r="A1340" s="34">
        <v>1339</v>
      </c>
      <c r="B1340" s="35" t="s">
        <v>4881</v>
      </c>
      <c r="C1340" s="17" t="s">
        <v>4926</v>
      </c>
      <c r="D1340" s="25" t="s">
        <v>1582</v>
      </c>
      <c r="E1340" s="18" t="s">
        <v>1744</v>
      </c>
      <c r="F1340" s="22">
        <v>8</v>
      </c>
      <c r="G1340" s="17" t="s">
        <v>5066</v>
      </c>
      <c r="H1340" s="20" t="s">
        <v>5067</v>
      </c>
      <c r="I1340" s="18" t="s">
        <v>339</v>
      </c>
      <c r="J1340" s="17" t="s">
        <v>1484</v>
      </c>
      <c r="K1340" s="17" t="s">
        <v>2948</v>
      </c>
      <c r="L1340" s="17"/>
      <c r="M1340" s="17" t="s">
        <v>351</v>
      </c>
      <c r="N1340" s="17"/>
      <c r="O1340" s="17"/>
      <c r="P1340" s="23"/>
      <c r="Q1340" s="17">
        <v>3</v>
      </c>
      <c r="R1340" s="17">
        <v>1</v>
      </c>
      <c r="S1340" s="17" t="s">
        <v>351</v>
      </c>
    </row>
    <row r="1341" spans="1:19" s="21" customFormat="1" hidden="1" x14ac:dyDescent="0.15">
      <c r="A1341" s="34">
        <v>1340</v>
      </c>
      <c r="B1341" s="35" t="s">
        <v>4881</v>
      </c>
      <c r="C1341" s="17" t="s">
        <v>4926</v>
      </c>
      <c r="D1341" s="25" t="s">
        <v>1582</v>
      </c>
      <c r="E1341" s="18" t="s">
        <v>1744</v>
      </c>
      <c r="F1341" s="22">
        <v>5</v>
      </c>
      <c r="G1341" s="17" t="s">
        <v>5068</v>
      </c>
      <c r="H1341" s="20" t="s">
        <v>5069</v>
      </c>
      <c r="I1341" s="18" t="s">
        <v>339</v>
      </c>
      <c r="J1341" s="17" t="s">
        <v>4456</v>
      </c>
      <c r="K1341" s="17" t="s">
        <v>1493</v>
      </c>
      <c r="L1341" s="17"/>
      <c r="M1341" s="17" t="s">
        <v>5070</v>
      </c>
      <c r="N1341" s="17"/>
      <c r="O1341" s="17"/>
      <c r="P1341" s="23"/>
      <c r="Q1341" s="17">
        <v>1</v>
      </c>
      <c r="R1341" s="17">
        <v>2</v>
      </c>
      <c r="S1341" s="17" t="s">
        <v>5070</v>
      </c>
    </row>
    <row r="1342" spans="1:19" s="21" customFormat="1" hidden="1" x14ac:dyDescent="0.15">
      <c r="A1342" s="34">
        <v>1341</v>
      </c>
      <c r="B1342" s="35" t="s">
        <v>4881</v>
      </c>
      <c r="C1342" s="17" t="s">
        <v>4926</v>
      </c>
      <c r="D1342" s="25" t="s">
        <v>1582</v>
      </c>
      <c r="E1342" s="18" t="s">
        <v>1744</v>
      </c>
      <c r="F1342" s="22">
        <v>8</v>
      </c>
      <c r="G1342" s="17" t="s">
        <v>5071</v>
      </c>
      <c r="H1342" s="20" t="s">
        <v>5072</v>
      </c>
      <c r="I1342" s="18" t="s">
        <v>339</v>
      </c>
      <c r="J1342" s="17" t="s">
        <v>1484</v>
      </c>
      <c r="K1342" s="17" t="s">
        <v>4454</v>
      </c>
      <c r="L1342" s="17" t="s">
        <v>1493</v>
      </c>
      <c r="M1342" s="17" t="s">
        <v>5030</v>
      </c>
      <c r="N1342" s="17"/>
      <c r="O1342" s="17"/>
      <c r="P1342" s="23"/>
      <c r="Q1342" s="17">
        <v>2</v>
      </c>
      <c r="R1342" s="17">
        <v>2</v>
      </c>
      <c r="S1342" s="17" t="s">
        <v>5030</v>
      </c>
    </row>
    <row r="1343" spans="1:19" s="21" customFormat="1" hidden="1" x14ac:dyDescent="0.15">
      <c r="A1343" s="34">
        <v>1342</v>
      </c>
      <c r="B1343" s="35" t="s">
        <v>4881</v>
      </c>
      <c r="C1343" s="17" t="s">
        <v>4926</v>
      </c>
      <c r="D1343" s="25" t="s">
        <v>1582</v>
      </c>
      <c r="E1343" s="18" t="s">
        <v>1744</v>
      </c>
      <c r="F1343" s="22">
        <v>10</v>
      </c>
      <c r="G1343" s="17" t="s">
        <v>5073</v>
      </c>
      <c r="H1343" s="20" t="s">
        <v>5074</v>
      </c>
      <c r="I1343" s="18" t="s">
        <v>339</v>
      </c>
      <c r="J1343" s="17" t="s">
        <v>1484</v>
      </c>
      <c r="K1343" s="17" t="s">
        <v>357</v>
      </c>
      <c r="L1343" s="17"/>
      <c r="M1343" s="17" t="s">
        <v>4426</v>
      </c>
      <c r="N1343" s="17"/>
      <c r="O1343" s="17"/>
      <c r="P1343" s="23"/>
      <c r="Q1343" s="17">
        <v>4</v>
      </c>
      <c r="R1343" s="17">
        <v>2</v>
      </c>
      <c r="S1343" s="17" t="s">
        <v>4426</v>
      </c>
    </row>
    <row r="1344" spans="1:19" s="21" customFormat="1" hidden="1" x14ac:dyDescent="0.15">
      <c r="A1344" s="34">
        <v>1343</v>
      </c>
      <c r="B1344" s="35" t="s">
        <v>4881</v>
      </c>
      <c r="C1344" s="17" t="s">
        <v>4926</v>
      </c>
      <c r="D1344" s="25" t="s">
        <v>1582</v>
      </c>
      <c r="E1344" s="18" t="s">
        <v>1744</v>
      </c>
      <c r="F1344" s="22">
        <v>6</v>
      </c>
      <c r="G1344" s="17" t="s">
        <v>5075</v>
      </c>
      <c r="H1344" s="20" t="s">
        <v>5076</v>
      </c>
      <c r="I1344" s="18" t="s">
        <v>339</v>
      </c>
      <c r="J1344" s="17" t="s">
        <v>1484</v>
      </c>
      <c r="K1344" s="17" t="s">
        <v>4456</v>
      </c>
      <c r="L1344" s="17"/>
      <c r="M1344" s="17"/>
      <c r="N1344" s="17"/>
      <c r="O1344" s="17"/>
      <c r="P1344" s="23"/>
      <c r="Q1344" s="17">
        <v>2</v>
      </c>
      <c r="R1344" s="17">
        <v>2</v>
      </c>
      <c r="S1344" s="17" t="s">
        <v>4756</v>
      </c>
    </row>
    <row r="1345" spans="1:19" s="21" customFormat="1" hidden="1" x14ac:dyDescent="0.15">
      <c r="A1345" s="34">
        <v>1344</v>
      </c>
      <c r="B1345" s="35" t="s">
        <v>4881</v>
      </c>
      <c r="C1345" s="17" t="s">
        <v>4926</v>
      </c>
      <c r="D1345" s="25" t="s">
        <v>1582</v>
      </c>
      <c r="E1345" s="18" t="s">
        <v>1744</v>
      </c>
      <c r="F1345" s="22">
        <v>15</v>
      </c>
      <c r="G1345" s="17" t="s">
        <v>5077</v>
      </c>
      <c r="H1345" s="20" t="s">
        <v>5078</v>
      </c>
      <c r="I1345" s="18" t="s">
        <v>339</v>
      </c>
      <c r="J1345" s="17" t="s">
        <v>1484</v>
      </c>
      <c r="K1345" s="17" t="s">
        <v>2986</v>
      </c>
      <c r="L1345" s="17"/>
      <c r="M1345" s="17" t="s">
        <v>2595</v>
      </c>
      <c r="N1345" s="17" t="s">
        <v>4383</v>
      </c>
      <c r="O1345" s="17"/>
      <c r="P1345" s="23"/>
      <c r="Q1345" s="17">
        <v>1</v>
      </c>
      <c r="R1345" s="17">
        <v>5</v>
      </c>
      <c r="S1345" s="17" t="s">
        <v>5528</v>
      </c>
    </row>
    <row r="1346" spans="1:19" s="21" customFormat="1" hidden="1" x14ac:dyDescent="0.15">
      <c r="A1346" s="34">
        <v>1345</v>
      </c>
      <c r="B1346" s="35" t="s">
        <v>4881</v>
      </c>
      <c r="C1346" s="17" t="s">
        <v>4926</v>
      </c>
      <c r="D1346" s="25" t="s">
        <v>1582</v>
      </c>
      <c r="E1346" s="18" t="s">
        <v>1744</v>
      </c>
      <c r="F1346" s="22">
        <v>19</v>
      </c>
      <c r="G1346" s="17" t="s">
        <v>5079</v>
      </c>
      <c r="H1346" s="20" t="s">
        <v>5080</v>
      </c>
      <c r="I1346" s="18" t="s">
        <v>339</v>
      </c>
      <c r="J1346" s="17" t="s">
        <v>2802</v>
      </c>
      <c r="K1346" s="17"/>
      <c r="L1346" s="17"/>
      <c r="M1346" s="17" t="s">
        <v>3109</v>
      </c>
      <c r="N1346" s="17"/>
      <c r="O1346" s="17"/>
      <c r="P1346" s="23"/>
      <c r="Q1346" s="17">
        <v>3</v>
      </c>
      <c r="R1346" s="17">
        <v>4</v>
      </c>
      <c r="S1346" s="17" t="s">
        <v>3109</v>
      </c>
    </row>
    <row r="1347" spans="1:19" s="21" customFormat="1" hidden="1" x14ac:dyDescent="0.15">
      <c r="A1347" s="34">
        <v>1346</v>
      </c>
      <c r="B1347" s="35" t="s">
        <v>4881</v>
      </c>
      <c r="C1347" s="17" t="s">
        <v>4926</v>
      </c>
      <c r="D1347" s="25" t="s">
        <v>1582</v>
      </c>
      <c r="E1347" s="18" t="s">
        <v>1744</v>
      </c>
      <c r="F1347" s="22">
        <v>6</v>
      </c>
      <c r="G1347" s="17" t="s">
        <v>5081</v>
      </c>
      <c r="H1347" s="20" t="s">
        <v>5082</v>
      </c>
      <c r="I1347" s="18" t="s">
        <v>339</v>
      </c>
      <c r="J1347" s="17" t="s">
        <v>1484</v>
      </c>
      <c r="K1347" s="17" t="s">
        <v>4946</v>
      </c>
      <c r="L1347" s="17"/>
      <c r="M1347" s="17" t="s">
        <v>5083</v>
      </c>
      <c r="N1347" s="17"/>
      <c r="O1347" s="17"/>
      <c r="P1347" s="23"/>
      <c r="Q1347" s="17">
        <v>2</v>
      </c>
      <c r="R1347" s="17">
        <v>1</v>
      </c>
      <c r="S1347" s="17" t="s">
        <v>5083</v>
      </c>
    </row>
    <row r="1348" spans="1:19" s="21" customFormat="1" hidden="1" x14ac:dyDescent="0.15">
      <c r="A1348" s="34">
        <v>1347</v>
      </c>
      <c r="B1348" s="35" t="s">
        <v>4881</v>
      </c>
      <c r="C1348" s="17" t="s">
        <v>4926</v>
      </c>
      <c r="D1348" s="25" t="s">
        <v>1582</v>
      </c>
      <c r="E1348" s="18" t="s">
        <v>1744</v>
      </c>
      <c r="F1348" s="22">
        <v>1</v>
      </c>
      <c r="G1348" s="17" t="s">
        <v>5659</v>
      </c>
      <c r="H1348" s="20" t="s">
        <v>5084</v>
      </c>
      <c r="I1348" s="18" t="s">
        <v>1453</v>
      </c>
      <c r="J1348" s="17" t="s">
        <v>4955</v>
      </c>
      <c r="K1348" s="17"/>
      <c r="L1348" s="17"/>
      <c r="M1348" s="17" t="s">
        <v>5085</v>
      </c>
      <c r="N1348" s="17" t="s">
        <v>4383</v>
      </c>
      <c r="O1348" s="17"/>
      <c r="P1348" s="23"/>
      <c r="Q1348" s="17" t="s">
        <v>4756</v>
      </c>
      <c r="R1348" s="17" t="s">
        <v>4756</v>
      </c>
      <c r="S1348" s="17" t="s">
        <v>5529</v>
      </c>
    </row>
    <row r="1349" spans="1:19" s="21" customFormat="1" hidden="1" x14ac:dyDescent="0.15">
      <c r="A1349" s="34">
        <v>1348</v>
      </c>
      <c r="B1349" s="35" t="s">
        <v>4881</v>
      </c>
      <c r="C1349" s="17" t="s">
        <v>4926</v>
      </c>
      <c r="D1349" s="25" t="s">
        <v>1582</v>
      </c>
      <c r="E1349" s="18" t="s">
        <v>1744</v>
      </c>
      <c r="F1349" s="22">
        <v>3</v>
      </c>
      <c r="G1349" s="17" t="s">
        <v>5660</v>
      </c>
      <c r="H1349" s="20" t="s">
        <v>5087</v>
      </c>
      <c r="I1349" s="18" t="s">
        <v>1453</v>
      </c>
      <c r="J1349" s="17"/>
      <c r="K1349" s="17"/>
      <c r="L1349" s="17"/>
      <c r="M1349" s="17" t="s">
        <v>5088</v>
      </c>
      <c r="N1349" s="17"/>
      <c r="O1349" s="17"/>
      <c r="P1349" s="23"/>
      <c r="Q1349" s="17" t="s">
        <v>4756</v>
      </c>
      <c r="R1349" s="17" t="s">
        <v>4756</v>
      </c>
      <c r="S1349" s="17" t="s">
        <v>5088</v>
      </c>
    </row>
    <row r="1350" spans="1:19" s="21" customFormat="1" hidden="1" x14ac:dyDescent="0.15">
      <c r="A1350" s="34">
        <v>1349</v>
      </c>
      <c r="B1350" s="35" t="s">
        <v>4881</v>
      </c>
      <c r="C1350" s="17" t="s">
        <v>4926</v>
      </c>
      <c r="D1350" s="25" t="s">
        <v>1582</v>
      </c>
      <c r="E1350" s="18" t="s">
        <v>1744</v>
      </c>
      <c r="F1350" s="22">
        <v>3</v>
      </c>
      <c r="G1350" s="17" t="s">
        <v>5089</v>
      </c>
      <c r="H1350" s="20" t="s">
        <v>5090</v>
      </c>
      <c r="I1350" s="18" t="s">
        <v>1453</v>
      </c>
      <c r="J1350" s="17"/>
      <c r="K1350" s="17"/>
      <c r="L1350" s="17"/>
      <c r="M1350" s="17" t="s">
        <v>5091</v>
      </c>
      <c r="N1350" s="17" t="s">
        <v>4383</v>
      </c>
      <c r="O1350" s="17"/>
      <c r="P1350" s="23"/>
      <c r="Q1350" s="17" t="s">
        <v>4756</v>
      </c>
      <c r="R1350" s="17" t="s">
        <v>4756</v>
      </c>
      <c r="S1350" s="17" t="s">
        <v>5530</v>
      </c>
    </row>
    <row r="1351" spans="1:19" s="21" customFormat="1" hidden="1" x14ac:dyDescent="0.15">
      <c r="A1351" s="34">
        <v>1350</v>
      </c>
      <c r="B1351" s="35" t="s">
        <v>4881</v>
      </c>
      <c r="C1351" s="17" t="s">
        <v>4926</v>
      </c>
      <c r="D1351" s="25" t="s">
        <v>1582</v>
      </c>
      <c r="E1351" s="18" t="s">
        <v>1451</v>
      </c>
      <c r="F1351" s="22">
        <v>20</v>
      </c>
      <c r="G1351" s="17" t="s">
        <v>5092</v>
      </c>
      <c r="H1351" s="20" t="s">
        <v>5093</v>
      </c>
      <c r="I1351" s="18" t="s">
        <v>339</v>
      </c>
      <c r="J1351" s="17" t="s">
        <v>1484</v>
      </c>
      <c r="K1351" s="17" t="s">
        <v>1470</v>
      </c>
      <c r="L1351" s="17"/>
      <c r="M1351" s="17" t="s">
        <v>5094</v>
      </c>
      <c r="N1351" s="17" t="s">
        <v>5030</v>
      </c>
      <c r="O1351" s="17"/>
      <c r="P1351" s="23"/>
      <c r="Q1351" s="17">
        <v>2</v>
      </c>
      <c r="R1351" s="17">
        <v>2</v>
      </c>
      <c r="S1351" s="17" t="s">
        <v>5531</v>
      </c>
    </row>
    <row r="1352" spans="1:19" s="21" customFormat="1" hidden="1" x14ac:dyDescent="0.15">
      <c r="A1352" s="34">
        <v>1351</v>
      </c>
      <c r="B1352" s="35" t="s">
        <v>4881</v>
      </c>
      <c r="C1352" s="17" t="s">
        <v>4926</v>
      </c>
      <c r="D1352" s="25" t="s">
        <v>1582</v>
      </c>
      <c r="E1352" s="18" t="s">
        <v>1451</v>
      </c>
      <c r="F1352" s="22">
        <v>9</v>
      </c>
      <c r="G1352" s="17" t="s">
        <v>5661</v>
      </c>
      <c r="H1352" s="20" t="s">
        <v>5095</v>
      </c>
      <c r="I1352" s="18" t="s">
        <v>339</v>
      </c>
      <c r="J1352" s="17" t="s">
        <v>2802</v>
      </c>
      <c r="K1352" s="17"/>
      <c r="L1352" s="17"/>
      <c r="M1352" s="17" t="s">
        <v>5096</v>
      </c>
      <c r="N1352" s="17" t="s">
        <v>4383</v>
      </c>
      <c r="O1352" s="17"/>
      <c r="P1352" s="23"/>
      <c r="Q1352" s="17">
        <v>0</v>
      </c>
      <c r="R1352" s="17">
        <v>4</v>
      </c>
      <c r="S1352" s="17" t="s">
        <v>5532</v>
      </c>
    </row>
    <row r="1353" spans="1:19" s="21" customFormat="1" hidden="1" x14ac:dyDescent="0.15">
      <c r="A1353" s="34">
        <v>1352</v>
      </c>
      <c r="B1353" s="35" t="s">
        <v>4881</v>
      </c>
      <c r="C1353" s="17" t="s">
        <v>4926</v>
      </c>
      <c r="D1353" s="25" t="s">
        <v>1582</v>
      </c>
      <c r="E1353" s="18" t="s">
        <v>1451</v>
      </c>
      <c r="F1353" s="22">
        <v>9</v>
      </c>
      <c r="G1353" s="17" t="s">
        <v>5662</v>
      </c>
      <c r="H1353" s="20" t="s">
        <v>5098</v>
      </c>
      <c r="I1353" s="18" t="s">
        <v>1453</v>
      </c>
      <c r="J1353" s="17"/>
      <c r="K1353" s="17"/>
      <c r="L1353" s="17"/>
      <c r="M1353" s="17" t="s">
        <v>5099</v>
      </c>
      <c r="N1353" s="17"/>
      <c r="O1353" s="17"/>
      <c r="P1353" s="23"/>
      <c r="Q1353" s="17" t="s">
        <v>4756</v>
      </c>
      <c r="R1353" s="17" t="s">
        <v>4756</v>
      </c>
      <c r="S1353" s="17" t="s">
        <v>5099</v>
      </c>
    </row>
    <row r="1354" spans="1:19" s="21" customFormat="1" hidden="1" x14ac:dyDescent="0.15">
      <c r="A1354" s="34">
        <v>1353</v>
      </c>
      <c r="B1354" s="35" t="s">
        <v>4881</v>
      </c>
      <c r="C1354" s="17" t="s">
        <v>4926</v>
      </c>
      <c r="D1354" s="25" t="s">
        <v>1582</v>
      </c>
      <c r="E1354" s="18" t="s">
        <v>1451</v>
      </c>
      <c r="F1354" s="22">
        <v>5</v>
      </c>
      <c r="G1354" s="17" t="s">
        <v>5663</v>
      </c>
      <c r="H1354" s="20" t="s">
        <v>5100</v>
      </c>
      <c r="I1354" s="18" t="s">
        <v>1453</v>
      </c>
      <c r="J1354" s="17"/>
      <c r="K1354" s="17"/>
      <c r="L1354" s="17"/>
      <c r="M1354" s="17" t="s">
        <v>5101</v>
      </c>
      <c r="N1354" s="17" t="s">
        <v>4383</v>
      </c>
      <c r="O1354" s="17"/>
      <c r="P1354" s="23"/>
      <c r="Q1354" s="17" t="s">
        <v>4756</v>
      </c>
      <c r="R1354" s="17" t="s">
        <v>4756</v>
      </c>
      <c r="S1354" s="17" t="s">
        <v>5533</v>
      </c>
    </row>
    <row r="1355" spans="1:19" s="21" customFormat="1" hidden="1" x14ac:dyDescent="0.15">
      <c r="A1355" s="34">
        <v>1354</v>
      </c>
      <c r="B1355" s="35" t="s">
        <v>4881</v>
      </c>
      <c r="C1355" s="17" t="s">
        <v>4926</v>
      </c>
      <c r="D1355" s="25" t="s">
        <v>1582</v>
      </c>
      <c r="E1355" s="18" t="s">
        <v>1441</v>
      </c>
      <c r="F1355" s="22">
        <v>13</v>
      </c>
      <c r="G1355" s="17" t="s">
        <v>5102</v>
      </c>
      <c r="H1355" s="20" t="s">
        <v>5103</v>
      </c>
      <c r="I1355" s="18" t="s">
        <v>339</v>
      </c>
      <c r="J1355" s="17" t="s">
        <v>1484</v>
      </c>
      <c r="K1355" s="17"/>
      <c r="L1355" s="17"/>
      <c r="M1355" s="17" t="s">
        <v>5104</v>
      </c>
      <c r="N1355" s="17"/>
      <c r="O1355" s="17"/>
      <c r="P1355" s="23"/>
      <c r="Q1355" s="17">
        <v>6</v>
      </c>
      <c r="R1355" s="17">
        <v>6</v>
      </c>
      <c r="S1355" s="17" t="s">
        <v>5104</v>
      </c>
    </row>
    <row r="1356" spans="1:19" s="21" customFormat="1" hidden="1" x14ac:dyDescent="0.15">
      <c r="A1356" s="34">
        <v>1355</v>
      </c>
      <c r="B1356" s="35" t="s">
        <v>4881</v>
      </c>
      <c r="C1356" s="17" t="s">
        <v>4926</v>
      </c>
      <c r="D1356" s="25" t="s">
        <v>1582</v>
      </c>
      <c r="E1356" s="18" t="s">
        <v>1441</v>
      </c>
      <c r="F1356" s="22">
        <v>10</v>
      </c>
      <c r="G1356" s="17" t="s">
        <v>5105</v>
      </c>
      <c r="H1356" s="20" t="s">
        <v>5106</v>
      </c>
      <c r="I1356" s="18" t="s">
        <v>339</v>
      </c>
      <c r="J1356" s="17" t="s">
        <v>1484</v>
      </c>
      <c r="K1356" s="17" t="s">
        <v>4032</v>
      </c>
      <c r="L1356" s="17" t="s">
        <v>2793</v>
      </c>
      <c r="M1356" s="17" t="s">
        <v>5107</v>
      </c>
      <c r="N1356" s="17" t="s">
        <v>5108</v>
      </c>
      <c r="O1356" s="17" t="s">
        <v>5030</v>
      </c>
      <c r="P1356" s="23"/>
      <c r="Q1356" s="17">
        <v>6</v>
      </c>
      <c r="R1356" s="17">
        <v>6</v>
      </c>
      <c r="S1356" s="17" t="s">
        <v>5534</v>
      </c>
    </row>
    <row r="1357" spans="1:19" s="21" customFormat="1" hidden="1" x14ac:dyDescent="0.15">
      <c r="A1357" s="34">
        <v>1356</v>
      </c>
      <c r="B1357" s="35" t="s">
        <v>4881</v>
      </c>
      <c r="C1357" s="17" t="s">
        <v>4926</v>
      </c>
      <c r="D1357" s="25" t="s">
        <v>1582</v>
      </c>
      <c r="E1357" s="18" t="s">
        <v>1441</v>
      </c>
      <c r="F1357" s="22">
        <v>16</v>
      </c>
      <c r="G1357" s="17" t="s">
        <v>5109</v>
      </c>
      <c r="H1357" s="20" t="s">
        <v>5110</v>
      </c>
      <c r="I1357" s="18" t="s">
        <v>339</v>
      </c>
      <c r="J1357" s="17" t="s">
        <v>1489</v>
      </c>
      <c r="K1357" s="17" t="s">
        <v>1463</v>
      </c>
      <c r="L1357" s="17"/>
      <c r="M1357" s="17" t="s">
        <v>2048</v>
      </c>
      <c r="N1357" s="17" t="s">
        <v>5111</v>
      </c>
      <c r="O1357" s="17" t="s">
        <v>4950</v>
      </c>
      <c r="P1357" s="23"/>
      <c r="Q1357" s="17">
        <v>1</v>
      </c>
      <c r="R1357" s="17">
        <v>2</v>
      </c>
      <c r="S1357" s="17" t="s">
        <v>5535</v>
      </c>
    </row>
    <row r="1358" spans="1:19" s="21" customFormat="1" hidden="1" x14ac:dyDescent="0.15">
      <c r="A1358" s="34">
        <v>1357</v>
      </c>
      <c r="B1358" s="35" t="s">
        <v>4881</v>
      </c>
      <c r="C1358" s="17" t="s">
        <v>4926</v>
      </c>
      <c r="D1358" s="25" t="s">
        <v>1582</v>
      </c>
      <c r="E1358" s="18" t="s">
        <v>1441</v>
      </c>
      <c r="F1358" s="22">
        <v>11</v>
      </c>
      <c r="G1358" s="17" t="s">
        <v>5112</v>
      </c>
      <c r="H1358" s="20" t="s">
        <v>5113</v>
      </c>
      <c r="I1358" s="18" t="s">
        <v>1453</v>
      </c>
      <c r="J1358" s="17"/>
      <c r="K1358" s="17"/>
      <c r="L1358" s="17"/>
      <c r="M1358" s="17" t="s">
        <v>5114</v>
      </c>
      <c r="N1358" s="17" t="s">
        <v>5115</v>
      </c>
      <c r="O1358" s="17"/>
      <c r="P1358" s="23"/>
      <c r="Q1358" s="17" t="s">
        <v>4756</v>
      </c>
      <c r="R1358" s="17" t="s">
        <v>4756</v>
      </c>
      <c r="S1358" s="17" t="s">
        <v>5536</v>
      </c>
    </row>
    <row r="1359" spans="1:19" s="21" customFormat="1" hidden="1" x14ac:dyDescent="0.15">
      <c r="A1359" s="34">
        <v>1358</v>
      </c>
      <c r="B1359" s="35" t="s">
        <v>4881</v>
      </c>
      <c r="C1359" s="17" t="s">
        <v>4926</v>
      </c>
      <c r="D1359" s="25" t="s">
        <v>1582</v>
      </c>
      <c r="E1359" s="18" t="s">
        <v>1431</v>
      </c>
      <c r="F1359" s="22">
        <v>15</v>
      </c>
      <c r="G1359" s="17" t="s">
        <v>5116</v>
      </c>
      <c r="H1359" s="20" t="s">
        <v>5117</v>
      </c>
      <c r="I1359" s="18" t="s">
        <v>339</v>
      </c>
      <c r="J1359" s="17" t="s">
        <v>2793</v>
      </c>
      <c r="K1359" s="17"/>
      <c r="L1359" s="17"/>
      <c r="M1359" s="17" t="s">
        <v>351</v>
      </c>
      <c r="N1359" s="17" t="s">
        <v>5118</v>
      </c>
      <c r="O1359" s="17"/>
      <c r="P1359" s="23"/>
      <c r="Q1359" s="17">
        <v>1</v>
      </c>
      <c r="R1359" s="17">
        <v>1</v>
      </c>
      <c r="S1359" s="17" t="s">
        <v>5537</v>
      </c>
    </row>
    <row r="1360" spans="1:19" s="21" customFormat="1" hidden="1" x14ac:dyDescent="0.15">
      <c r="A1360" s="34">
        <v>1359</v>
      </c>
      <c r="B1360" s="35" t="s">
        <v>4881</v>
      </c>
      <c r="C1360" s="17" t="s">
        <v>4926</v>
      </c>
      <c r="D1360" s="25" t="s">
        <v>1582</v>
      </c>
      <c r="E1360" s="18" t="s">
        <v>1431</v>
      </c>
      <c r="F1360" s="22">
        <v>18</v>
      </c>
      <c r="G1360" s="17" t="s">
        <v>5119</v>
      </c>
      <c r="H1360" s="20" t="s">
        <v>5120</v>
      </c>
      <c r="I1360" s="18" t="s">
        <v>339</v>
      </c>
      <c r="J1360" s="17" t="s">
        <v>2793</v>
      </c>
      <c r="K1360" s="17"/>
      <c r="L1360" s="17"/>
      <c r="M1360" s="17" t="s">
        <v>3596</v>
      </c>
      <c r="N1360" s="17" t="s">
        <v>5121</v>
      </c>
      <c r="O1360" s="17"/>
      <c r="P1360" s="23"/>
      <c r="Q1360" s="17">
        <v>8</v>
      </c>
      <c r="R1360" s="17">
        <v>8</v>
      </c>
      <c r="S1360" s="17" t="s">
        <v>5538</v>
      </c>
    </row>
    <row r="1361" spans="1:19" s="21" customFormat="1" hidden="1" x14ac:dyDescent="0.15">
      <c r="A1361" s="34">
        <v>1360</v>
      </c>
      <c r="B1361" s="35" t="s">
        <v>4881</v>
      </c>
      <c r="C1361" s="17" t="s">
        <v>4926</v>
      </c>
      <c r="D1361" s="25" t="s">
        <v>1582</v>
      </c>
      <c r="E1361" s="18" t="s">
        <v>1431</v>
      </c>
      <c r="F1361" s="22">
        <v>17</v>
      </c>
      <c r="G1361" s="17" t="s">
        <v>5122</v>
      </c>
      <c r="H1361" s="20" t="s">
        <v>5123</v>
      </c>
      <c r="I1361" s="18" t="s">
        <v>1453</v>
      </c>
      <c r="J1361" s="17"/>
      <c r="K1361" s="17"/>
      <c r="L1361" s="17"/>
      <c r="M1361" s="17" t="s">
        <v>5124</v>
      </c>
      <c r="N1361" s="17"/>
      <c r="O1361" s="17"/>
      <c r="P1361" s="23"/>
      <c r="Q1361" s="17" t="s">
        <v>4756</v>
      </c>
      <c r="R1361" s="17" t="s">
        <v>4756</v>
      </c>
      <c r="S1361" s="17" t="s">
        <v>5124</v>
      </c>
    </row>
    <row r="1362" spans="1:19" s="21" customFormat="1" hidden="1" x14ac:dyDescent="0.15">
      <c r="A1362" s="34">
        <v>1361</v>
      </c>
      <c r="B1362" s="35" t="s">
        <v>4881</v>
      </c>
      <c r="C1362" s="17" t="s">
        <v>4926</v>
      </c>
      <c r="D1362" s="25" t="s">
        <v>1552</v>
      </c>
      <c r="E1362" s="18" t="s">
        <v>1744</v>
      </c>
      <c r="F1362" s="22">
        <v>5</v>
      </c>
      <c r="G1362" s="17" t="s">
        <v>5125</v>
      </c>
      <c r="H1362" s="20" t="s">
        <v>5126</v>
      </c>
      <c r="I1362" s="18" t="s">
        <v>339</v>
      </c>
      <c r="J1362" s="17" t="s">
        <v>4454</v>
      </c>
      <c r="K1362" s="17" t="s">
        <v>1493</v>
      </c>
      <c r="L1362" s="17"/>
      <c r="M1362" s="17"/>
      <c r="N1362" s="17"/>
      <c r="O1362" s="17"/>
      <c r="P1362" s="23"/>
      <c r="Q1362" s="17">
        <v>2</v>
      </c>
      <c r="R1362" s="17">
        <v>2</v>
      </c>
      <c r="S1362" s="17" t="s">
        <v>4756</v>
      </c>
    </row>
    <row r="1363" spans="1:19" s="21" customFormat="1" hidden="1" x14ac:dyDescent="0.15">
      <c r="A1363" s="34">
        <v>1362</v>
      </c>
      <c r="B1363" s="35" t="s">
        <v>4881</v>
      </c>
      <c r="C1363" s="17" t="s">
        <v>4926</v>
      </c>
      <c r="D1363" s="25" t="s">
        <v>1552</v>
      </c>
      <c r="E1363" s="18" t="s">
        <v>1744</v>
      </c>
      <c r="F1363" s="22">
        <v>14</v>
      </c>
      <c r="G1363" s="17" t="s">
        <v>5127</v>
      </c>
      <c r="H1363" s="20" t="s">
        <v>5128</v>
      </c>
      <c r="I1363" s="18" t="s">
        <v>339</v>
      </c>
      <c r="J1363" s="17" t="s">
        <v>1484</v>
      </c>
      <c r="K1363" s="17" t="s">
        <v>4456</v>
      </c>
      <c r="L1363" s="17" t="s">
        <v>1493</v>
      </c>
      <c r="M1363" s="17" t="s">
        <v>1738</v>
      </c>
      <c r="N1363" s="17" t="s">
        <v>5129</v>
      </c>
      <c r="O1363" s="17" t="s">
        <v>5030</v>
      </c>
      <c r="P1363" s="23"/>
      <c r="Q1363" s="17">
        <v>2</v>
      </c>
      <c r="R1363" s="17">
        <v>2</v>
      </c>
      <c r="S1363" s="17" t="s">
        <v>5539</v>
      </c>
    </row>
    <row r="1364" spans="1:19" s="21" customFormat="1" hidden="1" x14ac:dyDescent="0.15">
      <c r="A1364" s="34">
        <v>1363</v>
      </c>
      <c r="B1364" s="35" t="s">
        <v>4881</v>
      </c>
      <c r="C1364" s="17" t="s">
        <v>4926</v>
      </c>
      <c r="D1364" s="25" t="s">
        <v>1552</v>
      </c>
      <c r="E1364" s="18" t="s">
        <v>1744</v>
      </c>
      <c r="F1364" s="22">
        <v>6</v>
      </c>
      <c r="G1364" s="17" t="s">
        <v>5130</v>
      </c>
      <c r="H1364" s="20" t="s">
        <v>5131</v>
      </c>
      <c r="I1364" s="18" t="s">
        <v>339</v>
      </c>
      <c r="J1364" s="17" t="s">
        <v>357</v>
      </c>
      <c r="K1364" s="17"/>
      <c r="L1364" s="17"/>
      <c r="M1364" s="17" t="s">
        <v>5132</v>
      </c>
      <c r="N1364" s="17"/>
      <c r="O1364" s="17"/>
      <c r="P1364" s="23"/>
      <c r="Q1364" s="17">
        <v>2</v>
      </c>
      <c r="R1364" s="17">
        <v>2</v>
      </c>
      <c r="S1364" s="17" t="s">
        <v>5132</v>
      </c>
    </row>
    <row r="1365" spans="1:19" s="21" customFormat="1" hidden="1" x14ac:dyDescent="0.15">
      <c r="A1365" s="34">
        <v>1364</v>
      </c>
      <c r="B1365" s="35" t="s">
        <v>4881</v>
      </c>
      <c r="C1365" s="17" t="s">
        <v>4926</v>
      </c>
      <c r="D1365" s="25" t="s">
        <v>1552</v>
      </c>
      <c r="E1365" s="18" t="s">
        <v>1744</v>
      </c>
      <c r="F1365" s="22">
        <v>6</v>
      </c>
      <c r="G1365" s="17" t="s">
        <v>5133</v>
      </c>
      <c r="H1365" s="20" t="s">
        <v>5134</v>
      </c>
      <c r="I1365" s="18" t="s">
        <v>339</v>
      </c>
      <c r="J1365" s="17" t="s">
        <v>4454</v>
      </c>
      <c r="K1365" s="17" t="s">
        <v>1493</v>
      </c>
      <c r="L1365" s="17"/>
      <c r="M1365" s="17" t="s">
        <v>2048</v>
      </c>
      <c r="N1365" s="17" t="s">
        <v>5135</v>
      </c>
      <c r="O1365" s="17"/>
      <c r="P1365" s="23"/>
      <c r="Q1365" s="17">
        <v>2</v>
      </c>
      <c r="R1365" s="17">
        <v>2</v>
      </c>
      <c r="S1365" s="17" t="s">
        <v>5540</v>
      </c>
    </row>
    <row r="1366" spans="1:19" s="21" customFormat="1" hidden="1" x14ac:dyDescent="0.15">
      <c r="A1366" s="34">
        <v>1365</v>
      </c>
      <c r="B1366" s="35" t="s">
        <v>4881</v>
      </c>
      <c r="C1366" s="17" t="s">
        <v>4926</v>
      </c>
      <c r="D1366" s="25" t="s">
        <v>1552</v>
      </c>
      <c r="E1366" s="18" t="s">
        <v>1744</v>
      </c>
      <c r="F1366" s="22">
        <v>6</v>
      </c>
      <c r="G1366" s="17" t="s">
        <v>5136</v>
      </c>
      <c r="H1366" s="20" t="s">
        <v>5137</v>
      </c>
      <c r="I1366" s="18" t="s">
        <v>339</v>
      </c>
      <c r="J1366" s="17" t="s">
        <v>2531</v>
      </c>
      <c r="K1366" s="17"/>
      <c r="L1366" s="17"/>
      <c r="M1366" s="17" t="s">
        <v>5138</v>
      </c>
      <c r="N1366" s="17" t="s">
        <v>5139</v>
      </c>
      <c r="O1366" s="17"/>
      <c r="P1366" s="23"/>
      <c r="Q1366" s="17">
        <v>2</v>
      </c>
      <c r="R1366" s="17">
        <v>2</v>
      </c>
      <c r="S1366" s="17" t="s">
        <v>5541</v>
      </c>
    </row>
    <row r="1367" spans="1:19" s="21" customFormat="1" hidden="1" x14ac:dyDescent="0.15">
      <c r="A1367" s="34">
        <v>1366</v>
      </c>
      <c r="B1367" s="35" t="s">
        <v>4881</v>
      </c>
      <c r="C1367" s="17" t="s">
        <v>4926</v>
      </c>
      <c r="D1367" s="25" t="s">
        <v>1552</v>
      </c>
      <c r="E1367" s="18" t="s">
        <v>1744</v>
      </c>
      <c r="F1367" s="22">
        <v>8</v>
      </c>
      <c r="G1367" s="17" t="s">
        <v>5140</v>
      </c>
      <c r="H1367" s="20" t="s">
        <v>5141</v>
      </c>
      <c r="I1367" s="18" t="s">
        <v>1453</v>
      </c>
      <c r="J1367" s="17"/>
      <c r="K1367" s="17"/>
      <c r="L1367" s="17"/>
      <c r="M1367" s="17" t="s">
        <v>5142</v>
      </c>
      <c r="N1367" s="17"/>
      <c r="O1367" s="17"/>
      <c r="P1367" s="23"/>
      <c r="Q1367" s="17" t="s">
        <v>4756</v>
      </c>
      <c r="R1367" s="17" t="s">
        <v>4756</v>
      </c>
      <c r="S1367" s="17" t="s">
        <v>5142</v>
      </c>
    </row>
    <row r="1368" spans="1:19" s="21" customFormat="1" hidden="1" x14ac:dyDescent="0.15">
      <c r="A1368" s="34">
        <v>1367</v>
      </c>
      <c r="B1368" s="35" t="s">
        <v>4881</v>
      </c>
      <c r="C1368" s="17" t="s">
        <v>4926</v>
      </c>
      <c r="D1368" s="25" t="s">
        <v>1552</v>
      </c>
      <c r="E1368" s="18" t="s">
        <v>1744</v>
      </c>
      <c r="F1368" s="22">
        <v>8</v>
      </c>
      <c r="G1368" s="17" t="s">
        <v>5143</v>
      </c>
      <c r="H1368" s="20" t="s">
        <v>5144</v>
      </c>
      <c r="I1368" s="18" t="s">
        <v>1453</v>
      </c>
      <c r="J1368" s="17"/>
      <c r="K1368" s="17"/>
      <c r="L1368" s="17"/>
      <c r="M1368" s="17" t="s">
        <v>5145</v>
      </c>
      <c r="N1368" s="17"/>
      <c r="O1368" s="17"/>
      <c r="P1368" s="23"/>
      <c r="Q1368" s="17" t="s">
        <v>4756</v>
      </c>
      <c r="R1368" s="17" t="s">
        <v>4756</v>
      </c>
      <c r="S1368" s="17" t="s">
        <v>5145</v>
      </c>
    </row>
    <row r="1369" spans="1:19" s="21" customFormat="1" hidden="1" x14ac:dyDescent="0.15">
      <c r="A1369" s="34">
        <v>1368</v>
      </c>
      <c r="B1369" s="35" t="s">
        <v>4881</v>
      </c>
      <c r="C1369" s="17" t="s">
        <v>4926</v>
      </c>
      <c r="D1369" s="25" t="s">
        <v>1552</v>
      </c>
      <c r="E1369" s="18" t="s">
        <v>1744</v>
      </c>
      <c r="F1369" s="22">
        <v>4</v>
      </c>
      <c r="G1369" s="17" t="s">
        <v>5146</v>
      </c>
      <c r="H1369" s="20" t="s">
        <v>5147</v>
      </c>
      <c r="I1369" s="18" t="s">
        <v>1453</v>
      </c>
      <c r="J1369" s="17" t="s">
        <v>4955</v>
      </c>
      <c r="K1369" s="17"/>
      <c r="L1369" s="17"/>
      <c r="M1369" s="17" t="s">
        <v>5148</v>
      </c>
      <c r="N1369" s="17" t="s">
        <v>4383</v>
      </c>
      <c r="O1369" s="17"/>
      <c r="P1369" s="23"/>
      <c r="Q1369" s="17" t="s">
        <v>4756</v>
      </c>
      <c r="R1369" s="17" t="s">
        <v>4756</v>
      </c>
      <c r="S1369" s="17" t="s">
        <v>5542</v>
      </c>
    </row>
    <row r="1370" spans="1:19" s="21" customFormat="1" hidden="1" x14ac:dyDescent="0.15">
      <c r="A1370" s="34">
        <v>1369</v>
      </c>
      <c r="B1370" s="35" t="s">
        <v>4881</v>
      </c>
      <c r="C1370" s="17" t="s">
        <v>4926</v>
      </c>
      <c r="D1370" s="25" t="s">
        <v>1552</v>
      </c>
      <c r="E1370" s="18" t="s">
        <v>1744</v>
      </c>
      <c r="F1370" s="22">
        <v>1</v>
      </c>
      <c r="G1370" s="17" t="s">
        <v>5149</v>
      </c>
      <c r="H1370" s="20" t="s">
        <v>5150</v>
      </c>
      <c r="I1370" s="18" t="s">
        <v>1453</v>
      </c>
      <c r="J1370" s="17"/>
      <c r="K1370" s="17"/>
      <c r="L1370" s="17"/>
      <c r="M1370" s="17" t="s">
        <v>5151</v>
      </c>
      <c r="N1370" s="17"/>
      <c r="O1370" s="17"/>
      <c r="P1370" s="23"/>
      <c r="Q1370" s="17" t="s">
        <v>4756</v>
      </c>
      <c r="R1370" s="17" t="s">
        <v>4756</v>
      </c>
      <c r="S1370" s="17" t="s">
        <v>5151</v>
      </c>
    </row>
    <row r="1371" spans="1:19" s="21" customFormat="1" hidden="1" x14ac:dyDescent="0.15">
      <c r="A1371" s="34">
        <v>1370</v>
      </c>
      <c r="B1371" s="35" t="s">
        <v>4881</v>
      </c>
      <c r="C1371" s="17" t="s">
        <v>4926</v>
      </c>
      <c r="D1371" s="25" t="s">
        <v>1552</v>
      </c>
      <c r="E1371" s="18" t="s">
        <v>1744</v>
      </c>
      <c r="F1371" s="22">
        <v>6</v>
      </c>
      <c r="G1371" s="17" t="s">
        <v>5152</v>
      </c>
      <c r="H1371" s="20" t="s">
        <v>5153</v>
      </c>
      <c r="I1371" s="18" t="s">
        <v>1453</v>
      </c>
      <c r="J1371" s="17"/>
      <c r="K1371" s="17"/>
      <c r="L1371" s="17"/>
      <c r="M1371" s="17" t="s">
        <v>5154</v>
      </c>
      <c r="N1371" s="17"/>
      <c r="O1371" s="17"/>
      <c r="P1371" s="23"/>
      <c r="Q1371" s="17" t="s">
        <v>4756</v>
      </c>
      <c r="R1371" s="17" t="s">
        <v>4756</v>
      </c>
      <c r="S1371" s="17" t="s">
        <v>5154</v>
      </c>
    </row>
    <row r="1372" spans="1:19" s="21" customFormat="1" hidden="1" x14ac:dyDescent="0.15">
      <c r="A1372" s="34">
        <v>1371</v>
      </c>
      <c r="B1372" s="35" t="s">
        <v>4881</v>
      </c>
      <c r="C1372" s="17" t="s">
        <v>4926</v>
      </c>
      <c r="D1372" s="25" t="s">
        <v>1552</v>
      </c>
      <c r="E1372" s="18" t="s">
        <v>1744</v>
      </c>
      <c r="F1372" s="22">
        <v>10</v>
      </c>
      <c r="G1372" s="17" t="s">
        <v>5155</v>
      </c>
      <c r="H1372" s="20" t="s">
        <v>5156</v>
      </c>
      <c r="I1372" s="18" t="s">
        <v>1453</v>
      </c>
      <c r="J1372" s="17"/>
      <c r="K1372" s="17"/>
      <c r="L1372" s="17"/>
      <c r="M1372" s="17" t="s">
        <v>5157</v>
      </c>
      <c r="N1372" s="17"/>
      <c r="O1372" s="17"/>
      <c r="P1372" s="23"/>
      <c r="Q1372" s="17" t="s">
        <v>4756</v>
      </c>
      <c r="R1372" s="17" t="s">
        <v>4756</v>
      </c>
      <c r="S1372" s="17" t="s">
        <v>5157</v>
      </c>
    </row>
    <row r="1373" spans="1:19" s="21" customFormat="1" hidden="1" x14ac:dyDescent="0.15">
      <c r="A1373" s="34">
        <v>1372</v>
      </c>
      <c r="B1373" s="35" t="s">
        <v>4881</v>
      </c>
      <c r="C1373" s="17" t="s">
        <v>4926</v>
      </c>
      <c r="D1373" s="25" t="s">
        <v>1552</v>
      </c>
      <c r="E1373" s="18" t="s">
        <v>1451</v>
      </c>
      <c r="F1373" s="22">
        <v>9</v>
      </c>
      <c r="G1373" s="17" t="s">
        <v>5158</v>
      </c>
      <c r="H1373" s="20" t="s">
        <v>5159</v>
      </c>
      <c r="I1373" s="18" t="s">
        <v>339</v>
      </c>
      <c r="J1373" s="17" t="s">
        <v>1489</v>
      </c>
      <c r="K1373" s="17" t="s">
        <v>1463</v>
      </c>
      <c r="L1373" s="17"/>
      <c r="M1373" s="17" t="s">
        <v>5160</v>
      </c>
      <c r="N1373" s="17"/>
      <c r="O1373" s="17"/>
      <c r="P1373" s="23"/>
      <c r="Q1373" s="17">
        <v>3</v>
      </c>
      <c r="R1373" s="17">
        <v>1</v>
      </c>
      <c r="S1373" s="17" t="s">
        <v>5160</v>
      </c>
    </row>
    <row r="1374" spans="1:19" s="21" customFormat="1" hidden="1" x14ac:dyDescent="0.15">
      <c r="A1374" s="34">
        <v>1373</v>
      </c>
      <c r="B1374" s="35" t="s">
        <v>4881</v>
      </c>
      <c r="C1374" s="17" t="s">
        <v>4926</v>
      </c>
      <c r="D1374" s="25" t="s">
        <v>1552</v>
      </c>
      <c r="E1374" s="18" t="s">
        <v>1451</v>
      </c>
      <c r="F1374" s="22">
        <v>9</v>
      </c>
      <c r="G1374" s="17" t="s">
        <v>5161</v>
      </c>
      <c r="H1374" s="20" t="s">
        <v>5162</v>
      </c>
      <c r="I1374" s="18" t="s">
        <v>339</v>
      </c>
      <c r="J1374" s="17" t="s">
        <v>357</v>
      </c>
      <c r="K1374" s="17"/>
      <c r="L1374" s="17"/>
      <c r="M1374" s="17" t="s">
        <v>5163</v>
      </c>
      <c r="N1374" s="17"/>
      <c r="O1374" s="17"/>
      <c r="P1374" s="23"/>
      <c r="Q1374" s="17">
        <v>3</v>
      </c>
      <c r="R1374" s="17">
        <v>3</v>
      </c>
      <c r="S1374" s="17" t="s">
        <v>5163</v>
      </c>
    </row>
    <row r="1375" spans="1:19" s="21" customFormat="1" hidden="1" x14ac:dyDescent="0.15">
      <c r="A1375" s="34">
        <v>1374</v>
      </c>
      <c r="B1375" s="35" t="s">
        <v>4881</v>
      </c>
      <c r="C1375" s="17" t="s">
        <v>4926</v>
      </c>
      <c r="D1375" s="25" t="s">
        <v>1552</v>
      </c>
      <c r="E1375" s="18" t="s">
        <v>1451</v>
      </c>
      <c r="F1375" s="22">
        <v>3</v>
      </c>
      <c r="G1375" s="17" t="s">
        <v>5164</v>
      </c>
      <c r="H1375" s="20" t="s">
        <v>5165</v>
      </c>
      <c r="I1375" s="18" t="s">
        <v>1453</v>
      </c>
      <c r="J1375" s="17"/>
      <c r="K1375" s="17"/>
      <c r="L1375" s="17"/>
      <c r="M1375" s="17" t="s">
        <v>5166</v>
      </c>
      <c r="N1375" s="17"/>
      <c r="O1375" s="17"/>
      <c r="P1375" s="23"/>
      <c r="Q1375" s="17" t="s">
        <v>4756</v>
      </c>
      <c r="R1375" s="17" t="s">
        <v>4756</v>
      </c>
      <c r="S1375" s="17" t="s">
        <v>5166</v>
      </c>
    </row>
    <row r="1376" spans="1:19" s="21" customFormat="1" hidden="1" x14ac:dyDescent="0.15">
      <c r="A1376" s="34">
        <v>1375</v>
      </c>
      <c r="B1376" s="35" t="s">
        <v>4881</v>
      </c>
      <c r="C1376" s="17" t="s">
        <v>4926</v>
      </c>
      <c r="D1376" s="25" t="s">
        <v>1552</v>
      </c>
      <c r="E1376" s="18" t="s">
        <v>1441</v>
      </c>
      <c r="F1376" s="22">
        <v>14</v>
      </c>
      <c r="G1376" s="17" t="s">
        <v>5167</v>
      </c>
      <c r="H1376" s="20" t="s">
        <v>5168</v>
      </c>
      <c r="I1376" s="18" t="s">
        <v>339</v>
      </c>
      <c r="J1376" s="17" t="s">
        <v>4456</v>
      </c>
      <c r="K1376" s="17" t="s">
        <v>1463</v>
      </c>
      <c r="L1376" s="17"/>
      <c r="M1376" s="17" t="s">
        <v>3311</v>
      </c>
      <c r="N1376" s="17" t="s">
        <v>5169</v>
      </c>
      <c r="O1376" s="17" t="s">
        <v>5170</v>
      </c>
      <c r="P1376" s="23"/>
      <c r="Q1376" s="17">
        <v>6</v>
      </c>
      <c r="R1376" s="17">
        <v>5</v>
      </c>
      <c r="S1376" s="17" t="s">
        <v>5543</v>
      </c>
    </row>
    <row r="1377" spans="1:19" s="21" customFormat="1" hidden="1" x14ac:dyDescent="0.15">
      <c r="A1377" s="34">
        <v>1376</v>
      </c>
      <c r="B1377" s="35" t="s">
        <v>4881</v>
      </c>
      <c r="C1377" s="17" t="s">
        <v>4926</v>
      </c>
      <c r="D1377" s="25" t="s">
        <v>1552</v>
      </c>
      <c r="E1377" s="18" t="s">
        <v>1441</v>
      </c>
      <c r="F1377" s="22">
        <v>17</v>
      </c>
      <c r="G1377" s="17" t="s">
        <v>5171</v>
      </c>
      <c r="H1377" s="20" t="s">
        <v>5172</v>
      </c>
      <c r="I1377" s="18" t="s">
        <v>339</v>
      </c>
      <c r="J1377" s="17" t="s">
        <v>2678</v>
      </c>
      <c r="K1377" s="17"/>
      <c r="L1377" s="17"/>
      <c r="M1377" s="17" t="s">
        <v>5173</v>
      </c>
      <c r="N1377" s="17"/>
      <c r="O1377" s="17"/>
      <c r="P1377" s="23"/>
      <c r="Q1377" s="17">
        <v>6</v>
      </c>
      <c r="R1377" s="17">
        <v>6</v>
      </c>
      <c r="S1377" s="17" t="s">
        <v>5173</v>
      </c>
    </row>
    <row r="1378" spans="1:19" s="21" customFormat="1" hidden="1" x14ac:dyDescent="0.15">
      <c r="A1378" s="34">
        <v>1377</v>
      </c>
      <c r="B1378" s="35" t="s">
        <v>4881</v>
      </c>
      <c r="C1378" s="17" t="s">
        <v>4926</v>
      </c>
      <c r="D1378" s="25" t="s">
        <v>1552</v>
      </c>
      <c r="E1378" s="18" t="s">
        <v>1441</v>
      </c>
      <c r="F1378" s="22">
        <v>7</v>
      </c>
      <c r="G1378" s="17" t="s">
        <v>5174</v>
      </c>
      <c r="H1378" s="20" t="s">
        <v>5175</v>
      </c>
      <c r="I1378" s="18" t="s">
        <v>339</v>
      </c>
      <c r="J1378" s="17" t="s">
        <v>4454</v>
      </c>
      <c r="K1378" s="17" t="s">
        <v>1493</v>
      </c>
      <c r="L1378" s="17"/>
      <c r="M1378" s="17" t="s">
        <v>2755</v>
      </c>
      <c r="N1378" s="17" t="s">
        <v>5176</v>
      </c>
      <c r="O1378" s="17" t="s">
        <v>4950</v>
      </c>
      <c r="P1378" s="23"/>
      <c r="Q1378" s="17">
        <v>2</v>
      </c>
      <c r="R1378" s="17">
        <v>1</v>
      </c>
      <c r="S1378" s="17" t="s">
        <v>5544</v>
      </c>
    </row>
    <row r="1379" spans="1:19" s="21" customFormat="1" hidden="1" x14ac:dyDescent="0.15">
      <c r="A1379" s="34">
        <v>1378</v>
      </c>
      <c r="B1379" s="35" t="s">
        <v>4881</v>
      </c>
      <c r="C1379" s="17" t="s">
        <v>4926</v>
      </c>
      <c r="D1379" s="25" t="s">
        <v>1552</v>
      </c>
      <c r="E1379" s="18" t="s">
        <v>1441</v>
      </c>
      <c r="F1379" s="22">
        <v>8</v>
      </c>
      <c r="G1379" s="17" t="s">
        <v>5177</v>
      </c>
      <c r="H1379" s="20" t="s">
        <v>5178</v>
      </c>
      <c r="I1379" s="18" t="s">
        <v>339</v>
      </c>
      <c r="J1379" s="17" t="s">
        <v>1537</v>
      </c>
      <c r="K1379" s="17"/>
      <c r="L1379" s="17"/>
      <c r="M1379" s="17" t="s">
        <v>5179</v>
      </c>
      <c r="N1379" s="17" t="s">
        <v>5180</v>
      </c>
      <c r="O1379" s="17"/>
      <c r="P1379" s="23"/>
      <c r="Q1379" s="17">
        <v>6</v>
      </c>
      <c r="R1379" s="17">
        <v>6</v>
      </c>
      <c r="S1379" s="17" t="s">
        <v>5545</v>
      </c>
    </row>
    <row r="1380" spans="1:19" s="21" customFormat="1" hidden="1" x14ac:dyDescent="0.15">
      <c r="A1380" s="34">
        <v>1379</v>
      </c>
      <c r="B1380" s="35" t="s">
        <v>4881</v>
      </c>
      <c r="C1380" s="17" t="s">
        <v>4926</v>
      </c>
      <c r="D1380" s="25" t="s">
        <v>1552</v>
      </c>
      <c r="E1380" s="18" t="s">
        <v>1441</v>
      </c>
      <c r="F1380" s="22">
        <v>10</v>
      </c>
      <c r="G1380" s="17" t="s">
        <v>5181</v>
      </c>
      <c r="H1380" s="20" t="s">
        <v>5182</v>
      </c>
      <c r="I1380" s="18" t="s">
        <v>1453</v>
      </c>
      <c r="J1380" s="17"/>
      <c r="K1380" s="17"/>
      <c r="L1380" s="17"/>
      <c r="M1380" s="17" t="s">
        <v>5183</v>
      </c>
      <c r="N1380" s="17" t="s">
        <v>4483</v>
      </c>
      <c r="O1380" s="17"/>
      <c r="P1380" s="23"/>
      <c r="Q1380" s="17" t="s">
        <v>4756</v>
      </c>
      <c r="R1380" s="17" t="s">
        <v>4756</v>
      </c>
      <c r="S1380" s="17" t="s">
        <v>5546</v>
      </c>
    </row>
    <row r="1381" spans="1:19" s="21" customFormat="1" hidden="1" x14ac:dyDescent="0.15">
      <c r="A1381" s="34">
        <v>1380</v>
      </c>
      <c r="B1381" s="35" t="s">
        <v>4881</v>
      </c>
      <c r="C1381" s="17" t="s">
        <v>4926</v>
      </c>
      <c r="D1381" s="25" t="s">
        <v>1552</v>
      </c>
      <c r="E1381" s="18" t="s">
        <v>1431</v>
      </c>
      <c r="F1381" s="22">
        <v>18</v>
      </c>
      <c r="G1381" s="17" t="s">
        <v>5184</v>
      </c>
      <c r="H1381" s="20" t="s">
        <v>5185</v>
      </c>
      <c r="I1381" s="18" t="s">
        <v>339</v>
      </c>
      <c r="J1381" s="17" t="s">
        <v>1484</v>
      </c>
      <c r="K1381" s="17" t="s">
        <v>4456</v>
      </c>
      <c r="L1381" s="17" t="s">
        <v>1493</v>
      </c>
      <c r="M1381" s="17" t="s">
        <v>5186</v>
      </c>
      <c r="N1381" s="17" t="s">
        <v>5030</v>
      </c>
      <c r="O1381" s="17"/>
      <c r="P1381" s="23"/>
      <c r="Q1381" s="17">
        <v>7</v>
      </c>
      <c r="R1381" s="17">
        <v>9</v>
      </c>
      <c r="S1381" s="17" t="s">
        <v>5547</v>
      </c>
    </row>
    <row r="1382" spans="1:19" s="21" customFormat="1" hidden="1" x14ac:dyDescent="0.15">
      <c r="A1382" s="34">
        <v>1381</v>
      </c>
      <c r="B1382" s="35" t="s">
        <v>4881</v>
      </c>
      <c r="C1382" s="17" t="s">
        <v>4926</v>
      </c>
      <c r="D1382" s="25" t="s">
        <v>1552</v>
      </c>
      <c r="E1382" s="18" t="s">
        <v>1431</v>
      </c>
      <c r="F1382" s="22">
        <v>21</v>
      </c>
      <c r="G1382" s="17" t="s">
        <v>5187</v>
      </c>
      <c r="H1382" s="20" t="s">
        <v>5188</v>
      </c>
      <c r="I1382" s="18" t="s">
        <v>339</v>
      </c>
      <c r="J1382" s="17" t="s">
        <v>1484</v>
      </c>
      <c r="K1382" s="17" t="s">
        <v>4454</v>
      </c>
      <c r="L1382" s="17" t="s">
        <v>1470</v>
      </c>
      <c r="M1382" s="17" t="s">
        <v>5189</v>
      </c>
      <c r="N1382" s="17" t="s">
        <v>5030</v>
      </c>
      <c r="O1382" s="17"/>
      <c r="P1382" s="23"/>
      <c r="Q1382" s="17">
        <v>4</v>
      </c>
      <c r="R1382" s="17">
        <v>8</v>
      </c>
      <c r="S1382" s="17" t="s">
        <v>5548</v>
      </c>
    </row>
    <row r="1383" spans="1:19" s="21" customFormat="1" hidden="1" x14ac:dyDescent="0.15">
      <c r="A1383" s="34">
        <v>1382</v>
      </c>
      <c r="B1383" s="35" t="s">
        <v>4881</v>
      </c>
      <c r="C1383" s="17" t="s">
        <v>4926</v>
      </c>
      <c r="D1383" s="25" t="s">
        <v>1552</v>
      </c>
      <c r="E1383" s="18" t="s">
        <v>1431</v>
      </c>
      <c r="F1383" s="22">
        <v>10</v>
      </c>
      <c r="G1383" s="17" t="s">
        <v>5190</v>
      </c>
      <c r="H1383" s="20" t="s">
        <v>5191</v>
      </c>
      <c r="I1383" s="18" t="s">
        <v>288</v>
      </c>
      <c r="J1383" s="17"/>
      <c r="K1383" s="17"/>
      <c r="L1383" s="17"/>
      <c r="M1383" s="17" t="s">
        <v>5192</v>
      </c>
      <c r="N1383" s="17"/>
      <c r="O1383" s="17"/>
      <c r="P1383" s="23">
        <v>1</v>
      </c>
      <c r="Q1383" s="17" t="s">
        <v>4756</v>
      </c>
      <c r="R1383" s="17" t="s">
        <v>4756</v>
      </c>
      <c r="S1383" s="17" t="s">
        <v>5192</v>
      </c>
    </row>
    <row r="1384" spans="1:19" s="21" customFormat="1" hidden="1" x14ac:dyDescent="0.15">
      <c r="A1384" s="34">
        <v>1383</v>
      </c>
      <c r="B1384" s="35" t="s">
        <v>4881</v>
      </c>
      <c r="C1384" s="17" t="s">
        <v>4926</v>
      </c>
      <c r="D1384" s="25" t="s">
        <v>1518</v>
      </c>
      <c r="E1384" s="18" t="s">
        <v>1744</v>
      </c>
      <c r="F1384" s="22">
        <v>13</v>
      </c>
      <c r="G1384" s="17" t="s">
        <v>5193</v>
      </c>
      <c r="H1384" s="20" t="s">
        <v>5194</v>
      </c>
      <c r="I1384" s="18" t="s">
        <v>339</v>
      </c>
      <c r="J1384" s="17" t="s">
        <v>1890</v>
      </c>
      <c r="K1384" s="17"/>
      <c r="L1384" s="17"/>
      <c r="M1384" s="17" t="s">
        <v>2595</v>
      </c>
      <c r="N1384" s="17" t="s">
        <v>4196</v>
      </c>
      <c r="O1384" s="17"/>
      <c r="P1384" s="23"/>
      <c r="Q1384" s="17">
        <v>1</v>
      </c>
      <c r="R1384" s="17">
        <v>3</v>
      </c>
      <c r="S1384" s="17" t="s">
        <v>5549</v>
      </c>
    </row>
    <row r="1385" spans="1:19" s="21" customFormat="1" hidden="1" x14ac:dyDescent="0.15">
      <c r="A1385" s="34">
        <v>1384</v>
      </c>
      <c r="B1385" s="35" t="s">
        <v>4881</v>
      </c>
      <c r="C1385" s="17" t="s">
        <v>4926</v>
      </c>
      <c r="D1385" s="25" t="s">
        <v>1518</v>
      </c>
      <c r="E1385" s="18" t="s">
        <v>1744</v>
      </c>
      <c r="F1385" s="22">
        <v>4</v>
      </c>
      <c r="G1385" s="17" t="s">
        <v>5195</v>
      </c>
      <c r="H1385" s="20" t="s">
        <v>5196</v>
      </c>
      <c r="I1385" s="18" t="s">
        <v>339</v>
      </c>
      <c r="J1385" s="17" t="s">
        <v>2531</v>
      </c>
      <c r="K1385" s="17"/>
      <c r="L1385" s="17"/>
      <c r="M1385" s="17" t="s">
        <v>5197</v>
      </c>
      <c r="N1385" s="17"/>
      <c r="O1385" s="17"/>
      <c r="P1385" s="23"/>
      <c r="Q1385" s="17">
        <v>1</v>
      </c>
      <c r="R1385" s="17">
        <v>1</v>
      </c>
      <c r="S1385" s="17" t="s">
        <v>5197</v>
      </c>
    </row>
    <row r="1386" spans="1:19" s="21" customFormat="1" hidden="1" x14ac:dyDescent="0.15">
      <c r="A1386" s="34">
        <v>1385</v>
      </c>
      <c r="B1386" s="35" t="s">
        <v>4881</v>
      </c>
      <c r="C1386" s="17" t="s">
        <v>4926</v>
      </c>
      <c r="D1386" s="25" t="s">
        <v>1518</v>
      </c>
      <c r="E1386" s="18" t="s">
        <v>1744</v>
      </c>
      <c r="F1386" s="22">
        <v>6</v>
      </c>
      <c r="G1386" s="17" t="s">
        <v>5198</v>
      </c>
      <c r="H1386" s="20" t="s">
        <v>5199</v>
      </c>
      <c r="I1386" s="18" t="s">
        <v>339</v>
      </c>
      <c r="J1386" s="17" t="s">
        <v>4410</v>
      </c>
      <c r="K1386" s="17" t="s">
        <v>1493</v>
      </c>
      <c r="L1386" s="17"/>
      <c r="M1386" s="17"/>
      <c r="N1386" s="17"/>
      <c r="O1386" s="17"/>
      <c r="P1386" s="23"/>
      <c r="Q1386" s="17">
        <v>2</v>
      </c>
      <c r="R1386" s="17">
        <v>2</v>
      </c>
      <c r="S1386" s="17" t="s">
        <v>4756</v>
      </c>
    </row>
    <row r="1387" spans="1:19" s="21" customFormat="1" hidden="1" x14ac:dyDescent="0.15">
      <c r="A1387" s="34">
        <v>1386</v>
      </c>
      <c r="B1387" s="35" t="s">
        <v>4881</v>
      </c>
      <c r="C1387" s="17" t="s">
        <v>4926</v>
      </c>
      <c r="D1387" s="25" t="s">
        <v>1518</v>
      </c>
      <c r="E1387" s="18" t="s">
        <v>1744</v>
      </c>
      <c r="F1387" s="22">
        <v>8</v>
      </c>
      <c r="G1387" s="17" t="s">
        <v>5200</v>
      </c>
      <c r="H1387" s="20" t="s">
        <v>5201</v>
      </c>
      <c r="I1387" s="18" t="s">
        <v>339</v>
      </c>
      <c r="J1387" s="17" t="s">
        <v>4410</v>
      </c>
      <c r="K1387" s="17" t="s">
        <v>1529</v>
      </c>
      <c r="L1387" s="17"/>
      <c r="M1387" s="17" t="s">
        <v>5202</v>
      </c>
      <c r="N1387" s="17"/>
      <c r="O1387" s="17"/>
      <c r="P1387" s="23"/>
      <c r="Q1387" s="17">
        <v>1</v>
      </c>
      <c r="R1387" s="17">
        <v>3</v>
      </c>
      <c r="S1387" s="17" t="s">
        <v>5202</v>
      </c>
    </row>
    <row r="1388" spans="1:19" s="21" customFormat="1" hidden="1" x14ac:dyDescent="0.15">
      <c r="A1388" s="34">
        <v>1387</v>
      </c>
      <c r="B1388" s="35" t="s">
        <v>4881</v>
      </c>
      <c r="C1388" s="17" t="s">
        <v>4926</v>
      </c>
      <c r="D1388" s="25" t="s">
        <v>1518</v>
      </c>
      <c r="E1388" s="18" t="s">
        <v>1744</v>
      </c>
      <c r="F1388" s="22">
        <v>23</v>
      </c>
      <c r="G1388" s="17" t="s">
        <v>5203</v>
      </c>
      <c r="H1388" s="20" t="s">
        <v>5204</v>
      </c>
      <c r="I1388" s="18" t="s">
        <v>339</v>
      </c>
      <c r="J1388" s="17" t="s">
        <v>4724</v>
      </c>
      <c r="K1388" s="17"/>
      <c r="L1388" s="17"/>
      <c r="M1388" s="17" t="s">
        <v>1707</v>
      </c>
      <c r="N1388" s="17" t="s">
        <v>4426</v>
      </c>
      <c r="O1388" s="17"/>
      <c r="P1388" s="23"/>
      <c r="Q1388" s="17">
        <v>5</v>
      </c>
      <c r="R1388" s="17">
        <v>6</v>
      </c>
      <c r="S1388" s="17" t="s">
        <v>5550</v>
      </c>
    </row>
    <row r="1389" spans="1:19" s="21" customFormat="1" hidden="1" x14ac:dyDescent="0.15">
      <c r="A1389" s="34">
        <v>1388</v>
      </c>
      <c r="B1389" s="35" t="s">
        <v>4881</v>
      </c>
      <c r="C1389" s="17" t="s">
        <v>4926</v>
      </c>
      <c r="D1389" s="25" t="s">
        <v>1518</v>
      </c>
      <c r="E1389" s="18" t="s">
        <v>1744</v>
      </c>
      <c r="F1389" s="22">
        <v>7</v>
      </c>
      <c r="G1389" s="17" t="s">
        <v>5205</v>
      </c>
      <c r="H1389" s="20" t="s">
        <v>5206</v>
      </c>
      <c r="I1389" s="18" t="s">
        <v>339</v>
      </c>
      <c r="J1389" s="17" t="s">
        <v>1489</v>
      </c>
      <c r="K1389" s="17" t="s">
        <v>1493</v>
      </c>
      <c r="L1389" s="17"/>
      <c r="M1389" s="17" t="s">
        <v>5207</v>
      </c>
      <c r="N1389" s="17"/>
      <c r="O1389" s="17"/>
      <c r="P1389" s="23"/>
      <c r="Q1389" s="17">
        <v>2</v>
      </c>
      <c r="R1389" s="17">
        <v>2</v>
      </c>
      <c r="S1389" s="17" t="s">
        <v>5207</v>
      </c>
    </row>
    <row r="1390" spans="1:19" s="21" customFormat="1" hidden="1" x14ac:dyDescent="0.15">
      <c r="A1390" s="34">
        <v>1389</v>
      </c>
      <c r="B1390" s="35" t="s">
        <v>4881</v>
      </c>
      <c r="C1390" s="17" t="s">
        <v>4926</v>
      </c>
      <c r="D1390" s="25" t="s">
        <v>1518</v>
      </c>
      <c r="E1390" s="18" t="s">
        <v>1744</v>
      </c>
      <c r="F1390" s="22">
        <v>8</v>
      </c>
      <c r="G1390" s="17" t="s">
        <v>5208</v>
      </c>
      <c r="H1390" s="20" t="s">
        <v>5209</v>
      </c>
      <c r="I1390" s="18" t="s">
        <v>339</v>
      </c>
      <c r="J1390" s="17" t="s">
        <v>4410</v>
      </c>
      <c r="K1390" s="17" t="s">
        <v>1493</v>
      </c>
      <c r="L1390" s="17"/>
      <c r="M1390" s="17" t="s">
        <v>5210</v>
      </c>
      <c r="N1390" s="17"/>
      <c r="O1390" s="17"/>
      <c r="P1390" s="23"/>
      <c r="Q1390" s="17">
        <v>2</v>
      </c>
      <c r="R1390" s="17">
        <v>2</v>
      </c>
      <c r="S1390" s="17" t="s">
        <v>5210</v>
      </c>
    </row>
    <row r="1391" spans="1:19" s="21" customFormat="1" hidden="1" x14ac:dyDescent="0.15">
      <c r="A1391" s="34">
        <v>1390</v>
      </c>
      <c r="B1391" s="35" t="s">
        <v>4881</v>
      </c>
      <c r="C1391" s="17" t="s">
        <v>4926</v>
      </c>
      <c r="D1391" s="25" t="s">
        <v>1518</v>
      </c>
      <c r="E1391" s="18" t="s">
        <v>1744</v>
      </c>
      <c r="F1391" s="22">
        <v>10</v>
      </c>
      <c r="G1391" s="17" t="s">
        <v>5211</v>
      </c>
      <c r="H1391" s="20" t="s">
        <v>5212</v>
      </c>
      <c r="I1391" s="18" t="s">
        <v>1453</v>
      </c>
      <c r="J1391" s="17"/>
      <c r="K1391" s="17"/>
      <c r="L1391" s="17"/>
      <c r="M1391" s="17" t="s">
        <v>5213</v>
      </c>
      <c r="N1391" s="17" t="s">
        <v>4383</v>
      </c>
      <c r="O1391" s="17"/>
      <c r="P1391" s="23"/>
      <c r="Q1391" s="17" t="s">
        <v>4756</v>
      </c>
      <c r="R1391" s="17" t="s">
        <v>4756</v>
      </c>
      <c r="S1391" s="17" t="s">
        <v>5551</v>
      </c>
    </row>
    <row r="1392" spans="1:19" s="21" customFormat="1" hidden="1" x14ac:dyDescent="0.15">
      <c r="A1392" s="34">
        <v>1391</v>
      </c>
      <c r="B1392" s="35" t="s">
        <v>4881</v>
      </c>
      <c r="C1392" s="17" t="s">
        <v>4926</v>
      </c>
      <c r="D1392" s="25" t="s">
        <v>1518</v>
      </c>
      <c r="E1392" s="18" t="s">
        <v>1744</v>
      </c>
      <c r="F1392" s="22">
        <v>5</v>
      </c>
      <c r="G1392" s="17" t="s">
        <v>5214</v>
      </c>
      <c r="H1392" s="20" t="s">
        <v>5215</v>
      </c>
      <c r="I1392" s="18" t="s">
        <v>1453</v>
      </c>
      <c r="J1392" s="17" t="s">
        <v>4955</v>
      </c>
      <c r="K1392" s="17"/>
      <c r="L1392" s="17"/>
      <c r="M1392" s="17" t="s">
        <v>5216</v>
      </c>
      <c r="N1392" s="17" t="s">
        <v>4383</v>
      </c>
      <c r="O1392" s="17"/>
      <c r="P1392" s="23"/>
      <c r="Q1392" s="17" t="s">
        <v>4756</v>
      </c>
      <c r="R1392" s="17" t="s">
        <v>4756</v>
      </c>
      <c r="S1392" s="17" t="s">
        <v>5552</v>
      </c>
    </row>
    <row r="1393" spans="1:19" s="21" customFormat="1" hidden="1" x14ac:dyDescent="0.15">
      <c r="A1393" s="34">
        <v>1392</v>
      </c>
      <c r="B1393" s="35" t="s">
        <v>4881</v>
      </c>
      <c r="C1393" s="17" t="s">
        <v>4926</v>
      </c>
      <c r="D1393" s="25" t="s">
        <v>1518</v>
      </c>
      <c r="E1393" s="18" t="s">
        <v>1744</v>
      </c>
      <c r="F1393" s="22">
        <v>6</v>
      </c>
      <c r="G1393" s="17" t="s">
        <v>5217</v>
      </c>
      <c r="H1393" s="20" t="s">
        <v>5218</v>
      </c>
      <c r="I1393" s="18" t="s">
        <v>1453</v>
      </c>
      <c r="J1393" s="17"/>
      <c r="K1393" s="17"/>
      <c r="L1393" s="17"/>
      <c r="M1393" s="17" t="s">
        <v>5219</v>
      </c>
      <c r="N1393" s="17"/>
      <c r="O1393" s="17"/>
      <c r="P1393" s="23"/>
      <c r="Q1393" s="17" t="s">
        <v>4756</v>
      </c>
      <c r="R1393" s="17" t="s">
        <v>4756</v>
      </c>
      <c r="S1393" s="17" t="s">
        <v>5219</v>
      </c>
    </row>
    <row r="1394" spans="1:19" s="21" customFormat="1" hidden="1" x14ac:dyDescent="0.15">
      <c r="A1394" s="34">
        <v>1393</v>
      </c>
      <c r="B1394" s="35" t="s">
        <v>4881</v>
      </c>
      <c r="C1394" s="17" t="s">
        <v>4926</v>
      </c>
      <c r="D1394" s="25" t="s">
        <v>1518</v>
      </c>
      <c r="E1394" s="18" t="s">
        <v>1451</v>
      </c>
      <c r="F1394" s="22">
        <v>9</v>
      </c>
      <c r="G1394" s="17" t="s">
        <v>5220</v>
      </c>
      <c r="H1394" s="20" t="s">
        <v>5221</v>
      </c>
      <c r="I1394" s="18" t="s">
        <v>339</v>
      </c>
      <c r="J1394" s="17" t="s">
        <v>4410</v>
      </c>
      <c r="K1394" s="17" t="s">
        <v>1463</v>
      </c>
      <c r="L1394" s="17"/>
      <c r="M1394" s="17" t="s">
        <v>5222</v>
      </c>
      <c r="N1394" s="17"/>
      <c r="O1394" s="17"/>
      <c r="P1394" s="23"/>
      <c r="Q1394" s="17">
        <v>4</v>
      </c>
      <c r="R1394" s="17">
        <v>3</v>
      </c>
      <c r="S1394" s="17" t="s">
        <v>5222</v>
      </c>
    </row>
    <row r="1395" spans="1:19" s="21" customFormat="1" hidden="1" x14ac:dyDescent="0.15">
      <c r="A1395" s="34">
        <v>1394</v>
      </c>
      <c r="B1395" s="35" t="s">
        <v>4881</v>
      </c>
      <c r="C1395" s="17" t="s">
        <v>4926</v>
      </c>
      <c r="D1395" s="25" t="s">
        <v>1518</v>
      </c>
      <c r="E1395" s="18" t="s">
        <v>1451</v>
      </c>
      <c r="F1395" s="22">
        <v>7</v>
      </c>
      <c r="G1395" s="17" t="s">
        <v>5223</v>
      </c>
      <c r="H1395" s="20" t="s">
        <v>5224</v>
      </c>
      <c r="I1395" s="18" t="s">
        <v>339</v>
      </c>
      <c r="J1395" s="17" t="s">
        <v>4410</v>
      </c>
      <c r="K1395" s="17" t="s">
        <v>1470</v>
      </c>
      <c r="L1395" s="17"/>
      <c r="M1395" s="17" t="s">
        <v>5225</v>
      </c>
      <c r="N1395" s="17"/>
      <c r="O1395" s="17"/>
      <c r="P1395" s="23"/>
      <c r="Q1395" s="17">
        <v>2</v>
      </c>
      <c r="R1395" s="17">
        <v>3</v>
      </c>
      <c r="S1395" s="17" t="s">
        <v>5225</v>
      </c>
    </row>
    <row r="1396" spans="1:19" s="21" customFormat="1" hidden="1" x14ac:dyDescent="0.15">
      <c r="A1396" s="34">
        <v>1395</v>
      </c>
      <c r="B1396" s="35" t="s">
        <v>4881</v>
      </c>
      <c r="C1396" s="17" t="s">
        <v>4926</v>
      </c>
      <c r="D1396" s="25" t="s">
        <v>1518</v>
      </c>
      <c r="E1396" s="18" t="s">
        <v>1451</v>
      </c>
      <c r="F1396" s="22">
        <v>19</v>
      </c>
      <c r="G1396" s="17" t="s">
        <v>5226</v>
      </c>
      <c r="H1396" s="20" t="s">
        <v>5227</v>
      </c>
      <c r="I1396" s="18" t="s">
        <v>339</v>
      </c>
      <c r="J1396" s="17" t="s">
        <v>4032</v>
      </c>
      <c r="K1396" s="17"/>
      <c r="L1396" s="17"/>
      <c r="M1396" s="17" t="s">
        <v>5228</v>
      </c>
      <c r="N1396" s="17"/>
      <c r="O1396" s="17"/>
      <c r="P1396" s="23"/>
      <c r="Q1396" s="17">
        <v>4</v>
      </c>
      <c r="R1396" s="17">
        <v>4</v>
      </c>
      <c r="S1396" s="17" t="s">
        <v>5228</v>
      </c>
    </row>
    <row r="1397" spans="1:19" s="21" customFormat="1" hidden="1" x14ac:dyDescent="0.15">
      <c r="A1397" s="34">
        <v>1396</v>
      </c>
      <c r="B1397" s="35" t="s">
        <v>4881</v>
      </c>
      <c r="C1397" s="17" t="s">
        <v>4926</v>
      </c>
      <c r="D1397" s="25" t="s">
        <v>1518</v>
      </c>
      <c r="E1397" s="18" t="s">
        <v>1451</v>
      </c>
      <c r="F1397" s="22">
        <v>6</v>
      </c>
      <c r="G1397" s="17" t="s">
        <v>5229</v>
      </c>
      <c r="H1397" s="20" t="s">
        <v>5230</v>
      </c>
      <c r="I1397" s="18" t="s">
        <v>1453</v>
      </c>
      <c r="J1397" s="17"/>
      <c r="K1397" s="17"/>
      <c r="L1397" s="17"/>
      <c r="M1397" s="17" t="s">
        <v>4549</v>
      </c>
      <c r="N1397" s="17"/>
      <c r="O1397" s="17"/>
      <c r="P1397" s="23"/>
      <c r="Q1397" s="17" t="s">
        <v>4756</v>
      </c>
      <c r="R1397" s="17" t="s">
        <v>4756</v>
      </c>
      <c r="S1397" s="17" t="s">
        <v>4549</v>
      </c>
    </row>
    <row r="1398" spans="1:19" s="21" customFormat="1" hidden="1" x14ac:dyDescent="0.15">
      <c r="A1398" s="34">
        <v>1397</v>
      </c>
      <c r="B1398" s="35" t="s">
        <v>4881</v>
      </c>
      <c r="C1398" s="17" t="s">
        <v>4926</v>
      </c>
      <c r="D1398" s="25" t="s">
        <v>1518</v>
      </c>
      <c r="E1398" s="18" t="s">
        <v>1441</v>
      </c>
      <c r="F1398" s="22">
        <v>18</v>
      </c>
      <c r="G1398" s="17" t="s">
        <v>5231</v>
      </c>
      <c r="H1398" s="20" t="s">
        <v>5232</v>
      </c>
      <c r="I1398" s="18" t="s">
        <v>339</v>
      </c>
      <c r="J1398" s="17" t="s">
        <v>1945</v>
      </c>
      <c r="K1398" s="17"/>
      <c r="L1398" s="17"/>
      <c r="M1398" s="17" t="s">
        <v>5233</v>
      </c>
      <c r="N1398" s="17"/>
      <c r="O1398" s="17"/>
      <c r="P1398" s="23"/>
      <c r="Q1398" s="17">
        <v>5</v>
      </c>
      <c r="R1398" s="17">
        <v>6</v>
      </c>
      <c r="S1398" s="17" t="s">
        <v>5233</v>
      </c>
    </row>
    <row r="1399" spans="1:19" s="21" customFormat="1" hidden="1" x14ac:dyDescent="0.15">
      <c r="A1399" s="34">
        <v>1398</v>
      </c>
      <c r="B1399" s="35" t="s">
        <v>4881</v>
      </c>
      <c r="C1399" s="17" t="s">
        <v>4926</v>
      </c>
      <c r="D1399" s="25" t="s">
        <v>1518</v>
      </c>
      <c r="E1399" s="18" t="s">
        <v>1441</v>
      </c>
      <c r="F1399" s="22">
        <v>9</v>
      </c>
      <c r="G1399" s="17" t="s">
        <v>5234</v>
      </c>
      <c r="H1399" s="20" t="s">
        <v>5235</v>
      </c>
      <c r="I1399" s="18" t="s">
        <v>339</v>
      </c>
      <c r="J1399" s="17" t="s">
        <v>4410</v>
      </c>
      <c r="K1399" s="17" t="s">
        <v>1470</v>
      </c>
      <c r="L1399" s="17"/>
      <c r="M1399" s="17" t="s">
        <v>5236</v>
      </c>
      <c r="N1399" s="17"/>
      <c r="O1399" s="17"/>
      <c r="P1399" s="23"/>
      <c r="Q1399" s="17">
        <v>2</v>
      </c>
      <c r="R1399" s="17">
        <v>3</v>
      </c>
      <c r="S1399" s="17" t="s">
        <v>5236</v>
      </c>
    </row>
    <row r="1400" spans="1:19" s="21" customFormat="1" hidden="1" x14ac:dyDescent="0.15">
      <c r="A1400" s="34">
        <v>1399</v>
      </c>
      <c r="B1400" s="35" t="s">
        <v>4881</v>
      </c>
      <c r="C1400" s="17" t="s">
        <v>4926</v>
      </c>
      <c r="D1400" s="25" t="s">
        <v>1518</v>
      </c>
      <c r="E1400" s="18" t="s">
        <v>1441</v>
      </c>
      <c r="F1400" s="22">
        <v>11</v>
      </c>
      <c r="G1400" s="17" t="s">
        <v>5237</v>
      </c>
      <c r="H1400" s="20" t="s">
        <v>5238</v>
      </c>
      <c r="I1400" s="18" t="s">
        <v>339</v>
      </c>
      <c r="J1400" s="17" t="s">
        <v>4454</v>
      </c>
      <c r="K1400" s="17" t="s">
        <v>1463</v>
      </c>
      <c r="L1400" s="17"/>
      <c r="M1400" s="17" t="s">
        <v>5239</v>
      </c>
      <c r="N1400" s="17" t="s">
        <v>4950</v>
      </c>
      <c r="O1400" s="17"/>
      <c r="P1400" s="23"/>
      <c r="Q1400" s="17">
        <v>2</v>
      </c>
      <c r="R1400" s="17">
        <v>2</v>
      </c>
      <c r="S1400" s="17" t="s">
        <v>5553</v>
      </c>
    </row>
    <row r="1401" spans="1:19" s="21" customFormat="1" hidden="1" x14ac:dyDescent="0.15">
      <c r="A1401" s="34">
        <v>1400</v>
      </c>
      <c r="B1401" s="35" t="s">
        <v>4881</v>
      </c>
      <c r="C1401" s="17" t="s">
        <v>4926</v>
      </c>
      <c r="D1401" s="25" t="s">
        <v>1518</v>
      </c>
      <c r="E1401" s="18" t="s">
        <v>1441</v>
      </c>
      <c r="F1401" s="22">
        <v>21</v>
      </c>
      <c r="G1401" s="17" t="s">
        <v>5240</v>
      </c>
      <c r="H1401" s="20" t="s">
        <v>5241</v>
      </c>
      <c r="I1401" s="18" t="s">
        <v>339</v>
      </c>
      <c r="J1401" s="17" t="s">
        <v>338</v>
      </c>
      <c r="K1401" s="17"/>
      <c r="L1401" s="17"/>
      <c r="M1401" s="17" t="s">
        <v>1707</v>
      </c>
      <c r="N1401" s="17" t="s">
        <v>5242</v>
      </c>
      <c r="O1401" s="17"/>
      <c r="P1401" s="23"/>
      <c r="Q1401" s="17">
        <v>7</v>
      </c>
      <c r="R1401" s="17">
        <v>7</v>
      </c>
      <c r="S1401" s="17" t="s">
        <v>5554</v>
      </c>
    </row>
    <row r="1402" spans="1:19" s="21" customFormat="1" hidden="1" x14ac:dyDescent="0.15">
      <c r="A1402" s="34">
        <v>1401</v>
      </c>
      <c r="B1402" s="35" t="s">
        <v>4881</v>
      </c>
      <c r="C1402" s="17" t="s">
        <v>4926</v>
      </c>
      <c r="D1402" s="25" t="s">
        <v>1518</v>
      </c>
      <c r="E1402" s="18" t="s">
        <v>1441</v>
      </c>
      <c r="F1402" s="22">
        <v>8</v>
      </c>
      <c r="G1402" s="17" t="s">
        <v>5243</v>
      </c>
      <c r="H1402" s="20" t="s">
        <v>5244</v>
      </c>
      <c r="I1402" s="18" t="s">
        <v>1453</v>
      </c>
      <c r="J1402" s="17"/>
      <c r="K1402" s="17"/>
      <c r="L1402" s="17"/>
      <c r="M1402" s="17" t="s">
        <v>5245</v>
      </c>
      <c r="N1402" s="17"/>
      <c r="O1402" s="17"/>
      <c r="P1402" s="23"/>
      <c r="Q1402" s="17" t="s">
        <v>4756</v>
      </c>
      <c r="R1402" s="17" t="s">
        <v>4756</v>
      </c>
      <c r="S1402" s="17" t="s">
        <v>5245</v>
      </c>
    </row>
    <row r="1403" spans="1:19" s="21" customFormat="1" hidden="1" x14ac:dyDescent="0.15">
      <c r="A1403" s="34">
        <v>1402</v>
      </c>
      <c r="B1403" s="35" t="s">
        <v>4881</v>
      </c>
      <c r="C1403" s="17" t="s">
        <v>4926</v>
      </c>
      <c r="D1403" s="25" t="s">
        <v>1518</v>
      </c>
      <c r="E1403" s="18" t="s">
        <v>1431</v>
      </c>
      <c r="F1403" s="22">
        <v>14</v>
      </c>
      <c r="G1403" s="17" t="s">
        <v>5246</v>
      </c>
      <c r="H1403" s="20" t="s">
        <v>5247</v>
      </c>
      <c r="I1403" s="18" t="s">
        <v>339</v>
      </c>
      <c r="J1403" s="17" t="s">
        <v>2472</v>
      </c>
      <c r="K1403" s="17"/>
      <c r="L1403" s="17"/>
      <c r="M1403" s="17" t="s">
        <v>5248</v>
      </c>
      <c r="N1403" s="17" t="s">
        <v>5249</v>
      </c>
      <c r="O1403" s="17"/>
      <c r="P1403" s="23"/>
      <c r="Q1403" s="17">
        <v>1</v>
      </c>
      <c r="R1403" s="17">
        <v>1</v>
      </c>
      <c r="S1403" s="17" t="s">
        <v>5555</v>
      </c>
    </row>
    <row r="1404" spans="1:19" s="21" customFormat="1" hidden="1" x14ac:dyDescent="0.15">
      <c r="A1404" s="34">
        <v>1403</v>
      </c>
      <c r="B1404" s="35" t="s">
        <v>4881</v>
      </c>
      <c r="C1404" s="17" t="s">
        <v>4926</v>
      </c>
      <c r="D1404" s="25" t="s">
        <v>1518</v>
      </c>
      <c r="E1404" s="18" t="s">
        <v>1431</v>
      </c>
      <c r="F1404" s="22">
        <v>18</v>
      </c>
      <c r="G1404" s="17" t="s">
        <v>5250</v>
      </c>
      <c r="H1404" s="20" t="s">
        <v>5251</v>
      </c>
      <c r="I1404" s="18" t="s">
        <v>339</v>
      </c>
      <c r="J1404" s="17" t="s">
        <v>1890</v>
      </c>
      <c r="K1404" s="17"/>
      <c r="L1404" s="17"/>
      <c r="M1404" s="17" t="s">
        <v>5252</v>
      </c>
      <c r="N1404" s="17" t="s">
        <v>5253</v>
      </c>
      <c r="O1404" s="17"/>
      <c r="P1404" s="23"/>
      <c r="Q1404" s="17">
        <v>4</v>
      </c>
      <c r="R1404" s="17">
        <v>4</v>
      </c>
      <c r="S1404" s="17" t="s">
        <v>5556</v>
      </c>
    </row>
    <row r="1405" spans="1:19" s="21" customFormat="1" hidden="1" x14ac:dyDescent="0.15">
      <c r="A1405" s="34">
        <v>1404</v>
      </c>
      <c r="B1405" s="35" t="s">
        <v>4881</v>
      </c>
      <c r="C1405" s="17" t="s">
        <v>4926</v>
      </c>
      <c r="D1405" s="25" t="s">
        <v>1518</v>
      </c>
      <c r="E1405" s="18" t="s">
        <v>1431</v>
      </c>
      <c r="F1405" s="22">
        <v>16</v>
      </c>
      <c r="G1405" s="17" t="s">
        <v>5254</v>
      </c>
      <c r="H1405" s="20" t="s">
        <v>5255</v>
      </c>
      <c r="I1405" s="18" t="s">
        <v>339</v>
      </c>
      <c r="J1405" s="17" t="s">
        <v>4179</v>
      </c>
      <c r="K1405" s="17" t="s">
        <v>1863</v>
      </c>
      <c r="L1405" s="17"/>
      <c r="M1405" s="17" t="s">
        <v>5256</v>
      </c>
      <c r="N1405" s="17" t="s">
        <v>5257</v>
      </c>
      <c r="O1405" s="17" t="s">
        <v>5258</v>
      </c>
      <c r="P1405" s="23"/>
      <c r="Q1405" s="17">
        <v>4</v>
      </c>
      <c r="R1405" s="17">
        <v>4</v>
      </c>
      <c r="S1405" s="17" t="s">
        <v>5557</v>
      </c>
    </row>
    <row r="1406" spans="1:19" s="21" customFormat="1" hidden="1" x14ac:dyDescent="0.15">
      <c r="A1406" s="34">
        <v>1405</v>
      </c>
      <c r="B1406" s="35" t="s">
        <v>4881</v>
      </c>
      <c r="C1406" s="17" t="s">
        <v>4926</v>
      </c>
      <c r="D1406" s="25" t="s">
        <v>1518</v>
      </c>
      <c r="E1406" s="18" t="s">
        <v>1431</v>
      </c>
      <c r="F1406" s="22">
        <v>10</v>
      </c>
      <c r="G1406" s="17" t="s">
        <v>5259</v>
      </c>
      <c r="H1406" s="20" t="s">
        <v>5260</v>
      </c>
      <c r="I1406" s="18" t="s">
        <v>1453</v>
      </c>
      <c r="J1406" s="17"/>
      <c r="K1406" s="17"/>
      <c r="L1406" s="17"/>
      <c r="M1406" s="17" t="s">
        <v>5261</v>
      </c>
      <c r="N1406" s="17"/>
      <c r="O1406" s="17"/>
      <c r="P1406" s="23"/>
      <c r="Q1406" s="17" t="s">
        <v>4756</v>
      </c>
      <c r="R1406" s="17" t="s">
        <v>4756</v>
      </c>
      <c r="S1406" s="17" t="s">
        <v>5261</v>
      </c>
    </row>
    <row r="1407" spans="1:19" s="21" customFormat="1" hidden="1" x14ac:dyDescent="0.15">
      <c r="A1407" s="34">
        <v>1406</v>
      </c>
      <c r="B1407" s="35" t="s">
        <v>4881</v>
      </c>
      <c r="C1407" s="17" t="s">
        <v>4926</v>
      </c>
      <c r="D1407" s="17" t="s">
        <v>1508</v>
      </c>
      <c r="E1407" s="18" t="s">
        <v>1431</v>
      </c>
      <c r="F1407" s="22">
        <v>27</v>
      </c>
      <c r="G1407" s="17" t="s">
        <v>5262</v>
      </c>
      <c r="H1407" s="20" t="s">
        <v>5263</v>
      </c>
      <c r="I1407" s="18" t="s">
        <v>339</v>
      </c>
      <c r="J1407" s="17" t="s">
        <v>4398</v>
      </c>
      <c r="K1407" s="17"/>
      <c r="L1407" s="17"/>
      <c r="M1407" s="17" t="s">
        <v>5264</v>
      </c>
      <c r="N1407" s="17" t="s">
        <v>5265</v>
      </c>
      <c r="O1407" s="17" t="s">
        <v>5266</v>
      </c>
      <c r="P1407" s="23"/>
      <c r="Q1407" s="17">
        <v>8</v>
      </c>
      <c r="R1407" s="17">
        <v>8</v>
      </c>
      <c r="S1407" s="17" t="s">
        <v>5558</v>
      </c>
    </row>
    <row r="1408" spans="1:19" s="21" customFormat="1" hidden="1" x14ac:dyDescent="0.15">
      <c r="A1408" s="34">
        <v>1407</v>
      </c>
      <c r="B1408" s="35" t="s">
        <v>4881</v>
      </c>
      <c r="C1408" s="17" t="s">
        <v>4926</v>
      </c>
      <c r="D1408" s="17" t="s">
        <v>1504</v>
      </c>
      <c r="E1408" s="18" t="s">
        <v>1431</v>
      </c>
      <c r="F1408" s="22">
        <v>18</v>
      </c>
      <c r="G1408" s="17" t="s">
        <v>5267</v>
      </c>
      <c r="H1408" s="20" t="s">
        <v>5268</v>
      </c>
      <c r="I1408" s="18" t="s">
        <v>339</v>
      </c>
      <c r="J1408" s="17" t="s">
        <v>4398</v>
      </c>
      <c r="K1408" s="17"/>
      <c r="L1408" s="17"/>
      <c r="M1408" s="17" t="s">
        <v>5269</v>
      </c>
      <c r="N1408" s="17" t="s">
        <v>5270</v>
      </c>
      <c r="O1408" s="17" t="s">
        <v>5271</v>
      </c>
      <c r="P1408" s="23"/>
      <c r="Q1408" s="17">
        <v>8</v>
      </c>
      <c r="R1408" s="17">
        <v>8</v>
      </c>
      <c r="S1408" s="17" t="s">
        <v>5559</v>
      </c>
    </row>
    <row r="1409" spans="1:19" s="21" customFormat="1" hidden="1" x14ac:dyDescent="0.15">
      <c r="A1409" s="34">
        <v>1408</v>
      </c>
      <c r="B1409" s="35" t="s">
        <v>4881</v>
      </c>
      <c r="C1409" s="17" t="s">
        <v>4926</v>
      </c>
      <c r="D1409" s="17" t="s">
        <v>1474</v>
      </c>
      <c r="E1409" s="18" t="s">
        <v>1451</v>
      </c>
      <c r="F1409" s="22">
        <v>8</v>
      </c>
      <c r="G1409" s="17" t="s">
        <v>5272</v>
      </c>
      <c r="H1409" s="20" t="s">
        <v>5273</v>
      </c>
      <c r="I1409" s="18" t="s">
        <v>339</v>
      </c>
      <c r="J1409" s="17" t="s">
        <v>1484</v>
      </c>
      <c r="K1409" s="17"/>
      <c r="L1409" s="17"/>
      <c r="M1409" s="17" t="s">
        <v>5274</v>
      </c>
      <c r="N1409" s="17"/>
      <c r="O1409" s="17"/>
      <c r="P1409" s="23"/>
      <c r="Q1409" s="17">
        <v>3</v>
      </c>
      <c r="R1409" s="17">
        <v>4</v>
      </c>
      <c r="S1409" s="17" t="s">
        <v>5274</v>
      </c>
    </row>
    <row r="1410" spans="1:19" s="21" customFormat="1" hidden="1" x14ac:dyDescent="0.15">
      <c r="A1410" s="34">
        <v>1409</v>
      </c>
      <c r="B1410" s="35" t="s">
        <v>4881</v>
      </c>
      <c r="C1410" s="17" t="s">
        <v>4926</v>
      </c>
      <c r="D1410" s="17" t="s">
        <v>1467</v>
      </c>
      <c r="E1410" s="18" t="s">
        <v>1451</v>
      </c>
      <c r="F1410" s="22">
        <v>15</v>
      </c>
      <c r="G1410" s="17" t="s">
        <v>5275</v>
      </c>
      <c r="H1410" s="20" t="s">
        <v>5276</v>
      </c>
      <c r="I1410" s="18" t="s">
        <v>339</v>
      </c>
      <c r="J1410" s="17" t="s">
        <v>1537</v>
      </c>
      <c r="K1410" s="17"/>
      <c r="L1410" s="17"/>
      <c r="M1410" s="17" t="s">
        <v>351</v>
      </c>
      <c r="N1410" s="17" t="s">
        <v>5277</v>
      </c>
      <c r="O1410" s="17" t="s">
        <v>5278</v>
      </c>
      <c r="P1410" s="23"/>
      <c r="Q1410" s="17">
        <v>2</v>
      </c>
      <c r="R1410" s="17">
        <v>2</v>
      </c>
      <c r="S1410" s="17" t="s">
        <v>5560</v>
      </c>
    </row>
    <row r="1411" spans="1:19" s="21" customFormat="1" hidden="1" x14ac:dyDescent="0.15">
      <c r="A1411" s="34">
        <v>1410</v>
      </c>
      <c r="B1411" s="35" t="s">
        <v>4881</v>
      </c>
      <c r="C1411" s="17" t="s">
        <v>4926</v>
      </c>
      <c r="D1411" s="17" t="s">
        <v>1467</v>
      </c>
      <c r="E1411" s="18" t="s">
        <v>1431</v>
      </c>
      <c r="F1411" s="22">
        <v>22</v>
      </c>
      <c r="G1411" s="17" t="s">
        <v>5279</v>
      </c>
      <c r="H1411" s="20" t="s">
        <v>5280</v>
      </c>
      <c r="I1411" s="18" t="s">
        <v>339</v>
      </c>
      <c r="J1411" s="17" t="s">
        <v>4398</v>
      </c>
      <c r="K1411" s="17"/>
      <c r="L1411" s="17"/>
      <c r="M1411" s="17" t="s">
        <v>351</v>
      </c>
      <c r="N1411" s="17" t="s">
        <v>5281</v>
      </c>
      <c r="O1411" s="17" t="s">
        <v>5271</v>
      </c>
      <c r="P1411" s="23"/>
      <c r="Q1411" s="17">
        <v>8</v>
      </c>
      <c r="R1411" s="17">
        <v>8</v>
      </c>
      <c r="S1411" s="17" t="s">
        <v>5561</v>
      </c>
    </row>
    <row r="1412" spans="1:19" s="21" customFormat="1" hidden="1" x14ac:dyDescent="0.15">
      <c r="A1412" s="34">
        <v>1411</v>
      </c>
      <c r="B1412" s="35" t="s">
        <v>4881</v>
      </c>
      <c r="C1412" s="17" t="s">
        <v>4926</v>
      </c>
      <c r="D1412" s="17" t="s">
        <v>1487</v>
      </c>
      <c r="E1412" s="18" t="s">
        <v>1441</v>
      </c>
      <c r="F1412" s="22">
        <v>16</v>
      </c>
      <c r="G1412" s="17" t="s">
        <v>5282</v>
      </c>
      <c r="H1412" s="20" t="s">
        <v>5283</v>
      </c>
      <c r="I1412" s="18" t="s">
        <v>339</v>
      </c>
      <c r="J1412" s="17" t="s">
        <v>2564</v>
      </c>
      <c r="K1412" s="17"/>
      <c r="L1412" s="17"/>
      <c r="M1412" s="17" t="s">
        <v>1944</v>
      </c>
      <c r="N1412" s="17" t="s">
        <v>5284</v>
      </c>
      <c r="O1412" s="17"/>
      <c r="P1412" s="23"/>
      <c r="Q1412" s="17">
        <v>1</v>
      </c>
      <c r="R1412" s="17">
        <v>11</v>
      </c>
      <c r="S1412" s="17" t="s">
        <v>5562</v>
      </c>
    </row>
    <row r="1413" spans="1:19" s="21" customFormat="1" hidden="1" x14ac:dyDescent="0.15">
      <c r="A1413" s="34">
        <v>1412</v>
      </c>
      <c r="B1413" s="35" t="s">
        <v>4881</v>
      </c>
      <c r="C1413" s="17" t="s">
        <v>4926</v>
      </c>
      <c r="D1413" s="17" t="s">
        <v>1784</v>
      </c>
      <c r="E1413" s="18" t="s">
        <v>1451</v>
      </c>
      <c r="F1413" s="22">
        <v>9</v>
      </c>
      <c r="G1413" s="17" t="s">
        <v>5285</v>
      </c>
      <c r="H1413" s="20" t="s">
        <v>5286</v>
      </c>
      <c r="I1413" s="18" t="s">
        <v>339</v>
      </c>
      <c r="J1413" s="17" t="s">
        <v>1489</v>
      </c>
      <c r="K1413" s="17" t="s">
        <v>1493</v>
      </c>
      <c r="L1413" s="17"/>
      <c r="M1413" s="17" t="s">
        <v>5287</v>
      </c>
      <c r="N1413" s="17"/>
      <c r="O1413" s="17"/>
      <c r="P1413" s="23"/>
      <c r="Q1413" s="17">
        <v>4</v>
      </c>
      <c r="R1413" s="17">
        <v>4</v>
      </c>
      <c r="S1413" s="17" t="s">
        <v>5287</v>
      </c>
    </row>
    <row r="1414" spans="1:19" s="21" customFormat="1" hidden="1" x14ac:dyDescent="0.15">
      <c r="A1414" s="34">
        <v>1413</v>
      </c>
      <c r="B1414" s="35" t="s">
        <v>4881</v>
      </c>
      <c r="C1414" s="17" t="s">
        <v>4926</v>
      </c>
      <c r="D1414" s="17" t="s">
        <v>1772</v>
      </c>
      <c r="E1414" s="18" t="s">
        <v>1451</v>
      </c>
      <c r="F1414" s="22">
        <v>17</v>
      </c>
      <c r="G1414" s="17" t="s">
        <v>5288</v>
      </c>
      <c r="H1414" s="20" t="s">
        <v>5289</v>
      </c>
      <c r="I1414" s="18" t="s">
        <v>339</v>
      </c>
      <c r="J1414" s="17" t="s">
        <v>2948</v>
      </c>
      <c r="K1414" s="17"/>
      <c r="L1414" s="17"/>
      <c r="M1414" s="17" t="s">
        <v>351</v>
      </c>
      <c r="N1414" s="17" t="s">
        <v>5290</v>
      </c>
      <c r="O1414" s="17"/>
      <c r="P1414" s="23"/>
      <c r="Q1414" s="17">
        <v>3</v>
      </c>
      <c r="R1414" s="17">
        <v>5</v>
      </c>
      <c r="S1414" s="17" t="s">
        <v>5563</v>
      </c>
    </row>
    <row r="1415" spans="1:19" s="21" customFormat="1" hidden="1" x14ac:dyDescent="0.15">
      <c r="A1415" s="34">
        <v>1414</v>
      </c>
      <c r="B1415" s="35" t="s">
        <v>4881</v>
      </c>
      <c r="C1415" s="17" t="s">
        <v>4926</v>
      </c>
      <c r="D1415" s="25" t="s">
        <v>292</v>
      </c>
      <c r="E1415" s="18" t="s">
        <v>1744</v>
      </c>
      <c r="F1415" s="22">
        <v>5</v>
      </c>
      <c r="G1415" s="17" t="s">
        <v>5291</v>
      </c>
      <c r="H1415" s="20" t="s">
        <v>5292</v>
      </c>
      <c r="I1415" s="18" t="s">
        <v>339</v>
      </c>
      <c r="J1415" s="17" t="s">
        <v>2802</v>
      </c>
      <c r="K1415" s="17"/>
      <c r="L1415" s="17"/>
      <c r="M1415" s="17" t="s">
        <v>5293</v>
      </c>
      <c r="N1415" s="17"/>
      <c r="O1415" s="17"/>
      <c r="P1415" s="23"/>
      <c r="Q1415" s="17">
        <v>3</v>
      </c>
      <c r="R1415" s="17">
        <v>1</v>
      </c>
      <c r="S1415" s="17" t="s">
        <v>5293</v>
      </c>
    </row>
    <row r="1416" spans="1:19" s="21" customFormat="1" hidden="1" x14ac:dyDescent="0.15">
      <c r="A1416" s="34">
        <v>1415</v>
      </c>
      <c r="B1416" s="35" t="s">
        <v>4881</v>
      </c>
      <c r="C1416" s="17" t="s">
        <v>4926</v>
      </c>
      <c r="D1416" s="25" t="s">
        <v>292</v>
      </c>
      <c r="E1416" s="18" t="s">
        <v>1744</v>
      </c>
      <c r="F1416" s="22">
        <v>7</v>
      </c>
      <c r="G1416" s="17" t="s">
        <v>5294</v>
      </c>
      <c r="H1416" s="20" t="s">
        <v>5295</v>
      </c>
      <c r="I1416" s="18" t="s">
        <v>339</v>
      </c>
      <c r="J1416" s="17" t="s">
        <v>2986</v>
      </c>
      <c r="K1416" s="17"/>
      <c r="L1416" s="17"/>
      <c r="M1416" s="17" t="s">
        <v>2595</v>
      </c>
      <c r="N1416" s="17" t="s">
        <v>5296</v>
      </c>
      <c r="O1416" s="17"/>
      <c r="P1416" s="23"/>
      <c r="Q1416" s="17">
        <v>1</v>
      </c>
      <c r="R1416" s="17">
        <v>4</v>
      </c>
      <c r="S1416" s="17" t="s">
        <v>5564</v>
      </c>
    </row>
    <row r="1417" spans="1:19" s="21" customFormat="1" hidden="1" x14ac:dyDescent="0.15">
      <c r="A1417" s="34">
        <v>1416</v>
      </c>
      <c r="B1417" s="35" t="s">
        <v>4881</v>
      </c>
      <c r="C1417" s="17" t="s">
        <v>4926</v>
      </c>
      <c r="D1417" s="25" t="s">
        <v>292</v>
      </c>
      <c r="E1417" s="18" t="s">
        <v>1744</v>
      </c>
      <c r="F1417" s="22">
        <v>2</v>
      </c>
      <c r="G1417" s="17" t="s">
        <v>5297</v>
      </c>
      <c r="H1417" s="20" t="s">
        <v>5298</v>
      </c>
      <c r="I1417" s="18" t="s">
        <v>1453</v>
      </c>
      <c r="J1417" s="17" t="s">
        <v>4955</v>
      </c>
      <c r="K1417" s="17"/>
      <c r="L1417" s="17"/>
      <c r="M1417" s="17" t="s">
        <v>5299</v>
      </c>
      <c r="N1417" s="17"/>
      <c r="O1417" s="17"/>
      <c r="P1417" s="23"/>
      <c r="Q1417" s="17" t="s">
        <v>4756</v>
      </c>
      <c r="R1417" s="17" t="s">
        <v>4756</v>
      </c>
      <c r="S1417" s="17" t="s">
        <v>5299</v>
      </c>
    </row>
    <row r="1418" spans="1:19" s="21" customFormat="1" hidden="1" x14ac:dyDescent="0.15">
      <c r="A1418" s="34">
        <v>1417</v>
      </c>
      <c r="B1418" s="35" t="s">
        <v>4881</v>
      </c>
      <c r="C1418" s="17" t="s">
        <v>4926</v>
      </c>
      <c r="D1418" s="25" t="s">
        <v>292</v>
      </c>
      <c r="E1418" s="18" t="s">
        <v>1744</v>
      </c>
      <c r="F1418" s="22">
        <v>3</v>
      </c>
      <c r="G1418" s="17" t="s">
        <v>5300</v>
      </c>
      <c r="H1418" s="20" t="s">
        <v>5301</v>
      </c>
      <c r="I1418" s="18" t="s">
        <v>1453</v>
      </c>
      <c r="J1418" s="17"/>
      <c r="K1418" s="17"/>
      <c r="L1418" s="17"/>
      <c r="M1418" s="17" t="s">
        <v>5302</v>
      </c>
      <c r="N1418" s="17"/>
      <c r="O1418" s="17"/>
      <c r="P1418" s="23"/>
      <c r="Q1418" s="17" t="s">
        <v>4756</v>
      </c>
      <c r="R1418" s="17" t="s">
        <v>4756</v>
      </c>
      <c r="S1418" s="17" t="s">
        <v>5302</v>
      </c>
    </row>
    <row r="1419" spans="1:19" s="21" customFormat="1" hidden="1" x14ac:dyDescent="0.15">
      <c r="A1419" s="34">
        <v>1418</v>
      </c>
      <c r="B1419" s="35" t="s">
        <v>4881</v>
      </c>
      <c r="C1419" s="17" t="s">
        <v>4926</v>
      </c>
      <c r="D1419" s="25" t="s">
        <v>292</v>
      </c>
      <c r="E1419" s="18" t="s">
        <v>1744</v>
      </c>
      <c r="F1419" s="22">
        <v>5</v>
      </c>
      <c r="G1419" s="17" t="s">
        <v>5303</v>
      </c>
      <c r="H1419" s="20" t="s">
        <v>5304</v>
      </c>
      <c r="I1419" s="18" t="s">
        <v>288</v>
      </c>
      <c r="J1419" s="17"/>
      <c r="K1419" s="17"/>
      <c r="L1419" s="17"/>
      <c r="M1419" s="17" t="s">
        <v>3875</v>
      </c>
      <c r="N1419" s="17"/>
      <c r="O1419" s="17"/>
      <c r="P1419" s="23">
        <v>3</v>
      </c>
      <c r="Q1419" s="17" t="s">
        <v>4756</v>
      </c>
      <c r="R1419" s="17" t="s">
        <v>4756</v>
      </c>
      <c r="S1419" s="17" t="s">
        <v>3875</v>
      </c>
    </row>
    <row r="1420" spans="1:19" s="21" customFormat="1" hidden="1" x14ac:dyDescent="0.15">
      <c r="A1420" s="34">
        <v>1419</v>
      </c>
      <c r="B1420" s="35" t="s">
        <v>4881</v>
      </c>
      <c r="C1420" s="17" t="s">
        <v>4926</v>
      </c>
      <c r="D1420" s="25" t="s">
        <v>292</v>
      </c>
      <c r="E1420" s="18" t="s">
        <v>1451</v>
      </c>
      <c r="F1420" s="22">
        <v>2</v>
      </c>
      <c r="G1420" s="17" t="s">
        <v>5305</v>
      </c>
      <c r="H1420" s="20" t="s">
        <v>5306</v>
      </c>
      <c r="I1420" s="18" t="s">
        <v>1453</v>
      </c>
      <c r="J1420" s="17" t="s">
        <v>4955</v>
      </c>
      <c r="K1420" s="17"/>
      <c r="L1420" s="17"/>
      <c r="M1420" s="17" t="s">
        <v>5307</v>
      </c>
      <c r="N1420" s="17"/>
      <c r="O1420" s="17"/>
      <c r="P1420" s="23"/>
      <c r="Q1420" s="17" t="s">
        <v>4756</v>
      </c>
      <c r="R1420" s="17" t="s">
        <v>4756</v>
      </c>
      <c r="S1420" s="17" t="s">
        <v>5307</v>
      </c>
    </row>
    <row r="1421" spans="1:19" s="21" customFormat="1" hidden="1" x14ac:dyDescent="0.15">
      <c r="A1421" s="34">
        <v>1420</v>
      </c>
      <c r="B1421" s="35" t="s">
        <v>4881</v>
      </c>
      <c r="C1421" s="17" t="s">
        <v>4926</v>
      </c>
      <c r="D1421" s="25" t="s">
        <v>292</v>
      </c>
      <c r="E1421" s="18" t="s">
        <v>1451</v>
      </c>
      <c r="F1421" s="22">
        <v>4</v>
      </c>
      <c r="G1421" s="17" t="s">
        <v>5308</v>
      </c>
      <c r="H1421" s="20" t="s">
        <v>5309</v>
      </c>
      <c r="I1421" s="18" t="s">
        <v>1453</v>
      </c>
      <c r="J1421" s="17" t="s">
        <v>4955</v>
      </c>
      <c r="K1421" s="17"/>
      <c r="L1421" s="17"/>
      <c r="M1421" s="17" t="s">
        <v>5310</v>
      </c>
      <c r="N1421" s="17"/>
      <c r="O1421" s="17"/>
      <c r="P1421" s="23"/>
      <c r="Q1421" s="17" t="s">
        <v>4756</v>
      </c>
      <c r="R1421" s="17" t="s">
        <v>4756</v>
      </c>
      <c r="S1421" s="17" t="s">
        <v>5310</v>
      </c>
    </row>
    <row r="1422" spans="1:19" s="21" customFormat="1" hidden="1" x14ac:dyDescent="0.15">
      <c r="A1422" s="34">
        <v>1421</v>
      </c>
      <c r="B1422" s="35" t="s">
        <v>4881</v>
      </c>
      <c r="C1422" s="17" t="s">
        <v>4926</v>
      </c>
      <c r="D1422" s="25" t="s">
        <v>292</v>
      </c>
      <c r="E1422" s="18" t="s">
        <v>1451</v>
      </c>
      <c r="F1422" s="22">
        <v>5</v>
      </c>
      <c r="G1422" s="17" t="s">
        <v>5311</v>
      </c>
      <c r="H1422" s="20" t="s">
        <v>5312</v>
      </c>
      <c r="I1422" s="18" t="s">
        <v>1453</v>
      </c>
      <c r="J1422" s="17" t="s">
        <v>4955</v>
      </c>
      <c r="K1422" s="17"/>
      <c r="L1422" s="17"/>
      <c r="M1422" s="17" t="s">
        <v>5313</v>
      </c>
      <c r="N1422" s="17"/>
      <c r="O1422" s="17"/>
      <c r="P1422" s="23"/>
      <c r="Q1422" s="17" t="s">
        <v>4756</v>
      </c>
      <c r="R1422" s="17" t="s">
        <v>4756</v>
      </c>
      <c r="S1422" s="17" t="s">
        <v>5313</v>
      </c>
    </row>
    <row r="1423" spans="1:19" s="21" customFormat="1" hidden="1" x14ac:dyDescent="0.15">
      <c r="A1423" s="34">
        <v>1422</v>
      </c>
      <c r="B1423" s="35" t="s">
        <v>4881</v>
      </c>
      <c r="C1423" s="17" t="s">
        <v>4926</v>
      </c>
      <c r="D1423" s="25" t="s">
        <v>292</v>
      </c>
      <c r="E1423" s="18" t="s">
        <v>1451</v>
      </c>
      <c r="F1423" s="22">
        <v>11</v>
      </c>
      <c r="G1423" s="17" t="s">
        <v>5314</v>
      </c>
      <c r="H1423" s="20" t="s">
        <v>5315</v>
      </c>
      <c r="I1423" s="18" t="s">
        <v>1453</v>
      </c>
      <c r="J1423" s="17" t="s">
        <v>4955</v>
      </c>
      <c r="K1423" s="17"/>
      <c r="L1423" s="17"/>
      <c r="M1423" s="17" t="s">
        <v>5316</v>
      </c>
      <c r="N1423" s="17"/>
      <c r="O1423" s="17"/>
      <c r="P1423" s="23"/>
      <c r="Q1423" s="17" t="s">
        <v>4756</v>
      </c>
      <c r="R1423" s="17" t="s">
        <v>4756</v>
      </c>
      <c r="S1423" s="17" t="s">
        <v>5316</v>
      </c>
    </row>
    <row r="1424" spans="1:19" s="21" customFormat="1" hidden="1" x14ac:dyDescent="0.15">
      <c r="A1424" s="34">
        <v>1423</v>
      </c>
      <c r="B1424" s="35" t="s">
        <v>4881</v>
      </c>
      <c r="C1424" s="17" t="s">
        <v>4926</v>
      </c>
      <c r="D1424" s="25" t="s">
        <v>292</v>
      </c>
      <c r="E1424" s="18" t="s">
        <v>1451</v>
      </c>
      <c r="F1424" s="22">
        <v>5</v>
      </c>
      <c r="G1424" s="17" t="s">
        <v>5317</v>
      </c>
      <c r="H1424" s="20" t="s">
        <v>5318</v>
      </c>
      <c r="I1424" s="18" t="s">
        <v>1453</v>
      </c>
      <c r="J1424" s="17" t="s">
        <v>4955</v>
      </c>
      <c r="K1424" s="17"/>
      <c r="L1424" s="17"/>
      <c r="M1424" s="17" t="s">
        <v>5319</v>
      </c>
      <c r="N1424" s="17"/>
      <c r="O1424" s="17"/>
      <c r="P1424" s="23"/>
      <c r="Q1424" s="17" t="s">
        <v>4756</v>
      </c>
      <c r="R1424" s="17" t="s">
        <v>4756</v>
      </c>
      <c r="S1424" s="17" t="s">
        <v>5319</v>
      </c>
    </row>
    <row r="1425" spans="1:19" s="21" customFormat="1" hidden="1" x14ac:dyDescent="0.15">
      <c r="A1425" s="34">
        <v>1424</v>
      </c>
      <c r="B1425" s="35" t="s">
        <v>4881</v>
      </c>
      <c r="C1425" s="17" t="s">
        <v>4926</v>
      </c>
      <c r="D1425" s="25" t="s">
        <v>292</v>
      </c>
      <c r="E1425" s="18" t="s">
        <v>1451</v>
      </c>
      <c r="F1425" s="22">
        <v>13</v>
      </c>
      <c r="G1425" s="17" t="s">
        <v>5320</v>
      </c>
      <c r="H1425" s="20" t="s">
        <v>5321</v>
      </c>
      <c r="I1425" s="18" t="s">
        <v>1453</v>
      </c>
      <c r="J1425" s="17" t="s">
        <v>4955</v>
      </c>
      <c r="K1425" s="17"/>
      <c r="L1425" s="17"/>
      <c r="M1425" s="17" t="s">
        <v>5322</v>
      </c>
      <c r="N1425" s="17"/>
      <c r="O1425" s="17"/>
      <c r="P1425" s="23"/>
      <c r="Q1425" s="17" t="s">
        <v>4756</v>
      </c>
      <c r="R1425" s="17" t="s">
        <v>4756</v>
      </c>
      <c r="S1425" s="17" t="s">
        <v>5322</v>
      </c>
    </row>
    <row r="1426" spans="1:19" s="21" customFormat="1" hidden="1" x14ac:dyDescent="0.15">
      <c r="A1426" s="34">
        <v>1425</v>
      </c>
      <c r="B1426" s="35" t="s">
        <v>4881</v>
      </c>
      <c r="C1426" s="17" t="s">
        <v>4926</v>
      </c>
      <c r="D1426" s="25" t="s">
        <v>292</v>
      </c>
      <c r="E1426" s="18" t="s">
        <v>1451</v>
      </c>
      <c r="F1426" s="22">
        <v>4</v>
      </c>
      <c r="G1426" s="17" t="s">
        <v>5323</v>
      </c>
      <c r="H1426" s="20" t="s">
        <v>5324</v>
      </c>
      <c r="I1426" s="18" t="s">
        <v>288</v>
      </c>
      <c r="J1426" s="17"/>
      <c r="K1426" s="17"/>
      <c r="L1426" s="17"/>
      <c r="M1426" s="17" t="s">
        <v>5325</v>
      </c>
      <c r="N1426" s="17"/>
      <c r="O1426" s="17"/>
      <c r="P1426" s="23">
        <v>3</v>
      </c>
      <c r="Q1426" s="17" t="s">
        <v>4756</v>
      </c>
      <c r="R1426" s="17" t="s">
        <v>4756</v>
      </c>
      <c r="S1426" s="17" t="s">
        <v>5325</v>
      </c>
    </row>
    <row r="1427" spans="1:19" s="21" customFormat="1" hidden="1" x14ac:dyDescent="0.15">
      <c r="A1427" s="34">
        <v>1426</v>
      </c>
      <c r="B1427" s="35" t="s">
        <v>4881</v>
      </c>
      <c r="C1427" s="17" t="s">
        <v>4926</v>
      </c>
      <c r="D1427" s="25" t="s">
        <v>292</v>
      </c>
      <c r="E1427" s="18" t="s">
        <v>1451</v>
      </c>
      <c r="F1427" s="22">
        <v>13</v>
      </c>
      <c r="G1427" s="17" t="s">
        <v>5326</v>
      </c>
      <c r="H1427" s="20" t="s">
        <v>5327</v>
      </c>
      <c r="I1427" s="18" t="s">
        <v>288</v>
      </c>
      <c r="J1427" s="17" t="s">
        <v>6250</v>
      </c>
      <c r="K1427" s="17"/>
      <c r="L1427" s="17"/>
      <c r="M1427" s="17" t="s">
        <v>5328</v>
      </c>
      <c r="N1427" s="17"/>
      <c r="O1427" s="17"/>
      <c r="P1427" s="23">
        <v>3</v>
      </c>
      <c r="Q1427" s="17" t="s">
        <v>4756</v>
      </c>
      <c r="R1427" s="17" t="s">
        <v>4756</v>
      </c>
      <c r="S1427" s="17" t="s">
        <v>5328</v>
      </c>
    </row>
    <row r="1428" spans="1:19" s="21" customFormat="1" hidden="1" x14ac:dyDescent="0.15">
      <c r="A1428" s="34">
        <v>1427</v>
      </c>
      <c r="B1428" s="35" t="s">
        <v>4881</v>
      </c>
      <c r="C1428" s="17" t="s">
        <v>4926</v>
      </c>
      <c r="D1428" s="25" t="s">
        <v>292</v>
      </c>
      <c r="E1428" s="18" t="s">
        <v>1451</v>
      </c>
      <c r="F1428" s="22">
        <v>4</v>
      </c>
      <c r="G1428" s="17" t="s">
        <v>5329</v>
      </c>
      <c r="H1428" s="20" t="s">
        <v>5330</v>
      </c>
      <c r="I1428" s="18" t="s">
        <v>288</v>
      </c>
      <c r="J1428" s="17" t="s">
        <v>5331</v>
      </c>
      <c r="K1428" s="17"/>
      <c r="L1428" s="17"/>
      <c r="M1428" s="17" t="s">
        <v>5332</v>
      </c>
      <c r="N1428" s="17"/>
      <c r="O1428" s="17"/>
      <c r="P1428" s="23">
        <v>3</v>
      </c>
      <c r="Q1428" s="17" t="s">
        <v>4756</v>
      </c>
      <c r="R1428" s="17" t="s">
        <v>4756</v>
      </c>
      <c r="S1428" s="17" t="s">
        <v>5332</v>
      </c>
    </row>
    <row r="1429" spans="1:19" s="21" customFormat="1" hidden="1" x14ac:dyDescent="0.15">
      <c r="A1429" s="34">
        <v>1428</v>
      </c>
      <c r="B1429" s="35" t="s">
        <v>4881</v>
      </c>
      <c r="C1429" s="17" t="s">
        <v>4926</v>
      </c>
      <c r="D1429" s="25" t="s">
        <v>292</v>
      </c>
      <c r="E1429" s="18" t="s">
        <v>1451</v>
      </c>
      <c r="F1429" s="22">
        <v>4</v>
      </c>
      <c r="G1429" s="17" t="s">
        <v>5333</v>
      </c>
      <c r="H1429" s="20" t="s">
        <v>5334</v>
      </c>
      <c r="I1429" s="18" t="s">
        <v>288</v>
      </c>
      <c r="J1429" s="17"/>
      <c r="K1429" s="17"/>
      <c r="L1429" s="17"/>
      <c r="M1429" s="17" t="s">
        <v>5335</v>
      </c>
      <c r="N1429" s="17"/>
      <c r="O1429" s="17"/>
      <c r="P1429" s="23">
        <v>3</v>
      </c>
      <c r="Q1429" s="17" t="s">
        <v>4756</v>
      </c>
      <c r="R1429" s="17" t="s">
        <v>4756</v>
      </c>
      <c r="S1429" s="17" t="s">
        <v>5335</v>
      </c>
    </row>
    <row r="1430" spans="1:19" s="21" customFormat="1" hidden="1" x14ac:dyDescent="0.15">
      <c r="A1430" s="34">
        <v>1429</v>
      </c>
      <c r="B1430" s="35" t="s">
        <v>4881</v>
      </c>
      <c r="C1430" s="17" t="s">
        <v>4926</v>
      </c>
      <c r="D1430" s="17" t="s">
        <v>1512</v>
      </c>
      <c r="E1430" s="18" t="s">
        <v>1451</v>
      </c>
      <c r="F1430" s="22">
        <v>10</v>
      </c>
      <c r="G1430" s="17" t="s">
        <v>5584</v>
      </c>
      <c r="H1430" s="20" t="s">
        <v>5336</v>
      </c>
      <c r="I1430" s="18" t="s">
        <v>288</v>
      </c>
      <c r="J1430" s="17"/>
      <c r="K1430" s="17"/>
      <c r="L1430" s="17"/>
      <c r="M1430" s="17" t="s">
        <v>5337</v>
      </c>
      <c r="N1430" s="17" t="s">
        <v>5338</v>
      </c>
      <c r="O1430" s="17"/>
      <c r="P1430" s="23">
        <v>1</v>
      </c>
      <c r="Q1430" s="17" t="s">
        <v>4756</v>
      </c>
      <c r="R1430" s="17" t="s">
        <v>4756</v>
      </c>
      <c r="S1430" s="17" t="s">
        <v>5565</v>
      </c>
    </row>
    <row r="1431" spans="1:19" s="21" customFormat="1" hidden="1" x14ac:dyDescent="0.15">
      <c r="A1431" s="34">
        <v>1430</v>
      </c>
      <c r="B1431" s="35" t="s">
        <v>4881</v>
      </c>
      <c r="C1431" s="17" t="s">
        <v>4926</v>
      </c>
      <c r="D1431" s="17" t="s">
        <v>1512</v>
      </c>
      <c r="E1431" s="18" t="s">
        <v>1451</v>
      </c>
      <c r="F1431" s="22">
        <v>0</v>
      </c>
      <c r="G1431" s="17" t="s">
        <v>5584</v>
      </c>
      <c r="H1431" s="20" t="s">
        <v>5339</v>
      </c>
      <c r="I1431" s="18" t="s">
        <v>1453</v>
      </c>
      <c r="J1431" s="17"/>
      <c r="K1431" s="17"/>
      <c r="L1431" s="17"/>
      <c r="M1431" s="17" t="s">
        <v>5340</v>
      </c>
      <c r="N1431" s="17"/>
      <c r="O1431" s="17"/>
      <c r="P1431" s="23"/>
      <c r="Q1431" s="17" t="s">
        <v>4756</v>
      </c>
      <c r="R1431" s="17" t="s">
        <v>4756</v>
      </c>
      <c r="S1431" s="17" t="s">
        <v>5340</v>
      </c>
    </row>
    <row r="1432" spans="1:19" s="21" customFormat="1" hidden="1" x14ac:dyDescent="0.15">
      <c r="A1432" s="34">
        <v>1431</v>
      </c>
      <c r="B1432" s="35" t="s">
        <v>4881</v>
      </c>
      <c r="C1432" s="17" t="s">
        <v>4926</v>
      </c>
      <c r="D1432" s="17" t="s">
        <v>1508</v>
      </c>
      <c r="E1432" s="18" t="s">
        <v>1451</v>
      </c>
      <c r="F1432" s="22">
        <v>7</v>
      </c>
      <c r="G1432" s="17" t="s">
        <v>5585</v>
      </c>
      <c r="H1432" s="20" t="s">
        <v>5341</v>
      </c>
      <c r="I1432" s="18" t="s">
        <v>1453</v>
      </c>
      <c r="J1432" s="17"/>
      <c r="K1432" s="17"/>
      <c r="L1432" s="17"/>
      <c r="M1432" s="17" t="s">
        <v>2281</v>
      </c>
      <c r="N1432" s="17" t="s">
        <v>5338</v>
      </c>
      <c r="O1432" s="17"/>
      <c r="P1432" s="23"/>
      <c r="Q1432" s="17" t="s">
        <v>4756</v>
      </c>
      <c r="R1432" s="17" t="s">
        <v>4756</v>
      </c>
      <c r="S1432" s="17" t="s">
        <v>5566</v>
      </c>
    </row>
    <row r="1433" spans="1:19" s="21" customFormat="1" hidden="1" x14ac:dyDescent="0.15">
      <c r="A1433" s="34">
        <v>1432</v>
      </c>
      <c r="B1433" s="35" t="s">
        <v>4881</v>
      </c>
      <c r="C1433" s="17" t="s">
        <v>4926</v>
      </c>
      <c r="D1433" s="17" t="s">
        <v>1508</v>
      </c>
      <c r="E1433" s="18" t="s">
        <v>1451</v>
      </c>
      <c r="F1433" s="22">
        <v>0</v>
      </c>
      <c r="G1433" s="17" t="s">
        <v>5585</v>
      </c>
      <c r="H1433" s="20" t="s">
        <v>5342</v>
      </c>
      <c r="I1433" s="18" t="s">
        <v>1453</v>
      </c>
      <c r="J1433" s="17"/>
      <c r="K1433" s="17"/>
      <c r="L1433" s="17"/>
      <c r="M1433" s="17" t="s">
        <v>5343</v>
      </c>
      <c r="N1433" s="17"/>
      <c r="O1433" s="17"/>
      <c r="P1433" s="23"/>
      <c r="Q1433" s="17" t="s">
        <v>4756</v>
      </c>
      <c r="R1433" s="17" t="s">
        <v>4756</v>
      </c>
      <c r="S1433" s="17" t="s">
        <v>5343</v>
      </c>
    </row>
    <row r="1434" spans="1:19" s="21" customFormat="1" hidden="1" x14ac:dyDescent="0.15">
      <c r="A1434" s="34">
        <v>1433</v>
      </c>
      <c r="B1434" s="35" t="s">
        <v>4881</v>
      </c>
      <c r="C1434" s="17" t="s">
        <v>4926</v>
      </c>
      <c r="D1434" s="17" t="s">
        <v>1504</v>
      </c>
      <c r="E1434" s="18" t="s">
        <v>1451</v>
      </c>
      <c r="F1434" s="22">
        <v>11</v>
      </c>
      <c r="G1434" s="17" t="s">
        <v>5586</v>
      </c>
      <c r="H1434" s="20" t="s">
        <v>5344</v>
      </c>
      <c r="I1434" s="18" t="s">
        <v>1453</v>
      </c>
      <c r="J1434" s="17"/>
      <c r="K1434" s="17"/>
      <c r="L1434" s="17"/>
      <c r="M1434" s="17" t="s">
        <v>5345</v>
      </c>
      <c r="N1434" s="17" t="s">
        <v>5338</v>
      </c>
      <c r="O1434" s="17"/>
      <c r="P1434" s="23"/>
      <c r="Q1434" s="17" t="s">
        <v>4756</v>
      </c>
      <c r="R1434" s="17" t="s">
        <v>4756</v>
      </c>
      <c r="S1434" s="17" t="s">
        <v>5567</v>
      </c>
    </row>
    <row r="1435" spans="1:19" s="21" customFormat="1" hidden="1" x14ac:dyDescent="0.15">
      <c r="A1435" s="34">
        <v>1434</v>
      </c>
      <c r="B1435" s="35" t="s">
        <v>4881</v>
      </c>
      <c r="C1435" s="17" t="s">
        <v>4926</v>
      </c>
      <c r="D1435" s="17" t="s">
        <v>1504</v>
      </c>
      <c r="E1435" s="18" t="s">
        <v>1451</v>
      </c>
      <c r="F1435" s="22">
        <v>0</v>
      </c>
      <c r="G1435" s="17" t="s">
        <v>5586</v>
      </c>
      <c r="H1435" s="20" t="s">
        <v>5346</v>
      </c>
      <c r="I1435" s="18" t="s">
        <v>1453</v>
      </c>
      <c r="J1435" s="17"/>
      <c r="K1435" s="17"/>
      <c r="L1435" s="17"/>
      <c r="M1435" s="17" t="s">
        <v>5347</v>
      </c>
      <c r="N1435" s="17"/>
      <c r="O1435" s="17"/>
      <c r="P1435" s="23"/>
      <c r="Q1435" s="17" t="s">
        <v>4756</v>
      </c>
      <c r="R1435" s="17" t="s">
        <v>4756</v>
      </c>
      <c r="S1435" s="17" t="s">
        <v>5347</v>
      </c>
    </row>
    <row r="1436" spans="1:19" s="21" customFormat="1" hidden="1" x14ac:dyDescent="0.15">
      <c r="A1436" s="34">
        <v>1435</v>
      </c>
      <c r="B1436" s="35" t="s">
        <v>4881</v>
      </c>
      <c r="C1436" s="17" t="s">
        <v>4926</v>
      </c>
      <c r="D1436" s="17" t="s">
        <v>1482</v>
      </c>
      <c r="E1436" s="18" t="s">
        <v>1451</v>
      </c>
      <c r="F1436" s="22">
        <v>15</v>
      </c>
      <c r="G1436" s="17" t="s">
        <v>5587</v>
      </c>
      <c r="H1436" s="20" t="s">
        <v>5348</v>
      </c>
      <c r="I1436" s="18" t="s">
        <v>1453</v>
      </c>
      <c r="J1436" s="17"/>
      <c r="K1436" s="17"/>
      <c r="L1436" s="17"/>
      <c r="M1436" s="17" t="s">
        <v>5349</v>
      </c>
      <c r="N1436" s="17" t="s">
        <v>5338</v>
      </c>
      <c r="O1436" s="17"/>
      <c r="P1436" s="23"/>
      <c r="Q1436" s="17" t="s">
        <v>4756</v>
      </c>
      <c r="R1436" s="17" t="s">
        <v>4756</v>
      </c>
      <c r="S1436" s="17" t="s">
        <v>5568</v>
      </c>
    </row>
    <row r="1437" spans="1:19" s="21" customFormat="1" hidden="1" x14ac:dyDescent="0.15">
      <c r="A1437" s="34">
        <v>1436</v>
      </c>
      <c r="B1437" s="35" t="s">
        <v>4881</v>
      </c>
      <c r="C1437" s="17" t="s">
        <v>4926</v>
      </c>
      <c r="D1437" s="17" t="s">
        <v>1482</v>
      </c>
      <c r="E1437" s="18" t="s">
        <v>1451</v>
      </c>
      <c r="F1437" s="22">
        <v>0</v>
      </c>
      <c r="G1437" s="17" t="s">
        <v>5587</v>
      </c>
      <c r="H1437" s="20" t="s">
        <v>5350</v>
      </c>
      <c r="I1437" s="18" t="s">
        <v>1453</v>
      </c>
      <c r="J1437" s="17"/>
      <c r="K1437" s="17"/>
      <c r="L1437" s="17"/>
      <c r="M1437" s="17" t="s">
        <v>5351</v>
      </c>
      <c r="N1437" s="17"/>
      <c r="O1437" s="17"/>
      <c r="P1437" s="23"/>
      <c r="Q1437" s="17" t="s">
        <v>4756</v>
      </c>
      <c r="R1437" s="17" t="s">
        <v>4756</v>
      </c>
      <c r="S1437" s="17" t="s">
        <v>5351</v>
      </c>
    </row>
    <row r="1438" spans="1:19" s="21" customFormat="1" hidden="1" x14ac:dyDescent="0.15">
      <c r="A1438" s="34">
        <v>1437</v>
      </c>
      <c r="B1438" s="35" t="s">
        <v>4881</v>
      </c>
      <c r="C1438" s="17" t="s">
        <v>4926</v>
      </c>
      <c r="D1438" s="17" t="s">
        <v>1802</v>
      </c>
      <c r="E1438" s="18" t="s">
        <v>1451</v>
      </c>
      <c r="F1438" s="22">
        <v>5</v>
      </c>
      <c r="G1438" s="17" t="s">
        <v>5588</v>
      </c>
      <c r="H1438" s="20" t="s">
        <v>5352</v>
      </c>
      <c r="I1438" s="18" t="s">
        <v>1453</v>
      </c>
      <c r="J1438" s="17"/>
      <c r="K1438" s="17"/>
      <c r="L1438" s="17"/>
      <c r="M1438" s="17" t="s">
        <v>5353</v>
      </c>
      <c r="N1438" s="17" t="s">
        <v>5338</v>
      </c>
      <c r="O1438" s="17"/>
      <c r="P1438" s="23"/>
      <c r="Q1438" s="17" t="s">
        <v>4756</v>
      </c>
      <c r="R1438" s="17" t="s">
        <v>4756</v>
      </c>
      <c r="S1438" s="17" t="s">
        <v>5569</v>
      </c>
    </row>
    <row r="1439" spans="1:19" s="21" customFormat="1" hidden="1" x14ac:dyDescent="0.15">
      <c r="A1439" s="34">
        <v>1438</v>
      </c>
      <c r="B1439" s="35" t="s">
        <v>4881</v>
      </c>
      <c r="C1439" s="17" t="s">
        <v>4926</v>
      </c>
      <c r="D1439" s="17" t="s">
        <v>1802</v>
      </c>
      <c r="E1439" s="18" t="s">
        <v>1451</v>
      </c>
      <c r="F1439" s="22">
        <v>0</v>
      </c>
      <c r="G1439" s="17" t="s">
        <v>5588</v>
      </c>
      <c r="H1439" s="20" t="s">
        <v>5354</v>
      </c>
      <c r="I1439" s="18" t="s">
        <v>1453</v>
      </c>
      <c r="J1439" s="17"/>
      <c r="K1439" s="17"/>
      <c r="L1439" s="17"/>
      <c r="M1439" s="17" t="s">
        <v>5355</v>
      </c>
      <c r="N1439" s="17"/>
      <c r="O1439" s="17"/>
      <c r="P1439" s="23"/>
      <c r="Q1439" s="17" t="s">
        <v>4756</v>
      </c>
      <c r="R1439" s="17" t="s">
        <v>4756</v>
      </c>
      <c r="S1439" s="17" t="s">
        <v>5355</v>
      </c>
    </row>
    <row r="1440" spans="1:19" s="21" customFormat="1" hidden="1" x14ac:dyDescent="0.15">
      <c r="A1440" s="34">
        <v>1439</v>
      </c>
      <c r="B1440" s="35" t="s">
        <v>4881</v>
      </c>
      <c r="C1440" s="17" t="s">
        <v>4926</v>
      </c>
      <c r="D1440" s="17" t="s">
        <v>1784</v>
      </c>
      <c r="E1440" s="18" t="s">
        <v>1441</v>
      </c>
      <c r="F1440" s="22">
        <v>13</v>
      </c>
      <c r="G1440" s="17" t="s">
        <v>5589</v>
      </c>
      <c r="H1440" s="20" t="s">
        <v>5356</v>
      </c>
      <c r="I1440" s="18" t="s">
        <v>1453</v>
      </c>
      <c r="J1440" s="17"/>
      <c r="K1440" s="17"/>
      <c r="L1440" s="17"/>
      <c r="M1440" s="17" t="s">
        <v>5357</v>
      </c>
      <c r="N1440" s="17" t="s">
        <v>5338</v>
      </c>
      <c r="O1440" s="17"/>
      <c r="P1440" s="23"/>
      <c r="Q1440" s="17" t="s">
        <v>4756</v>
      </c>
      <c r="R1440" s="17" t="s">
        <v>4756</v>
      </c>
      <c r="S1440" s="17" t="s">
        <v>5570</v>
      </c>
    </row>
    <row r="1441" spans="1:19" s="21" customFormat="1" hidden="1" x14ac:dyDescent="0.15">
      <c r="A1441" s="34">
        <v>1440</v>
      </c>
      <c r="B1441" s="35" t="s">
        <v>4881</v>
      </c>
      <c r="C1441" s="17" t="s">
        <v>4926</v>
      </c>
      <c r="D1441" s="17" t="s">
        <v>1784</v>
      </c>
      <c r="E1441" s="18" t="s">
        <v>1441</v>
      </c>
      <c r="F1441" s="22">
        <v>0</v>
      </c>
      <c r="G1441" s="17" t="s">
        <v>5589</v>
      </c>
      <c r="H1441" s="20" t="s">
        <v>5358</v>
      </c>
      <c r="I1441" s="18" t="s">
        <v>1453</v>
      </c>
      <c r="J1441" s="17"/>
      <c r="K1441" s="17"/>
      <c r="L1441" s="17"/>
      <c r="M1441" s="17" t="s">
        <v>5359</v>
      </c>
      <c r="N1441" s="17"/>
      <c r="O1441" s="17"/>
      <c r="P1441" s="23"/>
      <c r="Q1441" s="17" t="s">
        <v>4756</v>
      </c>
      <c r="R1441" s="17" t="s">
        <v>4756</v>
      </c>
      <c r="S1441" s="17" t="s">
        <v>5359</v>
      </c>
    </row>
    <row r="1442" spans="1:19" s="21" customFormat="1" hidden="1" x14ac:dyDescent="0.15">
      <c r="A1442" s="34">
        <v>1441</v>
      </c>
      <c r="B1442" s="35" t="s">
        <v>4881</v>
      </c>
      <c r="C1442" s="17" t="s">
        <v>4926</v>
      </c>
      <c r="D1442" s="17" t="s">
        <v>1772</v>
      </c>
      <c r="E1442" s="18" t="s">
        <v>1441</v>
      </c>
      <c r="F1442" s="22">
        <v>11</v>
      </c>
      <c r="G1442" s="17" t="s">
        <v>5590</v>
      </c>
      <c r="H1442" s="20" t="s">
        <v>5360</v>
      </c>
      <c r="I1442" s="18" t="s">
        <v>1453</v>
      </c>
      <c r="J1442" s="17"/>
      <c r="K1442" s="17"/>
      <c r="L1442" s="17"/>
      <c r="M1442" s="17" t="s">
        <v>3999</v>
      </c>
      <c r="N1442" s="17" t="s">
        <v>5338</v>
      </c>
      <c r="O1442" s="17"/>
      <c r="P1442" s="23"/>
      <c r="Q1442" s="17" t="s">
        <v>4756</v>
      </c>
      <c r="R1442" s="17" t="s">
        <v>4756</v>
      </c>
      <c r="S1442" s="17" t="s">
        <v>5571</v>
      </c>
    </row>
    <row r="1443" spans="1:19" s="21" customFormat="1" hidden="1" x14ac:dyDescent="0.15">
      <c r="A1443" s="34">
        <v>1442</v>
      </c>
      <c r="B1443" s="35" t="s">
        <v>4881</v>
      </c>
      <c r="C1443" s="17" t="s">
        <v>4926</v>
      </c>
      <c r="D1443" s="17" t="s">
        <v>1772</v>
      </c>
      <c r="E1443" s="18" t="s">
        <v>1441</v>
      </c>
      <c r="F1443" s="22">
        <v>0</v>
      </c>
      <c r="G1443" s="17" t="s">
        <v>5590</v>
      </c>
      <c r="H1443" s="20" t="s">
        <v>5361</v>
      </c>
      <c r="I1443" s="18" t="s">
        <v>1453</v>
      </c>
      <c r="J1443" s="17"/>
      <c r="K1443" s="17"/>
      <c r="L1443" s="17"/>
      <c r="M1443" s="17" t="s">
        <v>5362</v>
      </c>
      <c r="N1443" s="17"/>
      <c r="O1443" s="17"/>
      <c r="P1443" s="23"/>
      <c r="Q1443" s="17" t="s">
        <v>4756</v>
      </c>
      <c r="R1443" s="17" t="s">
        <v>4756</v>
      </c>
      <c r="S1443" s="17" t="s">
        <v>5362</v>
      </c>
    </row>
    <row r="1444" spans="1:19" s="21" customFormat="1" hidden="1" x14ac:dyDescent="0.15">
      <c r="A1444" s="34">
        <v>1443</v>
      </c>
      <c r="B1444" s="35" t="s">
        <v>4881</v>
      </c>
      <c r="C1444" s="17" t="s">
        <v>4926</v>
      </c>
      <c r="D1444" s="17" t="s">
        <v>1474</v>
      </c>
      <c r="E1444" s="18" t="s">
        <v>1441</v>
      </c>
      <c r="F1444" s="22">
        <v>13</v>
      </c>
      <c r="G1444" s="17" t="s">
        <v>5591</v>
      </c>
      <c r="H1444" s="20" t="s">
        <v>5363</v>
      </c>
      <c r="I1444" s="18" t="s">
        <v>1453</v>
      </c>
      <c r="J1444" s="17"/>
      <c r="K1444" s="17"/>
      <c r="L1444" s="17"/>
      <c r="M1444" s="17" t="s">
        <v>5364</v>
      </c>
      <c r="N1444" s="17" t="s">
        <v>5338</v>
      </c>
      <c r="O1444" s="17"/>
      <c r="P1444" s="23"/>
      <c r="Q1444" s="17" t="s">
        <v>4756</v>
      </c>
      <c r="R1444" s="17" t="s">
        <v>4756</v>
      </c>
      <c r="S1444" s="17" t="s">
        <v>5572</v>
      </c>
    </row>
    <row r="1445" spans="1:19" s="21" customFormat="1" hidden="1" x14ac:dyDescent="0.15">
      <c r="A1445" s="34">
        <v>1444</v>
      </c>
      <c r="B1445" s="35" t="s">
        <v>4881</v>
      </c>
      <c r="C1445" s="17" t="s">
        <v>4926</v>
      </c>
      <c r="D1445" s="17" t="s">
        <v>1474</v>
      </c>
      <c r="E1445" s="18" t="s">
        <v>1441</v>
      </c>
      <c r="F1445" s="22">
        <v>0</v>
      </c>
      <c r="G1445" s="17" t="s">
        <v>5591</v>
      </c>
      <c r="H1445" s="20" t="s">
        <v>5365</v>
      </c>
      <c r="I1445" s="18" t="s">
        <v>1453</v>
      </c>
      <c r="J1445" s="17"/>
      <c r="K1445" s="17"/>
      <c r="L1445" s="17"/>
      <c r="M1445" s="17" t="s">
        <v>5366</v>
      </c>
      <c r="N1445" s="17"/>
      <c r="O1445" s="17"/>
      <c r="P1445" s="23"/>
      <c r="Q1445" s="17" t="s">
        <v>4756</v>
      </c>
      <c r="R1445" s="17" t="s">
        <v>4756</v>
      </c>
      <c r="S1445" s="17" t="s">
        <v>5366</v>
      </c>
    </row>
    <row r="1446" spans="1:19" s="21" customFormat="1" hidden="1" x14ac:dyDescent="0.15">
      <c r="A1446" s="34">
        <v>1445</v>
      </c>
      <c r="B1446" s="35" t="s">
        <v>4881</v>
      </c>
      <c r="C1446" s="17" t="s">
        <v>4926</v>
      </c>
      <c r="D1446" s="17" t="s">
        <v>1467</v>
      </c>
      <c r="E1446" s="18" t="s">
        <v>1441</v>
      </c>
      <c r="F1446" s="22">
        <v>11</v>
      </c>
      <c r="G1446" s="17" t="s">
        <v>5592</v>
      </c>
      <c r="H1446" s="20" t="s">
        <v>5367</v>
      </c>
      <c r="I1446" s="18" t="s">
        <v>288</v>
      </c>
      <c r="J1446" s="17"/>
      <c r="K1446" s="17"/>
      <c r="L1446" s="17"/>
      <c r="M1446" s="17" t="s">
        <v>5368</v>
      </c>
      <c r="N1446" s="17" t="s">
        <v>5338</v>
      </c>
      <c r="O1446" s="17"/>
      <c r="P1446" s="23">
        <v>10</v>
      </c>
      <c r="Q1446" s="17" t="s">
        <v>4756</v>
      </c>
      <c r="R1446" s="17" t="s">
        <v>4756</v>
      </c>
      <c r="S1446" s="17" t="s">
        <v>5573</v>
      </c>
    </row>
    <row r="1447" spans="1:19" s="21" customFormat="1" hidden="1" x14ac:dyDescent="0.15">
      <c r="A1447" s="34">
        <v>1446</v>
      </c>
      <c r="B1447" s="35" t="s">
        <v>4881</v>
      </c>
      <c r="C1447" s="17" t="s">
        <v>4926</v>
      </c>
      <c r="D1447" s="17" t="s">
        <v>1467</v>
      </c>
      <c r="E1447" s="18" t="s">
        <v>1441</v>
      </c>
      <c r="F1447" s="22">
        <v>0</v>
      </c>
      <c r="G1447" s="17" t="s">
        <v>5592</v>
      </c>
      <c r="H1447" s="20" t="s">
        <v>5369</v>
      </c>
      <c r="I1447" s="18" t="s">
        <v>1453</v>
      </c>
      <c r="J1447" s="17"/>
      <c r="K1447" s="17"/>
      <c r="L1447" s="17"/>
      <c r="M1447" s="17" t="s">
        <v>5370</v>
      </c>
      <c r="N1447" s="17"/>
      <c r="O1447" s="17"/>
      <c r="P1447" s="23"/>
      <c r="Q1447" s="17" t="s">
        <v>4756</v>
      </c>
      <c r="R1447" s="17" t="s">
        <v>4756</v>
      </c>
      <c r="S1447" s="17" t="s">
        <v>5370</v>
      </c>
    </row>
    <row r="1448" spans="1:19" s="21" customFormat="1" hidden="1" x14ac:dyDescent="0.15">
      <c r="A1448" s="34">
        <v>1447</v>
      </c>
      <c r="B1448" s="35" t="s">
        <v>4881</v>
      </c>
      <c r="C1448" s="17" t="s">
        <v>4926</v>
      </c>
      <c r="D1448" s="17" t="s">
        <v>1487</v>
      </c>
      <c r="E1448" s="18" t="s">
        <v>1441</v>
      </c>
      <c r="F1448" s="22">
        <v>11</v>
      </c>
      <c r="G1448" s="17" t="s">
        <v>5593</v>
      </c>
      <c r="H1448" s="20" t="s">
        <v>5371</v>
      </c>
      <c r="I1448" s="18" t="s">
        <v>1453</v>
      </c>
      <c r="J1448" s="17"/>
      <c r="K1448" s="17"/>
      <c r="L1448" s="17"/>
      <c r="M1448" s="17" t="s">
        <v>5372</v>
      </c>
      <c r="N1448" s="17" t="s">
        <v>5338</v>
      </c>
      <c r="O1448" s="17"/>
      <c r="P1448" s="23"/>
      <c r="Q1448" s="17" t="s">
        <v>4756</v>
      </c>
      <c r="R1448" s="17" t="s">
        <v>4756</v>
      </c>
      <c r="S1448" s="17" t="s">
        <v>5574</v>
      </c>
    </row>
    <row r="1449" spans="1:19" s="21" customFormat="1" hidden="1" x14ac:dyDescent="0.15">
      <c r="A1449" s="34">
        <v>1448</v>
      </c>
      <c r="B1449" s="35" t="s">
        <v>4881</v>
      </c>
      <c r="C1449" s="17" t="s">
        <v>4926</v>
      </c>
      <c r="D1449" s="17" t="s">
        <v>1487</v>
      </c>
      <c r="E1449" s="18" t="s">
        <v>1441</v>
      </c>
      <c r="F1449" s="22">
        <v>0</v>
      </c>
      <c r="G1449" s="17" t="s">
        <v>5593</v>
      </c>
      <c r="H1449" s="20" t="s">
        <v>5373</v>
      </c>
      <c r="I1449" s="18" t="s">
        <v>1453</v>
      </c>
      <c r="J1449" s="17"/>
      <c r="K1449" s="17"/>
      <c r="L1449" s="17"/>
      <c r="M1449" s="17" t="s">
        <v>5374</v>
      </c>
      <c r="N1449" s="17"/>
      <c r="O1449" s="17"/>
      <c r="P1449" s="23"/>
      <c r="Q1449" s="17" t="s">
        <v>4756</v>
      </c>
      <c r="R1449" s="17" t="s">
        <v>4756</v>
      </c>
      <c r="S1449" s="17" t="s">
        <v>5374</v>
      </c>
    </row>
    <row r="1450" spans="1:19" s="21" customFormat="1" hidden="1" x14ac:dyDescent="0.15">
      <c r="A1450" s="34">
        <v>1449</v>
      </c>
      <c r="B1450" s="35" t="s">
        <v>4881</v>
      </c>
      <c r="C1450" s="17" t="s">
        <v>4926</v>
      </c>
      <c r="D1450" s="25" t="s">
        <v>1627</v>
      </c>
      <c r="E1450" s="18" t="s">
        <v>1451</v>
      </c>
      <c r="F1450" s="22">
        <v>10</v>
      </c>
      <c r="G1450" s="17" t="s">
        <v>5375</v>
      </c>
      <c r="H1450" s="20" t="s">
        <v>5376</v>
      </c>
      <c r="I1450" s="18" t="s">
        <v>339</v>
      </c>
      <c r="J1450" s="17" t="s">
        <v>348</v>
      </c>
      <c r="K1450" s="17"/>
      <c r="L1450" s="17"/>
      <c r="M1450" s="17" t="s">
        <v>351</v>
      </c>
      <c r="N1450" s="17" t="s">
        <v>4426</v>
      </c>
      <c r="O1450" s="17"/>
      <c r="P1450" s="23"/>
      <c r="Q1450" s="17">
        <v>4</v>
      </c>
      <c r="R1450" s="17">
        <v>4</v>
      </c>
      <c r="S1450" s="17" t="s">
        <v>5575</v>
      </c>
    </row>
    <row r="1451" spans="1:19" s="21" customFormat="1" hidden="1" x14ac:dyDescent="0.15">
      <c r="A1451" s="34">
        <v>1450</v>
      </c>
      <c r="B1451" s="35" t="s">
        <v>4881</v>
      </c>
      <c r="C1451" s="17" t="s">
        <v>4926</v>
      </c>
      <c r="D1451" s="25" t="s">
        <v>1627</v>
      </c>
      <c r="E1451" s="18" t="s">
        <v>1744</v>
      </c>
      <c r="F1451" s="22">
        <v>3</v>
      </c>
      <c r="G1451" s="17" t="s">
        <v>5377</v>
      </c>
      <c r="H1451" s="20" t="s">
        <v>5378</v>
      </c>
      <c r="I1451" s="18" t="s">
        <v>1453</v>
      </c>
      <c r="J1451" s="17"/>
      <c r="K1451" s="17"/>
      <c r="L1451" s="17"/>
      <c r="M1451" s="17" t="s">
        <v>5379</v>
      </c>
      <c r="N1451" s="17" t="s">
        <v>4383</v>
      </c>
      <c r="O1451" s="17"/>
      <c r="P1451" s="23"/>
      <c r="Q1451" s="17" t="s">
        <v>4756</v>
      </c>
      <c r="R1451" s="17" t="s">
        <v>4756</v>
      </c>
      <c r="S1451" s="17" t="s">
        <v>5576</v>
      </c>
    </row>
    <row r="1452" spans="1:19" s="21" customFormat="1" hidden="1" x14ac:dyDescent="0.15">
      <c r="A1452" s="34">
        <v>1451</v>
      </c>
      <c r="B1452" s="35" t="s">
        <v>4881</v>
      </c>
      <c r="C1452" s="17" t="s">
        <v>4926</v>
      </c>
      <c r="D1452" s="25" t="s">
        <v>1627</v>
      </c>
      <c r="E1452" s="18" t="s">
        <v>1431</v>
      </c>
      <c r="F1452" s="22">
        <v>18</v>
      </c>
      <c r="G1452" s="17" t="s">
        <v>5380</v>
      </c>
      <c r="H1452" s="20" t="s">
        <v>5381</v>
      </c>
      <c r="I1452" s="18" t="s">
        <v>1453</v>
      </c>
      <c r="J1452" s="17"/>
      <c r="K1452" s="17"/>
      <c r="L1452" s="17"/>
      <c r="M1452" s="17" t="s">
        <v>5382</v>
      </c>
      <c r="N1452" s="17"/>
      <c r="O1452" s="17"/>
      <c r="P1452" s="23"/>
      <c r="Q1452" s="17" t="s">
        <v>4756</v>
      </c>
      <c r="R1452" s="17" t="s">
        <v>4756</v>
      </c>
      <c r="S1452" s="17" t="s">
        <v>5382</v>
      </c>
    </row>
    <row r="1453" spans="1:19" s="21" customFormat="1" hidden="1" x14ac:dyDescent="0.15">
      <c r="A1453" s="34">
        <v>1452</v>
      </c>
      <c r="B1453" s="35" t="s">
        <v>4881</v>
      </c>
      <c r="C1453" s="17" t="s">
        <v>4926</v>
      </c>
      <c r="D1453" s="25" t="s">
        <v>1627</v>
      </c>
      <c r="E1453" s="18" t="s">
        <v>1441</v>
      </c>
      <c r="F1453" s="22">
        <v>24</v>
      </c>
      <c r="G1453" s="17" t="s">
        <v>5383</v>
      </c>
      <c r="H1453" s="20" t="s">
        <v>5384</v>
      </c>
      <c r="I1453" s="18" t="s">
        <v>1453</v>
      </c>
      <c r="J1453" s="17"/>
      <c r="K1453" s="17"/>
      <c r="L1453" s="17"/>
      <c r="M1453" s="17" t="s">
        <v>5385</v>
      </c>
      <c r="N1453" s="17"/>
      <c r="O1453" s="17"/>
      <c r="P1453" s="23"/>
      <c r="Q1453" s="17" t="s">
        <v>4756</v>
      </c>
      <c r="R1453" s="17" t="s">
        <v>4756</v>
      </c>
      <c r="S1453" s="17" t="s">
        <v>5385</v>
      </c>
    </row>
    <row r="1454" spans="1:19" s="21" customFormat="1" hidden="1" x14ac:dyDescent="0.15">
      <c r="A1454" s="34">
        <v>1453</v>
      </c>
      <c r="B1454" s="35" t="s">
        <v>4881</v>
      </c>
      <c r="C1454" s="17" t="s">
        <v>4926</v>
      </c>
      <c r="D1454" s="25" t="s">
        <v>1627</v>
      </c>
      <c r="E1454" s="18" t="s">
        <v>1451</v>
      </c>
      <c r="F1454" s="22">
        <v>6</v>
      </c>
      <c r="G1454" s="17" t="s">
        <v>5386</v>
      </c>
      <c r="H1454" s="20" t="s">
        <v>5387</v>
      </c>
      <c r="I1454" s="18" t="s">
        <v>1453</v>
      </c>
      <c r="J1454" s="17"/>
      <c r="K1454" s="17"/>
      <c r="L1454" s="17"/>
      <c r="M1454" s="17" t="s">
        <v>5388</v>
      </c>
      <c r="N1454" s="17"/>
      <c r="O1454" s="17"/>
      <c r="P1454" s="23"/>
      <c r="Q1454" s="17" t="s">
        <v>4756</v>
      </c>
      <c r="R1454" s="17" t="s">
        <v>4756</v>
      </c>
      <c r="S1454" s="17" t="s">
        <v>5388</v>
      </c>
    </row>
    <row r="1455" spans="1:19" s="21" customFormat="1" hidden="1" x14ac:dyDescent="0.15">
      <c r="A1455" s="34">
        <v>1454</v>
      </c>
      <c r="B1455" s="35" t="s">
        <v>4881</v>
      </c>
      <c r="C1455" s="17" t="s">
        <v>4926</v>
      </c>
      <c r="D1455" s="25" t="s">
        <v>1627</v>
      </c>
      <c r="E1455" s="18" t="s">
        <v>1451</v>
      </c>
      <c r="F1455" s="22">
        <v>13</v>
      </c>
      <c r="G1455" s="17" t="s">
        <v>5389</v>
      </c>
      <c r="H1455" s="20" t="s">
        <v>5390</v>
      </c>
      <c r="I1455" s="18" t="s">
        <v>1453</v>
      </c>
      <c r="J1455" s="17"/>
      <c r="K1455" s="17"/>
      <c r="L1455" s="17"/>
      <c r="M1455" s="17" t="s">
        <v>5391</v>
      </c>
      <c r="N1455" s="17" t="s">
        <v>5392</v>
      </c>
      <c r="O1455" s="17"/>
      <c r="P1455" s="23"/>
      <c r="Q1455" s="17" t="s">
        <v>4756</v>
      </c>
      <c r="R1455" s="17" t="s">
        <v>4756</v>
      </c>
      <c r="S1455" s="17" t="s">
        <v>5577</v>
      </c>
    </row>
    <row r="1456" spans="1:19" s="21" customFormat="1" hidden="1" x14ac:dyDescent="0.15">
      <c r="A1456" s="34">
        <v>1455</v>
      </c>
      <c r="B1456" s="35" t="s">
        <v>4881</v>
      </c>
      <c r="C1456" s="17" t="s">
        <v>4926</v>
      </c>
      <c r="D1456" s="25" t="s">
        <v>1606</v>
      </c>
      <c r="E1456" s="18" t="s">
        <v>1451</v>
      </c>
      <c r="F1456" s="22">
        <v>6</v>
      </c>
      <c r="G1456" s="17" t="s">
        <v>5393</v>
      </c>
      <c r="H1456" s="20" t="s">
        <v>5394</v>
      </c>
      <c r="I1456" s="18" t="s">
        <v>288</v>
      </c>
      <c r="J1456" s="17"/>
      <c r="K1456" s="17"/>
      <c r="L1456" s="17"/>
      <c r="M1456" s="17" t="s">
        <v>5395</v>
      </c>
      <c r="N1456" s="17"/>
      <c r="O1456" s="17"/>
      <c r="P1456" s="23"/>
      <c r="Q1456" s="17" t="s">
        <v>4756</v>
      </c>
      <c r="R1456" s="17" t="s">
        <v>4756</v>
      </c>
      <c r="S1456" s="17" t="s">
        <v>5395</v>
      </c>
    </row>
    <row r="1457" spans="1:19" s="21" customFormat="1" hidden="1" x14ac:dyDescent="0.15">
      <c r="A1457" s="34">
        <v>1456</v>
      </c>
      <c r="B1457" s="35" t="s">
        <v>4881</v>
      </c>
      <c r="C1457" s="17" t="s">
        <v>4926</v>
      </c>
      <c r="D1457" s="25" t="s">
        <v>1606</v>
      </c>
      <c r="E1457" s="18" t="s">
        <v>1441</v>
      </c>
      <c r="F1457" s="22">
        <v>11</v>
      </c>
      <c r="G1457" s="17" t="s">
        <v>5396</v>
      </c>
      <c r="H1457" s="20" t="s">
        <v>5397</v>
      </c>
      <c r="I1457" s="18" t="s">
        <v>1453</v>
      </c>
      <c r="J1457" s="17"/>
      <c r="K1457" s="17"/>
      <c r="L1457" s="17"/>
      <c r="M1457" s="17" t="s">
        <v>5398</v>
      </c>
      <c r="N1457" s="17"/>
      <c r="O1457" s="17"/>
      <c r="P1457" s="23"/>
      <c r="Q1457" s="17" t="s">
        <v>4756</v>
      </c>
      <c r="R1457" s="17" t="s">
        <v>4756</v>
      </c>
      <c r="S1457" s="17" t="s">
        <v>5398</v>
      </c>
    </row>
    <row r="1458" spans="1:19" s="21" customFormat="1" hidden="1" x14ac:dyDescent="0.15">
      <c r="A1458" s="34">
        <v>1457</v>
      </c>
      <c r="B1458" s="35" t="s">
        <v>4881</v>
      </c>
      <c r="C1458" s="17" t="s">
        <v>4926</v>
      </c>
      <c r="D1458" s="25" t="s">
        <v>1606</v>
      </c>
      <c r="E1458" s="18" t="s">
        <v>1451</v>
      </c>
      <c r="F1458" s="22">
        <v>7</v>
      </c>
      <c r="G1458" s="17" t="s">
        <v>5399</v>
      </c>
      <c r="H1458" s="20" t="s">
        <v>5400</v>
      </c>
      <c r="I1458" s="18" t="s">
        <v>288</v>
      </c>
      <c r="J1458" s="17"/>
      <c r="K1458" s="17"/>
      <c r="L1458" s="17"/>
      <c r="M1458" s="17" t="s">
        <v>5401</v>
      </c>
      <c r="N1458" s="17"/>
      <c r="O1458" s="17"/>
      <c r="P1458" s="23">
        <v>2</v>
      </c>
      <c r="Q1458" s="17" t="s">
        <v>4756</v>
      </c>
      <c r="R1458" s="17" t="s">
        <v>4756</v>
      </c>
      <c r="S1458" s="17" t="s">
        <v>5401</v>
      </c>
    </row>
    <row r="1459" spans="1:19" s="21" customFormat="1" hidden="1" x14ac:dyDescent="0.15">
      <c r="A1459" s="34">
        <v>1458</v>
      </c>
      <c r="B1459" s="35" t="s">
        <v>4881</v>
      </c>
      <c r="C1459" s="17" t="s">
        <v>4926</v>
      </c>
      <c r="D1459" s="25" t="s">
        <v>1606</v>
      </c>
      <c r="E1459" s="18" t="s">
        <v>1451</v>
      </c>
      <c r="F1459" s="22">
        <v>8</v>
      </c>
      <c r="G1459" s="17" t="s">
        <v>5402</v>
      </c>
      <c r="H1459" s="20" t="s">
        <v>5403</v>
      </c>
      <c r="I1459" s="18" t="s">
        <v>339</v>
      </c>
      <c r="J1459" s="17" t="s">
        <v>1484</v>
      </c>
      <c r="K1459" s="17" t="s">
        <v>4410</v>
      </c>
      <c r="L1459" s="17" t="s">
        <v>1463</v>
      </c>
      <c r="M1459" s="17" t="s">
        <v>5404</v>
      </c>
      <c r="N1459" s="17" t="s">
        <v>5030</v>
      </c>
      <c r="O1459" s="17"/>
      <c r="P1459" s="23"/>
      <c r="Q1459" s="17">
        <v>3</v>
      </c>
      <c r="R1459" s="17">
        <v>2</v>
      </c>
      <c r="S1459" s="17" t="s">
        <v>5578</v>
      </c>
    </row>
    <row r="1460" spans="1:19" s="21" customFormat="1" hidden="1" x14ac:dyDescent="0.15">
      <c r="A1460" s="34">
        <v>1459</v>
      </c>
      <c r="B1460" s="35" t="s">
        <v>4881</v>
      </c>
      <c r="C1460" s="17" t="s">
        <v>4926</v>
      </c>
      <c r="D1460" s="25" t="s">
        <v>1606</v>
      </c>
      <c r="E1460" s="18" t="s">
        <v>1451</v>
      </c>
      <c r="F1460" s="22">
        <v>10</v>
      </c>
      <c r="G1460" s="17" t="s">
        <v>5405</v>
      </c>
      <c r="H1460" s="20" t="s">
        <v>5406</v>
      </c>
      <c r="I1460" s="18" t="s">
        <v>339</v>
      </c>
      <c r="J1460" s="17" t="s">
        <v>2954</v>
      </c>
      <c r="K1460" s="17"/>
      <c r="L1460" s="17"/>
      <c r="M1460" s="17" t="s">
        <v>3920</v>
      </c>
      <c r="N1460" s="17" t="s">
        <v>4426</v>
      </c>
      <c r="O1460" s="17"/>
      <c r="P1460" s="23"/>
      <c r="Q1460" s="17">
        <v>5</v>
      </c>
      <c r="R1460" s="17">
        <v>5</v>
      </c>
      <c r="S1460" s="17" t="s">
        <v>5579</v>
      </c>
    </row>
    <row r="1461" spans="1:19" s="21" customFormat="1" hidden="1" x14ac:dyDescent="0.15">
      <c r="A1461" s="34">
        <v>1460</v>
      </c>
      <c r="B1461" s="35" t="s">
        <v>4881</v>
      </c>
      <c r="C1461" s="17" t="s">
        <v>4926</v>
      </c>
      <c r="D1461" s="25" t="s">
        <v>1582</v>
      </c>
      <c r="E1461" s="18" t="s">
        <v>1451</v>
      </c>
      <c r="F1461" s="22">
        <v>12</v>
      </c>
      <c r="G1461" s="17" t="s">
        <v>5407</v>
      </c>
      <c r="H1461" s="20" t="s">
        <v>5408</v>
      </c>
      <c r="I1461" s="18" t="s">
        <v>339</v>
      </c>
      <c r="J1461" s="17" t="s">
        <v>1489</v>
      </c>
      <c r="K1461" s="17" t="s">
        <v>1493</v>
      </c>
      <c r="L1461" s="17"/>
      <c r="M1461" s="17" t="s">
        <v>2595</v>
      </c>
      <c r="N1461" s="17" t="s">
        <v>5409</v>
      </c>
      <c r="O1461" s="17" t="s">
        <v>5410</v>
      </c>
      <c r="P1461" s="23"/>
      <c r="Q1461" s="17">
        <v>2</v>
      </c>
      <c r="R1461" s="17">
        <v>2</v>
      </c>
      <c r="S1461" s="17" t="s">
        <v>5580</v>
      </c>
    </row>
    <row r="1462" spans="1:19" s="21" customFormat="1" hidden="1" x14ac:dyDescent="0.15">
      <c r="A1462" s="34">
        <v>1461</v>
      </c>
      <c r="B1462" s="35" t="s">
        <v>4881</v>
      </c>
      <c r="C1462" s="17" t="s">
        <v>4926</v>
      </c>
      <c r="D1462" s="25" t="s">
        <v>1582</v>
      </c>
      <c r="E1462" s="18" t="s">
        <v>1441</v>
      </c>
      <c r="F1462" s="22">
        <v>12</v>
      </c>
      <c r="G1462" s="17" t="s">
        <v>5411</v>
      </c>
      <c r="H1462" s="20" t="s">
        <v>5412</v>
      </c>
      <c r="I1462" s="18" t="s">
        <v>1453</v>
      </c>
      <c r="J1462" s="17"/>
      <c r="K1462" s="17"/>
      <c r="L1462" s="17"/>
      <c r="M1462" s="17" t="s">
        <v>5413</v>
      </c>
      <c r="N1462" s="17"/>
      <c r="O1462" s="17"/>
      <c r="P1462" s="23"/>
      <c r="Q1462" s="17" t="s">
        <v>4756</v>
      </c>
      <c r="R1462" s="17" t="s">
        <v>4756</v>
      </c>
      <c r="S1462" s="17" t="s">
        <v>5413</v>
      </c>
    </row>
    <row r="1463" spans="1:19" s="21" customFormat="1" hidden="1" x14ac:dyDescent="0.15">
      <c r="A1463" s="34">
        <v>1462</v>
      </c>
      <c r="B1463" s="35" t="s">
        <v>4881</v>
      </c>
      <c r="C1463" s="17" t="s">
        <v>4926</v>
      </c>
      <c r="D1463" s="25" t="s">
        <v>1582</v>
      </c>
      <c r="E1463" s="18" t="s">
        <v>1431</v>
      </c>
      <c r="F1463" s="22">
        <v>11</v>
      </c>
      <c r="G1463" s="17" t="s">
        <v>5414</v>
      </c>
      <c r="H1463" s="20" t="s">
        <v>5415</v>
      </c>
      <c r="I1463" s="18" t="s">
        <v>1453</v>
      </c>
      <c r="J1463" s="17"/>
      <c r="K1463" s="17"/>
      <c r="L1463" s="17"/>
      <c r="M1463" s="17" t="s">
        <v>5416</v>
      </c>
      <c r="N1463" s="17"/>
      <c r="O1463" s="17"/>
      <c r="P1463" s="23"/>
      <c r="Q1463" s="17" t="s">
        <v>4756</v>
      </c>
      <c r="R1463" s="17" t="s">
        <v>4756</v>
      </c>
      <c r="S1463" s="17" t="s">
        <v>5416</v>
      </c>
    </row>
    <row r="1464" spans="1:19" s="21" customFormat="1" hidden="1" x14ac:dyDescent="0.15">
      <c r="A1464" s="34">
        <v>1463</v>
      </c>
      <c r="B1464" s="35" t="s">
        <v>4881</v>
      </c>
      <c r="C1464" s="17" t="s">
        <v>4926</v>
      </c>
      <c r="D1464" s="25" t="s">
        <v>1582</v>
      </c>
      <c r="E1464" s="18" t="s">
        <v>1451</v>
      </c>
      <c r="F1464" s="22">
        <v>6</v>
      </c>
      <c r="G1464" s="17" t="s">
        <v>5417</v>
      </c>
      <c r="H1464" s="20" t="s">
        <v>5418</v>
      </c>
      <c r="I1464" s="18" t="s">
        <v>339</v>
      </c>
      <c r="J1464" s="17" t="s">
        <v>3827</v>
      </c>
      <c r="K1464" s="17"/>
      <c r="L1464" s="17"/>
      <c r="M1464" s="17" t="s">
        <v>5419</v>
      </c>
      <c r="N1464" s="17"/>
      <c r="O1464" s="17"/>
      <c r="P1464" s="23"/>
      <c r="Q1464" s="17">
        <v>1</v>
      </c>
      <c r="R1464" s="17">
        <v>1</v>
      </c>
      <c r="S1464" s="17" t="s">
        <v>5419</v>
      </c>
    </row>
    <row r="1465" spans="1:19" s="21" customFormat="1" hidden="1" x14ac:dyDescent="0.15">
      <c r="A1465" s="34">
        <v>1464</v>
      </c>
      <c r="B1465" s="35" t="s">
        <v>4881</v>
      </c>
      <c r="C1465" s="17" t="s">
        <v>4926</v>
      </c>
      <c r="D1465" s="25" t="s">
        <v>1582</v>
      </c>
      <c r="E1465" s="18" t="s">
        <v>1451</v>
      </c>
      <c r="F1465" s="22">
        <v>14</v>
      </c>
      <c r="G1465" s="17" t="s">
        <v>5420</v>
      </c>
      <c r="H1465" s="20" t="s">
        <v>5421</v>
      </c>
      <c r="I1465" s="18" t="s">
        <v>288</v>
      </c>
      <c r="J1465" s="17" t="s">
        <v>4968</v>
      </c>
      <c r="K1465" s="17" t="s">
        <v>4997</v>
      </c>
      <c r="L1465" s="17"/>
      <c r="M1465" s="17" t="s">
        <v>5422</v>
      </c>
      <c r="N1465" s="17"/>
      <c r="O1465" s="17"/>
      <c r="P1465" s="23"/>
      <c r="Q1465" s="17" t="s">
        <v>4756</v>
      </c>
      <c r="R1465" s="17" t="s">
        <v>4756</v>
      </c>
      <c r="S1465" s="17" t="s">
        <v>5422</v>
      </c>
    </row>
    <row r="1466" spans="1:19" s="21" customFormat="1" hidden="1" x14ac:dyDescent="0.15">
      <c r="A1466" s="34">
        <v>1465</v>
      </c>
      <c r="B1466" s="35" t="s">
        <v>4881</v>
      </c>
      <c r="C1466" s="17" t="s">
        <v>4926</v>
      </c>
      <c r="D1466" s="25" t="s">
        <v>1582</v>
      </c>
      <c r="E1466" s="18" t="s">
        <v>1451</v>
      </c>
      <c r="F1466" s="22">
        <v>9</v>
      </c>
      <c r="G1466" s="17" t="s">
        <v>5423</v>
      </c>
      <c r="H1466" s="20" t="s">
        <v>5424</v>
      </c>
      <c r="I1466" s="18" t="s">
        <v>1453</v>
      </c>
      <c r="J1466" s="17"/>
      <c r="K1466" s="17"/>
      <c r="L1466" s="17"/>
      <c r="M1466" s="17" t="s">
        <v>5425</v>
      </c>
      <c r="N1466" s="17"/>
      <c r="O1466" s="17"/>
      <c r="P1466" s="23"/>
      <c r="Q1466" s="17" t="s">
        <v>4756</v>
      </c>
      <c r="R1466" s="17" t="s">
        <v>4756</v>
      </c>
      <c r="S1466" s="17" t="s">
        <v>5425</v>
      </c>
    </row>
    <row r="1467" spans="1:19" s="21" customFormat="1" hidden="1" x14ac:dyDescent="0.15">
      <c r="A1467" s="34">
        <v>1466</v>
      </c>
      <c r="B1467" s="35" t="s">
        <v>4881</v>
      </c>
      <c r="C1467" s="17" t="s">
        <v>4926</v>
      </c>
      <c r="D1467" s="25" t="s">
        <v>1552</v>
      </c>
      <c r="E1467" s="18" t="s">
        <v>1451</v>
      </c>
      <c r="F1467" s="22">
        <v>13</v>
      </c>
      <c r="G1467" s="17" t="s">
        <v>5426</v>
      </c>
      <c r="H1467" s="20" t="s">
        <v>5427</v>
      </c>
      <c r="I1467" s="18" t="s">
        <v>1453</v>
      </c>
      <c r="J1467" s="17"/>
      <c r="K1467" s="17"/>
      <c r="L1467" s="17"/>
      <c r="M1467" s="17" t="s">
        <v>5428</v>
      </c>
      <c r="N1467" s="17"/>
      <c r="O1467" s="17"/>
      <c r="P1467" s="23"/>
      <c r="Q1467" s="17" t="s">
        <v>4756</v>
      </c>
      <c r="R1467" s="17" t="s">
        <v>4756</v>
      </c>
      <c r="S1467" s="17" t="s">
        <v>5428</v>
      </c>
    </row>
    <row r="1468" spans="1:19" s="21" customFormat="1" hidden="1" x14ac:dyDescent="0.15">
      <c r="A1468" s="34">
        <v>1467</v>
      </c>
      <c r="B1468" s="35" t="s">
        <v>4881</v>
      </c>
      <c r="C1468" s="17" t="s">
        <v>4926</v>
      </c>
      <c r="D1468" s="25" t="s">
        <v>1552</v>
      </c>
      <c r="E1468" s="18" t="s">
        <v>1451</v>
      </c>
      <c r="F1468" s="22">
        <v>9</v>
      </c>
      <c r="G1468" s="17" t="s">
        <v>5429</v>
      </c>
      <c r="H1468" s="20" t="s">
        <v>5430</v>
      </c>
      <c r="I1468" s="18" t="s">
        <v>339</v>
      </c>
      <c r="J1468" s="17" t="s">
        <v>1489</v>
      </c>
      <c r="K1468" s="17" t="s">
        <v>2861</v>
      </c>
      <c r="L1468" s="17"/>
      <c r="M1468" s="17" t="s">
        <v>5431</v>
      </c>
      <c r="N1468" s="17"/>
      <c r="O1468" s="17"/>
      <c r="P1468" s="23"/>
      <c r="Q1468" s="17">
        <v>3</v>
      </c>
      <c r="R1468" s="17">
        <v>2</v>
      </c>
      <c r="S1468" s="17" t="s">
        <v>5431</v>
      </c>
    </row>
    <row r="1469" spans="1:19" s="21" customFormat="1" hidden="1" x14ac:dyDescent="0.15">
      <c r="A1469" s="34">
        <v>1468</v>
      </c>
      <c r="B1469" s="35" t="s">
        <v>4881</v>
      </c>
      <c r="C1469" s="17" t="s">
        <v>4926</v>
      </c>
      <c r="D1469" s="25" t="s">
        <v>1552</v>
      </c>
      <c r="E1469" s="18" t="s">
        <v>1451</v>
      </c>
      <c r="F1469" s="22">
        <v>11</v>
      </c>
      <c r="G1469" s="17" t="s">
        <v>5432</v>
      </c>
      <c r="H1469" s="20" t="s">
        <v>5433</v>
      </c>
      <c r="I1469" s="18" t="s">
        <v>339</v>
      </c>
      <c r="J1469" s="17" t="s">
        <v>1537</v>
      </c>
      <c r="K1469" s="17"/>
      <c r="L1469" s="17"/>
      <c r="M1469" s="17" t="s">
        <v>2048</v>
      </c>
      <c r="N1469" s="17" t="s">
        <v>4426</v>
      </c>
      <c r="O1469" s="17"/>
      <c r="P1469" s="23"/>
      <c r="Q1469" s="17">
        <v>5</v>
      </c>
      <c r="R1469" s="17">
        <v>4</v>
      </c>
      <c r="S1469" s="17" t="s">
        <v>5581</v>
      </c>
    </row>
    <row r="1470" spans="1:19" s="21" customFormat="1" hidden="1" x14ac:dyDescent="0.15">
      <c r="A1470" s="34">
        <v>1469</v>
      </c>
      <c r="B1470" s="35" t="s">
        <v>4881</v>
      </c>
      <c r="C1470" s="17" t="s">
        <v>4926</v>
      </c>
      <c r="D1470" s="25" t="s">
        <v>1552</v>
      </c>
      <c r="E1470" s="18" t="s">
        <v>1441</v>
      </c>
      <c r="F1470" s="22">
        <v>21</v>
      </c>
      <c r="G1470" s="17" t="s">
        <v>5434</v>
      </c>
      <c r="H1470" s="20" t="s">
        <v>5435</v>
      </c>
      <c r="I1470" s="18" t="s">
        <v>1453</v>
      </c>
      <c r="J1470" s="17"/>
      <c r="K1470" s="17"/>
      <c r="L1470" s="17"/>
      <c r="M1470" s="17" t="s">
        <v>5436</v>
      </c>
      <c r="N1470" s="17"/>
      <c r="O1470" s="17"/>
      <c r="P1470" s="23"/>
      <c r="Q1470" s="17" t="s">
        <v>4756</v>
      </c>
      <c r="R1470" s="17" t="s">
        <v>4756</v>
      </c>
      <c r="S1470" s="17" t="s">
        <v>5436</v>
      </c>
    </row>
    <row r="1471" spans="1:19" s="21" customFormat="1" hidden="1" x14ac:dyDescent="0.15">
      <c r="A1471" s="34">
        <v>1470</v>
      </c>
      <c r="B1471" s="35" t="s">
        <v>4881</v>
      </c>
      <c r="C1471" s="17" t="s">
        <v>4926</v>
      </c>
      <c r="D1471" s="25" t="s">
        <v>1552</v>
      </c>
      <c r="E1471" s="18" t="s">
        <v>1431</v>
      </c>
      <c r="F1471" s="22">
        <v>15</v>
      </c>
      <c r="G1471" s="17" t="s">
        <v>5437</v>
      </c>
      <c r="H1471" s="20" t="s">
        <v>5438</v>
      </c>
      <c r="I1471" s="18" t="s">
        <v>1453</v>
      </c>
      <c r="J1471" s="17"/>
      <c r="K1471" s="17"/>
      <c r="L1471" s="17"/>
      <c r="M1471" s="17" t="s">
        <v>5439</v>
      </c>
      <c r="N1471" s="17"/>
      <c r="O1471" s="17"/>
      <c r="P1471" s="23"/>
      <c r="Q1471" s="17" t="s">
        <v>4756</v>
      </c>
      <c r="R1471" s="17" t="s">
        <v>4756</v>
      </c>
      <c r="S1471" s="17" t="s">
        <v>5439</v>
      </c>
    </row>
    <row r="1472" spans="1:19" s="21" customFormat="1" hidden="1" x14ac:dyDescent="0.15">
      <c r="A1472" s="34">
        <v>1471</v>
      </c>
      <c r="B1472" s="35" t="s">
        <v>4881</v>
      </c>
      <c r="C1472" s="17" t="s">
        <v>4926</v>
      </c>
      <c r="D1472" s="25" t="s">
        <v>1552</v>
      </c>
      <c r="E1472" s="18" t="s">
        <v>1451</v>
      </c>
      <c r="F1472" s="22">
        <v>10</v>
      </c>
      <c r="G1472" s="17" t="s">
        <v>5440</v>
      </c>
      <c r="H1472" s="20" t="s">
        <v>5441</v>
      </c>
      <c r="I1472" s="18" t="s">
        <v>339</v>
      </c>
      <c r="J1472" s="17" t="s">
        <v>1484</v>
      </c>
      <c r="K1472" s="17" t="s">
        <v>4500</v>
      </c>
      <c r="L1472" s="17"/>
      <c r="M1472" s="17" t="s">
        <v>5030</v>
      </c>
      <c r="N1472" s="17"/>
      <c r="O1472" s="17"/>
      <c r="P1472" s="23"/>
      <c r="Q1472" s="17">
        <v>5</v>
      </c>
      <c r="R1472" s="17">
        <v>4</v>
      </c>
      <c r="S1472" s="17" t="s">
        <v>5030</v>
      </c>
    </row>
    <row r="1473" spans="1:19" s="21" customFormat="1" hidden="1" x14ac:dyDescent="0.15">
      <c r="A1473" s="34">
        <v>1472</v>
      </c>
      <c r="B1473" s="35" t="s">
        <v>4881</v>
      </c>
      <c r="C1473" s="17" t="s">
        <v>4926</v>
      </c>
      <c r="D1473" s="25" t="s">
        <v>1518</v>
      </c>
      <c r="E1473" s="18" t="s">
        <v>1451</v>
      </c>
      <c r="F1473" s="22">
        <v>7</v>
      </c>
      <c r="G1473" s="17" t="s">
        <v>5442</v>
      </c>
      <c r="H1473" s="20" t="s">
        <v>5443</v>
      </c>
      <c r="I1473" s="18" t="s">
        <v>1453</v>
      </c>
      <c r="J1473" s="17"/>
      <c r="K1473" s="17"/>
      <c r="L1473" s="17"/>
      <c r="M1473" s="17" t="s">
        <v>5444</v>
      </c>
      <c r="N1473" s="17"/>
      <c r="O1473" s="17"/>
      <c r="P1473" s="23"/>
      <c r="Q1473" s="17" t="s">
        <v>4756</v>
      </c>
      <c r="R1473" s="17" t="s">
        <v>4756</v>
      </c>
      <c r="S1473" s="17" t="s">
        <v>5444</v>
      </c>
    </row>
    <row r="1474" spans="1:19" s="21" customFormat="1" hidden="1" x14ac:dyDescent="0.15">
      <c r="A1474" s="34">
        <v>1473</v>
      </c>
      <c r="B1474" s="35" t="s">
        <v>4881</v>
      </c>
      <c r="C1474" s="17" t="s">
        <v>4926</v>
      </c>
      <c r="D1474" s="25" t="s">
        <v>1518</v>
      </c>
      <c r="E1474" s="18" t="s">
        <v>1451</v>
      </c>
      <c r="F1474" s="22">
        <v>12</v>
      </c>
      <c r="G1474" s="17" t="s">
        <v>5445</v>
      </c>
      <c r="H1474" s="20" t="s">
        <v>5446</v>
      </c>
      <c r="I1474" s="18" t="s">
        <v>339</v>
      </c>
      <c r="J1474" s="17" t="s">
        <v>4454</v>
      </c>
      <c r="K1474" s="17" t="s">
        <v>2861</v>
      </c>
      <c r="L1474" s="17"/>
      <c r="M1474" s="17" t="s">
        <v>1944</v>
      </c>
      <c r="N1474" s="17"/>
      <c r="O1474" s="17"/>
      <c r="P1474" s="23"/>
      <c r="Q1474" s="17">
        <v>4</v>
      </c>
      <c r="R1474" s="17">
        <v>4</v>
      </c>
      <c r="S1474" s="17" t="s">
        <v>1944</v>
      </c>
    </row>
    <row r="1475" spans="1:19" s="21" customFormat="1" hidden="1" x14ac:dyDescent="0.15">
      <c r="A1475" s="34">
        <v>1474</v>
      </c>
      <c r="B1475" s="35" t="s">
        <v>4881</v>
      </c>
      <c r="C1475" s="17" t="s">
        <v>4926</v>
      </c>
      <c r="D1475" s="25" t="s">
        <v>1518</v>
      </c>
      <c r="E1475" s="18" t="s">
        <v>1451</v>
      </c>
      <c r="F1475" s="22">
        <v>13</v>
      </c>
      <c r="G1475" s="17" t="s">
        <v>5447</v>
      </c>
      <c r="H1475" s="20" t="s">
        <v>5448</v>
      </c>
      <c r="I1475" s="18" t="s">
        <v>339</v>
      </c>
      <c r="J1475" s="17" t="s">
        <v>1489</v>
      </c>
      <c r="K1475" s="17" t="s">
        <v>1529</v>
      </c>
      <c r="L1475" s="17"/>
      <c r="M1475" s="17" t="s">
        <v>5449</v>
      </c>
      <c r="N1475" s="17"/>
      <c r="O1475" s="17"/>
      <c r="P1475" s="23"/>
      <c r="Q1475" s="17">
        <v>4</v>
      </c>
      <c r="R1475" s="17">
        <v>4</v>
      </c>
      <c r="S1475" s="17" t="s">
        <v>5449</v>
      </c>
    </row>
    <row r="1476" spans="1:19" s="21" customFormat="1" hidden="1" x14ac:dyDescent="0.15">
      <c r="A1476" s="34">
        <v>1475</v>
      </c>
      <c r="B1476" s="35" t="s">
        <v>4881</v>
      </c>
      <c r="C1476" s="17" t="s">
        <v>4926</v>
      </c>
      <c r="D1476" s="25" t="s">
        <v>1518</v>
      </c>
      <c r="E1476" s="18" t="s">
        <v>1431</v>
      </c>
      <c r="F1476" s="22">
        <v>11</v>
      </c>
      <c r="G1476" s="17" t="s">
        <v>5450</v>
      </c>
      <c r="H1476" s="20" t="s">
        <v>5451</v>
      </c>
      <c r="I1476" s="18" t="s">
        <v>1453</v>
      </c>
      <c r="J1476" s="17"/>
      <c r="K1476" s="17"/>
      <c r="L1476" s="17"/>
      <c r="M1476" s="17" t="s">
        <v>5452</v>
      </c>
      <c r="N1476" s="17"/>
      <c r="O1476" s="17"/>
      <c r="P1476" s="23"/>
      <c r="Q1476" s="17" t="s">
        <v>4756</v>
      </c>
      <c r="R1476" s="17" t="s">
        <v>4756</v>
      </c>
      <c r="S1476" s="17" t="s">
        <v>5452</v>
      </c>
    </row>
    <row r="1477" spans="1:19" s="21" customFormat="1" hidden="1" x14ac:dyDescent="0.15">
      <c r="A1477" s="34">
        <v>1476</v>
      </c>
      <c r="B1477" s="35" t="s">
        <v>4881</v>
      </c>
      <c r="C1477" s="17" t="s">
        <v>4926</v>
      </c>
      <c r="D1477" s="25" t="s">
        <v>1518</v>
      </c>
      <c r="E1477" s="18" t="s">
        <v>1451</v>
      </c>
      <c r="F1477" s="22">
        <v>7</v>
      </c>
      <c r="G1477" s="17" t="s">
        <v>5453</v>
      </c>
      <c r="H1477" s="20" t="s">
        <v>5454</v>
      </c>
      <c r="I1477" s="18" t="s">
        <v>1453</v>
      </c>
      <c r="J1477" s="17"/>
      <c r="K1477" s="17"/>
      <c r="L1477" s="17"/>
      <c r="M1477" s="17" t="s">
        <v>5455</v>
      </c>
      <c r="N1477" s="17"/>
      <c r="O1477" s="17"/>
      <c r="P1477" s="23"/>
      <c r="Q1477" s="17" t="s">
        <v>4756</v>
      </c>
      <c r="R1477" s="17" t="s">
        <v>4756</v>
      </c>
      <c r="S1477" s="17" t="s">
        <v>5455</v>
      </c>
    </row>
    <row r="1478" spans="1:19" s="21" customFormat="1" hidden="1" x14ac:dyDescent="0.15">
      <c r="A1478" s="34">
        <v>1477</v>
      </c>
      <c r="B1478" s="35" t="s">
        <v>4881</v>
      </c>
      <c r="C1478" s="17" t="s">
        <v>4926</v>
      </c>
      <c r="D1478" s="25" t="s">
        <v>1518</v>
      </c>
      <c r="E1478" s="18" t="s">
        <v>1441</v>
      </c>
      <c r="F1478" s="22">
        <v>7</v>
      </c>
      <c r="G1478" s="17" t="s">
        <v>5456</v>
      </c>
      <c r="H1478" s="20" t="s">
        <v>5457</v>
      </c>
      <c r="I1478" s="18" t="s">
        <v>1453</v>
      </c>
      <c r="J1478" s="17"/>
      <c r="K1478" s="17"/>
      <c r="L1478" s="17"/>
      <c r="M1478" s="17" t="s">
        <v>5458</v>
      </c>
      <c r="N1478" s="17"/>
      <c r="O1478" s="17"/>
      <c r="P1478" s="23"/>
      <c r="Q1478" s="17" t="s">
        <v>4756</v>
      </c>
      <c r="R1478" s="17" t="s">
        <v>4756</v>
      </c>
      <c r="S1478" s="17" t="s">
        <v>5458</v>
      </c>
    </row>
    <row r="1479" spans="1:19" s="21" customFormat="1" hidden="1" x14ac:dyDescent="0.15">
      <c r="A1479" s="34">
        <v>1478</v>
      </c>
      <c r="B1479" s="35" t="s">
        <v>4881</v>
      </c>
      <c r="C1479" s="17" t="s">
        <v>4926</v>
      </c>
      <c r="D1479" s="25" t="s">
        <v>292</v>
      </c>
      <c r="E1479" s="18" t="s">
        <v>1441</v>
      </c>
      <c r="F1479" s="22">
        <v>12</v>
      </c>
      <c r="G1479" s="17" t="s">
        <v>5459</v>
      </c>
      <c r="H1479" s="20" t="s">
        <v>5460</v>
      </c>
      <c r="I1479" s="18" t="s">
        <v>1453</v>
      </c>
      <c r="J1479" s="17" t="s">
        <v>4955</v>
      </c>
      <c r="K1479" s="17"/>
      <c r="L1479" s="17"/>
      <c r="M1479" s="17" t="s">
        <v>5461</v>
      </c>
      <c r="N1479" s="17"/>
      <c r="O1479" s="17"/>
      <c r="P1479" s="23"/>
      <c r="Q1479" s="17" t="s">
        <v>4756</v>
      </c>
      <c r="R1479" s="17" t="s">
        <v>4756</v>
      </c>
      <c r="S1479" s="17" t="s">
        <v>5461</v>
      </c>
    </row>
    <row r="1480" spans="1:19" s="21" customFormat="1" hidden="1" x14ac:dyDescent="0.15">
      <c r="A1480" s="34">
        <v>1479</v>
      </c>
      <c r="B1480" s="35" t="s">
        <v>4881</v>
      </c>
      <c r="C1480" s="17" t="s">
        <v>4926</v>
      </c>
      <c r="D1480" s="25" t="s">
        <v>292</v>
      </c>
      <c r="E1480" s="18" t="s">
        <v>1441</v>
      </c>
      <c r="F1480" s="22">
        <v>11</v>
      </c>
      <c r="G1480" s="17" t="s">
        <v>5462</v>
      </c>
      <c r="H1480" s="20" t="s">
        <v>5463</v>
      </c>
      <c r="I1480" s="18" t="s">
        <v>288</v>
      </c>
      <c r="J1480" s="17"/>
      <c r="K1480" s="17"/>
      <c r="L1480" s="17"/>
      <c r="M1480" s="17" t="s">
        <v>5464</v>
      </c>
      <c r="N1480" s="17"/>
      <c r="O1480" s="17"/>
      <c r="P1480" s="23"/>
      <c r="Q1480" s="17" t="s">
        <v>4756</v>
      </c>
      <c r="R1480" s="17" t="s">
        <v>4756</v>
      </c>
      <c r="S1480" s="17" t="s">
        <v>5464</v>
      </c>
    </row>
    <row r="1481" spans="1:19" s="21" customFormat="1" hidden="1" x14ac:dyDescent="0.15">
      <c r="A1481" s="34">
        <v>1480</v>
      </c>
      <c r="B1481" s="35" t="s">
        <v>4881</v>
      </c>
      <c r="C1481" s="17" t="s">
        <v>4926</v>
      </c>
      <c r="D1481" s="25" t="s">
        <v>292</v>
      </c>
      <c r="E1481" s="18" t="s">
        <v>1441</v>
      </c>
      <c r="F1481" s="22">
        <v>16</v>
      </c>
      <c r="G1481" s="17" t="s">
        <v>5465</v>
      </c>
      <c r="H1481" s="20" t="s">
        <v>5466</v>
      </c>
      <c r="I1481" s="18" t="s">
        <v>339</v>
      </c>
      <c r="J1481" s="17" t="s">
        <v>343</v>
      </c>
      <c r="K1481" s="17"/>
      <c r="L1481" s="17"/>
      <c r="M1481" s="17" t="s">
        <v>5467</v>
      </c>
      <c r="N1481" s="17" t="s">
        <v>4483</v>
      </c>
      <c r="O1481" s="17"/>
      <c r="P1481" s="23"/>
      <c r="Q1481" s="17">
        <v>6</v>
      </c>
      <c r="R1481" s="17">
        <v>6</v>
      </c>
      <c r="S1481" s="17" t="s">
        <v>5582</v>
      </c>
    </row>
    <row r="1482" spans="1:19" s="21" customFormat="1" hidden="1" x14ac:dyDescent="0.15">
      <c r="A1482" s="34">
        <v>1481</v>
      </c>
      <c r="B1482" s="35" t="s">
        <v>4881</v>
      </c>
      <c r="C1482" s="17" t="s">
        <v>4926</v>
      </c>
      <c r="D1482" s="25" t="s">
        <v>292</v>
      </c>
      <c r="E1482" s="18" t="s">
        <v>1441</v>
      </c>
      <c r="F1482" s="22">
        <v>9</v>
      </c>
      <c r="G1482" s="17" t="s">
        <v>5468</v>
      </c>
      <c r="H1482" s="20" t="s">
        <v>5469</v>
      </c>
      <c r="I1482" s="18" t="s">
        <v>1453</v>
      </c>
      <c r="J1482" s="17" t="s">
        <v>4955</v>
      </c>
      <c r="K1482" s="17"/>
      <c r="L1482" s="17"/>
      <c r="M1482" s="17" t="s">
        <v>5470</v>
      </c>
      <c r="N1482" s="17"/>
      <c r="O1482" s="17"/>
      <c r="P1482" s="23"/>
      <c r="Q1482" s="17" t="s">
        <v>4756</v>
      </c>
      <c r="R1482" s="17" t="s">
        <v>4756</v>
      </c>
      <c r="S1482" s="17" t="s">
        <v>5470</v>
      </c>
    </row>
    <row r="1483" spans="1:19" s="21" customFormat="1" hidden="1" x14ac:dyDescent="0.15">
      <c r="A1483" s="34">
        <v>1482</v>
      </c>
      <c r="B1483" s="35" t="s">
        <v>4881</v>
      </c>
      <c r="C1483" s="17" t="s">
        <v>4926</v>
      </c>
      <c r="D1483" s="25" t="s">
        <v>292</v>
      </c>
      <c r="E1483" s="18" t="s">
        <v>1441</v>
      </c>
      <c r="F1483" s="22">
        <v>8</v>
      </c>
      <c r="G1483" s="17" t="s">
        <v>5471</v>
      </c>
      <c r="H1483" s="20" t="s">
        <v>5472</v>
      </c>
      <c r="I1483" s="18" t="s">
        <v>1453</v>
      </c>
      <c r="J1483" s="17" t="s">
        <v>4955</v>
      </c>
      <c r="K1483" s="17"/>
      <c r="L1483" s="17"/>
      <c r="M1483" s="17" t="s">
        <v>5473</v>
      </c>
      <c r="N1483" s="17"/>
      <c r="O1483" s="17"/>
      <c r="P1483" s="23"/>
      <c r="Q1483" s="17" t="s">
        <v>4756</v>
      </c>
      <c r="R1483" s="17" t="s">
        <v>4756</v>
      </c>
      <c r="S1483" s="17" t="s">
        <v>5473</v>
      </c>
    </row>
    <row r="1484" spans="1:19" s="21" customFormat="1" hidden="1" x14ac:dyDescent="0.15">
      <c r="A1484" s="34">
        <v>1483</v>
      </c>
      <c r="B1484" s="35" t="s">
        <v>4881</v>
      </c>
      <c r="C1484" s="17" t="s">
        <v>6298</v>
      </c>
      <c r="D1484" s="25" t="s">
        <v>1627</v>
      </c>
      <c r="E1484" s="18" t="s">
        <v>3161</v>
      </c>
      <c r="F1484" s="22">
        <v>19</v>
      </c>
      <c r="G1484" s="17" t="s">
        <v>5475</v>
      </c>
      <c r="H1484" s="20" t="s">
        <v>5476</v>
      </c>
      <c r="I1484" s="18" t="s">
        <v>1453</v>
      </c>
      <c r="J1484" s="17"/>
      <c r="K1484" s="17"/>
      <c r="L1484" s="17"/>
      <c r="M1484" s="17" t="s">
        <v>5477</v>
      </c>
      <c r="N1484" s="17"/>
      <c r="O1484" s="17"/>
      <c r="P1484" s="23"/>
      <c r="Q1484" s="17" t="s">
        <v>4756</v>
      </c>
      <c r="R1484" s="17" t="s">
        <v>4756</v>
      </c>
      <c r="S1484" s="17" t="s">
        <v>5477</v>
      </c>
    </row>
    <row r="1485" spans="1:19" s="21" customFormat="1" hidden="1" x14ac:dyDescent="0.15">
      <c r="A1485" s="34">
        <v>1484</v>
      </c>
      <c r="B1485" s="35" t="s">
        <v>4881</v>
      </c>
      <c r="C1485" s="17" t="s">
        <v>6298</v>
      </c>
      <c r="D1485" s="25" t="s">
        <v>1582</v>
      </c>
      <c r="E1485" s="18" t="s">
        <v>3161</v>
      </c>
      <c r="F1485" s="22">
        <v>30</v>
      </c>
      <c r="G1485" s="17" t="s">
        <v>5478</v>
      </c>
      <c r="H1485" s="20" t="s">
        <v>5479</v>
      </c>
      <c r="I1485" s="18" t="s">
        <v>339</v>
      </c>
      <c r="J1485" s="17" t="s">
        <v>5480</v>
      </c>
      <c r="K1485" s="17"/>
      <c r="L1485" s="17"/>
      <c r="M1485" s="17" t="s">
        <v>5481</v>
      </c>
      <c r="N1485" s="17"/>
      <c r="O1485" s="17"/>
      <c r="P1485" s="23"/>
      <c r="Q1485" s="17">
        <v>12</v>
      </c>
      <c r="R1485" s="17">
        <v>12</v>
      </c>
      <c r="S1485" s="17" t="s">
        <v>5481</v>
      </c>
    </row>
    <row r="1486" spans="1:19" s="21" customFormat="1" hidden="1" x14ac:dyDescent="0.15">
      <c r="A1486" s="34">
        <v>1485</v>
      </c>
      <c r="B1486" s="35" t="s">
        <v>4881</v>
      </c>
      <c r="C1486" s="17" t="s">
        <v>6298</v>
      </c>
      <c r="D1486" s="25" t="s">
        <v>1552</v>
      </c>
      <c r="E1486" s="18" t="s">
        <v>3161</v>
      </c>
      <c r="F1486" s="22">
        <v>6</v>
      </c>
      <c r="G1486" s="17" t="s">
        <v>5482</v>
      </c>
      <c r="H1486" s="20" t="s">
        <v>5483</v>
      </c>
      <c r="I1486" s="18" t="s">
        <v>1453</v>
      </c>
      <c r="J1486" s="17"/>
      <c r="K1486" s="17"/>
      <c r="L1486" s="17"/>
      <c r="M1486" s="17" t="s">
        <v>5484</v>
      </c>
      <c r="N1486" s="17"/>
      <c r="O1486" s="17"/>
      <c r="P1486" s="23"/>
      <c r="Q1486" s="17" t="s">
        <v>4756</v>
      </c>
      <c r="R1486" s="17" t="s">
        <v>4756</v>
      </c>
      <c r="S1486" s="17" t="s">
        <v>5484</v>
      </c>
    </row>
    <row r="1487" spans="1:19" s="21" customFormat="1" hidden="1" x14ac:dyDescent="0.15">
      <c r="A1487" s="34">
        <v>1486</v>
      </c>
      <c r="B1487" s="35" t="s">
        <v>4881</v>
      </c>
      <c r="C1487" s="17" t="s">
        <v>6298</v>
      </c>
      <c r="D1487" s="25" t="s">
        <v>1518</v>
      </c>
      <c r="E1487" s="18" t="s">
        <v>3161</v>
      </c>
      <c r="F1487" s="22">
        <v>6</v>
      </c>
      <c r="G1487" s="17" t="s">
        <v>5485</v>
      </c>
      <c r="H1487" s="20" t="s">
        <v>5486</v>
      </c>
      <c r="I1487" s="18" t="s">
        <v>288</v>
      </c>
      <c r="J1487" s="17"/>
      <c r="K1487" s="17"/>
      <c r="L1487" s="17"/>
      <c r="M1487" s="17" t="s">
        <v>5487</v>
      </c>
      <c r="N1487" s="17"/>
      <c r="O1487" s="17"/>
      <c r="P1487" s="23"/>
      <c r="Q1487" s="17" t="s">
        <v>4756</v>
      </c>
      <c r="R1487" s="17" t="s">
        <v>4756</v>
      </c>
      <c r="S1487" s="17" t="s">
        <v>5487</v>
      </c>
    </row>
    <row r="1488" spans="1:19" s="21" customFormat="1" hidden="1" x14ac:dyDescent="0.15">
      <c r="A1488" s="34">
        <v>1487</v>
      </c>
      <c r="B1488" s="35" t="s">
        <v>4881</v>
      </c>
      <c r="C1488" s="17" t="s">
        <v>6298</v>
      </c>
      <c r="D1488" s="17" t="s">
        <v>1487</v>
      </c>
      <c r="E1488" s="18" t="s">
        <v>3161</v>
      </c>
      <c r="F1488" s="22">
        <v>21</v>
      </c>
      <c r="G1488" s="17" t="s">
        <v>5488</v>
      </c>
      <c r="H1488" s="20" t="s">
        <v>5489</v>
      </c>
      <c r="I1488" s="18" t="s">
        <v>339</v>
      </c>
      <c r="J1488" s="17" t="s">
        <v>1537</v>
      </c>
      <c r="K1488" s="17"/>
      <c r="L1488" s="17"/>
      <c r="M1488" s="17" t="s">
        <v>5490</v>
      </c>
      <c r="N1488" s="17"/>
      <c r="O1488" s="17"/>
      <c r="P1488" s="23"/>
      <c r="Q1488" s="17">
        <v>1</v>
      </c>
      <c r="R1488" s="17">
        <v>1</v>
      </c>
      <c r="S1488" s="17" t="s">
        <v>5490</v>
      </c>
    </row>
    <row r="1489" spans="1:20" s="21" customFormat="1" hidden="1" x14ac:dyDescent="0.15">
      <c r="A1489" s="34">
        <v>1488</v>
      </c>
      <c r="B1489" s="35" t="s">
        <v>4881</v>
      </c>
      <c r="C1489" s="17" t="s">
        <v>6298</v>
      </c>
      <c r="D1489" s="25" t="s">
        <v>1582</v>
      </c>
      <c r="E1489" s="18" t="s">
        <v>3161</v>
      </c>
      <c r="F1489" s="22">
        <v>12</v>
      </c>
      <c r="G1489" s="17" t="s">
        <v>5491</v>
      </c>
      <c r="H1489" s="20" t="s">
        <v>5492</v>
      </c>
      <c r="I1489" s="18" t="s">
        <v>288</v>
      </c>
      <c r="J1489" s="17"/>
      <c r="K1489" s="17"/>
      <c r="L1489" s="17"/>
      <c r="M1489" s="17" t="s">
        <v>5493</v>
      </c>
      <c r="N1489" s="17"/>
      <c r="O1489" s="17"/>
      <c r="P1489" s="23"/>
      <c r="Q1489" s="17" t="s">
        <v>4756</v>
      </c>
      <c r="R1489" s="17" t="s">
        <v>4756</v>
      </c>
      <c r="S1489" s="17" t="s">
        <v>5493</v>
      </c>
    </row>
    <row r="1490" spans="1:20" s="21" customFormat="1" hidden="1" x14ac:dyDescent="0.15">
      <c r="A1490" s="34">
        <v>1489</v>
      </c>
      <c r="B1490" s="35" t="s">
        <v>4881</v>
      </c>
      <c r="C1490" s="17" t="s">
        <v>6298</v>
      </c>
      <c r="D1490" s="25" t="s">
        <v>1606</v>
      </c>
      <c r="E1490" s="18" t="s">
        <v>3161</v>
      </c>
      <c r="F1490" s="22">
        <v>17</v>
      </c>
      <c r="G1490" s="17" t="s">
        <v>5494</v>
      </c>
      <c r="H1490" s="20" t="s">
        <v>5495</v>
      </c>
      <c r="I1490" s="18" t="s">
        <v>288</v>
      </c>
      <c r="J1490" s="17"/>
      <c r="K1490" s="17"/>
      <c r="L1490" s="17"/>
      <c r="M1490" s="17" t="s">
        <v>5496</v>
      </c>
      <c r="N1490" s="17" t="s">
        <v>5497</v>
      </c>
      <c r="O1490" s="17"/>
      <c r="P1490" s="23"/>
      <c r="Q1490" s="17" t="s">
        <v>4756</v>
      </c>
      <c r="R1490" s="17" t="s">
        <v>4756</v>
      </c>
      <c r="S1490" s="17" t="s">
        <v>5583</v>
      </c>
    </row>
    <row r="1491" spans="1:20" s="21" customFormat="1" hidden="1" x14ac:dyDescent="0.15">
      <c r="A1491" s="34">
        <v>1490</v>
      </c>
      <c r="B1491" s="35" t="s">
        <v>4881</v>
      </c>
      <c r="C1491" s="17" t="s">
        <v>6298</v>
      </c>
      <c r="D1491" s="25" t="s">
        <v>1552</v>
      </c>
      <c r="E1491" s="18" t="s">
        <v>3161</v>
      </c>
      <c r="F1491" s="22">
        <v>7</v>
      </c>
      <c r="G1491" s="17" t="s">
        <v>5498</v>
      </c>
      <c r="H1491" s="20" t="s">
        <v>5499</v>
      </c>
      <c r="I1491" s="18" t="s">
        <v>1453</v>
      </c>
      <c r="J1491" s="17"/>
      <c r="K1491" s="17"/>
      <c r="L1491" s="17"/>
      <c r="M1491" s="17" t="s">
        <v>5500</v>
      </c>
      <c r="N1491" s="17"/>
      <c r="O1491" s="17"/>
      <c r="P1491" s="23"/>
      <c r="Q1491" s="17" t="s">
        <v>4756</v>
      </c>
      <c r="R1491" s="17" t="s">
        <v>4756</v>
      </c>
      <c r="S1491" s="17" t="s">
        <v>5500</v>
      </c>
    </row>
    <row r="1492" spans="1:20" s="21" customFormat="1" hidden="1" x14ac:dyDescent="0.15">
      <c r="A1492" s="34">
        <v>1491</v>
      </c>
      <c r="B1492" s="35" t="s">
        <v>4881</v>
      </c>
      <c r="C1492" s="17" t="s">
        <v>6298</v>
      </c>
      <c r="D1492" s="25" t="s">
        <v>1582</v>
      </c>
      <c r="E1492" s="18" t="s">
        <v>3161</v>
      </c>
      <c r="F1492" s="22">
        <v>1</v>
      </c>
      <c r="G1492" s="17" t="s">
        <v>5501</v>
      </c>
      <c r="H1492" s="20" t="s">
        <v>5502</v>
      </c>
      <c r="I1492" s="18" t="s">
        <v>1453</v>
      </c>
      <c r="J1492" s="17"/>
      <c r="K1492" s="17"/>
      <c r="L1492" s="17"/>
      <c r="M1492" s="17" t="s">
        <v>5503</v>
      </c>
      <c r="N1492" s="17"/>
      <c r="O1492" s="17"/>
      <c r="P1492" s="23"/>
      <c r="Q1492" s="17" t="s">
        <v>4756</v>
      </c>
      <c r="R1492" s="17" t="s">
        <v>4756</v>
      </c>
      <c r="S1492" s="17" t="s">
        <v>5503</v>
      </c>
    </row>
    <row r="1493" spans="1:20" s="21" customFormat="1" hidden="1" x14ac:dyDescent="0.15">
      <c r="A1493" s="34">
        <v>1492</v>
      </c>
      <c r="B1493" s="35" t="s">
        <v>4881</v>
      </c>
      <c r="C1493" s="17" t="s">
        <v>6298</v>
      </c>
      <c r="D1493" s="25" t="s">
        <v>1606</v>
      </c>
      <c r="E1493" s="18" t="s">
        <v>3161</v>
      </c>
      <c r="F1493" s="22">
        <v>14</v>
      </c>
      <c r="G1493" s="17" t="s">
        <v>5504</v>
      </c>
      <c r="H1493" s="20" t="s">
        <v>5505</v>
      </c>
      <c r="I1493" s="18" t="s">
        <v>1453</v>
      </c>
      <c r="J1493" s="17"/>
      <c r="K1493" s="17"/>
      <c r="L1493" s="17"/>
      <c r="M1493" s="17" t="s">
        <v>5506</v>
      </c>
      <c r="N1493" s="17"/>
      <c r="O1493" s="17"/>
      <c r="P1493" s="23"/>
      <c r="Q1493" s="17" t="s">
        <v>4756</v>
      </c>
      <c r="R1493" s="17" t="s">
        <v>4756</v>
      </c>
      <c r="S1493" s="11" t="str">
        <f t="shared" ref="S1493:S1557" si="9">IF(M1493="","",M1493&amp;IF(N1493="","","&amp;br;"&amp;N1493)&amp;IF(O1493="","","&amp;br;"&amp;O1493))</f>
        <v>両プレイヤーの手札の各カードからすべてのマナを吸収する。</v>
      </c>
    </row>
    <row r="1494" spans="1:20" s="21" customFormat="1" hidden="1" x14ac:dyDescent="0.15">
      <c r="A1494" s="34">
        <v>1492</v>
      </c>
      <c r="B1494" s="35" t="s">
        <v>4881</v>
      </c>
      <c r="C1494" s="17" t="s">
        <v>6579</v>
      </c>
      <c r="D1494" s="25" t="s">
        <v>6580</v>
      </c>
      <c r="E1494" s="18" t="s">
        <v>6581</v>
      </c>
      <c r="F1494" s="22">
        <v>14</v>
      </c>
      <c r="G1494" s="17" t="s">
        <v>6582</v>
      </c>
      <c r="H1494" s="20" t="s">
        <v>6583</v>
      </c>
      <c r="I1494" s="18" t="s">
        <v>6584</v>
      </c>
      <c r="J1494" s="17"/>
      <c r="K1494" s="17"/>
      <c r="L1494" s="17"/>
      <c r="M1494" s="17"/>
      <c r="N1494" s="17"/>
      <c r="O1494" s="17"/>
      <c r="P1494" s="23"/>
      <c r="Q1494" s="17" t="s">
        <v>4756</v>
      </c>
      <c r="R1494" s="17" t="s">
        <v>4756</v>
      </c>
      <c r="S1494" s="11" t="str">
        <f t="shared" ref="S1494" si="10">IF(M1494="","",M1494&amp;IF(N1494="","","&amp;br;"&amp;N1494)&amp;IF(O1494="","","&amp;br;"&amp;O1494))</f>
        <v/>
      </c>
    </row>
    <row r="1495" spans="1:20" s="21" customFormat="1" hidden="1" x14ac:dyDescent="0.15">
      <c r="A1495" s="34">
        <v>1493</v>
      </c>
      <c r="B1495" s="35" t="s">
        <v>4881</v>
      </c>
      <c r="C1495" s="17" t="s">
        <v>5677</v>
      </c>
      <c r="D1495" s="17" t="s">
        <v>1627</v>
      </c>
      <c r="E1495" s="18" t="s">
        <v>1744</v>
      </c>
      <c r="F1495" s="22">
        <v>6</v>
      </c>
      <c r="G1495" s="17" t="s">
        <v>5680</v>
      </c>
      <c r="H1495" s="20" t="s">
        <v>5681</v>
      </c>
      <c r="I1495" s="18" t="s">
        <v>339</v>
      </c>
      <c r="J1495" s="17" t="s">
        <v>5682</v>
      </c>
      <c r="K1495" s="17" t="s">
        <v>5683</v>
      </c>
      <c r="L1495" s="17"/>
      <c r="M1495" s="17" t="s">
        <v>6857</v>
      </c>
      <c r="N1495" s="17" t="s">
        <v>6548</v>
      </c>
      <c r="O1495" s="17"/>
      <c r="P1495" s="23"/>
      <c r="Q1495" s="17">
        <v>1</v>
      </c>
      <c r="R1495" s="17">
        <v>1</v>
      </c>
      <c r="S1495" s="11" t="str">
        <f t="shared" si="9"/>
        <v>このクリーチャーが攻撃するたび、ターン終了時まで、それは+2/+0の修正を受ける。&amp;br;ジェム2個を起動する：ターン終了時まで、このクリーチャーはダメージ軽減を得る。3点のライフを失う。</v>
      </c>
      <c r="T1495" s="21" t="s">
        <v>6075</v>
      </c>
    </row>
    <row r="1496" spans="1:20" hidden="1" x14ac:dyDescent="0.15">
      <c r="A1496" s="34">
        <v>1494</v>
      </c>
      <c r="B1496" s="35" t="s">
        <v>4881</v>
      </c>
      <c r="C1496" s="17" t="s">
        <v>5677</v>
      </c>
      <c r="D1496" s="17" t="s">
        <v>1627</v>
      </c>
      <c r="E1496" s="18" t="s">
        <v>1744</v>
      </c>
      <c r="F1496" s="22">
        <v>9</v>
      </c>
      <c r="G1496" s="17" t="s">
        <v>5684</v>
      </c>
      <c r="H1496" s="20" t="s">
        <v>5685</v>
      </c>
      <c r="I1496" s="18" t="s">
        <v>339</v>
      </c>
      <c r="J1496" s="17" t="s">
        <v>5686</v>
      </c>
      <c r="K1496" s="17" t="s">
        <v>1470</v>
      </c>
      <c r="L1496" s="17"/>
      <c r="M1496" s="17" t="s">
        <v>6059</v>
      </c>
      <c r="N1496" s="17" t="s">
        <v>6549</v>
      </c>
      <c r="O1496" s="17"/>
      <c r="P1496" s="23"/>
      <c r="Q1496" s="17">
        <v>2</v>
      </c>
      <c r="R1496" s="17">
        <v>2</v>
      </c>
      <c r="S1496" s="11" t="str">
        <f t="shared" si="9"/>
        <v>先制攻撃  &amp;br;このクリーチャーが戦場に出たとき、これは探検1を行う。</v>
      </c>
      <c r="T1496" s="21" t="s">
        <v>6076</v>
      </c>
    </row>
    <row r="1497" spans="1:20" hidden="1" x14ac:dyDescent="0.15">
      <c r="A1497" s="34">
        <v>1495</v>
      </c>
      <c r="B1497" s="35" t="s">
        <v>4881</v>
      </c>
      <c r="C1497" s="17" t="s">
        <v>5677</v>
      </c>
      <c r="D1497" s="17" t="s">
        <v>1627</v>
      </c>
      <c r="E1497" s="18" t="s">
        <v>1744</v>
      </c>
      <c r="F1497" s="22">
        <v>6</v>
      </c>
      <c r="G1497" s="17" t="s">
        <v>5687</v>
      </c>
      <c r="H1497" s="20" t="s">
        <v>5688</v>
      </c>
      <c r="I1497" s="18" t="s">
        <v>339</v>
      </c>
      <c r="J1497" s="17" t="s">
        <v>5686</v>
      </c>
      <c r="K1497" s="17" t="s">
        <v>5689</v>
      </c>
      <c r="L1497" s="17"/>
      <c r="M1497" s="17" t="s">
        <v>6556</v>
      </c>
      <c r="N1497" s="17"/>
      <c r="O1497" s="17"/>
      <c r="P1497" s="23"/>
      <c r="Q1497" s="17">
        <v>2</v>
      </c>
      <c r="R1497" s="17">
        <v>2</v>
      </c>
      <c r="S1497" s="11" t="str">
        <f t="shared" si="9"/>
        <v>あなたが恐竜をコントロールしている間、このクリーチャーは二段攻撃を得る。</v>
      </c>
      <c r="T1497" s="21" t="s">
        <v>6077</v>
      </c>
    </row>
    <row r="1498" spans="1:20" hidden="1" x14ac:dyDescent="0.15">
      <c r="A1498" s="34">
        <v>1496</v>
      </c>
      <c r="B1498" s="35" t="s">
        <v>4881</v>
      </c>
      <c r="C1498" s="17" t="s">
        <v>5677</v>
      </c>
      <c r="D1498" s="17" t="s">
        <v>1627</v>
      </c>
      <c r="E1498" s="18" t="s">
        <v>1744</v>
      </c>
      <c r="F1498" s="22">
        <v>9</v>
      </c>
      <c r="G1498" s="17" t="s">
        <v>5690</v>
      </c>
      <c r="H1498" s="20" t="s">
        <v>5691</v>
      </c>
      <c r="I1498" s="18" t="s">
        <v>339</v>
      </c>
      <c r="J1498" s="17" t="s">
        <v>5682</v>
      </c>
      <c r="K1498" s="17" t="s">
        <v>1470</v>
      </c>
      <c r="L1498" s="17"/>
      <c r="M1498" s="17" t="s">
        <v>6557</v>
      </c>
      <c r="N1498" s="17"/>
      <c r="O1498" s="17"/>
      <c r="P1498" s="23"/>
      <c r="Q1498" s="17">
        <v>3</v>
      </c>
      <c r="R1498" s="17">
        <v>2</v>
      </c>
      <c r="S1498" s="11" t="str">
        <f t="shared" si="9"/>
        <v>このクリーチャーが戦場に出たとき、あなたは6点のライフを得る。</v>
      </c>
      <c r="T1498" s="21" t="s">
        <v>6078</v>
      </c>
    </row>
    <row r="1499" spans="1:20" hidden="1" x14ac:dyDescent="0.15">
      <c r="A1499" s="34">
        <v>1497</v>
      </c>
      <c r="B1499" s="35" t="s">
        <v>4881</v>
      </c>
      <c r="C1499" s="17" t="s">
        <v>5677</v>
      </c>
      <c r="D1499" s="17" t="s">
        <v>1627</v>
      </c>
      <c r="E1499" s="18" t="s">
        <v>1744</v>
      </c>
      <c r="F1499" s="22">
        <v>8</v>
      </c>
      <c r="G1499" s="17" t="s">
        <v>5692</v>
      </c>
      <c r="H1499" s="20" t="s">
        <v>5693</v>
      </c>
      <c r="I1499" s="18" t="s">
        <v>339</v>
      </c>
      <c r="J1499" s="17" t="s">
        <v>5682</v>
      </c>
      <c r="K1499" s="17" t="s">
        <v>5683</v>
      </c>
      <c r="L1499" s="17"/>
      <c r="M1499" s="17" t="s">
        <v>6560</v>
      </c>
      <c r="N1499" s="17"/>
      <c r="O1499" s="17"/>
      <c r="P1499" s="23"/>
      <c r="Q1499" s="17">
        <v>3</v>
      </c>
      <c r="R1499" s="17">
        <v>3</v>
      </c>
      <c r="S1499" s="11" t="str">
        <f t="shared" si="9"/>
        <v>このクリーチャーが戦場に出たとき、あなたはあなたのライブラリーから「軍団の征服者」という名前のカードを取ってきて、手札に加えても良い。</v>
      </c>
      <c r="T1499" s="21" t="s">
        <v>6079</v>
      </c>
    </row>
    <row r="1500" spans="1:20" hidden="1" x14ac:dyDescent="0.15">
      <c r="A1500" s="34">
        <v>1498</v>
      </c>
      <c r="B1500" s="35" t="s">
        <v>4881</v>
      </c>
      <c r="C1500" s="17" t="s">
        <v>5677</v>
      </c>
      <c r="D1500" s="17" t="s">
        <v>1627</v>
      </c>
      <c r="E1500" s="18" t="s">
        <v>1744</v>
      </c>
      <c r="F1500" s="22">
        <v>9</v>
      </c>
      <c r="G1500" s="17" t="s">
        <v>5694</v>
      </c>
      <c r="H1500" s="20" t="s">
        <v>5695</v>
      </c>
      <c r="I1500" s="18" t="s">
        <v>339</v>
      </c>
      <c r="J1500" s="17" t="s">
        <v>5682</v>
      </c>
      <c r="K1500" s="17" t="s">
        <v>5689</v>
      </c>
      <c r="L1500" s="17"/>
      <c r="M1500" s="17" t="s">
        <v>6562</v>
      </c>
      <c r="N1500" s="17"/>
      <c r="O1500" s="17"/>
      <c r="P1500" s="23"/>
      <c r="Q1500" s="17">
        <v>3</v>
      </c>
      <c r="R1500" s="17">
        <v>2</v>
      </c>
      <c r="S1500" s="11" t="str">
        <f t="shared" si="9"/>
        <v>このクリーチャーが戦場に出たとき、絆魂を持つ1/1の白の吸血鬼・クリーチャー・トークンを1体生成する。</v>
      </c>
      <c r="T1500" s="21" t="s">
        <v>6080</v>
      </c>
    </row>
    <row r="1501" spans="1:20" hidden="1" x14ac:dyDescent="0.15">
      <c r="A1501" s="34">
        <v>1499</v>
      </c>
      <c r="B1501" s="35" t="s">
        <v>4881</v>
      </c>
      <c r="C1501" s="17" t="s">
        <v>5677</v>
      </c>
      <c r="D1501" s="17" t="s">
        <v>1627</v>
      </c>
      <c r="E1501" s="18" t="s">
        <v>1744</v>
      </c>
      <c r="F1501" s="22">
        <v>12</v>
      </c>
      <c r="G1501" s="17" t="s">
        <v>5696</v>
      </c>
      <c r="H1501" s="20" t="s">
        <v>5697</v>
      </c>
      <c r="I1501" s="18" t="s">
        <v>339</v>
      </c>
      <c r="J1501" s="17" t="s">
        <v>5698</v>
      </c>
      <c r="K1501" s="17"/>
      <c r="L1501" s="17"/>
      <c r="M1501" s="17" t="s">
        <v>6060</v>
      </c>
      <c r="N1501" s="17" t="s">
        <v>6568</v>
      </c>
      <c r="O1501" s="17"/>
      <c r="P1501" s="23"/>
      <c r="Q1501" s="17">
        <v>2</v>
      </c>
      <c r="R1501" s="17">
        <v>5</v>
      </c>
      <c r="S1501" s="11" t="str">
        <f t="shared" si="9"/>
        <v>警戒  &amp;br;ジェム2個を起動する：対戦相手がコントロールする、ディフェンダーか警戒か到達を持つ最初のクリーチャーに、これのタフネスに等しい点数のダメージを与える。</v>
      </c>
      <c r="T1501" s="21" t="s">
        <v>6081</v>
      </c>
    </row>
    <row r="1502" spans="1:20" hidden="1" x14ac:dyDescent="0.15">
      <c r="A1502" s="34">
        <v>1500</v>
      </c>
      <c r="B1502" s="35" t="s">
        <v>4881</v>
      </c>
      <c r="C1502" s="17" t="s">
        <v>5677</v>
      </c>
      <c r="D1502" s="17" t="s">
        <v>1627</v>
      </c>
      <c r="E1502" s="18" t="s">
        <v>1744</v>
      </c>
      <c r="F1502" s="22">
        <v>9</v>
      </c>
      <c r="G1502" s="17" t="s">
        <v>5699</v>
      </c>
      <c r="H1502" s="20" t="s">
        <v>5700</v>
      </c>
      <c r="I1502" s="18" t="s">
        <v>339</v>
      </c>
      <c r="J1502" s="17" t="s">
        <v>5698</v>
      </c>
      <c r="K1502" s="17"/>
      <c r="L1502" s="17"/>
      <c r="M1502" s="17" t="s">
        <v>6571</v>
      </c>
      <c r="N1502" s="17"/>
      <c r="O1502" s="17"/>
      <c r="P1502" s="23"/>
      <c r="Q1502" s="17">
        <v>2</v>
      </c>
      <c r="R1502" s="17">
        <v>3</v>
      </c>
      <c r="S1502" s="11" t="str">
        <f t="shared" si="9"/>
        <v>このクリーチャーが攻撃するたび、ターン終了時まで、対戦相手がコントロールする最初のクリーチャーを無効化する。</v>
      </c>
      <c r="T1502" s="21" t="s">
        <v>6082</v>
      </c>
    </row>
    <row r="1503" spans="1:20" hidden="1" x14ac:dyDescent="0.15">
      <c r="A1503" s="34">
        <v>1501</v>
      </c>
      <c r="B1503" s="35" t="s">
        <v>4881</v>
      </c>
      <c r="C1503" s="17" t="s">
        <v>5677</v>
      </c>
      <c r="D1503" s="17" t="s">
        <v>1627</v>
      </c>
      <c r="E1503" s="18" t="s">
        <v>1744</v>
      </c>
      <c r="F1503" s="22">
        <v>3</v>
      </c>
      <c r="G1503" s="17" t="s">
        <v>5701</v>
      </c>
      <c r="H1503" s="20" t="s">
        <v>5702</v>
      </c>
      <c r="I1503" s="18" t="s">
        <v>1453</v>
      </c>
      <c r="J1503" s="17"/>
      <c r="K1503" s="17"/>
      <c r="L1503" s="17"/>
      <c r="M1503" s="17" t="s">
        <v>6861</v>
      </c>
      <c r="N1503" s="17"/>
      <c r="O1503" s="17"/>
      <c r="P1503" s="23"/>
      <c r="Q1503" s="17"/>
      <c r="R1503" s="17"/>
      <c r="S1503" s="11" t="str">
        <f t="shared" si="9"/>
        <v>対戦相手の土地でないサポートを1つ破壊する。</v>
      </c>
      <c r="T1503" s="21" t="s">
        <v>6083</v>
      </c>
    </row>
    <row r="1504" spans="1:20" hidden="1" x14ac:dyDescent="0.15">
      <c r="A1504" s="34">
        <v>1502</v>
      </c>
      <c r="B1504" s="35" t="s">
        <v>4881</v>
      </c>
      <c r="C1504" s="17" t="s">
        <v>5677</v>
      </c>
      <c r="D1504" s="17" t="s">
        <v>1627</v>
      </c>
      <c r="E1504" s="18" t="s">
        <v>1744</v>
      </c>
      <c r="F1504" s="22">
        <v>6</v>
      </c>
      <c r="G1504" s="17" t="s">
        <v>5703</v>
      </c>
      <c r="H1504" s="20" t="s">
        <v>5704</v>
      </c>
      <c r="I1504" s="18" t="s">
        <v>1453</v>
      </c>
      <c r="J1504" s="17"/>
      <c r="K1504" s="17"/>
      <c r="L1504" s="17"/>
      <c r="M1504" s="17" t="s">
        <v>6866</v>
      </c>
      <c r="N1504" s="17"/>
      <c r="O1504" s="17"/>
      <c r="P1504" s="23"/>
      <c r="Q1504" s="17"/>
      <c r="R1504" s="17"/>
      <c r="S1504" s="11" t="str">
        <f t="shared" si="9"/>
        <v>パワー7以上のクリーチャー1体を対象とし、それを破壊する。</v>
      </c>
      <c r="T1504" s="21" t="s">
        <v>6084</v>
      </c>
    </row>
    <row r="1505" spans="1:20" hidden="1" x14ac:dyDescent="0.15">
      <c r="A1505" s="34">
        <v>1503</v>
      </c>
      <c r="B1505" s="35" t="s">
        <v>4881</v>
      </c>
      <c r="C1505" s="17" t="s">
        <v>5677</v>
      </c>
      <c r="D1505" s="17" t="s">
        <v>1627</v>
      </c>
      <c r="E1505" s="18" t="s">
        <v>1744</v>
      </c>
      <c r="F1505" s="22">
        <v>7</v>
      </c>
      <c r="G1505" s="17" t="s">
        <v>5705</v>
      </c>
      <c r="H1505" s="20" t="s">
        <v>5706</v>
      </c>
      <c r="I1505" s="18" t="s">
        <v>1453</v>
      </c>
      <c r="J1505" s="17"/>
      <c r="K1505" s="17"/>
      <c r="L1505" s="17"/>
      <c r="M1505" s="17" t="s">
        <v>6540</v>
      </c>
      <c r="N1505" s="17" t="s">
        <v>6541</v>
      </c>
      <c r="O1505" s="17"/>
      <c r="P1505" s="23"/>
      <c r="Q1505" s="17"/>
      <c r="R1505" s="17"/>
      <c r="S1505" s="11" t="str">
        <f>IF(M1505="","",M1505&amp;IF(N1505="","","&amp;br;"&amp;N1505)&amp;IF(O1505="","","&amp;br;"&amp;O1505))</f>
        <v>あなたは6点のライフを得る。&amp;br;カードを1枚引く。</v>
      </c>
      <c r="T1505" s="21" t="s">
        <v>6085</v>
      </c>
    </row>
    <row r="1506" spans="1:20" hidden="1" x14ac:dyDescent="0.15">
      <c r="A1506" s="34">
        <v>1504</v>
      </c>
      <c r="B1506" s="35" t="s">
        <v>4881</v>
      </c>
      <c r="C1506" s="17" t="s">
        <v>5677</v>
      </c>
      <c r="D1506" s="17" t="s">
        <v>1627</v>
      </c>
      <c r="E1506" s="18" t="s">
        <v>1451</v>
      </c>
      <c r="F1506" s="22">
        <v>15</v>
      </c>
      <c r="G1506" s="17" t="s">
        <v>5707</v>
      </c>
      <c r="H1506" s="20" t="s">
        <v>5708</v>
      </c>
      <c r="I1506" s="18" t="s">
        <v>339</v>
      </c>
      <c r="J1506" s="17" t="s">
        <v>5698</v>
      </c>
      <c r="K1506" s="17"/>
      <c r="L1506" s="17"/>
      <c r="M1506" s="17" t="s">
        <v>4802</v>
      </c>
      <c r="N1506" s="17" t="s">
        <v>6436</v>
      </c>
      <c r="O1506" s="17"/>
      <c r="P1506" s="23"/>
      <c r="Q1506" s="17">
        <v>4</v>
      </c>
      <c r="R1506" s="17">
        <v>6</v>
      </c>
      <c r="S1506" s="11" t="str">
        <f t="shared" si="9"/>
        <v>ディフェンダー&amp;br;激昂：あなたがコントロールするすべてのクリーチャーは+1/+1の修正を受ける。</v>
      </c>
      <c r="T1506" s="21" t="s">
        <v>6086</v>
      </c>
    </row>
    <row r="1507" spans="1:20" hidden="1" x14ac:dyDescent="0.15">
      <c r="A1507" s="34">
        <v>1505</v>
      </c>
      <c r="B1507" s="35" t="s">
        <v>4881</v>
      </c>
      <c r="C1507" s="17" t="s">
        <v>5677</v>
      </c>
      <c r="D1507" s="17" t="s">
        <v>1627</v>
      </c>
      <c r="E1507" s="18" t="s">
        <v>1451</v>
      </c>
      <c r="F1507" s="22">
        <v>7</v>
      </c>
      <c r="G1507" s="17" t="s">
        <v>5709</v>
      </c>
      <c r="H1507" s="20" t="s">
        <v>5710</v>
      </c>
      <c r="I1507" s="18" t="s">
        <v>339</v>
      </c>
      <c r="J1507" s="17" t="s">
        <v>5682</v>
      </c>
      <c r="K1507" s="17" t="s">
        <v>1470</v>
      </c>
      <c r="L1507" s="17"/>
      <c r="M1507" s="17" t="s">
        <v>6061</v>
      </c>
      <c r="N1507" s="17" t="s">
        <v>6449</v>
      </c>
      <c r="O1507" s="17"/>
      <c r="P1507" s="23"/>
      <c r="Q1507" s="17">
        <v>2</v>
      </c>
      <c r="R1507" s="17">
        <v>2</v>
      </c>
      <c r="S1507" s="11" t="str">
        <f t="shared" si="9"/>
        <v>飛行  &amp;br;ジェム2個を起動する：ターン終了時まで、あなたの最初の他の吸血鬼は+2/+0の修正を受けるとともに飛行を得る。</v>
      </c>
      <c r="T1507" s="21" t="s">
        <v>6087</v>
      </c>
    </row>
    <row r="1508" spans="1:20" hidden="1" x14ac:dyDescent="0.15">
      <c r="A1508" s="34">
        <v>1506</v>
      </c>
      <c r="B1508" s="35" t="s">
        <v>4881</v>
      </c>
      <c r="C1508" s="17" t="s">
        <v>5677</v>
      </c>
      <c r="D1508" s="17" t="s">
        <v>1627</v>
      </c>
      <c r="E1508" s="18" t="s">
        <v>1451</v>
      </c>
      <c r="F1508" s="22">
        <v>9</v>
      </c>
      <c r="G1508" s="17" t="s">
        <v>5711</v>
      </c>
      <c r="H1508" s="20" t="s">
        <v>5712</v>
      </c>
      <c r="I1508" s="18" t="s">
        <v>339</v>
      </c>
      <c r="J1508" s="17" t="s">
        <v>5713</v>
      </c>
      <c r="K1508" s="17"/>
      <c r="L1508" s="17"/>
      <c r="M1508" s="17" t="s">
        <v>6059</v>
      </c>
      <c r="N1508" s="17" t="s">
        <v>6451</v>
      </c>
      <c r="O1508" s="17"/>
      <c r="P1508" s="23"/>
      <c r="Q1508" s="17">
        <v>2</v>
      </c>
      <c r="R1508" s="17">
        <v>2</v>
      </c>
      <c r="S1508" s="11" t="str">
        <f t="shared" si="9"/>
        <v>先制攻撃  &amp;br;このクリーチャーが死亡した時、白ジェムが5個以上あった場合、あなたのすべてのクリーチャーは+1/+1の修正を受ける。</v>
      </c>
      <c r="T1508" s="21" t="s">
        <v>6088</v>
      </c>
    </row>
    <row r="1509" spans="1:20" hidden="1" x14ac:dyDescent="0.15">
      <c r="A1509" s="34">
        <v>1507</v>
      </c>
      <c r="B1509" s="35" t="s">
        <v>4881</v>
      </c>
      <c r="C1509" s="17" t="s">
        <v>5677</v>
      </c>
      <c r="D1509" s="17" t="s">
        <v>1627</v>
      </c>
      <c r="E1509" s="18" t="s">
        <v>1451</v>
      </c>
      <c r="F1509" s="22">
        <v>14</v>
      </c>
      <c r="G1509" s="17" t="s">
        <v>5714</v>
      </c>
      <c r="H1509" s="20" t="s">
        <v>5715</v>
      </c>
      <c r="I1509" s="18" t="s">
        <v>339</v>
      </c>
      <c r="J1509" s="17" t="s">
        <v>5682</v>
      </c>
      <c r="K1509" s="17" t="s">
        <v>5683</v>
      </c>
      <c r="L1509" s="17"/>
      <c r="M1509" s="17" t="s">
        <v>6455</v>
      </c>
      <c r="N1509" s="17" t="s">
        <v>6456</v>
      </c>
      <c r="O1509" s="17"/>
      <c r="P1509" s="23"/>
      <c r="Q1509" s="17">
        <v>4</v>
      </c>
      <c r="R1509" s="17">
        <v>4</v>
      </c>
      <c r="S1509" s="11" t="str">
        <f t="shared" si="9"/>
        <v>白ジェム2個を起動する：ターン終了時まで、このクリーチャーは警戒を得る。1点のライフを失う。&amp;br;黒ジェム2個を起動する：ターン終了時まで、このクリーチャーは飛行を得る。1点のライフを失う。</v>
      </c>
      <c r="T1509" s="21" t="s">
        <v>6089</v>
      </c>
    </row>
    <row r="1510" spans="1:20" hidden="1" x14ac:dyDescent="0.15">
      <c r="A1510" s="34">
        <v>1508</v>
      </c>
      <c r="B1510" s="35" t="s">
        <v>4881</v>
      </c>
      <c r="C1510" s="17" t="s">
        <v>5677</v>
      </c>
      <c r="D1510" s="17" t="s">
        <v>1627</v>
      </c>
      <c r="E1510" s="18" t="s">
        <v>1451</v>
      </c>
      <c r="F1510" s="22">
        <v>10</v>
      </c>
      <c r="G1510" s="17" t="s">
        <v>5716</v>
      </c>
      <c r="H1510" s="20" t="s">
        <v>5717</v>
      </c>
      <c r="I1510" s="18" t="s">
        <v>339</v>
      </c>
      <c r="J1510" s="17" t="s">
        <v>5698</v>
      </c>
      <c r="K1510" s="17"/>
      <c r="L1510" s="17"/>
      <c r="M1510" s="17" t="s">
        <v>6061</v>
      </c>
      <c r="N1510" s="17" t="s">
        <v>6459</v>
      </c>
      <c r="O1510" s="17"/>
      <c r="P1510" s="23"/>
      <c r="Q1510" s="17">
        <v>3</v>
      </c>
      <c r="R1510" s="17">
        <v>3</v>
      </c>
      <c r="S1510" s="11" t="str">
        <f t="shared" si="9"/>
        <v>飛行  &amp;br;このクリーチャーが戦場に出たとき、あなたがコントロールする他のクリーチャー1体を対象とする。ターン終了時まで、それは+1/+1の修正を受けるとともに飛行を得る。</v>
      </c>
      <c r="T1510" s="21" t="s">
        <v>6090</v>
      </c>
    </row>
    <row r="1511" spans="1:20" hidden="1" x14ac:dyDescent="0.15">
      <c r="A1511" s="34">
        <v>1509</v>
      </c>
      <c r="B1511" s="35" t="s">
        <v>4881</v>
      </c>
      <c r="C1511" s="17" t="s">
        <v>5677</v>
      </c>
      <c r="D1511" s="17" t="s">
        <v>1627</v>
      </c>
      <c r="E1511" s="18" t="s">
        <v>1451</v>
      </c>
      <c r="F1511" s="22">
        <v>4</v>
      </c>
      <c r="G1511" s="17" t="s">
        <v>5718</v>
      </c>
      <c r="H1511" s="20" t="s">
        <v>5719</v>
      </c>
      <c r="I1511" s="18" t="s">
        <v>339</v>
      </c>
      <c r="J1511" s="17" t="s">
        <v>5686</v>
      </c>
      <c r="K1511" s="17" t="s">
        <v>1470</v>
      </c>
      <c r="L1511" s="17"/>
      <c r="M1511" s="17" t="s">
        <v>6461</v>
      </c>
      <c r="N1511" s="17"/>
      <c r="O1511" s="17"/>
      <c r="P1511" s="23"/>
      <c r="Q1511" s="17">
        <v>0</v>
      </c>
      <c r="R1511" s="17">
        <v>4</v>
      </c>
      <c r="S1511" s="11" t="str">
        <f t="shared" si="9"/>
        <v>このクリーチャーが戦場に出ている間、あなたの手札の恐竜・カードのマナ・コストは2少なくなる。</v>
      </c>
      <c r="T1511" s="21" t="s">
        <v>6091</v>
      </c>
    </row>
    <row r="1512" spans="1:20" hidden="1" x14ac:dyDescent="0.15">
      <c r="A1512" s="34">
        <v>1510</v>
      </c>
      <c r="B1512" s="35" t="s">
        <v>4881</v>
      </c>
      <c r="C1512" s="17" t="s">
        <v>5677</v>
      </c>
      <c r="D1512" s="17" t="s">
        <v>1627</v>
      </c>
      <c r="E1512" s="18" t="s">
        <v>1451</v>
      </c>
      <c r="F1512" s="22">
        <v>5</v>
      </c>
      <c r="G1512" s="17" t="s">
        <v>5720</v>
      </c>
      <c r="H1512" s="20" t="s">
        <v>5721</v>
      </c>
      <c r="I1512" s="18" t="s">
        <v>1453</v>
      </c>
      <c r="J1512" s="17"/>
      <c r="K1512" s="17"/>
      <c r="L1512" s="17"/>
      <c r="M1512" s="17" t="s">
        <v>6474</v>
      </c>
      <c r="N1512" s="17"/>
      <c r="O1512" s="17"/>
      <c r="P1512" s="23"/>
      <c r="Q1512" s="17"/>
      <c r="R1512" s="17"/>
      <c r="S1512" s="11" t="str">
        <f t="shared" si="9"/>
        <v>絆魂を持つ1/1の白の吸血鬼・クリーチャー・トークンを2体生成する。</v>
      </c>
      <c r="T1512" s="21" t="s">
        <v>6092</v>
      </c>
    </row>
    <row r="1513" spans="1:20" hidden="1" x14ac:dyDescent="0.15">
      <c r="A1513" s="34">
        <v>1511</v>
      </c>
      <c r="B1513" s="35" t="s">
        <v>4881</v>
      </c>
      <c r="C1513" s="17" t="s">
        <v>5677</v>
      </c>
      <c r="D1513" s="17" t="s">
        <v>1627</v>
      </c>
      <c r="E1513" s="18" t="s">
        <v>1451</v>
      </c>
      <c r="F1513" s="22">
        <v>10</v>
      </c>
      <c r="G1513" s="17" t="s">
        <v>5722</v>
      </c>
      <c r="H1513" s="20" t="s">
        <v>5723</v>
      </c>
      <c r="I1513" s="18" t="s">
        <v>1453</v>
      </c>
      <c r="J1513" s="17"/>
      <c r="K1513" s="17"/>
      <c r="L1513" s="17"/>
      <c r="M1513" s="17" t="s">
        <v>6490</v>
      </c>
      <c r="N1513" s="17" t="s">
        <v>6491</v>
      </c>
      <c r="O1513" s="17"/>
      <c r="P1513" s="23"/>
      <c r="Q1513" s="17"/>
      <c r="R1513" s="17"/>
      <c r="S1513" s="11" t="str">
        <f t="shared" si="9"/>
        <v>クリーチャー1体を対象とする。あなたの次のターン開始時まで、それはダメージ軽減を得る。&amp;br;あなたのライブラリーの次の2枚のうち1枚を選ぶ。そのカードを取ってきて、他を破壊する。</v>
      </c>
      <c r="T1513" s="21" t="s">
        <v>6093</v>
      </c>
    </row>
    <row r="1514" spans="1:20" hidden="1" x14ac:dyDescent="0.15">
      <c r="A1514" s="34">
        <v>1512</v>
      </c>
      <c r="B1514" s="35" t="s">
        <v>4881</v>
      </c>
      <c r="C1514" s="17" t="s">
        <v>5677</v>
      </c>
      <c r="D1514" s="17" t="s">
        <v>1627</v>
      </c>
      <c r="E1514" s="18" t="s">
        <v>1451</v>
      </c>
      <c r="F1514" s="22">
        <v>5</v>
      </c>
      <c r="G1514" s="17" t="s">
        <v>5724</v>
      </c>
      <c r="H1514" s="20" t="s">
        <v>5725</v>
      </c>
      <c r="I1514" s="18" t="s">
        <v>1453</v>
      </c>
      <c r="J1514" s="17"/>
      <c r="K1514" s="17"/>
      <c r="L1514" s="17"/>
      <c r="M1514" s="17" t="s">
        <v>6512</v>
      </c>
      <c r="N1514" s="17"/>
      <c r="O1514" s="17"/>
      <c r="P1514" s="23"/>
      <c r="Q1514" s="17"/>
      <c r="R1514" s="17"/>
      <c r="S1514" s="11" t="str">
        <f t="shared" si="9"/>
        <v>ターン終了時まで、あなたがコントロールする最初のクリーチャーは+2/+2の修正を受ける。それが吸血鬼である場合、ターン終了時まで、それは先制攻撃を得る。</v>
      </c>
      <c r="T1514" s="21" t="s">
        <v>6094</v>
      </c>
    </row>
    <row r="1515" spans="1:20" hidden="1" x14ac:dyDescent="0.15">
      <c r="A1515" s="34">
        <v>1513</v>
      </c>
      <c r="B1515" s="35" t="s">
        <v>4881</v>
      </c>
      <c r="C1515" s="17" t="s">
        <v>5677</v>
      </c>
      <c r="D1515" s="17" t="s">
        <v>1627</v>
      </c>
      <c r="E1515" s="18" t="s">
        <v>1441</v>
      </c>
      <c r="F1515" s="22">
        <v>14</v>
      </c>
      <c r="G1515" s="17" t="s">
        <v>5726</v>
      </c>
      <c r="H1515" s="20" t="s">
        <v>5727</v>
      </c>
      <c r="I1515" s="18" t="s">
        <v>339</v>
      </c>
      <c r="J1515" s="17" t="s">
        <v>5682</v>
      </c>
      <c r="K1515" s="17" t="s">
        <v>1470</v>
      </c>
      <c r="L1515" s="17"/>
      <c r="M1515" s="17" t="s">
        <v>6060</v>
      </c>
      <c r="N1515" s="17" t="s">
        <v>6840</v>
      </c>
      <c r="O1515" s="17"/>
      <c r="P1515" s="23"/>
      <c r="Q1515" s="17">
        <v>5</v>
      </c>
      <c r="R1515" s="17">
        <v>5</v>
      </c>
      <c r="S1515" s="11" t="str">
        <f t="shared" si="9"/>
        <v>警戒  &amp;br;このクリーチャーが戦場に出たとき、あなたの墓地からマナ・コストが9以下の最初のクリーチャーを戦場に戻し、その後あなたのコントロールする最後の他の吸血鬼を1体強化する。</v>
      </c>
      <c r="T1515" s="21" t="s">
        <v>6095</v>
      </c>
    </row>
    <row r="1516" spans="1:20" hidden="1" x14ac:dyDescent="0.15">
      <c r="A1516" s="34">
        <v>1514</v>
      </c>
      <c r="B1516" s="35" t="s">
        <v>4881</v>
      </c>
      <c r="C1516" s="17" t="s">
        <v>5677</v>
      </c>
      <c r="D1516" s="17" t="s">
        <v>1627</v>
      </c>
      <c r="E1516" s="18" t="s">
        <v>1441</v>
      </c>
      <c r="F1516" s="22">
        <v>21</v>
      </c>
      <c r="G1516" s="17" t="s">
        <v>5728</v>
      </c>
      <c r="H1516" s="20" t="s">
        <v>5729</v>
      </c>
      <c r="I1516" s="18" t="s">
        <v>339</v>
      </c>
      <c r="J1516" s="17" t="s">
        <v>5698</v>
      </c>
      <c r="K1516" s="17"/>
      <c r="L1516" s="17"/>
      <c r="M1516" s="17" t="s">
        <v>6367</v>
      </c>
      <c r="N1516" s="17"/>
      <c r="O1516" s="17"/>
      <c r="P1516" s="23"/>
      <c r="Q1516" s="17">
        <v>5</v>
      </c>
      <c r="R1516" s="17">
        <v>6</v>
      </c>
      <c r="S1516" s="11" t="str">
        <f t="shared" si="9"/>
        <v>このクリーチャーが攻撃するたび、ターン終了時まで、あなたがコントロールする他のクリーチャーは二段攻撃を得る。</v>
      </c>
      <c r="T1516" s="21" t="s">
        <v>6096</v>
      </c>
    </row>
    <row r="1517" spans="1:20" hidden="1" x14ac:dyDescent="0.15">
      <c r="A1517" s="34">
        <v>1515</v>
      </c>
      <c r="B1517" s="35" t="s">
        <v>4881</v>
      </c>
      <c r="C1517" s="17" t="s">
        <v>5677</v>
      </c>
      <c r="D1517" s="17" t="s">
        <v>1627</v>
      </c>
      <c r="E1517" s="18" t="s">
        <v>1441</v>
      </c>
      <c r="F1517" s="22">
        <v>13</v>
      </c>
      <c r="G1517" s="17" t="s">
        <v>5730</v>
      </c>
      <c r="H1517" s="20" t="s">
        <v>5731</v>
      </c>
      <c r="I1517" s="18" t="s">
        <v>339</v>
      </c>
      <c r="J1517" s="17" t="s">
        <v>5698</v>
      </c>
      <c r="K1517" s="17"/>
      <c r="L1517" s="17"/>
      <c r="M1517" s="17" t="s">
        <v>6061</v>
      </c>
      <c r="N1517" s="17" t="s">
        <v>6370</v>
      </c>
      <c r="O1517" s="17"/>
      <c r="P1517" s="23"/>
      <c r="Q1517" s="17">
        <v>4</v>
      </c>
      <c r="R1517" s="17">
        <v>4</v>
      </c>
      <c r="S1517" s="11" t="str">
        <f t="shared" si="9"/>
        <v>飛行  &amp;br;このクリーチャーが戦場に出ている間、対戦相手がコントロールするクリーチャーは、対戦相手の次のターン開始時まで無効化された状態で戦場に出る。</v>
      </c>
      <c r="T1517" s="21" t="s">
        <v>6097</v>
      </c>
    </row>
    <row r="1518" spans="1:20" hidden="1" x14ac:dyDescent="0.15">
      <c r="A1518" s="34">
        <v>1516</v>
      </c>
      <c r="B1518" s="35" t="s">
        <v>4881</v>
      </c>
      <c r="C1518" s="17" t="s">
        <v>5677</v>
      </c>
      <c r="D1518" s="17" t="s">
        <v>1627</v>
      </c>
      <c r="E1518" s="18" t="s">
        <v>1441</v>
      </c>
      <c r="F1518" s="22">
        <v>12</v>
      </c>
      <c r="G1518" s="17" t="s">
        <v>5732</v>
      </c>
      <c r="H1518" s="20" t="s">
        <v>5733</v>
      </c>
      <c r="I1518" s="18" t="s">
        <v>288</v>
      </c>
      <c r="J1518" s="17"/>
      <c r="K1518" s="17"/>
      <c r="L1518" s="17"/>
      <c r="M1518" s="17" t="s">
        <v>6363</v>
      </c>
      <c r="N1518" s="17"/>
      <c r="O1518" s="17"/>
      <c r="P1518" s="23">
        <v>2</v>
      </c>
      <c r="Q1518" s="17"/>
      <c r="R1518" s="17"/>
      <c r="S1518" s="11" t="str">
        <f t="shared" si="9"/>
        <v>各プレイヤーのターン開始時に、そのプレイヤーは5点のライフを得て、そのプレイヤーの対戦相手は5点のライフを失う。</v>
      </c>
      <c r="T1518" s="21" t="s">
        <v>6098</v>
      </c>
    </row>
    <row r="1519" spans="1:20" hidden="1" x14ac:dyDescent="0.15">
      <c r="A1519" s="34">
        <v>1517</v>
      </c>
      <c r="B1519" s="35" t="s">
        <v>4881</v>
      </c>
      <c r="C1519" s="17" t="s">
        <v>5677</v>
      </c>
      <c r="D1519" s="17" t="s">
        <v>1627</v>
      </c>
      <c r="E1519" s="18" t="s">
        <v>1441</v>
      </c>
      <c r="F1519" s="22">
        <v>11</v>
      </c>
      <c r="G1519" s="17" t="s">
        <v>5734</v>
      </c>
      <c r="H1519" s="20" t="s">
        <v>5735</v>
      </c>
      <c r="I1519" s="18" t="s">
        <v>288</v>
      </c>
      <c r="J1519" s="17"/>
      <c r="K1519" s="17"/>
      <c r="L1519" s="17"/>
      <c r="M1519" s="17" t="s">
        <v>6368</v>
      </c>
      <c r="N1519" s="17" t="s">
        <v>6369</v>
      </c>
      <c r="O1519" s="17"/>
      <c r="P1519" s="23">
        <v>3</v>
      </c>
      <c r="Q1519" s="17"/>
      <c r="R1519" s="17"/>
      <c r="S1519" s="11" t="str">
        <f t="shared" si="9"/>
        <v>このサポートがボードに出たとき、クリーチャー1体を対象とし、それを追放する。&amp;br;このサポートがボード上にある間、対戦相手の手札にあるクリーチャーのマナ・コストは2多くなる。このサポートが破壊されたとき、対戦相手はカードを1枚引く。</v>
      </c>
      <c r="T1519" s="21" t="s">
        <v>6502</v>
      </c>
    </row>
    <row r="1520" spans="1:20" hidden="1" x14ac:dyDescent="0.15">
      <c r="A1520" s="34">
        <v>1518</v>
      </c>
      <c r="B1520" s="35" t="s">
        <v>4881</v>
      </c>
      <c r="C1520" s="17" t="s">
        <v>5677</v>
      </c>
      <c r="D1520" s="17" t="s">
        <v>1627</v>
      </c>
      <c r="E1520" s="18" t="s">
        <v>1441</v>
      </c>
      <c r="F1520" s="22">
        <v>12</v>
      </c>
      <c r="G1520" s="17" t="s">
        <v>5736</v>
      </c>
      <c r="H1520" s="20" t="s">
        <v>5737</v>
      </c>
      <c r="I1520" s="18" t="s">
        <v>288</v>
      </c>
      <c r="J1520" s="17"/>
      <c r="K1520" s="17"/>
      <c r="L1520" s="17"/>
      <c r="M1520" s="17" t="s">
        <v>6371</v>
      </c>
      <c r="N1520" s="17"/>
      <c r="O1520" s="17"/>
      <c r="P1520" s="23">
        <v>2</v>
      </c>
      <c r="Q1520" s="17"/>
      <c r="R1520" s="17"/>
      <c r="S1520" s="11" t="str">
        <f t="shared" si="9"/>
        <v>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v>
      </c>
      <c r="T1520" s="21" t="s">
        <v>6099</v>
      </c>
    </row>
    <row r="1521" spans="1:20" hidden="1" x14ac:dyDescent="0.15">
      <c r="A1521" s="34">
        <v>1519</v>
      </c>
      <c r="B1521" s="35" t="s">
        <v>4881</v>
      </c>
      <c r="C1521" s="17" t="s">
        <v>5677</v>
      </c>
      <c r="D1521" s="17" t="s">
        <v>1627</v>
      </c>
      <c r="E1521" s="18" t="s">
        <v>1431</v>
      </c>
      <c r="F1521" s="22">
        <v>9</v>
      </c>
      <c r="G1521" s="17" t="s">
        <v>5738</v>
      </c>
      <c r="H1521" s="20" t="s">
        <v>5739</v>
      </c>
      <c r="I1521" s="18" t="s">
        <v>339</v>
      </c>
      <c r="J1521" s="17" t="s">
        <v>5682</v>
      </c>
      <c r="K1521" s="17" t="s">
        <v>1470</v>
      </c>
      <c r="L1521" s="17"/>
      <c r="M1521" s="17" t="s">
        <v>6576</v>
      </c>
      <c r="N1521" s="17"/>
      <c r="O1521" s="17"/>
      <c r="P1521" s="23"/>
      <c r="Q1521" s="17">
        <v>4</v>
      </c>
      <c r="R1521" s="17">
        <v>4</v>
      </c>
      <c r="S1521" s="11" t="str">
        <f t="shared" si="9"/>
        <v>このクリーチャーが戦場に出ている間、あなたがコントロールするトークンでない吸血鬼が攻撃するたび、絆魂を持つ1/1の白の吸血鬼・クリーチャー・トークンを、その吸血鬼が強化されている回数1回につき生成する。</v>
      </c>
      <c r="T1521" s="21" t="s">
        <v>6336</v>
      </c>
    </row>
    <row r="1522" spans="1:20" hidden="1" x14ac:dyDescent="0.15">
      <c r="A1522" s="34">
        <v>1520</v>
      </c>
      <c r="B1522" s="35" t="s">
        <v>4881</v>
      </c>
      <c r="C1522" s="17" t="s">
        <v>5677</v>
      </c>
      <c r="D1522" s="17" t="s">
        <v>1627</v>
      </c>
      <c r="E1522" s="18" t="s">
        <v>1431</v>
      </c>
      <c r="F1522" s="22">
        <v>16</v>
      </c>
      <c r="G1522" s="17" t="s">
        <v>5740</v>
      </c>
      <c r="H1522" s="20" t="s">
        <v>5741</v>
      </c>
      <c r="I1522" s="18" t="s">
        <v>339</v>
      </c>
      <c r="J1522" s="17" t="s">
        <v>5698</v>
      </c>
      <c r="K1522" s="17" t="s">
        <v>5480</v>
      </c>
      <c r="L1522" s="17"/>
      <c r="M1522" s="17" t="s">
        <v>6354</v>
      </c>
      <c r="N1522" s="17"/>
      <c r="O1522" s="17"/>
      <c r="P1522" s="23"/>
      <c r="Q1522" s="17">
        <v>7</v>
      </c>
      <c r="R1522" s="17">
        <v>7</v>
      </c>
      <c r="S1522" s="11" t="str">
        <f t="shared" si="9"/>
        <v>このクリーチャーが戦場に出たとき、すべての恐竜でないクリーチャーを破壊する。</v>
      </c>
      <c r="T1522" s="21" t="s">
        <v>6100</v>
      </c>
    </row>
    <row r="1523" spans="1:20" hidden="1" x14ac:dyDescent="0.15">
      <c r="A1523" s="34">
        <v>1521</v>
      </c>
      <c r="B1523" s="35" t="s">
        <v>4881</v>
      </c>
      <c r="C1523" s="17" t="s">
        <v>5677</v>
      </c>
      <c r="D1523" s="17" t="s">
        <v>1627</v>
      </c>
      <c r="E1523" s="18" t="s">
        <v>1431</v>
      </c>
      <c r="F1523" s="22">
        <v>7</v>
      </c>
      <c r="G1523" s="17" t="s">
        <v>5742</v>
      </c>
      <c r="H1523" s="20" t="s">
        <v>5743</v>
      </c>
      <c r="I1523" s="18" t="s">
        <v>288</v>
      </c>
      <c r="J1523" s="17"/>
      <c r="K1523" s="17"/>
      <c r="L1523" s="17"/>
      <c r="M1523" s="17" t="s">
        <v>6328</v>
      </c>
      <c r="N1523" s="17" t="s">
        <v>6329</v>
      </c>
      <c r="O1523" s="17"/>
      <c r="P1523" s="23">
        <v>4</v>
      </c>
      <c r="Q1523" s="17"/>
      <c r="R1523" s="17"/>
      <c r="S1523" s="11" t="str">
        <f t="shared" si="9"/>
        <v>このサポートがボードに出たとき、絆魂を持つ1/1の白の吸血鬼・トークンを1体生成する。&amp;br;あなたが2回以上強化されたクリーチャーで攻撃した時、このサポートを変身させる。</v>
      </c>
      <c r="T1523" s="21" t="s">
        <v>6101</v>
      </c>
    </row>
    <row r="1524" spans="1:20" hidden="1" x14ac:dyDescent="0.15">
      <c r="A1524" s="34">
        <v>1522</v>
      </c>
      <c r="B1524" s="35" t="s">
        <v>4881</v>
      </c>
      <c r="C1524" s="17" t="s">
        <v>5677</v>
      </c>
      <c r="D1524" s="17" t="s">
        <v>1627</v>
      </c>
      <c r="E1524" s="18" t="s">
        <v>1431</v>
      </c>
      <c r="F1524" s="22">
        <v>0</v>
      </c>
      <c r="G1524" s="17" t="s">
        <v>6230</v>
      </c>
      <c r="H1524" s="20" t="s">
        <v>6231</v>
      </c>
      <c r="I1524" s="18" t="s">
        <v>288</v>
      </c>
      <c r="J1524" s="17"/>
      <c r="K1524" s="17"/>
      <c r="L1524" s="17"/>
      <c r="M1524" s="17" t="s">
        <v>6832</v>
      </c>
      <c r="N1524" s="17" t="s">
        <v>6833</v>
      </c>
      <c r="O1524" s="17"/>
      <c r="P1524" s="23">
        <v>4</v>
      </c>
      <c r="Q1524" s="17"/>
      <c r="R1524" s="17"/>
      <c r="S1524" s="11" t="str">
        <f t="shared" si="9"/>
        <v>あなたのターン開始時に、ジェム3個を白に変換する。&amp;br;白ジェム3個を起動する：絆魂を持つ1/1の白の吸血鬼・クリーチャー・トークンを2体生成する。</v>
      </c>
      <c r="T1524" s="21" t="s">
        <v>6258</v>
      </c>
    </row>
    <row r="1525" spans="1:20" hidden="1" x14ac:dyDescent="0.15">
      <c r="A1525" s="34">
        <v>1523</v>
      </c>
      <c r="B1525" s="35" t="s">
        <v>4881</v>
      </c>
      <c r="C1525" s="17" t="s">
        <v>5677</v>
      </c>
      <c r="D1525" s="17" t="s">
        <v>1606</v>
      </c>
      <c r="E1525" s="18" t="s">
        <v>1744</v>
      </c>
      <c r="F1525" s="22">
        <v>11</v>
      </c>
      <c r="G1525" s="17" t="s">
        <v>5744</v>
      </c>
      <c r="H1525" s="20" t="s">
        <v>5745</v>
      </c>
      <c r="I1525" s="18" t="s">
        <v>339</v>
      </c>
      <c r="J1525" s="17" t="s">
        <v>5686</v>
      </c>
      <c r="K1525" s="17" t="s">
        <v>5746</v>
      </c>
      <c r="L1525" s="17"/>
      <c r="M1525" s="17" t="s">
        <v>6563</v>
      </c>
      <c r="N1525" s="17"/>
      <c r="O1525" s="17"/>
      <c r="P1525" s="23"/>
      <c r="Q1525" s="17">
        <v>4</v>
      </c>
      <c r="R1525" s="17">
        <v>3</v>
      </c>
      <c r="S1525" s="11" t="str">
        <f t="shared" si="9"/>
        <v>このクリーチャーが戦場に出たとき、宝物を2つ見つける。</v>
      </c>
      <c r="T1525" s="21" t="s">
        <v>6102</v>
      </c>
    </row>
    <row r="1526" spans="1:20" hidden="1" x14ac:dyDescent="0.15">
      <c r="A1526" s="34">
        <v>1524</v>
      </c>
      <c r="B1526" s="35" t="s">
        <v>4881</v>
      </c>
      <c r="C1526" s="17" t="s">
        <v>5677</v>
      </c>
      <c r="D1526" s="17" t="s">
        <v>1606</v>
      </c>
      <c r="E1526" s="18" t="s">
        <v>1744</v>
      </c>
      <c r="F1526" s="22">
        <v>7</v>
      </c>
      <c r="G1526" s="17" t="s">
        <v>5747</v>
      </c>
      <c r="H1526" s="20" t="s">
        <v>5748</v>
      </c>
      <c r="I1526" s="18" t="s">
        <v>339</v>
      </c>
      <c r="J1526" s="17" t="s">
        <v>1464</v>
      </c>
      <c r="K1526" s="17" t="s">
        <v>1463</v>
      </c>
      <c r="L1526" s="17"/>
      <c r="M1526" s="17" t="s">
        <v>6566</v>
      </c>
      <c r="N1526" s="17"/>
      <c r="O1526" s="17"/>
      <c r="P1526" s="23"/>
      <c r="Q1526" s="17">
        <v>3</v>
      </c>
      <c r="R1526" s="17">
        <v>2</v>
      </c>
      <c r="S1526" s="11" t="str">
        <f t="shared" si="9"/>
        <v>あなたが他のマーフォークをコントロールしている間、このクリーチャーは飛行を得る。</v>
      </c>
      <c r="T1526" s="21" t="s">
        <v>6103</v>
      </c>
    </row>
    <row r="1527" spans="1:20" hidden="1" x14ac:dyDescent="0.15">
      <c r="A1527" s="34">
        <v>1525</v>
      </c>
      <c r="B1527" s="35" t="s">
        <v>4881</v>
      </c>
      <c r="C1527" s="17" t="s">
        <v>5677</v>
      </c>
      <c r="D1527" s="17" t="s">
        <v>1606</v>
      </c>
      <c r="E1527" s="18" t="s">
        <v>1744</v>
      </c>
      <c r="F1527" s="22">
        <v>7</v>
      </c>
      <c r="G1527" s="17" t="s">
        <v>5749</v>
      </c>
      <c r="H1527" s="20" t="s">
        <v>5750</v>
      </c>
      <c r="I1527" s="18" t="s">
        <v>339</v>
      </c>
      <c r="J1527" s="17" t="s">
        <v>5686</v>
      </c>
      <c r="K1527" s="17" t="s">
        <v>5746</v>
      </c>
      <c r="L1527" s="17"/>
      <c r="M1527" s="17" t="s">
        <v>6567</v>
      </c>
      <c r="N1527" s="17"/>
      <c r="O1527" s="17"/>
      <c r="P1527" s="23"/>
      <c r="Q1527" s="17">
        <v>2</v>
      </c>
      <c r="R1527" s="17">
        <v>3</v>
      </c>
      <c r="S1527" s="11" t="str">
        <f t="shared" si="9"/>
        <v>このクリーチャーが戦場に出たとき、あなたが強襲していた場合、カードを1枚捨てて、カードを1枚引く。</v>
      </c>
      <c r="T1527" s="21" t="s">
        <v>6104</v>
      </c>
    </row>
    <row r="1528" spans="1:20" hidden="1" x14ac:dyDescent="0.15">
      <c r="A1528" s="34">
        <v>1526</v>
      </c>
      <c r="B1528" s="35" t="s">
        <v>4881</v>
      </c>
      <c r="C1528" s="17" t="s">
        <v>5677</v>
      </c>
      <c r="D1528" s="17" t="s">
        <v>1606</v>
      </c>
      <c r="E1528" s="18" t="s">
        <v>1744</v>
      </c>
      <c r="F1528" s="22">
        <v>11</v>
      </c>
      <c r="G1528" s="17" t="s">
        <v>5751</v>
      </c>
      <c r="H1528" s="20" t="s">
        <v>5752</v>
      </c>
      <c r="I1528" s="18" t="s">
        <v>339</v>
      </c>
      <c r="J1528" s="17" t="s">
        <v>5753</v>
      </c>
      <c r="K1528" s="17" t="s">
        <v>5746</v>
      </c>
      <c r="L1528" s="17"/>
      <c r="M1528" s="17" t="s">
        <v>6061</v>
      </c>
      <c r="N1528" s="17" t="s">
        <v>6549</v>
      </c>
      <c r="O1528" s="17"/>
      <c r="P1528" s="23"/>
      <c r="Q1528" s="17">
        <v>2</v>
      </c>
      <c r="R1528" s="17">
        <v>3</v>
      </c>
      <c r="S1528" s="11" t="str">
        <f t="shared" si="9"/>
        <v>飛行  &amp;br;このクリーチャーが戦場に出たとき、これは探検1を行う。</v>
      </c>
      <c r="T1528" s="21" t="s">
        <v>6105</v>
      </c>
    </row>
    <row r="1529" spans="1:20" hidden="1" x14ac:dyDescent="0.15">
      <c r="A1529" s="34">
        <v>1527</v>
      </c>
      <c r="B1529" s="35" t="s">
        <v>4881</v>
      </c>
      <c r="C1529" s="17" t="s">
        <v>5677</v>
      </c>
      <c r="D1529" s="17" t="s">
        <v>1606</v>
      </c>
      <c r="E1529" s="18" t="s">
        <v>1744</v>
      </c>
      <c r="F1529" s="22">
        <v>6</v>
      </c>
      <c r="G1529" s="17" t="s">
        <v>5754</v>
      </c>
      <c r="H1529" s="20" t="s">
        <v>5755</v>
      </c>
      <c r="I1529" s="18" t="s">
        <v>339</v>
      </c>
      <c r="J1529" s="17" t="s">
        <v>1464</v>
      </c>
      <c r="K1529" s="17" t="s">
        <v>1463</v>
      </c>
      <c r="L1529" s="17"/>
      <c r="M1529" s="17" t="s">
        <v>6575</v>
      </c>
      <c r="N1529" s="17"/>
      <c r="O1529" s="17"/>
      <c r="P1529" s="23"/>
      <c r="Q1529" s="17">
        <v>2</v>
      </c>
      <c r="R1529" s="17">
        <v>2</v>
      </c>
      <c r="S1529" s="11" t="str">
        <f t="shared" si="9"/>
        <v>このクリーチャーが戦場に出たとき、クリーチャー1体を対象とする。あなたの次のターン開始時まで、それを無効化する。</v>
      </c>
      <c r="T1529" s="21" t="s">
        <v>6106</v>
      </c>
    </row>
    <row r="1530" spans="1:20" hidden="1" x14ac:dyDescent="0.15">
      <c r="A1530" s="34">
        <v>1528</v>
      </c>
      <c r="B1530" s="35" t="s">
        <v>4881</v>
      </c>
      <c r="C1530" s="17" t="s">
        <v>5677</v>
      </c>
      <c r="D1530" s="17" t="s">
        <v>1606</v>
      </c>
      <c r="E1530" s="18" t="s">
        <v>1744</v>
      </c>
      <c r="F1530" s="22">
        <v>6</v>
      </c>
      <c r="G1530" s="17" t="s">
        <v>5756</v>
      </c>
      <c r="H1530" s="20" t="s">
        <v>5757</v>
      </c>
      <c r="I1530" s="18" t="s">
        <v>1453</v>
      </c>
      <c r="J1530" s="17"/>
      <c r="K1530" s="17"/>
      <c r="L1530" s="17"/>
      <c r="M1530" s="17" t="s">
        <v>6521</v>
      </c>
      <c r="N1530" s="17"/>
      <c r="O1530" s="17"/>
      <c r="P1530" s="23"/>
      <c r="Q1530" s="17"/>
      <c r="R1530" s="17"/>
      <c r="S1530" s="11" t="str">
        <f t="shared" si="9"/>
        <v>クリーチャー1体を対象とし、それをオーナーの手札に戻し、宝物を1つ見つける。</v>
      </c>
      <c r="T1530" s="21" t="s">
        <v>6107</v>
      </c>
    </row>
    <row r="1531" spans="1:20" hidden="1" x14ac:dyDescent="0.15">
      <c r="A1531" s="34">
        <v>1529</v>
      </c>
      <c r="B1531" s="35" t="s">
        <v>4881</v>
      </c>
      <c r="C1531" s="17" t="s">
        <v>5677</v>
      </c>
      <c r="D1531" s="17" t="s">
        <v>1606</v>
      </c>
      <c r="E1531" s="18" t="s">
        <v>1744</v>
      </c>
      <c r="F1531" s="22">
        <v>5</v>
      </c>
      <c r="G1531" s="17" t="s">
        <v>5758</v>
      </c>
      <c r="H1531" s="20" t="s">
        <v>5759</v>
      </c>
      <c r="I1531" s="18" t="s">
        <v>1453</v>
      </c>
      <c r="J1531" s="17"/>
      <c r="K1531" s="17"/>
      <c r="L1531" s="17"/>
      <c r="M1531" s="17" t="s">
        <v>6522</v>
      </c>
      <c r="N1531" s="17"/>
      <c r="O1531" s="17"/>
      <c r="P1531" s="23"/>
      <c r="Q1531" s="17"/>
      <c r="R1531" s="17"/>
      <c r="S1531" s="11" t="str">
        <f t="shared" si="9"/>
        <v>あなたがコントロールするクリーチャー1体を対象とする。あなたの次のターン開始時まで、それは呪禁を得るとともに+0/+3の修正を受ける。</v>
      </c>
      <c r="T1531" s="21" t="s">
        <v>6108</v>
      </c>
    </row>
    <row r="1532" spans="1:20" hidden="1" x14ac:dyDescent="0.15">
      <c r="A1532" s="34">
        <v>1530</v>
      </c>
      <c r="B1532" s="35" t="s">
        <v>4881</v>
      </c>
      <c r="C1532" s="17" t="s">
        <v>5677</v>
      </c>
      <c r="D1532" s="17" t="s">
        <v>1606</v>
      </c>
      <c r="E1532" s="18" t="s">
        <v>1744</v>
      </c>
      <c r="F1532" s="22">
        <v>6</v>
      </c>
      <c r="G1532" s="17" t="s">
        <v>5760</v>
      </c>
      <c r="H1532" s="20" t="s">
        <v>5761</v>
      </c>
      <c r="I1532" s="18" t="s">
        <v>1453</v>
      </c>
      <c r="J1532" s="17"/>
      <c r="K1532" s="17"/>
      <c r="L1532" s="17"/>
      <c r="M1532" s="17" t="s">
        <v>6533</v>
      </c>
      <c r="N1532" s="17"/>
      <c r="O1532" s="17"/>
      <c r="P1532" s="23"/>
      <c r="Q1532" s="17"/>
      <c r="R1532" s="17"/>
      <c r="S1532" s="11" t="str">
        <f t="shared" si="9"/>
        <v>クリーチャー1体を対象とする。それは飛行を得るとともに+2/+2の修正を受ける。</v>
      </c>
      <c r="T1532" s="21" t="s">
        <v>6109</v>
      </c>
    </row>
    <row r="1533" spans="1:20" hidden="1" x14ac:dyDescent="0.15">
      <c r="A1533" s="34">
        <v>1531</v>
      </c>
      <c r="B1533" s="35" t="s">
        <v>4881</v>
      </c>
      <c r="C1533" s="17" t="s">
        <v>5677</v>
      </c>
      <c r="D1533" s="17" t="s">
        <v>1606</v>
      </c>
      <c r="E1533" s="18" t="s">
        <v>1744</v>
      </c>
      <c r="F1533" s="22">
        <v>5</v>
      </c>
      <c r="G1533" s="17" t="s">
        <v>5762</v>
      </c>
      <c r="H1533" s="20" t="s">
        <v>5763</v>
      </c>
      <c r="I1533" s="18" t="s">
        <v>1453</v>
      </c>
      <c r="J1533" s="17"/>
      <c r="K1533" s="17"/>
      <c r="L1533" s="17"/>
      <c r="M1533" s="17" t="s">
        <v>6534</v>
      </c>
      <c r="N1533" s="17"/>
      <c r="O1533" s="17"/>
      <c r="P1533" s="23"/>
      <c r="Q1533" s="17"/>
      <c r="R1533" s="17"/>
      <c r="S1533" s="11" t="str">
        <f t="shared" si="9"/>
        <v>対戦相手がコントロールする最初のクリーチャーを1体オーナーの手札に戻す。そのクリーチャーのマナ・コストが10以下である場合、カードを1枚引く。</v>
      </c>
      <c r="T1533" s="21" t="s">
        <v>6499</v>
      </c>
    </row>
    <row r="1534" spans="1:20" hidden="1" x14ac:dyDescent="0.15">
      <c r="A1534" s="34">
        <v>1532</v>
      </c>
      <c r="B1534" s="35" t="s">
        <v>4881</v>
      </c>
      <c r="C1534" s="17" t="s">
        <v>5677</v>
      </c>
      <c r="D1534" s="17" t="s">
        <v>1606</v>
      </c>
      <c r="E1534" s="18" t="s">
        <v>1744</v>
      </c>
      <c r="F1534" s="22">
        <v>6</v>
      </c>
      <c r="G1534" s="17" t="s">
        <v>5764</v>
      </c>
      <c r="H1534" s="20" t="s">
        <v>5765</v>
      </c>
      <c r="I1534" s="18" t="s">
        <v>1453</v>
      </c>
      <c r="J1534" s="17"/>
      <c r="K1534" s="17"/>
      <c r="L1534" s="17"/>
      <c r="M1534" s="17" t="s">
        <v>6537</v>
      </c>
      <c r="N1534" s="17"/>
      <c r="O1534" s="17"/>
      <c r="P1534" s="23"/>
      <c r="Q1534" s="17"/>
      <c r="R1534" s="17"/>
      <c r="S1534" s="11" t="str">
        <f t="shared" si="9"/>
        <v>カードを2枚引き、宝物を1つ見つける。</v>
      </c>
      <c r="T1534" s="21" t="s">
        <v>6110</v>
      </c>
    </row>
    <row r="1535" spans="1:20" hidden="1" x14ac:dyDescent="0.15">
      <c r="A1535" s="34">
        <v>1533</v>
      </c>
      <c r="B1535" s="35" t="s">
        <v>4881</v>
      </c>
      <c r="C1535" s="17" t="s">
        <v>5677</v>
      </c>
      <c r="D1535" s="17" t="s">
        <v>1606</v>
      </c>
      <c r="E1535" s="18" t="s">
        <v>1744</v>
      </c>
      <c r="F1535" s="22">
        <v>6</v>
      </c>
      <c r="G1535" s="17" t="s">
        <v>5766</v>
      </c>
      <c r="H1535" s="20" t="s">
        <v>5767</v>
      </c>
      <c r="I1535" s="18" t="s">
        <v>1453</v>
      </c>
      <c r="J1535" s="17"/>
      <c r="K1535" s="17"/>
      <c r="L1535" s="17"/>
      <c r="M1535" s="17" t="s">
        <v>6542</v>
      </c>
      <c r="N1535" s="17"/>
      <c r="O1535" s="17"/>
      <c r="P1535" s="23"/>
      <c r="Q1535" s="17"/>
      <c r="R1535" s="17"/>
      <c r="S1535" s="11" t="str">
        <f t="shared" si="9"/>
        <v>あなたがコントロールするクリーチャー1体を対象とし、それを追放する。その後それをオーナーのコントロール下で戦場に戻す。あなたが海賊をコントロールしている場合、カードを1枚引く。</v>
      </c>
      <c r="T1535" s="21" t="s">
        <v>6111</v>
      </c>
    </row>
    <row r="1536" spans="1:20" hidden="1" x14ac:dyDescent="0.15">
      <c r="A1536" s="34">
        <v>1534</v>
      </c>
      <c r="B1536" s="35" t="s">
        <v>4881</v>
      </c>
      <c r="C1536" s="17" t="s">
        <v>5677</v>
      </c>
      <c r="D1536" s="17" t="s">
        <v>1606</v>
      </c>
      <c r="E1536" s="18" t="s">
        <v>1451</v>
      </c>
      <c r="F1536" s="22">
        <v>11</v>
      </c>
      <c r="G1536" s="17" t="s">
        <v>5768</v>
      </c>
      <c r="H1536" s="20" t="s">
        <v>5769</v>
      </c>
      <c r="I1536" s="18" t="s">
        <v>339</v>
      </c>
      <c r="J1536" s="17" t="s">
        <v>5686</v>
      </c>
      <c r="K1536" s="17" t="s">
        <v>5746</v>
      </c>
      <c r="L1536" s="17"/>
      <c r="M1536" s="17" t="s">
        <v>6442</v>
      </c>
      <c r="N1536" s="17"/>
      <c r="O1536" s="17"/>
      <c r="P1536" s="23"/>
      <c r="Q1536" s="17">
        <v>4</v>
      </c>
      <c r="R1536" s="17">
        <v>4</v>
      </c>
      <c r="S1536" s="11" t="str">
        <f t="shared" si="9"/>
        <v>このクリーチャーが戦場に出たとき、あなたのライブラリーから最初の機体・カードを取ってくる。</v>
      </c>
      <c r="T1536" s="21" t="s">
        <v>6112</v>
      </c>
    </row>
    <row r="1537" spans="1:20" hidden="1" x14ac:dyDescent="0.15">
      <c r="A1537" s="34">
        <v>1535</v>
      </c>
      <c r="B1537" s="35" t="s">
        <v>4881</v>
      </c>
      <c r="C1537" s="17" t="s">
        <v>5677</v>
      </c>
      <c r="D1537" s="17" t="s">
        <v>1606</v>
      </c>
      <c r="E1537" s="18" t="s">
        <v>1451</v>
      </c>
      <c r="F1537" s="22">
        <v>8</v>
      </c>
      <c r="G1537" s="17" t="s">
        <v>5770</v>
      </c>
      <c r="H1537" s="20" t="s">
        <v>5771</v>
      </c>
      <c r="I1537" s="18" t="s">
        <v>339</v>
      </c>
      <c r="J1537" s="17" t="s">
        <v>1464</v>
      </c>
      <c r="K1537" s="17" t="s">
        <v>5772</v>
      </c>
      <c r="L1537" s="17"/>
      <c r="M1537" s="17" t="s">
        <v>6063</v>
      </c>
      <c r="N1537" s="17" t="s">
        <v>6482</v>
      </c>
      <c r="O1537" s="17"/>
      <c r="P1537" s="23"/>
      <c r="Q1537" s="17">
        <v>2</v>
      </c>
      <c r="R1537" s="17">
        <v>2</v>
      </c>
      <c r="S1537" s="11" t="str">
        <f t="shared" si="9"/>
        <v>ブロックされない  &amp;br;マーフォークが1体あなたのコントロール下で戦場に出るたび、ターン終了時まで、このクリーチャーは+1/+1の修正を受ける。</v>
      </c>
      <c r="T1537" s="21" t="s">
        <v>6113</v>
      </c>
    </row>
    <row r="1538" spans="1:20" hidden="1" x14ac:dyDescent="0.15">
      <c r="A1538" s="34">
        <v>1536</v>
      </c>
      <c r="B1538" s="35" t="s">
        <v>4881</v>
      </c>
      <c r="C1538" s="17" t="s">
        <v>5677</v>
      </c>
      <c r="D1538" s="17" t="s">
        <v>1606</v>
      </c>
      <c r="E1538" s="18" t="s">
        <v>1451</v>
      </c>
      <c r="F1538" s="22">
        <v>10</v>
      </c>
      <c r="G1538" s="17" t="s">
        <v>5773</v>
      </c>
      <c r="H1538" s="20" t="s">
        <v>5774</v>
      </c>
      <c r="I1538" s="18" t="s">
        <v>339</v>
      </c>
      <c r="J1538" s="17" t="s">
        <v>5775</v>
      </c>
      <c r="K1538" s="17"/>
      <c r="L1538" s="17"/>
      <c r="M1538" s="17" t="s">
        <v>6062</v>
      </c>
      <c r="N1538" s="17" t="s">
        <v>6492</v>
      </c>
      <c r="O1538" s="17"/>
      <c r="P1538" s="23"/>
      <c r="Q1538" s="17">
        <v>0</v>
      </c>
      <c r="R1538" s="17">
        <v>7</v>
      </c>
      <c r="S1538" s="11" t="str">
        <f t="shared" si="9"/>
        <v>ディフェンダー  &amp;br;このクリーチャーが死亡した時、青ジェムが6個以上ある場合、カードを3枚引く。</v>
      </c>
      <c r="T1538" s="21" t="s">
        <v>6114</v>
      </c>
    </row>
    <row r="1539" spans="1:20" hidden="1" x14ac:dyDescent="0.15">
      <c r="A1539" s="34">
        <v>1537</v>
      </c>
      <c r="B1539" s="35" t="s">
        <v>4881</v>
      </c>
      <c r="C1539" s="17" t="s">
        <v>5677</v>
      </c>
      <c r="D1539" s="17" t="s">
        <v>1606</v>
      </c>
      <c r="E1539" s="18" t="s">
        <v>1451</v>
      </c>
      <c r="F1539" s="22">
        <v>10</v>
      </c>
      <c r="G1539" s="17" t="s">
        <v>5776</v>
      </c>
      <c r="H1539" s="20" t="s">
        <v>5777</v>
      </c>
      <c r="I1539" s="18" t="s">
        <v>339</v>
      </c>
      <c r="J1539" s="17" t="s">
        <v>5686</v>
      </c>
      <c r="K1539" s="17" t="s">
        <v>5746</v>
      </c>
      <c r="L1539" s="17"/>
      <c r="M1539" s="17" t="s">
        <v>6061</v>
      </c>
      <c r="N1539" s="17" t="s">
        <v>6480</v>
      </c>
      <c r="O1539" s="17"/>
      <c r="P1539" s="23"/>
      <c r="Q1539" s="17">
        <v>3</v>
      </c>
      <c r="R1539" s="17">
        <v>4</v>
      </c>
      <c r="S1539" s="11" t="str">
        <f t="shared" si="9"/>
        <v>飛行  &amp;br;このクリーチャーが戦場に出たとき、あなたが強襲していた場合、これは+2/+2の修正を受ける。</v>
      </c>
      <c r="T1539" s="21" t="s">
        <v>6115</v>
      </c>
    </row>
    <row r="1540" spans="1:20" hidden="1" x14ac:dyDescent="0.15">
      <c r="A1540" s="34">
        <v>1538</v>
      </c>
      <c r="B1540" s="35" t="s">
        <v>4881</v>
      </c>
      <c r="C1540" s="17" t="s">
        <v>5677</v>
      </c>
      <c r="D1540" s="17" t="s">
        <v>1606</v>
      </c>
      <c r="E1540" s="18" t="s">
        <v>1451</v>
      </c>
      <c r="F1540" s="22">
        <v>12</v>
      </c>
      <c r="G1540" s="17" t="s">
        <v>5778</v>
      </c>
      <c r="H1540" s="20" t="s">
        <v>5779</v>
      </c>
      <c r="I1540" s="18" t="s">
        <v>339</v>
      </c>
      <c r="J1540" s="17" t="s">
        <v>1464</v>
      </c>
      <c r="K1540" s="17" t="s">
        <v>1463</v>
      </c>
      <c r="L1540" s="17"/>
      <c r="M1540" s="17" t="s">
        <v>6493</v>
      </c>
      <c r="N1540" s="17"/>
      <c r="O1540" s="17"/>
      <c r="P1540" s="23"/>
      <c r="Q1540" s="17">
        <v>3</v>
      </c>
      <c r="R1540" s="17">
        <v>4</v>
      </c>
      <c r="S1540" s="11" t="str">
        <f t="shared" si="9"/>
        <v>このクリーチャーが戦場に出たとき、ターン終了時まで、対戦相手のクリーチャーを無効化する。</v>
      </c>
      <c r="T1540" s="21" t="s">
        <v>6497</v>
      </c>
    </row>
    <row r="1541" spans="1:20" hidden="1" x14ac:dyDescent="0.15">
      <c r="A1541" s="34">
        <v>1539</v>
      </c>
      <c r="B1541" s="35" t="s">
        <v>4881</v>
      </c>
      <c r="C1541" s="17" t="s">
        <v>5677</v>
      </c>
      <c r="D1541" s="17" t="s">
        <v>1606</v>
      </c>
      <c r="E1541" s="18" t="s">
        <v>1451</v>
      </c>
      <c r="F1541" s="22">
        <v>5</v>
      </c>
      <c r="G1541" s="17" t="s">
        <v>5780</v>
      </c>
      <c r="H1541" s="20" t="s">
        <v>5781</v>
      </c>
      <c r="I1541" s="18" t="s">
        <v>1453</v>
      </c>
      <c r="J1541" s="17"/>
      <c r="K1541" s="17"/>
      <c r="L1541" s="17"/>
      <c r="M1541" s="17" t="s">
        <v>6438</v>
      </c>
      <c r="N1541" s="17" t="s">
        <v>6377</v>
      </c>
      <c r="O1541" s="17"/>
      <c r="P1541" s="23"/>
      <c r="Q1541" s="17"/>
      <c r="R1541" s="17"/>
      <c r="S1541" s="11" t="str">
        <f t="shared" si="9"/>
        <v>あなたが強襲していないかぎり、カードを1枚捨てる。&amp;br;カードを3枚引く。</v>
      </c>
      <c r="T1541" s="21" t="s">
        <v>6116</v>
      </c>
    </row>
    <row r="1542" spans="1:20" hidden="1" x14ac:dyDescent="0.15">
      <c r="A1542" s="34">
        <v>1540</v>
      </c>
      <c r="B1542" s="35" t="s">
        <v>4881</v>
      </c>
      <c r="C1542" s="17" t="s">
        <v>5677</v>
      </c>
      <c r="D1542" s="17" t="s">
        <v>1606</v>
      </c>
      <c r="E1542" s="18" t="s">
        <v>1451</v>
      </c>
      <c r="F1542" s="22">
        <v>8</v>
      </c>
      <c r="G1542" s="17" t="s">
        <v>5782</v>
      </c>
      <c r="H1542" s="20" t="s">
        <v>5783</v>
      </c>
      <c r="I1542" s="18" t="s">
        <v>1453</v>
      </c>
      <c r="J1542" s="17"/>
      <c r="K1542" s="17"/>
      <c r="L1542" s="17"/>
      <c r="M1542" s="17" t="s">
        <v>6466</v>
      </c>
      <c r="N1542" s="17" t="s">
        <v>6467</v>
      </c>
      <c r="O1542" s="17"/>
      <c r="P1542" s="23"/>
      <c r="Q1542" s="17"/>
      <c r="R1542" s="17"/>
      <c r="S1542" s="11" t="str">
        <f t="shared" si="9"/>
        <v>海賊があなたのコントロール下で戦場に出るたび、この呪文のマナ・コストは3減る。&amp;br;対戦相手の手札の最初のカードから8マナを吸収する。</v>
      </c>
      <c r="T1542" s="21" t="s">
        <v>6495</v>
      </c>
    </row>
    <row r="1543" spans="1:20" hidden="1" x14ac:dyDescent="0.15">
      <c r="A1543" s="34">
        <v>1541</v>
      </c>
      <c r="B1543" s="35" t="s">
        <v>4881</v>
      </c>
      <c r="C1543" s="17" t="s">
        <v>5677</v>
      </c>
      <c r="D1543" s="17" t="s">
        <v>1606</v>
      </c>
      <c r="E1543" s="18" t="s">
        <v>1451</v>
      </c>
      <c r="F1543" s="22">
        <v>10</v>
      </c>
      <c r="G1543" s="17" t="s">
        <v>7088</v>
      </c>
      <c r="H1543" s="20" t="s">
        <v>5785</v>
      </c>
      <c r="I1543" s="18" t="s">
        <v>288</v>
      </c>
      <c r="J1543" s="17"/>
      <c r="K1543" s="17"/>
      <c r="L1543" s="17"/>
      <c r="M1543" s="17" t="s">
        <v>6444</v>
      </c>
      <c r="N1543" s="17"/>
      <c r="O1543" s="17"/>
      <c r="P1543" s="23">
        <v>6</v>
      </c>
      <c r="Q1543" s="17"/>
      <c r="R1543" s="17"/>
      <c r="S1543" s="11" t="str">
        <f t="shared" si="9"/>
        <v>トークンでないマーフォーク・クリーチャーがあなたのコントロール下で戦場に出るたび、呪禁を持つ1/1のマーフォーク・トークンを1体生成し、このサポートは1シールドを失う。</v>
      </c>
      <c r="T1543" s="21" t="s">
        <v>6117</v>
      </c>
    </row>
    <row r="1544" spans="1:20" hidden="1" x14ac:dyDescent="0.15">
      <c r="A1544" s="34">
        <v>1542</v>
      </c>
      <c r="B1544" s="35" t="s">
        <v>4881</v>
      </c>
      <c r="C1544" s="17" t="s">
        <v>5677</v>
      </c>
      <c r="D1544" s="17" t="s">
        <v>1606</v>
      </c>
      <c r="E1544" s="18" t="s">
        <v>1451</v>
      </c>
      <c r="F1544" s="22">
        <v>7</v>
      </c>
      <c r="G1544" s="17" t="s">
        <v>5786</v>
      </c>
      <c r="H1544" s="20" t="s">
        <v>5787</v>
      </c>
      <c r="I1544" s="18" t="s">
        <v>288</v>
      </c>
      <c r="J1544" s="17"/>
      <c r="K1544" s="17"/>
      <c r="L1544" s="17"/>
      <c r="M1544" s="17" t="s">
        <v>6452</v>
      </c>
      <c r="N1544" s="17"/>
      <c r="O1544" s="17"/>
      <c r="P1544" s="23">
        <v>3</v>
      </c>
      <c r="Q1544" s="17"/>
      <c r="R1544" s="17"/>
      <c r="S1544" s="11" t="str">
        <f t="shared" si="9"/>
        <v>あなたがコントロールする飛行を持つクリーチャーは+1/+1の修正を受ける。</v>
      </c>
      <c r="T1544" s="21" t="s">
        <v>6118</v>
      </c>
    </row>
    <row r="1545" spans="1:20" hidden="1" x14ac:dyDescent="0.15">
      <c r="A1545" s="34">
        <v>1543</v>
      </c>
      <c r="B1545" s="35" t="s">
        <v>4881</v>
      </c>
      <c r="C1545" s="17" t="s">
        <v>5677</v>
      </c>
      <c r="D1545" s="17" t="s">
        <v>1606</v>
      </c>
      <c r="E1545" s="18" t="s">
        <v>1441</v>
      </c>
      <c r="F1545" s="22">
        <v>10</v>
      </c>
      <c r="G1545" s="17" t="s">
        <v>5788</v>
      </c>
      <c r="H1545" s="20" t="s">
        <v>5789</v>
      </c>
      <c r="I1545" s="18" t="s">
        <v>339</v>
      </c>
      <c r="J1545" s="17" t="s">
        <v>5686</v>
      </c>
      <c r="K1545" s="17" t="s">
        <v>5746</v>
      </c>
      <c r="L1545" s="17"/>
      <c r="M1545" s="17" t="s">
        <v>6374</v>
      </c>
      <c r="N1545" s="17" t="s">
        <v>6375</v>
      </c>
      <c r="O1545" s="17"/>
      <c r="P1545" s="23"/>
      <c r="Q1545" s="17">
        <v>4</v>
      </c>
      <c r="R1545" s="17">
        <v>3</v>
      </c>
      <c r="S1545" s="11" t="str">
        <f t="shared" si="9"/>
        <v>ジェム4個を起動する:ターン終了時まで、ブロックされない。&amp;br;このクリーチャーが対戦相手に戦闘ダメージを与えるたび、カードを1枚捨てて、カードを1枚引く。</v>
      </c>
      <c r="T1545" s="21" t="s">
        <v>6119</v>
      </c>
    </row>
    <row r="1546" spans="1:20" hidden="1" x14ac:dyDescent="0.15">
      <c r="A1546" s="34">
        <v>1544</v>
      </c>
      <c r="B1546" s="35" t="s">
        <v>4881</v>
      </c>
      <c r="C1546" s="17" t="s">
        <v>5677</v>
      </c>
      <c r="D1546" s="17" t="s">
        <v>1606</v>
      </c>
      <c r="E1546" s="18" t="s">
        <v>1441</v>
      </c>
      <c r="F1546" s="22">
        <v>18</v>
      </c>
      <c r="G1546" s="17" t="s">
        <v>5790</v>
      </c>
      <c r="H1546" s="20" t="s">
        <v>5791</v>
      </c>
      <c r="I1546" s="18" t="s">
        <v>339</v>
      </c>
      <c r="J1546" s="17" t="s">
        <v>5792</v>
      </c>
      <c r="K1546" s="17"/>
      <c r="L1546" s="17"/>
      <c r="M1546" s="17" t="s">
        <v>6376</v>
      </c>
      <c r="N1546" s="17"/>
      <c r="O1546" s="17"/>
      <c r="P1546" s="23"/>
      <c r="Q1546" s="17">
        <v>8</v>
      </c>
      <c r="R1546" s="17">
        <v>8</v>
      </c>
      <c r="S1546" s="11" t="str">
        <f t="shared" si="9"/>
        <v>このクリーチャーが対戦相手にダメージを与えたとき、対戦相手の手札の下半分のマナ・コストは3多くなる。</v>
      </c>
      <c r="T1546" s="21" t="s">
        <v>6120</v>
      </c>
    </row>
    <row r="1547" spans="1:20" hidden="1" x14ac:dyDescent="0.15">
      <c r="A1547" s="34">
        <v>1545</v>
      </c>
      <c r="B1547" s="35" t="s">
        <v>4881</v>
      </c>
      <c r="C1547" s="17" t="s">
        <v>5677</v>
      </c>
      <c r="D1547" s="17" t="s">
        <v>1606</v>
      </c>
      <c r="E1547" s="18" t="s">
        <v>1441</v>
      </c>
      <c r="F1547" s="22">
        <v>11</v>
      </c>
      <c r="G1547" s="17" t="s">
        <v>5793</v>
      </c>
      <c r="H1547" s="20" t="s">
        <v>5794</v>
      </c>
      <c r="I1547" s="18" t="s">
        <v>339</v>
      </c>
      <c r="J1547" s="17" t="s">
        <v>1464</v>
      </c>
      <c r="K1547" s="17" t="s">
        <v>5772</v>
      </c>
      <c r="L1547" s="17"/>
      <c r="M1547" s="17" t="s">
        <v>6399</v>
      </c>
      <c r="N1547" s="17"/>
      <c r="O1547" s="17"/>
      <c r="P1547" s="23"/>
      <c r="Q1547" s="17">
        <v>4</v>
      </c>
      <c r="R1547" s="17">
        <v>4</v>
      </c>
      <c r="S1547" s="11" t="str">
        <f t="shared" si="9"/>
        <v>ジェム3個を起動する；ターン終了時まで、バフされているあなたのクリーチャーはブロックされないを得る。</v>
      </c>
      <c r="T1547" s="21" t="s">
        <v>6121</v>
      </c>
    </row>
    <row r="1548" spans="1:20" hidden="1" x14ac:dyDescent="0.15">
      <c r="A1548" s="34">
        <v>1546</v>
      </c>
      <c r="B1548" s="35" t="s">
        <v>4881</v>
      </c>
      <c r="C1548" s="17" t="s">
        <v>5677</v>
      </c>
      <c r="D1548" s="17" t="s">
        <v>1606</v>
      </c>
      <c r="E1548" s="18" t="s">
        <v>1441</v>
      </c>
      <c r="F1548" s="22">
        <v>11</v>
      </c>
      <c r="G1548" s="17" t="s">
        <v>5795</v>
      </c>
      <c r="H1548" s="20" t="s">
        <v>5796</v>
      </c>
      <c r="I1548" s="18" t="s">
        <v>339</v>
      </c>
      <c r="J1548" s="17" t="s">
        <v>5753</v>
      </c>
      <c r="K1548" s="17" t="s">
        <v>5746</v>
      </c>
      <c r="L1548" s="17" t="s">
        <v>1463</v>
      </c>
      <c r="M1548" s="17" t="s">
        <v>6061</v>
      </c>
      <c r="N1548" s="17" t="s">
        <v>6382</v>
      </c>
      <c r="O1548" s="17"/>
      <c r="P1548" s="23"/>
      <c r="Q1548" s="17">
        <v>3</v>
      </c>
      <c r="R1548" s="17">
        <v>3</v>
      </c>
      <c r="S1548" s="11" t="str">
        <f t="shared" si="9"/>
        <v>飛行  &amp;br;青ジェム3個を起動する：あなたのターン開始時まで、このクリーチャーは「このクリーチャーが死亡した時、対戦相手の手札の最初の呪文からすべてのマナを吸収する」を得る。</v>
      </c>
      <c r="T1548" s="21" t="s">
        <v>6503</v>
      </c>
    </row>
    <row r="1549" spans="1:20" hidden="1" x14ac:dyDescent="0.15">
      <c r="A1549" s="34">
        <v>1547</v>
      </c>
      <c r="B1549" s="35" t="s">
        <v>4881</v>
      </c>
      <c r="C1549" s="17" t="s">
        <v>5677</v>
      </c>
      <c r="D1549" s="17" t="s">
        <v>1606</v>
      </c>
      <c r="E1549" s="18" t="s">
        <v>1441</v>
      </c>
      <c r="F1549" s="22">
        <v>13</v>
      </c>
      <c r="G1549" s="17" t="s">
        <v>5797</v>
      </c>
      <c r="H1549" s="20" t="s">
        <v>5798</v>
      </c>
      <c r="I1549" s="18" t="s">
        <v>1453</v>
      </c>
      <c r="J1549" s="17"/>
      <c r="K1549" s="17"/>
      <c r="L1549" s="17"/>
      <c r="M1549" s="17" t="s">
        <v>6377</v>
      </c>
      <c r="N1549" s="17" t="s">
        <v>6378</v>
      </c>
      <c r="O1549" s="17"/>
      <c r="P1549" s="23"/>
      <c r="Q1549" s="17"/>
      <c r="R1549" s="17"/>
      <c r="S1549" s="11" t="str">
        <f t="shared" si="9"/>
        <v>カードを3枚引く。&amp;br;あなたの手札にカードが6枚ある場合、あなたの手札の各カードはそれぞれ3マナを得る。</v>
      </c>
      <c r="T1549" s="21" t="s">
        <v>6122</v>
      </c>
    </row>
    <row r="1550" spans="1:20" hidden="1" x14ac:dyDescent="0.15">
      <c r="A1550" s="34">
        <v>1548</v>
      </c>
      <c r="B1550" s="35" t="s">
        <v>4881</v>
      </c>
      <c r="C1550" s="17" t="s">
        <v>5677</v>
      </c>
      <c r="D1550" s="17" t="s">
        <v>1606</v>
      </c>
      <c r="E1550" s="18" t="s">
        <v>1441</v>
      </c>
      <c r="F1550" s="22">
        <v>21</v>
      </c>
      <c r="G1550" s="17" t="s">
        <v>5799</v>
      </c>
      <c r="H1550" s="20" t="s">
        <v>5800</v>
      </c>
      <c r="I1550" s="18" t="s">
        <v>1453</v>
      </c>
      <c r="J1550" s="17"/>
      <c r="K1550" s="17"/>
      <c r="L1550" s="17"/>
      <c r="M1550" s="17" t="s">
        <v>6379</v>
      </c>
      <c r="N1550" s="17"/>
      <c r="O1550" s="17"/>
      <c r="P1550" s="23"/>
      <c r="Q1550" s="17"/>
      <c r="R1550" s="17"/>
      <c r="S1550" s="11" t="str">
        <f t="shared" si="9"/>
        <v>対戦相手がコントロールするすべてのクリーチャーと土地出ないサポートをオーナーの手札に戻す。それらのマナ・コストは2多くなる。対戦相手の手札に空きがない場合、それらを破壊する。</v>
      </c>
      <c r="T1550" s="21" t="s">
        <v>6123</v>
      </c>
    </row>
    <row r="1551" spans="1:20" hidden="1" x14ac:dyDescent="0.15">
      <c r="A1551" s="34">
        <v>1549</v>
      </c>
      <c r="B1551" s="35" t="s">
        <v>4881</v>
      </c>
      <c r="C1551" s="17" t="s">
        <v>5677</v>
      </c>
      <c r="D1551" s="17" t="s">
        <v>1606</v>
      </c>
      <c r="E1551" s="18" t="s">
        <v>1441</v>
      </c>
      <c r="F1551" s="22">
        <v>6</v>
      </c>
      <c r="G1551" s="17" t="s">
        <v>5801</v>
      </c>
      <c r="H1551" s="20" t="s">
        <v>5802</v>
      </c>
      <c r="I1551" s="18" t="s">
        <v>288</v>
      </c>
      <c r="J1551" s="17"/>
      <c r="K1551" s="17"/>
      <c r="L1551" s="17"/>
      <c r="M1551" s="17" t="s">
        <v>6372</v>
      </c>
      <c r="N1551" s="17" t="s">
        <v>6373</v>
      </c>
      <c r="O1551" s="17"/>
      <c r="P1551" s="23">
        <v>2</v>
      </c>
      <c r="Q1551" s="17"/>
      <c r="R1551" s="17"/>
      <c r="S1551" s="11" t="str">
        <f t="shared" si="9"/>
        <v>このサポートが戦場に出たとき、あなたがコントロールするすべてのクリーチャーとあなたの手札のすべてのクリーチャーはマーフォークと吸血鬼と海賊と恐竜のサブタイプを得る。&amp;br;このサポートが破壊されたとき、カードを1枚引く。</v>
      </c>
      <c r="T1551" s="21" t="s">
        <v>6124</v>
      </c>
    </row>
    <row r="1552" spans="1:20" hidden="1" x14ac:dyDescent="0.15">
      <c r="A1552" s="34">
        <v>1550</v>
      </c>
      <c r="B1552" s="35" t="s">
        <v>4881</v>
      </c>
      <c r="C1552" s="17" t="s">
        <v>5677</v>
      </c>
      <c r="D1552" s="17" t="s">
        <v>1606</v>
      </c>
      <c r="E1552" s="18" t="s">
        <v>1431</v>
      </c>
      <c r="F1552" s="22">
        <v>14</v>
      </c>
      <c r="G1552" s="17" t="s">
        <v>5803</v>
      </c>
      <c r="H1552" s="20" t="s">
        <v>5804</v>
      </c>
      <c r="I1552" s="18" t="s">
        <v>339</v>
      </c>
      <c r="J1552" s="17" t="s">
        <v>1464</v>
      </c>
      <c r="K1552" s="17" t="s">
        <v>1463</v>
      </c>
      <c r="L1552" s="17"/>
      <c r="M1552" s="17" t="s">
        <v>6327</v>
      </c>
      <c r="N1552" s="17"/>
      <c r="O1552" s="17"/>
      <c r="P1552" s="23"/>
      <c r="Q1552" s="17">
        <v>5</v>
      </c>
      <c r="R1552" s="17">
        <v>5</v>
      </c>
      <c r="S1552" s="11" t="str">
        <f t="shared" si="9"/>
        <v>戦場にあなたの他のマーフォークが出ている間、対戦相手の呪文のマナ・コストは5多くなる。</v>
      </c>
      <c r="T1552" s="21" t="s">
        <v>6504</v>
      </c>
    </row>
    <row r="1553" spans="1:20" hidden="1" x14ac:dyDescent="0.15">
      <c r="A1553" s="34">
        <v>1551</v>
      </c>
      <c r="B1553" s="35" t="s">
        <v>4881</v>
      </c>
      <c r="C1553" s="17" t="s">
        <v>5677</v>
      </c>
      <c r="D1553" s="17" t="s">
        <v>1606</v>
      </c>
      <c r="E1553" s="18" t="s">
        <v>1431</v>
      </c>
      <c r="F1553" s="22">
        <v>10</v>
      </c>
      <c r="G1553" s="17" t="s">
        <v>5805</v>
      </c>
      <c r="H1553" s="20" t="s">
        <v>5806</v>
      </c>
      <c r="I1553" s="18" t="s">
        <v>1453</v>
      </c>
      <c r="J1553" s="17"/>
      <c r="K1553" s="17"/>
      <c r="L1553" s="17"/>
      <c r="M1553" s="17" t="s">
        <v>6345</v>
      </c>
      <c r="N1553" s="17"/>
      <c r="O1553" s="17"/>
      <c r="P1553" s="23"/>
      <c r="Q1553" s="17"/>
      <c r="R1553" s="17"/>
      <c r="S1553" s="11" t="str">
        <f t="shared" si="9"/>
        <v>対戦相手の手札の最初のカードからすべてのマナを吸収する。全てのマナを吸収し、宝物を4つ見つける。</v>
      </c>
      <c r="T1553" s="21" t="s">
        <v>6125</v>
      </c>
    </row>
    <row r="1554" spans="1:20" hidden="1" x14ac:dyDescent="0.15">
      <c r="A1554" s="34">
        <v>1552</v>
      </c>
      <c r="B1554" s="35" t="s">
        <v>4881</v>
      </c>
      <c r="C1554" s="17" t="s">
        <v>5677</v>
      </c>
      <c r="D1554" s="17" t="s">
        <v>1606</v>
      </c>
      <c r="E1554" s="18" t="s">
        <v>1431</v>
      </c>
      <c r="F1554" s="22">
        <v>7</v>
      </c>
      <c r="G1554" s="17" t="s">
        <v>5807</v>
      </c>
      <c r="H1554" s="20" t="s">
        <v>5808</v>
      </c>
      <c r="I1554" s="18" t="s">
        <v>288</v>
      </c>
      <c r="J1554" s="17"/>
      <c r="K1554" s="17"/>
      <c r="L1554" s="17"/>
      <c r="M1554" s="17" t="s">
        <v>6337</v>
      </c>
      <c r="N1554" s="17" t="s">
        <v>6338</v>
      </c>
      <c r="O1554" s="17"/>
      <c r="P1554" s="23">
        <v>4</v>
      </c>
      <c r="Q1554" s="17"/>
      <c r="R1554" s="17"/>
      <c r="S1554" s="11" t="str">
        <f t="shared" si="9"/>
        <v>あなたのターン開始時に、あなたのライブラリーの一番上から2枚のカードから1枚を選ぶ。そのカードを取ってきて、他を破壊する。&amp;br;あなたのターン終了時に、あなたの墓地にカードが7枚以上ある場合、このサポートを変身させる。</v>
      </c>
      <c r="T1554" s="21" t="s">
        <v>6126</v>
      </c>
    </row>
    <row r="1555" spans="1:20" hidden="1" x14ac:dyDescent="0.15">
      <c r="A1555" s="34">
        <v>1553</v>
      </c>
      <c r="B1555" s="35" t="s">
        <v>4881</v>
      </c>
      <c r="C1555" s="17" t="s">
        <v>5677</v>
      </c>
      <c r="D1555" s="17" t="s">
        <v>1606</v>
      </c>
      <c r="E1555" s="18" t="s">
        <v>1431</v>
      </c>
      <c r="F1555" s="22">
        <v>0</v>
      </c>
      <c r="G1555" s="17" t="s">
        <v>6232</v>
      </c>
      <c r="H1555" s="20" t="s">
        <v>6233</v>
      </c>
      <c r="I1555" s="18" t="s">
        <v>288</v>
      </c>
      <c r="J1555" s="17" t="s">
        <v>6029</v>
      </c>
      <c r="K1555" s="17"/>
      <c r="L1555" s="17"/>
      <c r="M1555" s="17" t="s">
        <v>6834</v>
      </c>
      <c r="N1555" s="17" t="s">
        <v>6835</v>
      </c>
      <c r="O1555" s="17"/>
      <c r="P1555" s="23">
        <v>4</v>
      </c>
      <c r="Q1555" s="17"/>
      <c r="R1555" s="17"/>
      <c r="S1555" s="11" t="str">
        <f t="shared" si="9"/>
        <v>あなたのターン開始時に、ジェム3個を青に変換する。&amp;br;青ジェム3個を起動する：あなたのライブラリーから最初の呪文か土地でないサポートを取ってくる。それは5マナを得る。</v>
      </c>
      <c r="T1555" s="21" t="s">
        <v>6255</v>
      </c>
    </row>
    <row r="1556" spans="1:20" hidden="1" x14ac:dyDescent="0.15">
      <c r="A1556" s="34">
        <v>1554</v>
      </c>
      <c r="B1556" s="35" t="s">
        <v>4881</v>
      </c>
      <c r="C1556" s="17" t="s">
        <v>5677</v>
      </c>
      <c r="D1556" s="17" t="s">
        <v>1582</v>
      </c>
      <c r="E1556" s="18" t="s">
        <v>1744</v>
      </c>
      <c r="F1556" s="22">
        <v>10</v>
      </c>
      <c r="G1556" s="17" t="s">
        <v>5809</v>
      </c>
      <c r="H1556" s="20" t="s">
        <v>5810</v>
      </c>
      <c r="I1556" s="18" t="s">
        <v>339</v>
      </c>
      <c r="J1556" s="17" t="s">
        <v>5686</v>
      </c>
      <c r="K1556" s="17" t="s">
        <v>5746</v>
      </c>
      <c r="L1556" s="17"/>
      <c r="M1556" s="17" t="s">
        <v>6550</v>
      </c>
      <c r="N1556" s="17"/>
      <c r="O1556" s="17"/>
      <c r="P1556" s="23"/>
      <c r="Q1556" s="17">
        <v>3</v>
      </c>
      <c r="R1556" s="17">
        <v>3</v>
      </c>
      <c r="S1556" s="11" t="str">
        <f t="shared" si="9"/>
        <v>このクリーチャーが戦場に出たとき、あなたが強襲していた場合、対戦相手はカードを1枚捨てる。</v>
      </c>
      <c r="T1556" s="21" t="s">
        <v>6127</v>
      </c>
    </row>
    <row r="1557" spans="1:20" hidden="1" x14ac:dyDescent="0.15">
      <c r="A1557" s="34">
        <v>1555</v>
      </c>
      <c r="B1557" s="35" t="s">
        <v>4881</v>
      </c>
      <c r="C1557" s="17" t="s">
        <v>5677</v>
      </c>
      <c r="D1557" s="17" t="s">
        <v>1582</v>
      </c>
      <c r="E1557" s="18" t="s">
        <v>1744</v>
      </c>
      <c r="F1557" s="22">
        <v>9</v>
      </c>
      <c r="G1557" s="17" t="s">
        <v>5811</v>
      </c>
      <c r="H1557" s="20" t="s">
        <v>5812</v>
      </c>
      <c r="I1557" s="18" t="s">
        <v>339</v>
      </c>
      <c r="J1557" s="17" t="s">
        <v>5686</v>
      </c>
      <c r="K1557" s="17" t="s">
        <v>5746</v>
      </c>
      <c r="L1557" s="17"/>
      <c r="M1557" s="17" t="s">
        <v>6552</v>
      </c>
      <c r="N1557" s="17"/>
      <c r="O1557" s="17"/>
      <c r="P1557" s="23"/>
      <c r="Q1557" s="17">
        <v>4</v>
      </c>
      <c r="R1557" s="17">
        <v>4</v>
      </c>
      <c r="S1557" s="11" t="str">
        <f t="shared" si="9"/>
        <v>あなたがサポートをコントロールしていない限り、このクリーチャーは攻撃できない。</v>
      </c>
      <c r="T1557" s="21" t="s">
        <v>6128</v>
      </c>
    </row>
    <row r="1558" spans="1:20" hidden="1" x14ac:dyDescent="0.15">
      <c r="A1558" s="34">
        <v>1556</v>
      </c>
      <c r="B1558" s="35" t="s">
        <v>4881</v>
      </c>
      <c r="C1558" s="17" t="s">
        <v>5677</v>
      </c>
      <c r="D1558" s="17" t="s">
        <v>1582</v>
      </c>
      <c r="E1558" s="18" t="s">
        <v>1744</v>
      </c>
      <c r="F1558" s="22">
        <v>9</v>
      </c>
      <c r="G1558" s="17" t="s">
        <v>5813</v>
      </c>
      <c r="H1558" s="20" t="s">
        <v>5814</v>
      </c>
      <c r="I1558" s="18" t="s">
        <v>339</v>
      </c>
      <c r="J1558" s="17" t="s">
        <v>5686</v>
      </c>
      <c r="K1558" s="17" t="s">
        <v>5746</v>
      </c>
      <c r="L1558" s="17"/>
      <c r="M1558" s="17" t="s">
        <v>6553</v>
      </c>
      <c r="N1558" s="17"/>
      <c r="O1558" s="17"/>
      <c r="P1558" s="23"/>
      <c r="Q1558" s="17">
        <v>3</v>
      </c>
      <c r="R1558" s="17">
        <v>2</v>
      </c>
      <c r="S1558" s="11" t="str">
        <f t="shared" ref="S1558:S1621" si="11">IF(M1558="","",M1558&amp;IF(N1558="","","&amp;br;"&amp;N1558)&amp;IF(O1558="","","&amp;br;"&amp;O1558))</f>
        <v>このクリーチャーが死亡した時、宝物を1つ見つける。</v>
      </c>
      <c r="T1558" s="21" t="s">
        <v>6129</v>
      </c>
    </row>
    <row r="1559" spans="1:20" hidden="1" x14ac:dyDescent="0.15">
      <c r="A1559" s="34">
        <v>1557</v>
      </c>
      <c r="B1559" s="35" t="s">
        <v>4881</v>
      </c>
      <c r="C1559" s="17" t="s">
        <v>5677</v>
      </c>
      <c r="D1559" s="17" t="s">
        <v>1582</v>
      </c>
      <c r="E1559" s="18" t="s">
        <v>1744</v>
      </c>
      <c r="F1559" s="22">
        <v>11</v>
      </c>
      <c r="G1559" s="17" t="s">
        <v>5815</v>
      </c>
      <c r="H1559" s="20" t="s">
        <v>5816</v>
      </c>
      <c r="I1559" s="18" t="s">
        <v>339</v>
      </c>
      <c r="J1559" s="17" t="s">
        <v>5686</v>
      </c>
      <c r="K1559" s="17" t="s">
        <v>5746</v>
      </c>
      <c r="L1559" s="17"/>
      <c r="M1559" s="17" t="s">
        <v>6064</v>
      </c>
      <c r="N1559" s="17" t="s">
        <v>6549</v>
      </c>
      <c r="O1559" s="17"/>
      <c r="P1559" s="23"/>
      <c r="Q1559" s="17">
        <v>3</v>
      </c>
      <c r="R1559" s="17">
        <v>3</v>
      </c>
      <c r="S1559" s="11" t="str">
        <f t="shared" si="11"/>
        <v>威迫  &amp;br;このクリーチャーが戦場に出たとき、これは探検1を行う。</v>
      </c>
      <c r="T1559" s="21" t="s">
        <v>6105</v>
      </c>
    </row>
    <row r="1560" spans="1:20" hidden="1" x14ac:dyDescent="0.15">
      <c r="A1560" s="34">
        <v>1558</v>
      </c>
      <c r="B1560" s="35" t="s">
        <v>4881</v>
      </c>
      <c r="C1560" s="17" t="s">
        <v>5677</v>
      </c>
      <c r="D1560" s="17" t="s">
        <v>1582</v>
      </c>
      <c r="E1560" s="18" t="s">
        <v>1744</v>
      </c>
      <c r="F1560" s="22">
        <v>11</v>
      </c>
      <c r="G1560" s="17" t="s">
        <v>5817</v>
      </c>
      <c r="H1560" s="20" t="s">
        <v>5818</v>
      </c>
      <c r="I1560" s="18" t="s">
        <v>339</v>
      </c>
      <c r="J1560" s="17" t="s">
        <v>357</v>
      </c>
      <c r="K1560" s="17" t="s">
        <v>2802</v>
      </c>
      <c r="L1560" s="17"/>
      <c r="M1560" s="17" t="s">
        <v>6867</v>
      </c>
      <c r="N1560" s="17"/>
      <c r="O1560" s="17"/>
      <c r="P1560" s="23"/>
      <c r="Q1560" s="17">
        <v>3</v>
      </c>
      <c r="R1560" s="17">
        <v>4</v>
      </c>
      <c r="S1560" s="11" t="str">
        <f t="shared" si="11"/>
        <v>あなたがコントロールするクリーチャーが探検を行うたび、対戦相手がコントロールする最初のクリーチャーは-2/-2の修正を受ける。</v>
      </c>
      <c r="T1560" s="21" t="s">
        <v>6130</v>
      </c>
    </row>
    <row r="1561" spans="1:20" hidden="1" x14ac:dyDescent="0.15">
      <c r="A1561" s="34">
        <v>1559</v>
      </c>
      <c r="B1561" s="35" t="s">
        <v>4881</v>
      </c>
      <c r="C1561" s="17" t="s">
        <v>5677</v>
      </c>
      <c r="D1561" s="17" t="s">
        <v>1582</v>
      </c>
      <c r="E1561" s="18" t="s">
        <v>1744</v>
      </c>
      <c r="F1561" s="22">
        <v>16</v>
      </c>
      <c r="G1561" s="17" t="s">
        <v>5819</v>
      </c>
      <c r="H1561" s="20" t="s">
        <v>5820</v>
      </c>
      <c r="I1561" s="18" t="s">
        <v>339</v>
      </c>
      <c r="J1561" s="17" t="s">
        <v>5682</v>
      </c>
      <c r="K1561" s="17" t="s">
        <v>1929</v>
      </c>
      <c r="L1561" s="17"/>
      <c r="M1561" s="17" t="s">
        <v>6065</v>
      </c>
      <c r="N1561" s="17" t="s">
        <v>6564</v>
      </c>
      <c r="O1561" s="17"/>
      <c r="P1561" s="23"/>
      <c r="Q1561" s="17">
        <v>4</v>
      </c>
      <c r="R1561" s="17">
        <v>4</v>
      </c>
      <c r="S1561" s="11" t="str">
        <f t="shared" si="11"/>
        <v>絆魂  &amp;br;このクリーチャーが戦場に出たとき、これは探検2を行う。</v>
      </c>
      <c r="T1561" s="21" t="s">
        <v>6131</v>
      </c>
    </row>
    <row r="1562" spans="1:20" hidden="1" x14ac:dyDescent="0.15">
      <c r="A1562" s="34">
        <v>1560</v>
      </c>
      <c r="B1562" s="35" t="s">
        <v>4881</v>
      </c>
      <c r="C1562" s="17" t="s">
        <v>5677</v>
      </c>
      <c r="D1562" s="17" t="s">
        <v>1582</v>
      </c>
      <c r="E1562" s="18" t="s">
        <v>1744</v>
      </c>
      <c r="F1562" s="22">
        <v>8</v>
      </c>
      <c r="G1562" s="17" t="s">
        <v>7089</v>
      </c>
      <c r="H1562" s="20" t="s">
        <v>5822</v>
      </c>
      <c r="I1562" s="18" t="s">
        <v>339</v>
      </c>
      <c r="J1562" s="17" t="s">
        <v>5686</v>
      </c>
      <c r="K1562" s="17" t="s">
        <v>1929</v>
      </c>
      <c r="L1562" s="17"/>
      <c r="M1562" s="17" t="s">
        <v>6549</v>
      </c>
      <c r="N1562" s="17"/>
      <c r="O1562" s="17"/>
      <c r="P1562" s="23"/>
      <c r="Q1562" s="17">
        <v>2</v>
      </c>
      <c r="R1562" s="17">
        <v>3</v>
      </c>
      <c r="S1562" s="11" t="str">
        <f t="shared" si="11"/>
        <v>このクリーチャーが戦場に出たとき、これは探検1を行う。</v>
      </c>
      <c r="T1562" s="21" t="s">
        <v>6105</v>
      </c>
    </row>
    <row r="1563" spans="1:20" hidden="1" x14ac:dyDescent="0.15">
      <c r="A1563" s="34">
        <v>1561</v>
      </c>
      <c r="B1563" s="35" t="s">
        <v>4881</v>
      </c>
      <c r="C1563" s="17" t="s">
        <v>5677</v>
      </c>
      <c r="D1563" s="17" t="s">
        <v>1582</v>
      </c>
      <c r="E1563" s="18" t="s">
        <v>1744</v>
      </c>
      <c r="F1563" s="22">
        <v>9</v>
      </c>
      <c r="G1563" s="17" t="s">
        <v>5823</v>
      </c>
      <c r="H1563" s="20" t="s">
        <v>5824</v>
      </c>
      <c r="I1563" s="18" t="s">
        <v>339</v>
      </c>
      <c r="J1563" s="17" t="s">
        <v>5686</v>
      </c>
      <c r="K1563" s="17" t="s">
        <v>5746</v>
      </c>
      <c r="L1563" s="17"/>
      <c r="M1563" s="17" t="s">
        <v>6574</v>
      </c>
      <c r="N1563" s="17"/>
      <c r="O1563" s="17"/>
      <c r="P1563" s="23"/>
      <c r="Q1563" s="17">
        <v>4</v>
      </c>
      <c r="R1563" s="17">
        <v>4</v>
      </c>
      <c r="S1563" s="11" t="str">
        <f t="shared" si="11"/>
        <v>このクリーチャーが死亡した時、対戦相手は宝物を2つ見つける。</v>
      </c>
      <c r="T1563" s="21" t="s">
        <v>6132</v>
      </c>
    </row>
    <row r="1564" spans="1:20" hidden="1" x14ac:dyDescent="0.15">
      <c r="A1564" s="34">
        <v>1562</v>
      </c>
      <c r="B1564" s="35" t="s">
        <v>4881</v>
      </c>
      <c r="C1564" s="17" t="s">
        <v>5677</v>
      </c>
      <c r="D1564" s="17" t="s">
        <v>1582</v>
      </c>
      <c r="E1564" s="18" t="s">
        <v>1744</v>
      </c>
      <c r="F1564" s="22">
        <v>10</v>
      </c>
      <c r="G1564" s="17" t="s">
        <v>5825</v>
      </c>
      <c r="H1564" s="20" t="s">
        <v>5826</v>
      </c>
      <c r="I1564" s="18" t="s">
        <v>1453</v>
      </c>
      <c r="J1564" s="17"/>
      <c r="K1564" s="17"/>
      <c r="L1564" s="17"/>
      <c r="M1564" s="17" t="s">
        <v>6517</v>
      </c>
      <c r="N1564" s="17"/>
      <c r="O1564" s="17"/>
      <c r="P1564" s="23"/>
      <c r="Q1564" s="17"/>
      <c r="R1564" s="17"/>
      <c r="S1564" s="11" t="str">
        <f t="shared" si="11"/>
        <v>クリーチャー1体を対象とし、それを破壊する。宝物を2つ見つける。</v>
      </c>
      <c r="T1564" s="21" t="s">
        <v>6133</v>
      </c>
    </row>
    <row r="1565" spans="1:20" hidden="1" x14ac:dyDescent="0.15">
      <c r="A1565" s="34">
        <v>1563</v>
      </c>
      <c r="B1565" s="35" t="s">
        <v>4881</v>
      </c>
      <c r="C1565" s="17" t="s">
        <v>5677</v>
      </c>
      <c r="D1565" s="17" t="s">
        <v>1582</v>
      </c>
      <c r="E1565" s="18" t="s">
        <v>1744</v>
      </c>
      <c r="F1565" s="22">
        <v>3</v>
      </c>
      <c r="G1565" s="17" t="s">
        <v>5827</v>
      </c>
      <c r="H1565" s="20" t="s">
        <v>5828</v>
      </c>
      <c r="I1565" s="18" t="s">
        <v>1453</v>
      </c>
      <c r="J1565" s="17"/>
      <c r="K1565" s="17"/>
      <c r="L1565" s="17"/>
      <c r="M1565" s="17" t="s">
        <v>6858</v>
      </c>
      <c r="N1565" s="17"/>
      <c r="O1565" s="17"/>
      <c r="P1565" s="23"/>
      <c r="Q1565" s="17"/>
      <c r="R1565" s="17"/>
      <c r="S1565" s="11" t="str">
        <f t="shared" si="11"/>
        <v>あなたがコントロールする最後のクリーチャーを破壊し、カードを3枚引く。</v>
      </c>
      <c r="T1565" s="21" t="s">
        <v>6134</v>
      </c>
    </row>
    <row r="1566" spans="1:20" hidden="1" x14ac:dyDescent="0.15">
      <c r="A1566" s="34">
        <v>1564</v>
      </c>
      <c r="B1566" s="35" t="s">
        <v>4881</v>
      </c>
      <c r="C1566" s="17" t="s">
        <v>5677</v>
      </c>
      <c r="D1566" s="17" t="s">
        <v>1582</v>
      </c>
      <c r="E1566" s="18" t="s">
        <v>1744</v>
      </c>
      <c r="F1566" s="22">
        <v>8</v>
      </c>
      <c r="G1566" s="17" t="s">
        <v>5829</v>
      </c>
      <c r="H1566" s="20" t="s">
        <v>5830</v>
      </c>
      <c r="I1566" s="18" t="s">
        <v>1453</v>
      </c>
      <c r="J1566" s="17"/>
      <c r="K1566" s="17"/>
      <c r="L1566" s="17"/>
      <c r="M1566" s="17" t="s">
        <v>6527</v>
      </c>
      <c r="N1566" s="17"/>
      <c r="O1566" s="17"/>
      <c r="P1566" s="23"/>
      <c r="Q1566" s="17"/>
      <c r="R1566" s="17"/>
      <c r="S1566" s="11" t="str">
        <f t="shared" si="11"/>
        <v>対戦相手はカードを2枚捨てる。あなたが強襲していた場合、宝物を1つ見つける。</v>
      </c>
      <c r="T1566" s="21" t="s">
        <v>6135</v>
      </c>
    </row>
    <row r="1567" spans="1:20" hidden="1" x14ac:dyDescent="0.15">
      <c r="A1567" s="34">
        <v>1565</v>
      </c>
      <c r="B1567" s="35" t="s">
        <v>4881</v>
      </c>
      <c r="C1567" s="17" t="s">
        <v>5677</v>
      </c>
      <c r="D1567" s="17" t="s">
        <v>1582</v>
      </c>
      <c r="E1567" s="18" t="s">
        <v>1451</v>
      </c>
      <c r="F1567" s="22">
        <v>9</v>
      </c>
      <c r="G1567" s="17" t="s">
        <v>5831</v>
      </c>
      <c r="H1567" s="20" t="s">
        <v>5832</v>
      </c>
      <c r="I1567" s="18" t="s">
        <v>339</v>
      </c>
      <c r="J1567" s="17" t="s">
        <v>6851</v>
      </c>
      <c r="K1567" s="17" t="s">
        <v>2798</v>
      </c>
      <c r="L1567" s="17"/>
      <c r="M1567" s="17" t="s">
        <v>6061</v>
      </c>
      <c r="N1567" s="17" t="s">
        <v>6437</v>
      </c>
      <c r="O1567" s="17"/>
      <c r="P1567" s="23"/>
      <c r="Q1567" s="17">
        <v>2</v>
      </c>
      <c r="R1567" s="17">
        <v>2</v>
      </c>
      <c r="S1567" s="11" t="str">
        <f t="shared" si="11"/>
        <v>飛行  &amp;br;このクリーチャーが死亡した時、黒ジェムが4個以上ある場合、対戦相手は4点のライフを失い、あなたは4点のライフを得る。</v>
      </c>
      <c r="T1567" s="21" t="s">
        <v>6136</v>
      </c>
    </row>
    <row r="1568" spans="1:20" hidden="1" x14ac:dyDescent="0.15">
      <c r="A1568" s="34">
        <v>1566</v>
      </c>
      <c r="B1568" s="35" t="s">
        <v>4881</v>
      </c>
      <c r="C1568" s="17" t="s">
        <v>5677</v>
      </c>
      <c r="D1568" s="17" t="s">
        <v>1582</v>
      </c>
      <c r="E1568" s="18" t="s">
        <v>1451</v>
      </c>
      <c r="F1568" s="22">
        <v>15</v>
      </c>
      <c r="G1568" s="17" t="s">
        <v>5834</v>
      </c>
      <c r="H1568" s="20" t="s">
        <v>5835</v>
      </c>
      <c r="I1568" s="18" t="s">
        <v>339</v>
      </c>
      <c r="J1568" s="17" t="s">
        <v>5682</v>
      </c>
      <c r="K1568" s="17" t="s">
        <v>5689</v>
      </c>
      <c r="L1568" s="17"/>
      <c r="M1568" s="17" t="s">
        <v>6061</v>
      </c>
      <c r="N1568" s="17" t="s">
        <v>6443</v>
      </c>
      <c r="O1568" s="17"/>
      <c r="P1568" s="23"/>
      <c r="Q1568" s="17">
        <v>5</v>
      </c>
      <c r="R1568" s="17">
        <v>5</v>
      </c>
      <c r="S1568" s="11" t="str">
        <f t="shared" si="11"/>
        <v>飛行  &amp;br;このクリーチャーが死亡した時、あなたが2回以上強化された吸血鬼をコントロールしている場合、あなたの墓地からこのクリーチャーをあなたの手札に戻す。これのマナ・コストは3少なくなる。</v>
      </c>
      <c r="T1568" s="21" t="s">
        <v>6137</v>
      </c>
    </row>
    <row r="1569" spans="1:20" hidden="1" x14ac:dyDescent="0.15">
      <c r="A1569" s="34">
        <v>1567</v>
      </c>
      <c r="B1569" s="35" t="s">
        <v>4881</v>
      </c>
      <c r="C1569" s="17" t="s">
        <v>5677</v>
      </c>
      <c r="D1569" s="17" t="s">
        <v>1582</v>
      </c>
      <c r="E1569" s="18" t="s">
        <v>1451</v>
      </c>
      <c r="F1569" s="22">
        <v>8</v>
      </c>
      <c r="G1569" s="17" t="s">
        <v>5836</v>
      </c>
      <c r="H1569" s="20" t="s">
        <v>5837</v>
      </c>
      <c r="I1569" s="18" t="s">
        <v>339</v>
      </c>
      <c r="J1569" s="17" t="s">
        <v>5686</v>
      </c>
      <c r="K1569" s="17" t="s">
        <v>5746</v>
      </c>
      <c r="L1569" s="17"/>
      <c r="M1569" s="17" t="s">
        <v>6061</v>
      </c>
      <c r="N1569" s="17" t="s">
        <v>6462</v>
      </c>
      <c r="O1569" s="17" t="s">
        <v>6463</v>
      </c>
      <c r="P1569" s="23"/>
      <c r="Q1569" s="17">
        <v>2</v>
      </c>
      <c r="R1569" s="17">
        <v>3</v>
      </c>
      <c r="S1569" s="11" t="str">
        <f t="shared" si="11"/>
        <v>飛行  &amp;br;このクリーチャーが戦場に出たとき、対戦相手の手札からクリーチャーでない最後の手札を追放する。&amp;br;このクリーチャーが死亡した時、対戦相手はカードを1枚引く。</v>
      </c>
      <c r="T1569" s="21" t="s">
        <v>6138</v>
      </c>
    </row>
    <row r="1570" spans="1:20" hidden="1" x14ac:dyDescent="0.15">
      <c r="A1570" s="34">
        <v>1568</v>
      </c>
      <c r="B1570" s="35" t="s">
        <v>4881</v>
      </c>
      <c r="C1570" s="17" t="s">
        <v>5677</v>
      </c>
      <c r="D1570" s="17" t="s">
        <v>1582</v>
      </c>
      <c r="E1570" s="18" t="s">
        <v>1451</v>
      </c>
      <c r="F1570" s="22">
        <v>13</v>
      </c>
      <c r="G1570" s="17" t="s">
        <v>5838</v>
      </c>
      <c r="H1570" s="20" t="s">
        <v>5839</v>
      </c>
      <c r="I1570" s="18" t="s">
        <v>339</v>
      </c>
      <c r="J1570" s="17" t="s">
        <v>5840</v>
      </c>
      <c r="K1570" s="17" t="s">
        <v>5746</v>
      </c>
      <c r="L1570" s="17"/>
      <c r="M1570" s="17" t="s">
        <v>6483</v>
      </c>
      <c r="N1570" s="17" t="s">
        <v>6484</v>
      </c>
      <c r="O1570" s="17"/>
      <c r="P1570" s="23"/>
      <c r="Q1570" s="17">
        <v>4</v>
      </c>
      <c r="R1570" s="17">
        <v>3</v>
      </c>
      <c r="S1570" s="11" t="str">
        <f t="shared" si="11"/>
        <v>ジェム1個を起動する：あなたがコントロールする他の最初のクリーチャーを破壊し、あなたは宝物を2つ見つける。&amp;br;あなたのターン終了時に、あなたが宝物を3つ以上コントロールしている場合、カードを1枚引く。</v>
      </c>
      <c r="T1570" s="21" t="s">
        <v>6139</v>
      </c>
    </row>
    <row r="1571" spans="1:20" hidden="1" x14ac:dyDescent="0.15">
      <c r="A1571" s="34">
        <v>1569</v>
      </c>
      <c r="B1571" s="35" t="s">
        <v>4881</v>
      </c>
      <c r="C1571" s="17" t="s">
        <v>5677</v>
      </c>
      <c r="D1571" s="17" t="s">
        <v>1582</v>
      </c>
      <c r="E1571" s="18" t="s">
        <v>1451</v>
      </c>
      <c r="F1571" s="22">
        <v>7</v>
      </c>
      <c r="G1571" s="17" t="s">
        <v>5841</v>
      </c>
      <c r="H1571" s="20" t="s">
        <v>5842</v>
      </c>
      <c r="I1571" s="18" t="s">
        <v>339</v>
      </c>
      <c r="J1571" s="17" t="s">
        <v>5682</v>
      </c>
      <c r="K1571" s="17" t="s">
        <v>5683</v>
      </c>
      <c r="L1571" s="17"/>
      <c r="M1571" s="17" t="s">
        <v>6513</v>
      </c>
      <c r="N1571" s="17"/>
      <c r="O1571" s="17"/>
      <c r="P1571" s="23"/>
      <c r="Q1571" s="17">
        <v>1</v>
      </c>
      <c r="R1571" s="17">
        <v>2</v>
      </c>
      <c r="S1571" s="11" t="str">
        <f t="shared" si="11"/>
        <v>このクリーチャーが攻撃するたび、対戦相手は2点のライフを失う。このクリーチャーが少なくとも2回強化されている場合、代わりに対戦相手は4点のライフを失う。</v>
      </c>
      <c r="T1571" s="21" t="s">
        <v>6140</v>
      </c>
    </row>
    <row r="1572" spans="1:20" hidden="1" x14ac:dyDescent="0.15">
      <c r="A1572" s="34">
        <v>1570</v>
      </c>
      <c r="B1572" s="35" t="s">
        <v>4881</v>
      </c>
      <c r="C1572" s="17" t="s">
        <v>5677</v>
      </c>
      <c r="D1572" s="17" t="s">
        <v>1582</v>
      </c>
      <c r="E1572" s="18" t="s">
        <v>1451</v>
      </c>
      <c r="F1572" s="22">
        <v>7</v>
      </c>
      <c r="G1572" s="17" t="s">
        <v>5843</v>
      </c>
      <c r="H1572" s="20" t="s">
        <v>5844</v>
      </c>
      <c r="I1572" s="18" t="s">
        <v>1453</v>
      </c>
      <c r="J1572" s="17"/>
      <c r="K1572" s="17"/>
      <c r="L1572" s="17"/>
      <c r="M1572" s="17" t="s">
        <v>6448</v>
      </c>
      <c r="N1572" s="17"/>
      <c r="O1572" s="17"/>
      <c r="P1572" s="23"/>
      <c r="Q1572" s="17"/>
      <c r="R1572" s="17"/>
      <c r="S1572" s="11" t="str">
        <f t="shared" si="11"/>
        <v>対戦相手は手札からクリーチャーでない最初のカードを捨てる。</v>
      </c>
      <c r="T1572" s="21" t="s">
        <v>6141</v>
      </c>
    </row>
    <row r="1573" spans="1:20" hidden="1" x14ac:dyDescent="0.15">
      <c r="A1573" s="34">
        <v>1571</v>
      </c>
      <c r="B1573" s="35" t="s">
        <v>4881</v>
      </c>
      <c r="C1573" s="17" t="s">
        <v>5677</v>
      </c>
      <c r="D1573" s="17" t="s">
        <v>1582</v>
      </c>
      <c r="E1573" s="18" t="s">
        <v>1451</v>
      </c>
      <c r="F1573" s="22">
        <v>8</v>
      </c>
      <c r="G1573" s="17" t="s">
        <v>5845</v>
      </c>
      <c r="H1573" s="20" t="s">
        <v>5846</v>
      </c>
      <c r="I1573" s="18" t="s">
        <v>1453</v>
      </c>
      <c r="J1573" s="17"/>
      <c r="K1573" s="17"/>
      <c r="L1573" s="17"/>
      <c r="M1573" s="17" t="s">
        <v>6457</v>
      </c>
      <c r="N1573" s="17" t="s">
        <v>6458</v>
      </c>
      <c r="O1573" s="17"/>
      <c r="P1573" s="23"/>
      <c r="Q1573" s="17"/>
      <c r="R1573" s="17"/>
      <c r="S1573" s="11" t="str">
        <f t="shared" si="11"/>
        <v>あなたの墓地から、海賊1体と吸血鬼1体と恐竜1体とマーフォーク1体をあなたの手札に戻す。&amp;br;これにより戻されたカード1枚につきあなたは2点のライフを失い、それらの各カードは3マナを得る。</v>
      </c>
      <c r="T1573" s="21" t="s">
        <v>6142</v>
      </c>
    </row>
    <row r="1574" spans="1:20" hidden="1" x14ac:dyDescent="0.15">
      <c r="A1574" s="34">
        <v>1572</v>
      </c>
      <c r="B1574" s="35" t="s">
        <v>4881</v>
      </c>
      <c r="C1574" s="17" t="s">
        <v>5677</v>
      </c>
      <c r="D1574" s="17" t="s">
        <v>1582</v>
      </c>
      <c r="E1574" s="18" t="s">
        <v>1451</v>
      </c>
      <c r="F1574" s="22">
        <v>7</v>
      </c>
      <c r="G1574" s="17" t="s">
        <v>5847</v>
      </c>
      <c r="H1574" s="20" t="s">
        <v>5848</v>
      </c>
      <c r="I1574" s="18" t="s">
        <v>1453</v>
      </c>
      <c r="J1574" s="17"/>
      <c r="K1574" s="17"/>
      <c r="L1574" s="17"/>
      <c r="M1574" s="17" t="s">
        <v>6515</v>
      </c>
      <c r="N1574" s="17"/>
      <c r="O1574" s="17"/>
      <c r="P1574" s="23"/>
      <c r="Q1574" s="17"/>
      <c r="R1574" s="17"/>
      <c r="S1574" s="11" t="str">
        <f t="shared" si="11"/>
        <v>マーフォークでないクリーチャー1体を対象とし、それを破壊する。</v>
      </c>
      <c r="T1574" s="21" t="s">
        <v>6143</v>
      </c>
    </row>
    <row r="1575" spans="1:20" hidden="1" x14ac:dyDescent="0.15">
      <c r="A1575" s="34">
        <v>1573</v>
      </c>
      <c r="B1575" s="35" t="s">
        <v>4881</v>
      </c>
      <c r="C1575" s="17" t="s">
        <v>5677</v>
      </c>
      <c r="D1575" s="17" t="s">
        <v>1582</v>
      </c>
      <c r="E1575" s="18" t="s">
        <v>1451</v>
      </c>
      <c r="F1575" s="22">
        <v>14</v>
      </c>
      <c r="G1575" s="17" t="s">
        <v>5849</v>
      </c>
      <c r="H1575" s="20" t="s">
        <v>5850</v>
      </c>
      <c r="I1575" s="18" t="s">
        <v>288</v>
      </c>
      <c r="J1575" s="17"/>
      <c r="K1575" s="17"/>
      <c r="L1575" s="17"/>
      <c r="M1575" s="17" t="s">
        <v>6476</v>
      </c>
      <c r="N1575" s="17" t="s">
        <v>6477</v>
      </c>
      <c r="O1575" s="17"/>
      <c r="P1575" s="23">
        <v>3</v>
      </c>
      <c r="Q1575" s="17"/>
      <c r="R1575" s="17"/>
      <c r="S1575" s="11" t="str">
        <f t="shared" si="11"/>
        <v>対戦相手がカードを捨てるたび、そのプレイヤーは3点のライフを失う。&amp;br;あなたのターン終了時に、あなたが強襲していた場合、対戦相手はカードを1枚捨てる。</v>
      </c>
      <c r="T1575" s="21" t="s">
        <v>6144</v>
      </c>
    </row>
    <row r="1576" spans="1:20" hidden="1" x14ac:dyDescent="0.15">
      <c r="A1576" s="34">
        <v>1574</v>
      </c>
      <c r="B1576" s="35" t="s">
        <v>4881</v>
      </c>
      <c r="C1576" s="17" t="s">
        <v>5677</v>
      </c>
      <c r="D1576" s="17" t="s">
        <v>1582</v>
      </c>
      <c r="E1576" s="18" t="s">
        <v>1441</v>
      </c>
      <c r="F1576" s="22">
        <v>12</v>
      </c>
      <c r="G1576" s="17" t="s">
        <v>5851</v>
      </c>
      <c r="H1576" s="20" t="s">
        <v>5852</v>
      </c>
      <c r="I1576" s="18" t="s">
        <v>339</v>
      </c>
      <c r="J1576" s="17" t="s">
        <v>5682</v>
      </c>
      <c r="K1576" s="17" t="s">
        <v>1470</v>
      </c>
      <c r="L1576" s="17"/>
      <c r="M1576" s="17" t="s">
        <v>6383</v>
      </c>
      <c r="N1576" s="17"/>
      <c r="O1576" s="17"/>
      <c r="P1576" s="23"/>
      <c r="Q1576" s="17">
        <v>4</v>
      </c>
      <c r="R1576" s="17">
        <v>4</v>
      </c>
      <c r="S1576" s="11" t="str">
        <f t="shared" si="11"/>
        <v>このクリーチャーが戦場に出たとき、対戦相手はあなたがコントロールする吸血鬼1体につき1点のライフを失う。その後、そのプレイヤーは、それらの吸血鬼が強化された回数1回につき1点のライフを失う。</v>
      </c>
      <c r="T1576" s="21" t="s">
        <v>6145</v>
      </c>
    </row>
    <row r="1577" spans="1:20" hidden="1" x14ac:dyDescent="0.15">
      <c r="A1577" s="34">
        <v>1575</v>
      </c>
      <c r="B1577" s="35" t="s">
        <v>4881</v>
      </c>
      <c r="C1577" s="17" t="s">
        <v>5677</v>
      </c>
      <c r="D1577" s="17" t="s">
        <v>1582</v>
      </c>
      <c r="E1577" s="18" t="s">
        <v>1441</v>
      </c>
      <c r="F1577" s="22">
        <v>10</v>
      </c>
      <c r="G1577" s="17" t="s">
        <v>5853</v>
      </c>
      <c r="H1577" s="20" t="s">
        <v>5854</v>
      </c>
      <c r="I1577" s="18" t="s">
        <v>339</v>
      </c>
      <c r="J1577" s="17" t="s">
        <v>5686</v>
      </c>
      <c r="K1577" s="17" t="s">
        <v>5746</v>
      </c>
      <c r="L1577" s="17"/>
      <c r="M1577" s="17" t="s">
        <v>6384</v>
      </c>
      <c r="N1577" s="17"/>
      <c r="O1577" s="17"/>
      <c r="P1577" s="23"/>
      <c r="Q1577" s="17">
        <v>2</v>
      </c>
      <c r="R1577" s="17">
        <v>2</v>
      </c>
      <c r="S1577" s="11" t="str">
        <f t="shared" si="11"/>
        <v>黒ジェム3個を起動する：対戦相手の墓地から最後の2枚のカードを追放する。その後、このクリーチャーは探検1を行う。</v>
      </c>
      <c r="T1577" s="21" t="s">
        <v>6146</v>
      </c>
    </row>
    <row r="1578" spans="1:20" hidden="1" x14ac:dyDescent="0.15">
      <c r="A1578" s="34">
        <v>1576</v>
      </c>
      <c r="B1578" s="35" t="s">
        <v>4881</v>
      </c>
      <c r="C1578" s="17" t="s">
        <v>5677</v>
      </c>
      <c r="D1578" s="17" t="s">
        <v>1582</v>
      </c>
      <c r="E1578" s="18" t="s">
        <v>1441</v>
      </c>
      <c r="F1578" s="22">
        <v>10</v>
      </c>
      <c r="G1578" s="17" t="s">
        <v>5855</v>
      </c>
      <c r="H1578" s="20" t="s">
        <v>5856</v>
      </c>
      <c r="I1578" s="18" t="s">
        <v>339</v>
      </c>
      <c r="J1578" s="17" t="s">
        <v>5686</v>
      </c>
      <c r="K1578" s="17" t="s">
        <v>5746</v>
      </c>
      <c r="L1578" s="17"/>
      <c r="M1578" s="17" t="s">
        <v>6064</v>
      </c>
      <c r="N1578" s="17" t="s">
        <v>6843</v>
      </c>
      <c r="O1578" s="17"/>
      <c r="P1578" s="23"/>
      <c r="Q1578" s="17">
        <v>4</v>
      </c>
      <c r="R1578" s="17">
        <v>3</v>
      </c>
      <c r="S1578" s="11" t="str">
        <f t="shared" si="11"/>
        <v>威迫  &amp;br;このクリーチャーが攻撃するたび、あなたが他のトークンでない海賊をコントロールしている場合、あなたは2マナを吸収され、威迫を持つ2/2の黒の海賊・トークンを1体生成する。</v>
      </c>
      <c r="T1578" s="21" t="s">
        <v>6147</v>
      </c>
    </row>
    <row r="1579" spans="1:20" hidden="1" x14ac:dyDescent="0.15">
      <c r="A1579" s="34">
        <v>1577</v>
      </c>
      <c r="B1579" s="35" t="s">
        <v>4881</v>
      </c>
      <c r="C1579" s="17" t="s">
        <v>5677</v>
      </c>
      <c r="D1579" s="17" t="s">
        <v>1582</v>
      </c>
      <c r="E1579" s="18" t="s">
        <v>1441</v>
      </c>
      <c r="F1579" s="22">
        <v>9</v>
      </c>
      <c r="G1579" s="17" t="s">
        <v>5857</v>
      </c>
      <c r="H1579" s="20" t="s">
        <v>5858</v>
      </c>
      <c r="I1579" s="18" t="s">
        <v>1453</v>
      </c>
      <c r="J1579" s="17"/>
      <c r="K1579" s="17"/>
      <c r="L1579" s="17"/>
      <c r="M1579" s="17" t="s">
        <v>6390</v>
      </c>
      <c r="N1579" s="17" t="s">
        <v>6391</v>
      </c>
      <c r="O1579" s="17"/>
      <c r="P1579" s="23"/>
      <c r="Q1579" s="17"/>
      <c r="R1579" s="17"/>
      <c r="S1579" s="11" t="str">
        <f t="shared" si="11"/>
        <v>クリーチャー1体を対象とし、それを追放する。&amp;br;対戦相手は2点のライフを失う。あなたは2点のライフを得る。</v>
      </c>
      <c r="T1579" s="21" t="s">
        <v>6148</v>
      </c>
    </row>
    <row r="1580" spans="1:20" hidden="1" x14ac:dyDescent="0.15">
      <c r="A1580" s="34">
        <v>1578</v>
      </c>
      <c r="B1580" s="35" t="s">
        <v>4881</v>
      </c>
      <c r="C1580" s="17" t="s">
        <v>5677</v>
      </c>
      <c r="D1580" s="17" t="s">
        <v>1582</v>
      </c>
      <c r="E1580" s="18" t="s">
        <v>1441</v>
      </c>
      <c r="F1580" s="22">
        <v>14</v>
      </c>
      <c r="G1580" s="17" t="s">
        <v>5859</v>
      </c>
      <c r="H1580" s="20" t="s">
        <v>5860</v>
      </c>
      <c r="I1580" s="18" t="s">
        <v>288</v>
      </c>
      <c r="J1580" s="17"/>
      <c r="K1580" s="17"/>
      <c r="L1580" s="17"/>
      <c r="M1580" s="17" t="s">
        <v>6386</v>
      </c>
      <c r="N1580" s="17" t="s">
        <v>6847</v>
      </c>
      <c r="O1580" s="17"/>
      <c r="P1580" s="23">
        <v>3</v>
      </c>
      <c r="Q1580" s="17"/>
      <c r="R1580" s="17"/>
      <c r="S1580" s="11" t="str">
        <f t="shared" si="11"/>
        <v>対戦相手がコントロールするクリーチャーが死亡するたび、宝物を1つ見つける。&amp;br;あなたのターン開始時に、あなたが宝物を4つ以上コントロールしている場合、あなたの手札のすべてのカードは3マナを得る。</v>
      </c>
      <c r="T1580" s="21" t="s">
        <v>6149</v>
      </c>
    </row>
    <row r="1581" spans="1:20" hidden="1" x14ac:dyDescent="0.15">
      <c r="A1581" s="34">
        <v>1579</v>
      </c>
      <c r="B1581" s="35" t="s">
        <v>4881</v>
      </c>
      <c r="C1581" s="17" t="s">
        <v>5677</v>
      </c>
      <c r="D1581" s="17" t="s">
        <v>1582</v>
      </c>
      <c r="E1581" s="18" t="s">
        <v>1441</v>
      </c>
      <c r="F1581" s="22">
        <v>10</v>
      </c>
      <c r="G1581" s="17" t="s">
        <v>5861</v>
      </c>
      <c r="H1581" s="20" t="s">
        <v>5862</v>
      </c>
      <c r="I1581" s="18" t="s">
        <v>288</v>
      </c>
      <c r="J1581" s="17"/>
      <c r="K1581" s="17"/>
      <c r="L1581" s="17"/>
      <c r="M1581" s="17" t="s">
        <v>6388</v>
      </c>
      <c r="N1581" s="17" t="s">
        <v>6389</v>
      </c>
      <c r="O1581" s="17"/>
      <c r="P1581" s="23">
        <v>5</v>
      </c>
      <c r="Q1581" s="17"/>
      <c r="R1581" s="17"/>
      <c r="S1581" s="11" t="str">
        <f t="shared" si="11"/>
        <v>青ジェム3個に罠をかける：カードを1枚引く。このサポートは1シールドを失う。&amp;br;赤ジェム3個に罠をかける：対戦相手は3点のライフを失う。このサポートは1シールドを失う。</v>
      </c>
      <c r="T1581" s="21" t="s">
        <v>6150</v>
      </c>
    </row>
    <row r="1582" spans="1:20" hidden="1" x14ac:dyDescent="0.15">
      <c r="A1582" s="34">
        <v>1580</v>
      </c>
      <c r="B1582" s="35" t="s">
        <v>4881</v>
      </c>
      <c r="C1582" s="17" t="s">
        <v>5677</v>
      </c>
      <c r="D1582" s="17" t="s">
        <v>1582</v>
      </c>
      <c r="E1582" s="18" t="s">
        <v>1431</v>
      </c>
      <c r="F1582" s="22">
        <v>16</v>
      </c>
      <c r="G1582" s="17" t="s">
        <v>5863</v>
      </c>
      <c r="H1582" s="20" t="s">
        <v>5864</v>
      </c>
      <c r="I1582" s="18" t="s">
        <v>339</v>
      </c>
      <c r="J1582" s="17" t="s">
        <v>5840</v>
      </c>
      <c r="K1582" s="17" t="s">
        <v>5746</v>
      </c>
      <c r="L1582" s="17" t="s">
        <v>1463</v>
      </c>
      <c r="M1582" s="17" t="s">
        <v>6066</v>
      </c>
      <c r="N1582" s="17" t="s">
        <v>6321</v>
      </c>
      <c r="O1582" s="17"/>
      <c r="P1582" s="23"/>
      <c r="Q1582" s="17">
        <v>4</v>
      </c>
      <c r="R1582" s="17">
        <v>4</v>
      </c>
      <c r="S1582" s="11" t="str">
        <f t="shared" si="11"/>
        <v>威迫 接死 &amp;br;このクリーチャーが戦場に出たとき、あなたはX点のライフを失い、対戦相手はXの2倍の点数のライフを失う。Xは黒ジェムの総数に等しい。</v>
      </c>
      <c r="T1582" s="21" t="s">
        <v>6151</v>
      </c>
    </row>
    <row r="1583" spans="1:20" hidden="1" x14ac:dyDescent="0.15">
      <c r="A1583" s="34">
        <v>1581</v>
      </c>
      <c r="B1583" s="35" t="s">
        <v>4881</v>
      </c>
      <c r="C1583" s="17" t="s">
        <v>5677</v>
      </c>
      <c r="D1583" s="17" t="s">
        <v>1582</v>
      </c>
      <c r="E1583" s="18" t="s">
        <v>1431</v>
      </c>
      <c r="F1583" s="22">
        <v>13</v>
      </c>
      <c r="G1583" s="17" t="s">
        <v>5865</v>
      </c>
      <c r="H1583" s="20" t="s">
        <v>5866</v>
      </c>
      <c r="I1583" s="18" t="s">
        <v>339</v>
      </c>
      <c r="J1583" s="17" t="s">
        <v>5682</v>
      </c>
      <c r="K1583" s="17" t="s">
        <v>5689</v>
      </c>
      <c r="L1583" s="17"/>
      <c r="M1583" s="17" t="s">
        <v>6335</v>
      </c>
      <c r="N1583" s="17"/>
      <c r="O1583" s="17"/>
      <c r="P1583" s="23"/>
      <c r="Q1583" s="17">
        <v>5</v>
      </c>
      <c r="R1583" s="17">
        <v>5</v>
      </c>
      <c r="S1583" s="11" t="str">
        <f t="shared" si="11"/>
        <v>このクリーチャーが攻撃するたび、対戦相手はX点のライフを失い、あなたはX点のライフを得る。Xはあなたの吸血鬼が強化された回数に等しい。</v>
      </c>
      <c r="T1583" s="21" t="s">
        <v>6152</v>
      </c>
    </row>
    <row r="1584" spans="1:20" hidden="1" x14ac:dyDescent="0.15">
      <c r="A1584" s="34">
        <v>1582</v>
      </c>
      <c r="B1584" s="35" t="s">
        <v>4881</v>
      </c>
      <c r="C1584" s="17" t="s">
        <v>5677</v>
      </c>
      <c r="D1584" s="17" t="s">
        <v>1582</v>
      </c>
      <c r="E1584" s="18" t="s">
        <v>1431</v>
      </c>
      <c r="F1584" s="22">
        <v>7</v>
      </c>
      <c r="G1584" s="17" t="s">
        <v>5867</v>
      </c>
      <c r="H1584" s="20" t="s">
        <v>5868</v>
      </c>
      <c r="I1584" s="18" t="s">
        <v>288</v>
      </c>
      <c r="J1584" s="17"/>
      <c r="K1584" s="17"/>
      <c r="L1584" s="17"/>
      <c r="M1584" s="17" t="s">
        <v>6313</v>
      </c>
      <c r="N1584" s="17" t="s">
        <v>6314</v>
      </c>
      <c r="O1584" s="17"/>
      <c r="P1584" s="23">
        <v>4</v>
      </c>
      <c r="Q1584" s="17"/>
      <c r="R1584" s="17"/>
      <c r="S1584" s="11" t="str">
        <f t="shared" si="11"/>
        <v>ジェム2個を起動する：5点のライフを失い、カードを2枚引く。&amp;br;あなたのターン終了時に、このゲームであなたが20点以上のライフを失っていた場合、このサポートを変身させる。</v>
      </c>
      <c r="T1584" s="21" t="s">
        <v>6153</v>
      </c>
    </row>
    <row r="1585" spans="1:20" hidden="1" x14ac:dyDescent="0.15">
      <c r="A1585" s="34">
        <v>1583</v>
      </c>
      <c r="B1585" s="35" t="s">
        <v>4881</v>
      </c>
      <c r="C1585" s="17" t="s">
        <v>5677</v>
      </c>
      <c r="D1585" s="17" t="s">
        <v>1582</v>
      </c>
      <c r="E1585" s="18" t="s">
        <v>1431</v>
      </c>
      <c r="F1585" s="22">
        <v>0</v>
      </c>
      <c r="G1585" s="17" t="s">
        <v>6234</v>
      </c>
      <c r="H1585" s="20" t="s">
        <v>6235</v>
      </c>
      <c r="I1585" s="18" t="s">
        <v>288</v>
      </c>
      <c r="J1585" s="17" t="s">
        <v>6029</v>
      </c>
      <c r="K1585" s="17"/>
      <c r="L1585" s="17"/>
      <c r="M1585" s="17" t="s">
        <v>6827</v>
      </c>
      <c r="N1585" s="17" t="s">
        <v>6316</v>
      </c>
      <c r="O1585" s="17"/>
      <c r="P1585" s="23">
        <v>4</v>
      </c>
      <c r="Q1585" s="17"/>
      <c r="R1585" s="17"/>
      <c r="S1585" s="11" t="str">
        <f t="shared" si="11"/>
        <v>あなたのターン開始時に、ジェム3個を黒に変換する。&amp;br;黒ジェム1個を起動する：あなたがコントロールする最後のクリーチャーを破壊し、それのタフネスの2倍に等しい点数のライフを得る。</v>
      </c>
      <c r="T1585" s="21" t="s">
        <v>6251</v>
      </c>
    </row>
    <row r="1586" spans="1:20" hidden="1" x14ac:dyDescent="0.15">
      <c r="A1586" s="34">
        <v>1584</v>
      </c>
      <c r="B1586" s="35" t="s">
        <v>4881</v>
      </c>
      <c r="C1586" s="17" t="s">
        <v>5677</v>
      </c>
      <c r="D1586" s="17" t="s">
        <v>1552</v>
      </c>
      <c r="E1586" s="18" t="s">
        <v>1744</v>
      </c>
      <c r="F1586" s="22">
        <v>8</v>
      </c>
      <c r="G1586" s="17" t="s">
        <v>5869</v>
      </c>
      <c r="H1586" s="20" t="s">
        <v>5870</v>
      </c>
      <c r="I1586" s="18" t="s">
        <v>339</v>
      </c>
      <c r="J1586" s="17" t="s">
        <v>5686</v>
      </c>
      <c r="K1586" s="17" t="s">
        <v>5746</v>
      </c>
      <c r="L1586" s="17"/>
      <c r="M1586" s="17" t="s">
        <v>6067</v>
      </c>
      <c r="N1586" s="17" t="s">
        <v>6549</v>
      </c>
      <c r="O1586" s="17"/>
      <c r="P1586" s="23"/>
      <c r="Q1586" s="17">
        <v>2</v>
      </c>
      <c r="R1586" s="17">
        <v>2</v>
      </c>
      <c r="S1586" s="11" t="str">
        <f t="shared" si="11"/>
        <v>速攻  &amp;br;このクリーチャーが戦場に出たとき、これは探検1を行う。</v>
      </c>
      <c r="T1586" s="21" t="s">
        <v>6105</v>
      </c>
    </row>
    <row r="1587" spans="1:20" hidden="1" x14ac:dyDescent="0.15">
      <c r="A1587" s="34">
        <v>1585</v>
      </c>
      <c r="B1587" s="35" t="s">
        <v>4881</v>
      </c>
      <c r="C1587" s="17" t="s">
        <v>5677</v>
      </c>
      <c r="D1587" s="17" t="s">
        <v>1552</v>
      </c>
      <c r="E1587" s="18" t="s">
        <v>1744</v>
      </c>
      <c r="F1587" s="22">
        <v>6</v>
      </c>
      <c r="G1587" s="17" t="s">
        <v>5871</v>
      </c>
      <c r="H1587" s="20" t="s">
        <v>5872</v>
      </c>
      <c r="I1587" s="18" t="s">
        <v>339</v>
      </c>
      <c r="J1587" s="17" t="s">
        <v>5686</v>
      </c>
      <c r="K1587" s="17" t="s">
        <v>5746</v>
      </c>
      <c r="L1587" s="17"/>
      <c r="M1587" s="17" t="s">
        <v>6555</v>
      </c>
      <c r="N1587" s="17"/>
      <c r="O1587" s="17"/>
      <c r="P1587" s="23"/>
      <c r="Q1587" s="17">
        <v>2</v>
      </c>
      <c r="R1587" s="17">
        <v>2</v>
      </c>
      <c r="S1587" s="11" t="str">
        <f t="shared" si="11"/>
        <v>ジェム2個を起動する：ターン終了時まで、このクリーチャーは+1/+0の修正を受ける。</v>
      </c>
      <c r="T1587" s="21" t="s">
        <v>6154</v>
      </c>
    </row>
    <row r="1588" spans="1:20" hidden="1" x14ac:dyDescent="0.15">
      <c r="A1588" s="34">
        <v>1586</v>
      </c>
      <c r="B1588" s="35" t="s">
        <v>4881</v>
      </c>
      <c r="C1588" s="17" t="s">
        <v>5677</v>
      </c>
      <c r="D1588" s="17" t="s">
        <v>1552</v>
      </c>
      <c r="E1588" s="18" t="s">
        <v>1744</v>
      </c>
      <c r="F1588" s="22">
        <v>4</v>
      </c>
      <c r="G1588" s="17" t="s">
        <v>5873</v>
      </c>
      <c r="H1588" s="20" t="s">
        <v>5874</v>
      </c>
      <c r="I1588" s="18" t="s">
        <v>339</v>
      </c>
      <c r="J1588" s="17" t="s">
        <v>5698</v>
      </c>
      <c r="K1588" s="17"/>
      <c r="L1588" s="17"/>
      <c r="M1588" s="17" t="s">
        <v>6067</v>
      </c>
      <c r="N1588" s="17"/>
      <c r="O1588" s="17"/>
      <c r="P1588" s="23"/>
      <c r="Q1588" s="17">
        <v>1</v>
      </c>
      <c r="R1588" s="17">
        <v>1</v>
      </c>
      <c r="S1588" s="11" t="str">
        <f t="shared" si="11"/>
        <v xml:space="preserve">速攻  </v>
      </c>
      <c r="T1588" s="21" t="s">
        <v>4756</v>
      </c>
    </row>
    <row r="1589" spans="1:20" hidden="1" x14ac:dyDescent="0.15">
      <c r="A1589" s="34">
        <v>1587</v>
      </c>
      <c r="B1589" s="35" t="s">
        <v>4881</v>
      </c>
      <c r="C1589" s="17" t="s">
        <v>5677</v>
      </c>
      <c r="D1589" s="17" t="s">
        <v>1552</v>
      </c>
      <c r="E1589" s="18" t="s">
        <v>1744</v>
      </c>
      <c r="F1589" s="22">
        <v>12</v>
      </c>
      <c r="G1589" s="17" t="s">
        <v>5875</v>
      </c>
      <c r="H1589" s="20" t="s">
        <v>5876</v>
      </c>
      <c r="I1589" s="18" t="s">
        <v>339</v>
      </c>
      <c r="J1589" s="17" t="s">
        <v>5686</v>
      </c>
      <c r="K1589" s="17" t="s">
        <v>5746</v>
      </c>
      <c r="L1589" s="17" t="s">
        <v>1463</v>
      </c>
      <c r="M1589" s="17" t="s">
        <v>6868</v>
      </c>
      <c r="N1589" s="17"/>
      <c r="O1589" s="17"/>
      <c r="P1589" s="23"/>
      <c r="Q1589" s="17">
        <v>3</v>
      </c>
      <c r="R1589" s="17">
        <v>3</v>
      </c>
      <c r="S1589" s="11" t="str">
        <f t="shared" si="11"/>
        <v>このクリーチャーが戦場に出たとき、あなたが強襲していた場合、クリーチャー1体かプレインズウォーカー1体を対象とする。これはそれに4点のダメージを与える。</v>
      </c>
      <c r="T1589" s="21" t="s">
        <v>6155</v>
      </c>
    </row>
    <row r="1590" spans="1:20" hidden="1" x14ac:dyDescent="0.15">
      <c r="A1590" s="34">
        <v>1588</v>
      </c>
      <c r="B1590" s="35" t="s">
        <v>4881</v>
      </c>
      <c r="C1590" s="17" t="s">
        <v>5677</v>
      </c>
      <c r="D1590" s="17" t="s">
        <v>1552</v>
      </c>
      <c r="E1590" s="18" t="s">
        <v>1744</v>
      </c>
      <c r="F1590" s="22">
        <v>17</v>
      </c>
      <c r="G1590" s="17" t="s">
        <v>5877</v>
      </c>
      <c r="H1590" s="20" t="s">
        <v>5878</v>
      </c>
      <c r="I1590" s="18" t="s">
        <v>339</v>
      </c>
      <c r="J1590" s="17" t="s">
        <v>5698</v>
      </c>
      <c r="K1590" s="17"/>
      <c r="L1590" s="17"/>
      <c r="M1590" s="17" t="s">
        <v>6570</v>
      </c>
      <c r="N1590" s="17"/>
      <c r="O1590" s="17"/>
      <c r="P1590" s="23"/>
      <c r="Q1590" s="17">
        <v>5</v>
      </c>
      <c r="R1590" s="17">
        <v>5</v>
      </c>
      <c r="S1590" s="11" t="str">
        <f t="shared" si="11"/>
        <v>激昂：対戦相手に3点のダメージを与える。</v>
      </c>
      <c r="T1590" s="21" t="s">
        <v>6156</v>
      </c>
    </row>
    <row r="1591" spans="1:20" hidden="1" x14ac:dyDescent="0.15">
      <c r="A1591" s="34">
        <v>1589</v>
      </c>
      <c r="B1591" s="35" t="s">
        <v>4881</v>
      </c>
      <c r="C1591" s="17" t="s">
        <v>5677</v>
      </c>
      <c r="D1591" s="17" t="s">
        <v>1552</v>
      </c>
      <c r="E1591" s="18" t="s">
        <v>1744</v>
      </c>
      <c r="F1591" s="22">
        <v>14</v>
      </c>
      <c r="G1591" s="17" t="s">
        <v>5879</v>
      </c>
      <c r="H1591" s="20" t="s">
        <v>5880</v>
      </c>
      <c r="I1591" s="18" t="s">
        <v>339</v>
      </c>
      <c r="J1591" s="17" t="s">
        <v>5698</v>
      </c>
      <c r="K1591" s="17"/>
      <c r="L1591" s="17"/>
      <c r="M1591" s="17" t="s">
        <v>6572</v>
      </c>
      <c r="N1591" s="17"/>
      <c r="O1591" s="17"/>
      <c r="P1591" s="23"/>
      <c r="Q1591" s="17">
        <v>4</v>
      </c>
      <c r="R1591" s="17">
        <v>4</v>
      </c>
      <c r="S1591" s="11" t="str">
        <f t="shared" si="11"/>
        <v>あなたが他の恐竜をコントロールしている間、このクリーチャーは+2/+0の修正を受けるとともにトランプルを得る。</v>
      </c>
      <c r="T1591" s="21" t="s">
        <v>6157</v>
      </c>
    </row>
    <row r="1592" spans="1:20" hidden="1" x14ac:dyDescent="0.15">
      <c r="A1592" s="34">
        <v>1590</v>
      </c>
      <c r="B1592" s="35" t="s">
        <v>4881</v>
      </c>
      <c r="C1592" s="17" t="s">
        <v>5677</v>
      </c>
      <c r="D1592" s="17" t="s">
        <v>1552</v>
      </c>
      <c r="E1592" s="18" t="s">
        <v>1744</v>
      </c>
      <c r="F1592" s="22">
        <v>9</v>
      </c>
      <c r="G1592" s="17" t="s">
        <v>5881</v>
      </c>
      <c r="H1592" s="20" t="s">
        <v>5882</v>
      </c>
      <c r="I1592" s="18" t="s">
        <v>339</v>
      </c>
      <c r="J1592" s="17" t="s">
        <v>5686</v>
      </c>
      <c r="K1592" s="17" t="s">
        <v>5689</v>
      </c>
      <c r="L1592" s="17"/>
      <c r="M1592" s="17" t="s">
        <v>6573</v>
      </c>
      <c r="N1592" s="17"/>
      <c r="O1592" s="17"/>
      <c r="P1592" s="23"/>
      <c r="Q1592" s="17">
        <v>3</v>
      </c>
      <c r="R1592" s="17">
        <v>3</v>
      </c>
      <c r="S1592" s="11" t="str">
        <f t="shared" si="11"/>
        <v>このクリーチャーが攻撃するたび、あなたが恐竜をコントロールしている場合、ターン終了時まで、このクリーチャーは+1/+1の修正を受ける。</v>
      </c>
      <c r="T1592" s="21" t="s">
        <v>6158</v>
      </c>
    </row>
    <row r="1593" spans="1:20" hidden="1" x14ac:dyDescent="0.15">
      <c r="A1593" s="34">
        <v>1591</v>
      </c>
      <c r="B1593" s="35" t="s">
        <v>4881</v>
      </c>
      <c r="C1593" s="17" t="s">
        <v>5677</v>
      </c>
      <c r="D1593" s="17" t="s">
        <v>1552</v>
      </c>
      <c r="E1593" s="18" t="s">
        <v>1744</v>
      </c>
      <c r="F1593" s="22">
        <v>6</v>
      </c>
      <c r="G1593" s="17" t="s">
        <v>5883</v>
      </c>
      <c r="H1593" s="20" t="s">
        <v>5884</v>
      </c>
      <c r="I1593" s="18" t="s">
        <v>1453</v>
      </c>
      <c r="J1593" s="17"/>
      <c r="K1593" s="17"/>
      <c r="L1593" s="17"/>
      <c r="M1593" s="17" t="s">
        <v>6863</v>
      </c>
      <c r="N1593" s="17"/>
      <c r="O1593" s="17"/>
      <c r="P1593" s="23"/>
      <c r="Q1593" s="17"/>
      <c r="R1593" s="17"/>
      <c r="S1593" s="11" t="str">
        <f t="shared" si="11"/>
        <v>クリーチャー1体を対象とし、それに3点のダメージを与える。あなたが強襲していた場合、代わりに5点のダメージを与える。</v>
      </c>
      <c r="T1593" s="21" t="s">
        <v>6159</v>
      </c>
    </row>
    <row r="1594" spans="1:20" hidden="1" x14ac:dyDescent="0.15">
      <c r="A1594" s="34">
        <v>1592</v>
      </c>
      <c r="B1594" s="35" t="s">
        <v>4881</v>
      </c>
      <c r="C1594" s="17" t="s">
        <v>5677</v>
      </c>
      <c r="D1594" s="17" t="s">
        <v>1552</v>
      </c>
      <c r="E1594" s="18" t="s">
        <v>1744</v>
      </c>
      <c r="F1594" s="22">
        <v>4</v>
      </c>
      <c r="G1594" s="17" t="s">
        <v>5885</v>
      </c>
      <c r="H1594" s="20" t="s">
        <v>5886</v>
      </c>
      <c r="I1594" s="18" t="s">
        <v>1453</v>
      </c>
      <c r="J1594" s="17"/>
      <c r="K1594" s="17"/>
      <c r="L1594" s="17"/>
      <c r="M1594" s="17" t="s">
        <v>6538</v>
      </c>
      <c r="N1594" s="17" t="s">
        <v>6539</v>
      </c>
      <c r="O1594" s="17"/>
      <c r="P1594" s="23"/>
      <c r="Q1594" s="17"/>
      <c r="R1594" s="17"/>
      <c r="S1594" s="11" t="str">
        <f t="shared" si="11"/>
        <v>あなたがコントロールするクリーチャー1体を対象とし、それに1点のダメージを与える。&amp;br;ターン終了時まで、そのクリーチャーはトランプルを得る。カードを1枚引く。</v>
      </c>
      <c r="T1594" s="21" t="s">
        <v>6160</v>
      </c>
    </row>
    <row r="1595" spans="1:20" hidden="1" x14ac:dyDescent="0.15">
      <c r="A1595" s="34">
        <v>1593</v>
      </c>
      <c r="B1595" s="35" t="s">
        <v>4881</v>
      </c>
      <c r="C1595" s="17" t="s">
        <v>5677</v>
      </c>
      <c r="D1595" s="17" t="s">
        <v>1552</v>
      </c>
      <c r="E1595" s="18" t="s">
        <v>1744</v>
      </c>
      <c r="F1595" s="22">
        <v>6</v>
      </c>
      <c r="G1595" s="17" t="s">
        <v>5887</v>
      </c>
      <c r="H1595" s="20" t="s">
        <v>5888</v>
      </c>
      <c r="I1595" s="18" t="s">
        <v>1453</v>
      </c>
      <c r="J1595" s="17" t="s">
        <v>4968</v>
      </c>
      <c r="K1595" s="17"/>
      <c r="L1595" s="17"/>
      <c r="M1595" s="17" t="s">
        <v>6544</v>
      </c>
      <c r="N1595" s="17"/>
      <c r="O1595" s="17"/>
      <c r="P1595" s="23"/>
      <c r="Q1595" s="17"/>
      <c r="R1595" s="17"/>
      <c r="S1595" s="11" t="str">
        <f t="shared" si="11"/>
        <v>クリーチャー1体を対象とする。それは速攻を得るとともに+2/+2の修正を受ける。</v>
      </c>
      <c r="T1595" s="21" t="s">
        <v>6161</v>
      </c>
    </row>
    <row r="1596" spans="1:20" hidden="1" x14ac:dyDescent="0.15">
      <c r="A1596" s="34">
        <v>1594</v>
      </c>
      <c r="B1596" s="35" t="s">
        <v>4881</v>
      </c>
      <c r="C1596" s="17" t="s">
        <v>5677</v>
      </c>
      <c r="D1596" s="17" t="s">
        <v>1552</v>
      </c>
      <c r="E1596" s="18" t="s">
        <v>1744</v>
      </c>
      <c r="F1596" s="22">
        <v>8</v>
      </c>
      <c r="G1596" s="17" t="s">
        <v>5889</v>
      </c>
      <c r="H1596" s="20" t="s">
        <v>5890</v>
      </c>
      <c r="I1596" s="18" t="s">
        <v>1453</v>
      </c>
      <c r="J1596" s="17"/>
      <c r="K1596" s="17"/>
      <c r="L1596" s="17"/>
      <c r="M1596" s="17" t="s">
        <v>6545</v>
      </c>
      <c r="N1596" s="17"/>
      <c r="O1596" s="17"/>
      <c r="P1596" s="23"/>
      <c r="Q1596" s="17"/>
      <c r="R1596" s="17"/>
      <c r="S1596" s="11" t="str">
        <f t="shared" si="11"/>
        <v>クリーチャー1体かプレインズウォーカー1体を対象とし、それに4点のダメージを与える。</v>
      </c>
      <c r="T1596" s="21" t="s">
        <v>6162</v>
      </c>
    </row>
    <row r="1597" spans="1:20" hidden="1" x14ac:dyDescent="0.15">
      <c r="A1597" s="34">
        <v>1595</v>
      </c>
      <c r="B1597" s="35" t="s">
        <v>4881</v>
      </c>
      <c r="C1597" s="17" t="s">
        <v>5677</v>
      </c>
      <c r="D1597" s="17" t="s">
        <v>1552</v>
      </c>
      <c r="E1597" s="18" t="s">
        <v>1451</v>
      </c>
      <c r="F1597" s="22">
        <v>14</v>
      </c>
      <c r="G1597" s="17" t="s">
        <v>5891</v>
      </c>
      <c r="H1597" s="20" t="s">
        <v>5892</v>
      </c>
      <c r="I1597" s="18" t="s">
        <v>339</v>
      </c>
      <c r="J1597" s="17" t="s">
        <v>5698</v>
      </c>
      <c r="K1597" s="17"/>
      <c r="L1597" s="17"/>
      <c r="M1597" s="17" t="s">
        <v>6068</v>
      </c>
      <c r="N1597" s="17"/>
      <c r="O1597" s="17"/>
      <c r="P1597" s="23"/>
      <c r="Q1597" s="17">
        <v>5</v>
      </c>
      <c r="R1597" s="17">
        <v>5</v>
      </c>
      <c r="S1597" s="11" t="str">
        <f t="shared" si="11"/>
        <v xml:space="preserve">トランプル 速攻 </v>
      </c>
      <c r="T1597" s="21" t="s">
        <v>4756</v>
      </c>
    </row>
    <row r="1598" spans="1:20" hidden="1" x14ac:dyDescent="0.15">
      <c r="A1598" s="34">
        <v>1596</v>
      </c>
      <c r="B1598" s="35" t="s">
        <v>4881</v>
      </c>
      <c r="C1598" s="17" t="s">
        <v>5677</v>
      </c>
      <c r="D1598" s="17" t="s">
        <v>1552</v>
      </c>
      <c r="E1598" s="18" t="s">
        <v>1451</v>
      </c>
      <c r="F1598" s="22">
        <v>10</v>
      </c>
      <c r="G1598" s="17" t="s">
        <v>5893</v>
      </c>
      <c r="H1598" s="20" t="s">
        <v>5894</v>
      </c>
      <c r="I1598" s="18" t="s">
        <v>339</v>
      </c>
      <c r="J1598" s="17" t="s">
        <v>1537</v>
      </c>
      <c r="K1598" s="17"/>
      <c r="L1598" s="17"/>
      <c r="M1598" s="17" t="s">
        <v>6064</v>
      </c>
      <c r="N1598" s="17" t="s">
        <v>6454</v>
      </c>
      <c r="O1598" s="17"/>
      <c r="P1598" s="23"/>
      <c r="Q1598" s="17">
        <v>2</v>
      </c>
      <c r="R1598" s="17">
        <v>2</v>
      </c>
      <c r="S1598" s="11" t="str">
        <f t="shared" si="11"/>
        <v>威迫  &amp;br;このクリーチャーが死亡した時、赤ジェムが5個以上ある場合、これは対戦相手がコントロールする最初の2体のクリーチャーに3点のダメージを与える。</v>
      </c>
      <c r="T1598" s="21" t="s">
        <v>6163</v>
      </c>
    </row>
    <row r="1599" spans="1:20" hidden="1" x14ac:dyDescent="0.15">
      <c r="A1599" s="34">
        <v>1597</v>
      </c>
      <c r="B1599" s="35" t="s">
        <v>4881</v>
      </c>
      <c r="C1599" s="17" t="s">
        <v>5677</v>
      </c>
      <c r="D1599" s="17" t="s">
        <v>1552</v>
      </c>
      <c r="E1599" s="18" t="s">
        <v>1451</v>
      </c>
      <c r="F1599" s="22">
        <v>9</v>
      </c>
      <c r="G1599" s="17" t="s">
        <v>5895</v>
      </c>
      <c r="H1599" s="20" t="s">
        <v>5896</v>
      </c>
      <c r="I1599" s="18" t="s">
        <v>339</v>
      </c>
      <c r="J1599" s="17" t="s">
        <v>1564</v>
      </c>
      <c r="K1599" s="17" t="s">
        <v>5746</v>
      </c>
      <c r="L1599" s="17"/>
      <c r="M1599" s="17" t="s">
        <v>6465</v>
      </c>
      <c r="N1599" s="17"/>
      <c r="O1599" s="17"/>
      <c r="P1599" s="23"/>
      <c r="Q1599" s="17">
        <v>0</v>
      </c>
      <c r="R1599" s="17">
        <v>6</v>
      </c>
      <c r="S1599" s="11" t="str">
        <f t="shared" si="11"/>
        <v>ジェム2個を起動する：対戦相手のプレインズウォーカーに、あなたがコントロールする海賊1体につき1点のダメージを与える。</v>
      </c>
      <c r="T1599" s="21" t="s">
        <v>6494</v>
      </c>
    </row>
    <row r="1600" spans="1:20" hidden="1" x14ac:dyDescent="0.15">
      <c r="A1600" s="34">
        <v>1598</v>
      </c>
      <c r="B1600" s="35" t="s">
        <v>4881</v>
      </c>
      <c r="C1600" s="17" t="s">
        <v>5677</v>
      </c>
      <c r="D1600" s="17" t="s">
        <v>1552</v>
      </c>
      <c r="E1600" s="18" t="s">
        <v>1451</v>
      </c>
      <c r="F1600" s="22">
        <v>8</v>
      </c>
      <c r="G1600" s="17" t="s">
        <v>5897</v>
      </c>
      <c r="H1600" s="20" t="s">
        <v>5898</v>
      </c>
      <c r="I1600" s="18" t="s">
        <v>339</v>
      </c>
      <c r="J1600" s="17" t="s">
        <v>5686</v>
      </c>
      <c r="K1600" s="17" t="s">
        <v>1867</v>
      </c>
      <c r="L1600" s="17"/>
      <c r="M1600" s="17" t="s">
        <v>6470</v>
      </c>
      <c r="N1600" s="17" t="s">
        <v>6854</v>
      </c>
      <c r="O1600" s="17"/>
      <c r="P1600" s="23"/>
      <c r="Q1600" s="17">
        <v>2</v>
      </c>
      <c r="R1600" s="17">
        <v>3</v>
      </c>
      <c r="S1600" s="11" t="str">
        <f t="shared" si="11"/>
        <v>このクリーチャーが戦場に出ている間、あなたの手札の恐竜のマナ・コストは2少なくなる。&amp;br;ジェム2個を起動する：ターン終了時まで、あなたの恐竜は速攻を得る。</v>
      </c>
      <c r="T1600" s="21" t="s">
        <v>6164</v>
      </c>
    </row>
    <row r="1601" spans="1:20" hidden="1" x14ac:dyDescent="0.15">
      <c r="A1601" s="34">
        <v>1599</v>
      </c>
      <c r="B1601" s="35" t="s">
        <v>4881</v>
      </c>
      <c r="C1601" s="17" t="s">
        <v>5677</v>
      </c>
      <c r="D1601" s="17" t="s">
        <v>1552</v>
      </c>
      <c r="E1601" s="18" t="s">
        <v>1451</v>
      </c>
      <c r="F1601" s="22">
        <v>5</v>
      </c>
      <c r="G1601" s="17" t="s">
        <v>5899</v>
      </c>
      <c r="H1601" s="20" t="s">
        <v>5900</v>
      </c>
      <c r="I1601" s="18" t="s">
        <v>339</v>
      </c>
      <c r="J1601" s="17" t="s">
        <v>5698</v>
      </c>
      <c r="K1601" s="17"/>
      <c r="L1601" s="17"/>
      <c r="M1601" s="17" t="s">
        <v>6479</v>
      </c>
      <c r="N1601" s="17"/>
      <c r="O1601" s="17"/>
      <c r="P1601" s="23"/>
      <c r="Q1601" s="17">
        <v>1</v>
      </c>
      <c r="R1601" s="17">
        <v>1</v>
      </c>
      <c r="S1601" s="11" t="str">
        <f t="shared" si="11"/>
        <v>激昂：トランプルを持つ3/3の緑の恐竜・クリーチャー・トークンを1体生成する。</v>
      </c>
      <c r="T1601" s="21" t="s">
        <v>6165</v>
      </c>
    </row>
    <row r="1602" spans="1:20" hidden="1" x14ac:dyDescent="0.15">
      <c r="A1602" s="34">
        <v>1600</v>
      </c>
      <c r="B1602" s="35" t="s">
        <v>4881</v>
      </c>
      <c r="C1602" s="17" t="s">
        <v>5677</v>
      </c>
      <c r="D1602" s="17" t="s">
        <v>1552</v>
      </c>
      <c r="E1602" s="18" t="s">
        <v>1451</v>
      </c>
      <c r="F1602" s="22">
        <v>8</v>
      </c>
      <c r="G1602" s="17" t="s">
        <v>5901</v>
      </c>
      <c r="H1602" s="20" t="s">
        <v>5902</v>
      </c>
      <c r="I1602" s="18" t="s">
        <v>339</v>
      </c>
      <c r="J1602" s="17" t="s">
        <v>1564</v>
      </c>
      <c r="K1602" s="17" t="s">
        <v>5746</v>
      </c>
      <c r="L1602" s="17"/>
      <c r="M1602" s="17" t="s">
        <v>6059</v>
      </c>
      <c r="N1602" s="17" t="s">
        <v>6480</v>
      </c>
      <c r="O1602" s="17"/>
      <c r="P1602" s="23"/>
      <c r="Q1602" s="17">
        <v>2</v>
      </c>
      <c r="R1602" s="17">
        <v>2</v>
      </c>
      <c r="S1602" s="11" t="str">
        <f t="shared" si="11"/>
        <v>先制攻撃  &amp;br;このクリーチャーが戦場に出たとき、あなたが強襲していた場合、これは+2/+2の修正を受ける。</v>
      </c>
      <c r="T1602" s="21" t="s">
        <v>6115</v>
      </c>
    </row>
    <row r="1603" spans="1:20" hidden="1" x14ac:dyDescent="0.15">
      <c r="A1603" s="34">
        <v>1601</v>
      </c>
      <c r="B1603" s="35" t="s">
        <v>4881</v>
      </c>
      <c r="C1603" s="17" t="s">
        <v>5677</v>
      </c>
      <c r="D1603" s="17" t="s">
        <v>1552</v>
      </c>
      <c r="E1603" s="18" t="s">
        <v>1451</v>
      </c>
      <c r="F1603" s="22">
        <v>3</v>
      </c>
      <c r="G1603" s="17" t="s">
        <v>5903</v>
      </c>
      <c r="H1603" s="20" t="s">
        <v>5904</v>
      </c>
      <c r="I1603" s="18" t="s">
        <v>339</v>
      </c>
      <c r="J1603" s="17" t="s">
        <v>1564</v>
      </c>
      <c r="K1603" s="17" t="s">
        <v>5746</v>
      </c>
      <c r="L1603" s="17"/>
      <c r="M1603" s="17" t="s">
        <v>6516</v>
      </c>
      <c r="N1603" s="17"/>
      <c r="O1603" s="17"/>
      <c r="P1603" s="23"/>
      <c r="Q1603" s="17">
        <v>1</v>
      </c>
      <c r="R1603" s="17">
        <v>1</v>
      </c>
      <c r="S1603" s="11" t="str">
        <f t="shared" si="11"/>
        <v>このクリーチャーが戦場に出たとき、宝物を1つ見つける。</v>
      </c>
      <c r="T1603" s="21" t="s">
        <v>6166</v>
      </c>
    </row>
    <row r="1604" spans="1:20" hidden="1" x14ac:dyDescent="0.15">
      <c r="A1604" s="34">
        <v>1602</v>
      </c>
      <c r="B1604" s="35" t="s">
        <v>4881</v>
      </c>
      <c r="C1604" s="17" t="s">
        <v>5677</v>
      </c>
      <c r="D1604" s="17" t="s">
        <v>1552</v>
      </c>
      <c r="E1604" s="18" t="s">
        <v>1451</v>
      </c>
      <c r="F1604" s="22">
        <v>7</v>
      </c>
      <c r="G1604" s="17" t="s">
        <v>5905</v>
      </c>
      <c r="H1604" s="20" t="s">
        <v>5906</v>
      </c>
      <c r="I1604" s="18" t="s">
        <v>1453</v>
      </c>
      <c r="J1604" s="17"/>
      <c r="K1604" s="17"/>
      <c r="L1604" s="17"/>
      <c r="M1604" s="17" t="s">
        <v>6453</v>
      </c>
      <c r="N1604" s="17"/>
      <c r="O1604" s="17"/>
      <c r="P1604" s="23"/>
      <c r="Q1604" s="17"/>
      <c r="R1604" s="17"/>
      <c r="S1604" s="11" t="str">
        <f t="shared" si="11"/>
        <v>海賊でない各クリーチャーにそれぞれ2点のダメージを与える。</v>
      </c>
      <c r="T1604" s="21" t="s">
        <v>6167</v>
      </c>
    </row>
    <row r="1605" spans="1:20" hidden="1" x14ac:dyDescent="0.15">
      <c r="A1605" s="34">
        <v>1603</v>
      </c>
      <c r="B1605" s="35" t="s">
        <v>4881</v>
      </c>
      <c r="C1605" s="17" t="s">
        <v>5677</v>
      </c>
      <c r="D1605" s="17" t="s">
        <v>1552</v>
      </c>
      <c r="E1605" s="18" t="s">
        <v>1451</v>
      </c>
      <c r="F1605" s="22">
        <v>7</v>
      </c>
      <c r="G1605" s="17" t="s">
        <v>5907</v>
      </c>
      <c r="H1605" s="20" t="s">
        <v>5908</v>
      </c>
      <c r="I1605" s="18" t="s">
        <v>288</v>
      </c>
      <c r="J1605" s="17"/>
      <c r="K1605" s="17"/>
      <c r="L1605" s="17"/>
      <c r="M1605" s="17" t="s">
        <v>6468</v>
      </c>
      <c r="N1605" s="17"/>
      <c r="O1605" s="17"/>
      <c r="P1605" s="23">
        <v>4</v>
      </c>
      <c r="Q1605" s="17"/>
      <c r="R1605" s="17"/>
      <c r="S1605" s="11" t="str">
        <f t="shared" si="11"/>
        <v>このサポートが1シールドを失ったとき、対戦相手がコントロールする最初のクリーチャーに1点のダメージを与える。</v>
      </c>
      <c r="T1605" s="21" t="s">
        <v>6168</v>
      </c>
    </row>
    <row r="1606" spans="1:20" hidden="1" x14ac:dyDescent="0.15">
      <c r="A1606" s="34">
        <v>1604</v>
      </c>
      <c r="B1606" s="35" t="s">
        <v>4881</v>
      </c>
      <c r="C1606" s="17" t="s">
        <v>5677</v>
      </c>
      <c r="D1606" s="17" t="s">
        <v>1552</v>
      </c>
      <c r="E1606" s="18" t="s">
        <v>1451</v>
      </c>
      <c r="F1606" s="22">
        <v>9</v>
      </c>
      <c r="G1606" s="17" t="s">
        <v>5909</v>
      </c>
      <c r="H1606" s="20" t="s">
        <v>5910</v>
      </c>
      <c r="I1606" s="18" t="s">
        <v>288</v>
      </c>
      <c r="J1606" s="17"/>
      <c r="K1606" s="17"/>
      <c r="L1606" s="17"/>
      <c r="M1606" s="17" t="s">
        <v>6510</v>
      </c>
      <c r="N1606" s="17" t="s">
        <v>6511</v>
      </c>
      <c r="O1606" s="17"/>
      <c r="P1606" s="23">
        <v>3</v>
      </c>
      <c r="Q1606" s="17"/>
      <c r="R1606" s="17"/>
      <c r="S1606" s="11" t="str">
        <f t="shared" si="11"/>
        <v>このサポートがボード上にある間、対戦相手がコントロールする最初のクリーチャーはブロックされないを持つ。&amp;br;あなたのターン終了時に、宝物を1つ見つける。</v>
      </c>
      <c r="T1606" s="21" t="s">
        <v>6169</v>
      </c>
    </row>
    <row r="1607" spans="1:20" hidden="1" x14ac:dyDescent="0.15">
      <c r="A1607" s="34">
        <v>1605</v>
      </c>
      <c r="B1607" s="35" t="s">
        <v>4881</v>
      </c>
      <c r="C1607" s="17" t="s">
        <v>5677</v>
      </c>
      <c r="D1607" s="17" t="s">
        <v>1552</v>
      </c>
      <c r="E1607" s="18" t="s">
        <v>1441</v>
      </c>
      <c r="F1607" s="22">
        <v>13</v>
      </c>
      <c r="G1607" s="17" t="s">
        <v>5911</v>
      </c>
      <c r="H1607" s="20" t="s">
        <v>5912</v>
      </c>
      <c r="I1607" s="18" t="s">
        <v>339</v>
      </c>
      <c r="J1607" s="17" t="s">
        <v>5686</v>
      </c>
      <c r="K1607" s="17" t="s">
        <v>5746</v>
      </c>
      <c r="L1607" s="17"/>
      <c r="M1607" s="17" t="s">
        <v>6841</v>
      </c>
      <c r="N1607" s="17"/>
      <c r="O1607" s="17"/>
      <c r="P1607" s="23"/>
      <c r="Q1607" s="17">
        <v>4</v>
      </c>
      <c r="R1607" s="17">
        <v>3</v>
      </c>
      <c r="S1607" s="11" t="str">
        <f t="shared" si="11"/>
        <v>赤ジェム2個を起動する：ターン終了時まで、対戦相手がコントロールする最初のクリーチャーのコントロールを得る。ターン終了時まで、そのクリーチャーは速攻を得る。</v>
      </c>
      <c r="T1607" s="21" t="s">
        <v>6170</v>
      </c>
    </row>
    <row r="1608" spans="1:20" hidden="1" x14ac:dyDescent="0.15">
      <c r="A1608" s="34">
        <v>1606</v>
      </c>
      <c r="B1608" s="35" t="s">
        <v>4881</v>
      </c>
      <c r="C1608" s="17" t="s">
        <v>5677</v>
      </c>
      <c r="D1608" s="17" t="s">
        <v>1552</v>
      </c>
      <c r="E1608" s="18" t="s">
        <v>1441</v>
      </c>
      <c r="F1608" s="22">
        <v>16</v>
      </c>
      <c r="G1608" s="17" t="s">
        <v>5913</v>
      </c>
      <c r="H1608" s="20" t="s">
        <v>5914</v>
      </c>
      <c r="I1608" s="18" t="s">
        <v>339</v>
      </c>
      <c r="J1608" s="17" t="s">
        <v>5698</v>
      </c>
      <c r="K1608" s="17"/>
      <c r="L1608" s="17"/>
      <c r="M1608" s="17" t="s">
        <v>6064</v>
      </c>
      <c r="N1608" s="17" t="s">
        <v>6393</v>
      </c>
      <c r="O1608" s="17" t="s">
        <v>6845</v>
      </c>
      <c r="P1608" s="23"/>
      <c r="Q1608" s="17">
        <v>4</v>
      </c>
      <c r="R1608" s="17">
        <v>4</v>
      </c>
      <c r="S1608" s="11" t="str">
        <f t="shared" si="11"/>
        <v>威迫  &amp;br;このクリーチャーが戦場に出ている間、対戦相手はライフを得られない。&amp;br;他のクリーチャーが戦場に出るたび、そのクリーチャーのコントローラーに2点のダメージを与える。</v>
      </c>
      <c r="T1608" s="21" t="s">
        <v>6171</v>
      </c>
    </row>
    <row r="1609" spans="1:20" hidden="1" x14ac:dyDescent="0.15">
      <c r="A1609" s="34">
        <v>1607</v>
      </c>
      <c r="B1609" s="35" t="s">
        <v>4881</v>
      </c>
      <c r="C1609" s="17" t="s">
        <v>5677</v>
      </c>
      <c r="D1609" s="17" t="s">
        <v>1552</v>
      </c>
      <c r="E1609" s="18" t="s">
        <v>1441</v>
      </c>
      <c r="F1609" s="22">
        <v>15</v>
      </c>
      <c r="G1609" s="17" t="s">
        <v>5915</v>
      </c>
      <c r="H1609" s="20" t="s">
        <v>5916</v>
      </c>
      <c r="I1609" s="18" t="s">
        <v>339</v>
      </c>
      <c r="J1609" s="17" t="s">
        <v>5686</v>
      </c>
      <c r="K1609" s="17" t="s">
        <v>5746</v>
      </c>
      <c r="L1609" s="17"/>
      <c r="M1609" s="17" t="s">
        <v>6069</v>
      </c>
      <c r="N1609" s="17" t="s">
        <v>6396</v>
      </c>
      <c r="O1609" s="17" t="s">
        <v>6397</v>
      </c>
      <c r="P1609" s="23"/>
      <c r="Q1609" s="17">
        <v>5</v>
      </c>
      <c r="R1609" s="17">
        <v>5</v>
      </c>
      <c r="S1609" s="11" t="str">
        <f t="shared" si="11"/>
        <v>トランプル  &amp;br;このクリーチャーが戦場に出たとき、カードを2枚捨てて、その後カードを2枚引く。&amp;br;あなたの手札の最後の2枚のカードに共通のクリーチャー・タイプがある場合、このクリーチャーは+2/+2の修正を受ける。</v>
      </c>
      <c r="T1609" s="21" t="s">
        <v>6172</v>
      </c>
    </row>
    <row r="1610" spans="1:20" hidden="1" x14ac:dyDescent="0.15">
      <c r="A1610" s="34">
        <v>1608</v>
      </c>
      <c r="B1610" s="35" t="s">
        <v>4881</v>
      </c>
      <c r="C1610" s="17" t="s">
        <v>5677</v>
      </c>
      <c r="D1610" s="17" t="s">
        <v>1552</v>
      </c>
      <c r="E1610" s="18" t="s">
        <v>1441</v>
      </c>
      <c r="F1610" s="22">
        <v>11</v>
      </c>
      <c r="G1610" s="17" t="s">
        <v>5917</v>
      </c>
      <c r="H1610" s="20" t="s">
        <v>5918</v>
      </c>
      <c r="I1610" s="18" t="s">
        <v>339</v>
      </c>
      <c r="J1610" s="17" t="s">
        <v>5840</v>
      </c>
      <c r="K1610" s="17" t="s">
        <v>5746</v>
      </c>
      <c r="L1610" s="17"/>
      <c r="M1610" s="17" t="s">
        <v>6398</v>
      </c>
      <c r="N1610" s="17"/>
      <c r="O1610" s="17"/>
      <c r="P1610" s="23"/>
      <c r="Q1610" s="17">
        <v>4</v>
      </c>
      <c r="R1610" s="17">
        <v>4</v>
      </c>
      <c r="S1610" s="11" t="str">
        <f t="shared" si="11"/>
        <v>このクリーチャーが戦場に出たとき、あなたが強襲していた場合、2ブロックの3×3ジェムを破壊する。</v>
      </c>
      <c r="T1610" s="21" t="s">
        <v>6173</v>
      </c>
    </row>
    <row r="1611" spans="1:20" hidden="1" x14ac:dyDescent="0.15">
      <c r="A1611" s="34">
        <v>1609</v>
      </c>
      <c r="B1611" s="35" t="s">
        <v>4881</v>
      </c>
      <c r="C1611" s="17" t="s">
        <v>5677</v>
      </c>
      <c r="D1611" s="17" t="s">
        <v>1552</v>
      </c>
      <c r="E1611" s="18" t="s">
        <v>1441</v>
      </c>
      <c r="F1611" s="22">
        <v>14</v>
      </c>
      <c r="G1611" s="17" t="s">
        <v>5919</v>
      </c>
      <c r="H1611" s="20" t="s">
        <v>5920</v>
      </c>
      <c r="I1611" s="18" t="s">
        <v>339</v>
      </c>
      <c r="J1611" s="17" t="s">
        <v>5686</v>
      </c>
      <c r="K1611" s="17" t="s">
        <v>1867</v>
      </c>
      <c r="L1611" s="17"/>
      <c r="M1611" s="17" t="s">
        <v>6067</v>
      </c>
      <c r="N1611" s="17" t="s">
        <v>6401</v>
      </c>
      <c r="O1611" s="17"/>
      <c r="P1611" s="23"/>
      <c r="Q1611" s="17">
        <v>4</v>
      </c>
      <c r="R1611" s="17">
        <v>4</v>
      </c>
      <c r="S1611" s="11" t="str">
        <f t="shared" si="11"/>
        <v>速攻  &amp;br;このクリーチャーが攻撃するたび、これは+X/+Yの修正を受ける。XとYはそれぞれ、あなたがコントロールする他の最初のクリーチャーのパワーとタフネスに等しい。</v>
      </c>
      <c r="T1611" s="21" t="s">
        <v>6174</v>
      </c>
    </row>
    <row r="1612" spans="1:20" hidden="1" x14ac:dyDescent="0.15">
      <c r="A1612" s="34">
        <v>1610</v>
      </c>
      <c r="B1612" s="35" t="s">
        <v>4881</v>
      </c>
      <c r="C1612" s="17" t="s">
        <v>5677</v>
      </c>
      <c r="D1612" s="17" t="s">
        <v>1552</v>
      </c>
      <c r="E1612" s="18" t="s">
        <v>1441</v>
      </c>
      <c r="F1612" s="22">
        <v>5</v>
      </c>
      <c r="G1612" s="17" t="s">
        <v>5921</v>
      </c>
      <c r="H1612" s="20" t="s">
        <v>5922</v>
      </c>
      <c r="I1612" s="18" t="s">
        <v>1453</v>
      </c>
      <c r="J1612" s="17"/>
      <c r="K1612" s="17"/>
      <c r="L1612" s="17"/>
      <c r="M1612" s="17" t="s">
        <v>6846</v>
      </c>
      <c r="N1612" s="17"/>
      <c r="O1612" s="17"/>
      <c r="P1612" s="23"/>
      <c r="Q1612" s="17"/>
      <c r="R1612" s="17"/>
      <c r="S1612" s="11" t="str">
        <f t="shared" si="11"/>
        <v>プレイヤー1人を対象とし、そのプレイヤーに4点のダメージを与える。あなたが強襲していて、赤ジェムが6個以上ある場合、この呪文をあなたの手札に戻す。</v>
      </c>
      <c r="T1612" s="21" t="s">
        <v>6175</v>
      </c>
    </row>
    <row r="1613" spans="1:20" hidden="1" x14ac:dyDescent="0.15">
      <c r="A1613" s="34">
        <v>1611</v>
      </c>
      <c r="B1613" s="35" t="s">
        <v>4881</v>
      </c>
      <c r="C1613" s="17" t="s">
        <v>5677</v>
      </c>
      <c r="D1613" s="17" t="s">
        <v>1552</v>
      </c>
      <c r="E1613" s="18" t="s">
        <v>1441</v>
      </c>
      <c r="F1613" s="22">
        <v>15</v>
      </c>
      <c r="G1613" s="17" t="s">
        <v>5923</v>
      </c>
      <c r="H1613" s="20" t="s">
        <v>5924</v>
      </c>
      <c r="I1613" s="18" t="s">
        <v>288</v>
      </c>
      <c r="J1613" s="17"/>
      <c r="K1613" s="17"/>
      <c r="L1613" s="17"/>
      <c r="M1613" s="17" t="s">
        <v>6849</v>
      </c>
      <c r="N1613" s="17"/>
      <c r="O1613" s="17"/>
      <c r="P1613" s="23">
        <v>3</v>
      </c>
      <c r="Q1613" s="17"/>
      <c r="R1613" s="17"/>
      <c r="S1613" s="11" t="str">
        <f t="shared" si="11"/>
        <v>あなたが、マナ・コストが10以上のカードをプレイするたび、あなたのライブラリーから次のマナ・コストが9以下のカードを取ってくる。それはいっぱいのマナを得て、このサポートは1シールドを失う。</v>
      </c>
      <c r="T1613" s="21" t="s">
        <v>6176</v>
      </c>
    </row>
    <row r="1614" spans="1:20" hidden="1" x14ac:dyDescent="0.15">
      <c r="A1614" s="34">
        <v>1612</v>
      </c>
      <c r="B1614" s="35" t="s">
        <v>4881</v>
      </c>
      <c r="C1614" s="17" t="s">
        <v>5677</v>
      </c>
      <c r="D1614" s="17" t="s">
        <v>1552</v>
      </c>
      <c r="E1614" s="18" t="s">
        <v>1431</v>
      </c>
      <c r="F1614" s="22">
        <v>16</v>
      </c>
      <c r="G1614" s="17" t="s">
        <v>5925</v>
      </c>
      <c r="H1614" s="20" t="s">
        <v>5926</v>
      </c>
      <c r="I1614" s="18" t="s">
        <v>339</v>
      </c>
      <c r="J1614" s="17" t="s">
        <v>5698</v>
      </c>
      <c r="K1614" s="17" t="s">
        <v>5480</v>
      </c>
      <c r="L1614" s="17"/>
      <c r="M1614" s="17" t="s">
        <v>6828</v>
      </c>
      <c r="N1614" s="17"/>
      <c r="O1614" s="17"/>
      <c r="P1614" s="23"/>
      <c r="Q1614" s="17">
        <v>6</v>
      </c>
      <c r="R1614" s="17">
        <v>6</v>
      </c>
      <c r="S1614" s="11" t="str">
        <f t="shared" si="11"/>
        <v>このクリーチャーが戦場に出たとき、クリーチャー1体を対象とする。これはそれに6点、対戦相手に6点のダメージを与える。</v>
      </c>
      <c r="T1614" s="21" t="s">
        <v>6177</v>
      </c>
    </row>
    <row r="1615" spans="1:20" hidden="1" x14ac:dyDescent="0.15">
      <c r="A1615" s="34">
        <v>1613</v>
      </c>
      <c r="B1615" s="35" t="s">
        <v>4881</v>
      </c>
      <c r="C1615" s="17" t="s">
        <v>5677</v>
      </c>
      <c r="D1615" s="17" t="s">
        <v>1552</v>
      </c>
      <c r="E1615" s="18" t="s">
        <v>1431</v>
      </c>
      <c r="F1615" s="22">
        <v>9</v>
      </c>
      <c r="G1615" s="17" t="s">
        <v>5927</v>
      </c>
      <c r="H1615" s="20" t="s">
        <v>5928</v>
      </c>
      <c r="I1615" s="18" t="s">
        <v>339</v>
      </c>
      <c r="J1615" s="17" t="s">
        <v>5686</v>
      </c>
      <c r="K1615" s="17" t="s">
        <v>5746</v>
      </c>
      <c r="L1615" s="17"/>
      <c r="M1615" s="17" t="s">
        <v>6067</v>
      </c>
      <c r="N1615" s="17" t="s">
        <v>6318</v>
      </c>
      <c r="O1615" s="17" t="s">
        <v>6319</v>
      </c>
      <c r="P1615" s="23"/>
      <c r="Q1615" s="17">
        <v>4</v>
      </c>
      <c r="R1615" s="17">
        <v>4</v>
      </c>
      <c r="S1615" s="11" t="str">
        <f t="shared" si="11"/>
        <v>速攻  &amp;br;このクリーチャーが攻撃を与えるたび、宝物を1つ見つける。&amp;br;宝物が1つボードに出るたび、ターン終了時まで、あなたがコントロールする海賊は+X/+0の修正を受ける。Xはあなたがコントロールする宝物の総数に等しい。</v>
      </c>
      <c r="T1615" s="21" t="s">
        <v>6178</v>
      </c>
    </row>
    <row r="1616" spans="1:20" hidden="1" x14ac:dyDescent="0.15">
      <c r="A1616" s="34">
        <v>1614</v>
      </c>
      <c r="B1616" s="35" t="s">
        <v>4881</v>
      </c>
      <c r="C1616" s="17" t="s">
        <v>5677</v>
      </c>
      <c r="D1616" s="17" t="s">
        <v>1552</v>
      </c>
      <c r="E1616" s="18" t="s">
        <v>1431</v>
      </c>
      <c r="F1616" s="22">
        <v>23</v>
      </c>
      <c r="G1616" s="17" t="s">
        <v>5929</v>
      </c>
      <c r="H1616" s="20" t="s">
        <v>5930</v>
      </c>
      <c r="I1616" s="18" t="s">
        <v>1453</v>
      </c>
      <c r="J1616" s="17"/>
      <c r="K1616" s="17"/>
      <c r="L1616" s="17"/>
      <c r="M1616" s="17" t="s">
        <v>6362</v>
      </c>
      <c r="N1616" s="17"/>
      <c r="O1616" s="17"/>
      <c r="P1616" s="23"/>
      <c r="Q1616" s="17"/>
      <c r="R1616" s="17"/>
      <c r="S1616" s="11" t="str">
        <f t="shared" si="11"/>
        <v>各クリーチャーにそれぞれ10点のダメージを与え、すべてのジェムを破壊する。</v>
      </c>
      <c r="T1616" s="21" t="s">
        <v>6179</v>
      </c>
    </row>
    <row r="1617" spans="1:20" hidden="1" x14ac:dyDescent="0.15">
      <c r="A1617" s="34">
        <v>1615</v>
      </c>
      <c r="B1617" s="35" t="s">
        <v>4881</v>
      </c>
      <c r="C1617" s="17" t="s">
        <v>5677</v>
      </c>
      <c r="D1617" s="17" t="s">
        <v>1552</v>
      </c>
      <c r="E1617" s="18" t="s">
        <v>1431</v>
      </c>
      <c r="F1617" s="22">
        <v>9</v>
      </c>
      <c r="G1617" s="17" t="s">
        <v>5931</v>
      </c>
      <c r="H1617" s="20" t="s">
        <v>5932</v>
      </c>
      <c r="I1617" s="18" t="s">
        <v>288</v>
      </c>
      <c r="J1617" s="17"/>
      <c r="K1617" s="17"/>
      <c r="L1617" s="17"/>
      <c r="M1617" s="17" t="s">
        <v>6349</v>
      </c>
      <c r="N1617" s="17" t="s">
        <v>6350</v>
      </c>
      <c r="O1617" s="17"/>
      <c r="P1617" s="23">
        <v>4</v>
      </c>
      <c r="Q1617" s="17"/>
      <c r="R1617" s="17"/>
      <c r="S1617" s="11" t="str">
        <f t="shared" si="11"/>
        <v>あなたのターン開始時に、カードを1枚引く。あなたのターン終了時にあなたの最後のカードを捨てる。&amp;br;対戦相手のターン開始時に、直前のターンにあなたがカードを3枚以上唱えていた場合、このサポートを変身させる。</v>
      </c>
      <c r="T1617" s="21" t="s">
        <v>6506</v>
      </c>
    </row>
    <row r="1618" spans="1:20" hidden="1" x14ac:dyDescent="0.15">
      <c r="A1618" s="34">
        <v>1616</v>
      </c>
      <c r="B1618" s="35" t="s">
        <v>4881</v>
      </c>
      <c r="C1618" s="17" t="s">
        <v>5677</v>
      </c>
      <c r="D1618" s="17" t="s">
        <v>1552</v>
      </c>
      <c r="E1618" s="18" t="s">
        <v>1431</v>
      </c>
      <c r="F1618" s="22">
        <v>0</v>
      </c>
      <c r="G1618" s="17" t="s">
        <v>6236</v>
      </c>
      <c r="H1618" s="20" t="s">
        <v>6237</v>
      </c>
      <c r="I1618" s="18" t="s">
        <v>288</v>
      </c>
      <c r="J1618" s="17"/>
      <c r="K1618" s="17"/>
      <c r="L1618" s="17"/>
      <c r="M1618" s="17" t="s">
        <v>6838</v>
      </c>
      <c r="N1618" s="17" t="s">
        <v>7090</v>
      </c>
      <c r="O1618" s="17"/>
      <c r="P1618" s="23">
        <v>4</v>
      </c>
      <c r="Q1618" s="17"/>
      <c r="R1618" s="17"/>
      <c r="S1618" s="11" t="str">
        <f t="shared" si="11"/>
        <v>あなたのターン開始時に、ジェム3個を赤に変換する。&amp;br;赤ジェム3個を起動する：対戦相手がコントロールする最後のクリーチャーが3点のダメージを与える。</v>
      </c>
      <c r="T1618" s="21" t="s">
        <v>6253</v>
      </c>
    </row>
    <row r="1619" spans="1:20" hidden="1" x14ac:dyDescent="0.15">
      <c r="A1619" s="34">
        <v>1617</v>
      </c>
      <c r="B1619" s="35" t="s">
        <v>4881</v>
      </c>
      <c r="C1619" s="17" t="s">
        <v>5677</v>
      </c>
      <c r="D1619" s="17" t="s">
        <v>1518</v>
      </c>
      <c r="E1619" s="18" t="s">
        <v>1744</v>
      </c>
      <c r="F1619" s="22">
        <v>16</v>
      </c>
      <c r="G1619" s="17" t="s">
        <v>5933</v>
      </c>
      <c r="H1619" s="20" t="s">
        <v>5934</v>
      </c>
      <c r="I1619" s="18" t="s">
        <v>339</v>
      </c>
      <c r="J1619" s="17" t="s">
        <v>5698</v>
      </c>
      <c r="K1619" s="17"/>
      <c r="L1619" s="17"/>
      <c r="M1619" s="17" t="s">
        <v>6069</v>
      </c>
      <c r="N1619" s="17"/>
      <c r="O1619" s="17"/>
      <c r="P1619" s="23"/>
      <c r="Q1619" s="17">
        <v>6</v>
      </c>
      <c r="R1619" s="17">
        <v>6</v>
      </c>
      <c r="S1619" s="11" t="str">
        <f t="shared" si="11"/>
        <v xml:space="preserve">トランプル  </v>
      </c>
      <c r="T1619" s="21" t="s">
        <v>4756</v>
      </c>
    </row>
    <row r="1620" spans="1:20" hidden="1" x14ac:dyDescent="0.15">
      <c r="A1620" s="34">
        <v>1618</v>
      </c>
      <c r="B1620" s="35" t="s">
        <v>4881</v>
      </c>
      <c r="C1620" s="17" t="s">
        <v>5677</v>
      </c>
      <c r="D1620" s="17" t="s">
        <v>1518</v>
      </c>
      <c r="E1620" s="18" t="s">
        <v>1744</v>
      </c>
      <c r="F1620" s="22">
        <v>7</v>
      </c>
      <c r="G1620" s="17" t="s">
        <v>5935</v>
      </c>
      <c r="H1620" s="20" t="s">
        <v>5936</v>
      </c>
      <c r="I1620" s="18" t="s">
        <v>339</v>
      </c>
      <c r="J1620" s="17" t="s">
        <v>1464</v>
      </c>
      <c r="K1620" s="17" t="s">
        <v>5772</v>
      </c>
      <c r="L1620" s="17"/>
      <c r="M1620" s="17" t="s">
        <v>6860</v>
      </c>
      <c r="N1620" s="17"/>
      <c r="O1620" s="17"/>
      <c r="P1620" s="23"/>
      <c r="Q1620" s="17">
        <v>2</v>
      </c>
      <c r="R1620" s="17">
        <v>2</v>
      </c>
      <c r="S1620" s="11" t="str">
        <f t="shared" si="11"/>
        <v>このクリーチャーが攻撃するたび、対戦相手がディフェンダーを持つクリーチャーをコントロールしている場合、ターン終了時までこのクリーチャーは+2/+2の修正を受ける。</v>
      </c>
      <c r="T1620" s="21" t="s">
        <v>6180</v>
      </c>
    </row>
    <row r="1621" spans="1:20" hidden="1" x14ac:dyDescent="0.15">
      <c r="A1621" s="34">
        <v>1619</v>
      </c>
      <c r="B1621" s="35" t="s">
        <v>4881</v>
      </c>
      <c r="C1621" s="17" t="s">
        <v>5677</v>
      </c>
      <c r="D1621" s="17" t="s">
        <v>1518</v>
      </c>
      <c r="E1621" s="18" t="s">
        <v>1744</v>
      </c>
      <c r="F1621" s="22">
        <v>11</v>
      </c>
      <c r="G1621" s="17" t="s">
        <v>5937</v>
      </c>
      <c r="H1621" s="20" t="s">
        <v>5938</v>
      </c>
      <c r="I1621" s="18" t="s">
        <v>339</v>
      </c>
      <c r="J1621" s="17" t="s">
        <v>5686</v>
      </c>
      <c r="K1621" s="17" t="s">
        <v>1529</v>
      </c>
      <c r="L1621" s="17"/>
      <c r="M1621" s="17" t="s">
        <v>6062</v>
      </c>
      <c r="N1621" s="17" t="s">
        <v>6549</v>
      </c>
      <c r="O1621" s="17"/>
      <c r="P1621" s="23"/>
      <c r="Q1621" s="17">
        <v>1</v>
      </c>
      <c r="R1621" s="17">
        <v>3</v>
      </c>
      <c r="S1621" s="11" t="str">
        <f t="shared" si="11"/>
        <v>ディフェンダー  &amp;br;このクリーチャーが戦場に出たとき、これは探検1を行う。</v>
      </c>
      <c r="T1621" s="21" t="s">
        <v>6105</v>
      </c>
    </row>
    <row r="1622" spans="1:20" hidden="1" x14ac:dyDescent="0.15">
      <c r="A1622" s="34">
        <v>1620</v>
      </c>
      <c r="B1622" s="35" t="s">
        <v>4881</v>
      </c>
      <c r="C1622" s="17" t="s">
        <v>5677</v>
      </c>
      <c r="D1622" s="17" t="s">
        <v>1518</v>
      </c>
      <c r="E1622" s="18" t="s">
        <v>1744</v>
      </c>
      <c r="F1622" s="22">
        <v>9</v>
      </c>
      <c r="G1622" s="17" t="s">
        <v>5939</v>
      </c>
      <c r="H1622" s="20" t="s">
        <v>5940</v>
      </c>
      <c r="I1622" s="18" t="s">
        <v>339</v>
      </c>
      <c r="J1622" s="17" t="s">
        <v>1464</v>
      </c>
      <c r="K1622" s="17" t="s">
        <v>1867</v>
      </c>
      <c r="L1622" s="17"/>
      <c r="M1622" s="17" t="s">
        <v>6070</v>
      </c>
      <c r="N1622" s="17" t="s">
        <v>6558</v>
      </c>
      <c r="O1622" s="17"/>
      <c r="P1622" s="23"/>
      <c r="Q1622" s="17">
        <v>2</v>
      </c>
      <c r="R1622" s="17">
        <v>2</v>
      </c>
      <c r="S1622" s="11" t="str">
        <f t="shared" ref="S1622:S1685" si="12">IF(M1622="","",M1622&amp;IF(N1622="","","&amp;br;"&amp;N1622)&amp;IF(O1622="","","&amp;br;"&amp;O1622))</f>
        <v>呪禁  &amp;br;このクリーチャーが戦場に出たとき、あなたがコントロールするマーフォーク1体を対象とする。それは+1/+1の修正を受ける。</v>
      </c>
      <c r="T1622" s="21" t="s">
        <v>6181</v>
      </c>
    </row>
    <row r="1623" spans="1:20" hidden="1" x14ac:dyDescent="0.15">
      <c r="A1623" s="34">
        <v>1621</v>
      </c>
      <c r="B1623" s="35" t="s">
        <v>4881</v>
      </c>
      <c r="C1623" s="17" t="s">
        <v>5677</v>
      </c>
      <c r="D1623" s="17" t="s">
        <v>1518</v>
      </c>
      <c r="E1623" s="18" t="s">
        <v>1744</v>
      </c>
      <c r="F1623" s="22">
        <v>5</v>
      </c>
      <c r="G1623" s="17" t="s">
        <v>5941</v>
      </c>
      <c r="H1623" s="20" t="s">
        <v>5942</v>
      </c>
      <c r="I1623" s="18" t="s">
        <v>339</v>
      </c>
      <c r="J1623" s="17" t="s">
        <v>1464</v>
      </c>
      <c r="K1623" s="17" t="s">
        <v>5772</v>
      </c>
      <c r="L1623" s="17"/>
      <c r="M1623" s="17" t="s">
        <v>6865</v>
      </c>
      <c r="N1623" s="17"/>
      <c r="O1623" s="17"/>
      <c r="P1623" s="23"/>
      <c r="Q1623" s="17">
        <v>1</v>
      </c>
      <c r="R1623" s="17">
        <v>1</v>
      </c>
      <c r="S1623" s="11" t="str">
        <f t="shared" si="12"/>
        <v>ジェム2個を起動する：このクリーチャーは+1/+1の修正を受ける。</v>
      </c>
      <c r="T1623" s="21" t="s">
        <v>6182</v>
      </c>
    </row>
    <row r="1624" spans="1:20" hidden="1" x14ac:dyDescent="0.15">
      <c r="A1624" s="34">
        <v>1622</v>
      </c>
      <c r="B1624" s="35" t="s">
        <v>4881</v>
      </c>
      <c r="C1624" s="17" t="s">
        <v>5677</v>
      </c>
      <c r="D1624" s="17" t="s">
        <v>1518</v>
      </c>
      <c r="E1624" s="18" t="s">
        <v>1744</v>
      </c>
      <c r="F1624" s="22">
        <v>9</v>
      </c>
      <c r="G1624" s="17" t="s">
        <v>5943</v>
      </c>
      <c r="H1624" s="20" t="s">
        <v>5944</v>
      </c>
      <c r="I1624" s="18" t="s">
        <v>339</v>
      </c>
      <c r="J1624" s="17" t="s">
        <v>5698</v>
      </c>
      <c r="K1624" s="17"/>
      <c r="L1624" s="17"/>
      <c r="M1624" s="17" t="s">
        <v>6565</v>
      </c>
      <c r="N1624" s="17"/>
      <c r="O1624" s="17"/>
      <c r="P1624" s="23"/>
      <c r="Q1624" s="17">
        <v>3</v>
      </c>
      <c r="R1624" s="17">
        <v>2</v>
      </c>
      <c r="S1624" s="11" t="str">
        <f t="shared" si="12"/>
        <v>激昂：あなたは2点のライフを得る。</v>
      </c>
      <c r="T1624" s="21" t="s">
        <v>6183</v>
      </c>
    </row>
    <row r="1625" spans="1:20" hidden="1" x14ac:dyDescent="0.15">
      <c r="A1625" s="34">
        <v>1623</v>
      </c>
      <c r="B1625" s="35" t="s">
        <v>4881</v>
      </c>
      <c r="C1625" s="17" t="s">
        <v>5677</v>
      </c>
      <c r="D1625" s="17" t="s">
        <v>1518</v>
      </c>
      <c r="E1625" s="18" t="s">
        <v>1744</v>
      </c>
      <c r="F1625" s="22">
        <v>4</v>
      </c>
      <c r="G1625" s="17" t="s">
        <v>5945</v>
      </c>
      <c r="H1625" s="20" t="s">
        <v>5946</v>
      </c>
      <c r="I1625" s="18" t="s">
        <v>1453</v>
      </c>
      <c r="J1625" s="17"/>
      <c r="K1625" s="17"/>
      <c r="L1625" s="17"/>
      <c r="M1625" s="17" t="s">
        <v>6859</v>
      </c>
      <c r="N1625" s="17"/>
      <c r="O1625" s="17"/>
      <c r="P1625" s="23"/>
      <c r="Q1625" s="17"/>
      <c r="R1625" s="17"/>
      <c r="S1625" s="11" t="str">
        <f t="shared" si="12"/>
        <v>クリーチャー1体を対象とする。ターン終了時まで、それは+3/+3の修正を受けるとともにトランプルを得る。</v>
      </c>
      <c r="T1625" s="21" t="s">
        <v>6184</v>
      </c>
    </row>
    <row r="1626" spans="1:20" hidden="1" x14ac:dyDescent="0.15">
      <c r="A1626" s="34">
        <v>1624</v>
      </c>
      <c r="B1626" s="35" t="s">
        <v>4881</v>
      </c>
      <c r="C1626" s="17" t="s">
        <v>5677</v>
      </c>
      <c r="D1626" s="17" t="s">
        <v>1518</v>
      </c>
      <c r="E1626" s="18" t="s">
        <v>1744</v>
      </c>
      <c r="F1626" s="22">
        <v>9</v>
      </c>
      <c r="G1626" s="17" t="s">
        <v>5947</v>
      </c>
      <c r="H1626" s="20" t="s">
        <v>5948</v>
      </c>
      <c r="I1626" s="18" t="s">
        <v>1453</v>
      </c>
      <c r="J1626" s="17"/>
      <c r="K1626" s="17"/>
      <c r="L1626" s="17"/>
      <c r="M1626" s="17" t="s">
        <v>6862</v>
      </c>
      <c r="N1626" s="17"/>
      <c r="O1626" s="17"/>
      <c r="P1626" s="23"/>
      <c r="Q1626" s="17"/>
      <c r="R1626" s="17"/>
      <c r="S1626" s="11" t="str">
        <f t="shared" si="12"/>
        <v>クリーチャー1体を対象とする。ターン終了時まで、それは+4/+4の修正を受けるとともにバーサーカーを得る。</v>
      </c>
      <c r="T1626" s="21" t="s">
        <v>6185</v>
      </c>
    </row>
    <row r="1627" spans="1:20" hidden="1" x14ac:dyDescent="0.15">
      <c r="A1627" s="34">
        <v>1625</v>
      </c>
      <c r="B1627" s="35" t="s">
        <v>4881</v>
      </c>
      <c r="C1627" s="17" t="s">
        <v>5677</v>
      </c>
      <c r="D1627" s="17" t="s">
        <v>1518</v>
      </c>
      <c r="E1627" s="18" t="s">
        <v>1744</v>
      </c>
      <c r="F1627" s="22">
        <v>10</v>
      </c>
      <c r="G1627" s="17" t="s">
        <v>5949</v>
      </c>
      <c r="H1627" s="20" t="s">
        <v>5950</v>
      </c>
      <c r="I1627" s="18" t="s">
        <v>1453</v>
      </c>
      <c r="J1627" s="17"/>
      <c r="K1627" s="17"/>
      <c r="L1627" s="17"/>
      <c r="M1627" s="17" t="s">
        <v>6543</v>
      </c>
      <c r="N1627" s="17"/>
      <c r="O1627" s="17"/>
      <c r="P1627" s="23"/>
      <c r="Q1627" s="17"/>
      <c r="R1627" s="17"/>
      <c r="S1627" s="11" t="str">
        <f t="shared" si="12"/>
        <v>対戦相手がコントロールするサポートを1個破壊する。カードを1枚引く。</v>
      </c>
      <c r="T1627" s="21" t="s">
        <v>6186</v>
      </c>
    </row>
    <row r="1628" spans="1:20" hidden="1" x14ac:dyDescent="0.15">
      <c r="A1628" s="34">
        <v>1626</v>
      </c>
      <c r="B1628" s="35" t="s">
        <v>4881</v>
      </c>
      <c r="C1628" s="17" t="s">
        <v>5677</v>
      </c>
      <c r="D1628" s="17" t="s">
        <v>1518</v>
      </c>
      <c r="E1628" s="18" t="s">
        <v>1744</v>
      </c>
      <c r="F1628" s="22">
        <v>13</v>
      </c>
      <c r="G1628" s="17" t="s">
        <v>5951</v>
      </c>
      <c r="H1628" s="20" t="s">
        <v>5952</v>
      </c>
      <c r="I1628" s="18" t="s">
        <v>288</v>
      </c>
      <c r="J1628" s="17" t="s">
        <v>4968</v>
      </c>
      <c r="K1628" s="17"/>
      <c r="L1628" s="17"/>
      <c r="M1628" s="17" t="s">
        <v>6531</v>
      </c>
      <c r="N1628" s="17" t="s">
        <v>6532</v>
      </c>
      <c r="O1628" s="17"/>
      <c r="P1628" s="23">
        <v>3</v>
      </c>
      <c r="Q1628" s="17"/>
      <c r="R1628" s="17"/>
      <c r="S1628" s="11" t="str">
        <f t="shared" si="12"/>
        <v>このサポートがボード上にある間、あなたがコントロールする最初のクリーチャーは+1/+1の修正を受ける。&amp;br;あなたのターン開始時に、ジェム2個をあなたのプレインズウォーカーの色に変換する。</v>
      </c>
      <c r="T1628" s="21" t="s">
        <v>6187</v>
      </c>
    </row>
    <row r="1629" spans="1:20" hidden="1" x14ac:dyDescent="0.15">
      <c r="A1629" s="34">
        <v>1627</v>
      </c>
      <c r="B1629" s="35" t="s">
        <v>4881</v>
      </c>
      <c r="C1629" s="17" t="s">
        <v>5677</v>
      </c>
      <c r="D1629" s="17" t="s">
        <v>1518</v>
      </c>
      <c r="E1629" s="18" t="s">
        <v>1451</v>
      </c>
      <c r="F1629" s="22">
        <v>11</v>
      </c>
      <c r="G1629" s="17" t="s">
        <v>5953</v>
      </c>
      <c r="H1629" s="20" t="s">
        <v>5954</v>
      </c>
      <c r="I1629" s="18" t="s">
        <v>339</v>
      </c>
      <c r="J1629" s="17" t="s">
        <v>5686</v>
      </c>
      <c r="K1629" s="17" t="s">
        <v>1529</v>
      </c>
      <c r="L1629" s="17"/>
      <c r="M1629" s="17" t="s">
        <v>6446</v>
      </c>
      <c r="N1629" s="17" t="s">
        <v>6852</v>
      </c>
      <c r="O1629" s="17"/>
      <c r="P1629" s="23"/>
      <c r="Q1629" s="17">
        <v>3</v>
      </c>
      <c r="R1629" s="17">
        <v>3</v>
      </c>
      <c r="S1629" s="11" t="str">
        <f t="shared" si="12"/>
        <v>あなたが恐竜をコントロールしている間、このクリーチャーは+2/+2の修正を受ける。&amp;br;ジェム2個を起動する：ジェム3個を緑に変換する。</v>
      </c>
      <c r="T1629" s="21" t="s">
        <v>6188</v>
      </c>
    </row>
    <row r="1630" spans="1:20" hidden="1" x14ac:dyDescent="0.15">
      <c r="A1630" s="34">
        <v>1628</v>
      </c>
      <c r="B1630" s="35" t="s">
        <v>4881</v>
      </c>
      <c r="C1630" s="17" t="s">
        <v>5677</v>
      </c>
      <c r="D1630" s="17" t="s">
        <v>1518</v>
      </c>
      <c r="E1630" s="18" t="s">
        <v>1451</v>
      </c>
      <c r="F1630" s="22">
        <v>10</v>
      </c>
      <c r="G1630" s="17" t="s">
        <v>5955</v>
      </c>
      <c r="H1630" s="20" t="s">
        <v>5956</v>
      </c>
      <c r="I1630" s="18" t="s">
        <v>339</v>
      </c>
      <c r="J1630" s="17" t="s">
        <v>5686</v>
      </c>
      <c r="K1630" s="17" t="s">
        <v>1867</v>
      </c>
      <c r="L1630" s="17"/>
      <c r="M1630" s="17" t="s">
        <v>6460</v>
      </c>
      <c r="N1630" s="17"/>
      <c r="O1630" s="17"/>
      <c r="P1630" s="23"/>
      <c r="Q1630" s="17">
        <v>2</v>
      </c>
      <c r="R1630" s="17">
        <v>2</v>
      </c>
      <c r="S1630" s="11" t="str">
        <f t="shared" si="12"/>
        <v>このクリーチャーが死亡したとき、緑ジェムが8個以上ある場合、ターン終了時まで、あなたの最初のクリーチャーは+5/+5の修正を受けるとともにトランプルを得る。</v>
      </c>
      <c r="T1630" s="21" t="s">
        <v>6189</v>
      </c>
    </row>
    <row r="1631" spans="1:20" hidden="1" x14ac:dyDescent="0.15">
      <c r="A1631" s="34">
        <v>1629</v>
      </c>
      <c r="B1631" s="35" t="s">
        <v>4881</v>
      </c>
      <c r="C1631" s="17" t="s">
        <v>5677</v>
      </c>
      <c r="D1631" s="17" t="s">
        <v>1518</v>
      </c>
      <c r="E1631" s="18" t="s">
        <v>1451</v>
      </c>
      <c r="F1631" s="22">
        <v>7</v>
      </c>
      <c r="G1631" s="17" t="s">
        <v>5957</v>
      </c>
      <c r="H1631" s="20" t="s">
        <v>5958</v>
      </c>
      <c r="I1631" s="18" t="s">
        <v>339</v>
      </c>
      <c r="J1631" s="17" t="s">
        <v>1464</v>
      </c>
      <c r="K1631" s="17" t="s">
        <v>1867</v>
      </c>
      <c r="L1631" s="17"/>
      <c r="M1631" s="17" t="s">
        <v>6853</v>
      </c>
      <c r="N1631" s="17"/>
      <c r="O1631" s="17"/>
      <c r="P1631" s="23"/>
      <c r="Q1631" s="17">
        <v>2</v>
      </c>
      <c r="R1631" s="17">
        <v>2</v>
      </c>
      <c r="S1631" s="11" t="str">
        <f t="shared" si="12"/>
        <v>あなたが他のマーフォークか青のサポートをコントロールしている間、このクリーチャーは+2/+2の修正を受ける。</v>
      </c>
      <c r="T1631" s="21" t="s">
        <v>6190</v>
      </c>
    </row>
    <row r="1632" spans="1:20" hidden="1" x14ac:dyDescent="0.15">
      <c r="A1632" s="34">
        <v>1630</v>
      </c>
      <c r="B1632" s="35" t="s">
        <v>4881</v>
      </c>
      <c r="C1632" s="17" t="s">
        <v>5677</v>
      </c>
      <c r="D1632" s="17" t="s">
        <v>1518</v>
      </c>
      <c r="E1632" s="18" t="s">
        <v>1451</v>
      </c>
      <c r="F1632" s="22">
        <v>8</v>
      </c>
      <c r="G1632" s="17" t="s">
        <v>5959</v>
      </c>
      <c r="H1632" s="20" t="s">
        <v>5960</v>
      </c>
      <c r="I1632" s="18" t="s">
        <v>339</v>
      </c>
      <c r="J1632" s="17" t="s">
        <v>1464</v>
      </c>
      <c r="K1632" s="17" t="s">
        <v>1929</v>
      </c>
      <c r="L1632" s="17"/>
      <c r="M1632" s="17" t="s">
        <v>6469</v>
      </c>
      <c r="N1632" s="17"/>
      <c r="O1632" s="17"/>
      <c r="P1632" s="23"/>
      <c r="Q1632" s="17">
        <v>3</v>
      </c>
      <c r="R1632" s="17">
        <v>2</v>
      </c>
      <c r="S1632" s="11" t="str">
        <f t="shared" si="12"/>
        <v>このクリーチャーが戦場に出たとき、これは探検1を行う。</v>
      </c>
      <c r="T1632" s="21" t="s">
        <v>6105</v>
      </c>
    </row>
    <row r="1633" spans="1:20" hidden="1" x14ac:dyDescent="0.15">
      <c r="A1633" s="34">
        <v>1631</v>
      </c>
      <c r="B1633" s="35" t="s">
        <v>4881</v>
      </c>
      <c r="C1633" s="17" t="s">
        <v>5677</v>
      </c>
      <c r="D1633" s="17" t="s">
        <v>1518</v>
      </c>
      <c r="E1633" s="18" t="s">
        <v>1451</v>
      </c>
      <c r="F1633" s="22">
        <v>11</v>
      </c>
      <c r="G1633" s="17" t="s">
        <v>5961</v>
      </c>
      <c r="H1633" s="20" t="s">
        <v>5962</v>
      </c>
      <c r="I1633" s="18" t="s">
        <v>339</v>
      </c>
      <c r="J1633" s="17" t="s">
        <v>5698</v>
      </c>
      <c r="K1633" s="17"/>
      <c r="L1633" s="17"/>
      <c r="M1633" s="17" t="s">
        <v>6848</v>
      </c>
      <c r="N1633" s="17" t="s">
        <v>6478</v>
      </c>
      <c r="O1633" s="17"/>
      <c r="P1633" s="23"/>
      <c r="Q1633" s="17">
        <v>3</v>
      </c>
      <c r="R1633" s="17">
        <v>5</v>
      </c>
      <c r="S1633" s="11" t="str">
        <f t="shared" si="12"/>
        <v>バーサーカー&amp;br;激昂：ジェム2個をあなたのプレインズウォーカーの色に変換する。</v>
      </c>
      <c r="T1633" s="21" t="s">
        <v>6191</v>
      </c>
    </row>
    <row r="1634" spans="1:20" hidden="1" x14ac:dyDescent="0.15">
      <c r="A1634" s="34">
        <v>1632</v>
      </c>
      <c r="B1634" s="35" t="s">
        <v>4881</v>
      </c>
      <c r="C1634" s="17" t="s">
        <v>5677</v>
      </c>
      <c r="D1634" s="17" t="s">
        <v>1518</v>
      </c>
      <c r="E1634" s="18" t="s">
        <v>1451</v>
      </c>
      <c r="F1634" s="22">
        <v>16</v>
      </c>
      <c r="G1634" s="17" t="s">
        <v>5963</v>
      </c>
      <c r="H1634" s="20" t="s">
        <v>5964</v>
      </c>
      <c r="I1634" s="18" t="s">
        <v>339</v>
      </c>
      <c r="J1634" s="17" t="s">
        <v>5698</v>
      </c>
      <c r="K1634" s="17"/>
      <c r="L1634" s="17"/>
      <c r="M1634" s="17" t="s">
        <v>6508</v>
      </c>
      <c r="N1634" s="17" t="s">
        <v>6856</v>
      </c>
      <c r="O1634" s="17"/>
      <c r="P1634" s="23"/>
      <c r="Q1634" s="17">
        <v>5</v>
      </c>
      <c r="R1634" s="17">
        <v>5</v>
      </c>
      <c r="S1634" s="11" t="str">
        <f t="shared" si="12"/>
        <v>あなたがコントロールする他の恐竜は+1/+1の修正を受ける。&amp;br;ジェム2個を起動する：トランプルを持つ3/3の緑の恐竜・クリーチャー・トークンを1体生成する。</v>
      </c>
      <c r="T1634" s="21" t="s">
        <v>6192</v>
      </c>
    </row>
    <row r="1635" spans="1:20" hidden="1" x14ac:dyDescent="0.15">
      <c r="A1635" s="34">
        <v>1633</v>
      </c>
      <c r="B1635" s="35" t="s">
        <v>4881</v>
      </c>
      <c r="C1635" s="17" t="s">
        <v>5677</v>
      </c>
      <c r="D1635" s="17" t="s">
        <v>1518</v>
      </c>
      <c r="E1635" s="18" t="s">
        <v>1451</v>
      </c>
      <c r="F1635" s="22">
        <v>9</v>
      </c>
      <c r="G1635" s="17" t="s">
        <v>5965</v>
      </c>
      <c r="H1635" s="20" t="s">
        <v>5966</v>
      </c>
      <c r="I1635" s="18" t="s">
        <v>339</v>
      </c>
      <c r="J1635" s="17" t="s">
        <v>1464</v>
      </c>
      <c r="K1635" s="17" t="s">
        <v>1867</v>
      </c>
      <c r="L1635" s="17"/>
      <c r="M1635" s="17" t="s">
        <v>6514</v>
      </c>
      <c r="N1635" s="17"/>
      <c r="O1635" s="17"/>
      <c r="P1635" s="23"/>
      <c r="Q1635" s="17">
        <v>2</v>
      </c>
      <c r="R1635" s="17">
        <v>4</v>
      </c>
      <c r="S1635" s="11" t="str">
        <f t="shared" si="12"/>
        <v>このクリーチャーが戦場に出たとき、戦場に出ているあなたがコントロールしている最初と2番目のマーフォークは+1/+1の修正を受ける。</v>
      </c>
      <c r="T1635" s="21" t="s">
        <v>6193</v>
      </c>
    </row>
    <row r="1636" spans="1:20" hidden="1" x14ac:dyDescent="0.15">
      <c r="A1636" s="34">
        <v>1634</v>
      </c>
      <c r="B1636" s="35" t="s">
        <v>4881</v>
      </c>
      <c r="C1636" s="17" t="s">
        <v>5677</v>
      </c>
      <c r="D1636" s="17" t="s">
        <v>1518</v>
      </c>
      <c r="E1636" s="18" t="s">
        <v>1451</v>
      </c>
      <c r="F1636" s="22">
        <v>5</v>
      </c>
      <c r="G1636" s="17" t="s">
        <v>5967</v>
      </c>
      <c r="H1636" s="20" t="s">
        <v>5968</v>
      </c>
      <c r="I1636" s="18" t="s">
        <v>1453</v>
      </c>
      <c r="J1636" s="17"/>
      <c r="K1636" s="17"/>
      <c r="L1636" s="17"/>
      <c r="M1636" s="17" t="s">
        <v>6481</v>
      </c>
      <c r="N1636" s="17"/>
      <c r="O1636" s="17"/>
      <c r="P1636" s="23"/>
      <c r="Q1636" s="17"/>
      <c r="R1636" s="17"/>
      <c r="S1636" s="11" t="str">
        <f t="shared" si="12"/>
        <v>クリーチャー1体を対象とする。それは+1/+1の修正を受ける。あなたがコントロールする最初のマーフォークは+1/+1の修正を受ける。</v>
      </c>
      <c r="T1636" s="21" t="s">
        <v>6194</v>
      </c>
    </row>
    <row r="1637" spans="1:20" hidden="1" x14ac:dyDescent="0.15">
      <c r="A1637" s="34">
        <v>1635</v>
      </c>
      <c r="B1637" s="35" t="s">
        <v>4881</v>
      </c>
      <c r="C1637" s="17" t="s">
        <v>5677</v>
      </c>
      <c r="D1637" s="17" t="s">
        <v>1518</v>
      </c>
      <c r="E1637" s="18" t="s">
        <v>1451</v>
      </c>
      <c r="F1637" s="22">
        <v>8</v>
      </c>
      <c r="G1637" s="17" t="s">
        <v>5969</v>
      </c>
      <c r="H1637" s="20" t="s">
        <v>5970</v>
      </c>
      <c r="I1637" s="18" t="s">
        <v>1453</v>
      </c>
      <c r="J1637" s="17"/>
      <c r="K1637" s="17"/>
      <c r="L1637" s="17"/>
      <c r="M1637" s="17" t="s">
        <v>6855</v>
      </c>
      <c r="N1637" s="17" t="s">
        <v>6486</v>
      </c>
      <c r="O1637" s="17"/>
      <c r="P1637" s="23"/>
      <c r="Q1637" s="17"/>
      <c r="R1637" s="17"/>
      <c r="S1637" s="11" t="str">
        <f t="shared" si="12"/>
        <v>あなたが恐竜をコントロールしている間、この呪文のマナ・コストは4少なくなる。&amp;br;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v>
      </c>
      <c r="T1637" s="21" t="s">
        <v>6195</v>
      </c>
    </row>
    <row r="1638" spans="1:20" hidden="1" x14ac:dyDescent="0.15">
      <c r="A1638" s="34">
        <v>1636</v>
      </c>
      <c r="B1638" s="35" t="s">
        <v>4881</v>
      </c>
      <c r="C1638" s="17" t="s">
        <v>5677</v>
      </c>
      <c r="D1638" s="17" t="s">
        <v>1518</v>
      </c>
      <c r="E1638" s="18" t="s">
        <v>1451</v>
      </c>
      <c r="F1638" s="22">
        <v>6</v>
      </c>
      <c r="G1638" s="17" t="s">
        <v>5971</v>
      </c>
      <c r="H1638" s="20" t="s">
        <v>5972</v>
      </c>
      <c r="I1638" s="18" t="s">
        <v>288</v>
      </c>
      <c r="J1638" s="17"/>
      <c r="K1638" s="17"/>
      <c r="L1638" s="17"/>
      <c r="M1638" s="17" t="s">
        <v>6489</v>
      </c>
      <c r="N1638" s="17"/>
      <c r="O1638" s="17"/>
      <c r="P1638" s="23">
        <v>6</v>
      </c>
      <c r="Q1638" s="17"/>
      <c r="R1638" s="17"/>
      <c r="S1638" s="11" t="str">
        <f t="shared" si="12"/>
        <v>このサポートが戦場に出ている間、あなたがコントロールするクリーチャーは「対戦相手がこのクリーチャーに呪文を唱えるたび、カードを1枚引き、形成師の聖域は1シールドを失う」を持つ。</v>
      </c>
      <c r="T1638" s="21" t="s">
        <v>6496</v>
      </c>
    </row>
    <row r="1639" spans="1:20" hidden="1" x14ac:dyDescent="0.15">
      <c r="A1639" s="34">
        <v>1637</v>
      </c>
      <c r="B1639" s="35" t="s">
        <v>4881</v>
      </c>
      <c r="C1639" s="17" t="s">
        <v>5677</v>
      </c>
      <c r="D1639" s="17" t="s">
        <v>1518</v>
      </c>
      <c r="E1639" s="18" t="s">
        <v>1441</v>
      </c>
      <c r="F1639" s="22">
        <v>14</v>
      </c>
      <c r="G1639" s="17" t="s">
        <v>5973</v>
      </c>
      <c r="H1639" s="20" t="s">
        <v>5974</v>
      </c>
      <c r="I1639" s="18" t="s">
        <v>339</v>
      </c>
      <c r="J1639" s="17" t="s">
        <v>5698</v>
      </c>
      <c r="K1639" s="17"/>
      <c r="L1639" s="17"/>
      <c r="M1639" s="17" t="s">
        <v>6403</v>
      </c>
      <c r="N1639" s="17"/>
      <c r="O1639" s="17"/>
      <c r="P1639" s="23"/>
      <c r="Q1639" s="17">
        <v>5</v>
      </c>
      <c r="R1639" s="17">
        <v>4</v>
      </c>
      <c r="S1639" s="11" t="str">
        <f t="shared" si="12"/>
        <v>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v>
      </c>
      <c r="T1639" s="21" t="s">
        <v>6501</v>
      </c>
    </row>
    <row r="1640" spans="1:20" hidden="1" x14ac:dyDescent="0.15">
      <c r="A1640" s="34">
        <v>1638</v>
      </c>
      <c r="B1640" s="35" t="s">
        <v>4881</v>
      </c>
      <c r="C1640" s="17" t="s">
        <v>5677</v>
      </c>
      <c r="D1640" s="17" t="s">
        <v>1518</v>
      </c>
      <c r="E1640" s="18" t="s">
        <v>1441</v>
      </c>
      <c r="F1640" s="22">
        <v>10</v>
      </c>
      <c r="G1640" s="17" t="s">
        <v>5975</v>
      </c>
      <c r="H1640" s="20" t="s">
        <v>5976</v>
      </c>
      <c r="I1640" s="18" t="s">
        <v>339</v>
      </c>
      <c r="J1640" s="17" t="s">
        <v>1464</v>
      </c>
      <c r="K1640" s="17" t="s">
        <v>1867</v>
      </c>
      <c r="L1640" s="17"/>
      <c r="M1640" s="17" t="s">
        <v>6404</v>
      </c>
      <c r="N1640" s="17"/>
      <c r="O1640" s="17"/>
      <c r="P1640" s="23"/>
      <c r="Q1640" s="17">
        <v>2</v>
      </c>
      <c r="R1640" s="17">
        <v>2</v>
      </c>
      <c r="S1640" s="11" t="str">
        <f t="shared" si="12"/>
        <v>あなたが呪文かサポートを唱えたとき、このクリーチャーは+1/+1の修正を受ける。</v>
      </c>
      <c r="T1640" s="21" t="s">
        <v>6196</v>
      </c>
    </row>
    <row r="1641" spans="1:20" hidden="1" x14ac:dyDescent="0.15">
      <c r="A1641" s="34">
        <v>1639</v>
      </c>
      <c r="B1641" s="35" t="s">
        <v>4881</v>
      </c>
      <c r="C1641" s="17" t="s">
        <v>5677</v>
      </c>
      <c r="D1641" s="17" t="s">
        <v>1518</v>
      </c>
      <c r="E1641" s="18" t="s">
        <v>1441</v>
      </c>
      <c r="F1641" s="22">
        <v>14</v>
      </c>
      <c r="G1641" s="17" t="s">
        <v>5977</v>
      </c>
      <c r="H1641" s="20" t="s">
        <v>5978</v>
      </c>
      <c r="I1641" s="18" t="s">
        <v>339</v>
      </c>
      <c r="J1641" s="17" t="s">
        <v>5686</v>
      </c>
      <c r="K1641" s="17" t="s">
        <v>1929</v>
      </c>
      <c r="L1641" s="17"/>
      <c r="M1641" s="17" t="s">
        <v>6405</v>
      </c>
      <c r="N1641" s="17"/>
      <c r="O1641" s="17"/>
      <c r="P1641" s="23"/>
      <c r="Q1641" s="17">
        <v>6</v>
      </c>
      <c r="R1641" s="17">
        <v>5</v>
      </c>
      <c r="S1641" s="11" t="str">
        <f t="shared" si="12"/>
        <v>このクリーチャーが戦闘ダメージを与えるたび、これは探検1を行う。</v>
      </c>
      <c r="T1641" s="21" t="s">
        <v>6197</v>
      </c>
    </row>
    <row r="1642" spans="1:20" hidden="1" x14ac:dyDescent="0.15">
      <c r="A1642" s="34">
        <v>1640</v>
      </c>
      <c r="B1642" s="35" t="s">
        <v>4881</v>
      </c>
      <c r="C1642" s="17" t="s">
        <v>5677</v>
      </c>
      <c r="D1642" s="17" t="s">
        <v>1518</v>
      </c>
      <c r="E1642" s="18" t="s">
        <v>1441</v>
      </c>
      <c r="F1642" s="22">
        <v>14</v>
      </c>
      <c r="G1642" s="17" t="s">
        <v>5979</v>
      </c>
      <c r="H1642" s="20" t="s">
        <v>5980</v>
      </c>
      <c r="I1642" s="18" t="s">
        <v>339</v>
      </c>
      <c r="J1642" s="17" t="s">
        <v>5698</v>
      </c>
      <c r="K1642" s="17"/>
      <c r="L1642" s="17"/>
      <c r="M1642" s="17" t="s">
        <v>6848</v>
      </c>
      <c r="N1642" s="17" t="s">
        <v>6406</v>
      </c>
      <c r="O1642" s="17"/>
      <c r="P1642" s="23"/>
      <c r="Q1642" s="17">
        <v>5</v>
      </c>
      <c r="R1642" s="17">
        <v>6</v>
      </c>
      <c r="S1642" s="11" t="str">
        <f t="shared" si="12"/>
        <v>バーサーカー&amp;br;激昂：カードを1枚引く。</v>
      </c>
      <c r="T1642" s="21" t="s">
        <v>6198</v>
      </c>
    </row>
    <row r="1643" spans="1:20" hidden="1" x14ac:dyDescent="0.15">
      <c r="A1643" s="34">
        <v>1641</v>
      </c>
      <c r="B1643" s="35" t="s">
        <v>4881</v>
      </c>
      <c r="C1643" s="17" t="s">
        <v>5677</v>
      </c>
      <c r="D1643" s="17" t="s">
        <v>1518</v>
      </c>
      <c r="E1643" s="18" t="s">
        <v>1441</v>
      </c>
      <c r="F1643" s="22">
        <v>10</v>
      </c>
      <c r="G1643" s="17" t="s">
        <v>5981</v>
      </c>
      <c r="H1643" s="20" t="s">
        <v>5982</v>
      </c>
      <c r="I1643" s="18" t="s">
        <v>339</v>
      </c>
      <c r="J1643" s="17" t="s">
        <v>1537</v>
      </c>
      <c r="K1643" s="17"/>
      <c r="L1643" s="17"/>
      <c r="M1643" s="17" t="s">
        <v>6407</v>
      </c>
      <c r="N1643" s="17"/>
      <c r="O1643" s="17"/>
      <c r="P1643" s="23"/>
      <c r="Q1643" s="17">
        <v>3</v>
      </c>
      <c r="R1643" s="17">
        <v>5</v>
      </c>
      <c r="S1643" s="11" t="str">
        <f t="shared" si="12"/>
        <v>あなたがコントロールするクリーチャーが探検を行うたび、このクリーチャーは+1/+1の修正を受け、あなたは3点のライフを得る。</v>
      </c>
      <c r="T1643" s="21" t="s">
        <v>6199</v>
      </c>
    </row>
    <row r="1644" spans="1:20" hidden="1" x14ac:dyDescent="0.15">
      <c r="A1644" s="34">
        <v>1642</v>
      </c>
      <c r="B1644" s="35" t="s">
        <v>4881</v>
      </c>
      <c r="C1644" s="17" t="s">
        <v>5677</v>
      </c>
      <c r="D1644" s="17" t="s">
        <v>1518</v>
      </c>
      <c r="E1644" s="18" t="s">
        <v>1441</v>
      </c>
      <c r="F1644" s="22">
        <v>4</v>
      </c>
      <c r="G1644" s="17" t="s">
        <v>5983</v>
      </c>
      <c r="H1644" s="20" t="s">
        <v>5984</v>
      </c>
      <c r="I1644" s="18" t="s">
        <v>1453</v>
      </c>
      <c r="J1644" s="17"/>
      <c r="K1644" s="17"/>
      <c r="L1644" s="17"/>
      <c r="M1644" s="17" t="s">
        <v>6402</v>
      </c>
      <c r="N1644" s="17"/>
      <c r="O1644" s="17"/>
      <c r="P1644" s="23"/>
      <c r="Q1644" s="17"/>
      <c r="R1644" s="17"/>
      <c r="S1644" s="11" t="str">
        <f t="shared" si="12"/>
        <v>あなたのライブラリーから次の恐竜・カードを1枚取ってきて、ジェム3個を緑に変換する。</v>
      </c>
      <c r="T1644" s="21" t="s">
        <v>6200</v>
      </c>
    </row>
    <row r="1645" spans="1:20" hidden="1" x14ac:dyDescent="0.15">
      <c r="A1645" s="34">
        <v>1643</v>
      </c>
      <c r="B1645" s="35" t="s">
        <v>4881</v>
      </c>
      <c r="C1645" s="17" t="s">
        <v>5677</v>
      </c>
      <c r="D1645" s="17" t="s">
        <v>1518</v>
      </c>
      <c r="E1645" s="18" t="s">
        <v>1431</v>
      </c>
      <c r="F1645" s="22">
        <v>20</v>
      </c>
      <c r="G1645" s="17" t="s">
        <v>5985</v>
      </c>
      <c r="H1645" s="20" t="s">
        <v>5986</v>
      </c>
      <c r="I1645" s="18" t="s">
        <v>339</v>
      </c>
      <c r="J1645" s="17" t="s">
        <v>5698</v>
      </c>
      <c r="K1645" s="17"/>
      <c r="L1645" s="17"/>
      <c r="M1645" s="17" t="s">
        <v>6071</v>
      </c>
      <c r="N1645" s="17" t="s">
        <v>6320</v>
      </c>
      <c r="O1645" s="17"/>
      <c r="P1645" s="23"/>
      <c r="Q1645" s="17">
        <v>9</v>
      </c>
      <c r="R1645" s="17">
        <v>8</v>
      </c>
      <c r="S1645" s="11" t="str">
        <f t="shared" si="12"/>
        <v>トランプル 呪禁 &amp;br;これのマナを吸収したり、マナ・コストを多くしたりできない。</v>
      </c>
      <c r="T1645" s="21" t="s">
        <v>6201</v>
      </c>
    </row>
    <row r="1646" spans="1:20" hidden="1" x14ac:dyDescent="0.15">
      <c r="A1646" s="34">
        <v>1644</v>
      </c>
      <c r="B1646" s="35" t="s">
        <v>4881</v>
      </c>
      <c r="C1646" s="17" t="s">
        <v>5677</v>
      </c>
      <c r="D1646" s="17" t="s">
        <v>1518</v>
      </c>
      <c r="E1646" s="18" t="s">
        <v>1431</v>
      </c>
      <c r="F1646" s="22">
        <v>20</v>
      </c>
      <c r="G1646" s="17" t="s">
        <v>5987</v>
      </c>
      <c r="H1646" s="20" t="s">
        <v>5988</v>
      </c>
      <c r="I1646" s="18" t="s">
        <v>339</v>
      </c>
      <c r="J1646" s="17" t="s">
        <v>5698</v>
      </c>
      <c r="K1646" s="17" t="s">
        <v>5480</v>
      </c>
      <c r="L1646" s="17"/>
      <c r="M1646" s="17" t="s">
        <v>6353</v>
      </c>
      <c r="N1646" s="17"/>
      <c r="O1646" s="17"/>
      <c r="P1646" s="23"/>
      <c r="Q1646" s="17">
        <v>8</v>
      </c>
      <c r="R1646" s="17">
        <v>8</v>
      </c>
      <c r="S1646" s="11" t="str">
        <f t="shared" si="12"/>
        <v>これか他のクリーチャーがあなたのコントロール下で戦場に出るたび、あなたはそれのタフネスに等しい点数のライフを得る。</v>
      </c>
      <c r="T1646" s="21" t="s">
        <v>6202</v>
      </c>
    </row>
    <row r="1647" spans="1:20" hidden="1" x14ac:dyDescent="0.15">
      <c r="A1647" s="34">
        <v>1645</v>
      </c>
      <c r="B1647" s="35" t="s">
        <v>4881</v>
      </c>
      <c r="C1647" s="17" t="s">
        <v>5676</v>
      </c>
      <c r="D1647" s="17" t="s">
        <v>1518</v>
      </c>
      <c r="E1647" s="18" t="s">
        <v>1431</v>
      </c>
      <c r="F1647" s="22">
        <v>13</v>
      </c>
      <c r="G1647" s="17" t="s">
        <v>5989</v>
      </c>
      <c r="H1647" s="20" t="s">
        <v>5990</v>
      </c>
      <c r="I1647" s="18" t="s">
        <v>288</v>
      </c>
      <c r="J1647" s="17"/>
      <c r="K1647" s="17"/>
      <c r="L1647" s="17"/>
      <c r="M1647" s="17" t="s">
        <v>6322</v>
      </c>
      <c r="N1647" s="17" t="s">
        <v>6323</v>
      </c>
      <c r="O1647" s="17"/>
      <c r="P1647" s="23">
        <v>4</v>
      </c>
      <c r="Q1647" s="17"/>
      <c r="R1647" s="17"/>
      <c r="S1647" s="11" t="str">
        <f t="shared" si="12"/>
        <v>このサポートがボードに出たとき、あなたのライブラリーの最初の4枚のクリーチャー・カードのうち1枚を選ぶ。そのカードを取ってきて、他を破壊する。そのカードは3マナを得る。&amp;br;あなたのターン終了時に、あなたがクリーチャーを3体以上コントロールしている場合、このサポートを変身させる。</v>
      </c>
      <c r="T1647" s="21" t="s">
        <v>6203</v>
      </c>
    </row>
    <row r="1648" spans="1:20" hidden="1" x14ac:dyDescent="0.15">
      <c r="A1648" s="34">
        <v>1646</v>
      </c>
      <c r="B1648" s="35" t="s">
        <v>4881</v>
      </c>
      <c r="C1648" s="17" t="s">
        <v>5677</v>
      </c>
      <c r="D1648" s="17" t="s">
        <v>1518</v>
      </c>
      <c r="E1648" s="18" t="s">
        <v>1431</v>
      </c>
      <c r="F1648" s="22">
        <v>0</v>
      </c>
      <c r="G1648" s="17" t="s">
        <v>6238</v>
      </c>
      <c r="H1648" s="20" t="s">
        <v>6239</v>
      </c>
      <c r="I1648" s="18" t="s">
        <v>288</v>
      </c>
      <c r="J1648" s="17" t="s">
        <v>6029</v>
      </c>
      <c r="K1648" s="17"/>
      <c r="L1648" s="17"/>
      <c r="M1648" s="17" t="s">
        <v>6830</v>
      </c>
      <c r="N1648" s="17"/>
      <c r="O1648" s="17"/>
      <c r="P1648" s="23">
        <v>5</v>
      </c>
      <c r="Q1648" s="17"/>
      <c r="R1648" s="17"/>
      <c r="S1648" s="11" t="str">
        <f t="shared" si="12"/>
        <v>あなたのターン開始時に、ジェムX個を緑に変換する。Xはあなたのコントロールするクリーチャーの総数の3倍に等しい。</v>
      </c>
      <c r="T1648" s="21" t="s">
        <v>6256</v>
      </c>
    </row>
    <row r="1649" spans="1:20" hidden="1" x14ac:dyDescent="0.15">
      <c r="A1649" s="34">
        <v>1647</v>
      </c>
      <c r="B1649" s="35" t="s">
        <v>4881</v>
      </c>
      <c r="C1649" s="17" t="s">
        <v>5677</v>
      </c>
      <c r="D1649" s="17" t="s">
        <v>1508</v>
      </c>
      <c r="E1649" s="18" t="s">
        <v>1451</v>
      </c>
      <c r="F1649" s="22">
        <v>15</v>
      </c>
      <c r="G1649" s="17" t="s">
        <v>5991</v>
      </c>
      <c r="H1649" s="20" t="s">
        <v>5992</v>
      </c>
      <c r="I1649" s="18" t="s">
        <v>339</v>
      </c>
      <c r="J1649" s="17" t="s">
        <v>5686</v>
      </c>
      <c r="K1649" s="17" t="s">
        <v>5746</v>
      </c>
      <c r="L1649" s="17"/>
      <c r="M1649" s="17" t="s">
        <v>6440</v>
      </c>
      <c r="N1649" s="17" t="s">
        <v>6441</v>
      </c>
      <c r="O1649" s="17"/>
      <c r="P1649" s="23"/>
      <c r="Q1649" s="17">
        <v>4</v>
      </c>
      <c r="R1649" s="17">
        <v>4</v>
      </c>
      <c r="S1649" s="11" t="str">
        <f t="shared" si="12"/>
        <v>このクリーチャーが戦場に出たとき、これはあなたがコントロールするサポート1つにつき+1/+1の修正を受ける。&amp;br;ジェム1個を起動する：宝物を1つ見つける。</v>
      </c>
      <c r="T1649" s="21" t="s">
        <v>6204</v>
      </c>
    </row>
    <row r="1650" spans="1:20" hidden="1" x14ac:dyDescent="0.15">
      <c r="A1650" s="34">
        <v>1648</v>
      </c>
      <c r="B1650" s="35" t="s">
        <v>4881</v>
      </c>
      <c r="C1650" s="17" t="s">
        <v>5677</v>
      </c>
      <c r="D1650" s="17" t="s">
        <v>1508</v>
      </c>
      <c r="E1650" s="18" t="s">
        <v>1431</v>
      </c>
      <c r="F1650" s="22">
        <v>14</v>
      </c>
      <c r="G1650" s="17" t="s">
        <v>5993</v>
      </c>
      <c r="H1650" s="20" t="s">
        <v>5994</v>
      </c>
      <c r="I1650" s="18" t="s">
        <v>339</v>
      </c>
      <c r="J1650" s="17" t="s">
        <v>5686</v>
      </c>
      <c r="K1650" s="17" t="s">
        <v>5746</v>
      </c>
      <c r="L1650" s="17"/>
      <c r="M1650" s="17" t="s">
        <v>6325</v>
      </c>
      <c r="N1650" s="17" t="s">
        <v>6831</v>
      </c>
      <c r="O1650" s="17"/>
      <c r="P1650" s="23"/>
      <c r="Q1650" s="17">
        <v>4</v>
      </c>
      <c r="R1650" s="17">
        <v>5</v>
      </c>
      <c r="S1650" s="11" t="str">
        <f t="shared" si="12"/>
        <v>このクリーチャーが戦場に出たとき、対戦相手がコントロールするクリーチャー1体を対象とし、それをあなたの手札に移動する。&amp;br;このクリーチャーが死亡した時、対戦相手はカードを2枚引く。</v>
      </c>
      <c r="T1650" s="21" t="s">
        <v>6205</v>
      </c>
    </row>
    <row r="1651" spans="1:20" hidden="1" x14ac:dyDescent="0.15">
      <c r="A1651" s="34">
        <v>1649</v>
      </c>
      <c r="B1651" s="35" t="s">
        <v>4881</v>
      </c>
      <c r="C1651" s="17" t="s">
        <v>5677</v>
      </c>
      <c r="D1651" s="17" t="s">
        <v>1504</v>
      </c>
      <c r="E1651" s="18" t="s">
        <v>1451</v>
      </c>
      <c r="F1651" s="22">
        <v>9</v>
      </c>
      <c r="G1651" s="17" t="s">
        <v>5995</v>
      </c>
      <c r="H1651" s="20" t="s">
        <v>5996</v>
      </c>
      <c r="I1651" s="18" t="s">
        <v>339</v>
      </c>
      <c r="J1651" s="17" t="s">
        <v>5840</v>
      </c>
      <c r="K1651" s="17" t="s">
        <v>5746</v>
      </c>
      <c r="L1651" s="17"/>
      <c r="M1651" s="17" t="s">
        <v>6445</v>
      </c>
      <c r="N1651" s="17"/>
      <c r="O1651" s="17"/>
      <c r="P1651" s="23"/>
      <c r="Q1651" s="17">
        <v>3</v>
      </c>
      <c r="R1651" s="17">
        <v>3</v>
      </c>
      <c r="S1651" s="11" t="str">
        <f t="shared" si="12"/>
        <v>このクリーチャーが攻撃するたび、ターン終了時まで、これはあなたがコントロールする他の海賊1体につき+1/+1の修正を受ける。</v>
      </c>
      <c r="T1651" s="21" t="s">
        <v>6206</v>
      </c>
    </row>
    <row r="1652" spans="1:20" hidden="1" x14ac:dyDescent="0.15">
      <c r="A1652" s="34">
        <v>1650</v>
      </c>
      <c r="B1652" s="35" t="s">
        <v>4881</v>
      </c>
      <c r="C1652" s="17" t="s">
        <v>5677</v>
      </c>
      <c r="D1652" s="17" t="s">
        <v>1482</v>
      </c>
      <c r="E1652" s="18" t="s">
        <v>1451</v>
      </c>
      <c r="F1652" s="22">
        <v>16</v>
      </c>
      <c r="G1652" s="17" t="s">
        <v>5997</v>
      </c>
      <c r="H1652" s="20" t="s">
        <v>5998</v>
      </c>
      <c r="I1652" s="18" t="s">
        <v>339</v>
      </c>
      <c r="J1652" s="17" t="s">
        <v>5698</v>
      </c>
      <c r="K1652" s="17"/>
      <c r="L1652" s="17"/>
      <c r="M1652" s="17" t="s">
        <v>6069</v>
      </c>
      <c r="N1652" s="17" t="s">
        <v>6475</v>
      </c>
      <c r="O1652" s="17"/>
      <c r="P1652" s="23"/>
      <c r="Q1652" s="17">
        <v>6</v>
      </c>
      <c r="R1652" s="17">
        <v>6</v>
      </c>
      <c r="S1652" s="11" t="str">
        <f t="shared" si="12"/>
        <v>トランプル  &amp;br;このクリーチャーが戦場に出たとき、これは他の各クリーチャーにそれぞれ1点のダメージを与える。</v>
      </c>
      <c r="T1652" s="21" t="s">
        <v>6207</v>
      </c>
    </row>
    <row r="1653" spans="1:20" hidden="1" x14ac:dyDescent="0.15">
      <c r="A1653" s="34">
        <v>1651</v>
      </c>
      <c r="B1653" s="35" t="s">
        <v>4881</v>
      </c>
      <c r="C1653" s="17" t="s">
        <v>5677</v>
      </c>
      <c r="D1653" s="17" t="s">
        <v>1482</v>
      </c>
      <c r="E1653" s="18" t="s">
        <v>1431</v>
      </c>
      <c r="F1653" s="22">
        <v>15</v>
      </c>
      <c r="G1653" s="17" t="s">
        <v>5999</v>
      </c>
      <c r="H1653" s="20" t="s">
        <v>6000</v>
      </c>
      <c r="I1653" s="18" t="s">
        <v>339</v>
      </c>
      <c r="J1653" s="17" t="s">
        <v>5698</v>
      </c>
      <c r="K1653" s="17"/>
      <c r="L1653" s="17"/>
      <c r="M1653" s="17" t="s">
        <v>6333</v>
      </c>
      <c r="N1653" s="17" t="s">
        <v>6334</v>
      </c>
      <c r="O1653" s="17"/>
      <c r="P1653" s="23"/>
      <c r="Q1653" s="17">
        <v>6</v>
      </c>
      <c r="R1653" s="17">
        <v>6</v>
      </c>
      <c r="S1653" s="11" t="str">
        <f t="shared" si="12"/>
        <v>このクリーチャーが戦場に出ている間、あなたがコントロールする他の恐竜は速攻を持つ。&amp;br;このクリーチャーが戦場に出たとき、トランプルを持つ3/3の緑の恐竜・トークンを1体生成する。</v>
      </c>
      <c r="T1653" s="21" t="s">
        <v>6208</v>
      </c>
    </row>
    <row r="1654" spans="1:20" hidden="1" x14ac:dyDescent="0.15">
      <c r="A1654" s="34">
        <v>1652</v>
      </c>
      <c r="B1654" s="35" t="s">
        <v>4881</v>
      </c>
      <c r="C1654" s="17" t="s">
        <v>5677</v>
      </c>
      <c r="D1654" s="17" t="s">
        <v>1802</v>
      </c>
      <c r="E1654" s="18" t="s">
        <v>1451</v>
      </c>
      <c r="F1654" s="22">
        <v>14</v>
      </c>
      <c r="G1654" s="17" t="s">
        <v>6001</v>
      </c>
      <c r="H1654" s="20" t="s">
        <v>6002</v>
      </c>
      <c r="I1654" s="18" t="s">
        <v>339</v>
      </c>
      <c r="J1654" s="17" t="s">
        <v>5698</v>
      </c>
      <c r="K1654" s="17"/>
      <c r="L1654" s="17"/>
      <c r="M1654" s="17" t="s">
        <v>6435</v>
      </c>
      <c r="N1654" s="17"/>
      <c r="O1654" s="17"/>
      <c r="P1654" s="23"/>
      <c r="Q1654" s="17">
        <v>4</v>
      </c>
      <c r="R1654" s="17">
        <v>6</v>
      </c>
      <c r="S1654" s="11" t="str">
        <f t="shared" si="12"/>
        <v>このクリーチャーが戦場に出ている間、あなたがコントロールするクリーチャーが攻撃するたび、ターン終了時まで、それは+X/+0の修正を受ける。Xはそれのタフネスとパワーの差に等しい。</v>
      </c>
      <c r="T1654" s="21" t="s">
        <v>6209</v>
      </c>
    </row>
    <row r="1655" spans="1:20" hidden="1" x14ac:dyDescent="0.15">
      <c r="A1655" s="34">
        <v>1653</v>
      </c>
      <c r="B1655" s="35" t="s">
        <v>4881</v>
      </c>
      <c r="C1655" s="17" t="s">
        <v>5677</v>
      </c>
      <c r="D1655" s="17" t="s">
        <v>1474</v>
      </c>
      <c r="E1655" s="18" t="s">
        <v>1441</v>
      </c>
      <c r="F1655" s="22">
        <v>11</v>
      </c>
      <c r="G1655" s="17" t="s">
        <v>6003</v>
      </c>
      <c r="H1655" s="20" t="s">
        <v>6004</v>
      </c>
      <c r="I1655" s="18" t="s">
        <v>1453</v>
      </c>
      <c r="J1655" s="17"/>
      <c r="K1655" s="17"/>
      <c r="L1655" s="17"/>
      <c r="M1655" s="17" t="s">
        <v>6365</v>
      </c>
      <c r="N1655" s="17" t="s">
        <v>6366</v>
      </c>
      <c r="O1655" s="17"/>
      <c r="P1655" s="23"/>
      <c r="Q1655" s="17"/>
      <c r="R1655" s="17"/>
      <c r="S1655" s="11" t="str">
        <f t="shared" si="12"/>
        <v>絆魂を持つ1/1の白の吸血鬼・クリーチャー・トークンを1体生成する。&amp;br;あなたが2体以上の吸血鬼をコントロールしている場合、すべてのあなたのクリーチャーを強化する。</v>
      </c>
      <c r="T1655" s="21" t="s">
        <v>6210</v>
      </c>
    </row>
    <row r="1656" spans="1:20" hidden="1" x14ac:dyDescent="0.15">
      <c r="A1656" s="34">
        <v>1654</v>
      </c>
      <c r="B1656" s="35" t="s">
        <v>4881</v>
      </c>
      <c r="C1656" s="17" t="s">
        <v>5677</v>
      </c>
      <c r="D1656" s="17" t="s">
        <v>1474</v>
      </c>
      <c r="E1656" s="18" t="s">
        <v>1431</v>
      </c>
      <c r="F1656" s="22">
        <v>16</v>
      </c>
      <c r="G1656" s="17" t="s">
        <v>6005</v>
      </c>
      <c r="H1656" s="20" t="s">
        <v>6006</v>
      </c>
      <c r="I1656" s="18" t="s">
        <v>339</v>
      </c>
      <c r="J1656" s="17" t="s">
        <v>5682</v>
      </c>
      <c r="K1656" s="17" t="s">
        <v>5689</v>
      </c>
      <c r="L1656" s="17"/>
      <c r="M1656" s="17" t="s">
        <v>6072</v>
      </c>
      <c r="N1656" s="17" t="s">
        <v>6839</v>
      </c>
      <c r="O1656" s="17"/>
      <c r="P1656" s="23"/>
      <c r="Q1656" s="17">
        <v>7</v>
      </c>
      <c r="R1656" s="17">
        <v>7</v>
      </c>
      <c r="S1656" s="11" t="str">
        <f t="shared" si="12"/>
        <v>警戒 絆魂 &amp;br;ジェム2個を起動する：対戦相手の最後のクリーチャーを破壊する。あなたは5点のライフを失う。</v>
      </c>
      <c r="T1656" s="21" t="s">
        <v>6507</v>
      </c>
    </row>
    <row r="1657" spans="1:20" hidden="1" x14ac:dyDescent="0.15">
      <c r="A1657" s="34">
        <v>1655</v>
      </c>
      <c r="B1657" s="35" t="s">
        <v>4881</v>
      </c>
      <c r="C1657" s="17" t="s">
        <v>5677</v>
      </c>
      <c r="D1657" s="17" t="s">
        <v>1784</v>
      </c>
      <c r="E1657" s="18" t="s">
        <v>1451</v>
      </c>
      <c r="F1657" s="22">
        <v>10</v>
      </c>
      <c r="G1657" s="17" t="s">
        <v>6007</v>
      </c>
      <c r="H1657" s="20" t="s">
        <v>6008</v>
      </c>
      <c r="I1657" s="18" t="s">
        <v>339</v>
      </c>
      <c r="J1657" s="17" t="s">
        <v>5698</v>
      </c>
      <c r="K1657" s="17"/>
      <c r="L1657" s="17"/>
      <c r="M1657" s="17" t="s">
        <v>6073</v>
      </c>
      <c r="N1657" s="17"/>
      <c r="O1657" s="17"/>
      <c r="P1657" s="23"/>
      <c r="Q1657" s="17">
        <v>3</v>
      </c>
      <c r="R1657" s="17">
        <v>3</v>
      </c>
      <c r="S1657" s="11" t="str">
        <f t="shared" si="12"/>
        <v xml:space="preserve">飛行 威迫 </v>
      </c>
      <c r="T1657" s="21" t="s">
        <v>4756</v>
      </c>
    </row>
    <row r="1658" spans="1:20" hidden="1" x14ac:dyDescent="0.15">
      <c r="A1658" s="34">
        <v>1656</v>
      </c>
      <c r="B1658" s="35" t="s">
        <v>4881</v>
      </c>
      <c r="C1658" s="17" t="s">
        <v>5677</v>
      </c>
      <c r="D1658" s="17" t="s">
        <v>1772</v>
      </c>
      <c r="E1658" s="18" t="s">
        <v>1441</v>
      </c>
      <c r="F1658" s="22">
        <v>12</v>
      </c>
      <c r="G1658" s="17" t="s">
        <v>6009</v>
      </c>
      <c r="H1658" s="20" t="s">
        <v>6010</v>
      </c>
      <c r="I1658" s="18" t="s">
        <v>339</v>
      </c>
      <c r="J1658" s="17" t="s">
        <v>1464</v>
      </c>
      <c r="K1658" s="17" t="s">
        <v>1867</v>
      </c>
      <c r="L1658" s="17"/>
      <c r="M1658" s="17" t="s">
        <v>6380</v>
      </c>
      <c r="N1658" s="17" t="s">
        <v>6381</v>
      </c>
      <c r="O1658" s="17"/>
      <c r="P1658" s="23"/>
      <c r="Q1658" s="17">
        <v>4</v>
      </c>
      <c r="R1658" s="17">
        <v>4</v>
      </c>
      <c r="S1658" s="11" t="str">
        <f t="shared" si="12"/>
        <v>ジェム2個を起動する：あなたがコントロールする最初のクリーチャーは+2/+2の修正を受ける。&amp;br;ターン終了時に、あなたがバフされているクリーチャーをコントロールしている場合、カードを1枚引く。</v>
      </c>
      <c r="T1658" s="21" t="s">
        <v>6577</v>
      </c>
    </row>
    <row r="1659" spans="1:20" hidden="1" x14ac:dyDescent="0.15">
      <c r="A1659" s="34">
        <v>1657</v>
      </c>
      <c r="B1659" s="35" t="s">
        <v>4881</v>
      </c>
      <c r="C1659" s="17" t="s">
        <v>5677</v>
      </c>
      <c r="D1659" s="17" t="s">
        <v>1772</v>
      </c>
      <c r="E1659" s="18" t="s">
        <v>1431</v>
      </c>
      <c r="F1659" s="22">
        <v>16</v>
      </c>
      <c r="G1659" s="17" t="s">
        <v>6011</v>
      </c>
      <c r="H1659" s="20" t="s">
        <v>6012</v>
      </c>
      <c r="I1659" s="18" t="s">
        <v>339</v>
      </c>
      <c r="J1659" s="17" t="s">
        <v>1464</v>
      </c>
      <c r="K1659" s="17" t="s">
        <v>1867</v>
      </c>
      <c r="L1659" s="17"/>
      <c r="M1659" s="17" t="s">
        <v>6837</v>
      </c>
      <c r="N1659" s="17"/>
      <c r="O1659" s="17"/>
      <c r="P1659" s="23"/>
      <c r="Q1659" s="17">
        <v>1</v>
      </c>
      <c r="R1659" s="17">
        <v>1</v>
      </c>
      <c r="S1659" s="11" t="str">
        <f t="shared" si="12"/>
        <v>このクリーチャーが戦場に出たとき、あなたがコントロールするクリーチャー1体につきカードを1枚引く。その後、このクリーチャーは+X/+Xの修正を受ける。Xはあなたの手札のカードの枚数の2倍に等しい。</v>
      </c>
      <c r="T1659" s="21" t="s">
        <v>6212</v>
      </c>
    </row>
    <row r="1660" spans="1:20" hidden="1" x14ac:dyDescent="0.15">
      <c r="A1660" s="34">
        <v>1658</v>
      </c>
      <c r="B1660" s="35" t="s">
        <v>4881</v>
      </c>
      <c r="C1660" s="17" t="s">
        <v>5677</v>
      </c>
      <c r="D1660" s="17" t="s">
        <v>5678</v>
      </c>
      <c r="E1660" s="18" t="s">
        <v>1431</v>
      </c>
      <c r="F1660" s="22">
        <v>23</v>
      </c>
      <c r="G1660" s="17" t="s">
        <v>6013</v>
      </c>
      <c r="H1660" s="20" t="s">
        <v>6014</v>
      </c>
      <c r="I1660" s="18" t="s">
        <v>339</v>
      </c>
      <c r="J1660" s="17" t="s">
        <v>5686</v>
      </c>
      <c r="K1660" s="17" t="s">
        <v>5746</v>
      </c>
      <c r="L1660" s="17"/>
      <c r="M1660" s="17" t="s">
        <v>6825</v>
      </c>
      <c r="N1660" s="17" t="s">
        <v>6826</v>
      </c>
      <c r="O1660" s="17"/>
      <c r="P1660" s="23"/>
      <c r="Q1660" s="17">
        <v>7</v>
      </c>
      <c r="R1660" s="17">
        <v>7</v>
      </c>
      <c r="S1660" s="11" t="str">
        <f t="shared" si="12"/>
        <v>このクリーチャーが戦場に出ている間、あなたがコントロールする他の海賊は+2/+2の修正を受ける。&amp;br;このクリーチャーが戦闘ダメージを与えたとき、あなたが2体以上の海賊をコントロールしている場合、対戦相手のコントロールする最初のクリーチャーのコントロールを得る。</v>
      </c>
      <c r="T1660" s="21" t="s">
        <v>6213</v>
      </c>
    </row>
    <row r="1661" spans="1:20" hidden="1" x14ac:dyDescent="0.15">
      <c r="A1661" s="34">
        <v>1659</v>
      </c>
      <c r="B1661" s="35" t="s">
        <v>4881</v>
      </c>
      <c r="C1661" s="17" t="s">
        <v>5677</v>
      </c>
      <c r="D1661" s="17" t="s">
        <v>5679</v>
      </c>
      <c r="E1661" s="18" t="s">
        <v>1431</v>
      </c>
      <c r="F1661" s="22">
        <v>26</v>
      </c>
      <c r="G1661" s="17" t="s">
        <v>6015</v>
      </c>
      <c r="H1661" s="20" t="s">
        <v>6016</v>
      </c>
      <c r="I1661" s="18" t="s">
        <v>339</v>
      </c>
      <c r="J1661" s="17" t="s">
        <v>5698</v>
      </c>
      <c r="K1661" s="17" t="s">
        <v>5480</v>
      </c>
      <c r="L1661" s="17"/>
      <c r="M1661" s="17" t="s">
        <v>6074</v>
      </c>
      <c r="N1661" s="17" t="s">
        <v>6829</v>
      </c>
      <c r="O1661" s="17"/>
      <c r="P1661" s="23"/>
      <c r="Q1661" s="17">
        <v>10</v>
      </c>
      <c r="R1661" s="17">
        <v>10</v>
      </c>
      <c r="S1661" s="11" t="str">
        <f t="shared" si="12"/>
        <v>バーサーカー トランプル 警戒 速攻&amp;br;このクリーチャーがダメージを与えるたび、あなたの手札にある太陽の化身、ギシャスでない最初の恐竜はいっぱいのマナを得る。</v>
      </c>
      <c r="T1661" s="21" t="s">
        <v>6214</v>
      </c>
    </row>
    <row r="1662" spans="1:20" hidden="1" x14ac:dyDescent="0.15">
      <c r="A1662" s="34">
        <v>1660</v>
      </c>
      <c r="B1662" s="35" t="s">
        <v>4881</v>
      </c>
      <c r="C1662" s="17" t="s">
        <v>5677</v>
      </c>
      <c r="D1662" s="17" t="s">
        <v>292</v>
      </c>
      <c r="E1662" s="18" t="s">
        <v>1744</v>
      </c>
      <c r="F1662" s="22">
        <v>20</v>
      </c>
      <c r="G1662" s="17" t="s">
        <v>6017</v>
      </c>
      <c r="H1662" s="20" t="s">
        <v>6018</v>
      </c>
      <c r="I1662" s="18" t="s">
        <v>339</v>
      </c>
      <c r="J1662" s="17" t="s">
        <v>6019</v>
      </c>
      <c r="K1662" s="17"/>
      <c r="L1662" s="17"/>
      <c r="M1662" s="17" t="s">
        <v>6060</v>
      </c>
      <c r="N1662" s="17" t="s">
        <v>6554</v>
      </c>
      <c r="O1662" s="17"/>
      <c r="P1662" s="23"/>
      <c r="Q1662" s="17">
        <v>4</v>
      </c>
      <c r="R1662" s="17">
        <v>6</v>
      </c>
      <c r="S1662" s="11" t="str">
        <f t="shared" si="12"/>
        <v>警戒  &amp;br;搭乗4</v>
      </c>
      <c r="T1662" s="21" t="s">
        <v>6215</v>
      </c>
    </row>
    <row r="1663" spans="1:20" hidden="1" x14ac:dyDescent="0.15">
      <c r="A1663" s="34">
        <v>1661</v>
      </c>
      <c r="B1663" s="35" t="s">
        <v>4881</v>
      </c>
      <c r="C1663" s="17" t="s">
        <v>5677</v>
      </c>
      <c r="D1663" s="17" t="s">
        <v>292</v>
      </c>
      <c r="E1663" s="18" t="s">
        <v>1744</v>
      </c>
      <c r="F1663" s="22">
        <v>6</v>
      </c>
      <c r="G1663" s="17" t="s">
        <v>6020</v>
      </c>
      <c r="H1663" s="20" t="s">
        <v>6021</v>
      </c>
      <c r="I1663" s="18" t="s">
        <v>288</v>
      </c>
      <c r="J1663" s="17"/>
      <c r="K1663" s="17"/>
      <c r="L1663" s="17"/>
      <c r="M1663" s="17" t="s">
        <v>6524</v>
      </c>
      <c r="N1663" s="17" t="s">
        <v>6525</v>
      </c>
      <c r="O1663" s="17"/>
      <c r="P1663" s="23">
        <v>2</v>
      </c>
      <c r="Q1663" s="17"/>
      <c r="R1663" s="17"/>
      <c r="S1663" s="11" t="str">
        <f t="shared" si="12"/>
        <v>あなたのターン開始時に、ジェム2個を対戦相手のプレインズウォーカーの色に変換する。&amp;br;このサポートが破壊されたとき、対戦相手がコントロールする土地を1つ破壊し、ジェム3個をあなたのプレインズウォーカーの色に変換し、その後ジェム3個を対戦相手のプレインズウォーカーの色に変換する。</v>
      </c>
      <c r="T1663" s="21" t="s">
        <v>6498</v>
      </c>
    </row>
    <row r="1664" spans="1:20" hidden="1" x14ac:dyDescent="0.15">
      <c r="A1664" s="34">
        <v>1662</v>
      </c>
      <c r="B1664" s="35" t="s">
        <v>4881</v>
      </c>
      <c r="C1664" s="17" t="s">
        <v>5677</v>
      </c>
      <c r="D1664" s="17" t="s">
        <v>292</v>
      </c>
      <c r="E1664" s="18" t="s">
        <v>1744</v>
      </c>
      <c r="F1664" s="22">
        <v>12</v>
      </c>
      <c r="G1664" s="17" t="s">
        <v>6022</v>
      </c>
      <c r="H1664" s="20" t="s">
        <v>6023</v>
      </c>
      <c r="I1664" s="18" t="s">
        <v>288</v>
      </c>
      <c r="J1664" s="17"/>
      <c r="K1664" s="17"/>
      <c r="L1664" s="17"/>
      <c r="M1664" s="17" t="s">
        <v>6528</v>
      </c>
      <c r="N1664" s="17" t="s">
        <v>6864</v>
      </c>
      <c r="O1664" s="17"/>
      <c r="P1664" s="23">
        <v>3</v>
      </c>
      <c r="Q1664" s="17"/>
      <c r="R1664" s="17"/>
      <c r="S1664" s="11" t="str">
        <f t="shared" si="12"/>
        <v>このサポートがボード上に出たとき、対戦相手1人を対象とする。そのプレイヤーは2点のライフを失いあなたは2点のライフを得る。&amp;br;ジェム2個を起動する：色ジェム3個を忠誠ジェムに変換する。</v>
      </c>
      <c r="T1664" s="21" t="s">
        <v>6216</v>
      </c>
    </row>
    <row r="1665" spans="1:20" hidden="1" x14ac:dyDescent="0.15">
      <c r="A1665" s="34">
        <v>1663</v>
      </c>
      <c r="B1665" s="35" t="s">
        <v>4881</v>
      </c>
      <c r="C1665" s="17" t="s">
        <v>5677</v>
      </c>
      <c r="D1665" s="17" t="s">
        <v>292</v>
      </c>
      <c r="E1665" s="18" t="s">
        <v>1744</v>
      </c>
      <c r="F1665" s="22">
        <v>6</v>
      </c>
      <c r="G1665" s="17" t="s">
        <v>6024</v>
      </c>
      <c r="H1665" s="20" t="s">
        <v>6025</v>
      </c>
      <c r="I1665" s="18" t="s">
        <v>288</v>
      </c>
      <c r="J1665" s="17" t="s">
        <v>6026</v>
      </c>
      <c r="K1665" s="17"/>
      <c r="L1665" s="17"/>
      <c r="M1665" s="17" t="s">
        <v>6535</v>
      </c>
      <c r="N1665" s="17" t="s">
        <v>6536</v>
      </c>
      <c r="O1665" s="17"/>
      <c r="P1665" s="23">
        <v>3</v>
      </c>
      <c r="Q1665" s="17"/>
      <c r="R1665" s="17"/>
      <c r="S1665" s="11" t="str">
        <f t="shared" si="12"/>
        <v>このサポートがボード上にある間、あなたの最初のクリーチャーは+2/+1の修正を受ける。&amp;br;トークンでない海賊があなたのコントロール下で戦場に出るたび、このサポートがあなたの手札にある場合、これのマナ・コストは2少なくなる。</v>
      </c>
      <c r="T1665" s="21" t="s">
        <v>6217</v>
      </c>
    </row>
    <row r="1666" spans="1:20" hidden="1" x14ac:dyDescent="0.15">
      <c r="A1666" s="34">
        <v>1664</v>
      </c>
      <c r="B1666" s="35" t="s">
        <v>4881</v>
      </c>
      <c r="C1666" s="17" t="s">
        <v>5677</v>
      </c>
      <c r="D1666" s="17" t="s">
        <v>292</v>
      </c>
      <c r="E1666" s="18" t="s">
        <v>1744</v>
      </c>
      <c r="F1666" s="22">
        <v>11</v>
      </c>
      <c r="G1666" s="17" t="s">
        <v>6027</v>
      </c>
      <c r="H1666" s="20" t="s">
        <v>6028</v>
      </c>
      <c r="I1666" s="18" t="s">
        <v>288</v>
      </c>
      <c r="J1666" s="17" t="s">
        <v>6029</v>
      </c>
      <c r="K1666" s="17"/>
      <c r="L1666" s="17"/>
      <c r="M1666" s="17" t="s">
        <v>6546</v>
      </c>
      <c r="N1666" s="17"/>
      <c r="O1666" s="17"/>
      <c r="P1666" s="23">
        <v>3</v>
      </c>
      <c r="Q1666" s="17"/>
      <c r="R1666" s="17"/>
      <c r="S1666" s="11" t="str">
        <f t="shared" si="12"/>
        <v>あなたのターン開始時に、対戦相手のプレインズウォーカーの色ジェム2個を他の色のジェムに変換する。</v>
      </c>
      <c r="T1666" s="21" t="s">
        <v>6500</v>
      </c>
    </row>
    <row r="1667" spans="1:20" hidden="1" x14ac:dyDescent="0.15">
      <c r="A1667" s="34">
        <v>1665</v>
      </c>
      <c r="B1667" s="35" t="s">
        <v>4881</v>
      </c>
      <c r="C1667" s="17" t="s">
        <v>5677</v>
      </c>
      <c r="D1667" s="17" t="s">
        <v>292</v>
      </c>
      <c r="E1667" s="18" t="s">
        <v>1451</v>
      </c>
      <c r="F1667" s="22">
        <v>9</v>
      </c>
      <c r="G1667" s="17" t="s">
        <v>6030</v>
      </c>
      <c r="H1667" s="20" t="s">
        <v>6031</v>
      </c>
      <c r="I1667" s="18" t="s">
        <v>288</v>
      </c>
      <c r="J1667" s="17"/>
      <c r="K1667" s="17"/>
      <c r="L1667" s="17"/>
      <c r="M1667" s="17" t="s">
        <v>6450</v>
      </c>
      <c r="N1667" s="17"/>
      <c r="O1667" s="17"/>
      <c r="P1667" s="23">
        <v>3</v>
      </c>
      <c r="Q1667" s="17"/>
      <c r="R1667" s="17"/>
      <c r="S1667" s="11" t="str">
        <f t="shared" si="12"/>
        <v>あなたのターン終了時に、あなたの手札から最後のカードを捨てる。そうしたとき、このサポートは対戦相手の対処のクリーチャーに2点のダメージを与える。</v>
      </c>
      <c r="T1667" s="21" t="s">
        <v>6218</v>
      </c>
    </row>
    <row r="1668" spans="1:20" hidden="1" x14ac:dyDescent="0.15">
      <c r="A1668" s="34">
        <v>1666</v>
      </c>
      <c r="B1668" s="35" t="s">
        <v>4881</v>
      </c>
      <c r="C1668" s="17" t="s">
        <v>5677</v>
      </c>
      <c r="D1668" s="17" t="s">
        <v>292</v>
      </c>
      <c r="E1668" s="18" t="s">
        <v>1451</v>
      </c>
      <c r="F1668" s="22">
        <v>10</v>
      </c>
      <c r="G1668" s="17" t="s">
        <v>6032</v>
      </c>
      <c r="H1668" s="20" t="s">
        <v>6033</v>
      </c>
      <c r="I1668" s="18" t="s">
        <v>288</v>
      </c>
      <c r="J1668" s="17"/>
      <c r="K1668" s="17"/>
      <c r="L1668" s="17"/>
      <c r="M1668" s="17" t="s">
        <v>6472</v>
      </c>
      <c r="N1668" s="17"/>
      <c r="O1668" s="17"/>
      <c r="P1668" s="23">
        <v>3</v>
      </c>
      <c r="Q1668" s="17"/>
      <c r="R1668" s="17"/>
      <c r="S1668" s="11" t="str">
        <f t="shared" si="12"/>
        <v>ジェム2個を起動する：あなたのデッキに共通のタイプを持つクリーチャーが3体以上入っている場合、ジェム3個をあなたのプレインズウォーカーの色に変換する。</v>
      </c>
      <c r="T1668" s="21" t="s">
        <v>6219</v>
      </c>
    </row>
    <row r="1669" spans="1:20" hidden="1" x14ac:dyDescent="0.15">
      <c r="A1669" s="34">
        <v>1667</v>
      </c>
      <c r="B1669" s="35" t="s">
        <v>4881</v>
      </c>
      <c r="C1669" s="17" t="s">
        <v>5677</v>
      </c>
      <c r="D1669" s="17" t="s">
        <v>292</v>
      </c>
      <c r="E1669" s="18" t="s">
        <v>1451</v>
      </c>
      <c r="F1669" s="22">
        <v>9</v>
      </c>
      <c r="G1669" s="17" t="s">
        <v>6034</v>
      </c>
      <c r="H1669" s="20" t="s">
        <v>6035</v>
      </c>
      <c r="I1669" s="18" t="s">
        <v>288</v>
      </c>
      <c r="J1669" s="17" t="s">
        <v>6026</v>
      </c>
      <c r="K1669" s="17"/>
      <c r="L1669" s="17"/>
      <c r="M1669" s="17" t="s">
        <v>6473</v>
      </c>
      <c r="N1669" s="17"/>
      <c r="O1669" s="17"/>
      <c r="P1669" s="23">
        <v>3</v>
      </c>
      <c r="Q1669" s="17"/>
      <c r="R1669" s="17"/>
      <c r="S1669" s="11" t="str">
        <f t="shared" si="12"/>
        <v>このサポートがボード上にある間、あなたの最初のクリーチャーは+2/+0の修正を受けるとともに「このクリーチャーが戦闘ダメージを与えるたび、宝物を1つ見つける」を得る。</v>
      </c>
      <c r="T1669" s="21" t="s">
        <v>6220</v>
      </c>
    </row>
    <row r="1670" spans="1:20" hidden="1" x14ac:dyDescent="0.15">
      <c r="A1670" s="34">
        <v>1668</v>
      </c>
      <c r="B1670" s="35" t="s">
        <v>4881</v>
      </c>
      <c r="C1670" s="17" t="s">
        <v>5677</v>
      </c>
      <c r="D1670" s="17" t="s">
        <v>292</v>
      </c>
      <c r="E1670" s="18" t="s">
        <v>1451</v>
      </c>
      <c r="F1670" s="22">
        <v>6</v>
      </c>
      <c r="G1670" s="17" t="s">
        <v>6036</v>
      </c>
      <c r="H1670" s="20" t="s">
        <v>6037</v>
      </c>
      <c r="I1670" s="18" t="s">
        <v>288</v>
      </c>
      <c r="J1670" s="17"/>
      <c r="K1670" s="17"/>
      <c r="L1670" s="17"/>
      <c r="M1670" s="17" t="s">
        <v>6487</v>
      </c>
      <c r="N1670" s="17" t="s">
        <v>6488</v>
      </c>
      <c r="O1670" s="17"/>
      <c r="P1670" s="23">
        <v>3</v>
      </c>
      <c r="Q1670" s="17"/>
      <c r="R1670" s="17"/>
      <c r="S1670" s="11" t="str">
        <f t="shared" si="12"/>
        <v>ジェム2個を起動する：カードを1枚引き、その後このサポートは1シールドを失う。&amp;br;歩哨のトーテム像が破壊されたとき、すべての墓地からすべてのカードを追放する。</v>
      </c>
      <c r="T1670" s="21" t="s">
        <v>6221</v>
      </c>
    </row>
    <row r="1671" spans="1:20" hidden="1" x14ac:dyDescent="0.15">
      <c r="A1671" s="34">
        <v>1669</v>
      </c>
      <c r="B1671" s="35" t="s">
        <v>4881</v>
      </c>
      <c r="C1671" s="17" t="s">
        <v>5677</v>
      </c>
      <c r="D1671" s="17" t="s">
        <v>292</v>
      </c>
      <c r="E1671" s="18" t="s">
        <v>1441</v>
      </c>
      <c r="F1671" s="22">
        <v>17</v>
      </c>
      <c r="G1671" s="17" t="s">
        <v>6038</v>
      </c>
      <c r="H1671" s="20" t="s">
        <v>6039</v>
      </c>
      <c r="I1671" s="18" t="s">
        <v>339</v>
      </c>
      <c r="J1671" s="17" t="s">
        <v>6019</v>
      </c>
      <c r="K1671" s="17" t="s">
        <v>6844</v>
      </c>
      <c r="L1671" s="17"/>
      <c r="M1671" s="17" t="s">
        <v>6341</v>
      </c>
      <c r="N1671" s="17" t="s">
        <v>6420</v>
      </c>
      <c r="O1671" s="17" t="s">
        <v>6421</v>
      </c>
      <c r="P1671" s="23"/>
      <c r="Q1671" s="17">
        <v>5</v>
      </c>
      <c r="R1671" s="17">
        <v>5</v>
      </c>
      <c r="S1671" s="11" t="str">
        <f t="shared" si="12"/>
        <v>搭乗2&amp;br;このクリーチャーが戦闘ダメージを与えるたび、対戦相手はカードを1枚捨てる。&amp;br;このクリーチャーが戦場に出ている間、あなたがコントロールする他の海賊は+2/+0の修正を受ける。</v>
      </c>
      <c r="T1671" s="21" t="s">
        <v>6222</v>
      </c>
    </row>
    <row r="1672" spans="1:20" hidden="1" x14ac:dyDescent="0.15">
      <c r="A1672" s="34">
        <v>1670</v>
      </c>
      <c r="B1672" s="35" t="s">
        <v>4881</v>
      </c>
      <c r="C1672" s="17" t="s">
        <v>5677</v>
      </c>
      <c r="D1672" s="17" t="s">
        <v>292</v>
      </c>
      <c r="E1672" s="18" t="s">
        <v>1441</v>
      </c>
      <c r="F1672" s="22">
        <v>16</v>
      </c>
      <c r="G1672" s="17" t="s">
        <v>6040</v>
      </c>
      <c r="H1672" s="20" t="s">
        <v>6041</v>
      </c>
      <c r="I1672" s="18" t="s">
        <v>288</v>
      </c>
      <c r="J1672" s="17" t="s">
        <v>6019</v>
      </c>
      <c r="K1672" s="17"/>
      <c r="L1672" s="17"/>
      <c r="M1672" s="17" t="s">
        <v>6408</v>
      </c>
      <c r="N1672" s="17" t="s">
        <v>6842</v>
      </c>
      <c r="O1672" s="17" t="s">
        <v>6410</v>
      </c>
      <c r="P1672" s="23">
        <v>4</v>
      </c>
      <c r="Q1672" s="17"/>
      <c r="R1672" s="17"/>
      <c r="S1672" s="11" t="str">
        <f t="shared" si="12"/>
        <v>搭乗4&amp;br;(このサポートがボード上に出たとき、)「このクリーチャーが攻撃したとき、征服者のガレオン船は1シールドを得る。」をもつ4/6の機体・トークンを1体生成する。&amp;br;あなたのターン終了時に、このサポートが5シールド以上持っている場合、このサポートを変身させる。</v>
      </c>
      <c r="T1672" s="21" t="s">
        <v>6223</v>
      </c>
    </row>
    <row r="1673" spans="1:20" hidden="1" x14ac:dyDescent="0.15">
      <c r="A1673" s="34">
        <v>1671</v>
      </c>
      <c r="B1673" s="35" t="s">
        <v>4881</v>
      </c>
      <c r="C1673" s="17" t="s">
        <v>5677</v>
      </c>
      <c r="D1673" s="17" t="s">
        <v>292</v>
      </c>
      <c r="E1673" s="18" t="s">
        <v>1441</v>
      </c>
      <c r="F1673" s="22">
        <v>0</v>
      </c>
      <c r="G1673" s="17" t="s">
        <v>6240</v>
      </c>
      <c r="H1673" s="20" t="s">
        <v>6241</v>
      </c>
      <c r="I1673" s="18" t="s">
        <v>288</v>
      </c>
      <c r="J1673" s="17" t="s">
        <v>6029</v>
      </c>
      <c r="K1673" s="17"/>
      <c r="L1673" s="17"/>
      <c r="M1673" s="17" t="s">
        <v>6411</v>
      </c>
      <c r="N1673" s="17" t="s">
        <v>6412</v>
      </c>
      <c r="O1673" s="17" t="s">
        <v>6413</v>
      </c>
      <c r="P1673" s="23">
        <v>4</v>
      </c>
      <c r="Q1673" s="17"/>
      <c r="R1673" s="17"/>
      <c r="S1673" s="11" t="str">
        <f t="shared" si="12"/>
        <v>あなたのターン開始時に、ジェム2個をあなたのプレインズウォーカーの色に変換する。&amp;br;赤ジェム1個を起動する：カードを1枚捨てて、その後カードを1枚引く。&amp;br;青ジェム1個を起動する：カードを1枚引く。&amp;br;黒ジェム1個を起動する：あなたの墓地のある最後のクリーチャー・カード1枚をあなたの手札に戻す。</v>
      </c>
      <c r="T1673" s="21" t="s">
        <v>6252</v>
      </c>
    </row>
    <row r="1674" spans="1:20" hidden="1" x14ac:dyDescent="0.15">
      <c r="A1674" s="34">
        <v>1672</v>
      </c>
      <c r="B1674" s="35" t="s">
        <v>4881</v>
      </c>
      <c r="C1674" s="17" t="s">
        <v>5677</v>
      </c>
      <c r="D1674" s="17" t="s">
        <v>292</v>
      </c>
      <c r="E1674" s="18" t="s">
        <v>1441</v>
      </c>
      <c r="F1674" s="22">
        <v>4</v>
      </c>
      <c r="G1674" s="17" t="s">
        <v>6042</v>
      </c>
      <c r="H1674" s="20" t="s">
        <v>6043</v>
      </c>
      <c r="I1674" s="18" t="s">
        <v>288</v>
      </c>
      <c r="J1674" s="17" t="s">
        <v>6026</v>
      </c>
      <c r="K1674" s="17"/>
      <c r="L1674" s="17"/>
      <c r="M1674" s="17" t="s">
        <v>6414</v>
      </c>
      <c r="N1674" s="17" t="s">
        <v>6415</v>
      </c>
      <c r="O1674" s="17" t="s">
        <v>6416</v>
      </c>
      <c r="P1674" s="23">
        <v>3</v>
      </c>
      <c r="Q1674" s="17"/>
      <c r="R1674" s="17"/>
      <c r="S1674" s="11" t="str">
        <f t="shared" si="12"/>
        <v>このサポートがボード上に出たとき、ディフェンダーとダメージ軽減を持つ0/2の植物・クリーチャー・トークン2体を対戦相手のコントロール下で生成する。&amp;br;あなたの最初のクリーチャーは+2/+1の修正を受ける。&amp;br;あなたの最初のクリーチャーが戦闘ダメージを与えるたび、このサポートを変身させる。</v>
      </c>
      <c r="T1674" s="21" t="s">
        <v>6417</v>
      </c>
    </row>
    <row r="1675" spans="1:20" hidden="1" x14ac:dyDescent="0.15">
      <c r="A1675" s="34">
        <v>1673</v>
      </c>
      <c r="B1675" s="35" t="s">
        <v>4881</v>
      </c>
      <c r="C1675" s="17" t="s">
        <v>5677</v>
      </c>
      <c r="D1675" s="17" t="s">
        <v>292</v>
      </c>
      <c r="E1675" s="18" t="s">
        <v>1441</v>
      </c>
      <c r="F1675" s="22">
        <v>0</v>
      </c>
      <c r="G1675" s="17" t="s">
        <v>6242</v>
      </c>
      <c r="H1675" s="20" t="s">
        <v>6243</v>
      </c>
      <c r="I1675" s="18" t="s">
        <v>288</v>
      </c>
      <c r="J1675" s="17" t="s">
        <v>6029</v>
      </c>
      <c r="K1675" s="17"/>
      <c r="L1675" s="17"/>
      <c r="M1675" s="17" t="s">
        <v>6418</v>
      </c>
      <c r="N1675" s="17"/>
      <c r="O1675" s="17"/>
      <c r="P1675" s="23">
        <v>3</v>
      </c>
      <c r="Q1675" s="17"/>
      <c r="R1675" s="17"/>
      <c r="S1675" s="11" t="str">
        <f t="shared" si="12"/>
        <v>あなたのターン開始時に、ジェム3個をあなたのプレインズウォーカーの色に変換する。その後、この効果をもう1回繰り返す。</v>
      </c>
      <c r="T1675" s="21" t="s">
        <v>6259</v>
      </c>
    </row>
    <row r="1676" spans="1:20" hidden="1" x14ac:dyDescent="0.15">
      <c r="A1676" s="34">
        <v>1674</v>
      </c>
      <c r="B1676" s="35" t="s">
        <v>4881</v>
      </c>
      <c r="C1676" s="17" t="s">
        <v>5677</v>
      </c>
      <c r="D1676" s="17" t="s">
        <v>292</v>
      </c>
      <c r="E1676" s="18" t="s">
        <v>1441</v>
      </c>
      <c r="F1676" s="22">
        <v>13</v>
      </c>
      <c r="G1676" s="17" t="s">
        <v>6044</v>
      </c>
      <c r="H1676" s="20" t="s">
        <v>6045</v>
      </c>
      <c r="I1676" s="18" t="s">
        <v>288</v>
      </c>
      <c r="J1676" s="17"/>
      <c r="K1676" s="17"/>
      <c r="L1676" s="17"/>
      <c r="M1676" s="17" t="s">
        <v>6422</v>
      </c>
      <c r="N1676" s="17" t="s">
        <v>6423</v>
      </c>
      <c r="O1676" s="17" t="s">
        <v>6410</v>
      </c>
      <c r="P1676" s="23">
        <v>2</v>
      </c>
      <c r="Q1676" s="17"/>
      <c r="R1676" s="17"/>
      <c r="S1676" s="11" t="str">
        <f t="shared" si="12"/>
        <v>あなたの呪文を唱えるマナ・コストは1少なくなる。&amp;br;あなたが呪文を唱えるたび、このサポートは1シールドを得る。&amp;br;あなたのターン終了時に、このサポートが5シールド以上持っている場合、このサポートを変身させる。</v>
      </c>
      <c r="T1676" s="21" t="s">
        <v>6224</v>
      </c>
    </row>
    <row r="1677" spans="1:20" hidden="1" x14ac:dyDescent="0.15">
      <c r="A1677" s="34">
        <v>1675</v>
      </c>
      <c r="B1677" s="35" t="s">
        <v>4881</v>
      </c>
      <c r="C1677" s="17" t="s">
        <v>5677</v>
      </c>
      <c r="D1677" s="17" t="s">
        <v>292</v>
      </c>
      <c r="E1677" s="18" t="s">
        <v>1441</v>
      </c>
      <c r="F1677" s="22">
        <v>0</v>
      </c>
      <c r="G1677" s="17" t="s">
        <v>6244</v>
      </c>
      <c r="H1677" s="20" t="s">
        <v>6245</v>
      </c>
      <c r="I1677" s="18" t="s">
        <v>288</v>
      </c>
      <c r="J1677" s="17" t="s">
        <v>6029</v>
      </c>
      <c r="K1677" s="17"/>
      <c r="L1677" s="17"/>
      <c r="M1677" s="17" t="s">
        <v>6411</v>
      </c>
      <c r="N1677" s="17" t="s">
        <v>6425</v>
      </c>
      <c r="O1677" s="17"/>
      <c r="P1677" s="38">
        <v>2</v>
      </c>
      <c r="Q1677" s="17"/>
      <c r="R1677" s="17"/>
      <c r="S1677" s="11" t="str">
        <f t="shared" si="12"/>
        <v>あなたのターン開始時に、ジェム2個をあなたのプレインズウォーカーの色に変換する。&amp;br;あなたが、マナ・コストが9以上の呪文を唱えるたび、その呪文を6マナ得た状態であなたの手札に戻し、このサポートは1シールドを失う。</v>
      </c>
      <c r="T1677" s="21" t="s">
        <v>6257</v>
      </c>
    </row>
    <row r="1678" spans="1:20" hidden="1" x14ac:dyDescent="0.15">
      <c r="A1678" s="34">
        <v>1676</v>
      </c>
      <c r="B1678" s="35" t="s">
        <v>4881</v>
      </c>
      <c r="C1678" s="17" t="s">
        <v>5677</v>
      </c>
      <c r="D1678" s="17" t="s">
        <v>292</v>
      </c>
      <c r="E1678" s="18" t="s">
        <v>1441</v>
      </c>
      <c r="F1678" s="22">
        <v>11</v>
      </c>
      <c r="G1678" s="17" t="s">
        <v>6046</v>
      </c>
      <c r="H1678" s="20" t="s">
        <v>6047</v>
      </c>
      <c r="I1678" s="18" t="s">
        <v>288</v>
      </c>
      <c r="J1678" s="17"/>
      <c r="K1678" s="17"/>
      <c r="L1678" s="17"/>
      <c r="M1678" s="17" t="s">
        <v>6426</v>
      </c>
      <c r="N1678" s="17" t="s">
        <v>6427</v>
      </c>
      <c r="O1678" s="17"/>
      <c r="P1678" s="23">
        <v>4</v>
      </c>
      <c r="Q1678" s="17"/>
      <c r="R1678" s="17"/>
      <c r="S1678" s="11" t="str">
        <f t="shared" si="12"/>
        <v>ジェム2個を起動する：ジェム2個をあなたのプレインズウォーカーの色に変換する。&amp;br;あなたのターン終了時にあなたのプレインズウォーカーの色のうち1色のジェムが8個以上あった場合、このサポートを変身させる。</v>
      </c>
      <c r="T1678" s="21" t="s">
        <v>6225</v>
      </c>
    </row>
    <row r="1679" spans="1:20" hidden="1" x14ac:dyDescent="0.15">
      <c r="A1679" s="34">
        <v>1677</v>
      </c>
      <c r="B1679" s="35" t="s">
        <v>4881</v>
      </c>
      <c r="C1679" s="17" t="s">
        <v>5677</v>
      </c>
      <c r="D1679" s="17" t="s">
        <v>292</v>
      </c>
      <c r="E1679" s="18" t="s">
        <v>1441</v>
      </c>
      <c r="F1679" s="22">
        <v>0</v>
      </c>
      <c r="G1679" s="17" t="s">
        <v>6246</v>
      </c>
      <c r="H1679" s="20" t="s">
        <v>6247</v>
      </c>
      <c r="I1679" s="18" t="s">
        <v>288</v>
      </c>
      <c r="J1679" s="17" t="s">
        <v>6029</v>
      </c>
      <c r="K1679" s="17"/>
      <c r="L1679" s="17"/>
      <c r="M1679" s="17" t="s">
        <v>6428</v>
      </c>
      <c r="N1679" s="17" t="s">
        <v>6429</v>
      </c>
      <c r="O1679" s="17" t="s">
        <v>6430</v>
      </c>
      <c r="P1679" s="23">
        <v>5</v>
      </c>
      <c r="Q1679" s="17"/>
      <c r="R1679" s="17"/>
      <c r="S1679" s="11" t="str">
        <f t="shared" si="12"/>
        <v>あなたのターン開始時に、ジェム2個を忠誠ジェムに変換する。&amp;br;このサポートが戦場に出ている間、対戦相手の最初のクリーチャーはそのパワーが0になる。&amp;br;対戦相手のターン終了時に、そのプレイヤーがパワー0に等しいクリーチャーをコントロールしている場合、このサポートは1シールドを失う。</v>
      </c>
      <c r="T1679" s="21" t="s">
        <v>6260</v>
      </c>
    </row>
    <row r="1680" spans="1:20" hidden="1" x14ac:dyDescent="0.15">
      <c r="A1680" s="34">
        <v>1678</v>
      </c>
      <c r="B1680" s="35" t="s">
        <v>4881</v>
      </c>
      <c r="C1680" s="17" t="s">
        <v>5677</v>
      </c>
      <c r="D1680" s="17" t="s">
        <v>292</v>
      </c>
      <c r="E1680" s="18" t="s">
        <v>1441</v>
      </c>
      <c r="F1680" s="22">
        <v>11</v>
      </c>
      <c r="G1680" s="17" t="s">
        <v>6048</v>
      </c>
      <c r="H1680" s="20" t="s">
        <v>6049</v>
      </c>
      <c r="I1680" s="18" t="s">
        <v>288</v>
      </c>
      <c r="J1680" s="17"/>
      <c r="K1680" s="17"/>
      <c r="L1680" s="17"/>
      <c r="M1680" s="17" t="s">
        <v>6850</v>
      </c>
      <c r="N1680" s="17" t="s">
        <v>6432</v>
      </c>
      <c r="O1680" s="17"/>
      <c r="P1680" s="23">
        <v>2</v>
      </c>
      <c r="Q1680" s="17"/>
      <c r="R1680" s="17"/>
      <c r="S1680" s="11" t="str">
        <f t="shared" si="12"/>
        <v>ジェム2個を起動する：このサポートは2シールドを得る。&amp;br;あなたのターン終了時に、このサポートが4シールド以上持っている場合、このサポートを変身させて、宝物を2つ見つける。</v>
      </c>
      <c r="T1680" s="21" t="s">
        <v>6226</v>
      </c>
    </row>
    <row r="1681" spans="1:20" hidden="1" x14ac:dyDescent="0.15">
      <c r="A1681" s="34">
        <v>1679</v>
      </c>
      <c r="B1681" s="35" t="s">
        <v>4881</v>
      </c>
      <c r="C1681" s="17" t="s">
        <v>5677</v>
      </c>
      <c r="D1681" s="17" t="s">
        <v>292</v>
      </c>
      <c r="E1681" s="18" t="s">
        <v>1441</v>
      </c>
      <c r="F1681" s="22">
        <v>0</v>
      </c>
      <c r="G1681" s="17" t="s">
        <v>6248</v>
      </c>
      <c r="H1681" s="20" t="s">
        <v>6249</v>
      </c>
      <c r="I1681" s="18" t="s">
        <v>288</v>
      </c>
      <c r="J1681" s="17" t="s">
        <v>6029</v>
      </c>
      <c r="K1681" s="17"/>
      <c r="L1681" s="17"/>
      <c r="M1681" s="17" t="s">
        <v>6433</v>
      </c>
      <c r="N1681" s="17" t="s">
        <v>6434</v>
      </c>
      <c r="O1681" s="17"/>
      <c r="P1681" s="23">
        <v>1</v>
      </c>
      <c r="Q1681" s="17"/>
      <c r="R1681" s="17"/>
      <c r="S1681" s="11" t="str">
        <f t="shared" si="12"/>
        <v>あなたのターン開始時に、ジェム2個を忠誠ジェムに変換する。&amp;br;あなたがコントロールする宝物が破壊されるたび、カードを1枚引き、このサポートは1シールドを失う。</v>
      </c>
      <c r="T1681" s="21" t="s">
        <v>6254</v>
      </c>
    </row>
    <row r="1682" spans="1:20" hidden="1" x14ac:dyDescent="0.15">
      <c r="A1682" s="34">
        <v>1680</v>
      </c>
      <c r="B1682" s="35" t="s">
        <v>4881</v>
      </c>
      <c r="C1682" s="17" t="s">
        <v>5677</v>
      </c>
      <c r="D1682" s="17" t="s">
        <v>292</v>
      </c>
      <c r="E1682" s="18" t="s">
        <v>1431</v>
      </c>
      <c r="F1682" s="22">
        <v>14</v>
      </c>
      <c r="G1682" s="17" t="s">
        <v>6050</v>
      </c>
      <c r="H1682" s="20" t="s">
        <v>6051</v>
      </c>
      <c r="I1682" s="18" t="s">
        <v>339</v>
      </c>
      <c r="J1682" s="17" t="s">
        <v>6019</v>
      </c>
      <c r="K1682" s="17"/>
      <c r="L1682" s="17"/>
      <c r="M1682" s="17" t="s">
        <v>6836</v>
      </c>
      <c r="N1682" s="17" t="s">
        <v>6342</v>
      </c>
      <c r="O1682" s="17"/>
      <c r="P1682" s="23"/>
      <c r="Q1682" s="17">
        <v>4</v>
      </c>
      <c r="R1682" s="17">
        <v>4</v>
      </c>
      <c r="S1682" s="11" t="str">
        <f t="shared" si="12"/>
        <v>搭乗3&amp;br;あなたがコントロールするクリーチャーが探検を行うたび、このクリーチャーは+2/+2の修正を受ける。</v>
      </c>
      <c r="T1682" s="21" t="s">
        <v>6227</v>
      </c>
    </row>
    <row r="1683" spans="1:20" hidden="1" x14ac:dyDescent="0.15">
      <c r="A1683" s="34">
        <v>1681</v>
      </c>
      <c r="B1683" s="35" t="s">
        <v>4881</v>
      </c>
      <c r="C1683" s="17" t="s">
        <v>5677</v>
      </c>
      <c r="D1683" s="17" t="s">
        <v>292</v>
      </c>
      <c r="E1683" s="18" t="s">
        <v>1431</v>
      </c>
      <c r="F1683" s="22">
        <v>10</v>
      </c>
      <c r="G1683" s="17" t="s">
        <v>6052</v>
      </c>
      <c r="H1683" s="20" t="s">
        <v>6053</v>
      </c>
      <c r="I1683" s="18" t="s">
        <v>288</v>
      </c>
      <c r="J1683" s="17"/>
      <c r="K1683" s="17"/>
      <c r="L1683" s="17"/>
      <c r="M1683" s="17" t="s">
        <v>6343</v>
      </c>
      <c r="N1683" s="17" t="s">
        <v>6344</v>
      </c>
      <c r="O1683" s="17"/>
      <c r="P1683" s="23">
        <v>3</v>
      </c>
      <c r="Q1683" s="17"/>
      <c r="R1683" s="17"/>
      <c r="S1683" s="11" t="str">
        <f t="shared" si="12"/>
        <v>このサポートがボード上にある間、対戦相手のプレインズウォーカーは忠誠度能力を起動できない。&amp;br;対戦相手のターン終了時に、このサポートは1シールドを失う。</v>
      </c>
      <c r="T1683" s="21" t="s">
        <v>6505</v>
      </c>
    </row>
    <row r="1684" spans="1:20" hidden="1" x14ac:dyDescent="0.15">
      <c r="A1684" s="34">
        <v>1682</v>
      </c>
      <c r="B1684" s="35" t="s">
        <v>4881</v>
      </c>
      <c r="C1684" s="17" t="s">
        <v>5677</v>
      </c>
      <c r="D1684" s="17" t="s">
        <v>292</v>
      </c>
      <c r="E1684" s="18" t="s">
        <v>1431</v>
      </c>
      <c r="F1684" s="22">
        <v>12</v>
      </c>
      <c r="G1684" s="17" t="s">
        <v>6054</v>
      </c>
      <c r="H1684" s="20" t="s">
        <v>6055</v>
      </c>
      <c r="I1684" s="18" t="s">
        <v>288</v>
      </c>
      <c r="J1684" s="17" t="s">
        <v>6029</v>
      </c>
      <c r="K1684" s="17"/>
      <c r="L1684" s="17"/>
      <c r="M1684" s="17" t="s">
        <v>6346</v>
      </c>
      <c r="N1684" s="17" t="s">
        <v>6347</v>
      </c>
      <c r="O1684" s="17"/>
      <c r="P1684" s="23">
        <v>3</v>
      </c>
      <c r="Q1684" s="17"/>
      <c r="R1684" s="17"/>
      <c r="S1684" s="11" t="str">
        <f t="shared" si="12"/>
        <v>あなたのターン開始時に、色ジェム2個を忠誠ジェムに変換する。&amp;br;あなたのデッキに共通のタイプを持つクリーチャーが3枚以上入っている場合、代わりにジェム3個をあなたのプレインズウォーカーの色に変換する。</v>
      </c>
      <c r="T1684" s="21" t="s">
        <v>6228</v>
      </c>
    </row>
    <row r="1685" spans="1:20" hidden="1" x14ac:dyDescent="0.15">
      <c r="A1685" s="34">
        <v>1683</v>
      </c>
      <c r="B1685" s="35" t="s">
        <v>4881</v>
      </c>
      <c r="C1685" s="17" t="s">
        <v>5677</v>
      </c>
      <c r="D1685" s="17" t="s">
        <v>292</v>
      </c>
      <c r="E1685" s="18" t="s">
        <v>1431</v>
      </c>
      <c r="F1685" s="22">
        <v>13</v>
      </c>
      <c r="G1685" s="17" t="s">
        <v>6056</v>
      </c>
      <c r="H1685" s="20" t="s">
        <v>6057</v>
      </c>
      <c r="I1685" s="18" t="s">
        <v>288</v>
      </c>
      <c r="J1685" s="17"/>
      <c r="K1685" s="17"/>
      <c r="L1685" s="17"/>
      <c r="M1685" s="17" t="s">
        <v>6352</v>
      </c>
      <c r="N1685" s="17"/>
      <c r="O1685" s="17"/>
      <c r="P1685" s="23">
        <v>3</v>
      </c>
      <c r="Q1685" s="17"/>
      <c r="R1685" s="17"/>
      <c r="S1685" s="11" t="str">
        <f t="shared" si="12"/>
        <v>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v>
      </c>
      <c r="T1685" s="21" t="s">
        <v>6229</v>
      </c>
    </row>
    <row r="1686" spans="1:20" hidden="1" x14ac:dyDescent="0.15">
      <c r="A1686" s="34">
        <v>1684</v>
      </c>
      <c r="B1686" s="35" t="s">
        <v>4881</v>
      </c>
      <c r="C1686" s="17" t="s">
        <v>6299</v>
      </c>
      <c r="D1686" s="17" t="s">
        <v>6283</v>
      </c>
      <c r="E1686" s="18" t="s">
        <v>3161</v>
      </c>
      <c r="F1686" s="22">
        <v>18</v>
      </c>
      <c r="G1686" s="17" t="s">
        <v>6261</v>
      </c>
      <c r="H1686" s="20" t="s">
        <v>6271</v>
      </c>
      <c r="I1686" s="18" t="s">
        <v>339</v>
      </c>
      <c r="J1686" s="17" t="s">
        <v>5682</v>
      </c>
      <c r="K1686" s="17"/>
      <c r="L1686" s="17"/>
      <c r="M1686" s="17" t="s">
        <v>6282</v>
      </c>
      <c r="N1686" s="17" t="s">
        <v>6356</v>
      </c>
      <c r="O1686" s="17" t="s">
        <v>6357</v>
      </c>
      <c r="P1686" s="23"/>
      <c r="Q1686" s="17">
        <v>6</v>
      </c>
      <c r="R1686" s="17">
        <v>6</v>
      </c>
      <c r="S1686" s="11" t="str">
        <f t="shared" ref="S1686:S1695" si="13">IF(M1686="","",M1686&amp;IF(N1686="","","&amp;br;"&amp;N1686)&amp;IF(O1686="","","&amp;br;"&amp;O1686))</f>
        <v>絆魂&amp;br;あなたがライフを得るたび、このクリーチャーは+2/+2の修正を受ける。&amp;br;あなたのターン開始時に、このクリーチャーのパワーが12以上である場合、ターン終了時まで、このクリーチャーは飛行を得る。</v>
      </c>
      <c r="T1686" s="21"/>
    </row>
    <row r="1687" spans="1:20" hidden="1" x14ac:dyDescent="0.15">
      <c r="A1687" s="34">
        <v>1685</v>
      </c>
      <c r="B1687" s="35" t="s">
        <v>4881</v>
      </c>
      <c r="C1687" s="17" t="s">
        <v>6299</v>
      </c>
      <c r="D1687" s="17" t="s">
        <v>4857</v>
      </c>
      <c r="E1687" s="18" t="s">
        <v>3161</v>
      </c>
      <c r="F1687" s="22">
        <v>11</v>
      </c>
      <c r="G1687" s="17" t="s">
        <v>6262</v>
      </c>
      <c r="H1687" s="20" t="s">
        <v>6272</v>
      </c>
      <c r="I1687" s="18" t="s">
        <v>339</v>
      </c>
      <c r="J1687" s="17" t="s">
        <v>5686</v>
      </c>
      <c r="K1687" s="17" t="s">
        <v>5689</v>
      </c>
      <c r="L1687" s="17"/>
      <c r="M1687" s="17" t="s">
        <v>6872</v>
      </c>
      <c r="N1687" s="17" t="s">
        <v>6873</v>
      </c>
      <c r="O1687" s="17"/>
      <c r="P1687" s="23"/>
      <c r="Q1687" s="17">
        <v>4</v>
      </c>
      <c r="R1687" s="17">
        <v>4</v>
      </c>
      <c r="S1687" s="11" t="str">
        <f t="shared" si="13"/>
        <v>このクリーチャーが戦場に出たとき、これはあなたの墓地にある土地1枚につき、+2/+2の修正を受ける。&amp;br;あなたがコントロールするサポートが破壊されるたび、あなたのライブラリーから次の土地を1つ取ってくる。それは6マナを得る。</v>
      </c>
      <c r="T1687" s="21"/>
    </row>
    <row r="1688" spans="1:20" hidden="1" x14ac:dyDescent="0.15">
      <c r="A1688" s="34">
        <v>1686</v>
      </c>
      <c r="B1688" s="35" t="s">
        <v>4881</v>
      </c>
      <c r="C1688" s="17" t="s">
        <v>6299</v>
      </c>
      <c r="D1688" s="17" t="s">
        <v>6284</v>
      </c>
      <c r="E1688" s="18" t="s">
        <v>3161</v>
      </c>
      <c r="F1688" s="22">
        <v>13</v>
      </c>
      <c r="G1688" s="17" t="s">
        <v>6263</v>
      </c>
      <c r="H1688" s="20" t="s">
        <v>6273</v>
      </c>
      <c r="I1688" s="18" t="s">
        <v>339</v>
      </c>
      <c r="J1688" s="17" t="s">
        <v>5686</v>
      </c>
      <c r="K1688" s="17" t="s">
        <v>6285</v>
      </c>
      <c r="L1688" s="17"/>
      <c r="M1688" s="17" t="s">
        <v>6358</v>
      </c>
      <c r="N1688" s="17" t="s">
        <v>6359</v>
      </c>
      <c r="O1688" s="17"/>
      <c r="P1688" s="23"/>
      <c r="Q1688" s="17">
        <v>5</v>
      </c>
      <c r="R1688" s="17">
        <v>5</v>
      </c>
      <c r="S1688" s="11" t="str">
        <f t="shared" si="13"/>
        <v>このクリーチャーが戦場に出たとき、すべての土地・サポートを破壊する。&amp;br;赤ジェム2個を起動する：すべてのサポートは1シールドを失う。その後ジェムX個を赤に変換する。Xはボード上に出ているサポートの総数に等しい。</v>
      </c>
      <c r="T1688" s="21"/>
    </row>
    <row r="1689" spans="1:20" hidden="1" x14ac:dyDescent="0.15">
      <c r="A1689" s="34">
        <v>1687</v>
      </c>
      <c r="B1689" s="35" t="s">
        <v>4881</v>
      </c>
      <c r="C1689" s="17" t="s">
        <v>6299</v>
      </c>
      <c r="D1689" s="17" t="s">
        <v>6286</v>
      </c>
      <c r="E1689" s="18" t="s">
        <v>3161</v>
      </c>
      <c r="F1689" s="22">
        <v>17</v>
      </c>
      <c r="G1689" s="17" t="s">
        <v>6264</v>
      </c>
      <c r="H1689" s="20" t="s">
        <v>6274</v>
      </c>
      <c r="I1689" s="18" t="s">
        <v>339</v>
      </c>
      <c r="J1689" s="17" t="s">
        <v>6287</v>
      </c>
      <c r="K1689" s="17"/>
      <c r="L1689" s="17"/>
      <c r="M1689" s="17" t="s">
        <v>6876</v>
      </c>
      <c r="N1689" s="17" t="s">
        <v>6874</v>
      </c>
      <c r="O1689" s="17" t="s">
        <v>6875</v>
      </c>
      <c r="P1689" s="23"/>
      <c r="Q1689" s="17">
        <v>7</v>
      </c>
      <c r="R1689" s="17">
        <v>7</v>
      </c>
      <c r="S1689" s="11" t="str">
        <f t="shared" si="13"/>
        <v>バーサーカー&amp;br;このクリーチャーがクリーチャーにダメージを与えるたび、これは探検2を行う。&amp;br;黒ジェム2個を起動する：再生3。&amp;br;緑ジェム2個を起動する：6点のライフを得る。</v>
      </c>
      <c r="T1689" s="21"/>
    </row>
    <row r="1690" spans="1:20" hidden="1" x14ac:dyDescent="0.15">
      <c r="A1690" s="34">
        <v>1688</v>
      </c>
      <c r="B1690" s="35" t="s">
        <v>4881</v>
      </c>
      <c r="C1690" s="17" t="s">
        <v>6299</v>
      </c>
      <c r="D1690" s="17" t="s">
        <v>6288</v>
      </c>
      <c r="E1690" s="18" t="s">
        <v>3161</v>
      </c>
      <c r="F1690" s="22">
        <v>7</v>
      </c>
      <c r="G1690" s="17" t="s">
        <v>6265</v>
      </c>
      <c r="H1690" s="20" t="s">
        <v>6275</v>
      </c>
      <c r="I1690" s="18" t="s">
        <v>1453</v>
      </c>
      <c r="J1690" s="17"/>
      <c r="K1690" s="17"/>
      <c r="L1690" s="17"/>
      <c r="M1690" s="17" t="s">
        <v>6870</v>
      </c>
      <c r="N1690" s="17"/>
      <c r="O1690" s="17"/>
      <c r="P1690" s="23"/>
      <c r="Q1690" s="17" t="s">
        <v>4756</v>
      </c>
      <c r="R1690" s="17" t="s">
        <v>4756</v>
      </c>
      <c r="S1690" s="11" t="str">
        <f t="shared" si="13"/>
        <v>クリーチャー最大2体を対象とする。それらの各クリーチャーにそれぞれ4点のダメージを与え、その後そのクリーチャーにそれが強化された回数1回につき3点のダメージを与える。カードを1枚引く。</v>
      </c>
      <c r="T1690" s="21"/>
    </row>
    <row r="1691" spans="1:20" hidden="1" x14ac:dyDescent="0.15">
      <c r="A1691" s="34">
        <v>1689</v>
      </c>
      <c r="B1691" s="35" t="s">
        <v>4881</v>
      </c>
      <c r="C1691" s="17" t="s">
        <v>6299</v>
      </c>
      <c r="D1691" s="17" t="s">
        <v>6289</v>
      </c>
      <c r="E1691" s="18" t="s">
        <v>3161</v>
      </c>
      <c r="F1691" s="22">
        <v>4</v>
      </c>
      <c r="G1691" s="17" t="s">
        <v>6266</v>
      </c>
      <c r="H1691" s="20" t="s">
        <v>6276</v>
      </c>
      <c r="I1691" s="18" t="s">
        <v>1453</v>
      </c>
      <c r="J1691" s="17"/>
      <c r="K1691" s="17"/>
      <c r="L1691" s="17"/>
      <c r="M1691" s="17" t="s">
        <v>6361</v>
      </c>
      <c r="N1691" s="17"/>
      <c r="O1691" s="17"/>
      <c r="P1691" s="23"/>
      <c r="Q1691" s="17" t="s">
        <v>4756</v>
      </c>
      <c r="R1691" s="17" t="s">
        <v>4756</v>
      </c>
      <c r="S1691" s="11" t="str">
        <f t="shared" si="13"/>
        <v>クリーチャー1体を対象とし、それを追放する。それのコントローラーはクリーチャーのパワーに等しい点数のライフを得る。</v>
      </c>
      <c r="T1691" s="21"/>
    </row>
    <row r="1692" spans="1:20" hidden="1" x14ac:dyDescent="0.15">
      <c r="A1692" s="34">
        <v>1690</v>
      </c>
      <c r="B1692" s="35" t="s">
        <v>4881</v>
      </c>
      <c r="C1692" s="17" t="s">
        <v>6299</v>
      </c>
      <c r="D1692" s="17" t="s">
        <v>6290</v>
      </c>
      <c r="E1692" s="18" t="s">
        <v>3161</v>
      </c>
      <c r="F1692" s="22">
        <v>7</v>
      </c>
      <c r="G1692" s="17" t="s">
        <v>6267</v>
      </c>
      <c r="H1692" s="20" t="s">
        <v>6277</v>
      </c>
      <c r="I1692" s="18" t="s">
        <v>288</v>
      </c>
      <c r="J1692" s="17"/>
      <c r="K1692" s="17"/>
      <c r="L1692" s="17"/>
      <c r="M1692" s="17" t="s">
        <v>6355</v>
      </c>
      <c r="N1692" s="17"/>
      <c r="O1692" s="17"/>
      <c r="P1692" s="23">
        <v>5</v>
      </c>
      <c r="Q1692" s="17" t="s">
        <v>4756</v>
      </c>
      <c r="R1692" s="17" t="s">
        <v>4756</v>
      </c>
      <c r="S1692" s="11" t="str">
        <f t="shared" si="13"/>
        <v>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v>
      </c>
      <c r="T1692" s="21"/>
    </row>
    <row r="1693" spans="1:20" hidden="1" x14ac:dyDescent="0.15">
      <c r="A1693" s="34">
        <v>1691</v>
      </c>
      <c r="B1693" s="35" t="s">
        <v>4881</v>
      </c>
      <c r="C1693" s="17" t="s">
        <v>6299</v>
      </c>
      <c r="D1693" s="17" t="s">
        <v>6291</v>
      </c>
      <c r="E1693" s="18" t="s">
        <v>3161</v>
      </c>
      <c r="F1693" s="22">
        <v>13</v>
      </c>
      <c r="G1693" s="17" t="s">
        <v>6268</v>
      </c>
      <c r="H1693" s="20" t="s">
        <v>6278</v>
      </c>
      <c r="I1693" s="18" t="s">
        <v>288</v>
      </c>
      <c r="J1693" s="17"/>
      <c r="K1693" s="17"/>
      <c r="L1693" s="17"/>
      <c r="M1693" s="17" t="s">
        <v>6869</v>
      </c>
      <c r="N1693" s="17"/>
      <c r="O1693" s="17"/>
      <c r="P1693" s="23">
        <v>6</v>
      </c>
      <c r="Q1693" s="17" t="s">
        <v>4756</v>
      </c>
      <c r="R1693" s="17" t="s">
        <v>4756</v>
      </c>
      <c r="S1693" s="11" t="str">
        <f t="shared" si="13"/>
        <v>あなたがコントロールするクリーチャー1体が戦闘ダメージを与えるたび、そのクリーチャーは+3/+3の修正を受け、このサポートは1シールドを失う。</v>
      </c>
      <c r="T1693" s="21"/>
    </row>
    <row r="1694" spans="1:20" hidden="1" x14ac:dyDescent="0.15">
      <c r="A1694" s="34">
        <v>1692</v>
      </c>
      <c r="B1694" s="35" t="s">
        <v>4881</v>
      </c>
      <c r="C1694" s="17" t="s">
        <v>6299</v>
      </c>
      <c r="D1694" s="17" t="s">
        <v>6292</v>
      </c>
      <c r="E1694" s="18" t="s">
        <v>3161</v>
      </c>
      <c r="F1694" s="22">
        <v>14</v>
      </c>
      <c r="G1694" s="17" t="s">
        <v>6269</v>
      </c>
      <c r="H1694" s="20" t="s">
        <v>6279</v>
      </c>
      <c r="I1694" s="18" t="s">
        <v>288</v>
      </c>
      <c r="J1694" s="17"/>
      <c r="K1694" s="17"/>
      <c r="L1694" s="17"/>
      <c r="M1694" s="17" t="s">
        <v>6871</v>
      </c>
      <c r="N1694" s="17"/>
      <c r="O1694" s="17"/>
      <c r="P1694" s="23">
        <v>6</v>
      </c>
      <c r="Q1694" s="17" t="s">
        <v>4756</v>
      </c>
      <c r="R1694" s="17" t="s">
        <v>4756</v>
      </c>
      <c r="S1694" s="11" t="str">
        <f t="shared" si="13"/>
        <v>対戦相手のターン終了時に、対戦相手の手札のすべてのカードから、直前のターンにあなたがプレイしたカード1枚につき4マナを吸収し、このサポートは1シールドを失う。</v>
      </c>
      <c r="T1694" s="21"/>
    </row>
    <row r="1695" spans="1:20" hidden="1" x14ac:dyDescent="0.15">
      <c r="A1695" s="34">
        <v>1693</v>
      </c>
      <c r="B1695" s="35" t="s">
        <v>4881</v>
      </c>
      <c r="C1695" s="17" t="s">
        <v>6299</v>
      </c>
      <c r="D1695" s="17" t="s">
        <v>6293</v>
      </c>
      <c r="E1695" s="18" t="s">
        <v>3161</v>
      </c>
      <c r="F1695" s="22">
        <v>12</v>
      </c>
      <c r="G1695" s="17" t="s">
        <v>6270</v>
      </c>
      <c r="H1695" s="20" t="s">
        <v>6280</v>
      </c>
      <c r="I1695" s="18" t="s">
        <v>288</v>
      </c>
      <c r="J1695" s="17"/>
      <c r="K1695" s="17"/>
      <c r="L1695" s="17"/>
      <c r="M1695" s="17" t="s">
        <v>6360</v>
      </c>
      <c r="N1695" s="17"/>
      <c r="O1695" s="17"/>
      <c r="P1695" s="23">
        <v>6</v>
      </c>
      <c r="Q1695" s="17" t="s">
        <v>4756</v>
      </c>
      <c r="R1695" s="17" t="s">
        <v>4756</v>
      </c>
      <c r="S1695" s="11" t="str">
        <f t="shared" si="13"/>
        <v>あなたがライフを得るたび、対戦相手はその点数に等しい点数のライフを失い、このサポートは1シールドを失う。</v>
      </c>
      <c r="T1695" s="21"/>
    </row>
    <row r="1696" spans="1:20" hidden="1" x14ac:dyDescent="0.15">
      <c r="A1696" s="34">
        <v>1694</v>
      </c>
      <c r="B1696" s="35" t="s">
        <v>4881</v>
      </c>
      <c r="C1696" s="17" t="s">
        <v>6585</v>
      </c>
      <c r="D1696" s="17" t="s">
        <v>6289</v>
      </c>
      <c r="E1696" s="18" t="s">
        <v>1744</v>
      </c>
      <c r="F1696" s="22"/>
      <c r="G1696" s="17" t="s">
        <v>6586</v>
      </c>
      <c r="H1696" s="20" t="s">
        <v>6587</v>
      </c>
      <c r="I1696" s="18" t="s">
        <v>339</v>
      </c>
      <c r="J1696" s="17"/>
      <c r="K1696" s="17"/>
      <c r="L1696" s="17"/>
      <c r="M1696" s="17"/>
      <c r="N1696" s="17"/>
      <c r="O1696" s="17"/>
      <c r="P1696" s="23"/>
      <c r="Q1696" s="17" t="s">
        <v>4756</v>
      </c>
      <c r="R1696" s="17" t="s">
        <v>4756</v>
      </c>
      <c r="S1696" s="11" t="str">
        <f t="shared" ref="S1696:S1697" si="14">IF(M1696="","",M1696&amp;IF(N1696="","","&amp;br;"&amp;N1696)&amp;IF(O1696="","","&amp;br;"&amp;O1696))</f>
        <v/>
      </c>
      <c r="T1696" s="21"/>
    </row>
    <row r="1697" spans="1:20" hidden="1" x14ac:dyDescent="0.15">
      <c r="A1697" s="34">
        <v>1695</v>
      </c>
      <c r="B1697" s="35" t="s">
        <v>4881</v>
      </c>
      <c r="C1697" s="17" t="s">
        <v>6585</v>
      </c>
      <c r="D1697" s="17" t="s">
        <v>6289</v>
      </c>
      <c r="E1697" s="18" t="s">
        <v>1744</v>
      </c>
      <c r="F1697" s="22"/>
      <c r="G1697" s="17" t="s">
        <v>6588</v>
      </c>
      <c r="H1697" s="20" t="s">
        <v>6589</v>
      </c>
      <c r="I1697" s="18" t="s">
        <v>339</v>
      </c>
      <c r="J1697" s="17"/>
      <c r="K1697" s="17"/>
      <c r="L1697" s="17"/>
      <c r="M1697" s="17"/>
      <c r="N1697" s="17"/>
      <c r="O1697" s="17"/>
      <c r="P1697" s="23"/>
      <c r="Q1697" s="17" t="s">
        <v>4756</v>
      </c>
      <c r="R1697" s="17" t="s">
        <v>4756</v>
      </c>
      <c r="S1697" s="11" t="str">
        <f t="shared" si="14"/>
        <v/>
      </c>
      <c r="T1697" s="21"/>
    </row>
    <row r="1698" spans="1:20" hidden="1" x14ac:dyDescent="0.15">
      <c r="A1698" s="34">
        <v>1696</v>
      </c>
      <c r="B1698" s="35" t="s">
        <v>4881</v>
      </c>
      <c r="C1698" s="17" t="s">
        <v>6585</v>
      </c>
      <c r="D1698" s="17" t="s">
        <v>6289</v>
      </c>
      <c r="E1698" s="18" t="s">
        <v>1744</v>
      </c>
      <c r="F1698" s="22"/>
      <c r="G1698" s="17" t="s">
        <v>6590</v>
      </c>
      <c r="H1698" s="20" t="s">
        <v>6591</v>
      </c>
      <c r="I1698" s="18" t="s">
        <v>339</v>
      </c>
      <c r="J1698" s="17"/>
      <c r="K1698" s="17"/>
      <c r="L1698" s="17"/>
      <c r="M1698" s="17"/>
      <c r="N1698" s="17"/>
      <c r="O1698" s="17"/>
      <c r="P1698" s="23"/>
      <c r="Q1698" s="17" t="s">
        <v>4756</v>
      </c>
      <c r="R1698" s="17" t="s">
        <v>4756</v>
      </c>
      <c r="S1698" s="11" t="str">
        <f t="shared" ref="S1698:S1704" si="15">IF(M1698="","",M1698&amp;IF(N1698="","","&amp;br;"&amp;N1698)&amp;IF(O1698="","","&amp;br;"&amp;O1698))</f>
        <v/>
      </c>
      <c r="T1698" s="21"/>
    </row>
    <row r="1699" spans="1:20" hidden="1" x14ac:dyDescent="0.15">
      <c r="A1699" s="34">
        <v>1697</v>
      </c>
      <c r="B1699" s="35" t="s">
        <v>4881</v>
      </c>
      <c r="C1699" s="17" t="s">
        <v>6585</v>
      </c>
      <c r="D1699" s="17" t="s">
        <v>6289</v>
      </c>
      <c r="E1699" s="18" t="s">
        <v>1744</v>
      </c>
      <c r="F1699" s="22"/>
      <c r="G1699" s="17" t="s">
        <v>6592</v>
      </c>
      <c r="H1699" s="20" t="s">
        <v>6593</v>
      </c>
      <c r="I1699" s="18" t="s">
        <v>339</v>
      </c>
      <c r="J1699" s="17"/>
      <c r="K1699" s="17"/>
      <c r="L1699" s="17"/>
      <c r="M1699" s="17"/>
      <c r="N1699" s="17"/>
      <c r="O1699" s="17"/>
      <c r="P1699" s="23"/>
      <c r="Q1699" s="17" t="s">
        <v>4756</v>
      </c>
      <c r="R1699" s="17" t="s">
        <v>4756</v>
      </c>
      <c r="S1699" s="11" t="str">
        <f t="shared" si="15"/>
        <v/>
      </c>
      <c r="T1699" s="21"/>
    </row>
    <row r="1700" spans="1:20" hidden="1" x14ac:dyDescent="0.15">
      <c r="A1700" s="34">
        <v>1698</v>
      </c>
      <c r="B1700" s="35" t="s">
        <v>4881</v>
      </c>
      <c r="C1700" s="17" t="s">
        <v>6585</v>
      </c>
      <c r="D1700" s="17" t="s">
        <v>6289</v>
      </c>
      <c r="E1700" s="18" t="s">
        <v>1744</v>
      </c>
      <c r="F1700" s="22"/>
      <c r="G1700" s="17" t="s">
        <v>6594</v>
      </c>
      <c r="H1700" s="20" t="s">
        <v>6595</v>
      </c>
      <c r="I1700" s="18" t="s">
        <v>5598</v>
      </c>
      <c r="J1700" s="17"/>
      <c r="K1700" s="17"/>
      <c r="L1700" s="17"/>
      <c r="M1700" s="17"/>
      <c r="N1700" s="17"/>
      <c r="O1700" s="17"/>
      <c r="P1700" s="23"/>
      <c r="Q1700" s="17" t="s">
        <v>4756</v>
      </c>
      <c r="R1700" s="17" t="s">
        <v>4756</v>
      </c>
      <c r="S1700" s="11" t="str">
        <f t="shared" si="15"/>
        <v/>
      </c>
      <c r="T1700" s="21"/>
    </row>
    <row r="1701" spans="1:20" hidden="1" x14ac:dyDescent="0.15">
      <c r="A1701" s="34">
        <v>1699</v>
      </c>
      <c r="B1701" s="35" t="s">
        <v>4881</v>
      </c>
      <c r="C1701" s="17" t="s">
        <v>6585</v>
      </c>
      <c r="D1701" s="17" t="s">
        <v>6289</v>
      </c>
      <c r="E1701" s="18" t="s">
        <v>1744</v>
      </c>
      <c r="F1701" s="22"/>
      <c r="G1701" s="17" t="s">
        <v>6596</v>
      </c>
      <c r="H1701" s="20" t="s">
        <v>6597</v>
      </c>
      <c r="I1701" s="18" t="s">
        <v>288</v>
      </c>
      <c r="J1701" s="17"/>
      <c r="K1701" s="17"/>
      <c r="L1701" s="17"/>
      <c r="M1701" s="17"/>
      <c r="N1701" s="17"/>
      <c r="O1701" s="17"/>
      <c r="P1701" s="23"/>
      <c r="Q1701" s="17" t="s">
        <v>4756</v>
      </c>
      <c r="R1701" s="17" t="s">
        <v>4756</v>
      </c>
      <c r="S1701" s="11" t="str">
        <f t="shared" si="15"/>
        <v/>
      </c>
      <c r="T1701" s="21"/>
    </row>
    <row r="1702" spans="1:20" hidden="1" x14ac:dyDescent="0.15">
      <c r="A1702" s="34">
        <v>1700</v>
      </c>
      <c r="B1702" s="35" t="s">
        <v>4881</v>
      </c>
      <c r="C1702" s="17" t="s">
        <v>6585</v>
      </c>
      <c r="D1702" s="17" t="s">
        <v>6289</v>
      </c>
      <c r="E1702" s="18" t="s">
        <v>1744</v>
      </c>
      <c r="F1702" s="22"/>
      <c r="G1702" s="17" t="s">
        <v>6598</v>
      </c>
      <c r="H1702" s="20" t="s">
        <v>6599</v>
      </c>
      <c r="I1702" s="18" t="s">
        <v>288</v>
      </c>
      <c r="J1702" s="17"/>
      <c r="K1702" s="17"/>
      <c r="L1702" s="17"/>
      <c r="M1702" s="17"/>
      <c r="N1702" s="17"/>
      <c r="O1702" s="17"/>
      <c r="P1702" s="23"/>
      <c r="Q1702" s="17" t="s">
        <v>4756</v>
      </c>
      <c r="R1702" s="17" t="s">
        <v>4756</v>
      </c>
      <c r="S1702" s="11" t="str">
        <f t="shared" si="15"/>
        <v/>
      </c>
      <c r="T1702" s="21"/>
    </row>
    <row r="1703" spans="1:20" x14ac:dyDescent="0.15">
      <c r="A1703" s="34">
        <v>1701</v>
      </c>
      <c r="B1703" s="35" t="s">
        <v>4881</v>
      </c>
      <c r="C1703" s="17" t="s">
        <v>6585</v>
      </c>
      <c r="D1703" s="17" t="s">
        <v>6289</v>
      </c>
      <c r="E1703" s="18" t="s">
        <v>1451</v>
      </c>
      <c r="F1703" s="22"/>
      <c r="G1703" s="17" t="s">
        <v>6600</v>
      </c>
      <c r="H1703" s="20" t="s">
        <v>6601</v>
      </c>
      <c r="I1703" s="18" t="s">
        <v>339</v>
      </c>
      <c r="J1703" s="17"/>
      <c r="K1703" s="17"/>
      <c r="L1703" s="17"/>
      <c r="M1703" s="17"/>
      <c r="N1703" s="17"/>
      <c r="O1703" s="17"/>
      <c r="P1703" s="23"/>
      <c r="Q1703" s="17" t="s">
        <v>4756</v>
      </c>
      <c r="R1703" s="17" t="s">
        <v>4756</v>
      </c>
      <c r="S1703" s="11" t="str">
        <f t="shared" si="15"/>
        <v/>
      </c>
      <c r="T1703" s="21"/>
    </row>
    <row r="1704" spans="1:20" x14ac:dyDescent="0.15">
      <c r="A1704" s="34">
        <v>1702</v>
      </c>
      <c r="B1704" s="35" t="s">
        <v>4881</v>
      </c>
      <c r="C1704" s="17" t="s">
        <v>6585</v>
      </c>
      <c r="D1704" s="17" t="s">
        <v>6289</v>
      </c>
      <c r="E1704" s="18" t="s">
        <v>1451</v>
      </c>
      <c r="F1704" s="22"/>
      <c r="G1704" s="17" t="s">
        <v>6602</v>
      </c>
      <c r="H1704" s="20" t="s">
        <v>6603</v>
      </c>
      <c r="I1704" s="18" t="s">
        <v>339</v>
      </c>
      <c r="J1704" s="17"/>
      <c r="K1704" s="17"/>
      <c r="L1704" s="17"/>
      <c r="M1704" s="17"/>
      <c r="N1704" s="17"/>
      <c r="O1704" s="17"/>
      <c r="P1704" s="23"/>
      <c r="Q1704" s="17" t="s">
        <v>4756</v>
      </c>
      <c r="R1704" s="17" t="s">
        <v>4756</v>
      </c>
      <c r="S1704" s="11" t="str">
        <f t="shared" si="15"/>
        <v/>
      </c>
      <c r="T1704" s="21"/>
    </row>
    <row r="1705" spans="1:20" x14ac:dyDescent="0.15">
      <c r="A1705" s="34">
        <v>1703</v>
      </c>
      <c r="B1705" s="35" t="s">
        <v>4881</v>
      </c>
      <c r="C1705" s="17" t="s">
        <v>6585</v>
      </c>
      <c r="D1705" s="17" t="s">
        <v>6289</v>
      </c>
      <c r="E1705" s="18" t="s">
        <v>1451</v>
      </c>
      <c r="F1705" s="22"/>
      <c r="G1705" s="17" t="s">
        <v>6604</v>
      </c>
      <c r="H1705" s="20" t="s">
        <v>6605</v>
      </c>
      <c r="I1705" s="18" t="s">
        <v>339</v>
      </c>
      <c r="J1705" s="17"/>
      <c r="K1705" s="17"/>
      <c r="L1705" s="17"/>
      <c r="M1705" s="17"/>
      <c r="N1705" s="17"/>
      <c r="O1705" s="17"/>
      <c r="P1705" s="23"/>
      <c r="Q1705" s="17" t="s">
        <v>4756</v>
      </c>
      <c r="R1705" s="17" t="s">
        <v>4756</v>
      </c>
      <c r="S1705" s="11" t="str">
        <f t="shared" ref="S1705:S1768" si="16">IF(M1705="","",M1705&amp;IF(N1705="","","&amp;br;"&amp;N1705)&amp;IF(O1705="","","&amp;br;"&amp;O1705))</f>
        <v/>
      </c>
    </row>
    <row r="1706" spans="1:20" x14ac:dyDescent="0.15">
      <c r="A1706" s="34">
        <v>1704</v>
      </c>
      <c r="B1706" s="35" t="s">
        <v>4881</v>
      </c>
      <c r="C1706" s="17" t="s">
        <v>6585</v>
      </c>
      <c r="D1706" s="17" t="s">
        <v>6289</v>
      </c>
      <c r="E1706" s="18" t="s">
        <v>1451</v>
      </c>
      <c r="F1706" s="22"/>
      <c r="G1706" s="17" t="s">
        <v>6606</v>
      </c>
      <c r="H1706" s="20" t="s">
        <v>6607</v>
      </c>
      <c r="I1706" s="18" t="s">
        <v>288</v>
      </c>
      <c r="J1706" s="17"/>
      <c r="K1706" s="17"/>
      <c r="L1706" s="17"/>
      <c r="M1706" s="17"/>
      <c r="N1706" s="17"/>
      <c r="O1706" s="17"/>
      <c r="P1706" s="23"/>
      <c r="Q1706" s="17" t="s">
        <v>4756</v>
      </c>
      <c r="R1706" s="17" t="s">
        <v>4756</v>
      </c>
      <c r="S1706" s="11" t="str">
        <f t="shared" si="16"/>
        <v/>
      </c>
    </row>
    <row r="1707" spans="1:20" hidden="1" x14ac:dyDescent="0.15">
      <c r="A1707" s="34">
        <v>1705</v>
      </c>
      <c r="B1707" s="35" t="s">
        <v>4881</v>
      </c>
      <c r="C1707" s="17" t="s">
        <v>6585</v>
      </c>
      <c r="D1707" s="17" t="s">
        <v>6289</v>
      </c>
      <c r="E1707" s="18" t="s">
        <v>1441</v>
      </c>
      <c r="F1707" s="22">
        <v>6</v>
      </c>
      <c r="G1707" s="26" t="s">
        <v>6608</v>
      </c>
      <c r="H1707" s="20" t="s">
        <v>6609</v>
      </c>
      <c r="I1707" s="18" t="s">
        <v>339</v>
      </c>
      <c r="J1707" s="17" t="s">
        <v>7150</v>
      </c>
      <c r="K1707" s="17" t="s">
        <v>7151</v>
      </c>
      <c r="L1707" s="17"/>
      <c r="M1707" s="17" t="s">
        <v>7174</v>
      </c>
      <c r="N1707" s="17" t="s">
        <v>7175</v>
      </c>
      <c r="O1707" s="17" t="s">
        <v>7176</v>
      </c>
      <c r="P1707" s="23"/>
      <c r="Q1707" s="17">
        <v>1</v>
      </c>
      <c r="R1707" s="17">
        <v>1</v>
      </c>
      <c r="S1707" s="11" t="str">
        <f t="shared" si="16"/>
        <v>速攻&amp;br;あなたがライフを失うたび、ボード上に黒か白のジェムが8個以上あった場合、このクリーチャーは+1/+1の修正を受ける。&amp;br;このクリーチャーが破壊されたとき、これの最大タフネスから1を引いた点数のライフを得る。</v>
      </c>
    </row>
    <row r="1708" spans="1:20" hidden="1" x14ac:dyDescent="0.15">
      <c r="A1708" s="34">
        <v>1706</v>
      </c>
      <c r="B1708" s="35" t="s">
        <v>4881</v>
      </c>
      <c r="C1708" s="17" t="s">
        <v>6585</v>
      </c>
      <c r="D1708" s="17" t="s">
        <v>6289</v>
      </c>
      <c r="E1708" s="18" t="s">
        <v>1441</v>
      </c>
      <c r="F1708" s="22">
        <v>11</v>
      </c>
      <c r="G1708" s="26" t="s">
        <v>6610</v>
      </c>
      <c r="H1708" s="20" t="s">
        <v>6611</v>
      </c>
      <c r="I1708" s="18" t="s">
        <v>5598</v>
      </c>
      <c r="J1708" s="17"/>
      <c r="K1708" s="17"/>
      <c r="L1708" s="17"/>
      <c r="M1708" s="17" t="s">
        <v>7189</v>
      </c>
      <c r="N1708" s="17"/>
      <c r="O1708" s="17"/>
      <c r="P1708" s="23"/>
      <c r="Q1708" s="17" t="s">
        <v>4756</v>
      </c>
      <c r="R1708" s="17" t="s">
        <v>4756</v>
      </c>
      <c r="S1708" s="11" t="str">
        <f t="shared" si="16"/>
        <v>パワーが6以上のクリーチャーをすべて破壊する。</v>
      </c>
    </row>
    <row r="1709" spans="1:20" hidden="1" x14ac:dyDescent="0.15">
      <c r="A1709" s="34">
        <v>1707</v>
      </c>
      <c r="B1709" s="35" t="s">
        <v>4881</v>
      </c>
      <c r="C1709" s="17" t="s">
        <v>6585</v>
      </c>
      <c r="D1709" s="17" t="s">
        <v>6289</v>
      </c>
      <c r="E1709" s="18" t="s">
        <v>1441</v>
      </c>
      <c r="F1709" s="22">
        <v>10</v>
      </c>
      <c r="G1709" s="26" t="s">
        <v>6612</v>
      </c>
      <c r="H1709" s="20" t="s">
        <v>6613</v>
      </c>
      <c r="I1709" s="18" t="s">
        <v>288</v>
      </c>
      <c r="J1709" s="17"/>
      <c r="K1709" s="17"/>
      <c r="L1709" s="17"/>
      <c r="M1709" s="17" t="s">
        <v>7187</v>
      </c>
      <c r="N1709" s="17" t="s">
        <v>7188</v>
      </c>
      <c r="O1709" s="17"/>
      <c r="P1709" s="23"/>
      <c r="Q1709" s="17" t="s">
        <v>4756</v>
      </c>
      <c r="R1709" s="17" t="s">
        <v>4756</v>
      </c>
      <c r="S1709" s="11" t="str">
        <f t="shared" si="16"/>
        <v>昇殿&amp;br;このサポートがボード上にある間、あなたのデッキに共通のタイプを持つクリーチャーが3体以上入っている場合、あなたのクリーチャーは+2/+2の修正を受ける。あなたが都市の承認を持っている場合、あなたのクリーチャーは先制攻撃を得る。</v>
      </c>
    </row>
    <row r="1710" spans="1:20" hidden="1" x14ac:dyDescent="0.15">
      <c r="A1710" s="34">
        <v>1708</v>
      </c>
      <c r="B1710" s="35" t="s">
        <v>4881</v>
      </c>
      <c r="C1710" s="17" t="s">
        <v>6585</v>
      </c>
      <c r="D1710" s="17" t="s">
        <v>6289</v>
      </c>
      <c r="E1710" s="18" t="s">
        <v>6614</v>
      </c>
      <c r="F1710" s="22">
        <v>15</v>
      </c>
      <c r="G1710" s="26" t="s">
        <v>6615</v>
      </c>
      <c r="H1710" s="20" t="s">
        <v>6616</v>
      </c>
      <c r="I1710" s="18" t="s">
        <v>339</v>
      </c>
      <c r="J1710" s="17" t="s">
        <v>7106</v>
      </c>
      <c r="K1710" s="17"/>
      <c r="L1710" s="17"/>
      <c r="M1710" s="17" t="s">
        <v>7133</v>
      </c>
      <c r="N1710" s="17" t="s">
        <v>7134</v>
      </c>
      <c r="O1710" s="17"/>
      <c r="P1710" s="23"/>
      <c r="Q1710" s="17">
        <v>7</v>
      </c>
      <c r="R1710" s="17">
        <v>7</v>
      </c>
      <c r="S1710" s="11" t="str">
        <f t="shared" si="16"/>
        <v>激昂：対戦相手がコントロールしている最後のクリーチャーを追放する。&amp;br;このクリーチャーが破壊されたとき、対戦相手は自分のライブラリーから次のクリーチャー・カードを取ってくる。それはいっぱいのマナを得る。</v>
      </c>
    </row>
    <row r="1711" spans="1:20" hidden="1" x14ac:dyDescent="0.15">
      <c r="A1711" s="34">
        <v>1709</v>
      </c>
      <c r="B1711" s="35" t="s">
        <v>4881</v>
      </c>
      <c r="C1711" s="17" t="s">
        <v>6585</v>
      </c>
      <c r="D1711" s="17" t="s">
        <v>6289</v>
      </c>
      <c r="E1711" s="18" t="s">
        <v>6614</v>
      </c>
      <c r="F1711" s="22">
        <v>19</v>
      </c>
      <c r="G1711" s="26" t="s">
        <v>6617</v>
      </c>
      <c r="H1711" s="20" t="s">
        <v>6618</v>
      </c>
      <c r="I1711" s="18" t="s">
        <v>339</v>
      </c>
      <c r="J1711" s="17" t="s">
        <v>7104</v>
      </c>
      <c r="K1711" s="17" t="s">
        <v>7106</v>
      </c>
      <c r="L1711" s="17"/>
      <c r="M1711" s="17" t="s">
        <v>7141</v>
      </c>
      <c r="N1711" s="17" t="s">
        <v>7142</v>
      </c>
      <c r="O1711" s="17"/>
      <c r="P1711" s="23"/>
      <c r="Q1711" s="17">
        <v>4</v>
      </c>
      <c r="R1711" s="17">
        <v>8</v>
      </c>
      <c r="S1711" s="11" t="str">
        <f t="shared" si="16"/>
        <v>警戒　飛行　二段攻撃　トランプル&amp;br;ジェム3個を起動する：あなたの次のターンの開始時まで、ダメージ軽減を得る。</v>
      </c>
    </row>
    <row r="1712" spans="1:20" hidden="1" x14ac:dyDescent="0.15">
      <c r="A1712" s="34">
        <v>1710</v>
      </c>
      <c r="B1712" s="35" t="s">
        <v>4881</v>
      </c>
      <c r="C1712" s="17" t="s">
        <v>6585</v>
      </c>
      <c r="D1712" s="17" t="s">
        <v>1606</v>
      </c>
      <c r="E1712" s="18" t="s">
        <v>1744</v>
      </c>
      <c r="F1712" s="22"/>
      <c r="G1712" s="17" t="s">
        <v>6619</v>
      </c>
      <c r="H1712" s="20" t="s">
        <v>6620</v>
      </c>
      <c r="I1712" s="18" t="s">
        <v>339</v>
      </c>
      <c r="J1712" s="17"/>
      <c r="K1712" s="17"/>
      <c r="L1712" s="17"/>
      <c r="M1712" s="17"/>
      <c r="N1712" s="17"/>
      <c r="O1712" s="17"/>
      <c r="P1712" s="23"/>
      <c r="Q1712" s="17" t="s">
        <v>4756</v>
      </c>
      <c r="R1712" s="17" t="s">
        <v>4756</v>
      </c>
      <c r="S1712" s="11" t="str">
        <f t="shared" si="16"/>
        <v/>
      </c>
    </row>
    <row r="1713" spans="1:19" hidden="1" x14ac:dyDescent="0.15">
      <c r="A1713" s="34">
        <v>1711</v>
      </c>
      <c r="B1713" s="35" t="s">
        <v>4881</v>
      </c>
      <c r="C1713" s="17" t="s">
        <v>6585</v>
      </c>
      <c r="D1713" s="17" t="s">
        <v>1606</v>
      </c>
      <c r="E1713" s="18" t="s">
        <v>1744</v>
      </c>
      <c r="F1713" s="22"/>
      <c r="G1713" s="17" t="s">
        <v>6621</v>
      </c>
      <c r="H1713" s="20" t="s">
        <v>6622</v>
      </c>
      <c r="I1713" s="18" t="s">
        <v>339</v>
      </c>
      <c r="J1713" s="17"/>
      <c r="K1713" s="17"/>
      <c r="L1713" s="17"/>
      <c r="M1713" s="17"/>
      <c r="N1713" s="17"/>
      <c r="O1713" s="17"/>
      <c r="P1713" s="23"/>
      <c r="Q1713" s="17" t="s">
        <v>4756</v>
      </c>
      <c r="R1713" s="17" t="s">
        <v>4756</v>
      </c>
      <c r="S1713" s="11" t="str">
        <f t="shared" si="16"/>
        <v/>
      </c>
    </row>
    <row r="1714" spans="1:19" hidden="1" x14ac:dyDescent="0.15">
      <c r="A1714" s="34">
        <v>1712</v>
      </c>
      <c r="B1714" s="35" t="s">
        <v>4881</v>
      </c>
      <c r="C1714" s="17" t="s">
        <v>6585</v>
      </c>
      <c r="D1714" s="17" t="s">
        <v>1606</v>
      </c>
      <c r="E1714" s="18" t="s">
        <v>1744</v>
      </c>
      <c r="F1714" s="22"/>
      <c r="G1714" s="17" t="s">
        <v>6623</v>
      </c>
      <c r="H1714" s="20" t="s">
        <v>6624</v>
      </c>
      <c r="I1714" s="18" t="s">
        <v>339</v>
      </c>
      <c r="J1714" s="17"/>
      <c r="K1714" s="17"/>
      <c r="L1714" s="17"/>
      <c r="M1714" s="17"/>
      <c r="N1714" s="17"/>
      <c r="O1714" s="17"/>
      <c r="P1714" s="23"/>
      <c r="Q1714" s="17" t="s">
        <v>4756</v>
      </c>
      <c r="R1714" s="17" t="s">
        <v>4756</v>
      </c>
      <c r="S1714" s="11" t="str">
        <f t="shared" si="16"/>
        <v/>
      </c>
    </row>
    <row r="1715" spans="1:19" hidden="1" x14ac:dyDescent="0.15">
      <c r="A1715" s="34">
        <v>1713</v>
      </c>
      <c r="B1715" s="35" t="s">
        <v>4881</v>
      </c>
      <c r="C1715" s="17" t="s">
        <v>6585</v>
      </c>
      <c r="D1715" s="17" t="s">
        <v>1606</v>
      </c>
      <c r="E1715" s="18" t="s">
        <v>1744</v>
      </c>
      <c r="F1715" s="22"/>
      <c r="G1715" s="17" t="s">
        <v>6625</v>
      </c>
      <c r="H1715" s="20" t="s">
        <v>6626</v>
      </c>
      <c r="I1715" s="18" t="s">
        <v>339</v>
      </c>
      <c r="J1715" s="17"/>
      <c r="K1715" s="17"/>
      <c r="L1715" s="17"/>
      <c r="M1715" s="17"/>
      <c r="N1715" s="17"/>
      <c r="O1715" s="17"/>
      <c r="P1715" s="23"/>
      <c r="Q1715" s="17" t="s">
        <v>4756</v>
      </c>
      <c r="R1715" s="17" t="s">
        <v>4756</v>
      </c>
      <c r="S1715" s="11" t="str">
        <f t="shared" si="16"/>
        <v/>
      </c>
    </row>
    <row r="1716" spans="1:19" hidden="1" x14ac:dyDescent="0.15">
      <c r="A1716" s="34">
        <v>1714</v>
      </c>
      <c r="B1716" s="35" t="s">
        <v>4881</v>
      </c>
      <c r="C1716" s="17" t="s">
        <v>6585</v>
      </c>
      <c r="D1716" s="17" t="s">
        <v>1606</v>
      </c>
      <c r="E1716" s="18" t="s">
        <v>1744</v>
      </c>
      <c r="F1716" s="22"/>
      <c r="G1716" s="17" t="s">
        <v>6627</v>
      </c>
      <c r="H1716" s="20" t="s">
        <v>6628</v>
      </c>
      <c r="I1716" s="18" t="s">
        <v>339</v>
      </c>
      <c r="J1716" s="17"/>
      <c r="K1716" s="17"/>
      <c r="L1716" s="17"/>
      <c r="M1716" s="17"/>
      <c r="N1716" s="17"/>
      <c r="O1716" s="17"/>
      <c r="P1716" s="23"/>
      <c r="Q1716" s="17" t="s">
        <v>4756</v>
      </c>
      <c r="R1716" s="17" t="s">
        <v>4756</v>
      </c>
      <c r="S1716" s="11" t="str">
        <f t="shared" si="16"/>
        <v/>
      </c>
    </row>
    <row r="1717" spans="1:19" hidden="1" x14ac:dyDescent="0.15">
      <c r="A1717" s="34">
        <v>1715</v>
      </c>
      <c r="B1717" s="35" t="s">
        <v>4881</v>
      </c>
      <c r="C1717" s="17" t="s">
        <v>6585</v>
      </c>
      <c r="D1717" s="17" t="s">
        <v>1606</v>
      </c>
      <c r="E1717" s="18" t="s">
        <v>1744</v>
      </c>
      <c r="F1717" s="22"/>
      <c r="G1717" s="17" t="s">
        <v>6629</v>
      </c>
      <c r="H1717" s="20" t="s">
        <v>6630</v>
      </c>
      <c r="I1717" s="18" t="s">
        <v>339</v>
      </c>
      <c r="J1717" s="17"/>
      <c r="K1717" s="17"/>
      <c r="L1717" s="17"/>
      <c r="M1717" s="17"/>
      <c r="N1717" s="17"/>
      <c r="O1717" s="17"/>
      <c r="P1717" s="23"/>
      <c r="Q1717" s="17" t="s">
        <v>4756</v>
      </c>
      <c r="R1717" s="17" t="s">
        <v>4756</v>
      </c>
      <c r="S1717" s="11" t="str">
        <f t="shared" si="16"/>
        <v/>
      </c>
    </row>
    <row r="1718" spans="1:19" hidden="1" x14ac:dyDescent="0.15">
      <c r="A1718" s="34">
        <v>1716</v>
      </c>
      <c r="B1718" s="35" t="s">
        <v>4881</v>
      </c>
      <c r="C1718" s="17" t="s">
        <v>6585</v>
      </c>
      <c r="D1718" s="17" t="s">
        <v>1606</v>
      </c>
      <c r="E1718" s="18" t="s">
        <v>1744</v>
      </c>
      <c r="F1718" s="22"/>
      <c r="G1718" s="17" t="s">
        <v>6631</v>
      </c>
      <c r="H1718" s="20" t="s">
        <v>6632</v>
      </c>
      <c r="I1718" s="18" t="s">
        <v>5598</v>
      </c>
      <c r="J1718" s="17"/>
      <c r="K1718" s="17"/>
      <c r="L1718" s="17"/>
      <c r="M1718" s="17"/>
      <c r="N1718" s="17"/>
      <c r="O1718" s="17"/>
      <c r="P1718" s="23"/>
      <c r="Q1718" s="17" t="s">
        <v>4756</v>
      </c>
      <c r="R1718" s="17" t="s">
        <v>4756</v>
      </c>
      <c r="S1718" s="11" t="str">
        <f t="shared" si="16"/>
        <v/>
      </c>
    </row>
    <row r="1719" spans="1:19" x14ac:dyDescent="0.15">
      <c r="A1719" s="34">
        <v>1717</v>
      </c>
      <c r="B1719" s="35" t="s">
        <v>4881</v>
      </c>
      <c r="C1719" s="17" t="s">
        <v>6585</v>
      </c>
      <c r="D1719" s="17" t="s">
        <v>1606</v>
      </c>
      <c r="E1719" s="18" t="s">
        <v>1451</v>
      </c>
      <c r="F1719" s="22"/>
      <c r="G1719" s="17" t="s">
        <v>6633</v>
      </c>
      <c r="H1719" s="20" t="s">
        <v>6634</v>
      </c>
      <c r="I1719" s="18" t="s">
        <v>5598</v>
      </c>
      <c r="J1719" s="17"/>
      <c r="K1719" s="17"/>
      <c r="L1719" s="17"/>
      <c r="M1719" s="17"/>
      <c r="N1719" s="17"/>
      <c r="O1719" s="17"/>
      <c r="P1719" s="23"/>
      <c r="Q1719" s="17" t="s">
        <v>4756</v>
      </c>
      <c r="R1719" s="17" t="s">
        <v>4756</v>
      </c>
      <c r="S1719" s="11" t="str">
        <f t="shared" si="16"/>
        <v/>
      </c>
    </row>
    <row r="1720" spans="1:19" x14ac:dyDescent="0.15">
      <c r="A1720" s="34">
        <v>1718</v>
      </c>
      <c r="B1720" s="35" t="s">
        <v>4881</v>
      </c>
      <c r="C1720" s="17" t="s">
        <v>6585</v>
      </c>
      <c r="D1720" s="17" t="s">
        <v>1606</v>
      </c>
      <c r="E1720" s="18" t="s">
        <v>1451</v>
      </c>
      <c r="F1720" s="22"/>
      <c r="G1720" s="17" t="s">
        <v>6635</v>
      </c>
      <c r="H1720" s="20" t="s">
        <v>6636</v>
      </c>
      <c r="I1720" s="18" t="s">
        <v>5598</v>
      </c>
      <c r="J1720" s="17"/>
      <c r="K1720" s="17"/>
      <c r="L1720" s="17"/>
      <c r="M1720" s="17"/>
      <c r="N1720" s="17"/>
      <c r="O1720" s="17"/>
      <c r="P1720" s="23"/>
      <c r="Q1720" s="17" t="s">
        <v>4756</v>
      </c>
      <c r="R1720" s="17" t="s">
        <v>4756</v>
      </c>
      <c r="S1720" s="11" t="str">
        <f t="shared" si="16"/>
        <v/>
      </c>
    </row>
    <row r="1721" spans="1:19" x14ac:dyDescent="0.15">
      <c r="A1721" s="34">
        <v>1719</v>
      </c>
      <c r="B1721" s="35" t="s">
        <v>4881</v>
      </c>
      <c r="C1721" s="17" t="s">
        <v>6585</v>
      </c>
      <c r="D1721" s="17" t="s">
        <v>1606</v>
      </c>
      <c r="E1721" s="18" t="s">
        <v>1451</v>
      </c>
      <c r="F1721" s="22"/>
      <c r="G1721" s="17" t="s">
        <v>6637</v>
      </c>
      <c r="H1721" s="20" t="s">
        <v>6638</v>
      </c>
      <c r="I1721" s="18" t="s">
        <v>288</v>
      </c>
      <c r="J1721" s="17"/>
      <c r="K1721" s="17"/>
      <c r="L1721" s="17"/>
      <c r="M1721" s="17"/>
      <c r="N1721" s="17"/>
      <c r="O1721" s="17"/>
      <c r="P1721" s="23"/>
      <c r="Q1721" s="17" t="s">
        <v>4756</v>
      </c>
      <c r="R1721" s="17" t="s">
        <v>4756</v>
      </c>
      <c r="S1721" s="11" t="str">
        <f t="shared" si="16"/>
        <v/>
      </c>
    </row>
    <row r="1722" spans="1:19" hidden="1" x14ac:dyDescent="0.15">
      <c r="A1722" s="34">
        <v>1720</v>
      </c>
      <c r="B1722" s="35" t="s">
        <v>4881</v>
      </c>
      <c r="C1722" s="17" t="s">
        <v>6585</v>
      </c>
      <c r="D1722" s="17" t="s">
        <v>1606</v>
      </c>
      <c r="E1722" s="18" t="s">
        <v>1441</v>
      </c>
      <c r="F1722" s="22">
        <v>13</v>
      </c>
      <c r="G1722" s="26" t="s">
        <v>6639</v>
      </c>
      <c r="H1722" s="20" t="s">
        <v>6640</v>
      </c>
      <c r="I1722" s="18" t="s">
        <v>339</v>
      </c>
      <c r="J1722" s="17" t="s">
        <v>7192</v>
      </c>
      <c r="K1722" s="17" t="s">
        <v>7195</v>
      </c>
      <c r="L1722" s="17"/>
      <c r="M1722" s="17" t="s">
        <v>7196</v>
      </c>
      <c r="N1722" s="17" t="s">
        <v>7197</v>
      </c>
      <c r="O1722" s="17"/>
      <c r="P1722" s="23"/>
      <c r="Q1722" s="17">
        <v>4</v>
      </c>
      <c r="R1722" s="17">
        <v>3</v>
      </c>
      <c r="S1722" s="11" t="str">
        <f t="shared" si="16"/>
        <v>飛行&amp;br;このクリーチャーが攻撃するたび、ターン終了時まで、対戦相手の最初のクリーチャーは-10/-0の修正を受けるとともに常設能力をすべて失う。</v>
      </c>
    </row>
    <row r="1723" spans="1:19" hidden="1" x14ac:dyDescent="0.15">
      <c r="A1723" s="34">
        <v>1721</v>
      </c>
      <c r="B1723" s="35" t="s">
        <v>4881</v>
      </c>
      <c r="C1723" s="17" t="s">
        <v>6585</v>
      </c>
      <c r="D1723" s="17" t="s">
        <v>1606</v>
      </c>
      <c r="E1723" s="18" t="s">
        <v>1441</v>
      </c>
      <c r="F1723" s="22">
        <v>7</v>
      </c>
      <c r="G1723" s="26" t="s">
        <v>6641</v>
      </c>
      <c r="H1723" s="20" t="s">
        <v>6642</v>
      </c>
      <c r="I1723" s="18" t="s">
        <v>5598</v>
      </c>
      <c r="J1723" s="17"/>
      <c r="K1723" s="17"/>
      <c r="L1723" s="17"/>
      <c r="M1723" s="17" t="s">
        <v>7143</v>
      </c>
      <c r="N1723" s="17"/>
      <c r="O1723" s="17"/>
      <c r="P1723" s="23"/>
      <c r="Q1723" s="17" t="s">
        <v>4756</v>
      </c>
      <c r="R1723" s="17" t="s">
        <v>4756</v>
      </c>
      <c r="S1723" s="11" t="str">
        <f t="shared" si="16"/>
        <v>対戦相手の手札の最初の呪文からすべてのマナを吸収する。あなたが強襲していた場合、9マナを得る。</v>
      </c>
    </row>
    <row r="1724" spans="1:19" hidden="1" x14ac:dyDescent="0.15">
      <c r="A1724" s="34">
        <v>1722</v>
      </c>
      <c r="B1724" s="35" t="s">
        <v>4881</v>
      </c>
      <c r="C1724" s="17" t="s">
        <v>6585</v>
      </c>
      <c r="D1724" s="17" t="s">
        <v>1606</v>
      </c>
      <c r="E1724" s="18" t="s">
        <v>1441</v>
      </c>
      <c r="F1724" s="22">
        <v>9</v>
      </c>
      <c r="G1724" s="26" t="s">
        <v>6643</v>
      </c>
      <c r="H1724" s="20" t="s">
        <v>6644</v>
      </c>
      <c r="I1724" s="18" t="s">
        <v>288</v>
      </c>
      <c r="J1724" s="17"/>
      <c r="K1724" s="17"/>
      <c r="L1724" s="17"/>
      <c r="M1724" s="17" t="s">
        <v>7145</v>
      </c>
      <c r="N1724" s="17" t="s">
        <v>7173</v>
      </c>
      <c r="O1724" s="17"/>
      <c r="P1724" s="23"/>
      <c r="Q1724" s="17" t="s">
        <v>4756</v>
      </c>
      <c r="R1724" s="17" t="s">
        <v>4756</v>
      </c>
      <c r="S1724" s="11" t="str">
        <f t="shared" si="16"/>
        <v>昇殿&amp;br;このサポートがボード上にある間、あなたのターン開始時に、各プレイヤーはそれぞれカードを1枚引く。あなたが都市の承認を持っている場合、代わりに、あなたのみがカードを1枚引き、そのカードは2マナを得る。</v>
      </c>
    </row>
    <row r="1725" spans="1:19" hidden="1" x14ac:dyDescent="0.15">
      <c r="A1725" s="34">
        <v>1723</v>
      </c>
      <c r="B1725" s="35" t="s">
        <v>4881</v>
      </c>
      <c r="C1725" s="17" t="s">
        <v>6585</v>
      </c>
      <c r="D1725" s="17" t="s">
        <v>1606</v>
      </c>
      <c r="E1725" s="18" t="s">
        <v>6614</v>
      </c>
      <c r="F1725" s="22">
        <v>17</v>
      </c>
      <c r="G1725" s="26" t="s">
        <v>6645</v>
      </c>
      <c r="H1725" s="20" t="s">
        <v>6646</v>
      </c>
      <c r="I1725" s="18" t="s">
        <v>339</v>
      </c>
      <c r="J1725" s="17" t="s">
        <v>7104</v>
      </c>
      <c r="K1725" s="17" t="s">
        <v>7106</v>
      </c>
      <c r="L1725" s="17"/>
      <c r="M1725" s="17" t="s">
        <v>7115</v>
      </c>
      <c r="N1725" s="17" t="s">
        <v>7116</v>
      </c>
      <c r="O1725" s="17" t="s">
        <v>7117</v>
      </c>
      <c r="P1725" s="23"/>
      <c r="Q1725" s="17">
        <v>7</v>
      </c>
      <c r="R1725" s="17">
        <v>7</v>
      </c>
      <c r="S1725" s="11" t="str">
        <f t="shared" si="16"/>
        <v>これのマナを吸収したりマナ・コストを多くしたりできない。&amp;br;対戦相手が呪文かサポートを唱えるたび、カードを1枚引く。&amp;br;ジェム2個を起動する：カードを1枚捨てる。あなたの次のターン開始時まで、原初の潮流、ネザールは呪禁を得る。</v>
      </c>
    </row>
    <row r="1726" spans="1:19" hidden="1" x14ac:dyDescent="0.15">
      <c r="A1726" s="34">
        <v>1724</v>
      </c>
      <c r="B1726" s="35" t="s">
        <v>4881</v>
      </c>
      <c r="C1726" s="17" t="s">
        <v>6585</v>
      </c>
      <c r="D1726" s="17" t="s">
        <v>1606</v>
      </c>
      <c r="E1726" s="18" t="s">
        <v>6614</v>
      </c>
      <c r="F1726" s="22">
        <v>13</v>
      </c>
      <c r="G1726" s="26" t="s">
        <v>6647</v>
      </c>
      <c r="H1726" s="20" t="s">
        <v>6648</v>
      </c>
      <c r="I1726" s="18" t="s">
        <v>339</v>
      </c>
      <c r="J1726" s="17" t="s">
        <v>7129</v>
      </c>
      <c r="K1726" s="17" t="s">
        <v>7130</v>
      </c>
      <c r="L1726" s="17" t="s">
        <v>7131</v>
      </c>
      <c r="M1726" s="17" t="s">
        <v>7122</v>
      </c>
      <c r="N1726" s="17" t="s">
        <v>7132</v>
      </c>
      <c r="O1726" s="17"/>
      <c r="P1726" s="23"/>
      <c r="Q1726" s="17">
        <v>5</v>
      </c>
      <c r="R1726" s="17">
        <v>5</v>
      </c>
      <c r="S1726" s="11" t="str">
        <f t="shared" si="16"/>
        <v>昇殿&amp;br;ジェム2個を起動する：あなたが都市の承認を持っている場合、1回の追加入れ替えを得る。</v>
      </c>
    </row>
    <row r="1727" spans="1:19" hidden="1" x14ac:dyDescent="0.15">
      <c r="A1727" s="34">
        <v>1725</v>
      </c>
      <c r="B1727" s="35" t="s">
        <v>4881</v>
      </c>
      <c r="C1727" s="17" t="s">
        <v>6585</v>
      </c>
      <c r="D1727" s="17" t="s">
        <v>1582</v>
      </c>
      <c r="E1727" s="18" t="s">
        <v>1744</v>
      </c>
      <c r="F1727" s="22"/>
      <c r="G1727" s="17" t="s">
        <v>6649</v>
      </c>
      <c r="H1727" s="20" t="s">
        <v>6650</v>
      </c>
      <c r="I1727" s="18" t="s">
        <v>339</v>
      </c>
      <c r="J1727" s="17"/>
      <c r="K1727" s="17"/>
      <c r="L1727" s="17"/>
      <c r="M1727" s="17"/>
      <c r="N1727" s="17"/>
      <c r="O1727" s="17"/>
      <c r="P1727" s="23"/>
      <c r="Q1727" s="17" t="s">
        <v>4756</v>
      </c>
      <c r="R1727" s="17" t="s">
        <v>4756</v>
      </c>
      <c r="S1727" s="11" t="str">
        <f t="shared" si="16"/>
        <v/>
      </c>
    </row>
    <row r="1728" spans="1:19" hidden="1" x14ac:dyDescent="0.15">
      <c r="A1728" s="34">
        <v>1726</v>
      </c>
      <c r="B1728" s="35" t="s">
        <v>4881</v>
      </c>
      <c r="C1728" s="17" t="s">
        <v>6585</v>
      </c>
      <c r="D1728" s="17" t="s">
        <v>1582</v>
      </c>
      <c r="E1728" s="18" t="s">
        <v>1744</v>
      </c>
      <c r="F1728" s="22"/>
      <c r="G1728" s="17" t="s">
        <v>6651</v>
      </c>
      <c r="H1728" s="20" t="s">
        <v>6652</v>
      </c>
      <c r="I1728" s="18" t="s">
        <v>339</v>
      </c>
      <c r="J1728" s="17"/>
      <c r="K1728" s="17"/>
      <c r="L1728" s="17"/>
      <c r="M1728" s="17"/>
      <c r="N1728" s="17"/>
      <c r="O1728" s="17"/>
      <c r="P1728" s="23"/>
      <c r="Q1728" s="17" t="s">
        <v>4756</v>
      </c>
      <c r="R1728" s="17" t="s">
        <v>4756</v>
      </c>
      <c r="S1728" s="11" t="str">
        <f t="shared" si="16"/>
        <v/>
      </c>
    </row>
    <row r="1729" spans="1:19" hidden="1" x14ac:dyDescent="0.15">
      <c r="A1729" s="34">
        <v>1727</v>
      </c>
      <c r="B1729" s="35" t="s">
        <v>4881</v>
      </c>
      <c r="C1729" s="17" t="s">
        <v>6585</v>
      </c>
      <c r="D1729" s="17" t="s">
        <v>1582</v>
      </c>
      <c r="E1729" s="18" t="s">
        <v>1744</v>
      </c>
      <c r="F1729" s="22"/>
      <c r="G1729" s="17" t="s">
        <v>6653</v>
      </c>
      <c r="H1729" s="20" t="s">
        <v>6654</v>
      </c>
      <c r="I1729" s="18" t="s">
        <v>339</v>
      </c>
      <c r="J1729" s="17"/>
      <c r="K1729" s="17"/>
      <c r="L1729" s="17"/>
      <c r="M1729" s="17"/>
      <c r="N1729" s="17"/>
      <c r="O1729" s="17"/>
      <c r="P1729" s="23"/>
      <c r="Q1729" s="17" t="s">
        <v>4756</v>
      </c>
      <c r="R1729" s="17" t="s">
        <v>4756</v>
      </c>
      <c r="S1729" s="11" t="str">
        <f t="shared" si="16"/>
        <v/>
      </c>
    </row>
    <row r="1730" spans="1:19" hidden="1" x14ac:dyDescent="0.15">
      <c r="A1730" s="34">
        <v>1728</v>
      </c>
      <c r="B1730" s="35" t="s">
        <v>4881</v>
      </c>
      <c r="C1730" s="17" t="s">
        <v>6585</v>
      </c>
      <c r="D1730" s="17" t="s">
        <v>1582</v>
      </c>
      <c r="E1730" s="18" t="s">
        <v>1744</v>
      </c>
      <c r="F1730" s="22"/>
      <c r="G1730" s="17" t="s">
        <v>6655</v>
      </c>
      <c r="H1730" s="20" t="s">
        <v>6656</v>
      </c>
      <c r="I1730" s="18" t="s">
        <v>339</v>
      </c>
      <c r="J1730" s="17"/>
      <c r="K1730" s="17"/>
      <c r="L1730" s="17"/>
      <c r="M1730" s="17"/>
      <c r="N1730" s="17"/>
      <c r="O1730" s="17"/>
      <c r="P1730" s="23"/>
      <c r="Q1730" s="17" t="s">
        <v>4756</v>
      </c>
      <c r="R1730" s="17" t="s">
        <v>4756</v>
      </c>
      <c r="S1730" s="11" t="str">
        <f t="shared" si="16"/>
        <v/>
      </c>
    </row>
    <row r="1731" spans="1:19" hidden="1" x14ac:dyDescent="0.15">
      <c r="A1731" s="34">
        <v>1729</v>
      </c>
      <c r="B1731" s="35" t="s">
        <v>4881</v>
      </c>
      <c r="C1731" s="17" t="s">
        <v>6585</v>
      </c>
      <c r="D1731" s="17" t="s">
        <v>1582</v>
      </c>
      <c r="E1731" s="18" t="s">
        <v>1744</v>
      </c>
      <c r="F1731" s="22"/>
      <c r="G1731" s="17" t="s">
        <v>6657</v>
      </c>
      <c r="H1731" s="20" t="s">
        <v>6658</v>
      </c>
      <c r="I1731" s="18" t="s">
        <v>339</v>
      </c>
      <c r="J1731" s="17"/>
      <c r="K1731" s="17"/>
      <c r="L1731" s="17"/>
      <c r="M1731" s="17"/>
      <c r="N1731" s="17"/>
      <c r="O1731" s="17"/>
      <c r="P1731" s="23"/>
      <c r="Q1731" s="17" t="s">
        <v>4756</v>
      </c>
      <c r="R1731" s="17" t="s">
        <v>4756</v>
      </c>
      <c r="S1731" s="11" t="str">
        <f t="shared" si="16"/>
        <v/>
      </c>
    </row>
    <row r="1732" spans="1:19" hidden="1" x14ac:dyDescent="0.15">
      <c r="A1732" s="34">
        <v>1730</v>
      </c>
      <c r="B1732" s="35" t="s">
        <v>4881</v>
      </c>
      <c r="C1732" s="17" t="s">
        <v>6585</v>
      </c>
      <c r="D1732" s="17" t="s">
        <v>1582</v>
      </c>
      <c r="E1732" s="18" t="s">
        <v>1744</v>
      </c>
      <c r="F1732" s="22"/>
      <c r="G1732" s="17" t="s">
        <v>6659</v>
      </c>
      <c r="H1732" s="20" t="s">
        <v>6660</v>
      </c>
      <c r="I1732" s="18" t="s">
        <v>339</v>
      </c>
      <c r="J1732" s="17"/>
      <c r="K1732" s="17"/>
      <c r="L1732" s="17"/>
      <c r="M1732" s="17"/>
      <c r="N1732" s="17"/>
      <c r="O1732" s="17"/>
      <c r="P1732" s="23"/>
      <c r="Q1732" s="17" t="s">
        <v>4756</v>
      </c>
      <c r="R1732" s="17" t="s">
        <v>4756</v>
      </c>
      <c r="S1732" s="11" t="str">
        <f t="shared" si="16"/>
        <v/>
      </c>
    </row>
    <row r="1733" spans="1:19" hidden="1" x14ac:dyDescent="0.15">
      <c r="A1733" s="34">
        <v>1731</v>
      </c>
      <c r="B1733" s="35" t="s">
        <v>4881</v>
      </c>
      <c r="C1733" s="17" t="s">
        <v>6585</v>
      </c>
      <c r="D1733" s="17" t="s">
        <v>1582</v>
      </c>
      <c r="E1733" s="18" t="s">
        <v>1744</v>
      </c>
      <c r="F1733" s="22"/>
      <c r="G1733" s="17" t="s">
        <v>6661</v>
      </c>
      <c r="H1733" s="20" t="s">
        <v>6662</v>
      </c>
      <c r="I1733" s="18" t="s">
        <v>288</v>
      </c>
      <c r="J1733" s="17"/>
      <c r="K1733" s="17"/>
      <c r="L1733" s="17"/>
      <c r="M1733" s="17"/>
      <c r="N1733" s="17"/>
      <c r="O1733" s="17"/>
      <c r="P1733" s="23"/>
      <c r="Q1733" s="17" t="s">
        <v>4756</v>
      </c>
      <c r="R1733" s="17" t="s">
        <v>4756</v>
      </c>
      <c r="S1733" s="11" t="str">
        <f t="shared" si="16"/>
        <v/>
      </c>
    </row>
    <row r="1734" spans="1:19" x14ac:dyDescent="0.15">
      <c r="A1734" s="34">
        <v>1732</v>
      </c>
      <c r="B1734" s="35" t="s">
        <v>4881</v>
      </c>
      <c r="C1734" s="17" t="s">
        <v>6585</v>
      </c>
      <c r="D1734" s="17" t="s">
        <v>1582</v>
      </c>
      <c r="E1734" s="18" t="s">
        <v>1451</v>
      </c>
      <c r="F1734" s="22"/>
      <c r="G1734" s="17" t="s">
        <v>6663</v>
      </c>
      <c r="H1734" s="20" t="s">
        <v>6664</v>
      </c>
      <c r="I1734" s="18" t="s">
        <v>339</v>
      </c>
      <c r="J1734" s="17"/>
      <c r="K1734" s="17"/>
      <c r="L1734" s="17"/>
      <c r="M1734" s="17"/>
      <c r="N1734" s="17"/>
      <c r="O1734" s="17"/>
      <c r="P1734" s="23"/>
      <c r="Q1734" s="17" t="s">
        <v>4756</v>
      </c>
      <c r="R1734" s="17" t="s">
        <v>4756</v>
      </c>
      <c r="S1734" s="11" t="str">
        <f t="shared" si="16"/>
        <v/>
      </c>
    </row>
    <row r="1735" spans="1:19" x14ac:dyDescent="0.15">
      <c r="A1735" s="34">
        <v>1733</v>
      </c>
      <c r="B1735" s="35" t="s">
        <v>4881</v>
      </c>
      <c r="C1735" s="17" t="s">
        <v>6585</v>
      </c>
      <c r="D1735" s="17" t="s">
        <v>1582</v>
      </c>
      <c r="E1735" s="18" t="s">
        <v>1451</v>
      </c>
      <c r="F1735" s="22"/>
      <c r="G1735" s="17" t="s">
        <v>6665</v>
      </c>
      <c r="H1735" s="20" t="s">
        <v>6666</v>
      </c>
      <c r="I1735" s="18" t="s">
        <v>339</v>
      </c>
      <c r="J1735" s="17"/>
      <c r="K1735" s="17"/>
      <c r="L1735" s="17"/>
      <c r="M1735" s="17"/>
      <c r="N1735" s="17"/>
      <c r="O1735" s="17"/>
      <c r="P1735" s="23"/>
      <c r="Q1735" s="17" t="s">
        <v>4756</v>
      </c>
      <c r="R1735" s="17" t="s">
        <v>4756</v>
      </c>
      <c r="S1735" s="11" t="str">
        <f t="shared" si="16"/>
        <v/>
      </c>
    </row>
    <row r="1736" spans="1:19" x14ac:dyDescent="0.15">
      <c r="A1736" s="34">
        <v>1734</v>
      </c>
      <c r="B1736" s="35" t="s">
        <v>4881</v>
      </c>
      <c r="C1736" s="17" t="s">
        <v>6585</v>
      </c>
      <c r="D1736" s="17" t="s">
        <v>1582</v>
      </c>
      <c r="E1736" s="18" t="s">
        <v>1451</v>
      </c>
      <c r="F1736" s="22"/>
      <c r="G1736" s="17" t="s">
        <v>6667</v>
      </c>
      <c r="H1736" s="20" t="s">
        <v>6668</v>
      </c>
      <c r="I1736" s="18" t="s">
        <v>5598</v>
      </c>
      <c r="J1736" s="17"/>
      <c r="K1736" s="17"/>
      <c r="L1736" s="17"/>
      <c r="M1736" s="17"/>
      <c r="N1736" s="17"/>
      <c r="O1736" s="17"/>
      <c r="P1736" s="23"/>
      <c r="Q1736" s="17" t="s">
        <v>4756</v>
      </c>
      <c r="R1736" s="17" t="s">
        <v>4756</v>
      </c>
      <c r="S1736" s="11" t="str">
        <f t="shared" si="16"/>
        <v/>
      </c>
    </row>
    <row r="1737" spans="1:19" x14ac:dyDescent="0.15">
      <c r="A1737" s="34">
        <v>1735</v>
      </c>
      <c r="B1737" s="35" t="s">
        <v>4881</v>
      </c>
      <c r="C1737" s="17" t="s">
        <v>6585</v>
      </c>
      <c r="D1737" s="17" t="s">
        <v>1582</v>
      </c>
      <c r="E1737" s="18" t="s">
        <v>1451</v>
      </c>
      <c r="F1737" s="22"/>
      <c r="G1737" s="17" t="s">
        <v>6669</v>
      </c>
      <c r="H1737" s="20" t="s">
        <v>6670</v>
      </c>
      <c r="I1737" s="18" t="s">
        <v>5598</v>
      </c>
      <c r="J1737" s="17"/>
      <c r="K1737" s="17"/>
      <c r="L1737" s="17"/>
      <c r="M1737" s="17"/>
      <c r="N1737" s="17"/>
      <c r="O1737" s="17"/>
      <c r="P1737" s="23"/>
      <c r="Q1737" s="17" t="s">
        <v>4756</v>
      </c>
      <c r="R1737" s="17" t="s">
        <v>4756</v>
      </c>
      <c r="S1737" s="11" t="str">
        <f t="shared" si="16"/>
        <v/>
      </c>
    </row>
    <row r="1738" spans="1:19" hidden="1" x14ac:dyDescent="0.15">
      <c r="A1738" s="34">
        <v>1736</v>
      </c>
      <c r="B1738" s="35" t="s">
        <v>4881</v>
      </c>
      <c r="C1738" s="17" t="s">
        <v>6585</v>
      </c>
      <c r="D1738" s="17" t="s">
        <v>1582</v>
      </c>
      <c r="E1738" s="18" t="s">
        <v>1441</v>
      </c>
      <c r="F1738" s="22">
        <v>13</v>
      </c>
      <c r="G1738" s="26" t="s">
        <v>6671</v>
      </c>
      <c r="H1738" s="20" t="s">
        <v>6672</v>
      </c>
      <c r="I1738" s="18" t="s">
        <v>339</v>
      </c>
      <c r="J1738" s="17" t="s">
        <v>7150</v>
      </c>
      <c r="K1738" s="17" t="s">
        <v>7151</v>
      </c>
      <c r="L1738" s="17"/>
      <c r="M1738" s="17" t="s">
        <v>7152</v>
      </c>
      <c r="N1738" s="17"/>
      <c r="O1738" s="17"/>
      <c r="P1738" s="23"/>
      <c r="Q1738" s="17">
        <v>5</v>
      </c>
      <c r="R1738" s="17">
        <v>5</v>
      </c>
      <c r="S1738" s="11" t="str">
        <f t="shared" si="16"/>
        <v>このクリーチャーが戦場に出た時、あなたはカードをX枚引きX点のライフを失う。Xはあなたがコントロールしている吸血鬼の総数に等しい。</v>
      </c>
    </row>
    <row r="1739" spans="1:19" hidden="1" x14ac:dyDescent="0.15">
      <c r="A1739" s="34">
        <v>1737</v>
      </c>
      <c r="B1739" s="35" t="s">
        <v>4881</v>
      </c>
      <c r="C1739" s="17" t="s">
        <v>6585</v>
      </c>
      <c r="D1739" s="17" t="s">
        <v>1582</v>
      </c>
      <c r="E1739" s="18" t="s">
        <v>1441</v>
      </c>
      <c r="F1739" s="22">
        <v>14</v>
      </c>
      <c r="G1739" s="26" t="s">
        <v>6673</v>
      </c>
      <c r="H1739" s="20" t="s">
        <v>6674</v>
      </c>
      <c r="I1739" s="18" t="s">
        <v>339</v>
      </c>
      <c r="J1739" s="17" t="s">
        <v>7155</v>
      </c>
      <c r="K1739" s="17" t="s">
        <v>5746</v>
      </c>
      <c r="L1739" s="17"/>
      <c r="M1739" s="17" t="s">
        <v>7159</v>
      </c>
      <c r="N1739" s="17" t="s">
        <v>7160</v>
      </c>
      <c r="O1739" s="17"/>
      <c r="P1739" s="23"/>
      <c r="Q1739" s="17">
        <v>4</v>
      </c>
      <c r="R1739" s="17">
        <v>4</v>
      </c>
      <c r="S1739" s="11" t="str">
        <f t="shared" si="16"/>
        <v>接死&amp;br;このクリーチャーが戦場に出た時、あなたがコントロールしている海賊1体を対象とする。それは+1/+1の修正を受けるとともに接死とバーサーカーを得る。</v>
      </c>
    </row>
    <row r="1740" spans="1:19" hidden="1" x14ac:dyDescent="0.15">
      <c r="A1740" s="34">
        <v>1738</v>
      </c>
      <c r="B1740" s="35" t="s">
        <v>4881</v>
      </c>
      <c r="C1740" s="17" t="s">
        <v>6585</v>
      </c>
      <c r="D1740" s="17" t="s">
        <v>1582</v>
      </c>
      <c r="E1740" s="18" t="s">
        <v>1441</v>
      </c>
      <c r="F1740" s="22">
        <v>10</v>
      </c>
      <c r="G1740" s="26" t="s">
        <v>6675</v>
      </c>
      <c r="H1740" s="20" t="s">
        <v>6676</v>
      </c>
      <c r="I1740" s="18" t="s">
        <v>5598</v>
      </c>
      <c r="J1740" s="17"/>
      <c r="K1740" s="17"/>
      <c r="L1740" s="17"/>
      <c r="M1740" s="17" t="s">
        <v>7187</v>
      </c>
      <c r="N1740" s="17" t="s">
        <v>7194</v>
      </c>
      <c r="O1740" s="17"/>
      <c r="P1740" s="23"/>
      <c r="Q1740" s="17" t="s">
        <v>4756</v>
      </c>
      <c r="R1740" s="17" t="s">
        <v>4756</v>
      </c>
      <c r="S1740" s="11" t="str">
        <f t="shared" si="16"/>
        <v>昇殿&amp;br;対戦相手の最初のクリーチャーを破壊する。あなたが都市の承認を持っている場合、代わりに対戦相手の最後の2体のクリーチャーを破壊する。</v>
      </c>
    </row>
    <row r="1741" spans="1:19" hidden="1" x14ac:dyDescent="0.15">
      <c r="A1741" s="34">
        <v>1739</v>
      </c>
      <c r="B1741" s="35" t="s">
        <v>4881</v>
      </c>
      <c r="C1741" s="17" t="s">
        <v>6585</v>
      </c>
      <c r="D1741" s="17" t="s">
        <v>1582</v>
      </c>
      <c r="E1741" s="18" t="s">
        <v>6614</v>
      </c>
      <c r="F1741" s="22">
        <v>17</v>
      </c>
      <c r="G1741" s="26" t="s">
        <v>6677</v>
      </c>
      <c r="H1741" s="20" t="s">
        <v>6678</v>
      </c>
      <c r="I1741" s="18" t="s">
        <v>339</v>
      </c>
      <c r="J1741" s="17" t="s">
        <v>7104</v>
      </c>
      <c r="K1741" s="17" t="s">
        <v>7106</v>
      </c>
      <c r="L1741" s="17"/>
      <c r="M1741" s="17" t="s">
        <v>7124</v>
      </c>
      <c r="N1741" s="17" t="s">
        <v>7125</v>
      </c>
      <c r="O1741" s="17" t="s">
        <v>7126</v>
      </c>
      <c r="P1741" s="23"/>
      <c r="Q1741" s="17">
        <v>8</v>
      </c>
      <c r="R1741" s="17">
        <v>8</v>
      </c>
      <c r="S1741" s="11" t="str">
        <f t="shared" si="16"/>
        <v>接死&amp;br;このカードがあなたの手札にある間、あなたのターン終了時に、このカードから2マナを吸収し、対戦相手の最初のクリーチャーは-1/-1の修正を受ける。&amp;br;このクリーチャーが戦場に出た時、対戦相手のクリーチャーは-6/-6の修正を受ける。</v>
      </c>
    </row>
    <row r="1742" spans="1:19" hidden="1" x14ac:dyDescent="0.15">
      <c r="A1742" s="34">
        <v>1740</v>
      </c>
      <c r="B1742" s="35" t="s">
        <v>4881</v>
      </c>
      <c r="C1742" s="17" t="s">
        <v>6585</v>
      </c>
      <c r="D1742" s="17" t="s">
        <v>1582</v>
      </c>
      <c r="E1742" s="18" t="s">
        <v>6614</v>
      </c>
      <c r="F1742" s="22">
        <v>13</v>
      </c>
      <c r="G1742" s="26" t="s">
        <v>6679</v>
      </c>
      <c r="H1742" s="20" t="s">
        <v>6680</v>
      </c>
      <c r="I1742" s="18" t="s">
        <v>339</v>
      </c>
      <c r="J1742" s="17" t="s">
        <v>7099</v>
      </c>
      <c r="K1742" s="17" t="s">
        <v>7135</v>
      </c>
      <c r="L1742" s="17"/>
      <c r="M1742" s="17" t="s">
        <v>7136</v>
      </c>
      <c r="N1742" s="17" t="s">
        <v>7137</v>
      </c>
      <c r="O1742" s="17"/>
      <c r="P1742" s="23"/>
      <c r="Q1742" s="17">
        <v>4</v>
      </c>
      <c r="R1742" s="17">
        <v>6</v>
      </c>
      <c r="S1742" s="11" t="str">
        <f t="shared" si="16"/>
        <v>昇殿　飛行&amp;br;あなたのターン開始時に、あなたが都市の承認を持っている場合、カードを1枚引く。対戦相手はX点のライフを失い、あなたはX点のライフを得る。Xはそのカードのコストの端数を切り捨てた半分に等しい。</v>
      </c>
    </row>
    <row r="1743" spans="1:19" hidden="1" x14ac:dyDescent="0.15">
      <c r="A1743" s="34">
        <v>1741</v>
      </c>
      <c r="B1743" s="35" t="s">
        <v>4881</v>
      </c>
      <c r="C1743" s="17" t="s">
        <v>6585</v>
      </c>
      <c r="D1743" s="17" t="s">
        <v>1552</v>
      </c>
      <c r="E1743" s="18" t="s">
        <v>1744</v>
      </c>
      <c r="F1743" s="22"/>
      <c r="G1743" s="17" t="s">
        <v>6681</v>
      </c>
      <c r="H1743" s="20" t="s">
        <v>6682</v>
      </c>
      <c r="I1743" s="18" t="s">
        <v>339</v>
      </c>
      <c r="J1743" s="17"/>
      <c r="K1743" s="17"/>
      <c r="L1743" s="17"/>
      <c r="M1743" s="17"/>
      <c r="N1743" s="17"/>
      <c r="O1743" s="17"/>
      <c r="P1743" s="23"/>
      <c r="Q1743" s="17" t="s">
        <v>4756</v>
      </c>
      <c r="R1743" s="17" t="s">
        <v>4756</v>
      </c>
      <c r="S1743" s="11" t="str">
        <f t="shared" si="16"/>
        <v/>
      </c>
    </row>
    <row r="1744" spans="1:19" hidden="1" x14ac:dyDescent="0.15">
      <c r="A1744" s="34">
        <v>1742</v>
      </c>
      <c r="B1744" s="35" t="s">
        <v>4881</v>
      </c>
      <c r="C1744" s="17" t="s">
        <v>6585</v>
      </c>
      <c r="D1744" s="17" t="s">
        <v>1552</v>
      </c>
      <c r="E1744" s="18" t="s">
        <v>1744</v>
      </c>
      <c r="F1744" s="22"/>
      <c r="G1744" s="17" t="s">
        <v>6683</v>
      </c>
      <c r="H1744" s="20" t="s">
        <v>6684</v>
      </c>
      <c r="I1744" s="18" t="s">
        <v>339</v>
      </c>
      <c r="J1744" s="17"/>
      <c r="K1744" s="17"/>
      <c r="L1744" s="17"/>
      <c r="M1744" s="17"/>
      <c r="N1744" s="17"/>
      <c r="O1744" s="17"/>
      <c r="P1744" s="23"/>
      <c r="Q1744" s="17" t="s">
        <v>4756</v>
      </c>
      <c r="R1744" s="17" t="s">
        <v>4756</v>
      </c>
      <c r="S1744" s="11" t="str">
        <f t="shared" si="16"/>
        <v/>
      </c>
    </row>
    <row r="1745" spans="1:19" hidden="1" x14ac:dyDescent="0.15">
      <c r="A1745" s="34">
        <v>1743</v>
      </c>
      <c r="B1745" s="35" t="s">
        <v>4881</v>
      </c>
      <c r="C1745" s="17" t="s">
        <v>6585</v>
      </c>
      <c r="D1745" s="17" t="s">
        <v>1552</v>
      </c>
      <c r="E1745" s="18" t="s">
        <v>1744</v>
      </c>
      <c r="F1745" s="22"/>
      <c r="G1745" s="17" t="s">
        <v>6685</v>
      </c>
      <c r="H1745" s="20" t="s">
        <v>6686</v>
      </c>
      <c r="I1745" s="18" t="s">
        <v>339</v>
      </c>
      <c r="J1745" s="17"/>
      <c r="K1745" s="17"/>
      <c r="L1745" s="17"/>
      <c r="M1745" s="17"/>
      <c r="N1745" s="17"/>
      <c r="O1745" s="17"/>
      <c r="P1745" s="23"/>
      <c r="Q1745" s="17" t="s">
        <v>4756</v>
      </c>
      <c r="R1745" s="17" t="s">
        <v>4756</v>
      </c>
      <c r="S1745" s="11" t="str">
        <f t="shared" si="16"/>
        <v/>
      </c>
    </row>
    <row r="1746" spans="1:19" hidden="1" x14ac:dyDescent="0.15">
      <c r="A1746" s="34">
        <v>1744</v>
      </c>
      <c r="B1746" s="35" t="s">
        <v>4881</v>
      </c>
      <c r="C1746" s="17" t="s">
        <v>6585</v>
      </c>
      <c r="D1746" s="17" t="s">
        <v>1552</v>
      </c>
      <c r="E1746" s="18" t="s">
        <v>1744</v>
      </c>
      <c r="F1746" s="22"/>
      <c r="G1746" s="17" t="s">
        <v>6687</v>
      </c>
      <c r="H1746" s="20" t="s">
        <v>6688</v>
      </c>
      <c r="I1746" s="18" t="s">
        <v>339</v>
      </c>
      <c r="J1746" s="17"/>
      <c r="K1746" s="17"/>
      <c r="L1746" s="17"/>
      <c r="M1746" s="17"/>
      <c r="N1746" s="17"/>
      <c r="O1746" s="17"/>
      <c r="P1746" s="23"/>
      <c r="Q1746" s="17" t="s">
        <v>4756</v>
      </c>
      <c r="R1746" s="17" t="s">
        <v>4756</v>
      </c>
      <c r="S1746" s="11" t="str">
        <f t="shared" si="16"/>
        <v/>
      </c>
    </row>
    <row r="1747" spans="1:19" hidden="1" x14ac:dyDescent="0.15">
      <c r="A1747" s="34">
        <v>1745</v>
      </c>
      <c r="B1747" s="35" t="s">
        <v>4881</v>
      </c>
      <c r="C1747" s="17" t="s">
        <v>6585</v>
      </c>
      <c r="D1747" s="17" t="s">
        <v>1552</v>
      </c>
      <c r="E1747" s="18" t="s">
        <v>1744</v>
      </c>
      <c r="F1747" s="22"/>
      <c r="G1747" s="17" t="s">
        <v>6689</v>
      </c>
      <c r="H1747" s="20" t="s">
        <v>6690</v>
      </c>
      <c r="I1747" s="18" t="s">
        <v>339</v>
      </c>
      <c r="J1747" s="17"/>
      <c r="K1747" s="17"/>
      <c r="L1747" s="17"/>
      <c r="M1747" s="17"/>
      <c r="N1747" s="17"/>
      <c r="O1747" s="17"/>
      <c r="P1747" s="23"/>
      <c r="Q1747" s="17" t="s">
        <v>4756</v>
      </c>
      <c r="R1747" s="17" t="s">
        <v>4756</v>
      </c>
      <c r="S1747" s="11" t="str">
        <f t="shared" si="16"/>
        <v/>
      </c>
    </row>
    <row r="1748" spans="1:19" hidden="1" x14ac:dyDescent="0.15">
      <c r="A1748" s="34">
        <v>1746</v>
      </c>
      <c r="B1748" s="35" t="s">
        <v>4881</v>
      </c>
      <c r="C1748" s="17" t="s">
        <v>6585</v>
      </c>
      <c r="D1748" s="17" t="s">
        <v>1552</v>
      </c>
      <c r="E1748" s="18" t="s">
        <v>1744</v>
      </c>
      <c r="F1748" s="22"/>
      <c r="G1748" s="17" t="s">
        <v>6691</v>
      </c>
      <c r="H1748" s="20" t="s">
        <v>6692</v>
      </c>
      <c r="I1748" s="18" t="s">
        <v>5598</v>
      </c>
      <c r="J1748" s="17"/>
      <c r="K1748" s="17"/>
      <c r="L1748" s="17"/>
      <c r="M1748" s="17"/>
      <c r="N1748" s="17"/>
      <c r="O1748" s="17"/>
      <c r="P1748" s="23"/>
      <c r="Q1748" s="17" t="s">
        <v>4756</v>
      </c>
      <c r="R1748" s="17" t="s">
        <v>4756</v>
      </c>
      <c r="S1748" s="11" t="str">
        <f t="shared" si="16"/>
        <v/>
      </c>
    </row>
    <row r="1749" spans="1:19" hidden="1" x14ac:dyDescent="0.15">
      <c r="A1749" s="34">
        <v>1747</v>
      </c>
      <c r="B1749" s="35" t="s">
        <v>4881</v>
      </c>
      <c r="C1749" s="17" t="s">
        <v>6585</v>
      </c>
      <c r="D1749" s="17" t="s">
        <v>1552</v>
      </c>
      <c r="E1749" s="18" t="s">
        <v>1744</v>
      </c>
      <c r="F1749" s="22"/>
      <c r="G1749" s="17" t="s">
        <v>6693</v>
      </c>
      <c r="H1749" s="20" t="s">
        <v>6694</v>
      </c>
      <c r="I1749" s="18" t="s">
        <v>5598</v>
      </c>
      <c r="J1749" s="17"/>
      <c r="K1749" s="17"/>
      <c r="L1749" s="17"/>
      <c r="M1749" s="17"/>
      <c r="N1749" s="17"/>
      <c r="O1749" s="17"/>
      <c r="P1749" s="23"/>
      <c r="Q1749" s="17" t="s">
        <v>4756</v>
      </c>
      <c r="R1749" s="17" t="s">
        <v>4756</v>
      </c>
      <c r="S1749" s="11" t="str">
        <f t="shared" si="16"/>
        <v/>
      </c>
    </row>
    <row r="1750" spans="1:19" x14ac:dyDescent="0.15">
      <c r="A1750" s="34">
        <v>1748</v>
      </c>
      <c r="B1750" s="35" t="s">
        <v>4881</v>
      </c>
      <c r="C1750" s="17" t="s">
        <v>6585</v>
      </c>
      <c r="D1750" s="17" t="s">
        <v>1552</v>
      </c>
      <c r="E1750" s="18" t="s">
        <v>1451</v>
      </c>
      <c r="F1750" s="22"/>
      <c r="G1750" s="17" t="s">
        <v>6695</v>
      </c>
      <c r="H1750" s="20" t="s">
        <v>6696</v>
      </c>
      <c r="I1750" s="18" t="s">
        <v>339</v>
      </c>
      <c r="J1750" s="17"/>
      <c r="K1750" s="17"/>
      <c r="L1750" s="17"/>
      <c r="M1750" s="17"/>
      <c r="N1750" s="17"/>
      <c r="O1750" s="17"/>
      <c r="P1750" s="23"/>
      <c r="Q1750" s="17" t="s">
        <v>4756</v>
      </c>
      <c r="R1750" s="17" t="s">
        <v>4756</v>
      </c>
      <c r="S1750" s="11" t="str">
        <f t="shared" si="16"/>
        <v/>
      </c>
    </row>
    <row r="1751" spans="1:19" x14ac:dyDescent="0.15">
      <c r="A1751" s="34">
        <v>1749</v>
      </c>
      <c r="B1751" s="35" t="s">
        <v>4881</v>
      </c>
      <c r="C1751" s="17" t="s">
        <v>6585</v>
      </c>
      <c r="D1751" s="17" t="s">
        <v>1552</v>
      </c>
      <c r="E1751" s="18" t="s">
        <v>1451</v>
      </c>
      <c r="F1751" s="22"/>
      <c r="G1751" s="17" t="s">
        <v>6697</v>
      </c>
      <c r="H1751" s="20" t="s">
        <v>6698</v>
      </c>
      <c r="I1751" s="18" t="s">
        <v>339</v>
      </c>
      <c r="J1751" s="17"/>
      <c r="K1751" s="17"/>
      <c r="L1751" s="17"/>
      <c r="M1751" s="17"/>
      <c r="N1751" s="17"/>
      <c r="O1751" s="17"/>
      <c r="P1751" s="23"/>
      <c r="Q1751" s="17" t="s">
        <v>4756</v>
      </c>
      <c r="R1751" s="17" t="s">
        <v>4756</v>
      </c>
      <c r="S1751" s="11" t="str">
        <f t="shared" si="16"/>
        <v/>
      </c>
    </row>
    <row r="1752" spans="1:19" x14ac:dyDescent="0.15">
      <c r="A1752" s="34">
        <v>1750</v>
      </c>
      <c r="B1752" s="35" t="s">
        <v>4881</v>
      </c>
      <c r="C1752" s="17" t="s">
        <v>6585</v>
      </c>
      <c r="D1752" s="17" t="s">
        <v>1552</v>
      </c>
      <c r="E1752" s="18" t="s">
        <v>1451</v>
      </c>
      <c r="F1752" s="22"/>
      <c r="G1752" s="17" t="s">
        <v>6699</v>
      </c>
      <c r="H1752" s="20" t="s">
        <v>6700</v>
      </c>
      <c r="I1752" s="18" t="s">
        <v>5598</v>
      </c>
      <c r="J1752" s="17"/>
      <c r="K1752" s="17"/>
      <c r="L1752" s="17"/>
      <c r="M1752" s="17"/>
      <c r="N1752" s="17"/>
      <c r="O1752" s="17"/>
      <c r="P1752" s="23"/>
      <c r="Q1752" s="17" t="s">
        <v>4756</v>
      </c>
      <c r="R1752" s="17" t="s">
        <v>4756</v>
      </c>
      <c r="S1752" s="11" t="str">
        <f t="shared" si="16"/>
        <v/>
      </c>
    </row>
    <row r="1753" spans="1:19" x14ac:dyDescent="0.15">
      <c r="A1753" s="34">
        <v>1751</v>
      </c>
      <c r="B1753" s="35" t="s">
        <v>4881</v>
      </c>
      <c r="C1753" s="17" t="s">
        <v>6585</v>
      </c>
      <c r="D1753" s="17" t="s">
        <v>1552</v>
      </c>
      <c r="E1753" s="18" t="s">
        <v>1451</v>
      </c>
      <c r="F1753" s="22"/>
      <c r="G1753" s="17" t="s">
        <v>6701</v>
      </c>
      <c r="H1753" s="20" t="s">
        <v>6702</v>
      </c>
      <c r="I1753" s="18" t="s">
        <v>5598</v>
      </c>
      <c r="J1753" s="17"/>
      <c r="K1753" s="17"/>
      <c r="L1753" s="17"/>
      <c r="M1753" s="17"/>
      <c r="N1753" s="17"/>
      <c r="O1753" s="17"/>
      <c r="P1753" s="23"/>
      <c r="Q1753" s="17" t="s">
        <v>4756</v>
      </c>
      <c r="R1753" s="17" t="s">
        <v>4756</v>
      </c>
      <c r="S1753" s="11" t="str">
        <f t="shared" si="16"/>
        <v/>
      </c>
    </row>
    <row r="1754" spans="1:19" hidden="1" x14ac:dyDescent="0.15">
      <c r="A1754" s="34">
        <v>1752</v>
      </c>
      <c r="B1754" s="35" t="s">
        <v>4881</v>
      </c>
      <c r="C1754" s="17" t="s">
        <v>6585</v>
      </c>
      <c r="D1754" s="17" t="s">
        <v>1552</v>
      </c>
      <c r="E1754" s="18" t="s">
        <v>1441</v>
      </c>
      <c r="F1754" s="22">
        <v>13</v>
      </c>
      <c r="G1754" s="26" t="s">
        <v>6703</v>
      </c>
      <c r="H1754" s="20" t="s">
        <v>6704</v>
      </c>
      <c r="I1754" s="18" t="s">
        <v>339</v>
      </c>
      <c r="J1754" s="17" t="s">
        <v>7155</v>
      </c>
      <c r="K1754" s="17" t="s">
        <v>7156</v>
      </c>
      <c r="L1754" s="17"/>
      <c r="M1754" s="17" t="s">
        <v>7157</v>
      </c>
      <c r="N1754" s="17" t="s">
        <v>7158</v>
      </c>
      <c r="O1754" s="17"/>
      <c r="P1754" s="23"/>
      <c r="Q1754" s="17">
        <v>4</v>
      </c>
      <c r="R1754" s="17">
        <v>3</v>
      </c>
      <c r="S1754" s="11" t="str">
        <f t="shared" si="16"/>
        <v>先制攻撃&amp;br;このクリーチャーが戦場に出た時、カードを1枚捨て、対戦相手の墓地の最初の呪文をあなたの手札に移動する。それは6マナを得る。</v>
      </c>
    </row>
    <row r="1755" spans="1:19" hidden="1" x14ac:dyDescent="0.15">
      <c r="A1755" s="34">
        <v>1753</v>
      </c>
      <c r="B1755" s="35" t="s">
        <v>4881</v>
      </c>
      <c r="C1755" s="17" t="s">
        <v>6585</v>
      </c>
      <c r="D1755" s="17" t="s">
        <v>1552</v>
      </c>
      <c r="E1755" s="18" t="s">
        <v>1441</v>
      </c>
      <c r="F1755" s="22">
        <v>12</v>
      </c>
      <c r="G1755" s="26" t="s">
        <v>6705</v>
      </c>
      <c r="H1755" s="20" t="s">
        <v>6706</v>
      </c>
      <c r="I1755" s="18" t="s">
        <v>339</v>
      </c>
      <c r="J1755" s="17" t="s">
        <v>7192</v>
      </c>
      <c r="K1755" s="17" t="s">
        <v>7112</v>
      </c>
      <c r="L1755" s="17"/>
      <c r="M1755" s="17" t="s">
        <v>7187</v>
      </c>
      <c r="N1755" s="17" t="s">
        <v>7193</v>
      </c>
      <c r="O1755" s="17"/>
      <c r="P1755" s="23"/>
      <c r="Q1755" s="17">
        <v>4</v>
      </c>
      <c r="R1755" s="17">
        <v>4</v>
      </c>
      <c r="S1755" s="11" t="str">
        <f t="shared" si="16"/>
        <v>昇殿&amp;br;このクリーチャーが攻撃するたび、赤ジェムが8個以上ある場合、速攻と「あなたのターン終了時に、あなたが都市の承認を持っていない場合、このクリーチャーを追放する」を持つ1/1の赤のエレメンタル・トークンを4体生成する。</v>
      </c>
    </row>
    <row r="1756" spans="1:19" hidden="1" x14ac:dyDescent="0.15">
      <c r="A1756" s="34">
        <v>1754</v>
      </c>
      <c r="B1756" s="35" t="s">
        <v>4881</v>
      </c>
      <c r="C1756" s="17" t="s">
        <v>6585</v>
      </c>
      <c r="D1756" s="17" t="s">
        <v>1552</v>
      </c>
      <c r="E1756" s="18" t="s">
        <v>1441</v>
      </c>
      <c r="F1756" s="22">
        <v>12</v>
      </c>
      <c r="G1756" s="26" t="s">
        <v>6707</v>
      </c>
      <c r="H1756" s="20" t="s">
        <v>6708</v>
      </c>
      <c r="I1756" s="18" t="s">
        <v>288</v>
      </c>
      <c r="J1756" s="17"/>
      <c r="K1756" s="17"/>
      <c r="L1756" s="17"/>
      <c r="M1756" s="17" t="s">
        <v>7148</v>
      </c>
      <c r="N1756" s="17" t="s">
        <v>7149</v>
      </c>
      <c r="O1756" s="17"/>
      <c r="P1756" s="23"/>
      <c r="Q1756" s="17" t="s">
        <v>4756</v>
      </c>
      <c r="R1756" s="17" t="s">
        <v>4756</v>
      </c>
      <c r="S1756" s="11" t="str">
        <f t="shared" si="16"/>
        <v>このサポートが1シールドを失ったとき、カードを1枚引く。&amp;br;あなたのターン開始時に、ジェム2個を忠誠ジェムに変換し、すべての土地・サポートは1シールドを失う。</v>
      </c>
    </row>
    <row r="1757" spans="1:19" hidden="1" x14ac:dyDescent="0.15">
      <c r="A1757" s="34">
        <v>1755</v>
      </c>
      <c r="B1757" s="35" t="s">
        <v>4881</v>
      </c>
      <c r="C1757" s="17" t="s">
        <v>6585</v>
      </c>
      <c r="D1757" s="17" t="s">
        <v>1552</v>
      </c>
      <c r="E1757" s="18" t="s">
        <v>6614</v>
      </c>
      <c r="F1757" s="22">
        <v>16</v>
      </c>
      <c r="G1757" s="26" t="s">
        <v>6709</v>
      </c>
      <c r="H1757" s="20" t="s">
        <v>6710</v>
      </c>
      <c r="I1757" s="18" t="s">
        <v>339</v>
      </c>
      <c r="J1757" s="17" t="s">
        <v>7105</v>
      </c>
      <c r="K1757" s="17" t="s">
        <v>7106</v>
      </c>
      <c r="L1757" s="17"/>
      <c r="M1757" s="17" t="s">
        <v>7107</v>
      </c>
      <c r="N1757" s="17" t="s">
        <v>7108</v>
      </c>
      <c r="O1757" s="17"/>
      <c r="P1757" s="23"/>
      <c r="Q1757" s="17">
        <v>6</v>
      </c>
      <c r="R1757" s="17">
        <v>6</v>
      </c>
      <c r="S1757" s="11" t="str">
        <f t="shared" si="16"/>
        <v>速攻&amp;br;このクリーチャーが攻撃するたび、対戦相手のライブラリーの一番上のカードをあなたの手札に移動する。それはいっぱいのマナを得る。</v>
      </c>
    </row>
    <row r="1758" spans="1:19" hidden="1" x14ac:dyDescent="0.15">
      <c r="A1758" s="34">
        <v>1756</v>
      </c>
      <c r="B1758" s="35" t="s">
        <v>4881</v>
      </c>
      <c r="C1758" s="17" t="s">
        <v>6585</v>
      </c>
      <c r="D1758" s="17" t="s">
        <v>1552</v>
      </c>
      <c r="E1758" s="18" t="s">
        <v>6614</v>
      </c>
      <c r="F1758" s="22">
        <v>14</v>
      </c>
      <c r="G1758" s="26" t="s">
        <v>6711</v>
      </c>
      <c r="H1758" s="20" t="s">
        <v>6712</v>
      </c>
      <c r="I1758" s="18" t="s">
        <v>339</v>
      </c>
      <c r="J1758" s="17" t="s">
        <v>7119</v>
      </c>
      <c r="K1758" s="17"/>
      <c r="L1758" s="17"/>
      <c r="M1758" s="17" t="s">
        <v>7096</v>
      </c>
      <c r="N1758" s="17" t="s">
        <v>7120</v>
      </c>
      <c r="O1758" s="17"/>
      <c r="P1758" s="23"/>
      <c r="Q1758" s="17">
        <v>6</v>
      </c>
      <c r="R1758" s="17">
        <v>5</v>
      </c>
      <c r="S1758" s="11" t="str">
        <f t="shared" si="16"/>
        <v>飛行&amp;br;このクリーチャーが死亡した時、「あなたのターン開始時に、このクリーチャーを破壊し、あなたの墓地から再燃するフェニックスを速攻を持った状態で戦場に戻す」を持つ0/1の赤のエレメンタル・トークンを1体生成する。</v>
      </c>
    </row>
    <row r="1759" spans="1:19" hidden="1" x14ac:dyDescent="0.15">
      <c r="A1759" s="34">
        <v>1757</v>
      </c>
      <c r="B1759" s="35" t="s">
        <v>4881</v>
      </c>
      <c r="C1759" s="17" t="s">
        <v>6585</v>
      </c>
      <c r="D1759" s="17" t="s">
        <v>1518</v>
      </c>
      <c r="E1759" s="18" t="s">
        <v>1744</v>
      </c>
      <c r="F1759" s="22"/>
      <c r="G1759" s="17" t="s">
        <v>6713</v>
      </c>
      <c r="H1759" s="20" t="s">
        <v>6714</v>
      </c>
      <c r="I1759" s="18" t="s">
        <v>339</v>
      </c>
      <c r="J1759" s="17"/>
      <c r="K1759" s="17"/>
      <c r="L1759" s="17"/>
      <c r="M1759" s="17"/>
      <c r="N1759" s="17"/>
      <c r="O1759" s="17"/>
      <c r="P1759" s="23"/>
      <c r="Q1759" s="17" t="s">
        <v>4756</v>
      </c>
      <c r="R1759" s="17" t="s">
        <v>4756</v>
      </c>
      <c r="S1759" s="11" t="str">
        <f t="shared" si="16"/>
        <v/>
      </c>
    </row>
    <row r="1760" spans="1:19" hidden="1" x14ac:dyDescent="0.15">
      <c r="A1760" s="34">
        <v>1758</v>
      </c>
      <c r="B1760" s="35" t="s">
        <v>4881</v>
      </c>
      <c r="C1760" s="17" t="s">
        <v>6585</v>
      </c>
      <c r="D1760" s="17" t="s">
        <v>1518</v>
      </c>
      <c r="E1760" s="18" t="s">
        <v>1744</v>
      </c>
      <c r="F1760" s="22"/>
      <c r="G1760" s="17" t="s">
        <v>6715</v>
      </c>
      <c r="H1760" s="20" t="s">
        <v>6716</v>
      </c>
      <c r="I1760" s="18" t="s">
        <v>339</v>
      </c>
      <c r="J1760" s="17"/>
      <c r="K1760" s="17"/>
      <c r="L1760" s="17"/>
      <c r="M1760" s="17"/>
      <c r="N1760" s="17"/>
      <c r="O1760" s="17"/>
      <c r="P1760" s="23"/>
      <c r="Q1760" s="17" t="s">
        <v>4756</v>
      </c>
      <c r="R1760" s="17" t="s">
        <v>4756</v>
      </c>
      <c r="S1760" s="11" t="str">
        <f t="shared" si="16"/>
        <v/>
      </c>
    </row>
    <row r="1761" spans="1:19" hidden="1" x14ac:dyDescent="0.15">
      <c r="A1761" s="34">
        <v>1759</v>
      </c>
      <c r="B1761" s="35" t="s">
        <v>4881</v>
      </c>
      <c r="C1761" s="17" t="s">
        <v>6585</v>
      </c>
      <c r="D1761" s="17" t="s">
        <v>1518</v>
      </c>
      <c r="E1761" s="18" t="s">
        <v>1744</v>
      </c>
      <c r="F1761" s="22"/>
      <c r="G1761" s="17" t="s">
        <v>6717</v>
      </c>
      <c r="H1761" s="20" t="s">
        <v>6718</v>
      </c>
      <c r="I1761" s="18" t="s">
        <v>339</v>
      </c>
      <c r="J1761" s="17"/>
      <c r="K1761" s="17"/>
      <c r="L1761" s="17"/>
      <c r="M1761" s="17"/>
      <c r="N1761" s="17"/>
      <c r="O1761" s="17"/>
      <c r="P1761" s="23"/>
      <c r="Q1761" s="17" t="s">
        <v>4756</v>
      </c>
      <c r="R1761" s="17" t="s">
        <v>4756</v>
      </c>
      <c r="S1761" s="11" t="str">
        <f t="shared" si="16"/>
        <v/>
      </c>
    </row>
    <row r="1762" spans="1:19" hidden="1" x14ac:dyDescent="0.15">
      <c r="A1762" s="34">
        <v>1760</v>
      </c>
      <c r="B1762" s="35" t="s">
        <v>4881</v>
      </c>
      <c r="C1762" s="17" t="s">
        <v>6585</v>
      </c>
      <c r="D1762" s="17" t="s">
        <v>1518</v>
      </c>
      <c r="E1762" s="18" t="s">
        <v>1744</v>
      </c>
      <c r="F1762" s="22"/>
      <c r="G1762" s="17" t="s">
        <v>6719</v>
      </c>
      <c r="H1762" s="20" t="s">
        <v>6720</v>
      </c>
      <c r="I1762" s="18" t="s">
        <v>339</v>
      </c>
      <c r="J1762" s="17"/>
      <c r="K1762" s="17"/>
      <c r="L1762" s="17"/>
      <c r="M1762" s="17"/>
      <c r="N1762" s="17"/>
      <c r="O1762" s="17"/>
      <c r="P1762" s="23"/>
      <c r="Q1762" s="17" t="s">
        <v>4756</v>
      </c>
      <c r="R1762" s="17" t="s">
        <v>4756</v>
      </c>
      <c r="S1762" s="11" t="str">
        <f t="shared" si="16"/>
        <v/>
      </c>
    </row>
    <row r="1763" spans="1:19" hidden="1" x14ac:dyDescent="0.15">
      <c r="A1763" s="34">
        <v>1761</v>
      </c>
      <c r="B1763" s="35" t="s">
        <v>4881</v>
      </c>
      <c r="C1763" s="17" t="s">
        <v>6585</v>
      </c>
      <c r="D1763" s="17" t="s">
        <v>1518</v>
      </c>
      <c r="E1763" s="18" t="s">
        <v>1744</v>
      </c>
      <c r="F1763" s="22"/>
      <c r="G1763" s="17" t="s">
        <v>6721</v>
      </c>
      <c r="H1763" s="20" t="s">
        <v>6722</v>
      </c>
      <c r="I1763" s="18" t="s">
        <v>339</v>
      </c>
      <c r="J1763" s="17"/>
      <c r="K1763" s="17"/>
      <c r="L1763" s="17"/>
      <c r="M1763" s="17"/>
      <c r="N1763" s="17"/>
      <c r="O1763" s="17"/>
      <c r="P1763" s="23"/>
      <c r="Q1763" s="17" t="s">
        <v>4756</v>
      </c>
      <c r="R1763" s="17" t="s">
        <v>4756</v>
      </c>
      <c r="S1763" s="11" t="str">
        <f t="shared" si="16"/>
        <v/>
      </c>
    </row>
    <row r="1764" spans="1:19" hidden="1" x14ac:dyDescent="0.15">
      <c r="A1764" s="34">
        <v>1762</v>
      </c>
      <c r="B1764" s="35" t="s">
        <v>4881</v>
      </c>
      <c r="C1764" s="17" t="s">
        <v>6585</v>
      </c>
      <c r="D1764" s="17" t="s">
        <v>1518</v>
      </c>
      <c r="E1764" s="18" t="s">
        <v>1744</v>
      </c>
      <c r="F1764" s="22"/>
      <c r="G1764" s="17" t="s">
        <v>6723</v>
      </c>
      <c r="H1764" s="20" t="s">
        <v>6724</v>
      </c>
      <c r="I1764" s="18" t="s">
        <v>5598</v>
      </c>
      <c r="J1764" s="17"/>
      <c r="K1764" s="17"/>
      <c r="L1764" s="17"/>
      <c r="M1764" s="17"/>
      <c r="N1764" s="17"/>
      <c r="O1764" s="17"/>
      <c r="P1764" s="23"/>
      <c r="Q1764" s="17" t="s">
        <v>4756</v>
      </c>
      <c r="R1764" s="17" t="s">
        <v>4756</v>
      </c>
      <c r="S1764" s="11" t="str">
        <f t="shared" si="16"/>
        <v/>
      </c>
    </row>
    <row r="1765" spans="1:19" hidden="1" x14ac:dyDescent="0.15">
      <c r="A1765" s="34">
        <v>1763</v>
      </c>
      <c r="B1765" s="35" t="s">
        <v>4881</v>
      </c>
      <c r="C1765" s="17" t="s">
        <v>6585</v>
      </c>
      <c r="D1765" s="17" t="s">
        <v>1518</v>
      </c>
      <c r="E1765" s="18" t="s">
        <v>1744</v>
      </c>
      <c r="F1765" s="22"/>
      <c r="G1765" s="17" t="s">
        <v>6725</v>
      </c>
      <c r="H1765" s="20" t="s">
        <v>6726</v>
      </c>
      <c r="I1765" s="18" t="s">
        <v>5598</v>
      </c>
      <c r="J1765" s="17"/>
      <c r="K1765" s="17"/>
      <c r="L1765" s="17"/>
      <c r="M1765" s="17"/>
      <c r="N1765" s="17"/>
      <c r="O1765" s="17"/>
      <c r="P1765" s="23"/>
      <c r="Q1765" s="17" t="s">
        <v>4756</v>
      </c>
      <c r="R1765" s="17" t="s">
        <v>4756</v>
      </c>
      <c r="S1765" s="11" t="str">
        <f t="shared" si="16"/>
        <v/>
      </c>
    </row>
    <row r="1766" spans="1:19" x14ac:dyDescent="0.15">
      <c r="A1766" s="34">
        <v>1764</v>
      </c>
      <c r="B1766" s="35" t="s">
        <v>4881</v>
      </c>
      <c r="C1766" s="17" t="s">
        <v>6585</v>
      </c>
      <c r="D1766" s="17" t="s">
        <v>1518</v>
      </c>
      <c r="E1766" s="18" t="s">
        <v>1451</v>
      </c>
      <c r="F1766" s="22"/>
      <c r="G1766" s="17" t="s">
        <v>6727</v>
      </c>
      <c r="H1766" s="20" t="s">
        <v>6728</v>
      </c>
      <c r="I1766" s="18" t="s">
        <v>339</v>
      </c>
      <c r="J1766" s="17"/>
      <c r="K1766" s="17"/>
      <c r="L1766" s="17"/>
      <c r="M1766" s="17"/>
      <c r="N1766" s="17"/>
      <c r="O1766" s="17"/>
      <c r="P1766" s="23"/>
      <c r="Q1766" s="17" t="s">
        <v>4756</v>
      </c>
      <c r="R1766" s="17" t="s">
        <v>4756</v>
      </c>
      <c r="S1766" s="11" t="str">
        <f t="shared" si="16"/>
        <v/>
      </c>
    </row>
    <row r="1767" spans="1:19" x14ac:dyDescent="0.15">
      <c r="A1767" s="34">
        <v>1765</v>
      </c>
      <c r="B1767" s="35" t="s">
        <v>4881</v>
      </c>
      <c r="C1767" s="17" t="s">
        <v>6585</v>
      </c>
      <c r="D1767" s="17" t="s">
        <v>1518</v>
      </c>
      <c r="E1767" s="18" t="s">
        <v>1451</v>
      </c>
      <c r="F1767" s="22"/>
      <c r="G1767" s="17" t="s">
        <v>6729</v>
      </c>
      <c r="H1767" s="20" t="s">
        <v>6730</v>
      </c>
      <c r="I1767" s="18" t="s">
        <v>339</v>
      </c>
      <c r="J1767" s="17"/>
      <c r="K1767" s="17"/>
      <c r="L1767" s="17"/>
      <c r="M1767" s="17"/>
      <c r="N1767" s="17"/>
      <c r="O1767" s="17"/>
      <c r="P1767" s="23"/>
      <c r="Q1767" s="17" t="s">
        <v>4756</v>
      </c>
      <c r="R1767" s="17" t="s">
        <v>4756</v>
      </c>
      <c r="S1767" s="11" t="str">
        <f t="shared" si="16"/>
        <v/>
      </c>
    </row>
    <row r="1768" spans="1:19" x14ac:dyDescent="0.15">
      <c r="A1768" s="34">
        <v>1766</v>
      </c>
      <c r="B1768" s="35" t="s">
        <v>4881</v>
      </c>
      <c r="C1768" s="17" t="s">
        <v>6585</v>
      </c>
      <c r="D1768" s="17" t="s">
        <v>1518</v>
      </c>
      <c r="E1768" s="18" t="s">
        <v>1451</v>
      </c>
      <c r="F1768" s="22"/>
      <c r="G1768" s="17" t="s">
        <v>6731</v>
      </c>
      <c r="H1768" s="20" t="s">
        <v>6732</v>
      </c>
      <c r="I1768" s="18" t="s">
        <v>339</v>
      </c>
      <c r="J1768" s="17"/>
      <c r="K1768" s="17"/>
      <c r="L1768" s="17"/>
      <c r="M1768" s="17"/>
      <c r="N1768" s="17"/>
      <c r="O1768" s="17"/>
      <c r="P1768" s="23"/>
      <c r="Q1768" s="17" t="s">
        <v>4756</v>
      </c>
      <c r="R1768" s="17" t="s">
        <v>4756</v>
      </c>
      <c r="S1768" s="11" t="str">
        <f t="shared" si="16"/>
        <v/>
      </c>
    </row>
    <row r="1769" spans="1:19" x14ac:dyDescent="0.15">
      <c r="A1769" s="34">
        <v>1767</v>
      </c>
      <c r="B1769" s="35" t="s">
        <v>4881</v>
      </c>
      <c r="C1769" s="17" t="s">
        <v>6585</v>
      </c>
      <c r="D1769" s="17" t="s">
        <v>1518</v>
      </c>
      <c r="E1769" s="18" t="s">
        <v>1451</v>
      </c>
      <c r="F1769" s="22"/>
      <c r="G1769" s="17" t="s">
        <v>6733</v>
      </c>
      <c r="H1769" s="20" t="s">
        <v>6734</v>
      </c>
      <c r="I1769" s="18" t="s">
        <v>288</v>
      </c>
      <c r="J1769" s="17"/>
      <c r="K1769" s="17"/>
      <c r="L1769" s="17"/>
      <c r="M1769" s="17"/>
      <c r="N1769" s="17"/>
      <c r="O1769" s="17"/>
      <c r="P1769" s="23"/>
      <c r="Q1769" s="17" t="s">
        <v>4756</v>
      </c>
      <c r="R1769" s="17" t="s">
        <v>4756</v>
      </c>
      <c r="S1769" s="11" t="str">
        <f t="shared" ref="S1769:S1809" si="17">IF(M1769="","",M1769&amp;IF(N1769="","","&amp;br;"&amp;N1769)&amp;IF(O1769="","","&amp;br;"&amp;O1769))</f>
        <v/>
      </c>
    </row>
    <row r="1770" spans="1:19" hidden="1" x14ac:dyDescent="0.15">
      <c r="A1770" s="34">
        <v>1768</v>
      </c>
      <c r="B1770" s="35" t="s">
        <v>4881</v>
      </c>
      <c r="C1770" s="17" t="s">
        <v>6585</v>
      </c>
      <c r="D1770" s="17" t="s">
        <v>1518</v>
      </c>
      <c r="E1770" s="18" t="s">
        <v>1441</v>
      </c>
      <c r="F1770" s="22">
        <v>8</v>
      </c>
      <c r="G1770" s="26" t="s">
        <v>6735</v>
      </c>
      <c r="H1770" s="20" t="s">
        <v>6736</v>
      </c>
      <c r="I1770" s="18" t="s">
        <v>339</v>
      </c>
      <c r="J1770" s="17" t="s">
        <v>7111</v>
      </c>
      <c r="K1770" s="17" t="s">
        <v>7153</v>
      </c>
      <c r="L1770" s="17"/>
      <c r="M1770" s="17" t="s">
        <v>7154</v>
      </c>
      <c r="N1770" s="17"/>
      <c r="O1770" s="17"/>
      <c r="P1770" s="23"/>
      <c r="Q1770" s="17">
        <v>3</v>
      </c>
      <c r="R1770" s="17">
        <v>3</v>
      </c>
      <c r="S1770" s="11" t="str">
        <f t="shared" si="17"/>
        <v>他のマーフォークが1体あなたのコントロール下で戦場に出るたび、あなたがコントロールしているマーフォーク1体を無作為に選び、それは+1/+1の修正を受ける。</v>
      </c>
    </row>
    <row r="1771" spans="1:19" hidden="1" x14ac:dyDescent="0.15">
      <c r="A1771" s="34">
        <v>1769</v>
      </c>
      <c r="B1771" s="35" t="s">
        <v>4881</v>
      </c>
      <c r="C1771" s="17" t="s">
        <v>6585</v>
      </c>
      <c r="D1771" s="17" t="s">
        <v>1518</v>
      </c>
      <c r="E1771" s="18" t="s">
        <v>1441</v>
      </c>
      <c r="F1771" s="22">
        <v>10</v>
      </c>
      <c r="G1771" s="26" t="s">
        <v>6737</v>
      </c>
      <c r="H1771" s="20" t="s">
        <v>6738</v>
      </c>
      <c r="I1771" s="18" t="s">
        <v>339</v>
      </c>
      <c r="J1771" s="17" t="s">
        <v>7198</v>
      </c>
      <c r="K1771" s="17"/>
      <c r="L1771" s="17"/>
      <c r="M1771" s="17" t="s">
        <v>7187</v>
      </c>
      <c r="N1771" s="17" t="s">
        <v>7199</v>
      </c>
      <c r="O1771" s="17" t="s">
        <v>7200</v>
      </c>
      <c r="P1771" s="23"/>
      <c r="Q1771" s="17">
        <v>10</v>
      </c>
      <c r="R1771" s="17">
        <v>10</v>
      </c>
      <c r="S1771" s="11" t="str">
        <f t="shared" si="17"/>
        <v>昇殿&amp;br;あなたのターン開始時に、あなたの手札のすべての土地・サポート・カードは3マナを得る。&amp;br;あなたが都市の承認を持っていない限り、このクリーチャーは攻撃したりブロックしたりできない。</v>
      </c>
    </row>
    <row r="1772" spans="1:19" hidden="1" x14ac:dyDescent="0.15">
      <c r="A1772" s="34">
        <v>1770</v>
      </c>
      <c r="B1772" s="35" t="s">
        <v>4881</v>
      </c>
      <c r="C1772" s="17" t="s">
        <v>6585</v>
      </c>
      <c r="D1772" s="17" t="s">
        <v>1518</v>
      </c>
      <c r="E1772" s="18" t="s">
        <v>6614</v>
      </c>
      <c r="F1772" s="22">
        <v>24</v>
      </c>
      <c r="G1772" s="26" t="s">
        <v>6739</v>
      </c>
      <c r="H1772" s="20" t="s">
        <v>6740</v>
      </c>
      <c r="I1772" s="18" t="s">
        <v>339</v>
      </c>
      <c r="J1772" s="17" t="s">
        <v>7104</v>
      </c>
      <c r="K1772" s="17" t="s">
        <v>7106</v>
      </c>
      <c r="L1772" s="17"/>
      <c r="M1772" s="17" t="s">
        <v>7109</v>
      </c>
      <c r="N1772" s="17" t="s">
        <v>7110</v>
      </c>
      <c r="O1772" s="17"/>
      <c r="P1772" s="23"/>
      <c r="Q1772" s="17">
        <v>12</v>
      </c>
      <c r="R1772" s="17">
        <v>12</v>
      </c>
      <c r="S1772" s="11" t="str">
        <f t="shared" si="17"/>
        <v>トランプル　バーサーカー&amp;br;このクリーチャーがあなたの手札にある間、これのマナ・コストはX少なくなる。Xはあなたのクリーチャーのパワーの合計に等しい。</v>
      </c>
    </row>
    <row r="1773" spans="1:19" hidden="1" x14ac:dyDescent="0.15">
      <c r="A1773" s="34">
        <v>1771</v>
      </c>
      <c r="B1773" s="35" t="s">
        <v>4881</v>
      </c>
      <c r="C1773" s="17" t="s">
        <v>6585</v>
      </c>
      <c r="D1773" s="17" t="s">
        <v>1518</v>
      </c>
      <c r="E1773" s="18" t="s">
        <v>6614</v>
      </c>
      <c r="F1773" s="22">
        <v>20</v>
      </c>
      <c r="G1773" s="26" t="s">
        <v>6741</v>
      </c>
      <c r="H1773" s="20" t="s">
        <v>6742</v>
      </c>
      <c r="I1773" s="18" t="s">
        <v>339</v>
      </c>
      <c r="J1773" s="17" t="s">
        <v>7106</v>
      </c>
      <c r="K1773" s="17"/>
      <c r="L1773" s="17"/>
      <c r="M1773" s="17" t="s">
        <v>7118</v>
      </c>
      <c r="N1773" s="17"/>
      <c r="O1773" s="17"/>
      <c r="P1773" s="23"/>
      <c r="Q1773" s="17">
        <v>5</v>
      </c>
      <c r="R1773" s="17">
        <v>5</v>
      </c>
      <c r="S1773" s="11" t="str">
        <f>IF(M1773="","",M1773&amp;IF(N1773="","","&amp;br;"&amp;N1773)&amp;IF(O1773="","","&amp;br;"&amp;O1773))</f>
        <v>激昂：ターン終了時まで、このクリーチャーは「このターン終了時に、このクリーチャーを強化する」を得る。</v>
      </c>
    </row>
    <row r="1774" spans="1:19" hidden="1" x14ac:dyDescent="0.15">
      <c r="A1774" s="34">
        <v>1772</v>
      </c>
      <c r="B1774" s="35" t="s">
        <v>4881</v>
      </c>
      <c r="C1774" s="17" t="s">
        <v>6585</v>
      </c>
      <c r="D1774" s="17" t="s">
        <v>1518</v>
      </c>
      <c r="E1774" s="18" t="s">
        <v>6614</v>
      </c>
      <c r="F1774" s="22">
        <v>14</v>
      </c>
      <c r="G1774" s="26" t="s">
        <v>6743</v>
      </c>
      <c r="H1774" s="20" t="s">
        <v>6744</v>
      </c>
      <c r="I1774" s="18" t="s">
        <v>339</v>
      </c>
      <c r="J1774" s="17" t="s">
        <v>7121</v>
      </c>
      <c r="K1774" s="17"/>
      <c r="L1774" s="17"/>
      <c r="M1774" s="17" t="s">
        <v>7122</v>
      </c>
      <c r="N1774" s="17" t="s">
        <v>7123</v>
      </c>
      <c r="O1774" s="17"/>
      <c r="P1774" s="23"/>
      <c r="Q1774" s="17">
        <v>5</v>
      </c>
      <c r="R1774" s="17">
        <v>5</v>
      </c>
      <c r="S1774" s="11" t="str">
        <f t="shared" si="17"/>
        <v>昇殿&amp;br;このクリーチャーが戦場に出ている間、各プレイヤーのターン開始時に、1/1の緑の苗木・トークンを1体生成する。あなたが都市の承認を持っている場合、代わりに苗木・トークンを2体生成する。</v>
      </c>
    </row>
    <row r="1775" spans="1:19" hidden="1" x14ac:dyDescent="0.15">
      <c r="A1775" s="34">
        <v>1773</v>
      </c>
      <c r="B1775" s="35" t="s">
        <v>4881</v>
      </c>
      <c r="C1775" s="17" t="s">
        <v>6585</v>
      </c>
      <c r="D1775" s="17" t="s">
        <v>1512</v>
      </c>
      <c r="E1775" s="18" t="s">
        <v>6614</v>
      </c>
      <c r="F1775" s="22">
        <v>20</v>
      </c>
      <c r="G1775" s="26" t="s">
        <v>6745</v>
      </c>
      <c r="H1775" s="20" t="s">
        <v>6746</v>
      </c>
      <c r="I1775" s="18" t="s">
        <v>339</v>
      </c>
      <c r="J1775" s="17" t="s">
        <v>7095</v>
      </c>
      <c r="K1775" s="17"/>
      <c r="L1775" s="17"/>
      <c r="M1775" s="17" t="s">
        <v>7096</v>
      </c>
      <c r="N1775" s="17" t="s">
        <v>7097</v>
      </c>
      <c r="O1775" s="17" t="s">
        <v>7098</v>
      </c>
      <c r="P1775" s="23"/>
      <c r="Q1775" s="17">
        <v>6</v>
      </c>
      <c r="R1775" s="17">
        <v>6</v>
      </c>
      <c r="S1775" s="11" t="str">
        <f t="shared" si="17"/>
        <v>飛行&amp;br;このクリーチャーが戦場に出た時、あなたの次のターン開始時まで、対戦相手は呪文を唱えられない。&amp;br;このクリーチャーが攻撃するたび、ボード上に白ジェムが6個以上ある場合、8点のライフを得て、青ジェムが6個以上ある場合、カードを4枚引く。</v>
      </c>
    </row>
    <row r="1776" spans="1:19" x14ac:dyDescent="0.15">
      <c r="A1776" s="34">
        <v>1774</v>
      </c>
      <c r="B1776" s="35" t="s">
        <v>4881</v>
      </c>
      <c r="C1776" s="17" t="s">
        <v>6585</v>
      </c>
      <c r="D1776" s="17" t="s">
        <v>1504</v>
      </c>
      <c r="E1776" s="18" t="s">
        <v>1451</v>
      </c>
      <c r="F1776" s="22"/>
      <c r="G1776" s="17" t="s">
        <v>6747</v>
      </c>
      <c r="H1776" s="20" t="s">
        <v>6748</v>
      </c>
      <c r="I1776" s="18" t="s">
        <v>339</v>
      </c>
      <c r="J1776" s="17"/>
      <c r="K1776" s="17"/>
      <c r="L1776" s="17"/>
      <c r="M1776" s="17"/>
      <c r="N1776" s="17"/>
      <c r="O1776" s="17"/>
      <c r="P1776" s="23"/>
      <c r="Q1776" s="17" t="s">
        <v>4756</v>
      </c>
      <c r="R1776" s="17" t="s">
        <v>4756</v>
      </c>
      <c r="S1776" s="11" t="str">
        <f t="shared" si="17"/>
        <v/>
      </c>
    </row>
    <row r="1777" spans="1:19" x14ac:dyDescent="0.15">
      <c r="A1777" s="34">
        <v>1775</v>
      </c>
      <c r="B1777" s="35" t="s">
        <v>4881</v>
      </c>
      <c r="C1777" s="17" t="s">
        <v>6585</v>
      </c>
      <c r="D1777" s="17" t="s">
        <v>1802</v>
      </c>
      <c r="E1777" s="18" t="s">
        <v>1451</v>
      </c>
      <c r="F1777" s="22"/>
      <c r="G1777" s="17" t="s">
        <v>6749</v>
      </c>
      <c r="H1777" s="20" t="s">
        <v>6750</v>
      </c>
      <c r="I1777" s="18" t="s">
        <v>339</v>
      </c>
      <c r="J1777" s="17"/>
      <c r="K1777" s="17"/>
      <c r="L1777" s="17"/>
      <c r="M1777" s="17"/>
      <c r="N1777" s="17"/>
      <c r="O1777" s="17"/>
      <c r="P1777" s="23"/>
      <c r="Q1777" s="17" t="s">
        <v>4756</v>
      </c>
      <c r="R1777" s="17" t="s">
        <v>4756</v>
      </c>
      <c r="S1777" s="11" t="str">
        <f t="shared" si="17"/>
        <v/>
      </c>
    </row>
    <row r="1778" spans="1:19" x14ac:dyDescent="0.15">
      <c r="A1778" s="34">
        <v>1776</v>
      </c>
      <c r="B1778" s="35" t="s">
        <v>4881</v>
      </c>
      <c r="C1778" s="17" t="s">
        <v>6585</v>
      </c>
      <c r="D1778" s="17" t="s">
        <v>1474</v>
      </c>
      <c r="E1778" s="18" t="s">
        <v>1451</v>
      </c>
      <c r="F1778" s="22"/>
      <c r="G1778" s="17" t="s">
        <v>6751</v>
      </c>
      <c r="H1778" s="20" t="s">
        <v>6752</v>
      </c>
      <c r="I1778" s="18" t="s">
        <v>339</v>
      </c>
      <c r="J1778" s="17"/>
      <c r="K1778" s="17"/>
      <c r="L1778" s="17"/>
      <c r="M1778" s="17"/>
      <c r="N1778" s="17"/>
      <c r="O1778" s="17"/>
      <c r="P1778" s="23"/>
      <c r="Q1778" s="17" t="s">
        <v>4756</v>
      </c>
      <c r="R1778" s="17" t="s">
        <v>4756</v>
      </c>
      <c r="S1778" s="11" t="str">
        <f t="shared" si="17"/>
        <v/>
      </c>
    </row>
    <row r="1779" spans="1:19" hidden="1" x14ac:dyDescent="0.15">
      <c r="A1779" s="34">
        <v>1777</v>
      </c>
      <c r="B1779" s="35" t="s">
        <v>4881</v>
      </c>
      <c r="C1779" s="17" t="s">
        <v>6585</v>
      </c>
      <c r="D1779" s="17" t="s">
        <v>1474</v>
      </c>
      <c r="E1779" s="18" t="s">
        <v>1441</v>
      </c>
      <c r="F1779" s="22">
        <v>12</v>
      </c>
      <c r="G1779" s="26" t="s">
        <v>6753</v>
      </c>
      <c r="H1779" s="20" t="s">
        <v>6754</v>
      </c>
      <c r="I1779" s="18" t="s">
        <v>288</v>
      </c>
      <c r="J1779" s="17"/>
      <c r="K1779" s="17"/>
      <c r="L1779" s="17"/>
      <c r="M1779" s="17" t="s">
        <v>7183</v>
      </c>
      <c r="N1779" s="17" t="s">
        <v>7184</v>
      </c>
      <c r="O1779" s="17"/>
      <c r="P1779" s="23"/>
      <c r="Q1779" s="17" t="s">
        <v>4756</v>
      </c>
      <c r="R1779" s="17" t="s">
        <v>4756</v>
      </c>
      <c r="S1779" s="11" t="str">
        <f t="shared" si="17"/>
        <v>ジェム1個を起動する：対戦相手がコントロールしている最後のクリーチャーを追放する。このサポートは1シールドを得る。&amp;br;あなたのターン終了時に、このサポートが5シールド以上持っている場合、このサポートを変身させる。</v>
      </c>
    </row>
    <row r="1780" spans="1:19" hidden="1" x14ac:dyDescent="0.15">
      <c r="A1780" s="34">
        <v>1778</v>
      </c>
      <c r="B1780" s="35" t="s">
        <v>4881</v>
      </c>
      <c r="C1780" s="17" t="s">
        <v>6585</v>
      </c>
      <c r="D1780" s="17" t="s">
        <v>1474</v>
      </c>
      <c r="E1780" s="18" t="s">
        <v>1441</v>
      </c>
      <c r="F1780" s="22">
        <v>0</v>
      </c>
      <c r="G1780" s="26" t="s">
        <v>6755</v>
      </c>
      <c r="H1780" s="20" t="s">
        <v>6756</v>
      </c>
      <c r="I1780" s="18" t="s">
        <v>288</v>
      </c>
      <c r="J1780" s="17" t="s">
        <v>7179</v>
      </c>
      <c r="K1780" s="17"/>
      <c r="L1780" s="17"/>
      <c r="M1780" s="17" t="s">
        <v>7185</v>
      </c>
      <c r="N1780" s="17" t="s">
        <v>7186</v>
      </c>
      <c r="O1780" s="17"/>
      <c r="P1780" s="23"/>
      <c r="Q1780" s="17" t="s">
        <v>4756</v>
      </c>
      <c r="R1780" s="17" t="s">
        <v>4756</v>
      </c>
      <c r="S1780" s="11" t="str">
        <f t="shared" si="17"/>
        <v>あなたのターン開始時に、ジェム3個を黒か白に変換する。&amp;br;ジェム2個を起動する：最後に追放された対戦相手のクリーチャーをあなたのコントロール下で戦場に移動する。</v>
      </c>
    </row>
    <row r="1781" spans="1:19" hidden="1" x14ac:dyDescent="0.15">
      <c r="A1781" s="34">
        <v>1779</v>
      </c>
      <c r="B1781" s="35" t="s">
        <v>4881</v>
      </c>
      <c r="C1781" s="17" t="s">
        <v>6585</v>
      </c>
      <c r="D1781" s="17" t="s">
        <v>1474</v>
      </c>
      <c r="E1781" s="18" t="s">
        <v>6614</v>
      </c>
      <c r="F1781" s="22">
        <v>11</v>
      </c>
      <c r="G1781" s="26" t="s">
        <v>6757</v>
      </c>
      <c r="H1781" s="20" t="s">
        <v>6758</v>
      </c>
      <c r="I1781" s="18" t="s">
        <v>339</v>
      </c>
      <c r="J1781" s="17" t="s">
        <v>7099</v>
      </c>
      <c r="K1781" s="17" t="s">
        <v>7100</v>
      </c>
      <c r="L1781" s="17"/>
      <c r="M1781" s="17" t="s">
        <v>7101</v>
      </c>
      <c r="N1781" s="17" t="s">
        <v>7102</v>
      </c>
      <c r="O1781" s="17" t="s">
        <v>7103</v>
      </c>
      <c r="P1781" s="23"/>
      <c r="Q1781" s="17">
        <v>2</v>
      </c>
      <c r="R1781" s="17">
        <v>2</v>
      </c>
      <c r="S1781" s="11" t="str">
        <f t="shared" si="17"/>
        <v>絆魂&amp;br;クリーチャーが死亡するたび、このクリーチャーを強化する。&amp;br;このクリーチャーが死亡した時、絆魂を持つ1/1の白の吸血鬼・トークンをX体生成する。Xはこのクリーチャーが強化された回数に1を足した数に等しい。</v>
      </c>
    </row>
    <row r="1782" spans="1:19" x14ac:dyDescent="0.15">
      <c r="A1782" s="34">
        <v>1780</v>
      </c>
      <c r="B1782" s="35" t="s">
        <v>4881</v>
      </c>
      <c r="C1782" s="17" t="s">
        <v>6585</v>
      </c>
      <c r="D1782" s="17" t="s">
        <v>1467</v>
      </c>
      <c r="E1782" s="18" t="s">
        <v>1451</v>
      </c>
      <c r="F1782" s="22"/>
      <c r="G1782" s="17" t="s">
        <v>6759</v>
      </c>
      <c r="H1782" s="20" t="s">
        <v>6760</v>
      </c>
      <c r="I1782" s="18" t="s">
        <v>339</v>
      </c>
      <c r="J1782" s="17"/>
      <c r="K1782" s="17"/>
      <c r="L1782" s="17"/>
      <c r="M1782" s="17"/>
      <c r="N1782" s="17"/>
      <c r="O1782" s="17"/>
      <c r="P1782" s="23"/>
      <c r="Q1782" s="17" t="s">
        <v>4756</v>
      </c>
      <c r="R1782" s="17" t="s">
        <v>4756</v>
      </c>
      <c r="S1782" s="11" t="str">
        <f t="shared" si="17"/>
        <v/>
      </c>
    </row>
    <row r="1783" spans="1:19" hidden="1" x14ac:dyDescent="0.15">
      <c r="A1783" s="34">
        <v>1781</v>
      </c>
      <c r="B1783" s="35" t="s">
        <v>4881</v>
      </c>
      <c r="C1783" s="17" t="s">
        <v>6585</v>
      </c>
      <c r="D1783" s="17" t="s">
        <v>1467</v>
      </c>
      <c r="E1783" s="18" t="s">
        <v>1441</v>
      </c>
      <c r="F1783" s="22">
        <v>11</v>
      </c>
      <c r="G1783" s="26" t="s">
        <v>6761</v>
      </c>
      <c r="H1783" s="20" t="s">
        <v>6762</v>
      </c>
      <c r="I1783" s="18" t="s">
        <v>288</v>
      </c>
      <c r="J1783" s="17"/>
      <c r="K1783" s="17"/>
      <c r="L1783" s="17"/>
      <c r="M1783" s="17" t="s">
        <v>7190</v>
      </c>
      <c r="N1783" s="17"/>
      <c r="O1783" s="17"/>
      <c r="P1783" s="23"/>
      <c r="Q1783" s="17" t="s">
        <v>4756</v>
      </c>
      <c r="R1783" s="17" t="s">
        <v>4756</v>
      </c>
      <c r="S1783" s="11" t="str">
        <f t="shared" si="17"/>
        <v>あなたのターン終了時に、あなたが強襲していた場合、宝物を2つ見つける。その後、あなたが土地出ないサポートを5個以上コントロールしている場合、このサポートを変身させる。</v>
      </c>
    </row>
    <row r="1784" spans="1:19" hidden="1" x14ac:dyDescent="0.15">
      <c r="A1784" s="34">
        <v>1782</v>
      </c>
      <c r="B1784" s="35" t="s">
        <v>4881</v>
      </c>
      <c r="C1784" s="17" t="s">
        <v>6585</v>
      </c>
      <c r="D1784" s="17" t="s">
        <v>1467</v>
      </c>
      <c r="E1784" s="18" t="s">
        <v>1441</v>
      </c>
      <c r="F1784" s="22">
        <v>0</v>
      </c>
      <c r="G1784" s="26" t="s">
        <v>6763</v>
      </c>
      <c r="H1784" s="20" t="s">
        <v>6764</v>
      </c>
      <c r="I1784" s="18" t="s">
        <v>288</v>
      </c>
      <c r="J1784" s="17" t="s">
        <v>7179</v>
      </c>
      <c r="K1784" s="17"/>
      <c r="L1784" s="17"/>
      <c r="M1784" s="17" t="s">
        <v>7191</v>
      </c>
      <c r="N1784" s="17"/>
      <c r="O1784" s="17"/>
      <c r="P1784" s="23"/>
      <c r="Q1784" s="17" t="s">
        <v>4756</v>
      </c>
      <c r="R1784" s="17" t="s">
        <v>4756</v>
      </c>
      <c r="S1784" s="11" t="str">
        <f t="shared" si="17"/>
        <v>あなたのターン開始時に、ジェムX個を青に変換する。Xはあなたがコントロールしているサポートの総数の2倍に等しい。</v>
      </c>
    </row>
    <row r="1785" spans="1:19" hidden="1" x14ac:dyDescent="0.15">
      <c r="A1785" s="34">
        <v>1783</v>
      </c>
      <c r="B1785" s="35" t="s">
        <v>4881</v>
      </c>
      <c r="C1785" s="17" t="s">
        <v>6585</v>
      </c>
      <c r="D1785" s="17" t="s">
        <v>1487</v>
      </c>
      <c r="E1785" s="18" t="s">
        <v>1441</v>
      </c>
      <c r="F1785" s="22">
        <v>9</v>
      </c>
      <c r="G1785" s="26" t="s">
        <v>6765</v>
      </c>
      <c r="H1785" s="20" t="s">
        <v>6766</v>
      </c>
      <c r="I1785" s="18" t="s">
        <v>288</v>
      </c>
      <c r="J1785" s="17" t="s">
        <v>7169</v>
      </c>
      <c r="K1785" s="17"/>
      <c r="L1785" s="17"/>
      <c r="M1785" s="17" t="s">
        <v>7170</v>
      </c>
      <c r="N1785" s="17"/>
      <c r="O1785" s="17"/>
      <c r="P1785" s="23"/>
      <c r="Q1785" s="17" t="s">
        <v>4756</v>
      </c>
      <c r="R1785" s="17" t="s">
        <v>4756</v>
      </c>
      <c r="S1785" s="11" t="str">
        <f t="shared" si="17"/>
        <v>あなたがコントロールするクリーチャーが死亡するたび、それを戦場に戻し、このサポートを変身させる。</v>
      </c>
    </row>
    <row r="1786" spans="1:19" hidden="1" x14ac:dyDescent="0.15">
      <c r="A1786" s="34">
        <v>1784</v>
      </c>
      <c r="B1786" s="35" t="s">
        <v>4881</v>
      </c>
      <c r="C1786" s="17" t="s">
        <v>6585</v>
      </c>
      <c r="D1786" s="17" t="s">
        <v>1487</v>
      </c>
      <c r="E1786" s="18" t="s">
        <v>1441</v>
      </c>
      <c r="F1786" s="22">
        <v>0</v>
      </c>
      <c r="G1786" s="26" t="s">
        <v>6767</v>
      </c>
      <c r="H1786" s="20" t="s">
        <v>6768</v>
      </c>
      <c r="I1786" s="18" t="s">
        <v>288</v>
      </c>
      <c r="J1786" s="17" t="s">
        <v>7144</v>
      </c>
      <c r="K1786" s="17"/>
      <c r="L1786" s="17"/>
      <c r="M1786" s="17" t="s">
        <v>7171</v>
      </c>
      <c r="N1786" s="17" t="s">
        <v>7172</v>
      </c>
      <c r="O1786" s="17"/>
      <c r="P1786" s="23"/>
      <c r="Q1786" s="17" t="s">
        <v>4756</v>
      </c>
      <c r="R1786" s="17" t="s">
        <v>4756</v>
      </c>
      <c r="S1786" s="11" t="str">
        <f t="shared" si="17"/>
        <v>あなたのターン開始時に、ジェム3個を黒か緑に変換する。&amp;br;ジェム2個を起動する：あなたの墓地から最初の無色のクリーチャーをあなたのコントロール下で戦場に移動する。</v>
      </c>
    </row>
    <row r="1787" spans="1:19" x14ac:dyDescent="0.15">
      <c r="A1787" s="34">
        <v>1785</v>
      </c>
      <c r="B1787" s="35" t="s">
        <v>4881</v>
      </c>
      <c r="C1787" s="17" t="s">
        <v>6585</v>
      </c>
      <c r="D1787" s="17" t="s">
        <v>1784</v>
      </c>
      <c r="E1787" s="18" t="s">
        <v>1451</v>
      </c>
      <c r="F1787" s="22"/>
      <c r="G1787" s="17" t="s">
        <v>6769</v>
      </c>
      <c r="H1787" s="20" t="s">
        <v>6770</v>
      </c>
      <c r="I1787" s="18" t="s">
        <v>339</v>
      </c>
      <c r="J1787" s="17"/>
      <c r="K1787" s="17"/>
      <c r="L1787" s="17"/>
      <c r="M1787" s="17"/>
      <c r="N1787" s="17"/>
      <c r="O1787" s="17"/>
      <c r="P1787" s="23"/>
      <c r="Q1787" s="17" t="s">
        <v>4756</v>
      </c>
      <c r="R1787" s="17" t="s">
        <v>4756</v>
      </c>
      <c r="S1787" s="11" t="str">
        <f t="shared" si="17"/>
        <v/>
      </c>
    </row>
    <row r="1788" spans="1:19" hidden="1" x14ac:dyDescent="0.15">
      <c r="A1788" s="34">
        <v>1786</v>
      </c>
      <c r="B1788" s="35" t="s">
        <v>4881</v>
      </c>
      <c r="C1788" s="17" t="s">
        <v>6585</v>
      </c>
      <c r="D1788" s="17" t="s">
        <v>1784</v>
      </c>
      <c r="E1788" s="18" t="s">
        <v>1441</v>
      </c>
      <c r="F1788" s="22">
        <v>8</v>
      </c>
      <c r="G1788" s="26" t="s">
        <v>6771</v>
      </c>
      <c r="H1788" s="20" t="s">
        <v>6772</v>
      </c>
      <c r="I1788" s="18" t="s">
        <v>288</v>
      </c>
      <c r="J1788" s="17"/>
      <c r="K1788" s="17"/>
      <c r="L1788" s="17"/>
      <c r="M1788" s="17" t="s">
        <v>7177</v>
      </c>
      <c r="N1788" s="17" t="s">
        <v>7178</v>
      </c>
      <c r="O1788" s="17"/>
      <c r="P1788" s="23"/>
      <c r="Q1788" s="17" t="s">
        <v>4756</v>
      </c>
      <c r="R1788" s="17" t="s">
        <v>4756</v>
      </c>
      <c r="S1788" s="11" t="str">
        <f t="shared" si="17"/>
        <v>このサポートがボード上に出た時、これは人間でも恐竜でもない各クリーチャーに3点のダメージを与える。他のすべてのクリーチャーは先制攻撃を得る。&amp;br;あなたのターン終了時に、あなたが先制攻撃を持つクリーチャーを3体以上コントロールしている場合、このサポートを変身させる。</v>
      </c>
    </row>
    <row r="1789" spans="1:19" hidden="1" x14ac:dyDescent="0.15">
      <c r="A1789" s="34">
        <v>1787</v>
      </c>
      <c r="B1789" s="35" t="s">
        <v>4881</v>
      </c>
      <c r="C1789" s="17" t="s">
        <v>6585</v>
      </c>
      <c r="D1789" s="17" t="s">
        <v>1784</v>
      </c>
      <c r="E1789" s="18" t="s">
        <v>1441</v>
      </c>
      <c r="F1789" s="22">
        <v>0</v>
      </c>
      <c r="G1789" s="26" t="s">
        <v>6773</v>
      </c>
      <c r="H1789" s="20" t="s">
        <v>6774</v>
      </c>
      <c r="I1789" s="18" t="s">
        <v>288</v>
      </c>
      <c r="J1789" s="17" t="s">
        <v>7179</v>
      </c>
      <c r="K1789" s="17"/>
      <c r="L1789" s="17"/>
      <c r="M1789" s="17" t="s">
        <v>7180</v>
      </c>
      <c r="N1789" s="17" t="s">
        <v>7181</v>
      </c>
      <c r="O1789" s="17" t="s">
        <v>7182</v>
      </c>
      <c r="P1789" s="23"/>
      <c r="Q1789" s="17" t="s">
        <v>4756</v>
      </c>
      <c r="R1789" s="17" t="s">
        <v>4756</v>
      </c>
      <c r="S1789" s="11" t="str">
        <f t="shared" si="17"/>
        <v>あなたのターン開始時に、ジェム3個を白か赤に変換する。&amp;br;赤ジェム2個を起動する：対戦相手のプレインズウォーカーに4点のダメージを与える。&amp;br;白ジェム2個を起動する：対戦相手がコントロールしているクリーチャー1体を無作為に選んで破壊する。</v>
      </c>
    </row>
    <row r="1790" spans="1:19" x14ac:dyDescent="0.15">
      <c r="A1790" s="34">
        <v>1788</v>
      </c>
      <c r="B1790" s="35" t="s">
        <v>4881</v>
      </c>
      <c r="C1790" s="17" t="s">
        <v>6585</v>
      </c>
      <c r="D1790" s="17" t="s">
        <v>1772</v>
      </c>
      <c r="E1790" s="18" t="s">
        <v>1451</v>
      </c>
      <c r="F1790" s="22"/>
      <c r="G1790" s="17" t="s">
        <v>6775</v>
      </c>
      <c r="H1790" s="20" t="s">
        <v>6776</v>
      </c>
      <c r="I1790" s="18" t="s">
        <v>339</v>
      </c>
      <c r="J1790" s="17"/>
      <c r="K1790" s="17"/>
      <c r="L1790" s="17"/>
      <c r="M1790" s="17"/>
      <c r="N1790" s="17"/>
      <c r="O1790" s="17"/>
      <c r="P1790" s="23"/>
      <c r="Q1790" s="17" t="s">
        <v>4756</v>
      </c>
      <c r="R1790" s="17" t="s">
        <v>4756</v>
      </c>
      <c r="S1790" s="11" t="str">
        <f t="shared" si="17"/>
        <v/>
      </c>
    </row>
    <row r="1791" spans="1:19" hidden="1" x14ac:dyDescent="0.15">
      <c r="A1791" s="34">
        <v>1789</v>
      </c>
      <c r="B1791" s="35" t="s">
        <v>4881</v>
      </c>
      <c r="C1791" s="17" t="s">
        <v>6585</v>
      </c>
      <c r="D1791" s="17" t="s">
        <v>1772</v>
      </c>
      <c r="E1791" s="18" t="s">
        <v>1441</v>
      </c>
      <c r="F1791" s="22">
        <v>11</v>
      </c>
      <c r="G1791" s="26" t="s">
        <v>6777</v>
      </c>
      <c r="H1791" s="20" t="s">
        <v>6778</v>
      </c>
      <c r="I1791" s="18" t="s">
        <v>288</v>
      </c>
      <c r="J1791" s="17"/>
      <c r="K1791" s="17"/>
      <c r="L1791" s="17"/>
      <c r="M1791" s="17" t="s">
        <v>7165</v>
      </c>
      <c r="N1791" s="17" t="s">
        <v>7166</v>
      </c>
      <c r="O1791" s="17"/>
      <c r="P1791" s="23"/>
      <c r="Q1791" s="17" t="s">
        <v>4756</v>
      </c>
      <c r="R1791" s="17" t="s">
        <v>4756</v>
      </c>
      <c r="S1791" s="11" t="str">
        <f t="shared" si="17"/>
        <v>あなたのターン終了時に、あなたの最初のバフされていないクリーチャーは+2/+2の修正を受ける。&amp;br;あなたのターン終了時に、あなたがバフされているクリーチャーを3体以上コントロールしている場合、このサポートを変身させる。</v>
      </c>
    </row>
    <row r="1792" spans="1:19" hidden="1" x14ac:dyDescent="0.15">
      <c r="A1792" s="34">
        <v>1790</v>
      </c>
      <c r="B1792" s="35" t="s">
        <v>4881</v>
      </c>
      <c r="C1792" s="17" t="s">
        <v>6585</v>
      </c>
      <c r="D1792" s="17" t="s">
        <v>1772</v>
      </c>
      <c r="E1792" s="18" t="s">
        <v>1441</v>
      </c>
      <c r="F1792" s="22">
        <v>0</v>
      </c>
      <c r="G1792" s="26" t="s">
        <v>6779</v>
      </c>
      <c r="H1792" s="20" t="s">
        <v>6780</v>
      </c>
      <c r="I1792" s="18" t="s">
        <v>288</v>
      </c>
      <c r="J1792" s="17" t="s">
        <v>7144</v>
      </c>
      <c r="K1792" s="17"/>
      <c r="L1792" s="17"/>
      <c r="M1792" s="17" t="s">
        <v>7167</v>
      </c>
      <c r="N1792" s="17" t="s">
        <v>7168</v>
      </c>
      <c r="O1792" s="17"/>
      <c r="P1792" s="23"/>
      <c r="Q1792" s="17" t="s">
        <v>4756</v>
      </c>
      <c r="R1792" s="17" t="s">
        <v>4756</v>
      </c>
      <c r="S1792" s="11" t="str">
        <f t="shared" si="17"/>
        <v>あなたのターン開始時に、ジェム3個を緑か青に変換する。&amp;br;ジェム2個を起動する：ターン終了時まで、あなたがコントロールしている最初のクリーチャーは飛行を得るとともに+X/+Xの修正を受ける。Xはそれのパワーに等しい。</v>
      </c>
    </row>
    <row r="1793" spans="1:19" hidden="1" x14ac:dyDescent="0.15">
      <c r="A1793" s="34">
        <v>1791</v>
      </c>
      <c r="B1793" s="35" t="s">
        <v>4881</v>
      </c>
      <c r="C1793" s="17" t="s">
        <v>6585</v>
      </c>
      <c r="D1793" s="17" t="s">
        <v>1772</v>
      </c>
      <c r="E1793" s="18" t="s">
        <v>6614</v>
      </c>
      <c r="F1793" s="22">
        <v>13</v>
      </c>
      <c r="G1793" s="26" t="s">
        <v>6781</v>
      </c>
      <c r="H1793" s="20" t="s">
        <v>6782</v>
      </c>
      <c r="I1793" s="18" t="s">
        <v>339</v>
      </c>
      <c r="J1793" s="17" t="s">
        <v>7111</v>
      </c>
      <c r="K1793" s="17" t="s">
        <v>7112</v>
      </c>
      <c r="L1793" s="17"/>
      <c r="M1793" s="17" t="s">
        <v>7113</v>
      </c>
      <c r="N1793" s="17" t="s">
        <v>7114</v>
      </c>
      <c r="O1793" s="17"/>
      <c r="P1793" s="23"/>
      <c r="Q1793" s="17">
        <v>4</v>
      </c>
      <c r="R1793" s="17">
        <v>6</v>
      </c>
      <c r="S1793" s="11" t="str">
        <f t="shared" si="17"/>
        <v>青ジェム2個を起動する：あなたがマーフォークを2体以上コントロールしている場合、カードを1枚引く。ターン終了時まで、このクリーチャーはブロックされないを得る。&amp;br;緑ジェム2個を起動する：あなたがマーフォークを2体以上コントロールしている場合、カードを1枚引く。あなたのすべてのマーフォークは+1/+1の修正を受ける。</v>
      </c>
    </row>
    <row r="1794" spans="1:19" hidden="1" x14ac:dyDescent="0.15">
      <c r="A1794" s="34">
        <v>1792</v>
      </c>
      <c r="B1794" s="35" t="s">
        <v>4881</v>
      </c>
      <c r="C1794" s="17" t="s">
        <v>6585</v>
      </c>
      <c r="D1794" s="17" t="s">
        <v>5679</v>
      </c>
      <c r="E1794" s="18" t="s">
        <v>6614</v>
      </c>
      <c r="F1794" s="22">
        <v>25</v>
      </c>
      <c r="G1794" s="26" t="s">
        <v>6783</v>
      </c>
      <c r="H1794" s="20" t="s">
        <v>6784</v>
      </c>
      <c r="I1794" s="18" t="s">
        <v>339</v>
      </c>
      <c r="J1794" s="17" t="s">
        <v>7105</v>
      </c>
      <c r="K1794" s="17" t="s">
        <v>7106</v>
      </c>
      <c r="L1794" s="17"/>
      <c r="M1794" s="17" t="s">
        <v>7138</v>
      </c>
      <c r="N1794" s="17" t="s">
        <v>7139</v>
      </c>
      <c r="O1794" s="17" t="s">
        <v>7140</v>
      </c>
      <c r="P1794" s="23"/>
      <c r="Q1794" s="17">
        <v>9</v>
      </c>
      <c r="R1794" s="17">
        <v>9</v>
      </c>
      <c r="S1794" s="11" t="str">
        <f t="shared" si="17"/>
        <v>トランプル　バーサーカー&amp;br;原初の災厄、ザカマが戦場に出た時、ジェム9個をあなたのプレインズウォーカーの色のうちの1色に変換する。&amp;br;緑ジェム1個を起動する：対戦相手がコントロールしていて土地でないサポートを1個破壊する。&amp;br;赤ジェム1個を起動する：対戦相手の最初のクリーチャーに3点のダメージを与える。&amp;br;白ジェム1個を起動する：3点のライフを得る。</v>
      </c>
    </row>
    <row r="1795" spans="1:19" x14ac:dyDescent="0.15">
      <c r="A1795" s="34">
        <v>1793</v>
      </c>
      <c r="B1795" s="35" t="s">
        <v>4881</v>
      </c>
      <c r="C1795" s="17" t="s">
        <v>6585</v>
      </c>
      <c r="D1795" s="17" t="s">
        <v>6785</v>
      </c>
      <c r="E1795" s="18" t="s">
        <v>1451</v>
      </c>
      <c r="F1795" s="22"/>
      <c r="G1795" s="17" t="s">
        <v>6786</v>
      </c>
      <c r="H1795" s="20" t="s">
        <v>6787</v>
      </c>
      <c r="I1795" s="18" t="s">
        <v>339</v>
      </c>
      <c r="J1795" s="17"/>
      <c r="K1795" s="17"/>
      <c r="L1795" s="17"/>
      <c r="M1795" s="17"/>
      <c r="N1795" s="17"/>
      <c r="O1795" s="17"/>
      <c r="P1795" s="23"/>
      <c r="Q1795" s="17" t="s">
        <v>4756</v>
      </c>
      <c r="R1795" s="17" t="s">
        <v>4756</v>
      </c>
      <c r="S1795" s="11" t="str">
        <f t="shared" si="17"/>
        <v/>
      </c>
    </row>
    <row r="1796" spans="1:19" hidden="1" x14ac:dyDescent="0.15">
      <c r="A1796" s="34">
        <v>1794</v>
      </c>
      <c r="B1796" s="35" t="s">
        <v>4881</v>
      </c>
      <c r="C1796" s="17" t="s">
        <v>6585</v>
      </c>
      <c r="D1796" s="17" t="s">
        <v>6785</v>
      </c>
      <c r="E1796" s="18" t="s">
        <v>1441</v>
      </c>
      <c r="F1796" s="22">
        <v>7</v>
      </c>
      <c r="G1796" s="26" t="s">
        <v>6788</v>
      </c>
      <c r="H1796" s="20" t="s">
        <v>6789</v>
      </c>
      <c r="I1796" s="18" t="s">
        <v>288</v>
      </c>
      <c r="J1796" s="17" t="s">
        <v>7144</v>
      </c>
      <c r="K1796" s="17"/>
      <c r="L1796" s="17"/>
      <c r="M1796" s="17" t="s">
        <v>7145</v>
      </c>
      <c r="N1796" s="17" t="s">
        <v>7146</v>
      </c>
      <c r="O1796" s="17" t="s">
        <v>7147</v>
      </c>
      <c r="P1796" s="23"/>
      <c r="Q1796" s="17" t="s">
        <v>4756</v>
      </c>
      <c r="R1796" s="17" t="s">
        <v>4756</v>
      </c>
      <c r="S1796" s="11" t="str">
        <f t="shared" si="17"/>
        <v>昇殿&amp;br;あなたのターン開始時に、ジェム2個を忠誠ジェムに変換する。&amp;br;ジェム2個を起動する：あなたが都市の承認を持っている場合、カードを1枚引く。それは2マナを得る。</v>
      </c>
    </row>
    <row r="1797" spans="1:19" hidden="1" x14ac:dyDescent="0.15">
      <c r="A1797" s="34">
        <v>1795</v>
      </c>
      <c r="B1797" s="35" t="s">
        <v>4881</v>
      </c>
      <c r="C1797" s="17" t="s">
        <v>6585</v>
      </c>
      <c r="D1797" s="17" t="s">
        <v>6785</v>
      </c>
      <c r="E1797" s="18" t="s">
        <v>1441</v>
      </c>
      <c r="F1797" s="22">
        <v>16</v>
      </c>
      <c r="G1797" s="26" t="s">
        <v>6790</v>
      </c>
      <c r="H1797" s="20" t="s">
        <v>6791</v>
      </c>
      <c r="I1797" s="18" t="s">
        <v>288</v>
      </c>
      <c r="J1797" s="17" t="s">
        <v>7161</v>
      </c>
      <c r="K1797" s="17"/>
      <c r="L1797" s="17"/>
      <c r="M1797" s="17" t="s">
        <v>7162</v>
      </c>
      <c r="N1797" s="17"/>
      <c r="O1797" s="17"/>
      <c r="P1797" s="23"/>
      <c r="Q1797" s="17" t="s">
        <v>4756</v>
      </c>
      <c r="R1797" s="17" t="s">
        <v>4756</v>
      </c>
      <c r="S1797" s="11" t="str">
        <f t="shared" si="17"/>
        <v>このサポートが戦場に出た時、ディフェンダーと「ジェム2個を起動する：これとあなたがコントロールしている他の最初のクリーチャーを破壊する。黄金の守護者を変身させる」を持つ6/6の無色の黄金の守護者・トークンを1体生成する。</v>
      </c>
    </row>
    <row r="1798" spans="1:19" hidden="1" x14ac:dyDescent="0.15">
      <c r="A1798" s="34">
        <v>1796</v>
      </c>
      <c r="B1798" s="35" t="s">
        <v>4881</v>
      </c>
      <c r="C1798" s="17" t="s">
        <v>6585</v>
      </c>
      <c r="D1798" s="17" t="s">
        <v>6785</v>
      </c>
      <c r="E1798" s="18" t="s">
        <v>1441</v>
      </c>
      <c r="F1798" s="22">
        <v>0</v>
      </c>
      <c r="G1798" s="26" t="s">
        <v>6792</v>
      </c>
      <c r="H1798" s="20" t="s">
        <v>6793</v>
      </c>
      <c r="I1798" s="18" t="s">
        <v>288</v>
      </c>
      <c r="J1798" s="17" t="s">
        <v>7144</v>
      </c>
      <c r="K1798" s="17"/>
      <c r="L1798" s="17"/>
      <c r="M1798" s="17" t="s">
        <v>7163</v>
      </c>
      <c r="N1798" s="17" t="s">
        <v>7164</v>
      </c>
      <c r="O1798" s="17"/>
      <c r="P1798" s="23"/>
      <c r="Q1798" s="17" t="s">
        <v>4756</v>
      </c>
      <c r="R1798" s="17" t="s">
        <v>4756</v>
      </c>
      <c r="S1798" s="11" t="str">
        <f t="shared" si="17"/>
        <v>あなたのターン開始時に、ジェム3個をあなたのプレインズウォーカーの色に変換する。&amp;br;ジェム2個を起動する：7/7の無色のゴーレム・クリーチャー・トークンを1体生成する。</v>
      </c>
    </row>
    <row r="1799" spans="1:19" hidden="1" x14ac:dyDescent="0.15">
      <c r="A1799" s="34">
        <v>1797</v>
      </c>
      <c r="B1799" s="35" t="s">
        <v>4881</v>
      </c>
      <c r="C1799" s="17" t="s">
        <v>6585</v>
      </c>
      <c r="D1799" s="17" t="s">
        <v>6785</v>
      </c>
      <c r="E1799" s="18" t="s">
        <v>6614</v>
      </c>
      <c r="F1799" s="22">
        <v>12</v>
      </c>
      <c r="G1799" s="26" t="s">
        <v>6794</v>
      </c>
      <c r="H1799" s="20" t="s">
        <v>6795</v>
      </c>
      <c r="I1799" s="18" t="s">
        <v>288</v>
      </c>
      <c r="J1799" s="17"/>
      <c r="K1799" s="17"/>
      <c r="L1799" s="17"/>
      <c r="M1799" s="17" t="s">
        <v>7091</v>
      </c>
      <c r="N1799" s="17" t="s">
        <v>7092</v>
      </c>
      <c r="O1799" s="17"/>
      <c r="P1799" s="23"/>
      <c r="Q1799" s="17" t="s">
        <v>4756</v>
      </c>
      <c r="R1799" s="17" t="s">
        <v>4756</v>
      </c>
      <c r="S1799" s="11" t="str">
        <f t="shared" si="17"/>
        <v>ジェム2個を起動する：カードを1枚引き、ジェム2個を忠誠ジェムに変換する。&amp;br;あなたのターン終了時に、ボード上に忠誠ジェムが8個以上ある場合、10点のライフを得てこのサポートを変身させる。</v>
      </c>
    </row>
    <row r="1800" spans="1:19" hidden="1" x14ac:dyDescent="0.15">
      <c r="A1800" s="34">
        <v>1798</v>
      </c>
      <c r="B1800" s="35" t="s">
        <v>4881</v>
      </c>
      <c r="C1800" s="17" t="s">
        <v>6585</v>
      </c>
      <c r="D1800" s="17" t="s">
        <v>6785</v>
      </c>
      <c r="E1800" s="18" t="s">
        <v>6614</v>
      </c>
      <c r="F1800" s="22">
        <v>0</v>
      </c>
      <c r="G1800" s="26" t="s">
        <v>6796</v>
      </c>
      <c r="H1800" s="20" t="s">
        <v>6797</v>
      </c>
      <c r="I1800" s="18" t="s">
        <v>288</v>
      </c>
      <c r="J1800" s="17" t="s">
        <v>7093</v>
      </c>
      <c r="K1800" s="17"/>
      <c r="L1800" s="17"/>
      <c r="M1800" s="17" t="s">
        <v>7094</v>
      </c>
      <c r="N1800" s="17"/>
      <c r="O1800" s="17"/>
      <c r="P1800" s="23"/>
      <c r="Q1800" s="17" t="s">
        <v>4756</v>
      </c>
      <c r="R1800" s="17" t="s">
        <v>4756</v>
      </c>
      <c r="S1800" s="11" t="str">
        <f t="shared" si="17"/>
        <v>あなたがライフを得るたびに、代わりに、そのライフの点数の端数を切り上げた半分の点数のライフを得る。あなたがライフを得るたびに、Xマナを得る。Xはあなたが得たライフの点数に等しい。</v>
      </c>
    </row>
    <row r="1801" spans="1:19" hidden="1" x14ac:dyDescent="0.15">
      <c r="A1801" s="34">
        <v>1799</v>
      </c>
      <c r="B1801" s="35" t="s">
        <v>4881</v>
      </c>
      <c r="C1801" s="17" t="s">
        <v>6585</v>
      </c>
      <c r="D1801" s="17" t="s">
        <v>6785</v>
      </c>
      <c r="E1801" s="18" t="s">
        <v>6614</v>
      </c>
      <c r="F1801" s="22">
        <v>17</v>
      </c>
      <c r="G1801" s="26" t="s">
        <v>6798</v>
      </c>
      <c r="H1801" s="20" t="s">
        <v>6799</v>
      </c>
      <c r="I1801" s="18" t="s">
        <v>288</v>
      </c>
      <c r="J1801" s="17"/>
      <c r="K1801" s="17"/>
      <c r="L1801" s="17"/>
      <c r="M1801" s="17" t="s">
        <v>7127</v>
      </c>
      <c r="N1801" s="17" t="s">
        <v>7128</v>
      </c>
      <c r="O1801" s="17"/>
      <c r="P1801" s="23"/>
      <c r="Q1801" s="17" t="s">
        <v>4756</v>
      </c>
      <c r="R1801" s="17" t="s">
        <v>4756</v>
      </c>
      <c r="S1801" s="11" t="str">
        <f t="shared" si="17"/>
        <v>このサポートがボード上にある間、プレインズウォーカーの忠誠度能力は起動できず、あなたの呪文を唱えるマナ・コストは2少なくなり、あなたのクリーチャーは+1/+1の修正を受ける。&amp;br;あなたのターン開始時に、カードを1枚引く。</v>
      </c>
    </row>
    <row r="1802" spans="1:19" hidden="1" x14ac:dyDescent="0.15">
      <c r="A1802" s="34">
        <v>1800</v>
      </c>
      <c r="B1802" s="35" t="s">
        <v>4881</v>
      </c>
      <c r="C1802" s="17" t="s">
        <v>6800</v>
      </c>
      <c r="D1802" s="17" t="s">
        <v>6801</v>
      </c>
      <c r="E1802" s="18" t="s">
        <v>3161</v>
      </c>
      <c r="F1802" s="22">
        <v>16</v>
      </c>
      <c r="G1802" s="17" t="s">
        <v>6815</v>
      </c>
      <c r="H1802" s="20" t="s">
        <v>6816</v>
      </c>
      <c r="I1802" s="18" t="s">
        <v>6806</v>
      </c>
      <c r="J1802" s="17" t="s">
        <v>6817</v>
      </c>
      <c r="K1802" s="17" t="s">
        <v>6818</v>
      </c>
      <c r="L1802" s="17"/>
      <c r="M1802" s="17" t="s">
        <v>6819</v>
      </c>
      <c r="N1802" s="17" t="s">
        <v>6824</v>
      </c>
      <c r="O1802" s="17"/>
      <c r="P1802" s="23"/>
      <c r="Q1802" s="17">
        <v>7</v>
      </c>
      <c r="R1802" s="17">
        <v>7</v>
      </c>
      <c r="S1802" s="11" t="str">
        <f t="shared" si="17"/>
        <v>飛行&amp;br;このクリーチャーが破壊されたとき、あなたの次のターンまで、対戦相手はすべてのマナボーナスを失う。白ジェムが8個以上ある場合、すべてのクリーチャーを破壊する。</v>
      </c>
    </row>
    <row r="1803" spans="1:19" hidden="1" x14ac:dyDescent="0.15">
      <c r="A1803" s="34">
        <v>1801</v>
      </c>
      <c r="B1803" s="35" t="s">
        <v>4881</v>
      </c>
      <c r="C1803" s="17" t="s">
        <v>6800</v>
      </c>
      <c r="D1803" s="17" t="s">
        <v>6802</v>
      </c>
      <c r="E1803" s="18" t="s">
        <v>3161</v>
      </c>
      <c r="F1803" s="22">
        <v>16</v>
      </c>
      <c r="G1803" s="17" t="s">
        <v>6809</v>
      </c>
      <c r="H1803" s="20" t="s">
        <v>6810</v>
      </c>
      <c r="I1803" s="18" t="s">
        <v>339</v>
      </c>
      <c r="J1803" s="17" t="s">
        <v>6817</v>
      </c>
      <c r="K1803" s="17" t="s">
        <v>6818</v>
      </c>
      <c r="L1803" s="17"/>
      <c r="M1803" s="17" t="s">
        <v>6819</v>
      </c>
      <c r="N1803" s="17" t="s">
        <v>6821</v>
      </c>
      <c r="O1803" s="17"/>
      <c r="P1803" s="23"/>
      <c r="Q1803" s="17">
        <v>7</v>
      </c>
      <c r="R1803" s="17">
        <v>7</v>
      </c>
      <c r="S1803" s="11" t="str">
        <f t="shared" si="17"/>
        <v>飛行&amp;br;このクリーチャーが破壊されたとき、対戦相手がコントロールする最初のクリーチャーのコントロールを得る。青ジェムが8個以上ある場合、それは+2/+2の修正を受けるとともに呪禁を得る。</v>
      </c>
    </row>
    <row r="1804" spans="1:19" hidden="1" x14ac:dyDescent="0.15">
      <c r="A1804" s="34">
        <v>1802</v>
      </c>
      <c r="B1804" s="35" t="s">
        <v>4881</v>
      </c>
      <c r="C1804" s="17" t="s">
        <v>6800</v>
      </c>
      <c r="D1804" s="17" t="s">
        <v>6803</v>
      </c>
      <c r="E1804" s="18" t="s">
        <v>3161</v>
      </c>
      <c r="F1804" s="22">
        <v>16</v>
      </c>
      <c r="G1804" s="17" t="s">
        <v>6811</v>
      </c>
      <c r="H1804" s="20" t="s">
        <v>6812</v>
      </c>
      <c r="I1804" s="18" t="s">
        <v>339</v>
      </c>
      <c r="J1804" s="17" t="s">
        <v>6817</v>
      </c>
      <c r="K1804" s="17" t="s">
        <v>6818</v>
      </c>
      <c r="L1804" s="17"/>
      <c r="M1804" s="17" t="s">
        <v>6819</v>
      </c>
      <c r="N1804" s="17" t="s">
        <v>6822</v>
      </c>
      <c r="O1804" s="17"/>
      <c r="P1804" s="23"/>
      <c r="Q1804" s="17">
        <v>7</v>
      </c>
      <c r="R1804" s="17">
        <v>7</v>
      </c>
      <c r="S1804" s="11" t="str">
        <f t="shared" si="17"/>
        <v>飛行&amp;br;このクリーチャーが破壊されたとき、対戦相手は10点のライフを失い、あなたはそれと同じ点数のライフを得る。黒ジェムが8個以上ある場合、対戦相手の最初の3枚のカードを捨てる。</v>
      </c>
    </row>
    <row r="1805" spans="1:19" hidden="1" x14ac:dyDescent="0.15">
      <c r="A1805" s="34">
        <v>1803</v>
      </c>
      <c r="B1805" s="35" t="s">
        <v>4881</v>
      </c>
      <c r="C1805" s="17" t="s">
        <v>6800</v>
      </c>
      <c r="D1805" s="17" t="s">
        <v>6804</v>
      </c>
      <c r="E1805" s="18" t="s">
        <v>3161</v>
      </c>
      <c r="F1805" s="22">
        <v>16</v>
      </c>
      <c r="G1805" s="17" t="s">
        <v>6813</v>
      </c>
      <c r="H1805" s="20" t="s">
        <v>6814</v>
      </c>
      <c r="I1805" s="18" t="s">
        <v>339</v>
      </c>
      <c r="J1805" s="17" t="s">
        <v>6817</v>
      </c>
      <c r="K1805" s="17" t="s">
        <v>6818</v>
      </c>
      <c r="L1805" s="17"/>
      <c r="M1805" s="17" t="s">
        <v>6819</v>
      </c>
      <c r="N1805" s="17" t="s">
        <v>6823</v>
      </c>
      <c r="O1805" s="17"/>
      <c r="P1805" s="23"/>
      <c r="Q1805" s="17">
        <v>7</v>
      </c>
      <c r="R1805" s="17">
        <v>7</v>
      </c>
      <c r="S1805" s="11" t="str">
        <f t="shared" si="17"/>
        <v>飛行&amp;br;このクリーチャーが破壊されたとき、飛行を持たないクリーチャーに8点のダメージを与える。赤ジェムが8個以上ある場合、あなたの手札の最初の呪文はいっぱいのマナを得る。</v>
      </c>
    </row>
    <row r="1806" spans="1:19" hidden="1" x14ac:dyDescent="0.15">
      <c r="A1806" s="34">
        <v>1804</v>
      </c>
      <c r="B1806" s="35" t="s">
        <v>4881</v>
      </c>
      <c r="C1806" s="17" t="s">
        <v>6800</v>
      </c>
      <c r="D1806" s="17" t="s">
        <v>6805</v>
      </c>
      <c r="E1806" s="18" t="s">
        <v>3161</v>
      </c>
      <c r="F1806" s="22">
        <v>16</v>
      </c>
      <c r="G1806" s="17" t="s">
        <v>6807</v>
      </c>
      <c r="H1806" s="20" t="s">
        <v>6808</v>
      </c>
      <c r="I1806" s="18" t="s">
        <v>339</v>
      </c>
      <c r="J1806" s="17" t="s">
        <v>6817</v>
      </c>
      <c r="K1806" s="17" t="s">
        <v>6818</v>
      </c>
      <c r="L1806" s="17"/>
      <c r="M1806" s="17" t="s">
        <v>6819</v>
      </c>
      <c r="N1806" s="17" t="s">
        <v>6820</v>
      </c>
      <c r="O1806" s="17"/>
      <c r="P1806" s="23"/>
      <c r="Q1806" s="17">
        <v>7</v>
      </c>
      <c r="R1806" s="17">
        <v>7</v>
      </c>
      <c r="S1806" s="11" t="str">
        <f t="shared" si="17"/>
        <v>飛行&amp;br;このクリーチャーが破壊されたとき、あなたの他の最初のクリーチャーは+5/+5の修正を受ける。緑ジェムが8個以上ある場合、ジェム16個を緑に変換する。</v>
      </c>
    </row>
    <row r="1807" spans="1:19" hidden="1" x14ac:dyDescent="0.15">
      <c r="A1807" s="34">
        <v>1805</v>
      </c>
      <c r="B1807" s="35" t="s">
        <v>4881</v>
      </c>
      <c r="C1807" s="17" t="s">
        <v>6585</v>
      </c>
      <c r="D1807" s="17"/>
      <c r="E1807" s="18"/>
      <c r="F1807" s="22"/>
      <c r="G1807" s="17"/>
      <c r="H1807" s="20"/>
      <c r="I1807" s="18"/>
      <c r="J1807" s="17"/>
      <c r="K1807" s="17"/>
      <c r="L1807" s="17"/>
      <c r="M1807" s="17"/>
      <c r="N1807" s="17"/>
      <c r="O1807" s="17"/>
      <c r="P1807" s="23"/>
      <c r="Q1807" s="17" t="s">
        <v>4756</v>
      </c>
      <c r="R1807" s="17" t="s">
        <v>4756</v>
      </c>
      <c r="S1807" s="11" t="str">
        <f t="shared" si="17"/>
        <v/>
      </c>
    </row>
    <row r="1808" spans="1:19" hidden="1" x14ac:dyDescent="0.15">
      <c r="A1808" s="34">
        <v>1806</v>
      </c>
      <c r="B1808" s="35" t="s">
        <v>4881</v>
      </c>
      <c r="C1808" s="17" t="s">
        <v>6585</v>
      </c>
      <c r="D1808" s="17"/>
      <c r="E1808" s="18"/>
      <c r="F1808" s="22"/>
      <c r="G1808" s="17"/>
      <c r="H1808" s="20"/>
      <c r="I1808" s="18"/>
      <c r="J1808" s="17"/>
      <c r="K1808" s="17"/>
      <c r="L1808" s="17"/>
      <c r="M1808" s="17"/>
      <c r="N1808" s="17"/>
      <c r="O1808" s="17"/>
      <c r="P1808" s="23"/>
      <c r="Q1808" s="17" t="s">
        <v>4756</v>
      </c>
      <c r="R1808" s="17" t="s">
        <v>4756</v>
      </c>
      <c r="S1808" s="11" t="str">
        <f t="shared" si="17"/>
        <v/>
      </c>
    </row>
    <row r="1809" spans="1:19" hidden="1" x14ac:dyDescent="0.15">
      <c r="A1809" s="34">
        <v>1807</v>
      </c>
      <c r="B1809" s="35" t="s">
        <v>4881</v>
      </c>
      <c r="C1809" s="17" t="s">
        <v>6585</v>
      </c>
      <c r="D1809" s="17"/>
      <c r="E1809" s="18"/>
      <c r="F1809" s="22"/>
      <c r="G1809" s="17"/>
      <c r="H1809" s="20"/>
      <c r="I1809" s="18"/>
      <c r="J1809" s="17"/>
      <c r="K1809" s="17"/>
      <c r="L1809" s="17"/>
      <c r="M1809" s="17"/>
      <c r="N1809" s="17"/>
      <c r="O1809" s="17"/>
      <c r="P1809" s="23"/>
      <c r="Q1809" s="17" t="s">
        <v>4756</v>
      </c>
      <c r="R1809" s="17" t="s">
        <v>4756</v>
      </c>
      <c r="S1809" s="11" t="str">
        <f t="shared" si="17"/>
        <v/>
      </c>
    </row>
  </sheetData>
  <autoFilter ref="A1:S1809">
    <filterColumn colId="2">
      <filters>
        <filter val="RIE"/>
        <filter val="RIX"/>
      </filters>
    </filterColumn>
    <filterColumn colId="4">
      <filters>
        <filter val="アンコモン"/>
      </filters>
    </filterColumn>
  </autoFilter>
  <phoneticPr fontId="1"/>
  <conditionalFormatting sqref="W2:AA31">
    <cfRule type="dataBar" priority="12">
      <dataBar>
        <cfvo type="min"/>
        <cfvo type="max"/>
        <color theme="5" tint="0.39997558519241921"/>
      </dataBar>
      <extLst>
        <ext xmlns:x14="http://schemas.microsoft.com/office/spreadsheetml/2009/9/main" uri="{B025F937-C7B1-47D3-B67F-A62EFF666E3E}">
          <x14:id>{43C89135-BCA7-42A2-9B8C-CA80731A38CD}</x14:id>
        </ext>
      </extLst>
    </cfRule>
  </conditionalFormatting>
  <conditionalFormatting sqref="V2:V31">
    <cfRule type="dataBar" priority="11">
      <dataBar>
        <cfvo type="min"/>
        <cfvo type="max"/>
        <color rgb="FF638EC6"/>
      </dataBar>
      <extLst>
        <ext xmlns:x14="http://schemas.microsoft.com/office/spreadsheetml/2009/9/main" uri="{B025F937-C7B1-47D3-B67F-A62EFF666E3E}">
          <x14:id>{4041D22A-2A51-4EF7-B346-D58BCFB954BD}</x14:id>
        </ext>
      </extLst>
    </cfRule>
  </conditionalFormatting>
  <conditionalFormatting sqref="AC2:AC31">
    <cfRule type="dataBar" priority="6">
      <dataBar>
        <cfvo type="min"/>
        <cfvo type="max"/>
        <color theme="5" tint="0.39997558519241921"/>
      </dataBar>
      <extLst>
        <ext xmlns:x14="http://schemas.microsoft.com/office/spreadsheetml/2009/9/main" uri="{B025F937-C7B1-47D3-B67F-A62EFF666E3E}">
          <x14:id>{9856D708-253A-47D2-8E91-BF7530FE72ED}</x14:id>
        </ext>
      </extLst>
    </cfRule>
  </conditionalFormatting>
  <conditionalFormatting sqref="S1294:S1301">
    <cfRule type="cellIs" dxfId="65" priority="879" operator="notEqual">
      <formula>$R1294</formula>
    </cfRule>
  </conditionalFormatting>
  <dataValidations count="2">
    <dataValidation type="list" allowBlank="1" showInputMessage="1" showErrorMessage="1" sqref="E2:E51">
      <formula1>#REF!</formula1>
    </dataValidation>
    <dataValidation allowBlank="1" showInputMessage="1" showErrorMessage="1" sqref="D1294:E1809"/>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43C89135-BCA7-42A2-9B8C-CA80731A38CD}">
            <x14:dataBar minLength="0" maxLength="100" border="1" negativeBarBorderColorSameAsPositive="0">
              <x14:cfvo type="autoMin"/>
              <x14:cfvo type="autoMax"/>
              <x14:borderColor rgb="FF638EC6"/>
              <x14:negativeFillColor rgb="FFFF0000"/>
              <x14:negativeBorderColor rgb="FFFF0000"/>
              <x14:axisColor rgb="FF000000"/>
            </x14:dataBar>
          </x14:cfRule>
          <xm:sqref>W2:AA31</xm:sqref>
        </x14:conditionalFormatting>
        <x14:conditionalFormatting xmlns:xm="http://schemas.microsoft.com/office/excel/2006/main">
          <x14:cfRule type="dataBar" id="{4041D22A-2A51-4EF7-B346-D58BCFB954BD}">
            <x14:dataBar minLength="0" maxLength="100" border="1" negativeBarBorderColorSameAsPositive="0">
              <x14:cfvo type="autoMin"/>
              <x14:cfvo type="autoMax"/>
              <x14:borderColor rgb="FF638EC6"/>
              <x14:negativeFillColor rgb="FFFF0000"/>
              <x14:negativeBorderColor rgb="FFFF0000"/>
              <x14:axisColor rgb="FF000000"/>
            </x14:dataBar>
          </x14:cfRule>
          <xm:sqref>V2:V31</xm:sqref>
        </x14:conditionalFormatting>
        <x14:conditionalFormatting xmlns:xm="http://schemas.microsoft.com/office/excel/2006/main">
          <x14:cfRule type="dataBar" id="{9856D708-253A-47D2-8E91-BF7530FE72ED}">
            <x14:dataBar minLength="0" maxLength="100" border="1" negativeBarBorderColorSameAsPositive="0">
              <x14:cfvo type="autoMin"/>
              <x14:cfvo type="autoMax"/>
              <x14:borderColor rgb="FF638EC6"/>
              <x14:negativeFillColor rgb="FFFF0000"/>
              <x14:negativeBorderColor rgb="FFFF0000"/>
              <x14:axisColor rgb="FF000000"/>
            </x14:dataBar>
          </x14:cfRule>
          <xm:sqref>AC2:AC31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523"/>
  <sheetViews>
    <sheetView zoomScale="85" zoomScaleNormal="85" workbookViewId="0">
      <selection activeCell="A17" sqref="A17"/>
    </sheetView>
  </sheetViews>
  <sheetFormatPr defaultRowHeight="13.5" x14ac:dyDescent="0.15"/>
  <cols>
    <col min="1" max="1" width="27.375" customWidth="1"/>
    <col min="2" max="2" width="1.25" customWidth="1"/>
    <col min="3" max="3" width="5.5" customWidth="1"/>
    <col min="4" max="4" width="4" customWidth="1"/>
    <col min="5" max="5" width="2.625"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9" x14ac:dyDescent="0.15">
      <c r="A1" t="s">
        <v>4803</v>
      </c>
    </row>
    <row r="3" spans="1:49" ht="16.5" customHeight="1" x14ac:dyDescent="0.15">
      <c r="A3" t="str">
        <f>B3&amp;C3&amp;E3&amp;F3&amp;H3&amp;I3&amp;J3&amp;M3&amp;N3&amp;O3&amp;P3&amp;Q3&amp;R3&amp;S3&amp;T3&amp;V3&amp;W3&amp;X3&amp;Y3</f>
        <v/>
      </c>
    </row>
    <row r="4" spans="1:49" x14ac:dyDescent="0.15">
      <c r="A4" t="str">
        <f>B4&amp;C4&amp;E4&amp;F4&amp;H4&amp;I4&amp;J4&amp;M4&amp;N4&amp;O4&amp;P4&amp;Q4&amp;R4&amp;S4&amp;T4&amp;V4&amp;W4&amp;X4&amp;Y4</f>
        <v/>
      </c>
    </row>
    <row r="5" spans="1:49" x14ac:dyDescent="0.15">
      <c r="A5" t="str">
        <f>B5&amp;C5&amp;E5&amp;F5&amp;H5&amp;I5&amp;J5&amp;M5&amp;N5&amp;O5&amp;P5&amp;Q5&amp;R5&amp;S5&amp;T5&amp;V5&amp;W5&amp;X5&amp;Y5</f>
        <v>**戦乱のゼンディカーブロック</v>
      </c>
      <c r="B5" t="s">
        <v>4752</v>
      </c>
      <c r="C5" t="s">
        <v>4810</v>
      </c>
      <c r="Z5" s="10"/>
    </row>
    <row r="6" spans="1:49" x14ac:dyDescent="0.15">
      <c r="A6" t="str">
        <f>B6&amp;C6&amp;E6&amp;F6&amp;H6&amp;I6&amp;J6&amp;M6&amp;N6&amp;O6&amp;P6&amp;Q6&amp;R6&amp;S6&amp;T6&amp;U6&amp;V6&amp;W6&amp;X6&amp;Y6</f>
        <v>|LEFT:50|LEFT:50|LEFT:50|LEFT:50|LEFT:500|c</v>
      </c>
      <c r="B6" t="s">
        <v>3168</v>
      </c>
      <c r="C6" t="s">
        <v>3162</v>
      </c>
      <c r="E6" t="s">
        <v>3168</v>
      </c>
      <c r="F6" t="s">
        <v>3162</v>
      </c>
      <c r="H6" t="s">
        <v>3168</v>
      </c>
      <c r="I6" t="s">
        <v>3162</v>
      </c>
      <c r="J6" t="s">
        <v>3168</v>
      </c>
      <c r="M6" t="s">
        <v>3162</v>
      </c>
      <c r="R6" t="s">
        <v>3175</v>
      </c>
      <c r="T6" t="s">
        <v>3163</v>
      </c>
      <c r="X6" t="s">
        <v>3175</v>
      </c>
      <c r="Y6" t="s">
        <v>3164</v>
      </c>
      <c r="Z6" s="10"/>
    </row>
    <row r="7" spans="1:49" x14ac:dyDescent="0.15">
      <c r="A7" t="str">
        <f>B7&amp;C7&amp;E7&amp;F7&amp;H7&amp;I7&amp;J7&amp;M7&amp;N7&amp;O7&amp;P7&amp;Q7&amp;R7&amp;S7&amp;T7&amp;U7&amp;V7&amp;W7&amp;X7&amp;Y7</f>
        <v>|セット|色|コスト|P/T|カード名|</v>
      </c>
      <c r="B7" t="s">
        <v>3168</v>
      </c>
      <c r="C7" t="s">
        <v>3169</v>
      </c>
      <c r="E7" t="s">
        <v>3168</v>
      </c>
      <c r="F7" t="s">
        <v>3139</v>
      </c>
      <c r="H7" t="s">
        <v>3168</v>
      </c>
      <c r="I7" t="s">
        <v>3165</v>
      </c>
      <c r="J7" t="s">
        <v>3168</v>
      </c>
      <c r="K7" t="s">
        <v>3126</v>
      </c>
      <c r="L7" t="s">
        <v>3125</v>
      </c>
      <c r="M7" t="str">
        <f>K7&amp;"/"&amp;L7</f>
        <v>P/T</v>
      </c>
      <c r="R7" t="s">
        <v>3175</v>
      </c>
      <c r="T7" t="s">
        <v>3166</v>
      </c>
      <c r="X7" t="s">
        <v>3175</v>
      </c>
      <c r="Z7" s="10"/>
      <c r="AE7" t="b">
        <f>OR(AC7="与える",AD7="得る")</f>
        <v>0</v>
      </c>
      <c r="AF7" s="12"/>
      <c r="AG7" s="12"/>
      <c r="AH7" s="12"/>
      <c r="AI7" s="12"/>
      <c r="AJ7" s="12"/>
      <c r="AK7" s="12"/>
      <c r="AL7" s="12"/>
      <c r="AM7" s="12"/>
      <c r="AN7" s="12"/>
      <c r="AO7" s="12"/>
      <c r="AP7" s="12"/>
      <c r="AQ7" s="12"/>
      <c r="AR7" s="12"/>
      <c r="AS7" s="12"/>
      <c r="AT7" s="12"/>
      <c r="AU7" s="12"/>
      <c r="AV7" s="12"/>
      <c r="AW7" s="12"/>
    </row>
    <row r="8" spans="1:49" x14ac:dyDescent="0.15">
      <c r="A8" t="str">
        <f>B8&amp;C8&amp;E8&amp;F8&amp;H8&amp;I8&amp;J8&amp;M8&amp;N8&amp;O8&amp;P8&amp;Q8&amp;R8&amp;S8&amp;T8&amp;V8&amp;W8&amp;X8&amp;Y8</f>
        <v/>
      </c>
    </row>
    <row r="9" spans="1:49" x14ac:dyDescent="0.15">
      <c r="A9" t="str">
        <f>B9&amp;C9&amp;E9&amp;F9&amp;H9&amp;I9&amp;J9&amp;M9&amp;N9&amp;O9&amp;P9&amp;Q9&amp;R9&amp;S9&amp;T9&amp;V9&amp;W9&amp;X9&amp;Y9</f>
        <v>**イニストラードを覆う影ブロック</v>
      </c>
      <c r="B9" t="s">
        <v>4752</v>
      </c>
      <c r="C9" t="s">
        <v>4811</v>
      </c>
      <c r="Z9" s="10"/>
    </row>
    <row r="10" spans="1:49" x14ac:dyDescent="0.15">
      <c r="A10" t="str">
        <f>B10&amp;C10&amp;E10&amp;F10&amp;H10&amp;I10&amp;J10&amp;M10&amp;N10&amp;O10&amp;P10&amp;Q10&amp;R10&amp;S10&amp;T10&amp;U10&amp;V10&amp;W10&amp;X10&amp;Y10</f>
        <v>|LEFT:50|LEFT:50|LEFT:50|LEFT:50|LEFT:500|c</v>
      </c>
      <c r="B10" t="s">
        <v>3168</v>
      </c>
      <c r="C10" t="s">
        <v>3162</v>
      </c>
      <c r="E10" t="s">
        <v>3168</v>
      </c>
      <c r="F10" t="s">
        <v>3162</v>
      </c>
      <c r="H10" t="s">
        <v>3168</v>
      </c>
      <c r="I10" t="s">
        <v>3162</v>
      </c>
      <c r="J10" t="s">
        <v>3168</v>
      </c>
      <c r="M10" t="s">
        <v>3162</v>
      </c>
      <c r="R10" t="s">
        <v>3175</v>
      </c>
      <c r="T10" t="s">
        <v>3163</v>
      </c>
      <c r="X10" t="s">
        <v>3175</v>
      </c>
      <c r="Y10" t="s">
        <v>3164</v>
      </c>
      <c r="Z10" s="10"/>
    </row>
    <row r="11" spans="1:49" x14ac:dyDescent="0.15">
      <c r="A11" t="str">
        <f>B11&amp;C11&amp;E11&amp;F11&amp;H11&amp;I11&amp;J11&amp;M11&amp;N11&amp;O11&amp;P11&amp;Q11&amp;R11&amp;S11&amp;T11&amp;U11&amp;V11&amp;W11&amp;X11&amp;Y11</f>
        <v>|セット|色|コスト|P/T|カード名|</v>
      </c>
      <c r="B11" t="s">
        <v>3168</v>
      </c>
      <c r="C11" t="s">
        <v>3169</v>
      </c>
      <c r="E11" t="s">
        <v>3168</v>
      </c>
      <c r="F11" t="s">
        <v>3139</v>
      </c>
      <c r="H11" t="s">
        <v>3168</v>
      </c>
      <c r="I11" t="s">
        <v>3165</v>
      </c>
      <c r="J11" t="s">
        <v>3168</v>
      </c>
      <c r="K11" t="s">
        <v>3126</v>
      </c>
      <c r="L11" t="s">
        <v>3125</v>
      </c>
      <c r="M11" t="str">
        <f>K11&amp;"/"&amp;L11</f>
        <v>P/T</v>
      </c>
      <c r="R11" t="s">
        <v>3175</v>
      </c>
      <c r="T11" t="s">
        <v>3166</v>
      </c>
      <c r="X11" t="s">
        <v>3175</v>
      </c>
      <c r="Z11" s="10"/>
      <c r="AE11" t="b">
        <f>OR(AC11="与える",AD11="得る")</f>
        <v>0</v>
      </c>
      <c r="AF11" s="12"/>
      <c r="AG11" s="12"/>
      <c r="AH11" s="12"/>
      <c r="AI11" s="12"/>
      <c r="AJ11" s="12"/>
      <c r="AK11" s="12"/>
      <c r="AL11" s="12"/>
      <c r="AM11" s="12"/>
      <c r="AN11" s="12"/>
      <c r="AO11" s="12"/>
      <c r="AP11" s="12"/>
      <c r="AQ11" s="12"/>
      <c r="AR11" s="12"/>
      <c r="AS11" s="12"/>
      <c r="AT11" s="12"/>
      <c r="AU11" s="12"/>
      <c r="AV11" s="12"/>
      <c r="AW11" s="12"/>
    </row>
    <row r="12" spans="1:49" x14ac:dyDescent="0.15">
      <c r="A12" t="str">
        <f>B12&amp;C12&amp;E12&amp;F12&amp;H12&amp;I12&amp;J12&amp;M12&amp;N12&amp;O12&amp;P12&amp;Q12&amp;R12&amp;S12&amp;T12&amp;V12&amp;W12&amp;X12&amp;Y12</f>
        <v/>
      </c>
    </row>
    <row r="13" spans="1:49" x14ac:dyDescent="0.15">
      <c r="A13" t="str">
        <f>B13&amp;C13&amp;E13&amp;F13&amp;H13&amp;I13&amp;J13&amp;M13&amp;N13&amp;O13&amp;P13&amp;Q13&amp;R13&amp;S13&amp;T13&amp;V13&amp;W13&amp;X13&amp;Y13</f>
        <v>**カラデシュブロック</v>
      </c>
      <c r="B13" t="s">
        <v>4752</v>
      </c>
      <c r="C13" t="s">
        <v>4812</v>
      </c>
      <c r="Z13" s="10"/>
    </row>
    <row r="14" spans="1:49" x14ac:dyDescent="0.15">
      <c r="A14" t="str">
        <f>B14&amp;C14&amp;E14&amp;F14&amp;H14&amp;I14&amp;J14&amp;M14&amp;N14&amp;O14&amp;P14&amp;Q14&amp;R14&amp;S14&amp;T14&amp;U14&amp;V14&amp;W14&amp;X14&amp;Y14</f>
        <v>|LEFT:50|LEFT:50|LEFT:50|LEFT:50|LEFT:500|c</v>
      </c>
      <c r="B14" t="s">
        <v>3168</v>
      </c>
      <c r="C14" t="s">
        <v>3162</v>
      </c>
      <c r="E14" t="s">
        <v>3168</v>
      </c>
      <c r="F14" t="s">
        <v>3162</v>
      </c>
      <c r="H14" t="s">
        <v>3168</v>
      </c>
      <c r="I14" t="s">
        <v>3162</v>
      </c>
      <c r="J14" t="s">
        <v>3168</v>
      </c>
      <c r="M14" t="s">
        <v>3162</v>
      </c>
      <c r="R14" t="s">
        <v>3175</v>
      </c>
      <c r="T14" t="s">
        <v>3163</v>
      </c>
      <c r="X14" t="s">
        <v>3175</v>
      </c>
      <c r="Y14" t="s">
        <v>3164</v>
      </c>
      <c r="Z14" s="10"/>
    </row>
    <row r="15" spans="1:49" x14ac:dyDescent="0.15">
      <c r="A15" t="str">
        <f>B15&amp;C15&amp;E15&amp;F15&amp;H15&amp;I15&amp;J15&amp;M15&amp;N15&amp;O15&amp;P15&amp;Q15&amp;R15&amp;S15&amp;T15&amp;U15&amp;V15&amp;W15&amp;X15&amp;Y15</f>
        <v>|セット|色|コスト|P/T|カード名|</v>
      </c>
      <c r="B15" t="s">
        <v>3168</v>
      </c>
      <c r="C15" t="s">
        <v>3169</v>
      </c>
      <c r="E15" t="s">
        <v>3168</v>
      </c>
      <c r="F15" t="s">
        <v>3139</v>
      </c>
      <c r="H15" t="s">
        <v>3168</v>
      </c>
      <c r="I15" t="s">
        <v>3165</v>
      </c>
      <c r="J15" t="s">
        <v>3168</v>
      </c>
      <c r="K15" t="s">
        <v>3126</v>
      </c>
      <c r="L15" t="s">
        <v>3125</v>
      </c>
      <c r="M15" t="str">
        <f>K15&amp;"/"&amp;L15</f>
        <v>P/T</v>
      </c>
      <c r="R15" t="s">
        <v>3175</v>
      </c>
      <c r="T15" t="s">
        <v>3166</v>
      </c>
      <c r="X15" t="s">
        <v>3175</v>
      </c>
      <c r="Z15" s="10"/>
      <c r="AE15" t="b">
        <f>OR(AC15="与える",AD15="得る")</f>
        <v>0</v>
      </c>
      <c r="AF15" s="12"/>
      <c r="AG15" s="12"/>
      <c r="AH15" s="12"/>
      <c r="AI15" s="12"/>
      <c r="AJ15" s="12"/>
      <c r="AK15" s="12"/>
      <c r="AL15" s="12"/>
      <c r="AM15" s="12"/>
      <c r="AN15" s="12"/>
      <c r="AO15" s="12"/>
      <c r="AP15" s="12"/>
      <c r="AQ15" s="12"/>
      <c r="AR15" s="12"/>
      <c r="AS15" s="12"/>
      <c r="AT15" s="12"/>
      <c r="AU15" s="12"/>
      <c r="AV15" s="12"/>
      <c r="AW15" s="12"/>
    </row>
    <row r="16" spans="1:49" x14ac:dyDescent="0.15">
      <c r="A16" t="str">
        <f>B16&amp;C16&amp;E16&amp;F16&amp;H16&amp;I16&amp;J16&amp;M16&amp;N16&amp;O16&amp;P16&amp;Q16&amp;R16&amp;S16&amp;T16&amp;V16&amp;W16&amp;X16&amp;Y16</f>
        <v/>
      </c>
    </row>
    <row r="17" spans="1:49" x14ac:dyDescent="0.15">
      <c r="A17" t="str">
        <f>B17&amp;C17&amp;E17&amp;F17&amp;H17&amp;I17&amp;J17&amp;M17&amp;N17&amp;O17&amp;P17&amp;Q17&amp;R17&amp;S17&amp;T17&amp;V17&amp;W17&amp;X17&amp;Y17</f>
        <v>**アモンケットブロック</v>
      </c>
      <c r="B17" t="s">
        <v>4752</v>
      </c>
      <c r="C17" t="s">
        <v>4813</v>
      </c>
      <c r="Z17" s="10"/>
    </row>
    <row r="18" spans="1:49" x14ac:dyDescent="0.15">
      <c r="A18" t="str">
        <f>B18&amp;C18&amp;E18&amp;F18&amp;H18&amp;I18&amp;J18&amp;M18&amp;N18&amp;O18&amp;P18&amp;Q18&amp;R18&amp;S18&amp;T18&amp;U18&amp;V18&amp;W18&amp;X18&amp;Y18</f>
        <v>|LEFT:50|LEFT:50|LEFT:50|LEFT:50|LEFT:500|c</v>
      </c>
      <c r="B18" t="s">
        <v>3168</v>
      </c>
      <c r="C18" t="s">
        <v>3162</v>
      </c>
      <c r="E18" t="s">
        <v>3168</v>
      </c>
      <c r="F18" t="s">
        <v>3162</v>
      </c>
      <c r="H18" t="s">
        <v>3168</v>
      </c>
      <c r="I18" t="s">
        <v>3162</v>
      </c>
      <c r="J18" t="s">
        <v>3168</v>
      </c>
      <c r="M18" t="s">
        <v>3162</v>
      </c>
      <c r="R18" t="s">
        <v>3175</v>
      </c>
      <c r="T18" t="s">
        <v>3163</v>
      </c>
      <c r="X18" t="s">
        <v>3175</v>
      </c>
      <c r="Y18" t="s">
        <v>3164</v>
      </c>
      <c r="Z18" s="10"/>
    </row>
    <row r="19" spans="1:49" x14ac:dyDescent="0.15">
      <c r="A19" t="str">
        <f>B19&amp;C19&amp;E19&amp;F19&amp;H19&amp;I19&amp;J19&amp;M19&amp;N19&amp;O19&amp;P19&amp;Q19&amp;R19&amp;S19&amp;T19&amp;U19&amp;V19&amp;W19&amp;X19&amp;Y19</f>
        <v>|セット|色|コスト|P/T|カード名|</v>
      </c>
      <c r="B19" t="s">
        <v>3168</v>
      </c>
      <c r="C19" t="s">
        <v>3169</v>
      </c>
      <c r="E19" t="s">
        <v>3168</v>
      </c>
      <c r="F19" t="s">
        <v>3139</v>
      </c>
      <c r="H19" t="s">
        <v>3168</v>
      </c>
      <c r="I19" t="s">
        <v>3165</v>
      </c>
      <c r="J19" t="s">
        <v>3168</v>
      </c>
      <c r="K19" t="s">
        <v>3126</v>
      </c>
      <c r="L19" t="s">
        <v>3125</v>
      </c>
      <c r="M19" t="str">
        <f>K19&amp;"/"&amp;L19</f>
        <v>P/T</v>
      </c>
      <c r="R19" t="s">
        <v>3175</v>
      </c>
      <c r="T19" t="s">
        <v>3166</v>
      </c>
      <c r="X19" t="s">
        <v>3175</v>
      </c>
      <c r="Z19" s="10"/>
      <c r="AE19" t="b">
        <f>OR(AC19="与える",AD19="得る")</f>
        <v>0</v>
      </c>
      <c r="AF19" s="12"/>
      <c r="AG19" s="12"/>
      <c r="AH19" s="12"/>
      <c r="AI19" s="12"/>
      <c r="AJ19" s="12"/>
      <c r="AK19" s="12"/>
      <c r="AL19" s="12"/>
      <c r="AM19" s="12"/>
      <c r="AN19" s="12"/>
      <c r="AO19" s="12"/>
      <c r="AP19" s="12"/>
      <c r="AQ19" s="12"/>
      <c r="AR19" s="12"/>
      <c r="AS19" s="12"/>
      <c r="AT19" s="12"/>
      <c r="AU19" s="12"/>
      <c r="AV19" s="12"/>
      <c r="AW19" s="12"/>
    </row>
    <row r="22" spans="1:49" x14ac:dyDescent="0.15">
      <c r="A22" t="str">
        <f>B22&amp;C22&amp;E22&amp;F22&amp;H22&amp;I22&amp;J22&amp;M22&amp;N22&amp;O22&amp;P22&amp;Q22&amp;R22&amp;S22&amp;T22&amp;V22&amp;W22&amp;X22&amp;Y22</f>
        <v/>
      </c>
    </row>
    <row r="23" spans="1:49" x14ac:dyDescent="0.15">
      <c r="A23" t="str">
        <f>B23&amp;C23&amp;E23&amp;F23&amp;H23&amp;I23&amp;J23&amp;M23&amp;N23&amp;O23&amp;P23&amp;Q23&amp;R23&amp;S23&amp;T23&amp;V23&amp;W23&amp;X23&amp;Y23</f>
        <v>*パワー5クリーチャーカード一覧</v>
      </c>
      <c r="B23" t="s">
        <v>3173</v>
      </c>
      <c r="C23" t="str">
        <f>"パワー"&amp;AO28</f>
        <v>パワー5</v>
      </c>
      <c r="E23" t="s">
        <v>4814</v>
      </c>
      <c r="F23" t="s">
        <v>3172</v>
      </c>
    </row>
    <row r="24" spans="1:49" x14ac:dyDescent="0.15">
      <c r="A24" t="str">
        <f>B24&amp;C24&amp;E24&amp;F24&amp;H24&amp;I24&amp;J24&amp;M24&amp;N24&amp;O24&amp;P24&amp;Q24&amp;R24&amp;S24&amp;T24&amp;V24&amp;W24&amp;X24&amp;Y24</f>
        <v/>
      </c>
    </row>
    <row r="25" spans="1:49" x14ac:dyDescent="0.15">
      <c r="A25" t="str">
        <f>B25&amp;C25&amp;E25&amp;F25&amp;H25&amp;I25&amp;J25&amp;M25&amp;N25&amp;O25&amp;P25&amp;Q25&amp;R25&amp;S25&amp;T25&amp;V25&amp;W25&amp;X25&amp;Y25</f>
        <v>**マジック:オリジン</v>
      </c>
      <c r="B25" t="s">
        <v>4752</v>
      </c>
      <c r="C25" t="s">
        <v>4753</v>
      </c>
      <c r="Z25" s="10"/>
    </row>
    <row r="26" spans="1:49" x14ac:dyDescent="0.15">
      <c r="A26" t="str">
        <f>B26&amp;C26&amp;E26&amp;F26&amp;H26&amp;I26&amp;J26&amp;M26&amp;N26&amp;O26&amp;P26&amp;Q26&amp;R26&amp;S26&amp;T26&amp;U26&amp;V26&amp;W26&amp;X26&amp;Y26</f>
        <v>|LEFT:50|LEFT:50|LEFT:50|LEFT:120|LEFT:120|LEFT:500|c</v>
      </c>
      <c r="B26" t="s">
        <v>3168</v>
      </c>
      <c r="C26" t="s">
        <v>3162</v>
      </c>
      <c r="E26" t="s">
        <v>3168</v>
      </c>
      <c r="F26" t="s">
        <v>3162</v>
      </c>
      <c r="H26" t="s">
        <v>3168</v>
      </c>
      <c r="I26" t="s">
        <v>3162</v>
      </c>
      <c r="J26" t="s">
        <v>3168</v>
      </c>
      <c r="M26" t="s">
        <v>4808</v>
      </c>
      <c r="N26" t="s">
        <v>3175</v>
      </c>
      <c r="O26" t="s">
        <v>4808</v>
      </c>
      <c r="R26" t="s">
        <v>3175</v>
      </c>
      <c r="T26" t="s">
        <v>3163</v>
      </c>
      <c r="X26" t="s">
        <v>3175</v>
      </c>
      <c r="Y26" t="s">
        <v>3164</v>
      </c>
    </row>
    <row r="27" spans="1:49" x14ac:dyDescent="0.15">
      <c r="A27" t="str">
        <f>B27&amp;C27&amp;E27&amp;F27&amp;H27&amp;I27&amp;J27&amp;M27&amp;N27&amp;O27&amp;P27&amp;Q27&amp;R27&amp;S27&amp;T27&amp;U27&amp;V27&amp;W27&amp;X27&amp;Y27</f>
        <v>|セット|色|コスト|P/T|レアリティ|カード名|</v>
      </c>
      <c r="B27" t="s">
        <v>3168</v>
      </c>
      <c r="C27" t="s">
        <v>3169</v>
      </c>
      <c r="E27" t="s">
        <v>3168</v>
      </c>
      <c r="F27" t="s">
        <v>3139</v>
      </c>
      <c r="H27" t="s">
        <v>3168</v>
      </c>
      <c r="I27" t="s">
        <v>3165</v>
      </c>
      <c r="J27" t="s">
        <v>3168</v>
      </c>
      <c r="K27" t="s">
        <v>3126</v>
      </c>
      <c r="L27" t="s">
        <v>3125</v>
      </c>
      <c r="M27" t="str">
        <f>K27&amp;"/"&amp;L27</f>
        <v>P/T</v>
      </c>
      <c r="N27" t="s">
        <v>3175</v>
      </c>
      <c r="O27" t="s">
        <v>4809</v>
      </c>
      <c r="R27" t="s">
        <v>3175</v>
      </c>
      <c r="T27" t="s">
        <v>3166</v>
      </c>
      <c r="X27" t="s">
        <v>3175</v>
      </c>
      <c r="Z27" s="12"/>
      <c r="AA27" s="12"/>
      <c r="AB27" s="12"/>
      <c r="AC27" s="12"/>
      <c r="AD27" s="12"/>
      <c r="AE27" s="12"/>
      <c r="AF27" s="12"/>
      <c r="AG27" s="12"/>
      <c r="AH27" s="12"/>
      <c r="AI27" s="12"/>
      <c r="AJ27" s="12"/>
      <c r="AK27" s="12"/>
      <c r="AL27" s="12"/>
      <c r="AM27" s="12"/>
      <c r="AN27" s="12"/>
      <c r="AO27" s="12"/>
      <c r="AP27" s="12"/>
      <c r="AQ27" s="12"/>
    </row>
    <row r="28" spans="1:49" x14ac:dyDescent="0.15">
      <c r="A28" t="str">
        <f>B28&amp;C28&amp;E28&amp;F28&amp;H28&amp;I28&amp;J28&amp;M28&amp;N28&amp;O28&amp;P28&amp;Q28&amp;R28&amp;S28&amp;T28&amp;U28&amp;V28&amp;W28&amp;X28&amp;Y28</f>
        <v>|ORI|白|17|5/7|レア|《[[永遠警備の歩哨]]》|</v>
      </c>
      <c r="B28" t="s">
        <v>3168</v>
      </c>
      <c r="C28" t="str">
        <f>AA28</f>
        <v>ORI</v>
      </c>
      <c r="D28">
        <f>IF(AA28="","",VLOOKUP(C28,tnpl!$Z$1:$AA$11,2,TRUE))</f>
        <v>1</v>
      </c>
      <c r="E28" t="s">
        <v>3168</v>
      </c>
      <c r="F28" t="str">
        <f>AB28</f>
        <v>白</v>
      </c>
      <c r="G28">
        <f>IF(AB28="","",VLOOKUP(F28,tnpl!$X$1:$Y$16,2,TRUE))</f>
        <v>1</v>
      </c>
      <c r="H28" t="s">
        <v>3168</v>
      </c>
      <c r="I28">
        <f>AD28</f>
        <v>17</v>
      </c>
      <c r="J28" t="s">
        <v>3168</v>
      </c>
      <c r="K28">
        <f>AO28</f>
        <v>5</v>
      </c>
      <c r="L28">
        <f>AP28</f>
        <v>7</v>
      </c>
      <c r="M28" t="str">
        <f>K28&amp;"/"&amp;L28</f>
        <v>5/7</v>
      </c>
      <c r="N28" t="s">
        <v>3175</v>
      </c>
      <c r="O28" t="str">
        <f>AC28</f>
        <v>レア</v>
      </c>
      <c r="R28" t="s">
        <v>3175</v>
      </c>
      <c r="S28" t="s">
        <v>4750</v>
      </c>
      <c r="T28" t="str">
        <f>AE28</f>
        <v>永遠警備の歩哨</v>
      </c>
      <c r="U28" t="str">
        <f>IF(I28=0,"&gt;","")</f>
        <v/>
      </c>
      <c r="V28" t="str">
        <f>IF(I28=0,VLOOKUP(T28,Sheet4!A:B,2,TRUE),"")</f>
        <v/>
      </c>
      <c r="W28" t="s">
        <v>4751</v>
      </c>
      <c r="X28" t="s">
        <v>3175</v>
      </c>
      <c r="Y28" s="9"/>
      <c r="Z28" s="3">
        <v>32</v>
      </c>
      <c r="AA28" s="2" t="s">
        <v>3176</v>
      </c>
      <c r="AB28" s="1" t="s">
        <v>1627</v>
      </c>
      <c r="AC28" s="1" t="s">
        <v>1441</v>
      </c>
      <c r="AD28" s="1">
        <v>17</v>
      </c>
      <c r="AE28" s="1" t="s">
        <v>3031</v>
      </c>
      <c r="AF28" s="1" t="s">
        <v>3030</v>
      </c>
      <c r="AG28" s="1" t="s">
        <v>339</v>
      </c>
      <c r="AH28" s="1" t="s">
        <v>2049</v>
      </c>
      <c r="AI28" s="1" t="s">
        <v>1799</v>
      </c>
      <c r="AJ28" s="1"/>
      <c r="AK28" s="1" t="s">
        <v>3194</v>
      </c>
      <c r="AL28" s="1" t="s">
        <v>3029</v>
      </c>
      <c r="AM28" s="1"/>
      <c r="AN28" s="1"/>
      <c r="AO28" s="1">
        <v>5</v>
      </c>
      <c r="AP28" s="1">
        <v>7</v>
      </c>
      <c r="AQ28" s="1" t="s">
        <v>3195</v>
      </c>
    </row>
    <row r="30" spans="1:49" x14ac:dyDescent="0.15">
      <c r="A30" t="s">
        <v>4821</v>
      </c>
    </row>
    <row r="31" spans="1:49" x14ac:dyDescent="0.15">
      <c r="A31" t="str">
        <f>B31&amp;C31&amp;E31&amp;F31&amp;H31&amp;I31&amp;J31&amp;M31&amp;N31&amp;O31&amp;P31&amp;Q31&amp;R31&amp;S31&amp;T31&amp;U31&amp;V31&amp;W31&amp;X31&amp;Y31</f>
        <v>|LEFT:50|LEFT:50|LEFT:50|LEFT:50|LEFT:500|c</v>
      </c>
      <c r="B31" t="s">
        <v>3168</v>
      </c>
      <c r="C31" t="s">
        <v>3162</v>
      </c>
      <c r="E31" t="s">
        <v>3168</v>
      </c>
      <c r="F31" t="s">
        <v>3162</v>
      </c>
      <c r="H31" t="s">
        <v>3168</v>
      </c>
      <c r="I31" t="s">
        <v>3162</v>
      </c>
      <c r="J31" t="s">
        <v>3168</v>
      </c>
      <c r="M31" t="s">
        <v>3162</v>
      </c>
      <c r="R31" t="s">
        <v>3175</v>
      </c>
      <c r="T31" t="s">
        <v>3163</v>
      </c>
      <c r="X31" t="s">
        <v>3175</v>
      </c>
      <c r="Y31" t="s">
        <v>3164</v>
      </c>
      <c r="Z31" s="10"/>
    </row>
    <row r="32" spans="1:49" x14ac:dyDescent="0.15">
      <c r="A32" t="str">
        <f>B32&amp;C32&amp;E32&amp;F32&amp;H32&amp;I32&amp;J32&amp;M32&amp;N32&amp;O32&amp;P32&amp;Q32&amp;R32&amp;S32&amp;T32&amp;U32&amp;V32&amp;W32&amp;X32&amp;Y32</f>
        <v>|セット|色|コスト|P/T|カード名|</v>
      </c>
      <c r="B32" t="s">
        <v>3168</v>
      </c>
      <c r="C32" t="s">
        <v>3169</v>
      </c>
      <c r="E32" t="s">
        <v>3168</v>
      </c>
      <c r="F32" t="s">
        <v>3139</v>
      </c>
      <c r="H32" t="s">
        <v>3168</v>
      </c>
      <c r="I32" t="s">
        <v>3165</v>
      </c>
      <c r="J32" t="s">
        <v>3168</v>
      </c>
      <c r="K32" t="s">
        <v>3126</v>
      </c>
      <c r="L32" t="s">
        <v>3125</v>
      </c>
      <c r="M32" t="str">
        <f>K32&amp;"/"&amp;L32</f>
        <v>P/T</v>
      </c>
      <c r="R32" t="s">
        <v>3175</v>
      </c>
      <c r="T32" t="s">
        <v>3166</v>
      </c>
      <c r="X32" t="s">
        <v>3175</v>
      </c>
      <c r="Z32" s="10"/>
      <c r="AE32" t="b">
        <f>OR(AC32="与える",AD32="得る")</f>
        <v>0</v>
      </c>
      <c r="AF32" s="12"/>
      <c r="AG32" s="12"/>
      <c r="AH32" s="12"/>
      <c r="AI32" s="12"/>
      <c r="AJ32" s="12"/>
      <c r="AK32" s="12"/>
      <c r="AL32" s="12"/>
      <c r="AM32" s="12"/>
      <c r="AN32" s="12"/>
      <c r="AO32" s="12"/>
      <c r="AP32" s="12"/>
      <c r="AQ32" s="12"/>
      <c r="AR32" s="12"/>
      <c r="AS32" s="12"/>
      <c r="AT32" s="12"/>
      <c r="AU32" s="12"/>
      <c r="AV32" s="12"/>
      <c r="AW32" s="12"/>
    </row>
    <row r="34" spans="1:43" x14ac:dyDescent="0.15">
      <c r="A34" t="s">
        <v>4822</v>
      </c>
    </row>
    <row r="35" spans="1:43" x14ac:dyDescent="0.15">
      <c r="A35" t="str">
        <f>B35&amp;C35&amp;E35&amp;F35&amp;H35&amp;I35&amp;J35&amp;M35&amp;N35&amp;O35&amp;P35&amp;Q35&amp;R35&amp;S35&amp;T35&amp;U35&amp;V35&amp;W35&amp;X35&amp;Y35</f>
        <v>|LEFT:50|LEFT:50|LEFT:50|LEFT:75|LEFT:120|LEFT:500|c</v>
      </c>
      <c r="B35" t="s">
        <v>3168</v>
      </c>
      <c r="C35" t="s">
        <v>3162</v>
      </c>
      <c r="E35" t="s">
        <v>3168</v>
      </c>
      <c r="F35" t="s">
        <v>3162</v>
      </c>
      <c r="H35" t="s">
        <v>3168</v>
      </c>
      <c r="I35" t="s">
        <v>3162</v>
      </c>
      <c r="J35" t="s">
        <v>3168</v>
      </c>
      <c r="M35" t="s">
        <v>4823</v>
      </c>
      <c r="N35" t="s">
        <v>3175</v>
      </c>
      <c r="O35" t="s">
        <v>4808</v>
      </c>
      <c r="R35" t="s">
        <v>3175</v>
      </c>
      <c r="T35" t="s">
        <v>3163</v>
      </c>
      <c r="X35" t="s">
        <v>3175</v>
      </c>
      <c r="Y35" t="s">
        <v>3164</v>
      </c>
    </row>
    <row r="36" spans="1:43" x14ac:dyDescent="0.15">
      <c r="A36" t="str">
        <f>B36&amp;C36&amp;E36&amp;F36&amp;H36&amp;I36&amp;J36&amp;M36&amp;N36&amp;O36&amp;P36&amp;Q36&amp;R36&amp;S36&amp;T36&amp;U36&amp;V36&amp;W36&amp;X36&amp;Y36</f>
        <v>|セット|色|コスト|P/T|レアリティ|カード名|</v>
      </c>
      <c r="B36" t="s">
        <v>3168</v>
      </c>
      <c r="C36" t="s">
        <v>3169</v>
      </c>
      <c r="E36" t="s">
        <v>3168</v>
      </c>
      <c r="F36" t="s">
        <v>3139</v>
      </c>
      <c r="H36" t="s">
        <v>3168</v>
      </c>
      <c r="I36" t="s">
        <v>3165</v>
      </c>
      <c r="J36" t="s">
        <v>3168</v>
      </c>
      <c r="K36" t="s">
        <v>3126</v>
      </c>
      <c r="L36" t="s">
        <v>3125</v>
      </c>
      <c r="M36" t="str">
        <f>K36&amp;"/"&amp;L36</f>
        <v>P/T</v>
      </c>
      <c r="N36" t="s">
        <v>3175</v>
      </c>
      <c r="O36" t="s">
        <v>4809</v>
      </c>
      <c r="R36" t="s">
        <v>3175</v>
      </c>
      <c r="T36" t="s">
        <v>3166</v>
      </c>
      <c r="X36" t="s">
        <v>3175</v>
      </c>
      <c r="Z36" s="12"/>
      <c r="AA36" s="12"/>
      <c r="AB36" s="12"/>
      <c r="AC36" s="12"/>
      <c r="AD36" s="12"/>
      <c r="AE36" s="12"/>
      <c r="AF36" s="12"/>
      <c r="AG36" s="12"/>
      <c r="AH36" s="12"/>
      <c r="AI36" s="12"/>
      <c r="AJ36" s="12"/>
      <c r="AK36" s="12"/>
      <c r="AL36" s="12"/>
      <c r="AM36" s="12"/>
      <c r="AN36" s="12"/>
      <c r="AO36" s="12"/>
      <c r="AP36" s="12"/>
      <c r="AQ36" s="12"/>
    </row>
    <row r="82" spans="1:43" x14ac:dyDescent="0.15">
      <c r="A82" t="str">
        <f>B82&amp;C82&amp;E82&amp;F82&amp;H82&amp;I82&amp;J82&amp;M82&amp;N82&amp;O82&amp;P82&amp;Q82&amp;R82&amp;S82&amp;T82&amp;V82&amp;W82&amp;X82&amp;Y82</f>
        <v>*パワー2タフネス2以外クリーチャー</v>
      </c>
      <c r="B82" t="s">
        <v>3173</v>
      </c>
      <c r="C82" t="str">
        <f>"パワー"&amp;AO88</f>
        <v>パワー2</v>
      </c>
      <c r="E82" t="str">
        <f>"タフネス"&amp;AO88&amp;"以外"</f>
        <v>タフネス2以外</v>
      </c>
      <c r="F82" t="s">
        <v>4814</v>
      </c>
      <c r="G82" t="s">
        <v>3172</v>
      </c>
    </row>
    <row r="83" spans="1:43" x14ac:dyDescent="0.15">
      <c r="A83" t="s">
        <v>4815</v>
      </c>
    </row>
    <row r="84" spans="1:43" x14ac:dyDescent="0.15">
      <c r="A84" t="str">
        <f>B84&amp;C84&amp;E84&amp;F84&amp;H84&amp;I84&amp;J84&amp;M84&amp;N84&amp;O84&amp;P84&amp;Q84&amp;R84&amp;S84&amp;T84&amp;V84&amp;W84&amp;X84&amp;Y84</f>
        <v/>
      </c>
    </row>
    <row r="85" spans="1:43" x14ac:dyDescent="0.15">
      <c r="A85" t="str">
        <f>B85&amp;C85&amp;E85&amp;F85&amp;H85&amp;I85&amp;J85&amp;M85&amp;N85&amp;O85&amp;P85&amp;Q85&amp;R85&amp;S85&amp;T85&amp;V85&amp;W85&amp;X85&amp;Y85</f>
        <v>**2/1クリーチャー</v>
      </c>
      <c r="B85" t="s">
        <v>4752</v>
      </c>
      <c r="C85">
        <f>K88</f>
        <v>2</v>
      </c>
      <c r="E85" t="s">
        <v>4816</v>
      </c>
      <c r="F85">
        <f>L88</f>
        <v>1</v>
      </c>
      <c r="I85" t="s">
        <v>339</v>
      </c>
    </row>
    <row r="86" spans="1:43" x14ac:dyDescent="0.15">
      <c r="A86" t="str">
        <f t="shared" ref="A86:A120" si="0">B86&amp;C86&amp;E86&amp;F86&amp;H86&amp;I86&amp;J86&amp;M86&amp;N86&amp;O86&amp;P86&amp;Q86&amp;R86&amp;S86&amp;T86&amp;U86&amp;V86&amp;W86&amp;X86&amp;Y86</f>
        <v>|LEFT:50|LEFT:50|LEFT:50|LEFT:120|LEFT:120|LEFT:500|c</v>
      </c>
      <c r="B86" t="s">
        <v>3168</v>
      </c>
      <c r="C86" t="s">
        <v>3162</v>
      </c>
      <c r="E86" t="s">
        <v>3168</v>
      </c>
      <c r="F86" t="s">
        <v>3162</v>
      </c>
      <c r="H86" t="s">
        <v>3168</v>
      </c>
      <c r="I86" t="s">
        <v>3162</v>
      </c>
      <c r="J86" t="s">
        <v>3168</v>
      </c>
      <c r="M86" t="s">
        <v>4808</v>
      </c>
      <c r="N86" t="s">
        <v>3175</v>
      </c>
      <c r="O86" t="s">
        <v>4808</v>
      </c>
      <c r="R86" t="s">
        <v>3175</v>
      </c>
      <c r="T86" t="s">
        <v>3163</v>
      </c>
      <c r="X86" t="s">
        <v>3175</v>
      </c>
      <c r="Y86" t="s">
        <v>3164</v>
      </c>
    </row>
    <row r="87" spans="1:43" x14ac:dyDescent="0.15">
      <c r="A87" t="str">
        <f t="shared" si="0"/>
        <v>|セット|色|コスト|P/T|レアリティ|カード名|</v>
      </c>
      <c r="B87" t="s">
        <v>3168</v>
      </c>
      <c r="C87" t="s">
        <v>3169</v>
      </c>
      <c r="E87" t="s">
        <v>3168</v>
      </c>
      <c r="F87" t="s">
        <v>3139</v>
      </c>
      <c r="H87" t="s">
        <v>3168</v>
      </c>
      <c r="I87" t="s">
        <v>3165</v>
      </c>
      <c r="J87" t="s">
        <v>3168</v>
      </c>
      <c r="K87" t="s">
        <v>3126</v>
      </c>
      <c r="L87" t="s">
        <v>3125</v>
      </c>
      <c r="M87" t="str">
        <f t="shared" ref="M87:M120" si="1">K87&amp;"/"&amp;L87</f>
        <v>P/T</v>
      </c>
      <c r="N87" t="s">
        <v>3175</v>
      </c>
      <c r="O87" t="s">
        <v>4809</v>
      </c>
      <c r="R87" t="s">
        <v>3175</v>
      </c>
      <c r="T87" t="s">
        <v>3166</v>
      </c>
      <c r="V87" t="str">
        <f>IF(I87=0,VLOOKUP(TAG!T87,Sheet4!A:B,2,TRUE),"")</f>
        <v/>
      </c>
      <c r="X87" t="s">
        <v>3175</v>
      </c>
      <c r="Z87" s="12"/>
      <c r="AA87" s="12"/>
      <c r="AB87" s="12"/>
      <c r="AC87" s="12"/>
      <c r="AD87" s="12"/>
      <c r="AE87" s="12"/>
      <c r="AF87" s="12"/>
      <c r="AG87" s="12"/>
      <c r="AH87" s="12"/>
      <c r="AI87" s="12"/>
      <c r="AJ87" s="12"/>
      <c r="AK87" s="12"/>
      <c r="AL87" s="12"/>
      <c r="AM87" s="12"/>
      <c r="AN87" s="12"/>
      <c r="AO87" s="12"/>
      <c r="AP87" s="12"/>
      <c r="AQ87" s="12"/>
    </row>
    <row r="88" spans="1:43" x14ac:dyDescent="0.15">
      <c r="A88" t="str">
        <f t="shared" si="0"/>
        <v>|ORI|青|1|2/1|コモン|《[[金切り声のスカーブ]]》|</v>
      </c>
      <c r="B88" t="s">
        <v>3168</v>
      </c>
      <c r="C88" t="str">
        <f t="shared" ref="C88:C120" si="2">AA88</f>
        <v>ORI</v>
      </c>
      <c r="D88">
        <f>IF(AA88="","",VLOOKUP(C88,tnpl!$Z$1:$AA$11,2,TRUE))</f>
        <v>1</v>
      </c>
      <c r="E88" t="s">
        <v>3168</v>
      </c>
      <c r="F88" t="str">
        <f t="shared" ref="F88:F120" si="3">AB88</f>
        <v>青</v>
      </c>
      <c r="G88">
        <f>IF(AB88="","",VLOOKUP(F88,tnpl!$X$1:$Y$16,2,TRUE))</f>
        <v>2</v>
      </c>
      <c r="H88" t="s">
        <v>3168</v>
      </c>
      <c r="I88">
        <f t="shared" ref="I88:I120" si="4">AD88</f>
        <v>1</v>
      </c>
      <c r="J88" t="s">
        <v>3168</v>
      </c>
      <c r="K88">
        <f t="shared" ref="K88:K120" si="5">AO88</f>
        <v>2</v>
      </c>
      <c r="L88">
        <f t="shared" ref="L88:L120" si="6">AP88</f>
        <v>1</v>
      </c>
      <c r="M88" t="str">
        <f t="shared" si="1"/>
        <v>2/1</v>
      </c>
      <c r="N88" t="s">
        <v>3175</v>
      </c>
      <c r="O88" t="str">
        <f t="shared" ref="O88:O120" si="7">AC88</f>
        <v>コモン</v>
      </c>
      <c r="R88" t="s">
        <v>3175</v>
      </c>
      <c r="S88" t="s">
        <v>4750</v>
      </c>
      <c r="T88" t="str">
        <f t="shared" ref="T88:T120" si="8">AE88</f>
        <v>金切り声のスカーブ</v>
      </c>
      <c r="U88" t="str">
        <f t="shared" ref="U88:U120" si="9">IF(I88=0,"&gt;","")</f>
        <v/>
      </c>
      <c r="V88" t="str">
        <f>IF(I88=0,VLOOKUP(TAG!T88,Sheet4!A:B,2,TRUE),"")</f>
        <v/>
      </c>
      <c r="W88" t="s">
        <v>4751</v>
      </c>
      <c r="X88" t="s">
        <v>3175</v>
      </c>
      <c r="Z88" s="3">
        <v>46</v>
      </c>
      <c r="AA88" s="2" t="s">
        <v>3176</v>
      </c>
      <c r="AB88" s="1" t="s">
        <v>1606</v>
      </c>
      <c r="AC88" s="1" t="s">
        <v>1744</v>
      </c>
      <c r="AD88" s="1">
        <v>1</v>
      </c>
      <c r="AE88" s="1" t="s">
        <v>2985</v>
      </c>
      <c r="AF88" s="1" t="s">
        <v>2984</v>
      </c>
      <c r="AG88" s="1" t="s">
        <v>339</v>
      </c>
      <c r="AH88" s="1" t="s">
        <v>1484</v>
      </c>
      <c r="AI88" s="1"/>
      <c r="AJ88" s="1"/>
      <c r="AK88" s="1" t="s">
        <v>2983</v>
      </c>
      <c r="AL88" s="1"/>
      <c r="AM88" s="1"/>
      <c r="AN88" s="1"/>
      <c r="AO88" s="1">
        <v>2</v>
      </c>
      <c r="AP88" s="1">
        <v>1</v>
      </c>
      <c r="AQ88" s="1" t="s">
        <v>2983</v>
      </c>
    </row>
    <row r="89" spans="1:43" x14ac:dyDescent="0.15">
      <c r="A89" t="str">
        <f t="shared" si="0"/>
        <v>|ORI|赤|9|2/1|コモン|《[[ギラプールの歯車造り]]》|</v>
      </c>
      <c r="B89" t="s">
        <v>3168</v>
      </c>
      <c r="C89" t="str">
        <f t="shared" si="2"/>
        <v>ORI</v>
      </c>
      <c r="D89">
        <f>IF(AA89="","",VLOOKUP(C89,tnpl!$Z$1:$AA$11,2,TRUE))</f>
        <v>1</v>
      </c>
      <c r="E89" t="s">
        <v>3168</v>
      </c>
      <c r="F89" t="str">
        <f t="shared" si="3"/>
        <v>赤</v>
      </c>
      <c r="G89">
        <f>IF(AB89="","",VLOOKUP(F89,tnpl!$X$1:$Y$16,2,TRUE))</f>
        <v>4</v>
      </c>
      <c r="H89" t="s">
        <v>3168</v>
      </c>
      <c r="I89">
        <f t="shared" si="4"/>
        <v>9</v>
      </c>
      <c r="J89" t="s">
        <v>3168</v>
      </c>
      <c r="K89">
        <f t="shared" si="5"/>
        <v>2</v>
      </c>
      <c r="L89">
        <f t="shared" si="6"/>
        <v>1</v>
      </c>
      <c r="M89" t="str">
        <f t="shared" si="1"/>
        <v>2/1</v>
      </c>
      <c r="N89" t="s">
        <v>3175</v>
      </c>
      <c r="O89" t="str">
        <f t="shared" si="7"/>
        <v>コモン</v>
      </c>
      <c r="R89" t="s">
        <v>3175</v>
      </c>
      <c r="S89" t="s">
        <v>4750</v>
      </c>
      <c r="T89" t="str">
        <f t="shared" si="8"/>
        <v>ギラプールの歯車造り</v>
      </c>
      <c r="U89" t="str">
        <f t="shared" si="9"/>
        <v/>
      </c>
      <c r="V89" t="str">
        <f>IF(I89=0,VLOOKUP(TAG!T89,Sheet4!A:B,2,TRUE),"")</f>
        <v/>
      </c>
      <c r="W89" t="s">
        <v>4751</v>
      </c>
      <c r="X89" t="s">
        <v>3175</v>
      </c>
      <c r="Z89" s="3">
        <v>128</v>
      </c>
      <c r="AA89" s="2" t="s">
        <v>3176</v>
      </c>
      <c r="AB89" s="1" t="s">
        <v>1552</v>
      </c>
      <c r="AC89" s="1" t="s">
        <v>1744</v>
      </c>
      <c r="AD89" s="1">
        <v>9</v>
      </c>
      <c r="AE89" s="1" t="s">
        <v>2754</v>
      </c>
      <c r="AF89" s="1" t="s">
        <v>2753</v>
      </c>
      <c r="AG89" s="1" t="s">
        <v>339</v>
      </c>
      <c r="AH89" s="1" t="s">
        <v>1489</v>
      </c>
      <c r="AI89" s="1" t="s">
        <v>1641</v>
      </c>
      <c r="AJ89" s="1"/>
      <c r="AK89" s="1" t="s">
        <v>2752</v>
      </c>
      <c r="AL89" s="1"/>
      <c r="AM89" s="1"/>
      <c r="AN89" s="1"/>
      <c r="AO89" s="1">
        <v>2</v>
      </c>
      <c r="AP89" s="1">
        <v>1</v>
      </c>
      <c r="AQ89" s="1" t="s">
        <v>2752</v>
      </c>
    </row>
    <row r="90" spans="1:43" x14ac:dyDescent="0.15">
      <c r="A90" t="str">
        <f t="shared" si="0"/>
        <v>|ORI|赤|4|2/1|コモン|《[[地底の斥候]]》|</v>
      </c>
      <c r="B90" t="s">
        <v>3168</v>
      </c>
      <c r="C90" t="str">
        <f t="shared" si="2"/>
        <v>ORI</v>
      </c>
      <c r="D90">
        <f>IF(AA90="","",VLOOKUP(C90,tnpl!$Z$1:$AA$11,2,TRUE))</f>
        <v>1</v>
      </c>
      <c r="E90" t="s">
        <v>3168</v>
      </c>
      <c r="F90" t="str">
        <f t="shared" si="3"/>
        <v>赤</v>
      </c>
      <c r="G90">
        <f>IF(AB90="","",VLOOKUP(F90,tnpl!$X$1:$Y$16,2,TRUE))</f>
        <v>4</v>
      </c>
      <c r="H90" t="s">
        <v>3168</v>
      </c>
      <c r="I90">
        <f t="shared" si="4"/>
        <v>4</v>
      </c>
      <c r="J90" t="s">
        <v>3168</v>
      </c>
      <c r="K90">
        <f t="shared" si="5"/>
        <v>2</v>
      </c>
      <c r="L90">
        <f t="shared" si="6"/>
        <v>1</v>
      </c>
      <c r="M90" t="str">
        <f t="shared" si="1"/>
        <v>2/1</v>
      </c>
      <c r="N90" t="s">
        <v>3175</v>
      </c>
      <c r="O90" t="str">
        <f t="shared" si="7"/>
        <v>コモン</v>
      </c>
      <c r="R90" t="s">
        <v>3175</v>
      </c>
      <c r="S90" t="s">
        <v>4750</v>
      </c>
      <c r="T90" t="str">
        <f t="shared" si="8"/>
        <v>地底の斥候</v>
      </c>
      <c r="U90" t="str">
        <f t="shared" si="9"/>
        <v/>
      </c>
      <c r="V90" t="str">
        <f>IF(I90=0,VLOOKUP(TAG!T90,Sheet4!A:B,2,TRUE),"")</f>
        <v/>
      </c>
      <c r="W90" t="s">
        <v>4751</v>
      </c>
      <c r="X90" t="s">
        <v>3175</v>
      </c>
      <c r="Z90" s="3">
        <v>130</v>
      </c>
      <c r="AA90" s="2" t="s">
        <v>3176</v>
      </c>
      <c r="AB90" s="1" t="s">
        <v>1552</v>
      </c>
      <c r="AC90" s="1" t="s">
        <v>1744</v>
      </c>
      <c r="AD90" s="1">
        <v>4</v>
      </c>
      <c r="AE90" s="1" t="s">
        <v>2749</v>
      </c>
      <c r="AF90" s="1" t="s">
        <v>2748</v>
      </c>
      <c r="AG90" s="1" t="s">
        <v>339</v>
      </c>
      <c r="AH90" s="1" t="s">
        <v>1564</v>
      </c>
      <c r="AI90" s="1" t="s">
        <v>1929</v>
      </c>
      <c r="AJ90" s="1"/>
      <c r="AK90" s="1"/>
      <c r="AL90" s="1"/>
      <c r="AM90" s="1"/>
      <c r="AN90" s="1"/>
      <c r="AO90" s="1">
        <v>2</v>
      </c>
      <c r="AP90" s="1">
        <v>1</v>
      </c>
      <c r="AQ90" s="1"/>
    </row>
    <row r="91" spans="1:43" x14ac:dyDescent="0.15">
      <c r="A91" t="str">
        <f t="shared" si="0"/>
        <v>|ORI|緑|5|2/1|コモン|《[[葉光らせ]]》|</v>
      </c>
      <c r="B91" t="s">
        <v>3168</v>
      </c>
      <c r="C91" t="str">
        <f t="shared" si="2"/>
        <v>ORI</v>
      </c>
      <c r="D91">
        <f>IF(AA91="","",VLOOKUP(C91,tnpl!$Z$1:$AA$11,2,TRUE))</f>
        <v>1</v>
      </c>
      <c r="E91" t="s">
        <v>3168</v>
      </c>
      <c r="F91" t="str">
        <f t="shared" si="3"/>
        <v>緑</v>
      </c>
      <c r="G91">
        <f>IF(AB91="","",VLOOKUP(F91,tnpl!$X$1:$Y$16,2,TRUE))</f>
        <v>5</v>
      </c>
      <c r="H91" t="s">
        <v>3168</v>
      </c>
      <c r="I91">
        <f t="shared" si="4"/>
        <v>5</v>
      </c>
      <c r="J91" t="s">
        <v>3168</v>
      </c>
      <c r="K91">
        <f t="shared" si="5"/>
        <v>2</v>
      </c>
      <c r="L91">
        <f t="shared" si="6"/>
        <v>1</v>
      </c>
      <c r="M91" t="str">
        <f t="shared" si="1"/>
        <v>2/1</v>
      </c>
      <c r="N91" t="s">
        <v>3175</v>
      </c>
      <c r="O91" t="str">
        <f t="shared" si="7"/>
        <v>コモン</v>
      </c>
      <c r="R91" t="s">
        <v>3175</v>
      </c>
      <c r="S91" t="s">
        <v>4750</v>
      </c>
      <c r="T91" t="str">
        <f t="shared" si="8"/>
        <v>葉光らせ</v>
      </c>
      <c r="U91" t="str">
        <f t="shared" si="9"/>
        <v/>
      </c>
      <c r="V91" t="str">
        <f>IF(I91=0,VLOOKUP(TAG!T91,Sheet4!A:B,2,TRUE),"")</f>
        <v/>
      </c>
      <c r="W91" t="s">
        <v>4751</v>
      </c>
      <c r="X91" t="s">
        <v>3175</v>
      </c>
      <c r="Z91" s="3">
        <v>166</v>
      </c>
      <c r="AA91" s="2" t="s">
        <v>3176</v>
      </c>
      <c r="AB91" s="1" t="s">
        <v>1518</v>
      </c>
      <c r="AC91" s="1" t="s">
        <v>1744</v>
      </c>
      <c r="AD91" s="1">
        <v>5</v>
      </c>
      <c r="AE91" s="1" t="s">
        <v>2648</v>
      </c>
      <c r="AF91" s="1" t="s">
        <v>2647</v>
      </c>
      <c r="AG91" s="1" t="s">
        <v>339</v>
      </c>
      <c r="AH91" s="1" t="s">
        <v>1479</v>
      </c>
      <c r="AI91" s="1" t="s">
        <v>1529</v>
      </c>
      <c r="AJ91" s="1"/>
      <c r="AK91" s="1"/>
      <c r="AL91" s="1"/>
      <c r="AM91" s="1"/>
      <c r="AN91" s="1"/>
      <c r="AO91" s="1">
        <v>2</v>
      </c>
      <c r="AP91" s="1">
        <v>1</v>
      </c>
      <c r="AQ91" s="1"/>
    </row>
    <row r="92" spans="1:43" x14ac:dyDescent="0.15">
      <c r="A92" t="str">
        <f t="shared" si="0"/>
        <v>|ORI|無色|3|2/1|コモン|《[[結束した構築物]]》|</v>
      </c>
      <c r="B92" t="s">
        <v>3168</v>
      </c>
      <c r="C92" t="str">
        <f t="shared" si="2"/>
        <v>ORI</v>
      </c>
      <c r="D92">
        <f>IF(AA92="","",VLOOKUP(C92,tnpl!$Z$1:$AA$11,2,TRUE))</f>
        <v>1</v>
      </c>
      <c r="E92" t="s">
        <v>3168</v>
      </c>
      <c r="F92" t="str">
        <f t="shared" si="3"/>
        <v>無色</v>
      </c>
      <c r="G92">
        <f>IF(AB92="","",VLOOKUP(F92,tnpl!$X$1:$Y$16,2,TRUE))</f>
        <v>16</v>
      </c>
      <c r="H92" t="s">
        <v>3168</v>
      </c>
      <c r="I92">
        <f t="shared" si="4"/>
        <v>3</v>
      </c>
      <c r="J92" t="s">
        <v>3168</v>
      </c>
      <c r="K92">
        <f t="shared" si="5"/>
        <v>2</v>
      </c>
      <c r="L92">
        <f t="shared" si="6"/>
        <v>1</v>
      </c>
      <c r="M92" t="str">
        <f t="shared" si="1"/>
        <v>2/1</v>
      </c>
      <c r="N92" t="s">
        <v>3175</v>
      </c>
      <c r="O92" t="str">
        <f t="shared" si="7"/>
        <v>コモン</v>
      </c>
      <c r="R92" t="s">
        <v>3175</v>
      </c>
      <c r="S92" t="s">
        <v>4750</v>
      </c>
      <c r="T92" t="str">
        <f t="shared" si="8"/>
        <v>結束した構築物</v>
      </c>
      <c r="U92" t="str">
        <f t="shared" si="9"/>
        <v/>
      </c>
      <c r="V92" t="str">
        <f>IF(I92=0,VLOOKUP(TAG!T92,Sheet4!A:B,2,TRUE),"")</f>
        <v/>
      </c>
      <c r="W92" t="s">
        <v>4751</v>
      </c>
      <c r="X92" t="s">
        <v>3175</v>
      </c>
      <c r="Z92" s="3">
        <v>214</v>
      </c>
      <c r="AA92" s="2" t="s">
        <v>3176</v>
      </c>
      <c r="AB92" s="1" t="s">
        <v>292</v>
      </c>
      <c r="AC92" s="1" t="s">
        <v>1744</v>
      </c>
      <c r="AD92" s="1">
        <v>3</v>
      </c>
      <c r="AE92" s="1" t="s">
        <v>2511</v>
      </c>
      <c r="AF92" s="1" t="s">
        <v>2510</v>
      </c>
      <c r="AG92" s="1" t="s">
        <v>339</v>
      </c>
      <c r="AH92" s="1" t="s">
        <v>352</v>
      </c>
      <c r="AI92" s="1"/>
      <c r="AJ92" s="1"/>
      <c r="AK92" s="1" t="s">
        <v>2509</v>
      </c>
      <c r="AL92" s="1"/>
      <c r="AM92" s="1"/>
      <c r="AN92" s="1"/>
      <c r="AO92" s="1">
        <v>2</v>
      </c>
      <c r="AP92" s="1">
        <v>1</v>
      </c>
      <c r="AQ92" s="1" t="s">
        <v>2509</v>
      </c>
    </row>
    <row r="93" spans="1:43" x14ac:dyDescent="0.15">
      <c r="A93" t="str">
        <f t="shared" si="0"/>
        <v>|BFZ|白|5|2/1|コモン|《[[探検隊の特使]]》|</v>
      </c>
      <c r="B93" t="s">
        <v>3168</v>
      </c>
      <c r="C93" t="str">
        <f t="shared" si="2"/>
        <v>BFZ</v>
      </c>
      <c r="D93">
        <f>IF(AA93="","",VLOOKUP(C93,tnpl!$Z$1:$AA$11,2,TRUE))</f>
        <v>2</v>
      </c>
      <c r="E93" t="s">
        <v>3168</v>
      </c>
      <c r="F93" t="str">
        <f t="shared" si="3"/>
        <v>白</v>
      </c>
      <c r="G93">
        <f>IF(AB93="","",VLOOKUP(F93,tnpl!$X$1:$Y$16,2,TRUE))</f>
        <v>1</v>
      </c>
      <c r="H93" t="s">
        <v>3168</v>
      </c>
      <c r="I93">
        <f t="shared" si="4"/>
        <v>5</v>
      </c>
      <c r="J93" t="s">
        <v>3168</v>
      </c>
      <c r="K93">
        <f t="shared" si="5"/>
        <v>2</v>
      </c>
      <c r="L93">
        <f t="shared" si="6"/>
        <v>1</v>
      </c>
      <c r="M93" t="str">
        <f t="shared" si="1"/>
        <v>2/1</v>
      </c>
      <c r="N93" t="s">
        <v>3175</v>
      </c>
      <c r="O93" t="str">
        <f t="shared" si="7"/>
        <v>コモン</v>
      </c>
      <c r="R93" t="s">
        <v>3175</v>
      </c>
      <c r="S93" t="s">
        <v>4750</v>
      </c>
      <c r="T93" t="str">
        <f t="shared" si="8"/>
        <v>探検隊の特使</v>
      </c>
      <c r="U93" t="str">
        <f t="shared" si="9"/>
        <v/>
      </c>
      <c r="V93" t="str">
        <f>IF(I93=0,VLOOKUP(TAG!T93,Sheet4!A:B,2,TRUE),"")</f>
        <v/>
      </c>
      <c r="W93" t="s">
        <v>4751</v>
      </c>
      <c r="X93" t="s">
        <v>3175</v>
      </c>
      <c r="Z93" s="3">
        <v>248</v>
      </c>
      <c r="AA93" s="2" t="s">
        <v>3170</v>
      </c>
      <c r="AB93" s="1" t="s">
        <v>1627</v>
      </c>
      <c r="AC93" s="1" t="s">
        <v>1744</v>
      </c>
      <c r="AD93" s="1">
        <v>5</v>
      </c>
      <c r="AE93" s="1" t="s">
        <v>2414</v>
      </c>
      <c r="AF93" s="1" t="s">
        <v>2413</v>
      </c>
      <c r="AG93" s="1" t="s">
        <v>339</v>
      </c>
      <c r="AH93" s="1" t="s">
        <v>1489</v>
      </c>
      <c r="AI93" s="1" t="s">
        <v>1929</v>
      </c>
      <c r="AJ93" s="1" t="s">
        <v>1478</v>
      </c>
      <c r="AK93" s="1"/>
      <c r="AL93" s="1"/>
      <c r="AM93" s="1"/>
      <c r="AN93" s="1"/>
      <c r="AO93" s="1">
        <v>2</v>
      </c>
      <c r="AP93" s="1">
        <v>1</v>
      </c>
      <c r="AQ93" s="1"/>
    </row>
    <row r="94" spans="1:43" x14ac:dyDescent="0.15">
      <c r="A94" t="str">
        <f t="shared" si="0"/>
        <v>|BFZ|青|5|2/1|コモン|《[[雲マンタ]]》|</v>
      </c>
      <c r="B94" t="s">
        <v>3168</v>
      </c>
      <c r="C94" t="str">
        <f t="shared" si="2"/>
        <v>BFZ</v>
      </c>
      <c r="D94">
        <f>IF(AA94="","",VLOOKUP(C94,tnpl!$Z$1:$AA$11,2,TRUE))</f>
        <v>2</v>
      </c>
      <c r="E94" t="s">
        <v>3168</v>
      </c>
      <c r="F94" t="str">
        <f t="shared" si="3"/>
        <v>青</v>
      </c>
      <c r="G94">
        <f>IF(AB94="","",VLOOKUP(F94,tnpl!$X$1:$Y$16,2,TRUE))</f>
        <v>2</v>
      </c>
      <c r="H94" t="s">
        <v>3168</v>
      </c>
      <c r="I94">
        <f t="shared" si="4"/>
        <v>5</v>
      </c>
      <c r="J94" t="s">
        <v>3168</v>
      </c>
      <c r="K94">
        <f t="shared" si="5"/>
        <v>2</v>
      </c>
      <c r="L94">
        <f t="shared" si="6"/>
        <v>1</v>
      </c>
      <c r="M94" t="str">
        <f t="shared" si="1"/>
        <v>2/1</v>
      </c>
      <c r="N94" t="s">
        <v>3175</v>
      </c>
      <c r="O94" t="str">
        <f t="shared" si="7"/>
        <v>コモン</v>
      </c>
      <c r="R94" t="s">
        <v>3175</v>
      </c>
      <c r="S94" t="s">
        <v>4750</v>
      </c>
      <c r="T94" t="str">
        <f t="shared" si="8"/>
        <v>雲マンタ</v>
      </c>
      <c r="U94" t="str">
        <f t="shared" si="9"/>
        <v/>
      </c>
      <c r="V94" t="str">
        <f>IF(I94=0,VLOOKUP(TAG!T94,Sheet4!A:B,2,TRUE),"")</f>
        <v/>
      </c>
      <c r="W94" t="s">
        <v>4751</v>
      </c>
      <c r="X94" t="s">
        <v>3175</v>
      </c>
      <c r="Z94" s="3">
        <v>281</v>
      </c>
      <c r="AA94" s="2" t="s">
        <v>3170</v>
      </c>
      <c r="AB94" s="1" t="s">
        <v>1606</v>
      </c>
      <c r="AC94" s="1" t="s">
        <v>1744</v>
      </c>
      <c r="AD94" s="1">
        <v>5</v>
      </c>
      <c r="AE94" s="1" t="s">
        <v>2309</v>
      </c>
      <c r="AF94" s="1" t="s">
        <v>2308</v>
      </c>
      <c r="AG94" s="1" t="s">
        <v>339</v>
      </c>
      <c r="AH94" s="1" t="s">
        <v>2307</v>
      </c>
      <c r="AI94" s="1"/>
      <c r="AJ94" s="1"/>
      <c r="AK94" s="1" t="s">
        <v>351</v>
      </c>
      <c r="AL94" s="1"/>
      <c r="AM94" s="1"/>
      <c r="AN94" s="1"/>
      <c r="AO94" s="1">
        <v>2</v>
      </c>
      <c r="AP94" s="1">
        <v>1</v>
      </c>
      <c r="AQ94" s="1" t="s">
        <v>351</v>
      </c>
    </row>
    <row r="95" spans="1:43" x14ac:dyDescent="0.15">
      <c r="A95" t="str">
        <f t="shared" si="0"/>
        <v>|BFZ|青|11|2/1|コモン|《[[空中生成エルドラージ]]》|</v>
      </c>
      <c r="B95" t="s">
        <v>3168</v>
      </c>
      <c r="C95" t="str">
        <f t="shared" si="2"/>
        <v>BFZ</v>
      </c>
      <c r="D95">
        <f>IF(AA95="","",VLOOKUP(C95,tnpl!$Z$1:$AA$11,2,TRUE))</f>
        <v>2</v>
      </c>
      <c r="E95" t="s">
        <v>3168</v>
      </c>
      <c r="F95" t="str">
        <f t="shared" si="3"/>
        <v>青</v>
      </c>
      <c r="G95">
        <f>IF(AB95="","",VLOOKUP(F95,tnpl!$X$1:$Y$16,2,TRUE))</f>
        <v>2</v>
      </c>
      <c r="H95" t="s">
        <v>3168</v>
      </c>
      <c r="I95">
        <f t="shared" si="4"/>
        <v>11</v>
      </c>
      <c r="J95" t="s">
        <v>3168</v>
      </c>
      <c r="K95">
        <f t="shared" si="5"/>
        <v>2</v>
      </c>
      <c r="L95">
        <f t="shared" si="6"/>
        <v>1</v>
      </c>
      <c r="M95" t="str">
        <f t="shared" si="1"/>
        <v>2/1</v>
      </c>
      <c r="N95" t="s">
        <v>3175</v>
      </c>
      <c r="O95" t="str">
        <f t="shared" si="7"/>
        <v>コモン</v>
      </c>
      <c r="R95" t="s">
        <v>3175</v>
      </c>
      <c r="S95" t="s">
        <v>4750</v>
      </c>
      <c r="T95" t="str">
        <f t="shared" si="8"/>
        <v>空中生成エルドラージ</v>
      </c>
      <c r="U95" t="str">
        <f t="shared" si="9"/>
        <v/>
      </c>
      <c r="V95" t="str">
        <f>IF(I95=0,VLOOKUP(TAG!T95,Sheet4!A:B,2,TRUE),"")</f>
        <v/>
      </c>
      <c r="W95" t="s">
        <v>4751</v>
      </c>
      <c r="X95" t="s">
        <v>3175</v>
      </c>
      <c r="Z95" s="3">
        <v>282</v>
      </c>
      <c r="AA95" s="2" t="s">
        <v>3170</v>
      </c>
      <c r="AB95" s="1" t="s">
        <v>1606</v>
      </c>
      <c r="AC95" s="1" t="s">
        <v>1744</v>
      </c>
      <c r="AD95" s="1">
        <v>11</v>
      </c>
      <c r="AE95" s="1" t="s">
        <v>2306</v>
      </c>
      <c r="AF95" s="1" t="s">
        <v>2305</v>
      </c>
      <c r="AG95" s="1" t="s">
        <v>339</v>
      </c>
      <c r="AH95" s="1" t="s">
        <v>1435</v>
      </c>
      <c r="AI95" s="1" t="s">
        <v>1501</v>
      </c>
      <c r="AJ95" s="1"/>
      <c r="AK95" s="1" t="s">
        <v>3319</v>
      </c>
      <c r="AL95" s="1" t="s">
        <v>1786</v>
      </c>
      <c r="AM95" s="1"/>
      <c r="AN95" s="1"/>
      <c r="AO95" s="1">
        <v>2</v>
      </c>
      <c r="AP95" s="1">
        <v>1</v>
      </c>
      <c r="AQ95" s="1" t="s">
        <v>3320</v>
      </c>
    </row>
    <row r="96" spans="1:43" x14ac:dyDescent="0.15">
      <c r="A96" t="str">
        <f t="shared" si="0"/>
        <v>|BFZ|青|3|2/1|コモン|《[[霞の徘徊者]]》|</v>
      </c>
      <c r="B96" t="s">
        <v>3168</v>
      </c>
      <c r="C96" t="str">
        <f t="shared" si="2"/>
        <v>BFZ</v>
      </c>
      <c r="D96">
        <f>IF(AA96="","",VLOOKUP(C96,tnpl!$Z$1:$AA$11,2,TRUE))</f>
        <v>2</v>
      </c>
      <c r="E96" t="s">
        <v>3168</v>
      </c>
      <c r="F96" t="str">
        <f t="shared" si="3"/>
        <v>青</v>
      </c>
      <c r="G96">
        <f>IF(AB96="","",VLOOKUP(F96,tnpl!$X$1:$Y$16,2,TRUE))</f>
        <v>2</v>
      </c>
      <c r="H96" t="s">
        <v>3168</v>
      </c>
      <c r="I96">
        <f t="shared" si="4"/>
        <v>3</v>
      </c>
      <c r="J96" t="s">
        <v>3168</v>
      </c>
      <c r="K96">
        <f t="shared" si="5"/>
        <v>2</v>
      </c>
      <c r="L96">
        <f t="shared" si="6"/>
        <v>1</v>
      </c>
      <c r="M96" t="str">
        <f t="shared" si="1"/>
        <v>2/1</v>
      </c>
      <c r="N96" t="s">
        <v>3175</v>
      </c>
      <c r="O96" t="str">
        <f t="shared" si="7"/>
        <v>コモン</v>
      </c>
      <c r="R96" t="s">
        <v>3175</v>
      </c>
      <c r="S96" t="s">
        <v>4750</v>
      </c>
      <c r="T96" t="str">
        <f t="shared" si="8"/>
        <v>霞の徘徊者</v>
      </c>
      <c r="U96" t="str">
        <f t="shared" si="9"/>
        <v/>
      </c>
      <c r="V96" t="str">
        <f>IF(I96=0,VLOOKUP(TAG!T96,Sheet4!A:B,2,TRUE),"")</f>
        <v/>
      </c>
      <c r="W96" t="s">
        <v>4751</v>
      </c>
      <c r="X96" t="s">
        <v>3175</v>
      </c>
      <c r="Z96" s="3">
        <v>285</v>
      </c>
      <c r="AA96" s="2" t="s">
        <v>3170</v>
      </c>
      <c r="AB96" s="1" t="s">
        <v>1606</v>
      </c>
      <c r="AC96" s="1" t="s">
        <v>1744</v>
      </c>
      <c r="AD96" s="1">
        <v>3</v>
      </c>
      <c r="AE96" s="1" t="s">
        <v>2299</v>
      </c>
      <c r="AF96" s="1" t="s">
        <v>2298</v>
      </c>
      <c r="AG96" s="1" t="s">
        <v>339</v>
      </c>
      <c r="AH96" s="1" t="s">
        <v>1435</v>
      </c>
      <c r="AI96" s="1" t="s">
        <v>1717</v>
      </c>
      <c r="AJ96" s="1"/>
      <c r="AK96" s="1" t="s">
        <v>3317</v>
      </c>
      <c r="AL96" s="1" t="s">
        <v>2297</v>
      </c>
      <c r="AM96" s="1"/>
      <c r="AN96" s="1"/>
      <c r="AO96" s="1">
        <v>2</v>
      </c>
      <c r="AP96" s="1">
        <v>1</v>
      </c>
      <c r="AQ96" s="1" t="s">
        <v>3324</v>
      </c>
    </row>
    <row r="97" spans="1:43" x14ac:dyDescent="0.15">
      <c r="A97" t="str">
        <f t="shared" si="0"/>
        <v>|BFZ|青|4|2/1|コモン|《[[風乗りの巡回兵]]》|</v>
      </c>
      <c r="B97" t="s">
        <v>3168</v>
      </c>
      <c r="C97" t="str">
        <f t="shared" si="2"/>
        <v>BFZ</v>
      </c>
      <c r="D97">
        <f>IF(AA97="","",VLOOKUP(C97,tnpl!$Z$1:$AA$11,2,TRUE))</f>
        <v>2</v>
      </c>
      <c r="E97" t="s">
        <v>3168</v>
      </c>
      <c r="F97" t="str">
        <f t="shared" si="3"/>
        <v>青</v>
      </c>
      <c r="G97">
        <f>IF(AB97="","",VLOOKUP(F97,tnpl!$X$1:$Y$16,2,TRUE))</f>
        <v>2</v>
      </c>
      <c r="H97" t="s">
        <v>3168</v>
      </c>
      <c r="I97">
        <f t="shared" si="4"/>
        <v>4</v>
      </c>
      <c r="J97" t="s">
        <v>3168</v>
      </c>
      <c r="K97">
        <f t="shared" si="5"/>
        <v>2</v>
      </c>
      <c r="L97">
        <f t="shared" si="6"/>
        <v>1</v>
      </c>
      <c r="M97" t="str">
        <f t="shared" si="1"/>
        <v>2/1</v>
      </c>
      <c r="N97" t="s">
        <v>3175</v>
      </c>
      <c r="O97" t="str">
        <f t="shared" si="7"/>
        <v>コモン</v>
      </c>
      <c r="R97" t="s">
        <v>3175</v>
      </c>
      <c r="S97" t="s">
        <v>4750</v>
      </c>
      <c r="T97" t="str">
        <f t="shared" si="8"/>
        <v>風乗りの巡回兵</v>
      </c>
      <c r="U97" t="str">
        <f t="shared" si="9"/>
        <v/>
      </c>
      <c r="V97" t="str">
        <f>IF(I97=0,VLOOKUP(TAG!T97,Sheet4!A:B,2,TRUE),"")</f>
        <v/>
      </c>
      <c r="W97" t="s">
        <v>4751</v>
      </c>
      <c r="X97" t="s">
        <v>3175</v>
      </c>
      <c r="Z97" s="3">
        <v>289</v>
      </c>
      <c r="AA97" s="2" t="s">
        <v>3170</v>
      </c>
      <c r="AB97" s="1" t="s">
        <v>1606</v>
      </c>
      <c r="AC97" s="1" t="s">
        <v>1744</v>
      </c>
      <c r="AD97" s="1">
        <v>4</v>
      </c>
      <c r="AE97" s="1" t="s">
        <v>2288</v>
      </c>
      <c r="AF97" s="1" t="s">
        <v>2287</v>
      </c>
      <c r="AG97" s="1" t="s">
        <v>339</v>
      </c>
      <c r="AH97" s="1" t="s">
        <v>1464</v>
      </c>
      <c r="AI97" s="1" t="s">
        <v>1463</v>
      </c>
      <c r="AJ97" s="1"/>
      <c r="AK97" s="1"/>
      <c r="AL97" s="1"/>
      <c r="AM97" s="1"/>
      <c r="AN97" s="1"/>
      <c r="AO97" s="1">
        <v>2</v>
      </c>
      <c r="AP97" s="1">
        <v>1</v>
      </c>
      <c r="AQ97" s="1"/>
    </row>
    <row r="98" spans="1:43" x14ac:dyDescent="0.15">
      <c r="A98" t="str">
        <f t="shared" si="0"/>
        <v>|BFZ|黒|9|2/1|コモン|《[[威圧ドローン]]》|</v>
      </c>
      <c r="B98" t="s">
        <v>3168</v>
      </c>
      <c r="C98" t="str">
        <f t="shared" si="2"/>
        <v>BFZ</v>
      </c>
      <c r="D98">
        <f>IF(AA98="","",VLOOKUP(C98,tnpl!$Z$1:$AA$11,2,TRUE))</f>
        <v>2</v>
      </c>
      <c r="E98" t="s">
        <v>3168</v>
      </c>
      <c r="F98" t="str">
        <f t="shared" si="3"/>
        <v>黒</v>
      </c>
      <c r="G98">
        <f>IF(AB98="","",VLOOKUP(F98,tnpl!$X$1:$Y$16,2,TRUE))</f>
        <v>3</v>
      </c>
      <c r="H98" t="s">
        <v>3168</v>
      </c>
      <c r="I98">
        <f t="shared" si="4"/>
        <v>9</v>
      </c>
      <c r="J98" t="s">
        <v>3168</v>
      </c>
      <c r="K98">
        <f t="shared" si="5"/>
        <v>2</v>
      </c>
      <c r="L98">
        <f t="shared" si="6"/>
        <v>1</v>
      </c>
      <c r="M98" t="str">
        <f t="shared" si="1"/>
        <v>2/1</v>
      </c>
      <c r="N98" t="s">
        <v>3175</v>
      </c>
      <c r="O98" t="str">
        <f t="shared" si="7"/>
        <v>コモン</v>
      </c>
      <c r="R98" t="s">
        <v>3175</v>
      </c>
      <c r="S98" t="s">
        <v>4750</v>
      </c>
      <c r="T98" t="str">
        <f t="shared" si="8"/>
        <v>威圧ドローン</v>
      </c>
      <c r="U98" t="str">
        <f t="shared" si="9"/>
        <v/>
      </c>
      <c r="V98" t="str">
        <f>IF(I98=0,VLOOKUP(TAG!T98,Sheet4!A:B,2,TRUE),"")</f>
        <v/>
      </c>
      <c r="W98" t="s">
        <v>4751</v>
      </c>
      <c r="X98" t="s">
        <v>3175</v>
      </c>
      <c r="Z98" s="3">
        <v>318</v>
      </c>
      <c r="AA98" s="2" t="s">
        <v>3170</v>
      </c>
      <c r="AB98" s="1" t="s">
        <v>1582</v>
      </c>
      <c r="AC98" s="1" t="s">
        <v>1744</v>
      </c>
      <c r="AD98" s="1">
        <v>9</v>
      </c>
      <c r="AE98" s="1" t="s">
        <v>2191</v>
      </c>
      <c r="AF98" s="1" t="s">
        <v>2190</v>
      </c>
      <c r="AG98" s="1" t="s">
        <v>339</v>
      </c>
      <c r="AH98" s="1" t="s">
        <v>1435</v>
      </c>
      <c r="AI98" s="1" t="s">
        <v>1501</v>
      </c>
      <c r="AJ98" s="1"/>
      <c r="AK98" s="1" t="s">
        <v>3317</v>
      </c>
      <c r="AL98" s="1" t="s">
        <v>2169</v>
      </c>
      <c r="AM98" s="1" t="s">
        <v>2189</v>
      </c>
      <c r="AN98" s="1"/>
      <c r="AO98" s="1">
        <v>2</v>
      </c>
      <c r="AP98" s="1">
        <v>1</v>
      </c>
      <c r="AQ98" s="1" t="s">
        <v>3338</v>
      </c>
    </row>
    <row r="99" spans="1:43" x14ac:dyDescent="0.15">
      <c r="A99" t="str">
        <f t="shared" si="0"/>
        <v>|BFZ|黒|7|2/1|コモン|《[[間欠泉の忍び寄り]]》|</v>
      </c>
      <c r="B99" t="s">
        <v>3168</v>
      </c>
      <c r="C99" t="str">
        <f t="shared" si="2"/>
        <v>BFZ</v>
      </c>
      <c r="D99">
        <f>IF(AA99="","",VLOOKUP(C99,tnpl!$Z$1:$AA$11,2,TRUE))</f>
        <v>2</v>
      </c>
      <c r="E99" t="s">
        <v>3168</v>
      </c>
      <c r="F99" t="str">
        <f t="shared" si="3"/>
        <v>黒</v>
      </c>
      <c r="G99">
        <f>IF(AB99="","",VLOOKUP(F99,tnpl!$X$1:$Y$16,2,TRUE))</f>
        <v>3</v>
      </c>
      <c r="H99" t="s">
        <v>3168</v>
      </c>
      <c r="I99">
        <f t="shared" si="4"/>
        <v>7</v>
      </c>
      <c r="J99" t="s">
        <v>3168</v>
      </c>
      <c r="K99">
        <f t="shared" si="5"/>
        <v>2</v>
      </c>
      <c r="L99">
        <f t="shared" si="6"/>
        <v>1</v>
      </c>
      <c r="M99" t="str">
        <f t="shared" si="1"/>
        <v>2/1</v>
      </c>
      <c r="N99" t="s">
        <v>3175</v>
      </c>
      <c r="O99" t="str">
        <f t="shared" si="7"/>
        <v>コモン</v>
      </c>
      <c r="R99" t="s">
        <v>3175</v>
      </c>
      <c r="S99" t="s">
        <v>4750</v>
      </c>
      <c r="T99" t="str">
        <f t="shared" si="8"/>
        <v>間欠泉の忍び寄り</v>
      </c>
      <c r="U99" t="str">
        <f t="shared" si="9"/>
        <v/>
      </c>
      <c r="V99" t="str">
        <f>IF(I99=0,VLOOKUP(TAG!T99,Sheet4!A:B,2,TRUE),"")</f>
        <v/>
      </c>
      <c r="W99" t="s">
        <v>4751</v>
      </c>
      <c r="X99" t="s">
        <v>3175</v>
      </c>
      <c r="Z99" s="3">
        <v>319</v>
      </c>
      <c r="AA99" s="2" t="s">
        <v>3170</v>
      </c>
      <c r="AB99" s="1" t="s">
        <v>1582</v>
      </c>
      <c r="AC99" s="1" t="s">
        <v>1744</v>
      </c>
      <c r="AD99" s="1">
        <v>7</v>
      </c>
      <c r="AE99" s="1" t="s">
        <v>2188</v>
      </c>
      <c r="AF99" s="1" t="s">
        <v>2187</v>
      </c>
      <c r="AG99" s="1" t="s">
        <v>339</v>
      </c>
      <c r="AH99" s="1" t="s">
        <v>1537</v>
      </c>
      <c r="AI99" s="1"/>
      <c r="AJ99" s="1"/>
      <c r="AK99" s="1" t="s">
        <v>3339</v>
      </c>
      <c r="AL99" s="1" t="s">
        <v>1831</v>
      </c>
      <c r="AM99" s="1"/>
      <c r="AN99" s="1"/>
      <c r="AO99" s="1">
        <v>2</v>
      </c>
      <c r="AP99" s="1">
        <v>1</v>
      </c>
      <c r="AQ99" s="1" t="s">
        <v>3340</v>
      </c>
    </row>
    <row r="100" spans="1:43" x14ac:dyDescent="0.15">
      <c r="A100" t="str">
        <f t="shared" si="0"/>
        <v>|BFZ|赤|4|2/1|コモン|《[[地割れの案内人]]》|</v>
      </c>
      <c r="B100" t="s">
        <v>3168</v>
      </c>
      <c r="C100" t="str">
        <f t="shared" si="2"/>
        <v>BFZ</v>
      </c>
      <c r="D100">
        <f>IF(AA100="","",VLOOKUP(C100,tnpl!$Z$1:$AA$11,2,TRUE))</f>
        <v>2</v>
      </c>
      <c r="E100" t="s">
        <v>3168</v>
      </c>
      <c r="F100" t="str">
        <f t="shared" si="3"/>
        <v>赤</v>
      </c>
      <c r="G100">
        <f>IF(AB100="","",VLOOKUP(F100,tnpl!$X$1:$Y$16,2,TRUE))</f>
        <v>4</v>
      </c>
      <c r="H100" t="s">
        <v>3168</v>
      </c>
      <c r="I100">
        <f t="shared" si="4"/>
        <v>4</v>
      </c>
      <c r="J100" t="s">
        <v>3168</v>
      </c>
      <c r="K100">
        <f t="shared" si="5"/>
        <v>2</v>
      </c>
      <c r="L100">
        <f t="shared" si="6"/>
        <v>1</v>
      </c>
      <c r="M100" t="str">
        <f t="shared" si="1"/>
        <v>2/1</v>
      </c>
      <c r="N100" t="s">
        <v>3175</v>
      </c>
      <c r="O100" t="str">
        <f t="shared" si="7"/>
        <v>コモン</v>
      </c>
      <c r="R100" t="s">
        <v>3175</v>
      </c>
      <c r="S100" t="s">
        <v>4750</v>
      </c>
      <c r="T100" t="str">
        <f t="shared" si="8"/>
        <v>地割れの案内人</v>
      </c>
      <c r="U100" t="str">
        <f t="shared" si="9"/>
        <v/>
      </c>
      <c r="V100" t="str">
        <f>IF(I100=0,VLOOKUP(TAG!T100,Sheet4!A:B,2,TRUE),"")</f>
        <v/>
      </c>
      <c r="W100" t="s">
        <v>4751</v>
      </c>
      <c r="X100" t="s">
        <v>3175</v>
      </c>
      <c r="Z100" s="3">
        <v>354</v>
      </c>
      <c r="AA100" s="2" t="s">
        <v>3170</v>
      </c>
      <c r="AB100" s="1" t="s">
        <v>1552</v>
      </c>
      <c r="AC100" s="1" t="s">
        <v>1744</v>
      </c>
      <c r="AD100" s="1">
        <v>4</v>
      </c>
      <c r="AE100" s="1" t="s">
        <v>2071</v>
      </c>
      <c r="AF100" s="1" t="s">
        <v>2070</v>
      </c>
      <c r="AG100" s="1" t="s">
        <v>339</v>
      </c>
      <c r="AH100" s="1" t="s">
        <v>1564</v>
      </c>
      <c r="AI100" s="1" t="s">
        <v>1929</v>
      </c>
      <c r="AJ100" s="1" t="s">
        <v>1478</v>
      </c>
      <c r="AK100" s="1" t="s">
        <v>2069</v>
      </c>
      <c r="AL100" s="1"/>
      <c r="AM100" s="1"/>
      <c r="AN100" s="1"/>
      <c r="AO100" s="1">
        <v>2</v>
      </c>
      <c r="AP100" s="1">
        <v>1</v>
      </c>
      <c r="AQ100" s="1" t="s">
        <v>2069</v>
      </c>
    </row>
    <row r="101" spans="1:43" x14ac:dyDescent="0.15">
      <c r="A101" t="str">
        <f t="shared" si="0"/>
        <v>|BFZ|赤|8|2/1|コモン|《[[マキンディの滑り駆け]]》|</v>
      </c>
      <c r="B101" t="s">
        <v>3168</v>
      </c>
      <c r="C101" t="str">
        <f t="shared" si="2"/>
        <v>BFZ</v>
      </c>
      <c r="D101">
        <f>IF(AA101="","",VLOOKUP(C101,tnpl!$Z$1:$AA$11,2,TRUE))</f>
        <v>2</v>
      </c>
      <c r="E101" t="s">
        <v>3168</v>
      </c>
      <c r="F101" t="str">
        <f t="shared" si="3"/>
        <v>赤</v>
      </c>
      <c r="G101">
        <f>IF(AB101="","",VLOOKUP(F101,tnpl!$X$1:$Y$16,2,TRUE))</f>
        <v>4</v>
      </c>
      <c r="H101" t="s">
        <v>3168</v>
      </c>
      <c r="I101">
        <f t="shared" si="4"/>
        <v>8</v>
      </c>
      <c r="J101" t="s">
        <v>3168</v>
      </c>
      <c r="K101">
        <f t="shared" si="5"/>
        <v>2</v>
      </c>
      <c r="L101">
        <f t="shared" si="6"/>
        <v>1</v>
      </c>
      <c r="M101" t="str">
        <f t="shared" si="1"/>
        <v>2/1</v>
      </c>
      <c r="N101" t="s">
        <v>3175</v>
      </c>
      <c r="O101" t="str">
        <f t="shared" si="7"/>
        <v>コモン</v>
      </c>
      <c r="R101" t="s">
        <v>3175</v>
      </c>
      <c r="S101" t="s">
        <v>4750</v>
      </c>
      <c r="T101" t="str">
        <f t="shared" si="8"/>
        <v>マキンディの滑り駆け</v>
      </c>
      <c r="U101" t="str">
        <f t="shared" si="9"/>
        <v/>
      </c>
      <c r="V101" t="str">
        <f>IF(I101=0,VLOOKUP(TAG!T101,Sheet4!A:B,2,TRUE),"")</f>
        <v/>
      </c>
      <c r="W101" t="s">
        <v>4751</v>
      </c>
      <c r="X101" t="s">
        <v>3175</v>
      </c>
      <c r="Z101" s="3">
        <v>357</v>
      </c>
      <c r="AA101" s="2" t="s">
        <v>3170</v>
      </c>
      <c r="AB101" s="1" t="s">
        <v>1552</v>
      </c>
      <c r="AC101" s="1" t="s">
        <v>1744</v>
      </c>
      <c r="AD101" s="1">
        <v>8</v>
      </c>
      <c r="AE101" s="1" t="s">
        <v>2062</v>
      </c>
      <c r="AF101" s="1" t="s">
        <v>2061</v>
      </c>
      <c r="AG101" s="1" t="s">
        <v>339</v>
      </c>
      <c r="AH101" s="1" t="s">
        <v>357</v>
      </c>
      <c r="AI101" s="1"/>
      <c r="AJ101" s="1"/>
      <c r="AK101" s="1" t="s">
        <v>1707</v>
      </c>
      <c r="AL101" s="1" t="s">
        <v>1889</v>
      </c>
      <c r="AM101" s="1"/>
      <c r="AN101" s="1"/>
      <c r="AO101" s="1">
        <v>2</v>
      </c>
      <c r="AP101" s="1">
        <v>1</v>
      </c>
      <c r="AQ101" s="1" t="s">
        <v>3361</v>
      </c>
    </row>
    <row r="102" spans="1:43" x14ac:dyDescent="0.15">
      <c r="A102" t="str">
        <f t="shared" si="0"/>
        <v>|BFZ|赤|8|2/1|コモン|《[[オンドゥの勇者]]》|</v>
      </c>
      <c r="B102" t="s">
        <v>3168</v>
      </c>
      <c r="C102" t="str">
        <f t="shared" si="2"/>
        <v>BFZ</v>
      </c>
      <c r="D102">
        <f>IF(AA102="","",VLOOKUP(C102,tnpl!$Z$1:$AA$11,2,TRUE))</f>
        <v>2</v>
      </c>
      <c r="E102" t="s">
        <v>3168</v>
      </c>
      <c r="F102" t="str">
        <f t="shared" si="3"/>
        <v>赤</v>
      </c>
      <c r="G102">
        <f>IF(AB102="","",VLOOKUP(F102,tnpl!$X$1:$Y$16,2,TRUE))</f>
        <v>4</v>
      </c>
      <c r="H102" t="s">
        <v>3168</v>
      </c>
      <c r="I102">
        <f t="shared" si="4"/>
        <v>8</v>
      </c>
      <c r="J102" t="s">
        <v>3168</v>
      </c>
      <c r="K102">
        <f t="shared" si="5"/>
        <v>2</v>
      </c>
      <c r="L102">
        <f t="shared" si="6"/>
        <v>1</v>
      </c>
      <c r="M102" t="str">
        <f t="shared" si="1"/>
        <v>2/1</v>
      </c>
      <c r="N102" t="s">
        <v>3175</v>
      </c>
      <c r="O102" t="str">
        <f t="shared" si="7"/>
        <v>コモン</v>
      </c>
      <c r="R102" t="s">
        <v>3175</v>
      </c>
      <c r="S102" t="s">
        <v>4750</v>
      </c>
      <c r="T102" t="str">
        <f t="shared" si="8"/>
        <v>オンドゥの勇者</v>
      </c>
      <c r="U102" t="str">
        <f t="shared" si="9"/>
        <v/>
      </c>
      <c r="V102" t="str">
        <f>IF(I102=0,VLOOKUP(TAG!T102,Sheet4!A:B,2,TRUE),"")</f>
        <v/>
      </c>
      <c r="W102" t="s">
        <v>4751</v>
      </c>
      <c r="X102" t="s">
        <v>3175</v>
      </c>
      <c r="Z102" s="3">
        <v>359</v>
      </c>
      <c r="AA102" s="2" t="s">
        <v>3170</v>
      </c>
      <c r="AB102" s="1" t="s">
        <v>1552</v>
      </c>
      <c r="AC102" s="1" t="s">
        <v>1744</v>
      </c>
      <c r="AD102" s="1">
        <v>8</v>
      </c>
      <c r="AE102" s="1" t="s">
        <v>2057</v>
      </c>
      <c r="AF102" s="1" t="s">
        <v>2056</v>
      </c>
      <c r="AG102" s="1" t="s">
        <v>339</v>
      </c>
      <c r="AH102" s="1" t="s">
        <v>2055</v>
      </c>
      <c r="AI102" s="1" t="s">
        <v>1493</v>
      </c>
      <c r="AJ102" s="1" t="s">
        <v>1478</v>
      </c>
      <c r="AK102" s="1" t="s">
        <v>2595</v>
      </c>
      <c r="AL102" s="1" t="s">
        <v>2054</v>
      </c>
      <c r="AM102" s="1"/>
      <c r="AN102" s="1"/>
      <c r="AO102" s="1">
        <v>2</v>
      </c>
      <c r="AP102" s="1">
        <v>1</v>
      </c>
      <c r="AQ102" s="1" t="s">
        <v>3363</v>
      </c>
    </row>
    <row r="103" spans="1:43" x14ac:dyDescent="0.15">
      <c r="A103" t="str">
        <f t="shared" si="0"/>
        <v>|BFZ|赤|5|2/1|コモン|《[[穴掘り土百足]]》|</v>
      </c>
      <c r="B103" t="s">
        <v>3168</v>
      </c>
      <c r="C103" t="str">
        <f t="shared" si="2"/>
        <v>BFZ</v>
      </c>
      <c r="D103">
        <f>IF(AA103="","",VLOOKUP(C103,tnpl!$Z$1:$AA$11,2,TRUE))</f>
        <v>2</v>
      </c>
      <c r="E103" t="s">
        <v>3168</v>
      </c>
      <c r="F103" t="str">
        <f t="shared" si="3"/>
        <v>赤</v>
      </c>
      <c r="G103">
        <f>IF(AB103="","",VLOOKUP(F103,tnpl!$X$1:$Y$16,2,TRUE))</f>
        <v>4</v>
      </c>
      <c r="H103" t="s">
        <v>3168</v>
      </c>
      <c r="I103">
        <f t="shared" si="4"/>
        <v>5</v>
      </c>
      <c r="J103" t="s">
        <v>3168</v>
      </c>
      <c r="K103">
        <f t="shared" si="5"/>
        <v>2</v>
      </c>
      <c r="L103">
        <f t="shared" si="6"/>
        <v>1</v>
      </c>
      <c r="M103" t="str">
        <f t="shared" si="1"/>
        <v>2/1</v>
      </c>
      <c r="N103" t="s">
        <v>3175</v>
      </c>
      <c r="O103" t="str">
        <f t="shared" si="7"/>
        <v>コモン</v>
      </c>
      <c r="R103" t="s">
        <v>3175</v>
      </c>
      <c r="S103" t="s">
        <v>4750</v>
      </c>
      <c r="T103" t="str">
        <f t="shared" si="8"/>
        <v>穴掘り土百足</v>
      </c>
      <c r="U103" t="str">
        <f t="shared" si="9"/>
        <v/>
      </c>
      <c r="V103" t="str">
        <f>IF(I103=0,VLOOKUP(TAG!T103,Sheet4!A:B,2,TRUE),"")</f>
        <v/>
      </c>
      <c r="W103" t="s">
        <v>4751</v>
      </c>
      <c r="X103" t="s">
        <v>3175</v>
      </c>
      <c r="Z103" s="3">
        <v>362</v>
      </c>
      <c r="AA103" s="2" t="s">
        <v>3170</v>
      </c>
      <c r="AB103" s="1" t="s">
        <v>1552</v>
      </c>
      <c r="AC103" s="1" t="s">
        <v>1744</v>
      </c>
      <c r="AD103" s="1">
        <v>5</v>
      </c>
      <c r="AE103" s="1" t="s">
        <v>2047</v>
      </c>
      <c r="AF103" s="1" t="s">
        <v>2046</v>
      </c>
      <c r="AG103" s="1" t="s">
        <v>339</v>
      </c>
      <c r="AH103" s="1" t="s">
        <v>1945</v>
      </c>
      <c r="AI103" s="1"/>
      <c r="AJ103" s="1"/>
      <c r="AK103" s="1" t="s">
        <v>2045</v>
      </c>
      <c r="AL103" s="1"/>
      <c r="AM103" s="1"/>
      <c r="AN103" s="1"/>
      <c r="AO103" s="1">
        <v>2</v>
      </c>
      <c r="AP103" s="1">
        <v>1</v>
      </c>
      <c r="AQ103" s="1" t="s">
        <v>2045</v>
      </c>
    </row>
    <row r="104" spans="1:43" x14ac:dyDescent="0.15">
      <c r="A104" t="str">
        <f t="shared" si="0"/>
        <v>|BFZ|緑|5|2/1|コモン|《[[血統絶やしのワーム]]》|</v>
      </c>
      <c r="B104" t="s">
        <v>3168</v>
      </c>
      <c r="C104" t="str">
        <f t="shared" si="2"/>
        <v>BFZ</v>
      </c>
      <c r="D104">
        <f>IF(AA104="","",VLOOKUP(C104,tnpl!$Z$1:$AA$11,2,TRUE))</f>
        <v>2</v>
      </c>
      <c r="E104" t="s">
        <v>3168</v>
      </c>
      <c r="F104" t="str">
        <f t="shared" si="3"/>
        <v>緑</v>
      </c>
      <c r="G104">
        <f>IF(AB104="","",VLOOKUP(F104,tnpl!$X$1:$Y$16,2,TRUE))</f>
        <v>5</v>
      </c>
      <c r="H104" t="s">
        <v>3168</v>
      </c>
      <c r="I104">
        <f t="shared" si="4"/>
        <v>5</v>
      </c>
      <c r="J104" t="s">
        <v>3168</v>
      </c>
      <c r="K104">
        <f t="shared" si="5"/>
        <v>2</v>
      </c>
      <c r="L104">
        <f t="shared" si="6"/>
        <v>1</v>
      </c>
      <c r="M104" t="str">
        <f t="shared" si="1"/>
        <v>2/1</v>
      </c>
      <c r="N104" t="s">
        <v>3175</v>
      </c>
      <c r="O104" t="str">
        <f t="shared" si="7"/>
        <v>コモン</v>
      </c>
      <c r="R104" t="s">
        <v>3175</v>
      </c>
      <c r="S104" t="s">
        <v>4750</v>
      </c>
      <c r="T104" t="str">
        <f t="shared" si="8"/>
        <v>血統絶やしのワーム</v>
      </c>
      <c r="U104" t="str">
        <f t="shared" si="9"/>
        <v/>
      </c>
      <c r="V104" t="str">
        <f>IF(I104=0,VLOOKUP(TAG!T104,Sheet4!A:B,2,TRUE),"")</f>
        <v/>
      </c>
      <c r="W104" t="s">
        <v>4751</v>
      </c>
      <c r="X104" t="s">
        <v>3175</v>
      </c>
      <c r="Z104" s="3">
        <v>392</v>
      </c>
      <c r="AA104" s="2" t="s">
        <v>3170</v>
      </c>
      <c r="AB104" s="1" t="s">
        <v>1518</v>
      </c>
      <c r="AC104" s="1" t="s">
        <v>1744</v>
      </c>
      <c r="AD104" s="1">
        <v>5</v>
      </c>
      <c r="AE104" s="1" t="s">
        <v>1951</v>
      </c>
      <c r="AF104" s="1" t="s">
        <v>1950</v>
      </c>
      <c r="AG104" s="1" t="s">
        <v>339</v>
      </c>
      <c r="AH104" s="1" t="s">
        <v>338</v>
      </c>
      <c r="AI104" s="1"/>
      <c r="AJ104" s="1"/>
      <c r="AK104" s="1"/>
      <c r="AL104" s="1"/>
      <c r="AM104" s="1"/>
      <c r="AN104" s="1"/>
      <c r="AO104" s="1">
        <v>2</v>
      </c>
      <c r="AP104" s="1">
        <v>1</v>
      </c>
      <c r="AQ104" s="1"/>
    </row>
    <row r="105" spans="1:43" x14ac:dyDescent="0.15">
      <c r="A105" t="str">
        <f t="shared" si="0"/>
        <v>|SOI|白|7|2/1|コモン|《[[不屈の聖戦士]]》|</v>
      </c>
      <c r="B105" t="s">
        <v>3168</v>
      </c>
      <c r="C105" t="str">
        <f t="shared" si="2"/>
        <v>SOI</v>
      </c>
      <c r="D105">
        <f>IF(AA105="","",VLOOKUP(C105,tnpl!$Z$1:$AA$11,2,TRUE))</f>
        <v>4</v>
      </c>
      <c r="E105" t="s">
        <v>3168</v>
      </c>
      <c r="F105" t="str">
        <f t="shared" si="3"/>
        <v>白</v>
      </c>
      <c r="G105">
        <f>IF(AB105="","",VLOOKUP(F105,tnpl!$X$1:$Y$16,2,TRUE))</f>
        <v>1</v>
      </c>
      <c r="H105" t="s">
        <v>3168</v>
      </c>
      <c r="I105">
        <f t="shared" si="4"/>
        <v>7</v>
      </c>
      <c r="J105" t="s">
        <v>3168</v>
      </c>
      <c r="K105">
        <f t="shared" si="5"/>
        <v>2</v>
      </c>
      <c r="L105">
        <f t="shared" si="6"/>
        <v>1</v>
      </c>
      <c r="M105" t="str">
        <f t="shared" si="1"/>
        <v>2/1</v>
      </c>
      <c r="N105" t="s">
        <v>3175</v>
      </c>
      <c r="O105" t="str">
        <f t="shared" si="7"/>
        <v>コモン</v>
      </c>
      <c r="R105" t="s">
        <v>3175</v>
      </c>
      <c r="S105" t="s">
        <v>4750</v>
      </c>
      <c r="T105" t="str">
        <f t="shared" si="8"/>
        <v>不屈の聖戦士</v>
      </c>
      <c r="U105" t="str">
        <f t="shared" si="9"/>
        <v/>
      </c>
      <c r="V105" t="str">
        <f>IF(I105=0,VLOOKUP(TAG!T105,Sheet4!A:B,2,TRUE),"")</f>
        <v/>
      </c>
      <c r="W105" t="s">
        <v>4751</v>
      </c>
      <c r="X105" t="s">
        <v>3175</v>
      </c>
      <c r="Z105" s="3">
        <v>539</v>
      </c>
      <c r="AA105" s="2" t="s">
        <v>3431</v>
      </c>
      <c r="AB105" s="1" t="s">
        <v>1627</v>
      </c>
      <c r="AC105" s="1" t="s">
        <v>1744</v>
      </c>
      <c r="AD105" s="1">
        <v>7</v>
      </c>
      <c r="AE105" s="1" t="s">
        <v>1423</v>
      </c>
      <c r="AF105" s="1" t="s">
        <v>1422</v>
      </c>
      <c r="AG105" s="1" t="s">
        <v>339</v>
      </c>
      <c r="AH105" s="1" t="s">
        <v>1489</v>
      </c>
      <c r="AI105" s="1" t="s">
        <v>1799</v>
      </c>
      <c r="AJ105" s="1"/>
      <c r="AK105" s="1" t="s">
        <v>2595</v>
      </c>
      <c r="AL105" s="1" t="s">
        <v>3434</v>
      </c>
      <c r="AM105" s="1"/>
      <c r="AN105" s="1"/>
      <c r="AO105" s="1">
        <v>2</v>
      </c>
      <c r="AP105" s="1">
        <v>1</v>
      </c>
      <c r="AQ105" s="1" t="s">
        <v>3435</v>
      </c>
    </row>
    <row r="106" spans="1:43" x14ac:dyDescent="0.15">
      <c r="A106" t="str">
        <f t="shared" si="0"/>
        <v>|SOI|黒|6|2/1|コモン|《[[闇告げカラス]]》|</v>
      </c>
      <c r="B106" t="s">
        <v>3168</v>
      </c>
      <c r="C106" t="str">
        <f t="shared" si="2"/>
        <v>SOI</v>
      </c>
      <c r="D106">
        <f>IF(AA106="","",VLOOKUP(C106,tnpl!$Z$1:$AA$11,2,TRUE))</f>
        <v>4</v>
      </c>
      <c r="E106" t="s">
        <v>3168</v>
      </c>
      <c r="F106" t="str">
        <f t="shared" si="3"/>
        <v>黒</v>
      </c>
      <c r="G106">
        <f>IF(AB106="","",VLOOKUP(F106,tnpl!$X$1:$Y$16,2,TRUE))</f>
        <v>3</v>
      </c>
      <c r="H106" t="s">
        <v>3168</v>
      </c>
      <c r="I106">
        <f t="shared" si="4"/>
        <v>6</v>
      </c>
      <c r="J106" t="s">
        <v>3168</v>
      </c>
      <c r="K106">
        <f t="shared" si="5"/>
        <v>2</v>
      </c>
      <c r="L106">
        <f t="shared" si="6"/>
        <v>1</v>
      </c>
      <c r="M106" t="str">
        <f t="shared" si="1"/>
        <v>2/1</v>
      </c>
      <c r="N106" t="s">
        <v>3175</v>
      </c>
      <c r="O106" t="str">
        <f t="shared" si="7"/>
        <v>コモン</v>
      </c>
      <c r="R106" t="s">
        <v>3175</v>
      </c>
      <c r="S106" t="s">
        <v>4750</v>
      </c>
      <c r="T106" t="str">
        <f t="shared" si="8"/>
        <v>闇告げカラス</v>
      </c>
      <c r="U106" t="str">
        <f t="shared" si="9"/>
        <v/>
      </c>
      <c r="V106" t="str">
        <f>IF(I106=0,VLOOKUP(TAG!T106,Sheet4!A:B,2,TRUE),"")</f>
        <v/>
      </c>
      <c r="W106" t="s">
        <v>4751</v>
      </c>
      <c r="X106" t="s">
        <v>3175</v>
      </c>
      <c r="Z106" s="3">
        <v>612</v>
      </c>
      <c r="AA106" s="2" t="s">
        <v>3431</v>
      </c>
      <c r="AB106" s="1" t="s">
        <v>1582</v>
      </c>
      <c r="AC106" s="1" t="s">
        <v>1744</v>
      </c>
      <c r="AD106" s="1">
        <v>6</v>
      </c>
      <c r="AE106" s="1" t="s">
        <v>1297</v>
      </c>
      <c r="AF106" s="1" t="s">
        <v>1296</v>
      </c>
      <c r="AG106" s="1" t="s">
        <v>339</v>
      </c>
      <c r="AH106" s="1" t="s">
        <v>1484</v>
      </c>
      <c r="AI106" s="1" t="s">
        <v>2948</v>
      </c>
      <c r="AJ106" s="1"/>
      <c r="AK106" s="1" t="s">
        <v>3177</v>
      </c>
      <c r="AL106" s="1" t="s">
        <v>3554</v>
      </c>
      <c r="AM106" s="1"/>
      <c r="AN106" s="1"/>
      <c r="AO106" s="1">
        <v>2</v>
      </c>
      <c r="AP106" s="1">
        <v>1</v>
      </c>
      <c r="AQ106" s="1" t="s">
        <v>3555</v>
      </c>
    </row>
    <row r="107" spans="1:43" x14ac:dyDescent="0.15">
      <c r="A107" t="str">
        <f t="shared" si="0"/>
        <v>|SOI|赤|9|2/1|コモン|《[[ガツタフの放火魔]]》|</v>
      </c>
      <c r="B107" t="s">
        <v>3168</v>
      </c>
      <c r="C107" t="str">
        <f t="shared" si="2"/>
        <v>SOI</v>
      </c>
      <c r="D107">
        <f>IF(AA107="","",VLOOKUP(C107,tnpl!$Z$1:$AA$11,2,TRUE))</f>
        <v>4</v>
      </c>
      <c r="E107" t="s">
        <v>3168</v>
      </c>
      <c r="F107" t="str">
        <f t="shared" si="3"/>
        <v>赤</v>
      </c>
      <c r="G107">
        <f>IF(AB107="","",VLOOKUP(F107,tnpl!$X$1:$Y$16,2,TRUE))</f>
        <v>4</v>
      </c>
      <c r="H107" t="s">
        <v>3168</v>
      </c>
      <c r="I107">
        <f t="shared" si="4"/>
        <v>9</v>
      </c>
      <c r="J107" t="s">
        <v>3168</v>
      </c>
      <c r="K107">
        <f t="shared" si="5"/>
        <v>2</v>
      </c>
      <c r="L107">
        <f t="shared" si="6"/>
        <v>1</v>
      </c>
      <c r="M107" t="str">
        <f t="shared" si="1"/>
        <v>2/1</v>
      </c>
      <c r="N107" t="s">
        <v>3175</v>
      </c>
      <c r="O107" t="str">
        <f t="shared" si="7"/>
        <v>コモン</v>
      </c>
      <c r="R107" t="s">
        <v>3175</v>
      </c>
      <c r="S107" t="s">
        <v>4750</v>
      </c>
      <c r="T107" t="str">
        <f t="shared" si="8"/>
        <v>ガツタフの放火魔</v>
      </c>
      <c r="U107" t="str">
        <f t="shared" si="9"/>
        <v/>
      </c>
      <c r="V107" t="str">
        <f>IF(I107=0,VLOOKUP(TAG!T107,Sheet4!A:B,2,TRUE),"")</f>
        <v/>
      </c>
      <c r="W107" t="s">
        <v>4751</v>
      </c>
      <c r="X107" t="s">
        <v>3175</v>
      </c>
      <c r="Z107" s="3">
        <v>646</v>
      </c>
      <c r="AA107" s="2" t="s">
        <v>3431</v>
      </c>
      <c r="AB107" s="1" t="s">
        <v>1552</v>
      </c>
      <c r="AC107" s="1" t="s">
        <v>1744</v>
      </c>
      <c r="AD107" s="14">
        <v>9</v>
      </c>
      <c r="AE107" s="1" t="s">
        <v>1237</v>
      </c>
      <c r="AF107" s="1" t="s">
        <v>1236</v>
      </c>
      <c r="AG107" s="1" t="s">
        <v>339</v>
      </c>
      <c r="AH107" s="1" t="s">
        <v>1489</v>
      </c>
      <c r="AI107" s="1" t="s">
        <v>3605</v>
      </c>
      <c r="AJ107" s="1"/>
      <c r="AK107" s="1" t="s">
        <v>3606</v>
      </c>
      <c r="AL107" s="1"/>
      <c r="AM107" s="1"/>
      <c r="AN107" s="1"/>
      <c r="AO107" s="1">
        <v>2</v>
      </c>
      <c r="AP107" s="1">
        <v>1</v>
      </c>
      <c r="AQ107" s="1" t="s">
        <v>3606</v>
      </c>
    </row>
    <row r="108" spans="1:43" x14ac:dyDescent="0.15">
      <c r="A108" t="str">
        <f t="shared" si="0"/>
        <v>|SOI|緑|7|2/1|コモン|《[[裏道の急使]]》|</v>
      </c>
      <c r="B108" t="s">
        <v>3168</v>
      </c>
      <c r="C108" t="str">
        <f t="shared" si="2"/>
        <v>SOI</v>
      </c>
      <c r="D108">
        <f>IF(AA108="","",VLOOKUP(C108,tnpl!$Z$1:$AA$11,2,TRUE))</f>
        <v>4</v>
      </c>
      <c r="E108" t="s">
        <v>3168</v>
      </c>
      <c r="F108" t="str">
        <f t="shared" si="3"/>
        <v>緑</v>
      </c>
      <c r="G108">
        <f>IF(AB108="","",VLOOKUP(F108,tnpl!$X$1:$Y$16,2,TRUE))</f>
        <v>5</v>
      </c>
      <c r="H108" t="s">
        <v>3168</v>
      </c>
      <c r="I108">
        <f t="shared" si="4"/>
        <v>7</v>
      </c>
      <c r="J108" t="s">
        <v>3168</v>
      </c>
      <c r="K108">
        <f t="shared" si="5"/>
        <v>2</v>
      </c>
      <c r="L108">
        <f t="shared" si="6"/>
        <v>1</v>
      </c>
      <c r="M108" t="str">
        <f t="shared" si="1"/>
        <v>2/1</v>
      </c>
      <c r="N108" t="s">
        <v>3175</v>
      </c>
      <c r="O108" t="str">
        <f t="shared" si="7"/>
        <v>コモン</v>
      </c>
      <c r="R108" t="s">
        <v>3175</v>
      </c>
      <c r="S108" t="s">
        <v>4750</v>
      </c>
      <c r="T108" t="str">
        <f t="shared" si="8"/>
        <v>裏道の急使</v>
      </c>
      <c r="U108" t="str">
        <f t="shared" si="9"/>
        <v/>
      </c>
      <c r="V108" t="str">
        <f>IF(I108=0,VLOOKUP(TAG!T108,Sheet4!A:B,2,TRUE),"")</f>
        <v/>
      </c>
      <c r="W108" t="s">
        <v>4751</v>
      </c>
      <c r="X108" t="s">
        <v>3175</v>
      </c>
      <c r="Z108" s="3">
        <v>679</v>
      </c>
      <c r="AA108" s="2" t="s">
        <v>3431</v>
      </c>
      <c r="AB108" s="1" t="s">
        <v>1518</v>
      </c>
      <c r="AC108" s="1" t="s">
        <v>1744</v>
      </c>
      <c r="AD108" s="1">
        <v>7</v>
      </c>
      <c r="AE108" s="1" t="s">
        <v>1182</v>
      </c>
      <c r="AF108" s="1" t="s">
        <v>1181</v>
      </c>
      <c r="AG108" s="1" t="s">
        <v>339</v>
      </c>
      <c r="AH108" s="1" t="s">
        <v>1489</v>
      </c>
      <c r="AI108" s="1" t="s">
        <v>1929</v>
      </c>
      <c r="AJ108" s="1"/>
      <c r="AK108" s="1" t="s">
        <v>3652</v>
      </c>
      <c r="AL108" s="1"/>
      <c r="AM108" s="1"/>
      <c r="AN108" s="1"/>
      <c r="AO108" s="1">
        <v>2</v>
      </c>
      <c r="AP108" s="1">
        <v>1</v>
      </c>
      <c r="AQ108" s="1" t="s">
        <v>3652</v>
      </c>
    </row>
    <row r="109" spans="1:43" x14ac:dyDescent="0.15">
      <c r="A109" t="str">
        <f t="shared" si="0"/>
        <v>|SOI|緑|12|2/1|コモン|《[[内陸の木こり]]》|</v>
      </c>
      <c r="B109" t="s">
        <v>3168</v>
      </c>
      <c r="C109" t="str">
        <f t="shared" si="2"/>
        <v>SOI</v>
      </c>
      <c r="D109">
        <f>IF(AA109="","",VLOOKUP(C109,tnpl!$Z$1:$AA$11,2,TRUE))</f>
        <v>4</v>
      </c>
      <c r="E109" t="s">
        <v>3168</v>
      </c>
      <c r="F109" t="str">
        <f t="shared" si="3"/>
        <v>緑</v>
      </c>
      <c r="G109">
        <f>IF(AB109="","",VLOOKUP(F109,tnpl!$X$1:$Y$16,2,TRUE))</f>
        <v>5</v>
      </c>
      <c r="H109" t="s">
        <v>3168</v>
      </c>
      <c r="I109">
        <f t="shared" si="4"/>
        <v>12</v>
      </c>
      <c r="J109" t="s">
        <v>3168</v>
      </c>
      <c r="K109">
        <f t="shared" si="5"/>
        <v>2</v>
      </c>
      <c r="L109">
        <f t="shared" si="6"/>
        <v>1</v>
      </c>
      <c r="M109" t="str">
        <f t="shared" si="1"/>
        <v>2/1</v>
      </c>
      <c r="N109" t="s">
        <v>3175</v>
      </c>
      <c r="O109" t="str">
        <f t="shared" si="7"/>
        <v>コモン</v>
      </c>
      <c r="R109" t="s">
        <v>3175</v>
      </c>
      <c r="S109" t="s">
        <v>4750</v>
      </c>
      <c r="T109" t="str">
        <f t="shared" si="8"/>
        <v>内陸の木こり</v>
      </c>
      <c r="U109" t="str">
        <f t="shared" si="9"/>
        <v/>
      </c>
      <c r="V109" t="str">
        <f>IF(I109=0,VLOOKUP(TAG!T109,Sheet4!A:B,2,TRUE),"")</f>
        <v/>
      </c>
      <c r="W109" t="s">
        <v>4751</v>
      </c>
      <c r="X109" t="s">
        <v>3175</v>
      </c>
      <c r="Z109" s="3">
        <v>680</v>
      </c>
      <c r="AA109" s="2" t="s">
        <v>3431</v>
      </c>
      <c r="AB109" s="1" t="s">
        <v>1518</v>
      </c>
      <c r="AC109" s="1" t="s">
        <v>1744</v>
      </c>
      <c r="AD109" s="14">
        <v>12</v>
      </c>
      <c r="AE109" s="1" t="s">
        <v>1180</v>
      </c>
      <c r="AF109" s="1" t="s">
        <v>1179</v>
      </c>
      <c r="AG109" s="1" t="s">
        <v>339</v>
      </c>
      <c r="AH109" s="1" t="s">
        <v>1489</v>
      </c>
      <c r="AI109" s="1" t="s">
        <v>3605</v>
      </c>
      <c r="AJ109" s="1"/>
      <c r="AK109" s="1" t="s">
        <v>3606</v>
      </c>
      <c r="AL109" s="1"/>
      <c r="AM109" s="1"/>
      <c r="AN109" s="1"/>
      <c r="AO109" s="1">
        <v>2</v>
      </c>
      <c r="AP109" s="1">
        <v>1</v>
      </c>
      <c r="AQ109" s="1" t="s">
        <v>3606</v>
      </c>
    </row>
    <row r="110" spans="1:43" x14ac:dyDescent="0.15">
      <c r="A110" t="str">
        <f t="shared" si="0"/>
        <v>|KLD|白|7|2/1|コモン|《[[博覧会の歓迎者]]》|</v>
      </c>
      <c r="B110" t="s">
        <v>3168</v>
      </c>
      <c r="C110" t="str">
        <f t="shared" si="2"/>
        <v>KLD</v>
      </c>
      <c r="D110">
        <f>IF(AA110="","",VLOOKUP(C110,tnpl!$Z$1:$AA$11,2,TRUE))</f>
        <v>6</v>
      </c>
      <c r="E110" t="s">
        <v>3168</v>
      </c>
      <c r="F110" t="str">
        <f t="shared" si="3"/>
        <v>白</v>
      </c>
      <c r="G110">
        <f>IF(AB110="","",VLOOKUP(F110,tnpl!$X$1:$Y$16,2,TRUE))</f>
        <v>1</v>
      </c>
      <c r="H110" t="s">
        <v>3168</v>
      </c>
      <c r="I110">
        <f t="shared" si="4"/>
        <v>7</v>
      </c>
      <c r="J110" t="s">
        <v>3168</v>
      </c>
      <c r="K110">
        <f t="shared" si="5"/>
        <v>2</v>
      </c>
      <c r="L110">
        <f t="shared" si="6"/>
        <v>1</v>
      </c>
      <c r="M110" t="str">
        <f t="shared" si="1"/>
        <v>2/1</v>
      </c>
      <c r="N110" t="s">
        <v>3175</v>
      </c>
      <c r="O110" t="str">
        <f t="shared" si="7"/>
        <v>コモン</v>
      </c>
      <c r="R110" t="s">
        <v>3175</v>
      </c>
      <c r="S110" t="s">
        <v>4750</v>
      </c>
      <c r="T110" t="str">
        <f t="shared" si="8"/>
        <v>博覧会の歓迎者</v>
      </c>
      <c r="U110" t="str">
        <f t="shared" si="9"/>
        <v/>
      </c>
      <c r="V110" t="str">
        <f>IF(I110=0,VLOOKUP(TAG!T110,Sheet4!A:B,2,TRUE),"")</f>
        <v/>
      </c>
      <c r="W110" t="s">
        <v>4751</v>
      </c>
      <c r="X110" t="s">
        <v>3175</v>
      </c>
      <c r="Z110" s="3">
        <v>839</v>
      </c>
      <c r="AA110" s="2" t="s">
        <v>3937</v>
      </c>
      <c r="AB110" s="1" t="s">
        <v>1627</v>
      </c>
      <c r="AC110" s="1" t="s">
        <v>1744</v>
      </c>
      <c r="AD110" s="1">
        <v>7</v>
      </c>
      <c r="AE110" s="1" t="s">
        <v>823</v>
      </c>
      <c r="AF110" s="1" t="s">
        <v>822</v>
      </c>
      <c r="AG110" s="1" t="s">
        <v>339</v>
      </c>
      <c r="AH110" s="1" t="s">
        <v>1489</v>
      </c>
      <c r="AI110" s="1"/>
      <c r="AJ110" s="1"/>
      <c r="AK110" s="1" t="s">
        <v>3944</v>
      </c>
      <c r="AL110" s="1"/>
      <c r="AM110" s="1"/>
      <c r="AN110" s="1"/>
      <c r="AO110" s="1">
        <v>2</v>
      </c>
      <c r="AP110" s="1">
        <v>1</v>
      </c>
      <c r="AQ110" s="1" t="s">
        <v>3944</v>
      </c>
    </row>
    <row r="111" spans="1:43" x14ac:dyDescent="0.15">
      <c r="A111" t="str">
        <f t="shared" si="0"/>
        <v>|KLD|白|5|2/1|コモン|《[[プロペラの先駆者]]》|</v>
      </c>
      <c r="B111" t="s">
        <v>3168</v>
      </c>
      <c r="C111" t="str">
        <f t="shared" si="2"/>
        <v>KLD</v>
      </c>
      <c r="D111">
        <f>IF(AA111="","",VLOOKUP(C111,tnpl!$Z$1:$AA$11,2,TRUE))</f>
        <v>6</v>
      </c>
      <c r="E111" t="s">
        <v>3168</v>
      </c>
      <c r="F111" t="str">
        <f t="shared" si="3"/>
        <v>白</v>
      </c>
      <c r="G111">
        <f>IF(AB111="","",VLOOKUP(F111,tnpl!$X$1:$Y$16,2,TRUE))</f>
        <v>1</v>
      </c>
      <c r="H111" t="s">
        <v>3168</v>
      </c>
      <c r="I111">
        <f t="shared" si="4"/>
        <v>5</v>
      </c>
      <c r="J111" t="s">
        <v>3168</v>
      </c>
      <c r="K111">
        <f t="shared" si="5"/>
        <v>2</v>
      </c>
      <c r="L111">
        <f t="shared" si="6"/>
        <v>1</v>
      </c>
      <c r="M111" t="str">
        <f t="shared" si="1"/>
        <v>2/1</v>
      </c>
      <c r="N111" t="s">
        <v>3175</v>
      </c>
      <c r="O111" t="str">
        <f t="shared" si="7"/>
        <v>コモン</v>
      </c>
      <c r="R111" t="s">
        <v>3175</v>
      </c>
      <c r="S111" t="s">
        <v>4750</v>
      </c>
      <c r="T111" t="str">
        <f t="shared" si="8"/>
        <v>プロペラの先駆者</v>
      </c>
      <c r="U111" t="str">
        <f t="shared" si="9"/>
        <v/>
      </c>
      <c r="V111" t="str">
        <f>IF(I111=0,VLOOKUP(TAG!T111,Sheet4!A:B,2,TRUE),"")</f>
        <v/>
      </c>
      <c r="W111" t="s">
        <v>4751</v>
      </c>
      <c r="X111" t="s">
        <v>3175</v>
      </c>
      <c r="Z111" s="3">
        <v>841</v>
      </c>
      <c r="AA111" s="2" t="s">
        <v>3937</v>
      </c>
      <c r="AB111" s="1" t="s">
        <v>1627</v>
      </c>
      <c r="AC111" s="1" t="s">
        <v>1744</v>
      </c>
      <c r="AD111" s="1">
        <v>5</v>
      </c>
      <c r="AE111" s="1" t="s">
        <v>817</v>
      </c>
      <c r="AF111" s="1" t="s">
        <v>816</v>
      </c>
      <c r="AG111" s="1" t="s">
        <v>339</v>
      </c>
      <c r="AH111" s="1" t="s">
        <v>1489</v>
      </c>
      <c r="AI111" s="1" t="s">
        <v>1641</v>
      </c>
      <c r="AJ111" s="1"/>
      <c r="AK111" s="1" t="s">
        <v>351</v>
      </c>
      <c r="AL111" s="1" t="s">
        <v>3943</v>
      </c>
      <c r="AM111" s="1"/>
      <c r="AN111" s="1"/>
      <c r="AO111" s="1">
        <v>2</v>
      </c>
      <c r="AP111" s="1">
        <v>1</v>
      </c>
      <c r="AQ111" s="1" t="s">
        <v>3947</v>
      </c>
    </row>
    <row r="112" spans="1:43" x14ac:dyDescent="0.15">
      <c r="A112" t="str">
        <f t="shared" si="0"/>
        <v>|KLD|黒|5|2/1|コモン|《[[霊基体の野心家]]》|</v>
      </c>
      <c r="B112" t="s">
        <v>3168</v>
      </c>
      <c r="C112" t="str">
        <f t="shared" si="2"/>
        <v>KLD</v>
      </c>
      <c r="D112">
        <f>IF(AA112="","",VLOOKUP(C112,tnpl!$Z$1:$AA$11,2,TRUE))</f>
        <v>6</v>
      </c>
      <c r="E112" t="s">
        <v>3168</v>
      </c>
      <c r="F112" t="str">
        <f t="shared" si="3"/>
        <v>黒</v>
      </c>
      <c r="G112">
        <f>IF(AB112="","",VLOOKUP(F112,tnpl!$X$1:$Y$16,2,TRUE))</f>
        <v>3</v>
      </c>
      <c r="H112" t="s">
        <v>3168</v>
      </c>
      <c r="I112">
        <f t="shared" si="4"/>
        <v>5</v>
      </c>
      <c r="J112" t="s">
        <v>3168</v>
      </c>
      <c r="K112">
        <f t="shared" si="5"/>
        <v>2</v>
      </c>
      <c r="L112">
        <f t="shared" si="6"/>
        <v>1</v>
      </c>
      <c r="M112" t="str">
        <f t="shared" si="1"/>
        <v>2/1</v>
      </c>
      <c r="N112" t="s">
        <v>3175</v>
      </c>
      <c r="O112" t="str">
        <f t="shared" si="7"/>
        <v>コモン</v>
      </c>
      <c r="R112" t="s">
        <v>3175</v>
      </c>
      <c r="S112" t="s">
        <v>4750</v>
      </c>
      <c r="T112" t="str">
        <f t="shared" si="8"/>
        <v>霊基体の野心家</v>
      </c>
      <c r="U112" t="str">
        <f t="shared" si="9"/>
        <v/>
      </c>
      <c r="V112" t="str">
        <f>IF(I112=0,VLOOKUP(TAG!T112,Sheet4!A:B,2,TRUE),"")</f>
        <v/>
      </c>
      <c r="W112" t="s">
        <v>4751</v>
      </c>
      <c r="X112" t="s">
        <v>3175</v>
      </c>
      <c r="Z112" s="3">
        <v>888</v>
      </c>
      <c r="AA112" s="2" t="s">
        <v>3937</v>
      </c>
      <c r="AB112" s="1" t="s">
        <v>1582</v>
      </c>
      <c r="AC112" s="1" t="s">
        <v>1744</v>
      </c>
      <c r="AD112" s="1">
        <v>5</v>
      </c>
      <c r="AE112" s="1" t="s">
        <v>733</v>
      </c>
      <c r="AF112" s="1" t="s">
        <v>732</v>
      </c>
      <c r="AG112" s="1" t="s">
        <v>339</v>
      </c>
      <c r="AH112" s="1" t="s">
        <v>4031</v>
      </c>
      <c r="AI112" s="1" t="s">
        <v>1641</v>
      </c>
      <c r="AJ112" s="1"/>
      <c r="AK112" s="1" t="s">
        <v>3943</v>
      </c>
      <c r="AL112" s="1"/>
      <c r="AM112" s="1"/>
      <c r="AN112" s="1"/>
      <c r="AO112" s="1">
        <v>2</v>
      </c>
      <c r="AP112" s="1">
        <v>1</v>
      </c>
      <c r="AQ112" s="1" t="s">
        <v>3943</v>
      </c>
    </row>
    <row r="113" spans="1:43" x14ac:dyDescent="0.15">
      <c r="A113" t="str">
        <f t="shared" si="0"/>
        <v>|KLD|黒|7|2/1|コモン|《[[鋳造所のコウモリ]]》|</v>
      </c>
      <c r="B113" t="s">
        <v>3168</v>
      </c>
      <c r="C113" t="str">
        <f t="shared" si="2"/>
        <v>KLD</v>
      </c>
      <c r="D113">
        <f>IF(AA113="","",VLOOKUP(C113,tnpl!$Z$1:$AA$11,2,TRUE))</f>
        <v>6</v>
      </c>
      <c r="E113" t="s">
        <v>3168</v>
      </c>
      <c r="F113" t="str">
        <f t="shared" si="3"/>
        <v>黒</v>
      </c>
      <c r="G113">
        <f>IF(AB113="","",VLOOKUP(F113,tnpl!$X$1:$Y$16,2,TRUE))</f>
        <v>3</v>
      </c>
      <c r="H113" t="s">
        <v>3168</v>
      </c>
      <c r="I113">
        <f t="shared" si="4"/>
        <v>7</v>
      </c>
      <c r="J113" t="s">
        <v>3168</v>
      </c>
      <c r="K113">
        <f t="shared" si="5"/>
        <v>2</v>
      </c>
      <c r="L113">
        <f t="shared" si="6"/>
        <v>1</v>
      </c>
      <c r="M113" t="str">
        <f t="shared" si="1"/>
        <v>2/1</v>
      </c>
      <c r="N113" t="s">
        <v>3175</v>
      </c>
      <c r="O113" t="str">
        <f t="shared" si="7"/>
        <v>コモン</v>
      </c>
      <c r="R113" t="s">
        <v>3175</v>
      </c>
      <c r="S113" t="s">
        <v>4750</v>
      </c>
      <c r="T113" t="str">
        <f t="shared" si="8"/>
        <v>鋳造所のコウモリ</v>
      </c>
      <c r="U113" t="str">
        <f t="shared" si="9"/>
        <v/>
      </c>
      <c r="V113" t="str">
        <f>IF(I113=0,VLOOKUP(TAG!T113,Sheet4!A:B,2,TRUE),"")</f>
        <v/>
      </c>
      <c r="W113" t="s">
        <v>4751</v>
      </c>
      <c r="X113" t="s">
        <v>3175</v>
      </c>
      <c r="Z113" s="3">
        <v>890</v>
      </c>
      <c r="AA113" s="2" t="s">
        <v>3937</v>
      </c>
      <c r="AB113" s="1" t="s">
        <v>1582</v>
      </c>
      <c r="AC113" s="1" t="s">
        <v>1744</v>
      </c>
      <c r="AD113" s="1">
        <v>7</v>
      </c>
      <c r="AE113" s="1" t="s">
        <v>727</v>
      </c>
      <c r="AF113" s="1" t="s">
        <v>726</v>
      </c>
      <c r="AG113" s="1" t="s">
        <v>339</v>
      </c>
      <c r="AH113" s="1" t="s">
        <v>2128</v>
      </c>
      <c r="AI113" s="1"/>
      <c r="AJ113" s="1"/>
      <c r="AK113" s="1" t="s">
        <v>351</v>
      </c>
      <c r="AL113" s="1" t="s">
        <v>4034</v>
      </c>
      <c r="AM113" s="1"/>
      <c r="AN113" s="1"/>
      <c r="AO113" s="1">
        <v>2</v>
      </c>
      <c r="AP113" s="1">
        <v>1</v>
      </c>
      <c r="AQ113" s="1" t="s">
        <v>4035</v>
      </c>
    </row>
    <row r="114" spans="1:43" x14ac:dyDescent="0.15">
      <c r="A114" t="str">
        <f t="shared" si="0"/>
        <v>|KLD|赤|9|2/1|コモン|《[[亢進する地虫]]》|</v>
      </c>
      <c r="B114" t="s">
        <v>3168</v>
      </c>
      <c r="C114" t="str">
        <f t="shared" si="2"/>
        <v>KLD</v>
      </c>
      <c r="D114">
        <f>IF(AA114="","",VLOOKUP(C114,tnpl!$Z$1:$AA$11,2,TRUE))</f>
        <v>6</v>
      </c>
      <c r="E114" t="s">
        <v>3168</v>
      </c>
      <c r="F114" t="str">
        <f t="shared" si="3"/>
        <v>赤</v>
      </c>
      <c r="G114">
        <f>IF(AB114="","",VLOOKUP(F114,tnpl!$X$1:$Y$16,2,TRUE))</f>
        <v>4</v>
      </c>
      <c r="H114" t="s">
        <v>3168</v>
      </c>
      <c r="I114">
        <f t="shared" si="4"/>
        <v>9</v>
      </c>
      <c r="J114" t="s">
        <v>3168</v>
      </c>
      <c r="K114">
        <f t="shared" si="5"/>
        <v>2</v>
      </c>
      <c r="L114">
        <f t="shared" si="6"/>
        <v>1</v>
      </c>
      <c r="M114" t="str">
        <f t="shared" si="1"/>
        <v>2/1</v>
      </c>
      <c r="N114" t="s">
        <v>3175</v>
      </c>
      <c r="O114" t="str">
        <f t="shared" si="7"/>
        <v>コモン</v>
      </c>
      <c r="R114" t="s">
        <v>3175</v>
      </c>
      <c r="S114" t="s">
        <v>4750</v>
      </c>
      <c r="T114" t="str">
        <f t="shared" si="8"/>
        <v>亢進する地虫</v>
      </c>
      <c r="U114" t="str">
        <f t="shared" si="9"/>
        <v/>
      </c>
      <c r="V114" t="str">
        <f>IF(I114=0,VLOOKUP(TAG!T114,Sheet4!A:B,2,TRUE),"")</f>
        <v/>
      </c>
      <c r="W114" t="s">
        <v>4751</v>
      </c>
      <c r="X114" t="s">
        <v>3175</v>
      </c>
      <c r="Z114" s="3">
        <v>920</v>
      </c>
      <c r="AA114" s="2" t="s">
        <v>3937</v>
      </c>
      <c r="AB114" s="1" t="s">
        <v>1552</v>
      </c>
      <c r="AC114" s="1" t="s">
        <v>1744</v>
      </c>
      <c r="AD114" s="1">
        <v>9</v>
      </c>
      <c r="AE114" s="1" t="s">
        <v>664</v>
      </c>
      <c r="AF114" s="1" t="s">
        <v>663</v>
      </c>
      <c r="AG114" s="1" t="s">
        <v>339</v>
      </c>
      <c r="AH114" s="1" t="s">
        <v>4076</v>
      </c>
      <c r="AI114" s="1"/>
      <c r="AJ114" s="1"/>
      <c r="AK114" s="1" t="s">
        <v>3940</v>
      </c>
      <c r="AL114" s="1" t="s">
        <v>3949</v>
      </c>
      <c r="AM114" s="1"/>
      <c r="AN114" s="1"/>
      <c r="AO114" s="1">
        <v>2</v>
      </c>
      <c r="AP114" s="1">
        <v>1</v>
      </c>
      <c r="AQ114" s="1" t="s">
        <v>3950</v>
      </c>
    </row>
    <row r="115" spans="1:43" x14ac:dyDescent="0.15">
      <c r="A115" t="str">
        <f t="shared" si="0"/>
        <v>|KLD|緑|8|2/1|コモン|《[[シャイラ専有地の賢者]]》|</v>
      </c>
      <c r="B115" t="s">
        <v>3168</v>
      </c>
      <c r="C115" t="str">
        <f t="shared" si="2"/>
        <v>KLD</v>
      </c>
      <c r="D115">
        <f>IF(AA115="","",VLOOKUP(C115,tnpl!$Z$1:$AA$11,2,TRUE))</f>
        <v>6</v>
      </c>
      <c r="E115" t="s">
        <v>3168</v>
      </c>
      <c r="F115" t="str">
        <f t="shared" si="3"/>
        <v>緑</v>
      </c>
      <c r="G115">
        <f>IF(AB115="","",VLOOKUP(F115,tnpl!$X$1:$Y$16,2,TRUE))</f>
        <v>5</v>
      </c>
      <c r="H115" t="s">
        <v>3168</v>
      </c>
      <c r="I115">
        <f t="shared" si="4"/>
        <v>8</v>
      </c>
      <c r="J115" t="s">
        <v>3168</v>
      </c>
      <c r="K115">
        <f t="shared" si="5"/>
        <v>2</v>
      </c>
      <c r="L115">
        <f t="shared" si="6"/>
        <v>1</v>
      </c>
      <c r="M115" t="str">
        <f t="shared" si="1"/>
        <v>2/1</v>
      </c>
      <c r="N115" t="s">
        <v>3175</v>
      </c>
      <c r="O115" t="str">
        <f t="shared" si="7"/>
        <v>コモン</v>
      </c>
      <c r="R115" t="s">
        <v>3175</v>
      </c>
      <c r="S115" t="s">
        <v>4750</v>
      </c>
      <c r="T115" t="str">
        <f t="shared" si="8"/>
        <v>シャイラ専有地の賢者</v>
      </c>
      <c r="U115" t="str">
        <f t="shared" si="9"/>
        <v/>
      </c>
      <c r="V115" t="str">
        <f>IF(I115=0,VLOOKUP(TAG!T115,Sheet4!A:B,2,TRUE),"")</f>
        <v/>
      </c>
      <c r="W115" t="s">
        <v>4751</v>
      </c>
      <c r="X115" t="s">
        <v>3175</v>
      </c>
      <c r="Z115" s="3">
        <v>947</v>
      </c>
      <c r="AA115" s="2" t="s">
        <v>3937</v>
      </c>
      <c r="AB115" s="1" t="s">
        <v>1518</v>
      </c>
      <c r="AC115" s="1" t="s">
        <v>1744</v>
      </c>
      <c r="AD115" s="1">
        <v>8</v>
      </c>
      <c r="AE115" s="1" t="s">
        <v>610</v>
      </c>
      <c r="AF115" s="1" t="s">
        <v>609</v>
      </c>
      <c r="AG115" s="1" t="s">
        <v>339</v>
      </c>
      <c r="AH115" s="1" t="s">
        <v>1479</v>
      </c>
      <c r="AI115" s="1" t="s">
        <v>1529</v>
      </c>
      <c r="AJ115" s="1"/>
      <c r="AK115" s="1" t="s">
        <v>3983</v>
      </c>
      <c r="AL115" s="1"/>
      <c r="AM115" s="1"/>
      <c r="AN115" s="1"/>
      <c r="AO115" s="1">
        <v>2</v>
      </c>
      <c r="AP115" s="1">
        <v>1</v>
      </c>
      <c r="AQ115" s="1" t="s">
        <v>3983</v>
      </c>
    </row>
    <row r="116" spans="1:43" x14ac:dyDescent="0.15">
      <c r="A116" t="str">
        <f t="shared" si="0"/>
        <v>|KLD|緑|8|2/1|コモン|《[[野生の放浪者]]》|</v>
      </c>
      <c r="B116" t="s">
        <v>3168</v>
      </c>
      <c r="C116" t="str">
        <f t="shared" si="2"/>
        <v>KLD</v>
      </c>
      <c r="D116">
        <f>IF(AA116="","",VLOOKUP(C116,tnpl!$Z$1:$AA$11,2,TRUE))</f>
        <v>6</v>
      </c>
      <c r="E116" t="s">
        <v>3168</v>
      </c>
      <c r="F116" t="str">
        <f t="shared" si="3"/>
        <v>緑</v>
      </c>
      <c r="G116">
        <f>IF(AB116="","",VLOOKUP(F116,tnpl!$X$1:$Y$16,2,TRUE))</f>
        <v>5</v>
      </c>
      <c r="H116" t="s">
        <v>3168</v>
      </c>
      <c r="I116">
        <f t="shared" si="4"/>
        <v>8</v>
      </c>
      <c r="J116" t="s">
        <v>3168</v>
      </c>
      <c r="K116">
        <f t="shared" si="5"/>
        <v>2</v>
      </c>
      <c r="L116">
        <f t="shared" si="6"/>
        <v>1</v>
      </c>
      <c r="M116" t="str">
        <f t="shared" si="1"/>
        <v>2/1</v>
      </c>
      <c r="N116" t="s">
        <v>3175</v>
      </c>
      <c r="O116" t="str">
        <f t="shared" si="7"/>
        <v>コモン</v>
      </c>
      <c r="R116" t="s">
        <v>3175</v>
      </c>
      <c r="S116" t="s">
        <v>4750</v>
      </c>
      <c r="T116" t="str">
        <f t="shared" si="8"/>
        <v>野生の放浪者</v>
      </c>
      <c r="U116" t="str">
        <f t="shared" si="9"/>
        <v/>
      </c>
      <c r="V116" t="str">
        <f>IF(I116=0,VLOOKUP(TAG!T116,Sheet4!A:B,2,TRUE),"")</f>
        <v/>
      </c>
      <c r="W116" t="s">
        <v>4751</v>
      </c>
      <c r="X116" t="s">
        <v>3175</v>
      </c>
      <c r="Z116" s="3">
        <v>949</v>
      </c>
      <c r="AA116" s="2" t="s">
        <v>3937</v>
      </c>
      <c r="AB116" s="1" t="s">
        <v>1518</v>
      </c>
      <c r="AC116" s="1" t="s">
        <v>1744</v>
      </c>
      <c r="AD116" s="1">
        <v>8</v>
      </c>
      <c r="AE116" s="1" t="s">
        <v>606</v>
      </c>
      <c r="AF116" s="1" t="s">
        <v>605</v>
      </c>
      <c r="AG116" s="1" t="s">
        <v>339</v>
      </c>
      <c r="AH116" s="1" t="s">
        <v>1479</v>
      </c>
      <c r="AI116" s="1" t="s">
        <v>1529</v>
      </c>
      <c r="AJ116" s="1"/>
      <c r="AK116" s="1" t="s">
        <v>4117</v>
      </c>
      <c r="AL116" s="1"/>
      <c r="AM116" s="1"/>
      <c r="AN116" s="1"/>
      <c r="AO116" s="1">
        <v>2</v>
      </c>
      <c r="AP116" s="1">
        <v>1</v>
      </c>
      <c r="AQ116" s="1" t="s">
        <v>4117</v>
      </c>
    </row>
    <row r="117" spans="1:43" x14ac:dyDescent="0.15">
      <c r="A117" t="str">
        <f t="shared" si="0"/>
        <v>|KLD|無色|5|2/1|コモン|《[[ナーナムのコブラ]]》|</v>
      </c>
      <c r="B117" t="s">
        <v>3168</v>
      </c>
      <c r="C117" t="str">
        <f t="shared" si="2"/>
        <v>KLD</v>
      </c>
      <c r="D117">
        <f>IF(AA117="","",VLOOKUP(C117,tnpl!$Z$1:$AA$11,2,TRUE))</f>
        <v>6</v>
      </c>
      <c r="E117" t="s">
        <v>3168</v>
      </c>
      <c r="F117" t="str">
        <f t="shared" si="3"/>
        <v>無色</v>
      </c>
      <c r="G117">
        <f>IF(AB117="","",VLOOKUP(F117,tnpl!$X$1:$Y$16,2,TRUE))</f>
        <v>16</v>
      </c>
      <c r="H117" t="s">
        <v>3168</v>
      </c>
      <c r="I117">
        <f t="shared" si="4"/>
        <v>5</v>
      </c>
      <c r="J117" t="s">
        <v>3168</v>
      </c>
      <c r="K117">
        <f t="shared" si="5"/>
        <v>2</v>
      </c>
      <c r="L117">
        <f t="shared" si="6"/>
        <v>1</v>
      </c>
      <c r="M117" t="str">
        <f t="shared" si="1"/>
        <v>2/1</v>
      </c>
      <c r="N117" t="s">
        <v>3175</v>
      </c>
      <c r="O117" t="str">
        <f t="shared" si="7"/>
        <v>コモン</v>
      </c>
      <c r="R117" t="s">
        <v>3175</v>
      </c>
      <c r="S117" t="s">
        <v>4750</v>
      </c>
      <c r="T117" t="str">
        <f t="shared" si="8"/>
        <v>ナーナムのコブラ</v>
      </c>
      <c r="U117" t="str">
        <f t="shared" si="9"/>
        <v/>
      </c>
      <c r="V117" t="str">
        <f>IF(I117=0,VLOOKUP(TAG!T117,Sheet4!A:B,2,TRUE),"")</f>
        <v/>
      </c>
      <c r="W117" t="s">
        <v>4751</v>
      </c>
      <c r="X117" t="s">
        <v>3175</v>
      </c>
      <c r="Z117" s="3">
        <v>989</v>
      </c>
      <c r="AA117" s="2" t="s">
        <v>3937</v>
      </c>
      <c r="AB117" s="1" t="s">
        <v>292</v>
      </c>
      <c r="AC117" s="1" t="s">
        <v>1744</v>
      </c>
      <c r="AD117" s="1">
        <v>5</v>
      </c>
      <c r="AE117" s="1" t="s">
        <v>536</v>
      </c>
      <c r="AF117" s="1" t="s">
        <v>535</v>
      </c>
      <c r="AG117" s="1" t="s">
        <v>339</v>
      </c>
      <c r="AH117" s="1" t="s">
        <v>4179</v>
      </c>
      <c r="AI117" s="1" t="s">
        <v>352</v>
      </c>
      <c r="AJ117" s="1"/>
      <c r="AK117" s="1" t="s">
        <v>4180</v>
      </c>
      <c r="AL117" s="1"/>
      <c r="AM117" s="1"/>
      <c r="AN117" s="1"/>
      <c r="AO117" s="1">
        <v>2</v>
      </c>
      <c r="AP117" s="1">
        <v>1</v>
      </c>
      <c r="AQ117" s="1" t="s">
        <v>4180</v>
      </c>
    </row>
    <row r="118" spans="1:43" x14ac:dyDescent="0.15">
      <c r="A118" t="str">
        <f t="shared" si="0"/>
        <v>|AKH|青|11|2/1|コモン|《[[エイヴンの修練者]]》|</v>
      </c>
      <c r="B118" t="s">
        <v>3168</v>
      </c>
      <c r="C118" t="str">
        <f t="shared" si="2"/>
        <v>AKH</v>
      </c>
      <c r="D118">
        <f>IF(AA118="","",VLOOKUP(C118,tnpl!$Z$1:$AA$11,2,TRUE))</f>
        <v>10</v>
      </c>
      <c r="E118" t="s">
        <v>3168</v>
      </c>
      <c r="F118" t="str">
        <f t="shared" si="3"/>
        <v>青</v>
      </c>
      <c r="G118">
        <f>IF(AB118="","",VLOOKUP(F118,tnpl!$X$1:$Y$16,2,TRUE))</f>
        <v>2</v>
      </c>
      <c r="H118" t="s">
        <v>3168</v>
      </c>
      <c r="I118">
        <f t="shared" si="4"/>
        <v>11</v>
      </c>
      <c r="J118" t="s">
        <v>3168</v>
      </c>
      <c r="K118">
        <f t="shared" si="5"/>
        <v>2</v>
      </c>
      <c r="L118">
        <f t="shared" si="6"/>
        <v>1</v>
      </c>
      <c r="M118" t="str">
        <f t="shared" si="1"/>
        <v>2/1</v>
      </c>
      <c r="N118" t="s">
        <v>3175</v>
      </c>
      <c r="O118" t="str">
        <f t="shared" si="7"/>
        <v>コモン</v>
      </c>
      <c r="R118" t="s">
        <v>3175</v>
      </c>
      <c r="S118" t="s">
        <v>4750</v>
      </c>
      <c r="T118" t="str">
        <f t="shared" si="8"/>
        <v>エイヴンの修練者</v>
      </c>
      <c r="U118" t="str">
        <f t="shared" si="9"/>
        <v/>
      </c>
      <c r="V118" t="str">
        <f>IF(I118=0,VLOOKUP(TAG!T118,Sheet4!A:B,2,TRUE),"")</f>
        <v/>
      </c>
      <c r="W118" t="s">
        <v>4751</v>
      </c>
      <c r="X118" t="s">
        <v>3175</v>
      </c>
      <c r="Z118" s="3">
        <v>1128</v>
      </c>
      <c r="AA118" s="2" t="s">
        <v>4349</v>
      </c>
      <c r="AB118" s="1" t="s">
        <v>1606</v>
      </c>
      <c r="AC118" s="1" t="s">
        <v>1744</v>
      </c>
      <c r="AD118" s="1">
        <v>11</v>
      </c>
      <c r="AE118" s="1" t="s">
        <v>239</v>
      </c>
      <c r="AF118" s="1" t="s">
        <v>238</v>
      </c>
      <c r="AG118" s="1" t="s">
        <v>339</v>
      </c>
      <c r="AH118" s="1" t="s">
        <v>2948</v>
      </c>
      <c r="AI118" s="1" t="s">
        <v>1493</v>
      </c>
      <c r="AJ118" s="1"/>
      <c r="AK118" s="1" t="s">
        <v>351</v>
      </c>
      <c r="AL118" s="1" t="s">
        <v>4404</v>
      </c>
      <c r="AM118" s="1"/>
      <c r="AN118" s="1"/>
      <c r="AO118" s="1">
        <v>2</v>
      </c>
      <c r="AP118" s="1">
        <v>1</v>
      </c>
      <c r="AQ118" s="1" t="s">
        <v>4405</v>
      </c>
    </row>
    <row r="119" spans="1:43" x14ac:dyDescent="0.15">
      <c r="A119" t="str">
        <f t="shared" si="0"/>
        <v>|AKH|青|10|2/1|コモン|《[[ター一門の散兵]]》|</v>
      </c>
      <c r="B119" t="s">
        <v>3168</v>
      </c>
      <c r="C119" t="str">
        <f t="shared" si="2"/>
        <v>AKH</v>
      </c>
      <c r="D119">
        <f>IF(AA119="","",VLOOKUP(C119,tnpl!$Z$1:$AA$11,2,TRUE))</f>
        <v>10</v>
      </c>
      <c r="E119" t="s">
        <v>3168</v>
      </c>
      <c r="F119" t="str">
        <f t="shared" si="3"/>
        <v>青</v>
      </c>
      <c r="G119">
        <f>IF(AB119="","",VLOOKUP(F119,tnpl!$X$1:$Y$16,2,TRUE))</f>
        <v>2</v>
      </c>
      <c r="H119" t="s">
        <v>3168</v>
      </c>
      <c r="I119">
        <f t="shared" si="4"/>
        <v>10</v>
      </c>
      <c r="J119" t="s">
        <v>3168</v>
      </c>
      <c r="K119">
        <f t="shared" si="5"/>
        <v>2</v>
      </c>
      <c r="L119">
        <f t="shared" si="6"/>
        <v>1</v>
      </c>
      <c r="M119" t="str">
        <f t="shared" si="1"/>
        <v>2/1</v>
      </c>
      <c r="N119" t="s">
        <v>3175</v>
      </c>
      <c r="O119" t="str">
        <f t="shared" si="7"/>
        <v>コモン</v>
      </c>
      <c r="R119" t="s">
        <v>3175</v>
      </c>
      <c r="S119" t="s">
        <v>4750</v>
      </c>
      <c r="T119" t="str">
        <f t="shared" si="8"/>
        <v>ター一門の散兵</v>
      </c>
      <c r="U119" t="str">
        <f t="shared" si="9"/>
        <v/>
      </c>
      <c r="V119" t="str">
        <f>IF(I119=0,VLOOKUP(TAG!T119,Sheet4!A:B,2,TRUE),"")</f>
        <v/>
      </c>
      <c r="W119" t="s">
        <v>4751</v>
      </c>
      <c r="X119" t="s">
        <v>3175</v>
      </c>
      <c r="Z119" s="3">
        <v>1132</v>
      </c>
      <c r="AA119" s="2" t="s">
        <v>4349</v>
      </c>
      <c r="AB119" s="1" t="s">
        <v>1606</v>
      </c>
      <c r="AC119" s="1" t="s">
        <v>1744</v>
      </c>
      <c r="AD119" s="1">
        <v>10</v>
      </c>
      <c r="AE119" s="1" t="s">
        <v>231</v>
      </c>
      <c r="AF119" s="1" t="s">
        <v>230</v>
      </c>
      <c r="AG119" s="1" t="s">
        <v>339</v>
      </c>
      <c r="AH119" s="1" t="s">
        <v>4410</v>
      </c>
      <c r="AI119" s="1" t="s">
        <v>1493</v>
      </c>
      <c r="AJ119" s="1"/>
      <c r="AK119" s="1" t="s">
        <v>4404</v>
      </c>
      <c r="AL119" s="1"/>
      <c r="AM119" s="1"/>
      <c r="AN119" s="1"/>
      <c r="AO119" s="1">
        <v>2</v>
      </c>
      <c r="AP119" s="1">
        <v>1</v>
      </c>
      <c r="AQ119" s="1" t="s">
        <v>4404</v>
      </c>
    </row>
    <row r="120" spans="1:43" x14ac:dyDescent="0.15">
      <c r="A120" t="str">
        <f t="shared" si="0"/>
        <v>|AKH|赤|5|2/1|コモン|《[[ネフ一門の鉄球戦士]]》|</v>
      </c>
      <c r="B120" t="s">
        <v>3168</v>
      </c>
      <c r="C120" t="str">
        <f t="shared" si="2"/>
        <v>AKH</v>
      </c>
      <c r="D120">
        <f>IF(AA120="","",VLOOKUP(C120,tnpl!$Z$1:$AA$11,2,TRUE))</f>
        <v>10</v>
      </c>
      <c r="E120" t="s">
        <v>3168</v>
      </c>
      <c r="F120" t="str">
        <f t="shared" si="3"/>
        <v>赤</v>
      </c>
      <c r="G120">
        <f>IF(AB120="","",VLOOKUP(F120,tnpl!$X$1:$Y$16,2,TRUE))</f>
        <v>4</v>
      </c>
      <c r="H120" t="s">
        <v>3168</v>
      </c>
      <c r="I120">
        <f t="shared" si="4"/>
        <v>5</v>
      </c>
      <c r="J120" t="s">
        <v>3168</v>
      </c>
      <c r="K120">
        <f t="shared" si="5"/>
        <v>2</v>
      </c>
      <c r="L120">
        <f t="shared" si="6"/>
        <v>1</v>
      </c>
      <c r="M120" t="str">
        <f t="shared" si="1"/>
        <v>2/1</v>
      </c>
      <c r="N120" t="s">
        <v>3175</v>
      </c>
      <c r="O120" t="str">
        <f t="shared" si="7"/>
        <v>コモン</v>
      </c>
      <c r="R120" t="s">
        <v>3175</v>
      </c>
      <c r="S120" t="s">
        <v>4750</v>
      </c>
      <c r="T120" t="str">
        <f t="shared" si="8"/>
        <v>ネフ一門の鉄球戦士</v>
      </c>
      <c r="U120" t="str">
        <f t="shared" si="9"/>
        <v/>
      </c>
      <c r="V120" t="str">
        <f>IF(I120=0,VLOOKUP(TAG!T120,Sheet4!A:B,2,TRUE),"")</f>
        <v/>
      </c>
      <c r="W120" t="s">
        <v>4751</v>
      </c>
      <c r="X120" t="s">
        <v>3175</v>
      </c>
      <c r="Z120" s="3">
        <v>1180</v>
      </c>
      <c r="AA120" s="2" t="s">
        <v>4349</v>
      </c>
      <c r="AB120" s="1" t="s">
        <v>1552</v>
      </c>
      <c r="AC120" s="1" t="s">
        <v>1744</v>
      </c>
      <c r="AD120" s="1">
        <v>5</v>
      </c>
      <c r="AE120" s="1" t="s">
        <v>139</v>
      </c>
      <c r="AF120" s="1" t="s">
        <v>138</v>
      </c>
      <c r="AG120" s="1" t="s">
        <v>339</v>
      </c>
      <c r="AH120" s="1" t="s">
        <v>1489</v>
      </c>
      <c r="AI120" s="1" t="s">
        <v>1493</v>
      </c>
      <c r="AJ120" s="1"/>
      <c r="AK120" s="1" t="s">
        <v>1707</v>
      </c>
      <c r="AL120" s="1" t="s">
        <v>4504</v>
      </c>
      <c r="AM120" s="1"/>
      <c r="AN120" s="1"/>
      <c r="AO120" s="1">
        <v>2</v>
      </c>
      <c r="AP120" s="1">
        <v>1</v>
      </c>
      <c r="AQ120" s="1" t="s">
        <v>4505</v>
      </c>
    </row>
    <row r="121" spans="1:43" x14ac:dyDescent="0.15">
      <c r="A121" t="str">
        <f>B121&amp;C121&amp;E121&amp;F121&amp;H121&amp;I121&amp;J121&amp;M121&amp;N121&amp;O121&amp;P121&amp;Q121&amp;R121&amp;S121&amp;T121&amp;V121&amp;W121&amp;X121&amp;Y121</f>
        <v/>
      </c>
    </row>
    <row r="122" spans="1:43" x14ac:dyDescent="0.15">
      <c r="A122" t="str">
        <f>B122&amp;C122&amp;E122&amp;F122&amp;H122&amp;I122&amp;J122&amp;M122&amp;N122&amp;O122&amp;P122&amp;Q122&amp;R122&amp;S122&amp;T122&amp;V122&amp;W122&amp;X122&amp;Y122</f>
        <v>**2/3クリーチャー</v>
      </c>
      <c r="B122" t="s">
        <v>4752</v>
      </c>
      <c r="C122">
        <f>K125</f>
        <v>2</v>
      </c>
      <c r="E122" t="s">
        <v>4816</v>
      </c>
      <c r="F122">
        <f>L125</f>
        <v>3</v>
      </c>
      <c r="I122" t="s">
        <v>339</v>
      </c>
    </row>
    <row r="123" spans="1:43" x14ac:dyDescent="0.15">
      <c r="A123" t="str">
        <f t="shared" ref="A123:A132" si="10">B123&amp;C123&amp;E123&amp;F123&amp;H123&amp;I123&amp;J123&amp;M123&amp;N123&amp;O123&amp;P123&amp;Q123&amp;R123&amp;S123&amp;T123&amp;U123&amp;V123&amp;W123&amp;X123&amp;Y123</f>
        <v>|LEFT:50|LEFT:50|LEFT:50|LEFT:120|LEFT:120|LEFT:500|c</v>
      </c>
      <c r="B123" t="s">
        <v>3168</v>
      </c>
      <c r="C123" t="s">
        <v>3162</v>
      </c>
      <c r="E123" t="s">
        <v>3168</v>
      </c>
      <c r="F123" t="s">
        <v>3162</v>
      </c>
      <c r="H123" t="s">
        <v>3168</v>
      </c>
      <c r="I123" t="s">
        <v>3162</v>
      </c>
      <c r="J123" t="s">
        <v>3168</v>
      </c>
      <c r="M123" t="s">
        <v>4808</v>
      </c>
      <c r="N123" t="s">
        <v>3175</v>
      </c>
      <c r="O123" t="s">
        <v>4808</v>
      </c>
      <c r="R123" t="s">
        <v>3175</v>
      </c>
      <c r="T123" t="s">
        <v>3163</v>
      </c>
      <c r="X123" t="s">
        <v>3175</v>
      </c>
      <c r="Y123" t="s">
        <v>3164</v>
      </c>
    </row>
    <row r="124" spans="1:43" x14ac:dyDescent="0.15">
      <c r="A124" t="str">
        <f t="shared" si="10"/>
        <v>|セット|色|コスト|P/T|レアリティ|カード名|</v>
      </c>
      <c r="B124" t="s">
        <v>3168</v>
      </c>
      <c r="C124" t="s">
        <v>3169</v>
      </c>
      <c r="E124" t="s">
        <v>3168</v>
      </c>
      <c r="F124" t="s">
        <v>3139</v>
      </c>
      <c r="H124" t="s">
        <v>3168</v>
      </c>
      <c r="I124" t="s">
        <v>3165</v>
      </c>
      <c r="J124" t="s">
        <v>3168</v>
      </c>
      <c r="K124" t="s">
        <v>3126</v>
      </c>
      <c r="L124" t="s">
        <v>3125</v>
      </c>
      <c r="M124" t="str">
        <f t="shared" ref="M124:M132" si="11">K124&amp;"/"&amp;L124</f>
        <v>P/T</v>
      </c>
      <c r="N124" t="s">
        <v>3175</v>
      </c>
      <c r="O124" t="s">
        <v>4809</v>
      </c>
      <c r="R124" t="s">
        <v>3175</v>
      </c>
      <c r="T124" t="s">
        <v>3166</v>
      </c>
      <c r="X124" t="s">
        <v>3175</v>
      </c>
      <c r="Z124" s="12"/>
      <c r="AA124" s="12"/>
      <c r="AB124" s="12"/>
      <c r="AC124" s="12"/>
      <c r="AD124" s="12"/>
      <c r="AE124" s="12"/>
      <c r="AF124" s="12"/>
      <c r="AG124" s="12"/>
      <c r="AH124" s="12"/>
      <c r="AI124" s="12"/>
      <c r="AJ124" s="12"/>
      <c r="AK124" s="12"/>
      <c r="AL124" s="12"/>
      <c r="AM124" s="12"/>
      <c r="AN124" s="12"/>
      <c r="AO124" s="12"/>
      <c r="AP124" s="12"/>
      <c r="AQ124" s="12"/>
    </row>
    <row r="125" spans="1:43" x14ac:dyDescent="0.15">
      <c r="A125" t="str">
        <f t="shared" si="10"/>
        <v>|ORI|青|12|2/3|レア|《[[意志を砕く者]]》|</v>
      </c>
      <c r="B125" t="s">
        <v>3168</v>
      </c>
      <c r="C125" t="str">
        <f t="shared" ref="C125:C132" si="12">AA125</f>
        <v>ORI</v>
      </c>
      <c r="D125">
        <f>IF(AA125="","",VLOOKUP(C125,tnpl!$Z$1:$AA$11,2,TRUE))</f>
        <v>1</v>
      </c>
      <c r="E125" t="s">
        <v>3168</v>
      </c>
      <c r="F125" t="str">
        <f t="shared" ref="F125:F132" si="13">AB125</f>
        <v>青</v>
      </c>
      <c r="G125">
        <f>IF(AB125="","",VLOOKUP(F125,tnpl!$X$1:$Y$16,2,TRUE))</f>
        <v>2</v>
      </c>
      <c r="H125" t="s">
        <v>3168</v>
      </c>
      <c r="I125">
        <f t="shared" ref="I125:I132" si="14">AD125</f>
        <v>12</v>
      </c>
      <c r="J125" t="s">
        <v>3168</v>
      </c>
      <c r="K125">
        <f t="shared" ref="K125:L132" si="15">AO125</f>
        <v>2</v>
      </c>
      <c r="L125">
        <f t="shared" si="15"/>
        <v>3</v>
      </c>
      <c r="M125" t="str">
        <f t="shared" si="11"/>
        <v>2/3</v>
      </c>
      <c r="N125" t="s">
        <v>3175</v>
      </c>
      <c r="O125" t="str">
        <f t="shared" ref="O125:O132" si="16">AC125</f>
        <v>レア</v>
      </c>
      <c r="R125" t="s">
        <v>3175</v>
      </c>
      <c r="S125" t="s">
        <v>4750</v>
      </c>
      <c r="T125" t="str">
        <f t="shared" ref="T125:T132" si="17">AE125</f>
        <v>意志を砕く者</v>
      </c>
      <c r="U125" t="str">
        <f t="shared" ref="U125:U132" si="18">IF(I125=0,"&gt;","")</f>
        <v/>
      </c>
      <c r="V125" t="str">
        <f>IF(I125=0,VLOOKUP(TAG!T125,Sheet4!A:B,2,TRUE),"")</f>
        <v/>
      </c>
      <c r="W125" t="s">
        <v>4751</v>
      </c>
      <c r="X125" t="s">
        <v>3175</v>
      </c>
      <c r="Z125" s="3">
        <v>73</v>
      </c>
      <c r="AA125" s="2" t="s">
        <v>3176</v>
      </c>
      <c r="AB125" s="1" t="s">
        <v>1606</v>
      </c>
      <c r="AC125" s="1" t="s">
        <v>1441</v>
      </c>
      <c r="AD125" s="1">
        <v>12</v>
      </c>
      <c r="AE125" s="1" t="s">
        <v>2906</v>
      </c>
      <c r="AF125" s="1" t="s">
        <v>2905</v>
      </c>
      <c r="AG125" s="1" t="s">
        <v>339</v>
      </c>
      <c r="AH125" s="1" t="s">
        <v>1489</v>
      </c>
      <c r="AI125" s="1" t="s">
        <v>1463</v>
      </c>
      <c r="AJ125" s="1"/>
      <c r="AK125" s="1" t="s">
        <v>2904</v>
      </c>
      <c r="AL125" s="1"/>
      <c r="AM125" s="1"/>
      <c r="AN125" s="1"/>
      <c r="AO125" s="1">
        <v>2</v>
      </c>
      <c r="AP125" s="1">
        <v>3</v>
      </c>
      <c r="AQ125" s="1" t="s">
        <v>2904</v>
      </c>
    </row>
    <row r="126" spans="1:43" x14ac:dyDescent="0.15">
      <c r="A126" t="str">
        <f t="shared" si="10"/>
        <v>|BFZ|黒|12|2/3|神話レア|《[[マラキールの解放者、ドラーナ]]》|</v>
      </c>
      <c r="B126" t="s">
        <v>3168</v>
      </c>
      <c r="C126" t="str">
        <f t="shared" si="12"/>
        <v>BFZ</v>
      </c>
      <c r="D126">
        <f>IF(AA126="","",VLOOKUP(C126,tnpl!$Z$1:$AA$11,2,TRUE))</f>
        <v>2</v>
      </c>
      <c r="E126" t="s">
        <v>3168</v>
      </c>
      <c r="F126" t="str">
        <f t="shared" si="13"/>
        <v>黒</v>
      </c>
      <c r="G126">
        <f>IF(AB126="","",VLOOKUP(F126,tnpl!$X$1:$Y$16,2,TRUE))</f>
        <v>3</v>
      </c>
      <c r="H126" t="s">
        <v>3168</v>
      </c>
      <c r="I126">
        <f t="shared" si="14"/>
        <v>12</v>
      </c>
      <c r="J126" t="s">
        <v>3168</v>
      </c>
      <c r="K126">
        <f t="shared" si="15"/>
        <v>2</v>
      </c>
      <c r="L126">
        <f t="shared" si="15"/>
        <v>3</v>
      </c>
      <c r="M126" t="str">
        <f t="shared" si="11"/>
        <v>2/3</v>
      </c>
      <c r="N126" t="s">
        <v>3175</v>
      </c>
      <c r="O126" t="str">
        <f t="shared" si="16"/>
        <v>神話レア</v>
      </c>
      <c r="R126" t="s">
        <v>3175</v>
      </c>
      <c r="S126" t="s">
        <v>4750</v>
      </c>
      <c r="T126" t="str">
        <f t="shared" si="17"/>
        <v>マラキールの解放者、ドラーナ</v>
      </c>
      <c r="U126" t="str">
        <f t="shared" si="18"/>
        <v/>
      </c>
      <c r="V126" t="str">
        <f>IF(I126=0,VLOOKUP(TAG!T126,Sheet4!A:B,2,TRUE),"")</f>
        <v/>
      </c>
      <c r="W126" t="s">
        <v>4751</v>
      </c>
      <c r="X126" t="s">
        <v>3175</v>
      </c>
      <c r="Z126" s="3">
        <v>350</v>
      </c>
      <c r="AA126" s="2" t="s">
        <v>3170</v>
      </c>
      <c r="AB126" s="1" t="s">
        <v>1582</v>
      </c>
      <c r="AC126" s="1" t="s">
        <v>1431</v>
      </c>
      <c r="AD126" s="1">
        <v>12</v>
      </c>
      <c r="AE126" s="1" t="s">
        <v>2083</v>
      </c>
      <c r="AF126" s="1" t="s">
        <v>2082</v>
      </c>
      <c r="AG126" s="1" t="s">
        <v>339</v>
      </c>
      <c r="AH126" s="1" t="s">
        <v>1494</v>
      </c>
      <c r="AI126" s="1" t="s">
        <v>1478</v>
      </c>
      <c r="AJ126" s="1"/>
      <c r="AK126" s="1" t="s">
        <v>3355</v>
      </c>
      <c r="AL126" s="1" t="s">
        <v>2310</v>
      </c>
      <c r="AM126" s="1" t="s">
        <v>2081</v>
      </c>
      <c r="AN126" s="1"/>
      <c r="AO126" s="1">
        <v>2</v>
      </c>
      <c r="AP126" s="1">
        <v>3</v>
      </c>
      <c r="AQ126" s="1" t="s">
        <v>3356</v>
      </c>
    </row>
    <row r="127" spans="1:43" x14ac:dyDescent="0.15">
      <c r="A127" t="str">
        <f t="shared" si="10"/>
        <v>|SOI|黒|12|2/3|コモン|《[[マウアー地所の双子]]》|</v>
      </c>
      <c r="B127" t="s">
        <v>3168</v>
      </c>
      <c r="C127" t="str">
        <f t="shared" si="12"/>
        <v>SOI</v>
      </c>
      <c r="D127">
        <f>IF(AA127="","",VLOOKUP(C127,tnpl!$Z$1:$AA$11,2,TRUE))</f>
        <v>4</v>
      </c>
      <c r="E127" t="s">
        <v>3168</v>
      </c>
      <c r="F127" t="str">
        <f t="shared" si="13"/>
        <v>黒</v>
      </c>
      <c r="G127">
        <f>IF(AB127="","",VLOOKUP(F127,tnpl!$X$1:$Y$16,2,TRUE))</f>
        <v>3</v>
      </c>
      <c r="H127" t="s">
        <v>3168</v>
      </c>
      <c r="I127">
        <f t="shared" si="14"/>
        <v>12</v>
      </c>
      <c r="J127" t="s">
        <v>3168</v>
      </c>
      <c r="K127">
        <f t="shared" si="15"/>
        <v>2</v>
      </c>
      <c r="L127">
        <f t="shared" si="15"/>
        <v>3</v>
      </c>
      <c r="M127" t="str">
        <f t="shared" si="11"/>
        <v>2/3</v>
      </c>
      <c r="N127" t="s">
        <v>3175</v>
      </c>
      <c r="O127" t="str">
        <f t="shared" si="16"/>
        <v>コモン</v>
      </c>
      <c r="R127" t="s">
        <v>3175</v>
      </c>
      <c r="S127" t="s">
        <v>4750</v>
      </c>
      <c r="T127" t="str">
        <f t="shared" si="17"/>
        <v>マウアー地所の双子</v>
      </c>
      <c r="U127" t="str">
        <f t="shared" si="18"/>
        <v/>
      </c>
      <c r="V127" t="str">
        <f>IF(I127=0,VLOOKUP(TAG!T127,Sheet4!A:B,2,TRUE),"")</f>
        <v/>
      </c>
      <c r="W127" t="s">
        <v>4751</v>
      </c>
      <c r="X127" t="s">
        <v>3175</v>
      </c>
      <c r="Z127" s="3">
        <v>617</v>
      </c>
      <c r="AA127" s="2" t="s">
        <v>3431</v>
      </c>
      <c r="AB127" s="1" t="s">
        <v>1582</v>
      </c>
      <c r="AC127" s="1" t="s">
        <v>1744</v>
      </c>
      <c r="AD127" s="1">
        <v>12</v>
      </c>
      <c r="AE127" s="1" t="s">
        <v>1287</v>
      </c>
      <c r="AF127" s="1" t="s">
        <v>1286</v>
      </c>
      <c r="AG127" s="1" t="s">
        <v>339</v>
      </c>
      <c r="AH127" s="1" t="s">
        <v>1494</v>
      </c>
      <c r="AI127" s="1"/>
      <c r="AJ127" s="1"/>
      <c r="AK127" s="1" t="s">
        <v>3506</v>
      </c>
      <c r="AL127" s="1"/>
      <c r="AM127" s="1"/>
      <c r="AN127" s="1"/>
      <c r="AO127" s="1">
        <v>2</v>
      </c>
      <c r="AP127" s="1">
        <v>3</v>
      </c>
      <c r="AQ127" s="1" t="s">
        <v>3506</v>
      </c>
    </row>
    <row r="128" spans="1:43" x14ac:dyDescent="0.15">
      <c r="A128" t="str">
        <f t="shared" si="10"/>
        <v>|SOI|黒|10|2/3|アンコモン|《[[親切な余所者]]》|</v>
      </c>
      <c r="B128" t="s">
        <v>3168</v>
      </c>
      <c r="C128" t="str">
        <f t="shared" si="12"/>
        <v>SOI</v>
      </c>
      <c r="D128">
        <f>IF(AA128="","",VLOOKUP(C128,tnpl!$Z$1:$AA$11,2,TRUE))</f>
        <v>4</v>
      </c>
      <c r="E128" t="s">
        <v>3168</v>
      </c>
      <c r="F128" t="str">
        <f t="shared" si="13"/>
        <v>黒</v>
      </c>
      <c r="G128">
        <f>IF(AB128="","",VLOOKUP(F128,tnpl!$X$1:$Y$16,2,TRUE))</f>
        <v>3</v>
      </c>
      <c r="H128" t="s">
        <v>3168</v>
      </c>
      <c r="I128">
        <f t="shared" si="14"/>
        <v>10</v>
      </c>
      <c r="J128" t="s">
        <v>3168</v>
      </c>
      <c r="K128">
        <f t="shared" si="15"/>
        <v>2</v>
      </c>
      <c r="L128">
        <f t="shared" si="15"/>
        <v>3</v>
      </c>
      <c r="M128" t="str">
        <f t="shared" si="11"/>
        <v>2/3</v>
      </c>
      <c r="N128" t="s">
        <v>3175</v>
      </c>
      <c r="O128" t="str">
        <f t="shared" si="16"/>
        <v>アンコモン</v>
      </c>
      <c r="R128" t="s">
        <v>3175</v>
      </c>
      <c r="S128" t="s">
        <v>4750</v>
      </c>
      <c r="T128" t="str">
        <f t="shared" si="17"/>
        <v>親切な余所者</v>
      </c>
      <c r="U128" t="str">
        <f t="shared" si="18"/>
        <v/>
      </c>
      <c r="V128" t="str">
        <f>IF(I128=0,VLOOKUP(TAG!T128,Sheet4!A:B,2,TRUE),"")</f>
        <v/>
      </c>
      <c r="W128" t="s">
        <v>4751</v>
      </c>
      <c r="X128" t="s">
        <v>3175</v>
      </c>
      <c r="Z128" s="3">
        <v>628</v>
      </c>
      <c r="AA128" s="2" t="s">
        <v>3431</v>
      </c>
      <c r="AB128" s="1" t="s">
        <v>1582</v>
      </c>
      <c r="AC128" s="1" t="s">
        <v>1451</v>
      </c>
      <c r="AD128" s="14">
        <v>10</v>
      </c>
      <c r="AE128" s="1" t="s">
        <v>1267</v>
      </c>
      <c r="AF128" s="1" t="s">
        <v>1266</v>
      </c>
      <c r="AG128" s="1" t="s">
        <v>339</v>
      </c>
      <c r="AH128" s="1" t="s">
        <v>1489</v>
      </c>
      <c r="AI128" s="1"/>
      <c r="AJ128" s="1"/>
      <c r="AK128" s="1" t="s">
        <v>3575</v>
      </c>
      <c r="AL128" s="1"/>
      <c r="AM128" s="1"/>
      <c r="AN128" s="1"/>
      <c r="AO128" s="1">
        <v>2</v>
      </c>
      <c r="AP128" s="1">
        <v>3</v>
      </c>
      <c r="AQ128" s="1" t="s">
        <v>3575</v>
      </c>
    </row>
    <row r="129" spans="1:43" x14ac:dyDescent="0.15">
      <c r="A129" t="str">
        <f t="shared" si="10"/>
        <v>|AER|赤|9|2/3|アンコモン|《[[無謀なレーサー]]》|</v>
      </c>
      <c r="B129" t="s">
        <v>3168</v>
      </c>
      <c r="C129" t="str">
        <f t="shared" si="12"/>
        <v>AER</v>
      </c>
      <c r="D129">
        <f>IF(AA129="","",VLOOKUP(C129,tnpl!$Z$1:$AA$11,2,TRUE))</f>
        <v>7</v>
      </c>
      <c r="E129" t="s">
        <v>3168</v>
      </c>
      <c r="F129" t="str">
        <f t="shared" si="13"/>
        <v>赤</v>
      </c>
      <c r="G129">
        <f>IF(AB129="","",VLOOKUP(F129,tnpl!$X$1:$Y$16,2,TRUE))</f>
        <v>4</v>
      </c>
      <c r="H129" t="s">
        <v>3168</v>
      </c>
      <c r="I129">
        <f t="shared" si="14"/>
        <v>9</v>
      </c>
      <c r="J129" t="s">
        <v>3168</v>
      </c>
      <c r="K129">
        <f t="shared" si="15"/>
        <v>2</v>
      </c>
      <c r="L129">
        <f t="shared" si="15"/>
        <v>3</v>
      </c>
      <c r="M129" t="str">
        <f t="shared" si="11"/>
        <v>2/3</v>
      </c>
      <c r="N129" t="s">
        <v>3175</v>
      </c>
      <c r="O129" t="str">
        <f t="shared" si="16"/>
        <v>アンコモン</v>
      </c>
      <c r="R129" t="s">
        <v>3175</v>
      </c>
      <c r="S129" t="s">
        <v>4750</v>
      </c>
      <c r="T129" t="str">
        <f t="shared" si="17"/>
        <v>無謀なレーサー</v>
      </c>
      <c r="U129" t="str">
        <f t="shared" si="18"/>
        <v/>
      </c>
      <c r="V129" t="str">
        <f>IF(I129=0,VLOOKUP(TAG!T129,Sheet4!A:B,2,TRUE),"")</f>
        <v/>
      </c>
      <c r="W129" t="s">
        <v>4751</v>
      </c>
      <c r="X129" t="s">
        <v>3175</v>
      </c>
      <c r="Z129" s="3">
        <v>1048</v>
      </c>
      <c r="AA129" s="2" t="s">
        <v>4236</v>
      </c>
      <c r="AB129" s="1" t="s">
        <v>1552</v>
      </c>
      <c r="AC129" s="1" t="s">
        <v>1451</v>
      </c>
      <c r="AD129" s="1">
        <v>9</v>
      </c>
      <c r="AE129" s="1" t="s">
        <v>419</v>
      </c>
      <c r="AF129" s="1" t="s">
        <v>418</v>
      </c>
      <c r="AG129" s="1" t="s">
        <v>339</v>
      </c>
      <c r="AH129" s="1" t="s">
        <v>1489</v>
      </c>
      <c r="AI129" s="1" t="s">
        <v>3957</v>
      </c>
      <c r="AJ129" s="1"/>
      <c r="AK129" s="1" t="s">
        <v>3311</v>
      </c>
      <c r="AL129" s="1" t="s">
        <v>4217</v>
      </c>
      <c r="AM129" s="1"/>
      <c r="AN129" s="1"/>
      <c r="AO129" s="1">
        <v>2</v>
      </c>
      <c r="AP129" s="1">
        <v>3</v>
      </c>
      <c r="AQ129" s="1" t="s">
        <v>4280</v>
      </c>
    </row>
    <row r="130" spans="1:43" x14ac:dyDescent="0.15">
      <c r="A130" t="str">
        <f t="shared" si="10"/>
        <v>|AKH|青|6|2/3|コモン|《[[ヘクマの歩哨]]》|</v>
      </c>
      <c r="B130" t="s">
        <v>3168</v>
      </c>
      <c r="C130" t="str">
        <f t="shared" si="12"/>
        <v>AKH</v>
      </c>
      <c r="D130">
        <f>IF(AA130="","",VLOOKUP(C130,tnpl!$Z$1:$AA$11,2,TRUE))</f>
        <v>10</v>
      </c>
      <c r="E130" t="s">
        <v>3168</v>
      </c>
      <c r="F130" t="str">
        <f t="shared" si="13"/>
        <v>青</v>
      </c>
      <c r="G130">
        <f>IF(AB130="","",VLOOKUP(F130,tnpl!$X$1:$Y$16,2,TRUE))</f>
        <v>2</v>
      </c>
      <c r="H130" t="s">
        <v>3168</v>
      </c>
      <c r="I130">
        <f t="shared" si="14"/>
        <v>6</v>
      </c>
      <c r="J130" t="s">
        <v>3168</v>
      </c>
      <c r="K130">
        <f t="shared" si="15"/>
        <v>2</v>
      </c>
      <c r="L130">
        <f t="shared" si="15"/>
        <v>3</v>
      </c>
      <c r="M130" t="str">
        <f t="shared" si="11"/>
        <v>2/3</v>
      </c>
      <c r="N130" t="s">
        <v>3175</v>
      </c>
      <c r="O130" t="str">
        <f t="shared" si="16"/>
        <v>コモン</v>
      </c>
      <c r="R130" t="s">
        <v>3175</v>
      </c>
      <c r="S130" t="s">
        <v>4750</v>
      </c>
      <c r="T130" t="str">
        <f t="shared" si="17"/>
        <v>ヘクマの歩哨</v>
      </c>
      <c r="U130" t="str">
        <f t="shared" si="18"/>
        <v/>
      </c>
      <c r="V130" t="str">
        <f>IF(I130=0,VLOOKUP(TAG!T130,Sheet4!A:B,2,TRUE),"")</f>
        <v/>
      </c>
      <c r="W130" t="s">
        <v>4751</v>
      </c>
      <c r="X130" t="s">
        <v>3175</v>
      </c>
      <c r="Z130" s="3">
        <v>1129</v>
      </c>
      <c r="AA130" s="2" t="s">
        <v>4349</v>
      </c>
      <c r="AB130" s="1" t="s">
        <v>1606</v>
      </c>
      <c r="AC130" s="1" t="s">
        <v>1744</v>
      </c>
      <c r="AD130" s="1">
        <v>6</v>
      </c>
      <c r="AE130" s="1" t="s">
        <v>237</v>
      </c>
      <c r="AF130" s="1" t="s">
        <v>236</v>
      </c>
      <c r="AG130" s="1" t="s">
        <v>339</v>
      </c>
      <c r="AH130" s="1" t="s">
        <v>1489</v>
      </c>
      <c r="AI130" s="1" t="s">
        <v>1470</v>
      </c>
      <c r="AJ130" s="1"/>
      <c r="AK130" s="1" t="s">
        <v>4406</v>
      </c>
      <c r="AL130" s="1"/>
      <c r="AM130" s="1"/>
      <c r="AN130" s="1"/>
      <c r="AO130" s="1">
        <v>2</v>
      </c>
      <c r="AP130" s="1">
        <v>3</v>
      </c>
      <c r="AQ130" s="1" t="s">
        <v>4406</v>
      </c>
    </row>
    <row r="131" spans="1:43" x14ac:dyDescent="0.15">
      <c r="A131" t="str">
        <f t="shared" si="10"/>
        <v>|AKH|赤|16|2/3|コモン|《[[ミノタウルスの名射手]]》|</v>
      </c>
      <c r="B131" t="s">
        <v>3168</v>
      </c>
      <c r="C131" t="str">
        <f t="shared" si="12"/>
        <v>AKH</v>
      </c>
      <c r="D131">
        <f>IF(AA131="","",VLOOKUP(C131,tnpl!$Z$1:$AA$11,2,TRUE))</f>
        <v>10</v>
      </c>
      <c r="E131" t="s">
        <v>3168</v>
      </c>
      <c r="F131" t="str">
        <f t="shared" si="13"/>
        <v>赤</v>
      </c>
      <c r="G131">
        <f>IF(AB131="","",VLOOKUP(F131,tnpl!$X$1:$Y$16,2,TRUE))</f>
        <v>4</v>
      </c>
      <c r="H131" t="s">
        <v>3168</v>
      </c>
      <c r="I131">
        <f t="shared" si="14"/>
        <v>16</v>
      </c>
      <c r="J131" t="s">
        <v>3168</v>
      </c>
      <c r="K131">
        <f t="shared" si="15"/>
        <v>2</v>
      </c>
      <c r="L131">
        <f t="shared" si="15"/>
        <v>3</v>
      </c>
      <c r="M131" t="str">
        <f t="shared" si="11"/>
        <v>2/3</v>
      </c>
      <c r="N131" t="s">
        <v>3175</v>
      </c>
      <c r="O131" t="str">
        <f t="shared" si="16"/>
        <v>コモン</v>
      </c>
      <c r="R131" t="s">
        <v>3175</v>
      </c>
      <c r="S131" t="s">
        <v>4750</v>
      </c>
      <c r="T131" t="str">
        <f t="shared" si="17"/>
        <v>ミノタウルスの名射手</v>
      </c>
      <c r="U131" t="str">
        <f t="shared" si="18"/>
        <v/>
      </c>
      <c r="V131" t="str">
        <f>IF(I131=0,VLOOKUP(TAG!T131,Sheet4!A:B,2,TRUE),"")</f>
        <v/>
      </c>
      <c r="W131" t="s">
        <v>4751</v>
      </c>
      <c r="X131" t="s">
        <v>3175</v>
      </c>
      <c r="Z131" s="3">
        <v>1179</v>
      </c>
      <c r="AA131" s="2" t="s">
        <v>4349</v>
      </c>
      <c r="AB131" s="1" t="s">
        <v>1552</v>
      </c>
      <c r="AC131" s="1" t="s">
        <v>1744</v>
      </c>
      <c r="AD131" s="1">
        <v>16</v>
      </c>
      <c r="AE131" s="1" t="s">
        <v>141</v>
      </c>
      <c r="AF131" s="1" t="s">
        <v>140</v>
      </c>
      <c r="AG131" s="1" t="s">
        <v>339</v>
      </c>
      <c r="AH131" s="1" t="s">
        <v>4456</v>
      </c>
      <c r="AI131" s="1" t="s">
        <v>2861</v>
      </c>
      <c r="AJ131" s="1"/>
      <c r="AK131" s="1" t="s">
        <v>1944</v>
      </c>
      <c r="AL131" s="1" t="s">
        <v>4502</v>
      </c>
      <c r="AM131" s="1"/>
      <c r="AN131" s="1"/>
      <c r="AO131" s="1">
        <v>2</v>
      </c>
      <c r="AP131" s="1">
        <v>3</v>
      </c>
      <c r="AQ131" s="1" t="s">
        <v>4503</v>
      </c>
    </row>
    <row r="132" spans="1:43" x14ac:dyDescent="0.15">
      <c r="A132" t="str">
        <f t="shared" si="10"/>
        <v>|AKH|赤|14|2/3|アンコモン|《[[戦炎の投槍手]]》|</v>
      </c>
      <c r="B132" t="s">
        <v>3168</v>
      </c>
      <c r="C132" t="str">
        <f t="shared" si="12"/>
        <v>AKH</v>
      </c>
      <c r="D132">
        <f>IF(AA132="","",VLOOKUP(C132,tnpl!$Z$1:$AA$11,2,TRUE))</f>
        <v>10</v>
      </c>
      <c r="E132" t="s">
        <v>3168</v>
      </c>
      <c r="F132" t="str">
        <f t="shared" si="13"/>
        <v>赤</v>
      </c>
      <c r="G132">
        <f>IF(AB132="","",VLOOKUP(F132,tnpl!$X$1:$Y$16,2,TRUE))</f>
        <v>4</v>
      </c>
      <c r="H132" t="s">
        <v>3168</v>
      </c>
      <c r="I132">
        <f t="shared" si="14"/>
        <v>14</v>
      </c>
      <c r="J132" t="s">
        <v>3168</v>
      </c>
      <c r="K132">
        <f t="shared" si="15"/>
        <v>2</v>
      </c>
      <c r="L132">
        <f t="shared" si="15"/>
        <v>3</v>
      </c>
      <c r="M132" t="str">
        <f t="shared" si="11"/>
        <v>2/3</v>
      </c>
      <c r="N132" t="s">
        <v>3175</v>
      </c>
      <c r="O132" t="str">
        <f t="shared" si="16"/>
        <v>アンコモン</v>
      </c>
      <c r="R132" t="s">
        <v>3175</v>
      </c>
      <c r="S132" t="s">
        <v>4750</v>
      </c>
      <c r="T132" t="str">
        <f t="shared" si="17"/>
        <v>戦炎の投槍手</v>
      </c>
      <c r="U132" t="str">
        <f t="shared" si="18"/>
        <v/>
      </c>
      <c r="V132" t="str">
        <f>IF(I132=0,VLOOKUP(TAG!T132,Sheet4!A:B,2,TRUE),"")</f>
        <v/>
      </c>
      <c r="W132" t="s">
        <v>4751</v>
      </c>
      <c r="X132" t="s">
        <v>3175</v>
      </c>
      <c r="Z132" s="3">
        <v>1279</v>
      </c>
      <c r="AA132" s="2" t="s">
        <v>4349</v>
      </c>
      <c r="AB132" s="1" t="s">
        <v>1552</v>
      </c>
      <c r="AC132" s="1" t="s">
        <v>1451</v>
      </c>
      <c r="AD132" s="1">
        <v>14</v>
      </c>
      <c r="AE132" s="1" t="s">
        <v>4707</v>
      </c>
      <c r="AF132" s="1" t="s">
        <v>4708</v>
      </c>
      <c r="AG132" s="1" t="s">
        <v>339</v>
      </c>
      <c r="AH132" s="1" t="s">
        <v>4456</v>
      </c>
      <c r="AI132" s="1" t="s">
        <v>1493</v>
      </c>
      <c r="AJ132" s="1"/>
      <c r="AK132" s="1" t="s">
        <v>4709</v>
      </c>
      <c r="AL132" s="1"/>
      <c r="AM132" s="1"/>
      <c r="AN132" s="1"/>
      <c r="AO132" s="1">
        <v>2</v>
      </c>
      <c r="AP132" s="1">
        <v>3</v>
      </c>
      <c r="AQ132" s="1" t="s">
        <v>4709</v>
      </c>
    </row>
    <row r="133" spans="1:43" x14ac:dyDescent="0.15">
      <c r="A133" t="str">
        <f>B133&amp;C133&amp;E133&amp;F133&amp;H133&amp;I133&amp;J133&amp;M133&amp;N133&amp;O133&amp;P133&amp;Q133&amp;R133&amp;S133&amp;T133&amp;V133&amp;W133&amp;X133&amp;Y133</f>
        <v/>
      </c>
    </row>
    <row r="134" spans="1:43" x14ac:dyDescent="0.15">
      <c r="A134" t="str">
        <f>B134&amp;C134&amp;E134&amp;F134&amp;H134&amp;I134&amp;J134&amp;M134&amp;N134&amp;O134&amp;P134&amp;Q134&amp;R134&amp;S134&amp;T134&amp;V134&amp;W134&amp;X134&amp;Y134</f>
        <v>**2/4クリーチャー</v>
      </c>
      <c r="B134" t="s">
        <v>4752</v>
      </c>
      <c r="C134">
        <f>K137</f>
        <v>2</v>
      </c>
      <c r="E134" t="s">
        <v>4816</v>
      </c>
      <c r="F134">
        <f>L137</f>
        <v>4</v>
      </c>
      <c r="I134" t="s">
        <v>339</v>
      </c>
    </row>
    <row r="135" spans="1:43" x14ac:dyDescent="0.15">
      <c r="A135" t="str">
        <f t="shared" ref="A135:A142" si="19">B135&amp;C135&amp;E135&amp;F135&amp;H135&amp;I135&amp;J135&amp;M135&amp;N135&amp;O135&amp;P135&amp;Q135&amp;R135&amp;S135&amp;T135&amp;U135&amp;V135&amp;W135&amp;X135&amp;Y135</f>
        <v>|LEFT:50|LEFT:50|LEFT:50|LEFT:120|LEFT:120|LEFT:500|c</v>
      </c>
      <c r="B135" t="s">
        <v>3168</v>
      </c>
      <c r="C135" t="s">
        <v>3162</v>
      </c>
      <c r="E135" t="s">
        <v>3168</v>
      </c>
      <c r="F135" t="s">
        <v>3162</v>
      </c>
      <c r="H135" t="s">
        <v>3168</v>
      </c>
      <c r="I135" t="s">
        <v>3162</v>
      </c>
      <c r="J135" t="s">
        <v>3168</v>
      </c>
      <c r="M135" t="s">
        <v>4808</v>
      </c>
      <c r="N135" t="s">
        <v>3175</v>
      </c>
      <c r="O135" t="s">
        <v>4808</v>
      </c>
      <c r="R135" t="s">
        <v>3175</v>
      </c>
      <c r="T135" t="s">
        <v>3163</v>
      </c>
      <c r="X135" t="s">
        <v>3175</v>
      </c>
      <c r="Y135" t="s">
        <v>3164</v>
      </c>
    </row>
    <row r="136" spans="1:43" x14ac:dyDescent="0.15">
      <c r="A136" t="str">
        <f t="shared" si="19"/>
        <v>|セット|色|コスト|P/T|レアリティ|カード名|</v>
      </c>
      <c r="B136" t="s">
        <v>3168</v>
      </c>
      <c r="C136" t="s">
        <v>3169</v>
      </c>
      <c r="E136" t="s">
        <v>3168</v>
      </c>
      <c r="F136" t="s">
        <v>3139</v>
      </c>
      <c r="H136" t="s">
        <v>3168</v>
      </c>
      <c r="I136" t="s">
        <v>3165</v>
      </c>
      <c r="J136" t="s">
        <v>3168</v>
      </c>
      <c r="K136" t="s">
        <v>3126</v>
      </c>
      <c r="L136" t="s">
        <v>3125</v>
      </c>
      <c r="M136" t="str">
        <f t="shared" ref="M136:M142" si="20">K136&amp;"/"&amp;L136</f>
        <v>P/T</v>
      </c>
      <c r="N136" t="s">
        <v>3175</v>
      </c>
      <c r="O136" t="s">
        <v>4809</v>
      </c>
      <c r="R136" t="s">
        <v>3175</v>
      </c>
      <c r="T136" t="s">
        <v>3166</v>
      </c>
      <c r="X136" t="s">
        <v>3175</v>
      </c>
      <c r="Z136" s="12"/>
      <c r="AA136" s="12"/>
      <c r="AB136" s="12"/>
      <c r="AC136" s="12"/>
      <c r="AD136" s="12"/>
      <c r="AE136" s="12"/>
      <c r="AF136" s="12"/>
      <c r="AG136" s="12"/>
      <c r="AH136" s="12"/>
      <c r="AI136" s="12"/>
      <c r="AJ136" s="12"/>
      <c r="AK136" s="12"/>
      <c r="AL136" s="12"/>
      <c r="AM136" s="12"/>
      <c r="AN136" s="12"/>
      <c r="AO136" s="12"/>
      <c r="AP136" s="12"/>
      <c r="AQ136" s="12"/>
    </row>
    <row r="137" spans="1:43" x14ac:dyDescent="0.15">
      <c r="A137" t="str">
        <f t="shared" si="19"/>
        <v>|OGW|青赤|12|2/4|アンコモン|《[[嵐追いの魔道士]]》|</v>
      </c>
      <c r="B137" t="s">
        <v>3168</v>
      </c>
      <c r="C137" t="str">
        <f t="shared" ref="C137:C142" si="21">AA137</f>
        <v>OGW</v>
      </c>
      <c r="D137">
        <f>IF(AA137="","",VLOOKUP(C137,tnpl!$Z$1:$AA$11,2,TRUE))</f>
        <v>3</v>
      </c>
      <c r="E137" t="s">
        <v>3168</v>
      </c>
      <c r="F137" t="str">
        <f t="shared" ref="F137:F142" si="22">AB137</f>
        <v>青赤</v>
      </c>
      <c r="G137">
        <f>IF(AB137="","",VLOOKUP(F137,tnpl!$X$1:$Y$16,2,TRUE))</f>
        <v>12</v>
      </c>
      <c r="H137" t="s">
        <v>3168</v>
      </c>
      <c r="I137">
        <f t="shared" ref="I137:I142" si="23">AD137</f>
        <v>12</v>
      </c>
      <c r="J137" t="s">
        <v>3168</v>
      </c>
      <c r="K137">
        <f t="shared" ref="K137:L142" si="24">AO137</f>
        <v>2</v>
      </c>
      <c r="L137">
        <f t="shared" si="24"/>
        <v>4</v>
      </c>
      <c r="M137" t="str">
        <f t="shared" si="20"/>
        <v>2/4</v>
      </c>
      <c r="N137" t="s">
        <v>3175</v>
      </c>
      <c r="O137" t="str">
        <f t="shared" ref="O137:O142" si="25">AC137</f>
        <v>アンコモン</v>
      </c>
      <c r="R137" t="s">
        <v>3175</v>
      </c>
      <c r="S137" t="s">
        <v>4750</v>
      </c>
      <c r="T137" t="str">
        <f t="shared" ref="T137:T142" si="26">AE137</f>
        <v>嵐追いの魔道士</v>
      </c>
      <c r="U137" t="str">
        <f t="shared" ref="U137:U142" si="27">IF(I137=0,"&gt;","")</f>
        <v/>
      </c>
      <c r="V137" t="str">
        <f>IF(I137=0,VLOOKUP(TAG!T137,Sheet4!A:B,2,TRUE),"")</f>
        <v/>
      </c>
      <c r="W137" t="s">
        <v>4751</v>
      </c>
      <c r="X137" t="s">
        <v>3175</v>
      </c>
      <c r="Z137" s="3">
        <v>524</v>
      </c>
      <c r="AA137" s="2" t="s">
        <v>3171</v>
      </c>
      <c r="AB137" s="1" t="s">
        <v>1467</v>
      </c>
      <c r="AC137" s="1" t="s">
        <v>1451</v>
      </c>
      <c r="AD137" s="1">
        <v>12</v>
      </c>
      <c r="AE137" s="1" t="s">
        <v>1491</v>
      </c>
      <c r="AF137" s="1" t="s">
        <v>1490</v>
      </c>
      <c r="AG137" s="1" t="s">
        <v>339</v>
      </c>
      <c r="AH137" s="1" t="s">
        <v>1489</v>
      </c>
      <c r="AI137" s="1" t="s">
        <v>1463</v>
      </c>
      <c r="AJ137" s="1"/>
      <c r="AK137" s="1" t="s">
        <v>3370</v>
      </c>
      <c r="AL137" s="1" t="s">
        <v>1488</v>
      </c>
      <c r="AM137" s="1"/>
      <c r="AN137" s="1"/>
      <c r="AO137" s="1">
        <v>2</v>
      </c>
      <c r="AP137" s="1">
        <v>4</v>
      </c>
      <c r="AQ137" s="1" t="s">
        <v>3424</v>
      </c>
    </row>
    <row r="138" spans="1:43" x14ac:dyDescent="0.15">
      <c r="A138" t="str">
        <f t="shared" si="19"/>
        <v>|EMN|緑|11|2/4|アンコモン|《[[絡み爪の人狼]]》|</v>
      </c>
      <c r="B138" t="s">
        <v>3168</v>
      </c>
      <c r="C138" t="str">
        <f t="shared" si="21"/>
        <v>EMN</v>
      </c>
      <c r="D138">
        <f>IF(AA138="","",VLOOKUP(C138,tnpl!$Z$1:$AA$11,2,TRUE))</f>
        <v>5</v>
      </c>
      <c r="E138" t="s">
        <v>3168</v>
      </c>
      <c r="F138" t="str">
        <f t="shared" si="22"/>
        <v>緑</v>
      </c>
      <c r="G138">
        <f>IF(AB138="","",VLOOKUP(F138,tnpl!$X$1:$Y$16,2,TRUE))</f>
        <v>5</v>
      </c>
      <c r="H138" t="s">
        <v>3168</v>
      </c>
      <c r="I138">
        <f t="shared" si="23"/>
        <v>11</v>
      </c>
      <c r="J138" t="s">
        <v>3168</v>
      </c>
      <c r="K138">
        <f t="shared" si="24"/>
        <v>2</v>
      </c>
      <c r="L138">
        <f t="shared" si="24"/>
        <v>4</v>
      </c>
      <c r="M138" t="str">
        <f t="shared" si="20"/>
        <v>2/4</v>
      </c>
      <c r="N138" t="s">
        <v>3175</v>
      </c>
      <c r="O138" t="str">
        <f t="shared" si="25"/>
        <v>アンコモン</v>
      </c>
      <c r="R138" t="s">
        <v>3175</v>
      </c>
      <c r="S138" t="s">
        <v>4750</v>
      </c>
      <c r="T138" t="str">
        <f t="shared" si="26"/>
        <v>絡み爪の人狼</v>
      </c>
      <c r="U138" t="str">
        <f t="shared" si="27"/>
        <v/>
      </c>
      <c r="V138" t="str">
        <f>IF(I138=0,VLOOKUP(TAG!T138,Sheet4!A:B,2,TRUE),"")</f>
        <v/>
      </c>
      <c r="W138" t="s">
        <v>4751</v>
      </c>
      <c r="X138" t="s">
        <v>3175</v>
      </c>
      <c r="Z138" s="3">
        <v>809</v>
      </c>
      <c r="AA138" s="2" t="s">
        <v>3773</v>
      </c>
      <c r="AB138" s="1" t="s">
        <v>1518</v>
      </c>
      <c r="AC138" s="1" t="s">
        <v>1451</v>
      </c>
      <c r="AD138" s="14">
        <v>11</v>
      </c>
      <c r="AE138" s="1" t="s">
        <v>906</v>
      </c>
      <c r="AF138" s="1" t="s">
        <v>905</v>
      </c>
      <c r="AG138" s="1" t="s">
        <v>339</v>
      </c>
      <c r="AH138" s="1" t="s">
        <v>3605</v>
      </c>
      <c r="AI138" s="1" t="s">
        <v>2802</v>
      </c>
      <c r="AJ138" s="1"/>
      <c r="AK138" s="1" t="s">
        <v>2595</v>
      </c>
      <c r="AL138" s="1" t="s">
        <v>3463</v>
      </c>
      <c r="AM138" s="1"/>
      <c r="AN138" s="1"/>
      <c r="AO138" s="1">
        <v>2</v>
      </c>
      <c r="AP138" s="1">
        <v>4</v>
      </c>
      <c r="AQ138" s="1" t="s">
        <v>3886</v>
      </c>
    </row>
    <row r="139" spans="1:43" x14ac:dyDescent="0.15">
      <c r="A139" t="str">
        <f t="shared" si="19"/>
        <v>|AKH|白|6|2/4|コモン|《[[仕える者たち]]》|</v>
      </c>
      <c r="B139" t="s">
        <v>3168</v>
      </c>
      <c r="C139" t="str">
        <f t="shared" si="21"/>
        <v>AKH</v>
      </c>
      <c r="D139">
        <f>IF(AA139="","",VLOOKUP(C139,tnpl!$Z$1:$AA$11,2,TRUE))</f>
        <v>10</v>
      </c>
      <c r="E139" t="s">
        <v>3168</v>
      </c>
      <c r="F139" t="str">
        <f t="shared" si="22"/>
        <v>白</v>
      </c>
      <c r="G139">
        <f>IF(AB139="","",VLOOKUP(F139,tnpl!$X$1:$Y$16,2,TRUE))</f>
        <v>1</v>
      </c>
      <c r="H139" t="s">
        <v>3168</v>
      </c>
      <c r="I139">
        <f t="shared" si="23"/>
        <v>6</v>
      </c>
      <c r="J139" t="s">
        <v>3168</v>
      </c>
      <c r="K139">
        <f t="shared" si="24"/>
        <v>2</v>
      </c>
      <c r="L139">
        <f t="shared" si="24"/>
        <v>4</v>
      </c>
      <c r="M139" t="str">
        <f t="shared" si="20"/>
        <v>2/4</v>
      </c>
      <c r="N139" t="s">
        <v>3175</v>
      </c>
      <c r="O139" t="str">
        <f t="shared" si="25"/>
        <v>コモン</v>
      </c>
      <c r="R139" t="s">
        <v>3175</v>
      </c>
      <c r="S139" t="s">
        <v>4750</v>
      </c>
      <c r="T139" t="str">
        <f t="shared" si="26"/>
        <v>仕える者たち</v>
      </c>
      <c r="U139" t="str">
        <f t="shared" si="27"/>
        <v/>
      </c>
      <c r="V139" t="str">
        <f>IF(I139=0,VLOOKUP(TAG!T139,Sheet4!A:B,2,TRUE),"")</f>
        <v/>
      </c>
      <c r="W139" t="s">
        <v>4751</v>
      </c>
      <c r="X139" t="s">
        <v>3175</v>
      </c>
      <c r="Z139" s="3">
        <v>1108</v>
      </c>
      <c r="AA139" s="2" t="s">
        <v>4349</v>
      </c>
      <c r="AB139" s="1" t="s">
        <v>1627</v>
      </c>
      <c r="AC139" s="1" t="s">
        <v>1744</v>
      </c>
      <c r="AD139" s="1">
        <v>6</v>
      </c>
      <c r="AE139" s="1" t="s">
        <v>274</v>
      </c>
      <c r="AF139" s="1" t="s">
        <v>273</v>
      </c>
      <c r="AG139" s="1" t="s">
        <v>339</v>
      </c>
      <c r="AH139" s="1" t="s">
        <v>1484</v>
      </c>
      <c r="AI139" s="1"/>
      <c r="AJ139" s="1"/>
      <c r="AK139" s="1"/>
      <c r="AL139" s="1"/>
      <c r="AM139" s="1"/>
      <c r="AN139" s="1"/>
      <c r="AO139" s="1">
        <v>2</v>
      </c>
      <c r="AP139" s="1">
        <v>4</v>
      </c>
      <c r="AQ139" s="1"/>
    </row>
    <row r="140" spans="1:43" x14ac:dyDescent="0.15">
      <c r="A140" t="str">
        <f t="shared" si="19"/>
        <v>|AKH|青|6|2/4|アンコモン|《[[砂時計の侍臣]]》|</v>
      </c>
      <c r="B140" t="s">
        <v>3168</v>
      </c>
      <c r="C140" t="str">
        <f t="shared" si="21"/>
        <v>AKH</v>
      </c>
      <c r="D140">
        <f>IF(AA140="","",VLOOKUP(C140,tnpl!$Z$1:$AA$11,2,TRUE))</f>
        <v>10</v>
      </c>
      <c r="E140" t="s">
        <v>3168</v>
      </c>
      <c r="F140" t="str">
        <f t="shared" si="22"/>
        <v>青</v>
      </c>
      <c r="G140">
        <f>IF(AB140="","",VLOOKUP(F140,tnpl!$X$1:$Y$16,2,TRUE))</f>
        <v>2</v>
      </c>
      <c r="H140" t="s">
        <v>3168</v>
      </c>
      <c r="I140">
        <f t="shared" si="23"/>
        <v>6</v>
      </c>
      <c r="J140" t="s">
        <v>3168</v>
      </c>
      <c r="K140">
        <f t="shared" si="24"/>
        <v>2</v>
      </c>
      <c r="L140">
        <f t="shared" si="24"/>
        <v>4</v>
      </c>
      <c r="M140" t="str">
        <f t="shared" si="20"/>
        <v>2/4</v>
      </c>
      <c r="N140" t="s">
        <v>3175</v>
      </c>
      <c r="O140" t="str">
        <f t="shared" si="25"/>
        <v>アンコモン</v>
      </c>
      <c r="R140" t="s">
        <v>3175</v>
      </c>
      <c r="S140" t="s">
        <v>4750</v>
      </c>
      <c r="T140" t="str">
        <f t="shared" si="26"/>
        <v>砂時計の侍臣</v>
      </c>
      <c r="U140" t="str">
        <f t="shared" si="27"/>
        <v/>
      </c>
      <c r="V140" t="str">
        <f>IF(I140=0,VLOOKUP(TAG!T140,Sheet4!A:B,2,TRUE),"")</f>
        <v/>
      </c>
      <c r="W140" t="s">
        <v>4751</v>
      </c>
      <c r="X140" t="s">
        <v>3175</v>
      </c>
      <c r="Z140" s="3">
        <v>1141</v>
      </c>
      <c r="AA140" s="2" t="s">
        <v>4349</v>
      </c>
      <c r="AB140" s="1" t="s">
        <v>1606</v>
      </c>
      <c r="AC140" s="1" t="s">
        <v>1451</v>
      </c>
      <c r="AD140" s="1">
        <v>6</v>
      </c>
      <c r="AE140" s="1" t="s">
        <v>213</v>
      </c>
      <c r="AF140" s="1" t="s">
        <v>212</v>
      </c>
      <c r="AG140" s="1" t="s">
        <v>339</v>
      </c>
      <c r="AH140" s="1" t="s">
        <v>1489</v>
      </c>
      <c r="AI140" s="1" t="s">
        <v>1470</v>
      </c>
      <c r="AJ140" s="1"/>
      <c r="AK140" s="1" t="s">
        <v>4425</v>
      </c>
      <c r="AL140" s="1" t="s">
        <v>4426</v>
      </c>
      <c r="AM140" s="1" t="s">
        <v>4427</v>
      </c>
      <c r="AN140" s="1"/>
      <c r="AO140" s="1">
        <v>2</v>
      </c>
      <c r="AP140" s="1">
        <v>4</v>
      </c>
      <c r="AQ140" s="1" t="s">
        <v>4428</v>
      </c>
    </row>
    <row r="141" spans="1:43" x14ac:dyDescent="0.15">
      <c r="A141" t="str">
        <f t="shared" si="19"/>
        <v>|AKH|緑|15|2/4|コモン|《[[大蜘蛛]]》|</v>
      </c>
      <c r="B141" t="s">
        <v>3168</v>
      </c>
      <c r="C141" t="str">
        <f t="shared" si="21"/>
        <v>AKH</v>
      </c>
      <c r="D141">
        <f>IF(AA141="","",VLOOKUP(C141,tnpl!$Z$1:$AA$11,2,TRUE))</f>
        <v>10</v>
      </c>
      <c r="E141" t="s">
        <v>3168</v>
      </c>
      <c r="F141" t="str">
        <f t="shared" si="22"/>
        <v>緑</v>
      </c>
      <c r="G141">
        <f>IF(AB141="","",VLOOKUP(F141,tnpl!$X$1:$Y$16,2,TRUE))</f>
        <v>5</v>
      </c>
      <c r="H141" t="s">
        <v>3168</v>
      </c>
      <c r="I141">
        <f t="shared" si="23"/>
        <v>15</v>
      </c>
      <c r="J141" t="s">
        <v>3168</v>
      </c>
      <c r="K141">
        <f t="shared" si="24"/>
        <v>2</v>
      </c>
      <c r="L141">
        <f t="shared" si="24"/>
        <v>4</v>
      </c>
      <c r="M141" t="str">
        <f t="shared" si="20"/>
        <v>2/4</v>
      </c>
      <c r="N141" t="s">
        <v>3175</v>
      </c>
      <c r="O141" t="str">
        <f t="shared" si="25"/>
        <v>コモン</v>
      </c>
      <c r="R141" t="s">
        <v>3175</v>
      </c>
      <c r="S141" t="s">
        <v>4750</v>
      </c>
      <c r="T141" t="str">
        <f t="shared" si="26"/>
        <v>大蜘蛛</v>
      </c>
      <c r="U141" t="str">
        <f t="shared" si="27"/>
        <v/>
      </c>
      <c r="V141" t="str">
        <f>IF(I141=0,VLOOKUP(TAG!T141,Sheet4!A:B,2,TRUE),"")</f>
        <v/>
      </c>
      <c r="W141" t="s">
        <v>4751</v>
      </c>
      <c r="X141" t="s">
        <v>3175</v>
      </c>
      <c r="Z141" s="3">
        <v>1203</v>
      </c>
      <c r="AA141" s="2" t="s">
        <v>4349</v>
      </c>
      <c r="AB141" s="1" t="s">
        <v>1518</v>
      </c>
      <c r="AC141" s="1" t="s">
        <v>1744</v>
      </c>
      <c r="AD141" s="1">
        <v>15</v>
      </c>
      <c r="AE141" s="1" t="s">
        <v>94</v>
      </c>
      <c r="AF141" s="1" t="s">
        <v>93</v>
      </c>
      <c r="AG141" s="1" t="s">
        <v>339</v>
      </c>
      <c r="AH141" s="1" t="s">
        <v>2564</v>
      </c>
      <c r="AI141" s="1"/>
      <c r="AJ141" s="1"/>
      <c r="AK141" s="1" t="s">
        <v>1944</v>
      </c>
      <c r="AL141" s="1"/>
      <c r="AM141" s="1"/>
      <c r="AN141" s="1"/>
      <c r="AO141" s="1">
        <v>2</v>
      </c>
      <c r="AP141" s="1">
        <v>4</v>
      </c>
      <c r="AQ141" s="1" t="s">
        <v>1944</v>
      </c>
    </row>
    <row r="142" spans="1:43" x14ac:dyDescent="0.15">
      <c r="A142" t="str">
        <f t="shared" si="19"/>
        <v>|AKHM|青|16|2/4|Masterpiece|《[[聖別されたスフィンクス]]》|</v>
      </c>
      <c r="B142" t="s">
        <v>3168</v>
      </c>
      <c r="C142" t="str">
        <f t="shared" si="21"/>
        <v>AKHM</v>
      </c>
      <c r="D142">
        <f>IF(AA142="","",VLOOKUP(C142,tnpl!$Z$1:$AA$11,2,TRUE))</f>
        <v>11</v>
      </c>
      <c r="E142" t="s">
        <v>3168</v>
      </c>
      <c r="F142" t="str">
        <f t="shared" si="22"/>
        <v>青</v>
      </c>
      <c r="G142">
        <f>IF(AB142="","",VLOOKUP(F142,tnpl!$X$1:$Y$16,2,TRUE))</f>
        <v>2</v>
      </c>
      <c r="H142" t="s">
        <v>3168</v>
      </c>
      <c r="I142">
        <f t="shared" si="23"/>
        <v>16</v>
      </c>
      <c r="J142" t="s">
        <v>3168</v>
      </c>
      <c r="K142">
        <f t="shared" si="24"/>
        <v>2</v>
      </c>
      <c r="L142">
        <f t="shared" si="24"/>
        <v>4</v>
      </c>
      <c r="M142" t="str">
        <f t="shared" si="20"/>
        <v>2/4</v>
      </c>
      <c r="N142" t="s">
        <v>3175</v>
      </c>
      <c r="O142" t="str">
        <f t="shared" si="25"/>
        <v>Masterpiece</v>
      </c>
      <c r="R142" t="s">
        <v>3175</v>
      </c>
      <c r="S142" t="s">
        <v>4750</v>
      </c>
      <c r="T142" t="str">
        <f t="shared" si="26"/>
        <v>聖別されたスフィンクス</v>
      </c>
      <c r="U142" t="str">
        <f t="shared" si="27"/>
        <v/>
      </c>
      <c r="V142" t="str">
        <f>IF(I142=0,VLOOKUP(TAG!T142,Sheet4!A:B,2,TRUE),"")</f>
        <v/>
      </c>
      <c r="W142" t="s">
        <v>4751</v>
      </c>
      <c r="X142" t="s">
        <v>3175</v>
      </c>
      <c r="Z142" s="3">
        <v>1256</v>
      </c>
      <c r="AA142" s="2" t="s">
        <v>4643</v>
      </c>
      <c r="AB142" s="1" t="s">
        <v>1606</v>
      </c>
      <c r="AC142" s="1" t="s">
        <v>3161</v>
      </c>
      <c r="AD142" s="1">
        <v>16</v>
      </c>
      <c r="AE142" s="1" t="s">
        <v>3141</v>
      </c>
      <c r="AF142" s="1" t="s">
        <v>3142</v>
      </c>
      <c r="AG142" s="1" t="s">
        <v>339</v>
      </c>
      <c r="AH142" s="1" t="s">
        <v>1608</v>
      </c>
      <c r="AI142" s="1"/>
      <c r="AJ142" s="1"/>
      <c r="AK142" s="1" t="s">
        <v>351</v>
      </c>
      <c r="AL142" s="1" t="s">
        <v>4647</v>
      </c>
      <c r="AM142" s="1"/>
      <c r="AN142" s="1"/>
      <c r="AO142" s="1">
        <v>2</v>
      </c>
      <c r="AP142" s="1">
        <v>4</v>
      </c>
      <c r="AQ142" s="1" t="s">
        <v>4648</v>
      </c>
    </row>
    <row r="143" spans="1:43" x14ac:dyDescent="0.15">
      <c r="A143" t="str">
        <f>B143&amp;C143&amp;E143&amp;F143&amp;H143&amp;I143&amp;J143&amp;M143&amp;N143&amp;O143&amp;P143&amp;Q143&amp;R143&amp;S143&amp;T143&amp;V143&amp;W143&amp;X143&amp;Y143</f>
        <v/>
      </c>
    </row>
    <row r="144" spans="1:43" x14ac:dyDescent="0.15">
      <c r="A144" t="str">
        <f>B144&amp;C144&amp;E144&amp;F144&amp;H144&amp;I144&amp;J144&amp;M144&amp;N144&amp;O144&amp;P144&amp;Q144&amp;R144&amp;S144&amp;T144&amp;V144&amp;W144&amp;X144&amp;Y144</f>
        <v>**2/5以上クリーチャー</v>
      </c>
      <c r="B144" t="s">
        <v>4752</v>
      </c>
      <c r="C144">
        <f>K147</f>
        <v>2</v>
      </c>
      <c r="E144" t="s">
        <v>4816</v>
      </c>
      <c r="F144">
        <f>L147</f>
        <v>5</v>
      </c>
      <c r="H144" t="s">
        <v>4817</v>
      </c>
      <c r="I144" t="s">
        <v>339</v>
      </c>
    </row>
    <row r="145" spans="1:43" x14ac:dyDescent="0.15">
      <c r="A145" t="str">
        <f t="shared" ref="A145:A151" si="28">B145&amp;C145&amp;E145&amp;F145&amp;H145&amp;I145&amp;J145&amp;M145&amp;N145&amp;O145&amp;P145&amp;Q145&amp;R145&amp;S145&amp;T145&amp;U145&amp;V145&amp;W145&amp;X145&amp;Y145</f>
        <v>|LEFT:50|LEFT:50|LEFT:50|LEFT:120|LEFT:120|LEFT:500|c</v>
      </c>
      <c r="B145" t="s">
        <v>3168</v>
      </c>
      <c r="C145" t="s">
        <v>3162</v>
      </c>
      <c r="E145" t="s">
        <v>3168</v>
      </c>
      <c r="F145" t="s">
        <v>3162</v>
      </c>
      <c r="H145" t="s">
        <v>3168</v>
      </c>
      <c r="I145" t="s">
        <v>3162</v>
      </c>
      <c r="J145" t="s">
        <v>3168</v>
      </c>
      <c r="M145" t="s">
        <v>4808</v>
      </c>
      <c r="N145" t="s">
        <v>3175</v>
      </c>
      <c r="O145" t="s">
        <v>4808</v>
      </c>
      <c r="R145" t="s">
        <v>3175</v>
      </c>
      <c r="T145" t="s">
        <v>3163</v>
      </c>
      <c r="X145" t="s">
        <v>3175</v>
      </c>
      <c r="Y145" t="s">
        <v>3164</v>
      </c>
    </row>
    <row r="146" spans="1:43" x14ac:dyDescent="0.15">
      <c r="A146" t="str">
        <f t="shared" si="28"/>
        <v>|セット|色|コスト|P/T|レアリティ|カード名|</v>
      </c>
      <c r="B146" t="s">
        <v>3168</v>
      </c>
      <c r="C146" t="s">
        <v>3169</v>
      </c>
      <c r="E146" t="s">
        <v>3168</v>
      </c>
      <c r="F146" t="s">
        <v>3139</v>
      </c>
      <c r="H146" t="s">
        <v>3168</v>
      </c>
      <c r="I146" t="s">
        <v>3165</v>
      </c>
      <c r="J146" t="s">
        <v>3168</v>
      </c>
      <c r="K146" t="s">
        <v>3126</v>
      </c>
      <c r="L146" t="s">
        <v>3125</v>
      </c>
      <c r="M146" t="str">
        <f t="shared" ref="M146:M151" si="29">K146&amp;"/"&amp;L146</f>
        <v>P/T</v>
      </c>
      <c r="N146" t="s">
        <v>3175</v>
      </c>
      <c r="O146" t="s">
        <v>4809</v>
      </c>
      <c r="R146" t="s">
        <v>3175</v>
      </c>
      <c r="T146" t="s">
        <v>3166</v>
      </c>
      <c r="X146" t="s">
        <v>3175</v>
      </c>
      <c r="Z146" s="12"/>
      <c r="AA146" s="12"/>
      <c r="AB146" s="12"/>
      <c r="AC146" s="12"/>
      <c r="AD146" s="12"/>
      <c r="AE146" s="12"/>
      <c r="AF146" s="12"/>
      <c r="AG146" s="12"/>
      <c r="AH146" s="12"/>
      <c r="AI146" s="12"/>
      <c r="AJ146" s="12"/>
      <c r="AK146" s="12"/>
      <c r="AL146" s="12"/>
      <c r="AM146" s="12"/>
      <c r="AN146" s="12"/>
      <c r="AO146" s="12"/>
      <c r="AP146" s="12"/>
      <c r="AQ146" s="12"/>
    </row>
    <row r="147" spans="1:43" x14ac:dyDescent="0.15">
      <c r="A147" t="str">
        <f t="shared" si="28"/>
        <v>|ORI|白|11|2/5|アンコモン|《[[族霊導きの鹿羚羊]]》|</v>
      </c>
      <c r="B147" t="s">
        <v>3168</v>
      </c>
      <c r="C147" t="str">
        <f>AA147</f>
        <v>ORI</v>
      </c>
      <c r="D147">
        <f>IF(AA147="","",VLOOKUP(C147,tnpl!$Z$1:$AA$11,2,TRUE))</f>
        <v>1</v>
      </c>
      <c r="E147" t="s">
        <v>3168</v>
      </c>
      <c r="F147" t="str">
        <f>AB147</f>
        <v>白</v>
      </c>
      <c r="G147">
        <f>IF(AB147="","",VLOOKUP(F147,tnpl!$X$1:$Y$16,2,TRUE))</f>
        <v>1</v>
      </c>
      <c r="H147" t="s">
        <v>3168</v>
      </c>
      <c r="I147">
        <f>AD147</f>
        <v>11</v>
      </c>
      <c r="J147" t="s">
        <v>3168</v>
      </c>
      <c r="K147">
        <f t="shared" ref="K147:L151" si="30">AO147</f>
        <v>2</v>
      </c>
      <c r="L147">
        <f t="shared" si="30"/>
        <v>5</v>
      </c>
      <c r="M147" t="str">
        <f t="shared" si="29"/>
        <v>2/5</v>
      </c>
      <c r="N147" t="s">
        <v>3175</v>
      </c>
      <c r="O147" t="str">
        <f>AC147</f>
        <v>アンコモン</v>
      </c>
      <c r="R147" t="s">
        <v>3175</v>
      </c>
      <c r="S147" t="s">
        <v>4750</v>
      </c>
      <c r="T147" t="str">
        <f>AE147</f>
        <v>族霊導きの鹿羚羊</v>
      </c>
      <c r="U147" t="str">
        <f>IF(I147=0,"&gt;","")</f>
        <v/>
      </c>
      <c r="V147" t="str">
        <f>IF(I147=0,VLOOKUP(TAG!T147,Sheet4!A:B,2,TRUE),"")</f>
        <v/>
      </c>
      <c r="W147" t="s">
        <v>4751</v>
      </c>
      <c r="X147" t="s">
        <v>3175</v>
      </c>
      <c r="Z147" s="3">
        <v>22</v>
      </c>
      <c r="AA147" s="2" t="s">
        <v>3176</v>
      </c>
      <c r="AB147" s="1" t="s">
        <v>1627</v>
      </c>
      <c r="AC147" s="1" t="s">
        <v>1451</v>
      </c>
      <c r="AD147" s="1">
        <v>11</v>
      </c>
      <c r="AE147" s="1" t="s">
        <v>3064</v>
      </c>
      <c r="AF147" s="1" t="s">
        <v>3063</v>
      </c>
      <c r="AG147" s="1" t="s">
        <v>339</v>
      </c>
      <c r="AH147" s="1" t="s">
        <v>3062</v>
      </c>
      <c r="AI147" s="1"/>
      <c r="AJ147" s="1"/>
      <c r="AK147" s="1" t="s">
        <v>3061</v>
      </c>
      <c r="AL147" s="1"/>
      <c r="AM147" s="1"/>
      <c r="AN147" s="1"/>
      <c r="AO147" s="1">
        <v>2</v>
      </c>
      <c r="AP147" s="1">
        <v>5</v>
      </c>
      <c r="AQ147" s="1" t="s">
        <v>3061</v>
      </c>
    </row>
    <row r="148" spans="1:43" x14ac:dyDescent="0.15">
      <c r="A148" t="str">
        <f t="shared" si="28"/>
        <v>|BFZ|青|11|2/5|アンコモン|《[[ウラモグの回収者]]》|</v>
      </c>
      <c r="B148" t="s">
        <v>3168</v>
      </c>
      <c r="C148" t="str">
        <f>AA148</f>
        <v>BFZ</v>
      </c>
      <c r="D148">
        <f>IF(AA148="","",VLOOKUP(C148,tnpl!$Z$1:$AA$11,2,TRUE))</f>
        <v>2</v>
      </c>
      <c r="E148" t="s">
        <v>3168</v>
      </c>
      <c r="F148" t="str">
        <f>AB148</f>
        <v>青</v>
      </c>
      <c r="G148">
        <f>IF(AB148="","",VLOOKUP(F148,tnpl!$X$1:$Y$16,2,TRUE))</f>
        <v>2</v>
      </c>
      <c r="H148" t="s">
        <v>3168</v>
      </c>
      <c r="I148">
        <f>AD148</f>
        <v>11</v>
      </c>
      <c r="J148" t="s">
        <v>3168</v>
      </c>
      <c r="K148">
        <f t="shared" si="30"/>
        <v>2</v>
      </c>
      <c r="L148">
        <f t="shared" si="30"/>
        <v>5</v>
      </c>
      <c r="M148" t="str">
        <f t="shared" si="29"/>
        <v>2/5</v>
      </c>
      <c r="N148" t="s">
        <v>3175</v>
      </c>
      <c r="O148" t="str">
        <f>AC148</f>
        <v>アンコモン</v>
      </c>
      <c r="R148" t="s">
        <v>3175</v>
      </c>
      <c r="S148" t="s">
        <v>4750</v>
      </c>
      <c r="T148" t="str">
        <f>AE148</f>
        <v>ウラモグの回収者</v>
      </c>
      <c r="U148" t="str">
        <f>IF(I148=0,"&gt;","")</f>
        <v/>
      </c>
      <c r="V148" t="str">
        <f>IF(I148=0,VLOOKUP(TAG!T148,Sheet4!A:B,2,TRUE),"")</f>
        <v/>
      </c>
      <c r="W148" t="s">
        <v>4751</v>
      </c>
      <c r="X148" t="s">
        <v>3175</v>
      </c>
      <c r="Z148" s="3">
        <v>303</v>
      </c>
      <c r="AA148" s="2" t="s">
        <v>3170</v>
      </c>
      <c r="AB148" s="1" t="s">
        <v>1606</v>
      </c>
      <c r="AC148" s="1" t="s">
        <v>1451</v>
      </c>
      <c r="AD148" s="1">
        <v>11</v>
      </c>
      <c r="AE148" s="1" t="s">
        <v>2241</v>
      </c>
      <c r="AF148" s="1" t="s">
        <v>2240</v>
      </c>
      <c r="AG148" s="1" t="s">
        <v>339</v>
      </c>
      <c r="AH148" s="1" t="s">
        <v>1435</v>
      </c>
      <c r="AI148" s="1" t="s">
        <v>1717</v>
      </c>
      <c r="AJ148" s="1"/>
      <c r="AK148" s="1" t="s">
        <v>3321</v>
      </c>
      <c r="AL148" s="1" t="s">
        <v>2239</v>
      </c>
      <c r="AM148" s="1"/>
      <c r="AN148" s="1"/>
      <c r="AO148" s="1">
        <v>2</v>
      </c>
      <c r="AP148" s="1">
        <v>5</v>
      </c>
      <c r="AQ148" s="1" t="s">
        <v>3331</v>
      </c>
    </row>
    <row r="149" spans="1:43" x14ac:dyDescent="0.15">
      <c r="A149" t="str">
        <f t="shared" si="28"/>
        <v>|EMN|白|15|2/5|アンコモン|《[[罪からの解放者]]》|</v>
      </c>
      <c r="B149" t="s">
        <v>3168</v>
      </c>
      <c r="C149" t="str">
        <f>AA149</f>
        <v>EMN</v>
      </c>
      <c r="D149">
        <f>IF(AA149="","",VLOOKUP(C149,tnpl!$Z$1:$AA$11,2,TRUE))</f>
        <v>5</v>
      </c>
      <c r="E149" t="s">
        <v>3168</v>
      </c>
      <c r="F149" t="str">
        <f>AB149</f>
        <v>白</v>
      </c>
      <c r="G149">
        <f>IF(AB149="","",VLOOKUP(F149,tnpl!$X$1:$Y$16,2,TRUE))</f>
        <v>1</v>
      </c>
      <c r="H149" t="s">
        <v>3168</v>
      </c>
      <c r="I149">
        <f>AD149</f>
        <v>15</v>
      </c>
      <c r="J149" t="s">
        <v>3168</v>
      </c>
      <c r="K149">
        <f t="shared" si="30"/>
        <v>2</v>
      </c>
      <c r="L149">
        <f t="shared" si="30"/>
        <v>5</v>
      </c>
      <c r="M149" t="str">
        <f t="shared" si="29"/>
        <v>2/5</v>
      </c>
      <c r="N149" t="s">
        <v>3175</v>
      </c>
      <c r="O149" t="str">
        <f>AC149</f>
        <v>アンコモン</v>
      </c>
      <c r="R149" t="s">
        <v>3175</v>
      </c>
      <c r="S149" t="s">
        <v>4750</v>
      </c>
      <c r="T149" t="str">
        <f>AE149</f>
        <v>罪からの解放者</v>
      </c>
      <c r="U149" t="str">
        <f>IF(I149=0,"&gt;","")</f>
        <v/>
      </c>
      <c r="V149" t="str">
        <f>IF(I149=0,VLOOKUP(TAG!T149,Sheet4!A:B,2,TRUE),"")</f>
        <v/>
      </c>
      <c r="W149" t="s">
        <v>4751</v>
      </c>
      <c r="X149" t="s">
        <v>3175</v>
      </c>
      <c r="Z149" s="3">
        <v>759</v>
      </c>
      <c r="AA149" s="2" t="s">
        <v>3773</v>
      </c>
      <c r="AB149" s="1" t="s">
        <v>1627</v>
      </c>
      <c r="AC149" s="1" t="s">
        <v>1451</v>
      </c>
      <c r="AD149" s="14">
        <v>15</v>
      </c>
      <c r="AE149" s="1" t="s">
        <v>987</v>
      </c>
      <c r="AF149" s="1" t="s">
        <v>986</v>
      </c>
      <c r="AG149" s="1" t="s">
        <v>339</v>
      </c>
      <c r="AH149" s="1" t="s">
        <v>1489</v>
      </c>
      <c r="AI149" s="1" t="s">
        <v>1470</v>
      </c>
      <c r="AJ149" s="1"/>
      <c r="AK149" s="1" t="s">
        <v>3781</v>
      </c>
      <c r="AL149" s="1" t="s">
        <v>3782</v>
      </c>
      <c r="AM149" s="1"/>
      <c r="AN149" s="1"/>
      <c r="AO149" s="1">
        <v>2</v>
      </c>
      <c r="AP149" s="1">
        <v>5</v>
      </c>
      <c r="AQ149" s="1" t="s">
        <v>3783</v>
      </c>
    </row>
    <row r="150" spans="1:43" x14ac:dyDescent="0.15">
      <c r="A150" t="str">
        <f t="shared" si="28"/>
        <v>|KLD|青黒|12|2/5|アンコモン|《[[禁制品の黒幕]]》|</v>
      </c>
      <c r="B150" t="s">
        <v>3168</v>
      </c>
      <c r="C150" t="str">
        <f>AA150</f>
        <v>KLD</v>
      </c>
      <c r="D150">
        <f>IF(AA150="","",VLOOKUP(C150,tnpl!$Z$1:$AA$11,2,TRUE))</f>
        <v>6</v>
      </c>
      <c r="E150" t="s">
        <v>3168</v>
      </c>
      <c r="F150" t="str">
        <f>AB150</f>
        <v>青黒</v>
      </c>
      <c r="G150">
        <f>IF(AB150="","",VLOOKUP(F150,tnpl!$X$1:$Y$16,2,TRUE))</f>
        <v>7</v>
      </c>
      <c r="H150" t="s">
        <v>3168</v>
      </c>
      <c r="I150">
        <f>AD150</f>
        <v>12</v>
      </c>
      <c r="J150" t="s">
        <v>3168</v>
      </c>
      <c r="K150">
        <f t="shared" si="30"/>
        <v>2</v>
      </c>
      <c r="L150">
        <f t="shared" si="30"/>
        <v>5</v>
      </c>
      <c r="M150" t="str">
        <f t="shared" si="29"/>
        <v>2/5</v>
      </c>
      <c r="N150" t="s">
        <v>3175</v>
      </c>
      <c r="O150" t="str">
        <f>AC150</f>
        <v>アンコモン</v>
      </c>
      <c r="R150" t="s">
        <v>3175</v>
      </c>
      <c r="S150" t="s">
        <v>4750</v>
      </c>
      <c r="T150" t="str">
        <f>AE150</f>
        <v>禁制品の黒幕</v>
      </c>
      <c r="U150" t="str">
        <f>IF(I150=0,"&gt;","")</f>
        <v/>
      </c>
      <c r="V150" t="str">
        <f>IF(I150=0,VLOOKUP(TAG!T150,Sheet4!A:B,2,TRUE),"")</f>
        <v/>
      </c>
      <c r="W150" t="s">
        <v>4751</v>
      </c>
      <c r="X150" t="s">
        <v>3175</v>
      </c>
      <c r="Z150" s="3">
        <v>973</v>
      </c>
      <c r="AA150" s="2" t="s">
        <v>3937</v>
      </c>
      <c r="AB150" s="1" t="s">
        <v>1508</v>
      </c>
      <c r="AC150" s="1" t="s">
        <v>1451</v>
      </c>
      <c r="AD150" s="1">
        <v>12</v>
      </c>
      <c r="AE150" s="1" t="s">
        <v>566</v>
      </c>
      <c r="AF150" s="1" t="s">
        <v>565</v>
      </c>
      <c r="AG150" s="1" t="s">
        <v>339</v>
      </c>
      <c r="AH150" s="1" t="s">
        <v>4031</v>
      </c>
      <c r="AI150" s="1" t="s">
        <v>2938</v>
      </c>
      <c r="AJ150" s="1"/>
      <c r="AK150" s="1" t="s">
        <v>3109</v>
      </c>
      <c r="AL150" s="1" t="s">
        <v>4156</v>
      </c>
      <c r="AM150" s="1"/>
      <c r="AN150" s="1"/>
      <c r="AO150" s="1">
        <v>2</v>
      </c>
      <c r="AP150" s="1">
        <v>5</v>
      </c>
      <c r="AQ150" s="1" t="s">
        <v>4157</v>
      </c>
    </row>
    <row r="151" spans="1:43" x14ac:dyDescent="0.15">
      <c r="A151" t="str">
        <f t="shared" si="28"/>
        <v>|ORI|黒|12|2/6|アンコモン|《[[地下墓地のナメクジ]]》|</v>
      </c>
      <c r="B151" t="s">
        <v>3168</v>
      </c>
      <c r="C151" t="str">
        <f>AA151</f>
        <v>ORI</v>
      </c>
      <c r="D151">
        <f>IF(AA151="","",VLOOKUP(C151,tnpl!$Z$1:$AA$11,2,TRUE))</f>
        <v>1</v>
      </c>
      <c r="E151" t="s">
        <v>3168</v>
      </c>
      <c r="F151" t="str">
        <f>AB151</f>
        <v>黒</v>
      </c>
      <c r="G151">
        <f>IF(AB151="","",VLOOKUP(F151,tnpl!$X$1:$Y$16,2,TRUE))</f>
        <v>3</v>
      </c>
      <c r="H151" t="s">
        <v>3168</v>
      </c>
      <c r="I151">
        <f>AD151</f>
        <v>12</v>
      </c>
      <c r="J151" t="s">
        <v>3168</v>
      </c>
      <c r="K151">
        <f t="shared" si="30"/>
        <v>2</v>
      </c>
      <c r="L151">
        <f t="shared" si="30"/>
        <v>6</v>
      </c>
      <c r="M151" t="str">
        <f t="shared" si="29"/>
        <v>2/6</v>
      </c>
      <c r="N151" t="s">
        <v>3175</v>
      </c>
      <c r="O151" t="str">
        <f>AC151</f>
        <v>アンコモン</v>
      </c>
      <c r="R151" t="s">
        <v>3175</v>
      </c>
      <c r="S151" t="s">
        <v>4750</v>
      </c>
      <c r="T151" t="str">
        <f>AE151</f>
        <v>地下墓地のナメクジ</v>
      </c>
      <c r="U151" t="str">
        <f>IF(I151=0,"&gt;","")</f>
        <v/>
      </c>
      <c r="V151" t="str">
        <f>IF(I151=0,VLOOKUP(TAG!T151,Sheet4!A:B,2,TRUE),"")</f>
        <v/>
      </c>
      <c r="W151" t="s">
        <v>4751</v>
      </c>
      <c r="X151" t="s">
        <v>3175</v>
      </c>
      <c r="Z151" s="3">
        <v>97</v>
      </c>
      <c r="AA151" s="2" t="s">
        <v>3176</v>
      </c>
      <c r="AB151" s="1" t="s">
        <v>1582</v>
      </c>
      <c r="AC151" s="1" t="s">
        <v>1451</v>
      </c>
      <c r="AD151" s="1">
        <v>12</v>
      </c>
      <c r="AE151" s="1" t="s">
        <v>2840</v>
      </c>
      <c r="AF151" s="1" t="s">
        <v>2839</v>
      </c>
      <c r="AG151" s="1" t="s">
        <v>339</v>
      </c>
      <c r="AH151" s="1" t="s">
        <v>2838</v>
      </c>
      <c r="AI151" s="1"/>
      <c r="AJ151" s="1"/>
      <c r="AK151" s="1" t="s">
        <v>2595</v>
      </c>
      <c r="AL151" s="1"/>
      <c r="AM151" s="1"/>
      <c r="AN151" s="1"/>
      <c r="AO151" s="1">
        <v>2</v>
      </c>
      <c r="AP151" s="1">
        <v>6</v>
      </c>
      <c r="AQ151" s="1" t="s">
        <v>2595</v>
      </c>
    </row>
    <row r="154" spans="1:43" x14ac:dyDescent="0.15">
      <c r="A154" t="str">
        <f>B154&amp;C154&amp;E154&amp;F154&amp;H154&amp;I154&amp;J154&amp;M154&amp;N154&amp;O154&amp;P154&amp;Q154&amp;R154&amp;S154&amp;T154&amp;V154&amp;W154&amp;X154&amp;Y154</f>
        <v>*パワー3タフネス3以外クリーチャー</v>
      </c>
      <c r="B154" t="s">
        <v>3173</v>
      </c>
      <c r="C154" t="str">
        <f>"パワー"&amp;AO160</f>
        <v>パワー3</v>
      </c>
      <c r="E154" t="str">
        <f>"タフネス"&amp;AO160&amp;"以外"</f>
        <v>タフネス3以外</v>
      </c>
      <c r="F154" t="s">
        <v>4814</v>
      </c>
      <c r="G154" t="s">
        <v>3172</v>
      </c>
    </row>
    <row r="155" spans="1:43" x14ac:dyDescent="0.15">
      <c r="A155" t="s">
        <v>4815</v>
      </c>
    </row>
    <row r="156" spans="1:43" x14ac:dyDescent="0.15">
      <c r="A156" t="str">
        <f>B156&amp;C156&amp;E156&amp;F156&amp;H156&amp;I156&amp;J156&amp;M156&amp;N156&amp;O156&amp;P156&amp;Q156&amp;R156&amp;S156&amp;T156&amp;V156&amp;W156&amp;X156&amp;Y156</f>
        <v/>
      </c>
    </row>
    <row r="157" spans="1:43" x14ac:dyDescent="0.15">
      <c r="A157" t="str">
        <f>B157&amp;C157&amp;E157&amp;F157&amp;H157&amp;I157&amp;J157&amp;M157&amp;N157&amp;O157&amp;P157&amp;Q157&amp;R157&amp;S157&amp;T157&amp;V157&amp;W157&amp;X157&amp;Y157</f>
        <v>**3/1クリーチャー</v>
      </c>
      <c r="B157" t="s">
        <v>4752</v>
      </c>
      <c r="C157">
        <f>K160</f>
        <v>3</v>
      </c>
      <c r="E157" t="s">
        <v>4816</v>
      </c>
      <c r="F157">
        <f>L160</f>
        <v>1</v>
      </c>
      <c r="I157" t="s">
        <v>339</v>
      </c>
    </row>
    <row r="158" spans="1:43" x14ac:dyDescent="0.15">
      <c r="A158" t="str">
        <f t="shared" ref="A158:A174" si="31">B158&amp;C158&amp;E158&amp;F158&amp;H158&amp;I158&amp;J158&amp;M158&amp;N158&amp;O158&amp;P158&amp;Q158&amp;R158&amp;S158&amp;T158&amp;U158&amp;V158&amp;W158&amp;X158&amp;Y158</f>
        <v>|LEFT:50|LEFT:50|LEFT:50|LEFT:120|LEFT:120|LEFT:500|c</v>
      </c>
      <c r="B158" t="s">
        <v>3168</v>
      </c>
      <c r="C158" t="s">
        <v>3162</v>
      </c>
      <c r="E158" t="s">
        <v>3168</v>
      </c>
      <c r="F158" t="s">
        <v>3162</v>
      </c>
      <c r="H158" t="s">
        <v>3168</v>
      </c>
      <c r="I158" t="s">
        <v>3162</v>
      </c>
      <c r="J158" t="s">
        <v>3168</v>
      </c>
      <c r="M158" t="s">
        <v>4808</v>
      </c>
      <c r="N158" t="s">
        <v>3175</v>
      </c>
      <c r="O158" t="s">
        <v>4808</v>
      </c>
      <c r="R158" t="s">
        <v>3175</v>
      </c>
      <c r="T158" t="s">
        <v>3163</v>
      </c>
      <c r="X158" t="s">
        <v>3175</v>
      </c>
      <c r="Y158" t="s">
        <v>3164</v>
      </c>
    </row>
    <row r="159" spans="1:43" x14ac:dyDescent="0.15">
      <c r="A159" t="str">
        <f t="shared" si="31"/>
        <v>|セット|色|コスト|P/T|レアリティ|カード名|</v>
      </c>
      <c r="B159" t="s">
        <v>3168</v>
      </c>
      <c r="C159" t="s">
        <v>3169</v>
      </c>
      <c r="E159" t="s">
        <v>3168</v>
      </c>
      <c r="F159" t="s">
        <v>3139</v>
      </c>
      <c r="H159" t="s">
        <v>3168</v>
      </c>
      <c r="I159" t="s">
        <v>3165</v>
      </c>
      <c r="J159" t="s">
        <v>3168</v>
      </c>
      <c r="K159" t="s">
        <v>3126</v>
      </c>
      <c r="L159" t="s">
        <v>3125</v>
      </c>
      <c r="M159" t="str">
        <f t="shared" ref="M159:M174" si="32">K159&amp;"/"&amp;L159</f>
        <v>P/T</v>
      </c>
      <c r="N159" t="s">
        <v>3175</v>
      </c>
      <c r="O159" t="s">
        <v>4809</v>
      </c>
      <c r="R159" t="s">
        <v>3175</v>
      </c>
      <c r="T159" t="s">
        <v>3166</v>
      </c>
      <c r="V159" t="str">
        <f>IF(I159=0,VLOOKUP(TAG!T159,Sheet4!A:B,2,TRUE),"")</f>
        <v/>
      </c>
      <c r="X159" t="s">
        <v>3175</v>
      </c>
      <c r="Z159" s="12"/>
      <c r="AA159" s="12"/>
      <c r="AB159" s="12"/>
      <c r="AC159" s="12"/>
      <c r="AD159" s="12"/>
      <c r="AE159" s="12"/>
      <c r="AF159" s="12"/>
      <c r="AG159" s="12"/>
      <c r="AH159" s="12"/>
      <c r="AI159" s="12"/>
      <c r="AJ159" s="12"/>
      <c r="AK159" s="12"/>
      <c r="AL159" s="12"/>
      <c r="AM159" s="12"/>
      <c r="AN159" s="12"/>
      <c r="AO159" s="12"/>
      <c r="AP159" s="12"/>
      <c r="AQ159" s="12"/>
    </row>
    <row r="160" spans="1:43" x14ac:dyDescent="0.15">
      <c r="A160" t="str">
        <f t="shared" si="31"/>
        <v>|ORI|黒|8|3/1|コモン|《[[死橋のシャーマン]]》|</v>
      </c>
      <c r="B160" t="s">
        <v>3168</v>
      </c>
      <c r="C160" t="str">
        <f t="shared" ref="C160:C174" si="33">AA160</f>
        <v>ORI</v>
      </c>
      <c r="D160">
        <f>IF(AA160="","",VLOOKUP(C160,tnpl!$Z$1:$AA$11,2,TRUE))</f>
        <v>1</v>
      </c>
      <c r="E160" t="s">
        <v>3168</v>
      </c>
      <c r="F160" t="str">
        <f t="shared" ref="F160:F174" si="34">AB160</f>
        <v>黒</v>
      </c>
      <c r="G160">
        <f>IF(AB160="","",VLOOKUP(F160,tnpl!$X$1:$Y$16,2,TRUE))</f>
        <v>3</v>
      </c>
      <c r="H160" t="s">
        <v>3168</v>
      </c>
      <c r="I160">
        <f t="shared" ref="I160:I174" si="35">AD160</f>
        <v>8</v>
      </c>
      <c r="J160" t="s">
        <v>3168</v>
      </c>
      <c r="K160">
        <f t="shared" ref="K160:K174" si="36">AO160</f>
        <v>3</v>
      </c>
      <c r="L160">
        <f t="shared" ref="L160:L174" si="37">AP160</f>
        <v>1</v>
      </c>
      <c r="M160" t="str">
        <f t="shared" si="32"/>
        <v>3/1</v>
      </c>
      <c r="N160" t="s">
        <v>3175</v>
      </c>
      <c r="O160" t="str">
        <f t="shared" ref="O160:O174" si="38">AC160</f>
        <v>コモン</v>
      </c>
      <c r="R160" t="s">
        <v>3175</v>
      </c>
      <c r="S160" t="s">
        <v>4750</v>
      </c>
      <c r="T160" t="str">
        <f t="shared" ref="T160:T174" si="39">AE160</f>
        <v>死橋のシャーマン</v>
      </c>
      <c r="U160" t="str">
        <f t="shared" ref="U160:U174" si="40">IF(I160=0,"&gt;","")</f>
        <v/>
      </c>
      <c r="V160" t="str">
        <f>IF(I160=0,VLOOKUP(TAG!T160,Sheet4!A:B,2,TRUE),"")</f>
        <v/>
      </c>
      <c r="W160" t="s">
        <v>4751</v>
      </c>
      <c r="X160" t="s">
        <v>3175</v>
      </c>
      <c r="Z160" s="3">
        <v>83</v>
      </c>
      <c r="AA160" s="2" t="s">
        <v>3176</v>
      </c>
      <c r="AB160" s="1" t="s">
        <v>1582</v>
      </c>
      <c r="AC160" s="1" t="s">
        <v>1744</v>
      </c>
      <c r="AD160" s="1">
        <v>8</v>
      </c>
      <c r="AE160" s="1" t="s">
        <v>2878</v>
      </c>
      <c r="AF160" s="1" t="s">
        <v>2877</v>
      </c>
      <c r="AG160" s="1" t="s">
        <v>339</v>
      </c>
      <c r="AH160" s="1" t="s">
        <v>1479</v>
      </c>
      <c r="AI160" s="1" t="s">
        <v>1867</v>
      </c>
      <c r="AJ160" s="1"/>
      <c r="AK160" s="1" t="s">
        <v>1738</v>
      </c>
      <c r="AL160" s="1"/>
      <c r="AM160" s="1"/>
      <c r="AN160" s="1"/>
      <c r="AO160" s="1">
        <v>3</v>
      </c>
      <c r="AP160" s="1">
        <v>1</v>
      </c>
      <c r="AQ160" s="1" t="s">
        <v>1738</v>
      </c>
    </row>
    <row r="161" spans="1:43" x14ac:dyDescent="0.15">
      <c r="A161" t="str">
        <f t="shared" si="31"/>
        <v>|ORI|赤|6|3/1|コモン|《[[業火の侍祭]]》|</v>
      </c>
      <c r="B161" t="s">
        <v>3168</v>
      </c>
      <c r="C161" t="str">
        <f t="shared" si="33"/>
        <v>ORI</v>
      </c>
      <c r="D161">
        <f>IF(AA161="","",VLOOKUP(C161,tnpl!$Z$1:$AA$11,2,TRUE))</f>
        <v>1</v>
      </c>
      <c r="E161" t="s">
        <v>3168</v>
      </c>
      <c r="F161" t="str">
        <f t="shared" si="34"/>
        <v>赤</v>
      </c>
      <c r="G161">
        <f>IF(AB161="","",VLOOKUP(F161,tnpl!$X$1:$Y$16,2,TRUE))</f>
        <v>4</v>
      </c>
      <c r="H161" t="s">
        <v>3168</v>
      </c>
      <c r="I161">
        <f t="shared" si="35"/>
        <v>6</v>
      </c>
      <c r="J161" t="s">
        <v>3168</v>
      </c>
      <c r="K161">
        <f t="shared" si="36"/>
        <v>3</v>
      </c>
      <c r="L161">
        <f t="shared" si="37"/>
        <v>1</v>
      </c>
      <c r="M161" t="str">
        <f t="shared" si="32"/>
        <v>3/1</v>
      </c>
      <c r="N161" t="s">
        <v>3175</v>
      </c>
      <c r="O161" t="str">
        <f t="shared" si="38"/>
        <v>コモン</v>
      </c>
      <c r="R161" t="s">
        <v>3175</v>
      </c>
      <c r="S161" t="s">
        <v>4750</v>
      </c>
      <c r="T161" t="str">
        <f t="shared" si="39"/>
        <v>業火の侍祭</v>
      </c>
      <c r="U161" t="str">
        <f t="shared" si="40"/>
        <v/>
      </c>
      <c r="V161" t="str">
        <f>IF(I161=0,VLOOKUP(TAG!T161,Sheet4!A:B,2,TRUE),"")</f>
        <v/>
      </c>
      <c r="W161" t="s">
        <v>4751</v>
      </c>
      <c r="X161" t="s">
        <v>3175</v>
      </c>
      <c r="Z161" s="3">
        <v>123</v>
      </c>
      <c r="AA161" s="2" t="s">
        <v>3176</v>
      </c>
      <c r="AB161" s="1" t="s">
        <v>1552</v>
      </c>
      <c r="AC161" s="1" t="s">
        <v>1744</v>
      </c>
      <c r="AD161" s="1">
        <v>6</v>
      </c>
      <c r="AE161" s="1" t="s">
        <v>2765</v>
      </c>
      <c r="AF161" s="1" t="s">
        <v>2764</v>
      </c>
      <c r="AG161" s="1" t="s">
        <v>339</v>
      </c>
      <c r="AH161" s="1" t="s">
        <v>1489</v>
      </c>
      <c r="AI161" s="1" t="s">
        <v>2634</v>
      </c>
      <c r="AJ161" s="1"/>
      <c r="AK161" s="1"/>
      <c r="AL161" s="1"/>
      <c r="AM161" s="1"/>
      <c r="AN161" s="1"/>
      <c r="AO161" s="1">
        <v>3</v>
      </c>
      <c r="AP161" s="1">
        <v>1</v>
      </c>
      <c r="AQ161" s="1"/>
    </row>
    <row r="162" spans="1:43" x14ac:dyDescent="0.15">
      <c r="A162" t="str">
        <f t="shared" si="31"/>
        <v>|ORI|赤|8|3/1|コモン|《[[暴れ玉石]]》|</v>
      </c>
      <c r="B162" t="s">
        <v>3168</v>
      </c>
      <c r="C162" t="str">
        <f t="shared" si="33"/>
        <v>ORI</v>
      </c>
      <c r="D162">
        <f>IF(AA162="","",VLOOKUP(C162,tnpl!$Z$1:$AA$11,2,TRUE))</f>
        <v>1</v>
      </c>
      <c r="E162" t="s">
        <v>3168</v>
      </c>
      <c r="F162" t="str">
        <f t="shared" si="34"/>
        <v>赤</v>
      </c>
      <c r="G162">
        <f>IF(AB162="","",VLOOKUP(F162,tnpl!$X$1:$Y$16,2,TRUE))</f>
        <v>4</v>
      </c>
      <c r="H162" t="s">
        <v>3168</v>
      </c>
      <c r="I162">
        <f t="shared" si="35"/>
        <v>8</v>
      </c>
      <c r="J162" t="s">
        <v>3168</v>
      </c>
      <c r="K162">
        <f t="shared" si="36"/>
        <v>3</v>
      </c>
      <c r="L162">
        <f t="shared" si="37"/>
        <v>1</v>
      </c>
      <c r="M162" t="str">
        <f t="shared" si="32"/>
        <v>3/1</v>
      </c>
      <c r="N162" t="s">
        <v>3175</v>
      </c>
      <c r="O162" t="str">
        <f t="shared" si="38"/>
        <v>コモン</v>
      </c>
      <c r="R162" t="s">
        <v>3175</v>
      </c>
      <c r="S162" t="s">
        <v>4750</v>
      </c>
      <c r="T162" t="str">
        <f t="shared" si="39"/>
        <v>暴れ玉石</v>
      </c>
      <c r="U162" t="str">
        <f t="shared" si="40"/>
        <v/>
      </c>
      <c r="V162" t="str">
        <f>IF(I162=0,VLOOKUP(TAG!T162,Sheet4!A:B,2,TRUE),"")</f>
        <v/>
      </c>
      <c r="W162" t="s">
        <v>4751</v>
      </c>
      <c r="X162" t="s">
        <v>3175</v>
      </c>
      <c r="Z162" s="3">
        <v>126</v>
      </c>
      <c r="AA162" s="2" t="s">
        <v>3176</v>
      </c>
      <c r="AB162" s="1" t="s">
        <v>1552</v>
      </c>
      <c r="AC162" s="1" t="s">
        <v>1744</v>
      </c>
      <c r="AD162" s="1">
        <v>8</v>
      </c>
      <c r="AE162" s="1" t="s">
        <v>2759</v>
      </c>
      <c r="AF162" s="1" t="s">
        <v>2758</v>
      </c>
      <c r="AG162" s="1" t="s">
        <v>339</v>
      </c>
      <c r="AH162" s="1" t="s">
        <v>1537</v>
      </c>
      <c r="AI162" s="1"/>
      <c r="AJ162" s="1"/>
      <c r="AK162" s="1" t="s">
        <v>2595</v>
      </c>
      <c r="AL162" s="1"/>
      <c r="AM162" s="1"/>
      <c r="AN162" s="1"/>
      <c r="AO162" s="1">
        <v>3</v>
      </c>
      <c r="AP162" s="1">
        <v>1</v>
      </c>
      <c r="AQ162" s="1" t="s">
        <v>2595</v>
      </c>
    </row>
    <row r="163" spans="1:43" x14ac:dyDescent="0.15">
      <c r="A163" t="str">
        <f t="shared" si="31"/>
        <v>|BFZ|白|6|3/1|コモン|《[[コーの懲罰者]]》|</v>
      </c>
      <c r="B163" t="s">
        <v>3168</v>
      </c>
      <c r="C163" t="str">
        <f t="shared" si="33"/>
        <v>BFZ</v>
      </c>
      <c r="D163">
        <f>IF(AA163="","",VLOOKUP(C163,tnpl!$Z$1:$AA$11,2,TRUE))</f>
        <v>2</v>
      </c>
      <c r="E163" t="s">
        <v>3168</v>
      </c>
      <c r="F163" t="str">
        <f t="shared" si="34"/>
        <v>白</v>
      </c>
      <c r="G163">
        <f>IF(AB163="","",VLOOKUP(F163,tnpl!$X$1:$Y$16,2,TRUE))</f>
        <v>1</v>
      </c>
      <c r="H163" t="s">
        <v>3168</v>
      </c>
      <c r="I163">
        <f t="shared" si="35"/>
        <v>6</v>
      </c>
      <c r="J163" t="s">
        <v>3168</v>
      </c>
      <c r="K163">
        <f t="shared" si="36"/>
        <v>3</v>
      </c>
      <c r="L163">
        <f t="shared" si="37"/>
        <v>1</v>
      </c>
      <c r="M163" t="str">
        <f t="shared" si="32"/>
        <v>3/1</v>
      </c>
      <c r="N163" t="s">
        <v>3175</v>
      </c>
      <c r="O163" t="str">
        <f t="shared" si="38"/>
        <v>コモン</v>
      </c>
      <c r="R163" t="s">
        <v>3175</v>
      </c>
      <c r="S163" t="s">
        <v>4750</v>
      </c>
      <c r="T163" t="str">
        <f t="shared" si="39"/>
        <v>コーの懲罰者</v>
      </c>
      <c r="U163" t="str">
        <f t="shared" si="40"/>
        <v/>
      </c>
      <c r="V163" t="str">
        <f>IF(I163=0,VLOOKUP(TAG!T163,Sheet4!A:B,2,TRUE),"")</f>
        <v/>
      </c>
      <c r="W163" t="s">
        <v>4751</v>
      </c>
      <c r="X163" t="s">
        <v>3175</v>
      </c>
      <c r="Z163" s="3">
        <v>252</v>
      </c>
      <c r="AA163" s="2" t="s">
        <v>3170</v>
      </c>
      <c r="AB163" s="1" t="s">
        <v>1627</v>
      </c>
      <c r="AC163" s="1" t="s">
        <v>1744</v>
      </c>
      <c r="AD163" s="1">
        <v>6</v>
      </c>
      <c r="AE163" s="1" t="s">
        <v>2403</v>
      </c>
      <c r="AF163" s="1" t="s">
        <v>2402</v>
      </c>
      <c r="AG163" s="1" t="s">
        <v>339</v>
      </c>
      <c r="AH163" s="1" t="s">
        <v>1471</v>
      </c>
      <c r="AI163" s="1" t="s">
        <v>1463</v>
      </c>
      <c r="AJ163" s="1" t="s">
        <v>1478</v>
      </c>
      <c r="AK163" s="1"/>
      <c r="AL163" s="1"/>
      <c r="AM163" s="1"/>
      <c r="AN163" s="1"/>
      <c r="AO163" s="1">
        <v>3</v>
      </c>
      <c r="AP163" s="1">
        <v>1</v>
      </c>
      <c r="AQ163" s="1"/>
    </row>
    <row r="164" spans="1:43" x14ac:dyDescent="0.15">
      <c r="A164" t="str">
        <f t="shared" si="31"/>
        <v>|BFZ|青|8|3/1|コモン|《[[水底の潜入者]]》|</v>
      </c>
      <c r="B164" t="s">
        <v>3168</v>
      </c>
      <c r="C164" t="str">
        <f t="shared" si="33"/>
        <v>BFZ</v>
      </c>
      <c r="D164">
        <f>IF(AA164="","",VLOOKUP(C164,tnpl!$Z$1:$AA$11,2,TRUE))</f>
        <v>2</v>
      </c>
      <c r="E164" t="s">
        <v>3168</v>
      </c>
      <c r="F164" t="str">
        <f t="shared" si="34"/>
        <v>青</v>
      </c>
      <c r="G164">
        <f>IF(AB164="","",VLOOKUP(F164,tnpl!$X$1:$Y$16,2,TRUE))</f>
        <v>2</v>
      </c>
      <c r="H164" t="s">
        <v>3168</v>
      </c>
      <c r="I164">
        <f t="shared" si="35"/>
        <v>8</v>
      </c>
      <c r="J164" t="s">
        <v>3168</v>
      </c>
      <c r="K164">
        <f t="shared" si="36"/>
        <v>3</v>
      </c>
      <c r="L164">
        <f t="shared" si="37"/>
        <v>1</v>
      </c>
      <c r="M164" t="str">
        <f t="shared" si="32"/>
        <v>3/1</v>
      </c>
      <c r="N164" t="s">
        <v>3175</v>
      </c>
      <c r="O164" t="str">
        <f t="shared" si="38"/>
        <v>コモン</v>
      </c>
      <c r="R164" t="s">
        <v>3175</v>
      </c>
      <c r="S164" t="s">
        <v>4750</v>
      </c>
      <c r="T164" t="str">
        <f t="shared" si="39"/>
        <v>水底の潜入者</v>
      </c>
      <c r="U164" t="str">
        <f t="shared" si="40"/>
        <v/>
      </c>
      <c r="V164" t="str">
        <f>IF(I164=0,VLOOKUP(TAG!T164,Sheet4!A:B,2,TRUE),"")</f>
        <v/>
      </c>
      <c r="W164" t="s">
        <v>4751</v>
      </c>
      <c r="X164" t="s">
        <v>3175</v>
      </c>
      <c r="Z164" s="3">
        <v>280</v>
      </c>
      <c r="AA164" s="2" t="s">
        <v>3170</v>
      </c>
      <c r="AB164" s="1" t="s">
        <v>1606</v>
      </c>
      <c r="AC164" s="1" t="s">
        <v>1744</v>
      </c>
      <c r="AD164" s="1">
        <v>8</v>
      </c>
      <c r="AE164" s="1" t="s">
        <v>2312</v>
      </c>
      <c r="AF164" s="1" t="s">
        <v>2311</v>
      </c>
      <c r="AG164" s="1" t="s">
        <v>339</v>
      </c>
      <c r="AH164" s="1" t="s">
        <v>1435</v>
      </c>
      <c r="AI164" s="1" t="s">
        <v>1501</v>
      </c>
      <c r="AJ164" s="1"/>
      <c r="AK164" s="1" t="s">
        <v>3317</v>
      </c>
      <c r="AL164" s="1" t="s">
        <v>2310</v>
      </c>
      <c r="AM164" s="1" t="s">
        <v>2169</v>
      </c>
      <c r="AN164" s="1"/>
      <c r="AO164" s="1">
        <v>3</v>
      </c>
      <c r="AP164" s="1">
        <v>1</v>
      </c>
      <c r="AQ164" s="1" t="s">
        <v>3318</v>
      </c>
    </row>
    <row r="165" spans="1:43" x14ac:dyDescent="0.15">
      <c r="A165" t="str">
        <f t="shared" si="31"/>
        <v>|BFZ|赤|5|3/1|コモン|《[[好戦的な鞭尾]]》|</v>
      </c>
      <c r="B165" t="s">
        <v>3168</v>
      </c>
      <c r="C165" t="str">
        <f t="shared" si="33"/>
        <v>BFZ</v>
      </c>
      <c r="D165">
        <f>IF(AA165="","",VLOOKUP(C165,tnpl!$Z$1:$AA$11,2,TRUE))</f>
        <v>2</v>
      </c>
      <c r="E165" t="s">
        <v>3168</v>
      </c>
      <c r="F165" t="str">
        <f t="shared" si="34"/>
        <v>赤</v>
      </c>
      <c r="G165">
        <f>IF(AB165="","",VLOOKUP(F165,tnpl!$X$1:$Y$16,2,TRUE))</f>
        <v>4</v>
      </c>
      <c r="H165" t="s">
        <v>3168</v>
      </c>
      <c r="I165">
        <f t="shared" si="35"/>
        <v>5</v>
      </c>
      <c r="J165" t="s">
        <v>3168</v>
      </c>
      <c r="K165">
        <f t="shared" si="36"/>
        <v>3</v>
      </c>
      <c r="L165">
        <f t="shared" si="37"/>
        <v>1</v>
      </c>
      <c r="M165" t="str">
        <f t="shared" si="32"/>
        <v>3/1</v>
      </c>
      <c r="N165" t="s">
        <v>3175</v>
      </c>
      <c r="O165" t="str">
        <f t="shared" si="38"/>
        <v>コモン</v>
      </c>
      <c r="R165" t="s">
        <v>3175</v>
      </c>
      <c r="S165" t="s">
        <v>4750</v>
      </c>
      <c r="T165" t="str">
        <f t="shared" si="39"/>
        <v>好戦的な鞭尾</v>
      </c>
      <c r="U165" t="str">
        <f t="shared" si="40"/>
        <v/>
      </c>
      <c r="V165" t="str">
        <f>IF(I165=0,VLOOKUP(TAG!T165,Sheet4!A:B,2,TRUE),"")</f>
        <v/>
      </c>
      <c r="W165" t="s">
        <v>4751</v>
      </c>
      <c r="X165" t="s">
        <v>3175</v>
      </c>
      <c r="Z165" s="3">
        <v>353</v>
      </c>
      <c r="AA165" s="2" t="s">
        <v>3170</v>
      </c>
      <c r="AB165" s="1" t="s">
        <v>1552</v>
      </c>
      <c r="AC165" s="1" t="s">
        <v>1744</v>
      </c>
      <c r="AD165" s="1">
        <v>5</v>
      </c>
      <c r="AE165" s="1" t="s">
        <v>2074</v>
      </c>
      <c r="AF165" s="1" t="s">
        <v>2073</v>
      </c>
      <c r="AG165" s="1" t="s">
        <v>339</v>
      </c>
      <c r="AH165" s="1" t="s">
        <v>338</v>
      </c>
      <c r="AI165" s="1"/>
      <c r="AJ165" s="1"/>
      <c r="AK165" s="1" t="s">
        <v>2072</v>
      </c>
      <c r="AL165" s="1"/>
      <c r="AM165" s="1"/>
      <c r="AN165" s="1"/>
      <c r="AO165" s="1">
        <v>3</v>
      </c>
      <c r="AP165" s="1">
        <v>1</v>
      </c>
      <c r="AQ165" s="1" t="s">
        <v>2072</v>
      </c>
    </row>
    <row r="166" spans="1:43" x14ac:dyDescent="0.15">
      <c r="A166" t="str">
        <f t="shared" si="31"/>
        <v>|BFZ|赤|8|3/1|コモン|《[[棘撃ちドローン]]》|</v>
      </c>
      <c r="B166" t="s">
        <v>3168</v>
      </c>
      <c r="C166" t="str">
        <f t="shared" si="33"/>
        <v>BFZ</v>
      </c>
      <c r="D166">
        <f>IF(AA166="","",VLOOKUP(C166,tnpl!$Z$1:$AA$11,2,TRUE))</f>
        <v>2</v>
      </c>
      <c r="E166" t="s">
        <v>3168</v>
      </c>
      <c r="F166" t="str">
        <f t="shared" si="34"/>
        <v>赤</v>
      </c>
      <c r="G166">
        <f>IF(AB166="","",VLOOKUP(F166,tnpl!$X$1:$Y$16,2,TRUE))</f>
        <v>4</v>
      </c>
      <c r="H166" t="s">
        <v>3168</v>
      </c>
      <c r="I166">
        <f t="shared" si="35"/>
        <v>8</v>
      </c>
      <c r="J166" t="s">
        <v>3168</v>
      </c>
      <c r="K166">
        <f t="shared" si="36"/>
        <v>3</v>
      </c>
      <c r="L166">
        <f t="shared" si="37"/>
        <v>1</v>
      </c>
      <c r="M166" t="str">
        <f t="shared" si="32"/>
        <v>3/1</v>
      </c>
      <c r="N166" t="s">
        <v>3175</v>
      </c>
      <c r="O166" t="str">
        <f t="shared" si="38"/>
        <v>コモン</v>
      </c>
      <c r="R166" t="s">
        <v>3175</v>
      </c>
      <c r="S166" t="s">
        <v>4750</v>
      </c>
      <c r="T166" t="str">
        <f t="shared" si="39"/>
        <v>棘撃ちドローン</v>
      </c>
      <c r="U166" t="str">
        <f t="shared" si="40"/>
        <v/>
      </c>
      <c r="V166" t="str">
        <f>IF(I166=0,VLOOKUP(TAG!T166,Sheet4!A:B,2,TRUE),"")</f>
        <v/>
      </c>
      <c r="W166" t="s">
        <v>4751</v>
      </c>
      <c r="X166" t="s">
        <v>3175</v>
      </c>
      <c r="Z166" s="3">
        <v>358</v>
      </c>
      <c r="AA166" s="2" t="s">
        <v>3170</v>
      </c>
      <c r="AB166" s="1" t="s">
        <v>1552</v>
      </c>
      <c r="AC166" s="1" t="s">
        <v>1744</v>
      </c>
      <c r="AD166" s="1">
        <v>8</v>
      </c>
      <c r="AE166" s="1" t="s">
        <v>2060</v>
      </c>
      <c r="AF166" s="1" t="s">
        <v>2059</v>
      </c>
      <c r="AG166" s="1" t="s">
        <v>339</v>
      </c>
      <c r="AH166" s="1" t="s">
        <v>1435</v>
      </c>
      <c r="AI166" s="1" t="s">
        <v>1501</v>
      </c>
      <c r="AJ166" s="1"/>
      <c r="AK166" s="1" t="s">
        <v>3317</v>
      </c>
      <c r="AL166" s="1" t="s">
        <v>2058</v>
      </c>
      <c r="AM166" s="1"/>
      <c r="AN166" s="1"/>
      <c r="AO166" s="1">
        <v>3</v>
      </c>
      <c r="AP166" s="1">
        <v>1</v>
      </c>
      <c r="AQ166" s="1" t="s">
        <v>3362</v>
      </c>
    </row>
    <row r="167" spans="1:43" x14ac:dyDescent="0.15">
      <c r="A167" t="str">
        <f t="shared" si="31"/>
        <v>|SOI|白|10|3/1|アンコモン|《[[近野の司祭]]》|</v>
      </c>
      <c r="B167" t="s">
        <v>3168</v>
      </c>
      <c r="C167" t="str">
        <f t="shared" si="33"/>
        <v>SOI</v>
      </c>
      <c r="D167">
        <f>IF(AA167="","",VLOOKUP(C167,tnpl!$Z$1:$AA$11,2,TRUE))</f>
        <v>4</v>
      </c>
      <c r="E167" t="s">
        <v>3168</v>
      </c>
      <c r="F167" t="str">
        <f t="shared" si="34"/>
        <v>白</v>
      </c>
      <c r="G167">
        <f>IF(AB167="","",VLOOKUP(F167,tnpl!$X$1:$Y$16,2,TRUE))</f>
        <v>1</v>
      </c>
      <c r="H167" t="s">
        <v>3168</v>
      </c>
      <c r="I167">
        <f t="shared" si="35"/>
        <v>10</v>
      </c>
      <c r="J167" t="s">
        <v>3168</v>
      </c>
      <c r="K167">
        <f t="shared" si="36"/>
        <v>3</v>
      </c>
      <c r="L167">
        <f t="shared" si="37"/>
        <v>1</v>
      </c>
      <c r="M167" t="str">
        <f t="shared" si="32"/>
        <v>3/1</v>
      </c>
      <c r="N167" t="s">
        <v>3175</v>
      </c>
      <c r="O167" t="str">
        <f t="shared" si="38"/>
        <v>アンコモン</v>
      </c>
      <c r="R167" t="s">
        <v>3175</v>
      </c>
      <c r="S167" t="s">
        <v>4750</v>
      </c>
      <c r="T167" t="str">
        <f t="shared" si="39"/>
        <v>近野の司祭</v>
      </c>
      <c r="U167" t="str">
        <f t="shared" si="40"/>
        <v/>
      </c>
      <c r="V167" t="str">
        <f>IF(I167=0,VLOOKUP(TAG!T167,Sheet4!A:B,2,TRUE),"")</f>
        <v/>
      </c>
      <c r="W167" t="s">
        <v>4751</v>
      </c>
      <c r="X167" t="s">
        <v>3175</v>
      </c>
      <c r="Z167" s="3">
        <v>554</v>
      </c>
      <c r="AA167" s="2" t="s">
        <v>3431</v>
      </c>
      <c r="AB167" s="1" t="s">
        <v>1627</v>
      </c>
      <c r="AC167" s="1" t="s">
        <v>1451</v>
      </c>
      <c r="AD167" s="1">
        <v>10</v>
      </c>
      <c r="AE167" s="1" t="s">
        <v>1395</v>
      </c>
      <c r="AF167" s="1" t="s">
        <v>1394</v>
      </c>
      <c r="AG167" s="1" t="s">
        <v>339</v>
      </c>
      <c r="AH167" s="1" t="s">
        <v>1489</v>
      </c>
      <c r="AI167" s="1" t="s">
        <v>1470</v>
      </c>
      <c r="AJ167" s="1"/>
      <c r="AK167" s="1" t="s">
        <v>3455</v>
      </c>
      <c r="AL167" s="1" t="s">
        <v>3456</v>
      </c>
      <c r="AM167" s="1"/>
      <c r="AN167" s="1"/>
      <c r="AO167" s="1">
        <v>3</v>
      </c>
      <c r="AP167" s="1">
        <v>1</v>
      </c>
      <c r="AQ167" s="1" t="s">
        <v>3457</v>
      </c>
    </row>
    <row r="168" spans="1:43" x14ac:dyDescent="0.15">
      <c r="A168" t="str">
        <f t="shared" si="31"/>
        <v>|SOI|赤|16|3/1|コモン|《[[血狂いの吸血鬼]]》|</v>
      </c>
      <c r="B168" t="s">
        <v>3168</v>
      </c>
      <c r="C168" t="str">
        <f t="shared" si="33"/>
        <v>SOI</v>
      </c>
      <c r="D168">
        <f>IF(AA168="","",VLOOKUP(C168,tnpl!$Z$1:$AA$11,2,TRUE))</f>
        <v>4</v>
      </c>
      <c r="E168" t="s">
        <v>3168</v>
      </c>
      <c r="F168" t="str">
        <f t="shared" si="34"/>
        <v>赤</v>
      </c>
      <c r="G168">
        <f>IF(AB168="","",VLOOKUP(F168,tnpl!$X$1:$Y$16,2,TRUE))</f>
        <v>4</v>
      </c>
      <c r="H168" t="s">
        <v>3168</v>
      </c>
      <c r="I168">
        <f t="shared" si="35"/>
        <v>16</v>
      </c>
      <c r="J168" t="s">
        <v>3168</v>
      </c>
      <c r="K168">
        <f t="shared" si="36"/>
        <v>3</v>
      </c>
      <c r="L168">
        <f t="shared" si="37"/>
        <v>1</v>
      </c>
      <c r="M168" t="str">
        <f t="shared" si="32"/>
        <v>3/1</v>
      </c>
      <c r="N168" t="s">
        <v>3175</v>
      </c>
      <c r="O168" t="str">
        <f t="shared" si="38"/>
        <v>コモン</v>
      </c>
      <c r="R168" t="s">
        <v>3175</v>
      </c>
      <c r="S168" t="s">
        <v>4750</v>
      </c>
      <c r="T168" t="str">
        <f t="shared" si="39"/>
        <v>血狂いの吸血鬼</v>
      </c>
      <c r="U168" t="str">
        <f t="shared" si="40"/>
        <v/>
      </c>
      <c r="V168" t="str">
        <f>IF(I168=0,VLOOKUP(TAG!T168,Sheet4!A:B,2,TRUE),"")</f>
        <v/>
      </c>
      <c r="W168" t="s">
        <v>4751</v>
      </c>
      <c r="X168" t="s">
        <v>3175</v>
      </c>
      <c r="Z168" s="3">
        <v>643</v>
      </c>
      <c r="AA168" s="2" t="s">
        <v>3431</v>
      </c>
      <c r="AB168" s="1" t="s">
        <v>1552</v>
      </c>
      <c r="AC168" s="1" t="s">
        <v>1744</v>
      </c>
      <c r="AD168" s="1">
        <v>16</v>
      </c>
      <c r="AE168" s="1" t="s">
        <v>1241</v>
      </c>
      <c r="AF168" s="1" t="s">
        <v>1240</v>
      </c>
      <c r="AG168" s="1" t="s">
        <v>339</v>
      </c>
      <c r="AH168" s="1" t="s">
        <v>1494</v>
      </c>
      <c r="AI168" s="1"/>
      <c r="AJ168" s="1"/>
      <c r="AK168" s="1" t="s">
        <v>1738</v>
      </c>
      <c r="AL168" s="1" t="s">
        <v>3506</v>
      </c>
      <c r="AM168" s="1" t="s">
        <v>3603</v>
      </c>
      <c r="AN168" s="1"/>
      <c r="AO168" s="1">
        <v>3</v>
      </c>
      <c r="AP168" s="1">
        <v>1</v>
      </c>
      <c r="AQ168" s="1" t="s">
        <v>3604</v>
      </c>
    </row>
    <row r="169" spans="1:43" x14ac:dyDescent="0.15">
      <c r="A169" t="str">
        <f t="shared" si="31"/>
        <v>|SOI|無色|5|3/1|コモン|《[[枝細工の魔女]]》|</v>
      </c>
      <c r="B169" t="s">
        <v>3168</v>
      </c>
      <c r="C169" t="str">
        <f t="shared" si="33"/>
        <v>SOI</v>
      </c>
      <c r="D169">
        <f>IF(AA169="","",VLOOKUP(C169,tnpl!$Z$1:$AA$11,2,TRUE))</f>
        <v>4</v>
      </c>
      <c r="E169" t="s">
        <v>3168</v>
      </c>
      <c r="F169" t="str">
        <f t="shared" si="34"/>
        <v>無色</v>
      </c>
      <c r="G169">
        <f>IF(AB169="","",VLOOKUP(F169,tnpl!$X$1:$Y$16,2,TRUE))</f>
        <v>16</v>
      </c>
      <c r="H169" t="s">
        <v>3168</v>
      </c>
      <c r="I169">
        <f t="shared" si="35"/>
        <v>5</v>
      </c>
      <c r="J169" t="s">
        <v>3168</v>
      </c>
      <c r="K169">
        <f t="shared" si="36"/>
        <v>3</v>
      </c>
      <c r="L169">
        <f t="shared" si="37"/>
        <v>1</v>
      </c>
      <c r="M169" t="str">
        <f t="shared" si="32"/>
        <v>3/1</v>
      </c>
      <c r="N169" t="s">
        <v>3175</v>
      </c>
      <c r="O169" t="str">
        <f t="shared" si="38"/>
        <v>コモン</v>
      </c>
      <c r="R169" t="s">
        <v>3175</v>
      </c>
      <c r="S169" t="s">
        <v>4750</v>
      </c>
      <c r="T169" t="str">
        <f t="shared" si="39"/>
        <v>枝細工の魔女</v>
      </c>
      <c r="U169" t="str">
        <f t="shared" si="40"/>
        <v/>
      </c>
      <c r="V169" t="str">
        <f>IF(I169=0,VLOOKUP(TAG!T169,Sheet4!A:B,2,TRUE),"")</f>
        <v/>
      </c>
      <c r="W169" t="s">
        <v>4751</v>
      </c>
      <c r="X169" t="s">
        <v>3175</v>
      </c>
      <c r="Z169" s="3">
        <v>724</v>
      </c>
      <c r="AA169" s="2" t="s">
        <v>3431</v>
      </c>
      <c r="AB169" s="1" t="s">
        <v>292</v>
      </c>
      <c r="AC169" s="1" t="s">
        <v>1744</v>
      </c>
      <c r="AD169" s="1">
        <v>5</v>
      </c>
      <c r="AE169" s="1" t="s">
        <v>1104</v>
      </c>
      <c r="AF169" s="1" t="s">
        <v>1103</v>
      </c>
      <c r="AG169" s="1" t="s">
        <v>339</v>
      </c>
      <c r="AH169" s="1" t="s">
        <v>3724</v>
      </c>
      <c r="AI169" s="1"/>
      <c r="AJ169" s="1"/>
      <c r="AK169" s="1"/>
      <c r="AL169" s="1"/>
      <c r="AM169" s="1"/>
      <c r="AN169" s="1"/>
      <c r="AO169" s="1">
        <v>3</v>
      </c>
      <c r="AP169" s="1">
        <v>1</v>
      </c>
      <c r="AQ169" s="1"/>
    </row>
    <row r="170" spans="1:43" x14ac:dyDescent="0.15">
      <c r="A170" t="str">
        <f t="shared" si="31"/>
        <v>|KLD|黒|11|3/1|コモン|《[[不法仲買人]]》|</v>
      </c>
      <c r="B170" t="s">
        <v>3168</v>
      </c>
      <c r="C170" t="str">
        <f t="shared" si="33"/>
        <v>KLD</v>
      </c>
      <c r="D170">
        <f>IF(AA170="","",VLOOKUP(C170,tnpl!$Z$1:$AA$11,2,TRUE))</f>
        <v>6</v>
      </c>
      <c r="E170" t="s">
        <v>3168</v>
      </c>
      <c r="F170" t="str">
        <f t="shared" si="34"/>
        <v>黒</v>
      </c>
      <c r="G170">
        <f>IF(AB170="","",VLOOKUP(F170,tnpl!$X$1:$Y$16,2,TRUE))</f>
        <v>3</v>
      </c>
      <c r="H170" t="s">
        <v>3168</v>
      </c>
      <c r="I170">
        <f t="shared" si="35"/>
        <v>11</v>
      </c>
      <c r="J170" t="s">
        <v>3168</v>
      </c>
      <c r="K170">
        <f t="shared" si="36"/>
        <v>3</v>
      </c>
      <c r="L170">
        <f t="shared" si="37"/>
        <v>1</v>
      </c>
      <c r="M170" t="str">
        <f t="shared" si="32"/>
        <v>3/1</v>
      </c>
      <c r="N170" t="s">
        <v>3175</v>
      </c>
      <c r="O170" t="str">
        <f t="shared" si="38"/>
        <v>コモン</v>
      </c>
      <c r="R170" t="s">
        <v>3175</v>
      </c>
      <c r="S170" t="s">
        <v>4750</v>
      </c>
      <c r="T170" t="str">
        <f t="shared" si="39"/>
        <v>不法仲買人</v>
      </c>
      <c r="U170" t="str">
        <f t="shared" si="40"/>
        <v/>
      </c>
      <c r="V170" t="str">
        <f>IF(I170=0,VLOOKUP(TAG!T170,Sheet4!A:B,2,TRUE),"")</f>
        <v/>
      </c>
      <c r="W170" t="s">
        <v>4751</v>
      </c>
      <c r="X170" t="s">
        <v>3175</v>
      </c>
      <c r="Z170" s="3">
        <v>891</v>
      </c>
      <c r="AA170" s="2" t="s">
        <v>3937</v>
      </c>
      <c r="AB170" s="1" t="s">
        <v>1582</v>
      </c>
      <c r="AC170" s="1" t="s">
        <v>1744</v>
      </c>
      <c r="AD170" s="1">
        <v>11</v>
      </c>
      <c r="AE170" s="1" t="s">
        <v>725</v>
      </c>
      <c r="AF170" s="1" t="s">
        <v>724</v>
      </c>
      <c r="AG170" s="1" t="s">
        <v>339</v>
      </c>
      <c r="AH170" s="1" t="s">
        <v>4031</v>
      </c>
      <c r="AI170" s="1" t="s">
        <v>2938</v>
      </c>
      <c r="AJ170" s="1"/>
      <c r="AK170" s="1" t="s">
        <v>2595</v>
      </c>
      <c r="AL170" s="1" t="s">
        <v>4036</v>
      </c>
      <c r="AM170" s="1"/>
      <c r="AN170" s="1"/>
      <c r="AO170" s="1">
        <v>3</v>
      </c>
      <c r="AP170" s="1">
        <v>1</v>
      </c>
      <c r="AQ170" s="1" t="s">
        <v>4037</v>
      </c>
    </row>
    <row r="171" spans="1:43" x14ac:dyDescent="0.15">
      <c r="A171" t="str">
        <f t="shared" si="31"/>
        <v>|KLD|黒|8|3/1|コモン|《[[襲拳会の部隊]]》|</v>
      </c>
      <c r="B171" t="s">
        <v>3168</v>
      </c>
      <c r="C171" t="str">
        <f t="shared" si="33"/>
        <v>KLD</v>
      </c>
      <c r="D171">
        <f>IF(AA171="","",VLOOKUP(C171,tnpl!$Z$1:$AA$11,2,TRUE))</f>
        <v>6</v>
      </c>
      <c r="E171" t="s">
        <v>3168</v>
      </c>
      <c r="F171" t="str">
        <f t="shared" si="34"/>
        <v>黒</v>
      </c>
      <c r="G171">
        <f>IF(AB171="","",VLOOKUP(F171,tnpl!$X$1:$Y$16,2,TRUE))</f>
        <v>3</v>
      </c>
      <c r="H171" t="s">
        <v>3168</v>
      </c>
      <c r="I171">
        <f t="shared" si="35"/>
        <v>8</v>
      </c>
      <c r="J171" t="s">
        <v>3168</v>
      </c>
      <c r="K171">
        <f t="shared" si="36"/>
        <v>3</v>
      </c>
      <c r="L171">
        <f t="shared" si="37"/>
        <v>1</v>
      </c>
      <c r="M171" t="str">
        <f t="shared" si="32"/>
        <v>3/1</v>
      </c>
      <c r="N171" t="s">
        <v>3175</v>
      </c>
      <c r="O171" t="str">
        <f t="shared" si="38"/>
        <v>コモン</v>
      </c>
      <c r="R171" t="s">
        <v>3175</v>
      </c>
      <c r="S171" t="s">
        <v>4750</v>
      </c>
      <c r="T171" t="str">
        <f t="shared" si="39"/>
        <v>襲拳会の部隊</v>
      </c>
      <c r="U171" t="str">
        <f t="shared" si="40"/>
        <v/>
      </c>
      <c r="V171" t="str">
        <f>IF(I171=0,VLOOKUP(TAG!T171,Sheet4!A:B,2,TRUE),"")</f>
        <v/>
      </c>
      <c r="W171" t="s">
        <v>4751</v>
      </c>
      <c r="X171" t="s">
        <v>3175</v>
      </c>
      <c r="Z171" s="3">
        <v>892</v>
      </c>
      <c r="AA171" s="2" t="s">
        <v>3937</v>
      </c>
      <c r="AB171" s="1" t="s">
        <v>1582</v>
      </c>
      <c r="AC171" s="1" t="s">
        <v>1744</v>
      </c>
      <c r="AD171" s="1">
        <v>8</v>
      </c>
      <c r="AE171" s="1" t="s">
        <v>721</v>
      </c>
      <c r="AF171" s="1" t="s">
        <v>720</v>
      </c>
      <c r="AG171" s="1" t="s">
        <v>339</v>
      </c>
      <c r="AH171" s="1" t="s">
        <v>1489</v>
      </c>
      <c r="AI171" s="1" t="s">
        <v>1641</v>
      </c>
      <c r="AJ171" s="1"/>
      <c r="AK171" s="1" t="s">
        <v>2048</v>
      </c>
      <c r="AL171" s="1" t="s">
        <v>3943</v>
      </c>
      <c r="AM171" s="1"/>
      <c r="AN171" s="1"/>
      <c r="AO171" s="1">
        <v>3</v>
      </c>
      <c r="AP171" s="1">
        <v>1</v>
      </c>
      <c r="AQ171" s="1" t="s">
        <v>4038</v>
      </c>
    </row>
    <row r="172" spans="1:43" x14ac:dyDescent="0.15">
      <c r="A172" t="str">
        <f t="shared" si="31"/>
        <v>|KLD|赤|11|3/1|コモン|《[[尖塔横の潜入者]]》|</v>
      </c>
      <c r="B172" t="s">
        <v>3168</v>
      </c>
      <c r="C172" t="str">
        <f t="shared" si="33"/>
        <v>KLD</v>
      </c>
      <c r="D172">
        <f>IF(AA172="","",VLOOKUP(C172,tnpl!$Z$1:$AA$11,2,TRUE))</f>
        <v>6</v>
      </c>
      <c r="E172" t="s">
        <v>3168</v>
      </c>
      <c r="F172" t="str">
        <f t="shared" si="34"/>
        <v>赤</v>
      </c>
      <c r="G172">
        <f>IF(AB172="","",VLOOKUP(F172,tnpl!$X$1:$Y$16,2,TRUE))</f>
        <v>4</v>
      </c>
      <c r="H172" t="s">
        <v>3168</v>
      </c>
      <c r="I172">
        <f t="shared" si="35"/>
        <v>11</v>
      </c>
      <c r="J172" t="s">
        <v>3168</v>
      </c>
      <c r="K172">
        <f t="shared" si="36"/>
        <v>3</v>
      </c>
      <c r="L172">
        <f t="shared" si="37"/>
        <v>1</v>
      </c>
      <c r="M172" t="str">
        <f t="shared" si="32"/>
        <v>3/1</v>
      </c>
      <c r="N172" t="s">
        <v>3175</v>
      </c>
      <c r="O172" t="str">
        <f t="shared" si="38"/>
        <v>コモン</v>
      </c>
      <c r="R172" t="s">
        <v>3175</v>
      </c>
      <c r="S172" t="s">
        <v>4750</v>
      </c>
      <c r="T172" t="str">
        <f t="shared" si="39"/>
        <v>尖塔横の潜入者</v>
      </c>
      <c r="U172" t="str">
        <f t="shared" si="40"/>
        <v/>
      </c>
      <c r="V172" t="str">
        <f>IF(I172=0,VLOOKUP(TAG!T172,Sheet4!A:B,2,TRUE),"")</f>
        <v/>
      </c>
      <c r="W172" t="s">
        <v>4751</v>
      </c>
      <c r="X172" t="s">
        <v>3175</v>
      </c>
      <c r="Z172" s="3">
        <v>918</v>
      </c>
      <c r="AA172" s="2" t="s">
        <v>3937</v>
      </c>
      <c r="AB172" s="1" t="s">
        <v>1552</v>
      </c>
      <c r="AC172" s="1" t="s">
        <v>1744</v>
      </c>
      <c r="AD172" s="1">
        <v>11</v>
      </c>
      <c r="AE172" s="1" t="s">
        <v>668</v>
      </c>
      <c r="AF172" s="1" t="s">
        <v>667</v>
      </c>
      <c r="AG172" s="1" t="s">
        <v>339</v>
      </c>
      <c r="AH172" s="1" t="s">
        <v>1489</v>
      </c>
      <c r="AI172" s="1" t="s">
        <v>2938</v>
      </c>
      <c r="AJ172" s="1"/>
      <c r="AK172" s="1" t="s">
        <v>3619</v>
      </c>
      <c r="AL172" s="1"/>
      <c r="AM172" s="1"/>
      <c r="AN172" s="1"/>
      <c r="AO172" s="1">
        <v>3</v>
      </c>
      <c r="AP172" s="1">
        <v>1</v>
      </c>
      <c r="AQ172" s="1" t="s">
        <v>3619</v>
      </c>
    </row>
    <row r="173" spans="1:43" x14ac:dyDescent="0.15">
      <c r="A173" t="str">
        <f t="shared" si="31"/>
        <v>|KLD|無色|5|3/1|コモン|《[[速接会のオオトカゲ]]》|</v>
      </c>
      <c r="B173" t="s">
        <v>3168</v>
      </c>
      <c r="C173" t="str">
        <f t="shared" si="33"/>
        <v>KLD</v>
      </c>
      <c r="D173">
        <f>IF(AA173="","",VLOOKUP(C173,tnpl!$Z$1:$AA$11,2,TRUE))</f>
        <v>6</v>
      </c>
      <c r="E173" t="s">
        <v>3168</v>
      </c>
      <c r="F173" t="str">
        <f t="shared" si="34"/>
        <v>無色</v>
      </c>
      <c r="G173">
        <f>IF(AB173="","",VLOOKUP(F173,tnpl!$X$1:$Y$16,2,TRUE))</f>
        <v>16</v>
      </c>
      <c r="H173" t="s">
        <v>3168</v>
      </c>
      <c r="I173">
        <f t="shared" si="35"/>
        <v>5</v>
      </c>
      <c r="J173" t="s">
        <v>3168</v>
      </c>
      <c r="K173">
        <f t="shared" si="36"/>
        <v>3</v>
      </c>
      <c r="L173">
        <f t="shared" si="37"/>
        <v>1</v>
      </c>
      <c r="M173" t="str">
        <f t="shared" si="32"/>
        <v>3/1</v>
      </c>
      <c r="N173" t="s">
        <v>3175</v>
      </c>
      <c r="O173" t="str">
        <f t="shared" si="38"/>
        <v>コモン</v>
      </c>
      <c r="R173" t="s">
        <v>3175</v>
      </c>
      <c r="S173" t="s">
        <v>4750</v>
      </c>
      <c r="T173" t="str">
        <f t="shared" si="39"/>
        <v>速接会のオオトカゲ</v>
      </c>
      <c r="U173" t="str">
        <f t="shared" si="40"/>
        <v/>
      </c>
      <c r="V173" t="str">
        <f>IF(I173=0,VLOOKUP(TAG!T173,Sheet4!A:B,2,TRUE),"")</f>
        <v/>
      </c>
      <c r="W173" t="s">
        <v>4751</v>
      </c>
      <c r="X173" t="s">
        <v>3175</v>
      </c>
      <c r="Z173" s="3">
        <v>994</v>
      </c>
      <c r="AA173" s="2" t="s">
        <v>3937</v>
      </c>
      <c r="AB173" s="1" t="s">
        <v>292</v>
      </c>
      <c r="AC173" s="1" t="s">
        <v>1744</v>
      </c>
      <c r="AD173" s="1">
        <v>5</v>
      </c>
      <c r="AE173" s="1" t="s">
        <v>524</v>
      </c>
      <c r="AF173" s="1" t="s">
        <v>523</v>
      </c>
      <c r="AG173" s="1" t="s">
        <v>339</v>
      </c>
      <c r="AH173" s="1" t="s">
        <v>2531</v>
      </c>
      <c r="AI173" s="1"/>
      <c r="AJ173" s="1"/>
      <c r="AK173" s="1" t="s">
        <v>4187</v>
      </c>
      <c r="AL173" s="1"/>
      <c r="AM173" s="1"/>
      <c r="AN173" s="1"/>
      <c r="AO173" s="1">
        <v>3</v>
      </c>
      <c r="AP173" s="1">
        <v>1</v>
      </c>
      <c r="AQ173" s="1" t="s">
        <v>4187</v>
      </c>
    </row>
    <row r="174" spans="1:43" x14ac:dyDescent="0.15">
      <c r="A174" t="str">
        <f t="shared" si="31"/>
        <v>|AKH|白|4|3/1|コモン|《[[レト一門の槍の達人]]》|</v>
      </c>
      <c r="B174" t="s">
        <v>3168</v>
      </c>
      <c r="C174" t="str">
        <f t="shared" si="33"/>
        <v>AKH</v>
      </c>
      <c r="D174">
        <f>IF(AA174="","",VLOOKUP(C174,tnpl!$Z$1:$AA$11,2,TRUE))</f>
        <v>10</v>
      </c>
      <c r="E174" t="s">
        <v>3168</v>
      </c>
      <c r="F174" t="str">
        <f t="shared" si="34"/>
        <v>白</v>
      </c>
      <c r="G174">
        <f>IF(AB174="","",VLOOKUP(F174,tnpl!$X$1:$Y$16,2,TRUE))</f>
        <v>1</v>
      </c>
      <c r="H174" t="s">
        <v>3168</v>
      </c>
      <c r="I174">
        <f t="shared" si="35"/>
        <v>4</v>
      </c>
      <c r="J174" t="s">
        <v>3168</v>
      </c>
      <c r="K174">
        <f t="shared" si="36"/>
        <v>3</v>
      </c>
      <c r="L174">
        <f t="shared" si="37"/>
        <v>1</v>
      </c>
      <c r="M174" t="str">
        <f t="shared" si="32"/>
        <v>3/1</v>
      </c>
      <c r="N174" t="s">
        <v>3175</v>
      </c>
      <c r="O174" t="str">
        <f t="shared" si="38"/>
        <v>コモン</v>
      </c>
      <c r="R174" t="s">
        <v>3175</v>
      </c>
      <c r="S174" t="s">
        <v>4750</v>
      </c>
      <c r="T174" t="str">
        <f t="shared" si="39"/>
        <v>レト一門の槍の達人</v>
      </c>
      <c r="U174" t="str">
        <f t="shared" si="40"/>
        <v/>
      </c>
      <c r="V174" t="str">
        <f>IF(I174=0,VLOOKUP(TAG!T174,Sheet4!A:B,2,TRUE),"")</f>
        <v/>
      </c>
      <c r="W174" t="s">
        <v>4751</v>
      </c>
      <c r="X174" t="s">
        <v>3175</v>
      </c>
      <c r="Z174" s="3">
        <v>1105</v>
      </c>
      <c r="AA174" s="2" t="s">
        <v>4349</v>
      </c>
      <c r="AB174" s="1" t="s">
        <v>1627</v>
      </c>
      <c r="AC174" s="1" t="s">
        <v>1744</v>
      </c>
      <c r="AD174" s="1">
        <v>4</v>
      </c>
      <c r="AE174" s="1" t="s">
        <v>280</v>
      </c>
      <c r="AF174" s="1" t="s">
        <v>279</v>
      </c>
      <c r="AG174" s="1" t="s">
        <v>339</v>
      </c>
      <c r="AH174" s="1" t="s">
        <v>1489</v>
      </c>
      <c r="AI174" s="1" t="s">
        <v>1493</v>
      </c>
      <c r="AJ174" s="1"/>
      <c r="AK174" s="1" t="s">
        <v>4355</v>
      </c>
      <c r="AL174" s="1"/>
      <c r="AM174" s="1"/>
      <c r="AN174" s="1"/>
      <c r="AO174" s="1">
        <v>3</v>
      </c>
      <c r="AP174" s="1">
        <v>1</v>
      </c>
      <c r="AQ174" s="1" t="s">
        <v>4355</v>
      </c>
    </row>
    <row r="175" spans="1:43" x14ac:dyDescent="0.15">
      <c r="A175" t="str">
        <f>B175&amp;C175&amp;E175&amp;F175&amp;H175&amp;I175&amp;J175&amp;M175&amp;N175&amp;O175&amp;P175&amp;Q175&amp;R175&amp;S175&amp;T175&amp;V175&amp;W175&amp;X175&amp;Y175</f>
        <v/>
      </c>
    </row>
    <row r="176" spans="1:43" x14ac:dyDescent="0.15">
      <c r="A176" t="str">
        <f>B176&amp;C176&amp;E176&amp;F176&amp;H176&amp;I176&amp;J176&amp;M176&amp;N176&amp;O176&amp;P176&amp;Q176&amp;R176&amp;S176&amp;T176&amp;V176&amp;W176&amp;X176&amp;Y176</f>
        <v>**3/2クリーチャー</v>
      </c>
      <c r="B176" t="s">
        <v>4752</v>
      </c>
      <c r="C176">
        <f>K179</f>
        <v>3</v>
      </c>
      <c r="E176" t="s">
        <v>4816</v>
      </c>
      <c r="F176">
        <f>L179</f>
        <v>2</v>
      </c>
      <c r="I176" t="s">
        <v>339</v>
      </c>
    </row>
    <row r="177" spans="1:43" x14ac:dyDescent="0.15">
      <c r="A177" t="str">
        <f t="shared" ref="A177:A193" si="41">B177&amp;C177&amp;E177&amp;F177&amp;H177&amp;I177&amp;J177&amp;M177&amp;N177&amp;O177&amp;P177&amp;Q177&amp;R177&amp;S177&amp;T177&amp;U177&amp;V177&amp;W177&amp;X177&amp;Y177</f>
        <v>|LEFT:50|LEFT:50|LEFT:50|LEFT:120|LEFT:120|LEFT:500|c</v>
      </c>
      <c r="B177" t="s">
        <v>3168</v>
      </c>
      <c r="C177" t="s">
        <v>3162</v>
      </c>
      <c r="E177" t="s">
        <v>3168</v>
      </c>
      <c r="F177" t="s">
        <v>3162</v>
      </c>
      <c r="H177" t="s">
        <v>3168</v>
      </c>
      <c r="I177" t="s">
        <v>3162</v>
      </c>
      <c r="J177" t="s">
        <v>3168</v>
      </c>
      <c r="M177" t="s">
        <v>4808</v>
      </c>
      <c r="N177" t="s">
        <v>3175</v>
      </c>
      <c r="O177" t="s">
        <v>4808</v>
      </c>
      <c r="R177" t="s">
        <v>3175</v>
      </c>
      <c r="T177" t="s">
        <v>3163</v>
      </c>
      <c r="X177" t="s">
        <v>3175</v>
      </c>
      <c r="Y177" t="s">
        <v>3164</v>
      </c>
    </row>
    <row r="178" spans="1:43" x14ac:dyDescent="0.15">
      <c r="A178" t="str">
        <f t="shared" si="41"/>
        <v>|セット|色|コスト|P/T|レアリティ|カード名|</v>
      </c>
      <c r="B178" t="s">
        <v>3168</v>
      </c>
      <c r="C178" t="s">
        <v>3169</v>
      </c>
      <c r="E178" t="s">
        <v>3168</v>
      </c>
      <c r="F178" t="s">
        <v>3139</v>
      </c>
      <c r="H178" t="s">
        <v>3168</v>
      </c>
      <c r="I178" t="s">
        <v>3165</v>
      </c>
      <c r="J178" t="s">
        <v>3168</v>
      </c>
      <c r="K178" t="s">
        <v>3126</v>
      </c>
      <c r="L178" t="s">
        <v>3125</v>
      </c>
      <c r="M178" t="str">
        <f t="shared" ref="M178:M193" si="42">K178&amp;"/"&amp;L178</f>
        <v>P/T</v>
      </c>
      <c r="N178" t="s">
        <v>3175</v>
      </c>
      <c r="O178" t="s">
        <v>4809</v>
      </c>
      <c r="R178" t="s">
        <v>3175</v>
      </c>
      <c r="T178" t="s">
        <v>3166</v>
      </c>
      <c r="X178" t="s">
        <v>3175</v>
      </c>
      <c r="Z178" s="12"/>
      <c r="AA178" s="12"/>
      <c r="AB178" s="12"/>
      <c r="AC178" s="12"/>
      <c r="AD178" s="12"/>
      <c r="AE178" s="12"/>
      <c r="AF178" s="12"/>
      <c r="AG178" s="12"/>
      <c r="AH178" s="12"/>
      <c r="AI178" s="12"/>
      <c r="AJ178" s="12"/>
      <c r="AK178" s="12"/>
      <c r="AL178" s="12"/>
      <c r="AM178" s="12"/>
      <c r="AN178" s="12"/>
      <c r="AO178" s="12"/>
      <c r="AP178" s="12"/>
      <c r="AQ178" s="12"/>
    </row>
    <row r="179" spans="1:43" x14ac:dyDescent="0.15">
      <c r="A179" t="str">
        <f t="shared" si="41"/>
        <v>|BFZ|白|5|3/2|レア|《[[ランタンの斥候]]》|</v>
      </c>
      <c r="B179" t="s">
        <v>3168</v>
      </c>
      <c r="C179" t="str">
        <f t="shared" ref="C179:C193" si="43">AA179</f>
        <v>BFZ</v>
      </c>
      <c r="D179">
        <f>IF(AA179="","",VLOOKUP(C179,tnpl!$Z$1:$AA$11,2,TRUE))</f>
        <v>2</v>
      </c>
      <c r="E179" t="s">
        <v>3168</v>
      </c>
      <c r="F179" t="str">
        <f t="shared" ref="F179:F193" si="44">AB179</f>
        <v>白</v>
      </c>
      <c r="G179">
        <f>IF(AB179="","",VLOOKUP(F179,tnpl!$X$1:$Y$16,2,TRUE))</f>
        <v>1</v>
      </c>
      <c r="H179" t="s">
        <v>3168</v>
      </c>
      <c r="I179">
        <f t="shared" ref="I179:I193" si="45">AD179</f>
        <v>5</v>
      </c>
      <c r="J179" t="s">
        <v>3168</v>
      </c>
      <c r="K179">
        <f t="shared" ref="K179:K193" si="46">AO179</f>
        <v>3</v>
      </c>
      <c r="L179">
        <f t="shared" ref="L179:L193" si="47">AP179</f>
        <v>2</v>
      </c>
      <c r="M179" t="str">
        <f t="shared" si="42"/>
        <v>3/2</v>
      </c>
      <c r="N179" t="s">
        <v>3175</v>
      </c>
      <c r="O179" t="str">
        <f t="shared" ref="O179:O193" si="48">AC179</f>
        <v>レア</v>
      </c>
      <c r="R179" t="s">
        <v>3175</v>
      </c>
      <c r="S179" t="s">
        <v>4750</v>
      </c>
      <c r="T179" t="str">
        <f t="shared" ref="T179:T193" si="49">AE179</f>
        <v>ランタンの斥候</v>
      </c>
      <c r="U179" t="str">
        <f t="shared" ref="U179:U193" si="50">IF(I179=0,"&gt;","")</f>
        <v/>
      </c>
      <c r="V179" t="str">
        <f>IF(I179=0,VLOOKUP(TAG!T179,Sheet4!A:B,2,TRUE),"")</f>
        <v/>
      </c>
      <c r="W179" t="s">
        <v>4751</v>
      </c>
      <c r="X179" t="s">
        <v>3175</v>
      </c>
      <c r="Z179" s="3">
        <v>275</v>
      </c>
      <c r="AA179" s="2" t="s">
        <v>3170</v>
      </c>
      <c r="AB179" s="1" t="s">
        <v>1627</v>
      </c>
      <c r="AC179" s="1" t="s">
        <v>1441</v>
      </c>
      <c r="AD179" s="1">
        <v>5</v>
      </c>
      <c r="AE179" s="1" t="s">
        <v>2330</v>
      </c>
      <c r="AF179" s="1" t="s">
        <v>2329</v>
      </c>
      <c r="AG179" s="1" t="s">
        <v>339</v>
      </c>
      <c r="AH179" s="1" t="s">
        <v>1489</v>
      </c>
      <c r="AI179" s="1" t="s">
        <v>1929</v>
      </c>
      <c r="AJ179" s="1" t="s">
        <v>1478</v>
      </c>
      <c r="AK179" s="1" t="s">
        <v>2328</v>
      </c>
      <c r="AL179" s="1"/>
      <c r="AM179" s="1"/>
      <c r="AN179" s="1"/>
      <c r="AO179" s="1">
        <v>3</v>
      </c>
      <c r="AP179" s="1">
        <v>2</v>
      </c>
      <c r="AQ179" s="1" t="s">
        <v>2328</v>
      </c>
    </row>
    <row r="180" spans="1:43" x14ac:dyDescent="0.15">
      <c r="A180" t="str">
        <f t="shared" si="41"/>
        <v>|SOI|青|5|3/2|アンコモン|《[[果敢な捜索者]]》|</v>
      </c>
      <c r="B180" t="s">
        <v>3168</v>
      </c>
      <c r="C180" t="str">
        <f t="shared" si="43"/>
        <v>SOI</v>
      </c>
      <c r="D180">
        <f>IF(AA180="","",VLOOKUP(C180,tnpl!$Z$1:$AA$11,2,TRUE))</f>
        <v>4</v>
      </c>
      <c r="E180" t="s">
        <v>3168</v>
      </c>
      <c r="F180" t="str">
        <f t="shared" si="44"/>
        <v>青</v>
      </c>
      <c r="G180">
        <f>IF(AB180="","",VLOOKUP(F180,tnpl!$X$1:$Y$16,2,TRUE))</f>
        <v>2</v>
      </c>
      <c r="H180" t="s">
        <v>3168</v>
      </c>
      <c r="I180">
        <f t="shared" si="45"/>
        <v>5</v>
      </c>
      <c r="J180" t="s">
        <v>3168</v>
      </c>
      <c r="K180">
        <f t="shared" si="46"/>
        <v>3</v>
      </c>
      <c r="L180">
        <f t="shared" si="47"/>
        <v>2</v>
      </c>
      <c r="M180" t="str">
        <f t="shared" si="42"/>
        <v>3/2</v>
      </c>
      <c r="N180" t="s">
        <v>3175</v>
      </c>
      <c r="O180" t="str">
        <f t="shared" si="48"/>
        <v>アンコモン</v>
      </c>
      <c r="R180" t="s">
        <v>3175</v>
      </c>
      <c r="S180" t="s">
        <v>4750</v>
      </c>
      <c r="T180" t="str">
        <f t="shared" si="49"/>
        <v>果敢な捜索者</v>
      </c>
      <c r="U180" t="str">
        <f t="shared" si="50"/>
        <v/>
      </c>
      <c r="V180" t="str">
        <f>IF(I180=0,VLOOKUP(TAG!T180,Sheet4!A:B,2,TRUE),"")</f>
        <v/>
      </c>
      <c r="W180" t="s">
        <v>4751</v>
      </c>
      <c r="X180" t="s">
        <v>3175</v>
      </c>
      <c r="Z180" s="3">
        <v>591</v>
      </c>
      <c r="AA180" s="2" t="s">
        <v>3431</v>
      </c>
      <c r="AB180" s="1" t="s">
        <v>1606</v>
      </c>
      <c r="AC180" s="1" t="s">
        <v>1451</v>
      </c>
      <c r="AD180" s="14">
        <v>5</v>
      </c>
      <c r="AE180" s="1" t="s">
        <v>1331</v>
      </c>
      <c r="AF180" s="1" t="s">
        <v>1330</v>
      </c>
      <c r="AG180" s="1" t="s">
        <v>339</v>
      </c>
      <c r="AH180" s="1" t="s">
        <v>1489</v>
      </c>
      <c r="AI180" s="1" t="s">
        <v>2938</v>
      </c>
      <c r="AJ180" s="1"/>
      <c r="AK180" s="1" t="s">
        <v>3515</v>
      </c>
      <c r="AL180" s="1"/>
      <c r="AM180" s="1"/>
      <c r="AN180" s="1"/>
      <c r="AO180" s="1">
        <v>3</v>
      </c>
      <c r="AP180" s="1">
        <v>2</v>
      </c>
      <c r="AQ180" s="1" t="s">
        <v>3515</v>
      </c>
    </row>
    <row r="181" spans="1:43" x14ac:dyDescent="0.15">
      <c r="A181" t="str">
        <f t="shared" si="41"/>
        <v>|SOI|黒|8|3/2|コモン|《[[吸血貴族]]》|</v>
      </c>
      <c r="B181" t="s">
        <v>3168</v>
      </c>
      <c r="C181" t="str">
        <f t="shared" si="43"/>
        <v>SOI</v>
      </c>
      <c r="D181">
        <f>IF(AA181="","",VLOOKUP(C181,tnpl!$Z$1:$AA$11,2,TRUE))</f>
        <v>4</v>
      </c>
      <c r="E181" t="s">
        <v>3168</v>
      </c>
      <c r="F181" t="str">
        <f t="shared" si="44"/>
        <v>黒</v>
      </c>
      <c r="G181">
        <f>IF(AB181="","",VLOOKUP(F181,tnpl!$X$1:$Y$16,2,TRUE))</f>
        <v>3</v>
      </c>
      <c r="H181" t="s">
        <v>3168</v>
      </c>
      <c r="I181">
        <f t="shared" si="45"/>
        <v>8</v>
      </c>
      <c r="J181" t="s">
        <v>3168</v>
      </c>
      <c r="K181">
        <f t="shared" si="46"/>
        <v>3</v>
      </c>
      <c r="L181">
        <f t="shared" si="47"/>
        <v>2</v>
      </c>
      <c r="M181" t="str">
        <f t="shared" si="42"/>
        <v>3/2</v>
      </c>
      <c r="N181" t="s">
        <v>3175</v>
      </c>
      <c r="O181" t="str">
        <f t="shared" si="48"/>
        <v>コモン</v>
      </c>
      <c r="R181" t="s">
        <v>3175</v>
      </c>
      <c r="S181" t="s">
        <v>4750</v>
      </c>
      <c r="T181" t="str">
        <f t="shared" si="49"/>
        <v>吸血貴族</v>
      </c>
      <c r="U181" t="str">
        <f t="shared" si="50"/>
        <v/>
      </c>
      <c r="V181" t="str">
        <f>IF(I181=0,VLOOKUP(TAG!T181,Sheet4!A:B,2,TRUE),"")</f>
        <v/>
      </c>
      <c r="W181" t="s">
        <v>4751</v>
      </c>
      <c r="X181" t="s">
        <v>3175</v>
      </c>
      <c r="Z181" s="3">
        <v>618</v>
      </c>
      <c r="AA181" s="2" t="s">
        <v>3431</v>
      </c>
      <c r="AB181" s="1" t="s">
        <v>1582</v>
      </c>
      <c r="AC181" s="1" t="s">
        <v>1744</v>
      </c>
      <c r="AD181" s="1">
        <v>8</v>
      </c>
      <c r="AE181" s="1" t="s">
        <v>1285</v>
      </c>
      <c r="AF181" s="1" t="s">
        <v>1284</v>
      </c>
      <c r="AG181" s="1" t="s">
        <v>339</v>
      </c>
      <c r="AH181" s="1" t="s">
        <v>1494</v>
      </c>
      <c r="AI181" s="1"/>
      <c r="AJ181" s="1"/>
      <c r="AK181" s="1"/>
      <c r="AL181" s="1"/>
      <c r="AM181" s="1"/>
      <c r="AN181" s="1"/>
      <c r="AO181" s="1">
        <v>3</v>
      </c>
      <c r="AP181" s="1">
        <v>2</v>
      </c>
      <c r="AQ181" s="1"/>
    </row>
    <row r="182" spans="1:43" x14ac:dyDescent="0.15">
      <c r="A182" t="str">
        <f t="shared" si="41"/>
        <v>|SOI|黒|7|3/2|アンコモン|《[[ファルケンラスの後継者]]》|</v>
      </c>
      <c r="B182" t="s">
        <v>3168</v>
      </c>
      <c r="C182" t="str">
        <f t="shared" si="43"/>
        <v>SOI</v>
      </c>
      <c r="D182">
        <f>IF(AA182="","",VLOOKUP(C182,tnpl!$Z$1:$AA$11,2,TRUE))</f>
        <v>4</v>
      </c>
      <c r="E182" t="s">
        <v>3168</v>
      </c>
      <c r="F182" t="str">
        <f t="shared" si="44"/>
        <v>黒</v>
      </c>
      <c r="G182">
        <f>IF(AB182="","",VLOOKUP(F182,tnpl!$X$1:$Y$16,2,TRUE))</f>
        <v>3</v>
      </c>
      <c r="H182" t="s">
        <v>3168</v>
      </c>
      <c r="I182">
        <f t="shared" si="45"/>
        <v>7</v>
      </c>
      <c r="J182" t="s">
        <v>3168</v>
      </c>
      <c r="K182">
        <f t="shared" si="46"/>
        <v>3</v>
      </c>
      <c r="L182">
        <f t="shared" si="47"/>
        <v>2</v>
      </c>
      <c r="M182" t="str">
        <f t="shared" si="42"/>
        <v>3/2</v>
      </c>
      <c r="N182" t="s">
        <v>3175</v>
      </c>
      <c r="O182" t="str">
        <f t="shared" si="48"/>
        <v>アンコモン</v>
      </c>
      <c r="R182" t="s">
        <v>3175</v>
      </c>
      <c r="S182" t="s">
        <v>4750</v>
      </c>
      <c r="T182" t="str">
        <f t="shared" si="49"/>
        <v>ファルケンラスの後継者</v>
      </c>
      <c r="U182" t="str">
        <f t="shared" si="50"/>
        <v/>
      </c>
      <c r="V182" t="str">
        <f>IF(I182=0,VLOOKUP(TAG!T182,Sheet4!A:B,2,TRUE),"")</f>
        <v/>
      </c>
      <c r="W182" t="s">
        <v>4751</v>
      </c>
      <c r="X182" t="s">
        <v>3175</v>
      </c>
      <c r="Z182" s="3">
        <v>625</v>
      </c>
      <c r="AA182" s="2" t="s">
        <v>3431</v>
      </c>
      <c r="AB182" s="1" t="s">
        <v>1582</v>
      </c>
      <c r="AC182" s="1" t="s">
        <v>1451</v>
      </c>
      <c r="AD182" s="14">
        <v>7</v>
      </c>
      <c r="AE182" s="1" t="s">
        <v>1271</v>
      </c>
      <c r="AF182" s="1" t="s">
        <v>1270</v>
      </c>
      <c r="AG182" s="1" t="s">
        <v>339</v>
      </c>
      <c r="AH182" s="1" t="s">
        <v>1494</v>
      </c>
      <c r="AI182" s="1"/>
      <c r="AJ182" s="1"/>
      <c r="AK182" s="1" t="s">
        <v>3571</v>
      </c>
      <c r="AL182" s="1"/>
      <c r="AM182" s="1"/>
      <c r="AN182" s="1"/>
      <c r="AO182" s="1">
        <v>3</v>
      </c>
      <c r="AP182" s="1">
        <v>2</v>
      </c>
      <c r="AQ182" s="1" t="s">
        <v>3571</v>
      </c>
    </row>
    <row r="183" spans="1:43" x14ac:dyDescent="0.15">
      <c r="A183" t="str">
        <f t="shared" si="41"/>
        <v>|SOI|赤|7|3/2|アンコモン|《[[つぶやく悪鬼]]》|</v>
      </c>
      <c r="B183" t="s">
        <v>3168</v>
      </c>
      <c r="C183" t="str">
        <f t="shared" si="43"/>
        <v>SOI</v>
      </c>
      <c r="D183">
        <f>IF(AA183="","",VLOOKUP(C183,tnpl!$Z$1:$AA$11,2,TRUE))</f>
        <v>4</v>
      </c>
      <c r="E183" t="s">
        <v>3168</v>
      </c>
      <c r="F183" t="str">
        <f t="shared" si="44"/>
        <v>赤</v>
      </c>
      <c r="G183">
        <f>IF(AB183="","",VLOOKUP(F183,tnpl!$X$1:$Y$16,2,TRUE))</f>
        <v>4</v>
      </c>
      <c r="H183" t="s">
        <v>3168</v>
      </c>
      <c r="I183">
        <f t="shared" si="45"/>
        <v>7</v>
      </c>
      <c r="J183" t="s">
        <v>3168</v>
      </c>
      <c r="K183">
        <f t="shared" si="46"/>
        <v>3</v>
      </c>
      <c r="L183">
        <f t="shared" si="47"/>
        <v>2</v>
      </c>
      <c r="M183" t="str">
        <f t="shared" si="42"/>
        <v>3/2</v>
      </c>
      <c r="N183" t="s">
        <v>3175</v>
      </c>
      <c r="O183" t="str">
        <f t="shared" si="48"/>
        <v>アンコモン</v>
      </c>
      <c r="R183" t="s">
        <v>3175</v>
      </c>
      <c r="S183" t="s">
        <v>4750</v>
      </c>
      <c r="T183" t="str">
        <f t="shared" si="49"/>
        <v>つぶやく悪鬼</v>
      </c>
      <c r="U183" t="str">
        <f t="shared" si="50"/>
        <v/>
      </c>
      <c r="V183" t="str">
        <f>IF(I183=0,VLOOKUP(TAG!T183,Sheet4!A:B,2,TRUE),"")</f>
        <v/>
      </c>
      <c r="W183" t="s">
        <v>4751</v>
      </c>
      <c r="X183" t="s">
        <v>3175</v>
      </c>
      <c r="Z183" s="3">
        <v>659</v>
      </c>
      <c r="AA183" s="2" t="s">
        <v>3431</v>
      </c>
      <c r="AB183" s="1" t="s">
        <v>1552</v>
      </c>
      <c r="AC183" s="1" t="s">
        <v>1451</v>
      </c>
      <c r="AD183" s="1">
        <v>7</v>
      </c>
      <c r="AE183" s="1" t="s">
        <v>1216</v>
      </c>
      <c r="AF183" s="1" t="s">
        <v>1215</v>
      </c>
      <c r="AG183" s="1" t="s">
        <v>339</v>
      </c>
      <c r="AH183" s="1" t="s">
        <v>3609</v>
      </c>
      <c r="AI183" s="1"/>
      <c r="AJ183" s="1"/>
      <c r="AK183" s="1" t="s">
        <v>3619</v>
      </c>
      <c r="AL183" s="1" t="s">
        <v>3620</v>
      </c>
      <c r="AM183" s="1"/>
      <c r="AN183" s="1"/>
      <c r="AO183" s="1">
        <v>3</v>
      </c>
      <c r="AP183" s="1">
        <v>2</v>
      </c>
      <c r="AQ183" s="1" t="s">
        <v>3621</v>
      </c>
    </row>
    <row r="184" spans="1:43" x14ac:dyDescent="0.15">
      <c r="A184" t="str">
        <f t="shared" si="41"/>
        <v>|SOI|赤|13|3/2|アンコモン|《[[ケッシグの鍛冶場主]]》|</v>
      </c>
      <c r="B184" t="s">
        <v>3168</v>
      </c>
      <c r="C184" t="str">
        <f t="shared" si="43"/>
        <v>SOI</v>
      </c>
      <c r="D184">
        <f>IF(AA184="","",VLOOKUP(C184,tnpl!$Z$1:$AA$11,2,TRUE))</f>
        <v>4</v>
      </c>
      <c r="E184" t="s">
        <v>3168</v>
      </c>
      <c r="F184" t="str">
        <f t="shared" si="44"/>
        <v>赤</v>
      </c>
      <c r="G184">
        <f>IF(AB184="","",VLOOKUP(F184,tnpl!$X$1:$Y$16,2,TRUE))</f>
        <v>4</v>
      </c>
      <c r="H184" t="s">
        <v>3168</v>
      </c>
      <c r="I184">
        <f t="shared" si="45"/>
        <v>13</v>
      </c>
      <c r="J184" t="s">
        <v>3168</v>
      </c>
      <c r="K184">
        <f t="shared" si="46"/>
        <v>3</v>
      </c>
      <c r="L184">
        <f t="shared" si="47"/>
        <v>2</v>
      </c>
      <c r="M184" t="str">
        <f t="shared" si="42"/>
        <v>3/2</v>
      </c>
      <c r="N184" t="s">
        <v>3175</v>
      </c>
      <c r="O184" t="str">
        <f t="shared" si="48"/>
        <v>アンコモン</v>
      </c>
      <c r="R184" t="s">
        <v>3175</v>
      </c>
      <c r="S184" t="s">
        <v>4750</v>
      </c>
      <c r="T184" t="str">
        <f t="shared" si="49"/>
        <v>ケッシグの鍛冶場主</v>
      </c>
      <c r="U184" t="str">
        <f t="shared" si="50"/>
        <v/>
      </c>
      <c r="V184" t="str">
        <f>IF(I184=0,VLOOKUP(TAG!T184,Sheet4!A:B,2,TRUE),"")</f>
        <v/>
      </c>
      <c r="W184" t="s">
        <v>4751</v>
      </c>
      <c r="X184" t="s">
        <v>3175</v>
      </c>
      <c r="Z184" s="3">
        <v>660</v>
      </c>
      <c r="AA184" s="2" t="s">
        <v>3431</v>
      </c>
      <c r="AB184" s="1" t="s">
        <v>1552</v>
      </c>
      <c r="AC184" s="1" t="s">
        <v>1451</v>
      </c>
      <c r="AD184" s="14">
        <v>13</v>
      </c>
      <c r="AE184" s="1" t="s">
        <v>1214</v>
      </c>
      <c r="AF184" s="1" t="s">
        <v>1213</v>
      </c>
      <c r="AG184" s="1" t="s">
        <v>339</v>
      </c>
      <c r="AH184" s="1" t="s">
        <v>1489</v>
      </c>
      <c r="AI184" s="1" t="s">
        <v>1867</v>
      </c>
      <c r="AJ184" s="1" t="s">
        <v>3605</v>
      </c>
      <c r="AK184" s="1" t="s">
        <v>3622</v>
      </c>
      <c r="AL184" s="1" t="s">
        <v>3606</v>
      </c>
      <c r="AM184" s="1"/>
      <c r="AN184" s="1"/>
      <c r="AO184" s="1">
        <v>3</v>
      </c>
      <c r="AP184" s="1">
        <v>2</v>
      </c>
      <c r="AQ184" s="1" t="s">
        <v>3623</v>
      </c>
    </row>
    <row r="185" spans="1:43" x14ac:dyDescent="0.15">
      <c r="A185" t="str">
        <f t="shared" si="41"/>
        <v>|EMN|黒|10|3/2|アンコモン|《[[墓ネズミ]]》|</v>
      </c>
      <c r="B185" t="s">
        <v>3168</v>
      </c>
      <c r="C185" t="str">
        <f t="shared" si="43"/>
        <v>EMN</v>
      </c>
      <c r="D185">
        <f>IF(AA185="","",VLOOKUP(C185,tnpl!$Z$1:$AA$11,2,TRUE))</f>
        <v>5</v>
      </c>
      <c r="E185" t="s">
        <v>3168</v>
      </c>
      <c r="F185" t="str">
        <f t="shared" si="44"/>
        <v>黒</v>
      </c>
      <c r="G185">
        <f>IF(AB185="","",VLOOKUP(F185,tnpl!$X$1:$Y$16,2,TRUE))</f>
        <v>3</v>
      </c>
      <c r="H185" t="s">
        <v>3168</v>
      </c>
      <c r="I185">
        <f t="shared" si="45"/>
        <v>10</v>
      </c>
      <c r="J185" t="s">
        <v>3168</v>
      </c>
      <c r="K185">
        <f t="shared" si="46"/>
        <v>3</v>
      </c>
      <c r="L185">
        <f t="shared" si="47"/>
        <v>2</v>
      </c>
      <c r="M185" t="str">
        <f t="shared" si="42"/>
        <v>3/2</v>
      </c>
      <c r="N185" t="s">
        <v>3175</v>
      </c>
      <c r="O185" t="str">
        <f t="shared" si="48"/>
        <v>アンコモン</v>
      </c>
      <c r="R185" t="s">
        <v>3175</v>
      </c>
      <c r="S185" t="s">
        <v>4750</v>
      </c>
      <c r="T185" t="str">
        <f t="shared" si="49"/>
        <v>墓ネズミ</v>
      </c>
      <c r="U185" t="str">
        <f t="shared" si="50"/>
        <v/>
      </c>
      <c r="V185" t="str">
        <f>IF(I185=0,VLOOKUP(TAG!T185,Sheet4!A:B,2,TRUE),"")</f>
        <v/>
      </c>
      <c r="W185" t="s">
        <v>4751</v>
      </c>
      <c r="X185" t="s">
        <v>3175</v>
      </c>
      <c r="Z185" s="3">
        <v>779</v>
      </c>
      <c r="AA185" s="2" t="s">
        <v>3773</v>
      </c>
      <c r="AB185" s="1" t="s">
        <v>1582</v>
      </c>
      <c r="AC185" s="1" t="s">
        <v>1451</v>
      </c>
      <c r="AD185" s="1">
        <v>10</v>
      </c>
      <c r="AE185" s="1" t="s">
        <v>954</v>
      </c>
      <c r="AF185" s="1" t="s">
        <v>953</v>
      </c>
      <c r="AG185" s="1" t="s">
        <v>339</v>
      </c>
      <c r="AH185" s="1" t="s">
        <v>3827</v>
      </c>
      <c r="AI185" s="1"/>
      <c r="AJ185" s="1"/>
      <c r="AK185" s="1" t="s">
        <v>3828</v>
      </c>
      <c r="AL185" s="1"/>
      <c r="AM185" s="1"/>
      <c r="AN185" s="1"/>
      <c r="AO185" s="1">
        <v>3</v>
      </c>
      <c r="AP185" s="1">
        <v>2</v>
      </c>
      <c r="AQ185" s="1" t="s">
        <v>3828</v>
      </c>
    </row>
    <row r="186" spans="1:43" x14ac:dyDescent="0.15">
      <c r="A186" t="str">
        <f t="shared" si="41"/>
        <v>|EMN|赤|14|3/2|アンコモン|《[[くすぶる狼男]]》|</v>
      </c>
      <c r="B186" t="s">
        <v>3168</v>
      </c>
      <c r="C186" t="str">
        <f t="shared" si="43"/>
        <v>EMN</v>
      </c>
      <c r="D186">
        <f>IF(AA186="","",VLOOKUP(C186,tnpl!$Z$1:$AA$11,2,TRUE))</f>
        <v>5</v>
      </c>
      <c r="E186" t="s">
        <v>3168</v>
      </c>
      <c r="F186" t="str">
        <f t="shared" si="44"/>
        <v>赤</v>
      </c>
      <c r="G186">
        <f>IF(AB186="","",VLOOKUP(F186,tnpl!$X$1:$Y$16,2,TRUE))</f>
        <v>4</v>
      </c>
      <c r="H186" t="s">
        <v>3168</v>
      </c>
      <c r="I186">
        <f t="shared" si="45"/>
        <v>14</v>
      </c>
      <c r="J186" t="s">
        <v>3168</v>
      </c>
      <c r="K186">
        <f t="shared" si="46"/>
        <v>3</v>
      </c>
      <c r="L186">
        <f t="shared" si="47"/>
        <v>2</v>
      </c>
      <c r="M186" t="str">
        <f t="shared" si="42"/>
        <v>3/2</v>
      </c>
      <c r="N186" t="s">
        <v>3175</v>
      </c>
      <c r="O186" t="str">
        <f t="shared" si="48"/>
        <v>アンコモン</v>
      </c>
      <c r="R186" t="s">
        <v>3175</v>
      </c>
      <c r="S186" t="s">
        <v>4750</v>
      </c>
      <c r="T186" t="str">
        <f t="shared" si="49"/>
        <v>くすぶる狼男</v>
      </c>
      <c r="U186" t="str">
        <f t="shared" si="50"/>
        <v/>
      </c>
      <c r="V186" t="str">
        <f>IF(I186=0,VLOOKUP(TAG!T186,Sheet4!A:B,2,TRUE),"")</f>
        <v/>
      </c>
      <c r="W186" t="s">
        <v>4751</v>
      </c>
      <c r="X186" t="s">
        <v>3175</v>
      </c>
      <c r="Z186" s="3">
        <v>796</v>
      </c>
      <c r="AA186" s="2" t="s">
        <v>3773</v>
      </c>
      <c r="AB186" s="1" t="s">
        <v>1552</v>
      </c>
      <c r="AC186" s="1" t="s">
        <v>1451</v>
      </c>
      <c r="AD186" s="14">
        <v>14</v>
      </c>
      <c r="AE186" s="1" t="s">
        <v>926</v>
      </c>
      <c r="AF186" s="1" t="s">
        <v>925</v>
      </c>
      <c r="AG186" s="1" t="s">
        <v>339</v>
      </c>
      <c r="AH186" s="1" t="s">
        <v>3605</v>
      </c>
      <c r="AI186" s="1" t="s">
        <v>2802</v>
      </c>
      <c r="AJ186" s="1"/>
      <c r="AK186" s="1" t="s">
        <v>3860</v>
      </c>
      <c r="AL186" s="1" t="s">
        <v>3861</v>
      </c>
      <c r="AM186" s="1"/>
      <c r="AN186" s="1"/>
      <c r="AO186" s="1">
        <v>3</v>
      </c>
      <c r="AP186" s="1">
        <v>2</v>
      </c>
      <c r="AQ186" s="1" t="s">
        <v>3862</v>
      </c>
    </row>
    <row r="187" spans="1:43" x14ac:dyDescent="0.15">
      <c r="A187" t="str">
        <f t="shared" si="41"/>
        <v>|AKH|白|10|3/2|コモン|《[[断固たる修練者]]》|</v>
      </c>
      <c r="B187" t="s">
        <v>3168</v>
      </c>
      <c r="C187" t="str">
        <f t="shared" si="43"/>
        <v>AKH</v>
      </c>
      <c r="D187">
        <f>IF(AA187="","",VLOOKUP(C187,tnpl!$Z$1:$AA$11,2,TRUE))</f>
        <v>10</v>
      </c>
      <c r="E187" t="s">
        <v>3168</v>
      </c>
      <c r="F187" t="str">
        <f t="shared" si="44"/>
        <v>白</v>
      </c>
      <c r="G187">
        <f>IF(AB187="","",VLOOKUP(F187,tnpl!$X$1:$Y$16,2,TRUE))</f>
        <v>1</v>
      </c>
      <c r="H187" t="s">
        <v>3168</v>
      </c>
      <c r="I187">
        <f t="shared" si="45"/>
        <v>10</v>
      </c>
      <c r="J187" t="s">
        <v>3168</v>
      </c>
      <c r="K187">
        <f t="shared" si="46"/>
        <v>3</v>
      </c>
      <c r="L187">
        <f t="shared" si="47"/>
        <v>2</v>
      </c>
      <c r="M187" t="str">
        <f t="shared" si="42"/>
        <v>3/2</v>
      </c>
      <c r="N187" t="s">
        <v>3175</v>
      </c>
      <c r="O187" t="str">
        <f t="shared" si="48"/>
        <v>コモン</v>
      </c>
      <c r="R187" t="s">
        <v>3175</v>
      </c>
      <c r="S187" t="s">
        <v>4750</v>
      </c>
      <c r="T187" t="str">
        <f t="shared" si="49"/>
        <v>断固たる修練者</v>
      </c>
      <c r="U187" t="str">
        <f t="shared" si="50"/>
        <v/>
      </c>
      <c r="V187" t="str">
        <f>IF(I187=0,VLOOKUP(TAG!T187,Sheet4!A:B,2,TRUE),"")</f>
        <v/>
      </c>
      <c r="W187" t="s">
        <v>4751</v>
      </c>
      <c r="X187" t="s">
        <v>3175</v>
      </c>
      <c r="Z187" s="3">
        <v>1109</v>
      </c>
      <c r="AA187" s="2" t="s">
        <v>4349</v>
      </c>
      <c r="AB187" s="1" t="s">
        <v>1627</v>
      </c>
      <c r="AC187" s="1" t="s">
        <v>1744</v>
      </c>
      <c r="AD187" s="1">
        <v>10</v>
      </c>
      <c r="AE187" s="1" t="s">
        <v>272</v>
      </c>
      <c r="AF187" s="1" t="s">
        <v>271</v>
      </c>
      <c r="AG187" s="1" t="s">
        <v>339</v>
      </c>
      <c r="AH187" s="1" t="s">
        <v>1489</v>
      </c>
      <c r="AI187" s="1" t="s">
        <v>1493</v>
      </c>
      <c r="AJ187" s="1"/>
      <c r="AK187" s="1" t="s">
        <v>3194</v>
      </c>
      <c r="AL187" s="1" t="s">
        <v>4360</v>
      </c>
      <c r="AM187" s="1"/>
      <c r="AN187" s="1"/>
      <c r="AO187" s="1">
        <v>3</v>
      </c>
      <c r="AP187" s="1">
        <v>2</v>
      </c>
      <c r="AQ187" s="1" t="s">
        <v>4361</v>
      </c>
    </row>
    <row r="188" spans="1:43" x14ac:dyDescent="0.15">
      <c r="A188" t="str">
        <f t="shared" si="41"/>
        <v>|AKH|白|10|3/2|レア|《[[エイヴンの思考検閲者]]》|</v>
      </c>
      <c r="B188" t="s">
        <v>3168</v>
      </c>
      <c r="C188" t="str">
        <f t="shared" si="43"/>
        <v>AKH</v>
      </c>
      <c r="D188">
        <f>IF(AA188="","",VLOOKUP(C188,tnpl!$Z$1:$AA$11,2,TRUE))</f>
        <v>10</v>
      </c>
      <c r="E188" t="s">
        <v>3168</v>
      </c>
      <c r="F188" t="str">
        <f t="shared" si="44"/>
        <v>白</v>
      </c>
      <c r="G188">
        <f>IF(AB188="","",VLOOKUP(F188,tnpl!$X$1:$Y$16,2,TRUE))</f>
        <v>1</v>
      </c>
      <c r="H188" t="s">
        <v>3168</v>
      </c>
      <c r="I188">
        <f t="shared" si="45"/>
        <v>10</v>
      </c>
      <c r="J188" t="s">
        <v>3168</v>
      </c>
      <c r="K188">
        <f t="shared" si="46"/>
        <v>3</v>
      </c>
      <c r="L188">
        <f t="shared" si="47"/>
        <v>2</v>
      </c>
      <c r="M188" t="str">
        <f t="shared" si="42"/>
        <v>3/2</v>
      </c>
      <c r="N188" t="s">
        <v>3175</v>
      </c>
      <c r="O188" t="str">
        <f t="shared" si="48"/>
        <v>レア</v>
      </c>
      <c r="R188" t="s">
        <v>3175</v>
      </c>
      <c r="S188" t="s">
        <v>4750</v>
      </c>
      <c r="T188" t="str">
        <f t="shared" si="49"/>
        <v>エイヴンの思考検閲者</v>
      </c>
      <c r="U188" t="str">
        <f t="shared" si="50"/>
        <v/>
      </c>
      <c r="V188" t="str">
        <f>IF(I188=0,VLOOKUP(TAG!T188,Sheet4!A:B,2,TRUE),"")</f>
        <v/>
      </c>
      <c r="W188" t="s">
        <v>4751</v>
      </c>
      <c r="X188" t="s">
        <v>3175</v>
      </c>
      <c r="Z188" s="3">
        <v>1120</v>
      </c>
      <c r="AA188" s="2" t="s">
        <v>4349</v>
      </c>
      <c r="AB188" s="1" t="s">
        <v>1627</v>
      </c>
      <c r="AC188" s="1" t="s">
        <v>1441</v>
      </c>
      <c r="AD188" s="1">
        <v>10</v>
      </c>
      <c r="AE188" s="1" t="s">
        <v>253</v>
      </c>
      <c r="AF188" s="1" t="s">
        <v>252</v>
      </c>
      <c r="AG188" s="1" t="s">
        <v>339</v>
      </c>
      <c r="AH188" s="1" t="s">
        <v>2948</v>
      </c>
      <c r="AI188" s="1" t="s">
        <v>1463</v>
      </c>
      <c r="AJ188" s="1"/>
      <c r="AK188" s="1" t="s">
        <v>351</v>
      </c>
      <c r="AL188" s="1" t="s">
        <v>4385</v>
      </c>
      <c r="AM188" s="1"/>
      <c r="AN188" s="1"/>
      <c r="AO188" s="1">
        <v>3</v>
      </c>
      <c r="AP188" s="1">
        <v>2</v>
      </c>
      <c r="AQ188" s="1" t="s">
        <v>4386</v>
      </c>
    </row>
    <row r="189" spans="1:43" x14ac:dyDescent="0.15">
      <c r="A189" t="str">
        <f t="shared" si="41"/>
        <v>|AKH|黒|9|3/2|コモン|《[[冷酷な侍臣]]》|</v>
      </c>
      <c r="B189" t="s">
        <v>3168</v>
      </c>
      <c r="C189" t="str">
        <f t="shared" si="43"/>
        <v>AKH</v>
      </c>
      <c r="D189">
        <f>IF(AA189="","",VLOOKUP(C189,tnpl!$Z$1:$AA$11,2,TRUE))</f>
        <v>10</v>
      </c>
      <c r="E189" t="s">
        <v>3168</v>
      </c>
      <c r="F189" t="str">
        <f t="shared" si="44"/>
        <v>黒</v>
      </c>
      <c r="G189">
        <f>IF(AB189="","",VLOOKUP(F189,tnpl!$X$1:$Y$16,2,TRUE))</f>
        <v>3</v>
      </c>
      <c r="H189" t="s">
        <v>3168</v>
      </c>
      <c r="I189">
        <f t="shared" si="45"/>
        <v>9</v>
      </c>
      <c r="J189" t="s">
        <v>3168</v>
      </c>
      <c r="K189">
        <f t="shared" si="46"/>
        <v>3</v>
      </c>
      <c r="L189">
        <f t="shared" si="47"/>
        <v>2</v>
      </c>
      <c r="M189" t="str">
        <f t="shared" si="42"/>
        <v>3/2</v>
      </c>
      <c r="N189" t="s">
        <v>3175</v>
      </c>
      <c r="O189" t="str">
        <f t="shared" si="48"/>
        <v>コモン</v>
      </c>
      <c r="R189" t="s">
        <v>3175</v>
      </c>
      <c r="S189" t="s">
        <v>4750</v>
      </c>
      <c r="T189" t="str">
        <f t="shared" si="49"/>
        <v>冷酷な侍臣</v>
      </c>
      <c r="U189" t="str">
        <f t="shared" si="50"/>
        <v/>
      </c>
      <c r="V189" t="str">
        <f>IF(I189=0,VLOOKUP(TAG!T189,Sheet4!A:B,2,TRUE),"")</f>
        <v/>
      </c>
      <c r="W189" t="s">
        <v>4751</v>
      </c>
      <c r="X189" t="s">
        <v>3175</v>
      </c>
      <c r="Z189" s="3">
        <v>1155</v>
      </c>
      <c r="AA189" s="2" t="s">
        <v>4349</v>
      </c>
      <c r="AB189" s="1" t="s">
        <v>1582</v>
      </c>
      <c r="AC189" s="1" t="s">
        <v>1744</v>
      </c>
      <c r="AD189" s="1">
        <v>9</v>
      </c>
      <c r="AE189" s="1" t="s">
        <v>185</v>
      </c>
      <c r="AF189" s="1" t="s">
        <v>184</v>
      </c>
      <c r="AG189" s="1" t="s">
        <v>339</v>
      </c>
      <c r="AH189" s="1" t="s">
        <v>4456</v>
      </c>
      <c r="AI189" s="1" t="s">
        <v>1470</v>
      </c>
      <c r="AJ189" s="1"/>
      <c r="AK189" s="1" t="s">
        <v>4457</v>
      </c>
      <c r="AL189" s="1"/>
      <c r="AM189" s="1"/>
      <c r="AN189" s="1"/>
      <c r="AO189" s="1">
        <v>3</v>
      </c>
      <c r="AP189" s="1">
        <v>2</v>
      </c>
      <c r="AQ189" s="1" t="s">
        <v>4457</v>
      </c>
    </row>
    <row r="190" spans="1:43" x14ac:dyDescent="0.15">
      <c r="A190" t="str">
        <f t="shared" si="41"/>
        <v>|AKH|赤|6|3/2|コモン|《[[燃えさし角のミノタウルス]]》|</v>
      </c>
      <c r="B190" t="s">
        <v>3168</v>
      </c>
      <c r="C190" t="str">
        <f t="shared" si="43"/>
        <v>AKH</v>
      </c>
      <c r="D190">
        <f>IF(AA190="","",VLOOKUP(C190,tnpl!$Z$1:$AA$11,2,TRUE))</f>
        <v>10</v>
      </c>
      <c r="E190" t="s">
        <v>3168</v>
      </c>
      <c r="F190" t="str">
        <f t="shared" si="44"/>
        <v>赤</v>
      </c>
      <c r="G190">
        <f>IF(AB190="","",VLOOKUP(F190,tnpl!$X$1:$Y$16,2,TRUE))</f>
        <v>4</v>
      </c>
      <c r="H190" t="s">
        <v>3168</v>
      </c>
      <c r="I190">
        <f t="shared" si="45"/>
        <v>6</v>
      </c>
      <c r="J190" t="s">
        <v>3168</v>
      </c>
      <c r="K190">
        <f t="shared" si="46"/>
        <v>3</v>
      </c>
      <c r="L190">
        <f t="shared" si="47"/>
        <v>2</v>
      </c>
      <c r="M190" t="str">
        <f t="shared" si="42"/>
        <v>3/2</v>
      </c>
      <c r="N190" t="s">
        <v>3175</v>
      </c>
      <c r="O190" t="str">
        <f t="shared" si="48"/>
        <v>コモン</v>
      </c>
      <c r="R190" t="s">
        <v>3175</v>
      </c>
      <c r="S190" t="s">
        <v>4750</v>
      </c>
      <c r="T190" t="str">
        <f t="shared" si="49"/>
        <v>燃えさし角のミノタウルス</v>
      </c>
      <c r="U190" t="str">
        <f t="shared" si="50"/>
        <v/>
      </c>
      <c r="V190" t="str">
        <f>IF(I190=0,VLOOKUP(TAG!T190,Sheet4!A:B,2,TRUE),"")</f>
        <v/>
      </c>
      <c r="W190" t="s">
        <v>4751</v>
      </c>
      <c r="X190" t="s">
        <v>3175</v>
      </c>
      <c r="Z190" s="3">
        <v>1177</v>
      </c>
      <c r="AA190" s="2" t="s">
        <v>4349</v>
      </c>
      <c r="AB190" s="1" t="s">
        <v>1552</v>
      </c>
      <c r="AC190" s="1" t="s">
        <v>1744</v>
      </c>
      <c r="AD190" s="1">
        <v>6</v>
      </c>
      <c r="AE190" s="1" t="s">
        <v>145</v>
      </c>
      <c r="AF190" s="1" t="s">
        <v>144</v>
      </c>
      <c r="AG190" s="1" t="s">
        <v>339</v>
      </c>
      <c r="AH190" s="1" t="s">
        <v>4456</v>
      </c>
      <c r="AI190" s="1" t="s">
        <v>1493</v>
      </c>
      <c r="AJ190" s="1"/>
      <c r="AK190" s="1" t="s">
        <v>4499</v>
      </c>
      <c r="AL190" s="1"/>
      <c r="AM190" s="1"/>
      <c r="AN190" s="1"/>
      <c r="AO190" s="1">
        <v>3</v>
      </c>
      <c r="AP190" s="1">
        <v>2</v>
      </c>
      <c r="AQ190" s="1" t="s">
        <v>4499</v>
      </c>
    </row>
    <row r="191" spans="1:43" x14ac:dyDescent="0.15">
      <c r="A191" t="str">
        <f t="shared" si="41"/>
        <v>|AKH|赤|10|3/2|コモン|《[[打擲場のマンティコア]]》|</v>
      </c>
      <c r="B191" t="s">
        <v>3168</v>
      </c>
      <c r="C191" t="str">
        <f t="shared" si="43"/>
        <v>AKH</v>
      </c>
      <c r="D191">
        <f>IF(AA191="","",VLOOKUP(C191,tnpl!$Z$1:$AA$11,2,TRUE))</f>
        <v>10</v>
      </c>
      <c r="E191" t="s">
        <v>3168</v>
      </c>
      <c r="F191" t="str">
        <f t="shared" si="44"/>
        <v>赤</v>
      </c>
      <c r="G191">
        <f>IF(AB191="","",VLOOKUP(F191,tnpl!$X$1:$Y$16,2,TRUE))</f>
        <v>4</v>
      </c>
      <c r="H191" t="s">
        <v>3168</v>
      </c>
      <c r="I191">
        <f t="shared" si="45"/>
        <v>10</v>
      </c>
      <c r="J191" t="s">
        <v>3168</v>
      </c>
      <c r="K191">
        <f t="shared" si="46"/>
        <v>3</v>
      </c>
      <c r="L191">
        <f t="shared" si="47"/>
        <v>2</v>
      </c>
      <c r="M191" t="str">
        <f t="shared" si="42"/>
        <v>3/2</v>
      </c>
      <c r="N191" t="s">
        <v>3175</v>
      </c>
      <c r="O191" t="str">
        <f t="shared" si="48"/>
        <v>コモン</v>
      </c>
      <c r="R191" t="s">
        <v>3175</v>
      </c>
      <c r="S191" t="s">
        <v>4750</v>
      </c>
      <c r="T191" t="str">
        <f t="shared" si="49"/>
        <v>打擲場のマンティコア</v>
      </c>
      <c r="U191" t="str">
        <f t="shared" si="50"/>
        <v/>
      </c>
      <c r="V191" t="str">
        <f>IF(I191=0,VLOOKUP(TAG!T191,Sheet4!A:B,2,TRUE),"")</f>
        <v/>
      </c>
      <c r="W191" t="s">
        <v>4751</v>
      </c>
      <c r="X191" t="s">
        <v>3175</v>
      </c>
      <c r="Z191" s="3">
        <v>1178</v>
      </c>
      <c r="AA191" s="2" t="s">
        <v>4349</v>
      </c>
      <c r="AB191" s="1" t="s">
        <v>1552</v>
      </c>
      <c r="AC191" s="1" t="s">
        <v>1744</v>
      </c>
      <c r="AD191" s="1">
        <v>10</v>
      </c>
      <c r="AE191" s="1" t="s">
        <v>143</v>
      </c>
      <c r="AF191" s="1" t="s">
        <v>142</v>
      </c>
      <c r="AG191" s="1" t="s">
        <v>339</v>
      </c>
      <c r="AH191" s="1" t="s">
        <v>4500</v>
      </c>
      <c r="AI191" s="1"/>
      <c r="AJ191" s="1"/>
      <c r="AK191" s="1" t="s">
        <v>4501</v>
      </c>
      <c r="AL191" s="1"/>
      <c r="AM191" s="1"/>
      <c r="AN191" s="1"/>
      <c r="AO191" s="1">
        <v>3</v>
      </c>
      <c r="AP191" s="1">
        <v>2</v>
      </c>
      <c r="AQ191" s="1" t="s">
        <v>4501</v>
      </c>
    </row>
    <row r="192" spans="1:43" x14ac:dyDescent="0.15">
      <c r="A192" t="str">
        <f t="shared" si="41"/>
        <v>|AKH|赤|8|3/2|コモン|《[[オナガトカゲ]]》|</v>
      </c>
      <c r="B192" t="s">
        <v>3168</v>
      </c>
      <c r="C192" t="str">
        <f t="shared" si="43"/>
        <v>AKH</v>
      </c>
      <c r="D192">
        <f>IF(AA192="","",VLOOKUP(C192,tnpl!$Z$1:$AA$11,2,TRUE))</f>
        <v>10</v>
      </c>
      <c r="E192" t="s">
        <v>3168</v>
      </c>
      <c r="F192" t="str">
        <f t="shared" si="44"/>
        <v>赤</v>
      </c>
      <c r="G192">
        <f>IF(AB192="","",VLOOKUP(F192,tnpl!$X$1:$Y$16,2,TRUE))</f>
        <v>4</v>
      </c>
      <c r="H192" t="s">
        <v>3168</v>
      </c>
      <c r="I192">
        <f t="shared" si="45"/>
        <v>8</v>
      </c>
      <c r="J192" t="s">
        <v>3168</v>
      </c>
      <c r="K192">
        <f t="shared" si="46"/>
        <v>3</v>
      </c>
      <c r="L192">
        <f t="shared" si="47"/>
        <v>2</v>
      </c>
      <c r="M192" t="str">
        <f t="shared" si="42"/>
        <v>3/2</v>
      </c>
      <c r="N192" t="s">
        <v>3175</v>
      </c>
      <c r="O192" t="str">
        <f t="shared" si="48"/>
        <v>コモン</v>
      </c>
      <c r="R192" t="s">
        <v>3175</v>
      </c>
      <c r="S192" t="s">
        <v>4750</v>
      </c>
      <c r="T192" t="str">
        <f t="shared" si="49"/>
        <v>オナガトカゲ</v>
      </c>
      <c r="U192" t="str">
        <f t="shared" si="50"/>
        <v/>
      </c>
      <c r="V192" t="str">
        <f>IF(I192=0,VLOOKUP(TAG!T192,Sheet4!A:B,2,TRUE),"")</f>
        <v/>
      </c>
      <c r="W192" t="s">
        <v>4751</v>
      </c>
      <c r="X192" t="s">
        <v>3175</v>
      </c>
      <c r="Z192" s="3">
        <v>1182</v>
      </c>
      <c r="AA192" s="2" t="s">
        <v>4349</v>
      </c>
      <c r="AB192" s="1" t="s">
        <v>1552</v>
      </c>
      <c r="AC192" s="1" t="s">
        <v>1744</v>
      </c>
      <c r="AD192" s="1">
        <v>8</v>
      </c>
      <c r="AE192" s="1" t="s">
        <v>135</v>
      </c>
      <c r="AF192" s="1" t="s">
        <v>134</v>
      </c>
      <c r="AG192" s="1" t="s">
        <v>339</v>
      </c>
      <c r="AH192" s="1" t="s">
        <v>2531</v>
      </c>
      <c r="AI192" s="1"/>
      <c r="AJ192" s="1"/>
      <c r="AK192" s="1" t="s">
        <v>4507</v>
      </c>
      <c r="AL192" s="1"/>
      <c r="AM192" s="1"/>
      <c r="AN192" s="1"/>
      <c r="AO192" s="1">
        <v>3</v>
      </c>
      <c r="AP192" s="1">
        <v>2</v>
      </c>
      <c r="AQ192" s="1" t="s">
        <v>4507</v>
      </c>
    </row>
    <row r="193" spans="1:43" x14ac:dyDescent="0.15">
      <c r="A193" t="str">
        <f t="shared" si="41"/>
        <v>|AKH|緑|9|3/2|コモン|《[[頭巾の喧嘩屋]]》|</v>
      </c>
      <c r="B193" t="s">
        <v>3168</v>
      </c>
      <c r="C193" t="str">
        <f t="shared" si="43"/>
        <v>AKH</v>
      </c>
      <c r="D193">
        <f>IF(AA193="","",VLOOKUP(C193,tnpl!$Z$1:$AA$11,2,TRUE))</f>
        <v>10</v>
      </c>
      <c r="E193" t="s">
        <v>3168</v>
      </c>
      <c r="F193" t="str">
        <f t="shared" si="44"/>
        <v>緑</v>
      </c>
      <c r="G193">
        <f>IF(AB193="","",VLOOKUP(F193,tnpl!$X$1:$Y$16,2,TRUE))</f>
        <v>5</v>
      </c>
      <c r="H193" t="s">
        <v>3168</v>
      </c>
      <c r="I193">
        <f t="shared" si="45"/>
        <v>9</v>
      </c>
      <c r="J193" t="s">
        <v>3168</v>
      </c>
      <c r="K193">
        <f t="shared" si="46"/>
        <v>3</v>
      </c>
      <c r="L193">
        <f t="shared" si="47"/>
        <v>2</v>
      </c>
      <c r="M193" t="str">
        <f t="shared" si="42"/>
        <v>3/2</v>
      </c>
      <c r="N193" t="s">
        <v>3175</v>
      </c>
      <c r="O193" t="str">
        <f t="shared" si="48"/>
        <v>コモン</v>
      </c>
      <c r="R193" t="s">
        <v>3175</v>
      </c>
      <c r="S193" t="s">
        <v>4750</v>
      </c>
      <c r="T193" t="str">
        <f t="shared" si="49"/>
        <v>頭巾の喧嘩屋</v>
      </c>
      <c r="U193" t="str">
        <f t="shared" si="50"/>
        <v/>
      </c>
      <c r="V193" t="str">
        <f>IF(I193=0,VLOOKUP(TAG!T193,Sheet4!A:B,2,TRUE),"")</f>
        <v/>
      </c>
      <c r="W193" t="s">
        <v>4751</v>
      </c>
      <c r="X193" t="s">
        <v>3175</v>
      </c>
      <c r="Z193" s="3">
        <v>1205</v>
      </c>
      <c r="AA193" s="2" t="s">
        <v>4349</v>
      </c>
      <c r="AB193" s="1" t="s">
        <v>1518</v>
      </c>
      <c r="AC193" s="1" t="s">
        <v>1744</v>
      </c>
      <c r="AD193" s="1">
        <v>9</v>
      </c>
      <c r="AE193" s="1" t="s">
        <v>90</v>
      </c>
      <c r="AF193" s="1" t="s">
        <v>89</v>
      </c>
      <c r="AG193" s="1" t="s">
        <v>339</v>
      </c>
      <c r="AH193" s="1" t="s">
        <v>4410</v>
      </c>
      <c r="AI193" s="1" t="s">
        <v>1493</v>
      </c>
      <c r="AJ193" s="1"/>
      <c r="AK193" s="1" t="s">
        <v>4543</v>
      </c>
      <c r="AL193" s="1"/>
      <c r="AM193" s="1"/>
      <c r="AN193" s="1"/>
      <c r="AO193" s="1">
        <v>3</v>
      </c>
      <c r="AP193" s="1">
        <v>2</v>
      </c>
      <c r="AQ193" s="1" t="s">
        <v>4543</v>
      </c>
    </row>
    <row r="194" spans="1:43" x14ac:dyDescent="0.15">
      <c r="A194" t="str">
        <f>B194&amp;C194&amp;E194&amp;F194&amp;H194&amp;I194&amp;J194&amp;M194&amp;N194&amp;O194&amp;P194&amp;Q194&amp;R194&amp;S194&amp;T194&amp;V194&amp;W194&amp;X194&amp;Y194</f>
        <v/>
      </c>
    </row>
    <row r="195" spans="1:43" x14ac:dyDescent="0.15">
      <c r="A195" t="str">
        <f>B195&amp;C195&amp;E195&amp;F195&amp;H195&amp;I195&amp;J195&amp;M195&amp;N195&amp;O195&amp;P195&amp;Q195&amp;R195&amp;S195&amp;T195&amp;V195&amp;W195&amp;X195&amp;Y195</f>
        <v>**3/4クリーチャー</v>
      </c>
      <c r="B195" t="s">
        <v>4752</v>
      </c>
      <c r="C195">
        <f>K198</f>
        <v>3</v>
      </c>
      <c r="E195" t="s">
        <v>4816</v>
      </c>
      <c r="F195">
        <f>L198</f>
        <v>4</v>
      </c>
      <c r="I195" t="s">
        <v>339</v>
      </c>
      <c r="V195" t="str">
        <f>IF(I195=0,VLOOKUP(TAG!T195,Sheet4!A:B,2,TRUE),"")</f>
        <v/>
      </c>
    </row>
    <row r="196" spans="1:43" x14ac:dyDescent="0.15">
      <c r="A196" t="str">
        <f t="shared" ref="A196:A243" si="51">B196&amp;C196&amp;E196&amp;F196&amp;H196&amp;I196&amp;J196&amp;M196&amp;N196&amp;O196&amp;P196&amp;Q196&amp;R196&amp;S196&amp;T196&amp;U196&amp;V196&amp;W196&amp;X196&amp;Y196</f>
        <v>|LEFT:50|LEFT:50|LEFT:50|LEFT:120|LEFT:120|LEFT:500|c</v>
      </c>
      <c r="B196" t="s">
        <v>3168</v>
      </c>
      <c r="C196" t="s">
        <v>3162</v>
      </c>
      <c r="E196" t="s">
        <v>3168</v>
      </c>
      <c r="F196" t="s">
        <v>3162</v>
      </c>
      <c r="H196" t="s">
        <v>3168</v>
      </c>
      <c r="I196" t="s">
        <v>3162</v>
      </c>
      <c r="J196" t="s">
        <v>3168</v>
      </c>
      <c r="M196" t="s">
        <v>4808</v>
      </c>
      <c r="N196" t="s">
        <v>3175</v>
      </c>
      <c r="O196" t="s">
        <v>4808</v>
      </c>
      <c r="R196" t="s">
        <v>3175</v>
      </c>
      <c r="T196" t="s">
        <v>3163</v>
      </c>
      <c r="V196" t="str">
        <f>IF(I196=0,VLOOKUP(TAG!T196,Sheet4!A:B,2,TRUE),"")</f>
        <v/>
      </c>
      <c r="X196" t="s">
        <v>3175</v>
      </c>
      <c r="Y196" t="s">
        <v>3164</v>
      </c>
    </row>
    <row r="197" spans="1:43" x14ac:dyDescent="0.15">
      <c r="A197" t="str">
        <f t="shared" si="51"/>
        <v>|セット|色|コスト|P/T|レアリティ|カード名|</v>
      </c>
      <c r="B197" t="s">
        <v>3168</v>
      </c>
      <c r="C197" t="s">
        <v>3169</v>
      </c>
      <c r="E197" t="s">
        <v>3168</v>
      </c>
      <c r="F197" t="s">
        <v>3139</v>
      </c>
      <c r="H197" t="s">
        <v>3168</v>
      </c>
      <c r="I197" t="s">
        <v>3165</v>
      </c>
      <c r="J197" t="s">
        <v>3168</v>
      </c>
      <c r="K197" t="s">
        <v>3126</v>
      </c>
      <c r="L197" t="s">
        <v>3125</v>
      </c>
      <c r="M197" t="str">
        <f t="shared" ref="M197:M243" si="52">K197&amp;"/"&amp;L197</f>
        <v>P/T</v>
      </c>
      <c r="N197" t="s">
        <v>3175</v>
      </c>
      <c r="O197" t="s">
        <v>4809</v>
      </c>
      <c r="R197" t="s">
        <v>3175</v>
      </c>
      <c r="T197" t="s">
        <v>3166</v>
      </c>
      <c r="V197" t="str">
        <f>IF(I197=0,VLOOKUP(TAG!T197,Sheet4!A:B,2,TRUE),"")</f>
        <v/>
      </c>
      <c r="X197" t="s">
        <v>3175</v>
      </c>
      <c r="Z197" s="12"/>
      <c r="AA197" s="12"/>
      <c r="AB197" s="12"/>
      <c r="AC197" s="12"/>
      <c r="AD197" s="12"/>
      <c r="AE197" s="12"/>
      <c r="AF197" s="12"/>
      <c r="AG197" s="12"/>
      <c r="AH197" s="12"/>
      <c r="AI197" s="12"/>
      <c r="AJ197" s="12"/>
      <c r="AK197" s="12"/>
      <c r="AL197" s="12"/>
      <c r="AM197" s="12"/>
      <c r="AN197" s="12"/>
      <c r="AO197" s="12"/>
      <c r="AP197" s="12"/>
      <c r="AQ197" s="12"/>
    </row>
    <row r="198" spans="1:43" x14ac:dyDescent="0.15">
      <c r="A198" t="str">
        <f t="shared" si="51"/>
        <v>|ORI|白|10|3/4|アンコモン|《[[重歩兵]]》|</v>
      </c>
      <c r="B198" t="s">
        <v>3168</v>
      </c>
      <c r="C198" t="str">
        <f t="shared" ref="C198:C243" si="53">AA198</f>
        <v>ORI</v>
      </c>
      <c r="D198">
        <f>IF(AA198="","",VLOOKUP(C198,tnpl!$Z$1:$AA$11,2,TRUE))</f>
        <v>1</v>
      </c>
      <c r="E198" t="s">
        <v>3168</v>
      </c>
      <c r="F198" t="str">
        <f t="shared" ref="F198:F243" si="54">AB198</f>
        <v>白</v>
      </c>
      <c r="G198">
        <f>IF(AB198="","",VLOOKUP(F198,tnpl!$X$1:$Y$16,2,TRUE))</f>
        <v>1</v>
      </c>
      <c r="H198" t="s">
        <v>3168</v>
      </c>
      <c r="I198">
        <f t="shared" ref="I198:I243" si="55">AD198</f>
        <v>10</v>
      </c>
      <c r="J198" t="s">
        <v>3168</v>
      </c>
      <c r="K198">
        <f t="shared" ref="K198:K243" si="56">AO198</f>
        <v>3</v>
      </c>
      <c r="L198">
        <f t="shared" ref="L198:L243" si="57">AP198</f>
        <v>4</v>
      </c>
      <c r="M198" t="str">
        <f t="shared" si="52"/>
        <v>3/4</v>
      </c>
      <c r="N198" t="s">
        <v>3175</v>
      </c>
      <c r="O198" t="str">
        <f t="shared" ref="O198:O243" si="58">AC198</f>
        <v>アンコモン</v>
      </c>
      <c r="R198" t="s">
        <v>3175</v>
      </c>
      <c r="S198" t="s">
        <v>4750</v>
      </c>
      <c r="T198" t="str">
        <f t="shared" ref="T198:T243" si="59">AE198</f>
        <v>重歩兵</v>
      </c>
      <c r="U198" t="str">
        <f t="shared" ref="U198:U243" si="60">IF(I198=0,"&gt;","")</f>
        <v/>
      </c>
      <c r="V198" t="str">
        <f>IF(I198=0,VLOOKUP(TAG!T198,Sheet4!A:B,2,TRUE),"")</f>
        <v/>
      </c>
      <c r="W198" t="s">
        <v>4751</v>
      </c>
      <c r="X198" t="s">
        <v>3175</v>
      </c>
      <c r="Z198" s="3">
        <v>20</v>
      </c>
      <c r="AA198" s="2" t="s">
        <v>3176</v>
      </c>
      <c r="AB198" s="1" t="s">
        <v>1627</v>
      </c>
      <c r="AC198" s="1" t="s">
        <v>1451</v>
      </c>
      <c r="AD198" s="1">
        <v>10</v>
      </c>
      <c r="AE198" s="1" t="s">
        <v>3069</v>
      </c>
      <c r="AF198" s="1" t="s">
        <v>3068</v>
      </c>
      <c r="AG198" s="1" t="s">
        <v>339</v>
      </c>
      <c r="AH198" s="1" t="s">
        <v>1489</v>
      </c>
      <c r="AI198" s="1" t="s">
        <v>1799</v>
      </c>
      <c r="AJ198" s="1"/>
      <c r="AK198" s="1" t="s">
        <v>2595</v>
      </c>
      <c r="AL198" s="1"/>
      <c r="AM198" s="1"/>
      <c r="AN198" s="1"/>
      <c r="AO198" s="1">
        <v>3</v>
      </c>
      <c r="AP198" s="1">
        <v>4</v>
      </c>
      <c r="AQ198" s="1" t="s">
        <v>2595</v>
      </c>
    </row>
    <row r="199" spans="1:43" x14ac:dyDescent="0.15">
      <c r="A199" t="str">
        <f t="shared" si="51"/>
        <v>|ORI|青|9|3/4|アンコモン|《[[屑肌のドレイク]]》|</v>
      </c>
      <c r="B199" t="s">
        <v>3168</v>
      </c>
      <c r="C199" t="str">
        <f t="shared" si="53"/>
        <v>ORI</v>
      </c>
      <c r="D199">
        <f>IF(AA199="","",VLOOKUP(C199,tnpl!$Z$1:$AA$11,2,TRUE))</f>
        <v>1</v>
      </c>
      <c r="E199" t="s">
        <v>3168</v>
      </c>
      <c r="F199" t="str">
        <f t="shared" si="54"/>
        <v>青</v>
      </c>
      <c r="G199">
        <f>IF(AB199="","",VLOOKUP(F199,tnpl!$X$1:$Y$16,2,TRUE))</f>
        <v>2</v>
      </c>
      <c r="H199" t="s">
        <v>3168</v>
      </c>
      <c r="I199">
        <f t="shared" si="55"/>
        <v>9</v>
      </c>
      <c r="J199" t="s">
        <v>3168</v>
      </c>
      <c r="K199">
        <f t="shared" si="56"/>
        <v>3</v>
      </c>
      <c r="L199">
        <f t="shared" si="57"/>
        <v>4</v>
      </c>
      <c r="M199" t="str">
        <f t="shared" si="52"/>
        <v>3/4</v>
      </c>
      <c r="N199" t="s">
        <v>3175</v>
      </c>
      <c r="O199" t="str">
        <f t="shared" si="58"/>
        <v>アンコモン</v>
      </c>
      <c r="R199" t="s">
        <v>3175</v>
      </c>
      <c r="S199" t="s">
        <v>4750</v>
      </c>
      <c r="T199" t="str">
        <f t="shared" si="59"/>
        <v>屑肌のドレイク</v>
      </c>
      <c r="U199" t="str">
        <f t="shared" si="60"/>
        <v/>
      </c>
      <c r="V199" t="str">
        <f>IF(I199=0,VLOOKUP(TAG!T199,Sheet4!A:B,2,TRUE),"")</f>
        <v/>
      </c>
      <c r="W199" t="s">
        <v>4751</v>
      </c>
      <c r="X199" t="s">
        <v>3175</v>
      </c>
      <c r="Z199" s="3">
        <v>59</v>
      </c>
      <c r="AA199" s="2" t="s">
        <v>3176</v>
      </c>
      <c r="AB199" s="1" t="s">
        <v>1606</v>
      </c>
      <c r="AC199" s="1" t="s">
        <v>1451</v>
      </c>
      <c r="AD199" s="1">
        <v>9</v>
      </c>
      <c r="AE199" s="1" t="s">
        <v>2947</v>
      </c>
      <c r="AF199" s="1" t="s">
        <v>2946</v>
      </c>
      <c r="AG199" s="1" t="s">
        <v>339</v>
      </c>
      <c r="AH199" s="1" t="s">
        <v>1484</v>
      </c>
      <c r="AI199" s="1" t="s">
        <v>2515</v>
      </c>
      <c r="AJ199" s="1"/>
      <c r="AK199" s="1" t="s">
        <v>3208</v>
      </c>
      <c r="AL199" s="1"/>
      <c r="AM199" s="1"/>
      <c r="AN199" s="1"/>
      <c r="AO199" s="1">
        <v>3</v>
      </c>
      <c r="AP199" s="1">
        <v>4</v>
      </c>
      <c r="AQ199" s="1" t="s">
        <v>3208</v>
      </c>
    </row>
    <row r="200" spans="1:43" x14ac:dyDescent="0.15">
      <c r="A200" t="str">
        <f t="shared" si="51"/>
        <v>|ORI|黒|15|3/4|アンコモン|《[[黄泉からの帰還者]]》|</v>
      </c>
      <c r="B200" t="s">
        <v>3168</v>
      </c>
      <c r="C200" t="str">
        <f t="shared" si="53"/>
        <v>ORI</v>
      </c>
      <c r="D200">
        <f>IF(AA200="","",VLOOKUP(C200,tnpl!$Z$1:$AA$11,2,TRUE))</f>
        <v>1</v>
      </c>
      <c r="E200" t="s">
        <v>3168</v>
      </c>
      <c r="F200" t="str">
        <f t="shared" si="54"/>
        <v>黒</v>
      </c>
      <c r="G200">
        <f>IF(AB200="","",VLOOKUP(F200,tnpl!$X$1:$Y$16,2,TRUE))</f>
        <v>3</v>
      </c>
      <c r="H200" t="s">
        <v>3168</v>
      </c>
      <c r="I200">
        <f t="shared" si="55"/>
        <v>15</v>
      </c>
      <c r="J200" t="s">
        <v>3168</v>
      </c>
      <c r="K200">
        <f t="shared" si="56"/>
        <v>3</v>
      </c>
      <c r="L200">
        <f t="shared" si="57"/>
        <v>4</v>
      </c>
      <c r="M200" t="str">
        <f t="shared" si="52"/>
        <v>3/4</v>
      </c>
      <c r="N200" t="s">
        <v>3175</v>
      </c>
      <c r="O200" t="str">
        <f t="shared" si="58"/>
        <v>アンコモン</v>
      </c>
      <c r="R200" t="s">
        <v>3175</v>
      </c>
      <c r="S200" t="s">
        <v>4750</v>
      </c>
      <c r="T200" t="str">
        <f t="shared" si="59"/>
        <v>黄泉からの帰還者</v>
      </c>
      <c r="U200" t="str">
        <f t="shared" si="60"/>
        <v/>
      </c>
      <c r="V200" t="str">
        <f>IF(I200=0,VLOOKUP(TAG!T200,Sheet4!A:B,2,TRUE),"")</f>
        <v/>
      </c>
      <c r="W200" t="s">
        <v>4751</v>
      </c>
      <c r="X200" t="s">
        <v>3175</v>
      </c>
      <c r="Z200" s="3">
        <v>102</v>
      </c>
      <c r="AA200" s="2" t="s">
        <v>3176</v>
      </c>
      <c r="AB200" s="1" t="s">
        <v>1582</v>
      </c>
      <c r="AC200" s="1" t="s">
        <v>1451</v>
      </c>
      <c r="AD200" s="1">
        <v>15</v>
      </c>
      <c r="AE200" s="1" t="s">
        <v>2827</v>
      </c>
      <c r="AF200" s="1" t="s">
        <v>2826</v>
      </c>
      <c r="AG200" s="1" t="s">
        <v>339</v>
      </c>
      <c r="AH200" s="1" t="s">
        <v>2407</v>
      </c>
      <c r="AI200" s="1"/>
      <c r="AJ200" s="1"/>
      <c r="AK200" s="1" t="s">
        <v>2825</v>
      </c>
      <c r="AL200" s="1"/>
      <c r="AM200" s="1"/>
      <c r="AN200" s="1"/>
      <c r="AO200" s="1">
        <v>3</v>
      </c>
      <c r="AP200" s="1">
        <v>4</v>
      </c>
      <c r="AQ200" s="1" t="s">
        <v>2825</v>
      </c>
    </row>
    <row r="201" spans="1:43" x14ac:dyDescent="0.15">
      <c r="A201" t="str">
        <f t="shared" si="51"/>
        <v>|ORI|緑|11|3/4|アンコモン|《[[巨森を喰らうもの]]》|</v>
      </c>
      <c r="B201" t="s">
        <v>3168</v>
      </c>
      <c r="C201" t="str">
        <f t="shared" si="53"/>
        <v>ORI</v>
      </c>
      <c r="D201">
        <f>IF(AA201="","",VLOOKUP(C201,tnpl!$Z$1:$AA$11,2,TRUE))</f>
        <v>1</v>
      </c>
      <c r="E201" t="s">
        <v>3168</v>
      </c>
      <c r="F201" t="str">
        <f t="shared" si="54"/>
        <v>緑</v>
      </c>
      <c r="G201">
        <f>IF(AB201="","",VLOOKUP(F201,tnpl!$X$1:$Y$16,2,TRUE))</f>
        <v>5</v>
      </c>
      <c r="H201" t="s">
        <v>3168</v>
      </c>
      <c r="I201">
        <f t="shared" si="55"/>
        <v>11</v>
      </c>
      <c r="J201" t="s">
        <v>3168</v>
      </c>
      <c r="K201">
        <f t="shared" si="56"/>
        <v>3</v>
      </c>
      <c r="L201">
        <f t="shared" si="57"/>
        <v>4</v>
      </c>
      <c r="M201" t="str">
        <f t="shared" si="52"/>
        <v>3/4</v>
      </c>
      <c r="N201" t="s">
        <v>3175</v>
      </c>
      <c r="O201" t="str">
        <f t="shared" si="58"/>
        <v>アンコモン</v>
      </c>
      <c r="R201" t="s">
        <v>3175</v>
      </c>
      <c r="S201" t="s">
        <v>4750</v>
      </c>
      <c r="T201" t="str">
        <f t="shared" si="59"/>
        <v>巨森を喰らうもの</v>
      </c>
      <c r="U201" t="str">
        <f t="shared" si="60"/>
        <v/>
      </c>
      <c r="V201" t="str">
        <f>IF(I201=0,VLOOKUP(TAG!T201,Sheet4!A:B,2,TRUE),"")</f>
        <v/>
      </c>
      <c r="W201" t="s">
        <v>4751</v>
      </c>
      <c r="X201" t="s">
        <v>3175</v>
      </c>
      <c r="Z201" s="3">
        <v>184</v>
      </c>
      <c r="AA201" s="2" t="s">
        <v>3176</v>
      </c>
      <c r="AB201" s="1" t="s">
        <v>1518</v>
      </c>
      <c r="AC201" s="1" t="s">
        <v>1451</v>
      </c>
      <c r="AD201" s="1">
        <v>11</v>
      </c>
      <c r="AE201" s="1" t="s">
        <v>2597</v>
      </c>
      <c r="AF201" s="1" t="s">
        <v>2596</v>
      </c>
      <c r="AG201" s="1" t="s">
        <v>339</v>
      </c>
      <c r="AH201" s="1" t="s">
        <v>338</v>
      </c>
      <c r="AI201" s="1"/>
      <c r="AJ201" s="1"/>
      <c r="AK201" s="1" t="s">
        <v>2595</v>
      </c>
      <c r="AL201" s="1"/>
      <c r="AM201" s="1"/>
      <c r="AN201" s="1"/>
      <c r="AO201" s="1">
        <v>3</v>
      </c>
      <c r="AP201" s="1">
        <v>4</v>
      </c>
      <c r="AQ201" s="1" t="s">
        <v>2595</v>
      </c>
    </row>
    <row r="202" spans="1:43" x14ac:dyDescent="0.15">
      <c r="A202" t="str">
        <f t="shared" si="51"/>
        <v>|ORI|緑白|16|3/4|アンコモン|《[[城塞の主]]》|</v>
      </c>
      <c r="B202" t="s">
        <v>3168</v>
      </c>
      <c r="C202" t="str">
        <f t="shared" si="53"/>
        <v>ORI</v>
      </c>
      <c r="D202">
        <f>IF(AA202="","",VLOOKUP(C202,tnpl!$Z$1:$AA$11,2,TRUE))</f>
        <v>1</v>
      </c>
      <c r="E202" t="s">
        <v>3168</v>
      </c>
      <c r="F202" t="str">
        <f t="shared" si="54"/>
        <v>緑白</v>
      </c>
      <c r="G202">
        <f>IF(AB202="","",VLOOKUP(F202,tnpl!$X$1:$Y$16,2,TRUE))</f>
        <v>10</v>
      </c>
      <c r="H202" t="s">
        <v>3168</v>
      </c>
      <c r="I202">
        <f t="shared" si="55"/>
        <v>16</v>
      </c>
      <c r="J202" t="s">
        <v>3168</v>
      </c>
      <c r="K202">
        <f t="shared" si="56"/>
        <v>3</v>
      </c>
      <c r="L202">
        <f t="shared" si="57"/>
        <v>4</v>
      </c>
      <c r="M202" t="str">
        <f t="shared" si="52"/>
        <v>3/4</v>
      </c>
      <c r="N202" t="s">
        <v>3175</v>
      </c>
      <c r="O202" t="str">
        <f t="shared" si="58"/>
        <v>アンコモン</v>
      </c>
      <c r="R202" t="s">
        <v>3175</v>
      </c>
      <c r="S202" t="s">
        <v>4750</v>
      </c>
      <c r="T202" t="str">
        <f t="shared" si="59"/>
        <v>城塞の主</v>
      </c>
      <c r="U202" t="str">
        <f t="shared" si="60"/>
        <v/>
      </c>
      <c r="V202" t="str">
        <f>IF(I202=0,VLOOKUP(TAG!T202,Sheet4!A:B,2,TRUE),"")</f>
        <v/>
      </c>
      <c r="W202" t="s">
        <v>4751</v>
      </c>
      <c r="X202" t="s">
        <v>3175</v>
      </c>
      <c r="Z202" s="3">
        <v>207</v>
      </c>
      <c r="AA202" s="2" t="s">
        <v>3176</v>
      </c>
      <c r="AB202" s="1" t="s">
        <v>1802</v>
      </c>
      <c r="AC202" s="1" t="s">
        <v>1451</v>
      </c>
      <c r="AD202" s="1">
        <v>16</v>
      </c>
      <c r="AE202" s="1" t="s">
        <v>2529</v>
      </c>
      <c r="AF202" s="1" t="s">
        <v>2528</v>
      </c>
      <c r="AG202" s="1" t="s">
        <v>339</v>
      </c>
      <c r="AH202" s="1" t="s">
        <v>1489</v>
      </c>
      <c r="AI202" s="1" t="s">
        <v>1533</v>
      </c>
      <c r="AJ202" s="1"/>
      <c r="AK202" s="1" t="s">
        <v>3290</v>
      </c>
      <c r="AL202" s="1"/>
      <c r="AM202" s="1"/>
      <c r="AN202" s="1"/>
      <c r="AO202" s="1">
        <v>3</v>
      </c>
      <c r="AP202" s="1">
        <v>4</v>
      </c>
      <c r="AQ202" s="1" t="s">
        <v>3290</v>
      </c>
    </row>
    <row r="203" spans="1:43" x14ac:dyDescent="0.15">
      <c r="A203" t="str">
        <f t="shared" si="51"/>
        <v>|ORI|青赤|11|3/4|アンコモン|《[[隠棲した工匠]]》|</v>
      </c>
      <c r="B203" t="s">
        <v>3168</v>
      </c>
      <c r="C203" t="str">
        <f t="shared" si="53"/>
        <v>ORI</v>
      </c>
      <c r="D203">
        <f>IF(AA203="","",VLOOKUP(C203,tnpl!$Z$1:$AA$11,2,TRUE))</f>
        <v>1</v>
      </c>
      <c r="E203" t="s">
        <v>3168</v>
      </c>
      <c r="F203" t="str">
        <f t="shared" si="54"/>
        <v>青赤</v>
      </c>
      <c r="G203">
        <f>IF(AB203="","",VLOOKUP(F203,tnpl!$X$1:$Y$16,2,TRUE))</f>
        <v>12</v>
      </c>
      <c r="H203" t="s">
        <v>3168</v>
      </c>
      <c r="I203">
        <f t="shared" si="55"/>
        <v>11</v>
      </c>
      <c r="J203" t="s">
        <v>3168</v>
      </c>
      <c r="K203">
        <f t="shared" si="56"/>
        <v>3</v>
      </c>
      <c r="L203">
        <f t="shared" si="57"/>
        <v>4</v>
      </c>
      <c r="M203" t="str">
        <f t="shared" si="52"/>
        <v>3/4</v>
      </c>
      <c r="N203" t="s">
        <v>3175</v>
      </c>
      <c r="O203" t="str">
        <f t="shared" si="58"/>
        <v>アンコモン</v>
      </c>
      <c r="R203" t="s">
        <v>3175</v>
      </c>
      <c r="S203" t="s">
        <v>4750</v>
      </c>
      <c r="T203" t="str">
        <f t="shared" si="59"/>
        <v>隠棲した工匠</v>
      </c>
      <c r="U203" t="str">
        <f t="shared" si="60"/>
        <v/>
      </c>
      <c r="V203" t="str">
        <f>IF(I203=0,VLOOKUP(TAG!T203,Sheet4!A:B,2,TRUE),"")</f>
        <v/>
      </c>
      <c r="W203" t="s">
        <v>4751</v>
      </c>
      <c r="X203" t="s">
        <v>3175</v>
      </c>
      <c r="Z203" s="3">
        <v>210</v>
      </c>
      <c r="AA203" s="2" t="s">
        <v>3176</v>
      </c>
      <c r="AB203" s="1" t="s">
        <v>1467</v>
      </c>
      <c r="AC203" s="1" t="s">
        <v>1451</v>
      </c>
      <c r="AD203" s="1">
        <v>11</v>
      </c>
      <c r="AE203" s="1" t="s">
        <v>2523</v>
      </c>
      <c r="AF203" s="1" t="s">
        <v>2522</v>
      </c>
      <c r="AG203" s="1" t="s">
        <v>339</v>
      </c>
      <c r="AH203" s="1" t="s">
        <v>1489</v>
      </c>
      <c r="AI203" s="1" t="s">
        <v>1641</v>
      </c>
      <c r="AJ203" s="1"/>
      <c r="AK203" s="1" t="s">
        <v>2521</v>
      </c>
      <c r="AL203" s="1"/>
      <c r="AM203" s="1"/>
      <c r="AN203" s="1"/>
      <c r="AO203" s="1">
        <v>3</v>
      </c>
      <c r="AP203" s="1">
        <v>4</v>
      </c>
      <c r="AQ203" s="1" t="s">
        <v>2521</v>
      </c>
    </row>
    <row r="204" spans="1:43" x14ac:dyDescent="0.15">
      <c r="A204" t="str">
        <f t="shared" si="51"/>
        <v>|ORI|白青|12|3/4|アンコモン|《[[雷鳴のワイヴァーン]]》|</v>
      </c>
      <c r="B204" t="s">
        <v>3168</v>
      </c>
      <c r="C204" t="str">
        <f t="shared" si="53"/>
        <v>ORI</v>
      </c>
      <c r="D204">
        <f>IF(AA204="","",VLOOKUP(C204,tnpl!$Z$1:$AA$11,2,TRUE))</f>
        <v>1</v>
      </c>
      <c r="E204" t="s">
        <v>3168</v>
      </c>
      <c r="F204" t="str">
        <f t="shared" si="54"/>
        <v>白青</v>
      </c>
      <c r="G204">
        <f>IF(AB204="","",VLOOKUP(F204,tnpl!$X$1:$Y$16,2,TRUE))</f>
        <v>6</v>
      </c>
      <c r="H204" t="s">
        <v>3168</v>
      </c>
      <c r="I204">
        <f t="shared" si="55"/>
        <v>12</v>
      </c>
      <c r="J204" t="s">
        <v>3168</v>
      </c>
      <c r="K204">
        <f t="shared" si="56"/>
        <v>3</v>
      </c>
      <c r="L204">
        <f t="shared" si="57"/>
        <v>4</v>
      </c>
      <c r="M204" t="str">
        <f t="shared" si="52"/>
        <v>3/4</v>
      </c>
      <c r="N204" t="s">
        <v>3175</v>
      </c>
      <c r="O204" t="str">
        <f t="shared" si="58"/>
        <v>アンコモン</v>
      </c>
      <c r="R204" t="s">
        <v>3175</v>
      </c>
      <c r="S204" t="s">
        <v>4750</v>
      </c>
      <c r="T204" t="str">
        <f t="shared" si="59"/>
        <v>雷鳴のワイヴァーン</v>
      </c>
      <c r="U204" t="str">
        <f t="shared" si="60"/>
        <v/>
      </c>
      <c r="V204" t="str">
        <f>IF(I204=0,VLOOKUP(TAG!T204,Sheet4!A:B,2,TRUE),"")</f>
        <v/>
      </c>
      <c r="W204" t="s">
        <v>4751</v>
      </c>
      <c r="X204" t="s">
        <v>3175</v>
      </c>
      <c r="Z204" s="3">
        <v>212</v>
      </c>
      <c r="AA204" s="2" t="s">
        <v>3176</v>
      </c>
      <c r="AB204" s="1" t="s">
        <v>1512</v>
      </c>
      <c r="AC204" s="1" t="s">
        <v>1451</v>
      </c>
      <c r="AD204" s="1">
        <v>12</v>
      </c>
      <c r="AE204" s="1" t="s">
        <v>2517</v>
      </c>
      <c r="AF204" s="1" t="s">
        <v>2516</v>
      </c>
      <c r="AG204" s="1" t="s">
        <v>339</v>
      </c>
      <c r="AH204" s="1" t="s">
        <v>2515</v>
      </c>
      <c r="AI204" s="1"/>
      <c r="AJ204" s="1"/>
      <c r="AK204" s="1" t="s">
        <v>351</v>
      </c>
      <c r="AL204" s="1" t="s">
        <v>3292</v>
      </c>
      <c r="AM204" s="1"/>
      <c r="AN204" s="1"/>
      <c r="AO204" s="1">
        <v>3</v>
      </c>
      <c r="AP204" s="1">
        <v>4</v>
      </c>
      <c r="AQ204" s="1" t="s">
        <v>3293</v>
      </c>
    </row>
    <row r="205" spans="1:43" x14ac:dyDescent="0.15">
      <c r="A205" t="str">
        <f t="shared" si="51"/>
        <v>|ORI|無色|11|3/4|アンコモン|《[[鋳造所の隊長]]》|</v>
      </c>
      <c r="B205" t="s">
        <v>3168</v>
      </c>
      <c r="C205" t="str">
        <f t="shared" si="53"/>
        <v>ORI</v>
      </c>
      <c r="D205">
        <f>IF(AA205="","",VLOOKUP(C205,tnpl!$Z$1:$AA$11,2,TRUE))</f>
        <v>1</v>
      </c>
      <c r="E205" t="s">
        <v>3168</v>
      </c>
      <c r="F205" t="str">
        <f t="shared" si="54"/>
        <v>無色</v>
      </c>
      <c r="G205">
        <f>IF(AB205="","",VLOOKUP(F205,tnpl!$X$1:$Y$16,2,TRUE))</f>
        <v>16</v>
      </c>
      <c r="H205" t="s">
        <v>3168</v>
      </c>
      <c r="I205">
        <f t="shared" si="55"/>
        <v>11</v>
      </c>
      <c r="J205" t="s">
        <v>3168</v>
      </c>
      <c r="K205">
        <f t="shared" si="56"/>
        <v>3</v>
      </c>
      <c r="L205">
        <f t="shared" si="57"/>
        <v>4</v>
      </c>
      <c r="M205" t="str">
        <f t="shared" si="52"/>
        <v>3/4</v>
      </c>
      <c r="N205" t="s">
        <v>3175</v>
      </c>
      <c r="O205" t="str">
        <f t="shared" si="58"/>
        <v>アンコモン</v>
      </c>
      <c r="R205" t="s">
        <v>3175</v>
      </c>
      <c r="S205" t="s">
        <v>4750</v>
      </c>
      <c r="T205" t="str">
        <f t="shared" si="59"/>
        <v>鋳造所の隊長</v>
      </c>
      <c r="U205" t="str">
        <f t="shared" si="60"/>
        <v/>
      </c>
      <c r="V205" t="str">
        <f>IF(I205=0,VLOOKUP(TAG!T205,Sheet4!A:B,2,TRUE),"")</f>
        <v/>
      </c>
      <c r="W205" t="s">
        <v>4751</v>
      </c>
      <c r="X205" t="s">
        <v>3175</v>
      </c>
      <c r="Z205" s="3">
        <v>227</v>
      </c>
      <c r="AA205" s="2" t="s">
        <v>3176</v>
      </c>
      <c r="AB205" s="1" t="s">
        <v>292</v>
      </c>
      <c r="AC205" s="1" t="s">
        <v>1451</v>
      </c>
      <c r="AD205" s="1">
        <v>11</v>
      </c>
      <c r="AE205" s="1" t="s">
        <v>2477</v>
      </c>
      <c r="AF205" s="1" t="s">
        <v>2476</v>
      </c>
      <c r="AG205" s="1" t="s">
        <v>339</v>
      </c>
      <c r="AH205" s="1" t="s">
        <v>352</v>
      </c>
      <c r="AI205" s="1"/>
      <c r="AJ205" s="1"/>
      <c r="AK205" s="1" t="s">
        <v>2475</v>
      </c>
      <c r="AL205" s="1"/>
      <c r="AM205" s="1"/>
      <c r="AN205" s="1"/>
      <c r="AO205" s="1">
        <v>3</v>
      </c>
      <c r="AP205" s="1">
        <v>4</v>
      </c>
      <c r="AQ205" s="1" t="s">
        <v>2475</v>
      </c>
    </row>
    <row r="206" spans="1:43" x14ac:dyDescent="0.15">
      <c r="A206" t="str">
        <f t="shared" si="51"/>
        <v>|ORI|無色|12|3/4|アンコモン|《[[破衝車]]》|</v>
      </c>
      <c r="B206" t="s">
        <v>3168</v>
      </c>
      <c r="C206" t="str">
        <f t="shared" si="53"/>
        <v>ORI</v>
      </c>
      <c r="D206">
        <f>IF(AA206="","",VLOOKUP(C206,tnpl!$Z$1:$AA$11,2,TRUE))</f>
        <v>1</v>
      </c>
      <c r="E206" t="s">
        <v>3168</v>
      </c>
      <c r="F206" t="str">
        <f t="shared" si="54"/>
        <v>無色</v>
      </c>
      <c r="G206">
        <f>IF(AB206="","",VLOOKUP(F206,tnpl!$X$1:$Y$16,2,TRUE))</f>
        <v>16</v>
      </c>
      <c r="H206" t="s">
        <v>3168</v>
      </c>
      <c r="I206">
        <f t="shared" si="55"/>
        <v>12</v>
      </c>
      <c r="J206" t="s">
        <v>3168</v>
      </c>
      <c r="K206">
        <f t="shared" si="56"/>
        <v>3</v>
      </c>
      <c r="L206">
        <f t="shared" si="57"/>
        <v>4</v>
      </c>
      <c r="M206" t="str">
        <f t="shared" si="52"/>
        <v>3/4</v>
      </c>
      <c r="N206" t="s">
        <v>3175</v>
      </c>
      <c r="O206" t="str">
        <f t="shared" si="58"/>
        <v>アンコモン</v>
      </c>
      <c r="R206" t="s">
        <v>3175</v>
      </c>
      <c r="S206" t="s">
        <v>4750</v>
      </c>
      <c r="T206" t="str">
        <f t="shared" si="59"/>
        <v>破衝車</v>
      </c>
      <c r="U206" t="str">
        <f t="shared" si="60"/>
        <v/>
      </c>
      <c r="V206" t="str">
        <f>IF(I206=0,VLOOKUP(TAG!T206,Sheet4!A:B,2,TRUE),"")</f>
        <v/>
      </c>
      <c r="W206" t="s">
        <v>4751</v>
      </c>
      <c r="X206" t="s">
        <v>3175</v>
      </c>
      <c r="Z206" s="3">
        <v>229</v>
      </c>
      <c r="AA206" s="2" t="s">
        <v>3176</v>
      </c>
      <c r="AB206" s="1" t="s">
        <v>292</v>
      </c>
      <c r="AC206" s="1" t="s">
        <v>1451</v>
      </c>
      <c r="AD206" s="1">
        <v>12</v>
      </c>
      <c r="AE206" s="1" t="s">
        <v>2471</v>
      </c>
      <c r="AF206" s="1" t="s">
        <v>2470</v>
      </c>
      <c r="AG206" s="1" t="s">
        <v>339</v>
      </c>
      <c r="AH206" s="1" t="s">
        <v>2469</v>
      </c>
      <c r="AI206" s="1"/>
      <c r="AJ206" s="1"/>
      <c r="AK206" s="1" t="s">
        <v>2468</v>
      </c>
      <c r="AL206" s="1"/>
      <c r="AM206" s="1"/>
      <c r="AN206" s="1"/>
      <c r="AO206" s="1">
        <v>3</v>
      </c>
      <c r="AP206" s="1">
        <v>4</v>
      </c>
      <c r="AQ206" s="1" t="s">
        <v>2468</v>
      </c>
    </row>
    <row r="207" spans="1:43" x14ac:dyDescent="0.15">
      <c r="A207" t="str">
        <f t="shared" si="51"/>
        <v>|BFZ|白|9|3/4|アンコモン|《[[コーの絡め捕り]]》|</v>
      </c>
      <c r="B207" t="s">
        <v>3168</v>
      </c>
      <c r="C207" t="str">
        <f t="shared" si="53"/>
        <v>BFZ</v>
      </c>
      <c r="D207">
        <f>IF(AA207="","",VLOOKUP(C207,tnpl!$Z$1:$AA$11,2,TRUE))</f>
        <v>2</v>
      </c>
      <c r="E207" t="s">
        <v>3168</v>
      </c>
      <c r="F207" t="str">
        <f t="shared" si="54"/>
        <v>白</v>
      </c>
      <c r="G207">
        <f>IF(AB207="","",VLOOKUP(F207,tnpl!$X$1:$Y$16,2,TRUE))</f>
        <v>1</v>
      </c>
      <c r="H207" t="s">
        <v>3168</v>
      </c>
      <c r="I207">
        <f t="shared" si="55"/>
        <v>9</v>
      </c>
      <c r="J207" t="s">
        <v>3168</v>
      </c>
      <c r="K207">
        <f t="shared" si="56"/>
        <v>3</v>
      </c>
      <c r="L207">
        <f t="shared" si="57"/>
        <v>4</v>
      </c>
      <c r="M207" t="str">
        <f t="shared" si="52"/>
        <v>3/4</v>
      </c>
      <c r="N207" t="s">
        <v>3175</v>
      </c>
      <c r="O207" t="str">
        <f t="shared" si="58"/>
        <v>アンコモン</v>
      </c>
      <c r="R207" t="s">
        <v>3175</v>
      </c>
      <c r="S207" t="s">
        <v>4750</v>
      </c>
      <c r="T207" t="str">
        <f t="shared" si="59"/>
        <v>コーの絡め捕り</v>
      </c>
      <c r="U207" t="str">
        <f t="shared" si="60"/>
        <v/>
      </c>
      <c r="V207" t="str">
        <f>IF(I207=0,VLOOKUP(TAG!T207,Sheet4!A:B,2,TRUE),"")</f>
        <v/>
      </c>
      <c r="W207" t="s">
        <v>4751</v>
      </c>
      <c r="X207" t="s">
        <v>3175</v>
      </c>
      <c r="Z207" s="3">
        <v>267</v>
      </c>
      <c r="AA207" s="2" t="s">
        <v>3170</v>
      </c>
      <c r="AB207" s="1" t="s">
        <v>1627</v>
      </c>
      <c r="AC207" s="1" t="s">
        <v>1451</v>
      </c>
      <c r="AD207" s="1">
        <v>9</v>
      </c>
      <c r="AE207" s="1" t="s">
        <v>2357</v>
      </c>
      <c r="AF207" s="1" t="s">
        <v>2356</v>
      </c>
      <c r="AG207" s="1" t="s">
        <v>339</v>
      </c>
      <c r="AH207" s="1" t="s">
        <v>1471</v>
      </c>
      <c r="AI207" s="1" t="s">
        <v>1799</v>
      </c>
      <c r="AJ207" s="1" t="s">
        <v>1478</v>
      </c>
      <c r="AK207" s="1" t="s">
        <v>2355</v>
      </c>
      <c r="AL207" s="1"/>
      <c r="AM207" s="1"/>
      <c r="AN207" s="1"/>
      <c r="AO207" s="1">
        <v>3</v>
      </c>
      <c r="AP207" s="1">
        <v>4</v>
      </c>
      <c r="AQ207" s="1" t="s">
        <v>2355</v>
      </c>
    </row>
    <row r="208" spans="1:43" x14ac:dyDescent="0.15">
      <c r="A208" t="str">
        <f t="shared" si="51"/>
        <v>|BFZ|青|17|3/4|アンコモン|《[[ハリマーの潮呼び]]》|</v>
      </c>
      <c r="B208" t="s">
        <v>3168</v>
      </c>
      <c r="C208" t="str">
        <f t="shared" si="53"/>
        <v>BFZ</v>
      </c>
      <c r="D208">
        <f>IF(AA208="","",VLOOKUP(C208,tnpl!$Z$1:$AA$11,2,TRUE))</f>
        <v>2</v>
      </c>
      <c r="E208" t="s">
        <v>3168</v>
      </c>
      <c r="F208" t="str">
        <f t="shared" si="54"/>
        <v>青</v>
      </c>
      <c r="G208">
        <f>IF(AB208="","",VLOOKUP(F208,tnpl!$X$1:$Y$16,2,TRUE))</f>
        <v>2</v>
      </c>
      <c r="H208" t="s">
        <v>3168</v>
      </c>
      <c r="I208">
        <f t="shared" si="55"/>
        <v>17</v>
      </c>
      <c r="J208" t="s">
        <v>3168</v>
      </c>
      <c r="K208">
        <f t="shared" si="56"/>
        <v>3</v>
      </c>
      <c r="L208">
        <f t="shared" si="57"/>
        <v>4</v>
      </c>
      <c r="M208" t="str">
        <f t="shared" si="52"/>
        <v>3/4</v>
      </c>
      <c r="N208" t="s">
        <v>3175</v>
      </c>
      <c r="O208" t="str">
        <f t="shared" si="58"/>
        <v>アンコモン</v>
      </c>
      <c r="R208" t="s">
        <v>3175</v>
      </c>
      <c r="S208" t="s">
        <v>4750</v>
      </c>
      <c r="T208" t="str">
        <f t="shared" si="59"/>
        <v>ハリマーの潮呼び</v>
      </c>
      <c r="U208" t="str">
        <f t="shared" si="60"/>
        <v/>
      </c>
      <c r="V208" t="str">
        <f>IF(I208=0,VLOOKUP(TAG!T208,Sheet4!A:B,2,TRUE),"")</f>
        <v/>
      </c>
      <c r="W208" t="s">
        <v>4751</v>
      </c>
      <c r="X208" t="s">
        <v>3175</v>
      </c>
      <c r="Z208" s="3">
        <v>300</v>
      </c>
      <c r="AA208" s="2" t="s">
        <v>3170</v>
      </c>
      <c r="AB208" s="1" t="s">
        <v>1606</v>
      </c>
      <c r="AC208" s="1" t="s">
        <v>1451</v>
      </c>
      <c r="AD208" s="1">
        <v>17</v>
      </c>
      <c r="AE208" s="1" t="s">
        <v>2252</v>
      </c>
      <c r="AF208" s="1" t="s">
        <v>2251</v>
      </c>
      <c r="AG208" s="1" t="s">
        <v>339</v>
      </c>
      <c r="AH208" s="1" t="s">
        <v>1489</v>
      </c>
      <c r="AI208" s="1" t="s">
        <v>1463</v>
      </c>
      <c r="AJ208" s="1" t="s">
        <v>1478</v>
      </c>
      <c r="AK208" s="1" t="s">
        <v>2250</v>
      </c>
      <c r="AL208" s="1" t="s">
        <v>2249</v>
      </c>
      <c r="AM208" s="1"/>
      <c r="AN208" s="1"/>
      <c r="AO208" s="1">
        <v>3</v>
      </c>
      <c r="AP208" s="1">
        <v>4</v>
      </c>
      <c r="AQ208" s="1" t="s">
        <v>2248</v>
      </c>
    </row>
    <row r="209" spans="1:43" x14ac:dyDescent="0.15">
      <c r="A209" t="str">
        <f t="shared" si="51"/>
        <v>|BFZ|赤|7|3/4|アンコモン|《[[溶岩足の略奪者]]》|</v>
      </c>
      <c r="B209" t="s">
        <v>3168</v>
      </c>
      <c r="C209" t="str">
        <f t="shared" si="53"/>
        <v>BFZ</v>
      </c>
      <c r="D209">
        <f>IF(AA209="","",VLOOKUP(C209,tnpl!$Z$1:$AA$11,2,TRUE))</f>
        <v>2</v>
      </c>
      <c r="E209" t="s">
        <v>3168</v>
      </c>
      <c r="F209" t="str">
        <f t="shared" si="54"/>
        <v>赤</v>
      </c>
      <c r="G209">
        <f>IF(AB209="","",VLOOKUP(F209,tnpl!$X$1:$Y$16,2,TRUE))</f>
        <v>4</v>
      </c>
      <c r="H209" t="s">
        <v>3168</v>
      </c>
      <c r="I209">
        <f t="shared" si="55"/>
        <v>7</v>
      </c>
      <c r="J209" t="s">
        <v>3168</v>
      </c>
      <c r="K209">
        <f t="shared" si="56"/>
        <v>3</v>
      </c>
      <c r="L209">
        <f t="shared" si="57"/>
        <v>4</v>
      </c>
      <c r="M209" t="str">
        <f t="shared" si="52"/>
        <v>3/4</v>
      </c>
      <c r="N209" t="s">
        <v>3175</v>
      </c>
      <c r="O209" t="str">
        <f t="shared" si="58"/>
        <v>アンコモン</v>
      </c>
      <c r="R209" t="s">
        <v>3175</v>
      </c>
      <c r="S209" t="s">
        <v>4750</v>
      </c>
      <c r="T209" t="str">
        <f t="shared" si="59"/>
        <v>溶岩足の略奪者</v>
      </c>
      <c r="U209" t="str">
        <f t="shared" si="60"/>
        <v/>
      </c>
      <c r="V209" t="str">
        <f>IF(I209=0,VLOOKUP(TAG!T209,Sheet4!A:B,2,TRUE),"")</f>
        <v/>
      </c>
      <c r="W209" t="s">
        <v>4751</v>
      </c>
      <c r="X209" t="s">
        <v>3175</v>
      </c>
      <c r="Z209" s="3">
        <v>373</v>
      </c>
      <c r="AA209" s="2" t="s">
        <v>3170</v>
      </c>
      <c r="AB209" s="1" t="s">
        <v>1552</v>
      </c>
      <c r="AC209" s="1" t="s">
        <v>1451</v>
      </c>
      <c r="AD209" s="1">
        <v>7</v>
      </c>
      <c r="AE209" s="1" t="s">
        <v>2012</v>
      </c>
      <c r="AF209" s="1" t="s">
        <v>2011</v>
      </c>
      <c r="AG209" s="1" t="s">
        <v>339</v>
      </c>
      <c r="AH209" s="1" t="s">
        <v>1564</v>
      </c>
      <c r="AI209" s="1" t="s">
        <v>1493</v>
      </c>
      <c r="AJ209" s="1"/>
      <c r="AK209" s="1" t="s">
        <v>2010</v>
      </c>
      <c r="AL209" s="1"/>
      <c r="AM209" s="1"/>
      <c r="AN209" s="1"/>
      <c r="AO209" s="1">
        <v>3</v>
      </c>
      <c r="AP209" s="1">
        <v>4</v>
      </c>
      <c r="AQ209" s="1" t="s">
        <v>2010</v>
      </c>
    </row>
    <row r="210" spans="1:43" x14ac:dyDescent="0.15">
      <c r="A210" t="str">
        <f t="shared" si="51"/>
        <v>|BFZ|赤|7|3/4|アンコモン|《[[ヴァラクートの発動者]]》|</v>
      </c>
      <c r="B210" t="s">
        <v>3168</v>
      </c>
      <c r="C210" t="str">
        <f t="shared" si="53"/>
        <v>BFZ</v>
      </c>
      <c r="D210">
        <f>IF(AA210="","",VLOOKUP(C210,tnpl!$Z$1:$AA$11,2,TRUE))</f>
        <v>2</v>
      </c>
      <c r="E210" t="s">
        <v>3168</v>
      </c>
      <c r="F210" t="str">
        <f t="shared" si="54"/>
        <v>赤</v>
      </c>
      <c r="G210">
        <f>IF(AB210="","",VLOOKUP(F210,tnpl!$X$1:$Y$16,2,TRUE))</f>
        <v>4</v>
      </c>
      <c r="H210" t="s">
        <v>3168</v>
      </c>
      <c r="I210">
        <f t="shared" si="55"/>
        <v>7</v>
      </c>
      <c r="J210" t="s">
        <v>3168</v>
      </c>
      <c r="K210">
        <f t="shared" si="56"/>
        <v>3</v>
      </c>
      <c r="L210">
        <f t="shared" si="57"/>
        <v>4</v>
      </c>
      <c r="M210" t="str">
        <f t="shared" si="52"/>
        <v>3/4</v>
      </c>
      <c r="N210" t="s">
        <v>3175</v>
      </c>
      <c r="O210" t="str">
        <f t="shared" si="58"/>
        <v>アンコモン</v>
      </c>
      <c r="R210" t="s">
        <v>3175</v>
      </c>
      <c r="S210" t="s">
        <v>4750</v>
      </c>
      <c r="T210" t="str">
        <f t="shared" si="59"/>
        <v>ヴァラクートの発動者</v>
      </c>
      <c r="U210" t="str">
        <f t="shared" si="60"/>
        <v/>
      </c>
      <c r="V210" t="str">
        <f>IF(I210=0,VLOOKUP(TAG!T210,Sheet4!A:B,2,TRUE),"")</f>
        <v/>
      </c>
      <c r="W210" t="s">
        <v>4751</v>
      </c>
      <c r="X210" t="s">
        <v>3175</v>
      </c>
      <c r="Z210" s="3">
        <v>374</v>
      </c>
      <c r="AA210" s="2" t="s">
        <v>3170</v>
      </c>
      <c r="AB210" s="1" t="s">
        <v>1552</v>
      </c>
      <c r="AC210" s="1" t="s">
        <v>1451</v>
      </c>
      <c r="AD210" s="1">
        <v>7</v>
      </c>
      <c r="AE210" s="1" t="s">
        <v>2009</v>
      </c>
      <c r="AF210" s="1" t="s">
        <v>2008</v>
      </c>
      <c r="AG210" s="1" t="s">
        <v>339</v>
      </c>
      <c r="AH210" s="1" t="s">
        <v>1489</v>
      </c>
      <c r="AI210" s="1" t="s">
        <v>1867</v>
      </c>
      <c r="AJ210" s="1"/>
      <c r="AK210" s="1" t="s">
        <v>2007</v>
      </c>
      <c r="AL210" s="1"/>
      <c r="AM210" s="1"/>
      <c r="AN210" s="1"/>
      <c r="AO210" s="1">
        <v>3</v>
      </c>
      <c r="AP210" s="1">
        <v>4</v>
      </c>
      <c r="AQ210" s="1" t="s">
        <v>2007</v>
      </c>
    </row>
    <row r="211" spans="1:43" x14ac:dyDescent="0.15">
      <c r="A211" t="str">
        <f t="shared" si="51"/>
        <v>|BFZ|赤|10|3/4|アンコモン|《[[エムラクールの名残]]》|</v>
      </c>
      <c r="B211" t="s">
        <v>3168</v>
      </c>
      <c r="C211" t="str">
        <f t="shared" si="53"/>
        <v>BFZ</v>
      </c>
      <c r="D211">
        <f>IF(AA211="","",VLOOKUP(C211,tnpl!$Z$1:$AA$11,2,TRUE))</f>
        <v>2</v>
      </c>
      <c r="E211" t="s">
        <v>3168</v>
      </c>
      <c r="F211" t="str">
        <f t="shared" si="54"/>
        <v>赤</v>
      </c>
      <c r="G211">
        <f>IF(AB211="","",VLOOKUP(F211,tnpl!$X$1:$Y$16,2,TRUE))</f>
        <v>4</v>
      </c>
      <c r="H211" t="s">
        <v>3168</v>
      </c>
      <c r="I211">
        <f t="shared" si="55"/>
        <v>10</v>
      </c>
      <c r="J211" t="s">
        <v>3168</v>
      </c>
      <c r="K211">
        <f t="shared" si="56"/>
        <v>3</v>
      </c>
      <c r="L211">
        <f t="shared" si="57"/>
        <v>4</v>
      </c>
      <c r="M211" t="str">
        <f t="shared" si="52"/>
        <v>3/4</v>
      </c>
      <c r="N211" t="s">
        <v>3175</v>
      </c>
      <c r="O211" t="str">
        <f t="shared" si="58"/>
        <v>アンコモン</v>
      </c>
      <c r="R211" t="s">
        <v>3175</v>
      </c>
      <c r="S211" t="s">
        <v>4750</v>
      </c>
      <c r="T211" t="str">
        <f t="shared" si="59"/>
        <v>エムラクールの名残</v>
      </c>
      <c r="U211" t="str">
        <f t="shared" si="60"/>
        <v/>
      </c>
      <c r="V211" t="str">
        <f>IF(I211=0,VLOOKUP(TAG!T211,Sheet4!A:B,2,TRUE),"")</f>
        <v/>
      </c>
      <c r="W211" t="s">
        <v>4751</v>
      </c>
      <c r="X211" t="s">
        <v>3175</v>
      </c>
      <c r="Z211" s="3">
        <v>375</v>
      </c>
      <c r="AA211" s="2" t="s">
        <v>3170</v>
      </c>
      <c r="AB211" s="1" t="s">
        <v>1552</v>
      </c>
      <c r="AC211" s="1" t="s">
        <v>1451</v>
      </c>
      <c r="AD211" s="1">
        <v>10</v>
      </c>
      <c r="AE211" s="1" t="s">
        <v>2006</v>
      </c>
      <c r="AF211" s="1" t="s">
        <v>2005</v>
      </c>
      <c r="AG211" s="1" t="s">
        <v>339</v>
      </c>
      <c r="AH211" s="1" t="s">
        <v>1435</v>
      </c>
      <c r="AI211" s="1" t="s">
        <v>1501</v>
      </c>
      <c r="AJ211" s="1"/>
      <c r="AK211" s="1" t="s">
        <v>2004</v>
      </c>
      <c r="AL211" s="1"/>
      <c r="AM211" s="1"/>
      <c r="AN211" s="1"/>
      <c r="AO211" s="1">
        <v>3</v>
      </c>
      <c r="AP211" s="1">
        <v>4</v>
      </c>
      <c r="AQ211" s="1" t="s">
        <v>2004</v>
      </c>
    </row>
    <row r="212" spans="1:43" x14ac:dyDescent="0.15">
      <c r="A212" t="str">
        <f t="shared" si="51"/>
        <v>|BFZ|緑|6|3/4|アンコモン|《[[虚空の従者]]》|</v>
      </c>
      <c r="B212" t="s">
        <v>3168</v>
      </c>
      <c r="C212" t="str">
        <f t="shared" si="53"/>
        <v>BFZ</v>
      </c>
      <c r="D212">
        <f>IF(AA212="","",VLOOKUP(C212,tnpl!$Z$1:$AA$11,2,TRUE))</f>
        <v>2</v>
      </c>
      <c r="E212" t="s">
        <v>3168</v>
      </c>
      <c r="F212" t="str">
        <f t="shared" si="54"/>
        <v>緑</v>
      </c>
      <c r="G212">
        <f>IF(AB212="","",VLOOKUP(F212,tnpl!$X$1:$Y$16,2,TRUE))</f>
        <v>5</v>
      </c>
      <c r="H212" t="s">
        <v>3168</v>
      </c>
      <c r="I212">
        <f t="shared" si="55"/>
        <v>6</v>
      </c>
      <c r="J212" t="s">
        <v>3168</v>
      </c>
      <c r="K212">
        <f t="shared" si="56"/>
        <v>3</v>
      </c>
      <c r="L212">
        <f t="shared" si="57"/>
        <v>4</v>
      </c>
      <c r="M212" t="str">
        <f t="shared" si="52"/>
        <v>3/4</v>
      </c>
      <c r="N212" t="s">
        <v>3175</v>
      </c>
      <c r="O212" t="str">
        <f t="shared" si="58"/>
        <v>アンコモン</v>
      </c>
      <c r="R212" t="s">
        <v>3175</v>
      </c>
      <c r="S212" t="s">
        <v>4750</v>
      </c>
      <c r="T212" t="str">
        <f t="shared" si="59"/>
        <v>虚空の従者</v>
      </c>
      <c r="U212" t="str">
        <f t="shared" si="60"/>
        <v/>
      </c>
      <c r="V212" t="str">
        <f>IF(I212=0,VLOOKUP(TAG!T212,Sheet4!A:B,2,TRUE),"")</f>
        <v/>
      </c>
      <c r="W212" t="s">
        <v>4751</v>
      </c>
      <c r="X212" t="s">
        <v>3175</v>
      </c>
      <c r="Z212" s="3">
        <v>414</v>
      </c>
      <c r="AA212" s="2" t="s">
        <v>3170</v>
      </c>
      <c r="AB212" s="1" t="s">
        <v>1518</v>
      </c>
      <c r="AC212" s="1" t="s">
        <v>1451</v>
      </c>
      <c r="AD212" s="1">
        <v>6</v>
      </c>
      <c r="AE212" s="1" t="s">
        <v>1885</v>
      </c>
      <c r="AF212" s="1" t="s">
        <v>1884</v>
      </c>
      <c r="AG212" s="1" t="s">
        <v>339</v>
      </c>
      <c r="AH212" s="1" t="s">
        <v>1435</v>
      </c>
      <c r="AI212" s="1" t="s">
        <v>1717</v>
      </c>
      <c r="AJ212" s="1"/>
      <c r="AK212" s="1" t="s">
        <v>3317</v>
      </c>
      <c r="AL212" s="1" t="s">
        <v>1883</v>
      </c>
      <c r="AM212" s="1"/>
      <c r="AN212" s="1"/>
      <c r="AO212" s="1">
        <v>3</v>
      </c>
      <c r="AP212" s="1">
        <v>4</v>
      </c>
      <c r="AQ212" s="1" t="s">
        <v>3379</v>
      </c>
    </row>
    <row r="213" spans="1:43" x14ac:dyDescent="0.15">
      <c r="A213" t="str">
        <f t="shared" si="51"/>
        <v>|BFZ|青黒|11|3/4|アンコモン|《[[ウラモグの失却させるもの]]》|</v>
      </c>
      <c r="B213" t="s">
        <v>3168</v>
      </c>
      <c r="C213" t="str">
        <f t="shared" si="53"/>
        <v>BFZ</v>
      </c>
      <c r="D213">
        <f>IF(AA213="","",VLOOKUP(C213,tnpl!$Z$1:$AA$11,2,TRUE))</f>
        <v>2</v>
      </c>
      <c r="E213" t="s">
        <v>3168</v>
      </c>
      <c r="F213" t="str">
        <f t="shared" si="54"/>
        <v>青黒</v>
      </c>
      <c r="G213">
        <f>IF(AB213="","",VLOOKUP(F213,tnpl!$X$1:$Y$16,2,TRUE))</f>
        <v>7</v>
      </c>
      <c r="H213" t="s">
        <v>3168</v>
      </c>
      <c r="I213">
        <f t="shared" si="55"/>
        <v>11</v>
      </c>
      <c r="J213" t="s">
        <v>3168</v>
      </c>
      <c r="K213">
        <f t="shared" si="56"/>
        <v>3</v>
      </c>
      <c r="L213">
        <f t="shared" si="57"/>
        <v>4</v>
      </c>
      <c r="M213" t="str">
        <f t="shared" si="52"/>
        <v>3/4</v>
      </c>
      <c r="N213" t="s">
        <v>3175</v>
      </c>
      <c r="O213" t="str">
        <f t="shared" si="58"/>
        <v>アンコモン</v>
      </c>
      <c r="R213" t="s">
        <v>3175</v>
      </c>
      <c r="S213" t="s">
        <v>4750</v>
      </c>
      <c r="T213" t="str">
        <f t="shared" si="59"/>
        <v>ウラモグの失却させるもの</v>
      </c>
      <c r="U213" t="str">
        <f t="shared" si="60"/>
        <v/>
      </c>
      <c r="V213" t="str">
        <f>IF(I213=0,VLOOKUP(TAG!T213,Sheet4!A:B,2,TRUE),"")</f>
        <v/>
      </c>
      <c r="W213" t="s">
        <v>4751</v>
      </c>
      <c r="X213" t="s">
        <v>3175</v>
      </c>
      <c r="Z213" s="3">
        <v>427</v>
      </c>
      <c r="AA213" s="2" t="s">
        <v>3170</v>
      </c>
      <c r="AB213" s="1" t="s">
        <v>1508</v>
      </c>
      <c r="AC213" s="1" t="s">
        <v>1451</v>
      </c>
      <c r="AD213" s="1">
        <v>11</v>
      </c>
      <c r="AE213" s="1" t="s">
        <v>1839</v>
      </c>
      <c r="AF213" s="1" t="s">
        <v>1838</v>
      </c>
      <c r="AG213" s="1" t="s">
        <v>339</v>
      </c>
      <c r="AH213" s="1" t="s">
        <v>1435</v>
      </c>
      <c r="AI213" s="1" t="s">
        <v>1717</v>
      </c>
      <c r="AJ213" s="1"/>
      <c r="AK213" s="1" t="s">
        <v>3319</v>
      </c>
      <c r="AL213" s="1" t="s">
        <v>1837</v>
      </c>
      <c r="AM213" s="1"/>
      <c r="AN213" s="1"/>
      <c r="AO213" s="1">
        <v>3</v>
      </c>
      <c r="AP213" s="1">
        <v>4</v>
      </c>
      <c r="AQ213" s="1" t="s">
        <v>3386</v>
      </c>
    </row>
    <row r="214" spans="1:43" x14ac:dyDescent="0.15">
      <c r="A214" t="str">
        <f t="shared" si="51"/>
        <v>|BFZ|黒緑|13|3/4|アンコモン|《[[地下墓地の選別者]]》|</v>
      </c>
      <c r="B214" t="s">
        <v>3168</v>
      </c>
      <c r="C214" t="str">
        <f t="shared" si="53"/>
        <v>BFZ</v>
      </c>
      <c r="D214">
        <f>IF(AA214="","",VLOOKUP(C214,tnpl!$Z$1:$AA$11,2,TRUE))</f>
        <v>2</v>
      </c>
      <c r="E214" t="s">
        <v>3168</v>
      </c>
      <c r="F214" t="str">
        <f t="shared" si="54"/>
        <v>黒緑</v>
      </c>
      <c r="G214">
        <f>IF(AB214="","",VLOOKUP(F214,tnpl!$X$1:$Y$16,2,TRUE))</f>
        <v>13</v>
      </c>
      <c r="H214" t="s">
        <v>3168</v>
      </c>
      <c r="I214">
        <f t="shared" si="55"/>
        <v>13</v>
      </c>
      <c r="J214" t="s">
        <v>3168</v>
      </c>
      <c r="K214">
        <f t="shared" si="56"/>
        <v>3</v>
      </c>
      <c r="L214">
        <f t="shared" si="57"/>
        <v>4</v>
      </c>
      <c r="M214" t="str">
        <f t="shared" si="52"/>
        <v>3/4</v>
      </c>
      <c r="N214" t="s">
        <v>3175</v>
      </c>
      <c r="O214" t="str">
        <f t="shared" si="58"/>
        <v>アンコモン</v>
      </c>
      <c r="R214" t="s">
        <v>3175</v>
      </c>
      <c r="S214" t="s">
        <v>4750</v>
      </c>
      <c r="T214" t="str">
        <f t="shared" si="59"/>
        <v>地下墓地の選別者</v>
      </c>
      <c r="U214" t="str">
        <f t="shared" si="60"/>
        <v/>
      </c>
      <c r="V214" t="str">
        <f>IF(I214=0,VLOOKUP(TAG!T214,Sheet4!A:B,2,TRUE),"")</f>
        <v/>
      </c>
      <c r="W214" t="s">
        <v>4751</v>
      </c>
      <c r="X214" t="s">
        <v>3175</v>
      </c>
      <c r="Z214" s="3">
        <v>433</v>
      </c>
      <c r="AA214" s="2" t="s">
        <v>3170</v>
      </c>
      <c r="AB214" s="1" t="s">
        <v>1487</v>
      </c>
      <c r="AC214" s="1" t="s">
        <v>1451</v>
      </c>
      <c r="AD214" s="1">
        <v>13</v>
      </c>
      <c r="AE214" s="1" t="s">
        <v>1821</v>
      </c>
      <c r="AF214" s="1" t="s">
        <v>1820</v>
      </c>
      <c r="AG214" s="1" t="s">
        <v>339</v>
      </c>
      <c r="AH214" s="1" t="s">
        <v>1435</v>
      </c>
      <c r="AI214" s="1" t="s">
        <v>1501</v>
      </c>
      <c r="AJ214" s="1"/>
      <c r="AK214" s="1" t="s">
        <v>3321</v>
      </c>
      <c r="AL214" s="1" t="s">
        <v>1786</v>
      </c>
      <c r="AM214" s="1" t="s">
        <v>1819</v>
      </c>
      <c r="AN214" s="1"/>
      <c r="AO214" s="1">
        <v>3</v>
      </c>
      <c r="AP214" s="1">
        <v>4</v>
      </c>
      <c r="AQ214" s="1" t="s">
        <v>3391</v>
      </c>
    </row>
    <row r="215" spans="1:43" x14ac:dyDescent="0.15">
      <c r="A215" t="str">
        <f t="shared" si="51"/>
        <v>|OGW|青|11|3/4|アンコモン|《[[竜巻の種父]]》|</v>
      </c>
      <c r="B215" t="s">
        <v>3168</v>
      </c>
      <c r="C215" t="str">
        <f t="shared" si="53"/>
        <v>OGW</v>
      </c>
      <c r="D215">
        <f>IF(AA215="","",VLOOKUP(C215,tnpl!$Z$1:$AA$11,2,TRUE))</f>
        <v>3</v>
      </c>
      <c r="E215" t="s">
        <v>3168</v>
      </c>
      <c r="F215" t="str">
        <f t="shared" si="54"/>
        <v>青</v>
      </c>
      <c r="G215">
        <f>IF(AB215="","",VLOOKUP(F215,tnpl!$X$1:$Y$16,2,TRUE))</f>
        <v>2</v>
      </c>
      <c r="H215" t="s">
        <v>3168</v>
      </c>
      <c r="I215">
        <f t="shared" si="55"/>
        <v>11</v>
      </c>
      <c r="J215" t="s">
        <v>3168</v>
      </c>
      <c r="K215">
        <f t="shared" si="56"/>
        <v>3</v>
      </c>
      <c r="L215">
        <f t="shared" si="57"/>
        <v>4</v>
      </c>
      <c r="M215" t="str">
        <f t="shared" si="52"/>
        <v>3/4</v>
      </c>
      <c r="N215" t="s">
        <v>3175</v>
      </c>
      <c r="O215" t="str">
        <f t="shared" si="58"/>
        <v>アンコモン</v>
      </c>
      <c r="R215" t="s">
        <v>3175</v>
      </c>
      <c r="S215" t="s">
        <v>4750</v>
      </c>
      <c r="T215" t="str">
        <f t="shared" si="59"/>
        <v>竜巻の種父</v>
      </c>
      <c r="U215" t="str">
        <f t="shared" si="60"/>
        <v/>
      </c>
      <c r="V215" t="str">
        <f>IF(I215=0,VLOOKUP(TAG!T215,Sheet4!A:B,2,TRUE),"")</f>
        <v/>
      </c>
      <c r="W215" t="s">
        <v>4751</v>
      </c>
      <c r="X215" t="s">
        <v>3175</v>
      </c>
      <c r="Z215" s="3">
        <v>493</v>
      </c>
      <c r="AA215" s="2" t="s">
        <v>3171</v>
      </c>
      <c r="AB215" s="1" t="s">
        <v>1606</v>
      </c>
      <c r="AC215" s="1" t="s">
        <v>1451</v>
      </c>
      <c r="AD215" s="1">
        <v>11</v>
      </c>
      <c r="AE215" s="1" t="s">
        <v>1622</v>
      </c>
      <c r="AF215" s="1" t="s">
        <v>1621</v>
      </c>
      <c r="AG215" s="1" t="s">
        <v>339</v>
      </c>
      <c r="AH215" s="1" t="s">
        <v>1537</v>
      </c>
      <c r="AI215" s="1"/>
      <c r="AJ215" s="1"/>
      <c r="AK215" s="1" t="s">
        <v>351</v>
      </c>
      <c r="AL215" s="1" t="s">
        <v>1620</v>
      </c>
      <c r="AM215" s="1"/>
      <c r="AN215" s="1"/>
      <c r="AO215" s="1">
        <v>3</v>
      </c>
      <c r="AP215" s="1">
        <v>4</v>
      </c>
      <c r="AQ215" s="1" t="s">
        <v>3402</v>
      </c>
    </row>
    <row r="216" spans="1:43" x14ac:dyDescent="0.15">
      <c r="A216" t="str">
        <f t="shared" si="51"/>
        <v>|OGW|黒|12|3/4|神話レア|《[[ゲトの裏切り者、カリタス]]》|</v>
      </c>
      <c r="B216" t="s">
        <v>3168</v>
      </c>
      <c r="C216" t="str">
        <f t="shared" si="53"/>
        <v>OGW</v>
      </c>
      <c r="D216">
        <f>IF(AA216="","",VLOOKUP(C216,tnpl!$Z$1:$AA$11,2,TRUE))</f>
        <v>3</v>
      </c>
      <c r="E216" t="s">
        <v>3168</v>
      </c>
      <c r="F216" t="str">
        <f t="shared" si="54"/>
        <v>黒</v>
      </c>
      <c r="G216">
        <f>IF(AB216="","",VLOOKUP(F216,tnpl!$X$1:$Y$16,2,TRUE))</f>
        <v>3</v>
      </c>
      <c r="H216" t="s">
        <v>3168</v>
      </c>
      <c r="I216">
        <f t="shared" si="55"/>
        <v>12</v>
      </c>
      <c r="J216" t="s">
        <v>3168</v>
      </c>
      <c r="K216">
        <f t="shared" si="56"/>
        <v>3</v>
      </c>
      <c r="L216">
        <f t="shared" si="57"/>
        <v>4</v>
      </c>
      <c r="M216" t="str">
        <f t="shared" si="52"/>
        <v>3/4</v>
      </c>
      <c r="N216" t="s">
        <v>3175</v>
      </c>
      <c r="O216" t="str">
        <f t="shared" si="58"/>
        <v>神話レア</v>
      </c>
      <c r="R216" t="s">
        <v>3175</v>
      </c>
      <c r="S216" t="s">
        <v>4750</v>
      </c>
      <c r="T216" t="str">
        <f t="shared" si="59"/>
        <v>ゲトの裏切り者、カリタス</v>
      </c>
      <c r="U216" t="str">
        <f t="shared" si="60"/>
        <v/>
      </c>
      <c r="V216" t="str">
        <f>IF(I216=0,VLOOKUP(TAG!T216,Sheet4!A:B,2,TRUE),"")</f>
        <v/>
      </c>
      <c r="W216" t="s">
        <v>4751</v>
      </c>
      <c r="X216" t="s">
        <v>3175</v>
      </c>
      <c r="Z216" s="3">
        <v>503</v>
      </c>
      <c r="AA216" s="2" t="s">
        <v>3171</v>
      </c>
      <c r="AB216" s="1" t="s">
        <v>1582</v>
      </c>
      <c r="AC216" s="1" t="s">
        <v>1431</v>
      </c>
      <c r="AD216" s="1">
        <v>12</v>
      </c>
      <c r="AE216" s="1" t="s">
        <v>1581</v>
      </c>
      <c r="AF216" s="1" t="s">
        <v>1580</v>
      </c>
      <c r="AG216" s="1" t="s">
        <v>339</v>
      </c>
      <c r="AH216" s="1" t="s">
        <v>1494</v>
      </c>
      <c r="AI216" s="1" t="s">
        <v>1493</v>
      </c>
      <c r="AJ216" s="1"/>
      <c r="AK216" s="1" t="s">
        <v>3109</v>
      </c>
      <c r="AL216" s="1" t="s">
        <v>1579</v>
      </c>
      <c r="AM216" s="1" t="s">
        <v>1578</v>
      </c>
      <c r="AN216" s="1"/>
      <c r="AO216" s="1">
        <v>3</v>
      </c>
      <c r="AP216" s="1">
        <v>4</v>
      </c>
      <c r="AQ216" s="1" t="s">
        <v>3408</v>
      </c>
    </row>
    <row r="217" spans="1:43" x14ac:dyDescent="0.15">
      <c r="A217" t="str">
        <f t="shared" si="51"/>
        <v>|OGW|緑|16|3/4|アンコモン|《[[種子の守護者]]》|</v>
      </c>
      <c r="B217" t="s">
        <v>3168</v>
      </c>
      <c r="C217" t="str">
        <f t="shared" si="53"/>
        <v>OGW</v>
      </c>
      <c r="D217">
        <f>IF(AA217="","",VLOOKUP(C217,tnpl!$Z$1:$AA$11,2,TRUE))</f>
        <v>3</v>
      </c>
      <c r="E217" t="s">
        <v>3168</v>
      </c>
      <c r="F217" t="str">
        <f t="shared" si="54"/>
        <v>緑</v>
      </c>
      <c r="G217">
        <f>IF(AB217="","",VLOOKUP(F217,tnpl!$X$1:$Y$16,2,TRUE))</f>
        <v>5</v>
      </c>
      <c r="H217" t="s">
        <v>3168</v>
      </c>
      <c r="I217">
        <f t="shared" si="55"/>
        <v>16</v>
      </c>
      <c r="J217" t="s">
        <v>3168</v>
      </c>
      <c r="K217">
        <f t="shared" si="56"/>
        <v>3</v>
      </c>
      <c r="L217">
        <f t="shared" si="57"/>
        <v>4</v>
      </c>
      <c r="M217" t="str">
        <f t="shared" si="52"/>
        <v>3/4</v>
      </c>
      <c r="N217" t="s">
        <v>3175</v>
      </c>
      <c r="O217" t="str">
        <f t="shared" si="58"/>
        <v>アンコモン</v>
      </c>
      <c r="R217" t="s">
        <v>3175</v>
      </c>
      <c r="S217" t="s">
        <v>4750</v>
      </c>
      <c r="T217" t="str">
        <f t="shared" si="59"/>
        <v>種子の守護者</v>
      </c>
      <c r="U217" t="str">
        <f t="shared" si="60"/>
        <v/>
      </c>
      <c r="V217" t="str">
        <f>IF(I217=0,VLOOKUP(TAG!T217,Sheet4!A:B,2,TRUE),"")</f>
        <v/>
      </c>
      <c r="W217" t="s">
        <v>4751</v>
      </c>
      <c r="X217" t="s">
        <v>3175</v>
      </c>
      <c r="Z217" s="3">
        <v>513</v>
      </c>
      <c r="AA217" s="2" t="s">
        <v>3171</v>
      </c>
      <c r="AB217" s="1" t="s">
        <v>1518</v>
      </c>
      <c r="AC217" s="1" t="s">
        <v>1451</v>
      </c>
      <c r="AD217" s="1">
        <v>16</v>
      </c>
      <c r="AE217" s="1" t="s">
        <v>1539</v>
      </c>
      <c r="AF217" s="1" t="s">
        <v>1538</v>
      </c>
      <c r="AG217" s="1" t="s">
        <v>339</v>
      </c>
      <c r="AH217" s="1" t="s">
        <v>1537</v>
      </c>
      <c r="AI217" s="1"/>
      <c r="AJ217" s="1"/>
      <c r="AK217" s="1" t="s">
        <v>1944</v>
      </c>
      <c r="AL217" s="1" t="s">
        <v>1536</v>
      </c>
      <c r="AM217" s="1"/>
      <c r="AN217" s="1"/>
      <c r="AO217" s="1">
        <v>3</v>
      </c>
      <c r="AP217" s="1">
        <v>4</v>
      </c>
      <c r="AQ217" s="1" t="s">
        <v>3415</v>
      </c>
    </row>
    <row r="218" spans="1:43" x14ac:dyDescent="0.15">
      <c r="A218" t="str">
        <f t="shared" si="51"/>
        <v>|OGW|緑|15|3/4|レア|《[[森の代言者]]》|</v>
      </c>
      <c r="B218" t="s">
        <v>3168</v>
      </c>
      <c r="C218" t="str">
        <f t="shared" si="53"/>
        <v>OGW</v>
      </c>
      <c r="D218">
        <f>IF(AA218="","",VLOOKUP(C218,tnpl!$Z$1:$AA$11,2,TRUE))</f>
        <v>3</v>
      </c>
      <c r="E218" t="s">
        <v>3168</v>
      </c>
      <c r="F218" t="str">
        <f t="shared" si="54"/>
        <v>緑</v>
      </c>
      <c r="G218">
        <f>IF(AB218="","",VLOOKUP(F218,tnpl!$X$1:$Y$16,2,TRUE))</f>
        <v>5</v>
      </c>
      <c r="H218" t="s">
        <v>3168</v>
      </c>
      <c r="I218">
        <f t="shared" si="55"/>
        <v>15</v>
      </c>
      <c r="J218" t="s">
        <v>3168</v>
      </c>
      <c r="K218">
        <f t="shared" si="56"/>
        <v>3</v>
      </c>
      <c r="L218">
        <f t="shared" si="57"/>
        <v>4</v>
      </c>
      <c r="M218" t="str">
        <f t="shared" si="52"/>
        <v>3/4</v>
      </c>
      <c r="N218" t="s">
        <v>3175</v>
      </c>
      <c r="O218" t="str">
        <f t="shared" si="58"/>
        <v>レア</v>
      </c>
      <c r="R218" t="s">
        <v>3175</v>
      </c>
      <c r="S218" t="s">
        <v>4750</v>
      </c>
      <c r="T218" t="str">
        <f t="shared" si="59"/>
        <v>森の代言者</v>
      </c>
      <c r="U218" t="str">
        <f t="shared" si="60"/>
        <v/>
      </c>
      <c r="V218" t="str">
        <f>IF(I218=0,VLOOKUP(TAG!T218,Sheet4!A:B,2,TRUE),"")</f>
        <v/>
      </c>
      <c r="W218" t="s">
        <v>4751</v>
      </c>
      <c r="X218" t="s">
        <v>3175</v>
      </c>
      <c r="Z218" s="3">
        <v>515</v>
      </c>
      <c r="AA218" s="2" t="s">
        <v>3171</v>
      </c>
      <c r="AB218" s="1" t="s">
        <v>1518</v>
      </c>
      <c r="AC218" s="1" t="s">
        <v>1441</v>
      </c>
      <c r="AD218" s="1">
        <v>15</v>
      </c>
      <c r="AE218" s="1" t="s">
        <v>1531</v>
      </c>
      <c r="AF218" s="1" t="s">
        <v>1530</v>
      </c>
      <c r="AG218" s="1" t="s">
        <v>339</v>
      </c>
      <c r="AH218" s="1" t="s">
        <v>1479</v>
      </c>
      <c r="AI218" s="1" t="s">
        <v>1529</v>
      </c>
      <c r="AJ218" s="1" t="s">
        <v>1478</v>
      </c>
      <c r="AK218" s="1" t="s">
        <v>3194</v>
      </c>
      <c r="AL218" s="1" t="s">
        <v>1528</v>
      </c>
      <c r="AM218" s="1"/>
      <c r="AN218" s="1"/>
      <c r="AO218" s="1">
        <v>3</v>
      </c>
      <c r="AP218" s="1">
        <v>4</v>
      </c>
      <c r="AQ218" s="1" t="s">
        <v>3416</v>
      </c>
    </row>
    <row r="219" spans="1:43" x14ac:dyDescent="0.15">
      <c r="A219" t="str">
        <f t="shared" si="51"/>
        <v>|OGW|白青|11|3/4|アンコモン|《[[反射魔道士]]》|</v>
      </c>
      <c r="B219" t="s">
        <v>3168</v>
      </c>
      <c r="C219" t="str">
        <f t="shared" si="53"/>
        <v>OGW</v>
      </c>
      <c r="D219">
        <f>IF(AA219="","",VLOOKUP(C219,tnpl!$Z$1:$AA$11,2,TRUE))</f>
        <v>3</v>
      </c>
      <c r="E219" t="s">
        <v>3168</v>
      </c>
      <c r="F219" t="str">
        <f t="shared" si="54"/>
        <v>白青</v>
      </c>
      <c r="G219">
        <f>IF(AB219="","",VLOOKUP(F219,tnpl!$X$1:$Y$16,2,TRUE))</f>
        <v>6</v>
      </c>
      <c r="H219" t="s">
        <v>3168</v>
      </c>
      <c r="I219">
        <f t="shared" si="55"/>
        <v>11</v>
      </c>
      <c r="J219" t="s">
        <v>3168</v>
      </c>
      <c r="K219">
        <f t="shared" si="56"/>
        <v>3</v>
      </c>
      <c r="L219">
        <f t="shared" si="57"/>
        <v>4</v>
      </c>
      <c r="M219" t="str">
        <f t="shared" si="52"/>
        <v>3/4</v>
      </c>
      <c r="N219" t="s">
        <v>3175</v>
      </c>
      <c r="O219" t="str">
        <f t="shared" si="58"/>
        <v>アンコモン</v>
      </c>
      <c r="R219" t="s">
        <v>3175</v>
      </c>
      <c r="S219" t="s">
        <v>4750</v>
      </c>
      <c r="T219" t="str">
        <f t="shared" si="59"/>
        <v>反射魔道士</v>
      </c>
      <c r="U219" t="str">
        <f t="shared" si="60"/>
        <v/>
      </c>
      <c r="V219" t="str">
        <f>IF(I219=0,VLOOKUP(TAG!T219,Sheet4!A:B,2,TRUE),"")</f>
        <v/>
      </c>
      <c r="W219" t="s">
        <v>4751</v>
      </c>
      <c r="X219" t="s">
        <v>3175</v>
      </c>
      <c r="Z219" s="3">
        <v>519</v>
      </c>
      <c r="AA219" s="2" t="s">
        <v>3171</v>
      </c>
      <c r="AB219" s="1" t="s">
        <v>1512</v>
      </c>
      <c r="AC219" s="1" t="s">
        <v>1451</v>
      </c>
      <c r="AD219" s="1">
        <v>11</v>
      </c>
      <c r="AE219" s="1" t="s">
        <v>1511</v>
      </c>
      <c r="AF219" s="1" t="s">
        <v>1510</v>
      </c>
      <c r="AG219" s="1" t="s">
        <v>339</v>
      </c>
      <c r="AH219" s="1" t="s">
        <v>1489</v>
      </c>
      <c r="AI219" s="1" t="s">
        <v>1463</v>
      </c>
      <c r="AJ219" s="1"/>
      <c r="AK219" s="1" t="s">
        <v>1509</v>
      </c>
      <c r="AL219" s="1"/>
      <c r="AM219" s="1"/>
      <c r="AN219" s="1"/>
      <c r="AO219" s="1">
        <v>3</v>
      </c>
      <c r="AP219" s="1">
        <v>4</v>
      </c>
      <c r="AQ219" s="1" t="s">
        <v>1509</v>
      </c>
    </row>
    <row r="220" spans="1:43" x14ac:dyDescent="0.15">
      <c r="A220" t="str">
        <f t="shared" si="51"/>
        <v>|SOI|緑|18|3/4|アンコモン|《[[ナッターノールズの隠遁者]]》|</v>
      </c>
      <c r="B220" t="s">
        <v>3168</v>
      </c>
      <c r="C220" t="str">
        <f t="shared" si="53"/>
        <v>SOI</v>
      </c>
      <c r="D220">
        <f>IF(AA220="","",VLOOKUP(C220,tnpl!$Z$1:$AA$11,2,TRUE))</f>
        <v>4</v>
      </c>
      <c r="E220" t="s">
        <v>3168</v>
      </c>
      <c r="F220" t="str">
        <f t="shared" si="54"/>
        <v>緑</v>
      </c>
      <c r="G220">
        <f>IF(AB220="","",VLOOKUP(F220,tnpl!$X$1:$Y$16,2,TRUE))</f>
        <v>5</v>
      </c>
      <c r="H220" t="s">
        <v>3168</v>
      </c>
      <c r="I220">
        <f t="shared" si="55"/>
        <v>18</v>
      </c>
      <c r="J220" t="s">
        <v>3168</v>
      </c>
      <c r="K220">
        <f t="shared" si="56"/>
        <v>3</v>
      </c>
      <c r="L220">
        <f t="shared" si="57"/>
        <v>4</v>
      </c>
      <c r="M220" t="str">
        <f t="shared" si="52"/>
        <v>3/4</v>
      </c>
      <c r="N220" t="s">
        <v>3175</v>
      </c>
      <c r="O220" t="str">
        <f t="shared" si="58"/>
        <v>アンコモン</v>
      </c>
      <c r="R220" t="s">
        <v>3175</v>
      </c>
      <c r="S220" t="s">
        <v>4750</v>
      </c>
      <c r="T220" t="str">
        <f t="shared" si="59"/>
        <v>ナッターノールズの隠遁者</v>
      </c>
      <c r="U220" t="str">
        <f t="shared" si="60"/>
        <v/>
      </c>
      <c r="V220" t="str">
        <f>IF(I220=0,VLOOKUP(TAG!T220,Sheet4!A:B,2,TRUE),"")</f>
        <v/>
      </c>
      <c r="W220" t="s">
        <v>4751</v>
      </c>
      <c r="X220" t="s">
        <v>3175</v>
      </c>
      <c r="Z220" s="3">
        <v>698</v>
      </c>
      <c r="AA220" s="2" t="s">
        <v>3431</v>
      </c>
      <c r="AB220" s="1" t="s">
        <v>1518</v>
      </c>
      <c r="AC220" s="1" t="s">
        <v>1451</v>
      </c>
      <c r="AD220" s="14">
        <v>18</v>
      </c>
      <c r="AE220" s="1" t="s">
        <v>1150</v>
      </c>
      <c r="AF220" s="1" t="s">
        <v>1149</v>
      </c>
      <c r="AG220" s="1" t="s">
        <v>339</v>
      </c>
      <c r="AH220" s="1" t="s">
        <v>1489</v>
      </c>
      <c r="AI220" s="1" t="s">
        <v>3605</v>
      </c>
      <c r="AJ220" s="1"/>
      <c r="AK220" s="1" t="s">
        <v>3670</v>
      </c>
      <c r="AL220" s="1" t="s">
        <v>3606</v>
      </c>
      <c r="AM220" s="1"/>
      <c r="AN220" s="1"/>
      <c r="AO220" s="1">
        <v>3</v>
      </c>
      <c r="AP220" s="1">
        <v>4</v>
      </c>
      <c r="AQ220" s="1" t="s">
        <v>3671</v>
      </c>
    </row>
    <row r="221" spans="1:43" x14ac:dyDescent="0.15">
      <c r="A221" t="str">
        <f t="shared" si="51"/>
        <v>|EMN|青|10|3/4|アンコモン|《[[改良された縫い翼]]》|</v>
      </c>
      <c r="B221" t="s">
        <v>3168</v>
      </c>
      <c r="C221" t="str">
        <f t="shared" si="53"/>
        <v>EMN</v>
      </c>
      <c r="D221">
        <f>IF(AA221="","",VLOOKUP(C221,tnpl!$Z$1:$AA$11,2,TRUE))</f>
        <v>5</v>
      </c>
      <c r="E221" t="s">
        <v>3168</v>
      </c>
      <c r="F221" t="str">
        <f t="shared" si="54"/>
        <v>青</v>
      </c>
      <c r="G221">
        <f>IF(AB221="","",VLOOKUP(F221,tnpl!$X$1:$Y$16,2,TRUE))</f>
        <v>2</v>
      </c>
      <c r="H221" t="s">
        <v>3168</v>
      </c>
      <c r="I221">
        <f t="shared" si="55"/>
        <v>10</v>
      </c>
      <c r="J221" t="s">
        <v>3168</v>
      </c>
      <c r="K221">
        <f t="shared" si="56"/>
        <v>3</v>
      </c>
      <c r="L221">
        <f t="shared" si="57"/>
        <v>4</v>
      </c>
      <c r="M221" t="str">
        <f t="shared" si="52"/>
        <v>3/4</v>
      </c>
      <c r="N221" t="s">
        <v>3175</v>
      </c>
      <c r="O221" t="str">
        <f t="shared" si="58"/>
        <v>アンコモン</v>
      </c>
      <c r="R221" t="s">
        <v>3175</v>
      </c>
      <c r="S221" t="s">
        <v>4750</v>
      </c>
      <c r="T221" t="str">
        <f t="shared" si="59"/>
        <v>改良された縫い翼</v>
      </c>
      <c r="U221" t="str">
        <f t="shared" si="60"/>
        <v/>
      </c>
      <c r="V221" t="str">
        <f>IF(I221=0,VLOOKUP(TAG!T221,Sheet4!A:B,2,TRUE),"")</f>
        <v/>
      </c>
      <c r="W221" t="s">
        <v>4751</v>
      </c>
      <c r="X221" t="s">
        <v>3175</v>
      </c>
      <c r="Z221" s="3">
        <v>768</v>
      </c>
      <c r="AA221" s="2" t="s">
        <v>3773</v>
      </c>
      <c r="AB221" s="1" t="s">
        <v>1606</v>
      </c>
      <c r="AC221" s="1" t="s">
        <v>1451</v>
      </c>
      <c r="AD221" s="1">
        <v>10</v>
      </c>
      <c r="AE221" s="1" t="s">
        <v>973</v>
      </c>
      <c r="AF221" s="1" t="s">
        <v>972</v>
      </c>
      <c r="AG221" s="1" t="s">
        <v>339</v>
      </c>
      <c r="AH221" s="1" t="s">
        <v>1484</v>
      </c>
      <c r="AI221" s="1" t="s">
        <v>2802</v>
      </c>
      <c r="AJ221" s="1"/>
      <c r="AK221" s="1" t="s">
        <v>351</v>
      </c>
      <c r="AL221" s="1" t="s">
        <v>3804</v>
      </c>
      <c r="AM221" s="1"/>
      <c r="AN221" s="1"/>
      <c r="AO221" s="1">
        <v>3</v>
      </c>
      <c r="AP221" s="1">
        <v>4</v>
      </c>
      <c r="AQ221" s="1" t="s">
        <v>3805</v>
      </c>
    </row>
    <row r="222" spans="1:43" x14ac:dyDescent="0.15">
      <c r="A222" t="str">
        <f t="shared" si="51"/>
        <v>|EMN|青|0|3/4|アンコモン|《[[貪欲な読書家&gt;詮索好きのホムンクルス]]》|</v>
      </c>
      <c r="B222" t="s">
        <v>3168</v>
      </c>
      <c r="C222" t="str">
        <f t="shared" si="53"/>
        <v>EMN</v>
      </c>
      <c r="D222">
        <f>IF(AA222="","",VLOOKUP(C222,tnpl!$Z$1:$AA$11,2,TRUE))</f>
        <v>5</v>
      </c>
      <c r="E222" t="s">
        <v>3168</v>
      </c>
      <c r="F222" t="str">
        <f t="shared" si="54"/>
        <v>青</v>
      </c>
      <c r="G222">
        <f>IF(AB222="","",VLOOKUP(F222,tnpl!$X$1:$Y$16,2,TRUE))</f>
        <v>2</v>
      </c>
      <c r="H222" t="s">
        <v>3168</v>
      </c>
      <c r="I222">
        <f t="shared" si="55"/>
        <v>0</v>
      </c>
      <c r="J222" t="s">
        <v>3168</v>
      </c>
      <c r="K222">
        <f t="shared" si="56"/>
        <v>3</v>
      </c>
      <c r="L222">
        <f t="shared" si="57"/>
        <v>4</v>
      </c>
      <c r="M222" t="str">
        <f t="shared" si="52"/>
        <v>3/4</v>
      </c>
      <c r="N222" t="s">
        <v>3175</v>
      </c>
      <c r="O222" t="str">
        <f t="shared" si="58"/>
        <v>アンコモン</v>
      </c>
      <c r="R222" t="s">
        <v>3175</v>
      </c>
      <c r="S222" t="s">
        <v>4750</v>
      </c>
      <c r="T222" t="str">
        <f t="shared" si="59"/>
        <v>貪欲な読書家</v>
      </c>
      <c r="U222" t="str">
        <f t="shared" si="60"/>
        <v>&gt;</v>
      </c>
      <c r="V222" t="str">
        <f>IF(I222=0,VLOOKUP(TAG!T222,Sheet4!A:B,2,TRUE),"")</f>
        <v>詮索好きのホムンクルス</v>
      </c>
      <c r="W222" t="s">
        <v>4751</v>
      </c>
      <c r="X222" t="s">
        <v>3175</v>
      </c>
      <c r="Z222" s="3">
        <v>770</v>
      </c>
      <c r="AA222" s="2" t="s">
        <v>3773</v>
      </c>
      <c r="AB222" s="1" t="s">
        <v>1606</v>
      </c>
      <c r="AC222" s="1" t="s">
        <v>1451</v>
      </c>
      <c r="AD222" s="13">
        <v>0</v>
      </c>
      <c r="AE222" s="1" t="s">
        <v>852</v>
      </c>
      <c r="AF222" s="1" t="s">
        <v>851</v>
      </c>
      <c r="AG222" s="1" t="s">
        <v>339</v>
      </c>
      <c r="AH222" s="1" t="s">
        <v>1435</v>
      </c>
      <c r="AI222" s="1" t="s">
        <v>3806</v>
      </c>
      <c r="AJ222" s="1"/>
      <c r="AK222" s="1" t="s">
        <v>3809</v>
      </c>
      <c r="AL222" s="1" t="s">
        <v>3810</v>
      </c>
      <c r="AM222" s="1"/>
      <c r="AN222" s="1"/>
      <c r="AO222" s="1">
        <v>3</v>
      </c>
      <c r="AP222" s="1">
        <v>4</v>
      </c>
      <c r="AQ222" s="1" t="s">
        <v>3811</v>
      </c>
    </row>
    <row r="223" spans="1:43" x14ac:dyDescent="0.15">
      <c r="A223" t="str">
        <f t="shared" si="51"/>
        <v>|EMN|黒|0|3/4|アンコモン|《[[騒がしい徒党&gt;夜深の死体あさり]]》|</v>
      </c>
      <c r="B223" t="s">
        <v>3168</v>
      </c>
      <c r="C223" t="str">
        <f t="shared" si="53"/>
        <v>EMN</v>
      </c>
      <c r="D223">
        <f>IF(AA223="","",VLOOKUP(C223,tnpl!$Z$1:$AA$11,2,TRUE))</f>
        <v>5</v>
      </c>
      <c r="E223" t="s">
        <v>3168</v>
      </c>
      <c r="F223" t="str">
        <f t="shared" si="54"/>
        <v>黒</v>
      </c>
      <c r="G223">
        <f>IF(AB223="","",VLOOKUP(F223,tnpl!$X$1:$Y$16,2,TRUE))</f>
        <v>3</v>
      </c>
      <c r="H223" t="s">
        <v>3168</v>
      </c>
      <c r="I223">
        <f t="shared" si="55"/>
        <v>0</v>
      </c>
      <c r="J223" t="s">
        <v>3168</v>
      </c>
      <c r="K223">
        <f t="shared" si="56"/>
        <v>3</v>
      </c>
      <c r="L223">
        <f t="shared" si="57"/>
        <v>4</v>
      </c>
      <c r="M223" t="str">
        <f t="shared" si="52"/>
        <v>3/4</v>
      </c>
      <c r="N223" t="s">
        <v>3175</v>
      </c>
      <c r="O223" t="str">
        <f t="shared" si="58"/>
        <v>アンコモン</v>
      </c>
      <c r="R223" t="s">
        <v>3175</v>
      </c>
      <c r="S223" t="s">
        <v>4750</v>
      </c>
      <c r="T223" t="str">
        <f t="shared" si="59"/>
        <v>騒がしい徒党</v>
      </c>
      <c r="U223" t="str">
        <f t="shared" si="60"/>
        <v>&gt;</v>
      </c>
      <c r="V223" t="str">
        <f>IF(I223=0,VLOOKUP(TAG!T223,Sheet4!A:B,2,TRUE),"")</f>
        <v>夜深の死体あさり</v>
      </c>
      <c r="W223" t="s">
        <v>4751</v>
      </c>
      <c r="X223" t="s">
        <v>3175</v>
      </c>
      <c r="Z223" s="3">
        <v>781</v>
      </c>
      <c r="AA223" s="2" t="s">
        <v>3773</v>
      </c>
      <c r="AB223" s="1" t="s">
        <v>1582</v>
      </c>
      <c r="AC223" s="1" t="s">
        <v>1451</v>
      </c>
      <c r="AD223" s="13">
        <v>0</v>
      </c>
      <c r="AE223" s="1" t="s">
        <v>850</v>
      </c>
      <c r="AF223" s="1" t="s">
        <v>849</v>
      </c>
      <c r="AG223" s="1" t="s">
        <v>339</v>
      </c>
      <c r="AH223" s="1" t="s">
        <v>1435</v>
      </c>
      <c r="AI223" s="1" t="s">
        <v>2802</v>
      </c>
      <c r="AJ223" s="1"/>
      <c r="AK223" s="1" t="s">
        <v>2755</v>
      </c>
      <c r="AL223" s="1" t="s">
        <v>3801</v>
      </c>
      <c r="AM223" s="1" t="s">
        <v>3830</v>
      </c>
      <c r="AN223" s="1"/>
      <c r="AO223" s="1">
        <v>3</v>
      </c>
      <c r="AP223" s="1">
        <v>4</v>
      </c>
      <c r="AQ223" s="1" t="s">
        <v>3831</v>
      </c>
    </row>
    <row r="224" spans="1:43" x14ac:dyDescent="0.15">
      <c r="A224" t="str">
        <f t="shared" si="51"/>
        <v>|EMN|赤|10|3/4|アンコモン|《[[怒り刃の吸血鬼]]》|</v>
      </c>
      <c r="B224" t="s">
        <v>3168</v>
      </c>
      <c r="C224" t="str">
        <f t="shared" si="53"/>
        <v>EMN</v>
      </c>
      <c r="D224">
        <f>IF(AA224="","",VLOOKUP(C224,tnpl!$Z$1:$AA$11,2,TRUE))</f>
        <v>5</v>
      </c>
      <c r="E224" t="s">
        <v>3168</v>
      </c>
      <c r="F224" t="str">
        <f t="shared" si="54"/>
        <v>赤</v>
      </c>
      <c r="G224">
        <f>IF(AB224="","",VLOOKUP(F224,tnpl!$X$1:$Y$16,2,TRUE))</f>
        <v>4</v>
      </c>
      <c r="H224" t="s">
        <v>3168</v>
      </c>
      <c r="I224">
        <f t="shared" si="55"/>
        <v>10</v>
      </c>
      <c r="J224" t="s">
        <v>3168</v>
      </c>
      <c r="K224">
        <f t="shared" si="56"/>
        <v>3</v>
      </c>
      <c r="L224">
        <f t="shared" si="57"/>
        <v>4</v>
      </c>
      <c r="M224" t="str">
        <f t="shared" si="52"/>
        <v>3/4</v>
      </c>
      <c r="N224" t="s">
        <v>3175</v>
      </c>
      <c r="O224" t="str">
        <f t="shared" si="58"/>
        <v>アンコモン</v>
      </c>
      <c r="R224" t="s">
        <v>3175</v>
      </c>
      <c r="S224" t="s">
        <v>4750</v>
      </c>
      <c r="T224" t="str">
        <f t="shared" si="59"/>
        <v>怒り刃の吸血鬼</v>
      </c>
      <c r="U224" t="str">
        <f t="shared" si="60"/>
        <v/>
      </c>
      <c r="V224" t="str">
        <f>IF(I224=0,VLOOKUP(TAG!T224,Sheet4!A:B,2,TRUE),"")</f>
        <v/>
      </c>
      <c r="W224" t="s">
        <v>4751</v>
      </c>
      <c r="X224" t="s">
        <v>3175</v>
      </c>
      <c r="Z224" s="3">
        <v>793</v>
      </c>
      <c r="AA224" s="2" t="s">
        <v>3773</v>
      </c>
      <c r="AB224" s="1" t="s">
        <v>1552</v>
      </c>
      <c r="AC224" s="1" t="s">
        <v>1451</v>
      </c>
      <c r="AD224" s="1">
        <v>10</v>
      </c>
      <c r="AE224" s="1" t="s">
        <v>932</v>
      </c>
      <c r="AF224" s="1" t="s">
        <v>931</v>
      </c>
      <c r="AG224" s="1" t="s">
        <v>339</v>
      </c>
      <c r="AH224" s="1" t="s">
        <v>1494</v>
      </c>
      <c r="AI224" s="1" t="s">
        <v>1738</v>
      </c>
      <c r="AJ224" s="1"/>
      <c r="AK224" s="1" t="s">
        <v>3218</v>
      </c>
      <c r="AL224" s="1" t="s">
        <v>3855</v>
      </c>
      <c r="AM224" s="1"/>
      <c r="AN224" s="1"/>
      <c r="AO224" s="1">
        <v>3</v>
      </c>
      <c r="AP224" s="1">
        <v>4</v>
      </c>
      <c r="AQ224" s="1" t="s">
        <v>3856</v>
      </c>
    </row>
    <row r="225" spans="1:43" x14ac:dyDescent="0.15">
      <c r="A225" t="str">
        <f t="shared" si="51"/>
        <v>|EMN|無色|23|3/4|アンコモン|《[[甚だしい大口]]》|</v>
      </c>
      <c r="B225" t="s">
        <v>3168</v>
      </c>
      <c r="C225" t="str">
        <f t="shared" si="53"/>
        <v>EMN</v>
      </c>
      <c r="D225">
        <f>IF(AA225="","",VLOOKUP(C225,tnpl!$Z$1:$AA$11,2,TRUE))</f>
        <v>5</v>
      </c>
      <c r="E225" t="s">
        <v>3168</v>
      </c>
      <c r="F225" t="str">
        <f t="shared" si="54"/>
        <v>無色</v>
      </c>
      <c r="G225">
        <f>IF(AB225="","",VLOOKUP(F225,tnpl!$X$1:$Y$16,2,TRUE))</f>
        <v>16</v>
      </c>
      <c r="H225" t="s">
        <v>3168</v>
      </c>
      <c r="I225">
        <f t="shared" si="55"/>
        <v>23</v>
      </c>
      <c r="J225" t="s">
        <v>3168</v>
      </c>
      <c r="K225">
        <f t="shared" si="56"/>
        <v>3</v>
      </c>
      <c r="L225">
        <f t="shared" si="57"/>
        <v>4</v>
      </c>
      <c r="M225" t="str">
        <f t="shared" si="52"/>
        <v>3/4</v>
      </c>
      <c r="N225" t="s">
        <v>3175</v>
      </c>
      <c r="O225" t="str">
        <f t="shared" si="58"/>
        <v>アンコモン</v>
      </c>
      <c r="R225" t="s">
        <v>3175</v>
      </c>
      <c r="S225" t="s">
        <v>4750</v>
      </c>
      <c r="T225" t="str">
        <f t="shared" si="59"/>
        <v>甚だしい大口</v>
      </c>
      <c r="U225" t="str">
        <f t="shared" si="60"/>
        <v/>
      </c>
      <c r="V225" t="str">
        <f>IF(I225=0,VLOOKUP(TAG!T225,Sheet4!A:B,2,TRUE),"")</f>
        <v/>
      </c>
      <c r="W225" t="s">
        <v>4751</v>
      </c>
      <c r="X225" t="s">
        <v>3175</v>
      </c>
      <c r="Z225" s="3">
        <v>829</v>
      </c>
      <c r="AA225" s="2" t="s">
        <v>3773</v>
      </c>
      <c r="AB225" s="1" t="s">
        <v>292</v>
      </c>
      <c r="AC225" s="1" t="s">
        <v>1451</v>
      </c>
      <c r="AD225" s="1">
        <v>23</v>
      </c>
      <c r="AE225" s="1" t="s">
        <v>872</v>
      </c>
      <c r="AF225" s="1" t="s">
        <v>871</v>
      </c>
      <c r="AG225" s="1" t="s">
        <v>339</v>
      </c>
      <c r="AH225" s="1" t="s">
        <v>1435</v>
      </c>
      <c r="AI225" s="1"/>
      <c r="AJ225" s="1"/>
      <c r="AK225" s="1" t="s">
        <v>3922</v>
      </c>
      <c r="AL225" s="1" t="s">
        <v>3923</v>
      </c>
      <c r="AM225" s="1"/>
      <c r="AN225" s="1"/>
      <c r="AO225" s="1">
        <v>3</v>
      </c>
      <c r="AP225" s="1">
        <v>4</v>
      </c>
      <c r="AQ225" s="1" t="s">
        <v>3924</v>
      </c>
    </row>
    <row r="226" spans="1:43" x14ac:dyDescent="0.15">
      <c r="A226" t="str">
        <f t="shared" si="51"/>
        <v>|KLD|白|12|3/4|アンコモン|《[[空中対応員]]》|</v>
      </c>
      <c r="B226" t="s">
        <v>3168</v>
      </c>
      <c r="C226" t="str">
        <f t="shared" si="53"/>
        <v>KLD</v>
      </c>
      <c r="D226">
        <f>IF(AA226="","",VLOOKUP(C226,tnpl!$Z$1:$AA$11,2,TRUE))</f>
        <v>6</v>
      </c>
      <c r="E226" t="s">
        <v>3168</v>
      </c>
      <c r="F226" t="str">
        <f t="shared" si="54"/>
        <v>白</v>
      </c>
      <c r="G226">
        <f>IF(AB226="","",VLOOKUP(F226,tnpl!$X$1:$Y$16,2,TRUE))</f>
        <v>1</v>
      </c>
      <c r="H226" t="s">
        <v>3168</v>
      </c>
      <c r="I226">
        <f t="shared" si="55"/>
        <v>12</v>
      </c>
      <c r="J226" t="s">
        <v>3168</v>
      </c>
      <c r="K226">
        <f t="shared" si="56"/>
        <v>3</v>
      </c>
      <c r="L226">
        <f t="shared" si="57"/>
        <v>4</v>
      </c>
      <c r="M226" t="str">
        <f t="shared" si="52"/>
        <v>3/4</v>
      </c>
      <c r="N226" t="s">
        <v>3175</v>
      </c>
      <c r="O226" t="str">
        <f t="shared" si="58"/>
        <v>アンコモン</v>
      </c>
      <c r="R226" t="s">
        <v>3175</v>
      </c>
      <c r="S226" t="s">
        <v>4750</v>
      </c>
      <c r="T226" t="str">
        <f t="shared" si="59"/>
        <v>空中対応員</v>
      </c>
      <c r="U226" t="str">
        <f t="shared" si="60"/>
        <v/>
      </c>
      <c r="V226" t="str">
        <f>IF(I226=0,VLOOKUP(TAG!T226,Sheet4!A:B,2,TRUE),"")</f>
        <v/>
      </c>
      <c r="W226" t="s">
        <v>4751</v>
      </c>
      <c r="X226" t="s">
        <v>3175</v>
      </c>
      <c r="Z226" s="3">
        <v>846</v>
      </c>
      <c r="AA226" s="2" t="s">
        <v>3937</v>
      </c>
      <c r="AB226" s="1" t="s">
        <v>1627</v>
      </c>
      <c r="AC226" s="1" t="s">
        <v>1451</v>
      </c>
      <c r="AD226" s="1">
        <v>12</v>
      </c>
      <c r="AE226" s="1" t="s">
        <v>813</v>
      </c>
      <c r="AF226" s="1" t="s">
        <v>812</v>
      </c>
      <c r="AG226" s="1" t="s">
        <v>339</v>
      </c>
      <c r="AH226" s="1" t="s">
        <v>3938</v>
      </c>
      <c r="AI226" s="1" t="s">
        <v>1799</v>
      </c>
      <c r="AJ226" s="1"/>
      <c r="AK226" s="1" t="s">
        <v>3954</v>
      </c>
      <c r="AL226" s="1"/>
      <c r="AM226" s="1"/>
      <c r="AN226" s="1"/>
      <c r="AO226" s="1">
        <v>3</v>
      </c>
      <c r="AP226" s="1">
        <v>4</v>
      </c>
      <c r="AQ226" s="1" t="s">
        <v>3954</v>
      </c>
    </row>
    <row r="227" spans="1:43" x14ac:dyDescent="0.15">
      <c r="A227" t="str">
        <f t="shared" si="51"/>
        <v>|KLD|白|11|3/4|アンコモン|《[[領事の盾護員]]》|</v>
      </c>
      <c r="B227" t="s">
        <v>3168</v>
      </c>
      <c r="C227" t="str">
        <f t="shared" si="53"/>
        <v>KLD</v>
      </c>
      <c r="D227">
        <f>IF(AA227="","",VLOOKUP(C227,tnpl!$Z$1:$AA$11,2,TRUE))</f>
        <v>6</v>
      </c>
      <c r="E227" t="s">
        <v>3168</v>
      </c>
      <c r="F227" t="str">
        <f t="shared" si="54"/>
        <v>白</v>
      </c>
      <c r="G227">
        <f>IF(AB227="","",VLOOKUP(F227,tnpl!$X$1:$Y$16,2,TRUE))</f>
        <v>1</v>
      </c>
      <c r="H227" t="s">
        <v>3168</v>
      </c>
      <c r="I227">
        <f t="shared" si="55"/>
        <v>11</v>
      </c>
      <c r="J227" t="s">
        <v>3168</v>
      </c>
      <c r="K227">
        <f t="shared" si="56"/>
        <v>3</v>
      </c>
      <c r="L227">
        <f t="shared" si="57"/>
        <v>4</v>
      </c>
      <c r="M227" t="str">
        <f t="shared" si="52"/>
        <v>3/4</v>
      </c>
      <c r="N227" t="s">
        <v>3175</v>
      </c>
      <c r="O227" t="str">
        <f t="shared" si="58"/>
        <v>アンコモン</v>
      </c>
      <c r="R227" t="s">
        <v>3175</v>
      </c>
      <c r="S227" t="s">
        <v>4750</v>
      </c>
      <c r="T227" t="str">
        <f t="shared" si="59"/>
        <v>領事の盾護員</v>
      </c>
      <c r="U227" t="str">
        <f t="shared" si="60"/>
        <v/>
      </c>
      <c r="V227" t="str">
        <f>IF(I227=0,VLOOKUP(TAG!T227,Sheet4!A:B,2,TRUE),"")</f>
        <v/>
      </c>
      <c r="W227" t="s">
        <v>4751</v>
      </c>
      <c r="X227" t="s">
        <v>3175</v>
      </c>
      <c r="Z227" s="3">
        <v>847</v>
      </c>
      <c r="AA227" s="2" t="s">
        <v>3937</v>
      </c>
      <c r="AB227" s="1" t="s">
        <v>1627</v>
      </c>
      <c r="AC227" s="1" t="s">
        <v>1451</v>
      </c>
      <c r="AD227" s="1">
        <v>11</v>
      </c>
      <c r="AE227" s="1" t="s">
        <v>809</v>
      </c>
      <c r="AF227" s="1" t="s">
        <v>808</v>
      </c>
      <c r="AG227" s="1" t="s">
        <v>339</v>
      </c>
      <c r="AH227" s="1" t="s">
        <v>3938</v>
      </c>
      <c r="AI227" s="1" t="s">
        <v>1799</v>
      </c>
      <c r="AJ227" s="1"/>
      <c r="AK227" s="1" t="s">
        <v>2595</v>
      </c>
      <c r="AL227" s="1" t="s">
        <v>3940</v>
      </c>
      <c r="AM227" s="1" t="s">
        <v>3955</v>
      </c>
      <c r="AN227" s="1"/>
      <c r="AO227" s="1">
        <v>3</v>
      </c>
      <c r="AP227" s="1">
        <v>4</v>
      </c>
      <c r="AQ227" s="1" t="s">
        <v>3956</v>
      </c>
    </row>
    <row r="228" spans="1:43" x14ac:dyDescent="0.15">
      <c r="A228" t="str">
        <f t="shared" si="51"/>
        <v>|KLD|青|9|3/4|アンコモン|《[[ジャンジーの歩哨]]》|</v>
      </c>
      <c r="B228" t="s">
        <v>3168</v>
      </c>
      <c r="C228" t="str">
        <f t="shared" si="53"/>
        <v>KLD</v>
      </c>
      <c r="D228">
        <f>IF(AA228="","",VLOOKUP(C228,tnpl!$Z$1:$AA$11,2,TRUE))</f>
        <v>6</v>
      </c>
      <c r="E228" t="s">
        <v>3168</v>
      </c>
      <c r="F228" t="str">
        <f t="shared" si="54"/>
        <v>青</v>
      </c>
      <c r="G228">
        <f>IF(AB228="","",VLOOKUP(F228,tnpl!$X$1:$Y$16,2,TRUE))</f>
        <v>2</v>
      </c>
      <c r="H228" t="s">
        <v>3168</v>
      </c>
      <c r="I228">
        <f t="shared" si="55"/>
        <v>9</v>
      </c>
      <c r="J228" t="s">
        <v>3168</v>
      </c>
      <c r="K228">
        <f t="shared" si="56"/>
        <v>3</v>
      </c>
      <c r="L228">
        <f t="shared" si="57"/>
        <v>4</v>
      </c>
      <c r="M228" t="str">
        <f t="shared" si="52"/>
        <v>3/4</v>
      </c>
      <c r="N228" t="s">
        <v>3175</v>
      </c>
      <c r="O228" t="str">
        <f t="shared" si="58"/>
        <v>アンコモン</v>
      </c>
      <c r="R228" t="s">
        <v>3175</v>
      </c>
      <c r="S228" t="s">
        <v>4750</v>
      </c>
      <c r="T228" t="str">
        <f t="shared" si="59"/>
        <v>ジャンジーの歩哨</v>
      </c>
      <c r="U228" t="str">
        <f t="shared" si="60"/>
        <v/>
      </c>
      <c r="V228" t="str">
        <f>IF(I228=0,VLOOKUP(TAG!T228,Sheet4!A:B,2,TRUE),"")</f>
        <v/>
      </c>
      <c r="W228" t="s">
        <v>4751</v>
      </c>
      <c r="X228" t="s">
        <v>3175</v>
      </c>
      <c r="Z228" s="3">
        <v>874</v>
      </c>
      <c r="AA228" s="2" t="s">
        <v>3937</v>
      </c>
      <c r="AB228" s="1" t="s">
        <v>1606</v>
      </c>
      <c r="AC228" s="1" t="s">
        <v>1451</v>
      </c>
      <c r="AD228" s="1">
        <v>9</v>
      </c>
      <c r="AE228" s="1" t="s">
        <v>756</v>
      </c>
      <c r="AF228" s="1" t="s">
        <v>755</v>
      </c>
      <c r="AG228" s="1" t="s">
        <v>339</v>
      </c>
      <c r="AH228" s="1" t="s">
        <v>2911</v>
      </c>
      <c r="AI228" s="1" t="s">
        <v>1799</v>
      </c>
      <c r="AJ228" s="1"/>
      <c r="AK228" s="1" t="s">
        <v>3940</v>
      </c>
      <c r="AL228" s="1" t="s">
        <v>4004</v>
      </c>
      <c r="AM228" s="1"/>
      <c r="AN228" s="1"/>
      <c r="AO228" s="1">
        <v>3</v>
      </c>
      <c r="AP228" s="1">
        <v>4</v>
      </c>
      <c r="AQ228" s="1" t="s">
        <v>4005</v>
      </c>
    </row>
    <row r="229" spans="1:43" x14ac:dyDescent="0.15">
      <c r="A229" t="str">
        <f t="shared" si="51"/>
        <v>|KLD|青|12|3/4|アンコモン|《[[査問長官]]》|</v>
      </c>
      <c r="B229" t="s">
        <v>3168</v>
      </c>
      <c r="C229" t="str">
        <f t="shared" si="53"/>
        <v>KLD</v>
      </c>
      <c r="D229">
        <f>IF(AA229="","",VLOOKUP(C229,tnpl!$Z$1:$AA$11,2,TRUE))</f>
        <v>6</v>
      </c>
      <c r="E229" t="s">
        <v>3168</v>
      </c>
      <c r="F229" t="str">
        <f t="shared" si="54"/>
        <v>青</v>
      </c>
      <c r="G229">
        <f>IF(AB229="","",VLOOKUP(F229,tnpl!$X$1:$Y$16,2,TRUE))</f>
        <v>2</v>
      </c>
      <c r="H229" t="s">
        <v>3168</v>
      </c>
      <c r="I229">
        <f t="shared" si="55"/>
        <v>12</v>
      </c>
      <c r="J229" t="s">
        <v>3168</v>
      </c>
      <c r="K229">
        <f t="shared" si="56"/>
        <v>3</v>
      </c>
      <c r="L229">
        <f t="shared" si="57"/>
        <v>4</v>
      </c>
      <c r="M229" t="str">
        <f t="shared" si="52"/>
        <v>3/4</v>
      </c>
      <c r="N229" t="s">
        <v>3175</v>
      </c>
      <c r="O229" t="str">
        <f t="shared" si="58"/>
        <v>アンコモン</v>
      </c>
      <c r="R229" t="s">
        <v>3175</v>
      </c>
      <c r="S229" t="s">
        <v>4750</v>
      </c>
      <c r="T229" t="str">
        <f t="shared" si="59"/>
        <v>査問長官</v>
      </c>
      <c r="U229" t="str">
        <f t="shared" si="60"/>
        <v/>
      </c>
      <c r="V229" t="str">
        <f>IF(I229=0,VLOOKUP(TAG!T229,Sheet4!A:B,2,TRUE),"")</f>
        <v/>
      </c>
      <c r="W229" t="s">
        <v>4751</v>
      </c>
      <c r="X229" t="s">
        <v>3175</v>
      </c>
      <c r="Z229" s="3">
        <v>876</v>
      </c>
      <c r="AA229" s="2" t="s">
        <v>3937</v>
      </c>
      <c r="AB229" s="1" t="s">
        <v>1606</v>
      </c>
      <c r="AC229" s="1" t="s">
        <v>1451</v>
      </c>
      <c r="AD229" s="1">
        <v>12</v>
      </c>
      <c r="AE229" s="1" t="s">
        <v>752</v>
      </c>
      <c r="AF229" s="1" t="s">
        <v>751</v>
      </c>
      <c r="AG229" s="1" t="s">
        <v>339</v>
      </c>
      <c r="AH229" s="1" t="s">
        <v>2911</v>
      </c>
      <c r="AI229" s="1" t="s">
        <v>4007</v>
      </c>
      <c r="AJ229" s="1"/>
      <c r="AK229" s="1" t="s">
        <v>3940</v>
      </c>
      <c r="AL229" s="1" t="s">
        <v>4008</v>
      </c>
      <c r="AM229" s="1"/>
      <c r="AN229" s="1"/>
      <c r="AO229" s="1">
        <v>3</v>
      </c>
      <c r="AP229" s="1">
        <v>4</v>
      </c>
      <c r="AQ229" s="1" t="s">
        <v>4009</v>
      </c>
    </row>
    <row r="230" spans="1:43" x14ac:dyDescent="0.15">
      <c r="A230" t="str">
        <f t="shared" si="51"/>
        <v>|KLD|赤|12|3/4|アンコモン|《[[改革派の霊気砲手]]》|</v>
      </c>
      <c r="B230" t="s">
        <v>3168</v>
      </c>
      <c r="C230" t="str">
        <f t="shared" si="53"/>
        <v>KLD</v>
      </c>
      <c r="D230">
        <f>IF(AA230="","",VLOOKUP(C230,tnpl!$Z$1:$AA$11,2,TRUE))</f>
        <v>6</v>
      </c>
      <c r="E230" t="s">
        <v>3168</v>
      </c>
      <c r="F230" t="str">
        <f t="shared" si="54"/>
        <v>赤</v>
      </c>
      <c r="G230">
        <f>IF(AB230="","",VLOOKUP(F230,tnpl!$X$1:$Y$16,2,TRUE))</f>
        <v>4</v>
      </c>
      <c r="H230" t="s">
        <v>3168</v>
      </c>
      <c r="I230">
        <f t="shared" si="55"/>
        <v>12</v>
      </c>
      <c r="J230" t="s">
        <v>3168</v>
      </c>
      <c r="K230">
        <f t="shared" si="56"/>
        <v>3</v>
      </c>
      <c r="L230">
        <f t="shared" si="57"/>
        <v>4</v>
      </c>
      <c r="M230" t="str">
        <f t="shared" si="52"/>
        <v>3/4</v>
      </c>
      <c r="N230" t="s">
        <v>3175</v>
      </c>
      <c r="O230" t="str">
        <f t="shared" si="58"/>
        <v>アンコモン</v>
      </c>
      <c r="R230" t="s">
        <v>3175</v>
      </c>
      <c r="S230" t="s">
        <v>4750</v>
      </c>
      <c r="T230" t="str">
        <f t="shared" si="59"/>
        <v>改革派の霊気砲手</v>
      </c>
      <c r="U230" t="str">
        <f t="shared" si="60"/>
        <v/>
      </c>
      <c r="V230" t="str">
        <f>IF(I230=0,VLOOKUP(TAG!T230,Sheet4!A:B,2,TRUE),"")</f>
        <v/>
      </c>
      <c r="W230" t="s">
        <v>4751</v>
      </c>
      <c r="X230" t="s">
        <v>3175</v>
      </c>
      <c r="Z230" s="3">
        <v>925</v>
      </c>
      <c r="AA230" s="2" t="s">
        <v>3937</v>
      </c>
      <c r="AB230" s="1" t="s">
        <v>1552</v>
      </c>
      <c r="AC230" s="1" t="s">
        <v>1451</v>
      </c>
      <c r="AD230" s="1">
        <v>12</v>
      </c>
      <c r="AE230" s="1" t="s">
        <v>662</v>
      </c>
      <c r="AF230" s="1" t="s">
        <v>661</v>
      </c>
      <c r="AG230" s="1" t="s">
        <v>339</v>
      </c>
      <c r="AH230" s="1" t="s">
        <v>1489</v>
      </c>
      <c r="AI230" s="1" t="s">
        <v>2938</v>
      </c>
      <c r="AJ230" s="1"/>
      <c r="AK230" s="1" t="s">
        <v>3989</v>
      </c>
      <c r="AL230" s="1" t="s">
        <v>4086</v>
      </c>
      <c r="AM230" s="1"/>
      <c r="AN230" s="1"/>
      <c r="AO230" s="1">
        <v>3</v>
      </c>
      <c r="AP230" s="1">
        <v>4</v>
      </c>
      <c r="AQ230" s="1" t="s">
        <v>4087</v>
      </c>
    </row>
    <row r="231" spans="1:43" x14ac:dyDescent="0.15">
      <c r="A231" t="str">
        <f t="shared" si="51"/>
        <v>|KLD|赤|7|3/4|アンコモン|《[[発明者の見習い]]》|</v>
      </c>
      <c r="B231" t="s">
        <v>3168</v>
      </c>
      <c r="C231" t="str">
        <f t="shared" si="53"/>
        <v>KLD</v>
      </c>
      <c r="D231">
        <f>IF(AA231="","",VLOOKUP(C231,tnpl!$Z$1:$AA$11,2,TRUE))</f>
        <v>6</v>
      </c>
      <c r="E231" t="s">
        <v>3168</v>
      </c>
      <c r="F231" t="str">
        <f t="shared" si="54"/>
        <v>赤</v>
      </c>
      <c r="G231">
        <f>IF(AB231="","",VLOOKUP(F231,tnpl!$X$1:$Y$16,2,TRUE))</f>
        <v>4</v>
      </c>
      <c r="H231" t="s">
        <v>3168</v>
      </c>
      <c r="I231">
        <f t="shared" si="55"/>
        <v>7</v>
      </c>
      <c r="J231" t="s">
        <v>3168</v>
      </c>
      <c r="K231">
        <f t="shared" si="56"/>
        <v>3</v>
      </c>
      <c r="L231">
        <f t="shared" si="57"/>
        <v>4</v>
      </c>
      <c r="M231" t="str">
        <f t="shared" si="52"/>
        <v>3/4</v>
      </c>
      <c r="N231" t="s">
        <v>3175</v>
      </c>
      <c r="O231" t="str">
        <f t="shared" si="58"/>
        <v>アンコモン</v>
      </c>
      <c r="R231" t="s">
        <v>3175</v>
      </c>
      <c r="S231" t="s">
        <v>4750</v>
      </c>
      <c r="T231" t="str">
        <f t="shared" si="59"/>
        <v>発明者の見習い</v>
      </c>
      <c r="U231" t="str">
        <f t="shared" si="60"/>
        <v/>
      </c>
      <c r="V231" t="str">
        <f>IF(I231=0,VLOOKUP(TAG!T231,Sheet4!A:B,2,TRUE),"")</f>
        <v/>
      </c>
      <c r="W231" t="s">
        <v>4751</v>
      </c>
      <c r="X231" t="s">
        <v>3175</v>
      </c>
      <c r="Z231" s="3">
        <v>927</v>
      </c>
      <c r="AA231" s="2" t="s">
        <v>3937</v>
      </c>
      <c r="AB231" s="1" t="s">
        <v>1552</v>
      </c>
      <c r="AC231" s="1" t="s">
        <v>1451</v>
      </c>
      <c r="AD231" s="1">
        <v>7</v>
      </c>
      <c r="AE231" s="1" t="s">
        <v>654</v>
      </c>
      <c r="AF231" s="1" t="s">
        <v>653</v>
      </c>
      <c r="AG231" s="1" t="s">
        <v>339</v>
      </c>
      <c r="AH231" s="1" t="s">
        <v>1489</v>
      </c>
      <c r="AI231" s="1" t="s">
        <v>1641</v>
      </c>
      <c r="AJ231" s="1"/>
      <c r="AK231" s="1" t="s">
        <v>4088</v>
      </c>
      <c r="AL231" s="1"/>
      <c r="AM231" s="1"/>
      <c r="AN231" s="1"/>
      <c r="AO231" s="1">
        <v>3</v>
      </c>
      <c r="AP231" s="1">
        <v>4</v>
      </c>
      <c r="AQ231" s="1" t="s">
        <v>4088</v>
      </c>
    </row>
    <row r="232" spans="1:43" x14ac:dyDescent="0.15">
      <c r="A232" t="str">
        <f t="shared" si="51"/>
        <v>|KLD|赤|10|3/4|アンコモン|《[[天才速製職人]]》|</v>
      </c>
      <c r="B232" t="s">
        <v>3168</v>
      </c>
      <c r="C232" t="str">
        <f t="shared" si="53"/>
        <v>KLD</v>
      </c>
      <c r="D232">
        <f>IF(AA232="","",VLOOKUP(C232,tnpl!$Z$1:$AA$11,2,TRUE))</f>
        <v>6</v>
      </c>
      <c r="E232" t="s">
        <v>3168</v>
      </c>
      <c r="F232" t="str">
        <f t="shared" si="54"/>
        <v>赤</v>
      </c>
      <c r="G232">
        <f>IF(AB232="","",VLOOKUP(F232,tnpl!$X$1:$Y$16,2,TRUE))</f>
        <v>4</v>
      </c>
      <c r="H232" t="s">
        <v>3168</v>
      </c>
      <c r="I232">
        <f t="shared" si="55"/>
        <v>10</v>
      </c>
      <c r="J232" t="s">
        <v>3168</v>
      </c>
      <c r="K232">
        <f t="shared" si="56"/>
        <v>3</v>
      </c>
      <c r="L232">
        <f t="shared" si="57"/>
        <v>4</v>
      </c>
      <c r="M232" t="str">
        <f t="shared" si="52"/>
        <v>3/4</v>
      </c>
      <c r="N232" t="s">
        <v>3175</v>
      </c>
      <c r="O232" t="str">
        <f t="shared" si="58"/>
        <v>アンコモン</v>
      </c>
      <c r="R232" t="s">
        <v>3175</v>
      </c>
      <c r="S232" t="s">
        <v>4750</v>
      </c>
      <c r="T232" t="str">
        <f t="shared" si="59"/>
        <v>天才速製職人</v>
      </c>
      <c r="U232" t="str">
        <f t="shared" si="60"/>
        <v/>
      </c>
      <c r="V232" t="str">
        <f>IF(I232=0,VLOOKUP(TAG!T232,Sheet4!A:B,2,TRUE),"")</f>
        <v/>
      </c>
      <c r="W232" t="s">
        <v>4751</v>
      </c>
      <c r="X232" t="s">
        <v>3175</v>
      </c>
      <c r="Z232" s="3">
        <v>928</v>
      </c>
      <c r="AA232" s="2" t="s">
        <v>3937</v>
      </c>
      <c r="AB232" s="1" t="s">
        <v>1552</v>
      </c>
      <c r="AC232" s="1" t="s">
        <v>1451</v>
      </c>
      <c r="AD232" s="1">
        <v>10</v>
      </c>
      <c r="AE232" s="1" t="s">
        <v>652</v>
      </c>
      <c r="AF232" s="1" t="s">
        <v>651</v>
      </c>
      <c r="AG232" s="1" t="s">
        <v>339</v>
      </c>
      <c r="AH232" s="1" t="s">
        <v>1489</v>
      </c>
      <c r="AI232" s="1" t="s">
        <v>1641</v>
      </c>
      <c r="AJ232" s="1"/>
      <c r="AK232" s="1" t="s">
        <v>3425</v>
      </c>
      <c r="AL232" s="1" t="s">
        <v>4089</v>
      </c>
      <c r="AM232" s="1"/>
      <c r="AN232" s="1"/>
      <c r="AO232" s="1">
        <v>3</v>
      </c>
      <c r="AP232" s="1">
        <v>4</v>
      </c>
      <c r="AQ232" s="1" t="s">
        <v>4090</v>
      </c>
    </row>
    <row r="233" spans="1:43" x14ac:dyDescent="0.15">
      <c r="A233" t="str">
        <f t="shared" si="51"/>
        <v>|KLD|緑|10|3/4|アンコモン|《[[洗練された鍛刃士]]》|</v>
      </c>
      <c r="B233" t="s">
        <v>3168</v>
      </c>
      <c r="C233" t="str">
        <f t="shared" si="53"/>
        <v>KLD</v>
      </c>
      <c r="D233">
        <f>IF(AA233="","",VLOOKUP(C233,tnpl!$Z$1:$AA$11,2,TRUE))</f>
        <v>6</v>
      </c>
      <c r="E233" t="s">
        <v>3168</v>
      </c>
      <c r="F233" t="str">
        <f t="shared" si="54"/>
        <v>緑</v>
      </c>
      <c r="G233">
        <f>IF(AB233="","",VLOOKUP(F233,tnpl!$X$1:$Y$16,2,TRUE))</f>
        <v>5</v>
      </c>
      <c r="H233" t="s">
        <v>3168</v>
      </c>
      <c r="I233">
        <f t="shared" si="55"/>
        <v>10</v>
      </c>
      <c r="J233" t="s">
        <v>3168</v>
      </c>
      <c r="K233">
        <f t="shared" si="56"/>
        <v>3</v>
      </c>
      <c r="L233">
        <f t="shared" si="57"/>
        <v>4</v>
      </c>
      <c r="M233" t="str">
        <f t="shared" si="52"/>
        <v>3/4</v>
      </c>
      <c r="N233" t="s">
        <v>3175</v>
      </c>
      <c r="O233" t="str">
        <f t="shared" si="58"/>
        <v>アンコモン</v>
      </c>
      <c r="R233" t="s">
        <v>3175</v>
      </c>
      <c r="S233" t="s">
        <v>4750</v>
      </c>
      <c r="T233" t="str">
        <f t="shared" si="59"/>
        <v>洗練された鍛刃士</v>
      </c>
      <c r="U233" t="str">
        <f t="shared" si="60"/>
        <v/>
      </c>
      <c r="V233" t="str">
        <f>IF(I233=0,VLOOKUP(TAG!T233,Sheet4!A:B,2,TRUE),"")</f>
        <v/>
      </c>
      <c r="W233" t="s">
        <v>4751</v>
      </c>
      <c r="X233" t="s">
        <v>3175</v>
      </c>
      <c r="Z233" s="3">
        <v>955</v>
      </c>
      <c r="AA233" s="2" t="s">
        <v>3937</v>
      </c>
      <c r="AB233" s="1" t="s">
        <v>1518</v>
      </c>
      <c r="AC233" s="1" t="s">
        <v>1451</v>
      </c>
      <c r="AD233" s="1">
        <v>10</v>
      </c>
      <c r="AE233" s="1" t="s">
        <v>596</v>
      </c>
      <c r="AF233" s="1" t="s">
        <v>595</v>
      </c>
      <c r="AG233" s="1" t="s">
        <v>339</v>
      </c>
      <c r="AH233" s="1" t="s">
        <v>1479</v>
      </c>
      <c r="AI233" s="1" t="s">
        <v>1641</v>
      </c>
      <c r="AJ233" s="1"/>
      <c r="AK233" s="1" t="s">
        <v>4123</v>
      </c>
      <c r="AL233" s="1" t="s">
        <v>3960</v>
      </c>
      <c r="AM233" s="1"/>
      <c r="AN233" s="1"/>
      <c r="AO233" s="1">
        <v>3</v>
      </c>
      <c r="AP233" s="1">
        <v>4</v>
      </c>
      <c r="AQ233" s="1" t="s">
        <v>4124</v>
      </c>
    </row>
    <row r="234" spans="1:43" x14ac:dyDescent="0.15">
      <c r="A234" t="str">
        <f t="shared" si="51"/>
        <v>|KLD|緑青|16|3/4|アンコモン|《[[崇高な飛行士]]》|</v>
      </c>
      <c r="B234" t="s">
        <v>3168</v>
      </c>
      <c r="C234" t="str">
        <f t="shared" si="53"/>
        <v>KLD</v>
      </c>
      <c r="D234">
        <f>IF(AA234="","",VLOOKUP(C234,tnpl!$Z$1:$AA$11,2,TRUE))</f>
        <v>6</v>
      </c>
      <c r="E234" t="s">
        <v>3168</v>
      </c>
      <c r="F234" t="str">
        <f t="shared" si="54"/>
        <v>緑青</v>
      </c>
      <c r="G234">
        <f>IF(AB234="","",VLOOKUP(F234,tnpl!$X$1:$Y$16,2,TRUE))</f>
        <v>15</v>
      </c>
      <c r="H234" t="s">
        <v>3168</v>
      </c>
      <c r="I234">
        <f t="shared" si="55"/>
        <v>16</v>
      </c>
      <c r="J234" t="s">
        <v>3168</v>
      </c>
      <c r="K234">
        <f t="shared" si="56"/>
        <v>3</v>
      </c>
      <c r="L234">
        <f t="shared" si="57"/>
        <v>4</v>
      </c>
      <c r="M234" t="str">
        <f t="shared" si="52"/>
        <v>3/4</v>
      </c>
      <c r="N234" t="s">
        <v>3175</v>
      </c>
      <c r="O234" t="str">
        <f t="shared" si="58"/>
        <v>アンコモン</v>
      </c>
      <c r="R234" t="s">
        <v>3175</v>
      </c>
      <c r="S234" t="s">
        <v>4750</v>
      </c>
      <c r="T234" t="str">
        <f t="shared" si="59"/>
        <v>崇高な飛行士</v>
      </c>
      <c r="U234" t="str">
        <f t="shared" si="60"/>
        <v/>
      </c>
      <c r="V234" t="str">
        <f>IF(I234=0,VLOOKUP(TAG!T234,Sheet4!A:B,2,TRUE),"")</f>
        <v/>
      </c>
      <c r="W234" t="s">
        <v>4751</v>
      </c>
      <c r="X234" t="s">
        <v>3175</v>
      </c>
      <c r="Z234" s="3">
        <v>974</v>
      </c>
      <c r="AA234" s="2" t="s">
        <v>3937</v>
      </c>
      <c r="AB234" s="1" t="s">
        <v>1772</v>
      </c>
      <c r="AC234" s="1" t="s">
        <v>1451</v>
      </c>
      <c r="AD234" s="1">
        <v>16</v>
      </c>
      <c r="AE234" s="1" t="s">
        <v>564</v>
      </c>
      <c r="AF234" s="1" t="s">
        <v>563</v>
      </c>
      <c r="AG234" s="1" t="s">
        <v>339</v>
      </c>
      <c r="AH234" s="1" t="s">
        <v>2911</v>
      </c>
      <c r="AI234" s="1" t="s">
        <v>1929</v>
      </c>
      <c r="AJ234" s="1"/>
      <c r="AK234" s="1" t="s">
        <v>3596</v>
      </c>
      <c r="AL234" s="1" t="s">
        <v>4158</v>
      </c>
      <c r="AM234" s="1"/>
      <c r="AN234" s="1"/>
      <c r="AO234" s="1">
        <v>3</v>
      </c>
      <c r="AP234" s="1">
        <v>4</v>
      </c>
      <c r="AQ234" s="1" t="s">
        <v>4159</v>
      </c>
    </row>
    <row r="235" spans="1:43" x14ac:dyDescent="0.15">
      <c r="A235" t="str">
        <f t="shared" si="51"/>
        <v>|KLD|青赤|11|3/4|アンコモン|《[[つむじ風の巨匠]]》|</v>
      </c>
      <c r="B235" t="s">
        <v>3168</v>
      </c>
      <c r="C235" t="str">
        <f t="shared" si="53"/>
        <v>KLD</v>
      </c>
      <c r="D235">
        <f>IF(AA235="","",VLOOKUP(C235,tnpl!$Z$1:$AA$11,2,TRUE))</f>
        <v>6</v>
      </c>
      <c r="E235" t="s">
        <v>3168</v>
      </c>
      <c r="F235" t="str">
        <f t="shared" si="54"/>
        <v>青赤</v>
      </c>
      <c r="G235">
        <f>IF(AB235="","",VLOOKUP(F235,tnpl!$X$1:$Y$16,2,TRUE))</f>
        <v>12</v>
      </c>
      <c r="H235" t="s">
        <v>3168</v>
      </c>
      <c r="I235">
        <f t="shared" si="55"/>
        <v>11</v>
      </c>
      <c r="J235" t="s">
        <v>3168</v>
      </c>
      <c r="K235">
        <f t="shared" si="56"/>
        <v>3</v>
      </c>
      <c r="L235">
        <f t="shared" si="57"/>
        <v>4</v>
      </c>
      <c r="M235" t="str">
        <f t="shared" si="52"/>
        <v>3/4</v>
      </c>
      <c r="N235" t="s">
        <v>3175</v>
      </c>
      <c r="O235" t="str">
        <f t="shared" si="58"/>
        <v>アンコモン</v>
      </c>
      <c r="R235" t="s">
        <v>3175</v>
      </c>
      <c r="S235" t="s">
        <v>4750</v>
      </c>
      <c r="T235" t="str">
        <f t="shared" si="59"/>
        <v>つむじ風の巨匠</v>
      </c>
      <c r="U235" t="str">
        <f t="shared" si="60"/>
        <v/>
      </c>
      <c r="V235" t="str">
        <f>IF(I235=0,VLOOKUP(TAG!T235,Sheet4!A:B,2,TRUE),"")</f>
        <v/>
      </c>
      <c r="W235" t="s">
        <v>4751</v>
      </c>
      <c r="X235" t="s">
        <v>3175</v>
      </c>
      <c r="Z235" s="3">
        <v>978</v>
      </c>
      <c r="AA235" s="2" t="s">
        <v>3937</v>
      </c>
      <c r="AB235" s="1" t="s">
        <v>1467</v>
      </c>
      <c r="AC235" s="1" t="s">
        <v>1451</v>
      </c>
      <c r="AD235" s="1">
        <v>11</v>
      </c>
      <c r="AE235" s="1" t="s">
        <v>552</v>
      </c>
      <c r="AF235" s="1" t="s">
        <v>551</v>
      </c>
      <c r="AG235" s="1" t="s">
        <v>339</v>
      </c>
      <c r="AH235" s="1" t="s">
        <v>2911</v>
      </c>
      <c r="AI235" s="1" t="s">
        <v>1641</v>
      </c>
      <c r="AJ235" s="1"/>
      <c r="AK235" s="1" t="s">
        <v>3983</v>
      </c>
      <c r="AL235" s="1" t="s">
        <v>4164</v>
      </c>
      <c r="AM235" s="1"/>
      <c r="AN235" s="1"/>
      <c r="AO235" s="1">
        <v>3</v>
      </c>
      <c r="AP235" s="1">
        <v>4</v>
      </c>
      <c r="AQ235" s="1" t="s">
        <v>4165</v>
      </c>
    </row>
    <row r="236" spans="1:43" x14ac:dyDescent="0.15">
      <c r="A236" t="str">
        <f t="shared" si="51"/>
        <v>|AER|黒|13|3/4|アンコモン|《[[才気ある霊基体]]》|</v>
      </c>
      <c r="B236" t="s">
        <v>3168</v>
      </c>
      <c r="C236" t="str">
        <f t="shared" si="53"/>
        <v>AER</v>
      </c>
      <c r="D236">
        <f>IF(AA236="","",VLOOKUP(C236,tnpl!$Z$1:$AA$11,2,TRUE))</f>
        <v>7</v>
      </c>
      <c r="E236" t="s">
        <v>3168</v>
      </c>
      <c r="F236" t="str">
        <f t="shared" si="54"/>
        <v>黒</v>
      </c>
      <c r="G236">
        <f>IF(AB236="","",VLOOKUP(F236,tnpl!$X$1:$Y$16,2,TRUE))</f>
        <v>3</v>
      </c>
      <c r="H236" t="s">
        <v>3168</v>
      </c>
      <c r="I236">
        <f t="shared" si="55"/>
        <v>13</v>
      </c>
      <c r="J236" t="s">
        <v>3168</v>
      </c>
      <c r="K236">
        <f t="shared" si="56"/>
        <v>3</v>
      </c>
      <c r="L236">
        <f t="shared" si="57"/>
        <v>4</v>
      </c>
      <c r="M236" t="str">
        <f t="shared" si="52"/>
        <v>3/4</v>
      </c>
      <c r="N236" t="s">
        <v>3175</v>
      </c>
      <c r="O236" t="str">
        <f t="shared" si="58"/>
        <v>アンコモン</v>
      </c>
      <c r="R236" t="s">
        <v>3175</v>
      </c>
      <c r="S236" t="s">
        <v>4750</v>
      </c>
      <c r="T236" t="str">
        <f t="shared" si="59"/>
        <v>才気ある霊基体</v>
      </c>
      <c r="U236" t="str">
        <f t="shared" si="60"/>
        <v/>
      </c>
      <c r="V236" t="str">
        <f>IF(I236=0,VLOOKUP(TAG!T236,Sheet4!A:B,2,TRUE),"")</f>
        <v/>
      </c>
      <c r="W236" t="s">
        <v>4751</v>
      </c>
      <c r="X236" t="s">
        <v>3175</v>
      </c>
      <c r="Z236" s="3">
        <v>1038</v>
      </c>
      <c r="AA236" s="2" t="s">
        <v>4236</v>
      </c>
      <c r="AB236" s="1" t="s">
        <v>1582</v>
      </c>
      <c r="AC236" s="1" t="s">
        <v>1451</v>
      </c>
      <c r="AD236" s="1">
        <v>13</v>
      </c>
      <c r="AE236" s="1" t="s">
        <v>438</v>
      </c>
      <c r="AF236" s="1" t="s">
        <v>437</v>
      </c>
      <c r="AG236" s="1" t="s">
        <v>339</v>
      </c>
      <c r="AH236" s="1" t="s">
        <v>4031</v>
      </c>
      <c r="AI236" s="1" t="s">
        <v>1494</v>
      </c>
      <c r="AJ236" s="1"/>
      <c r="AK236" s="1" t="s">
        <v>4263</v>
      </c>
      <c r="AL236" s="1"/>
      <c r="AM236" s="1"/>
      <c r="AN236" s="1"/>
      <c r="AO236" s="1">
        <v>3</v>
      </c>
      <c r="AP236" s="1">
        <v>4</v>
      </c>
      <c r="AQ236" s="1" t="s">
        <v>4263</v>
      </c>
    </row>
    <row r="237" spans="1:43" x14ac:dyDescent="0.15">
      <c r="A237" t="str">
        <f t="shared" si="51"/>
        <v>|AKH|青|13|3/4|コモン|《[[微光鱗のドレイク]]》|</v>
      </c>
      <c r="B237" t="s">
        <v>3168</v>
      </c>
      <c r="C237" t="str">
        <f t="shared" si="53"/>
        <v>AKH</v>
      </c>
      <c r="D237">
        <f>IF(AA237="","",VLOOKUP(C237,tnpl!$Z$1:$AA$11,2,TRUE))</f>
        <v>10</v>
      </c>
      <c r="E237" t="s">
        <v>3168</v>
      </c>
      <c r="F237" t="str">
        <f t="shared" si="54"/>
        <v>青</v>
      </c>
      <c r="G237">
        <f>IF(AB237="","",VLOOKUP(F237,tnpl!$X$1:$Y$16,2,TRUE))</f>
        <v>2</v>
      </c>
      <c r="H237" t="s">
        <v>3168</v>
      </c>
      <c r="I237">
        <f t="shared" si="55"/>
        <v>13</v>
      </c>
      <c r="J237" t="s">
        <v>3168</v>
      </c>
      <c r="K237">
        <f t="shared" si="56"/>
        <v>3</v>
      </c>
      <c r="L237">
        <f t="shared" si="57"/>
        <v>4</v>
      </c>
      <c r="M237" t="str">
        <f t="shared" si="52"/>
        <v>3/4</v>
      </c>
      <c r="N237" t="s">
        <v>3175</v>
      </c>
      <c r="O237" t="str">
        <f t="shared" si="58"/>
        <v>コモン</v>
      </c>
      <c r="R237" t="s">
        <v>3175</v>
      </c>
      <c r="S237" t="s">
        <v>4750</v>
      </c>
      <c r="T237" t="str">
        <f t="shared" si="59"/>
        <v>微光鱗のドレイク</v>
      </c>
      <c r="U237" t="str">
        <f t="shared" si="60"/>
        <v/>
      </c>
      <c r="V237" t="str">
        <f>IF(I237=0,VLOOKUP(TAG!T237,Sheet4!A:B,2,TRUE),"")</f>
        <v/>
      </c>
      <c r="W237" t="s">
        <v>4751</v>
      </c>
      <c r="X237" t="s">
        <v>3175</v>
      </c>
      <c r="Z237" s="3">
        <v>1131</v>
      </c>
      <c r="AA237" s="2" t="s">
        <v>4349</v>
      </c>
      <c r="AB237" s="1" t="s">
        <v>1606</v>
      </c>
      <c r="AC237" s="1" t="s">
        <v>1744</v>
      </c>
      <c r="AD237" s="1">
        <v>13</v>
      </c>
      <c r="AE237" s="1" t="s">
        <v>233</v>
      </c>
      <c r="AF237" s="1" t="s">
        <v>232</v>
      </c>
      <c r="AG237" s="1" t="s">
        <v>339</v>
      </c>
      <c r="AH237" s="1" t="s">
        <v>2515</v>
      </c>
      <c r="AI237" s="1"/>
      <c r="AJ237" s="1"/>
      <c r="AK237" s="1" t="s">
        <v>351</v>
      </c>
      <c r="AL237" s="1" t="s">
        <v>4383</v>
      </c>
      <c r="AM237" s="1"/>
      <c r="AN237" s="1"/>
      <c r="AO237" s="1">
        <v>3</v>
      </c>
      <c r="AP237" s="1">
        <v>4</v>
      </c>
      <c r="AQ237" s="1" t="s">
        <v>4409</v>
      </c>
    </row>
    <row r="238" spans="1:43" x14ac:dyDescent="0.15">
      <c r="A238" t="str">
        <f t="shared" si="51"/>
        <v>|AKH|青|5|3/4|アンコモン|《[[迷宮の守護者]]》|</v>
      </c>
      <c r="B238" t="s">
        <v>3168</v>
      </c>
      <c r="C238" t="str">
        <f t="shared" si="53"/>
        <v>AKH</v>
      </c>
      <c r="D238">
        <f>IF(AA238="","",VLOOKUP(C238,tnpl!$Z$1:$AA$11,2,TRUE))</f>
        <v>10</v>
      </c>
      <c r="E238" t="s">
        <v>3168</v>
      </c>
      <c r="F238" t="str">
        <f t="shared" si="54"/>
        <v>青</v>
      </c>
      <c r="G238">
        <f>IF(AB238="","",VLOOKUP(F238,tnpl!$X$1:$Y$16,2,TRUE))</f>
        <v>2</v>
      </c>
      <c r="H238" t="s">
        <v>3168</v>
      </c>
      <c r="I238">
        <f t="shared" si="55"/>
        <v>5</v>
      </c>
      <c r="J238" t="s">
        <v>3168</v>
      </c>
      <c r="K238">
        <f t="shared" si="56"/>
        <v>3</v>
      </c>
      <c r="L238">
        <f t="shared" si="57"/>
        <v>4</v>
      </c>
      <c r="M238" t="str">
        <f t="shared" si="52"/>
        <v>3/4</v>
      </c>
      <c r="N238" t="s">
        <v>3175</v>
      </c>
      <c r="O238" t="str">
        <f t="shared" si="58"/>
        <v>アンコモン</v>
      </c>
      <c r="R238" t="s">
        <v>3175</v>
      </c>
      <c r="S238" t="s">
        <v>4750</v>
      </c>
      <c r="T238" t="str">
        <f t="shared" si="59"/>
        <v>迷宮の守護者</v>
      </c>
      <c r="U238" t="str">
        <f t="shared" si="60"/>
        <v/>
      </c>
      <c r="V238" t="str">
        <f>IF(I238=0,VLOOKUP(TAG!T238,Sheet4!A:B,2,TRUE),"")</f>
        <v/>
      </c>
      <c r="W238" t="s">
        <v>4751</v>
      </c>
      <c r="X238" t="s">
        <v>3175</v>
      </c>
      <c r="Z238" s="3">
        <v>1140</v>
      </c>
      <c r="AA238" s="2" t="s">
        <v>4349</v>
      </c>
      <c r="AB238" s="1" t="s">
        <v>1606</v>
      </c>
      <c r="AC238" s="1" t="s">
        <v>1451</v>
      </c>
      <c r="AD238" s="1">
        <v>5</v>
      </c>
      <c r="AE238" s="1" t="s">
        <v>215</v>
      </c>
      <c r="AF238" s="1" t="s">
        <v>214</v>
      </c>
      <c r="AG238" s="1" t="s">
        <v>339</v>
      </c>
      <c r="AH238" s="1" t="s">
        <v>2987</v>
      </c>
      <c r="AI238" s="1" t="s">
        <v>1493</v>
      </c>
      <c r="AJ238" s="1"/>
      <c r="AK238" s="1" t="s">
        <v>4423</v>
      </c>
      <c r="AL238" s="1" t="s">
        <v>4351</v>
      </c>
      <c r="AM238" s="1"/>
      <c r="AN238" s="1"/>
      <c r="AO238" s="1">
        <v>3</v>
      </c>
      <c r="AP238" s="1">
        <v>4</v>
      </c>
      <c r="AQ238" s="1" t="s">
        <v>4424</v>
      </c>
    </row>
    <row r="239" spans="1:43" x14ac:dyDescent="0.15">
      <c r="A239" t="str">
        <f t="shared" si="51"/>
        <v>|AKH|黒|14|3/4|アンコモン|《[[呪われた者の王]]》|</v>
      </c>
      <c r="B239" t="s">
        <v>3168</v>
      </c>
      <c r="C239" t="str">
        <f t="shared" si="53"/>
        <v>AKH</v>
      </c>
      <c r="D239">
        <f>IF(AA239="","",VLOOKUP(C239,tnpl!$Z$1:$AA$11,2,TRUE))</f>
        <v>10</v>
      </c>
      <c r="E239" t="s">
        <v>3168</v>
      </c>
      <c r="F239" t="str">
        <f t="shared" si="54"/>
        <v>黒</v>
      </c>
      <c r="G239">
        <f>IF(AB239="","",VLOOKUP(F239,tnpl!$X$1:$Y$16,2,TRUE))</f>
        <v>3</v>
      </c>
      <c r="H239" t="s">
        <v>3168</v>
      </c>
      <c r="I239">
        <f t="shared" si="55"/>
        <v>14</v>
      </c>
      <c r="J239" t="s">
        <v>3168</v>
      </c>
      <c r="K239">
        <f t="shared" si="56"/>
        <v>3</v>
      </c>
      <c r="L239">
        <f t="shared" si="57"/>
        <v>4</v>
      </c>
      <c r="M239" t="str">
        <f t="shared" si="52"/>
        <v>3/4</v>
      </c>
      <c r="N239" t="s">
        <v>3175</v>
      </c>
      <c r="O239" t="str">
        <f t="shared" si="58"/>
        <v>アンコモン</v>
      </c>
      <c r="R239" t="s">
        <v>3175</v>
      </c>
      <c r="S239" t="s">
        <v>4750</v>
      </c>
      <c r="T239" t="str">
        <f t="shared" si="59"/>
        <v>呪われた者の王</v>
      </c>
      <c r="U239" t="str">
        <f t="shared" si="60"/>
        <v/>
      </c>
      <c r="V239" t="str">
        <f>IF(I239=0,VLOOKUP(TAG!T239,Sheet4!A:B,2,TRUE),"")</f>
        <v/>
      </c>
      <c r="W239" t="s">
        <v>4751</v>
      </c>
      <c r="X239" t="s">
        <v>3175</v>
      </c>
      <c r="Z239" s="3">
        <v>1165</v>
      </c>
      <c r="AA239" s="2" t="s">
        <v>4349</v>
      </c>
      <c r="AB239" s="1" t="s">
        <v>1582</v>
      </c>
      <c r="AC239" s="1" t="s">
        <v>1451</v>
      </c>
      <c r="AD239" s="1">
        <v>14</v>
      </c>
      <c r="AE239" s="1" t="s">
        <v>166</v>
      </c>
      <c r="AF239" s="1" t="s">
        <v>165</v>
      </c>
      <c r="AG239" s="1" t="s">
        <v>339</v>
      </c>
      <c r="AH239" s="1" t="s">
        <v>1484</v>
      </c>
      <c r="AI239" s="1"/>
      <c r="AJ239" s="1"/>
      <c r="AK239" s="1" t="s">
        <v>4472</v>
      </c>
      <c r="AL239" s="1" t="s">
        <v>4473</v>
      </c>
      <c r="AM239" s="1"/>
      <c r="AN239" s="1"/>
      <c r="AO239" s="1">
        <v>3</v>
      </c>
      <c r="AP239" s="1">
        <v>4</v>
      </c>
      <c r="AQ239" s="1" t="s">
        <v>4474</v>
      </c>
    </row>
    <row r="240" spans="1:43" x14ac:dyDescent="0.15">
      <c r="A240" t="str">
        <f t="shared" si="51"/>
        <v>|AKH|黒|9|3/4|アンコモン|《[[無情な狙撃手]]》|</v>
      </c>
      <c r="B240" t="s">
        <v>3168</v>
      </c>
      <c r="C240" t="str">
        <f t="shared" si="53"/>
        <v>AKH</v>
      </c>
      <c r="D240">
        <f>IF(AA240="","",VLOOKUP(C240,tnpl!$Z$1:$AA$11,2,TRUE))</f>
        <v>10</v>
      </c>
      <c r="E240" t="s">
        <v>3168</v>
      </c>
      <c r="F240" t="str">
        <f t="shared" si="54"/>
        <v>黒</v>
      </c>
      <c r="G240">
        <f>IF(AB240="","",VLOOKUP(F240,tnpl!$X$1:$Y$16,2,TRUE))</f>
        <v>3</v>
      </c>
      <c r="H240" t="s">
        <v>3168</v>
      </c>
      <c r="I240">
        <f t="shared" si="55"/>
        <v>9</v>
      </c>
      <c r="J240" t="s">
        <v>3168</v>
      </c>
      <c r="K240">
        <f t="shared" si="56"/>
        <v>3</v>
      </c>
      <c r="L240">
        <f t="shared" si="57"/>
        <v>4</v>
      </c>
      <c r="M240" t="str">
        <f t="shared" si="52"/>
        <v>3/4</v>
      </c>
      <c r="N240" t="s">
        <v>3175</v>
      </c>
      <c r="O240" t="str">
        <f t="shared" si="58"/>
        <v>アンコモン</v>
      </c>
      <c r="R240" t="s">
        <v>3175</v>
      </c>
      <c r="S240" t="s">
        <v>4750</v>
      </c>
      <c r="T240" t="str">
        <f t="shared" si="59"/>
        <v>無情な狙撃手</v>
      </c>
      <c r="U240" t="str">
        <f t="shared" si="60"/>
        <v/>
      </c>
      <c r="V240" t="str">
        <f>IF(I240=0,VLOOKUP(TAG!T240,Sheet4!A:B,2,TRUE),"")</f>
        <v/>
      </c>
      <c r="W240" t="s">
        <v>4751</v>
      </c>
      <c r="X240" t="s">
        <v>3175</v>
      </c>
      <c r="Z240" s="3">
        <v>1166</v>
      </c>
      <c r="AA240" s="2" t="s">
        <v>4349</v>
      </c>
      <c r="AB240" s="1" t="s">
        <v>1582</v>
      </c>
      <c r="AC240" s="1" t="s">
        <v>1451</v>
      </c>
      <c r="AD240" s="1">
        <v>9</v>
      </c>
      <c r="AE240" s="1" t="s">
        <v>164</v>
      </c>
      <c r="AF240" s="1" t="s">
        <v>163</v>
      </c>
      <c r="AG240" s="1" t="s">
        <v>339</v>
      </c>
      <c r="AH240" s="1" t="s">
        <v>1489</v>
      </c>
      <c r="AI240" s="1" t="s">
        <v>2861</v>
      </c>
      <c r="AJ240" s="1"/>
      <c r="AK240" s="1" t="s">
        <v>4475</v>
      </c>
      <c r="AL240" s="1"/>
      <c r="AM240" s="1"/>
      <c r="AN240" s="1"/>
      <c r="AO240" s="1">
        <v>3</v>
      </c>
      <c r="AP240" s="1">
        <v>4</v>
      </c>
      <c r="AQ240" s="1" t="s">
        <v>4475</v>
      </c>
    </row>
    <row r="241" spans="1:43" x14ac:dyDescent="0.15">
      <c r="A241" t="str">
        <f t="shared" si="51"/>
        <v>|AKH|赤|9|3/4|アンコモン|《[[炎刃の達人]]》|</v>
      </c>
      <c r="B241" t="s">
        <v>3168</v>
      </c>
      <c r="C241" t="str">
        <f t="shared" si="53"/>
        <v>AKH</v>
      </c>
      <c r="D241">
        <f>IF(AA241="","",VLOOKUP(C241,tnpl!$Z$1:$AA$11,2,TRUE))</f>
        <v>10</v>
      </c>
      <c r="E241" t="s">
        <v>3168</v>
      </c>
      <c r="F241" t="str">
        <f t="shared" si="54"/>
        <v>赤</v>
      </c>
      <c r="G241">
        <f>IF(AB241="","",VLOOKUP(F241,tnpl!$X$1:$Y$16,2,TRUE))</f>
        <v>4</v>
      </c>
      <c r="H241" t="s">
        <v>3168</v>
      </c>
      <c r="I241">
        <f t="shared" si="55"/>
        <v>9</v>
      </c>
      <c r="J241" t="s">
        <v>3168</v>
      </c>
      <c r="K241">
        <f t="shared" si="56"/>
        <v>3</v>
      </c>
      <c r="L241">
        <f t="shared" si="57"/>
        <v>4</v>
      </c>
      <c r="M241" t="str">
        <f t="shared" si="52"/>
        <v>3/4</v>
      </c>
      <c r="N241" t="s">
        <v>3175</v>
      </c>
      <c r="O241" t="str">
        <f t="shared" si="58"/>
        <v>アンコモン</v>
      </c>
      <c r="R241" t="s">
        <v>3175</v>
      </c>
      <c r="S241" t="s">
        <v>4750</v>
      </c>
      <c r="T241" t="str">
        <f t="shared" si="59"/>
        <v>炎刃の達人</v>
      </c>
      <c r="U241" t="str">
        <f t="shared" si="60"/>
        <v/>
      </c>
      <c r="V241" t="str">
        <f>IF(I241=0,VLOOKUP(TAG!T241,Sheet4!A:B,2,TRUE),"")</f>
        <v/>
      </c>
      <c r="W241" t="s">
        <v>4751</v>
      </c>
      <c r="X241" t="s">
        <v>3175</v>
      </c>
      <c r="Z241" s="3">
        <v>1190</v>
      </c>
      <c r="AA241" s="2" t="s">
        <v>4349</v>
      </c>
      <c r="AB241" s="1" t="s">
        <v>1552</v>
      </c>
      <c r="AC241" s="1" t="s">
        <v>1451</v>
      </c>
      <c r="AD241" s="1">
        <v>9</v>
      </c>
      <c r="AE241" s="1" t="s">
        <v>119</v>
      </c>
      <c r="AF241" s="1" t="s">
        <v>118</v>
      </c>
      <c r="AG241" s="1" t="s">
        <v>339</v>
      </c>
      <c r="AH241" s="1" t="s">
        <v>4454</v>
      </c>
      <c r="AI241" s="1" t="s">
        <v>1493</v>
      </c>
      <c r="AJ241" s="1"/>
      <c r="AK241" s="1" t="s">
        <v>2048</v>
      </c>
      <c r="AL241" s="1" t="s">
        <v>4519</v>
      </c>
      <c r="AM241" s="1"/>
      <c r="AN241" s="1"/>
      <c r="AO241" s="1">
        <v>3</v>
      </c>
      <c r="AP241" s="1">
        <v>4</v>
      </c>
      <c r="AQ241" s="1" t="s">
        <v>4520</v>
      </c>
    </row>
    <row r="242" spans="1:43" x14ac:dyDescent="0.15">
      <c r="A242" t="str">
        <f t="shared" si="51"/>
        <v>|AKH|緑|20|3/4|神話レア|《[[生類の侍臣]]》|</v>
      </c>
      <c r="B242" t="s">
        <v>3168</v>
      </c>
      <c r="C242" t="str">
        <f t="shared" si="53"/>
        <v>AKH</v>
      </c>
      <c r="D242">
        <f>IF(AA242="","",VLOOKUP(C242,tnpl!$Z$1:$AA$11,2,TRUE))</f>
        <v>10</v>
      </c>
      <c r="E242" t="s">
        <v>3168</v>
      </c>
      <c r="F242" t="str">
        <f t="shared" si="54"/>
        <v>緑</v>
      </c>
      <c r="G242">
        <f>IF(AB242="","",VLOOKUP(F242,tnpl!$X$1:$Y$16,2,TRUE))</f>
        <v>5</v>
      </c>
      <c r="H242" t="s">
        <v>3168</v>
      </c>
      <c r="I242">
        <f t="shared" si="55"/>
        <v>20</v>
      </c>
      <c r="J242" t="s">
        <v>3168</v>
      </c>
      <c r="K242">
        <f t="shared" si="56"/>
        <v>3</v>
      </c>
      <c r="L242">
        <f t="shared" si="57"/>
        <v>4</v>
      </c>
      <c r="M242" t="str">
        <f t="shared" si="52"/>
        <v>3/4</v>
      </c>
      <c r="N242" t="s">
        <v>3175</v>
      </c>
      <c r="O242" t="str">
        <f t="shared" si="58"/>
        <v>神話レア</v>
      </c>
      <c r="R242" t="s">
        <v>3175</v>
      </c>
      <c r="S242" t="s">
        <v>4750</v>
      </c>
      <c r="T242" t="str">
        <f t="shared" si="59"/>
        <v>生類の侍臣</v>
      </c>
      <c r="U242" t="str">
        <f t="shared" si="60"/>
        <v/>
      </c>
      <c r="V242" t="str">
        <f>IF(I242=0,VLOOKUP(TAG!T242,Sheet4!A:B,2,TRUE),"")</f>
        <v/>
      </c>
      <c r="W242" t="s">
        <v>4751</v>
      </c>
      <c r="X242" t="s">
        <v>3175</v>
      </c>
      <c r="Z242" s="3">
        <v>1223</v>
      </c>
      <c r="AA242" s="2" t="s">
        <v>4349</v>
      </c>
      <c r="AB242" s="1" t="s">
        <v>1518</v>
      </c>
      <c r="AC242" s="1" t="s">
        <v>1431</v>
      </c>
      <c r="AD242" s="1">
        <v>20</v>
      </c>
      <c r="AE242" s="1" t="s">
        <v>57</v>
      </c>
      <c r="AF242" s="1" t="s">
        <v>56</v>
      </c>
      <c r="AG242" s="1" t="s">
        <v>339</v>
      </c>
      <c r="AH242" s="1" t="s">
        <v>4410</v>
      </c>
      <c r="AI242" s="1" t="s">
        <v>1470</v>
      </c>
      <c r="AJ242" s="1"/>
      <c r="AK242" s="1" t="s">
        <v>4576</v>
      </c>
      <c r="AL242" s="1" t="s">
        <v>4577</v>
      </c>
      <c r="AM242" s="1"/>
      <c r="AN242" s="1"/>
      <c r="AO242" s="1">
        <v>3</v>
      </c>
      <c r="AP242" s="1">
        <v>4</v>
      </c>
      <c r="AQ242" s="1" t="s">
        <v>4578</v>
      </c>
    </row>
    <row r="243" spans="1:43" x14ac:dyDescent="0.15">
      <c r="A243" t="str">
        <f t="shared" si="51"/>
        <v>|AKH|白青|17|3/4|アンコモン|《[[風案内のエイヴン]]》|</v>
      </c>
      <c r="B243" t="s">
        <v>3168</v>
      </c>
      <c r="C243" t="str">
        <f t="shared" si="53"/>
        <v>AKH</v>
      </c>
      <c r="D243">
        <f>IF(AA243="","",VLOOKUP(C243,tnpl!$Z$1:$AA$11,2,TRUE))</f>
        <v>10</v>
      </c>
      <c r="E243" t="s">
        <v>3168</v>
      </c>
      <c r="F243" t="str">
        <f t="shared" si="54"/>
        <v>白青</v>
      </c>
      <c r="G243">
        <f>IF(AB243="","",VLOOKUP(F243,tnpl!$X$1:$Y$16,2,TRUE))</f>
        <v>6</v>
      </c>
      <c r="H243" t="s">
        <v>3168</v>
      </c>
      <c r="I243">
        <f t="shared" si="55"/>
        <v>17</v>
      </c>
      <c r="J243" t="s">
        <v>3168</v>
      </c>
      <c r="K243">
        <f t="shared" si="56"/>
        <v>3</v>
      </c>
      <c r="L243">
        <f t="shared" si="57"/>
        <v>4</v>
      </c>
      <c r="M243" t="str">
        <f t="shared" si="52"/>
        <v>3/4</v>
      </c>
      <c r="N243" t="s">
        <v>3175</v>
      </c>
      <c r="O243" t="str">
        <f t="shared" si="58"/>
        <v>アンコモン</v>
      </c>
      <c r="R243" t="s">
        <v>3175</v>
      </c>
      <c r="S243" t="s">
        <v>4750</v>
      </c>
      <c r="T243" t="str">
        <f t="shared" si="59"/>
        <v>風案内のエイヴン</v>
      </c>
      <c r="U243" t="str">
        <f t="shared" si="60"/>
        <v/>
      </c>
      <c r="V243" t="str">
        <f>IF(I243=0,VLOOKUP(TAG!T243,Sheet4!A:B,2,TRUE),"")</f>
        <v/>
      </c>
      <c r="W243" t="s">
        <v>4751</v>
      </c>
      <c r="X243" t="s">
        <v>3175</v>
      </c>
      <c r="Z243" s="3">
        <v>1226</v>
      </c>
      <c r="AA243" s="2" t="s">
        <v>4349</v>
      </c>
      <c r="AB243" s="1" t="s">
        <v>1512</v>
      </c>
      <c r="AC243" s="1" t="s">
        <v>1451</v>
      </c>
      <c r="AD243" s="1">
        <v>17</v>
      </c>
      <c r="AE243" s="1" t="s">
        <v>51</v>
      </c>
      <c r="AF243" s="1" t="s">
        <v>50</v>
      </c>
      <c r="AG243" s="1" t="s">
        <v>339</v>
      </c>
      <c r="AH243" s="1" t="s">
        <v>2948</v>
      </c>
      <c r="AI243" s="1" t="s">
        <v>1493</v>
      </c>
      <c r="AJ243" s="1"/>
      <c r="AK243" s="1" t="s">
        <v>2406</v>
      </c>
      <c r="AL243" s="1" t="s">
        <v>4583</v>
      </c>
      <c r="AM243" s="1"/>
      <c r="AN243" s="1"/>
      <c r="AO243" s="1">
        <v>3</v>
      </c>
      <c r="AP243" s="1">
        <v>4</v>
      </c>
      <c r="AQ243" s="1" t="s">
        <v>4584</v>
      </c>
    </row>
    <row r="244" spans="1:43" x14ac:dyDescent="0.15">
      <c r="A244" t="str">
        <f>B244&amp;C244&amp;E244&amp;F244&amp;H244&amp;I244&amp;J244&amp;M244&amp;N244&amp;O244&amp;P244&amp;Q244&amp;R244&amp;S244&amp;T244&amp;V244&amp;W244&amp;X244&amp;Y244</f>
        <v/>
      </c>
    </row>
    <row r="245" spans="1:43" x14ac:dyDescent="0.15">
      <c r="A245" t="str">
        <f>B245&amp;C245&amp;E245&amp;F245&amp;H245&amp;I245&amp;J245&amp;M245&amp;N245&amp;O245&amp;P245&amp;Q245&amp;R245&amp;S245&amp;T245&amp;V245&amp;W245&amp;X245&amp;Y245</f>
        <v>**3/5以上クリーチャー</v>
      </c>
      <c r="B245" t="s">
        <v>4752</v>
      </c>
      <c r="C245">
        <f>K248</f>
        <v>3</v>
      </c>
      <c r="E245" t="s">
        <v>4816</v>
      </c>
      <c r="F245">
        <f>L248</f>
        <v>5</v>
      </c>
      <c r="H245" t="s">
        <v>4817</v>
      </c>
      <c r="I245" t="s">
        <v>339</v>
      </c>
      <c r="V245" t="str">
        <f>IF(I245=0,VLOOKUP(TAG!T245,Sheet4!A:B,2,TRUE),"")</f>
        <v/>
      </c>
    </row>
    <row r="246" spans="1:43" x14ac:dyDescent="0.15">
      <c r="A246" t="str">
        <f t="shared" ref="A246:A260" si="61">B246&amp;C246&amp;E246&amp;F246&amp;H246&amp;I246&amp;J246&amp;M246&amp;N246&amp;O246&amp;P246&amp;Q246&amp;R246&amp;S246&amp;T246&amp;U246&amp;V246&amp;W246&amp;X246&amp;Y246</f>
        <v>|LEFT:50|LEFT:50|LEFT:50|LEFT:120|LEFT:120|LEFT:500|c</v>
      </c>
      <c r="B246" t="s">
        <v>3168</v>
      </c>
      <c r="C246" t="s">
        <v>3162</v>
      </c>
      <c r="E246" t="s">
        <v>3168</v>
      </c>
      <c r="F246" t="s">
        <v>3162</v>
      </c>
      <c r="H246" t="s">
        <v>3168</v>
      </c>
      <c r="I246" t="s">
        <v>3162</v>
      </c>
      <c r="J246" t="s">
        <v>3168</v>
      </c>
      <c r="M246" t="s">
        <v>4808</v>
      </c>
      <c r="N246" t="s">
        <v>3175</v>
      </c>
      <c r="O246" t="s">
        <v>4808</v>
      </c>
      <c r="R246" t="s">
        <v>3175</v>
      </c>
      <c r="T246" t="s">
        <v>3163</v>
      </c>
      <c r="V246" t="str">
        <f>IF(I246=0,VLOOKUP(TAG!T246,Sheet4!A:B,2,TRUE),"")</f>
        <v/>
      </c>
      <c r="X246" t="s">
        <v>3175</v>
      </c>
      <c r="Y246" t="s">
        <v>3164</v>
      </c>
    </row>
    <row r="247" spans="1:43" x14ac:dyDescent="0.15">
      <c r="A247" t="str">
        <f t="shared" si="61"/>
        <v>|セット|色|コスト|P/T|レアリティ|カード名|</v>
      </c>
      <c r="B247" t="s">
        <v>3168</v>
      </c>
      <c r="C247" t="s">
        <v>3169</v>
      </c>
      <c r="E247" t="s">
        <v>3168</v>
      </c>
      <c r="F247" t="s">
        <v>3139</v>
      </c>
      <c r="H247" t="s">
        <v>3168</v>
      </c>
      <c r="I247" t="s">
        <v>3165</v>
      </c>
      <c r="J247" t="s">
        <v>3168</v>
      </c>
      <c r="K247" t="s">
        <v>3126</v>
      </c>
      <c r="L247" t="s">
        <v>3125</v>
      </c>
      <c r="M247" t="str">
        <f t="shared" ref="M247:M260" si="62">K247&amp;"/"&amp;L247</f>
        <v>P/T</v>
      </c>
      <c r="N247" t="s">
        <v>3175</v>
      </c>
      <c r="O247" t="s">
        <v>4809</v>
      </c>
      <c r="R247" t="s">
        <v>3175</v>
      </c>
      <c r="T247" t="s">
        <v>3166</v>
      </c>
      <c r="V247" t="str">
        <f>IF(I247=0,VLOOKUP(TAG!T247,Sheet4!A:B,2,TRUE),"")</f>
        <v/>
      </c>
      <c r="X247" t="s">
        <v>3175</v>
      </c>
      <c r="Z247" s="12"/>
      <c r="AA247" s="12"/>
      <c r="AB247" s="12"/>
      <c r="AC247" s="12"/>
      <c r="AD247" s="12"/>
      <c r="AE247" s="12"/>
      <c r="AF247" s="12"/>
      <c r="AG247" s="12"/>
      <c r="AH247" s="12"/>
      <c r="AI247" s="12"/>
      <c r="AJ247" s="12"/>
      <c r="AK247" s="12"/>
      <c r="AL247" s="12"/>
      <c r="AM247" s="12"/>
      <c r="AN247" s="12"/>
      <c r="AO247" s="12"/>
      <c r="AP247" s="12"/>
      <c r="AQ247" s="12"/>
    </row>
    <row r="248" spans="1:43" x14ac:dyDescent="0.15">
      <c r="A248" t="str">
        <f t="shared" si="61"/>
        <v>|ORI|青|9|3/5|アンコモン|《[[ジェスの盗人]]》|</v>
      </c>
      <c r="B248" t="s">
        <v>3168</v>
      </c>
      <c r="C248" t="str">
        <f t="shared" ref="C248:C260" si="63">AA248</f>
        <v>ORI</v>
      </c>
      <c r="D248">
        <f>IF(AA248="","",VLOOKUP(C248,tnpl!$Z$1:$AA$11,2,TRUE))</f>
        <v>1</v>
      </c>
      <c r="E248" t="s">
        <v>3168</v>
      </c>
      <c r="F248" t="str">
        <f t="shared" ref="F248:F260" si="64">AB248</f>
        <v>青</v>
      </c>
      <c r="G248">
        <f>IF(AB248="","",VLOOKUP(F248,tnpl!$X$1:$Y$16,2,TRUE))</f>
        <v>2</v>
      </c>
      <c r="H248" t="s">
        <v>3168</v>
      </c>
      <c r="I248">
        <f t="shared" ref="I248:I260" si="65">AD248</f>
        <v>9</v>
      </c>
      <c r="J248" t="s">
        <v>3168</v>
      </c>
      <c r="K248">
        <f t="shared" ref="K248:K260" si="66">AO248</f>
        <v>3</v>
      </c>
      <c r="L248">
        <f t="shared" ref="L248:L260" si="67">AP248</f>
        <v>5</v>
      </c>
      <c r="M248" t="str">
        <f t="shared" si="62"/>
        <v>3/5</v>
      </c>
      <c r="N248" t="s">
        <v>3175</v>
      </c>
      <c r="O248" t="str">
        <f t="shared" ref="O248:O260" si="68">AC248</f>
        <v>アンコモン</v>
      </c>
      <c r="R248" t="s">
        <v>3175</v>
      </c>
      <c r="S248" t="s">
        <v>4750</v>
      </c>
      <c r="T248" t="str">
        <f t="shared" ref="T248:T260" si="69">AE248</f>
        <v>ジェスの盗人</v>
      </c>
      <c r="U248" t="str">
        <f t="shared" ref="U248:U260" si="70">IF(I248=0,"&gt;","")</f>
        <v/>
      </c>
      <c r="V248" t="str">
        <f>IF(I248=0,VLOOKUP(TAG!T248,Sheet4!A:B,2,TRUE),"")</f>
        <v/>
      </c>
      <c r="W248" t="s">
        <v>4751</v>
      </c>
      <c r="X248" t="s">
        <v>3175</v>
      </c>
      <c r="Z248" s="3">
        <v>57</v>
      </c>
      <c r="AA248" s="2" t="s">
        <v>3176</v>
      </c>
      <c r="AB248" s="1" t="s">
        <v>1606</v>
      </c>
      <c r="AC248" s="1" t="s">
        <v>1451</v>
      </c>
      <c r="AD248" s="1">
        <v>9</v>
      </c>
      <c r="AE248" s="1" t="s">
        <v>2952</v>
      </c>
      <c r="AF248" s="1" t="s">
        <v>2951</v>
      </c>
      <c r="AG248" s="1" t="s">
        <v>339</v>
      </c>
      <c r="AH248" s="1" t="s">
        <v>1489</v>
      </c>
      <c r="AI248" s="1" t="s">
        <v>2938</v>
      </c>
      <c r="AJ248" s="1"/>
      <c r="AK248" s="1" t="s">
        <v>3205</v>
      </c>
      <c r="AL248" s="1" t="s">
        <v>3206</v>
      </c>
      <c r="AM248" s="1"/>
      <c r="AN248" s="1"/>
      <c r="AO248" s="1">
        <v>3</v>
      </c>
      <c r="AP248" s="1">
        <v>5</v>
      </c>
      <c r="AQ248" s="1" t="s">
        <v>2950</v>
      </c>
    </row>
    <row r="249" spans="1:43" x14ac:dyDescent="0.15">
      <c r="A249" t="str">
        <f t="shared" si="61"/>
        <v>|ORI|青|8|3/5|アンコモン|《[[印章持ちのヒトデ]]》|</v>
      </c>
      <c r="B249" t="s">
        <v>3168</v>
      </c>
      <c r="C249" t="str">
        <f t="shared" si="63"/>
        <v>ORI</v>
      </c>
      <c r="D249">
        <f>IF(AA249="","",VLOOKUP(C249,tnpl!$Z$1:$AA$11,2,TRUE))</f>
        <v>1</v>
      </c>
      <c r="E249" t="s">
        <v>3168</v>
      </c>
      <c r="F249" t="str">
        <f t="shared" si="64"/>
        <v>青</v>
      </c>
      <c r="G249">
        <f>IF(AB249="","",VLOOKUP(F249,tnpl!$X$1:$Y$16,2,TRUE))</f>
        <v>2</v>
      </c>
      <c r="H249" t="s">
        <v>3168</v>
      </c>
      <c r="I249">
        <f t="shared" si="65"/>
        <v>8</v>
      </c>
      <c r="J249" t="s">
        <v>3168</v>
      </c>
      <c r="K249">
        <f t="shared" si="66"/>
        <v>3</v>
      </c>
      <c r="L249">
        <f t="shared" si="67"/>
        <v>5</v>
      </c>
      <c r="M249" t="str">
        <f t="shared" si="62"/>
        <v>3/5</v>
      </c>
      <c r="N249" t="s">
        <v>3175</v>
      </c>
      <c r="O249" t="str">
        <f t="shared" si="68"/>
        <v>アンコモン</v>
      </c>
      <c r="R249" t="s">
        <v>3175</v>
      </c>
      <c r="S249" t="s">
        <v>4750</v>
      </c>
      <c r="T249" t="str">
        <f t="shared" si="69"/>
        <v>印章持ちのヒトデ</v>
      </c>
      <c r="U249" t="str">
        <f t="shared" si="70"/>
        <v/>
      </c>
      <c r="V249" t="str">
        <f>IF(I249=0,VLOOKUP(TAG!T249,Sheet4!A:B,2,TRUE),"")</f>
        <v/>
      </c>
      <c r="W249" t="s">
        <v>4751</v>
      </c>
      <c r="X249" t="s">
        <v>3175</v>
      </c>
      <c r="Z249" s="3">
        <v>60</v>
      </c>
      <c r="AA249" s="2" t="s">
        <v>3176</v>
      </c>
      <c r="AB249" s="1" t="s">
        <v>1606</v>
      </c>
      <c r="AC249" s="1" t="s">
        <v>1451</v>
      </c>
      <c r="AD249" s="1">
        <v>8</v>
      </c>
      <c r="AE249" s="1" t="s">
        <v>2945</v>
      </c>
      <c r="AF249" s="1" t="s">
        <v>2944</v>
      </c>
      <c r="AG249" s="1" t="s">
        <v>339</v>
      </c>
      <c r="AH249" s="1" t="s">
        <v>2943</v>
      </c>
      <c r="AI249" s="1"/>
      <c r="AJ249" s="1"/>
      <c r="AK249" s="1" t="s">
        <v>1462</v>
      </c>
      <c r="AL249" s="1"/>
      <c r="AM249" s="1"/>
      <c r="AN249" s="1"/>
      <c r="AO249" s="1">
        <v>3</v>
      </c>
      <c r="AP249" s="1">
        <v>5</v>
      </c>
      <c r="AQ249" s="1" t="s">
        <v>1462</v>
      </c>
    </row>
    <row r="250" spans="1:43" x14ac:dyDescent="0.15">
      <c r="A250" t="str">
        <f t="shared" si="61"/>
        <v>|ORI|黒|13|3/5|アンコモン|《[[蘇りしケンタウルス]]》|</v>
      </c>
      <c r="B250" t="s">
        <v>3168</v>
      </c>
      <c r="C250" t="str">
        <f t="shared" si="63"/>
        <v>ORI</v>
      </c>
      <c r="D250">
        <f>IF(AA250="","",VLOOKUP(C250,tnpl!$Z$1:$AA$11,2,TRUE))</f>
        <v>1</v>
      </c>
      <c r="E250" t="s">
        <v>3168</v>
      </c>
      <c r="F250" t="str">
        <f t="shared" si="64"/>
        <v>黒</v>
      </c>
      <c r="G250">
        <f>IF(AB250="","",VLOOKUP(F250,tnpl!$X$1:$Y$16,2,TRUE))</f>
        <v>3</v>
      </c>
      <c r="H250" t="s">
        <v>3168</v>
      </c>
      <c r="I250">
        <f t="shared" si="65"/>
        <v>13</v>
      </c>
      <c r="J250" t="s">
        <v>3168</v>
      </c>
      <c r="K250">
        <f t="shared" si="66"/>
        <v>3</v>
      </c>
      <c r="L250">
        <f t="shared" si="67"/>
        <v>5</v>
      </c>
      <c r="M250" t="str">
        <f t="shared" si="62"/>
        <v>3/5</v>
      </c>
      <c r="N250" t="s">
        <v>3175</v>
      </c>
      <c r="O250" t="str">
        <f t="shared" si="68"/>
        <v>アンコモン</v>
      </c>
      <c r="R250" t="s">
        <v>3175</v>
      </c>
      <c r="S250" t="s">
        <v>4750</v>
      </c>
      <c r="T250" t="str">
        <f t="shared" si="69"/>
        <v>蘇りしケンタウルス</v>
      </c>
      <c r="U250" t="str">
        <f t="shared" si="70"/>
        <v/>
      </c>
      <c r="V250" t="str">
        <f>IF(I250=0,VLOOKUP(TAG!T250,Sheet4!A:B,2,TRUE),"")</f>
        <v/>
      </c>
      <c r="W250" t="s">
        <v>4751</v>
      </c>
      <c r="X250" t="s">
        <v>3175</v>
      </c>
      <c r="Z250" s="3">
        <v>101</v>
      </c>
      <c r="AA250" s="2" t="s">
        <v>3176</v>
      </c>
      <c r="AB250" s="1" t="s">
        <v>1582</v>
      </c>
      <c r="AC250" s="1" t="s">
        <v>1451</v>
      </c>
      <c r="AD250" s="1">
        <v>13</v>
      </c>
      <c r="AE250" s="1" t="s">
        <v>2830</v>
      </c>
      <c r="AF250" s="1" t="s">
        <v>2829</v>
      </c>
      <c r="AG250" s="1" t="s">
        <v>339</v>
      </c>
      <c r="AH250" s="1" t="s">
        <v>1484</v>
      </c>
      <c r="AI250" s="1" t="s">
        <v>2575</v>
      </c>
      <c r="AJ250" s="1"/>
      <c r="AK250" s="1" t="s">
        <v>2828</v>
      </c>
      <c r="AL250" s="1"/>
      <c r="AM250" s="1"/>
      <c r="AN250" s="1"/>
      <c r="AO250" s="1">
        <v>3</v>
      </c>
      <c r="AP250" s="1">
        <v>5</v>
      </c>
      <c r="AQ250" s="1" t="s">
        <v>2828</v>
      </c>
    </row>
    <row r="251" spans="1:43" x14ac:dyDescent="0.15">
      <c r="A251" t="str">
        <f t="shared" si="61"/>
        <v>|BFZ|青|6|3/5|アンコモン|《[[塵の予言者]]》|</v>
      </c>
      <c r="B251" t="s">
        <v>3168</v>
      </c>
      <c r="C251" t="str">
        <f t="shared" si="63"/>
        <v>BFZ</v>
      </c>
      <c r="D251">
        <f>IF(AA251="","",VLOOKUP(C251,tnpl!$Z$1:$AA$11,2,TRUE))</f>
        <v>2</v>
      </c>
      <c r="E251" t="s">
        <v>3168</v>
      </c>
      <c r="F251" t="str">
        <f t="shared" si="64"/>
        <v>青</v>
      </c>
      <c r="G251">
        <f>IF(AB251="","",VLOOKUP(F251,tnpl!$X$1:$Y$16,2,TRUE))</f>
        <v>2</v>
      </c>
      <c r="H251" t="s">
        <v>3168</v>
      </c>
      <c r="I251">
        <f t="shared" si="65"/>
        <v>6</v>
      </c>
      <c r="J251" t="s">
        <v>3168</v>
      </c>
      <c r="K251">
        <f t="shared" si="66"/>
        <v>3</v>
      </c>
      <c r="L251">
        <f t="shared" si="67"/>
        <v>5</v>
      </c>
      <c r="M251" t="str">
        <f t="shared" si="62"/>
        <v>3/5</v>
      </c>
      <c r="N251" t="s">
        <v>3175</v>
      </c>
      <c r="O251" t="str">
        <f t="shared" si="68"/>
        <v>アンコモン</v>
      </c>
      <c r="R251" t="s">
        <v>3175</v>
      </c>
      <c r="S251" t="s">
        <v>4750</v>
      </c>
      <c r="T251" t="str">
        <f t="shared" si="69"/>
        <v>塵の予言者</v>
      </c>
      <c r="U251" t="str">
        <f t="shared" si="70"/>
        <v/>
      </c>
      <c r="V251" t="str">
        <f>IF(I251=0,VLOOKUP(TAG!T251,Sheet4!A:B,2,TRUE),"")</f>
        <v/>
      </c>
      <c r="W251" t="s">
        <v>4751</v>
      </c>
      <c r="X251" t="s">
        <v>3175</v>
      </c>
      <c r="Z251" s="3">
        <v>301</v>
      </c>
      <c r="AA251" s="2" t="s">
        <v>3170</v>
      </c>
      <c r="AB251" s="1" t="s">
        <v>1606</v>
      </c>
      <c r="AC251" s="1" t="s">
        <v>1451</v>
      </c>
      <c r="AD251" s="1">
        <v>6</v>
      </c>
      <c r="AE251" s="1" t="s">
        <v>2247</v>
      </c>
      <c r="AF251" s="1" t="s">
        <v>2246</v>
      </c>
      <c r="AG251" s="1" t="s">
        <v>339</v>
      </c>
      <c r="AH251" s="1" t="s">
        <v>1435</v>
      </c>
      <c r="AI251" s="1" t="s">
        <v>1717</v>
      </c>
      <c r="AJ251" s="1"/>
      <c r="AK251" s="1" t="s">
        <v>3317</v>
      </c>
      <c r="AL251" s="1" t="s">
        <v>2245</v>
      </c>
      <c r="AM251" s="1"/>
      <c r="AN251" s="1"/>
      <c r="AO251" s="1">
        <v>3</v>
      </c>
      <c r="AP251" s="1">
        <v>5</v>
      </c>
      <c r="AQ251" s="1" t="s">
        <v>3329</v>
      </c>
    </row>
    <row r="252" spans="1:43" x14ac:dyDescent="0.15">
      <c r="A252" t="str">
        <f t="shared" si="61"/>
        <v>|BFZ|青赤|12|3/5|アンコモン|《[[コジレックの伝令]]》|</v>
      </c>
      <c r="B252" t="s">
        <v>3168</v>
      </c>
      <c r="C252" t="str">
        <f t="shared" si="63"/>
        <v>BFZ</v>
      </c>
      <c r="D252">
        <f>IF(AA252="","",VLOOKUP(C252,tnpl!$Z$1:$AA$11,2,TRUE))</f>
        <v>2</v>
      </c>
      <c r="E252" t="s">
        <v>3168</v>
      </c>
      <c r="F252" t="str">
        <f t="shared" si="64"/>
        <v>青赤</v>
      </c>
      <c r="G252">
        <f>IF(AB252="","",VLOOKUP(F252,tnpl!$X$1:$Y$16,2,TRUE))</f>
        <v>12</v>
      </c>
      <c r="H252" t="s">
        <v>3168</v>
      </c>
      <c r="I252">
        <f t="shared" si="65"/>
        <v>12</v>
      </c>
      <c r="J252" t="s">
        <v>3168</v>
      </c>
      <c r="K252">
        <f t="shared" si="66"/>
        <v>3</v>
      </c>
      <c r="L252">
        <f t="shared" si="67"/>
        <v>5</v>
      </c>
      <c r="M252" t="str">
        <f t="shared" si="62"/>
        <v>3/5</v>
      </c>
      <c r="N252" t="s">
        <v>3175</v>
      </c>
      <c r="O252" t="str">
        <f t="shared" si="68"/>
        <v>アンコモン</v>
      </c>
      <c r="R252" t="s">
        <v>3175</v>
      </c>
      <c r="S252" t="s">
        <v>4750</v>
      </c>
      <c r="T252" t="str">
        <f t="shared" si="69"/>
        <v>コジレックの伝令</v>
      </c>
      <c r="U252" t="str">
        <f t="shared" si="70"/>
        <v/>
      </c>
      <c r="V252" t="str">
        <f>IF(I252=0,VLOOKUP(TAG!T252,Sheet4!A:B,2,TRUE),"")</f>
        <v/>
      </c>
      <c r="W252" t="s">
        <v>4751</v>
      </c>
      <c r="X252" t="s">
        <v>3175</v>
      </c>
      <c r="Z252" s="3">
        <v>432</v>
      </c>
      <c r="AA252" s="2" t="s">
        <v>3170</v>
      </c>
      <c r="AB252" s="1" t="s">
        <v>1467</v>
      </c>
      <c r="AC252" s="1" t="s">
        <v>1451</v>
      </c>
      <c r="AD252" s="1">
        <v>12</v>
      </c>
      <c r="AE252" s="1" t="s">
        <v>1824</v>
      </c>
      <c r="AF252" s="1" t="s">
        <v>1823</v>
      </c>
      <c r="AG252" s="1" t="s">
        <v>339</v>
      </c>
      <c r="AH252" s="1" t="s">
        <v>1435</v>
      </c>
      <c r="AI252" s="1" t="s">
        <v>1501</v>
      </c>
      <c r="AJ252" s="1"/>
      <c r="AK252" s="1" t="s">
        <v>3317</v>
      </c>
      <c r="AL252" s="1" t="s">
        <v>1822</v>
      </c>
      <c r="AM252" s="1"/>
      <c r="AN252" s="1"/>
      <c r="AO252" s="1">
        <v>3</v>
      </c>
      <c r="AP252" s="1">
        <v>5</v>
      </c>
      <c r="AQ252" s="1" t="s">
        <v>3390</v>
      </c>
    </row>
    <row r="253" spans="1:43" x14ac:dyDescent="0.15">
      <c r="A253" t="str">
        <f t="shared" si="61"/>
        <v>|OGW|白黒|16|3/5|アンコモン|《[[岸壁安息所の吸血鬼]]》|</v>
      </c>
      <c r="B253" t="s">
        <v>3168</v>
      </c>
      <c r="C253" t="str">
        <f t="shared" si="63"/>
        <v>OGW</v>
      </c>
      <c r="D253">
        <f>IF(AA253="","",VLOOKUP(C253,tnpl!$Z$1:$AA$11,2,TRUE))</f>
        <v>3</v>
      </c>
      <c r="E253" t="s">
        <v>3168</v>
      </c>
      <c r="F253" t="str">
        <f t="shared" si="64"/>
        <v>白黒</v>
      </c>
      <c r="G253">
        <f>IF(AB253="","",VLOOKUP(F253,tnpl!$X$1:$Y$16,2,TRUE))</f>
        <v>11</v>
      </c>
      <c r="H253" t="s">
        <v>3168</v>
      </c>
      <c r="I253">
        <f t="shared" si="65"/>
        <v>16</v>
      </c>
      <c r="J253" t="s">
        <v>3168</v>
      </c>
      <c r="K253">
        <f t="shared" si="66"/>
        <v>3</v>
      </c>
      <c r="L253">
        <f t="shared" si="67"/>
        <v>5</v>
      </c>
      <c r="M253" t="str">
        <f t="shared" si="62"/>
        <v>3/5</v>
      </c>
      <c r="N253" t="s">
        <v>3175</v>
      </c>
      <c r="O253" t="str">
        <f t="shared" si="68"/>
        <v>アンコモン</v>
      </c>
      <c r="R253" t="s">
        <v>3175</v>
      </c>
      <c r="S253" t="s">
        <v>4750</v>
      </c>
      <c r="T253" t="str">
        <f t="shared" si="69"/>
        <v>岸壁安息所の吸血鬼</v>
      </c>
      <c r="U253" t="str">
        <f t="shared" si="70"/>
        <v/>
      </c>
      <c r="V253" t="str">
        <f>IF(I253=0,VLOOKUP(TAG!T253,Sheet4!A:B,2,TRUE),"")</f>
        <v/>
      </c>
      <c r="W253" t="s">
        <v>4751</v>
      </c>
      <c r="X253" t="s">
        <v>3175</v>
      </c>
      <c r="Z253" s="3">
        <v>523</v>
      </c>
      <c r="AA253" s="2" t="s">
        <v>3171</v>
      </c>
      <c r="AB253" s="1" t="s">
        <v>1474</v>
      </c>
      <c r="AC253" s="1" t="s">
        <v>1451</v>
      </c>
      <c r="AD253" s="1">
        <v>16</v>
      </c>
      <c r="AE253" s="1" t="s">
        <v>1496</v>
      </c>
      <c r="AF253" s="1" t="s">
        <v>1495</v>
      </c>
      <c r="AG253" s="1" t="s">
        <v>339</v>
      </c>
      <c r="AH253" s="1" t="s">
        <v>1494</v>
      </c>
      <c r="AI253" s="1" t="s">
        <v>1493</v>
      </c>
      <c r="AJ253" s="1" t="s">
        <v>1478</v>
      </c>
      <c r="AK253" s="1" t="s">
        <v>351</v>
      </c>
      <c r="AL253" s="1" t="s">
        <v>1492</v>
      </c>
      <c r="AM253" s="1"/>
      <c r="AN253" s="1"/>
      <c r="AO253" s="1">
        <v>3</v>
      </c>
      <c r="AP253" s="1">
        <v>5</v>
      </c>
      <c r="AQ253" s="1" t="s">
        <v>3423</v>
      </c>
    </row>
    <row r="254" spans="1:43" x14ac:dyDescent="0.15">
      <c r="A254" t="str">
        <f t="shared" si="61"/>
        <v>|SOI|無色|15|3/5|コモン|《[[墓碑のゴーレム]]》|</v>
      </c>
      <c r="B254" t="s">
        <v>3168</v>
      </c>
      <c r="C254" t="str">
        <f t="shared" si="63"/>
        <v>SOI</v>
      </c>
      <c r="D254">
        <f>IF(AA254="","",VLOOKUP(C254,tnpl!$Z$1:$AA$11,2,TRUE))</f>
        <v>4</v>
      </c>
      <c r="E254" t="s">
        <v>3168</v>
      </c>
      <c r="F254" t="str">
        <f t="shared" si="64"/>
        <v>無色</v>
      </c>
      <c r="G254">
        <f>IF(AB254="","",VLOOKUP(F254,tnpl!$X$1:$Y$16,2,TRUE))</f>
        <v>16</v>
      </c>
      <c r="H254" t="s">
        <v>3168</v>
      </c>
      <c r="I254">
        <f t="shared" si="65"/>
        <v>15</v>
      </c>
      <c r="J254" t="s">
        <v>3168</v>
      </c>
      <c r="K254">
        <f t="shared" si="66"/>
        <v>3</v>
      </c>
      <c r="L254">
        <f t="shared" si="67"/>
        <v>5</v>
      </c>
      <c r="M254" t="str">
        <f t="shared" si="62"/>
        <v>3/5</v>
      </c>
      <c r="N254" t="s">
        <v>3175</v>
      </c>
      <c r="O254" t="str">
        <f t="shared" si="68"/>
        <v>コモン</v>
      </c>
      <c r="R254" t="s">
        <v>3175</v>
      </c>
      <c r="S254" t="s">
        <v>4750</v>
      </c>
      <c r="T254" t="str">
        <f t="shared" si="69"/>
        <v>墓碑のゴーレム</v>
      </c>
      <c r="U254" t="str">
        <f t="shared" si="70"/>
        <v/>
      </c>
      <c r="V254" t="str">
        <f>IF(I254=0,VLOOKUP(TAG!T254,Sheet4!A:B,2,TRUE),"")</f>
        <v/>
      </c>
      <c r="W254" t="s">
        <v>4751</v>
      </c>
      <c r="X254" t="s">
        <v>3175</v>
      </c>
      <c r="Z254" s="3">
        <v>723</v>
      </c>
      <c r="AA254" s="2" t="s">
        <v>3431</v>
      </c>
      <c r="AB254" s="1" t="s">
        <v>292</v>
      </c>
      <c r="AC254" s="1" t="s">
        <v>1744</v>
      </c>
      <c r="AD254" s="1">
        <v>15</v>
      </c>
      <c r="AE254" s="1" t="s">
        <v>1106</v>
      </c>
      <c r="AF254" s="1" t="s">
        <v>1105</v>
      </c>
      <c r="AG254" s="1" t="s">
        <v>339</v>
      </c>
      <c r="AH254" s="1" t="s">
        <v>343</v>
      </c>
      <c r="AI254" s="1"/>
      <c r="AJ254" s="1"/>
      <c r="AK254" s="1" t="s">
        <v>2595</v>
      </c>
      <c r="AL254" s="1"/>
      <c r="AM254" s="1"/>
      <c r="AN254" s="1"/>
      <c r="AO254" s="1">
        <v>3</v>
      </c>
      <c r="AP254" s="1">
        <v>5</v>
      </c>
      <c r="AQ254" s="1" t="s">
        <v>2595</v>
      </c>
    </row>
    <row r="255" spans="1:43" x14ac:dyDescent="0.15">
      <c r="A255" t="str">
        <f t="shared" si="61"/>
        <v>|EMN|白|0|3/5|アンコモン|《[[肉体からの解放者&gt;罪からの解放者]]》|</v>
      </c>
      <c r="B255" t="s">
        <v>3168</v>
      </c>
      <c r="C255" t="str">
        <f t="shared" si="63"/>
        <v>EMN</v>
      </c>
      <c r="D255">
        <f>IF(AA255="","",VLOOKUP(C255,tnpl!$Z$1:$AA$11,2,TRUE))</f>
        <v>5</v>
      </c>
      <c r="E255" t="s">
        <v>3168</v>
      </c>
      <c r="F255" t="str">
        <f t="shared" si="64"/>
        <v>白</v>
      </c>
      <c r="G255">
        <f>IF(AB255="","",VLOOKUP(F255,tnpl!$X$1:$Y$16,2,TRUE))</f>
        <v>1</v>
      </c>
      <c r="H255" t="s">
        <v>3168</v>
      </c>
      <c r="I255">
        <f t="shared" si="65"/>
        <v>0</v>
      </c>
      <c r="J255" t="s">
        <v>3168</v>
      </c>
      <c r="K255">
        <f t="shared" si="66"/>
        <v>3</v>
      </c>
      <c r="L255">
        <f t="shared" si="67"/>
        <v>5</v>
      </c>
      <c r="M255" t="str">
        <f t="shared" si="62"/>
        <v>3/5</v>
      </c>
      <c r="N255" t="s">
        <v>3175</v>
      </c>
      <c r="O255" t="str">
        <f t="shared" si="68"/>
        <v>アンコモン</v>
      </c>
      <c r="R255" t="s">
        <v>3175</v>
      </c>
      <c r="S255" t="s">
        <v>4750</v>
      </c>
      <c r="T255" t="str">
        <f t="shared" si="69"/>
        <v>肉体からの解放者</v>
      </c>
      <c r="U255" t="str">
        <f t="shared" si="70"/>
        <v>&gt;</v>
      </c>
      <c r="V255" t="str">
        <f>IF(I255=0,VLOOKUP(TAG!T255,Sheet4!A:B,2,TRUE),"")</f>
        <v>罪からの解放者</v>
      </c>
      <c r="W255" t="s">
        <v>4751</v>
      </c>
      <c r="X255" t="s">
        <v>3175</v>
      </c>
      <c r="Z255" s="3">
        <v>760</v>
      </c>
      <c r="AA255" s="2" t="s">
        <v>3773</v>
      </c>
      <c r="AB255" s="1" t="s">
        <v>1627</v>
      </c>
      <c r="AC255" s="1" t="s">
        <v>1451</v>
      </c>
      <c r="AD255" s="13">
        <v>0</v>
      </c>
      <c r="AE255" s="1" t="s">
        <v>856</v>
      </c>
      <c r="AF255" s="1" t="s">
        <v>855</v>
      </c>
      <c r="AG255" s="1" t="s">
        <v>339</v>
      </c>
      <c r="AH255" s="1" t="s">
        <v>1435</v>
      </c>
      <c r="AI255" s="1" t="s">
        <v>2802</v>
      </c>
      <c r="AJ255" s="1"/>
      <c r="AK255" s="1" t="s">
        <v>3784</v>
      </c>
      <c r="AL255" s="1" t="s">
        <v>3785</v>
      </c>
      <c r="AM255" s="1"/>
      <c r="AN255" s="1"/>
      <c r="AO255" s="1">
        <v>3</v>
      </c>
      <c r="AP255" s="1">
        <v>5</v>
      </c>
      <c r="AQ255" s="1" t="s">
        <v>3786</v>
      </c>
    </row>
    <row r="256" spans="1:43" x14ac:dyDescent="0.15">
      <c r="A256" t="str">
        <f t="shared" si="61"/>
        <v>|EMN|緑|0|3/5|アンコモン|《[[多重吠え&gt;けたたましく吠えるもの]]》|</v>
      </c>
      <c r="B256" t="s">
        <v>3168</v>
      </c>
      <c r="C256" t="str">
        <f t="shared" si="63"/>
        <v>EMN</v>
      </c>
      <c r="D256">
        <f>IF(AA256="","",VLOOKUP(C256,tnpl!$Z$1:$AA$11,2,TRUE))</f>
        <v>5</v>
      </c>
      <c r="E256" t="s">
        <v>3168</v>
      </c>
      <c r="F256" t="str">
        <f t="shared" si="64"/>
        <v>緑</v>
      </c>
      <c r="G256">
        <f>IF(AB256="","",VLOOKUP(F256,tnpl!$X$1:$Y$16,2,TRUE))</f>
        <v>5</v>
      </c>
      <c r="H256" t="s">
        <v>3168</v>
      </c>
      <c r="I256">
        <f t="shared" si="65"/>
        <v>0</v>
      </c>
      <c r="J256" t="s">
        <v>3168</v>
      </c>
      <c r="K256">
        <f t="shared" si="66"/>
        <v>3</v>
      </c>
      <c r="L256">
        <f t="shared" si="67"/>
        <v>5</v>
      </c>
      <c r="M256" t="str">
        <f t="shared" si="62"/>
        <v>3/5</v>
      </c>
      <c r="N256" t="s">
        <v>3175</v>
      </c>
      <c r="O256" t="str">
        <f t="shared" si="68"/>
        <v>アンコモン</v>
      </c>
      <c r="R256" t="s">
        <v>3175</v>
      </c>
      <c r="S256" t="s">
        <v>4750</v>
      </c>
      <c r="T256" t="str">
        <f t="shared" si="69"/>
        <v>多重吠え</v>
      </c>
      <c r="U256" t="str">
        <f t="shared" si="70"/>
        <v>&gt;</v>
      </c>
      <c r="V256" t="str">
        <f>IF(I256=0,VLOOKUP(TAG!T256,Sheet4!A:B,2,TRUE),"")</f>
        <v>けたたましく吠えるもの</v>
      </c>
      <c r="W256" t="s">
        <v>4751</v>
      </c>
      <c r="X256" t="s">
        <v>3175</v>
      </c>
      <c r="Z256" s="3">
        <v>812</v>
      </c>
      <c r="AA256" s="2" t="s">
        <v>3773</v>
      </c>
      <c r="AB256" s="1" t="s">
        <v>1518</v>
      </c>
      <c r="AC256" s="1" t="s">
        <v>1451</v>
      </c>
      <c r="AD256" s="13">
        <v>0</v>
      </c>
      <c r="AE256" s="1" t="s">
        <v>836</v>
      </c>
      <c r="AF256" s="1" t="s">
        <v>835</v>
      </c>
      <c r="AG256" s="1" t="s">
        <v>339</v>
      </c>
      <c r="AH256" s="1" t="s">
        <v>1435</v>
      </c>
      <c r="AI256" s="1" t="s">
        <v>3605</v>
      </c>
      <c r="AJ256" s="1"/>
      <c r="AK256" s="1" t="s">
        <v>3419</v>
      </c>
      <c r="AL256" s="1" t="s">
        <v>3888</v>
      </c>
      <c r="AM256" s="1"/>
      <c r="AN256" s="1"/>
      <c r="AO256" s="1">
        <v>3</v>
      </c>
      <c r="AP256" s="1">
        <v>5</v>
      </c>
      <c r="AQ256" s="1" t="s">
        <v>3889</v>
      </c>
    </row>
    <row r="257" spans="1:43" x14ac:dyDescent="0.15">
      <c r="A257" t="str">
        <f t="shared" si="61"/>
        <v>|EMN|青赤|10|3/5|アンコモン|《[[気紛れな霊]]》|</v>
      </c>
      <c r="B257" t="s">
        <v>3168</v>
      </c>
      <c r="C257" t="str">
        <f t="shared" si="63"/>
        <v>EMN</v>
      </c>
      <c r="D257">
        <f>IF(AA257="","",VLOOKUP(C257,tnpl!$Z$1:$AA$11,2,TRUE))</f>
        <v>5</v>
      </c>
      <c r="E257" t="s">
        <v>3168</v>
      </c>
      <c r="F257" t="str">
        <f t="shared" si="64"/>
        <v>青赤</v>
      </c>
      <c r="G257">
        <f>IF(AB257="","",VLOOKUP(F257,tnpl!$X$1:$Y$16,2,TRUE))</f>
        <v>12</v>
      </c>
      <c r="H257" t="s">
        <v>3168</v>
      </c>
      <c r="I257">
        <f t="shared" si="65"/>
        <v>10</v>
      </c>
      <c r="J257" t="s">
        <v>3168</v>
      </c>
      <c r="K257">
        <f t="shared" si="66"/>
        <v>3</v>
      </c>
      <c r="L257">
        <f t="shared" si="67"/>
        <v>5</v>
      </c>
      <c r="M257" t="str">
        <f t="shared" si="62"/>
        <v>3/5</v>
      </c>
      <c r="N257" t="s">
        <v>3175</v>
      </c>
      <c r="O257" t="str">
        <f t="shared" si="68"/>
        <v>アンコモン</v>
      </c>
      <c r="R257" t="s">
        <v>3175</v>
      </c>
      <c r="S257" t="s">
        <v>4750</v>
      </c>
      <c r="T257" t="str">
        <f t="shared" si="69"/>
        <v>気紛れな霊</v>
      </c>
      <c r="U257" t="str">
        <f t="shared" si="70"/>
        <v/>
      </c>
      <c r="V257" t="str">
        <f>IF(I257=0,VLOOKUP(TAG!T257,Sheet4!A:B,2,TRUE),"")</f>
        <v/>
      </c>
      <c r="W257" t="s">
        <v>4751</v>
      </c>
      <c r="X257" t="s">
        <v>3175</v>
      </c>
      <c r="Z257" s="3">
        <v>820</v>
      </c>
      <c r="AA257" s="2" t="s">
        <v>3773</v>
      </c>
      <c r="AB257" s="1" t="s">
        <v>1467</v>
      </c>
      <c r="AC257" s="1" t="s">
        <v>1451</v>
      </c>
      <c r="AD257" s="1">
        <v>10</v>
      </c>
      <c r="AE257" s="1" t="s">
        <v>888</v>
      </c>
      <c r="AF257" s="1" t="s">
        <v>887</v>
      </c>
      <c r="AG257" s="1" t="s">
        <v>339</v>
      </c>
      <c r="AH257" s="1" t="s">
        <v>2407</v>
      </c>
      <c r="AI257" s="1"/>
      <c r="AJ257" s="1"/>
      <c r="AK257" s="1" t="s">
        <v>351</v>
      </c>
      <c r="AL257" s="1" t="s">
        <v>3903</v>
      </c>
      <c r="AM257" s="1"/>
      <c r="AN257" s="1"/>
      <c r="AO257" s="1">
        <v>3</v>
      </c>
      <c r="AP257" s="1">
        <v>5</v>
      </c>
      <c r="AQ257" s="1" t="s">
        <v>3904</v>
      </c>
    </row>
    <row r="258" spans="1:43" x14ac:dyDescent="0.15">
      <c r="A258" t="str">
        <f t="shared" si="61"/>
        <v>|KLD|青|10|3/5|アンコモン|《[[試験飛行士]]》|</v>
      </c>
      <c r="B258" t="s">
        <v>3168</v>
      </c>
      <c r="C258" t="str">
        <f t="shared" si="63"/>
        <v>KLD</v>
      </c>
      <c r="D258">
        <f>IF(AA258="","",VLOOKUP(C258,tnpl!$Z$1:$AA$11,2,TRUE))</f>
        <v>6</v>
      </c>
      <c r="E258" t="s">
        <v>3168</v>
      </c>
      <c r="F258" t="str">
        <f t="shared" si="64"/>
        <v>青</v>
      </c>
      <c r="G258">
        <f>IF(AB258="","",VLOOKUP(F258,tnpl!$X$1:$Y$16,2,TRUE))</f>
        <v>2</v>
      </c>
      <c r="H258" t="s">
        <v>3168</v>
      </c>
      <c r="I258">
        <f t="shared" si="65"/>
        <v>10</v>
      </c>
      <c r="J258" t="s">
        <v>3168</v>
      </c>
      <c r="K258">
        <f t="shared" si="66"/>
        <v>3</v>
      </c>
      <c r="L258">
        <f t="shared" si="67"/>
        <v>5</v>
      </c>
      <c r="M258" t="str">
        <f t="shared" si="62"/>
        <v>3/5</v>
      </c>
      <c r="N258" t="s">
        <v>3175</v>
      </c>
      <c r="O258" t="str">
        <f t="shared" si="68"/>
        <v>アンコモン</v>
      </c>
      <c r="R258" t="s">
        <v>3175</v>
      </c>
      <c r="S258" t="s">
        <v>4750</v>
      </c>
      <c r="T258" t="str">
        <f t="shared" si="69"/>
        <v>試験飛行士</v>
      </c>
      <c r="U258" t="str">
        <f t="shared" si="70"/>
        <v/>
      </c>
      <c r="V258" t="str">
        <f>IF(I258=0,VLOOKUP(TAG!T258,Sheet4!A:B,2,TRUE),"")</f>
        <v/>
      </c>
      <c r="W258" t="s">
        <v>4751</v>
      </c>
      <c r="X258" t="s">
        <v>3175</v>
      </c>
      <c r="Z258" s="3">
        <v>872</v>
      </c>
      <c r="AA258" s="2" t="s">
        <v>3937</v>
      </c>
      <c r="AB258" s="1" t="s">
        <v>1606</v>
      </c>
      <c r="AC258" s="1" t="s">
        <v>1451</v>
      </c>
      <c r="AD258" s="1">
        <v>10</v>
      </c>
      <c r="AE258" s="1" t="s">
        <v>761</v>
      </c>
      <c r="AF258" s="1" t="s">
        <v>760</v>
      </c>
      <c r="AG258" s="1" t="s">
        <v>339</v>
      </c>
      <c r="AH258" s="1" t="s">
        <v>1489</v>
      </c>
      <c r="AI258" s="1" t="s">
        <v>1641</v>
      </c>
      <c r="AJ258" s="1"/>
      <c r="AK258" s="1" t="s">
        <v>351</v>
      </c>
      <c r="AL258" s="1" t="s">
        <v>4000</v>
      </c>
      <c r="AM258" s="1"/>
      <c r="AN258" s="1"/>
      <c r="AO258" s="1">
        <v>3</v>
      </c>
      <c r="AP258" s="1">
        <v>5</v>
      </c>
      <c r="AQ258" s="1" t="s">
        <v>4001</v>
      </c>
    </row>
    <row r="259" spans="1:43" x14ac:dyDescent="0.15">
      <c r="A259" t="str">
        <f t="shared" si="61"/>
        <v>|KLD|青|9|3/5|アンコモン|《[[光り物集めの鶴]]》|</v>
      </c>
      <c r="B259" t="s">
        <v>3168</v>
      </c>
      <c r="C259" t="str">
        <f t="shared" si="63"/>
        <v>KLD</v>
      </c>
      <c r="D259">
        <f>IF(AA259="","",VLOOKUP(C259,tnpl!$Z$1:$AA$11,2,TRUE))</f>
        <v>6</v>
      </c>
      <c r="E259" t="s">
        <v>3168</v>
      </c>
      <c r="F259" t="str">
        <f t="shared" si="64"/>
        <v>青</v>
      </c>
      <c r="G259">
        <f>IF(AB259="","",VLOOKUP(F259,tnpl!$X$1:$Y$16,2,TRUE))</f>
        <v>2</v>
      </c>
      <c r="H259" t="s">
        <v>3168</v>
      </c>
      <c r="I259">
        <f t="shared" si="65"/>
        <v>9</v>
      </c>
      <c r="J259" t="s">
        <v>3168</v>
      </c>
      <c r="K259">
        <f t="shared" si="66"/>
        <v>3</v>
      </c>
      <c r="L259">
        <f t="shared" si="67"/>
        <v>5</v>
      </c>
      <c r="M259" t="str">
        <f t="shared" si="62"/>
        <v>3/5</v>
      </c>
      <c r="N259" t="s">
        <v>3175</v>
      </c>
      <c r="O259" t="str">
        <f t="shared" si="68"/>
        <v>アンコモン</v>
      </c>
      <c r="R259" t="s">
        <v>3175</v>
      </c>
      <c r="S259" t="s">
        <v>4750</v>
      </c>
      <c r="T259" t="str">
        <f t="shared" si="69"/>
        <v>光り物集めの鶴</v>
      </c>
      <c r="U259" t="str">
        <f t="shared" si="70"/>
        <v/>
      </c>
      <c r="V259" t="str">
        <f>IF(I259=0,VLOOKUP(TAG!T259,Sheet4!A:B,2,TRUE),"")</f>
        <v/>
      </c>
      <c r="W259" t="s">
        <v>4751</v>
      </c>
      <c r="X259" t="s">
        <v>3175</v>
      </c>
      <c r="Z259" s="3">
        <v>873</v>
      </c>
      <c r="AA259" s="2" t="s">
        <v>3937</v>
      </c>
      <c r="AB259" s="1" t="s">
        <v>1606</v>
      </c>
      <c r="AC259" s="1" t="s">
        <v>1451</v>
      </c>
      <c r="AD259" s="1">
        <v>9</v>
      </c>
      <c r="AE259" s="1" t="s">
        <v>758</v>
      </c>
      <c r="AF259" s="1" t="s">
        <v>757</v>
      </c>
      <c r="AG259" s="1" t="s">
        <v>339</v>
      </c>
      <c r="AH259" s="1" t="s">
        <v>2948</v>
      </c>
      <c r="AI259" s="1"/>
      <c r="AJ259" s="1"/>
      <c r="AK259" s="1" t="s">
        <v>351</v>
      </c>
      <c r="AL259" s="1" t="s">
        <v>4002</v>
      </c>
      <c r="AM259" s="1"/>
      <c r="AN259" s="1"/>
      <c r="AO259" s="1">
        <v>3</v>
      </c>
      <c r="AP259" s="1">
        <v>5</v>
      </c>
      <c r="AQ259" s="1" t="s">
        <v>4003</v>
      </c>
    </row>
    <row r="260" spans="1:43" x14ac:dyDescent="0.15">
      <c r="A260" t="str">
        <f t="shared" si="61"/>
        <v>|AKH|白|10|3/6|神話レア|《[[信義の神オケチラ]]》|</v>
      </c>
      <c r="B260" t="s">
        <v>3168</v>
      </c>
      <c r="C260" t="str">
        <f t="shared" si="63"/>
        <v>AKH</v>
      </c>
      <c r="D260">
        <f>IF(AA260="","",VLOOKUP(C260,tnpl!$Z$1:$AA$11,2,TRUE))</f>
        <v>10</v>
      </c>
      <c r="E260" t="s">
        <v>3168</v>
      </c>
      <c r="F260" t="str">
        <f t="shared" si="64"/>
        <v>白</v>
      </c>
      <c r="G260">
        <f>IF(AB260="","",VLOOKUP(F260,tnpl!$X$1:$Y$16,2,TRUE))</f>
        <v>1</v>
      </c>
      <c r="H260" t="s">
        <v>3168</v>
      </c>
      <c r="I260">
        <f t="shared" si="65"/>
        <v>10</v>
      </c>
      <c r="J260" t="s">
        <v>3168</v>
      </c>
      <c r="K260">
        <f t="shared" si="66"/>
        <v>3</v>
      </c>
      <c r="L260">
        <f t="shared" si="67"/>
        <v>6</v>
      </c>
      <c r="M260" t="str">
        <f t="shared" si="62"/>
        <v>3/6</v>
      </c>
      <c r="N260" t="s">
        <v>3175</v>
      </c>
      <c r="O260" t="str">
        <f t="shared" si="68"/>
        <v>神話レア</v>
      </c>
      <c r="R260" t="s">
        <v>3175</v>
      </c>
      <c r="S260" t="s">
        <v>4750</v>
      </c>
      <c r="T260" t="str">
        <f t="shared" si="69"/>
        <v>信義の神オケチラ</v>
      </c>
      <c r="U260" t="str">
        <f t="shared" si="70"/>
        <v/>
      </c>
      <c r="V260" t="str">
        <f>IF(I260=0,VLOOKUP(TAG!T260,Sheet4!A:B,2,TRUE),"")</f>
        <v/>
      </c>
      <c r="W260" t="s">
        <v>4751</v>
      </c>
      <c r="X260" t="s">
        <v>3175</v>
      </c>
      <c r="Z260" s="3">
        <v>1126</v>
      </c>
      <c r="AA260" s="2" t="s">
        <v>4349</v>
      </c>
      <c r="AB260" s="1" t="s">
        <v>1627</v>
      </c>
      <c r="AC260" s="1" t="s">
        <v>1431</v>
      </c>
      <c r="AD260" s="1">
        <v>10</v>
      </c>
      <c r="AE260" s="1" t="s">
        <v>242</v>
      </c>
      <c r="AF260" s="1" t="s">
        <v>241</v>
      </c>
      <c r="AG260" s="1" t="s">
        <v>339</v>
      </c>
      <c r="AH260" s="1" t="s">
        <v>4398</v>
      </c>
      <c r="AI260" s="1"/>
      <c r="AJ260" s="1"/>
      <c r="AK260" s="1" t="s">
        <v>4399</v>
      </c>
      <c r="AL260" s="1" t="s">
        <v>4400</v>
      </c>
      <c r="AM260" s="1" t="s">
        <v>4401</v>
      </c>
      <c r="AN260" s="1"/>
      <c r="AO260" s="1">
        <v>3</v>
      </c>
      <c r="AP260" s="1">
        <v>6</v>
      </c>
      <c r="AQ260" s="1" t="s">
        <v>4402</v>
      </c>
    </row>
    <row r="262" spans="1:43" x14ac:dyDescent="0.15">
      <c r="A262" t="str">
        <f>B262&amp;C262&amp;E262&amp;F262&amp;H262&amp;I262&amp;J262&amp;M262&amp;N262&amp;O262&amp;P262&amp;Q262&amp;R262&amp;S262&amp;T262&amp;V262&amp;W262&amp;X262&amp;Y262</f>
        <v>*パワー4タフネス4以外クリーチャー</v>
      </c>
      <c r="B262" t="s">
        <v>3173</v>
      </c>
      <c r="C262" t="str">
        <f>"パワー"&amp;AO268</f>
        <v>パワー4</v>
      </c>
      <c r="E262" t="str">
        <f>"タフネス"&amp;AO268&amp;"以外"</f>
        <v>タフネス4以外</v>
      </c>
      <c r="F262" t="s">
        <v>4814</v>
      </c>
      <c r="G262" t="s">
        <v>3172</v>
      </c>
    </row>
    <row r="263" spans="1:43" x14ac:dyDescent="0.15">
      <c r="A263" t="s">
        <v>4815</v>
      </c>
    </row>
    <row r="264" spans="1:43" x14ac:dyDescent="0.15">
      <c r="A264" t="str">
        <f>B264&amp;C264&amp;E264&amp;F264&amp;H264&amp;I264&amp;J264&amp;M264&amp;N264&amp;O264&amp;P264&amp;Q264&amp;R264&amp;S264&amp;T264&amp;V264&amp;W264&amp;X264&amp;Y264</f>
        <v/>
      </c>
    </row>
    <row r="265" spans="1:43" x14ac:dyDescent="0.15">
      <c r="A265" t="str">
        <f>B265&amp;C265&amp;E265&amp;F265&amp;H265&amp;I265&amp;J265&amp;M265&amp;N265&amp;O265&amp;P265&amp;Q265&amp;R265&amp;S265&amp;T265&amp;V265&amp;W265&amp;X265&amp;Y265</f>
        <v>**4/2クリーチャー</v>
      </c>
      <c r="B265" t="s">
        <v>4752</v>
      </c>
      <c r="C265">
        <f>K268</f>
        <v>4</v>
      </c>
      <c r="E265" t="s">
        <v>4816</v>
      </c>
      <c r="F265">
        <f>L268</f>
        <v>2</v>
      </c>
      <c r="I265" t="s">
        <v>339</v>
      </c>
      <c r="V265" t="str">
        <f>IF(I265=0,VLOOKUP(TAG!T265,Sheet4!A:B,2,TRUE),"")</f>
        <v/>
      </c>
    </row>
    <row r="266" spans="1:43" x14ac:dyDescent="0.15">
      <c r="A266" t="str">
        <f t="shared" ref="A266:A274" si="71">B266&amp;C266&amp;E266&amp;F266&amp;H266&amp;I266&amp;J266&amp;M266&amp;N266&amp;O266&amp;P266&amp;Q266&amp;R266&amp;S266&amp;T266&amp;U266&amp;V266&amp;W266&amp;X266&amp;Y266</f>
        <v>|LEFT:50|LEFT:50|LEFT:50|LEFT:120|LEFT:120|LEFT:500|c</v>
      </c>
      <c r="B266" t="s">
        <v>3168</v>
      </c>
      <c r="C266" t="s">
        <v>3162</v>
      </c>
      <c r="E266" t="s">
        <v>3168</v>
      </c>
      <c r="F266" t="s">
        <v>3162</v>
      </c>
      <c r="H266" t="s">
        <v>3168</v>
      </c>
      <c r="I266" t="s">
        <v>3162</v>
      </c>
      <c r="J266" t="s">
        <v>3168</v>
      </c>
      <c r="M266" t="s">
        <v>4808</v>
      </c>
      <c r="N266" t="s">
        <v>3175</v>
      </c>
      <c r="O266" t="s">
        <v>4808</v>
      </c>
      <c r="R266" t="s">
        <v>3175</v>
      </c>
      <c r="T266" t="s">
        <v>3163</v>
      </c>
      <c r="V266" t="str">
        <f>IF(I266=0,VLOOKUP(TAG!T266,Sheet4!A:B,2,TRUE),"")</f>
        <v/>
      </c>
      <c r="X266" t="s">
        <v>3175</v>
      </c>
      <c r="Y266" t="s">
        <v>3164</v>
      </c>
    </row>
    <row r="267" spans="1:43" x14ac:dyDescent="0.15">
      <c r="A267" t="str">
        <f t="shared" si="71"/>
        <v>|セット|色|コスト|P/T|レアリティ|カード名|</v>
      </c>
      <c r="B267" t="s">
        <v>3168</v>
      </c>
      <c r="C267" t="s">
        <v>3169</v>
      </c>
      <c r="E267" t="s">
        <v>3168</v>
      </c>
      <c r="F267" t="s">
        <v>3139</v>
      </c>
      <c r="H267" t="s">
        <v>3168</v>
      </c>
      <c r="I267" t="s">
        <v>3165</v>
      </c>
      <c r="J267" t="s">
        <v>3168</v>
      </c>
      <c r="K267" t="s">
        <v>3126</v>
      </c>
      <c r="L267" t="s">
        <v>3125</v>
      </c>
      <c r="M267" t="str">
        <f t="shared" ref="M267:M274" si="72">K267&amp;"/"&amp;L267</f>
        <v>P/T</v>
      </c>
      <c r="N267" t="s">
        <v>3175</v>
      </c>
      <c r="O267" t="s">
        <v>4809</v>
      </c>
      <c r="R267" t="s">
        <v>3175</v>
      </c>
      <c r="T267" t="s">
        <v>3166</v>
      </c>
      <c r="V267" t="str">
        <f>IF(I267=0,VLOOKUP(TAG!T267,Sheet4!A:B,2,TRUE),"")</f>
        <v/>
      </c>
      <c r="X267" t="s">
        <v>3175</v>
      </c>
      <c r="Z267" s="12"/>
      <c r="AA267" s="12"/>
      <c r="AB267" s="12"/>
      <c r="AC267" s="12"/>
      <c r="AD267" s="12"/>
      <c r="AE267" s="12"/>
      <c r="AF267" s="12"/>
      <c r="AG267" s="12"/>
      <c r="AH267" s="12"/>
      <c r="AI267" s="12"/>
      <c r="AJ267" s="12"/>
      <c r="AK267" s="12"/>
      <c r="AL267" s="12"/>
      <c r="AM267" s="12"/>
      <c r="AN267" s="12"/>
      <c r="AO267" s="12"/>
      <c r="AP267" s="12"/>
      <c r="AQ267" s="12"/>
    </row>
    <row r="268" spans="1:43" x14ac:dyDescent="0.15">
      <c r="A268" t="str">
        <f t="shared" si="71"/>
        <v>|OGW|黒赤|15|4/2|アンコモン|《[[鞭打ちドローン]]》|</v>
      </c>
      <c r="B268" t="s">
        <v>3168</v>
      </c>
      <c r="C268" t="str">
        <f t="shared" ref="C268:C274" si="73">AA268</f>
        <v>OGW</v>
      </c>
      <c r="D268">
        <f>IF(AA268="","",VLOOKUP(C268,tnpl!$Z$1:$AA$11,2,TRUE))</f>
        <v>3</v>
      </c>
      <c r="E268" t="s">
        <v>3168</v>
      </c>
      <c r="F268" t="str">
        <f t="shared" ref="F268:F274" si="74">AB268</f>
        <v>黒赤</v>
      </c>
      <c r="G268">
        <f>IF(AB268="","",VLOOKUP(F268,tnpl!$X$1:$Y$16,2,TRUE))</f>
        <v>8</v>
      </c>
      <c r="H268" t="s">
        <v>3168</v>
      </c>
      <c r="I268">
        <f t="shared" ref="I268:I274" si="75">AD268</f>
        <v>15</v>
      </c>
      <c r="J268" t="s">
        <v>3168</v>
      </c>
      <c r="K268">
        <f t="shared" ref="K268:L274" si="76">AO268</f>
        <v>4</v>
      </c>
      <c r="L268">
        <f t="shared" si="76"/>
        <v>2</v>
      </c>
      <c r="M268" t="str">
        <f t="shared" si="72"/>
        <v>4/2</v>
      </c>
      <c r="N268" t="s">
        <v>3175</v>
      </c>
      <c r="O268" t="str">
        <f t="shared" ref="O268:O274" si="77">AC268</f>
        <v>アンコモン</v>
      </c>
      <c r="R268" t="s">
        <v>3175</v>
      </c>
      <c r="S268" t="s">
        <v>4750</v>
      </c>
      <c r="T268" t="str">
        <f t="shared" ref="T268:T274" si="78">AE268</f>
        <v>鞭打ちドローン</v>
      </c>
      <c r="U268" t="str">
        <f t="shared" ref="U268:U274" si="79">IF(I268=0,"&gt;","")</f>
        <v/>
      </c>
      <c r="V268" t="str">
        <f>IF(I268=0,VLOOKUP(TAG!T268,Sheet4!A:B,2,TRUE),"")</f>
        <v/>
      </c>
      <c r="W268" t="s">
        <v>4751</v>
      </c>
      <c r="X268" t="s">
        <v>3175</v>
      </c>
      <c r="Z268" s="3">
        <v>521</v>
      </c>
      <c r="AA268" s="2" t="s">
        <v>3171</v>
      </c>
      <c r="AB268" s="1" t="s">
        <v>1504</v>
      </c>
      <c r="AC268" s="1" t="s">
        <v>1451</v>
      </c>
      <c r="AD268" s="1">
        <v>15</v>
      </c>
      <c r="AE268" s="1" t="s">
        <v>1503</v>
      </c>
      <c r="AF268" s="1" t="s">
        <v>1502</v>
      </c>
      <c r="AG268" s="1" t="s">
        <v>339</v>
      </c>
      <c r="AH268" s="1" t="s">
        <v>1435</v>
      </c>
      <c r="AI268" s="1" t="s">
        <v>1501</v>
      </c>
      <c r="AJ268" s="1"/>
      <c r="AK268" s="1" t="s">
        <v>3421</v>
      </c>
      <c r="AL268" s="1" t="s">
        <v>1500</v>
      </c>
      <c r="AM268" s="1"/>
      <c r="AN268" s="1"/>
      <c r="AO268" s="1">
        <v>4</v>
      </c>
      <c r="AP268" s="1">
        <v>2</v>
      </c>
      <c r="AQ268" s="1" t="s">
        <v>3422</v>
      </c>
    </row>
    <row r="269" spans="1:43" x14ac:dyDescent="0.15">
      <c r="A269" t="str">
        <f t="shared" si="71"/>
        <v>|SOI|青|7|4/2|アンコモン|《[[縫い翼のスカーブ]]》|</v>
      </c>
      <c r="B269" t="s">
        <v>3168</v>
      </c>
      <c r="C269" t="str">
        <f t="shared" si="73"/>
        <v>SOI</v>
      </c>
      <c r="D269">
        <f>IF(AA269="","",VLOOKUP(C269,tnpl!$Z$1:$AA$11,2,TRUE))</f>
        <v>4</v>
      </c>
      <c r="E269" t="s">
        <v>3168</v>
      </c>
      <c r="F269" t="str">
        <f t="shared" si="74"/>
        <v>青</v>
      </c>
      <c r="G269">
        <f>IF(AB269="","",VLOOKUP(F269,tnpl!$X$1:$Y$16,2,TRUE))</f>
        <v>2</v>
      </c>
      <c r="H269" t="s">
        <v>3168</v>
      </c>
      <c r="I269">
        <f t="shared" si="75"/>
        <v>7</v>
      </c>
      <c r="J269" t="s">
        <v>3168</v>
      </c>
      <c r="K269">
        <f t="shared" si="76"/>
        <v>4</v>
      </c>
      <c r="L269">
        <f t="shared" si="76"/>
        <v>2</v>
      </c>
      <c r="M269" t="str">
        <f t="shared" si="72"/>
        <v>4/2</v>
      </c>
      <c r="N269" t="s">
        <v>3175</v>
      </c>
      <c r="O269" t="str">
        <f t="shared" si="77"/>
        <v>アンコモン</v>
      </c>
      <c r="R269" t="s">
        <v>3175</v>
      </c>
      <c r="S269" t="s">
        <v>4750</v>
      </c>
      <c r="T269" t="str">
        <f t="shared" si="78"/>
        <v>縫い翼のスカーブ</v>
      </c>
      <c r="U269" t="str">
        <f t="shared" si="79"/>
        <v/>
      </c>
      <c r="V269" t="str">
        <f>IF(I269=0,VLOOKUP(TAG!T269,Sheet4!A:B,2,TRUE),"")</f>
        <v/>
      </c>
      <c r="W269" t="s">
        <v>4751</v>
      </c>
      <c r="X269" t="s">
        <v>3175</v>
      </c>
      <c r="Z269" s="3">
        <v>594</v>
      </c>
      <c r="AA269" s="2" t="s">
        <v>3431</v>
      </c>
      <c r="AB269" s="1" t="s">
        <v>1606</v>
      </c>
      <c r="AC269" s="1" t="s">
        <v>1451</v>
      </c>
      <c r="AD269" s="1">
        <v>7</v>
      </c>
      <c r="AE269" s="1" t="s">
        <v>1327</v>
      </c>
      <c r="AF269" s="1" t="s">
        <v>1326</v>
      </c>
      <c r="AG269" s="1" t="s">
        <v>339</v>
      </c>
      <c r="AH269" s="1" t="s">
        <v>1484</v>
      </c>
      <c r="AI269" s="1"/>
      <c r="AJ269" s="1"/>
      <c r="AK269" s="1" t="s">
        <v>351</v>
      </c>
      <c r="AL269" s="1" t="s">
        <v>3521</v>
      </c>
      <c r="AM269" s="1"/>
      <c r="AN269" s="1"/>
      <c r="AO269" s="1">
        <v>4</v>
      </c>
      <c r="AP269" s="1">
        <v>2</v>
      </c>
      <c r="AQ269" s="1" t="s">
        <v>3522</v>
      </c>
    </row>
    <row r="270" spans="1:43" x14ac:dyDescent="0.15">
      <c r="A270" t="str">
        <f t="shared" si="71"/>
        <v>|SOI|黒|9|4/2|コモン|《[[遠沼の猟犬]]》|</v>
      </c>
      <c r="B270" t="s">
        <v>3168</v>
      </c>
      <c r="C270" t="str">
        <f t="shared" si="73"/>
        <v>SOI</v>
      </c>
      <c r="D270">
        <f>IF(AA270="","",VLOOKUP(C270,tnpl!$Z$1:$AA$11,2,TRUE))</f>
        <v>4</v>
      </c>
      <c r="E270" t="s">
        <v>3168</v>
      </c>
      <c r="F270" t="str">
        <f t="shared" si="74"/>
        <v>黒</v>
      </c>
      <c r="G270">
        <f>IF(AB270="","",VLOOKUP(F270,tnpl!$X$1:$Y$16,2,TRUE))</f>
        <v>3</v>
      </c>
      <c r="H270" t="s">
        <v>3168</v>
      </c>
      <c r="I270">
        <f t="shared" si="75"/>
        <v>9</v>
      </c>
      <c r="J270" t="s">
        <v>3168</v>
      </c>
      <c r="K270">
        <f t="shared" si="76"/>
        <v>4</v>
      </c>
      <c r="L270">
        <f t="shared" si="76"/>
        <v>2</v>
      </c>
      <c r="M270" t="str">
        <f t="shared" si="72"/>
        <v>4/2</v>
      </c>
      <c r="N270" t="s">
        <v>3175</v>
      </c>
      <c r="O270" t="str">
        <f t="shared" si="77"/>
        <v>コモン</v>
      </c>
      <c r="R270" t="s">
        <v>3175</v>
      </c>
      <c r="S270" t="s">
        <v>4750</v>
      </c>
      <c r="T270" t="str">
        <f t="shared" si="78"/>
        <v>遠沼の猟犬</v>
      </c>
      <c r="U270" t="str">
        <f t="shared" si="79"/>
        <v/>
      </c>
      <c r="V270" t="str">
        <f>IF(I270=0,VLOOKUP(TAG!T270,Sheet4!A:B,2,TRUE),"")</f>
        <v/>
      </c>
      <c r="W270" t="s">
        <v>4751</v>
      </c>
      <c r="X270" t="s">
        <v>3175</v>
      </c>
      <c r="Z270" s="3">
        <v>615</v>
      </c>
      <c r="AA270" s="2" t="s">
        <v>3431</v>
      </c>
      <c r="AB270" s="1" t="s">
        <v>1582</v>
      </c>
      <c r="AC270" s="1" t="s">
        <v>1744</v>
      </c>
      <c r="AD270" s="1">
        <v>9</v>
      </c>
      <c r="AE270" s="1" t="s">
        <v>1291</v>
      </c>
      <c r="AF270" s="1" t="s">
        <v>1290</v>
      </c>
      <c r="AG270" s="1" t="s">
        <v>339</v>
      </c>
      <c r="AH270" s="1" t="s">
        <v>1484</v>
      </c>
      <c r="AI270" s="1" t="s">
        <v>2537</v>
      </c>
      <c r="AJ270" s="1"/>
      <c r="AK270" s="1"/>
      <c r="AL270" s="1"/>
      <c r="AM270" s="1"/>
      <c r="AN270" s="1"/>
      <c r="AO270" s="1">
        <v>4</v>
      </c>
      <c r="AP270" s="1">
        <v>2</v>
      </c>
      <c r="AQ270" s="1"/>
    </row>
    <row r="271" spans="1:43" x14ac:dyDescent="0.15">
      <c r="A271" t="str">
        <f t="shared" si="71"/>
        <v>|SOI|赤|11|4/2|コモン|《[[巨体の悪魔]]》|</v>
      </c>
      <c r="B271" t="s">
        <v>3168</v>
      </c>
      <c r="C271" t="str">
        <f t="shared" si="73"/>
        <v>SOI</v>
      </c>
      <c r="D271">
        <f>IF(AA271="","",VLOOKUP(C271,tnpl!$Z$1:$AA$11,2,TRUE))</f>
        <v>4</v>
      </c>
      <c r="E271" t="s">
        <v>3168</v>
      </c>
      <c r="F271" t="str">
        <f t="shared" si="74"/>
        <v>赤</v>
      </c>
      <c r="G271">
        <f>IF(AB271="","",VLOOKUP(F271,tnpl!$X$1:$Y$16,2,TRUE))</f>
        <v>4</v>
      </c>
      <c r="H271" t="s">
        <v>3168</v>
      </c>
      <c r="I271">
        <f t="shared" si="75"/>
        <v>11</v>
      </c>
      <c r="J271" t="s">
        <v>3168</v>
      </c>
      <c r="K271">
        <f t="shared" si="76"/>
        <v>4</v>
      </c>
      <c r="L271">
        <f t="shared" si="76"/>
        <v>2</v>
      </c>
      <c r="M271" t="str">
        <f t="shared" si="72"/>
        <v>4/2</v>
      </c>
      <c r="N271" t="s">
        <v>3175</v>
      </c>
      <c r="O271" t="str">
        <f t="shared" si="77"/>
        <v>コモン</v>
      </c>
      <c r="R271" t="s">
        <v>3175</v>
      </c>
      <c r="S271" t="s">
        <v>4750</v>
      </c>
      <c r="T271" t="str">
        <f t="shared" si="78"/>
        <v>巨体の悪魔</v>
      </c>
      <c r="U271" t="str">
        <f t="shared" si="79"/>
        <v/>
      </c>
      <c r="V271" t="str">
        <f>IF(I271=0,VLOOKUP(TAG!T271,Sheet4!A:B,2,TRUE),"")</f>
        <v/>
      </c>
      <c r="W271" t="s">
        <v>4751</v>
      </c>
      <c r="X271" t="s">
        <v>3175</v>
      </c>
      <c r="Z271" s="3">
        <v>648</v>
      </c>
      <c r="AA271" s="2" t="s">
        <v>3431</v>
      </c>
      <c r="AB271" s="1" t="s">
        <v>1552</v>
      </c>
      <c r="AC271" s="1" t="s">
        <v>1744</v>
      </c>
      <c r="AD271" s="1">
        <v>11</v>
      </c>
      <c r="AE271" s="1" t="s">
        <v>1235</v>
      </c>
      <c r="AF271" s="1" t="s">
        <v>1234</v>
      </c>
      <c r="AG271" s="1" t="s">
        <v>339</v>
      </c>
      <c r="AH271" s="1" t="s">
        <v>3609</v>
      </c>
      <c r="AI271" s="1"/>
      <c r="AJ271" s="1"/>
      <c r="AK271" s="1" t="s">
        <v>2595</v>
      </c>
      <c r="AL271" s="1"/>
      <c r="AM271" s="1"/>
      <c r="AN271" s="1"/>
      <c r="AO271" s="1">
        <v>4</v>
      </c>
      <c r="AP271" s="1">
        <v>2</v>
      </c>
      <c r="AQ271" s="1" t="s">
        <v>2595</v>
      </c>
    </row>
    <row r="272" spans="1:43" x14ac:dyDescent="0.15">
      <c r="A272" t="str">
        <f t="shared" si="71"/>
        <v>|SOI|緑|0|4/2|コモン|《[[森林を切り裂くもの&gt;内陸の木こり]]》|</v>
      </c>
      <c r="B272" t="s">
        <v>3168</v>
      </c>
      <c r="C272" t="str">
        <f t="shared" si="73"/>
        <v>SOI</v>
      </c>
      <c r="D272">
        <f>IF(AA272="","",VLOOKUP(C272,tnpl!$Z$1:$AA$11,2,TRUE))</f>
        <v>4</v>
      </c>
      <c r="E272" t="s">
        <v>3168</v>
      </c>
      <c r="F272" t="str">
        <f t="shared" si="74"/>
        <v>緑</v>
      </c>
      <c r="G272">
        <f>IF(AB272="","",VLOOKUP(F272,tnpl!$X$1:$Y$16,2,TRUE))</f>
        <v>5</v>
      </c>
      <c r="H272" t="s">
        <v>3168</v>
      </c>
      <c r="I272">
        <f t="shared" si="75"/>
        <v>0</v>
      </c>
      <c r="J272" t="s">
        <v>3168</v>
      </c>
      <c r="K272">
        <f t="shared" si="76"/>
        <v>4</v>
      </c>
      <c r="L272">
        <f t="shared" si="76"/>
        <v>2</v>
      </c>
      <c r="M272" t="str">
        <f t="shared" si="72"/>
        <v>4/2</v>
      </c>
      <c r="N272" t="s">
        <v>3175</v>
      </c>
      <c r="O272" t="str">
        <f t="shared" si="77"/>
        <v>コモン</v>
      </c>
      <c r="R272" t="s">
        <v>3175</v>
      </c>
      <c r="S272" t="s">
        <v>4750</v>
      </c>
      <c r="T272" t="str">
        <f t="shared" si="78"/>
        <v>森林を切り裂くもの</v>
      </c>
      <c r="U272" t="str">
        <f t="shared" si="79"/>
        <v>&gt;</v>
      </c>
      <c r="V272" t="str">
        <f>IF(I272=0,VLOOKUP(TAG!T272,Sheet4!A:B,2,TRUE),"")</f>
        <v>内陸の木こり</v>
      </c>
      <c r="W272" t="s">
        <v>4751</v>
      </c>
      <c r="X272" t="s">
        <v>3175</v>
      </c>
      <c r="Z272" s="3">
        <v>681</v>
      </c>
      <c r="AA272" s="2" t="s">
        <v>3431</v>
      </c>
      <c r="AB272" s="1" t="s">
        <v>1518</v>
      </c>
      <c r="AC272" s="1" t="s">
        <v>1744</v>
      </c>
      <c r="AD272" s="13">
        <v>0</v>
      </c>
      <c r="AE272" s="1" t="s">
        <v>1009</v>
      </c>
      <c r="AF272" s="1" t="s">
        <v>1008</v>
      </c>
      <c r="AG272" s="1" t="s">
        <v>339</v>
      </c>
      <c r="AH272" s="1" t="s">
        <v>3605</v>
      </c>
      <c r="AI272" s="1"/>
      <c r="AJ272" s="1"/>
      <c r="AK272" s="1" t="s">
        <v>1707</v>
      </c>
      <c r="AL272" s="1" t="s">
        <v>3607</v>
      </c>
      <c r="AM272" s="1"/>
      <c r="AN272" s="1"/>
      <c r="AO272" s="1">
        <v>4</v>
      </c>
      <c r="AP272" s="1">
        <v>2</v>
      </c>
      <c r="AQ272" s="1" t="s">
        <v>3653</v>
      </c>
    </row>
    <row r="273" spans="1:43" x14ac:dyDescent="0.15">
      <c r="A273" t="str">
        <f t="shared" si="71"/>
        <v>|EMN|緑|15|4/2|アンコモン|《[[けたたましく吠えるもの]]》|</v>
      </c>
      <c r="B273" t="s">
        <v>3168</v>
      </c>
      <c r="C273" t="str">
        <f t="shared" si="73"/>
        <v>EMN</v>
      </c>
      <c r="D273">
        <f>IF(AA273="","",VLOOKUP(C273,tnpl!$Z$1:$AA$11,2,TRUE))</f>
        <v>5</v>
      </c>
      <c r="E273" t="s">
        <v>3168</v>
      </c>
      <c r="F273" t="str">
        <f t="shared" si="74"/>
        <v>緑</v>
      </c>
      <c r="G273">
        <f>IF(AB273="","",VLOOKUP(F273,tnpl!$X$1:$Y$16,2,TRUE))</f>
        <v>5</v>
      </c>
      <c r="H273" t="s">
        <v>3168</v>
      </c>
      <c r="I273">
        <f t="shared" si="75"/>
        <v>15</v>
      </c>
      <c r="J273" t="s">
        <v>3168</v>
      </c>
      <c r="K273">
        <f t="shared" si="76"/>
        <v>4</v>
      </c>
      <c r="L273">
        <f t="shared" si="76"/>
        <v>2</v>
      </c>
      <c r="M273" t="str">
        <f t="shared" si="72"/>
        <v>4/2</v>
      </c>
      <c r="N273" t="s">
        <v>3175</v>
      </c>
      <c r="O273" t="str">
        <f t="shared" si="77"/>
        <v>アンコモン</v>
      </c>
      <c r="R273" t="s">
        <v>3175</v>
      </c>
      <c r="S273" t="s">
        <v>4750</v>
      </c>
      <c r="T273" t="str">
        <f t="shared" si="78"/>
        <v>けたたましく吠えるもの</v>
      </c>
      <c r="U273" t="str">
        <f t="shared" si="79"/>
        <v/>
      </c>
      <c r="V273" t="str">
        <f>IF(I273=0,VLOOKUP(TAG!T273,Sheet4!A:B,2,TRUE),"")</f>
        <v/>
      </c>
      <c r="W273" t="s">
        <v>4751</v>
      </c>
      <c r="X273" t="s">
        <v>3175</v>
      </c>
      <c r="Z273" s="3">
        <v>811</v>
      </c>
      <c r="AA273" s="2" t="s">
        <v>3773</v>
      </c>
      <c r="AB273" s="1" t="s">
        <v>1518</v>
      </c>
      <c r="AC273" s="1" t="s">
        <v>1451</v>
      </c>
      <c r="AD273" s="14">
        <v>15</v>
      </c>
      <c r="AE273" s="1" t="s">
        <v>904</v>
      </c>
      <c r="AF273" s="1" t="s">
        <v>903</v>
      </c>
      <c r="AG273" s="1" t="s">
        <v>339</v>
      </c>
      <c r="AH273" s="1" t="s">
        <v>3605</v>
      </c>
      <c r="AI273" s="1" t="s">
        <v>2802</v>
      </c>
      <c r="AJ273" s="1"/>
      <c r="AK273" s="1" t="s">
        <v>3419</v>
      </c>
      <c r="AL273" s="1" t="s">
        <v>3463</v>
      </c>
      <c r="AM273" s="1"/>
      <c r="AN273" s="1"/>
      <c r="AO273" s="1">
        <v>4</v>
      </c>
      <c r="AP273" s="1">
        <v>2</v>
      </c>
      <c r="AQ273" s="1" t="s">
        <v>3887</v>
      </c>
    </row>
    <row r="274" spans="1:43" x14ac:dyDescent="0.15">
      <c r="A274" t="str">
        <f t="shared" si="71"/>
        <v>|AKH|黒赤|12|4/2|アンコモン|《[[無慈悲な投槍手]]》|</v>
      </c>
      <c r="B274" t="s">
        <v>3168</v>
      </c>
      <c r="C274" t="str">
        <f t="shared" si="73"/>
        <v>AKH</v>
      </c>
      <c r="D274">
        <f>IF(AA274="","",VLOOKUP(C274,tnpl!$Z$1:$AA$11,2,TRUE))</f>
        <v>10</v>
      </c>
      <c r="E274" t="s">
        <v>3168</v>
      </c>
      <c r="F274" t="str">
        <f t="shared" si="74"/>
        <v>黒赤</v>
      </c>
      <c r="G274">
        <f>IF(AB274="","",VLOOKUP(F274,tnpl!$X$1:$Y$16,2,TRUE))</f>
        <v>8</v>
      </c>
      <c r="H274" t="s">
        <v>3168</v>
      </c>
      <c r="I274">
        <f t="shared" si="75"/>
        <v>12</v>
      </c>
      <c r="J274" t="s">
        <v>3168</v>
      </c>
      <c r="K274">
        <f t="shared" si="76"/>
        <v>4</v>
      </c>
      <c r="L274">
        <f t="shared" si="76"/>
        <v>2</v>
      </c>
      <c r="M274" t="str">
        <f t="shared" si="72"/>
        <v>4/2</v>
      </c>
      <c r="N274" t="s">
        <v>3175</v>
      </c>
      <c r="O274" t="str">
        <f t="shared" si="77"/>
        <v>アンコモン</v>
      </c>
      <c r="R274" t="s">
        <v>3175</v>
      </c>
      <c r="S274" t="s">
        <v>4750</v>
      </c>
      <c r="T274" t="str">
        <f t="shared" si="78"/>
        <v>無慈悲な投槍手</v>
      </c>
      <c r="U274" t="str">
        <f t="shared" si="79"/>
        <v/>
      </c>
      <c r="V274" t="str">
        <f>IF(I274=0,VLOOKUP(TAG!T274,Sheet4!A:B,2,TRUE),"")</f>
        <v/>
      </c>
      <c r="W274" t="s">
        <v>4751</v>
      </c>
      <c r="X274" t="s">
        <v>3175</v>
      </c>
      <c r="Z274" s="3">
        <v>1288</v>
      </c>
      <c r="AA274" s="2" t="s">
        <v>4349</v>
      </c>
      <c r="AB274" s="1" t="s">
        <v>1504</v>
      </c>
      <c r="AC274" s="1" t="s">
        <v>1451</v>
      </c>
      <c r="AD274" s="1">
        <v>12</v>
      </c>
      <c r="AE274" s="1" t="s">
        <v>4735</v>
      </c>
      <c r="AF274" s="1" t="s">
        <v>4736</v>
      </c>
      <c r="AG274" s="1" t="s">
        <v>339</v>
      </c>
      <c r="AH274" s="1" t="s">
        <v>4456</v>
      </c>
      <c r="AI274" s="1" t="s">
        <v>1493</v>
      </c>
      <c r="AJ274" s="1"/>
      <c r="AK274" s="1" t="s">
        <v>4737</v>
      </c>
      <c r="AL274" s="1"/>
      <c r="AM274" s="1"/>
      <c r="AN274" s="1"/>
      <c r="AO274" s="1">
        <v>4</v>
      </c>
      <c r="AP274" s="1">
        <v>2</v>
      </c>
      <c r="AQ274" s="1" t="s">
        <v>4737</v>
      </c>
    </row>
    <row r="275" spans="1:43" x14ac:dyDescent="0.15">
      <c r="A275" t="str">
        <f>B275&amp;C275&amp;E275&amp;F275&amp;H275&amp;I275&amp;J275&amp;M275&amp;N275&amp;O275&amp;P275&amp;Q275&amp;R275&amp;S275&amp;T275&amp;V275&amp;W275&amp;X275&amp;Y275</f>
        <v/>
      </c>
    </row>
    <row r="276" spans="1:43" x14ac:dyDescent="0.15">
      <c r="A276" t="str">
        <f>B276&amp;C276&amp;E276&amp;F276&amp;H276&amp;I276&amp;J276&amp;M276&amp;N276&amp;O276&amp;P276&amp;Q276&amp;R276&amp;S276&amp;T276&amp;V276&amp;W276&amp;X276&amp;Y276</f>
        <v>**4/3クリーチャー</v>
      </c>
      <c r="B276" t="s">
        <v>4752</v>
      </c>
      <c r="C276">
        <f>K279</f>
        <v>4</v>
      </c>
      <c r="E276" t="s">
        <v>4816</v>
      </c>
      <c r="F276">
        <f>L279</f>
        <v>3</v>
      </c>
      <c r="I276" t="s">
        <v>339</v>
      </c>
      <c r="V276" t="str">
        <f>IF(I276=0,VLOOKUP(TAG!T276,Sheet4!A:B,2,TRUE),"")</f>
        <v/>
      </c>
    </row>
    <row r="277" spans="1:43" x14ac:dyDescent="0.15">
      <c r="A277" t="str">
        <f t="shared" ref="A277:A308" si="80">B277&amp;C277&amp;E277&amp;F277&amp;H277&amp;I277&amp;J277&amp;M277&amp;N277&amp;O277&amp;P277&amp;Q277&amp;R277&amp;S277&amp;T277&amp;U277&amp;V277&amp;W277&amp;X277&amp;Y277</f>
        <v>|LEFT:50|LEFT:50|LEFT:50|LEFT:120|LEFT:120|LEFT:500|c</v>
      </c>
      <c r="B277" t="s">
        <v>3168</v>
      </c>
      <c r="C277" t="s">
        <v>3162</v>
      </c>
      <c r="E277" t="s">
        <v>3168</v>
      </c>
      <c r="F277" t="s">
        <v>3162</v>
      </c>
      <c r="H277" t="s">
        <v>3168</v>
      </c>
      <c r="I277" t="s">
        <v>3162</v>
      </c>
      <c r="J277" t="s">
        <v>3168</v>
      </c>
      <c r="M277" t="s">
        <v>4808</v>
      </c>
      <c r="N277" t="s">
        <v>3175</v>
      </c>
      <c r="O277" t="s">
        <v>4808</v>
      </c>
      <c r="R277" t="s">
        <v>3175</v>
      </c>
      <c r="T277" t="s">
        <v>3163</v>
      </c>
      <c r="V277" t="str">
        <f>IF(I277=0,VLOOKUP(TAG!T277,Sheet4!A:B,2,TRUE),"")</f>
        <v/>
      </c>
      <c r="X277" t="s">
        <v>3175</v>
      </c>
      <c r="Y277" t="s">
        <v>3164</v>
      </c>
    </row>
    <row r="278" spans="1:43" x14ac:dyDescent="0.15">
      <c r="A278" t="str">
        <f t="shared" si="80"/>
        <v>|セット|色|コスト|P/T|レアリティ|カード名|</v>
      </c>
      <c r="B278" t="s">
        <v>3168</v>
      </c>
      <c r="C278" t="s">
        <v>3169</v>
      </c>
      <c r="E278" t="s">
        <v>3168</v>
      </c>
      <c r="F278" t="s">
        <v>3139</v>
      </c>
      <c r="H278" t="s">
        <v>3168</v>
      </c>
      <c r="I278" t="s">
        <v>3165</v>
      </c>
      <c r="J278" t="s">
        <v>3168</v>
      </c>
      <c r="K278" t="s">
        <v>3126</v>
      </c>
      <c r="L278" t="s">
        <v>3125</v>
      </c>
      <c r="M278" t="str">
        <f t="shared" ref="M278:M309" si="81">K278&amp;"/"&amp;L278</f>
        <v>P/T</v>
      </c>
      <c r="N278" t="s">
        <v>3175</v>
      </c>
      <c r="O278" t="s">
        <v>4809</v>
      </c>
      <c r="R278" t="s">
        <v>3175</v>
      </c>
      <c r="T278" t="s">
        <v>3166</v>
      </c>
      <c r="V278" t="str">
        <f>IF(I278=0,VLOOKUP(TAG!T278,Sheet4!A:B,2,TRUE),"")</f>
        <v/>
      </c>
      <c r="X278" t="s">
        <v>3175</v>
      </c>
      <c r="Z278" s="12"/>
      <c r="AA278" s="12"/>
      <c r="AB278" s="12"/>
      <c r="AC278" s="12"/>
      <c r="AD278" s="12"/>
      <c r="AE278" s="12"/>
      <c r="AF278" s="12"/>
      <c r="AG278" s="12"/>
      <c r="AH278" s="12"/>
      <c r="AI278" s="12"/>
      <c r="AJ278" s="12"/>
      <c r="AK278" s="12"/>
      <c r="AL278" s="12"/>
      <c r="AM278" s="12"/>
      <c r="AN278" s="12"/>
      <c r="AO278" s="12"/>
      <c r="AP278" s="12"/>
      <c r="AQ278" s="12"/>
    </row>
    <row r="279" spans="1:43" x14ac:dyDescent="0.15">
      <c r="A279" t="str">
        <f t="shared" si="80"/>
        <v>|ORI|白|12|4/3|アンコモン|《[[領事補佐官]]》|</v>
      </c>
      <c r="B279" t="s">
        <v>3168</v>
      </c>
      <c r="C279" t="str">
        <f t="shared" ref="C279:C310" si="82">AA279</f>
        <v>ORI</v>
      </c>
      <c r="D279">
        <f>IF(AA279="","",VLOOKUP(C279,tnpl!$Z$1:$AA$11,2,TRUE))</f>
        <v>1</v>
      </c>
      <c r="E279" t="s">
        <v>3168</v>
      </c>
      <c r="F279" t="str">
        <f t="shared" ref="F279:F310" si="83">AB279</f>
        <v>白</v>
      </c>
      <c r="G279">
        <f>IF(AB279="","",VLOOKUP(F279,tnpl!$X$1:$Y$16,2,TRUE))</f>
        <v>1</v>
      </c>
      <c r="H279" t="s">
        <v>3168</v>
      </c>
      <c r="I279">
        <f t="shared" ref="I279:I310" si="84">AD279</f>
        <v>12</v>
      </c>
      <c r="J279" t="s">
        <v>3168</v>
      </c>
      <c r="K279">
        <f t="shared" ref="K279:K310" si="85">AO279</f>
        <v>4</v>
      </c>
      <c r="L279">
        <f t="shared" ref="L279:L310" si="86">AP279</f>
        <v>3</v>
      </c>
      <c r="M279" t="str">
        <f t="shared" si="81"/>
        <v>4/3</v>
      </c>
      <c r="N279" t="s">
        <v>3175</v>
      </c>
      <c r="O279" t="str">
        <f t="shared" ref="O279:O310" si="87">AC279</f>
        <v>アンコモン</v>
      </c>
      <c r="R279" t="s">
        <v>3175</v>
      </c>
      <c r="S279" t="s">
        <v>4750</v>
      </c>
      <c r="T279" t="str">
        <f t="shared" ref="T279:T310" si="88">AE279</f>
        <v>領事補佐官</v>
      </c>
      <c r="U279" t="str">
        <f t="shared" ref="U279:U310" si="89">IF(I279=0,"&gt;","")</f>
        <v/>
      </c>
      <c r="V279" t="str">
        <f>IF(I279=0,VLOOKUP(TAG!T279,Sheet4!A:B,2,TRUE),"")</f>
        <v/>
      </c>
      <c r="W279" t="s">
        <v>4751</v>
      </c>
      <c r="X279" t="s">
        <v>3175</v>
      </c>
      <c r="Z279" s="3">
        <v>19</v>
      </c>
      <c r="AA279" s="2" t="s">
        <v>3176</v>
      </c>
      <c r="AB279" s="1" t="s">
        <v>1627</v>
      </c>
      <c r="AC279" s="1" t="s">
        <v>1451</v>
      </c>
      <c r="AD279" s="1">
        <v>12</v>
      </c>
      <c r="AE279" s="1" t="s">
        <v>3072</v>
      </c>
      <c r="AF279" s="1" t="s">
        <v>3071</v>
      </c>
      <c r="AG279" s="1" t="s">
        <v>339</v>
      </c>
      <c r="AH279" s="1" t="s">
        <v>1489</v>
      </c>
      <c r="AI279" s="1" t="s">
        <v>1799</v>
      </c>
      <c r="AJ279" s="1"/>
      <c r="AK279" s="1" t="s">
        <v>3184</v>
      </c>
      <c r="AL279" s="1" t="s">
        <v>3070</v>
      </c>
      <c r="AM279" s="1"/>
      <c r="AN279" s="1"/>
      <c r="AO279" s="1">
        <v>4</v>
      </c>
      <c r="AP279" s="1">
        <v>3</v>
      </c>
      <c r="AQ279" s="1" t="s">
        <v>3185</v>
      </c>
    </row>
    <row r="280" spans="1:43" x14ac:dyDescent="0.15">
      <c r="A280" t="str">
        <f t="shared" si="80"/>
        <v>|ORI|黒|16|4/3|アンコモン|《[[光り葉の選別者]]》|</v>
      </c>
      <c r="B280" t="s">
        <v>3168</v>
      </c>
      <c r="C280" t="str">
        <f t="shared" si="82"/>
        <v>ORI</v>
      </c>
      <c r="D280">
        <f>IF(AA280="","",VLOOKUP(C280,tnpl!$Z$1:$AA$11,2,TRUE))</f>
        <v>1</v>
      </c>
      <c r="E280" t="s">
        <v>3168</v>
      </c>
      <c r="F280" t="str">
        <f t="shared" si="83"/>
        <v>黒</v>
      </c>
      <c r="G280">
        <f>IF(AB280="","",VLOOKUP(F280,tnpl!$X$1:$Y$16,2,TRUE))</f>
        <v>3</v>
      </c>
      <c r="H280" t="s">
        <v>3168</v>
      </c>
      <c r="I280">
        <f t="shared" si="84"/>
        <v>16</v>
      </c>
      <c r="J280" t="s">
        <v>3168</v>
      </c>
      <c r="K280">
        <f t="shared" si="85"/>
        <v>4</v>
      </c>
      <c r="L280">
        <f t="shared" si="86"/>
        <v>3</v>
      </c>
      <c r="M280" t="str">
        <f t="shared" si="81"/>
        <v>4/3</v>
      </c>
      <c r="N280" t="s">
        <v>3175</v>
      </c>
      <c r="O280" t="str">
        <f t="shared" si="87"/>
        <v>アンコモン</v>
      </c>
      <c r="R280" t="s">
        <v>3175</v>
      </c>
      <c r="S280" t="s">
        <v>4750</v>
      </c>
      <c r="T280" t="str">
        <f t="shared" si="88"/>
        <v>光り葉の選別者</v>
      </c>
      <c r="U280" t="str">
        <f t="shared" si="89"/>
        <v/>
      </c>
      <c r="V280" t="str">
        <f>IF(I280=0,VLOOKUP(TAG!T280,Sheet4!A:B,2,TRUE),"")</f>
        <v/>
      </c>
      <c r="W280" t="s">
        <v>4751</v>
      </c>
      <c r="X280" t="s">
        <v>3175</v>
      </c>
      <c r="Z280" s="3">
        <v>99</v>
      </c>
      <c r="AA280" s="2" t="s">
        <v>3176</v>
      </c>
      <c r="AB280" s="1" t="s">
        <v>1582</v>
      </c>
      <c r="AC280" s="1" t="s">
        <v>1451</v>
      </c>
      <c r="AD280" s="1">
        <v>16</v>
      </c>
      <c r="AE280" s="1" t="s">
        <v>2835</v>
      </c>
      <c r="AF280" s="1" t="s">
        <v>2834</v>
      </c>
      <c r="AG280" s="1" t="s">
        <v>339</v>
      </c>
      <c r="AH280" s="1" t="s">
        <v>1479</v>
      </c>
      <c r="AI280" s="1" t="s">
        <v>1493</v>
      </c>
      <c r="AJ280" s="1"/>
      <c r="AK280" s="1" t="s">
        <v>3232</v>
      </c>
      <c r="AL280" s="1"/>
      <c r="AM280" s="1"/>
      <c r="AN280" s="1"/>
      <c r="AO280" s="1">
        <v>4</v>
      </c>
      <c r="AP280" s="1">
        <v>3</v>
      </c>
      <c r="AQ280" s="1" t="s">
        <v>3232</v>
      </c>
    </row>
    <row r="281" spans="1:43" x14ac:dyDescent="0.15">
      <c r="A281" t="str">
        <f t="shared" si="80"/>
        <v>|ORI|赤|8|4/3|アンコモン|《[[心酔させる勝者]]》|</v>
      </c>
      <c r="B281" t="s">
        <v>3168</v>
      </c>
      <c r="C281" t="str">
        <f t="shared" si="82"/>
        <v>ORI</v>
      </c>
      <c r="D281">
        <f>IF(AA281="","",VLOOKUP(C281,tnpl!$Z$1:$AA$11,2,TRUE))</f>
        <v>1</v>
      </c>
      <c r="E281" t="s">
        <v>3168</v>
      </c>
      <c r="F281" t="str">
        <f t="shared" si="83"/>
        <v>赤</v>
      </c>
      <c r="G281">
        <f>IF(AB281="","",VLOOKUP(F281,tnpl!$X$1:$Y$16,2,TRUE))</f>
        <v>4</v>
      </c>
      <c r="H281" t="s">
        <v>3168</v>
      </c>
      <c r="I281">
        <f t="shared" si="84"/>
        <v>8</v>
      </c>
      <c r="J281" t="s">
        <v>3168</v>
      </c>
      <c r="K281">
        <f t="shared" si="85"/>
        <v>4</v>
      </c>
      <c r="L281">
        <f t="shared" si="86"/>
        <v>3</v>
      </c>
      <c r="M281" t="str">
        <f t="shared" si="81"/>
        <v>4/3</v>
      </c>
      <c r="N281" t="s">
        <v>3175</v>
      </c>
      <c r="O281" t="str">
        <f t="shared" si="87"/>
        <v>アンコモン</v>
      </c>
      <c r="R281" t="s">
        <v>3175</v>
      </c>
      <c r="S281" t="s">
        <v>4750</v>
      </c>
      <c r="T281" t="str">
        <f t="shared" si="88"/>
        <v>心酔させる勝者</v>
      </c>
      <c r="U281" t="str">
        <f t="shared" si="89"/>
        <v/>
      </c>
      <c r="V281" t="str">
        <f>IF(I281=0,VLOOKUP(TAG!T281,Sheet4!A:B,2,TRUE),"")</f>
        <v/>
      </c>
      <c r="W281" t="s">
        <v>4751</v>
      </c>
      <c r="X281" t="s">
        <v>3175</v>
      </c>
      <c r="Z281" s="3">
        <v>138</v>
      </c>
      <c r="AA281" s="2" t="s">
        <v>3176</v>
      </c>
      <c r="AB281" s="1" t="s">
        <v>1552</v>
      </c>
      <c r="AC281" s="1" t="s">
        <v>1451</v>
      </c>
      <c r="AD281" s="1">
        <v>8</v>
      </c>
      <c r="AE281" s="1" t="s">
        <v>2727</v>
      </c>
      <c r="AF281" s="1" t="s">
        <v>2726</v>
      </c>
      <c r="AG281" s="1" t="s">
        <v>339</v>
      </c>
      <c r="AH281" s="1" t="s">
        <v>1489</v>
      </c>
      <c r="AI281" s="1" t="s">
        <v>1493</v>
      </c>
      <c r="AJ281" s="1"/>
      <c r="AK281" s="1" t="s">
        <v>2725</v>
      </c>
      <c r="AL281" s="1"/>
      <c r="AM281" s="1"/>
      <c r="AN281" s="1"/>
      <c r="AO281" s="1">
        <v>4</v>
      </c>
      <c r="AP281" s="1">
        <v>3</v>
      </c>
      <c r="AQ281" s="1" t="s">
        <v>2725</v>
      </c>
    </row>
    <row r="282" spans="1:43" x14ac:dyDescent="0.15">
      <c r="A282" t="str">
        <f t="shared" si="80"/>
        <v>|ORI|赤|11|4/3|アンコモン|《[[空荒らしの巨人]]》|</v>
      </c>
      <c r="B282" t="s">
        <v>3168</v>
      </c>
      <c r="C282" t="str">
        <f t="shared" si="82"/>
        <v>ORI</v>
      </c>
      <c r="D282">
        <f>IF(AA282="","",VLOOKUP(C282,tnpl!$Z$1:$AA$11,2,TRUE))</f>
        <v>1</v>
      </c>
      <c r="E282" t="s">
        <v>3168</v>
      </c>
      <c r="F282" t="str">
        <f t="shared" si="83"/>
        <v>赤</v>
      </c>
      <c r="G282">
        <f>IF(AB282="","",VLOOKUP(F282,tnpl!$X$1:$Y$16,2,TRUE))</f>
        <v>4</v>
      </c>
      <c r="H282" t="s">
        <v>3168</v>
      </c>
      <c r="I282">
        <f t="shared" si="84"/>
        <v>11</v>
      </c>
      <c r="J282" t="s">
        <v>3168</v>
      </c>
      <c r="K282">
        <f t="shared" si="85"/>
        <v>4</v>
      </c>
      <c r="L282">
        <f t="shared" si="86"/>
        <v>3</v>
      </c>
      <c r="M282" t="str">
        <f t="shared" si="81"/>
        <v>4/3</v>
      </c>
      <c r="N282" t="s">
        <v>3175</v>
      </c>
      <c r="O282" t="str">
        <f t="shared" si="87"/>
        <v>アンコモン</v>
      </c>
      <c r="R282" t="s">
        <v>3175</v>
      </c>
      <c r="S282" t="s">
        <v>4750</v>
      </c>
      <c r="T282" t="str">
        <f t="shared" si="88"/>
        <v>空荒らしの巨人</v>
      </c>
      <c r="U282" t="str">
        <f t="shared" si="89"/>
        <v/>
      </c>
      <c r="V282" t="str">
        <f>IF(I282=0,VLOOKUP(TAG!T282,Sheet4!A:B,2,TRUE),"")</f>
        <v/>
      </c>
      <c r="W282" t="s">
        <v>4751</v>
      </c>
      <c r="X282" t="s">
        <v>3175</v>
      </c>
      <c r="Z282" s="3">
        <v>143</v>
      </c>
      <c r="AA282" s="2" t="s">
        <v>3176</v>
      </c>
      <c r="AB282" s="1" t="s">
        <v>1552</v>
      </c>
      <c r="AC282" s="1" t="s">
        <v>1451</v>
      </c>
      <c r="AD282" s="1">
        <v>11</v>
      </c>
      <c r="AE282" s="1" t="s">
        <v>2712</v>
      </c>
      <c r="AF282" s="1" t="s">
        <v>2711</v>
      </c>
      <c r="AG282" s="1" t="s">
        <v>339</v>
      </c>
      <c r="AH282" s="1" t="s">
        <v>2049</v>
      </c>
      <c r="AI282" s="1"/>
      <c r="AJ282" s="1"/>
      <c r="AK282" s="1" t="s">
        <v>1944</v>
      </c>
      <c r="AL282" s="1"/>
      <c r="AM282" s="1"/>
      <c r="AN282" s="1"/>
      <c r="AO282" s="1">
        <v>4</v>
      </c>
      <c r="AP282" s="1">
        <v>3</v>
      </c>
      <c r="AQ282" s="1" t="s">
        <v>1944</v>
      </c>
    </row>
    <row r="283" spans="1:43" x14ac:dyDescent="0.15">
      <c r="A283" t="str">
        <f t="shared" si="80"/>
        <v>|ORI|赤黒|10|4/3|アンコモン|《[[猛火のヘルハウンド]]》|</v>
      </c>
      <c r="B283" t="s">
        <v>3168</v>
      </c>
      <c r="C283" t="str">
        <f t="shared" si="82"/>
        <v>ORI</v>
      </c>
      <c r="D283">
        <f>IF(AA283="","",VLOOKUP(C283,tnpl!$Z$1:$AA$11,2,TRUE))</f>
        <v>1</v>
      </c>
      <c r="E283" t="s">
        <v>3168</v>
      </c>
      <c r="F283" t="str">
        <f t="shared" si="83"/>
        <v>赤黒</v>
      </c>
      <c r="G283">
        <f>IF(AB283="","",VLOOKUP(F283,tnpl!$X$1:$Y$16,2,TRUE))</f>
        <v>4</v>
      </c>
      <c r="H283" t="s">
        <v>3168</v>
      </c>
      <c r="I283">
        <f t="shared" si="84"/>
        <v>10</v>
      </c>
      <c r="J283" t="s">
        <v>3168</v>
      </c>
      <c r="K283">
        <f t="shared" si="85"/>
        <v>4</v>
      </c>
      <c r="L283">
        <f t="shared" si="86"/>
        <v>3</v>
      </c>
      <c r="M283" t="str">
        <f t="shared" si="81"/>
        <v>4/3</v>
      </c>
      <c r="N283" t="s">
        <v>3175</v>
      </c>
      <c r="O283" t="str">
        <f t="shared" si="87"/>
        <v>アンコモン</v>
      </c>
      <c r="R283" t="s">
        <v>3175</v>
      </c>
      <c r="S283" t="s">
        <v>4750</v>
      </c>
      <c r="T283" t="str">
        <f t="shared" si="88"/>
        <v>猛火のヘルハウンド</v>
      </c>
      <c r="U283" t="str">
        <f t="shared" si="89"/>
        <v/>
      </c>
      <c r="V283" t="str">
        <f>IF(I283=0,VLOOKUP(TAG!T283,Sheet4!A:B,2,TRUE),"")</f>
        <v/>
      </c>
      <c r="W283" t="s">
        <v>4751</v>
      </c>
      <c r="X283" t="s">
        <v>3175</v>
      </c>
      <c r="Z283" s="3">
        <v>204</v>
      </c>
      <c r="AA283" s="2" t="s">
        <v>3176</v>
      </c>
      <c r="AB283" s="1" t="s">
        <v>2540</v>
      </c>
      <c r="AC283" s="1" t="s">
        <v>1451</v>
      </c>
      <c r="AD283" s="1">
        <v>10</v>
      </c>
      <c r="AE283" s="1" t="s">
        <v>2539</v>
      </c>
      <c r="AF283" s="1" t="s">
        <v>2538</v>
      </c>
      <c r="AG283" s="1" t="s">
        <v>339</v>
      </c>
      <c r="AH283" s="1" t="s">
        <v>1537</v>
      </c>
      <c r="AI283" s="1" t="s">
        <v>2537</v>
      </c>
      <c r="AJ283" s="1"/>
      <c r="AK283" s="1" t="s">
        <v>1738</v>
      </c>
      <c r="AL283" s="1" t="s">
        <v>3288</v>
      </c>
      <c r="AM283" s="1"/>
      <c r="AN283" s="1"/>
      <c r="AO283" s="1">
        <v>4</v>
      </c>
      <c r="AP283" s="1">
        <v>3</v>
      </c>
      <c r="AQ283" s="1" t="s">
        <v>3289</v>
      </c>
    </row>
    <row r="284" spans="1:43" x14ac:dyDescent="0.15">
      <c r="A284" t="str">
        <f t="shared" si="80"/>
        <v>|ORI|白黒|17|4/3|アンコモン|《[[血に呪われた騎士]]》|</v>
      </c>
      <c r="B284" t="s">
        <v>3168</v>
      </c>
      <c r="C284" t="str">
        <f t="shared" si="82"/>
        <v>ORI</v>
      </c>
      <c r="D284">
        <f>IF(AA284="","",VLOOKUP(C284,tnpl!$Z$1:$AA$11,2,TRUE))</f>
        <v>1</v>
      </c>
      <c r="E284" t="s">
        <v>3168</v>
      </c>
      <c r="F284" t="str">
        <f t="shared" si="83"/>
        <v>白黒</v>
      </c>
      <c r="G284">
        <f>IF(AB284="","",VLOOKUP(F284,tnpl!$X$1:$Y$16,2,TRUE))</f>
        <v>11</v>
      </c>
      <c r="H284" t="s">
        <v>3168</v>
      </c>
      <c r="I284">
        <f t="shared" si="84"/>
        <v>17</v>
      </c>
      <c r="J284" t="s">
        <v>3168</v>
      </c>
      <c r="K284">
        <f t="shared" si="85"/>
        <v>4</v>
      </c>
      <c r="L284">
        <f t="shared" si="86"/>
        <v>3</v>
      </c>
      <c r="M284" t="str">
        <f t="shared" si="81"/>
        <v>4/3</v>
      </c>
      <c r="N284" t="s">
        <v>3175</v>
      </c>
      <c r="O284" t="str">
        <f t="shared" si="87"/>
        <v>アンコモン</v>
      </c>
      <c r="R284" t="s">
        <v>3175</v>
      </c>
      <c r="S284" t="s">
        <v>4750</v>
      </c>
      <c r="T284" t="str">
        <f t="shared" si="88"/>
        <v>血に呪われた騎士</v>
      </c>
      <c r="U284" t="str">
        <f t="shared" si="89"/>
        <v/>
      </c>
      <c r="V284" t="str">
        <f>IF(I284=0,VLOOKUP(TAG!T284,Sheet4!A:B,2,TRUE),"")</f>
        <v/>
      </c>
      <c r="W284" t="s">
        <v>4751</v>
      </c>
      <c r="X284" t="s">
        <v>3175</v>
      </c>
      <c r="Z284" s="3">
        <v>205</v>
      </c>
      <c r="AA284" s="2" t="s">
        <v>3176</v>
      </c>
      <c r="AB284" s="1" t="s">
        <v>1474</v>
      </c>
      <c r="AC284" s="1" t="s">
        <v>1451</v>
      </c>
      <c r="AD284" s="1">
        <v>17</v>
      </c>
      <c r="AE284" s="1" t="s">
        <v>2536</v>
      </c>
      <c r="AF284" s="1" t="s">
        <v>2535</v>
      </c>
      <c r="AG284" s="1" t="s">
        <v>339</v>
      </c>
      <c r="AH284" s="1" t="s">
        <v>1494</v>
      </c>
      <c r="AI284" s="1" t="s">
        <v>1533</v>
      </c>
      <c r="AJ284" s="1"/>
      <c r="AK284" s="1" t="s">
        <v>2534</v>
      </c>
      <c r="AL284" s="1"/>
      <c r="AM284" s="1"/>
      <c r="AN284" s="1"/>
      <c r="AO284" s="1">
        <v>4</v>
      </c>
      <c r="AP284" s="1">
        <v>3</v>
      </c>
      <c r="AQ284" s="1" t="s">
        <v>2534</v>
      </c>
    </row>
    <row r="285" spans="1:43" x14ac:dyDescent="0.15">
      <c r="A285" t="str">
        <f t="shared" si="80"/>
        <v>|ORI|青黒|13|4/3|アンコモン|《[[取り憑かれたスカーブ]]》|</v>
      </c>
      <c r="B285" t="s">
        <v>3168</v>
      </c>
      <c r="C285" t="str">
        <f t="shared" si="82"/>
        <v>ORI</v>
      </c>
      <c r="D285">
        <f>IF(AA285="","",VLOOKUP(C285,tnpl!$Z$1:$AA$11,2,TRUE))</f>
        <v>1</v>
      </c>
      <c r="E285" t="s">
        <v>3168</v>
      </c>
      <c r="F285" t="str">
        <f t="shared" si="83"/>
        <v>青黒</v>
      </c>
      <c r="G285">
        <f>IF(AB285="","",VLOOKUP(F285,tnpl!$X$1:$Y$16,2,TRUE))</f>
        <v>7</v>
      </c>
      <c r="H285" t="s">
        <v>3168</v>
      </c>
      <c r="I285">
        <f t="shared" si="84"/>
        <v>13</v>
      </c>
      <c r="J285" t="s">
        <v>3168</v>
      </c>
      <c r="K285">
        <f t="shared" si="85"/>
        <v>4</v>
      </c>
      <c r="L285">
        <f t="shared" si="86"/>
        <v>3</v>
      </c>
      <c r="M285" t="str">
        <f t="shared" si="81"/>
        <v>4/3</v>
      </c>
      <c r="N285" t="s">
        <v>3175</v>
      </c>
      <c r="O285" t="str">
        <f t="shared" si="87"/>
        <v>アンコモン</v>
      </c>
      <c r="R285" t="s">
        <v>3175</v>
      </c>
      <c r="S285" t="s">
        <v>4750</v>
      </c>
      <c r="T285" t="str">
        <f t="shared" si="88"/>
        <v>取り憑かれたスカーブ</v>
      </c>
      <c r="U285" t="str">
        <f t="shared" si="89"/>
        <v/>
      </c>
      <c r="V285" t="str">
        <f>IF(I285=0,VLOOKUP(TAG!T285,Sheet4!A:B,2,TRUE),"")</f>
        <v/>
      </c>
      <c r="W285" t="s">
        <v>4751</v>
      </c>
      <c r="X285" t="s">
        <v>3175</v>
      </c>
      <c r="Z285" s="3">
        <v>209</v>
      </c>
      <c r="AA285" s="2" t="s">
        <v>3176</v>
      </c>
      <c r="AB285" s="1" t="s">
        <v>1508</v>
      </c>
      <c r="AC285" s="1" t="s">
        <v>1451</v>
      </c>
      <c r="AD285" s="1">
        <v>13</v>
      </c>
      <c r="AE285" s="1" t="s">
        <v>2526</v>
      </c>
      <c r="AF285" s="1" t="s">
        <v>2525</v>
      </c>
      <c r="AG285" s="1" t="s">
        <v>339</v>
      </c>
      <c r="AH285" s="1" t="s">
        <v>1484</v>
      </c>
      <c r="AI285" s="1"/>
      <c r="AJ285" s="1"/>
      <c r="AK285" s="1" t="s">
        <v>2524</v>
      </c>
      <c r="AL285" s="1"/>
      <c r="AM285" s="1"/>
      <c r="AN285" s="1"/>
      <c r="AO285" s="1">
        <v>4</v>
      </c>
      <c r="AP285" s="1">
        <v>3</v>
      </c>
      <c r="AQ285" s="1" t="s">
        <v>2524</v>
      </c>
    </row>
    <row r="286" spans="1:43" x14ac:dyDescent="0.15">
      <c r="A286" t="str">
        <f t="shared" si="80"/>
        <v>|ORI|黒緑|10|4/3|アンコモン|《[[群れのシャーマン]]》|</v>
      </c>
      <c r="B286" t="s">
        <v>3168</v>
      </c>
      <c r="C286" t="str">
        <f t="shared" si="82"/>
        <v>ORI</v>
      </c>
      <c r="D286">
        <f>IF(AA286="","",VLOOKUP(C286,tnpl!$Z$1:$AA$11,2,TRUE))</f>
        <v>1</v>
      </c>
      <c r="E286" t="s">
        <v>3168</v>
      </c>
      <c r="F286" t="str">
        <f t="shared" si="83"/>
        <v>黒緑</v>
      </c>
      <c r="G286">
        <f>IF(AB286="","",VLOOKUP(F286,tnpl!$X$1:$Y$16,2,TRUE))</f>
        <v>13</v>
      </c>
      <c r="H286" t="s">
        <v>3168</v>
      </c>
      <c r="I286">
        <f t="shared" si="84"/>
        <v>10</v>
      </c>
      <c r="J286" t="s">
        <v>3168</v>
      </c>
      <c r="K286">
        <f t="shared" si="85"/>
        <v>4</v>
      </c>
      <c r="L286">
        <f t="shared" si="86"/>
        <v>3</v>
      </c>
      <c r="M286" t="str">
        <f t="shared" si="81"/>
        <v>4/3</v>
      </c>
      <c r="N286" t="s">
        <v>3175</v>
      </c>
      <c r="O286" t="str">
        <f t="shared" si="87"/>
        <v>アンコモン</v>
      </c>
      <c r="R286" t="s">
        <v>3175</v>
      </c>
      <c r="S286" t="s">
        <v>4750</v>
      </c>
      <c r="T286" t="str">
        <f t="shared" si="88"/>
        <v>群れのシャーマン</v>
      </c>
      <c r="U286" t="str">
        <f t="shared" si="89"/>
        <v/>
      </c>
      <c r="V286" t="str">
        <f>IF(I286=0,VLOOKUP(TAG!T286,Sheet4!A:B,2,TRUE),"")</f>
        <v/>
      </c>
      <c r="W286" t="s">
        <v>4751</v>
      </c>
      <c r="X286" t="s">
        <v>3175</v>
      </c>
      <c r="Z286" s="3">
        <v>211</v>
      </c>
      <c r="AA286" s="2" t="s">
        <v>3176</v>
      </c>
      <c r="AB286" s="1" t="s">
        <v>1487</v>
      </c>
      <c r="AC286" s="1" t="s">
        <v>1451</v>
      </c>
      <c r="AD286" s="1">
        <v>10</v>
      </c>
      <c r="AE286" s="1" t="s">
        <v>2520</v>
      </c>
      <c r="AF286" s="1" t="s">
        <v>2519</v>
      </c>
      <c r="AG286" s="1" t="s">
        <v>339</v>
      </c>
      <c r="AH286" s="1" t="s">
        <v>1479</v>
      </c>
      <c r="AI286" s="1" t="s">
        <v>1867</v>
      </c>
      <c r="AJ286" s="1"/>
      <c r="AK286" s="1" t="s">
        <v>2518</v>
      </c>
      <c r="AL286" s="1"/>
      <c r="AM286" s="1"/>
      <c r="AN286" s="1"/>
      <c r="AO286" s="1">
        <v>4</v>
      </c>
      <c r="AP286" s="1">
        <v>3</v>
      </c>
      <c r="AQ286" s="1" t="s">
        <v>2518</v>
      </c>
    </row>
    <row r="287" spans="1:43" x14ac:dyDescent="0.15">
      <c r="A287" t="str">
        <f t="shared" si="80"/>
        <v>|BFZ|青|7|4/3|アンコモン|《[[珊瑚兜の案内人]]》|</v>
      </c>
      <c r="B287" t="s">
        <v>3168</v>
      </c>
      <c r="C287" t="str">
        <f t="shared" si="82"/>
        <v>BFZ</v>
      </c>
      <c r="D287">
        <f>IF(AA287="","",VLOOKUP(C287,tnpl!$Z$1:$AA$11,2,TRUE))</f>
        <v>2</v>
      </c>
      <c r="E287" t="s">
        <v>3168</v>
      </c>
      <c r="F287" t="str">
        <f t="shared" si="83"/>
        <v>青</v>
      </c>
      <c r="G287">
        <f>IF(AB287="","",VLOOKUP(F287,tnpl!$X$1:$Y$16,2,TRUE))</f>
        <v>2</v>
      </c>
      <c r="H287" t="s">
        <v>3168</v>
      </c>
      <c r="I287">
        <f t="shared" si="84"/>
        <v>7</v>
      </c>
      <c r="J287" t="s">
        <v>3168</v>
      </c>
      <c r="K287">
        <f t="shared" si="85"/>
        <v>4</v>
      </c>
      <c r="L287">
        <f t="shared" si="86"/>
        <v>3</v>
      </c>
      <c r="M287" t="str">
        <f t="shared" si="81"/>
        <v>4/3</v>
      </c>
      <c r="N287" t="s">
        <v>3175</v>
      </c>
      <c r="O287" t="str">
        <f t="shared" si="87"/>
        <v>アンコモン</v>
      </c>
      <c r="R287" t="s">
        <v>3175</v>
      </c>
      <c r="S287" t="s">
        <v>4750</v>
      </c>
      <c r="T287" t="str">
        <f t="shared" si="88"/>
        <v>珊瑚兜の案内人</v>
      </c>
      <c r="U287" t="str">
        <f t="shared" si="89"/>
        <v/>
      </c>
      <c r="V287" t="str">
        <f>IF(I287=0,VLOOKUP(TAG!T287,Sheet4!A:B,2,TRUE),"")</f>
        <v/>
      </c>
      <c r="W287" t="s">
        <v>4751</v>
      </c>
      <c r="X287" t="s">
        <v>3175</v>
      </c>
      <c r="Z287" s="3">
        <v>298</v>
      </c>
      <c r="AA287" s="2" t="s">
        <v>3170</v>
      </c>
      <c r="AB287" s="1" t="s">
        <v>1606</v>
      </c>
      <c r="AC287" s="1" t="s">
        <v>1451</v>
      </c>
      <c r="AD287" s="1">
        <v>7</v>
      </c>
      <c r="AE287" s="1" t="s">
        <v>2257</v>
      </c>
      <c r="AF287" s="1" t="s">
        <v>2256</v>
      </c>
      <c r="AG287" s="1" t="s">
        <v>339</v>
      </c>
      <c r="AH287" s="1" t="s">
        <v>1464</v>
      </c>
      <c r="AI287" s="1" t="s">
        <v>1929</v>
      </c>
      <c r="AJ287" s="1" t="s">
        <v>1478</v>
      </c>
      <c r="AK287" s="1" t="s">
        <v>2255</v>
      </c>
      <c r="AL287" s="1"/>
      <c r="AM287" s="1"/>
      <c r="AN287" s="1"/>
      <c r="AO287" s="1">
        <v>4</v>
      </c>
      <c r="AP287" s="1">
        <v>3</v>
      </c>
      <c r="AQ287" s="1" t="s">
        <v>2255</v>
      </c>
    </row>
    <row r="288" spans="1:43" x14ac:dyDescent="0.15">
      <c r="A288" t="str">
        <f t="shared" si="80"/>
        <v>|BFZ|青|10|4/3|アンコモン|《[[破滅を導くもの]]》|</v>
      </c>
      <c r="B288" t="s">
        <v>3168</v>
      </c>
      <c r="C288" t="str">
        <f t="shared" si="82"/>
        <v>BFZ</v>
      </c>
      <c r="D288">
        <f>IF(AA288="","",VLOOKUP(C288,tnpl!$Z$1:$AA$11,2,TRUE))</f>
        <v>2</v>
      </c>
      <c r="E288" t="s">
        <v>3168</v>
      </c>
      <c r="F288" t="str">
        <f t="shared" si="83"/>
        <v>青</v>
      </c>
      <c r="G288">
        <f>IF(AB288="","",VLOOKUP(F288,tnpl!$X$1:$Y$16,2,TRUE))</f>
        <v>2</v>
      </c>
      <c r="H288" t="s">
        <v>3168</v>
      </c>
      <c r="I288">
        <f t="shared" si="84"/>
        <v>10</v>
      </c>
      <c r="J288" t="s">
        <v>3168</v>
      </c>
      <c r="K288">
        <f t="shared" si="85"/>
        <v>4</v>
      </c>
      <c r="L288">
        <f t="shared" si="86"/>
        <v>3</v>
      </c>
      <c r="M288" t="str">
        <f t="shared" si="81"/>
        <v>4/3</v>
      </c>
      <c r="N288" t="s">
        <v>3175</v>
      </c>
      <c r="O288" t="str">
        <f t="shared" si="87"/>
        <v>アンコモン</v>
      </c>
      <c r="R288" t="s">
        <v>3175</v>
      </c>
      <c r="S288" t="s">
        <v>4750</v>
      </c>
      <c r="T288" t="str">
        <f t="shared" si="88"/>
        <v>破滅を導くもの</v>
      </c>
      <c r="U288" t="str">
        <f t="shared" si="89"/>
        <v/>
      </c>
      <c r="V288" t="str">
        <f>IF(I288=0,VLOOKUP(TAG!T288,Sheet4!A:B,2,TRUE),"")</f>
        <v/>
      </c>
      <c r="W288" t="s">
        <v>4751</v>
      </c>
      <c r="X288" t="s">
        <v>3175</v>
      </c>
      <c r="Z288" s="3">
        <v>302</v>
      </c>
      <c r="AA288" s="2" t="s">
        <v>3170</v>
      </c>
      <c r="AB288" s="1" t="s">
        <v>1606</v>
      </c>
      <c r="AC288" s="1" t="s">
        <v>1451</v>
      </c>
      <c r="AD288" s="1">
        <v>10</v>
      </c>
      <c r="AE288" s="1" t="s">
        <v>2244</v>
      </c>
      <c r="AF288" s="1" t="s">
        <v>2243</v>
      </c>
      <c r="AG288" s="1" t="s">
        <v>339</v>
      </c>
      <c r="AH288" s="1" t="s">
        <v>1435</v>
      </c>
      <c r="AI288" s="1" t="s">
        <v>1501</v>
      </c>
      <c r="AJ288" s="1"/>
      <c r="AK288" s="1" t="s">
        <v>3317</v>
      </c>
      <c r="AL288" s="1" t="s">
        <v>2169</v>
      </c>
      <c r="AM288" s="1" t="s">
        <v>2242</v>
      </c>
      <c r="AN288" s="1"/>
      <c r="AO288" s="1">
        <v>4</v>
      </c>
      <c r="AP288" s="1">
        <v>3</v>
      </c>
      <c r="AQ288" s="1" t="s">
        <v>3330</v>
      </c>
    </row>
    <row r="289" spans="1:43" x14ac:dyDescent="0.15">
      <c r="A289" t="str">
        <f t="shared" si="80"/>
        <v>|BFZ|黒|16|4/3|アンコモン|《[[捕らわれの宿主]]》|</v>
      </c>
      <c r="B289" t="s">
        <v>3168</v>
      </c>
      <c r="C289" t="str">
        <f t="shared" si="82"/>
        <v>BFZ</v>
      </c>
      <c r="D289">
        <f>IF(AA289="","",VLOOKUP(C289,tnpl!$Z$1:$AA$11,2,TRUE))</f>
        <v>2</v>
      </c>
      <c r="E289" t="s">
        <v>3168</v>
      </c>
      <c r="F289" t="str">
        <f t="shared" si="83"/>
        <v>黒</v>
      </c>
      <c r="G289">
        <f>IF(AB289="","",VLOOKUP(F289,tnpl!$X$1:$Y$16,2,TRUE))</f>
        <v>3</v>
      </c>
      <c r="H289" t="s">
        <v>3168</v>
      </c>
      <c r="I289">
        <f t="shared" si="84"/>
        <v>16</v>
      </c>
      <c r="J289" t="s">
        <v>3168</v>
      </c>
      <c r="K289">
        <f t="shared" si="85"/>
        <v>4</v>
      </c>
      <c r="L289">
        <f t="shared" si="86"/>
        <v>3</v>
      </c>
      <c r="M289" t="str">
        <f t="shared" si="81"/>
        <v>4/3</v>
      </c>
      <c r="N289" t="s">
        <v>3175</v>
      </c>
      <c r="O289" t="str">
        <f t="shared" si="87"/>
        <v>アンコモン</v>
      </c>
      <c r="R289" t="s">
        <v>3175</v>
      </c>
      <c r="S289" t="s">
        <v>4750</v>
      </c>
      <c r="T289" t="str">
        <f t="shared" si="88"/>
        <v>捕らわれの宿主</v>
      </c>
      <c r="U289" t="str">
        <f t="shared" si="89"/>
        <v/>
      </c>
      <c r="V289" t="str">
        <f>IF(I289=0,VLOOKUP(TAG!T289,Sheet4!A:B,2,TRUE),"")</f>
        <v/>
      </c>
      <c r="W289" t="s">
        <v>4751</v>
      </c>
      <c r="X289" t="s">
        <v>3175</v>
      </c>
      <c r="Z289" s="3">
        <v>335</v>
      </c>
      <c r="AA289" s="2" t="s">
        <v>3170</v>
      </c>
      <c r="AB289" s="1" t="s">
        <v>1582</v>
      </c>
      <c r="AC289" s="1" t="s">
        <v>1451</v>
      </c>
      <c r="AD289" s="1">
        <v>16</v>
      </c>
      <c r="AE289" s="1" t="s">
        <v>2137</v>
      </c>
      <c r="AF289" s="1" t="s">
        <v>2136</v>
      </c>
      <c r="AG289" s="1" t="s">
        <v>339</v>
      </c>
      <c r="AH289" s="1" t="s">
        <v>1494</v>
      </c>
      <c r="AI289" s="1"/>
      <c r="AJ289" s="1"/>
      <c r="AK289" s="1" t="s">
        <v>2595</v>
      </c>
      <c r="AL289" s="1" t="s">
        <v>2135</v>
      </c>
      <c r="AM289" s="1"/>
      <c r="AN289" s="1"/>
      <c r="AO289" s="1">
        <v>4</v>
      </c>
      <c r="AP289" s="1">
        <v>3</v>
      </c>
      <c r="AQ289" s="1" t="s">
        <v>3347</v>
      </c>
    </row>
    <row r="290" spans="1:43" x14ac:dyDescent="0.15">
      <c r="A290" t="str">
        <f t="shared" si="80"/>
        <v>|BFZ|黒|11|4/3|アンコモン|《[[マラキールの使い魔]]》|</v>
      </c>
      <c r="B290" t="s">
        <v>3168</v>
      </c>
      <c r="C290" t="str">
        <f t="shared" si="82"/>
        <v>BFZ</v>
      </c>
      <c r="D290">
        <f>IF(AA290="","",VLOOKUP(C290,tnpl!$Z$1:$AA$11,2,TRUE))</f>
        <v>2</v>
      </c>
      <c r="E290" t="s">
        <v>3168</v>
      </c>
      <c r="F290" t="str">
        <f t="shared" si="83"/>
        <v>黒</v>
      </c>
      <c r="G290">
        <f>IF(AB290="","",VLOOKUP(F290,tnpl!$X$1:$Y$16,2,TRUE))</f>
        <v>3</v>
      </c>
      <c r="H290" t="s">
        <v>3168</v>
      </c>
      <c r="I290">
        <f t="shared" si="84"/>
        <v>11</v>
      </c>
      <c r="J290" t="s">
        <v>3168</v>
      </c>
      <c r="K290">
        <f t="shared" si="85"/>
        <v>4</v>
      </c>
      <c r="L290">
        <f t="shared" si="86"/>
        <v>3</v>
      </c>
      <c r="M290" t="str">
        <f t="shared" si="81"/>
        <v>4/3</v>
      </c>
      <c r="N290" t="s">
        <v>3175</v>
      </c>
      <c r="O290" t="str">
        <f t="shared" si="87"/>
        <v>アンコモン</v>
      </c>
      <c r="R290" t="s">
        <v>3175</v>
      </c>
      <c r="S290" t="s">
        <v>4750</v>
      </c>
      <c r="T290" t="str">
        <f t="shared" si="88"/>
        <v>マラキールの使い魔</v>
      </c>
      <c r="U290" t="str">
        <f t="shared" si="89"/>
        <v/>
      </c>
      <c r="V290" t="str">
        <f>IF(I290=0,VLOOKUP(TAG!T290,Sheet4!A:B,2,TRUE),"")</f>
        <v/>
      </c>
      <c r="W290" t="s">
        <v>4751</v>
      </c>
      <c r="X290" t="s">
        <v>3175</v>
      </c>
      <c r="Z290" s="3">
        <v>337</v>
      </c>
      <c r="AA290" s="2" t="s">
        <v>3170</v>
      </c>
      <c r="AB290" s="1" t="s">
        <v>1582</v>
      </c>
      <c r="AC290" s="1" t="s">
        <v>1451</v>
      </c>
      <c r="AD290" s="1">
        <v>11</v>
      </c>
      <c r="AE290" s="1" t="s">
        <v>2130</v>
      </c>
      <c r="AF290" s="1" t="s">
        <v>2129</v>
      </c>
      <c r="AG290" s="1" t="s">
        <v>339</v>
      </c>
      <c r="AH290" s="1" t="s">
        <v>2128</v>
      </c>
      <c r="AI290" s="1"/>
      <c r="AJ290" s="1"/>
      <c r="AK290" s="1" t="s">
        <v>3348</v>
      </c>
      <c r="AL290" s="1" t="s">
        <v>2127</v>
      </c>
      <c r="AM290" s="1"/>
      <c r="AN290" s="1"/>
      <c r="AO290" s="1">
        <v>4</v>
      </c>
      <c r="AP290" s="1">
        <v>3</v>
      </c>
      <c r="AQ290" s="1" t="s">
        <v>3349</v>
      </c>
    </row>
    <row r="291" spans="1:43" x14ac:dyDescent="0.15">
      <c r="A291" t="str">
        <f t="shared" si="80"/>
        <v>|BFZ|黒|11|4/3|アンコモン|《[[ハヤバイ]]》|</v>
      </c>
      <c r="B291" t="s">
        <v>3168</v>
      </c>
      <c r="C291" t="str">
        <f t="shared" si="82"/>
        <v>BFZ</v>
      </c>
      <c r="D291">
        <f>IF(AA291="","",VLOOKUP(C291,tnpl!$Z$1:$AA$11,2,TRUE))</f>
        <v>2</v>
      </c>
      <c r="E291" t="s">
        <v>3168</v>
      </c>
      <c r="F291" t="str">
        <f t="shared" si="83"/>
        <v>黒</v>
      </c>
      <c r="G291">
        <f>IF(AB291="","",VLOOKUP(F291,tnpl!$X$1:$Y$16,2,TRUE))</f>
        <v>3</v>
      </c>
      <c r="H291" t="s">
        <v>3168</v>
      </c>
      <c r="I291">
        <f t="shared" si="84"/>
        <v>11</v>
      </c>
      <c r="J291" t="s">
        <v>3168</v>
      </c>
      <c r="K291">
        <f t="shared" si="85"/>
        <v>4</v>
      </c>
      <c r="L291">
        <f t="shared" si="86"/>
        <v>3</v>
      </c>
      <c r="M291" t="str">
        <f t="shared" si="81"/>
        <v>4/3</v>
      </c>
      <c r="N291" t="s">
        <v>3175</v>
      </c>
      <c r="O291" t="str">
        <f t="shared" si="87"/>
        <v>アンコモン</v>
      </c>
      <c r="R291" t="s">
        <v>3175</v>
      </c>
      <c r="S291" t="s">
        <v>4750</v>
      </c>
      <c r="T291" t="str">
        <f t="shared" si="88"/>
        <v>ハヤバイ</v>
      </c>
      <c r="U291" t="str">
        <f t="shared" si="89"/>
        <v/>
      </c>
      <c r="V291" t="str">
        <f>IF(I291=0,VLOOKUP(TAG!T291,Sheet4!A:B,2,TRUE),"")</f>
        <v/>
      </c>
      <c r="W291" t="s">
        <v>4751</v>
      </c>
      <c r="X291" t="s">
        <v>3175</v>
      </c>
      <c r="Z291" s="3">
        <v>338</v>
      </c>
      <c r="AA291" s="2" t="s">
        <v>3170</v>
      </c>
      <c r="AB291" s="1" t="s">
        <v>1582</v>
      </c>
      <c r="AC291" s="1" t="s">
        <v>1451</v>
      </c>
      <c r="AD291" s="1">
        <v>11</v>
      </c>
      <c r="AE291" s="1" t="s">
        <v>2126</v>
      </c>
      <c r="AF291" s="1" t="s">
        <v>2125</v>
      </c>
      <c r="AG291" s="1" t="s">
        <v>339</v>
      </c>
      <c r="AH291" s="1" t="s">
        <v>1435</v>
      </c>
      <c r="AI291" s="1" t="s">
        <v>1501</v>
      </c>
      <c r="AJ291" s="1"/>
      <c r="AK291" s="1" t="s">
        <v>3317</v>
      </c>
      <c r="AL291" s="1" t="s">
        <v>2124</v>
      </c>
      <c r="AM291" s="1"/>
      <c r="AN291" s="1"/>
      <c r="AO291" s="1">
        <v>4</v>
      </c>
      <c r="AP291" s="1">
        <v>3</v>
      </c>
      <c r="AQ291" s="1" t="s">
        <v>3350</v>
      </c>
    </row>
    <row r="292" spans="1:43" x14ac:dyDescent="0.15">
      <c r="A292" t="str">
        <f t="shared" si="80"/>
        <v>|BFZ|緑|16|4/3|アンコモン|《[[タジュールの戦呼び]]》|</v>
      </c>
      <c r="B292" t="s">
        <v>3168</v>
      </c>
      <c r="C292" t="str">
        <f t="shared" si="82"/>
        <v>BFZ</v>
      </c>
      <c r="D292">
        <f>IF(AA292="","",VLOOKUP(C292,tnpl!$Z$1:$AA$11,2,TRUE))</f>
        <v>2</v>
      </c>
      <c r="E292" t="s">
        <v>3168</v>
      </c>
      <c r="F292" t="str">
        <f t="shared" si="83"/>
        <v>緑</v>
      </c>
      <c r="G292">
        <f>IF(AB292="","",VLOOKUP(F292,tnpl!$X$1:$Y$16,2,TRUE))</f>
        <v>5</v>
      </c>
      <c r="H292" t="s">
        <v>3168</v>
      </c>
      <c r="I292">
        <f t="shared" si="84"/>
        <v>16</v>
      </c>
      <c r="J292" t="s">
        <v>3168</v>
      </c>
      <c r="K292">
        <f t="shared" si="85"/>
        <v>4</v>
      </c>
      <c r="L292">
        <f t="shared" si="86"/>
        <v>3</v>
      </c>
      <c r="M292" t="str">
        <f t="shared" si="81"/>
        <v>4/3</v>
      </c>
      <c r="N292" t="s">
        <v>3175</v>
      </c>
      <c r="O292" t="str">
        <f t="shared" si="87"/>
        <v>アンコモン</v>
      </c>
      <c r="R292" t="s">
        <v>3175</v>
      </c>
      <c r="S292" t="s">
        <v>4750</v>
      </c>
      <c r="T292" t="str">
        <f t="shared" si="88"/>
        <v>タジュールの戦呼び</v>
      </c>
      <c r="U292" t="str">
        <f t="shared" si="89"/>
        <v/>
      </c>
      <c r="V292" t="str">
        <f>IF(I292=0,VLOOKUP(TAG!T292,Sheet4!A:B,2,TRUE),"")</f>
        <v/>
      </c>
      <c r="W292" t="s">
        <v>4751</v>
      </c>
      <c r="X292" t="s">
        <v>3175</v>
      </c>
      <c r="Z292" s="3">
        <v>413</v>
      </c>
      <c r="AA292" s="2" t="s">
        <v>3170</v>
      </c>
      <c r="AB292" s="1" t="s">
        <v>1518</v>
      </c>
      <c r="AC292" s="1" t="s">
        <v>1451</v>
      </c>
      <c r="AD292" s="1">
        <v>16</v>
      </c>
      <c r="AE292" s="1" t="s">
        <v>1888</v>
      </c>
      <c r="AF292" s="1" t="s">
        <v>1887</v>
      </c>
      <c r="AG292" s="1" t="s">
        <v>339</v>
      </c>
      <c r="AH292" s="1" t="s">
        <v>1479</v>
      </c>
      <c r="AI292" s="1" t="s">
        <v>1493</v>
      </c>
      <c r="AJ292" s="1" t="s">
        <v>1478</v>
      </c>
      <c r="AK292" s="1" t="s">
        <v>1886</v>
      </c>
      <c r="AL292" s="1"/>
      <c r="AM292" s="1"/>
      <c r="AN292" s="1"/>
      <c r="AO292" s="1">
        <v>4</v>
      </c>
      <c r="AP292" s="1">
        <v>3</v>
      </c>
      <c r="AQ292" s="1" t="s">
        <v>1886</v>
      </c>
    </row>
    <row r="293" spans="1:43" x14ac:dyDescent="0.15">
      <c r="A293" t="str">
        <f t="shared" si="80"/>
        <v>|BFZ|黒赤|11|4/3|アンコモン|《[[殺戮の先陣]]》|</v>
      </c>
      <c r="B293" t="s">
        <v>3168</v>
      </c>
      <c r="C293" t="str">
        <f t="shared" si="82"/>
        <v>BFZ</v>
      </c>
      <c r="D293">
        <f>IF(AA293="","",VLOOKUP(C293,tnpl!$Z$1:$AA$11,2,TRUE))</f>
        <v>2</v>
      </c>
      <c r="E293" t="s">
        <v>3168</v>
      </c>
      <c r="F293" t="str">
        <f t="shared" si="83"/>
        <v>黒赤</v>
      </c>
      <c r="G293">
        <f>IF(AB293="","",VLOOKUP(F293,tnpl!$X$1:$Y$16,2,TRUE))</f>
        <v>8</v>
      </c>
      <c r="H293" t="s">
        <v>3168</v>
      </c>
      <c r="I293">
        <f t="shared" si="84"/>
        <v>11</v>
      </c>
      <c r="J293" t="s">
        <v>3168</v>
      </c>
      <c r="K293">
        <f t="shared" si="85"/>
        <v>4</v>
      </c>
      <c r="L293">
        <f t="shared" si="86"/>
        <v>3</v>
      </c>
      <c r="M293" t="str">
        <f t="shared" si="81"/>
        <v>4/3</v>
      </c>
      <c r="N293" t="s">
        <v>3175</v>
      </c>
      <c r="O293" t="str">
        <f t="shared" si="87"/>
        <v>アンコモン</v>
      </c>
      <c r="R293" t="s">
        <v>3175</v>
      </c>
      <c r="S293" t="s">
        <v>4750</v>
      </c>
      <c r="T293" t="str">
        <f t="shared" si="88"/>
        <v>殺戮の先陣</v>
      </c>
      <c r="U293" t="str">
        <f t="shared" si="89"/>
        <v/>
      </c>
      <c r="V293" t="str">
        <f>IF(I293=0,VLOOKUP(TAG!T293,Sheet4!A:B,2,TRUE),"")</f>
        <v/>
      </c>
      <c r="W293" t="s">
        <v>4751</v>
      </c>
      <c r="X293" t="s">
        <v>3175</v>
      </c>
      <c r="Z293" s="3">
        <v>428</v>
      </c>
      <c r="AA293" s="2" t="s">
        <v>3170</v>
      </c>
      <c r="AB293" s="1" t="s">
        <v>1504</v>
      </c>
      <c r="AC293" s="1" t="s">
        <v>1451</v>
      </c>
      <c r="AD293" s="1">
        <v>11</v>
      </c>
      <c r="AE293" s="1" t="s">
        <v>1836</v>
      </c>
      <c r="AF293" s="1" t="s">
        <v>1835</v>
      </c>
      <c r="AG293" s="1" t="s">
        <v>339</v>
      </c>
      <c r="AH293" s="1" t="s">
        <v>1435</v>
      </c>
      <c r="AI293" s="1" t="s">
        <v>1501</v>
      </c>
      <c r="AJ293" s="1"/>
      <c r="AK293" s="1" t="s">
        <v>3317</v>
      </c>
      <c r="AL293" s="1" t="s">
        <v>1834</v>
      </c>
      <c r="AM293" s="1"/>
      <c r="AN293" s="1"/>
      <c r="AO293" s="1">
        <v>4</v>
      </c>
      <c r="AP293" s="1">
        <v>3</v>
      </c>
      <c r="AQ293" s="1" t="s">
        <v>3387</v>
      </c>
    </row>
    <row r="294" spans="1:43" x14ac:dyDescent="0.15">
      <c r="A294" t="str">
        <f t="shared" si="80"/>
        <v>|OGW|赤|7|4/3|アンコモン|《[[無謀な奇襲隊]]》|</v>
      </c>
      <c r="B294" t="s">
        <v>3168</v>
      </c>
      <c r="C294" t="str">
        <f t="shared" si="82"/>
        <v>OGW</v>
      </c>
      <c r="D294">
        <f>IF(AA294="","",VLOOKUP(C294,tnpl!$Z$1:$AA$11,2,TRUE))</f>
        <v>3</v>
      </c>
      <c r="E294" t="s">
        <v>3168</v>
      </c>
      <c r="F294" t="str">
        <f t="shared" si="83"/>
        <v>赤</v>
      </c>
      <c r="G294">
        <f>IF(AB294="","",VLOOKUP(F294,tnpl!$X$1:$Y$16,2,TRUE))</f>
        <v>4</v>
      </c>
      <c r="H294" t="s">
        <v>3168</v>
      </c>
      <c r="I294">
        <f t="shared" si="84"/>
        <v>7</v>
      </c>
      <c r="J294" t="s">
        <v>3168</v>
      </c>
      <c r="K294">
        <f t="shared" si="85"/>
        <v>4</v>
      </c>
      <c r="L294">
        <f t="shared" si="86"/>
        <v>3</v>
      </c>
      <c r="M294" t="str">
        <f t="shared" si="81"/>
        <v>4/3</v>
      </c>
      <c r="N294" t="s">
        <v>3175</v>
      </c>
      <c r="O294" t="str">
        <f t="shared" si="87"/>
        <v>アンコモン</v>
      </c>
      <c r="R294" t="s">
        <v>3175</v>
      </c>
      <c r="S294" t="s">
        <v>4750</v>
      </c>
      <c r="T294" t="str">
        <f t="shared" si="88"/>
        <v>無謀な奇襲隊</v>
      </c>
      <c r="U294" t="str">
        <f t="shared" si="89"/>
        <v/>
      </c>
      <c r="V294" t="str">
        <f>IF(I294=0,VLOOKUP(TAG!T294,Sheet4!A:B,2,TRUE),"")</f>
        <v/>
      </c>
      <c r="W294" t="s">
        <v>4751</v>
      </c>
      <c r="X294" t="s">
        <v>3175</v>
      </c>
      <c r="Z294" s="3">
        <v>504</v>
      </c>
      <c r="AA294" s="2" t="s">
        <v>3171</v>
      </c>
      <c r="AB294" s="1" t="s">
        <v>1552</v>
      </c>
      <c r="AC294" s="1" t="s">
        <v>1451</v>
      </c>
      <c r="AD294" s="1">
        <v>7</v>
      </c>
      <c r="AE294" s="1" t="s">
        <v>1577</v>
      </c>
      <c r="AF294" s="1" t="s">
        <v>1576</v>
      </c>
      <c r="AG294" s="1" t="s">
        <v>339</v>
      </c>
      <c r="AH294" s="1" t="s">
        <v>1564</v>
      </c>
      <c r="AI294" s="1" t="s">
        <v>1493</v>
      </c>
      <c r="AJ294" s="1" t="s">
        <v>1478</v>
      </c>
      <c r="AK294" s="1" t="s">
        <v>1575</v>
      </c>
      <c r="AL294" s="1" t="s">
        <v>1574</v>
      </c>
      <c r="AM294" s="1"/>
      <c r="AN294" s="1"/>
      <c r="AO294" s="1">
        <v>4</v>
      </c>
      <c r="AP294" s="1">
        <v>3</v>
      </c>
      <c r="AQ294" s="1" t="s">
        <v>1573</v>
      </c>
    </row>
    <row r="295" spans="1:43" x14ac:dyDescent="0.15">
      <c r="A295" t="str">
        <f t="shared" si="80"/>
        <v>|OGW|無色|13|4/3|レア|《[[作り変えるもの]]》|</v>
      </c>
      <c r="B295" t="s">
        <v>3168</v>
      </c>
      <c r="C295" t="str">
        <f t="shared" si="82"/>
        <v>OGW</v>
      </c>
      <c r="D295">
        <f>IF(AA295="","",VLOOKUP(C295,tnpl!$Z$1:$AA$11,2,TRUE))</f>
        <v>3</v>
      </c>
      <c r="E295" t="s">
        <v>3168</v>
      </c>
      <c r="F295" t="str">
        <f t="shared" si="83"/>
        <v>無色</v>
      </c>
      <c r="G295">
        <f>IF(AB295="","",VLOOKUP(F295,tnpl!$X$1:$Y$16,2,TRUE))</f>
        <v>16</v>
      </c>
      <c r="H295" t="s">
        <v>3168</v>
      </c>
      <c r="I295">
        <f t="shared" si="84"/>
        <v>13</v>
      </c>
      <c r="J295" t="s">
        <v>3168</v>
      </c>
      <c r="K295">
        <f t="shared" si="85"/>
        <v>4</v>
      </c>
      <c r="L295">
        <f t="shared" si="86"/>
        <v>3</v>
      </c>
      <c r="M295" t="str">
        <f t="shared" si="81"/>
        <v>4/3</v>
      </c>
      <c r="N295" t="s">
        <v>3175</v>
      </c>
      <c r="O295" t="str">
        <f t="shared" si="87"/>
        <v>レア</v>
      </c>
      <c r="R295" t="s">
        <v>3175</v>
      </c>
      <c r="S295" t="s">
        <v>4750</v>
      </c>
      <c r="T295" t="str">
        <f t="shared" si="88"/>
        <v>作り変えるもの</v>
      </c>
      <c r="U295" t="str">
        <f t="shared" si="89"/>
        <v/>
      </c>
      <c r="V295" t="str">
        <f>IF(I295=0,VLOOKUP(TAG!T295,Sheet4!A:B,2,TRUE),"")</f>
        <v/>
      </c>
      <c r="W295" t="s">
        <v>4751</v>
      </c>
      <c r="X295" t="s">
        <v>3175</v>
      </c>
      <c r="Z295" s="3">
        <v>533</v>
      </c>
      <c r="AA295" s="2" t="s">
        <v>3171</v>
      </c>
      <c r="AB295" s="1" t="s">
        <v>292</v>
      </c>
      <c r="AC295" s="1" t="s">
        <v>1441</v>
      </c>
      <c r="AD295" s="1">
        <v>13</v>
      </c>
      <c r="AE295" s="1" t="s">
        <v>1447</v>
      </c>
      <c r="AF295" s="1" t="s">
        <v>1446</v>
      </c>
      <c r="AG295" s="1" t="s">
        <v>339</v>
      </c>
      <c r="AH295" s="1" t="s">
        <v>1435</v>
      </c>
      <c r="AI295" s="1"/>
      <c r="AJ295" s="1"/>
      <c r="AK295" s="1" t="s">
        <v>1445</v>
      </c>
      <c r="AL295" s="1"/>
      <c r="AM295" s="1"/>
      <c r="AN295" s="1"/>
      <c r="AO295" s="1">
        <v>4</v>
      </c>
      <c r="AP295" s="1">
        <v>3</v>
      </c>
      <c r="AQ295" s="1" t="s">
        <v>1445</v>
      </c>
    </row>
    <row r="296" spans="1:43" x14ac:dyDescent="0.15">
      <c r="A296" t="str">
        <f t="shared" si="80"/>
        <v>|SOI|白|6|4/3|アンコモン|《[[偏執的な教区刃]]》|</v>
      </c>
      <c r="B296" t="s">
        <v>3168</v>
      </c>
      <c r="C296" t="str">
        <f t="shared" si="82"/>
        <v>SOI</v>
      </c>
      <c r="D296">
        <f>IF(AA296="","",VLOOKUP(C296,tnpl!$Z$1:$AA$11,2,TRUE))</f>
        <v>4</v>
      </c>
      <c r="E296" t="s">
        <v>3168</v>
      </c>
      <c r="F296" t="str">
        <f t="shared" si="83"/>
        <v>白</v>
      </c>
      <c r="G296">
        <f>IF(AB296="","",VLOOKUP(F296,tnpl!$X$1:$Y$16,2,TRUE))</f>
        <v>1</v>
      </c>
      <c r="H296" t="s">
        <v>3168</v>
      </c>
      <c r="I296">
        <f t="shared" si="84"/>
        <v>6</v>
      </c>
      <c r="J296" t="s">
        <v>3168</v>
      </c>
      <c r="K296">
        <f t="shared" si="85"/>
        <v>4</v>
      </c>
      <c r="L296">
        <f t="shared" si="86"/>
        <v>3</v>
      </c>
      <c r="M296" t="str">
        <f t="shared" si="81"/>
        <v>4/3</v>
      </c>
      <c r="N296" t="s">
        <v>3175</v>
      </c>
      <c r="O296" t="str">
        <f t="shared" si="87"/>
        <v>アンコモン</v>
      </c>
      <c r="R296" t="s">
        <v>3175</v>
      </c>
      <c r="S296" t="s">
        <v>4750</v>
      </c>
      <c r="T296" t="str">
        <f t="shared" si="88"/>
        <v>偏執的な教区刃</v>
      </c>
      <c r="U296" t="str">
        <f t="shared" si="89"/>
        <v/>
      </c>
      <c r="V296" t="str">
        <f>IF(I296=0,VLOOKUP(TAG!T296,Sheet4!A:B,2,TRUE),"")</f>
        <v/>
      </c>
      <c r="W296" t="s">
        <v>4751</v>
      </c>
      <c r="X296" t="s">
        <v>3175</v>
      </c>
      <c r="Z296" s="3">
        <v>555</v>
      </c>
      <c r="AA296" s="2" t="s">
        <v>3431</v>
      </c>
      <c r="AB296" s="1" t="s">
        <v>1627</v>
      </c>
      <c r="AC296" s="1" t="s">
        <v>1451</v>
      </c>
      <c r="AD296" s="1">
        <v>6</v>
      </c>
      <c r="AE296" s="1" t="s">
        <v>1393</v>
      </c>
      <c r="AF296" s="1" t="s">
        <v>1392</v>
      </c>
      <c r="AG296" s="1" t="s">
        <v>339</v>
      </c>
      <c r="AH296" s="1" t="s">
        <v>1489</v>
      </c>
      <c r="AI296" s="1" t="s">
        <v>1799</v>
      </c>
      <c r="AJ296" s="1"/>
      <c r="AK296" s="1" t="s">
        <v>3458</v>
      </c>
      <c r="AL296" s="1"/>
      <c r="AM296" s="1"/>
      <c r="AN296" s="1"/>
      <c r="AO296" s="1">
        <v>4</v>
      </c>
      <c r="AP296" s="1">
        <v>3</v>
      </c>
      <c r="AQ296" s="1" t="s">
        <v>3458</v>
      </c>
    </row>
    <row r="297" spans="1:43" x14ac:dyDescent="0.15">
      <c r="A297" t="str">
        <f t="shared" si="80"/>
        <v>|SOI|青|8|4/3|アンコモン|《[[逸脱した研究者]]》|</v>
      </c>
      <c r="B297" t="s">
        <v>3168</v>
      </c>
      <c r="C297" t="str">
        <f t="shared" si="82"/>
        <v>SOI</v>
      </c>
      <c r="D297">
        <f>IF(AA297="","",VLOOKUP(C297,tnpl!$Z$1:$AA$11,2,TRUE))</f>
        <v>4</v>
      </c>
      <c r="E297" t="s">
        <v>3168</v>
      </c>
      <c r="F297" t="str">
        <f t="shared" si="83"/>
        <v>青</v>
      </c>
      <c r="G297">
        <f>IF(AB297="","",VLOOKUP(F297,tnpl!$X$1:$Y$16,2,TRUE))</f>
        <v>2</v>
      </c>
      <c r="H297" t="s">
        <v>3168</v>
      </c>
      <c r="I297">
        <f t="shared" si="84"/>
        <v>8</v>
      </c>
      <c r="J297" t="s">
        <v>3168</v>
      </c>
      <c r="K297">
        <f t="shared" si="85"/>
        <v>4</v>
      </c>
      <c r="L297">
        <f t="shared" si="86"/>
        <v>3</v>
      </c>
      <c r="M297" t="str">
        <f t="shared" si="81"/>
        <v>4/3</v>
      </c>
      <c r="N297" t="s">
        <v>3175</v>
      </c>
      <c r="O297" t="str">
        <f t="shared" si="87"/>
        <v>アンコモン</v>
      </c>
      <c r="R297" t="s">
        <v>3175</v>
      </c>
      <c r="S297" t="s">
        <v>4750</v>
      </c>
      <c r="T297" t="str">
        <f t="shared" si="88"/>
        <v>逸脱した研究者</v>
      </c>
      <c r="U297" t="str">
        <f t="shared" si="89"/>
        <v/>
      </c>
      <c r="V297" t="str">
        <f>IF(I297=0,VLOOKUP(TAG!T297,Sheet4!A:B,2,TRUE),"")</f>
        <v/>
      </c>
      <c r="W297" t="s">
        <v>4751</v>
      </c>
      <c r="X297" t="s">
        <v>3175</v>
      </c>
      <c r="Z297" s="3">
        <v>589</v>
      </c>
      <c r="AA297" s="2" t="s">
        <v>3431</v>
      </c>
      <c r="AB297" s="1" t="s">
        <v>1606</v>
      </c>
      <c r="AC297" s="1" t="s">
        <v>1451</v>
      </c>
      <c r="AD297" s="14">
        <v>8</v>
      </c>
      <c r="AE297" s="1" t="s">
        <v>1333</v>
      </c>
      <c r="AF297" s="1" t="s">
        <v>1332</v>
      </c>
      <c r="AG297" s="1" t="s">
        <v>339</v>
      </c>
      <c r="AH297" s="1" t="s">
        <v>1489</v>
      </c>
      <c r="AI297" s="1" t="s">
        <v>1945</v>
      </c>
      <c r="AJ297" s="1"/>
      <c r="AK297" s="1" t="s">
        <v>351</v>
      </c>
      <c r="AL297" s="1" t="s">
        <v>3513</v>
      </c>
      <c r="AM297" s="1"/>
      <c r="AN297" s="1"/>
      <c r="AO297" s="1">
        <v>4</v>
      </c>
      <c r="AP297" s="1">
        <v>3</v>
      </c>
      <c r="AQ297" s="1" t="s">
        <v>3514</v>
      </c>
    </row>
    <row r="298" spans="1:43" x14ac:dyDescent="0.15">
      <c r="A298" t="str">
        <f t="shared" si="80"/>
        <v>|SOI|青|0|4/3|アンコモン|《[[禁断の真相を知る者&gt;果敢な捜索者]]》|</v>
      </c>
      <c r="B298" t="s">
        <v>3168</v>
      </c>
      <c r="C298" t="str">
        <f t="shared" si="82"/>
        <v>SOI</v>
      </c>
      <c r="D298">
        <f>IF(AA298="","",VLOOKUP(C298,tnpl!$Z$1:$AA$11,2,TRUE))</f>
        <v>4</v>
      </c>
      <c r="E298" t="s">
        <v>3168</v>
      </c>
      <c r="F298" t="str">
        <f t="shared" si="83"/>
        <v>青</v>
      </c>
      <c r="G298">
        <f>IF(AB298="","",VLOOKUP(F298,tnpl!$X$1:$Y$16,2,TRUE))</f>
        <v>2</v>
      </c>
      <c r="H298" t="s">
        <v>3168</v>
      </c>
      <c r="I298">
        <f t="shared" si="84"/>
        <v>0</v>
      </c>
      <c r="J298" t="s">
        <v>3168</v>
      </c>
      <c r="K298">
        <f t="shared" si="85"/>
        <v>4</v>
      </c>
      <c r="L298">
        <f t="shared" si="86"/>
        <v>3</v>
      </c>
      <c r="M298" t="str">
        <f t="shared" si="81"/>
        <v>4/3</v>
      </c>
      <c r="N298" t="s">
        <v>3175</v>
      </c>
      <c r="O298" t="str">
        <f t="shared" si="87"/>
        <v>アンコモン</v>
      </c>
      <c r="R298" t="s">
        <v>3175</v>
      </c>
      <c r="S298" t="s">
        <v>4750</v>
      </c>
      <c r="T298" t="str">
        <f t="shared" si="88"/>
        <v>禁断の真相を知る者</v>
      </c>
      <c r="U298" t="str">
        <f t="shared" si="89"/>
        <v>&gt;</v>
      </c>
      <c r="V298" t="str">
        <f>IF(I298=0,VLOOKUP(TAG!T298,Sheet4!A:B,2,TRUE),"")</f>
        <v>果敢な捜索者</v>
      </c>
      <c r="W298" t="s">
        <v>4751</v>
      </c>
      <c r="X298" t="s">
        <v>3175</v>
      </c>
      <c r="Z298" s="3">
        <v>592</v>
      </c>
      <c r="AA298" s="2" t="s">
        <v>3431</v>
      </c>
      <c r="AB298" s="1" t="s">
        <v>1606</v>
      </c>
      <c r="AC298" s="1" t="s">
        <v>1451</v>
      </c>
      <c r="AD298" s="13">
        <v>0</v>
      </c>
      <c r="AE298" s="1" t="s">
        <v>1035</v>
      </c>
      <c r="AF298" s="1" t="s">
        <v>1034</v>
      </c>
      <c r="AG298" s="1" t="s">
        <v>339</v>
      </c>
      <c r="AH298" s="1" t="s">
        <v>1489</v>
      </c>
      <c r="AI298" s="1" t="s">
        <v>1463</v>
      </c>
      <c r="AJ298" s="1"/>
      <c r="AK298" s="1" t="s">
        <v>1488</v>
      </c>
      <c r="AL298" s="1" t="s">
        <v>3516</v>
      </c>
      <c r="AM298" s="1"/>
      <c r="AN298" s="1"/>
      <c r="AO298" s="1">
        <v>4</v>
      </c>
      <c r="AP298" s="1">
        <v>3</v>
      </c>
      <c r="AQ298" s="1" t="s">
        <v>3517</v>
      </c>
    </row>
    <row r="299" spans="1:43" x14ac:dyDescent="0.15">
      <c r="A299" t="str">
        <f t="shared" si="80"/>
        <v>|SOI|黒|0|4/3|アンコモン|《[[夜陰の後継者&gt;ファルケンラスの後継者]]》|</v>
      </c>
      <c r="B299" t="s">
        <v>3168</v>
      </c>
      <c r="C299" t="str">
        <f t="shared" si="82"/>
        <v>SOI</v>
      </c>
      <c r="D299">
        <f>IF(AA299="","",VLOOKUP(C299,tnpl!$Z$1:$AA$11,2,TRUE))</f>
        <v>4</v>
      </c>
      <c r="E299" t="s">
        <v>3168</v>
      </c>
      <c r="F299" t="str">
        <f t="shared" si="83"/>
        <v>黒</v>
      </c>
      <c r="G299">
        <f>IF(AB299="","",VLOOKUP(F299,tnpl!$X$1:$Y$16,2,TRUE))</f>
        <v>3</v>
      </c>
      <c r="H299" t="s">
        <v>3168</v>
      </c>
      <c r="I299">
        <f t="shared" si="84"/>
        <v>0</v>
      </c>
      <c r="J299" t="s">
        <v>3168</v>
      </c>
      <c r="K299">
        <f t="shared" si="85"/>
        <v>4</v>
      </c>
      <c r="L299">
        <f t="shared" si="86"/>
        <v>3</v>
      </c>
      <c r="M299" t="str">
        <f t="shared" si="81"/>
        <v>4/3</v>
      </c>
      <c r="N299" t="s">
        <v>3175</v>
      </c>
      <c r="O299" t="str">
        <f t="shared" si="87"/>
        <v>アンコモン</v>
      </c>
      <c r="R299" t="s">
        <v>3175</v>
      </c>
      <c r="S299" t="s">
        <v>4750</v>
      </c>
      <c r="T299" t="str">
        <f t="shared" si="88"/>
        <v>夜陰の後継者</v>
      </c>
      <c r="U299" t="str">
        <f t="shared" si="89"/>
        <v>&gt;</v>
      </c>
      <c r="V299" t="str">
        <f>IF(I299=0,VLOOKUP(TAG!T299,Sheet4!A:B,2,TRUE),"")</f>
        <v>ファルケンラスの後継者</v>
      </c>
      <c r="W299" t="s">
        <v>4751</v>
      </c>
      <c r="X299" t="s">
        <v>3175</v>
      </c>
      <c r="Z299" s="3">
        <v>626</v>
      </c>
      <c r="AA299" s="2" t="s">
        <v>3431</v>
      </c>
      <c r="AB299" s="1" t="s">
        <v>1582</v>
      </c>
      <c r="AC299" s="1" t="s">
        <v>1451</v>
      </c>
      <c r="AD299" s="13">
        <v>0</v>
      </c>
      <c r="AE299" s="1" t="s">
        <v>1027</v>
      </c>
      <c r="AF299" s="1" t="s">
        <v>1026</v>
      </c>
      <c r="AG299" s="1" t="s">
        <v>339</v>
      </c>
      <c r="AH299" s="1" t="s">
        <v>1494</v>
      </c>
      <c r="AI299" s="1"/>
      <c r="AJ299" s="1"/>
      <c r="AK299" s="1" t="s">
        <v>3572</v>
      </c>
      <c r="AL299" s="1"/>
      <c r="AM299" s="1"/>
      <c r="AN299" s="1"/>
      <c r="AO299" s="1">
        <v>4</v>
      </c>
      <c r="AP299" s="1">
        <v>3</v>
      </c>
      <c r="AQ299" s="1" t="s">
        <v>3572</v>
      </c>
    </row>
    <row r="300" spans="1:43" x14ac:dyDescent="0.15">
      <c r="A300" t="str">
        <f t="shared" si="80"/>
        <v>|SOI|赤|0|4/3|コモン|《[[ガツタフの荒廃者&gt;ガツタフの放火魔]]》|</v>
      </c>
      <c r="B300" t="s">
        <v>3168</v>
      </c>
      <c r="C300" t="str">
        <f t="shared" si="82"/>
        <v>SOI</v>
      </c>
      <c r="D300">
        <f>IF(AA300="","",VLOOKUP(C300,tnpl!$Z$1:$AA$11,2,TRUE))</f>
        <v>4</v>
      </c>
      <c r="E300" t="s">
        <v>3168</v>
      </c>
      <c r="F300" t="str">
        <f t="shared" si="83"/>
        <v>赤</v>
      </c>
      <c r="G300">
        <f>IF(AB300="","",VLOOKUP(F300,tnpl!$X$1:$Y$16,2,TRUE))</f>
        <v>4</v>
      </c>
      <c r="H300" t="s">
        <v>3168</v>
      </c>
      <c r="I300">
        <f t="shared" si="84"/>
        <v>0</v>
      </c>
      <c r="J300" t="s">
        <v>3168</v>
      </c>
      <c r="K300">
        <f t="shared" si="85"/>
        <v>4</v>
      </c>
      <c r="L300">
        <f t="shared" si="86"/>
        <v>3</v>
      </c>
      <c r="M300" t="str">
        <f t="shared" si="81"/>
        <v>4/3</v>
      </c>
      <c r="N300" t="s">
        <v>3175</v>
      </c>
      <c r="O300" t="str">
        <f t="shared" si="87"/>
        <v>コモン</v>
      </c>
      <c r="R300" t="s">
        <v>3175</v>
      </c>
      <c r="S300" t="s">
        <v>4750</v>
      </c>
      <c r="T300" t="str">
        <f t="shared" si="88"/>
        <v>ガツタフの荒廃者</v>
      </c>
      <c r="U300" t="str">
        <f t="shared" si="89"/>
        <v>&gt;</v>
      </c>
      <c r="V300" t="str">
        <f>IF(I300=0,VLOOKUP(TAG!T300,Sheet4!A:B,2,TRUE),"")</f>
        <v>ガツタフの放火魔</v>
      </c>
      <c r="W300" t="s">
        <v>4751</v>
      </c>
      <c r="X300" t="s">
        <v>3175</v>
      </c>
      <c r="Z300" s="3">
        <v>647</v>
      </c>
      <c r="AA300" s="2" t="s">
        <v>3431</v>
      </c>
      <c r="AB300" s="1" t="s">
        <v>1552</v>
      </c>
      <c r="AC300" s="1" t="s">
        <v>1744</v>
      </c>
      <c r="AD300" s="13">
        <v>0</v>
      </c>
      <c r="AE300" s="1" t="s">
        <v>1019</v>
      </c>
      <c r="AF300" s="1" t="s">
        <v>1018</v>
      </c>
      <c r="AG300" s="1" t="s">
        <v>339</v>
      </c>
      <c r="AH300" s="1" t="s">
        <v>3605</v>
      </c>
      <c r="AI300" s="1"/>
      <c r="AJ300" s="1"/>
      <c r="AK300" s="1" t="s">
        <v>2048</v>
      </c>
      <c r="AL300" s="1" t="s">
        <v>3607</v>
      </c>
      <c r="AM300" s="1"/>
      <c r="AN300" s="1"/>
      <c r="AO300" s="1">
        <v>4</v>
      </c>
      <c r="AP300" s="1">
        <v>3</v>
      </c>
      <c r="AQ300" s="1" t="s">
        <v>3608</v>
      </c>
    </row>
    <row r="301" spans="1:43" x14ac:dyDescent="0.15">
      <c r="A301" t="str">
        <f t="shared" si="80"/>
        <v>|SOI|赤|0|4/3|アンコモン|《[[炎心の人狼&gt;ケッシグの鍛冶場主]]》|</v>
      </c>
      <c r="B301" t="s">
        <v>3168</v>
      </c>
      <c r="C301" t="str">
        <f t="shared" si="82"/>
        <v>SOI</v>
      </c>
      <c r="D301">
        <f>IF(AA301="","",VLOOKUP(C301,tnpl!$Z$1:$AA$11,2,TRUE))</f>
        <v>4</v>
      </c>
      <c r="E301" t="s">
        <v>3168</v>
      </c>
      <c r="F301" t="str">
        <f t="shared" si="83"/>
        <v>赤</v>
      </c>
      <c r="G301">
        <f>IF(AB301="","",VLOOKUP(F301,tnpl!$X$1:$Y$16,2,TRUE))</f>
        <v>4</v>
      </c>
      <c r="H301" t="s">
        <v>3168</v>
      </c>
      <c r="I301">
        <f t="shared" si="84"/>
        <v>0</v>
      </c>
      <c r="J301" t="s">
        <v>3168</v>
      </c>
      <c r="K301">
        <f t="shared" si="85"/>
        <v>4</v>
      </c>
      <c r="L301">
        <f t="shared" si="86"/>
        <v>3</v>
      </c>
      <c r="M301" t="str">
        <f t="shared" si="81"/>
        <v>4/3</v>
      </c>
      <c r="N301" t="s">
        <v>3175</v>
      </c>
      <c r="O301" t="str">
        <f t="shared" si="87"/>
        <v>アンコモン</v>
      </c>
      <c r="R301" t="s">
        <v>3175</v>
      </c>
      <c r="S301" t="s">
        <v>4750</v>
      </c>
      <c r="T301" t="str">
        <f t="shared" si="88"/>
        <v>炎心の人狼</v>
      </c>
      <c r="U301" t="str">
        <f t="shared" si="89"/>
        <v>&gt;</v>
      </c>
      <c r="V301" t="str">
        <f>IF(I301=0,VLOOKUP(TAG!T301,Sheet4!A:B,2,TRUE),"")</f>
        <v>ケッシグの鍛冶場主</v>
      </c>
      <c r="W301" t="s">
        <v>4751</v>
      </c>
      <c r="X301" t="s">
        <v>3175</v>
      </c>
      <c r="Z301" s="3">
        <v>661</v>
      </c>
      <c r="AA301" s="2" t="s">
        <v>3431</v>
      </c>
      <c r="AB301" s="1" t="s">
        <v>1552</v>
      </c>
      <c r="AC301" s="1" t="s">
        <v>1451</v>
      </c>
      <c r="AD301" s="13">
        <v>0</v>
      </c>
      <c r="AE301" s="1" t="s">
        <v>1015</v>
      </c>
      <c r="AF301" s="1" t="s">
        <v>1014</v>
      </c>
      <c r="AG301" s="1" t="s">
        <v>339</v>
      </c>
      <c r="AH301" s="1" t="s">
        <v>3605</v>
      </c>
      <c r="AI301" s="1"/>
      <c r="AJ301" s="1"/>
      <c r="AK301" s="1" t="s">
        <v>3624</v>
      </c>
      <c r="AL301" s="1" t="s">
        <v>3607</v>
      </c>
      <c r="AM301" s="1"/>
      <c r="AN301" s="1"/>
      <c r="AO301" s="1">
        <v>4</v>
      </c>
      <c r="AP301" s="1">
        <v>3</v>
      </c>
      <c r="AQ301" s="1" t="s">
        <v>3625</v>
      </c>
    </row>
    <row r="302" spans="1:43" x14ac:dyDescent="0.15">
      <c r="A302" t="str">
        <f t="shared" si="80"/>
        <v>|SOI|赤|13|4/3|レア|《[[ファルケンラスの過食者]]》|</v>
      </c>
      <c r="B302" t="s">
        <v>3168</v>
      </c>
      <c r="C302" t="str">
        <f t="shared" si="82"/>
        <v>SOI</v>
      </c>
      <c r="D302">
        <f>IF(AA302="","",VLOOKUP(C302,tnpl!$Z$1:$AA$11,2,TRUE))</f>
        <v>4</v>
      </c>
      <c r="E302" t="s">
        <v>3168</v>
      </c>
      <c r="F302" t="str">
        <f t="shared" si="83"/>
        <v>赤</v>
      </c>
      <c r="G302">
        <f>IF(AB302="","",VLOOKUP(F302,tnpl!$X$1:$Y$16,2,TRUE))</f>
        <v>4</v>
      </c>
      <c r="H302" t="s">
        <v>3168</v>
      </c>
      <c r="I302">
        <f t="shared" si="84"/>
        <v>13</v>
      </c>
      <c r="J302" t="s">
        <v>3168</v>
      </c>
      <c r="K302">
        <f t="shared" si="85"/>
        <v>4</v>
      </c>
      <c r="L302">
        <f t="shared" si="86"/>
        <v>3</v>
      </c>
      <c r="M302" t="str">
        <f t="shared" si="81"/>
        <v>4/3</v>
      </c>
      <c r="N302" t="s">
        <v>3175</v>
      </c>
      <c r="O302" t="str">
        <f t="shared" si="87"/>
        <v>レア</v>
      </c>
      <c r="R302" t="s">
        <v>3175</v>
      </c>
      <c r="S302" t="s">
        <v>4750</v>
      </c>
      <c r="T302" t="str">
        <f t="shared" si="88"/>
        <v>ファルケンラスの過食者</v>
      </c>
      <c r="U302" t="str">
        <f t="shared" si="89"/>
        <v/>
      </c>
      <c r="V302" t="str">
        <f>IF(I302=0,VLOOKUP(TAG!T302,Sheet4!A:B,2,TRUE),"")</f>
        <v/>
      </c>
      <c r="W302" t="s">
        <v>4751</v>
      </c>
      <c r="X302" t="s">
        <v>3175</v>
      </c>
      <c r="Z302" s="3">
        <v>669</v>
      </c>
      <c r="AA302" s="2" t="s">
        <v>3431</v>
      </c>
      <c r="AB302" s="1" t="s">
        <v>1552</v>
      </c>
      <c r="AC302" s="1" t="s">
        <v>1441</v>
      </c>
      <c r="AD302" s="1">
        <v>13</v>
      </c>
      <c r="AE302" s="1" t="s">
        <v>1200</v>
      </c>
      <c r="AF302" s="1" t="s">
        <v>1199</v>
      </c>
      <c r="AG302" s="1" t="s">
        <v>339</v>
      </c>
      <c r="AH302" s="1" t="s">
        <v>1494</v>
      </c>
      <c r="AI302" s="1" t="s">
        <v>1738</v>
      </c>
      <c r="AJ302" s="1"/>
      <c r="AK302" s="1" t="s">
        <v>3636</v>
      </c>
      <c r="AL302" s="1"/>
      <c r="AM302" s="1"/>
      <c r="AN302" s="1"/>
      <c r="AO302" s="1">
        <v>4</v>
      </c>
      <c r="AP302" s="1">
        <v>3</v>
      </c>
      <c r="AQ302" s="1" t="s">
        <v>3636</v>
      </c>
    </row>
    <row r="303" spans="1:43" x14ac:dyDescent="0.15">
      <c r="A303" t="str">
        <f t="shared" si="80"/>
        <v>|SOI|緑|9|4/3|レア|《[[死天狗茸の栽培者]]》|</v>
      </c>
      <c r="B303" t="s">
        <v>3168</v>
      </c>
      <c r="C303" t="str">
        <f t="shared" si="82"/>
        <v>SOI</v>
      </c>
      <c r="D303">
        <f>IF(AA303="","",VLOOKUP(C303,tnpl!$Z$1:$AA$11,2,TRUE))</f>
        <v>4</v>
      </c>
      <c r="E303" t="s">
        <v>3168</v>
      </c>
      <c r="F303" t="str">
        <f t="shared" si="83"/>
        <v>緑</v>
      </c>
      <c r="G303">
        <f>IF(AB303="","",VLOOKUP(F303,tnpl!$X$1:$Y$16,2,TRUE))</f>
        <v>5</v>
      </c>
      <c r="H303" t="s">
        <v>3168</v>
      </c>
      <c r="I303">
        <f t="shared" si="84"/>
        <v>9</v>
      </c>
      <c r="J303" t="s">
        <v>3168</v>
      </c>
      <c r="K303">
        <f t="shared" si="85"/>
        <v>4</v>
      </c>
      <c r="L303">
        <f t="shared" si="86"/>
        <v>3</v>
      </c>
      <c r="M303" t="str">
        <f t="shared" si="81"/>
        <v>4/3</v>
      </c>
      <c r="N303" t="s">
        <v>3175</v>
      </c>
      <c r="O303" t="str">
        <f t="shared" si="87"/>
        <v>レア</v>
      </c>
      <c r="R303" t="s">
        <v>3175</v>
      </c>
      <c r="S303" t="s">
        <v>4750</v>
      </c>
      <c r="T303" t="str">
        <f t="shared" si="88"/>
        <v>死天狗茸の栽培者</v>
      </c>
      <c r="U303" t="str">
        <f t="shared" si="89"/>
        <v/>
      </c>
      <c r="V303" t="str">
        <f>IF(I303=0,VLOOKUP(TAG!T303,Sheet4!A:B,2,TRUE),"")</f>
        <v/>
      </c>
      <c r="W303" t="s">
        <v>4751</v>
      </c>
      <c r="X303" t="s">
        <v>3175</v>
      </c>
      <c r="Z303" s="3">
        <v>707</v>
      </c>
      <c r="AA303" s="2" t="s">
        <v>3431</v>
      </c>
      <c r="AB303" s="1" t="s">
        <v>1518</v>
      </c>
      <c r="AC303" s="1" t="s">
        <v>1441</v>
      </c>
      <c r="AD303" s="1">
        <v>9</v>
      </c>
      <c r="AE303" s="1" t="s">
        <v>1136</v>
      </c>
      <c r="AF303" s="1" t="s">
        <v>1135</v>
      </c>
      <c r="AG303" s="1" t="s">
        <v>339</v>
      </c>
      <c r="AH303" s="1" t="s">
        <v>1489</v>
      </c>
      <c r="AI303" s="1" t="s">
        <v>1529</v>
      </c>
      <c r="AJ303" s="1"/>
      <c r="AK303" s="1" t="s">
        <v>3687</v>
      </c>
      <c r="AL303" s="1" t="s">
        <v>3688</v>
      </c>
      <c r="AM303" s="1"/>
      <c r="AN303" s="1"/>
      <c r="AO303" s="1">
        <v>4</v>
      </c>
      <c r="AP303" s="1">
        <v>3</v>
      </c>
      <c r="AQ303" s="1" t="s">
        <v>3689</v>
      </c>
    </row>
    <row r="304" spans="1:43" x14ac:dyDescent="0.15">
      <c r="A304" t="str">
        <f t="shared" si="80"/>
        <v>|EMN|白|8|4/3|アンコモン|《[[支配の天使]]》|</v>
      </c>
      <c r="B304" t="s">
        <v>3168</v>
      </c>
      <c r="C304" t="str">
        <f t="shared" si="82"/>
        <v>EMN</v>
      </c>
      <c r="D304">
        <f>IF(AA304="","",VLOOKUP(C304,tnpl!$Z$1:$AA$11,2,TRUE))</f>
        <v>5</v>
      </c>
      <c r="E304" t="s">
        <v>3168</v>
      </c>
      <c r="F304" t="str">
        <f t="shared" si="83"/>
        <v>白</v>
      </c>
      <c r="G304">
        <f>IF(AB304="","",VLOOKUP(F304,tnpl!$X$1:$Y$16,2,TRUE))</f>
        <v>1</v>
      </c>
      <c r="H304" t="s">
        <v>3168</v>
      </c>
      <c r="I304">
        <f t="shared" si="84"/>
        <v>8</v>
      </c>
      <c r="J304" t="s">
        <v>3168</v>
      </c>
      <c r="K304">
        <f t="shared" si="85"/>
        <v>4</v>
      </c>
      <c r="L304">
        <f t="shared" si="86"/>
        <v>3</v>
      </c>
      <c r="M304" t="str">
        <f t="shared" si="81"/>
        <v>4/3</v>
      </c>
      <c r="N304" t="s">
        <v>3175</v>
      </c>
      <c r="O304" t="str">
        <f t="shared" si="87"/>
        <v>アンコモン</v>
      </c>
      <c r="R304" t="s">
        <v>3175</v>
      </c>
      <c r="S304" t="s">
        <v>4750</v>
      </c>
      <c r="T304" t="str">
        <f t="shared" si="88"/>
        <v>支配の天使</v>
      </c>
      <c r="U304" t="str">
        <f t="shared" si="89"/>
        <v/>
      </c>
      <c r="V304" t="str">
        <f>IF(I304=0,VLOOKUP(TAG!T304,Sheet4!A:B,2,TRUE),"")</f>
        <v/>
      </c>
      <c r="W304" t="s">
        <v>4751</v>
      </c>
      <c r="X304" t="s">
        <v>3175</v>
      </c>
      <c r="Z304" s="3">
        <v>756</v>
      </c>
      <c r="AA304" s="2" t="s">
        <v>3773</v>
      </c>
      <c r="AB304" s="1" t="s">
        <v>1627</v>
      </c>
      <c r="AC304" s="1" t="s">
        <v>1451</v>
      </c>
      <c r="AD304" s="1">
        <v>8</v>
      </c>
      <c r="AE304" s="1" t="s">
        <v>991</v>
      </c>
      <c r="AF304" s="1" t="s">
        <v>990</v>
      </c>
      <c r="AG304" s="1" t="s">
        <v>339</v>
      </c>
      <c r="AH304" s="1" t="s">
        <v>348</v>
      </c>
      <c r="AI304" s="1"/>
      <c r="AJ304" s="1"/>
      <c r="AK304" s="1" t="s">
        <v>351</v>
      </c>
      <c r="AL304" s="1" t="s">
        <v>3775</v>
      </c>
      <c r="AM304" s="1"/>
      <c r="AN304" s="1"/>
      <c r="AO304" s="1">
        <v>4</v>
      </c>
      <c r="AP304" s="1">
        <v>3</v>
      </c>
      <c r="AQ304" s="1" t="s">
        <v>3776</v>
      </c>
    </row>
    <row r="305" spans="1:43" x14ac:dyDescent="0.15">
      <c r="A305" t="str">
        <f t="shared" si="80"/>
        <v>|EMN|青|9|4/3|アンコモン|《[[ネベルガストの伝令]]》|</v>
      </c>
      <c r="B305" t="s">
        <v>3168</v>
      </c>
      <c r="C305" t="str">
        <f t="shared" si="82"/>
        <v>EMN</v>
      </c>
      <c r="D305">
        <f>IF(AA305="","",VLOOKUP(C305,tnpl!$Z$1:$AA$11,2,TRUE))</f>
        <v>5</v>
      </c>
      <c r="E305" t="s">
        <v>3168</v>
      </c>
      <c r="F305" t="str">
        <f t="shared" si="83"/>
        <v>青</v>
      </c>
      <c r="G305">
        <f>IF(AB305="","",VLOOKUP(F305,tnpl!$X$1:$Y$16,2,TRUE))</f>
        <v>2</v>
      </c>
      <c r="H305" t="s">
        <v>3168</v>
      </c>
      <c r="I305">
        <f t="shared" si="84"/>
        <v>9</v>
      </c>
      <c r="J305" t="s">
        <v>3168</v>
      </c>
      <c r="K305">
        <f t="shared" si="85"/>
        <v>4</v>
      </c>
      <c r="L305">
        <f t="shared" si="86"/>
        <v>3</v>
      </c>
      <c r="M305" t="str">
        <f t="shared" si="81"/>
        <v>4/3</v>
      </c>
      <c r="N305" t="s">
        <v>3175</v>
      </c>
      <c r="O305" t="str">
        <f t="shared" si="87"/>
        <v>アンコモン</v>
      </c>
      <c r="R305" t="s">
        <v>3175</v>
      </c>
      <c r="S305" t="s">
        <v>4750</v>
      </c>
      <c r="T305" t="str">
        <f t="shared" si="88"/>
        <v>ネベルガストの伝令</v>
      </c>
      <c r="U305" t="str">
        <f t="shared" si="89"/>
        <v/>
      </c>
      <c r="V305" t="str">
        <f>IF(I305=0,VLOOKUP(TAG!T305,Sheet4!A:B,2,TRUE),"")</f>
        <v/>
      </c>
      <c r="W305" t="s">
        <v>4751</v>
      </c>
      <c r="X305" t="s">
        <v>3175</v>
      </c>
      <c r="Z305" s="3">
        <v>772</v>
      </c>
      <c r="AA305" s="2" t="s">
        <v>3773</v>
      </c>
      <c r="AB305" s="1" t="s">
        <v>1606</v>
      </c>
      <c r="AC305" s="1" t="s">
        <v>1451</v>
      </c>
      <c r="AD305" s="1">
        <v>9</v>
      </c>
      <c r="AE305" s="1" t="s">
        <v>967</v>
      </c>
      <c r="AF305" s="1" t="s">
        <v>966</v>
      </c>
      <c r="AG305" s="1" t="s">
        <v>339</v>
      </c>
      <c r="AH305" s="1" t="s">
        <v>2407</v>
      </c>
      <c r="AI305" s="1"/>
      <c r="AJ305" s="1"/>
      <c r="AK305" s="1" t="s">
        <v>351</v>
      </c>
      <c r="AL305" s="1" t="s">
        <v>3814</v>
      </c>
      <c r="AM305" s="1"/>
      <c r="AN305" s="1"/>
      <c r="AO305" s="1">
        <v>4</v>
      </c>
      <c r="AP305" s="1">
        <v>3</v>
      </c>
      <c r="AQ305" s="1" t="s">
        <v>3815</v>
      </c>
    </row>
    <row r="306" spans="1:43" x14ac:dyDescent="0.15">
      <c r="A306" t="str">
        <f t="shared" si="80"/>
        <v>|EMN|緑|8|4/3|アンコモン|《[[ケッシグをうろつくもの]]》|</v>
      </c>
      <c r="B306" t="s">
        <v>3168</v>
      </c>
      <c r="C306" t="str">
        <f t="shared" si="82"/>
        <v>EMN</v>
      </c>
      <c r="D306">
        <f>IF(AA306="","",VLOOKUP(C306,tnpl!$Z$1:$AA$11,2,TRUE))</f>
        <v>5</v>
      </c>
      <c r="E306" t="s">
        <v>3168</v>
      </c>
      <c r="F306" t="str">
        <f t="shared" si="83"/>
        <v>緑</v>
      </c>
      <c r="G306">
        <f>IF(AB306="","",VLOOKUP(F306,tnpl!$X$1:$Y$16,2,TRUE))</f>
        <v>5</v>
      </c>
      <c r="H306" t="s">
        <v>3168</v>
      </c>
      <c r="I306">
        <f t="shared" si="84"/>
        <v>8</v>
      </c>
      <c r="J306" t="s">
        <v>3168</v>
      </c>
      <c r="K306">
        <f t="shared" si="85"/>
        <v>4</v>
      </c>
      <c r="L306">
        <f t="shared" si="86"/>
        <v>3</v>
      </c>
      <c r="M306" t="str">
        <f t="shared" si="81"/>
        <v>4/3</v>
      </c>
      <c r="N306" t="s">
        <v>3175</v>
      </c>
      <c r="O306" t="str">
        <f t="shared" si="87"/>
        <v>アンコモン</v>
      </c>
      <c r="R306" t="s">
        <v>3175</v>
      </c>
      <c r="S306" t="s">
        <v>4750</v>
      </c>
      <c r="T306" t="str">
        <f t="shared" si="88"/>
        <v>ケッシグをうろつくもの</v>
      </c>
      <c r="U306" t="str">
        <f t="shared" si="89"/>
        <v/>
      </c>
      <c r="V306" t="str">
        <f>IF(I306=0,VLOOKUP(TAG!T306,Sheet4!A:B,2,TRUE),"")</f>
        <v/>
      </c>
      <c r="W306" t="s">
        <v>4751</v>
      </c>
      <c r="X306" t="s">
        <v>3175</v>
      </c>
      <c r="Z306" s="3">
        <v>806</v>
      </c>
      <c r="AA306" s="2" t="s">
        <v>3773</v>
      </c>
      <c r="AB306" s="1" t="s">
        <v>1518</v>
      </c>
      <c r="AC306" s="1" t="s">
        <v>1451</v>
      </c>
      <c r="AD306" s="14">
        <v>8</v>
      </c>
      <c r="AE306" s="1" t="s">
        <v>910</v>
      </c>
      <c r="AF306" s="1" t="s">
        <v>909</v>
      </c>
      <c r="AG306" s="1" t="s">
        <v>339</v>
      </c>
      <c r="AH306" s="1" t="s">
        <v>3605</v>
      </c>
      <c r="AI306" s="1" t="s">
        <v>2802</v>
      </c>
      <c r="AJ306" s="1"/>
      <c r="AK306" s="1" t="s">
        <v>3851</v>
      </c>
      <c r="AL306" s="1"/>
      <c r="AM306" s="1"/>
      <c r="AN306" s="1"/>
      <c r="AO306" s="1">
        <v>4</v>
      </c>
      <c r="AP306" s="1">
        <v>3</v>
      </c>
      <c r="AQ306" s="1" t="s">
        <v>3851</v>
      </c>
    </row>
    <row r="307" spans="1:43" x14ac:dyDescent="0.15">
      <c r="A307" t="str">
        <f t="shared" si="80"/>
        <v>|EMN|黒緑|16|4/3|アンコモン|《[[嘆き細工]]》|</v>
      </c>
      <c r="B307" t="s">
        <v>3168</v>
      </c>
      <c r="C307" t="str">
        <f t="shared" si="82"/>
        <v>EMN</v>
      </c>
      <c r="D307">
        <f>IF(AA307="","",VLOOKUP(C307,tnpl!$Z$1:$AA$11,2,TRUE))</f>
        <v>5</v>
      </c>
      <c r="E307" t="s">
        <v>3168</v>
      </c>
      <c r="F307" t="str">
        <f t="shared" si="83"/>
        <v>黒緑</v>
      </c>
      <c r="G307">
        <f>IF(AB307="","",VLOOKUP(F307,tnpl!$X$1:$Y$16,2,TRUE))</f>
        <v>13</v>
      </c>
      <c r="H307" t="s">
        <v>3168</v>
      </c>
      <c r="I307">
        <f t="shared" si="84"/>
        <v>16</v>
      </c>
      <c r="J307" t="s">
        <v>3168</v>
      </c>
      <c r="K307">
        <f t="shared" si="85"/>
        <v>4</v>
      </c>
      <c r="L307">
        <f t="shared" si="86"/>
        <v>3</v>
      </c>
      <c r="M307" t="str">
        <f t="shared" si="81"/>
        <v>4/3</v>
      </c>
      <c r="N307" t="s">
        <v>3175</v>
      </c>
      <c r="O307" t="str">
        <f t="shared" si="87"/>
        <v>アンコモン</v>
      </c>
      <c r="R307" t="s">
        <v>3175</v>
      </c>
      <c r="S307" t="s">
        <v>4750</v>
      </c>
      <c r="T307" t="str">
        <f t="shared" si="88"/>
        <v>嘆き細工</v>
      </c>
      <c r="U307" t="str">
        <f t="shared" si="89"/>
        <v/>
      </c>
      <c r="V307" t="str">
        <f>IF(I307=0,VLOOKUP(TAG!T307,Sheet4!A:B,2,TRUE),"")</f>
        <v/>
      </c>
      <c r="W307" t="s">
        <v>4751</v>
      </c>
      <c r="X307" t="s">
        <v>3175</v>
      </c>
      <c r="Z307" s="3">
        <v>821</v>
      </c>
      <c r="AA307" s="2" t="s">
        <v>3773</v>
      </c>
      <c r="AB307" s="1" t="s">
        <v>1487</v>
      </c>
      <c r="AC307" s="1" t="s">
        <v>1451</v>
      </c>
      <c r="AD307" s="1">
        <v>16</v>
      </c>
      <c r="AE307" s="1" t="s">
        <v>886</v>
      </c>
      <c r="AF307" s="1" t="s">
        <v>885</v>
      </c>
      <c r="AG307" s="1" t="s">
        <v>339</v>
      </c>
      <c r="AH307" s="1" t="s">
        <v>3848</v>
      </c>
      <c r="AI307" s="1" t="s">
        <v>3559</v>
      </c>
      <c r="AJ307" s="1"/>
      <c r="AK307" s="1" t="s">
        <v>2755</v>
      </c>
      <c r="AL307" s="1" t="s">
        <v>3905</v>
      </c>
      <c r="AM307" s="1"/>
      <c r="AN307" s="1"/>
      <c r="AO307" s="1">
        <v>4</v>
      </c>
      <c r="AP307" s="1">
        <v>3</v>
      </c>
      <c r="AQ307" s="1" t="s">
        <v>3906</v>
      </c>
    </row>
    <row r="308" spans="1:43" x14ac:dyDescent="0.15">
      <c r="A308" t="str">
        <f t="shared" si="80"/>
        <v>|KLD|白|11|4/3|アンコモン|《[[変速の名手]]》|</v>
      </c>
      <c r="B308" t="s">
        <v>3168</v>
      </c>
      <c r="C308" t="str">
        <f t="shared" si="82"/>
        <v>KLD</v>
      </c>
      <c r="D308">
        <f>IF(AA308="","",VLOOKUP(C308,tnpl!$Z$1:$AA$11,2,TRUE))</f>
        <v>6</v>
      </c>
      <c r="E308" t="s">
        <v>3168</v>
      </c>
      <c r="F308" t="str">
        <f t="shared" si="83"/>
        <v>白</v>
      </c>
      <c r="G308">
        <f>IF(AB308="","",VLOOKUP(F308,tnpl!$X$1:$Y$16,2,TRUE))</f>
        <v>1</v>
      </c>
      <c r="H308" t="s">
        <v>3168</v>
      </c>
      <c r="I308">
        <f t="shared" si="84"/>
        <v>11</v>
      </c>
      <c r="J308" t="s">
        <v>3168</v>
      </c>
      <c r="K308">
        <f t="shared" si="85"/>
        <v>4</v>
      </c>
      <c r="L308">
        <f t="shared" si="86"/>
        <v>3</v>
      </c>
      <c r="M308" t="str">
        <f t="shared" si="81"/>
        <v>4/3</v>
      </c>
      <c r="N308" t="s">
        <v>3175</v>
      </c>
      <c r="O308" t="str">
        <f t="shared" si="87"/>
        <v>アンコモン</v>
      </c>
      <c r="R308" t="s">
        <v>3175</v>
      </c>
      <c r="S308" t="s">
        <v>4750</v>
      </c>
      <c r="T308" t="str">
        <f t="shared" si="88"/>
        <v>変速の名手</v>
      </c>
      <c r="U308" t="str">
        <f t="shared" si="89"/>
        <v/>
      </c>
      <c r="V308" t="str">
        <f>IF(I308=0,VLOOKUP(TAG!T308,Sheet4!A:B,2,TRUE),"")</f>
        <v/>
      </c>
      <c r="W308" t="s">
        <v>4751</v>
      </c>
      <c r="X308" t="s">
        <v>3175</v>
      </c>
      <c r="Z308" s="3">
        <v>848</v>
      </c>
      <c r="AA308" s="2" t="s">
        <v>3937</v>
      </c>
      <c r="AB308" s="1" t="s">
        <v>1627</v>
      </c>
      <c r="AC308" s="1" t="s">
        <v>1451</v>
      </c>
      <c r="AD308" s="1">
        <v>11</v>
      </c>
      <c r="AE308" s="1" t="s">
        <v>807</v>
      </c>
      <c r="AF308" s="1" t="s">
        <v>806</v>
      </c>
      <c r="AG308" s="1" t="s">
        <v>339</v>
      </c>
      <c r="AH308" s="1" t="s">
        <v>3938</v>
      </c>
      <c r="AI308" s="1" t="s">
        <v>3957</v>
      </c>
      <c r="AJ308" s="1"/>
      <c r="AK308" s="1" t="s">
        <v>3311</v>
      </c>
      <c r="AL308" s="1" t="s">
        <v>3958</v>
      </c>
      <c r="AM308" s="1"/>
      <c r="AN308" s="1"/>
      <c r="AO308" s="1">
        <v>4</v>
      </c>
      <c r="AP308" s="1">
        <v>3</v>
      </c>
      <c r="AQ308" s="1" t="s">
        <v>3959</v>
      </c>
    </row>
    <row r="309" spans="1:43" x14ac:dyDescent="0.15">
      <c r="A309" t="str">
        <f t="shared" ref="A309:A329" si="90">B309&amp;C309&amp;E309&amp;F309&amp;H309&amp;I309&amp;J309&amp;M309&amp;N309&amp;O309&amp;P309&amp;Q309&amp;R309&amp;S309&amp;T309&amp;U309&amp;V309&amp;W309&amp;X309&amp;Y309</f>
        <v>|KLD|白|6|4/3|アンコモン|《[[先見的な増強者]]》|</v>
      </c>
      <c r="B309" t="s">
        <v>3168</v>
      </c>
      <c r="C309" t="str">
        <f t="shared" si="82"/>
        <v>KLD</v>
      </c>
      <c r="D309">
        <f>IF(AA309="","",VLOOKUP(C309,tnpl!$Z$1:$AA$11,2,TRUE))</f>
        <v>6</v>
      </c>
      <c r="E309" t="s">
        <v>3168</v>
      </c>
      <c r="F309" t="str">
        <f t="shared" si="83"/>
        <v>白</v>
      </c>
      <c r="G309">
        <f>IF(AB309="","",VLOOKUP(F309,tnpl!$X$1:$Y$16,2,TRUE))</f>
        <v>1</v>
      </c>
      <c r="H309" t="s">
        <v>3168</v>
      </c>
      <c r="I309">
        <f t="shared" si="84"/>
        <v>6</v>
      </c>
      <c r="J309" t="s">
        <v>3168</v>
      </c>
      <c r="K309">
        <f t="shared" si="85"/>
        <v>4</v>
      </c>
      <c r="L309">
        <f t="shared" si="86"/>
        <v>3</v>
      </c>
      <c r="M309" t="str">
        <f t="shared" si="81"/>
        <v>4/3</v>
      </c>
      <c r="N309" t="s">
        <v>3175</v>
      </c>
      <c r="O309" t="str">
        <f t="shared" si="87"/>
        <v>アンコモン</v>
      </c>
      <c r="R309" t="s">
        <v>3175</v>
      </c>
      <c r="S309" t="s">
        <v>4750</v>
      </c>
      <c r="T309" t="str">
        <f t="shared" si="88"/>
        <v>先見的な増強者</v>
      </c>
      <c r="U309" t="str">
        <f t="shared" si="89"/>
        <v/>
      </c>
      <c r="V309" t="str">
        <f>IF(I309=0,VLOOKUP(TAG!T309,Sheet4!A:B,2,TRUE),"")</f>
        <v/>
      </c>
      <c r="W309" t="s">
        <v>4751</v>
      </c>
      <c r="X309" t="s">
        <v>3175</v>
      </c>
      <c r="Z309" s="3">
        <v>849</v>
      </c>
      <c r="AA309" s="2" t="s">
        <v>3937</v>
      </c>
      <c r="AB309" s="1" t="s">
        <v>1627</v>
      </c>
      <c r="AC309" s="1" t="s">
        <v>1451</v>
      </c>
      <c r="AD309" s="1">
        <v>6</v>
      </c>
      <c r="AE309" s="1" t="s">
        <v>803</v>
      </c>
      <c r="AF309" s="1" t="s">
        <v>802</v>
      </c>
      <c r="AG309" s="1" t="s">
        <v>339</v>
      </c>
      <c r="AH309" s="1" t="s">
        <v>3938</v>
      </c>
      <c r="AI309" s="1" t="s">
        <v>1641</v>
      </c>
      <c r="AJ309" s="1"/>
      <c r="AK309" s="1" t="s">
        <v>3960</v>
      </c>
      <c r="AL309" s="1"/>
      <c r="AM309" s="1"/>
      <c r="AN309" s="1"/>
      <c r="AO309" s="1">
        <v>4</v>
      </c>
      <c r="AP309" s="1">
        <v>3</v>
      </c>
      <c r="AQ309" s="1" t="s">
        <v>3960</v>
      </c>
    </row>
    <row r="310" spans="1:43" x14ac:dyDescent="0.15">
      <c r="A310" t="str">
        <f t="shared" si="90"/>
        <v>|KLD|青|9|4/3|アンコモン|《[[ヒレナガ空鯨]]》|</v>
      </c>
      <c r="B310" t="s">
        <v>3168</v>
      </c>
      <c r="C310" t="str">
        <f t="shared" si="82"/>
        <v>KLD</v>
      </c>
      <c r="D310">
        <f>IF(AA310="","",VLOOKUP(C310,tnpl!$Z$1:$AA$11,2,TRUE))</f>
        <v>6</v>
      </c>
      <c r="E310" t="s">
        <v>3168</v>
      </c>
      <c r="F310" t="str">
        <f t="shared" si="83"/>
        <v>青</v>
      </c>
      <c r="G310">
        <f>IF(AB310="","",VLOOKUP(F310,tnpl!$X$1:$Y$16,2,TRUE))</f>
        <v>2</v>
      </c>
      <c r="H310" t="s">
        <v>3168</v>
      </c>
      <c r="I310">
        <f t="shared" si="84"/>
        <v>9</v>
      </c>
      <c r="J310" t="s">
        <v>3168</v>
      </c>
      <c r="K310">
        <f t="shared" si="85"/>
        <v>4</v>
      </c>
      <c r="L310">
        <f t="shared" si="86"/>
        <v>3</v>
      </c>
      <c r="M310" t="str">
        <f t="shared" ref="M310:M329" si="91">K310&amp;"/"&amp;L310</f>
        <v>4/3</v>
      </c>
      <c r="N310" t="s">
        <v>3175</v>
      </c>
      <c r="O310" t="str">
        <f t="shared" si="87"/>
        <v>アンコモン</v>
      </c>
      <c r="R310" t="s">
        <v>3175</v>
      </c>
      <c r="S310" t="s">
        <v>4750</v>
      </c>
      <c r="T310" t="str">
        <f t="shared" si="88"/>
        <v>ヒレナガ空鯨</v>
      </c>
      <c r="U310" t="str">
        <f t="shared" si="89"/>
        <v/>
      </c>
      <c r="V310" t="str">
        <f>IF(I310=0,VLOOKUP(TAG!T310,Sheet4!A:B,2,TRUE),"")</f>
        <v/>
      </c>
      <c r="W310" t="s">
        <v>4751</v>
      </c>
      <c r="X310" t="s">
        <v>3175</v>
      </c>
      <c r="Z310" s="3">
        <v>875</v>
      </c>
      <c r="AA310" s="2" t="s">
        <v>3937</v>
      </c>
      <c r="AB310" s="1" t="s">
        <v>1606</v>
      </c>
      <c r="AC310" s="1" t="s">
        <v>1451</v>
      </c>
      <c r="AD310" s="1">
        <v>9</v>
      </c>
      <c r="AE310" s="1" t="s">
        <v>754</v>
      </c>
      <c r="AF310" s="1" t="s">
        <v>753</v>
      </c>
      <c r="AG310" s="1" t="s">
        <v>339</v>
      </c>
      <c r="AH310" s="1" t="s">
        <v>4006</v>
      </c>
      <c r="AI310" s="1"/>
      <c r="AJ310" s="1"/>
      <c r="AK310" s="1" t="s">
        <v>3177</v>
      </c>
      <c r="AL310" s="1"/>
      <c r="AM310" s="1"/>
      <c r="AN310" s="1"/>
      <c r="AO310" s="1">
        <v>4</v>
      </c>
      <c r="AP310" s="1">
        <v>3</v>
      </c>
      <c r="AQ310" s="1" t="s">
        <v>3177</v>
      </c>
    </row>
    <row r="311" spans="1:43" x14ac:dyDescent="0.15">
      <c r="A311" t="str">
        <f t="shared" si="90"/>
        <v>|KLD|赤|10|4/3|アンコモン|《[[競走路の熱狂者]]》|</v>
      </c>
      <c r="B311" t="s">
        <v>3168</v>
      </c>
      <c r="C311" t="str">
        <f t="shared" ref="C311:C329" si="92">AA311</f>
        <v>KLD</v>
      </c>
      <c r="D311">
        <f>IF(AA311="","",VLOOKUP(C311,tnpl!$Z$1:$AA$11,2,TRUE))</f>
        <v>6</v>
      </c>
      <c r="E311" t="s">
        <v>3168</v>
      </c>
      <c r="F311" t="str">
        <f t="shared" ref="F311:F329" si="93">AB311</f>
        <v>赤</v>
      </c>
      <c r="G311">
        <f>IF(AB311="","",VLOOKUP(F311,tnpl!$X$1:$Y$16,2,TRUE))</f>
        <v>4</v>
      </c>
      <c r="H311" t="s">
        <v>3168</v>
      </c>
      <c r="I311">
        <f t="shared" ref="I311:I329" si="94">AD311</f>
        <v>10</v>
      </c>
      <c r="J311" t="s">
        <v>3168</v>
      </c>
      <c r="K311">
        <f t="shared" ref="K311:K329" si="95">AO311</f>
        <v>4</v>
      </c>
      <c r="L311">
        <f t="shared" ref="L311:L329" si="96">AP311</f>
        <v>3</v>
      </c>
      <c r="M311" t="str">
        <f t="shared" si="91"/>
        <v>4/3</v>
      </c>
      <c r="N311" t="s">
        <v>3175</v>
      </c>
      <c r="O311" t="str">
        <f t="shared" ref="O311:O329" si="97">AC311</f>
        <v>アンコモン</v>
      </c>
      <c r="R311" t="s">
        <v>3175</v>
      </c>
      <c r="S311" t="s">
        <v>4750</v>
      </c>
      <c r="T311" t="str">
        <f t="shared" ref="T311:T329" si="98">AE311</f>
        <v>競走路の熱狂者</v>
      </c>
      <c r="U311" t="str">
        <f t="shared" ref="U311:U329" si="99">IF(I311=0,"&gt;","")</f>
        <v/>
      </c>
      <c r="V311" t="str">
        <f>IF(I311=0,VLOOKUP(TAG!T311,Sheet4!A:B,2,TRUE),"")</f>
        <v/>
      </c>
      <c r="W311" t="s">
        <v>4751</v>
      </c>
      <c r="X311" t="s">
        <v>3175</v>
      </c>
      <c r="Z311" s="3">
        <v>929</v>
      </c>
      <c r="AA311" s="2" t="s">
        <v>3937</v>
      </c>
      <c r="AB311" s="1" t="s">
        <v>1552</v>
      </c>
      <c r="AC311" s="1" t="s">
        <v>1451</v>
      </c>
      <c r="AD311" s="1">
        <v>10</v>
      </c>
      <c r="AE311" s="1" t="s">
        <v>648</v>
      </c>
      <c r="AF311" s="1" t="s">
        <v>647</v>
      </c>
      <c r="AG311" s="1" t="s">
        <v>339</v>
      </c>
      <c r="AH311" s="1" t="s">
        <v>1489</v>
      </c>
      <c r="AI311" s="1" t="s">
        <v>3957</v>
      </c>
      <c r="AJ311" s="1"/>
      <c r="AK311" s="1" t="s">
        <v>2755</v>
      </c>
      <c r="AL311" s="1" t="s">
        <v>4091</v>
      </c>
      <c r="AM311" s="1"/>
      <c r="AN311" s="1"/>
      <c r="AO311" s="1">
        <v>4</v>
      </c>
      <c r="AP311" s="1">
        <v>3</v>
      </c>
      <c r="AQ311" s="1" t="s">
        <v>4092</v>
      </c>
    </row>
    <row r="312" spans="1:43" x14ac:dyDescent="0.15">
      <c r="A312" t="str">
        <f t="shared" si="90"/>
        <v>|KLD|緑|7|4/3|アンコモン|《[[ギラプールの案内人]]》|</v>
      </c>
      <c r="B312" t="s">
        <v>3168</v>
      </c>
      <c r="C312" t="str">
        <f t="shared" si="92"/>
        <v>KLD</v>
      </c>
      <c r="D312">
        <f>IF(AA312="","",VLOOKUP(C312,tnpl!$Z$1:$AA$11,2,TRUE))</f>
        <v>6</v>
      </c>
      <c r="E312" t="s">
        <v>3168</v>
      </c>
      <c r="F312" t="str">
        <f t="shared" si="93"/>
        <v>緑</v>
      </c>
      <c r="G312">
        <f>IF(AB312="","",VLOOKUP(F312,tnpl!$X$1:$Y$16,2,TRUE))</f>
        <v>5</v>
      </c>
      <c r="H312" t="s">
        <v>3168</v>
      </c>
      <c r="I312">
        <f t="shared" si="94"/>
        <v>7</v>
      </c>
      <c r="J312" t="s">
        <v>3168</v>
      </c>
      <c r="K312">
        <f t="shared" si="95"/>
        <v>4</v>
      </c>
      <c r="L312">
        <f t="shared" si="96"/>
        <v>3</v>
      </c>
      <c r="M312" t="str">
        <f t="shared" si="91"/>
        <v>4/3</v>
      </c>
      <c r="N312" t="s">
        <v>3175</v>
      </c>
      <c r="O312" t="str">
        <f t="shared" si="97"/>
        <v>アンコモン</v>
      </c>
      <c r="R312" t="s">
        <v>3175</v>
      </c>
      <c r="S312" t="s">
        <v>4750</v>
      </c>
      <c r="T312" t="str">
        <f t="shared" si="98"/>
        <v>ギラプールの案内人</v>
      </c>
      <c r="U312" t="str">
        <f t="shared" si="99"/>
        <v/>
      </c>
      <c r="V312" t="str">
        <f>IF(I312=0,VLOOKUP(TAG!T312,Sheet4!A:B,2,TRUE),"")</f>
        <v/>
      </c>
      <c r="W312" t="s">
        <v>4751</v>
      </c>
      <c r="X312" t="s">
        <v>3175</v>
      </c>
      <c r="Z312" s="3">
        <v>957</v>
      </c>
      <c r="AA312" s="2" t="s">
        <v>3937</v>
      </c>
      <c r="AB312" s="1" t="s">
        <v>1518</v>
      </c>
      <c r="AC312" s="1" t="s">
        <v>1451</v>
      </c>
      <c r="AD312" s="1">
        <v>7</v>
      </c>
      <c r="AE312" s="1" t="s">
        <v>592</v>
      </c>
      <c r="AF312" s="1" t="s">
        <v>591</v>
      </c>
      <c r="AG312" s="1" t="s">
        <v>339</v>
      </c>
      <c r="AH312" s="1" t="s">
        <v>1479</v>
      </c>
      <c r="AI312" s="1" t="s">
        <v>1929</v>
      </c>
      <c r="AJ312" s="1"/>
      <c r="AK312" s="1" t="s">
        <v>4127</v>
      </c>
      <c r="AL312" s="1"/>
      <c r="AM312" s="1"/>
      <c r="AN312" s="1"/>
      <c r="AO312" s="1">
        <v>4</v>
      </c>
      <c r="AP312" s="1">
        <v>3</v>
      </c>
      <c r="AQ312" s="1" t="s">
        <v>4127</v>
      </c>
    </row>
    <row r="313" spans="1:43" x14ac:dyDescent="0.15">
      <c r="A313" t="str">
        <f t="shared" si="90"/>
        <v>|KLD|赤緑|9|4/3|アンコモン|《[[通電の喧嘩屋]]》|</v>
      </c>
      <c r="B313" t="s">
        <v>3168</v>
      </c>
      <c r="C313" t="str">
        <f t="shared" si="92"/>
        <v>KLD</v>
      </c>
      <c r="D313">
        <f>IF(AA313="","",VLOOKUP(C313,tnpl!$Z$1:$AA$11,2,TRUE))</f>
        <v>6</v>
      </c>
      <c r="E313" t="s">
        <v>3168</v>
      </c>
      <c r="F313" t="str">
        <f t="shared" si="93"/>
        <v>赤緑</v>
      </c>
      <c r="G313">
        <f>IF(AB313="","",VLOOKUP(F313,tnpl!$X$1:$Y$16,2,TRUE))</f>
        <v>9</v>
      </c>
      <c r="H313" t="s">
        <v>3168</v>
      </c>
      <c r="I313">
        <f t="shared" si="94"/>
        <v>9</v>
      </c>
      <c r="J313" t="s">
        <v>3168</v>
      </c>
      <c r="K313">
        <f t="shared" si="95"/>
        <v>4</v>
      </c>
      <c r="L313">
        <f t="shared" si="96"/>
        <v>3</v>
      </c>
      <c r="M313" t="str">
        <f t="shared" si="91"/>
        <v>4/3</v>
      </c>
      <c r="N313" t="s">
        <v>3175</v>
      </c>
      <c r="O313" t="str">
        <f t="shared" si="97"/>
        <v>アンコモン</v>
      </c>
      <c r="R313" t="s">
        <v>3175</v>
      </c>
      <c r="S313" t="s">
        <v>4750</v>
      </c>
      <c r="T313" t="str">
        <f t="shared" si="98"/>
        <v>通電の喧嘩屋</v>
      </c>
      <c r="U313" t="str">
        <f t="shared" si="99"/>
        <v/>
      </c>
      <c r="V313" t="str">
        <f>IF(I313=0,VLOOKUP(TAG!T313,Sheet4!A:B,2,TRUE),"")</f>
        <v/>
      </c>
      <c r="W313" t="s">
        <v>4751</v>
      </c>
      <c r="X313" t="s">
        <v>3175</v>
      </c>
      <c r="Z313" s="3">
        <v>977</v>
      </c>
      <c r="AA313" s="2" t="s">
        <v>3937</v>
      </c>
      <c r="AB313" s="1" t="s">
        <v>1482</v>
      </c>
      <c r="AC313" s="1" t="s">
        <v>1451</v>
      </c>
      <c r="AD313" s="1">
        <v>9</v>
      </c>
      <c r="AE313" s="1" t="s">
        <v>554</v>
      </c>
      <c r="AF313" s="1" t="s">
        <v>553</v>
      </c>
      <c r="AG313" s="1" t="s">
        <v>339</v>
      </c>
      <c r="AH313" s="1" t="s">
        <v>1489</v>
      </c>
      <c r="AI313" s="1" t="s">
        <v>1493</v>
      </c>
      <c r="AJ313" s="1"/>
      <c r="AK313" s="1" t="s">
        <v>3940</v>
      </c>
      <c r="AL313" s="1" t="s">
        <v>4162</v>
      </c>
      <c r="AM313" s="1"/>
      <c r="AN313" s="1"/>
      <c r="AO313" s="1">
        <v>4</v>
      </c>
      <c r="AP313" s="1">
        <v>3</v>
      </c>
      <c r="AQ313" s="1" t="s">
        <v>4163</v>
      </c>
    </row>
    <row r="314" spans="1:43" x14ac:dyDescent="0.15">
      <c r="A314" t="str">
        <f t="shared" si="90"/>
        <v>|KLD|無色|12|4/3|アンコモン|《[[捕獲飛行機械]]》|</v>
      </c>
      <c r="B314" t="s">
        <v>3168</v>
      </c>
      <c r="C314" t="str">
        <f t="shared" si="92"/>
        <v>KLD</v>
      </c>
      <c r="D314">
        <f>IF(AA314="","",VLOOKUP(C314,tnpl!$Z$1:$AA$11,2,TRUE))</f>
        <v>6</v>
      </c>
      <c r="E314" t="s">
        <v>3168</v>
      </c>
      <c r="F314" t="str">
        <f t="shared" si="93"/>
        <v>無色</v>
      </c>
      <c r="G314">
        <f>IF(AB314="","",VLOOKUP(F314,tnpl!$X$1:$Y$16,2,TRUE))</f>
        <v>16</v>
      </c>
      <c r="H314" t="s">
        <v>3168</v>
      </c>
      <c r="I314">
        <f t="shared" si="94"/>
        <v>12</v>
      </c>
      <c r="J314" t="s">
        <v>3168</v>
      </c>
      <c r="K314">
        <f t="shared" si="95"/>
        <v>4</v>
      </c>
      <c r="L314">
        <f t="shared" si="96"/>
        <v>3</v>
      </c>
      <c r="M314" t="str">
        <f t="shared" si="91"/>
        <v>4/3</v>
      </c>
      <c r="N314" t="s">
        <v>3175</v>
      </c>
      <c r="O314" t="str">
        <f t="shared" si="97"/>
        <v>アンコモン</v>
      </c>
      <c r="R314" t="s">
        <v>3175</v>
      </c>
      <c r="S314" t="s">
        <v>4750</v>
      </c>
      <c r="T314" t="str">
        <f t="shared" si="98"/>
        <v>捕獲飛行機械</v>
      </c>
      <c r="U314" t="str">
        <f t="shared" si="99"/>
        <v/>
      </c>
      <c r="V314" t="str">
        <f>IF(I314=0,VLOOKUP(TAG!T314,Sheet4!A:B,2,TRUE),"")</f>
        <v/>
      </c>
      <c r="W314" t="s">
        <v>4751</v>
      </c>
      <c r="X314" t="s">
        <v>3175</v>
      </c>
      <c r="Z314" s="3">
        <v>1002</v>
      </c>
      <c r="AA314" s="2" t="s">
        <v>3937</v>
      </c>
      <c r="AB314" s="1" t="s">
        <v>292</v>
      </c>
      <c r="AC314" s="1" t="s">
        <v>1451</v>
      </c>
      <c r="AD314" s="1">
        <v>12</v>
      </c>
      <c r="AE314" s="1" t="s">
        <v>503</v>
      </c>
      <c r="AF314" s="1" t="s">
        <v>502</v>
      </c>
      <c r="AG314" s="1" t="s">
        <v>339</v>
      </c>
      <c r="AH314" s="1" t="s">
        <v>353</v>
      </c>
      <c r="AI314" s="1"/>
      <c r="AJ314" s="1"/>
      <c r="AK314" s="1" t="s">
        <v>3370</v>
      </c>
      <c r="AL314" s="1"/>
      <c r="AM314" s="1"/>
      <c r="AN314" s="1"/>
      <c r="AO314" s="1">
        <v>4</v>
      </c>
      <c r="AP314" s="1">
        <v>3</v>
      </c>
      <c r="AQ314" s="1" t="s">
        <v>3370</v>
      </c>
    </row>
    <row r="315" spans="1:43" x14ac:dyDescent="0.15">
      <c r="A315" t="str">
        <f t="shared" si="90"/>
        <v>|AER|白|8|4/3|アンコモン|《[[飛空士の提督]]》|</v>
      </c>
      <c r="B315" t="s">
        <v>3168</v>
      </c>
      <c r="C315" t="str">
        <f t="shared" si="92"/>
        <v>AER</v>
      </c>
      <c r="D315">
        <f>IF(AA315="","",VLOOKUP(C315,tnpl!$Z$1:$AA$11,2,TRUE))</f>
        <v>7</v>
      </c>
      <c r="E315" t="s">
        <v>3168</v>
      </c>
      <c r="F315" t="str">
        <f t="shared" si="93"/>
        <v>白</v>
      </c>
      <c r="G315">
        <f>IF(AB315="","",VLOOKUP(F315,tnpl!$X$1:$Y$16,2,TRUE))</f>
        <v>1</v>
      </c>
      <c r="H315" t="s">
        <v>3168</v>
      </c>
      <c r="I315">
        <f t="shared" si="94"/>
        <v>8</v>
      </c>
      <c r="J315" t="s">
        <v>3168</v>
      </c>
      <c r="K315">
        <f t="shared" si="95"/>
        <v>4</v>
      </c>
      <c r="L315">
        <f t="shared" si="96"/>
        <v>3</v>
      </c>
      <c r="M315" t="str">
        <f t="shared" si="91"/>
        <v>4/3</v>
      </c>
      <c r="N315" t="s">
        <v>3175</v>
      </c>
      <c r="O315" t="str">
        <f t="shared" si="97"/>
        <v>アンコモン</v>
      </c>
      <c r="R315" t="s">
        <v>3175</v>
      </c>
      <c r="S315" t="s">
        <v>4750</v>
      </c>
      <c r="T315" t="str">
        <f t="shared" si="98"/>
        <v>飛空士の提督</v>
      </c>
      <c r="U315" t="str">
        <f t="shared" si="99"/>
        <v/>
      </c>
      <c r="V315" t="str">
        <f>IF(I315=0,VLOOKUP(TAG!T315,Sheet4!A:B,2,TRUE),"")</f>
        <v/>
      </c>
      <c r="W315" t="s">
        <v>4751</v>
      </c>
      <c r="X315" t="s">
        <v>3175</v>
      </c>
      <c r="Z315" s="3">
        <v>1020</v>
      </c>
      <c r="AA315" s="2" t="s">
        <v>4236</v>
      </c>
      <c r="AB315" s="1" t="s">
        <v>1627</v>
      </c>
      <c r="AC315" s="1" t="s">
        <v>1451</v>
      </c>
      <c r="AD315" s="1">
        <v>8</v>
      </c>
      <c r="AE315" s="1" t="s">
        <v>474</v>
      </c>
      <c r="AF315" s="1" t="s">
        <v>473</v>
      </c>
      <c r="AG315" s="1" t="s">
        <v>339</v>
      </c>
      <c r="AH315" s="1" t="s">
        <v>1489</v>
      </c>
      <c r="AI315" s="1" t="s">
        <v>3957</v>
      </c>
      <c r="AJ315" s="1"/>
      <c r="AK315" s="1" t="s">
        <v>351</v>
      </c>
      <c r="AL315" s="1" t="s">
        <v>4237</v>
      </c>
      <c r="AM315" s="1"/>
      <c r="AN315" s="1"/>
      <c r="AO315" s="1">
        <v>4</v>
      </c>
      <c r="AP315" s="1">
        <v>3</v>
      </c>
      <c r="AQ315" s="1" t="s">
        <v>4238</v>
      </c>
    </row>
    <row r="316" spans="1:43" x14ac:dyDescent="0.15">
      <c r="A316" t="str">
        <f t="shared" si="90"/>
        <v>|AER|白|10|4/3|アンコモン|《[[急降下飛空士]]》|</v>
      </c>
      <c r="B316" t="s">
        <v>3168</v>
      </c>
      <c r="C316" t="str">
        <f t="shared" si="92"/>
        <v>AER</v>
      </c>
      <c r="D316">
        <f>IF(AA316="","",VLOOKUP(C316,tnpl!$Z$1:$AA$11,2,TRUE))</f>
        <v>7</v>
      </c>
      <c r="E316" t="s">
        <v>3168</v>
      </c>
      <c r="F316" t="str">
        <f t="shared" si="93"/>
        <v>白</v>
      </c>
      <c r="G316">
        <f>IF(AB316="","",VLOOKUP(F316,tnpl!$X$1:$Y$16,2,TRUE))</f>
        <v>1</v>
      </c>
      <c r="H316" t="s">
        <v>3168</v>
      </c>
      <c r="I316">
        <f t="shared" si="94"/>
        <v>10</v>
      </c>
      <c r="J316" t="s">
        <v>3168</v>
      </c>
      <c r="K316">
        <f t="shared" si="95"/>
        <v>4</v>
      </c>
      <c r="L316">
        <f t="shared" si="96"/>
        <v>3</v>
      </c>
      <c r="M316" t="str">
        <f t="shared" si="91"/>
        <v>4/3</v>
      </c>
      <c r="N316" t="s">
        <v>3175</v>
      </c>
      <c r="O316" t="str">
        <f t="shared" si="97"/>
        <v>アンコモン</v>
      </c>
      <c r="R316" t="s">
        <v>3175</v>
      </c>
      <c r="S316" t="s">
        <v>4750</v>
      </c>
      <c r="T316" t="str">
        <f t="shared" si="98"/>
        <v>急降下飛空士</v>
      </c>
      <c r="U316" t="str">
        <f t="shared" si="99"/>
        <v/>
      </c>
      <c r="V316" t="str">
        <f>IF(I316=0,VLOOKUP(TAG!T316,Sheet4!A:B,2,TRUE),"")</f>
        <v/>
      </c>
      <c r="W316" t="s">
        <v>4751</v>
      </c>
      <c r="X316" t="s">
        <v>3175</v>
      </c>
      <c r="Z316" s="3">
        <v>1021</v>
      </c>
      <c r="AA316" s="2" t="s">
        <v>4236</v>
      </c>
      <c r="AB316" s="1" t="s">
        <v>1627</v>
      </c>
      <c r="AC316" s="1" t="s">
        <v>1451</v>
      </c>
      <c r="AD316" s="1">
        <v>10</v>
      </c>
      <c r="AE316" s="1" t="s">
        <v>472</v>
      </c>
      <c r="AF316" s="1" t="s">
        <v>471</v>
      </c>
      <c r="AG316" s="1" t="s">
        <v>339</v>
      </c>
      <c r="AH316" s="1" t="s">
        <v>3938</v>
      </c>
      <c r="AI316" s="1" t="s">
        <v>1929</v>
      </c>
      <c r="AJ316" s="1"/>
      <c r="AK316" s="1" t="s">
        <v>351</v>
      </c>
      <c r="AL316" s="1" t="s">
        <v>4131</v>
      </c>
      <c r="AM316" s="1"/>
      <c r="AN316" s="1"/>
      <c r="AO316" s="1">
        <v>4</v>
      </c>
      <c r="AP316" s="1">
        <v>3</v>
      </c>
      <c r="AQ316" s="1" t="s">
        <v>4239</v>
      </c>
    </row>
    <row r="317" spans="1:43" x14ac:dyDescent="0.15">
      <c r="A317" t="str">
        <f t="shared" si="90"/>
        <v>|AER|白|21|4/3|アンコモン|《[[修復専門家]]》|</v>
      </c>
      <c r="B317" t="s">
        <v>3168</v>
      </c>
      <c r="C317" t="str">
        <f t="shared" si="92"/>
        <v>AER</v>
      </c>
      <c r="D317">
        <f>IF(AA317="","",VLOOKUP(C317,tnpl!$Z$1:$AA$11,2,TRUE))</f>
        <v>7</v>
      </c>
      <c r="E317" t="s">
        <v>3168</v>
      </c>
      <c r="F317" t="str">
        <f t="shared" si="93"/>
        <v>白</v>
      </c>
      <c r="G317">
        <f>IF(AB317="","",VLOOKUP(F317,tnpl!$X$1:$Y$16,2,TRUE))</f>
        <v>1</v>
      </c>
      <c r="H317" t="s">
        <v>3168</v>
      </c>
      <c r="I317">
        <f t="shared" si="94"/>
        <v>21</v>
      </c>
      <c r="J317" t="s">
        <v>3168</v>
      </c>
      <c r="K317">
        <f t="shared" si="95"/>
        <v>4</v>
      </c>
      <c r="L317">
        <f t="shared" si="96"/>
        <v>3</v>
      </c>
      <c r="M317" t="str">
        <f t="shared" si="91"/>
        <v>4/3</v>
      </c>
      <c r="N317" t="s">
        <v>3175</v>
      </c>
      <c r="O317" t="str">
        <f t="shared" si="97"/>
        <v>アンコモン</v>
      </c>
      <c r="R317" t="s">
        <v>3175</v>
      </c>
      <c r="S317" t="s">
        <v>4750</v>
      </c>
      <c r="T317" t="str">
        <f t="shared" si="98"/>
        <v>修復専門家</v>
      </c>
      <c r="U317" t="str">
        <f t="shared" si="99"/>
        <v/>
      </c>
      <c r="V317" t="str">
        <f>IF(I317=0,VLOOKUP(TAG!T317,Sheet4!A:B,2,TRUE),"")</f>
        <v/>
      </c>
      <c r="W317" t="s">
        <v>4751</v>
      </c>
      <c r="X317" t="s">
        <v>3175</v>
      </c>
      <c r="Z317" s="3">
        <v>1022</v>
      </c>
      <c r="AA317" s="2" t="s">
        <v>4236</v>
      </c>
      <c r="AB317" s="1" t="s">
        <v>1627</v>
      </c>
      <c r="AC317" s="1" t="s">
        <v>1451</v>
      </c>
      <c r="AD317" s="1">
        <v>21</v>
      </c>
      <c r="AE317" s="1" t="s">
        <v>470</v>
      </c>
      <c r="AF317" s="1" t="s">
        <v>469</v>
      </c>
      <c r="AG317" s="1" t="s">
        <v>339</v>
      </c>
      <c r="AH317" s="1" t="s">
        <v>3938</v>
      </c>
      <c r="AI317" s="1" t="s">
        <v>1641</v>
      </c>
      <c r="AJ317" s="1"/>
      <c r="AK317" s="1" t="s">
        <v>4240</v>
      </c>
      <c r="AL317" s="1"/>
      <c r="AM317" s="1"/>
      <c r="AN317" s="1"/>
      <c r="AO317" s="1">
        <v>4</v>
      </c>
      <c r="AP317" s="1">
        <v>3</v>
      </c>
      <c r="AQ317" s="1" t="s">
        <v>4240</v>
      </c>
    </row>
    <row r="318" spans="1:43" x14ac:dyDescent="0.15">
      <c r="A318" t="str">
        <f t="shared" si="90"/>
        <v>|AER|青|7|4/3|アンコモン|《[[風友会の強襲者]]》|</v>
      </c>
      <c r="B318" t="s">
        <v>3168</v>
      </c>
      <c r="C318" t="str">
        <f t="shared" si="92"/>
        <v>AER</v>
      </c>
      <c r="D318">
        <f>IF(AA318="","",VLOOKUP(C318,tnpl!$Z$1:$AA$11,2,TRUE))</f>
        <v>7</v>
      </c>
      <c r="E318" t="s">
        <v>3168</v>
      </c>
      <c r="F318" t="str">
        <f t="shared" si="93"/>
        <v>青</v>
      </c>
      <c r="G318">
        <f>IF(AB318="","",VLOOKUP(F318,tnpl!$X$1:$Y$16,2,TRUE))</f>
        <v>2</v>
      </c>
      <c r="H318" t="s">
        <v>3168</v>
      </c>
      <c r="I318">
        <f t="shared" si="94"/>
        <v>7</v>
      </c>
      <c r="J318" t="s">
        <v>3168</v>
      </c>
      <c r="K318">
        <f t="shared" si="95"/>
        <v>4</v>
      </c>
      <c r="L318">
        <f t="shared" si="96"/>
        <v>3</v>
      </c>
      <c r="M318" t="str">
        <f t="shared" si="91"/>
        <v>4/3</v>
      </c>
      <c r="N318" t="s">
        <v>3175</v>
      </c>
      <c r="O318" t="str">
        <f t="shared" si="97"/>
        <v>アンコモン</v>
      </c>
      <c r="R318" t="s">
        <v>3175</v>
      </c>
      <c r="S318" t="s">
        <v>4750</v>
      </c>
      <c r="T318" t="str">
        <f t="shared" si="98"/>
        <v>風友会の強襲者</v>
      </c>
      <c r="U318" t="str">
        <f t="shared" si="99"/>
        <v/>
      </c>
      <c r="V318" t="str">
        <f>IF(I318=0,VLOOKUP(TAG!T318,Sheet4!A:B,2,TRUE),"")</f>
        <v/>
      </c>
      <c r="W318" t="s">
        <v>4751</v>
      </c>
      <c r="X318" t="s">
        <v>3175</v>
      </c>
      <c r="Z318" s="3">
        <v>1031</v>
      </c>
      <c r="AA318" s="2" t="s">
        <v>4236</v>
      </c>
      <c r="AB318" s="1" t="s">
        <v>1606</v>
      </c>
      <c r="AC318" s="1" t="s">
        <v>1451</v>
      </c>
      <c r="AD318" s="1">
        <v>7</v>
      </c>
      <c r="AE318" s="1" t="s">
        <v>452</v>
      </c>
      <c r="AF318" s="1" t="s">
        <v>451</v>
      </c>
      <c r="AG318" s="1" t="s">
        <v>339</v>
      </c>
      <c r="AH318" s="1" t="s">
        <v>1489</v>
      </c>
      <c r="AI318" s="1" t="s">
        <v>1641</v>
      </c>
      <c r="AJ318" s="1"/>
      <c r="AK318" s="1" t="s">
        <v>351</v>
      </c>
      <c r="AL318" s="1"/>
      <c r="AM318" s="1"/>
      <c r="AN318" s="1"/>
      <c r="AO318" s="1">
        <v>4</v>
      </c>
      <c r="AP318" s="1">
        <v>3</v>
      </c>
      <c r="AQ318" s="1" t="s">
        <v>351</v>
      </c>
    </row>
    <row r="319" spans="1:43" x14ac:dyDescent="0.15">
      <c r="A319" t="str">
        <f t="shared" si="90"/>
        <v>|AER|緑|13|4/3|アンコモン|《[[ピーマの霊気予見者]]》|</v>
      </c>
      <c r="B319" t="s">
        <v>3168</v>
      </c>
      <c r="C319" t="str">
        <f t="shared" si="92"/>
        <v>AER</v>
      </c>
      <c r="D319">
        <f>IF(AA319="","",VLOOKUP(C319,tnpl!$Z$1:$AA$11,2,TRUE))</f>
        <v>7</v>
      </c>
      <c r="E319" t="s">
        <v>3168</v>
      </c>
      <c r="F319" t="str">
        <f t="shared" si="93"/>
        <v>緑</v>
      </c>
      <c r="G319">
        <f>IF(AB319="","",VLOOKUP(F319,tnpl!$X$1:$Y$16,2,TRUE))</f>
        <v>5</v>
      </c>
      <c r="H319" t="s">
        <v>3168</v>
      </c>
      <c r="I319">
        <f t="shared" si="94"/>
        <v>13</v>
      </c>
      <c r="J319" t="s">
        <v>3168</v>
      </c>
      <c r="K319">
        <f t="shared" si="95"/>
        <v>4</v>
      </c>
      <c r="L319">
        <f t="shared" si="96"/>
        <v>3</v>
      </c>
      <c r="M319" t="str">
        <f t="shared" si="91"/>
        <v>4/3</v>
      </c>
      <c r="N319" t="s">
        <v>3175</v>
      </c>
      <c r="O319" t="str">
        <f t="shared" si="97"/>
        <v>アンコモン</v>
      </c>
      <c r="R319" t="s">
        <v>3175</v>
      </c>
      <c r="S319" t="s">
        <v>4750</v>
      </c>
      <c r="T319" t="str">
        <f t="shared" si="98"/>
        <v>ピーマの霊気予見者</v>
      </c>
      <c r="U319" t="str">
        <f t="shared" si="99"/>
        <v/>
      </c>
      <c r="V319" t="str">
        <f>IF(I319=0,VLOOKUP(TAG!T319,Sheet4!A:B,2,TRUE),"")</f>
        <v/>
      </c>
      <c r="W319" t="s">
        <v>4751</v>
      </c>
      <c r="X319" t="s">
        <v>3175</v>
      </c>
      <c r="Z319" s="3">
        <v>1058</v>
      </c>
      <c r="AA319" s="2" t="s">
        <v>4236</v>
      </c>
      <c r="AB319" s="1" t="s">
        <v>1518</v>
      </c>
      <c r="AC319" s="1" t="s">
        <v>1451</v>
      </c>
      <c r="AD319" s="1">
        <v>13</v>
      </c>
      <c r="AE319" s="1" t="s">
        <v>399</v>
      </c>
      <c r="AF319" s="1" t="s">
        <v>398</v>
      </c>
      <c r="AG319" s="1" t="s">
        <v>339</v>
      </c>
      <c r="AH319" s="1" t="s">
        <v>1479</v>
      </c>
      <c r="AI319" s="1" t="s">
        <v>1529</v>
      </c>
      <c r="AJ319" s="1"/>
      <c r="AK319" s="1" t="s">
        <v>4296</v>
      </c>
      <c r="AL319" s="1" t="s">
        <v>4297</v>
      </c>
      <c r="AM319" s="1"/>
      <c r="AN319" s="1"/>
      <c r="AO319" s="1">
        <v>4</v>
      </c>
      <c r="AP319" s="1">
        <v>3</v>
      </c>
      <c r="AQ319" s="1" t="s">
        <v>4298</v>
      </c>
    </row>
    <row r="320" spans="1:43" x14ac:dyDescent="0.15">
      <c r="A320" t="str">
        <f t="shared" si="90"/>
        <v>|AER|緑青|11|4/3|アンコモン|《[[ならず者の精製屋]]》|</v>
      </c>
      <c r="B320" t="s">
        <v>3168</v>
      </c>
      <c r="C320" t="str">
        <f t="shared" si="92"/>
        <v>AER</v>
      </c>
      <c r="D320">
        <f>IF(AA320="","",VLOOKUP(C320,tnpl!$Z$1:$AA$11,2,TRUE))</f>
        <v>7</v>
      </c>
      <c r="E320" t="s">
        <v>3168</v>
      </c>
      <c r="F320" t="str">
        <f t="shared" si="93"/>
        <v>緑青</v>
      </c>
      <c r="G320">
        <f>IF(AB320="","",VLOOKUP(F320,tnpl!$X$1:$Y$16,2,TRUE))</f>
        <v>15</v>
      </c>
      <c r="H320" t="s">
        <v>3168</v>
      </c>
      <c r="I320">
        <f t="shared" si="94"/>
        <v>11</v>
      </c>
      <c r="J320" t="s">
        <v>3168</v>
      </c>
      <c r="K320">
        <f t="shared" si="95"/>
        <v>4</v>
      </c>
      <c r="L320">
        <f t="shared" si="96"/>
        <v>3</v>
      </c>
      <c r="M320" t="str">
        <f t="shared" si="91"/>
        <v>4/3</v>
      </c>
      <c r="N320" t="s">
        <v>3175</v>
      </c>
      <c r="O320" t="str">
        <f t="shared" si="97"/>
        <v>アンコモン</v>
      </c>
      <c r="R320" t="s">
        <v>3175</v>
      </c>
      <c r="S320" t="s">
        <v>4750</v>
      </c>
      <c r="T320" t="str">
        <f t="shared" si="98"/>
        <v>ならず者の精製屋</v>
      </c>
      <c r="U320" t="str">
        <f t="shared" si="99"/>
        <v/>
      </c>
      <c r="V320" t="str">
        <f>IF(I320=0,VLOOKUP(TAG!T320,Sheet4!A:B,2,TRUE),"")</f>
        <v/>
      </c>
      <c r="W320" t="s">
        <v>4751</v>
      </c>
      <c r="X320" t="s">
        <v>3175</v>
      </c>
      <c r="Z320" s="3">
        <v>1066</v>
      </c>
      <c r="AA320" s="2" t="s">
        <v>4236</v>
      </c>
      <c r="AB320" s="1" t="s">
        <v>1772</v>
      </c>
      <c r="AC320" s="1" t="s">
        <v>1451</v>
      </c>
      <c r="AD320" s="1">
        <v>11</v>
      </c>
      <c r="AE320" s="1" t="s">
        <v>383</v>
      </c>
      <c r="AF320" s="1" t="s">
        <v>382</v>
      </c>
      <c r="AG320" s="1" t="s">
        <v>339</v>
      </c>
      <c r="AH320" s="1" t="s">
        <v>1489</v>
      </c>
      <c r="AI320" s="1" t="s">
        <v>2938</v>
      </c>
      <c r="AJ320" s="1"/>
      <c r="AK320" s="1" t="s">
        <v>4311</v>
      </c>
      <c r="AL320" s="1"/>
      <c r="AM320" s="1"/>
      <c r="AN320" s="1"/>
      <c r="AO320" s="1">
        <v>4</v>
      </c>
      <c r="AP320" s="1">
        <v>3</v>
      </c>
      <c r="AQ320" s="1" t="s">
        <v>4311</v>
      </c>
    </row>
    <row r="321" spans="1:43" x14ac:dyDescent="0.15">
      <c r="A321" t="str">
        <f t="shared" si="90"/>
        <v>|AKH|白|11|4/3|アンコモン|《[[献身的な門友]]》|</v>
      </c>
      <c r="B321" t="s">
        <v>3168</v>
      </c>
      <c r="C321" t="str">
        <f t="shared" si="92"/>
        <v>AKH</v>
      </c>
      <c r="D321">
        <f>IF(AA321="","",VLOOKUP(C321,tnpl!$Z$1:$AA$11,2,TRUE))</f>
        <v>10</v>
      </c>
      <c r="E321" t="s">
        <v>3168</v>
      </c>
      <c r="F321" t="str">
        <f t="shared" si="93"/>
        <v>白</v>
      </c>
      <c r="G321">
        <f>IF(AB321="","",VLOOKUP(F321,tnpl!$X$1:$Y$16,2,TRUE))</f>
        <v>1</v>
      </c>
      <c r="H321" t="s">
        <v>3168</v>
      </c>
      <c r="I321">
        <f t="shared" si="94"/>
        <v>11</v>
      </c>
      <c r="J321" t="s">
        <v>3168</v>
      </c>
      <c r="K321">
        <f t="shared" si="95"/>
        <v>4</v>
      </c>
      <c r="L321">
        <f t="shared" si="96"/>
        <v>3</v>
      </c>
      <c r="M321" t="str">
        <f t="shared" si="91"/>
        <v>4/3</v>
      </c>
      <c r="N321" t="s">
        <v>3175</v>
      </c>
      <c r="O321" t="str">
        <f t="shared" si="97"/>
        <v>アンコモン</v>
      </c>
      <c r="R321" t="s">
        <v>3175</v>
      </c>
      <c r="S321" t="s">
        <v>4750</v>
      </c>
      <c r="T321" t="str">
        <f t="shared" si="98"/>
        <v>献身的な門友</v>
      </c>
      <c r="U321" t="str">
        <f t="shared" si="99"/>
        <v/>
      </c>
      <c r="V321" t="str">
        <f>IF(I321=0,VLOOKUP(TAG!T321,Sheet4!A:B,2,TRUE),"")</f>
        <v/>
      </c>
      <c r="W321" t="s">
        <v>4751</v>
      </c>
      <c r="X321" t="s">
        <v>3175</v>
      </c>
      <c r="Z321" s="3">
        <v>1115</v>
      </c>
      <c r="AA321" s="2" t="s">
        <v>4349</v>
      </c>
      <c r="AB321" s="1" t="s">
        <v>1627</v>
      </c>
      <c r="AC321" s="1" t="s">
        <v>1451</v>
      </c>
      <c r="AD321" s="1">
        <v>11</v>
      </c>
      <c r="AE321" s="1" t="s">
        <v>261</v>
      </c>
      <c r="AF321" s="1" t="s">
        <v>260</v>
      </c>
      <c r="AG321" s="1" t="s">
        <v>339</v>
      </c>
      <c r="AH321" s="1" t="s">
        <v>1489</v>
      </c>
      <c r="AI321" s="1" t="s">
        <v>1493</v>
      </c>
      <c r="AJ321" s="1"/>
      <c r="AK321" s="1" t="s">
        <v>4372</v>
      </c>
      <c r="AL321" s="1"/>
      <c r="AM321" s="1"/>
      <c r="AN321" s="1"/>
      <c r="AO321" s="1">
        <v>4</v>
      </c>
      <c r="AP321" s="1">
        <v>3</v>
      </c>
      <c r="AQ321" s="1" t="s">
        <v>4372</v>
      </c>
    </row>
    <row r="322" spans="1:43" x14ac:dyDescent="0.15">
      <c r="A322" t="str">
        <f t="shared" si="90"/>
        <v>|AKH|黒|15|4/3|アンコモン|《[[ホネツツキ]]》|</v>
      </c>
      <c r="B322" t="s">
        <v>3168</v>
      </c>
      <c r="C322" t="str">
        <f t="shared" si="92"/>
        <v>AKH</v>
      </c>
      <c r="D322">
        <f>IF(AA322="","",VLOOKUP(C322,tnpl!$Z$1:$AA$11,2,TRUE))</f>
        <v>10</v>
      </c>
      <c r="E322" t="s">
        <v>3168</v>
      </c>
      <c r="F322" t="str">
        <f t="shared" si="93"/>
        <v>黒</v>
      </c>
      <c r="G322">
        <f>IF(AB322="","",VLOOKUP(F322,tnpl!$X$1:$Y$16,2,TRUE))</f>
        <v>3</v>
      </c>
      <c r="H322" t="s">
        <v>3168</v>
      </c>
      <c r="I322">
        <f t="shared" si="94"/>
        <v>15</v>
      </c>
      <c r="J322" t="s">
        <v>3168</v>
      </c>
      <c r="K322">
        <f t="shared" si="95"/>
        <v>4</v>
      </c>
      <c r="L322">
        <f t="shared" si="96"/>
        <v>3</v>
      </c>
      <c r="M322" t="str">
        <f t="shared" si="91"/>
        <v>4/3</v>
      </c>
      <c r="N322" t="s">
        <v>3175</v>
      </c>
      <c r="O322" t="str">
        <f t="shared" si="97"/>
        <v>アンコモン</v>
      </c>
      <c r="R322" t="s">
        <v>3175</v>
      </c>
      <c r="S322" t="s">
        <v>4750</v>
      </c>
      <c r="T322" t="str">
        <f t="shared" si="98"/>
        <v>ホネツツキ</v>
      </c>
      <c r="U322" t="str">
        <f t="shared" si="99"/>
        <v/>
      </c>
      <c r="V322" t="str">
        <f>IF(I322=0,VLOOKUP(TAG!T322,Sheet4!A:B,2,TRUE),"")</f>
        <v/>
      </c>
      <c r="W322" t="s">
        <v>4751</v>
      </c>
      <c r="X322" t="s">
        <v>3175</v>
      </c>
      <c r="Z322" s="3">
        <v>1163</v>
      </c>
      <c r="AA322" s="2" t="s">
        <v>4349</v>
      </c>
      <c r="AB322" s="1" t="s">
        <v>1582</v>
      </c>
      <c r="AC322" s="1" t="s">
        <v>1451</v>
      </c>
      <c r="AD322" s="1">
        <v>15</v>
      </c>
      <c r="AE322" s="1" t="s">
        <v>170</v>
      </c>
      <c r="AF322" s="1" t="s">
        <v>169</v>
      </c>
      <c r="AG322" s="1" t="s">
        <v>339</v>
      </c>
      <c r="AH322" s="1" t="s">
        <v>2948</v>
      </c>
      <c r="AI322" s="1"/>
      <c r="AJ322" s="1"/>
      <c r="AK322" s="1" t="s">
        <v>3348</v>
      </c>
      <c r="AL322" s="1" t="s">
        <v>4469</v>
      </c>
      <c r="AM322" s="1"/>
      <c r="AN322" s="1"/>
      <c r="AO322" s="1">
        <v>4</v>
      </c>
      <c r="AP322" s="1">
        <v>3</v>
      </c>
      <c r="AQ322" s="1" t="s">
        <v>4470</v>
      </c>
    </row>
    <row r="323" spans="1:43" x14ac:dyDescent="0.15">
      <c r="A323" t="str">
        <f t="shared" si="90"/>
        <v>|AKH|黒|15|4/3|レア|《[[戦慄の放浪者]]》|</v>
      </c>
      <c r="B323" t="s">
        <v>3168</v>
      </c>
      <c r="C323" t="str">
        <f t="shared" si="92"/>
        <v>AKH</v>
      </c>
      <c r="D323">
        <f>IF(AA323="","",VLOOKUP(C323,tnpl!$Z$1:$AA$11,2,TRUE))</f>
        <v>10</v>
      </c>
      <c r="E323" t="s">
        <v>3168</v>
      </c>
      <c r="F323" t="str">
        <f t="shared" si="93"/>
        <v>黒</v>
      </c>
      <c r="G323">
        <f>IF(AB323="","",VLOOKUP(F323,tnpl!$X$1:$Y$16,2,TRUE))</f>
        <v>3</v>
      </c>
      <c r="H323" t="s">
        <v>3168</v>
      </c>
      <c r="I323">
        <f t="shared" si="94"/>
        <v>15</v>
      </c>
      <c r="J323" t="s">
        <v>3168</v>
      </c>
      <c r="K323">
        <f t="shared" si="95"/>
        <v>4</v>
      </c>
      <c r="L323">
        <f t="shared" si="96"/>
        <v>3</v>
      </c>
      <c r="M323" t="str">
        <f t="shared" si="91"/>
        <v>4/3</v>
      </c>
      <c r="N323" t="s">
        <v>3175</v>
      </c>
      <c r="O323" t="str">
        <f t="shared" si="97"/>
        <v>レア</v>
      </c>
      <c r="R323" t="s">
        <v>3175</v>
      </c>
      <c r="S323" t="s">
        <v>4750</v>
      </c>
      <c r="T323" t="str">
        <f t="shared" si="98"/>
        <v>戦慄の放浪者</v>
      </c>
      <c r="U323" t="str">
        <f t="shared" si="99"/>
        <v/>
      </c>
      <c r="V323" t="str">
        <f>IF(I323=0,VLOOKUP(TAG!T323,Sheet4!A:B,2,TRUE),"")</f>
        <v/>
      </c>
      <c r="W323" t="s">
        <v>4751</v>
      </c>
      <c r="X323" t="s">
        <v>3175</v>
      </c>
      <c r="Z323" s="3">
        <v>1171</v>
      </c>
      <c r="AA323" s="2" t="s">
        <v>4349</v>
      </c>
      <c r="AB323" s="1" t="s">
        <v>1582</v>
      </c>
      <c r="AC323" s="1" t="s">
        <v>1441</v>
      </c>
      <c r="AD323" s="1">
        <v>15</v>
      </c>
      <c r="AE323" s="1" t="s">
        <v>155</v>
      </c>
      <c r="AF323" s="1" t="s">
        <v>154</v>
      </c>
      <c r="AG323" s="1" t="s">
        <v>339</v>
      </c>
      <c r="AH323" s="1" t="s">
        <v>1484</v>
      </c>
      <c r="AI323" s="1" t="s">
        <v>4454</v>
      </c>
      <c r="AJ323" s="1"/>
      <c r="AK323" s="1" t="s">
        <v>2595</v>
      </c>
      <c r="AL323" s="1" t="s">
        <v>4485</v>
      </c>
      <c r="AM323" s="1" t="s">
        <v>4486</v>
      </c>
      <c r="AN323" s="1"/>
      <c r="AO323" s="1">
        <v>4</v>
      </c>
      <c r="AP323" s="1">
        <v>3</v>
      </c>
      <c r="AQ323" s="1" t="s">
        <v>4487</v>
      </c>
    </row>
    <row r="324" spans="1:43" x14ac:dyDescent="0.15">
      <c r="A324" t="str">
        <f t="shared" si="90"/>
        <v>|AKH|赤|9|4/3|コモン|《[[砂漠セロドン]]》|</v>
      </c>
      <c r="B324" t="s">
        <v>3168</v>
      </c>
      <c r="C324" t="str">
        <f t="shared" si="92"/>
        <v>AKH</v>
      </c>
      <c r="D324">
        <f>IF(AA324="","",VLOOKUP(C324,tnpl!$Z$1:$AA$11,2,TRUE))</f>
        <v>10</v>
      </c>
      <c r="E324" t="s">
        <v>3168</v>
      </c>
      <c r="F324" t="str">
        <f t="shared" si="93"/>
        <v>赤</v>
      </c>
      <c r="G324">
        <f>IF(AB324="","",VLOOKUP(F324,tnpl!$X$1:$Y$16,2,TRUE))</f>
        <v>4</v>
      </c>
      <c r="H324" t="s">
        <v>3168</v>
      </c>
      <c r="I324">
        <f t="shared" si="94"/>
        <v>9</v>
      </c>
      <c r="J324" t="s">
        <v>3168</v>
      </c>
      <c r="K324">
        <f t="shared" si="95"/>
        <v>4</v>
      </c>
      <c r="L324">
        <f t="shared" si="96"/>
        <v>3</v>
      </c>
      <c r="M324" t="str">
        <f t="shared" si="91"/>
        <v>4/3</v>
      </c>
      <c r="N324" t="s">
        <v>3175</v>
      </c>
      <c r="O324" t="str">
        <f t="shared" si="97"/>
        <v>コモン</v>
      </c>
      <c r="R324" t="s">
        <v>3175</v>
      </c>
      <c r="S324" t="s">
        <v>4750</v>
      </c>
      <c r="T324" t="str">
        <f t="shared" si="98"/>
        <v>砂漠セロドン</v>
      </c>
      <c r="U324" t="str">
        <f t="shared" si="99"/>
        <v/>
      </c>
      <c r="V324" t="str">
        <f>IF(I324=0,VLOOKUP(TAG!T324,Sheet4!A:B,2,TRUE),"")</f>
        <v/>
      </c>
      <c r="W324" t="s">
        <v>4751</v>
      </c>
      <c r="X324" t="s">
        <v>3175</v>
      </c>
      <c r="Z324" s="3">
        <v>1176</v>
      </c>
      <c r="AA324" s="2" t="s">
        <v>4349</v>
      </c>
      <c r="AB324" s="1" t="s">
        <v>1552</v>
      </c>
      <c r="AC324" s="1" t="s">
        <v>1744</v>
      </c>
      <c r="AD324" s="1">
        <v>9</v>
      </c>
      <c r="AE324" s="1" t="s">
        <v>147</v>
      </c>
      <c r="AF324" s="1" t="s">
        <v>146</v>
      </c>
      <c r="AG324" s="1" t="s">
        <v>339</v>
      </c>
      <c r="AH324" s="1" t="s">
        <v>357</v>
      </c>
      <c r="AI324" s="1"/>
      <c r="AJ324" s="1"/>
      <c r="AK324" s="1" t="s">
        <v>4362</v>
      </c>
      <c r="AL324" s="1"/>
      <c r="AM324" s="1"/>
      <c r="AN324" s="1"/>
      <c r="AO324" s="1">
        <v>4</v>
      </c>
      <c r="AP324" s="1">
        <v>3</v>
      </c>
      <c r="AQ324" s="1" t="s">
        <v>4362</v>
      </c>
    </row>
    <row r="325" spans="1:43" x14ac:dyDescent="0.15">
      <c r="A325" t="str">
        <f t="shared" si="90"/>
        <v>|AKH|赤|9|4/3|アンコモン|《[[アン一門の壊し屋]]》|</v>
      </c>
      <c r="B325" t="s">
        <v>3168</v>
      </c>
      <c r="C325" t="str">
        <f t="shared" si="92"/>
        <v>AKH</v>
      </c>
      <c r="D325">
        <f>IF(AA325="","",VLOOKUP(C325,tnpl!$Z$1:$AA$11,2,TRUE))</f>
        <v>10</v>
      </c>
      <c r="E325" t="s">
        <v>3168</v>
      </c>
      <c r="F325" t="str">
        <f t="shared" si="93"/>
        <v>赤</v>
      </c>
      <c r="G325">
        <f>IF(AB325="","",VLOOKUP(F325,tnpl!$X$1:$Y$16,2,TRUE))</f>
        <v>4</v>
      </c>
      <c r="H325" t="s">
        <v>3168</v>
      </c>
      <c r="I325">
        <f t="shared" si="94"/>
        <v>9</v>
      </c>
      <c r="J325" t="s">
        <v>3168</v>
      </c>
      <c r="K325">
        <f t="shared" si="95"/>
        <v>4</v>
      </c>
      <c r="L325">
        <f t="shared" si="96"/>
        <v>3</v>
      </c>
      <c r="M325" t="str">
        <f t="shared" si="91"/>
        <v>4/3</v>
      </c>
      <c r="N325" t="s">
        <v>3175</v>
      </c>
      <c r="O325" t="str">
        <f t="shared" si="97"/>
        <v>アンコモン</v>
      </c>
      <c r="R325" t="s">
        <v>3175</v>
      </c>
      <c r="S325" t="s">
        <v>4750</v>
      </c>
      <c r="T325" t="str">
        <f t="shared" si="98"/>
        <v>アン一門の壊し屋</v>
      </c>
      <c r="U325" t="str">
        <f t="shared" si="99"/>
        <v/>
      </c>
      <c r="V325" t="str">
        <f>IF(I325=0,VLOOKUP(TAG!T325,Sheet4!A:B,2,TRUE),"")</f>
        <v/>
      </c>
      <c r="W325" t="s">
        <v>4751</v>
      </c>
      <c r="X325" t="s">
        <v>3175</v>
      </c>
      <c r="Z325" s="3">
        <v>1188</v>
      </c>
      <c r="AA325" s="2" t="s">
        <v>4349</v>
      </c>
      <c r="AB325" s="1" t="s">
        <v>1552</v>
      </c>
      <c r="AC325" s="1" t="s">
        <v>1451</v>
      </c>
      <c r="AD325" s="1">
        <v>9</v>
      </c>
      <c r="AE325" s="1" t="s">
        <v>123</v>
      </c>
      <c r="AF325" s="1" t="s">
        <v>122</v>
      </c>
      <c r="AG325" s="1" t="s">
        <v>339</v>
      </c>
      <c r="AH325" s="1" t="s">
        <v>4456</v>
      </c>
      <c r="AI325" s="1" t="s">
        <v>1493</v>
      </c>
      <c r="AJ325" s="1"/>
      <c r="AK325" s="1" t="s">
        <v>2755</v>
      </c>
      <c r="AL325" s="1" t="s">
        <v>4516</v>
      </c>
      <c r="AM325" s="1"/>
      <c r="AN325" s="1"/>
      <c r="AO325" s="1">
        <v>4</v>
      </c>
      <c r="AP325" s="1">
        <v>3</v>
      </c>
      <c r="AQ325" s="1" t="s">
        <v>4517</v>
      </c>
    </row>
    <row r="326" spans="1:43" x14ac:dyDescent="0.15">
      <c r="A326" t="str">
        <f t="shared" si="90"/>
        <v>|AKH|白|12|4/3|アンコモン|《[[療治の侍臣]]》|</v>
      </c>
      <c r="B326" t="s">
        <v>3168</v>
      </c>
      <c r="C326" t="str">
        <f t="shared" si="92"/>
        <v>AKH</v>
      </c>
      <c r="D326">
        <f>IF(AA326="","",VLOOKUP(C326,tnpl!$Z$1:$AA$11,2,TRUE))</f>
        <v>10</v>
      </c>
      <c r="E326" t="s">
        <v>3168</v>
      </c>
      <c r="F326" t="str">
        <f t="shared" si="93"/>
        <v>白</v>
      </c>
      <c r="G326">
        <f>IF(AB326="","",VLOOKUP(F326,tnpl!$X$1:$Y$16,2,TRUE))</f>
        <v>1</v>
      </c>
      <c r="H326" t="s">
        <v>3168</v>
      </c>
      <c r="I326">
        <f t="shared" si="94"/>
        <v>12</v>
      </c>
      <c r="J326" t="s">
        <v>3168</v>
      </c>
      <c r="K326">
        <f t="shared" si="95"/>
        <v>4</v>
      </c>
      <c r="L326">
        <f t="shared" si="96"/>
        <v>3</v>
      </c>
      <c r="M326" t="str">
        <f t="shared" si="91"/>
        <v>4/3</v>
      </c>
      <c r="N326" t="s">
        <v>3175</v>
      </c>
      <c r="O326" t="str">
        <f t="shared" si="97"/>
        <v>アンコモン</v>
      </c>
      <c r="R326" t="s">
        <v>3175</v>
      </c>
      <c r="S326" t="s">
        <v>4750</v>
      </c>
      <c r="T326" t="str">
        <f t="shared" si="98"/>
        <v>療治の侍臣</v>
      </c>
      <c r="U326" t="str">
        <f t="shared" si="99"/>
        <v/>
      </c>
      <c r="V326" t="str">
        <f>IF(I326=0,VLOOKUP(TAG!T326,Sheet4!A:B,2,TRUE),"")</f>
        <v/>
      </c>
      <c r="W326" t="s">
        <v>4751</v>
      </c>
      <c r="X326" t="s">
        <v>3175</v>
      </c>
      <c r="Z326" s="3">
        <v>1265</v>
      </c>
      <c r="AA326" s="2" t="s">
        <v>4349</v>
      </c>
      <c r="AB326" s="1" t="s">
        <v>1627</v>
      </c>
      <c r="AC326" s="1" t="s">
        <v>1451</v>
      </c>
      <c r="AD326" s="1">
        <v>12</v>
      </c>
      <c r="AE326" s="1" t="s">
        <v>4660</v>
      </c>
      <c r="AF326" s="1" t="s">
        <v>4661</v>
      </c>
      <c r="AG326" s="1" t="s">
        <v>339</v>
      </c>
      <c r="AH326" s="1" t="s">
        <v>1489</v>
      </c>
      <c r="AI326" s="1" t="s">
        <v>1470</v>
      </c>
      <c r="AJ326" s="1"/>
      <c r="AK326" s="1" t="s">
        <v>4662</v>
      </c>
      <c r="AL326" s="1"/>
      <c r="AM326" s="1"/>
      <c r="AN326" s="1"/>
      <c r="AO326" s="1">
        <v>4</v>
      </c>
      <c r="AP326" s="1">
        <v>3</v>
      </c>
      <c r="AQ326" s="1" t="s">
        <v>4662</v>
      </c>
    </row>
    <row r="327" spans="1:43" x14ac:dyDescent="0.15">
      <c r="A327" t="str">
        <f t="shared" si="90"/>
        <v>|AKH|黒|10|4/3|アンコモン|《[[悪意のアムムト]]》|</v>
      </c>
      <c r="B327" t="s">
        <v>3168</v>
      </c>
      <c r="C327" t="str">
        <f t="shared" si="92"/>
        <v>AKH</v>
      </c>
      <c r="D327">
        <f>IF(AA327="","",VLOOKUP(C327,tnpl!$Z$1:$AA$11,2,TRUE))</f>
        <v>10</v>
      </c>
      <c r="E327" t="s">
        <v>3168</v>
      </c>
      <c r="F327" t="str">
        <f t="shared" si="93"/>
        <v>黒</v>
      </c>
      <c r="G327">
        <f>IF(AB327="","",VLOOKUP(F327,tnpl!$X$1:$Y$16,2,TRUE))</f>
        <v>3</v>
      </c>
      <c r="H327" t="s">
        <v>3168</v>
      </c>
      <c r="I327">
        <f t="shared" si="94"/>
        <v>10</v>
      </c>
      <c r="J327" t="s">
        <v>3168</v>
      </c>
      <c r="K327">
        <f t="shared" si="95"/>
        <v>4</v>
      </c>
      <c r="L327">
        <f t="shared" si="96"/>
        <v>3</v>
      </c>
      <c r="M327" t="str">
        <f t="shared" si="91"/>
        <v>4/3</v>
      </c>
      <c r="N327" t="s">
        <v>3175</v>
      </c>
      <c r="O327" t="str">
        <f t="shared" si="97"/>
        <v>アンコモン</v>
      </c>
      <c r="R327" t="s">
        <v>3175</v>
      </c>
      <c r="S327" t="s">
        <v>4750</v>
      </c>
      <c r="T327" t="str">
        <f t="shared" si="98"/>
        <v>悪意のアムムト</v>
      </c>
      <c r="U327" t="str">
        <f t="shared" si="99"/>
        <v/>
      </c>
      <c r="V327" t="str">
        <f>IF(I327=0,VLOOKUP(TAG!T327,Sheet4!A:B,2,TRUE),"")</f>
        <v/>
      </c>
      <c r="W327" t="s">
        <v>4751</v>
      </c>
      <c r="X327" t="s">
        <v>3175</v>
      </c>
      <c r="Z327" s="3">
        <v>1274</v>
      </c>
      <c r="AA327" s="2" t="s">
        <v>4349</v>
      </c>
      <c r="AB327" s="1" t="s">
        <v>1582</v>
      </c>
      <c r="AC327" s="1" t="s">
        <v>1451</v>
      </c>
      <c r="AD327" s="1">
        <v>10</v>
      </c>
      <c r="AE327" s="1" t="s">
        <v>4690</v>
      </c>
      <c r="AF327" s="1" t="s">
        <v>4691</v>
      </c>
      <c r="AG327" s="1" t="s">
        <v>339</v>
      </c>
      <c r="AH327" s="1" t="s">
        <v>4032</v>
      </c>
      <c r="AI327" s="1" t="s">
        <v>2793</v>
      </c>
      <c r="AJ327" s="1"/>
      <c r="AK327" s="1" t="s">
        <v>3109</v>
      </c>
      <c r="AL327" s="1" t="s">
        <v>4585</v>
      </c>
      <c r="AM327" s="1"/>
      <c r="AN327" s="1"/>
      <c r="AO327" s="1">
        <v>4</v>
      </c>
      <c r="AP327" s="1">
        <v>3</v>
      </c>
      <c r="AQ327" s="1" t="s">
        <v>4692</v>
      </c>
    </row>
    <row r="328" spans="1:43" x14ac:dyDescent="0.15">
      <c r="A328" t="str">
        <f t="shared" si="90"/>
        <v>|AKH|赤|8|4/3|アンコモン|《[[血怒りの喧嘩屋]]》|</v>
      </c>
      <c r="B328" t="s">
        <v>3168</v>
      </c>
      <c r="C328" t="str">
        <f t="shared" si="92"/>
        <v>AKH</v>
      </c>
      <c r="D328">
        <f>IF(AA328="","",VLOOKUP(C328,tnpl!$Z$1:$AA$11,2,TRUE))</f>
        <v>10</v>
      </c>
      <c r="E328" t="s">
        <v>3168</v>
      </c>
      <c r="F328" t="str">
        <f t="shared" si="93"/>
        <v>赤</v>
      </c>
      <c r="G328">
        <f>IF(AB328="","",VLOOKUP(F328,tnpl!$X$1:$Y$16,2,TRUE))</f>
        <v>4</v>
      </c>
      <c r="H328" t="s">
        <v>3168</v>
      </c>
      <c r="I328">
        <f t="shared" si="94"/>
        <v>8</v>
      </c>
      <c r="J328" t="s">
        <v>3168</v>
      </c>
      <c r="K328">
        <f t="shared" si="95"/>
        <v>4</v>
      </c>
      <c r="L328">
        <f t="shared" si="96"/>
        <v>3</v>
      </c>
      <c r="M328" t="str">
        <f t="shared" si="91"/>
        <v>4/3</v>
      </c>
      <c r="N328" t="s">
        <v>3175</v>
      </c>
      <c r="O328" t="str">
        <f t="shared" si="97"/>
        <v>アンコモン</v>
      </c>
      <c r="R328" t="s">
        <v>3175</v>
      </c>
      <c r="S328" t="s">
        <v>4750</v>
      </c>
      <c r="T328" t="str">
        <f t="shared" si="98"/>
        <v>血怒りの喧嘩屋</v>
      </c>
      <c r="U328" t="str">
        <f t="shared" si="99"/>
        <v/>
      </c>
      <c r="V328" t="str">
        <f>IF(I328=0,VLOOKUP(TAG!T328,Sheet4!A:B,2,TRUE),"")</f>
        <v/>
      </c>
      <c r="W328" t="s">
        <v>4751</v>
      </c>
      <c r="X328" t="s">
        <v>3175</v>
      </c>
      <c r="Z328" s="3">
        <v>1278</v>
      </c>
      <c r="AA328" s="2" t="s">
        <v>4349</v>
      </c>
      <c r="AB328" s="1" t="s">
        <v>1552</v>
      </c>
      <c r="AC328" s="1" t="s">
        <v>1451</v>
      </c>
      <c r="AD328" s="1">
        <v>8</v>
      </c>
      <c r="AE328" s="1" t="s">
        <v>4704</v>
      </c>
      <c r="AF328" s="1" t="s">
        <v>4705</v>
      </c>
      <c r="AG328" s="1" t="s">
        <v>339</v>
      </c>
      <c r="AH328" s="1" t="s">
        <v>4456</v>
      </c>
      <c r="AI328" s="1" t="s">
        <v>1493</v>
      </c>
      <c r="AJ328" s="1"/>
      <c r="AK328" s="1" t="s">
        <v>4706</v>
      </c>
      <c r="AL328" s="1"/>
      <c r="AM328" s="1"/>
      <c r="AN328" s="1"/>
      <c r="AO328" s="1">
        <v>4</v>
      </c>
      <c r="AP328" s="1">
        <v>3</v>
      </c>
      <c r="AQ328" s="1" t="s">
        <v>4706</v>
      </c>
    </row>
    <row r="329" spans="1:43" x14ac:dyDescent="0.15">
      <c r="A329" t="str">
        <f t="shared" si="90"/>
        <v>|AKH|赤白|12|4/3|アンコモン|《[[名誉ある門長]]》|</v>
      </c>
      <c r="B329" t="s">
        <v>3168</v>
      </c>
      <c r="C329" t="str">
        <f t="shared" si="92"/>
        <v>AKH</v>
      </c>
      <c r="D329">
        <f>IF(AA329="","",VLOOKUP(C329,tnpl!$Z$1:$AA$11,2,TRUE))</f>
        <v>10</v>
      </c>
      <c r="E329" t="s">
        <v>3168</v>
      </c>
      <c r="F329" t="str">
        <f t="shared" si="93"/>
        <v>赤白</v>
      </c>
      <c r="G329">
        <f>IF(AB329="","",VLOOKUP(F329,tnpl!$X$1:$Y$16,2,TRUE))</f>
        <v>14</v>
      </c>
      <c r="H329" t="s">
        <v>3168</v>
      </c>
      <c r="I329">
        <f t="shared" si="94"/>
        <v>12</v>
      </c>
      <c r="J329" t="s">
        <v>3168</v>
      </c>
      <c r="K329">
        <f t="shared" si="95"/>
        <v>4</v>
      </c>
      <c r="L329">
        <f t="shared" si="96"/>
        <v>3</v>
      </c>
      <c r="M329" t="str">
        <f t="shared" si="91"/>
        <v>4/3</v>
      </c>
      <c r="N329" t="s">
        <v>3175</v>
      </c>
      <c r="O329" t="str">
        <f t="shared" si="97"/>
        <v>アンコモン</v>
      </c>
      <c r="R329" t="s">
        <v>3175</v>
      </c>
      <c r="S329" t="s">
        <v>4750</v>
      </c>
      <c r="T329" t="str">
        <f t="shared" si="98"/>
        <v>名誉ある門長</v>
      </c>
      <c r="U329" t="str">
        <f t="shared" si="99"/>
        <v/>
      </c>
      <c r="V329" t="str">
        <f>IF(I329=0,VLOOKUP(TAG!T329,Sheet4!A:B,2,TRUE),"")</f>
        <v/>
      </c>
      <c r="W329" t="s">
        <v>4751</v>
      </c>
      <c r="X329" t="s">
        <v>3175</v>
      </c>
      <c r="Z329" s="3">
        <v>1289</v>
      </c>
      <c r="AA329" s="2" t="s">
        <v>4349</v>
      </c>
      <c r="AB329" s="1" t="s">
        <v>1784</v>
      </c>
      <c r="AC329" s="1" t="s">
        <v>1451</v>
      </c>
      <c r="AD329" s="1">
        <v>12</v>
      </c>
      <c r="AE329" s="1" t="s">
        <v>4738</v>
      </c>
      <c r="AF329" s="1" t="s">
        <v>4739</v>
      </c>
      <c r="AG329" s="1" t="s">
        <v>339</v>
      </c>
      <c r="AH329" s="1" t="s">
        <v>1489</v>
      </c>
      <c r="AI329" s="1" t="s">
        <v>1493</v>
      </c>
      <c r="AJ329" s="1"/>
      <c r="AK329" s="1" t="s">
        <v>2595</v>
      </c>
      <c r="AL329" s="1" t="s">
        <v>4740</v>
      </c>
      <c r="AM329" s="1"/>
      <c r="AN329" s="1"/>
      <c r="AO329" s="1">
        <v>4</v>
      </c>
      <c r="AP329" s="1">
        <v>3</v>
      </c>
      <c r="AQ329" s="1" t="s">
        <v>4741</v>
      </c>
    </row>
    <row r="330" spans="1:43" x14ac:dyDescent="0.15">
      <c r="A330" t="str">
        <f>B330&amp;C330&amp;E330&amp;F330&amp;H330&amp;I330&amp;J330&amp;M330&amp;N330&amp;O330&amp;P330&amp;Q330&amp;R330&amp;S330&amp;T330&amp;V330&amp;W330&amp;X330&amp;Y330</f>
        <v/>
      </c>
    </row>
    <row r="331" spans="1:43" x14ac:dyDescent="0.15">
      <c r="A331" t="str">
        <f>B331&amp;C331&amp;E331&amp;F331&amp;H331&amp;I331&amp;J331&amp;M331&amp;N331&amp;O331&amp;P331&amp;Q331&amp;R331&amp;S331&amp;T331&amp;V331&amp;W331&amp;X331&amp;Y331</f>
        <v>**4/5クリーチャー</v>
      </c>
      <c r="B331" t="s">
        <v>4752</v>
      </c>
      <c r="C331">
        <f>K334</f>
        <v>4</v>
      </c>
      <c r="E331" t="s">
        <v>4816</v>
      </c>
      <c r="F331">
        <f>L334</f>
        <v>5</v>
      </c>
      <c r="I331" t="s">
        <v>339</v>
      </c>
      <c r="V331" t="str">
        <f>IF(I331=0,VLOOKUP(TAG!T331,Sheet4!A:B,2,TRUE),"")</f>
        <v/>
      </c>
    </row>
    <row r="332" spans="1:43" x14ac:dyDescent="0.15">
      <c r="A332" t="str">
        <f t="shared" ref="A332:A342" si="100">B332&amp;C332&amp;E332&amp;F332&amp;H332&amp;I332&amp;J332&amp;M332&amp;N332&amp;O332&amp;P332&amp;Q332&amp;R332&amp;S332&amp;T332&amp;U332&amp;V332&amp;W332&amp;X332&amp;Y332</f>
        <v>|LEFT:50|LEFT:50|LEFT:50|LEFT:120|LEFT:120|LEFT:500|c</v>
      </c>
      <c r="B332" t="s">
        <v>3168</v>
      </c>
      <c r="C332" t="s">
        <v>3162</v>
      </c>
      <c r="E332" t="s">
        <v>3168</v>
      </c>
      <c r="F332" t="s">
        <v>3162</v>
      </c>
      <c r="H332" t="s">
        <v>3168</v>
      </c>
      <c r="I332" t="s">
        <v>3162</v>
      </c>
      <c r="J332" t="s">
        <v>3168</v>
      </c>
      <c r="M332" t="s">
        <v>4808</v>
      </c>
      <c r="N332" t="s">
        <v>3175</v>
      </c>
      <c r="O332" t="s">
        <v>4808</v>
      </c>
      <c r="R332" t="s">
        <v>3175</v>
      </c>
      <c r="T332" t="s">
        <v>3163</v>
      </c>
      <c r="V332" t="str">
        <f>IF(I332=0,VLOOKUP(TAG!T332,Sheet4!A:B,2,TRUE),"")</f>
        <v/>
      </c>
      <c r="X332" t="s">
        <v>3175</v>
      </c>
      <c r="Y332" t="s">
        <v>3164</v>
      </c>
    </row>
    <row r="333" spans="1:43" x14ac:dyDescent="0.15">
      <c r="A333" t="str">
        <f t="shared" si="100"/>
        <v>|セット|色|コスト|P/T|レアリティ|カード名|</v>
      </c>
      <c r="B333" t="s">
        <v>3168</v>
      </c>
      <c r="C333" t="s">
        <v>3169</v>
      </c>
      <c r="E333" t="s">
        <v>3168</v>
      </c>
      <c r="F333" t="s">
        <v>3139</v>
      </c>
      <c r="H333" t="s">
        <v>3168</v>
      </c>
      <c r="I333" t="s">
        <v>3165</v>
      </c>
      <c r="J333" t="s">
        <v>3168</v>
      </c>
      <c r="K333" t="s">
        <v>3126</v>
      </c>
      <c r="L333" t="s">
        <v>3125</v>
      </c>
      <c r="M333" t="str">
        <f t="shared" ref="M333:M342" si="101">K333&amp;"/"&amp;L333</f>
        <v>P/T</v>
      </c>
      <c r="N333" t="s">
        <v>3175</v>
      </c>
      <c r="O333" t="s">
        <v>4809</v>
      </c>
      <c r="R333" t="s">
        <v>3175</v>
      </c>
      <c r="T333" t="s">
        <v>3166</v>
      </c>
      <c r="V333" t="str">
        <f>IF(I333=0,VLOOKUP(TAG!T333,Sheet4!A:B,2,TRUE),"")</f>
        <v/>
      </c>
      <c r="X333" t="s">
        <v>3175</v>
      </c>
      <c r="Z333" s="12"/>
      <c r="AA333" s="12"/>
      <c r="AB333" s="12"/>
      <c r="AC333" s="12"/>
      <c r="AD333" s="12"/>
      <c r="AE333" s="12"/>
      <c r="AF333" s="12"/>
      <c r="AG333" s="12"/>
      <c r="AH333" s="12"/>
      <c r="AI333" s="12"/>
      <c r="AJ333" s="12"/>
      <c r="AK333" s="12"/>
      <c r="AL333" s="12"/>
      <c r="AM333" s="12"/>
      <c r="AN333" s="12"/>
      <c r="AO333" s="12"/>
      <c r="AP333" s="12"/>
      <c r="AQ333" s="12"/>
    </row>
    <row r="334" spans="1:43" x14ac:dyDescent="0.15">
      <c r="A334" t="str">
        <f t="shared" si="100"/>
        <v>|BFZ|緑|17|4/5|神話レア|《[[ムラーサの緑守り]]》|</v>
      </c>
      <c r="B334" t="s">
        <v>3168</v>
      </c>
      <c r="C334" t="str">
        <f t="shared" ref="C334:C342" si="102">AA334</f>
        <v>BFZ</v>
      </c>
      <c r="D334">
        <f>IF(AA334="","",VLOOKUP(C334,tnpl!$Z$1:$AA$11,2,TRUE))</f>
        <v>2</v>
      </c>
      <c r="E334" t="s">
        <v>3168</v>
      </c>
      <c r="F334" t="str">
        <f t="shared" ref="F334:F342" si="103">AB334</f>
        <v>緑</v>
      </c>
      <c r="G334">
        <f>IF(AB334="","",VLOOKUP(F334,tnpl!$X$1:$Y$16,2,TRUE))</f>
        <v>5</v>
      </c>
      <c r="H334" t="s">
        <v>3168</v>
      </c>
      <c r="I334">
        <f t="shared" ref="I334:I342" si="104">AD334</f>
        <v>17</v>
      </c>
      <c r="J334" t="s">
        <v>3168</v>
      </c>
      <c r="K334">
        <f t="shared" ref="K334:K342" si="105">AO334</f>
        <v>4</v>
      </c>
      <c r="L334">
        <f t="shared" ref="L334:L342" si="106">AP334</f>
        <v>5</v>
      </c>
      <c r="M334" t="str">
        <f t="shared" si="101"/>
        <v>4/5</v>
      </c>
      <c r="N334" t="s">
        <v>3175</v>
      </c>
      <c r="O334" t="str">
        <f t="shared" ref="O334:O342" si="107">AC334</f>
        <v>神話レア</v>
      </c>
      <c r="R334" t="s">
        <v>3175</v>
      </c>
      <c r="S334" t="s">
        <v>4750</v>
      </c>
      <c r="T334" t="str">
        <f t="shared" ref="T334:T342" si="108">AE334</f>
        <v>ムラーサの緑守り</v>
      </c>
      <c r="U334" t="str">
        <f t="shared" ref="U334:U342" si="109">IF(I334=0,"&gt;","")</f>
        <v/>
      </c>
      <c r="V334" t="str">
        <f>IF(I334=0,VLOOKUP(TAG!T334,Sheet4!A:B,2,TRUE),"")</f>
        <v/>
      </c>
      <c r="W334" t="s">
        <v>4751</v>
      </c>
      <c r="X334" t="s">
        <v>3175</v>
      </c>
      <c r="Z334" s="3">
        <v>423</v>
      </c>
      <c r="AA334" s="2" t="s">
        <v>3170</v>
      </c>
      <c r="AB334" s="1" t="s">
        <v>1518</v>
      </c>
      <c r="AC334" s="1" t="s">
        <v>1431</v>
      </c>
      <c r="AD334" s="1">
        <v>17</v>
      </c>
      <c r="AE334" s="1" t="s">
        <v>1854</v>
      </c>
      <c r="AF334" s="1" t="s">
        <v>1853</v>
      </c>
      <c r="AG334" s="1" t="s">
        <v>339</v>
      </c>
      <c r="AH334" s="1" t="s">
        <v>1537</v>
      </c>
      <c r="AI334" s="1"/>
      <c r="AJ334" s="1"/>
      <c r="AK334" s="1" t="s">
        <v>1852</v>
      </c>
      <c r="AL334" s="1"/>
      <c r="AM334" s="1"/>
      <c r="AN334" s="1"/>
      <c r="AO334" s="1">
        <v>4</v>
      </c>
      <c r="AP334" s="1">
        <v>5</v>
      </c>
      <c r="AQ334" s="1" t="s">
        <v>1852</v>
      </c>
    </row>
    <row r="335" spans="1:43" x14ac:dyDescent="0.15">
      <c r="A335" t="str">
        <f t="shared" si="100"/>
        <v>|OGW|黒緑|17|4/5|アンコモン|《[[ベイロスの虚身]]》|</v>
      </c>
      <c r="B335" t="s">
        <v>3168</v>
      </c>
      <c r="C335" t="str">
        <f t="shared" si="102"/>
        <v>OGW</v>
      </c>
      <c r="D335">
        <f>IF(AA335="","",VLOOKUP(C335,tnpl!$Z$1:$AA$11,2,TRUE))</f>
        <v>3</v>
      </c>
      <c r="E335" t="s">
        <v>3168</v>
      </c>
      <c r="F335" t="str">
        <f t="shared" si="103"/>
        <v>黒緑</v>
      </c>
      <c r="G335">
        <f>IF(AB335="","",VLOOKUP(F335,tnpl!$X$1:$Y$16,2,TRUE))</f>
        <v>13</v>
      </c>
      <c r="H335" t="s">
        <v>3168</v>
      </c>
      <c r="I335">
        <f t="shared" si="104"/>
        <v>17</v>
      </c>
      <c r="J335" t="s">
        <v>3168</v>
      </c>
      <c r="K335">
        <f t="shared" si="105"/>
        <v>4</v>
      </c>
      <c r="L335">
        <f t="shared" si="106"/>
        <v>5</v>
      </c>
      <c r="M335" t="str">
        <f t="shared" si="101"/>
        <v>4/5</v>
      </c>
      <c r="N335" t="s">
        <v>3175</v>
      </c>
      <c r="O335" t="str">
        <f t="shared" si="107"/>
        <v>アンコモン</v>
      </c>
      <c r="R335" t="s">
        <v>3175</v>
      </c>
      <c r="S335" t="s">
        <v>4750</v>
      </c>
      <c r="T335" t="str">
        <f t="shared" si="108"/>
        <v>ベイロスの虚身</v>
      </c>
      <c r="U335" t="str">
        <f t="shared" si="109"/>
        <v/>
      </c>
      <c r="V335" t="str">
        <f>IF(I335=0,VLOOKUP(TAG!T335,Sheet4!A:B,2,TRUE),"")</f>
        <v/>
      </c>
      <c r="W335" t="s">
        <v>4751</v>
      </c>
      <c r="X335" t="s">
        <v>3175</v>
      </c>
      <c r="Z335" s="3">
        <v>525</v>
      </c>
      <c r="AA335" s="2" t="s">
        <v>3171</v>
      </c>
      <c r="AB335" s="1" t="s">
        <v>1487</v>
      </c>
      <c r="AC335" s="1" t="s">
        <v>1451</v>
      </c>
      <c r="AD335" s="1">
        <v>17</v>
      </c>
      <c r="AE335" s="1" t="s">
        <v>1486</v>
      </c>
      <c r="AF335" s="1" t="s">
        <v>1485</v>
      </c>
      <c r="AG335" s="1" t="s">
        <v>339</v>
      </c>
      <c r="AH335" s="1" t="s">
        <v>1484</v>
      </c>
      <c r="AI335" s="1" t="s">
        <v>357</v>
      </c>
      <c r="AJ335" s="1"/>
      <c r="AK335" s="1" t="s">
        <v>1483</v>
      </c>
      <c r="AL335" s="1"/>
      <c r="AM335" s="1"/>
      <c r="AN335" s="1"/>
      <c r="AO335" s="1">
        <v>4</v>
      </c>
      <c r="AP335" s="1">
        <v>5</v>
      </c>
      <c r="AQ335" s="1" t="s">
        <v>1483</v>
      </c>
    </row>
    <row r="336" spans="1:43" x14ac:dyDescent="0.15">
      <c r="A336" t="str">
        <f t="shared" si="100"/>
        <v>|OGW|青赤|10|4/5|レア|《[[遺跡潜り、ジョリー・エン]]》|</v>
      </c>
      <c r="B336" t="s">
        <v>3168</v>
      </c>
      <c r="C336" t="str">
        <f t="shared" si="102"/>
        <v>OGW</v>
      </c>
      <c r="D336">
        <f>IF(AA336="","",VLOOKUP(C336,tnpl!$Z$1:$AA$11,2,TRUE))</f>
        <v>3</v>
      </c>
      <c r="E336" t="s">
        <v>3168</v>
      </c>
      <c r="F336" t="str">
        <f t="shared" si="103"/>
        <v>青赤</v>
      </c>
      <c r="G336">
        <f>IF(AB336="","",VLOOKUP(F336,tnpl!$X$1:$Y$16,2,TRUE))</f>
        <v>12</v>
      </c>
      <c r="H336" t="s">
        <v>3168</v>
      </c>
      <c r="I336">
        <f t="shared" si="104"/>
        <v>10</v>
      </c>
      <c r="J336" t="s">
        <v>3168</v>
      </c>
      <c r="K336">
        <f t="shared" si="105"/>
        <v>4</v>
      </c>
      <c r="L336">
        <f t="shared" si="106"/>
        <v>5</v>
      </c>
      <c r="M336" t="str">
        <f t="shared" si="101"/>
        <v>4/5</v>
      </c>
      <c r="N336" t="s">
        <v>3175</v>
      </c>
      <c r="O336" t="str">
        <f t="shared" si="107"/>
        <v>レア</v>
      </c>
      <c r="R336" t="s">
        <v>3175</v>
      </c>
      <c r="S336" t="s">
        <v>4750</v>
      </c>
      <c r="T336" t="str">
        <f t="shared" si="108"/>
        <v>遺跡潜り、ジョリー・エン</v>
      </c>
      <c r="U336" t="str">
        <f t="shared" si="109"/>
        <v/>
      </c>
      <c r="V336" t="str">
        <f>IF(I336=0,VLOOKUP(TAG!T336,Sheet4!A:B,2,TRUE),"")</f>
        <v/>
      </c>
      <c r="W336" t="s">
        <v>4751</v>
      </c>
      <c r="X336" t="s">
        <v>3175</v>
      </c>
      <c r="Z336" s="3">
        <v>528</v>
      </c>
      <c r="AA336" s="2" t="s">
        <v>3171</v>
      </c>
      <c r="AB336" s="1" t="s">
        <v>1467</v>
      </c>
      <c r="AC336" s="1" t="s">
        <v>1441</v>
      </c>
      <c r="AD336" s="1">
        <v>10</v>
      </c>
      <c r="AE336" s="1" t="s">
        <v>1466</v>
      </c>
      <c r="AF336" s="1" t="s">
        <v>1465</v>
      </c>
      <c r="AG336" s="1" t="s">
        <v>339</v>
      </c>
      <c r="AH336" s="1" t="s">
        <v>1464</v>
      </c>
      <c r="AI336" s="1" t="s">
        <v>1463</v>
      </c>
      <c r="AJ336" s="1"/>
      <c r="AK336" s="1" t="s">
        <v>1462</v>
      </c>
      <c r="AL336" s="1"/>
      <c r="AM336" s="1"/>
      <c r="AN336" s="1"/>
      <c r="AO336" s="1">
        <v>4</v>
      </c>
      <c r="AP336" s="1">
        <v>5</v>
      </c>
      <c r="AQ336" s="1" t="s">
        <v>1462</v>
      </c>
    </row>
    <row r="337" spans="1:43" x14ac:dyDescent="0.15">
      <c r="A337" t="str">
        <f t="shared" si="100"/>
        <v>|SOI|黒|0|4/5|アンコモン|《[[悪魔憑きの魔女&gt;親切な余所者]]》|</v>
      </c>
      <c r="B337" t="s">
        <v>3168</v>
      </c>
      <c r="C337" t="str">
        <f t="shared" si="102"/>
        <v>SOI</v>
      </c>
      <c r="D337">
        <f>IF(AA337="","",VLOOKUP(C337,tnpl!$Z$1:$AA$11,2,TRUE))</f>
        <v>4</v>
      </c>
      <c r="E337" t="s">
        <v>3168</v>
      </c>
      <c r="F337" t="str">
        <f t="shared" si="103"/>
        <v>黒</v>
      </c>
      <c r="G337">
        <f>IF(AB337="","",VLOOKUP(F337,tnpl!$X$1:$Y$16,2,TRUE))</f>
        <v>3</v>
      </c>
      <c r="H337" t="s">
        <v>3168</v>
      </c>
      <c r="I337">
        <f t="shared" si="104"/>
        <v>0</v>
      </c>
      <c r="J337" t="s">
        <v>3168</v>
      </c>
      <c r="K337">
        <f t="shared" si="105"/>
        <v>4</v>
      </c>
      <c r="L337">
        <f t="shared" si="106"/>
        <v>5</v>
      </c>
      <c r="M337" t="str">
        <f t="shared" si="101"/>
        <v>4/5</v>
      </c>
      <c r="N337" t="s">
        <v>3175</v>
      </c>
      <c r="O337" t="str">
        <f t="shared" si="107"/>
        <v>アンコモン</v>
      </c>
      <c r="R337" t="s">
        <v>3175</v>
      </c>
      <c r="S337" t="s">
        <v>4750</v>
      </c>
      <c r="T337" t="str">
        <f t="shared" si="108"/>
        <v>悪魔憑きの魔女</v>
      </c>
      <c r="U337" t="str">
        <f t="shared" si="109"/>
        <v>&gt;</v>
      </c>
      <c r="V337" t="str">
        <f>IF(I337=0,VLOOKUP(TAG!T337,Sheet4!A:B,2,TRUE),"")</f>
        <v>親切な余所者</v>
      </c>
      <c r="W337" t="s">
        <v>4751</v>
      </c>
      <c r="X337" t="s">
        <v>3175</v>
      </c>
      <c r="Z337" s="3">
        <v>629</v>
      </c>
      <c r="AA337" s="2" t="s">
        <v>3431</v>
      </c>
      <c r="AB337" s="1" t="s">
        <v>1582</v>
      </c>
      <c r="AC337" s="1" t="s">
        <v>1451</v>
      </c>
      <c r="AD337" s="13">
        <v>0</v>
      </c>
      <c r="AE337" s="1" t="s">
        <v>1025</v>
      </c>
      <c r="AF337" s="1" t="s">
        <v>1024</v>
      </c>
      <c r="AG337" s="1" t="s">
        <v>339</v>
      </c>
      <c r="AH337" s="1" t="s">
        <v>1489</v>
      </c>
      <c r="AI337" s="1" t="s">
        <v>1867</v>
      </c>
      <c r="AJ337" s="1"/>
      <c r="AK337" s="1" t="s">
        <v>3576</v>
      </c>
      <c r="AL337" s="1"/>
      <c r="AM337" s="1"/>
      <c r="AN337" s="1"/>
      <c r="AO337" s="1">
        <v>4</v>
      </c>
      <c r="AP337" s="1">
        <v>5</v>
      </c>
      <c r="AQ337" s="1" t="s">
        <v>3576</v>
      </c>
    </row>
    <row r="338" spans="1:43" x14ac:dyDescent="0.15">
      <c r="A338" t="str">
        <f t="shared" si="100"/>
        <v>|EMN|無色|14|4/5|アンコモン|《[[厄介な船沈め]]》|</v>
      </c>
      <c r="B338" t="s">
        <v>3168</v>
      </c>
      <c r="C338" t="str">
        <f t="shared" si="102"/>
        <v>EMN</v>
      </c>
      <c r="D338">
        <f>IF(AA338="","",VLOOKUP(C338,tnpl!$Z$1:$AA$11,2,TRUE))</f>
        <v>5</v>
      </c>
      <c r="E338" t="s">
        <v>3168</v>
      </c>
      <c r="F338" t="str">
        <f t="shared" si="103"/>
        <v>無色</v>
      </c>
      <c r="G338">
        <f>IF(AB338="","",VLOOKUP(F338,tnpl!$X$1:$Y$16,2,TRUE))</f>
        <v>16</v>
      </c>
      <c r="H338" t="s">
        <v>3168</v>
      </c>
      <c r="I338">
        <f t="shared" si="104"/>
        <v>14</v>
      </c>
      <c r="J338" t="s">
        <v>3168</v>
      </c>
      <c r="K338">
        <f t="shared" si="105"/>
        <v>4</v>
      </c>
      <c r="L338">
        <f t="shared" si="106"/>
        <v>5</v>
      </c>
      <c r="M338" t="str">
        <f t="shared" si="101"/>
        <v>4/5</v>
      </c>
      <c r="N338" t="s">
        <v>3175</v>
      </c>
      <c r="O338" t="str">
        <f t="shared" si="107"/>
        <v>アンコモン</v>
      </c>
      <c r="R338" t="s">
        <v>3175</v>
      </c>
      <c r="S338" t="s">
        <v>4750</v>
      </c>
      <c r="T338" t="str">
        <f t="shared" si="108"/>
        <v>厄介な船沈め</v>
      </c>
      <c r="U338" t="str">
        <f t="shared" si="109"/>
        <v/>
      </c>
      <c r="V338" t="str">
        <f>IF(I338=0,VLOOKUP(TAG!T338,Sheet4!A:B,2,TRUE),"")</f>
        <v/>
      </c>
      <c r="W338" t="s">
        <v>4751</v>
      </c>
      <c r="X338" t="s">
        <v>3175</v>
      </c>
      <c r="Z338" s="3">
        <v>830</v>
      </c>
      <c r="AA338" s="2" t="s">
        <v>3773</v>
      </c>
      <c r="AB338" s="1" t="s">
        <v>292</v>
      </c>
      <c r="AC338" s="1" t="s">
        <v>1451</v>
      </c>
      <c r="AD338" s="1">
        <v>14</v>
      </c>
      <c r="AE338" s="1" t="s">
        <v>870</v>
      </c>
      <c r="AF338" s="1" t="s">
        <v>869</v>
      </c>
      <c r="AG338" s="1" t="s">
        <v>339</v>
      </c>
      <c r="AH338" s="1" t="s">
        <v>1435</v>
      </c>
      <c r="AI338" s="1"/>
      <c r="AJ338" s="1"/>
      <c r="AK338" s="1" t="s">
        <v>3916</v>
      </c>
      <c r="AL338" s="1" t="s">
        <v>3925</v>
      </c>
      <c r="AM338" s="1"/>
      <c r="AN338" s="1"/>
      <c r="AO338" s="1">
        <v>4</v>
      </c>
      <c r="AP338" s="1">
        <v>5</v>
      </c>
      <c r="AQ338" s="1" t="s">
        <v>3926</v>
      </c>
    </row>
    <row r="339" spans="1:43" x14ac:dyDescent="0.15">
      <c r="A339" t="str">
        <f t="shared" si="100"/>
        <v>|AER|青|11|4/5|レア|《[[速製職人のスパイ]]》|</v>
      </c>
      <c r="B339" t="s">
        <v>3168</v>
      </c>
      <c r="C339" t="str">
        <f t="shared" si="102"/>
        <v>AER</v>
      </c>
      <c r="D339">
        <f>IF(AA339="","",VLOOKUP(C339,tnpl!$Z$1:$AA$11,2,TRUE))</f>
        <v>7</v>
      </c>
      <c r="E339" t="s">
        <v>3168</v>
      </c>
      <c r="F339" t="str">
        <f t="shared" si="103"/>
        <v>青</v>
      </c>
      <c r="G339">
        <f>IF(AB339="","",VLOOKUP(F339,tnpl!$X$1:$Y$16,2,TRUE))</f>
        <v>2</v>
      </c>
      <c r="H339" t="s">
        <v>3168</v>
      </c>
      <c r="I339">
        <f t="shared" si="104"/>
        <v>11</v>
      </c>
      <c r="J339" t="s">
        <v>3168</v>
      </c>
      <c r="K339">
        <f t="shared" si="105"/>
        <v>4</v>
      </c>
      <c r="L339">
        <f t="shared" si="106"/>
        <v>5</v>
      </c>
      <c r="M339" t="str">
        <f t="shared" si="101"/>
        <v>4/5</v>
      </c>
      <c r="N339" t="s">
        <v>3175</v>
      </c>
      <c r="O339" t="str">
        <f t="shared" si="107"/>
        <v>レア</v>
      </c>
      <c r="R339" t="s">
        <v>3175</v>
      </c>
      <c r="S339" t="s">
        <v>4750</v>
      </c>
      <c r="T339" t="str">
        <f t="shared" si="108"/>
        <v>速製職人のスパイ</v>
      </c>
      <c r="U339" t="str">
        <f t="shared" si="109"/>
        <v/>
      </c>
      <c r="V339" t="str">
        <f>IF(I339=0,VLOOKUP(TAG!T339,Sheet4!A:B,2,TRUE),"")</f>
        <v/>
      </c>
      <c r="W339" t="s">
        <v>4751</v>
      </c>
      <c r="X339" t="s">
        <v>3175</v>
      </c>
      <c r="Z339" s="3">
        <v>1032</v>
      </c>
      <c r="AA339" s="2" t="s">
        <v>4236</v>
      </c>
      <c r="AB339" s="1" t="s">
        <v>1606</v>
      </c>
      <c r="AC339" s="1" t="s">
        <v>1441</v>
      </c>
      <c r="AD339" s="1">
        <v>11</v>
      </c>
      <c r="AE339" s="1" t="s">
        <v>450</v>
      </c>
      <c r="AF339" s="1" t="s">
        <v>449</v>
      </c>
      <c r="AG339" s="1" t="s">
        <v>339</v>
      </c>
      <c r="AH339" s="1" t="s">
        <v>1489</v>
      </c>
      <c r="AI339" s="1" t="s">
        <v>1641</v>
      </c>
      <c r="AJ339" s="1"/>
      <c r="AK339" s="1" t="s">
        <v>4254</v>
      </c>
      <c r="AL339" s="1"/>
      <c r="AM339" s="1"/>
      <c r="AN339" s="1"/>
      <c r="AO339" s="1">
        <v>4</v>
      </c>
      <c r="AP339" s="1">
        <v>5</v>
      </c>
      <c r="AQ339" s="1" t="s">
        <v>4254</v>
      </c>
    </row>
    <row r="340" spans="1:43" x14ac:dyDescent="0.15">
      <c r="A340" t="str">
        <f t="shared" si="100"/>
        <v>|AER|緑|11|4/5|アンコモン|《[[ナーナムの改革派]]》|</v>
      </c>
      <c r="B340" t="s">
        <v>3168</v>
      </c>
      <c r="C340" t="str">
        <f t="shared" si="102"/>
        <v>AER</v>
      </c>
      <c r="D340">
        <f>IF(AA340="","",VLOOKUP(C340,tnpl!$Z$1:$AA$11,2,TRUE))</f>
        <v>7</v>
      </c>
      <c r="E340" t="s">
        <v>3168</v>
      </c>
      <c r="F340" t="str">
        <f t="shared" si="103"/>
        <v>緑</v>
      </c>
      <c r="G340">
        <f>IF(AB340="","",VLOOKUP(F340,tnpl!$X$1:$Y$16,2,TRUE))</f>
        <v>5</v>
      </c>
      <c r="H340" t="s">
        <v>3168</v>
      </c>
      <c r="I340">
        <f t="shared" si="104"/>
        <v>11</v>
      </c>
      <c r="J340" t="s">
        <v>3168</v>
      </c>
      <c r="K340">
        <f t="shared" si="105"/>
        <v>4</v>
      </c>
      <c r="L340">
        <f t="shared" si="106"/>
        <v>5</v>
      </c>
      <c r="M340" t="str">
        <f t="shared" si="101"/>
        <v>4/5</v>
      </c>
      <c r="N340" t="s">
        <v>3175</v>
      </c>
      <c r="O340" t="str">
        <f t="shared" si="107"/>
        <v>アンコモン</v>
      </c>
      <c r="R340" t="s">
        <v>3175</v>
      </c>
      <c r="S340" t="s">
        <v>4750</v>
      </c>
      <c r="T340" t="str">
        <f t="shared" si="108"/>
        <v>ナーナムの改革派</v>
      </c>
      <c r="U340" t="str">
        <f t="shared" si="109"/>
        <v/>
      </c>
      <c r="V340" t="str">
        <f>IF(I340=0,VLOOKUP(TAG!T340,Sheet4!A:B,2,TRUE),"")</f>
        <v/>
      </c>
      <c r="W340" t="s">
        <v>4751</v>
      </c>
      <c r="X340" t="s">
        <v>3175</v>
      </c>
      <c r="Z340" s="3">
        <v>1057</v>
      </c>
      <c r="AA340" s="2" t="s">
        <v>4236</v>
      </c>
      <c r="AB340" s="1" t="s">
        <v>1518</v>
      </c>
      <c r="AC340" s="1" t="s">
        <v>1451</v>
      </c>
      <c r="AD340" s="1">
        <v>11</v>
      </c>
      <c r="AE340" s="1" t="s">
        <v>401</v>
      </c>
      <c r="AF340" s="1" t="s">
        <v>400</v>
      </c>
      <c r="AG340" s="1" t="s">
        <v>339</v>
      </c>
      <c r="AH340" s="1" t="s">
        <v>1479</v>
      </c>
      <c r="AI340" s="1" t="s">
        <v>1493</v>
      </c>
      <c r="AJ340" s="1"/>
      <c r="AK340" s="1" t="s">
        <v>3425</v>
      </c>
      <c r="AL340" s="1"/>
      <c r="AM340" s="1"/>
      <c r="AN340" s="1"/>
      <c r="AO340" s="1">
        <v>4</v>
      </c>
      <c r="AP340" s="1">
        <v>5</v>
      </c>
      <c r="AQ340" s="1" t="s">
        <v>3425</v>
      </c>
    </row>
    <row r="341" spans="1:43" x14ac:dyDescent="0.15">
      <c r="A341" t="str">
        <f t="shared" si="100"/>
        <v>|AKH|黒|5|4/5|コモン|《[[魂刺し]]》|</v>
      </c>
      <c r="B341" t="s">
        <v>3168</v>
      </c>
      <c r="C341" t="str">
        <f t="shared" si="102"/>
        <v>AKH</v>
      </c>
      <c r="D341">
        <f>IF(AA341="","",VLOOKUP(C341,tnpl!$Z$1:$AA$11,2,TRUE))</f>
        <v>10</v>
      </c>
      <c r="E341" t="s">
        <v>3168</v>
      </c>
      <c r="F341" t="str">
        <f t="shared" si="103"/>
        <v>黒</v>
      </c>
      <c r="G341">
        <f>IF(AB341="","",VLOOKUP(F341,tnpl!$X$1:$Y$16,2,TRUE))</f>
        <v>3</v>
      </c>
      <c r="H341" t="s">
        <v>3168</v>
      </c>
      <c r="I341">
        <f t="shared" si="104"/>
        <v>5</v>
      </c>
      <c r="J341" t="s">
        <v>3168</v>
      </c>
      <c r="K341">
        <f t="shared" si="105"/>
        <v>4</v>
      </c>
      <c r="L341">
        <f t="shared" si="106"/>
        <v>5</v>
      </c>
      <c r="M341" t="str">
        <f t="shared" si="101"/>
        <v>4/5</v>
      </c>
      <c r="N341" t="s">
        <v>3175</v>
      </c>
      <c r="O341" t="str">
        <f t="shared" si="107"/>
        <v>コモン</v>
      </c>
      <c r="R341" t="s">
        <v>3175</v>
      </c>
      <c r="S341" t="s">
        <v>4750</v>
      </c>
      <c r="T341" t="str">
        <f t="shared" si="108"/>
        <v>魂刺し</v>
      </c>
      <c r="U341" t="str">
        <f t="shared" si="109"/>
        <v/>
      </c>
      <c r="V341" t="str">
        <f>IF(I341=0,VLOOKUP(TAG!T341,Sheet4!A:B,2,TRUE),"")</f>
        <v/>
      </c>
      <c r="W341" t="s">
        <v>4751</v>
      </c>
      <c r="X341" t="s">
        <v>3175</v>
      </c>
      <c r="Z341" s="3">
        <v>1156</v>
      </c>
      <c r="AA341" s="2" t="s">
        <v>4349</v>
      </c>
      <c r="AB341" s="1" t="s">
        <v>1582</v>
      </c>
      <c r="AC341" s="1" t="s">
        <v>1744</v>
      </c>
      <c r="AD341" s="1">
        <v>5</v>
      </c>
      <c r="AE341" s="1" t="s">
        <v>183</v>
      </c>
      <c r="AF341" s="1" t="s">
        <v>182</v>
      </c>
      <c r="AG341" s="1" t="s">
        <v>339</v>
      </c>
      <c r="AH341" s="1" t="s">
        <v>4458</v>
      </c>
      <c r="AI341" s="1" t="s">
        <v>2793</v>
      </c>
      <c r="AJ341" s="1"/>
      <c r="AK341" s="1" t="s">
        <v>4459</v>
      </c>
      <c r="AL341" s="1"/>
      <c r="AM341" s="1"/>
      <c r="AN341" s="1"/>
      <c r="AO341" s="1">
        <v>4</v>
      </c>
      <c r="AP341" s="1">
        <v>5</v>
      </c>
      <c r="AQ341" s="1" t="s">
        <v>4459</v>
      </c>
    </row>
    <row r="342" spans="1:43" x14ac:dyDescent="0.15">
      <c r="A342" t="str">
        <f t="shared" si="100"/>
        <v>|AKH|黒緑|11|4/5|アンコモン|《[[潰滅甲虫]]》|</v>
      </c>
      <c r="B342" t="s">
        <v>3168</v>
      </c>
      <c r="C342" t="str">
        <f t="shared" si="102"/>
        <v>AKH</v>
      </c>
      <c r="D342">
        <f>IF(AA342="","",VLOOKUP(C342,tnpl!$Z$1:$AA$11,2,TRUE))</f>
        <v>10</v>
      </c>
      <c r="E342" t="s">
        <v>3168</v>
      </c>
      <c r="F342" t="str">
        <f t="shared" si="103"/>
        <v>黒緑</v>
      </c>
      <c r="G342">
        <f>IF(AB342="","",VLOOKUP(F342,tnpl!$X$1:$Y$16,2,TRUE))</f>
        <v>13</v>
      </c>
      <c r="H342" t="s">
        <v>3168</v>
      </c>
      <c r="I342">
        <f t="shared" si="104"/>
        <v>11</v>
      </c>
      <c r="J342" t="s">
        <v>3168</v>
      </c>
      <c r="K342">
        <f t="shared" si="105"/>
        <v>4</v>
      </c>
      <c r="L342">
        <f t="shared" si="106"/>
        <v>5</v>
      </c>
      <c r="M342" t="str">
        <f t="shared" si="101"/>
        <v>4/5</v>
      </c>
      <c r="N342" t="s">
        <v>3175</v>
      </c>
      <c r="O342" t="str">
        <f t="shared" si="107"/>
        <v>アンコモン</v>
      </c>
      <c r="R342" t="s">
        <v>3175</v>
      </c>
      <c r="S342" t="s">
        <v>4750</v>
      </c>
      <c r="T342" t="str">
        <f t="shared" si="108"/>
        <v>潰滅甲虫</v>
      </c>
      <c r="U342" t="str">
        <f t="shared" si="109"/>
        <v/>
      </c>
      <c r="V342" t="str">
        <f>IF(I342=0,VLOOKUP(TAG!T342,Sheet4!A:B,2,TRUE),"")</f>
        <v/>
      </c>
      <c r="W342" t="s">
        <v>4751</v>
      </c>
      <c r="X342" t="s">
        <v>3175</v>
      </c>
      <c r="Z342" s="3">
        <v>1227</v>
      </c>
      <c r="AA342" s="2" t="s">
        <v>4349</v>
      </c>
      <c r="AB342" s="1" t="s">
        <v>1487</v>
      </c>
      <c r="AC342" s="1" t="s">
        <v>1451</v>
      </c>
      <c r="AD342" s="1">
        <v>11</v>
      </c>
      <c r="AE342" s="1" t="s">
        <v>49</v>
      </c>
      <c r="AF342" s="1" t="s">
        <v>48</v>
      </c>
      <c r="AG342" s="1" t="s">
        <v>339</v>
      </c>
      <c r="AH342" s="1" t="s">
        <v>1945</v>
      </c>
      <c r="AI342" s="1"/>
      <c r="AJ342" s="1"/>
      <c r="AK342" s="1" t="s">
        <v>4585</v>
      </c>
      <c r="AL342" s="1" t="s">
        <v>4586</v>
      </c>
      <c r="AM342" s="1"/>
      <c r="AN342" s="1"/>
      <c r="AO342" s="1">
        <v>4</v>
      </c>
      <c r="AP342" s="1">
        <v>5</v>
      </c>
      <c r="AQ342" s="1" t="s">
        <v>4587</v>
      </c>
    </row>
    <row r="343" spans="1:43" x14ac:dyDescent="0.15">
      <c r="A343" t="str">
        <f>B343&amp;C343&amp;E343&amp;F343&amp;H343&amp;I343&amp;J343&amp;M343&amp;N343&amp;O343&amp;P343&amp;Q343&amp;R343&amp;S343&amp;T343&amp;V343&amp;W343&amp;X343&amp;Y343</f>
        <v/>
      </c>
    </row>
    <row r="344" spans="1:43" x14ac:dyDescent="0.15">
      <c r="A344" t="str">
        <f>B344&amp;C344&amp;E344&amp;F344&amp;H344&amp;I344&amp;J344&amp;M344&amp;N344&amp;O344&amp;P344&amp;Q344&amp;R344&amp;S344&amp;T344&amp;V344&amp;W344&amp;X344&amp;Y344</f>
        <v>**4/6以上クリーチャー</v>
      </c>
      <c r="B344" t="s">
        <v>4752</v>
      </c>
      <c r="C344">
        <f>K347</f>
        <v>4</v>
      </c>
      <c r="E344" t="s">
        <v>4816</v>
      </c>
      <c r="F344">
        <f>L347</f>
        <v>6</v>
      </c>
      <c r="H344" t="s">
        <v>4817</v>
      </c>
      <c r="I344" t="s">
        <v>339</v>
      </c>
      <c r="V344" t="str">
        <f>IF(I344=0,VLOOKUP(TAG!T344,Sheet4!A:B,2,TRUE),"")</f>
        <v/>
      </c>
    </row>
    <row r="345" spans="1:43" x14ac:dyDescent="0.15">
      <c r="A345" t="str">
        <f t="shared" ref="A345:A351" si="110">B345&amp;C345&amp;E345&amp;F345&amp;H345&amp;I345&amp;J345&amp;M345&amp;N345&amp;O345&amp;P345&amp;Q345&amp;R345&amp;S345&amp;T345&amp;U345&amp;V345&amp;W345&amp;X345&amp;Y345</f>
        <v>|LEFT:50|LEFT:50|LEFT:50|LEFT:120|LEFT:120|LEFT:500|c</v>
      </c>
      <c r="B345" t="s">
        <v>3168</v>
      </c>
      <c r="C345" t="s">
        <v>3162</v>
      </c>
      <c r="E345" t="s">
        <v>3168</v>
      </c>
      <c r="F345" t="s">
        <v>3162</v>
      </c>
      <c r="H345" t="s">
        <v>3168</v>
      </c>
      <c r="I345" t="s">
        <v>3162</v>
      </c>
      <c r="J345" t="s">
        <v>3168</v>
      </c>
      <c r="M345" t="s">
        <v>4808</v>
      </c>
      <c r="N345" t="s">
        <v>3175</v>
      </c>
      <c r="O345" t="s">
        <v>4808</v>
      </c>
      <c r="R345" t="s">
        <v>3175</v>
      </c>
      <c r="T345" t="s">
        <v>3163</v>
      </c>
      <c r="V345" t="str">
        <f>IF(I345=0,VLOOKUP(TAG!T345,Sheet4!A:B,2,TRUE),"")</f>
        <v/>
      </c>
      <c r="X345" t="s">
        <v>3175</v>
      </c>
      <c r="Y345" t="s">
        <v>3164</v>
      </c>
    </row>
    <row r="346" spans="1:43" x14ac:dyDescent="0.15">
      <c r="A346" t="str">
        <f t="shared" si="110"/>
        <v>|セット|色|コスト|P/T|レアリティ|カード名|</v>
      </c>
      <c r="B346" t="s">
        <v>3168</v>
      </c>
      <c r="C346" t="s">
        <v>3169</v>
      </c>
      <c r="E346" t="s">
        <v>3168</v>
      </c>
      <c r="F346" t="s">
        <v>3139</v>
      </c>
      <c r="H346" t="s">
        <v>3168</v>
      </c>
      <c r="I346" t="s">
        <v>3165</v>
      </c>
      <c r="J346" t="s">
        <v>3168</v>
      </c>
      <c r="K346" t="s">
        <v>3126</v>
      </c>
      <c r="L346" t="s">
        <v>3125</v>
      </c>
      <c r="M346" t="str">
        <f t="shared" ref="M346:M351" si="111">K346&amp;"/"&amp;L346</f>
        <v>P/T</v>
      </c>
      <c r="N346" t="s">
        <v>3175</v>
      </c>
      <c r="O346" t="s">
        <v>4809</v>
      </c>
      <c r="R346" t="s">
        <v>3175</v>
      </c>
      <c r="T346" t="s">
        <v>3166</v>
      </c>
      <c r="V346" t="str">
        <f>IF(I346=0,VLOOKUP(TAG!T346,Sheet4!A:B,2,TRUE),"")</f>
        <v/>
      </c>
      <c r="X346" t="s">
        <v>3175</v>
      </c>
      <c r="Z346" s="12"/>
      <c r="AA346" s="12"/>
      <c r="AB346" s="12"/>
      <c r="AC346" s="12"/>
      <c r="AD346" s="12"/>
      <c r="AE346" s="12"/>
      <c r="AF346" s="12"/>
      <c r="AG346" s="12"/>
      <c r="AH346" s="12"/>
      <c r="AI346" s="12"/>
      <c r="AJ346" s="12"/>
      <c r="AK346" s="12"/>
      <c r="AL346" s="12"/>
      <c r="AM346" s="12"/>
      <c r="AN346" s="12"/>
      <c r="AO346" s="12"/>
      <c r="AP346" s="12"/>
      <c r="AQ346" s="12"/>
    </row>
    <row r="347" spans="1:43" x14ac:dyDescent="0.15">
      <c r="A347" t="str">
        <f t="shared" si="110"/>
        <v>|BFZ|白|8|4/6|神話レア|《[[フェリダーの君主]]》|</v>
      </c>
      <c r="B347" t="s">
        <v>3168</v>
      </c>
      <c r="C347" t="str">
        <f>AA347</f>
        <v>BFZ</v>
      </c>
      <c r="D347">
        <f>IF(AA347="","",VLOOKUP(C347,tnpl!$Z$1:$AA$11,2,TRUE))</f>
        <v>2</v>
      </c>
      <c r="E347" t="s">
        <v>3168</v>
      </c>
      <c r="F347" t="str">
        <f>AB347</f>
        <v>白</v>
      </c>
      <c r="G347">
        <f>IF(AB347="","",VLOOKUP(F347,tnpl!$X$1:$Y$16,2,TRUE))</f>
        <v>1</v>
      </c>
      <c r="H347" t="s">
        <v>3168</v>
      </c>
      <c r="I347">
        <f>AD347</f>
        <v>8</v>
      </c>
      <c r="J347" t="s">
        <v>3168</v>
      </c>
      <c r="K347">
        <f t="shared" ref="K347:L351" si="112">AO347</f>
        <v>4</v>
      </c>
      <c r="L347">
        <f t="shared" si="112"/>
        <v>6</v>
      </c>
      <c r="M347" t="str">
        <f t="shared" si="111"/>
        <v>4/6</v>
      </c>
      <c r="N347" t="s">
        <v>3175</v>
      </c>
      <c r="O347" t="str">
        <f>AC347</f>
        <v>神話レア</v>
      </c>
      <c r="R347" t="s">
        <v>3175</v>
      </c>
      <c r="S347" t="s">
        <v>4750</v>
      </c>
      <c r="T347" t="str">
        <f>AE347</f>
        <v>フェリダーの君主</v>
      </c>
      <c r="U347" t="str">
        <f>IF(I347=0,"&gt;","")</f>
        <v/>
      </c>
      <c r="V347" t="str">
        <f>IF(I347=0,VLOOKUP(TAG!T347,Sheet4!A:B,2,TRUE),"")</f>
        <v/>
      </c>
      <c r="W347" t="s">
        <v>4751</v>
      </c>
      <c r="X347" t="s">
        <v>3175</v>
      </c>
      <c r="Z347" s="3">
        <v>277</v>
      </c>
      <c r="AA347" s="2" t="s">
        <v>3170</v>
      </c>
      <c r="AB347" s="1" t="s">
        <v>1627</v>
      </c>
      <c r="AC347" s="1" t="s">
        <v>1431</v>
      </c>
      <c r="AD347" s="1">
        <v>8</v>
      </c>
      <c r="AE347" s="1" t="s">
        <v>2323</v>
      </c>
      <c r="AF347" s="1" t="s">
        <v>2322</v>
      </c>
      <c r="AG347" s="1" t="s">
        <v>339</v>
      </c>
      <c r="AH347" s="1" t="s">
        <v>1890</v>
      </c>
      <c r="AI347" s="1" t="s">
        <v>357</v>
      </c>
      <c r="AJ347" s="1"/>
      <c r="AK347" s="1" t="s">
        <v>2321</v>
      </c>
      <c r="AL347" s="1"/>
      <c r="AM347" s="1"/>
      <c r="AN347" s="1"/>
      <c r="AO347" s="1">
        <v>4</v>
      </c>
      <c r="AP347" s="1">
        <v>6</v>
      </c>
      <c r="AQ347" s="1" t="s">
        <v>2321</v>
      </c>
    </row>
    <row r="348" spans="1:43" x14ac:dyDescent="0.15">
      <c r="A348" t="str">
        <f t="shared" si="110"/>
        <v>|SOI|緑|0|4/6|アンコモン|《[[ナッターノールズの一匹狼&gt;ナッターノールズの隠遁者]]》|</v>
      </c>
      <c r="B348" t="s">
        <v>3168</v>
      </c>
      <c r="C348" t="str">
        <f>AA348</f>
        <v>SOI</v>
      </c>
      <c r="D348">
        <f>IF(AA348="","",VLOOKUP(C348,tnpl!$Z$1:$AA$11,2,TRUE))</f>
        <v>4</v>
      </c>
      <c r="E348" t="s">
        <v>3168</v>
      </c>
      <c r="F348" t="str">
        <f>AB348</f>
        <v>緑</v>
      </c>
      <c r="G348">
        <f>IF(AB348="","",VLOOKUP(F348,tnpl!$X$1:$Y$16,2,TRUE))</f>
        <v>5</v>
      </c>
      <c r="H348" t="s">
        <v>3168</v>
      </c>
      <c r="I348">
        <f>AD348</f>
        <v>0</v>
      </c>
      <c r="J348" t="s">
        <v>3168</v>
      </c>
      <c r="K348">
        <f t="shared" si="112"/>
        <v>4</v>
      </c>
      <c r="L348">
        <f t="shared" si="112"/>
        <v>6</v>
      </c>
      <c r="M348" t="str">
        <f t="shared" si="111"/>
        <v>4/6</v>
      </c>
      <c r="N348" t="s">
        <v>3175</v>
      </c>
      <c r="O348" t="str">
        <f>AC348</f>
        <v>アンコモン</v>
      </c>
      <c r="R348" t="s">
        <v>3175</v>
      </c>
      <c r="S348" t="s">
        <v>4750</v>
      </c>
      <c r="T348" t="str">
        <f>AE348</f>
        <v>ナッターノールズの一匹狼</v>
      </c>
      <c r="U348" t="str">
        <f>IF(I348=0,"&gt;","")</f>
        <v>&gt;</v>
      </c>
      <c r="V348" t="str">
        <f>IF(I348=0,VLOOKUP(TAG!T348,Sheet4!A:B,2,TRUE),"")</f>
        <v>ナッターノールズの隠遁者</v>
      </c>
      <c r="W348" t="s">
        <v>4751</v>
      </c>
      <c r="X348" t="s">
        <v>3175</v>
      </c>
      <c r="Z348" s="3">
        <v>699</v>
      </c>
      <c r="AA348" s="2" t="s">
        <v>3431</v>
      </c>
      <c r="AB348" s="1" t="s">
        <v>1518</v>
      </c>
      <c r="AC348" s="1" t="s">
        <v>1451</v>
      </c>
      <c r="AD348" s="13">
        <v>0</v>
      </c>
      <c r="AE348" s="1" t="s">
        <v>1003</v>
      </c>
      <c r="AF348" s="1" t="s">
        <v>1002</v>
      </c>
      <c r="AG348" s="1" t="s">
        <v>339</v>
      </c>
      <c r="AH348" s="1" t="s">
        <v>3605</v>
      </c>
      <c r="AI348" s="1"/>
      <c r="AJ348" s="1"/>
      <c r="AK348" s="1" t="s">
        <v>3672</v>
      </c>
      <c r="AL348" s="1" t="s">
        <v>3607</v>
      </c>
      <c r="AM348" s="1"/>
      <c r="AN348" s="1"/>
      <c r="AO348" s="1">
        <v>4</v>
      </c>
      <c r="AP348" s="1">
        <v>6</v>
      </c>
      <c r="AQ348" s="1" t="s">
        <v>3673</v>
      </c>
    </row>
    <row r="349" spans="1:43" x14ac:dyDescent="0.15">
      <c r="A349" t="str">
        <f t="shared" si="110"/>
        <v>|EMN|緑|0|4/6|アンコモン|《[[繊維質の絡み屋&gt;絡み爪の人狼]]》|</v>
      </c>
      <c r="B349" t="s">
        <v>3168</v>
      </c>
      <c r="C349" t="str">
        <f>AA349</f>
        <v>EMN</v>
      </c>
      <c r="D349">
        <f>IF(AA349="","",VLOOKUP(C349,tnpl!$Z$1:$AA$11,2,TRUE))</f>
        <v>5</v>
      </c>
      <c r="E349" t="s">
        <v>3168</v>
      </c>
      <c r="F349" t="str">
        <f>AB349</f>
        <v>緑</v>
      </c>
      <c r="G349">
        <f>IF(AB349="","",VLOOKUP(F349,tnpl!$X$1:$Y$16,2,TRUE))</f>
        <v>5</v>
      </c>
      <c r="H349" t="s">
        <v>3168</v>
      </c>
      <c r="I349">
        <f>AD349</f>
        <v>0</v>
      </c>
      <c r="J349" t="s">
        <v>3168</v>
      </c>
      <c r="K349">
        <f t="shared" si="112"/>
        <v>4</v>
      </c>
      <c r="L349">
        <f t="shared" si="112"/>
        <v>6</v>
      </c>
      <c r="M349" t="str">
        <f t="shared" si="111"/>
        <v>4/6</v>
      </c>
      <c r="N349" t="s">
        <v>3175</v>
      </c>
      <c r="O349" t="str">
        <f>AC349</f>
        <v>アンコモン</v>
      </c>
      <c r="R349" t="s">
        <v>3175</v>
      </c>
      <c r="S349" t="s">
        <v>4750</v>
      </c>
      <c r="T349" t="str">
        <f>AE349</f>
        <v>繊維質の絡み屋</v>
      </c>
      <c r="U349" t="str">
        <f>IF(I349=0,"&gt;","")</f>
        <v>&gt;</v>
      </c>
      <c r="V349" t="str">
        <f>IF(I349=0,VLOOKUP(TAG!T349,Sheet4!A:B,2,TRUE),"")</f>
        <v>絡み爪の人狼</v>
      </c>
      <c r="W349" t="s">
        <v>4751</v>
      </c>
      <c r="X349" t="s">
        <v>3175</v>
      </c>
      <c r="Z349" s="3">
        <v>810</v>
      </c>
      <c r="AA349" s="2" t="s">
        <v>3773</v>
      </c>
      <c r="AB349" s="1" t="s">
        <v>1518</v>
      </c>
      <c r="AC349" s="1" t="s">
        <v>1451</v>
      </c>
      <c r="AD349" s="13">
        <v>0</v>
      </c>
      <c r="AE349" s="1" t="s">
        <v>838</v>
      </c>
      <c r="AF349" s="1" t="s">
        <v>837</v>
      </c>
      <c r="AG349" s="1" t="s">
        <v>339</v>
      </c>
      <c r="AH349" s="1" t="s">
        <v>1435</v>
      </c>
      <c r="AI349" s="1" t="s">
        <v>3605</v>
      </c>
      <c r="AJ349" s="1"/>
      <c r="AK349" s="1" t="s">
        <v>1944</v>
      </c>
      <c r="AL349" s="1"/>
      <c r="AM349" s="1"/>
      <c r="AN349" s="1"/>
      <c r="AO349" s="1">
        <v>4</v>
      </c>
      <c r="AP349" s="1">
        <v>6</v>
      </c>
      <c r="AQ349" s="1" t="s">
        <v>1944</v>
      </c>
    </row>
    <row r="350" spans="1:43" x14ac:dyDescent="0.15">
      <c r="A350" t="str">
        <f t="shared" si="110"/>
        <v>|ORI|青|9|4/7|レア|《[[ミジウムの干渉者]]》|</v>
      </c>
      <c r="B350" t="s">
        <v>3168</v>
      </c>
      <c r="C350" t="str">
        <f>AA350</f>
        <v>ORI</v>
      </c>
      <c r="D350">
        <f>IF(AA350="","",VLOOKUP(C350,tnpl!$Z$1:$AA$11,2,TRUE))</f>
        <v>1</v>
      </c>
      <c r="E350" t="s">
        <v>3168</v>
      </c>
      <c r="F350" t="str">
        <f>AB350</f>
        <v>青</v>
      </c>
      <c r="G350">
        <f>IF(AB350="","",VLOOKUP(F350,tnpl!$X$1:$Y$16,2,TRUE))</f>
        <v>2</v>
      </c>
      <c r="H350" t="s">
        <v>3168</v>
      </c>
      <c r="I350">
        <f>AD350</f>
        <v>9</v>
      </c>
      <c r="J350" t="s">
        <v>3168</v>
      </c>
      <c r="K350">
        <f t="shared" si="112"/>
        <v>4</v>
      </c>
      <c r="L350">
        <f t="shared" si="112"/>
        <v>7</v>
      </c>
      <c r="M350" t="str">
        <f t="shared" si="111"/>
        <v>4/7</v>
      </c>
      <c r="N350" t="s">
        <v>3175</v>
      </c>
      <c r="O350" t="str">
        <f>AC350</f>
        <v>レア</v>
      </c>
      <c r="R350" t="s">
        <v>3175</v>
      </c>
      <c r="S350" t="s">
        <v>4750</v>
      </c>
      <c r="T350" t="str">
        <f>AE350</f>
        <v>ミジウムの干渉者</v>
      </c>
      <c r="U350" t="str">
        <f>IF(I350=0,"&gt;","")</f>
        <v/>
      </c>
      <c r="V350" t="str">
        <f>IF(I350=0,VLOOKUP(TAG!T350,Sheet4!A:B,2,TRUE),"")</f>
        <v/>
      </c>
      <c r="W350" t="s">
        <v>4751</v>
      </c>
      <c r="X350" t="s">
        <v>3175</v>
      </c>
      <c r="Z350" s="3">
        <v>71</v>
      </c>
      <c r="AA350" s="2" t="s">
        <v>3176</v>
      </c>
      <c r="AB350" s="1" t="s">
        <v>1606</v>
      </c>
      <c r="AC350" s="1" t="s">
        <v>1441</v>
      </c>
      <c r="AD350" s="1">
        <v>9</v>
      </c>
      <c r="AE350" s="1" t="s">
        <v>2913</v>
      </c>
      <c r="AF350" s="1" t="s">
        <v>2912</v>
      </c>
      <c r="AG350" s="1" t="s">
        <v>339</v>
      </c>
      <c r="AH350" s="1" t="s">
        <v>2911</v>
      </c>
      <c r="AI350" s="1" t="s">
        <v>1463</v>
      </c>
      <c r="AJ350" s="1"/>
      <c r="AK350" s="1" t="s">
        <v>2910</v>
      </c>
      <c r="AL350" s="1"/>
      <c r="AM350" s="1"/>
      <c r="AN350" s="1"/>
      <c r="AO350" s="1">
        <v>4</v>
      </c>
      <c r="AP350" s="1">
        <v>7</v>
      </c>
      <c r="AQ350" s="1" t="s">
        <v>2910</v>
      </c>
    </row>
    <row r="351" spans="1:43" x14ac:dyDescent="0.15">
      <c r="A351" t="str">
        <f t="shared" si="110"/>
        <v>|ORI|黒|15|4/7|レア|《[[墓刃の匪賊]]》|</v>
      </c>
      <c r="B351" t="s">
        <v>3168</v>
      </c>
      <c r="C351" t="str">
        <f>AA351</f>
        <v>ORI</v>
      </c>
      <c r="D351">
        <f>IF(AA351="","",VLOOKUP(C351,tnpl!$Z$1:$AA$11,2,TRUE))</f>
        <v>1</v>
      </c>
      <c r="E351" t="s">
        <v>3168</v>
      </c>
      <c r="F351" t="str">
        <f>AB351</f>
        <v>黒</v>
      </c>
      <c r="G351">
        <f>IF(AB351="","",VLOOKUP(F351,tnpl!$X$1:$Y$16,2,TRUE))</f>
        <v>3</v>
      </c>
      <c r="H351" t="s">
        <v>3168</v>
      </c>
      <c r="I351">
        <f>AD351</f>
        <v>15</v>
      </c>
      <c r="J351" t="s">
        <v>3168</v>
      </c>
      <c r="K351">
        <f t="shared" si="112"/>
        <v>4</v>
      </c>
      <c r="L351">
        <f t="shared" si="112"/>
        <v>7</v>
      </c>
      <c r="M351" t="str">
        <f t="shared" si="111"/>
        <v>4/7</v>
      </c>
      <c r="N351" t="s">
        <v>3175</v>
      </c>
      <c r="O351" t="str">
        <f>AC351</f>
        <v>レア</v>
      </c>
      <c r="R351" t="s">
        <v>3175</v>
      </c>
      <c r="S351" t="s">
        <v>4750</v>
      </c>
      <c r="T351" t="str">
        <f>AE351</f>
        <v>墓刃の匪賊</v>
      </c>
      <c r="U351" t="str">
        <f>IF(I351=0,"&gt;","")</f>
        <v/>
      </c>
      <c r="V351" t="str">
        <f>IF(I351=0,VLOOKUP(TAG!T351,Sheet4!A:B,2,TRUE),"")</f>
        <v/>
      </c>
      <c r="W351" t="s">
        <v>4751</v>
      </c>
      <c r="X351" t="s">
        <v>3175</v>
      </c>
      <c r="Z351" s="3">
        <v>112</v>
      </c>
      <c r="AA351" s="2" t="s">
        <v>3176</v>
      </c>
      <c r="AB351" s="1" t="s">
        <v>1582</v>
      </c>
      <c r="AC351" s="1" t="s">
        <v>1441</v>
      </c>
      <c r="AD351" s="1">
        <v>15</v>
      </c>
      <c r="AE351" s="1" t="s">
        <v>2797</v>
      </c>
      <c r="AF351" s="1" t="s">
        <v>2796</v>
      </c>
      <c r="AG351" s="1" t="s">
        <v>339</v>
      </c>
      <c r="AH351" s="1" t="s">
        <v>1489</v>
      </c>
      <c r="AI351" s="1" t="s">
        <v>1493</v>
      </c>
      <c r="AJ351" s="1"/>
      <c r="AK351" s="1" t="s">
        <v>3237</v>
      </c>
      <c r="AL351" s="1" t="s">
        <v>3238</v>
      </c>
      <c r="AM351" s="1"/>
      <c r="AN351" s="1"/>
      <c r="AO351" s="1">
        <v>4</v>
      </c>
      <c r="AP351" s="1">
        <v>7</v>
      </c>
      <c r="AQ351" s="1" t="s">
        <v>3239</v>
      </c>
    </row>
    <row r="354" spans="1:43" x14ac:dyDescent="0.15">
      <c r="A354" t="str">
        <f>B354&amp;C354&amp;E354&amp;F354&amp;H354&amp;I354&amp;J354&amp;M354&amp;N354&amp;O354&amp;P354&amp;Q354&amp;R354&amp;S354&amp;T354&amp;V354&amp;W354&amp;X354&amp;Y354</f>
        <v>*パワー5タフネス5以外クリーチャー</v>
      </c>
      <c r="B354" t="s">
        <v>3173</v>
      </c>
      <c r="C354" t="str">
        <f>"パワー"&amp;AO360</f>
        <v>パワー5</v>
      </c>
      <c r="E354" t="str">
        <f>"タフネス"&amp;AO360&amp;"以外"</f>
        <v>タフネス5以外</v>
      </c>
      <c r="F354" t="s">
        <v>4814</v>
      </c>
      <c r="G354" t="s">
        <v>3172</v>
      </c>
    </row>
    <row r="355" spans="1:43" x14ac:dyDescent="0.15">
      <c r="A355" t="s">
        <v>4815</v>
      </c>
    </row>
    <row r="356" spans="1:43" x14ac:dyDescent="0.15">
      <c r="A356" t="str">
        <f>B356&amp;C356&amp;E356&amp;F356&amp;H356&amp;I356&amp;J356&amp;M356&amp;N356&amp;O356&amp;P356&amp;Q356&amp;R356&amp;S356&amp;T356&amp;V356&amp;W356&amp;X356&amp;Y356</f>
        <v/>
      </c>
    </row>
    <row r="357" spans="1:43" x14ac:dyDescent="0.15">
      <c r="A357" t="str">
        <f>B357&amp;C357&amp;E357&amp;F357&amp;H357&amp;I357&amp;J357&amp;M357&amp;N357&amp;O357&amp;P357&amp;Q357&amp;R357&amp;S357&amp;T357&amp;V357&amp;W357&amp;X357&amp;Y357</f>
        <v>**5/1クリーチャー</v>
      </c>
      <c r="B357" t="s">
        <v>4752</v>
      </c>
      <c r="C357">
        <f>K360</f>
        <v>5</v>
      </c>
      <c r="E357" t="s">
        <v>4816</v>
      </c>
      <c r="F357">
        <f>L360</f>
        <v>1</v>
      </c>
      <c r="I357" t="s">
        <v>339</v>
      </c>
    </row>
    <row r="358" spans="1:43" x14ac:dyDescent="0.15">
      <c r="A358" t="str">
        <f>B358&amp;C358&amp;E358&amp;F358&amp;H358&amp;I358&amp;J358&amp;M358&amp;N358&amp;O358&amp;P358&amp;Q358&amp;R358&amp;S358&amp;T358&amp;U358&amp;V358&amp;W358&amp;X358&amp;Y358</f>
        <v>|LEFT:50|LEFT:50|LEFT:50|LEFT:120|LEFT:120|LEFT:500|c</v>
      </c>
      <c r="B358" t="s">
        <v>3168</v>
      </c>
      <c r="C358" t="s">
        <v>3162</v>
      </c>
      <c r="E358" t="s">
        <v>3168</v>
      </c>
      <c r="F358" t="s">
        <v>3162</v>
      </c>
      <c r="H358" t="s">
        <v>3168</v>
      </c>
      <c r="I358" t="s">
        <v>3162</v>
      </c>
      <c r="J358" t="s">
        <v>3168</v>
      </c>
      <c r="M358" t="s">
        <v>4808</v>
      </c>
      <c r="N358" t="s">
        <v>3175</v>
      </c>
      <c r="O358" t="s">
        <v>4808</v>
      </c>
      <c r="R358" t="s">
        <v>3175</v>
      </c>
      <c r="T358" t="s">
        <v>3163</v>
      </c>
      <c r="X358" t="s">
        <v>3175</v>
      </c>
      <c r="Y358" t="s">
        <v>3164</v>
      </c>
    </row>
    <row r="359" spans="1:43" x14ac:dyDescent="0.15">
      <c r="A359" t="str">
        <f>B359&amp;C359&amp;E359&amp;F359&amp;H359&amp;I359&amp;J359&amp;M359&amp;N359&amp;O359&amp;P359&amp;Q359&amp;R359&amp;S359&amp;T359&amp;U359&amp;V359&amp;W359&amp;X359&amp;Y359</f>
        <v>|セット|色|コスト|P/T|レアリティ|カード名|</v>
      </c>
      <c r="B359" t="s">
        <v>3168</v>
      </c>
      <c r="C359" t="s">
        <v>3169</v>
      </c>
      <c r="E359" t="s">
        <v>3168</v>
      </c>
      <c r="F359" t="s">
        <v>3139</v>
      </c>
      <c r="H359" t="s">
        <v>3168</v>
      </c>
      <c r="I359" t="s">
        <v>3165</v>
      </c>
      <c r="J359" t="s">
        <v>3168</v>
      </c>
      <c r="K359" t="s">
        <v>3126</v>
      </c>
      <c r="L359" t="s">
        <v>3125</v>
      </c>
      <c r="M359" t="str">
        <f>K359&amp;"/"&amp;L359</f>
        <v>P/T</v>
      </c>
      <c r="N359" t="s">
        <v>3175</v>
      </c>
      <c r="O359" t="s">
        <v>4809</v>
      </c>
      <c r="R359" t="s">
        <v>3175</v>
      </c>
      <c r="T359" t="s">
        <v>3166</v>
      </c>
      <c r="V359" t="str">
        <f>IF(I359=0,VLOOKUP(TAG!T359,Sheet4!A:B,2,TRUE),"")</f>
        <v/>
      </c>
      <c r="X359" t="s">
        <v>3175</v>
      </c>
      <c r="Z359" s="12"/>
      <c r="AA359" s="12"/>
      <c r="AB359" s="12"/>
      <c r="AC359" s="12"/>
      <c r="AD359" s="12"/>
      <c r="AE359" s="12"/>
      <c r="AF359" s="12"/>
      <c r="AG359" s="12"/>
      <c r="AH359" s="12"/>
      <c r="AI359" s="12"/>
      <c r="AJ359" s="12"/>
      <c r="AK359" s="12"/>
      <c r="AL359" s="12"/>
      <c r="AM359" s="12"/>
      <c r="AN359" s="12"/>
      <c r="AO359" s="12"/>
      <c r="AP359" s="12"/>
      <c r="AQ359" s="12"/>
    </row>
    <row r="360" spans="1:43" x14ac:dyDescent="0.15">
      <c r="A360" t="str">
        <f>B360&amp;C360&amp;E360&amp;F360&amp;H360&amp;I360&amp;J360&amp;M360&amp;N360&amp;O360&amp;P360&amp;Q360&amp;R360&amp;S360&amp;T360&amp;U360&amp;V360&amp;W360&amp;X360&amp;Y360</f>
        <v>|SOI|無色|10|5/1|アンコモン|《[[遁走する馬車]]》|</v>
      </c>
      <c r="B360" t="s">
        <v>3168</v>
      </c>
      <c r="C360" t="str">
        <f>AA360</f>
        <v>SOI</v>
      </c>
      <c r="D360">
        <f>IF(AA360="","",VLOOKUP(C360,tnpl!$Z$1:$AA$11,2,TRUE))</f>
        <v>4</v>
      </c>
      <c r="E360" t="s">
        <v>3168</v>
      </c>
      <c r="F360" t="str">
        <f>AB360</f>
        <v>無色</v>
      </c>
      <c r="G360">
        <f>IF(AB360="","",VLOOKUP(F360,tnpl!$X$1:$Y$16,2,TRUE))</f>
        <v>16</v>
      </c>
      <c r="H360" t="s">
        <v>3168</v>
      </c>
      <c r="I360">
        <f>AD360</f>
        <v>10</v>
      </c>
      <c r="J360" t="s">
        <v>3168</v>
      </c>
      <c r="K360">
        <f>AO360</f>
        <v>5</v>
      </c>
      <c r="L360">
        <f>AP360</f>
        <v>1</v>
      </c>
      <c r="M360" t="str">
        <f>K360&amp;"/"&amp;L360</f>
        <v>5/1</v>
      </c>
      <c r="N360" t="s">
        <v>3175</v>
      </c>
      <c r="O360" t="str">
        <f>AC360</f>
        <v>アンコモン</v>
      </c>
      <c r="R360" t="s">
        <v>3175</v>
      </c>
      <c r="S360" t="s">
        <v>4750</v>
      </c>
      <c r="T360" t="str">
        <f>AE360</f>
        <v>遁走する馬車</v>
      </c>
      <c r="U360" t="str">
        <f>IF(I360=0,"&gt;","")</f>
        <v/>
      </c>
      <c r="V360" t="str">
        <f>IF(I360=0,VLOOKUP(T360,Sheet4!A:B,2,TRUE),"")</f>
        <v/>
      </c>
      <c r="W360" t="s">
        <v>4751</v>
      </c>
      <c r="X360" t="s">
        <v>3175</v>
      </c>
      <c r="Z360" s="3">
        <v>737</v>
      </c>
      <c r="AA360" s="2" t="s">
        <v>3431</v>
      </c>
      <c r="AB360" s="1" t="s">
        <v>292</v>
      </c>
      <c r="AC360" s="1" t="s">
        <v>1451</v>
      </c>
      <c r="AD360" s="1">
        <v>10</v>
      </c>
      <c r="AE360" s="1" t="s">
        <v>1078</v>
      </c>
      <c r="AF360" s="1" t="s">
        <v>1077</v>
      </c>
      <c r="AG360" s="1" t="s">
        <v>339</v>
      </c>
      <c r="AH360" s="1" t="s">
        <v>352</v>
      </c>
      <c r="AI360" s="1"/>
      <c r="AJ360" s="1"/>
      <c r="AK360" s="1" t="s">
        <v>3739</v>
      </c>
      <c r="AL360" s="1"/>
      <c r="AM360" s="1"/>
      <c r="AN360" s="1"/>
      <c r="AO360" s="1">
        <v>5</v>
      </c>
      <c r="AP360" s="1">
        <v>1</v>
      </c>
      <c r="AQ360" s="1" t="s">
        <v>3739</v>
      </c>
    </row>
    <row r="361" spans="1:43" x14ac:dyDescent="0.15">
      <c r="A361" t="str">
        <f>B361&amp;C361&amp;E361&amp;F361&amp;H361&amp;I361&amp;J361&amp;M361&amp;N361&amp;O361&amp;P361&amp;Q361&amp;R361&amp;S361&amp;T361&amp;V361&amp;W361&amp;X361&amp;Y361</f>
        <v/>
      </c>
    </row>
    <row r="362" spans="1:43" x14ac:dyDescent="0.15">
      <c r="A362" t="str">
        <f>B362&amp;C362&amp;E362&amp;F362&amp;H362&amp;I362&amp;J362&amp;M362&amp;N362&amp;O362&amp;P362&amp;Q362&amp;R362&amp;S362&amp;T362&amp;V362&amp;W362&amp;X362&amp;Y362</f>
        <v>**5/2クリーチャー</v>
      </c>
      <c r="B362" t="s">
        <v>4752</v>
      </c>
      <c r="C362">
        <f>K365</f>
        <v>5</v>
      </c>
      <c r="E362" t="s">
        <v>4816</v>
      </c>
      <c r="F362">
        <f>L365</f>
        <v>2</v>
      </c>
      <c r="I362" t="s">
        <v>339</v>
      </c>
      <c r="V362" t="str">
        <f>IF(I362=0,VLOOKUP(TAG!T362,Sheet4!A:B,2,TRUE),"")</f>
        <v/>
      </c>
    </row>
    <row r="363" spans="1:43" x14ac:dyDescent="0.15">
      <c r="A363" t="str">
        <f>B363&amp;C363&amp;E363&amp;F363&amp;H363&amp;I363&amp;J363&amp;M363&amp;N363&amp;O363&amp;P363&amp;Q363&amp;R363&amp;S363&amp;T363&amp;U363&amp;V363&amp;W363&amp;X363&amp;Y363</f>
        <v>|LEFT:50|LEFT:50|LEFT:50|LEFT:120|LEFT:120|LEFT:500|c</v>
      </c>
      <c r="B363" t="s">
        <v>3168</v>
      </c>
      <c r="C363" t="s">
        <v>3162</v>
      </c>
      <c r="E363" t="s">
        <v>3168</v>
      </c>
      <c r="F363" t="s">
        <v>3162</v>
      </c>
      <c r="H363" t="s">
        <v>3168</v>
      </c>
      <c r="I363" t="s">
        <v>3162</v>
      </c>
      <c r="J363" t="s">
        <v>3168</v>
      </c>
      <c r="M363" t="s">
        <v>4808</v>
      </c>
      <c r="N363" t="s">
        <v>3175</v>
      </c>
      <c r="O363" t="s">
        <v>4808</v>
      </c>
      <c r="R363" t="s">
        <v>3175</v>
      </c>
      <c r="T363" t="s">
        <v>3163</v>
      </c>
      <c r="V363" t="str">
        <f>IF(I363=0,VLOOKUP(TAG!T363,Sheet4!A:B,2,TRUE),"")</f>
        <v/>
      </c>
      <c r="X363" t="s">
        <v>3175</v>
      </c>
      <c r="Y363" t="s">
        <v>3164</v>
      </c>
    </row>
    <row r="364" spans="1:43" x14ac:dyDescent="0.15">
      <c r="A364" t="str">
        <f>B364&amp;C364&amp;E364&amp;F364&amp;H364&amp;I364&amp;J364&amp;M364&amp;N364&amp;O364&amp;P364&amp;Q364&amp;R364&amp;S364&amp;T364&amp;U364&amp;V364&amp;W364&amp;X364&amp;Y364</f>
        <v>|セット|色|コスト|P/T|レアリティ|カード名|</v>
      </c>
      <c r="B364" t="s">
        <v>3168</v>
      </c>
      <c r="C364" t="s">
        <v>3169</v>
      </c>
      <c r="E364" t="s">
        <v>3168</v>
      </c>
      <c r="F364" t="s">
        <v>3139</v>
      </c>
      <c r="H364" t="s">
        <v>3168</v>
      </c>
      <c r="I364" t="s">
        <v>3165</v>
      </c>
      <c r="J364" t="s">
        <v>3168</v>
      </c>
      <c r="K364" t="s">
        <v>3126</v>
      </c>
      <c r="L364" t="s">
        <v>3125</v>
      </c>
      <c r="M364" t="str">
        <f>K364&amp;"/"&amp;L364</f>
        <v>P/T</v>
      </c>
      <c r="N364" t="s">
        <v>3175</v>
      </c>
      <c r="O364" t="s">
        <v>4809</v>
      </c>
      <c r="R364" t="s">
        <v>3175</v>
      </c>
      <c r="T364" t="s">
        <v>3166</v>
      </c>
      <c r="V364" t="str">
        <f>IF(I364=0,VLOOKUP(TAG!T364,Sheet4!A:B,2,TRUE),"")</f>
        <v/>
      </c>
      <c r="X364" t="s">
        <v>3175</v>
      </c>
      <c r="Z364" s="12"/>
      <c r="AA364" s="12"/>
      <c r="AB364" s="12"/>
      <c r="AC364" s="12"/>
      <c r="AD364" s="12"/>
      <c r="AE364" s="12"/>
      <c r="AF364" s="12"/>
      <c r="AG364" s="12"/>
      <c r="AH364" s="12"/>
      <c r="AI364" s="12"/>
      <c r="AJ364" s="12"/>
      <c r="AK364" s="12"/>
      <c r="AL364" s="12"/>
      <c r="AM364" s="12"/>
      <c r="AN364" s="12"/>
      <c r="AO364" s="12"/>
      <c r="AP364" s="12"/>
      <c r="AQ364" s="12"/>
    </row>
    <row r="365" spans="1:43" x14ac:dyDescent="0.15">
      <c r="A365" t="str">
        <f>B365&amp;C365&amp;E365&amp;F365&amp;H365&amp;I365&amp;J365&amp;M365&amp;N365&amp;O365&amp;P365&amp;Q365&amp;R365&amp;S365&amp;T365&amp;U365&amp;V365&amp;W365&amp;X365&amp;Y365</f>
        <v>|ORI|黒|12|5/2|レア|《[[魂の略奪者]]》|</v>
      </c>
      <c r="B365" t="s">
        <v>3168</v>
      </c>
      <c r="C365" t="str">
        <f>AA365</f>
        <v>ORI</v>
      </c>
      <c r="D365">
        <f>IF(AA365="","",VLOOKUP(C365,tnpl!$Z$1:$AA$11,2,TRUE))</f>
        <v>1</v>
      </c>
      <c r="E365" t="s">
        <v>3168</v>
      </c>
      <c r="F365" t="str">
        <f>AB365</f>
        <v>黒</v>
      </c>
      <c r="G365">
        <f>IF(AB365="","",VLOOKUP(F365,tnpl!$X$1:$Y$16,2,TRUE))</f>
        <v>3</v>
      </c>
      <c r="H365" t="s">
        <v>3168</v>
      </c>
      <c r="I365">
        <f>AD365</f>
        <v>12</v>
      </c>
      <c r="J365" t="s">
        <v>3168</v>
      </c>
      <c r="K365">
        <f>AO365</f>
        <v>5</v>
      </c>
      <c r="L365">
        <f>AP365</f>
        <v>2</v>
      </c>
      <c r="M365" t="str">
        <f>K365&amp;"/"&amp;L365</f>
        <v>5/2</v>
      </c>
      <c r="N365" t="s">
        <v>3175</v>
      </c>
      <c r="O365" t="str">
        <f>AC365</f>
        <v>レア</v>
      </c>
      <c r="R365" t="s">
        <v>3175</v>
      </c>
      <c r="S365" t="s">
        <v>4750</v>
      </c>
      <c r="T365" t="str">
        <f>AE365</f>
        <v>魂の略奪者</v>
      </c>
      <c r="U365" t="str">
        <f>IF(I365=0,"&gt;","")</f>
        <v/>
      </c>
      <c r="V365" t="str">
        <f>IF(I365=0,VLOOKUP(TAG!T370,Sheet4!A:B,2,TRUE),"")</f>
        <v/>
      </c>
      <c r="W365" t="s">
        <v>4751</v>
      </c>
      <c r="X365" t="s">
        <v>3175</v>
      </c>
      <c r="Z365" s="3">
        <v>110</v>
      </c>
      <c r="AA365" s="2" t="s">
        <v>3176</v>
      </c>
      <c r="AB365" s="1" t="s">
        <v>1582</v>
      </c>
      <c r="AC365" s="1" t="s">
        <v>1441</v>
      </c>
      <c r="AD365" s="1">
        <v>12</v>
      </c>
      <c r="AE365" s="1" t="s">
        <v>2804</v>
      </c>
      <c r="AF365" s="1" t="s">
        <v>2803</v>
      </c>
      <c r="AG365" s="1" t="s">
        <v>339</v>
      </c>
      <c r="AH365" s="1" t="s">
        <v>2802</v>
      </c>
      <c r="AI365" s="1"/>
      <c r="AJ365" s="1"/>
      <c r="AK365" s="1" t="s">
        <v>2801</v>
      </c>
      <c r="AL365" s="1"/>
      <c r="AM365" s="1"/>
      <c r="AN365" s="1"/>
      <c r="AO365" s="1">
        <v>5</v>
      </c>
      <c r="AP365" s="1">
        <v>2</v>
      </c>
      <c r="AQ365" s="1" t="s">
        <v>2801</v>
      </c>
    </row>
    <row r="366" spans="1:43" x14ac:dyDescent="0.15">
      <c r="A366" t="str">
        <f>B366&amp;C366&amp;E366&amp;F366&amp;H366&amp;I366&amp;J366&amp;M366&amp;N366&amp;O366&amp;P366&amp;Q366&amp;R366&amp;S366&amp;T366&amp;V366&amp;W366&amp;X366&amp;Y366</f>
        <v/>
      </c>
    </row>
    <row r="367" spans="1:43" x14ac:dyDescent="0.15">
      <c r="A367" t="str">
        <f>B367&amp;C367&amp;E367&amp;F367&amp;H367&amp;I367&amp;J367&amp;M367&amp;N367&amp;O367&amp;P367&amp;Q367&amp;R367&amp;S367&amp;T367&amp;V367&amp;W367&amp;X367&amp;Y367</f>
        <v>**5/3クリーチャー</v>
      </c>
      <c r="B367" t="s">
        <v>4752</v>
      </c>
      <c r="C367">
        <f>K370</f>
        <v>5</v>
      </c>
      <c r="E367" t="s">
        <v>4816</v>
      </c>
      <c r="F367">
        <f>L370</f>
        <v>3</v>
      </c>
      <c r="I367" t="s">
        <v>339</v>
      </c>
      <c r="V367" t="str">
        <f>IF(I367=0,VLOOKUP(TAG!T367,Sheet4!A:B,2,TRUE),"")</f>
        <v/>
      </c>
    </row>
    <row r="368" spans="1:43" x14ac:dyDescent="0.15">
      <c r="A368" t="str">
        <f t="shared" ref="A368:A374" si="113">B368&amp;C368&amp;E368&amp;F368&amp;H368&amp;I368&amp;J368&amp;M368&amp;N368&amp;O368&amp;P368&amp;Q368&amp;R368&amp;S368&amp;T368&amp;U368&amp;V368&amp;W368&amp;X368&amp;Y368</f>
        <v>|LEFT:50|LEFT:50|LEFT:50|LEFT:120|LEFT:120|LEFT:500|c</v>
      </c>
      <c r="B368" t="s">
        <v>3168</v>
      </c>
      <c r="C368" t="s">
        <v>3162</v>
      </c>
      <c r="E368" t="s">
        <v>3168</v>
      </c>
      <c r="F368" t="s">
        <v>3162</v>
      </c>
      <c r="H368" t="s">
        <v>3168</v>
      </c>
      <c r="I368" t="s">
        <v>3162</v>
      </c>
      <c r="J368" t="s">
        <v>3168</v>
      </c>
      <c r="M368" t="s">
        <v>4808</v>
      </c>
      <c r="N368" t="s">
        <v>3175</v>
      </c>
      <c r="O368" t="s">
        <v>4808</v>
      </c>
      <c r="R368" t="s">
        <v>3175</v>
      </c>
      <c r="T368" t="s">
        <v>3163</v>
      </c>
      <c r="V368" t="str">
        <f>IF(I368=0,VLOOKUP(TAG!T368,Sheet4!A:B,2,TRUE),"")</f>
        <v/>
      </c>
      <c r="X368" t="s">
        <v>3175</v>
      </c>
      <c r="Y368" t="s">
        <v>3164</v>
      </c>
    </row>
    <row r="369" spans="1:43" x14ac:dyDescent="0.15">
      <c r="A369" t="str">
        <f t="shared" si="113"/>
        <v>|セット|色|コスト|P/T|レアリティ|カード名|</v>
      </c>
      <c r="B369" t="s">
        <v>3168</v>
      </c>
      <c r="C369" t="s">
        <v>3169</v>
      </c>
      <c r="E369" t="s">
        <v>3168</v>
      </c>
      <c r="F369" t="s">
        <v>3139</v>
      </c>
      <c r="H369" t="s">
        <v>3168</v>
      </c>
      <c r="I369" t="s">
        <v>3165</v>
      </c>
      <c r="J369" t="s">
        <v>3168</v>
      </c>
      <c r="K369" t="s">
        <v>3126</v>
      </c>
      <c r="L369" t="s">
        <v>3125</v>
      </c>
      <c r="M369" t="str">
        <f t="shared" ref="M369:M374" si="114">K369&amp;"/"&amp;L369</f>
        <v>P/T</v>
      </c>
      <c r="N369" t="s">
        <v>3175</v>
      </c>
      <c r="O369" t="s">
        <v>4809</v>
      </c>
      <c r="R369" t="s">
        <v>3175</v>
      </c>
      <c r="T369" t="s">
        <v>3166</v>
      </c>
      <c r="V369" t="str">
        <f>IF(I369=0,VLOOKUP(TAG!T369,Sheet4!A:B,2,TRUE),"")</f>
        <v/>
      </c>
      <c r="X369" t="s">
        <v>3175</v>
      </c>
      <c r="Z369" s="12"/>
      <c r="AA369" s="12"/>
      <c r="AB369" s="12"/>
      <c r="AC369" s="12"/>
      <c r="AD369" s="12"/>
      <c r="AE369" s="12"/>
      <c r="AF369" s="12"/>
      <c r="AG369" s="12"/>
      <c r="AH369" s="12"/>
      <c r="AI369" s="12"/>
      <c r="AJ369" s="12"/>
      <c r="AK369" s="12"/>
      <c r="AL369" s="12"/>
      <c r="AM369" s="12"/>
      <c r="AN369" s="12"/>
      <c r="AO369" s="12"/>
      <c r="AP369" s="12"/>
      <c r="AQ369" s="12"/>
    </row>
    <row r="370" spans="1:43" x14ac:dyDescent="0.15">
      <c r="A370" t="str">
        <f t="shared" si="113"/>
        <v>|ORI|黒|10|5/3|アンコモン|《[[肉袋の匪賊]]》|</v>
      </c>
      <c r="B370" t="s">
        <v>3168</v>
      </c>
      <c r="C370" t="str">
        <f>AA370</f>
        <v>ORI</v>
      </c>
      <c r="D370">
        <f>IF(AA370="","",VLOOKUP(C370,tnpl!$Z$1:$AA$11,2,TRUE))</f>
        <v>1</v>
      </c>
      <c r="E370" t="s">
        <v>3168</v>
      </c>
      <c r="F370" t="str">
        <f>AB370</f>
        <v>黒</v>
      </c>
      <c r="G370">
        <f>IF(AB370="","",VLOOKUP(F370,tnpl!$X$1:$Y$16,2,TRUE))</f>
        <v>3</v>
      </c>
      <c r="H370" t="s">
        <v>3168</v>
      </c>
      <c r="I370">
        <f>AD370</f>
        <v>10</v>
      </c>
      <c r="J370" t="s">
        <v>3168</v>
      </c>
      <c r="K370">
        <f t="shared" ref="K370:L374" si="115">AO370</f>
        <v>5</v>
      </c>
      <c r="L370">
        <f t="shared" si="115"/>
        <v>3</v>
      </c>
      <c r="M370" t="str">
        <f t="shared" si="114"/>
        <v>5/3</v>
      </c>
      <c r="N370" t="s">
        <v>3175</v>
      </c>
      <c r="O370" t="str">
        <f>AC370</f>
        <v>アンコモン</v>
      </c>
      <c r="R370" t="s">
        <v>3175</v>
      </c>
      <c r="S370" t="s">
        <v>4750</v>
      </c>
      <c r="T370" t="str">
        <f>AE370</f>
        <v>肉袋の匪賊</v>
      </c>
      <c r="U370" t="str">
        <f>IF(I370=0,"&gt;","")</f>
        <v/>
      </c>
      <c r="V370" t="str">
        <f>IF(I370=0,VLOOKUP(TAG!T365,Sheet4!A:B,2,TRUE),"")</f>
        <v/>
      </c>
      <c r="W370" t="s">
        <v>4751</v>
      </c>
      <c r="X370" t="s">
        <v>3175</v>
      </c>
      <c r="Z370" s="3">
        <v>98</v>
      </c>
      <c r="AA370" s="2" t="s">
        <v>3176</v>
      </c>
      <c r="AB370" s="1" t="s">
        <v>1582</v>
      </c>
      <c r="AC370" s="1" t="s">
        <v>1451</v>
      </c>
      <c r="AD370" s="1">
        <v>10</v>
      </c>
      <c r="AE370" s="1" t="s">
        <v>2837</v>
      </c>
      <c r="AF370" s="1" t="s">
        <v>3231</v>
      </c>
      <c r="AG370" s="1" t="s">
        <v>339</v>
      </c>
      <c r="AH370" s="1" t="s">
        <v>1484</v>
      </c>
      <c r="AI370" s="1" t="s">
        <v>1493</v>
      </c>
      <c r="AJ370" s="1"/>
      <c r="AK370" s="1" t="s">
        <v>2836</v>
      </c>
      <c r="AL370" s="1"/>
      <c r="AM370" s="1"/>
      <c r="AN370" s="1"/>
      <c r="AO370" s="1">
        <v>5</v>
      </c>
      <c r="AP370" s="1">
        <v>3</v>
      </c>
      <c r="AQ370" s="1" t="s">
        <v>2836</v>
      </c>
    </row>
    <row r="371" spans="1:43" x14ac:dyDescent="0.15">
      <c r="A371" t="str">
        <f t="shared" si="113"/>
        <v>|ORI|赤|11|5/3|アンコモン|《[[ボガートの粗暴者]]》|</v>
      </c>
      <c r="B371" t="s">
        <v>3168</v>
      </c>
      <c r="C371" t="str">
        <f>AA371</f>
        <v>ORI</v>
      </c>
      <c r="D371">
        <f>IF(AA371="","",VLOOKUP(C371,tnpl!$Z$1:$AA$11,2,TRUE))</f>
        <v>1</v>
      </c>
      <c r="E371" t="s">
        <v>3168</v>
      </c>
      <c r="F371" t="str">
        <f>AB371</f>
        <v>赤</v>
      </c>
      <c r="G371">
        <f>IF(AB371="","",VLOOKUP(F371,tnpl!$X$1:$Y$16,2,TRUE))</f>
        <v>4</v>
      </c>
      <c r="H371" t="s">
        <v>3168</v>
      </c>
      <c r="I371">
        <f>AD371</f>
        <v>11</v>
      </c>
      <c r="J371" t="s">
        <v>3168</v>
      </c>
      <c r="K371">
        <f t="shared" si="115"/>
        <v>5</v>
      </c>
      <c r="L371">
        <f t="shared" si="115"/>
        <v>3</v>
      </c>
      <c r="M371" t="str">
        <f t="shared" si="114"/>
        <v>5/3</v>
      </c>
      <c r="N371" t="s">
        <v>3175</v>
      </c>
      <c r="O371" t="str">
        <f>AC371</f>
        <v>アンコモン</v>
      </c>
      <c r="R371" t="s">
        <v>3175</v>
      </c>
      <c r="S371" t="s">
        <v>4750</v>
      </c>
      <c r="T371" t="str">
        <f>AE371</f>
        <v>ボガートの粗暴者</v>
      </c>
      <c r="U371" t="str">
        <f>IF(I371=0,"&gt;","")</f>
        <v/>
      </c>
      <c r="V371" t="str">
        <f>IF(I371=0,VLOOKUP(TAG!T371,Sheet4!A:B,2,TRUE),"")</f>
        <v/>
      </c>
      <c r="W371" t="s">
        <v>4751</v>
      </c>
      <c r="X371" t="s">
        <v>3175</v>
      </c>
      <c r="Z371" s="3">
        <v>137</v>
      </c>
      <c r="AA371" s="2" t="s">
        <v>3176</v>
      </c>
      <c r="AB371" s="1" t="s">
        <v>1552</v>
      </c>
      <c r="AC371" s="1" t="s">
        <v>1451</v>
      </c>
      <c r="AD371" s="1">
        <v>11</v>
      </c>
      <c r="AE371" s="1" t="s">
        <v>2729</v>
      </c>
      <c r="AF371" s="1" t="s">
        <v>2728</v>
      </c>
      <c r="AG371" s="1" t="s">
        <v>339</v>
      </c>
      <c r="AH371" s="1" t="s">
        <v>1564</v>
      </c>
      <c r="AI371" s="1" t="s">
        <v>1493</v>
      </c>
      <c r="AJ371" s="1"/>
      <c r="AK371" s="1" t="s">
        <v>2048</v>
      </c>
      <c r="AL371" s="1"/>
      <c r="AM371" s="1"/>
      <c r="AN371" s="1"/>
      <c r="AO371" s="1">
        <v>5</v>
      </c>
      <c r="AP371" s="1">
        <v>3</v>
      </c>
      <c r="AQ371" s="1" t="s">
        <v>2048</v>
      </c>
    </row>
    <row r="372" spans="1:43" x14ac:dyDescent="0.15">
      <c r="A372" t="str">
        <f t="shared" si="113"/>
        <v>|ORI|赤|8|5/3|アンコモン|《[[火山の彷徨]]》|</v>
      </c>
      <c r="B372" t="s">
        <v>3168</v>
      </c>
      <c r="C372" t="str">
        <f>AA372</f>
        <v>ORI</v>
      </c>
      <c r="D372">
        <f>IF(AA372="","",VLOOKUP(C372,tnpl!$Z$1:$AA$11,2,TRUE))</f>
        <v>1</v>
      </c>
      <c r="E372" t="s">
        <v>3168</v>
      </c>
      <c r="F372" t="str">
        <f>AB372</f>
        <v>赤</v>
      </c>
      <c r="G372">
        <f>IF(AB372="","",VLOOKUP(F372,tnpl!$X$1:$Y$16,2,TRUE))</f>
        <v>4</v>
      </c>
      <c r="H372" t="s">
        <v>3168</v>
      </c>
      <c r="I372">
        <f>AD372</f>
        <v>8</v>
      </c>
      <c r="J372" t="s">
        <v>3168</v>
      </c>
      <c r="K372">
        <f t="shared" si="115"/>
        <v>5</v>
      </c>
      <c r="L372">
        <f t="shared" si="115"/>
        <v>3</v>
      </c>
      <c r="M372" t="str">
        <f t="shared" si="114"/>
        <v>5/3</v>
      </c>
      <c r="N372" t="s">
        <v>3175</v>
      </c>
      <c r="O372" t="str">
        <f>AC372</f>
        <v>アンコモン</v>
      </c>
      <c r="R372" t="s">
        <v>3175</v>
      </c>
      <c r="S372" t="s">
        <v>4750</v>
      </c>
      <c r="T372" t="str">
        <f>AE372</f>
        <v>火山の彷徨</v>
      </c>
      <c r="U372" t="str">
        <f>IF(I372=0,"&gt;","")</f>
        <v/>
      </c>
      <c r="V372" t="str">
        <f>IF(I372=0,VLOOKUP(TAG!T372,Sheet4!A:B,2,TRUE),"")</f>
        <v/>
      </c>
      <c r="W372" t="s">
        <v>4751</v>
      </c>
      <c r="X372" t="s">
        <v>3175</v>
      </c>
      <c r="Z372" s="3">
        <v>145</v>
      </c>
      <c r="AA372" s="2" t="s">
        <v>3176</v>
      </c>
      <c r="AB372" s="1" t="s">
        <v>1552</v>
      </c>
      <c r="AC372" s="1" t="s">
        <v>1451</v>
      </c>
      <c r="AD372" s="1">
        <v>8</v>
      </c>
      <c r="AE372" s="1" t="s">
        <v>2707</v>
      </c>
      <c r="AF372" s="1" t="s">
        <v>2706</v>
      </c>
      <c r="AG372" s="1" t="s">
        <v>339</v>
      </c>
      <c r="AH372" s="1" t="s">
        <v>1537</v>
      </c>
      <c r="AI372" s="1"/>
      <c r="AJ372" s="1"/>
      <c r="AK372" s="1" t="s">
        <v>2705</v>
      </c>
      <c r="AL372" s="1"/>
      <c r="AM372" s="1"/>
      <c r="AN372" s="1"/>
      <c r="AO372" s="1">
        <v>5</v>
      </c>
      <c r="AP372" s="1">
        <v>3</v>
      </c>
      <c r="AQ372" s="1" t="s">
        <v>2705</v>
      </c>
    </row>
    <row r="373" spans="1:43" x14ac:dyDescent="0.15">
      <c r="A373" t="str">
        <f t="shared" si="113"/>
        <v>|ORI|緑|11|5/3|アンコモン|《[[ソンバーワルドの頭目]]》|</v>
      </c>
      <c r="B373" t="s">
        <v>3168</v>
      </c>
      <c r="C373" t="str">
        <f>AA373</f>
        <v>ORI</v>
      </c>
      <c r="D373">
        <f>IF(AA373="","",VLOOKUP(C373,tnpl!$Z$1:$AA$11,2,TRUE))</f>
        <v>1</v>
      </c>
      <c r="E373" t="s">
        <v>3168</v>
      </c>
      <c r="F373" t="str">
        <f>AB373</f>
        <v>緑</v>
      </c>
      <c r="G373">
        <f>IF(AB373="","",VLOOKUP(F373,tnpl!$X$1:$Y$16,2,TRUE))</f>
        <v>5</v>
      </c>
      <c r="H373" t="s">
        <v>3168</v>
      </c>
      <c r="I373">
        <f>AD373</f>
        <v>11</v>
      </c>
      <c r="J373" t="s">
        <v>3168</v>
      </c>
      <c r="K373">
        <f t="shared" si="115"/>
        <v>5</v>
      </c>
      <c r="L373">
        <f t="shared" si="115"/>
        <v>3</v>
      </c>
      <c r="M373" t="str">
        <f t="shared" si="114"/>
        <v>5/3</v>
      </c>
      <c r="N373" t="s">
        <v>3175</v>
      </c>
      <c r="O373" t="str">
        <f>AC373</f>
        <v>アンコモン</v>
      </c>
      <c r="R373" t="s">
        <v>3175</v>
      </c>
      <c r="S373" t="s">
        <v>4750</v>
      </c>
      <c r="T373" t="str">
        <f>AE373</f>
        <v>ソンバーワルドの頭目</v>
      </c>
      <c r="U373" t="str">
        <f>IF(I373=0,"&gt;","")</f>
        <v/>
      </c>
      <c r="V373" t="str">
        <f>IF(I373=0,VLOOKUP(TAG!T374,Sheet4!A:B,2,TRUE),"")</f>
        <v/>
      </c>
      <c r="W373" t="s">
        <v>4751</v>
      </c>
      <c r="X373" t="s">
        <v>3175</v>
      </c>
      <c r="Z373" s="3">
        <v>181</v>
      </c>
      <c r="AA373" s="2" t="s">
        <v>3176</v>
      </c>
      <c r="AB373" s="1" t="s">
        <v>1518</v>
      </c>
      <c r="AC373" s="1" t="s">
        <v>1451</v>
      </c>
      <c r="AD373" s="1">
        <v>11</v>
      </c>
      <c r="AE373" s="1" t="s">
        <v>2606</v>
      </c>
      <c r="AF373" s="1" t="s">
        <v>2605</v>
      </c>
      <c r="AG373" s="1" t="s">
        <v>339</v>
      </c>
      <c r="AH373" s="1" t="s">
        <v>2604</v>
      </c>
      <c r="AI373" s="1"/>
      <c r="AJ373" s="1"/>
      <c r="AK373" s="1" t="s">
        <v>2603</v>
      </c>
      <c r="AL373" s="1"/>
      <c r="AM373" s="1"/>
      <c r="AN373" s="1"/>
      <c r="AO373" s="1">
        <v>5</v>
      </c>
      <c r="AP373" s="1">
        <v>3</v>
      </c>
      <c r="AQ373" s="1" t="s">
        <v>2603</v>
      </c>
    </row>
    <row r="374" spans="1:43" x14ac:dyDescent="0.15">
      <c r="A374" t="str">
        <f t="shared" si="113"/>
        <v>|SOI|黒|11|5/3|アンコモン|《[[呪われた魔女]]》|</v>
      </c>
      <c r="B374" t="s">
        <v>3168</v>
      </c>
      <c r="C374" t="str">
        <f>AA374</f>
        <v>SOI</v>
      </c>
      <c r="D374">
        <f>IF(AA374="","",VLOOKUP(C374,tnpl!$Z$1:$AA$11,2,TRUE))</f>
        <v>4</v>
      </c>
      <c r="E374" t="s">
        <v>3168</v>
      </c>
      <c r="F374" t="str">
        <f>AB374</f>
        <v>黒</v>
      </c>
      <c r="G374">
        <f>IF(AB374="","",VLOOKUP(F374,tnpl!$X$1:$Y$16,2,TRUE))</f>
        <v>3</v>
      </c>
      <c r="H374" t="s">
        <v>3168</v>
      </c>
      <c r="I374">
        <f>AD374</f>
        <v>11</v>
      </c>
      <c r="J374" t="s">
        <v>3168</v>
      </c>
      <c r="K374">
        <f t="shared" si="115"/>
        <v>5</v>
      </c>
      <c r="L374">
        <f t="shared" si="115"/>
        <v>3</v>
      </c>
      <c r="M374" t="str">
        <f t="shared" si="114"/>
        <v>5/3</v>
      </c>
      <c r="N374" t="s">
        <v>3175</v>
      </c>
      <c r="O374" t="str">
        <f>AC374</f>
        <v>アンコモン</v>
      </c>
      <c r="R374" t="s">
        <v>3175</v>
      </c>
      <c r="S374" t="s">
        <v>4750</v>
      </c>
      <c r="T374" t="str">
        <f>AE374</f>
        <v>呪われた魔女</v>
      </c>
      <c r="U374" t="str">
        <f>IF(I374=0,"&gt;","")</f>
        <v/>
      </c>
      <c r="V374" t="str">
        <f>IF(I374=0,VLOOKUP(TAG!T393,Sheet4!A:B,2,TRUE),"")</f>
        <v/>
      </c>
      <c r="W374" t="s">
        <v>4751</v>
      </c>
      <c r="X374" t="s">
        <v>3175</v>
      </c>
      <c r="Z374" s="3">
        <v>623</v>
      </c>
      <c r="AA374" s="2" t="s">
        <v>3431</v>
      </c>
      <c r="AB374" s="1" t="s">
        <v>1582</v>
      </c>
      <c r="AC374" s="1" t="s">
        <v>1451</v>
      </c>
      <c r="AD374" s="1">
        <v>11</v>
      </c>
      <c r="AE374" s="1" t="s">
        <v>1275</v>
      </c>
      <c r="AF374" s="1" t="s">
        <v>1274</v>
      </c>
      <c r="AG374" s="1" t="s">
        <v>339</v>
      </c>
      <c r="AH374" s="1" t="s">
        <v>1489</v>
      </c>
      <c r="AI374" s="1" t="s">
        <v>1867</v>
      </c>
      <c r="AJ374" s="1"/>
      <c r="AK374" s="1" t="s">
        <v>3566</v>
      </c>
      <c r="AL374" s="1" t="s">
        <v>3567</v>
      </c>
      <c r="AM374" s="1"/>
      <c r="AN374" s="1"/>
      <c r="AO374" s="1">
        <v>5</v>
      </c>
      <c r="AP374" s="1">
        <v>3</v>
      </c>
      <c r="AQ374" s="1" t="s">
        <v>3568</v>
      </c>
    </row>
    <row r="375" spans="1:43" x14ac:dyDescent="0.15">
      <c r="A375" t="str">
        <f>B375&amp;C375&amp;E375&amp;F375&amp;H375&amp;I375&amp;J375&amp;M375&amp;N375&amp;O375&amp;P375&amp;Q375&amp;R375&amp;S375&amp;T375&amp;V375&amp;W375&amp;X375&amp;Y375</f>
        <v/>
      </c>
    </row>
    <row r="376" spans="1:43" x14ac:dyDescent="0.15">
      <c r="A376" t="str">
        <f>B376&amp;C376&amp;E376&amp;F376&amp;H376&amp;I376&amp;J376&amp;M376&amp;N376&amp;O376&amp;P376&amp;Q376&amp;R376&amp;S376&amp;T376&amp;V376&amp;W376&amp;X376&amp;Y376</f>
        <v>**5/4クリーチャー</v>
      </c>
      <c r="B376" t="s">
        <v>4752</v>
      </c>
      <c r="C376">
        <f>K379</f>
        <v>5</v>
      </c>
      <c r="E376" t="s">
        <v>4816</v>
      </c>
      <c r="F376">
        <f>L379</f>
        <v>4</v>
      </c>
      <c r="I376" t="s">
        <v>339</v>
      </c>
      <c r="V376" t="str">
        <f>IF(I376=0,VLOOKUP(TAG!T376,Sheet4!A:B,2,TRUE),"")</f>
        <v/>
      </c>
    </row>
    <row r="377" spans="1:43" x14ac:dyDescent="0.15">
      <c r="A377" t="str">
        <f t="shared" ref="A377:A387" si="116">B377&amp;C377&amp;E377&amp;F377&amp;H377&amp;I377&amp;J377&amp;M377&amp;N377&amp;O377&amp;P377&amp;Q377&amp;R377&amp;S377&amp;T377&amp;U377&amp;V377&amp;W377&amp;X377&amp;Y377</f>
        <v>|LEFT:50|LEFT:50|LEFT:50|LEFT:120|LEFT:120|LEFT:500|c</v>
      </c>
      <c r="B377" t="s">
        <v>3168</v>
      </c>
      <c r="C377" t="s">
        <v>3162</v>
      </c>
      <c r="E377" t="s">
        <v>3168</v>
      </c>
      <c r="F377" t="s">
        <v>3162</v>
      </c>
      <c r="H377" t="s">
        <v>3168</v>
      </c>
      <c r="I377" t="s">
        <v>3162</v>
      </c>
      <c r="J377" t="s">
        <v>3168</v>
      </c>
      <c r="M377" t="s">
        <v>4808</v>
      </c>
      <c r="N377" t="s">
        <v>3175</v>
      </c>
      <c r="O377" t="s">
        <v>4808</v>
      </c>
      <c r="R377" t="s">
        <v>3175</v>
      </c>
      <c r="T377" t="s">
        <v>3163</v>
      </c>
      <c r="V377" t="str">
        <f>IF(I377=0,VLOOKUP(TAG!T377,Sheet4!A:B,2,TRUE),"")</f>
        <v/>
      </c>
      <c r="X377" t="s">
        <v>3175</v>
      </c>
      <c r="Y377" t="s">
        <v>3164</v>
      </c>
    </row>
    <row r="378" spans="1:43" x14ac:dyDescent="0.15">
      <c r="A378" t="str">
        <f t="shared" si="116"/>
        <v>|セット|色|コスト|P/T|レアリティ|カード名|</v>
      </c>
      <c r="B378" t="s">
        <v>3168</v>
      </c>
      <c r="C378" t="s">
        <v>3169</v>
      </c>
      <c r="E378" t="s">
        <v>3168</v>
      </c>
      <c r="F378" t="s">
        <v>3139</v>
      </c>
      <c r="H378" t="s">
        <v>3168</v>
      </c>
      <c r="I378" t="s">
        <v>3165</v>
      </c>
      <c r="J378" t="s">
        <v>3168</v>
      </c>
      <c r="K378" t="s">
        <v>3126</v>
      </c>
      <c r="L378" t="s">
        <v>3125</v>
      </c>
      <c r="M378" t="str">
        <f t="shared" ref="M378:M387" si="117">K378&amp;"/"&amp;L378</f>
        <v>P/T</v>
      </c>
      <c r="N378" t="s">
        <v>3175</v>
      </c>
      <c r="O378" t="s">
        <v>4809</v>
      </c>
      <c r="R378" t="s">
        <v>3175</v>
      </c>
      <c r="T378" t="s">
        <v>3166</v>
      </c>
      <c r="V378" t="str">
        <f>IF(I378=0,VLOOKUP(TAG!T378,Sheet4!A:B,2,TRUE),"")</f>
        <v/>
      </c>
      <c r="X378" t="s">
        <v>3175</v>
      </c>
      <c r="Z378" s="12"/>
      <c r="AA378" s="12"/>
      <c r="AB378" s="12"/>
      <c r="AC378" s="12"/>
      <c r="AD378" s="12"/>
      <c r="AE378" s="12"/>
      <c r="AF378" s="12"/>
      <c r="AG378" s="12"/>
      <c r="AH378" s="12"/>
      <c r="AI378" s="12"/>
      <c r="AJ378" s="12"/>
      <c r="AK378" s="12"/>
      <c r="AL378" s="12"/>
      <c r="AM378" s="12"/>
      <c r="AN378" s="12"/>
      <c r="AO378" s="12"/>
      <c r="AP378" s="12"/>
      <c r="AQ378" s="12"/>
    </row>
    <row r="379" spans="1:43" x14ac:dyDescent="0.15">
      <c r="A379" t="str">
        <f t="shared" si="116"/>
        <v>|OGW|黒|9|5/4|アンコモン|《[[搾取ドローン]]》|</v>
      </c>
      <c r="B379" t="s">
        <v>3168</v>
      </c>
      <c r="C379" t="str">
        <f t="shared" ref="C379:C387" si="118">AA379</f>
        <v>OGW</v>
      </c>
      <c r="D379">
        <f>IF(AA379="","",VLOOKUP(C379,tnpl!$Z$1:$AA$11,2,TRUE))</f>
        <v>3</v>
      </c>
      <c r="E379" t="s">
        <v>3168</v>
      </c>
      <c r="F379" t="str">
        <f t="shared" ref="F379:F387" si="119">AB379</f>
        <v>黒</v>
      </c>
      <c r="G379">
        <f>IF(AB379="","",VLOOKUP(F379,tnpl!$X$1:$Y$16,2,TRUE))</f>
        <v>3</v>
      </c>
      <c r="H379" t="s">
        <v>3168</v>
      </c>
      <c r="I379">
        <f t="shared" ref="I379:I387" si="120">AD379</f>
        <v>9</v>
      </c>
      <c r="J379" t="s">
        <v>3168</v>
      </c>
      <c r="K379">
        <f t="shared" ref="K379:K387" si="121">AO379</f>
        <v>5</v>
      </c>
      <c r="L379">
        <f t="shared" ref="L379:L387" si="122">AP379</f>
        <v>4</v>
      </c>
      <c r="M379" t="str">
        <f t="shared" si="117"/>
        <v>5/4</v>
      </c>
      <c r="N379" t="s">
        <v>3175</v>
      </c>
      <c r="O379" t="str">
        <f t="shared" ref="O379:O387" si="123">AC379</f>
        <v>アンコモン</v>
      </c>
      <c r="R379" t="s">
        <v>3175</v>
      </c>
      <c r="S379" t="s">
        <v>4750</v>
      </c>
      <c r="T379" t="str">
        <f t="shared" ref="T379:T387" si="124">AE379</f>
        <v>搾取ドローン</v>
      </c>
      <c r="U379" t="str">
        <f t="shared" ref="U379:U387" si="125">IF(I379=0,"&gt;","")</f>
        <v/>
      </c>
      <c r="V379" t="str">
        <f>IF(I379=0,VLOOKUP(TAG!T384,Sheet4!A:B,2,TRUE),"")</f>
        <v/>
      </c>
      <c r="W379" t="s">
        <v>4751</v>
      </c>
      <c r="X379" t="s">
        <v>3175</v>
      </c>
      <c r="Z379" s="3">
        <v>498</v>
      </c>
      <c r="AA379" s="2" t="s">
        <v>3171</v>
      </c>
      <c r="AB379" s="1" t="s">
        <v>1582</v>
      </c>
      <c r="AC379" s="1" t="s">
        <v>1451</v>
      </c>
      <c r="AD379" s="1">
        <v>9</v>
      </c>
      <c r="AE379" s="1" t="s">
        <v>1600</v>
      </c>
      <c r="AF379" s="1" t="s">
        <v>1599</v>
      </c>
      <c r="AG379" s="1" t="s">
        <v>339</v>
      </c>
      <c r="AH379" s="1" t="s">
        <v>1435</v>
      </c>
      <c r="AI379" s="1" t="s">
        <v>1501</v>
      </c>
      <c r="AJ379" s="1"/>
      <c r="AK379" s="1" t="s">
        <v>1598</v>
      </c>
      <c r="AL379" s="1"/>
      <c r="AM379" s="1"/>
      <c r="AN379" s="1"/>
      <c r="AO379" s="1">
        <v>5</v>
      </c>
      <c r="AP379" s="1">
        <v>4</v>
      </c>
      <c r="AQ379" s="1" t="s">
        <v>1598</v>
      </c>
    </row>
    <row r="380" spans="1:43" x14ac:dyDescent="0.15">
      <c r="A380" t="str">
        <f t="shared" si="116"/>
        <v>|OGW|緑|21|5/4|アンコモン|《[[産み落とす巨体]]》|</v>
      </c>
      <c r="B380" t="s">
        <v>3168</v>
      </c>
      <c r="C380" t="str">
        <f t="shared" si="118"/>
        <v>OGW</v>
      </c>
      <c r="D380">
        <f>IF(AA380="","",VLOOKUP(C380,tnpl!$Z$1:$AA$11,2,TRUE))</f>
        <v>3</v>
      </c>
      <c r="E380" t="s">
        <v>3168</v>
      </c>
      <c r="F380" t="str">
        <f t="shared" si="119"/>
        <v>緑</v>
      </c>
      <c r="G380">
        <f>IF(AB380="","",VLOOKUP(F380,tnpl!$X$1:$Y$16,2,TRUE))</f>
        <v>5</v>
      </c>
      <c r="H380" t="s">
        <v>3168</v>
      </c>
      <c r="I380">
        <f t="shared" si="120"/>
        <v>21</v>
      </c>
      <c r="J380" t="s">
        <v>3168</v>
      </c>
      <c r="K380">
        <f t="shared" si="121"/>
        <v>5</v>
      </c>
      <c r="L380">
        <f t="shared" si="122"/>
        <v>4</v>
      </c>
      <c r="M380" t="str">
        <f t="shared" si="117"/>
        <v>5/4</v>
      </c>
      <c r="N380" t="s">
        <v>3175</v>
      </c>
      <c r="O380" t="str">
        <f t="shared" si="123"/>
        <v>アンコモン</v>
      </c>
      <c r="R380" t="s">
        <v>3175</v>
      </c>
      <c r="S380" t="s">
        <v>4750</v>
      </c>
      <c r="T380" t="str">
        <f t="shared" si="124"/>
        <v>産み落とす巨体</v>
      </c>
      <c r="U380" t="str">
        <f t="shared" si="125"/>
        <v/>
      </c>
      <c r="V380" t="str">
        <f>IF(I380=0,VLOOKUP(TAG!T385,Sheet4!A:B,2,TRUE),"")</f>
        <v/>
      </c>
      <c r="W380" t="s">
        <v>4751</v>
      </c>
      <c r="X380" t="s">
        <v>3175</v>
      </c>
      <c r="Z380" s="3">
        <v>511</v>
      </c>
      <c r="AA380" s="2" t="s">
        <v>3171</v>
      </c>
      <c r="AB380" s="1" t="s">
        <v>1518</v>
      </c>
      <c r="AC380" s="1" t="s">
        <v>1451</v>
      </c>
      <c r="AD380" s="1">
        <v>21</v>
      </c>
      <c r="AE380" s="1" t="s">
        <v>1547</v>
      </c>
      <c r="AF380" s="1" t="s">
        <v>1546</v>
      </c>
      <c r="AG380" s="1" t="s">
        <v>339</v>
      </c>
      <c r="AH380" s="1" t="s">
        <v>1435</v>
      </c>
      <c r="AI380" s="1" t="s">
        <v>1501</v>
      </c>
      <c r="AJ380" s="1"/>
      <c r="AK380" s="1" t="s">
        <v>3412</v>
      </c>
      <c r="AL380" s="1" t="s">
        <v>1545</v>
      </c>
      <c r="AM380" s="1" t="s">
        <v>1544</v>
      </c>
      <c r="AN380" s="1"/>
      <c r="AO380" s="1">
        <v>5</v>
      </c>
      <c r="AP380" s="1">
        <v>4</v>
      </c>
      <c r="AQ380" s="1" t="s">
        <v>3413</v>
      </c>
    </row>
    <row r="381" spans="1:43" x14ac:dyDescent="0.15">
      <c r="A381" t="str">
        <f t="shared" si="116"/>
        <v>|SOI|青|0|5/4|アンコモン|《[[完成態&gt;逸脱した研究者]]》|</v>
      </c>
      <c r="B381" t="s">
        <v>3168</v>
      </c>
      <c r="C381" t="str">
        <f t="shared" si="118"/>
        <v>SOI</v>
      </c>
      <c r="D381">
        <f>IF(AA381="","",VLOOKUP(C381,tnpl!$Z$1:$AA$11,2,TRUE))</f>
        <v>4</v>
      </c>
      <c r="E381" t="s">
        <v>3168</v>
      </c>
      <c r="F381" t="str">
        <f t="shared" si="119"/>
        <v>青</v>
      </c>
      <c r="G381">
        <f>IF(AB381="","",VLOOKUP(F381,tnpl!$X$1:$Y$16,2,TRUE))</f>
        <v>2</v>
      </c>
      <c r="H381" t="s">
        <v>3168</v>
      </c>
      <c r="I381">
        <f t="shared" si="120"/>
        <v>0</v>
      </c>
      <c r="J381" t="s">
        <v>3168</v>
      </c>
      <c r="K381">
        <f t="shared" si="121"/>
        <v>5</v>
      </c>
      <c r="L381">
        <f t="shared" si="122"/>
        <v>4</v>
      </c>
      <c r="M381" t="str">
        <f t="shared" si="117"/>
        <v>5/4</v>
      </c>
      <c r="N381" t="s">
        <v>3175</v>
      </c>
      <c r="O381" t="str">
        <f t="shared" si="123"/>
        <v>アンコモン</v>
      </c>
      <c r="R381" t="s">
        <v>3175</v>
      </c>
      <c r="S381" t="s">
        <v>4750</v>
      </c>
      <c r="T381" t="str">
        <f t="shared" si="124"/>
        <v>完成態</v>
      </c>
      <c r="U381" t="str">
        <f t="shared" si="125"/>
        <v>&gt;</v>
      </c>
      <c r="V381" t="str">
        <f>IF(I381=0,VLOOKUP(T381,Sheet4!A:B,2,TRUE),"")</f>
        <v>逸脱した研究者</v>
      </c>
      <c r="W381" t="s">
        <v>4751</v>
      </c>
      <c r="X381" t="s">
        <v>3175</v>
      </c>
      <c r="Z381" s="3">
        <v>590</v>
      </c>
      <c r="AA381" s="2" t="s">
        <v>3431</v>
      </c>
      <c r="AB381" s="1" t="s">
        <v>1606</v>
      </c>
      <c r="AC381" s="1" t="s">
        <v>1451</v>
      </c>
      <c r="AD381" s="13">
        <v>0</v>
      </c>
      <c r="AE381" s="1" t="s">
        <v>1037</v>
      </c>
      <c r="AF381" s="1" t="s">
        <v>1036</v>
      </c>
      <c r="AG381" s="1" t="s">
        <v>339</v>
      </c>
      <c r="AH381" s="1" t="s">
        <v>1945</v>
      </c>
      <c r="AI381" s="1" t="s">
        <v>2802</v>
      </c>
      <c r="AJ381" s="1"/>
      <c r="AK381" s="1" t="s">
        <v>351</v>
      </c>
      <c r="AL381" s="1"/>
      <c r="AM381" s="1"/>
      <c r="AN381" s="1"/>
      <c r="AO381" s="1">
        <v>5</v>
      </c>
      <c r="AP381" s="1">
        <v>4</v>
      </c>
      <c r="AQ381" s="1" t="s">
        <v>351</v>
      </c>
    </row>
    <row r="382" spans="1:43" x14ac:dyDescent="0.15">
      <c r="A382" t="str">
        <f t="shared" si="116"/>
        <v>|EMN|赤|15|5/4|アンコモン|《[[嵐の伝導者]]》|</v>
      </c>
      <c r="B382" t="s">
        <v>3168</v>
      </c>
      <c r="C382" t="str">
        <f t="shared" si="118"/>
        <v>EMN</v>
      </c>
      <c r="D382">
        <f>IF(AA382="","",VLOOKUP(C382,tnpl!$Z$1:$AA$11,2,TRUE))</f>
        <v>5</v>
      </c>
      <c r="E382" t="s">
        <v>3168</v>
      </c>
      <c r="F382" t="str">
        <f t="shared" si="119"/>
        <v>赤</v>
      </c>
      <c r="G382">
        <f>IF(AB382="","",VLOOKUP(F382,tnpl!$X$1:$Y$16,2,TRUE))</f>
        <v>4</v>
      </c>
      <c r="H382" t="s">
        <v>3168</v>
      </c>
      <c r="I382">
        <f t="shared" si="120"/>
        <v>15</v>
      </c>
      <c r="J382" t="s">
        <v>3168</v>
      </c>
      <c r="K382">
        <f t="shared" si="121"/>
        <v>5</v>
      </c>
      <c r="L382">
        <f t="shared" si="122"/>
        <v>4</v>
      </c>
      <c r="M382" t="str">
        <f t="shared" si="117"/>
        <v>5/4</v>
      </c>
      <c r="N382" t="s">
        <v>3175</v>
      </c>
      <c r="O382" t="str">
        <f t="shared" si="123"/>
        <v>アンコモン</v>
      </c>
      <c r="R382" t="s">
        <v>3175</v>
      </c>
      <c r="S382" t="s">
        <v>4750</v>
      </c>
      <c r="T382" t="str">
        <f t="shared" si="124"/>
        <v>嵐の伝導者</v>
      </c>
      <c r="U382" t="str">
        <f t="shared" si="125"/>
        <v/>
      </c>
      <c r="V382" t="str">
        <f>IF(I382=0,VLOOKUP(T382,Sheet4!A:B,2,TRUE),"")</f>
        <v/>
      </c>
      <c r="W382" t="s">
        <v>4751</v>
      </c>
      <c r="X382" t="s">
        <v>3175</v>
      </c>
      <c r="Z382" s="3">
        <v>791</v>
      </c>
      <c r="AA382" s="2" t="s">
        <v>3773</v>
      </c>
      <c r="AB382" s="1" t="s">
        <v>1552</v>
      </c>
      <c r="AC382" s="1" t="s">
        <v>1451</v>
      </c>
      <c r="AD382" s="14">
        <v>15</v>
      </c>
      <c r="AE382" s="1" t="s">
        <v>934</v>
      </c>
      <c r="AF382" s="1" t="s">
        <v>933</v>
      </c>
      <c r="AG382" s="1" t="s">
        <v>339</v>
      </c>
      <c r="AH382" s="1" t="s">
        <v>3605</v>
      </c>
      <c r="AI382" s="1" t="s">
        <v>2802</v>
      </c>
      <c r="AJ382" s="1"/>
      <c r="AK382" s="1" t="s">
        <v>3851</v>
      </c>
      <c r="AL382" s="1" t="s">
        <v>3852</v>
      </c>
      <c r="AM382" s="1"/>
      <c r="AN382" s="1"/>
      <c r="AO382" s="1">
        <v>5</v>
      </c>
      <c r="AP382" s="1">
        <v>4</v>
      </c>
      <c r="AQ382" s="1" t="s">
        <v>3853</v>
      </c>
    </row>
    <row r="383" spans="1:43" x14ac:dyDescent="0.15">
      <c r="A383" t="str">
        <f t="shared" si="116"/>
        <v>|EMN|赤|0|5/4|アンコモン|《[[エムラクールの伝導者&gt;嵐の伝導者]]》|</v>
      </c>
      <c r="B383" t="s">
        <v>3168</v>
      </c>
      <c r="C383" t="str">
        <f t="shared" si="118"/>
        <v>EMN</v>
      </c>
      <c r="D383">
        <f>IF(AA383="","",VLOOKUP(C383,tnpl!$Z$1:$AA$11,2,TRUE))</f>
        <v>5</v>
      </c>
      <c r="E383" t="s">
        <v>3168</v>
      </c>
      <c r="F383" t="str">
        <f t="shared" si="119"/>
        <v>赤</v>
      </c>
      <c r="G383">
        <f>IF(AB383="","",VLOOKUP(F383,tnpl!$X$1:$Y$16,2,TRUE))</f>
        <v>4</v>
      </c>
      <c r="H383" t="s">
        <v>3168</v>
      </c>
      <c r="I383">
        <f t="shared" si="120"/>
        <v>0</v>
      </c>
      <c r="J383" t="s">
        <v>3168</v>
      </c>
      <c r="K383">
        <f t="shared" si="121"/>
        <v>5</v>
      </c>
      <c r="L383">
        <f t="shared" si="122"/>
        <v>4</v>
      </c>
      <c r="M383" t="str">
        <f t="shared" si="117"/>
        <v>5/4</v>
      </c>
      <c r="N383" t="s">
        <v>3175</v>
      </c>
      <c r="O383" t="str">
        <f t="shared" si="123"/>
        <v>アンコモン</v>
      </c>
      <c r="R383" t="s">
        <v>3175</v>
      </c>
      <c r="S383" t="s">
        <v>4750</v>
      </c>
      <c r="T383" t="str">
        <f t="shared" si="124"/>
        <v>エムラクールの伝導者</v>
      </c>
      <c r="U383" t="str">
        <f t="shared" si="125"/>
        <v>&gt;</v>
      </c>
      <c r="V383" t="str">
        <f>IF(I383=0,VLOOKUP(T383,Sheet4!A:B,2,TRUE),"")</f>
        <v>嵐の伝導者</v>
      </c>
      <c r="W383" t="s">
        <v>4751</v>
      </c>
      <c r="X383" t="s">
        <v>3175</v>
      </c>
      <c r="Z383" s="3">
        <v>792</v>
      </c>
      <c r="AA383" s="2" t="s">
        <v>3773</v>
      </c>
      <c r="AB383" s="1" t="s">
        <v>1552</v>
      </c>
      <c r="AC383" s="1" t="s">
        <v>1451</v>
      </c>
      <c r="AD383" s="13">
        <v>0</v>
      </c>
      <c r="AE383" s="1" t="s">
        <v>846</v>
      </c>
      <c r="AF383" s="1" t="s">
        <v>845</v>
      </c>
      <c r="AG383" s="1" t="s">
        <v>339</v>
      </c>
      <c r="AH383" s="1" t="s">
        <v>1435</v>
      </c>
      <c r="AI383" s="1" t="s">
        <v>3605</v>
      </c>
      <c r="AJ383" s="1"/>
      <c r="AK383" s="1" t="s">
        <v>3854</v>
      </c>
      <c r="AL383" s="1"/>
      <c r="AM383" s="1"/>
      <c r="AN383" s="1"/>
      <c r="AO383" s="1">
        <v>5</v>
      </c>
      <c r="AP383" s="1">
        <v>4</v>
      </c>
      <c r="AQ383" s="1" t="s">
        <v>3854</v>
      </c>
    </row>
    <row r="384" spans="1:43" x14ac:dyDescent="0.15">
      <c r="A384" t="str">
        <f t="shared" si="116"/>
        <v>|EMN|無色|14|5/4|アンコモン|《[[絡み草の闇潜み]]》|</v>
      </c>
      <c r="B384" t="s">
        <v>3168</v>
      </c>
      <c r="C384" t="str">
        <f t="shared" si="118"/>
        <v>EMN</v>
      </c>
      <c r="D384">
        <f>IF(AA384="","",VLOOKUP(C384,tnpl!$Z$1:$AA$11,2,TRUE))</f>
        <v>5</v>
      </c>
      <c r="E384" t="s">
        <v>3168</v>
      </c>
      <c r="F384" t="str">
        <f t="shared" si="119"/>
        <v>無色</v>
      </c>
      <c r="G384">
        <f>IF(AB384="","",VLOOKUP(F384,tnpl!$X$1:$Y$16,2,TRUE))</f>
        <v>16</v>
      </c>
      <c r="H384" t="s">
        <v>3168</v>
      </c>
      <c r="I384">
        <f t="shared" si="120"/>
        <v>14</v>
      </c>
      <c r="J384" t="s">
        <v>3168</v>
      </c>
      <c r="K384">
        <f t="shared" si="121"/>
        <v>5</v>
      </c>
      <c r="L384">
        <f t="shared" si="122"/>
        <v>4</v>
      </c>
      <c r="M384" t="str">
        <f t="shared" si="117"/>
        <v>5/4</v>
      </c>
      <c r="N384" t="s">
        <v>3175</v>
      </c>
      <c r="O384" t="str">
        <f t="shared" si="123"/>
        <v>アンコモン</v>
      </c>
      <c r="R384" t="s">
        <v>3175</v>
      </c>
      <c r="S384" t="s">
        <v>4750</v>
      </c>
      <c r="T384" t="str">
        <f t="shared" si="124"/>
        <v>絡み草の闇潜み</v>
      </c>
      <c r="U384" t="str">
        <f t="shared" si="125"/>
        <v/>
      </c>
      <c r="V384" t="str">
        <f>IF(I384=0,VLOOKUP(T384,Sheet4!A:B,2,TRUE),"")</f>
        <v/>
      </c>
      <c r="W384" t="s">
        <v>4751</v>
      </c>
      <c r="X384" t="s">
        <v>3175</v>
      </c>
      <c r="Z384" s="3">
        <v>826</v>
      </c>
      <c r="AA384" s="2" t="s">
        <v>3773</v>
      </c>
      <c r="AB384" s="1" t="s">
        <v>292</v>
      </c>
      <c r="AC384" s="1" t="s">
        <v>1451</v>
      </c>
      <c r="AD384" s="1">
        <v>14</v>
      </c>
      <c r="AE384" s="1" t="s">
        <v>878</v>
      </c>
      <c r="AF384" s="1" t="s">
        <v>877</v>
      </c>
      <c r="AG384" s="1" t="s">
        <v>339</v>
      </c>
      <c r="AH384" s="1" t="s">
        <v>1435</v>
      </c>
      <c r="AI384" s="1" t="s">
        <v>2802</v>
      </c>
      <c r="AJ384" s="1"/>
      <c r="AK384" s="1" t="s">
        <v>3916</v>
      </c>
      <c r="AL384" s="1" t="s">
        <v>3917</v>
      </c>
      <c r="AM384" s="1"/>
      <c r="AN384" s="1"/>
      <c r="AO384" s="1">
        <v>5</v>
      </c>
      <c r="AP384" s="1">
        <v>4</v>
      </c>
      <c r="AQ384" s="1" t="s">
        <v>3918</v>
      </c>
    </row>
    <row r="385" spans="1:43" x14ac:dyDescent="0.15">
      <c r="A385" t="str">
        <f t="shared" si="116"/>
        <v>|AKH|黒|19|5/4|レア|《[[イフニルの魔神]]》|</v>
      </c>
      <c r="B385" t="s">
        <v>3168</v>
      </c>
      <c r="C385" t="str">
        <f t="shared" si="118"/>
        <v>AKH</v>
      </c>
      <c r="D385">
        <f>IF(AA385="","",VLOOKUP(C385,tnpl!$Z$1:$AA$11,2,TRUE))</f>
        <v>10</v>
      </c>
      <c r="E385" t="s">
        <v>3168</v>
      </c>
      <c r="F385" t="str">
        <f t="shared" si="119"/>
        <v>黒</v>
      </c>
      <c r="G385">
        <f>IF(AB385="","",VLOOKUP(F385,tnpl!$X$1:$Y$16,2,TRUE))</f>
        <v>3</v>
      </c>
      <c r="H385" t="s">
        <v>3168</v>
      </c>
      <c r="I385">
        <f t="shared" si="120"/>
        <v>19</v>
      </c>
      <c r="J385" t="s">
        <v>3168</v>
      </c>
      <c r="K385">
        <f t="shared" si="121"/>
        <v>5</v>
      </c>
      <c r="L385">
        <f t="shared" si="122"/>
        <v>4</v>
      </c>
      <c r="M385" t="str">
        <f t="shared" si="117"/>
        <v>5/4</v>
      </c>
      <c r="N385" t="s">
        <v>3175</v>
      </c>
      <c r="O385" t="str">
        <f t="shared" si="123"/>
        <v>レア</v>
      </c>
      <c r="R385" t="s">
        <v>3175</v>
      </c>
      <c r="S385" t="s">
        <v>4750</v>
      </c>
      <c r="T385" t="str">
        <f t="shared" si="124"/>
        <v>イフニルの魔神</v>
      </c>
      <c r="U385" t="str">
        <f t="shared" si="125"/>
        <v/>
      </c>
      <c r="V385" t="str">
        <f>IF(I385=0,VLOOKUP(T385,Sheet4!A:B,2,TRUE),"")</f>
        <v/>
      </c>
      <c r="W385" t="s">
        <v>4751</v>
      </c>
      <c r="X385" t="s">
        <v>3175</v>
      </c>
      <c r="Z385" s="3">
        <v>1170</v>
      </c>
      <c r="AA385" s="2" t="s">
        <v>4349</v>
      </c>
      <c r="AB385" s="1" t="s">
        <v>1582</v>
      </c>
      <c r="AC385" s="1" t="s">
        <v>1441</v>
      </c>
      <c r="AD385" s="1">
        <v>19</v>
      </c>
      <c r="AE385" s="1" t="s">
        <v>157</v>
      </c>
      <c r="AF385" s="1" t="s">
        <v>156</v>
      </c>
      <c r="AG385" s="1" t="s">
        <v>339</v>
      </c>
      <c r="AH385" s="1" t="s">
        <v>2793</v>
      </c>
      <c r="AI385" s="1"/>
      <c r="AJ385" s="1"/>
      <c r="AK385" s="1" t="s">
        <v>351</v>
      </c>
      <c r="AL385" s="1" t="s">
        <v>4482</v>
      </c>
      <c r="AM385" s="1" t="s">
        <v>4483</v>
      </c>
      <c r="AN385" s="1"/>
      <c r="AO385" s="1">
        <v>5</v>
      </c>
      <c r="AP385" s="1">
        <v>4</v>
      </c>
      <c r="AQ385" s="1" t="s">
        <v>4484</v>
      </c>
    </row>
    <row r="386" spans="1:43" x14ac:dyDescent="0.15">
      <c r="A386" t="str">
        <f t="shared" si="116"/>
        <v>|AKH|赤|10|5/4|神話レア|《[[熱烈の神ハゾレト]]》|</v>
      </c>
      <c r="B386" t="s">
        <v>3168</v>
      </c>
      <c r="C386" t="str">
        <f t="shared" si="118"/>
        <v>AKH</v>
      </c>
      <c r="D386">
        <f>IF(AA386="","",VLOOKUP(C386,tnpl!$Z$1:$AA$11,2,TRUE))</f>
        <v>10</v>
      </c>
      <c r="E386" t="s">
        <v>3168</v>
      </c>
      <c r="F386" t="str">
        <f t="shared" si="119"/>
        <v>赤</v>
      </c>
      <c r="G386">
        <f>IF(AB386="","",VLOOKUP(F386,tnpl!$X$1:$Y$16,2,TRUE))</f>
        <v>4</v>
      </c>
      <c r="H386" t="s">
        <v>3168</v>
      </c>
      <c r="I386">
        <f t="shared" si="120"/>
        <v>10</v>
      </c>
      <c r="J386" t="s">
        <v>3168</v>
      </c>
      <c r="K386">
        <f t="shared" si="121"/>
        <v>5</v>
      </c>
      <c r="L386">
        <f t="shared" si="122"/>
        <v>4</v>
      </c>
      <c r="M386" t="str">
        <f t="shared" si="117"/>
        <v>5/4</v>
      </c>
      <c r="N386" t="s">
        <v>3175</v>
      </c>
      <c r="O386" t="str">
        <f t="shared" si="123"/>
        <v>神話レア</v>
      </c>
      <c r="R386" t="s">
        <v>3175</v>
      </c>
      <c r="S386" t="s">
        <v>4750</v>
      </c>
      <c r="T386" t="str">
        <f t="shared" si="124"/>
        <v>熱烈の神ハゾレト</v>
      </c>
      <c r="U386" t="str">
        <f t="shared" si="125"/>
        <v/>
      </c>
      <c r="V386" t="str">
        <f>IF(I386=0,VLOOKUP(T386,Sheet4!A:B,2,TRUE),"")</f>
        <v/>
      </c>
      <c r="W386" t="s">
        <v>4751</v>
      </c>
      <c r="X386" t="s">
        <v>3175</v>
      </c>
      <c r="Z386" s="3">
        <v>1200</v>
      </c>
      <c r="AA386" s="2" t="s">
        <v>4349</v>
      </c>
      <c r="AB386" s="1" t="s">
        <v>1552</v>
      </c>
      <c r="AC386" s="1" t="s">
        <v>1431</v>
      </c>
      <c r="AD386" s="1">
        <v>10</v>
      </c>
      <c r="AE386" s="1" t="s">
        <v>100</v>
      </c>
      <c r="AF386" s="1" t="s">
        <v>99</v>
      </c>
      <c r="AG386" s="1" t="s">
        <v>339</v>
      </c>
      <c r="AH386" s="1" t="s">
        <v>4398</v>
      </c>
      <c r="AI386" s="1"/>
      <c r="AJ386" s="1"/>
      <c r="AK386" s="1" t="s">
        <v>4537</v>
      </c>
      <c r="AL386" s="1" t="s">
        <v>4538</v>
      </c>
      <c r="AM386" s="1" t="s">
        <v>4539</v>
      </c>
      <c r="AN386" s="1"/>
      <c r="AO386" s="1">
        <v>5</v>
      </c>
      <c r="AP386" s="1">
        <v>4</v>
      </c>
      <c r="AQ386" s="1" t="s">
        <v>4540</v>
      </c>
    </row>
    <row r="387" spans="1:43" x14ac:dyDescent="0.15">
      <c r="A387" t="str">
        <f t="shared" si="116"/>
        <v>|AKH|緑|10|5/4|アンコモン|《[[横断地のクロコダイル]]》|</v>
      </c>
      <c r="B387" t="s">
        <v>3168</v>
      </c>
      <c r="C387" t="str">
        <f t="shared" si="118"/>
        <v>AKH</v>
      </c>
      <c r="D387">
        <f>IF(AA387="","",VLOOKUP(C387,tnpl!$Z$1:$AA$11,2,TRUE))</f>
        <v>10</v>
      </c>
      <c r="E387" t="s">
        <v>3168</v>
      </c>
      <c r="F387" t="str">
        <f t="shared" si="119"/>
        <v>緑</v>
      </c>
      <c r="G387">
        <f>IF(AB387="","",VLOOKUP(F387,tnpl!$X$1:$Y$16,2,TRUE))</f>
        <v>5</v>
      </c>
      <c r="H387" t="s">
        <v>3168</v>
      </c>
      <c r="I387">
        <f t="shared" si="120"/>
        <v>10</v>
      </c>
      <c r="J387" t="s">
        <v>3168</v>
      </c>
      <c r="K387">
        <f t="shared" si="121"/>
        <v>5</v>
      </c>
      <c r="L387">
        <f t="shared" si="122"/>
        <v>4</v>
      </c>
      <c r="M387" t="str">
        <f t="shared" si="117"/>
        <v>5/4</v>
      </c>
      <c r="N387" t="s">
        <v>3175</v>
      </c>
      <c r="O387" t="str">
        <f t="shared" si="123"/>
        <v>アンコモン</v>
      </c>
      <c r="R387" t="s">
        <v>3175</v>
      </c>
      <c r="S387" t="s">
        <v>4750</v>
      </c>
      <c r="T387" t="str">
        <f t="shared" si="124"/>
        <v>横断地のクロコダイル</v>
      </c>
      <c r="U387" t="str">
        <f t="shared" si="125"/>
        <v/>
      </c>
      <c r="V387" t="str">
        <f>IF(I387=0,VLOOKUP(T387,Sheet4!A:B,2,TRUE),"")</f>
        <v/>
      </c>
      <c r="W387" t="s">
        <v>4751</v>
      </c>
      <c r="X387" t="s">
        <v>3175</v>
      </c>
      <c r="Z387" s="3">
        <v>1283</v>
      </c>
      <c r="AA387" s="2" t="s">
        <v>4349</v>
      </c>
      <c r="AB387" s="1" t="s">
        <v>1518</v>
      </c>
      <c r="AC387" s="1" t="s">
        <v>1451</v>
      </c>
      <c r="AD387" s="1">
        <v>10</v>
      </c>
      <c r="AE387" s="1" t="s">
        <v>4719</v>
      </c>
      <c r="AF387" s="1" t="s">
        <v>4720</v>
      </c>
      <c r="AG387" s="1" t="s">
        <v>339</v>
      </c>
      <c r="AH387" s="1" t="s">
        <v>4032</v>
      </c>
      <c r="AI387" s="1"/>
      <c r="AJ387" s="1"/>
      <c r="AK387" s="1" t="s">
        <v>2755</v>
      </c>
      <c r="AL387" s="1" t="s">
        <v>4585</v>
      </c>
      <c r="AM387" s="1"/>
      <c r="AN387" s="1"/>
      <c r="AO387" s="1">
        <v>5</v>
      </c>
      <c r="AP387" s="1">
        <v>4</v>
      </c>
      <c r="AQ387" s="1" t="s">
        <v>4721</v>
      </c>
    </row>
    <row r="388" spans="1:43" x14ac:dyDescent="0.15">
      <c r="A388" t="str">
        <f>B388&amp;C388&amp;E388&amp;F388&amp;H388&amp;I388&amp;J388&amp;M388&amp;N388&amp;O388&amp;P388&amp;Q388&amp;R388&amp;S388&amp;T388&amp;V388&amp;W388&amp;X388&amp;Y388</f>
        <v/>
      </c>
    </row>
    <row r="389" spans="1:43" x14ac:dyDescent="0.15">
      <c r="A389" t="str">
        <f>B389&amp;C389&amp;E389&amp;F389&amp;H389&amp;I389&amp;J389&amp;M389&amp;N389&amp;O389&amp;P389&amp;Q389&amp;R389&amp;S389&amp;T389&amp;V389&amp;W389&amp;X389&amp;Y389</f>
        <v>**5/6クリーチャー</v>
      </c>
      <c r="B389" t="s">
        <v>4752</v>
      </c>
      <c r="C389">
        <f>K392</f>
        <v>5</v>
      </c>
      <c r="E389" t="s">
        <v>4816</v>
      </c>
      <c r="F389">
        <f>L392</f>
        <v>6</v>
      </c>
      <c r="I389" t="s">
        <v>339</v>
      </c>
      <c r="V389" t="str">
        <f>IF(I389=0,VLOOKUP(TAG!T389,Sheet4!A:B,2,TRUE),"")</f>
        <v/>
      </c>
    </row>
    <row r="390" spans="1:43" x14ac:dyDescent="0.15">
      <c r="A390" t="str">
        <f t="shared" ref="A390:A405" si="126">B390&amp;C390&amp;E390&amp;F390&amp;H390&amp;I390&amp;J390&amp;M390&amp;N390&amp;O390&amp;P390&amp;Q390&amp;R390&amp;S390&amp;T390&amp;U390&amp;V390&amp;W390&amp;X390&amp;Y390</f>
        <v>|LEFT:50|LEFT:50|LEFT:50|LEFT:120|LEFT:120|LEFT:500|c</v>
      </c>
      <c r="B390" t="s">
        <v>3168</v>
      </c>
      <c r="C390" t="s">
        <v>3162</v>
      </c>
      <c r="E390" t="s">
        <v>3168</v>
      </c>
      <c r="F390" t="s">
        <v>3162</v>
      </c>
      <c r="H390" t="s">
        <v>3168</v>
      </c>
      <c r="I390" t="s">
        <v>3162</v>
      </c>
      <c r="J390" t="s">
        <v>3168</v>
      </c>
      <c r="M390" t="s">
        <v>4808</v>
      </c>
      <c r="N390" t="s">
        <v>3175</v>
      </c>
      <c r="O390" t="s">
        <v>4808</v>
      </c>
      <c r="R390" t="s">
        <v>3175</v>
      </c>
      <c r="T390" t="s">
        <v>3163</v>
      </c>
      <c r="V390" t="str">
        <f>IF(I390=0,VLOOKUP(TAG!T390,Sheet4!A:B,2,TRUE),"")</f>
        <v/>
      </c>
      <c r="X390" t="s">
        <v>3175</v>
      </c>
      <c r="Y390" t="s">
        <v>3164</v>
      </c>
    </row>
    <row r="391" spans="1:43" x14ac:dyDescent="0.15">
      <c r="A391" t="str">
        <f t="shared" si="126"/>
        <v>|セット|色|コスト|P/T|レアリティ|カード名|</v>
      </c>
      <c r="B391" t="s">
        <v>3168</v>
      </c>
      <c r="C391" t="s">
        <v>3169</v>
      </c>
      <c r="E391" t="s">
        <v>3168</v>
      </c>
      <c r="F391" t="s">
        <v>3139</v>
      </c>
      <c r="H391" t="s">
        <v>3168</v>
      </c>
      <c r="I391" t="s">
        <v>3165</v>
      </c>
      <c r="J391" t="s">
        <v>3168</v>
      </c>
      <c r="K391" t="s">
        <v>3126</v>
      </c>
      <c r="L391" t="s">
        <v>3125</v>
      </c>
      <c r="M391" t="str">
        <f t="shared" ref="M391:M405" si="127">K391&amp;"/"&amp;L391</f>
        <v>P/T</v>
      </c>
      <c r="N391" t="s">
        <v>3175</v>
      </c>
      <c r="O391" t="s">
        <v>4809</v>
      </c>
      <c r="R391" t="s">
        <v>3175</v>
      </c>
      <c r="T391" t="s">
        <v>3166</v>
      </c>
      <c r="V391" t="str">
        <f>IF(I391=0,VLOOKUP(TAG!T391,Sheet4!A:B,2,TRUE),"")</f>
        <v/>
      </c>
      <c r="X391" t="s">
        <v>3175</v>
      </c>
      <c r="Z391" s="12"/>
      <c r="AA391" s="12"/>
      <c r="AB391" s="12"/>
      <c r="AC391" s="12"/>
      <c r="AD391" s="12"/>
      <c r="AE391" s="12"/>
      <c r="AF391" s="12"/>
      <c r="AG391" s="12"/>
      <c r="AH391" s="12"/>
      <c r="AI391" s="12"/>
      <c r="AJ391" s="12"/>
      <c r="AK391" s="12"/>
      <c r="AL391" s="12"/>
      <c r="AM391" s="12"/>
      <c r="AN391" s="12"/>
      <c r="AO391" s="12"/>
      <c r="AP391" s="12"/>
      <c r="AQ391" s="12"/>
    </row>
    <row r="392" spans="1:43" x14ac:dyDescent="0.15">
      <c r="A392" t="str">
        <f t="shared" si="126"/>
        <v>|ORI|赤|16|5/6|レア|《[[燃えさし口のヘリオン]]》|</v>
      </c>
      <c r="B392" t="s">
        <v>3168</v>
      </c>
      <c r="C392" t="str">
        <f t="shared" ref="C392:C405" si="128">AA392</f>
        <v>ORI</v>
      </c>
      <c r="D392">
        <f>IF(AA392="","",VLOOKUP(C392,tnpl!$Z$1:$AA$11,2,TRUE))</f>
        <v>1</v>
      </c>
      <c r="E392" t="s">
        <v>3168</v>
      </c>
      <c r="F392" t="str">
        <f t="shared" ref="F392:F405" si="129">AB392</f>
        <v>赤</v>
      </c>
      <c r="G392">
        <f>IF(AB392="","",VLOOKUP(F392,tnpl!$X$1:$Y$16,2,TRUE))</f>
        <v>4</v>
      </c>
      <c r="H392" t="s">
        <v>3168</v>
      </c>
      <c r="I392">
        <f t="shared" ref="I392:I405" si="130">AD392</f>
        <v>16</v>
      </c>
      <c r="J392" t="s">
        <v>3168</v>
      </c>
      <c r="K392">
        <f t="shared" ref="K392:K405" si="131">AO392</f>
        <v>5</v>
      </c>
      <c r="L392">
        <f t="shared" ref="L392:L405" si="132">AP392</f>
        <v>6</v>
      </c>
      <c r="M392" t="str">
        <f t="shared" si="127"/>
        <v>5/6</v>
      </c>
      <c r="N392" t="s">
        <v>3175</v>
      </c>
      <c r="O392" t="str">
        <f t="shared" ref="O392:O405" si="133">AC392</f>
        <v>レア</v>
      </c>
      <c r="R392" t="s">
        <v>3175</v>
      </c>
      <c r="S392" t="s">
        <v>4750</v>
      </c>
      <c r="T392" t="str">
        <f t="shared" ref="T392:T405" si="134">AE392</f>
        <v>燃えさし口のヘリオン</v>
      </c>
      <c r="U392" t="str">
        <f t="shared" ref="U392:U405" si="135">IF(I392=0,"&gt;","")</f>
        <v/>
      </c>
      <c r="V392" t="str">
        <f>IF(I392=0,VLOOKUP(TAG!T373,Sheet4!A:B,2,TRUE),"")</f>
        <v/>
      </c>
      <c r="W392" t="s">
        <v>4751</v>
      </c>
      <c r="X392" t="s">
        <v>3175</v>
      </c>
      <c r="Z392" s="3">
        <v>154</v>
      </c>
      <c r="AA392" s="2" t="s">
        <v>3176</v>
      </c>
      <c r="AB392" s="1" t="s">
        <v>1552</v>
      </c>
      <c r="AC392" s="1" t="s">
        <v>1441</v>
      </c>
      <c r="AD392" s="1">
        <v>16</v>
      </c>
      <c r="AE392" s="1" t="s">
        <v>2680</v>
      </c>
      <c r="AF392" s="1" t="s">
        <v>2679</v>
      </c>
      <c r="AG392" s="1" t="s">
        <v>339</v>
      </c>
      <c r="AH392" s="1" t="s">
        <v>2678</v>
      </c>
      <c r="AI392" s="1"/>
      <c r="AJ392" s="1"/>
      <c r="AK392" s="1" t="s">
        <v>3218</v>
      </c>
      <c r="AL392" s="1" t="s">
        <v>3255</v>
      </c>
      <c r="AM392" s="1"/>
      <c r="AN392" s="1"/>
      <c r="AO392" s="1">
        <v>5</v>
      </c>
      <c r="AP392" s="1">
        <v>6</v>
      </c>
      <c r="AQ392" s="1" t="s">
        <v>3256</v>
      </c>
    </row>
    <row r="393" spans="1:43" x14ac:dyDescent="0.15">
      <c r="A393" t="str">
        <f t="shared" si="126"/>
        <v>|ORI|緑|14|5/6|レア|《[[光り葉の将帥、ドゥイネン]]》|</v>
      </c>
      <c r="B393" t="s">
        <v>3168</v>
      </c>
      <c r="C393" t="str">
        <f t="shared" si="128"/>
        <v>ORI</v>
      </c>
      <c r="D393">
        <f>IF(AA393="","",VLOOKUP(C393,tnpl!$Z$1:$AA$11,2,TRUE))</f>
        <v>1</v>
      </c>
      <c r="E393" t="s">
        <v>3168</v>
      </c>
      <c r="F393" t="str">
        <f t="shared" si="129"/>
        <v>緑</v>
      </c>
      <c r="G393">
        <f>IF(AB393="","",VLOOKUP(F393,tnpl!$X$1:$Y$16,2,TRUE))</f>
        <v>5</v>
      </c>
      <c r="H393" t="s">
        <v>3168</v>
      </c>
      <c r="I393">
        <f t="shared" si="130"/>
        <v>14</v>
      </c>
      <c r="J393" t="s">
        <v>3168</v>
      </c>
      <c r="K393">
        <f t="shared" si="131"/>
        <v>5</v>
      </c>
      <c r="L393">
        <f t="shared" si="132"/>
        <v>6</v>
      </c>
      <c r="M393" t="str">
        <f t="shared" si="127"/>
        <v>5/6</v>
      </c>
      <c r="N393" t="s">
        <v>3175</v>
      </c>
      <c r="O393" t="str">
        <f t="shared" si="133"/>
        <v>レア</v>
      </c>
      <c r="R393" t="s">
        <v>3175</v>
      </c>
      <c r="S393" t="s">
        <v>4750</v>
      </c>
      <c r="T393" t="str">
        <f t="shared" si="134"/>
        <v>光り葉の将帥、ドゥイネン</v>
      </c>
      <c r="U393" t="str">
        <f t="shared" si="135"/>
        <v/>
      </c>
      <c r="V393" t="str">
        <f>IF(I393=0,VLOOKUP(TAG!T379,Sheet4!A:B,2,TRUE),"")</f>
        <v/>
      </c>
      <c r="W393" t="s">
        <v>4751</v>
      </c>
      <c r="X393" t="s">
        <v>3175</v>
      </c>
      <c r="Z393" s="3">
        <v>190</v>
      </c>
      <c r="AA393" s="2" t="s">
        <v>3176</v>
      </c>
      <c r="AB393" s="1" t="s">
        <v>1518</v>
      </c>
      <c r="AC393" s="1" t="s">
        <v>1441</v>
      </c>
      <c r="AD393" s="1">
        <v>14</v>
      </c>
      <c r="AE393" s="1" t="s">
        <v>2579</v>
      </c>
      <c r="AF393" s="1" t="s">
        <v>2578</v>
      </c>
      <c r="AG393" s="1" t="s">
        <v>339</v>
      </c>
      <c r="AH393" s="1" t="s">
        <v>1479</v>
      </c>
      <c r="AI393" s="1" t="s">
        <v>1493</v>
      </c>
      <c r="AJ393" s="1"/>
      <c r="AK393" s="1" t="s">
        <v>1944</v>
      </c>
      <c r="AL393" s="1" t="s">
        <v>3275</v>
      </c>
      <c r="AM393" s="1"/>
      <c r="AN393" s="1"/>
      <c r="AO393" s="1">
        <v>5</v>
      </c>
      <c r="AP393" s="1">
        <v>6</v>
      </c>
      <c r="AQ393" s="1" t="s">
        <v>3276</v>
      </c>
    </row>
    <row r="394" spans="1:43" x14ac:dyDescent="0.15">
      <c r="A394" t="str">
        <f t="shared" si="126"/>
        <v>|BFZ|青|13|5/6|レア|《[[タジームの守護者]]》|</v>
      </c>
      <c r="B394" t="s">
        <v>3168</v>
      </c>
      <c r="C394" t="str">
        <f t="shared" si="128"/>
        <v>BFZ</v>
      </c>
      <c r="D394">
        <f>IF(AA394="","",VLOOKUP(C394,tnpl!$Z$1:$AA$11,2,TRUE))</f>
        <v>2</v>
      </c>
      <c r="E394" t="s">
        <v>3168</v>
      </c>
      <c r="F394" t="str">
        <f t="shared" si="129"/>
        <v>青</v>
      </c>
      <c r="G394">
        <f>IF(AB394="","",VLOOKUP(F394,tnpl!$X$1:$Y$16,2,TRUE))</f>
        <v>2</v>
      </c>
      <c r="H394" t="s">
        <v>3168</v>
      </c>
      <c r="I394">
        <f t="shared" si="130"/>
        <v>13</v>
      </c>
      <c r="J394" t="s">
        <v>3168</v>
      </c>
      <c r="K394">
        <f t="shared" si="131"/>
        <v>5</v>
      </c>
      <c r="L394">
        <f t="shared" si="132"/>
        <v>6</v>
      </c>
      <c r="M394" t="str">
        <f t="shared" si="127"/>
        <v>5/6</v>
      </c>
      <c r="N394" t="s">
        <v>3175</v>
      </c>
      <c r="O394" t="str">
        <f t="shared" si="133"/>
        <v>レア</v>
      </c>
      <c r="R394" t="s">
        <v>3175</v>
      </c>
      <c r="S394" t="s">
        <v>4750</v>
      </c>
      <c r="T394" t="str">
        <f t="shared" si="134"/>
        <v>タジームの守護者</v>
      </c>
      <c r="U394" t="str">
        <f t="shared" si="135"/>
        <v/>
      </c>
      <c r="V394" t="str">
        <f>IF(I394=0,VLOOKUP(TAG!T380,Sheet4!A:B,2,TRUE),"")</f>
        <v/>
      </c>
      <c r="W394" t="s">
        <v>4751</v>
      </c>
      <c r="X394" t="s">
        <v>3175</v>
      </c>
      <c r="Z394" s="3">
        <v>310</v>
      </c>
      <c r="AA394" s="2" t="s">
        <v>3170</v>
      </c>
      <c r="AB394" s="1" t="s">
        <v>1606</v>
      </c>
      <c r="AC394" s="1" t="s">
        <v>1441</v>
      </c>
      <c r="AD394" s="1">
        <v>13</v>
      </c>
      <c r="AE394" s="1" t="s">
        <v>2217</v>
      </c>
      <c r="AF394" s="1" t="s">
        <v>2216</v>
      </c>
      <c r="AG394" s="1" t="s">
        <v>339</v>
      </c>
      <c r="AH394" s="1" t="s">
        <v>1608</v>
      </c>
      <c r="AI394" s="1"/>
      <c r="AJ394" s="1"/>
      <c r="AK394" s="1" t="s">
        <v>351</v>
      </c>
      <c r="AL394" s="1" t="s">
        <v>2215</v>
      </c>
      <c r="AM394" s="1" t="s">
        <v>2214</v>
      </c>
      <c r="AN394" s="1"/>
      <c r="AO394" s="1">
        <v>5</v>
      </c>
      <c r="AP394" s="1">
        <v>6</v>
      </c>
      <c r="AQ394" s="1" t="s">
        <v>3334</v>
      </c>
    </row>
    <row r="395" spans="1:43" x14ac:dyDescent="0.15">
      <c r="A395" t="str">
        <f t="shared" si="126"/>
        <v>|BFZ|黒|14|5/6|レア|《[[果敢な血王]]》|</v>
      </c>
      <c r="B395" t="s">
        <v>3168</v>
      </c>
      <c r="C395" t="str">
        <f t="shared" si="128"/>
        <v>BFZ</v>
      </c>
      <c r="D395">
        <f>IF(AA395="","",VLOOKUP(C395,tnpl!$Z$1:$AA$11,2,TRUE))</f>
        <v>2</v>
      </c>
      <c r="E395" t="s">
        <v>3168</v>
      </c>
      <c r="F395" t="str">
        <f t="shared" si="129"/>
        <v>黒</v>
      </c>
      <c r="G395">
        <f>IF(AB395="","",VLOOKUP(F395,tnpl!$X$1:$Y$16,2,TRUE))</f>
        <v>3</v>
      </c>
      <c r="H395" t="s">
        <v>3168</v>
      </c>
      <c r="I395">
        <f t="shared" si="130"/>
        <v>14</v>
      </c>
      <c r="J395" t="s">
        <v>3168</v>
      </c>
      <c r="K395">
        <f t="shared" si="131"/>
        <v>5</v>
      </c>
      <c r="L395">
        <f t="shared" si="132"/>
        <v>6</v>
      </c>
      <c r="M395" t="str">
        <f t="shared" si="127"/>
        <v>5/6</v>
      </c>
      <c r="N395" t="s">
        <v>3175</v>
      </c>
      <c r="O395" t="str">
        <f t="shared" si="133"/>
        <v>レア</v>
      </c>
      <c r="R395" t="s">
        <v>3175</v>
      </c>
      <c r="S395" t="s">
        <v>4750</v>
      </c>
      <c r="T395" t="str">
        <f t="shared" si="134"/>
        <v>果敢な血王</v>
      </c>
      <c r="U395" t="str">
        <f t="shared" si="135"/>
        <v/>
      </c>
      <c r="V395" t="str">
        <f>IF(I395=0,VLOOKUP(TAG!T381,Sheet4!A:B,2,TRUE),"")</f>
        <v/>
      </c>
      <c r="W395" t="s">
        <v>4751</v>
      </c>
      <c r="X395" t="s">
        <v>3175</v>
      </c>
      <c r="Z395" s="3">
        <v>346</v>
      </c>
      <c r="AA395" s="2" t="s">
        <v>3170</v>
      </c>
      <c r="AB395" s="1" t="s">
        <v>1582</v>
      </c>
      <c r="AC395" s="1" t="s">
        <v>1441</v>
      </c>
      <c r="AD395" s="1">
        <v>14</v>
      </c>
      <c r="AE395" s="1" t="s">
        <v>2098</v>
      </c>
      <c r="AF395" s="1" t="s">
        <v>2097</v>
      </c>
      <c r="AG395" s="1" t="s">
        <v>339</v>
      </c>
      <c r="AH395" s="1" t="s">
        <v>1494</v>
      </c>
      <c r="AI395" s="1"/>
      <c r="AJ395" s="1"/>
      <c r="AK395" s="1" t="s">
        <v>351</v>
      </c>
      <c r="AL395" s="1" t="s">
        <v>2096</v>
      </c>
      <c r="AM395" s="1"/>
      <c r="AN395" s="1"/>
      <c r="AO395" s="1">
        <v>5</v>
      </c>
      <c r="AP395" s="1">
        <v>6</v>
      </c>
      <c r="AQ395" s="1" t="s">
        <v>3353</v>
      </c>
    </row>
    <row r="396" spans="1:43" x14ac:dyDescent="0.15">
      <c r="A396" t="str">
        <f t="shared" si="126"/>
        <v>|BFZ|黒|15|5/6|レア|《[[グール・ドラズの監視者]]》|</v>
      </c>
      <c r="B396" t="s">
        <v>3168</v>
      </c>
      <c r="C396" t="str">
        <f t="shared" si="128"/>
        <v>BFZ</v>
      </c>
      <c r="D396">
        <f>IF(AA396="","",VLOOKUP(C396,tnpl!$Z$1:$AA$11,2,TRUE))</f>
        <v>2</v>
      </c>
      <c r="E396" t="s">
        <v>3168</v>
      </c>
      <c r="F396" t="str">
        <f t="shared" si="129"/>
        <v>黒</v>
      </c>
      <c r="G396">
        <f>IF(AB396="","",VLOOKUP(F396,tnpl!$X$1:$Y$16,2,TRUE))</f>
        <v>3</v>
      </c>
      <c r="H396" t="s">
        <v>3168</v>
      </c>
      <c r="I396">
        <f t="shared" si="130"/>
        <v>15</v>
      </c>
      <c r="J396" t="s">
        <v>3168</v>
      </c>
      <c r="K396">
        <f t="shared" si="131"/>
        <v>5</v>
      </c>
      <c r="L396">
        <f t="shared" si="132"/>
        <v>6</v>
      </c>
      <c r="M396" t="str">
        <f t="shared" si="127"/>
        <v>5/6</v>
      </c>
      <c r="N396" t="s">
        <v>3175</v>
      </c>
      <c r="O396" t="str">
        <f t="shared" si="133"/>
        <v>レア</v>
      </c>
      <c r="R396" t="s">
        <v>3175</v>
      </c>
      <c r="S396" t="s">
        <v>4750</v>
      </c>
      <c r="T396" t="str">
        <f t="shared" si="134"/>
        <v>グール・ドラズの監視者</v>
      </c>
      <c r="U396" t="str">
        <f t="shared" si="135"/>
        <v/>
      </c>
      <c r="V396" t="str">
        <f>IF(I396=0,VLOOKUP(TAG!T382,Sheet4!A:B,2,TRUE),"")</f>
        <v/>
      </c>
      <c r="W396" t="s">
        <v>4751</v>
      </c>
      <c r="X396" t="s">
        <v>3175</v>
      </c>
      <c r="Z396" s="3">
        <v>347</v>
      </c>
      <c r="AA396" s="2" t="s">
        <v>3170</v>
      </c>
      <c r="AB396" s="1" t="s">
        <v>1582</v>
      </c>
      <c r="AC396" s="1" t="s">
        <v>1441</v>
      </c>
      <c r="AD396" s="1">
        <v>15</v>
      </c>
      <c r="AE396" s="1" t="s">
        <v>2095</v>
      </c>
      <c r="AF396" s="1" t="s">
        <v>2094</v>
      </c>
      <c r="AG396" s="1" t="s">
        <v>339</v>
      </c>
      <c r="AH396" s="1" t="s">
        <v>1494</v>
      </c>
      <c r="AI396" s="1"/>
      <c r="AJ396" s="1"/>
      <c r="AK396" s="1" t="s">
        <v>351</v>
      </c>
      <c r="AL396" s="1" t="s">
        <v>2093</v>
      </c>
      <c r="AM396" s="1" t="s">
        <v>2092</v>
      </c>
      <c r="AN396" s="1"/>
      <c r="AO396" s="1">
        <v>5</v>
      </c>
      <c r="AP396" s="1">
        <v>6</v>
      </c>
      <c r="AQ396" s="1" t="s">
        <v>3354</v>
      </c>
    </row>
    <row r="397" spans="1:43" x14ac:dyDescent="0.15">
      <c r="A397" t="str">
        <f t="shared" si="126"/>
        <v>|BFZ|無色|11|5/6|レア|《[[荒廃を招くもの]]》|</v>
      </c>
      <c r="B397" t="s">
        <v>3168</v>
      </c>
      <c r="C397" t="str">
        <f t="shared" si="128"/>
        <v>BFZ</v>
      </c>
      <c r="D397">
        <f>IF(AA397="","",VLOOKUP(C397,tnpl!$Z$1:$AA$11,2,TRUE))</f>
        <v>2</v>
      </c>
      <c r="E397" t="s">
        <v>3168</v>
      </c>
      <c r="F397" t="str">
        <f t="shared" si="129"/>
        <v>無色</v>
      </c>
      <c r="G397">
        <f>IF(AB397="","",VLOOKUP(F397,tnpl!$X$1:$Y$16,2,TRUE))</f>
        <v>16</v>
      </c>
      <c r="H397" t="s">
        <v>3168</v>
      </c>
      <c r="I397">
        <f t="shared" si="130"/>
        <v>11</v>
      </c>
      <c r="J397" t="s">
        <v>3168</v>
      </c>
      <c r="K397">
        <f t="shared" si="131"/>
        <v>5</v>
      </c>
      <c r="L397">
        <f t="shared" si="132"/>
        <v>6</v>
      </c>
      <c r="M397" t="str">
        <f t="shared" si="127"/>
        <v>5/6</v>
      </c>
      <c r="N397" t="s">
        <v>3175</v>
      </c>
      <c r="O397" t="str">
        <f t="shared" si="133"/>
        <v>レア</v>
      </c>
      <c r="R397" t="s">
        <v>3175</v>
      </c>
      <c r="S397" t="s">
        <v>4750</v>
      </c>
      <c r="T397" t="str">
        <f t="shared" si="134"/>
        <v>荒廃を招くもの</v>
      </c>
      <c r="U397" t="str">
        <f t="shared" si="135"/>
        <v/>
      </c>
      <c r="V397" t="str">
        <f>IF(I397=0,VLOOKUP(TAG!T383,Sheet4!A:B,2,TRUE),"")</f>
        <v/>
      </c>
      <c r="W397" t="s">
        <v>4751</v>
      </c>
      <c r="X397" t="s">
        <v>3175</v>
      </c>
      <c r="Z397" s="3">
        <v>464</v>
      </c>
      <c r="AA397" s="2" t="s">
        <v>3170</v>
      </c>
      <c r="AB397" s="1" t="s">
        <v>292</v>
      </c>
      <c r="AC397" s="1" t="s">
        <v>1441</v>
      </c>
      <c r="AD397" s="1">
        <v>11</v>
      </c>
      <c r="AE397" s="1" t="s">
        <v>1719</v>
      </c>
      <c r="AF397" s="1" t="s">
        <v>1718</v>
      </c>
      <c r="AG397" s="1" t="s">
        <v>339</v>
      </c>
      <c r="AH397" s="1" t="s">
        <v>1435</v>
      </c>
      <c r="AI397" s="1" t="s">
        <v>1717</v>
      </c>
      <c r="AJ397" s="1"/>
      <c r="AK397" s="1" t="s">
        <v>1716</v>
      </c>
      <c r="AL397" s="1"/>
      <c r="AM397" s="1"/>
      <c r="AN397" s="1"/>
      <c r="AO397" s="1">
        <v>5</v>
      </c>
      <c r="AP397" s="1">
        <v>6</v>
      </c>
      <c r="AQ397" s="1" t="s">
        <v>1716</v>
      </c>
    </row>
    <row r="398" spans="1:43" x14ac:dyDescent="0.15">
      <c r="A398" t="str">
        <f t="shared" si="126"/>
        <v>|OGW|白黒|16|5/6|レア|《[[永代巡礼者、アイリ]]》|</v>
      </c>
      <c r="B398" t="s">
        <v>3168</v>
      </c>
      <c r="C398" t="str">
        <f t="shared" si="128"/>
        <v>OGW</v>
      </c>
      <c r="D398">
        <f>IF(AA398="","",VLOOKUP(C398,tnpl!$Z$1:$AA$11,2,TRUE))</f>
        <v>3</v>
      </c>
      <c r="E398" t="s">
        <v>3168</v>
      </c>
      <c r="F398" t="str">
        <f t="shared" si="129"/>
        <v>白黒</v>
      </c>
      <c r="G398">
        <f>IF(AB398="","",VLOOKUP(F398,tnpl!$X$1:$Y$16,2,TRUE))</f>
        <v>11</v>
      </c>
      <c r="H398" t="s">
        <v>3168</v>
      </c>
      <c r="I398">
        <f t="shared" si="130"/>
        <v>16</v>
      </c>
      <c r="J398" t="s">
        <v>3168</v>
      </c>
      <c r="K398">
        <f t="shared" si="131"/>
        <v>5</v>
      </c>
      <c r="L398">
        <f t="shared" si="132"/>
        <v>6</v>
      </c>
      <c r="M398" t="str">
        <f t="shared" si="127"/>
        <v>5/6</v>
      </c>
      <c r="N398" t="s">
        <v>3175</v>
      </c>
      <c r="O398" t="str">
        <f t="shared" si="133"/>
        <v>レア</v>
      </c>
      <c r="R398" t="s">
        <v>3175</v>
      </c>
      <c r="S398" t="s">
        <v>4750</v>
      </c>
      <c r="T398" t="str">
        <f t="shared" si="134"/>
        <v>永代巡礼者、アイリ</v>
      </c>
      <c r="U398" t="str">
        <f t="shared" si="135"/>
        <v/>
      </c>
      <c r="V398" t="str">
        <f>IF(I398=0,VLOOKUP(TAG!T387,Sheet4!A:B,2,TRUE),"")</f>
        <v/>
      </c>
      <c r="W398" t="s">
        <v>4751</v>
      </c>
      <c r="X398" t="s">
        <v>3175</v>
      </c>
      <c r="Z398" s="3">
        <v>527</v>
      </c>
      <c r="AA398" s="2" t="s">
        <v>3171</v>
      </c>
      <c r="AB398" s="1" t="s">
        <v>1474</v>
      </c>
      <c r="AC398" s="1" t="s">
        <v>1441</v>
      </c>
      <c r="AD398" s="1">
        <v>16</v>
      </c>
      <c r="AE398" s="1" t="s">
        <v>1473</v>
      </c>
      <c r="AF398" s="1" t="s">
        <v>1472</v>
      </c>
      <c r="AG398" s="1" t="s">
        <v>339</v>
      </c>
      <c r="AH398" s="1" t="s">
        <v>1471</v>
      </c>
      <c r="AI398" s="1" t="s">
        <v>1470</v>
      </c>
      <c r="AJ398" s="1"/>
      <c r="AK398" s="1" t="s">
        <v>3425</v>
      </c>
      <c r="AL398" s="1" t="s">
        <v>1469</v>
      </c>
      <c r="AM398" s="1" t="s">
        <v>1468</v>
      </c>
      <c r="AN398" s="1"/>
      <c r="AO398" s="1">
        <v>5</v>
      </c>
      <c r="AP398" s="1">
        <v>6</v>
      </c>
      <c r="AQ398" s="1" t="s">
        <v>3426</v>
      </c>
    </row>
    <row r="399" spans="1:43" x14ac:dyDescent="0.15">
      <c r="A399" t="str">
        <f t="shared" si="126"/>
        <v>|EMN|白|7|5/6|レア|《[[魂の聖別者]]》|</v>
      </c>
      <c r="B399" t="s">
        <v>3168</v>
      </c>
      <c r="C399" t="str">
        <f t="shared" si="128"/>
        <v>EMN</v>
      </c>
      <c r="D399">
        <f>IF(AA399="","",VLOOKUP(C399,tnpl!$Z$1:$AA$11,2,TRUE))</f>
        <v>5</v>
      </c>
      <c r="E399" t="s">
        <v>3168</v>
      </c>
      <c r="F399" t="str">
        <f t="shared" si="129"/>
        <v>白</v>
      </c>
      <c r="G399">
        <f>IF(AB399="","",VLOOKUP(F399,tnpl!$X$1:$Y$16,2,TRUE))</f>
        <v>1</v>
      </c>
      <c r="H399" t="s">
        <v>3168</v>
      </c>
      <c r="I399">
        <f t="shared" si="130"/>
        <v>7</v>
      </c>
      <c r="J399" t="s">
        <v>3168</v>
      </c>
      <c r="K399">
        <f t="shared" si="131"/>
        <v>5</v>
      </c>
      <c r="L399">
        <f t="shared" si="132"/>
        <v>6</v>
      </c>
      <c r="M399" t="str">
        <f t="shared" si="127"/>
        <v>5/6</v>
      </c>
      <c r="N399" t="s">
        <v>3175</v>
      </c>
      <c r="O399" t="str">
        <f t="shared" si="133"/>
        <v>レア</v>
      </c>
      <c r="R399" t="s">
        <v>3175</v>
      </c>
      <c r="S399" t="s">
        <v>4750</v>
      </c>
      <c r="T399" t="str">
        <f t="shared" si="134"/>
        <v>魂の聖別者</v>
      </c>
      <c r="U399" t="str">
        <f t="shared" si="135"/>
        <v/>
      </c>
      <c r="V399" t="str">
        <f>IF(I399=0,VLOOKUP(TAG!T395,Sheet4!A:B,2,TRUE),"")</f>
        <v/>
      </c>
      <c r="W399" t="s">
        <v>4751</v>
      </c>
      <c r="X399" t="s">
        <v>3175</v>
      </c>
      <c r="Z399" s="3">
        <v>762</v>
      </c>
      <c r="AA399" s="2" t="s">
        <v>3773</v>
      </c>
      <c r="AB399" s="1" t="s">
        <v>1627</v>
      </c>
      <c r="AC399" s="1" t="s">
        <v>1441</v>
      </c>
      <c r="AD399" s="1">
        <v>7</v>
      </c>
      <c r="AE399" s="1" t="s">
        <v>983</v>
      </c>
      <c r="AF399" s="1" t="s">
        <v>982</v>
      </c>
      <c r="AG399" s="1" t="s">
        <v>339</v>
      </c>
      <c r="AH399" s="1" t="s">
        <v>1489</v>
      </c>
      <c r="AI399" s="1" t="s">
        <v>1470</v>
      </c>
      <c r="AJ399" s="1"/>
      <c r="AK399" s="1" t="s">
        <v>3789</v>
      </c>
      <c r="AL399" s="1" t="s">
        <v>3790</v>
      </c>
      <c r="AM399" s="1"/>
      <c r="AN399" s="1"/>
      <c r="AO399" s="1">
        <v>5</v>
      </c>
      <c r="AP399" s="1">
        <v>6</v>
      </c>
      <c r="AQ399" s="1" t="s">
        <v>3791</v>
      </c>
    </row>
    <row r="400" spans="1:43" x14ac:dyDescent="0.15">
      <c r="A400" t="str">
        <f t="shared" si="126"/>
        <v>|EMN|赤|13|5/6|レア|《[[騒乱の歓楽者]]》|</v>
      </c>
      <c r="B400" t="s">
        <v>3168</v>
      </c>
      <c r="C400" t="str">
        <f t="shared" si="128"/>
        <v>EMN</v>
      </c>
      <c r="D400">
        <f>IF(AA400="","",VLOOKUP(C400,tnpl!$Z$1:$AA$11,2,TRUE))</f>
        <v>5</v>
      </c>
      <c r="E400" t="s">
        <v>3168</v>
      </c>
      <c r="F400" t="str">
        <f t="shared" si="129"/>
        <v>赤</v>
      </c>
      <c r="G400">
        <f>IF(AB400="","",VLOOKUP(F400,tnpl!$X$1:$Y$16,2,TRUE))</f>
        <v>4</v>
      </c>
      <c r="H400" t="s">
        <v>3168</v>
      </c>
      <c r="I400">
        <f t="shared" si="130"/>
        <v>13</v>
      </c>
      <c r="J400" t="s">
        <v>3168</v>
      </c>
      <c r="K400">
        <f t="shared" si="131"/>
        <v>5</v>
      </c>
      <c r="L400">
        <f t="shared" si="132"/>
        <v>6</v>
      </c>
      <c r="M400" t="str">
        <f t="shared" si="127"/>
        <v>5/6</v>
      </c>
      <c r="N400" t="s">
        <v>3175</v>
      </c>
      <c r="O400" t="str">
        <f t="shared" si="133"/>
        <v>レア</v>
      </c>
      <c r="R400" t="s">
        <v>3175</v>
      </c>
      <c r="S400" t="s">
        <v>4750</v>
      </c>
      <c r="T400" t="str">
        <f t="shared" si="134"/>
        <v>騒乱の歓楽者</v>
      </c>
      <c r="U400" t="str">
        <f t="shared" si="135"/>
        <v/>
      </c>
      <c r="V400" t="str">
        <f>IF(I400=0,VLOOKUP(TAG!T399,Sheet4!A:B,2,TRUE),"")</f>
        <v/>
      </c>
      <c r="W400" t="s">
        <v>4751</v>
      </c>
      <c r="X400" t="s">
        <v>3175</v>
      </c>
      <c r="Z400" s="3">
        <v>800</v>
      </c>
      <c r="AA400" s="2" t="s">
        <v>3773</v>
      </c>
      <c r="AB400" s="1" t="s">
        <v>1552</v>
      </c>
      <c r="AC400" s="1" t="s">
        <v>1441</v>
      </c>
      <c r="AD400" s="1">
        <v>13</v>
      </c>
      <c r="AE400" s="1" t="s">
        <v>920</v>
      </c>
      <c r="AF400" s="1" t="s">
        <v>919</v>
      </c>
      <c r="AG400" s="1" t="s">
        <v>339</v>
      </c>
      <c r="AH400" s="1" t="s">
        <v>3609</v>
      </c>
      <c r="AI400" s="1" t="s">
        <v>2802</v>
      </c>
      <c r="AJ400" s="1"/>
      <c r="AK400" s="1" t="s">
        <v>1488</v>
      </c>
      <c r="AL400" s="1" t="s">
        <v>3870</v>
      </c>
      <c r="AM400" s="1"/>
      <c r="AN400" s="1"/>
      <c r="AO400" s="1">
        <v>5</v>
      </c>
      <c r="AP400" s="1">
        <v>6</v>
      </c>
      <c r="AQ400" s="1" t="s">
        <v>3871</v>
      </c>
    </row>
    <row r="401" spans="1:43" x14ac:dyDescent="0.15">
      <c r="A401" t="str">
        <f t="shared" si="126"/>
        <v>|EMN|赤|15|5/6|レア|《[[ハンウィアー守備隊]]》|</v>
      </c>
      <c r="B401" t="s">
        <v>3168</v>
      </c>
      <c r="C401" t="str">
        <f t="shared" si="128"/>
        <v>EMN</v>
      </c>
      <c r="D401">
        <f>IF(AA401="","",VLOOKUP(C401,tnpl!$Z$1:$AA$11,2,TRUE))</f>
        <v>5</v>
      </c>
      <c r="E401" t="s">
        <v>3168</v>
      </c>
      <c r="F401" t="str">
        <f t="shared" si="129"/>
        <v>赤</v>
      </c>
      <c r="G401">
        <f>IF(AB401="","",VLOOKUP(F401,tnpl!$X$1:$Y$16,2,TRUE))</f>
        <v>4</v>
      </c>
      <c r="H401" t="s">
        <v>3168</v>
      </c>
      <c r="I401">
        <f t="shared" si="130"/>
        <v>15</v>
      </c>
      <c r="J401" t="s">
        <v>3168</v>
      </c>
      <c r="K401">
        <f t="shared" si="131"/>
        <v>5</v>
      </c>
      <c r="L401">
        <f t="shared" si="132"/>
        <v>6</v>
      </c>
      <c r="M401" t="str">
        <f t="shared" si="127"/>
        <v>5/6</v>
      </c>
      <c r="N401" t="s">
        <v>3175</v>
      </c>
      <c r="O401" t="str">
        <f t="shared" si="133"/>
        <v>レア</v>
      </c>
      <c r="R401" t="s">
        <v>3175</v>
      </c>
      <c r="S401" t="s">
        <v>4750</v>
      </c>
      <c r="T401" t="str">
        <f t="shared" si="134"/>
        <v>ハンウィアー守備隊</v>
      </c>
      <c r="U401" t="str">
        <f t="shared" si="135"/>
        <v/>
      </c>
      <c r="V401" t="str">
        <f>IF(I401=0,VLOOKUP(TAG!T400,Sheet4!A:B,2,TRUE),"")</f>
        <v/>
      </c>
      <c r="W401" t="s">
        <v>4751</v>
      </c>
      <c r="X401" t="s">
        <v>3175</v>
      </c>
      <c r="Z401" s="3">
        <v>801</v>
      </c>
      <c r="AA401" s="2" t="s">
        <v>3773</v>
      </c>
      <c r="AB401" s="1" t="s">
        <v>1552</v>
      </c>
      <c r="AC401" s="1" t="s">
        <v>1441</v>
      </c>
      <c r="AD401" s="1">
        <v>15</v>
      </c>
      <c r="AE401" s="1" t="s">
        <v>918</v>
      </c>
      <c r="AF401" s="1" t="s">
        <v>917</v>
      </c>
      <c r="AG401" s="1" t="s">
        <v>339</v>
      </c>
      <c r="AH401" s="1" t="s">
        <v>1489</v>
      </c>
      <c r="AI401" s="1" t="s">
        <v>1799</v>
      </c>
      <c r="AJ401" s="1"/>
      <c r="AK401" s="1" t="s">
        <v>3872</v>
      </c>
      <c r="AL401" s="1" t="s">
        <v>3873</v>
      </c>
      <c r="AM401" s="1"/>
      <c r="AN401" s="1"/>
      <c r="AO401" s="1">
        <v>5</v>
      </c>
      <c r="AP401" s="1">
        <v>6</v>
      </c>
      <c r="AQ401" s="1" t="s">
        <v>3874</v>
      </c>
    </row>
    <row r="402" spans="1:43" x14ac:dyDescent="0.15">
      <c r="A402" t="str">
        <f t="shared" si="126"/>
        <v>|EMN|無色|19|5/6|レア|《[[老いたる深海鬼]]》|</v>
      </c>
      <c r="B402" t="s">
        <v>3168</v>
      </c>
      <c r="C402" t="str">
        <f t="shared" si="128"/>
        <v>EMN</v>
      </c>
      <c r="D402">
        <f>IF(AA402="","",VLOOKUP(C402,tnpl!$Z$1:$AA$11,2,TRUE))</f>
        <v>5</v>
      </c>
      <c r="E402" t="s">
        <v>3168</v>
      </c>
      <c r="F402" t="str">
        <f t="shared" si="129"/>
        <v>無色</v>
      </c>
      <c r="G402">
        <f>IF(AB402="","",VLOOKUP(F402,tnpl!$X$1:$Y$16,2,TRUE))</f>
        <v>16</v>
      </c>
      <c r="H402" t="s">
        <v>3168</v>
      </c>
      <c r="I402">
        <f t="shared" si="130"/>
        <v>19</v>
      </c>
      <c r="J402" t="s">
        <v>3168</v>
      </c>
      <c r="K402">
        <f t="shared" si="131"/>
        <v>5</v>
      </c>
      <c r="L402">
        <f t="shared" si="132"/>
        <v>6</v>
      </c>
      <c r="M402" t="str">
        <f t="shared" si="127"/>
        <v>5/6</v>
      </c>
      <c r="N402" t="s">
        <v>3175</v>
      </c>
      <c r="O402" t="str">
        <f t="shared" si="133"/>
        <v>レア</v>
      </c>
      <c r="R402" t="s">
        <v>3175</v>
      </c>
      <c r="S402" t="s">
        <v>4750</v>
      </c>
      <c r="T402" t="str">
        <f t="shared" si="134"/>
        <v>老いたる深海鬼</v>
      </c>
      <c r="U402" t="str">
        <f t="shared" si="135"/>
        <v/>
      </c>
      <c r="V402" t="str">
        <f>IF(I402=0,VLOOKUP(TAG!T403,Sheet4!A:B,2,TRUE),"")</f>
        <v/>
      </c>
      <c r="W402" t="s">
        <v>4751</v>
      </c>
      <c r="X402" t="s">
        <v>3175</v>
      </c>
      <c r="Z402" s="3">
        <v>832</v>
      </c>
      <c r="AA402" s="2" t="s">
        <v>3773</v>
      </c>
      <c r="AB402" s="1" t="s">
        <v>292</v>
      </c>
      <c r="AC402" s="1" t="s">
        <v>1441</v>
      </c>
      <c r="AD402" s="1">
        <v>19</v>
      </c>
      <c r="AE402" s="1" t="s">
        <v>866</v>
      </c>
      <c r="AF402" s="1" t="s">
        <v>865</v>
      </c>
      <c r="AG402" s="1" t="s">
        <v>339</v>
      </c>
      <c r="AH402" s="1" t="s">
        <v>1435</v>
      </c>
      <c r="AI402" s="1" t="s">
        <v>3927</v>
      </c>
      <c r="AJ402" s="1"/>
      <c r="AK402" s="1" t="s">
        <v>3922</v>
      </c>
      <c r="AL402" s="1" t="s">
        <v>3928</v>
      </c>
      <c r="AM402" s="1"/>
      <c r="AN402" s="1"/>
      <c r="AO402" s="1">
        <v>5</v>
      </c>
      <c r="AP402" s="1">
        <v>6</v>
      </c>
      <c r="AQ402" s="1" t="s">
        <v>3929</v>
      </c>
    </row>
    <row r="403" spans="1:43" x14ac:dyDescent="0.15">
      <c r="A403" t="str">
        <f t="shared" si="126"/>
        <v>|KLD|黒|18|5/6|レア|《[[豪華の王、ゴンティ]]》|</v>
      </c>
      <c r="B403" t="s">
        <v>3168</v>
      </c>
      <c r="C403" t="str">
        <f t="shared" si="128"/>
        <v>KLD</v>
      </c>
      <c r="D403">
        <f>IF(AA403="","",VLOOKUP(C403,tnpl!$Z$1:$AA$11,2,TRUE))</f>
        <v>6</v>
      </c>
      <c r="E403" t="s">
        <v>3168</v>
      </c>
      <c r="F403" t="str">
        <f t="shared" si="129"/>
        <v>黒</v>
      </c>
      <c r="G403">
        <f>IF(AB403="","",VLOOKUP(F403,tnpl!$X$1:$Y$16,2,TRUE))</f>
        <v>3</v>
      </c>
      <c r="H403" t="s">
        <v>3168</v>
      </c>
      <c r="I403">
        <f t="shared" si="130"/>
        <v>18</v>
      </c>
      <c r="J403" t="s">
        <v>3168</v>
      </c>
      <c r="K403">
        <f t="shared" si="131"/>
        <v>5</v>
      </c>
      <c r="L403">
        <f t="shared" si="132"/>
        <v>6</v>
      </c>
      <c r="M403" t="str">
        <f t="shared" si="127"/>
        <v>5/6</v>
      </c>
      <c r="N403" t="s">
        <v>3175</v>
      </c>
      <c r="O403" t="str">
        <f t="shared" si="133"/>
        <v>レア</v>
      </c>
      <c r="R403" t="s">
        <v>3175</v>
      </c>
      <c r="S403" t="s">
        <v>4750</v>
      </c>
      <c r="T403" t="str">
        <f t="shared" si="134"/>
        <v>豪華の王、ゴンティ</v>
      </c>
      <c r="U403" t="str">
        <f t="shared" si="135"/>
        <v/>
      </c>
      <c r="V403" t="str">
        <f>IF(I403=0,VLOOKUP(TAG!T404,Sheet4!A:B,2,TRUE),"")</f>
        <v/>
      </c>
      <c r="W403" t="s">
        <v>4751</v>
      </c>
      <c r="X403" t="s">
        <v>3175</v>
      </c>
      <c r="Z403" s="3">
        <v>905</v>
      </c>
      <c r="AA403" s="2" t="s">
        <v>3937</v>
      </c>
      <c r="AB403" s="1" t="s">
        <v>1582</v>
      </c>
      <c r="AC403" s="1" t="s">
        <v>1441</v>
      </c>
      <c r="AD403" s="1">
        <v>18</v>
      </c>
      <c r="AE403" s="1" t="s">
        <v>698</v>
      </c>
      <c r="AF403" s="1" t="s">
        <v>697</v>
      </c>
      <c r="AG403" s="1" t="s">
        <v>339</v>
      </c>
      <c r="AH403" s="1" t="s">
        <v>4031</v>
      </c>
      <c r="AI403" s="1" t="s">
        <v>2938</v>
      </c>
      <c r="AJ403" s="1"/>
      <c r="AK403" s="1" t="s">
        <v>3425</v>
      </c>
      <c r="AL403" s="1" t="s">
        <v>4055</v>
      </c>
      <c r="AM403" s="1"/>
      <c r="AN403" s="1"/>
      <c r="AO403" s="1">
        <v>5</v>
      </c>
      <c r="AP403" s="1">
        <v>6</v>
      </c>
      <c r="AQ403" s="1" t="s">
        <v>4056</v>
      </c>
    </row>
    <row r="404" spans="1:43" x14ac:dyDescent="0.15">
      <c r="A404" t="str">
        <f t="shared" si="126"/>
        <v>|AKH|緑|9|5/6|レア|《[[媒介者の修練者]]》|</v>
      </c>
      <c r="B404" t="s">
        <v>3168</v>
      </c>
      <c r="C404" t="str">
        <f t="shared" si="128"/>
        <v>AKH</v>
      </c>
      <c r="D404">
        <f>IF(AA404="","",VLOOKUP(C404,tnpl!$Z$1:$AA$11,2,TRUE))</f>
        <v>10</v>
      </c>
      <c r="E404" t="s">
        <v>3168</v>
      </c>
      <c r="F404" t="str">
        <f t="shared" si="129"/>
        <v>緑</v>
      </c>
      <c r="G404">
        <f>IF(AB404="","",VLOOKUP(F404,tnpl!$X$1:$Y$16,2,TRUE))</f>
        <v>5</v>
      </c>
      <c r="H404" t="s">
        <v>3168</v>
      </c>
      <c r="I404">
        <f t="shared" si="130"/>
        <v>9</v>
      </c>
      <c r="J404" t="s">
        <v>3168</v>
      </c>
      <c r="K404">
        <f t="shared" si="131"/>
        <v>5</v>
      </c>
      <c r="L404">
        <f t="shared" si="132"/>
        <v>6</v>
      </c>
      <c r="M404" t="str">
        <f t="shared" si="127"/>
        <v>5/6</v>
      </c>
      <c r="N404" t="s">
        <v>3175</v>
      </c>
      <c r="O404" t="str">
        <f t="shared" si="133"/>
        <v>レア</v>
      </c>
      <c r="R404" t="s">
        <v>3175</v>
      </c>
      <c r="S404" t="s">
        <v>4750</v>
      </c>
      <c r="T404" t="str">
        <f t="shared" si="134"/>
        <v>媒介者の修練者</v>
      </c>
      <c r="U404" t="str">
        <f t="shared" si="135"/>
        <v/>
      </c>
      <c r="V404" t="str">
        <f>IF(I404=0,VLOOKUP(TAG!T411,Sheet4!A:B,2,TRUE),"")</f>
        <v/>
      </c>
      <c r="W404" t="s">
        <v>4751</v>
      </c>
      <c r="X404" t="s">
        <v>3175</v>
      </c>
      <c r="Z404" s="3">
        <v>1216</v>
      </c>
      <c r="AA404" s="2" t="s">
        <v>4349</v>
      </c>
      <c r="AB404" s="1" t="s">
        <v>1518</v>
      </c>
      <c r="AC404" s="1" t="s">
        <v>1441</v>
      </c>
      <c r="AD404" s="1">
        <v>9</v>
      </c>
      <c r="AE404" s="1" t="s">
        <v>68</v>
      </c>
      <c r="AF404" s="1" t="s">
        <v>67</v>
      </c>
      <c r="AG404" s="1" t="s">
        <v>339</v>
      </c>
      <c r="AH404" s="1" t="s">
        <v>1489</v>
      </c>
      <c r="AI404" s="1" t="s">
        <v>1529</v>
      </c>
      <c r="AJ404" s="1"/>
      <c r="AK404" s="1" t="s">
        <v>4562</v>
      </c>
      <c r="AL404" s="1"/>
      <c r="AM404" s="1"/>
      <c r="AN404" s="1"/>
      <c r="AO404" s="1">
        <v>5</v>
      </c>
      <c r="AP404" s="1">
        <v>6</v>
      </c>
      <c r="AQ404" s="1" t="s">
        <v>4562</v>
      </c>
    </row>
    <row r="405" spans="1:43" x14ac:dyDescent="0.15">
      <c r="A405" t="str">
        <f t="shared" si="126"/>
        <v>|AKH|緑|8|5/6|アンコモン|《[[好戦的な巨口]]》|</v>
      </c>
      <c r="B405" t="s">
        <v>3168</v>
      </c>
      <c r="C405" t="str">
        <f t="shared" si="128"/>
        <v>AKH</v>
      </c>
      <c r="D405">
        <f>IF(AA405="","",VLOOKUP(C405,tnpl!$Z$1:$AA$11,2,TRUE))</f>
        <v>10</v>
      </c>
      <c r="E405" t="s">
        <v>3168</v>
      </c>
      <c r="F405" t="str">
        <f t="shared" si="129"/>
        <v>緑</v>
      </c>
      <c r="G405">
        <f>IF(AB405="","",VLOOKUP(F405,tnpl!$X$1:$Y$16,2,TRUE))</f>
        <v>5</v>
      </c>
      <c r="H405" t="s">
        <v>3168</v>
      </c>
      <c r="I405">
        <f t="shared" si="130"/>
        <v>8</v>
      </c>
      <c r="J405" t="s">
        <v>3168</v>
      </c>
      <c r="K405">
        <f t="shared" si="131"/>
        <v>5</v>
      </c>
      <c r="L405">
        <f t="shared" si="132"/>
        <v>6</v>
      </c>
      <c r="M405" t="str">
        <f t="shared" si="127"/>
        <v>5/6</v>
      </c>
      <c r="N405" t="s">
        <v>3175</v>
      </c>
      <c r="O405" t="str">
        <f t="shared" si="133"/>
        <v>アンコモン</v>
      </c>
      <c r="R405" t="s">
        <v>3175</v>
      </c>
      <c r="S405" t="s">
        <v>4750</v>
      </c>
      <c r="T405" t="str">
        <f t="shared" si="134"/>
        <v>好戦的な巨口</v>
      </c>
      <c r="U405" t="str">
        <f t="shared" si="135"/>
        <v/>
      </c>
      <c r="V405" t="str">
        <f>IF(I405=0,VLOOKUP(TAG!T413,Sheet4!A:B,2,TRUE),"")</f>
        <v/>
      </c>
      <c r="W405" t="s">
        <v>4751</v>
      </c>
      <c r="X405" t="s">
        <v>3175</v>
      </c>
      <c r="Z405" s="3">
        <v>1284</v>
      </c>
      <c r="AA405" s="2" t="s">
        <v>4349</v>
      </c>
      <c r="AB405" s="1" t="s">
        <v>1518</v>
      </c>
      <c r="AC405" s="1" t="s">
        <v>1451</v>
      </c>
      <c r="AD405" s="1">
        <v>8</v>
      </c>
      <c r="AE405" s="1" t="s">
        <v>4722</v>
      </c>
      <c r="AF405" s="1" t="s">
        <v>4723</v>
      </c>
      <c r="AG405" s="1" t="s">
        <v>339</v>
      </c>
      <c r="AH405" s="1" t="s">
        <v>4724</v>
      </c>
      <c r="AI405" s="1"/>
      <c r="AJ405" s="1"/>
      <c r="AK405" s="1" t="s">
        <v>4488</v>
      </c>
      <c r="AL405" s="1"/>
      <c r="AM405" s="1"/>
      <c r="AN405" s="1"/>
      <c r="AO405" s="1">
        <v>5</v>
      </c>
      <c r="AP405" s="1">
        <v>6</v>
      </c>
      <c r="AQ405" s="1" t="s">
        <v>4488</v>
      </c>
    </row>
    <row r="406" spans="1:43" x14ac:dyDescent="0.15">
      <c r="A406" t="str">
        <f>B406&amp;C406&amp;E406&amp;F406&amp;H406&amp;I406&amp;J406&amp;M406&amp;N406&amp;O406&amp;P406&amp;Q406&amp;R406&amp;S406&amp;T406&amp;V406&amp;W406&amp;X406&amp;Y406</f>
        <v/>
      </c>
    </row>
    <row r="407" spans="1:43" x14ac:dyDescent="0.15">
      <c r="A407" t="str">
        <f>B407&amp;C407&amp;E407&amp;F407&amp;H407&amp;I407&amp;J407&amp;M407&amp;N407&amp;O407&amp;P407&amp;Q407&amp;R407&amp;S407&amp;T407&amp;V407&amp;W407&amp;X407&amp;Y407</f>
        <v>**5/7クリーチャー</v>
      </c>
      <c r="B407" t="s">
        <v>4752</v>
      </c>
      <c r="C407">
        <f>K410</f>
        <v>5</v>
      </c>
      <c r="E407" t="s">
        <v>4816</v>
      </c>
      <c r="F407">
        <f>L410</f>
        <v>7</v>
      </c>
      <c r="I407" t="s">
        <v>339</v>
      </c>
      <c r="V407" t="str">
        <f>IF(I407=0,VLOOKUP(TAG!T407,Sheet4!A:B,2,TRUE),"")</f>
        <v/>
      </c>
    </row>
    <row r="408" spans="1:43" x14ac:dyDescent="0.15">
      <c r="A408" t="str">
        <f t="shared" ref="A408:A413" si="136">B408&amp;C408&amp;E408&amp;F408&amp;H408&amp;I408&amp;J408&amp;M408&amp;N408&amp;O408&amp;P408&amp;Q408&amp;R408&amp;S408&amp;T408&amp;U408&amp;V408&amp;W408&amp;X408&amp;Y408</f>
        <v>|LEFT:50|LEFT:50|LEFT:50|LEFT:120|LEFT:120|LEFT:500|c</v>
      </c>
      <c r="B408" t="s">
        <v>3168</v>
      </c>
      <c r="C408" t="s">
        <v>3162</v>
      </c>
      <c r="E408" t="s">
        <v>3168</v>
      </c>
      <c r="F408" t="s">
        <v>3162</v>
      </c>
      <c r="H408" t="s">
        <v>3168</v>
      </c>
      <c r="I408" t="s">
        <v>3162</v>
      </c>
      <c r="J408" t="s">
        <v>3168</v>
      </c>
      <c r="M408" t="s">
        <v>4808</v>
      </c>
      <c r="N408" t="s">
        <v>3175</v>
      </c>
      <c r="O408" t="s">
        <v>4808</v>
      </c>
      <c r="R408" t="s">
        <v>3175</v>
      </c>
      <c r="T408" t="s">
        <v>3163</v>
      </c>
      <c r="V408" t="str">
        <f>IF(I408=0,VLOOKUP(TAG!T408,Sheet4!A:B,2,TRUE),"")</f>
        <v/>
      </c>
      <c r="X408" t="s">
        <v>3175</v>
      </c>
      <c r="Y408" t="s">
        <v>3164</v>
      </c>
    </row>
    <row r="409" spans="1:43" x14ac:dyDescent="0.15">
      <c r="A409" t="str">
        <f t="shared" si="136"/>
        <v>|セット|色|コスト|P/T|レアリティ|カード名|</v>
      </c>
      <c r="B409" t="s">
        <v>3168</v>
      </c>
      <c r="C409" t="s">
        <v>3169</v>
      </c>
      <c r="E409" t="s">
        <v>3168</v>
      </c>
      <c r="F409" t="s">
        <v>3139</v>
      </c>
      <c r="H409" t="s">
        <v>3168</v>
      </c>
      <c r="I409" t="s">
        <v>3165</v>
      </c>
      <c r="J409" t="s">
        <v>3168</v>
      </c>
      <c r="K409" t="s">
        <v>3126</v>
      </c>
      <c r="L409" t="s">
        <v>3125</v>
      </c>
      <c r="M409" t="str">
        <f>K409&amp;"/"&amp;L409</f>
        <v>P/T</v>
      </c>
      <c r="N409" t="s">
        <v>3175</v>
      </c>
      <c r="O409" t="s">
        <v>4809</v>
      </c>
      <c r="R409" t="s">
        <v>3175</v>
      </c>
      <c r="T409" t="s">
        <v>3166</v>
      </c>
      <c r="V409" t="str">
        <f>IF(I409=0,VLOOKUP(TAG!T409,Sheet4!A:B,2,TRUE),"")</f>
        <v/>
      </c>
      <c r="X409" t="s">
        <v>3175</v>
      </c>
      <c r="Z409" s="12"/>
      <c r="AA409" s="12"/>
      <c r="AB409" s="12"/>
      <c r="AC409" s="12"/>
      <c r="AD409" s="12"/>
      <c r="AE409" s="12"/>
      <c r="AF409" s="12"/>
      <c r="AG409" s="12"/>
      <c r="AH409" s="12"/>
      <c r="AI409" s="12"/>
      <c r="AJ409" s="12"/>
      <c r="AK409" s="12"/>
      <c r="AL409" s="12"/>
      <c r="AM409" s="12"/>
      <c r="AN409" s="12"/>
      <c r="AO409" s="12"/>
      <c r="AP409" s="12"/>
      <c r="AQ409" s="12"/>
    </row>
    <row r="410" spans="1:43" x14ac:dyDescent="0.15">
      <c r="A410" t="str">
        <f t="shared" si="136"/>
        <v>|ORI|白|17|5/7|レア|《[[永遠警備の歩哨]]》|</v>
      </c>
      <c r="B410" t="s">
        <v>3168</v>
      </c>
      <c r="C410" t="str">
        <f>AA410</f>
        <v>ORI</v>
      </c>
      <c r="D410">
        <f>IF(AA410="","",VLOOKUP(C410,tnpl!$Z$1:$AA$11,2,TRUE))</f>
        <v>1</v>
      </c>
      <c r="E410" t="s">
        <v>3168</v>
      </c>
      <c r="F410" t="str">
        <f>AB410</f>
        <v>白</v>
      </c>
      <c r="G410">
        <f>IF(AB410="","",VLOOKUP(F410,tnpl!$X$1:$Y$16,2,TRUE))</f>
        <v>1</v>
      </c>
      <c r="H410" t="s">
        <v>3168</v>
      </c>
      <c r="I410">
        <f>AD410</f>
        <v>17</v>
      </c>
      <c r="J410" t="s">
        <v>3168</v>
      </c>
      <c r="K410">
        <f t="shared" ref="K410:L413" si="137">AO410</f>
        <v>5</v>
      </c>
      <c r="L410">
        <f t="shared" si="137"/>
        <v>7</v>
      </c>
      <c r="M410" t="str">
        <f>K410&amp;"/"&amp;L410</f>
        <v>5/7</v>
      </c>
      <c r="N410" t="s">
        <v>3175</v>
      </c>
      <c r="O410" t="str">
        <f>AC410</f>
        <v>レア</v>
      </c>
      <c r="R410" t="s">
        <v>3175</v>
      </c>
      <c r="S410" t="s">
        <v>4750</v>
      </c>
      <c r="T410" t="str">
        <f>AE410</f>
        <v>永遠警備の歩哨</v>
      </c>
      <c r="U410" t="str">
        <f>IF(I410=0,"&gt;","")</f>
        <v/>
      </c>
      <c r="V410" t="str">
        <f>IF(I410=0,VLOOKUP(TAG!T360,Sheet4!A:B,2,TRUE),"")</f>
        <v/>
      </c>
      <c r="W410" t="s">
        <v>4751</v>
      </c>
      <c r="X410" t="s">
        <v>3175</v>
      </c>
      <c r="Z410" s="3">
        <v>32</v>
      </c>
      <c r="AA410" s="2" t="s">
        <v>3176</v>
      </c>
      <c r="AB410" s="1" t="s">
        <v>1627</v>
      </c>
      <c r="AC410" s="1" t="s">
        <v>1441</v>
      </c>
      <c r="AD410" s="1">
        <v>17</v>
      </c>
      <c r="AE410" s="1" t="s">
        <v>3031</v>
      </c>
      <c r="AF410" s="1" t="s">
        <v>3030</v>
      </c>
      <c r="AG410" s="1" t="s">
        <v>339</v>
      </c>
      <c r="AH410" s="1" t="s">
        <v>2049</v>
      </c>
      <c r="AI410" s="1" t="s">
        <v>1799</v>
      </c>
      <c r="AJ410" s="1"/>
      <c r="AK410" s="1" t="s">
        <v>3194</v>
      </c>
      <c r="AL410" s="1" t="s">
        <v>3029</v>
      </c>
      <c r="AM410" s="1"/>
      <c r="AN410" s="1"/>
      <c r="AO410" s="1">
        <v>5</v>
      </c>
      <c r="AP410" s="1">
        <v>7</v>
      </c>
      <c r="AQ410" s="1" t="s">
        <v>3195</v>
      </c>
    </row>
    <row r="411" spans="1:43" x14ac:dyDescent="0.15">
      <c r="A411" t="str">
        <f t="shared" si="136"/>
        <v>|OGW|緑|25|5/7|神話レア|《[[世界を壊すもの]]》|</v>
      </c>
      <c r="B411" t="s">
        <v>3168</v>
      </c>
      <c r="C411" t="str">
        <f>AA411</f>
        <v>OGW</v>
      </c>
      <c r="D411">
        <f>IF(AA411="","",VLOOKUP(C411,tnpl!$Z$1:$AA$11,2,TRUE))</f>
        <v>3</v>
      </c>
      <c r="E411" t="s">
        <v>3168</v>
      </c>
      <c r="F411" t="str">
        <f>AB411</f>
        <v>緑</v>
      </c>
      <c r="G411">
        <f>IF(AB411="","",VLOOKUP(F411,tnpl!$X$1:$Y$16,2,TRUE))</f>
        <v>5</v>
      </c>
      <c r="H411" t="s">
        <v>3168</v>
      </c>
      <c r="I411">
        <f>AD411</f>
        <v>25</v>
      </c>
      <c r="J411" t="s">
        <v>3168</v>
      </c>
      <c r="K411">
        <f t="shared" si="137"/>
        <v>5</v>
      </c>
      <c r="L411">
        <f t="shared" si="137"/>
        <v>7</v>
      </c>
      <c r="M411" t="str">
        <f>K411&amp;"/"&amp;L411</f>
        <v>5/7</v>
      </c>
      <c r="N411" t="s">
        <v>3175</v>
      </c>
      <c r="O411" t="str">
        <f>AC411</f>
        <v>神話レア</v>
      </c>
      <c r="R411" t="s">
        <v>3175</v>
      </c>
      <c r="S411" t="s">
        <v>4750</v>
      </c>
      <c r="T411" t="str">
        <f>AE411</f>
        <v>世界を壊すもの</v>
      </c>
      <c r="U411" t="str">
        <f>IF(I411=0,"&gt;","")</f>
        <v/>
      </c>
      <c r="V411" t="str">
        <f>IF(I411=0,VLOOKUP(TAG!T386,Sheet4!A:B,2,TRUE),"")</f>
        <v/>
      </c>
      <c r="W411" t="s">
        <v>4751</v>
      </c>
      <c r="X411" t="s">
        <v>3175</v>
      </c>
      <c r="Z411" s="3">
        <v>517</v>
      </c>
      <c r="AA411" s="2" t="s">
        <v>3171</v>
      </c>
      <c r="AB411" s="1" t="s">
        <v>1518</v>
      </c>
      <c r="AC411" s="1" t="s">
        <v>1431</v>
      </c>
      <c r="AD411" s="1">
        <v>25</v>
      </c>
      <c r="AE411" s="1" t="s">
        <v>1522</v>
      </c>
      <c r="AF411" s="1" t="s">
        <v>1521</v>
      </c>
      <c r="AG411" s="1" t="s">
        <v>339</v>
      </c>
      <c r="AH411" s="1" t="s">
        <v>1435</v>
      </c>
      <c r="AI411" s="1"/>
      <c r="AJ411" s="1"/>
      <c r="AK411" s="1" t="s">
        <v>3417</v>
      </c>
      <c r="AL411" s="1" t="s">
        <v>1520</v>
      </c>
      <c r="AM411" s="1" t="s">
        <v>1519</v>
      </c>
      <c r="AN411" s="1"/>
      <c r="AO411" s="1">
        <v>5</v>
      </c>
      <c r="AP411" s="1">
        <v>7</v>
      </c>
      <c r="AQ411" s="1" t="s">
        <v>3418</v>
      </c>
    </row>
    <row r="412" spans="1:43" x14ac:dyDescent="0.15">
      <c r="A412" t="str">
        <f t="shared" si="136"/>
        <v>|EMN|白|18|5/7|レア|《[[消えゆく光、ブルーナ]]》|</v>
      </c>
      <c r="B412" t="s">
        <v>3168</v>
      </c>
      <c r="C412" t="str">
        <f>AA412</f>
        <v>EMN</v>
      </c>
      <c r="D412">
        <f>IF(AA412="","",VLOOKUP(C412,tnpl!$Z$1:$AA$11,2,TRUE))</f>
        <v>5</v>
      </c>
      <c r="E412" t="s">
        <v>3168</v>
      </c>
      <c r="F412" t="str">
        <f>AB412</f>
        <v>白</v>
      </c>
      <c r="G412">
        <f>IF(AB412="","",VLOOKUP(F412,tnpl!$X$1:$Y$16,2,TRUE))</f>
        <v>1</v>
      </c>
      <c r="H412" t="s">
        <v>3168</v>
      </c>
      <c r="I412">
        <f>AD412</f>
        <v>18</v>
      </c>
      <c r="J412" t="s">
        <v>3168</v>
      </c>
      <c r="K412">
        <f t="shared" si="137"/>
        <v>5</v>
      </c>
      <c r="L412">
        <f t="shared" si="137"/>
        <v>7</v>
      </c>
      <c r="M412" t="str">
        <f>K412&amp;"/"&amp;L412</f>
        <v>5/7</v>
      </c>
      <c r="N412" t="s">
        <v>3175</v>
      </c>
      <c r="O412" t="str">
        <f>AC412</f>
        <v>レア</v>
      </c>
      <c r="R412" t="s">
        <v>3175</v>
      </c>
      <c r="S412" t="s">
        <v>4750</v>
      </c>
      <c r="T412" t="str">
        <f>AE412</f>
        <v>消えゆく光、ブルーナ</v>
      </c>
      <c r="U412" t="str">
        <f>IF(I412=0,"&gt;","")</f>
        <v/>
      </c>
      <c r="V412" t="str">
        <f>IF(I412=0,VLOOKUP(TAG!T396,Sheet4!A:B,2,TRUE),"")</f>
        <v/>
      </c>
      <c r="W412" t="s">
        <v>4751</v>
      </c>
      <c r="X412" t="s">
        <v>3175</v>
      </c>
      <c r="Z412" s="3">
        <v>764</v>
      </c>
      <c r="AA412" s="2" t="s">
        <v>3773</v>
      </c>
      <c r="AB412" s="1" t="s">
        <v>1627</v>
      </c>
      <c r="AC412" s="1" t="s">
        <v>1441</v>
      </c>
      <c r="AD412" s="1">
        <v>18</v>
      </c>
      <c r="AE412" s="1" t="s">
        <v>979</v>
      </c>
      <c r="AF412" s="1" t="s">
        <v>978</v>
      </c>
      <c r="AG412" s="1" t="s">
        <v>339</v>
      </c>
      <c r="AH412" s="1" t="s">
        <v>348</v>
      </c>
      <c r="AI412" s="1" t="s">
        <v>2802</v>
      </c>
      <c r="AJ412" s="1"/>
      <c r="AK412" s="1" t="s">
        <v>2406</v>
      </c>
      <c r="AL412" s="1" t="s">
        <v>3794</v>
      </c>
      <c r="AM412" s="1" t="s">
        <v>3795</v>
      </c>
      <c r="AN412" s="1"/>
      <c r="AO412" s="1">
        <v>5</v>
      </c>
      <c r="AP412" s="1">
        <v>7</v>
      </c>
      <c r="AQ412" s="1" t="s">
        <v>3796</v>
      </c>
    </row>
    <row r="413" spans="1:43" x14ac:dyDescent="0.15">
      <c r="A413" t="str">
        <f t="shared" si="136"/>
        <v>|EMN|無色|16|5/7|アンコモン|《[[溺墓のビヒモス]]》|</v>
      </c>
      <c r="B413" t="s">
        <v>3168</v>
      </c>
      <c r="C413" t="str">
        <f>AA413</f>
        <v>EMN</v>
      </c>
      <c r="D413">
        <f>IF(AA413="","",VLOOKUP(C413,tnpl!$Z$1:$AA$11,2,TRUE))</f>
        <v>5</v>
      </c>
      <c r="E413" t="s">
        <v>3168</v>
      </c>
      <c r="F413" t="str">
        <f>AB413</f>
        <v>無色</v>
      </c>
      <c r="G413">
        <f>IF(AB413="","",VLOOKUP(F413,tnpl!$X$1:$Y$16,2,TRUE))</f>
        <v>16</v>
      </c>
      <c r="H413" t="s">
        <v>3168</v>
      </c>
      <c r="I413">
        <f>AD413</f>
        <v>16</v>
      </c>
      <c r="J413" t="s">
        <v>3168</v>
      </c>
      <c r="K413">
        <f t="shared" si="137"/>
        <v>5</v>
      </c>
      <c r="L413">
        <f t="shared" si="137"/>
        <v>7</v>
      </c>
      <c r="M413" t="str">
        <f>K413&amp;"/"&amp;L413</f>
        <v>5/7</v>
      </c>
      <c r="N413" t="s">
        <v>3175</v>
      </c>
      <c r="O413" t="str">
        <f>AC413</f>
        <v>アンコモン</v>
      </c>
      <c r="R413" t="s">
        <v>3175</v>
      </c>
      <c r="S413" t="s">
        <v>4750</v>
      </c>
      <c r="T413" t="str">
        <f>AE413</f>
        <v>溺墓のビヒモス</v>
      </c>
      <c r="U413" t="str">
        <f>IF(I413=0,"&gt;","")</f>
        <v/>
      </c>
      <c r="V413" t="str">
        <f>IF(I413=0,VLOOKUP(TAG!T402,Sheet4!A:B,2,TRUE),"")</f>
        <v/>
      </c>
      <c r="W413" t="s">
        <v>4751</v>
      </c>
      <c r="X413" t="s">
        <v>3175</v>
      </c>
      <c r="Z413" s="3">
        <v>828</v>
      </c>
      <c r="AA413" s="2" t="s">
        <v>3773</v>
      </c>
      <c r="AB413" s="1" t="s">
        <v>292</v>
      </c>
      <c r="AC413" s="1" t="s">
        <v>1451</v>
      </c>
      <c r="AD413" s="1">
        <v>16</v>
      </c>
      <c r="AE413" s="1" t="s">
        <v>874</v>
      </c>
      <c r="AF413" s="1" t="s">
        <v>873</v>
      </c>
      <c r="AG413" s="1" t="s">
        <v>339</v>
      </c>
      <c r="AH413" s="1" t="s">
        <v>1435</v>
      </c>
      <c r="AI413" s="1"/>
      <c r="AJ413" s="1"/>
      <c r="AK413" s="1" t="s">
        <v>3920</v>
      </c>
      <c r="AL413" s="1" t="s">
        <v>3916</v>
      </c>
      <c r="AM413" s="1"/>
      <c r="AN413" s="1"/>
      <c r="AO413" s="1">
        <v>5</v>
      </c>
      <c r="AP413" s="1">
        <v>7</v>
      </c>
      <c r="AQ413" s="1" t="s">
        <v>3921</v>
      </c>
    </row>
    <row r="417" spans="1:43" x14ac:dyDescent="0.15">
      <c r="A417" t="str">
        <f>B417&amp;C417&amp;E417&amp;F417&amp;H417&amp;I417&amp;J417&amp;M417&amp;N417&amp;O417&amp;P417&amp;Q417&amp;R417&amp;S417&amp;T417&amp;V417&amp;W417&amp;X417&amp;Y417</f>
        <v>*パワー6タフネス6以外クリーチャー</v>
      </c>
      <c r="B417" t="s">
        <v>3173</v>
      </c>
      <c r="C417" t="str">
        <f>"パワー"&amp;AO423</f>
        <v>パワー6</v>
      </c>
      <c r="E417" t="str">
        <f>"タフネス"&amp;AO423&amp;"以外"</f>
        <v>タフネス6以外</v>
      </c>
      <c r="F417" t="s">
        <v>4814</v>
      </c>
      <c r="G417" t="s">
        <v>3172</v>
      </c>
    </row>
    <row r="418" spans="1:43" x14ac:dyDescent="0.15">
      <c r="A418" t="s">
        <v>4815</v>
      </c>
    </row>
    <row r="419" spans="1:43" x14ac:dyDescent="0.15">
      <c r="A419" t="str">
        <f>B419&amp;C419&amp;E419&amp;F419&amp;H419&amp;I419&amp;J419&amp;M419&amp;N419&amp;O419&amp;P419&amp;Q419&amp;R419&amp;S419&amp;T419&amp;V419&amp;W419&amp;X419&amp;Y419</f>
        <v/>
      </c>
    </row>
    <row r="420" spans="1:43" x14ac:dyDescent="0.15">
      <c r="A420" t="str">
        <f>B420&amp;C420&amp;E420&amp;F420&amp;H420&amp;I420&amp;J420&amp;M420&amp;N420&amp;O420&amp;P420&amp;Q420&amp;R420&amp;S420&amp;T420&amp;V420&amp;W420&amp;X420&amp;Y420</f>
        <v>**タフネス4以下クリーチャー</v>
      </c>
      <c r="B420" t="s">
        <v>4752</v>
      </c>
      <c r="C420" t="s">
        <v>4819</v>
      </c>
      <c r="F420">
        <v>4</v>
      </c>
      <c r="H420" t="s">
        <v>4820</v>
      </c>
      <c r="I420" t="s">
        <v>339</v>
      </c>
    </row>
    <row r="421" spans="1:43" x14ac:dyDescent="0.15">
      <c r="A421" t="str">
        <f t="shared" ref="A421:A426" si="138">B421&amp;C421&amp;E421&amp;F421&amp;H421&amp;I421&amp;J421&amp;M421&amp;N421&amp;O421&amp;P421&amp;Q421&amp;R421&amp;S421&amp;T421&amp;U421&amp;V421&amp;W421&amp;X421&amp;Y421</f>
        <v>|LEFT:50|LEFT:50|LEFT:50|LEFT:120|LEFT:120|LEFT:500|c</v>
      </c>
      <c r="B421" t="s">
        <v>3168</v>
      </c>
      <c r="C421" t="s">
        <v>3162</v>
      </c>
      <c r="E421" t="s">
        <v>3168</v>
      </c>
      <c r="F421" t="s">
        <v>3162</v>
      </c>
      <c r="H421" t="s">
        <v>3168</v>
      </c>
      <c r="I421" t="s">
        <v>3162</v>
      </c>
      <c r="J421" t="s">
        <v>3168</v>
      </c>
      <c r="M421" t="s">
        <v>4808</v>
      </c>
      <c r="N421" t="s">
        <v>3175</v>
      </c>
      <c r="O421" t="s">
        <v>4808</v>
      </c>
      <c r="R421" t="s">
        <v>3175</v>
      </c>
      <c r="T421" t="s">
        <v>3163</v>
      </c>
      <c r="X421" t="s">
        <v>3175</v>
      </c>
      <c r="Y421" t="s">
        <v>3164</v>
      </c>
    </row>
    <row r="422" spans="1:43" x14ac:dyDescent="0.15">
      <c r="A422" t="str">
        <f t="shared" si="138"/>
        <v>|セット|色|コスト|P/T|レアリティ|カード名|</v>
      </c>
      <c r="B422" t="s">
        <v>3168</v>
      </c>
      <c r="C422" t="s">
        <v>3169</v>
      </c>
      <c r="E422" t="s">
        <v>3168</v>
      </c>
      <c r="F422" t="s">
        <v>3139</v>
      </c>
      <c r="H422" t="s">
        <v>3168</v>
      </c>
      <c r="I422" t="s">
        <v>3165</v>
      </c>
      <c r="J422" t="s">
        <v>3168</v>
      </c>
      <c r="K422" t="s">
        <v>3126</v>
      </c>
      <c r="L422" t="s">
        <v>3125</v>
      </c>
      <c r="M422" t="str">
        <f>K422&amp;"/"&amp;L422</f>
        <v>P/T</v>
      </c>
      <c r="N422" t="s">
        <v>3175</v>
      </c>
      <c r="O422" t="s">
        <v>4809</v>
      </c>
      <c r="R422" t="s">
        <v>3175</v>
      </c>
      <c r="T422" t="s">
        <v>3166</v>
      </c>
      <c r="V422" t="str">
        <f>IF(I422=0,VLOOKUP(TAG!T422,Sheet4!A:B,2,TRUE),"")</f>
        <v/>
      </c>
      <c r="X422" t="s">
        <v>3175</v>
      </c>
      <c r="Z422" s="12"/>
      <c r="AA422" s="12"/>
      <c r="AB422" s="12"/>
      <c r="AC422" s="12"/>
      <c r="AD422" s="12"/>
      <c r="AE422" s="12"/>
      <c r="AF422" s="12"/>
      <c r="AG422" s="12"/>
      <c r="AH422" s="12"/>
      <c r="AI422" s="12"/>
      <c r="AJ422" s="12"/>
      <c r="AK422" s="12"/>
      <c r="AL422" s="12"/>
      <c r="AM422" s="12"/>
      <c r="AN422" s="12"/>
      <c r="AO422" s="12"/>
      <c r="AP422" s="12"/>
      <c r="AQ422" s="12"/>
    </row>
    <row r="423" spans="1:43" x14ac:dyDescent="0.15">
      <c r="A423" t="str">
        <f t="shared" si="138"/>
        <v>|EMN|赤|3|6/1|レア|《[[性急な悪魔]]》|</v>
      </c>
      <c r="B423" t="s">
        <v>3168</v>
      </c>
      <c r="C423" t="str">
        <f>AA423</f>
        <v>EMN</v>
      </c>
      <c r="D423">
        <f>IF(AA423="","",VLOOKUP(C423,tnpl!$Z$1:$AA$11,2,TRUE))</f>
        <v>5</v>
      </c>
      <c r="E423" t="s">
        <v>3168</v>
      </c>
      <c r="F423" t="str">
        <f>AB423</f>
        <v>赤</v>
      </c>
      <c r="G423">
        <f>IF(AB423="","",VLOOKUP(F423,tnpl!$X$1:$Y$16,2,TRUE))</f>
        <v>4</v>
      </c>
      <c r="H423" t="s">
        <v>3168</v>
      </c>
      <c r="I423">
        <f>AD423</f>
        <v>3</v>
      </c>
      <c r="J423" t="s">
        <v>3168</v>
      </c>
      <c r="K423">
        <f t="shared" ref="K423:L426" si="139">AO423</f>
        <v>6</v>
      </c>
      <c r="L423">
        <f t="shared" si="139"/>
        <v>1</v>
      </c>
      <c r="M423" t="str">
        <f>K423&amp;"/"&amp;L423</f>
        <v>6/1</v>
      </c>
      <c r="N423" t="s">
        <v>3175</v>
      </c>
      <c r="O423" t="str">
        <f>AC423</f>
        <v>レア</v>
      </c>
      <c r="R423" t="s">
        <v>3175</v>
      </c>
      <c r="S423" t="s">
        <v>4750</v>
      </c>
      <c r="T423" t="str">
        <f>AE423</f>
        <v>性急な悪魔</v>
      </c>
      <c r="U423" t="str">
        <f>IF(I423=0,"&gt;","")</f>
        <v/>
      </c>
      <c r="V423" t="str">
        <f>IF(I423=0,VLOOKUP(T423,Sheet4!A:B,2,TRUE),"")</f>
        <v/>
      </c>
      <c r="W423" t="s">
        <v>4751</v>
      </c>
      <c r="X423" t="s">
        <v>3175</v>
      </c>
      <c r="Z423" s="3">
        <v>799</v>
      </c>
      <c r="AA423" s="2" t="s">
        <v>3773</v>
      </c>
      <c r="AB423" s="1" t="s">
        <v>1552</v>
      </c>
      <c r="AC423" s="1" t="s">
        <v>1441</v>
      </c>
      <c r="AD423" s="1">
        <v>3</v>
      </c>
      <c r="AE423" s="1" t="s">
        <v>922</v>
      </c>
      <c r="AF423" s="1" t="s">
        <v>921</v>
      </c>
      <c r="AG423" s="1" t="s">
        <v>339</v>
      </c>
      <c r="AH423" s="1" t="s">
        <v>3609</v>
      </c>
      <c r="AI423" s="1"/>
      <c r="AJ423" s="1"/>
      <c r="AK423" s="1" t="s">
        <v>3866</v>
      </c>
      <c r="AL423" s="1" t="s">
        <v>3867</v>
      </c>
      <c r="AM423" s="1" t="s">
        <v>3868</v>
      </c>
      <c r="AN423" s="1"/>
      <c r="AO423" s="1">
        <v>6</v>
      </c>
      <c r="AP423" s="1">
        <v>1</v>
      </c>
      <c r="AQ423" s="1" t="s">
        <v>3869</v>
      </c>
    </row>
    <row r="424" spans="1:43" x14ac:dyDescent="0.15">
      <c r="A424" t="str">
        <f t="shared" si="138"/>
        <v>|KLD|赤白|16|6/2|アンコモン|《[[経験豊富な操縦者]]》|</v>
      </c>
      <c r="B424" t="s">
        <v>3168</v>
      </c>
      <c r="C424" t="str">
        <f>AA424</f>
        <v>KLD</v>
      </c>
      <c r="D424">
        <f>IF(AA424="","",VLOOKUP(C424,tnpl!$Z$1:$AA$11,2,TRUE))</f>
        <v>6</v>
      </c>
      <c r="E424" t="s">
        <v>3168</v>
      </c>
      <c r="F424" t="str">
        <f>AB424</f>
        <v>赤白</v>
      </c>
      <c r="G424">
        <f>IF(AB424="","",VLOOKUP(F424,tnpl!$X$1:$Y$16,2,TRUE))</f>
        <v>14</v>
      </c>
      <c r="H424" t="s">
        <v>3168</v>
      </c>
      <c r="I424">
        <f>AD424</f>
        <v>16</v>
      </c>
      <c r="J424" t="s">
        <v>3168</v>
      </c>
      <c r="K424">
        <f t="shared" si="139"/>
        <v>6</v>
      </c>
      <c r="L424">
        <f t="shared" si="139"/>
        <v>2</v>
      </c>
      <c r="M424" t="str">
        <f>K424&amp;"/"&amp;L424</f>
        <v>6/2</v>
      </c>
      <c r="N424" t="s">
        <v>3175</v>
      </c>
      <c r="O424" t="str">
        <f>AC424</f>
        <v>アンコモン</v>
      </c>
      <c r="R424" t="s">
        <v>3175</v>
      </c>
      <c r="S424" t="s">
        <v>4750</v>
      </c>
      <c r="T424" t="str">
        <f>AE424</f>
        <v>経験豊富な操縦者</v>
      </c>
      <c r="U424" t="str">
        <f>IF(I424=0,"&gt;","")</f>
        <v/>
      </c>
      <c r="V424" t="str">
        <f>IF(I424=0,VLOOKUP(T424,Sheet4!A:B,2,TRUE),"")</f>
        <v/>
      </c>
      <c r="W424" t="s">
        <v>4751</v>
      </c>
      <c r="X424" t="s">
        <v>3175</v>
      </c>
      <c r="Z424" s="3">
        <v>976</v>
      </c>
      <c r="AA424" s="2" t="s">
        <v>3937</v>
      </c>
      <c r="AB424" s="1" t="s">
        <v>1784</v>
      </c>
      <c r="AC424" s="1" t="s">
        <v>1451</v>
      </c>
      <c r="AD424" s="1">
        <v>16</v>
      </c>
      <c r="AE424" s="1" t="s">
        <v>556</v>
      </c>
      <c r="AF424" s="1" t="s">
        <v>555</v>
      </c>
      <c r="AG424" s="1" t="s">
        <v>339</v>
      </c>
      <c r="AH424" s="1" t="s">
        <v>3938</v>
      </c>
      <c r="AI424" s="1" t="s">
        <v>3957</v>
      </c>
      <c r="AJ424" s="1"/>
      <c r="AK424" s="1" t="s">
        <v>4161</v>
      </c>
      <c r="AL424" s="1"/>
      <c r="AM424" s="1"/>
      <c r="AN424" s="1"/>
      <c r="AO424" s="1">
        <v>6</v>
      </c>
      <c r="AP424" s="1">
        <v>2</v>
      </c>
      <c r="AQ424" s="1" t="s">
        <v>4161</v>
      </c>
    </row>
    <row r="425" spans="1:43" x14ac:dyDescent="0.15">
      <c r="A425" t="str">
        <f t="shared" si="138"/>
        <v>|EMN|赤|0|6/4|アンコモン|《[[噴出する戦慄狼&gt;くすぶる狼男]]》|</v>
      </c>
      <c r="B425" t="s">
        <v>3168</v>
      </c>
      <c r="C425" t="str">
        <f>AA425</f>
        <v>EMN</v>
      </c>
      <c r="D425">
        <f>IF(AA425="","",VLOOKUP(C425,tnpl!$Z$1:$AA$11,2,TRUE))</f>
        <v>5</v>
      </c>
      <c r="E425" t="s">
        <v>3168</v>
      </c>
      <c r="F425" t="str">
        <f>AB425</f>
        <v>赤</v>
      </c>
      <c r="G425">
        <f>IF(AB425="","",VLOOKUP(F425,tnpl!$X$1:$Y$16,2,TRUE))</f>
        <v>4</v>
      </c>
      <c r="H425" t="s">
        <v>3168</v>
      </c>
      <c r="I425">
        <f>AD425</f>
        <v>0</v>
      </c>
      <c r="J425" t="s">
        <v>3168</v>
      </c>
      <c r="K425">
        <f t="shared" si="139"/>
        <v>6</v>
      </c>
      <c r="L425">
        <f t="shared" si="139"/>
        <v>4</v>
      </c>
      <c r="M425" t="str">
        <f>K425&amp;"/"&amp;L425</f>
        <v>6/4</v>
      </c>
      <c r="N425" t="s">
        <v>3175</v>
      </c>
      <c r="O425" t="str">
        <f>AC425</f>
        <v>アンコモン</v>
      </c>
      <c r="R425" t="s">
        <v>3175</v>
      </c>
      <c r="S425" t="s">
        <v>4750</v>
      </c>
      <c r="T425" t="str">
        <f>AE425</f>
        <v>噴出する戦慄狼</v>
      </c>
      <c r="U425" t="str">
        <f>IF(I425=0,"&gt;","")</f>
        <v>&gt;</v>
      </c>
      <c r="V425" t="str">
        <f>IF(I425=0,VLOOKUP(T425,Sheet4!A:B,2,TRUE),"")</f>
        <v>くすぶる狼男</v>
      </c>
      <c r="W425" t="s">
        <v>4751</v>
      </c>
      <c r="X425" t="s">
        <v>3175</v>
      </c>
      <c r="Z425" s="3">
        <v>797</v>
      </c>
      <c r="AA425" s="2" t="s">
        <v>3773</v>
      </c>
      <c r="AB425" s="1" t="s">
        <v>1552</v>
      </c>
      <c r="AC425" s="1" t="s">
        <v>1451</v>
      </c>
      <c r="AD425" s="13">
        <v>0</v>
      </c>
      <c r="AE425" s="1" t="s">
        <v>844</v>
      </c>
      <c r="AF425" s="1" t="s">
        <v>843</v>
      </c>
      <c r="AG425" s="1" t="s">
        <v>339</v>
      </c>
      <c r="AH425" s="1" t="s">
        <v>1435</v>
      </c>
      <c r="AI425" s="1" t="s">
        <v>3605</v>
      </c>
      <c r="AJ425" s="1"/>
      <c r="AK425" s="1" t="s">
        <v>3863</v>
      </c>
      <c r="AL425" s="1"/>
      <c r="AM425" s="1"/>
      <c r="AN425" s="1"/>
      <c r="AO425" s="1">
        <v>6</v>
      </c>
      <c r="AP425" s="1">
        <v>4</v>
      </c>
      <c r="AQ425" s="1" t="s">
        <v>3863</v>
      </c>
    </row>
    <row r="426" spans="1:43" x14ac:dyDescent="0.15">
      <c r="A426" t="str">
        <f t="shared" si="138"/>
        <v>|KLD|黒|12|6/4|レア|《[[楕円競走の無謀者]]》|</v>
      </c>
      <c r="B426" t="s">
        <v>3168</v>
      </c>
      <c r="C426" t="str">
        <f>AA426</f>
        <v>KLD</v>
      </c>
      <c r="D426">
        <f>IF(AA426="","",VLOOKUP(C426,tnpl!$Z$1:$AA$11,2,TRUE))</f>
        <v>6</v>
      </c>
      <c r="E426" t="s">
        <v>3168</v>
      </c>
      <c r="F426" t="str">
        <f>AB426</f>
        <v>黒</v>
      </c>
      <c r="G426">
        <f>IF(AB426="","",VLOOKUP(F426,tnpl!$X$1:$Y$16,2,TRUE))</f>
        <v>3</v>
      </c>
      <c r="H426" t="s">
        <v>3168</v>
      </c>
      <c r="I426">
        <f>AD426</f>
        <v>12</v>
      </c>
      <c r="J426" t="s">
        <v>3168</v>
      </c>
      <c r="K426">
        <f t="shared" si="139"/>
        <v>6</v>
      </c>
      <c r="L426">
        <f t="shared" si="139"/>
        <v>4</v>
      </c>
      <c r="M426" t="str">
        <f>K426&amp;"/"&amp;L426</f>
        <v>6/4</v>
      </c>
      <c r="N426" t="s">
        <v>3175</v>
      </c>
      <c r="O426" t="str">
        <f>AC426</f>
        <v>レア</v>
      </c>
      <c r="R426" t="s">
        <v>3175</v>
      </c>
      <c r="S426" t="s">
        <v>4750</v>
      </c>
      <c r="T426" t="str">
        <f>AE426</f>
        <v>楕円競走の無謀者</v>
      </c>
      <c r="U426" t="str">
        <f>IF(I426=0,"&gt;","")</f>
        <v/>
      </c>
      <c r="V426" t="str">
        <f>IF(I426=0,VLOOKUP(T426,Sheet4!A:B,2,TRUE),"")</f>
        <v/>
      </c>
      <c r="W426" t="s">
        <v>4751</v>
      </c>
      <c r="X426" t="s">
        <v>3175</v>
      </c>
      <c r="Z426" s="3">
        <v>906</v>
      </c>
      <c r="AA426" s="2" t="s">
        <v>3937</v>
      </c>
      <c r="AB426" s="1" t="s">
        <v>1582</v>
      </c>
      <c r="AC426" s="1" t="s">
        <v>1441</v>
      </c>
      <c r="AD426" s="1">
        <v>12</v>
      </c>
      <c r="AE426" s="1" t="s">
        <v>693</v>
      </c>
      <c r="AF426" s="1" t="s">
        <v>692</v>
      </c>
      <c r="AG426" s="1" t="s">
        <v>339</v>
      </c>
      <c r="AH426" s="1" t="s">
        <v>1489</v>
      </c>
      <c r="AI426" s="1" t="s">
        <v>3957</v>
      </c>
      <c r="AJ426" s="1"/>
      <c r="AK426" s="1" t="s">
        <v>4057</v>
      </c>
      <c r="AL426" s="1"/>
      <c r="AM426" s="1"/>
      <c r="AN426" s="1"/>
      <c r="AO426" s="1">
        <v>6</v>
      </c>
      <c r="AP426" s="1">
        <v>4</v>
      </c>
      <c r="AQ426" s="1" t="s">
        <v>4057</v>
      </c>
    </row>
    <row r="427" spans="1:43" x14ac:dyDescent="0.15">
      <c r="A427" t="str">
        <f>B427&amp;C427&amp;E427&amp;F427&amp;H427&amp;I427&amp;J427&amp;M427&amp;N427&amp;O427&amp;P427&amp;Q427&amp;R427&amp;S427&amp;T427&amp;V427&amp;W427&amp;X427&amp;Y427</f>
        <v/>
      </c>
    </row>
    <row r="428" spans="1:43" x14ac:dyDescent="0.15">
      <c r="A428" t="str">
        <f>B428&amp;C428&amp;E428&amp;F428&amp;H428&amp;I428&amp;J428&amp;M428&amp;N428&amp;O428&amp;P428&amp;Q428&amp;R428&amp;S428&amp;T428&amp;V428&amp;W428&amp;X428&amp;Y428</f>
        <v>**6/5クリーチャー</v>
      </c>
      <c r="B428" t="s">
        <v>4752</v>
      </c>
      <c r="C428">
        <f>K431</f>
        <v>6</v>
      </c>
      <c r="E428" t="s">
        <v>4816</v>
      </c>
      <c r="F428">
        <f>L431</f>
        <v>5</v>
      </c>
      <c r="I428" t="s">
        <v>339</v>
      </c>
      <c r="V428" t="str">
        <f>IF(I428=0,VLOOKUP(TAG!T428,Sheet4!A:B,2,TRUE),"")</f>
        <v/>
      </c>
    </row>
    <row r="429" spans="1:43" x14ac:dyDescent="0.15">
      <c r="A429" t="str">
        <f t="shared" ref="A429:A452" si="140">B429&amp;C429&amp;E429&amp;F429&amp;H429&amp;I429&amp;J429&amp;M429&amp;N429&amp;O429&amp;P429&amp;Q429&amp;R429&amp;S429&amp;T429&amp;U429&amp;V429&amp;W429&amp;X429&amp;Y429</f>
        <v>|LEFT:50|LEFT:50|LEFT:50|LEFT:120|LEFT:120|LEFT:500|c</v>
      </c>
      <c r="B429" t="s">
        <v>3168</v>
      </c>
      <c r="C429" t="s">
        <v>3162</v>
      </c>
      <c r="E429" t="s">
        <v>3168</v>
      </c>
      <c r="F429" t="s">
        <v>3162</v>
      </c>
      <c r="H429" t="s">
        <v>3168</v>
      </c>
      <c r="I429" t="s">
        <v>3162</v>
      </c>
      <c r="J429" t="s">
        <v>3168</v>
      </c>
      <c r="M429" t="s">
        <v>4808</v>
      </c>
      <c r="N429" t="s">
        <v>3175</v>
      </c>
      <c r="O429" t="s">
        <v>4808</v>
      </c>
      <c r="R429" t="s">
        <v>3175</v>
      </c>
      <c r="T429" t="s">
        <v>3163</v>
      </c>
      <c r="V429" t="str">
        <f>IF(I429=0,VLOOKUP(TAG!T429,Sheet4!A:B,2,TRUE),"")</f>
        <v/>
      </c>
      <c r="X429" t="s">
        <v>3175</v>
      </c>
      <c r="Y429" t="s">
        <v>3164</v>
      </c>
    </row>
    <row r="430" spans="1:43" x14ac:dyDescent="0.15">
      <c r="A430" t="str">
        <f t="shared" si="140"/>
        <v>|セット|色|コスト|P/T|レアリティ|カード名|</v>
      </c>
      <c r="B430" t="s">
        <v>3168</v>
      </c>
      <c r="C430" t="s">
        <v>3169</v>
      </c>
      <c r="E430" t="s">
        <v>3168</v>
      </c>
      <c r="F430" t="s">
        <v>3139</v>
      </c>
      <c r="H430" t="s">
        <v>3168</v>
      </c>
      <c r="I430" t="s">
        <v>3165</v>
      </c>
      <c r="J430" t="s">
        <v>3168</v>
      </c>
      <c r="K430" t="s">
        <v>3126</v>
      </c>
      <c r="L430" t="s">
        <v>3125</v>
      </c>
      <c r="M430" t="str">
        <f t="shared" ref="M430:M452" si="141">K430&amp;"/"&amp;L430</f>
        <v>P/T</v>
      </c>
      <c r="N430" t="s">
        <v>3175</v>
      </c>
      <c r="O430" t="s">
        <v>4809</v>
      </c>
      <c r="R430" t="s">
        <v>3175</v>
      </c>
      <c r="T430" t="s">
        <v>3166</v>
      </c>
      <c r="V430" t="str">
        <f>IF(I430=0,VLOOKUP(TAG!T430,Sheet4!A:B,2,TRUE),"")</f>
        <v/>
      </c>
      <c r="X430" t="s">
        <v>3175</v>
      </c>
      <c r="Z430" s="12"/>
      <c r="AA430" s="12"/>
      <c r="AB430" s="12"/>
      <c r="AC430" s="12"/>
      <c r="AD430" s="12"/>
      <c r="AE430" s="12"/>
      <c r="AF430" s="12"/>
      <c r="AG430" s="12"/>
      <c r="AH430" s="12"/>
      <c r="AI430" s="12"/>
      <c r="AJ430" s="12"/>
      <c r="AK430" s="12"/>
      <c r="AL430" s="12"/>
      <c r="AM430" s="12"/>
      <c r="AN430" s="12"/>
      <c r="AO430" s="12"/>
      <c r="AP430" s="12"/>
      <c r="AQ430" s="12"/>
    </row>
    <row r="431" spans="1:43" x14ac:dyDescent="0.15">
      <c r="A431" t="str">
        <f t="shared" si="140"/>
        <v>|ORI|白|14|6/5|レア|《[[キテオンの不正規軍]]》|</v>
      </c>
      <c r="B431" t="s">
        <v>3168</v>
      </c>
      <c r="C431" t="str">
        <f t="shared" ref="C431:C452" si="142">AA431</f>
        <v>ORI</v>
      </c>
      <c r="D431">
        <f>IF(AA431="","",VLOOKUP(C431,tnpl!$Z$1:$AA$11,2,TRUE))</f>
        <v>1</v>
      </c>
      <c r="E431" t="s">
        <v>3168</v>
      </c>
      <c r="F431" t="str">
        <f t="shared" ref="F431:F452" si="143">AB431</f>
        <v>白</v>
      </c>
      <c r="G431">
        <f>IF(AB431="","",VLOOKUP(F431,tnpl!$X$1:$Y$16,2,TRUE))</f>
        <v>1</v>
      </c>
      <c r="H431" t="s">
        <v>3168</v>
      </c>
      <c r="I431">
        <f t="shared" ref="I431:I452" si="144">AD431</f>
        <v>14</v>
      </c>
      <c r="J431" t="s">
        <v>3168</v>
      </c>
      <c r="K431">
        <f t="shared" ref="K431:K452" si="145">AO431</f>
        <v>6</v>
      </c>
      <c r="L431">
        <f t="shared" ref="L431:L452" si="146">AP431</f>
        <v>5</v>
      </c>
      <c r="M431" t="str">
        <f t="shared" si="141"/>
        <v>6/5</v>
      </c>
      <c r="N431" t="s">
        <v>3175</v>
      </c>
      <c r="O431" t="str">
        <f t="shared" ref="O431:O452" si="147">AC431</f>
        <v>レア</v>
      </c>
      <c r="R431" t="s">
        <v>3175</v>
      </c>
      <c r="S431" t="s">
        <v>4750</v>
      </c>
      <c r="T431" t="str">
        <f t="shared" ref="T431:T452" si="148">AE431</f>
        <v>キテオンの不正規軍</v>
      </c>
      <c r="U431" t="str">
        <f t="shared" ref="U431:U452" si="149">IF(I431=0,"&gt;","")</f>
        <v/>
      </c>
      <c r="V431" t="str">
        <f>IF(I431=0,VLOOKUP(T431,Sheet4!A:B,2,TRUE),"")</f>
        <v/>
      </c>
      <c r="W431" t="s">
        <v>4751</v>
      </c>
      <c r="X431" t="s">
        <v>3175</v>
      </c>
      <c r="Z431" s="3">
        <v>30</v>
      </c>
      <c r="AA431" s="2" t="s">
        <v>3176</v>
      </c>
      <c r="AB431" s="1" t="s">
        <v>1627</v>
      </c>
      <c r="AC431" s="1" t="s">
        <v>1441</v>
      </c>
      <c r="AD431" s="1">
        <v>14</v>
      </c>
      <c r="AE431" s="1" t="s">
        <v>3037</v>
      </c>
      <c r="AF431" s="1" t="s">
        <v>3036</v>
      </c>
      <c r="AG431" s="1" t="s">
        <v>339</v>
      </c>
      <c r="AH431" s="1" t="s">
        <v>1489</v>
      </c>
      <c r="AI431" s="1" t="s">
        <v>1799</v>
      </c>
      <c r="AJ431" s="1"/>
      <c r="AK431" s="1" t="s">
        <v>3190</v>
      </c>
      <c r="AL431" s="1" t="s">
        <v>3035</v>
      </c>
      <c r="AM431" s="1"/>
      <c r="AN431" s="1"/>
      <c r="AO431" s="1">
        <v>6</v>
      </c>
      <c r="AP431" s="1">
        <v>5</v>
      </c>
      <c r="AQ431" s="1" t="s">
        <v>3191</v>
      </c>
    </row>
    <row r="432" spans="1:43" x14ac:dyDescent="0.15">
      <c r="A432" t="str">
        <f t="shared" si="140"/>
        <v>|ORI|白|12|6/5|レア|《[[ヴリンの翼馬]]》|</v>
      </c>
      <c r="B432" t="s">
        <v>3168</v>
      </c>
      <c r="C432" t="str">
        <f t="shared" si="142"/>
        <v>ORI</v>
      </c>
      <c r="D432">
        <f>IF(AA432="","",VLOOKUP(C432,tnpl!$Z$1:$AA$11,2,TRUE))</f>
        <v>1</v>
      </c>
      <c r="E432" t="s">
        <v>3168</v>
      </c>
      <c r="F432" t="str">
        <f t="shared" si="143"/>
        <v>白</v>
      </c>
      <c r="G432">
        <f>IF(AB432="","",VLOOKUP(F432,tnpl!$X$1:$Y$16,2,TRUE))</f>
        <v>1</v>
      </c>
      <c r="H432" t="s">
        <v>3168</v>
      </c>
      <c r="I432">
        <f t="shared" si="144"/>
        <v>12</v>
      </c>
      <c r="J432" t="s">
        <v>3168</v>
      </c>
      <c r="K432">
        <f t="shared" si="145"/>
        <v>6</v>
      </c>
      <c r="L432">
        <f t="shared" si="146"/>
        <v>5</v>
      </c>
      <c r="M432" t="str">
        <f t="shared" si="141"/>
        <v>6/5</v>
      </c>
      <c r="N432" t="s">
        <v>3175</v>
      </c>
      <c r="O432" t="str">
        <f t="shared" si="147"/>
        <v>レア</v>
      </c>
      <c r="R432" t="s">
        <v>3175</v>
      </c>
      <c r="S432" t="s">
        <v>4750</v>
      </c>
      <c r="T432" t="str">
        <f t="shared" si="148"/>
        <v>ヴリンの翼馬</v>
      </c>
      <c r="U432" t="str">
        <f t="shared" si="149"/>
        <v/>
      </c>
      <c r="V432" t="str">
        <f>IF(I432=0,VLOOKUP(T432,Sheet4!A:B,2,TRUE),"")</f>
        <v/>
      </c>
      <c r="W432" t="s">
        <v>4751</v>
      </c>
      <c r="X432" t="s">
        <v>3175</v>
      </c>
      <c r="Z432" s="3">
        <v>33</v>
      </c>
      <c r="AA432" s="2" t="s">
        <v>3176</v>
      </c>
      <c r="AB432" s="1" t="s">
        <v>1627</v>
      </c>
      <c r="AC432" s="1" t="s">
        <v>1441</v>
      </c>
      <c r="AD432" s="1">
        <v>12</v>
      </c>
      <c r="AE432" s="1" t="s">
        <v>3028</v>
      </c>
      <c r="AF432" s="1" t="s">
        <v>3027</v>
      </c>
      <c r="AG432" s="1" t="s">
        <v>339</v>
      </c>
      <c r="AH432" s="1" t="s">
        <v>3026</v>
      </c>
      <c r="AI432" s="1"/>
      <c r="AJ432" s="1"/>
      <c r="AK432" s="1" t="s">
        <v>351</v>
      </c>
      <c r="AL432" s="1" t="s">
        <v>3025</v>
      </c>
      <c r="AM432" s="1"/>
      <c r="AN432" s="1"/>
      <c r="AO432" s="1">
        <v>6</v>
      </c>
      <c r="AP432" s="1">
        <v>5</v>
      </c>
      <c r="AQ432" s="1" t="s">
        <v>3196</v>
      </c>
    </row>
    <row r="433" spans="1:43" x14ac:dyDescent="0.15">
      <c r="A433" t="str">
        <f t="shared" si="140"/>
        <v>|ORI|青|12|6/5|レア|《[[魂刃のジン]]》|</v>
      </c>
      <c r="B433" t="s">
        <v>3168</v>
      </c>
      <c r="C433" t="str">
        <f t="shared" si="142"/>
        <v>ORI</v>
      </c>
      <c r="D433">
        <f>IF(AA433="","",VLOOKUP(C433,tnpl!$Z$1:$AA$11,2,TRUE))</f>
        <v>1</v>
      </c>
      <c r="E433" t="s">
        <v>3168</v>
      </c>
      <c r="F433" t="str">
        <f t="shared" si="143"/>
        <v>青</v>
      </c>
      <c r="G433">
        <f>IF(AB433="","",VLOOKUP(F433,tnpl!$X$1:$Y$16,2,TRUE))</f>
        <v>2</v>
      </c>
      <c r="H433" t="s">
        <v>3168</v>
      </c>
      <c r="I433">
        <f t="shared" si="144"/>
        <v>12</v>
      </c>
      <c r="J433" t="s">
        <v>3168</v>
      </c>
      <c r="K433">
        <f t="shared" si="145"/>
        <v>6</v>
      </c>
      <c r="L433">
        <f t="shared" si="146"/>
        <v>5</v>
      </c>
      <c r="M433" t="str">
        <f t="shared" si="141"/>
        <v>6/5</v>
      </c>
      <c r="N433" t="s">
        <v>3175</v>
      </c>
      <c r="O433" t="str">
        <f t="shared" si="147"/>
        <v>レア</v>
      </c>
      <c r="R433" t="s">
        <v>3175</v>
      </c>
      <c r="S433" t="s">
        <v>4750</v>
      </c>
      <c r="T433" t="str">
        <f t="shared" si="148"/>
        <v>魂刃のジン</v>
      </c>
      <c r="U433" t="str">
        <f t="shared" si="149"/>
        <v/>
      </c>
      <c r="V433" t="str">
        <f>IF(I433=0,VLOOKUP(T433,Sheet4!A:B,2,TRUE),"")</f>
        <v/>
      </c>
      <c r="W433" t="s">
        <v>4751</v>
      </c>
      <c r="X433" t="s">
        <v>3175</v>
      </c>
      <c r="Z433" s="3">
        <v>72</v>
      </c>
      <c r="AA433" s="2" t="s">
        <v>3176</v>
      </c>
      <c r="AB433" s="1" t="s">
        <v>1606</v>
      </c>
      <c r="AC433" s="1" t="s">
        <v>1441</v>
      </c>
      <c r="AD433" s="1">
        <v>12</v>
      </c>
      <c r="AE433" s="1" t="s">
        <v>2909</v>
      </c>
      <c r="AF433" s="1" t="s">
        <v>2908</v>
      </c>
      <c r="AG433" s="1" t="s">
        <v>339</v>
      </c>
      <c r="AH433" s="1" t="s">
        <v>2907</v>
      </c>
      <c r="AI433" s="1"/>
      <c r="AJ433" s="1"/>
      <c r="AK433" s="1" t="s">
        <v>351</v>
      </c>
      <c r="AL433" s="1" t="s">
        <v>3216</v>
      </c>
      <c r="AM433" s="1"/>
      <c r="AN433" s="1"/>
      <c r="AO433" s="1">
        <v>6</v>
      </c>
      <c r="AP433" s="1">
        <v>5</v>
      </c>
      <c r="AQ433" s="1" t="s">
        <v>3217</v>
      </c>
    </row>
    <row r="434" spans="1:43" x14ac:dyDescent="0.15">
      <c r="A434" t="str">
        <f t="shared" si="140"/>
        <v>|ORI|赤|13|6/5|レア|《[[ケラル砦の修道院長]]》|</v>
      </c>
      <c r="B434" t="s">
        <v>3168</v>
      </c>
      <c r="C434" t="str">
        <f t="shared" si="142"/>
        <v>ORI</v>
      </c>
      <c r="D434">
        <f>IF(AA434="","",VLOOKUP(C434,tnpl!$Z$1:$AA$11,2,TRUE))</f>
        <v>1</v>
      </c>
      <c r="E434" t="s">
        <v>3168</v>
      </c>
      <c r="F434" t="str">
        <f t="shared" si="143"/>
        <v>赤</v>
      </c>
      <c r="G434">
        <f>IF(AB434="","",VLOOKUP(F434,tnpl!$X$1:$Y$16,2,TRUE))</f>
        <v>4</v>
      </c>
      <c r="H434" t="s">
        <v>3168</v>
      </c>
      <c r="I434">
        <f t="shared" si="144"/>
        <v>13</v>
      </c>
      <c r="J434" t="s">
        <v>3168</v>
      </c>
      <c r="K434">
        <f t="shared" si="145"/>
        <v>6</v>
      </c>
      <c r="L434">
        <f t="shared" si="146"/>
        <v>5</v>
      </c>
      <c r="M434" t="str">
        <f t="shared" si="141"/>
        <v>6/5</v>
      </c>
      <c r="N434" t="s">
        <v>3175</v>
      </c>
      <c r="O434" t="str">
        <f t="shared" si="147"/>
        <v>レア</v>
      </c>
      <c r="R434" t="s">
        <v>3175</v>
      </c>
      <c r="S434" t="s">
        <v>4750</v>
      </c>
      <c r="T434" t="str">
        <f t="shared" si="148"/>
        <v>ケラル砦の修道院長</v>
      </c>
      <c r="U434" t="str">
        <f t="shared" si="149"/>
        <v/>
      </c>
      <c r="V434" t="str">
        <f>IF(I434=0,VLOOKUP(T434,Sheet4!A:B,2,TRUE),"")</f>
        <v/>
      </c>
      <c r="W434" t="s">
        <v>4751</v>
      </c>
      <c r="X434" t="s">
        <v>3175</v>
      </c>
      <c r="Z434" s="3">
        <v>153</v>
      </c>
      <c r="AA434" s="2" t="s">
        <v>3176</v>
      </c>
      <c r="AB434" s="1" t="s">
        <v>1552</v>
      </c>
      <c r="AC434" s="1" t="s">
        <v>1441</v>
      </c>
      <c r="AD434" s="1">
        <v>13</v>
      </c>
      <c r="AE434" s="1" t="s">
        <v>2683</v>
      </c>
      <c r="AF434" s="1" t="s">
        <v>2682</v>
      </c>
      <c r="AG434" s="1" t="s">
        <v>339</v>
      </c>
      <c r="AH434" s="1" t="s">
        <v>1489</v>
      </c>
      <c r="AI434" s="1" t="s">
        <v>2634</v>
      </c>
      <c r="AJ434" s="1"/>
      <c r="AK434" s="1" t="s">
        <v>2681</v>
      </c>
      <c r="AL434" s="1"/>
      <c r="AM434" s="1"/>
      <c r="AN434" s="1"/>
      <c r="AO434" s="1">
        <v>6</v>
      </c>
      <c r="AP434" s="1">
        <v>5</v>
      </c>
      <c r="AQ434" s="1" t="s">
        <v>2681</v>
      </c>
    </row>
    <row r="435" spans="1:43" x14ac:dyDescent="0.15">
      <c r="A435" t="str">
        <f t="shared" si="140"/>
        <v>|BFZ|赤白|16|6/5|レア|《[[天使の隊長]]》|</v>
      </c>
      <c r="B435" t="s">
        <v>3168</v>
      </c>
      <c r="C435" t="str">
        <f t="shared" si="142"/>
        <v>BFZ</v>
      </c>
      <c r="D435">
        <f>IF(AA435="","",VLOOKUP(C435,tnpl!$Z$1:$AA$11,2,TRUE))</f>
        <v>2</v>
      </c>
      <c r="E435" t="s">
        <v>3168</v>
      </c>
      <c r="F435" t="str">
        <f t="shared" si="143"/>
        <v>赤白</v>
      </c>
      <c r="G435">
        <f>IF(AB435="","",VLOOKUP(F435,tnpl!$X$1:$Y$16,2,TRUE))</f>
        <v>14</v>
      </c>
      <c r="H435" t="s">
        <v>3168</v>
      </c>
      <c r="I435">
        <f t="shared" si="144"/>
        <v>16</v>
      </c>
      <c r="J435" t="s">
        <v>3168</v>
      </c>
      <c r="K435">
        <f t="shared" si="145"/>
        <v>6</v>
      </c>
      <c r="L435">
        <f t="shared" si="146"/>
        <v>5</v>
      </c>
      <c r="M435" t="str">
        <f t="shared" si="141"/>
        <v>6/5</v>
      </c>
      <c r="N435" t="s">
        <v>3175</v>
      </c>
      <c r="O435" t="str">
        <f t="shared" si="147"/>
        <v>レア</v>
      </c>
      <c r="R435" t="s">
        <v>3175</v>
      </c>
      <c r="S435" t="s">
        <v>4750</v>
      </c>
      <c r="T435" t="str">
        <f t="shared" si="148"/>
        <v>天使の隊長</v>
      </c>
      <c r="U435" t="str">
        <f t="shared" si="149"/>
        <v/>
      </c>
      <c r="V435" t="str">
        <f>IF(I435=0,VLOOKUP(T435,Sheet4!A:B,2,TRUE),"")</f>
        <v/>
      </c>
      <c r="W435" t="s">
        <v>4751</v>
      </c>
      <c r="X435" t="s">
        <v>3175</v>
      </c>
      <c r="Z435" s="3">
        <v>443</v>
      </c>
      <c r="AA435" s="2" t="s">
        <v>3170</v>
      </c>
      <c r="AB435" s="1" t="s">
        <v>1784</v>
      </c>
      <c r="AC435" s="1" t="s">
        <v>1441</v>
      </c>
      <c r="AD435" s="1">
        <v>16</v>
      </c>
      <c r="AE435" s="1" t="s">
        <v>1783</v>
      </c>
      <c r="AF435" s="1" t="s">
        <v>1782</v>
      </c>
      <c r="AG435" s="1" t="s">
        <v>339</v>
      </c>
      <c r="AH435" s="1" t="s">
        <v>348</v>
      </c>
      <c r="AI435" s="1" t="s">
        <v>1478</v>
      </c>
      <c r="AJ435" s="1"/>
      <c r="AK435" s="1" t="s">
        <v>351</v>
      </c>
      <c r="AL435" s="1" t="s">
        <v>1781</v>
      </c>
      <c r="AM435" s="1"/>
      <c r="AN435" s="1"/>
      <c r="AO435" s="1">
        <v>6</v>
      </c>
      <c r="AP435" s="1">
        <v>5</v>
      </c>
      <c r="AQ435" s="1" t="s">
        <v>3400</v>
      </c>
    </row>
    <row r="436" spans="1:43" x14ac:dyDescent="0.15">
      <c r="A436" t="str">
        <f t="shared" si="140"/>
        <v>|SOI|赤|12|6/5|神話レア|《[[ガイアー岬の山賊]]》|</v>
      </c>
      <c r="B436" t="s">
        <v>3168</v>
      </c>
      <c r="C436" t="str">
        <f t="shared" si="142"/>
        <v>SOI</v>
      </c>
      <c r="D436">
        <f>IF(AA436="","",VLOOKUP(C436,tnpl!$Z$1:$AA$11,2,TRUE))</f>
        <v>4</v>
      </c>
      <c r="E436" t="s">
        <v>3168</v>
      </c>
      <c r="F436" t="str">
        <f t="shared" si="143"/>
        <v>赤</v>
      </c>
      <c r="G436">
        <f>IF(AB436="","",VLOOKUP(F436,tnpl!$X$1:$Y$16,2,TRUE))</f>
        <v>4</v>
      </c>
      <c r="H436" t="s">
        <v>3168</v>
      </c>
      <c r="I436">
        <f t="shared" si="144"/>
        <v>12</v>
      </c>
      <c r="J436" t="s">
        <v>3168</v>
      </c>
      <c r="K436">
        <f t="shared" si="145"/>
        <v>6</v>
      </c>
      <c r="L436">
        <f t="shared" si="146"/>
        <v>5</v>
      </c>
      <c r="M436" t="str">
        <f t="shared" si="141"/>
        <v>6/5</v>
      </c>
      <c r="N436" t="s">
        <v>3175</v>
      </c>
      <c r="O436" t="str">
        <f t="shared" si="147"/>
        <v>神話レア</v>
      </c>
      <c r="R436" t="s">
        <v>3175</v>
      </c>
      <c r="S436" t="s">
        <v>4750</v>
      </c>
      <c r="T436" t="str">
        <f t="shared" si="148"/>
        <v>ガイアー岬の山賊</v>
      </c>
      <c r="U436" t="str">
        <f t="shared" si="149"/>
        <v/>
      </c>
      <c r="V436" t="str">
        <f>IF(I436=0,VLOOKUP(T436,Sheet4!A:B,2,TRUE),"")</f>
        <v/>
      </c>
      <c r="W436" t="s">
        <v>4751</v>
      </c>
      <c r="X436" t="s">
        <v>3175</v>
      </c>
      <c r="Z436" s="3">
        <v>675</v>
      </c>
      <c r="AA436" s="2" t="s">
        <v>3431</v>
      </c>
      <c r="AB436" s="1" t="s">
        <v>1552</v>
      </c>
      <c r="AC436" s="1" t="s">
        <v>1431</v>
      </c>
      <c r="AD436" s="14">
        <v>12</v>
      </c>
      <c r="AE436" s="1" t="s">
        <v>1188</v>
      </c>
      <c r="AF436" s="1" t="s">
        <v>1187</v>
      </c>
      <c r="AG436" s="1" t="s">
        <v>339</v>
      </c>
      <c r="AH436" s="1" t="s">
        <v>1489</v>
      </c>
      <c r="AI436" s="1" t="s">
        <v>2938</v>
      </c>
      <c r="AJ436" s="1" t="s">
        <v>3605</v>
      </c>
      <c r="AK436" s="1" t="s">
        <v>2755</v>
      </c>
      <c r="AL436" s="1" t="s">
        <v>3606</v>
      </c>
      <c r="AM436" s="1" t="s">
        <v>3646</v>
      </c>
      <c r="AN436" s="1"/>
      <c r="AO436" s="1">
        <v>6</v>
      </c>
      <c r="AP436" s="1">
        <v>5</v>
      </c>
      <c r="AQ436" s="1" t="s">
        <v>3647</v>
      </c>
    </row>
    <row r="437" spans="1:43" x14ac:dyDescent="0.15">
      <c r="A437" t="str">
        <f t="shared" si="140"/>
        <v>|EMN|白|15|6/5|レア|《[[異端聖戦士、サリア]]》|</v>
      </c>
      <c r="B437" t="s">
        <v>3168</v>
      </c>
      <c r="C437" t="str">
        <f t="shared" si="142"/>
        <v>EMN</v>
      </c>
      <c r="D437">
        <f>IF(AA437="","",VLOOKUP(C437,tnpl!$Z$1:$AA$11,2,TRUE))</f>
        <v>5</v>
      </c>
      <c r="E437" t="s">
        <v>3168</v>
      </c>
      <c r="F437" t="str">
        <f t="shared" si="143"/>
        <v>白</v>
      </c>
      <c r="G437">
        <f>IF(AB437="","",VLOOKUP(F437,tnpl!$X$1:$Y$16,2,TRUE))</f>
        <v>1</v>
      </c>
      <c r="H437" t="s">
        <v>3168</v>
      </c>
      <c r="I437">
        <f t="shared" si="144"/>
        <v>15</v>
      </c>
      <c r="J437" t="s">
        <v>3168</v>
      </c>
      <c r="K437">
        <f t="shared" si="145"/>
        <v>6</v>
      </c>
      <c r="L437">
        <f t="shared" si="146"/>
        <v>5</v>
      </c>
      <c r="M437" t="str">
        <f t="shared" si="141"/>
        <v>6/5</v>
      </c>
      <c r="N437" t="s">
        <v>3175</v>
      </c>
      <c r="O437" t="str">
        <f t="shared" si="147"/>
        <v>レア</v>
      </c>
      <c r="R437" t="s">
        <v>3175</v>
      </c>
      <c r="S437" t="s">
        <v>4750</v>
      </c>
      <c r="T437" t="str">
        <f t="shared" si="148"/>
        <v>異端聖戦士、サリア</v>
      </c>
      <c r="U437" t="str">
        <f t="shared" si="149"/>
        <v/>
      </c>
      <c r="V437" t="str">
        <f>IF(I437=0,VLOOKUP(T437,Sheet4!A:B,2,TRUE),"")</f>
        <v/>
      </c>
      <c r="W437" t="s">
        <v>4751</v>
      </c>
      <c r="X437" t="s">
        <v>3175</v>
      </c>
      <c r="Z437" s="3">
        <v>761</v>
      </c>
      <c r="AA437" s="2" t="s">
        <v>3773</v>
      </c>
      <c r="AB437" s="1" t="s">
        <v>1627</v>
      </c>
      <c r="AC437" s="1" t="s">
        <v>1441</v>
      </c>
      <c r="AD437" s="1">
        <v>15</v>
      </c>
      <c r="AE437" s="1" t="s">
        <v>985</v>
      </c>
      <c r="AF437" s="1" t="s">
        <v>984</v>
      </c>
      <c r="AG437" s="1" t="s">
        <v>339</v>
      </c>
      <c r="AH437" s="1" t="s">
        <v>1489</v>
      </c>
      <c r="AI437" s="1" t="s">
        <v>1799</v>
      </c>
      <c r="AJ437" s="1"/>
      <c r="AK437" s="1" t="s">
        <v>3311</v>
      </c>
      <c r="AL437" s="1" t="s">
        <v>3787</v>
      </c>
      <c r="AM437" s="1"/>
      <c r="AN437" s="1"/>
      <c r="AO437" s="1">
        <v>6</v>
      </c>
      <c r="AP437" s="1">
        <v>5</v>
      </c>
      <c r="AQ437" s="1" t="s">
        <v>3788</v>
      </c>
    </row>
    <row r="438" spans="1:43" x14ac:dyDescent="0.15">
      <c r="A438" t="str">
        <f t="shared" si="140"/>
        <v>|EMN|白|10|6/5|レア|《[[無私の霊魂]]》|</v>
      </c>
      <c r="B438" t="s">
        <v>3168</v>
      </c>
      <c r="C438" t="str">
        <f t="shared" si="142"/>
        <v>EMN</v>
      </c>
      <c r="D438">
        <f>IF(AA438="","",VLOOKUP(C438,tnpl!$Z$1:$AA$11,2,TRUE))</f>
        <v>5</v>
      </c>
      <c r="E438" t="s">
        <v>3168</v>
      </c>
      <c r="F438" t="str">
        <f t="shared" si="143"/>
        <v>白</v>
      </c>
      <c r="G438">
        <f>IF(AB438="","",VLOOKUP(F438,tnpl!$X$1:$Y$16,2,TRUE))</f>
        <v>1</v>
      </c>
      <c r="H438" t="s">
        <v>3168</v>
      </c>
      <c r="I438">
        <f t="shared" si="144"/>
        <v>10</v>
      </c>
      <c r="J438" t="s">
        <v>3168</v>
      </c>
      <c r="K438">
        <f t="shared" si="145"/>
        <v>6</v>
      </c>
      <c r="L438">
        <f t="shared" si="146"/>
        <v>5</v>
      </c>
      <c r="M438" t="str">
        <f t="shared" si="141"/>
        <v>6/5</v>
      </c>
      <c r="N438" t="s">
        <v>3175</v>
      </c>
      <c r="O438" t="str">
        <f t="shared" si="147"/>
        <v>レア</v>
      </c>
      <c r="R438" t="s">
        <v>3175</v>
      </c>
      <c r="S438" t="s">
        <v>4750</v>
      </c>
      <c r="T438" t="str">
        <f t="shared" si="148"/>
        <v>無私の霊魂</v>
      </c>
      <c r="U438" t="str">
        <f t="shared" si="149"/>
        <v/>
      </c>
      <c r="V438" t="str">
        <f>IF(I438=0,VLOOKUP(T438,Sheet4!A:B,2,TRUE),"")</f>
        <v/>
      </c>
      <c r="W438" t="s">
        <v>4751</v>
      </c>
      <c r="X438" t="s">
        <v>3175</v>
      </c>
      <c r="Z438" s="3">
        <v>763</v>
      </c>
      <c r="AA438" s="2" t="s">
        <v>3773</v>
      </c>
      <c r="AB438" s="1" t="s">
        <v>1627</v>
      </c>
      <c r="AC438" s="1" t="s">
        <v>1441</v>
      </c>
      <c r="AD438" s="1">
        <v>10</v>
      </c>
      <c r="AE438" s="1" t="s">
        <v>981</v>
      </c>
      <c r="AF438" s="1" t="s">
        <v>980</v>
      </c>
      <c r="AG438" s="1" t="s">
        <v>339</v>
      </c>
      <c r="AH438" s="1" t="s">
        <v>2407</v>
      </c>
      <c r="AI438" s="1" t="s">
        <v>1470</v>
      </c>
      <c r="AJ438" s="1"/>
      <c r="AK438" s="1" t="s">
        <v>351</v>
      </c>
      <c r="AL438" s="1" t="s">
        <v>3792</v>
      </c>
      <c r="AM438" s="1"/>
      <c r="AN438" s="1"/>
      <c r="AO438" s="1">
        <v>6</v>
      </c>
      <c r="AP438" s="1">
        <v>5</v>
      </c>
      <c r="AQ438" s="1" t="s">
        <v>3793</v>
      </c>
    </row>
    <row r="439" spans="1:43" x14ac:dyDescent="0.15">
      <c r="A439" t="str">
        <f t="shared" si="140"/>
        <v>|EMN|青|9|6/5|レア|《[[完成態の講師]]》|</v>
      </c>
      <c r="B439" t="s">
        <v>3168</v>
      </c>
      <c r="C439" t="str">
        <f t="shared" si="142"/>
        <v>EMN</v>
      </c>
      <c r="D439">
        <f>IF(AA439="","",VLOOKUP(C439,tnpl!$Z$1:$AA$11,2,TRUE))</f>
        <v>5</v>
      </c>
      <c r="E439" t="s">
        <v>3168</v>
      </c>
      <c r="F439" t="str">
        <f t="shared" si="143"/>
        <v>青</v>
      </c>
      <c r="G439">
        <f>IF(AB439="","",VLOOKUP(F439,tnpl!$X$1:$Y$16,2,TRUE))</f>
        <v>2</v>
      </c>
      <c r="H439" t="s">
        <v>3168</v>
      </c>
      <c r="I439">
        <f t="shared" si="144"/>
        <v>9</v>
      </c>
      <c r="J439" t="s">
        <v>3168</v>
      </c>
      <c r="K439">
        <f t="shared" si="145"/>
        <v>6</v>
      </c>
      <c r="L439">
        <f t="shared" si="146"/>
        <v>5</v>
      </c>
      <c r="M439" t="str">
        <f t="shared" si="141"/>
        <v>6/5</v>
      </c>
      <c r="N439" t="s">
        <v>3175</v>
      </c>
      <c r="O439" t="str">
        <f t="shared" si="147"/>
        <v>レア</v>
      </c>
      <c r="R439" t="s">
        <v>3175</v>
      </c>
      <c r="S439" t="s">
        <v>4750</v>
      </c>
      <c r="T439" t="str">
        <f t="shared" si="148"/>
        <v>完成態の講師</v>
      </c>
      <c r="U439" t="str">
        <f t="shared" si="149"/>
        <v/>
      </c>
      <c r="V439" t="str">
        <f>IF(I439=0,VLOOKUP(T439,Sheet4!A:B,2,TRUE),"")</f>
        <v/>
      </c>
      <c r="W439" t="s">
        <v>4751</v>
      </c>
      <c r="X439" t="s">
        <v>3175</v>
      </c>
      <c r="Z439" s="3">
        <v>773</v>
      </c>
      <c r="AA439" s="2" t="s">
        <v>3773</v>
      </c>
      <c r="AB439" s="1" t="s">
        <v>1606</v>
      </c>
      <c r="AC439" s="1" t="s">
        <v>1441</v>
      </c>
      <c r="AD439" s="14">
        <v>9</v>
      </c>
      <c r="AE439" s="1" t="s">
        <v>965</v>
      </c>
      <c r="AF439" s="1" t="s">
        <v>964</v>
      </c>
      <c r="AG439" s="1" t="s">
        <v>339</v>
      </c>
      <c r="AH439" s="1" t="s">
        <v>1945</v>
      </c>
      <c r="AI439" s="1" t="s">
        <v>2802</v>
      </c>
      <c r="AJ439" s="1"/>
      <c r="AK439" s="1" t="s">
        <v>351</v>
      </c>
      <c r="AL439" s="1" t="s">
        <v>3816</v>
      </c>
      <c r="AM439" s="1" t="s">
        <v>3817</v>
      </c>
      <c r="AN439" s="1"/>
      <c r="AO439" s="1">
        <v>6</v>
      </c>
      <c r="AP439" s="1">
        <v>5</v>
      </c>
      <c r="AQ439" s="1" t="s">
        <v>3818</v>
      </c>
    </row>
    <row r="440" spans="1:43" x14ac:dyDescent="0.15">
      <c r="A440" t="str">
        <f t="shared" si="140"/>
        <v>|EMN|青|0|6/5|レア|《[[繰り返しつくしたもの&gt;完成態の講師]]》|</v>
      </c>
      <c r="B440" t="s">
        <v>3168</v>
      </c>
      <c r="C440" t="str">
        <f t="shared" si="142"/>
        <v>EMN</v>
      </c>
      <c r="D440">
        <f>IF(AA440="","",VLOOKUP(C440,tnpl!$Z$1:$AA$11,2,TRUE))</f>
        <v>5</v>
      </c>
      <c r="E440" t="s">
        <v>3168</v>
      </c>
      <c r="F440" t="str">
        <f t="shared" si="143"/>
        <v>青</v>
      </c>
      <c r="G440">
        <f>IF(AB440="","",VLOOKUP(F440,tnpl!$X$1:$Y$16,2,TRUE))</f>
        <v>2</v>
      </c>
      <c r="H440" t="s">
        <v>3168</v>
      </c>
      <c r="I440">
        <f t="shared" si="144"/>
        <v>0</v>
      </c>
      <c r="J440" t="s">
        <v>3168</v>
      </c>
      <c r="K440">
        <f t="shared" si="145"/>
        <v>6</v>
      </c>
      <c r="L440">
        <f t="shared" si="146"/>
        <v>5</v>
      </c>
      <c r="M440" t="str">
        <f t="shared" si="141"/>
        <v>6/5</v>
      </c>
      <c r="N440" t="s">
        <v>3175</v>
      </c>
      <c r="O440" t="str">
        <f t="shared" si="147"/>
        <v>レア</v>
      </c>
      <c r="R440" t="s">
        <v>3175</v>
      </c>
      <c r="S440" t="s">
        <v>4750</v>
      </c>
      <c r="T440" t="str">
        <f t="shared" si="148"/>
        <v>繰り返しつくしたもの</v>
      </c>
      <c r="U440" t="str">
        <f t="shared" si="149"/>
        <v>&gt;</v>
      </c>
      <c r="V440" t="str">
        <f>IF(I440=0,VLOOKUP(T440,Sheet4!A:B,2,TRUE),"")</f>
        <v>完成態の講師</v>
      </c>
      <c r="W440" t="s">
        <v>4751</v>
      </c>
      <c r="X440" t="s">
        <v>3175</v>
      </c>
      <c r="Z440" s="3">
        <v>774</v>
      </c>
      <c r="AA440" s="2" t="s">
        <v>3773</v>
      </c>
      <c r="AB440" s="1" t="s">
        <v>1606</v>
      </c>
      <c r="AC440" s="1" t="s">
        <v>1441</v>
      </c>
      <c r="AD440" s="13">
        <v>0</v>
      </c>
      <c r="AE440" s="1" t="s">
        <v>963</v>
      </c>
      <c r="AF440" s="1" t="s">
        <v>962</v>
      </c>
      <c r="AG440" s="1" t="s">
        <v>339</v>
      </c>
      <c r="AH440" s="1" t="s">
        <v>1435</v>
      </c>
      <c r="AI440" s="1" t="s">
        <v>1945</v>
      </c>
      <c r="AJ440" s="1"/>
      <c r="AK440" s="1" t="s">
        <v>351</v>
      </c>
      <c r="AL440" s="1" t="s">
        <v>3819</v>
      </c>
      <c r="AM440" s="1" t="s">
        <v>3816</v>
      </c>
      <c r="AN440" s="1"/>
      <c r="AO440" s="1">
        <v>6</v>
      </c>
      <c r="AP440" s="1">
        <v>5</v>
      </c>
      <c r="AQ440" s="1" t="s">
        <v>3820</v>
      </c>
    </row>
    <row r="441" spans="1:43" x14ac:dyDescent="0.15">
      <c r="A441" t="str">
        <f t="shared" si="140"/>
        <v>|EMN|黒|0|6/5|レア|《[[血統の撤廃者&gt;ヴォルダーレンの下層民]]》|</v>
      </c>
      <c r="B441" t="s">
        <v>3168</v>
      </c>
      <c r="C441" t="str">
        <f t="shared" si="142"/>
        <v>EMN</v>
      </c>
      <c r="D441">
        <f>IF(AA441="","",VLOOKUP(C441,tnpl!$Z$1:$AA$11,2,TRUE))</f>
        <v>5</v>
      </c>
      <c r="E441" t="s">
        <v>3168</v>
      </c>
      <c r="F441" t="str">
        <f t="shared" si="143"/>
        <v>黒</v>
      </c>
      <c r="G441">
        <f>IF(AB441="","",VLOOKUP(F441,tnpl!$X$1:$Y$16,2,TRUE))</f>
        <v>3</v>
      </c>
      <c r="H441" t="s">
        <v>3168</v>
      </c>
      <c r="I441">
        <f t="shared" si="144"/>
        <v>0</v>
      </c>
      <c r="J441" t="s">
        <v>3168</v>
      </c>
      <c r="K441">
        <f t="shared" si="145"/>
        <v>6</v>
      </c>
      <c r="L441">
        <f t="shared" si="146"/>
        <v>5</v>
      </c>
      <c r="M441" t="str">
        <f t="shared" si="141"/>
        <v>6/5</v>
      </c>
      <c r="N441" t="s">
        <v>3175</v>
      </c>
      <c r="O441" t="str">
        <f t="shared" si="147"/>
        <v>レア</v>
      </c>
      <c r="R441" t="s">
        <v>3175</v>
      </c>
      <c r="S441" t="s">
        <v>4750</v>
      </c>
      <c r="T441" t="str">
        <f t="shared" si="148"/>
        <v>血統の撤廃者</v>
      </c>
      <c r="U441" t="str">
        <f t="shared" si="149"/>
        <v>&gt;</v>
      </c>
      <c r="V441" t="str">
        <f>IF(I441=0,VLOOKUP(T441,Sheet4!A:B,2,TRUE),"")</f>
        <v>ヴォルダーレンの下層民</v>
      </c>
      <c r="W441" t="s">
        <v>4751</v>
      </c>
      <c r="X441" t="s">
        <v>3175</v>
      </c>
      <c r="Z441" s="3">
        <v>786</v>
      </c>
      <c r="AA441" s="2" t="s">
        <v>3773</v>
      </c>
      <c r="AB441" s="1" t="s">
        <v>1582</v>
      </c>
      <c r="AC441" s="1" t="s">
        <v>1441</v>
      </c>
      <c r="AD441" s="13">
        <v>0</v>
      </c>
      <c r="AE441" s="1" t="s">
        <v>848</v>
      </c>
      <c r="AF441" s="1" t="s">
        <v>847</v>
      </c>
      <c r="AG441" s="1" t="s">
        <v>339</v>
      </c>
      <c r="AH441" s="1" t="s">
        <v>1435</v>
      </c>
      <c r="AI441" s="1" t="s">
        <v>1494</v>
      </c>
      <c r="AJ441" s="1"/>
      <c r="AK441" s="1" t="s">
        <v>351</v>
      </c>
      <c r="AL441" s="1" t="s">
        <v>3841</v>
      </c>
      <c r="AM441" s="1"/>
      <c r="AN441" s="1"/>
      <c r="AO441" s="1">
        <v>6</v>
      </c>
      <c r="AP441" s="1">
        <v>5</v>
      </c>
      <c r="AQ441" s="1" t="s">
        <v>3842</v>
      </c>
    </row>
    <row r="442" spans="1:43" x14ac:dyDescent="0.15">
      <c r="A442" t="str">
        <f t="shared" si="140"/>
        <v>|EMN|緑|13|6/5|レア|《[[エムラクールの福音者]]》|</v>
      </c>
      <c r="B442" t="s">
        <v>3168</v>
      </c>
      <c r="C442" t="str">
        <f t="shared" si="142"/>
        <v>EMN</v>
      </c>
      <c r="D442">
        <f>IF(AA442="","",VLOOKUP(C442,tnpl!$Z$1:$AA$11,2,TRUE))</f>
        <v>5</v>
      </c>
      <c r="E442" t="s">
        <v>3168</v>
      </c>
      <c r="F442" t="str">
        <f t="shared" si="143"/>
        <v>緑</v>
      </c>
      <c r="G442">
        <f>IF(AB442="","",VLOOKUP(F442,tnpl!$X$1:$Y$16,2,TRUE))</f>
        <v>5</v>
      </c>
      <c r="H442" t="s">
        <v>3168</v>
      </c>
      <c r="I442">
        <f t="shared" si="144"/>
        <v>13</v>
      </c>
      <c r="J442" t="s">
        <v>3168</v>
      </c>
      <c r="K442">
        <f t="shared" si="145"/>
        <v>6</v>
      </c>
      <c r="L442">
        <f t="shared" si="146"/>
        <v>5</v>
      </c>
      <c r="M442" t="str">
        <f t="shared" si="141"/>
        <v>6/5</v>
      </c>
      <c r="N442" t="s">
        <v>3175</v>
      </c>
      <c r="O442" t="str">
        <f t="shared" si="147"/>
        <v>レア</v>
      </c>
      <c r="R442" t="s">
        <v>3175</v>
      </c>
      <c r="S442" t="s">
        <v>4750</v>
      </c>
      <c r="T442" t="str">
        <f t="shared" si="148"/>
        <v>エムラクールの福音者</v>
      </c>
      <c r="U442" t="str">
        <f t="shared" si="149"/>
        <v/>
      </c>
      <c r="V442" t="str">
        <f>IF(I442=0,VLOOKUP(T442,Sheet4!A:B,2,TRUE),"")</f>
        <v/>
      </c>
      <c r="W442" t="s">
        <v>4751</v>
      </c>
      <c r="X442" t="s">
        <v>3175</v>
      </c>
      <c r="Z442" s="3">
        <v>815</v>
      </c>
      <c r="AA442" s="2" t="s">
        <v>3773</v>
      </c>
      <c r="AB442" s="1" t="s">
        <v>1518</v>
      </c>
      <c r="AC442" s="1" t="s">
        <v>1441</v>
      </c>
      <c r="AD442" s="1">
        <v>13</v>
      </c>
      <c r="AE442" s="1" t="s">
        <v>898</v>
      </c>
      <c r="AF442" s="1" t="s">
        <v>897</v>
      </c>
      <c r="AG442" s="1" t="s">
        <v>339</v>
      </c>
      <c r="AH442" s="1" t="s">
        <v>1489</v>
      </c>
      <c r="AI442" s="1" t="s">
        <v>2802</v>
      </c>
      <c r="AJ442" s="1"/>
      <c r="AK442" s="1" t="s">
        <v>3894</v>
      </c>
      <c r="AL442" s="1"/>
      <c r="AM442" s="1"/>
      <c r="AN442" s="1"/>
      <c r="AO442" s="1">
        <v>6</v>
      </c>
      <c r="AP442" s="1">
        <v>5</v>
      </c>
      <c r="AQ442" s="1" t="s">
        <v>3894</v>
      </c>
    </row>
    <row r="443" spans="1:43" x14ac:dyDescent="0.15">
      <c r="A443" t="str">
        <f t="shared" si="140"/>
        <v>|EMN|無色|16|6/5|アンコモン|《[[自然もどき]]》|</v>
      </c>
      <c r="B443" t="s">
        <v>3168</v>
      </c>
      <c r="C443" t="str">
        <f t="shared" si="142"/>
        <v>EMN</v>
      </c>
      <c r="D443">
        <f>IF(AA443="","",VLOOKUP(C443,tnpl!$Z$1:$AA$11,2,TRUE))</f>
        <v>5</v>
      </c>
      <c r="E443" t="s">
        <v>3168</v>
      </c>
      <c r="F443" t="str">
        <f t="shared" si="143"/>
        <v>無色</v>
      </c>
      <c r="G443">
        <f>IF(AB443="","",VLOOKUP(F443,tnpl!$X$1:$Y$16,2,TRUE))</f>
        <v>16</v>
      </c>
      <c r="H443" t="s">
        <v>3168</v>
      </c>
      <c r="I443">
        <f t="shared" si="144"/>
        <v>16</v>
      </c>
      <c r="J443" t="s">
        <v>3168</v>
      </c>
      <c r="K443">
        <f t="shared" si="145"/>
        <v>6</v>
      </c>
      <c r="L443">
        <f t="shared" si="146"/>
        <v>5</v>
      </c>
      <c r="M443" t="str">
        <f t="shared" si="141"/>
        <v>6/5</v>
      </c>
      <c r="N443" t="s">
        <v>3175</v>
      </c>
      <c r="O443" t="str">
        <f t="shared" si="147"/>
        <v>アンコモン</v>
      </c>
      <c r="R443" t="s">
        <v>3175</v>
      </c>
      <c r="S443" t="s">
        <v>4750</v>
      </c>
      <c r="T443" t="str">
        <f t="shared" si="148"/>
        <v>自然もどき</v>
      </c>
      <c r="U443" t="str">
        <f t="shared" si="149"/>
        <v/>
      </c>
      <c r="V443" t="str">
        <f>IF(I443=0,VLOOKUP(T443,Sheet4!A:B,2,TRUE),"")</f>
        <v/>
      </c>
      <c r="W443" t="s">
        <v>4751</v>
      </c>
      <c r="X443" t="s">
        <v>3175</v>
      </c>
      <c r="Z443" s="3">
        <v>827</v>
      </c>
      <c r="AA443" s="2" t="s">
        <v>3773</v>
      </c>
      <c r="AB443" s="1" t="s">
        <v>292</v>
      </c>
      <c r="AC443" s="1" t="s">
        <v>1451</v>
      </c>
      <c r="AD443" s="1">
        <v>16</v>
      </c>
      <c r="AE443" s="1" t="s">
        <v>876</v>
      </c>
      <c r="AF443" s="1" t="s">
        <v>875</v>
      </c>
      <c r="AG443" s="1" t="s">
        <v>339</v>
      </c>
      <c r="AH443" s="1" t="s">
        <v>1435</v>
      </c>
      <c r="AI443" s="1" t="s">
        <v>357</v>
      </c>
      <c r="AJ443" s="1"/>
      <c r="AK443" s="1" t="s">
        <v>3916</v>
      </c>
      <c r="AL443" s="1" t="s">
        <v>2612</v>
      </c>
      <c r="AM443" s="1"/>
      <c r="AN443" s="1"/>
      <c r="AO443" s="1">
        <v>6</v>
      </c>
      <c r="AP443" s="1">
        <v>5</v>
      </c>
      <c r="AQ443" s="1" t="s">
        <v>3919</v>
      </c>
    </row>
    <row r="444" spans="1:43" x14ac:dyDescent="0.15">
      <c r="A444" t="str">
        <f t="shared" si="140"/>
        <v>|KLD|白|15|6/5|レア|《[[小物作りの達人]]》|</v>
      </c>
      <c r="B444" t="s">
        <v>3168</v>
      </c>
      <c r="C444" t="str">
        <f t="shared" si="142"/>
        <v>KLD</v>
      </c>
      <c r="D444">
        <f>IF(AA444="","",VLOOKUP(C444,tnpl!$Z$1:$AA$11,2,TRUE))</f>
        <v>6</v>
      </c>
      <c r="E444" t="s">
        <v>3168</v>
      </c>
      <c r="F444" t="str">
        <f t="shared" si="143"/>
        <v>白</v>
      </c>
      <c r="G444">
        <f>IF(AB444="","",VLOOKUP(F444,tnpl!$X$1:$Y$16,2,TRUE))</f>
        <v>1</v>
      </c>
      <c r="H444" t="s">
        <v>3168</v>
      </c>
      <c r="I444">
        <f t="shared" si="144"/>
        <v>15</v>
      </c>
      <c r="J444" t="s">
        <v>3168</v>
      </c>
      <c r="K444">
        <f t="shared" si="145"/>
        <v>6</v>
      </c>
      <c r="L444">
        <f t="shared" si="146"/>
        <v>5</v>
      </c>
      <c r="M444" t="str">
        <f t="shared" si="141"/>
        <v>6/5</v>
      </c>
      <c r="N444" t="s">
        <v>3175</v>
      </c>
      <c r="O444" t="str">
        <f t="shared" si="147"/>
        <v>レア</v>
      </c>
      <c r="R444" t="s">
        <v>3175</v>
      </c>
      <c r="S444" t="s">
        <v>4750</v>
      </c>
      <c r="T444" t="str">
        <f t="shared" si="148"/>
        <v>小物作りの達人</v>
      </c>
      <c r="U444" t="str">
        <f t="shared" si="149"/>
        <v/>
      </c>
      <c r="V444" t="str">
        <f>IF(I444=0,VLOOKUP(T444,Sheet4!A:B,2,TRUE),"")</f>
        <v/>
      </c>
      <c r="W444" t="s">
        <v>4751</v>
      </c>
      <c r="X444" t="s">
        <v>3175</v>
      </c>
      <c r="Z444" s="3">
        <v>852</v>
      </c>
      <c r="AA444" s="2" t="s">
        <v>3937</v>
      </c>
      <c r="AB444" s="1" t="s">
        <v>1627</v>
      </c>
      <c r="AC444" s="1" t="s">
        <v>1441</v>
      </c>
      <c r="AD444" s="1">
        <v>15</v>
      </c>
      <c r="AE444" s="1" t="s">
        <v>795</v>
      </c>
      <c r="AF444" s="1" t="s">
        <v>794</v>
      </c>
      <c r="AG444" s="1" t="s">
        <v>339</v>
      </c>
      <c r="AH444" s="1" t="s">
        <v>3938</v>
      </c>
      <c r="AI444" s="1" t="s">
        <v>1641</v>
      </c>
      <c r="AJ444" s="1"/>
      <c r="AK444" s="1" t="s">
        <v>3965</v>
      </c>
      <c r="AL444" s="1" t="s">
        <v>3966</v>
      </c>
      <c r="AM444" s="1"/>
      <c r="AN444" s="1"/>
      <c r="AO444" s="1">
        <v>6</v>
      </c>
      <c r="AP444" s="1">
        <v>5</v>
      </c>
      <c r="AQ444" s="1" t="s">
        <v>3967</v>
      </c>
    </row>
    <row r="445" spans="1:43" x14ac:dyDescent="0.15">
      <c r="A445" t="str">
        <f t="shared" si="140"/>
        <v>|KLD|緑|14|6/5|レア|《[[高木背の踏みつけ]]》|</v>
      </c>
      <c r="B445" t="s">
        <v>3168</v>
      </c>
      <c r="C445" t="str">
        <f t="shared" si="142"/>
        <v>KLD</v>
      </c>
      <c r="D445">
        <f>IF(AA445="","",VLOOKUP(C445,tnpl!$Z$1:$AA$11,2,TRUE))</f>
        <v>6</v>
      </c>
      <c r="E445" t="s">
        <v>3168</v>
      </c>
      <c r="F445" t="str">
        <f t="shared" si="143"/>
        <v>緑</v>
      </c>
      <c r="G445">
        <f>IF(AB445="","",VLOOKUP(F445,tnpl!$X$1:$Y$16,2,TRUE))</f>
        <v>5</v>
      </c>
      <c r="H445" t="s">
        <v>3168</v>
      </c>
      <c r="I445">
        <f t="shared" si="144"/>
        <v>14</v>
      </c>
      <c r="J445" t="s">
        <v>3168</v>
      </c>
      <c r="K445">
        <f t="shared" si="145"/>
        <v>6</v>
      </c>
      <c r="L445">
        <f t="shared" si="146"/>
        <v>5</v>
      </c>
      <c r="M445" t="str">
        <f t="shared" si="141"/>
        <v>6/5</v>
      </c>
      <c r="N445" t="s">
        <v>3175</v>
      </c>
      <c r="O445" t="str">
        <f t="shared" si="147"/>
        <v>レア</v>
      </c>
      <c r="R445" t="s">
        <v>3175</v>
      </c>
      <c r="S445" t="s">
        <v>4750</v>
      </c>
      <c r="T445" t="str">
        <f t="shared" si="148"/>
        <v>高木背の踏みつけ</v>
      </c>
      <c r="U445" t="str">
        <f t="shared" si="149"/>
        <v/>
      </c>
      <c r="V445" t="str">
        <f>IF(I445=0,VLOOKUP(T445,Sheet4!A:B,2,TRUE),"")</f>
        <v/>
      </c>
      <c r="W445" t="s">
        <v>4751</v>
      </c>
      <c r="X445" t="s">
        <v>3175</v>
      </c>
      <c r="Z445" s="3">
        <v>962</v>
      </c>
      <c r="AA445" s="2" t="s">
        <v>3937</v>
      </c>
      <c r="AB445" s="1" t="s">
        <v>1518</v>
      </c>
      <c r="AC445" s="1" t="s">
        <v>1441</v>
      </c>
      <c r="AD445" s="1">
        <v>14</v>
      </c>
      <c r="AE445" s="1" t="s">
        <v>588</v>
      </c>
      <c r="AF445" s="1" t="s">
        <v>587</v>
      </c>
      <c r="AG445" s="1" t="s">
        <v>339</v>
      </c>
      <c r="AH445" s="1" t="s">
        <v>357</v>
      </c>
      <c r="AI445" s="1"/>
      <c r="AJ445" s="1"/>
      <c r="AK445" s="1" t="s">
        <v>1707</v>
      </c>
      <c r="AL445" s="1" t="s">
        <v>4131</v>
      </c>
      <c r="AM445" s="1" t="s">
        <v>4132</v>
      </c>
      <c r="AN445" s="1"/>
      <c r="AO445" s="1">
        <v>6</v>
      </c>
      <c r="AP445" s="1">
        <v>5</v>
      </c>
      <c r="AQ445" s="1" t="s">
        <v>4133</v>
      </c>
    </row>
    <row r="446" spans="1:43" x14ac:dyDescent="0.15">
      <c r="A446" t="str">
        <f t="shared" si="140"/>
        <v>|KLD|無色|20|6/5|レア|《[[屑鉄場のたかり屋]]》|</v>
      </c>
      <c r="B446" t="s">
        <v>3168</v>
      </c>
      <c r="C446" t="str">
        <f t="shared" si="142"/>
        <v>KLD</v>
      </c>
      <c r="D446">
        <f>IF(AA446="","",VLOOKUP(C446,tnpl!$Z$1:$AA$11,2,TRUE))</f>
        <v>6</v>
      </c>
      <c r="E446" t="s">
        <v>3168</v>
      </c>
      <c r="F446" t="str">
        <f t="shared" si="143"/>
        <v>無色</v>
      </c>
      <c r="G446">
        <f>IF(AB446="","",VLOOKUP(F446,tnpl!$X$1:$Y$16,2,TRUE))</f>
        <v>16</v>
      </c>
      <c r="H446" t="s">
        <v>3168</v>
      </c>
      <c r="I446">
        <f t="shared" si="144"/>
        <v>20</v>
      </c>
      <c r="J446" t="s">
        <v>3168</v>
      </c>
      <c r="K446">
        <f t="shared" si="145"/>
        <v>6</v>
      </c>
      <c r="L446">
        <f t="shared" si="146"/>
        <v>5</v>
      </c>
      <c r="M446" t="str">
        <f t="shared" si="141"/>
        <v>6/5</v>
      </c>
      <c r="N446" t="s">
        <v>3175</v>
      </c>
      <c r="O446" t="str">
        <f t="shared" si="147"/>
        <v>レア</v>
      </c>
      <c r="R446" t="s">
        <v>3175</v>
      </c>
      <c r="S446" t="s">
        <v>4750</v>
      </c>
      <c r="T446" t="str">
        <f t="shared" si="148"/>
        <v>屑鉄場のたかり屋</v>
      </c>
      <c r="U446" t="str">
        <f t="shared" si="149"/>
        <v/>
      </c>
      <c r="V446" t="str">
        <f>IF(I446=0,VLOOKUP(T446,Sheet4!A:B,2,TRUE),"")</f>
        <v/>
      </c>
      <c r="W446" t="s">
        <v>4751</v>
      </c>
      <c r="X446" t="s">
        <v>3175</v>
      </c>
      <c r="Z446" s="3">
        <v>1011</v>
      </c>
      <c r="AA446" s="2" t="s">
        <v>3937</v>
      </c>
      <c r="AB446" s="1" t="s">
        <v>292</v>
      </c>
      <c r="AC446" s="1" t="s">
        <v>1441</v>
      </c>
      <c r="AD446" s="1">
        <v>20</v>
      </c>
      <c r="AE446" s="1" t="s">
        <v>486</v>
      </c>
      <c r="AF446" s="1" t="s">
        <v>485</v>
      </c>
      <c r="AG446" s="1" t="s">
        <v>339</v>
      </c>
      <c r="AH446" s="1" t="s">
        <v>352</v>
      </c>
      <c r="AI446" s="1"/>
      <c r="AJ446" s="1"/>
      <c r="AK446" s="1" t="s">
        <v>1738</v>
      </c>
      <c r="AL446" s="1" t="s">
        <v>4215</v>
      </c>
      <c r="AM446" s="1"/>
      <c r="AN446" s="1"/>
      <c r="AO446" s="1">
        <v>6</v>
      </c>
      <c r="AP446" s="1">
        <v>5</v>
      </c>
      <c r="AQ446" s="1" t="s">
        <v>4216</v>
      </c>
    </row>
    <row r="447" spans="1:43" x14ac:dyDescent="0.15">
      <c r="A447" t="str">
        <f t="shared" si="140"/>
        <v>|AER|黒|17|6/5|レア|《[[光袖会の収集者]]》|</v>
      </c>
      <c r="B447" t="s">
        <v>3168</v>
      </c>
      <c r="C447" t="str">
        <f t="shared" si="142"/>
        <v>AER</v>
      </c>
      <c r="D447">
        <f>IF(AA447="","",VLOOKUP(C447,tnpl!$Z$1:$AA$11,2,TRUE))</f>
        <v>7</v>
      </c>
      <c r="E447" t="s">
        <v>3168</v>
      </c>
      <c r="F447" t="str">
        <f t="shared" si="143"/>
        <v>黒</v>
      </c>
      <c r="G447">
        <f>IF(AB447="","",VLOOKUP(F447,tnpl!$X$1:$Y$16,2,TRUE))</f>
        <v>3</v>
      </c>
      <c r="H447" t="s">
        <v>3168</v>
      </c>
      <c r="I447">
        <f t="shared" si="144"/>
        <v>17</v>
      </c>
      <c r="J447" t="s">
        <v>3168</v>
      </c>
      <c r="K447">
        <f t="shared" si="145"/>
        <v>6</v>
      </c>
      <c r="L447">
        <f t="shared" si="146"/>
        <v>5</v>
      </c>
      <c r="M447" t="str">
        <f t="shared" si="141"/>
        <v>6/5</v>
      </c>
      <c r="N447" t="s">
        <v>3175</v>
      </c>
      <c r="O447" t="str">
        <f t="shared" si="147"/>
        <v>レア</v>
      </c>
      <c r="R447" t="s">
        <v>3175</v>
      </c>
      <c r="S447" t="s">
        <v>4750</v>
      </c>
      <c r="T447" t="str">
        <f t="shared" si="148"/>
        <v>光袖会の収集者</v>
      </c>
      <c r="U447" t="str">
        <f t="shared" si="149"/>
        <v/>
      </c>
      <c r="V447" t="str">
        <f>IF(I447=0,VLOOKUP(T447,Sheet4!A:B,2,TRUE),"")</f>
        <v/>
      </c>
      <c r="W447" t="s">
        <v>4751</v>
      </c>
      <c r="X447" t="s">
        <v>3175</v>
      </c>
      <c r="Z447" s="3">
        <v>1042</v>
      </c>
      <c r="AA447" s="2" t="s">
        <v>4236</v>
      </c>
      <c r="AB447" s="1" t="s">
        <v>1582</v>
      </c>
      <c r="AC447" s="1" t="s">
        <v>1441</v>
      </c>
      <c r="AD447" s="1">
        <v>17</v>
      </c>
      <c r="AE447" s="1" t="s">
        <v>430</v>
      </c>
      <c r="AF447" s="1" t="s">
        <v>429</v>
      </c>
      <c r="AG447" s="1" t="s">
        <v>339</v>
      </c>
      <c r="AH447" s="1" t="s">
        <v>1489</v>
      </c>
      <c r="AI447" s="1" t="s">
        <v>2938</v>
      </c>
      <c r="AJ447" s="1"/>
      <c r="AK447" s="1" t="s">
        <v>2048</v>
      </c>
      <c r="AL447" s="1" t="s">
        <v>4269</v>
      </c>
      <c r="AM447" s="1" t="s">
        <v>4270</v>
      </c>
      <c r="AN447" s="1"/>
      <c r="AO447" s="1">
        <v>6</v>
      </c>
      <c r="AP447" s="1">
        <v>5</v>
      </c>
      <c r="AQ447" s="1" t="s">
        <v>4271</v>
      </c>
    </row>
    <row r="448" spans="1:43" x14ac:dyDescent="0.15">
      <c r="A448" t="str">
        <f t="shared" si="140"/>
        <v>|KLDP|赤|12|6/5|レア|《[[むら気な巨人]]》|</v>
      </c>
      <c r="B448" t="s">
        <v>3168</v>
      </c>
      <c r="C448" t="str">
        <f t="shared" si="142"/>
        <v>KLDP</v>
      </c>
      <c r="D448">
        <f>IF(AA448="","",VLOOKUP(C448,tnpl!$Z$1:$AA$11,2,TRUE))</f>
        <v>8</v>
      </c>
      <c r="E448" t="s">
        <v>3168</v>
      </c>
      <c r="F448" t="str">
        <f t="shared" si="143"/>
        <v>赤</v>
      </c>
      <c r="G448">
        <f>IF(AB448="","",VLOOKUP(F448,tnpl!$X$1:$Y$16,2,TRUE))</f>
        <v>4</v>
      </c>
      <c r="H448" t="s">
        <v>3168</v>
      </c>
      <c r="I448">
        <f t="shared" si="144"/>
        <v>12</v>
      </c>
      <c r="J448" t="s">
        <v>3168</v>
      </c>
      <c r="K448">
        <f t="shared" si="145"/>
        <v>6</v>
      </c>
      <c r="L448">
        <f t="shared" si="146"/>
        <v>5</v>
      </c>
      <c r="M448" t="str">
        <f t="shared" si="141"/>
        <v>6/5</v>
      </c>
      <c r="N448" t="s">
        <v>3175</v>
      </c>
      <c r="O448" t="str">
        <f t="shared" si="147"/>
        <v>レア</v>
      </c>
      <c r="R448" t="s">
        <v>3175</v>
      </c>
      <c r="S448" t="s">
        <v>4750</v>
      </c>
      <c r="T448" t="str">
        <f t="shared" si="148"/>
        <v>むら気な巨人</v>
      </c>
      <c r="U448" t="str">
        <f t="shared" si="149"/>
        <v/>
      </c>
      <c r="V448" t="str">
        <f>IF(I448=0,VLOOKUP(T448,Sheet4!A:B,2,TRUE),"")</f>
        <v/>
      </c>
      <c r="W448" t="s">
        <v>4751</v>
      </c>
      <c r="X448" t="s">
        <v>3175</v>
      </c>
      <c r="Z448" s="3">
        <v>1079</v>
      </c>
      <c r="AA448" s="2" t="s">
        <v>4331</v>
      </c>
      <c r="AB448" s="1" t="s">
        <v>1552</v>
      </c>
      <c r="AC448" s="1" t="s">
        <v>1441</v>
      </c>
      <c r="AD448" s="1">
        <v>12</v>
      </c>
      <c r="AE448" s="1" t="s">
        <v>4335</v>
      </c>
      <c r="AF448" s="1" t="s">
        <v>4336</v>
      </c>
      <c r="AG448" s="1" t="s">
        <v>339</v>
      </c>
      <c r="AH448" s="1" t="s">
        <v>2049</v>
      </c>
      <c r="AI448" s="1"/>
      <c r="AJ448" s="1"/>
      <c r="AK448" s="1" t="s">
        <v>4337</v>
      </c>
      <c r="AL448" s="1"/>
      <c r="AM448" s="1"/>
      <c r="AN448" s="1"/>
      <c r="AO448" s="1">
        <v>6</v>
      </c>
      <c r="AP448" s="1">
        <v>5</v>
      </c>
      <c r="AQ448" s="1" t="s">
        <v>4337</v>
      </c>
    </row>
    <row r="449" spans="1:43" x14ac:dyDescent="0.15">
      <c r="A449" t="str">
        <f t="shared" si="140"/>
        <v>|AKH|黒|12|6/5|レア|《[[疫病吹き]]》|</v>
      </c>
      <c r="B449" t="s">
        <v>3168</v>
      </c>
      <c r="C449" t="str">
        <f t="shared" si="142"/>
        <v>AKH</v>
      </c>
      <c r="D449">
        <f>IF(AA449="","",VLOOKUP(C449,tnpl!$Z$1:$AA$11,2,TRUE))</f>
        <v>10</v>
      </c>
      <c r="E449" t="s">
        <v>3168</v>
      </c>
      <c r="F449" t="str">
        <f t="shared" si="143"/>
        <v>黒</v>
      </c>
      <c r="G449">
        <f>IF(AB449="","",VLOOKUP(F449,tnpl!$X$1:$Y$16,2,TRUE))</f>
        <v>3</v>
      </c>
      <c r="H449" t="s">
        <v>3168</v>
      </c>
      <c r="I449">
        <f t="shared" si="144"/>
        <v>12</v>
      </c>
      <c r="J449" t="s">
        <v>3168</v>
      </c>
      <c r="K449">
        <f t="shared" si="145"/>
        <v>6</v>
      </c>
      <c r="L449">
        <f t="shared" si="146"/>
        <v>5</v>
      </c>
      <c r="M449" t="str">
        <f t="shared" si="141"/>
        <v>6/5</v>
      </c>
      <c r="N449" t="s">
        <v>3175</v>
      </c>
      <c r="O449" t="str">
        <f t="shared" si="147"/>
        <v>レア</v>
      </c>
      <c r="R449" t="s">
        <v>3175</v>
      </c>
      <c r="S449" t="s">
        <v>4750</v>
      </c>
      <c r="T449" t="str">
        <f t="shared" si="148"/>
        <v>疫病吹き</v>
      </c>
      <c r="U449" t="str">
        <f t="shared" si="149"/>
        <v/>
      </c>
      <c r="V449" t="str">
        <f>IF(I449=0,VLOOKUP(T449,Sheet4!A:B,2,TRUE),"")</f>
        <v/>
      </c>
      <c r="W449" t="s">
        <v>4751</v>
      </c>
      <c r="X449" t="s">
        <v>3175</v>
      </c>
      <c r="Z449" s="3">
        <v>1172</v>
      </c>
      <c r="AA449" s="2" t="s">
        <v>4349</v>
      </c>
      <c r="AB449" s="1" t="s">
        <v>1582</v>
      </c>
      <c r="AC449" s="1" t="s">
        <v>1441</v>
      </c>
      <c r="AD449" s="1">
        <v>12</v>
      </c>
      <c r="AE449" s="1" t="s">
        <v>153</v>
      </c>
      <c r="AF449" s="1" t="s">
        <v>152</v>
      </c>
      <c r="AG449" s="1" t="s">
        <v>339</v>
      </c>
      <c r="AH449" s="1" t="s">
        <v>1484</v>
      </c>
      <c r="AI449" s="1" t="s">
        <v>357</v>
      </c>
      <c r="AJ449" s="1"/>
      <c r="AK449" s="1" t="s">
        <v>2048</v>
      </c>
      <c r="AL449" s="1" t="s">
        <v>4488</v>
      </c>
      <c r="AM449" s="1" t="s">
        <v>4489</v>
      </c>
      <c r="AN449" s="1"/>
      <c r="AO449" s="1">
        <v>6</v>
      </c>
      <c r="AP449" s="1">
        <v>5</v>
      </c>
      <c r="AQ449" s="1" t="s">
        <v>4490</v>
      </c>
    </row>
    <row r="450" spans="1:43" x14ac:dyDescent="0.15">
      <c r="A450" t="str">
        <f t="shared" si="140"/>
        <v>|AKH|赤|18|6/5|レア|《[[心臓貫きのマンティコア]]》|</v>
      </c>
      <c r="B450" t="s">
        <v>3168</v>
      </c>
      <c r="C450" t="str">
        <f t="shared" si="142"/>
        <v>AKH</v>
      </c>
      <c r="D450">
        <f>IF(AA450="","",VLOOKUP(C450,tnpl!$Z$1:$AA$11,2,TRUE))</f>
        <v>10</v>
      </c>
      <c r="E450" t="s">
        <v>3168</v>
      </c>
      <c r="F450" t="str">
        <f t="shared" si="143"/>
        <v>赤</v>
      </c>
      <c r="G450">
        <f>IF(AB450="","",VLOOKUP(F450,tnpl!$X$1:$Y$16,2,TRUE))</f>
        <v>4</v>
      </c>
      <c r="H450" t="s">
        <v>3168</v>
      </c>
      <c r="I450">
        <f t="shared" si="144"/>
        <v>18</v>
      </c>
      <c r="J450" t="s">
        <v>3168</v>
      </c>
      <c r="K450">
        <f t="shared" si="145"/>
        <v>6</v>
      </c>
      <c r="L450">
        <f t="shared" si="146"/>
        <v>5</v>
      </c>
      <c r="M450" t="str">
        <f t="shared" si="141"/>
        <v>6/5</v>
      </c>
      <c r="N450" t="s">
        <v>3175</v>
      </c>
      <c r="O450" t="str">
        <f t="shared" si="147"/>
        <v>レア</v>
      </c>
      <c r="R450" t="s">
        <v>3175</v>
      </c>
      <c r="S450" t="s">
        <v>4750</v>
      </c>
      <c r="T450" t="str">
        <f t="shared" si="148"/>
        <v>心臓貫きのマンティコア</v>
      </c>
      <c r="U450" t="str">
        <f t="shared" si="149"/>
        <v/>
      </c>
      <c r="V450" t="str">
        <f>IF(I450=0,VLOOKUP(T450,Sheet4!A:B,2,TRUE),"")</f>
        <v/>
      </c>
      <c r="W450" t="s">
        <v>4751</v>
      </c>
      <c r="X450" t="s">
        <v>3175</v>
      </c>
      <c r="Z450" s="3">
        <v>1193</v>
      </c>
      <c r="AA450" s="2" t="s">
        <v>4349</v>
      </c>
      <c r="AB450" s="1" t="s">
        <v>1552</v>
      </c>
      <c r="AC450" s="1" t="s">
        <v>1441</v>
      </c>
      <c r="AD450" s="1">
        <v>18</v>
      </c>
      <c r="AE450" s="1" t="s">
        <v>113</v>
      </c>
      <c r="AF450" s="1" t="s">
        <v>112</v>
      </c>
      <c r="AG450" s="1" t="s">
        <v>339</v>
      </c>
      <c r="AH450" s="1" t="s">
        <v>4500</v>
      </c>
      <c r="AI450" s="1"/>
      <c r="AJ450" s="1"/>
      <c r="AK450" s="1" t="s">
        <v>4524</v>
      </c>
      <c r="AL450" s="1" t="s">
        <v>4360</v>
      </c>
      <c r="AM450" s="1"/>
      <c r="AN450" s="1"/>
      <c r="AO450" s="1">
        <v>6</v>
      </c>
      <c r="AP450" s="1">
        <v>5</v>
      </c>
      <c r="AQ450" s="1" t="s">
        <v>4525</v>
      </c>
    </row>
    <row r="451" spans="1:43" x14ac:dyDescent="0.15">
      <c r="A451" t="str">
        <f t="shared" si="140"/>
        <v>|AKH|緑|9|6/5|レア|《[[うろつく蛇豹]]》|</v>
      </c>
      <c r="B451" t="s">
        <v>3168</v>
      </c>
      <c r="C451" t="str">
        <f t="shared" si="142"/>
        <v>AKH</v>
      </c>
      <c r="D451">
        <f>IF(AA451="","",VLOOKUP(C451,tnpl!$Z$1:$AA$11,2,TRUE))</f>
        <v>10</v>
      </c>
      <c r="E451" t="s">
        <v>3168</v>
      </c>
      <c r="F451" t="str">
        <f t="shared" si="143"/>
        <v>緑</v>
      </c>
      <c r="G451">
        <f>IF(AB451="","",VLOOKUP(F451,tnpl!$X$1:$Y$16,2,TRUE))</f>
        <v>5</v>
      </c>
      <c r="H451" t="s">
        <v>3168</v>
      </c>
      <c r="I451">
        <f t="shared" si="144"/>
        <v>9</v>
      </c>
      <c r="J451" t="s">
        <v>3168</v>
      </c>
      <c r="K451">
        <f t="shared" si="145"/>
        <v>6</v>
      </c>
      <c r="L451">
        <f t="shared" si="146"/>
        <v>5</v>
      </c>
      <c r="M451" t="str">
        <f t="shared" si="141"/>
        <v>6/5</v>
      </c>
      <c r="N451" t="s">
        <v>3175</v>
      </c>
      <c r="O451" t="str">
        <f t="shared" si="147"/>
        <v>レア</v>
      </c>
      <c r="R451" t="s">
        <v>3175</v>
      </c>
      <c r="S451" t="s">
        <v>4750</v>
      </c>
      <c r="T451" t="str">
        <f t="shared" si="148"/>
        <v>うろつく蛇豹</v>
      </c>
      <c r="U451" t="str">
        <f t="shared" si="149"/>
        <v/>
      </c>
      <c r="V451" t="str">
        <f>IF(I451=0,VLOOKUP(T451,Sheet4!A:B,2,TRUE),"")</f>
        <v/>
      </c>
      <c r="W451" t="s">
        <v>4751</v>
      </c>
      <c r="X451" t="s">
        <v>3175</v>
      </c>
      <c r="Z451" s="3">
        <v>1218</v>
      </c>
      <c r="AA451" s="2" t="s">
        <v>4349</v>
      </c>
      <c r="AB451" s="1" t="s">
        <v>1518</v>
      </c>
      <c r="AC451" s="1" t="s">
        <v>1441</v>
      </c>
      <c r="AD451" s="1">
        <v>9</v>
      </c>
      <c r="AE451" s="1" t="s">
        <v>64</v>
      </c>
      <c r="AF451" s="1" t="s">
        <v>63</v>
      </c>
      <c r="AG451" s="1" t="s">
        <v>339</v>
      </c>
      <c r="AH451" s="1" t="s">
        <v>1890</v>
      </c>
      <c r="AI451" s="1" t="s">
        <v>4179</v>
      </c>
      <c r="AJ451" s="1"/>
      <c r="AK451" s="1"/>
      <c r="AL451" s="1"/>
      <c r="AM451" s="1"/>
      <c r="AN451" s="1"/>
      <c r="AO451" s="1">
        <v>6</v>
      </c>
      <c r="AP451" s="1">
        <v>5</v>
      </c>
      <c r="AQ451" s="1"/>
    </row>
    <row r="452" spans="1:43" x14ac:dyDescent="0.15">
      <c r="A452" t="str">
        <f t="shared" si="140"/>
        <v>|AKH|緑|12|6/5|レア|《[[シェフェトのオオトカゲ]]》|</v>
      </c>
      <c r="B452" t="s">
        <v>3168</v>
      </c>
      <c r="C452" t="str">
        <f t="shared" si="142"/>
        <v>AKH</v>
      </c>
      <c r="D452">
        <f>IF(AA452="","",VLOOKUP(C452,tnpl!$Z$1:$AA$11,2,TRUE))</f>
        <v>10</v>
      </c>
      <c r="E452" t="s">
        <v>3168</v>
      </c>
      <c r="F452" t="str">
        <f t="shared" si="143"/>
        <v>緑</v>
      </c>
      <c r="G452">
        <f>IF(AB452="","",VLOOKUP(F452,tnpl!$X$1:$Y$16,2,TRUE))</f>
        <v>5</v>
      </c>
      <c r="H452" t="s">
        <v>3168</v>
      </c>
      <c r="I452">
        <f t="shared" si="144"/>
        <v>12</v>
      </c>
      <c r="J452" t="s">
        <v>3168</v>
      </c>
      <c r="K452">
        <f t="shared" si="145"/>
        <v>6</v>
      </c>
      <c r="L452">
        <f t="shared" si="146"/>
        <v>5</v>
      </c>
      <c r="M452" t="str">
        <f t="shared" si="141"/>
        <v>6/5</v>
      </c>
      <c r="N452" t="s">
        <v>3175</v>
      </c>
      <c r="O452" t="str">
        <f t="shared" si="147"/>
        <v>レア</v>
      </c>
      <c r="R452" t="s">
        <v>3175</v>
      </c>
      <c r="S452" t="s">
        <v>4750</v>
      </c>
      <c r="T452" t="str">
        <f t="shared" si="148"/>
        <v>シェフェトのオオトカゲ</v>
      </c>
      <c r="U452" t="str">
        <f t="shared" si="149"/>
        <v/>
      </c>
      <c r="V452" t="str">
        <f>IF(I452=0,VLOOKUP(T452,Sheet4!A:B,2,TRUE),"")</f>
        <v/>
      </c>
      <c r="W452" t="s">
        <v>4751</v>
      </c>
      <c r="X452" t="s">
        <v>3175</v>
      </c>
      <c r="Z452" s="3">
        <v>1219</v>
      </c>
      <c r="AA452" s="2" t="s">
        <v>4349</v>
      </c>
      <c r="AB452" s="1" t="s">
        <v>1518</v>
      </c>
      <c r="AC452" s="1" t="s">
        <v>1441</v>
      </c>
      <c r="AD452" s="1">
        <v>12</v>
      </c>
      <c r="AE452" s="1" t="s">
        <v>62</v>
      </c>
      <c r="AF452" s="1" t="s">
        <v>61</v>
      </c>
      <c r="AG452" s="1" t="s">
        <v>339</v>
      </c>
      <c r="AH452" s="1" t="s">
        <v>2531</v>
      </c>
      <c r="AI452" s="1"/>
      <c r="AJ452" s="1"/>
      <c r="AK452" s="1" t="s">
        <v>4564</v>
      </c>
      <c r="AL452" s="1" t="s">
        <v>4565</v>
      </c>
      <c r="AM452" s="1"/>
      <c r="AN452" s="1"/>
      <c r="AO452" s="1">
        <v>6</v>
      </c>
      <c r="AP452" s="1">
        <v>5</v>
      </c>
      <c r="AQ452" s="1" t="s">
        <v>4566</v>
      </c>
    </row>
    <row r="453" spans="1:43" x14ac:dyDescent="0.15">
      <c r="A453" t="str">
        <f>B453&amp;C453&amp;E453&amp;F453&amp;H453&amp;I453&amp;J453&amp;M453&amp;N453&amp;O453&amp;P453&amp;Q453&amp;R453&amp;S453&amp;T453&amp;V453&amp;W453&amp;X453&amp;Y453</f>
        <v/>
      </c>
    </row>
    <row r="454" spans="1:43" x14ac:dyDescent="0.15">
      <c r="A454" t="str">
        <f>B454&amp;C454&amp;E454&amp;F454&amp;H454&amp;I454&amp;J454&amp;M454&amp;N454&amp;O454&amp;P454&amp;Q454&amp;R454&amp;S454&amp;T454&amp;V454&amp;W454&amp;X454&amp;Y454</f>
        <v>**6/9クリーチャー</v>
      </c>
      <c r="B454" t="s">
        <v>4752</v>
      </c>
      <c r="C454">
        <f>K457</f>
        <v>6</v>
      </c>
      <c r="E454" t="s">
        <v>4816</v>
      </c>
      <c r="F454">
        <f>L457</f>
        <v>9</v>
      </c>
      <c r="I454" t="s">
        <v>339</v>
      </c>
      <c r="V454" t="str">
        <f>IF(I454=0,VLOOKUP(TAG!T454,Sheet4!A:B,2,TRUE),"")</f>
        <v/>
      </c>
    </row>
    <row r="455" spans="1:43" x14ac:dyDescent="0.15">
      <c r="A455" t="str">
        <f>B455&amp;C455&amp;E455&amp;F455&amp;H455&amp;I455&amp;J455&amp;M455&amp;N455&amp;O455&amp;P455&amp;Q455&amp;R455&amp;S455&amp;T455&amp;U455&amp;V455&amp;W455&amp;X455&amp;Y455</f>
        <v>|LEFT:50|LEFT:50|LEFT:50|LEFT:120|LEFT:120|LEFT:500|c</v>
      </c>
      <c r="B455" t="s">
        <v>3168</v>
      </c>
      <c r="C455" t="s">
        <v>3162</v>
      </c>
      <c r="E455" t="s">
        <v>3168</v>
      </c>
      <c r="F455" t="s">
        <v>3162</v>
      </c>
      <c r="H455" t="s">
        <v>3168</v>
      </c>
      <c r="I455" t="s">
        <v>3162</v>
      </c>
      <c r="J455" t="s">
        <v>3168</v>
      </c>
      <c r="M455" t="s">
        <v>4808</v>
      </c>
      <c r="N455" t="s">
        <v>3175</v>
      </c>
      <c r="O455" t="s">
        <v>4808</v>
      </c>
      <c r="R455" t="s">
        <v>3175</v>
      </c>
      <c r="T455" t="s">
        <v>3163</v>
      </c>
      <c r="V455" t="str">
        <f>IF(I455=0,VLOOKUP(TAG!T455,Sheet4!A:B,2,TRUE),"")</f>
        <v/>
      </c>
      <c r="X455" t="s">
        <v>3175</v>
      </c>
      <c r="Y455" t="s">
        <v>3164</v>
      </c>
    </row>
    <row r="456" spans="1:43" x14ac:dyDescent="0.15">
      <c r="A456" t="str">
        <f>B456&amp;C456&amp;E456&amp;F456&amp;H456&amp;I456&amp;J456&amp;M456&amp;N456&amp;O456&amp;P456&amp;Q456&amp;R456&amp;S456&amp;T456&amp;U456&amp;V456&amp;W456&amp;X456&amp;Y456</f>
        <v>|セット|色|コスト|P/T|レアリティ|カード名|</v>
      </c>
      <c r="B456" t="s">
        <v>3168</v>
      </c>
      <c r="C456" t="s">
        <v>3169</v>
      </c>
      <c r="E456" t="s">
        <v>3168</v>
      </c>
      <c r="F456" t="s">
        <v>3139</v>
      </c>
      <c r="H456" t="s">
        <v>3168</v>
      </c>
      <c r="I456" t="s">
        <v>3165</v>
      </c>
      <c r="J456" t="s">
        <v>3168</v>
      </c>
      <c r="K456" t="s">
        <v>3126</v>
      </c>
      <c r="L456" t="s">
        <v>3125</v>
      </c>
      <c r="M456" t="str">
        <f>K456&amp;"/"&amp;L456</f>
        <v>P/T</v>
      </c>
      <c r="N456" t="s">
        <v>3175</v>
      </c>
      <c r="O456" t="s">
        <v>4809</v>
      </c>
      <c r="R456" t="s">
        <v>3175</v>
      </c>
      <c r="T456" t="s">
        <v>3166</v>
      </c>
      <c r="V456" t="str">
        <f>IF(I456=0,VLOOKUP(TAG!T456,Sheet4!A:B,2,TRUE),"")</f>
        <v/>
      </c>
      <c r="X456" t="s">
        <v>3175</v>
      </c>
      <c r="Z456" s="12"/>
      <c r="AA456" s="12"/>
      <c r="AB456" s="12"/>
      <c r="AC456" s="12"/>
      <c r="AD456" s="12"/>
      <c r="AE456" s="12"/>
      <c r="AF456" s="12"/>
      <c r="AG456" s="12"/>
      <c r="AH456" s="12"/>
      <c r="AI456" s="12"/>
      <c r="AJ456" s="12"/>
      <c r="AK456" s="12"/>
      <c r="AL456" s="12"/>
      <c r="AM456" s="12"/>
      <c r="AN456" s="12"/>
      <c r="AO456" s="12"/>
      <c r="AP456" s="12"/>
      <c r="AQ456" s="12"/>
    </row>
    <row r="457" spans="1:43" x14ac:dyDescent="0.15">
      <c r="A457" t="str">
        <f>B457&amp;C457&amp;E457&amp;F457&amp;H457&amp;I457&amp;J457&amp;M457&amp;N457&amp;O457&amp;P457&amp;Q457&amp;R457&amp;S457&amp;T457&amp;U457&amp;V457&amp;W457&amp;X457&amp;Y457</f>
        <v>|BFZ|無色|14|6/9|神話レア|《[[忘却蒔き]]》|</v>
      </c>
      <c r="B457" t="s">
        <v>3168</v>
      </c>
      <c r="C457" t="str">
        <f>AA457</f>
        <v>BFZ</v>
      </c>
      <c r="D457">
        <f>IF(AA457="","",VLOOKUP(C457,tnpl!$Z$1:$AA$11,2,TRUE))</f>
        <v>2</v>
      </c>
      <c r="E457" t="s">
        <v>3168</v>
      </c>
      <c r="F457" t="str">
        <f>AB457</f>
        <v>無色</v>
      </c>
      <c r="G457">
        <f>IF(AB457="","",VLOOKUP(F457,tnpl!$X$1:$Y$16,2,TRUE))</f>
        <v>16</v>
      </c>
      <c r="H457" t="s">
        <v>3168</v>
      </c>
      <c r="I457">
        <f>AD457</f>
        <v>14</v>
      </c>
      <c r="J457" t="s">
        <v>3168</v>
      </c>
      <c r="K457">
        <f>AO457</f>
        <v>6</v>
      </c>
      <c r="L457">
        <f>AP457</f>
        <v>9</v>
      </c>
      <c r="M457" t="str">
        <f>K457&amp;"/"&amp;L457</f>
        <v>6/9</v>
      </c>
      <c r="N457" t="s">
        <v>3175</v>
      </c>
      <c r="O457" t="str">
        <f>AC457</f>
        <v>神話レア</v>
      </c>
      <c r="R457" t="s">
        <v>3175</v>
      </c>
      <c r="S457" t="s">
        <v>4750</v>
      </c>
      <c r="T457" t="str">
        <f>AE457</f>
        <v>忘却蒔き</v>
      </c>
      <c r="U457" t="str">
        <f>IF(I457=0,"&gt;","")</f>
        <v/>
      </c>
      <c r="V457" t="str">
        <f>IF(I457=0,VLOOKUP(T457,Sheet4!A:B,2,TRUE),"")</f>
        <v/>
      </c>
      <c r="W457" t="s">
        <v>4751</v>
      </c>
      <c r="X457" t="s">
        <v>3175</v>
      </c>
      <c r="Z457" s="3">
        <v>482</v>
      </c>
      <c r="AA457" s="2" t="s">
        <v>3170</v>
      </c>
      <c r="AB457" s="1" t="s">
        <v>292</v>
      </c>
      <c r="AC457" s="1" t="s">
        <v>1431</v>
      </c>
      <c r="AD457" s="1">
        <v>14</v>
      </c>
      <c r="AE457" s="1" t="s">
        <v>1664</v>
      </c>
      <c r="AF457" s="1" t="s">
        <v>1663</v>
      </c>
      <c r="AG457" s="1" t="s">
        <v>339</v>
      </c>
      <c r="AH457" s="1" t="s">
        <v>1435</v>
      </c>
      <c r="AI457" s="1"/>
      <c r="AJ457" s="1"/>
      <c r="AK457" s="1" t="s">
        <v>1662</v>
      </c>
      <c r="AL457" s="1"/>
      <c r="AM457" s="1"/>
      <c r="AN457" s="1"/>
      <c r="AO457" s="1">
        <v>6</v>
      </c>
      <c r="AP457" s="1">
        <v>9</v>
      </c>
      <c r="AQ457" s="1" t="s">
        <v>1662</v>
      </c>
    </row>
    <row r="460" spans="1:43" x14ac:dyDescent="0.15">
      <c r="A460" t="str">
        <f>B460&amp;C460&amp;E460&amp;F460&amp;H460&amp;I460&amp;J460&amp;M460&amp;N460&amp;O460&amp;P460&amp;Q460&amp;R460&amp;S460&amp;T460&amp;V460&amp;W460&amp;X460&amp;Y460</f>
        <v>*パワー7タフネス7以外クリーチャー</v>
      </c>
      <c r="B460" t="s">
        <v>3173</v>
      </c>
      <c r="C460" t="str">
        <f>"パワー"&amp;AO466</f>
        <v>パワー7</v>
      </c>
      <c r="E460" t="str">
        <f>"タフネス"&amp;AO466&amp;"以外"</f>
        <v>タフネス7以外</v>
      </c>
      <c r="F460" t="s">
        <v>4814</v>
      </c>
      <c r="G460" t="s">
        <v>3172</v>
      </c>
    </row>
    <row r="461" spans="1:43" x14ac:dyDescent="0.15">
      <c r="A461" t="s">
        <v>4815</v>
      </c>
    </row>
    <row r="462" spans="1:43" x14ac:dyDescent="0.15">
      <c r="A462" t="str">
        <f>B462&amp;C462&amp;E462&amp;F462&amp;H462&amp;I462&amp;J462&amp;M462&amp;N462&amp;O462&amp;P462&amp;Q462&amp;R462&amp;S462&amp;T462&amp;V462&amp;W462&amp;X462&amp;Y462</f>
        <v/>
      </c>
    </row>
    <row r="463" spans="1:43" x14ac:dyDescent="0.15">
      <c r="A463" t="str">
        <f>B463&amp;C463&amp;E463&amp;F463&amp;H463&amp;I463&amp;J463&amp;M463&amp;N463&amp;O463&amp;P463&amp;Q463&amp;R463&amp;S463&amp;T463&amp;V463&amp;W463&amp;X463&amp;Y463</f>
        <v>**タフネス7未満クリーチャー</v>
      </c>
      <c r="B463" t="s">
        <v>4752</v>
      </c>
      <c r="C463" t="s">
        <v>4819</v>
      </c>
      <c r="F463">
        <f>K466</f>
        <v>7</v>
      </c>
      <c r="H463" t="s">
        <v>4818</v>
      </c>
      <c r="I463" t="s">
        <v>339</v>
      </c>
    </row>
    <row r="464" spans="1:43" x14ac:dyDescent="0.15">
      <c r="A464" t="str">
        <f t="shared" ref="A464:A469" si="150">B464&amp;C464&amp;E464&amp;F464&amp;H464&amp;I464&amp;J464&amp;M464&amp;N464&amp;O464&amp;P464&amp;Q464&amp;R464&amp;S464&amp;T464&amp;U464&amp;V464&amp;W464&amp;X464&amp;Y464</f>
        <v>|LEFT:50|LEFT:50|LEFT:50|LEFT:120|LEFT:120|LEFT:500|c</v>
      </c>
      <c r="B464" t="s">
        <v>3168</v>
      </c>
      <c r="C464" t="s">
        <v>3162</v>
      </c>
      <c r="E464" t="s">
        <v>3168</v>
      </c>
      <c r="F464" t="s">
        <v>3162</v>
      </c>
      <c r="H464" t="s">
        <v>3168</v>
      </c>
      <c r="I464" t="s">
        <v>3162</v>
      </c>
      <c r="J464" t="s">
        <v>3168</v>
      </c>
      <c r="M464" t="s">
        <v>4808</v>
      </c>
      <c r="N464" t="s">
        <v>3175</v>
      </c>
      <c r="O464" t="s">
        <v>4808</v>
      </c>
      <c r="R464" t="s">
        <v>3175</v>
      </c>
      <c r="T464" t="s">
        <v>3163</v>
      </c>
      <c r="X464" t="s">
        <v>3175</v>
      </c>
      <c r="Y464" t="s">
        <v>3164</v>
      </c>
    </row>
    <row r="465" spans="1:43" x14ac:dyDescent="0.15">
      <c r="A465" t="str">
        <f t="shared" si="150"/>
        <v>|セット|色|コスト|P/T|レアリティ|カード名|</v>
      </c>
      <c r="B465" t="s">
        <v>3168</v>
      </c>
      <c r="C465" t="s">
        <v>3169</v>
      </c>
      <c r="E465" t="s">
        <v>3168</v>
      </c>
      <c r="F465" t="s">
        <v>3139</v>
      </c>
      <c r="H465" t="s">
        <v>3168</v>
      </c>
      <c r="I465" t="s">
        <v>3165</v>
      </c>
      <c r="J465" t="s">
        <v>3168</v>
      </c>
      <c r="K465" t="s">
        <v>3126</v>
      </c>
      <c r="L465" t="s">
        <v>3125</v>
      </c>
      <c r="M465" t="str">
        <f>K465&amp;"/"&amp;L465</f>
        <v>P/T</v>
      </c>
      <c r="N465" t="s">
        <v>3175</v>
      </c>
      <c r="O465" t="s">
        <v>4809</v>
      </c>
      <c r="R465" t="s">
        <v>3175</v>
      </c>
      <c r="T465" t="s">
        <v>3166</v>
      </c>
      <c r="V465" t="str">
        <f>IF(I465=0,VLOOKUP(TAG!T465,Sheet4!A:B,2,TRUE),"")</f>
        <v/>
      </c>
      <c r="X465" t="s">
        <v>3175</v>
      </c>
      <c r="Z465" s="12"/>
      <c r="AA465" s="12"/>
      <c r="AB465" s="12"/>
      <c r="AC465" s="12"/>
      <c r="AD465" s="12"/>
      <c r="AE465" s="12"/>
      <c r="AF465" s="12"/>
      <c r="AG465" s="12"/>
      <c r="AH465" s="12"/>
      <c r="AI465" s="12"/>
      <c r="AJ465" s="12"/>
      <c r="AK465" s="12"/>
      <c r="AL465" s="12"/>
      <c r="AM465" s="12"/>
      <c r="AN465" s="12"/>
      <c r="AO465" s="12"/>
      <c r="AP465" s="12"/>
      <c r="AQ465" s="12"/>
    </row>
    <row r="466" spans="1:43" x14ac:dyDescent="0.15">
      <c r="A466" t="str">
        <f t="shared" si="150"/>
        <v>|BFZ|赤|16|7/5|レア|《[[連射する暴君]]》|</v>
      </c>
      <c r="B466" t="s">
        <v>3168</v>
      </c>
      <c r="C466" t="str">
        <f>AA466</f>
        <v>BFZ</v>
      </c>
      <c r="D466">
        <f>IF(AA466="","",VLOOKUP(C466,tnpl!$Z$1:$AA$11,2,TRUE))</f>
        <v>2</v>
      </c>
      <c r="E466" t="s">
        <v>3168</v>
      </c>
      <c r="F466" t="str">
        <f>AB466</f>
        <v>赤</v>
      </c>
      <c r="G466">
        <f>IF(AB466="","",VLOOKUP(F466,tnpl!$X$1:$Y$16,2,TRUE))</f>
        <v>4</v>
      </c>
      <c r="H466" t="s">
        <v>3168</v>
      </c>
      <c r="I466">
        <f>AD466</f>
        <v>16</v>
      </c>
      <c r="J466" t="s">
        <v>3168</v>
      </c>
      <c r="K466">
        <f t="shared" ref="K466:L469" si="151">AO466</f>
        <v>7</v>
      </c>
      <c r="L466">
        <f t="shared" si="151"/>
        <v>5</v>
      </c>
      <c r="M466" t="str">
        <f>K466&amp;"/"&amp;L466</f>
        <v>7/5</v>
      </c>
      <c r="N466" t="s">
        <v>3175</v>
      </c>
      <c r="O466" t="str">
        <f>AC466</f>
        <v>レア</v>
      </c>
      <c r="R466" t="s">
        <v>3175</v>
      </c>
      <c r="S466" t="s">
        <v>4750</v>
      </c>
      <c r="T466" t="str">
        <f>AE466</f>
        <v>連射する暴君</v>
      </c>
      <c r="U466" t="str">
        <f>IF(I466=0,"&gt;","")</f>
        <v/>
      </c>
      <c r="V466" t="str">
        <f>IF(I466=0,VLOOKUP(T466,Sheet4!A:B,2,TRUE),"")</f>
        <v/>
      </c>
      <c r="W466" t="s">
        <v>4751</v>
      </c>
      <c r="X466" t="s">
        <v>3175</v>
      </c>
      <c r="Z466" s="3">
        <v>384</v>
      </c>
      <c r="AA466" s="2" t="s">
        <v>3170</v>
      </c>
      <c r="AB466" s="1" t="s">
        <v>1552</v>
      </c>
      <c r="AC466" s="1" t="s">
        <v>1441</v>
      </c>
      <c r="AD466" s="1">
        <v>16</v>
      </c>
      <c r="AE466" s="1" t="s">
        <v>1976</v>
      </c>
      <c r="AF466" s="1" t="s">
        <v>1975</v>
      </c>
      <c r="AG466" s="1" t="s">
        <v>339</v>
      </c>
      <c r="AH466" s="1" t="s">
        <v>1435</v>
      </c>
      <c r="AI466" s="1"/>
      <c r="AJ466" s="1"/>
      <c r="AK466" s="1" t="s">
        <v>3317</v>
      </c>
      <c r="AL466" s="1" t="s">
        <v>1974</v>
      </c>
      <c r="AM466" s="1"/>
      <c r="AN466" s="1"/>
      <c r="AO466" s="1">
        <v>7</v>
      </c>
      <c r="AP466" s="1">
        <v>5</v>
      </c>
      <c r="AQ466" s="1" t="s">
        <v>3369</v>
      </c>
    </row>
    <row r="467" spans="1:43" x14ac:dyDescent="0.15">
      <c r="A467" t="str">
        <f t="shared" si="150"/>
        <v>|BFZ|黒赤|11|7/5|レア|《[[塵の中を忍び寄るもの]]》|</v>
      </c>
      <c r="B467" t="s">
        <v>3168</v>
      </c>
      <c r="C467" t="str">
        <f>AA467</f>
        <v>BFZ</v>
      </c>
      <c r="D467">
        <f>IF(AA467="","",VLOOKUP(C467,tnpl!$Z$1:$AA$11,2,TRUE))</f>
        <v>2</v>
      </c>
      <c r="E467" t="s">
        <v>3168</v>
      </c>
      <c r="F467" t="str">
        <f>AB467</f>
        <v>黒赤</v>
      </c>
      <c r="G467">
        <f>IF(AB467="","",VLOOKUP(F467,tnpl!$X$1:$Y$16,2,TRUE))</f>
        <v>8</v>
      </c>
      <c r="H467" t="s">
        <v>3168</v>
      </c>
      <c r="I467">
        <f>AD467</f>
        <v>11</v>
      </c>
      <c r="J467" t="s">
        <v>3168</v>
      </c>
      <c r="K467">
        <f t="shared" si="151"/>
        <v>7</v>
      </c>
      <c r="L467">
        <f t="shared" si="151"/>
        <v>5</v>
      </c>
      <c r="M467" t="str">
        <f>K467&amp;"/"&amp;L467</f>
        <v>7/5</v>
      </c>
      <c r="N467" t="s">
        <v>3175</v>
      </c>
      <c r="O467" t="str">
        <f>AC467</f>
        <v>レア</v>
      </c>
      <c r="R467" t="s">
        <v>3175</v>
      </c>
      <c r="S467" t="s">
        <v>4750</v>
      </c>
      <c r="T467" t="str">
        <f>AE467</f>
        <v>塵の中を忍び寄るもの</v>
      </c>
      <c r="U467" t="str">
        <f>IF(I467=0,"&gt;","")</f>
        <v/>
      </c>
      <c r="V467" t="str">
        <f>IF(I467=0,VLOOKUP(T467,Sheet4!A:B,2,TRUE),"")</f>
        <v/>
      </c>
      <c r="W467" t="s">
        <v>4751</v>
      </c>
      <c r="X467" t="s">
        <v>3175</v>
      </c>
      <c r="Z467" s="3">
        <v>438</v>
      </c>
      <c r="AA467" s="2" t="s">
        <v>3170</v>
      </c>
      <c r="AB467" s="1" t="s">
        <v>1504</v>
      </c>
      <c r="AC467" s="1" t="s">
        <v>1441</v>
      </c>
      <c r="AD467" s="1">
        <v>11</v>
      </c>
      <c r="AE467" s="1" t="s">
        <v>1805</v>
      </c>
      <c r="AF467" s="1" t="s">
        <v>1804</v>
      </c>
      <c r="AG467" s="1" t="s">
        <v>339</v>
      </c>
      <c r="AH467" s="1" t="s">
        <v>1435</v>
      </c>
      <c r="AI467" s="1"/>
      <c r="AJ467" s="1"/>
      <c r="AK467" s="1" t="s">
        <v>3396</v>
      </c>
      <c r="AL467" s="1" t="s">
        <v>1803</v>
      </c>
      <c r="AM467" s="1"/>
      <c r="AN467" s="1"/>
      <c r="AO467" s="1">
        <v>7</v>
      </c>
      <c r="AP467" s="1">
        <v>5</v>
      </c>
      <c r="AQ467" s="1" t="s">
        <v>3397</v>
      </c>
    </row>
    <row r="468" spans="1:43" x14ac:dyDescent="0.15">
      <c r="A468" t="str">
        <f t="shared" si="150"/>
        <v>|KLD|赤|13|7/5|レア|《[[襲拳会の扉破り]]》|</v>
      </c>
      <c r="B468" t="s">
        <v>3168</v>
      </c>
      <c r="C468" t="str">
        <f>AA468</f>
        <v>KLD</v>
      </c>
      <c r="D468">
        <f>IF(AA468="","",VLOOKUP(C468,tnpl!$Z$1:$AA$11,2,TRUE))</f>
        <v>6</v>
      </c>
      <c r="E468" t="s">
        <v>3168</v>
      </c>
      <c r="F468" t="str">
        <f>AB468</f>
        <v>赤</v>
      </c>
      <c r="G468">
        <f>IF(AB468="","",VLOOKUP(F468,tnpl!$X$1:$Y$16,2,TRUE))</f>
        <v>4</v>
      </c>
      <c r="H468" t="s">
        <v>3168</v>
      </c>
      <c r="I468">
        <f>AD468</f>
        <v>13</v>
      </c>
      <c r="J468" t="s">
        <v>3168</v>
      </c>
      <c r="K468">
        <f t="shared" si="151"/>
        <v>7</v>
      </c>
      <c r="L468">
        <f t="shared" si="151"/>
        <v>5</v>
      </c>
      <c r="M468" t="str">
        <f>K468&amp;"/"&amp;L468</f>
        <v>7/5</v>
      </c>
      <c r="N468" t="s">
        <v>3175</v>
      </c>
      <c r="O468" t="str">
        <f>AC468</f>
        <v>レア</v>
      </c>
      <c r="R468" t="s">
        <v>3175</v>
      </c>
      <c r="S468" t="s">
        <v>4750</v>
      </c>
      <c r="T468" t="str">
        <f>AE468</f>
        <v>襲拳会の扉破り</v>
      </c>
      <c r="U468" t="str">
        <f>IF(I468=0,"&gt;","")</f>
        <v/>
      </c>
      <c r="V468" t="str">
        <f>IF(I468=0,VLOOKUP(T468,Sheet4!A:B,2,TRUE),"")</f>
        <v/>
      </c>
      <c r="W468" t="s">
        <v>4751</v>
      </c>
      <c r="X468" t="s">
        <v>3175</v>
      </c>
      <c r="Z468" s="3">
        <v>935</v>
      </c>
      <c r="AA468" s="2" t="s">
        <v>3937</v>
      </c>
      <c r="AB468" s="1" t="s">
        <v>1552</v>
      </c>
      <c r="AC468" s="1" t="s">
        <v>1441</v>
      </c>
      <c r="AD468" s="1">
        <v>13</v>
      </c>
      <c r="AE468" s="1" t="s">
        <v>636</v>
      </c>
      <c r="AF468" s="1" t="s">
        <v>635</v>
      </c>
      <c r="AG468" s="1" t="s">
        <v>339</v>
      </c>
      <c r="AH468" s="1" t="s">
        <v>1489</v>
      </c>
      <c r="AI468" s="1" t="s">
        <v>1493</v>
      </c>
      <c r="AJ468" s="1"/>
      <c r="AK468" s="1" t="s">
        <v>3940</v>
      </c>
      <c r="AL468" s="1" t="s">
        <v>4099</v>
      </c>
      <c r="AM468" s="1"/>
      <c r="AN468" s="1"/>
      <c r="AO468" s="1">
        <v>7</v>
      </c>
      <c r="AP468" s="1">
        <v>5</v>
      </c>
      <c r="AQ468" s="1" t="s">
        <v>4100</v>
      </c>
    </row>
    <row r="469" spans="1:43" x14ac:dyDescent="0.15">
      <c r="A469" t="str">
        <f t="shared" si="150"/>
        <v>|BFZ|緑|18|7/6|アンコモン|《[[板金鎧の破壊屋]]》|</v>
      </c>
      <c r="B469" t="s">
        <v>3168</v>
      </c>
      <c r="C469" t="str">
        <f>AA469</f>
        <v>BFZ</v>
      </c>
      <c r="D469">
        <f>IF(AA469="","",VLOOKUP(C469,tnpl!$Z$1:$AA$11,2,TRUE))</f>
        <v>2</v>
      </c>
      <c r="E469" t="s">
        <v>3168</v>
      </c>
      <c r="F469" t="str">
        <f>AB469</f>
        <v>緑</v>
      </c>
      <c r="G469">
        <f>IF(AB469="","",VLOOKUP(F469,tnpl!$X$1:$Y$16,2,TRUE))</f>
        <v>5</v>
      </c>
      <c r="H469" t="s">
        <v>3168</v>
      </c>
      <c r="I469">
        <f>AD469</f>
        <v>18</v>
      </c>
      <c r="J469" t="s">
        <v>3168</v>
      </c>
      <c r="K469">
        <f t="shared" si="151"/>
        <v>7</v>
      </c>
      <c r="L469">
        <f t="shared" si="151"/>
        <v>6</v>
      </c>
      <c r="M469" t="str">
        <f>K469&amp;"/"&amp;L469</f>
        <v>7/6</v>
      </c>
      <c r="N469" t="s">
        <v>3175</v>
      </c>
      <c r="O469" t="str">
        <f>AC469</f>
        <v>アンコモン</v>
      </c>
      <c r="R469" t="s">
        <v>3175</v>
      </c>
      <c r="S469" t="s">
        <v>4750</v>
      </c>
      <c r="T469" t="str">
        <f>AE469</f>
        <v>板金鎧の破壊屋</v>
      </c>
      <c r="U469" t="str">
        <f>IF(I469=0,"&gt;","")</f>
        <v/>
      </c>
      <c r="V469" t="str">
        <f>IF(I469=0,VLOOKUP(T469,Sheet4!A:B,2,TRUE),"")</f>
        <v/>
      </c>
      <c r="W469" t="s">
        <v>4751</v>
      </c>
      <c r="X469" t="s">
        <v>3175</v>
      </c>
      <c r="Z469" s="3">
        <v>411</v>
      </c>
      <c r="AA469" s="2" t="s">
        <v>3170</v>
      </c>
      <c r="AB469" s="1" t="s">
        <v>1518</v>
      </c>
      <c r="AC469" s="1" t="s">
        <v>1451</v>
      </c>
      <c r="AD469" s="1">
        <v>18</v>
      </c>
      <c r="AE469" s="1" t="s">
        <v>1895</v>
      </c>
      <c r="AF469" s="1" t="s">
        <v>1894</v>
      </c>
      <c r="AG469" s="1" t="s">
        <v>339</v>
      </c>
      <c r="AH469" s="1" t="s">
        <v>357</v>
      </c>
      <c r="AI469" s="1"/>
      <c r="AJ469" s="1"/>
      <c r="AK469" s="1" t="s">
        <v>1893</v>
      </c>
      <c r="AL469" s="1"/>
      <c r="AM469" s="1"/>
      <c r="AN469" s="1"/>
      <c r="AO469" s="1">
        <v>7</v>
      </c>
      <c r="AP469" s="1">
        <v>6</v>
      </c>
      <c r="AQ469" s="1" t="s">
        <v>1893</v>
      </c>
    </row>
    <row r="470" spans="1:43" x14ac:dyDescent="0.15">
      <c r="A470" t="str">
        <f>B470&amp;C470&amp;E470&amp;F470&amp;H470&amp;I470&amp;J470&amp;M470&amp;N470&amp;O470&amp;P470&amp;Q470&amp;R470&amp;S470&amp;T470&amp;V470&amp;W470&amp;X470&amp;Y470</f>
        <v/>
      </c>
    </row>
    <row r="471" spans="1:43" x14ac:dyDescent="0.15">
      <c r="A471" t="str">
        <f>B471&amp;C471&amp;E471&amp;F471&amp;H471&amp;I471&amp;J471&amp;M471&amp;N471&amp;O471&amp;P471&amp;Q471&amp;R471&amp;S471&amp;T471&amp;V471&amp;W471&amp;X471&amp;Y471</f>
        <v>**タフネス8以上クリーチャー</v>
      </c>
      <c r="B471" t="s">
        <v>4752</v>
      </c>
      <c r="C471" t="s">
        <v>4819</v>
      </c>
      <c r="F471">
        <f>K474+1</f>
        <v>8</v>
      </c>
      <c r="H471" t="s">
        <v>4817</v>
      </c>
      <c r="I471" t="s">
        <v>339</v>
      </c>
    </row>
    <row r="472" spans="1:43" x14ac:dyDescent="0.15">
      <c r="A472" t="str">
        <f t="shared" ref="A472:A485" si="152">B472&amp;C472&amp;E472&amp;F472&amp;H472&amp;I472&amp;J472&amp;M472&amp;N472&amp;O472&amp;P472&amp;Q472&amp;R472&amp;S472&amp;T472&amp;U472&amp;V472&amp;W472&amp;X472&amp;Y472</f>
        <v>|LEFT:50|LEFT:50|LEFT:50|LEFT:120|LEFT:120|LEFT:500|c</v>
      </c>
      <c r="B472" t="s">
        <v>3168</v>
      </c>
      <c r="C472" t="s">
        <v>3162</v>
      </c>
      <c r="E472" t="s">
        <v>3168</v>
      </c>
      <c r="F472" t="s">
        <v>3162</v>
      </c>
      <c r="H472" t="s">
        <v>3168</v>
      </c>
      <c r="I472" t="s">
        <v>3162</v>
      </c>
      <c r="J472" t="s">
        <v>3168</v>
      </c>
      <c r="M472" t="s">
        <v>4808</v>
      </c>
      <c r="N472" t="s">
        <v>3175</v>
      </c>
      <c r="O472" t="s">
        <v>4808</v>
      </c>
      <c r="R472" t="s">
        <v>3175</v>
      </c>
      <c r="T472" t="s">
        <v>3163</v>
      </c>
      <c r="X472" t="s">
        <v>3175</v>
      </c>
      <c r="Y472" t="s">
        <v>3164</v>
      </c>
    </row>
    <row r="473" spans="1:43" x14ac:dyDescent="0.15">
      <c r="A473" t="str">
        <f t="shared" si="152"/>
        <v>|セット|色|コスト|P/T|レアリティ|カード名|</v>
      </c>
      <c r="B473" t="s">
        <v>3168</v>
      </c>
      <c r="C473" t="s">
        <v>3169</v>
      </c>
      <c r="E473" t="s">
        <v>3168</v>
      </c>
      <c r="F473" t="s">
        <v>3139</v>
      </c>
      <c r="H473" t="s">
        <v>3168</v>
      </c>
      <c r="I473" t="s">
        <v>3165</v>
      </c>
      <c r="J473" t="s">
        <v>3168</v>
      </c>
      <c r="K473" t="s">
        <v>3126</v>
      </c>
      <c r="L473" t="s">
        <v>3125</v>
      </c>
      <c r="M473" t="str">
        <f t="shared" ref="M473:M485" si="153">K473&amp;"/"&amp;L473</f>
        <v>P/T</v>
      </c>
      <c r="N473" t="s">
        <v>3175</v>
      </c>
      <c r="O473" t="s">
        <v>4809</v>
      </c>
      <c r="R473" t="s">
        <v>3175</v>
      </c>
      <c r="T473" t="s">
        <v>3166</v>
      </c>
      <c r="V473" t="str">
        <f>IF(I473=0,VLOOKUP(TAG!T473,Sheet4!A:B,2,TRUE),"")</f>
        <v/>
      </c>
      <c r="X473" t="s">
        <v>3175</v>
      </c>
      <c r="Z473" s="12"/>
      <c r="AA473" s="12"/>
      <c r="AB473" s="12"/>
      <c r="AC473" s="12"/>
      <c r="AD473" s="12"/>
      <c r="AE473" s="12"/>
      <c r="AF473" s="12"/>
      <c r="AG473" s="12"/>
      <c r="AH473" s="12"/>
      <c r="AI473" s="12"/>
      <c r="AJ473" s="12"/>
      <c r="AK473" s="12"/>
      <c r="AL473" s="12"/>
      <c r="AM473" s="12"/>
      <c r="AN473" s="12"/>
      <c r="AO473" s="12"/>
      <c r="AP473" s="12"/>
      <c r="AQ473" s="12"/>
    </row>
    <row r="474" spans="1:43" x14ac:dyDescent="0.15">
      <c r="A474" t="str">
        <f t="shared" si="152"/>
        <v>|ORI|青|20|7/8|神話レア|《[[輪の信奉者]]》|</v>
      </c>
      <c r="B474" t="s">
        <v>3168</v>
      </c>
      <c r="C474" t="str">
        <f t="shared" ref="C474:C485" si="154">AA474</f>
        <v>ORI</v>
      </c>
      <c r="D474">
        <f>IF(AA474="","",VLOOKUP(C474,tnpl!$Z$1:$AA$11,2,TRUE))</f>
        <v>1</v>
      </c>
      <c r="E474" t="s">
        <v>3168</v>
      </c>
      <c r="F474" t="str">
        <f t="shared" ref="F474:F485" si="155">AB474</f>
        <v>青</v>
      </c>
      <c r="G474">
        <f>IF(AB474="","",VLOOKUP(F474,tnpl!$X$1:$Y$16,2,TRUE))</f>
        <v>2</v>
      </c>
      <c r="H474" t="s">
        <v>3168</v>
      </c>
      <c r="I474">
        <f t="shared" ref="I474:I485" si="156">AD474</f>
        <v>20</v>
      </c>
      <c r="J474" t="s">
        <v>3168</v>
      </c>
      <c r="K474">
        <f t="shared" ref="K474:K485" si="157">AO474</f>
        <v>7</v>
      </c>
      <c r="L474">
        <f t="shared" ref="L474:L485" si="158">AP474</f>
        <v>8</v>
      </c>
      <c r="M474" t="str">
        <f t="shared" si="153"/>
        <v>7/8</v>
      </c>
      <c r="N474" t="s">
        <v>3175</v>
      </c>
      <c r="O474" t="str">
        <f t="shared" ref="O474:O485" si="159">AC474</f>
        <v>神話レア</v>
      </c>
      <c r="R474" t="s">
        <v>3175</v>
      </c>
      <c r="S474" t="s">
        <v>4750</v>
      </c>
      <c r="T474" t="str">
        <f t="shared" ref="T474:T485" si="160">AE474</f>
        <v>輪の信奉者</v>
      </c>
      <c r="U474" t="str">
        <f t="shared" ref="U474:U485" si="161">IF(I474=0,"&gt;","")</f>
        <v/>
      </c>
      <c r="V474" t="str">
        <f>IF(I474=0,VLOOKUP(T474,Sheet4!A:B,2,TRUE),"")</f>
        <v/>
      </c>
      <c r="W474" t="s">
        <v>4751</v>
      </c>
      <c r="X474" t="s">
        <v>3175</v>
      </c>
      <c r="Z474" s="3">
        <v>78</v>
      </c>
      <c r="AA474" s="2" t="s">
        <v>3176</v>
      </c>
      <c r="AB474" s="1" t="s">
        <v>1606</v>
      </c>
      <c r="AC474" s="1" t="s">
        <v>1431</v>
      </c>
      <c r="AD474" s="1">
        <v>20</v>
      </c>
      <c r="AE474" s="1" t="s">
        <v>2891</v>
      </c>
      <c r="AF474" s="1" t="s">
        <v>2890</v>
      </c>
      <c r="AG474" s="1" t="s">
        <v>339</v>
      </c>
      <c r="AH474" s="1" t="s">
        <v>1489</v>
      </c>
      <c r="AI474" s="1" t="s">
        <v>1463</v>
      </c>
      <c r="AJ474" s="1"/>
      <c r="AK474" s="1" t="s">
        <v>2889</v>
      </c>
      <c r="AL474" s="1"/>
      <c r="AM474" s="1"/>
      <c r="AN474" s="1"/>
      <c r="AO474" s="1">
        <v>7</v>
      </c>
      <c r="AP474" s="1">
        <v>8</v>
      </c>
      <c r="AQ474" s="1" t="s">
        <v>2889</v>
      </c>
    </row>
    <row r="475" spans="1:43" x14ac:dyDescent="0.15">
      <c r="A475" t="str">
        <f t="shared" si="152"/>
        <v>|SOI|青|0|7/8|神話レア|《[[目覚めた恐怖&gt;氷の中の存在]]》|</v>
      </c>
      <c r="B475" t="s">
        <v>3168</v>
      </c>
      <c r="C475" t="str">
        <f t="shared" si="154"/>
        <v>SOI</v>
      </c>
      <c r="D475">
        <f>IF(AA475="","",VLOOKUP(C475,tnpl!$Z$1:$AA$11,2,TRUE))</f>
        <v>4</v>
      </c>
      <c r="E475" t="s">
        <v>3168</v>
      </c>
      <c r="F475" t="str">
        <f t="shared" si="155"/>
        <v>青</v>
      </c>
      <c r="G475">
        <f>IF(AB475="","",VLOOKUP(F475,tnpl!$X$1:$Y$16,2,TRUE))</f>
        <v>2</v>
      </c>
      <c r="H475" t="s">
        <v>3168</v>
      </c>
      <c r="I475">
        <f t="shared" si="156"/>
        <v>0</v>
      </c>
      <c r="J475" t="s">
        <v>3168</v>
      </c>
      <c r="K475">
        <f t="shared" si="157"/>
        <v>7</v>
      </c>
      <c r="L475">
        <f t="shared" si="158"/>
        <v>8</v>
      </c>
      <c r="M475" t="str">
        <f t="shared" si="153"/>
        <v>7/8</v>
      </c>
      <c r="N475" t="s">
        <v>3175</v>
      </c>
      <c r="O475" t="str">
        <f t="shared" si="159"/>
        <v>神話レア</v>
      </c>
      <c r="R475" t="s">
        <v>3175</v>
      </c>
      <c r="S475" t="s">
        <v>4750</v>
      </c>
      <c r="T475" t="str">
        <f t="shared" si="160"/>
        <v>目覚めた恐怖</v>
      </c>
      <c r="U475" t="str">
        <f t="shared" si="161"/>
        <v>&gt;</v>
      </c>
      <c r="V475" t="str">
        <f>IF(I475=0,VLOOKUP(T475,Sheet4!A:B,2,TRUE),"")</f>
        <v>氷の中の存在</v>
      </c>
      <c r="W475" t="s">
        <v>4751</v>
      </c>
      <c r="X475" t="s">
        <v>3175</v>
      </c>
      <c r="Z475" s="3">
        <v>610</v>
      </c>
      <c r="AA475" s="2" t="s">
        <v>3431</v>
      </c>
      <c r="AB475" s="1" t="s">
        <v>1606</v>
      </c>
      <c r="AC475" s="1" t="s">
        <v>1431</v>
      </c>
      <c r="AD475" s="13">
        <v>0</v>
      </c>
      <c r="AE475" s="1" t="s">
        <v>1029</v>
      </c>
      <c r="AF475" s="1" t="s">
        <v>1028</v>
      </c>
      <c r="AG475" s="1" t="s">
        <v>339</v>
      </c>
      <c r="AH475" s="1" t="s">
        <v>3551</v>
      </c>
      <c r="AI475" s="1" t="s">
        <v>2802</v>
      </c>
      <c r="AJ475" s="1"/>
      <c r="AK475" s="1" t="s">
        <v>3552</v>
      </c>
      <c r="AL475" s="1"/>
      <c r="AM475" s="1"/>
      <c r="AN475" s="1"/>
      <c r="AO475" s="1">
        <v>7</v>
      </c>
      <c r="AP475" s="1">
        <v>8</v>
      </c>
      <c r="AQ475" s="1" t="s">
        <v>3552</v>
      </c>
    </row>
    <row r="476" spans="1:43" x14ac:dyDescent="0.15">
      <c r="A476" t="str">
        <f t="shared" si="152"/>
        <v>|SOI|黒|8|7/8|神話レア|《[[精神壊しの悪魔]]》|</v>
      </c>
      <c r="B476" t="s">
        <v>3168</v>
      </c>
      <c r="C476" t="str">
        <f t="shared" si="154"/>
        <v>SOI</v>
      </c>
      <c r="D476">
        <f>IF(AA476="","",VLOOKUP(C476,tnpl!$Z$1:$AA$11,2,TRUE))</f>
        <v>4</v>
      </c>
      <c r="E476" t="s">
        <v>3168</v>
      </c>
      <c r="F476" t="str">
        <f t="shared" si="155"/>
        <v>黒</v>
      </c>
      <c r="G476">
        <f>IF(AB476="","",VLOOKUP(F476,tnpl!$X$1:$Y$16,2,TRUE))</f>
        <v>3</v>
      </c>
      <c r="H476" t="s">
        <v>3168</v>
      </c>
      <c r="I476">
        <f t="shared" si="156"/>
        <v>8</v>
      </c>
      <c r="J476" t="s">
        <v>3168</v>
      </c>
      <c r="K476">
        <f t="shared" si="157"/>
        <v>7</v>
      </c>
      <c r="L476">
        <f t="shared" si="158"/>
        <v>8</v>
      </c>
      <c r="M476" t="str">
        <f t="shared" si="153"/>
        <v>7/8</v>
      </c>
      <c r="N476" t="s">
        <v>3175</v>
      </c>
      <c r="O476" t="str">
        <f t="shared" si="159"/>
        <v>神話レア</v>
      </c>
      <c r="R476" t="s">
        <v>3175</v>
      </c>
      <c r="S476" t="s">
        <v>4750</v>
      </c>
      <c r="T476" t="str">
        <f t="shared" si="160"/>
        <v>精神壊しの悪魔</v>
      </c>
      <c r="U476" t="str">
        <f t="shared" si="161"/>
        <v/>
      </c>
      <c r="V476" t="str">
        <f>IF(I476=0,VLOOKUP(T476,Sheet4!A:B,2,TRUE),"")</f>
        <v/>
      </c>
      <c r="W476" t="s">
        <v>4751</v>
      </c>
      <c r="X476" t="s">
        <v>3175</v>
      </c>
      <c r="Z476" s="3">
        <v>640</v>
      </c>
      <c r="AA476" s="2" t="s">
        <v>3431</v>
      </c>
      <c r="AB476" s="1" t="s">
        <v>1582</v>
      </c>
      <c r="AC476" s="1" t="s">
        <v>1431</v>
      </c>
      <c r="AD476" s="1">
        <v>8</v>
      </c>
      <c r="AE476" s="1" t="s">
        <v>1247</v>
      </c>
      <c r="AF476" s="1" t="s">
        <v>1246</v>
      </c>
      <c r="AG476" s="1" t="s">
        <v>339</v>
      </c>
      <c r="AH476" s="1" t="s">
        <v>2793</v>
      </c>
      <c r="AI476" s="1"/>
      <c r="AJ476" s="1"/>
      <c r="AK476" s="1" t="s">
        <v>3596</v>
      </c>
      <c r="AL476" s="1" t="s">
        <v>3597</v>
      </c>
      <c r="AM476" s="1" t="s">
        <v>3598</v>
      </c>
      <c r="AN476" s="1"/>
      <c r="AO476" s="1">
        <v>7</v>
      </c>
      <c r="AP476" s="1">
        <v>8</v>
      </c>
      <c r="AQ476" s="1" t="s">
        <v>3599</v>
      </c>
    </row>
    <row r="477" spans="1:43" x14ac:dyDescent="0.15">
      <c r="A477" t="str">
        <f t="shared" si="152"/>
        <v>|SOI|緑白|15|7/8|神話レア|《[[優雅な鷺、シガルダ]]》|</v>
      </c>
      <c r="B477" t="s">
        <v>3168</v>
      </c>
      <c r="C477" t="str">
        <f t="shared" si="154"/>
        <v>SOI</v>
      </c>
      <c r="D477">
        <f>IF(AA477="","",VLOOKUP(C477,tnpl!$Z$1:$AA$11,2,TRUE))</f>
        <v>4</v>
      </c>
      <c r="E477" t="s">
        <v>3168</v>
      </c>
      <c r="F477" t="str">
        <f t="shared" si="155"/>
        <v>緑白</v>
      </c>
      <c r="G477">
        <f>IF(AB477="","",VLOOKUP(F477,tnpl!$X$1:$Y$16,2,TRUE))</f>
        <v>10</v>
      </c>
      <c r="H477" t="s">
        <v>3168</v>
      </c>
      <c r="I477">
        <f t="shared" si="156"/>
        <v>15</v>
      </c>
      <c r="J477" t="s">
        <v>3168</v>
      </c>
      <c r="K477">
        <f t="shared" si="157"/>
        <v>7</v>
      </c>
      <c r="L477">
        <f t="shared" si="158"/>
        <v>8</v>
      </c>
      <c r="M477" t="str">
        <f t="shared" si="153"/>
        <v>7/8</v>
      </c>
      <c r="N477" t="s">
        <v>3175</v>
      </c>
      <c r="O477" t="str">
        <f t="shared" si="159"/>
        <v>神話レア</v>
      </c>
      <c r="R477" t="s">
        <v>3175</v>
      </c>
      <c r="S477" t="s">
        <v>4750</v>
      </c>
      <c r="T477" t="str">
        <f t="shared" si="160"/>
        <v>優雅な鷺、シガルダ</v>
      </c>
      <c r="U477" t="str">
        <f t="shared" si="161"/>
        <v/>
      </c>
      <c r="V477" t="str">
        <f>IF(I477=0,VLOOKUP(T477,Sheet4!A:B,2,TRUE),"")</f>
        <v/>
      </c>
      <c r="W477" t="s">
        <v>4751</v>
      </c>
      <c r="X477" t="s">
        <v>3175</v>
      </c>
      <c r="Z477" s="3">
        <v>722</v>
      </c>
      <c r="AA477" s="2" t="s">
        <v>3431</v>
      </c>
      <c r="AB477" s="1" t="s">
        <v>1802</v>
      </c>
      <c r="AC477" s="1" t="s">
        <v>1431</v>
      </c>
      <c r="AD477" s="1">
        <v>15</v>
      </c>
      <c r="AE477" s="1" t="s">
        <v>1108</v>
      </c>
      <c r="AF477" s="1" t="s">
        <v>1107</v>
      </c>
      <c r="AG477" s="1" t="s">
        <v>339</v>
      </c>
      <c r="AH477" s="1" t="s">
        <v>348</v>
      </c>
      <c r="AI477" s="1"/>
      <c r="AJ477" s="1"/>
      <c r="AK477" s="1" t="s">
        <v>2406</v>
      </c>
      <c r="AL477" s="1" t="s">
        <v>3721</v>
      </c>
      <c r="AM477" s="1" t="s">
        <v>3722</v>
      </c>
      <c r="AN477" s="1"/>
      <c r="AO477" s="1">
        <v>7</v>
      </c>
      <c r="AP477" s="1">
        <v>8</v>
      </c>
      <c r="AQ477" s="1" t="s">
        <v>3723</v>
      </c>
    </row>
    <row r="478" spans="1:43" x14ac:dyDescent="0.15">
      <c r="A478" t="str">
        <f t="shared" si="152"/>
        <v>|EMN|赤|20|7/8|神話レア|《[[鏡翼のドラゴン]]》|</v>
      </c>
      <c r="B478" t="s">
        <v>3168</v>
      </c>
      <c r="C478" t="str">
        <f t="shared" si="154"/>
        <v>EMN</v>
      </c>
      <c r="D478">
        <f>IF(AA478="","",VLOOKUP(C478,tnpl!$Z$1:$AA$11,2,TRUE))</f>
        <v>5</v>
      </c>
      <c r="E478" t="s">
        <v>3168</v>
      </c>
      <c r="F478" t="str">
        <f t="shared" si="155"/>
        <v>赤</v>
      </c>
      <c r="G478">
        <f>IF(AB478="","",VLOOKUP(F478,tnpl!$X$1:$Y$16,2,TRUE))</f>
        <v>4</v>
      </c>
      <c r="H478" t="s">
        <v>3168</v>
      </c>
      <c r="I478">
        <f t="shared" si="156"/>
        <v>20</v>
      </c>
      <c r="J478" t="s">
        <v>3168</v>
      </c>
      <c r="K478">
        <f t="shared" si="157"/>
        <v>7</v>
      </c>
      <c r="L478">
        <f t="shared" si="158"/>
        <v>8</v>
      </c>
      <c r="M478" t="str">
        <f t="shared" si="153"/>
        <v>7/8</v>
      </c>
      <c r="N478" t="s">
        <v>3175</v>
      </c>
      <c r="O478" t="str">
        <f t="shared" si="159"/>
        <v>神話レア</v>
      </c>
      <c r="R478" t="s">
        <v>3175</v>
      </c>
      <c r="S478" t="s">
        <v>4750</v>
      </c>
      <c r="T478" t="str">
        <f t="shared" si="160"/>
        <v>鏡翼のドラゴン</v>
      </c>
      <c r="U478" t="str">
        <f t="shared" si="161"/>
        <v/>
      </c>
      <c r="V478" t="str">
        <f>IF(I478=0,VLOOKUP(T478,Sheet4!A:B,2,TRUE),"")</f>
        <v/>
      </c>
      <c r="W478" t="s">
        <v>4751</v>
      </c>
      <c r="X478" t="s">
        <v>3175</v>
      </c>
      <c r="Z478" s="3">
        <v>804</v>
      </c>
      <c r="AA478" s="2" t="s">
        <v>3773</v>
      </c>
      <c r="AB478" s="1" t="s">
        <v>1552</v>
      </c>
      <c r="AC478" s="1" t="s">
        <v>1431</v>
      </c>
      <c r="AD478" s="1">
        <v>20</v>
      </c>
      <c r="AE478" s="1" t="s">
        <v>914</v>
      </c>
      <c r="AF478" s="1" t="s">
        <v>913</v>
      </c>
      <c r="AG478" s="1" t="s">
        <v>339</v>
      </c>
      <c r="AH478" s="1" t="s">
        <v>1555</v>
      </c>
      <c r="AI478" s="1"/>
      <c r="AJ478" s="1"/>
      <c r="AK478" s="1" t="s">
        <v>351</v>
      </c>
      <c r="AL478" s="1" t="s">
        <v>3880</v>
      </c>
      <c r="AM478" s="1"/>
      <c r="AN478" s="1"/>
      <c r="AO478" s="1">
        <v>7</v>
      </c>
      <c r="AP478" s="1">
        <v>8</v>
      </c>
      <c r="AQ478" s="1" t="s">
        <v>3881</v>
      </c>
    </row>
    <row r="479" spans="1:43" x14ac:dyDescent="0.15">
      <c r="A479" t="str">
        <f t="shared" si="152"/>
        <v>|KLD|緑|19|7/8|神話レア|《[[獣性を築く者]]》|</v>
      </c>
      <c r="B479" t="s">
        <v>3168</v>
      </c>
      <c r="C479" t="str">
        <f t="shared" si="154"/>
        <v>KLD</v>
      </c>
      <c r="D479">
        <f>IF(AA479="","",VLOOKUP(C479,tnpl!$Z$1:$AA$11,2,TRUE))</f>
        <v>6</v>
      </c>
      <c r="E479" t="s">
        <v>3168</v>
      </c>
      <c r="F479" t="str">
        <f t="shared" si="155"/>
        <v>緑</v>
      </c>
      <c r="G479">
        <f>IF(AB479="","",VLOOKUP(F479,tnpl!$X$1:$Y$16,2,TRUE))</f>
        <v>5</v>
      </c>
      <c r="H479" t="s">
        <v>3168</v>
      </c>
      <c r="I479">
        <f t="shared" si="156"/>
        <v>19</v>
      </c>
      <c r="J479" t="s">
        <v>3168</v>
      </c>
      <c r="K479">
        <f t="shared" si="157"/>
        <v>7</v>
      </c>
      <c r="L479">
        <f t="shared" si="158"/>
        <v>8</v>
      </c>
      <c r="M479" t="str">
        <f t="shared" si="153"/>
        <v>7/8</v>
      </c>
      <c r="N479" t="s">
        <v>3175</v>
      </c>
      <c r="O479" t="str">
        <f t="shared" si="159"/>
        <v>神話レア</v>
      </c>
      <c r="R479" t="s">
        <v>3175</v>
      </c>
      <c r="S479" t="s">
        <v>4750</v>
      </c>
      <c r="T479" t="str">
        <f t="shared" si="160"/>
        <v>獣性を築く者</v>
      </c>
      <c r="U479" t="str">
        <f t="shared" si="161"/>
        <v/>
      </c>
      <c r="V479" t="str">
        <f>IF(I479=0,VLOOKUP(T479,Sheet4!A:B,2,TRUE),"")</f>
        <v/>
      </c>
      <c r="W479" t="s">
        <v>4751</v>
      </c>
      <c r="X479" t="s">
        <v>3175</v>
      </c>
      <c r="Z479" s="3">
        <v>968</v>
      </c>
      <c r="AA479" s="2" t="s">
        <v>3937</v>
      </c>
      <c r="AB479" s="1" t="s">
        <v>1518</v>
      </c>
      <c r="AC479" s="1" t="s">
        <v>1431</v>
      </c>
      <c r="AD479" s="1">
        <v>19</v>
      </c>
      <c r="AE479" s="1" t="s">
        <v>576</v>
      </c>
      <c r="AF479" s="1" t="s">
        <v>575</v>
      </c>
      <c r="AG479" s="1" t="s">
        <v>339</v>
      </c>
      <c r="AH479" s="1" t="s">
        <v>1479</v>
      </c>
      <c r="AI479" s="1" t="s">
        <v>1641</v>
      </c>
      <c r="AJ479" s="1" t="s">
        <v>1529</v>
      </c>
      <c r="AK479" s="1" t="s">
        <v>4145</v>
      </c>
      <c r="AL479" s="1" t="s">
        <v>4146</v>
      </c>
      <c r="AM479" s="1"/>
      <c r="AN479" s="1"/>
      <c r="AO479" s="1">
        <v>7</v>
      </c>
      <c r="AP479" s="1">
        <v>8</v>
      </c>
      <c r="AQ479" s="1" t="s">
        <v>4147</v>
      </c>
    </row>
    <row r="480" spans="1:43" x14ac:dyDescent="0.15">
      <c r="A480" t="str">
        <f t="shared" si="152"/>
        <v>|AKH|白|16|7/8|神話レア|《[[賞罰の天使]]》|</v>
      </c>
      <c r="B480" t="s">
        <v>3168</v>
      </c>
      <c r="C480" t="str">
        <f t="shared" si="154"/>
        <v>AKH</v>
      </c>
      <c r="D480">
        <f>IF(AA480="","",VLOOKUP(C480,tnpl!$Z$1:$AA$11,2,TRUE))</f>
        <v>10</v>
      </c>
      <c r="E480" t="s">
        <v>3168</v>
      </c>
      <c r="F480" t="str">
        <f t="shared" si="155"/>
        <v>白</v>
      </c>
      <c r="G480">
        <f>IF(AB480="","",VLOOKUP(F480,tnpl!$X$1:$Y$16,2,TRUE))</f>
        <v>1</v>
      </c>
      <c r="H480" t="s">
        <v>3168</v>
      </c>
      <c r="I480">
        <f t="shared" si="156"/>
        <v>16</v>
      </c>
      <c r="J480" t="s">
        <v>3168</v>
      </c>
      <c r="K480">
        <f t="shared" si="157"/>
        <v>7</v>
      </c>
      <c r="L480">
        <f t="shared" si="158"/>
        <v>8</v>
      </c>
      <c r="M480" t="str">
        <f t="shared" si="153"/>
        <v>7/8</v>
      </c>
      <c r="N480" t="s">
        <v>3175</v>
      </c>
      <c r="O480" t="str">
        <f t="shared" si="159"/>
        <v>神話レア</v>
      </c>
      <c r="R480" t="s">
        <v>3175</v>
      </c>
      <c r="S480" t="s">
        <v>4750</v>
      </c>
      <c r="T480" t="str">
        <f t="shared" si="160"/>
        <v>賞罰の天使</v>
      </c>
      <c r="U480" t="str">
        <f t="shared" si="161"/>
        <v/>
      </c>
      <c r="V480" t="str">
        <f>IF(I480=0,VLOOKUP(T480,Sheet4!A:B,2,TRUE),"")</f>
        <v/>
      </c>
      <c r="W480" t="s">
        <v>4751</v>
      </c>
      <c r="X480" t="s">
        <v>3175</v>
      </c>
      <c r="Z480" s="3">
        <v>1125</v>
      </c>
      <c r="AA480" s="2" t="s">
        <v>4349</v>
      </c>
      <c r="AB480" s="1" t="s">
        <v>1627</v>
      </c>
      <c r="AC480" s="1" t="s">
        <v>1431</v>
      </c>
      <c r="AD480" s="1">
        <v>16</v>
      </c>
      <c r="AE480" s="1" t="s">
        <v>244</v>
      </c>
      <c r="AF480" s="1" t="s">
        <v>243</v>
      </c>
      <c r="AG480" s="1" t="s">
        <v>339</v>
      </c>
      <c r="AH480" s="1" t="s">
        <v>348</v>
      </c>
      <c r="AI480" s="1"/>
      <c r="AJ480" s="1"/>
      <c r="AK480" s="1" t="s">
        <v>351</v>
      </c>
      <c r="AL480" s="1" t="s">
        <v>4396</v>
      </c>
      <c r="AM480" s="1"/>
      <c r="AN480" s="1"/>
      <c r="AO480" s="1">
        <v>7</v>
      </c>
      <c r="AP480" s="1">
        <v>8</v>
      </c>
      <c r="AQ480" s="1" t="s">
        <v>4397</v>
      </c>
    </row>
    <row r="481" spans="1:43" x14ac:dyDescent="0.15">
      <c r="A481" t="str">
        <f t="shared" si="152"/>
        <v>|AKH|赤緑|24|7/8|神話レア|《[[造反の代弁者、サムト]]》|</v>
      </c>
      <c r="B481" t="s">
        <v>3168</v>
      </c>
      <c r="C481" t="str">
        <f t="shared" si="154"/>
        <v>AKH</v>
      </c>
      <c r="D481">
        <f>IF(AA481="","",VLOOKUP(C481,tnpl!$Z$1:$AA$11,2,TRUE))</f>
        <v>10</v>
      </c>
      <c r="E481" t="s">
        <v>3168</v>
      </c>
      <c r="F481" t="str">
        <f t="shared" si="155"/>
        <v>赤緑</v>
      </c>
      <c r="G481">
        <f>IF(AB481="","",VLOOKUP(F481,tnpl!$X$1:$Y$16,2,TRUE))</f>
        <v>9</v>
      </c>
      <c r="H481" t="s">
        <v>3168</v>
      </c>
      <c r="I481">
        <f t="shared" si="156"/>
        <v>24</v>
      </c>
      <c r="J481" t="s">
        <v>3168</v>
      </c>
      <c r="K481">
        <f t="shared" si="157"/>
        <v>7</v>
      </c>
      <c r="L481">
        <f t="shared" si="158"/>
        <v>8</v>
      </c>
      <c r="M481" t="str">
        <f t="shared" si="153"/>
        <v>7/8</v>
      </c>
      <c r="N481" t="s">
        <v>3175</v>
      </c>
      <c r="O481" t="str">
        <f t="shared" si="159"/>
        <v>神話レア</v>
      </c>
      <c r="R481" t="s">
        <v>3175</v>
      </c>
      <c r="S481" t="s">
        <v>4750</v>
      </c>
      <c r="T481" t="str">
        <f t="shared" si="160"/>
        <v>造反の代弁者、サムト</v>
      </c>
      <c r="U481" t="str">
        <f t="shared" si="161"/>
        <v/>
      </c>
      <c r="V481" t="str">
        <f>IF(I481=0,VLOOKUP(T481,Sheet4!A:B,2,TRUE),"")</f>
        <v/>
      </c>
      <c r="W481" t="s">
        <v>4751</v>
      </c>
      <c r="X481" t="s">
        <v>3175</v>
      </c>
      <c r="Z481" s="3">
        <v>1290</v>
      </c>
      <c r="AA481" s="2" t="s">
        <v>4349</v>
      </c>
      <c r="AB481" s="1" t="s">
        <v>1482</v>
      </c>
      <c r="AC481" s="1" t="s">
        <v>1431</v>
      </c>
      <c r="AD481" s="1">
        <v>24</v>
      </c>
      <c r="AE481" s="1" t="s">
        <v>4742</v>
      </c>
      <c r="AF481" s="1" t="s">
        <v>4743</v>
      </c>
      <c r="AG481" s="1" t="s">
        <v>339</v>
      </c>
      <c r="AH481" s="1" t="s">
        <v>1489</v>
      </c>
      <c r="AI481" s="1" t="s">
        <v>1493</v>
      </c>
      <c r="AJ481" s="1"/>
      <c r="AK481" s="1" t="s">
        <v>4242</v>
      </c>
      <c r="AL481" s="1" t="s">
        <v>4744</v>
      </c>
      <c r="AM481" s="1" t="s">
        <v>4745</v>
      </c>
      <c r="AN481" s="1"/>
      <c r="AO481" s="1">
        <v>7</v>
      </c>
      <c r="AP481" s="1">
        <v>8</v>
      </c>
      <c r="AQ481" s="1" t="s">
        <v>4746</v>
      </c>
    </row>
    <row r="482" spans="1:43" x14ac:dyDescent="0.15">
      <c r="A482" t="str">
        <f t="shared" si="152"/>
        <v>|ORI|白|18|7/9|神話レア|《[[徴税の大天使]]》|</v>
      </c>
      <c r="B482" t="s">
        <v>3168</v>
      </c>
      <c r="C482" t="str">
        <f t="shared" si="154"/>
        <v>ORI</v>
      </c>
      <c r="D482">
        <f>IF(AA482="","",VLOOKUP(C482,tnpl!$Z$1:$AA$11,2,TRUE))</f>
        <v>1</v>
      </c>
      <c r="E482" t="s">
        <v>3168</v>
      </c>
      <c r="F482" t="str">
        <f t="shared" si="155"/>
        <v>白</v>
      </c>
      <c r="G482">
        <f>IF(AB482="","",VLOOKUP(F482,tnpl!$X$1:$Y$16,2,TRUE))</f>
        <v>1</v>
      </c>
      <c r="H482" t="s">
        <v>3168</v>
      </c>
      <c r="I482">
        <f t="shared" si="156"/>
        <v>18</v>
      </c>
      <c r="J482" t="s">
        <v>3168</v>
      </c>
      <c r="K482">
        <f t="shared" si="157"/>
        <v>7</v>
      </c>
      <c r="L482">
        <f t="shared" si="158"/>
        <v>9</v>
      </c>
      <c r="M482" t="str">
        <f t="shared" si="153"/>
        <v>7/9</v>
      </c>
      <c r="N482" t="s">
        <v>3175</v>
      </c>
      <c r="O482" t="str">
        <f t="shared" si="159"/>
        <v>神話レア</v>
      </c>
      <c r="R482" t="s">
        <v>3175</v>
      </c>
      <c r="S482" t="s">
        <v>4750</v>
      </c>
      <c r="T482" t="str">
        <f t="shared" si="160"/>
        <v>徴税の大天使</v>
      </c>
      <c r="U482" t="str">
        <f t="shared" si="161"/>
        <v/>
      </c>
      <c r="V482" t="str">
        <f>IF(I482=0,VLOOKUP(T482,Sheet4!A:B,2,TRUE),"")</f>
        <v/>
      </c>
      <c r="W482" t="s">
        <v>4751</v>
      </c>
      <c r="X482" t="s">
        <v>3175</v>
      </c>
      <c r="Z482" s="3">
        <v>38</v>
      </c>
      <c r="AA482" s="2" t="s">
        <v>3176</v>
      </c>
      <c r="AB482" s="1" t="s">
        <v>1627</v>
      </c>
      <c r="AC482" s="1" t="s">
        <v>1431</v>
      </c>
      <c r="AD482" s="1">
        <v>18</v>
      </c>
      <c r="AE482" s="1" t="s">
        <v>3012</v>
      </c>
      <c r="AF482" s="1" t="s">
        <v>3011</v>
      </c>
      <c r="AG482" s="1" t="s">
        <v>339</v>
      </c>
      <c r="AH482" s="1" t="s">
        <v>348</v>
      </c>
      <c r="AI482" s="1"/>
      <c r="AJ482" s="1"/>
      <c r="AK482" s="1" t="s">
        <v>351</v>
      </c>
      <c r="AL482" s="1" t="s">
        <v>3010</v>
      </c>
      <c r="AM482" s="1"/>
      <c r="AN482" s="1"/>
      <c r="AO482" s="1">
        <v>7</v>
      </c>
      <c r="AP482" s="1">
        <v>9</v>
      </c>
      <c r="AQ482" s="1" t="s">
        <v>3197</v>
      </c>
    </row>
    <row r="483" spans="1:43" x14ac:dyDescent="0.15">
      <c r="A483" t="str">
        <f t="shared" si="152"/>
        <v>|BFZ|青黒|18|7/9|神話レア|《[[淀みの種父]]》|</v>
      </c>
      <c r="B483" t="s">
        <v>3168</v>
      </c>
      <c r="C483" t="str">
        <f t="shared" si="154"/>
        <v>BFZ</v>
      </c>
      <c r="D483">
        <f>IF(AA483="","",VLOOKUP(C483,tnpl!$Z$1:$AA$11,2,TRUE))</f>
        <v>2</v>
      </c>
      <c r="E483" t="s">
        <v>3168</v>
      </c>
      <c r="F483" t="str">
        <f t="shared" si="155"/>
        <v>青黒</v>
      </c>
      <c r="G483">
        <f>IF(AB483="","",VLOOKUP(F483,tnpl!$X$1:$Y$16,2,TRUE))</f>
        <v>7</v>
      </c>
      <c r="H483" t="s">
        <v>3168</v>
      </c>
      <c r="I483">
        <f t="shared" si="156"/>
        <v>18</v>
      </c>
      <c r="J483" t="s">
        <v>3168</v>
      </c>
      <c r="K483">
        <f t="shared" si="157"/>
        <v>7</v>
      </c>
      <c r="L483">
        <f t="shared" si="158"/>
        <v>9</v>
      </c>
      <c r="M483" t="str">
        <f t="shared" si="153"/>
        <v>7/9</v>
      </c>
      <c r="N483" t="s">
        <v>3175</v>
      </c>
      <c r="O483" t="str">
        <f t="shared" si="159"/>
        <v>神話レア</v>
      </c>
      <c r="R483" t="s">
        <v>3175</v>
      </c>
      <c r="S483" t="s">
        <v>4750</v>
      </c>
      <c r="T483" t="str">
        <f t="shared" si="160"/>
        <v>淀みの種父</v>
      </c>
      <c r="U483" t="str">
        <f t="shared" si="161"/>
        <v/>
      </c>
      <c r="V483" t="str">
        <f>IF(I483=0,VLOOKUP(T483,Sheet4!A:B,2,TRUE),"")</f>
        <v/>
      </c>
      <c r="W483" t="s">
        <v>4751</v>
      </c>
      <c r="X483" t="s">
        <v>3175</v>
      </c>
      <c r="Z483" s="3">
        <v>444</v>
      </c>
      <c r="AA483" s="2" t="s">
        <v>3170</v>
      </c>
      <c r="AB483" s="1" t="s">
        <v>1508</v>
      </c>
      <c r="AC483" s="1" t="s">
        <v>1431</v>
      </c>
      <c r="AD483" s="1">
        <v>18</v>
      </c>
      <c r="AE483" s="1" t="s">
        <v>1780</v>
      </c>
      <c r="AF483" s="1" t="s">
        <v>1779</v>
      </c>
      <c r="AG483" s="1" t="s">
        <v>339</v>
      </c>
      <c r="AH483" s="1" t="s">
        <v>1435</v>
      </c>
      <c r="AI483" s="1"/>
      <c r="AJ483" s="1"/>
      <c r="AK483" s="1" t="s">
        <v>1778</v>
      </c>
      <c r="AL483" s="1"/>
      <c r="AM483" s="1"/>
      <c r="AN483" s="1"/>
      <c r="AO483" s="1">
        <v>7</v>
      </c>
      <c r="AP483" s="1">
        <v>9</v>
      </c>
      <c r="AQ483" s="1" t="s">
        <v>1778</v>
      </c>
    </row>
    <row r="484" spans="1:43" x14ac:dyDescent="0.15">
      <c r="A484" t="str">
        <f t="shared" si="152"/>
        <v>|EMN|緑|21|7/9|神話レア|《[[墓後家蜘蛛、イシュカナ]]》|</v>
      </c>
      <c r="B484" t="s">
        <v>3168</v>
      </c>
      <c r="C484" t="str">
        <f t="shared" si="154"/>
        <v>EMN</v>
      </c>
      <c r="D484">
        <f>IF(AA484="","",VLOOKUP(C484,tnpl!$Z$1:$AA$11,2,TRUE))</f>
        <v>5</v>
      </c>
      <c r="E484" t="s">
        <v>3168</v>
      </c>
      <c r="F484" t="str">
        <f t="shared" si="155"/>
        <v>緑</v>
      </c>
      <c r="G484">
        <f>IF(AB484="","",VLOOKUP(F484,tnpl!$X$1:$Y$16,2,TRUE))</f>
        <v>5</v>
      </c>
      <c r="H484" t="s">
        <v>3168</v>
      </c>
      <c r="I484">
        <f t="shared" si="156"/>
        <v>21</v>
      </c>
      <c r="J484" t="s">
        <v>3168</v>
      </c>
      <c r="K484">
        <f t="shared" si="157"/>
        <v>7</v>
      </c>
      <c r="L484">
        <f t="shared" si="158"/>
        <v>9</v>
      </c>
      <c r="M484" t="str">
        <f t="shared" si="153"/>
        <v>7/9</v>
      </c>
      <c r="N484" t="s">
        <v>3175</v>
      </c>
      <c r="O484" t="str">
        <f t="shared" si="159"/>
        <v>神話レア</v>
      </c>
      <c r="R484" t="s">
        <v>3175</v>
      </c>
      <c r="S484" t="s">
        <v>4750</v>
      </c>
      <c r="T484" t="str">
        <f t="shared" si="160"/>
        <v>墓後家蜘蛛、イシュカナ</v>
      </c>
      <c r="U484" t="str">
        <f t="shared" si="161"/>
        <v/>
      </c>
      <c r="V484" t="str">
        <f>IF(I484=0,VLOOKUP(T484,Sheet4!A:B,2,TRUE),"")</f>
        <v/>
      </c>
      <c r="W484" t="s">
        <v>4751</v>
      </c>
      <c r="X484" t="s">
        <v>3175</v>
      </c>
      <c r="Z484" s="3">
        <v>817</v>
      </c>
      <c r="AA484" s="2" t="s">
        <v>3773</v>
      </c>
      <c r="AB484" s="1" t="s">
        <v>1518</v>
      </c>
      <c r="AC484" s="1" t="s">
        <v>1431</v>
      </c>
      <c r="AD484" s="1">
        <v>21</v>
      </c>
      <c r="AE484" s="1" t="s">
        <v>894</v>
      </c>
      <c r="AF484" s="1" t="s">
        <v>893</v>
      </c>
      <c r="AG484" s="1" t="s">
        <v>339</v>
      </c>
      <c r="AH484" s="1" t="s">
        <v>2564</v>
      </c>
      <c r="AI484" s="1"/>
      <c r="AJ484" s="1"/>
      <c r="AK484" s="1" t="s">
        <v>1944</v>
      </c>
      <c r="AL484" s="1" t="s">
        <v>3896</v>
      </c>
      <c r="AM484" s="1" t="s">
        <v>3897</v>
      </c>
      <c r="AN484" s="1"/>
      <c r="AO484" s="1">
        <v>7</v>
      </c>
      <c r="AP484" s="1">
        <v>9</v>
      </c>
      <c r="AQ484" s="1" t="s">
        <v>3898</v>
      </c>
    </row>
    <row r="485" spans="1:43" x14ac:dyDescent="0.15">
      <c r="A485" t="str">
        <f t="shared" si="152"/>
        <v>|KLDM|無色|23|7/10|Masterpiece|《[[隔離するタイタン]]》|</v>
      </c>
      <c r="B485" t="s">
        <v>3168</v>
      </c>
      <c r="C485" t="str">
        <f t="shared" si="154"/>
        <v>KLDM</v>
      </c>
      <c r="D485">
        <f>IF(AA485="","",VLOOKUP(C485,tnpl!$Z$1:$AA$11,2,TRUE))</f>
        <v>9</v>
      </c>
      <c r="E485" t="s">
        <v>3168</v>
      </c>
      <c r="F485" t="str">
        <f t="shared" si="155"/>
        <v>無色</v>
      </c>
      <c r="G485">
        <f>IF(AB485="","",VLOOKUP(F485,tnpl!$X$1:$Y$16,2,TRUE))</f>
        <v>16</v>
      </c>
      <c r="H485" t="s">
        <v>3168</v>
      </c>
      <c r="I485">
        <f t="shared" si="156"/>
        <v>23</v>
      </c>
      <c r="J485" t="s">
        <v>3168</v>
      </c>
      <c r="K485">
        <f t="shared" si="157"/>
        <v>7</v>
      </c>
      <c r="L485">
        <f t="shared" si="158"/>
        <v>10</v>
      </c>
      <c r="M485" t="str">
        <f t="shared" si="153"/>
        <v>7/10</v>
      </c>
      <c r="N485" t="s">
        <v>3175</v>
      </c>
      <c r="O485" t="str">
        <f t="shared" si="159"/>
        <v>Masterpiece</v>
      </c>
      <c r="R485" t="s">
        <v>3175</v>
      </c>
      <c r="S485" t="s">
        <v>4750</v>
      </c>
      <c r="T485" t="str">
        <f t="shared" si="160"/>
        <v>隔離するタイタン</v>
      </c>
      <c r="U485" t="str">
        <f t="shared" si="161"/>
        <v/>
      </c>
      <c r="V485" t="str">
        <f>IF(I485=0,VLOOKUP(T485,Sheet4!A:B,2,TRUE),"")</f>
        <v/>
      </c>
      <c r="W485" t="s">
        <v>4751</v>
      </c>
      <c r="X485" t="s">
        <v>3175</v>
      </c>
      <c r="Z485" s="3">
        <v>1085</v>
      </c>
      <c r="AA485" s="2" t="s">
        <v>4343</v>
      </c>
      <c r="AB485" s="1" t="s">
        <v>292</v>
      </c>
      <c r="AC485" s="1" t="s">
        <v>3161</v>
      </c>
      <c r="AD485" s="1">
        <v>23</v>
      </c>
      <c r="AE485" s="1" t="s">
        <v>345</v>
      </c>
      <c r="AF485" s="1" t="s">
        <v>344</v>
      </c>
      <c r="AG485" s="1" t="s">
        <v>339</v>
      </c>
      <c r="AH485" s="1" t="s">
        <v>343</v>
      </c>
      <c r="AI485" s="1"/>
      <c r="AJ485" s="1"/>
      <c r="AK485" s="1" t="s">
        <v>342</v>
      </c>
      <c r="AL485" s="1"/>
      <c r="AM485" s="1"/>
      <c r="AN485" s="1"/>
      <c r="AO485" s="1">
        <v>7</v>
      </c>
      <c r="AP485" s="1">
        <v>10</v>
      </c>
      <c r="AQ485" s="1" t="s">
        <v>342</v>
      </c>
    </row>
    <row r="488" spans="1:43" x14ac:dyDescent="0.15">
      <c r="A488" t="str">
        <f>B488&amp;C488&amp;E488&amp;F488&amp;H488&amp;I488&amp;J488&amp;M488&amp;N488&amp;O488&amp;P488&amp;Q488&amp;R488&amp;S488&amp;T488&amp;V488&amp;W488&amp;X488&amp;Y488</f>
        <v>*パワー8タフネス8以外クリーチャー</v>
      </c>
      <c r="B488" t="s">
        <v>3173</v>
      </c>
      <c r="C488" t="str">
        <f>"パワー"&amp;AO492</f>
        <v>パワー8</v>
      </c>
      <c r="E488" t="str">
        <f>"タフネス"&amp;AO492&amp;"以外"</f>
        <v>タフネス8以外</v>
      </c>
      <c r="F488" t="s">
        <v>4814</v>
      </c>
      <c r="G488" t="s">
        <v>3172</v>
      </c>
    </row>
    <row r="489" spans="1:43" x14ac:dyDescent="0.15">
      <c r="A489" t="s">
        <v>4815</v>
      </c>
    </row>
    <row r="490" spans="1:43" x14ac:dyDescent="0.15">
      <c r="A490" t="str">
        <f t="shared" ref="A490:A499" si="162">B490&amp;C490&amp;E490&amp;F490&amp;H490&amp;I490&amp;J490&amp;M490&amp;N490&amp;O490&amp;P490&amp;Q490&amp;R490&amp;S490&amp;T490&amp;U490&amp;V490&amp;W490&amp;X490&amp;Y490</f>
        <v>|LEFT:50|LEFT:50|LEFT:50|LEFT:120|LEFT:120|LEFT:500|c</v>
      </c>
      <c r="B490" t="s">
        <v>3168</v>
      </c>
      <c r="C490" t="s">
        <v>3162</v>
      </c>
      <c r="E490" t="s">
        <v>3168</v>
      </c>
      <c r="F490" t="s">
        <v>3162</v>
      </c>
      <c r="H490" t="s">
        <v>3168</v>
      </c>
      <c r="I490" t="s">
        <v>3162</v>
      </c>
      <c r="J490" t="s">
        <v>3168</v>
      </c>
      <c r="M490" t="s">
        <v>4808</v>
      </c>
      <c r="N490" t="s">
        <v>3175</v>
      </c>
      <c r="O490" t="s">
        <v>4808</v>
      </c>
      <c r="R490" t="s">
        <v>3175</v>
      </c>
      <c r="T490" t="s">
        <v>3163</v>
      </c>
      <c r="X490" t="s">
        <v>3175</v>
      </c>
      <c r="Y490" t="s">
        <v>3164</v>
      </c>
    </row>
    <row r="491" spans="1:43" x14ac:dyDescent="0.15">
      <c r="A491" t="str">
        <f t="shared" si="162"/>
        <v>|セット|色|コスト|P/T|レアリティ|カード名|</v>
      </c>
      <c r="B491" t="s">
        <v>3168</v>
      </c>
      <c r="C491" t="s">
        <v>3169</v>
      </c>
      <c r="E491" t="s">
        <v>3168</v>
      </c>
      <c r="F491" t="s">
        <v>3139</v>
      </c>
      <c r="H491" t="s">
        <v>3168</v>
      </c>
      <c r="I491" t="s">
        <v>3165</v>
      </c>
      <c r="J491" t="s">
        <v>3168</v>
      </c>
      <c r="K491" t="s">
        <v>3126</v>
      </c>
      <c r="L491" t="s">
        <v>3125</v>
      </c>
      <c r="M491" t="str">
        <f t="shared" ref="M491:M499" si="163">K491&amp;"/"&amp;L491</f>
        <v>P/T</v>
      </c>
      <c r="N491" t="s">
        <v>3175</v>
      </c>
      <c r="O491" t="s">
        <v>4809</v>
      </c>
      <c r="R491" t="s">
        <v>3175</v>
      </c>
      <c r="T491" t="s">
        <v>3166</v>
      </c>
      <c r="V491" t="str">
        <f>IF(I491=0,VLOOKUP(TAG!T491,Sheet4!A:B,2,TRUE),"")</f>
        <v/>
      </c>
      <c r="X491" t="s">
        <v>3175</v>
      </c>
      <c r="Z491" s="12"/>
      <c r="AA491" s="12"/>
      <c r="AB491" s="12"/>
      <c r="AC491" s="12"/>
      <c r="AD491" s="12"/>
      <c r="AE491" s="12"/>
      <c r="AF491" s="12"/>
      <c r="AG491" s="12"/>
      <c r="AH491" s="12"/>
      <c r="AI491" s="12"/>
      <c r="AJ491" s="12"/>
      <c r="AK491" s="12"/>
      <c r="AL491" s="12"/>
      <c r="AM491" s="12"/>
      <c r="AN491" s="12"/>
      <c r="AO491" s="12"/>
      <c r="AP491" s="12"/>
      <c r="AQ491" s="12"/>
    </row>
    <row r="492" spans="1:43" x14ac:dyDescent="0.15">
      <c r="A492" t="str">
        <f t="shared" si="162"/>
        <v>|ORI|緑|16|8/7|神話レア|《[[森林の怒声吠え]]》|</v>
      </c>
      <c r="B492" t="s">
        <v>3168</v>
      </c>
      <c r="C492" t="str">
        <f t="shared" ref="C492:C499" si="164">AA492</f>
        <v>ORI</v>
      </c>
      <c r="D492">
        <f>IF(AA492="","",VLOOKUP(C492,tnpl!$Z$1:$AA$11,2,TRUE))</f>
        <v>1</v>
      </c>
      <c r="E492" t="s">
        <v>3168</v>
      </c>
      <c r="F492" t="str">
        <f t="shared" ref="F492:F499" si="165">AB492</f>
        <v>緑</v>
      </c>
      <c r="G492">
        <f>IF(AB492="","",VLOOKUP(F492,tnpl!$X$1:$Y$16,2,TRUE))</f>
        <v>5</v>
      </c>
      <c r="H492" t="s">
        <v>3168</v>
      </c>
      <c r="I492">
        <f t="shared" ref="I492:I499" si="166">AD492</f>
        <v>16</v>
      </c>
      <c r="J492" t="s">
        <v>3168</v>
      </c>
      <c r="K492">
        <f t="shared" ref="K492:L499" si="167">AO492</f>
        <v>8</v>
      </c>
      <c r="L492">
        <f t="shared" si="167"/>
        <v>7</v>
      </c>
      <c r="M492" t="str">
        <f t="shared" si="163"/>
        <v>8/7</v>
      </c>
      <c r="N492" t="s">
        <v>3175</v>
      </c>
      <c r="O492" t="str">
        <f t="shared" ref="O492:O499" si="168">AC492</f>
        <v>神話レア</v>
      </c>
      <c r="R492" t="s">
        <v>3175</v>
      </c>
      <c r="S492" t="s">
        <v>4750</v>
      </c>
      <c r="T492" t="str">
        <f t="shared" ref="T492:T499" si="169">AE492</f>
        <v>森林の怒声吠え</v>
      </c>
      <c r="U492" t="str">
        <f t="shared" ref="U492:U499" si="170">IF(I492=0,"&gt;","")</f>
        <v/>
      </c>
      <c r="V492" t="str">
        <f>IF(I492=0,VLOOKUP(T492,Sheet4!A:B,2,TRUE),"")</f>
        <v/>
      </c>
      <c r="W492" t="s">
        <v>4751</v>
      </c>
      <c r="X492" t="s">
        <v>3175</v>
      </c>
      <c r="Z492" s="3">
        <v>200</v>
      </c>
      <c r="AA492" s="2" t="s">
        <v>3176</v>
      </c>
      <c r="AB492" s="1" t="s">
        <v>1518</v>
      </c>
      <c r="AC492" s="1" t="s">
        <v>1431</v>
      </c>
      <c r="AD492" s="1">
        <v>16</v>
      </c>
      <c r="AE492" s="1" t="s">
        <v>2552</v>
      </c>
      <c r="AF492" s="1" t="s">
        <v>2551</v>
      </c>
      <c r="AG492" s="1" t="s">
        <v>339</v>
      </c>
      <c r="AH492" s="1" t="s">
        <v>357</v>
      </c>
      <c r="AI492" s="1"/>
      <c r="AJ492" s="1"/>
      <c r="AK492" s="1" t="s">
        <v>2550</v>
      </c>
      <c r="AL492" s="1"/>
      <c r="AM492" s="1"/>
      <c r="AN492" s="1"/>
      <c r="AO492" s="1">
        <v>8</v>
      </c>
      <c r="AP492" s="1">
        <v>7</v>
      </c>
      <c r="AQ492" s="1" t="s">
        <v>2550</v>
      </c>
    </row>
    <row r="493" spans="1:43" x14ac:dyDescent="0.15">
      <c r="A493" t="str">
        <f t="shared" si="162"/>
        <v>|BFZ|白|18|8/7|神話レア|《[[ゴーマ・ファーダの英雄]]》|</v>
      </c>
      <c r="B493" t="s">
        <v>3168</v>
      </c>
      <c r="C493" t="str">
        <f t="shared" si="164"/>
        <v>BFZ</v>
      </c>
      <c r="D493">
        <f>IF(AA493="","",VLOOKUP(C493,tnpl!$Z$1:$AA$11,2,TRUE))</f>
        <v>2</v>
      </c>
      <c r="E493" t="s">
        <v>3168</v>
      </c>
      <c r="F493" t="str">
        <f t="shared" si="165"/>
        <v>白</v>
      </c>
      <c r="G493">
        <f>IF(AB493="","",VLOOKUP(F493,tnpl!$X$1:$Y$16,2,TRUE))</f>
        <v>1</v>
      </c>
      <c r="H493" t="s">
        <v>3168</v>
      </c>
      <c r="I493">
        <f t="shared" si="166"/>
        <v>18</v>
      </c>
      <c r="J493" t="s">
        <v>3168</v>
      </c>
      <c r="K493">
        <f t="shared" si="167"/>
        <v>8</v>
      </c>
      <c r="L493">
        <f t="shared" si="167"/>
        <v>7</v>
      </c>
      <c r="M493" t="str">
        <f t="shared" si="163"/>
        <v>8/7</v>
      </c>
      <c r="N493" t="s">
        <v>3175</v>
      </c>
      <c r="O493" t="str">
        <f t="shared" si="168"/>
        <v>神話レア</v>
      </c>
      <c r="R493" t="s">
        <v>3175</v>
      </c>
      <c r="S493" t="s">
        <v>4750</v>
      </c>
      <c r="T493" t="str">
        <f t="shared" si="169"/>
        <v>ゴーマ・ファーダの英雄</v>
      </c>
      <c r="U493" t="str">
        <f t="shared" si="170"/>
        <v/>
      </c>
      <c r="V493" t="str">
        <f>IF(I493=0,VLOOKUP(T493,Sheet4!A:B,2,TRUE),"")</f>
        <v/>
      </c>
      <c r="W493" t="s">
        <v>4751</v>
      </c>
      <c r="X493" t="s">
        <v>3175</v>
      </c>
      <c r="Z493" s="3">
        <v>278</v>
      </c>
      <c r="AA493" s="2" t="s">
        <v>3170</v>
      </c>
      <c r="AB493" s="1" t="s">
        <v>1627</v>
      </c>
      <c r="AC493" s="1" t="s">
        <v>1431</v>
      </c>
      <c r="AD493" s="1">
        <v>18</v>
      </c>
      <c r="AE493" s="1" t="s">
        <v>2320</v>
      </c>
      <c r="AF493" s="1" t="s">
        <v>2319</v>
      </c>
      <c r="AG493" s="1" t="s">
        <v>339</v>
      </c>
      <c r="AH493" s="1" t="s">
        <v>1489</v>
      </c>
      <c r="AI493" s="1" t="s">
        <v>1533</v>
      </c>
      <c r="AJ493" s="1" t="s">
        <v>1478</v>
      </c>
      <c r="AK493" s="1" t="s">
        <v>2318</v>
      </c>
      <c r="AL493" s="1"/>
      <c r="AM493" s="1"/>
      <c r="AN493" s="1"/>
      <c r="AO493" s="1">
        <v>8</v>
      </c>
      <c r="AP493" s="1">
        <v>7</v>
      </c>
      <c r="AQ493" s="1" t="s">
        <v>2318</v>
      </c>
    </row>
    <row r="494" spans="1:43" x14ac:dyDescent="0.15">
      <c r="A494" t="str">
        <f t="shared" si="162"/>
        <v>|BFZ|黒|16|8/7|神話レア|《[[息詰まる忌まわしきもの]]》|</v>
      </c>
      <c r="B494" t="s">
        <v>3168</v>
      </c>
      <c r="C494" t="str">
        <f t="shared" si="164"/>
        <v>BFZ</v>
      </c>
      <c r="D494">
        <f>IF(AA494="","",VLOOKUP(C494,tnpl!$Z$1:$AA$11,2,TRUE))</f>
        <v>2</v>
      </c>
      <c r="E494" t="s">
        <v>3168</v>
      </c>
      <c r="F494" t="str">
        <f t="shared" si="165"/>
        <v>黒</v>
      </c>
      <c r="G494">
        <f>IF(AB494="","",VLOOKUP(F494,tnpl!$X$1:$Y$16,2,TRUE))</f>
        <v>3</v>
      </c>
      <c r="H494" t="s">
        <v>3168</v>
      </c>
      <c r="I494">
        <f t="shared" si="166"/>
        <v>16</v>
      </c>
      <c r="J494" t="s">
        <v>3168</v>
      </c>
      <c r="K494">
        <f t="shared" si="167"/>
        <v>8</v>
      </c>
      <c r="L494">
        <f t="shared" si="167"/>
        <v>7</v>
      </c>
      <c r="M494" t="str">
        <f t="shared" si="163"/>
        <v>8/7</v>
      </c>
      <c r="N494" t="s">
        <v>3175</v>
      </c>
      <c r="O494" t="str">
        <f t="shared" si="168"/>
        <v>神話レア</v>
      </c>
      <c r="R494" t="s">
        <v>3175</v>
      </c>
      <c r="S494" t="s">
        <v>4750</v>
      </c>
      <c r="T494" t="str">
        <f t="shared" si="169"/>
        <v>息詰まる忌まわしきもの</v>
      </c>
      <c r="U494" t="str">
        <f t="shared" si="170"/>
        <v/>
      </c>
      <c r="V494" t="str">
        <f>IF(I494=0,VLOOKUP(T494,Sheet4!A:B,2,TRUE),"")</f>
        <v/>
      </c>
      <c r="W494" t="s">
        <v>4751</v>
      </c>
      <c r="X494" t="s">
        <v>3175</v>
      </c>
      <c r="Z494" s="3">
        <v>351</v>
      </c>
      <c r="AA494" s="2" t="s">
        <v>3170</v>
      </c>
      <c r="AB494" s="1" t="s">
        <v>1582</v>
      </c>
      <c r="AC494" s="1" t="s">
        <v>1431</v>
      </c>
      <c r="AD494" s="1">
        <v>16</v>
      </c>
      <c r="AE494" s="1" t="s">
        <v>2080</v>
      </c>
      <c r="AF494" s="1" t="s">
        <v>2079</v>
      </c>
      <c r="AG494" s="1" t="s">
        <v>339</v>
      </c>
      <c r="AH494" s="1" t="s">
        <v>1435</v>
      </c>
      <c r="AI494" s="1"/>
      <c r="AJ494" s="1"/>
      <c r="AK494" s="1" t="s">
        <v>3357</v>
      </c>
      <c r="AL494" s="1" t="s">
        <v>2078</v>
      </c>
      <c r="AM494" s="1"/>
      <c r="AN494" s="1"/>
      <c r="AO494" s="1">
        <v>8</v>
      </c>
      <c r="AP494" s="1">
        <v>7</v>
      </c>
      <c r="AQ494" s="1" t="s">
        <v>3358</v>
      </c>
    </row>
    <row r="495" spans="1:43" x14ac:dyDescent="0.15">
      <c r="A495" t="str">
        <f t="shared" si="162"/>
        <v>|BFZ|黒|18|8/7|神話レア|《[[不毛の地の絞殺者]]》|</v>
      </c>
      <c r="B495" t="s">
        <v>3168</v>
      </c>
      <c r="C495" t="str">
        <f t="shared" si="164"/>
        <v>BFZ</v>
      </c>
      <c r="D495">
        <f>IF(AA495="","",VLOOKUP(C495,tnpl!$Z$1:$AA$11,2,TRUE))</f>
        <v>2</v>
      </c>
      <c r="E495" t="s">
        <v>3168</v>
      </c>
      <c r="F495" t="str">
        <f t="shared" si="165"/>
        <v>黒</v>
      </c>
      <c r="G495">
        <f>IF(AB495="","",VLOOKUP(F495,tnpl!$X$1:$Y$16,2,TRUE))</f>
        <v>3</v>
      </c>
      <c r="H495" t="s">
        <v>3168</v>
      </c>
      <c r="I495">
        <f t="shared" si="166"/>
        <v>18</v>
      </c>
      <c r="J495" t="s">
        <v>3168</v>
      </c>
      <c r="K495">
        <f t="shared" si="167"/>
        <v>8</v>
      </c>
      <c r="L495">
        <f t="shared" si="167"/>
        <v>7</v>
      </c>
      <c r="M495" t="str">
        <f t="shared" si="163"/>
        <v>8/7</v>
      </c>
      <c r="N495" t="s">
        <v>3175</v>
      </c>
      <c r="O495" t="str">
        <f t="shared" si="168"/>
        <v>神話レア</v>
      </c>
      <c r="R495" t="s">
        <v>3175</v>
      </c>
      <c r="S495" t="s">
        <v>4750</v>
      </c>
      <c r="T495" t="str">
        <f t="shared" si="169"/>
        <v>不毛の地の絞殺者</v>
      </c>
      <c r="U495" t="str">
        <f t="shared" si="170"/>
        <v/>
      </c>
      <c r="V495" t="str">
        <f>IF(I495=0,VLOOKUP(T495,Sheet4!A:B,2,TRUE),"")</f>
        <v/>
      </c>
      <c r="W495" t="s">
        <v>4751</v>
      </c>
      <c r="X495" t="s">
        <v>3175</v>
      </c>
      <c r="Z495" s="3">
        <v>352</v>
      </c>
      <c r="AA495" s="2" t="s">
        <v>3170</v>
      </c>
      <c r="AB495" s="1" t="s">
        <v>1582</v>
      </c>
      <c r="AC495" s="1" t="s">
        <v>1431</v>
      </c>
      <c r="AD495" s="1">
        <v>18</v>
      </c>
      <c r="AE495" s="1" t="s">
        <v>2077</v>
      </c>
      <c r="AF495" s="1" t="s">
        <v>2076</v>
      </c>
      <c r="AG495" s="1" t="s">
        <v>339</v>
      </c>
      <c r="AH495" s="1" t="s">
        <v>1435</v>
      </c>
      <c r="AI495" s="1" t="s">
        <v>1717</v>
      </c>
      <c r="AJ495" s="1"/>
      <c r="AK495" s="1" t="s">
        <v>3317</v>
      </c>
      <c r="AL495" s="1" t="s">
        <v>2075</v>
      </c>
      <c r="AM495" s="1"/>
      <c r="AN495" s="1"/>
      <c r="AO495" s="1">
        <v>8</v>
      </c>
      <c r="AP495" s="1">
        <v>7</v>
      </c>
      <c r="AQ495" s="1" t="s">
        <v>3359</v>
      </c>
    </row>
    <row r="496" spans="1:43" x14ac:dyDescent="0.15">
      <c r="A496" t="str">
        <f t="shared" si="162"/>
        <v>|SOI|青|18|8/7|神話レア|《[[鎖鳴らし]]》|</v>
      </c>
      <c r="B496" t="s">
        <v>3168</v>
      </c>
      <c r="C496" t="str">
        <f t="shared" si="164"/>
        <v>SOI</v>
      </c>
      <c r="D496">
        <f>IF(AA496="","",VLOOKUP(C496,tnpl!$Z$1:$AA$11,2,TRUE))</f>
        <v>4</v>
      </c>
      <c r="E496" t="s">
        <v>3168</v>
      </c>
      <c r="F496" t="str">
        <f t="shared" si="165"/>
        <v>青</v>
      </c>
      <c r="G496">
        <f>IF(AB496="","",VLOOKUP(F496,tnpl!$X$1:$Y$16,2,TRUE))</f>
        <v>2</v>
      </c>
      <c r="H496" t="s">
        <v>3168</v>
      </c>
      <c r="I496">
        <f t="shared" si="166"/>
        <v>18</v>
      </c>
      <c r="J496" t="s">
        <v>3168</v>
      </c>
      <c r="K496">
        <f t="shared" si="167"/>
        <v>8</v>
      </c>
      <c r="L496">
        <f t="shared" si="167"/>
        <v>7</v>
      </c>
      <c r="M496" t="str">
        <f t="shared" si="163"/>
        <v>8/7</v>
      </c>
      <c r="N496" t="s">
        <v>3175</v>
      </c>
      <c r="O496" t="str">
        <f t="shared" si="168"/>
        <v>神話レア</v>
      </c>
      <c r="R496" t="s">
        <v>3175</v>
      </c>
      <c r="S496" t="s">
        <v>4750</v>
      </c>
      <c r="T496" t="str">
        <f t="shared" si="169"/>
        <v>鎖鳴らし</v>
      </c>
      <c r="U496" t="str">
        <f t="shared" si="170"/>
        <v/>
      </c>
      <c r="V496" t="str">
        <f>IF(I496=0,VLOOKUP(T496,Sheet4!A:B,2,TRUE),"")</f>
        <v/>
      </c>
      <c r="W496" t="s">
        <v>4751</v>
      </c>
      <c r="X496" t="s">
        <v>3175</v>
      </c>
      <c r="Z496" s="3">
        <v>606</v>
      </c>
      <c r="AA496" s="2" t="s">
        <v>3431</v>
      </c>
      <c r="AB496" s="1" t="s">
        <v>1606</v>
      </c>
      <c r="AC496" s="1" t="s">
        <v>1431</v>
      </c>
      <c r="AD496" s="1">
        <v>18</v>
      </c>
      <c r="AE496" s="1" t="s">
        <v>1305</v>
      </c>
      <c r="AF496" s="1" t="s">
        <v>1304</v>
      </c>
      <c r="AG496" s="1" t="s">
        <v>339</v>
      </c>
      <c r="AH496" s="1" t="s">
        <v>2407</v>
      </c>
      <c r="AI496" s="1"/>
      <c r="AJ496" s="1"/>
      <c r="AK496" s="1" t="s">
        <v>351</v>
      </c>
      <c r="AL496" s="1" t="s">
        <v>3539</v>
      </c>
      <c r="AM496" s="1" t="s">
        <v>3540</v>
      </c>
      <c r="AN496" s="1"/>
      <c r="AO496" s="1">
        <v>8</v>
      </c>
      <c r="AP496" s="1">
        <v>7</v>
      </c>
      <c r="AQ496" s="1" t="s">
        <v>3541</v>
      </c>
    </row>
    <row r="497" spans="1:43" x14ac:dyDescent="0.15">
      <c r="A497" t="str">
        <f t="shared" si="162"/>
        <v>|AKH|青|17|8/7|レア|《[[謎めいた海蛇]]》|</v>
      </c>
      <c r="B497" t="s">
        <v>3168</v>
      </c>
      <c r="C497" t="str">
        <f t="shared" si="164"/>
        <v>AKH</v>
      </c>
      <c r="D497">
        <f>IF(AA497="","",VLOOKUP(C497,tnpl!$Z$1:$AA$11,2,TRUE))</f>
        <v>10</v>
      </c>
      <c r="E497" t="s">
        <v>3168</v>
      </c>
      <c r="F497" t="str">
        <f t="shared" si="165"/>
        <v>青</v>
      </c>
      <c r="G497">
        <f>IF(AB497="","",VLOOKUP(F497,tnpl!$X$1:$Y$16,2,TRUE))</f>
        <v>2</v>
      </c>
      <c r="H497" t="s">
        <v>3168</v>
      </c>
      <c r="I497">
        <f t="shared" si="166"/>
        <v>17</v>
      </c>
      <c r="J497" t="s">
        <v>3168</v>
      </c>
      <c r="K497">
        <f t="shared" si="167"/>
        <v>8</v>
      </c>
      <c r="L497">
        <f t="shared" si="167"/>
        <v>7</v>
      </c>
      <c r="M497" t="str">
        <f t="shared" si="163"/>
        <v>8/7</v>
      </c>
      <c r="N497" t="s">
        <v>3175</v>
      </c>
      <c r="O497" t="str">
        <f t="shared" si="168"/>
        <v>レア</v>
      </c>
      <c r="R497" t="s">
        <v>3175</v>
      </c>
      <c r="S497" t="s">
        <v>4750</v>
      </c>
      <c r="T497" t="str">
        <f t="shared" si="169"/>
        <v>謎めいた海蛇</v>
      </c>
      <c r="U497" t="str">
        <f t="shared" si="170"/>
        <v/>
      </c>
      <c r="V497" t="str">
        <f>IF(I497=0,VLOOKUP(T497,Sheet4!A:B,2,TRUE),"")</f>
        <v/>
      </c>
      <c r="W497" t="s">
        <v>4751</v>
      </c>
      <c r="X497" t="s">
        <v>3175</v>
      </c>
      <c r="Z497" s="3">
        <v>1271</v>
      </c>
      <c r="AA497" s="2" t="s">
        <v>4349</v>
      </c>
      <c r="AB497" s="1" t="s">
        <v>1606</v>
      </c>
      <c r="AC497" s="1" t="s">
        <v>1441</v>
      </c>
      <c r="AD497" s="1">
        <v>17</v>
      </c>
      <c r="AE497" s="1" t="s">
        <v>4681</v>
      </c>
      <c r="AF497" s="1" t="s">
        <v>4682</v>
      </c>
      <c r="AG497" s="1" t="s">
        <v>339</v>
      </c>
      <c r="AH497" s="1" t="s">
        <v>2954</v>
      </c>
      <c r="AI497" s="1"/>
      <c r="AJ497" s="1"/>
      <c r="AK497" s="1" t="s">
        <v>4683</v>
      </c>
      <c r="AL497" s="1"/>
      <c r="AM497" s="1"/>
      <c r="AN497" s="1"/>
      <c r="AO497" s="1">
        <v>8</v>
      </c>
      <c r="AP497" s="1">
        <v>7</v>
      </c>
      <c r="AQ497" s="1" t="s">
        <v>4683</v>
      </c>
    </row>
    <row r="498" spans="1:43" x14ac:dyDescent="0.15">
      <c r="A498" t="str">
        <f t="shared" si="162"/>
        <v>|BFZ|無色|18|8/9|レア|《[[エルドラージの壊滅させるもの]]》|</v>
      </c>
      <c r="B498" t="s">
        <v>3168</v>
      </c>
      <c r="C498" t="str">
        <f t="shared" si="164"/>
        <v>BFZ</v>
      </c>
      <c r="D498">
        <f>IF(AA498="","",VLOOKUP(C498,tnpl!$Z$1:$AA$11,2,TRUE))</f>
        <v>2</v>
      </c>
      <c r="E498" t="s">
        <v>3168</v>
      </c>
      <c r="F498" t="str">
        <f t="shared" si="165"/>
        <v>無色</v>
      </c>
      <c r="G498">
        <f>IF(AB498="","",VLOOKUP(F498,tnpl!$X$1:$Y$16,2,TRUE))</f>
        <v>16</v>
      </c>
      <c r="H498" t="s">
        <v>3168</v>
      </c>
      <c r="I498">
        <f t="shared" si="166"/>
        <v>18</v>
      </c>
      <c r="J498" t="s">
        <v>3168</v>
      </c>
      <c r="K498">
        <f t="shared" si="167"/>
        <v>8</v>
      </c>
      <c r="L498">
        <f t="shared" si="167"/>
        <v>9</v>
      </c>
      <c r="M498" t="str">
        <f t="shared" si="163"/>
        <v>8/9</v>
      </c>
      <c r="N498" t="s">
        <v>3175</v>
      </c>
      <c r="O498" t="str">
        <f t="shared" si="168"/>
        <v>レア</v>
      </c>
      <c r="R498" t="s">
        <v>3175</v>
      </c>
      <c r="S498" t="s">
        <v>4750</v>
      </c>
      <c r="T498" t="str">
        <f t="shared" si="169"/>
        <v>エルドラージの壊滅させるもの</v>
      </c>
      <c r="U498" t="str">
        <f t="shared" si="170"/>
        <v/>
      </c>
      <c r="V498" t="str">
        <f>IF(I498=0,VLOOKUP(T498,Sheet4!A:B,2,TRUE),"")</f>
        <v/>
      </c>
      <c r="W498" t="s">
        <v>4751</v>
      </c>
      <c r="X498" t="s">
        <v>3175</v>
      </c>
      <c r="Z498" s="3">
        <v>467</v>
      </c>
      <c r="AA498" s="2" t="s">
        <v>3170</v>
      </c>
      <c r="AB498" s="1" t="s">
        <v>292</v>
      </c>
      <c r="AC498" s="1" t="s">
        <v>1441</v>
      </c>
      <c r="AD498" s="1">
        <v>18</v>
      </c>
      <c r="AE498" s="1" t="s">
        <v>1709</v>
      </c>
      <c r="AF498" s="1" t="s">
        <v>1708</v>
      </c>
      <c r="AG498" s="1" t="s">
        <v>339</v>
      </c>
      <c r="AH498" s="1" t="s">
        <v>1435</v>
      </c>
      <c r="AI498" s="1"/>
      <c r="AJ498" s="1"/>
      <c r="AK498" s="1" t="s">
        <v>1707</v>
      </c>
      <c r="AL498" s="1"/>
      <c r="AM498" s="1"/>
      <c r="AN498" s="1"/>
      <c r="AO498" s="1">
        <v>8</v>
      </c>
      <c r="AP498" s="1">
        <v>9</v>
      </c>
      <c r="AQ498" s="1" t="s">
        <v>1707</v>
      </c>
    </row>
    <row r="499" spans="1:43" x14ac:dyDescent="0.15">
      <c r="A499" t="str">
        <f t="shared" si="162"/>
        <v>|SOI|赤|8|8/16|神話レア|《[[黄金夜の懲罰者]]》|</v>
      </c>
      <c r="B499" t="s">
        <v>3168</v>
      </c>
      <c r="C499" t="str">
        <f t="shared" si="164"/>
        <v>SOI</v>
      </c>
      <c r="D499">
        <f>IF(AA499="","",VLOOKUP(C499,tnpl!$Z$1:$AA$11,2,TRUE))</f>
        <v>4</v>
      </c>
      <c r="E499" t="s">
        <v>3168</v>
      </c>
      <c r="F499" t="str">
        <f t="shared" si="165"/>
        <v>赤</v>
      </c>
      <c r="G499">
        <f>IF(AB499="","",VLOOKUP(F499,tnpl!$X$1:$Y$16,2,TRUE))</f>
        <v>4</v>
      </c>
      <c r="H499" t="s">
        <v>3168</v>
      </c>
      <c r="I499">
        <f t="shared" si="166"/>
        <v>8</v>
      </c>
      <c r="J499" t="s">
        <v>3168</v>
      </c>
      <c r="K499">
        <f t="shared" si="167"/>
        <v>8</v>
      </c>
      <c r="L499">
        <f t="shared" si="167"/>
        <v>16</v>
      </c>
      <c r="M499" t="str">
        <f t="shared" si="163"/>
        <v>8/16</v>
      </c>
      <c r="N499" t="s">
        <v>3175</v>
      </c>
      <c r="O499" t="str">
        <f t="shared" si="168"/>
        <v>神話レア</v>
      </c>
      <c r="R499" t="s">
        <v>3175</v>
      </c>
      <c r="S499" t="s">
        <v>4750</v>
      </c>
      <c r="T499" t="str">
        <f t="shared" si="169"/>
        <v>黄金夜の懲罰者</v>
      </c>
      <c r="U499" t="str">
        <f t="shared" si="170"/>
        <v/>
      </c>
      <c r="V499" t="str">
        <f>IF(I499=0,VLOOKUP(T499,Sheet4!A:B,2,TRUE),"")</f>
        <v/>
      </c>
      <c r="W499" t="s">
        <v>4751</v>
      </c>
      <c r="X499" t="s">
        <v>3175</v>
      </c>
      <c r="Z499" s="3">
        <v>674</v>
      </c>
      <c r="AA499" s="2" t="s">
        <v>3431</v>
      </c>
      <c r="AB499" s="1" t="s">
        <v>1552</v>
      </c>
      <c r="AC499" s="1" t="s">
        <v>1431</v>
      </c>
      <c r="AD499" s="1">
        <v>8</v>
      </c>
      <c r="AE499" s="1" t="s">
        <v>1190</v>
      </c>
      <c r="AF499" s="1" t="s">
        <v>1189</v>
      </c>
      <c r="AG499" s="1" t="s">
        <v>339</v>
      </c>
      <c r="AH499" s="1" t="s">
        <v>348</v>
      </c>
      <c r="AI499" s="1"/>
      <c r="AJ499" s="1"/>
      <c r="AK499" s="1" t="s">
        <v>3370</v>
      </c>
      <c r="AL499" s="1" t="s">
        <v>3644</v>
      </c>
      <c r="AM499" s="1"/>
      <c r="AN499" s="1"/>
      <c r="AO499" s="1">
        <v>8</v>
      </c>
      <c r="AP499" s="1">
        <v>16</v>
      </c>
      <c r="AQ499" s="1" t="s">
        <v>3645</v>
      </c>
    </row>
    <row r="502" spans="1:43" x14ac:dyDescent="0.15">
      <c r="A502" t="str">
        <f>B502&amp;C502&amp;E502&amp;F502&amp;H502&amp;I502&amp;J502&amp;M502&amp;N502&amp;O502&amp;P502&amp;Q502&amp;R502&amp;S502&amp;T502&amp;V502&amp;W502&amp;X502&amp;Y502</f>
        <v>*パワー9タフネス9以外クリーチャー</v>
      </c>
      <c r="B502" t="s">
        <v>3173</v>
      </c>
      <c r="C502" t="str">
        <f>"パワー"&amp;AO506</f>
        <v>パワー9</v>
      </c>
      <c r="E502" t="str">
        <f>"タフネス"&amp;AO506&amp;"以外"</f>
        <v>タフネス9以外</v>
      </c>
      <c r="F502" t="s">
        <v>4814</v>
      </c>
      <c r="G502" t="s">
        <v>3172</v>
      </c>
    </row>
    <row r="503" spans="1:43" x14ac:dyDescent="0.15">
      <c r="A503" t="s">
        <v>4815</v>
      </c>
    </row>
    <row r="504" spans="1:43" x14ac:dyDescent="0.15">
      <c r="A504" t="str">
        <f t="shared" ref="A504:A523" si="171">B504&amp;C504&amp;E504&amp;F504&amp;H504&amp;I504&amp;J504&amp;M504&amp;N504&amp;O504&amp;P504&amp;Q504&amp;R504&amp;S504&amp;T504&amp;U504&amp;V504&amp;W504&amp;X504&amp;Y504</f>
        <v>|LEFT:50|LEFT:50|LEFT:50|LEFT:120|LEFT:120|LEFT:500|c</v>
      </c>
      <c r="B504" t="s">
        <v>3168</v>
      </c>
      <c r="C504" t="s">
        <v>3162</v>
      </c>
      <c r="E504" t="s">
        <v>3168</v>
      </c>
      <c r="F504" t="s">
        <v>3162</v>
      </c>
      <c r="H504" t="s">
        <v>3168</v>
      </c>
      <c r="I504" t="s">
        <v>3162</v>
      </c>
      <c r="J504" t="s">
        <v>3168</v>
      </c>
      <c r="M504" t="s">
        <v>4808</v>
      </c>
      <c r="N504" t="s">
        <v>3175</v>
      </c>
      <c r="O504" t="s">
        <v>4808</v>
      </c>
      <c r="R504" t="s">
        <v>3175</v>
      </c>
      <c r="T504" t="s">
        <v>3163</v>
      </c>
      <c r="X504" t="s">
        <v>3175</v>
      </c>
      <c r="Y504" t="s">
        <v>3164</v>
      </c>
    </row>
    <row r="505" spans="1:43" x14ac:dyDescent="0.15">
      <c r="A505" t="str">
        <f t="shared" si="171"/>
        <v>|セット|色|コスト|P/T|レアリティ|カード名|</v>
      </c>
      <c r="B505" t="s">
        <v>3168</v>
      </c>
      <c r="C505" t="s">
        <v>3169</v>
      </c>
      <c r="E505" t="s">
        <v>3168</v>
      </c>
      <c r="F505" t="s">
        <v>3139</v>
      </c>
      <c r="H505" t="s">
        <v>3168</v>
      </c>
      <c r="I505" t="s">
        <v>3165</v>
      </c>
      <c r="J505" t="s">
        <v>3168</v>
      </c>
      <c r="K505" t="s">
        <v>3126</v>
      </c>
      <c r="L505" t="s">
        <v>3125</v>
      </c>
      <c r="M505" t="str">
        <f t="shared" ref="M505:M523" si="172">K505&amp;"/"&amp;L505</f>
        <v>P/T</v>
      </c>
      <c r="N505" t="s">
        <v>3175</v>
      </c>
      <c r="O505" t="s">
        <v>4809</v>
      </c>
      <c r="R505" t="s">
        <v>3175</v>
      </c>
      <c r="T505" t="s">
        <v>3166</v>
      </c>
      <c r="V505" t="str">
        <f>IF(I505=0,VLOOKUP(TAG!T505,Sheet4!A:B,2,TRUE),"")</f>
        <v/>
      </c>
      <c r="X505" t="s">
        <v>3175</v>
      </c>
      <c r="Z505" s="12"/>
      <c r="AA505" s="12"/>
      <c r="AB505" s="12"/>
      <c r="AC505" s="12"/>
      <c r="AD505" s="12"/>
      <c r="AE505" s="12"/>
      <c r="AF505" s="12"/>
      <c r="AG505" s="12"/>
      <c r="AH505" s="12"/>
      <c r="AI505" s="12"/>
      <c r="AJ505" s="12"/>
      <c r="AK505" s="12"/>
      <c r="AL505" s="12"/>
      <c r="AM505" s="12"/>
      <c r="AN505" s="12"/>
      <c r="AO505" s="12"/>
      <c r="AP505" s="12"/>
      <c r="AQ505" s="12"/>
    </row>
    <row r="506" spans="1:43" x14ac:dyDescent="0.15">
      <c r="A506" t="str">
        <f t="shared" si="171"/>
        <v>|BFZ|無色|18|9/6|神話レア|《[[バーラ・ゲドを滅ぼすもの]]》|</v>
      </c>
      <c r="B506" t="s">
        <v>3168</v>
      </c>
      <c r="C506" t="str">
        <f t="shared" ref="C506:C523" si="173">AA506</f>
        <v>BFZ</v>
      </c>
      <c r="D506">
        <f>IF(AA506="","",VLOOKUP(C506,tnpl!$Z$1:$AA$11,2,TRUE))</f>
        <v>2</v>
      </c>
      <c r="E506" t="s">
        <v>3168</v>
      </c>
      <c r="F506" t="str">
        <f t="shared" ref="F506:F523" si="174">AB506</f>
        <v>無色</v>
      </c>
      <c r="G506">
        <f>IF(AB506="","",VLOOKUP(F506,tnpl!$X$1:$Y$16,2,TRUE))</f>
        <v>16</v>
      </c>
      <c r="H506" t="s">
        <v>3168</v>
      </c>
      <c r="I506">
        <f t="shared" ref="I506:I523" si="175">AD506</f>
        <v>18</v>
      </c>
      <c r="J506" t="s">
        <v>3168</v>
      </c>
      <c r="K506">
        <f t="shared" ref="K506:K523" si="176">AO506</f>
        <v>9</v>
      </c>
      <c r="L506">
        <f t="shared" ref="L506:L523" si="177">AP506</f>
        <v>6</v>
      </c>
      <c r="M506" t="str">
        <f t="shared" si="172"/>
        <v>9/6</v>
      </c>
      <c r="N506" t="s">
        <v>3175</v>
      </c>
      <c r="O506" t="str">
        <f t="shared" ref="O506:O523" si="178">AC506</f>
        <v>神話レア</v>
      </c>
      <c r="R506" t="s">
        <v>3175</v>
      </c>
      <c r="S506" t="s">
        <v>4750</v>
      </c>
      <c r="T506" t="str">
        <f t="shared" ref="T506:T523" si="179">AE506</f>
        <v>バーラ・ゲドを滅ぼすもの</v>
      </c>
      <c r="U506" t="str">
        <f t="shared" ref="U506:U523" si="180">IF(I506=0,"&gt;","")</f>
        <v/>
      </c>
      <c r="V506" t="str">
        <f>IF(I506=0,VLOOKUP(T506,Sheet4!A:B,2,TRUE),"")</f>
        <v/>
      </c>
      <c r="W506" t="s">
        <v>4751</v>
      </c>
      <c r="X506" t="s">
        <v>3175</v>
      </c>
      <c r="Z506" s="3">
        <v>481</v>
      </c>
      <c r="AA506" s="2" t="s">
        <v>3170</v>
      </c>
      <c r="AB506" s="1" t="s">
        <v>292</v>
      </c>
      <c r="AC506" s="1" t="s">
        <v>1431</v>
      </c>
      <c r="AD506" s="1">
        <v>18</v>
      </c>
      <c r="AE506" s="1" t="s">
        <v>1667</v>
      </c>
      <c r="AF506" s="1" t="s">
        <v>1666</v>
      </c>
      <c r="AG506" s="1" t="s">
        <v>339</v>
      </c>
      <c r="AH506" s="1" t="s">
        <v>1435</v>
      </c>
      <c r="AI506" s="1"/>
      <c r="AJ506" s="1"/>
      <c r="AK506" s="1" t="s">
        <v>1665</v>
      </c>
      <c r="AL506" s="1"/>
      <c r="AM506" s="1"/>
      <c r="AN506" s="1"/>
      <c r="AO506" s="1">
        <v>9</v>
      </c>
      <c r="AP506" s="1">
        <v>6</v>
      </c>
      <c r="AQ506" s="1" t="s">
        <v>1665</v>
      </c>
    </row>
    <row r="507" spans="1:43" x14ac:dyDescent="0.15">
      <c r="A507" t="str">
        <f t="shared" si="171"/>
        <v>|OGW|赤|20|9/8|神話レア|《[[ヴァラクートの暴君]]》|</v>
      </c>
      <c r="B507" t="s">
        <v>3168</v>
      </c>
      <c r="C507" t="str">
        <f t="shared" si="173"/>
        <v>OGW</v>
      </c>
      <c r="D507">
        <f>IF(AA507="","",VLOOKUP(C507,tnpl!$Z$1:$AA$11,2,TRUE))</f>
        <v>3</v>
      </c>
      <c r="E507" t="s">
        <v>3168</v>
      </c>
      <c r="F507" t="str">
        <f t="shared" si="174"/>
        <v>赤</v>
      </c>
      <c r="G507">
        <f>IF(AB507="","",VLOOKUP(F507,tnpl!$X$1:$Y$16,2,TRUE))</f>
        <v>4</v>
      </c>
      <c r="H507" t="s">
        <v>3168</v>
      </c>
      <c r="I507">
        <f t="shared" si="175"/>
        <v>20</v>
      </c>
      <c r="J507" t="s">
        <v>3168</v>
      </c>
      <c r="K507">
        <f t="shared" si="176"/>
        <v>9</v>
      </c>
      <c r="L507">
        <f t="shared" si="177"/>
        <v>8</v>
      </c>
      <c r="M507" t="str">
        <f t="shared" si="172"/>
        <v>9/8</v>
      </c>
      <c r="N507" t="s">
        <v>3175</v>
      </c>
      <c r="O507" t="str">
        <f t="shared" si="178"/>
        <v>神話レア</v>
      </c>
      <c r="R507" t="s">
        <v>3175</v>
      </c>
      <c r="S507" t="s">
        <v>4750</v>
      </c>
      <c r="T507" t="str">
        <f t="shared" si="179"/>
        <v>ヴァラクートの暴君</v>
      </c>
      <c r="U507" t="str">
        <f t="shared" si="180"/>
        <v/>
      </c>
      <c r="V507" t="str">
        <f>IF(I507=0,VLOOKUP(T507,Sheet4!A:B,2,TRUE),"")</f>
        <v/>
      </c>
      <c r="W507" t="s">
        <v>4751</v>
      </c>
      <c r="X507" t="s">
        <v>3175</v>
      </c>
      <c r="Z507" s="3">
        <v>509</v>
      </c>
      <c r="AA507" s="2" t="s">
        <v>3171</v>
      </c>
      <c r="AB507" s="1" t="s">
        <v>1552</v>
      </c>
      <c r="AC507" s="1" t="s">
        <v>1431</v>
      </c>
      <c r="AD507" s="1">
        <v>20</v>
      </c>
      <c r="AE507" s="1" t="s">
        <v>1557</v>
      </c>
      <c r="AF507" s="1" t="s">
        <v>1556</v>
      </c>
      <c r="AG507" s="1" t="s">
        <v>339</v>
      </c>
      <c r="AH507" s="1" t="s">
        <v>1555</v>
      </c>
      <c r="AI507" s="1"/>
      <c r="AJ507" s="1"/>
      <c r="AK507" s="1" t="s">
        <v>351</v>
      </c>
      <c r="AL507" s="1" t="s">
        <v>1554</v>
      </c>
      <c r="AM507" s="1" t="s">
        <v>1553</v>
      </c>
      <c r="AN507" s="1"/>
      <c r="AO507" s="1">
        <v>9</v>
      </c>
      <c r="AP507" s="1">
        <v>8</v>
      </c>
      <c r="AQ507" s="1" t="s">
        <v>3410</v>
      </c>
    </row>
    <row r="508" spans="1:43" x14ac:dyDescent="0.15">
      <c r="A508" t="str">
        <f t="shared" si="171"/>
        <v>|EMN|白|0|9/10|神話レア|《[[悪夢の声、ブリセラ&gt;折れた刃、ギセラ]]》|</v>
      </c>
      <c r="B508" t="s">
        <v>3168</v>
      </c>
      <c r="C508" t="str">
        <f t="shared" si="173"/>
        <v>EMN</v>
      </c>
      <c r="D508">
        <f>IF(AA508="","",VLOOKUP(C508,tnpl!$Z$1:$AA$11,2,TRUE))</f>
        <v>5</v>
      </c>
      <c r="E508" t="s">
        <v>3168</v>
      </c>
      <c r="F508" t="str">
        <f t="shared" si="174"/>
        <v>白</v>
      </c>
      <c r="G508">
        <f>IF(AB508="","",VLOOKUP(F508,tnpl!$X$1:$Y$16,2,TRUE))</f>
        <v>1</v>
      </c>
      <c r="H508" t="s">
        <v>3168</v>
      </c>
      <c r="I508">
        <f t="shared" si="175"/>
        <v>0</v>
      </c>
      <c r="J508" t="s">
        <v>3168</v>
      </c>
      <c r="K508">
        <f t="shared" si="176"/>
        <v>9</v>
      </c>
      <c r="L508">
        <f t="shared" si="177"/>
        <v>10</v>
      </c>
      <c r="M508" t="str">
        <f t="shared" si="172"/>
        <v>9/10</v>
      </c>
      <c r="N508" t="s">
        <v>3175</v>
      </c>
      <c r="O508" t="str">
        <f t="shared" si="178"/>
        <v>神話レア</v>
      </c>
      <c r="R508" t="s">
        <v>3175</v>
      </c>
      <c r="S508" t="s">
        <v>4750</v>
      </c>
      <c r="T508" t="str">
        <f t="shared" si="179"/>
        <v>悪夢の声、ブリセラ</v>
      </c>
      <c r="U508" t="str">
        <f t="shared" si="180"/>
        <v>&gt;</v>
      </c>
      <c r="V508" t="str">
        <f>IF(I508=0,VLOOKUP(T508,Sheet4!A:B,2,TRUE),"")</f>
        <v>折れた刃、ギセラ</v>
      </c>
      <c r="W508" t="s">
        <v>4751</v>
      </c>
      <c r="X508" t="s">
        <v>3175</v>
      </c>
      <c r="Z508" s="3">
        <v>766</v>
      </c>
      <c r="AA508" s="2" t="s">
        <v>3773</v>
      </c>
      <c r="AB508" s="1" t="s">
        <v>1627</v>
      </c>
      <c r="AC508" s="1" t="s">
        <v>1431</v>
      </c>
      <c r="AD508" s="13">
        <v>0</v>
      </c>
      <c r="AE508" s="1" t="s">
        <v>854</v>
      </c>
      <c r="AF508" s="1" t="s">
        <v>853</v>
      </c>
      <c r="AG508" s="1" t="s">
        <v>339</v>
      </c>
      <c r="AH508" s="1" t="s">
        <v>1435</v>
      </c>
      <c r="AI508" s="1" t="s">
        <v>348</v>
      </c>
      <c r="AJ508" s="1"/>
      <c r="AK508" s="1" t="s">
        <v>3800</v>
      </c>
      <c r="AL508" s="1" t="s">
        <v>3801</v>
      </c>
      <c r="AM508" s="1"/>
      <c r="AN508" s="1"/>
      <c r="AO508" s="1">
        <v>9</v>
      </c>
      <c r="AP508" s="1">
        <v>10</v>
      </c>
      <c r="AQ508" s="1" t="s">
        <v>3802</v>
      </c>
    </row>
    <row r="509" spans="1:43" x14ac:dyDescent="0.15">
      <c r="A509" t="str">
        <f t="shared" si="171"/>
        <v>|ORI|緑|23|9/16|神話レア|《[[ガイアの復讐者]]》|</v>
      </c>
      <c r="B509" t="s">
        <v>3168</v>
      </c>
      <c r="C509" t="str">
        <f t="shared" si="173"/>
        <v>ORI</v>
      </c>
      <c r="D509">
        <f>IF(AA509="","",VLOOKUP(C509,tnpl!$Z$1:$AA$11,2,TRUE))</f>
        <v>1</v>
      </c>
      <c r="E509" t="s">
        <v>3168</v>
      </c>
      <c r="F509" t="str">
        <f t="shared" si="174"/>
        <v>緑</v>
      </c>
      <c r="G509">
        <f>IF(AB509="","",VLOOKUP(F509,tnpl!$X$1:$Y$16,2,TRUE))</f>
        <v>5</v>
      </c>
      <c r="H509" t="s">
        <v>3168</v>
      </c>
      <c r="I509">
        <f t="shared" si="175"/>
        <v>23</v>
      </c>
      <c r="J509" t="s">
        <v>3168</v>
      </c>
      <c r="K509">
        <f t="shared" si="176"/>
        <v>9</v>
      </c>
      <c r="L509">
        <f t="shared" si="177"/>
        <v>16</v>
      </c>
      <c r="M509" t="str">
        <f t="shared" si="172"/>
        <v>9/16</v>
      </c>
      <c r="N509" t="s">
        <v>3175</v>
      </c>
      <c r="O509" t="str">
        <f t="shared" si="178"/>
        <v>神話レア</v>
      </c>
      <c r="R509" t="s">
        <v>3175</v>
      </c>
      <c r="S509" t="s">
        <v>4750</v>
      </c>
      <c r="T509" t="str">
        <f t="shared" si="179"/>
        <v>ガイアの復讐者</v>
      </c>
      <c r="U509" t="str">
        <f t="shared" si="180"/>
        <v/>
      </c>
      <c r="V509" t="str">
        <f>IF(I509=0,VLOOKUP(T509,Sheet4!A:B,2,TRUE),"")</f>
        <v/>
      </c>
      <c r="W509" t="s">
        <v>4751</v>
      </c>
      <c r="X509" t="s">
        <v>3175</v>
      </c>
      <c r="Z509" s="3">
        <v>199</v>
      </c>
      <c r="AA509" s="2" t="s">
        <v>3176</v>
      </c>
      <c r="AB509" s="1" t="s">
        <v>1518</v>
      </c>
      <c r="AC509" s="1" t="s">
        <v>1431</v>
      </c>
      <c r="AD509" s="1">
        <v>23</v>
      </c>
      <c r="AE509" s="1" t="s">
        <v>2554</v>
      </c>
      <c r="AF509" s="1" t="s">
        <v>2553</v>
      </c>
      <c r="AG509" s="1" t="s">
        <v>339</v>
      </c>
      <c r="AH509" s="1" t="s">
        <v>1537</v>
      </c>
      <c r="AI509" s="1"/>
      <c r="AJ509" s="1"/>
      <c r="AK509" s="1" t="s">
        <v>3285</v>
      </c>
      <c r="AL509" s="1"/>
      <c r="AM509" s="1"/>
      <c r="AN509" s="1"/>
      <c r="AO509" s="1">
        <v>9</v>
      </c>
      <c r="AP509" s="1">
        <v>16</v>
      </c>
      <c r="AQ509" s="1" t="s">
        <v>3285</v>
      </c>
    </row>
    <row r="510" spans="1:43" x14ac:dyDescent="0.15">
      <c r="A510" t="str">
        <f t="shared" si="171"/>
        <v>|AER|青|17|10/6|神話レア|《[[霊気海嘯の鯨]]》|</v>
      </c>
      <c r="B510" t="s">
        <v>3168</v>
      </c>
      <c r="C510" t="str">
        <f t="shared" si="173"/>
        <v>AER</v>
      </c>
      <c r="D510">
        <f>IF(AA510="","",VLOOKUP(C510,tnpl!$Z$1:$AA$11,2,TRUE))</f>
        <v>7</v>
      </c>
      <c r="E510" t="s">
        <v>3168</v>
      </c>
      <c r="F510" t="str">
        <f t="shared" si="174"/>
        <v>青</v>
      </c>
      <c r="G510">
        <f>IF(AB510="","",VLOOKUP(F510,tnpl!$X$1:$Y$16,2,TRUE))</f>
        <v>2</v>
      </c>
      <c r="H510" t="s">
        <v>3168</v>
      </c>
      <c r="I510">
        <f t="shared" si="175"/>
        <v>17</v>
      </c>
      <c r="J510" t="s">
        <v>3168</v>
      </c>
      <c r="K510">
        <f t="shared" si="176"/>
        <v>10</v>
      </c>
      <c r="L510">
        <f t="shared" si="177"/>
        <v>6</v>
      </c>
      <c r="M510" t="str">
        <f t="shared" si="172"/>
        <v>10/6</v>
      </c>
      <c r="N510" t="s">
        <v>3175</v>
      </c>
      <c r="O510" t="str">
        <f t="shared" si="178"/>
        <v>神話レア</v>
      </c>
      <c r="R510" t="s">
        <v>3175</v>
      </c>
      <c r="S510" t="s">
        <v>4750</v>
      </c>
      <c r="T510" t="str">
        <f t="shared" si="179"/>
        <v>霊気海嘯の鯨</v>
      </c>
      <c r="U510" t="str">
        <f t="shared" si="180"/>
        <v/>
      </c>
      <c r="V510" t="str">
        <f>IF(I510=0,VLOOKUP(T510,Sheet4!A:B,2,TRUE),"")</f>
        <v/>
      </c>
      <c r="W510" t="s">
        <v>4751</v>
      </c>
      <c r="X510" t="s">
        <v>3175</v>
      </c>
      <c r="Z510" s="3">
        <v>1035</v>
      </c>
      <c r="AA510" s="2" t="s">
        <v>4236</v>
      </c>
      <c r="AB510" s="1" t="s">
        <v>1606</v>
      </c>
      <c r="AC510" s="1" t="s">
        <v>1431</v>
      </c>
      <c r="AD510" s="1">
        <v>17</v>
      </c>
      <c r="AE510" s="1" t="s">
        <v>444</v>
      </c>
      <c r="AF510" s="1" t="s">
        <v>443</v>
      </c>
      <c r="AG510" s="1" t="s">
        <v>339</v>
      </c>
      <c r="AH510" s="1" t="s">
        <v>4006</v>
      </c>
      <c r="AI510" s="1"/>
      <c r="AJ510" s="1"/>
      <c r="AK510" s="1" t="s">
        <v>351</v>
      </c>
      <c r="AL510" s="1" t="s">
        <v>4257</v>
      </c>
      <c r="AM510" s="1"/>
      <c r="AN510" s="1"/>
      <c r="AO510" s="1">
        <v>10</v>
      </c>
      <c r="AP510" s="1">
        <v>6</v>
      </c>
      <c r="AQ510" s="1" t="s">
        <v>4258</v>
      </c>
    </row>
    <row r="511" spans="1:43" x14ac:dyDescent="0.15">
      <c r="A511" t="str">
        <f t="shared" si="171"/>
        <v>|BFZ|無色|19|10/8|アンコモン|《[[軍団を破壊するもの]]》|</v>
      </c>
      <c r="B511" t="s">
        <v>3168</v>
      </c>
      <c r="C511" t="str">
        <f t="shared" si="173"/>
        <v>BFZ</v>
      </c>
      <c r="D511">
        <f>IF(AA511="","",VLOOKUP(C511,tnpl!$Z$1:$AA$11,2,TRUE))</f>
        <v>2</v>
      </c>
      <c r="E511" t="s">
        <v>3168</v>
      </c>
      <c r="F511" t="str">
        <f t="shared" si="174"/>
        <v>無色</v>
      </c>
      <c r="G511">
        <f>IF(AB511="","",VLOOKUP(F511,tnpl!$X$1:$Y$16,2,TRUE))</f>
        <v>16</v>
      </c>
      <c r="H511" t="s">
        <v>3168</v>
      </c>
      <c r="I511">
        <f t="shared" si="175"/>
        <v>19</v>
      </c>
      <c r="J511" t="s">
        <v>3168</v>
      </c>
      <c r="K511">
        <f t="shared" si="176"/>
        <v>10</v>
      </c>
      <c r="L511">
        <f t="shared" si="177"/>
        <v>8</v>
      </c>
      <c r="M511" t="str">
        <f t="shared" si="172"/>
        <v>10/8</v>
      </c>
      <c r="N511" t="s">
        <v>3175</v>
      </c>
      <c r="O511" t="str">
        <f t="shared" si="178"/>
        <v>アンコモン</v>
      </c>
      <c r="R511" t="s">
        <v>3175</v>
      </c>
      <c r="S511" t="s">
        <v>4750</v>
      </c>
      <c r="T511" t="str">
        <f t="shared" si="179"/>
        <v>軍団を破壊するもの</v>
      </c>
      <c r="U511" t="str">
        <f t="shared" si="180"/>
        <v/>
      </c>
      <c r="V511" t="str">
        <f>IF(I511=0,VLOOKUP(T511,Sheet4!A:B,2,TRUE),"")</f>
        <v/>
      </c>
      <c r="W511" t="s">
        <v>4751</v>
      </c>
      <c r="X511" t="s">
        <v>3175</v>
      </c>
      <c r="Z511" s="3">
        <v>456</v>
      </c>
      <c r="AA511" s="2" t="s">
        <v>3170</v>
      </c>
      <c r="AB511" s="1" t="s">
        <v>292</v>
      </c>
      <c r="AC511" s="1" t="s">
        <v>1451</v>
      </c>
      <c r="AD511" s="1">
        <v>19</v>
      </c>
      <c r="AE511" s="1" t="s">
        <v>1740</v>
      </c>
      <c r="AF511" s="1" t="s">
        <v>1739</v>
      </c>
      <c r="AG511" s="1" t="s">
        <v>339</v>
      </c>
      <c r="AH511" s="1" t="s">
        <v>1435</v>
      </c>
      <c r="AI511" s="1"/>
      <c r="AJ511" s="1"/>
      <c r="AK511" s="1" t="s">
        <v>1738</v>
      </c>
      <c r="AL511" s="1"/>
      <c r="AM511" s="1"/>
      <c r="AN511" s="1"/>
      <c r="AO511" s="1">
        <v>10</v>
      </c>
      <c r="AP511" s="1">
        <v>8</v>
      </c>
      <c r="AQ511" s="1" t="s">
        <v>1738</v>
      </c>
    </row>
    <row r="512" spans="1:43" x14ac:dyDescent="0.15">
      <c r="A512" t="str">
        <f t="shared" si="171"/>
        <v>|BFZ|無色|21|10/10|レア|《[[荒廃の双子]]》|</v>
      </c>
      <c r="B512" t="s">
        <v>3168</v>
      </c>
      <c r="C512" t="str">
        <f t="shared" si="173"/>
        <v>BFZ</v>
      </c>
      <c r="D512">
        <f>IF(AA512="","",VLOOKUP(C512,tnpl!$Z$1:$AA$11,2,TRUE))</f>
        <v>2</v>
      </c>
      <c r="E512" t="s">
        <v>3168</v>
      </c>
      <c r="F512" t="str">
        <f t="shared" si="174"/>
        <v>無色</v>
      </c>
      <c r="G512">
        <f>IF(AB512="","",VLOOKUP(F512,tnpl!$X$1:$Y$16,2,TRUE))</f>
        <v>16</v>
      </c>
      <c r="H512" t="s">
        <v>3168</v>
      </c>
      <c r="I512">
        <f t="shared" si="175"/>
        <v>21</v>
      </c>
      <c r="J512" t="s">
        <v>3168</v>
      </c>
      <c r="K512">
        <f t="shared" si="176"/>
        <v>10</v>
      </c>
      <c r="L512">
        <f t="shared" si="177"/>
        <v>10</v>
      </c>
      <c r="M512" t="str">
        <f t="shared" si="172"/>
        <v>10/10</v>
      </c>
      <c r="N512" t="s">
        <v>3175</v>
      </c>
      <c r="O512" t="str">
        <f t="shared" si="178"/>
        <v>レア</v>
      </c>
      <c r="R512" t="s">
        <v>3175</v>
      </c>
      <c r="S512" t="s">
        <v>4750</v>
      </c>
      <c r="T512" t="str">
        <f t="shared" si="179"/>
        <v>荒廃の双子</v>
      </c>
      <c r="U512" t="str">
        <f t="shared" si="180"/>
        <v/>
      </c>
      <c r="V512" t="str">
        <f>IF(I512=0,VLOOKUP(T512,Sheet4!A:B,2,TRUE),"")</f>
        <v/>
      </c>
      <c r="W512" t="s">
        <v>4751</v>
      </c>
      <c r="X512" t="s">
        <v>3175</v>
      </c>
      <c r="Z512" s="3">
        <v>466</v>
      </c>
      <c r="AA512" s="2" t="s">
        <v>3170</v>
      </c>
      <c r="AB512" s="1" t="s">
        <v>292</v>
      </c>
      <c r="AC512" s="1" t="s">
        <v>1441</v>
      </c>
      <c r="AD512" s="1">
        <v>21</v>
      </c>
      <c r="AE512" s="1" t="s">
        <v>1712</v>
      </c>
      <c r="AF512" s="1" t="s">
        <v>1711</v>
      </c>
      <c r="AG512" s="1" t="s">
        <v>339</v>
      </c>
      <c r="AH512" s="1" t="s">
        <v>1435</v>
      </c>
      <c r="AI512" s="1"/>
      <c r="AJ512" s="1"/>
      <c r="AK512" s="1" t="s">
        <v>1710</v>
      </c>
      <c r="AL512" s="1"/>
      <c r="AM512" s="1"/>
      <c r="AN512" s="1"/>
      <c r="AO512" s="1">
        <v>10</v>
      </c>
      <c r="AP512" s="1">
        <v>10</v>
      </c>
      <c r="AQ512" s="1" t="s">
        <v>1710</v>
      </c>
    </row>
    <row r="513" spans="1:43" x14ac:dyDescent="0.15">
      <c r="A513" t="str">
        <f t="shared" si="171"/>
        <v>|BFZ|無色|21|10/10|神話レア|《[[絶え間ない飢餓、ウラモグ]]》|</v>
      </c>
      <c r="B513" t="s">
        <v>3168</v>
      </c>
      <c r="C513" t="str">
        <f t="shared" si="173"/>
        <v>BFZ</v>
      </c>
      <c r="D513">
        <f>IF(AA513="","",VLOOKUP(C513,tnpl!$Z$1:$AA$11,2,TRUE))</f>
        <v>2</v>
      </c>
      <c r="E513" t="s">
        <v>3168</v>
      </c>
      <c r="F513" t="str">
        <f t="shared" si="174"/>
        <v>無色</v>
      </c>
      <c r="G513">
        <f>IF(AB513="","",VLOOKUP(F513,tnpl!$X$1:$Y$16,2,TRUE))</f>
        <v>16</v>
      </c>
      <c r="H513" t="s">
        <v>3168</v>
      </c>
      <c r="I513">
        <f t="shared" si="175"/>
        <v>21</v>
      </c>
      <c r="J513" t="s">
        <v>3168</v>
      </c>
      <c r="K513">
        <f t="shared" si="176"/>
        <v>10</v>
      </c>
      <c r="L513">
        <f t="shared" si="177"/>
        <v>10</v>
      </c>
      <c r="M513" t="str">
        <f t="shared" si="172"/>
        <v>10/10</v>
      </c>
      <c r="N513" t="s">
        <v>3175</v>
      </c>
      <c r="O513" t="str">
        <f t="shared" si="178"/>
        <v>神話レア</v>
      </c>
      <c r="R513" t="s">
        <v>3175</v>
      </c>
      <c r="S513" t="s">
        <v>4750</v>
      </c>
      <c r="T513" t="str">
        <f t="shared" si="179"/>
        <v>絶え間ない飢餓、ウラモグ</v>
      </c>
      <c r="U513" t="str">
        <f t="shared" si="180"/>
        <v/>
      </c>
      <c r="V513" t="str">
        <f>IF(I513=0,VLOOKUP(T513,Sheet4!A:B,2,TRUE),"")</f>
        <v/>
      </c>
      <c r="W513" t="s">
        <v>4751</v>
      </c>
      <c r="X513" t="s">
        <v>3175</v>
      </c>
      <c r="Z513" s="3">
        <v>483</v>
      </c>
      <c r="AA513" s="2" t="s">
        <v>3170</v>
      </c>
      <c r="AB513" s="1" t="s">
        <v>292</v>
      </c>
      <c r="AC513" s="1" t="s">
        <v>1431</v>
      </c>
      <c r="AD513" s="1">
        <v>21</v>
      </c>
      <c r="AE513" s="1" t="s">
        <v>1661</v>
      </c>
      <c r="AF513" s="1" t="s">
        <v>1660</v>
      </c>
      <c r="AG513" s="1" t="s">
        <v>339</v>
      </c>
      <c r="AH513" s="1" t="s">
        <v>1435</v>
      </c>
      <c r="AI513" s="1"/>
      <c r="AJ513" s="1"/>
      <c r="AK513" s="1" t="s">
        <v>1659</v>
      </c>
      <c r="AL513" s="1"/>
      <c r="AM513" s="1"/>
      <c r="AN513" s="1"/>
      <c r="AO513" s="1">
        <v>10</v>
      </c>
      <c r="AP513" s="1">
        <v>10</v>
      </c>
      <c r="AQ513" s="1" t="s">
        <v>1659</v>
      </c>
    </row>
    <row r="514" spans="1:43" x14ac:dyDescent="0.15">
      <c r="A514" t="str">
        <f t="shared" si="171"/>
        <v>|SOI|白|0|10/10|神話レア|《[[浄化の天使、アヴァシン&gt;大天使アヴァシン]]》|</v>
      </c>
      <c r="B514" t="s">
        <v>3168</v>
      </c>
      <c r="C514" t="str">
        <f t="shared" si="173"/>
        <v>SOI</v>
      </c>
      <c r="D514">
        <f>IF(AA514="","",VLOOKUP(C514,tnpl!$Z$1:$AA$11,2,TRUE))</f>
        <v>4</v>
      </c>
      <c r="E514" t="s">
        <v>3168</v>
      </c>
      <c r="F514" t="str">
        <f t="shared" si="174"/>
        <v>白</v>
      </c>
      <c r="G514">
        <f>IF(AB514="","",VLOOKUP(F514,tnpl!$X$1:$Y$16,2,TRUE))</f>
        <v>1</v>
      </c>
      <c r="H514" t="s">
        <v>3168</v>
      </c>
      <c r="I514">
        <f t="shared" si="175"/>
        <v>0</v>
      </c>
      <c r="J514" t="s">
        <v>3168</v>
      </c>
      <c r="K514">
        <f t="shared" si="176"/>
        <v>10</v>
      </c>
      <c r="L514">
        <f t="shared" si="177"/>
        <v>10</v>
      </c>
      <c r="M514" t="str">
        <f t="shared" si="172"/>
        <v>10/10</v>
      </c>
      <c r="N514" t="s">
        <v>3175</v>
      </c>
      <c r="O514" t="str">
        <f t="shared" si="178"/>
        <v>神話レア</v>
      </c>
      <c r="R514" t="s">
        <v>3175</v>
      </c>
      <c r="S514" t="s">
        <v>4750</v>
      </c>
      <c r="T514" t="str">
        <f t="shared" si="179"/>
        <v>浄化の天使、アヴァシン</v>
      </c>
      <c r="U514" t="str">
        <f t="shared" si="180"/>
        <v>&gt;</v>
      </c>
      <c r="V514" t="str">
        <f>IF(I514=0,VLOOKUP(T514,Sheet4!A:B,2,TRUE),"")</f>
        <v>大天使アヴァシン</v>
      </c>
      <c r="W514" t="s">
        <v>4751</v>
      </c>
      <c r="X514" t="s">
        <v>3175</v>
      </c>
      <c r="Z514" s="3">
        <v>573</v>
      </c>
      <c r="AA514" s="2" t="s">
        <v>3431</v>
      </c>
      <c r="AB514" s="1" t="s">
        <v>1627</v>
      </c>
      <c r="AC514" s="1" t="s">
        <v>1431</v>
      </c>
      <c r="AD514" s="13">
        <v>0</v>
      </c>
      <c r="AE514" s="1" t="s">
        <v>1039</v>
      </c>
      <c r="AF514" s="1" t="s">
        <v>1038</v>
      </c>
      <c r="AG514" s="1" t="s">
        <v>339</v>
      </c>
      <c r="AH514" s="1" t="s">
        <v>348</v>
      </c>
      <c r="AI514" s="1"/>
      <c r="AJ514" s="1"/>
      <c r="AK514" s="1" t="s">
        <v>2406</v>
      </c>
      <c r="AL514" s="1" t="s">
        <v>3488</v>
      </c>
      <c r="AM514" s="1"/>
      <c r="AN514" s="1"/>
      <c r="AO514" s="1">
        <v>10</v>
      </c>
      <c r="AP514" s="1">
        <v>10</v>
      </c>
      <c r="AQ514" s="1" t="s">
        <v>3489</v>
      </c>
    </row>
    <row r="515" spans="1:43" x14ac:dyDescent="0.15">
      <c r="A515" t="str">
        <f t="shared" si="171"/>
        <v>|BFZ|無色|25|11/9|神話レア|《[[虚空の選別者]]》|</v>
      </c>
      <c r="B515" t="s">
        <v>3168</v>
      </c>
      <c r="C515" t="str">
        <f t="shared" si="173"/>
        <v>BFZ</v>
      </c>
      <c r="D515">
        <f>IF(AA515="","",VLOOKUP(C515,tnpl!$Z$1:$AA$11,2,TRUE))</f>
        <v>2</v>
      </c>
      <c r="E515" t="s">
        <v>3168</v>
      </c>
      <c r="F515" t="str">
        <f t="shared" si="174"/>
        <v>無色</v>
      </c>
      <c r="G515">
        <f>IF(AB515="","",VLOOKUP(F515,tnpl!$X$1:$Y$16,2,TRUE))</f>
        <v>16</v>
      </c>
      <c r="H515" t="s">
        <v>3168</v>
      </c>
      <c r="I515">
        <f t="shared" si="175"/>
        <v>25</v>
      </c>
      <c r="J515" t="s">
        <v>3168</v>
      </c>
      <c r="K515">
        <f t="shared" si="176"/>
        <v>11</v>
      </c>
      <c r="L515">
        <f t="shared" si="177"/>
        <v>9</v>
      </c>
      <c r="M515" t="str">
        <f t="shared" si="172"/>
        <v>11/9</v>
      </c>
      <c r="N515" t="s">
        <v>3175</v>
      </c>
      <c r="O515" t="str">
        <f t="shared" si="178"/>
        <v>神話レア</v>
      </c>
      <c r="R515" t="s">
        <v>3175</v>
      </c>
      <c r="S515" t="s">
        <v>4750</v>
      </c>
      <c r="T515" t="str">
        <f t="shared" si="179"/>
        <v>虚空の選別者</v>
      </c>
      <c r="U515" t="str">
        <f t="shared" si="180"/>
        <v/>
      </c>
      <c r="V515" t="str">
        <f>IF(I515=0,VLOOKUP(T515,Sheet4!A:B,2,TRUE),"")</f>
        <v/>
      </c>
      <c r="W515" t="s">
        <v>4751</v>
      </c>
      <c r="X515" t="s">
        <v>3175</v>
      </c>
      <c r="Z515" s="3">
        <v>484</v>
      </c>
      <c r="AA515" s="2" t="s">
        <v>3170</v>
      </c>
      <c r="AB515" s="1" t="s">
        <v>292</v>
      </c>
      <c r="AC515" s="1" t="s">
        <v>1431</v>
      </c>
      <c r="AD515" s="1">
        <v>25</v>
      </c>
      <c r="AE515" s="1" t="s">
        <v>1658</v>
      </c>
      <c r="AF515" s="1" t="s">
        <v>1657</v>
      </c>
      <c r="AG515" s="1" t="s">
        <v>339</v>
      </c>
      <c r="AH515" s="1" t="s">
        <v>1435</v>
      </c>
      <c r="AI515" s="1"/>
      <c r="AJ515" s="1"/>
      <c r="AK515" s="1" t="s">
        <v>1656</v>
      </c>
      <c r="AL515" s="1"/>
      <c r="AM515" s="1"/>
      <c r="AN515" s="1"/>
      <c r="AO515" s="1">
        <v>11</v>
      </c>
      <c r="AP515" s="1">
        <v>9</v>
      </c>
      <c r="AQ515" s="1" t="s">
        <v>1656</v>
      </c>
    </row>
    <row r="516" spans="1:43" x14ac:dyDescent="0.15">
      <c r="A516" t="str">
        <f t="shared" si="171"/>
        <v>|SOI|赤|0|12/11|神話レア|《[[ヴィルディン群れの頭目&gt;ガイアー岬の山賊]]》|</v>
      </c>
      <c r="B516" t="s">
        <v>3168</v>
      </c>
      <c r="C516" t="str">
        <f t="shared" si="173"/>
        <v>SOI</v>
      </c>
      <c r="D516">
        <f>IF(AA516="","",VLOOKUP(C516,tnpl!$Z$1:$AA$11,2,TRUE))</f>
        <v>4</v>
      </c>
      <c r="E516" t="s">
        <v>3168</v>
      </c>
      <c r="F516" t="str">
        <f t="shared" si="174"/>
        <v>赤</v>
      </c>
      <c r="G516">
        <f>IF(AB516="","",VLOOKUP(F516,tnpl!$X$1:$Y$16,2,TRUE))</f>
        <v>4</v>
      </c>
      <c r="H516" t="s">
        <v>3168</v>
      </c>
      <c r="I516">
        <f t="shared" si="175"/>
        <v>0</v>
      </c>
      <c r="J516" t="s">
        <v>3168</v>
      </c>
      <c r="K516">
        <f t="shared" si="176"/>
        <v>12</v>
      </c>
      <c r="L516">
        <f t="shared" si="177"/>
        <v>11</v>
      </c>
      <c r="M516" t="str">
        <f t="shared" si="172"/>
        <v>12/11</v>
      </c>
      <c r="N516" t="s">
        <v>3175</v>
      </c>
      <c r="O516" t="str">
        <f t="shared" si="178"/>
        <v>神話レア</v>
      </c>
      <c r="R516" t="s">
        <v>3175</v>
      </c>
      <c r="S516" t="s">
        <v>4750</v>
      </c>
      <c r="T516" t="str">
        <f t="shared" si="179"/>
        <v>ヴィルディン群れの頭目</v>
      </c>
      <c r="U516" t="str">
        <f t="shared" si="180"/>
        <v>&gt;</v>
      </c>
      <c r="V516" t="str">
        <f>IF(I516=0,VLOOKUP(T516,Sheet4!A:B,2,TRUE),"")</f>
        <v>ガイアー岬の山賊</v>
      </c>
      <c r="W516" t="s">
        <v>4751</v>
      </c>
      <c r="X516" t="s">
        <v>3175</v>
      </c>
      <c r="Z516" s="3">
        <v>676</v>
      </c>
      <c r="AA516" s="2" t="s">
        <v>3431</v>
      </c>
      <c r="AB516" s="1" t="s">
        <v>1552</v>
      </c>
      <c r="AC516" s="1" t="s">
        <v>1431</v>
      </c>
      <c r="AD516" s="13">
        <v>0</v>
      </c>
      <c r="AE516" s="1" t="s">
        <v>1011</v>
      </c>
      <c r="AF516" s="1" t="s">
        <v>1010</v>
      </c>
      <c r="AG516" s="1" t="s">
        <v>339</v>
      </c>
      <c r="AH516" s="1" t="s">
        <v>3605</v>
      </c>
      <c r="AI516" s="1"/>
      <c r="AJ516" s="1"/>
      <c r="AK516" s="1" t="s">
        <v>3648</v>
      </c>
      <c r="AL516" s="1" t="s">
        <v>3607</v>
      </c>
      <c r="AM516" s="1"/>
      <c r="AN516" s="1"/>
      <c r="AO516" s="1">
        <v>12</v>
      </c>
      <c r="AP516" s="1">
        <v>11</v>
      </c>
      <c r="AQ516" s="1" t="s">
        <v>3649</v>
      </c>
    </row>
    <row r="517" spans="1:43" x14ac:dyDescent="0.15">
      <c r="A517" t="str">
        <f t="shared" si="171"/>
        <v>|OGW|無色|28|12/12|神話レア|《[[大いなる歪み、コジレック]]》|</v>
      </c>
      <c r="B517" t="s">
        <v>3168</v>
      </c>
      <c r="C517" t="str">
        <f t="shared" si="173"/>
        <v>OGW</v>
      </c>
      <c r="D517">
        <f>IF(AA517="","",VLOOKUP(C517,tnpl!$Z$1:$AA$11,2,TRUE))</f>
        <v>3</v>
      </c>
      <c r="E517" t="s">
        <v>3168</v>
      </c>
      <c r="F517" t="str">
        <f t="shared" si="174"/>
        <v>無色</v>
      </c>
      <c r="G517">
        <f>IF(AB517="","",VLOOKUP(F517,tnpl!$X$1:$Y$16,2,TRUE))</f>
        <v>16</v>
      </c>
      <c r="H517" t="s">
        <v>3168</v>
      </c>
      <c r="I517">
        <f t="shared" si="175"/>
        <v>28</v>
      </c>
      <c r="J517" t="s">
        <v>3168</v>
      </c>
      <c r="K517">
        <f t="shared" si="176"/>
        <v>12</v>
      </c>
      <c r="L517">
        <f t="shared" si="177"/>
        <v>12</v>
      </c>
      <c r="M517" t="str">
        <f t="shared" si="172"/>
        <v>12/12</v>
      </c>
      <c r="N517" t="s">
        <v>3175</v>
      </c>
      <c r="O517" t="str">
        <f t="shared" si="178"/>
        <v>神話レア</v>
      </c>
      <c r="R517" t="s">
        <v>3175</v>
      </c>
      <c r="S517" t="s">
        <v>4750</v>
      </c>
      <c r="T517" t="str">
        <f t="shared" si="179"/>
        <v>大いなる歪み、コジレック</v>
      </c>
      <c r="U517" t="str">
        <f t="shared" si="180"/>
        <v/>
      </c>
      <c r="V517" t="str">
        <f>IF(I517=0,VLOOKUP(T517,Sheet4!A:B,2,TRUE),"")</f>
        <v/>
      </c>
      <c r="W517" t="s">
        <v>4751</v>
      </c>
      <c r="X517" t="s">
        <v>3175</v>
      </c>
      <c r="Z517" s="3">
        <v>536</v>
      </c>
      <c r="AA517" s="2" t="s">
        <v>3171</v>
      </c>
      <c r="AB517" s="1" t="s">
        <v>292</v>
      </c>
      <c r="AC517" s="1" t="s">
        <v>1431</v>
      </c>
      <c r="AD517" s="1">
        <v>28</v>
      </c>
      <c r="AE517" s="1" t="s">
        <v>1437</v>
      </c>
      <c r="AF517" s="1" t="s">
        <v>1436</v>
      </c>
      <c r="AG517" s="1" t="s">
        <v>339</v>
      </c>
      <c r="AH517" s="1" t="s">
        <v>1435</v>
      </c>
      <c r="AI517" s="1"/>
      <c r="AJ517" s="1"/>
      <c r="AK517" s="1" t="s">
        <v>1434</v>
      </c>
      <c r="AL517" s="1" t="s">
        <v>1433</v>
      </c>
      <c r="AM517" s="1" t="s">
        <v>3430</v>
      </c>
      <c r="AN517" s="1"/>
      <c r="AO517" s="1">
        <v>12</v>
      </c>
      <c r="AP517" s="1">
        <v>12</v>
      </c>
      <c r="AQ517" s="1" t="s">
        <v>1432</v>
      </c>
    </row>
    <row r="518" spans="1:43" x14ac:dyDescent="0.15">
      <c r="A518" t="str">
        <f t="shared" si="171"/>
        <v>|EMN|赤緑|0|12/12|神話レア|《[[揺るぎない頭目、ウルリッチ&gt;爪の群れのウルリッチ]]》|</v>
      </c>
      <c r="B518" t="s">
        <v>3168</v>
      </c>
      <c r="C518" t="str">
        <f t="shared" si="173"/>
        <v>EMN</v>
      </c>
      <c r="D518">
        <f>IF(AA518="","",VLOOKUP(C518,tnpl!$Z$1:$AA$11,2,TRUE))</f>
        <v>5</v>
      </c>
      <c r="E518" t="s">
        <v>3168</v>
      </c>
      <c r="F518" t="str">
        <f t="shared" si="174"/>
        <v>赤緑</v>
      </c>
      <c r="G518">
        <f>IF(AB518="","",VLOOKUP(F518,tnpl!$X$1:$Y$16,2,TRUE))</f>
        <v>9</v>
      </c>
      <c r="H518" t="s">
        <v>3168</v>
      </c>
      <c r="I518">
        <f t="shared" si="175"/>
        <v>0</v>
      </c>
      <c r="J518" t="s">
        <v>3168</v>
      </c>
      <c r="K518">
        <f t="shared" si="176"/>
        <v>12</v>
      </c>
      <c r="L518">
        <f t="shared" si="177"/>
        <v>12</v>
      </c>
      <c r="M518" t="str">
        <f t="shared" si="172"/>
        <v>12/12</v>
      </c>
      <c r="N518" t="s">
        <v>3175</v>
      </c>
      <c r="O518" t="str">
        <f t="shared" si="178"/>
        <v>神話レア</v>
      </c>
      <c r="R518" t="s">
        <v>3175</v>
      </c>
      <c r="S518" t="s">
        <v>4750</v>
      </c>
      <c r="T518" t="str">
        <f t="shared" si="179"/>
        <v>揺るぎない頭目、ウルリッチ</v>
      </c>
      <c r="U518" t="str">
        <f t="shared" si="180"/>
        <v>&gt;</v>
      </c>
      <c r="V518" t="str">
        <f>IF(I518=0,VLOOKUP(T518,Sheet4!A:B,2,TRUE),"")</f>
        <v>爪の群れのウルリッチ</v>
      </c>
      <c r="W518" t="s">
        <v>4751</v>
      </c>
      <c r="X518" t="s">
        <v>3175</v>
      </c>
      <c r="Z518" s="3">
        <v>824</v>
      </c>
      <c r="AA518" s="2" t="s">
        <v>3773</v>
      </c>
      <c r="AB518" s="1" t="s">
        <v>1482</v>
      </c>
      <c r="AC518" s="1" t="s">
        <v>1431</v>
      </c>
      <c r="AD518" s="13">
        <v>0</v>
      </c>
      <c r="AE518" s="1" t="s">
        <v>834</v>
      </c>
      <c r="AF518" s="1" t="s">
        <v>833</v>
      </c>
      <c r="AG518" s="1" t="s">
        <v>339</v>
      </c>
      <c r="AH518" s="1" t="s">
        <v>3605</v>
      </c>
      <c r="AI518" s="1"/>
      <c r="AJ518" s="1"/>
      <c r="AK518" s="1" t="s">
        <v>3912</v>
      </c>
      <c r="AL518" s="1" t="s">
        <v>3607</v>
      </c>
      <c r="AM518" s="1"/>
      <c r="AN518" s="1"/>
      <c r="AO518" s="1">
        <v>12</v>
      </c>
      <c r="AP518" s="1">
        <v>12</v>
      </c>
      <c r="AQ518" s="1" t="s">
        <v>3913</v>
      </c>
    </row>
    <row r="519" spans="1:43" x14ac:dyDescent="0.15">
      <c r="A519" t="str">
        <f t="shared" si="171"/>
        <v>|KLD|無色|14|12/12|神話レア|《[[金属製の巨像]]》|</v>
      </c>
      <c r="B519" t="s">
        <v>3168</v>
      </c>
      <c r="C519" t="str">
        <f t="shared" si="173"/>
        <v>KLD</v>
      </c>
      <c r="D519">
        <f>IF(AA519="","",VLOOKUP(C519,tnpl!$Z$1:$AA$11,2,TRUE))</f>
        <v>6</v>
      </c>
      <c r="E519" t="s">
        <v>3168</v>
      </c>
      <c r="F519" t="str">
        <f t="shared" si="174"/>
        <v>無色</v>
      </c>
      <c r="G519">
        <f>IF(AB519="","",VLOOKUP(F519,tnpl!$X$1:$Y$16,2,TRUE))</f>
        <v>16</v>
      </c>
      <c r="H519" t="s">
        <v>3168</v>
      </c>
      <c r="I519">
        <f t="shared" si="175"/>
        <v>14</v>
      </c>
      <c r="J519" t="s">
        <v>3168</v>
      </c>
      <c r="K519">
        <f t="shared" si="176"/>
        <v>12</v>
      </c>
      <c r="L519">
        <f t="shared" si="177"/>
        <v>12</v>
      </c>
      <c r="M519" t="str">
        <f t="shared" si="172"/>
        <v>12/12</v>
      </c>
      <c r="N519" t="s">
        <v>3175</v>
      </c>
      <c r="O519" t="str">
        <f t="shared" si="178"/>
        <v>神話レア</v>
      </c>
      <c r="R519" t="s">
        <v>3175</v>
      </c>
      <c r="S519" t="s">
        <v>4750</v>
      </c>
      <c r="T519" t="str">
        <f t="shared" si="179"/>
        <v>金属製の巨像</v>
      </c>
      <c r="U519" t="str">
        <f t="shared" si="180"/>
        <v/>
      </c>
      <c r="V519" t="str">
        <f>IF(I519=0,VLOOKUP(T519,Sheet4!A:B,2,TRUE),"")</f>
        <v/>
      </c>
      <c r="W519" t="s">
        <v>4751</v>
      </c>
      <c r="X519" t="s">
        <v>3175</v>
      </c>
      <c r="Z519" s="3">
        <v>1016</v>
      </c>
      <c r="AA519" s="2" t="s">
        <v>3937</v>
      </c>
      <c r="AB519" s="1" t="s">
        <v>292</v>
      </c>
      <c r="AC519" s="1" t="s">
        <v>1431</v>
      </c>
      <c r="AD519" s="1">
        <v>14</v>
      </c>
      <c r="AE519" s="1" t="s">
        <v>478</v>
      </c>
      <c r="AF519" s="1" t="s">
        <v>477</v>
      </c>
      <c r="AG519" s="1" t="s">
        <v>339</v>
      </c>
      <c r="AH519" s="1" t="s">
        <v>352</v>
      </c>
      <c r="AI519" s="1"/>
      <c r="AJ519" s="1"/>
      <c r="AK519" s="1" t="s">
        <v>2595</v>
      </c>
      <c r="AL519" s="1" t="s">
        <v>4225</v>
      </c>
      <c r="AM519" s="1" t="s">
        <v>4226</v>
      </c>
      <c r="AN519" s="1"/>
      <c r="AO519" s="1">
        <v>12</v>
      </c>
      <c r="AP519" s="1">
        <v>12</v>
      </c>
      <c r="AQ519" s="1" t="s">
        <v>4227</v>
      </c>
    </row>
    <row r="520" spans="1:43" x14ac:dyDescent="0.15">
      <c r="A520" t="str">
        <f t="shared" si="171"/>
        <v>|KLD|無色|25|12/12|神話レア|《[[領事の旗艦、スカイソブリン]]》|</v>
      </c>
      <c r="B520" t="s">
        <v>3168</v>
      </c>
      <c r="C520" t="str">
        <f t="shared" si="173"/>
        <v>KLD</v>
      </c>
      <c r="D520">
        <f>IF(AA520="","",VLOOKUP(C520,tnpl!$Z$1:$AA$11,2,TRUE))</f>
        <v>6</v>
      </c>
      <c r="E520" t="s">
        <v>3168</v>
      </c>
      <c r="F520" t="str">
        <f t="shared" si="174"/>
        <v>無色</v>
      </c>
      <c r="G520">
        <f>IF(AB520="","",VLOOKUP(F520,tnpl!$X$1:$Y$16,2,TRUE))</f>
        <v>16</v>
      </c>
      <c r="H520" t="s">
        <v>3168</v>
      </c>
      <c r="I520">
        <f t="shared" si="175"/>
        <v>25</v>
      </c>
      <c r="J520" t="s">
        <v>3168</v>
      </c>
      <c r="K520">
        <f t="shared" si="176"/>
        <v>12</v>
      </c>
      <c r="L520">
        <f t="shared" si="177"/>
        <v>12</v>
      </c>
      <c r="M520" t="str">
        <f t="shared" si="172"/>
        <v>12/12</v>
      </c>
      <c r="N520" t="s">
        <v>3175</v>
      </c>
      <c r="O520" t="str">
        <f t="shared" si="178"/>
        <v>神話レア</v>
      </c>
      <c r="R520" t="s">
        <v>3175</v>
      </c>
      <c r="S520" t="s">
        <v>4750</v>
      </c>
      <c r="T520" t="str">
        <f t="shared" si="179"/>
        <v>領事の旗艦、スカイソブリン</v>
      </c>
      <c r="U520" t="str">
        <f t="shared" si="180"/>
        <v/>
      </c>
      <c r="V520" t="str">
        <f>IF(I520=0,VLOOKUP(T520,Sheet4!A:B,2,TRUE),"")</f>
        <v/>
      </c>
      <c r="W520" t="s">
        <v>4751</v>
      </c>
      <c r="X520" t="s">
        <v>3175</v>
      </c>
      <c r="Z520" s="3">
        <v>1017</v>
      </c>
      <c r="AA520" s="2" t="s">
        <v>3937</v>
      </c>
      <c r="AB520" s="1" t="s">
        <v>292</v>
      </c>
      <c r="AC520" s="1" t="s">
        <v>1431</v>
      </c>
      <c r="AD520" s="1">
        <v>25</v>
      </c>
      <c r="AE520" s="1" t="s">
        <v>476</v>
      </c>
      <c r="AF520" s="1" t="s">
        <v>475</v>
      </c>
      <c r="AG520" s="1" t="s">
        <v>339</v>
      </c>
      <c r="AH520" s="1" t="s">
        <v>4174</v>
      </c>
      <c r="AI520" s="1"/>
      <c r="AJ520" s="1"/>
      <c r="AK520" s="1" t="s">
        <v>351</v>
      </c>
      <c r="AL520" s="1" t="s">
        <v>4228</v>
      </c>
      <c r="AM520" s="1" t="s">
        <v>4218</v>
      </c>
      <c r="AN520" s="1"/>
      <c r="AO520" s="1">
        <v>12</v>
      </c>
      <c r="AP520" s="1">
        <v>12</v>
      </c>
      <c r="AQ520" s="1" t="s">
        <v>4229</v>
      </c>
    </row>
    <row r="521" spans="1:43" x14ac:dyDescent="0.15">
      <c r="A521" t="str">
        <f t="shared" si="171"/>
        <v>|AER|無色|25|12/12|神話レア|《[[キランの真意号]]》|</v>
      </c>
      <c r="B521" t="s">
        <v>3168</v>
      </c>
      <c r="C521" t="str">
        <f t="shared" si="173"/>
        <v>AER</v>
      </c>
      <c r="D521">
        <f>IF(AA521="","",VLOOKUP(C521,tnpl!$Z$1:$AA$11,2,TRUE))</f>
        <v>7</v>
      </c>
      <c r="E521" t="s">
        <v>3168</v>
      </c>
      <c r="F521" t="str">
        <f t="shared" si="174"/>
        <v>無色</v>
      </c>
      <c r="G521">
        <f>IF(AB521="","",VLOOKUP(F521,tnpl!$X$1:$Y$16,2,TRUE))</f>
        <v>16</v>
      </c>
      <c r="H521" t="s">
        <v>3168</v>
      </c>
      <c r="I521">
        <f t="shared" si="175"/>
        <v>25</v>
      </c>
      <c r="J521" t="s">
        <v>3168</v>
      </c>
      <c r="K521">
        <f t="shared" si="176"/>
        <v>12</v>
      </c>
      <c r="L521">
        <f t="shared" si="177"/>
        <v>12</v>
      </c>
      <c r="M521" t="str">
        <f t="shared" si="172"/>
        <v>12/12</v>
      </c>
      <c r="N521" t="s">
        <v>3175</v>
      </c>
      <c r="O521" t="str">
        <f t="shared" si="178"/>
        <v>神話レア</v>
      </c>
      <c r="R521" t="s">
        <v>3175</v>
      </c>
      <c r="S521" t="s">
        <v>4750</v>
      </c>
      <c r="T521" t="str">
        <f t="shared" si="179"/>
        <v>キランの真意号</v>
      </c>
      <c r="U521" t="str">
        <f t="shared" si="180"/>
        <v/>
      </c>
      <c r="V521" t="str">
        <f>IF(I521=0,VLOOKUP(T521,Sheet4!A:B,2,TRUE),"")</f>
        <v/>
      </c>
      <c r="W521" t="s">
        <v>4751</v>
      </c>
      <c r="X521" t="s">
        <v>3175</v>
      </c>
      <c r="Z521" s="3">
        <v>1075</v>
      </c>
      <c r="AA521" s="2" t="s">
        <v>4236</v>
      </c>
      <c r="AB521" s="1" t="s">
        <v>292</v>
      </c>
      <c r="AC521" s="1" t="s">
        <v>1431</v>
      </c>
      <c r="AD521" s="1">
        <v>25</v>
      </c>
      <c r="AE521" s="1" t="s">
        <v>365</v>
      </c>
      <c r="AF521" s="1" t="s">
        <v>364</v>
      </c>
      <c r="AG521" s="1" t="s">
        <v>339</v>
      </c>
      <c r="AH521" s="1" t="s">
        <v>4174</v>
      </c>
      <c r="AI521" s="1"/>
      <c r="AJ521" s="1"/>
      <c r="AK521" s="1" t="s">
        <v>2406</v>
      </c>
      <c r="AL521" s="1" t="s">
        <v>4324</v>
      </c>
      <c r="AM521" s="1" t="s">
        <v>4325</v>
      </c>
      <c r="AN521" s="1"/>
      <c r="AO521" s="1">
        <v>12</v>
      </c>
      <c r="AP521" s="1">
        <v>12</v>
      </c>
      <c r="AQ521" s="1" t="s">
        <v>4326</v>
      </c>
    </row>
    <row r="522" spans="1:43" x14ac:dyDescent="0.15">
      <c r="A522" t="str">
        <f t="shared" si="171"/>
        <v>|EMN|無色|20|13/13|神話レア|《[[約束された終末、エムラクール]]》|</v>
      </c>
      <c r="B522" t="s">
        <v>3168</v>
      </c>
      <c r="C522" t="str">
        <f t="shared" si="173"/>
        <v>EMN</v>
      </c>
      <c r="D522">
        <f>IF(AA522="","",VLOOKUP(C522,tnpl!$Z$1:$AA$11,2,TRUE))</f>
        <v>5</v>
      </c>
      <c r="E522" t="s">
        <v>3168</v>
      </c>
      <c r="F522" t="str">
        <f t="shared" si="174"/>
        <v>無色</v>
      </c>
      <c r="G522">
        <f>IF(AB522="","",VLOOKUP(F522,tnpl!$X$1:$Y$16,2,TRUE))</f>
        <v>16</v>
      </c>
      <c r="H522" t="s">
        <v>3168</v>
      </c>
      <c r="I522">
        <f t="shared" si="175"/>
        <v>20</v>
      </c>
      <c r="J522" t="s">
        <v>3168</v>
      </c>
      <c r="K522">
        <f t="shared" si="176"/>
        <v>13</v>
      </c>
      <c r="L522">
        <f t="shared" si="177"/>
        <v>13</v>
      </c>
      <c r="M522" t="str">
        <f t="shared" si="172"/>
        <v>13/13</v>
      </c>
      <c r="N522" t="s">
        <v>3175</v>
      </c>
      <c r="O522" t="str">
        <f t="shared" si="178"/>
        <v>神話レア</v>
      </c>
      <c r="R522" t="s">
        <v>3175</v>
      </c>
      <c r="S522" t="s">
        <v>4750</v>
      </c>
      <c r="T522" t="str">
        <f t="shared" si="179"/>
        <v>約束された終末、エムラクール</v>
      </c>
      <c r="U522" t="str">
        <f t="shared" si="180"/>
        <v/>
      </c>
      <c r="V522" t="str">
        <f>IF(I522=0,VLOOKUP(T522,Sheet4!A:B,2,TRUE),"")</f>
        <v/>
      </c>
      <c r="W522" t="s">
        <v>4751</v>
      </c>
      <c r="X522" t="s">
        <v>3175</v>
      </c>
      <c r="Z522" s="3">
        <v>835</v>
      </c>
      <c r="AA522" s="2" t="s">
        <v>3773</v>
      </c>
      <c r="AB522" s="1" t="s">
        <v>292</v>
      </c>
      <c r="AC522" s="1" t="s">
        <v>1431</v>
      </c>
      <c r="AD522" s="1">
        <v>20</v>
      </c>
      <c r="AE522" s="1" t="s">
        <v>860</v>
      </c>
      <c r="AF522" s="1" t="s">
        <v>859</v>
      </c>
      <c r="AG522" s="1" t="s">
        <v>339</v>
      </c>
      <c r="AH522" s="1" t="s">
        <v>1435</v>
      </c>
      <c r="AI522" s="1"/>
      <c r="AJ522" s="1"/>
      <c r="AK522" s="1" t="s">
        <v>3596</v>
      </c>
      <c r="AL522" s="1" t="s">
        <v>3935</v>
      </c>
      <c r="AM522" s="1"/>
      <c r="AN522" s="1"/>
      <c r="AO522" s="1">
        <v>13</v>
      </c>
      <c r="AP522" s="1">
        <v>13</v>
      </c>
      <c r="AQ522" s="1" t="s">
        <v>3936</v>
      </c>
    </row>
    <row r="523" spans="1:43" x14ac:dyDescent="0.15">
      <c r="A523" t="str">
        <f t="shared" si="171"/>
        <v>|SOI|無色|0|15/13|レア|《[[不敬の皇子、オーメンダール&gt;ウェストヴェイルの修道院]]》|</v>
      </c>
      <c r="B523" t="s">
        <v>3168</v>
      </c>
      <c r="C523" t="str">
        <f t="shared" si="173"/>
        <v>SOI</v>
      </c>
      <c r="D523">
        <f>IF(AA523="","",VLOOKUP(C523,tnpl!$Z$1:$AA$11,2,TRUE))</f>
        <v>4</v>
      </c>
      <c r="E523" t="s">
        <v>3168</v>
      </c>
      <c r="F523" t="str">
        <f t="shared" si="174"/>
        <v>無色</v>
      </c>
      <c r="G523">
        <f>IF(AB523="","",VLOOKUP(F523,tnpl!$X$1:$Y$16,2,TRUE))</f>
        <v>16</v>
      </c>
      <c r="H523" t="s">
        <v>3168</v>
      </c>
      <c r="I523">
        <f t="shared" si="175"/>
        <v>0</v>
      </c>
      <c r="J523" t="s">
        <v>3168</v>
      </c>
      <c r="K523">
        <f t="shared" si="176"/>
        <v>15</v>
      </c>
      <c r="L523">
        <f t="shared" si="177"/>
        <v>13</v>
      </c>
      <c r="M523" t="str">
        <f t="shared" si="172"/>
        <v>15/13</v>
      </c>
      <c r="N523" t="s">
        <v>3175</v>
      </c>
      <c r="O523" t="str">
        <f t="shared" si="178"/>
        <v>レア</v>
      </c>
      <c r="R523" t="s">
        <v>3175</v>
      </c>
      <c r="S523" t="s">
        <v>4750</v>
      </c>
      <c r="T523" t="str">
        <f t="shared" si="179"/>
        <v>不敬の皇子、オーメンダール</v>
      </c>
      <c r="U523" t="str">
        <f t="shared" si="180"/>
        <v>&gt;</v>
      </c>
      <c r="V523" t="str">
        <f>IF(I523=0,VLOOKUP(T523,Sheet4!A:B,2,TRUE),"")</f>
        <v>ウェストヴェイルの修道院</v>
      </c>
      <c r="W523" t="s">
        <v>4751</v>
      </c>
      <c r="X523" t="s">
        <v>3175</v>
      </c>
      <c r="Z523" s="3">
        <v>748</v>
      </c>
      <c r="AA523" s="2" t="s">
        <v>3431</v>
      </c>
      <c r="AB523" s="1" t="s">
        <v>292</v>
      </c>
      <c r="AC523" s="1" t="s">
        <v>1441</v>
      </c>
      <c r="AD523" s="13">
        <v>0</v>
      </c>
      <c r="AE523" s="1" t="s">
        <v>995</v>
      </c>
      <c r="AF523" s="1" t="s">
        <v>994</v>
      </c>
      <c r="AG523" s="1" t="s">
        <v>339</v>
      </c>
      <c r="AH523" s="1" t="s">
        <v>2793</v>
      </c>
      <c r="AI523" s="1"/>
      <c r="AJ523" s="1"/>
      <c r="AK523" s="1" t="s">
        <v>3764</v>
      </c>
      <c r="AL523" s="1"/>
      <c r="AM523" s="1"/>
      <c r="AN523" s="1"/>
      <c r="AO523" s="1">
        <v>15</v>
      </c>
      <c r="AP523" s="1">
        <v>13</v>
      </c>
      <c r="AQ523" s="1" t="s">
        <v>3764</v>
      </c>
    </row>
  </sheetData>
  <autoFilter ref="Z1:AQ2"/>
  <sortState ref="A520:AQ537">
    <sortCondition ref="K520:K537"/>
    <sortCondition ref="L520:L537"/>
    <sortCondition ref="Z520:Z537"/>
  </sortState>
  <phoneticPr fontId="1"/>
  <conditionalFormatting sqref="AP506:AP523">
    <cfRule type="cellIs" dxfId="64" priority="6" operator="notEqual">
      <formula>$P506</formula>
    </cfRule>
  </conditionalFormatting>
  <conditionalFormatting sqref="AP4:AP5">
    <cfRule type="cellIs" dxfId="63" priority="5" operator="notEqual">
      <formula>$P4</formula>
    </cfRule>
  </conditionalFormatting>
  <conditionalFormatting sqref="AP8:AP9">
    <cfRule type="cellIs" dxfId="62" priority="4" operator="notEqual">
      <formula>$P8</formula>
    </cfRule>
  </conditionalFormatting>
  <conditionalFormatting sqref="AP12:AP13">
    <cfRule type="cellIs" dxfId="61" priority="3" operator="notEqual">
      <formula>$P12</formula>
    </cfRule>
  </conditionalFormatting>
  <conditionalFormatting sqref="AP16:AP17">
    <cfRule type="cellIs" dxfId="60" priority="2" operator="notEqual">
      <formula>$P16</formula>
    </cfRule>
  </conditionalFormatting>
  <conditionalFormatting sqref="AP28">
    <cfRule type="cellIs" dxfId="59" priority="1" operator="notEqual">
      <formula>$P28</formula>
    </cfRule>
  </conditionalFormatting>
  <dataValidations count="1">
    <dataValidation type="list" allowBlank="1" showInputMessage="1" showErrorMessage="1" sqref="AC88:AC89 AC160 AC268 AC360 AC423:AC424 AC466 AC28">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FZ">
                <anchor moveWithCells="1" sizeWithCells="1">
                  <from>
                    <xdr:col>0</xdr:col>
                    <xdr:colOff>76200</xdr:colOff>
                    <xdr:row>0</xdr:row>
                    <xdr:rowOff>9525</xdr:rowOff>
                  </from>
                  <to>
                    <xdr:col>0</xdr:col>
                    <xdr:colOff>628650</xdr:colOff>
                    <xdr:row>1</xdr:row>
                    <xdr:rowOff>142875</xdr:rowOff>
                  </to>
                </anchor>
              </controlPr>
            </control>
          </mc:Choice>
        </mc:AlternateContent>
        <mc:AlternateContent xmlns:mc="http://schemas.openxmlformats.org/markup-compatibility/2006">
          <mc:Choice Requires="x14">
            <control shapeId="25602" r:id="rId5" name="Button 2">
              <controlPr defaultSize="0" print="0" autoFill="0" autoPict="0" macro="[0]!SOI">
                <anchor moveWithCells="1" sizeWithCells="1">
                  <from>
                    <xdr:col>0</xdr:col>
                    <xdr:colOff>742950</xdr:colOff>
                    <xdr:row>0</xdr:row>
                    <xdr:rowOff>38100</xdr:rowOff>
                  </from>
                  <to>
                    <xdr:col>0</xdr:col>
                    <xdr:colOff>1314450</xdr:colOff>
                    <xdr:row>1</xdr:row>
                    <xdr:rowOff>161925</xdr:rowOff>
                  </to>
                </anchor>
              </controlPr>
            </control>
          </mc:Choice>
        </mc:AlternateContent>
        <mc:AlternateContent xmlns:mc="http://schemas.openxmlformats.org/markup-compatibility/2006">
          <mc:Choice Requires="x14">
            <control shapeId="25603" r:id="rId6" name="Button 3">
              <controlPr defaultSize="0" print="0" autoFill="0" autoPict="0" macro="[0]!KLD">
                <anchor moveWithCells="1" sizeWithCells="1">
                  <from>
                    <xdr:col>0</xdr:col>
                    <xdr:colOff>1419225</xdr:colOff>
                    <xdr:row>0</xdr:row>
                    <xdr:rowOff>38100</xdr:rowOff>
                  </from>
                  <to>
                    <xdr:col>0</xdr:col>
                    <xdr:colOff>2038350</xdr:colOff>
                    <xdr:row>2</xdr:row>
                    <xdr:rowOff>9525</xdr:rowOff>
                  </to>
                </anchor>
              </controlPr>
            </control>
          </mc:Choice>
        </mc:AlternateContent>
        <mc:AlternateContent xmlns:mc="http://schemas.openxmlformats.org/markup-compatibility/2006">
          <mc:Choice Requires="x14">
            <control shapeId="25604" r:id="rId7" name="Button 4">
              <controlPr defaultSize="0" print="0" autoFill="0" autoPict="0" macro="[0]!AKH">
                <anchor moveWithCells="1" sizeWithCells="1">
                  <from>
                    <xdr:col>1</xdr:col>
                    <xdr:colOff>47625</xdr:colOff>
                    <xdr:row>0</xdr:row>
                    <xdr:rowOff>47625</xdr:rowOff>
                  </from>
                  <to>
                    <xdr:col>3</xdr:col>
                    <xdr:colOff>152400</xdr:colOff>
                    <xdr:row>2</xdr:row>
                    <xdr:rowOff>47625</xdr:rowOff>
                  </to>
                </anchor>
              </controlPr>
            </control>
          </mc:Choice>
        </mc:AlternateContent>
        <mc:AlternateContent xmlns:mc="http://schemas.openxmlformats.org/markup-compatibility/2006">
          <mc:Choice Requires="x14">
            <control shapeId="25605" r:id="rId8" name="Button 5">
              <controlPr defaultSize="0" print="0" autoFill="0" autoPict="0" macro="[0]!ORI">
                <anchor moveWithCells="1" sizeWithCells="1">
                  <from>
                    <xdr:col>3</xdr:col>
                    <xdr:colOff>295275</xdr:colOff>
                    <xdr:row>0</xdr:row>
                    <xdr:rowOff>66675</xdr:rowOff>
                  </from>
                  <to>
                    <xdr:col>5</xdr:col>
                    <xdr:colOff>438150</xdr:colOff>
                    <xdr:row>2</xdr:row>
                    <xdr:rowOff>47625</xdr:rowOff>
                  </to>
                </anchor>
              </controlPr>
            </control>
          </mc:Choice>
        </mc:AlternateContent>
        <mc:AlternateContent xmlns:mc="http://schemas.openxmlformats.org/markup-compatibility/2006">
          <mc:Choice Requires="x14">
            <control shapeId="25606" r:id="rId9" name="Button 6">
              <controlPr defaultSize="0" print="0" autoFill="0" autoPict="0" macro="[0]!TAGV2">
                <anchor moveWithCells="1" sizeWithCells="1">
                  <from>
                    <xdr:col>11</xdr:col>
                    <xdr:colOff>9525</xdr:colOff>
                    <xdr:row>0</xdr:row>
                    <xdr:rowOff>152400</xdr:rowOff>
                  </from>
                  <to>
                    <xdr:col>12</xdr:col>
                    <xdr:colOff>390525</xdr:colOff>
                    <xdr:row>2</xdr:row>
                    <xdr:rowOff>114300</xdr:rowOff>
                  </to>
                </anchor>
              </controlPr>
            </control>
          </mc:Choice>
        </mc:AlternateContent>
        <mc:AlternateContent xmlns:mc="http://schemas.openxmlformats.org/markup-compatibility/2006">
          <mc:Choice Requires="x14">
            <control shapeId="25607" r:id="rId10" name="Button 7">
              <controlPr defaultSize="0" print="0" autoFill="0" autoPict="0" macro="[0]!TAGV1">
                <anchor moveWithCells="1" sizeWithCells="1">
                  <from>
                    <xdr:col>6</xdr:col>
                    <xdr:colOff>228600</xdr:colOff>
                    <xdr:row>1</xdr:row>
                    <xdr:rowOff>0</xdr:rowOff>
                  </from>
                  <to>
                    <xdr:col>8</xdr:col>
                    <xdr:colOff>381000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T428"/>
  <sheetViews>
    <sheetView zoomScale="85" zoomScaleNormal="85" workbookViewId="0">
      <selection activeCell="C252" sqref="C252"/>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0" customWidth="1"/>
    <col min="27" max="28" width="8.5" bestFit="1" customWidth="1"/>
    <col min="29" max="29" width="6" bestFit="1" customWidth="1"/>
    <col min="30" max="31" width="8.125" bestFit="1" customWidth="1"/>
    <col min="32" max="32" width="6.25" customWidth="1"/>
    <col min="33" max="33" width="7.125" customWidth="1"/>
    <col min="34" max="35" width="5.5" bestFit="1" customWidth="1"/>
    <col min="36" max="36" width="5.25" bestFit="1" customWidth="1"/>
    <col min="37" max="37" width="9.5" bestFit="1" customWidth="1"/>
    <col min="38" max="38" width="5" bestFit="1" customWidth="1"/>
    <col min="39" max="39" width="14.875" customWidth="1"/>
    <col min="40" max="40" width="9" customWidth="1"/>
    <col min="42" max="42" width="4.875" bestFit="1" customWidth="1"/>
    <col min="43" max="44" width="3.5" bestFit="1" customWidth="1"/>
  </cols>
  <sheetData>
    <row r="1" spans="1:46" x14ac:dyDescent="0.15">
      <c r="A1" t="s">
        <v>4803</v>
      </c>
      <c r="AK1" t="s">
        <v>4825</v>
      </c>
      <c r="AM1" t="s">
        <v>4830</v>
      </c>
    </row>
    <row r="2" spans="1:46" x14ac:dyDescent="0.15">
      <c r="A2" t="str">
        <f>B2&amp;C2&amp;E2&amp;F2&amp;H2&amp;I2&amp;J2&amp;M2&amp;N2&amp;O2&amp;P2&amp;Q2&amp;R2&amp;S2&amp;T2&amp;V2&amp;W2&amp;X2&amp;Y2</f>
        <v/>
      </c>
      <c r="AK2" t="s">
        <v>4826</v>
      </c>
      <c r="AM2" t="s">
        <v>4757</v>
      </c>
      <c r="AT2" t="s">
        <v>4825</v>
      </c>
    </row>
    <row r="3" spans="1:46" x14ac:dyDescent="0.15">
      <c r="A3" t="str">
        <f>B3&amp;C3&amp;E3&amp;F3&amp;H3&amp;I3&amp;J3&amp;M3&amp;N3&amp;O3&amp;P3&amp;Q3&amp;R3&amp;S3&amp;T3&amp;V3&amp;W3&amp;X3&amp;Y3</f>
        <v>*破壊カード一覧</v>
      </c>
      <c r="B3" t="s">
        <v>3173</v>
      </c>
      <c r="C3" t="s">
        <v>4824</v>
      </c>
      <c r="F3" t="s">
        <v>3172</v>
      </c>
      <c r="AK3" t="s">
        <v>4827</v>
      </c>
      <c r="AM3" t="s">
        <v>4825</v>
      </c>
      <c r="AT3" t="s">
        <v>4826</v>
      </c>
    </row>
    <row r="4" spans="1:46" x14ac:dyDescent="0.15">
      <c r="A4" t="str">
        <f>B4&amp;C4&amp;E4&amp;F4&amp;H4&amp;I4&amp;J4&amp;M4&amp;N4&amp;O4&amp;P4&amp;Q4&amp;R4&amp;S4&amp;T4&amp;V4&amp;W4&amp;X4&amp;Y4</f>
        <v>[[破壊]]</v>
      </c>
      <c r="B4" t="s">
        <v>4761</v>
      </c>
      <c r="C4" t="str">
        <f>C3</f>
        <v>破壊</v>
      </c>
      <c r="E4" t="s">
        <v>4804</v>
      </c>
      <c r="AK4" t="s">
        <v>4757</v>
      </c>
      <c r="AM4" t="s">
        <v>4825</v>
      </c>
      <c r="AT4" t="s">
        <v>4827</v>
      </c>
    </row>
    <row r="5" spans="1:46" x14ac:dyDescent="0.15">
      <c r="A5" t="str">
        <f>B5&amp;C5&amp;E5&amp;F5&amp;H5&amp;I5&amp;J5&amp;M5&amp;N5&amp;O5&amp;P5&amp;Q5&amp;R5&amp;S5&amp;T5&amp;V5&amp;W5&amp;X5&amp;Y5</f>
        <v/>
      </c>
      <c r="AK5" t="s">
        <v>4828</v>
      </c>
      <c r="AM5" t="s">
        <v>4825</v>
      </c>
      <c r="AT5" t="s">
        <v>4757</v>
      </c>
    </row>
    <row r="6" spans="1:46" x14ac:dyDescent="0.15">
      <c r="A6" t="str">
        <f>B6&amp;C6&amp;E6&amp;F6&amp;H6&amp;I6&amp;J6&amp;M6&amp;N6&amp;O6&amp;P6&amp;Q6&amp;R6&amp;S6&amp;T6&amp;V6&amp;W6&amp;X6&amp;Y6</f>
        <v>**マジック:オリジン</v>
      </c>
      <c r="B6" t="s">
        <v>4752</v>
      </c>
      <c r="C6" t="s">
        <v>4753</v>
      </c>
      <c r="AK6" t="s">
        <v>4829</v>
      </c>
      <c r="AM6" t="s">
        <v>4825</v>
      </c>
      <c r="AT6" t="s">
        <v>4828</v>
      </c>
    </row>
    <row r="7" spans="1:46" x14ac:dyDescent="0.15">
      <c r="A7" t="str">
        <f>B7&amp;C7&amp;E7&amp;F7&amp;H7&amp;I7&amp;J7&amp;M7&amp;N7&amp;O7&amp;P7&amp;Q7&amp;R7&amp;S7&amp;T7&amp;U7&amp;V7&amp;W7&amp;X7&amp;Y7</f>
        <v>|LEFT:50|LEFT:50|LEFT:50|LEFT:50|LEFT:500|c</v>
      </c>
      <c r="B7" t="s">
        <v>3168</v>
      </c>
      <c r="C7" t="s">
        <v>3162</v>
      </c>
      <c r="E7" t="s">
        <v>3168</v>
      </c>
      <c r="F7" t="s">
        <v>3162</v>
      </c>
      <c r="H7" t="s">
        <v>3168</v>
      </c>
      <c r="I7" t="s">
        <v>3162</v>
      </c>
      <c r="J7" t="s">
        <v>3168</v>
      </c>
      <c r="M7" t="s">
        <v>3162</v>
      </c>
      <c r="R7" t="s">
        <v>3175</v>
      </c>
      <c r="T7" t="s">
        <v>3163</v>
      </c>
      <c r="X7" t="s">
        <v>3175</v>
      </c>
      <c r="Y7" t="s">
        <v>3164</v>
      </c>
      <c r="AK7" t="s">
        <v>4830</v>
      </c>
      <c r="AT7" t="s">
        <v>4829</v>
      </c>
    </row>
    <row r="8" spans="1:46" x14ac:dyDescent="0.15">
      <c r="A8" t="str">
        <f>B8&amp;C8&amp;E8&amp;F8&amp;H8&amp;I8&amp;J8&amp;M8&amp;N8&amp;O8&amp;P8&amp;Q8&amp;R8&amp;S8&amp;T8&amp;U8&amp;V8&amp;W8&amp;X8&amp;Y8</f>
        <v>|セット|色|コスト|P/T|カード名|</v>
      </c>
      <c r="B8" t="s">
        <v>3168</v>
      </c>
      <c r="C8" t="s">
        <v>3169</v>
      </c>
      <c r="E8" t="s">
        <v>3168</v>
      </c>
      <c r="F8" t="s">
        <v>3139</v>
      </c>
      <c r="H8" t="s">
        <v>3168</v>
      </c>
      <c r="I8" t="s">
        <v>3165</v>
      </c>
      <c r="J8" t="s">
        <v>3168</v>
      </c>
      <c r="K8" t="s">
        <v>3126</v>
      </c>
      <c r="L8" t="s">
        <v>3125</v>
      </c>
      <c r="M8" t="str">
        <f>K8&amp;"/"&amp;L8</f>
        <v>P/T</v>
      </c>
      <c r="R8" t="s">
        <v>3175</v>
      </c>
      <c r="T8" t="s">
        <v>3166</v>
      </c>
      <c r="X8" t="s">
        <v>3175</v>
      </c>
      <c r="AG8" t="b">
        <f t="shared" ref="AG8:AG71" si="0">OR(AD8="与える",AF8="得る")</f>
        <v>0</v>
      </c>
      <c r="AH8" s="12"/>
      <c r="AI8" s="12"/>
      <c r="AJ8" s="12"/>
      <c r="AK8" s="12"/>
      <c r="AL8" s="12"/>
      <c r="AM8" s="12"/>
      <c r="AN8" s="12"/>
      <c r="AO8" s="12"/>
      <c r="AP8" s="12"/>
      <c r="AQ8" s="12"/>
      <c r="AR8" s="12"/>
      <c r="AS8" s="12"/>
      <c r="AT8" t="s">
        <v>4830</v>
      </c>
    </row>
    <row r="9" spans="1:46" x14ac:dyDescent="0.15">
      <c r="A9" t="str">
        <f>B9&amp;C9&amp;E9&amp;F9&amp;H9&amp;I9&amp;J9&amp;M9&amp;N9&amp;O9&amp;P9&amp;Q9&amp;R9&amp;S9&amp;T9&amp;U9&amp;V9&amp;W9&amp;X9&amp;Y9</f>
        <v>|ORI|白|10|2/2|《[[オーラ術師]]》|</v>
      </c>
      <c r="B9" t="s">
        <v>3168</v>
      </c>
      <c r="C9" t="str">
        <f>AI9</f>
        <v>ORI</v>
      </c>
      <c r="D9">
        <f>IF(AI9="","",VLOOKUP(C9,tnpl!$Z$1:$AA$11,2,TRUE))</f>
        <v>1</v>
      </c>
      <c r="E9" t="s">
        <v>3168</v>
      </c>
      <c r="F9" t="str">
        <f>AJ9</f>
        <v>白</v>
      </c>
      <c r="G9">
        <f>IF(AJ9="","",VLOOKUP(F9,tnpl!$X$1:$Y$16,2,TRUE))</f>
        <v>1</v>
      </c>
      <c r="H9" t="s">
        <v>3168</v>
      </c>
      <c r="I9">
        <f>AL9</f>
        <v>10</v>
      </c>
      <c r="J9" t="s">
        <v>3168</v>
      </c>
      <c r="K9">
        <f>AQ9</f>
        <v>2</v>
      </c>
      <c r="L9">
        <f>AR9</f>
        <v>2</v>
      </c>
      <c r="M9" t="str">
        <f t="shared" ref="M9:M72" si="1">IF(AO9="クリーチャー",K9&amp;"/"&amp;L9,"")</f>
        <v>2/2</v>
      </c>
      <c r="R9" t="s">
        <v>3175</v>
      </c>
      <c r="S9" t="s">
        <v>4750</v>
      </c>
      <c r="T9" t="str">
        <f>AM9</f>
        <v>オーラ術師</v>
      </c>
      <c r="U9" t="str">
        <f>IF(I9=0,"&gt;","")</f>
        <v/>
      </c>
      <c r="V9" t="str">
        <f>IF(I9=0,VLOOKUP(T9,Sheet4!A:B,2,TRUE),"")</f>
        <v/>
      </c>
      <c r="W9" t="s">
        <v>4751</v>
      </c>
      <c r="X9" t="s">
        <v>3175</v>
      </c>
      <c r="Y9" s="9"/>
      <c r="Z9" s="10" t="s">
        <v>3118</v>
      </c>
      <c r="AA9" t="s">
        <v>4830</v>
      </c>
      <c r="AC9" t="str">
        <f>IF(ISERR(SEARCH("破壊する",Z9,1)),"","破壊する")</f>
        <v/>
      </c>
      <c r="AD9" t="str">
        <f t="shared" ref="AD9:AD72" si="2">IF(ISERR(SEARCH("破壊された",Z9,1)),"","破壊された")</f>
        <v>破壊された</v>
      </c>
      <c r="AE9" t="str">
        <f>IF(ISERR(SEARCH("破壊される",Z9,1)),"","破壊される")</f>
        <v/>
      </c>
      <c r="AF9" t="str">
        <f>IF(ISERR(SEARCH("破壊し",Z9,1)),"","破壊し")</f>
        <v/>
      </c>
      <c r="AG9" t="b">
        <f t="shared" si="0"/>
        <v>0</v>
      </c>
      <c r="AH9" s="3">
        <v>2</v>
      </c>
      <c r="AI9" s="2" t="s">
        <v>3176</v>
      </c>
      <c r="AJ9" s="1" t="s">
        <v>1627</v>
      </c>
      <c r="AK9" s="1" t="s">
        <v>1744</v>
      </c>
      <c r="AL9" s="1">
        <v>10</v>
      </c>
      <c r="AM9" s="1" t="s">
        <v>3120</v>
      </c>
      <c r="AN9" s="1" t="s">
        <v>3119</v>
      </c>
      <c r="AO9" s="1" t="s">
        <v>339</v>
      </c>
      <c r="AP9" s="1"/>
      <c r="AQ9" s="1">
        <v>2</v>
      </c>
      <c r="AR9" s="1">
        <v>2</v>
      </c>
      <c r="AS9" s="1" t="s">
        <v>3118</v>
      </c>
      <c r="AT9" t="s">
        <v>4832</v>
      </c>
    </row>
    <row r="10" spans="1:46" x14ac:dyDescent="0.15">
      <c r="A10" t="str">
        <f t="shared" ref="A10:A73" si="3">B10&amp;C10&amp;E10&amp;F10&amp;H10&amp;I10&amp;J10&amp;M10&amp;N10&amp;O10&amp;P10&amp;Q10&amp;R10&amp;S10&amp;T10&amp;U10&amp;V10&amp;W10&amp;X10&amp;Y10</f>
        <v>|ORI|白|5||《[[殺人の捜査]]》|</v>
      </c>
      <c r="B10" t="s">
        <v>3168</v>
      </c>
      <c r="C10" t="str">
        <f t="shared" ref="C10:C73" si="4">AI10</f>
        <v>ORI</v>
      </c>
      <c r="D10">
        <f>IF(AI10="","",VLOOKUP(C10,tnpl!$Z$1:$AA$11,2,TRUE))</f>
        <v>1</v>
      </c>
      <c r="E10" t="s">
        <v>3168</v>
      </c>
      <c r="F10" t="str">
        <f t="shared" ref="F10:F73" si="5">AJ10</f>
        <v>白</v>
      </c>
      <c r="G10">
        <f>IF(AJ10="","",VLOOKUP(F10,tnpl!$X$1:$Y$16,2,TRUE))</f>
        <v>1</v>
      </c>
      <c r="H10" t="s">
        <v>3168</v>
      </c>
      <c r="I10">
        <f t="shared" ref="I10:I73" si="6">AL10</f>
        <v>5</v>
      </c>
      <c r="J10" t="s">
        <v>3168</v>
      </c>
      <c r="K10">
        <f t="shared" ref="K10:K73" si="7">AQ10</f>
        <v>0</v>
      </c>
      <c r="L10">
        <f t="shared" ref="L10:L73" si="8">AR10</f>
        <v>0</v>
      </c>
      <c r="M10" t="str">
        <f t="shared" si="1"/>
        <v/>
      </c>
      <c r="R10" t="s">
        <v>3175</v>
      </c>
      <c r="S10" t="s">
        <v>4750</v>
      </c>
      <c r="T10" t="str">
        <f t="shared" ref="T10:T73" si="9">AM10</f>
        <v>殺人の捜査</v>
      </c>
      <c r="U10" t="str">
        <f t="shared" ref="U10:U73" si="10">IF(I10=0,"&gt;","")</f>
        <v/>
      </c>
      <c r="V10" t="str">
        <f>IF(I10=0,VLOOKUP(T10,Sheet4!A:B,2,TRUE),"")</f>
        <v/>
      </c>
      <c r="W10" t="s">
        <v>4751</v>
      </c>
      <c r="X10" t="s">
        <v>3175</v>
      </c>
      <c r="Y10" s="9"/>
      <c r="Z10" s="10" t="s">
        <v>3085</v>
      </c>
      <c r="AA10" t="s">
        <v>4757</v>
      </c>
      <c r="AC10" t="str">
        <f t="shared" ref="AC10:AC73" si="11">IF(ISERR(SEARCH("破壊する",Z10,1)),"","破壊する")</f>
        <v/>
      </c>
      <c r="AD10" t="str">
        <f t="shared" si="2"/>
        <v>破壊された</v>
      </c>
      <c r="AE10" t="str">
        <f t="shared" ref="AE10:AE73" si="12">IF(ISERR(SEARCH("破壊される",Z10,1)),"","破壊される")</f>
        <v/>
      </c>
      <c r="AF10" t="str">
        <f t="shared" ref="AF10:AF73" si="13">IF(ISERR(SEARCH("破壊し",Z10,1)),"","破壊し")</f>
        <v/>
      </c>
      <c r="AG10" t="b">
        <f t="shared" si="0"/>
        <v>0</v>
      </c>
      <c r="AH10" s="3">
        <v>14</v>
      </c>
      <c r="AI10" s="2" t="s">
        <v>3176</v>
      </c>
      <c r="AJ10" s="1" t="s">
        <v>1627</v>
      </c>
      <c r="AK10" s="1" t="s">
        <v>1744</v>
      </c>
      <c r="AL10" s="1">
        <v>5</v>
      </c>
      <c r="AM10" s="1" t="s">
        <v>3087</v>
      </c>
      <c r="AN10" s="1" t="s">
        <v>3086</v>
      </c>
      <c r="AO10" s="1" t="s">
        <v>288</v>
      </c>
      <c r="AP10" s="1">
        <v>2</v>
      </c>
      <c r="AQ10" s="1"/>
      <c r="AR10" s="1"/>
      <c r="AS10" s="1" t="s">
        <v>3085</v>
      </c>
      <c r="AT10" t="s">
        <v>4833</v>
      </c>
    </row>
    <row r="11" spans="1:46" x14ac:dyDescent="0.15">
      <c r="A11" t="str">
        <f t="shared" si="3"/>
        <v>|ORI|白|6||《[[天界のほとばしり]]》|</v>
      </c>
      <c r="B11" t="s">
        <v>3168</v>
      </c>
      <c r="C11" t="str">
        <f t="shared" si="4"/>
        <v>ORI</v>
      </c>
      <c r="D11">
        <f>IF(AI11="","",VLOOKUP(C11,tnpl!$Z$1:$AA$11,2,TRUE))</f>
        <v>1</v>
      </c>
      <c r="E11" t="s">
        <v>3168</v>
      </c>
      <c r="F11" t="str">
        <f t="shared" si="5"/>
        <v>白</v>
      </c>
      <c r="G11">
        <f>IF(AJ11="","",VLOOKUP(F11,tnpl!$X$1:$Y$16,2,TRUE))</f>
        <v>1</v>
      </c>
      <c r="H11" t="s">
        <v>3168</v>
      </c>
      <c r="I11">
        <f t="shared" si="6"/>
        <v>6</v>
      </c>
      <c r="J11" t="s">
        <v>3168</v>
      </c>
      <c r="K11">
        <f t="shared" si="7"/>
        <v>0</v>
      </c>
      <c r="L11">
        <f t="shared" si="8"/>
        <v>0</v>
      </c>
      <c r="M11" t="str">
        <f t="shared" si="1"/>
        <v/>
      </c>
      <c r="R11" t="s">
        <v>3175</v>
      </c>
      <c r="S11" t="s">
        <v>4750</v>
      </c>
      <c r="T11" t="str">
        <f t="shared" si="9"/>
        <v>天界のほとばしり</v>
      </c>
      <c r="U11" t="str">
        <f t="shared" si="10"/>
        <v/>
      </c>
      <c r="V11" t="str">
        <f>IF(I11=0,VLOOKUP(T11,Sheet4!A:B,2,TRUE),"")</f>
        <v/>
      </c>
      <c r="W11" t="s">
        <v>4751</v>
      </c>
      <c r="X11" t="s">
        <v>3175</v>
      </c>
      <c r="Y11" s="9"/>
      <c r="Z11" s="10" t="s">
        <v>3056</v>
      </c>
      <c r="AA11" t="s">
        <v>4825</v>
      </c>
      <c r="AC11" t="str">
        <f t="shared" si="11"/>
        <v>破壊する</v>
      </c>
      <c r="AD11" t="str">
        <f t="shared" si="2"/>
        <v/>
      </c>
      <c r="AE11" t="str">
        <f t="shared" si="12"/>
        <v/>
      </c>
      <c r="AF11" t="str">
        <f t="shared" si="13"/>
        <v/>
      </c>
      <c r="AG11" t="b">
        <f t="shared" si="0"/>
        <v>0</v>
      </c>
      <c r="AH11" s="3">
        <v>24</v>
      </c>
      <c r="AI11" s="2" t="s">
        <v>3176</v>
      </c>
      <c r="AJ11" s="1" t="s">
        <v>1627</v>
      </c>
      <c r="AK11" s="1" t="s">
        <v>1451</v>
      </c>
      <c r="AL11" s="1">
        <v>6</v>
      </c>
      <c r="AM11" s="1" t="s">
        <v>3058</v>
      </c>
      <c r="AN11" s="1" t="s">
        <v>3057</v>
      </c>
      <c r="AO11" s="1" t="s">
        <v>1453</v>
      </c>
      <c r="AP11" s="1"/>
      <c r="AQ11" s="1"/>
      <c r="AR11" s="1"/>
      <c r="AS11" s="1" t="s">
        <v>3056</v>
      </c>
      <c r="AT11" t="s">
        <v>4847</v>
      </c>
    </row>
    <row r="12" spans="1:46" x14ac:dyDescent="0.15">
      <c r="A12" t="str">
        <f t="shared" si="3"/>
        <v>|ORI|白|6||《[[迅速な報い]]》|</v>
      </c>
      <c r="B12" t="s">
        <v>3168</v>
      </c>
      <c r="C12" t="str">
        <f t="shared" si="4"/>
        <v>ORI</v>
      </c>
      <c r="D12">
        <f>IF(AI12="","",VLOOKUP(C12,tnpl!$Z$1:$AA$11,2,TRUE))</f>
        <v>1</v>
      </c>
      <c r="E12" t="s">
        <v>3168</v>
      </c>
      <c r="F12" t="str">
        <f t="shared" si="5"/>
        <v>白</v>
      </c>
      <c r="G12">
        <f>IF(AJ12="","",VLOOKUP(F12,tnpl!$X$1:$Y$16,2,TRUE))</f>
        <v>1</v>
      </c>
      <c r="H12" t="s">
        <v>3168</v>
      </c>
      <c r="I12">
        <f t="shared" si="6"/>
        <v>6</v>
      </c>
      <c r="J12" t="s">
        <v>3168</v>
      </c>
      <c r="K12">
        <f t="shared" si="7"/>
        <v>0</v>
      </c>
      <c r="L12">
        <f t="shared" si="8"/>
        <v>0</v>
      </c>
      <c r="M12" t="str">
        <f t="shared" si="1"/>
        <v/>
      </c>
      <c r="R12" t="s">
        <v>3175</v>
      </c>
      <c r="S12" t="s">
        <v>4750</v>
      </c>
      <c r="T12" t="str">
        <f t="shared" si="9"/>
        <v>迅速な報い</v>
      </c>
      <c r="U12" t="str">
        <f t="shared" si="10"/>
        <v/>
      </c>
      <c r="V12" t="str">
        <f>IF(I12=0,VLOOKUP(T12,Sheet4!A:B,2,TRUE),"")</f>
        <v/>
      </c>
      <c r="W12" t="s">
        <v>4751</v>
      </c>
      <c r="X12" t="s">
        <v>3175</v>
      </c>
      <c r="Y12" s="9"/>
      <c r="Z12" s="10" t="s">
        <v>3049</v>
      </c>
      <c r="AA12" t="s">
        <v>4825</v>
      </c>
      <c r="AC12" t="str">
        <f t="shared" si="11"/>
        <v>破壊する</v>
      </c>
      <c r="AD12" t="str">
        <f t="shared" si="2"/>
        <v/>
      </c>
      <c r="AE12" t="str">
        <f t="shared" si="12"/>
        <v/>
      </c>
      <c r="AF12" t="str">
        <f t="shared" si="13"/>
        <v/>
      </c>
      <c r="AG12" t="b">
        <f t="shared" si="0"/>
        <v>0</v>
      </c>
      <c r="AH12" s="3">
        <v>26</v>
      </c>
      <c r="AI12" s="2" t="s">
        <v>3176</v>
      </c>
      <c r="AJ12" s="1" t="s">
        <v>1627</v>
      </c>
      <c r="AK12" s="1" t="s">
        <v>1451</v>
      </c>
      <c r="AL12" s="1">
        <v>6</v>
      </c>
      <c r="AM12" s="1" t="s">
        <v>3051</v>
      </c>
      <c r="AN12" s="1" t="s">
        <v>3050</v>
      </c>
      <c r="AO12" s="1" t="s">
        <v>1453</v>
      </c>
      <c r="AP12" s="1"/>
      <c r="AQ12" s="1"/>
      <c r="AR12" s="1"/>
      <c r="AS12" s="1" t="s">
        <v>3049</v>
      </c>
    </row>
    <row r="13" spans="1:46" x14ac:dyDescent="0.15">
      <c r="A13" t="str">
        <f t="shared" si="3"/>
        <v>|ORI|白|8||《[[神聖なる月光]]》|</v>
      </c>
      <c r="B13" t="s">
        <v>3168</v>
      </c>
      <c r="C13" t="str">
        <f t="shared" si="4"/>
        <v>ORI</v>
      </c>
      <c r="D13">
        <f>IF(AI13="","",VLOOKUP(C13,tnpl!$Z$1:$AA$11,2,TRUE))</f>
        <v>1</v>
      </c>
      <c r="E13" t="s">
        <v>3168</v>
      </c>
      <c r="F13" t="str">
        <f t="shared" si="5"/>
        <v>白</v>
      </c>
      <c r="G13">
        <f>IF(AJ13="","",VLOOKUP(F13,tnpl!$X$1:$Y$16,2,TRUE))</f>
        <v>1</v>
      </c>
      <c r="H13" t="s">
        <v>3168</v>
      </c>
      <c r="I13">
        <f t="shared" si="6"/>
        <v>8</v>
      </c>
      <c r="J13" t="s">
        <v>3168</v>
      </c>
      <c r="K13">
        <f t="shared" si="7"/>
        <v>0</v>
      </c>
      <c r="L13">
        <f t="shared" si="8"/>
        <v>0</v>
      </c>
      <c r="M13" t="str">
        <f t="shared" si="1"/>
        <v/>
      </c>
      <c r="R13" t="s">
        <v>3175</v>
      </c>
      <c r="S13" t="s">
        <v>4750</v>
      </c>
      <c r="T13" t="str">
        <f t="shared" si="9"/>
        <v>神聖なる月光</v>
      </c>
      <c r="U13" t="str">
        <f t="shared" si="10"/>
        <v/>
      </c>
      <c r="V13" t="str">
        <f>IF(I13=0,VLOOKUP(T13,Sheet4!A:B,2,TRUE),"")</f>
        <v/>
      </c>
      <c r="W13" t="s">
        <v>4751</v>
      </c>
      <c r="X13" t="s">
        <v>3175</v>
      </c>
      <c r="Y13" s="9"/>
      <c r="Z13" s="10" t="s">
        <v>3018</v>
      </c>
      <c r="AA13" t="s">
        <v>4825</v>
      </c>
      <c r="AC13" t="str">
        <f t="shared" si="11"/>
        <v>破壊する</v>
      </c>
      <c r="AD13" t="str">
        <f t="shared" si="2"/>
        <v/>
      </c>
      <c r="AE13" t="str">
        <f t="shared" si="12"/>
        <v/>
      </c>
      <c r="AF13" t="str">
        <f t="shared" si="13"/>
        <v/>
      </c>
      <c r="AG13" t="b">
        <f t="shared" si="0"/>
        <v>0</v>
      </c>
      <c r="AH13" s="3">
        <v>35</v>
      </c>
      <c r="AI13" s="2" t="s">
        <v>3176</v>
      </c>
      <c r="AJ13" s="1" t="s">
        <v>1627</v>
      </c>
      <c r="AK13" s="1" t="s">
        <v>1441</v>
      </c>
      <c r="AL13" s="1">
        <v>8</v>
      </c>
      <c r="AM13" s="1" t="s">
        <v>3020</v>
      </c>
      <c r="AN13" s="1" t="s">
        <v>3019</v>
      </c>
      <c r="AO13" s="1" t="s">
        <v>1453</v>
      </c>
      <c r="AP13" s="1"/>
      <c r="AQ13" s="1"/>
      <c r="AR13" s="1"/>
      <c r="AS13" s="1" t="s">
        <v>3018</v>
      </c>
    </row>
    <row r="14" spans="1:46" x14ac:dyDescent="0.15">
      <c r="A14" t="str">
        <f t="shared" si="3"/>
        <v>|ORI|白|10||《[[悲劇的な傲慢]]》|</v>
      </c>
      <c r="B14" t="s">
        <v>3168</v>
      </c>
      <c r="C14" t="str">
        <f t="shared" si="4"/>
        <v>ORI</v>
      </c>
      <c r="D14">
        <f>IF(AI14="","",VLOOKUP(C14,tnpl!$Z$1:$AA$11,2,TRUE))</f>
        <v>1</v>
      </c>
      <c r="E14" t="s">
        <v>3168</v>
      </c>
      <c r="F14" t="str">
        <f t="shared" si="5"/>
        <v>白</v>
      </c>
      <c r="G14">
        <f>IF(AJ14="","",VLOOKUP(F14,tnpl!$X$1:$Y$16,2,TRUE))</f>
        <v>1</v>
      </c>
      <c r="H14" t="s">
        <v>3168</v>
      </c>
      <c r="I14">
        <f t="shared" si="6"/>
        <v>10</v>
      </c>
      <c r="J14" t="s">
        <v>3168</v>
      </c>
      <c r="K14">
        <f t="shared" si="7"/>
        <v>0</v>
      </c>
      <c r="L14">
        <f t="shared" si="8"/>
        <v>0</v>
      </c>
      <c r="M14" t="str">
        <f t="shared" si="1"/>
        <v/>
      </c>
      <c r="R14" t="s">
        <v>3175</v>
      </c>
      <c r="S14" t="s">
        <v>4750</v>
      </c>
      <c r="T14" t="str">
        <f t="shared" si="9"/>
        <v>悲劇的な傲慢</v>
      </c>
      <c r="U14" t="str">
        <f t="shared" si="10"/>
        <v/>
      </c>
      <c r="V14" t="str">
        <f>IF(I14=0,VLOOKUP(T14,Sheet4!A:B,2,TRUE),"")</f>
        <v/>
      </c>
      <c r="W14" t="s">
        <v>4751</v>
      </c>
      <c r="X14" t="s">
        <v>3175</v>
      </c>
      <c r="Y14" s="9"/>
      <c r="Z14" s="10" t="s">
        <v>3007</v>
      </c>
      <c r="AA14" t="s">
        <v>4825</v>
      </c>
      <c r="AC14" t="str">
        <f t="shared" si="11"/>
        <v>破壊する</v>
      </c>
      <c r="AD14" t="str">
        <f t="shared" si="2"/>
        <v/>
      </c>
      <c r="AE14" t="str">
        <f t="shared" si="12"/>
        <v/>
      </c>
      <c r="AF14" t="str">
        <f t="shared" si="13"/>
        <v/>
      </c>
      <c r="AG14" t="b">
        <f t="shared" si="0"/>
        <v>0</v>
      </c>
      <c r="AH14" s="3">
        <v>39</v>
      </c>
      <c r="AI14" s="2" t="s">
        <v>3176</v>
      </c>
      <c r="AJ14" s="1" t="s">
        <v>1627</v>
      </c>
      <c r="AK14" s="1" t="s">
        <v>1431</v>
      </c>
      <c r="AL14" s="1">
        <v>10</v>
      </c>
      <c r="AM14" s="1" t="s">
        <v>3009</v>
      </c>
      <c r="AN14" s="1" t="s">
        <v>3008</v>
      </c>
      <c r="AO14" s="1" t="s">
        <v>1453</v>
      </c>
      <c r="AP14" s="1"/>
      <c r="AQ14" s="1"/>
      <c r="AR14" s="1"/>
      <c r="AS14" s="1" t="s">
        <v>3007</v>
      </c>
    </row>
    <row r="15" spans="1:46" x14ac:dyDescent="0.15">
      <c r="A15" t="str">
        <f t="shared" si="3"/>
        <v>|ORI|白|6||《[[牢獄の管理人、ヒクサス]]》|</v>
      </c>
      <c r="B15" t="s">
        <v>3168</v>
      </c>
      <c r="C15" t="str">
        <f t="shared" si="4"/>
        <v>ORI</v>
      </c>
      <c r="D15">
        <f>IF(AI15="","",VLOOKUP(C15,tnpl!$Z$1:$AA$11,2,TRUE))</f>
        <v>1</v>
      </c>
      <c r="E15" t="s">
        <v>3168</v>
      </c>
      <c r="F15" t="str">
        <f t="shared" si="5"/>
        <v>白</v>
      </c>
      <c r="G15">
        <f>IF(AJ15="","",VLOOKUP(F15,tnpl!$X$1:$Y$16,2,TRUE))</f>
        <v>1</v>
      </c>
      <c r="H15" t="s">
        <v>3168</v>
      </c>
      <c r="I15">
        <f t="shared" si="6"/>
        <v>6</v>
      </c>
      <c r="J15" t="s">
        <v>3168</v>
      </c>
      <c r="K15">
        <f t="shared" si="7"/>
        <v>0</v>
      </c>
      <c r="L15">
        <f t="shared" si="8"/>
        <v>0</v>
      </c>
      <c r="M15" t="str">
        <f t="shared" si="1"/>
        <v/>
      </c>
      <c r="R15" t="s">
        <v>3175</v>
      </c>
      <c r="S15" t="s">
        <v>4750</v>
      </c>
      <c r="T15" t="str">
        <f t="shared" si="9"/>
        <v>牢獄の管理人、ヒクサス</v>
      </c>
      <c r="U15" t="str">
        <f t="shared" si="10"/>
        <v/>
      </c>
      <c r="V15" t="str">
        <f>IF(I15=0,VLOOKUP(T15,Sheet4!A:B,2,TRUE),"")</f>
        <v/>
      </c>
      <c r="W15" t="s">
        <v>4751</v>
      </c>
      <c r="X15" t="s">
        <v>3175</v>
      </c>
      <c r="Y15" s="9"/>
      <c r="Z15" s="10" t="s">
        <v>3002</v>
      </c>
      <c r="AA15" t="s">
        <v>4832</v>
      </c>
      <c r="AC15" t="str">
        <f t="shared" si="11"/>
        <v/>
      </c>
      <c r="AD15" t="str">
        <f t="shared" si="2"/>
        <v>破壊された</v>
      </c>
      <c r="AE15" t="str">
        <f t="shared" si="12"/>
        <v/>
      </c>
      <c r="AF15" t="str">
        <f t="shared" si="13"/>
        <v/>
      </c>
      <c r="AG15" t="b">
        <f t="shared" si="0"/>
        <v>0</v>
      </c>
      <c r="AH15" s="3">
        <v>40</v>
      </c>
      <c r="AI15" s="2" t="s">
        <v>3176</v>
      </c>
      <c r="AJ15" s="1" t="s">
        <v>1627</v>
      </c>
      <c r="AK15" s="1" t="s">
        <v>1431</v>
      </c>
      <c r="AL15" s="1">
        <v>6</v>
      </c>
      <c r="AM15" s="1" t="s">
        <v>3006</v>
      </c>
      <c r="AN15" s="1" t="s">
        <v>3005</v>
      </c>
      <c r="AO15" s="1" t="s">
        <v>288</v>
      </c>
      <c r="AP15" s="1">
        <v>1</v>
      </c>
      <c r="AQ15" s="1"/>
      <c r="AR15" s="1"/>
      <c r="AS15" s="1" t="s">
        <v>3002</v>
      </c>
    </row>
    <row r="16" spans="1:46" x14ac:dyDescent="0.15">
      <c r="A16" t="str">
        <f t="shared" si="3"/>
        <v>|ORI|白|20||《[[ニクスの星原]]》|</v>
      </c>
      <c r="B16" t="s">
        <v>3168</v>
      </c>
      <c r="C16" t="str">
        <f t="shared" si="4"/>
        <v>ORI</v>
      </c>
      <c r="D16">
        <f>IF(AI16="","",VLOOKUP(C16,tnpl!$Z$1:$AA$11,2,TRUE))</f>
        <v>1</v>
      </c>
      <c r="E16" t="s">
        <v>3168</v>
      </c>
      <c r="F16" t="str">
        <f t="shared" si="5"/>
        <v>白</v>
      </c>
      <c r="G16">
        <f>IF(AJ16="","",VLOOKUP(F16,tnpl!$X$1:$Y$16,2,TRUE))</f>
        <v>1</v>
      </c>
      <c r="H16" t="s">
        <v>3168</v>
      </c>
      <c r="I16">
        <f t="shared" si="6"/>
        <v>20</v>
      </c>
      <c r="J16" t="s">
        <v>3168</v>
      </c>
      <c r="K16">
        <f t="shared" si="7"/>
        <v>0</v>
      </c>
      <c r="L16">
        <f t="shared" si="8"/>
        <v>0</v>
      </c>
      <c r="M16" t="str">
        <f t="shared" si="1"/>
        <v/>
      </c>
      <c r="R16" t="s">
        <v>3175</v>
      </c>
      <c r="S16" t="s">
        <v>4750</v>
      </c>
      <c r="T16" t="str">
        <f t="shared" si="9"/>
        <v>ニクスの星原</v>
      </c>
      <c r="U16" t="str">
        <f t="shared" si="10"/>
        <v/>
      </c>
      <c r="V16" t="str">
        <f>IF(I16=0,VLOOKUP(T16,Sheet4!A:B,2,TRUE),"")</f>
        <v/>
      </c>
      <c r="W16" t="s">
        <v>4751</v>
      </c>
      <c r="X16" t="s">
        <v>3175</v>
      </c>
      <c r="Y16" s="9"/>
      <c r="Z16" s="10" t="s">
        <v>2997</v>
      </c>
      <c r="AA16" t="s">
        <v>4830</v>
      </c>
      <c r="AC16" t="str">
        <f t="shared" si="11"/>
        <v/>
      </c>
      <c r="AD16" t="str">
        <f t="shared" si="2"/>
        <v>破壊された</v>
      </c>
      <c r="AE16" t="str">
        <f t="shared" si="12"/>
        <v/>
      </c>
      <c r="AF16" t="str">
        <f t="shared" si="13"/>
        <v/>
      </c>
      <c r="AG16" t="b">
        <f t="shared" si="0"/>
        <v>0</v>
      </c>
      <c r="AH16" s="3">
        <v>41</v>
      </c>
      <c r="AI16" s="2" t="s">
        <v>3176</v>
      </c>
      <c r="AJ16" s="1" t="s">
        <v>1627</v>
      </c>
      <c r="AK16" s="1" t="s">
        <v>1431</v>
      </c>
      <c r="AL16" s="1">
        <v>20</v>
      </c>
      <c r="AM16" s="1" t="s">
        <v>3001</v>
      </c>
      <c r="AN16" s="1" t="s">
        <v>3000</v>
      </c>
      <c r="AO16" s="1" t="s">
        <v>288</v>
      </c>
      <c r="AP16" s="1">
        <v>4</v>
      </c>
      <c r="AQ16" s="1"/>
      <c r="AR16" s="1"/>
      <c r="AS16" s="1" t="s">
        <v>2997</v>
      </c>
    </row>
    <row r="17" spans="1:45" x14ac:dyDescent="0.15">
      <c r="A17" t="str">
        <f t="shared" si="3"/>
        <v>|ORI|青|9|4/4|《[[塔の霊]]》|</v>
      </c>
      <c r="B17" t="s">
        <v>3168</v>
      </c>
      <c r="C17" t="str">
        <f t="shared" si="4"/>
        <v>ORI</v>
      </c>
      <c r="D17">
        <f>IF(AI17="","",VLOOKUP(C17,tnpl!$Z$1:$AA$11,2,TRUE))</f>
        <v>1</v>
      </c>
      <c r="E17" t="s">
        <v>3168</v>
      </c>
      <c r="F17" t="str">
        <f t="shared" si="5"/>
        <v>青</v>
      </c>
      <c r="G17">
        <f>IF(AJ17="","",VLOOKUP(F17,tnpl!$X$1:$Y$16,2,TRUE))</f>
        <v>2</v>
      </c>
      <c r="H17" t="s">
        <v>3168</v>
      </c>
      <c r="I17">
        <f t="shared" si="6"/>
        <v>9</v>
      </c>
      <c r="J17" t="s">
        <v>3168</v>
      </c>
      <c r="K17">
        <f t="shared" si="7"/>
        <v>4</v>
      </c>
      <c r="L17">
        <f t="shared" si="8"/>
        <v>4</v>
      </c>
      <c r="M17" t="str">
        <f t="shared" si="1"/>
        <v>4/4</v>
      </c>
      <c r="R17" t="s">
        <v>3175</v>
      </c>
      <c r="S17" t="s">
        <v>4750</v>
      </c>
      <c r="T17" t="str">
        <f t="shared" si="9"/>
        <v>塔の霊</v>
      </c>
      <c r="U17" t="str">
        <f t="shared" si="10"/>
        <v/>
      </c>
      <c r="V17" t="str">
        <f>IF(I17=0,VLOOKUP(T17,Sheet4!A:B,2,TRUE),"")</f>
        <v/>
      </c>
      <c r="W17" t="s">
        <v>4751</v>
      </c>
      <c r="X17" t="s">
        <v>3175</v>
      </c>
      <c r="Y17" s="9"/>
      <c r="Z17" s="10" t="s">
        <v>3209</v>
      </c>
      <c r="AA17" t="s">
        <v>4832</v>
      </c>
      <c r="AC17" t="str">
        <f t="shared" si="11"/>
        <v>破壊する</v>
      </c>
      <c r="AD17" t="str">
        <f t="shared" si="2"/>
        <v/>
      </c>
      <c r="AE17" t="str">
        <f t="shared" si="12"/>
        <v/>
      </c>
      <c r="AF17" t="str">
        <f t="shared" si="13"/>
        <v/>
      </c>
      <c r="AG17" t="b">
        <f t="shared" si="0"/>
        <v>0</v>
      </c>
      <c r="AH17" s="3">
        <v>61</v>
      </c>
      <c r="AI17" s="2" t="s">
        <v>3176</v>
      </c>
      <c r="AJ17" s="1" t="s">
        <v>1606</v>
      </c>
      <c r="AK17" s="1" t="s">
        <v>1451</v>
      </c>
      <c r="AL17" s="1">
        <v>9</v>
      </c>
      <c r="AM17" s="1" t="s">
        <v>2942</v>
      </c>
      <c r="AN17" s="1" t="s">
        <v>2941</v>
      </c>
      <c r="AO17" s="1" t="s">
        <v>339</v>
      </c>
      <c r="AP17" s="1"/>
      <c r="AQ17" s="1">
        <v>4</v>
      </c>
      <c r="AR17" s="1">
        <v>4</v>
      </c>
      <c r="AS17" s="1" t="s">
        <v>3209</v>
      </c>
    </row>
    <row r="18" spans="1:45" x14ac:dyDescent="0.15">
      <c r="A18" t="str">
        <f t="shared" si="3"/>
        <v>|ORI|青|6||《[[スフィンクスの後見]]》|</v>
      </c>
      <c r="B18" t="s">
        <v>3168</v>
      </c>
      <c r="C18" t="str">
        <f t="shared" si="4"/>
        <v>ORI</v>
      </c>
      <c r="D18">
        <f>IF(AI18="","",VLOOKUP(C18,tnpl!$Z$1:$AA$11,2,TRUE))</f>
        <v>1</v>
      </c>
      <c r="E18" t="s">
        <v>3168</v>
      </c>
      <c r="F18" t="str">
        <f t="shared" si="5"/>
        <v>青</v>
      </c>
      <c r="G18">
        <f>IF(AJ18="","",VLOOKUP(F18,tnpl!$X$1:$Y$16,2,TRUE))</f>
        <v>2</v>
      </c>
      <c r="H18" t="s">
        <v>3168</v>
      </c>
      <c r="I18">
        <f t="shared" si="6"/>
        <v>6</v>
      </c>
      <c r="J18" t="s">
        <v>3168</v>
      </c>
      <c r="K18">
        <f t="shared" si="7"/>
        <v>0</v>
      </c>
      <c r="L18">
        <f t="shared" si="8"/>
        <v>0</v>
      </c>
      <c r="M18" t="str">
        <f t="shared" si="1"/>
        <v/>
      </c>
      <c r="R18" t="s">
        <v>3175</v>
      </c>
      <c r="S18" t="s">
        <v>4750</v>
      </c>
      <c r="T18" t="str">
        <f t="shared" si="9"/>
        <v>スフィンクスの後見</v>
      </c>
      <c r="U18" t="str">
        <f t="shared" si="10"/>
        <v/>
      </c>
      <c r="V18" t="str">
        <f>IF(I18=0,VLOOKUP(T18,Sheet4!A:B,2,TRUE),"")</f>
        <v/>
      </c>
      <c r="W18" t="s">
        <v>4751</v>
      </c>
      <c r="X18" t="s">
        <v>3175</v>
      </c>
      <c r="Y18" s="9"/>
      <c r="Z18" s="10" t="s">
        <v>2919</v>
      </c>
      <c r="AA18" t="s">
        <v>4827</v>
      </c>
      <c r="AC18" t="str">
        <f t="shared" si="11"/>
        <v/>
      </c>
      <c r="AD18" t="str">
        <f t="shared" si="2"/>
        <v/>
      </c>
      <c r="AE18" t="str">
        <f t="shared" si="12"/>
        <v/>
      </c>
      <c r="AF18" t="str">
        <f t="shared" si="13"/>
        <v>破壊し</v>
      </c>
      <c r="AG18" t="b">
        <f t="shared" si="0"/>
        <v>0</v>
      </c>
      <c r="AH18" s="3">
        <v>68</v>
      </c>
      <c r="AI18" s="2" t="s">
        <v>3176</v>
      </c>
      <c r="AJ18" s="1" t="s">
        <v>1606</v>
      </c>
      <c r="AK18" s="1" t="s">
        <v>1451</v>
      </c>
      <c r="AL18" s="1">
        <v>6</v>
      </c>
      <c r="AM18" s="1" t="s">
        <v>2921</v>
      </c>
      <c r="AN18" s="1" t="s">
        <v>2920</v>
      </c>
      <c r="AO18" s="1" t="s">
        <v>288</v>
      </c>
      <c r="AP18" s="1">
        <v>2</v>
      </c>
      <c r="AQ18" s="1"/>
      <c r="AR18" s="1"/>
      <c r="AS18" s="1" t="s">
        <v>2919</v>
      </c>
    </row>
    <row r="19" spans="1:45" x14ac:dyDescent="0.15">
      <c r="A19" t="str">
        <f t="shared" si="3"/>
        <v>|ORI|青|14||《[[変位の波]]》|</v>
      </c>
      <c r="B19" t="s">
        <v>3168</v>
      </c>
      <c r="C19" t="str">
        <f t="shared" si="4"/>
        <v>ORI</v>
      </c>
      <c r="D19">
        <f>IF(AI19="","",VLOOKUP(C19,tnpl!$Z$1:$AA$11,2,TRUE))</f>
        <v>1</v>
      </c>
      <c r="E19" t="s">
        <v>3168</v>
      </c>
      <c r="F19" t="str">
        <f t="shared" si="5"/>
        <v>青</v>
      </c>
      <c r="G19">
        <f>IF(AJ19="","",VLOOKUP(F19,tnpl!$X$1:$Y$16,2,TRUE))</f>
        <v>2</v>
      </c>
      <c r="H19" t="s">
        <v>3168</v>
      </c>
      <c r="I19">
        <f t="shared" si="6"/>
        <v>14</v>
      </c>
      <c r="J19" t="s">
        <v>3168</v>
      </c>
      <c r="K19">
        <f t="shared" si="7"/>
        <v>0</v>
      </c>
      <c r="L19">
        <f t="shared" si="8"/>
        <v>0</v>
      </c>
      <c r="M19" t="str">
        <f t="shared" si="1"/>
        <v/>
      </c>
      <c r="R19" t="s">
        <v>3175</v>
      </c>
      <c r="S19" t="s">
        <v>4750</v>
      </c>
      <c r="T19" t="str">
        <f t="shared" si="9"/>
        <v>変位の波</v>
      </c>
      <c r="U19" t="str">
        <f t="shared" si="10"/>
        <v/>
      </c>
      <c r="V19" t="str">
        <f>IF(I19=0,VLOOKUP(T19,Sheet4!A:B,2,TRUE),"")</f>
        <v/>
      </c>
      <c r="W19" t="s">
        <v>4751</v>
      </c>
      <c r="X19" t="s">
        <v>3175</v>
      </c>
      <c r="Y19" s="9"/>
      <c r="Z19" s="10" t="s">
        <v>2901</v>
      </c>
      <c r="AA19" t="s">
        <v>3167</v>
      </c>
      <c r="AC19" t="str">
        <f t="shared" si="11"/>
        <v/>
      </c>
      <c r="AD19" t="str">
        <f t="shared" si="2"/>
        <v/>
      </c>
      <c r="AE19" t="str">
        <f t="shared" si="12"/>
        <v>破壊される</v>
      </c>
      <c r="AF19" t="str">
        <f t="shared" si="13"/>
        <v/>
      </c>
      <c r="AG19" t="b">
        <f t="shared" si="0"/>
        <v>0</v>
      </c>
      <c r="AH19" s="3">
        <v>74</v>
      </c>
      <c r="AI19" s="2" t="s">
        <v>3176</v>
      </c>
      <c r="AJ19" s="1" t="s">
        <v>1606</v>
      </c>
      <c r="AK19" s="1" t="s">
        <v>1441</v>
      </c>
      <c r="AL19" s="1">
        <v>14</v>
      </c>
      <c r="AM19" s="1" t="s">
        <v>2903</v>
      </c>
      <c r="AN19" s="1" t="s">
        <v>2902</v>
      </c>
      <c r="AO19" s="1" t="s">
        <v>1453</v>
      </c>
      <c r="AP19" s="1"/>
      <c r="AQ19" s="1"/>
      <c r="AR19" s="1"/>
      <c r="AS19" s="1" t="s">
        <v>2901</v>
      </c>
    </row>
    <row r="20" spans="1:45" x14ac:dyDescent="0.15">
      <c r="A20" t="str">
        <f t="shared" si="3"/>
        <v>|ORI|青|9||《[[蛙変化]]》|</v>
      </c>
      <c r="B20" t="s">
        <v>3168</v>
      </c>
      <c r="C20" t="str">
        <f t="shared" si="4"/>
        <v>ORI</v>
      </c>
      <c r="D20">
        <f>IF(AI20="","",VLOOKUP(C20,tnpl!$Z$1:$AA$11,2,TRUE))</f>
        <v>1</v>
      </c>
      <c r="E20" t="s">
        <v>3168</v>
      </c>
      <c r="F20" t="str">
        <f t="shared" si="5"/>
        <v>青</v>
      </c>
      <c r="G20">
        <f>IF(AJ20="","",VLOOKUP(F20,tnpl!$X$1:$Y$16,2,TRUE))</f>
        <v>2</v>
      </c>
      <c r="H20" t="s">
        <v>3168</v>
      </c>
      <c r="I20">
        <f t="shared" si="6"/>
        <v>9</v>
      </c>
      <c r="J20" t="s">
        <v>3168</v>
      </c>
      <c r="K20">
        <f t="shared" si="7"/>
        <v>0</v>
      </c>
      <c r="L20">
        <f t="shared" si="8"/>
        <v>0</v>
      </c>
      <c r="M20" t="str">
        <f t="shared" si="1"/>
        <v/>
      </c>
      <c r="R20" t="s">
        <v>3175</v>
      </c>
      <c r="S20" t="s">
        <v>4750</v>
      </c>
      <c r="T20" t="str">
        <f t="shared" si="9"/>
        <v>蛙変化</v>
      </c>
      <c r="U20" t="str">
        <f t="shared" si="10"/>
        <v/>
      </c>
      <c r="V20" t="str">
        <f>IF(I20=0,VLOOKUP(T20,Sheet4!A:B,2,TRUE),"")</f>
        <v/>
      </c>
      <c r="W20" t="s">
        <v>4751</v>
      </c>
      <c r="X20" t="s">
        <v>3175</v>
      </c>
      <c r="Y20" s="9"/>
      <c r="Z20" s="10" t="s">
        <v>2895</v>
      </c>
      <c r="AA20" t="s">
        <v>4825</v>
      </c>
      <c r="AC20" t="str">
        <f t="shared" si="11"/>
        <v/>
      </c>
      <c r="AD20" t="str">
        <f t="shared" si="2"/>
        <v/>
      </c>
      <c r="AE20" t="str">
        <f t="shared" si="12"/>
        <v/>
      </c>
      <c r="AF20" t="str">
        <f t="shared" si="13"/>
        <v/>
      </c>
      <c r="AG20" t="b">
        <f t="shared" si="0"/>
        <v>0</v>
      </c>
      <c r="AH20" s="3">
        <v>76</v>
      </c>
      <c r="AI20" s="2" t="s">
        <v>3176</v>
      </c>
      <c r="AJ20" s="1" t="s">
        <v>1606</v>
      </c>
      <c r="AK20" s="1" t="s">
        <v>1441</v>
      </c>
      <c r="AL20" s="1">
        <v>9</v>
      </c>
      <c r="AM20" s="1" t="s">
        <v>2897</v>
      </c>
      <c r="AN20" s="1" t="s">
        <v>2896</v>
      </c>
      <c r="AO20" s="1" t="s">
        <v>1453</v>
      </c>
      <c r="AP20" s="1"/>
      <c r="AQ20" s="1"/>
      <c r="AR20" s="1"/>
      <c r="AS20" s="1" t="s">
        <v>2895</v>
      </c>
    </row>
    <row r="21" spans="1:45" x14ac:dyDescent="0.15">
      <c r="A21" t="str">
        <f t="shared" si="3"/>
        <v>|ORI|青|12|1/3|《[[スカーブの大巨人]]》|</v>
      </c>
      <c r="B21" t="s">
        <v>3168</v>
      </c>
      <c r="C21" t="str">
        <f t="shared" si="4"/>
        <v>ORI</v>
      </c>
      <c r="D21">
        <f>IF(AI21="","",VLOOKUP(C21,tnpl!$Z$1:$AA$11,2,TRUE))</f>
        <v>1</v>
      </c>
      <c r="E21" t="s">
        <v>3168</v>
      </c>
      <c r="F21" t="str">
        <f t="shared" si="5"/>
        <v>青</v>
      </c>
      <c r="G21">
        <f>IF(AJ21="","",VLOOKUP(F21,tnpl!$X$1:$Y$16,2,TRUE))</f>
        <v>2</v>
      </c>
      <c r="H21" t="s">
        <v>3168</v>
      </c>
      <c r="I21">
        <f t="shared" si="6"/>
        <v>12</v>
      </c>
      <c r="J21" t="s">
        <v>3168</v>
      </c>
      <c r="K21">
        <f t="shared" si="7"/>
        <v>1</v>
      </c>
      <c r="L21">
        <f t="shared" si="8"/>
        <v>3</v>
      </c>
      <c r="M21" t="str">
        <f t="shared" si="1"/>
        <v>1/3</v>
      </c>
      <c r="R21" t="s">
        <v>3175</v>
      </c>
      <c r="S21" t="s">
        <v>4750</v>
      </c>
      <c r="T21" t="str">
        <f t="shared" si="9"/>
        <v>スカーブの大巨人</v>
      </c>
      <c r="U21" t="str">
        <f t="shared" si="10"/>
        <v/>
      </c>
      <c r="V21" t="str">
        <f>IF(I21=0,VLOOKUP(T21,Sheet4!A:B,2,TRUE),"")</f>
        <v/>
      </c>
      <c r="W21" t="s">
        <v>4751</v>
      </c>
      <c r="X21" t="s">
        <v>3175</v>
      </c>
      <c r="Y21" s="9"/>
      <c r="Z21" s="10" t="s">
        <v>3220</v>
      </c>
      <c r="AA21" t="s">
        <v>4825</v>
      </c>
      <c r="AC21" t="str">
        <f t="shared" si="11"/>
        <v/>
      </c>
      <c r="AD21" t="str">
        <f t="shared" si="2"/>
        <v>破壊された</v>
      </c>
      <c r="AE21" t="str">
        <f t="shared" si="12"/>
        <v>破壊される</v>
      </c>
      <c r="AF21" t="str">
        <f t="shared" si="13"/>
        <v/>
      </c>
      <c r="AG21" t="b">
        <f t="shared" si="0"/>
        <v>0</v>
      </c>
      <c r="AH21" s="3">
        <v>79</v>
      </c>
      <c r="AI21" s="2" t="s">
        <v>3176</v>
      </c>
      <c r="AJ21" s="1" t="s">
        <v>1606</v>
      </c>
      <c r="AK21" s="1" t="s">
        <v>1431</v>
      </c>
      <c r="AL21" s="1">
        <v>12</v>
      </c>
      <c r="AM21" s="1" t="s">
        <v>2888</v>
      </c>
      <c r="AN21" s="1" t="s">
        <v>2887</v>
      </c>
      <c r="AO21" s="1" t="s">
        <v>339</v>
      </c>
      <c r="AP21" s="1"/>
      <c r="AQ21" s="1">
        <v>1</v>
      </c>
      <c r="AR21" s="1">
        <v>3</v>
      </c>
      <c r="AS21" s="1" t="s">
        <v>3220</v>
      </c>
    </row>
    <row r="22" spans="1:45" x14ac:dyDescent="0.15">
      <c r="A22" t="str">
        <f t="shared" si="3"/>
        <v>|ORI|黒|12||《[[夜の罠]]》|</v>
      </c>
      <c r="B22" t="s">
        <v>3168</v>
      </c>
      <c r="C22" t="str">
        <f t="shared" si="4"/>
        <v>ORI</v>
      </c>
      <c r="D22">
        <f>IF(AI22="","",VLOOKUP(C22,tnpl!$Z$1:$AA$11,2,TRUE))</f>
        <v>1</v>
      </c>
      <c r="E22" t="s">
        <v>3168</v>
      </c>
      <c r="F22" t="str">
        <f t="shared" si="5"/>
        <v>黒</v>
      </c>
      <c r="G22">
        <f>IF(AJ22="","",VLOOKUP(F22,tnpl!$X$1:$Y$16,2,TRUE))</f>
        <v>3</v>
      </c>
      <c r="H22" t="s">
        <v>3168</v>
      </c>
      <c r="I22">
        <f t="shared" si="6"/>
        <v>12</v>
      </c>
      <c r="J22" t="s">
        <v>3168</v>
      </c>
      <c r="K22">
        <f t="shared" si="7"/>
        <v>0</v>
      </c>
      <c r="L22">
        <f t="shared" si="8"/>
        <v>0</v>
      </c>
      <c r="M22" t="str">
        <f t="shared" si="1"/>
        <v/>
      </c>
      <c r="R22" t="s">
        <v>3175</v>
      </c>
      <c r="S22" t="s">
        <v>4750</v>
      </c>
      <c r="T22" t="str">
        <f t="shared" si="9"/>
        <v>夜の罠</v>
      </c>
      <c r="U22" t="str">
        <f t="shared" si="10"/>
        <v/>
      </c>
      <c r="V22" t="str">
        <f>IF(I22=0,VLOOKUP(T22,Sheet4!A:B,2,TRUE),"")</f>
        <v/>
      </c>
      <c r="W22" t="s">
        <v>4751</v>
      </c>
      <c r="X22" t="s">
        <v>3175</v>
      </c>
      <c r="Y22" s="9"/>
      <c r="Z22" s="10" t="s">
        <v>2143</v>
      </c>
      <c r="AA22" t="s">
        <v>4827</v>
      </c>
      <c r="AC22" t="str">
        <f t="shared" si="11"/>
        <v>破壊する</v>
      </c>
      <c r="AD22" t="str">
        <f t="shared" si="2"/>
        <v/>
      </c>
      <c r="AE22" t="str">
        <f t="shared" si="12"/>
        <v/>
      </c>
      <c r="AF22" t="str">
        <f t="shared" si="13"/>
        <v/>
      </c>
      <c r="AG22" t="b">
        <f t="shared" si="0"/>
        <v>0</v>
      </c>
      <c r="AH22" s="3">
        <v>92</v>
      </c>
      <c r="AI22" s="2" t="s">
        <v>3176</v>
      </c>
      <c r="AJ22" s="1" t="s">
        <v>1582</v>
      </c>
      <c r="AK22" s="1" t="s">
        <v>1744</v>
      </c>
      <c r="AL22" s="1">
        <v>12</v>
      </c>
      <c r="AM22" s="1" t="s">
        <v>2854</v>
      </c>
      <c r="AN22" s="1" t="s">
        <v>2853</v>
      </c>
      <c r="AO22" s="1" t="s">
        <v>1453</v>
      </c>
      <c r="AP22" s="1"/>
      <c r="AQ22" s="1"/>
      <c r="AR22" s="1"/>
      <c r="AS22" s="1" t="s">
        <v>2143</v>
      </c>
    </row>
    <row r="23" spans="1:45" x14ac:dyDescent="0.15">
      <c r="A23" t="str">
        <f t="shared" si="3"/>
        <v>|ORI|黒|3||《[[魂裂き]]》|</v>
      </c>
      <c r="B23" t="s">
        <v>3168</v>
      </c>
      <c r="C23" t="str">
        <f t="shared" si="4"/>
        <v>ORI</v>
      </c>
      <c r="D23">
        <f>IF(AI23="","",VLOOKUP(C23,tnpl!$Z$1:$AA$11,2,TRUE))</f>
        <v>1</v>
      </c>
      <c r="E23" t="s">
        <v>3168</v>
      </c>
      <c r="F23" t="str">
        <f t="shared" si="5"/>
        <v>黒</v>
      </c>
      <c r="G23">
        <f>IF(AJ23="","",VLOOKUP(F23,tnpl!$X$1:$Y$16,2,TRUE))</f>
        <v>3</v>
      </c>
      <c r="H23" t="s">
        <v>3168</v>
      </c>
      <c r="I23">
        <f t="shared" si="6"/>
        <v>3</v>
      </c>
      <c r="J23" t="s">
        <v>3168</v>
      </c>
      <c r="K23">
        <f t="shared" si="7"/>
        <v>0</v>
      </c>
      <c r="L23">
        <f t="shared" si="8"/>
        <v>0</v>
      </c>
      <c r="M23" t="str">
        <f t="shared" si="1"/>
        <v/>
      </c>
      <c r="R23" t="s">
        <v>3175</v>
      </c>
      <c r="S23" t="s">
        <v>4750</v>
      </c>
      <c r="T23" t="str">
        <f t="shared" si="9"/>
        <v>魂裂き</v>
      </c>
      <c r="U23" t="str">
        <f t="shared" si="10"/>
        <v/>
      </c>
      <c r="V23" t="str">
        <f>IF(I23=0,VLOOKUP(T23,Sheet4!A:B,2,TRUE),"")</f>
        <v/>
      </c>
      <c r="W23" t="s">
        <v>4751</v>
      </c>
      <c r="X23" t="s">
        <v>3175</v>
      </c>
      <c r="Y23" s="9"/>
      <c r="Z23" s="10" t="s">
        <v>2847</v>
      </c>
      <c r="AA23" t="s">
        <v>4825</v>
      </c>
      <c r="AC23" t="str">
        <f t="shared" si="11"/>
        <v>破壊する</v>
      </c>
      <c r="AD23" t="str">
        <f t="shared" si="2"/>
        <v/>
      </c>
      <c r="AE23" t="str">
        <f t="shared" si="12"/>
        <v/>
      </c>
      <c r="AF23" t="str">
        <f t="shared" si="13"/>
        <v/>
      </c>
      <c r="AG23" t="b">
        <f t="shared" si="0"/>
        <v>0</v>
      </c>
      <c r="AH23" s="3">
        <v>94</v>
      </c>
      <c r="AI23" s="2" t="s">
        <v>3176</v>
      </c>
      <c r="AJ23" s="1" t="s">
        <v>1582</v>
      </c>
      <c r="AK23" s="1" t="s">
        <v>1744</v>
      </c>
      <c r="AL23" s="1">
        <v>3</v>
      </c>
      <c r="AM23" s="1" t="s">
        <v>2849</v>
      </c>
      <c r="AN23" s="1" t="s">
        <v>2848</v>
      </c>
      <c r="AO23" s="1" t="s">
        <v>1453</v>
      </c>
      <c r="AP23" s="1"/>
      <c r="AQ23" s="1"/>
      <c r="AR23" s="1"/>
      <c r="AS23" s="1" t="s">
        <v>2847</v>
      </c>
    </row>
    <row r="24" spans="1:45" x14ac:dyDescent="0.15">
      <c r="A24" t="str">
        <f t="shared" si="3"/>
        <v>|ORI|黒|6||《[[冥府の傷跡]]》|</v>
      </c>
      <c r="B24" t="s">
        <v>3168</v>
      </c>
      <c r="C24" t="str">
        <f t="shared" si="4"/>
        <v>ORI</v>
      </c>
      <c r="D24">
        <f>IF(AI24="","",VLOOKUP(C24,tnpl!$Z$1:$AA$11,2,TRUE))</f>
        <v>1</v>
      </c>
      <c r="E24" t="s">
        <v>3168</v>
      </c>
      <c r="F24" t="str">
        <f t="shared" si="5"/>
        <v>黒</v>
      </c>
      <c r="G24">
        <f>IF(AJ24="","",VLOOKUP(F24,tnpl!$X$1:$Y$16,2,TRUE))</f>
        <v>3</v>
      </c>
      <c r="H24" t="s">
        <v>3168</v>
      </c>
      <c r="I24">
        <f t="shared" si="6"/>
        <v>6</v>
      </c>
      <c r="J24" t="s">
        <v>3168</v>
      </c>
      <c r="K24">
        <f t="shared" si="7"/>
        <v>0</v>
      </c>
      <c r="L24">
        <f t="shared" si="8"/>
        <v>0</v>
      </c>
      <c r="M24" t="str">
        <f t="shared" si="1"/>
        <v/>
      </c>
      <c r="R24" t="s">
        <v>3175</v>
      </c>
      <c r="S24" t="s">
        <v>4750</v>
      </c>
      <c r="T24" t="str">
        <f t="shared" si="9"/>
        <v>冥府の傷跡</v>
      </c>
      <c r="U24" t="str">
        <f t="shared" si="10"/>
        <v/>
      </c>
      <c r="V24" t="str">
        <f>IF(I24=0,VLOOKUP(T24,Sheet4!A:B,2,TRUE),"")</f>
        <v/>
      </c>
      <c r="W24" t="s">
        <v>4751</v>
      </c>
      <c r="X24" t="s">
        <v>3175</v>
      </c>
      <c r="Y24" s="9"/>
      <c r="Z24" s="10" t="s">
        <v>2841</v>
      </c>
      <c r="AA24" t="s">
        <v>4757</v>
      </c>
      <c r="AC24" t="str">
        <f t="shared" si="11"/>
        <v/>
      </c>
      <c r="AD24" t="str">
        <f t="shared" si="2"/>
        <v>破壊された</v>
      </c>
      <c r="AE24" t="str">
        <f t="shared" si="12"/>
        <v/>
      </c>
      <c r="AF24" t="str">
        <f t="shared" si="13"/>
        <v/>
      </c>
      <c r="AG24" t="b">
        <f t="shared" si="0"/>
        <v>0</v>
      </c>
      <c r="AH24" s="3">
        <v>96</v>
      </c>
      <c r="AI24" s="2" t="s">
        <v>3176</v>
      </c>
      <c r="AJ24" s="1" t="s">
        <v>1582</v>
      </c>
      <c r="AK24" s="1" t="s">
        <v>1744</v>
      </c>
      <c r="AL24" s="1">
        <v>6</v>
      </c>
      <c r="AM24" s="1" t="s">
        <v>2843</v>
      </c>
      <c r="AN24" s="1" t="s">
        <v>2842</v>
      </c>
      <c r="AO24" s="1" t="s">
        <v>288</v>
      </c>
      <c r="AP24" s="1">
        <v>2</v>
      </c>
      <c r="AQ24" s="1"/>
      <c r="AR24" s="1"/>
      <c r="AS24" s="1" t="s">
        <v>2841</v>
      </c>
    </row>
    <row r="25" spans="1:45" x14ac:dyDescent="0.15">
      <c r="A25" t="str">
        <f t="shared" si="3"/>
        <v>|ORI|黒|10|5/3|《[[肉袋の匪賊]]》|</v>
      </c>
      <c r="B25" t="s">
        <v>3168</v>
      </c>
      <c r="C25" t="str">
        <f t="shared" si="4"/>
        <v>ORI</v>
      </c>
      <c r="D25">
        <f>IF(AI25="","",VLOOKUP(C25,tnpl!$Z$1:$AA$11,2,TRUE))</f>
        <v>1</v>
      </c>
      <c r="E25" t="s">
        <v>3168</v>
      </c>
      <c r="F25" t="str">
        <f t="shared" si="5"/>
        <v>黒</v>
      </c>
      <c r="G25">
        <f>IF(AJ25="","",VLOOKUP(F25,tnpl!$X$1:$Y$16,2,TRUE))</f>
        <v>3</v>
      </c>
      <c r="H25" t="s">
        <v>3168</v>
      </c>
      <c r="I25">
        <f t="shared" si="6"/>
        <v>10</v>
      </c>
      <c r="J25" t="s">
        <v>3168</v>
      </c>
      <c r="K25">
        <f t="shared" si="7"/>
        <v>5</v>
      </c>
      <c r="L25">
        <f t="shared" si="8"/>
        <v>3</v>
      </c>
      <c r="M25" t="str">
        <f t="shared" si="1"/>
        <v>5/3</v>
      </c>
      <c r="R25" t="s">
        <v>3175</v>
      </c>
      <c r="S25" t="s">
        <v>4750</v>
      </c>
      <c r="T25" t="str">
        <f t="shared" si="9"/>
        <v>肉袋の匪賊</v>
      </c>
      <c r="U25" t="str">
        <f t="shared" si="10"/>
        <v/>
      </c>
      <c r="V25" t="str">
        <f>IF(I25=0,VLOOKUP(T25,Sheet4!A:B,2,TRUE),"")</f>
        <v/>
      </c>
      <c r="W25" t="s">
        <v>4751</v>
      </c>
      <c r="X25" t="s">
        <v>3175</v>
      </c>
      <c r="Y25" s="9"/>
      <c r="Z25" s="10" t="s">
        <v>2836</v>
      </c>
      <c r="AA25" t="s">
        <v>4825</v>
      </c>
      <c r="AC25" t="str">
        <f t="shared" si="11"/>
        <v/>
      </c>
      <c r="AD25" t="str">
        <f t="shared" si="2"/>
        <v/>
      </c>
      <c r="AE25" t="str">
        <f t="shared" si="12"/>
        <v>破壊される</v>
      </c>
      <c r="AF25" t="str">
        <f t="shared" si="13"/>
        <v/>
      </c>
      <c r="AG25" t="b">
        <f t="shared" si="0"/>
        <v>0</v>
      </c>
      <c r="AH25" s="3">
        <v>98</v>
      </c>
      <c r="AI25" s="2" t="s">
        <v>3176</v>
      </c>
      <c r="AJ25" s="1" t="s">
        <v>1582</v>
      </c>
      <c r="AK25" s="1" t="s">
        <v>1451</v>
      </c>
      <c r="AL25" s="1">
        <v>10</v>
      </c>
      <c r="AM25" s="1" t="s">
        <v>2837</v>
      </c>
      <c r="AN25" s="1" t="s">
        <v>3231</v>
      </c>
      <c r="AO25" s="1" t="s">
        <v>339</v>
      </c>
      <c r="AP25" s="1"/>
      <c r="AQ25" s="1">
        <v>5</v>
      </c>
      <c r="AR25" s="1">
        <v>3</v>
      </c>
      <c r="AS25" s="1" t="s">
        <v>2836</v>
      </c>
    </row>
    <row r="26" spans="1:45" x14ac:dyDescent="0.15">
      <c r="A26" t="str">
        <f t="shared" si="3"/>
        <v>|ORI|黒|9|3/3|《[[マラキールの選刃]]》|</v>
      </c>
      <c r="B26" t="s">
        <v>3168</v>
      </c>
      <c r="C26" t="str">
        <f t="shared" si="4"/>
        <v>ORI</v>
      </c>
      <c r="D26">
        <f>IF(AI26="","",VLOOKUP(C26,tnpl!$Z$1:$AA$11,2,TRUE))</f>
        <v>1</v>
      </c>
      <c r="E26" t="s">
        <v>3168</v>
      </c>
      <c r="F26" t="str">
        <f t="shared" si="5"/>
        <v>黒</v>
      </c>
      <c r="G26">
        <f>IF(AJ26="","",VLOOKUP(F26,tnpl!$X$1:$Y$16,2,TRUE))</f>
        <v>3</v>
      </c>
      <c r="H26" t="s">
        <v>3168</v>
      </c>
      <c r="I26">
        <f t="shared" si="6"/>
        <v>9</v>
      </c>
      <c r="J26" t="s">
        <v>3168</v>
      </c>
      <c r="K26">
        <f t="shared" si="7"/>
        <v>3</v>
      </c>
      <c r="L26">
        <f t="shared" si="8"/>
        <v>3</v>
      </c>
      <c r="M26" t="str">
        <f t="shared" si="1"/>
        <v>3/3</v>
      </c>
      <c r="R26" t="s">
        <v>3175</v>
      </c>
      <c r="S26" t="s">
        <v>4750</v>
      </c>
      <c r="T26" t="str">
        <f t="shared" si="9"/>
        <v>マラキールの選刃</v>
      </c>
      <c r="U26" t="str">
        <f t="shared" si="10"/>
        <v/>
      </c>
      <c r="V26" t="str">
        <f>IF(I26=0,VLOOKUP(T26,Sheet4!A:B,2,TRUE),"")</f>
        <v/>
      </c>
      <c r="W26" t="s">
        <v>4751</v>
      </c>
      <c r="X26" t="s">
        <v>3175</v>
      </c>
      <c r="Y26" s="9"/>
      <c r="Z26" s="10" t="s">
        <v>2831</v>
      </c>
      <c r="AA26" t="s">
        <v>4757</v>
      </c>
      <c r="AC26" t="str">
        <f t="shared" si="11"/>
        <v/>
      </c>
      <c r="AD26" t="str">
        <f t="shared" si="2"/>
        <v>破壊された</v>
      </c>
      <c r="AE26" t="str">
        <f t="shared" si="12"/>
        <v/>
      </c>
      <c r="AF26" t="str">
        <f t="shared" si="13"/>
        <v/>
      </c>
      <c r="AG26" t="b">
        <f t="shared" si="0"/>
        <v>0</v>
      </c>
      <c r="AH26" s="3">
        <v>100</v>
      </c>
      <c r="AI26" s="2" t="s">
        <v>3176</v>
      </c>
      <c r="AJ26" s="1" t="s">
        <v>1582</v>
      </c>
      <c r="AK26" s="1" t="s">
        <v>1451</v>
      </c>
      <c r="AL26" s="1">
        <v>9</v>
      </c>
      <c r="AM26" s="1" t="s">
        <v>2833</v>
      </c>
      <c r="AN26" s="1" t="s">
        <v>2832</v>
      </c>
      <c r="AO26" s="1" t="s">
        <v>339</v>
      </c>
      <c r="AP26" s="1"/>
      <c r="AQ26" s="1">
        <v>3</v>
      </c>
      <c r="AR26" s="1">
        <v>3</v>
      </c>
      <c r="AS26" s="1" t="s">
        <v>2831</v>
      </c>
    </row>
    <row r="27" spans="1:45" x14ac:dyDescent="0.15">
      <c r="A27" t="str">
        <f t="shared" si="3"/>
        <v>|ORI|黒|8||《[[残酷な蘇生]]》|</v>
      </c>
      <c r="B27" t="s">
        <v>3168</v>
      </c>
      <c r="C27" t="str">
        <f t="shared" si="4"/>
        <v>ORI</v>
      </c>
      <c r="D27">
        <f>IF(AI27="","",VLOOKUP(C27,tnpl!$Z$1:$AA$11,2,TRUE))</f>
        <v>1</v>
      </c>
      <c r="E27" t="s">
        <v>3168</v>
      </c>
      <c r="F27" t="str">
        <f t="shared" si="5"/>
        <v>黒</v>
      </c>
      <c r="G27">
        <f>IF(AJ27="","",VLOOKUP(F27,tnpl!$X$1:$Y$16,2,TRUE))</f>
        <v>3</v>
      </c>
      <c r="H27" t="s">
        <v>3168</v>
      </c>
      <c r="I27">
        <f t="shared" si="6"/>
        <v>8</v>
      </c>
      <c r="J27" t="s">
        <v>3168</v>
      </c>
      <c r="K27">
        <f t="shared" si="7"/>
        <v>0</v>
      </c>
      <c r="L27">
        <f t="shared" si="8"/>
        <v>0</v>
      </c>
      <c r="M27" t="str">
        <f t="shared" si="1"/>
        <v/>
      </c>
      <c r="R27" t="s">
        <v>3175</v>
      </c>
      <c r="S27" t="s">
        <v>4750</v>
      </c>
      <c r="T27" t="str">
        <f t="shared" si="9"/>
        <v>残酷な蘇生</v>
      </c>
      <c r="U27" t="str">
        <f t="shared" si="10"/>
        <v/>
      </c>
      <c r="V27" t="str">
        <f>IF(I27=0,VLOOKUP(T27,Sheet4!A:B,2,TRUE),"")</f>
        <v/>
      </c>
      <c r="W27" t="s">
        <v>4751</v>
      </c>
      <c r="X27" t="s">
        <v>3175</v>
      </c>
      <c r="Y27" s="9"/>
      <c r="Z27" s="10" t="s">
        <v>2819</v>
      </c>
      <c r="AA27" t="s">
        <v>4825</v>
      </c>
      <c r="AB27" t="s">
        <v>4830</v>
      </c>
      <c r="AC27" t="str">
        <f t="shared" si="11"/>
        <v>破壊する</v>
      </c>
      <c r="AD27" t="str">
        <f t="shared" si="2"/>
        <v>破壊された</v>
      </c>
      <c r="AE27" t="str">
        <f t="shared" si="12"/>
        <v/>
      </c>
      <c r="AF27" t="str">
        <f t="shared" si="13"/>
        <v/>
      </c>
      <c r="AG27" t="b">
        <f t="shared" si="0"/>
        <v>0</v>
      </c>
      <c r="AH27" s="3">
        <v>104</v>
      </c>
      <c r="AI27" s="2" t="s">
        <v>3176</v>
      </c>
      <c r="AJ27" s="1" t="s">
        <v>1582</v>
      </c>
      <c r="AK27" s="1" t="s">
        <v>1451</v>
      </c>
      <c r="AL27" s="1">
        <v>8</v>
      </c>
      <c r="AM27" s="1" t="s">
        <v>2821</v>
      </c>
      <c r="AN27" s="1" t="s">
        <v>2820</v>
      </c>
      <c r="AO27" s="1" t="s">
        <v>1453</v>
      </c>
      <c r="AP27" s="1"/>
      <c r="AQ27" s="1"/>
      <c r="AR27" s="1"/>
      <c r="AS27" s="1" t="s">
        <v>2819</v>
      </c>
    </row>
    <row r="28" spans="1:45" x14ac:dyDescent="0.15">
      <c r="A28" t="str">
        <f t="shared" si="3"/>
        <v>|ORI|黒|6||《[[屍術的召喚]]》|</v>
      </c>
      <c r="B28" t="s">
        <v>3168</v>
      </c>
      <c r="C28" t="str">
        <f t="shared" si="4"/>
        <v>ORI</v>
      </c>
      <c r="D28">
        <f>IF(AI28="","",VLOOKUP(C28,tnpl!$Z$1:$AA$11,2,TRUE))</f>
        <v>1</v>
      </c>
      <c r="E28" t="s">
        <v>3168</v>
      </c>
      <c r="F28" t="str">
        <f t="shared" si="5"/>
        <v>黒</v>
      </c>
      <c r="G28">
        <f>IF(AJ28="","",VLOOKUP(F28,tnpl!$X$1:$Y$16,2,TRUE))</f>
        <v>3</v>
      </c>
      <c r="H28" t="s">
        <v>3168</v>
      </c>
      <c r="I28">
        <f t="shared" si="6"/>
        <v>6</v>
      </c>
      <c r="J28" t="s">
        <v>3168</v>
      </c>
      <c r="K28">
        <f t="shared" si="7"/>
        <v>0</v>
      </c>
      <c r="L28">
        <f t="shared" si="8"/>
        <v>0</v>
      </c>
      <c r="M28" t="str">
        <f t="shared" si="1"/>
        <v/>
      </c>
      <c r="R28" t="s">
        <v>3175</v>
      </c>
      <c r="S28" t="s">
        <v>4750</v>
      </c>
      <c r="T28" t="str">
        <f t="shared" si="9"/>
        <v>屍術的召喚</v>
      </c>
      <c r="U28" t="str">
        <f t="shared" si="10"/>
        <v/>
      </c>
      <c r="V28" t="str">
        <f>IF(I28=0,VLOOKUP(T28,Sheet4!A:B,2,TRUE),"")</f>
        <v/>
      </c>
      <c r="W28" t="s">
        <v>4751</v>
      </c>
      <c r="X28" t="s">
        <v>3175</v>
      </c>
      <c r="Y28" s="9"/>
      <c r="Z28" s="10" t="s">
        <v>2813</v>
      </c>
      <c r="AA28" t="s">
        <v>4830</v>
      </c>
      <c r="AC28" t="str">
        <f t="shared" si="11"/>
        <v/>
      </c>
      <c r="AD28" t="str">
        <f t="shared" si="2"/>
        <v>破壊された</v>
      </c>
      <c r="AE28" t="str">
        <f t="shared" si="12"/>
        <v/>
      </c>
      <c r="AF28" t="str">
        <f t="shared" si="13"/>
        <v/>
      </c>
      <c r="AG28" t="b">
        <f t="shared" si="0"/>
        <v>0</v>
      </c>
      <c r="AH28" s="3">
        <v>106</v>
      </c>
      <c r="AI28" s="2" t="s">
        <v>3176</v>
      </c>
      <c r="AJ28" s="1" t="s">
        <v>1582</v>
      </c>
      <c r="AK28" s="1" t="s">
        <v>1451</v>
      </c>
      <c r="AL28" s="1">
        <v>6</v>
      </c>
      <c r="AM28" s="1" t="s">
        <v>2815</v>
      </c>
      <c r="AN28" s="1" t="s">
        <v>2814</v>
      </c>
      <c r="AO28" s="1" t="s">
        <v>1453</v>
      </c>
      <c r="AP28" s="1"/>
      <c r="AQ28" s="1"/>
      <c r="AR28" s="1"/>
      <c r="AS28" s="1" t="s">
        <v>2813</v>
      </c>
    </row>
    <row r="29" spans="1:45" x14ac:dyDescent="0.15">
      <c r="A29" t="str">
        <f t="shared" si="3"/>
        <v>|ORI|黒|6||《[[苛まれし思考]]》|</v>
      </c>
      <c r="B29" t="s">
        <v>3168</v>
      </c>
      <c r="C29" t="str">
        <f t="shared" si="4"/>
        <v>ORI</v>
      </c>
      <c r="D29">
        <f>IF(AI29="","",VLOOKUP(C29,tnpl!$Z$1:$AA$11,2,TRUE))</f>
        <v>1</v>
      </c>
      <c r="E29" t="s">
        <v>3168</v>
      </c>
      <c r="F29" t="str">
        <f t="shared" si="5"/>
        <v>黒</v>
      </c>
      <c r="G29">
        <f>IF(AJ29="","",VLOOKUP(F29,tnpl!$X$1:$Y$16,2,TRUE))</f>
        <v>3</v>
      </c>
      <c r="H29" t="s">
        <v>3168</v>
      </c>
      <c r="I29">
        <f t="shared" si="6"/>
        <v>6</v>
      </c>
      <c r="J29" t="s">
        <v>3168</v>
      </c>
      <c r="K29">
        <f t="shared" si="7"/>
        <v>0</v>
      </c>
      <c r="L29">
        <f t="shared" si="8"/>
        <v>0</v>
      </c>
      <c r="M29" t="str">
        <f t="shared" si="1"/>
        <v/>
      </c>
      <c r="R29" t="s">
        <v>3175</v>
      </c>
      <c r="S29" t="s">
        <v>4750</v>
      </c>
      <c r="T29" t="str">
        <f t="shared" si="9"/>
        <v>苛まれし思考</v>
      </c>
      <c r="U29" t="str">
        <f t="shared" si="10"/>
        <v/>
      </c>
      <c r="V29" t="str">
        <f>IF(I29=0,VLOOKUP(T29,Sheet4!A:B,2,TRUE),"")</f>
        <v/>
      </c>
      <c r="W29" t="s">
        <v>4751</v>
      </c>
      <c r="X29" t="s">
        <v>3175</v>
      </c>
      <c r="Y29" s="9"/>
      <c r="Z29" s="10" t="s">
        <v>2810</v>
      </c>
      <c r="AA29" t="s">
        <v>4825</v>
      </c>
      <c r="AB29" t="s">
        <v>4827</v>
      </c>
      <c r="AC29" t="str">
        <f t="shared" si="11"/>
        <v>破壊する</v>
      </c>
      <c r="AD29" t="str">
        <f t="shared" si="2"/>
        <v/>
      </c>
      <c r="AE29" t="str">
        <f t="shared" si="12"/>
        <v/>
      </c>
      <c r="AF29" t="str">
        <f t="shared" si="13"/>
        <v/>
      </c>
      <c r="AG29" t="b">
        <f t="shared" si="0"/>
        <v>0</v>
      </c>
      <c r="AH29" s="3">
        <v>107</v>
      </c>
      <c r="AI29" s="2" t="s">
        <v>3176</v>
      </c>
      <c r="AJ29" s="1" t="s">
        <v>1582</v>
      </c>
      <c r="AK29" s="1" t="s">
        <v>1451</v>
      </c>
      <c r="AL29" s="1">
        <v>6</v>
      </c>
      <c r="AM29" s="1" t="s">
        <v>2812</v>
      </c>
      <c r="AN29" s="1" t="s">
        <v>2811</v>
      </c>
      <c r="AO29" s="1" t="s">
        <v>1453</v>
      </c>
      <c r="AP29" s="1"/>
      <c r="AQ29" s="1"/>
      <c r="AR29" s="1"/>
      <c r="AS29" s="1" t="s">
        <v>2810</v>
      </c>
    </row>
    <row r="30" spans="1:45" x14ac:dyDescent="0.15">
      <c r="A30" t="str">
        <f t="shared" si="3"/>
        <v>|ORI|黒|12|5/2|《[[魂の略奪者]]》|</v>
      </c>
      <c r="B30" t="s">
        <v>3168</v>
      </c>
      <c r="C30" t="str">
        <f t="shared" si="4"/>
        <v>ORI</v>
      </c>
      <c r="D30">
        <f>IF(AI30="","",VLOOKUP(C30,tnpl!$Z$1:$AA$11,2,TRUE))</f>
        <v>1</v>
      </c>
      <c r="E30" t="s">
        <v>3168</v>
      </c>
      <c r="F30" t="str">
        <f t="shared" si="5"/>
        <v>黒</v>
      </c>
      <c r="G30">
        <f>IF(AJ30="","",VLOOKUP(F30,tnpl!$X$1:$Y$16,2,TRUE))</f>
        <v>3</v>
      </c>
      <c r="H30" t="s">
        <v>3168</v>
      </c>
      <c r="I30">
        <f t="shared" si="6"/>
        <v>12</v>
      </c>
      <c r="J30" t="s">
        <v>3168</v>
      </c>
      <c r="K30">
        <f t="shared" si="7"/>
        <v>5</v>
      </c>
      <c r="L30">
        <f t="shared" si="8"/>
        <v>2</v>
      </c>
      <c r="M30" t="str">
        <f t="shared" si="1"/>
        <v>5/2</v>
      </c>
      <c r="R30" t="s">
        <v>3175</v>
      </c>
      <c r="S30" t="s">
        <v>4750</v>
      </c>
      <c r="T30" t="str">
        <f t="shared" si="9"/>
        <v>魂の略奪者</v>
      </c>
      <c r="U30" t="str">
        <f t="shared" si="10"/>
        <v/>
      </c>
      <c r="V30" t="str">
        <f>IF(I30=0,VLOOKUP(T30,Sheet4!A:B,2,TRUE),"")</f>
        <v/>
      </c>
      <c r="W30" t="s">
        <v>4751</v>
      </c>
      <c r="X30" t="s">
        <v>3175</v>
      </c>
      <c r="Y30" s="9"/>
      <c r="Z30" s="10" t="s">
        <v>2801</v>
      </c>
      <c r="AA30" t="s">
        <v>4757</v>
      </c>
      <c r="AC30" t="str">
        <f t="shared" si="11"/>
        <v/>
      </c>
      <c r="AD30" t="str">
        <f t="shared" si="2"/>
        <v>破壊された</v>
      </c>
      <c r="AE30" t="str">
        <f t="shared" si="12"/>
        <v/>
      </c>
      <c r="AF30" t="str">
        <f t="shared" si="13"/>
        <v/>
      </c>
      <c r="AG30" t="b">
        <f t="shared" si="0"/>
        <v>0</v>
      </c>
      <c r="AH30" s="3">
        <v>110</v>
      </c>
      <c r="AI30" s="2" t="s">
        <v>3176</v>
      </c>
      <c r="AJ30" s="1" t="s">
        <v>1582</v>
      </c>
      <c r="AK30" s="1" t="s">
        <v>1441</v>
      </c>
      <c r="AL30" s="1">
        <v>12</v>
      </c>
      <c r="AM30" s="1" t="s">
        <v>2804</v>
      </c>
      <c r="AN30" s="1" t="s">
        <v>2803</v>
      </c>
      <c r="AO30" s="1" t="s">
        <v>339</v>
      </c>
      <c r="AP30" s="1"/>
      <c r="AQ30" s="1">
        <v>5</v>
      </c>
      <c r="AR30" s="1">
        <v>2</v>
      </c>
      <c r="AS30" s="1" t="s">
        <v>2801</v>
      </c>
    </row>
    <row r="31" spans="1:45" x14ac:dyDescent="0.15">
      <c r="A31" t="str">
        <f t="shared" si="3"/>
        <v>|ORI|黒|14|6/6|《[[魂の貯蔵者、コソフェッド]]》|</v>
      </c>
      <c r="B31" t="s">
        <v>3168</v>
      </c>
      <c r="C31" t="str">
        <f t="shared" si="4"/>
        <v>ORI</v>
      </c>
      <c r="D31">
        <f>IF(AI31="","",VLOOKUP(C31,tnpl!$Z$1:$AA$11,2,TRUE))</f>
        <v>1</v>
      </c>
      <c r="E31" t="s">
        <v>3168</v>
      </c>
      <c r="F31" t="str">
        <f t="shared" si="5"/>
        <v>黒</v>
      </c>
      <c r="G31">
        <f>IF(AJ31="","",VLOOKUP(F31,tnpl!$X$1:$Y$16,2,TRUE))</f>
        <v>3</v>
      </c>
      <c r="H31" t="s">
        <v>3168</v>
      </c>
      <c r="I31">
        <f t="shared" si="6"/>
        <v>14</v>
      </c>
      <c r="J31" t="s">
        <v>3168</v>
      </c>
      <c r="K31">
        <f t="shared" si="7"/>
        <v>6</v>
      </c>
      <c r="L31">
        <f t="shared" si="8"/>
        <v>6</v>
      </c>
      <c r="M31" t="str">
        <f t="shared" si="1"/>
        <v>6/6</v>
      </c>
      <c r="R31" t="s">
        <v>3175</v>
      </c>
      <c r="S31" t="s">
        <v>4750</v>
      </c>
      <c r="T31" t="str">
        <f t="shared" si="9"/>
        <v>魂の貯蔵者、コソフェッド</v>
      </c>
      <c r="U31" t="str">
        <f t="shared" si="10"/>
        <v/>
      </c>
      <c r="V31" t="str">
        <f>IF(I31=0,VLOOKUP(T31,Sheet4!A:B,2,TRUE),"")</f>
        <v/>
      </c>
      <c r="W31" t="s">
        <v>4751</v>
      </c>
      <c r="X31" t="s">
        <v>3175</v>
      </c>
      <c r="Y31" s="9"/>
      <c r="Z31" s="10" t="s">
        <v>3241</v>
      </c>
      <c r="AA31" t="s">
        <v>4757</v>
      </c>
      <c r="AC31" t="str">
        <f t="shared" si="11"/>
        <v/>
      </c>
      <c r="AD31" t="str">
        <f t="shared" si="2"/>
        <v>破壊された</v>
      </c>
      <c r="AE31" t="str">
        <f t="shared" si="12"/>
        <v/>
      </c>
      <c r="AF31" t="str">
        <f t="shared" si="13"/>
        <v/>
      </c>
      <c r="AG31" t="b">
        <f t="shared" si="0"/>
        <v>0</v>
      </c>
      <c r="AH31" s="3">
        <v>113</v>
      </c>
      <c r="AI31" s="2" t="s">
        <v>3176</v>
      </c>
      <c r="AJ31" s="1" t="s">
        <v>1582</v>
      </c>
      <c r="AK31" s="1" t="s">
        <v>1441</v>
      </c>
      <c r="AL31" s="1">
        <v>14</v>
      </c>
      <c r="AM31" s="1" t="s">
        <v>2795</v>
      </c>
      <c r="AN31" s="1" t="s">
        <v>2794</v>
      </c>
      <c r="AO31" s="1" t="s">
        <v>339</v>
      </c>
      <c r="AP31" s="1"/>
      <c r="AQ31" s="1">
        <v>6</v>
      </c>
      <c r="AR31" s="1">
        <v>6</v>
      </c>
      <c r="AS31" s="1" t="s">
        <v>3241</v>
      </c>
    </row>
    <row r="32" spans="1:45" x14ac:dyDescent="0.15">
      <c r="A32" t="str">
        <f t="shared" si="3"/>
        <v>|ORI|黒|8||《[[不浄な飢え]]》|</v>
      </c>
      <c r="B32" t="s">
        <v>3168</v>
      </c>
      <c r="C32" t="str">
        <f t="shared" si="4"/>
        <v>ORI</v>
      </c>
      <c r="D32">
        <f>IF(AI32="","",VLOOKUP(C32,tnpl!$Z$1:$AA$11,2,TRUE))</f>
        <v>1</v>
      </c>
      <c r="E32" t="s">
        <v>3168</v>
      </c>
      <c r="F32" t="str">
        <f t="shared" si="5"/>
        <v>黒</v>
      </c>
      <c r="G32">
        <f>IF(AJ32="","",VLOOKUP(F32,tnpl!$X$1:$Y$16,2,TRUE))</f>
        <v>3</v>
      </c>
      <c r="H32" t="s">
        <v>3168</v>
      </c>
      <c r="I32">
        <f t="shared" si="6"/>
        <v>8</v>
      </c>
      <c r="J32" t="s">
        <v>3168</v>
      </c>
      <c r="K32">
        <f t="shared" si="7"/>
        <v>0</v>
      </c>
      <c r="L32">
        <f t="shared" si="8"/>
        <v>0</v>
      </c>
      <c r="M32" t="str">
        <f t="shared" si="1"/>
        <v/>
      </c>
      <c r="R32" t="s">
        <v>3175</v>
      </c>
      <c r="S32" t="s">
        <v>4750</v>
      </c>
      <c r="T32" t="str">
        <f t="shared" si="9"/>
        <v>不浄な飢え</v>
      </c>
      <c r="U32" t="str">
        <f t="shared" si="10"/>
        <v/>
      </c>
      <c r="V32" t="str">
        <f>IF(I32=0,VLOOKUP(T32,Sheet4!A:B,2,TRUE),"")</f>
        <v/>
      </c>
      <c r="W32" t="s">
        <v>4751</v>
      </c>
      <c r="X32" t="s">
        <v>3175</v>
      </c>
      <c r="Y32" s="9"/>
      <c r="Z32" s="10" t="s">
        <v>2781</v>
      </c>
      <c r="AA32" t="s">
        <v>4825</v>
      </c>
      <c r="AC32" t="str">
        <f t="shared" si="11"/>
        <v>破壊する</v>
      </c>
      <c r="AD32" t="str">
        <f t="shared" si="2"/>
        <v/>
      </c>
      <c r="AE32" t="str">
        <f t="shared" si="12"/>
        <v/>
      </c>
      <c r="AF32" t="str">
        <f t="shared" si="13"/>
        <v/>
      </c>
      <c r="AG32" t="b">
        <f t="shared" si="0"/>
        <v>0</v>
      </c>
      <c r="AH32" s="3">
        <v>117</v>
      </c>
      <c r="AI32" s="2" t="s">
        <v>3176</v>
      </c>
      <c r="AJ32" s="1" t="s">
        <v>1582</v>
      </c>
      <c r="AK32" s="1" t="s">
        <v>1441</v>
      </c>
      <c r="AL32" s="1">
        <v>8</v>
      </c>
      <c r="AM32" s="1" t="s">
        <v>2783</v>
      </c>
      <c r="AN32" s="1" t="s">
        <v>2782</v>
      </c>
      <c r="AO32" s="1" t="s">
        <v>1453</v>
      </c>
      <c r="AP32" s="1"/>
      <c r="AQ32" s="1"/>
      <c r="AR32" s="1"/>
      <c r="AS32" s="1" t="s">
        <v>2781</v>
      </c>
    </row>
    <row r="33" spans="1:45" x14ac:dyDescent="0.15">
      <c r="A33" t="str">
        <f t="shared" si="3"/>
        <v>|ORI|黒|20|8/8|《[[エレボスのタイタン]]》|</v>
      </c>
      <c r="B33" t="s">
        <v>3168</v>
      </c>
      <c r="C33" t="str">
        <f t="shared" si="4"/>
        <v>ORI</v>
      </c>
      <c r="D33">
        <f>IF(AI33="","",VLOOKUP(C33,tnpl!$Z$1:$AA$11,2,TRUE))</f>
        <v>1</v>
      </c>
      <c r="E33" t="s">
        <v>3168</v>
      </c>
      <c r="F33" t="str">
        <f t="shared" si="5"/>
        <v>黒</v>
      </c>
      <c r="G33">
        <f>IF(AJ33="","",VLOOKUP(F33,tnpl!$X$1:$Y$16,2,TRUE))</f>
        <v>3</v>
      </c>
      <c r="H33" t="s">
        <v>3168</v>
      </c>
      <c r="I33">
        <f t="shared" si="6"/>
        <v>20</v>
      </c>
      <c r="J33" t="s">
        <v>3168</v>
      </c>
      <c r="K33">
        <f t="shared" si="7"/>
        <v>8</v>
      </c>
      <c r="L33">
        <f t="shared" si="8"/>
        <v>8</v>
      </c>
      <c r="M33" t="str">
        <f t="shared" si="1"/>
        <v>8/8</v>
      </c>
      <c r="R33" t="s">
        <v>3175</v>
      </c>
      <c r="S33" t="s">
        <v>4750</v>
      </c>
      <c r="T33" t="str">
        <f t="shared" si="9"/>
        <v>エレボスのタイタン</v>
      </c>
      <c r="U33" t="str">
        <f t="shared" si="10"/>
        <v/>
      </c>
      <c r="V33" t="str">
        <f>IF(I33=0,VLOOKUP(T33,Sheet4!A:B,2,TRUE),"")</f>
        <v/>
      </c>
      <c r="W33" t="s">
        <v>4751</v>
      </c>
      <c r="X33" t="s">
        <v>3175</v>
      </c>
      <c r="Y33" s="9"/>
      <c r="Z33" s="10" t="s">
        <v>2772</v>
      </c>
      <c r="AA33" t="s">
        <v>4757</v>
      </c>
      <c r="AB33" t="s">
        <v>4827</v>
      </c>
      <c r="AC33" t="str">
        <f t="shared" si="11"/>
        <v>破壊する</v>
      </c>
      <c r="AD33" t="str">
        <f t="shared" si="2"/>
        <v>破壊された</v>
      </c>
      <c r="AE33" t="str">
        <f t="shared" si="12"/>
        <v/>
      </c>
      <c r="AF33" t="str">
        <f t="shared" si="13"/>
        <v/>
      </c>
      <c r="AG33" t="b">
        <f t="shared" si="0"/>
        <v>0</v>
      </c>
      <c r="AH33" s="3">
        <v>120</v>
      </c>
      <c r="AI33" s="2" t="s">
        <v>3176</v>
      </c>
      <c r="AJ33" s="1" t="s">
        <v>1582</v>
      </c>
      <c r="AK33" s="1" t="s">
        <v>1431</v>
      </c>
      <c r="AL33" s="1">
        <v>20</v>
      </c>
      <c r="AM33" s="1" t="s">
        <v>2774</v>
      </c>
      <c r="AN33" s="1" t="s">
        <v>2773</v>
      </c>
      <c r="AO33" s="1" t="s">
        <v>339</v>
      </c>
      <c r="AP33" s="1"/>
      <c r="AQ33" s="1">
        <v>8</v>
      </c>
      <c r="AR33" s="1">
        <v>8</v>
      </c>
      <c r="AS33" s="1" t="s">
        <v>2772</v>
      </c>
    </row>
    <row r="34" spans="1:45" x14ac:dyDescent="0.15">
      <c r="A34" t="str">
        <f t="shared" si="3"/>
        <v>|ORI|黒|21||《[[悪魔の契約]]》|</v>
      </c>
      <c r="B34" t="s">
        <v>3168</v>
      </c>
      <c r="C34" t="str">
        <f t="shared" si="4"/>
        <v>ORI</v>
      </c>
      <c r="D34">
        <f>IF(AI34="","",VLOOKUP(C34,tnpl!$Z$1:$AA$11,2,TRUE))</f>
        <v>1</v>
      </c>
      <c r="E34" t="s">
        <v>3168</v>
      </c>
      <c r="F34" t="str">
        <f t="shared" si="5"/>
        <v>黒</v>
      </c>
      <c r="G34">
        <f>IF(AJ34="","",VLOOKUP(F34,tnpl!$X$1:$Y$16,2,TRUE))</f>
        <v>3</v>
      </c>
      <c r="H34" t="s">
        <v>3168</v>
      </c>
      <c r="I34">
        <f t="shared" si="6"/>
        <v>21</v>
      </c>
      <c r="J34" t="s">
        <v>3168</v>
      </c>
      <c r="K34">
        <f t="shared" si="7"/>
        <v>0</v>
      </c>
      <c r="L34">
        <f t="shared" si="8"/>
        <v>0</v>
      </c>
      <c r="M34" t="str">
        <f t="shared" si="1"/>
        <v/>
      </c>
      <c r="R34" t="s">
        <v>3175</v>
      </c>
      <c r="S34" t="s">
        <v>4750</v>
      </c>
      <c r="T34" t="str">
        <f t="shared" si="9"/>
        <v>悪魔の契約</v>
      </c>
      <c r="U34" t="str">
        <f t="shared" si="10"/>
        <v/>
      </c>
      <c r="V34" t="str">
        <f>IF(I34=0,VLOOKUP(T34,Sheet4!A:B,2,TRUE),"")</f>
        <v/>
      </c>
      <c r="W34" t="s">
        <v>4751</v>
      </c>
      <c r="X34" t="s">
        <v>3175</v>
      </c>
      <c r="Y34" s="9"/>
      <c r="Z34" s="10" t="s">
        <v>2766</v>
      </c>
      <c r="AA34" t="s">
        <v>4757</v>
      </c>
      <c r="AB34" t="s">
        <v>4827</v>
      </c>
      <c r="AC34" t="str">
        <f t="shared" si="11"/>
        <v/>
      </c>
      <c r="AD34" t="str">
        <f t="shared" si="2"/>
        <v>破壊された</v>
      </c>
      <c r="AE34" t="str">
        <f t="shared" si="12"/>
        <v>破壊される</v>
      </c>
      <c r="AF34" t="str">
        <f t="shared" si="13"/>
        <v/>
      </c>
      <c r="AG34" t="b">
        <f t="shared" si="0"/>
        <v>0</v>
      </c>
      <c r="AH34" s="3">
        <v>122</v>
      </c>
      <c r="AI34" s="2" t="s">
        <v>3176</v>
      </c>
      <c r="AJ34" s="1" t="s">
        <v>1582</v>
      </c>
      <c r="AK34" s="1" t="s">
        <v>1431</v>
      </c>
      <c r="AL34" s="1">
        <v>21</v>
      </c>
      <c r="AM34" s="1" t="s">
        <v>2768</v>
      </c>
      <c r="AN34" s="1" t="s">
        <v>2767</v>
      </c>
      <c r="AO34" s="1" t="s">
        <v>288</v>
      </c>
      <c r="AP34" s="1">
        <v>3</v>
      </c>
      <c r="AQ34" s="1"/>
      <c r="AR34" s="1"/>
      <c r="AS34" s="1" t="s">
        <v>2766</v>
      </c>
    </row>
    <row r="35" spans="1:45" x14ac:dyDescent="0.15">
      <c r="A35" t="str">
        <f t="shared" si="3"/>
        <v>|ORI|赤|3||《[[粉々]]》|</v>
      </c>
      <c r="B35" t="s">
        <v>3168</v>
      </c>
      <c r="C35" t="str">
        <f t="shared" si="4"/>
        <v>ORI</v>
      </c>
      <c r="D35">
        <f>IF(AI35="","",VLOOKUP(C35,tnpl!$Z$1:$AA$11,2,TRUE))</f>
        <v>1</v>
      </c>
      <c r="E35" t="s">
        <v>3168</v>
      </c>
      <c r="F35" t="str">
        <f t="shared" si="5"/>
        <v>赤</v>
      </c>
      <c r="G35">
        <f>IF(AJ35="","",VLOOKUP(F35,tnpl!$X$1:$Y$16,2,TRUE))</f>
        <v>4</v>
      </c>
      <c r="H35" t="s">
        <v>3168</v>
      </c>
      <c r="I35">
        <f t="shared" si="6"/>
        <v>3</v>
      </c>
      <c r="J35" t="s">
        <v>3168</v>
      </c>
      <c r="K35">
        <f t="shared" si="7"/>
        <v>0</v>
      </c>
      <c r="L35">
        <f t="shared" si="8"/>
        <v>0</v>
      </c>
      <c r="M35" t="str">
        <f t="shared" si="1"/>
        <v/>
      </c>
      <c r="R35" t="s">
        <v>3175</v>
      </c>
      <c r="S35" t="s">
        <v>4750</v>
      </c>
      <c r="T35" t="str">
        <f t="shared" si="9"/>
        <v>粉々</v>
      </c>
      <c r="U35" t="str">
        <f t="shared" si="10"/>
        <v/>
      </c>
      <c r="V35" t="str">
        <f>IF(I35=0,VLOOKUP(T35,Sheet4!A:B,2,TRUE),"")</f>
        <v/>
      </c>
      <c r="W35" t="s">
        <v>4751</v>
      </c>
      <c r="X35" t="s">
        <v>3175</v>
      </c>
      <c r="Y35" s="9"/>
      <c r="Z35" s="10" t="s">
        <v>2736</v>
      </c>
      <c r="AA35" t="s">
        <v>4826</v>
      </c>
      <c r="AC35" t="str">
        <f t="shared" si="11"/>
        <v>破壊する</v>
      </c>
      <c r="AD35" t="str">
        <f t="shared" si="2"/>
        <v/>
      </c>
      <c r="AE35" t="str">
        <f t="shared" si="12"/>
        <v/>
      </c>
      <c r="AF35" t="str">
        <f t="shared" si="13"/>
        <v/>
      </c>
      <c r="AG35" t="b">
        <f t="shared" si="0"/>
        <v>0</v>
      </c>
      <c r="AH35" s="3">
        <v>134</v>
      </c>
      <c r="AI35" s="2" t="s">
        <v>3176</v>
      </c>
      <c r="AJ35" s="1" t="s">
        <v>1552</v>
      </c>
      <c r="AK35" s="1" t="s">
        <v>1744</v>
      </c>
      <c r="AL35" s="1">
        <v>3</v>
      </c>
      <c r="AM35" s="1" t="s">
        <v>2738</v>
      </c>
      <c r="AN35" s="1" t="s">
        <v>2737</v>
      </c>
      <c r="AO35" s="1" t="s">
        <v>1453</v>
      </c>
      <c r="AP35" s="1"/>
      <c r="AQ35" s="1"/>
      <c r="AR35" s="1"/>
      <c r="AS35" s="1" t="s">
        <v>2736</v>
      </c>
    </row>
    <row r="36" spans="1:45" x14ac:dyDescent="0.15">
      <c r="A36" t="str">
        <f t="shared" si="3"/>
        <v>|ORI|赤|8|5/3|《[[火山の彷徨]]》|</v>
      </c>
      <c r="B36" t="s">
        <v>3168</v>
      </c>
      <c r="C36" t="str">
        <f t="shared" si="4"/>
        <v>ORI</v>
      </c>
      <c r="D36">
        <f>IF(AI36="","",VLOOKUP(C36,tnpl!$Z$1:$AA$11,2,TRUE))</f>
        <v>1</v>
      </c>
      <c r="E36" t="s">
        <v>3168</v>
      </c>
      <c r="F36" t="str">
        <f t="shared" si="5"/>
        <v>赤</v>
      </c>
      <c r="G36">
        <f>IF(AJ36="","",VLOOKUP(F36,tnpl!$X$1:$Y$16,2,TRUE))</f>
        <v>4</v>
      </c>
      <c r="H36" t="s">
        <v>3168</v>
      </c>
      <c r="I36">
        <f t="shared" si="6"/>
        <v>8</v>
      </c>
      <c r="J36" t="s">
        <v>3168</v>
      </c>
      <c r="K36">
        <f t="shared" si="7"/>
        <v>5</v>
      </c>
      <c r="L36">
        <f t="shared" si="8"/>
        <v>3</v>
      </c>
      <c r="M36" t="str">
        <f t="shared" si="1"/>
        <v>5/3</v>
      </c>
      <c r="R36" t="s">
        <v>3175</v>
      </c>
      <c r="S36" t="s">
        <v>4750</v>
      </c>
      <c r="T36" t="str">
        <f t="shared" si="9"/>
        <v>火山の彷徨</v>
      </c>
      <c r="U36" t="str">
        <f t="shared" si="10"/>
        <v/>
      </c>
      <c r="V36" t="str">
        <f>IF(I36=0,VLOOKUP(T36,Sheet4!A:B,2,TRUE),"")</f>
        <v/>
      </c>
      <c r="W36" t="s">
        <v>4751</v>
      </c>
      <c r="X36" t="s">
        <v>3175</v>
      </c>
      <c r="Y36" s="9"/>
      <c r="Z36" s="10" t="s">
        <v>2705</v>
      </c>
      <c r="AA36" t="s">
        <v>4828</v>
      </c>
      <c r="AC36" t="str">
        <f t="shared" si="11"/>
        <v>破壊する</v>
      </c>
      <c r="AD36" t="str">
        <f t="shared" si="2"/>
        <v/>
      </c>
      <c r="AE36" t="str">
        <f t="shared" si="12"/>
        <v/>
      </c>
      <c r="AF36" t="str">
        <f t="shared" si="13"/>
        <v/>
      </c>
      <c r="AG36" t="b">
        <f t="shared" si="0"/>
        <v>0</v>
      </c>
      <c r="AH36" s="3">
        <v>145</v>
      </c>
      <c r="AI36" s="2" t="s">
        <v>3176</v>
      </c>
      <c r="AJ36" s="1" t="s">
        <v>1552</v>
      </c>
      <c r="AK36" s="1" t="s">
        <v>1451</v>
      </c>
      <c r="AL36" s="1">
        <v>8</v>
      </c>
      <c r="AM36" s="1" t="s">
        <v>2707</v>
      </c>
      <c r="AN36" s="1" t="s">
        <v>2706</v>
      </c>
      <c r="AO36" s="1" t="s">
        <v>339</v>
      </c>
      <c r="AP36" s="1"/>
      <c r="AQ36" s="1">
        <v>5</v>
      </c>
      <c r="AR36" s="1">
        <v>3</v>
      </c>
      <c r="AS36" s="1" t="s">
        <v>2705</v>
      </c>
    </row>
    <row r="37" spans="1:45" x14ac:dyDescent="0.15">
      <c r="A37" t="str">
        <f t="shared" si="3"/>
        <v>|ORI|赤|3||《[[破砕]]》|</v>
      </c>
      <c r="B37" t="s">
        <v>3168</v>
      </c>
      <c r="C37" t="str">
        <f t="shared" si="4"/>
        <v>ORI</v>
      </c>
      <c r="D37">
        <f>IF(AI37="","",VLOOKUP(C37,tnpl!$Z$1:$AA$11,2,TRUE))</f>
        <v>1</v>
      </c>
      <c r="E37" t="s">
        <v>3168</v>
      </c>
      <c r="F37" t="str">
        <f t="shared" si="5"/>
        <v>赤</v>
      </c>
      <c r="G37">
        <f>IF(AJ37="","",VLOOKUP(F37,tnpl!$X$1:$Y$16,2,TRUE))</f>
        <v>4</v>
      </c>
      <c r="H37" t="s">
        <v>3168</v>
      </c>
      <c r="I37">
        <f t="shared" si="6"/>
        <v>3</v>
      </c>
      <c r="J37" t="s">
        <v>3168</v>
      </c>
      <c r="K37">
        <f t="shared" si="7"/>
        <v>0</v>
      </c>
      <c r="L37">
        <f t="shared" si="8"/>
        <v>0</v>
      </c>
      <c r="M37" t="str">
        <f t="shared" si="1"/>
        <v/>
      </c>
      <c r="R37" t="s">
        <v>3175</v>
      </c>
      <c r="S37" t="s">
        <v>4750</v>
      </c>
      <c r="T37" t="str">
        <f t="shared" si="9"/>
        <v>破砕</v>
      </c>
      <c r="U37" t="str">
        <f t="shared" si="10"/>
        <v/>
      </c>
      <c r="V37" t="str">
        <f>IF(I37=0,VLOOKUP(T37,Sheet4!A:B,2,TRUE),"")</f>
        <v/>
      </c>
      <c r="W37" t="s">
        <v>4751</v>
      </c>
      <c r="X37" t="s">
        <v>3175</v>
      </c>
      <c r="Y37" s="9"/>
      <c r="Z37" s="10" t="s">
        <v>2696</v>
      </c>
      <c r="AA37" t="s">
        <v>4826</v>
      </c>
      <c r="AB37" t="s">
        <v>4828</v>
      </c>
      <c r="AC37" t="str">
        <f t="shared" si="11"/>
        <v>破壊する</v>
      </c>
      <c r="AD37" t="str">
        <f t="shared" si="2"/>
        <v/>
      </c>
      <c r="AE37" t="str">
        <f t="shared" si="12"/>
        <v/>
      </c>
      <c r="AF37" t="str">
        <f t="shared" si="13"/>
        <v/>
      </c>
      <c r="AG37" t="b">
        <f t="shared" si="0"/>
        <v>0</v>
      </c>
      <c r="AH37" s="3">
        <v>148</v>
      </c>
      <c r="AI37" s="2" t="s">
        <v>3176</v>
      </c>
      <c r="AJ37" s="1" t="s">
        <v>1552</v>
      </c>
      <c r="AK37" s="1" t="s">
        <v>1451</v>
      </c>
      <c r="AL37" s="1">
        <v>3</v>
      </c>
      <c r="AM37" s="1" t="s">
        <v>2698</v>
      </c>
      <c r="AN37" s="1" t="s">
        <v>2697</v>
      </c>
      <c r="AO37" s="1" t="s">
        <v>1453</v>
      </c>
      <c r="AP37" s="1"/>
      <c r="AQ37" s="1"/>
      <c r="AR37" s="1"/>
      <c r="AS37" s="1" t="s">
        <v>2696</v>
      </c>
    </row>
    <row r="38" spans="1:45" x14ac:dyDescent="0.15">
      <c r="A38" t="str">
        <f t="shared" si="3"/>
        <v>|ORI|赤|1||《[[焦熱の結末]]》|</v>
      </c>
      <c r="B38" t="s">
        <v>3168</v>
      </c>
      <c r="C38" t="str">
        <f t="shared" si="4"/>
        <v>ORI</v>
      </c>
      <c r="D38">
        <f>IF(AI38="","",VLOOKUP(C38,tnpl!$Z$1:$AA$11,2,TRUE))</f>
        <v>1</v>
      </c>
      <c r="E38" t="s">
        <v>3168</v>
      </c>
      <c r="F38" t="str">
        <f t="shared" si="5"/>
        <v>赤</v>
      </c>
      <c r="G38">
        <f>IF(AJ38="","",VLOOKUP(F38,tnpl!$X$1:$Y$16,2,TRUE))</f>
        <v>4</v>
      </c>
      <c r="H38" t="s">
        <v>3168</v>
      </c>
      <c r="I38">
        <f t="shared" si="6"/>
        <v>1</v>
      </c>
      <c r="J38" t="s">
        <v>3168</v>
      </c>
      <c r="K38">
        <f t="shared" si="7"/>
        <v>0</v>
      </c>
      <c r="L38">
        <f t="shared" si="8"/>
        <v>0</v>
      </c>
      <c r="M38" t="str">
        <f t="shared" si="1"/>
        <v/>
      </c>
      <c r="R38" t="s">
        <v>3175</v>
      </c>
      <c r="S38" t="s">
        <v>4750</v>
      </c>
      <c r="T38" t="str">
        <f t="shared" si="9"/>
        <v>焦熱の結末</v>
      </c>
      <c r="U38" t="str">
        <f t="shared" si="10"/>
        <v/>
      </c>
      <c r="V38" t="str">
        <f>IF(I38=0,VLOOKUP(T38,Sheet4!A:B,2,TRUE),"")</f>
        <v/>
      </c>
      <c r="W38" t="s">
        <v>4751</v>
      </c>
      <c r="X38" t="s">
        <v>3175</v>
      </c>
      <c r="Y38" s="9"/>
      <c r="Z38" s="10" t="s">
        <v>2693</v>
      </c>
      <c r="AA38" t="s">
        <v>4825</v>
      </c>
      <c r="AC38" t="str">
        <f t="shared" si="11"/>
        <v/>
      </c>
      <c r="AD38" t="str">
        <f t="shared" si="2"/>
        <v/>
      </c>
      <c r="AE38" t="str">
        <f t="shared" si="12"/>
        <v/>
      </c>
      <c r="AF38" t="str">
        <f t="shared" si="13"/>
        <v>破壊し</v>
      </c>
      <c r="AG38" t="b">
        <f t="shared" si="0"/>
        <v>0</v>
      </c>
      <c r="AH38" s="3">
        <v>149</v>
      </c>
      <c r="AI38" s="2" t="s">
        <v>3176</v>
      </c>
      <c r="AJ38" s="1" t="s">
        <v>1552</v>
      </c>
      <c r="AK38" s="1" t="s">
        <v>1451</v>
      </c>
      <c r="AL38" s="1">
        <v>1</v>
      </c>
      <c r="AM38" s="1" t="s">
        <v>2695</v>
      </c>
      <c r="AN38" s="1" t="s">
        <v>2694</v>
      </c>
      <c r="AO38" s="1" t="s">
        <v>1453</v>
      </c>
      <c r="AP38" s="1"/>
      <c r="AQ38" s="1"/>
      <c r="AR38" s="1"/>
      <c r="AS38" s="1" t="s">
        <v>2693</v>
      </c>
    </row>
    <row r="39" spans="1:45" x14ac:dyDescent="0.15">
      <c r="A39" t="str">
        <f t="shared" si="3"/>
        <v>|ORI|赤|13|6/5|《[[ケラル砦の修道院長]]》|</v>
      </c>
      <c r="B39" t="s">
        <v>3168</v>
      </c>
      <c r="C39" t="str">
        <f t="shared" si="4"/>
        <v>ORI</v>
      </c>
      <c r="D39">
        <f>IF(AI39="","",VLOOKUP(C39,tnpl!$Z$1:$AA$11,2,TRUE))</f>
        <v>1</v>
      </c>
      <c r="E39" t="s">
        <v>3168</v>
      </c>
      <c r="F39" t="str">
        <f t="shared" si="5"/>
        <v>赤</v>
      </c>
      <c r="G39">
        <f>IF(AJ39="","",VLOOKUP(F39,tnpl!$X$1:$Y$16,2,TRUE))</f>
        <v>4</v>
      </c>
      <c r="H39" t="s">
        <v>3168</v>
      </c>
      <c r="I39">
        <f t="shared" si="6"/>
        <v>13</v>
      </c>
      <c r="J39" t="s">
        <v>3168</v>
      </c>
      <c r="K39">
        <f t="shared" si="7"/>
        <v>6</v>
      </c>
      <c r="L39">
        <f t="shared" si="8"/>
        <v>5</v>
      </c>
      <c r="M39" t="str">
        <f t="shared" si="1"/>
        <v>6/5</v>
      </c>
      <c r="R39" t="s">
        <v>3175</v>
      </c>
      <c r="S39" t="s">
        <v>4750</v>
      </c>
      <c r="T39" t="str">
        <f t="shared" si="9"/>
        <v>ケラル砦の修道院長</v>
      </c>
      <c r="U39" t="str">
        <f t="shared" si="10"/>
        <v/>
      </c>
      <c r="V39" t="str">
        <f>IF(I39=0,VLOOKUP(T39,Sheet4!A:B,2,TRUE),"")</f>
        <v/>
      </c>
      <c r="W39" t="s">
        <v>4751</v>
      </c>
      <c r="X39" t="s">
        <v>3175</v>
      </c>
      <c r="Y39" s="9"/>
      <c r="Z39" s="10" t="s">
        <v>2681</v>
      </c>
      <c r="AA39" t="s">
        <v>4828</v>
      </c>
      <c r="AC39" t="str">
        <f t="shared" si="11"/>
        <v>破壊する</v>
      </c>
      <c r="AD39" t="str">
        <f t="shared" si="2"/>
        <v/>
      </c>
      <c r="AE39" t="str">
        <f t="shared" si="12"/>
        <v/>
      </c>
      <c r="AF39" t="str">
        <f t="shared" si="13"/>
        <v/>
      </c>
      <c r="AG39" t="b">
        <f t="shared" si="0"/>
        <v>0</v>
      </c>
      <c r="AH39" s="3">
        <v>153</v>
      </c>
      <c r="AI39" s="2" t="s">
        <v>3176</v>
      </c>
      <c r="AJ39" s="1" t="s">
        <v>1552</v>
      </c>
      <c r="AK39" s="1" t="s">
        <v>1441</v>
      </c>
      <c r="AL39" s="1">
        <v>13</v>
      </c>
      <c r="AM39" s="1" t="s">
        <v>2683</v>
      </c>
      <c r="AN39" s="1" t="s">
        <v>2682</v>
      </c>
      <c r="AO39" s="1" t="s">
        <v>339</v>
      </c>
      <c r="AP39" s="1"/>
      <c r="AQ39" s="1">
        <v>6</v>
      </c>
      <c r="AR39" s="1">
        <v>5</v>
      </c>
      <c r="AS39" s="1" t="s">
        <v>2681</v>
      </c>
    </row>
    <row r="40" spans="1:45" x14ac:dyDescent="0.15">
      <c r="A40" t="str">
        <f t="shared" si="3"/>
        <v>|ORI|赤|17|6/6|《[[ピア・ナラーとキラン・ナラー]]》|</v>
      </c>
      <c r="B40" t="s">
        <v>3168</v>
      </c>
      <c r="C40" t="str">
        <f t="shared" si="4"/>
        <v>ORI</v>
      </c>
      <c r="D40">
        <f>IF(AI40="","",VLOOKUP(C40,tnpl!$Z$1:$AA$11,2,TRUE))</f>
        <v>1</v>
      </c>
      <c r="E40" t="s">
        <v>3168</v>
      </c>
      <c r="F40" t="str">
        <f t="shared" si="5"/>
        <v>赤</v>
      </c>
      <c r="G40">
        <f>IF(AJ40="","",VLOOKUP(F40,tnpl!$X$1:$Y$16,2,TRUE))</f>
        <v>4</v>
      </c>
      <c r="H40" t="s">
        <v>3168</v>
      </c>
      <c r="I40">
        <f t="shared" si="6"/>
        <v>17</v>
      </c>
      <c r="J40" t="s">
        <v>3168</v>
      </c>
      <c r="K40">
        <f t="shared" si="7"/>
        <v>6</v>
      </c>
      <c r="L40">
        <f t="shared" si="8"/>
        <v>6</v>
      </c>
      <c r="M40" t="str">
        <f t="shared" si="1"/>
        <v>6/6</v>
      </c>
      <c r="R40" t="s">
        <v>3175</v>
      </c>
      <c r="S40" t="s">
        <v>4750</v>
      </c>
      <c r="T40" t="str">
        <f t="shared" si="9"/>
        <v>ピア・ナラーとキラン・ナラー</v>
      </c>
      <c r="U40" t="str">
        <f t="shared" si="10"/>
        <v/>
      </c>
      <c r="V40" t="str">
        <f>IF(I40=0,VLOOKUP(T40,Sheet4!A:B,2,TRUE),"")</f>
        <v/>
      </c>
      <c r="W40" t="s">
        <v>4751</v>
      </c>
      <c r="X40" t="s">
        <v>3175</v>
      </c>
      <c r="Y40" s="9"/>
      <c r="Z40" s="10" t="s">
        <v>2675</v>
      </c>
      <c r="AA40" t="s">
        <v>4826</v>
      </c>
      <c r="AC40" t="str">
        <f t="shared" si="11"/>
        <v/>
      </c>
      <c r="AD40" t="str">
        <f t="shared" si="2"/>
        <v/>
      </c>
      <c r="AE40" t="str">
        <f t="shared" si="12"/>
        <v/>
      </c>
      <c r="AF40" t="str">
        <f t="shared" si="13"/>
        <v>破壊し</v>
      </c>
      <c r="AG40" t="b">
        <f t="shared" si="0"/>
        <v>0</v>
      </c>
      <c r="AH40" s="3">
        <v>155</v>
      </c>
      <c r="AI40" s="2" t="s">
        <v>3176</v>
      </c>
      <c r="AJ40" s="1" t="s">
        <v>1552</v>
      </c>
      <c r="AK40" s="1" t="s">
        <v>1441</v>
      </c>
      <c r="AL40" s="1">
        <v>17</v>
      </c>
      <c r="AM40" s="1" t="s">
        <v>2677</v>
      </c>
      <c r="AN40" s="1" t="s">
        <v>2676</v>
      </c>
      <c r="AO40" s="1" t="s">
        <v>339</v>
      </c>
      <c r="AP40" s="1"/>
      <c r="AQ40" s="1">
        <v>6</v>
      </c>
      <c r="AR40" s="1">
        <v>6</v>
      </c>
      <c r="AS40" s="1" t="s">
        <v>2675</v>
      </c>
    </row>
    <row r="41" spans="1:45" x14ac:dyDescent="0.15">
      <c r="A41" t="str">
        <f t="shared" si="3"/>
        <v>|ORI|赤|15|8/8|《[[強欲なドラゴン]]》|</v>
      </c>
      <c r="B41" t="s">
        <v>3168</v>
      </c>
      <c r="C41" t="str">
        <f t="shared" si="4"/>
        <v>ORI</v>
      </c>
      <c r="D41">
        <f>IF(AI41="","",VLOOKUP(C41,tnpl!$Z$1:$AA$11,2,TRUE))</f>
        <v>1</v>
      </c>
      <c r="E41" t="s">
        <v>3168</v>
      </c>
      <c r="F41" t="str">
        <f t="shared" si="5"/>
        <v>赤</v>
      </c>
      <c r="G41">
        <f>IF(AJ41="","",VLOOKUP(F41,tnpl!$X$1:$Y$16,2,TRUE))</f>
        <v>4</v>
      </c>
      <c r="H41" t="s">
        <v>3168</v>
      </c>
      <c r="I41">
        <f t="shared" si="6"/>
        <v>15</v>
      </c>
      <c r="J41" t="s">
        <v>3168</v>
      </c>
      <c r="K41">
        <f t="shared" si="7"/>
        <v>8</v>
      </c>
      <c r="L41">
        <f t="shared" si="8"/>
        <v>8</v>
      </c>
      <c r="M41" t="str">
        <f t="shared" si="1"/>
        <v>8/8</v>
      </c>
      <c r="R41" t="s">
        <v>3175</v>
      </c>
      <c r="S41" t="s">
        <v>4750</v>
      </c>
      <c r="T41" t="str">
        <f t="shared" si="9"/>
        <v>強欲なドラゴン</v>
      </c>
      <c r="U41" t="str">
        <f t="shared" si="10"/>
        <v/>
      </c>
      <c r="V41" t="str">
        <f>IF(I41=0,VLOOKUP(T41,Sheet4!A:B,2,TRUE),"")</f>
        <v/>
      </c>
      <c r="W41" t="s">
        <v>4751</v>
      </c>
      <c r="X41" t="s">
        <v>3175</v>
      </c>
      <c r="Y41" s="9"/>
      <c r="Z41" s="10" t="s">
        <v>3265</v>
      </c>
      <c r="AA41" t="s">
        <v>4828</v>
      </c>
      <c r="AC41" t="str">
        <f t="shared" si="11"/>
        <v>破壊する</v>
      </c>
      <c r="AD41" t="str">
        <f t="shared" si="2"/>
        <v/>
      </c>
      <c r="AE41" t="str">
        <f t="shared" si="12"/>
        <v/>
      </c>
      <c r="AF41" t="str">
        <f t="shared" si="13"/>
        <v/>
      </c>
      <c r="AG41" t="b">
        <f t="shared" si="0"/>
        <v>0</v>
      </c>
      <c r="AH41" s="3">
        <v>160</v>
      </c>
      <c r="AI41" s="2" t="s">
        <v>3176</v>
      </c>
      <c r="AJ41" s="1" t="s">
        <v>1552</v>
      </c>
      <c r="AK41" s="1" t="s">
        <v>1431</v>
      </c>
      <c r="AL41" s="1">
        <v>15</v>
      </c>
      <c r="AM41" s="1" t="s">
        <v>2663</v>
      </c>
      <c r="AN41" s="1" t="s">
        <v>2662</v>
      </c>
      <c r="AO41" s="1" t="s">
        <v>339</v>
      </c>
      <c r="AP41" s="1"/>
      <c r="AQ41" s="1">
        <v>8</v>
      </c>
      <c r="AR41" s="1">
        <v>8</v>
      </c>
      <c r="AS41" s="1" t="s">
        <v>3265</v>
      </c>
    </row>
    <row r="42" spans="1:45" x14ac:dyDescent="0.15">
      <c r="A42" t="str">
        <f t="shared" si="3"/>
        <v>|ORI|緑|11|4/4|《[[議事会の自然主義者]]》|</v>
      </c>
      <c r="B42" t="s">
        <v>3168</v>
      </c>
      <c r="C42" t="str">
        <f t="shared" si="4"/>
        <v>ORI</v>
      </c>
      <c r="D42">
        <f>IF(AI42="","",VLOOKUP(C42,tnpl!$Z$1:$AA$11,2,TRUE))</f>
        <v>1</v>
      </c>
      <c r="E42" t="s">
        <v>3168</v>
      </c>
      <c r="F42" t="str">
        <f t="shared" si="5"/>
        <v>緑</v>
      </c>
      <c r="G42">
        <f>IF(AJ42="","",VLOOKUP(F42,tnpl!$X$1:$Y$16,2,TRUE))</f>
        <v>5</v>
      </c>
      <c r="H42" t="s">
        <v>3168</v>
      </c>
      <c r="I42">
        <f t="shared" si="6"/>
        <v>11</v>
      </c>
      <c r="J42" t="s">
        <v>3168</v>
      </c>
      <c r="K42">
        <f t="shared" si="7"/>
        <v>4</v>
      </c>
      <c r="L42">
        <f t="shared" si="8"/>
        <v>4</v>
      </c>
      <c r="M42" t="str">
        <f t="shared" si="1"/>
        <v>4/4</v>
      </c>
      <c r="R42" t="s">
        <v>3175</v>
      </c>
      <c r="S42" t="s">
        <v>4750</v>
      </c>
      <c r="T42" t="str">
        <f t="shared" si="9"/>
        <v>議事会の自然主義者</v>
      </c>
      <c r="U42" t="str">
        <f t="shared" si="10"/>
        <v/>
      </c>
      <c r="V42" t="str">
        <f>IF(I42=0,VLOOKUP(T42,Sheet4!A:B,2,TRUE),"")</f>
        <v/>
      </c>
      <c r="W42" t="s">
        <v>4751</v>
      </c>
      <c r="X42" t="s">
        <v>3175</v>
      </c>
      <c r="Y42" s="9"/>
      <c r="Z42" s="10" t="s">
        <v>2612</v>
      </c>
      <c r="AA42" t="s">
        <v>4826</v>
      </c>
      <c r="AC42" t="str">
        <f t="shared" si="11"/>
        <v>破壊する</v>
      </c>
      <c r="AD42" t="str">
        <f t="shared" si="2"/>
        <v/>
      </c>
      <c r="AE42" t="str">
        <f t="shared" si="12"/>
        <v/>
      </c>
      <c r="AF42" t="str">
        <f t="shared" si="13"/>
        <v/>
      </c>
      <c r="AG42" t="b">
        <f t="shared" si="0"/>
        <v>0</v>
      </c>
      <c r="AH42" s="3">
        <v>178</v>
      </c>
      <c r="AI42" s="2" t="s">
        <v>3176</v>
      </c>
      <c r="AJ42" s="1" t="s">
        <v>1518</v>
      </c>
      <c r="AK42" s="1" t="s">
        <v>1451</v>
      </c>
      <c r="AL42" s="1">
        <v>11</v>
      </c>
      <c r="AM42" s="1" t="s">
        <v>2615</v>
      </c>
      <c r="AN42" s="1" t="s">
        <v>2614</v>
      </c>
      <c r="AO42" s="1" t="s">
        <v>339</v>
      </c>
      <c r="AP42" s="1"/>
      <c r="AQ42" s="1">
        <v>4</v>
      </c>
      <c r="AR42" s="1">
        <v>4</v>
      </c>
      <c r="AS42" s="1" t="s">
        <v>2612</v>
      </c>
    </row>
    <row r="43" spans="1:45" x14ac:dyDescent="0.15">
      <c r="A43" t="str">
        <f t="shared" si="3"/>
        <v>|ORI|緑|6||《[[群れの結集]]》|</v>
      </c>
      <c r="B43" t="s">
        <v>3168</v>
      </c>
      <c r="C43" t="str">
        <f t="shared" si="4"/>
        <v>ORI</v>
      </c>
      <c r="D43">
        <f>IF(AI43="","",VLOOKUP(C43,tnpl!$Z$1:$AA$11,2,TRUE))</f>
        <v>1</v>
      </c>
      <c r="E43" t="s">
        <v>3168</v>
      </c>
      <c r="F43" t="str">
        <f t="shared" si="5"/>
        <v>緑</v>
      </c>
      <c r="G43">
        <f>IF(AJ43="","",VLOOKUP(F43,tnpl!$X$1:$Y$16,2,TRUE))</f>
        <v>5</v>
      </c>
      <c r="H43" t="s">
        <v>3168</v>
      </c>
      <c r="I43">
        <f t="shared" si="6"/>
        <v>6</v>
      </c>
      <c r="J43" t="s">
        <v>3168</v>
      </c>
      <c r="K43">
        <f t="shared" si="7"/>
        <v>0</v>
      </c>
      <c r="L43">
        <f t="shared" si="8"/>
        <v>0</v>
      </c>
      <c r="M43" t="str">
        <f t="shared" si="1"/>
        <v/>
      </c>
      <c r="R43" t="s">
        <v>3175</v>
      </c>
      <c r="S43" t="s">
        <v>4750</v>
      </c>
      <c r="T43" t="str">
        <f t="shared" si="9"/>
        <v>群れの結集</v>
      </c>
      <c r="U43" t="str">
        <f t="shared" si="10"/>
        <v/>
      </c>
      <c r="V43" t="str">
        <f>IF(I43=0,VLOOKUP(T43,Sheet4!A:B,2,TRUE),"")</f>
        <v/>
      </c>
      <c r="W43" t="s">
        <v>4751</v>
      </c>
      <c r="X43" t="s">
        <v>3175</v>
      </c>
      <c r="Y43" s="9"/>
      <c r="Z43" s="10" t="s">
        <v>2592</v>
      </c>
      <c r="AA43" t="s">
        <v>4832</v>
      </c>
      <c r="AC43" t="str">
        <f t="shared" si="11"/>
        <v>破壊する</v>
      </c>
      <c r="AD43" t="str">
        <f t="shared" si="2"/>
        <v/>
      </c>
      <c r="AE43" t="str">
        <f t="shared" si="12"/>
        <v/>
      </c>
      <c r="AF43" t="str">
        <f t="shared" si="13"/>
        <v/>
      </c>
      <c r="AG43" t="b">
        <f t="shared" si="0"/>
        <v>0</v>
      </c>
      <c r="AH43" s="3">
        <v>185</v>
      </c>
      <c r="AI43" s="2" t="s">
        <v>3176</v>
      </c>
      <c r="AJ43" s="1" t="s">
        <v>1518</v>
      </c>
      <c r="AK43" s="1" t="s">
        <v>1451</v>
      </c>
      <c r="AL43" s="1">
        <v>6</v>
      </c>
      <c r="AM43" s="1" t="s">
        <v>2594</v>
      </c>
      <c r="AN43" s="1" t="s">
        <v>2593</v>
      </c>
      <c r="AO43" s="1" t="s">
        <v>1453</v>
      </c>
      <c r="AP43" s="1"/>
      <c r="AQ43" s="1"/>
      <c r="AR43" s="1"/>
      <c r="AS43" s="1" t="s">
        <v>2592</v>
      </c>
    </row>
    <row r="44" spans="1:45" x14ac:dyDescent="0.15">
      <c r="A44" t="str">
        <f t="shared" si="3"/>
        <v>|ORI|緑|3||《[[回収]]》|</v>
      </c>
      <c r="B44" t="s">
        <v>3168</v>
      </c>
      <c r="C44" t="str">
        <f t="shared" si="4"/>
        <v>ORI</v>
      </c>
      <c r="D44">
        <f>IF(AI44="","",VLOOKUP(C44,tnpl!$Z$1:$AA$11,2,TRUE))</f>
        <v>1</v>
      </c>
      <c r="E44" t="s">
        <v>3168</v>
      </c>
      <c r="F44" t="str">
        <f t="shared" si="5"/>
        <v>緑</v>
      </c>
      <c r="G44">
        <f>IF(AJ44="","",VLOOKUP(F44,tnpl!$X$1:$Y$16,2,TRUE))</f>
        <v>5</v>
      </c>
      <c r="H44" t="s">
        <v>3168</v>
      </c>
      <c r="I44">
        <f t="shared" si="6"/>
        <v>3</v>
      </c>
      <c r="J44" t="s">
        <v>3168</v>
      </c>
      <c r="K44">
        <f t="shared" si="7"/>
        <v>0</v>
      </c>
      <c r="L44">
        <f t="shared" si="8"/>
        <v>0</v>
      </c>
      <c r="M44" t="str">
        <f t="shared" si="1"/>
        <v/>
      </c>
      <c r="R44" t="s">
        <v>3175</v>
      </c>
      <c r="S44" t="s">
        <v>4750</v>
      </c>
      <c r="T44" t="str">
        <f t="shared" si="9"/>
        <v>回収</v>
      </c>
      <c r="U44" t="str">
        <f t="shared" si="10"/>
        <v/>
      </c>
      <c r="V44" t="str">
        <f>IF(I44=0,VLOOKUP(T44,Sheet4!A:B,2,TRUE),"")</f>
        <v/>
      </c>
      <c r="W44" t="s">
        <v>4751</v>
      </c>
      <c r="X44" t="s">
        <v>3175</v>
      </c>
      <c r="Y44" s="9"/>
      <c r="Z44" s="10" t="s">
        <v>2589</v>
      </c>
      <c r="AA44" t="s">
        <v>4825</v>
      </c>
      <c r="AC44" t="str">
        <f t="shared" si="11"/>
        <v/>
      </c>
      <c r="AD44" t="str">
        <f t="shared" si="2"/>
        <v/>
      </c>
      <c r="AE44" t="str">
        <f t="shared" si="12"/>
        <v/>
      </c>
      <c r="AF44" t="str">
        <f t="shared" si="13"/>
        <v>破壊し</v>
      </c>
      <c r="AG44" t="b">
        <f t="shared" si="0"/>
        <v>0</v>
      </c>
      <c r="AH44" s="3">
        <v>186</v>
      </c>
      <c r="AI44" s="2" t="s">
        <v>3176</v>
      </c>
      <c r="AJ44" s="1" t="s">
        <v>1518</v>
      </c>
      <c r="AK44" s="1" t="s">
        <v>1451</v>
      </c>
      <c r="AL44" s="1">
        <v>3</v>
      </c>
      <c r="AM44" s="1" t="s">
        <v>2591</v>
      </c>
      <c r="AN44" s="1" t="s">
        <v>2590</v>
      </c>
      <c r="AO44" s="1" t="s">
        <v>1453</v>
      </c>
      <c r="AP44" s="1"/>
      <c r="AQ44" s="1"/>
      <c r="AR44" s="1"/>
      <c r="AS44" s="1" t="s">
        <v>2589</v>
      </c>
    </row>
    <row r="45" spans="1:45" x14ac:dyDescent="0.15">
      <c r="A45" t="str">
        <f t="shared" si="3"/>
        <v>|ORI|緑|15||《[[大オーロラ]]》|</v>
      </c>
      <c r="B45" t="s">
        <v>3168</v>
      </c>
      <c r="C45" t="str">
        <f t="shared" si="4"/>
        <v>ORI</v>
      </c>
      <c r="D45">
        <f>IF(AI45="","",VLOOKUP(C45,tnpl!$Z$1:$AA$11,2,TRUE))</f>
        <v>1</v>
      </c>
      <c r="E45" t="s">
        <v>3168</v>
      </c>
      <c r="F45" t="str">
        <f t="shared" si="5"/>
        <v>緑</v>
      </c>
      <c r="G45">
        <f>IF(AJ45="","",VLOOKUP(F45,tnpl!$X$1:$Y$16,2,TRUE))</f>
        <v>5</v>
      </c>
      <c r="H45" t="s">
        <v>3168</v>
      </c>
      <c r="I45">
        <f t="shared" si="6"/>
        <v>15</v>
      </c>
      <c r="J45" t="s">
        <v>3168</v>
      </c>
      <c r="K45">
        <f t="shared" si="7"/>
        <v>0</v>
      </c>
      <c r="L45">
        <f t="shared" si="8"/>
        <v>0</v>
      </c>
      <c r="M45" t="str">
        <f t="shared" si="1"/>
        <v/>
      </c>
      <c r="R45" t="s">
        <v>3175</v>
      </c>
      <c r="S45" t="s">
        <v>4750</v>
      </c>
      <c r="T45" t="str">
        <f t="shared" si="9"/>
        <v>大オーロラ</v>
      </c>
      <c r="U45" t="str">
        <f t="shared" si="10"/>
        <v/>
      </c>
      <c r="V45" t="str">
        <f>IF(I45=0,VLOOKUP(T45,Sheet4!A:B,2,TRUE),"")</f>
        <v/>
      </c>
      <c r="W45" t="s">
        <v>4751</v>
      </c>
      <c r="X45" t="s">
        <v>3175</v>
      </c>
      <c r="Y45" s="9"/>
      <c r="Z45" s="10" t="s">
        <v>2544</v>
      </c>
      <c r="AA45" t="s">
        <v>4825</v>
      </c>
      <c r="AB45" t="s">
        <v>4826</v>
      </c>
      <c r="AC45" t="str">
        <f t="shared" si="11"/>
        <v>破壊する</v>
      </c>
      <c r="AD45" t="str">
        <f t="shared" si="2"/>
        <v/>
      </c>
      <c r="AE45" t="str">
        <f t="shared" si="12"/>
        <v/>
      </c>
      <c r="AF45" t="str">
        <f t="shared" si="13"/>
        <v/>
      </c>
      <c r="AG45" t="b">
        <f t="shared" si="0"/>
        <v>0</v>
      </c>
      <c r="AH45" s="3">
        <v>202</v>
      </c>
      <c r="AI45" s="2" t="s">
        <v>3176</v>
      </c>
      <c r="AJ45" s="1" t="s">
        <v>1518</v>
      </c>
      <c r="AK45" s="1" t="s">
        <v>1431</v>
      </c>
      <c r="AL45" s="1">
        <v>15</v>
      </c>
      <c r="AM45" s="1" t="s">
        <v>2546</v>
      </c>
      <c r="AN45" s="1" t="s">
        <v>2545</v>
      </c>
      <c r="AO45" s="1" t="s">
        <v>1453</v>
      </c>
      <c r="AP45" s="1"/>
      <c r="AQ45" s="1"/>
      <c r="AR45" s="1"/>
      <c r="AS45" s="1" t="s">
        <v>2544</v>
      </c>
    </row>
    <row r="46" spans="1:45" x14ac:dyDescent="0.15">
      <c r="A46" t="str">
        <f t="shared" si="3"/>
        <v>|ORI|青黒|13|4/3|《[[取り憑かれたスカーブ]]》|</v>
      </c>
      <c r="B46" t="s">
        <v>3168</v>
      </c>
      <c r="C46" t="str">
        <f t="shared" si="4"/>
        <v>ORI</v>
      </c>
      <c r="D46">
        <f>IF(AI46="","",VLOOKUP(C46,tnpl!$Z$1:$AA$11,2,TRUE))</f>
        <v>1</v>
      </c>
      <c r="E46" t="s">
        <v>3168</v>
      </c>
      <c r="F46" t="str">
        <f t="shared" si="5"/>
        <v>青黒</v>
      </c>
      <c r="G46">
        <f>IF(AJ46="","",VLOOKUP(F46,tnpl!$X$1:$Y$16,2,TRUE))</f>
        <v>7</v>
      </c>
      <c r="H46" t="s">
        <v>3168</v>
      </c>
      <c r="I46">
        <f t="shared" si="6"/>
        <v>13</v>
      </c>
      <c r="J46" t="s">
        <v>3168</v>
      </c>
      <c r="K46">
        <f t="shared" si="7"/>
        <v>4</v>
      </c>
      <c r="L46">
        <f t="shared" si="8"/>
        <v>3</v>
      </c>
      <c r="M46" t="str">
        <f t="shared" si="1"/>
        <v>4/3</v>
      </c>
      <c r="R46" t="s">
        <v>3175</v>
      </c>
      <c r="S46" t="s">
        <v>4750</v>
      </c>
      <c r="T46" t="str">
        <f t="shared" si="9"/>
        <v>取り憑かれたスカーブ</v>
      </c>
      <c r="U46" t="str">
        <f t="shared" si="10"/>
        <v/>
      </c>
      <c r="V46" t="str">
        <f>IF(I46=0,VLOOKUP(T46,Sheet4!A:B,2,TRUE),"")</f>
        <v/>
      </c>
      <c r="W46" t="s">
        <v>4751</v>
      </c>
      <c r="X46" t="s">
        <v>3175</v>
      </c>
      <c r="Y46" s="9"/>
      <c r="Z46" s="10" t="s">
        <v>2524</v>
      </c>
      <c r="AA46" t="s">
        <v>4830</v>
      </c>
      <c r="AC46" t="str">
        <f t="shared" si="11"/>
        <v/>
      </c>
      <c r="AD46" t="str">
        <f t="shared" si="2"/>
        <v>破壊された</v>
      </c>
      <c r="AE46" t="str">
        <f t="shared" si="12"/>
        <v/>
      </c>
      <c r="AF46" t="str">
        <f t="shared" si="13"/>
        <v/>
      </c>
      <c r="AG46" t="b">
        <f t="shared" si="0"/>
        <v>0</v>
      </c>
      <c r="AH46" s="3">
        <v>209</v>
      </c>
      <c r="AI46" s="2" t="s">
        <v>3176</v>
      </c>
      <c r="AJ46" s="1" t="s">
        <v>1508</v>
      </c>
      <c r="AK46" s="1" t="s">
        <v>1451</v>
      </c>
      <c r="AL46" s="1">
        <v>13</v>
      </c>
      <c r="AM46" s="1" t="s">
        <v>2526</v>
      </c>
      <c r="AN46" s="1" t="s">
        <v>2525</v>
      </c>
      <c r="AO46" s="1" t="s">
        <v>339</v>
      </c>
      <c r="AP46" s="1"/>
      <c r="AQ46" s="1">
        <v>4</v>
      </c>
      <c r="AR46" s="1">
        <v>3</v>
      </c>
      <c r="AS46" s="1" t="s">
        <v>2524</v>
      </c>
    </row>
    <row r="47" spans="1:45" x14ac:dyDescent="0.15">
      <c r="A47" t="str">
        <f t="shared" si="3"/>
        <v>|ORI|無色|14||《[[魔道士輪の魔力網]]》|</v>
      </c>
      <c r="B47" t="s">
        <v>3168</v>
      </c>
      <c r="C47" t="str">
        <f t="shared" si="4"/>
        <v>ORI</v>
      </c>
      <c r="D47">
        <f>IF(AI47="","",VLOOKUP(C47,tnpl!$Z$1:$AA$11,2,TRUE))</f>
        <v>1</v>
      </c>
      <c r="E47" t="s">
        <v>3168</v>
      </c>
      <c r="F47" t="str">
        <f t="shared" si="5"/>
        <v>無色</v>
      </c>
      <c r="G47">
        <f>IF(AJ47="","",VLOOKUP(F47,tnpl!$X$1:$Y$16,2,TRUE))</f>
        <v>16</v>
      </c>
      <c r="H47" t="s">
        <v>3168</v>
      </c>
      <c r="I47">
        <f t="shared" si="6"/>
        <v>14</v>
      </c>
      <c r="J47" t="s">
        <v>3168</v>
      </c>
      <c r="K47">
        <f t="shared" si="7"/>
        <v>0</v>
      </c>
      <c r="L47">
        <f t="shared" si="8"/>
        <v>0</v>
      </c>
      <c r="M47" t="str">
        <f t="shared" si="1"/>
        <v/>
      </c>
      <c r="R47" t="s">
        <v>3175</v>
      </c>
      <c r="S47" t="s">
        <v>4750</v>
      </c>
      <c r="T47" t="str">
        <f t="shared" si="9"/>
        <v>魔道士輪の魔力網</v>
      </c>
      <c r="U47" t="str">
        <f t="shared" si="10"/>
        <v/>
      </c>
      <c r="V47" t="str">
        <f>IF(I47=0,VLOOKUP(T47,Sheet4!A:B,2,TRUE),"")</f>
        <v/>
      </c>
      <c r="W47" t="s">
        <v>4751</v>
      </c>
      <c r="X47" t="s">
        <v>3175</v>
      </c>
      <c r="Y47" s="9"/>
      <c r="Z47" s="10" t="s">
        <v>2453</v>
      </c>
      <c r="AA47" t="s">
        <v>4757</v>
      </c>
      <c r="AC47" t="str">
        <f t="shared" si="11"/>
        <v/>
      </c>
      <c r="AD47" t="str">
        <f t="shared" si="2"/>
        <v>破壊された</v>
      </c>
      <c r="AE47" t="str">
        <f t="shared" si="12"/>
        <v/>
      </c>
      <c r="AF47" t="str">
        <f t="shared" si="13"/>
        <v/>
      </c>
      <c r="AG47" t="b">
        <f t="shared" si="0"/>
        <v>0</v>
      </c>
      <c r="AH47" s="3">
        <v>234</v>
      </c>
      <c r="AI47" s="2" t="s">
        <v>3176</v>
      </c>
      <c r="AJ47" s="1" t="s">
        <v>292</v>
      </c>
      <c r="AK47" s="1" t="s">
        <v>1451</v>
      </c>
      <c r="AL47" s="1">
        <v>14</v>
      </c>
      <c r="AM47" s="1" t="s">
        <v>2455</v>
      </c>
      <c r="AN47" s="1" t="s">
        <v>2454</v>
      </c>
      <c r="AO47" s="1" t="s">
        <v>288</v>
      </c>
      <c r="AP47" s="1">
        <v>2</v>
      </c>
      <c r="AQ47" s="1"/>
      <c r="AR47" s="1"/>
      <c r="AS47" s="1" t="s">
        <v>2453</v>
      </c>
    </row>
    <row r="48" spans="1:45" x14ac:dyDescent="0.15">
      <c r="A48" t="str">
        <f t="shared" si="3"/>
        <v>|ORI|無色|6||《[[投げナイフ]]》|</v>
      </c>
      <c r="B48" t="s">
        <v>3168</v>
      </c>
      <c r="C48" t="str">
        <f t="shared" si="4"/>
        <v>ORI</v>
      </c>
      <c r="D48">
        <f>IF(AI48="","",VLOOKUP(C48,tnpl!$Z$1:$AA$11,2,TRUE))</f>
        <v>1</v>
      </c>
      <c r="E48" t="s">
        <v>3168</v>
      </c>
      <c r="F48" t="str">
        <f t="shared" si="5"/>
        <v>無色</v>
      </c>
      <c r="G48">
        <f>IF(AJ48="","",VLOOKUP(F48,tnpl!$X$1:$Y$16,2,TRUE))</f>
        <v>16</v>
      </c>
      <c r="H48" t="s">
        <v>3168</v>
      </c>
      <c r="I48">
        <f t="shared" si="6"/>
        <v>6</v>
      </c>
      <c r="J48" t="s">
        <v>3168</v>
      </c>
      <c r="K48">
        <f t="shared" si="7"/>
        <v>0</v>
      </c>
      <c r="L48">
        <f t="shared" si="8"/>
        <v>0</v>
      </c>
      <c r="M48" t="str">
        <f t="shared" si="1"/>
        <v/>
      </c>
      <c r="R48" t="s">
        <v>3175</v>
      </c>
      <c r="S48" t="s">
        <v>4750</v>
      </c>
      <c r="T48" t="str">
        <f t="shared" si="9"/>
        <v>投げナイフ</v>
      </c>
      <c r="U48" t="str">
        <f t="shared" si="10"/>
        <v/>
      </c>
      <c r="V48" t="str">
        <f>IF(I48=0,VLOOKUP(T48,Sheet4!A:B,2,TRUE),"")</f>
        <v/>
      </c>
      <c r="W48" t="s">
        <v>4751</v>
      </c>
      <c r="X48" t="s">
        <v>3175</v>
      </c>
      <c r="Y48" s="9"/>
      <c r="Z48" s="10" t="s">
        <v>2444</v>
      </c>
      <c r="AA48" t="s">
        <v>4757</v>
      </c>
      <c r="AC48" t="str">
        <f t="shared" si="11"/>
        <v/>
      </c>
      <c r="AD48" t="str">
        <f t="shared" si="2"/>
        <v>破壊された</v>
      </c>
      <c r="AE48" t="str">
        <f t="shared" si="12"/>
        <v/>
      </c>
      <c r="AF48" t="str">
        <f t="shared" si="13"/>
        <v/>
      </c>
      <c r="AG48" t="b">
        <f t="shared" si="0"/>
        <v>0</v>
      </c>
      <c r="AH48" s="3">
        <v>237</v>
      </c>
      <c r="AI48" s="2" t="s">
        <v>3176</v>
      </c>
      <c r="AJ48" s="1" t="s">
        <v>292</v>
      </c>
      <c r="AK48" s="1" t="s">
        <v>1451</v>
      </c>
      <c r="AL48" s="1">
        <v>6</v>
      </c>
      <c r="AM48" s="1" t="s">
        <v>2446</v>
      </c>
      <c r="AN48" s="1" t="s">
        <v>2445</v>
      </c>
      <c r="AO48" s="1" t="s">
        <v>288</v>
      </c>
      <c r="AP48" s="1">
        <v>2</v>
      </c>
      <c r="AQ48" s="1"/>
      <c r="AR48" s="1"/>
      <c r="AS48" s="1" t="s">
        <v>2444</v>
      </c>
    </row>
    <row r="49" spans="1:45" x14ac:dyDescent="0.15">
      <c r="A49" t="str">
        <f t="shared" si="3"/>
        <v>|ORI|無色|7||《[[精霊信者の剣]]》|</v>
      </c>
      <c r="B49" t="s">
        <v>3168</v>
      </c>
      <c r="C49" t="str">
        <f t="shared" si="4"/>
        <v>ORI</v>
      </c>
      <c r="D49">
        <f>IF(AI49="","",VLOOKUP(C49,tnpl!$Z$1:$AA$11,2,TRUE))</f>
        <v>1</v>
      </c>
      <c r="E49" t="s">
        <v>3168</v>
      </c>
      <c r="F49" t="str">
        <f t="shared" si="5"/>
        <v>無色</v>
      </c>
      <c r="G49">
        <f>IF(AJ49="","",VLOOKUP(F49,tnpl!$X$1:$Y$16,2,TRUE))</f>
        <v>16</v>
      </c>
      <c r="H49" t="s">
        <v>3168</v>
      </c>
      <c r="I49">
        <f t="shared" si="6"/>
        <v>7</v>
      </c>
      <c r="J49" t="s">
        <v>3168</v>
      </c>
      <c r="K49">
        <f t="shared" si="7"/>
        <v>0</v>
      </c>
      <c r="L49">
        <f t="shared" si="8"/>
        <v>0</v>
      </c>
      <c r="M49" t="str">
        <f t="shared" si="1"/>
        <v/>
      </c>
      <c r="R49" t="s">
        <v>3175</v>
      </c>
      <c r="S49" t="s">
        <v>4750</v>
      </c>
      <c r="T49" t="str">
        <f t="shared" si="9"/>
        <v>精霊信者の剣</v>
      </c>
      <c r="U49" t="str">
        <f t="shared" si="10"/>
        <v/>
      </c>
      <c r="V49" t="str">
        <f>IF(I49=0,VLOOKUP(T49,Sheet4!A:B,2,TRUE),"")</f>
        <v/>
      </c>
      <c r="W49" t="s">
        <v>4751</v>
      </c>
      <c r="X49" t="s">
        <v>3175</v>
      </c>
      <c r="Y49" s="9"/>
      <c r="Z49" s="10" t="s">
        <v>2427</v>
      </c>
      <c r="AA49" t="s">
        <v>4828</v>
      </c>
      <c r="AC49" t="str">
        <f t="shared" si="11"/>
        <v>破壊する</v>
      </c>
      <c r="AD49" t="str">
        <f t="shared" si="2"/>
        <v/>
      </c>
      <c r="AE49" t="str">
        <f t="shared" si="12"/>
        <v/>
      </c>
      <c r="AF49" t="str">
        <f t="shared" si="13"/>
        <v/>
      </c>
      <c r="AG49" t="b">
        <f t="shared" si="0"/>
        <v>0</v>
      </c>
      <c r="AH49" s="3">
        <v>243</v>
      </c>
      <c r="AI49" s="2" t="s">
        <v>3176</v>
      </c>
      <c r="AJ49" s="1" t="s">
        <v>292</v>
      </c>
      <c r="AK49" s="1" t="s">
        <v>1441</v>
      </c>
      <c r="AL49" s="1">
        <v>7</v>
      </c>
      <c r="AM49" s="1" t="s">
        <v>2429</v>
      </c>
      <c r="AN49" s="1" t="s">
        <v>2428</v>
      </c>
      <c r="AO49" s="1" t="s">
        <v>288</v>
      </c>
      <c r="AP49" s="1">
        <v>2</v>
      </c>
      <c r="AQ49" s="1"/>
      <c r="AR49" s="1"/>
      <c r="AS49" s="1" t="s">
        <v>2427</v>
      </c>
    </row>
    <row r="50" spans="1:45" x14ac:dyDescent="0.15">
      <c r="A50" t="str">
        <f t="shared" si="3"/>
        <v>|ORI|無色|25|8/8|《[[搭載歩行機械]]》|</v>
      </c>
      <c r="B50" t="s">
        <v>3168</v>
      </c>
      <c r="C50" t="str">
        <f t="shared" si="4"/>
        <v>ORI</v>
      </c>
      <c r="D50">
        <f>IF(AI50="","",VLOOKUP(C50,tnpl!$Z$1:$AA$11,2,TRUE))</f>
        <v>1</v>
      </c>
      <c r="E50" t="s">
        <v>3168</v>
      </c>
      <c r="F50" t="str">
        <f t="shared" si="5"/>
        <v>無色</v>
      </c>
      <c r="G50">
        <f>IF(AJ50="","",VLOOKUP(F50,tnpl!$X$1:$Y$16,2,TRUE))</f>
        <v>16</v>
      </c>
      <c r="H50" t="s">
        <v>3168</v>
      </c>
      <c r="I50">
        <f t="shared" si="6"/>
        <v>25</v>
      </c>
      <c r="J50" t="s">
        <v>3168</v>
      </c>
      <c r="K50">
        <f t="shared" si="7"/>
        <v>8</v>
      </c>
      <c r="L50">
        <f t="shared" si="8"/>
        <v>8</v>
      </c>
      <c r="M50" t="str">
        <f t="shared" si="1"/>
        <v>8/8</v>
      </c>
      <c r="R50" t="s">
        <v>3175</v>
      </c>
      <c r="S50" t="s">
        <v>4750</v>
      </c>
      <c r="T50" t="str">
        <f t="shared" si="9"/>
        <v>搭載歩行機械</v>
      </c>
      <c r="U50" t="str">
        <f t="shared" si="10"/>
        <v/>
      </c>
      <c r="V50" t="str">
        <f>IF(I50=0,VLOOKUP(T50,Sheet4!A:B,2,TRUE),"")</f>
        <v/>
      </c>
      <c r="W50" t="s">
        <v>4751</v>
      </c>
      <c r="X50" t="s">
        <v>3175</v>
      </c>
      <c r="Y50" s="9"/>
      <c r="Z50" s="10" t="s">
        <v>2424</v>
      </c>
      <c r="AA50" t="s">
        <v>4757</v>
      </c>
      <c r="AC50" t="str">
        <f t="shared" si="11"/>
        <v/>
      </c>
      <c r="AD50" t="str">
        <f t="shared" si="2"/>
        <v>破壊された</v>
      </c>
      <c r="AE50" t="str">
        <f t="shared" si="12"/>
        <v/>
      </c>
      <c r="AF50" t="str">
        <f t="shared" si="13"/>
        <v/>
      </c>
      <c r="AG50" t="b">
        <f t="shared" si="0"/>
        <v>0</v>
      </c>
      <c r="AH50" s="3">
        <v>244</v>
      </c>
      <c r="AI50" s="2" t="s">
        <v>3176</v>
      </c>
      <c r="AJ50" s="1" t="s">
        <v>292</v>
      </c>
      <c r="AK50" s="1" t="s">
        <v>1431</v>
      </c>
      <c r="AL50" s="1">
        <v>25</v>
      </c>
      <c r="AM50" s="1" t="s">
        <v>2426</v>
      </c>
      <c r="AN50" s="1" t="s">
        <v>2425</v>
      </c>
      <c r="AO50" s="1" t="s">
        <v>339</v>
      </c>
      <c r="AP50" s="1"/>
      <c r="AQ50" s="1">
        <v>8</v>
      </c>
      <c r="AR50" s="1">
        <v>8</v>
      </c>
      <c r="AS50" s="1" t="s">
        <v>2424</v>
      </c>
    </row>
    <row r="51" spans="1:45" x14ac:dyDescent="0.15">
      <c r="A51" t="str">
        <f t="shared" si="3"/>
        <v>|BFZ|白|5|2/2|《[[フェリダーの仔]]》|</v>
      </c>
      <c r="B51" t="s">
        <v>3168</v>
      </c>
      <c r="C51" t="str">
        <f t="shared" si="4"/>
        <v>BFZ</v>
      </c>
      <c r="D51">
        <f>IF(AI51="","",VLOOKUP(C51,tnpl!$Z$1:$AA$11,2,TRUE))</f>
        <v>2</v>
      </c>
      <c r="E51" t="s">
        <v>3168</v>
      </c>
      <c r="F51" t="str">
        <f t="shared" si="5"/>
        <v>白</v>
      </c>
      <c r="G51">
        <f>IF(AJ51="","",VLOOKUP(F51,tnpl!$X$1:$Y$16,2,TRUE))</f>
        <v>1</v>
      </c>
      <c r="H51" t="s">
        <v>3168</v>
      </c>
      <c r="I51">
        <f t="shared" si="6"/>
        <v>5</v>
      </c>
      <c r="J51" t="s">
        <v>3168</v>
      </c>
      <c r="K51">
        <f t="shared" si="7"/>
        <v>2</v>
      </c>
      <c r="L51">
        <f t="shared" si="8"/>
        <v>2</v>
      </c>
      <c r="M51" t="str">
        <f t="shared" si="1"/>
        <v>2/2</v>
      </c>
      <c r="R51" t="s">
        <v>3175</v>
      </c>
      <c r="S51" t="s">
        <v>4750</v>
      </c>
      <c r="T51" t="str">
        <f t="shared" si="9"/>
        <v>フェリダーの仔</v>
      </c>
      <c r="U51" t="str">
        <f t="shared" si="10"/>
        <v/>
      </c>
      <c r="V51" t="str">
        <f>IF(I51=0,VLOOKUP(T51,Sheet4!A:B,2,TRUE),"")</f>
        <v/>
      </c>
      <c r="W51" t="s">
        <v>4751</v>
      </c>
      <c r="X51" t="s">
        <v>3175</v>
      </c>
      <c r="Y51" s="9"/>
      <c r="Z51" s="10" t="s">
        <v>2410</v>
      </c>
      <c r="AA51" t="s">
        <v>4825</v>
      </c>
      <c r="AB51" t="s">
        <v>4826</v>
      </c>
      <c r="AC51" t="str">
        <f t="shared" si="11"/>
        <v>破壊する</v>
      </c>
      <c r="AD51" t="str">
        <f t="shared" si="2"/>
        <v/>
      </c>
      <c r="AE51" t="str">
        <f t="shared" si="12"/>
        <v/>
      </c>
      <c r="AF51" t="str">
        <f t="shared" si="13"/>
        <v>破壊し</v>
      </c>
      <c r="AG51" t="b">
        <f t="shared" si="0"/>
        <v>0</v>
      </c>
      <c r="AH51" s="3">
        <v>249</v>
      </c>
      <c r="AI51" s="2" t="s">
        <v>3170</v>
      </c>
      <c r="AJ51" s="1" t="s">
        <v>1627</v>
      </c>
      <c r="AK51" s="1" t="s">
        <v>1744</v>
      </c>
      <c r="AL51" s="1">
        <v>5</v>
      </c>
      <c r="AM51" s="1" t="s">
        <v>2412</v>
      </c>
      <c r="AN51" s="1" t="s">
        <v>2411</v>
      </c>
      <c r="AO51" s="1" t="s">
        <v>339</v>
      </c>
      <c r="AP51" s="1"/>
      <c r="AQ51" s="1">
        <v>2</v>
      </c>
      <c r="AR51" s="1">
        <v>2</v>
      </c>
      <c r="AS51" s="1" t="s">
        <v>2410</v>
      </c>
    </row>
    <row r="52" spans="1:45" x14ac:dyDescent="0.15">
      <c r="A52" t="str">
        <f t="shared" si="3"/>
        <v>|BFZ|白|8||《[[真っ逆さま]]》|</v>
      </c>
      <c r="B52" t="s">
        <v>3168</v>
      </c>
      <c r="C52" t="str">
        <f t="shared" si="4"/>
        <v>BFZ</v>
      </c>
      <c r="D52">
        <f>IF(AI52="","",VLOOKUP(C52,tnpl!$Z$1:$AA$11,2,TRUE))</f>
        <v>2</v>
      </c>
      <c r="E52" t="s">
        <v>3168</v>
      </c>
      <c r="F52" t="str">
        <f t="shared" si="5"/>
        <v>白</v>
      </c>
      <c r="G52">
        <f>IF(AJ52="","",VLOOKUP(F52,tnpl!$X$1:$Y$16,2,TRUE))</f>
        <v>1</v>
      </c>
      <c r="H52" t="s">
        <v>3168</v>
      </c>
      <c r="I52">
        <f t="shared" si="6"/>
        <v>8</v>
      </c>
      <c r="J52" t="s">
        <v>3168</v>
      </c>
      <c r="K52">
        <f t="shared" si="7"/>
        <v>0</v>
      </c>
      <c r="L52">
        <f t="shared" si="8"/>
        <v>0</v>
      </c>
      <c r="M52" t="str">
        <f t="shared" si="1"/>
        <v/>
      </c>
      <c r="R52" t="s">
        <v>3175</v>
      </c>
      <c r="S52" t="s">
        <v>4750</v>
      </c>
      <c r="T52" t="str">
        <f t="shared" si="9"/>
        <v>真っ逆さま</v>
      </c>
      <c r="U52" t="str">
        <f t="shared" si="10"/>
        <v/>
      </c>
      <c r="V52" t="str">
        <f>IF(I52=0,VLOOKUP(T52,Sheet4!A:B,2,TRUE),"")</f>
        <v/>
      </c>
      <c r="W52" t="s">
        <v>4751</v>
      </c>
      <c r="X52" t="s">
        <v>3175</v>
      </c>
      <c r="Y52" s="9"/>
      <c r="Z52" s="10" t="s">
        <v>2378</v>
      </c>
      <c r="AA52" t="s">
        <v>4825</v>
      </c>
      <c r="AC52" t="str">
        <f t="shared" si="11"/>
        <v>破壊する</v>
      </c>
      <c r="AD52" t="str">
        <f t="shared" si="2"/>
        <v/>
      </c>
      <c r="AE52" t="str">
        <f t="shared" si="12"/>
        <v/>
      </c>
      <c r="AF52" t="str">
        <f t="shared" si="13"/>
        <v/>
      </c>
      <c r="AG52" t="b">
        <f t="shared" si="0"/>
        <v>0</v>
      </c>
      <c r="AH52" s="3">
        <v>260</v>
      </c>
      <c r="AI52" s="2" t="s">
        <v>3170</v>
      </c>
      <c r="AJ52" s="1" t="s">
        <v>1627</v>
      </c>
      <c r="AK52" s="1" t="s">
        <v>1744</v>
      </c>
      <c r="AL52" s="1">
        <v>8</v>
      </c>
      <c r="AM52" s="1" t="s">
        <v>2382</v>
      </c>
      <c r="AN52" s="1" t="s">
        <v>2381</v>
      </c>
      <c r="AO52" s="1" t="s">
        <v>1453</v>
      </c>
      <c r="AP52" s="1"/>
      <c r="AQ52" s="1"/>
      <c r="AR52" s="1"/>
      <c r="AS52" s="1" t="s">
        <v>2378</v>
      </c>
    </row>
    <row r="53" spans="1:45" x14ac:dyDescent="0.15">
      <c r="A53" t="str">
        <f t="shared" si="3"/>
        <v>|BFZ|白|8||《[[大物潰し]]》|</v>
      </c>
      <c r="B53" t="s">
        <v>3168</v>
      </c>
      <c r="C53" t="str">
        <f t="shared" si="4"/>
        <v>BFZ</v>
      </c>
      <c r="D53">
        <f>IF(AI53="","",VLOOKUP(C53,tnpl!$Z$1:$AA$11,2,TRUE))</f>
        <v>2</v>
      </c>
      <c r="E53" t="s">
        <v>3168</v>
      </c>
      <c r="F53" t="str">
        <f t="shared" si="5"/>
        <v>白</v>
      </c>
      <c r="G53">
        <f>IF(AJ53="","",VLOOKUP(F53,tnpl!$X$1:$Y$16,2,TRUE))</f>
        <v>1</v>
      </c>
      <c r="H53" t="s">
        <v>3168</v>
      </c>
      <c r="I53">
        <f t="shared" si="6"/>
        <v>8</v>
      </c>
      <c r="J53" t="s">
        <v>3168</v>
      </c>
      <c r="K53">
        <f t="shared" si="7"/>
        <v>0</v>
      </c>
      <c r="L53">
        <f t="shared" si="8"/>
        <v>0</v>
      </c>
      <c r="M53" t="str">
        <f t="shared" si="1"/>
        <v/>
      </c>
      <c r="R53" t="s">
        <v>3175</v>
      </c>
      <c r="S53" t="s">
        <v>4750</v>
      </c>
      <c r="T53" t="str">
        <f t="shared" si="9"/>
        <v>大物潰し</v>
      </c>
      <c r="U53" t="str">
        <f t="shared" si="10"/>
        <v/>
      </c>
      <c r="V53" t="str">
        <f>IF(I53=0,VLOOKUP(T53,Sheet4!A:B,2,TRUE),"")</f>
        <v/>
      </c>
      <c r="W53" t="s">
        <v>4751</v>
      </c>
      <c r="X53" t="s">
        <v>3175</v>
      </c>
      <c r="Y53" s="9"/>
      <c r="Z53" s="10" t="s">
        <v>2375</v>
      </c>
      <c r="AA53" t="s">
        <v>4825</v>
      </c>
      <c r="AC53" t="str">
        <f t="shared" si="11"/>
        <v>破壊する</v>
      </c>
      <c r="AD53" t="str">
        <f t="shared" si="2"/>
        <v/>
      </c>
      <c r="AE53" t="str">
        <f t="shared" si="12"/>
        <v/>
      </c>
      <c r="AF53" t="str">
        <f t="shared" si="13"/>
        <v/>
      </c>
      <c r="AG53" t="b">
        <f t="shared" si="0"/>
        <v>0</v>
      </c>
      <c r="AH53" s="3">
        <v>261</v>
      </c>
      <c r="AI53" s="2" t="s">
        <v>3170</v>
      </c>
      <c r="AJ53" s="1" t="s">
        <v>1627</v>
      </c>
      <c r="AK53" s="1" t="s">
        <v>1744</v>
      </c>
      <c r="AL53" s="1">
        <v>8</v>
      </c>
      <c r="AM53" s="1" t="s">
        <v>2377</v>
      </c>
      <c r="AN53" s="1" t="s">
        <v>2376</v>
      </c>
      <c r="AO53" s="1" t="s">
        <v>1453</v>
      </c>
      <c r="AP53" s="1"/>
      <c r="AQ53" s="1"/>
      <c r="AR53" s="1"/>
      <c r="AS53" s="1" t="s">
        <v>2375</v>
      </c>
    </row>
    <row r="54" spans="1:45" x14ac:dyDescent="0.15">
      <c r="A54" t="str">
        <f t="shared" si="3"/>
        <v>|BFZ|白|10||《[[ギデオンの叱責]]》|</v>
      </c>
      <c r="B54" t="s">
        <v>3168</v>
      </c>
      <c r="C54" t="str">
        <f t="shared" si="4"/>
        <v>BFZ</v>
      </c>
      <c r="D54">
        <f>IF(AI54="","",VLOOKUP(C54,tnpl!$Z$1:$AA$11,2,TRUE))</f>
        <v>2</v>
      </c>
      <c r="E54" t="s">
        <v>3168</v>
      </c>
      <c r="F54" t="str">
        <f t="shared" si="5"/>
        <v>白</v>
      </c>
      <c r="G54">
        <f>IF(AJ54="","",VLOOKUP(F54,tnpl!$X$1:$Y$16,2,TRUE))</f>
        <v>1</v>
      </c>
      <c r="H54" t="s">
        <v>3168</v>
      </c>
      <c r="I54">
        <f t="shared" si="6"/>
        <v>10</v>
      </c>
      <c r="J54" t="s">
        <v>3168</v>
      </c>
      <c r="K54">
        <f t="shared" si="7"/>
        <v>0</v>
      </c>
      <c r="L54">
        <f t="shared" si="8"/>
        <v>0</v>
      </c>
      <c r="M54" t="str">
        <f t="shared" si="1"/>
        <v/>
      </c>
      <c r="R54" t="s">
        <v>3175</v>
      </c>
      <c r="S54" t="s">
        <v>4750</v>
      </c>
      <c r="T54" t="str">
        <f t="shared" si="9"/>
        <v>ギデオンの叱責</v>
      </c>
      <c r="U54" t="str">
        <f t="shared" si="10"/>
        <v/>
      </c>
      <c r="V54" t="str">
        <f>IF(I54=0,VLOOKUP(T54,Sheet4!A:B,2,TRUE),"")</f>
        <v/>
      </c>
      <c r="W54" t="s">
        <v>4751</v>
      </c>
      <c r="X54" t="s">
        <v>3175</v>
      </c>
      <c r="Y54" s="9"/>
      <c r="Z54" s="10" t="s">
        <v>2367</v>
      </c>
      <c r="AA54" t="s">
        <v>4826</v>
      </c>
      <c r="AC54" t="str">
        <f t="shared" si="11"/>
        <v>破壊する</v>
      </c>
      <c r="AD54" t="str">
        <f t="shared" si="2"/>
        <v/>
      </c>
      <c r="AE54" t="str">
        <f t="shared" si="12"/>
        <v/>
      </c>
      <c r="AF54" t="str">
        <f t="shared" si="13"/>
        <v/>
      </c>
      <c r="AG54" t="b">
        <f t="shared" si="0"/>
        <v>0</v>
      </c>
      <c r="AH54" s="3">
        <v>263</v>
      </c>
      <c r="AI54" s="2" t="s">
        <v>3170</v>
      </c>
      <c r="AJ54" s="1" t="s">
        <v>1627</v>
      </c>
      <c r="AK54" s="1" t="s">
        <v>1744</v>
      </c>
      <c r="AL54" s="1">
        <v>10</v>
      </c>
      <c r="AM54" s="1" t="s">
        <v>2371</v>
      </c>
      <c r="AN54" s="1" t="s">
        <v>2370</v>
      </c>
      <c r="AO54" s="1" t="s">
        <v>288</v>
      </c>
      <c r="AP54" s="1">
        <v>9</v>
      </c>
      <c r="AQ54" s="1"/>
      <c r="AR54" s="1"/>
      <c r="AS54" s="1" t="s">
        <v>2367</v>
      </c>
    </row>
    <row r="55" spans="1:45" x14ac:dyDescent="0.15">
      <c r="A55" t="str">
        <f t="shared" si="3"/>
        <v>|BFZ|白|11||《[[荒廃した草原]]》|</v>
      </c>
      <c r="B55" t="s">
        <v>3168</v>
      </c>
      <c r="C55" t="str">
        <f t="shared" si="4"/>
        <v>BFZ</v>
      </c>
      <c r="D55">
        <f>IF(AI55="","",VLOOKUP(C55,tnpl!$Z$1:$AA$11,2,TRUE))</f>
        <v>2</v>
      </c>
      <c r="E55" t="s">
        <v>3168</v>
      </c>
      <c r="F55" t="str">
        <f t="shared" si="5"/>
        <v>白</v>
      </c>
      <c r="G55">
        <f>IF(AJ55="","",VLOOKUP(F55,tnpl!$X$1:$Y$16,2,TRUE))</f>
        <v>1</v>
      </c>
      <c r="H55" t="s">
        <v>3168</v>
      </c>
      <c r="I55">
        <f t="shared" si="6"/>
        <v>11</v>
      </c>
      <c r="J55" t="s">
        <v>3168</v>
      </c>
      <c r="K55">
        <f t="shared" si="7"/>
        <v>0</v>
      </c>
      <c r="L55">
        <f t="shared" si="8"/>
        <v>0</v>
      </c>
      <c r="M55" t="str">
        <f t="shared" si="1"/>
        <v/>
      </c>
      <c r="R55" t="s">
        <v>3175</v>
      </c>
      <c r="S55" t="s">
        <v>4750</v>
      </c>
      <c r="T55" t="str">
        <f t="shared" si="9"/>
        <v>荒廃した草原</v>
      </c>
      <c r="U55" t="str">
        <f t="shared" si="10"/>
        <v/>
      </c>
      <c r="V55" t="str">
        <f>IF(I55=0,VLOOKUP(T55,Sheet4!A:B,2,TRUE),"")</f>
        <v/>
      </c>
      <c r="W55" t="s">
        <v>4751</v>
      </c>
      <c r="X55" t="s">
        <v>3175</v>
      </c>
      <c r="Y55" s="9"/>
      <c r="Z55" s="10" t="s">
        <v>2334</v>
      </c>
      <c r="AA55" t="s">
        <v>4757</v>
      </c>
      <c r="AC55" t="str">
        <f t="shared" si="11"/>
        <v/>
      </c>
      <c r="AD55" t="str">
        <f t="shared" si="2"/>
        <v>破壊された</v>
      </c>
      <c r="AE55" t="str">
        <f t="shared" si="12"/>
        <v/>
      </c>
      <c r="AF55" t="str">
        <f t="shared" si="13"/>
        <v/>
      </c>
      <c r="AG55" t="b">
        <f t="shared" si="0"/>
        <v>0</v>
      </c>
      <c r="AH55" s="3">
        <v>273</v>
      </c>
      <c r="AI55" s="2" t="s">
        <v>3170</v>
      </c>
      <c r="AJ55" s="1" t="s">
        <v>1627</v>
      </c>
      <c r="AK55" s="1" t="s">
        <v>1451</v>
      </c>
      <c r="AL55" s="1">
        <v>11</v>
      </c>
      <c r="AM55" s="1" t="s">
        <v>2336</v>
      </c>
      <c r="AN55" s="1" t="s">
        <v>2335</v>
      </c>
      <c r="AO55" s="1" t="s">
        <v>288</v>
      </c>
      <c r="AP55" s="1">
        <v>2</v>
      </c>
      <c r="AQ55" s="1"/>
      <c r="AR55" s="1"/>
      <c r="AS55" s="1" t="s">
        <v>2334</v>
      </c>
    </row>
    <row r="56" spans="1:45" x14ac:dyDescent="0.15">
      <c r="A56" t="str">
        <f t="shared" si="3"/>
        <v>|BFZ|白|11|4/4|《[[エメリアの番人]]》|</v>
      </c>
      <c r="B56" t="s">
        <v>3168</v>
      </c>
      <c r="C56" t="str">
        <f t="shared" si="4"/>
        <v>BFZ</v>
      </c>
      <c r="D56">
        <f>IF(AI56="","",VLOOKUP(C56,tnpl!$Z$1:$AA$11,2,TRUE))</f>
        <v>2</v>
      </c>
      <c r="E56" t="s">
        <v>3168</v>
      </c>
      <c r="F56" t="str">
        <f t="shared" si="5"/>
        <v>白</v>
      </c>
      <c r="G56">
        <f>IF(AJ56="","",VLOOKUP(F56,tnpl!$X$1:$Y$16,2,TRUE))</f>
        <v>1</v>
      </c>
      <c r="H56" t="s">
        <v>3168</v>
      </c>
      <c r="I56">
        <f t="shared" si="6"/>
        <v>11</v>
      </c>
      <c r="J56" t="s">
        <v>3168</v>
      </c>
      <c r="K56">
        <f t="shared" si="7"/>
        <v>4</v>
      </c>
      <c r="L56">
        <f t="shared" si="8"/>
        <v>4</v>
      </c>
      <c r="M56" t="str">
        <f t="shared" si="1"/>
        <v>4/4</v>
      </c>
      <c r="R56" t="s">
        <v>3175</v>
      </c>
      <c r="S56" t="s">
        <v>4750</v>
      </c>
      <c r="T56" t="str">
        <f t="shared" si="9"/>
        <v>エメリアの番人</v>
      </c>
      <c r="U56" t="str">
        <f t="shared" si="10"/>
        <v/>
      </c>
      <c r="V56" t="str">
        <f>IF(I56=0,VLOOKUP(T56,Sheet4!A:B,2,TRUE),"")</f>
        <v/>
      </c>
      <c r="W56" t="s">
        <v>4751</v>
      </c>
      <c r="X56" t="s">
        <v>3175</v>
      </c>
      <c r="Y56" s="9"/>
      <c r="Z56" s="10" t="s">
        <v>3316</v>
      </c>
      <c r="AA56" t="s">
        <v>4830</v>
      </c>
      <c r="AC56" t="str">
        <f t="shared" si="11"/>
        <v/>
      </c>
      <c r="AD56" t="str">
        <f t="shared" si="2"/>
        <v>破壊された</v>
      </c>
      <c r="AE56" t="str">
        <f t="shared" si="12"/>
        <v/>
      </c>
      <c r="AF56" t="str">
        <f t="shared" si="13"/>
        <v/>
      </c>
      <c r="AG56" t="b">
        <f t="shared" si="0"/>
        <v>0</v>
      </c>
      <c r="AH56" s="3">
        <v>276</v>
      </c>
      <c r="AI56" s="2" t="s">
        <v>3170</v>
      </c>
      <c r="AJ56" s="1" t="s">
        <v>1627</v>
      </c>
      <c r="AK56" s="1" t="s">
        <v>1431</v>
      </c>
      <c r="AL56" s="1">
        <v>11</v>
      </c>
      <c r="AM56" s="1" t="s">
        <v>2327</v>
      </c>
      <c r="AN56" s="1" t="s">
        <v>2326</v>
      </c>
      <c r="AO56" s="1" t="s">
        <v>339</v>
      </c>
      <c r="AP56" s="1"/>
      <c r="AQ56" s="1">
        <v>4</v>
      </c>
      <c r="AR56" s="1">
        <v>4</v>
      </c>
      <c r="AS56" s="1" t="s">
        <v>3316</v>
      </c>
    </row>
    <row r="57" spans="1:45" x14ac:dyDescent="0.15">
      <c r="A57" t="str">
        <f t="shared" si="3"/>
        <v>|BFZ|青|11|2/1|《[[空中生成エルドラージ]]》|</v>
      </c>
      <c r="B57" t="s">
        <v>3168</v>
      </c>
      <c r="C57" t="str">
        <f t="shared" si="4"/>
        <v>BFZ</v>
      </c>
      <c r="D57">
        <f>IF(AI57="","",VLOOKUP(C57,tnpl!$Z$1:$AA$11,2,TRUE))</f>
        <v>2</v>
      </c>
      <c r="E57" t="s">
        <v>3168</v>
      </c>
      <c r="F57" t="str">
        <f t="shared" si="5"/>
        <v>青</v>
      </c>
      <c r="G57">
        <f>IF(AJ57="","",VLOOKUP(F57,tnpl!$X$1:$Y$16,2,TRUE))</f>
        <v>2</v>
      </c>
      <c r="H57" t="s">
        <v>3168</v>
      </c>
      <c r="I57">
        <f t="shared" si="6"/>
        <v>11</v>
      </c>
      <c r="J57" t="s">
        <v>3168</v>
      </c>
      <c r="K57">
        <f t="shared" si="7"/>
        <v>2</v>
      </c>
      <c r="L57">
        <f t="shared" si="8"/>
        <v>1</v>
      </c>
      <c r="M57" t="str">
        <f t="shared" si="1"/>
        <v>2/1</v>
      </c>
      <c r="R57" t="s">
        <v>3175</v>
      </c>
      <c r="S57" t="s">
        <v>4750</v>
      </c>
      <c r="T57" t="str">
        <f t="shared" si="9"/>
        <v>空中生成エルドラージ</v>
      </c>
      <c r="U57" t="str">
        <f t="shared" si="10"/>
        <v/>
      </c>
      <c r="V57" t="str">
        <f>IF(I57=0,VLOOKUP(T57,Sheet4!A:B,2,TRUE),"")</f>
        <v/>
      </c>
      <c r="W57" t="s">
        <v>4751</v>
      </c>
      <c r="X57" t="s">
        <v>3175</v>
      </c>
      <c r="Y57" s="9"/>
      <c r="Z57" s="10" t="s">
        <v>3320</v>
      </c>
      <c r="AA57" t="s">
        <v>4832</v>
      </c>
      <c r="AC57" t="str">
        <f t="shared" si="11"/>
        <v/>
      </c>
      <c r="AD57" t="str">
        <f t="shared" si="2"/>
        <v>破壊された</v>
      </c>
      <c r="AE57" t="str">
        <f t="shared" si="12"/>
        <v/>
      </c>
      <c r="AF57" t="str">
        <f t="shared" si="13"/>
        <v/>
      </c>
      <c r="AG57" t="b">
        <f t="shared" si="0"/>
        <v>0</v>
      </c>
      <c r="AH57" s="3">
        <v>282</v>
      </c>
      <c r="AI57" s="2" t="s">
        <v>3170</v>
      </c>
      <c r="AJ57" s="1" t="s">
        <v>1606</v>
      </c>
      <c r="AK57" s="1" t="s">
        <v>1744</v>
      </c>
      <c r="AL57" s="1">
        <v>11</v>
      </c>
      <c r="AM57" s="1" t="s">
        <v>2306</v>
      </c>
      <c r="AN57" s="1" t="s">
        <v>2305</v>
      </c>
      <c r="AO57" s="1" t="s">
        <v>339</v>
      </c>
      <c r="AP57" s="1"/>
      <c r="AQ57" s="1">
        <v>2</v>
      </c>
      <c r="AR57" s="1">
        <v>1</v>
      </c>
      <c r="AS57" s="1" t="s">
        <v>3320</v>
      </c>
    </row>
    <row r="58" spans="1:45" x14ac:dyDescent="0.15">
      <c r="A58" t="str">
        <f t="shared" si="3"/>
        <v>|BFZ|青|7|1/2|《[[培養ドローン]]》|</v>
      </c>
      <c r="B58" t="s">
        <v>3168</v>
      </c>
      <c r="C58" t="str">
        <f t="shared" si="4"/>
        <v>BFZ</v>
      </c>
      <c r="D58">
        <f>IF(AI58="","",VLOOKUP(C58,tnpl!$Z$1:$AA$11,2,TRUE))</f>
        <v>2</v>
      </c>
      <c r="E58" t="s">
        <v>3168</v>
      </c>
      <c r="F58" t="str">
        <f t="shared" si="5"/>
        <v>青</v>
      </c>
      <c r="G58">
        <f>IF(AJ58="","",VLOOKUP(F58,tnpl!$X$1:$Y$16,2,TRUE))</f>
        <v>2</v>
      </c>
      <c r="H58" t="s">
        <v>3168</v>
      </c>
      <c r="I58">
        <f t="shared" si="6"/>
        <v>7</v>
      </c>
      <c r="J58" t="s">
        <v>3168</v>
      </c>
      <c r="K58">
        <f t="shared" si="7"/>
        <v>1</v>
      </c>
      <c r="L58">
        <f t="shared" si="8"/>
        <v>2</v>
      </c>
      <c r="M58" t="str">
        <f t="shared" si="1"/>
        <v>1/2</v>
      </c>
      <c r="R58" t="s">
        <v>3175</v>
      </c>
      <c r="S58" t="s">
        <v>4750</v>
      </c>
      <c r="T58" t="str">
        <f t="shared" si="9"/>
        <v>培養ドローン</v>
      </c>
      <c r="U58" t="str">
        <f t="shared" si="10"/>
        <v/>
      </c>
      <c r="V58" t="str">
        <f>IF(I58=0,VLOOKUP(T58,Sheet4!A:B,2,TRUE),"")</f>
        <v/>
      </c>
      <c r="W58" t="s">
        <v>4751</v>
      </c>
      <c r="X58" t="s">
        <v>3175</v>
      </c>
      <c r="Y58" s="9"/>
      <c r="Z58" s="10" t="s">
        <v>3322</v>
      </c>
      <c r="AA58" t="s">
        <v>4832</v>
      </c>
      <c r="AC58" t="str">
        <f t="shared" si="11"/>
        <v/>
      </c>
      <c r="AD58" t="str">
        <f t="shared" si="2"/>
        <v>破壊された</v>
      </c>
      <c r="AE58" t="str">
        <f t="shared" si="12"/>
        <v/>
      </c>
      <c r="AF58" t="str">
        <f t="shared" si="13"/>
        <v/>
      </c>
      <c r="AG58" t="b">
        <f t="shared" si="0"/>
        <v>0</v>
      </c>
      <c r="AH58" s="3">
        <v>283</v>
      </c>
      <c r="AI58" s="2" t="s">
        <v>3170</v>
      </c>
      <c r="AJ58" s="1" t="s">
        <v>1606</v>
      </c>
      <c r="AK58" s="1" t="s">
        <v>1744</v>
      </c>
      <c r="AL58" s="1">
        <v>7</v>
      </c>
      <c r="AM58" s="1" t="s">
        <v>2304</v>
      </c>
      <c r="AN58" s="1" t="s">
        <v>2303</v>
      </c>
      <c r="AO58" s="1" t="s">
        <v>339</v>
      </c>
      <c r="AP58" s="1"/>
      <c r="AQ58" s="1">
        <v>1</v>
      </c>
      <c r="AR58" s="1">
        <v>2</v>
      </c>
      <c r="AS58" s="1" t="s">
        <v>3322</v>
      </c>
    </row>
    <row r="59" spans="1:45" x14ac:dyDescent="0.15">
      <c r="A59" t="str">
        <f t="shared" si="3"/>
        <v>|BFZ|青|6|1/1|《[[回収ドローン]]》|</v>
      </c>
      <c r="B59" t="s">
        <v>3168</v>
      </c>
      <c r="C59" t="str">
        <f t="shared" si="4"/>
        <v>BFZ</v>
      </c>
      <c r="D59">
        <f>IF(AI59="","",VLOOKUP(C59,tnpl!$Z$1:$AA$11,2,TRUE))</f>
        <v>2</v>
      </c>
      <c r="E59" t="s">
        <v>3168</v>
      </c>
      <c r="F59" t="str">
        <f t="shared" si="5"/>
        <v>青</v>
      </c>
      <c r="G59">
        <f>IF(AJ59="","",VLOOKUP(F59,tnpl!$X$1:$Y$16,2,TRUE))</f>
        <v>2</v>
      </c>
      <c r="H59" t="s">
        <v>3168</v>
      </c>
      <c r="I59">
        <f t="shared" si="6"/>
        <v>6</v>
      </c>
      <c r="J59" t="s">
        <v>3168</v>
      </c>
      <c r="K59">
        <f t="shared" si="7"/>
        <v>1</v>
      </c>
      <c r="L59">
        <f t="shared" si="8"/>
        <v>1</v>
      </c>
      <c r="M59" t="str">
        <f t="shared" si="1"/>
        <v>1/1</v>
      </c>
      <c r="R59" t="s">
        <v>3175</v>
      </c>
      <c r="S59" t="s">
        <v>4750</v>
      </c>
      <c r="T59" t="str">
        <f t="shared" si="9"/>
        <v>回収ドローン</v>
      </c>
      <c r="U59" t="str">
        <f t="shared" si="10"/>
        <v/>
      </c>
      <c r="V59" t="str">
        <f>IF(I59=0,VLOOKUP(T59,Sheet4!A:B,2,TRUE),"")</f>
        <v/>
      </c>
      <c r="W59" t="s">
        <v>4751</v>
      </c>
      <c r="X59" t="s">
        <v>3175</v>
      </c>
      <c r="Y59" s="9"/>
      <c r="Z59" s="10" t="s">
        <v>3325</v>
      </c>
      <c r="AA59" t="s">
        <v>4757</v>
      </c>
      <c r="AC59" t="str">
        <f t="shared" si="11"/>
        <v/>
      </c>
      <c r="AD59" t="str">
        <f t="shared" si="2"/>
        <v>破壊された</v>
      </c>
      <c r="AE59" t="str">
        <f t="shared" si="12"/>
        <v/>
      </c>
      <c r="AF59" t="str">
        <f t="shared" si="13"/>
        <v/>
      </c>
      <c r="AG59" t="b">
        <f t="shared" si="0"/>
        <v>0</v>
      </c>
      <c r="AH59" s="3">
        <v>286</v>
      </c>
      <c r="AI59" s="2" t="s">
        <v>3170</v>
      </c>
      <c r="AJ59" s="1" t="s">
        <v>1606</v>
      </c>
      <c r="AK59" s="1" t="s">
        <v>1744</v>
      </c>
      <c r="AL59" s="1">
        <v>6</v>
      </c>
      <c r="AM59" s="1" t="s">
        <v>2296</v>
      </c>
      <c r="AN59" s="1" t="s">
        <v>2295</v>
      </c>
      <c r="AO59" s="1" t="s">
        <v>339</v>
      </c>
      <c r="AP59" s="1"/>
      <c r="AQ59" s="1">
        <v>1</v>
      </c>
      <c r="AR59" s="1">
        <v>1</v>
      </c>
      <c r="AS59" s="1" t="s">
        <v>3325</v>
      </c>
    </row>
    <row r="60" spans="1:45" x14ac:dyDescent="0.15">
      <c r="A60" t="str">
        <f t="shared" si="3"/>
        <v>|BFZ|青|6||《[[逆境]]》|</v>
      </c>
      <c r="B60" t="s">
        <v>3168</v>
      </c>
      <c r="C60" t="str">
        <f t="shared" si="4"/>
        <v>BFZ</v>
      </c>
      <c r="D60">
        <f>IF(AI60="","",VLOOKUP(C60,tnpl!$Z$1:$AA$11,2,TRUE))</f>
        <v>2</v>
      </c>
      <c r="E60" t="s">
        <v>3168</v>
      </c>
      <c r="F60" t="str">
        <f t="shared" si="5"/>
        <v>青</v>
      </c>
      <c r="G60">
        <f>IF(AJ60="","",VLOOKUP(F60,tnpl!$X$1:$Y$16,2,TRUE))</f>
        <v>2</v>
      </c>
      <c r="H60" t="s">
        <v>3168</v>
      </c>
      <c r="I60">
        <f t="shared" si="6"/>
        <v>6</v>
      </c>
      <c r="J60" t="s">
        <v>3168</v>
      </c>
      <c r="K60">
        <f t="shared" si="7"/>
        <v>0</v>
      </c>
      <c r="L60">
        <f t="shared" si="8"/>
        <v>0</v>
      </c>
      <c r="M60" t="str">
        <f t="shared" si="1"/>
        <v/>
      </c>
      <c r="R60" t="s">
        <v>3175</v>
      </c>
      <c r="S60" t="s">
        <v>4750</v>
      </c>
      <c r="T60" t="str">
        <f t="shared" si="9"/>
        <v>逆境</v>
      </c>
      <c r="U60" t="str">
        <f t="shared" si="10"/>
        <v/>
      </c>
      <c r="V60" t="str">
        <f>IF(I60=0,VLOOKUP(T60,Sheet4!A:B,2,TRUE),"")</f>
        <v/>
      </c>
      <c r="W60" t="s">
        <v>4751</v>
      </c>
      <c r="X60" t="s">
        <v>3175</v>
      </c>
      <c r="Y60" s="9"/>
      <c r="Z60" s="10" t="s">
        <v>3332</v>
      </c>
      <c r="AA60" t="s">
        <v>4832</v>
      </c>
      <c r="AC60" t="str">
        <f t="shared" si="11"/>
        <v/>
      </c>
      <c r="AD60" t="str">
        <f t="shared" si="2"/>
        <v>破壊された</v>
      </c>
      <c r="AE60" t="str">
        <f t="shared" si="12"/>
        <v/>
      </c>
      <c r="AF60" t="str">
        <f t="shared" si="13"/>
        <v/>
      </c>
      <c r="AG60" t="b">
        <f t="shared" si="0"/>
        <v>0</v>
      </c>
      <c r="AH60" s="3">
        <v>304</v>
      </c>
      <c r="AI60" s="2" t="s">
        <v>3170</v>
      </c>
      <c r="AJ60" s="1" t="s">
        <v>1606</v>
      </c>
      <c r="AK60" s="1" t="s">
        <v>1451</v>
      </c>
      <c r="AL60" s="1">
        <v>6</v>
      </c>
      <c r="AM60" s="1" t="s">
        <v>2238</v>
      </c>
      <c r="AN60" s="1" t="s">
        <v>2237</v>
      </c>
      <c r="AO60" s="1" t="s">
        <v>1453</v>
      </c>
      <c r="AP60" s="1"/>
      <c r="AQ60" s="1"/>
      <c r="AR60" s="1"/>
      <c r="AS60" s="1" t="s">
        <v>3332</v>
      </c>
    </row>
    <row r="61" spans="1:45" x14ac:dyDescent="0.15">
      <c r="A61" t="str">
        <f t="shared" si="3"/>
        <v>|BFZ|青|12||《[[荒廃した瀑布]]》|</v>
      </c>
      <c r="B61" t="s">
        <v>3168</v>
      </c>
      <c r="C61" t="str">
        <f t="shared" si="4"/>
        <v>BFZ</v>
      </c>
      <c r="D61">
        <f>IF(AI61="","",VLOOKUP(C61,tnpl!$Z$1:$AA$11,2,TRUE))</f>
        <v>2</v>
      </c>
      <c r="E61" t="s">
        <v>3168</v>
      </c>
      <c r="F61" t="str">
        <f t="shared" si="5"/>
        <v>青</v>
      </c>
      <c r="G61">
        <f>IF(AJ61="","",VLOOKUP(F61,tnpl!$X$1:$Y$16,2,TRUE))</f>
        <v>2</v>
      </c>
      <c r="H61" t="s">
        <v>3168</v>
      </c>
      <c r="I61">
        <f t="shared" si="6"/>
        <v>12</v>
      </c>
      <c r="J61" t="s">
        <v>3168</v>
      </c>
      <c r="K61">
        <f t="shared" si="7"/>
        <v>0</v>
      </c>
      <c r="L61">
        <f t="shared" si="8"/>
        <v>0</v>
      </c>
      <c r="M61" t="str">
        <f t="shared" si="1"/>
        <v/>
      </c>
      <c r="R61" t="s">
        <v>3175</v>
      </c>
      <c r="S61" t="s">
        <v>4750</v>
      </c>
      <c r="T61" t="str">
        <f t="shared" si="9"/>
        <v>荒廃した瀑布</v>
      </c>
      <c r="U61" t="str">
        <f t="shared" si="10"/>
        <v/>
      </c>
      <c r="V61" t="str">
        <f>IF(I61=0,VLOOKUP(T61,Sheet4!A:B,2,TRUE),"")</f>
        <v/>
      </c>
      <c r="W61" t="s">
        <v>4751</v>
      </c>
      <c r="X61" t="s">
        <v>3175</v>
      </c>
      <c r="Y61" s="9"/>
      <c r="Z61" s="10" t="s">
        <v>2221</v>
      </c>
      <c r="AA61" t="s">
        <v>4757</v>
      </c>
      <c r="AC61" t="str">
        <f t="shared" si="11"/>
        <v/>
      </c>
      <c r="AD61" t="str">
        <f t="shared" si="2"/>
        <v>破壊された</v>
      </c>
      <c r="AE61" t="str">
        <f t="shared" si="12"/>
        <v/>
      </c>
      <c r="AF61" t="str">
        <f t="shared" si="13"/>
        <v/>
      </c>
      <c r="AG61" t="b">
        <f t="shared" si="0"/>
        <v>0</v>
      </c>
      <c r="AH61" s="3">
        <v>308</v>
      </c>
      <c r="AI61" s="2" t="s">
        <v>3170</v>
      </c>
      <c r="AJ61" s="1" t="s">
        <v>1606</v>
      </c>
      <c r="AK61" s="1" t="s">
        <v>1451</v>
      </c>
      <c r="AL61" s="1">
        <v>12</v>
      </c>
      <c r="AM61" s="1" t="s">
        <v>2224</v>
      </c>
      <c r="AN61" s="1" t="s">
        <v>2223</v>
      </c>
      <c r="AO61" s="1" t="s">
        <v>288</v>
      </c>
      <c r="AP61" s="1">
        <v>2</v>
      </c>
      <c r="AQ61" s="1"/>
      <c r="AR61" s="1"/>
      <c r="AS61" s="1" t="s">
        <v>2221</v>
      </c>
    </row>
    <row r="62" spans="1:45" x14ac:dyDescent="0.15">
      <c r="A62" t="str">
        <f t="shared" si="3"/>
        <v>|BFZ|青|17|8/8|《[[希望を溺れさせるもの]]》|</v>
      </c>
      <c r="B62" t="s">
        <v>3168</v>
      </c>
      <c r="C62" t="str">
        <f t="shared" si="4"/>
        <v>BFZ</v>
      </c>
      <c r="D62">
        <f>IF(AI62="","",VLOOKUP(C62,tnpl!$Z$1:$AA$11,2,TRUE))</f>
        <v>2</v>
      </c>
      <c r="E62" t="s">
        <v>3168</v>
      </c>
      <c r="F62" t="str">
        <f t="shared" si="5"/>
        <v>青</v>
      </c>
      <c r="G62">
        <f>IF(AJ62="","",VLOOKUP(F62,tnpl!$X$1:$Y$16,2,TRUE))</f>
        <v>2</v>
      </c>
      <c r="H62" t="s">
        <v>3168</v>
      </c>
      <c r="I62">
        <f t="shared" si="6"/>
        <v>17</v>
      </c>
      <c r="J62" t="s">
        <v>3168</v>
      </c>
      <c r="K62">
        <f t="shared" si="7"/>
        <v>8</v>
      </c>
      <c r="L62">
        <f t="shared" si="8"/>
        <v>8</v>
      </c>
      <c r="M62" t="str">
        <f t="shared" si="1"/>
        <v>8/8</v>
      </c>
      <c r="R62" t="s">
        <v>3175</v>
      </c>
      <c r="S62" t="s">
        <v>4750</v>
      </c>
      <c r="T62" t="str">
        <f t="shared" si="9"/>
        <v>希望を溺れさせるもの</v>
      </c>
      <c r="U62" t="str">
        <f t="shared" si="10"/>
        <v/>
      </c>
      <c r="V62" t="str">
        <f>IF(I62=0,VLOOKUP(T62,Sheet4!A:B,2,TRUE),"")</f>
        <v/>
      </c>
      <c r="W62" t="s">
        <v>4751</v>
      </c>
      <c r="X62" t="s">
        <v>3175</v>
      </c>
      <c r="Y62" s="9"/>
      <c r="Z62" s="10" t="s">
        <v>3336</v>
      </c>
      <c r="AA62" t="s">
        <v>4757</v>
      </c>
      <c r="AC62" t="str">
        <f t="shared" si="11"/>
        <v/>
      </c>
      <c r="AD62" t="str">
        <f t="shared" si="2"/>
        <v>破壊された</v>
      </c>
      <c r="AE62" t="str">
        <f t="shared" si="12"/>
        <v/>
      </c>
      <c r="AF62" t="str">
        <f t="shared" si="13"/>
        <v/>
      </c>
      <c r="AG62" t="b">
        <f t="shared" si="0"/>
        <v>0</v>
      </c>
      <c r="AH62" s="3">
        <v>314</v>
      </c>
      <c r="AI62" s="2" t="s">
        <v>3170</v>
      </c>
      <c r="AJ62" s="1" t="s">
        <v>1606</v>
      </c>
      <c r="AK62" s="1" t="s">
        <v>1431</v>
      </c>
      <c r="AL62" s="1">
        <v>17</v>
      </c>
      <c r="AM62" s="1" t="s">
        <v>2202</v>
      </c>
      <c r="AN62" s="1" t="s">
        <v>2201</v>
      </c>
      <c r="AO62" s="1" t="s">
        <v>339</v>
      </c>
      <c r="AP62" s="1"/>
      <c r="AQ62" s="1">
        <v>8</v>
      </c>
      <c r="AR62" s="1">
        <v>8</v>
      </c>
      <c r="AS62" s="1" t="s">
        <v>3336</v>
      </c>
    </row>
    <row r="63" spans="1:45" x14ac:dyDescent="0.15">
      <c r="A63" t="str">
        <f t="shared" si="3"/>
        <v>|BFZ|黒|7|2/2|《[[精神を掻き寄せるもの]]》|</v>
      </c>
      <c r="B63" t="s">
        <v>3168</v>
      </c>
      <c r="C63" t="str">
        <f t="shared" si="4"/>
        <v>BFZ</v>
      </c>
      <c r="D63">
        <f>IF(AI63="","",VLOOKUP(C63,tnpl!$Z$1:$AA$11,2,TRUE))</f>
        <v>2</v>
      </c>
      <c r="E63" t="s">
        <v>3168</v>
      </c>
      <c r="F63" t="str">
        <f t="shared" si="5"/>
        <v>黒</v>
      </c>
      <c r="G63">
        <f>IF(AJ63="","",VLOOKUP(F63,tnpl!$X$1:$Y$16,2,TRUE))</f>
        <v>3</v>
      </c>
      <c r="H63" t="s">
        <v>3168</v>
      </c>
      <c r="I63">
        <f t="shared" si="6"/>
        <v>7</v>
      </c>
      <c r="J63" t="s">
        <v>3168</v>
      </c>
      <c r="K63">
        <f t="shared" si="7"/>
        <v>2</v>
      </c>
      <c r="L63">
        <f t="shared" si="8"/>
        <v>2</v>
      </c>
      <c r="M63" t="str">
        <f t="shared" si="1"/>
        <v>2/2</v>
      </c>
      <c r="R63" t="s">
        <v>3175</v>
      </c>
      <c r="S63" t="s">
        <v>4750</v>
      </c>
      <c r="T63" t="str">
        <f t="shared" si="9"/>
        <v>精神を掻き寄せるもの</v>
      </c>
      <c r="U63" t="str">
        <f t="shared" si="10"/>
        <v/>
      </c>
      <c r="V63" t="str">
        <f>IF(I63=0,VLOOKUP(T63,Sheet4!A:B,2,TRUE),"")</f>
        <v/>
      </c>
      <c r="W63" t="s">
        <v>4751</v>
      </c>
      <c r="X63" t="s">
        <v>3175</v>
      </c>
      <c r="Y63" s="9"/>
      <c r="Z63" s="10" t="s">
        <v>3342</v>
      </c>
      <c r="AA63" t="s">
        <v>4827</v>
      </c>
      <c r="AC63" t="str">
        <f t="shared" si="11"/>
        <v>破壊する</v>
      </c>
      <c r="AD63" t="str">
        <f t="shared" si="2"/>
        <v/>
      </c>
      <c r="AE63" t="str">
        <f t="shared" si="12"/>
        <v/>
      </c>
      <c r="AF63" t="str">
        <f t="shared" si="13"/>
        <v/>
      </c>
      <c r="AG63" t="b">
        <f t="shared" si="0"/>
        <v>0</v>
      </c>
      <c r="AH63" s="3">
        <v>322</v>
      </c>
      <c r="AI63" s="2" t="s">
        <v>3170</v>
      </c>
      <c r="AJ63" s="1" t="s">
        <v>1582</v>
      </c>
      <c r="AK63" s="1" t="s">
        <v>1744</v>
      </c>
      <c r="AL63" s="1">
        <v>7</v>
      </c>
      <c r="AM63" s="1" t="s">
        <v>2180</v>
      </c>
      <c r="AN63" s="1" t="s">
        <v>2179</v>
      </c>
      <c r="AO63" s="1" t="s">
        <v>339</v>
      </c>
      <c r="AP63" s="1"/>
      <c r="AQ63" s="1">
        <v>2</v>
      </c>
      <c r="AR63" s="1">
        <v>2</v>
      </c>
      <c r="AS63" s="1" t="s">
        <v>3342</v>
      </c>
    </row>
    <row r="64" spans="1:45" x14ac:dyDescent="0.15">
      <c r="A64" t="str">
        <f t="shared" si="3"/>
        <v>|BFZ|黒|1||《[[祭壇の刈り取り]]》|</v>
      </c>
      <c r="B64" t="s">
        <v>3168</v>
      </c>
      <c r="C64" t="str">
        <f t="shared" si="4"/>
        <v>BFZ</v>
      </c>
      <c r="D64">
        <f>IF(AI64="","",VLOOKUP(C64,tnpl!$Z$1:$AA$11,2,TRUE))</f>
        <v>2</v>
      </c>
      <c r="E64" t="s">
        <v>3168</v>
      </c>
      <c r="F64" t="str">
        <f t="shared" si="5"/>
        <v>黒</v>
      </c>
      <c r="G64">
        <f>IF(AJ64="","",VLOOKUP(F64,tnpl!$X$1:$Y$16,2,TRUE))</f>
        <v>3</v>
      </c>
      <c r="H64" t="s">
        <v>3168</v>
      </c>
      <c r="I64">
        <f t="shared" si="6"/>
        <v>1</v>
      </c>
      <c r="J64" t="s">
        <v>3168</v>
      </c>
      <c r="K64">
        <f t="shared" si="7"/>
        <v>0</v>
      </c>
      <c r="L64">
        <f t="shared" si="8"/>
        <v>0</v>
      </c>
      <c r="M64" t="str">
        <f t="shared" si="1"/>
        <v/>
      </c>
      <c r="R64" t="s">
        <v>3175</v>
      </c>
      <c r="S64" t="s">
        <v>4750</v>
      </c>
      <c r="T64" t="str">
        <f t="shared" si="9"/>
        <v>祭壇の刈り取り</v>
      </c>
      <c r="U64" t="str">
        <f t="shared" si="10"/>
        <v/>
      </c>
      <c r="V64" t="str">
        <f>IF(I64=0,VLOOKUP(T64,Sheet4!A:B,2,TRUE),"")</f>
        <v/>
      </c>
      <c r="W64" t="s">
        <v>4751</v>
      </c>
      <c r="X64" t="s">
        <v>3175</v>
      </c>
      <c r="Y64" s="9"/>
      <c r="Z64" s="10" t="s">
        <v>2161</v>
      </c>
      <c r="AA64" t="s">
        <v>4825</v>
      </c>
      <c r="AC64" t="str">
        <f t="shared" si="11"/>
        <v/>
      </c>
      <c r="AD64" t="str">
        <f t="shared" si="2"/>
        <v/>
      </c>
      <c r="AE64" t="str">
        <f t="shared" si="12"/>
        <v/>
      </c>
      <c r="AF64" t="str">
        <f t="shared" si="13"/>
        <v>破壊し</v>
      </c>
      <c r="AG64" t="b">
        <f t="shared" si="0"/>
        <v>0</v>
      </c>
      <c r="AH64" s="3">
        <v>327</v>
      </c>
      <c r="AI64" s="2" t="s">
        <v>3170</v>
      </c>
      <c r="AJ64" s="1" t="s">
        <v>1582</v>
      </c>
      <c r="AK64" s="1" t="s">
        <v>1744</v>
      </c>
      <c r="AL64" s="1">
        <v>1</v>
      </c>
      <c r="AM64" s="1" t="s">
        <v>2163</v>
      </c>
      <c r="AN64" s="1" t="s">
        <v>2162</v>
      </c>
      <c r="AO64" s="1" t="s">
        <v>1453</v>
      </c>
      <c r="AP64" s="1"/>
      <c r="AQ64" s="1"/>
      <c r="AR64" s="1"/>
      <c r="AS64" s="1" t="s">
        <v>2161</v>
      </c>
    </row>
    <row r="65" spans="1:45" x14ac:dyDescent="0.15">
      <c r="A65" t="str">
        <f t="shared" si="3"/>
        <v>|BFZ|黒|5||《[[骨の粉砕]]》|</v>
      </c>
      <c r="B65" t="s">
        <v>3168</v>
      </c>
      <c r="C65" t="str">
        <f t="shared" si="4"/>
        <v>BFZ</v>
      </c>
      <c r="D65">
        <f>IF(AI65="","",VLOOKUP(C65,tnpl!$Z$1:$AA$11,2,TRUE))</f>
        <v>2</v>
      </c>
      <c r="E65" t="s">
        <v>3168</v>
      </c>
      <c r="F65" t="str">
        <f t="shared" si="5"/>
        <v>黒</v>
      </c>
      <c r="G65">
        <f>IF(AJ65="","",VLOOKUP(F65,tnpl!$X$1:$Y$16,2,TRUE))</f>
        <v>3</v>
      </c>
      <c r="H65" t="s">
        <v>3168</v>
      </c>
      <c r="I65">
        <f t="shared" si="6"/>
        <v>5</v>
      </c>
      <c r="J65" t="s">
        <v>3168</v>
      </c>
      <c r="K65">
        <f t="shared" si="7"/>
        <v>0</v>
      </c>
      <c r="L65">
        <f t="shared" si="8"/>
        <v>0</v>
      </c>
      <c r="M65" t="str">
        <f t="shared" si="1"/>
        <v/>
      </c>
      <c r="R65" t="s">
        <v>3175</v>
      </c>
      <c r="S65" t="s">
        <v>4750</v>
      </c>
      <c r="T65" t="str">
        <f t="shared" si="9"/>
        <v>骨の粉砕</v>
      </c>
      <c r="U65" t="str">
        <f t="shared" si="10"/>
        <v/>
      </c>
      <c r="V65" t="str">
        <f>IF(I65=0,VLOOKUP(T65,Sheet4!A:B,2,TRUE),"")</f>
        <v/>
      </c>
      <c r="W65" t="s">
        <v>4751</v>
      </c>
      <c r="X65" t="s">
        <v>3175</v>
      </c>
      <c r="Y65" s="9"/>
      <c r="Z65" s="10" t="s">
        <v>2158</v>
      </c>
      <c r="AA65" t="s">
        <v>4825</v>
      </c>
      <c r="AC65" t="str">
        <f t="shared" si="11"/>
        <v>破壊する</v>
      </c>
      <c r="AD65" t="str">
        <f t="shared" si="2"/>
        <v/>
      </c>
      <c r="AE65" t="str">
        <f t="shared" si="12"/>
        <v/>
      </c>
      <c r="AF65" t="str">
        <f t="shared" si="13"/>
        <v/>
      </c>
      <c r="AG65" t="b">
        <f t="shared" si="0"/>
        <v>0</v>
      </c>
      <c r="AH65" s="3">
        <v>328</v>
      </c>
      <c r="AI65" s="2" t="s">
        <v>3170</v>
      </c>
      <c r="AJ65" s="1" t="s">
        <v>1582</v>
      </c>
      <c r="AK65" s="1" t="s">
        <v>1744</v>
      </c>
      <c r="AL65" s="1">
        <v>5</v>
      </c>
      <c r="AM65" s="1" t="s">
        <v>2160</v>
      </c>
      <c r="AN65" s="1" t="s">
        <v>2159</v>
      </c>
      <c r="AO65" s="1" t="s">
        <v>1453</v>
      </c>
      <c r="AP65" s="1"/>
      <c r="AQ65" s="1"/>
      <c r="AR65" s="1"/>
      <c r="AS65" s="1" t="s">
        <v>2158</v>
      </c>
    </row>
    <row r="66" spans="1:45" x14ac:dyDescent="0.15">
      <c r="A66" t="str">
        <f t="shared" si="3"/>
        <v>|BFZ|黒|4||《[[完全無視]]》|</v>
      </c>
      <c r="B66" t="s">
        <v>3168</v>
      </c>
      <c r="C66" t="str">
        <f t="shared" si="4"/>
        <v>BFZ</v>
      </c>
      <c r="D66">
        <f>IF(AI66="","",VLOOKUP(C66,tnpl!$Z$1:$AA$11,2,TRUE))</f>
        <v>2</v>
      </c>
      <c r="E66" t="s">
        <v>3168</v>
      </c>
      <c r="F66" t="str">
        <f t="shared" si="5"/>
        <v>黒</v>
      </c>
      <c r="G66">
        <f>IF(AJ66="","",VLOOKUP(F66,tnpl!$X$1:$Y$16,2,TRUE))</f>
        <v>3</v>
      </c>
      <c r="H66" t="s">
        <v>3168</v>
      </c>
      <c r="I66">
        <f t="shared" si="6"/>
        <v>4</v>
      </c>
      <c r="J66" t="s">
        <v>3168</v>
      </c>
      <c r="K66">
        <f t="shared" si="7"/>
        <v>0</v>
      </c>
      <c r="L66">
        <f t="shared" si="8"/>
        <v>0</v>
      </c>
      <c r="M66" t="str">
        <f t="shared" si="1"/>
        <v/>
      </c>
      <c r="R66" t="s">
        <v>3175</v>
      </c>
      <c r="S66" t="s">
        <v>4750</v>
      </c>
      <c r="T66" t="str">
        <f t="shared" si="9"/>
        <v>完全無視</v>
      </c>
      <c r="U66" t="str">
        <f t="shared" si="10"/>
        <v/>
      </c>
      <c r="V66" t="str">
        <f>IF(I66=0,VLOOKUP(T66,Sheet4!A:B,2,TRUE),"")</f>
        <v/>
      </c>
      <c r="W66" t="s">
        <v>4751</v>
      </c>
      <c r="X66" t="s">
        <v>3175</v>
      </c>
      <c r="Y66" s="9"/>
      <c r="Z66" s="10" t="s">
        <v>3345</v>
      </c>
      <c r="AA66" t="s">
        <v>4825</v>
      </c>
      <c r="AC66" t="str">
        <f t="shared" si="11"/>
        <v>破壊する</v>
      </c>
      <c r="AD66" t="str">
        <f t="shared" si="2"/>
        <v/>
      </c>
      <c r="AE66" t="str">
        <f t="shared" si="12"/>
        <v/>
      </c>
      <c r="AF66" t="str">
        <f t="shared" si="13"/>
        <v/>
      </c>
      <c r="AG66" t="b">
        <f t="shared" si="0"/>
        <v>0</v>
      </c>
      <c r="AH66" s="3">
        <v>329</v>
      </c>
      <c r="AI66" s="2" t="s">
        <v>3170</v>
      </c>
      <c r="AJ66" s="1" t="s">
        <v>1582</v>
      </c>
      <c r="AK66" s="1" t="s">
        <v>1744</v>
      </c>
      <c r="AL66" s="1">
        <v>4</v>
      </c>
      <c r="AM66" s="1" t="s">
        <v>2157</v>
      </c>
      <c r="AN66" s="1" t="s">
        <v>2156</v>
      </c>
      <c r="AO66" s="1" t="s">
        <v>1453</v>
      </c>
      <c r="AP66" s="1"/>
      <c r="AQ66" s="1"/>
      <c r="AR66" s="1"/>
      <c r="AS66" s="1" t="s">
        <v>3345</v>
      </c>
    </row>
    <row r="67" spans="1:45" x14ac:dyDescent="0.15">
      <c r="A67" t="str">
        <f t="shared" si="3"/>
        <v>|BFZ|黒|8||《[[従順な復活]]》|</v>
      </c>
      <c r="B67" t="s">
        <v>3168</v>
      </c>
      <c r="C67" t="str">
        <f t="shared" si="4"/>
        <v>BFZ</v>
      </c>
      <c r="D67">
        <f>IF(AI67="","",VLOOKUP(C67,tnpl!$Z$1:$AA$11,2,TRUE))</f>
        <v>2</v>
      </c>
      <c r="E67" t="s">
        <v>3168</v>
      </c>
      <c r="F67" t="str">
        <f t="shared" si="5"/>
        <v>黒</v>
      </c>
      <c r="G67">
        <f>IF(AJ67="","",VLOOKUP(F67,tnpl!$X$1:$Y$16,2,TRUE))</f>
        <v>3</v>
      </c>
      <c r="H67" t="s">
        <v>3168</v>
      </c>
      <c r="I67">
        <f t="shared" si="6"/>
        <v>8</v>
      </c>
      <c r="J67" t="s">
        <v>3168</v>
      </c>
      <c r="K67">
        <f t="shared" si="7"/>
        <v>0</v>
      </c>
      <c r="L67">
        <f t="shared" si="8"/>
        <v>0</v>
      </c>
      <c r="M67" t="str">
        <f t="shared" si="1"/>
        <v/>
      </c>
      <c r="R67" t="s">
        <v>3175</v>
      </c>
      <c r="S67" t="s">
        <v>4750</v>
      </c>
      <c r="T67" t="str">
        <f t="shared" si="9"/>
        <v>従順な復活</v>
      </c>
      <c r="U67" t="str">
        <f t="shared" si="10"/>
        <v/>
      </c>
      <c r="V67" t="str">
        <f>IF(I67=0,VLOOKUP(T67,Sheet4!A:B,2,TRUE),"")</f>
        <v/>
      </c>
      <c r="W67" t="s">
        <v>4751</v>
      </c>
      <c r="X67" t="s">
        <v>3175</v>
      </c>
      <c r="Y67" s="9"/>
      <c r="Z67" s="10" t="s">
        <v>2149</v>
      </c>
      <c r="AA67" t="s">
        <v>4830</v>
      </c>
      <c r="AC67" t="str">
        <f t="shared" si="11"/>
        <v/>
      </c>
      <c r="AD67" t="str">
        <f t="shared" si="2"/>
        <v>破壊された</v>
      </c>
      <c r="AE67" t="str">
        <f t="shared" si="12"/>
        <v/>
      </c>
      <c r="AF67" t="str">
        <f t="shared" si="13"/>
        <v/>
      </c>
      <c r="AG67" t="b">
        <f t="shared" si="0"/>
        <v>0</v>
      </c>
      <c r="AH67" s="3">
        <v>331</v>
      </c>
      <c r="AI67" s="2" t="s">
        <v>3170</v>
      </c>
      <c r="AJ67" s="1" t="s">
        <v>1582</v>
      </c>
      <c r="AK67" s="1" t="s">
        <v>1744</v>
      </c>
      <c r="AL67" s="1">
        <v>8</v>
      </c>
      <c r="AM67" s="1" t="s">
        <v>2151</v>
      </c>
      <c r="AN67" s="1" t="s">
        <v>2150</v>
      </c>
      <c r="AO67" s="1" t="s">
        <v>1453</v>
      </c>
      <c r="AP67" s="1"/>
      <c r="AQ67" s="1"/>
      <c r="AR67" s="1"/>
      <c r="AS67" s="1" t="s">
        <v>2149</v>
      </c>
    </row>
    <row r="68" spans="1:45" x14ac:dyDescent="0.15">
      <c r="A68" t="str">
        <f t="shared" si="3"/>
        <v>|BFZ|黒|7||《[[墓の出産]]》|</v>
      </c>
      <c r="B68" t="s">
        <v>3168</v>
      </c>
      <c r="C68" t="str">
        <f t="shared" si="4"/>
        <v>BFZ</v>
      </c>
      <c r="D68">
        <f>IF(AI68="","",VLOOKUP(C68,tnpl!$Z$1:$AA$11,2,TRUE))</f>
        <v>2</v>
      </c>
      <c r="E68" t="s">
        <v>3168</v>
      </c>
      <c r="F68" t="str">
        <f t="shared" si="5"/>
        <v>黒</v>
      </c>
      <c r="G68">
        <f>IF(AJ68="","",VLOOKUP(F68,tnpl!$X$1:$Y$16,2,TRUE))</f>
        <v>3</v>
      </c>
      <c r="H68" t="s">
        <v>3168</v>
      </c>
      <c r="I68">
        <f t="shared" si="6"/>
        <v>7</v>
      </c>
      <c r="J68" t="s">
        <v>3168</v>
      </c>
      <c r="K68">
        <f t="shared" si="7"/>
        <v>0</v>
      </c>
      <c r="L68">
        <f t="shared" si="8"/>
        <v>0</v>
      </c>
      <c r="M68" t="str">
        <f t="shared" si="1"/>
        <v/>
      </c>
      <c r="R68" t="s">
        <v>3175</v>
      </c>
      <c r="S68" t="s">
        <v>4750</v>
      </c>
      <c r="T68" t="str">
        <f t="shared" si="9"/>
        <v>墓の出産</v>
      </c>
      <c r="U68" t="str">
        <f t="shared" si="10"/>
        <v/>
      </c>
      <c r="V68" t="str">
        <f>IF(I68=0,VLOOKUP(T68,Sheet4!A:B,2,TRUE),"")</f>
        <v/>
      </c>
      <c r="W68" t="s">
        <v>4751</v>
      </c>
      <c r="X68" t="s">
        <v>3175</v>
      </c>
      <c r="Y68" s="9"/>
      <c r="Z68" s="10" t="s">
        <v>3346</v>
      </c>
      <c r="AA68" t="s">
        <v>4832</v>
      </c>
      <c r="AC68" t="str">
        <f t="shared" si="11"/>
        <v/>
      </c>
      <c r="AD68" t="str">
        <f t="shared" si="2"/>
        <v>破壊された</v>
      </c>
      <c r="AE68" t="str">
        <f t="shared" si="12"/>
        <v/>
      </c>
      <c r="AF68" t="str">
        <f t="shared" si="13"/>
        <v/>
      </c>
      <c r="AG68" t="b">
        <f t="shared" si="0"/>
        <v>0</v>
      </c>
      <c r="AH68" s="3">
        <v>332</v>
      </c>
      <c r="AI68" s="2" t="s">
        <v>3170</v>
      </c>
      <c r="AJ68" s="1" t="s">
        <v>1582</v>
      </c>
      <c r="AK68" s="1" t="s">
        <v>1744</v>
      </c>
      <c r="AL68" s="1">
        <v>7</v>
      </c>
      <c r="AM68" s="1" t="s">
        <v>2148</v>
      </c>
      <c r="AN68" s="1" t="s">
        <v>2147</v>
      </c>
      <c r="AO68" s="1" t="s">
        <v>1453</v>
      </c>
      <c r="AP68" s="1"/>
      <c r="AQ68" s="1"/>
      <c r="AR68" s="1"/>
      <c r="AS68" s="1" t="s">
        <v>3346</v>
      </c>
    </row>
    <row r="69" spans="1:45" x14ac:dyDescent="0.15">
      <c r="A69" t="str">
        <f t="shared" si="3"/>
        <v>|BFZ|黒|7||《[[ぬかるみの敵意]]》|</v>
      </c>
      <c r="B69" t="s">
        <v>3168</v>
      </c>
      <c r="C69" t="str">
        <f t="shared" si="4"/>
        <v>BFZ</v>
      </c>
      <c r="D69">
        <f>IF(AI69="","",VLOOKUP(C69,tnpl!$Z$1:$AA$11,2,TRUE))</f>
        <v>2</v>
      </c>
      <c r="E69" t="s">
        <v>3168</v>
      </c>
      <c r="F69" t="str">
        <f t="shared" si="5"/>
        <v>黒</v>
      </c>
      <c r="G69">
        <f>IF(AJ69="","",VLOOKUP(F69,tnpl!$X$1:$Y$16,2,TRUE))</f>
        <v>3</v>
      </c>
      <c r="H69" t="s">
        <v>3168</v>
      </c>
      <c r="I69">
        <f t="shared" si="6"/>
        <v>7</v>
      </c>
      <c r="J69" t="s">
        <v>3168</v>
      </c>
      <c r="K69">
        <f t="shared" si="7"/>
        <v>0</v>
      </c>
      <c r="L69">
        <f t="shared" si="8"/>
        <v>0</v>
      </c>
      <c r="M69" t="str">
        <f t="shared" si="1"/>
        <v/>
      </c>
      <c r="R69" t="s">
        <v>3175</v>
      </c>
      <c r="S69" t="s">
        <v>4750</v>
      </c>
      <c r="T69" t="str">
        <f t="shared" si="9"/>
        <v>ぬかるみの敵意</v>
      </c>
      <c r="U69" t="str">
        <f t="shared" si="10"/>
        <v/>
      </c>
      <c r="V69" t="str">
        <f>IF(I69=0,VLOOKUP(T69,Sheet4!A:B,2,TRUE),"")</f>
        <v/>
      </c>
      <c r="W69" t="s">
        <v>4751</v>
      </c>
      <c r="X69" t="s">
        <v>3175</v>
      </c>
      <c r="Y69" s="9"/>
      <c r="Z69" s="10" t="s">
        <v>2141</v>
      </c>
      <c r="AA69" t="s">
        <v>4827</v>
      </c>
      <c r="AC69" t="str">
        <f t="shared" si="11"/>
        <v>破壊する</v>
      </c>
      <c r="AD69" t="str">
        <f t="shared" si="2"/>
        <v/>
      </c>
      <c r="AE69" t="str">
        <f t="shared" si="12"/>
        <v/>
      </c>
      <c r="AF69" t="str">
        <f t="shared" si="13"/>
        <v/>
      </c>
      <c r="AG69" t="b">
        <f t="shared" si="0"/>
        <v>0</v>
      </c>
      <c r="AH69" s="3">
        <v>333</v>
      </c>
      <c r="AI69" s="2" t="s">
        <v>3170</v>
      </c>
      <c r="AJ69" s="1" t="s">
        <v>1582</v>
      </c>
      <c r="AK69" s="1" t="s">
        <v>1744</v>
      </c>
      <c r="AL69" s="1">
        <v>7</v>
      </c>
      <c r="AM69" s="1" t="s">
        <v>2145</v>
      </c>
      <c r="AN69" s="1" t="s">
        <v>2144</v>
      </c>
      <c r="AO69" s="1" t="s">
        <v>1453</v>
      </c>
      <c r="AP69" s="1"/>
      <c r="AQ69" s="1"/>
      <c r="AR69" s="1"/>
      <c r="AS69" s="1" t="s">
        <v>2141</v>
      </c>
    </row>
    <row r="70" spans="1:45" x14ac:dyDescent="0.15">
      <c r="A70" t="str">
        <f t="shared" si="3"/>
        <v>|BFZ|黒|16|4/3|《[[捕らわれの宿主]]》|</v>
      </c>
      <c r="B70" t="s">
        <v>3168</v>
      </c>
      <c r="C70" t="str">
        <f t="shared" si="4"/>
        <v>BFZ</v>
      </c>
      <c r="D70">
        <f>IF(AI70="","",VLOOKUP(C70,tnpl!$Z$1:$AA$11,2,TRUE))</f>
        <v>2</v>
      </c>
      <c r="E70" t="s">
        <v>3168</v>
      </c>
      <c r="F70" t="str">
        <f t="shared" si="5"/>
        <v>黒</v>
      </c>
      <c r="G70">
        <f>IF(AJ70="","",VLOOKUP(F70,tnpl!$X$1:$Y$16,2,TRUE))</f>
        <v>3</v>
      </c>
      <c r="H70" t="s">
        <v>3168</v>
      </c>
      <c r="I70">
        <f t="shared" si="6"/>
        <v>16</v>
      </c>
      <c r="J70" t="s">
        <v>3168</v>
      </c>
      <c r="K70">
        <f t="shared" si="7"/>
        <v>4</v>
      </c>
      <c r="L70">
        <f t="shared" si="8"/>
        <v>3</v>
      </c>
      <c r="M70" t="str">
        <f t="shared" si="1"/>
        <v>4/3</v>
      </c>
      <c r="R70" t="s">
        <v>3175</v>
      </c>
      <c r="S70" t="s">
        <v>4750</v>
      </c>
      <c r="T70" t="str">
        <f t="shared" si="9"/>
        <v>捕らわれの宿主</v>
      </c>
      <c r="U70" t="str">
        <f t="shared" si="10"/>
        <v/>
      </c>
      <c r="V70" t="str">
        <f>IF(I70=0,VLOOKUP(T70,Sheet4!A:B,2,TRUE),"")</f>
        <v/>
      </c>
      <c r="W70" t="s">
        <v>4751</v>
      </c>
      <c r="X70" t="s">
        <v>3175</v>
      </c>
      <c r="Y70" s="9"/>
      <c r="Z70" s="10" t="s">
        <v>3347</v>
      </c>
      <c r="AA70" t="s">
        <v>4832</v>
      </c>
      <c r="AC70" t="str">
        <f t="shared" si="11"/>
        <v/>
      </c>
      <c r="AD70" t="str">
        <f t="shared" si="2"/>
        <v>破壊された</v>
      </c>
      <c r="AE70" t="str">
        <f t="shared" si="12"/>
        <v/>
      </c>
      <c r="AF70" t="str">
        <f t="shared" si="13"/>
        <v/>
      </c>
      <c r="AG70" t="b">
        <f t="shared" si="0"/>
        <v>0</v>
      </c>
      <c r="AH70" s="3">
        <v>335</v>
      </c>
      <c r="AI70" s="2" t="s">
        <v>3170</v>
      </c>
      <c r="AJ70" s="1" t="s">
        <v>1582</v>
      </c>
      <c r="AK70" s="1" t="s">
        <v>1451</v>
      </c>
      <c r="AL70" s="1">
        <v>16</v>
      </c>
      <c r="AM70" s="1" t="s">
        <v>2137</v>
      </c>
      <c r="AN70" s="1" t="s">
        <v>2136</v>
      </c>
      <c r="AO70" s="1" t="s">
        <v>339</v>
      </c>
      <c r="AP70" s="1"/>
      <c r="AQ70" s="1">
        <v>4</v>
      </c>
      <c r="AR70" s="1">
        <v>3</v>
      </c>
      <c r="AS70" s="1" t="s">
        <v>3347</v>
      </c>
    </row>
    <row r="71" spans="1:45" x14ac:dyDescent="0.15">
      <c r="A71" t="str">
        <f t="shared" si="3"/>
        <v>|BFZ|黒|11|4/3|《[[ハヤバイ]]》|</v>
      </c>
      <c r="B71" t="s">
        <v>3168</v>
      </c>
      <c r="C71" t="str">
        <f t="shared" si="4"/>
        <v>BFZ</v>
      </c>
      <c r="D71">
        <f>IF(AI71="","",VLOOKUP(C71,tnpl!$Z$1:$AA$11,2,TRUE))</f>
        <v>2</v>
      </c>
      <c r="E71" t="s">
        <v>3168</v>
      </c>
      <c r="F71" t="str">
        <f t="shared" si="5"/>
        <v>黒</v>
      </c>
      <c r="G71">
        <f>IF(AJ71="","",VLOOKUP(F71,tnpl!$X$1:$Y$16,2,TRUE))</f>
        <v>3</v>
      </c>
      <c r="H71" t="s">
        <v>3168</v>
      </c>
      <c r="I71">
        <f t="shared" si="6"/>
        <v>11</v>
      </c>
      <c r="J71" t="s">
        <v>3168</v>
      </c>
      <c r="K71">
        <f t="shared" si="7"/>
        <v>4</v>
      </c>
      <c r="L71">
        <f t="shared" si="8"/>
        <v>3</v>
      </c>
      <c r="M71" t="str">
        <f t="shared" si="1"/>
        <v>4/3</v>
      </c>
      <c r="R71" t="s">
        <v>3175</v>
      </c>
      <c r="S71" t="s">
        <v>4750</v>
      </c>
      <c r="T71" t="str">
        <f t="shared" si="9"/>
        <v>ハヤバイ</v>
      </c>
      <c r="U71" t="str">
        <f t="shared" si="10"/>
        <v/>
      </c>
      <c r="V71" t="str">
        <f>IF(I71=0,VLOOKUP(T71,Sheet4!A:B,2,TRUE),"")</f>
        <v/>
      </c>
      <c r="W71" t="s">
        <v>4751</v>
      </c>
      <c r="X71" t="s">
        <v>3175</v>
      </c>
      <c r="Y71" s="9"/>
      <c r="Z71" s="10" t="s">
        <v>3350</v>
      </c>
      <c r="AA71" t="s">
        <v>4757</v>
      </c>
      <c r="AB71" t="s">
        <v>4830</v>
      </c>
      <c r="AC71" t="str">
        <f t="shared" si="11"/>
        <v/>
      </c>
      <c r="AD71" t="str">
        <f t="shared" si="2"/>
        <v>破壊された</v>
      </c>
      <c r="AE71" t="str">
        <f t="shared" si="12"/>
        <v/>
      </c>
      <c r="AF71" t="str">
        <f t="shared" si="13"/>
        <v/>
      </c>
      <c r="AG71" t="b">
        <f t="shared" si="0"/>
        <v>0</v>
      </c>
      <c r="AH71" s="3">
        <v>338</v>
      </c>
      <c r="AI71" s="2" t="s">
        <v>3170</v>
      </c>
      <c r="AJ71" s="1" t="s">
        <v>1582</v>
      </c>
      <c r="AK71" s="1" t="s">
        <v>1451</v>
      </c>
      <c r="AL71" s="1">
        <v>11</v>
      </c>
      <c r="AM71" s="1" t="s">
        <v>2126</v>
      </c>
      <c r="AN71" s="1" t="s">
        <v>2125</v>
      </c>
      <c r="AO71" s="1" t="s">
        <v>339</v>
      </c>
      <c r="AP71" s="1"/>
      <c r="AQ71" s="1">
        <v>4</v>
      </c>
      <c r="AR71" s="1">
        <v>3</v>
      </c>
      <c r="AS71" s="1" t="s">
        <v>3350</v>
      </c>
    </row>
    <row r="72" spans="1:45" x14ac:dyDescent="0.15">
      <c r="A72" t="str">
        <f t="shared" si="3"/>
        <v>|BFZ|黒|5||《[[荒廃の一掴み]]》|</v>
      </c>
      <c r="B72" t="s">
        <v>3168</v>
      </c>
      <c r="C72" t="str">
        <f t="shared" si="4"/>
        <v>BFZ</v>
      </c>
      <c r="D72">
        <f>IF(AI72="","",VLOOKUP(C72,tnpl!$Z$1:$AA$11,2,TRUE))</f>
        <v>2</v>
      </c>
      <c r="E72" t="s">
        <v>3168</v>
      </c>
      <c r="F72" t="str">
        <f t="shared" si="5"/>
        <v>黒</v>
      </c>
      <c r="G72">
        <f>IF(AJ72="","",VLOOKUP(F72,tnpl!$X$1:$Y$16,2,TRUE))</f>
        <v>3</v>
      </c>
      <c r="H72" t="s">
        <v>3168</v>
      </c>
      <c r="I72">
        <f t="shared" si="6"/>
        <v>5</v>
      </c>
      <c r="J72" t="s">
        <v>3168</v>
      </c>
      <c r="K72">
        <f t="shared" si="7"/>
        <v>0</v>
      </c>
      <c r="L72">
        <f t="shared" si="8"/>
        <v>0</v>
      </c>
      <c r="M72" t="str">
        <f t="shared" si="1"/>
        <v/>
      </c>
      <c r="R72" t="s">
        <v>3175</v>
      </c>
      <c r="S72" t="s">
        <v>4750</v>
      </c>
      <c r="T72" t="str">
        <f t="shared" si="9"/>
        <v>荒廃の一掴み</v>
      </c>
      <c r="U72" t="str">
        <f t="shared" si="10"/>
        <v/>
      </c>
      <c r="V72" t="str">
        <f>IF(I72=0,VLOOKUP(T72,Sheet4!A:B,2,TRUE),"")</f>
        <v/>
      </c>
      <c r="W72" t="s">
        <v>4751</v>
      </c>
      <c r="X72" t="s">
        <v>3175</v>
      </c>
      <c r="Y72" s="9"/>
      <c r="Z72" s="10" t="s">
        <v>3351</v>
      </c>
      <c r="AA72" t="s">
        <v>4825</v>
      </c>
      <c r="AC72" t="str">
        <f t="shared" si="11"/>
        <v/>
      </c>
      <c r="AD72" t="str">
        <f t="shared" si="2"/>
        <v/>
      </c>
      <c r="AE72" t="str">
        <f t="shared" si="12"/>
        <v/>
      </c>
      <c r="AF72" t="str">
        <f t="shared" si="13"/>
        <v>破壊し</v>
      </c>
      <c r="AG72" t="b">
        <f t="shared" ref="AG72:AG135" si="14">OR(AD72="与える",AF72="得る")</f>
        <v>0</v>
      </c>
      <c r="AH72" s="3">
        <v>340</v>
      </c>
      <c r="AI72" s="2" t="s">
        <v>3170</v>
      </c>
      <c r="AJ72" s="1" t="s">
        <v>1582</v>
      </c>
      <c r="AK72" s="1" t="s">
        <v>1451</v>
      </c>
      <c r="AL72" s="1">
        <v>5</v>
      </c>
      <c r="AM72" s="1" t="s">
        <v>2120</v>
      </c>
      <c r="AN72" s="1" t="s">
        <v>2119</v>
      </c>
      <c r="AO72" s="1" t="s">
        <v>1453</v>
      </c>
      <c r="AP72" s="1"/>
      <c r="AQ72" s="1"/>
      <c r="AR72" s="1"/>
      <c r="AS72" s="1" t="s">
        <v>3351</v>
      </c>
    </row>
    <row r="73" spans="1:45" x14ac:dyDescent="0.15">
      <c r="A73" t="str">
        <f t="shared" si="3"/>
        <v>|BFZ|黒|12||《[[荒廃した湿原]]》|</v>
      </c>
      <c r="B73" t="s">
        <v>3168</v>
      </c>
      <c r="C73" t="str">
        <f t="shared" si="4"/>
        <v>BFZ</v>
      </c>
      <c r="D73">
        <f>IF(AI73="","",VLOOKUP(C73,tnpl!$Z$1:$AA$11,2,TRUE))</f>
        <v>2</v>
      </c>
      <c r="E73" t="s">
        <v>3168</v>
      </c>
      <c r="F73" t="str">
        <f t="shared" si="5"/>
        <v>黒</v>
      </c>
      <c r="G73">
        <f>IF(AJ73="","",VLOOKUP(F73,tnpl!$X$1:$Y$16,2,TRUE))</f>
        <v>3</v>
      </c>
      <c r="H73" t="s">
        <v>3168</v>
      </c>
      <c r="I73">
        <f t="shared" si="6"/>
        <v>12</v>
      </c>
      <c r="J73" t="s">
        <v>3168</v>
      </c>
      <c r="K73">
        <f t="shared" si="7"/>
        <v>0</v>
      </c>
      <c r="L73">
        <f t="shared" si="8"/>
        <v>0</v>
      </c>
      <c r="M73" t="str">
        <f t="shared" ref="M73:M136" si="15">IF(AO73="クリーチャー",K73&amp;"/"&amp;L73,"")</f>
        <v/>
      </c>
      <c r="R73" t="s">
        <v>3175</v>
      </c>
      <c r="S73" t="s">
        <v>4750</v>
      </c>
      <c r="T73" t="str">
        <f t="shared" si="9"/>
        <v>荒廃した湿原</v>
      </c>
      <c r="U73" t="str">
        <f t="shared" si="10"/>
        <v/>
      </c>
      <c r="V73" t="str">
        <f>IF(I73=0,VLOOKUP(T73,Sheet4!A:B,2,TRUE),"")</f>
        <v/>
      </c>
      <c r="W73" t="s">
        <v>4751</v>
      </c>
      <c r="X73" t="s">
        <v>3175</v>
      </c>
      <c r="Y73" s="9"/>
      <c r="Z73" s="10" t="s">
        <v>2105</v>
      </c>
      <c r="AA73" t="s">
        <v>4825</v>
      </c>
      <c r="AB73" t="s">
        <v>4757</v>
      </c>
      <c r="AC73" t="str">
        <f t="shared" si="11"/>
        <v>破壊する</v>
      </c>
      <c r="AD73" t="str">
        <f t="shared" ref="AD73:AD136" si="16">IF(ISERR(SEARCH("破壊された",Z73,1)),"","破壊された")</f>
        <v>破壊された</v>
      </c>
      <c r="AE73" t="str">
        <f t="shared" si="12"/>
        <v/>
      </c>
      <c r="AF73" t="str">
        <f t="shared" si="13"/>
        <v/>
      </c>
      <c r="AG73" t="b">
        <f t="shared" si="14"/>
        <v>0</v>
      </c>
      <c r="AH73" s="3">
        <v>343</v>
      </c>
      <c r="AI73" s="2" t="s">
        <v>3170</v>
      </c>
      <c r="AJ73" s="1" t="s">
        <v>1582</v>
      </c>
      <c r="AK73" s="1" t="s">
        <v>1451</v>
      </c>
      <c r="AL73" s="1">
        <v>12</v>
      </c>
      <c r="AM73" s="1" t="s">
        <v>2108</v>
      </c>
      <c r="AN73" s="1" t="s">
        <v>2107</v>
      </c>
      <c r="AO73" s="1" t="s">
        <v>288</v>
      </c>
      <c r="AP73" s="1">
        <v>2</v>
      </c>
      <c r="AQ73" s="1"/>
      <c r="AR73" s="1"/>
      <c r="AS73" s="1" t="s">
        <v>2105</v>
      </c>
    </row>
    <row r="74" spans="1:45" x14ac:dyDescent="0.15">
      <c r="A74" t="str">
        <f t="shared" ref="A74:A137" si="17">B74&amp;C74&amp;E74&amp;F74&amp;H74&amp;I74&amp;J74&amp;M74&amp;N74&amp;O74&amp;P74&amp;Q74&amp;R74&amp;S74&amp;T74&amp;U74&amp;V74&amp;W74&amp;X74&amp;Y74</f>
        <v>|BFZ|黒|1||《[[吸血の儀式]]》|</v>
      </c>
      <c r="B74" t="s">
        <v>3168</v>
      </c>
      <c r="C74" t="str">
        <f t="shared" ref="C74:C137" si="18">AI74</f>
        <v>BFZ</v>
      </c>
      <c r="D74">
        <f>IF(AI74="","",VLOOKUP(C74,tnpl!$Z$1:$AA$11,2,TRUE))</f>
        <v>2</v>
      </c>
      <c r="E74" t="s">
        <v>3168</v>
      </c>
      <c r="F74" t="str">
        <f t="shared" ref="F74:F137" si="19">AJ74</f>
        <v>黒</v>
      </c>
      <c r="G74">
        <f>IF(AJ74="","",VLOOKUP(F74,tnpl!$X$1:$Y$16,2,TRUE))</f>
        <v>3</v>
      </c>
      <c r="H74" t="s">
        <v>3168</v>
      </c>
      <c r="I74">
        <f t="shared" ref="I74:I137" si="20">AL74</f>
        <v>1</v>
      </c>
      <c r="J74" t="s">
        <v>3168</v>
      </c>
      <c r="K74">
        <f t="shared" ref="K74:K137" si="21">AQ74</f>
        <v>0</v>
      </c>
      <c r="L74">
        <f t="shared" ref="L74:L137" si="22">AR74</f>
        <v>0</v>
      </c>
      <c r="M74" t="str">
        <f t="shared" si="15"/>
        <v/>
      </c>
      <c r="R74" t="s">
        <v>3175</v>
      </c>
      <c r="S74" t="s">
        <v>4750</v>
      </c>
      <c r="T74" t="str">
        <f t="shared" ref="T74:T137" si="23">AM74</f>
        <v>吸血の儀式</v>
      </c>
      <c r="U74" t="str">
        <f t="shared" ref="U74:U137" si="24">IF(I74=0,"&gt;","")</f>
        <v/>
      </c>
      <c r="V74" t="str">
        <f>IF(I74=0,VLOOKUP(T74,Sheet4!A:B,2,TRUE),"")</f>
        <v/>
      </c>
      <c r="W74" t="s">
        <v>4751</v>
      </c>
      <c r="X74" t="s">
        <v>3175</v>
      </c>
      <c r="Y74" s="9"/>
      <c r="Z74" s="10" t="s">
        <v>2099</v>
      </c>
      <c r="AA74" t="s">
        <v>4825</v>
      </c>
      <c r="AC74" t="str">
        <f t="shared" ref="AC74:AC137" si="25">IF(ISERR(SEARCH("破壊する",Z74,1)),"","破壊する")</f>
        <v/>
      </c>
      <c r="AD74" t="str">
        <f t="shared" si="16"/>
        <v/>
      </c>
      <c r="AE74" t="str">
        <f t="shared" ref="AE74:AE137" si="26">IF(ISERR(SEARCH("破壊される",Z74,1)),"","破壊される")</f>
        <v>破壊される</v>
      </c>
      <c r="AF74" t="str">
        <f t="shared" ref="AF74:AF137" si="27">IF(ISERR(SEARCH("破壊し",Z74,1)),"","破壊し")</f>
        <v/>
      </c>
      <c r="AG74" t="b">
        <f t="shared" si="14"/>
        <v>0</v>
      </c>
      <c r="AH74" s="3">
        <v>345</v>
      </c>
      <c r="AI74" s="2" t="s">
        <v>3170</v>
      </c>
      <c r="AJ74" s="1" t="s">
        <v>1582</v>
      </c>
      <c r="AK74" s="1" t="s">
        <v>1451</v>
      </c>
      <c r="AL74" s="1">
        <v>1</v>
      </c>
      <c r="AM74" s="1" t="s">
        <v>2101</v>
      </c>
      <c r="AN74" s="1" t="s">
        <v>2100</v>
      </c>
      <c r="AO74" s="1" t="s">
        <v>288</v>
      </c>
      <c r="AP74" s="1">
        <v>2</v>
      </c>
      <c r="AQ74" s="1"/>
      <c r="AR74" s="1"/>
      <c r="AS74" s="1" t="s">
        <v>2099</v>
      </c>
    </row>
    <row r="75" spans="1:45" x14ac:dyDescent="0.15">
      <c r="A75" t="str">
        <f t="shared" si="17"/>
        <v>|BFZ|黒|5||《[[破滅の道]]》|</v>
      </c>
      <c r="B75" t="s">
        <v>3168</v>
      </c>
      <c r="C75" t="str">
        <f t="shared" si="18"/>
        <v>BFZ</v>
      </c>
      <c r="D75">
        <f>IF(AI75="","",VLOOKUP(C75,tnpl!$Z$1:$AA$11,2,TRUE))</f>
        <v>2</v>
      </c>
      <c r="E75" t="s">
        <v>3168</v>
      </c>
      <c r="F75" t="str">
        <f t="shared" si="19"/>
        <v>黒</v>
      </c>
      <c r="G75">
        <f>IF(AJ75="","",VLOOKUP(F75,tnpl!$X$1:$Y$16,2,TRUE))</f>
        <v>3</v>
      </c>
      <c r="H75" t="s">
        <v>3168</v>
      </c>
      <c r="I75">
        <f t="shared" si="20"/>
        <v>5</v>
      </c>
      <c r="J75" t="s">
        <v>3168</v>
      </c>
      <c r="K75">
        <f t="shared" si="21"/>
        <v>0</v>
      </c>
      <c r="L75">
        <f t="shared" si="22"/>
        <v>0</v>
      </c>
      <c r="M75" t="str">
        <f t="shared" si="15"/>
        <v/>
      </c>
      <c r="R75" t="s">
        <v>3175</v>
      </c>
      <c r="S75" t="s">
        <v>4750</v>
      </c>
      <c r="T75" t="str">
        <f t="shared" si="23"/>
        <v>破滅の道</v>
      </c>
      <c r="U75" t="str">
        <f t="shared" si="24"/>
        <v/>
      </c>
      <c r="V75" t="str">
        <f>IF(I75=0,VLOOKUP(T75,Sheet4!A:B,2,TRUE),"")</f>
        <v/>
      </c>
      <c r="W75" t="s">
        <v>4751</v>
      </c>
      <c r="X75" t="s">
        <v>3175</v>
      </c>
      <c r="Y75" s="9"/>
      <c r="Z75" s="10" t="s">
        <v>2084</v>
      </c>
      <c r="AA75" t="s">
        <v>4825</v>
      </c>
      <c r="AC75" t="str">
        <f t="shared" si="25"/>
        <v>破壊する</v>
      </c>
      <c r="AD75" t="str">
        <f t="shared" si="16"/>
        <v/>
      </c>
      <c r="AE75" t="str">
        <f t="shared" si="26"/>
        <v/>
      </c>
      <c r="AF75" t="str">
        <f t="shared" si="27"/>
        <v/>
      </c>
      <c r="AG75" t="b">
        <f t="shared" si="14"/>
        <v>0</v>
      </c>
      <c r="AH75" s="3">
        <v>349</v>
      </c>
      <c r="AI75" s="2" t="s">
        <v>3170</v>
      </c>
      <c r="AJ75" s="1" t="s">
        <v>1582</v>
      </c>
      <c r="AK75" s="1" t="s">
        <v>1441</v>
      </c>
      <c r="AL75" s="1">
        <v>5</v>
      </c>
      <c r="AM75" s="1" t="s">
        <v>2088</v>
      </c>
      <c r="AN75" s="1" t="s">
        <v>2087</v>
      </c>
      <c r="AO75" s="1" t="s">
        <v>1453</v>
      </c>
      <c r="AP75" s="1"/>
      <c r="AQ75" s="1"/>
      <c r="AR75" s="1"/>
      <c r="AS75" s="1" t="s">
        <v>2084</v>
      </c>
    </row>
    <row r="76" spans="1:45" x14ac:dyDescent="0.15">
      <c r="A76" t="str">
        <f t="shared" si="17"/>
        <v>|BFZ|黒|16|8/7|《[[息詰まる忌まわしきもの]]》|</v>
      </c>
      <c r="B76" t="s">
        <v>3168</v>
      </c>
      <c r="C76" t="str">
        <f t="shared" si="18"/>
        <v>BFZ</v>
      </c>
      <c r="D76">
        <f>IF(AI76="","",VLOOKUP(C76,tnpl!$Z$1:$AA$11,2,TRUE))</f>
        <v>2</v>
      </c>
      <c r="E76" t="s">
        <v>3168</v>
      </c>
      <c r="F76" t="str">
        <f t="shared" si="19"/>
        <v>黒</v>
      </c>
      <c r="G76">
        <f>IF(AJ76="","",VLOOKUP(F76,tnpl!$X$1:$Y$16,2,TRUE))</f>
        <v>3</v>
      </c>
      <c r="H76" t="s">
        <v>3168</v>
      </c>
      <c r="I76">
        <f t="shared" si="20"/>
        <v>16</v>
      </c>
      <c r="J76" t="s">
        <v>3168</v>
      </c>
      <c r="K76">
        <f t="shared" si="21"/>
        <v>8</v>
      </c>
      <c r="L76">
        <f t="shared" si="22"/>
        <v>7</v>
      </c>
      <c r="M76" t="str">
        <f t="shared" si="15"/>
        <v>8/7</v>
      </c>
      <c r="R76" t="s">
        <v>3175</v>
      </c>
      <c r="S76" t="s">
        <v>4750</v>
      </c>
      <c r="T76" t="str">
        <f t="shared" si="23"/>
        <v>息詰まる忌まわしきもの</v>
      </c>
      <c r="U76" t="str">
        <f t="shared" si="24"/>
        <v/>
      </c>
      <c r="V76" t="str">
        <f>IF(I76=0,VLOOKUP(T76,Sheet4!A:B,2,TRUE),"")</f>
        <v/>
      </c>
      <c r="W76" t="s">
        <v>4751</v>
      </c>
      <c r="X76" t="s">
        <v>3175</v>
      </c>
      <c r="Y76" s="9"/>
      <c r="Z76" s="10" t="s">
        <v>3358</v>
      </c>
      <c r="AA76" t="s">
        <v>4825</v>
      </c>
      <c r="AC76" t="str">
        <f t="shared" si="25"/>
        <v>破壊する</v>
      </c>
      <c r="AD76" t="str">
        <f t="shared" si="16"/>
        <v/>
      </c>
      <c r="AE76" t="str">
        <f t="shared" si="26"/>
        <v/>
      </c>
      <c r="AF76" t="str">
        <f t="shared" si="27"/>
        <v/>
      </c>
      <c r="AG76" t="b">
        <f t="shared" si="14"/>
        <v>0</v>
      </c>
      <c r="AH76" s="3">
        <v>351</v>
      </c>
      <c r="AI76" s="2" t="s">
        <v>3170</v>
      </c>
      <c r="AJ76" s="1" t="s">
        <v>1582</v>
      </c>
      <c r="AK76" s="1" t="s">
        <v>1431</v>
      </c>
      <c r="AL76" s="1">
        <v>16</v>
      </c>
      <c r="AM76" s="1" t="s">
        <v>2080</v>
      </c>
      <c r="AN76" s="1" t="s">
        <v>2079</v>
      </c>
      <c r="AO76" s="1" t="s">
        <v>339</v>
      </c>
      <c r="AP76" s="1"/>
      <c r="AQ76" s="1">
        <v>8</v>
      </c>
      <c r="AR76" s="1">
        <v>7</v>
      </c>
      <c r="AS76" s="1" t="s">
        <v>3358</v>
      </c>
    </row>
    <row r="77" spans="1:45" x14ac:dyDescent="0.15">
      <c r="A77" t="str">
        <f t="shared" si="17"/>
        <v>|BFZ|赤|6||《[[火山の隆起]]》|</v>
      </c>
      <c r="B77" t="s">
        <v>3168</v>
      </c>
      <c r="C77" t="str">
        <f t="shared" si="18"/>
        <v>BFZ</v>
      </c>
      <c r="D77">
        <f>IF(AI77="","",VLOOKUP(C77,tnpl!$Z$1:$AA$11,2,TRUE))</f>
        <v>2</v>
      </c>
      <c r="E77" t="s">
        <v>3168</v>
      </c>
      <c r="F77" t="str">
        <f t="shared" si="19"/>
        <v>赤</v>
      </c>
      <c r="G77">
        <f>IF(AJ77="","",VLOOKUP(F77,tnpl!$X$1:$Y$16,2,TRUE))</f>
        <v>4</v>
      </c>
      <c r="H77" t="s">
        <v>3168</v>
      </c>
      <c r="I77">
        <f t="shared" si="20"/>
        <v>6</v>
      </c>
      <c r="J77" t="s">
        <v>3168</v>
      </c>
      <c r="K77">
        <f t="shared" si="21"/>
        <v>0</v>
      </c>
      <c r="L77">
        <f t="shared" si="22"/>
        <v>0</v>
      </c>
      <c r="M77" t="str">
        <f t="shared" si="15"/>
        <v/>
      </c>
      <c r="R77" t="s">
        <v>3175</v>
      </c>
      <c r="S77" t="s">
        <v>4750</v>
      </c>
      <c r="T77" t="str">
        <f t="shared" si="23"/>
        <v>火山の隆起</v>
      </c>
      <c r="U77" t="str">
        <f t="shared" si="24"/>
        <v/>
      </c>
      <c r="V77" t="str">
        <f>IF(I77=0,VLOOKUP(T77,Sheet4!A:B,2,TRUE),"")</f>
        <v/>
      </c>
      <c r="W77" t="s">
        <v>4751</v>
      </c>
      <c r="X77" t="s">
        <v>3175</v>
      </c>
      <c r="Y77" s="9"/>
      <c r="Z77" s="10" t="s">
        <v>2020</v>
      </c>
      <c r="AA77" t="s">
        <v>4828</v>
      </c>
      <c r="AC77" t="str">
        <f t="shared" si="25"/>
        <v>破壊する</v>
      </c>
      <c r="AD77" t="str">
        <f t="shared" si="16"/>
        <v/>
      </c>
      <c r="AE77" t="str">
        <f t="shared" si="26"/>
        <v/>
      </c>
      <c r="AF77" t="str">
        <f t="shared" si="27"/>
        <v/>
      </c>
      <c r="AG77" t="b">
        <f t="shared" si="14"/>
        <v>0</v>
      </c>
      <c r="AH77" s="3">
        <v>370</v>
      </c>
      <c r="AI77" s="2" t="s">
        <v>3170</v>
      </c>
      <c r="AJ77" s="1" t="s">
        <v>1552</v>
      </c>
      <c r="AK77" s="1" t="s">
        <v>1744</v>
      </c>
      <c r="AL77" s="1">
        <v>6</v>
      </c>
      <c r="AM77" s="1" t="s">
        <v>2022</v>
      </c>
      <c r="AN77" s="1" t="s">
        <v>2021</v>
      </c>
      <c r="AO77" s="1" t="s">
        <v>1453</v>
      </c>
      <c r="AP77" s="1"/>
      <c r="AQ77" s="1"/>
      <c r="AR77" s="1"/>
      <c r="AS77" s="1" t="s">
        <v>2020</v>
      </c>
    </row>
    <row r="78" spans="1:45" x14ac:dyDescent="0.15">
      <c r="A78" t="str">
        <f t="shared" si="17"/>
        <v>|BFZ|赤|8|2/2|《[[アクームの石覚まし]]》|</v>
      </c>
      <c r="B78" t="s">
        <v>3168</v>
      </c>
      <c r="C78" t="str">
        <f t="shared" si="18"/>
        <v>BFZ</v>
      </c>
      <c r="D78">
        <f>IF(AI78="","",VLOOKUP(C78,tnpl!$Z$1:$AA$11,2,TRUE))</f>
        <v>2</v>
      </c>
      <c r="E78" t="s">
        <v>3168</v>
      </c>
      <c r="F78" t="str">
        <f t="shared" si="19"/>
        <v>赤</v>
      </c>
      <c r="G78">
        <f>IF(AJ78="","",VLOOKUP(F78,tnpl!$X$1:$Y$16,2,TRUE))</f>
        <v>4</v>
      </c>
      <c r="H78" t="s">
        <v>3168</v>
      </c>
      <c r="I78">
        <f t="shared" si="20"/>
        <v>8</v>
      </c>
      <c r="J78" t="s">
        <v>3168</v>
      </c>
      <c r="K78">
        <f t="shared" si="21"/>
        <v>2</v>
      </c>
      <c r="L78">
        <f t="shared" si="22"/>
        <v>2</v>
      </c>
      <c r="M78" t="str">
        <f t="shared" si="15"/>
        <v>2/2</v>
      </c>
      <c r="R78" t="s">
        <v>3175</v>
      </c>
      <c r="S78" t="s">
        <v>4750</v>
      </c>
      <c r="T78" t="str">
        <f t="shared" si="23"/>
        <v>アクームの石覚まし</v>
      </c>
      <c r="U78" t="str">
        <f t="shared" si="24"/>
        <v/>
      </c>
      <c r="V78" t="str">
        <f>IF(I78=0,VLOOKUP(T78,Sheet4!A:B,2,TRUE),"")</f>
        <v/>
      </c>
      <c r="W78" t="s">
        <v>4751</v>
      </c>
      <c r="X78" t="s">
        <v>3175</v>
      </c>
      <c r="Y78" s="9"/>
      <c r="Z78" s="10" t="s">
        <v>2013</v>
      </c>
      <c r="AA78" t="s">
        <v>4832</v>
      </c>
      <c r="AC78" t="str">
        <f t="shared" si="25"/>
        <v/>
      </c>
      <c r="AD78" t="str">
        <f t="shared" si="16"/>
        <v/>
      </c>
      <c r="AE78" t="str">
        <f t="shared" si="26"/>
        <v>破壊される</v>
      </c>
      <c r="AF78" t="str">
        <f t="shared" si="27"/>
        <v/>
      </c>
      <c r="AG78" t="b">
        <f t="shared" si="14"/>
        <v>0</v>
      </c>
      <c r="AH78" s="3">
        <v>372</v>
      </c>
      <c r="AI78" s="2" t="s">
        <v>3170</v>
      </c>
      <c r="AJ78" s="1" t="s">
        <v>1552</v>
      </c>
      <c r="AK78" s="1" t="s">
        <v>1451</v>
      </c>
      <c r="AL78" s="1">
        <v>8</v>
      </c>
      <c r="AM78" s="1" t="s">
        <v>2015</v>
      </c>
      <c r="AN78" s="1" t="s">
        <v>2014</v>
      </c>
      <c r="AO78" s="1" t="s">
        <v>339</v>
      </c>
      <c r="AP78" s="1"/>
      <c r="AQ78" s="1">
        <v>2</v>
      </c>
      <c r="AR78" s="1">
        <v>2</v>
      </c>
      <c r="AS78" s="1" t="s">
        <v>2013</v>
      </c>
    </row>
    <row r="79" spans="1:45" x14ac:dyDescent="0.15">
      <c r="A79" t="str">
        <f t="shared" si="17"/>
        <v>|BFZ|赤|11||《[[荒廃した山峡]]》|</v>
      </c>
      <c r="B79" t="s">
        <v>3168</v>
      </c>
      <c r="C79" t="str">
        <f t="shared" si="18"/>
        <v>BFZ</v>
      </c>
      <c r="D79">
        <f>IF(AI79="","",VLOOKUP(C79,tnpl!$Z$1:$AA$11,2,TRUE))</f>
        <v>2</v>
      </c>
      <c r="E79" t="s">
        <v>3168</v>
      </c>
      <c r="F79" t="str">
        <f t="shared" si="19"/>
        <v>赤</v>
      </c>
      <c r="G79">
        <f>IF(AJ79="","",VLOOKUP(F79,tnpl!$X$1:$Y$16,2,TRUE))</f>
        <v>4</v>
      </c>
      <c r="H79" t="s">
        <v>3168</v>
      </c>
      <c r="I79">
        <f t="shared" si="20"/>
        <v>11</v>
      </c>
      <c r="J79" t="s">
        <v>3168</v>
      </c>
      <c r="K79">
        <f t="shared" si="21"/>
        <v>0</v>
      </c>
      <c r="L79">
        <f t="shared" si="22"/>
        <v>0</v>
      </c>
      <c r="M79" t="str">
        <f t="shared" si="15"/>
        <v/>
      </c>
      <c r="R79" t="s">
        <v>3175</v>
      </c>
      <c r="S79" t="s">
        <v>4750</v>
      </c>
      <c r="T79" t="str">
        <f t="shared" si="23"/>
        <v>荒廃した山峡</v>
      </c>
      <c r="U79" t="str">
        <f t="shared" si="24"/>
        <v/>
      </c>
      <c r="V79" t="str">
        <f>IF(I79=0,VLOOKUP(T79,Sheet4!A:B,2,TRUE),"")</f>
        <v/>
      </c>
      <c r="W79" t="s">
        <v>4751</v>
      </c>
      <c r="X79" t="s">
        <v>3175</v>
      </c>
      <c r="Y79" s="9"/>
      <c r="Z79" s="10" t="s">
        <v>1987</v>
      </c>
      <c r="AA79" t="s">
        <v>4757</v>
      </c>
      <c r="AC79" t="str">
        <f t="shared" si="25"/>
        <v/>
      </c>
      <c r="AD79" t="str">
        <f t="shared" si="16"/>
        <v>破壊された</v>
      </c>
      <c r="AE79" t="str">
        <f t="shared" si="26"/>
        <v/>
      </c>
      <c r="AF79" t="str">
        <f t="shared" si="27"/>
        <v/>
      </c>
      <c r="AG79" t="b">
        <f t="shared" si="14"/>
        <v>0</v>
      </c>
      <c r="AH79" s="3">
        <v>380</v>
      </c>
      <c r="AI79" s="2" t="s">
        <v>3170</v>
      </c>
      <c r="AJ79" s="1" t="s">
        <v>1552</v>
      </c>
      <c r="AK79" s="1" t="s">
        <v>1451</v>
      </c>
      <c r="AL79" s="1">
        <v>11</v>
      </c>
      <c r="AM79" s="1" t="s">
        <v>1990</v>
      </c>
      <c r="AN79" s="1" t="s">
        <v>1989</v>
      </c>
      <c r="AO79" s="1" t="s">
        <v>288</v>
      </c>
      <c r="AP79" s="1">
        <v>2</v>
      </c>
      <c r="AQ79" s="1"/>
      <c r="AR79" s="1"/>
      <c r="AS79" s="1" t="s">
        <v>1987</v>
      </c>
    </row>
    <row r="80" spans="1:45" x14ac:dyDescent="0.15">
      <c r="A80" t="str">
        <f t="shared" si="17"/>
        <v>|BFZ|赤|16|7/5|《[[連射する暴君]]》|</v>
      </c>
      <c r="B80" t="s">
        <v>3168</v>
      </c>
      <c r="C80" t="str">
        <f t="shared" si="18"/>
        <v>BFZ</v>
      </c>
      <c r="D80">
        <f>IF(AI80="","",VLOOKUP(C80,tnpl!$Z$1:$AA$11,2,TRUE))</f>
        <v>2</v>
      </c>
      <c r="E80" t="s">
        <v>3168</v>
      </c>
      <c r="F80" t="str">
        <f t="shared" si="19"/>
        <v>赤</v>
      </c>
      <c r="G80">
        <f>IF(AJ80="","",VLOOKUP(F80,tnpl!$X$1:$Y$16,2,TRUE))</f>
        <v>4</v>
      </c>
      <c r="H80" t="s">
        <v>3168</v>
      </c>
      <c r="I80">
        <f t="shared" si="20"/>
        <v>16</v>
      </c>
      <c r="J80" t="s">
        <v>3168</v>
      </c>
      <c r="K80">
        <f t="shared" si="21"/>
        <v>7</v>
      </c>
      <c r="L80">
        <f t="shared" si="22"/>
        <v>5</v>
      </c>
      <c r="M80" t="str">
        <f t="shared" si="15"/>
        <v>7/5</v>
      </c>
      <c r="R80" t="s">
        <v>3175</v>
      </c>
      <c r="S80" t="s">
        <v>4750</v>
      </c>
      <c r="T80" t="str">
        <f t="shared" si="23"/>
        <v>連射する暴君</v>
      </c>
      <c r="U80" t="str">
        <f t="shared" si="24"/>
        <v/>
      </c>
      <c r="V80" t="str">
        <f>IF(I80=0,VLOOKUP(T80,Sheet4!A:B,2,TRUE),"")</f>
        <v/>
      </c>
      <c r="W80" t="s">
        <v>4751</v>
      </c>
      <c r="X80" t="s">
        <v>3175</v>
      </c>
      <c r="Y80" s="9"/>
      <c r="Z80" s="10" t="s">
        <v>3369</v>
      </c>
      <c r="AA80" t="s">
        <v>4825</v>
      </c>
      <c r="AC80" t="str">
        <f t="shared" si="25"/>
        <v/>
      </c>
      <c r="AD80" t="str">
        <f t="shared" si="16"/>
        <v/>
      </c>
      <c r="AE80" t="str">
        <f t="shared" si="26"/>
        <v/>
      </c>
      <c r="AF80" t="str">
        <f t="shared" si="27"/>
        <v>破壊し</v>
      </c>
      <c r="AG80" t="b">
        <f t="shared" si="14"/>
        <v>0</v>
      </c>
      <c r="AH80" s="3">
        <v>384</v>
      </c>
      <c r="AI80" s="2" t="s">
        <v>3170</v>
      </c>
      <c r="AJ80" s="1" t="s">
        <v>1552</v>
      </c>
      <c r="AK80" s="1" t="s">
        <v>1441</v>
      </c>
      <c r="AL80" s="1">
        <v>16</v>
      </c>
      <c r="AM80" s="1" t="s">
        <v>1976</v>
      </c>
      <c r="AN80" s="1" t="s">
        <v>1975</v>
      </c>
      <c r="AO80" s="1" t="s">
        <v>339</v>
      </c>
      <c r="AP80" s="1"/>
      <c r="AQ80" s="1">
        <v>7</v>
      </c>
      <c r="AR80" s="1">
        <v>5</v>
      </c>
      <c r="AS80" s="1" t="s">
        <v>3369</v>
      </c>
    </row>
    <row r="81" spans="1:45" x14ac:dyDescent="0.15">
      <c r="A81" t="str">
        <f t="shared" si="17"/>
        <v>|BFZ|赤|15|8/8|《[[アクームの火の鳥]]》|</v>
      </c>
      <c r="B81" t="s">
        <v>3168</v>
      </c>
      <c r="C81" t="str">
        <f t="shared" si="18"/>
        <v>BFZ</v>
      </c>
      <c r="D81">
        <f>IF(AI81="","",VLOOKUP(C81,tnpl!$Z$1:$AA$11,2,TRUE))</f>
        <v>2</v>
      </c>
      <c r="E81" t="s">
        <v>3168</v>
      </c>
      <c r="F81" t="str">
        <f t="shared" si="19"/>
        <v>赤</v>
      </c>
      <c r="G81">
        <f>IF(AJ81="","",VLOOKUP(F81,tnpl!$X$1:$Y$16,2,TRUE))</f>
        <v>4</v>
      </c>
      <c r="H81" t="s">
        <v>3168</v>
      </c>
      <c r="I81">
        <f t="shared" si="20"/>
        <v>15</v>
      </c>
      <c r="J81" t="s">
        <v>3168</v>
      </c>
      <c r="K81">
        <f t="shared" si="21"/>
        <v>8</v>
      </c>
      <c r="L81">
        <f t="shared" si="22"/>
        <v>8</v>
      </c>
      <c r="M81" t="str">
        <f t="shared" si="15"/>
        <v>8/8</v>
      </c>
      <c r="R81" t="s">
        <v>3175</v>
      </c>
      <c r="S81" t="s">
        <v>4750</v>
      </c>
      <c r="T81" t="str">
        <f t="shared" si="23"/>
        <v>アクームの火の鳥</v>
      </c>
      <c r="U81" t="str">
        <f t="shared" si="24"/>
        <v/>
      </c>
      <c r="V81" t="str">
        <f>IF(I81=0,VLOOKUP(T81,Sheet4!A:B,2,TRUE),"")</f>
        <v/>
      </c>
      <c r="W81" t="s">
        <v>4751</v>
      </c>
      <c r="X81" t="s">
        <v>3175</v>
      </c>
      <c r="Y81" s="9"/>
      <c r="Z81" s="10" t="s">
        <v>3371</v>
      </c>
      <c r="AA81" t="s">
        <v>4830</v>
      </c>
      <c r="AC81" t="str">
        <f t="shared" si="25"/>
        <v/>
      </c>
      <c r="AD81" t="str">
        <f t="shared" si="16"/>
        <v>破壊された</v>
      </c>
      <c r="AE81" t="str">
        <f t="shared" si="26"/>
        <v/>
      </c>
      <c r="AF81" t="str">
        <f t="shared" si="27"/>
        <v/>
      </c>
      <c r="AG81" t="b">
        <f t="shared" si="14"/>
        <v>0</v>
      </c>
      <c r="AH81" s="3">
        <v>387</v>
      </c>
      <c r="AI81" s="2" t="s">
        <v>3170</v>
      </c>
      <c r="AJ81" s="1" t="s">
        <v>1552</v>
      </c>
      <c r="AK81" s="1" t="s">
        <v>1431</v>
      </c>
      <c r="AL81" s="1">
        <v>15</v>
      </c>
      <c r="AM81" s="1" t="s">
        <v>1967</v>
      </c>
      <c r="AN81" s="1" t="s">
        <v>1966</v>
      </c>
      <c r="AO81" s="1" t="s">
        <v>339</v>
      </c>
      <c r="AP81" s="1"/>
      <c r="AQ81" s="1">
        <v>8</v>
      </c>
      <c r="AR81" s="1">
        <v>8</v>
      </c>
      <c r="AS81" s="1" t="s">
        <v>3371</v>
      </c>
    </row>
    <row r="82" spans="1:45" x14ac:dyDescent="0.15">
      <c r="A82" t="str">
        <f t="shared" si="17"/>
        <v>|BFZ|緑|11|1/1|《[[膨れ鞘]]》|</v>
      </c>
      <c r="B82" t="s">
        <v>3168</v>
      </c>
      <c r="C82" t="str">
        <f t="shared" si="18"/>
        <v>BFZ</v>
      </c>
      <c r="D82">
        <f>IF(AI82="","",VLOOKUP(C82,tnpl!$Z$1:$AA$11,2,TRUE))</f>
        <v>2</v>
      </c>
      <c r="E82" t="s">
        <v>3168</v>
      </c>
      <c r="F82" t="str">
        <f t="shared" si="19"/>
        <v>緑</v>
      </c>
      <c r="G82">
        <f>IF(AJ82="","",VLOOKUP(F82,tnpl!$X$1:$Y$16,2,TRUE))</f>
        <v>5</v>
      </c>
      <c r="H82" t="s">
        <v>3168</v>
      </c>
      <c r="I82">
        <f t="shared" si="20"/>
        <v>11</v>
      </c>
      <c r="J82" t="s">
        <v>3168</v>
      </c>
      <c r="K82">
        <f t="shared" si="21"/>
        <v>1</v>
      </c>
      <c r="L82">
        <f t="shared" si="22"/>
        <v>1</v>
      </c>
      <c r="M82" t="str">
        <f t="shared" si="15"/>
        <v>1/1</v>
      </c>
      <c r="R82" t="s">
        <v>3175</v>
      </c>
      <c r="S82" t="s">
        <v>4750</v>
      </c>
      <c r="T82" t="str">
        <f t="shared" si="23"/>
        <v>膨れ鞘</v>
      </c>
      <c r="U82" t="str">
        <f t="shared" si="24"/>
        <v/>
      </c>
      <c r="V82" t="str">
        <f>IF(I82=0,VLOOKUP(T82,Sheet4!A:B,2,TRUE),"")</f>
        <v/>
      </c>
      <c r="W82" t="s">
        <v>4751</v>
      </c>
      <c r="X82" t="s">
        <v>3175</v>
      </c>
      <c r="Y82" s="9"/>
      <c r="Z82" s="10" t="s">
        <v>3374</v>
      </c>
      <c r="AA82" t="s">
        <v>4832</v>
      </c>
      <c r="AC82" t="str">
        <f t="shared" si="25"/>
        <v/>
      </c>
      <c r="AD82" t="str">
        <f t="shared" si="16"/>
        <v>破壊された</v>
      </c>
      <c r="AE82" t="str">
        <f t="shared" si="26"/>
        <v/>
      </c>
      <c r="AF82" t="str">
        <f t="shared" si="27"/>
        <v/>
      </c>
      <c r="AG82" t="b">
        <f t="shared" si="14"/>
        <v>0</v>
      </c>
      <c r="AH82" s="3">
        <v>391</v>
      </c>
      <c r="AI82" s="2" t="s">
        <v>3170</v>
      </c>
      <c r="AJ82" s="1" t="s">
        <v>1518</v>
      </c>
      <c r="AK82" s="1" t="s">
        <v>1744</v>
      </c>
      <c r="AL82" s="1">
        <v>11</v>
      </c>
      <c r="AM82" s="1" t="s">
        <v>1954</v>
      </c>
      <c r="AN82" s="1" t="s">
        <v>1953</v>
      </c>
      <c r="AO82" s="1" t="s">
        <v>339</v>
      </c>
      <c r="AP82" s="1"/>
      <c r="AQ82" s="1">
        <v>1</v>
      </c>
      <c r="AR82" s="1">
        <v>1</v>
      </c>
      <c r="AS82" s="1" t="s">
        <v>3374</v>
      </c>
    </row>
    <row r="83" spans="1:45" x14ac:dyDescent="0.15">
      <c r="A83" t="str">
        <f t="shared" si="17"/>
        <v>|BFZ|緑|13|1/1|《[[目なしの見張り]]》|</v>
      </c>
      <c r="B83" t="s">
        <v>3168</v>
      </c>
      <c r="C83" t="str">
        <f t="shared" si="18"/>
        <v>BFZ</v>
      </c>
      <c r="D83">
        <f>IF(AI83="","",VLOOKUP(C83,tnpl!$Z$1:$AA$11,2,TRUE))</f>
        <v>2</v>
      </c>
      <c r="E83" t="s">
        <v>3168</v>
      </c>
      <c r="F83" t="str">
        <f t="shared" si="19"/>
        <v>緑</v>
      </c>
      <c r="G83">
        <f>IF(AJ83="","",VLOOKUP(F83,tnpl!$X$1:$Y$16,2,TRUE))</f>
        <v>5</v>
      </c>
      <c r="H83" t="s">
        <v>3168</v>
      </c>
      <c r="I83">
        <f t="shared" si="20"/>
        <v>13</v>
      </c>
      <c r="J83" t="s">
        <v>3168</v>
      </c>
      <c r="K83">
        <f t="shared" si="21"/>
        <v>1</v>
      </c>
      <c r="L83">
        <f t="shared" si="22"/>
        <v>1</v>
      </c>
      <c r="M83" t="str">
        <f t="shared" si="15"/>
        <v>1/1</v>
      </c>
      <c r="R83" t="s">
        <v>3175</v>
      </c>
      <c r="S83" t="s">
        <v>4750</v>
      </c>
      <c r="T83" t="str">
        <f t="shared" si="23"/>
        <v>目なしの見張り</v>
      </c>
      <c r="U83" t="str">
        <f t="shared" si="24"/>
        <v/>
      </c>
      <c r="V83" t="str">
        <f>IF(I83=0,VLOOKUP(T83,Sheet4!A:B,2,TRUE),"")</f>
        <v/>
      </c>
      <c r="W83" t="s">
        <v>4751</v>
      </c>
      <c r="X83" t="s">
        <v>3175</v>
      </c>
      <c r="Y83" s="9"/>
      <c r="Z83" s="10" t="s">
        <v>3375</v>
      </c>
      <c r="AA83" t="s">
        <v>4832</v>
      </c>
      <c r="AC83" t="str">
        <f t="shared" si="25"/>
        <v/>
      </c>
      <c r="AD83" t="str">
        <f t="shared" si="16"/>
        <v>破壊された</v>
      </c>
      <c r="AE83" t="str">
        <f t="shared" si="26"/>
        <v/>
      </c>
      <c r="AF83" t="str">
        <f t="shared" si="27"/>
        <v/>
      </c>
      <c r="AG83" t="b">
        <f t="shared" si="14"/>
        <v>0</v>
      </c>
      <c r="AH83" s="3">
        <v>393</v>
      </c>
      <c r="AI83" s="2" t="s">
        <v>3170</v>
      </c>
      <c r="AJ83" s="1" t="s">
        <v>1518</v>
      </c>
      <c r="AK83" s="1" t="s">
        <v>1744</v>
      </c>
      <c r="AL83" s="1">
        <v>13</v>
      </c>
      <c r="AM83" s="1" t="s">
        <v>1949</v>
      </c>
      <c r="AN83" s="1" t="s">
        <v>1948</v>
      </c>
      <c r="AO83" s="1" t="s">
        <v>339</v>
      </c>
      <c r="AP83" s="1"/>
      <c r="AQ83" s="1">
        <v>1</v>
      </c>
      <c r="AR83" s="1">
        <v>1</v>
      </c>
      <c r="AS83" s="1" t="s">
        <v>3375</v>
      </c>
    </row>
    <row r="84" spans="1:45" x14ac:dyDescent="0.15">
      <c r="A84" t="str">
        <f t="shared" si="17"/>
        <v>|BFZ|緑|12|1/1|《[[腐敗のシャンブラー]]》|</v>
      </c>
      <c r="B84" t="s">
        <v>3168</v>
      </c>
      <c r="C84" t="str">
        <f t="shared" si="18"/>
        <v>BFZ</v>
      </c>
      <c r="D84">
        <f>IF(AI84="","",VLOOKUP(C84,tnpl!$Z$1:$AA$11,2,TRUE))</f>
        <v>2</v>
      </c>
      <c r="E84" t="s">
        <v>3168</v>
      </c>
      <c r="F84" t="str">
        <f t="shared" si="19"/>
        <v>緑</v>
      </c>
      <c r="G84">
        <f>IF(AJ84="","",VLOOKUP(F84,tnpl!$X$1:$Y$16,2,TRUE))</f>
        <v>5</v>
      </c>
      <c r="H84" t="s">
        <v>3168</v>
      </c>
      <c r="I84">
        <f t="shared" si="20"/>
        <v>12</v>
      </c>
      <c r="J84" t="s">
        <v>3168</v>
      </c>
      <c r="K84">
        <f t="shared" si="21"/>
        <v>1</v>
      </c>
      <c r="L84">
        <f t="shared" si="22"/>
        <v>1</v>
      </c>
      <c r="M84" t="str">
        <f t="shared" si="15"/>
        <v>1/1</v>
      </c>
      <c r="R84" t="s">
        <v>3175</v>
      </c>
      <c r="S84" t="s">
        <v>4750</v>
      </c>
      <c r="T84" t="str">
        <f t="shared" si="23"/>
        <v>腐敗のシャンブラー</v>
      </c>
      <c r="U84" t="str">
        <f t="shared" si="24"/>
        <v/>
      </c>
      <c r="V84" t="str">
        <f>IF(I84=0,VLOOKUP(T84,Sheet4!A:B,2,TRUE),"")</f>
        <v/>
      </c>
      <c r="W84" t="s">
        <v>4751</v>
      </c>
      <c r="X84" t="s">
        <v>3175</v>
      </c>
      <c r="Y84" s="9"/>
      <c r="Z84" s="10" t="s">
        <v>1937</v>
      </c>
      <c r="AA84" t="s">
        <v>4757</v>
      </c>
      <c r="AC84" t="str">
        <f t="shared" si="25"/>
        <v/>
      </c>
      <c r="AD84" t="str">
        <f t="shared" si="16"/>
        <v>破壊された</v>
      </c>
      <c r="AE84" t="str">
        <f t="shared" si="26"/>
        <v/>
      </c>
      <c r="AF84" t="str">
        <f t="shared" si="27"/>
        <v/>
      </c>
      <c r="AG84" t="b">
        <f t="shared" si="14"/>
        <v>0</v>
      </c>
      <c r="AH84" s="3">
        <v>396</v>
      </c>
      <c r="AI84" s="2" t="s">
        <v>3170</v>
      </c>
      <c r="AJ84" s="1" t="s">
        <v>1518</v>
      </c>
      <c r="AK84" s="1" t="s">
        <v>1744</v>
      </c>
      <c r="AL84" s="1">
        <v>12</v>
      </c>
      <c r="AM84" s="1" t="s">
        <v>1940</v>
      </c>
      <c r="AN84" s="1" t="s">
        <v>1939</v>
      </c>
      <c r="AO84" s="1" t="s">
        <v>339</v>
      </c>
      <c r="AP84" s="1"/>
      <c r="AQ84" s="1">
        <v>1</v>
      </c>
      <c r="AR84" s="1">
        <v>1</v>
      </c>
      <c r="AS84" s="1" t="s">
        <v>1937</v>
      </c>
    </row>
    <row r="85" spans="1:45" x14ac:dyDescent="0.15">
      <c r="A85" t="str">
        <f t="shared" si="17"/>
        <v>|BFZ|緑|10||《[[末裔の呼び出し]]》|</v>
      </c>
      <c r="B85" t="s">
        <v>3168</v>
      </c>
      <c r="C85" t="str">
        <f t="shared" si="18"/>
        <v>BFZ</v>
      </c>
      <c r="D85">
        <f>IF(AI85="","",VLOOKUP(C85,tnpl!$Z$1:$AA$11,2,TRUE))</f>
        <v>2</v>
      </c>
      <c r="E85" t="s">
        <v>3168</v>
      </c>
      <c r="F85" t="str">
        <f t="shared" si="19"/>
        <v>緑</v>
      </c>
      <c r="G85">
        <f>IF(AJ85="","",VLOOKUP(F85,tnpl!$X$1:$Y$16,2,TRUE))</f>
        <v>5</v>
      </c>
      <c r="H85" t="s">
        <v>3168</v>
      </c>
      <c r="I85">
        <f t="shared" si="20"/>
        <v>10</v>
      </c>
      <c r="J85" t="s">
        <v>3168</v>
      </c>
      <c r="K85">
        <f t="shared" si="21"/>
        <v>0</v>
      </c>
      <c r="L85">
        <f t="shared" si="22"/>
        <v>0</v>
      </c>
      <c r="M85" t="str">
        <f t="shared" si="15"/>
        <v/>
      </c>
      <c r="R85" t="s">
        <v>3175</v>
      </c>
      <c r="S85" t="s">
        <v>4750</v>
      </c>
      <c r="T85" t="str">
        <f t="shared" si="23"/>
        <v>末裔の呼び出し</v>
      </c>
      <c r="U85" t="str">
        <f t="shared" si="24"/>
        <v/>
      </c>
      <c r="V85" t="str">
        <f>IF(I85=0,VLOOKUP(T85,Sheet4!A:B,2,TRUE),"")</f>
        <v/>
      </c>
      <c r="W85" t="s">
        <v>4751</v>
      </c>
      <c r="X85" t="s">
        <v>3175</v>
      </c>
      <c r="Y85" s="9"/>
      <c r="Z85" s="10" t="s">
        <v>3377</v>
      </c>
      <c r="AA85" t="s">
        <v>4832</v>
      </c>
      <c r="AC85" t="str">
        <f t="shared" si="25"/>
        <v/>
      </c>
      <c r="AD85" t="str">
        <f t="shared" si="16"/>
        <v>破壊された</v>
      </c>
      <c r="AE85" t="str">
        <f t="shared" si="26"/>
        <v/>
      </c>
      <c r="AF85" t="str">
        <f t="shared" si="27"/>
        <v/>
      </c>
      <c r="AG85" t="b">
        <f t="shared" si="14"/>
        <v>0</v>
      </c>
      <c r="AH85" s="3">
        <v>401</v>
      </c>
      <c r="AI85" s="2" t="s">
        <v>3170</v>
      </c>
      <c r="AJ85" s="1" t="s">
        <v>1518</v>
      </c>
      <c r="AK85" s="1" t="s">
        <v>1744</v>
      </c>
      <c r="AL85" s="1">
        <v>10</v>
      </c>
      <c r="AM85" s="1" t="s">
        <v>1926</v>
      </c>
      <c r="AN85" s="1" t="s">
        <v>1925</v>
      </c>
      <c r="AO85" s="1" t="s">
        <v>1453</v>
      </c>
      <c r="AP85" s="1"/>
      <c r="AQ85" s="1"/>
      <c r="AR85" s="1"/>
      <c r="AS85" s="1" t="s">
        <v>3377</v>
      </c>
    </row>
    <row r="86" spans="1:45" x14ac:dyDescent="0.15">
      <c r="A86" t="str">
        <f t="shared" si="17"/>
        <v>|BFZ|緑|4||《[[垂直落下]]》|</v>
      </c>
      <c r="B86" t="s">
        <v>3168</v>
      </c>
      <c r="C86" t="str">
        <f t="shared" si="18"/>
        <v>BFZ</v>
      </c>
      <c r="D86">
        <f>IF(AI86="","",VLOOKUP(C86,tnpl!$Z$1:$AA$11,2,TRUE))</f>
        <v>2</v>
      </c>
      <c r="E86" t="s">
        <v>3168</v>
      </c>
      <c r="F86" t="str">
        <f t="shared" si="19"/>
        <v>緑</v>
      </c>
      <c r="G86">
        <f>IF(AJ86="","",VLOOKUP(F86,tnpl!$X$1:$Y$16,2,TRUE))</f>
        <v>5</v>
      </c>
      <c r="H86" t="s">
        <v>3168</v>
      </c>
      <c r="I86">
        <f t="shared" si="20"/>
        <v>4</v>
      </c>
      <c r="J86" t="s">
        <v>3168</v>
      </c>
      <c r="K86">
        <f t="shared" si="21"/>
        <v>0</v>
      </c>
      <c r="L86">
        <f t="shared" si="22"/>
        <v>0</v>
      </c>
      <c r="M86" t="str">
        <f t="shared" si="15"/>
        <v/>
      </c>
      <c r="R86" t="s">
        <v>3175</v>
      </c>
      <c r="S86" t="s">
        <v>4750</v>
      </c>
      <c r="T86" t="str">
        <f t="shared" si="23"/>
        <v>垂直落下</v>
      </c>
      <c r="U86" t="str">
        <f t="shared" si="24"/>
        <v/>
      </c>
      <c r="V86" t="str">
        <f>IF(I86=0,VLOOKUP(T86,Sheet4!A:B,2,TRUE),"")</f>
        <v/>
      </c>
      <c r="W86" t="s">
        <v>4751</v>
      </c>
      <c r="X86" t="s">
        <v>3175</v>
      </c>
      <c r="Y86" s="9"/>
      <c r="Z86" s="10" t="s">
        <v>1913</v>
      </c>
      <c r="AA86" t="s">
        <v>4825</v>
      </c>
      <c r="AC86" t="str">
        <f t="shared" si="25"/>
        <v>破壊する</v>
      </c>
      <c r="AD86" t="str">
        <f t="shared" si="16"/>
        <v/>
      </c>
      <c r="AE86" t="str">
        <f t="shared" si="26"/>
        <v/>
      </c>
      <c r="AF86" t="str">
        <f t="shared" si="27"/>
        <v/>
      </c>
      <c r="AG86" t="b">
        <f t="shared" si="14"/>
        <v>0</v>
      </c>
      <c r="AH86" s="3">
        <v>404</v>
      </c>
      <c r="AI86" s="2" t="s">
        <v>3170</v>
      </c>
      <c r="AJ86" s="1" t="s">
        <v>1518</v>
      </c>
      <c r="AK86" s="1" t="s">
        <v>1744</v>
      </c>
      <c r="AL86" s="1">
        <v>4</v>
      </c>
      <c r="AM86" s="1" t="s">
        <v>1915</v>
      </c>
      <c r="AN86" s="1" t="s">
        <v>1914</v>
      </c>
      <c r="AO86" s="1" t="s">
        <v>1453</v>
      </c>
      <c r="AP86" s="1"/>
      <c r="AQ86" s="1"/>
      <c r="AR86" s="1"/>
      <c r="AS86" s="1" t="s">
        <v>1913</v>
      </c>
    </row>
    <row r="87" spans="1:45" x14ac:dyDescent="0.15">
      <c r="A87" t="str">
        <f t="shared" si="17"/>
        <v>|BFZ|緑|8||《[[回収蔦]]》|</v>
      </c>
      <c r="B87" t="s">
        <v>3168</v>
      </c>
      <c r="C87" t="str">
        <f t="shared" si="18"/>
        <v>BFZ</v>
      </c>
      <c r="D87">
        <f>IF(AI87="","",VLOOKUP(C87,tnpl!$Z$1:$AA$11,2,TRUE))</f>
        <v>2</v>
      </c>
      <c r="E87" t="s">
        <v>3168</v>
      </c>
      <c r="F87" t="str">
        <f t="shared" si="19"/>
        <v>緑</v>
      </c>
      <c r="G87">
        <f>IF(AJ87="","",VLOOKUP(F87,tnpl!$X$1:$Y$16,2,TRUE))</f>
        <v>5</v>
      </c>
      <c r="H87" t="s">
        <v>3168</v>
      </c>
      <c r="I87">
        <f t="shared" si="20"/>
        <v>8</v>
      </c>
      <c r="J87" t="s">
        <v>3168</v>
      </c>
      <c r="K87">
        <f t="shared" si="21"/>
        <v>0</v>
      </c>
      <c r="L87">
        <f t="shared" si="22"/>
        <v>0</v>
      </c>
      <c r="M87" t="str">
        <f t="shared" si="15"/>
        <v/>
      </c>
      <c r="R87" t="s">
        <v>3175</v>
      </c>
      <c r="S87" t="s">
        <v>4750</v>
      </c>
      <c r="T87" t="str">
        <f t="shared" si="23"/>
        <v>回収蔦</v>
      </c>
      <c r="U87" t="str">
        <f t="shared" si="24"/>
        <v/>
      </c>
      <c r="V87" t="str">
        <f>IF(I87=0,VLOOKUP(T87,Sheet4!A:B,2,TRUE),"")</f>
        <v/>
      </c>
      <c r="W87" t="s">
        <v>4751</v>
      </c>
      <c r="X87" t="s">
        <v>3175</v>
      </c>
      <c r="Y87" s="9"/>
      <c r="Z87" s="10" t="s">
        <v>1910</v>
      </c>
      <c r="AA87" t="s">
        <v>4826</v>
      </c>
      <c r="AC87" t="str">
        <f t="shared" si="25"/>
        <v>破壊する</v>
      </c>
      <c r="AD87" t="str">
        <f t="shared" si="16"/>
        <v/>
      </c>
      <c r="AE87" t="str">
        <f t="shared" si="26"/>
        <v/>
      </c>
      <c r="AF87" t="str">
        <f t="shared" si="27"/>
        <v/>
      </c>
      <c r="AG87" t="b">
        <f t="shared" si="14"/>
        <v>0</v>
      </c>
      <c r="AH87" s="3">
        <v>405</v>
      </c>
      <c r="AI87" s="2" t="s">
        <v>3170</v>
      </c>
      <c r="AJ87" s="1" t="s">
        <v>1518</v>
      </c>
      <c r="AK87" s="1" t="s">
        <v>1744</v>
      </c>
      <c r="AL87" s="1">
        <v>8</v>
      </c>
      <c r="AM87" s="1" t="s">
        <v>1912</v>
      </c>
      <c r="AN87" s="1" t="s">
        <v>1911</v>
      </c>
      <c r="AO87" s="1" t="s">
        <v>1453</v>
      </c>
      <c r="AP87" s="1"/>
      <c r="AQ87" s="1"/>
      <c r="AR87" s="1"/>
      <c r="AS87" s="1" t="s">
        <v>1910</v>
      </c>
    </row>
    <row r="88" spans="1:45" x14ac:dyDescent="0.15">
      <c r="A88" t="str">
        <f t="shared" si="17"/>
        <v>|BFZ|緑|14|3/3|《[[血統の観察者]]》|</v>
      </c>
      <c r="B88" t="s">
        <v>3168</v>
      </c>
      <c r="C88" t="str">
        <f t="shared" si="18"/>
        <v>BFZ</v>
      </c>
      <c r="D88">
        <f>IF(AI88="","",VLOOKUP(C88,tnpl!$Z$1:$AA$11,2,TRUE))</f>
        <v>2</v>
      </c>
      <c r="E88" t="s">
        <v>3168</v>
      </c>
      <c r="F88" t="str">
        <f t="shared" si="19"/>
        <v>緑</v>
      </c>
      <c r="G88">
        <f>IF(AJ88="","",VLOOKUP(F88,tnpl!$X$1:$Y$16,2,TRUE))</f>
        <v>5</v>
      </c>
      <c r="H88" t="s">
        <v>3168</v>
      </c>
      <c r="I88">
        <f t="shared" si="20"/>
        <v>14</v>
      </c>
      <c r="J88" t="s">
        <v>3168</v>
      </c>
      <c r="K88">
        <f t="shared" si="21"/>
        <v>3</v>
      </c>
      <c r="L88">
        <f t="shared" si="22"/>
        <v>3</v>
      </c>
      <c r="M88" t="str">
        <f t="shared" si="15"/>
        <v>3/3</v>
      </c>
      <c r="R88" t="s">
        <v>3175</v>
      </c>
      <c r="S88" t="s">
        <v>4750</v>
      </c>
      <c r="T88" t="str">
        <f t="shared" si="23"/>
        <v>血統の観察者</v>
      </c>
      <c r="U88" t="str">
        <f t="shared" si="24"/>
        <v/>
      </c>
      <c r="V88" t="str">
        <f>IF(I88=0,VLOOKUP(T88,Sheet4!A:B,2,TRUE),"")</f>
        <v/>
      </c>
      <c r="W88" t="s">
        <v>4751</v>
      </c>
      <c r="X88" t="s">
        <v>3175</v>
      </c>
      <c r="Y88" s="9"/>
      <c r="Z88" s="10" t="s">
        <v>3378</v>
      </c>
      <c r="AA88" t="s">
        <v>4832</v>
      </c>
      <c r="AC88" t="str">
        <f t="shared" si="25"/>
        <v/>
      </c>
      <c r="AD88" t="str">
        <f t="shared" si="16"/>
        <v>破壊された</v>
      </c>
      <c r="AE88" t="str">
        <f t="shared" si="26"/>
        <v/>
      </c>
      <c r="AF88" t="str">
        <f t="shared" si="27"/>
        <v/>
      </c>
      <c r="AG88" t="b">
        <f t="shared" si="14"/>
        <v>0</v>
      </c>
      <c r="AH88" s="3">
        <v>408</v>
      </c>
      <c r="AI88" s="2" t="s">
        <v>3170</v>
      </c>
      <c r="AJ88" s="1" t="s">
        <v>1518</v>
      </c>
      <c r="AK88" s="1" t="s">
        <v>1451</v>
      </c>
      <c r="AL88" s="1">
        <v>14</v>
      </c>
      <c r="AM88" s="1" t="s">
        <v>1903</v>
      </c>
      <c r="AN88" s="1" t="s">
        <v>1902</v>
      </c>
      <c r="AO88" s="1" t="s">
        <v>339</v>
      </c>
      <c r="AP88" s="1"/>
      <c r="AQ88" s="1">
        <v>3</v>
      </c>
      <c r="AR88" s="1">
        <v>3</v>
      </c>
      <c r="AS88" s="1" t="s">
        <v>3378</v>
      </c>
    </row>
    <row r="89" spans="1:45" x14ac:dyDescent="0.15">
      <c r="A89" t="str">
        <f t="shared" si="17"/>
        <v>|BFZ|緑|6|3/4|《[[虚空の従者]]》|</v>
      </c>
      <c r="B89" t="s">
        <v>3168</v>
      </c>
      <c r="C89" t="str">
        <f t="shared" si="18"/>
        <v>BFZ</v>
      </c>
      <c r="D89">
        <f>IF(AI89="","",VLOOKUP(C89,tnpl!$Z$1:$AA$11,2,TRUE))</f>
        <v>2</v>
      </c>
      <c r="E89" t="s">
        <v>3168</v>
      </c>
      <c r="F89" t="str">
        <f t="shared" si="19"/>
        <v>緑</v>
      </c>
      <c r="G89">
        <f>IF(AJ89="","",VLOOKUP(F89,tnpl!$X$1:$Y$16,2,TRUE))</f>
        <v>5</v>
      </c>
      <c r="H89" t="s">
        <v>3168</v>
      </c>
      <c r="I89">
        <f t="shared" si="20"/>
        <v>6</v>
      </c>
      <c r="J89" t="s">
        <v>3168</v>
      </c>
      <c r="K89">
        <f t="shared" si="21"/>
        <v>3</v>
      </c>
      <c r="L89">
        <f t="shared" si="22"/>
        <v>4</v>
      </c>
      <c r="M89" t="str">
        <f t="shared" si="15"/>
        <v>3/4</v>
      </c>
      <c r="R89" t="s">
        <v>3175</v>
      </c>
      <c r="S89" t="s">
        <v>4750</v>
      </c>
      <c r="T89" t="str">
        <f t="shared" si="23"/>
        <v>虚空の従者</v>
      </c>
      <c r="U89" t="str">
        <f t="shared" si="24"/>
        <v/>
      </c>
      <c r="V89" t="str">
        <f>IF(I89=0,VLOOKUP(T89,Sheet4!A:B,2,TRUE),"")</f>
        <v/>
      </c>
      <c r="W89" t="s">
        <v>4751</v>
      </c>
      <c r="X89" t="s">
        <v>3175</v>
      </c>
      <c r="Y89" s="9"/>
      <c r="Z89" s="10" t="s">
        <v>3379</v>
      </c>
      <c r="AA89" t="s">
        <v>4832</v>
      </c>
      <c r="AC89" t="str">
        <f t="shared" si="25"/>
        <v/>
      </c>
      <c r="AD89" t="str">
        <f t="shared" si="16"/>
        <v>破壊された</v>
      </c>
      <c r="AE89" t="str">
        <f t="shared" si="26"/>
        <v/>
      </c>
      <c r="AF89" t="str">
        <f t="shared" si="27"/>
        <v/>
      </c>
      <c r="AG89" t="b">
        <f t="shared" si="14"/>
        <v>0</v>
      </c>
      <c r="AH89" s="3">
        <v>414</v>
      </c>
      <c r="AI89" s="2" t="s">
        <v>3170</v>
      </c>
      <c r="AJ89" s="1" t="s">
        <v>1518</v>
      </c>
      <c r="AK89" s="1" t="s">
        <v>1451</v>
      </c>
      <c r="AL89" s="1">
        <v>6</v>
      </c>
      <c r="AM89" s="1" t="s">
        <v>1885</v>
      </c>
      <c r="AN89" s="1" t="s">
        <v>1884</v>
      </c>
      <c r="AO89" s="1" t="s">
        <v>339</v>
      </c>
      <c r="AP89" s="1"/>
      <c r="AQ89" s="1">
        <v>3</v>
      </c>
      <c r="AR89" s="1">
        <v>4</v>
      </c>
      <c r="AS89" s="1" t="s">
        <v>3379</v>
      </c>
    </row>
    <row r="90" spans="1:45" x14ac:dyDescent="0.15">
      <c r="A90" t="str">
        <f t="shared" si="17"/>
        <v>|BFZ|緑|7||《[[荒廃した森林]]》|</v>
      </c>
      <c r="B90" t="s">
        <v>3168</v>
      </c>
      <c r="C90" t="str">
        <f t="shared" si="18"/>
        <v>BFZ</v>
      </c>
      <c r="D90">
        <f>IF(AI90="","",VLOOKUP(C90,tnpl!$Z$1:$AA$11,2,TRUE))</f>
        <v>2</v>
      </c>
      <c r="E90" t="s">
        <v>3168</v>
      </c>
      <c r="F90" t="str">
        <f t="shared" si="19"/>
        <v>緑</v>
      </c>
      <c r="G90">
        <f>IF(AJ90="","",VLOOKUP(F90,tnpl!$X$1:$Y$16,2,TRUE))</f>
        <v>5</v>
      </c>
      <c r="H90" t="s">
        <v>3168</v>
      </c>
      <c r="I90">
        <f t="shared" si="20"/>
        <v>7</v>
      </c>
      <c r="J90" t="s">
        <v>3168</v>
      </c>
      <c r="K90">
        <f t="shared" si="21"/>
        <v>0</v>
      </c>
      <c r="L90">
        <f t="shared" si="22"/>
        <v>0</v>
      </c>
      <c r="M90" t="str">
        <f t="shared" si="15"/>
        <v/>
      </c>
      <c r="R90" t="s">
        <v>3175</v>
      </c>
      <c r="S90" t="s">
        <v>4750</v>
      </c>
      <c r="T90" t="str">
        <f t="shared" si="23"/>
        <v>荒廃した森林</v>
      </c>
      <c r="U90" t="str">
        <f t="shared" si="24"/>
        <v/>
      </c>
      <c r="V90" t="str">
        <f>IF(I90=0,VLOOKUP(T90,Sheet4!A:B,2,TRUE),"")</f>
        <v/>
      </c>
      <c r="W90" t="s">
        <v>4751</v>
      </c>
      <c r="X90" t="s">
        <v>3175</v>
      </c>
      <c r="Y90" s="9"/>
      <c r="Z90" s="10" t="s">
        <v>1873</v>
      </c>
      <c r="AA90" t="s">
        <v>4757</v>
      </c>
      <c r="AC90" t="str">
        <f t="shared" si="25"/>
        <v/>
      </c>
      <c r="AD90" t="str">
        <f t="shared" si="16"/>
        <v>破壊された</v>
      </c>
      <c r="AE90" t="str">
        <f t="shared" si="26"/>
        <v/>
      </c>
      <c r="AF90" t="str">
        <f t="shared" si="27"/>
        <v/>
      </c>
      <c r="AG90" t="b">
        <f t="shared" si="14"/>
        <v>0</v>
      </c>
      <c r="AH90" s="3">
        <v>417</v>
      </c>
      <c r="AI90" s="2" t="s">
        <v>3170</v>
      </c>
      <c r="AJ90" s="1" t="s">
        <v>1518</v>
      </c>
      <c r="AK90" s="1" t="s">
        <v>1451</v>
      </c>
      <c r="AL90" s="1">
        <v>7</v>
      </c>
      <c r="AM90" s="1" t="s">
        <v>1876</v>
      </c>
      <c r="AN90" s="1" t="s">
        <v>1875</v>
      </c>
      <c r="AO90" s="1" t="s">
        <v>288</v>
      </c>
      <c r="AP90" s="1">
        <v>2</v>
      </c>
      <c r="AQ90" s="1"/>
      <c r="AR90" s="1"/>
      <c r="AS90" s="1" t="s">
        <v>1873</v>
      </c>
    </row>
    <row r="91" spans="1:45" x14ac:dyDescent="0.15">
      <c r="A91" t="str">
        <f t="shared" si="17"/>
        <v>|BFZ|緑|9||《[[彼方より]]》|</v>
      </c>
      <c r="B91" t="s">
        <v>3168</v>
      </c>
      <c r="C91" t="str">
        <f t="shared" si="18"/>
        <v>BFZ</v>
      </c>
      <c r="D91">
        <f>IF(AI91="","",VLOOKUP(C91,tnpl!$Z$1:$AA$11,2,TRUE))</f>
        <v>2</v>
      </c>
      <c r="E91" t="s">
        <v>3168</v>
      </c>
      <c r="F91" t="str">
        <f t="shared" si="19"/>
        <v>緑</v>
      </c>
      <c r="G91">
        <f>IF(AJ91="","",VLOOKUP(F91,tnpl!$X$1:$Y$16,2,TRUE))</f>
        <v>5</v>
      </c>
      <c r="H91" t="s">
        <v>3168</v>
      </c>
      <c r="I91">
        <f t="shared" si="20"/>
        <v>9</v>
      </c>
      <c r="J91" t="s">
        <v>3168</v>
      </c>
      <c r="K91">
        <f t="shared" si="21"/>
        <v>0</v>
      </c>
      <c r="L91">
        <f t="shared" si="22"/>
        <v>0</v>
      </c>
      <c r="M91" t="str">
        <f t="shared" si="15"/>
        <v/>
      </c>
      <c r="R91" t="s">
        <v>3175</v>
      </c>
      <c r="S91" t="s">
        <v>4750</v>
      </c>
      <c r="T91" t="str">
        <f t="shared" si="23"/>
        <v>彼方より</v>
      </c>
      <c r="U91" t="str">
        <f t="shared" si="24"/>
        <v/>
      </c>
      <c r="V91" t="str">
        <f>IF(I91=0,VLOOKUP(T91,Sheet4!A:B,2,TRUE),"")</f>
        <v/>
      </c>
      <c r="W91" t="s">
        <v>4751</v>
      </c>
      <c r="X91" t="s">
        <v>3175</v>
      </c>
      <c r="Y91" s="9"/>
      <c r="Z91" s="10" t="s">
        <v>3384</v>
      </c>
      <c r="AA91" t="s">
        <v>4757</v>
      </c>
      <c r="AB91" t="s">
        <v>4830</v>
      </c>
      <c r="AC91" t="str">
        <f t="shared" si="25"/>
        <v/>
      </c>
      <c r="AD91" t="str">
        <f t="shared" si="16"/>
        <v>破壊された</v>
      </c>
      <c r="AE91" t="str">
        <f t="shared" si="26"/>
        <v/>
      </c>
      <c r="AF91" t="str">
        <f t="shared" si="27"/>
        <v/>
      </c>
      <c r="AG91" t="b">
        <f t="shared" si="14"/>
        <v>0</v>
      </c>
      <c r="AH91" s="3">
        <v>422</v>
      </c>
      <c r="AI91" s="2" t="s">
        <v>3170</v>
      </c>
      <c r="AJ91" s="1" t="s">
        <v>1518</v>
      </c>
      <c r="AK91" s="1" t="s">
        <v>1441</v>
      </c>
      <c r="AL91" s="1">
        <v>9</v>
      </c>
      <c r="AM91" s="1" t="s">
        <v>1858</v>
      </c>
      <c r="AN91" s="1" t="s">
        <v>1857</v>
      </c>
      <c r="AO91" s="1" t="s">
        <v>288</v>
      </c>
      <c r="AP91" s="1">
        <v>3</v>
      </c>
      <c r="AQ91" s="1"/>
      <c r="AR91" s="1"/>
      <c r="AS91" s="1" t="s">
        <v>3384</v>
      </c>
    </row>
    <row r="92" spans="1:45" x14ac:dyDescent="0.15">
      <c r="A92" t="str">
        <f t="shared" si="17"/>
        <v>|BFZ|緑|17|4/5|《[[ムラーサの緑守り]]》|</v>
      </c>
      <c r="B92" t="s">
        <v>3168</v>
      </c>
      <c r="C92" t="str">
        <f t="shared" si="18"/>
        <v>BFZ</v>
      </c>
      <c r="D92">
        <f>IF(AI92="","",VLOOKUP(C92,tnpl!$Z$1:$AA$11,2,TRUE))</f>
        <v>2</v>
      </c>
      <c r="E92" t="s">
        <v>3168</v>
      </c>
      <c r="F92" t="str">
        <f t="shared" si="19"/>
        <v>緑</v>
      </c>
      <c r="G92">
        <f>IF(AJ92="","",VLOOKUP(F92,tnpl!$X$1:$Y$16,2,TRUE))</f>
        <v>5</v>
      </c>
      <c r="H92" t="s">
        <v>3168</v>
      </c>
      <c r="I92">
        <f t="shared" si="20"/>
        <v>17</v>
      </c>
      <c r="J92" t="s">
        <v>3168</v>
      </c>
      <c r="K92">
        <f t="shared" si="21"/>
        <v>4</v>
      </c>
      <c r="L92">
        <f t="shared" si="22"/>
        <v>5</v>
      </c>
      <c r="M92" t="str">
        <f t="shared" si="15"/>
        <v>4/5</v>
      </c>
      <c r="R92" t="s">
        <v>3175</v>
      </c>
      <c r="S92" t="s">
        <v>4750</v>
      </c>
      <c r="T92" t="str">
        <f t="shared" si="23"/>
        <v>ムラーサの緑守り</v>
      </c>
      <c r="U92" t="str">
        <f t="shared" si="24"/>
        <v/>
      </c>
      <c r="V92" t="str">
        <f>IF(I92=0,VLOOKUP(T92,Sheet4!A:B,2,TRUE),"")</f>
        <v/>
      </c>
      <c r="W92" t="s">
        <v>4751</v>
      </c>
      <c r="X92" t="s">
        <v>3175</v>
      </c>
      <c r="Y92" s="9"/>
      <c r="Z92" s="10" t="s">
        <v>1852</v>
      </c>
      <c r="AA92" t="s">
        <v>4757</v>
      </c>
      <c r="AB92" t="s">
        <v>4830</v>
      </c>
      <c r="AC92" t="str">
        <f t="shared" si="25"/>
        <v/>
      </c>
      <c r="AD92" t="str">
        <f t="shared" si="16"/>
        <v>破壊された</v>
      </c>
      <c r="AE92" t="str">
        <f t="shared" si="26"/>
        <v/>
      </c>
      <c r="AF92" t="str">
        <f t="shared" si="27"/>
        <v/>
      </c>
      <c r="AG92" t="b">
        <f t="shared" si="14"/>
        <v>0</v>
      </c>
      <c r="AH92" s="3">
        <v>423</v>
      </c>
      <c r="AI92" s="2" t="s">
        <v>3170</v>
      </c>
      <c r="AJ92" s="1" t="s">
        <v>1518</v>
      </c>
      <c r="AK92" s="1" t="s">
        <v>1431</v>
      </c>
      <c r="AL92" s="1">
        <v>17</v>
      </c>
      <c r="AM92" s="1" t="s">
        <v>1854</v>
      </c>
      <c r="AN92" s="1" t="s">
        <v>1853</v>
      </c>
      <c r="AO92" s="1" t="s">
        <v>339</v>
      </c>
      <c r="AP92" s="1"/>
      <c r="AQ92" s="1">
        <v>4</v>
      </c>
      <c r="AR92" s="1">
        <v>5</v>
      </c>
      <c r="AS92" s="1" t="s">
        <v>1852</v>
      </c>
    </row>
    <row r="93" spans="1:45" x14ac:dyDescent="0.15">
      <c r="A93" t="str">
        <f t="shared" si="17"/>
        <v>|BFZ|黒緑|13|3/4|《[[地下墓地の選別者]]》|</v>
      </c>
      <c r="B93" t="s">
        <v>3168</v>
      </c>
      <c r="C93" t="str">
        <f t="shared" si="18"/>
        <v>BFZ</v>
      </c>
      <c r="D93">
        <f>IF(AI93="","",VLOOKUP(C93,tnpl!$Z$1:$AA$11,2,TRUE))</f>
        <v>2</v>
      </c>
      <c r="E93" t="s">
        <v>3168</v>
      </c>
      <c r="F93" t="str">
        <f t="shared" si="19"/>
        <v>黒緑</v>
      </c>
      <c r="G93">
        <f>IF(AJ93="","",VLOOKUP(F93,tnpl!$X$1:$Y$16,2,TRUE))</f>
        <v>13</v>
      </c>
      <c r="H93" t="s">
        <v>3168</v>
      </c>
      <c r="I93">
        <f t="shared" si="20"/>
        <v>13</v>
      </c>
      <c r="J93" t="s">
        <v>3168</v>
      </c>
      <c r="K93">
        <f t="shared" si="21"/>
        <v>3</v>
      </c>
      <c r="L93">
        <f t="shared" si="22"/>
        <v>4</v>
      </c>
      <c r="M93" t="str">
        <f t="shared" si="15"/>
        <v>3/4</v>
      </c>
      <c r="R93" t="s">
        <v>3175</v>
      </c>
      <c r="S93" t="s">
        <v>4750</v>
      </c>
      <c r="T93" t="str">
        <f t="shared" si="23"/>
        <v>地下墓地の選別者</v>
      </c>
      <c r="U93" t="str">
        <f t="shared" si="24"/>
        <v/>
      </c>
      <c r="V93" t="str">
        <f>IF(I93=0,VLOOKUP(T93,Sheet4!A:B,2,TRUE),"")</f>
        <v/>
      </c>
      <c r="W93" t="s">
        <v>4751</v>
      </c>
      <c r="X93" t="s">
        <v>3175</v>
      </c>
      <c r="Y93" s="9"/>
      <c r="Z93" s="10" t="s">
        <v>3391</v>
      </c>
      <c r="AA93" t="s">
        <v>4832</v>
      </c>
      <c r="AC93" t="str">
        <f t="shared" si="25"/>
        <v/>
      </c>
      <c r="AD93" t="str">
        <f t="shared" si="16"/>
        <v>破壊された</v>
      </c>
      <c r="AE93" t="str">
        <f t="shared" si="26"/>
        <v/>
      </c>
      <c r="AF93" t="str">
        <f t="shared" si="27"/>
        <v/>
      </c>
      <c r="AG93" t="b">
        <f t="shared" si="14"/>
        <v>0</v>
      </c>
      <c r="AH93" s="3">
        <v>433</v>
      </c>
      <c r="AI93" s="2" t="s">
        <v>3170</v>
      </c>
      <c r="AJ93" s="1" t="s">
        <v>1487</v>
      </c>
      <c r="AK93" s="1" t="s">
        <v>1451</v>
      </c>
      <c r="AL93" s="1">
        <v>13</v>
      </c>
      <c r="AM93" s="1" t="s">
        <v>1821</v>
      </c>
      <c r="AN93" s="1" t="s">
        <v>1820</v>
      </c>
      <c r="AO93" s="1" t="s">
        <v>339</v>
      </c>
      <c r="AP93" s="1"/>
      <c r="AQ93" s="1">
        <v>3</v>
      </c>
      <c r="AR93" s="1">
        <v>4</v>
      </c>
      <c r="AS93" s="1" t="s">
        <v>3391</v>
      </c>
    </row>
    <row r="94" spans="1:45" x14ac:dyDescent="0.15">
      <c r="A94" t="str">
        <f t="shared" si="17"/>
        <v>|BFZ|白黒|20||《[[墓所からの行進]]》|</v>
      </c>
      <c r="B94" t="s">
        <v>3168</v>
      </c>
      <c r="C94" t="str">
        <f t="shared" si="18"/>
        <v>BFZ</v>
      </c>
      <c r="D94">
        <f>IF(AI94="","",VLOOKUP(C94,tnpl!$Z$1:$AA$11,2,TRUE))</f>
        <v>2</v>
      </c>
      <c r="E94" t="s">
        <v>3168</v>
      </c>
      <c r="F94" t="str">
        <f t="shared" si="19"/>
        <v>白黒</v>
      </c>
      <c r="G94">
        <f>IF(AJ94="","",VLOOKUP(F94,tnpl!$X$1:$Y$16,2,TRUE))</f>
        <v>11</v>
      </c>
      <c r="H94" t="s">
        <v>3168</v>
      </c>
      <c r="I94">
        <f t="shared" si="20"/>
        <v>20</v>
      </c>
      <c r="J94" t="s">
        <v>3168</v>
      </c>
      <c r="K94">
        <f t="shared" si="21"/>
        <v>0</v>
      </c>
      <c r="L94">
        <f t="shared" si="22"/>
        <v>0</v>
      </c>
      <c r="M94" t="str">
        <f t="shared" si="15"/>
        <v/>
      </c>
      <c r="R94" t="s">
        <v>3175</v>
      </c>
      <c r="S94" t="s">
        <v>4750</v>
      </c>
      <c r="T94" t="str">
        <f t="shared" si="23"/>
        <v>墓所からの行進</v>
      </c>
      <c r="U94" t="str">
        <f t="shared" si="24"/>
        <v/>
      </c>
      <c r="V94" t="str">
        <f>IF(I94=0,VLOOKUP(T94,Sheet4!A:B,2,TRUE),"")</f>
        <v/>
      </c>
      <c r="W94" t="s">
        <v>4751</v>
      </c>
      <c r="X94" t="s">
        <v>3175</v>
      </c>
      <c r="Y94" s="9"/>
      <c r="Z94" s="10" t="s">
        <v>1792</v>
      </c>
      <c r="AA94" t="s">
        <v>4830</v>
      </c>
      <c r="AC94" t="str">
        <f t="shared" si="25"/>
        <v/>
      </c>
      <c r="AD94" t="str">
        <f t="shared" si="16"/>
        <v>破壊された</v>
      </c>
      <c r="AE94" t="str">
        <f t="shared" si="26"/>
        <v/>
      </c>
      <c r="AF94" t="str">
        <f t="shared" si="27"/>
        <v/>
      </c>
      <c r="AG94" t="b">
        <f t="shared" si="14"/>
        <v>0</v>
      </c>
      <c r="AH94" s="3">
        <v>440</v>
      </c>
      <c r="AI94" s="2" t="s">
        <v>3170</v>
      </c>
      <c r="AJ94" s="1" t="s">
        <v>1474</v>
      </c>
      <c r="AK94" s="1" t="s">
        <v>1441</v>
      </c>
      <c r="AL94" s="1">
        <v>20</v>
      </c>
      <c r="AM94" s="1" t="s">
        <v>1794</v>
      </c>
      <c r="AN94" s="1" t="s">
        <v>1793</v>
      </c>
      <c r="AO94" s="1" t="s">
        <v>1453</v>
      </c>
      <c r="AP94" s="1"/>
      <c r="AQ94" s="1"/>
      <c r="AR94" s="1"/>
      <c r="AS94" s="1" t="s">
        <v>1792</v>
      </c>
    </row>
    <row r="95" spans="1:45" x14ac:dyDescent="0.15">
      <c r="A95" t="str">
        <f t="shared" si="17"/>
        <v>|BFZ|黒緑|17|6/6|《[[血統の解体者]]》|</v>
      </c>
      <c r="B95" t="s">
        <v>3168</v>
      </c>
      <c r="C95" t="str">
        <f t="shared" si="18"/>
        <v>BFZ</v>
      </c>
      <c r="D95">
        <f>IF(AI95="","",VLOOKUP(C95,tnpl!$Z$1:$AA$11,2,TRUE))</f>
        <v>2</v>
      </c>
      <c r="E95" t="s">
        <v>3168</v>
      </c>
      <c r="F95" t="str">
        <f t="shared" si="19"/>
        <v>黒緑</v>
      </c>
      <c r="G95">
        <f>IF(AJ95="","",VLOOKUP(F95,tnpl!$X$1:$Y$16,2,TRUE))</f>
        <v>13</v>
      </c>
      <c r="H95" t="s">
        <v>3168</v>
      </c>
      <c r="I95">
        <f t="shared" si="20"/>
        <v>17</v>
      </c>
      <c r="J95" t="s">
        <v>3168</v>
      </c>
      <c r="K95">
        <f t="shared" si="21"/>
        <v>6</v>
      </c>
      <c r="L95">
        <f t="shared" si="22"/>
        <v>6</v>
      </c>
      <c r="M95" t="str">
        <f t="shared" si="15"/>
        <v>6/6</v>
      </c>
      <c r="R95" t="s">
        <v>3175</v>
      </c>
      <c r="S95" t="s">
        <v>4750</v>
      </c>
      <c r="T95" t="str">
        <f t="shared" si="23"/>
        <v>血統の解体者</v>
      </c>
      <c r="U95" t="str">
        <f t="shared" si="24"/>
        <v/>
      </c>
      <c r="V95" t="str">
        <f>IF(I95=0,VLOOKUP(T95,Sheet4!A:B,2,TRUE),"")</f>
        <v/>
      </c>
      <c r="W95" t="s">
        <v>4751</v>
      </c>
      <c r="X95" t="s">
        <v>3175</v>
      </c>
      <c r="Y95" s="9"/>
      <c r="Z95" s="10" t="s">
        <v>3399</v>
      </c>
      <c r="AA95" t="s">
        <v>4757</v>
      </c>
      <c r="AC95" t="str">
        <f t="shared" si="25"/>
        <v/>
      </c>
      <c r="AD95" t="str">
        <f t="shared" si="16"/>
        <v>破壊された</v>
      </c>
      <c r="AE95" t="str">
        <f t="shared" si="26"/>
        <v>破壊される</v>
      </c>
      <c r="AF95" t="str">
        <f t="shared" si="27"/>
        <v/>
      </c>
      <c r="AG95" t="b">
        <f t="shared" si="14"/>
        <v>0</v>
      </c>
      <c r="AH95" s="3">
        <v>442</v>
      </c>
      <c r="AI95" s="2" t="s">
        <v>3170</v>
      </c>
      <c r="AJ95" s="1" t="s">
        <v>1487</v>
      </c>
      <c r="AK95" s="1" t="s">
        <v>1441</v>
      </c>
      <c r="AL95" s="1">
        <v>17</v>
      </c>
      <c r="AM95" s="1" t="s">
        <v>1788</v>
      </c>
      <c r="AN95" s="1" t="s">
        <v>1787</v>
      </c>
      <c r="AO95" s="1" t="s">
        <v>339</v>
      </c>
      <c r="AP95" s="1"/>
      <c r="AQ95" s="1">
        <v>6</v>
      </c>
      <c r="AR95" s="1">
        <v>6</v>
      </c>
      <c r="AS95" s="1" t="s">
        <v>3399</v>
      </c>
    </row>
    <row r="96" spans="1:45" x14ac:dyDescent="0.15">
      <c r="A96" t="str">
        <f t="shared" si="17"/>
        <v>|BFZ|赤緑|18|8/8|《[[怒りの座、オムナス]]》|</v>
      </c>
      <c r="B96" t="s">
        <v>3168</v>
      </c>
      <c r="C96" t="str">
        <f t="shared" si="18"/>
        <v>BFZ</v>
      </c>
      <c r="D96">
        <f>IF(AI96="","",VLOOKUP(C96,tnpl!$Z$1:$AA$11,2,TRUE))</f>
        <v>2</v>
      </c>
      <c r="E96" t="s">
        <v>3168</v>
      </c>
      <c r="F96" t="str">
        <f t="shared" si="19"/>
        <v>赤緑</v>
      </c>
      <c r="G96">
        <f>IF(AJ96="","",VLOOKUP(F96,tnpl!$X$1:$Y$16,2,TRUE))</f>
        <v>9</v>
      </c>
      <c r="H96" t="s">
        <v>3168</v>
      </c>
      <c r="I96">
        <f t="shared" si="20"/>
        <v>18</v>
      </c>
      <c r="J96" t="s">
        <v>3168</v>
      </c>
      <c r="K96">
        <f t="shared" si="21"/>
        <v>8</v>
      </c>
      <c r="L96">
        <f t="shared" si="22"/>
        <v>8</v>
      </c>
      <c r="M96" t="str">
        <f t="shared" si="15"/>
        <v>8/8</v>
      </c>
      <c r="R96" t="s">
        <v>3175</v>
      </c>
      <c r="S96" t="s">
        <v>4750</v>
      </c>
      <c r="T96" t="str">
        <f t="shared" si="23"/>
        <v>怒りの座、オムナス</v>
      </c>
      <c r="U96" t="str">
        <f t="shared" si="24"/>
        <v/>
      </c>
      <c r="V96" t="str">
        <f>IF(I96=0,VLOOKUP(T96,Sheet4!A:B,2,TRUE),"")</f>
        <v/>
      </c>
      <c r="W96" t="s">
        <v>4751</v>
      </c>
      <c r="X96" t="s">
        <v>3175</v>
      </c>
      <c r="Y96" s="9"/>
      <c r="Z96" s="10" t="s">
        <v>1773</v>
      </c>
      <c r="AA96" t="s">
        <v>4757</v>
      </c>
      <c r="AC96" t="str">
        <f t="shared" si="25"/>
        <v/>
      </c>
      <c r="AD96" t="str">
        <f t="shared" si="16"/>
        <v/>
      </c>
      <c r="AE96" t="str">
        <f t="shared" si="26"/>
        <v>破壊される</v>
      </c>
      <c r="AF96" t="str">
        <f t="shared" si="27"/>
        <v/>
      </c>
      <c r="AG96" t="b">
        <f t="shared" si="14"/>
        <v>0</v>
      </c>
      <c r="AH96" s="3">
        <v>445</v>
      </c>
      <c r="AI96" s="2" t="s">
        <v>3170</v>
      </c>
      <c r="AJ96" s="1" t="s">
        <v>1482</v>
      </c>
      <c r="AK96" s="1" t="s">
        <v>1431</v>
      </c>
      <c r="AL96" s="1">
        <v>18</v>
      </c>
      <c r="AM96" s="1" t="s">
        <v>1777</v>
      </c>
      <c r="AN96" s="1" t="s">
        <v>1776</v>
      </c>
      <c r="AO96" s="1" t="s">
        <v>339</v>
      </c>
      <c r="AP96" s="1"/>
      <c r="AQ96" s="1">
        <v>8</v>
      </c>
      <c r="AR96" s="1">
        <v>8</v>
      </c>
      <c r="AS96" s="1" t="s">
        <v>1773</v>
      </c>
    </row>
    <row r="97" spans="1:45" x14ac:dyDescent="0.15">
      <c r="A97" t="str">
        <f t="shared" si="17"/>
        <v>|BFZ|無色|12||《[[存在の一掃]]》|</v>
      </c>
      <c r="B97" t="s">
        <v>3168</v>
      </c>
      <c r="C97" t="str">
        <f t="shared" si="18"/>
        <v>BFZ</v>
      </c>
      <c r="D97">
        <f>IF(AI97="","",VLOOKUP(C97,tnpl!$Z$1:$AA$11,2,TRUE))</f>
        <v>2</v>
      </c>
      <c r="E97" t="s">
        <v>3168</v>
      </c>
      <c r="F97" t="str">
        <f t="shared" si="19"/>
        <v>無色</v>
      </c>
      <c r="G97">
        <f>IF(AJ97="","",VLOOKUP(F97,tnpl!$X$1:$Y$16,2,TRUE))</f>
        <v>16</v>
      </c>
      <c r="H97" t="s">
        <v>3168</v>
      </c>
      <c r="I97">
        <f t="shared" si="20"/>
        <v>12</v>
      </c>
      <c r="J97" t="s">
        <v>3168</v>
      </c>
      <c r="K97">
        <f t="shared" si="21"/>
        <v>0</v>
      </c>
      <c r="L97">
        <f t="shared" si="22"/>
        <v>0</v>
      </c>
      <c r="M97" t="str">
        <f t="shared" si="15"/>
        <v/>
      </c>
      <c r="R97" t="s">
        <v>3175</v>
      </c>
      <c r="S97" t="s">
        <v>4750</v>
      </c>
      <c r="T97" t="str">
        <f t="shared" si="23"/>
        <v>存在の一掃</v>
      </c>
      <c r="U97" t="str">
        <f t="shared" si="24"/>
        <v/>
      </c>
      <c r="V97" t="str">
        <f>IF(I97=0,VLOOKUP(T97,Sheet4!A:B,2,TRUE),"")</f>
        <v/>
      </c>
      <c r="W97" t="s">
        <v>4751</v>
      </c>
      <c r="X97" t="s">
        <v>3175</v>
      </c>
      <c r="Y97" s="9"/>
      <c r="Z97" s="10" t="s">
        <v>1760</v>
      </c>
      <c r="AA97" t="s">
        <v>4825</v>
      </c>
      <c r="AC97" t="str">
        <f t="shared" si="25"/>
        <v/>
      </c>
      <c r="AD97" t="str">
        <f t="shared" si="16"/>
        <v/>
      </c>
      <c r="AE97" t="str">
        <f t="shared" si="26"/>
        <v/>
      </c>
      <c r="AF97" t="str">
        <f t="shared" si="27"/>
        <v>破壊し</v>
      </c>
      <c r="AG97" t="b">
        <f t="shared" si="14"/>
        <v>0</v>
      </c>
      <c r="AH97" s="3">
        <v>449</v>
      </c>
      <c r="AI97" s="2" t="s">
        <v>3170</v>
      </c>
      <c r="AJ97" s="1" t="s">
        <v>292</v>
      </c>
      <c r="AK97" s="1" t="s">
        <v>1744</v>
      </c>
      <c r="AL97" s="1">
        <v>12</v>
      </c>
      <c r="AM97" s="1" t="s">
        <v>1762</v>
      </c>
      <c r="AN97" s="1" t="s">
        <v>1761</v>
      </c>
      <c r="AO97" s="1" t="s">
        <v>1453</v>
      </c>
      <c r="AP97" s="1"/>
      <c r="AQ97" s="1"/>
      <c r="AR97" s="1"/>
      <c r="AS97" s="1" t="s">
        <v>1760</v>
      </c>
    </row>
    <row r="98" spans="1:45" x14ac:dyDescent="0.15">
      <c r="A98" t="str">
        <f t="shared" si="17"/>
        <v>|BFZ|無色|11||《[[亡骸のぬかるみ]]》|</v>
      </c>
      <c r="B98" t="s">
        <v>3168</v>
      </c>
      <c r="C98" t="str">
        <f t="shared" si="18"/>
        <v>BFZ</v>
      </c>
      <c r="D98">
        <f>IF(AI98="","",VLOOKUP(C98,tnpl!$Z$1:$AA$11,2,TRUE))</f>
        <v>2</v>
      </c>
      <c r="E98" t="s">
        <v>3168</v>
      </c>
      <c r="F98" t="str">
        <f t="shared" si="19"/>
        <v>無色</v>
      </c>
      <c r="G98">
        <f>IF(AJ98="","",VLOOKUP(F98,tnpl!$X$1:$Y$16,2,TRUE))</f>
        <v>16</v>
      </c>
      <c r="H98" t="s">
        <v>3168</v>
      </c>
      <c r="I98">
        <f t="shared" si="20"/>
        <v>11</v>
      </c>
      <c r="J98" t="s">
        <v>3168</v>
      </c>
      <c r="K98">
        <f t="shared" si="21"/>
        <v>0</v>
      </c>
      <c r="L98">
        <f t="shared" si="22"/>
        <v>0</v>
      </c>
      <c r="M98" t="str">
        <f t="shared" si="15"/>
        <v/>
      </c>
      <c r="R98" t="s">
        <v>3175</v>
      </c>
      <c r="S98" t="s">
        <v>4750</v>
      </c>
      <c r="T98" t="str">
        <f t="shared" si="23"/>
        <v>亡骸のぬかるみ</v>
      </c>
      <c r="U98" t="str">
        <f t="shared" si="24"/>
        <v/>
      </c>
      <c r="V98" t="str">
        <f>IF(I98=0,VLOOKUP(T98,Sheet4!A:B,2,TRUE),"")</f>
        <v/>
      </c>
      <c r="W98" t="s">
        <v>4751</v>
      </c>
      <c r="X98" t="s">
        <v>3175</v>
      </c>
      <c r="Y98" s="9"/>
      <c r="Z98" s="10" t="s">
        <v>1748</v>
      </c>
      <c r="AA98" t="s">
        <v>4830</v>
      </c>
      <c r="AC98" t="str">
        <f t="shared" si="25"/>
        <v/>
      </c>
      <c r="AD98" t="str">
        <f t="shared" si="16"/>
        <v>破壊された</v>
      </c>
      <c r="AE98" t="str">
        <f t="shared" si="26"/>
        <v/>
      </c>
      <c r="AF98" t="str">
        <f t="shared" si="27"/>
        <v/>
      </c>
      <c r="AG98" t="b">
        <f t="shared" si="14"/>
        <v>0</v>
      </c>
      <c r="AH98" s="3">
        <v>453</v>
      </c>
      <c r="AI98" s="2" t="s">
        <v>3170</v>
      </c>
      <c r="AJ98" s="1" t="s">
        <v>292</v>
      </c>
      <c r="AK98" s="1" t="s">
        <v>1744</v>
      </c>
      <c r="AL98" s="1">
        <v>11</v>
      </c>
      <c r="AM98" s="1" t="s">
        <v>1750</v>
      </c>
      <c r="AN98" s="1" t="s">
        <v>1749</v>
      </c>
      <c r="AO98" s="1" t="s">
        <v>288</v>
      </c>
      <c r="AP98" s="1">
        <v>2</v>
      </c>
      <c r="AQ98" s="1"/>
      <c r="AR98" s="1"/>
      <c r="AS98" s="1" t="s">
        <v>1748</v>
      </c>
    </row>
    <row r="99" spans="1:45" x14ac:dyDescent="0.15">
      <c r="A99" t="str">
        <f t="shared" si="17"/>
        <v>|BFZ|無色|11|5/6|《[[荒廃を招くもの]]》|</v>
      </c>
      <c r="B99" t="s">
        <v>3168</v>
      </c>
      <c r="C99" t="str">
        <f t="shared" si="18"/>
        <v>BFZ</v>
      </c>
      <c r="D99">
        <f>IF(AI99="","",VLOOKUP(C99,tnpl!$Z$1:$AA$11,2,TRUE))</f>
        <v>2</v>
      </c>
      <c r="E99" t="s">
        <v>3168</v>
      </c>
      <c r="F99" t="str">
        <f t="shared" si="19"/>
        <v>無色</v>
      </c>
      <c r="G99">
        <f>IF(AJ99="","",VLOOKUP(F99,tnpl!$X$1:$Y$16,2,TRUE))</f>
        <v>16</v>
      </c>
      <c r="H99" t="s">
        <v>3168</v>
      </c>
      <c r="I99">
        <f t="shared" si="20"/>
        <v>11</v>
      </c>
      <c r="J99" t="s">
        <v>3168</v>
      </c>
      <c r="K99">
        <f t="shared" si="21"/>
        <v>5</v>
      </c>
      <c r="L99">
        <f t="shared" si="22"/>
        <v>6</v>
      </c>
      <c r="M99" t="str">
        <f t="shared" si="15"/>
        <v>5/6</v>
      </c>
      <c r="R99" t="s">
        <v>3175</v>
      </c>
      <c r="S99" t="s">
        <v>4750</v>
      </c>
      <c r="T99" t="str">
        <f t="shared" si="23"/>
        <v>荒廃を招くもの</v>
      </c>
      <c r="U99" t="str">
        <f t="shared" si="24"/>
        <v/>
      </c>
      <c r="V99" t="str">
        <f>IF(I99=0,VLOOKUP(T99,Sheet4!A:B,2,TRUE),"")</f>
        <v/>
      </c>
      <c r="W99" t="s">
        <v>4751</v>
      </c>
      <c r="X99" t="s">
        <v>3175</v>
      </c>
      <c r="Y99" s="9"/>
      <c r="Z99" s="10" t="s">
        <v>1716</v>
      </c>
      <c r="AA99" t="s">
        <v>4832</v>
      </c>
      <c r="AC99" t="str">
        <f t="shared" si="25"/>
        <v/>
      </c>
      <c r="AD99" t="str">
        <f t="shared" si="16"/>
        <v>破壊された</v>
      </c>
      <c r="AE99" t="str">
        <f t="shared" si="26"/>
        <v/>
      </c>
      <c r="AF99" t="str">
        <f t="shared" si="27"/>
        <v/>
      </c>
      <c r="AG99" t="b">
        <f t="shared" si="14"/>
        <v>0</v>
      </c>
      <c r="AH99" s="3">
        <v>464</v>
      </c>
      <c r="AI99" s="2" t="s">
        <v>3170</v>
      </c>
      <c r="AJ99" s="1" t="s">
        <v>292</v>
      </c>
      <c r="AK99" s="1" t="s">
        <v>1441</v>
      </c>
      <c r="AL99" s="1">
        <v>11</v>
      </c>
      <c r="AM99" s="1" t="s">
        <v>1719</v>
      </c>
      <c r="AN99" s="1" t="s">
        <v>1718</v>
      </c>
      <c r="AO99" s="1" t="s">
        <v>339</v>
      </c>
      <c r="AP99" s="1"/>
      <c r="AQ99" s="1">
        <v>5</v>
      </c>
      <c r="AR99" s="1">
        <v>6</v>
      </c>
      <c r="AS99" s="1" t="s">
        <v>1716</v>
      </c>
    </row>
    <row r="100" spans="1:45" x14ac:dyDescent="0.15">
      <c r="A100" t="str">
        <f t="shared" si="17"/>
        <v>|BFZ|無色|2||《[[タイタンの存在]]》|</v>
      </c>
      <c r="B100" t="s">
        <v>3168</v>
      </c>
      <c r="C100" t="str">
        <f t="shared" si="18"/>
        <v>BFZ</v>
      </c>
      <c r="D100">
        <f>IF(AI100="","",VLOOKUP(C100,tnpl!$Z$1:$AA$11,2,TRUE))</f>
        <v>2</v>
      </c>
      <c r="E100" t="s">
        <v>3168</v>
      </c>
      <c r="F100" t="str">
        <f t="shared" si="19"/>
        <v>無色</v>
      </c>
      <c r="G100">
        <f>IF(AJ100="","",VLOOKUP(F100,tnpl!$X$1:$Y$16,2,TRUE))</f>
        <v>16</v>
      </c>
      <c r="H100" t="s">
        <v>3168</v>
      </c>
      <c r="I100">
        <f t="shared" si="20"/>
        <v>2</v>
      </c>
      <c r="J100" t="s">
        <v>3168</v>
      </c>
      <c r="K100">
        <f t="shared" si="21"/>
        <v>0</v>
      </c>
      <c r="L100">
        <f t="shared" si="22"/>
        <v>0</v>
      </c>
      <c r="M100" t="str">
        <f t="shared" si="15"/>
        <v/>
      </c>
      <c r="R100" t="s">
        <v>3175</v>
      </c>
      <c r="S100" t="s">
        <v>4750</v>
      </c>
      <c r="T100" t="str">
        <f t="shared" si="23"/>
        <v>タイタンの存在</v>
      </c>
      <c r="U100" t="str">
        <f t="shared" si="24"/>
        <v/>
      </c>
      <c r="V100" t="str">
        <f>IF(I100=0,VLOOKUP(T100,Sheet4!A:B,2,TRUE),"")</f>
        <v/>
      </c>
      <c r="W100" t="s">
        <v>4751</v>
      </c>
      <c r="X100" t="s">
        <v>3175</v>
      </c>
      <c r="Y100" s="9"/>
      <c r="Z100" s="10" t="s">
        <v>1695</v>
      </c>
      <c r="AA100" t="s">
        <v>4825</v>
      </c>
      <c r="AC100" t="str">
        <f t="shared" si="25"/>
        <v>破壊する</v>
      </c>
      <c r="AD100" t="str">
        <f t="shared" si="16"/>
        <v/>
      </c>
      <c r="AE100" t="str">
        <f t="shared" si="26"/>
        <v/>
      </c>
      <c r="AF100" t="str">
        <f t="shared" si="27"/>
        <v/>
      </c>
      <c r="AG100" t="b">
        <f t="shared" si="14"/>
        <v>0</v>
      </c>
      <c r="AH100" s="3">
        <v>471</v>
      </c>
      <c r="AI100" s="2" t="s">
        <v>3170</v>
      </c>
      <c r="AJ100" s="1" t="s">
        <v>292</v>
      </c>
      <c r="AK100" s="1" t="s">
        <v>1441</v>
      </c>
      <c r="AL100" s="1">
        <v>2</v>
      </c>
      <c r="AM100" s="1" t="s">
        <v>1697</v>
      </c>
      <c r="AN100" s="1" t="s">
        <v>1696</v>
      </c>
      <c r="AO100" s="1" t="s">
        <v>1453</v>
      </c>
      <c r="AP100" s="1"/>
      <c r="AQ100" s="1"/>
      <c r="AR100" s="1"/>
      <c r="AS100" s="1" t="s">
        <v>1695</v>
      </c>
    </row>
    <row r="101" spans="1:45" x14ac:dyDescent="0.15">
      <c r="A101" t="str">
        <f t="shared" si="17"/>
        <v>|OGW|白|17|4/4|《[[岩屋の装備役]]》|</v>
      </c>
      <c r="B101" t="s">
        <v>3168</v>
      </c>
      <c r="C101" t="str">
        <f t="shared" si="18"/>
        <v>OGW</v>
      </c>
      <c r="D101">
        <f>IF(AI101="","",VLOOKUP(C101,tnpl!$Z$1:$AA$11,2,TRUE))</f>
        <v>3</v>
      </c>
      <c r="E101" t="s">
        <v>3168</v>
      </c>
      <c r="F101" t="str">
        <f t="shared" si="19"/>
        <v>白</v>
      </c>
      <c r="G101">
        <f>IF(AJ101="","",VLOOKUP(F101,tnpl!$X$1:$Y$16,2,TRUE))</f>
        <v>1</v>
      </c>
      <c r="H101" t="s">
        <v>3168</v>
      </c>
      <c r="I101">
        <f t="shared" si="20"/>
        <v>17</v>
      </c>
      <c r="J101" t="s">
        <v>3168</v>
      </c>
      <c r="K101">
        <f t="shared" si="21"/>
        <v>4</v>
      </c>
      <c r="L101">
        <f t="shared" si="22"/>
        <v>4</v>
      </c>
      <c r="M101" t="str">
        <f t="shared" si="15"/>
        <v>4/4</v>
      </c>
      <c r="R101" t="s">
        <v>3175</v>
      </c>
      <c r="S101" t="s">
        <v>4750</v>
      </c>
      <c r="T101" t="str">
        <f t="shared" si="23"/>
        <v>岩屋の装備役</v>
      </c>
      <c r="U101" t="str">
        <f t="shared" si="24"/>
        <v/>
      </c>
      <c r="V101" t="str">
        <f>IF(I101=0,VLOOKUP(T101,Sheet4!A:B,2,TRUE),"")</f>
        <v/>
      </c>
      <c r="W101" t="s">
        <v>4751</v>
      </c>
      <c r="X101" t="s">
        <v>3175</v>
      </c>
      <c r="Y101" s="9"/>
      <c r="Z101" s="10" t="s">
        <v>1638</v>
      </c>
      <c r="AA101" t="s">
        <v>4757</v>
      </c>
      <c r="AC101" t="str">
        <f t="shared" si="25"/>
        <v/>
      </c>
      <c r="AD101" t="str">
        <f t="shared" si="16"/>
        <v>破壊された</v>
      </c>
      <c r="AE101" t="str">
        <f t="shared" si="26"/>
        <v/>
      </c>
      <c r="AF101" t="str">
        <f t="shared" si="27"/>
        <v/>
      </c>
      <c r="AG101" t="b">
        <f t="shared" si="14"/>
        <v>0</v>
      </c>
      <c r="AH101" s="3">
        <v>489</v>
      </c>
      <c r="AI101" s="2" t="s">
        <v>3171</v>
      </c>
      <c r="AJ101" s="1" t="s">
        <v>1627</v>
      </c>
      <c r="AK101" s="1" t="s">
        <v>1441</v>
      </c>
      <c r="AL101" s="1">
        <v>17</v>
      </c>
      <c r="AM101" s="1" t="s">
        <v>1643</v>
      </c>
      <c r="AN101" s="1" t="s">
        <v>1642</v>
      </c>
      <c r="AO101" s="1" t="s">
        <v>339</v>
      </c>
      <c r="AP101" s="1"/>
      <c r="AQ101" s="1">
        <v>4</v>
      </c>
      <c r="AR101" s="1">
        <v>4</v>
      </c>
      <c r="AS101" s="1" t="s">
        <v>1638</v>
      </c>
    </row>
    <row r="102" spans="1:45" x14ac:dyDescent="0.15">
      <c r="A102" t="str">
        <f t="shared" si="17"/>
        <v>|OGW|青|11|3/4|《[[竜巻の種父]]》|</v>
      </c>
      <c r="B102" t="s">
        <v>3168</v>
      </c>
      <c r="C102" t="str">
        <f t="shared" si="18"/>
        <v>OGW</v>
      </c>
      <c r="D102">
        <f>IF(AI102="","",VLOOKUP(C102,tnpl!$Z$1:$AA$11,2,TRUE))</f>
        <v>3</v>
      </c>
      <c r="E102" t="s">
        <v>3168</v>
      </c>
      <c r="F102" t="str">
        <f t="shared" si="19"/>
        <v>青</v>
      </c>
      <c r="G102">
        <f>IF(AJ102="","",VLOOKUP(F102,tnpl!$X$1:$Y$16,2,TRUE))</f>
        <v>2</v>
      </c>
      <c r="H102" t="s">
        <v>3168</v>
      </c>
      <c r="I102">
        <f t="shared" si="20"/>
        <v>11</v>
      </c>
      <c r="J102" t="s">
        <v>3168</v>
      </c>
      <c r="K102">
        <f t="shared" si="21"/>
        <v>3</v>
      </c>
      <c r="L102">
        <f t="shared" si="22"/>
        <v>4</v>
      </c>
      <c r="M102" t="str">
        <f t="shared" si="15"/>
        <v>3/4</v>
      </c>
      <c r="R102" t="s">
        <v>3175</v>
      </c>
      <c r="S102" t="s">
        <v>4750</v>
      </c>
      <c r="T102" t="str">
        <f t="shared" si="23"/>
        <v>竜巻の種父</v>
      </c>
      <c r="U102" t="str">
        <f t="shared" si="24"/>
        <v/>
      </c>
      <c r="V102" t="str">
        <f>IF(I102=0,VLOOKUP(T102,Sheet4!A:B,2,TRUE),"")</f>
        <v/>
      </c>
      <c r="W102" t="s">
        <v>4751</v>
      </c>
      <c r="X102" t="s">
        <v>3175</v>
      </c>
      <c r="Y102" s="9"/>
      <c r="Z102" s="10" t="s">
        <v>3402</v>
      </c>
      <c r="AA102" t="s">
        <v>4757</v>
      </c>
      <c r="AC102" t="str">
        <f t="shared" si="25"/>
        <v/>
      </c>
      <c r="AD102" t="str">
        <f t="shared" si="16"/>
        <v>破壊された</v>
      </c>
      <c r="AE102" t="str">
        <f t="shared" si="26"/>
        <v/>
      </c>
      <c r="AF102" t="str">
        <f t="shared" si="27"/>
        <v/>
      </c>
      <c r="AG102" t="b">
        <f t="shared" si="14"/>
        <v>0</v>
      </c>
      <c r="AH102" s="3">
        <v>493</v>
      </c>
      <c r="AI102" s="2" t="s">
        <v>3171</v>
      </c>
      <c r="AJ102" s="1" t="s">
        <v>1606</v>
      </c>
      <c r="AK102" s="1" t="s">
        <v>1451</v>
      </c>
      <c r="AL102" s="1">
        <v>11</v>
      </c>
      <c r="AM102" s="1" t="s">
        <v>1622</v>
      </c>
      <c r="AN102" s="1" t="s">
        <v>1621</v>
      </c>
      <c r="AO102" s="1" t="s">
        <v>339</v>
      </c>
      <c r="AP102" s="1"/>
      <c r="AQ102" s="1">
        <v>3</v>
      </c>
      <c r="AR102" s="1">
        <v>4</v>
      </c>
      <c r="AS102" s="1" t="s">
        <v>3402</v>
      </c>
    </row>
    <row r="103" spans="1:45" x14ac:dyDescent="0.15">
      <c r="A103" t="str">
        <f t="shared" si="17"/>
        <v>|OGW|青|21||《[[押し潰す触手]]》|</v>
      </c>
      <c r="B103" t="s">
        <v>3168</v>
      </c>
      <c r="C103" t="str">
        <f t="shared" si="18"/>
        <v>OGW</v>
      </c>
      <c r="D103">
        <f>IF(AI103="","",VLOOKUP(C103,tnpl!$Z$1:$AA$11,2,TRUE))</f>
        <v>3</v>
      </c>
      <c r="E103" t="s">
        <v>3168</v>
      </c>
      <c r="F103" t="str">
        <f t="shared" si="19"/>
        <v>青</v>
      </c>
      <c r="G103">
        <f>IF(AJ103="","",VLOOKUP(F103,tnpl!$X$1:$Y$16,2,TRUE))</f>
        <v>2</v>
      </c>
      <c r="H103" t="s">
        <v>3168</v>
      </c>
      <c r="I103">
        <f t="shared" si="20"/>
        <v>21</v>
      </c>
      <c r="J103" t="s">
        <v>3168</v>
      </c>
      <c r="K103">
        <f t="shared" si="21"/>
        <v>0</v>
      </c>
      <c r="L103">
        <f t="shared" si="22"/>
        <v>0</v>
      </c>
      <c r="M103" t="str">
        <f t="shared" si="15"/>
        <v/>
      </c>
      <c r="R103" t="s">
        <v>3175</v>
      </c>
      <c r="S103" t="s">
        <v>4750</v>
      </c>
      <c r="T103" t="str">
        <f t="shared" si="23"/>
        <v>押し潰す触手</v>
      </c>
      <c r="U103" t="str">
        <f t="shared" si="24"/>
        <v/>
      </c>
      <c r="V103" t="str">
        <f>IF(I103=0,VLOOKUP(T103,Sheet4!A:B,2,TRUE),"")</f>
        <v/>
      </c>
      <c r="W103" t="s">
        <v>4751</v>
      </c>
      <c r="X103" t="s">
        <v>3175</v>
      </c>
      <c r="Y103" s="9"/>
      <c r="Z103" s="10" t="s">
        <v>1601</v>
      </c>
      <c r="AA103" t="s">
        <v>3167</v>
      </c>
      <c r="AC103" t="str">
        <f t="shared" si="25"/>
        <v/>
      </c>
      <c r="AD103" t="str">
        <f t="shared" si="16"/>
        <v/>
      </c>
      <c r="AE103" t="str">
        <f t="shared" si="26"/>
        <v>破壊される</v>
      </c>
      <c r="AF103" t="str">
        <f t="shared" si="27"/>
        <v/>
      </c>
      <c r="AG103" t="b">
        <f t="shared" si="14"/>
        <v>0</v>
      </c>
      <c r="AH103" s="3">
        <v>497</v>
      </c>
      <c r="AI103" s="2" t="s">
        <v>3171</v>
      </c>
      <c r="AJ103" s="1" t="s">
        <v>1606</v>
      </c>
      <c r="AK103" s="1" t="s">
        <v>1431</v>
      </c>
      <c r="AL103" s="1">
        <v>21</v>
      </c>
      <c r="AM103" s="1" t="s">
        <v>1605</v>
      </c>
      <c r="AN103" s="1" t="s">
        <v>1604</v>
      </c>
      <c r="AO103" s="1" t="s">
        <v>1453</v>
      </c>
      <c r="AP103" s="1"/>
      <c r="AQ103" s="1"/>
      <c r="AR103" s="1"/>
      <c r="AS103" s="1" t="s">
        <v>1601</v>
      </c>
    </row>
    <row r="104" spans="1:45" x14ac:dyDescent="0.15">
      <c r="A104" t="str">
        <f t="shared" si="17"/>
        <v>|OGW|黒|20||《[[無情な処罰]]》|</v>
      </c>
      <c r="B104" t="s">
        <v>3168</v>
      </c>
      <c r="C104" t="str">
        <f t="shared" si="18"/>
        <v>OGW</v>
      </c>
      <c r="D104">
        <f>IF(AI104="","",VLOOKUP(C104,tnpl!$Z$1:$AA$11,2,TRUE))</f>
        <v>3</v>
      </c>
      <c r="E104" t="s">
        <v>3168</v>
      </c>
      <c r="F104" t="str">
        <f t="shared" si="19"/>
        <v>黒</v>
      </c>
      <c r="G104">
        <f>IF(AJ104="","",VLOOKUP(F104,tnpl!$X$1:$Y$16,2,TRUE))</f>
        <v>3</v>
      </c>
      <c r="H104" t="s">
        <v>3168</v>
      </c>
      <c r="I104">
        <f t="shared" si="20"/>
        <v>20</v>
      </c>
      <c r="J104" t="s">
        <v>3168</v>
      </c>
      <c r="K104">
        <f t="shared" si="21"/>
        <v>0</v>
      </c>
      <c r="L104">
        <f t="shared" si="22"/>
        <v>0</v>
      </c>
      <c r="M104" t="str">
        <f t="shared" si="15"/>
        <v/>
      </c>
      <c r="R104" t="s">
        <v>3175</v>
      </c>
      <c r="S104" t="s">
        <v>4750</v>
      </c>
      <c r="T104" t="str">
        <f t="shared" si="23"/>
        <v>無情な処罰</v>
      </c>
      <c r="U104" t="str">
        <f t="shared" si="24"/>
        <v/>
      </c>
      <c r="V104" t="str">
        <f>IF(I104=0,VLOOKUP(T104,Sheet4!A:B,2,TRUE),"")</f>
        <v/>
      </c>
      <c r="W104" t="s">
        <v>4751</v>
      </c>
      <c r="X104" t="s">
        <v>3175</v>
      </c>
      <c r="Y104" s="9"/>
      <c r="Z104" s="10" t="s">
        <v>1587</v>
      </c>
      <c r="AA104" t="s">
        <v>4825</v>
      </c>
      <c r="AB104" t="s">
        <v>4827</v>
      </c>
      <c r="AC104" t="str">
        <f t="shared" si="25"/>
        <v>破壊する</v>
      </c>
      <c r="AD104" t="str">
        <f t="shared" si="16"/>
        <v/>
      </c>
      <c r="AE104" t="str">
        <f t="shared" si="26"/>
        <v/>
      </c>
      <c r="AF104" t="str">
        <f t="shared" si="27"/>
        <v/>
      </c>
      <c r="AG104" t="b">
        <f t="shared" si="14"/>
        <v>0</v>
      </c>
      <c r="AH104" s="3">
        <v>501</v>
      </c>
      <c r="AI104" s="2" t="s">
        <v>3171</v>
      </c>
      <c r="AJ104" s="1" t="s">
        <v>1582</v>
      </c>
      <c r="AK104" s="1" t="s">
        <v>1441</v>
      </c>
      <c r="AL104" s="1">
        <v>20</v>
      </c>
      <c r="AM104" s="1" t="s">
        <v>1591</v>
      </c>
      <c r="AN104" s="1" t="s">
        <v>1590</v>
      </c>
      <c r="AO104" s="1" t="s">
        <v>1453</v>
      </c>
      <c r="AP104" s="1"/>
      <c r="AQ104" s="1"/>
      <c r="AR104" s="1"/>
      <c r="AS104" s="1" t="s">
        <v>1587</v>
      </c>
    </row>
    <row r="105" spans="1:45" x14ac:dyDescent="0.15">
      <c r="A105" t="str">
        <f t="shared" si="17"/>
        <v>|OGW|黒|12|3/4|《[[ゲトの裏切り者、カリタス]]》|</v>
      </c>
      <c r="B105" t="s">
        <v>3168</v>
      </c>
      <c r="C105" t="str">
        <f t="shared" si="18"/>
        <v>OGW</v>
      </c>
      <c r="D105">
        <f>IF(AI105="","",VLOOKUP(C105,tnpl!$Z$1:$AA$11,2,TRUE))</f>
        <v>3</v>
      </c>
      <c r="E105" t="s">
        <v>3168</v>
      </c>
      <c r="F105" t="str">
        <f t="shared" si="19"/>
        <v>黒</v>
      </c>
      <c r="G105">
        <f>IF(AJ105="","",VLOOKUP(F105,tnpl!$X$1:$Y$16,2,TRUE))</f>
        <v>3</v>
      </c>
      <c r="H105" t="s">
        <v>3168</v>
      </c>
      <c r="I105">
        <f t="shared" si="20"/>
        <v>12</v>
      </c>
      <c r="J105" t="s">
        <v>3168</v>
      </c>
      <c r="K105">
        <f t="shared" si="21"/>
        <v>3</v>
      </c>
      <c r="L105">
        <f t="shared" si="22"/>
        <v>4</v>
      </c>
      <c r="M105" t="str">
        <f t="shared" si="15"/>
        <v>3/4</v>
      </c>
      <c r="R105" t="s">
        <v>3175</v>
      </c>
      <c r="S105" t="s">
        <v>4750</v>
      </c>
      <c r="T105" t="str">
        <f t="shared" si="23"/>
        <v>ゲトの裏切り者、カリタス</v>
      </c>
      <c r="U105" t="str">
        <f t="shared" si="24"/>
        <v/>
      </c>
      <c r="V105" t="str">
        <f>IF(I105=0,VLOOKUP(T105,Sheet4!A:B,2,TRUE),"")</f>
        <v/>
      </c>
      <c r="W105" t="s">
        <v>4751</v>
      </c>
      <c r="X105" t="s">
        <v>3175</v>
      </c>
      <c r="Y105" s="9"/>
      <c r="Z105" s="10" t="s">
        <v>3408</v>
      </c>
      <c r="AA105" t="s">
        <v>4757</v>
      </c>
      <c r="AC105" t="str">
        <f t="shared" si="25"/>
        <v/>
      </c>
      <c r="AD105" t="str">
        <f t="shared" si="16"/>
        <v>破壊された</v>
      </c>
      <c r="AE105" t="str">
        <f t="shared" si="26"/>
        <v/>
      </c>
      <c r="AF105" t="str">
        <f t="shared" si="27"/>
        <v/>
      </c>
      <c r="AG105" t="b">
        <f t="shared" si="14"/>
        <v>0</v>
      </c>
      <c r="AH105" s="3">
        <v>503</v>
      </c>
      <c r="AI105" s="2" t="s">
        <v>3171</v>
      </c>
      <c r="AJ105" s="1" t="s">
        <v>1582</v>
      </c>
      <c r="AK105" s="1" t="s">
        <v>1431</v>
      </c>
      <c r="AL105" s="1">
        <v>12</v>
      </c>
      <c r="AM105" s="1" t="s">
        <v>1581</v>
      </c>
      <c r="AN105" s="1" t="s">
        <v>1580</v>
      </c>
      <c r="AO105" s="1" t="s">
        <v>339</v>
      </c>
      <c r="AP105" s="1"/>
      <c r="AQ105" s="1">
        <v>3</v>
      </c>
      <c r="AR105" s="1">
        <v>4</v>
      </c>
      <c r="AS105" s="1" t="s">
        <v>3408</v>
      </c>
    </row>
    <row r="106" spans="1:45" x14ac:dyDescent="0.15">
      <c r="A106" t="str">
        <f t="shared" si="17"/>
        <v>|OGW|緑|21|5/4|《[[産み落とす巨体]]》|</v>
      </c>
      <c r="B106" t="s">
        <v>3168</v>
      </c>
      <c r="C106" t="str">
        <f t="shared" si="18"/>
        <v>OGW</v>
      </c>
      <c r="D106">
        <f>IF(AI106="","",VLOOKUP(C106,tnpl!$Z$1:$AA$11,2,TRUE))</f>
        <v>3</v>
      </c>
      <c r="E106" t="s">
        <v>3168</v>
      </c>
      <c r="F106" t="str">
        <f t="shared" si="19"/>
        <v>緑</v>
      </c>
      <c r="G106">
        <f>IF(AJ106="","",VLOOKUP(F106,tnpl!$X$1:$Y$16,2,TRUE))</f>
        <v>5</v>
      </c>
      <c r="H106" t="s">
        <v>3168</v>
      </c>
      <c r="I106">
        <f t="shared" si="20"/>
        <v>21</v>
      </c>
      <c r="J106" t="s">
        <v>3168</v>
      </c>
      <c r="K106">
        <f t="shared" si="21"/>
        <v>5</v>
      </c>
      <c r="L106">
        <f t="shared" si="22"/>
        <v>4</v>
      </c>
      <c r="M106" t="str">
        <f t="shared" si="15"/>
        <v>5/4</v>
      </c>
      <c r="R106" t="s">
        <v>3175</v>
      </c>
      <c r="S106" t="s">
        <v>4750</v>
      </c>
      <c r="T106" t="str">
        <f t="shared" si="23"/>
        <v>産み落とす巨体</v>
      </c>
      <c r="U106" t="str">
        <f t="shared" si="24"/>
        <v/>
      </c>
      <c r="V106" t="str">
        <f>IF(I106=0,VLOOKUP(T106,Sheet4!A:B,2,TRUE),"")</f>
        <v/>
      </c>
      <c r="W106" t="s">
        <v>4751</v>
      </c>
      <c r="X106" t="s">
        <v>3175</v>
      </c>
      <c r="Y106" s="9"/>
      <c r="Z106" s="10" t="s">
        <v>3413</v>
      </c>
      <c r="AA106" t="s">
        <v>4832</v>
      </c>
      <c r="AC106" t="str">
        <f t="shared" si="25"/>
        <v/>
      </c>
      <c r="AD106" t="str">
        <f t="shared" si="16"/>
        <v>破壊された</v>
      </c>
      <c r="AE106" t="str">
        <f t="shared" si="26"/>
        <v/>
      </c>
      <c r="AF106" t="str">
        <f t="shared" si="27"/>
        <v/>
      </c>
      <c r="AG106" t="b">
        <f t="shared" si="14"/>
        <v>0</v>
      </c>
      <c r="AH106" s="3">
        <v>511</v>
      </c>
      <c r="AI106" s="2" t="s">
        <v>3171</v>
      </c>
      <c r="AJ106" s="1" t="s">
        <v>1518</v>
      </c>
      <c r="AK106" s="1" t="s">
        <v>1451</v>
      </c>
      <c r="AL106" s="1">
        <v>21</v>
      </c>
      <c r="AM106" s="1" t="s">
        <v>1547</v>
      </c>
      <c r="AN106" s="1" t="s">
        <v>1546</v>
      </c>
      <c r="AO106" s="1" t="s">
        <v>339</v>
      </c>
      <c r="AP106" s="1"/>
      <c r="AQ106" s="1">
        <v>5</v>
      </c>
      <c r="AR106" s="1">
        <v>4</v>
      </c>
      <c r="AS106" s="1" t="s">
        <v>3413</v>
      </c>
    </row>
    <row r="107" spans="1:45" x14ac:dyDescent="0.15">
      <c r="A107" t="str">
        <f t="shared" si="17"/>
        <v>|OGW|緑|16|3/4|《[[種子の守護者]]》|</v>
      </c>
      <c r="B107" t="s">
        <v>3168</v>
      </c>
      <c r="C107" t="str">
        <f t="shared" si="18"/>
        <v>OGW</v>
      </c>
      <c r="D107">
        <f>IF(AI107="","",VLOOKUP(C107,tnpl!$Z$1:$AA$11,2,TRUE))</f>
        <v>3</v>
      </c>
      <c r="E107" t="s">
        <v>3168</v>
      </c>
      <c r="F107" t="str">
        <f t="shared" si="19"/>
        <v>緑</v>
      </c>
      <c r="G107">
        <f>IF(AJ107="","",VLOOKUP(F107,tnpl!$X$1:$Y$16,2,TRUE))</f>
        <v>5</v>
      </c>
      <c r="H107" t="s">
        <v>3168</v>
      </c>
      <c r="I107">
        <f t="shared" si="20"/>
        <v>16</v>
      </c>
      <c r="J107" t="s">
        <v>3168</v>
      </c>
      <c r="K107">
        <f t="shared" si="21"/>
        <v>3</v>
      </c>
      <c r="L107">
        <f t="shared" si="22"/>
        <v>4</v>
      </c>
      <c r="M107" t="str">
        <f t="shared" si="15"/>
        <v>3/4</v>
      </c>
      <c r="R107" t="s">
        <v>3175</v>
      </c>
      <c r="S107" t="s">
        <v>4750</v>
      </c>
      <c r="T107" t="str">
        <f t="shared" si="23"/>
        <v>種子の守護者</v>
      </c>
      <c r="U107" t="str">
        <f t="shared" si="24"/>
        <v/>
      </c>
      <c r="V107" t="str">
        <f>IF(I107=0,VLOOKUP(T107,Sheet4!A:B,2,TRUE),"")</f>
        <v/>
      </c>
      <c r="W107" t="s">
        <v>4751</v>
      </c>
      <c r="X107" t="s">
        <v>3175</v>
      </c>
      <c r="Y107" s="9"/>
      <c r="Z107" s="10" t="s">
        <v>3415</v>
      </c>
      <c r="AA107" t="s">
        <v>4757</v>
      </c>
      <c r="AC107" t="str">
        <f t="shared" si="25"/>
        <v/>
      </c>
      <c r="AD107" t="str">
        <f t="shared" si="16"/>
        <v>破壊された</v>
      </c>
      <c r="AE107" t="str">
        <f t="shared" si="26"/>
        <v/>
      </c>
      <c r="AF107" t="str">
        <f t="shared" si="27"/>
        <v/>
      </c>
      <c r="AG107" t="b">
        <f t="shared" si="14"/>
        <v>0</v>
      </c>
      <c r="AH107" s="3">
        <v>513</v>
      </c>
      <c r="AI107" s="2" t="s">
        <v>3171</v>
      </c>
      <c r="AJ107" s="1" t="s">
        <v>1518</v>
      </c>
      <c r="AK107" s="1" t="s">
        <v>1451</v>
      </c>
      <c r="AL107" s="1">
        <v>16</v>
      </c>
      <c r="AM107" s="1" t="s">
        <v>1539</v>
      </c>
      <c r="AN107" s="1" t="s">
        <v>1538</v>
      </c>
      <c r="AO107" s="1" t="s">
        <v>339</v>
      </c>
      <c r="AP107" s="1"/>
      <c r="AQ107" s="1">
        <v>3</v>
      </c>
      <c r="AR107" s="1">
        <v>4</v>
      </c>
      <c r="AS107" s="1" t="s">
        <v>3415</v>
      </c>
    </row>
    <row r="108" spans="1:45" x14ac:dyDescent="0.15">
      <c r="A108" t="str">
        <f t="shared" si="17"/>
        <v>|OGW|緑|25|5/7|《[[世界を壊すもの]]》|</v>
      </c>
      <c r="B108" t="s">
        <v>3168</v>
      </c>
      <c r="C108" t="str">
        <f t="shared" si="18"/>
        <v>OGW</v>
      </c>
      <c r="D108">
        <f>IF(AI108="","",VLOOKUP(C108,tnpl!$Z$1:$AA$11,2,TRUE))</f>
        <v>3</v>
      </c>
      <c r="E108" t="s">
        <v>3168</v>
      </c>
      <c r="F108" t="str">
        <f t="shared" si="19"/>
        <v>緑</v>
      </c>
      <c r="G108">
        <f>IF(AJ108="","",VLOOKUP(F108,tnpl!$X$1:$Y$16,2,TRUE))</f>
        <v>5</v>
      </c>
      <c r="H108" t="s">
        <v>3168</v>
      </c>
      <c r="I108">
        <f t="shared" si="20"/>
        <v>25</v>
      </c>
      <c r="J108" t="s">
        <v>3168</v>
      </c>
      <c r="K108">
        <f t="shared" si="21"/>
        <v>5</v>
      </c>
      <c r="L108">
        <f t="shared" si="22"/>
        <v>7</v>
      </c>
      <c r="M108" t="str">
        <f t="shared" si="15"/>
        <v>5/7</v>
      </c>
      <c r="R108" t="s">
        <v>3175</v>
      </c>
      <c r="S108" t="s">
        <v>4750</v>
      </c>
      <c r="T108" t="str">
        <f t="shared" si="23"/>
        <v>世界を壊すもの</v>
      </c>
      <c r="U108" t="str">
        <f t="shared" si="24"/>
        <v/>
      </c>
      <c r="V108" t="str">
        <f>IF(I108=0,VLOOKUP(T108,Sheet4!A:B,2,TRUE),"")</f>
        <v/>
      </c>
      <c r="W108" t="s">
        <v>4751</v>
      </c>
      <c r="X108" t="s">
        <v>3175</v>
      </c>
      <c r="Y108" s="9"/>
      <c r="Z108" s="10" t="s">
        <v>3418</v>
      </c>
      <c r="AA108" t="s">
        <v>4828</v>
      </c>
      <c r="AB108" t="s">
        <v>4830</v>
      </c>
      <c r="AC108" t="str">
        <f t="shared" si="25"/>
        <v>破壊する</v>
      </c>
      <c r="AD108" t="str">
        <f t="shared" si="16"/>
        <v>破壊された</v>
      </c>
      <c r="AE108" t="str">
        <f t="shared" si="26"/>
        <v/>
      </c>
      <c r="AF108" t="str">
        <f t="shared" si="27"/>
        <v/>
      </c>
      <c r="AG108" t="b">
        <f t="shared" si="14"/>
        <v>0</v>
      </c>
      <c r="AH108" s="3">
        <v>517</v>
      </c>
      <c r="AI108" s="2" t="s">
        <v>3171</v>
      </c>
      <c r="AJ108" s="1" t="s">
        <v>1518</v>
      </c>
      <c r="AK108" s="1" t="s">
        <v>1431</v>
      </c>
      <c r="AL108" s="1">
        <v>25</v>
      </c>
      <c r="AM108" s="1" t="s">
        <v>1522</v>
      </c>
      <c r="AN108" s="1" t="s">
        <v>1521</v>
      </c>
      <c r="AO108" s="1" t="s">
        <v>339</v>
      </c>
      <c r="AP108" s="1"/>
      <c r="AQ108" s="1">
        <v>5</v>
      </c>
      <c r="AR108" s="1">
        <v>7</v>
      </c>
      <c r="AS108" s="1" t="s">
        <v>3418</v>
      </c>
    </row>
    <row r="109" spans="1:45" x14ac:dyDescent="0.15">
      <c r="A109" t="str">
        <f t="shared" si="17"/>
        <v>|OGW|黒緑|17|4/5|《[[ベイロスの虚身]]》|</v>
      </c>
      <c r="B109" t="s">
        <v>3168</v>
      </c>
      <c r="C109" t="str">
        <f t="shared" si="18"/>
        <v>OGW</v>
      </c>
      <c r="D109">
        <f>IF(AI109="","",VLOOKUP(C109,tnpl!$Z$1:$AA$11,2,TRUE))</f>
        <v>3</v>
      </c>
      <c r="E109" t="s">
        <v>3168</v>
      </c>
      <c r="F109" t="str">
        <f t="shared" si="19"/>
        <v>黒緑</v>
      </c>
      <c r="G109">
        <f>IF(AJ109="","",VLOOKUP(F109,tnpl!$X$1:$Y$16,2,TRUE))</f>
        <v>13</v>
      </c>
      <c r="H109" t="s">
        <v>3168</v>
      </c>
      <c r="I109">
        <f t="shared" si="20"/>
        <v>17</v>
      </c>
      <c r="J109" t="s">
        <v>3168</v>
      </c>
      <c r="K109">
        <f t="shared" si="21"/>
        <v>4</v>
      </c>
      <c r="L109">
        <f t="shared" si="22"/>
        <v>5</v>
      </c>
      <c r="M109" t="str">
        <f t="shared" si="15"/>
        <v>4/5</v>
      </c>
      <c r="R109" t="s">
        <v>3175</v>
      </c>
      <c r="S109" t="s">
        <v>4750</v>
      </c>
      <c r="T109" t="str">
        <f t="shared" si="23"/>
        <v>ベイロスの虚身</v>
      </c>
      <c r="U109" t="str">
        <f t="shared" si="24"/>
        <v/>
      </c>
      <c r="V109" t="str">
        <f>IF(I109=0,VLOOKUP(T109,Sheet4!A:B,2,TRUE),"")</f>
        <v/>
      </c>
      <c r="W109" t="s">
        <v>4751</v>
      </c>
      <c r="X109" t="s">
        <v>3175</v>
      </c>
      <c r="Y109" s="9"/>
      <c r="Z109" s="10" t="s">
        <v>1483</v>
      </c>
      <c r="AA109" t="s">
        <v>4830</v>
      </c>
      <c r="AC109" t="str">
        <f t="shared" si="25"/>
        <v/>
      </c>
      <c r="AD109" t="str">
        <f t="shared" si="16"/>
        <v>破壊された</v>
      </c>
      <c r="AE109" t="str">
        <f t="shared" si="26"/>
        <v/>
      </c>
      <c r="AF109" t="str">
        <f t="shared" si="27"/>
        <v/>
      </c>
      <c r="AG109" t="b">
        <f t="shared" si="14"/>
        <v>0</v>
      </c>
      <c r="AH109" s="3">
        <v>525</v>
      </c>
      <c r="AI109" s="2" t="s">
        <v>3171</v>
      </c>
      <c r="AJ109" s="1" t="s">
        <v>1487</v>
      </c>
      <c r="AK109" s="1" t="s">
        <v>1451</v>
      </c>
      <c r="AL109" s="1">
        <v>17</v>
      </c>
      <c r="AM109" s="1" t="s">
        <v>1486</v>
      </c>
      <c r="AN109" s="1" t="s">
        <v>1485</v>
      </c>
      <c r="AO109" s="1" t="s">
        <v>339</v>
      </c>
      <c r="AP109" s="1"/>
      <c r="AQ109" s="1">
        <v>4</v>
      </c>
      <c r="AR109" s="1">
        <v>5</v>
      </c>
      <c r="AS109" s="1" t="s">
        <v>1483</v>
      </c>
    </row>
    <row r="110" spans="1:45" x14ac:dyDescent="0.15">
      <c r="A110" t="str">
        <f t="shared" si="17"/>
        <v>|OGW|白黒|16|5/6|《[[永代巡礼者、アイリ]]》|</v>
      </c>
      <c r="B110" t="s">
        <v>3168</v>
      </c>
      <c r="C110" t="str">
        <f t="shared" si="18"/>
        <v>OGW</v>
      </c>
      <c r="D110">
        <f>IF(AI110="","",VLOOKUP(C110,tnpl!$Z$1:$AA$11,2,TRUE))</f>
        <v>3</v>
      </c>
      <c r="E110" t="s">
        <v>3168</v>
      </c>
      <c r="F110" t="str">
        <f t="shared" si="19"/>
        <v>白黒</v>
      </c>
      <c r="G110">
        <f>IF(AJ110="","",VLOOKUP(F110,tnpl!$X$1:$Y$16,2,TRUE))</f>
        <v>11</v>
      </c>
      <c r="H110" t="s">
        <v>3168</v>
      </c>
      <c r="I110">
        <f t="shared" si="20"/>
        <v>16</v>
      </c>
      <c r="J110" t="s">
        <v>3168</v>
      </c>
      <c r="K110">
        <f t="shared" si="21"/>
        <v>5</v>
      </c>
      <c r="L110">
        <f t="shared" si="22"/>
        <v>6</v>
      </c>
      <c r="M110" t="str">
        <f t="shared" si="15"/>
        <v>5/6</v>
      </c>
      <c r="R110" t="s">
        <v>3175</v>
      </c>
      <c r="S110" t="s">
        <v>4750</v>
      </c>
      <c r="T110" t="str">
        <f t="shared" si="23"/>
        <v>永代巡礼者、アイリ</v>
      </c>
      <c r="U110" t="str">
        <f t="shared" si="24"/>
        <v/>
      </c>
      <c r="V110" t="str">
        <f>IF(I110=0,VLOOKUP(T110,Sheet4!A:B,2,TRUE),"")</f>
        <v/>
      </c>
      <c r="W110" t="s">
        <v>4751</v>
      </c>
      <c r="X110" t="s">
        <v>3175</v>
      </c>
      <c r="Y110" s="9"/>
      <c r="Z110" s="10" t="s">
        <v>3426</v>
      </c>
      <c r="AA110" t="s">
        <v>4825</v>
      </c>
      <c r="AC110" t="str">
        <f t="shared" si="25"/>
        <v>破壊する</v>
      </c>
      <c r="AD110" t="str">
        <f t="shared" si="16"/>
        <v>破壊された</v>
      </c>
      <c r="AE110" t="str">
        <f t="shared" si="26"/>
        <v/>
      </c>
      <c r="AF110" t="str">
        <f t="shared" si="27"/>
        <v/>
      </c>
      <c r="AG110" t="b">
        <f t="shared" si="14"/>
        <v>0</v>
      </c>
      <c r="AH110" s="3">
        <v>527</v>
      </c>
      <c r="AI110" s="2" t="s">
        <v>3171</v>
      </c>
      <c r="AJ110" s="1" t="s">
        <v>1474</v>
      </c>
      <c r="AK110" s="1" t="s">
        <v>1441</v>
      </c>
      <c r="AL110" s="1">
        <v>16</v>
      </c>
      <c r="AM110" s="1" t="s">
        <v>1473</v>
      </c>
      <c r="AN110" s="1" t="s">
        <v>1472</v>
      </c>
      <c r="AO110" s="1" t="s">
        <v>339</v>
      </c>
      <c r="AP110" s="1"/>
      <c r="AQ110" s="1">
        <v>5</v>
      </c>
      <c r="AR110" s="1">
        <v>6</v>
      </c>
      <c r="AS110" s="1" t="s">
        <v>3426</v>
      </c>
    </row>
    <row r="111" spans="1:45" x14ac:dyDescent="0.15">
      <c r="A111" t="str">
        <f t="shared" si="17"/>
        <v>|OGW|無色|13|4/3|《[[作り変えるもの]]》|</v>
      </c>
      <c r="B111" t="s">
        <v>3168</v>
      </c>
      <c r="C111" t="str">
        <f t="shared" si="18"/>
        <v>OGW</v>
      </c>
      <c r="D111">
        <f>IF(AI111="","",VLOOKUP(C111,tnpl!$Z$1:$AA$11,2,TRUE))</f>
        <v>3</v>
      </c>
      <c r="E111" t="s">
        <v>3168</v>
      </c>
      <c r="F111" t="str">
        <f t="shared" si="19"/>
        <v>無色</v>
      </c>
      <c r="G111">
        <f>IF(AJ111="","",VLOOKUP(F111,tnpl!$X$1:$Y$16,2,TRUE))</f>
        <v>16</v>
      </c>
      <c r="H111" t="s">
        <v>3168</v>
      </c>
      <c r="I111">
        <f t="shared" si="20"/>
        <v>13</v>
      </c>
      <c r="J111" t="s">
        <v>3168</v>
      </c>
      <c r="K111">
        <f t="shared" si="21"/>
        <v>4</v>
      </c>
      <c r="L111">
        <f t="shared" si="22"/>
        <v>3</v>
      </c>
      <c r="M111" t="str">
        <f t="shared" si="15"/>
        <v>4/3</v>
      </c>
      <c r="R111" t="s">
        <v>3175</v>
      </c>
      <c r="S111" t="s">
        <v>4750</v>
      </c>
      <c r="T111" t="str">
        <f t="shared" si="23"/>
        <v>作り変えるもの</v>
      </c>
      <c r="U111" t="str">
        <f t="shared" si="24"/>
        <v/>
      </c>
      <c r="V111" t="str">
        <f>IF(I111=0,VLOOKUP(T111,Sheet4!A:B,2,TRUE),"")</f>
        <v/>
      </c>
      <c r="W111" t="s">
        <v>4751</v>
      </c>
      <c r="X111" t="s">
        <v>3175</v>
      </c>
      <c r="Y111" s="9"/>
      <c r="Z111" s="10" t="s">
        <v>1445</v>
      </c>
      <c r="AA111" t="s">
        <v>4757</v>
      </c>
      <c r="AC111" t="str">
        <f t="shared" si="25"/>
        <v/>
      </c>
      <c r="AD111" t="str">
        <f t="shared" si="16"/>
        <v>破壊された</v>
      </c>
      <c r="AE111" t="str">
        <f t="shared" si="26"/>
        <v/>
      </c>
      <c r="AF111" t="str">
        <f t="shared" si="27"/>
        <v/>
      </c>
      <c r="AG111" t="b">
        <f t="shared" si="14"/>
        <v>0</v>
      </c>
      <c r="AH111" s="3">
        <v>533</v>
      </c>
      <c r="AI111" s="2" t="s">
        <v>3171</v>
      </c>
      <c r="AJ111" s="1" t="s">
        <v>292</v>
      </c>
      <c r="AK111" s="1" t="s">
        <v>1441</v>
      </c>
      <c r="AL111" s="1">
        <v>13</v>
      </c>
      <c r="AM111" s="1" t="s">
        <v>1447</v>
      </c>
      <c r="AN111" s="1" t="s">
        <v>1446</v>
      </c>
      <c r="AO111" s="1" t="s">
        <v>339</v>
      </c>
      <c r="AP111" s="1"/>
      <c r="AQ111" s="1">
        <v>4</v>
      </c>
      <c r="AR111" s="1">
        <v>3</v>
      </c>
      <c r="AS111" s="1" t="s">
        <v>1445</v>
      </c>
    </row>
    <row r="112" spans="1:45" x14ac:dyDescent="0.15">
      <c r="A112" t="str">
        <f t="shared" si="17"/>
        <v>|OGW|無色|4||《[[鏡の池]]》|</v>
      </c>
      <c r="B112" t="s">
        <v>3168</v>
      </c>
      <c r="C112" t="str">
        <f t="shared" si="18"/>
        <v>OGW</v>
      </c>
      <c r="D112">
        <f>IF(AI112="","",VLOOKUP(C112,tnpl!$Z$1:$AA$11,2,TRUE))</f>
        <v>3</v>
      </c>
      <c r="E112" t="s">
        <v>3168</v>
      </c>
      <c r="F112" t="str">
        <f t="shared" si="19"/>
        <v>無色</v>
      </c>
      <c r="G112">
        <f>IF(AJ112="","",VLOOKUP(F112,tnpl!$X$1:$Y$16,2,TRUE))</f>
        <v>16</v>
      </c>
      <c r="H112" t="s">
        <v>3168</v>
      </c>
      <c r="I112">
        <f t="shared" si="20"/>
        <v>4</v>
      </c>
      <c r="J112" t="s">
        <v>3168</v>
      </c>
      <c r="K112">
        <f t="shared" si="21"/>
        <v>0</v>
      </c>
      <c r="L112">
        <f t="shared" si="22"/>
        <v>0</v>
      </c>
      <c r="M112" t="str">
        <f t="shared" si="15"/>
        <v/>
      </c>
      <c r="R112" t="s">
        <v>3175</v>
      </c>
      <c r="S112" t="s">
        <v>4750</v>
      </c>
      <c r="T112" t="str">
        <f t="shared" si="23"/>
        <v>鏡の池</v>
      </c>
      <c r="U112" t="str">
        <f t="shared" si="24"/>
        <v/>
      </c>
      <c r="V112" t="str">
        <f>IF(I112=0,VLOOKUP(T112,Sheet4!A:B,2,TRUE),"")</f>
        <v/>
      </c>
      <c r="W112" t="s">
        <v>4751</v>
      </c>
      <c r="X112" t="s">
        <v>3175</v>
      </c>
      <c r="Y112" s="9"/>
      <c r="Z112" s="10" t="s">
        <v>1426</v>
      </c>
      <c r="AA112" t="s">
        <v>4832</v>
      </c>
      <c r="AC112" t="str">
        <f t="shared" si="25"/>
        <v>破壊する</v>
      </c>
      <c r="AD112" t="str">
        <f t="shared" si="16"/>
        <v/>
      </c>
      <c r="AE112" t="str">
        <f t="shared" si="26"/>
        <v/>
      </c>
      <c r="AF112" t="str">
        <f t="shared" si="27"/>
        <v/>
      </c>
      <c r="AG112" t="b">
        <f t="shared" si="14"/>
        <v>0</v>
      </c>
      <c r="AH112" s="3">
        <v>537</v>
      </c>
      <c r="AI112" s="2" t="s">
        <v>3171</v>
      </c>
      <c r="AJ112" s="1" t="s">
        <v>292</v>
      </c>
      <c r="AK112" s="1" t="s">
        <v>1431</v>
      </c>
      <c r="AL112" s="1">
        <v>4</v>
      </c>
      <c r="AM112" s="1" t="s">
        <v>1430</v>
      </c>
      <c r="AN112" s="1" t="s">
        <v>1429</v>
      </c>
      <c r="AO112" s="1" t="s">
        <v>288</v>
      </c>
      <c r="AP112" s="1">
        <v>10</v>
      </c>
      <c r="AQ112" s="1"/>
      <c r="AR112" s="1"/>
      <c r="AS112" s="1" t="s">
        <v>1426</v>
      </c>
    </row>
    <row r="113" spans="1:45" x14ac:dyDescent="0.15">
      <c r="A113" t="str">
        <f t="shared" si="17"/>
        <v>|SOI|白|7|1/2|《[[眠れぬ者の使者]]》|</v>
      </c>
      <c r="B113" t="s">
        <v>3168</v>
      </c>
      <c r="C113" t="str">
        <f t="shared" si="18"/>
        <v>SOI</v>
      </c>
      <c r="D113">
        <f>IF(AI113="","",VLOOKUP(C113,tnpl!$Z$1:$AA$11,2,TRUE))</f>
        <v>4</v>
      </c>
      <c r="E113" t="s">
        <v>3168</v>
      </c>
      <c r="F113" t="str">
        <f t="shared" si="19"/>
        <v>白</v>
      </c>
      <c r="G113">
        <f>IF(AJ113="","",VLOOKUP(F113,tnpl!$X$1:$Y$16,2,TRUE))</f>
        <v>1</v>
      </c>
      <c r="H113" t="s">
        <v>3168</v>
      </c>
      <c r="I113">
        <f t="shared" si="20"/>
        <v>7</v>
      </c>
      <c r="J113" t="s">
        <v>3168</v>
      </c>
      <c r="K113">
        <f t="shared" si="21"/>
        <v>1</v>
      </c>
      <c r="L113">
        <f t="shared" si="22"/>
        <v>2</v>
      </c>
      <c r="M113" t="str">
        <f t="shared" si="15"/>
        <v>1/2</v>
      </c>
      <c r="R113" t="s">
        <v>3175</v>
      </c>
      <c r="S113" t="s">
        <v>4750</v>
      </c>
      <c r="T113" t="str">
        <f t="shared" si="23"/>
        <v>眠れぬ者の使者</v>
      </c>
      <c r="U113" t="str">
        <f t="shared" si="24"/>
        <v/>
      </c>
      <c r="V113" t="str">
        <f>IF(I113=0,VLOOKUP(T113,Sheet4!A:B,2,TRUE),"")</f>
        <v/>
      </c>
      <c r="W113" t="s">
        <v>4751</v>
      </c>
      <c r="X113" t="s">
        <v>3175</v>
      </c>
      <c r="Y113" s="9"/>
      <c r="Z113" s="10" t="s">
        <v>3437</v>
      </c>
      <c r="AA113" t="s">
        <v>4832</v>
      </c>
      <c r="AC113" t="str">
        <f t="shared" si="25"/>
        <v/>
      </c>
      <c r="AD113" t="str">
        <f t="shared" si="16"/>
        <v/>
      </c>
      <c r="AE113" t="str">
        <f t="shared" si="26"/>
        <v/>
      </c>
      <c r="AF113" t="str">
        <f t="shared" si="27"/>
        <v/>
      </c>
      <c r="AG113" t="b">
        <f t="shared" si="14"/>
        <v>0</v>
      </c>
      <c r="AH113" s="3">
        <v>540</v>
      </c>
      <c r="AI113" s="2" t="s">
        <v>3431</v>
      </c>
      <c r="AJ113" s="1" t="s">
        <v>1627</v>
      </c>
      <c r="AK113" s="1" t="s">
        <v>1744</v>
      </c>
      <c r="AL113" s="1">
        <v>7</v>
      </c>
      <c r="AM113" s="1" t="s">
        <v>1421</v>
      </c>
      <c r="AN113" s="1" t="s">
        <v>1420</v>
      </c>
      <c r="AO113" s="1" t="s">
        <v>339</v>
      </c>
      <c r="AP113" s="1"/>
      <c r="AQ113" s="1">
        <v>1</v>
      </c>
      <c r="AR113" s="1">
        <v>2</v>
      </c>
      <c r="AS113" s="1" t="s">
        <v>3437</v>
      </c>
    </row>
    <row r="114" spans="1:45" x14ac:dyDescent="0.15">
      <c r="A114" t="str">
        <f t="shared" si="17"/>
        <v>|SOI|白|3||《[[刹那の器]]》|</v>
      </c>
      <c r="B114" t="s">
        <v>3168</v>
      </c>
      <c r="C114" t="str">
        <f t="shared" si="18"/>
        <v>SOI</v>
      </c>
      <c r="D114">
        <f>IF(AI114="","",VLOOKUP(C114,tnpl!$Z$1:$AA$11,2,TRUE))</f>
        <v>4</v>
      </c>
      <c r="E114" t="s">
        <v>3168</v>
      </c>
      <c r="F114" t="str">
        <f t="shared" si="19"/>
        <v>白</v>
      </c>
      <c r="G114">
        <f>IF(AJ114="","",VLOOKUP(F114,tnpl!$X$1:$Y$16,2,TRUE))</f>
        <v>1</v>
      </c>
      <c r="H114" t="s">
        <v>3168</v>
      </c>
      <c r="I114">
        <f t="shared" si="20"/>
        <v>3</v>
      </c>
      <c r="J114" t="s">
        <v>3168</v>
      </c>
      <c r="K114">
        <f t="shared" si="21"/>
        <v>0</v>
      </c>
      <c r="L114">
        <f t="shared" si="22"/>
        <v>0</v>
      </c>
      <c r="M114" t="str">
        <f t="shared" si="15"/>
        <v/>
      </c>
      <c r="R114" t="s">
        <v>3175</v>
      </c>
      <c r="S114" t="s">
        <v>4750</v>
      </c>
      <c r="T114" t="str">
        <f t="shared" si="23"/>
        <v>刹那の器</v>
      </c>
      <c r="U114" t="str">
        <f t="shared" si="24"/>
        <v/>
      </c>
      <c r="V114" t="str">
        <f>IF(I114=0,VLOOKUP(T114,Sheet4!A:B,2,TRUE),"")</f>
        <v/>
      </c>
      <c r="W114" t="s">
        <v>4751</v>
      </c>
      <c r="X114" t="s">
        <v>3175</v>
      </c>
      <c r="Y114" s="9"/>
      <c r="Z114" s="10" t="s">
        <v>3452</v>
      </c>
      <c r="AA114" t="s">
        <v>4757</v>
      </c>
      <c r="AC114" t="str">
        <f t="shared" si="25"/>
        <v/>
      </c>
      <c r="AD114" t="str">
        <f t="shared" si="16"/>
        <v>破壊された</v>
      </c>
      <c r="AE114" t="str">
        <f t="shared" si="26"/>
        <v/>
      </c>
      <c r="AF114" t="str">
        <f t="shared" si="27"/>
        <v/>
      </c>
      <c r="AG114" t="b">
        <f t="shared" si="14"/>
        <v>0</v>
      </c>
      <c r="AH114" s="3">
        <v>551</v>
      </c>
      <c r="AI114" s="2" t="s">
        <v>3431</v>
      </c>
      <c r="AJ114" s="1" t="s">
        <v>1627</v>
      </c>
      <c r="AK114" s="1" t="s">
        <v>1744</v>
      </c>
      <c r="AL114" s="1">
        <v>3</v>
      </c>
      <c r="AM114" s="1" t="s">
        <v>1399</v>
      </c>
      <c r="AN114" s="1" t="s">
        <v>1398</v>
      </c>
      <c r="AO114" s="1" t="s">
        <v>288</v>
      </c>
      <c r="AP114" s="1">
        <v>1</v>
      </c>
      <c r="AQ114" s="1"/>
      <c r="AR114" s="1"/>
      <c r="AS114" s="1" t="s">
        <v>3452</v>
      </c>
    </row>
    <row r="115" spans="1:45" x14ac:dyDescent="0.15">
      <c r="A115" t="str">
        <f t="shared" si="17"/>
        <v>|SOI|白|8||《[[粗暴者の貶め]]》|</v>
      </c>
      <c r="B115" t="s">
        <v>3168</v>
      </c>
      <c r="C115" t="str">
        <f t="shared" si="18"/>
        <v>SOI</v>
      </c>
      <c r="D115">
        <f>IF(AI115="","",VLOOKUP(C115,tnpl!$Z$1:$AA$11,2,TRUE))</f>
        <v>4</v>
      </c>
      <c r="E115" t="s">
        <v>3168</v>
      </c>
      <c r="F115" t="str">
        <f t="shared" si="19"/>
        <v>白</v>
      </c>
      <c r="G115">
        <f>IF(AJ115="","",VLOOKUP(F115,tnpl!$X$1:$Y$16,2,TRUE))</f>
        <v>1</v>
      </c>
      <c r="H115" t="s">
        <v>3168</v>
      </c>
      <c r="I115">
        <f t="shared" si="20"/>
        <v>8</v>
      </c>
      <c r="J115" t="s">
        <v>3168</v>
      </c>
      <c r="K115">
        <f t="shared" si="21"/>
        <v>0</v>
      </c>
      <c r="L115">
        <f t="shared" si="22"/>
        <v>0</v>
      </c>
      <c r="M115" t="str">
        <f t="shared" si="15"/>
        <v/>
      </c>
      <c r="R115" t="s">
        <v>3175</v>
      </c>
      <c r="S115" t="s">
        <v>4750</v>
      </c>
      <c r="T115" t="str">
        <f t="shared" si="23"/>
        <v>粗暴者の貶め</v>
      </c>
      <c r="U115" t="str">
        <f t="shared" si="24"/>
        <v/>
      </c>
      <c r="V115" t="str">
        <f>IF(I115=0,VLOOKUP(T115,Sheet4!A:B,2,TRUE),"")</f>
        <v/>
      </c>
      <c r="W115" t="s">
        <v>4751</v>
      </c>
      <c r="X115" t="s">
        <v>3175</v>
      </c>
      <c r="Y115" s="9"/>
      <c r="Z115" s="10" t="s">
        <v>3466</v>
      </c>
      <c r="AA115" t="s">
        <v>4825</v>
      </c>
      <c r="AC115" t="str">
        <f t="shared" si="25"/>
        <v>破壊する</v>
      </c>
      <c r="AD115" t="str">
        <f t="shared" si="16"/>
        <v/>
      </c>
      <c r="AE115" t="str">
        <f t="shared" si="26"/>
        <v/>
      </c>
      <c r="AF115" t="str">
        <f t="shared" si="27"/>
        <v/>
      </c>
      <c r="AG115" t="b">
        <f t="shared" si="14"/>
        <v>0</v>
      </c>
      <c r="AH115" s="3">
        <v>561</v>
      </c>
      <c r="AI115" s="2" t="s">
        <v>3431</v>
      </c>
      <c r="AJ115" s="1" t="s">
        <v>1627</v>
      </c>
      <c r="AK115" s="1" t="s">
        <v>1451</v>
      </c>
      <c r="AL115" s="1">
        <v>8</v>
      </c>
      <c r="AM115" s="1" t="s">
        <v>1385</v>
      </c>
      <c r="AN115" s="1" t="s">
        <v>1384</v>
      </c>
      <c r="AO115" s="1" t="s">
        <v>1453</v>
      </c>
      <c r="AP115" s="1"/>
      <c r="AQ115" s="1"/>
      <c r="AR115" s="1"/>
      <c r="AS115" s="1" t="s">
        <v>3466</v>
      </c>
    </row>
    <row r="116" spans="1:45" x14ac:dyDescent="0.15">
      <c r="A116" t="str">
        <f t="shared" si="17"/>
        <v>|SOI|白|9||《[[銀の一撃]]》|</v>
      </c>
      <c r="B116" t="s">
        <v>3168</v>
      </c>
      <c r="C116" t="str">
        <f t="shared" si="18"/>
        <v>SOI</v>
      </c>
      <c r="D116">
        <f>IF(AI116="","",VLOOKUP(C116,tnpl!$Z$1:$AA$11,2,TRUE))</f>
        <v>4</v>
      </c>
      <c r="E116" t="s">
        <v>3168</v>
      </c>
      <c r="F116" t="str">
        <f t="shared" si="19"/>
        <v>白</v>
      </c>
      <c r="G116">
        <f>IF(AJ116="","",VLOOKUP(F116,tnpl!$X$1:$Y$16,2,TRUE))</f>
        <v>1</v>
      </c>
      <c r="H116" t="s">
        <v>3168</v>
      </c>
      <c r="I116">
        <f t="shared" si="20"/>
        <v>9</v>
      </c>
      <c r="J116" t="s">
        <v>3168</v>
      </c>
      <c r="K116">
        <f t="shared" si="21"/>
        <v>0</v>
      </c>
      <c r="L116">
        <f t="shared" si="22"/>
        <v>0</v>
      </c>
      <c r="M116" t="str">
        <f t="shared" si="15"/>
        <v/>
      </c>
      <c r="R116" t="s">
        <v>3175</v>
      </c>
      <c r="S116" t="s">
        <v>4750</v>
      </c>
      <c r="T116" t="str">
        <f t="shared" si="23"/>
        <v>銀の一撃</v>
      </c>
      <c r="U116" t="str">
        <f t="shared" si="24"/>
        <v/>
      </c>
      <c r="V116" t="str">
        <f>IF(I116=0,VLOOKUP(T116,Sheet4!A:B,2,TRUE),"")</f>
        <v/>
      </c>
      <c r="W116" t="s">
        <v>4751</v>
      </c>
      <c r="X116" t="s">
        <v>3175</v>
      </c>
      <c r="Y116" s="9"/>
      <c r="Z116" s="10" t="s">
        <v>3469</v>
      </c>
      <c r="AA116" t="s">
        <v>4825</v>
      </c>
      <c r="AC116" t="str">
        <f t="shared" si="25"/>
        <v>破壊する</v>
      </c>
      <c r="AD116" t="str">
        <f t="shared" si="16"/>
        <v/>
      </c>
      <c r="AE116" t="str">
        <f t="shared" si="26"/>
        <v/>
      </c>
      <c r="AF116" t="str">
        <f t="shared" si="27"/>
        <v>破壊し</v>
      </c>
      <c r="AG116" t="b">
        <f t="shared" si="14"/>
        <v>0</v>
      </c>
      <c r="AH116" s="3">
        <v>564</v>
      </c>
      <c r="AI116" s="2" t="s">
        <v>3431</v>
      </c>
      <c r="AJ116" s="1" t="s">
        <v>1627</v>
      </c>
      <c r="AK116" s="1" t="s">
        <v>1451</v>
      </c>
      <c r="AL116" s="1">
        <v>9</v>
      </c>
      <c r="AM116" s="1" t="s">
        <v>1379</v>
      </c>
      <c r="AN116" s="1" t="s">
        <v>1378</v>
      </c>
      <c r="AO116" s="1" t="s">
        <v>288</v>
      </c>
      <c r="AP116" s="1">
        <v>1</v>
      </c>
      <c r="AQ116" s="1"/>
      <c r="AR116" s="1"/>
      <c r="AS116" s="1" t="s">
        <v>3469</v>
      </c>
    </row>
    <row r="117" spans="1:45" x14ac:dyDescent="0.15">
      <c r="A117" t="str">
        <f t="shared" si="17"/>
        <v>|SOI|白|10||《[[石の宣告]]》|</v>
      </c>
      <c r="B117" t="s">
        <v>3168</v>
      </c>
      <c r="C117" t="str">
        <f t="shared" si="18"/>
        <v>SOI</v>
      </c>
      <c r="D117">
        <f>IF(AI117="","",VLOOKUP(C117,tnpl!$Z$1:$AA$11,2,TRUE))</f>
        <v>4</v>
      </c>
      <c r="E117" t="s">
        <v>3168</v>
      </c>
      <c r="F117" t="str">
        <f t="shared" si="19"/>
        <v>白</v>
      </c>
      <c r="G117">
        <f>IF(AJ117="","",VLOOKUP(F117,tnpl!$X$1:$Y$16,2,TRUE))</f>
        <v>1</v>
      </c>
      <c r="H117" t="s">
        <v>3168</v>
      </c>
      <c r="I117">
        <f t="shared" si="20"/>
        <v>10</v>
      </c>
      <c r="J117" t="s">
        <v>3168</v>
      </c>
      <c r="K117">
        <f t="shared" si="21"/>
        <v>0</v>
      </c>
      <c r="L117">
        <f t="shared" si="22"/>
        <v>0</v>
      </c>
      <c r="M117" t="str">
        <f t="shared" si="15"/>
        <v/>
      </c>
      <c r="R117" t="s">
        <v>3175</v>
      </c>
      <c r="S117" t="s">
        <v>4750</v>
      </c>
      <c r="T117" t="str">
        <f t="shared" si="23"/>
        <v>石の宣告</v>
      </c>
      <c r="U117" t="str">
        <f t="shared" si="24"/>
        <v/>
      </c>
      <c r="V117" t="str">
        <f>IF(I117=0,VLOOKUP(T117,Sheet4!A:B,2,TRUE),"")</f>
        <v/>
      </c>
      <c r="W117" t="s">
        <v>4751</v>
      </c>
      <c r="X117" t="s">
        <v>3175</v>
      </c>
      <c r="Y117" s="9"/>
      <c r="Z117" s="10" t="s">
        <v>3481</v>
      </c>
      <c r="AA117" t="s">
        <v>4825</v>
      </c>
      <c r="AC117" t="str">
        <f t="shared" si="25"/>
        <v>破壊する</v>
      </c>
      <c r="AD117" t="str">
        <f t="shared" si="16"/>
        <v/>
      </c>
      <c r="AE117" t="str">
        <f t="shared" si="26"/>
        <v/>
      </c>
      <c r="AF117" t="str">
        <f t="shared" si="27"/>
        <v/>
      </c>
      <c r="AG117" t="b">
        <f t="shared" si="14"/>
        <v>0</v>
      </c>
      <c r="AH117" s="3">
        <v>569</v>
      </c>
      <c r="AI117" s="2" t="s">
        <v>3431</v>
      </c>
      <c r="AJ117" s="1" t="s">
        <v>1627</v>
      </c>
      <c r="AK117" s="1" t="s">
        <v>1441</v>
      </c>
      <c r="AL117" s="1">
        <v>10</v>
      </c>
      <c r="AM117" s="1" t="s">
        <v>1371</v>
      </c>
      <c r="AN117" s="1" t="s">
        <v>1370</v>
      </c>
      <c r="AO117" s="1" t="s">
        <v>1453</v>
      </c>
      <c r="AP117" s="1"/>
      <c r="AQ117" s="1"/>
      <c r="AR117" s="1"/>
      <c r="AS117" s="1" t="s">
        <v>3481</v>
      </c>
    </row>
    <row r="118" spans="1:45" x14ac:dyDescent="0.15">
      <c r="A118" t="str">
        <f t="shared" si="17"/>
        <v>|SOI|白|16|8/8|《[[救出の天使]]》|</v>
      </c>
      <c r="B118" t="s">
        <v>3168</v>
      </c>
      <c r="C118" t="str">
        <f t="shared" si="18"/>
        <v>SOI</v>
      </c>
      <c r="D118">
        <f>IF(AI118="","",VLOOKUP(C118,tnpl!$Z$1:$AA$11,2,TRUE))</f>
        <v>4</v>
      </c>
      <c r="E118" t="s">
        <v>3168</v>
      </c>
      <c r="F118" t="str">
        <f t="shared" si="19"/>
        <v>白</v>
      </c>
      <c r="G118">
        <f>IF(AJ118="","",VLOOKUP(F118,tnpl!$X$1:$Y$16,2,TRUE))</f>
        <v>1</v>
      </c>
      <c r="H118" t="s">
        <v>3168</v>
      </c>
      <c r="I118">
        <f t="shared" si="20"/>
        <v>16</v>
      </c>
      <c r="J118" t="s">
        <v>3168</v>
      </c>
      <c r="K118">
        <f t="shared" si="21"/>
        <v>8</v>
      </c>
      <c r="L118">
        <f t="shared" si="22"/>
        <v>8</v>
      </c>
      <c r="M118" t="str">
        <f t="shared" si="15"/>
        <v>8/8</v>
      </c>
      <c r="R118" t="s">
        <v>3175</v>
      </c>
      <c r="S118" t="s">
        <v>4750</v>
      </c>
      <c r="T118" t="str">
        <f t="shared" si="23"/>
        <v>救出の天使</v>
      </c>
      <c r="U118" t="str">
        <f t="shared" si="24"/>
        <v/>
      </c>
      <c r="V118" t="str">
        <f>IF(I118=0,VLOOKUP(T118,Sheet4!A:B,2,TRUE),"")</f>
        <v/>
      </c>
      <c r="W118" t="s">
        <v>4751</v>
      </c>
      <c r="X118" t="s">
        <v>3175</v>
      </c>
      <c r="Y118" s="9"/>
      <c r="Z118" s="10" t="s">
        <v>3484</v>
      </c>
      <c r="AA118" t="s">
        <v>4825</v>
      </c>
      <c r="AC118" t="str">
        <f t="shared" si="25"/>
        <v>破壊する</v>
      </c>
      <c r="AD118" t="str">
        <f t="shared" si="16"/>
        <v/>
      </c>
      <c r="AE118" t="str">
        <f t="shared" si="26"/>
        <v/>
      </c>
      <c r="AF118" t="str">
        <f t="shared" si="27"/>
        <v/>
      </c>
      <c r="AG118" t="b">
        <f t="shared" si="14"/>
        <v>0</v>
      </c>
      <c r="AH118" s="3">
        <v>571</v>
      </c>
      <c r="AI118" s="2" t="s">
        <v>3431</v>
      </c>
      <c r="AJ118" s="1" t="s">
        <v>1627</v>
      </c>
      <c r="AK118" s="1" t="s">
        <v>1431</v>
      </c>
      <c r="AL118" s="1">
        <v>16</v>
      </c>
      <c r="AM118" s="1" t="s">
        <v>1367</v>
      </c>
      <c r="AN118" s="1" t="s">
        <v>1366</v>
      </c>
      <c r="AO118" s="1" t="s">
        <v>339</v>
      </c>
      <c r="AP118" s="1"/>
      <c r="AQ118" s="1">
        <v>8</v>
      </c>
      <c r="AR118" s="1">
        <v>8</v>
      </c>
      <c r="AS118" s="1" t="s">
        <v>3484</v>
      </c>
    </row>
    <row r="119" spans="1:45" x14ac:dyDescent="0.15">
      <c r="A119" t="str">
        <f t="shared" si="17"/>
        <v>|SOI|白|12||《[[罪人への急襲]]》|</v>
      </c>
      <c r="B119" t="s">
        <v>3168</v>
      </c>
      <c r="C119" t="str">
        <f t="shared" si="18"/>
        <v>SOI</v>
      </c>
      <c r="D119">
        <f>IF(AI119="","",VLOOKUP(C119,tnpl!$Z$1:$AA$11,2,TRUE))</f>
        <v>4</v>
      </c>
      <c r="E119" t="s">
        <v>3168</v>
      </c>
      <c r="F119" t="str">
        <f t="shared" si="19"/>
        <v>白</v>
      </c>
      <c r="G119">
        <f>IF(AJ119="","",VLOOKUP(F119,tnpl!$X$1:$Y$16,2,TRUE))</f>
        <v>1</v>
      </c>
      <c r="H119" t="s">
        <v>3168</v>
      </c>
      <c r="I119">
        <f t="shared" si="20"/>
        <v>12</v>
      </c>
      <c r="J119" t="s">
        <v>3168</v>
      </c>
      <c r="K119">
        <f t="shared" si="21"/>
        <v>0</v>
      </c>
      <c r="L119">
        <f t="shared" si="22"/>
        <v>0</v>
      </c>
      <c r="M119" t="str">
        <f t="shared" si="15"/>
        <v/>
      </c>
      <c r="R119" t="s">
        <v>3175</v>
      </c>
      <c r="S119" t="s">
        <v>4750</v>
      </c>
      <c r="T119" t="str">
        <f t="shared" si="23"/>
        <v>罪人への急襲</v>
      </c>
      <c r="U119" t="str">
        <f t="shared" si="24"/>
        <v/>
      </c>
      <c r="V119" t="str">
        <f>IF(I119=0,VLOOKUP(T119,Sheet4!A:B,2,TRUE),"")</f>
        <v/>
      </c>
      <c r="W119" t="s">
        <v>4751</v>
      </c>
      <c r="X119" t="s">
        <v>3175</v>
      </c>
      <c r="Y119" s="9"/>
      <c r="Z119" s="10" t="s">
        <v>3495</v>
      </c>
      <c r="AA119" t="s">
        <v>4825</v>
      </c>
      <c r="AC119" t="str">
        <f t="shared" si="25"/>
        <v>破壊する</v>
      </c>
      <c r="AD119" t="str">
        <f t="shared" si="16"/>
        <v/>
      </c>
      <c r="AE119" t="str">
        <f t="shared" si="26"/>
        <v/>
      </c>
      <c r="AF119" t="str">
        <f t="shared" si="27"/>
        <v/>
      </c>
      <c r="AG119" t="b">
        <f t="shared" si="14"/>
        <v>0</v>
      </c>
      <c r="AH119" s="3">
        <v>575</v>
      </c>
      <c r="AI119" s="2" t="s">
        <v>3431</v>
      </c>
      <c r="AJ119" s="1" t="s">
        <v>1627</v>
      </c>
      <c r="AK119" s="1" t="s">
        <v>1431</v>
      </c>
      <c r="AL119" s="1">
        <v>12</v>
      </c>
      <c r="AM119" s="1" t="s">
        <v>1361</v>
      </c>
      <c r="AN119" s="1" t="s">
        <v>1360</v>
      </c>
      <c r="AO119" s="1" t="s">
        <v>1453</v>
      </c>
      <c r="AP119" s="1"/>
      <c r="AQ119" s="1"/>
      <c r="AR119" s="1"/>
      <c r="AS119" s="1" t="s">
        <v>3495</v>
      </c>
    </row>
    <row r="120" spans="1:45" x14ac:dyDescent="0.15">
      <c r="A120" t="str">
        <f t="shared" si="17"/>
        <v>|SOI|青|3||《[[健忘の器]]》|</v>
      </c>
      <c r="B120" t="s">
        <v>3168</v>
      </c>
      <c r="C120" t="str">
        <f t="shared" si="18"/>
        <v>SOI</v>
      </c>
      <c r="D120">
        <f>IF(AI120="","",VLOOKUP(C120,tnpl!$Z$1:$AA$11,2,TRUE))</f>
        <v>4</v>
      </c>
      <c r="E120" t="s">
        <v>3168</v>
      </c>
      <c r="F120" t="str">
        <f t="shared" si="19"/>
        <v>青</v>
      </c>
      <c r="G120">
        <f>IF(AJ120="","",VLOOKUP(F120,tnpl!$X$1:$Y$16,2,TRUE))</f>
        <v>2</v>
      </c>
      <c r="H120" t="s">
        <v>3168</v>
      </c>
      <c r="I120">
        <f t="shared" si="20"/>
        <v>3</v>
      </c>
      <c r="J120" t="s">
        <v>3168</v>
      </c>
      <c r="K120">
        <f t="shared" si="21"/>
        <v>0</v>
      </c>
      <c r="L120">
        <f t="shared" si="22"/>
        <v>0</v>
      </c>
      <c r="M120" t="str">
        <f t="shared" si="15"/>
        <v/>
      </c>
      <c r="R120" t="s">
        <v>3175</v>
      </c>
      <c r="S120" t="s">
        <v>4750</v>
      </c>
      <c r="T120" t="str">
        <f t="shared" si="23"/>
        <v>健忘の器</v>
      </c>
      <c r="U120" t="str">
        <f t="shared" si="24"/>
        <v/>
      </c>
      <c r="V120" t="str">
        <f>IF(I120=0,VLOOKUP(T120,Sheet4!A:B,2,TRUE),"")</f>
        <v/>
      </c>
      <c r="W120" t="s">
        <v>4751</v>
      </c>
      <c r="X120" t="s">
        <v>3175</v>
      </c>
      <c r="Y120" s="9"/>
      <c r="Z120" s="10" t="s">
        <v>3512</v>
      </c>
      <c r="AA120" t="s">
        <v>4757</v>
      </c>
      <c r="AC120" t="str">
        <f t="shared" si="25"/>
        <v/>
      </c>
      <c r="AD120" t="str">
        <f t="shared" si="16"/>
        <v>破壊された</v>
      </c>
      <c r="AE120" t="str">
        <f t="shared" si="26"/>
        <v/>
      </c>
      <c r="AF120" t="str">
        <f t="shared" si="27"/>
        <v/>
      </c>
      <c r="AG120" t="b">
        <f t="shared" si="14"/>
        <v>0</v>
      </c>
      <c r="AH120" s="3">
        <v>588</v>
      </c>
      <c r="AI120" s="2" t="s">
        <v>3431</v>
      </c>
      <c r="AJ120" s="1" t="s">
        <v>1606</v>
      </c>
      <c r="AK120" s="1" t="s">
        <v>1744</v>
      </c>
      <c r="AL120" s="1">
        <v>3</v>
      </c>
      <c r="AM120" s="1" t="s">
        <v>1335</v>
      </c>
      <c r="AN120" s="1" t="s">
        <v>1334</v>
      </c>
      <c r="AO120" s="1" t="s">
        <v>288</v>
      </c>
      <c r="AP120" s="1">
        <v>1</v>
      </c>
      <c r="AQ120" s="1"/>
      <c r="AR120" s="1"/>
      <c r="AS120" s="1" t="s">
        <v>3512</v>
      </c>
    </row>
    <row r="121" spans="1:45" x14ac:dyDescent="0.15">
      <c r="A121" t="str">
        <f t="shared" si="17"/>
        <v>|SOI|青|5|3/2|《[[果敢な捜索者]]》|</v>
      </c>
      <c r="B121" t="s">
        <v>3168</v>
      </c>
      <c r="C121" t="str">
        <f t="shared" si="18"/>
        <v>SOI</v>
      </c>
      <c r="D121">
        <f>IF(AI121="","",VLOOKUP(C121,tnpl!$Z$1:$AA$11,2,TRUE))</f>
        <v>4</v>
      </c>
      <c r="E121" t="s">
        <v>3168</v>
      </c>
      <c r="F121" t="str">
        <f t="shared" si="19"/>
        <v>青</v>
      </c>
      <c r="G121">
        <f>IF(AJ121="","",VLOOKUP(F121,tnpl!$X$1:$Y$16,2,TRUE))</f>
        <v>2</v>
      </c>
      <c r="H121" t="s">
        <v>3168</v>
      </c>
      <c r="I121">
        <f t="shared" si="20"/>
        <v>5</v>
      </c>
      <c r="J121" t="s">
        <v>3168</v>
      </c>
      <c r="K121">
        <f t="shared" si="21"/>
        <v>3</v>
      </c>
      <c r="L121">
        <f t="shared" si="22"/>
        <v>2</v>
      </c>
      <c r="M121" t="str">
        <f t="shared" si="15"/>
        <v>3/2</v>
      </c>
      <c r="R121" t="s">
        <v>3175</v>
      </c>
      <c r="S121" t="s">
        <v>4750</v>
      </c>
      <c r="T121" t="str">
        <f t="shared" si="23"/>
        <v>果敢な捜索者</v>
      </c>
      <c r="U121" t="str">
        <f t="shared" si="24"/>
        <v/>
      </c>
      <c r="V121" t="str">
        <f>IF(I121=0,VLOOKUP(T121,Sheet4!A:B,2,TRUE),"")</f>
        <v/>
      </c>
      <c r="W121" t="s">
        <v>4751</v>
      </c>
      <c r="X121" t="s">
        <v>3175</v>
      </c>
      <c r="Y121" s="9"/>
      <c r="Z121" s="10" t="s">
        <v>3515</v>
      </c>
      <c r="AA121" t="s">
        <v>4757</v>
      </c>
      <c r="AC121" t="str">
        <f t="shared" si="25"/>
        <v/>
      </c>
      <c r="AD121" t="str">
        <f t="shared" si="16"/>
        <v>破壊された</v>
      </c>
      <c r="AE121" t="str">
        <f t="shared" si="26"/>
        <v/>
      </c>
      <c r="AF121" t="str">
        <f t="shared" si="27"/>
        <v/>
      </c>
      <c r="AG121" t="b">
        <f t="shared" si="14"/>
        <v>0</v>
      </c>
      <c r="AH121" s="3">
        <v>591</v>
      </c>
      <c r="AI121" s="2" t="s">
        <v>3431</v>
      </c>
      <c r="AJ121" s="1" t="s">
        <v>1606</v>
      </c>
      <c r="AK121" s="1" t="s">
        <v>1451</v>
      </c>
      <c r="AL121" s="14">
        <v>5</v>
      </c>
      <c r="AM121" s="1" t="s">
        <v>1331</v>
      </c>
      <c r="AN121" s="1" t="s">
        <v>1330</v>
      </c>
      <c r="AO121" s="1" t="s">
        <v>339</v>
      </c>
      <c r="AP121" s="1"/>
      <c r="AQ121" s="1">
        <v>3</v>
      </c>
      <c r="AR121" s="1">
        <v>2</v>
      </c>
      <c r="AS121" s="1" t="s">
        <v>3515</v>
      </c>
    </row>
    <row r="122" spans="1:45" x14ac:dyDescent="0.15">
      <c r="A122" t="str">
        <f t="shared" si="17"/>
        <v>|SOI|青|7|4/2|《[[縫い翼のスカーブ]]》|</v>
      </c>
      <c r="B122" t="s">
        <v>3168</v>
      </c>
      <c r="C122" t="str">
        <f t="shared" si="18"/>
        <v>SOI</v>
      </c>
      <c r="D122">
        <f>IF(AI122="","",VLOOKUP(C122,tnpl!$Z$1:$AA$11,2,TRUE))</f>
        <v>4</v>
      </c>
      <c r="E122" t="s">
        <v>3168</v>
      </c>
      <c r="F122" t="str">
        <f t="shared" si="19"/>
        <v>青</v>
      </c>
      <c r="G122">
        <f>IF(AJ122="","",VLOOKUP(F122,tnpl!$X$1:$Y$16,2,TRUE))</f>
        <v>2</v>
      </c>
      <c r="H122" t="s">
        <v>3168</v>
      </c>
      <c r="I122">
        <f t="shared" si="20"/>
        <v>7</v>
      </c>
      <c r="J122" t="s">
        <v>3168</v>
      </c>
      <c r="K122">
        <f t="shared" si="21"/>
        <v>4</v>
      </c>
      <c r="L122">
        <f t="shared" si="22"/>
        <v>2</v>
      </c>
      <c r="M122" t="str">
        <f t="shared" si="15"/>
        <v>4/2</v>
      </c>
      <c r="R122" t="s">
        <v>3175</v>
      </c>
      <c r="S122" t="s">
        <v>4750</v>
      </c>
      <c r="T122" t="str">
        <f t="shared" si="23"/>
        <v>縫い翼のスカーブ</v>
      </c>
      <c r="U122" t="str">
        <f t="shared" si="24"/>
        <v/>
      </c>
      <c r="V122" t="str">
        <f>IF(I122=0,VLOOKUP(T122,Sheet4!A:B,2,TRUE),"")</f>
        <v/>
      </c>
      <c r="W122" t="s">
        <v>4751</v>
      </c>
      <c r="X122" t="s">
        <v>3175</v>
      </c>
      <c r="Y122" s="9"/>
      <c r="Z122" s="10" t="s">
        <v>3522</v>
      </c>
      <c r="AA122" t="s">
        <v>4830</v>
      </c>
      <c r="AC122" t="str">
        <f t="shared" si="25"/>
        <v/>
      </c>
      <c r="AD122" t="str">
        <f t="shared" si="16"/>
        <v/>
      </c>
      <c r="AE122" t="str">
        <f t="shared" si="26"/>
        <v/>
      </c>
      <c r="AF122" t="str">
        <f t="shared" si="27"/>
        <v/>
      </c>
      <c r="AG122" t="b">
        <f t="shared" si="14"/>
        <v>0</v>
      </c>
      <c r="AH122" s="3">
        <v>594</v>
      </c>
      <c r="AI122" s="2" t="s">
        <v>3431</v>
      </c>
      <c r="AJ122" s="1" t="s">
        <v>1606</v>
      </c>
      <c r="AK122" s="1" t="s">
        <v>1451</v>
      </c>
      <c r="AL122" s="1">
        <v>7</v>
      </c>
      <c r="AM122" s="1" t="s">
        <v>1327</v>
      </c>
      <c r="AN122" s="1" t="s">
        <v>1326</v>
      </c>
      <c r="AO122" s="1" t="s">
        <v>339</v>
      </c>
      <c r="AP122" s="1"/>
      <c r="AQ122" s="1">
        <v>4</v>
      </c>
      <c r="AR122" s="1">
        <v>2</v>
      </c>
      <c r="AS122" s="1" t="s">
        <v>3522</v>
      </c>
    </row>
    <row r="123" spans="1:45" x14ac:dyDescent="0.15">
      <c r="A123" t="str">
        <f t="shared" si="17"/>
        <v>|SOI|青|11|6/6|《[[ネファリアの月ドレイク]]》|</v>
      </c>
      <c r="B123" t="s">
        <v>3168</v>
      </c>
      <c r="C123" t="str">
        <f t="shared" si="18"/>
        <v>SOI</v>
      </c>
      <c r="D123">
        <f>IF(AI123="","",VLOOKUP(C123,tnpl!$Z$1:$AA$11,2,TRUE))</f>
        <v>4</v>
      </c>
      <c r="E123" t="s">
        <v>3168</v>
      </c>
      <c r="F123" t="str">
        <f t="shared" si="19"/>
        <v>青</v>
      </c>
      <c r="G123">
        <f>IF(AJ123="","",VLOOKUP(F123,tnpl!$X$1:$Y$16,2,TRUE))</f>
        <v>2</v>
      </c>
      <c r="H123" t="s">
        <v>3168</v>
      </c>
      <c r="I123">
        <f t="shared" si="20"/>
        <v>11</v>
      </c>
      <c r="J123" t="s">
        <v>3168</v>
      </c>
      <c r="K123">
        <f t="shared" si="21"/>
        <v>6</v>
      </c>
      <c r="L123">
        <f t="shared" si="22"/>
        <v>6</v>
      </c>
      <c r="M123" t="str">
        <f t="shared" si="15"/>
        <v>6/6</v>
      </c>
      <c r="R123" t="s">
        <v>3175</v>
      </c>
      <c r="S123" t="s">
        <v>4750</v>
      </c>
      <c r="T123" t="str">
        <f t="shared" si="23"/>
        <v>ネファリアの月ドレイク</v>
      </c>
      <c r="U123" t="str">
        <f t="shared" si="24"/>
        <v/>
      </c>
      <c r="V123" t="str">
        <f>IF(I123=0,VLOOKUP(T123,Sheet4!A:B,2,TRUE),"")</f>
        <v/>
      </c>
      <c r="W123" t="s">
        <v>4751</v>
      </c>
      <c r="X123" t="s">
        <v>3175</v>
      </c>
      <c r="Y123" s="9"/>
      <c r="Z123" s="10" t="s">
        <v>3533</v>
      </c>
      <c r="AA123" t="s">
        <v>4832</v>
      </c>
      <c r="AC123" t="str">
        <f t="shared" si="25"/>
        <v/>
      </c>
      <c r="AD123" t="str">
        <f t="shared" si="16"/>
        <v/>
      </c>
      <c r="AE123" t="str">
        <f t="shared" si="26"/>
        <v/>
      </c>
      <c r="AF123" t="str">
        <f t="shared" si="27"/>
        <v/>
      </c>
      <c r="AG123" t="b">
        <f t="shared" si="14"/>
        <v>0</v>
      </c>
      <c r="AH123" s="3">
        <v>603</v>
      </c>
      <c r="AI123" s="2" t="s">
        <v>3431</v>
      </c>
      <c r="AJ123" s="1" t="s">
        <v>1606</v>
      </c>
      <c r="AK123" s="1" t="s">
        <v>1441</v>
      </c>
      <c r="AL123" s="1">
        <v>11</v>
      </c>
      <c r="AM123" s="1" t="s">
        <v>1311</v>
      </c>
      <c r="AN123" s="1" t="s">
        <v>1310</v>
      </c>
      <c r="AO123" s="1" t="s">
        <v>339</v>
      </c>
      <c r="AP123" s="1"/>
      <c r="AQ123" s="1">
        <v>6</v>
      </c>
      <c r="AR123" s="1">
        <v>6</v>
      </c>
      <c r="AS123" s="1" t="s">
        <v>3533</v>
      </c>
    </row>
    <row r="124" spans="1:45" x14ac:dyDescent="0.15">
      <c r="A124" t="str">
        <f t="shared" si="17"/>
        <v>|SOI|青|7|2/2|《[[ゲラルフの傑作]]》|</v>
      </c>
      <c r="B124" t="s">
        <v>3168</v>
      </c>
      <c r="C124" t="str">
        <f t="shared" si="18"/>
        <v>SOI</v>
      </c>
      <c r="D124">
        <f>IF(AI124="","",VLOOKUP(C124,tnpl!$Z$1:$AA$11,2,TRUE))</f>
        <v>4</v>
      </c>
      <c r="E124" t="s">
        <v>3168</v>
      </c>
      <c r="F124" t="str">
        <f t="shared" si="19"/>
        <v>青</v>
      </c>
      <c r="G124">
        <f>IF(AJ124="","",VLOOKUP(F124,tnpl!$X$1:$Y$16,2,TRUE))</f>
        <v>2</v>
      </c>
      <c r="H124" t="s">
        <v>3168</v>
      </c>
      <c r="I124">
        <f t="shared" si="20"/>
        <v>7</v>
      </c>
      <c r="J124" t="s">
        <v>3168</v>
      </c>
      <c r="K124">
        <f t="shared" si="21"/>
        <v>2</v>
      </c>
      <c r="L124">
        <f t="shared" si="22"/>
        <v>2</v>
      </c>
      <c r="M124" t="str">
        <f t="shared" si="15"/>
        <v>2/2</v>
      </c>
      <c r="R124" t="s">
        <v>3175</v>
      </c>
      <c r="S124" t="s">
        <v>4750</v>
      </c>
      <c r="T124" t="str">
        <f t="shared" si="23"/>
        <v>ゲラルフの傑作</v>
      </c>
      <c r="U124" t="str">
        <f t="shared" si="24"/>
        <v/>
      </c>
      <c r="V124" t="str">
        <f>IF(I124=0,VLOOKUP(T124,Sheet4!A:B,2,TRUE),"")</f>
        <v/>
      </c>
      <c r="W124" t="s">
        <v>4751</v>
      </c>
      <c r="X124" t="s">
        <v>3175</v>
      </c>
      <c r="Y124" s="9"/>
      <c r="Z124" s="10" t="s">
        <v>3538</v>
      </c>
      <c r="AA124" t="s">
        <v>4830</v>
      </c>
      <c r="AC124" t="str">
        <f t="shared" si="25"/>
        <v/>
      </c>
      <c r="AD124" t="str">
        <f t="shared" si="16"/>
        <v/>
      </c>
      <c r="AE124" t="str">
        <f t="shared" si="26"/>
        <v/>
      </c>
      <c r="AF124" t="str">
        <f t="shared" si="27"/>
        <v/>
      </c>
      <c r="AG124" t="b">
        <f t="shared" si="14"/>
        <v>0</v>
      </c>
      <c r="AH124" s="3">
        <v>605</v>
      </c>
      <c r="AI124" s="2" t="s">
        <v>3431</v>
      </c>
      <c r="AJ124" s="1" t="s">
        <v>1606</v>
      </c>
      <c r="AK124" s="1" t="s">
        <v>1431</v>
      </c>
      <c r="AL124" s="1">
        <v>7</v>
      </c>
      <c r="AM124" s="1" t="s">
        <v>1307</v>
      </c>
      <c r="AN124" s="1" t="s">
        <v>1306</v>
      </c>
      <c r="AO124" s="1" t="s">
        <v>339</v>
      </c>
      <c r="AP124" s="1"/>
      <c r="AQ124" s="1">
        <v>2</v>
      </c>
      <c r="AR124" s="1">
        <v>2</v>
      </c>
      <c r="AS124" s="1" t="s">
        <v>3538</v>
      </c>
    </row>
    <row r="125" spans="1:45" x14ac:dyDescent="0.15">
      <c r="A125" t="str">
        <f t="shared" si="17"/>
        <v>|SOI|黒|9|1/2|《[[療養所の骸骨]]》|</v>
      </c>
      <c r="B125" t="s">
        <v>3168</v>
      </c>
      <c r="C125" t="str">
        <f t="shared" si="18"/>
        <v>SOI</v>
      </c>
      <c r="D125">
        <f>IF(AI125="","",VLOOKUP(C125,tnpl!$Z$1:$AA$11,2,TRUE))</f>
        <v>4</v>
      </c>
      <c r="E125" t="s">
        <v>3168</v>
      </c>
      <c r="F125" t="str">
        <f t="shared" si="19"/>
        <v>黒</v>
      </c>
      <c r="G125">
        <f>IF(AJ125="","",VLOOKUP(F125,tnpl!$X$1:$Y$16,2,TRUE))</f>
        <v>3</v>
      </c>
      <c r="H125" t="s">
        <v>3168</v>
      </c>
      <c r="I125">
        <f t="shared" si="20"/>
        <v>9</v>
      </c>
      <c r="J125" t="s">
        <v>3168</v>
      </c>
      <c r="K125">
        <f t="shared" si="21"/>
        <v>1</v>
      </c>
      <c r="L125">
        <f t="shared" si="22"/>
        <v>2</v>
      </c>
      <c r="M125" t="str">
        <f t="shared" si="15"/>
        <v>1/2</v>
      </c>
      <c r="R125" t="s">
        <v>3175</v>
      </c>
      <c r="S125" t="s">
        <v>4750</v>
      </c>
      <c r="T125" t="str">
        <f t="shared" si="23"/>
        <v>療養所の骸骨</v>
      </c>
      <c r="U125" t="str">
        <f t="shared" si="24"/>
        <v/>
      </c>
      <c r="V125" t="str">
        <f>IF(I125=0,VLOOKUP(T125,Sheet4!A:B,2,TRUE),"")</f>
        <v/>
      </c>
      <c r="W125" t="s">
        <v>4751</v>
      </c>
      <c r="X125" t="s">
        <v>3175</v>
      </c>
      <c r="Y125" s="9"/>
      <c r="Z125" s="10" t="s">
        <v>3561</v>
      </c>
      <c r="AA125" t="s">
        <v>4830</v>
      </c>
      <c r="AC125" t="str">
        <f t="shared" si="25"/>
        <v/>
      </c>
      <c r="AD125" t="str">
        <f t="shared" si="16"/>
        <v/>
      </c>
      <c r="AE125" t="str">
        <f t="shared" si="26"/>
        <v/>
      </c>
      <c r="AF125" t="str">
        <f t="shared" si="27"/>
        <v/>
      </c>
      <c r="AG125" t="b">
        <f t="shared" si="14"/>
        <v>0</v>
      </c>
      <c r="AH125" s="3">
        <v>616</v>
      </c>
      <c r="AI125" s="2" t="s">
        <v>3431</v>
      </c>
      <c r="AJ125" s="1" t="s">
        <v>1582</v>
      </c>
      <c r="AK125" s="1" t="s">
        <v>1744</v>
      </c>
      <c r="AL125" s="1">
        <v>9</v>
      </c>
      <c r="AM125" s="1" t="s">
        <v>1289</v>
      </c>
      <c r="AN125" s="1" t="s">
        <v>1288</v>
      </c>
      <c r="AO125" s="1" t="s">
        <v>339</v>
      </c>
      <c r="AP125" s="1"/>
      <c r="AQ125" s="1">
        <v>1</v>
      </c>
      <c r="AR125" s="1">
        <v>2</v>
      </c>
      <c r="AS125" s="1" t="s">
        <v>3561</v>
      </c>
    </row>
    <row r="126" spans="1:45" x14ac:dyDescent="0.15">
      <c r="A126" t="str">
        <f t="shared" si="17"/>
        <v>|SOI|黒|6||《[[死の円舞曲]]》|</v>
      </c>
      <c r="B126" t="s">
        <v>3168</v>
      </c>
      <c r="C126" t="str">
        <f t="shared" si="18"/>
        <v>SOI</v>
      </c>
      <c r="D126">
        <f>IF(AI126="","",VLOOKUP(C126,tnpl!$Z$1:$AA$11,2,TRUE))</f>
        <v>4</v>
      </c>
      <c r="E126" t="s">
        <v>3168</v>
      </c>
      <c r="F126" t="str">
        <f t="shared" si="19"/>
        <v>黒</v>
      </c>
      <c r="G126">
        <f>IF(AJ126="","",VLOOKUP(F126,tnpl!$X$1:$Y$16,2,TRUE))</f>
        <v>3</v>
      </c>
      <c r="H126" t="s">
        <v>3168</v>
      </c>
      <c r="I126">
        <f t="shared" si="20"/>
        <v>6</v>
      </c>
      <c r="J126" t="s">
        <v>3168</v>
      </c>
      <c r="K126">
        <f t="shared" si="21"/>
        <v>0</v>
      </c>
      <c r="L126">
        <f t="shared" si="22"/>
        <v>0</v>
      </c>
      <c r="M126" t="str">
        <f t="shared" si="15"/>
        <v/>
      </c>
      <c r="R126" t="s">
        <v>3175</v>
      </c>
      <c r="S126" t="s">
        <v>4750</v>
      </c>
      <c r="T126" t="str">
        <f t="shared" si="23"/>
        <v>死の円舞曲</v>
      </c>
      <c r="U126" t="str">
        <f t="shared" si="24"/>
        <v/>
      </c>
      <c r="V126" t="str">
        <f>IF(I126=0,VLOOKUP(T126,Sheet4!A:B,2,TRUE),"")</f>
        <v/>
      </c>
      <c r="W126" t="s">
        <v>4751</v>
      </c>
      <c r="X126" t="s">
        <v>3175</v>
      </c>
      <c r="Y126" s="9"/>
      <c r="Z126" s="10" t="s">
        <v>3563</v>
      </c>
      <c r="AA126" t="s">
        <v>4830</v>
      </c>
      <c r="AC126" t="str">
        <f t="shared" si="25"/>
        <v/>
      </c>
      <c r="AD126" t="str">
        <f t="shared" si="16"/>
        <v>破壊された</v>
      </c>
      <c r="AE126" t="str">
        <f t="shared" si="26"/>
        <v/>
      </c>
      <c r="AF126" t="str">
        <f t="shared" si="27"/>
        <v/>
      </c>
      <c r="AG126" t="b">
        <f t="shared" si="14"/>
        <v>0</v>
      </c>
      <c r="AH126" s="3">
        <v>620</v>
      </c>
      <c r="AI126" s="2" t="s">
        <v>3431</v>
      </c>
      <c r="AJ126" s="1" t="s">
        <v>1582</v>
      </c>
      <c r="AK126" s="1" t="s">
        <v>1744</v>
      </c>
      <c r="AL126" s="1">
        <v>6</v>
      </c>
      <c r="AM126" s="1" t="s">
        <v>1281</v>
      </c>
      <c r="AN126" s="1" t="s">
        <v>1280</v>
      </c>
      <c r="AO126" s="1" t="s">
        <v>1453</v>
      </c>
      <c r="AP126" s="1"/>
      <c r="AQ126" s="1"/>
      <c r="AR126" s="1"/>
      <c r="AS126" s="1" t="s">
        <v>3563</v>
      </c>
    </row>
    <row r="127" spans="1:45" x14ac:dyDescent="0.15">
      <c r="A127" t="str">
        <f t="shared" si="17"/>
        <v>|SOI|黒|9|4/4|《[[グール馬]]》|</v>
      </c>
      <c r="B127" t="s">
        <v>3168</v>
      </c>
      <c r="C127" t="str">
        <f t="shared" si="18"/>
        <v>SOI</v>
      </c>
      <c r="D127">
        <f>IF(AI127="","",VLOOKUP(C127,tnpl!$Z$1:$AA$11,2,TRUE))</f>
        <v>4</v>
      </c>
      <c r="E127" t="s">
        <v>3168</v>
      </c>
      <c r="F127" t="str">
        <f t="shared" si="19"/>
        <v>黒</v>
      </c>
      <c r="G127">
        <f>IF(AJ127="","",VLOOKUP(F127,tnpl!$X$1:$Y$16,2,TRUE))</f>
        <v>3</v>
      </c>
      <c r="H127" t="s">
        <v>3168</v>
      </c>
      <c r="I127">
        <f t="shared" si="20"/>
        <v>9</v>
      </c>
      <c r="J127" t="s">
        <v>3168</v>
      </c>
      <c r="K127">
        <f t="shared" si="21"/>
        <v>4</v>
      </c>
      <c r="L127">
        <f t="shared" si="22"/>
        <v>4</v>
      </c>
      <c r="M127" t="str">
        <f t="shared" si="15"/>
        <v>4/4</v>
      </c>
      <c r="R127" t="s">
        <v>3175</v>
      </c>
      <c r="S127" t="s">
        <v>4750</v>
      </c>
      <c r="T127" t="str">
        <f t="shared" si="23"/>
        <v>グール馬</v>
      </c>
      <c r="U127" t="str">
        <f t="shared" si="24"/>
        <v/>
      </c>
      <c r="V127" t="str">
        <f>IF(I127=0,VLOOKUP(T127,Sheet4!A:B,2,TRUE),"")</f>
        <v/>
      </c>
      <c r="W127" t="s">
        <v>4751</v>
      </c>
      <c r="X127" t="s">
        <v>3175</v>
      </c>
      <c r="Y127" s="9"/>
      <c r="Z127" s="10" t="s">
        <v>3570</v>
      </c>
      <c r="AA127" t="s">
        <v>4830</v>
      </c>
      <c r="AC127" t="str">
        <f t="shared" si="25"/>
        <v/>
      </c>
      <c r="AD127" t="str">
        <f t="shared" si="16"/>
        <v/>
      </c>
      <c r="AE127" t="str">
        <f t="shared" si="26"/>
        <v/>
      </c>
      <c r="AF127" t="str">
        <f t="shared" si="27"/>
        <v/>
      </c>
      <c r="AG127" t="b">
        <f t="shared" si="14"/>
        <v>0</v>
      </c>
      <c r="AH127" s="3">
        <v>624</v>
      </c>
      <c r="AI127" s="2" t="s">
        <v>3431</v>
      </c>
      <c r="AJ127" s="1" t="s">
        <v>1582</v>
      </c>
      <c r="AK127" s="1" t="s">
        <v>1451</v>
      </c>
      <c r="AL127" s="1">
        <v>9</v>
      </c>
      <c r="AM127" s="1" t="s">
        <v>1273</v>
      </c>
      <c r="AN127" s="1" t="s">
        <v>1272</v>
      </c>
      <c r="AO127" s="1" t="s">
        <v>339</v>
      </c>
      <c r="AP127" s="1"/>
      <c r="AQ127" s="1">
        <v>4</v>
      </c>
      <c r="AR127" s="1">
        <v>4</v>
      </c>
      <c r="AS127" s="1" t="s">
        <v>3570</v>
      </c>
    </row>
    <row r="128" spans="1:45" x14ac:dyDescent="0.15">
      <c r="A128" t="str">
        <f t="shared" si="17"/>
        <v>|SOI|黒|0|4/5|《[[悪魔憑きの魔女&gt;親切な余所者]]》|</v>
      </c>
      <c r="B128" t="s">
        <v>3168</v>
      </c>
      <c r="C128" t="str">
        <f t="shared" si="18"/>
        <v>SOI</v>
      </c>
      <c r="D128">
        <f>IF(AI128="","",VLOOKUP(C128,tnpl!$Z$1:$AA$11,2,TRUE))</f>
        <v>4</v>
      </c>
      <c r="E128" t="s">
        <v>3168</v>
      </c>
      <c r="F128" t="str">
        <f t="shared" si="19"/>
        <v>黒</v>
      </c>
      <c r="G128">
        <f>IF(AJ128="","",VLOOKUP(F128,tnpl!$X$1:$Y$16,2,TRUE))</f>
        <v>3</v>
      </c>
      <c r="H128" t="s">
        <v>3168</v>
      </c>
      <c r="I128">
        <f t="shared" si="20"/>
        <v>0</v>
      </c>
      <c r="J128" t="s">
        <v>3168</v>
      </c>
      <c r="K128">
        <f t="shared" si="21"/>
        <v>4</v>
      </c>
      <c r="L128">
        <f t="shared" si="22"/>
        <v>5</v>
      </c>
      <c r="M128" t="str">
        <f t="shared" si="15"/>
        <v>4/5</v>
      </c>
      <c r="R128" t="s">
        <v>3175</v>
      </c>
      <c r="S128" t="s">
        <v>4750</v>
      </c>
      <c r="T128" t="str">
        <f t="shared" si="23"/>
        <v>悪魔憑きの魔女</v>
      </c>
      <c r="U128" t="str">
        <f t="shared" si="24"/>
        <v>&gt;</v>
      </c>
      <c r="V128" t="str">
        <f>IF(I128=0,VLOOKUP(T128,Sheet4!A:B,2,TRUE),"")</f>
        <v>親切な余所者</v>
      </c>
      <c r="W128" t="s">
        <v>4751</v>
      </c>
      <c r="X128" t="s">
        <v>3175</v>
      </c>
      <c r="Y128" s="9"/>
      <c r="Z128" s="10" t="s">
        <v>3576</v>
      </c>
      <c r="AA128" t="s">
        <v>4825</v>
      </c>
      <c r="AC128" t="str">
        <f t="shared" si="25"/>
        <v>破壊する</v>
      </c>
      <c r="AD128" t="str">
        <f t="shared" si="16"/>
        <v/>
      </c>
      <c r="AE128" t="str">
        <f t="shared" si="26"/>
        <v/>
      </c>
      <c r="AF128" t="str">
        <f t="shared" si="27"/>
        <v/>
      </c>
      <c r="AG128" t="b">
        <f t="shared" si="14"/>
        <v>0</v>
      </c>
      <c r="AH128" s="3">
        <v>629</v>
      </c>
      <c r="AI128" s="2" t="s">
        <v>3431</v>
      </c>
      <c r="AJ128" s="1" t="s">
        <v>1582</v>
      </c>
      <c r="AK128" s="1" t="s">
        <v>1451</v>
      </c>
      <c r="AL128" s="13">
        <v>0</v>
      </c>
      <c r="AM128" s="1" t="s">
        <v>1025</v>
      </c>
      <c r="AN128" s="1" t="s">
        <v>1024</v>
      </c>
      <c r="AO128" s="1" t="s">
        <v>339</v>
      </c>
      <c r="AP128" s="1"/>
      <c r="AQ128" s="1">
        <v>4</v>
      </c>
      <c r="AR128" s="1">
        <v>5</v>
      </c>
      <c r="AS128" s="1" t="s">
        <v>3576</v>
      </c>
    </row>
    <row r="129" spans="1:45" x14ac:dyDescent="0.15">
      <c r="A129" t="str">
        <f t="shared" si="17"/>
        <v>|SOI|黒|12|2/2|《[[神出鬼没な拷問者]]》|</v>
      </c>
      <c r="B129" t="s">
        <v>3168</v>
      </c>
      <c r="C129" t="str">
        <f t="shared" si="18"/>
        <v>SOI</v>
      </c>
      <c r="D129">
        <f>IF(AI129="","",VLOOKUP(C129,tnpl!$Z$1:$AA$11,2,TRUE))</f>
        <v>4</v>
      </c>
      <c r="E129" t="s">
        <v>3168</v>
      </c>
      <c r="F129" t="str">
        <f t="shared" si="19"/>
        <v>黒</v>
      </c>
      <c r="G129">
        <f>IF(AJ129="","",VLOOKUP(F129,tnpl!$X$1:$Y$16,2,TRUE))</f>
        <v>3</v>
      </c>
      <c r="H129" t="s">
        <v>3168</v>
      </c>
      <c r="I129">
        <f t="shared" si="20"/>
        <v>12</v>
      </c>
      <c r="J129" t="s">
        <v>3168</v>
      </c>
      <c r="K129">
        <f t="shared" si="21"/>
        <v>2</v>
      </c>
      <c r="L129">
        <f t="shared" si="22"/>
        <v>2</v>
      </c>
      <c r="M129" t="str">
        <f t="shared" si="15"/>
        <v>2/2</v>
      </c>
      <c r="R129" t="s">
        <v>3175</v>
      </c>
      <c r="S129" t="s">
        <v>4750</v>
      </c>
      <c r="T129" t="str">
        <f t="shared" si="23"/>
        <v>神出鬼没な拷問者</v>
      </c>
      <c r="U129" t="str">
        <f t="shared" si="24"/>
        <v/>
      </c>
      <c r="V129" t="str">
        <f>IF(I129=0,VLOOKUP(T129,Sheet4!A:B,2,TRUE),"")</f>
        <v/>
      </c>
      <c r="W129" t="s">
        <v>4751</v>
      </c>
      <c r="X129" t="s">
        <v>3175</v>
      </c>
      <c r="Y129" s="9"/>
      <c r="Z129" s="10" t="s">
        <v>4831</v>
      </c>
      <c r="AA129" t="s">
        <v>4825</v>
      </c>
      <c r="AC129" t="str">
        <f t="shared" si="25"/>
        <v>破壊する</v>
      </c>
      <c r="AD129" t="str">
        <f t="shared" si="16"/>
        <v/>
      </c>
      <c r="AE129" t="str">
        <f t="shared" si="26"/>
        <v/>
      </c>
      <c r="AF129" t="str">
        <f t="shared" si="27"/>
        <v/>
      </c>
      <c r="AG129" t="b">
        <f t="shared" si="14"/>
        <v>0</v>
      </c>
      <c r="AH129" s="3">
        <v>635</v>
      </c>
      <c r="AI129" s="2" t="s">
        <v>3431</v>
      </c>
      <c r="AJ129" s="1" t="s">
        <v>1582</v>
      </c>
      <c r="AK129" s="1" t="s">
        <v>1441</v>
      </c>
      <c r="AL129" s="14">
        <v>12</v>
      </c>
      <c r="AM129" s="1" t="s">
        <v>1255</v>
      </c>
      <c r="AN129" s="1" t="s">
        <v>1254</v>
      </c>
      <c r="AO129" s="1" t="s">
        <v>339</v>
      </c>
      <c r="AP129" s="1"/>
      <c r="AQ129" s="1">
        <v>2</v>
      </c>
      <c r="AR129" s="1">
        <v>2</v>
      </c>
      <c r="AS129" s="1" t="s">
        <v>4754</v>
      </c>
    </row>
    <row r="130" spans="1:45" x14ac:dyDescent="0.15">
      <c r="A130" t="str">
        <f t="shared" si="17"/>
        <v>|SOI|黒|13||《[[末永く]]》|</v>
      </c>
      <c r="B130" t="s">
        <v>3168</v>
      </c>
      <c r="C130" t="str">
        <f t="shared" si="18"/>
        <v>SOI</v>
      </c>
      <c r="D130">
        <f>IF(AI130="","",VLOOKUP(C130,tnpl!$Z$1:$AA$11,2,TRUE))</f>
        <v>4</v>
      </c>
      <c r="E130" t="s">
        <v>3168</v>
      </c>
      <c r="F130" t="str">
        <f t="shared" si="19"/>
        <v>黒</v>
      </c>
      <c r="G130">
        <f>IF(AJ130="","",VLOOKUP(F130,tnpl!$X$1:$Y$16,2,TRUE))</f>
        <v>3</v>
      </c>
      <c r="H130" t="s">
        <v>3168</v>
      </c>
      <c r="I130">
        <f t="shared" si="20"/>
        <v>13</v>
      </c>
      <c r="J130" t="s">
        <v>3168</v>
      </c>
      <c r="K130">
        <f t="shared" si="21"/>
        <v>0</v>
      </c>
      <c r="L130">
        <f t="shared" si="22"/>
        <v>0</v>
      </c>
      <c r="M130" t="str">
        <f t="shared" si="15"/>
        <v/>
      </c>
      <c r="R130" t="s">
        <v>3175</v>
      </c>
      <c r="S130" t="s">
        <v>4750</v>
      </c>
      <c r="T130" t="str">
        <f t="shared" si="23"/>
        <v>末永く</v>
      </c>
      <c r="U130" t="str">
        <f t="shared" si="24"/>
        <v/>
      </c>
      <c r="V130" t="str">
        <f>IF(I130=0,VLOOKUP(T130,Sheet4!A:B,2,TRUE),"")</f>
        <v/>
      </c>
      <c r="W130" t="s">
        <v>4751</v>
      </c>
      <c r="X130" t="s">
        <v>3175</v>
      </c>
      <c r="Y130" s="9"/>
      <c r="Z130" s="10" t="s">
        <v>3591</v>
      </c>
      <c r="AA130" t="s">
        <v>4830</v>
      </c>
      <c r="AC130" t="str">
        <f t="shared" si="25"/>
        <v/>
      </c>
      <c r="AD130" t="str">
        <f t="shared" si="16"/>
        <v>破壊された</v>
      </c>
      <c r="AE130" t="str">
        <f t="shared" si="26"/>
        <v/>
      </c>
      <c r="AF130" t="str">
        <f t="shared" si="27"/>
        <v/>
      </c>
      <c r="AG130" t="b">
        <f t="shared" si="14"/>
        <v>0</v>
      </c>
      <c r="AH130" s="3">
        <v>637</v>
      </c>
      <c r="AI130" s="2" t="s">
        <v>3431</v>
      </c>
      <c r="AJ130" s="1" t="s">
        <v>1582</v>
      </c>
      <c r="AK130" s="1" t="s">
        <v>1441</v>
      </c>
      <c r="AL130" s="1">
        <v>13</v>
      </c>
      <c r="AM130" s="1" t="s">
        <v>1253</v>
      </c>
      <c r="AN130" s="1" t="s">
        <v>1252</v>
      </c>
      <c r="AO130" s="1" t="s">
        <v>1453</v>
      </c>
      <c r="AP130" s="1"/>
      <c r="AQ130" s="1"/>
      <c r="AR130" s="1"/>
      <c r="AS130" s="1" t="s">
        <v>3591</v>
      </c>
    </row>
    <row r="131" spans="1:45" x14ac:dyDescent="0.15">
      <c r="A131" t="str">
        <f t="shared" si="17"/>
        <v>|SOI|黒|5||《[[餌食]]》|</v>
      </c>
      <c r="B131" t="s">
        <v>3168</v>
      </c>
      <c r="C131" t="str">
        <f t="shared" si="18"/>
        <v>SOI</v>
      </c>
      <c r="D131">
        <f>IF(AI131="","",VLOOKUP(C131,tnpl!$Z$1:$AA$11,2,TRUE))</f>
        <v>4</v>
      </c>
      <c r="E131" t="s">
        <v>3168</v>
      </c>
      <c r="F131" t="str">
        <f t="shared" si="19"/>
        <v>黒</v>
      </c>
      <c r="G131">
        <f>IF(AJ131="","",VLOOKUP(F131,tnpl!$X$1:$Y$16,2,TRUE))</f>
        <v>3</v>
      </c>
      <c r="H131" t="s">
        <v>3168</v>
      </c>
      <c r="I131">
        <f t="shared" si="20"/>
        <v>5</v>
      </c>
      <c r="J131" t="s">
        <v>3168</v>
      </c>
      <c r="K131">
        <f t="shared" si="21"/>
        <v>0</v>
      </c>
      <c r="L131">
        <f t="shared" si="22"/>
        <v>0</v>
      </c>
      <c r="M131" t="str">
        <f t="shared" si="15"/>
        <v/>
      </c>
      <c r="R131" t="s">
        <v>3175</v>
      </c>
      <c r="S131" t="s">
        <v>4750</v>
      </c>
      <c r="T131" t="str">
        <f t="shared" si="23"/>
        <v>餌食</v>
      </c>
      <c r="U131" t="str">
        <f t="shared" si="24"/>
        <v/>
      </c>
      <c r="V131" t="str">
        <f>IF(I131=0,VLOOKUP(T131,Sheet4!A:B,2,TRUE),"")</f>
        <v/>
      </c>
      <c r="W131" t="s">
        <v>4751</v>
      </c>
      <c r="X131" t="s">
        <v>3175</v>
      </c>
      <c r="Y131" s="9"/>
      <c r="Z131" s="10" t="s">
        <v>3595</v>
      </c>
      <c r="AA131" t="s">
        <v>4825</v>
      </c>
      <c r="AC131" t="str">
        <f t="shared" si="25"/>
        <v>破壊する</v>
      </c>
      <c r="AD131" t="str">
        <f t="shared" si="16"/>
        <v/>
      </c>
      <c r="AE131" t="str">
        <f t="shared" si="26"/>
        <v/>
      </c>
      <c r="AF131" t="str">
        <f t="shared" si="27"/>
        <v/>
      </c>
      <c r="AG131" t="b">
        <f t="shared" si="14"/>
        <v>0</v>
      </c>
      <c r="AH131" s="3">
        <v>639</v>
      </c>
      <c r="AI131" s="2" t="s">
        <v>3431</v>
      </c>
      <c r="AJ131" s="1" t="s">
        <v>1582</v>
      </c>
      <c r="AK131" s="1" t="s">
        <v>1441</v>
      </c>
      <c r="AL131" s="1">
        <v>5</v>
      </c>
      <c r="AM131" s="1" t="s">
        <v>1249</v>
      </c>
      <c r="AN131" s="1" t="s">
        <v>1248</v>
      </c>
      <c r="AO131" s="1" t="s">
        <v>1453</v>
      </c>
      <c r="AP131" s="1"/>
      <c r="AQ131" s="1"/>
      <c r="AR131" s="1"/>
      <c r="AS131" s="1" t="s">
        <v>3595</v>
      </c>
    </row>
    <row r="132" spans="1:45" x14ac:dyDescent="0.15">
      <c r="A132" t="str">
        <f t="shared" si="17"/>
        <v>|SOI|黒|14|2/2|《[[無情な死者]]》|</v>
      </c>
      <c r="B132" t="s">
        <v>3168</v>
      </c>
      <c r="C132" t="str">
        <f t="shared" si="18"/>
        <v>SOI</v>
      </c>
      <c r="D132">
        <f>IF(AI132="","",VLOOKUP(C132,tnpl!$Z$1:$AA$11,2,TRUE))</f>
        <v>4</v>
      </c>
      <c r="E132" t="s">
        <v>3168</v>
      </c>
      <c r="F132" t="str">
        <f t="shared" si="19"/>
        <v>黒</v>
      </c>
      <c r="G132">
        <f>IF(AJ132="","",VLOOKUP(F132,tnpl!$X$1:$Y$16,2,TRUE))</f>
        <v>3</v>
      </c>
      <c r="H132" t="s">
        <v>3168</v>
      </c>
      <c r="I132">
        <f t="shared" si="20"/>
        <v>14</v>
      </c>
      <c r="J132" t="s">
        <v>3168</v>
      </c>
      <c r="K132">
        <f t="shared" si="21"/>
        <v>2</v>
      </c>
      <c r="L132">
        <f t="shared" si="22"/>
        <v>2</v>
      </c>
      <c r="M132" t="str">
        <f t="shared" si="15"/>
        <v>2/2</v>
      </c>
      <c r="R132" t="s">
        <v>3175</v>
      </c>
      <c r="S132" t="s">
        <v>4750</v>
      </c>
      <c r="T132" t="str">
        <f t="shared" si="23"/>
        <v>無情な死者</v>
      </c>
      <c r="U132" t="str">
        <f t="shared" si="24"/>
        <v/>
      </c>
      <c r="V132" t="str">
        <f>IF(I132=0,VLOOKUP(T132,Sheet4!A:B,2,TRUE),"")</f>
        <v/>
      </c>
      <c r="W132" t="s">
        <v>4751</v>
      </c>
      <c r="X132" t="s">
        <v>3175</v>
      </c>
      <c r="Y132" s="9"/>
      <c r="Z132" s="10" t="s">
        <v>3601</v>
      </c>
      <c r="AA132" t="s">
        <v>4757</v>
      </c>
      <c r="AC132" t="str">
        <f t="shared" si="25"/>
        <v/>
      </c>
      <c r="AD132" t="str">
        <f t="shared" si="16"/>
        <v>破壊された</v>
      </c>
      <c r="AE132" t="str">
        <f t="shared" si="26"/>
        <v/>
      </c>
      <c r="AF132" t="str">
        <f t="shared" si="27"/>
        <v/>
      </c>
      <c r="AG132" t="b">
        <f t="shared" si="14"/>
        <v>0</v>
      </c>
      <c r="AH132" s="3">
        <v>641</v>
      </c>
      <c r="AI132" s="2" t="s">
        <v>3431</v>
      </c>
      <c r="AJ132" s="1" t="s">
        <v>1582</v>
      </c>
      <c r="AK132" s="1" t="s">
        <v>1431</v>
      </c>
      <c r="AL132" s="1">
        <v>14</v>
      </c>
      <c r="AM132" s="1" t="s">
        <v>1245</v>
      </c>
      <c r="AN132" s="1" t="s">
        <v>1244</v>
      </c>
      <c r="AO132" s="1" t="s">
        <v>339</v>
      </c>
      <c r="AP132" s="1"/>
      <c r="AQ132" s="1">
        <v>2</v>
      </c>
      <c r="AR132" s="1">
        <v>2</v>
      </c>
      <c r="AS132" s="1" t="s">
        <v>3601</v>
      </c>
    </row>
    <row r="133" spans="1:45" x14ac:dyDescent="0.15">
      <c r="A133" t="str">
        <f t="shared" si="17"/>
        <v>|SOI|赤|3||《[[突沸の器]]》|</v>
      </c>
      <c r="B133" t="s">
        <v>3168</v>
      </c>
      <c r="C133" t="str">
        <f t="shared" si="18"/>
        <v>SOI</v>
      </c>
      <c r="D133">
        <f>IF(AI133="","",VLOOKUP(C133,tnpl!$Z$1:$AA$11,2,TRUE))</f>
        <v>4</v>
      </c>
      <c r="E133" t="s">
        <v>3168</v>
      </c>
      <c r="F133" t="str">
        <f t="shared" si="19"/>
        <v>赤</v>
      </c>
      <c r="G133">
        <f>IF(AJ133="","",VLOOKUP(F133,tnpl!$X$1:$Y$16,2,TRUE))</f>
        <v>4</v>
      </c>
      <c r="H133" t="s">
        <v>3168</v>
      </c>
      <c r="I133">
        <f t="shared" si="20"/>
        <v>3</v>
      </c>
      <c r="J133" t="s">
        <v>3168</v>
      </c>
      <c r="K133">
        <f t="shared" si="21"/>
        <v>0</v>
      </c>
      <c r="L133">
        <f t="shared" si="22"/>
        <v>0</v>
      </c>
      <c r="M133" t="str">
        <f t="shared" si="15"/>
        <v/>
      </c>
      <c r="R133" t="s">
        <v>3175</v>
      </c>
      <c r="S133" t="s">
        <v>4750</v>
      </c>
      <c r="T133" t="str">
        <f t="shared" si="23"/>
        <v>突沸の器</v>
      </c>
      <c r="U133" t="str">
        <f t="shared" si="24"/>
        <v/>
      </c>
      <c r="V133" t="str">
        <f>IF(I133=0,VLOOKUP(T133,Sheet4!A:B,2,TRUE),"")</f>
        <v/>
      </c>
      <c r="W133" t="s">
        <v>4751</v>
      </c>
      <c r="X133" t="s">
        <v>3175</v>
      </c>
      <c r="Y133" s="9"/>
      <c r="Z133" s="10" t="s">
        <v>3616</v>
      </c>
      <c r="AA133" t="s">
        <v>4757</v>
      </c>
      <c r="AC133" t="str">
        <f t="shared" si="25"/>
        <v/>
      </c>
      <c r="AD133" t="str">
        <f t="shared" si="16"/>
        <v>破壊された</v>
      </c>
      <c r="AE133" t="str">
        <f t="shared" si="26"/>
        <v/>
      </c>
      <c r="AF133" t="str">
        <f t="shared" si="27"/>
        <v/>
      </c>
      <c r="AG133" t="b">
        <f t="shared" si="14"/>
        <v>0</v>
      </c>
      <c r="AH133" s="3">
        <v>656</v>
      </c>
      <c r="AI133" s="2" t="s">
        <v>3431</v>
      </c>
      <c r="AJ133" s="1" t="s">
        <v>1552</v>
      </c>
      <c r="AK133" s="1" t="s">
        <v>1744</v>
      </c>
      <c r="AL133" s="1">
        <v>3</v>
      </c>
      <c r="AM133" s="1" t="s">
        <v>1220</v>
      </c>
      <c r="AN133" s="1" t="s">
        <v>1219</v>
      </c>
      <c r="AO133" s="1" t="s">
        <v>288</v>
      </c>
      <c r="AP133" s="1">
        <v>1</v>
      </c>
      <c r="AQ133" s="1"/>
      <c r="AR133" s="1"/>
      <c r="AS133" s="1" t="s">
        <v>3616</v>
      </c>
    </row>
    <row r="134" spans="1:45" x14ac:dyDescent="0.15">
      <c r="A134" t="str">
        <f t="shared" si="17"/>
        <v>|SOI|赤|12||《[[嵐の活用]]》|</v>
      </c>
      <c r="B134" t="s">
        <v>3168</v>
      </c>
      <c r="C134" t="str">
        <f t="shared" si="18"/>
        <v>SOI</v>
      </c>
      <c r="D134">
        <f>IF(AI134="","",VLOOKUP(C134,tnpl!$Z$1:$AA$11,2,TRUE))</f>
        <v>4</v>
      </c>
      <c r="E134" t="s">
        <v>3168</v>
      </c>
      <c r="F134" t="str">
        <f t="shared" si="19"/>
        <v>赤</v>
      </c>
      <c r="G134">
        <f>IF(AJ134="","",VLOOKUP(F134,tnpl!$X$1:$Y$16,2,TRUE))</f>
        <v>4</v>
      </c>
      <c r="H134" t="s">
        <v>3168</v>
      </c>
      <c r="I134">
        <f t="shared" si="20"/>
        <v>12</v>
      </c>
      <c r="J134" t="s">
        <v>3168</v>
      </c>
      <c r="K134">
        <f t="shared" si="21"/>
        <v>0</v>
      </c>
      <c r="L134">
        <f t="shared" si="22"/>
        <v>0</v>
      </c>
      <c r="M134" t="str">
        <f t="shared" si="15"/>
        <v/>
      </c>
      <c r="R134" t="s">
        <v>3175</v>
      </c>
      <c r="S134" t="s">
        <v>4750</v>
      </c>
      <c r="T134" t="str">
        <f t="shared" si="23"/>
        <v>嵐の活用</v>
      </c>
      <c r="U134" t="str">
        <f t="shared" si="24"/>
        <v/>
      </c>
      <c r="V134" t="str">
        <f>IF(I134=0,VLOOKUP(T134,Sheet4!A:B,2,TRUE),"")</f>
        <v/>
      </c>
      <c r="W134" t="s">
        <v>4751</v>
      </c>
      <c r="X134" t="s">
        <v>3175</v>
      </c>
      <c r="Y134" s="9"/>
      <c r="Z134" s="10" t="s">
        <v>3651</v>
      </c>
      <c r="AA134" t="s">
        <v>4828</v>
      </c>
      <c r="AC134" t="str">
        <f t="shared" si="25"/>
        <v>破壊する</v>
      </c>
      <c r="AD134" t="str">
        <f t="shared" si="16"/>
        <v/>
      </c>
      <c r="AE134" t="str">
        <f t="shared" si="26"/>
        <v/>
      </c>
      <c r="AF134" t="str">
        <f t="shared" si="27"/>
        <v/>
      </c>
      <c r="AG134" t="b">
        <f t="shared" si="14"/>
        <v>0</v>
      </c>
      <c r="AH134" s="3">
        <v>678</v>
      </c>
      <c r="AI134" s="2" t="s">
        <v>3431</v>
      </c>
      <c r="AJ134" s="1" t="s">
        <v>1552</v>
      </c>
      <c r="AK134" s="1" t="s">
        <v>1431</v>
      </c>
      <c r="AL134" s="1">
        <v>12</v>
      </c>
      <c r="AM134" s="1" t="s">
        <v>1184</v>
      </c>
      <c r="AN134" s="1" t="s">
        <v>1183</v>
      </c>
      <c r="AO134" s="1" t="s">
        <v>288</v>
      </c>
      <c r="AP134" s="1">
        <v>3</v>
      </c>
      <c r="AQ134" s="1"/>
      <c r="AR134" s="1"/>
      <c r="AS134" s="1" t="s">
        <v>3651</v>
      </c>
    </row>
    <row r="135" spans="1:45" x14ac:dyDescent="0.15">
      <c r="A135" t="str">
        <f t="shared" si="17"/>
        <v>|SOI|緑|10||《[[根から絶つ]]》|</v>
      </c>
      <c r="B135" t="s">
        <v>3168</v>
      </c>
      <c r="C135" t="str">
        <f t="shared" si="18"/>
        <v>SOI</v>
      </c>
      <c r="D135">
        <f>IF(AI135="","",VLOOKUP(C135,tnpl!$Z$1:$AA$11,2,TRUE))</f>
        <v>4</v>
      </c>
      <c r="E135" t="s">
        <v>3168</v>
      </c>
      <c r="F135" t="str">
        <f t="shared" si="19"/>
        <v>緑</v>
      </c>
      <c r="G135">
        <f>IF(AJ135="","",VLOOKUP(F135,tnpl!$X$1:$Y$16,2,TRUE))</f>
        <v>5</v>
      </c>
      <c r="H135" t="s">
        <v>3168</v>
      </c>
      <c r="I135">
        <f t="shared" si="20"/>
        <v>10</v>
      </c>
      <c r="J135" t="s">
        <v>3168</v>
      </c>
      <c r="K135">
        <f t="shared" si="21"/>
        <v>0</v>
      </c>
      <c r="L135">
        <f t="shared" si="22"/>
        <v>0</v>
      </c>
      <c r="M135" t="str">
        <f t="shared" si="15"/>
        <v/>
      </c>
      <c r="R135" t="s">
        <v>3175</v>
      </c>
      <c r="S135" t="s">
        <v>4750</v>
      </c>
      <c r="T135" t="str">
        <f t="shared" si="23"/>
        <v>根から絶つ</v>
      </c>
      <c r="U135" t="str">
        <f t="shared" si="24"/>
        <v/>
      </c>
      <c r="V135" t="str">
        <f>IF(I135=0,VLOOKUP(T135,Sheet4!A:B,2,TRUE),"")</f>
        <v/>
      </c>
      <c r="W135" t="s">
        <v>4751</v>
      </c>
      <c r="X135" t="s">
        <v>3175</v>
      </c>
      <c r="Y135" s="9"/>
      <c r="Z135" s="10" t="s">
        <v>3660</v>
      </c>
      <c r="AA135" t="s">
        <v>4826</v>
      </c>
      <c r="AC135" t="str">
        <f t="shared" si="25"/>
        <v>破壊する</v>
      </c>
      <c r="AD135" t="str">
        <f t="shared" si="16"/>
        <v/>
      </c>
      <c r="AE135" t="str">
        <f t="shared" si="26"/>
        <v/>
      </c>
      <c r="AF135" t="str">
        <f t="shared" si="27"/>
        <v/>
      </c>
      <c r="AG135" t="b">
        <f t="shared" si="14"/>
        <v>0</v>
      </c>
      <c r="AH135" s="3">
        <v>691</v>
      </c>
      <c r="AI135" s="2" t="s">
        <v>3431</v>
      </c>
      <c r="AJ135" s="1" t="s">
        <v>1518</v>
      </c>
      <c r="AK135" s="1" t="s">
        <v>1744</v>
      </c>
      <c r="AL135" s="1">
        <v>10</v>
      </c>
      <c r="AM135" s="1" t="s">
        <v>1162</v>
      </c>
      <c r="AN135" s="1" t="s">
        <v>1161</v>
      </c>
      <c r="AO135" s="1" t="s">
        <v>1453</v>
      </c>
      <c r="AP135" s="1"/>
      <c r="AQ135" s="1"/>
      <c r="AR135" s="1"/>
      <c r="AS135" s="1" t="s">
        <v>3660</v>
      </c>
    </row>
    <row r="136" spans="1:45" x14ac:dyDescent="0.15">
      <c r="A136" t="str">
        <f t="shared" si="17"/>
        <v>|SOI|緑|4||《[[発生の器]]》|</v>
      </c>
      <c r="B136" t="s">
        <v>3168</v>
      </c>
      <c r="C136" t="str">
        <f t="shared" si="18"/>
        <v>SOI</v>
      </c>
      <c r="D136">
        <f>IF(AI136="","",VLOOKUP(C136,tnpl!$Z$1:$AA$11,2,TRUE))</f>
        <v>4</v>
      </c>
      <c r="E136" t="s">
        <v>3168</v>
      </c>
      <c r="F136" t="str">
        <f t="shared" si="19"/>
        <v>緑</v>
      </c>
      <c r="G136">
        <f>IF(AJ136="","",VLOOKUP(F136,tnpl!$X$1:$Y$16,2,TRUE))</f>
        <v>5</v>
      </c>
      <c r="H136" t="s">
        <v>3168</v>
      </c>
      <c r="I136">
        <f t="shared" si="20"/>
        <v>4</v>
      </c>
      <c r="J136" t="s">
        <v>3168</v>
      </c>
      <c r="K136">
        <f t="shared" si="21"/>
        <v>0</v>
      </c>
      <c r="L136">
        <f t="shared" si="22"/>
        <v>0</v>
      </c>
      <c r="M136" t="str">
        <f t="shared" si="15"/>
        <v/>
      </c>
      <c r="R136" t="s">
        <v>3175</v>
      </c>
      <c r="S136" t="s">
        <v>4750</v>
      </c>
      <c r="T136" t="str">
        <f t="shared" si="23"/>
        <v>発生の器</v>
      </c>
      <c r="U136" t="str">
        <f t="shared" si="24"/>
        <v/>
      </c>
      <c r="V136" t="str">
        <f>IF(I136=0,VLOOKUP(T136,Sheet4!A:B,2,TRUE),"")</f>
        <v/>
      </c>
      <c r="W136" t="s">
        <v>4751</v>
      </c>
      <c r="X136" t="s">
        <v>3175</v>
      </c>
      <c r="Y136" s="9"/>
      <c r="Z136" s="10" t="s">
        <v>3662</v>
      </c>
      <c r="AA136" t="s">
        <v>4757</v>
      </c>
      <c r="AC136" t="str">
        <f t="shared" si="25"/>
        <v/>
      </c>
      <c r="AD136" t="str">
        <f t="shared" si="16"/>
        <v>破壊された</v>
      </c>
      <c r="AE136" t="str">
        <f t="shared" si="26"/>
        <v/>
      </c>
      <c r="AF136" t="str">
        <f t="shared" si="27"/>
        <v/>
      </c>
      <c r="AG136" t="b">
        <f t="shared" ref="AG136:AG199" si="28">OR(AD136="与える",AF136="得る")</f>
        <v>0</v>
      </c>
      <c r="AH136" s="3">
        <v>693</v>
      </c>
      <c r="AI136" s="2" t="s">
        <v>3431</v>
      </c>
      <c r="AJ136" s="1" t="s">
        <v>1518</v>
      </c>
      <c r="AK136" s="1" t="s">
        <v>1744</v>
      </c>
      <c r="AL136" s="1">
        <v>4</v>
      </c>
      <c r="AM136" s="1" t="s">
        <v>1158</v>
      </c>
      <c r="AN136" s="1" t="s">
        <v>1157</v>
      </c>
      <c r="AO136" s="1" t="s">
        <v>288</v>
      </c>
      <c r="AP136" s="1">
        <v>1</v>
      </c>
      <c r="AQ136" s="1"/>
      <c r="AR136" s="1"/>
      <c r="AS136" s="1" t="s">
        <v>3662</v>
      </c>
    </row>
    <row r="137" spans="1:45" x14ac:dyDescent="0.15">
      <c r="A137" t="str">
        <f t="shared" si="17"/>
        <v>|SOI|緑|20||《[[過ぎ去った季節]]》|</v>
      </c>
      <c r="B137" t="s">
        <v>3168</v>
      </c>
      <c r="C137" t="str">
        <f t="shared" si="18"/>
        <v>SOI</v>
      </c>
      <c r="D137">
        <f>IF(AI137="","",VLOOKUP(C137,tnpl!$Z$1:$AA$11,2,TRUE))</f>
        <v>4</v>
      </c>
      <c r="E137" t="s">
        <v>3168</v>
      </c>
      <c r="F137" t="str">
        <f t="shared" si="19"/>
        <v>緑</v>
      </c>
      <c r="G137">
        <f>IF(AJ137="","",VLOOKUP(F137,tnpl!$X$1:$Y$16,2,TRUE))</f>
        <v>5</v>
      </c>
      <c r="H137" t="s">
        <v>3168</v>
      </c>
      <c r="I137">
        <f t="shared" si="20"/>
        <v>20</v>
      </c>
      <c r="J137" t="s">
        <v>3168</v>
      </c>
      <c r="K137">
        <f t="shared" si="21"/>
        <v>0</v>
      </c>
      <c r="L137">
        <f t="shared" si="22"/>
        <v>0</v>
      </c>
      <c r="M137" t="str">
        <f t="shared" ref="M137:M200" si="29">IF(AO137="クリーチャー",K137&amp;"/"&amp;L137,"")</f>
        <v/>
      </c>
      <c r="R137" t="s">
        <v>3175</v>
      </c>
      <c r="S137" t="s">
        <v>4750</v>
      </c>
      <c r="T137" t="str">
        <f t="shared" si="23"/>
        <v>過ぎ去った季節</v>
      </c>
      <c r="U137" t="str">
        <f t="shared" si="24"/>
        <v/>
      </c>
      <c r="V137" t="str">
        <f>IF(I137=0,VLOOKUP(T137,Sheet4!A:B,2,TRUE),"")</f>
        <v/>
      </c>
      <c r="W137" t="s">
        <v>4751</v>
      </c>
      <c r="X137" t="s">
        <v>3175</v>
      </c>
      <c r="Y137" s="9"/>
      <c r="Z137" s="10" t="s">
        <v>3708</v>
      </c>
      <c r="AA137" t="s">
        <v>4830</v>
      </c>
      <c r="AC137" t="str">
        <f t="shared" si="25"/>
        <v/>
      </c>
      <c r="AD137" t="str">
        <f t="shared" ref="AD137:AD200" si="30">IF(ISERR(SEARCH("破壊された",Z137,1)),"","破壊された")</f>
        <v>破壊された</v>
      </c>
      <c r="AE137" t="str">
        <f t="shared" si="26"/>
        <v/>
      </c>
      <c r="AF137" t="str">
        <f t="shared" si="27"/>
        <v/>
      </c>
      <c r="AG137" t="b">
        <f t="shared" si="28"/>
        <v>0</v>
      </c>
      <c r="AH137" s="3">
        <v>715</v>
      </c>
      <c r="AI137" s="2" t="s">
        <v>3431</v>
      </c>
      <c r="AJ137" s="1" t="s">
        <v>1518</v>
      </c>
      <c r="AK137" s="1" t="s">
        <v>1431</v>
      </c>
      <c r="AL137" s="1">
        <v>20</v>
      </c>
      <c r="AM137" s="1" t="s">
        <v>1122</v>
      </c>
      <c r="AN137" s="1" t="s">
        <v>1121</v>
      </c>
      <c r="AO137" s="1" t="s">
        <v>1453</v>
      </c>
      <c r="AP137" s="1"/>
      <c r="AQ137" s="1"/>
      <c r="AR137" s="1"/>
      <c r="AS137" s="1" t="s">
        <v>3708</v>
      </c>
    </row>
    <row r="138" spans="1:45" x14ac:dyDescent="0.15">
      <c r="A138" t="str">
        <f t="shared" ref="A138:A201" si="31">B138&amp;C138&amp;E138&amp;F138&amp;H138&amp;I138&amp;J138&amp;M138&amp;N138&amp;O138&amp;P138&amp;Q138&amp;R138&amp;S138&amp;T138&amp;U138&amp;V138&amp;W138&amp;X138&amp;Y138</f>
        <v>|SOI|青黒|10|2/2|《[[秘蔵の縫合体]]》|</v>
      </c>
      <c r="B138" t="s">
        <v>3168</v>
      </c>
      <c r="C138" t="str">
        <f t="shared" ref="C138:C201" si="32">AI138</f>
        <v>SOI</v>
      </c>
      <c r="D138">
        <f>IF(AI138="","",VLOOKUP(C138,tnpl!$Z$1:$AA$11,2,TRUE))</f>
        <v>4</v>
      </c>
      <c r="E138" t="s">
        <v>3168</v>
      </c>
      <c r="F138" t="str">
        <f t="shared" ref="F138:F201" si="33">AJ138</f>
        <v>青黒</v>
      </c>
      <c r="G138">
        <f>IF(AJ138="","",VLOOKUP(F138,tnpl!$X$1:$Y$16,2,TRUE))</f>
        <v>7</v>
      </c>
      <c r="H138" t="s">
        <v>3168</v>
      </c>
      <c r="I138">
        <f t="shared" ref="I138:I201" si="34">AL138</f>
        <v>10</v>
      </c>
      <c r="J138" t="s">
        <v>3168</v>
      </c>
      <c r="K138">
        <f t="shared" ref="K138:K201" si="35">AQ138</f>
        <v>2</v>
      </c>
      <c r="L138">
        <f t="shared" ref="L138:L201" si="36">AR138</f>
        <v>2</v>
      </c>
      <c r="M138" t="str">
        <f t="shared" si="29"/>
        <v>2/2</v>
      </c>
      <c r="R138" t="s">
        <v>3175</v>
      </c>
      <c r="S138" t="s">
        <v>4750</v>
      </c>
      <c r="T138" t="str">
        <f t="shared" ref="T138:T201" si="37">AM138</f>
        <v>秘蔵の縫合体</v>
      </c>
      <c r="U138" t="str">
        <f t="shared" ref="U138:U201" si="38">IF(I138=0,"&gt;","")</f>
        <v/>
      </c>
      <c r="V138" t="str">
        <f>IF(I138=0,VLOOKUP(T138,Sheet4!A:B,2,TRUE),"")</f>
        <v/>
      </c>
      <c r="W138" t="s">
        <v>4751</v>
      </c>
      <c r="X138" t="s">
        <v>3175</v>
      </c>
      <c r="Y138" s="9"/>
      <c r="Z138" s="10" t="s">
        <v>3710</v>
      </c>
      <c r="AA138" t="s">
        <v>4830</v>
      </c>
      <c r="AC138" t="str">
        <f t="shared" ref="AC138:AC201" si="39">IF(ISERR(SEARCH("破壊する",Z138,1)),"","破壊する")</f>
        <v/>
      </c>
      <c r="AD138" t="str">
        <f t="shared" si="30"/>
        <v/>
      </c>
      <c r="AE138" t="str">
        <f t="shared" ref="AE138:AE201" si="40">IF(ISERR(SEARCH("破壊される",Z138,1)),"","破壊される")</f>
        <v/>
      </c>
      <c r="AF138" t="str">
        <f t="shared" ref="AF138:AF201" si="41">IF(ISERR(SEARCH("破壊し",Z138,1)),"","破壊し")</f>
        <v/>
      </c>
      <c r="AG138" t="b">
        <f t="shared" si="28"/>
        <v>0</v>
      </c>
      <c r="AH138" s="3">
        <v>716</v>
      </c>
      <c r="AI138" s="2" t="s">
        <v>3431</v>
      </c>
      <c r="AJ138" s="1" t="s">
        <v>1508</v>
      </c>
      <c r="AK138" s="1" t="s">
        <v>1441</v>
      </c>
      <c r="AL138" s="1">
        <v>10</v>
      </c>
      <c r="AM138" s="1" t="s">
        <v>1120</v>
      </c>
      <c r="AN138" s="1" t="s">
        <v>1119</v>
      </c>
      <c r="AO138" s="1" t="s">
        <v>339</v>
      </c>
      <c r="AP138" s="1"/>
      <c r="AQ138" s="1">
        <v>2</v>
      </c>
      <c r="AR138" s="1">
        <v>2</v>
      </c>
      <c r="AS138" s="1" t="s">
        <v>3710</v>
      </c>
    </row>
    <row r="139" spans="1:45" x14ac:dyDescent="0.15">
      <c r="A139" t="str">
        <f t="shared" si="31"/>
        <v>|SOI|白黒|12||《[[苦渋の破棄]]》|</v>
      </c>
      <c r="B139" t="s">
        <v>3168</v>
      </c>
      <c r="C139" t="str">
        <f t="shared" si="32"/>
        <v>SOI</v>
      </c>
      <c r="D139">
        <f>IF(AI139="","",VLOOKUP(C139,tnpl!$Z$1:$AA$11,2,TRUE))</f>
        <v>4</v>
      </c>
      <c r="E139" t="s">
        <v>3168</v>
      </c>
      <c r="F139" t="str">
        <f t="shared" si="33"/>
        <v>白黒</v>
      </c>
      <c r="G139">
        <f>IF(AJ139="","",VLOOKUP(F139,tnpl!$X$1:$Y$16,2,TRUE))</f>
        <v>11</v>
      </c>
      <c r="H139" t="s">
        <v>3168</v>
      </c>
      <c r="I139">
        <f t="shared" si="34"/>
        <v>12</v>
      </c>
      <c r="J139" t="s">
        <v>3168</v>
      </c>
      <c r="K139">
        <f t="shared" si="35"/>
        <v>0</v>
      </c>
      <c r="L139">
        <f t="shared" si="36"/>
        <v>0</v>
      </c>
      <c r="M139" t="str">
        <f t="shared" si="29"/>
        <v/>
      </c>
      <c r="R139" t="s">
        <v>3175</v>
      </c>
      <c r="S139" t="s">
        <v>4750</v>
      </c>
      <c r="T139" t="str">
        <f t="shared" si="37"/>
        <v>苦渋の破棄</v>
      </c>
      <c r="U139" t="str">
        <f t="shared" si="38"/>
        <v/>
      </c>
      <c r="V139" t="str">
        <f>IF(I139=0,VLOOKUP(T139,Sheet4!A:B,2,TRUE),"")</f>
        <v/>
      </c>
      <c r="W139" t="s">
        <v>4751</v>
      </c>
      <c r="X139" t="s">
        <v>3175</v>
      </c>
      <c r="Y139" s="9"/>
      <c r="Z139" s="10" t="s">
        <v>3715</v>
      </c>
      <c r="AA139" t="s">
        <v>4825</v>
      </c>
      <c r="AB139" t="s">
        <v>4826</v>
      </c>
      <c r="AC139" t="str">
        <f t="shared" si="39"/>
        <v>破壊する</v>
      </c>
      <c r="AD139" t="str">
        <f t="shared" si="30"/>
        <v/>
      </c>
      <c r="AE139" t="str">
        <f t="shared" si="40"/>
        <v/>
      </c>
      <c r="AF139" t="str">
        <f t="shared" si="41"/>
        <v/>
      </c>
      <c r="AG139" t="b">
        <f t="shared" si="28"/>
        <v>0</v>
      </c>
      <c r="AH139" s="3">
        <v>718</v>
      </c>
      <c r="AI139" s="2" t="s">
        <v>3431</v>
      </c>
      <c r="AJ139" s="1" t="s">
        <v>1474</v>
      </c>
      <c r="AK139" s="1" t="s">
        <v>1441</v>
      </c>
      <c r="AL139" s="1">
        <v>12</v>
      </c>
      <c r="AM139" s="1" t="s">
        <v>1116</v>
      </c>
      <c r="AN139" s="1" t="s">
        <v>1115</v>
      </c>
      <c r="AO139" s="1" t="s">
        <v>1453</v>
      </c>
      <c r="AP139" s="1"/>
      <c r="AQ139" s="1"/>
      <c r="AR139" s="1"/>
      <c r="AS139" s="1" t="s">
        <v>3715</v>
      </c>
    </row>
    <row r="140" spans="1:45" x14ac:dyDescent="0.15">
      <c r="A140" t="str">
        <f t="shared" si="31"/>
        <v>|SOI|無色|1||《[[爆発性の機器]]》|</v>
      </c>
      <c r="B140" t="s">
        <v>3168</v>
      </c>
      <c r="C140" t="str">
        <f t="shared" si="32"/>
        <v>SOI</v>
      </c>
      <c r="D140">
        <f>IF(AI140="","",VLOOKUP(C140,tnpl!$Z$1:$AA$11,2,TRUE))</f>
        <v>4</v>
      </c>
      <c r="E140" t="s">
        <v>3168</v>
      </c>
      <c r="F140" t="str">
        <f t="shared" si="33"/>
        <v>無色</v>
      </c>
      <c r="G140">
        <f>IF(AJ140="","",VLOOKUP(F140,tnpl!$X$1:$Y$16,2,TRUE))</f>
        <v>16</v>
      </c>
      <c r="H140" t="s">
        <v>3168</v>
      </c>
      <c r="I140">
        <f t="shared" si="34"/>
        <v>1</v>
      </c>
      <c r="J140" t="s">
        <v>3168</v>
      </c>
      <c r="K140">
        <f t="shared" si="35"/>
        <v>0</v>
      </c>
      <c r="L140">
        <f t="shared" si="36"/>
        <v>0</v>
      </c>
      <c r="M140" t="str">
        <f t="shared" si="29"/>
        <v/>
      </c>
      <c r="R140" t="s">
        <v>3175</v>
      </c>
      <c r="S140" t="s">
        <v>4750</v>
      </c>
      <c r="T140" t="str">
        <f t="shared" si="37"/>
        <v>爆発性の機器</v>
      </c>
      <c r="U140" t="str">
        <f t="shared" si="38"/>
        <v/>
      </c>
      <c r="V140" t="str">
        <f>IF(I140=0,VLOOKUP(T140,Sheet4!A:B,2,TRUE),"")</f>
        <v/>
      </c>
      <c r="W140" t="s">
        <v>4751</v>
      </c>
      <c r="X140" t="s">
        <v>3175</v>
      </c>
      <c r="Y140" s="9"/>
      <c r="Z140" s="10" t="s">
        <v>3302</v>
      </c>
      <c r="AA140" t="s">
        <v>4757</v>
      </c>
      <c r="AC140" t="str">
        <f t="shared" si="39"/>
        <v/>
      </c>
      <c r="AD140" t="str">
        <f t="shared" si="30"/>
        <v>破壊された</v>
      </c>
      <c r="AE140" t="str">
        <f t="shared" si="40"/>
        <v/>
      </c>
      <c r="AF140" t="str">
        <f t="shared" si="41"/>
        <v/>
      </c>
      <c r="AG140" t="b">
        <f t="shared" si="28"/>
        <v>0</v>
      </c>
      <c r="AH140" s="3">
        <v>729</v>
      </c>
      <c r="AI140" s="2" t="s">
        <v>3431</v>
      </c>
      <c r="AJ140" s="1" t="s">
        <v>292</v>
      </c>
      <c r="AK140" s="1" t="s">
        <v>1744</v>
      </c>
      <c r="AL140" s="1">
        <v>1</v>
      </c>
      <c r="AM140" s="1" t="s">
        <v>1094</v>
      </c>
      <c r="AN140" s="1" t="s">
        <v>1093</v>
      </c>
      <c r="AO140" s="1" t="s">
        <v>288</v>
      </c>
      <c r="AP140" s="1">
        <v>1</v>
      </c>
      <c r="AQ140" s="1"/>
      <c r="AR140" s="1"/>
      <c r="AS140" s="1" t="s">
        <v>3302</v>
      </c>
    </row>
    <row r="141" spans="1:45" x14ac:dyDescent="0.15">
      <c r="A141" t="str">
        <f t="shared" si="31"/>
        <v>|SOI|無色|9||《[[処刑者の板金鎧]]》|</v>
      </c>
      <c r="B141" t="s">
        <v>3168</v>
      </c>
      <c r="C141" t="str">
        <f t="shared" si="32"/>
        <v>SOI</v>
      </c>
      <c r="D141">
        <f>IF(AI141="","",VLOOKUP(C141,tnpl!$Z$1:$AA$11,2,TRUE))</f>
        <v>4</v>
      </c>
      <c r="E141" t="s">
        <v>3168</v>
      </c>
      <c r="F141" t="str">
        <f t="shared" si="33"/>
        <v>無色</v>
      </c>
      <c r="G141">
        <f>IF(AJ141="","",VLOOKUP(F141,tnpl!$X$1:$Y$16,2,TRUE))</f>
        <v>16</v>
      </c>
      <c r="H141" t="s">
        <v>3168</v>
      </c>
      <c r="I141">
        <f t="shared" si="34"/>
        <v>9</v>
      </c>
      <c r="J141" t="s">
        <v>3168</v>
      </c>
      <c r="K141">
        <f t="shared" si="35"/>
        <v>0</v>
      </c>
      <c r="L141">
        <f t="shared" si="36"/>
        <v>0</v>
      </c>
      <c r="M141" t="str">
        <f t="shared" si="29"/>
        <v/>
      </c>
      <c r="R141" t="s">
        <v>3175</v>
      </c>
      <c r="S141" t="s">
        <v>4750</v>
      </c>
      <c r="T141" t="str">
        <f t="shared" si="37"/>
        <v>処刑者の板金鎧</v>
      </c>
      <c r="U141" t="str">
        <f t="shared" si="38"/>
        <v/>
      </c>
      <c r="V141" t="str">
        <f>IF(I141=0,VLOOKUP(T141,Sheet4!A:B,2,TRUE),"")</f>
        <v/>
      </c>
      <c r="W141" t="s">
        <v>4751</v>
      </c>
      <c r="X141" t="s">
        <v>3175</v>
      </c>
      <c r="Y141" s="9"/>
      <c r="Z141" s="10" t="s">
        <v>3766</v>
      </c>
      <c r="AA141" t="s">
        <v>4832</v>
      </c>
      <c r="AC141" t="str">
        <f t="shared" si="39"/>
        <v/>
      </c>
      <c r="AD141" t="str">
        <f t="shared" si="30"/>
        <v>破壊された</v>
      </c>
      <c r="AE141" t="str">
        <f t="shared" si="40"/>
        <v/>
      </c>
      <c r="AF141" t="str">
        <f t="shared" si="41"/>
        <v/>
      </c>
      <c r="AG141" t="b">
        <f t="shared" si="28"/>
        <v>0</v>
      </c>
      <c r="AH141" s="3">
        <v>750</v>
      </c>
      <c r="AI141" s="2" t="s">
        <v>3431</v>
      </c>
      <c r="AJ141" s="1" t="s">
        <v>292</v>
      </c>
      <c r="AK141" s="1" t="s">
        <v>1441</v>
      </c>
      <c r="AL141" s="1">
        <v>9</v>
      </c>
      <c r="AM141" s="1" t="s">
        <v>1057</v>
      </c>
      <c r="AN141" s="1" t="s">
        <v>1056</v>
      </c>
      <c r="AO141" s="1" t="s">
        <v>288</v>
      </c>
      <c r="AP141" s="1">
        <v>3</v>
      </c>
      <c r="AQ141" s="1"/>
      <c r="AR141" s="1"/>
      <c r="AS141" s="1" t="s">
        <v>3766</v>
      </c>
    </row>
    <row r="142" spans="1:45" x14ac:dyDescent="0.15">
      <c r="A142" t="str">
        <f t="shared" si="31"/>
        <v>|SOI|無色|9||《[[溺墓の寺院]]》|</v>
      </c>
      <c r="B142" t="s">
        <v>3168</v>
      </c>
      <c r="C142" t="str">
        <f t="shared" si="32"/>
        <v>SOI</v>
      </c>
      <c r="D142">
        <f>IF(AI142="","",VLOOKUP(C142,tnpl!$Z$1:$AA$11,2,TRUE))</f>
        <v>4</v>
      </c>
      <c r="E142" t="s">
        <v>3168</v>
      </c>
      <c r="F142" t="str">
        <f t="shared" si="33"/>
        <v>無色</v>
      </c>
      <c r="G142">
        <f>IF(AJ142="","",VLOOKUP(F142,tnpl!$X$1:$Y$16,2,TRUE))</f>
        <v>16</v>
      </c>
      <c r="H142" t="s">
        <v>3168</v>
      </c>
      <c r="I142">
        <f t="shared" si="34"/>
        <v>9</v>
      </c>
      <c r="J142" t="s">
        <v>3168</v>
      </c>
      <c r="K142">
        <f t="shared" si="35"/>
        <v>0</v>
      </c>
      <c r="L142">
        <f t="shared" si="36"/>
        <v>0</v>
      </c>
      <c r="M142" t="str">
        <f t="shared" si="29"/>
        <v/>
      </c>
      <c r="R142" t="s">
        <v>3175</v>
      </c>
      <c r="S142" t="s">
        <v>4750</v>
      </c>
      <c r="T142" t="str">
        <f t="shared" si="37"/>
        <v>溺墓の寺院</v>
      </c>
      <c r="U142" t="str">
        <f t="shared" si="38"/>
        <v/>
      </c>
      <c r="V142" t="str">
        <f>IF(I142=0,VLOOKUP(T142,Sheet4!A:B,2,TRUE),"")</f>
        <v/>
      </c>
      <c r="W142" t="s">
        <v>4751</v>
      </c>
      <c r="X142" t="s">
        <v>3175</v>
      </c>
      <c r="Y142" s="9"/>
      <c r="Z142" s="10" t="s">
        <v>3771</v>
      </c>
      <c r="AA142" t="s">
        <v>4830</v>
      </c>
      <c r="AC142" t="str">
        <f t="shared" si="39"/>
        <v/>
      </c>
      <c r="AD142" t="str">
        <f t="shared" si="30"/>
        <v/>
      </c>
      <c r="AE142" t="str">
        <f t="shared" si="40"/>
        <v/>
      </c>
      <c r="AF142" t="str">
        <f t="shared" si="41"/>
        <v/>
      </c>
      <c r="AG142" t="b">
        <f t="shared" si="28"/>
        <v>0</v>
      </c>
      <c r="AH142" s="3">
        <v>753</v>
      </c>
      <c r="AI142" s="2" t="s">
        <v>3431</v>
      </c>
      <c r="AJ142" s="1" t="s">
        <v>292</v>
      </c>
      <c r="AK142" s="1" t="s">
        <v>1441</v>
      </c>
      <c r="AL142" s="1">
        <v>9</v>
      </c>
      <c r="AM142" s="1" t="s">
        <v>1051</v>
      </c>
      <c r="AN142" s="1" t="s">
        <v>1050</v>
      </c>
      <c r="AO142" s="1" t="s">
        <v>288</v>
      </c>
      <c r="AP142" s="1">
        <v>3</v>
      </c>
      <c r="AQ142" s="1"/>
      <c r="AR142" s="1"/>
      <c r="AS142" s="1" t="s">
        <v>3771</v>
      </c>
    </row>
    <row r="143" spans="1:45" x14ac:dyDescent="0.15">
      <c r="A143" t="str">
        <f t="shared" si="31"/>
        <v>|EMN|白|15|2/5|《[[罪からの解放者]]》|</v>
      </c>
      <c r="B143" t="s">
        <v>3168</v>
      </c>
      <c r="C143" t="str">
        <f t="shared" si="32"/>
        <v>EMN</v>
      </c>
      <c r="D143">
        <f>IF(AI143="","",VLOOKUP(C143,tnpl!$Z$1:$AA$11,2,TRUE))</f>
        <v>5</v>
      </c>
      <c r="E143" t="s">
        <v>3168</v>
      </c>
      <c r="F143" t="str">
        <f t="shared" si="33"/>
        <v>白</v>
      </c>
      <c r="G143">
        <f>IF(AJ143="","",VLOOKUP(F143,tnpl!$X$1:$Y$16,2,TRUE))</f>
        <v>1</v>
      </c>
      <c r="H143" t="s">
        <v>3168</v>
      </c>
      <c r="I143">
        <f t="shared" si="34"/>
        <v>15</v>
      </c>
      <c r="J143" t="s">
        <v>3168</v>
      </c>
      <c r="K143">
        <f t="shared" si="35"/>
        <v>2</v>
      </c>
      <c r="L143">
        <f t="shared" si="36"/>
        <v>5</v>
      </c>
      <c r="M143" t="str">
        <f t="shared" si="29"/>
        <v>2/5</v>
      </c>
      <c r="R143" t="s">
        <v>3175</v>
      </c>
      <c r="S143" t="s">
        <v>4750</v>
      </c>
      <c r="T143" t="str">
        <f t="shared" si="37"/>
        <v>罪からの解放者</v>
      </c>
      <c r="U143" t="str">
        <f t="shared" si="38"/>
        <v/>
      </c>
      <c r="V143" t="str">
        <f>IF(I143=0,VLOOKUP(T143,Sheet4!A:B,2,TRUE),"")</f>
        <v/>
      </c>
      <c r="W143" t="s">
        <v>4751</v>
      </c>
      <c r="X143" t="s">
        <v>3175</v>
      </c>
      <c r="Y143" s="9"/>
      <c r="Z143" s="10" t="s">
        <v>3783</v>
      </c>
      <c r="AA143" t="s">
        <v>4825</v>
      </c>
      <c r="AC143" t="str">
        <f t="shared" si="39"/>
        <v>破壊する</v>
      </c>
      <c r="AD143" t="str">
        <f t="shared" si="30"/>
        <v/>
      </c>
      <c r="AE143" t="str">
        <f t="shared" si="40"/>
        <v/>
      </c>
      <c r="AF143" t="str">
        <f t="shared" si="41"/>
        <v/>
      </c>
      <c r="AG143" t="b">
        <f t="shared" si="28"/>
        <v>0</v>
      </c>
      <c r="AH143" s="3">
        <v>759</v>
      </c>
      <c r="AI143" s="2" t="s">
        <v>3773</v>
      </c>
      <c r="AJ143" s="1" t="s">
        <v>1627</v>
      </c>
      <c r="AK143" s="1" t="s">
        <v>1451</v>
      </c>
      <c r="AL143" s="14">
        <v>15</v>
      </c>
      <c r="AM143" s="1" t="s">
        <v>987</v>
      </c>
      <c r="AN143" s="1" t="s">
        <v>986</v>
      </c>
      <c r="AO143" s="1" t="s">
        <v>339</v>
      </c>
      <c r="AP143" s="1"/>
      <c r="AQ143" s="1">
        <v>2</v>
      </c>
      <c r="AR143" s="1">
        <v>5</v>
      </c>
      <c r="AS143" s="1" t="s">
        <v>3783</v>
      </c>
    </row>
    <row r="144" spans="1:45" x14ac:dyDescent="0.15">
      <c r="A144" t="str">
        <f t="shared" si="31"/>
        <v>|EMN|白|18|5/7|《[[消えゆく光、ブルーナ]]》|</v>
      </c>
      <c r="B144" t="s">
        <v>3168</v>
      </c>
      <c r="C144" t="str">
        <f t="shared" si="32"/>
        <v>EMN</v>
      </c>
      <c r="D144">
        <f>IF(AI144="","",VLOOKUP(C144,tnpl!$Z$1:$AA$11,2,TRUE))</f>
        <v>5</v>
      </c>
      <c r="E144" t="s">
        <v>3168</v>
      </c>
      <c r="F144" t="str">
        <f t="shared" si="33"/>
        <v>白</v>
      </c>
      <c r="G144">
        <f>IF(AJ144="","",VLOOKUP(F144,tnpl!$X$1:$Y$16,2,TRUE))</f>
        <v>1</v>
      </c>
      <c r="H144" t="s">
        <v>3168</v>
      </c>
      <c r="I144">
        <f t="shared" si="34"/>
        <v>18</v>
      </c>
      <c r="J144" t="s">
        <v>3168</v>
      </c>
      <c r="K144">
        <f t="shared" si="35"/>
        <v>5</v>
      </c>
      <c r="L144">
        <f t="shared" si="36"/>
        <v>7</v>
      </c>
      <c r="M144" t="str">
        <f t="shared" si="29"/>
        <v>5/7</v>
      </c>
      <c r="R144" t="s">
        <v>3175</v>
      </c>
      <c r="S144" t="s">
        <v>4750</v>
      </c>
      <c r="T144" t="str">
        <f t="shared" si="37"/>
        <v>消えゆく光、ブルーナ</v>
      </c>
      <c r="U144" t="str">
        <f t="shared" si="38"/>
        <v/>
      </c>
      <c r="V144" t="str">
        <f>IF(I144=0,VLOOKUP(T144,Sheet4!A:B,2,TRUE),"")</f>
        <v/>
      </c>
      <c r="W144" t="s">
        <v>4751</v>
      </c>
      <c r="X144" t="s">
        <v>3175</v>
      </c>
      <c r="Y144" s="9"/>
      <c r="Z144" s="10" t="s">
        <v>3796</v>
      </c>
      <c r="AA144" t="s">
        <v>4830</v>
      </c>
      <c r="AC144" t="str">
        <f t="shared" si="39"/>
        <v/>
      </c>
      <c r="AD144" t="str">
        <f t="shared" si="30"/>
        <v>破壊された</v>
      </c>
      <c r="AE144" t="str">
        <f t="shared" si="40"/>
        <v/>
      </c>
      <c r="AF144" t="str">
        <f t="shared" si="41"/>
        <v/>
      </c>
      <c r="AG144" t="b">
        <f t="shared" si="28"/>
        <v>0</v>
      </c>
      <c r="AH144" s="3">
        <v>764</v>
      </c>
      <c r="AI144" s="2" t="s">
        <v>3773</v>
      </c>
      <c r="AJ144" s="1" t="s">
        <v>1627</v>
      </c>
      <c r="AK144" s="1" t="s">
        <v>1441</v>
      </c>
      <c r="AL144" s="1">
        <v>18</v>
      </c>
      <c r="AM144" s="1" t="s">
        <v>979</v>
      </c>
      <c r="AN144" s="1" t="s">
        <v>978</v>
      </c>
      <c r="AO144" s="1" t="s">
        <v>339</v>
      </c>
      <c r="AP144" s="1"/>
      <c r="AQ144" s="1">
        <v>5</v>
      </c>
      <c r="AR144" s="1">
        <v>7</v>
      </c>
      <c r="AS144" s="1" t="s">
        <v>3796</v>
      </c>
    </row>
    <row r="145" spans="1:45" x14ac:dyDescent="0.15">
      <c r="A145" t="str">
        <f t="shared" si="31"/>
        <v>|EMN|青|3||《[[月への封印]]》|</v>
      </c>
      <c r="B145" t="s">
        <v>3168</v>
      </c>
      <c r="C145" t="str">
        <f t="shared" si="32"/>
        <v>EMN</v>
      </c>
      <c r="D145">
        <f>IF(AI145="","",VLOOKUP(C145,tnpl!$Z$1:$AA$11,2,TRUE))</f>
        <v>5</v>
      </c>
      <c r="E145" t="s">
        <v>3168</v>
      </c>
      <c r="F145" t="str">
        <f t="shared" si="33"/>
        <v>青</v>
      </c>
      <c r="G145">
        <f>IF(AJ145="","",VLOOKUP(F145,tnpl!$X$1:$Y$16,2,TRUE))</f>
        <v>2</v>
      </c>
      <c r="H145" t="s">
        <v>3168</v>
      </c>
      <c r="I145">
        <f t="shared" si="34"/>
        <v>3</v>
      </c>
      <c r="J145" t="s">
        <v>3168</v>
      </c>
      <c r="K145">
        <f t="shared" si="35"/>
        <v>0</v>
      </c>
      <c r="L145">
        <f t="shared" si="36"/>
        <v>0</v>
      </c>
      <c r="M145" t="str">
        <f t="shared" si="29"/>
        <v/>
      </c>
      <c r="R145" t="s">
        <v>3175</v>
      </c>
      <c r="S145" t="s">
        <v>4750</v>
      </c>
      <c r="T145" t="str">
        <f t="shared" si="37"/>
        <v>月への封印</v>
      </c>
      <c r="U145" t="str">
        <f t="shared" si="38"/>
        <v/>
      </c>
      <c r="V145" t="str">
        <f>IF(I145=0,VLOOKUP(T145,Sheet4!A:B,2,TRUE),"")</f>
        <v/>
      </c>
      <c r="W145" t="s">
        <v>4751</v>
      </c>
      <c r="X145" t="s">
        <v>3175</v>
      </c>
      <c r="Y145" s="9"/>
      <c r="Z145" s="10" t="s">
        <v>3822</v>
      </c>
      <c r="AA145" t="s">
        <v>4825</v>
      </c>
      <c r="AC145" t="str">
        <f t="shared" si="39"/>
        <v>破壊する</v>
      </c>
      <c r="AD145" t="str">
        <f t="shared" si="30"/>
        <v/>
      </c>
      <c r="AE145" t="str">
        <f t="shared" si="40"/>
        <v/>
      </c>
      <c r="AF145" t="str">
        <f t="shared" si="41"/>
        <v/>
      </c>
      <c r="AG145" t="b">
        <f t="shared" si="28"/>
        <v>0</v>
      </c>
      <c r="AH145" s="3">
        <v>776</v>
      </c>
      <c r="AI145" s="2" t="s">
        <v>3773</v>
      </c>
      <c r="AJ145" s="1" t="s">
        <v>1606</v>
      </c>
      <c r="AK145" s="1" t="s">
        <v>1441</v>
      </c>
      <c r="AL145" s="1">
        <v>3</v>
      </c>
      <c r="AM145" s="1" t="s">
        <v>960</v>
      </c>
      <c r="AN145" s="1" t="s">
        <v>959</v>
      </c>
      <c r="AO145" s="1" t="s">
        <v>1453</v>
      </c>
      <c r="AP145" s="1"/>
      <c r="AQ145" s="1"/>
      <c r="AR145" s="1"/>
      <c r="AS145" s="1" t="s">
        <v>3822</v>
      </c>
    </row>
    <row r="146" spans="1:45" x14ac:dyDescent="0.15">
      <c r="A146" t="str">
        <f t="shared" si="31"/>
        <v>|EMN|黒|10||《[[無情な処分]]》|</v>
      </c>
      <c r="B146" t="s">
        <v>3168</v>
      </c>
      <c r="C146" t="str">
        <f t="shared" si="32"/>
        <v>EMN</v>
      </c>
      <c r="D146">
        <f>IF(AI146="","",VLOOKUP(C146,tnpl!$Z$1:$AA$11,2,TRUE))</f>
        <v>5</v>
      </c>
      <c r="E146" t="s">
        <v>3168</v>
      </c>
      <c r="F146" t="str">
        <f t="shared" si="33"/>
        <v>黒</v>
      </c>
      <c r="G146">
        <f>IF(AJ146="","",VLOOKUP(F146,tnpl!$X$1:$Y$16,2,TRUE))</f>
        <v>3</v>
      </c>
      <c r="H146" t="s">
        <v>3168</v>
      </c>
      <c r="I146">
        <f t="shared" si="34"/>
        <v>10</v>
      </c>
      <c r="J146" t="s">
        <v>3168</v>
      </c>
      <c r="K146">
        <f t="shared" si="35"/>
        <v>0</v>
      </c>
      <c r="L146">
        <f t="shared" si="36"/>
        <v>0</v>
      </c>
      <c r="M146" t="str">
        <f t="shared" si="29"/>
        <v/>
      </c>
      <c r="R146" t="s">
        <v>3175</v>
      </c>
      <c r="S146" t="s">
        <v>4750</v>
      </c>
      <c r="T146" t="str">
        <f t="shared" si="37"/>
        <v>無情な処分</v>
      </c>
      <c r="U146" t="str">
        <f t="shared" si="38"/>
        <v/>
      </c>
      <c r="V146" t="str">
        <f>IF(I146=0,VLOOKUP(T146,Sheet4!A:B,2,TRUE),"")</f>
        <v/>
      </c>
      <c r="W146" t="s">
        <v>4751</v>
      </c>
      <c r="X146" t="s">
        <v>3175</v>
      </c>
      <c r="Y146" s="9"/>
      <c r="Z146" s="10" t="s">
        <v>3838</v>
      </c>
      <c r="AA146" t="s">
        <v>4825</v>
      </c>
      <c r="AC146" t="str">
        <f t="shared" si="39"/>
        <v>破壊する</v>
      </c>
      <c r="AD146" t="str">
        <f t="shared" si="30"/>
        <v/>
      </c>
      <c r="AE146" t="str">
        <f t="shared" si="40"/>
        <v/>
      </c>
      <c r="AF146" t="str">
        <f t="shared" si="41"/>
        <v/>
      </c>
      <c r="AG146" t="b">
        <f t="shared" si="28"/>
        <v>0</v>
      </c>
      <c r="AH146" s="3">
        <v>784</v>
      </c>
      <c r="AI146" s="2" t="s">
        <v>3773</v>
      </c>
      <c r="AJ146" s="1" t="s">
        <v>1582</v>
      </c>
      <c r="AK146" s="1" t="s">
        <v>1451</v>
      </c>
      <c r="AL146" s="1">
        <v>10</v>
      </c>
      <c r="AM146" s="1" t="s">
        <v>946</v>
      </c>
      <c r="AN146" s="1" t="s">
        <v>945</v>
      </c>
      <c r="AO146" s="1" t="s">
        <v>1453</v>
      </c>
      <c r="AP146" s="1"/>
      <c r="AQ146" s="1"/>
      <c r="AR146" s="1"/>
      <c r="AS146" s="1" t="s">
        <v>3838</v>
      </c>
    </row>
    <row r="147" spans="1:45" x14ac:dyDescent="0.15">
      <c r="A147" t="str">
        <f t="shared" si="31"/>
        <v>|EMN|黒|14|6/6|《[[ヴォルダーレンの下層民]]》|</v>
      </c>
      <c r="B147" t="s">
        <v>3168</v>
      </c>
      <c r="C147" t="str">
        <f t="shared" si="32"/>
        <v>EMN</v>
      </c>
      <c r="D147">
        <f>IF(AI147="","",VLOOKUP(C147,tnpl!$Z$1:$AA$11,2,TRUE))</f>
        <v>5</v>
      </c>
      <c r="E147" t="s">
        <v>3168</v>
      </c>
      <c r="F147" t="str">
        <f t="shared" si="33"/>
        <v>黒</v>
      </c>
      <c r="G147">
        <f>IF(AJ147="","",VLOOKUP(F147,tnpl!$X$1:$Y$16,2,TRUE))</f>
        <v>3</v>
      </c>
      <c r="H147" t="s">
        <v>3168</v>
      </c>
      <c r="I147">
        <f t="shared" si="34"/>
        <v>14</v>
      </c>
      <c r="J147" t="s">
        <v>3168</v>
      </c>
      <c r="K147">
        <f t="shared" si="35"/>
        <v>6</v>
      </c>
      <c r="L147">
        <f t="shared" si="36"/>
        <v>6</v>
      </c>
      <c r="M147" t="str">
        <f t="shared" si="29"/>
        <v>6/6</v>
      </c>
      <c r="R147" t="s">
        <v>3175</v>
      </c>
      <c r="S147" t="s">
        <v>4750</v>
      </c>
      <c r="T147" t="str">
        <f t="shared" si="37"/>
        <v>ヴォルダーレンの下層民</v>
      </c>
      <c r="U147" t="str">
        <f t="shared" si="38"/>
        <v/>
      </c>
      <c r="V147" t="str">
        <f>IF(I147=0,VLOOKUP(T147,Sheet4!A:B,2,TRUE),"")</f>
        <v/>
      </c>
      <c r="W147" t="s">
        <v>4751</v>
      </c>
      <c r="X147" t="s">
        <v>3175</v>
      </c>
      <c r="Y147" s="9"/>
      <c r="Z147" s="10" t="s">
        <v>3840</v>
      </c>
      <c r="AA147" t="s">
        <v>4825</v>
      </c>
      <c r="AC147" t="str">
        <f t="shared" si="39"/>
        <v/>
      </c>
      <c r="AD147" t="str">
        <f t="shared" si="30"/>
        <v/>
      </c>
      <c r="AE147" t="str">
        <f t="shared" si="40"/>
        <v/>
      </c>
      <c r="AF147" t="str">
        <f t="shared" si="41"/>
        <v>破壊し</v>
      </c>
      <c r="AG147" t="b">
        <f t="shared" si="28"/>
        <v>0</v>
      </c>
      <c r="AH147" s="3">
        <v>785</v>
      </c>
      <c r="AI147" s="2" t="s">
        <v>3773</v>
      </c>
      <c r="AJ147" s="1" t="s">
        <v>1582</v>
      </c>
      <c r="AK147" s="1" t="s">
        <v>1441</v>
      </c>
      <c r="AL147" s="14">
        <v>14</v>
      </c>
      <c r="AM147" s="1" t="s">
        <v>944</v>
      </c>
      <c r="AN147" s="1" t="s">
        <v>943</v>
      </c>
      <c r="AO147" s="1" t="s">
        <v>339</v>
      </c>
      <c r="AP147" s="1"/>
      <c r="AQ147" s="1">
        <v>6</v>
      </c>
      <c r="AR147" s="1">
        <v>6</v>
      </c>
      <c r="AS147" s="1" t="s">
        <v>3840</v>
      </c>
    </row>
    <row r="148" spans="1:45" x14ac:dyDescent="0.15">
      <c r="A148" t="str">
        <f t="shared" si="31"/>
        <v>|EMN|黒|0|6/5|《[[血統の撤廃者&gt;ヴォルダーレンの下層民]]》|</v>
      </c>
      <c r="B148" t="s">
        <v>3168</v>
      </c>
      <c r="C148" t="str">
        <f t="shared" si="32"/>
        <v>EMN</v>
      </c>
      <c r="D148">
        <f>IF(AI148="","",VLOOKUP(C148,tnpl!$Z$1:$AA$11,2,TRUE))</f>
        <v>5</v>
      </c>
      <c r="E148" t="s">
        <v>3168</v>
      </c>
      <c r="F148" t="str">
        <f t="shared" si="33"/>
        <v>黒</v>
      </c>
      <c r="G148">
        <f>IF(AJ148="","",VLOOKUP(F148,tnpl!$X$1:$Y$16,2,TRUE))</f>
        <v>3</v>
      </c>
      <c r="H148" t="s">
        <v>3168</v>
      </c>
      <c r="I148">
        <f t="shared" si="34"/>
        <v>0</v>
      </c>
      <c r="J148" t="s">
        <v>3168</v>
      </c>
      <c r="K148">
        <f t="shared" si="35"/>
        <v>6</v>
      </c>
      <c r="L148">
        <f t="shared" si="36"/>
        <v>5</v>
      </c>
      <c r="M148" t="str">
        <f t="shared" si="29"/>
        <v>6/5</v>
      </c>
      <c r="R148" t="s">
        <v>3175</v>
      </c>
      <c r="S148" t="s">
        <v>4750</v>
      </c>
      <c r="T148" t="str">
        <f t="shared" si="37"/>
        <v>血統の撤廃者</v>
      </c>
      <c r="U148" t="str">
        <f t="shared" si="38"/>
        <v>&gt;</v>
      </c>
      <c r="V148" t="str">
        <f>IF(I148=0,VLOOKUP(T148,Sheet4!A:B,2,TRUE),"")</f>
        <v>ヴォルダーレンの下層民</v>
      </c>
      <c r="W148" t="s">
        <v>4751</v>
      </c>
      <c r="X148" t="s">
        <v>3175</v>
      </c>
      <c r="Y148" s="9"/>
      <c r="Z148" s="10" t="s">
        <v>3842</v>
      </c>
      <c r="AA148" t="s">
        <v>4825</v>
      </c>
      <c r="AC148" t="str">
        <f t="shared" si="39"/>
        <v>破壊する</v>
      </c>
      <c r="AD148" t="str">
        <f t="shared" si="30"/>
        <v/>
      </c>
      <c r="AE148" t="str">
        <f t="shared" si="40"/>
        <v/>
      </c>
      <c r="AF148" t="str">
        <f t="shared" si="41"/>
        <v/>
      </c>
      <c r="AG148" t="b">
        <f t="shared" si="28"/>
        <v>0</v>
      </c>
      <c r="AH148" s="3">
        <v>786</v>
      </c>
      <c r="AI148" s="2" t="s">
        <v>3773</v>
      </c>
      <c r="AJ148" s="1" t="s">
        <v>1582</v>
      </c>
      <c r="AK148" s="1" t="s">
        <v>1441</v>
      </c>
      <c r="AL148" s="13">
        <v>0</v>
      </c>
      <c r="AM148" s="1" t="s">
        <v>848</v>
      </c>
      <c r="AN148" s="1" t="s">
        <v>847</v>
      </c>
      <c r="AO148" s="1" t="s">
        <v>339</v>
      </c>
      <c r="AP148" s="1"/>
      <c r="AQ148" s="1">
        <v>6</v>
      </c>
      <c r="AR148" s="1">
        <v>5</v>
      </c>
      <c r="AS148" s="1" t="s">
        <v>3842</v>
      </c>
    </row>
    <row r="149" spans="1:45" x14ac:dyDescent="0.15">
      <c r="A149" t="str">
        <f t="shared" si="31"/>
        <v>|EMN|黒|11||《[[リリアナの誓い]]》|</v>
      </c>
      <c r="B149" t="s">
        <v>3168</v>
      </c>
      <c r="C149" t="str">
        <f t="shared" si="32"/>
        <v>EMN</v>
      </c>
      <c r="D149">
        <f>IF(AI149="","",VLOOKUP(C149,tnpl!$Z$1:$AA$11,2,TRUE))</f>
        <v>5</v>
      </c>
      <c r="E149" t="s">
        <v>3168</v>
      </c>
      <c r="F149" t="str">
        <f t="shared" si="33"/>
        <v>黒</v>
      </c>
      <c r="G149">
        <f>IF(AJ149="","",VLOOKUP(F149,tnpl!$X$1:$Y$16,2,TRUE))</f>
        <v>3</v>
      </c>
      <c r="H149" t="s">
        <v>3168</v>
      </c>
      <c r="I149">
        <f t="shared" si="34"/>
        <v>11</v>
      </c>
      <c r="J149" t="s">
        <v>3168</v>
      </c>
      <c r="K149">
        <f t="shared" si="35"/>
        <v>0</v>
      </c>
      <c r="L149">
        <f t="shared" si="36"/>
        <v>0</v>
      </c>
      <c r="M149" t="str">
        <f t="shared" si="29"/>
        <v/>
      </c>
      <c r="R149" t="s">
        <v>3175</v>
      </c>
      <c r="S149" t="s">
        <v>4750</v>
      </c>
      <c r="T149" t="str">
        <f t="shared" si="37"/>
        <v>リリアナの誓い</v>
      </c>
      <c r="U149" t="str">
        <f t="shared" si="38"/>
        <v/>
      </c>
      <c r="V149" t="str">
        <f>IF(I149=0,VLOOKUP(T149,Sheet4!A:B,2,TRUE),"")</f>
        <v/>
      </c>
      <c r="W149" t="s">
        <v>4751</v>
      </c>
      <c r="X149" t="s">
        <v>3175</v>
      </c>
      <c r="Y149" s="9"/>
      <c r="Z149" s="10" t="s">
        <v>3847</v>
      </c>
      <c r="AA149" t="s">
        <v>4825</v>
      </c>
      <c r="AC149" t="str">
        <f t="shared" si="39"/>
        <v>破壊する</v>
      </c>
      <c r="AD149" t="str">
        <f t="shared" si="30"/>
        <v/>
      </c>
      <c r="AE149" t="str">
        <f t="shared" si="40"/>
        <v/>
      </c>
      <c r="AF149" t="str">
        <f t="shared" si="41"/>
        <v/>
      </c>
      <c r="AG149" t="b">
        <f t="shared" si="28"/>
        <v>0</v>
      </c>
      <c r="AH149" s="3">
        <v>789</v>
      </c>
      <c r="AI149" s="2" t="s">
        <v>3773</v>
      </c>
      <c r="AJ149" s="1" t="s">
        <v>1582</v>
      </c>
      <c r="AK149" s="1" t="s">
        <v>1441</v>
      </c>
      <c r="AL149" s="1">
        <v>11</v>
      </c>
      <c r="AM149" s="1" t="s">
        <v>938</v>
      </c>
      <c r="AN149" s="1" t="s">
        <v>937</v>
      </c>
      <c r="AO149" s="1" t="s">
        <v>288</v>
      </c>
      <c r="AP149" s="1">
        <v>3</v>
      </c>
      <c r="AQ149" s="1"/>
      <c r="AR149" s="1"/>
      <c r="AS149" s="1" t="s">
        <v>3847</v>
      </c>
    </row>
    <row r="150" spans="1:45" x14ac:dyDescent="0.15">
      <c r="A150" t="str">
        <f t="shared" si="31"/>
        <v>|EMN|赤|15|5/4|《[[嵐の伝導者]]》|</v>
      </c>
      <c r="B150" t="s">
        <v>3168</v>
      </c>
      <c r="C150" t="str">
        <f t="shared" si="32"/>
        <v>EMN</v>
      </c>
      <c r="D150">
        <f>IF(AI150="","",VLOOKUP(C150,tnpl!$Z$1:$AA$11,2,TRUE))</f>
        <v>5</v>
      </c>
      <c r="E150" t="s">
        <v>3168</v>
      </c>
      <c r="F150" t="str">
        <f t="shared" si="33"/>
        <v>赤</v>
      </c>
      <c r="G150">
        <f>IF(AJ150="","",VLOOKUP(F150,tnpl!$X$1:$Y$16,2,TRUE))</f>
        <v>4</v>
      </c>
      <c r="H150" t="s">
        <v>3168</v>
      </c>
      <c r="I150">
        <f t="shared" si="34"/>
        <v>15</v>
      </c>
      <c r="J150" t="s">
        <v>3168</v>
      </c>
      <c r="K150">
        <f t="shared" si="35"/>
        <v>5</v>
      </c>
      <c r="L150">
        <f t="shared" si="36"/>
        <v>4</v>
      </c>
      <c r="M150" t="str">
        <f t="shared" si="29"/>
        <v>5/4</v>
      </c>
      <c r="R150" t="s">
        <v>3175</v>
      </c>
      <c r="S150" t="s">
        <v>4750</v>
      </c>
      <c r="T150" t="str">
        <f t="shared" si="37"/>
        <v>嵐の伝導者</v>
      </c>
      <c r="U150" t="str">
        <f t="shared" si="38"/>
        <v/>
      </c>
      <c r="V150" t="str">
        <f>IF(I150=0,VLOOKUP(T150,Sheet4!A:B,2,TRUE),"")</f>
        <v/>
      </c>
      <c r="W150" t="s">
        <v>4751</v>
      </c>
      <c r="X150" t="s">
        <v>3175</v>
      </c>
      <c r="Y150" s="9"/>
      <c r="Z150" s="10" t="s">
        <v>3853</v>
      </c>
      <c r="AA150" t="s">
        <v>4828</v>
      </c>
      <c r="AC150" t="str">
        <f t="shared" si="39"/>
        <v>破壊する</v>
      </c>
      <c r="AD150" t="str">
        <f t="shared" si="30"/>
        <v/>
      </c>
      <c r="AE150" t="str">
        <f t="shared" si="40"/>
        <v/>
      </c>
      <c r="AF150" t="str">
        <f t="shared" si="41"/>
        <v/>
      </c>
      <c r="AG150" t="b">
        <f t="shared" si="28"/>
        <v>0</v>
      </c>
      <c r="AH150" s="3">
        <v>791</v>
      </c>
      <c r="AI150" s="2" t="s">
        <v>3773</v>
      </c>
      <c r="AJ150" s="1" t="s">
        <v>1552</v>
      </c>
      <c r="AK150" s="1" t="s">
        <v>1451</v>
      </c>
      <c r="AL150" s="14">
        <v>15</v>
      </c>
      <c r="AM150" s="1" t="s">
        <v>934</v>
      </c>
      <c r="AN150" s="1" t="s">
        <v>933</v>
      </c>
      <c r="AO150" s="1" t="s">
        <v>339</v>
      </c>
      <c r="AP150" s="1"/>
      <c r="AQ150" s="1">
        <v>5</v>
      </c>
      <c r="AR150" s="1">
        <v>4</v>
      </c>
      <c r="AS150" s="1" t="s">
        <v>3853</v>
      </c>
    </row>
    <row r="151" spans="1:45" x14ac:dyDescent="0.15">
      <c r="A151" t="str">
        <f t="shared" si="31"/>
        <v>|EMN|赤|0|5/4|《[[エムラクールの伝導者&gt;嵐の伝導者]]》|</v>
      </c>
      <c r="B151" t="s">
        <v>3168</v>
      </c>
      <c r="C151" t="str">
        <f t="shared" si="32"/>
        <v>EMN</v>
      </c>
      <c r="D151">
        <f>IF(AI151="","",VLOOKUP(C151,tnpl!$Z$1:$AA$11,2,TRUE))</f>
        <v>5</v>
      </c>
      <c r="E151" t="s">
        <v>3168</v>
      </c>
      <c r="F151" t="str">
        <f t="shared" si="33"/>
        <v>赤</v>
      </c>
      <c r="G151">
        <f>IF(AJ151="","",VLOOKUP(F151,tnpl!$X$1:$Y$16,2,TRUE))</f>
        <v>4</v>
      </c>
      <c r="H151" t="s">
        <v>3168</v>
      </c>
      <c r="I151">
        <f t="shared" si="34"/>
        <v>0</v>
      </c>
      <c r="J151" t="s">
        <v>3168</v>
      </c>
      <c r="K151">
        <f t="shared" si="35"/>
        <v>5</v>
      </c>
      <c r="L151">
        <f t="shared" si="36"/>
        <v>4</v>
      </c>
      <c r="M151" t="str">
        <f t="shared" si="29"/>
        <v>5/4</v>
      </c>
      <c r="R151" t="s">
        <v>3175</v>
      </c>
      <c r="S151" t="s">
        <v>4750</v>
      </c>
      <c r="T151" t="str">
        <f t="shared" si="37"/>
        <v>エムラクールの伝導者</v>
      </c>
      <c r="U151" t="str">
        <f t="shared" si="38"/>
        <v>&gt;</v>
      </c>
      <c r="V151" t="str">
        <f>IF(I151=0,VLOOKUP(T151,Sheet4!A:B,2,TRUE),"")</f>
        <v>嵐の伝導者</v>
      </c>
      <c r="W151" t="s">
        <v>4751</v>
      </c>
      <c r="X151" t="s">
        <v>3175</v>
      </c>
      <c r="Y151" s="9"/>
      <c r="Z151" s="10" t="s">
        <v>3854</v>
      </c>
      <c r="AA151" t="s">
        <v>4828</v>
      </c>
      <c r="AC151" t="str">
        <f t="shared" si="39"/>
        <v>破壊する</v>
      </c>
      <c r="AD151" t="str">
        <f t="shared" si="30"/>
        <v/>
      </c>
      <c r="AE151" t="str">
        <f t="shared" si="40"/>
        <v/>
      </c>
      <c r="AF151" t="str">
        <f t="shared" si="41"/>
        <v/>
      </c>
      <c r="AG151" t="b">
        <f t="shared" si="28"/>
        <v>0</v>
      </c>
      <c r="AH151" s="3">
        <v>792</v>
      </c>
      <c r="AI151" s="2" t="s">
        <v>3773</v>
      </c>
      <c r="AJ151" s="1" t="s">
        <v>1552</v>
      </c>
      <c r="AK151" s="1" t="s">
        <v>1451</v>
      </c>
      <c r="AL151" s="13">
        <v>0</v>
      </c>
      <c r="AM151" s="1" t="s">
        <v>846</v>
      </c>
      <c r="AN151" s="1" t="s">
        <v>845</v>
      </c>
      <c r="AO151" s="1" t="s">
        <v>339</v>
      </c>
      <c r="AP151" s="1"/>
      <c r="AQ151" s="1">
        <v>5</v>
      </c>
      <c r="AR151" s="1">
        <v>4</v>
      </c>
      <c r="AS151" s="1" t="s">
        <v>3854</v>
      </c>
    </row>
    <row r="152" spans="1:45" x14ac:dyDescent="0.15">
      <c r="A152" t="str">
        <f t="shared" si="31"/>
        <v>|EMN|赤|3|6/1|《[[性急な悪魔]]》|</v>
      </c>
      <c r="B152" t="s">
        <v>3168</v>
      </c>
      <c r="C152" t="str">
        <f t="shared" si="32"/>
        <v>EMN</v>
      </c>
      <c r="D152">
        <f>IF(AI152="","",VLOOKUP(C152,tnpl!$Z$1:$AA$11,2,TRUE))</f>
        <v>5</v>
      </c>
      <c r="E152" t="s">
        <v>3168</v>
      </c>
      <c r="F152" t="str">
        <f t="shared" si="33"/>
        <v>赤</v>
      </c>
      <c r="G152">
        <f>IF(AJ152="","",VLOOKUP(F152,tnpl!$X$1:$Y$16,2,TRUE))</f>
        <v>4</v>
      </c>
      <c r="H152" t="s">
        <v>3168</v>
      </c>
      <c r="I152">
        <f t="shared" si="34"/>
        <v>3</v>
      </c>
      <c r="J152" t="s">
        <v>3168</v>
      </c>
      <c r="K152">
        <f t="shared" si="35"/>
        <v>6</v>
      </c>
      <c r="L152">
        <f t="shared" si="36"/>
        <v>1</v>
      </c>
      <c r="M152" t="str">
        <f t="shared" si="29"/>
        <v>6/1</v>
      </c>
      <c r="R152" t="s">
        <v>3175</v>
      </c>
      <c r="S152" t="s">
        <v>4750</v>
      </c>
      <c r="T152" t="str">
        <f t="shared" si="37"/>
        <v>性急な悪魔</v>
      </c>
      <c r="U152" t="str">
        <f t="shared" si="38"/>
        <v/>
      </c>
      <c r="V152" t="str">
        <f>IF(I152=0,VLOOKUP(T152,Sheet4!A:B,2,TRUE),"")</f>
        <v/>
      </c>
      <c r="W152" t="s">
        <v>4751</v>
      </c>
      <c r="X152" t="s">
        <v>3175</v>
      </c>
      <c r="Y152" s="9"/>
      <c r="Z152" s="10" t="s">
        <v>3869</v>
      </c>
      <c r="AA152" t="s">
        <v>4832</v>
      </c>
      <c r="AC152" t="str">
        <f t="shared" si="39"/>
        <v>破壊する</v>
      </c>
      <c r="AD152" t="str">
        <f t="shared" si="30"/>
        <v/>
      </c>
      <c r="AE152" t="str">
        <f t="shared" si="40"/>
        <v/>
      </c>
      <c r="AF152" t="str">
        <f t="shared" si="41"/>
        <v/>
      </c>
      <c r="AG152" t="b">
        <f t="shared" si="28"/>
        <v>0</v>
      </c>
      <c r="AH152" s="3">
        <v>799</v>
      </c>
      <c r="AI152" s="2" t="s">
        <v>3773</v>
      </c>
      <c r="AJ152" s="1" t="s">
        <v>1552</v>
      </c>
      <c r="AK152" s="1" t="s">
        <v>1441</v>
      </c>
      <c r="AL152" s="1">
        <v>3</v>
      </c>
      <c r="AM152" s="1" t="s">
        <v>922</v>
      </c>
      <c r="AN152" s="1" t="s">
        <v>921</v>
      </c>
      <c r="AO152" s="1" t="s">
        <v>339</v>
      </c>
      <c r="AP152" s="1"/>
      <c r="AQ152" s="1">
        <v>6</v>
      </c>
      <c r="AR152" s="1">
        <v>1</v>
      </c>
      <c r="AS152" s="1" t="s">
        <v>3869</v>
      </c>
    </row>
    <row r="153" spans="1:45" x14ac:dyDescent="0.15">
      <c r="A153" t="str">
        <f t="shared" si="31"/>
        <v>|EMN|青黒|14|8/8|《[[ギサとゲラルフ]]》|</v>
      </c>
      <c r="B153" t="s">
        <v>3168</v>
      </c>
      <c r="C153" t="str">
        <f t="shared" si="32"/>
        <v>EMN</v>
      </c>
      <c r="D153">
        <f>IF(AI153="","",VLOOKUP(C153,tnpl!$Z$1:$AA$11,2,TRUE))</f>
        <v>5</v>
      </c>
      <c r="E153" t="s">
        <v>3168</v>
      </c>
      <c r="F153" t="str">
        <f t="shared" si="33"/>
        <v>青黒</v>
      </c>
      <c r="G153">
        <f>IF(AJ153="","",VLOOKUP(F153,tnpl!$X$1:$Y$16,2,TRUE))</f>
        <v>7</v>
      </c>
      <c r="H153" t="s">
        <v>3168</v>
      </c>
      <c r="I153">
        <f t="shared" si="34"/>
        <v>14</v>
      </c>
      <c r="J153" t="s">
        <v>3168</v>
      </c>
      <c r="K153">
        <f t="shared" si="35"/>
        <v>8</v>
      </c>
      <c r="L153">
        <f t="shared" si="36"/>
        <v>8</v>
      </c>
      <c r="M153" t="str">
        <f t="shared" si="29"/>
        <v>8/8</v>
      </c>
      <c r="R153" t="s">
        <v>3175</v>
      </c>
      <c r="S153" t="s">
        <v>4750</v>
      </c>
      <c r="T153" t="str">
        <f t="shared" si="37"/>
        <v>ギサとゲラルフ</v>
      </c>
      <c r="U153" t="str">
        <f t="shared" si="38"/>
        <v/>
      </c>
      <c r="V153" t="str">
        <f>IF(I153=0,VLOOKUP(T153,Sheet4!A:B,2,TRUE),"")</f>
        <v/>
      </c>
      <c r="W153" t="s">
        <v>4751</v>
      </c>
      <c r="X153" t="s">
        <v>3175</v>
      </c>
      <c r="Y153" s="9"/>
      <c r="Z153" s="10" t="s">
        <v>3902</v>
      </c>
      <c r="AA153" t="s">
        <v>4847</v>
      </c>
      <c r="AB153" t="s">
        <v>4830</v>
      </c>
      <c r="AC153" t="str">
        <f t="shared" si="39"/>
        <v>破壊する</v>
      </c>
      <c r="AD153" t="str">
        <f t="shared" si="30"/>
        <v>破壊された</v>
      </c>
      <c r="AE153" t="str">
        <f t="shared" si="40"/>
        <v/>
      </c>
      <c r="AF153" t="str">
        <f t="shared" si="41"/>
        <v/>
      </c>
      <c r="AG153" t="b">
        <f t="shared" si="28"/>
        <v>0</v>
      </c>
      <c r="AH153" s="3">
        <v>819</v>
      </c>
      <c r="AI153" s="2" t="s">
        <v>3773</v>
      </c>
      <c r="AJ153" s="1" t="s">
        <v>1508</v>
      </c>
      <c r="AK153" s="1" t="s">
        <v>1431</v>
      </c>
      <c r="AL153" s="1">
        <v>14</v>
      </c>
      <c r="AM153" s="1" t="s">
        <v>890</v>
      </c>
      <c r="AN153" s="1" t="s">
        <v>889</v>
      </c>
      <c r="AO153" s="1" t="s">
        <v>339</v>
      </c>
      <c r="AP153" s="1"/>
      <c r="AQ153" s="1">
        <v>8</v>
      </c>
      <c r="AR153" s="1">
        <v>8</v>
      </c>
      <c r="AS153" s="1" t="s">
        <v>3902</v>
      </c>
    </row>
    <row r="154" spans="1:45" x14ac:dyDescent="0.15">
      <c r="A154" t="str">
        <f t="shared" si="31"/>
        <v>|EMN|無色|16|6/5|《[[自然もどき]]》|</v>
      </c>
      <c r="B154" t="s">
        <v>3168</v>
      </c>
      <c r="C154" t="str">
        <f t="shared" si="32"/>
        <v>EMN</v>
      </c>
      <c r="D154">
        <f>IF(AI154="","",VLOOKUP(C154,tnpl!$Z$1:$AA$11,2,TRUE))</f>
        <v>5</v>
      </c>
      <c r="E154" t="s">
        <v>3168</v>
      </c>
      <c r="F154" t="str">
        <f t="shared" si="33"/>
        <v>無色</v>
      </c>
      <c r="G154">
        <f>IF(AJ154="","",VLOOKUP(F154,tnpl!$X$1:$Y$16,2,TRUE))</f>
        <v>16</v>
      </c>
      <c r="H154" t="s">
        <v>3168</v>
      </c>
      <c r="I154">
        <f t="shared" si="34"/>
        <v>16</v>
      </c>
      <c r="J154" t="s">
        <v>3168</v>
      </c>
      <c r="K154">
        <f t="shared" si="35"/>
        <v>6</v>
      </c>
      <c r="L154">
        <f t="shared" si="36"/>
        <v>5</v>
      </c>
      <c r="M154" t="str">
        <f t="shared" si="29"/>
        <v>6/5</v>
      </c>
      <c r="R154" t="s">
        <v>3175</v>
      </c>
      <c r="S154" t="s">
        <v>4750</v>
      </c>
      <c r="T154" t="str">
        <f t="shared" si="37"/>
        <v>自然もどき</v>
      </c>
      <c r="U154" t="str">
        <f t="shared" si="38"/>
        <v/>
      </c>
      <c r="V154" t="str">
        <f>IF(I154=0,VLOOKUP(T154,Sheet4!A:B,2,TRUE),"")</f>
        <v/>
      </c>
      <c r="W154" t="s">
        <v>4751</v>
      </c>
      <c r="X154" t="s">
        <v>3175</v>
      </c>
      <c r="Y154" s="9"/>
      <c r="Z154" s="10" t="s">
        <v>3919</v>
      </c>
      <c r="AA154" t="s">
        <v>4826</v>
      </c>
      <c r="AC154" t="str">
        <f t="shared" si="39"/>
        <v>破壊する</v>
      </c>
      <c r="AD154" t="str">
        <f t="shared" si="30"/>
        <v/>
      </c>
      <c r="AE154" t="str">
        <f t="shared" si="40"/>
        <v/>
      </c>
      <c r="AF154" t="str">
        <f t="shared" si="41"/>
        <v/>
      </c>
      <c r="AG154" t="b">
        <f t="shared" si="28"/>
        <v>0</v>
      </c>
      <c r="AH154" s="3">
        <v>827</v>
      </c>
      <c r="AI154" s="2" t="s">
        <v>3773</v>
      </c>
      <c r="AJ154" s="1" t="s">
        <v>292</v>
      </c>
      <c r="AK154" s="1" t="s">
        <v>1451</v>
      </c>
      <c r="AL154" s="1">
        <v>16</v>
      </c>
      <c r="AM154" s="1" t="s">
        <v>876</v>
      </c>
      <c r="AN154" s="1" t="s">
        <v>875</v>
      </c>
      <c r="AO154" s="1" t="s">
        <v>339</v>
      </c>
      <c r="AP154" s="1"/>
      <c r="AQ154" s="1">
        <v>6</v>
      </c>
      <c r="AR154" s="1">
        <v>5</v>
      </c>
      <c r="AS154" s="1" t="s">
        <v>3919</v>
      </c>
    </row>
    <row r="155" spans="1:45" x14ac:dyDescent="0.15">
      <c r="A155" t="str">
        <f t="shared" si="31"/>
        <v>|EMN|無色|12|3/3|《[[永遠の災い魔]]》|</v>
      </c>
      <c r="B155" t="s">
        <v>3168</v>
      </c>
      <c r="C155" t="str">
        <f t="shared" si="32"/>
        <v>EMN</v>
      </c>
      <c r="D155">
        <f>IF(AI155="","",VLOOKUP(C155,tnpl!$Z$1:$AA$11,2,TRUE))</f>
        <v>5</v>
      </c>
      <c r="E155" t="s">
        <v>3168</v>
      </c>
      <c r="F155" t="str">
        <f t="shared" si="33"/>
        <v>無色</v>
      </c>
      <c r="G155">
        <f>IF(AJ155="","",VLOOKUP(F155,tnpl!$X$1:$Y$16,2,TRUE))</f>
        <v>16</v>
      </c>
      <c r="H155" t="s">
        <v>3168</v>
      </c>
      <c r="I155">
        <f t="shared" si="34"/>
        <v>12</v>
      </c>
      <c r="J155" t="s">
        <v>3168</v>
      </c>
      <c r="K155">
        <f t="shared" si="35"/>
        <v>3</v>
      </c>
      <c r="L155">
        <f t="shared" si="36"/>
        <v>3</v>
      </c>
      <c r="M155" t="str">
        <f t="shared" si="29"/>
        <v>3/3</v>
      </c>
      <c r="R155" t="s">
        <v>3175</v>
      </c>
      <c r="S155" t="s">
        <v>4750</v>
      </c>
      <c r="T155" t="str">
        <f t="shared" si="37"/>
        <v>永遠の災い魔</v>
      </c>
      <c r="U155" t="str">
        <f t="shared" si="38"/>
        <v/>
      </c>
      <c r="V155" t="str">
        <f>IF(I155=0,VLOOKUP(T155,Sheet4!A:B,2,TRUE),"")</f>
        <v/>
      </c>
      <c r="W155" t="s">
        <v>4751</v>
      </c>
      <c r="X155" t="s">
        <v>3175</v>
      </c>
      <c r="Y155" s="9"/>
      <c r="Z155" s="10" t="s">
        <v>3561</v>
      </c>
      <c r="AA155" t="s">
        <v>4830</v>
      </c>
      <c r="AC155" t="str">
        <f t="shared" si="39"/>
        <v/>
      </c>
      <c r="AD155" t="str">
        <f t="shared" si="30"/>
        <v/>
      </c>
      <c r="AE155" t="str">
        <f t="shared" si="40"/>
        <v/>
      </c>
      <c r="AF155" t="str">
        <f t="shared" si="41"/>
        <v/>
      </c>
      <c r="AG155" t="b">
        <f t="shared" si="28"/>
        <v>0</v>
      </c>
      <c r="AH155" s="3">
        <v>831</v>
      </c>
      <c r="AI155" s="2" t="s">
        <v>3773</v>
      </c>
      <c r="AJ155" s="1" t="s">
        <v>292</v>
      </c>
      <c r="AK155" s="1" t="s">
        <v>1441</v>
      </c>
      <c r="AL155" s="1">
        <v>12</v>
      </c>
      <c r="AM155" s="1" t="s">
        <v>868</v>
      </c>
      <c r="AN155" s="1" t="s">
        <v>867</v>
      </c>
      <c r="AO155" s="1" t="s">
        <v>339</v>
      </c>
      <c r="AP155" s="1"/>
      <c r="AQ155" s="1">
        <v>3</v>
      </c>
      <c r="AR155" s="1">
        <v>3</v>
      </c>
      <c r="AS155" s="1" t="s">
        <v>3561</v>
      </c>
    </row>
    <row r="156" spans="1:45" x14ac:dyDescent="0.15">
      <c r="A156" t="str">
        <f t="shared" si="31"/>
        <v>|KLD|白|8||《[[断片化]]》|</v>
      </c>
      <c r="B156" t="s">
        <v>3168</v>
      </c>
      <c r="C156" t="str">
        <f t="shared" si="32"/>
        <v>KLD</v>
      </c>
      <c r="D156">
        <f>IF(AI156="","",VLOOKUP(C156,tnpl!$Z$1:$AA$11,2,TRUE))</f>
        <v>6</v>
      </c>
      <c r="E156" t="s">
        <v>3168</v>
      </c>
      <c r="F156" t="str">
        <f t="shared" si="33"/>
        <v>白</v>
      </c>
      <c r="G156">
        <f>IF(AJ156="","",VLOOKUP(F156,tnpl!$X$1:$Y$16,2,TRUE))</f>
        <v>1</v>
      </c>
      <c r="H156" t="s">
        <v>3168</v>
      </c>
      <c r="I156">
        <f t="shared" si="34"/>
        <v>8</v>
      </c>
      <c r="J156" t="s">
        <v>3168</v>
      </c>
      <c r="K156">
        <f t="shared" si="35"/>
        <v>0</v>
      </c>
      <c r="L156">
        <f t="shared" si="36"/>
        <v>0</v>
      </c>
      <c r="M156" t="str">
        <f t="shared" si="29"/>
        <v/>
      </c>
      <c r="R156" t="s">
        <v>3175</v>
      </c>
      <c r="S156" t="s">
        <v>4750</v>
      </c>
      <c r="T156" t="str">
        <f t="shared" si="37"/>
        <v>断片化</v>
      </c>
      <c r="U156" t="str">
        <f t="shared" si="38"/>
        <v/>
      </c>
      <c r="V156" t="str">
        <f>IF(I156=0,VLOOKUP(T156,Sheet4!A:B,2,TRUE),"")</f>
        <v/>
      </c>
      <c r="W156" t="s">
        <v>4751</v>
      </c>
      <c r="X156" t="s">
        <v>3175</v>
      </c>
      <c r="Y156" s="9"/>
      <c r="Z156" s="10" t="s">
        <v>3952</v>
      </c>
      <c r="AA156" t="s">
        <v>4826</v>
      </c>
      <c r="AC156" t="str">
        <f t="shared" si="39"/>
        <v>破壊する</v>
      </c>
      <c r="AD156" t="str">
        <f t="shared" si="30"/>
        <v/>
      </c>
      <c r="AE156" t="str">
        <f t="shared" si="40"/>
        <v/>
      </c>
      <c r="AF156" t="str">
        <f t="shared" si="41"/>
        <v/>
      </c>
      <c r="AG156" t="b">
        <f t="shared" si="28"/>
        <v>0</v>
      </c>
      <c r="AH156" s="3">
        <v>844</v>
      </c>
      <c r="AI156" s="2" t="s">
        <v>3937</v>
      </c>
      <c r="AJ156" s="1" t="s">
        <v>1627</v>
      </c>
      <c r="AK156" s="1" t="s">
        <v>1744</v>
      </c>
      <c r="AL156" s="1">
        <v>8</v>
      </c>
      <c r="AM156" s="1" t="s">
        <v>827</v>
      </c>
      <c r="AN156" s="1" t="s">
        <v>826</v>
      </c>
      <c r="AO156" s="1" t="s">
        <v>1453</v>
      </c>
      <c r="AP156" s="1"/>
      <c r="AQ156" s="1"/>
      <c r="AR156" s="1"/>
      <c r="AS156" s="1" t="s">
        <v>3952</v>
      </c>
    </row>
    <row r="157" spans="1:45" x14ac:dyDescent="0.15">
      <c r="A157" t="str">
        <f t="shared" si="31"/>
        <v>|KLD|白|13||《[[空鯨捕りの一撃]]》|</v>
      </c>
      <c r="B157" t="s">
        <v>3168</v>
      </c>
      <c r="C157" t="str">
        <f t="shared" si="32"/>
        <v>KLD</v>
      </c>
      <c r="D157">
        <f>IF(AI157="","",VLOOKUP(C157,tnpl!$Z$1:$AA$11,2,TRUE))</f>
        <v>6</v>
      </c>
      <c r="E157" t="s">
        <v>3168</v>
      </c>
      <c r="F157" t="str">
        <f t="shared" si="33"/>
        <v>白</v>
      </c>
      <c r="G157">
        <f>IF(AJ157="","",VLOOKUP(F157,tnpl!$X$1:$Y$16,2,TRUE))</f>
        <v>1</v>
      </c>
      <c r="H157" t="s">
        <v>3168</v>
      </c>
      <c r="I157">
        <f t="shared" si="34"/>
        <v>13</v>
      </c>
      <c r="J157" t="s">
        <v>3168</v>
      </c>
      <c r="K157">
        <f t="shared" si="35"/>
        <v>0</v>
      </c>
      <c r="L157">
        <f t="shared" si="36"/>
        <v>0</v>
      </c>
      <c r="M157" t="str">
        <f t="shared" si="29"/>
        <v/>
      </c>
      <c r="R157" t="s">
        <v>3175</v>
      </c>
      <c r="S157" t="s">
        <v>4750</v>
      </c>
      <c r="T157" t="str">
        <f t="shared" si="37"/>
        <v>空鯨捕りの一撃</v>
      </c>
      <c r="U157" t="str">
        <f t="shared" si="38"/>
        <v/>
      </c>
      <c r="V157" t="str">
        <f>IF(I157=0,VLOOKUP(T157,Sheet4!A:B,2,TRUE),"")</f>
        <v/>
      </c>
      <c r="W157" t="s">
        <v>4751</v>
      </c>
      <c r="X157" t="s">
        <v>3175</v>
      </c>
      <c r="Y157" s="9"/>
      <c r="Z157" s="10" t="s">
        <v>3961</v>
      </c>
      <c r="AA157" t="s">
        <v>4825</v>
      </c>
      <c r="AC157" t="str">
        <f t="shared" si="39"/>
        <v>破壊する</v>
      </c>
      <c r="AD157" t="str">
        <f t="shared" si="30"/>
        <v/>
      </c>
      <c r="AE157" t="str">
        <f t="shared" si="40"/>
        <v/>
      </c>
      <c r="AF157" t="str">
        <f t="shared" si="41"/>
        <v/>
      </c>
      <c r="AG157" t="b">
        <f t="shared" si="28"/>
        <v>0</v>
      </c>
      <c r="AH157" s="3">
        <v>850</v>
      </c>
      <c r="AI157" s="2" t="s">
        <v>3937</v>
      </c>
      <c r="AJ157" s="1" t="s">
        <v>1627</v>
      </c>
      <c r="AK157" s="1" t="s">
        <v>1451</v>
      </c>
      <c r="AL157" s="1">
        <v>13</v>
      </c>
      <c r="AM157" s="1" t="s">
        <v>805</v>
      </c>
      <c r="AN157" s="1" t="s">
        <v>804</v>
      </c>
      <c r="AO157" s="1" t="s">
        <v>1453</v>
      </c>
      <c r="AP157" s="1"/>
      <c r="AQ157" s="1"/>
      <c r="AR157" s="1"/>
      <c r="AS157" s="1" t="s">
        <v>3961</v>
      </c>
    </row>
    <row r="158" spans="1:45" x14ac:dyDescent="0.15">
      <c r="A158" t="str">
        <f t="shared" si="31"/>
        <v>|KLD|白|16||《[[燻蒸]]》|</v>
      </c>
      <c r="B158" t="s">
        <v>3168</v>
      </c>
      <c r="C158" t="str">
        <f t="shared" si="32"/>
        <v>KLD</v>
      </c>
      <c r="D158">
        <f>IF(AI158="","",VLOOKUP(C158,tnpl!$Z$1:$AA$11,2,TRUE))</f>
        <v>6</v>
      </c>
      <c r="E158" t="s">
        <v>3168</v>
      </c>
      <c r="F158" t="str">
        <f t="shared" si="33"/>
        <v>白</v>
      </c>
      <c r="G158">
        <f>IF(AJ158="","",VLOOKUP(F158,tnpl!$X$1:$Y$16,2,TRUE))</f>
        <v>1</v>
      </c>
      <c r="H158" t="s">
        <v>3168</v>
      </c>
      <c r="I158">
        <f t="shared" si="34"/>
        <v>16</v>
      </c>
      <c r="J158" t="s">
        <v>3168</v>
      </c>
      <c r="K158">
        <f t="shared" si="35"/>
        <v>0</v>
      </c>
      <c r="L158">
        <f t="shared" si="36"/>
        <v>0</v>
      </c>
      <c r="M158" t="str">
        <f t="shared" si="29"/>
        <v/>
      </c>
      <c r="R158" t="s">
        <v>3175</v>
      </c>
      <c r="S158" t="s">
        <v>4750</v>
      </c>
      <c r="T158" t="str">
        <f t="shared" si="37"/>
        <v>燻蒸</v>
      </c>
      <c r="U158" t="str">
        <f t="shared" si="38"/>
        <v/>
      </c>
      <c r="V158" t="str">
        <f>IF(I158=0,VLOOKUP(T158,Sheet4!A:B,2,TRUE),"")</f>
        <v/>
      </c>
      <c r="W158" t="s">
        <v>4751</v>
      </c>
      <c r="X158" t="s">
        <v>3175</v>
      </c>
      <c r="Y158" s="9"/>
      <c r="Z158" s="10" t="s">
        <v>3493</v>
      </c>
      <c r="AA158" t="s">
        <v>4825</v>
      </c>
      <c r="AC158" t="str">
        <f t="shared" si="39"/>
        <v>破壊する</v>
      </c>
      <c r="AD158" t="str">
        <f t="shared" si="30"/>
        <v/>
      </c>
      <c r="AE158" t="str">
        <f t="shared" si="40"/>
        <v/>
      </c>
      <c r="AF158" t="str">
        <f t="shared" si="41"/>
        <v/>
      </c>
      <c r="AG158" t="b">
        <f t="shared" si="28"/>
        <v>0</v>
      </c>
      <c r="AH158" s="3">
        <v>854</v>
      </c>
      <c r="AI158" s="2" t="s">
        <v>3937</v>
      </c>
      <c r="AJ158" s="1" t="s">
        <v>1627</v>
      </c>
      <c r="AK158" s="1" t="s">
        <v>1441</v>
      </c>
      <c r="AL158" s="1">
        <v>16</v>
      </c>
      <c r="AM158" s="1" t="s">
        <v>797</v>
      </c>
      <c r="AN158" s="1" t="s">
        <v>796</v>
      </c>
      <c r="AO158" s="1" t="s">
        <v>1453</v>
      </c>
      <c r="AP158" s="1"/>
      <c r="AQ158" s="1"/>
      <c r="AR158" s="1"/>
      <c r="AS158" s="1" t="s">
        <v>3493</v>
      </c>
    </row>
    <row r="159" spans="1:45" x14ac:dyDescent="0.15">
      <c r="A159" t="str">
        <f t="shared" si="31"/>
        <v>|KLD|白|10||《[[復元]]》|</v>
      </c>
      <c r="B159" t="s">
        <v>3168</v>
      </c>
      <c r="C159" t="str">
        <f t="shared" si="32"/>
        <v>KLD</v>
      </c>
      <c r="D159">
        <f>IF(AI159="","",VLOOKUP(C159,tnpl!$Z$1:$AA$11,2,TRUE))</f>
        <v>6</v>
      </c>
      <c r="E159" t="s">
        <v>3168</v>
      </c>
      <c r="F159" t="str">
        <f t="shared" si="33"/>
        <v>白</v>
      </c>
      <c r="G159">
        <f>IF(AJ159="","",VLOOKUP(F159,tnpl!$X$1:$Y$16,2,TRUE))</f>
        <v>1</v>
      </c>
      <c r="H159" t="s">
        <v>3168</v>
      </c>
      <c r="I159">
        <f t="shared" si="34"/>
        <v>10</v>
      </c>
      <c r="J159" t="s">
        <v>3168</v>
      </c>
      <c r="K159">
        <f t="shared" si="35"/>
        <v>0</v>
      </c>
      <c r="L159">
        <f t="shared" si="36"/>
        <v>0</v>
      </c>
      <c r="M159" t="str">
        <f t="shared" si="29"/>
        <v/>
      </c>
      <c r="R159" t="s">
        <v>3175</v>
      </c>
      <c r="S159" t="s">
        <v>4750</v>
      </c>
      <c r="T159" t="str">
        <f t="shared" si="37"/>
        <v>復元</v>
      </c>
      <c r="U159" t="str">
        <f t="shared" si="38"/>
        <v/>
      </c>
      <c r="V159" t="str">
        <f>IF(I159=0,VLOOKUP(T159,Sheet4!A:B,2,TRUE),"")</f>
        <v/>
      </c>
      <c r="W159" t="s">
        <v>4751</v>
      </c>
      <c r="X159" t="s">
        <v>3175</v>
      </c>
      <c r="Y159" s="9"/>
      <c r="Z159" s="10" t="s">
        <v>3971</v>
      </c>
      <c r="AA159" t="s">
        <v>4830</v>
      </c>
      <c r="AC159" t="str">
        <f t="shared" si="39"/>
        <v/>
      </c>
      <c r="AD159" t="str">
        <f t="shared" si="30"/>
        <v>破壊された</v>
      </c>
      <c r="AE159" t="str">
        <f t="shared" si="40"/>
        <v/>
      </c>
      <c r="AF159" t="str">
        <f t="shared" si="41"/>
        <v/>
      </c>
      <c r="AG159" t="b">
        <f t="shared" si="28"/>
        <v>0</v>
      </c>
      <c r="AH159" s="3">
        <v>855</v>
      </c>
      <c r="AI159" s="2" t="s">
        <v>3937</v>
      </c>
      <c r="AJ159" s="1" t="s">
        <v>1627</v>
      </c>
      <c r="AK159" s="1" t="s">
        <v>1441</v>
      </c>
      <c r="AL159" s="1">
        <v>10</v>
      </c>
      <c r="AM159" s="1" t="s">
        <v>793</v>
      </c>
      <c r="AN159" s="1" t="s">
        <v>792</v>
      </c>
      <c r="AO159" s="1" t="s">
        <v>1453</v>
      </c>
      <c r="AP159" s="1"/>
      <c r="AQ159" s="1"/>
      <c r="AR159" s="1"/>
      <c r="AS159" s="1" t="s">
        <v>3971</v>
      </c>
    </row>
    <row r="160" spans="1:45" x14ac:dyDescent="0.15">
      <c r="A160" t="str">
        <f t="shared" si="31"/>
        <v>|KLD|白|24|8/8|《[[激変の機械巨人]]》|</v>
      </c>
      <c r="B160" t="s">
        <v>3168</v>
      </c>
      <c r="C160" t="str">
        <f t="shared" si="32"/>
        <v>KLD</v>
      </c>
      <c r="D160">
        <f>IF(AI160="","",VLOOKUP(C160,tnpl!$Z$1:$AA$11,2,TRUE))</f>
        <v>6</v>
      </c>
      <c r="E160" t="s">
        <v>3168</v>
      </c>
      <c r="F160" t="str">
        <f t="shared" si="33"/>
        <v>白</v>
      </c>
      <c r="G160">
        <f>IF(AJ160="","",VLOOKUP(F160,tnpl!$X$1:$Y$16,2,TRUE))</f>
        <v>1</v>
      </c>
      <c r="H160" t="s">
        <v>3168</v>
      </c>
      <c r="I160">
        <f t="shared" si="34"/>
        <v>24</v>
      </c>
      <c r="J160" t="s">
        <v>3168</v>
      </c>
      <c r="K160">
        <f t="shared" si="35"/>
        <v>8</v>
      </c>
      <c r="L160">
        <f t="shared" si="36"/>
        <v>8</v>
      </c>
      <c r="M160" t="str">
        <f t="shared" si="29"/>
        <v>8/8</v>
      </c>
      <c r="R160" t="s">
        <v>3175</v>
      </c>
      <c r="S160" t="s">
        <v>4750</v>
      </c>
      <c r="T160" t="str">
        <f t="shared" si="37"/>
        <v>激変の機械巨人</v>
      </c>
      <c r="U160" t="str">
        <f t="shared" si="38"/>
        <v/>
      </c>
      <c r="V160" t="str">
        <f>IF(I160=0,VLOOKUP(T160,Sheet4!A:B,2,TRUE),"")</f>
        <v/>
      </c>
      <c r="W160" t="s">
        <v>4751</v>
      </c>
      <c r="X160" t="s">
        <v>3175</v>
      </c>
      <c r="Y160" s="9"/>
      <c r="Z160" s="10" t="s">
        <v>3982</v>
      </c>
      <c r="AA160" t="s">
        <v>4825</v>
      </c>
      <c r="AB160" t="s">
        <v>4826</v>
      </c>
      <c r="AC160" t="str">
        <f t="shared" si="39"/>
        <v>破壊する</v>
      </c>
      <c r="AD160" t="str">
        <f t="shared" si="30"/>
        <v/>
      </c>
      <c r="AE160" t="str">
        <f t="shared" si="40"/>
        <v/>
      </c>
      <c r="AF160" t="str">
        <f t="shared" si="41"/>
        <v>破壊し</v>
      </c>
      <c r="AG160" t="b">
        <f t="shared" si="28"/>
        <v>0</v>
      </c>
      <c r="AH160" s="3">
        <v>860</v>
      </c>
      <c r="AI160" s="2" t="s">
        <v>3937</v>
      </c>
      <c r="AJ160" s="1" t="s">
        <v>1627</v>
      </c>
      <c r="AK160" s="1" t="s">
        <v>1431</v>
      </c>
      <c r="AL160" s="1">
        <v>24</v>
      </c>
      <c r="AM160" s="1" t="s">
        <v>785</v>
      </c>
      <c r="AN160" s="1" t="s">
        <v>784</v>
      </c>
      <c r="AO160" s="1" t="s">
        <v>339</v>
      </c>
      <c r="AP160" s="1"/>
      <c r="AQ160" s="1">
        <v>8</v>
      </c>
      <c r="AR160" s="1">
        <v>8</v>
      </c>
      <c r="AS160" s="1" t="s">
        <v>3982</v>
      </c>
    </row>
    <row r="161" spans="1:45" x14ac:dyDescent="0.15">
      <c r="A161" t="str">
        <f t="shared" si="31"/>
        <v>|KLD|青|18|6/6|《[[霊気烈風の古きもの]]》|</v>
      </c>
      <c r="B161" t="s">
        <v>3168</v>
      </c>
      <c r="C161" t="str">
        <f t="shared" si="32"/>
        <v>KLD</v>
      </c>
      <c r="D161">
        <f>IF(AI161="","",VLOOKUP(C161,tnpl!$Z$1:$AA$11,2,TRUE))</f>
        <v>6</v>
      </c>
      <c r="E161" t="s">
        <v>3168</v>
      </c>
      <c r="F161" t="str">
        <f t="shared" si="33"/>
        <v>青</v>
      </c>
      <c r="G161">
        <f>IF(AJ161="","",VLOOKUP(F161,tnpl!$X$1:$Y$16,2,TRUE))</f>
        <v>2</v>
      </c>
      <c r="H161" t="s">
        <v>3168</v>
      </c>
      <c r="I161">
        <f t="shared" si="34"/>
        <v>18</v>
      </c>
      <c r="J161" t="s">
        <v>3168</v>
      </c>
      <c r="K161">
        <f t="shared" si="35"/>
        <v>6</v>
      </c>
      <c r="L161">
        <f t="shared" si="36"/>
        <v>6</v>
      </c>
      <c r="M161" t="str">
        <f t="shared" si="29"/>
        <v>6/6</v>
      </c>
      <c r="R161" t="s">
        <v>3175</v>
      </c>
      <c r="S161" t="s">
        <v>4750</v>
      </c>
      <c r="T161" t="str">
        <f t="shared" si="37"/>
        <v>霊気烈風の古きもの</v>
      </c>
      <c r="U161" t="str">
        <f t="shared" si="38"/>
        <v/>
      </c>
      <c r="V161" t="str">
        <f>IF(I161=0,VLOOKUP(T161,Sheet4!A:B,2,TRUE),"")</f>
        <v/>
      </c>
      <c r="W161" t="s">
        <v>4751</v>
      </c>
      <c r="X161" t="s">
        <v>3175</v>
      </c>
      <c r="Y161" s="9"/>
      <c r="Z161" s="10" t="s">
        <v>4015</v>
      </c>
      <c r="AA161" t="s">
        <v>3167</v>
      </c>
      <c r="AC161" t="str">
        <f t="shared" si="39"/>
        <v>破壊する</v>
      </c>
      <c r="AD161" t="str">
        <f t="shared" si="30"/>
        <v/>
      </c>
      <c r="AE161" t="str">
        <f t="shared" si="40"/>
        <v/>
      </c>
      <c r="AF161" t="str">
        <f t="shared" si="41"/>
        <v/>
      </c>
      <c r="AG161" t="b">
        <f t="shared" si="28"/>
        <v>0</v>
      </c>
      <c r="AH161" s="3">
        <v>879</v>
      </c>
      <c r="AI161" s="2" t="s">
        <v>3937</v>
      </c>
      <c r="AJ161" s="1" t="s">
        <v>1606</v>
      </c>
      <c r="AK161" s="1" t="s">
        <v>1441</v>
      </c>
      <c r="AL161" s="1">
        <v>18</v>
      </c>
      <c r="AM161" s="1" t="s">
        <v>750</v>
      </c>
      <c r="AN161" s="1" t="s">
        <v>749</v>
      </c>
      <c r="AO161" s="1" t="s">
        <v>339</v>
      </c>
      <c r="AP161" s="1"/>
      <c r="AQ161" s="1">
        <v>6</v>
      </c>
      <c r="AR161" s="1">
        <v>6</v>
      </c>
      <c r="AS161" s="1" t="s">
        <v>4015</v>
      </c>
    </row>
    <row r="162" spans="1:45" x14ac:dyDescent="0.15">
      <c r="A162" t="str">
        <f t="shared" si="31"/>
        <v>|KLD|青|6||《[[腹黒い意志]]》|</v>
      </c>
      <c r="B162" t="s">
        <v>3168</v>
      </c>
      <c r="C162" t="str">
        <f t="shared" si="32"/>
        <v>KLD</v>
      </c>
      <c r="D162">
        <f>IF(AI162="","",VLOOKUP(C162,tnpl!$Z$1:$AA$11,2,TRUE))</f>
        <v>6</v>
      </c>
      <c r="E162" t="s">
        <v>3168</v>
      </c>
      <c r="F162" t="str">
        <f t="shared" si="33"/>
        <v>青</v>
      </c>
      <c r="G162">
        <f>IF(AJ162="","",VLOOKUP(F162,tnpl!$X$1:$Y$16,2,TRUE))</f>
        <v>2</v>
      </c>
      <c r="H162" t="s">
        <v>3168</v>
      </c>
      <c r="I162">
        <f t="shared" si="34"/>
        <v>6</v>
      </c>
      <c r="J162" t="s">
        <v>3168</v>
      </c>
      <c r="K162">
        <f t="shared" si="35"/>
        <v>0</v>
      </c>
      <c r="L162">
        <f t="shared" si="36"/>
        <v>0</v>
      </c>
      <c r="M162" t="str">
        <f t="shared" si="29"/>
        <v/>
      </c>
      <c r="R162" t="s">
        <v>3175</v>
      </c>
      <c r="S162" t="s">
        <v>4750</v>
      </c>
      <c r="T162" t="str">
        <f t="shared" si="37"/>
        <v>腹黒い意志</v>
      </c>
      <c r="U162" t="str">
        <f t="shared" si="38"/>
        <v/>
      </c>
      <c r="V162" t="str">
        <f>IF(I162=0,VLOOKUP(T162,Sheet4!A:B,2,TRUE),"")</f>
        <v/>
      </c>
      <c r="W162" t="s">
        <v>4751</v>
      </c>
      <c r="X162" t="s">
        <v>3175</v>
      </c>
      <c r="Y162" s="9"/>
      <c r="Z162" s="10" t="s">
        <v>4024</v>
      </c>
      <c r="AA162" t="s">
        <v>4829</v>
      </c>
      <c r="AC162" t="str">
        <f t="shared" si="39"/>
        <v>破壊する</v>
      </c>
      <c r="AD162" t="str">
        <f t="shared" si="30"/>
        <v/>
      </c>
      <c r="AE162" t="str">
        <f t="shared" si="40"/>
        <v/>
      </c>
      <c r="AF162" t="str">
        <f t="shared" si="41"/>
        <v>破壊し</v>
      </c>
      <c r="AG162" t="b">
        <f t="shared" si="28"/>
        <v>0</v>
      </c>
      <c r="AH162" s="3">
        <v>884</v>
      </c>
      <c r="AI162" s="2" t="s">
        <v>3937</v>
      </c>
      <c r="AJ162" s="1" t="s">
        <v>1606</v>
      </c>
      <c r="AK162" s="1" t="s">
        <v>1441</v>
      </c>
      <c r="AL162" s="1">
        <v>6</v>
      </c>
      <c r="AM162" s="1" t="s">
        <v>745</v>
      </c>
      <c r="AN162" s="1" t="s">
        <v>744</v>
      </c>
      <c r="AO162" s="1" t="s">
        <v>288</v>
      </c>
      <c r="AP162" s="1">
        <v>2</v>
      </c>
      <c r="AQ162" s="1"/>
      <c r="AR162" s="1"/>
      <c r="AS162" s="1" t="s">
        <v>4024</v>
      </c>
    </row>
    <row r="163" spans="1:45" x14ac:dyDescent="0.15">
      <c r="A163" t="str">
        <f t="shared" si="31"/>
        <v>|KLD|青|24|8/8|《[[奔流の機械巨人]]》|</v>
      </c>
      <c r="B163" t="s">
        <v>3168</v>
      </c>
      <c r="C163" t="str">
        <f t="shared" si="32"/>
        <v>KLD</v>
      </c>
      <c r="D163">
        <f>IF(AI163="","",VLOOKUP(C163,tnpl!$Z$1:$AA$11,2,TRUE))</f>
        <v>6</v>
      </c>
      <c r="E163" t="s">
        <v>3168</v>
      </c>
      <c r="F163" t="str">
        <f t="shared" si="33"/>
        <v>青</v>
      </c>
      <c r="G163">
        <f>IF(AJ163="","",VLOOKUP(F163,tnpl!$X$1:$Y$16,2,TRUE))</f>
        <v>2</v>
      </c>
      <c r="H163" t="s">
        <v>3168</v>
      </c>
      <c r="I163">
        <f t="shared" si="34"/>
        <v>24</v>
      </c>
      <c r="J163" t="s">
        <v>3168</v>
      </c>
      <c r="K163">
        <f t="shared" si="35"/>
        <v>8</v>
      </c>
      <c r="L163">
        <f t="shared" si="36"/>
        <v>8</v>
      </c>
      <c r="M163" t="str">
        <f t="shared" si="29"/>
        <v>8/8</v>
      </c>
      <c r="R163" t="s">
        <v>3175</v>
      </c>
      <c r="S163" t="s">
        <v>4750</v>
      </c>
      <c r="T163" t="str">
        <f t="shared" si="37"/>
        <v>奔流の機械巨人</v>
      </c>
      <c r="U163" t="str">
        <f t="shared" si="38"/>
        <v/>
      </c>
      <c r="V163" t="str">
        <f>IF(I163=0,VLOOKUP(T163,Sheet4!A:B,2,TRUE),"")</f>
        <v/>
      </c>
      <c r="W163" t="s">
        <v>4751</v>
      </c>
      <c r="X163" t="s">
        <v>3175</v>
      </c>
      <c r="Y163" s="9"/>
      <c r="Z163" s="10" t="s">
        <v>4029</v>
      </c>
      <c r="AA163" t="s">
        <v>4830</v>
      </c>
      <c r="AC163" t="str">
        <f t="shared" si="39"/>
        <v/>
      </c>
      <c r="AD163" t="str">
        <f t="shared" si="30"/>
        <v>破壊された</v>
      </c>
      <c r="AE163" t="str">
        <f t="shared" si="40"/>
        <v/>
      </c>
      <c r="AF163" t="str">
        <f t="shared" si="41"/>
        <v/>
      </c>
      <c r="AG163" t="b">
        <f t="shared" si="28"/>
        <v>0</v>
      </c>
      <c r="AH163" s="3">
        <v>886</v>
      </c>
      <c r="AI163" s="2" t="s">
        <v>3937</v>
      </c>
      <c r="AJ163" s="1" t="s">
        <v>1606</v>
      </c>
      <c r="AK163" s="1" t="s">
        <v>1431</v>
      </c>
      <c r="AL163" s="1">
        <v>24</v>
      </c>
      <c r="AM163" s="1" t="s">
        <v>735</v>
      </c>
      <c r="AN163" s="1" t="s">
        <v>734</v>
      </c>
      <c r="AO163" s="1" t="s">
        <v>339</v>
      </c>
      <c r="AP163" s="1"/>
      <c r="AQ163" s="1">
        <v>8</v>
      </c>
      <c r="AR163" s="1">
        <v>8</v>
      </c>
      <c r="AS163" s="1" t="s">
        <v>4029</v>
      </c>
    </row>
    <row r="164" spans="1:45" x14ac:dyDescent="0.15">
      <c r="A164" t="str">
        <f t="shared" si="31"/>
        <v>|KLD|黒|10|1/3|《[[ダッカラのゴミあさり]]》|</v>
      </c>
      <c r="B164" t="s">
        <v>3168</v>
      </c>
      <c r="C164" t="str">
        <f t="shared" si="32"/>
        <v>KLD</v>
      </c>
      <c r="D164">
        <f>IF(AI164="","",VLOOKUP(C164,tnpl!$Z$1:$AA$11,2,TRUE))</f>
        <v>6</v>
      </c>
      <c r="E164" t="s">
        <v>3168</v>
      </c>
      <c r="F164" t="str">
        <f t="shared" si="33"/>
        <v>黒</v>
      </c>
      <c r="G164">
        <f>IF(AJ164="","",VLOOKUP(F164,tnpl!$X$1:$Y$16,2,TRUE))</f>
        <v>3</v>
      </c>
      <c r="H164" t="s">
        <v>3168</v>
      </c>
      <c r="I164">
        <f t="shared" si="34"/>
        <v>10</v>
      </c>
      <c r="J164" t="s">
        <v>3168</v>
      </c>
      <c r="K164">
        <f t="shared" si="35"/>
        <v>1</v>
      </c>
      <c r="L164">
        <f t="shared" si="36"/>
        <v>3</v>
      </c>
      <c r="M164" t="str">
        <f t="shared" si="29"/>
        <v>1/3</v>
      </c>
      <c r="R164" t="s">
        <v>3175</v>
      </c>
      <c r="S164" t="s">
        <v>4750</v>
      </c>
      <c r="T164" t="str">
        <f t="shared" si="37"/>
        <v>ダッカラのゴミあさり</v>
      </c>
      <c r="U164" t="str">
        <f t="shared" si="38"/>
        <v/>
      </c>
      <c r="V164" t="str">
        <f>IF(I164=0,VLOOKUP(T164,Sheet4!A:B,2,TRUE),"")</f>
        <v/>
      </c>
      <c r="W164" t="s">
        <v>4751</v>
      </c>
      <c r="X164" t="s">
        <v>3175</v>
      </c>
      <c r="Y164" s="9"/>
      <c r="Z164" s="10" t="s">
        <v>4033</v>
      </c>
      <c r="AA164" t="s">
        <v>4830</v>
      </c>
      <c r="AC164" t="str">
        <f t="shared" si="39"/>
        <v/>
      </c>
      <c r="AD164" t="str">
        <f t="shared" si="30"/>
        <v>破壊された</v>
      </c>
      <c r="AE164" t="str">
        <f t="shared" si="40"/>
        <v/>
      </c>
      <c r="AF164" t="str">
        <f t="shared" si="41"/>
        <v/>
      </c>
      <c r="AG164" t="b">
        <f t="shared" si="28"/>
        <v>0</v>
      </c>
      <c r="AH164" s="3">
        <v>889</v>
      </c>
      <c r="AI164" s="2" t="s">
        <v>3937</v>
      </c>
      <c r="AJ164" s="1" t="s">
        <v>1582</v>
      </c>
      <c r="AK164" s="1" t="s">
        <v>1744</v>
      </c>
      <c r="AL164" s="1">
        <v>10</v>
      </c>
      <c r="AM164" s="1" t="s">
        <v>729</v>
      </c>
      <c r="AN164" s="1" t="s">
        <v>728</v>
      </c>
      <c r="AO164" s="1" t="s">
        <v>339</v>
      </c>
      <c r="AP164" s="1"/>
      <c r="AQ164" s="1">
        <v>1</v>
      </c>
      <c r="AR164" s="1">
        <v>3</v>
      </c>
      <c r="AS164" s="1" t="s">
        <v>4033</v>
      </c>
    </row>
    <row r="165" spans="1:45" x14ac:dyDescent="0.15">
      <c r="A165" t="str">
        <f t="shared" si="31"/>
        <v>|KLD|黒|10||《[[当然の結論]]》|</v>
      </c>
      <c r="B165" t="s">
        <v>3168</v>
      </c>
      <c r="C165" t="str">
        <f t="shared" si="32"/>
        <v>KLD</v>
      </c>
      <c r="D165">
        <f>IF(AI165="","",VLOOKUP(C165,tnpl!$Z$1:$AA$11,2,TRUE))</f>
        <v>6</v>
      </c>
      <c r="E165" t="s">
        <v>3168</v>
      </c>
      <c r="F165" t="str">
        <f t="shared" si="33"/>
        <v>黒</v>
      </c>
      <c r="G165">
        <f>IF(AJ165="","",VLOOKUP(F165,tnpl!$X$1:$Y$16,2,TRUE))</f>
        <v>3</v>
      </c>
      <c r="H165" t="s">
        <v>3168</v>
      </c>
      <c r="I165">
        <f t="shared" si="34"/>
        <v>10</v>
      </c>
      <c r="J165" t="s">
        <v>3168</v>
      </c>
      <c r="K165">
        <f t="shared" si="35"/>
        <v>0</v>
      </c>
      <c r="L165">
        <f t="shared" si="36"/>
        <v>0</v>
      </c>
      <c r="M165" t="str">
        <f t="shared" si="29"/>
        <v/>
      </c>
      <c r="R165" t="s">
        <v>3175</v>
      </c>
      <c r="S165" t="s">
        <v>4750</v>
      </c>
      <c r="T165" t="str">
        <f t="shared" si="37"/>
        <v>当然の結論</v>
      </c>
      <c r="U165" t="str">
        <f t="shared" si="38"/>
        <v/>
      </c>
      <c r="V165" t="str">
        <f>IF(I165=0,VLOOKUP(T165,Sheet4!A:B,2,TRUE),"")</f>
        <v/>
      </c>
      <c r="W165" t="s">
        <v>4751</v>
      </c>
      <c r="X165" t="s">
        <v>3175</v>
      </c>
      <c r="Y165" s="9"/>
      <c r="Z165" s="10" t="s">
        <v>4045</v>
      </c>
      <c r="AA165" t="s">
        <v>4825</v>
      </c>
      <c r="AC165" t="str">
        <f t="shared" si="39"/>
        <v>破壊する</v>
      </c>
      <c r="AD165" t="str">
        <f t="shared" si="30"/>
        <v/>
      </c>
      <c r="AE165" t="str">
        <f t="shared" si="40"/>
        <v/>
      </c>
      <c r="AF165" t="str">
        <f t="shared" si="41"/>
        <v/>
      </c>
      <c r="AG165" t="b">
        <f t="shared" si="28"/>
        <v>0</v>
      </c>
      <c r="AH165" s="3">
        <v>898</v>
      </c>
      <c r="AI165" s="2" t="s">
        <v>3937</v>
      </c>
      <c r="AJ165" s="1" t="s">
        <v>1582</v>
      </c>
      <c r="AK165" s="1" t="s">
        <v>1744</v>
      </c>
      <c r="AL165" s="1">
        <v>10</v>
      </c>
      <c r="AM165" s="1" t="s">
        <v>713</v>
      </c>
      <c r="AN165" s="1" t="s">
        <v>712</v>
      </c>
      <c r="AO165" s="1" t="s">
        <v>1453</v>
      </c>
      <c r="AP165" s="1"/>
      <c r="AQ165" s="1"/>
      <c r="AR165" s="1"/>
      <c r="AS165" s="1" t="s">
        <v>4045</v>
      </c>
    </row>
    <row r="166" spans="1:45" x14ac:dyDescent="0.15">
      <c r="A166" t="str">
        <f t="shared" si="31"/>
        <v>|KLD|黒|12||《[[病的な好奇心]]》|</v>
      </c>
      <c r="B166" t="s">
        <v>3168</v>
      </c>
      <c r="C166" t="str">
        <f t="shared" si="32"/>
        <v>KLD</v>
      </c>
      <c r="D166">
        <f>IF(AI166="","",VLOOKUP(C166,tnpl!$Z$1:$AA$11,2,TRUE))</f>
        <v>6</v>
      </c>
      <c r="E166" t="s">
        <v>3168</v>
      </c>
      <c r="F166" t="str">
        <f t="shared" si="33"/>
        <v>黒</v>
      </c>
      <c r="G166">
        <f>IF(AJ166="","",VLOOKUP(F166,tnpl!$X$1:$Y$16,2,TRUE))</f>
        <v>3</v>
      </c>
      <c r="H166" t="s">
        <v>3168</v>
      </c>
      <c r="I166">
        <f t="shared" si="34"/>
        <v>12</v>
      </c>
      <c r="J166" t="s">
        <v>3168</v>
      </c>
      <c r="K166">
        <f t="shared" si="35"/>
        <v>0</v>
      </c>
      <c r="L166">
        <f t="shared" si="36"/>
        <v>0</v>
      </c>
      <c r="M166" t="str">
        <f t="shared" si="29"/>
        <v/>
      </c>
      <c r="R166" t="s">
        <v>3175</v>
      </c>
      <c r="S166" t="s">
        <v>4750</v>
      </c>
      <c r="T166" t="str">
        <f t="shared" si="37"/>
        <v>病的な好奇心</v>
      </c>
      <c r="U166" t="str">
        <f t="shared" si="38"/>
        <v/>
      </c>
      <c r="V166" t="str">
        <f>IF(I166=0,VLOOKUP(T166,Sheet4!A:B,2,TRUE),"")</f>
        <v/>
      </c>
      <c r="W166" t="s">
        <v>4751</v>
      </c>
      <c r="X166" t="s">
        <v>3175</v>
      </c>
      <c r="Y166" s="9"/>
      <c r="Z166" s="10" t="s">
        <v>4054</v>
      </c>
      <c r="AA166" t="s">
        <v>4825</v>
      </c>
      <c r="AC166" t="str">
        <f t="shared" si="39"/>
        <v>破壊する</v>
      </c>
      <c r="AD166" t="str">
        <f t="shared" si="30"/>
        <v/>
      </c>
      <c r="AE166" t="str">
        <f t="shared" si="40"/>
        <v/>
      </c>
      <c r="AF166" t="str">
        <f t="shared" si="41"/>
        <v/>
      </c>
      <c r="AG166" t="b">
        <f t="shared" si="28"/>
        <v>0</v>
      </c>
      <c r="AH166" s="3">
        <v>904</v>
      </c>
      <c r="AI166" s="2" t="s">
        <v>3937</v>
      </c>
      <c r="AJ166" s="1" t="s">
        <v>1582</v>
      </c>
      <c r="AK166" s="1" t="s">
        <v>1451</v>
      </c>
      <c r="AL166" s="1">
        <v>12</v>
      </c>
      <c r="AM166" s="1" t="s">
        <v>704</v>
      </c>
      <c r="AN166" s="1" t="s">
        <v>703</v>
      </c>
      <c r="AO166" s="1" t="s">
        <v>1453</v>
      </c>
      <c r="AP166" s="1"/>
      <c r="AQ166" s="1"/>
      <c r="AR166" s="1"/>
      <c r="AS166" s="1" t="s">
        <v>4054</v>
      </c>
    </row>
    <row r="167" spans="1:45" x14ac:dyDescent="0.15">
      <c r="A167" t="str">
        <f t="shared" si="31"/>
        <v>|KLD|黒|12|6/4|《[[楕円競走の無謀者]]》|</v>
      </c>
      <c r="B167" t="s">
        <v>3168</v>
      </c>
      <c r="C167" t="str">
        <f t="shared" si="32"/>
        <v>KLD</v>
      </c>
      <c r="D167">
        <f>IF(AI167="","",VLOOKUP(C167,tnpl!$Z$1:$AA$11,2,TRUE))</f>
        <v>6</v>
      </c>
      <c r="E167" t="s">
        <v>3168</v>
      </c>
      <c r="F167" t="str">
        <f t="shared" si="33"/>
        <v>黒</v>
      </c>
      <c r="G167">
        <f>IF(AJ167="","",VLOOKUP(F167,tnpl!$X$1:$Y$16,2,TRUE))</f>
        <v>3</v>
      </c>
      <c r="H167" t="s">
        <v>3168</v>
      </c>
      <c r="I167">
        <f t="shared" si="34"/>
        <v>12</v>
      </c>
      <c r="J167" t="s">
        <v>3168</v>
      </c>
      <c r="K167">
        <f t="shared" si="35"/>
        <v>6</v>
      </c>
      <c r="L167">
        <f t="shared" si="36"/>
        <v>4</v>
      </c>
      <c r="M167" t="str">
        <f t="shared" si="29"/>
        <v>6/4</v>
      </c>
      <c r="R167" t="s">
        <v>3175</v>
      </c>
      <c r="S167" t="s">
        <v>4750</v>
      </c>
      <c r="T167" t="str">
        <f t="shared" si="37"/>
        <v>楕円競走の無謀者</v>
      </c>
      <c r="U167" t="str">
        <f t="shared" si="38"/>
        <v/>
      </c>
      <c r="V167" t="str">
        <f>IF(I167=0,VLOOKUP(T167,Sheet4!A:B,2,TRUE),"")</f>
        <v/>
      </c>
      <c r="W167" t="s">
        <v>4751</v>
      </c>
      <c r="X167" t="s">
        <v>3175</v>
      </c>
      <c r="Y167" s="9"/>
      <c r="Z167" s="10" t="s">
        <v>4057</v>
      </c>
      <c r="AA167" t="s">
        <v>4830</v>
      </c>
      <c r="AC167" t="str">
        <f t="shared" si="39"/>
        <v/>
      </c>
      <c r="AD167" t="str">
        <f t="shared" si="30"/>
        <v/>
      </c>
      <c r="AE167" t="str">
        <f t="shared" si="40"/>
        <v/>
      </c>
      <c r="AF167" t="str">
        <f t="shared" si="41"/>
        <v/>
      </c>
      <c r="AG167" t="b">
        <f t="shared" si="28"/>
        <v>0</v>
      </c>
      <c r="AH167" s="3">
        <v>906</v>
      </c>
      <c r="AI167" s="2" t="s">
        <v>3937</v>
      </c>
      <c r="AJ167" s="1" t="s">
        <v>1582</v>
      </c>
      <c r="AK167" s="1" t="s">
        <v>1441</v>
      </c>
      <c r="AL167" s="1">
        <v>12</v>
      </c>
      <c r="AM167" s="1" t="s">
        <v>693</v>
      </c>
      <c r="AN167" s="1" t="s">
        <v>692</v>
      </c>
      <c r="AO167" s="1" t="s">
        <v>339</v>
      </c>
      <c r="AP167" s="1"/>
      <c r="AQ167" s="1">
        <v>6</v>
      </c>
      <c r="AR167" s="1">
        <v>4</v>
      </c>
      <c r="AS167" s="1" t="s">
        <v>4057</v>
      </c>
    </row>
    <row r="168" spans="1:45" x14ac:dyDescent="0.15">
      <c r="A168" t="str">
        <f t="shared" si="31"/>
        <v>|KLD|黒|1||《[[競争排除]]》|</v>
      </c>
      <c r="B168" t="s">
        <v>3168</v>
      </c>
      <c r="C168" t="str">
        <f t="shared" si="32"/>
        <v>KLD</v>
      </c>
      <c r="D168">
        <f>IF(AI168="","",VLOOKUP(C168,tnpl!$Z$1:$AA$11,2,TRUE))</f>
        <v>6</v>
      </c>
      <c r="E168" t="s">
        <v>3168</v>
      </c>
      <c r="F168" t="str">
        <f t="shared" si="33"/>
        <v>黒</v>
      </c>
      <c r="G168">
        <f>IF(AJ168="","",VLOOKUP(F168,tnpl!$X$1:$Y$16,2,TRUE))</f>
        <v>3</v>
      </c>
      <c r="H168" t="s">
        <v>3168</v>
      </c>
      <c r="I168">
        <f t="shared" si="34"/>
        <v>1</v>
      </c>
      <c r="J168" t="s">
        <v>3168</v>
      </c>
      <c r="K168">
        <f t="shared" si="35"/>
        <v>0</v>
      </c>
      <c r="L168">
        <f t="shared" si="36"/>
        <v>0</v>
      </c>
      <c r="M168" t="str">
        <f t="shared" si="29"/>
        <v/>
      </c>
      <c r="R168" t="s">
        <v>3175</v>
      </c>
      <c r="S168" t="s">
        <v>4750</v>
      </c>
      <c r="T168" t="str">
        <f t="shared" si="37"/>
        <v>競争排除</v>
      </c>
      <c r="U168" t="str">
        <f t="shared" si="38"/>
        <v/>
      </c>
      <c r="V168" t="str">
        <f>IF(I168=0,VLOOKUP(T168,Sheet4!A:B,2,TRUE),"")</f>
        <v/>
      </c>
      <c r="W168" t="s">
        <v>4751</v>
      </c>
      <c r="X168" t="s">
        <v>3175</v>
      </c>
      <c r="Y168" s="9"/>
      <c r="Z168" s="10" t="s">
        <v>4058</v>
      </c>
      <c r="AA168" t="s">
        <v>4825</v>
      </c>
      <c r="AC168" t="str">
        <f t="shared" si="39"/>
        <v>破壊する</v>
      </c>
      <c r="AD168" t="str">
        <f t="shared" si="30"/>
        <v/>
      </c>
      <c r="AE168" t="str">
        <f t="shared" si="40"/>
        <v/>
      </c>
      <c r="AF168" t="str">
        <f t="shared" si="41"/>
        <v/>
      </c>
      <c r="AG168" t="b">
        <f t="shared" si="28"/>
        <v>0</v>
      </c>
      <c r="AH168" s="3">
        <v>907</v>
      </c>
      <c r="AI168" s="2" t="s">
        <v>3937</v>
      </c>
      <c r="AJ168" s="1" t="s">
        <v>1582</v>
      </c>
      <c r="AK168" s="1" t="s">
        <v>1441</v>
      </c>
      <c r="AL168" s="1">
        <v>1</v>
      </c>
      <c r="AM168" s="1" t="s">
        <v>700</v>
      </c>
      <c r="AN168" s="1" t="s">
        <v>699</v>
      </c>
      <c r="AO168" s="1" t="s">
        <v>1453</v>
      </c>
      <c r="AP168" s="1"/>
      <c r="AQ168" s="1"/>
      <c r="AR168" s="1"/>
      <c r="AS168" s="1" t="s">
        <v>4058</v>
      </c>
    </row>
    <row r="169" spans="1:45" x14ac:dyDescent="0.15">
      <c r="A169" t="str">
        <f t="shared" si="31"/>
        <v>|KLD|黒|11||《[[夜更かし]]》|</v>
      </c>
      <c r="B169" t="s">
        <v>3168</v>
      </c>
      <c r="C169" t="str">
        <f t="shared" si="32"/>
        <v>KLD</v>
      </c>
      <c r="D169">
        <f>IF(AI169="","",VLOOKUP(C169,tnpl!$Z$1:$AA$11,2,TRUE))</f>
        <v>6</v>
      </c>
      <c r="E169" t="s">
        <v>3168</v>
      </c>
      <c r="F169" t="str">
        <f t="shared" si="33"/>
        <v>黒</v>
      </c>
      <c r="G169">
        <f>IF(AJ169="","",VLOOKUP(F169,tnpl!$X$1:$Y$16,2,TRUE))</f>
        <v>3</v>
      </c>
      <c r="H169" t="s">
        <v>3168</v>
      </c>
      <c r="I169">
        <f t="shared" si="34"/>
        <v>11</v>
      </c>
      <c r="J169" t="s">
        <v>3168</v>
      </c>
      <c r="K169">
        <f t="shared" si="35"/>
        <v>0</v>
      </c>
      <c r="L169">
        <f t="shared" si="36"/>
        <v>0</v>
      </c>
      <c r="M169" t="str">
        <f t="shared" si="29"/>
        <v/>
      </c>
      <c r="R169" t="s">
        <v>3175</v>
      </c>
      <c r="S169" t="s">
        <v>4750</v>
      </c>
      <c r="T169" t="str">
        <f t="shared" si="37"/>
        <v>夜更かし</v>
      </c>
      <c r="U169" t="str">
        <f t="shared" si="38"/>
        <v/>
      </c>
      <c r="V169" t="str">
        <f>IF(I169=0,VLOOKUP(T169,Sheet4!A:B,2,TRUE),"")</f>
        <v/>
      </c>
      <c r="W169" t="s">
        <v>4751</v>
      </c>
      <c r="X169" t="s">
        <v>3175</v>
      </c>
      <c r="Y169" s="9"/>
      <c r="Z169" s="10" t="s">
        <v>4063</v>
      </c>
      <c r="AA169" t="s">
        <v>4827</v>
      </c>
      <c r="AC169" t="str">
        <f t="shared" si="39"/>
        <v/>
      </c>
      <c r="AD169" t="str">
        <f t="shared" si="30"/>
        <v>破壊された</v>
      </c>
      <c r="AE169" t="str">
        <f t="shared" si="40"/>
        <v/>
      </c>
      <c r="AF169" t="str">
        <f t="shared" si="41"/>
        <v/>
      </c>
      <c r="AG169" t="b">
        <f t="shared" si="28"/>
        <v>0</v>
      </c>
      <c r="AH169" s="3">
        <v>909</v>
      </c>
      <c r="AI169" s="2" t="s">
        <v>3937</v>
      </c>
      <c r="AJ169" s="1" t="s">
        <v>1582</v>
      </c>
      <c r="AK169" s="1" t="s">
        <v>1441</v>
      </c>
      <c r="AL169" s="1">
        <v>11</v>
      </c>
      <c r="AM169" s="1" t="s">
        <v>695</v>
      </c>
      <c r="AN169" s="1" t="s">
        <v>694</v>
      </c>
      <c r="AO169" s="1" t="s">
        <v>288</v>
      </c>
      <c r="AP169" s="1">
        <v>5</v>
      </c>
      <c r="AQ169" s="1"/>
      <c r="AR169" s="1"/>
      <c r="AS169" s="1" t="s">
        <v>4063</v>
      </c>
    </row>
    <row r="170" spans="1:45" x14ac:dyDescent="0.15">
      <c r="A170" t="str">
        <f t="shared" si="31"/>
        <v>|KLD|黒|7||《[[奥の手]]》|</v>
      </c>
      <c r="B170" t="s">
        <v>3168</v>
      </c>
      <c r="C170" t="str">
        <f t="shared" si="32"/>
        <v>KLD</v>
      </c>
      <c r="D170">
        <f>IF(AI170="","",VLOOKUP(C170,tnpl!$Z$1:$AA$11,2,TRUE))</f>
        <v>6</v>
      </c>
      <c r="E170" t="s">
        <v>3168</v>
      </c>
      <c r="F170" t="str">
        <f t="shared" si="33"/>
        <v>黒</v>
      </c>
      <c r="G170">
        <f>IF(AJ170="","",VLOOKUP(F170,tnpl!$X$1:$Y$16,2,TRUE))</f>
        <v>3</v>
      </c>
      <c r="H170" t="s">
        <v>3168</v>
      </c>
      <c r="I170">
        <f t="shared" si="34"/>
        <v>7</v>
      </c>
      <c r="J170" t="s">
        <v>3168</v>
      </c>
      <c r="K170">
        <f t="shared" si="35"/>
        <v>0</v>
      </c>
      <c r="L170">
        <f t="shared" si="36"/>
        <v>0</v>
      </c>
      <c r="M170" t="str">
        <f t="shared" si="29"/>
        <v/>
      </c>
      <c r="R170" t="s">
        <v>3175</v>
      </c>
      <c r="S170" t="s">
        <v>4750</v>
      </c>
      <c r="T170" t="str">
        <f t="shared" si="37"/>
        <v>奥の手</v>
      </c>
      <c r="U170" t="str">
        <f t="shared" si="38"/>
        <v/>
      </c>
      <c r="V170" t="str">
        <f>IF(I170=0,VLOOKUP(T170,Sheet4!A:B,2,TRUE),"")</f>
        <v/>
      </c>
      <c r="W170" t="s">
        <v>4751</v>
      </c>
      <c r="X170" t="s">
        <v>3175</v>
      </c>
      <c r="Y170" s="9"/>
      <c r="Z170" s="10" t="s">
        <v>4065</v>
      </c>
      <c r="AA170" t="s">
        <v>4825</v>
      </c>
      <c r="AC170" t="str">
        <f t="shared" si="39"/>
        <v>破壊する</v>
      </c>
      <c r="AD170" t="str">
        <f t="shared" si="30"/>
        <v>破壊された</v>
      </c>
      <c r="AE170" t="str">
        <f t="shared" si="40"/>
        <v/>
      </c>
      <c r="AF170" t="str">
        <f t="shared" si="41"/>
        <v/>
      </c>
      <c r="AG170" t="b">
        <f t="shared" si="28"/>
        <v>0</v>
      </c>
      <c r="AH170" s="3">
        <v>910</v>
      </c>
      <c r="AI170" s="2" t="s">
        <v>3937</v>
      </c>
      <c r="AJ170" s="1" t="s">
        <v>1582</v>
      </c>
      <c r="AK170" s="1" t="s">
        <v>1441</v>
      </c>
      <c r="AL170" s="1">
        <v>7</v>
      </c>
      <c r="AM170" s="1" t="s">
        <v>691</v>
      </c>
      <c r="AN170" s="1" t="s">
        <v>690</v>
      </c>
      <c r="AO170" s="1" t="s">
        <v>288</v>
      </c>
      <c r="AP170" s="1">
        <v>3</v>
      </c>
      <c r="AQ170" s="1"/>
      <c r="AR170" s="1"/>
      <c r="AS170" s="1" t="s">
        <v>4065</v>
      </c>
    </row>
    <row r="171" spans="1:45" x14ac:dyDescent="0.15">
      <c r="A171" t="str">
        <f t="shared" si="31"/>
        <v>|KLD|黒|21|8/8|《[[陰謀の悪魔]]》|</v>
      </c>
      <c r="B171" t="s">
        <v>3168</v>
      </c>
      <c r="C171" t="str">
        <f t="shared" si="32"/>
        <v>KLD</v>
      </c>
      <c r="D171">
        <f>IF(AI171="","",VLOOKUP(C171,tnpl!$Z$1:$AA$11,2,TRUE))</f>
        <v>6</v>
      </c>
      <c r="E171" t="s">
        <v>3168</v>
      </c>
      <c r="F171" t="str">
        <f t="shared" si="33"/>
        <v>黒</v>
      </c>
      <c r="G171">
        <f>IF(AJ171="","",VLOOKUP(F171,tnpl!$X$1:$Y$16,2,TRUE))</f>
        <v>3</v>
      </c>
      <c r="H171" t="s">
        <v>3168</v>
      </c>
      <c r="I171">
        <f t="shared" si="34"/>
        <v>21</v>
      </c>
      <c r="J171" t="s">
        <v>3168</v>
      </c>
      <c r="K171">
        <f t="shared" si="35"/>
        <v>8</v>
      </c>
      <c r="L171">
        <f t="shared" si="36"/>
        <v>8</v>
      </c>
      <c r="M171" t="str">
        <f t="shared" si="29"/>
        <v>8/8</v>
      </c>
      <c r="R171" t="s">
        <v>3175</v>
      </c>
      <c r="S171" t="s">
        <v>4750</v>
      </c>
      <c r="T171" t="str">
        <f t="shared" si="37"/>
        <v>陰謀の悪魔</v>
      </c>
      <c r="U171" t="str">
        <f t="shared" si="38"/>
        <v/>
      </c>
      <c r="V171" t="str">
        <f>IF(I171=0,VLOOKUP(T171,Sheet4!A:B,2,TRUE),"")</f>
        <v/>
      </c>
      <c r="W171" t="s">
        <v>4751</v>
      </c>
      <c r="X171" t="s">
        <v>3175</v>
      </c>
      <c r="Y171" s="9"/>
      <c r="Z171" s="10" t="s">
        <v>4068</v>
      </c>
      <c r="AA171" t="s">
        <v>4830</v>
      </c>
      <c r="AC171" t="str">
        <f t="shared" si="39"/>
        <v/>
      </c>
      <c r="AD171" t="str">
        <f t="shared" si="30"/>
        <v>破壊された</v>
      </c>
      <c r="AE171" t="str">
        <f t="shared" si="40"/>
        <v/>
      </c>
      <c r="AF171" t="str">
        <f t="shared" si="41"/>
        <v/>
      </c>
      <c r="AG171" t="b">
        <f t="shared" si="28"/>
        <v>0</v>
      </c>
      <c r="AH171" s="3">
        <v>911</v>
      </c>
      <c r="AI171" s="2" t="s">
        <v>3937</v>
      </c>
      <c r="AJ171" s="1" t="s">
        <v>1582</v>
      </c>
      <c r="AK171" s="1" t="s">
        <v>1431</v>
      </c>
      <c r="AL171" s="1">
        <v>21</v>
      </c>
      <c r="AM171" s="1" t="s">
        <v>689</v>
      </c>
      <c r="AN171" s="1" t="s">
        <v>688</v>
      </c>
      <c r="AO171" s="1" t="s">
        <v>339</v>
      </c>
      <c r="AP171" s="1"/>
      <c r="AQ171" s="1">
        <v>8</v>
      </c>
      <c r="AR171" s="1">
        <v>8</v>
      </c>
      <c r="AS171" s="1" t="s">
        <v>4068</v>
      </c>
    </row>
    <row r="172" spans="1:45" x14ac:dyDescent="0.15">
      <c r="A172" t="str">
        <f t="shared" si="31"/>
        <v>|KLD|黒|15|4/4|《[[マリオネットの達人]]》|</v>
      </c>
      <c r="B172" t="s">
        <v>3168</v>
      </c>
      <c r="C172" t="str">
        <f t="shared" si="32"/>
        <v>KLD</v>
      </c>
      <c r="D172">
        <f>IF(AI172="","",VLOOKUP(C172,tnpl!$Z$1:$AA$11,2,TRUE))</f>
        <v>6</v>
      </c>
      <c r="E172" t="s">
        <v>3168</v>
      </c>
      <c r="F172" t="str">
        <f t="shared" si="33"/>
        <v>黒</v>
      </c>
      <c r="G172">
        <f>IF(AJ172="","",VLOOKUP(F172,tnpl!$X$1:$Y$16,2,TRUE))</f>
        <v>3</v>
      </c>
      <c r="H172" t="s">
        <v>3168</v>
      </c>
      <c r="I172">
        <f t="shared" si="34"/>
        <v>15</v>
      </c>
      <c r="J172" t="s">
        <v>3168</v>
      </c>
      <c r="K172">
        <f t="shared" si="35"/>
        <v>4</v>
      </c>
      <c r="L172">
        <f t="shared" si="36"/>
        <v>4</v>
      </c>
      <c r="M172" t="str">
        <f t="shared" si="29"/>
        <v>4/4</v>
      </c>
      <c r="R172" t="s">
        <v>3175</v>
      </c>
      <c r="S172" t="s">
        <v>4750</v>
      </c>
      <c r="T172" t="str">
        <f t="shared" si="37"/>
        <v>マリオネットの達人</v>
      </c>
      <c r="U172" t="str">
        <f t="shared" si="38"/>
        <v/>
      </c>
      <c r="V172" t="str">
        <f>IF(I172=0,VLOOKUP(T172,Sheet4!A:B,2,TRUE),"")</f>
        <v/>
      </c>
      <c r="W172" t="s">
        <v>4751</v>
      </c>
      <c r="X172" t="s">
        <v>3175</v>
      </c>
      <c r="Y172" s="9"/>
      <c r="Z172" s="10" t="s">
        <v>4071</v>
      </c>
      <c r="AA172" t="s">
        <v>4832</v>
      </c>
      <c r="AC172" t="str">
        <f t="shared" si="39"/>
        <v/>
      </c>
      <c r="AD172" t="str">
        <f t="shared" si="30"/>
        <v>破壊された</v>
      </c>
      <c r="AE172" t="str">
        <f t="shared" si="40"/>
        <v/>
      </c>
      <c r="AF172" t="str">
        <f t="shared" si="41"/>
        <v/>
      </c>
      <c r="AG172" t="b">
        <f t="shared" si="28"/>
        <v>0</v>
      </c>
      <c r="AH172" s="3">
        <v>912</v>
      </c>
      <c r="AI172" s="2" t="s">
        <v>3937</v>
      </c>
      <c r="AJ172" s="1" t="s">
        <v>1582</v>
      </c>
      <c r="AK172" s="1" t="s">
        <v>1431</v>
      </c>
      <c r="AL172" s="1">
        <v>15</v>
      </c>
      <c r="AM172" s="1" t="s">
        <v>687</v>
      </c>
      <c r="AN172" s="1" t="s">
        <v>686</v>
      </c>
      <c r="AO172" s="1" t="s">
        <v>339</v>
      </c>
      <c r="AP172" s="1"/>
      <c r="AQ172" s="1">
        <v>4</v>
      </c>
      <c r="AR172" s="1">
        <v>4</v>
      </c>
      <c r="AS172" s="1" t="s">
        <v>4071</v>
      </c>
    </row>
    <row r="173" spans="1:45" x14ac:dyDescent="0.15">
      <c r="A173" t="str">
        <f t="shared" si="31"/>
        <v>|KLD|黒|18|8/8|《[[害悪の機械巨人]]》|</v>
      </c>
      <c r="B173" t="s">
        <v>3168</v>
      </c>
      <c r="C173" t="str">
        <f t="shared" si="32"/>
        <v>KLD</v>
      </c>
      <c r="D173">
        <f>IF(AI173="","",VLOOKUP(C173,tnpl!$Z$1:$AA$11,2,TRUE))</f>
        <v>6</v>
      </c>
      <c r="E173" t="s">
        <v>3168</v>
      </c>
      <c r="F173" t="str">
        <f t="shared" si="33"/>
        <v>黒</v>
      </c>
      <c r="G173">
        <f>IF(AJ173="","",VLOOKUP(F173,tnpl!$X$1:$Y$16,2,TRUE))</f>
        <v>3</v>
      </c>
      <c r="H173" t="s">
        <v>3168</v>
      </c>
      <c r="I173">
        <f t="shared" si="34"/>
        <v>18</v>
      </c>
      <c r="J173" t="s">
        <v>3168</v>
      </c>
      <c r="K173">
        <f t="shared" si="35"/>
        <v>8</v>
      </c>
      <c r="L173">
        <f t="shared" si="36"/>
        <v>8</v>
      </c>
      <c r="M173" t="str">
        <f t="shared" si="29"/>
        <v>8/8</v>
      </c>
      <c r="R173" t="s">
        <v>3175</v>
      </c>
      <c r="S173" t="s">
        <v>4750</v>
      </c>
      <c r="T173" t="str">
        <f t="shared" si="37"/>
        <v>害悪の機械巨人</v>
      </c>
      <c r="U173" t="str">
        <f t="shared" si="38"/>
        <v/>
      </c>
      <c r="V173" t="str">
        <f>IF(I173=0,VLOOKUP(T173,Sheet4!A:B,2,TRUE),"")</f>
        <v/>
      </c>
      <c r="W173" t="s">
        <v>4751</v>
      </c>
      <c r="X173" t="s">
        <v>3175</v>
      </c>
      <c r="Y173" s="9"/>
      <c r="Z173" s="10" t="s">
        <v>4073</v>
      </c>
      <c r="AA173" t="s">
        <v>4825</v>
      </c>
      <c r="AC173" t="str">
        <f t="shared" si="39"/>
        <v>破壊する</v>
      </c>
      <c r="AD173" t="str">
        <f t="shared" si="30"/>
        <v/>
      </c>
      <c r="AE173" t="str">
        <f t="shared" si="40"/>
        <v/>
      </c>
      <c r="AF173" t="str">
        <f t="shared" si="41"/>
        <v/>
      </c>
      <c r="AG173" t="b">
        <f t="shared" si="28"/>
        <v>0</v>
      </c>
      <c r="AH173" s="3">
        <v>913</v>
      </c>
      <c r="AI173" s="2" t="s">
        <v>3937</v>
      </c>
      <c r="AJ173" s="1" t="s">
        <v>1582</v>
      </c>
      <c r="AK173" s="1" t="s">
        <v>1431</v>
      </c>
      <c r="AL173" s="1">
        <v>18</v>
      </c>
      <c r="AM173" s="1" t="s">
        <v>685</v>
      </c>
      <c r="AN173" s="1" t="s">
        <v>684</v>
      </c>
      <c r="AO173" s="1" t="s">
        <v>339</v>
      </c>
      <c r="AP173" s="1"/>
      <c r="AQ173" s="1">
        <v>8</v>
      </c>
      <c r="AR173" s="1">
        <v>8</v>
      </c>
      <c r="AS173" s="1" t="s">
        <v>4073</v>
      </c>
    </row>
    <row r="174" spans="1:45" x14ac:dyDescent="0.15">
      <c r="A174" t="str">
        <f t="shared" si="31"/>
        <v>|KLD|黒|8|2/2|《[[組織の密売人]]》|</v>
      </c>
      <c r="B174" t="s">
        <v>3168</v>
      </c>
      <c r="C174" t="str">
        <f t="shared" si="32"/>
        <v>KLD</v>
      </c>
      <c r="D174">
        <f>IF(AI174="","",VLOOKUP(C174,tnpl!$Z$1:$AA$11,2,TRUE))</f>
        <v>6</v>
      </c>
      <c r="E174" t="s">
        <v>3168</v>
      </c>
      <c r="F174" t="str">
        <f t="shared" si="33"/>
        <v>黒</v>
      </c>
      <c r="G174">
        <f>IF(AJ174="","",VLOOKUP(F174,tnpl!$X$1:$Y$16,2,TRUE))</f>
        <v>3</v>
      </c>
      <c r="H174" t="s">
        <v>3168</v>
      </c>
      <c r="I174">
        <f t="shared" si="34"/>
        <v>8</v>
      </c>
      <c r="J174" t="s">
        <v>3168</v>
      </c>
      <c r="K174">
        <f t="shared" si="35"/>
        <v>2</v>
      </c>
      <c r="L174">
        <f t="shared" si="36"/>
        <v>2</v>
      </c>
      <c r="M174" t="str">
        <f t="shared" si="29"/>
        <v>2/2</v>
      </c>
      <c r="R174" t="s">
        <v>3175</v>
      </c>
      <c r="S174" t="s">
        <v>4750</v>
      </c>
      <c r="T174" t="str">
        <f t="shared" si="37"/>
        <v>組織の密売人</v>
      </c>
      <c r="U174" t="str">
        <f t="shared" si="38"/>
        <v/>
      </c>
      <c r="V174" t="str">
        <f>IF(I174=0,VLOOKUP(T174,Sheet4!A:B,2,TRUE),"")</f>
        <v/>
      </c>
      <c r="W174" t="s">
        <v>4751</v>
      </c>
      <c r="X174" t="s">
        <v>3175</v>
      </c>
      <c r="Y174" s="9"/>
      <c r="Z174" s="10" t="s">
        <v>4074</v>
      </c>
      <c r="AA174" t="s">
        <v>4757</v>
      </c>
      <c r="AC174" t="str">
        <f t="shared" si="39"/>
        <v/>
      </c>
      <c r="AD174" t="str">
        <f t="shared" si="30"/>
        <v>破壊された</v>
      </c>
      <c r="AE174" t="str">
        <f t="shared" si="40"/>
        <v/>
      </c>
      <c r="AF174" t="str">
        <f t="shared" si="41"/>
        <v/>
      </c>
      <c r="AG174" t="b">
        <f t="shared" si="28"/>
        <v>0</v>
      </c>
      <c r="AH174" s="3">
        <v>914</v>
      </c>
      <c r="AI174" s="2" t="s">
        <v>3937</v>
      </c>
      <c r="AJ174" s="1" t="s">
        <v>1582</v>
      </c>
      <c r="AK174" s="1" t="s">
        <v>1431</v>
      </c>
      <c r="AL174" s="1">
        <v>8</v>
      </c>
      <c r="AM174" s="1" t="s">
        <v>683</v>
      </c>
      <c r="AN174" s="1" t="s">
        <v>682</v>
      </c>
      <c r="AO174" s="1" t="s">
        <v>339</v>
      </c>
      <c r="AP174" s="1"/>
      <c r="AQ174" s="1">
        <v>2</v>
      </c>
      <c r="AR174" s="1">
        <v>2</v>
      </c>
      <c r="AS174" s="1" t="s">
        <v>4074</v>
      </c>
    </row>
    <row r="175" spans="1:45" x14ac:dyDescent="0.15">
      <c r="A175" t="str">
        <f t="shared" si="31"/>
        <v>|KLD|赤|9|1/1|《[[壊し屋グレムリン]]》|</v>
      </c>
      <c r="B175" t="s">
        <v>3168</v>
      </c>
      <c r="C175" t="str">
        <f t="shared" si="32"/>
        <v>KLD</v>
      </c>
      <c r="D175">
        <f>IF(AI175="","",VLOOKUP(C175,tnpl!$Z$1:$AA$11,2,TRUE))</f>
        <v>6</v>
      </c>
      <c r="E175" t="s">
        <v>3168</v>
      </c>
      <c r="F175" t="str">
        <f t="shared" si="33"/>
        <v>赤</v>
      </c>
      <c r="G175">
        <f>IF(AJ175="","",VLOOKUP(F175,tnpl!$X$1:$Y$16,2,TRUE))</f>
        <v>4</v>
      </c>
      <c r="H175" t="s">
        <v>3168</v>
      </c>
      <c r="I175">
        <f t="shared" si="34"/>
        <v>9</v>
      </c>
      <c r="J175" t="s">
        <v>3168</v>
      </c>
      <c r="K175">
        <f t="shared" si="35"/>
        <v>1</v>
      </c>
      <c r="L175">
        <f t="shared" si="36"/>
        <v>1</v>
      </c>
      <c r="M175" t="str">
        <f t="shared" si="29"/>
        <v>1/1</v>
      </c>
      <c r="R175" t="s">
        <v>3175</v>
      </c>
      <c r="S175" t="s">
        <v>4750</v>
      </c>
      <c r="T175" t="str">
        <f t="shared" si="37"/>
        <v>壊し屋グレムリン</v>
      </c>
      <c r="U175" t="str">
        <f t="shared" si="38"/>
        <v/>
      </c>
      <c r="V175" t="str">
        <f>IF(I175=0,VLOOKUP(T175,Sheet4!A:B,2,TRUE),"")</f>
        <v/>
      </c>
      <c r="W175" t="s">
        <v>4751</v>
      </c>
      <c r="X175" t="s">
        <v>3175</v>
      </c>
      <c r="Y175" s="9"/>
      <c r="Z175" s="10" t="s">
        <v>4077</v>
      </c>
      <c r="AA175" t="s">
        <v>4826</v>
      </c>
      <c r="AC175" t="str">
        <f t="shared" si="39"/>
        <v>破壊する</v>
      </c>
      <c r="AD175" t="str">
        <f t="shared" si="30"/>
        <v/>
      </c>
      <c r="AE175" t="str">
        <f t="shared" si="40"/>
        <v/>
      </c>
      <c r="AF175" t="str">
        <f t="shared" si="41"/>
        <v/>
      </c>
      <c r="AG175" t="b">
        <f t="shared" si="28"/>
        <v>0</v>
      </c>
      <c r="AH175" s="3">
        <v>916</v>
      </c>
      <c r="AI175" s="2" t="s">
        <v>3937</v>
      </c>
      <c r="AJ175" s="1" t="s">
        <v>1552</v>
      </c>
      <c r="AK175" s="1" t="s">
        <v>1744</v>
      </c>
      <c r="AL175" s="1">
        <v>9</v>
      </c>
      <c r="AM175" s="1" t="s">
        <v>672</v>
      </c>
      <c r="AN175" s="1" t="s">
        <v>671</v>
      </c>
      <c r="AO175" s="1" t="s">
        <v>339</v>
      </c>
      <c r="AP175" s="1"/>
      <c r="AQ175" s="1">
        <v>1</v>
      </c>
      <c r="AR175" s="1">
        <v>1</v>
      </c>
      <c r="AS175" s="1" t="s">
        <v>4077</v>
      </c>
    </row>
    <row r="176" spans="1:45" x14ac:dyDescent="0.15">
      <c r="A176" t="str">
        <f t="shared" si="31"/>
        <v>|KLD|赤|10||《[[焼夷式破壊工作]]》|</v>
      </c>
      <c r="B176" t="s">
        <v>3168</v>
      </c>
      <c r="C176" t="str">
        <f t="shared" si="32"/>
        <v>KLD</v>
      </c>
      <c r="D176">
        <f>IF(AI176="","",VLOOKUP(C176,tnpl!$Z$1:$AA$11,2,TRUE))</f>
        <v>6</v>
      </c>
      <c r="E176" t="s">
        <v>3168</v>
      </c>
      <c r="F176" t="str">
        <f t="shared" si="33"/>
        <v>赤</v>
      </c>
      <c r="G176">
        <f>IF(AJ176="","",VLOOKUP(F176,tnpl!$X$1:$Y$16,2,TRUE))</f>
        <v>4</v>
      </c>
      <c r="H176" t="s">
        <v>3168</v>
      </c>
      <c r="I176">
        <f t="shared" si="34"/>
        <v>10</v>
      </c>
      <c r="J176" t="s">
        <v>3168</v>
      </c>
      <c r="K176">
        <f t="shared" si="35"/>
        <v>0</v>
      </c>
      <c r="L176">
        <f t="shared" si="36"/>
        <v>0</v>
      </c>
      <c r="M176" t="str">
        <f t="shared" si="29"/>
        <v/>
      </c>
      <c r="R176" t="s">
        <v>3175</v>
      </c>
      <c r="S176" t="s">
        <v>4750</v>
      </c>
      <c r="T176" t="str">
        <f t="shared" si="37"/>
        <v>焼夷式破壊工作</v>
      </c>
      <c r="U176" t="str">
        <f t="shared" si="38"/>
        <v/>
      </c>
      <c r="V176" t="str">
        <f>IF(I176=0,VLOOKUP(T176,Sheet4!A:B,2,TRUE),"")</f>
        <v/>
      </c>
      <c r="W176" t="s">
        <v>4751</v>
      </c>
      <c r="X176" t="s">
        <v>3175</v>
      </c>
      <c r="Y176" s="9"/>
      <c r="Z176" s="10" t="s">
        <v>4094</v>
      </c>
      <c r="AA176" t="s">
        <v>4826</v>
      </c>
      <c r="AC176" t="str">
        <f t="shared" si="39"/>
        <v/>
      </c>
      <c r="AD176" t="str">
        <f t="shared" si="30"/>
        <v/>
      </c>
      <c r="AE176" t="str">
        <f t="shared" si="40"/>
        <v/>
      </c>
      <c r="AF176" t="str">
        <f t="shared" si="41"/>
        <v>破壊し</v>
      </c>
      <c r="AG176" t="b">
        <f t="shared" si="28"/>
        <v>0</v>
      </c>
      <c r="AH176" s="3">
        <v>931</v>
      </c>
      <c r="AI176" s="2" t="s">
        <v>3937</v>
      </c>
      <c r="AJ176" s="1" t="s">
        <v>1552</v>
      </c>
      <c r="AK176" s="1" t="s">
        <v>1451</v>
      </c>
      <c r="AL176" s="1">
        <v>10</v>
      </c>
      <c r="AM176" s="1" t="s">
        <v>656</v>
      </c>
      <c r="AN176" s="1" t="s">
        <v>655</v>
      </c>
      <c r="AO176" s="1" t="s">
        <v>1453</v>
      </c>
      <c r="AP176" s="1"/>
      <c r="AQ176" s="1"/>
      <c r="AR176" s="1"/>
      <c r="AS176" s="1" t="s">
        <v>4094</v>
      </c>
    </row>
    <row r="177" spans="1:45" x14ac:dyDescent="0.15">
      <c r="A177" t="str">
        <f t="shared" si="31"/>
        <v>|KLD|赤|10|6/6|《[[ラスヌーのヘリオン]]》|</v>
      </c>
      <c r="B177" t="s">
        <v>3168</v>
      </c>
      <c r="C177" t="str">
        <f t="shared" si="32"/>
        <v>KLD</v>
      </c>
      <c r="D177">
        <f>IF(AI177="","",VLOOKUP(C177,tnpl!$Z$1:$AA$11,2,TRUE))</f>
        <v>6</v>
      </c>
      <c r="E177" t="s">
        <v>3168</v>
      </c>
      <c r="F177" t="str">
        <f t="shared" si="33"/>
        <v>赤</v>
      </c>
      <c r="G177">
        <f>IF(AJ177="","",VLOOKUP(F177,tnpl!$X$1:$Y$16,2,TRUE))</f>
        <v>4</v>
      </c>
      <c r="H177" t="s">
        <v>3168</v>
      </c>
      <c r="I177">
        <f t="shared" si="34"/>
        <v>10</v>
      </c>
      <c r="J177" t="s">
        <v>3168</v>
      </c>
      <c r="K177">
        <f t="shared" si="35"/>
        <v>6</v>
      </c>
      <c r="L177">
        <f t="shared" si="36"/>
        <v>6</v>
      </c>
      <c r="M177" t="str">
        <f t="shared" si="29"/>
        <v>6/6</v>
      </c>
      <c r="R177" t="s">
        <v>3175</v>
      </c>
      <c r="S177" t="s">
        <v>4750</v>
      </c>
      <c r="T177" t="str">
        <f t="shared" si="37"/>
        <v>ラスヌーのヘリオン</v>
      </c>
      <c r="U177" t="str">
        <f t="shared" si="38"/>
        <v/>
      </c>
      <c r="V177" t="str">
        <f>IF(I177=0,VLOOKUP(T177,Sheet4!A:B,2,TRUE),"")</f>
        <v/>
      </c>
      <c r="W177" t="s">
        <v>4751</v>
      </c>
      <c r="X177" t="s">
        <v>3175</v>
      </c>
      <c r="Y177" s="9"/>
      <c r="Z177" s="10" t="s">
        <v>4098</v>
      </c>
      <c r="AA177" t="s">
        <v>4825</v>
      </c>
      <c r="AC177" t="str">
        <f t="shared" si="39"/>
        <v>破壊する</v>
      </c>
      <c r="AD177" t="str">
        <f t="shared" si="30"/>
        <v/>
      </c>
      <c r="AE177" t="str">
        <f t="shared" si="40"/>
        <v/>
      </c>
      <c r="AF177" t="str">
        <f t="shared" si="41"/>
        <v/>
      </c>
      <c r="AG177" t="b">
        <f t="shared" si="28"/>
        <v>0</v>
      </c>
      <c r="AH177" s="3">
        <v>934</v>
      </c>
      <c r="AI177" s="2" t="s">
        <v>3937</v>
      </c>
      <c r="AJ177" s="1" t="s">
        <v>1552</v>
      </c>
      <c r="AK177" s="1" t="s">
        <v>1441</v>
      </c>
      <c r="AL177" s="1">
        <v>10</v>
      </c>
      <c r="AM177" s="1" t="s">
        <v>640</v>
      </c>
      <c r="AN177" s="1" t="s">
        <v>639</v>
      </c>
      <c r="AO177" s="1" t="s">
        <v>339</v>
      </c>
      <c r="AP177" s="1"/>
      <c r="AQ177" s="1">
        <v>6</v>
      </c>
      <c r="AR177" s="1">
        <v>6</v>
      </c>
      <c r="AS177" s="1" t="s">
        <v>4098</v>
      </c>
    </row>
    <row r="178" spans="1:45" x14ac:dyDescent="0.15">
      <c r="A178" t="str">
        <f t="shared" si="31"/>
        <v>|KLD|緑|10||《[[人工物への興味]]》|</v>
      </c>
      <c r="B178" t="s">
        <v>3168</v>
      </c>
      <c r="C178" t="str">
        <f t="shared" si="32"/>
        <v>KLD</v>
      </c>
      <c r="D178">
        <f>IF(AI178="","",VLOOKUP(C178,tnpl!$Z$1:$AA$11,2,TRUE))</f>
        <v>6</v>
      </c>
      <c r="E178" t="s">
        <v>3168</v>
      </c>
      <c r="F178" t="str">
        <f t="shared" si="33"/>
        <v>緑</v>
      </c>
      <c r="G178">
        <f>IF(AJ178="","",VLOOKUP(F178,tnpl!$X$1:$Y$16,2,TRUE))</f>
        <v>5</v>
      </c>
      <c r="H178" t="s">
        <v>3168</v>
      </c>
      <c r="I178">
        <f t="shared" si="34"/>
        <v>10</v>
      </c>
      <c r="J178" t="s">
        <v>3168</v>
      </c>
      <c r="K178">
        <f t="shared" si="35"/>
        <v>0</v>
      </c>
      <c r="L178">
        <f t="shared" si="36"/>
        <v>0</v>
      </c>
      <c r="M178" t="str">
        <f t="shared" si="29"/>
        <v/>
      </c>
      <c r="R178" t="s">
        <v>3175</v>
      </c>
      <c r="S178" t="s">
        <v>4750</v>
      </c>
      <c r="T178" t="str">
        <f t="shared" si="37"/>
        <v>人工物への興味</v>
      </c>
      <c r="U178" t="str">
        <f t="shared" si="38"/>
        <v/>
      </c>
      <c r="V178" t="str">
        <f>IF(I178=0,VLOOKUP(T178,Sheet4!A:B,2,TRUE),"")</f>
        <v/>
      </c>
      <c r="W178" t="s">
        <v>4751</v>
      </c>
      <c r="X178" t="s">
        <v>3175</v>
      </c>
      <c r="Y178" s="9"/>
      <c r="Z178" s="10" t="s">
        <v>4118</v>
      </c>
      <c r="AA178" t="s">
        <v>4826</v>
      </c>
      <c r="AC178" t="str">
        <f t="shared" si="39"/>
        <v/>
      </c>
      <c r="AD178" t="str">
        <f t="shared" si="30"/>
        <v/>
      </c>
      <c r="AE178" t="str">
        <f t="shared" si="40"/>
        <v/>
      </c>
      <c r="AF178" t="str">
        <f t="shared" si="41"/>
        <v>破壊し</v>
      </c>
      <c r="AG178" t="b">
        <f t="shared" si="28"/>
        <v>0</v>
      </c>
      <c r="AH178" s="3">
        <v>950</v>
      </c>
      <c r="AI178" s="2" t="s">
        <v>3937</v>
      </c>
      <c r="AJ178" s="1" t="s">
        <v>1518</v>
      </c>
      <c r="AK178" s="1" t="s">
        <v>1744</v>
      </c>
      <c r="AL178" s="1">
        <v>10</v>
      </c>
      <c r="AM178" s="1" t="s">
        <v>626</v>
      </c>
      <c r="AN178" s="1" t="s">
        <v>625</v>
      </c>
      <c r="AO178" s="1" t="s">
        <v>1453</v>
      </c>
      <c r="AP178" s="1"/>
      <c r="AQ178" s="1"/>
      <c r="AR178" s="1"/>
      <c r="AS178" s="1" t="s">
        <v>4118</v>
      </c>
    </row>
    <row r="179" spans="1:45" x14ac:dyDescent="0.15">
      <c r="A179" t="str">
        <f t="shared" si="31"/>
        <v>|KLD|緑|8||《[[忍び寄るカビ]]》|</v>
      </c>
      <c r="B179" t="s">
        <v>3168</v>
      </c>
      <c r="C179" t="str">
        <f t="shared" si="32"/>
        <v>KLD</v>
      </c>
      <c r="D179">
        <f>IF(AI179="","",VLOOKUP(C179,tnpl!$Z$1:$AA$11,2,TRUE))</f>
        <v>6</v>
      </c>
      <c r="E179" t="s">
        <v>3168</v>
      </c>
      <c r="F179" t="str">
        <f t="shared" si="33"/>
        <v>緑</v>
      </c>
      <c r="G179">
        <f>IF(AJ179="","",VLOOKUP(F179,tnpl!$X$1:$Y$16,2,TRUE))</f>
        <v>5</v>
      </c>
      <c r="H179" t="s">
        <v>3168</v>
      </c>
      <c r="I179">
        <f t="shared" si="34"/>
        <v>8</v>
      </c>
      <c r="J179" t="s">
        <v>3168</v>
      </c>
      <c r="K179">
        <f t="shared" si="35"/>
        <v>0</v>
      </c>
      <c r="L179">
        <f t="shared" si="36"/>
        <v>0</v>
      </c>
      <c r="M179" t="str">
        <f t="shared" si="29"/>
        <v/>
      </c>
      <c r="R179" t="s">
        <v>3175</v>
      </c>
      <c r="S179" t="s">
        <v>4750</v>
      </c>
      <c r="T179" t="str">
        <f t="shared" si="37"/>
        <v>忍び寄るカビ</v>
      </c>
      <c r="U179" t="str">
        <f t="shared" si="38"/>
        <v/>
      </c>
      <c r="V179" t="str">
        <f>IF(I179=0,VLOOKUP(T179,Sheet4!A:B,2,TRUE),"")</f>
        <v/>
      </c>
      <c r="W179" t="s">
        <v>4751</v>
      </c>
      <c r="X179" t="s">
        <v>3175</v>
      </c>
      <c r="Y179" s="9"/>
      <c r="Z179" s="10" t="s">
        <v>3952</v>
      </c>
      <c r="AA179" t="s">
        <v>4826</v>
      </c>
      <c r="AC179" t="str">
        <f t="shared" si="39"/>
        <v>破壊する</v>
      </c>
      <c r="AD179" t="str">
        <f t="shared" si="30"/>
        <v/>
      </c>
      <c r="AE179" t="str">
        <f t="shared" si="40"/>
        <v/>
      </c>
      <c r="AF179" t="str">
        <f t="shared" si="41"/>
        <v/>
      </c>
      <c r="AG179" t="b">
        <f t="shared" si="28"/>
        <v>0</v>
      </c>
      <c r="AH179" s="3">
        <v>959</v>
      </c>
      <c r="AI179" s="2" t="s">
        <v>3937</v>
      </c>
      <c r="AJ179" s="1" t="s">
        <v>1518</v>
      </c>
      <c r="AK179" s="1" t="s">
        <v>1451</v>
      </c>
      <c r="AL179" s="1">
        <v>8</v>
      </c>
      <c r="AM179" s="1" t="s">
        <v>600</v>
      </c>
      <c r="AN179" s="1" t="s">
        <v>599</v>
      </c>
      <c r="AO179" s="1" t="s">
        <v>1453</v>
      </c>
      <c r="AP179" s="1"/>
      <c r="AQ179" s="1"/>
      <c r="AR179" s="1"/>
      <c r="AS179" s="1" t="s">
        <v>3952</v>
      </c>
    </row>
    <row r="180" spans="1:45" x14ac:dyDescent="0.15">
      <c r="A180" t="str">
        <f t="shared" si="31"/>
        <v>|KLD|緑|24||《[[途方もない夢]]》|</v>
      </c>
      <c r="B180" t="s">
        <v>3168</v>
      </c>
      <c r="C180" t="str">
        <f t="shared" si="32"/>
        <v>KLD</v>
      </c>
      <c r="D180">
        <f>IF(AI180="","",VLOOKUP(C180,tnpl!$Z$1:$AA$11,2,TRUE))</f>
        <v>6</v>
      </c>
      <c r="E180" t="s">
        <v>3168</v>
      </c>
      <c r="F180" t="str">
        <f t="shared" si="33"/>
        <v>緑</v>
      </c>
      <c r="G180">
        <f>IF(AJ180="","",VLOOKUP(F180,tnpl!$X$1:$Y$16,2,TRUE))</f>
        <v>5</v>
      </c>
      <c r="H180" t="s">
        <v>3168</v>
      </c>
      <c r="I180">
        <f t="shared" si="34"/>
        <v>24</v>
      </c>
      <c r="J180" t="s">
        <v>3168</v>
      </c>
      <c r="K180">
        <f t="shared" si="35"/>
        <v>0</v>
      </c>
      <c r="L180">
        <f t="shared" si="36"/>
        <v>0</v>
      </c>
      <c r="M180" t="str">
        <f t="shared" si="29"/>
        <v/>
      </c>
      <c r="R180" t="s">
        <v>3175</v>
      </c>
      <c r="S180" t="s">
        <v>4750</v>
      </c>
      <c r="T180" t="str">
        <f t="shared" si="37"/>
        <v>途方もない夢</v>
      </c>
      <c r="U180" t="str">
        <f t="shared" si="38"/>
        <v/>
      </c>
      <c r="V180" t="str">
        <f>IF(I180=0,VLOOKUP(T180,Sheet4!A:B,2,TRUE),"")</f>
        <v/>
      </c>
      <c r="W180" t="s">
        <v>4751</v>
      </c>
      <c r="X180" t="s">
        <v>3175</v>
      </c>
      <c r="Y180" s="9"/>
      <c r="Z180" s="10" t="s">
        <v>4144</v>
      </c>
      <c r="AA180" t="s">
        <v>4830</v>
      </c>
      <c r="AC180" t="str">
        <f t="shared" si="39"/>
        <v/>
      </c>
      <c r="AD180" t="str">
        <f t="shared" si="30"/>
        <v>破壊された</v>
      </c>
      <c r="AE180" t="str">
        <f t="shared" si="40"/>
        <v/>
      </c>
      <c r="AF180" t="str">
        <f t="shared" si="41"/>
        <v/>
      </c>
      <c r="AG180" t="b">
        <f t="shared" si="28"/>
        <v>0</v>
      </c>
      <c r="AH180" s="3">
        <v>967</v>
      </c>
      <c r="AI180" s="2" t="s">
        <v>3937</v>
      </c>
      <c r="AJ180" s="1" t="s">
        <v>1518</v>
      </c>
      <c r="AK180" s="1" t="s">
        <v>1441</v>
      </c>
      <c r="AL180" s="1">
        <v>24</v>
      </c>
      <c r="AM180" s="1" t="s">
        <v>578</v>
      </c>
      <c r="AN180" s="1" t="s">
        <v>577</v>
      </c>
      <c r="AO180" s="1" t="s">
        <v>1453</v>
      </c>
      <c r="AP180" s="1"/>
      <c r="AQ180" s="1"/>
      <c r="AR180" s="1"/>
      <c r="AS180" s="1" t="s">
        <v>4144</v>
      </c>
    </row>
    <row r="181" spans="1:45" x14ac:dyDescent="0.15">
      <c r="A181" t="str">
        <f t="shared" si="31"/>
        <v>|KLD|白黒|16|4/4|《[[機械修復職人]]》|</v>
      </c>
      <c r="B181" t="s">
        <v>3168</v>
      </c>
      <c r="C181" t="str">
        <f t="shared" si="32"/>
        <v>KLD</v>
      </c>
      <c r="D181">
        <f>IF(AI181="","",VLOOKUP(C181,tnpl!$Z$1:$AA$11,2,TRUE))</f>
        <v>6</v>
      </c>
      <c r="E181" t="s">
        <v>3168</v>
      </c>
      <c r="F181" t="str">
        <f t="shared" si="33"/>
        <v>白黒</v>
      </c>
      <c r="G181">
        <f>IF(AJ181="","",VLOOKUP(F181,tnpl!$X$1:$Y$16,2,TRUE))</f>
        <v>11</v>
      </c>
      <c r="H181" t="s">
        <v>3168</v>
      </c>
      <c r="I181">
        <f t="shared" si="34"/>
        <v>16</v>
      </c>
      <c r="J181" t="s">
        <v>3168</v>
      </c>
      <c r="K181">
        <f t="shared" si="35"/>
        <v>4</v>
      </c>
      <c r="L181">
        <f t="shared" si="36"/>
        <v>4</v>
      </c>
      <c r="M181" t="str">
        <f t="shared" si="29"/>
        <v>4/4</v>
      </c>
      <c r="R181" t="s">
        <v>3175</v>
      </c>
      <c r="S181" t="s">
        <v>4750</v>
      </c>
      <c r="T181" t="str">
        <f t="shared" si="37"/>
        <v>機械修復職人</v>
      </c>
      <c r="U181" t="str">
        <f t="shared" si="38"/>
        <v/>
      </c>
      <c r="V181" t="str">
        <f>IF(I181=0,VLOOKUP(T181,Sheet4!A:B,2,TRUE),"")</f>
        <v/>
      </c>
      <c r="W181" t="s">
        <v>4751</v>
      </c>
      <c r="X181" t="s">
        <v>3175</v>
      </c>
      <c r="Y181" s="9"/>
      <c r="Z181" s="10" t="s">
        <v>4160</v>
      </c>
      <c r="AA181" t="s">
        <v>4830</v>
      </c>
      <c r="AC181" t="str">
        <f t="shared" si="39"/>
        <v/>
      </c>
      <c r="AD181" t="str">
        <f t="shared" si="30"/>
        <v>破壊された</v>
      </c>
      <c r="AE181" t="str">
        <f t="shared" si="40"/>
        <v/>
      </c>
      <c r="AF181" t="str">
        <f t="shared" si="41"/>
        <v/>
      </c>
      <c r="AG181" t="b">
        <f t="shared" si="28"/>
        <v>0</v>
      </c>
      <c r="AH181" s="3">
        <v>975</v>
      </c>
      <c r="AI181" s="2" t="s">
        <v>3937</v>
      </c>
      <c r="AJ181" s="1" t="s">
        <v>1474</v>
      </c>
      <c r="AK181" s="1" t="s">
        <v>1451</v>
      </c>
      <c r="AL181" s="1">
        <v>16</v>
      </c>
      <c r="AM181" s="1" t="s">
        <v>560</v>
      </c>
      <c r="AN181" s="1" t="s">
        <v>559</v>
      </c>
      <c r="AO181" s="1" t="s">
        <v>339</v>
      </c>
      <c r="AP181" s="1"/>
      <c r="AQ181" s="1">
        <v>4</v>
      </c>
      <c r="AR181" s="1">
        <v>4</v>
      </c>
      <c r="AS181" s="1" t="s">
        <v>4160</v>
      </c>
    </row>
    <row r="182" spans="1:45" x14ac:dyDescent="0.15">
      <c r="A182" t="str">
        <f t="shared" si="31"/>
        <v>|KLD|黒赤|9||《[[無許可の分解]]》|</v>
      </c>
      <c r="B182" t="s">
        <v>3168</v>
      </c>
      <c r="C182" t="str">
        <f t="shared" si="32"/>
        <v>KLD</v>
      </c>
      <c r="D182">
        <f>IF(AI182="","",VLOOKUP(C182,tnpl!$Z$1:$AA$11,2,TRUE))</f>
        <v>6</v>
      </c>
      <c r="E182" t="s">
        <v>3168</v>
      </c>
      <c r="F182" t="str">
        <f t="shared" si="33"/>
        <v>黒赤</v>
      </c>
      <c r="G182">
        <f>IF(AJ182="","",VLOOKUP(F182,tnpl!$X$1:$Y$16,2,TRUE))</f>
        <v>8</v>
      </c>
      <c r="H182" t="s">
        <v>3168</v>
      </c>
      <c r="I182">
        <f t="shared" si="34"/>
        <v>9</v>
      </c>
      <c r="J182" t="s">
        <v>3168</v>
      </c>
      <c r="K182">
        <f t="shared" si="35"/>
        <v>0</v>
      </c>
      <c r="L182">
        <f t="shared" si="36"/>
        <v>0</v>
      </c>
      <c r="M182" t="str">
        <f t="shared" si="29"/>
        <v/>
      </c>
      <c r="R182" t="s">
        <v>3175</v>
      </c>
      <c r="S182" t="s">
        <v>4750</v>
      </c>
      <c r="T182" t="str">
        <f t="shared" si="37"/>
        <v>無許可の分解</v>
      </c>
      <c r="U182" t="str">
        <f t="shared" si="38"/>
        <v/>
      </c>
      <c r="V182" t="str">
        <f>IF(I182=0,VLOOKUP(T182,Sheet4!A:B,2,TRUE),"")</f>
        <v/>
      </c>
      <c r="W182" t="s">
        <v>4751</v>
      </c>
      <c r="X182" t="s">
        <v>3175</v>
      </c>
      <c r="Y182" s="9"/>
      <c r="Z182" s="10" t="s">
        <v>4167</v>
      </c>
      <c r="AA182" t="s">
        <v>4825</v>
      </c>
      <c r="AC182" t="str">
        <f t="shared" si="39"/>
        <v>破壊する</v>
      </c>
      <c r="AD182" t="str">
        <f t="shared" si="30"/>
        <v/>
      </c>
      <c r="AE182" t="str">
        <f t="shared" si="40"/>
        <v/>
      </c>
      <c r="AF182" t="str">
        <f t="shared" si="41"/>
        <v/>
      </c>
      <c r="AG182" t="b">
        <f t="shared" si="28"/>
        <v>0</v>
      </c>
      <c r="AH182" s="3">
        <v>980</v>
      </c>
      <c r="AI182" s="2" t="s">
        <v>3937</v>
      </c>
      <c r="AJ182" s="1" t="s">
        <v>1504</v>
      </c>
      <c r="AK182" s="1" t="s">
        <v>1451</v>
      </c>
      <c r="AL182" s="1">
        <v>9</v>
      </c>
      <c r="AM182" s="1" t="s">
        <v>558</v>
      </c>
      <c r="AN182" s="1" t="s">
        <v>557</v>
      </c>
      <c r="AO182" s="1" t="s">
        <v>1453</v>
      </c>
      <c r="AP182" s="1"/>
      <c r="AQ182" s="1"/>
      <c r="AR182" s="1"/>
      <c r="AS182" s="1" t="s">
        <v>4167</v>
      </c>
    </row>
    <row r="183" spans="1:45" x14ac:dyDescent="0.15">
      <c r="A183" t="str">
        <f t="shared" si="31"/>
        <v>|KLD|無色|20|6/5|《[[屑鉄場のたかり屋]]》|</v>
      </c>
      <c r="B183" t="s">
        <v>3168</v>
      </c>
      <c r="C183" t="str">
        <f t="shared" si="32"/>
        <v>KLD</v>
      </c>
      <c r="D183">
        <f>IF(AI183="","",VLOOKUP(C183,tnpl!$Z$1:$AA$11,2,TRUE))</f>
        <v>6</v>
      </c>
      <c r="E183" t="s">
        <v>3168</v>
      </c>
      <c r="F183" t="str">
        <f t="shared" si="33"/>
        <v>無色</v>
      </c>
      <c r="G183">
        <f>IF(AJ183="","",VLOOKUP(F183,tnpl!$X$1:$Y$16,2,TRUE))</f>
        <v>16</v>
      </c>
      <c r="H183" t="s">
        <v>3168</v>
      </c>
      <c r="I183">
        <f t="shared" si="34"/>
        <v>20</v>
      </c>
      <c r="J183" t="s">
        <v>3168</v>
      </c>
      <c r="K183">
        <f t="shared" si="35"/>
        <v>6</v>
      </c>
      <c r="L183">
        <f t="shared" si="36"/>
        <v>5</v>
      </c>
      <c r="M183" t="str">
        <f t="shared" si="29"/>
        <v>6/5</v>
      </c>
      <c r="R183" t="s">
        <v>3175</v>
      </c>
      <c r="S183" t="s">
        <v>4750</v>
      </c>
      <c r="T183" t="str">
        <f t="shared" si="37"/>
        <v>屑鉄場のたかり屋</v>
      </c>
      <c r="U183" t="str">
        <f t="shared" si="38"/>
        <v/>
      </c>
      <c r="V183" t="str">
        <f>IF(I183=0,VLOOKUP(T183,Sheet4!A:B,2,TRUE),"")</f>
        <v/>
      </c>
      <c r="W183" t="s">
        <v>4751</v>
      </c>
      <c r="X183" t="s">
        <v>3175</v>
      </c>
      <c r="Y183" s="9"/>
      <c r="Z183" s="10" t="s">
        <v>4216</v>
      </c>
      <c r="AA183" t="s">
        <v>4757</v>
      </c>
      <c r="AB183" t="s">
        <v>4830</v>
      </c>
      <c r="AC183" t="str">
        <f t="shared" si="39"/>
        <v/>
      </c>
      <c r="AD183" t="str">
        <f t="shared" si="30"/>
        <v/>
      </c>
      <c r="AE183" t="str">
        <f t="shared" si="40"/>
        <v/>
      </c>
      <c r="AF183" t="str">
        <f t="shared" si="41"/>
        <v/>
      </c>
      <c r="AG183" t="b">
        <f t="shared" si="28"/>
        <v>0</v>
      </c>
      <c r="AH183" s="3">
        <v>1011</v>
      </c>
      <c r="AI183" s="2" t="s">
        <v>3937</v>
      </c>
      <c r="AJ183" s="1" t="s">
        <v>292</v>
      </c>
      <c r="AK183" s="1" t="s">
        <v>1441</v>
      </c>
      <c r="AL183" s="1">
        <v>20</v>
      </c>
      <c r="AM183" s="1" t="s">
        <v>486</v>
      </c>
      <c r="AN183" s="1" t="s">
        <v>485</v>
      </c>
      <c r="AO183" s="1" t="s">
        <v>339</v>
      </c>
      <c r="AP183" s="1"/>
      <c r="AQ183" s="1">
        <v>6</v>
      </c>
      <c r="AR183" s="1">
        <v>5</v>
      </c>
      <c r="AS183" s="1" t="s">
        <v>4216</v>
      </c>
    </row>
    <row r="184" spans="1:45" x14ac:dyDescent="0.15">
      <c r="A184" t="str">
        <f t="shared" si="31"/>
        <v>|KLD|無色|14|12/12|《[[金属製の巨像]]》|</v>
      </c>
      <c r="B184" t="s">
        <v>3168</v>
      </c>
      <c r="C184" t="str">
        <f t="shared" si="32"/>
        <v>KLD</v>
      </c>
      <c r="D184">
        <f>IF(AI184="","",VLOOKUP(C184,tnpl!$Z$1:$AA$11,2,TRUE))</f>
        <v>6</v>
      </c>
      <c r="E184" t="s">
        <v>3168</v>
      </c>
      <c r="F184" t="str">
        <f t="shared" si="33"/>
        <v>無色</v>
      </c>
      <c r="G184">
        <f>IF(AJ184="","",VLOOKUP(F184,tnpl!$X$1:$Y$16,2,TRUE))</f>
        <v>16</v>
      </c>
      <c r="H184" t="s">
        <v>3168</v>
      </c>
      <c r="I184">
        <f t="shared" si="34"/>
        <v>14</v>
      </c>
      <c r="J184" t="s">
        <v>3168</v>
      </c>
      <c r="K184">
        <f t="shared" si="35"/>
        <v>12</v>
      </c>
      <c r="L184">
        <f t="shared" si="36"/>
        <v>12</v>
      </c>
      <c r="M184" t="str">
        <f t="shared" si="29"/>
        <v>12/12</v>
      </c>
      <c r="R184" t="s">
        <v>3175</v>
      </c>
      <c r="S184" t="s">
        <v>4750</v>
      </c>
      <c r="T184" t="str">
        <f t="shared" si="37"/>
        <v>金属製の巨像</v>
      </c>
      <c r="U184" t="str">
        <f t="shared" si="38"/>
        <v/>
      </c>
      <c r="V184" t="str">
        <f>IF(I184=0,VLOOKUP(T184,Sheet4!A:B,2,TRUE),"")</f>
        <v/>
      </c>
      <c r="W184" t="s">
        <v>4751</v>
      </c>
      <c r="X184" t="s">
        <v>3175</v>
      </c>
      <c r="Y184" s="9"/>
      <c r="Z184" s="10" t="s">
        <v>4227</v>
      </c>
      <c r="AA184" t="s">
        <v>4826</v>
      </c>
      <c r="AB184" t="s">
        <v>4830</v>
      </c>
      <c r="AC184" t="str">
        <f t="shared" si="39"/>
        <v/>
      </c>
      <c r="AD184" t="str">
        <f t="shared" si="30"/>
        <v/>
      </c>
      <c r="AE184" t="str">
        <f t="shared" si="40"/>
        <v/>
      </c>
      <c r="AF184" t="str">
        <f t="shared" si="41"/>
        <v>破壊し</v>
      </c>
      <c r="AG184" t="b">
        <f t="shared" si="28"/>
        <v>0</v>
      </c>
      <c r="AH184" s="3">
        <v>1016</v>
      </c>
      <c r="AI184" s="2" t="s">
        <v>3937</v>
      </c>
      <c r="AJ184" s="1" t="s">
        <v>292</v>
      </c>
      <c r="AK184" s="1" t="s">
        <v>1431</v>
      </c>
      <c r="AL184" s="1">
        <v>14</v>
      </c>
      <c r="AM184" s="1" t="s">
        <v>478</v>
      </c>
      <c r="AN184" s="1" t="s">
        <v>477</v>
      </c>
      <c r="AO184" s="1" t="s">
        <v>339</v>
      </c>
      <c r="AP184" s="1"/>
      <c r="AQ184" s="1">
        <v>12</v>
      </c>
      <c r="AR184" s="1">
        <v>12</v>
      </c>
      <c r="AS184" s="1" t="s">
        <v>4227</v>
      </c>
    </row>
    <row r="185" spans="1:45" x14ac:dyDescent="0.15">
      <c r="A185" t="str">
        <f t="shared" si="31"/>
        <v>|KLD|無色|16||《[[霊気池の驚異]]》|</v>
      </c>
      <c r="B185" t="s">
        <v>3168</v>
      </c>
      <c r="C185" t="str">
        <f t="shared" si="32"/>
        <v>KLD</v>
      </c>
      <c r="D185">
        <f>IF(AI185="","",VLOOKUP(C185,tnpl!$Z$1:$AA$11,2,TRUE))</f>
        <v>6</v>
      </c>
      <c r="E185" t="s">
        <v>3168</v>
      </c>
      <c r="F185" t="str">
        <f t="shared" si="33"/>
        <v>無色</v>
      </c>
      <c r="G185">
        <f>IF(AJ185="","",VLOOKUP(F185,tnpl!$X$1:$Y$16,2,TRUE))</f>
        <v>16</v>
      </c>
      <c r="H185" t="s">
        <v>3168</v>
      </c>
      <c r="I185">
        <f t="shared" si="34"/>
        <v>16</v>
      </c>
      <c r="J185" t="s">
        <v>3168</v>
      </c>
      <c r="K185">
        <f t="shared" si="35"/>
        <v>0</v>
      </c>
      <c r="L185">
        <f t="shared" si="36"/>
        <v>0</v>
      </c>
      <c r="M185" t="str">
        <f t="shared" si="29"/>
        <v/>
      </c>
      <c r="R185" t="s">
        <v>3175</v>
      </c>
      <c r="S185" t="s">
        <v>4750</v>
      </c>
      <c r="T185" t="str">
        <f t="shared" si="37"/>
        <v>霊気池の驚異</v>
      </c>
      <c r="U185" t="str">
        <f t="shared" si="38"/>
        <v/>
      </c>
      <c r="V185" t="str">
        <f>IF(I185=0,VLOOKUP(T185,Sheet4!A:B,2,TRUE),"")</f>
        <v/>
      </c>
      <c r="W185" t="s">
        <v>4751</v>
      </c>
      <c r="X185" t="s">
        <v>3175</v>
      </c>
      <c r="Y185" s="9"/>
      <c r="Z185" s="10" t="s">
        <v>4232</v>
      </c>
      <c r="AA185" t="s">
        <v>4757</v>
      </c>
      <c r="AC185" t="str">
        <f t="shared" si="39"/>
        <v/>
      </c>
      <c r="AD185" t="str">
        <f t="shared" si="30"/>
        <v/>
      </c>
      <c r="AE185" t="str">
        <f t="shared" si="40"/>
        <v>破壊される</v>
      </c>
      <c r="AF185" t="str">
        <f t="shared" si="41"/>
        <v/>
      </c>
      <c r="AG185" t="b">
        <f t="shared" si="28"/>
        <v>0</v>
      </c>
      <c r="AH185" s="3">
        <v>1018</v>
      </c>
      <c r="AI185" s="2" t="s">
        <v>3937</v>
      </c>
      <c r="AJ185" s="1" t="s">
        <v>292</v>
      </c>
      <c r="AK185" s="1" t="s">
        <v>1431</v>
      </c>
      <c r="AL185" s="1">
        <v>16</v>
      </c>
      <c r="AM185" s="1" t="s">
        <v>482</v>
      </c>
      <c r="AN185" s="1" t="s">
        <v>481</v>
      </c>
      <c r="AO185" s="1" t="s">
        <v>288</v>
      </c>
      <c r="AP185" s="1">
        <v>3</v>
      </c>
      <c r="AQ185" s="1"/>
      <c r="AR185" s="1"/>
      <c r="AS185" s="1" t="s">
        <v>4232</v>
      </c>
    </row>
    <row r="186" spans="1:45" x14ac:dyDescent="0.15">
      <c r="A186" t="str">
        <f t="shared" si="31"/>
        <v>|AER|白|21|4/3|《[[修復専門家]]》|</v>
      </c>
      <c r="B186" t="s">
        <v>3168</v>
      </c>
      <c r="C186" t="str">
        <f t="shared" si="32"/>
        <v>AER</v>
      </c>
      <c r="D186">
        <f>IF(AI186="","",VLOOKUP(C186,tnpl!$Z$1:$AA$11,2,TRUE))</f>
        <v>7</v>
      </c>
      <c r="E186" t="s">
        <v>3168</v>
      </c>
      <c r="F186" t="str">
        <f t="shared" si="33"/>
        <v>白</v>
      </c>
      <c r="G186">
        <f>IF(AJ186="","",VLOOKUP(F186,tnpl!$X$1:$Y$16,2,TRUE))</f>
        <v>1</v>
      </c>
      <c r="H186" t="s">
        <v>3168</v>
      </c>
      <c r="I186">
        <f t="shared" si="34"/>
        <v>21</v>
      </c>
      <c r="J186" t="s">
        <v>3168</v>
      </c>
      <c r="K186">
        <f t="shared" si="35"/>
        <v>4</v>
      </c>
      <c r="L186">
        <f t="shared" si="36"/>
        <v>3</v>
      </c>
      <c r="M186" t="str">
        <f t="shared" si="29"/>
        <v>4/3</v>
      </c>
      <c r="R186" t="s">
        <v>3175</v>
      </c>
      <c r="S186" t="s">
        <v>4750</v>
      </c>
      <c r="T186" t="str">
        <f t="shared" si="37"/>
        <v>修復専門家</v>
      </c>
      <c r="U186" t="str">
        <f t="shared" si="38"/>
        <v/>
      </c>
      <c r="V186" t="str">
        <f>IF(I186=0,VLOOKUP(T186,Sheet4!A:B,2,TRUE),"")</f>
        <v/>
      </c>
      <c r="W186" t="s">
        <v>4751</v>
      </c>
      <c r="X186" t="s">
        <v>3175</v>
      </c>
      <c r="Y186" s="9"/>
      <c r="Z186" s="10" t="s">
        <v>4240</v>
      </c>
      <c r="AA186" t="s">
        <v>4757</v>
      </c>
      <c r="AB186" t="s">
        <v>4830</v>
      </c>
      <c r="AC186" t="str">
        <f t="shared" si="39"/>
        <v/>
      </c>
      <c r="AD186" t="str">
        <f t="shared" si="30"/>
        <v>破壊された</v>
      </c>
      <c r="AE186" t="str">
        <f t="shared" si="40"/>
        <v/>
      </c>
      <c r="AF186" t="str">
        <f t="shared" si="41"/>
        <v/>
      </c>
      <c r="AG186" t="b">
        <f t="shared" si="28"/>
        <v>0</v>
      </c>
      <c r="AH186" s="3">
        <v>1022</v>
      </c>
      <c r="AI186" s="2" t="s">
        <v>4236</v>
      </c>
      <c r="AJ186" s="1" t="s">
        <v>1627</v>
      </c>
      <c r="AK186" s="1" t="s">
        <v>1451</v>
      </c>
      <c r="AL186" s="1">
        <v>21</v>
      </c>
      <c r="AM186" s="1" t="s">
        <v>470</v>
      </c>
      <c r="AN186" s="1" t="s">
        <v>469</v>
      </c>
      <c r="AO186" s="1" t="s">
        <v>339</v>
      </c>
      <c r="AP186" s="1"/>
      <c r="AQ186" s="1">
        <v>4</v>
      </c>
      <c r="AR186" s="1">
        <v>3</v>
      </c>
      <c r="AS186" s="1" t="s">
        <v>4240</v>
      </c>
    </row>
    <row r="187" spans="1:45" x14ac:dyDescent="0.15">
      <c r="A187" t="str">
        <f t="shared" si="31"/>
        <v>|AER|白|24||《[[領事府の弾圧]]》|</v>
      </c>
      <c r="B187" t="s">
        <v>3168</v>
      </c>
      <c r="C187" t="str">
        <f t="shared" si="32"/>
        <v>AER</v>
      </c>
      <c r="D187">
        <f>IF(AI187="","",VLOOKUP(C187,tnpl!$Z$1:$AA$11,2,TRUE))</f>
        <v>7</v>
      </c>
      <c r="E187" t="s">
        <v>3168</v>
      </c>
      <c r="F187" t="str">
        <f t="shared" si="33"/>
        <v>白</v>
      </c>
      <c r="G187">
        <f>IF(AJ187="","",VLOOKUP(F187,tnpl!$X$1:$Y$16,2,TRUE))</f>
        <v>1</v>
      </c>
      <c r="H187" t="s">
        <v>3168</v>
      </c>
      <c r="I187">
        <f t="shared" si="34"/>
        <v>24</v>
      </c>
      <c r="J187" t="s">
        <v>3168</v>
      </c>
      <c r="K187">
        <f t="shared" si="35"/>
        <v>0</v>
      </c>
      <c r="L187">
        <f t="shared" si="36"/>
        <v>0</v>
      </c>
      <c r="M187" t="str">
        <f t="shared" si="29"/>
        <v/>
      </c>
      <c r="R187" t="s">
        <v>3175</v>
      </c>
      <c r="S187" t="s">
        <v>4750</v>
      </c>
      <c r="T187" t="str">
        <f t="shared" si="37"/>
        <v>領事府の弾圧</v>
      </c>
      <c r="U187" t="str">
        <f t="shared" si="38"/>
        <v/>
      </c>
      <c r="V187" t="str">
        <f>IF(I187=0,VLOOKUP(T187,Sheet4!A:B,2,TRUE),"")</f>
        <v/>
      </c>
      <c r="W187" t="s">
        <v>4751</v>
      </c>
      <c r="X187" t="s">
        <v>3175</v>
      </c>
      <c r="Y187" s="9"/>
      <c r="Z187" s="10" t="s">
        <v>4243</v>
      </c>
      <c r="AA187" t="s">
        <v>4826</v>
      </c>
      <c r="AC187" t="str">
        <f t="shared" si="39"/>
        <v>破壊する</v>
      </c>
      <c r="AD187" t="str">
        <f t="shared" si="30"/>
        <v/>
      </c>
      <c r="AE187" t="str">
        <f t="shared" si="40"/>
        <v/>
      </c>
      <c r="AF187" t="str">
        <f t="shared" si="41"/>
        <v/>
      </c>
      <c r="AG187" t="b">
        <f t="shared" si="28"/>
        <v>0</v>
      </c>
      <c r="AH187" s="3">
        <v>1025</v>
      </c>
      <c r="AI187" s="2" t="s">
        <v>4236</v>
      </c>
      <c r="AJ187" s="1" t="s">
        <v>1627</v>
      </c>
      <c r="AK187" s="1" t="s">
        <v>1441</v>
      </c>
      <c r="AL187" s="1">
        <v>24</v>
      </c>
      <c r="AM187" s="1" t="s">
        <v>464</v>
      </c>
      <c r="AN187" s="1" t="s">
        <v>463</v>
      </c>
      <c r="AO187" s="1" t="s">
        <v>1453</v>
      </c>
      <c r="AP187" s="1"/>
      <c r="AQ187" s="1"/>
      <c r="AR187" s="1"/>
      <c r="AS187" s="1" t="s">
        <v>4243</v>
      </c>
    </row>
    <row r="188" spans="1:45" x14ac:dyDescent="0.15">
      <c r="A188" t="str">
        <f t="shared" si="31"/>
        <v>|AER|黒|8|4/4|《[[鉄覆いの革命家]]》|</v>
      </c>
      <c r="B188" t="s">
        <v>3168</v>
      </c>
      <c r="C188" t="str">
        <f t="shared" si="32"/>
        <v>AER</v>
      </c>
      <c r="D188">
        <f>IF(AI188="","",VLOOKUP(C188,tnpl!$Z$1:$AA$11,2,TRUE))</f>
        <v>7</v>
      </c>
      <c r="E188" t="s">
        <v>3168</v>
      </c>
      <c r="F188" t="str">
        <f t="shared" si="33"/>
        <v>黒</v>
      </c>
      <c r="G188">
        <f>IF(AJ188="","",VLOOKUP(F188,tnpl!$X$1:$Y$16,2,TRUE))</f>
        <v>3</v>
      </c>
      <c r="H188" t="s">
        <v>3168</v>
      </c>
      <c r="I188">
        <f t="shared" si="34"/>
        <v>8</v>
      </c>
      <c r="J188" t="s">
        <v>3168</v>
      </c>
      <c r="K188">
        <f t="shared" si="35"/>
        <v>4</v>
      </c>
      <c r="L188">
        <f t="shared" si="36"/>
        <v>4</v>
      </c>
      <c r="M188" t="str">
        <f t="shared" si="29"/>
        <v>4/4</v>
      </c>
      <c r="R188" t="s">
        <v>3175</v>
      </c>
      <c r="S188" t="s">
        <v>4750</v>
      </c>
      <c r="T188" t="str">
        <f t="shared" si="37"/>
        <v>鉄覆いの革命家</v>
      </c>
      <c r="U188" t="str">
        <f t="shared" si="38"/>
        <v/>
      </c>
      <c r="V188" t="str">
        <f>IF(I188=0,VLOOKUP(T188,Sheet4!A:B,2,TRUE),"")</f>
        <v/>
      </c>
      <c r="W188" t="s">
        <v>4751</v>
      </c>
      <c r="X188" t="s">
        <v>3175</v>
      </c>
      <c r="Y188" s="9"/>
      <c r="Z188" s="10" t="s">
        <v>4264</v>
      </c>
      <c r="AA188" t="s">
        <v>4826</v>
      </c>
      <c r="AC188" t="str">
        <f t="shared" si="39"/>
        <v>破壊する</v>
      </c>
      <c r="AD188" t="str">
        <f t="shared" si="30"/>
        <v/>
      </c>
      <c r="AE188" t="str">
        <f t="shared" si="40"/>
        <v/>
      </c>
      <c r="AF188" t="str">
        <f t="shared" si="41"/>
        <v/>
      </c>
      <c r="AG188" t="b">
        <f t="shared" si="28"/>
        <v>0</v>
      </c>
      <c r="AH188" s="3">
        <v>1039</v>
      </c>
      <c r="AI188" s="2" t="s">
        <v>4236</v>
      </c>
      <c r="AJ188" s="1" t="s">
        <v>1582</v>
      </c>
      <c r="AK188" s="1" t="s">
        <v>1451</v>
      </c>
      <c r="AL188" s="1">
        <v>8</v>
      </c>
      <c r="AM188" s="1" t="s">
        <v>436</v>
      </c>
      <c r="AN188" s="1" t="s">
        <v>435</v>
      </c>
      <c r="AO188" s="1" t="s">
        <v>339</v>
      </c>
      <c r="AP188" s="1"/>
      <c r="AQ188" s="1">
        <v>4</v>
      </c>
      <c r="AR188" s="1">
        <v>4</v>
      </c>
      <c r="AS188" s="1" t="s">
        <v>4264</v>
      </c>
    </row>
    <row r="189" spans="1:45" x14ac:dyDescent="0.15">
      <c r="A189" t="str">
        <f t="shared" si="31"/>
        <v>|AER|黒|10|4/4|《[[枉惑な調達者]]》|</v>
      </c>
      <c r="B189" t="s">
        <v>3168</v>
      </c>
      <c r="C189" t="str">
        <f t="shared" si="32"/>
        <v>AER</v>
      </c>
      <c r="D189">
        <f>IF(AI189="","",VLOOKUP(C189,tnpl!$Z$1:$AA$11,2,TRUE))</f>
        <v>7</v>
      </c>
      <c r="E189" t="s">
        <v>3168</v>
      </c>
      <c r="F189" t="str">
        <f t="shared" si="33"/>
        <v>黒</v>
      </c>
      <c r="G189">
        <f>IF(AJ189="","",VLOOKUP(F189,tnpl!$X$1:$Y$16,2,TRUE))</f>
        <v>3</v>
      </c>
      <c r="H189" t="s">
        <v>3168</v>
      </c>
      <c r="I189">
        <f t="shared" si="34"/>
        <v>10</v>
      </c>
      <c r="J189" t="s">
        <v>3168</v>
      </c>
      <c r="K189">
        <f t="shared" si="35"/>
        <v>4</v>
      </c>
      <c r="L189">
        <f t="shared" si="36"/>
        <v>4</v>
      </c>
      <c r="M189" t="str">
        <f t="shared" si="29"/>
        <v>4/4</v>
      </c>
      <c r="R189" t="s">
        <v>3175</v>
      </c>
      <c r="S189" t="s">
        <v>4750</v>
      </c>
      <c r="T189" t="str">
        <f t="shared" si="37"/>
        <v>枉惑な調達者</v>
      </c>
      <c r="U189" t="str">
        <f t="shared" si="38"/>
        <v/>
      </c>
      <c r="V189" t="str">
        <f>IF(I189=0,VLOOKUP(T189,Sheet4!A:B,2,TRUE),"")</f>
        <v/>
      </c>
      <c r="W189" t="s">
        <v>4751</v>
      </c>
      <c r="X189" t="s">
        <v>3175</v>
      </c>
      <c r="Y189" s="9"/>
      <c r="Z189" s="10" t="s">
        <v>4265</v>
      </c>
      <c r="AA189" t="s">
        <v>4757</v>
      </c>
      <c r="AC189" t="str">
        <f t="shared" si="39"/>
        <v/>
      </c>
      <c r="AD189" t="str">
        <f t="shared" si="30"/>
        <v>破壊された</v>
      </c>
      <c r="AE189" t="str">
        <f t="shared" si="40"/>
        <v/>
      </c>
      <c r="AF189" t="str">
        <f t="shared" si="41"/>
        <v/>
      </c>
      <c r="AG189" t="b">
        <f t="shared" si="28"/>
        <v>0</v>
      </c>
      <c r="AH189" s="3">
        <v>1040</v>
      </c>
      <c r="AI189" s="2" t="s">
        <v>4236</v>
      </c>
      <c r="AJ189" s="1" t="s">
        <v>1582</v>
      </c>
      <c r="AK189" s="1" t="s">
        <v>1451</v>
      </c>
      <c r="AL189" s="1">
        <v>10</v>
      </c>
      <c r="AM189" s="1" t="s">
        <v>434</v>
      </c>
      <c r="AN189" s="1" t="s">
        <v>433</v>
      </c>
      <c r="AO189" s="1" t="s">
        <v>339</v>
      </c>
      <c r="AP189" s="1"/>
      <c r="AQ189" s="1">
        <v>4</v>
      </c>
      <c r="AR189" s="1">
        <v>4</v>
      </c>
      <c r="AS189" s="1" t="s">
        <v>4265</v>
      </c>
    </row>
    <row r="190" spans="1:45" x14ac:dyDescent="0.15">
      <c r="A190" t="str">
        <f t="shared" si="31"/>
        <v>|AER|黒|11||《[[ゴンティの策謀]]》|</v>
      </c>
      <c r="B190" t="s">
        <v>3168</v>
      </c>
      <c r="C190" t="str">
        <f t="shared" si="32"/>
        <v>AER</v>
      </c>
      <c r="D190">
        <f>IF(AI190="","",VLOOKUP(C190,tnpl!$Z$1:$AA$11,2,TRUE))</f>
        <v>7</v>
      </c>
      <c r="E190" t="s">
        <v>3168</v>
      </c>
      <c r="F190" t="str">
        <f t="shared" si="33"/>
        <v>黒</v>
      </c>
      <c r="G190">
        <f>IF(AJ190="","",VLOOKUP(F190,tnpl!$X$1:$Y$16,2,TRUE))</f>
        <v>3</v>
      </c>
      <c r="H190" t="s">
        <v>3168</v>
      </c>
      <c r="I190">
        <f t="shared" si="34"/>
        <v>11</v>
      </c>
      <c r="J190" t="s">
        <v>3168</v>
      </c>
      <c r="K190">
        <f t="shared" si="35"/>
        <v>0</v>
      </c>
      <c r="L190">
        <f t="shared" si="36"/>
        <v>0</v>
      </c>
      <c r="M190" t="str">
        <f t="shared" si="29"/>
        <v/>
      </c>
      <c r="R190" t="s">
        <v>3175</v>
      </c>
      <c r="S190" t="s">
        <v>4750</v>
      </c>
      <c r="T190" t="str">
        <f t="shared" si="37"/>
        <v>ゴンティの策謀</v>
      </c>
      <c r="U190" t="str">
        <f t="shared" si="38"/>
        <v/>
      </c>
      <c r="V190" t="str">
        <f>IF(I190=0,VLOOKUP(T190,Sheet4!A:B,2,TRUE),"")</f>
        <v/>
      </c>
      <c r="W190" t="s">
        <v>4751</v>
      </c>
      <c r="X190" t="s">
        <v>3175</v>
      </c>
      <c r="Y190" s="9"/>
      <c r="Z190" s="10" t="s">
        <v>4268</v>
      </c>
      <c r="AA190" t="s">
        <v>4757</v>
      </c>
      <c r="AC190" t="str">
        <f t="shared" si="39"/>
        <v/>
      </c>
      <c r="AD190" t="str">
        <f t="shared" si="30"/>
        <v>破壊された</v>
      </c>
      <c r="AE190" t="str">
        <f t="shared" si="40"/>
        <v/>
      </c>
      <c r="AF190" t="str">
        <f t="shared" si="41"/>
        <v/>
      </c>
      <c r="AG190" t="b">
        <f t="shared" si="28"/>
        <v>0</v>
      </c>
      <c r="AH190" s="3">
        <v>1041</v>
      </c>
      <c r="AI190" s="2" t="s">
        <v>4236</v>
      </c>
      <c r="AJ190" s="1" t="s">
        <v>1582</v>
      </c>
      <c r="AK190" s="1" t="s">
        <v>1451</v>
      </c>
      <c r="AL190" s="1">
        <v>11</v>
      </c>
      <c r="AM190" s="1" t="s">
        <v>432</v>
      </c>
      <c r="AN190" s="1" t="s">
        <v>431</v>
      </c>
      <c r="AO190" s="1" t="s">
        <v>288</v>
      </c>
      <c r="AP190" s="1">
        <v>3</v>
      </c>
      <c r="AQ190" s="1"/>
      <c r="AR190" s="1"/>
      <c r="AS190" s="1" t="s">
        <v>4268</v>
      </c>
    </row>
    <row r="191" spans="1:45" x14ac:dyDescent="0.15">
      <c r="A191" t="str">
        <f t="shared" si="31"/>
        <v>|AER|黒|13|5/5|《[[艱苦の伝令]]》|</v>
      </c>
      <c r="B191" t="s">
        <v>3168</v>
      </c>
      <c r="C191" t="str">
        <f t="shared" si="32"/>
        <v>AER</v>
      </c>
      <c r="D191">
        <f>IF(AI191="","",VLOOKUP(C191,tnpl!$Z$1:$AA$11,2,TRUE))</f>
        <v>7</v>
      </c>
      <c r="E191" t="s">
        <v>3168</v>
      </c>
      <c r="F191" t="str">
        <f t="shared" si="33"/>
        <v>黒</v>
      </c>
      <c r="G191">
        <f>IF(AJ191="","",VLOOKUP(F191,tnpl!$X$1:$Y$16,2,TRUE))</f>
        <v>3</v>
      </c>
      <c r="H191" t="s">
        <v>3168</v>
      </c>
      <c r="I191">
        <f t="shared" si="34"/>
        <v>13</v>
      </c>
      <c r="J191" t="s">
        <v>3168</v>
      </c>
      <c r="K191">
        <f t="shared" si="35"/>
        <v>5</v>
      </c>
      <c r="L191">
        <f t="shared" si="36"/>
        <v>5</v>
      </c>
      <c r="M191" t="str">
        <f t="shared" si="29"/>
        <v>5/5</v>
      </c>
      <c r="R191" t="s">
        <v>3175</v>
      </c>
      <c r="S191" t="s">
        <v>4750</v>
      </c>
      <c r="T191" t="str">
        <f t="shared" si="37"/>
        <v>艱苦の伝令</v>
      </c>
      <c r="U191" t="str">
        <f t="shared" si="38"/>
        <v/>
      </c>
      <c r="V191" t="str">
        <f>IF(I191=0,VLOOKUP(T191,Sheet4!A:B,2,TRUE),"")</f>
        <v/>
      </c>
      <c r="W191" t="s">
        <v>4751</v>
      </c>
      <c r="X191" t="s">
        <v>3175</v>
      </c>
      <c r="Y191" s="9"/>
      <c r="Z191" s="10" t="s">
        <v>4276</v>
      </c>
      <c r="AA191" t="s">
        <v>4757</v>
      </c>
      <c r="AC191" t="str">
        <f t="shared" si="39"/>
        <v/>
      </c>
      <c r="AD191" t="str">
        <f t="shared" si="30"/>
        <v>破壊された</v>
      </c>
      <c r="AE191" t="str">
        <f t="shared" si="40"/>
        <v/>
      </c>
      <c r="AF191" t="str">
        <f t="shared" si="41"/>
        <v/>
      </c>
      <c r="AG191" t="b">
        <f t="shared" si="28"/>
        <v>0</v>
      </c>
      <c r="AH191" s="3">
        <v>1045</v>
      </c>
      <c r="AI191" s="2" t="s">
        <v>4236</v>
      </c>
      <c r="AJ191" s="1" t="s">
        <v>1582</v>
      </c>
      <c r="AK191" s="1" t="s">
        <v>1431</v>
      </c>
      <c r="AL191" s="1">
        <v>13</v>
      </c>
      <c r="AM191" s="1" t="s">
        <v>424</v>
      </c>
      <c r="AN191" s="1" t="s">
        <v>423</v>
      </c>
      <c r="AO191" s="1" t="s">
        <v>339</v>
      </c>
      <c r="AP191" s="1"/>
      <c r="AQ191" s="1">
        <v>5</v>
      </c>
      <c r="AR191" s="1">
        <v>5</v>
      </c>
      <c r="AS191" s="1" t="s">
        <v>4276</v>
      </c>
    </row>
    <row r="192" spans="1:45" x14ac:dyDescent="0.15">
      <c r="A192" t="str">
        <f t="shared" si="31"/>
        <v>|AER|赤|8||《[[グレムリンの侵入]]》|</v>
      </c>
      <c r="B192" t="s">
        <v>3168</v>
      </c>
      <c r="C192" t="str">
        <f t="shared" si="32"/>
        <v>AER</v>
      </c>
      <c r="D192">
        <f>IF(AI192="","",VLOOKUP(C192,tnpl!$Z$1:$AA$11,2,TRUE))</f>
        <v>7</v>
      </c>
      <c r="E192" t="s">
        <v>3168</v>
      </c>
      <c r="F192" t="str">
        <f t="shared" si="33"/>
        <v>赤</v>
      </c>
      <c r="G192">
        <f>IF(AJ192="","",VLOOKUP(F192,tnpl!$X$1:$Y$16,2,TRUE))</f>
        <v>4</v>
      </c>
      <c r="H192" t="s">
        <v>3168</v>
      </c>
      <c r="I192">
        <f t="shared" si="34"/>
        <v>8</v>
      </c>
      <c r="J192" t="s">
        <v>3168</v>
      </c>
      <c r="K192">
        <f t="shared" si="35"/>
        <v>0</v>
      </c>
      <c r="L192">
        <f t="shared" si="36"/>
        <v>0</v>
      </c>
      <c r="M192" t="str">
        <f t="shared" si="29"/>
        <v/>
      </c>
      <c r="R192" t="s">
        <v>3175</v>
      </c>
      <c r="S192" t="s">
        <v>4750</v>
      </c>
      <c r="T192" t="str">
        <f t="shared" si="37"/>
        <v>グレムリンの侵入</v>
      </c>
      <c r="U192" t="str">
        <f t="shared" si="38"/>
        <v/>
      </c>
      <c r="V192" t="str">
        <f>IF(I192=0,VLOOKUP(T192,Sheet4!A:B,2,TRUE),"")</f>
        <v/>
      </c>
      <c r="W192" t="s">
        <v>4751</v>
      </c>
      <c r="X192" t="s">
        <v>3175</v>
      </c>
      <c r="Y192" s="9"/>
      <c r="Z192" s="10" t="s">
        <v>4284</v>
      </c>
      <c r="AA192" t="s">
        <v>4826</v>
      </c>
      <c r="AB192" t="s">
        <v>4757</v>
      </c>
      <c r="AC192" t="str">
        <f t="shared" si="39"/>
        <v>破壊する</v>
      </c>
      <c r="AD192" t="str">
        <f t="shared" si="30"/>
        <v>破壊された</v>
      </c>
      <c r="AE192" t="str">
        <f t="shared" si="40"/>
        <v/>
      </c>
      <c r="AF192" t="str">
        <f t="shared" si="41"/>
        <v/>
      </c>
      <c r="AG192" t="b">
        <f t="shared" si="28"/>
        <v>0</v>
      </c>
      <c r="AH192" s="3">
        <v>1050</v>
      </c>
      <c r="AI192" s="2" t="s">
        <v>4236</v>
      </c>
      <c r="AJ192" s="1" t="s">
        <v>1552</v>
      </c>
      <c r="AK192" s="1" t="s">
        <v>1451</v>
      </c>
      <c r="AL192" s="1">
        <v>8</v>
      </c>
      <c r="AM192" s="1" t="s">
        <v>415</v>
      </c>
      <c r="AN192" s="1" t="s">
        <v>414</v>
      </c>
      <c r="AO192" s="1" t="s">
        <v>288</v>
      </c>
      <c r="AP192" s="1">
        <v>3</v>
      </c>
      <c r="AQ192" s="1"/>
      <c r="AR192" s="1"/>
      <c r="AS192" s="1" t="s">
        <v>4284</v>
      </c>
    </row>
    <row r="193" spans="1:45" x14ac:dyDescent="0.15">
      <c r="A193" t="str">
        <f t="shared" si="31"/>
        <v>|AER|赤|16||《[[グレムリン解放]]》|</v>
      </c>
      <c r="B193" t="s">
        <v>3168</v>
      </c>
      <c r="C193" t="str">
        <f t="shared" si="32"/>
        <v>AER</v>
      </c>
      <c r="D193">
        <f>IF(AI193="","",VLOOKUP(C193,tnpl!$Z$1:$AA$11,2,TRUE))</f>
        <v>7</v>
      </c>
      <c r="E193" t="s">
        <v>3168</v>
      </c>
      <c r="F193" t="str">
        <f t="shared" si="33"/>
        <v>赤</v>
      </c>
      <c r="G193">
        <f>IF(AJ193="","",VLOOKUP(F193,tnpl!$X$1:$Y$16,2,TRUE))</f>
        <v>4</v>
      </c>
      <c r="H193" t="s">
        <v>3168</v>
      </c>
      <c r="I193">
        <f t="shared" si="34"/>
        <v>16</v>
      </c>
      <c r="J193" t="s">
        <v>3168</v>
      </c>
      <c r="K193">
        <f t="shared" si="35"/>
        <v>0</v>
      </c>
      <c r="L193">
        <f t="shared" si="36"/>
        <v>0</v>
      </c>
      <c r="M193" t="str">
        <f t="shared" si="29"/>
        <v/>
      </c>
      <c r="R193" t="s">
        <v>3175</v>
      </c>
      <c r="S193" t="s">
        <v>4750</v>
      </c>
      <c r="T193" t="str">
        <f t="shared" si="37"/>
        <v>グレムリン解放</v>
      </c>
      <c r="U193" t="str">
        <f t="shared" si="38"/>
        <v/>
      </c>
      <c r="V193" t="str">
        <f>IF(I193=0,VLOOKUP(T193,Sheet4!A:B,2,TRUE),"")</f>
        <v/>
      </c>
      <c r="W193" t="s">
        <v>4751</v>
      </c>
      <c r="X193" t="s">
        <v>3175</v>
      </c>
      <c r="Y193" s="9"/>
      <c r="Z193" s="10" t="s">
        <v>4288</v>
      </c>
      <c r="AA193" t="s">
        <v>4826</v>
      </c>
      <c r="AC193" t="str">
        <f t="shared" si="39"/>
        <v/>
      </c>
      <c r="AD193" t="str">
        <f t="shared" si="30"/>
        <v/>
      </c>
      <c r="AE193" t="str">
        <f t="shared" si="40"/>
        <v/>
      </c>
      <c r="AF193" t="str">
        <f t="shared" si="41"/>
        <v>破壊し</v>
      </c>
      <c r="AG193" t="b">
        <f t="shared" si="28"/>
        <v>0</v>
      </c>
      <c r="AH193" s="3">
        <v>1053</v>
      </c>
      <c r="AI193" s="2" t="s">
        <v>4236</v>
      </c>
      <c r="AJ193" s="1" t="s">
        <v>1552</v>
      </c>
      <c r="AK193" s="1" t="s">
        <v>1441</v>
      </c>
      <c r="AL193" s="1">
        <v>16</v>
      </c>
      <c r="AM193" s="1" t="s">
        <v>409</v>
      </c>
      <c r="AN193" s="1" t="s">
        <v>408</v>
      </c>
      <c r="AO193" s="1" t="s">
        <v>1453</v>
      </c>
      <c r="AP193" s="1"/>
      <c r="AQ193" s="1"/>
      <c r="AR193" s="1"/>
      <c r="AS193" s="1" t="s">
        <v>4288</v>
      </c>
    </row>
    <row r="194" spans="1:45" x14ac:dyDescent="0.15">
      <c r="A194" t="str">
        <f t="shared" si="31"/>
        <v>|KLDM|無色|13|8/8|《[[電結の荒廃者]]》|</v>
      </c>
      <c r="B194" t="s">
        <v>3168</v>
      </c>
      <c r="C194" t="str">
        <f t="shared" si="32"/>
        <v>KLDM</v>
      </c>
      <c r="D194">
        <f>IF(AI194="","",VLOOKUP(C194,tnpl!$Z$1:$AA$11,2,TRUE))</f>
        <v>9</v>
      </c>
      <c r="E194" t="s">
        <v>3168</v>
      </c>
      <c r="F194" t="str">
        <f t="shared" si="33"/>
        <v>無色</v>
      </c>
      <c r="G194">
        <f>IF(AJ194="","",VLOOKUP(F194,tnpl!$X$1:$Y$16,2,TRUE))</f>
        <v>16</v>
      </c>
      <c r="H194" t="s">
        <v>3168</v>
      </c>
      <c r="I194">
        <f t="shared" si="34"/>
        <v>13</v>
      </c>
      <c r="J194" t="s">
        <v>3168</v>
      </c>
      <c r="K194">
        <f t="shared" si="35"/>
        <v>8</v>
      </c>
      <c r="L194">
        <f t="shared" si="36"/>
        <v>8</v>
      </c>
      <c r="M194" t="str">
        <f t="shared" si="29"/>
        <v>8/8</v>
      </c>
      <c r="R194" t="s">
        <v>3175</v>
      </c>
      <c r="S194" t="s">
        <v>4750</v>
      </c>
      <c r="T194" t="str">
        <f t="shared" si="37"/>
        <v>電結の荒廃者</v>
      </c>
      <c r="U194" t="str">
        <f t="shared" si="38"/>
        <v/>
      </c>
      <c r="V194" t="str">
        <f>IF(I194=0,VLOOKUP(T194,Sheet4!A:B,2,TRUE),"")</f>
        <v/>
      </c>
      <c r="W194" t="s">
        <v>4751</v>
      </c>
      <c r="X194" t="s">
        <v>3175</v>
      </c>
      <c r="Y194" s="9"/>
      <c r="Z194" s="10" t="s">
        <v>356</v>
      </c>
      <c r="AA194" t="s">
        <v>4757</v>
      </c>
      <c r="AC194" t="str">
        <f t="shared" si="39"/>
        <v/>
      </c>
      <c r="AD194" t="str">
        <f t="shared" si="30"/>
        <v>破壊された</v>
      </c>
      <c r="AE194" t="str">
        <f t="shared" si="40"/>
        <v/>
      </c>
      <c r="AF194" t="str">
        <f t="shared" si="41"/>
        <v/>
      </c>
      <c r="AG194" t="b">
        <f t="shared" si="28"/>
        <v>0</v>
      </c>
      <c r="AH194" s="3">
        <v>1082</v>
      </c>
      <c r="AI194" s="2" t="s">
        <v>4343</v>
      </c>
      <c r="AJ194" s="1" t="s">
        <v>292</v>
      </c>
      <c r="AK194" s="1" t="s">
        <v>3161</v>
      </c>
      <c r="AL194" s="1">
        <v>13</v>
      </c>
      <c r="AM194" s="1" t="s">
        <v>359</v>
      </c>
      <c r="AN194" s="1" t="s">
        <v>358</v>
      </c>
      <c r="AO194" s="1" t="s">
        <v>339</v>
      </c>
      <c r="AP194" s="1"/>
      <c r="AQ194" s="1">
        <v>8</v>
      </c>
      <c r="AR194" s="1">
        <v>8</v>
      </c>
      <c r="AS194" s="1" t="s">
        <v>356</v>
      </c>
    </row>
    <row r="195" spans="1:45" x14ac:dyDescent="0.15">
      <c r="A195" t="str">
        <f t="shared" si="31"/>
        <v>|KLDM|無色|23|7/10|《[[隔離するタイタン]]》|</v>
      </c>
      <c r="B195" t="s">
        <v>3168</v>
      </c>
      <c r="C195" t="str">
        <f t="shared" si="32"/>
        <v>KLDM</v>
      </c>
      <c r="D195">
        <f>IF(AI195="","",VLOOKUP(C195,tnpl!$Z$1:$AA$11,2,TRUE))</f>
        <v>9</v>
      </c>
      <c r="E195" t="s">
        <v>3168</v>
      </c>
      <c r="F195" t="str">
        <f t="shared" si="33"/>
        <v>無色</v>
      </c>
      <c r="G195">
        <f>IF(AJ195="","",VLOOKUP(F195,tnpl!$X$1:$Y$16,2,TRUE))</f>
        <v>16</v>
      </c>
      <c r="H195" t="s">
        <v>3168</v>
      </c>
      <c r="I195">
        <f t="shared" si="34"/>
        <v>23</v>
      </c>
      <c r="J195" t="s">
        <v>3168</v>
      </c>
      <c r="K195">
        <f t="shared" si="35"/>
        <v>7</v>
      </c>
      <c r="L195">
        <f t="shared" si="36"/>
        <v>10</v>
      </c>
      <c r="M195" t="str">
        <f t="shared" si="29"/>
        <v>7/10</v>
      </c>
      <c r="R195" t="s">
        <v>3175</v>
      </c>
      <c r="S195" t="s">
        <v>4750</v>
      </c>
      <c r="T195" t="str">
        <f t="shared" si="37"/>
        <v>隔離するタイタン</v>
      </c>
      <c r="U195" t="str">
        <f t="shared" si="38"/>
        <v/>
      </c>
      <c r="V195" t="str">
        <f>IF(I195=0,VLOOKUP(T195,Sheet4!A:B,2,TRUE),"")</f>
        <v/>
      </c>
      <c r="W195" t="s">
        <v>4751</v>
      </c>
      <c r="X195" t="s">
        <v>3175</v>
      </c>
      <c r="Y195" s="9"/>
      <c r="Z195" s="10" t="s">
        <v>342</v>
      </c>
      <c r="AA195" t="s">
        <v>4757</v>
      </c>
      <c r="AB195" t="s">
        <v>4828</v>
      </c>
      <c r="AC195" t="str">
        <f t="shared" si="39"/>
        <v>破壊する</v>
      </c>
      <c r="AD195" t="str">
        <f t="shared" si="30"/>
        <v/>
      </c>
      <c r="AE195" t="str">
        <f t="shared" si="40"/>
        <v/>
      </c>
      <c r="AF195" t="str">
        <f t="shared" si="41"/>
        <v/>
      </c>
      <c r="AG195" t="b">
        <f t="shared" si="28"/>
        <v>0</v>
      </c>
      <c r="AH195" s="3">
        <v>1085</v>
      </c>
      <c r="AI195" s="2" t="s">
        <v>4343</v>
      </c>
      <c r="AJ195" s="1" t="s">
        <v>292</v>
      </c>
      <c r="AK195" s="1" t="s">
        <v>3161</v>
      </c>
      <c r="AL195" s="1">
        <v>23</v>
      </c>
      <c r="AM195" s="1" t="s">
        <v>345</v>
      </c>
      <c r="AN195" s="1" t="s">
        <v>344</v>
      </c>
      <c r="AO195" s="1" t="s">
        <v>339</v>
      </c>
      <c r="AP195" s="1"/>
      <c r="AQ195" s="1">
        <v>7</v>
      </c>
      <c r="AR195" s="1">
        <v>10</v>
      </c>
      <c r="AS195" s="1" t="s">
        <v>342</v>
      </c>
    </row>
    <row r="196" spans="1:45" x14ac:dyDescent="0.15">
      <c r="A196" t="str">
        <f t="shared" si="31"/>
        <v>|KLDM|無色|7||《[[水蓮の花びら]]》|</v>
      </c>
      <c r="B196" t="s">
        <v>3168</v>
      </c>
      <c r="C196" t="str">
        <f t="shared" si="32"/>
        <v>KLDM</v>
      </c>
      <c r="D196">
        <f>IF(AI196="","",VLOOKUP(C196,tnpl!$Z$1:$AA$11,2,TRUE))</f>
        <v>9</v>
      </c>
      <c r="E196" t="s">
        <v>3168</v>
      </c>
      <c r="F196" t="str">
        <f t="shared" si="33"/>
        <v>無色</v>
      </c>
      <c r="G196">
        <f>IF(AJ196="","",VLOOKUP(F196,tnpl!$X$1:$Y$16,2,TRUE))</f>
        <v>16</v>
      </c>
      <c r="H196" t="s">
        <v>3168</v>
      </c>
      <c r="I196">
        <f t="shared" si="34"/>
        <v>7</v>
      </c>
      <c r="J196" t="s">
        <v>3168</v>
      </c>
      <c r="K196">
        <f t="shared" si="35"/>
        <v>0</v>
      </c>
      <c r="L196">
        <f t="shared" si="36"/>
        <v>0</v>
      </c>
      <c r="M196" t="str">
        <f t="shared" si="29"/>
        <v/>
      </c>
      <c r="R196" t="s">
        <v>3175</v>
      </c>
      <c r="S196" t="s">
        <v>4750</v>
      </c>
      <c r="T196" t="str">
        <f t="shared" si="37"/>
        <v>水蓮の花びら</v>
      </c>
      <c r="U196" t="str">
        <f t="shared" si="38"/>
        <v/>
      </c>
      <c r="V196" t="str">
        <f>IF(I196=0,VLOOKUP(T196,Sheet4!A:B,2,TRUE),"")</f>
        <v/>
      </c>
      <c r="W196" t="s">
        <v>4751</v>
      </c>
      <c r="X196" t="s">
        <v>3175</v>
      </c>
      <c r="Y196" s="9"/>
      <c r="Z196" s="10" t="s">
        <v>310</v>
      </c>
      <c r="AA196" t="s">
        <v>4757</v>
      </c>
      <c r="AC196" t="str">
        <f t="shared" si="39"/>
        <v/>
      </c>
      <c r="AD196" t="str">
        <f t="shared" si="30"/>
        <v>破壊された</v>
      </c>
      <c r="AE196" t="str">
        <f t="shared" si="40"/>
        <v/>
      </c>
      <c r="AF196" t="str">
        <f t="shared" si="41"/>
        <v/>
      </c>
      <c r="AG196" t="b">
        <f t="shared" si="28"/>
        <v>0</v>
      </c>
      <c r="AH196" s="3">
        <v>1093</v>
      </c>
      <c r="AI196" s="2" t="s">
        <v>4343</v>
      </c>
      <c r="AJ196" s="1" t="s">
        <v>292</v>
      </c>
      <c r="AK196" s="1" t="s">
        <v>3161</v>
      </c>
      <c r="AL196" s="1">
        <v>7</v>
      </c>
      <c r="AM196" s="1" t="s">
        <v>312</v>
      </c>
      <c r="AN196" s="1" t="s">
        <v>311</v>
      </c>
      <c r="AO196" s="1" t="s">
        <v>288</v>
      </c>
      <c r="AP196" s="1">
        <v>1</v>
      </c>
      <c r="AQ196" s="1"/>
      <c r="AR196" s="1"/>
      <c r="AS196" s="1" t="s">
        <v>310</v>
      </c>
    </row>
    <row r="197" spans="1:45" x14ac:dyDescent="0.15">
      <c r="A197" t="str">
        <f t="shared" si="31"/>
        <v>|KLDM|無色|16||《[[光と影の剣]]》|</v>
      </c>
      <c r="B197" t="s">
        <v>3168</v>
      </c>
      <c r="C197" t="str">
        <f t="shared" si="32"/>
        <v>KLDM</v>
      </c>
      <c r="D197">
        <f>IF(AI197="","",VLOOKUP(C197,tnpl!$Z$1:$AA$11,2,TRUE))</f>
        <v>9</v>
      </c>
      <c r="E197" t="s">
        <v>3168</v>
      </c>
      <c r="F197" t="str">
        <f t="shared" si="33"/>
        <v>無色</v>
      </c>
      <c r="G197">
        <f>IF(AJ197="","",VLOOKUP(F197,tnpl!$X$1:$Y$16,2,TRUE))</f>
        <v>16</v>
      </c>
      <c r="H197" t="s">
        <v>3168</v>
      </c>
      <c r="I197">
        <f t="shared" si="34"/>
        <v>16</v>
      </c>
      <c r="J197" t="s">
        <v>3168</v>
      </c>
      <c r="K197">
        <f t="shared" si="35"/>
        <v>0</v>
      </c>
      <c r="L197">
        <f t="shared" si="36"/>
        <v>0</v>
      </c>
      <c r="M197" t="str">
        <f t="shared" si="29"/>
        <v/>
      </c>
      <c r="R197" t="s">
        <v>3175</v>
      </c>
      <c r="S197" t="s">
        <v>4750</v>
      </c>
      <c r="T197" t="str">
        <f t="shared" si="37"/>
        <v>光と影の剣</v>
      </c>
      <c r="U197" t="str">
        <f t="shared" si="38"/>
        <v/>
      </c>
      <c r="V197" t="str">
        <f>IF(I197=0,VLOOKUP(T197,Sheet4!A:B,2,TRUE),"")</f>
        <v/>
      </c>
      <c r="W197" t="s">
        <v>4751</v>
      </c>
      <c r="X197" t="s">
        <v>3175</v>
      </c>
      <c r="Y197" s="9"/>
      <c r="Z197" s="10" t="s">
        <v>293</v>
      </c>
      <c r="AA197" t="s">
        <v>4830</v>
      </c>
      <c r="AC197" t="str">
        <f t="shared" si="39"/>
        <v/>
      </c>
      <c r="AD197" t="str">
        <f t="shared" si="30"/>
        <v>破壊された</v>
      </c>
      <c r="AE197" t="str">
        <f t="shared" si="40"/>
        <v/>
      </c>
      <c r="AF197" t="str">
        <f t="shared" si="41"/>
        <v/>
      </c>
      <c r="AG197" t="b">
        <f t="shared" si="28"/>
        <v>0</v>
      </c>
      <c r="AH197" s="3">
        <v>1099</v>
      </c>
      <c r="AI197" s="2" t="s">
        <v>4343</v>
      </c>
      <c r="AJ197" s="1" t="s">
        <v>292</v>
      </c>
      <c r="AK197" s="1" t="s">
        <v>3161</v>
      </c>
      <c r="AL197" s="1">
        <v>16</v>
      </c>
      <c r="AM197" s="1" t="s">
        <v>295</v>
      </c>
      <c r="AN197" s="1" t="s">
        <v>294</v>
      </c>
      <c r="AO197" s="1" t="s">
        <v>288</v>
      </c>
      <c r="AP197" s="1">
        <v>2</v>
      </c>
      <c r="AQ197" s="1"/>
      <c r="AR197" s="1"/>
      <c r="AS197" s="1" t="s">
        <v>293</v>
      </c>
    </row>
    <row r="198" spans="1:45" x14ac:dyDescent="0.15">
      <c r="A198" t="str">
        <f t="shared" si="31"/>
        <v>|AKH|白|5||《[[俗物の放棄]]》|</v>
      </c>
      <c r="B198" t="s">
        <v>3168</v>
      </c>
      <c r="C198" t="str">
        <f t="shared" si="32"/>
        <v>AKH</v>
      </c>
      <c r="D198">
        <f>IF(AI198="","",VLOOKUP(C198,tnpl!$Z$1:$AA$11,2,TRUE))</f>
        <v>10</v>
      </c>
      <c r="E198" t="s">
        <v>3168</v>
      </c>
      <c r="F198" t="str">
        <f t="shared" si="33"/>
        <v>白</v>
      </c>
      <c r="G198">
        <f>IF(AJ198="","",VLOOKUP(F198,tnpl!$X$1:$Y$16,2,TRUE))</f>
        <v>1</v>
      </c>
      <c r="H198" t="s">
        <v>3168</v>
      </c>
      <c r="I198">
        <f t="shared" si="34"/>
        <v>5</v>
      </c>
      <c r="J198" t="s">
        <v>3168</v>
      </c>
      <c r="K198">
        <f t="shared" si="35"/>
        <v>0</v>
      </c>
      <c r="L198">
        <f t="shared" si="36"/>
        <v>0</v>
      </c>
      <c r="M198" t="str">
        <f t="shared" si="29"/>
        <v/>
      </c>
      <c r="R198" t="s">
        <v>3175</v>
      </c>
      <c r="S198" t="s">
        <v>4750</v>
      </c>
      <c r="T198" t="str">
        <f t="shared" si="37"/>
        <v>俗物の放棄</v>
      </c>
      <c r="U198" t="str">
        <f t="shared" si="38"/>
        <v/>
      </c>
      <c r="V198" t="str">
        <f>IF(I198=0,VLOOKUP(T198,Sheet4!A:B,2,TRUE),"")</f>
        <v/>
      </c>
      <c r="W198" t="s">
        <v>4751</v>
      </c>
      <c r="X198" t="s">
        <v>3175</v>
      </c>
      <c r="Y198" s="9"/>
      <c r="Z198" s="10" t="s">
        <v>4367</v>
      </c>
      <c r="AA198" t="s">
        <v>4826</v>
      </c>
      <c r="AC198" t="str">
        <f t="shared" si="39"/>
        <v>破壊する</v>
      </c>
      <c r="AD198" t="str">
        <f t="shared" si="30"/>
        <v/>
      </c>
      <c r="AE198" t="str">
        <f t="shared" si="40"/>
        <v/>
      </c>
      <c r="AF198" t="str">
        <f t="shared" si="41"/>
        <v/>
      </c>
      <c r="AG198" t="b">
        <f t="shared" si="28"/>
        <v>0</v>
      </c>
      <c r="AH198" s="3">
        <v>1112</v>
      </c>
      <c r="AI198" s="2" t="s">
        <v>4349</v>
      </c>
      <c r="AJ198" s="1" t="s">
        <v>1627</v>
      </c>
      <c r="AK198" s="1" t="s">
        <v>1744</v>
      </c>
      <c r="AL198" s="1">
        <v>5</v>
      </c>
      <c r="AM198" s="1" t="s">
        <v>266</v>
      </c>
      <c r="AN198" s="1" t="s">
        <v>265</v>
      </c>
      <c r="AO198" s="1" t="s">
        <v>1453</v>
      </c>
      <c r="AP198" s="1"/>
      <c r="AQ198" s="1"/>
      <c r="AR198" s="1"/>
      <c r="AS198" s="1" t="s">
        <v>4367</v>
      </c>
    </row>
    <row r="199" spans="1:45" x14ac:dyDescent="0.15">
      <c r="A199" t="str">
        <f t="shared" si="31"/>
        <v>|AKH|白|11|4/3|《[[献身的な門友]]》|</v>
      </c>
      <c r="B199" t="s">
        <v>3168</v>
      </c>
      <c r="C199" t="str">
        <f t="shared" si="32"/>
        <v>AKH</v>
      </c>
      <c r="D199">
        <f>IF(AI199="","",VLOOKUP(C199,tnpl!$Z$1:$AA$11,2,TRUE))</f>
        <v>10</v>
      </c>
      <c r="E199" t="s">
        <v>3168</v>
      </c>
      <c r="F199" t="str">
        <f t="shared" si="33"/>
        <v>白</v>
      </c>
      <c r="G199">
        <f>IF(AJ199="","",VLOOKUP(F199,tnpl!$X$1:$Y$16,2,TRUE))</f>
        <v>1</v>
      </c>
      <c r="H199" t="s">
        <v>3168</v>
      </c>
      <c r="I199">
        <f t="shared" si="34"/>
        <v>11</v>
      </c>
      <c r="J199" t="s">
        <v>3168</v>
      </c>
      <c r="K199">
        <f t="shared" si="35"/>
        <v>4</v>
      </c>
      <c r="L199">
        <f t="shared" si="36"/>
        <v>3</v>
      </c>
      <c r="M199" t="str">
        <f t="shared" si="29"/>
        <v>4/3</v>
      </c>
      <c r="R199" t="s">
        <v>3175</v>
      </c>
      <c r="S199" t="s">
        <v>4750</v>
      </c>
      <c r="T199" t="str">
        <f t="shared" si="37"/>
        <v>献身的な門友</v>
      </c>
      <c r="U199" t="str">
        <f t="shared" si="38"/>
        <v/>
      </c>
      <c r="V199" t="str">
        <f>IF(I199=0,VLOOKUP(T199,Sheet4!A:B,2,TRUE),"")</f>
        <v/>
      </c>
      <c r="W199" t="s">
        <v>4751</v>
      </c>
      <c r="X199" t="s">
        <v>3175</v>
      </c>
      <c r="Y199" s="9"/>
      <c r="Z199" s="10" t="s">
        <v>4372</v>
      </c>
      <c r="AA199" t="s">
        <v>4830</v>
      </c>
      <c r="AC199" t="str">
        <f t="shared" si="39"/>
        <v/>
      </c>
      <c r="AD199" t="str">
        <f t="shared" si="30"/>
        <v>破壊された</v>
      </c>
      <c r="AE199" t="str">
        <f t="shared" si="40"/>
        <v/>
      </c>
      <c r="AF199" t="str">
        <f t="shared" si="41"/>
        <v/>
      </c>
      <c r="AG199" t="b">
        <f t="shared" si="28"/>
        <v>0</v>
      </c>
      <c r="AH199" s="3">
        <v>1115</v>
      </c>
      <c r="AI199" s="2" t="s">
        <v>4349</v>
      </c>
      <c r="AJ199" s="1" t="s">
        <v>1627</v>
      </c>
      <c r="AK199" s="1" t="s">
        <v>1451</v>
      </c>
      <c r="AL199" s="1">
        <v>11</v>
      </c>
      <c r="AM199" s="1" t="s">
        <v>261</v>
      </c>
      <c r="AN199" s="1" t="s">
        <v>260</v>
      </c>
      <c r="AO199" s="1" t="s">
        <v>339</v>
      </c>
      <c r="AP199" s="1"/>
      <c r="AQ199" s="1">
        <v>4</v>
      </c>
      <c r="AR199" s="1">
        <v>3</v>
      </c>
      <c r="AS199" s="1" t="s">
        <v>4372</v>
      </c>
    </row>
    <row r="200" spans="1:45" x14ac:dyDescent="0.15">
      <c r="A200" t="str">
        <f t="shared" si="31"/>
        <v>|AKH|白|11||《[[排斥]]》|</v>
      </c>
      <c r="B200" t="s">
        <v>3168</v>
      </c>
      <c r="C200" t="str">
        <f t="shared" si="32"/>
        <v>AKH</v>
      </c>
      <c r="D200">
        <f>IF(AI200="","",VLOOKUP(C200,tnpl!$Z$1:$AA$11,2,TRUE))</f>
        <v>10</v>
      </c>
      <c r="E200" t="s">
        <v>3168</v>
      </c>
      <c r="F200" t="str">
        <f t="shared" si="33"/>
        <v>白</v>
      </c>
      <c r="G200">
        <f>IF(AJ200="","",VLOOKUP(F200,tnpl!$X$1:$Y$16,2,TRUE))</f>
        <v>1</v>
      </c>
      <c r="H200" t="s">
        <v>3168</v>
      </c>
      <c r="I200">
        <f t="shared" si="34"/>
        <v>11</v>
      </c>
      <c r="J200" t="s">
        <v>3168</v>
      </c>
      <c r="K200">
        <f t="shared" si="35"/>
        <v>0</v>
      </c>
      <c r="L200">
        <f t="shared" si="36"/>
        <v>0</v>
      </c>
      <c r="M200" t="str">
        <f t="shared" si="29"/>
        <v/>
      </c>
      <c r="R200" t="s">
        <v>3175</v>
      </c>
      <c r="S200" t="s">
        <v>4750</v>
      </c>
      <c r="T200" t="str">
        <f t="shared" si="37"/>
        <v>排斥</v>
      </c>
      <c r="U200" t="str">
        <f t="shared" si="38"/>
        <v/>
      </c>
      <c r="V200" t="str">
        <f>IF(I200=0,VLOOKUP(T200,Sheet4!A:B,2,TRUE),"")</f>
        <v/>
      </c>
      <c r="W200" t="s">
        <v>4751</v>
      </c>
      <c r="X200" t="s">
        <v>3175</v>
      </c>
      <c r="Y200" s="9"/>
      <c r="Z200" s="10" t="s">
        <v>4384</v>
      </c>
      <c r="AA200" t="s">
        <v>4832</v>
      </c>
      <c r="AC200" t="str">
        <f t="shared" si="39"/>
        <v/>
      </c>
      <c r="AD200" t="str">
        <f t="shared" si="30"/>
        <v/>
      </c>
      <c r="AE200" t="str">
        <f t="shared" si="40"/>
        <v>破壊される</v>
      </c>
      <c r="AF200" t="str">
        <f t="shared" si="41"/>
        <v/>
      </c>
      <c r="AG200" t="b">
        <f t="shared" ref="AG200:AG221" si="42">OR(AD200="与える",AF200="得る")</f>
        <v>0</v>
      </c>
      <c r="AH200" s="3">
        <v>1119</v>
      </c>
      <c r="AI200" s="2" t="s">
        <v>4349</v>
      </c>
      <c r="AJ200" s="1" t="s">
        <v>1627</v>
      </c>
      <c r="AK200" s="1" t="s">
        <v>1451</v>
      </c>
      <c r="AL200" s="1">
        <v>11</v>
      </c>
      <c r="AM200" s="1" t="s">
        <v>255</v>
      </c>
      <c r="AN200" s="1" t="s">
        <v>254</v>
      </c>
      <c r="AO200" s="1" t="s">
        <v>288</v>
      </c>
      <c r="AP200" s="1">
        <v>3</v>
      </c>
      <c r="AQ200" s="1"/>
      <c r="AR200" s="1"/>
      <c r="AS200" s="1" t="s">
        <v>4384</v>
      </c>
    </row>
    <row r="201" spans="1:45" x14ac:dyDescent="0.15">
      <c r="A201" t="str">
        <f t="shared" si="31"/>
        <v>|AKH|白|16|7/8|《[[賞罰の天使]]》|</v>
      </c>
      <c r="B201" t="s">
        <v>3168</v>
      </c>
      <c r="C201" t="str">
        <f t="shared" si="32"/>
        <v>AKH</v>
      </c>
      <c r="D201">
        <f>IF(AI201="","",VLOOKUP(C201,tnpl!$Z$1:$AA$11,2,TRUE))</f>
        <v>10</v>
      </c>
      <c r="E201" t="s">
        <v>3168</v>
      </c>
      <c r="F201" t="str">
        <f t="shared" si="33"/>
        <v>白</v>
      </c>
      <c r="G201">
        <f>IF(AJ201="","",VLOOKUP(F201,tnpl!$X$1:$Y$16,2,TRUE))</f>
        <v>1</v>
      </c>
      <c r="H201" t="s">
        <v>3168</v>
      </c>
      <c r="I201">
        <f t="shared" si="34"/>
        <v>16</v>
      </c>
      <c r="J201" t="s">
        <v>3168</v>
      </c>
      <c r="K201">
        <f t="shared" si="35"/>
        <v>7</v>
      </c>
      <c r="L201">
        <f t="shared" si="36"/>
        <v>8</v>
      </c>
      <c r="M201" t="str">
        <f t="shared" ref="M201:M221" si="43">IF(AO201="クリーチャー",K201&amp;"/"&amp;L201,"")</f>
        <v>7/8</v>
      </c>
      <c r="R201" t="s">
        <v>3175</v>
      </c>
      <c r="S201" t="s">
        <v>4750</v>
      </c>
      <c r="T201" t="str">
        <f t="shared" si="37"/>
        <v>賞罰の天使</v>
      </c>
      <c r="U201" t="str">
        <f t="shared" si="38"/>
        <v/>
      </c>
      <c r="V201" t="str">
        <f>IF(I201=0,VLOOKUP(T201,Sheet4!A:B,2,TRUE),"")</f>
        <v/>
      </c>
      <c r="W201" t="s">
        <v>4751</v>
      </c>
      <c r="X201" t="s">
        <v>3175</v>
      </c>
      <c r="Y201" s="9"/>
      <c r="Z201" s="10" t="s">
        <v>4397</v>
      </c>
      <c r="AA201" t="s">
        <v>4825</v>
      </c>
      <c r="AC201" t="str">
        <f t="shared" si="39"/>
        <v>破壊する</v>
      </c>
      <c r="AD201" t="str">
        <f t="shared" ref="AD201:AD221" si="44">IF(ISERR(SEARCH("破壊された",Z201,1)),"","破壊された")</f>
        <v/>
      </c>
      <c r="AE201" t="str">
        <f t="shared" si="40"/>
        <v/>
      </c>
      <c r="AF201" t="str">
        <f t="shared" si="41"/>
        <v/>
      </c>
      <c r="AG201" t="b">
        <f t="shared" si="42"/>
        <v>0</v>
      </c>
      <c r="AH201" s="3">
        <v>1125</v>
      </c>
      <c r="AI201" s="2" t="s">
        <v>4349</v>
      </c>
      <c r="AJ201" s="1" t="s">
        <v>1627</v>
      </c>
      <c r="AK201" s="1" t="s">
        <v>1431</v>
      </c>
      <c r="AL201" s="1">
        <v>16</v>
      </c>
      <c r="AM201" s="1" t="s">
        <v>244</v>
      </c>
      <c r="AN201" s="1" t="s">
        <v>243</v>
      </c>
      <c r="AO201" s="1" t="s">
        <v>339</v>
      </c>
      <c r="AP201" s="1"/>
      <c r="AQ201" s="1">
        <v>7</v>
      </c>
      <c r="AR201" s="1">
        <v>8</v>
      </c>
      <c r="AS201" s="1" t="s">
        <v>4397</v>
      </c>
    </row>
    <row r="202" spans="1:45" x14ac:dyDescent="0.15">
      <c r="A202" t="str">
        <f t="shared" ref="A202:A221" si="45">B202&amp;C202&amp;E202&amp;F202&amp;H202&amp;I202&amp;J202&amp;M202&amp;N202&amp;O202&amp;P202&amp;Q202&amp;R202&amp;S202&amp;T202&amp;U202&amp;V202&amp;W202&amp;X202&amp;Y202</f>
        <v>|AKH|青|15|2/2|《[[周到の書記官]]》|</v>
      </c>
      <c r="B202" t="s">
        <v>3168</v>
      </c>
      <c r="C202" t="str">
        <f t="shared" ref="C202:C221" si="46">AI202</f>
        <v>AKH</v>
      </c>
      <c r="D202">
        <f>IF(AI202="","",VLOOKUP(C202,tnpl!$Z$1:$AA$11,2,TRUE))</f>
        <v>10</v>
      </c>
      <c r="E202" t="s">
        <v>3168</v>
      </c>
      <c r="F202" t="str">
        <f t="shared" ref="F202:F221" si="47">AJ202</f>
        <v>青</v>
      </c>
      <c r="G202">
        <f>IF(AJ202="","",VLOOKUP(F202,tnpl!$X$1:$Y$16,2,TRUE))</f>
        <v>2</v>
      </c>
      <c r="H202" t="s">
        <v>3168</v>
      </c>
      <c r="I202">
        <f t="shared" ref="I202:I221" si="48">AL202</f>
        <v>15</v>
      </c>
      <c r="J202" t="s">
        <v>3168</v>
      </c>
      <c r="K202">
        <f t="shared" ref="K202:K221" si="49">AQ202</f>
        <v>2</v>
      </c>
      <c r="L202">
        <f t="shared" ref="L202:L221" si="50">AR202</f>
        <v>2</v>
      </c>
      <c r="M202" t="str">
        <f t="shared" si="43"/>
        <v>2/2</v>
      </c>
      <c r="R202" t="s">
        <v>3175</v>
      </c>
      <c r="S202" t="s">
        <v>4750</v>
      </c>
      <c r="T202" t="str">
        <f t="shared" ref="T202:T221" si="51">AM202</f>
        <v>周到の書記官</v>
      </c>
      <c r="U202" t="str">
        <f t="shared" ref="U202:U221" si="52">IF(I202=0,"&gt;","")</f>
        <v/>
      </c>
      <c r="V202" t="str">
        <f>IF(I202=0,VLOOKUP(T202,Sheet4!A:B,2,TRUE),"")</f>
        <v/>
      </c>
      <c r="W202" t="s">
        <v>4751</v>
      </c>
      <c r="X202" t="s">
        <v>3175</v>
      </c>
      <c r="Y202" s="9"/>
      <c r="Z202" s="10" t="s">
        <v>4408</v>
      </c>
      <c r="AA202" t="s">
        <v>4757</v>
      </c>
      <c r="AB202" t="s">
        <v>4830</v>
      </c>
      <c r="AC202" t="str">
        <f t="shared" ref="AC202:AC221" si="53">IF(ISERR(SEARCH("破壊する",Z202,1)),"","破壊する")</f>
        <v/>
      </c>
      <c r="AD202" t="str">
        <f t="shared" si="44"/>
        <v>破壊された</v>
      </c>
      <c r="AE202" t="str">
        <f t="shared" ref="AE202:AE221" si="54">IF(ISERR(SEARCH("破壊される",Z202,1)),"","破壊される")</f>
        <v/>
      </c>
      <c r="AF202" t="str">
        <f t="shared" ref="AF202:AF221" si="55">IF(ISERR(SEARCH("破壊し",Z202,1)),"","破壊し")</f>
        <v/>
      </c>
      <c r="AG202" t="b">
        <f t="shared" si="42"/>
        <v>0</v>
      </c>
      <c r="AH202" s="3">
        <v>1130</v>
      </c>
      <c r="AI202" s="2" t="s">
        <v>4349</v>
      </c>
      <c r="AJ202" s="1" t="s">
        <v>1606</v>
      </c>
      <c r="AK202" s="1" t="s">
        <v>1744</v>
      </c>
      <c r="AL202" s="1">
        <v>15</v>
      </c>
      <c r="AM202" s="1" t="s">
        <v>235</v>
      </c>
      <c r="AN202" s="1" t="s">
        <v>234</v>
      </c>
      <c r="AO202" s="1" t="s">
        <v>339</v>
      </c>
      <c r="AP202" s="1"/>
      <c r="AQ202" s="1">
        <v>2</v>
      </c>
      <c r="AR202" s="1">
        <v>2</v>
      </c>
      <c r="AS202" s="1" t="s">
        <v>4408</v>
      </c>
    </row>
    <row r="203" spans="1:45" x14ac:dyDescent="0.15">
      <c r="A203" t="str">
        <f t="shared" si="45"/>
        <v>|AKH|青|4||《[[叱責の風]]》|</v>
      </c>
      <c r="B203" t="s">
        <v>3168</v>
      </c>
      <c r="C203" t="str">
        <f t="shared" si="46"/>
        <v>AKH</v>
      </c>
      <c r="D203">
        <f>IF(AI203="","",VLOOKUP(C203,tnpl!$Z$1:$AA$11,2,TRUE))</f>
        <v>10</v>
      </c>
      <c r="E203" t="s">
        <v>3168</v>
      </c>
      <c r="F203" t="str">
        <f t="shared" si="47"/>
        <v>青</v>
      </c>
      <c r="G203">
        <f>IF(AJ203="","",VLOOKUP(F203,tnpl!$X$1:$Y$16,2,TRUE))</f>
        <v>2</v>
      </c>
      <c r="H203" t="s">
        <v>3168</v>
      </c>
      <c r="I203">
        <f t="shared" si="48"/>
        <v>4</v>
      </c>
      <c r="J203" t="s">
        <v>3168</v>
      </c>
      <c r="K203">
        <f t="shared" si="49"/>
        <v>0</v>
      </c>
      <c r="L203">
        <f t="shared" si="50"/>
        <v>0</v>
      </c>
      <c r="M203" t="str">
        <f t="shared" si="43"/>
        <v/>
      </c>
      <c r="R203" t="s">
        <v>3175</v>
      </c>
      <c r="S203" t="s">
        <v>4750</v>
      </c>
      <c r="T203" t="str">
        <f t="shared" si="51"/>
        <v>叱責の風</v>
      </c>
      <c r="U203" t="str">
        <f t="shared" si="52"/>
        <v/>
      </c>
      <c r="V203" t="str">
        <f>IF(I203=0,VLOOKUP(T203,Sheet4!A:B,2,TRUE),"")</f>
        <v/>
      </c>
      <c r="W203" t="s">
        <v>4751</v>
      </c>
      <c r="X203" t="s">
        <v>3175</v>
      </c>
      <c r="Y203" s="9"/>
      <c r="Z203" s="10" t="s">
        <v>4419</v>
      </c>
      <c r="AA203" t="s">
        <v>3167</v>
      </c>
      <c r="AB203" t="s">
        <v>4847</v>
      </c>
      <c r="AC203" t="str">
        <f t="shared" si="53"/>
        <v>破壊する</v>
      </c>
      <c r="AD203" t="str">
        <f t="shared" si="44"/>
        <v/>
      </c>
      <c r="AE203" t="str">
        <f t="shared" si="54"/>
        <v/>
      </c>
      <c r="AF203" t="str">
        <f t="shared" si="55"/>
        <v/>
      </c>
      <c r="AG203" t="b">
        <f t="shared" si="42"/>
        <v>0</v>
      </c>
      <c r="AH203" s="3">
        <v>1138</v>
      </c>
      <c r="AI203" s="2" t="s">
        <v>4349</v>
      </c>
      <c r="AJ203" s="1" t="s">
        <v>1606</v>
      </c>
      <c r="AK203" s="1" t="s">
        <v>1744</v>
      </c>
      <c r="AL203" s="1">
        <v>4</v>
      </c>
      <c r="AM203" s="1" t="s">
        <v>219</v>
      </c>
      <c r="AN203" s="1" t="s">
        <v>218</v>
      </c>
      <c r="AO203" s="1" t="s">
        <v>1453</v>
      </c>
      <c r="AP203" s="1"/>
      <c r="AQ203" s="1"/>
      <c r="AR203" s="1"/>
      <c r="AS203" s="1" t="s">
        <v>4419</v>
      </c>
    </row>
    <row r="204" spans="1:45" x14ac:dyDescent="0.15">
      <c r="A204" t="str">
        <f t="shared" si="45"/>
        <v>|AKH|青|5|3/4|《[[迷宮の守護者]]》|</v>
      </c>
      <c r="B204" t="s">
        <v>3168</v>
      </c>
      <c r="C204" t="str">
        <f t="shared" si="46"/>
        <v>AKH</v>
      </c>
      <c r="D204">
        <f>IF(AI204="","",VLOOKUP(C204,tnpl!$Z$1:$AA$11,2,TRUE))</f>
        <v>10</v>
      </c>
      <c r="E204" t="s">
        <v>3168</v>
      </c>
      <c r="F204" t="str">
        <f t="shared" si="47"/>
        <v>青</v>
      </c>
      <c r="G204">
        <f>IF(AJ204="","",VLOOKUP(F204,tnpl!$X$1:$Y$16,2,TRUE))</f>
        <v>2</v>
      </c>
      <c r="H204" t="s">
        <v>3168</v>
      </c>
      <c r="I204">
        <f t="shared" si="48"/>
        <v>5</v>
      </c>
      <c r="J204" t="s">
        <v>3168</v>
      </c>
      <c r="K204">
        <f t="shared" si="49"/>
        <v>3</v>
      </c>
      <c r="L204">
        <f t="shared" si="50"/>
        <v>4</v>
      </c>
      <c r="M204" t="str">
        <f t="shared" si="43"/>
        <v>3/4</v>
      </c>
      <c r="R204" t="s">
        <v>3175</v>
      </c>
      <c r="S204" t="s">
        <v>4750</v>
      </c>
      <c r="T204" t="str">
        <f t="shared" si="51"/>
        <v>迷宮の守護者</v>
      </c>
      <c r="U204" t="str">
        <f t="shared" si="52"/>
        <v/>
      </c>
      <c r="V204" t="str">
        <f>IF(I204=0,VLOOKUP(T204,Sheet4!A:B,2,TRUE),"")</f>
        <v/>
      </c>
      <c r="W204" t="s">
        <v>4751</v>
      </c>
      <c r="X204" t="s">
        <v>3175</v>
      </c>
      <c r="Y204" s="9"/>
      <c r="Z204" s="10" t="s">
        <v>4424</v>
      </c>
      <c r="AA204" t="s">
        <v>4825</v>
      </c>
      <c r="AC204" t="str">
        <f t="shared" si="53"/>
        <v>破壊する</v>
      </c>
      <c r="AD204" t="str">
        <f t="shared" si="44"/>
        <v/>
      </c>
      <c r="AE204" t="str">
        <f t="shared" si="54"/>
        <v/>
      </c>
      <c r="AF204" t="str">
        <f t="shared" si="55"/>
        <v/>
      </c>
      <c r="AG204" t="b">
        <f t="shared" si="42"/>
        <v>0</v>
      </c>
      <c r="AH204" s="3">
        <v>1140</v>
      </c>
      <c r="AI204" s="2" t="s">
        <v>4349</v>
      </c>
      <c r="AJ204" s="1" t="s">
        <v>1606</v>
      </c>
      <c r="AK204" s="1" t="s">
        <v>1451</v>
      </c>
      <c r="AL204" s="1">
        <v>5</v>
      </c>
      <c r="AM204" s="1" t="s">
        <v>215</v>
      </c>
      <c r="AN204" s="1" t="s">
        <v>214</v>
      </c>
      <c r="AO204" s="1" t="s">
        <v>339</v>
      </c>
      <c r="AP204" s="1"/>
      <c r="AQ204" s="1">
        <v>3</v>
      </c>
      <c r="AR204" s="1">
        <v>4</v>
      </c>
      <c r="AS204" s="1" t="s">
        <v>4424</v>
      </c>
    </row>
    <row r="205" spans="1:45" x14ac:dyDescent="0.15">
      <c r="A205" t="str">
        <f t="shared" si="45"/>
        <v>|AKH|青|15|6/6|《[[象形の守り手]]》|</v>
      </c>
      <c r="B205" t="s">
        <v>3168</v>
      </c>
      <c r="C205" t="str">
        <f t="shared" si="46"/>
        <v>AKH</v>
      </c>
      <c r="D205">
        <f>IF(AI205="","",VLOOKUP(C205,tnpl!$Z$1:$AA$11,2,TRUE))</f>
        <v>10</v>
      </c>
      <c r="E205" t="s">
        <v>3168</v>
      </c>
      <c r="F205" t="str">
        <f t="shared" si="47"/>
        <v>青</v>
      </c>
      <c r="G205">
        <f>IF(AJ205="","",VLOOKUP(F205,tnpl!$X$1:$Y$16,2,TRUE))</f>
        <v>2</v>
      </c>
      <c r="H205" t="s">
        <v>3168</v>
      </c>
      <c r="I205">
        <f t="shared" si="48"/>
        <v>15</v>
      </c>
      <c r="J205" t="s">
        <v>3168</v>
      </c>
      <c r="K205">
        <f t="shared" si="49"/>
        <v>6</v>
      </c>
      <c r="L205">
        <f t="shared" si="50"/>
        <v>6</v>
      </c>
      <c r="M205" t="str">
        <f t="shared" si="43"/>
        <v>6/6</v>
      </c>
      <c r="R205" t="s">
        <v>3175</v>
      </c>
      <c r="S205" t="s">
        <v>4750</v>
      </c>
      <c r="T205" t="str">
        <f t="shared" si="51"/>
        <v>象形の守り手</v>
      </c>
      <c r="U205" t="str">
        <f t="shared" si="52"/>
        <v/>
      </c>
      <c r="V205" t="str">
        <f>IF(I205=0,VLOOKUP(T205,Sheet4!A:B,2,TRUE),"")</f>
        <v/>
      </c>
      <c r="W205" t="s">
        <v>4751</v>
      </c>
      <c r="X205" t="s">
        <v>3175</v>
      </c>
      <c r="Y205" s="9"/>
      <c r="Z205" s="10" t="s">
        <v>4433</v>
      </c>
      <c r="AA205" t="s">
        <v>4829</v>
      </c>
      <c r="AC205" t="str">
        <f t="shared" si="53"/>
        <v/>
      </c>
      <c r="AD205" t="str">
        <f t="shared" si="44"/>
        <v/>
      </c>
      <c r="AE205" t="str">
        <f t="shared" si="54"/>
        <v/>
      </c>
      <c r="AF205" t="str">
        <f t="shared" si="55"/>
        <v>破壊し</v>
      </c>
      <c r="AG205" t="b">
        <f t="shared" si="42"/>
        <v>0</v>
      </c>
      <c r="AH205" s="3">
        <v>1144</v>
      </c>
      <c r="AI205" s="2" t="s">
        <v>4349</v>
      </c>
      <c r="AJ205" s="1" t="s">
        <v>1606</v>
      </c>
      <c r="AK205" s="1" t="s">
        <v>1441</v>
      </c>
      <c r="AL205" s="1">
        <v>15</v>
      </c>
      <c r="AM205" s="1" t="s">
        <v>207</v>
      </c>
      <c r="AN205" s="1" t="s">
        <v>206</v>
      </c>
      <c r="AO205" s="1" t="s">
        <v>339</v>
      </c>
      <c r="AP205" s="1"/>
      <c r="AQ205" s="1">
        <v>6</v>
      </c>
      <c r="AR205" s="1">
        <v>6</v>
      </c>
      <c r="AS205" s="1" t="s">
        <v>4433</v>
      </c>
    </row>
    <row r="206" spans="1:45" x14ac:dyDescent="0.15">
      <c r="A206" t="str">
        <f t="shared" si="45"/>
        <v>|AKH|黒|7||《[[最後の報賞]]》|</v>
      </c>
      <c r="B206" t="s">
        <v>3168</v>
      </c>
      <c r="C206" t="str">
        <f t="shared" si="46"/>
        <v>AKH</v>
      </c>
      <c r="D206">
        <f>IF(AI206="","",VLOOKUP(C206,tnpl!$Z$1:$AA$11,2,TRUE))</f>
        <v>10</v>
      </c>
      <c r="E206" t="s">
        <v>3168</v>
      </c>
      <c r="F206" t="str">
        <f t="shared" si="47"/>
        <v>黒</v>
      </c>
      <c r="G206">
        <f>IF(AJ206="","",VLOOKUP(F206,tnpl!$X$1:$Y$16,2,TRUE))</f>
        <v>3</v>
      </c>
      <c r="H206" t="s">
        <v>3168</v>
      </c>
      <c r="I206">
        <f t="shared" si="48"/>
        <v>7</v>
      </c>
      <c r="J206" t="s">
        <v>3168</v>
      </c>
      <c r="K206">
        <f t="shared" si="49"/>
        <v>0</v>
      </c>
      <c r="L206">
        <f t="shared" si="50"/>
        <v>0</v>
      </c>
      <c r="M206" t="str">
        <f t="shared" si="43"/>
        <v/>
      </c>
      <c r="R206" t="s">
        <v>3175</v>
      </c>
      <c r="S206" t="s">
        <v>4750</v>
      </c>
      <c r="T206" t="str">
        <f t="shared" si="51"/>
        <v>最後の報賞</v>
      </c>
      <c r="U206" t="str">
        <f t="shared" si="52"/>
        <v/>
      </c>
      <c r="V206" t="str">
        <f>IF(I206=0,VLOOKUP(T206,Sheet4!A:B,2,TRUE),"")</f>
        <v/>
      </c>
      <c r="W206" t="s">
        <v>4751</v>
      </c>
      <c r="X206" t="s">
        <v>3175</v>
      </c>
      <c r="Y206" s="9"/>
      <c r="Z206" s="10" t="s">
        <v>2086</v>
      </c>
      <c r="AA206" t="s">
        <v>4825</v>
      </c>
      <c r="AC206" t="str">
        <f t="shared" si="53"/>
        <v>破壊する</v>
      </c>
      <c r="AD206" t="str">
        <f t="shared" si="44"/>
        <v/>
      </c>
      <c r="AE206" t="str">
        <f t="shared" si="54"/>
        <v/>
      </c>
      <c r="AF206" t="str">
        <f t="shared" si="55"/>
        <v/>
      </c>
      <c r="AG206" t="b">
        <f t="shared" si="42"/>
        <v>0</v>
      </c>
      <c r="AH206" s="3">
        <v>1157</v>
      </c>
      <c r="AI206" s="2" t="s">
        <v>4349</v>
      </c>
      <c r="AJ206" s="1" t="s">
        <v>1582</v>
      </c>
      <c r="AK206" s="1" t="s">
        <v>1744</v>
      </c>
      <c r="AL206" s="1">
        <v>7</v>
      </c>
      <c r="AM206" s="1" t="s">
        <v>181</v>
      </c>
      <c r="AN206" s="1" t="s">
        <v>180</v>
      </c>
      <c r="AO206" s="1" t="s">
        <v>1453</v>
      </c>
      <c r="AP206" s="1"/>
      <c r="AQ206" s="1"/>
      <c r="AR206" s="1"/>
      <c r="AS206" s="1" t="s">
        <v>2086</v>
      </c>
    </row>
    <row r="207" spans="1:45" x14ac:dyDescent="0.15">
      <c r="A207" t="str">
        <f t="shared" si="45"/>
        <v>|AKH|黒|9||《[[死後の放浪]]》|</v>
      </c>
      <c r="B207" t="s">
        <v>3168</v>
      </c>
      <c r="C207" t="str">
        <f t="shared" si="46"/>
        <v>AKH</v>
      </c>
      <c r="D207">
        <f>IF(AI207="","",VLOOKUP(C207,tnpl!$Z$1:$AA$11,2,TRUE))</f>
        <v>10</v>
      </c>
      <c r="E207" t="s">
        <v>3168</v>
      </c>
      <c r="F207" t="str">
        <f t="shared" si="47"/>
        <v>黒</v>
      </c>
      <c r="G207">
        <f>IF(AJ207="","",VLOOKUP(F207,tnpl!$X$1:$Y$16,2,TRUE))</f>
        <v>3</v>
      </c>
      <c r="H207" t="s">
        <v>3168</v>
      </c>
      <c r="I207">
        <f t="shared" si="48"/>
        <v>9</v>
      </c>
      <c r="J207" t="s">
        <v>3168</v>
      </c>
      <c r="K207">
        <f t="shared" si="49"/>
        <v>0</v>
      </c>
      <c r="L207">
        <f t="shared" si="50"/>
        <v>0</v>
      </c>
      <c r="M207" t="str">
        <f t="shared" si="43"/>
        <v/>
      </c>
      <c r="R207" t="s">
        <v>3175</v>
      </c>
      <c r="S207" t="s">
        <v>4750</v>
      </c>
      <c r="T207" t="str">
        <f t="shared" si="51"/>
        <v>死後の放浪</v>
      </c>
      <c r="U207" t="str">
        <f t="shared" si="52"/>
        <v/>
      </c>
      <c r="V207" t="str">
        <f>IF(I207=0,VLOOKUP(T207,Sheet4!A:B,2,TRUE),"")</f>
        <v/>
      </c>
      <c r="W207" t="s">
        <v>4751</v>
      </c>
      <c r="X207" t="s">
        <v>3175</v>
      </c>
      <c r="Y207" s="9"/>
      <c r="Z207" s="10" t="s">
        <v>4465</v>
      </c>
      <c r="AA207" t="s">
        <v>4830</v>
      </c>
      <c r="AC207" t="str">
        <f t="shared" si="53"/>
        <v/>
      </c>
      <c r="AD207" t="str">
        <f t="shared" si="44"/>
        <v>破壊された</v>
      </c>
      <c r="AE207" t="str">
        <f t="shared" si="54"/>
        <v/>
      </c>
      <c r="AF207" t="str">
        <f t="shared" si="55"/>
        <v/>
      </c>
      <c r="AG207" t="b">
        <f t="shared" si="42"/>
        <v>0</v>
      </c>
      <c r="AH207" s="3">
        <v>1161</v>
      </c>
      <c r="AI207" s="2" t="s">
        <v>4349</v>
      </c>
      <c r="AJ207" s="1" t="s">
        <v>1582</v>
      </c>
      <c r="AK207" s="1" t="s">
        <v>1744</v>
      </c>
      <c r="AL207" s="1">
        <v>9</v>
      </c>
      <c r="AM207" s="1" t="s">
        <v>173</v>
      </c>
      <c r="AN207" s="1" t="s">
        <v>172</v>
      </c>
      <c r="AO207" s="1" t="s">
        <v>1453</v>
      </c>
      <c r="AP207" s="1"/>
      <c r="AQ207" s="1"/>
      <c r="AR207" s="1"/>
      <c r="AS207" s="1" t="s">
        <v>4465</v>
      </c>
    </row>
    <row r="208" spans="1:45" x14ac:dyDescent="0.15">
      <c r="A208" t="str">
        <f t="shared" si="45"/>
        <v>|AKH|黒|13|4/4|《[[グレイブディガー]]》|</v>
      </c>
      <c r="B208" t="s">
        <v>3168</v>
      </c>
      <c r="C208" t="str">
        <f t="shared" si="46"/>
        <v>AKH</v>
      </c>
      <c r="D208">
        <f>IF(AI208="","",VLOOKUP(C208,tnpl!$Z$1:$AA$11,2,TRUE))</f>
        <v>10</v>
      </c>
      <c r="E208" t="s">
        <v>3168</v>
      </c>
      <c r="F208" t="str">
        <f t="shared" si="47"/>
        <v>黒</v>
      </c>
      <c r="G208">
        <f>IF(AJ208="","",VLOOKUP(F208,tnpl!$X$1:$Y$16,2,TRUE))</f>
        <v>3</v>
      </c>
      <c r="H208" t="s">
        <v>3168</v>
      </c>
      <c r="I208">
        <f t="shared" si="48"/>
        <v>13</v>
      </c>
      <c r="J208" t="s">
        <v>3168</v>
      </c>
      <c r="K208">
        <f t="shared" si="49"/>
        <v>4</v>
      </c>
      <c r="L208">
        <f t="shared" si="50"/>
        <v>4</v>
      </c>
      <c r="M208" t="str">
        <f t="shared" si="43"/>
        <v>4/4</v>
      </c>
      <c r="R208" t="s">
        <v>3175</v>
      </c>
      <c r="S208" t="s">
        <v>4750</v>
      </c>
      <c r="T208" t="str">
        <f t="shared" si="51"/>
        <v>グレイブディガー</v>
      </c>
      <c r="U208" t="str">
        <f t="shared" si="52"/>
        <v/>
      </c>
      <c r="V208" t="str">
        <f>IF(I208=0,VLOOKUP(T208,Sheet4!A:B,2,TRUE),"")</f>
        <v/>
      </c>
      <c r="W208" t="s">
        <v>4751</v>
      </c>
      <c r="X208" t="s">
        <v>3175</v>
      </c>
      <c r="Y208" s="9"/>
      <c r="Z208" s="10" t="s">
        <v>4471</v>
      </c>
      <c r="AA208" t="s">
        <v>4830</v>
      </c>
      <c r="AC208" t="str">
        <f t="shared" si="53"/>
        <v/>
      </c>
      <c r="AD208" t="str">
        <f t="shared" si="44"/>
        <v>破壊された</v>
      </c>
      <c r="AE208" t="str">
        <f t="shared" si="54"/>
        <v/>
      </c>
      <c r="AF208" t="str">
        <f t="shared" si="55"/>
        <v/>
      </c>
      <c r="AG208" t="b">
        <f t="shared" si="42"/>
        <v>0</v>
      </c>
      <c r="AH208" s="3">
        <v>1164</v>
      </c>
      <c r="AI208" s="2" t="s">
        <v>4349</v>
      </c>
      <c r="AJ208" s="1" t="s">
        <v>1582</v>
      </c>
      <c r="AK208" s="1" t="s">
        <v>1451</v>
      </c>
      <c r="AL208" s="1">
        <v>13</v>
      </c>
      <c r="AM208" s="1" t="s">
        <v>168</v>
      </c>
      <c r="AN208" s="1" t="s">
        <v>167</v>
      </c>
      <c r="AO208" s="1" t="s">
        <v>339</v>
      </c>
      <c r="AP208" s="1"/>
      <c r="AQ208" s="1">
        <v>4</v>
      </c>
      <c r="AR208" s="1">
        <v>4</v>
      </c>
      <c r="AS208" s="1" t="s">
        <v>4471</v>
      </c>
    </row>
    <row r="209" spans="1:45" x14ac:dyDescent="0.15">
      <c r="A209" t="str">
        <f t="shared" si="45"/>
        <v>|AKH|黒|8||《[[野望の試練]]》|</v>
      </c>
      <c r="B209" t="s">
        <v>3168</v>
      </c>
      <c r="C209" t="str">
        <f t="shared" si="46"/>
        <v>AKH</v>
      </c>
      <c r="D209">
        <f>IF(AI209="","",VLOOKUP(C209,tnpl!$Z$1:$AA$11,2,TRUE))</f>
        <v>10</v>
      </c>
      <c r="E209" t="s">
        <v>3168</v>
      </c>
      <c r="F209" t="str">
        <f t="shared" si="47"/>
        <v>黒</v>
      </c>
      <c r="G209">
        <f>IF(AJ209="","",VLOOKUP(F209,tnpl!$X$1:$Y$16,2,TRUE))</f>
        <v>3</v>
      </c>
      <c r="H209" t="s">
        <v>3168</v>
      </c>
      <c r="I209">
        <f t="shared" si="48"/>
        <v>8</v>
      </c>
      <c r="J209" t="s">
        <v>3168</v>
      </c>
      <c r="K209">
        <f t="shared" si="49"/>
        <v>0</v>
      </c>
      <c r="L209">
        <f t="shared" si="50"/>
        <v>0</v>
      </c>
      <c r="M209" t="str">
        <f t="shared" si="43"/>
        <v/>
      </c>
      <c r="R209" t="s">
        <v>3175</v>
      </c>
      <c r="S209" t="s">
        <v>4750</v>
      </c>
      <c r="T209" t="str">
        <f t="shared" si="51"/>
        <v>野望の試練</v>
      </c>
      <c r="U209" t="str">
        <f t="shared" si="52"/>
        <v/>
      </c>
      <c r="V209" t="str">
        <f>IF(I209=0,VLOOKUP(T209,Sheet4!A:B,2,TRUE),"")</f>
        <v/>
      </c>
      <c r="W209" t="s">
        <v>4751</v>
      </c>
      <c r="X209" t="s">
        <v>3175</v>
      </c>
      <c r="Y209" s="9"/>
      <c r="Z209" s="10" t="s">
        <v>4481</v>
      </c>
      <c r="AA209" t="s">
        <v>4825</v>
      </c>
      <c r="AC209" t="str">
        <f t="shared" si="53"/>
        <v>破壊する</v>
      </c>
      <c r="AD209" t="str">
        <f t="shared" si="44"/>
        <v/>
      </c>
      <c r="AE209" t="str">
        <f t="shared" si="54"/>
        <v/>
      </c>
      <c r="AF209" t="str">
        <f t="shared" si="55"/>
        <v/>
      </c>
      <c r="AG209" t="b">
        <f t="shared" si="42"/>
        <v>0</v>
      </c>
      <c r="AH209" s="3">
        <v>1169</v>
      </c>
      <c r="AI209" s="2" t="s">
        <v>4349</v>
      </c>
      <c r="AJ209" s="1" t="s">
        <v>1582</v>
      </c>
      <c r="AK209" s="1" t="s">
        <v>1451</v>
      </c>
      <c r="AL209" s="1">
        <v>8</v>
      </c>
      <c r="AM209" s="1" t="s">
        <v>159</v>
      </c>
      <c r="AN209" s="1" t="s">
        <v>158</v>
      </c>
      <c r="AO209" s="1" t="s">
        <v>288</v>
      </c>
      <c r="AP209" s="1">
        <v>3</v>
      </c>
      <c r="AQ209" s="1"/>
      <c r="AR209" s="1"/>
      <c r="AS209" s="1" t="s">
        <v>4481</v>
      </c>
    </row>
    <row r="210" spans="1:45" x14ac:dyDescent="0.15">
      <c r="A210" t="str">
        <f t="shared" si="45"/>
        <v>|AKH|黒|15|4/3|《[[戦慄の放浪者]]》|</v>
      </c>
      <c r="B210" t="s">
        <v>3168</v>
      </c>
      <c r="C210" t="str">
        <f t="shared" si="46"/>
        <v>AKH</v>
      </c>
      <c r="D210">
        <f>IF(AI210="","",VLOOKUP(C210,tnpl!$Z$1:$AA$11,2,TRUE))</f>
        <v>10</v>
      </c>
      <c r="E210" t="s">
        <v>3168</v>
      </c>
      <c r="F210" t="str">
        <f t="shared" si="47"/>
        <v>黒</v>
      </c>
      <c r="G210">
        <f>IF(AJ210="","",VLOOKUP(F210,tnpl!$X$1:$Y$16,2,TRUE))</f>
        <v>3</v>
      </c>
      <c r="H210" t="s">
        <v>3168</v>
      </c>
      <c r="I210">
        <f t="shared" si="48"/>
        <v>15</v>
      </c>
      <c r="J210" t="s">
        <v>3168</v>
      </c>
      <c r="K210">
        <f t="shared" si="49"/>
        <v>4</v>
      </c>
      <c r="L210">
        <f t="shared" si="50"/>
        <v>3</v>
      </c>
      <c r="M210" t="str">
        <f t="shared" si="43"/>
        <v>4/3</v>
      </c>
      <c r="R210" t="s">
        <v>3175</v>
      </c>
      <c r="S210" t="s">
        <v>4750</v>
      </c>
      <c r="T210" t="str">
        <f t="shared" si="51"/>
        <v>戦慄の放浪者</v>
      </c>
      <c r="U210" t="str">
        <f t="shared" si="52"/>
        <v/>
      </c>
      <c r="V210" t="str">
        <f>IF(I210=0,VLOOKUP(T210,Sheet4!A:B,2,TRUE),"")</f>
        <v/>
      </c>
      <c r="W210" t="s">
        <v>4751</v>
      </c>
      <c r="X210" t="s">
        <v>3175</v>
      </c>
      <c r="Y210" s="9"/>
      <c r="Z210" s="10" t="s">
        <v>4487</v>
      </c>
      <c r="AA210" t="s">
        <v>4830</v>
      </c>
      <c r="AC210" t="str">
        <f t="shared" si="53"/>
        <v/>
      </c>
      <c r="AD210" t="str">
        <f t="shared" si="44"/>
        <v>破壊された</v>
      </c>
      <c r="AE210" t="str">
        <f t="shared" si="54"/>
        <v/>
      </c>
      <c r="AF210" t="str">
        <f t="shared" si="55"/>
        <v/>
      </c>
      <c r="AG210" t="b">
        <f t="shared" si="42"/>
        <v>0</v>
      </c>
      <c r="AH210" s="3">
        <v>1171</v>
      </c>
      <c r="AI210" s="2" t="s">
        <v>4349</v>
      </c>
      <c r="AJ210" s="1" t="s">
        <v>1582</v>
      </c>
      <c r="AK210" s="1" t="s">
        <v>1441</v>
      </c>
      <c r="AL210" s="1">
        <v>15</v>
      </c>
      <c r="AM210" s="1" t="s">
        <v>155</v>
      </c>
      <c r="AN210" s="1" t="s">
        <v>154</v>
      </c>
      <c r="AO210" s="1" t="s">
        <v>339</v>
      </c>
      <c r="AP210" s="1"/>
      <c r="AQ210" s="1">
        <v>4</v>
      </c>
      <c r="AR210" s="1">
        <v>3</v>
      </c>
      <c r="AS210" s="1" t="s">
        <v>4487</v>
      </c>
    </row>
    <row r="211" spans="1:45" x14ac:dyDescent="0.15">
      <c r="A211" t="str">
        <f t="shared" si="45"/>
        <v>|AKH|黒|8|8/8|《[[栄光の神バントゥ]]》|</v>
      </c>
      <c r="B211" t="s">
        <v>3168</v>
      </c>
      <c r="C211" t="str">
        <f t="shared" si="46"/>
        <v>AKH</v>
      </c>
      <c r="D211">
        <f>IF(AI211="","",VLOOKUP(C211,tnpl!$Z$1:$AA$11,2,TRUE))</f>
        <v>10</v>
      </c>
      <c r="E211" t="s">
        <v>3168</v>
      </c>
      <c r="F211" t="str">
        <f t="shared" si="47"/>
        <v>黒</v>
      </c>
      <c r="G211">
        <f>IF(AJ211="","",VLOOKUP(F211,tnpl!$X$1:$Y$16,2,TRUE))</f>
        <v>3</v>
      </c>
      <c r="H211" t="s">
        <v>3168</v>
      </c>
      <c r="I211">
        <f t="shared" si="48"/>
        <v>8</v>
      </c>
      <c r="J211" t="s">
        <v>3168</v>
      </c>
      <c r="K211">
        <f t="shared" si="49"/>
        <v>8</v>
      </c>
      <c r="L211">
        <f t="shared" si="50"/>
        <v>8</v>
      </c>
      <c r="M211" t="str">
        <f t="shared" si="43"/>
        <v>8/8</v>
      </c>
      <c r="R211" t="s">
        <v>3175</v>
      </c>
      <c r="S211" t="s">
        <v>4750</v>
      </c>
      <c r="T211" t="str">
        <f t="shared" si="51"/>
        <v>栄光の神バントゥ</v>
      </c>
      <c r="U211" t="str">
        <f t="shared" si="52"/>
        <v/>
      </c>
      <c r="V211" t="str">
        <f>IF(I211=0,VLOOKUP(T211,Sheet4!A:B,2,TRUE),"")</f>
        <v/>
      </c>
      <c r="W211" t="s">
        <v>4751</v>
      </c>
      <c r="X211" t="s">
        <v>3175</v>
      </c>
      <c r="Y211" s="9"/>
      <c r="Z211" s="10" t="s">
        <v>4495</v>
      </c>
      <c r="AA211" t="s">
        <v>4825</v>
      </c>
      <c r="AC211" t="str">
        <f t="shared" si="53"/>
        <v>破壊する</v>
      </c>
      <c r="AD211" t="str">
        <f t="shared" si="44"/>
        <v/>
      </c>
      <c r="AE211" t="str">
        <f t="shared" si="54"/>
        <v/>
      </c>
      <c r="AF211" t="str">
        <f t="shared" si="55"/>
        <v/>
      </c>
      <c r="AG211" t="b">
        <f t="shared" si="42"/>
        <v>0</v>
      </c>
      <c r="AH211" s="3">
        <v>1174</v>
      </c>
      <c r="AI211" s="2" t="s">
        <v>4349</v>
      </c>
      <c r="AJ211" s="1" t="s">
        <v>1582</v>
      </c>
      <c r="AK211" s="1" t="s">
        <v>1431</v>
      </c>
      <c r="AL211" s="1">
        <v>8</v>
      </c>
      <c r="AM211" s="1" t="s">
        <v>149</v>
      </c>
      <c r="AN211" s="1" t="s">
        <v>148</v>
      </c>
      <c r="AO211" s="1" t="s">
        <v>339</v>
      </c>
      <c r="AP211" s="1"/>
      <c r="AQ211" s="1">
        <v>8</v>
      </c>
      <c r="AR211" s="1">
        <v>8</v>
      </c>
      <c r="AS211" s="1" t="s">
        <v>4495</v>
      </c>
    </row>
    <row r="212" spans="1:45" x14ac:dyDescent="0.15">
      <c r="A212" t="str">
        <f t="shared" si="45"/>
        <v>|AKH|赤|5||《[[暴力的な衝撃]]》|</v>
      </c>
      <c r="B212" t="s">
        <v>3168</v>
      </c>
      <c r="C212" t="str">
        <f t="shared" si="46"/>
        <v>AKH</v>
      </c>
      <c r="D212">
        <f>IF(AI212="","",VLOOKUP(C212,tnpl!$Z$1:$AA$11,2,TRUE))</f>
        <v>10</v>
      </c>
      <c r="E212" t="s">
        <v>3168</v>
      </c>
      <c r="F212" t="str">
        <f t="shared" si="47"/>
        <v>赤</v>
      </c>
      <c r="G212">
        <f>IF(AJ212="","",VLOOKUP(F212,tnpl!$X$1:$Y$16,2,TRUE))</f>
        <v>4</v>
      </c>
      <c r="H212" t="s">
        <v>3168</v>
      </c>
      <c r="I212">
        <f t="shared" si="48"/>
        <v>5</v>
      </c>
      <c r="J212" t="s">
        <v>3168</v>
      </c>
      <c r="K212">
        <f t="shared" si="49"/>
        <v>0</v>
      </c>
      <c r="L212">
        <f t="shared" si="50"/>
        <v>0</v>
      </c>
      <c r="M212" t="str">
        <f t="shared" si="43"/>
        <v/>
      </c>
      <c r="R212" t="s">
        <v>3175</v>
      </c>
      <c r="S212" t="s">
        <v>4750</v>
      </c>
      <c r="T212" t="str">
        <f t="shared" si="51"/>
        <v>暴力的な衝撃</v>
      </c>
      <c r="U212" t="str">
        <f t="shared" si="52"/>
        <v/>
      </c>
      <c r="V212" t="str">
        <f>IF(I212=0,VLOOKUP(T212,Sheet4!A:B,2,TRUE),"")</f>
        <v/>
      </c>
      <c r="W212" t="s">
        <v>4751</v>
      </c>
      <c r="X212" t="s">
        <v>3175</v>
      </c>
      <c r="Y212" s="9"/>
      <c r="Z212" s="10" t="s">
        <v>4512</v>
      </c>
      <c r="AA212" t="s">
        <v>4826</v>
      </c>
      <c r="AC212" t="str">
        <f t="shared" si="53"/>
        <v>破壊する</v>
      </c>
      <c r="AD212" t="str">
        <f t="shared" si="44"/>
        <v/>
      </c>
      <c r="AE212" t="str">
        <f t="shared" si="54"/>
        <v/>
      </c>
      <c r="AF212" t="str">
        <f t="shared" si="55"/>
        <v/>
      </c>
      <c r="AG212" t="b">
        <f t="shared" si="42"/>
        <v>0</v>
      </c>
      <c r="AH212" s="3">
        <v>1186</v>
      </c>
      <c r="AI212" s="2" t="s">
        <v>4349</v>
      </c>
      <c r="AJ212" s="1" t="s">
        <v>1552</v>
      </c>
      <c r="AK212" s="1" t="s">
        <v>1744</v>
      </c>
      <c r="AL212" s="1">
        <v>5</v>
      </c>
      <c r="AM212" s="1" t="s">
        <v>127</v>
      </c>
      <c r="AN212" s="1" t="s">
        <v>126</v>
      </c>
      <c r="AO212" s="1" t="s">
        <v>1453</v>
      </c>
      <c r="AP212" s="1"/>
      <c r="AQ212" s="1"/>
      <c r="AR212" s="1"/>
      <c r="AS212" s="1" t="s">
        <v>4512</v>
      </c>
    </row>
    <row r="213" spans="1:45" x14ac:dyDescent="0.15">
      <c r="A213" t="str">
        <f t="shared" si="45"/>
        <v>|AKH|赤|18|6/5|《[[心臓貫きのマンティコア]]》|</v>
      </c>
      <c r="B213" t="s">
        <v>3168</v>
      </c>
      <c r="C213" t="str">
        <f t="shared" si="46"/>
        <v>AKH</v>
      </c>
      <c r="D213">
        <f>IF(AI213="","",VLOOKUP(C213,tnpl!$Z$1:$AA$11,2,TRUE))</f>
        <v>10</v>
      </c>
      <c r="E213" t="s">
        <v>3168</v>
      </c>
      <c r="F213" t="str">
        <f t="shared" si="47"/>
        <v>赤</v>
      </c>
      <c r="G213">
        <f>IF(AJ213="","",VLOOKUP(F213,tnpl!$X$1:$Y$16,2,TRUE))</f>
        <v>4</v>
      </c>
      <c r="H213" t="s">
        <v>3168</v>
      </c>
      <c r="I213">
        <f t="shared" si="48"/>
        <v>18</v>
      </c>
      <c r="J213" t="s">
        <v>3168</v>
      </c>
      <c r="K213">
        <f t="shared" si="49"/>
        <v>6</v>
      </c>
      <c r="L213">
        <f t="shared" si="50"/>
        <v>5</v>
      </c>
      <c r="M213" t="str">
        <f t="shared" si="43"/>
        <v>6/5</v>
      </c>
      <c r="R213" t="s">
        <v>3175</v>
      </c>
      <c r="S213" t="s">
        <v>4750</v>
      </c>
      <c r="T213" t="str">
        <f t="shared" si="51"/>
        <v>心臓貫きのマンティコア</v>
      </c>
      <c r="U213" t="str">
        <f t="shared" si="52"/>
        <v/>
      </c>
      <c r="V213" t="str">
        <f>IF(I213=0,VLOOKUP(T213,Sheet4!A:B,2,TRUE),"")</f>
        <v/>
      </c>
      <c r="W213" t="s">
        <v>4751</v>
      </c>
      <c r="X213" t="s">
        <v>3175</v>
      </c>
      <c r="Y213" s="9"/>
      <c r="Z213" s="10" t="s">
        <v>4525</v>
      </c>
      <c r="AA213" t="s">
        <v>4825</v>
      </c>
      <c r="AC213" t="str">
        <f t="shared" si="53"/>
        <v>破壊する</v>
      </c>
      <c r="AD213" t="str">
        <f t="shared" si="44"/>
        <v/>
      </c>
      <c r="AE213" t="str">
        <f t="shared" si="54"/>
        <v/>
      </c>
      <c r="AF213" t="str">
        <f t="shared" si="55"/>
        <v/>
      </c>
      <c r="AG213" t="b">
        <f t="shared" si="42"/>
        <v>0</v>
      </c>
      <c r="AH213" s="3">
        <v>1193</v>
      </c>
      <c r="AI213" s="2" t="s">
        <v>4349</v>
      </c>
      <c r="AJ213" s="1" t="s">
        <v>1552</v>
      </c>
      <c r="AK213" s="1" t="s">
        <v>1441</v>
      </c>
      <c r="AL213" s="1">
        <v>18</v>
      </c>
      <c r="AM213" s="1" t="s">
        <v>113</v>
      </c>
      <c r="AN213" s="1" t="s">
        <v>112</v>
      </c>
      <c r="AO213" s="1" t="s">
        <v>339</v>
      </c>
      <c r="AP213" s="1"/>
      <c r="AQ213" s="1">
        <v>6</v>
      </c>
      <c r="AR213" s="1">
        <v>5</v>
      </c>
      <c r="AS213" s="1" t="s">
        <v>4525</v>
      </c>
    </row>
    <row r="214" spans="1:45" x14ac:dyDescent="0.15">
      <c r="A214" t="str">
        <f t="shared" si="45"/>
        <v>|AKH|赤|4||《[[栄光の幕切れ]]》|</v>
      </c>
      <c r="B214" t="s">
        <v>3168</v>
      </c>
      <c r="C214" t="str">
        <f t="shared" si="46"/>
        <v>AKH</v>
      </c>
      <c r="D214">
        <f>IF(AI214="","",VLOOKUP(C214,tnpl!$Z$1:$AA$11,2,TRUE))</f>
        <v>10</v>
      </c>
      <c r="E214" t="s">
        <v>3168</v>
      </c>
      <c r="F214" t="str">
        <f t="shared" si="47"/>
        <v>赤</v>
      </c>
      <c r="G214">
        <f>IF(AJ214="","",VLOOKUP(F214,tnpl!$X$1:$Y$16,2,TRUE))</f>
        <v>4</v>
      </c>
      <c r="H214" t="s">
        <v>3168</v>
      </c>
      <c r="I214">
        <f t="shared" si="48"/>
        <v>4</v>
      </c>
      <c r="J214" t="s">
        <v>3168</v>
      </c>
      <c r="K214">
        <f t="shared" si="49"/>
        <v>0</v>
      </c>
      <c r="L214">
        <f t="shared" si="50"/>
        <v>0</v>
      </c>
      <c r="M214" t="str">
        <f t="shared" si="43"/>
        <v/>
      </c>
      <c r="R214" t="s">
        <v>3175</v>
      </c>
      <c r="S214" t="s">
        <v>4750</v>
      </c>
      <c r="T214" t="str">
        <f t="shared" si="51"/>
        <v>栄光の幕切れ</v>
      </c>
      <c r="U214" t="str">
        <f t="shared" si="52"/>
        <v/>
      </c>
      <c r="V214" t="str">
        <f>IF(I214=0,VLOOKUP(T214,Sheet4!A:B,2,TRUE),"")</f>
        <v/>
      </c>
      <c r="W214" t="s">
        <v>4751</v>
      </c>
      <c r="X214" t="s">
        <v>3175</v>
      </c>
      <c r="Y214" s="9"/>
      <c r="Z214" s="10" t="s">
        <v>4541</v>
      </c>
      <c r="AA214" t="s">
        <v>4825</v>
      </c>
      <c r="AC214" t="str">
        <f t="shared" si="53"/>
        <v>破壊する</v>
      </c>
      <c r="AD214" t="str">
        <f t="shared" si="44"/>
        <v/>
      </c>
      <c r="AE214" t="str">
        <f t="shared" si="54"/>
        <v/>
      </c>
      <c r="AF214" t="str">
        <f t="shared" si="55"/>
        <v/>
      </c>
      <c r="AG214" t="b">
        <f t="shared" si="42"/>
        <v>0</v>
      </c>
      <c r="AH214" s="3">
        <v>1201</v>
      </c>
      <c r="AI214" s="2" t="s">
        <v>4349</v>
      </c>
      <c r="AJ214" s="1" t="s">
        <v>1552</v>
      </c>
      <c r="AK214" s="1" t="s">
        <v>1431</v>
      </c>
      <c r="AL214" s="1">
        <v>4</v>
      </c>
      <c r="AM214" s="1" t="s">
        <v>98</v>
      </c>
      <c r="AN214" s="1" t="s">
        <v>97</v>
      </c>
      <c r="AO214" s="1" t="s">
        <v>1453</v>
      </c>
      <c r="AP214" s="1"/>
      <c r="AQ214" s="1"/>
      <c r="AR214" s="1"/>
      <c r="AS214" s="1" t="s">
        <v>4541</v>
      </c>
    </row>
    <row r="215" spans="1:45" x14ac:dyDescent="0.15">
      <c r="A215" t="str">
        <f t="shared" si="45"/>
        <v>|AKH|緑|4||《[[造反者の解放]]》|</v>
      </c>
      <c r="B215" t="s">
        <v>3168</v>
      </c>
      <c r="C215" t="str">
        <f t="shared" si="46"/>
        <v>AKH</v>
      </c>
      <c r="D215">
        <f>IF(AI215="","",VLOOKUP(C215,tnpl!$Z$1:$AA$11,2,TRUE))</f>
        <v>10</v>
      </c>
      <c r="E215" t="s">
        <v>3168</v>
      </c>
      <c r="F215" t="str">
        <f t="shared" si="47"/>
        <v>緑</v>
      </c>
      <c r="G215">
        <f>IF(AJ215="","",VLOOKUP(F215,tnpl!$X$1:$Y$16,2,TRUE))</f>
        <v>5</v>
      </c>
      <c r="H215" t="s">
        <v>3168</v>
      </c>
      <c r="I215">
        <f t="shared" si="48"/>
        <v>4</v>
      </c>
      <c r="J215" t="s">
        <v>3168</v>
      </c>
      <c r="K215">
        <f t="shared" si="49"/>
        <v>0</v>
      </c>
      <c r="L215">
        <f t="shared" si="50"/>
        <v>0</v>
      </c>
      <c r="M215" t="str">
        <f t="shared" si="43"/>
        <v/>
      </c>
      <c r="R215" t="s">
        <v>3175</v>
      </c>
      <c r="S215" t="s">
        <v>4750</v>
      </c>
      <c r="T215" t="str">
        <f t="shared" si="51"/>
        <v>造反者の解放</v>
      </c>
      <c r="U215" t="str">
        <f t="shared" si="52"/>
        <v/>
      </c>
      <c r="V215" t="str">
        <f>IF(I215=0,VLOOKUP(T215,Sheet4!A:B,2,TRUE),"")</f>
        <v/>
      </c>
      <c r="W215" t="s">
        <v>4751</v>
      </c>
      <c r="X215" t="s">
        <v>3175</v>
      </c>
      <c r="Y215" s="9"/>
      <c r="Z215" s="10" t="s">
        <v>4545</v>
      </c>
      <c r="AA215" t="s">
        <v>4826</v>
      </c>
      <c r="AC215" t="str">
        <f t="shared" si="53"/>
        <v>破壊する</v>
      </c>
      <c r="AD215" t="str">
        <f t="shared" si="44"/>
        <v/>
      </c>
      <c r="AE215" t="str">
        <f t="shared" si="54"/>
        <v/>
      </c>
      <c r="AF215" t="str">
        <f t="shared" si="55"/>
        <v/>
      </c>
      <c r="AG215" t="b">
        <f t="shared" si="42"/>
        <v>0</v>
      </c>
      <c r="AH215" s="3">
        <v>1207</v>
      </c>
      <c r="AI215" s="2" t="s">
        <v>4349</v>
      </c>
      <c r="AJ215" s="1" t="s">
        <v>1518</v>
      </c>
      <c r="AK215" s="1" t="s">
        <v>1744</v>
      </c>
      <c r="AL215" s="1">
        <v>4</v>
      </c>
      <c r="AM215" s="1" t="s">
        <v>86</v>
      </c>
      <c r="AN215" s="1" t="s">
        <v>85</v>
      </c>
      <c r="AO215" s="1" t="s">
        <v>1453</v>
      </c>
      <c r="AP215" s="1"/>
      <c r="AQ215" s="1"/>
      <c r="AR215" s="1"/>
      <c r="AS215" s="1" t="s">
        <v>4545</v>
      </c>
    </row>
    <row r="216" spans="1:45" x14ac:dyDescent="0.15">
      <c r="A216" t="str">
        <f t="shared" si="45"/>
        <v>|AKH|無色|7||《[[呪われた者の揺り籠]]》|</v>
      </c>
      <c r="B216" t="s">
        <v>3168</v>
      </c>
      <c r="C216" t="str">
        <f t="shared" si="46"/>
        <v>AKH</v>
      </c>
      <c r="D216">
        <f>IF(AI216="","",VLOOKUP(C216,tnpl!$Z$1:$AA$11,2,TRUE))</f>
        <v>10</v>
      </c>
      <c r="E216" t="s">
        <v>3168</v>
      </c>
      <c r="F216" t="str">
        <f t="shared" si="47"/>
        <v>無色</v>
      </c>
      <c r="G216">
        <f>IF(AJ216="","",VLOOKUP(F216,tnpl!$X$1:$Y$16,2,TRUE))</f>
        <v>16</v>
      </c>
      <c r="H216" t="s">
        <v>3168</v>
      </c>
      <c r="I216">
        <f t="shared" si="48"/>
        <v>7</v>
      </c>
      <c r="J216" t="s">
        <v>3168</v>
      </c>
      <c r="K216">
        <f t="shared" si="49"/>
        <v>0</v>
      </c>
      <c r="L216">
        <f t="shared" si="50"/>
        <v>0</v>
      </c>
      <c r="M216" t="str">
        <f t="shared" si="43"/>
        <v/>
      </c>
      <c r="R216" t="s">
        <v>3175</v>
      </c>
      <c r="S216" t="s">
        <v>4750</v>
      </c>
      <c r="T216" t="str">
        <f t="shared" si="51"/>
        <v>呪われた者の揺り籠</v>
      </c>
      <c r="U216" t="str">
        <f t="shared" si="52"/>
        <v/>
      </c>
      <c r="V216" t="str">
        <f>IF(I216=0,VLOOKUP(T216,Sheet4!A:B,2,TRUE),"")</f>
        <v/>
      </c>
      <c r="W216" t="s">
        <v>4751</v>
      </c>
      <c r="X216" t="s">
        <v>3175</v>
      </c>
      <c r="Y216" s="9"/>
      <c r="Z216" s="10" t="s">
        <v>4605</v>
      </c>
      <c r="AA216" t="s">
        <v>4826</v>
      </c>
      <c r="AC216" t="str">
        <f t="shared" si="53"/>
        <v>破壊する</v>
      </c>
      <c r="AD216" t="str">
        <f t="shared" si="44"/>
        <v/>
      </c>
      <c r="AE216" t="str">
        <f t="shared" si="54"/>
        <v/>
      </c>
      <c r="AF216" t="str">
        <f t="shared" si="55"/>
        <v/>
      </c>
      <c r="AG216" t="b">
        <f t="shared" si="42"/>
        <v>0</v>
      </c>
      <c r="AH216" s="3">
        <v>1238</v>
      </c>
      <c r="AI216" s="2" t="s">
        <v>4349</v>
      </c>
      <c r="AJ216" s="1" t="s">
        <v>292</v>
      </c>
      <c r="AK216" s="1" t="s">
        <v>1744</v>
      </c>
      <c r="AL216" s="1">
        <v>7</v>
      </c>
      <c r="AM216" s="1" t="s">
        <v>29</v>
      </c>
      <c r="AN216" s="1" t="s">
        <v>28</v>
      </c>
      <c r="AO216" s="1" t="s">
        <v>288</v>
      </c>
      <c r="AP216" s="1">
        <v>3</v>
      </c>
      <c r="AQ216" s="1"/>
      <c r="AR216" s="1"/>
      <c r="AS216" s="1" t="s">
        <v>4605</v>
      </c>
    </row>
    <row r="217" spans="1:45" x14ac:dyDescent="0.15">
      <c r="A217" t="str">
        <f t="shared" si="45"/>
        <v>|AKHM|白|18|5/5|《[[忠臣]]》|</v>
      </c>
      <c r="B217" t="s">
        <v>3168</v>
      </c>
      <c r="C217" t="str">
        <f t="shared" si="46"/>
        <v>AKHM</v>
      </c>
      <c r="D217">
        <f>IF(AI217="","",VLOOKUP(C217,tnpl!$Z$1:$AA$11,2,TRUE))</f>
        <v>11</v>
      </c>
      <c r="E217" t="s">
        <v>3168</v>
      </c>
      <c r="F217" t="str">
        <f t="shared" si="47"/>
        <v>白</v>
      </c>
      <c r="G217">
        <f>IF(AJ217="","",VLOOKUP(F217,tnpl!$X$1:$Y$16,2,TRUE))</f>
        <v>1</v>
      </c>
      <c r="H217" t="s">
        <v>3168</v>
      </c>
      <c r="I217">
        <f t="shared" si="48"/>
        <v>18</v>
      </c>
      <c r="J217" t="s">
        <v>3168</v>
      </c>
      <c r="K217">
        <f t="shared" si="49"/>
        <v>5</v>
      </c>
      <c r="L217">
        <f t="shared" si="50"/>
        <v>5</v>
      </c>
      <c r="M217" t="str">
        <f t="shared" si="43"/>
        <v>5/5</v>
      </c>
      <c r="R217" t="s">
        <v>3175</v>
      </c>
      <c r="S217" t="s">
        <v>4750</v>
      </c>
      <c r="T217" t="str">
        <f t="shared" si="51"/>
        <v>忠臣</v>
      </c>
      <c r="U217" t="str">
        <f t="shared" si="52"/>
        <v/>
      </c>
      <c r="V217" t="str">
        <f>IF(I217=0,VLOOKUP(T217,Sheet4!A:B,2,TRUE),"")</f>
        <v/>
      </c>
      <c r="W217" t="s">
        <v>4751</v>
      </c>
      <c r="X217" t="s">
        <v>3175</v>
      </c>
      <c r="Y217" s="9"/>
      <c r="Z217" s="10" t="s">
        <v>4645</v>
      </c>
      <c r="AA217" t="s">
        <v>4827</v>
      </c>
      <c r="AB217" t="s">
        <v>4830</v>
      </c>
      <c r="AC217" t="str">
        <f t="shared" si="53"/>
        <v/>
      </c>
      <c r="AD217" t="str">
        <f t="shared" si="44"/>
        <v>破壊された</v>
      </c>
      <c r="AE217" t="str">
        <f t="shared" si="54"/>
        <v/>
      </c>
      <c r="AF217" t="str">
        <f t="shared" si="55"/>
        <v/>
      </c>
      <c r="AG217" t="b">
        <f t="shared" si="42"/>
        <v>0</v>
      </c>
      <c r="AH217" s="3">
        <v>1254</v>
      </c>
      <c r="AI217" s="2" t="s">
        <v>4643</v>
      </c>
      <c r="AJ217" s="1" t="s">
        <v>1627</v>
      </c>
      <c r="AK217" s="1" t="s">
        <v>3161</v>
      </c>
      <c r="AL217" s="1">
        <v>18</v>
      </c>
      <c r="AM217" s="1" t="s">
        <v>3143</v>
      </c>
      <c r="AN217" s="1" t="s">
        <v>3144</v>
      </c>
      <c r="AO217" s="1" t="s">
        <v>339</v>
      </c>
      <c r="AP217" s="1"/>
      <c r="AQ217" s="1">
        <v>5</v>
      </c>
      <c r="AR217" s="1">
        <v>5</v>
      </c>
      <c r="AS217" s="1" t="s">
        <v>4645</v>
      </c>
    </row>
    <row r="218" spans="1:45" x14ac:dyDescent="0.15">
      <c r="A218" t="str">
        <f t="shared" si="45"/>
        <v>|AKHM|黒緑|6||《[[大渦の脈動]]》|</v>
      </c>
      <c r="B218" t="s">
        <v>3168</v>
      </c>
      <c r="C218" t="str">
        <f t="shared" si="46"/>
        <v>AKHM</v>
      </c>
      <c r="D218">
        <f>IF(AI218="","",VLOOKUP(C218,tnpl!$Z$1:$AA$11,2,TRUE))</f>
        <v>11</v>
      </c>
      <c r="E218" t="s">
        <v>3168</v>
      </c>
      <c r="F218" t="str">
        <f t="shared" si="47"/>
        <v>黒緑</v>
      </c>
      <c r="G218">
        <f>IF(AJ218="","",VLOOKUP(F218,tnpl!$X$1:$Y$16,2,TRUE))</f>
        <v>13</v>
      </c>
      <c r="H218" t="s">
        <v>3168</v>
      </c>
      <c r="I218">
        <f t="shared" si="48"/>
        <v>6</v>
      </c>
      <c r="J218" t="s">
        <v>3168</v>
      </c>
      <c r="K218">
        <f t="shared" si="49"/>
        <v>0</v>
      </c>
      <c r="L218">
        <f t="shared" si="50"/>
        <v>0</v>
      </c>
      <c r="M218" t="str">
        <f t="shared" si="43"/>
        <v/>
      </c>
      <c r="R218" t="s">
        <v>3175</v>
      </c>
      <c r="S218" t="s">
        <v>4750</v>
      </c>
      <c r="T218" t="str">
        <f t="shared" si="51"/>
        <v>大渦の脈動</v>
      </c>
      <c r="U218" t="str">
        <f t="shared" si="52"/>
        <v/>
      </c>
      <c r="V218" t="str">
        <f>IF(I218=0,VLOOKUP(T218,Sheet4!A:B,2,TRUE),"")</f>
        <v/>
      </c>
      <c r="W218" t="s">
        <v>4751</v>
      </c>
      <c r="X218" t="s">
        <v>3175</v>
      </c>
      <c r="Y218" s="9"/>
      <c r="Z218" s="10" t="s">
        <v>4654</v>
      </c>
      <c r="AA218" t="s">
        <v>4825</v>
      </c>
      <c r="AB218" t="s">
        <v>4826</v>
      </c>
      <c r="AC218" t="str">
        <f t="shared" si="53"/>
        <v>破壊する</v>
      </c>
      <c r="AD218" t="str">
        <f t="shared" si="44"/>
        <v/>
      </c>
      <c r="AE218" t="str">
        <f t="shared" si="54"/>
        <v/>
      </c>
      <c r="AF218" t="str">
        <f t="shared" si="55"/>
        <v/>
      </c>
      <c r="AG218" t="b">
        <f t="shared" si="42"/>
        <v>0</v>
      </c>
      <c r="AH218" s="3">
        <v>1262</v>
      </c>
      <c r="AI218" s="2" t="s">
        <v>4643</v>
      </c>
      <c r="AJ218" s="1" t="s">
        <v>1487</v>
      </c>
      <c r="AK218" s="1" t="s">
        <v>3161</v>
      </c>
      <c r="AL218" s="1">
        <v>6</v>
      </c>
      <c r="AM218" s="1" t="s">
        <v>3151</v>
      </c>
      <c r="AN218" s="1" t="s">
        <v>3152</v>
      </c>
      <c r="AO218" s="1" t="s">
        <v>1453</v>
      </c>
      <c r="AP218" s="1"/>
      <c r="AQ218" s="1"/>
      <c r="AR218" s="1"/>
      <c r="AS218" s="1" t="s">
        <v>4654</v>
      </c>
    </row>
    <row r="219" spans="1:45" x14ac:dyDescent="0.15">
      <c r="A219" t="str">
        <f t="shared" si="45"/>
        <v>|AKH|無色|2||《[[否定の契約]]》|</v>
      </c>
      <c r="B219" t="s">
        <v>3168</v>
      </c>
      <c r="C219" t="str">
        <f t="shared" si="46"/>
        <v>AKH</v>
      </c>
      <c r="D219">
        <f>IF(AI219="","",VLOOKUP(C219,tnpl!$Z$1:$AA$11,2,TRUE))</f>
        <v>10</v>
      </c>
      <c r="E219" t="s">
        <v>3168</v>
      </c>
      <c r="F219" t="str">
        <f t="shared" si="47"/>
        <v>無色</v>
      </c>
      <c r="G219">
        <f>IF(AJ219="","",VLOOKUP(F219,tnpl!$X$1:$Y$16,2,TRUE))</f>
        <v>16</v>
      </c>
      <c r="H219" t="s">
        <v>3168</v>
      </c>
      <c r="I219">
        <f t="shared" si="48"/>
        <v>2</v>
      </c>
      <c r="J219" t="s">
        <v>3168</v>
      </c>
      <c r="K219">
        <f t="shared" si="49"/>
        <v>0</v>
      </c>
      <c r="L219">
        <f t="shared" si="50"/>
        <v>0</v>
      </c>
      <c r="M219" t="str">
        <f t="shared" si="43"/>
        <v/>
      </c>
      <c r="R219" t="s">
        <v>3175</v>
      </c>
      <c r="S219" t="s">
        <v>4750</v>
      </c>
      <c r="T219" t="str">
        <f t="shared" si="51"/>
        <v>否定の契約</v>
      </c>
      <c r="U219" t="str">
        <f t="shared" si="52"/>
        <v/>
      </c>
      <c r="V219" t="str">
        <f>IF(I219=0,VLOOKUP(T219,Sheet4!A:B,2,TRUE),"")</f>
        <v/>
      </c>
      <c r="W219" t="s">
        <v>4751</v>
      </c>
      <c r="X219" t="s">
        <v>3175</v>
      </c>
      <c r="Y219" s="9"/>
      <c r="Z219" s="10" t="s">
        <v>4655</v>
      </c>
      <c r="AA219" t="s">
        <v>4829</v>
      </c>
      <c r="AB219" t="s">
        <v>4826</v>
      </c>
      <c r="AC219" t="str">
        <f t="shared" si="53"/>
        <v>破壊する</v>
      </c>
      <c r="AD219" t="str">
        <f t="shared" si="44"/>
        <v/>
      </c>
      <c r="AE219" t="str">
        <f t="shared" si="54"/>
        <v/>
      </c>
      <c r="AF219" t="str">
        <f t="shared" si="55"/>
        <v>破壊し</v>
      </c>
      <c r="AG219" t="b">
        <f t="shared" si="42"/>
        <v>0</v>
      </c>
      <c r="AH219" s="3">
        <v>1263</v>
      </c>
      <c r="AI219" s="2" t="s">
        <v>4349</v>
      </c>
      <c r="AJ219" s="1" t="s">
        <v>292</v>
      </c>
      <c r="AK219" s="1" t="s">
        <v>3161</v>
      </c>
      <c r="AL219" s="1">
        <v>2</v>
      </c>
      <c r="AM219" s="1" t="s">
        <v>3159</v>
      </c>
      <c r="AN219" s="1" t="s">
        <v>3160</v>
      </c>
      <c r="AO219" s="1" t="s">
        <v>288</v>
      </c>
      <c r="AP219" s="1">
        <v>10</v>
      </c>
      <c r="AQ219" s="1"/>
      <c r="AR219" s="1"/>
      <c r="AS219" s="1" t="s">
        <v>4655</v>
      </c>
    </row>
    <row r="220" spans="1:45" x14ac:dyDescent="0.15">
      <c r="A220" t="str">
        <f t="shared" si="45"/>
        <v>|AKH|赤|16||《[[力ずく]]》|</v>
      </c>
      <c r="B220" t="s">
        <v>3168</v>
      </c>
      <c r="C220" t="str">
        <f t="shared" si="46"/>
        <v>AKH</v>
      </c>
      <c r="D220">
        <f>IF(AI220="","",VLOOKUP(C220,tnpl!$Z$1:$AA$11,2,TRUE))</f>
        <v>10</v>
      </c>
      <c r="E220" t="s">
        <v>3168</v>
      </c>
      <c r="F220" t="str">
        <f t="shared" si="47"/>
        <v>赤</v>
      </c>
      <c r="G220">
        <f>IF(AJ220="","",VLOOKUP(F220,tnpl!$X$1:$Y$16,2,TRUE))</f>
        <v>4</v>
      </c>
      <c r="H220" t="s">
        <v>3168</v>
      </c>
      <c r="I220">
        <f t="shared" si="48"/>
        <v>16</v>
      </c>
      <c r="J220" t="s">
        <v>3168</v>
      </c>
      <c r="K220">
        <f t="shared" si="49"/>
        <v>0</v>
      </c>
      <c r="L220">
        <f t="shared" si="50"/>
        <v>0</v>
      </c>
      <c r="M220" t="str">
        <f t="shared" si="43"/>
        <v/>
      </c>
      <c r="R220" t="s">
        <v>3175</v>
      </c>
      <c r="S220" t="s">
        <v>4750</v>
      </c>
      <c r="T220" t="str">
        <f t="shared" si="51"/>
        <v>力ずく</v>
      </c>
      <c r="U220" t="str">
        <f t="shared" si="52"/>
        <v/>
      </c>
      <c r="V220" t="str">
        <f>IF(I220=0,VLOOKUP(T220,Sheet4!A:B,2,TRUE),"")</f>
        <v/>
      </c>
      <c r="W220" t="s">
        <v>4751</v>
      </c>
      <c r="X220" t="s">
        <v>3175</v>
      </c>
      <c r="Y220" s="9"/>
      <c r="Z220" s="10" t="s">
        <v>4712</v>
      </c>
      <c r="AC220" t="str">
        <f t="shared" si="53"/>
        <v>破壊する</v>
      </c>
      <c r="AD220" t="str">
        <f t="shared" si="44"/>
        <v/>
      </c>
      <c r="AE220" t="str">
        <f t="shared" si="54"/>
        <v/>
      </c>
      <c r="AF220" t="str">
        <f t="shared" si="55"/>
        <v/>
      </c>
      <c r="AG220" t="b">
        <f t="shared" si="42"/>
        <v>0</v>
      </c>
      <c r="AH220" s="3">
        <v>1280</v>
      </c>
      <c r="AI220" s="2" t="s">
        <v>4349</v>
      </c>
      <c r="AJ220" s="1" t="s">
        <v>1552</v>
      </c>
      <c r="AK220" s="1" t="s">
        <v>1451</v>
      </c>
      <c r="AL220" s="1">
        <v>16</v>
      </c>
      <c r="AM220" s="1" t="s">
        <v>4710</v>
      </c>
      <c r="AN220" s="1" t="s">
        <v>4711</v>
      </c>
      <c r="AO220" s="1" t="s">
        <v>1453</v>
      </c>
      <c r="AP220" s="1"/>
      <c r="AQ220" s="1"/>
      <c r="AR220" s="1"/>
      <c r="AS220" s="1" t="s">
        <v>4712</v>
      </c>
    </row>
    <row r="221" spans="1:45" x14ac:dyDescent="0.15">
      <c r="A221" t="str">
        <f t="shared" si="45"/>
        <v>|AKH|緑|14|6/6|《[[刻み角]]》|</v>
      </c>
      <c r="B221" t="s">
        <v>3168</v>
      </c>
      <c r="C221" t="str">
        <f t="shared" si="46"/>
        <v>AKH</v>
      </c>
      <c r="D221">
        <f>IF(AI221="","",VLOOKUP(C221,tnpl!$Z$1:$AA$11,2,TRUE))</f>
        <v>10</v>
      </c>
      <c r="E221" t="s">
        <v>3168</v>
      </c>
      <c r="F221" t="str">
        <f t="shared" si="47"/>
        <v>緑</v>
      </c>
      <c r="G221">
        <f>IF(AJ221="","",VLOOKUP(F221,tnpl!$X$1:$Y$16,2,TRUE))</f>
        <v>5</v>
      </c>
      <c r="H221" t="s">
        <v>3168</v>
      </c>
      <c r="I221">
        <f t="shared" si="48"/>
        <v>14</v>
      </c>
      <c r="J221" t="s">
        <v>3168</v>
      </c>
      <c r="K221">
        <f t="shared" si="49"/>
        <v>6</v>
      </c>
      <c r="L221">
        <f t="shared" si="50"/>
        <v>6</v>
      </c>
      <c r="M221" t="str">
        <f t="shared" si="43"/>
        <v>6/6</v>
      </c>
      <c r="R221" t="s">
        <v>3175</v>
      </c>
      <c r="S221" t="s">
        <v>4750</v>
      </c>
      <c r="T221" t="str">
        <f t="shared" si="51"/>
        <v>刻み角</v>
      </c>
      <c r="U221" t="str">
        <f t="shared" si="52"/>
        <v/>
      </c>
      <c r="V221" t="str">
        <f>IF(I221=0,VLOOKUP(T221,Sheet4!A:B,2,TRUE),"")</f>
        <v/>
      </c>
      <c r="W221" t="s">
        <v>4751</v>
      </c>
      <c r="X221" t="s">
        <v>3175</v>
      </c>
      <c r="Y221" s="9"/>
      <c r="Z221" s="10" t="s">
        <v>4731</v>
      </c>
      <c r="AC221" t="str">
        <f t="shared" si="53"/>
        <v>破壊する</v>
      </c>
      <c r="AD221" t="str">
        <f t="shared" si="44"/>
        <v/>
      </c>
      <c r="AE221" t="str">
        <f t="shared" si="54"/>
        <v/>
      </c>
      <c r="AF221" t="str">
        <f t="shared" si="55"/>
        <v/>
      </c>
      <c r="AG221" t="b">
        <f t="shared" si="42"/>
        <v>0</v>
      </c>
      <c r="AH221" s="3">
        <v>1286</v>
      </c>
      <c r="AI221" s="2" t="s">
        <v>4349</v>
      </c>
      <c r="AJ221" s="1" t="s">
        <v>1518</v>
      </c>
      <c r="AK221" s="1" t="s">
        <v>1441</v>
      </c>
      <c r="AL221" s="1">
        <v>14</v>
      </c>
      <c r="AM221" s="1" t="s">
        <v>4728</v>
      </c>
      <c r="AN221" s="1" t="s">
        <v>4729</v>
      </c>
      <c r="AO221" s="1" t="s">
        <v>339</v>
      </c>
      <c r="AP221" s="1"/>
      <c r="AQ221" s="1">
        <v>6</v>
      </c>
      <c r="AR221" s="1">
        <v>6</v>
      </c>
      <c r="AS221" s="1" t="s">
        <v>4731</v>
      </c>
    </row>
    <row r="222" spans="1:45" x14ac:dyDescent="0.15">
      <c r="A222" t="str">
        <f t="shared" ref="A222:A245" si="56">B222&amp;C222&amp;E222&amp;F222&amp;H222&amp;I222&amp;J222&amp;M222&amp;N222&amp;O222&amp;P222&amp;Q222&amp;R222&amp;S222&amp;T222&amp;U222&amp;V222&amp;W222&amp;X222&amp;Y222</f>
        <v>|HOU|白|6||《[[砂爆破]]》|</v>
      </c>
      <c r="B222" t="s">
        <v>3168</v>
      </c>
      <c r="C222" t="str">
        <f t="shared" ref="C222:C245" si="57">AI222</f>
        <v>HOU</v>
      </c>
      <c r="D222">
        <f>IF(AI222="","",VLOOKUP(C222,tnpl!$Z$1:$AA$11,2,TRUE))</f>
        <v>5</v>
      </c>
      <c r="E222" t="s">
        <v>3168</v>
      </c>
      <c r="F222" t="str">
        <f t="shared" ref="F222:F245" si="58">AJ222</f>
        <v>白</v>
      </c>
      <c r="G222">
        <f>IF(AJ222="","",VLOOKUP(F222,tnpl!$X$1:$Y$16,2,TRUE))</f>
        <v>1</v>
      </c>
      <c r="H222" t="s">
        <v>3168</v>
      </c>
      <c r="I222">
        <f t="shared" ref="I222:I245" si="59">AL222</f>
        <v>6</v>
      </c>
      <c r="J222" t="s">
        <v>3168</v>
      </c>
      <c r="K222" t="str">
        <f t="shared" ref="K222:K245" si="60">AQ222</f>
        <v/>
      </c>
      <c r="L222" t="str">
        <f t="shared" ref="L222:L245" si="61">AR222</f>
        <v/>
      </c>
      <c r="M222" t="str">
        <f t="shared" ref="M222:M245" si="62">IF(AO222="クリーチャー",K222&amp;"/"&amp;L222,"")</f>
        <v/>
      </c>
      <c r="R222" t="s">
        <v>3175</v>
      </c>
      <c r="S222" t="s">
        <v>4750</v>
      </c>
      <c r="T222" t="str">
        <f t="shared" ref="T222:T245" si="63">AM222</f>
        <v>砂爆破</v>
      </c>
      <c r="U222" t="str">
        <f t="shared" ref="U222:U245" si="64">IF(I222=0,"&gt;","")</f>
        <v/>
      </c>
      <c r="V222" t="str">
        <f>IF(I222=0,VLOOKUP(T222,Sheet4!A:B,2,TRUE),"")</f>
        <v/>
      </c>
      <c r="W222" t="s">
        <v>4751</v>
      </c>
      <c r="X222" t="s">
        <v>3175</v>
      </c>
      <c r="Y222" s="9"/>
      <c r="Z222" s="10" t="s">
        <v>5511</v>
      </c>
      <c r="AA222" t="s">
        <v>4829</v>
      </c>
      <c r="AC222" t="str">
        <f t="shared" ref="AC222:AC245" si="65">IF(ISERR(SEARCH("破壊する",Z222,1)),"","破壊する")</f>
        <v>破壊する</v>
      </c>
      <c r="AD222" t="str">
        <f t="shared" ref="AD222:AD245" si="66">IF(ISERR(SEARCH("破壊された",Z222,1)),"","破壊された")</f>
        <v/>
      </c>
      <c r="AE222" t="str">
        <f t="shared" ref="AE222:AE245" si="67">IF(ISERR(SEARCH("破壊される",Z222,1)),"","破壊される")</f>
        <v/>
      </c>
      <c r="AF222" t="str">
        <f t="shared" ref="AF222:AF245" si="68">IF(ISERR(SEARCH("破壊し",Z222,1)),"","破壊し")</f>
        <v/>
      </c>
      <c r="AG222" t="b">
        <f t="shared" ref="AG222:AG245" si="69">OR(AD222="与える",AF222="得る")</f>
        <v>0</v>
      </c>
      <c r="AH222" s="9"/>
      <c r="AI222" t="s">
        <v>4926</v>
      </c>
      <c r="AJ222" t="s">
        <v>1627</v>
      </c>
      <c r="AK222" t="s">
        <v>1744</v>
      </c>
      <c r="AL222">
        <v>6</v>
      </c>
      <c r="AM222" t="s">
        <v>4957</v>
      </c>
      <c r="AN222" t="s">
        <v>4958</v>
      </c>
      <c r="AO222" t="s">
        <v>288</v>
      </c>
      <c r="AP222">
        <v>10</v>
      </c>
      <c r="AQ222" t="s">
        <v>4756</v>
      </c>
      <c r="AR222" t="s">
        <v>4756</v>
      </c>
      <c r="AS222" t="s">
        <v>5511</v>
      </c>
    </row>
    <row r="223" spans="1:45" x14ac:dyDescent="0.15">
      <c r="A223" t="str">
        <f t="shared" si="56"/>
        <v>|HOU|白|9||《[[ギデオンの敗北]]》|</v>
      </c>
      <c r="B223" t="s">
        <v>3168</v>
      </c>
      <c r="C223" t="str">
        <f t="shared" si="57"/>
        <v>HOU</v>
      </c>
      <c r="D223">
        <f>IF(AI223="","",VLOOKUP(C223,tnpl!$Z$1:$AA$11,2,TRUE))</f>
        <v>5</v>
      </c>
      <c r="E223" t="s">
        <v>3168</v>
      </c>
      <c r="F223" t="str">
        <f t="shared" si="58"/>
        <v>白</v>
      </c>
      <c r="G223">
        <f>IF(AJ223="","",VLOOKUP(F223,tnpl!$X$1:$Y$16,2,TRUE))</f>
        <v>1</v>
      </c>
      <c r="H223" t="s">
        <v>3168</v>
      </c>
      <c r="I223">
        <f t="shared" si="59"/>
        <v>9</v>
      </c>
      <c r="J223" t="s">
        <v>3168</v>
      </c>
      <c r="K223" t="str">
        <f t="shared" si="60"/>
        <v/>
      </c>
      <c r="L223" t="str">
        <f t="shared" si="61"/>
        <v/>
      </c>
      <c r="M223" t="str">
        <f t="shared" si="62"/>
        <v/>
      </c>
      <c r="R223" t="s">
        <v>3175</v>
      </c>
      <c r="S223" t="s">
        <v>4750</v>
      </c>
      <c r="T223" t="str">
        <f t="shared" si="63"/>
        <v>ギデオンの敗北</v>
      </c>
      <c r="U223" t="str">
        <f t="shared" si="64"/>
        <v/>
      </c>
      <c r="V223" t="str">
        <f>IF(I223=0,VLOOKUP(T223,Sheet4!A:B,2,TRUE),"")</f>
        <v/>
      </c>
      <c r="W223" t="s">
        <v>4751</v>
      </c>
      <c r="X223" t="s">
        <v>3175</v>
      </c>
      <c r="Y223" s="9"/>
      <c r="Z223" s="10" t="s">
        <v>4981</v>
      </c>
      <c r="AA223" t="s">
        <v>4829</v>
      </c>
      <c r="AC223" t="str">
        <f t="shared" si="65"/>
        <v>破壊する</v>
      </c>
      <c r="AD223" t="str">
        <f t="shared" si="66"/>
        <v/>
      </c>
      <c r="AE223" t="str">
        <f t="shared" si="67"/>
        <v/>
      </c>
      <c r="AF223" t="str">
        <f t="shared" si="68"/>
        <v/>
      </c>
      <c r="AG223" t="b">
        <f t="shared" si="69"/>
        <v>0</v>
      </c>
      <c r="AH223" s="9"/>
      <c r="AI223" t="s">
        <v>4926</v>
      </c>
      <c r="AJ223" t="s">
        <v>1627</v>
      </c>
      <c r="AK223" t="s">
        <v>1441</v>
      </c>
      <c r="AL223">
        <v>9</v>
      </c>
      <c r="AM223" t="s">
        <v>4979</v>
      </c>
      <c r="AN223" t="s">
        <v>4980</v>
      </c>
      <c r="AO223" t="s">
        <v>288</v>
      </c>
      <c r="AP223">
        <v>2</v>
      </c>
      <c r="AQ223" t="s">
        <v>4756</v>
      </c>
      <c r="AR223" t="s">
        <v>4756</v>
      </c>
      <c r="AS223" t="s">
        <v>4981</v>
      </c>
    </row>
    <row r="224" spans="1:45" x14ac:dyDescent="0.15">
      <c r="A224" t="str">
        <f t="shared" si="56"/>
        <v>|HOU|白|9||《[[厳粛]]》|</v>
      </c>
      <c r="B224" t="s">
        <v>3168</v>
      </c>
      <c r="C224" t="str">
        <f t="shared" si="57"/>
        <v>HOU</v>
      </c>
      <c r="D224">
        <f>IF(AI224="","",VLOOKUP(C224,tnpl!$Z$1:$AA$11,2,TRUE))</f>
        <v>5</v>
      </c>
      <c r="E224" t="s">
        <v>3168</v>
      </c>
      <c r="F224" t="str">
        <f t="shared" si="58"/>
        <v>白</v>
      </c>
      <c r="G224">
        <f>IF(AJ224="","",VLOOKUP(F224,tnpl!$X$1:$Y$16,2,TRUE))</f>
        <v>1</v>
      </c>
      <c r="H224" t="s">
        <v>3168</v>
      </c>
      <c r="I224">
        <f t="shared" si="59"/>
        <v>9</v>
      </c>
      <c r="J224" t="s">
        <v>3168</v>
      </c>
      <c r="K224" t="str">
        <f t="shared" si="60"/>
        <v/>
      </c>
      <c r="L224" t="str">
        <f t="shared" si="61"/>
        <v/>
      </c>
      <c r="M224" t="str">
        <f t="shared" si="62"/>
        <v/>
      </c>
      <c r="R224" t="s">
        <v>3175</v>
      </c>
      <c r="S224" t="s">
        <v>4750</v>
      </c>
      <c r="T224" t="str">
        <f t="shared" si="63"/>
        <v>厳粛</v>
      </c>
      <c r="U224" t="str">
        <f t="shared" si="64"/>
        <v/>
      </c>
      <c r="V224" t="str">
        <f>IF(I224=0,VLOOKUP(T224,Sheet4!A:B,2,TRUE),"")</f>
        <v/>
      </c>
      <c r="W224" t="s">
        <v>4751</v>
      </c>
      <c r="X224" t="s">
        <v>3175</v>
      </c>
      <c r="Y224" s="9"/>
      <c r="Z224" s="10" t="s">
        <v>4984</v>
      </c>
      <c r="AA224" t="s">
        <v>4827</v>
      </c>
      <c r="AC224" t="str">
        <f t="shared" si="65"/>
        <v>破壊する</v>
      </c>
      <c r="AD224" t="str">
        <f t="shared" si="66"/>
        <v/>
      </c>
      <c r="AE224" t="str">
        <f t="shared" si="67"/>
        <v/>
      </c>
      <c r="AF224" t="str">
        <f t="shared" si="68"/>
        <v/>
      </c>
      <c r="AG224" t="b">
        <f t="shared" si="69"/>
        <v>0</v>
      </c>
      <c r="AH224" s="9"/>
      <c r="AI224" t="s">
        <v>4926</v>
      </c>
      <c r="AJ224" t="s">
        <v>1627</v>
      </c>
      <c r="AK224" t="s">
        <v>1441</v>
      </c>
      <c r="AL224">
        <v>9</v>
      </c>
      <c r="AM224" t="s">
        <v>4982</v>
      </c>
      <c r="AN224" t="s">
        <v>4983</v>
      </c>
      <c r="AO224" t="s">
        <v>288</v>
      </c>
      <c r="AP224">
        <v>3</v>
      </c>
      <c r="AQ224" t="s">
        <v>4756</v>
      </c>
      <c r="AR224" t="s">
        <v>4756</v>
      </c>
      <c r="AS224" t="s">
        <v>4984</v>
      </c>
    </row>
    <row r="225" spans="1:45" x14ac:dyDescent="0.15">
      <c r="A225" t="str">
        <f t="shared" si="56"/>
        <v>|HOU|青|2||《[[巧みな軍略]]》|</v>
      </c>
      <c r="B225" t="s">
        <v>3168</v>
      </c>
      <c r="C225" t="str">
        <f t="shared" si="57"/>
        <v>HOU</v>
      </c>
      <c r="D225">
        <f>IF(AI225="","",VLOOKUP(C225,tnpl!$Z$1:$AA$11,2,TRUE))</f>
        <v>5</v>
      </c>
      <c r="E225" t="s">
        <v>3168</v>
      </c>
      <c r="F225" t="str">
        <f t="shared" si="58"/>
        <v>青</v>
      </c>
      <c r="G225">
        <f>IF(AJ225="","",VLOOKUP(F225,tnpl!$X$1:$Y$16,2,TRUE))</f>
        <v>2</v>
      </c>
      <c r="H225" t="s">
        <v>3168</v>
      </c>
      <c r="I225">
        <f t="shared" si="59"/>
        <v>2</v>
      </c>
      <c r="J225" t="s">
        <v>3168</v>
      </c>
      <c r="K225" t="str">
        <f t="shared" si="60"/>
        <v/>
      </c>
      <c r="L225" t="str">
        <f t="shared" si="61"/>
        <v/>
      </c>
      <c r="M225" t="str">
        <f t="shared" si="62"/>
        <v/>
      </c>
      <c r="R225" t="s">
        <v>3175</v>
      </c>
      <c r="S225" t="s">
        <v>4750</v>
      </c>
      <c r="T225" t="str">
        <f t="shared" si="63"/>
        <v>巧みな軍略</v>
      </c>
      <c r="U225" t="str">
        <f t="shared" si="64"/>
        <v/>
      </c>
      <c r="V225" t="str">
        <f>IF(I225=0,VLOOKUP(T225,Sheet4!A:B,2,TRUE),"")</f>
        <v/>
      </c>
      <c r="W225" t="s">
        <v>4751</v>
      </c>
      <c r="X225" t="s">
        <v>3175</v>
      </c>
      <c r="Y225" s="9"/>
      <c r="Z225" s="10" t="s">
        <v>5018</v>
      </c>
      <c r="AA225" t="s">
        <v>4829</v>
      </c>
      <c r="AC225" t="str">
        <f t="shared" si="65"/>
        <v>破壊する</v>
      </c>
      <c r="AD225" t="str">
        <f t="shared" si="66"/>
        <v/>
      </c>
      <c r="AE225" t="str">
        <f t="shared" si="67"/>
        <v/>
      </c>
      <c r="AF225" t="str">
        <f t="shared" si="68"/>
        <v/>
      </c>
      <c r="AG225" t="b">
        <f t="shared" si="69"/>
        <v>0</v>
      </c>
      <c r="AH225" s="9"/>
      <c r="AI225" t="s">
        <v>4926</v>
      </c>
      <c r="AJ225" t="s">
        <v>1606</v>
      </c>
      <c r="AK225" t="s">
        <v>1744</v>
      </c>
      <c r="AL225">
        <v>2</v>
      </c>
      <c r="AM225" t="s">
        <v>5016</v>
      </c>
      <c r="AN225" t="s">
        <v>5017</v>
      </c>
      <c r="AO225" t="s">
        <v>1453</v>
      </c>
      <c r="AQ225" t="s">
        <v>4756</v>
      </c>
      <c r="AR225" t="s">
        <v>4756</v>
      </c>
      <c r="AS225" t="s">
        <v>5018</v>
      </c>
    </row>
    <row r="226" spans="1:45" x14ac:dyDescent="0.15">
      <c r="A226" t="str">
        <f t="shared" si="56"/>
        <v>|HOU|青|18|6/5|《[[敏捷な妨害術師]]》|</v>
      </c>
      <c r="B226" t="s">
        <v>3168</v>
      </c>
      <c r="C226" t="str">
        <f t="shared" si="57"/>
        <v>HOU</v>
      </c>
      <c r="D226">
        <f>IF(AI226="","",VLOOKUP(C226,tnpl!$Z$1:$AA$11,2,TRUE))</f>
        <v>5</v>
      </c>
      <c r="E226" t="s">
        <v>3168</v>
      </c>
      <c r="F226" t="str">
        <f t="shared" si="58"/>
        <v>青</v>
      </c>
      <c r="G226">
        <f>IF(AJ226="","",VLOOKUP(F226,tnpl!$X$1:$Y$16,2,TRUE))</f>
        <v>2</v>
      </c>
      <c r="H226" t="s">
        <v>3168</v>
      </c>
      <c r="I226">
        <f t="shared" si="59"/>
        <v>18</v>
      </c>
      <c r="J226" t="s">
        <v>3168</v>
      </c>
      <c r="K226">
        <f t="shared" si="60"/>
        <v>6</v>
      </c>
      <c r="L226">
        <f t="shared" si="61"/>
        <v>5</v>
      </c>
      <c r="M226" t="str">
        <f t="shared" si="62"/>
        <v>6/5</v>
      </c>
      <c r="R226" t="s">
        <v>3175</v>
      </c>
      <c r="S226" t="s">
        <v>4750</v>
      </c>
      <c r="T226" t="str">
        <f t="shared" si="63"/>
        <v>敏捷な妨害術師</v>
      </c>
      <c r="U226" t="str">
        <f t="shared" si="64"/>
        <v/>
      </c>
      <c r="V226" t="str">
        <f>IF(I226=0,VLOOKUP(T226,Sheet4!A:B,2,TRUE),"")</f>
        <v/>
      </c>
      <c r="W226" t="s">
        <v>4751</v>
      </c>
      <c r="X226" t="s">
        <v>3175</v>
      </c>
      <c r="Y226" s="9"/>
      <c r="Z226" s="10" t="s">
        <v>5523</v>
      </c>
      <c r="AA226" t="s">
        <v>4828</v>
      </c>
      <c r="AC226" t="str">
        <f t="shared" si="65"/>
        <v>破壊する</v>
      </c>
      <c r="AD226" t="str">
        <f t="shared" si="66"/>
        <v/>
      </c>
      <c r="AE226" t="str">
        <f t="shared" si="67"/>
        <v/>
      </c>
      <c r="AF226" t="str">
        <f t="shared" si="68"/>
        <v/>
      </c>
      <c r="AG226" t="b">
        <f t="shared" si="69"/>
        <v>0</v>
      </c>
      <c r="AH226" s="9"/>
      <c r="AI226" t="s">
        <v>4926</v>
      </c>
      <c r="AJ226" t="s">
        <v>1606</v>
      </c>
      <c r="AK226" t="s">
        <v>1441</v>
      </c>
      <c r="AL226">
        <v>18</v>
      </c>
      <c r="AM226" t="s">
        <v>5041</v>
      </c>
      <c r="AN226" t="s">
        <v>5042</v>
      </c>
      <c r="AO226" t="s">
        <v>339</v>
      </c>
      <c r="AQ226">
        <v>6</v>
      </c>
      <c r="AR226">
        <v>5</v>
      </c>
      <c r="AS226" t="s">
        <v>5523</v>
      </c>
    </row>
    <row r="227" spans="1:45" x14ac:dyDescent="0.15">
      <c r="A227" t="str">
        <f t="shared" si="56"/>
        <v>|HOU|青|10|4/6|《[[選定の侍臣]]》|</v>
      </c>
      <c r="B227" t="s">
        <v>3168</v>
      </c>
      <c r="C227" t="str">
        <f t="shared" si="57"/>
        <v>HOU</v>
      </c>
      <c r="D227">
        <f>IF(AI227="","",VLOOKUP(C227,tnpl!$Z$1:$AA$11,2,TRUE))</f>
        <v>5</v>
      </c>
      <c r="E227" t="s">
        <v>3168</v>
      </c>
      <c r="F227" t="str">
        <f t="shared" si="58"/>
        <v>青</v>
      </c>
      <c r="G227">
        <f>IF(AJ227="","",VLOOKUP(F227,tnpl!$X$1:$Y$16,2,TRUE))</f>
        <v>2</v>
      </c>
      <c r="H227" t="s">
        <v>3168</v>
      </c>
      <c r="I227">
        <f t="shared" si="59"/>
        <v>10</v>
      </c>
      <c r="J227" t="s">
        <v>3168</v>
      </c>
      <c r="K227">
        <f t="shared" si="60"/>
        <v>4</v>
      </c>
      <c r="L227">
        <f t="shared" si="61"/>
        <v>6</v>
      </c>
      <c r="M227" t="str">
        <f t="shared" si="62"/>
        <v>4/6</v>
      </c>
      <c r="R227" t="s">
        <v>3175</v>
      </c>
      <c r="S227" t="s">
        <v>4750</v>
      </c>
      <c r="T227" t="str">
        <f t="shared" si="63"/>
        <v>選定の侍臣</v>
      </c>
      <c r="U227" t="str">
        <f t="shared" si="64"/>
        <v/>
      </c>
      <c r="V227" t="str">
        <f>IF(I227=0,VLOOKUP(T227,Sheet4!A:B,2,TRUE),"")</f>
        <v/>
      </c>
      <c r="W227" t="s">
        <v>4751</v>
      </c>
      <c r="X227" t="s">
        <v>3175</v>
      </c>
      <c r="Y227" s="9"/>
      <c r="Z227" s="10" t="s">
        <v>5525</v>
      </c>
      <c r="AA227" t="s">
        <v>4847</v>
      </c>
      <c r="AC227" t="str">
        <f t="shared" si="65"/>
        <v>破壊する</v>
      </c>
      <c r="AD227" t="str">
        <f t="shared" si="66"/>
        <v/>
      </c>
      <c r="AE227" t="str">
        <f t="shared" si="67"/>
        <v/>
      </c>
      <c r="AF227" t="str">
        <f t="shared" si="68"/>
        <v/>
      </c>
      <c r="AG227" t="b">
        <f t="shared" si="69"/>
        <v>0</v>
      </c>
      <c r="AH227" s="9"/>
      <c r="AI227" t="s">
        <v>4926</v>
      </c>
      <c r="AJ227" t="s">
        <v>1606</v>
      </c>
      <c r="AK227" t="s">
        <v>1441</v>
      </c>
      <c r="AL227">
        <v>10</v>
      </c>
      <c r="AM227" t="s">
        <v>5047</v>
      </c>
      <c r="AN227" t="s">
        <v>5048</v>
      </c>
      <c r="AO227" t="s">
        <v>339</v>
      </c>
      <c r="AQ227">
        <v>4</v>
      </c>
      <c r="AR227">
        <v>6</v>
      </c>
      <c r="AS227" t="s">
        <v>5525</v>
      </c>
    </row>
    <row r="228" spans="1:45" x14ac:dyDescent="0.15">
      <c r="A228" t="str">
        <f t="shared" si="56"/>
        <v>|HOU|黒|3||《[[致死の一刺し]]》|</v>
      </c>
      <c r="B228" t="s">
        <v>3168</v>
      </c>
      <c r="C228" t="str">
        <f t="shared" si="57"/>
        <v>HOU</v>
      </c>
      <c r="D228">
        <f>IF(AI228="","",VLOOKUP(C228,tnpl!$Z$1:$AA$11,2,TRUE))</f>
        <v>5</v>
      </c>
      <c r="E228" t="s">
        <v>3168</v>
      </c>
      <c r="F228" t="str">
        <f t="shared" si="58"/>
        <v>黒</v>
      </c>
      <c r="G228">
        <f>IF(AJ228="","",VLOOKUP(F228,tnpl!$X$1:$Y$16,2,TRUE))</f>
        <v>3</v>
      </c>
      <c r="H228" t="s">
        <v>3168</v>
      </c>
      <c r="I228">
        <f t="shared" si="59"/>
        <v>3</v>
      </c>
      <c r="J228" t="s">
        <v>3168</v>
      </c>
      <c r="K228" t="str">
        <f t="shared" si="60"/>
        <v/>
      </c>
      <c r="L228" t="str">
        <f t="shared" si="61"/>
        <v/>
      </c>
      <c r="M228" t="str">
        <f t="shared" si="62"/>
        <v/>
      </c>
      <c r="R228" t="s">
        <v>3175</v>
      </c>
      <c r="S228" t="s">
        <v>4750</v>
      </c>
      <c r="T228" t="str">
        <f t="shared" si="63"/>
        <v>致死の一刺し</v>
      </c>
      <c r="U228" t="str">
        <f t="shared" si="64"/>
        <v/>
      </c>
      <c r="V228" t="str">
        <f>IF(I228=0,VLOOKUP(T228,Sheet4!A:B,2,TRUE),"")</f>
        <v/>
      </c>
      <c r="W228" t="s">
        <v>4751</v>
      </c>
      <c r="X228" t="s">
        <v>3175</v>
      </c>
      <c r="Y228" s="9"/>
      <c r="Z228" s="10" t="s">
        <v>5088</v>
      </c>
      <c r="AA228" t="s">
        <v>4825</v>
      </c>
      <c r="AC228" t="str">
        <f t="shared" si="65"/>
        <v>破壊する</v>
      </c>
      <c r="AD228" t="str">
        <f t="shared" si="66"/>
        <v/>
      </c>
      <c r="AE228" t="str">
        <f t="shared" si="67"/>
        <v/>
      </c>
      <c r="AF228" t="str">
        <f t="shared" si="68"/>
        <v/>
      </c>
      <c r="AG228" t="b">
        <f t="shared" si="69"/>
        <v>0</v>
      </c>
      <c r="AH228" s="9"/>
      <c r="AI228" t="s">
        <v>4926</v>
      </c>
      <c r="AJ228" t="s">
        <v>1582</v>
      </c>
      <c r="AK228" t="s">
        <v>1744</v>
      </c>
      <c r="AL228">
        <v>3</v>
      </c>
      <c r="AM228" t="s">
        <v>5086</v>
      </c>
      <c r="AN228" t="s">
        <v>5087</v>
      </c>
      <c r="AO228" t="s">
        <v>1453</v>
      </c>
      <c r="AQ228" t="s">
        <v>4756</v>
      </c>
      <c r="AR228" t="s">
        <v>4756</v>
      </c>
      <c r="AS228" t="s">
        <v>5088</v>
      </c>
    </row>
    <row r="229" spans="1:45" x14ac:dyDescent="0.15">
      <c r="A229" t="str">
        <f t="shared" si="56"/>
        <v>|HOU|黒|9||《[[リリアナの敗北]]》|</v>
      </c>
      <c r="B229" t="s">
        <v>3168</v>
      </c>
      <c r="C229" t="str">
        <f t="shared" si="57"/>
        <v>HOU</v>
      </c>
      <c r="D229">
        <f>IF(AI229="","",VLOOKUP(C229,tnpl!$Z$1:$AA$11,2,TRUE))</f>
        <v>5</v>
      </c>
      <c r="E229" t="s">
        <v>3168</v>
      </c>
      <c r="F229" t="str">
        <f t="shared" si="58"/>
        <v>黒</v>
      </c>
      <c r="G229">
        <f>IF(AJ229="","",VLOOKUP(F229,tnpl!$X$1:$Y$16,2,TRUE))</f>
        <v>3</v>
      </c>
      <c r="H229" t="s">
        <v>3168</v>
      </c>
      <c r="I229">
        <f t="shared" si="59"/>
        <v>9</v>
      </c>
      <c r="J229" t="s">
        <v>3168</v>
      </c>
      <c r="K229" t="str">
        <f t="shared" si="60"/>
        <v/>
      </c>
      <c r="L229" t="str">
        <f t="shared" si="61"/>
        <v/>
      </c>
      <c r="M229" t="str">
        <f t="shared" si="62"/>
        <v/>
      </c>
      <c r="R229" t="s">
        <v>3175</v>
      </c>
      <c r="S229" t="s">
        <v>4750</v>
      </c>
      <c r="T229" t="str">
        <f t="shared" si="63"/>
        <v>リリアナの敗北</v>
      </c>
      <c r="U229" t="str">
        <f t="shared" si="64"/>
        <v/>
      </c>
      <c r="V229" t="str">
        <f>IF(I229=0,VLOOKUP(T229,Sheet4!A:B,2,TRUE),"")</f>
        <v/>
      </c>
      <c r="W229" t="s">
        <v>4751</v>
      </c>
      <c r="X229" t="s">
        <v>3175</v>
      </c>
      <c r="Y229" s="9"/>
      <c r="Z229" s="10" t="s">
        <v>5099</v>
      </c>
      <c r="AA229" t="s">
        <v>4825</v>
      </c>
      <c r="AC229" t="str">
        <f t="shared" si="65"/>
        <v>破壊する</v>
      </c>
      <c r="AD229" t="str">
        <f t="shared" si="66"/>
        <v/>
      </c>
      <c r="AE229" t="str">
        <f t="shared" si="67"/>
        <v/>
      </c>
      <c r="AF229" t="str">
        <f t="shared" si="68"/>
        <v/>
      </c>
      <c r="AG229" t="b">
        <f t="shared" si="69"/>
        <v>0</v>
      </c>
      <c r="AH229" s="9"/>
      <c r="AI229" t="s">
        <v>4926</v>
      </c>
      <c r="AJ229" t="s">
        <v>1582</v>
      </c>
      <c r="AK229" t="s">
        <v>1451</v>
      </c>
      <c r="AL229">
        <v>9</v>
      </c>
      <c r="AM229" t="s">
        <v>5097</v>
      </c>
      <c r="AN229" t="s">
        <v>5098</v>
      </c>
      <c r="AO229" t="s">
        <v>1453</v>
      </c>
      <c r="AQ229" t="s">
        <v>4756</v>
      </c>
      <c r="AR229" t="s">
        <v>4756</v>
      </c>
      <c r="AS229" t="s">
        <v>5099</v>
      </c>
    </row>
    <row r="230" spans="1:45" x14ac:dyDescent="0.15">
      <c r="A230" t="str">
        <f t="shared" si="56"/>
        <v>|HOU|赤|4||《[[熱烈の砂漠]]》|</v>
      </c>
      <c r="B230" t="s">
        <v>3168</v>
      </c>
      <c r="C230" t="str">
        <f t="shared" si="57"/>
        <v>HOU</v>
      </c>
      <c r="D230">
        <f>IF(AI230="","",VLOOKUP(C230,tnpl!$Z$1:$AA$11,2,TRUE))</f>
        <v>5</v>
      </c>
      <c r="E230" t="s">
        <v>3168</v>
      </c>
      <c r="F230" t="str">
        <f t="shared" si="58"/>
        <v>赤</v>
      </c>
      <c r="G230">
        <f>IF(AJ230="","",VLOOKUP(F230,tnpl!$X$1:$Y$16,2,TRUE))</f>
        <v>4</v>
      </c>
      <c r="H230" t="s">
        <v>3168</v>
      </c>
      <c r="I230">
        <f t="shared" si="59"/>
        <v>4</v>
      </c>
      <c r="J230" t="s">
        <v>3168</v>
      </c>
      <c r="K230" t="str">
        <f t="shared" si="60"/>
        <v/>
      </c>
      <c r="L230" t="str">
        <f t="shared" si="61"/>
        <v/>
      </c>
      <c r="M230" t="str">
        <f t="shared" si="62"/>
        <v/>
      </c>
      <c r="R230" t="s">
        <v>3175</v>
      </c>
      <c r="S230" t="s">
        <v>4750</v>
      </c>
      <c r="T230" t="str">
        <f t="shared" si="63"/>
        <v>熱烈の砂漠</v>
      </c>
      <c r="U230" t="str">
        <f t="shared" si="64"/>
        <v/>
      </c>
      <c r="V230" t="str">
        <f>IF(I230=0,VLOOKUP(T230,Sheet4!A:B,2,TRUE),"")</f>
        <v/>
      </c>
      <c r="W230" t="s">
        <v>4751</v>
      </c>
      <c r="X230" t="s">
        <v>3175</v>
      </c>
      <c r="Y230" s="9"/>
      <c r="Z230" s="10" t="s">
        <v>5542</v>
      </c>
      <c r="AA230" t="s">
        <v>4828</v>
      </c>
      <c r="AC230" t="str">
        <f t="shared" si="65"/>
        <v>破壊する</v>
      </c>
      <c r="AD230" t="str">
        <f t="shared" si="66"/>
        <v/>
      </c>
      <c r="AE230" t="str">
        <f t="shared" si="67"/>
        <v/>
      </c>
      <c r="AF230" t="str">
        <f t="shared" si="68"/>
        <v/>
      </c>
      <c r="AG230" t="b">
        <f t="shared" si="69"/>
        <v>0</v>
      </c>
      <c r="AH230" s="9"/>
      <c r="AI230" t="s">
        <v>4926</v>
      </c>
      <c r="AJ230" t="s">
        <v>1552</v>
      </c>
      <c r="AK230" t="s">
        <v>1744</v>
      </c>
      <c r="AL230">
        <v>4</v>
      </c>
      <c r="AM230" t="s">
        <v>5146</v>
      </c>
      <c r="AN230" t="s">
        <v>5147</v>
      </c>
      <c r="AO230" t="s">
        <v>1453</v>
      </c>
      <c r="AQ230" t="s">
        <v>4756</v>
      </c>
      <c r="AR230" t="s">
        <v>4756</v>
      </c>
      <c r="AS230" t="s">
        <v>5542</v>
      </c>
    </row>
    <row r="231" spans="1:45" x14ac:dyDescent="0.15">
      <c r="A231" t="str">
        <f t="shared" si="56"/>
        <v>|HOU|白青|10||《[[農場+市場]]》|</v>
      </c>
      <c r="B231" t="s">
        <v>3168</v>
      </c>
      <c r="C231" t="str">
        <f t="shared" si="57"/>
        <v>HOU</v>
      </c>
      <c r="D231">
        <f>IF(AI231="","",VLOOKUP(C231,tnpl!$Z$1:$AA$11,2,TRUE))</f>
        <v>5</v>
      </c>
      <c r="E231" t="s">
        <v>3168</v>
      </c>
      <c r="F231" t="str">
        <f t="shared" si="58"/>
        <v>白青</v>
      </c>
      <c r="G231">
        <f>IF(AJ231="","",VLOOKUP(F231,tnpl!$X$1:$Y$16,2,TRUE))</f>
        <v>6</v>
      </c>
      <c r="H231" t="s">
        <v>3168</v>
      </c>
      <c r="I231">
        <f t="shared" si="59"/>
        <v>10</v>
      </c>
      <c r="J231" t="s">
        <v>3168</v>
      </c>
      <c r="K231" t="str">
        <f t="shared" si="60"/>
        <v/>
      </c>
      <c r="L231" t="str">
        <f t="shared" si="61"/>
        <v/>
      </c>
      <c r="M231" t="str">
        <f t="shared" si="62"/>
        <v/>
      </c>
      <c r="R231" t="s">
        <v>3175</v>
      </c>
      <c r="S231" t="s">
        <v>4750</v>
      </c>
      <c r="T231" t="str">
        <f t="shared" si="63"/>
        <v>農場+市場</v>
      </c>
      <c r="U231" t="str">
        <f t="shared" si="64"/>
        <v/>
      </c>
      <c r="V231" t="str">
        <f>IF(I231=0,VLOOKUP(T231,Sheet4!A:B,2,TRUE),"")</f>
        <v/>
      </c>
      <c r="W231" t="s">
        <v>4751</v>
      </c>
      <c r="X231" t="s">
        <v>3175</v>
      </c>
      <c r="Y231" s="9"/>
      <c r="Z231" s="10" t="s">
        <v>5565</v>
      </c>
      <c r="AA231" t="s">
        <v>4825</v>
      </c>
      <c r="AB231" t="s">
        <v>4829</v>
      </c>
      <c r="AC231" t="str">
        <f t="shared" si="65"/>
        <v>破壊する</v>
      </c>
      <c r="AD231" t="str">
        <f t="shared" si="66"/>
        <v/>
      </c>
      <c r="AE231" t="str">
        <f t="shared" si="67"/>
        <v/>
      </c>
      <c r="AF231" t="str">
        <f t="shared" si="68"/>
        <v>破壊し</v>
      </c>
      <c r="AG231" t="b">
        <f t="shared" si="69"/>
        <v>0</v>
      </c>
      <c r="AH231" s="9"/>
      <c r="AI231" t="s">
        <v>4926</v>
      </c>
      <c r="AJ231" t="s">
        <v>1512</v>
      </c>
      <c r="AK231" t="s">
        <v>1451</v>
      </c>
      <c r="AL231">
        <v>10</v>
      </c>
      <c r="AM231" t="s">
        <v>5584</v>
      </c>
      <c r="AN231" t="s">
        <v>5336</v>
      </c>
      <c r="AO231" t="s">
        <v>288</v>
      </c>
      <c r="AP231">
        <v>1</v>
      </c>
      <c r="AQ231" t="s">
        <v>4756</v>
      </c>
      <c r="AR231" t="s">
        <v>4756</v>
      </c>
      <c r="AS231" t="s">
        <v>5565</v>
      </c>
    </row>
    <row r="232" spans="1:45" x14ac:dyDescent="0.15">
      <c r="A232" t="str">
        <f t="shared" si="56"/>
        <v>|HOU|青赤|11||《[[機略+縦横]]》|</v>
      </c>
      <c r="B232" t="s">
        <v>3168</v>
      </c>
      <c r="C232" t="str">
        <f t="shared" si="57"/>
        <v>HOU</v>
      </c>
      <c r="D232">
        <f>IF(AI232="","",VLOOKUP(C232,tnpl!$Z$1:$AA$11,2,TRUE))</f>
        <v>5</v>
      </c>
      <c r="E232" t="s">
        <v>3168</v>
      </c>
      <c r="F232" t="str">
        <f t="shared" si="58"/>
        <v>青赤</v>
      </c>
      <c r="G232">
        <f>IF(AJ232="","",VLOOKUP(F232,tnpl!$X$1:$Y$16,2,TRUE))</f>
        <v>12</v>
      </c>
      <c r="H232" t="s">
        <v>3168</v>
      </c>
      <c r="I232">
        <f t="shared" si="59"/>
        <v>11</v>
      </c>
      <c r="J232" t="s">
        <v>3168</v>
      </c>
      <c r="K232" t="str">
        <f t="shared" si="60"/>
        <v/>
      </c>
      <c r="L232" t="str">
        <f t="shared" si="61"/>
        <v/>
      </c>
      <c r="M232" t="str">
        <f t="shared" si="62"/>
        <v/>
      </c>
      <c r="R232" t="s">
        <v>3175</v>
      </c>
      <c r="S232" t="s">
        <v>4750</v>
      </c>
      <c r="T232" t="str">
        <f t="shared" si="63"/>
        <v>機略+縦横</v>
      </c>
      <c r="U232" t="str">
        <f t="shared" si="64"/>
        <v/>
      </c>
      <c r="V232" t="str">
        <f>IF(I232=0,VLOOKUP(T232,Sheet4!A:B,2,TRUE),"")</f>
        <v/>
      </c>
      <c r="W232" t="s">
        <v>4751</v>
      </c>
      <c r="X232" t="s">
        <v>3175</v>
      </c>
      <c r="Y232" s="9"/>
      <c r="Z232" s="10" t="s">
        <v>5573</v>
      </c>
      <c r="AA232" t="s">
        <v>4829</v>
      </c>
      <c r="AC232" t="str">
        <f t="shared" si="65"/>
        <v>破壊する</v>
      </c>
      <c r="AD232" t="str">
        <f t="shared" si="66"/>
        <v/>
      </c>
      <c r="AE232" t="str">
        <f t="shared" si="67"/>
        <v/>
      </c>
      <c r="AF232" t="str">
        <f t="shared" si="68"/>
        <v/>
      </c>
      <c r="AG232" t="b">
        <f t="shared" si="69"/>
        <v>0</v>
      </c>
      <c r="AH232" s="9"/>
      <c r="AI232" t="s">
        <v>4926</v>
      </c>
      <c r="AJ232" t="s">
        <v>1467</v>
      </c>
      <c r="AK232" t="s">
        <v>1441</v>
      </c>
      <c r="AL232">
        <v>11</v>
      </c>
      <c r="AM232" t="s">
        <v>5594</v>
      </c>
      <c r="AN232" t="s">
        <v>5367</v>
      </c>
      <c r="AO232" t="s">
        <v>288</v>
      </c>
      <c r="AP232">
        <v>10</v>
      </c>
      <c r="AQ232" t="s">
        <v>4756</v>
      </c>
      <c r="AR232" t="s">
        <v>4756</v>
      </c>
      <c r="AS232" t="s">
        <v>5573</v>
      </c>
    </row>
    <row r="233" spans="1:45" x14ac:dyDescent="0.15">
      <c r="A233" t="str">
        <f t="shared" si="56"/>
        <v>|HOU|白|18||《[[啓示の刻]]》|</v>
      </c>
      <c r="B233" t="s">
        <v>3168</v>
      </c>
      <c r="C233" t="str">
        <f t="shared" si="57"/>
        <v>HOU</v>
      </c>
      <c r="D233">
        <f>IF(AI233="","",VLOOKUP(C233,tnpl!$Z$1:$AA$11,2,TRUE))</f>
        <v>5</v>
      </c>
      <c r="E233" t="s">
        <v>3168</v>
      </c>
      <c r="F233" t="str">
        <f t="shared" si="58"/>
        <v>白</v>
      </c>
      <c r="G233">
        <f>IF(AJ233="","",VLOOKUP(F233,tnpl!$X$1:$Y$16,2,TRUE))</f>
        <v>1</v>
      </c>
      <c r="H233" t="s">
        <v>3168</v>
      </c>
      <c r="I233">
        <f t="shared" si="59"/>
        <v>18</v>
      </c>
      <c r="J233" t="s">
        <v>3168</v>
      </c>
      <c r="K233" t="str">
        <f t="shared" si="60"/>
        <v/>
      </c>
      <c r="L233" t="str">
        <f t="shared" si="61"/>
        <v/>
      </c>
      <c r="M233" t="str">
        <f t="shared" si="62"/>
        <v/>
      </c>
      <c r="R233" t="s">
        <v>3175</v>
      </c>
      <c r="S233" t="s">
        <v>4750</v>
      </c>
      <c r="T233" t="str">
        <f t="shared" si="63"/>
        <v>啓示の刻</v>
      </c>
      <c r="U233" t="str">
        <f t="shared" si="64"/>
        <v/>
      </c>
      <c r="V233" t="str">
        <f>IF(I233=0,VLOOKUP(T233,Sheet4!A:B,2,TRUE),"")</f>
        <v/>
      </c>
      <c r="W233" t="s">
        <v>4751</v>
      </c>
      <c r="X233" t="s">
        <v>3175</v>
      </c>
      <c r="Y233" s="9"/>
      <c r="Z233" s="10" t="s">
        <v>5382</v>
      </c>
      <c r="AA233" t="s">
        <v>4825</v>
      </c>
      <c r="AB233" t="s">
        <v>4826</v>
      </c>
      <c r="AC233" t="str">
        <f t="shared" si="65"/>
        <v>破壊する</v>
      </c>
      <c r="AD233" t="str">
        <f t="shared" si="66"/>
        <v/>
      </c>
      <c r="AE233" t="str">
        <f t="shared" si="67"/>
        <v/>
      </c>
      <c r="AF233" t="str">
        <f t="shared" si="68"/>
        <v/>
      </c>
      <c r="AG233" t="b">
        <f t="shared" si="69"/>
        <v>0</v>
      </c>
      <c r="AH233" s="9"/>
      <c r="AI233" t="s">
        <v>4926</v>
      </c>
      <c r="AJ233" t="s">
        <v>1627</v>
      </c>
      <c r="AK233" t="s">
        <v>1431</v>
      </c>
      <c r="AL233">
        <v>18</v>
      </c>
      <c r="AM233" t="s">
        <v>5380</v>
      </c>
      <c r="AN233" t="s">
        <v>5381</v>
      </c>
      <c r="AO233" t="s">
        <v>1453</v>
      </c>
      <c r="AQ233" t="s">
        <v>4756</v>
      </c>
      <c r="AR233" t="s">
        <v>4756</v>
      </c>
      <c r="AS233" t="s">
        <v>5382</v>
      </c>
    </row>
    <row r="234" spans="1:45" x14ac:dyDescent="0.15">
      <c r="A234" t="str">
        <f t="shared" si="56"/>
        <v>|HOU|青|6||《[[ジェイスの敗北]]》|</v>
      </c>
      <c r="B234" t="s">
        <v>3168</v>
      </c>
      <c r="C234" t="str">
        <f t="shared" si="57"/>
        <v>HOU</v>
      </c>
      <c r="D234">
        <f>IF(AI234="","",VLOOKUP(C234,tnpl!$Z$1:$AA$11,2,TRUE))</f>
        <v>5</v>
      </c>
      <c r="E234" t="s">
        <v>3168</v>
      </c>
      <c r="F234" t="str">
        <f t="shared" si="58"/>
        <v>青</v>
      </c>
      <c r="G234">
        <f>IF(AJ234="","",VLOOKUP(F234,tnpl!$X$1:$Y$16,2,TRUE))</f>
        <v>2</v>
      </c>
      <c r="H234" t="s">
        <v>3168</v>
      </c>
      <c r="I234">
        <f t="shared" si="59"/>
        <v>6</v>
      </c>
      <c r="J234" t="s">
        <v>3168</v>
      </c>
      <c r="K234" t="str">
        <f t="shared" si="60"/>
        <v/>
      </c>
      <c r="L234" t="str">
        <f t="shared" si="61"/>
        <v/>
      </c>
      <c r="M234" t="str">
        <f t="shared" si="62"/>
        <v/>
      </c>
      <c r="R234" t="s">
        <v>3175</v>
      </c>
      <c r="S234" t="s">
        <v>4750</v>
      </c>
      <c r="T234" t="str">
        <f t="shared" si="63"/>
        <v>ジェイスの敗北</v>
      </c>
      <c r="U234" t="str">
        <f t="shared" si="64"/>
        <v/>
      </c>
      <c r="V234" t="str">
        <f>IF(I234=0,VLOOKUP(T234,Sheet4!A:B,2,TRUE),"")</f>
        <v/>
      </c>
      <c r="W234" t="s">
        <v>4751</v>
      </c>
      <c r="X234" t="s">
        <v>3175</v>
      </c>
      <c r="Y234" s="9"/>
      <c r="Z234" s="10" t="s">
        <v>5395</v>
      </c>
      <c r="AA234" t="s">
        <v>4829</v>
      </c>
      <c r="AC234" t="str">
        <f t="shared" si="65"/>
        <v>破壊する</v>
      </c>
      <c r="AD234" t="str">
        <f t="shared" si="66"/>
        <v/>
      </c>
      <c r="AE234" t="str">
        <f t="shared" si="67"/>
        <v/>
      </c>
      <c r="AF234" t="str">
        <f t="shared" si="68"/>
        <v/>
      </c>
      <c r="AG234" t="b">
        <f t="shared" si="69"/>
        <v>0</v>
      </c>
      <c r="AH234" s="9"/>
      <c r="AI234" t="s">
        <v>4926</v>
      </c>
      <c r="AJ234" t="s">
        <v>1606</v>
      </c>
      <c r="AK234" t="s">
        <v>1451</v>
      </c>
      <c r="AL234">
        <v>6</v>
      </c>
      <c r="AM234" t="s">
        <v>5393</v>
      </c>
      <c r="AN234" t="s">
        <v>5394</v>
      </c>
      <c r="AO234" t="s">
        <v>288</v>
      </c>
      <c r="AQ234" t="s">
        <v>4756</v>
      </c>
      <c r="AR234" t="s">
        <v>4756</v>
      </c>
      <c r="AS234" t="s">
        <v>5395</v>
      </c>
    </row>
    <row r="235" spans="1:45" x14ac:dyDescent="0.15">
      <c r="A235" t="str">
        <f t="shared" si="56"/>
        <v>|HOU|青|7||《[[謎変化]]》|</v>
      </c>
      <c r="B235" t="s">
        <v>3168</v>
      </c>
      <c r="C235" t="str">
        <f t="shared" si="57"/>
        <v>HOU</v>
      </c>
      <c r="D235">
        <f>IF(AI235="","",VLOOKUP(C235,tnpl!$Z$1:$AA$11,2,TRUE))</f>
        <v>5</v>
      </c>
      <c r="E235" t="s">
        <v>3168</v>
      </c>
      <c r="F235" t="str">
        <f t="shared" si="58"/>
        <v>青</v>
      </c>
      <c r="G235">
        <f>IF(AJ235="","",VLOOKUP(F235,tnpl!$X$1:$Y$16,2,TRUE))</f>
        <v>2</v>
      </c>
      <c r="H235" t="s">
        <v>3168</v>
      </c>
      <c r="I235">
        <f t="shared" si="59"/>
        <v>7</v>
      </c>
      <c r="J235" t="s">
        <v>3168</v>
      </c>
      <c r="K235" t="str">
        <f t="shared" si="60"/>
        <v/>
      </c>
      <c r="L235" t="str">
        <f t="shared" si="61"/>
        <v/>
      </c>
      <c r="M235" t="str">
        <f t="shared" si="62"/>
        <v/>
      </c>
      <c r="R235" t="s">
        <v>3175</v>
      </c>
      <c r="S235" t="s">
        <v>4750</v>
      </c>
      <c r="T235" t="str">
        <f t="shared" si="63"/>
        <v>謎変化</v>
      </c>
      <c r="U235" t="str">
        <f t="shared" si="64"/>
        <v/>
      </c>
      <c r="V235" t="str">
        <f>IF(I235=0,VLOOKUP(T235,Sheet4!A:B,2,TRUE),"")</f>
        <v/>
      </c>
      <c r="W235" t="s">
        <v>4751</v>
      </c>
      <c r="X235" t="s">
        <v>3175</v>
      </c>
      <c r="Y235" s="9"/>
      <c r="Z235" s="10" t="s">
        <v>5401</v>
      </c>
      <c r="AA235" t="s">
        <v>4832</v>
      </c>
      <c r="AC235" t="str">
        <f t="shared" si="65"/>
        <v>破壊する</v>
      </c>
      <c r="AD235" t="str">
        <f t="shared" si="66"/>
        <v/>
      </c>
      <c r="AE235" t="str">
        <f t="shared" si="67"/>
        <v/>
      </c>
      <c r="AF235" t="str">
        <f t="shared" si="68"/>
        <v/>
      </c>
      <c r="AG235" t="b">
        <f t="shared" si="69"/>
        <v>0</v>
      </c>
      <c r="AH235" s="9"/>
      <c r="AI235" t="s">
        <v>4926</v>
      </c>
      <c r="AJ235" t="s">
        <v>1606</v>
      </c>
      <c r="AK235" t="s">
        <v>1451</v>
      </c>
      <c r="AL235">
        <v>7</v>
      </c>
      <c r="AM235" t="s">
        <v>5399</v>
      </c>
      <c r="AN235" t="s">
        <v>5400</v>
      </c>
      <c r="AO235" t="s">
        <v>288</v>
      </c>
      <c r="AP235">
        <v>2</v>
      </c>
      <c r="AQ235" t="s">
        <v>4756</v>
      </c>
      <c r="AR235" t="s">
        <v>4756</v>
      </c>
      <c r="AS235" t="s">
        <v>5401</v>
      </c>
    </row>
    <row r="236" spans="1:45" x14ac:dyDescent="0.15">
      <c r="A236" t="str">
        <f t="shared" si="56"/>
        <v>|HOU|黒|12|2/2|《[[禍鞭の懲罰者]]》|</v>
      </c>
      <c r="B236" t="s">
        <v>3168</v>
      </c>
      <c r="C236" t="str">
        <f t="shared" si="57"/>
        <v>HOU</v>
      </c>
      <c r="D236">
        <f>IF(AI236="","",VLOOKUP(C236,tnpl!$Z$1:$AA$11,2,TRUE))</f>
        <v>5</v>
      </c>
      <c r="E236" t="s">
        <v>3168</v>
      </c>
      <c r="F236" t="str">
        <f t="shared" si="58"/>
        <v>黒</v>
      </c>
      <c r="G236">
        <f>IF(AJ236="","",VLOOKUP(F236,tnpl!$X$1:$Y$16,2,TRUE))</f>
        <v>3</v>
      </c>
      <c r="H236" t="s">
        <v>3168</v>
      </c>
      <c r="I236">
        <f t="shared" si="59"/>
        <v>12</v>
      </c>
      <c r="J236" t="s">
        <v>3168</v>
      </c>
      <c r="K236">
        <f t="shared" si="60"/>
        <v>2</v>
      </c>
      <c r="L236">
        <f t="shared" si="61"/>
        <v>2</v>
      </c>
      <c r="M236" t="str">
        <f t="shared" si="62"/>
        <v>2/2</v>
      </c>
      <c r="R236" t="s">
        <v>3175</v>
      </c>
      <c r="S236" t="s">
        <v>4750</v>
      </c>
      <c r="T236" t="str">
        <f t="shared" si="63"/>
        <v>禍鞭の懲罰者</v>
      </c>
      <c r="U236" t="str">
        <f t="shared" si="64"/>
        <v/>
      </c>
      <c r="V236" t="str">
        <f>IF(I236=0,VLOOKUP(T236,Sheet4!A:B,2,TRUE),"")</f>
        <v/>
      </c>
      <c r="W236" t="s">
        <v>4751</v>
      </c>
      <c r="X236" t="s">
        <v>3175</v>
      </c>
      <c r="Y236" s="9"/>
      <c r="Z236" s="10" t="s">
        <v>5580</v>
      </c>
      <c r="AA236" t="s">
        <v>4825</v>
      </c>
      <c r="AB236" t="s">
        <v>4757</v>
      </c>
      <c r="AC236" t="str">
        <f t="shared" si="65"/>
        <v>破壊する</v>
      </c>
      <c r="AD236" t="str">
        <f t="shared" si="66"/>
        <v/>
      </c>
      <c r="AE236" t="str">
        <f t="shared" si="67"/>
        <v/>
      </c>
      <c r="AF236" t="str">
        <f t="shared" si="68"/>
        <v/>
      </c>
      <c r="AG236" t="b">
        <f t="shared" si="69"/>
        <v>0</v>
      </c>
      <c r="AH236" s="9"/>
      <c r="AI236" t="s">
        <v>4926</v>
      </c>
      <c r="AJ236" t="s">
        <v>1582</v>
      </c>
      <c r="AK236" t="s">
        <v>1451</v>
      </c>
      <c r="AL236">
        <v>12</v>
      </c>
      <c r="AM236" t="s">
        <v>5407</v>
      </c>
      <c r="AN236" t="s">
        <v>5408</v>
      </c>
      <c r="AO236" t="s">
        <v>339</v>
      </c>
      <c r="AQ236">
        <v>2</v>
      </c>
      <c r="AR236">
        <v>2</v>
      </c>
      <c r="AS236" t="s">
        <v>5580</v>
      </c>
    </row>
    <row r="237" spans="1:45" x14ac:dyDescent="0.15">
      <c r="A237" t="str">
        <f t="shared" si="56"/>
        <v>|HOU|黒|12||《[[バントゥ最後の算段]]》|</v>
      </c>
      <c r="B237" t="s">
        <v>3168</v>
      </c>
      <c r="C237" t="str">
        <f t="shared" si="57"/>
        <v>HOU</v>
      </c>
      <c r="D237">
        <f>IF(AI237="","",VLOOKUP(C237,tnpl!$Z$1:$AA$11,2,TRUE))</f>
        <v>5</v>
      </c>
      <c r="E237" t="s">
        <v>3168</v>
      </c>
      <c r="F237" t="str">
        <f t="shared" si="58"/>
        <v>黒</v>
      </c>
      <c r="G237">
        <f>IF(AJ237="","",VLOOKUP(F237,tnpl!$X$1:$Y$16,2,TRUE))</f>
        <v>3</v>
      </c>
      <c r="H237" t="s">
        <v>3168</v>
      </c>
      <c r="I237">
        <f t="shared" si="59"/>
        <v>12</v>
      </c>
      <c r="J237" t="s">
        <v>3168</v>
      </c>
      <c r="K237" t="str">
        <f t="shared" si="60"/>
        <v/>
      </c>
      <c r="L237" t="str">
        <f t="shared" si="61"/>
        <v/>
      </c>
      <c r="M237" t="str">
        <f t="shared" si="62"/>
        <v/>
      </c>
      <c r="R237" t="s">
        <v>3175</v>
      </c>
      <c r="S237" t="s">
        <v>4750</v>
      </c>
      <c r="T237" t="str">
        <f t="shared" si="63"/>
        <v>バントゥ最後の算段</v>
      </c>
      <c r="U237" t="str">
        <f t="shared" si="64"/>
        <v/>
      </c>
      <c r="V237" t="str">
        <f>IF(I237=0,VLOOKUP(T237,Sheet4!A:B,2,TRUE),"")</f>
        <v/>
      </c>
      <c r="W237" t="s">
        <v>4751</v>
      </c>
      <c r="X237" t="s">
        <v>3175</v>
      </c>
      <c r="Y237" s="9"/>
      <c r="Z237" s="10" t="s">
        <v>5413</v>
      </c>
      <c r="AA237" t="s">
        <v>4825</v>
      </c>
      <c r="AC237" t="str">
        <f t="shared" si="65"/>
        <v>破壊する</v>
      </c>
      <c r="AD237" t="str">
        <f t="shared" si="66"/>
        <v/>
      </c>
      <c r="AE237" t="str">
        <f t="shared" si="67"/>
        <v/>
      </c>
      <c r="AF237" t="str">
        <f t="shared" si="68"/>
        <v/>
      </c>
      <c r="AG237" t="b">
        <f t="shared" si="69"/>
        <v>0</v>
      </c>
      <c r="AH237" s="9"/>
      <c r="AI237" t="s">
        <v>4926</v>
      </c>
      <c r="AJ237" t="s">
        <v>1582</v>
      </c>
      <c r="AK237" t="s">
        <v>1441</v>
      </c>
      <c r="AL237">
        <v>12</v>
      </c>
      <c r="AM237" t="s">
        <v>5411</v>
      </c>
      <c r="AN237" t="s">
        <v>5412</v>
      </c>
      <c r="AO237" t="s">
        <v>1453</v>
      </c>
      <c r="AQ237" t="s">
        <v>4756</v>
      </c>
      <c r="AR237" t="s">
        <v>4756</v>
      </c>
      <c r="AS237" t="s">
        <v>5413</v>
      </c>
    </row>
    <row r="238" spans="1:45" x14ac:dyDescent="0.15">
      <c r="A238" t="str">
        <f t="shared" si="56"/>
        <v>|HOU|黒|6|1/1|《[[廃墟ネズミ]]》|</v>
      </c>
      <c r="B238" t="s">
        <v>3168</v>
      </c>
      <c r="C238" t="str">
        <f t="shared" si="57"/>
        <v>HOU</v>
      </c>
      <c r="D238">
        <f>IF(AI238="","",VLOOKUP(C238,tnpl!$Z$1:$AA$11,2,TRUE))</f>
        <v>5</v>
      </c>
      <c r="E238" t="s">
        <v>3168</v>
      </c>
      <c r="F238" t="str">
        <f t="shared" si="58"/>
        <v>黒</v>
      </c>
      <c r="G238">
        <f>IF(AJ238="","",VLOOKUP(F238,tnpl!$X$1:$Y$16,2,TRUE))</f>
        <v>3</v>
      </c>
      <c r="H238" t="s">
        <v>3168</v>
      </c>
      <c r="I238">
        <f t="shared" si="59"/>
        <v>6</v>
      </c>
      <c r="J238" t="s">
        <v>3168</v>
      </c>
      <c r="K238">
        <f t="shared" si="60"/>
        <v>1</v>
      </c>
      <c r="L238">
        <f t="shared" si="61"/>
        <v>1</v>
      </c>
      <c r="M238" t="str">
        <f t="shared" si="62"/>
        <v>1/1</v>
      </c>
      <c r="R238" t="s">
        <v>3175</v>
      </c>
      <c r="S238" t="s">
        <v>4750</v>
      </c>
      <c r="T238" t="str">
        <f t="shared" si="63"/>
        <v>廃墟ネズミ</v>
      </c>
      <c r="U238" t="str">
        <f t="shared" si="64"/>
        <v/>
      </c>
      <c r="V238" t="str">
        <f>IF(I238=0,VLOOKUP(T238,Sheet4!A:B,2,TRUE),"")</f>
        <v/>
      </c>
      <c r="W238" t="s">
        <v>4751</v>
      </c>
      <c r="X238" t="s">
        <v>3175</v>
      </c>
      <c r="Y238" s="9"/>
      <c r="Z238" s="10" t="s">
        <v>5419</v>
      </c>
      <c r="AA238" t="s">
        <v>4832</v>
      </c>
      <c r="AB238" t="s">
        <v>4757</v>
      </c>
      <c r="AC238" t="str">
        <f t="shared" si="65"/>
        <v/>
      </c>
      <c r="AD238" t="str">
        <f t="shared" si="66"/>
        <v>破壊された</v>
      </c>
      <c r="AE238" t="str">
        <f t="shared" si="67"/>
        <v/>
      </c>
      <c r="AF238" t="str">
        <f t="shared" si="68"/>
        <v/>
      </c>
      <c r="AG238" t="b">
        <f t="shared" si="69"/>
        <v>0</v>
      </c>
      <c r="AH238" s="9"/>
      <c r="AI238" t="s">
        <v>4926</v>
      </c>
      <c r="AJ238" t="s">
        <v>1582</v>
      </c>
      <c r="AK238" t="s">
        <v>1451</v>
      </c>
      <c r="AL238">
        <v>6</v>
      </c>
      <c r="AM238" t="s">
        <v>5417</v>
      </c>
      <c r="AN238" t="s">
        <v>5418</v>
      </c>
      <c r="AO238" t="s">
        <v>339</v>
      </c>
      <c r="AQ238">
        <v>1</v>
      </c>
      <c r="AR238">
        <v>1</v>
      </c>
      <c r="AS238" t="s">
        <v>5419</v>
      </c>
    </row>
    <row r="239" spans="1:45" x14ac:dyDescent="0.15">
      <c r="A239" t="str">
        <f t="shared" si="56"/>
        <v>|HOU|赤|13||《[[削剥]]》|</v>
      </c>
      <c r="B239" t="s">
        <v>3168</v>
      </c>
      <c r="C239" t="str">
        <f t="shared" si="57"/>
        <v>HOU</v>
      </c>
      <c r="D239">
        <f>IF(AI239="","",VLOOKUP(C239,tnpl!$Z$1:$AA$11,2,TRUE))</f>
        <v>5</v>
      </c>
      <c r="E239" t="s">
        <v>3168</v>
      </c>
      <c r="F239" t="str">
        <f t="shared" si="58"/>
        <v>赤</v>
      </c>
      <c r="G239">
        <f>IF(AJ239="","",VLOOKUP(F239,tnpl!$X$1:$Y$16,2,TRUE))</f>
        <v>4</v>
      </c>
      <c r="H239" t="s">
        <v>3168</v>
      </c>
      <c r="I239">
        <f t="shared" si="59"/>
        <v>13</v>
      </c>
      <c r="J239" t="s">
        <v>3168</v>
      </c>
      <c r="K239" t="str">
        <f t="shared" si="60"/>
        <v/>
      </c>
      <c r="L239" t="str">
        <f t="shared" si="61"/>
        <v/>
      </c>
      <c r="M239" t="str">
        <f t="shared" si="62"/>
        <v/>
      </c>
      <c r="R239" t="s">
        <v>3175</v>
      </c>
      <c r="S239" t="s">
        <v>4750</v>
      </c>
      <c r="T239" t="str">
        <f t="shared" si="63"/>
        <v>削剥</v>
      </c>
      <c r="U239" t="str">
        <f t="shared" si="64"/>
        <v/>
      </c>
      <c r="V239" t="str">
        <f>IF(I239=0,VLOOKUP(T239,Sheet4!A:B,2,TRUE),"")</f>
        <v/>
      </c>
      <c r="W239" t="s">
        <v>4751</v>
      </c>
      <c r="X239" t="s">
        <v>3175</v>
      </c>
      <c r="Y239" s="9"/>
      <c r="Z239" s="10" t="s">
        <v>5428</v>
      </c>
      <c r="AA239" t="s">
        <v>4826</v>
      </c>
      <c r="AC239" t="str">
        <f t="shared" si="65"/>
        <v>破壊する</v>
      </c>
      <c r="AD239" t="str">
        <f t="shared" si="66"/>
        <v/>
      </c>
      <c r="AE239" t="str">
        <f t="shared" si="67"/>
        <v/>
      </c>
      <c r="AF239" t="str">
        <f t="shared" si="68"/>
        <v/>
      </c>
      <c r="AG239" t="b">
        <f t="shared" si="69"/>
        <v>0</v>
      </c>
      <c r="AH239" s="9"/>
      <c r="AI239" t="s">
        <v>4926</v>
      </c>
      <c r="AJ239" t="s">
        <v>1552</v>
      </c>
      <c r="AK239" t="s">
        <v>1451</v>
      </c>
      <c r="AL239">
        <v>13</v>
      </c>
      <c r="AM239" t="s">
        <v>5426</v>
      </c>
      <c r="AN239" t="s">
        <v>5427</v>
      </c>
      <c r="AO239" t="s">
        <v>1453</v>
      </c>
      <c r="AQ239" t="s">
        <v>4756</v>
      </c>
      <c r="AR239" t="s">
        <v>4756</v>
      </c>
      <c r="AS239" t="s">
        <v>5428</v>
      </c>
    </row>
    <row r="240" spans="1:45" x14ac:dyDescent="0.15">
      <c r="A240" t="str">
        <f t="shared" si="56"/>
        <v>|HOU|緑|7||《[[ニッサの敗北]]》|</v>
      </c>
      <c r="B240" t="s">
        <v>3168</v>
      </c>
      <c r="C240" t="str">
        <f t="shared" si="57"/>
        <v>HOU</v>
      </c>
      <c r="D240">
        <f>IF(AI240="","",VLOOKUP(C240,tnpl!$Z$1:$AA$11,2,TRUE))</f>
        <v>5</v>
      </c>
      <c r="E240" t="s">
        <v>3168</v>
      </c>
      <c r="F240" t="str">
        <f t="shared" si="58"/>
        <v>緑</v>
      </c>
      <c r="G240">
        <f>IF(AJ240="","",VLOOKUP(F240,tnpl!$X$1:$Y$16,2,TRUE))</f>
        <v>5</v>
      </c>
      <c r="H240" t="s">
        <v>3168</v>
      </c>
      <c r="I240">
        <f t="shared" si="59"/>
        <v>7</v>
      </c>
      <c r="J240" t="s">
        <v>3168</v>
      </c>
      <c r="K240" t="str">
        <f t="shared" si="60"/>
        <v/>
      </c>
      <c r="L240" t="str">
        <f t="shared" si="61"/>
        <v/>
      </c>
      <c r="M240" t="str">
        <f t="shared" si="62"/>
        <v/>
      </c>
      <c r="R240" t="s">
        <v>3175</v>
      </c>
      <c r="S240" t="s">
        <v>4750</v>
      </c>
      <c r="T240" t="str">
        <f t="shared" si="63"/>
        <v>ニッサの敗北</v>
      </c>
      <c r="U240" t="str">
        <f t="shared" si="64"/>
        <v/>
      </c>
      <c r="V240" t="str">
        <f>IF(I240=0,VLOOKUP(T240,Sheet4!A:B,2,TRUE),"")</f>
        <v/>
      </c>
      <c r="W240" t="s">
        <v>4751</v>
      </c>
      <c r="X240" t="s">
        <v>3175</v>
      </c>
      <c r="Y240" s="9"/>
      <c r="Z240" s="10" t="s">
        <v>5455</v>
      </c>
      <c r="AA240" t="s">
        <v>4826</v>
      </c>
      <c r="AC240" t="str">
        <f t="shared" si="65"/>
        <v>破壊する</v>
      </c>
      <c r="AD240" t="str">
        <f t="shared" si="66"/>
        <v/>
      </c>
      <c r="AE240" t="str">
        <f t="shared" si="67"/>
        <v/>
      </c>
      <c r="AF240" t="str">
        <f t="shared" si="68"/>
        <v/>
      </c>
      <c r="AG240" t="b">
        <f t="shared" si="69"/>
        <v>0</v>
      </c>
      <c r="AH240" s="9"/>
      <c r="AI240" t="s">
        <v>4926</v>
      </c>
      <c r="AJ240" t="s">
        <v>1518</v>
      </c>
      <c r="AK240" t="s">
        <v>1451</v>
      </c>
      <c r="AL240">
        <v>7</v>
      </c>
      <c r="AM240" t="s">
        <v>5453</v>
      </c>
      <c r="AN240" t="s">
        <v>5454</v>
      </c>
      <c r="AO240" t="s">
        <v>1453</v>
      </c>
      <c r="AQ240" t="s">
        <v>4756</v>
      </c>
      <c r="AR240" t="s">
        <v>4756</v>
      </c>
      <c r="AS240" t="s">
        <v>5455</v>
      </c>
    </row>
    <row r="241" spans="1:45" x14ac:dyDescent="0.15">
      <c r="A241" t="str">
        <f t="shared" si="56"/>
        <v>|HOUM|白|19||《[[ハルマゲドン]]》|</v>
      </c>
      <c r="B241" t="s">
        <v>3168</v>
      </c>
      <c r="C241" t="str">
        <f t="shared" si="57"/>
        <v>HOUM</v>
      </c>
      <c r="D241">
        <f>IF(AI241="","",VLOOKUP(C241,tnpl!$Z$1:$AA$11,2,TRUE))</f>
        <v>5</v>
      </c>
      <c r="E241" t="s">
        <v>3168</v>
      </c>
      <c r="F241" t="str">
        <f t="shared" si="58"/>
        <v>白</v>
      </c>
      <c r="G241">
        <f>IF(AJ241="","",VLOOKUP(F241,tnpl!$X$1:$Y$16,2,TRUE))</f>
        <v>1</v>
      </c>
      <c r="H241" t="s">
        <v>3168</v>
      </c>
      <c r="I241">
        <f t="shared" si="59"/>
        <v>19</v>
      </c>
      <c r="J241" t="s">
        <v>3168</v>
      </c>
      <c r="K241" t="str">
        <f t="shared" si="60"/>
        <v/>
      </c>
      <c r="L241" t="str">
        <f t="shared" si="61"/>
        <v/>
      </c>
      <c r="M241" t="str">
        <f t="shared" si="62"/>
        <v/>
      </c>
      <c r="R241" t="s">
        <v>3175</v>
      </c>
      <c r="S241" t="s">
        <v>4750</v>
      </c>
      <c r="T241" t="str">
        <f t="shared" si="63"/>
        <v>ハルマゲドン</v>
      </c>
      <c r="U241" t="str">
        <f t="shared" si="64"/>
        <v/>
      </c>
      <c r="V241" t="str">
        <f>IF(I241=0,VLOOKUP(T241,Sheet4!A:B,2,TRUE),"")</f>
        <v/>
      </c>
      <c r="W241" t="s">
        <v>4751</v>
      </c>
      <c r="X241" t="s">
        <v>3175</v>
      </c>
      <c r="Y241" s="9"/>
      <c r="Z241" s="10" t="s">
        <v>5477</v>
      </c>
      <c r="AA241" t="s">
        <v>4828</v>
      </c>
      <c r="AC241" t="str">
        <f t="shared" si="65"/>
        <v>破壊する</v>
      </c>
      <c r="AD241" t="str">
        <f t="shared" si="66"/>
        <v/>
      </c>
      <c r="AE241" t="str">
        <f t="shared" si="67"/>
        <v/>
      </c>
      <c r="AF241" t="str">
        <f t="shared" si="68"/>
        <v/>
      </c>
      <c r="AG241" t="b">
        <f t="shared" si="69"/>
        <v>0</v>
      </c>
      <c r="AH241" s="9"/>
      <c r="AI241" t="s">
        <v>5474</v>
      </c>
      <c r="AJ241" t="s">
        <v>1627</v>
      </c>
      <c r="AK241" t="s">
        <v>3161</v>
      </c>
      <c r="AL241">
        <v>19</v>
      </c>
      <c r="AM241" t="s">
        <v>5475</v>
      </c>
      <c r="AN241" t="s">
        <v>5476</v>
      </c>
      <c r="AO241" t="s">
        <v>1453</v>
      </c>
      <c r="AQ241" t="s">
        <v>4756</v>
      </c>
      <c r="AR241" t="s">
        <v>4756</v>
      </c>
      <c r="AS241" t="s">
        <v>5477</v>
      </c>
    </row>
    <row r="242" spans="1:45" x14ac:dyDescent="0.15">
      <c r="A242" t="str">
        <f t="shared" si="56"/>
        <v>|HOUM|赤|6||《[[沸騰]]》|</v>
      </c>
      <c r="B242" t="s">
        <v>3168</v>
      </c>
      <c r="C242" t="str">
        <f t="shared" si="57"/>
        <v>HOUM</v>
      </c>
      <c r="D242">
        <f>IF(AI242="","",VLOOKUP(C242,tnpl!$Z$1:$AA$11,2,TRUE))</f>
        <v>5</v>
      </c>
      <c r="E242" t="s">
        <v>3168</v>
      </c>
      <c r="F242" t="str">
        <f t="shared" si="58"/>
        <v>赤</v>
      </c>
      <c r="G242">
        <f>IF(AJ242="","",VLOOKUP(F242,tnpl!$X$1:$Y$16,2,TRUE))</f>
        <v>4</v>
      </c>
      <c r="H242" t="s">
        <v>3168</v>
      </c>
      <c r="I242">
        <f t="shared" si="59"/>
        <v>6</v>
      </c>
      <c r="J242" t="s">
        <v>3168</v>
      </c>
      <c r="K242" t="str">
        <f t="shared" si="60"/>
        <v/>
      </c>
      <c r="L242" t="str">
        <f t="shared" si="61"/>
        <v/>
      </c>
      <c r="M242" t="str">
        <f t="shared" si="62"/>
        <v/>
      </c>
      <c r="R242" t="s">
        <v>3175</v>
      </c>
      <c r="S242" t="s">
        <v>4750</v>
      </c>
      <c r="T242" t="str">
        <f t="shared" si="63"/>
        <v>沸騰</v>
      </c>
      <c r="U242" t="str">
        <f t="shared" si="64"/>
        <v/>
      </c>
      <c r="V242" t="str">
        <f>IF(I242=0,VLOOKUP(T242,Sheet4!A:B,2,TRUE),"")</f>
        <v/>
      </c>
      <c r="W242" t="s">
        <v>4751</v>
      </c>
      <c r="X242" t="s">
        <v>3175</v>
      </c>
      <c r="Y242" s="9"/>
      <c r="Z242" s="10" t="s">
        <v>5484</v>
      </c>
      <c r="AA242" t="s">
        <v>4826</v>
      </c>
      <c r="AB242" t="s">
        <v>4828</v>
      </c>
      <c r="AC242" t="str">
        <f t="shared" si="65"/>
        <v>破壊する</v>
      </c>
      <c r="AD242" t="str">
        <f t="shared" si="66"/>
        <v/>
      </c>
      <c r="AE242" t="str">
        <f t="shared" si="67"/>
        <v/>
      </c>
      <c r="AF242" t="str">
        <f t="shared" si="68"/>
        <v>破壊し</v>
      </c>
      <c r="AG242" t="b">
        <f t="shared" si="69"/>
        <v>0</v>
      </c>
      <c r="AH242" s="9"/>
      <c r="AI242" t="s">
        <v>5474</v>
      </c>
      <c r="AJ242" t="s">
        <v>1552</v>
      </c>
      <c r="AK242" t="s">
        <v>3161</v>
      </c>
      <c r="AL242">
        <v>6</v>
      </c>
      <c r="AM242" t="s">
        <v>5482</v>
      </c>
      <c r="AN242" t="s">
        <v>5483</v>
      </c>
      <c r="AO242" t="s">
        <v>1453</v>
      </c>
      <c r="AQ242" t="s">
        <v>4756</v>
      </c>
      <c r="AR242" t="s">
        <v>4756</v>
      </c>
      <c r="AS242" t="s">
        <v>5484</v>
      </c>
    </row>
    <row r="243" spans="1:45" x14ac:dyDescent="0.15">
      <c r="A243" t="str">
        <f t="shared" si="56"/>
        <v>|HOUM|黒|12||《[[無慈悲]]》|</v>
      </c>
      <c r="B243" t="s">
        <v>3168</v>
      </c>
      <c r="C243" t="str">
        <f t="shared" si="57"/>
        <v>HOUM</v>
      </c>
      <c r="D243">
        <f>IF(AI243="","",VLOOKUP(C243,tnpl!$Z$1:$AA$11,2,TRUE))</f>
        <v>5</v>
      </c>
      <c r="E243" t="s">
        <v>3168</v>
      </c>
      <c r="F243" t="str">
        <f t="shared" si="58"/>
        <v>黒</v>
      </c>
      <c r="G243">
        <f>IF(AJ243="","",VLOOKUP(F243,tnpl!$X$1:$Y$16,2,TRUE))</f>
        <v>3</v>
      </c>
      <c r="H243" t="s">
        <v>3168</v>
      </c>
      <c r="I243">
        <f t="shared" si="59"/>
        <v>12</v>
      </c>
      <c r="J243" t="s">
        <v>3168</v>
      </c>
      <c r="K243" t="str">
        <f t="shared" si="60"/>
        <v/>
      </c>
      <c r="L243" t="str">
        <f t="shared" si="61"/>
        <v/>
      </c>
      <c r="M243" t="str">
        <f t="shared" si="62"/>
        <v/>
      </c>
      <c r="R243" t="s">
        <v>3175</v>
      </c>
      <c r="S243" t="s">
        <v>4750</v>
      </c>
      <c r="T243" t="str">
        <f t="shared" si="63"/>
        <v>無慈悲</v>
      </c>
      <c r="U243" t="str">
        <f t="shared" si="64"/>
        <v/>
      </c>
      <c r="V243" t="str">
        <f>IF(I243=0,VLOOKUP(T243,Sheet4!A:B,2,TRUE),"")</f>
        <v/>
      </c>
      <c r="W243" t="s">
        <v>4751</v>
      </c>
      <c r="X243" t="s">
        <v>3175</v>
      </c>
      <c r="Y243" s="9"/>
      <c r="Z243" s="10" t="s">
        <v>5493</v>
      </c>
      <c r="AA243" t="s">
        <v>4825</v>
      </c>
      <c r="AC243" t="str">
        <f t="shared" si="65"/>
        <v>破壊する</v>
      </c>
      <c r="AD243" t="str">
        <f t="shared" si="66"/>
        <v/>
      </c>
      <c r="AE243" t="str">
        <f t="shared" si="67"/>
        <v/>
      </c>
      <c r="AF243" t="str">
        <f t="shared" si="68"/>
        <v/>
      </c>
      <c r="AG243" t="b">
        <f t="shared" si="69"/>
        <v>0</v>
      </c>
      <c r="AH243" s="9"/>
      <c r="AI243" t="s">
        <v>5474</v>
      </c>
      <c r="AJ243" t="s">
        <v>1582</v>
      </c>
      <c r="AK243" t="s">
        <v>3161</v>
      </c>
      <c r="AL243">
        <v>12</v>
      </c>
      <c r="AM243" t="s">
        <v>5491</v>
      </c>
      <c r="AN243" t="s">
        <v>5492</v>
      </c>
      <c r="AO243" t="s">
        <v>288</v>
      </c>
      <c r="AQ243" t="s">
        <v>4756</v>
      </c>
      <c r="AR243" t="s">
        <v>4756</v>
      </c>
      <c r="AS243" t="s">
        <v>5493</v>
      </c>
    </row>
    <row r="244" spans="1:45" x14ac:dyDescent="0.15">
      <c r="A244" t="str">
        <f t="shared" si="56"/>
        <v>|HOUM|赤|7||《[[粉砕の嵐]]》|</v>
      </c>
      <c r="B244" t="s">
        <v>3168</v>
      </c>
      <c r="C244" t="str">
        <f t="shared" si="57"/>
        <v>HOUM</v>
      </c>
      <c r="D244">
        <f>IF(AI244="","",VLOOKUP(C244,tnpl!$Z$1:$AA$11,2,TRUE))</f>
        <v>5</v>
      </c>
      <c r="E244" t="s">
        <v>3168</v>
      </c>
      <c r="F244" t="str">
        <f t="shared" si="58"/>
        <v>赤</v>
      </c>
      <c r="G244">
        <f>IF(AJ244="","",VLOOKUP(F244,tnpl!$X$1:$Y$16,2,TRUE))</f>
        <v>4</v>
      </c>
      <c r="H244" t="s">
        <v>3168</v>
      </c>
      <c r="I244">
        <f t="shared" si="59"/>
        <v>7</v>
      </c>
      <c r="J244" t="s">
        <v>3168</v>
      </c>
      <c r="K244" t="str">
        <f t="shared" si="60"/>
        <v/>
      </c>
      <c r="L244" t="str">
        <f t="shared" si="61"/>
        <v/>
      </c>
      <c r="M244" t="str">
        <f t="shared" si="62"/>
        <v/>
      </c>
      <c r="R244" t="s">
        <v>3175</v>
      </c>
      <c r="S244" t="s">
        <v>4750</v>
      </c>
      <c r="T244" t="str">
        <f t="shared" si="63"/>
        <v>粉砕の嵐</v>
      </c>
      <c r="U244" t="str">
        <f t="shared" si="64"/>
        <v/>
      </c>
      <c r="V244" t="str">
        <f>IF(I244=0,VLOOKUP(T244,Sheet4!A:B,2,TRUE),"")</f>
        <v/>
      </c>
      <c r="W244" t="s">
        <v>4751</v>
      </c>
      <c r="X244" t="s">
        <v>3175</v>
      </c>
      <c r="Y244" s="9"/>
      <c r="Z244" s="10" t="s">
        <v>5500</v>
      </c>
      <c r="AA244" t="s">
        <v>4826</v>
      </c>
      <c r="AC244" t="str">
        <f t="shared" si="65"/>
        <v>破壊する</v>
      </c>
      <c r="AD244" t="str">
        <f t="shared" si="66"/>
        <v/>
      </c>
      <c r="AE244" t="str">
        <f t="shared" si="67"/>
        <v/>
      </c>
      <c r="AF244" t="str">
        <f t="shared" si="68"/>
        <v/>
      </c>
      <c r="AG244" t="b">
        <f t="shared" si="69"/>
        <v>0</v>
      </c>
      <c r="AH244" s="9"/>
      <c r="AI244" t="s">
        <v>5474</v>
      </c>
      <c r="AJ244" t="s">
        <v>1552</v>
      </c>
      <c r="AK244" t="s">
        <v>3161</v>
      </c>
      <c r="AL244">
        <v>7</v>
      </c>
      <c r="AM244" t="s">
        <v>5498</v>
      </c>
      <c r="AN244" t="s">
        <v>5499</v>
      </c>
      <c r="AO244" t="s">
        <v>1453</v>
      </c>
      <c r="AQ244" t="s">
        <v>4756</v>
      </c>
      <c r="AR244" t="s">
        <v>4756</v>
      </c>
      <c r="AS244" t="s">
        <v>5500</v>
      </c>
    </row>
    <row r="245" spans="1:45" x14ac:dyDescent="0.15">
      <c r="A245" t="str">
        <f t="shared" si="56"/>
        <v>|HOUM|黒|1||《[[殺戮の契約]]》|</v>
      </c>
      <c r="B245" t="s">
        <v>3168</v>
      </c>
      <c r="C245" t="str">
        <f t="shared" si="57"/>
        <v>HOUM</v>
      </c>
      <c r="D245">
        <f>IF(AI245="","",VLOOKUP(C245,tnpl!$Z$1:$AA$11,2,TRUE))</f>
        <v>5</v>
      </c>
      <c r="E245" t="s">
        <v>3168</v>
      </c>
      <c r="F245" t="str">
        <f t="shared" si="58"/>
        <v>黒</v>
      </c>
      <c r="G245">
        <f>IF(AJ245="","",VLOOKUP(F245,tnpl!$X$1:$Y$16,2,TRUE))</f>
        <v>3</v>
      </c>
      <c r="H245" t="s">
        <v>3168</v>
      </c>
      <c r="I245">
        <f t="shared" si="59"/>
        <v>1</v>
      </c>
      <c r="J245" t="s">
        <v>3168</v>
      </c>
      <c r="K245" t="str">
        <f t="shared" si="60"/>
        <v/>
      </c>
      <c r="L245" t="str">
        <f t="shared" si="61"/>
        <v/>
      </c>
      <c r="M245" t="str">
        <f t="shared" si="62"/>
        <v/>
      </c>
      <c r="R245" t="s">
        <v>3175</v>
      </c>
      <c r="S245" t="s">
        <v>4750</v>
      </c>
      <c r="T245" t="str">
        <f t="shared" si="63"/>
        <v>殺戮の契約</v>
      </c>
      <c r="U245" t="str">
        <f t="shared" si="64"/>
        <v/>
      </c>
      <c r="V245" t="str">
        <f>IF(I245=0,VLOOKUP(T245,Sheet4!A:B,2,TRUE),"")</f>
        <v/>
      </c>
      <c r="W245" t="s">
        <v>4751</v>
      </c>
      <c r="X245" t="s">
        <v>3175</v>
      </c>
      <c r="Y245" s="9"/>
      <c r="Z245" s="10" t="s">
        <v>5503</v>
      </c>
      <c r="AA245" t="s">
        <v>4825</v>
      </c>
      <c r="AC245" t="str">
        <f t="shared" si="65"/>
        <v>破壊する</v>
      </c>
      <c r="AD245" t="str">
        <f t="shared" si="66"/>
        <v/>
      </c>
      <c r="AE245" t="str">
        <f t="shared" si="67"/>
        <v/>
      </c>
      <c r="AF245" t="str">
        <f t="shared" si="68"/>
        <v/>
      </c>
      <c r="AG245" t="b">
        <f t="shared" si="69"/>
        <v>0</v>
      </c>
      <c r="AH245" s="9"/>
      <c r="AI245" t="s">
        <v>5474</v>
      </c>
      <c r="AJ245" t="s">
        <v>1582</v>
      </c>
      <c r="AK245" t="s">
        <v>3161</v>
      </c>
      <c r="AL245">
        <v>1</v>
      </c>
      <c r="AM245" t="s">
        <v>5501</v>
      </c>
      <c r="AN245" t="s">
        <v>5502</v>
      </c>
      <c r="AO245" t="s">
        <v>1453</v>
      </c>
      <c r="AQ245" t="s">
        <v>4756</v>
      </c>
      <c r="AR245" t="s">
        <v>4756</v>
      </c>
      <c r="AS245" t="s">
        <v>5503</v>
      </c>
    </row>
    <row r="246" spans="1:45" x14ac:dyDescent="0.15">
      <c r="Y246" s="9"/>
      <c r="AH246" s="9"/>
    </row>
    <row r="247" spans="1:45" x14ac:dyDescent="0.15">
      <c r="A247" t="str">
        <f>B247&amp;C247&amp;E247&amp;F247&amp;H247&amp;I247&amp;J247&amp;M247&amp;N247&amp;O247&amp;P247&amp;Q247&amp;R247&amp;S247&amp;T247&amp;U247&amp;V247&amp;W247&amp;X247&amp;Y247</f>
        <v>*クリーチャーを破壊する能力を持つクリーチャー</v>
      </c>
      <c r="B247" t="s">
        <v>3173</v>
      </c>
      <c r="C247" t="s">
        <v>5595</v>
      </c>
      <c r="F247" t="str">
        <f>$C$4</f>
        <v>破壊</v>
      </c>
      <c r="M247" t="s">
        <v>5596</v>
      </c>
      <c r="N247" t="s">
        <v>5597</v>
      </c>
      <c r="Y247" s="9"/>
    </row>
    <row r="248" spans="1:45" x14ac:dyDescent="0.15">
      <c r="A248" t="str">
        <f>B248&amp;C248&amp;E248&amp;F248&amp;H248&amp;I248&amp;J248&amp;M248&amp;N248&amp;O248&amp;P248&amp;Q248&amp;R248&amp;S248&amp;T248&amp;U248&amp;V248&amp;W248&amp;X248&amp;Y248</f>
        <v>|LEFT:50|LEFT:50|LEFT:50|LEFT:50|LEFT:250|LEFT:250|c</v>
      </c>
      <c r="B248" t="s">
        <v>3175</v>
      </c>
      <c r="C248" t="s">
        <v>3162</v>
      </c>
      <c r="E248" t="s">
        <v>3175</v>
      </c>
      <c r="F248" t="s">
        <v>3162</v>
      </c>
      <c r="H248" t="s">
        <v>3175</v>
      </c>
      <c r="I248" t="s">
        <v>3162</v>
      </c>
      <c r="J248" t="s">
        <v>3175</v>
      </c>
      <c r="M248" t="s">
        <v>3162</v>
      </c>
      <c r="N248" t="s">
        <v>3175</v>
      </c>
      <c r="O248" t="s">
        <v>4800</v>
      </c>
      <c r="R248" t="s">
        <v>3175</v>
      </c>
      <c r="T248" t="s">
        <v>4800</v>
      </c>
      <c r="X248" t="s">
        <v>3175</v>
      </c>
      <c r="Y248" s="9" t="s">
        <v>3164</v>
      </c>
    </row>
    <row r="249" spans="1:45" x14ac:dyDescent="0.15">
      <c r="A249" t="str">
        <f>B249&amp;C249&amp;E249&amp;F249&amp;H249&amp;I249&amp;J249&amp;M249&amp;N249&amp;O249&amp;P249&amp;Q249&amp;R249&amp;S249&amp;T249&amp;U249&amp;V249&amp;W249&amp;X249&amp;Y249</f>
        <v>|セット|色|コスト|P/T|能力|カード名|</v>
      </c>
      <c r="B249" t="s">
        <v>3168</v>
      </c>
      <c r="C249" t="s">
        <v>3169</v>
      </c>
      <c r="E249" t="s">
        <v>3168</v>
      </c>
      <c r="F249" t="s">
        <v>3139</v>
      </c>
      <c r="H249" t="s">
        <v>3168</v>
      </c>
      <c r="I249" t="s">
        <v>3165</v>
      </c>
      <c r="J249" t="s">
        <v>3168</v>
      </c>
      <c r="K249" t="s">
        <v>3126</v>
      </c>
      <c r="L249" t="s">
        <v>3125</v>
      </c>
      <c r="M249" t="str">
        <f>K249&amp;"/"&amp;L249</f>
        <v>P/T</v>
      </c>
      <c r="N249" t="s">
        <v>3175</v>
      </c>
      <c r="O249" t="s">
        <v>3174</v>
      </c>
      <c r="R249" t="s">
        <v>3175</v>
      </c>
      <c r="T249" t="s">
        <v>3166</v>
      </c>
      <c r="X249" t="s">
        <v>3175</v>
      </c>
      <c r="AG249" t="b">
        <f>OR(AD249="与える",AF249="得る")</f>
        <v>0</v>
      </c>
    </row>
    <row r="250" spans="1:45" x14ac:dyDescent="0.15">
      <c r="Y250" s="9"/>
      <c r="Z250"/>
    </row>
    <row r="251" spans="1:45" x14ac:dyDescent="0.15">
      <c r="Y251" s="9"/>
      <c r="Z251"/>
    </row>
    <row r="252" spans="1:45" x14ac:dyDescent="0.15">
      <c r="A252" t="str">
        <f>B252&amp;C252&amp;E252&amp;F252&amp;H252&amp;I252&amp;J252&amp;M252&amp;N252&amp;O252&amp;P252&amp;Q252&amp;R252&amp;S252&amp;T252&amp;U252&amp;V252&amp;W252&amp;X252&amp;Y252</f>
        <v>*クリーチャーを破壊する能力を持つ呪文</v>
      </c>
      <c r="B252" t="s">
        <v>3173</v>
      </c>
      <c r="C252" t="s">
        <v>5595</v>
      </c>
      <c r="F252" t="str">
        <f>$C$4</f>
        <v>破壊</v>
      </c>
      <c r="M252" t="s">
        <v>5596</v>
      </c>
      <c r="N252" t="s">
        <v>5598</v>
      </c>
    </row>
    <row r="253" spans="1:45" x14ac:dyDescent="0.15">
      <c r="A253" t="str">
        <f>B253&amp;C253&amp;E253&amp;F253&amp;H253&amp;I253&amp;J253&amp;M253&amp;N253&amp;O253&amp;P253&amp;Q253&amp;R253&amp;S253&amp;T253&amp;U253&amp;V253&amp;W253&amp;X253&amp;Y253</f>
        <v>|LEFT:50|LEFT:50|LEFT:50|LEFT:250|LEFT:250|c</v>
      </c>
      <c r="B253" t="s">
        <v>3175</v>
      </c>
      <c r="C253" t="s">
        <v>3162</v>
      </c>
      <c r="E253" t="s">
        <v>3175</v>
      </c>
      <c r="F253" t="s">
        <v>3162</v>
      </c>
      <c r="H253" t="s">
        <v>3175</v>
      </c>
      <c r="I253" t="s">
        <v>3162</v>
      </c>
      <c r="J253" t="s">
        <v>3175</v>
      </c>
      <c r="O253" t="s">
        <v>4800</v>
      </c>
      <c r="R253" t="s">
        <v>3175</v>
      </c>
      <c r="T253" t="s">
        <v>4800</v>
      </c>
      <c r="X253" t="s">
        <v>3175</v>
      </c>
      <c r="Y253" t="s">
        <v>3164</v>
      </c>
    </row>
    <row r="254" spans="1:45" x14ac:dyDescent="0.15">
      <c r="A254" t="str">
        <f>B254&amp;C254&amp;E254&amp;F254&amp;H254&amp;I254&amp;J254&amp;M254&amp;N254&amp;O254&amp;P254&amp;Q254&amp;R254&amp;S254&amp;T254&amp;U254&amp;V254&amp;W254&amp;X254&amp;Y254</f>
        <v>|セット|色|コスト|能力|カード名|</v>
      </c>
      <c r="B254" t="s">
        <v>3175</v>
      </c>
      <c r="C254" t="s">
        <v>4805</v>
      </c>
      <c r="E254" t="s">
        <v>3175</v>
      </c>
      <c r="F254" t="s">
        <v>3139</v>
      </c>
      <c r="H254" t="s">
        <v>3175</v>
      </c>
      <c r="I254" t="s">
        <v>3165</v>
      </c>
      <c r="J254" t="s">
        <v>3175</v>
      </c>
      <c r="K254" t="s">
        <v>4806</v>
      </c>
      <c r="L254" t="s">
        <v>4807</v>
      </c>
      <c r="O254" t="s">
        <v>3174</v>
      </c>
      <c r="R254" t="s">
        <v>3175</v>
      </c>
      <c r="T254" t="s">
        <v>3166</v>
      </c>
      <c r="X254" t="s">
        <v>3175</v>
      </c>
    </row>
    <row r="255" spans="1:45" x14ac:dyDescent="0.15">
      <c r="Y255" s="9"/>
      <c r="Z255"/>
    </row>
    <row r="257" spans="1:45" x14ac:dyDescent="0.15">
      <c r="A257" t="str">
        <f>B257&amp;C257&amp;E257&amp;F257&amp;H257&amp;I257&amp;J257&amp;M257&amp;N257&amp;O257&amp;P257&amp;Q257&amp;R257&amp;S257&amp;T257&amp;U257&amp;V257&amp;W257&amp;X257&amp;Y257</f>
        <v>*クリーチャーを破壊する能力を持つサポート</v>
      </c>
      <c r="B257" t="s">
        <v>3173</v>
      </c>
      <c r="C257" t="s">
        <v>5595</v>
      </c>
      <c r="F257" t="str">
        <f>$C$4</f>
        <v>破壊</v>
      </c>
      <c r="M257" t="s">
        <v>5596</v>
      </c>
      <c r="N257" t="s">
        <v>5599</v>
      </c>
    </row>
    <row r="258" spans="1:45" x14ac:dyDescent="0.15">
      <c r="A258" t="str">
        <f>B258&amp;C258&amp;E258&amp;F258&amp;H258&amp;I258&amp;J258&amp;M258&amp;N258&amp;O258&amp;P258&amp;Q258&amp;R258&amp;S258&amp;T258&amp;U258&amp;V258&amp;W258&amp;X258&amp;Y258</f>
        <v>|LEFT:50|LEFT:50|LEFT:50|LEFT:250|LEFT:250|c</v>
      </c>
      <c r="B258" t="s">
        <v>3175</v>
      </c>
      <c r="C258" t="s">
        <v>3162</v>
      </c>
      <c r="E258" t="s">
        <v>3175</v>
      </c>
      <c r="F258" t="s">
        <v>3162</v>
      </c>
      <c r="H258" t="s">
        <v>3175</v>
      </c>
      <c r="I258" t="s">
        <v>3162</v>
      </c>
      <c r="J258" t="s">
        <v>3175</v>
      </c>
      <c r="O258" t="s">
        <v>4800</v>
      </c>
      <c r="R258" t="s">
        <v>3175</v>
      </c>
      <c r="T258" t="s">
        <v>4800</v>
      </c>
      <c r="X258" t="s">
        <v>3175</v>
      </c>
      <c r="Y258" t="s">
        <v>3164</v>
      </c>
    </row>
    <row r="259" spans="1:45" x14ac:dyDescent="0.15">
      <c r="A259" t="str">
        <f>B259&amp;C259&amp;E259&amp;F259&amp;H259&amp;I259&amp;J259&amp;M259&amp;N259&amp;O259&amp;P259&amp;Q259&amp;R259&amp;S259&amp;T259&amp;U259&amp;V259&amp;W259&amp;X259&amp;Y259</f>
        <v>|セット|色|コスト|能力|カード名|</v>
      </c>
      <c r="B259" t="s">
        <v>3175</v>
      </c>
      <c r="C259" t="s">
        <v>4805</v>
      </c>
      <c r="E259" t="s">
        <v>3175</v>
      </c>
      <c r="F259" t="s">
        <v>3139</v>
      </c>
      <c r="H259" t="s">
        <v>3175</v>
      </c>
      <c r="I259" t="s">
        <v>3165</v>
      </c>
      <c r="J259" t="s">
        <v>3175</v>
      </c>
      <c r="K259" t="s">
        <v>4806</v>
      </c>
      <c r="L259" t="s">
        <v>4807</v>
      </c>
      <c r="O259" t="s">
        <v>3174</v>
      </c>
      <c r="R259" t="s">
        <v>3175</v>
      </c>
      <c r="T259" t="s">
        <v>3166</v>
      </c>
      <c r="X259" t="s">
        <v>3175</v>
      </c>
    </row>
    <row r="260" spans="1:45" x14ac:dyDescent="0.15">
      <c r="Y260" s="9"/>
    </row>
    <row r="261" spans="1:45" x14ac:dyDescent="0.15">
      <c r="Y261" s="9"/>
      <c r="Z261"/>
      <c r="AH261" t="s">
        <v>5600</v>
      </c>
    </row>
    <row r="262" spans="1:45" x14ac:dyDescent="0.15">
      <c r="Y262" s="9"/>
      <c r="Z262" t="s">
        <v>3056</v>
      </c>
      <c r="AH262" s="3">
        <v>24</v>
      </c>
      <c r="AI262" s="2" t="s">
        <v>3176</v>
      </c>
      <c r="AJ262" s="1" t="s">
        <v>1627</v>
      </c>
      <c r="AK262" s="1" t="s">
        <v>1451</v>
      </c>
      <c r="AL262" s="1">
        <v>6</v>
      </c>
      <c r="AM262" s="1" t="s">
        <v>3058</v>
      </c>
      <c r="AN262" s="1" t="s">
        <v>3057</v>
      </c>
      <c r="AO262" s="1" t="s">
        <v>1453</v>
      </c>
      <c r="AP262" s="1"/>
      <c r="AQ262" s="1"/>
      <c r="AR262" s="1"/>
      <c r="AS262" s="1" t="s">
        <v>3056</v>
      </c>
    </row>
    <row r="263" spans="1:45" x14ac:dyDescent="0.15">
      <c r="Z263" s="10" t="s">
        <v>3049</v>
      </c>
      <c r="AH263" s="3">
        <v>26</v>
      </c>
      <c r="AI263" s="2" t="s">
        <v>3176</v>
      </c>
      <c r="AJ263" s="1" t="s">
        <v>1627</v>
      </c>
      <c r="AK263" s="1" t="s">
        <v>1451</v>
      </c>
      <c r="AL263" s="1">
        <v>6</v>
      </c>
      <c r="AM263" s="1" t="s">
        <v>3051</v>
      </c>
      <c r="AN263" s="1" t="s">
        <v>3050</v>
      </c>
      <c r="AO263" s="1" t="s">
        <v>1453</v>
      </c>
      <c r="AP263" s="1"/>
      <c r="AQ263" s="1"/>
      <c r="AR263" s="1"/>
      <c r="AS263" s="1" t="s">
        <v>3049</v>
      </c>
    </row>
    <row r="264" spans="1:45" x14ac:dyDescent="0.15">
      <c r="Z264" s="10" t="s">
        <v>3018</v>
      </c>
      <c r="AH264" s="3">
        <v>35</v>
      </c>
      <c r="AI264" s="2" t="s">
        <v>3176</v>
      </c>
      <c r="AJ264" s="1" t="s">
        <v>1627</v>
      </c>
      <c r="AK264" s="1" t="s">
        <v>1441</v>
      </c>
      <c r="AL264" s="1">
        <v>8</v>
      </c>
      <c r="AM264" s="1" t="s">
        <v>3020</v>
      </c>
      <c r="AN264" s="1" t="s">
        <v>3019</v>
      </c>
      <c r="AO264" s="1" t="s">
        <v>1453</v>
      </c>
      <c r="AP264" s="1"/>
      <c r="AQ264" s="1"/>
      <c r="AR264" s="1"/>
      <c r="AS264" s="1" t="s">
        <v>3018</v>
      </c>
    </row>
    <row r="265" spans="1:45" x14ac:dyDescent="0.15">
      <c r="Z265" s="10" t="s">
        <v>3007</v>
      </c>
      <c r="AH265" s="3">
        <v>39</v>
      </c>
      <c r="AI265" s="2" t="s">
        <v>3176</v>
      </c>
      <c r="AJ265" s="1" t="s">
        <v>1627</v>
      </c>
      <c r="AK265" s="1" t="s">
        <v>1431</v>
      </c>
      <c r="AL265" s="1">
        <v>10</v>
      </c>
      <c r="AM265" s="1" t="s">
        <v>3009</v>
      </c>
      <c r="AN265" s="1" t="s">
        <v>3008</v>
      </c>
      <c r="AO265" s="1" t="s">
        <v>1453</v>
      </c>
      <c r="AP265" s="1"/>
      <c r="AQ265" s="1"/>
      <c r="AR265" s="1"/>
      <c r="AS265" s="1" t="s">
        <v>3007</v>
      </c>
    </row>
    <row r="266" spans="1:45" x14ac:dyDescent="0.15">
      <c r="Z266" s="10" t="s">
        <v>2895</v>
      </c>
      <c r="AH266" s="3">
        <v>76</v>
      </c>
      <c r="AI266" s="2" t="s">
        <v>3176</v>
      </c>
      <c r="AJ266" s="1" t="s">
        <v>1606</v>
      </c>
      <c r="AK266" s="1" t="s">
        <v>1441</v>
      </c>
      <c r="AL266" s="1">
        <v>9</v>
      </c>
      <c r="AM266" s="1" t="s">
        <v>2897</v>
      </c>
      <c r="AN266" s="1" t="s">
        <v>2896</v>
      </c>
      <c r="AO266" s="1" t="s">
        <v>1453</v>
      </c>
      <c r="AP266" s="1"/>
      <c r="AQ266" s="1"/>
      <c r="AR266" s="1"/>
      <c r="AS266" s="1" t="s">
        <v>2895</v>
      </c>
    </row>
    <row r="267" spans="1:45" x14ac:dyDescent="0.15">
      <c r="Z267" s="10" t="s">
        <v>3220</v>
      </c>
      <c r="AH267" s="3">
        <v>79</v>
      </c>
      <c r="AI267" s="2" t="s">
        <v>3176</v>
      </c>
      <c r="AJ267" s="1" t="s">
        <v>1606</v>
      </c>
      <c r="AK267" s="1" t="s">
        <v>1431</v>
      </c>
      <c r="AL267" s="1">
        <v>12</v>
      </c>
      <c r="AM267" s="1" t="s">
        <v>2888</v>
      </c>
      <c r="AN267" s="1" t="s">
        <v>2887</v>
      </c>
      <c r="AO267" s="1" t="s">
        <v>339</v>
      </c>
      <c r="AP267" s="1"/>
      <c r="AQ267" s="1">
        <v>1</v>
      </c>
      <c r="AR267" s="1">
        <v>3</v>
      </c>
      <c r="AS267" s="1" t="s">
        <v>3220</v>
      </c>
    </row>
    <row r="268" spans="1:45" x14ac:dyDescent="0.15">
      <c r="Z268" s="10" t="s">
        <v>2847</v>
      </c>
      <c r="AH268" s="3">
        <v>94</v>
      </c>
      <c r="AI268" s="2" t="s">
        <v>3176</v>
      </c>
      <c r="AJ268" s="1" t="s">
        <v>1582</v>
      </c>
      <c r="AK268" s="1" t="s">
        <v>1744</v>
      </c>
      <c r="AL268" s="1">
        <v>3</v>
      </c>
      <c r="AM268" s="1" t="s">
        <v>2849</v>
      </c>
      <c r="AN268" s="1" t="s">
        <v>2848</v>
      </c>
      <c r="AO268" s="1" t="s">
        <v>1453</v>
      </c>
      <c r="AP268" s="1"/>
      <c r="AQ268" s="1"/>
      <c r="AR268" s="1"/>
      <c r="AS268" s="1" t="s">
        <v>2847</v>
      </c>
    </row>
    <row r="269" spans="1:45" x14ac:dyDescent="0.15">
      <c r="Z269" s="10" t="s">
        <v>2836</v>
      </c>
      <c r="AH269" s="3">
        <v>98</v>
      </c>
      <c r="AI269" s="2" t="s">
        <v>3176</v>
      </c>
      <c r="AJ269" s="1" t="s">
        <v>1582</v>
      </c>
      <c r="AK269" s="1" t="s">
        <v>1451</v>
      </c>
      <c r="AL269" s="1">
        <v>10</v>
      </c>
      <c r="AM269" s="1" t="s">
        <v>2837</v>
      </c>
      <c r="AN269" s="1" t="s">
        <v>3231</v>
      </c>
      <c r="AO269" s="1" t="s">
        <v>339</v>
      </c>
      <c r="AP269" s="1"/>
      <c r="AQ269" s="1">
        <v>5</v>
      </c>
      <c r="AR269" s="1">
        <v>3</v>
      </c>
      <c r="AS269" s="1" t="s">
        <v>2836</v>
      </c>
    </row>
    <row r="270" spans="1:45" x14ac:dyDescent="0.15">
      <c r="Z270" s="10" t="s">
        <v>2819</v>
      </c>
      <c r="AH270" s="3">
        <v>104</v>
      </c>
      <c r="AI270" s="2" t="s">
        <v>3176</v>
      </c>
      <c r="AJ270" s="1" t="s">
        <v>1582</v>
      </c>
      <c r="AK270" s="1" t="s">
        <v>1451</v>
      </c>
      <c r="AL270" s="1">
        <v>8</v>
      </c>
      <c r="AM270" s="1" t="s">
        <v>2821</v>
      </c>
      <c r="AN270" s="1" t="s">
        <v>2820</v>
      </c>
      <c r="AO270" s="1" t="s">
        <v>1453</v>
      </c>
      <c r="AP270" s="1"/>
      <c r="AQ270" s="1"/>
      <c r="AR270" s="1"/>
      <c r="AS270" s="1" t="s">
        <v>2819</v>
      </c>
    </row>
    <row r="271" spans="1:45" x14ac:dyDescent="0.15">
      <c r="Z271" s="10" t="s">
        <v>2810</v>
      </c>
      <c r="AH271" s="3">
        <v>107</v>
      </c>
      <c r="AI271" s="2" t="s">
        <v>3176</v>
      </c>
      <c r="AJ271" s="1" t="s">
        <v>1582</v>
      </c>
      <c r="AK271" s="1" t="s">
        <v>1451</v>
      </c>
      <c r="AL271" s="1">
        <v>6</v>
      </c>
      <c r="AM271" s="1" t="s">
        <v>2812</v>
      </c>
      <c r="AN271" s="1" t="s">
        <v>2811</v>
      </c>
      <c r="AO271" s="1" t="s">
        <v>1453</v>
      </c>
      <c r="AP271" s="1"/>
      <c r="AQ271" s="1"/>
      <c r="AR271" s="1"/>
      <c r="AS271" s="1" t="s">
        <v>2810</v>
      </c>
    </row>
    <row r="272" spans="1:45" x14ac:dyDescent="0.15">
      <c r="Z272" s="10" t="s">
        <v>2781</v>
      </c>
      <c r="AH272" s="3">
        <v>117</v>
      </c>
      <c r="AI272" s="2" t="s">
        <v>3176</v>
      </c>
      <c r="AJ272" s="1" t="s">
        <v>1582</v>
      </c>
      <c r="AK272" s="1" t="s">
        <v>1441</v>
      </c>
      <c r="AL272" s="1">
        <v>8</v>
      </c>
      <c r="AM272" s="1" t="s">
        <v>2783</v>
      </c>
      <c r="AN272" s="1" t="s">
        <v>2782</v>
      </c>
      <c r="AO272" s="1" t="s">
        <v>1453</v>
      </c>
      <c r="AP272" s="1"/>
      <c r="AQ272" s="1"/>
      <c r="AR272" s="1"/>
      <c r="AS272" s="1" t="s">
        <v>2781</v>
      </c>
    </row>
    <row r="273" spans="26:45" x14ac:dyDescent="0.15">
      <c r="Z273" s="10" t="s">
        <v>2693</v>
      </c>
      <c r="AH273" s="3">
        <v>149</v>
      </c>
      <c r="AI273" s="2" t="s">
        <v>3176</v>
      </c>
      <c r="AJ273" s="1" t="s">
        <v>1552</v>
      </c>
      <c r="AK273" s="1" t="s">
        <v>1451</v>
      </c>
      <c r="AL273" s="1">
        <v>1</v>
      </c>
      <c r="AM273" s="1" t="s">
        <v>2695</v>
      </c>
      <c r="AN273" s="1" t="s">
        <v>2694</v>
      </c>
      <c r="AO273" s="1" t="s">
        <v>1453</v>
      </c>
      <c r="AP273" s="1"/>
      <c r="AQ273" s="1"/>
      <c r="AR273" s="1"/>
      <c r="AS273" s="1" t="s">
        <v>2693</v>
      </c>
    </row>
    <row r="274" spans="26:45" x14ac:dyDescent="0.15">
      <c r="Z274" s="10" t="s">
        <v>2589</v>
      </c>
      <c r="AH274" s="3">
        <v>186</v>
      </c>
      <c r="AI274" s="2" t="s">
        <v>3176</v>
      </c>
      <c r="AJ274" s="1" t="s">
        <v>1518</v>
      </c>
      <c r="AK274" s="1" t="s">
        <v>1451</v>
      </c>
      <c r="AL274" s="1">
        <v>3</v>
      </c>
      <c r="AM274" s="1" t="s">
        <v>2591</v>
      </c>
      <c r="AN274" s="1" t="s">
        <v>2590</v>
      </c>
      <c r="AO274" s="1" t="s">
        <v>1453</v>
      </c>
      <c r="AP274" s="1"/>
      <c r="AQ274" s="1"/>
      <c r="AR274" s="1"/>
      <c r="AS274" s="1" t="s">
        <v>2589</v>
      </c>
    </row>
    <row r="275" spans="26:45" x14ac:dyDescent="0.15">
      <c r="Z275" s="10" t="s">
        <v>2544</v>
      </c>
      <c r="AH275" s="3">
        <v>202</v>
      </c>
      <c r="AI275" s="2" t="s">
        <v>3176</v>
      </c>
      <c r="AJ275" s="1" t="s">
        <v>1518</v>
      </c>
      <c r="AK275" s="1" t="s">
        <v>1431</v>
      </c>
      <c r="AL275" s="1">
        <v>15</v>
      </c>
      <c r="AM275" s="1" t="s">
        <v>2546</v>
      </c>
      <c r="AN275" s="1" t="s">
        <v>2545</v>
      </c>
      <c r="AO275" s="1" t="s">
        <v>1453</v>
      </c>
      <c r="AP275" s="1"/>
      <c r="AQ275" s="1"/>
      <c r="AR275" s="1"/>
      <c r="AS275" s="1" t="s">
        <v>2544</v>
      </c>
    </row>
    <row r="276" spans="26:45" x14ac:dyDescent="0.15">
      <c r="Z276" s="10" t="s">
        <v>2410</v>
      </c>
      <c r="AH276" s="3">
        <v>249</v>
      </c>
      <c r="AI276" s="2" t="s">
        <v>3170</v>
      </c>
      <c r="AJ276" s="1" t="s">
        <v>1627</v>
      </c>
      <c r="AK276" s="1" t="s">
        <v>1744</v>
      </c>
      <c r="AL276" s="1">
        <v>5</v>
      </c>
      <c r="AM276" s="1" t="s">
        <v>2412</v>
      </c>
      <c r="AN276" s="1" t="s">
        <v>2411</v>
      </c>
      <c r="AO276" s="1" t="s">
        <v>339</v>
      </c>
      <c r="AP276" s="1"/>
      <c r="AQ276" s="1">
        <v>2</v>
      </c>
      <c r="AR276" s="1">
        <v>2</v>
      </c>
      <c r="AS276" s="1" t="s">
        <v>2410</v>
      </c>
    </row>
    <row r="277" spans="26:45" x14ac:dyDescent="0.15">
      <c r="Z277" s="10" t="s">
        <v>2378</v>
      </c>
      <c r="AH277" s="3">
        <v>260</v>
      </c>
      <c r="AI277" s="2" t="s">
        <v>3170</v>
      </c>
      <c r="AJ277" s="1" t="s">
        <v>1627</v>
      </c>
      <c r="AK277" s="1" t="s">
        <v>1744</v>
      </c>
      <c r="AL277" s="1">
        <v>8</v>
      </c>
      <c r="AM277" s="1" t="s">
        <v>2382</v>
      </c>
      <c r="AN277" s="1" t="s">
        <v>2381</v>
      </c>
      <c r="AO277" s="1" t="s">
        <v>1453</v>
      </c>
      <c r="AP277" s="1"/>
      <c r="AQ277" s="1"/>
      <c r="AR277" s="1"/>
      <c r="AS277" s="1" t="s">
        <v>2378</v>
      </c>
    </row>
    <row r="278" spans="26:45" x14ac:dyDescent="0.15">
      <c r="Z278" s="10" t="s">
        <v>2375</v>
      </c>
      <c r="AH278" s="3">
        <v>261</v>
      </c>
      <c r="AI278" s="2" t="s">
        <v>3170</v>
      </c>
      <c r="AJ278" s="1" t="s">
        <v>1627</v>
      </c>
      <c r="AK278" s="1" t="s">
        <v>1744</v>
      </c>
      <c r="AL278" s="1">
        <v>8</v>
      </c>
      <c r="AM278" s="1" t="s">
        <v>2377</v>
      </c>
      <c r="AN278" s="1" t="s">
        <v>2376</v>
      </c>
      <c r="AO278" s="1" t="s">
        <v>1453</v>
      </c>
      <c r="AP278" s="1"/>
      <c r="AQ278" s="1"/>
      <c r="AR278" s="1"/>
      <c r="AS278" s="1" t="s">
        <v>2375</v>
      </c>
    </row>
    <row r="279" spans="26:45" x14ac:dyDescent="0.15">
      <c r="Z279" s="10" t="s">
        <v>2161</v>
      </c>
      <c r="AH279" s="3">
        <v>327</v>
      </c>
      <c r="AI279" s="2" t="s">
        <v>3170</v>
      </c>
      <c r="AJ279" s="1" t="s">
        <v>1582</v>
      </c>
      <c r="AK279" s="1" t="s">
        <v>1744</v>
      </c>
      <c r="AL279" s="1">
        <v>1</v>
      </c>
      <c r="AM279" s="1" t="s">
        <v>2163</v>
      </c>
      <c r="AN279" s="1" t="s">
        <v>2162</v>
      </c>
      <c r="AO279" s="1" t="s">
        <v>1453</v>
      </c>
      <c r="AP279" s="1"/>
      <c r="AQ279" s="1"/>
      <c r="AR279" s="1"/>
      <c r="AS279" s="1" t="s">
        <v>2161</v>
      </c>
    </row>
    <row r="280" spans="26:45" x14ac:dyDescent="0.15">
      <c r="Z280" s="10" t="s">
        <v>2158</v>
      </c>
      <c r="AH280" s="3">
        <v>328</v>
      </c>
      <c r="AI280" s="2" t="s">
        <v>3170</v>
      </c>
      <c r="AJ280" s="1" t="s">
        <v>1582</v>
      </c>
      <c r="AK280" s="1" t="s">
        <v>1744</v>
      </c>
      <c r="AL280" s="1">
        <v>5</v>
      </c>
      <c r="AM280" s="1" t="s">
        <v>2160</v>
      </c>
      <c r="AN280" s="1" t="s">
        <v>2159</v>
      </c>
      <c r="AO280" s="1" t="s">
        <v>1453</v>
      </c>
      <c r="AP280" s="1"/>
      <c r="AQ280" s="1"/>
      <c r="AR280" s="1"/>
      <c r="AS280" s="1" t="s">
        <v>2158</v>
      </c>
    </row>
    <row r="281" spans="26:45" x14ac:dyDescent="0.15">
      <c r="Z281" s="10" t="s">
        <v>3345</v>
      </c>
      <c r="AH281" s="3">
        <v>329</v>
      </c>
      <c r="AI281" s="2" t="s">
        <v>3170</v>
      </c>
      <c r="AJ281" s="1" t="s">
        <v>1582</v>
      </c>
      <c r="AK281" s="1" t="s">
        <v>1744</v>
      </c>
      <c r="AL281" s="1">
        <v>4</v>
      </c>
      <c r="AM281" s="1" t="s">
        <v>2157</v>
      </c>
      <c r="AN281" s="1" t="s">
        <v>2156</v>
      </c>
      <c r="AO281" s="1" t="s">
        <v>1453</v>
      </c>
      <c r="AP281" s="1"/>
      <c r="AQ281" s="1"/>
      <c r="AR281" s="1"/>
      <c r="AS281" s="1" t="s">
        <v>3345</v>
      </c>
    </row>
    <row r="282" spans="26:45" x14ac:dyDescent="0.15">
      <c r="Z282" s="10" t="s">
        <v>3351</v>
      </c>
      <c r="AH282" s="3">
        <v>340</v>
      </c>
      <c r="AI282" s="2" t="s">
        <v>3170</v>
      </c>
      <c r="AJ282" s="1" t="s">
        <v>1582</v>
      </c>
      <c r="AK282" s="1" t="s">
        <v>1451</v>
      </c>
      <c r="AL282" s="1">
        <v>5</v>
      </c>
      <c r="AM282" s="1" t="s">
        <v>2120</v>
      </c>
      <c r="AN282" s="1" t="s">
        <v>2119</v>
      </c>
      <c r="AO282" s="1" t="s">
        <v>1453</v>
      </c>
      <c r="AP282" s="1"/>
      <c r="AQ282" s="1"/>
      <c r="AR282" s="1"/>
      <c r="AS282" s="1" t="s">
        <v>3351</v>
      </c>
    </row>
    <row r="283" spans="26:45" x14ac:dyDescent="0.15">
      <c r="Z283" s="10" t="s">
        <v>2105</v>
      </c>
      <c r="AH283" s="3">
        <v>343</v>
      </c>
      <c r="AI283" s="2" t="s">
        <v>3170</v>
      </c>
      <c r="AJ283" s="1" t="s">
        <v>1582</v>
      </c>
      <c r="AK283" s="1" t="s">
        <v>1451</v>
      </c>
      <c r="AL283" s="1">
        <v>12</v>
      </c>
      <c r="AM283" s="1" t="s">
        <v>2108</v>
      </c>
      <c r="AN283" s="1" t="s">
        <v>2107</v>
      </c>
      <c r="AO283" s="1" t="s">
        <v>288</v>
      </c>
      <c r="AP283" s="1">
        <v>2</v>
      </c>
      <c r="AQ283" s="1"/>
      <c r="AR283" s="1"/>
      <c r="AS283" s="1" t="s">
        <v>2105</v>
      </c>
    </row>
    <row r="284" spans="26:45" x14ac:dyDescent="0.15">
      <c r="Z284" s="10" t="s">
        <v>2099</v>
      </c>
      <c r="AH284" s="3">
        <v>345</v>
      </c>
      <c r="AI284" s="2" t="s">
        <v>3170</v>
      </c>
      <c r="AJ284" s="1" t="s">
        <v>1582</v>
      </c>
      <c r="AK284" s="1" t="s">
        <v>1451</v>
      </c>
      <c r="AL284" s="1">
        <v>1</v>
      </c>
      <c r="AM284" s="1" t="s">
        <v>2101</v>
      </c>
      <c r="AN284" s="1" t="s">
        <v>2100</v>
      </c>
      <c r="AO284" s="1" t="s">
        <v>288</v>
      </c>
      <c r="AP284" s="1">
        <v>2</v>
      </c>
      <c r="AQ284" s="1"/>
      <c r="AR284" s="1"/>
      <c r="AS284" s="1" t="s">
        <v>2099</v>
      </c>
    </row>
    <row r="285" spans="26:45" x14ac:dyDescent="0.15">
      <c r="Z285" s="10" t="s">
        <v>2084</v>
      </c>
      <c r="AH285" s="3">
        <v>349</v>
      </c>
      <c r="AI285" s="2" t="s">
        <v>3170</v>
      </c>
      <c r="AJ285" s="1" t="s">
        <v>1582</v>
      </c>
      <c r="AK285" s="1" t="s">
        <v>1441</v>
      </c>
      <c r="AL285" s="1">
        <v>5</v>
      </c>
      <c r="AM285" s="1" t="s">
        <v>2088</v>
      </c>
      <c r="AN285" s="1" t="s">
        <v>2087</v>
      </c>
      <c r="AO285" s="1" t="s">
        <v>1453</v>
      </c>
      <c r="AP285" s="1"/>
      <c r="AQ285" s="1"/>
      <c r="AR285" s="1"/>
      <c r="AS285" s="1" t="s">
        <v>2084</v>
      </c>
    </row>
    <row r="286" spans="26:45" x14ac:dyDescent="0.15">
      <c r="Z286" s="10" t="s">
        <v>3358</v>
      </c>
      <c r="AH286" s="3">
        <v>351</v>
      </c>
      <c r="AI286" s="2" t="s">
        <v>3170</v>
      </c>
      <c r="AJ286" s="1" t="s">
        <v>1582</v>
      </c>
      <c r="AK286" s="1" t="s">
        <v>1431</v>
      </c>
      <c r="AL286" s="1">
        <v>16</v>
      </c>
      <c r="AM286" s="1" t="s">
        <v>2080</v>
      </c>
      <c r="AN286" s="1" t="s">
        <v>2079</v>
      </c>
      <c r="AO286" s="1" t="s">
        <v>339</v>
      </c>
      <c r="AP286" s="1"/>
      <c r="AQ286" s="1">
        <v>8</v>
      </c>
      <c r="AR286" s="1">
        <v>7</v>
      </c>
      <c r="AS286" s="1" t="s">
        <v>3358</v>
      </c>
    </row>
    <row r="287" spans="26:45" x14ac:dyDescent="0.15">
      <c r="Z287" s="10" t="s">
        <v>3369</v>
      </c>
      <c r="AH287" s="3">
        <v>384</v>
      </c>
      <c r="AI287" s="2" t="s">
        <v>3170</v>
      </c>
      <c r="AJ287" s="1" t="s">
        <v>1552</v>
      </c>
      <c r="AK287" s="1" t="s">
        <v>1441</v>
      </c>
      <c r="AL287" s="1">
        <v>16</v>
      </c>
      <c r="AM287" s="1" t="s">
        <v>1976</v>
      </c>
      <c r="AN287" s="1" t="s">
        <v>1975</v>
      </c>
      <c r="AO287" s="1" t="s">
        <v>339</v>
      </c>
      <c r="AP287" s="1"/>
      <c r="AQ287" s="1">
        <v>7</v>
      </c>
      <c r="AR287" s="1">
        <v>5</v>
      </c>
      <c r="AS287" s="1" t="s">
        <v>3369</v>
      </c>
    </row>
    <row r="288" spans="26:45" x14ac:dyDescent="0.15">
      <c r="Z288" s="10" t="s">
        <v>1913</v>
      </c>
      <c r="AH288" s="3">
        <v>404</v>
      </c>
      <c r="AI288" s="2" t="s">
        <v>3170</v>
      </c>
      <c r="AJ288" s="1" t="s">
        <v>1518</v>
      </c>
      <c r="AK288" s="1" t="s">
        <v>1744</v>
      </c>
      <c r="AL288" s="1">
        <v>4</v>
      </c>
      <c r="AM288" s="1" t="s">
        <v>1915</v>
      </c>
      <c r="AN288" s="1" t="s">
        <v>1914</v>
      </c>
      <c r="AO288" s="1" t="s">
        <v>1453</v>
      </c>
      <c r="AP288" s="1"/>
      <c r="AQ288" s="1"/>
      <c r="AR288" s="1"/>
      <c r="AS288" s="1" t="s">
        <v>1913</v>
      </c>
    </row>
    <row r="289" spans="26:45" x14ac:dyDescent="0.15">
      <c r="Z289" s="10" t="s">
        <v>1760</v>
      </c>
      <c r="AH289" s="3">
        <v>449</v>
      </c>
      <c r="AI289" s="2" t="s">
        <v>3170</v>
      </c>
      <c r="AJ289" s="1" t="s">
        <v>292</v>
      </c>
      <c r="AK289" s="1" t="s">
        <v>1744</v>
      </c>
      <c r="AL289" s="1">
        <v>12</v>
      </c>
      <c r="AM289" s="1" t="s">
        <v>1762</v>
      </c>
      <c r="AN289" s="1" t="s">
        <v>1761</v>
      </c>
      <c r="AO289" s="1" t="s">
        <v>1453</v>
      </c>
      <c r="AP289" s="1"/>
      <c r="AQ289" s="1"/>
      <c r="AR289" s="1"/>
      <c r="AS289" s="1" t="s">
        <v>1760</v>
      </c>
    </row>
    <row r="290" spans="26:45" x14ac:dyDescent="0.15">
      <c r="Z290" s="10" t="s">
        <v>1695</v>
      </c>
      <c r="AH290" s="3">
        <v>471</v>
      </c>
      <c r="AI290" s="2" t="s">
        <v>3170</v>
      </c>
      <c r="AJ290" s="1" t="s">
        <v>292</v>
      </c>
      <c r="AK290" s="1" t="s">
        <v>1441</v>
      </c>
      <c r="AL290" s="1">
        <v>2</v>
      </c>
      <c r="AM290" s="1" t="s">
        <v>1697</v>
      </c>
      <c r="AN290" s="1" t="s">
        <v>1696</v>
      </c>
      <c r="AO290" s="1" t="s">
        <v>1453</v>
      </c>
      <c r="AP290" s="1"/>
      <c r="AQ290" s="1"/>
      <c r="AR290" s="1"/>
      <c r="AS290" s="1" t="s">
        <v>1695</v>
      </c>
    </row>
    <row r="291" spans="26:45" x14ac:dyDescent="0.15">
      <c r="Z291" s="10" t="s">
        <v>1587</v>
      </c>
      <c r="AH291" s="3">
        <v>501</v>
      </c>
      <c r="AI291" s="2" t="s">
        <v>3171</v>
      </c>
      <c r="AJ291" s="1" t="s">
        <v>1582</v>
      </c>
      <c r="AK291" s="1" t="s">
        <v>1441</v>
      </c>
      <c r="AL291" s="1">
        <v>20</v>
      </c>
      <c r="AM291" s="1" t="s">
        <v>1591</v>
      </c>
      <c r="AN291" s="1" t="s">
        <v>1590</v>
      </c>
      <c r="AO291" s="1" t="s">
        <v>1453</v>
      </c>
      <c r="AP291" s="1"/>
      <c r="AQ291" s="1"/>
      <c r="AR291" s="1"/>
      <c r="AS291" s="1" t="s">
        <v>1587</v>
      </c>
    </row>
    <row r="292" spans="26:45" x14ac:dyDescent="0.15">
      <c r="Z292" s="10" t="s">
        <v>3426</v>
      </c>
      <c r="AH292" s="3">
        <v>527</v>
      </c>
      <c r="AI292" s="2" t="s">
        <v>3171</v>
      </c>
      <c r="AJ292" s="1" t="s">
        <v>1474</v>
      </c>
      <c r="AK292" s="1" t="s">
        <v>1441</v>
      </c>
      <c r="AL292" s="1">
        <v>16</v>
      </c>
      <c r="AM292" s="1" t="s">
        <v>1473</v>
      </c>
      <c r="AN292" s="1" t="s">
        <v>1472</v>
      </c>
      <c r="AO292" s="1" t="s">
        <v>339</v>
      </c>
      <c r="AP292" s="1"/>
      <c r="AQ292" s="1">
        <v>5</v>
      </c>
      <c r="AR292" s="1">
        <v>6</v>
      </c>
      <c r="AS292" s="1" t="s">
        <v>3426</v>
      </c>
    </row>
    <row r="293" spans="26:45" x14ac:dyDescent="0.15">
      <c r="Z293" s="10" t="s">
        <v>3466</v>
      </c>
      <c r="AH293" s="3">
        <v>561</v>
      </c>
      <c r="AI293" s="2" t="s">
        <v>3431</v>
      </c>
      <c r="AJ293" s="1" t="s">
        <v>1627</v>
      </c>
      <c r="AK293" s="1" t="s">
        <v>1451</v>
      </c>
      <c r="AL293" s="1">
        <v>8</v>
      </c>
      <c r="AM293" s="1" t="s">
        <v>1385</v>
      </c>
      <c r="AN293" s="1" t="s">
        <v>1384</v>
      </c>
      <c r="AO293" s="1" t="s">
        <v>1453</v>
      </c>
      <c r="AP293" s="1"/>
      <c r="AQ293" s="1"/>
      <c r="AR293" s="1"/>
      <c r="AS293" s="1" t="s">
        <v>3466</v>
      </c>
    </row>
    <row r="294" spans="26:45" x14ac:dyDescent="0.15">
      <c r="Z294" s="10" t="s">
        <v>3469</v>
      </c>
      <c r="AH294" s="3">
        <v>564</v>
      </c>
      <c r="AI294" s="2" t="s">
        <v>3431</v>
      </c>
      <c r="AJ294" s="1" t="s">
        <v>1627</v>
      </c>
      <c r="AK294" s="1" t="s">
        <v>1451</v>
      </c>
      <c r="AL294" s="1">
        <v>9</v>
      </c>
      <c r="AM294" s="1" t="s">
        <v>1379</v>
      </c>
      <c r="AN294" s="1" t="s">
        <v>1378</v>
      </c>
      <c r="AO294" s="1" t="s">
        <v>288</v>
      </c>
      <c r="AP294" s="1">
        <v>1</v>
      </c>
      <c r="AQ294" s="1"/>
      <c r="AR294" s="1"/>
      <c r="AS294" s="1" t="s">
        <v>3469</v>
      </c>
    </row>
    <row r="295" spans="26:45" x14ac:dyDescent="0.15">
      <c r="Z295" s="10" t="s">
        <v>3481</v>
      </c>
      <c r="AH295" s="3">
        <v>569</v>
      </c>
      <c r="AI295" s="2" t="s">
        <v>3431</v>
      </c>
      <c r="AJ295" s="1" t="s">
        <v>1627</v>
      </c>
      <c r="AK295" s="1" t="s">
        <v>1441</v>
      </c>
      <c r="AL295" s="1">
        <v>10</v>
      </c>
      <c r="AM295" s="1" t="s">
        <v>1371</v>
      </c>
      <c r="AN295" s="1" t="s">
        <v>1370</v>
      </c>
      <c r="AO295" s="1" t="s">
        <v>1453</v>
      </c>
      <c r="AP295" s="1"/>
      <c r="AQ295" s="1"/>
      <c r="AR295" s="1"/>
      <c r="AS295" s="1" t="s">
        <v>3481</v>
      </c>
    </row>
    <row r="296" spans="26:45" x14ac:dyDescent="0.15">
      <c r="Z296" s="10" t="s">
        <v>3484</v>
      </c>
      <c r="AH296" s="3">
        <v>571</v>
      </c>
      <c r="AI296" s="2" t="s">
        <v>3431</v>
      </c>
      <c r="AJ296" s="1" t="s">
        <v>1627</v>
      </c>
      <c r="AK296" s="1" t="s">
        <v>1431</v>
      </c>
      <c r="AL296" s="1">
        <v>16</v>
      </c>
      <c r="AM296" s="1" t="s">
        <v>1367</v>
      </c>
      <c r="AN296" s="1" t="s">
        <v>1366</v>
      </c>
      <c r="AO296" s="1" t="s">
        <v>339</v>
      </c>
      <c r="AP296" s="1"/>
      <c r="AQ296" s="1">
        <v>8</v>
      </c>
      <c r="AR296" s="1">
        <v>8</v>
      </c>
      <c r="AS296" s="1" t="s">
        <v>3484</v>
      </c>
    </row>
    <row r="297" spans="26:45" x14ac:dyDescent="0.15">
      <c r="Z297" s="10" t="s">
        <v>3495</v>
      </c>
      <c r="AH297" s="3">
        <v>575</v>
      </c>
      <c r="AI297" s="2" t="s">
        <v>3431</v>
      </c>
      <c r="AJ297" s="1" t="s">
        <v>1627</v>
      </c>
      <c r="AK297" s="1" t="s">
        <v>1431</v>
      </c>
      <c r="AL297" s="1">
        <v>12</v>
      </c>
      <c r="AM297" s="1" t="s">
        <v>1361</v>
      </c>
      <c r="AN297" s="1" t="s">
        <v>1360</v>
      </c>
      <c r="AO297" s="1" t="s">
        <v>1453</v>
      </c>
      <c r="AP297" s="1"/>
      <c r="AQ297" s="1"/>
      <c r="AR297" s="1"/>
      <c r="AS297" s="1" t="s">
        <v>3495</v>
      </c>
    </row>
    <row r="298" spans="26:45" x14ac:dyDescent="0.15">
      <c r="Z298" s="10" t="s">
        <v>3576</v>
      </c>
      <c r="AH298" s="3">
        <v>629</v>
      </c>
      <c r="AI298" s="2" t="s">
        <v>3431</v>
      </c>
      <c r="AJ298" s="1" t="s">
        <v>1582</v>
      </c>
      <c r="AK298" s="1" t="s">
        <v>1451</v>
      </c>
      <c r="AL298" s="13">
        <v>0</v>
      </c>
      <c r="AM298" s="1" t="s">
        <v>1025</v>
      </c>
      <c r="AN298" s="1" t="s">
        <v>1024</v>
      </c>
      <c r="AO298" s="1" t="s">
        <v>339</v>
      </c>
      <c r="AP298" s="1"/>
      <c r="AQ298" s="1">
        <v>4</v>
      </c>
      <c r="AR298" s="1">
        <v>5</v>
      </c>
      <c r="AS298" s="1" t="s">
        <v>3576</v>
      </c>
    </row>
    <row r="299" spans="26:45" x14ac:dyDescent="0.15">
      <c r="Z299" s="10" t="s">
        <v>4831</v>
      </c>
      <c r="AH299" s="3">
        <v>635</v>
      </c>
      <c r="AI299" s="2" t="s">
        <v>3431</v>
      </c>
      <c r="AJ299" s="1" t="s">
        <v>1582</v>
      </c>
      <c r="AK299" s="1" t="s">
        <v>1441</v>
      </c>
      <c r="AL299" s="14">
        <v>12</v>
      </c>
      <c r="AM299" s="1" t="s">
        <v>1255</v>
      </c>
      <c r="AN299" s="1" t="s">
        <v>1254</v>
      </c>
      <c r="AO299" s="1" t="s">
        <v>339</v>
      </c>
      <c r="AP299" s="1"/>
      <c r="AQ299" s="1">
        <v>2</v>
      </c>
      <c r="AR299" s="1">
        <v>2</v>
      </c>
      <c r="AS299" s="1" t="s">
        <v>4754</v>
      </c>
    </row>
    <row r="300" spans="26:45" x14ac:dyDescent="0.15">
      <c r="Z300" s="10" t="s">
        <v>3595</v>
      </c>
      <c r="AH300" s="3">
        <v>639</v>
      </c>
      <c r="AI300" s="2" t="s">
        <v>3431</v>
      </c>
      <c r="AJ300" s="1" t="s">
        <v>1582</v>
      </c>
      <c r="AK300" s="1" t="s">
        <v>1441</v>
      </c>
      <c r="AL300" s="1">
        <v>5</v>
      </c>
      <c r="AM300" s="1" t="s">
        <v>1249</v>
      </c>
      <c r="AN300" s="1" t="s">
        <v>1248</v>
      </c>
      <c r="AO300" s="1" t="s">
        <v>1453</v>
      </c>
      <c r="AP300" s="1"/>
      <c r="AQ300" s="1"/>
      <c r="AR300" s="1"/>
      <c r="AS300" s="1" t="s">
        <v>3595</v>
      </c>
    </row>
    <row r="301" spans="26:45" x14ac:dyDescent="0.15">
      <c r="Z301" s="10" t="s">
        <v>3715</v>
      </c>
      <c r="AH301" s="3">
        <v>718</v>
      </c>
      <c r="AI301" s="2" t="s">
        <v>3431</v>
      </c>
      <c r="AJ301" s="1" t="s">
        <v>1474</v>
      </c>
      <c r="AK301" s="1" t="s">
        <v>1441</v>
      </c>
      <c r="AL301" s="1">
        <v>12</v>
      </c>
      <c r="AM301" s="1" t="s">
        <v>1116</v>
      </c>
      <c r="AN301" s="1" t="s">
        <v>1115</v>
      </c>
      <c r="AO301" s="1" t="s">
        <v>1453</v>
      </c>
      <c r="AP301" s="1"/>
      <c r="AQ301" s="1"/>
      <c r="AR301" s="1"/>
      <c r="AS301" s="1" t="s">
        <v>3715</v>
      </c>
    </row>
    <row r="302" spans="26:45" x14ac:dyDescent="0.15">
      <c r="Z302" s="10" t="s">
        <v>3783</v>
      </c>
      <c r="AH302" s="3">
        <v>759</v>
      </c>
      <c r="AI302" s="2" t="s">
        <v>3773</v>
      </c>
      <c r="AJ302" s="1" t="s">
        <v>1627</v>
      </c>
      <c r="AK302" s="1" t="s">
        <v>1451</v>
      </c>
      <c r="AL302" s="14">
        <v>15</v>
      </c>
      <c r="AM302" s="1" t="s">
        <v>987</v>
      </c>
      <c r="AN302" s="1" t="s">
        <v>986</v>
      </c>
      <c r="AO302" s="1" t="s">
        <v>339</v>
      </c>
      <c r="AP302" s="1"/>
      <c r="AQ302" s="1">
        <v>2</v>
      </c>
      <c r="AR302" s="1">
        <v>5</v>
      </c>
      <c r="AS302" s="1" t="s">
        <v>3783</v>
      </c>
    </row>
    <row r="303" spans="26:45" x14ac:dyDescent="0.15">
      <c r="Z303" s="10" t="s">
        <v>3822</v>
      </c>
      <c r="AH303" s="3">
        <v>776</v>
      </c>
      <c r="AI303" s="2" t="s">
        <v>3773</v>
      </c>
      <c r="AJ303" s="1" t="s">
        <v>1606</v>
      </c>
      <c r="AK303" s="1" t="s">
        <v>1441</v>
      </c>
      <c r="AL303" s="1">
        <v>3</v>
      </c>
      <c r="AM303" s="1" t="s">
        <v>960</v>
      </c>
      <c r="AN303" s="1" t="s">
        <v>959</v>
      </c>
      <c r="AO303" s="1" t="s">
        <v>1453</v>
      </c>
      <c r="AP303" s="1"/>
      <c r="AQ303" s="1"/>
      <c r="AR303" s="1"/>
      <c r="AS303" s="1" t="s">
        <v>3822</v>
      </c>
    </row>
    <row r="304" spans="26:45" x14ac:dyDescent="0.15">
      <c r="Z304" s="10" t="s">
        <v>3838</v>
      </c>
      <c r="AH304" s="3">
        <v>784</v>
      </c>
      <c r="AI304" s="2" t="s">
        <v>3773</v>
      </c>
      <c r="AJ304" s="1" t="s">
        <v>1582</v>
      </c>
      <c r="AK304" s="1" t="s">
        <v>1451</v>
      </c>
      <c r="AL304" s="1">
        <v>10</v>
      </c>
      <c r="AM304" s="1" t="s">
        <v>946</v>
      </c>
      <c r="AN304" s="1" t="s">
        <v>945</v>
      </c>
      <c r="AO304" s="1" t="s">
        <v>1453</v>
      </c>
      <c r="AP304" s="1"/>
      <c r="AQ304" s="1"/>
      <c r="AR304" s="1"/>
      <c r="AS304" s="1" t="s">
        <v>3838</v>
      </c>
    </row>
    <row r="305" spans="26:45" x14ac:dyDescent="0.15">
      <c r="Z305" s="10" t="s">
        <v>3840</v>
      </c>
      <c r="AH305" s="3">
        <v>785</v>
      </c>
      <c r="AI305" s="2" t="s">
        <v>3773</v>
      </c>
      <c r="AJ305" s="1" t="s">
        <v>1582</v>
      </c>
      <c r="AK305" s="1" t="s">
        <v>1441</v>
      </c>
      <c r="AL305" s="14">
        <v>14</v>
      </c>
      <c r="AM305" s="1" t="s">
        <v>944</v>
      </c>
      <c r="AN305" s="1" t="s">
        <v>943</v>
      </c>
      <c r="AO305" s="1" t="s">
        <v>339</v>
      </c>
      <c r="AP305" s="1"/>
      <c r="AQ305" s="1">
        <v>6</v>
      </c>
      <c r="AR305" s="1">
        <v>6</v>
      </c>
      <c r="AS305" s="1" t="s">
        <v>3840</v>
      </c>
    </row>
    <row r="306" spans="26:45" x14ac:dyDescent="0.15">
      <c r="Z306" s="10" t="s">
        <v>3842</v>
      </c>
      <c r="AH306" s="3">
        <v>786</v>
      </c>
      <c r="AI306" s="2" t="s">
        <v>3773</v>
      </c>
      <c r="AJ306" s="1" t="s">
        <v>1582</v>
      </c>
      <c r="AK306" s="1" t="s">
        <v>1441</v>
      </c>
      <c r="AL306" s="13">
        <v>0</v>
      </c>
      <c r="AM306" s="1" t="s">
        <v>848</v>
      </c>
      <c r="AN306" s="1" t="s">
        <v>847</v>
      </c>
      <c r="AO306" s="1" t="s">
        <v>339</v>
      </c>
      <c r="AP306" s="1"/>
      <c r="AQ306" s="1">
        <v>6</v>
      </c>
      <c r="AR306" s="1">
        <v>5</v>
      </c>
      <c r="AS306" s="1" t="s">
        <v>3842</v>
      </c>
    </row>
    <row r="307" spans="26:45" x14ac:dyDescent="0.15">
      <c r="Z307" s="10" t="s">
        <v>3847</v>
      </c>
      <c r="AH307" s="3">
        <v>789</v>
      </c>
      <c r="AI307" s="2" t="s">
        <v>3773</v>
      </c>
      <c r="AJ307" s="1" t="s">
        <v>1582</v>
      </c>
      <c r="AK307" s="1" t="s">
        <v>1441</v>
      </c>
      <c r="AL307" s="1">
        <v>11</v>
      </c>
      <c r="AM307" s="1" t="s">
        <v>938</v>
      </c>
      <c r="AN307" s="1" t="s">
        <v>937</v>
      </c>
      <c r="AO307" s="1" t="s">
        <v>288</v>
      </c>
      <c r="AP307" s="1">
        <v>3</v>
      </c>
      <c r="AQ307" s="1"/>
      <c r="AR307" s="1"/>
      <c r="AS307" s="1" t="s">
        <v>3847</v>
      </c>
    </row>
    <row r="308" spans="26:45" x14ac:dyDescent="0.15">
      <c r="Z308" s="10" t="s">
        <v>3961</v>
      </c>
      <c r="AH308" s="3">
        <v>850</v>
      </c>
      <c r="AI308" s="2" t="s">
        <v>3937</v>
      </c>
      <c r="AJ308" s="1" t="s">
        <v>1627</v>
      </c>
      <c r="AK308" s="1" t="s">
        <v>1451</v>
      </c>
      <c r="AL308" s="1">
        <v>13</v>
      </c>
      <c r="AM308" s="1" t="s">
        <v>805</v>
      </c>
      <c r="AN308" s="1" t="s">
        <v>804</v>
      </c>
      <c r="AO308" s="1" t="s">
        <v>1453</v>
      </c>
      <c r="AP308" s="1"/>
      <c r="AQ308" s="1"/>
      <c r="AR308" s="1"/>
      <c r="AS308" s="1" t="s">
        <v>3961</v>
      </c>
    </row>
    <row r="309" spans="26:45" x14ac:dyDescent="0.15">
      <c r="Z309" s="10" t="s">
        <v>3493</v>
      </c>
      <c r="AH309" s="3">
        <v>854</v>
      </c>
      <c r="AI309" s="2" t="s">
        <v>3937</v>
      </c>
      <c r="AJ309" s="1" t="s">
        <v>1627</v>
      </c>
      <c r="AK309" s="1" t="s">
        <v>1441</v>
      </c>
      <c r="AL309" s="1">
        <v>16</v>
      </c>
      <c r="AM309" s="1" t="s">
        <v>797</v>
      </c>
      <c r="AN309" s="1" t="s">
        <v>796</v>
      </c>
      <c r="AO309" s="1" t="s">
        <v>1453</v>
      </c>
      <c r="AP309" s="1"/>
      <c r="AQ309" s="1"/>
      <c r="AR309" s="1"/>
      <c r="AS309" s="1" t="s">
        <v>3493</v>
      </c>
    </row>
    <row r="310" spans="26:45" x14ac:dyDescent="0.15">
      <c r="Z310" s="10" t="s">
        <v>3982</v>
      </c>
      <c r="AH310" s="3">
        <v>860</v>
      </c>
      <c r="AI310" s="2" t="s">
        <v>3937</v>
      </c>
      <c r="AJ310" s="1" t="s">
        <v>1627</v>
      </c>
      <c r="AK310" s="1" t="s">
        <v>1431</v>
      </c>
      <c r="AL310" s="1">
        <v>24</v>
      </c>
      <c r="AM310" s="1" t="s">
        <v>785</v>
      </c>
      <c r="AN310" s="1" t="s">
        <v>784</v>
      </c>
      <c r="AO310" s="1" t="s">
        <v>339</v>
      </c>
      <c r="AP310" s="1"/>
      <c r="AQ310" s="1">
        <v>8</v>
      </c>
      <c r="AR310" s="1">
        <v>8</v>
      </c>
      <c r="AS310" s="1" t="s">
        <v>3982</v>
      </c>
    </row>
    <row r="311" spans="26:45" x14ac:dyDescent="0.15">
      <c r="Z311" s="10" t="s">
        <v>4045</v>
      </c>
      <c r="AH311" s="3">
        <v>898</v>
      </c>
      <c r="AI311" s="2" t="s">
        <v>3937</v>
      </c>
      <c r="AJ311" s="1" t="s">
        <v>1582</v>
      </c>
      <c r="AK311" s="1" t="s">
        <v>1744</v>
      </c>
      <c r="AL311" s="1">
        <v>10</v>
      </c>
      <c r="AM311" s="1" t="s">
        <v>713</v>
      </c>
      <c r="AN311" s="1" t="s">
        <v>712</v>
      </c>
      <c r="AO311" s="1" t="s">
        <v>1453</v>
      </c>
      <c r="AP311" s="1"/>
      <c r="AQ311" s="1"/>
      <c r="AR311" s="1"/>
      <c r="AS311" s="1" t="s">
        <v>4045</v>
      </c>
    </row>
    <row r="312" spans="26:45" x14ac:dyDescent="0.15">
      <c r="Z312" s="10" t="s">
        <v>4054</v>
      </c>
      <c r="AH312" s="3">
        <v>904</v>
      </c>
      <c r="AI312" s="2" t="s">
        <v>3937</v>
      </c>
      <c r="AJ312" s="1" t="s">
        <v>1582</v>
      </c>
      <c r="AK312" s="1" t="s">
        <v>1451</v>
      </c>
      <c r="AL312" s="1">
        <v>12</v>
      </c>
      <c r="AM312" s="1" t="s">
        <v>704</v>
      </c>
      <c r="AN312" s="1" t="s">
        <v>703</v>
      </c>
      <c r="AO312" s="1" t="s">
        <v>1453</v>
      </c>
      <c r="AP312" s="1"/>
      <c r="AQ312" s="1"/>
      <c r="AR312" s="1"/>
      <c r="AS312" s="1" t="s">
        <v>4054</v>
      </c>
    </row>
    <row r="313" spans="26:45" x14ac:dyDescent="0.15">
      <c r="Z313" s="10" t="s">
        <v>4058</v>
      </c>
      <c r="AH313" s="3">
        <v>907</v>
      </c>
      <c r="AI313" s="2" t="s">
        <v>3937</v>
      </c>
      <c r="AJ313" s="1" t="s">
        <v>1582</v>
      </c>
      <c r="AK313" s="1" t="s">
        <v>1441</v>
      </c>
      <c r="AL313" s="1">
        <v>1</v>
      </c>
      <c r="AM313" s="1" t="s">
        <v>700</v>
      </c>
      <c r="AN313" s="1" t="s">
        <v>699</v>
      </c>
      <c r="AO313" s="1" t="s">
        <v>1453</v>
      </c>
      <c r="AP313" s="1"/>
      <c r="AQ313" s="1"/>
      <c r="AR313" s="1"/>
      <c r="AS313" s="1" t="s">
        <v>4058</v>
      </c>
    </row>
    <row r="314" spans="26:45" x14ac:dyDescent="0.15">
      <c r="Z314" s="10" t="s">
        <v>4065</v>
      </c>
      <c r="AH314" s="3">
        <v>910</v>
      </c>
      <c r="AI314" s="2" t="s">
        <v>3937</v>
      </c>
      <c r="AJ314" s="1" t="s">
        <v>1582</v>
      </c>
      <c r="AK314" s="1" t="s">
        <v>1441</v>
      </c>
      <c r="AL314" s="1">
        <v>7</v>
      </c>
      <c r="AM314" s="1" t="s">
        <v>691</v>
      </c>
      <c r="AN314" s="1" t="s">
        <v>690</v>
      </c>
      <c r="AO314" s="1" t="s">
        <v>288</v>
      </c>
      <c r="AP314" s="1">
        <v>3</v>
      </c>
      <c r="AQ314" s="1"/>
      <c r="AR314" s="1"/>
      <c r="AS314" s="1" t="s">
        <v>4065</v>
      </c>
    </row>
    <row r="315" spans="26:45" x14ac:dyDescent="0.15">
      <c r="Z315" s="10" t="s">
        <v>4073</v>
      </c>
      <c r="AH315" s="3">
        <v>913</v>
      </c>
      <c r="AI315" s="2" t="s">
        <v>3937</v>
      </c>
      <c r="AJ315" s="1" t="s">
        <v>1582</v>
      </c>
      <c r="AK315" s="1" t="s">
        <v>1431</v>
      </c>
      <c r="AL315" s="1">
        <v>18</v>
      </c>
      <c r="AM315" s="1" t="s">
        <v>685</v>
      </c>
      <c r="AN315" s="1" t="s">
        <v>684</v>
      </c>
      <c r="AO315" s="1" t="s">
        <v>339</v>
      </c>
      <c r="AP315" s="1"/>
      <c r="AQ315" s="1">
        <v>8</v>
      </c>
      <c r="AR315" s="1">
        <v>8</v>
      </c>
      <c r="AS315" s="1" t="s">
        <v>4073</v>
      </c>
    </row>
    <row r="316" spans="26:45" x14ac:dyDescent="0.15">
      <c r="Z316" s="10" t="s">
        <v>4098</v>
      </c>
      <c r="AH316" s="3">
        <v>934</v>
      </c>
      <c r="AI316" s="2" t="s">
        <v>3937</v>
      </c>
      <c r="AJ316" s="1" t="s">
        <v>1552</v>
      </c>
      <c r="AK316" s="1" t="s">
        <v>1441</v>
      </c>
      <c r="AL316" s="1">
        <v>10</v>
      </c>
      <c r="AM316" s="1" t="s">
        <v>640</v>
      </c>
      <c r="AN316" s="1" t="s">
        <v>639</v>
      </c>
      <c r="AO316" s="1" t="s">
        <v>339</v>
      </c>
      <c r="AP316" s="1"/>
      <c r="AQ316" s="1">
        <v>6</v>
      </c>
      <c r="AR316" s="1">
        <v>6</v>
      </c>
      <c r="AS316" s="1" t="s">
        <v>4098</v>
      </c>
    </row>
    <row r="317" spans="26:45" x14ac:dyDescent="0.15">
      <c r="Z317" s="10" t="s">
        <v>4167</v>
      </c>
      <c r="AH317" s="3">
        <v>980</v>
      </c>
      <c r="AI317" s="2" t="s">
        <v>3937</v>
      </c>
      <c r="AJ317" s="1" t="s">
        <v>1504</v>
      </c>
      <c r="AK317" s="1" t="s">
        <v>1451</v>
      </c>
      <c r="AL317" s="1">
        <v>9</v>
      </c>
      <c r="AM317" s="1" t="s">
        <v>558</v>
      </c>
      <c r="AN317" s="1" t="s">
        <v>557</v>
      </c>
      <c r="AO317" s="1" t="s">
        <v>1453</v>
      </c>
      <c r="AP317" s="1"/>
      <c r="AQ317" s="1"/>
      <c r="AR317" s="1"/>
      <c r="AS317" s="1" t="s">
        <v>4167</v>
      </c>
    </row>
    <row r="318" spans="26:45" x14ac:dyDescent="0.15">
      <c r="Z318" s="10" t="s">
        <v>4397</v>
      </c>
      <c r="AH318" s="3">
        <v>1125</v>
      </c>
      <c r="AI318" s="2" t="s">
        <v>4349</v>
      </c>
      <c r="AJ318" s="1" t="s">
        <v>1627</v>
      </c>
      <c r="AK318" s="1" t="s">
        <v>1431</v>
      </c>
      <c r="AL318" s="1">
        <v>16</v>
      </c>
      <c r="AM318" s="1" t="s">
        <v>244</v>
      </c>
      <c r="AN318" s="1" t="s">
        <v>243</v>
      </c>
      <c r="AO318" s="1" t="s">
        <v>339</v>
      </c>
      <c r="AP318" s="1"/>
      <c r="AQ318" s="1">
        <v>7</v>
      </c>
      <c r="AR318" s="1">
        <v>8</v>
      </c>
      <c r="AS318" s="1" t="s">
        <v>4397</v>
      </c>
    </row>
    <row r="319" spans="26:45" x14ac:dyDescent="0.15">
      <c r="Z319" s="10" t="s">
        <v>4424</v>
      </c>
      <c r="AH319" s="3">
        <v>1140</v>
      </c>
      <c r="AI319" s="2" t="s">
        <v>4349</v>
      </c>
      <c r="AJ319" s="1" t="s">
        <v>1606</v>
      </c>
      <c r="AK319" s="1" t="s">
        <v>1451</v>
      </c>
      <c r="AL319" s="1">
        <v>5</v>
      </c>
      <c r="AM319" s="1" t="s">
        <v>215</v>
      </c>
      <c r="AN319" s="1" t="s">
        <v>214</v>
      </c>
      <c r="AO319" s="1" t="s">
        <v>339</v>
      </c>
      <c r="AP319" s="1"/>
      <c r="AQ319" s="1">
        <v>3</v>
      </c>
      <c r="AR319" s="1">
        <v>4</v>
      </c>
      <c r="AS319" s="1" t="s">
        <v>4424</v>
      </c>
    </row>
    <row r="320" spans="26:45" x14ac:dyDescent="0.15">
      <c r="Z320" s="10" t="s">
        <v>2086</v>
      </c>
      <c r="AH320" s="3">
        <v>1157</v>
      </c>
      <c r="AI320" s="2" t="s">
        <v>4349</v>
      </c>
      <c r="AJ320" s="1" t="s">
        <v>1582</v>
      </c>
      <c r="AK320" s="1" t="s">
        <v>1744</v>
      </c>
      <c r="AL320" s="1">
        <v>7</v>
      </c>
      <c r="AM320" s="1" t="s">
        <v>181</v>
      </c>
      <c r="AN320" s="1" t="s">
        <v>180</v>
      </c>
      <c r="AO320" s="1" t="s">
        <v>1453</v>
      </c>
      <c r="AP320" s="1"/>
      <c r="AQ320" s="1"/>
      <c r="AR320" s="1"/>
      <c r="AS320" s="1" t="s">
        <v>2086</v>
      </c>
    </row>
    <row r="321" spans="26:45" x14ac:dyDescent="0.15">
      <c r="Z321" s="10" t="s">
        <v>4481</v>
      </c>
      <c r="AH321" s="3">
        <v>1169</v>
      </c>
      <c r="AI321" s="2" t="s">
        <v>4349</v>
      </c>
      <c r="AJ321" s="1" t="s">
        <v>1582</v>
      </c>
      <c r="AK321" s="1" t="s">
        <v>1451</v>
      </c>
      <c r="AL321" s="1">
        <v>8</v>
      </c>
      <c r="AM321" s="1" t="s">
        <v>159</v>
      </c>
      <c r="AN321" s="1" t="s">
        <v>158</v>
      </c>
      <c r="AO321" s="1" t="s">
        <v>288</v>
      </c>
      <c r="AP321" s="1">
        <v>3</v>
      </c>
      <c r="AQ321" s="1"/>
      <c r="AR321" s="1"/>
      <c r="AS321" s="1" t="s">
        <v>4481</v>
      </c>
    </row>
    <row r="322" spans="26:45" x14ac:dyDescent="0.15">
      <c r="Z322" s="10" t="s">
        <v>4495</v>
      </c>
      <c r="AH322" s="3">
        <v>1174</v>
      </c>
      <c r="AI322" s="2" t="s">
        <v>4349</v>
      </c>
      <c r="AJ322" s="1" t="s">
        <v>1582</v>
      </c>
      <c r="AK322" s="1" t="s">
        <v>1431</v>
      </c>
      <c r="AL322" s="1">
        <v>8</v>
      </c>
      <c r="AM322" s="1" t="s">
        <v>149</v>
      </c>
      <c r="AN322" s="1" t="s">
        <v>148</v>
      </c>
      <c r="AO322" s="1" t="s">
        <v>339</v>
      </c>
      <c r="AP322" s="1"/>
      <c r="AQ322" s="1">
        <v>8</v>
      </c>
      <c r="AR322" s="1">
        <v>8</v>
      </c>
      <c r="AS322" s="1" t="s">
        <v>4495</v>
      </c>
    </row>
    <row r="323" spans="26:45" x14ac:dyDescent="0.15">
      <c r="Z323" s="10" t="s">
        <v>4525</v>
      </c>
      <c r="AH323" s="3">
        <v>1193</v>
      </c>
      <c r="AI323" s="2" t="s">
        <v>4349</v>
      </c>
      <c r="AJ323" s="1" t="s">
        <v>1552</v>
      </c>
      <c r="AK323" s="1" t="s">
        <v>1441</v>
      </c>
      <c r="AL323" s="1">
        <v>18</v>
      </c>
      <c r="AM323" s="1" t="s">
        <v>113</v>
      </c>
      <c r="AN323" s="1" t="s">
        <v>112</v>
      </c>
      <c r="AO323" s="1" t="s">
        <v>339</v>
      </c>
      <c r="AP323" s="1"/>
      <c r="AQ323" s="1">
        <v>6</v>
      </c>
      <c r="AR323" s="1">
        <v>5</v>
      </c>
      <c r="AS323" s="1" t="s">
        <v>4525</v>
      </c>
    </row>
    <row r="324" spans="26:45" x14ac:dyDescent="0.15">
      <c r="Z324" s="10" t="s">
        <v>4541</v>
      </c>
      <c r="AH324" s="3">
        <v>1201</v>
      </c>
      <c r="AI324" s="2" t="s">
        <v>4349</v>
      </c>
      <c r="AJ324" s="1" t="s">
        <v>1552</v>
      </c>
      <c r="AK324" s="1" t="s">
        <v>1431</v>
      </c>
      <c r="AL324" s="1">
        <v>4</v>
      </c>
      <c r="AM324" s="1" t="s">
        <v>98</v>
      </c>
      <c r="AN324" s="1" t="s">
        <v>97</v>
      </c>
      <c r="AO324" s="1" t="s">
        <v>1453</v>
      </c>
      <c r="AP324" s="1"/>
      <c r="AQ324" s="1"/>
      <c r="AR324" s="1"/>
      <c r="AS324" s="1" t="s">
        <v>4541</v>
      </c>
    </row>
    <row r="325" spans="26:45" x14ac:dyDescent="0.15">
      <c r="Z325" s="10" t="s">
        <v>4654</v>
      </c>
      <c r="AH325" s="3">
        <v>1262</v>
      </c>
      <c r="AI325" s="2" t="s">
        <v>4643</v>
      </c>
      <c r="AJ325" s="1" t="s">
        <v>1487</v>
      </c>
      <c r="AK325" s="1" t="s">
        <v>3161</v>
      </c>
      <c r="AL325" s="1">
        <v>6</v>
      </c>
      <c r="AM325" s="1" t="s">
        <v>3151</v>
      </c>
      <c r="AN325" s="1" t="s">
        <v>3152</v>
      </c>
      <c r="AO325" s="1" t="s">
        <v>1453</v>
      </c>
      <c r="AP325" s="1"/>
      <c r="AQ325" s="1"/>
      <c r="AR325" s="1"/>
      <c r="AS325" s="1" t="s">
        <v>4654</v>
      </c>
    </row>
    <row r="326" spans="26:45" x14ac:dyDescent="0.15">
      <c r="Z326" s="10" t="s">
        <v>5088</v>
      </c>
      <c r="AH326" s="9"/>
      <c r="AI326" t="s">
        <v>4926</v>
      </c>
      <c r="AJ326" t="s">
        <v>1582</v>
      </c>
      <c r="AK326" t="s">
        <v>1744</v>
      </c>
      <c r="AL326">
        <v>3</v>
      </c>
      <c r="AM326" t="s">
        <v>5086</v>
      </c>
      <c r="AN326" t="s">
        <v>5087</v>
      </c>
      <c r="AO326" t="s">
        <v>1453</v>
      </c>
      <c r="AQ326" t="s">
        <v>4756</v>
      </c>
      <c r="AR326" t="s">
        <v>4756</v>
      </c>
      <c r="AS326" t="s">
        <v>5088</v>
      </c>
    </row>
    <row r="327" spans="26:45" x14ac:dyDescent="0.15">
      <c r="Z327" s="10" t="s">
        <v>5099</v>
      </c>
      <c r="AH327" s="9"/>
      <c r="AI327" t="s">
        <v>4926</v>
      </c>
      <c r="AJ327" t="s">
        <v>1582</v>
      </c>
      <c r="AK327" t="s">
        <v>1451</v>
      </c>
      <c r="AL327">
        <v>9</v>
      </c>
      <c r="AM327" t="s">
        <v>5097</v>
      </c>
      <c r="AN327" t="s">
        <v>5098</v>
      </c>
      <c r="AO327" t="s">
        <v>1453</v>
      </c>
      <c r="AQ327" t="s">
        <v>4756</v>
      </c>
      <c r="AR327" t="s">
        <v>4756</v>
      </c>
      <c r="AS327" t="s">
        <v>5099</v>
      </c>
    </row>
    <row r="328" spans="26:45" x14ac:dyDescent="0.15">
      <c r="Z328" s="10" t="s">
        <v>5565</v>
      </c>
      <c r="AH328" s="9"/>
      <c r="AI328" t="s">
        <v>4926</v>
      </c>
      <c r="AJ328" t="s">
        <v>1512</v>
      </c>
      <c r="AK328" t="s">
        <v>1451</v>
      </c>
      <c r="AL328">
        <v>10</v>
      </c>
      <c r="AM328" t="s">
        <v>5584</v>
      </c>
      <c r="AN328" t="s">
        <v>5336</v>
      </c>
      <c r="AO328" t="s">
        <v>288</v>
      </c>
      <c r="AP328">
        <v>1</v>
      </c>
      <c r="AQ328" t="s">
        <v>4756</v>
      </c>
      <c r="AR328" t="s">
        <v>4756</v>
      </c>
      <c r="AS328" t="s">
        <v>5565</v>
      </c>
    </row>
    <row r="329" spans="26:45" x14ac:dyDescent="0.15">
      <c r="Z329" s="10" t="s">
        <v>5382</v>
      </c>
      <c r="AH329" s="9"/>
      <c r="AI329" t="s">
        <v>4926</v>
      </c>
      <c r="AJ329" t="s">
        <v>1627</v>
      </c>
      <c r="AK329" t="s">
        <v>1431</v>
      </c>
      <c r="AL329">
        <v>18</v>
      </c>
      <c r="AM329" t="s">
        <v>5380</v>
      </c>
      <c r="AN329" t="s">
        <v>5381</v>
      </c>
      <c r="AO329" t="s">
        <v>1453</v>
      </c>
      <c r="AQ329" t="s">
        <v>4756</v>
      </c>
      <c r="AR329" t="s">
        <v>4756</v>
      </c>
      <c r="AS329" t="s">
        <v>5382</v>
      </c>
    </row>
    <row r="330" spans="26:45" x14ac:dyDescent="0.15">
      <c r="Z330" s="10" t="s">
        <v>5580</v>
      </c>
      <c r="AH330" s="9"/>
      <c r="AI330" t="s">
        <v>4926</v>
      </c>
      <c r="AJ330" t="s">
        <v>1582</v>
      </c>
      <c r="AK330" t="s">
        <v>1451</v>
      </c>
      <c r="AL330">
        <v>12</v>
      </c>
      <c r="AM330" t="s">
        <v>5407</v>
      </c>
      <c r="AN330" t="s">
        <v>5408</v>
      </c>
      <c r="AO330" t="s">
        <v>339</v>
      </c>
      <c r="AQ330">
        <v>2</v>
      </c>
      <c r="AR330">
        <v>2</v>
      </c>
      <c r="AS330" t="s">
        <v>5580</v>
      </c>
    </row>
    <row r="331" spans="26:45" x14ac:dyDescent="0.15">
      <c r="Z331" s="10" t="s">
        <v>5413</v>
      </c>
      <c r="AH331" s="9"/>
      <c r="AI331" t="s">
        <v>4926</v>
      </c>
      <c r="AJ331" t="s">
        <v>1582</v>
      </c>
      <c r="AK331" t="s">
        <v>1441</v>
      </c>
      <c r="AL331">
        <v>12</v>
      </c>
      <c r="AM331" t="s">
        <v>5411</v>
      </c>
      <c r="AN331" t="s">
        <v>5412</v>
      </c>
      <c r="AO331" t="s">
        <v>1453</v>
      </c>
      <c r="AQ331" t="s">
        <v>4756</v>
      </c>
      <c r="AR331" t="s">
        <v>4756</v>
      </c>
      <c r="AS331" t="s">
        <v>5413</v>
      </c>
    </row>
    <row r="332" spans="26:45" x14ac:dyDescent="0.15">
      <c r="Z332" s="10" t="s">
        <v>5493</v>
      </c>
      <c r="AH332" s="9"/>
      <c r="AI332" t="s">
        <v>5474</v>
      </c>
      <c r="AJ332" t="s">
        <v>1582</v>
      </c>
      <c r="AK332" t="s">
        <v>3161</v>
      </c>
      <c r="AL332">
        <v>12</v>
      </c>
      <c r="AM332" t="s">
        <v>5491</v>
      </c>
      <c r="AN332" t="s">
        <v>5492</v>
      </c>
      <c r="AO332" t="s">
        <v>288</v>
      </c>
      <c r="AQ332" t="s">
        <v>4756</v>
      </c>
      <c r="AR332" t="s">
        <v>4756</v>
      </c>
      <c r="AS332" t="s">
        <v>5493</v>
      </c>
    </row>
    <row r="333" spans="26:45" x14ac:dyDescent="0.15">
      <c r="Z333" s="10" t="s">
        <v>5503</v>
      </c>
      <c r="AH333" s="9"/>
      <c r="AI333" t="s">
        <v>5474</v>
      </c>
      <c r="AJ333" t="s">
        <v>1582</v>
      </c>
      <c r="AK333" t="s">
        <v>3161</v>
      </c>
      <c r="AL333">
        <v>1</v>
      </c>
      <c r="AM333" t="s">
        <v>5501</v>
      </c>
      <c r="AN333" t="s">
        <v>5502</v>
      </c>
      <c r="AO333" t="s">
        <v>1453</v>
      </c>
      <c r="AQ333" t="s">
        <v>4756</v>
      </c>
      <c r="AR333" t="s">
        <v>4756</v>
      </c>
      <c r="AS333" t="s">
        <v>5503</v>
      </c>
    </row>
    <row r="335" spans="26:45" x14ac:dyDescent="0.15">
      <c r="AH335" t="s">
        <v>5601</v>
      </c>
    </row>
    <row r="336" spans="26:45" x14ac:dyDescent="0.15">
      <c r="Z336" s="10" t="s">
        <v>2705</v>
      </c>
      <c r="AH336" s="3">
        <v>145</v>
      </c>
      <c r="AI336" s="2" t="s">
        <v>3176</v>
      </c>
      <c r="AJ336" s="1" t="s">
        <v>1552</v>
      </c>
      <c r="AK336" s="1" t="s">
        <v>1451</v>
      </c>
      <c r="AL336" s="1">
        <v>8</v>
      </c>
      <c r="AM336" s="1" t="s">
        <v>2707</v>
      </c>
      <c r="AN336" s="1" t="s">
        <v>2706</v>
      </c>
      <c r="AO336" s="1" t="s">
        <v>339</v>
      </c>
      <c r="AP336" s="1"/>
      <c r="AQ336" s="1">
        <v>5</v>
      </c>
      <c r="AR336" s="1">
        <v>3</v>
      </c>
      <c r="AS336" s="1" t="s">
        <v>2705</v>
      </c>
    </row>
    <row r="337" spans="26:45" x14ac:dyDescent="0.15">
      <c r="Z337" s="10" t="s">
        <v>2681</v>
      </c>
      <c r="AH337" s="3">
        <v>153</v>
      </c>
      <c r="AI337" s="2" t="s">
        <v>3176</v>
      </c>
      <c r="AJ337" s="1" t="s">
        <v>1552</v>
      </c>
      <c r="AK337" s="1" t="s">
        <v>1441</v>
      </c>
      <c r="AL337" s="1">
        <v>13</v>
      </c>
      <c r="AM337" s="1" t="s">
        <v>2683</v>
      </c>
      <c r="AN337" s="1" t="s">
        <v>2682</v>
      </c>
      <c r="AO337" s="1" t="s">
        <v>339</v>
      </c>
      <c r="AP337" s="1"/>
      <c r="AQ337" s="1">
        <v>6</v>
      </c>
      <c r="AR337" s="1">
        <v>5</v>
      </c>
      <c r="AS337" s="1" t="s">
        <v>2681</v>
      </c>
    </row>
    <row r="338" spans="26:45" x14ac:dyDescent="0.15">
      <c r="Z338" s="10" t="s">
        <v>3265</v>
      </c>
      <c r="AH338" s="3">
        <v>160</v>
      </c>
      <c r="AI338" s="2" t="s">
        <v>3176</v>
      </c>
      <c r="AJ338" s="1" t="s">
        <v>1552</v>
      </c>
      <c r="AK338" s="1" t="s">
        <v>1431</v>
      </c>
      <c r="AL338" s="1">
        <v>15</v>
      </c>
      <c r="AM338" s="1" t="s">
        <v>2663</v>
      </c>
      <c r="AN338" s="1" t="s">
        <v>2662</v>
      </c>
      <c r="AO338" s="1" t="s">
        <v>339</v>
      </c>
      <c r="AP338" s="1"/>
      <c r="AQ338" s="1">
        <v>8</v>
      </c>
      <c r="AR338" s="1">
        <v>8</v>
      </c>
      <c r="AS338" s="1" t="s">
        <v>3265</v>
      </c>
    </row>
    <row r="339" spans="26:45" x14ac:dyDescent="0.15">
      <c r="Z339" s="10" t="s">
        <v>2427</v>
      </c>
      <c r="AH339" s="3">
        <v>243</v>
      </c>
      <c r="AI339" s="2" t="s">
        <v>3176</v>
      </c>
      <c r="AJ339" s="1" t="s">
        <v>292</v>
      </c>
      <c r="AK339" s="1" t="s">
        <v>1441</v>
      </c>
      <c r="AL339" s="1">
        <v>7</v>
      </c>
      <c r="AM339" s="1" t="s">
        <v>2429</v>
      </c>
      <c r="AN339" s="1" t="s">
        <v>2428</v>
      </c>
      <c r="AO339" s="1" t="s">
        <v>288</v>
      </c>
      <c r="AP339" s="1">
        <v>2</v>
      </c>
      <c r="AQ339" s="1"/>
      <c r="AR339" s="1"/>
      <c r="AS339" s="1" t="s">
        <v>2427</v>
      </c>
    </row>
    <row r="340" spans="26:45" x14ac:dyDescent="0.15">
      <c r="Z340" s="10" t="s">
        <v>2020</v>
      </c>
      <c r="AH340" s="3">
        <v>370</v>
      </c>
      <c r="AI340" s="2" t="s">
        <v>3170</v>
      </c>
      <c r="AJ340" s="1" t="s">
        <v>1552</v>
      </c>
      <c r="AK340" s="1" t="s">
        <v>1744</v>
      </c>
      <c r="AL340" s="1">
        <v>6</v>
      </c>
      <c r="AM340" s="1" t="s">
        <v>2022</v>
      </c>
      <c r="AN340" s="1" t="s">
        <v>2021</v>
      </c>
      <c r="AO340" s="1" t="s">
        <v>1453</v>
      </c>
      <c r="AP340" s="1"/>
      <c r="AQ340" s="1"/>
      <c r="AR340" s="1"/>
      <c r="AS340" s="1" t="s">
        <v>2020</v>
      </c>
    </row>
    <row r="341" spans="26:45" x14ac:dyDescent="0.15">
      <c r="Z341" s="10" t="s">
        <v>3418</v>
      </c>
      <c r="AH341" s="3">
        <v>517</v>
      </c>
      <c r="AI341" s="2" t="s">
        <v>3171</v>
      </c>
      <c r="AJ341" s="1" t="s">
        <v>1518</v>
      </c>
      <c r="AK341" s="1" t="s">
        <v>1431</v>
      </c>
      <c r="AL341" s="1">
        <v>25</v>
      </c>
      <c r="AM341" s="1" t="s">
        <v>1522</v>
      </c>
      <c r="AN341" s="1" t="s">
        <v>1521</v>
      </c>
      <c r="AO341" s="1" t="s">
        <v>339</v>
      </c>
      <c r="AP341" s="1"/>
      <c r="AQ341" s="1">
        <v>5</v>
      </c>
      <c r="AR341" s="1">
        <v>7</v>
      </c>
      <c r="AS341" s="1" t="s">
        <v>3418</v>
      </c>
    </row>
    <row r="342" spans="26:45" x14ac:dyDescent="0.15">
      <c r="Z342" s="10" t="s">
        <v>3651</v>
      </c>
      <c r="AH342" s="3">
        <v>678</v>
      </c>
      <c r="AI342" s="2" t="s">
        <v>3431</v>
      </c>
      <c r="AJ342" s="1" t="s">
        <v>1552</v>
      </c>
      <c r="AK342" s="1" t="s">
        <v>1431</v>
      </c>
      <c r="AL342" s="1">
        <v>12</v>
      </c>
      <c r="AM342" s="1" t="s">
        <v>1184</v>
      </c>
      <c r="AN342" s="1" t="s">
        <v>1183</v>
      </c>
      <c r="AO342" s="1" t="s">
        <v>288</v>
      </c>
      <c r="AP342" s="1">
        <v>3</v>
      </c>
      <c r="AQ342" s="1"/>
      <c r="AR342" s="1"/>
      <c r="AS342" s="1" t="s">
        <v>3651</v>
      </c>
    </row>
    <row r="343" spans="26:45" x14ac:dyDescent="0.15">
      <c r="Z343" s="10" t="s">
        <v>3853</v>
      </c>
      <c r="AH343" s="3">
        <v>791</v>
      </c>
      <c r="AI343" s="2" t="s">
        <v>3773</v>
      </c>
      <c r="AJ343" s="1" t="s">
        <v>1552</v>
      </c>
      <c r="AK343" s="1" t="s">
        <v>1451</v>
      </c>
      <c r="AL343" s="14">
        <v>15</v>
      </c>
      <c r="AM343" s="1" t="s">
        <v>934</v>
      </c>
      <c r="AN343" s="1" t="s">
        <v>933</v>
      </c>
      <c r="AO343" s="1" t="s">
        <v>339</v>
      </c>
      <c r="AP343" s="1"/>
      <c r="AQ343" s="1">
        <v>5</v>
      </c>
      <c r="AR343" s="1">
        <v>4</v>
      </c>
      <c r="AS343" s="1" t="s">
        <v>3853</v>
      </c>
    </row>
    <row r="344" spans="26:45" x14ac:dyDescent="0.15">
      <c r="Z344" s="10" t="s">
        <v>3854</v>
      </c>
      <c r="AH344" s="3">
        <v>792</v>
      </c>
      <c r="AI344" s="2" t="s">
        <v>3773</v>
      </c>
      <c r="AJ344" s="1" t="s">
        <v>1552</v>
      </c>
      <c r="AK344" s="1" t="s">
        <v>1451</v>
      </c>
      <c r="AL344" s="13">
        <v>0</v>
      </c>
      <c r="AM344" s="1" t="s">
        <v>846</v>
      </c>
      <c r="AN344" s="1" t="s">
        <v>845</v>
      </c>
      <c r="AO344" s="1" t="s">
        <v>339</v>
      </c>
      <c r="AP344" s="1"/>
      <c r="AQ344" s="1">
        <v>5</v>
      </c>
      <c r="AR344" s="1">
        <v>4</v>
      </c>
      <c r="AS344" s="1" t="s">
        <v>3854</v>
      </c>
    </row>
    <row r="345" spans="26:45" x14ac:dyDescent="0.15">
      <c r="Z345" s="10" t="s">
        <v>5523</v>
      </c>
      <c r="AH345" s="9"/>
      <c r="AI345" t="s">
        <v>4926</v>
      </c>
      <c r="AJ345" t="s">
        <v>1606</v>
      </c>
      <c r="AK345" t="s">
        <v>1441</v>
      </c>
      <c r="AL345">
        <v>18</v>
      </c>
      <c r="AM345" t="s">
        <v>5041</v>
      </c>
      <c r="AN345" t="s">
        <v>5042</v>
      </c>
      <c r="AO345" t="s">
        <v>339</v>
      </c>
      <c r="AQ345">
        <v>6</v>
      </c>
      <c r="AR345">
        <v>5</v>
      </c>
      <c r="AS345" t="s">
        <v>5523</v>
      </c>
    </row>
    <row r="346" spans="26:45" x14ac:dyDescent="0.15">
      <c r="Z346" s="10" t="s">
        <v>5542</v>
      </c>
      <c r="AH346" s="9"/>
      <c r="AI346" t="s">
        <v>4926</v>
      </c>
      <c r="AJ346" t="s">
        <v>1552</v>
      </c>
      <c r="AK346" t="s">
        <v>1744</v>
      </c>
      <c r="AL346">
        <v>4</v>
      </c>
      <c r="AM346" t="s">
        <v>5146</v>
      </c>
      <c r="AN346" t="s">
        <v>5147</v>
      </c>
      <c r="AO346" t="s">
        <v>1453</v>
      </c>
      <c r="AQ346" t="s">
        <v>4756</v>
      </c>
      <c r="AR346" t="s">
        <v>4756</v>
      </c>
      <c r="AS346" t="s">
        <v>5542</v>
      </c>
    </row>
    <row r="347" spans="26:45" x14ac:dyDescent="0.15">
      <c r="Z347" s="10" t="s">
        <v>5477</v>
      </c>
      <c r="AH347" s="9"/>
      <c r="AI347" t="s">
        <v>5474</v>
      </c>
      <c r="AJ347" t="s">
        <v>1627</v>
      </c>
      <c r="AK347" t="s">
        <v>3161</v>
      </c>
      <c r="AL347">
        <v>19</v>
      </c>
      <c r="AM347" t="s">
        <v>5475</v>
      </c>
      <c r="AN347" t="s">
        <v>5476</v>
      </c>
      <c r="AO347" t="s">
        <v>1453</v>
      </c>
      <c r="AQ347" t="s">
        <v>4756</v>
      </c>
      <c r="AR347" t="s">
        <v>4756</v>
      </c>
      <c r="AS347" t="s">
        <v>5477</v>
      </c>
    </row>
    <row r="348" spans="26:45" x14ac:dyDescent="0.15">
      <c r="Z348" s="10" t="s">
        <v>2696</v>
      </c>
      <c r="AH348" s="3">
        <v>148</v>
      </c>
      <c r="AI348" s="2" t="s">
        <v>3176</v>
      </c>
      <c r="AJ348" s="1" t="s">
        <v>1552</v>
      </c>
      <c r="AK348" s="1" t="s">
        <v>1451</v>
      </c>
      <c r="AL348" s="1">
        <v>3</v>
      </c>
      <c r="AM348" s="1" t="s">
        <v>2698</v>
      </c>
      <c r="AN348" s="1" t="s">
        <v>2697</v>
      </c>
      <c r="AO348" s="1" t="s">
        <v>1453</v>
      </c>
      <c r="AP348" s="1"/>
      <c r="AQ348" s="1"/>
      <c r="AR348" s="1"/>
      <c r="AS348" s="1" t="s">
        <v>2696</v>
      </c>
    </row>
    <row r="349" spans="26:45" x14ac:dyDescent="0.15">
      <c r="Z349" s="10" t="s">
        <v>342</v>
      </c>
      <c r="AH349" s="3">
        <v>1085</v>
      </c>
      <c r="AI349" s="2" t="s">
        <v>4343</v>
      </c>
      <c r="AJ349" s="1" t="s">
        <v>292</v>
      </c>
      <c r="AK349" s="1" t="s">
        <v>3161</v>
      </c>
      <c r="AL349" s="1">
        <v>23</v>
      </c>
      <c r="AM349" s="1" t="s">
        <v>345</v>
      </c>
      <c r="AN349" s="1" t="s">
        <v>344</v>
      </c>
      <c r="AO349" s="1" t="s">
        <v>339</v>
      </c>
      <c r="AP349" s="1"/>
      <c r="AQ349" s="1">
        <v>7</v>
      </c>
      <c r="AR349" s="1">
        <v>10</v>
      </c>
      <c r="AS349" s="1" t="s">
        <v>342</v>
      </c>
    </row>
    <row r="350" spans="26:45" x14ac:dyDescent="0.15">
      <c r="Z350" s="10" t="s">
        <v>5484</v>
      </c>
      <c r="AH350" s="9"/>
      <c r="AI350" t="s">
        <v>5474</v>
      </c>
      <c r="AJ350" t="s">
        <v>1552</v>
      </c>
      <c r="AK350" t="s">
        <v>3161</v>
      </c>
      <c r="AL350">
        <v>6</v>
      </c>
      <c r="AM350" t="s">
        <v>5482</v>
      </c>
      <c r="AN350" t="s">
        <v>5483</v>
      </c>
      <c r="AO350" t="s">
        <v>1453</v>
      </c>
      <c r="AQ350" t="s">
        <v>4756</v>
      </c>
      <c r="AR350" t="s">
        <v>4756</v>
      </c>
      <c r="AS350" t="s">
        <v>5484</v>
      </c>
    </row>
    <row r="353" spans="26:45" x14ac:dyDescent="0.15">
      <c r="AH353" t="s">
        <v>5602</v>
      </c>
    </row>
    <row r="354" spans="26:45" x14ac:dyDescent="0.15">
      <c r="Z354" s="10" t="s">
        <v>2736</v>
      </c>
      <c r="AH354" s="3">
        <v>134</v>
      </c>
      <c r="AI354" s="2" t="s">
        <v>3176</v>
      </c>
      <c r="AJ354" s="1" t="s">
        <v>1552</v>
      </c>
      <c r="AK354" s="1" t="s">
        <v>1744</v>
      </c>
      <c r="AL354" s="1">
        <v>3</v>
      </c>
      <c r="AM354" s="1" t="s">
        <v>2738</v>
      </c>
      <c r="AN354" s="1" t="s">
        <v>2737</v>
      </c>
      <c r="AO354" s="1" t="s">
        <v>1453</v>
      </c>
      <c r="AP354" s="1"/>
      <c r="AQ354" s="1"/>
      <c r="AR354" s="1"/>
      <c r="AS354" s="1" t="s">
        <v>2736</v>
      </c>
    </row>
    <row r="355" spans="26:45" x14ac:dyDescent="0.15">
      <c r="Z355" s="10" t="s">
        <v>2696</v>
      </c>
      <c r="AH355" s="3">
        <v>148</v>
      </c>
      <c r="AI355" s="2" t="s">
        <v>3176</v>
      </c>
      <c r="AJ355" s="1" t="s">
        <v>1552</v>
      </c>
      <c r="AK355" s="1" t="s">
        <v>1451</v>
      </c>
      <c r="AL355" s="1">
        <v>3</v>
      </c>
      <c r="AM355" s="1" t="s">
        <v>2698</v>
      </c>
      <c r="AN355" s="1" t="s">
        <v>2697</v>
      </c>
      <c r="AO355" s="1" t="s">
        <v>1453</v>
      </c>
      <c r="AP355" s="1"/>
      <c r="AQ355" s="1"/>
      <c r="AR355" s="1"/>
      <c r="AS355" s="1" t="s">
        <v>2696</v>
      </c>
    </row>
    <row r="356" spans="26:45" x14ac:dyDescent="0.15">
      <c r="Z356" s="10" t="s">
        <v>2675</v>
      </c>
      <c r="AH356" s="3">
        <v>155</v>
      </c>
      <c r="AI356" s="2" t="s">
        <v>3176</v>
      </c>
      <c r="AJ356" s="1" t="s">
        <v>1552</v>
      </c>
      <c r="AK356" s="1" t="s">
        <v>1441</v>
      </c>
      <c r="AL356" s="1">
        <v>17</v>
      </c>
      <c r="AM356" s="1" t="s">
        <v>2677</v>
      </c>
      <c r="AN356" s="1" t="s">
        <v>2676</v>
      </c>
      <c r="AO356" s="1" t="s">
        <v>339</v>
      </c>
      <c r="AP356" s="1"/>
      <c r="AQ356" s="1">
        <v>6</v>
      </c>
      <c r="AR356" s="1">
        <v>6</v>
      </c>
      <c r="AS356" s="1" t="s">
        <v>2675</v>
      </c>
    </row>
    <row r="357" spans="26:45" x14ac:dyDescent="0.15">
      <c r="Z357" s="10" t="s">
        <v>2612</v>
      </c>
      <c r="AH357" s="3">
        <v>178</v>
      </c>
      <c r="AI357" s="2" t="s">
        <v>3176</v>
      </c>
      <c r="AJ357" s="1" t="s">
        <v>1518</v>
      </c>
      <c r="AK357" s="1" t="s">
        <v>1451</v>
      </c>
      <c r="AL357" s="1">
        <v>11</v>
      </c>
      <c r="AM357" s="1" t="s">
        <v>2615</v>
      </c>
      <c r="AN357" s="1" t="s">
        <v>2614</v>
      </c>
      <c r="AO357" s="1" t="s">
        <v>339</v>
      </c>
      <c r="AP357" s="1"/>
      <c r="AQ357" s="1">
        <v>4</v>
      </c>
      <c r="AR357" s="1">
        <v>4</v>
      </c>
      <c r="AS357" s="1" t="s">
        <v>2612</v>
      </c>
    </row>
    <row r="358" spans="26:45" x14ac:dyDescent="0.15">
      <c r="Z358" s="10" t="s">
        <v>2367</v>
      </c>
      <c r="AH358" s="3">
        <v>263</v>
      </c>
      <c r="AI358" s="2" t="s">
        <v>3170</v>
      </c>
      <c r="AJ358" s="1" t="s">
        <v>1627</v>
      </c>
      <c r="AK358" s="1" t="s">
        <v>1744</v>
      </c>
      <c r="AL358" s="1">
        <v>10</v>
      </c>
      <c r="AM358" s="1" t="s">
        <v>2371</v>
      </c>
      <c r="AN358" s="1" t="s">
        <v>2370</v>
      </c>
      <c r="AO358" s="1" t="s">
        <v>288</v>
      </c>
      <c r="AP358" s="1">
        <v>9</v>
      </c>
      <c r="AQ358" s="1"/>
      <c r="AR358" s="1"/>
      <c r="AS358" s="1" t="s">
        <v>2367</v>
      </c>
    </row>
    <row r="359" spans="26:45" x14ac:dyDescent="0.15">
      <c r="Z359" s="10" t="s">
        <v>1910</v>
      </c>
      <c r="AH359" s="3">
        <v>405</v>
      </c>
      <c r="AI359" s="2" t="s">
        <v>3170</v>
      </c>
      <c r="AJ359" s="1" t="s">
        <v>1518</v>
      </c>
      <c r="AK359" s="1" t="s">
        <v>1744</v>
      </c>
      <c r="AL359" s="1">
        <v>8</v>
      </c>
      <c r="AM359" s="1" t="s">
        <v>1912</v>
      </c>
      <c r="AN359" s="1" t="s">
        <v>1911</v>
      </c>
      <c r="AO359" s="1" t="s">
        <v>1453</v>
      </c>
      <c r="AP359" s="1"/>
      <c r="AQ359" s="1"/>
      <c r="AR359" s="1"/>
      <c r="AS359" s="1" t="s">
        <v>1910</v>
      </c>
    </row>
    <row r="360" spans="26:45" x14ac:dyDescent="0.15">
      <c r="Z360" s="10" t="s">
        <v>3660</v>
      </c>
      <c r="AH360" s="3">
        <v>691</v>
      </c>
      <c r="AI360" s="2" t="s">
        <v>3431</v>
      </c>
      <c r="AJ360" s="1" t="s">
        <v>1518</v>
      </c>
      <c r="AK360" s="1" t="s">
        <v>1744</v>
      </c>
      <c r="AL360" s="1">
        <v>10</v>
      </c>
      <c r="AM360" s="1" t="s">
        <v>1162</v>
      </c>
      <c r="AN360" s="1" t="s">
        <v>1161</v>
      </c>
      <c r="AO360" s="1" t="s">
        <v>1453</v>
      </c>
      <c r="AP360" s="1"/>
      <c r="AQ360" s="1"/>
      <c r="AR360" s="1"/>
      <c r="AS360" s="1" t="s">
        <v>3660</v>
      </c>
    </row>
    <row r="361" spans="26:45" x14ac:dyDescent="0.15">
      <c r="Z361" s="10" t="s">
        <v>3919</v>
      </c>
      <c r="AH361" s="3">
        <v>827</v>
      </c>
      <c r="AI361" s="2" t="s">
        <v>3773</v>
      </c>
      <c r="AJ361" s="1" t="s">
        <v>292</v>
      </c>
      <c r="AK361" s="1" t="s">
        <v>1451</v>
      </c>
      <c r="AL361" s="1">
        <v>16</v>
      </c>
      <c r="AM361" s="1" t="s">
        <v>876</v>
      </c>
      <c r="AN361" s="1" t="s">
        <v>875</v>
      </c>
      <c r="AO361" s="1" t="s">
        <v>339</v>
      </c>
      <c r="AP361" s="1"/>
      <c r="AQ361" s="1">
        <v>6</v>
      </c>
      <c r="AR361" s="1">
        <v>5</v>
      </c>
      <c r="AS361" s="1" t="s">
        <v>3919</v>
      </c>
    </row>
    <row r="362" spans="26:45" x14ac:dyDescent="0.15">
      <c r="Z362" s="10" t="s">
        <v>3952</v>
      </c>
      <c r="AH362" s="3">
        <v>844</v>
      </c>
      <c r="AI362" s="2" t="s">
        <v>3937</v>
      </c>
      <c r="AJ362" s="1" t="s">
        <v>1627</v>
      </c>
      <c r="AK362" s="1" t="s">
        <v>1744</v>
      </c>
      <c r="AL362" s="1">
        <v>8</v>
      </c>
      <c r="AM362" s="1" t="s">
        <v>827</v>
      </c>
      <c r="AN362" s="1" t="s">
        <v>826</v>
      </c>
      <c r="AO362" s="1" t="s">
        <v>1453</v>
      </c>
      <c r="AP362" s="1"/>
      <c r="AQ362" s="1"/>
      <c r="AR362" s="1"/>
      <c r="AS362" s="1" t="s">
        <v>3952</v>
      </c>
    </row>
    <row r="363" spans="26:45" x14ac:dyDescent="0.15">
      <c r="Z363" s="10" t="s">
        <v>4077</v>
      </c>
      <c r="AH363" s="3">
        <v>916</v>
      </c>
      <c r="AI363" s="2" t="s">
        <v>3937</v>
      </c>
      <c r="AJ363" s="1" t="s">
        <v>1552</v>
      </c>
      <c r="AK363" s="1" t="s">
        <v>1744</v>
      </c>
      <c r="AL363" s="1">
        <v>9</v>
      </c>
      <c r="AM363" s="1" t="s">
        <v>672</v>
      </c>
      <c r="AN363" s="1" t="s">
        <v>671</v>
      </c>
      <c r="AO363" s="1" t="s">
        <v>339</v>
      </c>
      <c r="AP363" s="1"/>
      <c r="AQ363" s="1">
        <v>1</v>
      </c>
      <c r="AR363" s="1">
        <v>1</v>
      </c>
      <c r="AS363" s="1" t="s">
        <v>4077</v>
      </c>
    </row>
    <row r="364" spans="26:45" x14ac:dyDescent="0.15">
      <c r="Z364" s="10" t="s">
        <v>4094</v>
      </c>
      <c r="AH364" s="3">
        <v>931</v>
      </c>
      <c r="AI364" s="2" t="s">
        <v>3937</v>
      </c>
      <c r="AJ364" s="1" t="s">
        <v>1552</v>
      </c>
      <c r="AK364" s="1" t="s">
        <v>1451</v>
      </c>
      <c r="AL364" s="1">
        <v>10</v>
      </c>
      <c r="AM364" s="1" t="s">
        <v>656</v>
      </c>
      <c r="AN364" s="1" t="s">
        <v>655</v>
      </c>
      <c r="AO364" s="1" t="s">
        <v>1453</v>
      </c>
      <c r="AP364" s="1"/>
      <c r="AQ364" s="1"/>
      <c r="AR364" s="1"/>
      <c r="AS364" s="1" t="s">
        <v>4094</v>
      </c>
    </row>
    <row r="365" spans="26:45" x14ac:dyDescent="0.15">
      <c r="Z365" s="10" t="s">
        <v>4118</v>
      </c>
      <c r="AH365" s="3">
        <v>950</v>
      </c>
      <c r="AI365" s="2" t="s">
        <v>3937</v>
      </c>
      <c r="AJ365" s="1" t="s">
        <v>1518</v>
      </c>
      <c r="AK365" s="1" t="s">
        <v>1744</v>
      </c>
      <c r="AL365" s="1">
        <v>10</v>
      </c>
      <c r="AM365" s="1" t="s">
        <v>626</v>
      </c>
      <c r="AN365" s="1" t="s">
        <v>625</v>
      </c>
      <c r="AO365" s="1" t="s">
        <v>1453</v>
      </c>
      <c r="AP365" s="1"/>
      <c r="AQ365" s="1"/>
      <c r="AR365" s="1"/>
      <c r="AS365" s="1" t="s">
        <v>4118</v>
      </c>
    </row>
    <row r="366" spans="26:45" x14ac:dyDescent="0.15">
      <c r="Z366" s="10" t="s">
        <v>3952</v>
      </c>
      <c r="AH366" s="3">
        <v>959</v>
      </c>
      <c r="AI366" s="2" t="s">
        <v>3937</v>
      </c>
      <c r="AJ366" s="1" t="s">
        <v>1518</v>
      </c>
      <c r="AK366" s="1" t="s">
        <v>1451</v>
      </c>
      <c r="AL366" s="1">
        <v>8</v>
      </c>
      <c r="AM366" s="1" t="s">
        <v>600</v>
      </c>
      <c r="AN366" s="1" t="s">
        <v>599</v>
      </c>
      <c r="AO366" s="1" t="s">
        <v>1453</v>
      </c>
      <c r="AP366" s="1"/>
      <c r="AQ366" s="1"/>
      <c r="AR366" s="1"/>
      <c r="AS366" s="1" t="s">
        <v>3952</v>
      </c>
    </row>
    <row r="367" spans="26:45" x14ac:dyDescent="0.15">
      <c r="Z367" s="10" t="s">
        <v>4227</v>
      </c>
      <c r="AH367" s="3">
        <v>1016</v>
      </c>
      <c r="AI367" s="2" t="s">
        <v>3937</v>
      </c>
      <c r="AJ367" s="1" t="s">
        <v>292</v>
      </c>
      <c r="AK367" s="1" t="s">
        <v>1431</v>
      </c>
      <c r="AL367" s="1">
        <v>14</v>
      </c>
      <c r="AM367" s="1" t="s">
        <v>478</v>
      </c>
      <c r="AN367" s="1" t="s">
        <v>477</v>
      </c>
      <c r="AO367" s="1" t="s">
        <v>339</v>
      </c>
      <c r="AP367" s="1"/>
      <c r="AQ367" s="1">
        <v>12</v>
      </c>
      <c r="AR367" s="1">
        <v>12</v>
      </c>
      <c r="AS367" s="1" t="s">
        <v>4227</v>
      </c>
    </row>
    <row r="368" spans="26:45" x14ac:dyDescent="0.15">
      <c r="Z368" s="10" t="s">
        <v>4243</v>
      </c>
      <c r="AH368" s="3">
        <v>1025</v>
      </c>
      <c r="AI368" s="2" t="s">
        <v>4236</v>
      </c>
      <c r="AJ368" s="1" t="s">
        <v>1627</v>
      </c>
      <c r="AK368" s="1" t="s">
        <v>1441</v>
      </c>
      <c r="AL368" s="1">
        <v>24</v>
      </c>
      <c r="AM368" s="1" t="s">
        <v>464</v>
      </c>
      <c r="AN368" s="1" t="s">
        <v>463</v>
      </c>
      <c r="AO368" s="1" t="s">
        <v>1453</v>
      </c>
      <c r="AP368" s="1"/>
      <c r="AQ368" s="1"/>
      <c r="AR368" s="1"/>
      <c r="AS368" s="1" t="s">
        <v>4243</v>
      </c>
    </row>
    <row r="369" spans="26:45" x14ac:dyDescent="0.15">
      <c r="Z369" s="10" t="s">
        <v>4264</v>
      </c>
      <c r="AH369" s="3">
        <v>1039</v>
      </c>
      <c r="AI369" s="2" t="s">
        <v>4236</v>
      </c>
      <c r="AJ369" s="1" t="s">
        <v>1582</v>
      </c>
      <c r="AK369" s="1" t="s">
        <v>1451</v>
      </c>
      <c r="AL369" s="1">
        <v>8</v>
      </c>
      <c r="AM369" s="1" t="s">
        <v>436</v>
      </c>
      <c r="AN369" s="1" t="s">
        <v>435</v>
      </c>
      <c r="AO369" s="1" t="s">
        <v>339</v>
      </c>
      <c r="AP369" s="1"/>
      <c r="AQ369" s="1">
        <v>4</v>
      </c>
      <c r="AR369" s="1">
        <v>4</v>
      </c>
      <c r="AS369" s="1" t="s">
        <v>4264</v>
      </c>
    </row>
    <row r="370" spans="26:45" x14ac:dyDescent="0.15">
      <c r="Z370" s="10" t="s">
        <v>4284</v>
      </c>
      <c r="AH370" s="3">
        <v>1050</v>
      </c>
      <c r="AI370" s="2" t="s">
        <v>4236</v>
      </c>
      <c r="AJ370" s="1" t="s">
        <v>1552</v>
      </c>
      <c r="AK370" s="1" t="s">
        <v>1451</v>
      </c>
      <c r="AL370" s="1">
        <v>8</v>
      </c>
      <c r="AM370" s="1" t="s">
        <v>415</v>
      </c>
      <c r="AN370" s="1" t="s">
        <v>414</v>
      </c>
      <c r="AO370" s="1" t="s">
        <v>288</v>
      </c>
      <c r="AP370" s="1">
        <v>3</v>
      </c>
      <c r="AQ370" s="1"/>
      <c r="AR370" s="1"/>
      <c r="AS370" s="1" t="s">
        <v>4284</v>
      </c>
    </row>
    <row r="371" spans="26:45" x14ac:dyDescent="0.15">
      <c r="Z371" s="10" t="s">
        <v>4288</v>
      </c>
      <c r="AH371" s="3">
        <v>1053</v>
      </c>
      <c r="AI371" s="2" t="s">
        <v>4236</v>
      </c>
      <c r="AJ371" s="1" t="s">
        <v>1552</v>
      </c>
      <c r="AK371" s="1" t="s">
        <v>1441</v>
      </c>
      <c r="AL371" s="1">
        <v>16</v>
      </c>
      <c r="AM371" s="1" t="s">
        <v>409</v>
      </c>
      <c r="AN371" s="1" t="s">
        <v>408</v>
      </c>
      <c r="AO371" s="1" t="s">
        <v>1453</v>
      </c>
      <c r="AP371" s="1"/>
      <c r="AQ371" s="1"/>
      <c r="AR371" s="1"/>
      <c r="AS371" s="1" t="s">
        <v>4288</v>
      </c>
    </row>
    <row r="372" spans="26:45" x14ac:dyDescent="0.15">
      <c r="Z372" s="10" t="s">
        <v>4367</v>
      </c>
      <c r="AH372" s="3">
        <v>1112</v>
      </c>
      <c r="AI372" s="2" t="s">
        <v>4349</v>
      </c>
      <c r="AJ372" s="1" t="s">
        <v>1627</v>
      </c>
      <c r="AK372" s="1" t="s">
        <v>1744</v>
      </c>
      <c r="AL372" s="1">
        <v>5</v>
      </c>
      <c r="AM372" s="1" t="s">
        <v>266</v>
      </c>
      <c r="AN372" s="1" t="s">
        <v>265</v>
      </c>
      <c r="AO372" s="1" t="s">
        <v>1453</v>
      </c>
      <c r="AP372" s="1"/>
      <c r="AQ372" s="1"/>
      <c r="AR372" s="1"/>
      <c r="AS372" s="1" t="s">
        <v>4367</v>
      </c>
    </row>
    <row r="373" spans="26:45" x14ac:dyDescent="0.15">
      <c r="Z373" s="10" t="s">
        <v>4512</v>
      </c>
      <c r="AH373" s="3">
        <v>1186</v>
      </c>
      <c r="AI373" s="2" t="s">
        <v>4349</v>
      </c>
      <c r="AJ373" s="1" t="s">
        <v>1552</v>
      </c>
      <c r="AK373" s="1" t="s">
        <v>1744</v>
      </c>
      <c r="AL373" s="1">
        <v>5</v>
      </c>
      <c r="AM373" s="1" t="s">
        <v>127</v>
      </c>
      <c r="AN373" s="1" t="s">
        <v>126</v>
      </c>
      <c r="AO373" s="1" t="s">
        <v>1453</v>
      </c>
      <c r="AP373" s="1"/>
      <c r="AQ373" s="1"/>
      <c r="AR373" s="1"/>
      <c r="AS373" s="1" t="s">
        <v>4512</v>
      </c>
    </row>
    <row r="374" spans="26:45" x14ac:dyDescent="0.15">
      <c r="Z374" s="10" t="s">
        <v>4545</v>
      </c>
      <c r="AH374" s="3">
        <v>1207</v>
      </c>
      <c r="AI374" s="2" t="s">
        <v>4349</v>
      </c>
      <c r="AJ374" s="1" t="s">
        <v>1518</v>
      </c>
      <c r="AK374" s="1" t="s">
        <v>1744</v>
      </c>
      <c r="AL374" s="1">
        <v>4</v>
      </c>
      <c r="AM374" s="1" t="s">
        <v>86</v>
      </c>
      <c r="AN374" s="1" t="s">
        <v>85</v>
      </c>
      <c r="AO374" s="1" t="s">
        <v>1453</v>
      </c>
      <c r="AP374" s="1"/>
      <c r="AQ374" s="1"/>
      <c r="AR374" s="1"/>
      <c r="AS374" s="1" t="s">
        <v>4545</v>
      </c>
    </row>
    <row r="375" spans="26:45" x14ac:dyDescent="0.15">
      <c r="Z375" s="10" t="s">
        <v>4605</v>
      </c>
      <c r="AH375" s="3">
        <v>1238</v>
      </c>
      <c r="AI375" s="2" t="s">
        <v>4349</v>
      </c>
      <c r="AJ375" s="1" t="s">
        <v>292</v>
      </c>
      <c r="AK375" s="1" t="s">
        <v>1744</v>
      </c>
      <c r="AL375" s="1">
        <v>7</v>
      </c>
      <c r="AM375" s="1" t="s">
        <v>29</v>
      </c>
      <c r="AN375" s="1" t="s">
        <v>28</v>
      </c>
      <c r="AO375" s="1" t="s">
        <v>288</v>
      </c>
      <c r="AP375" s="1">
        <v>3</v>
      </c>
      <c r="AQ375" s="1"/>
      <c r="AR375" s="1"/>
      <c r="AS375" s="1" t="s">
        <v>4605</v>
      </c>
    </row>
    <row r="376" spans="26:45" x14ac:dyDescent="0.15">
      <c r="Z376" s="10" t="s">
        <v>5428</v>
      </c>
      <c r="AH376" s="9"/>
      <c r="AI376" t="s">
        <v>4926</v>
      </c>
      <c r="AJ376" t="s">
        <v>1552</v>
      </c>
      <c r="AK376" t="s">
        <v>1451</v>
      </c>
      <c r="AL376">
        <v>13</v>
      </c>
      <c r="AM376" t="s">
        <v>5426</v>
      </c>
      <c r="AN376" t="s">
        <v>5427</v>
      </c>
      <c r="AO376" t="s">
        <v>1453</v>
      </c>
      <c r="AQ376" t="s">
        <v>4756</v>
      </c>
      <c r="AR376" t="s">
        <v>4756</v>
      </c>
      <c r="AS376" t="s">
        <v>5428</v>
      </c>
    </row>
    <row r="377" spans="26:45" x14ac:dyDescent="0.15">
      <c r="Z377" s="10" t="s">
        <v>5455</v>
      </c>
      <c r="AH377" s="9"/>
      <c r="AI377" t="s">
        <v>4926</v>
      </c>
      <c r="AJ377" t="s">
        <v>1518</v>
      </c>
      <c r="AK377" t="s">
        <v>1451</v>
      </c>
      <c r="AL377">
        <v>7</v>
      </c>
      <c r="AM377" t="s">
        <v>5453</v>
      </c>
      <c r="AN377" t="s">
        <v>5454</v>
      </c>
      <c r="AO377" t="s">
        <v>1453</v>
      </c>
      <c r="AQ377" t="s">
        <v>4756</v>
      </c>
      <c r="AR377" t="s">
        <v>4756</v>
      </c>
      <c r="AS377" t="s">
        <v>5455</v>
      </c>
    </row>
    <row r="378" spans="26:45" x14ac:dyDescent="0.15">
      <c r="Z378" s="10" t="s">
        <v>5484</v>
      </c>
      <c r="AH378" s="9"/>
      <c r="AI378" t="s">
        <v>5474</v>
      </c>
      <c r="AJ378" t="s">
        <v>1552</v>
      </c>
      <c r="AK378" t="s">
        <v>3161</v>
      </c>
      <c r="AL378">
        <v>6</v>
      </c>
      <c r="AM378" t="s">
        <v>5482</v>
      </c>
      <c r="AN378" t="s">
        <v>5483</v>
      </c>
      <c r="AO378" t="s">
        <v>1453</v>
      </c>
      <c r="AQ378" t="s">
        <v>4756</v>
      </c>
      <c r="AR378" t="s">
        <v>4756</v>
      </c>
      <c r="AS378" t="s">
        <v>5484</v>
      </c>
    </row>
    <row r="379" spans="26:45" x14ac:dyDescent="0.15">
      <c r="Z379" s="10" t="s">
        <v>5500</v>
      </c>
      <c r="AH379" s="9"/>
      <c r="AI379" t="s">
        <v>5474</v>
      </c>
      <c r="AJ379" t="s">
        <v>1552</v>
      </c>
      <c r="AK379" t="s">
        <v>3161</v>
      </c>
      <c r="AL379">
        <v>7</v>
      </c>
      <c r="AM379" t="s">
        <v>5498</v>
      </c>
      <c r="AN379" t="s">
        <v>5499</v>
      </c>
      <c r="AO379" t="s">
        <v>1453</v>
      </c>
      <c r="AQ379" t="s">
        <v>4756</v>
      </c>
      <c r="AR379" t="s">
        <v>4756</v>
      </c>
      <c r="AS379" t="s">
        <v>5500</v>
      </c>
    </row>
    <row r="380" spans="26:45" x14ac:dyDescent="0.15">
      <c r="Z380" s="10" t="s">
        <v>2544</v>
      </c>
      <c r="AH380" s="3">
        <v>202</v>
      </c>
      <c r="AI380" s="2" t="s">
        <v>3176</v>
      </c>
      <c r="AJ380" s="1" t="s">
        <v>1518</v>
      </c>
      <c r="AK380" s="1" t="s">
        <v>1431</v>
      </c>
      <c r="AL380" s="1">
        <v>15</v>
      </c>
      <c r="AM380" s="1" t="s">
        <v>2546</v>
      </c>
      <c r="AN380" s="1" t="s">
        <v>2545</v>
      </c>
      <c r="AO380" s="1" t="s">
        <v>1453</v>
      </c>
      <c r="AP380" s="1"/>
      <c r="AQ380" s="1"/>
      <c r="AR380" s="1"/>
      <c r="AS380" s="1" t="s">
        <v>2544</v>
      </c>
    </row>
    <row r="381" spans="26:45" x14ac:dyDescent="0.15">
      <c r="Z381" s="10" t="s">
        <v>2410</v>
      </c>
      <c r="AH381" s="3">
        <v>249</v>
      </c>
      <c r="AI381" s="2" t="s">
        <v>3170</v>
      </c>
      <c r="AJ381" s="1" t="s">
        <v>1627</v>
      </c>
      <c r="AK381" s="1" t="s">
        <v>1744</v>
      </c>
      <c r="AL381" s="1">
        <v>5</v>
      </c>
      <c r="AM381" s="1" t="s">
        <v>2412</v>
      </c>
      <c r="AN381" s="1" t="s">
        <v>2411</v>
      </c>
      <c r="AO381" s="1" t="s">
        <v>339</v>
      </c>
      <c r="AP381" s="1"/>
      <c r="AQ381" s="1">
        <v>2</v>
      </c>
      <c r="AR381" s="1">
        <v>2</v>
      </c>
      <c r="AS381" s="1" t="s">
        <v>2410</v>
      </c>
    </row>
    <row r="382" spans="26:45" x14ac:dyDescent="0.15">
      <c r="Z382" s="10" t="s">
        <v>3715</v>
      </c>
      <c r="AH382" s="3">
        <v>718</v>
      </c>
      <c r="AI382" s="2" t="s">
        <v>3431</v>
      </c>
      <c r="AJ382" s="1" t="s">
        <v>1474</v>
      </c>
      <c r="AK382" s="1" t="s">
        <v>1441</v>
      </c>
      <c r="AL382" s="1">
        <v>12</v>
      </c>
      <c r="AM382" s="1" t="s">
        <v>1116</v>
      </c>
      <c r="AN382" s="1" t="s">
        <v>1115</v>
      </c>
      <c r="AO382" s="1" t="s">
        <v>1453</v>
      </c>
      <c r="AP382" s="1"/>
      <c r="AQ382" s="1"/>
      <c r="AR382" s="1"/>
      <c r="AS382" s="1" t="s">
        <v>3715</v>
      </c>
    </row>
    <row r="383" spans="26:45" x14ac:dyDescent="0.15">
      <c r="Z383" s="10" t="s">
        <v>3982</v>
      </c>
      <c r="AH383" s="3">
        <v>860</v>
      </c>
      <c r="AI383" s="2" t="s">
        <v>3937</v>
      </c>
      <c r="AJ383" s="1" t="s">
        <v>1627</v>
      </c>
      <c r="AK383" s="1" t="s">
        <v>1431</v>
      </c>
      <c r="AL383" s="1">
        <v>24</v>
      </c>
      <c r="AM383" s="1" t="s">
        <v>785</v>
      </c>
      <c r="AN383" s="1" t="s">
        <v>784</v>
      </c>
      <c r="AO383" s="1" t="s">
        <v>339</v>
      </c>
      <c r="AP383" s="1"/>
      <c r="AQ383" s="1">
        <v>8</v>
      </c>
      <c r="AR383" s="1">
        <v>8</v>
      </c>
      <c r="AS383" s="1" t="s">
        <v>3982</v>
      </c>
    </row>
    <row r="384" spans="26:45" x14ac:dyDescent="0.15">
      <c r="Z384" s="10" t="s">
        <v>4654</v>
      </c>
      <c r="AH384" s="3">
        <v>1262</v>
      </c>
      <c r="AI384" s="2" t="s">
        <v>4643</v>
      </c>
      <c r="AJ384" s="1" t="s">
        <v>1487</v>
      </c>
      <c r="AK384" s="1" t="s">
        <v>3161</v>
      </c>
      <c r="AL384" s="1">
        <v>6</v>
      </c>
      <c r="AM384" s="1" t="s">
        <v>3151</v>
      </c>
      <c r="AN384" s="1" t="s">
        <v>3152</v>
      </c>
      <c r="AO384" s="1" t="s">
        <v>1453</v>
      </c>
      <c r="AP384" s="1"/>
      <c r="AQ384" s="1"/>
      <c r="AR384" s="1"/>
      <c r="AS384" s="1" t="s">
        <v>4654</v>
      </c>
    </row>
    <row r="385" spans="26:45" x14ac:dyDescent="0.15">
      <c r="Z385" s="10" t="s">
        <v>4655</v>
      </c>
      <c r="AH385" s="3">
        <v>1263</v>
      </c>
      <c r="AI385" s="2" t="s">
        <v>4349</v>
      </c>
      <c r="AJ385" s="1" t="s">
        <v>292</v>
      </c>
      <c r="AK385" s="1" t="s">
        <v>3161</v>
      </c>
      <c r="AL385" s="1">
        <v>2</v>
      </c>
      <c r="AM385" s="1" t="s">
        <v>3159</v>
      </c>
      <c r="AN385" s="1" t="s">
        <v>3160</v>
      </c>
      <c r="AO385" s="1" t="s">
        <v>288</v>
      </c>
      <c r="AP385" s="1">
        <v>10</v>
      </c>
      <c r="AQ385" s="1"/>
      <c r="AR385" s="1"/>
      <c r="AS385" s="1" t="s">
        <v>4655</v>
      </c>
    </row>
    <row r="386" spans="26:45" x14ac:dyDescent="0.15">
      <c r="Z386" s="10" t="s">
        <v>5382</v>
      </c>
      <c r="AH386" s="9"/>
      <c r="AI386" t="s">
        <v>4926</v>
      </c>
      <c r="AJ386" t="s">
        <v>1627</v>
      </c>
      <c r="AK386" t="s">
        <v>1431</v>
      </c>
      <c r="AL386">
        <v>18</v>
      </c>
      <c r="AM386" t="s">
        <v>5380</v>
      </c>
      <c r="AN386" t="s">
        <v>5381</v>
      </c>
      <c r="AO386" t="s">
        <v>1453</v>
      </c>
      <c r="AQ386" t="s">
        <v>4756</v>
      </c>
      <c r="AR386" t="s">
        <v>4756</v>
      </c>
      <c r="AS386" t="s">
        <v>5382</v>
      </c>
    </row>
    <row r="390" spans="26:45" x14ac:dyDescent="0.15">
      <c r="AH390" t="s">
        <v>5603</v>
      </c>
    </row>
    <row r="391" spans="26:45" x14ac:dyDescent="0.15">
      <c r="Z391" s="10" t="s">
        <v>2919</v>
      </c>
      <c r="AH391" s="3">
        <v>68</v>
      </c>
      <c r="AI391" s="2" t="s">
        <v>3176</v>
      </c>
      <c r="AJ391" s="1" t="s">
        <v>1606</v>
      </c>
      <c r="AK391" s="1" t="s">
        <v>1451</v>
      </c>
      <c r="AL391" s="1">
        <v>6</v>
      </c>
      <c r="AM391" s="1" t="s">
        <v>2921</v>
      </c>
      <c r="AN391" s="1" t="s">
        <v>2920</v>
      </c>
      <c r="AO391" s="1" t="s">
        <v>288</v>
      </c>
      <c r="AP391" s="1">
        <v>2</v>
      </c>
      <c r="AQ391" s="1"/>
      <c r="AR391" s="1"/>
      <c r="AS391" s="1" t="s">
        <v>2919</v>
      </c>
    </row>
    <row r="392" spans="26:45" x14ac:dyDescent="0.15">
      <c r="Z392" s="10" t="s">
        <v>2143</v>
      </c>
      <c r="AH392" s="3">
        <v>92</v>
      </c>
      <c r="AI392" s="2" t="s">
        <v>3176</v>
      </c>
      <c r="AJ392" s="1" t="s">
        <v>1582</v>
      </c>
      <c r="AK392" s="1" t="s">
        <v>1744</v>
      </c>
      <c r="AL392" s="1">
        <v>12</v>
      </c>
      <c r="AM392" s="1" t="s">
        <v>2854</v>
      </c>
      <c r="AN392" s="1" t="s">
        <v>2853</v>
      </c>
      <c r="AO392" s="1" t="s">
        <v>1453</v>
      </c>
      <c r="AP392" s="1"/>
      <c r="AQ392" s="1"/>
      <c r="AR392" s="1"/>
      <c r="AS392" s="1" t="s">
        <v>2143</v>
      </c>
    </row>
    <row r="393" spans="26:45" x14ac:dyDescent="0.15">
      <c r="Z393" s="10" t="s">
        <v>3342</v>
      </c>
      <c r="AH393" s="3">
        <v>322</v>
      </c>
      <c r="AI393" s="2" t="s">
        <v>3170</v>
      </c>
      <c r="AJ393" s="1" t="s">
        <v>1582</v>
      </c>
      <c r="AK393" s="1" t="s">
        <v>1744</v>
      </c>
      <c r="AL393" s="1">
        <v>7</v>
      </c>
      <c r="AM393" s="1" t="s">
        <v>2180</v>
      </c>
      <c r="AN393" s="1" t="s">
        <v>2179</v>
      </c>
      <c r="AO393" s="1" t="s">
        <v>339</v>
      </c>
      <c r="AP393" s="1"/>
      <c r="AQ393" s="1">
        <v>2</v>
      </c>
      <c r="AR393" s="1">
        <v>2</v>
      </c>
      <c r="AS393" s="1" t="s">
        <v>3342</v>
      </c>
    </row>
    <row r="394" spans="26:45" x14ac:dyDescent="0.15">
      <c r="Z394" s="10" t="s">
        <v>2141</v>
      </c>
      <c r="AH394" s="3">
        <v>333</v>
      </c>
      <c r="AI394" s="2" t="s">
        <v>3170</v>
      </c>
      <c r="AJ394" s="1" t="s">
        <v>1582</v>
      </c>
      <c r="AK394" s="1" t="s">
        <v>1744</v>
      </c>
      <c r="AL394" s="1">
        <v>7</v>
      </c>
      <c r="AM394" s="1" t="s">
        <v>2145</v>
      </c>
      <c r="AN394" s="1" t="s">
        <v>2144</v>
      </c>
      <c r="AO394" s="1" t="s">
        <v>1453</v>
      </c>
      <c r="AP394" s="1"/>
      <c r="AQ394" s="1"/>
      <c r="AR394" s="1"/>
      <c r="AS394" s="1" t="s">
        <v>2141</v>
      </c>
    </row>
    <row r="395" spans="26:45" x14ac:dyDescent="0.15">
      <c r="Z395" s="10" t="s">
        <v>4063</v>
      </c>
      <c r="AH395" s="3">
        <v>909</v>
      </c>
      <c r="AI395" s="2" t="s">
        <v>3937</v>
      </c>
      <c r="AJ395" s="1" t="s">
        <v>1582</v>
      </c>
      <c r="AK395" s="1" t="s">
        <v>1441</v>
      </c>
      <c r="AL395" s="1">
        <v>11</v>
      </c>
      <c r="AM395" s="1" t="s">
        <v>695</v>
      </c>
      <c r="AN395" s="1" t="s">
        <v>694</v>
      </c>
      <c r="AO395" s="1" t="s">
        <v>288</v>
      </c>
      <c r="AP395" s="1">
        <v>5</v>
      </c>
      <c r="AQ395" s="1"/>
      <c r="AR395" s="1"/>
      <c r="AS395" s="1" t="s">
        <v>4063</v>
      </c>
    </row>
    <row r="396" spans="26:45" x14ac:dyDescent="0.15">
      <c r="Z396" s="10" t="s">
        <v>4645</v>
      </c>
      <c r="AH396" s="3">
        <v>1254</v>
      </c>
      <c r="AI396" s="2" t="s">
        <v>4643</v>
      </c>
      <c r="AJ396" s="1" t="s">
        <v>1627</v>
      </c>
      <c r="AK396" s="1" t="s">
        <v>3161</v>
      </c>
      <c r="AL396" s="1">
        <v>18</v>
      </c>
      <c r="AM396" s="1" t="s">
        <v>3143</v>
      </c>
      <c r="AN396" s="1" t="s">
        <v>3144</v>
      </c>
      <c r="AO396" s="1" t="s">
        <v>339</v>
      </c>
      <c r="AP396" s="1"/>
      <c r="AQ396" s="1">
        <v>5</v>
      </c>
      <c r="AR396" s="1">
        <v>5</v>
      </c>
      <c r="AS396" s="1" t="s">
        <v>4645</v>
      </c>
    </row>
    <row r="397" spans="26:45" x14ac:dyDescent="0.15">
      <c r="Z397" s="10" t="s">
        <v>4984</v>
      </c>
      <c r="AH397" s="9"/>
      <c r="AI397" t="s">
        <v>4926</v>
      </c>
      <c r="AJ397" t="s">
        <v>1627</v>
      </c>
      <c r="AK397" t="s">
        <v>1441</v>
      </c>
      <c r="AL397">
        <v>9</v>
      </c>
      <c r="AM397" t="s">
        <v>4982</v>
      </c>
      <c r="AN397" t="s">
        <v>4983</v>
      </c>
      <c r="AO397" t="s">
        <v>288</v>
      </c>
      <c r="AP397">
        <v>3</v>
      </c>
      <c r="AQ397" t="s">
        <v>4756</v>
      </c>
      <c r="AR397" t="s">
        <v>4756</v>
      </c>
      <c r="AS397" t="s">
        <v>4984</v>
      </c>
    </row>
    <row r="398" spans="26:45" x14ac:dyDescent="0.15">
      <c r="Z398" s="10" t="s">
        <v>2810</v>
      </c>
      <c r="AH398" s="3">
        <v>107</v>
      </c>
      <c r="AI398" s="2" t="s">
        <v>3176</v>
      </c>
      <c r="AJ398" s="1" t="s">
        <v>1582</v>
      </c>
      <c r="AK398" s="1" t="s">
        <v>1451</v>
      </c>
      <c r="AL398" s="1">
        <v>6</v>
      </c>
      <c r="AM398" s="1" t="s">
        <v>2812</v>
      </c>
      <c r="AN398" s="1" t="s">
        <v>2811</v>
      </c>
      <c r="AO398" s="1" t="s">
        <v>1453</v>
      </c>
      <c r="AP398" s="1"/>
      <c r="AQ398" s="1"/>
      <c r="AR398" s="1"/>
      <c r="AS398" s="1" t="s">
        <v>2810</v>
      </c>
    </row>
    <row r="399" spans="26:45" x14ac:dyDescent="0.15">
      <c r="Z399" s="10" t="s">
        <v>2772</v>
      </c>
      <c r="AH399" s="3">
        <v>120</v>
      </c>
      <c r="AI399" s="2" t="s">
        <v>3176</v>
      </c>
      <c r="AJ399" s="1" t="s">
        <v>1582</v>
      </c>
      <c r="AK399" s="1" t="s">
        <v>1431</v>
      </c>
      <c r="AL399" s="1">
        <v>20</v>
      </c>
      <c r="AM399" s="1" t="s">
        <v>2774</v>
      </c>
      <c r="AN399" s="1" t="s">
        <v>2773</v>
      </c>
      <c r="AO399" s="1" t="s">
        <v>339</v>
      </c>
      <c r="AP399" s="1"/>
      <c r="AQ399" s="1">
        <v>8</v>
      </c>
      <c r="AR399" s="1">
        <v>8</v>
      </c>
      <c r="AS399" s="1" t="s">
        <v>2772</v>
      </c>
    </row>
    <row r="400" spans="26:45" x14ac:dyDescent="0.15">
      <c r="Z400" s="10" t="s">
        <v>2766</v>
      </c>
      <c r="AH400" s="3">
        <v>122</v>
      </c>
      <c r="AI400" s="2" t="s">
        <v>3176</v>
      </c>
      <c r="AJ400" s="1" t="s">
        <v>1582</v>
      </c>
      <c r="AK400" s="1" t="s">
        <v>1431</v>
      </c>
      <c r="AL400" s="1">
        <v>21</v>
      </c>
      <c r="AM400" s="1" t="s">
        <v>2768</v>
      </c>
      <c r="AN400" s="1" t="s">
        <v>2767</v>
      </c>
      <c r="AO400" s="1" t="s">
        <v>288</v>
      </c>
      <c r="AP400" s="1">
        <v>3</v>
      </c>
      <c r="AQ400" s="1"/>
      <c r="AR400" s="1"/>
      <c r="AS400" s="1" t="s">
        <v>2766</v>
      </c>
    </row>
    <row r="401" spans="26:45" x14ac:dyDescent="0.15">
      <c r="Z401" s="10" t="s">
        <v>1587</v>
      </c>
      <c r="AH401" s="3">
        <v>501</v>
      </c>
      <c r="AI401" s="2" t="s">
        <v>3171</v>
      </c>
      <c r="AJ401" s="1" t="s">
        <v>1582</v>
      </c>
      <c r="AK401" s="1" t="s">
        <v>1441</v>
      </c>
      <c r="AL401" s="1">
        <v>20</v>
      </c>
      <c r="AM401" s="1" t="s">
        <v>1591</v>
      </c>
      <c r="AN401" s="1" t="s">
        <v>1590</v>
      </c>
      <c r="AO401" s="1" t="s">
        <v>1453</v>
      </c>
      <c r="AP401" s="1"/>
      <c r="AQ401" s="1"/>
      <c r="AR401" s="1"/>
      <c r="AS401" s="1" t="s">
        <v>1587</v>
      </c>
    </row>
    <row r="404" spans="26:45" x14ac:dyDescent="0.15">
      <c r="AH404" t="s">
        <v>5604</v>
      </c>
    </row>
    <row r="405" spans="26:45" x14ac:dyDescent="0.15">
      <c r="Z405" s="10" t="s">
        <v>2901</v>
      </c>
      <c r="AH405" s="3">
        <v>74</v>
      </c>
      <c r="AI405" s="2" t="s">
        <v>3176</v>
      </c>
      <c r="AJ405" s="1" t="s">
        <v>1606</v>
      </c>
      <c r="AK405" s="1" t="s">
        <v>1441</v>
      </c>
      <c r="AL405" s="1">
        <v>14</v>
      </c>
      <c r="AM405" s="1" t="s">
        <v>2903</v>
      </c>
      <c r="AN405" s="1" t="s">
        <v>2902</v>
      </c>
      <c r="AO405" s="1" t="s">
        <v>1453</v>
      </c>
      <c r="AP405" s="1"/>
      <c r="AQ405" s="1"/>
      <c r="AR405" s="1"/>
      <c r="AS405" s="1" t="s">
        <v>2901</v>
      </c>
    </row>
    <row r="406" spans="26:45" x14ac:dyDescent="0.15">
      <c r="Z406" s="10" t="s">
        <v>1601</v>
      </c>
      <c r="AH406" s="3">
        <v>497</v>
      </c>
      <c r="AI406" s="2" t="s">
        <v>3171</v>
      </c>
      <c r="AJ406" s="1" t="s">
        <v>1606</v>
      </c>
      <c r="AK406" s="1" t="s">
        <v>1431</v>
      </c>
      <c r="AL406" s="1">
        <v>21</v>
      </c>
      <c r="AM406" s="1" t="s">
        <v>1605</v>
      </c>
      <c r="AN406" s="1" t="s">
        <v>1604</v>
      </c>
      <c r="AO406" s="1" t="s">
        <v>1453</v>
      </c>
      <c r="AP406" s="1"/>
      <c r="AQ406" s="1"/>
      <c r="AR406" s="1"/>
      <c r="AS406" s="1" t="s">
        <v>1601</v>
      </c>
    </row>
    <row r="407" spans="26:45" x14ac:dyDescent="0.15">
      <c r="Z407" s="10" t="s">
        <v>4015</v>
      </c>
      <c r="AH407" s="3">
        <v>879</v>
      </c>
      <c r="AI407" s="2" t="s">
        <v>3937</v>
      </c>
      <c r="AJ407" s="1" t="s">
        <v>1606</v>
      </c>
      <c r="AK407" s="1" t="s">
        <v>1441</v>
      </c>
      <c r="AL407" s="1">
        <v>18</v>
      </c>
      <c r="AM407" s="1" t="s">
        <v>750</v>
      </c>
      <c r="AN407" s="1" t="s">
        <v>749</v>
      </c>
      <c r="AO407" s="1" t="s">
        <v>339</v>
      </c>
      <c r="AP407" s="1"/>
      <c r="AQ407" s="1">
        <v>6</v>
      </c>
      <c r="AR407" s="1">
        <v>6</v>
      </c>
      <c r="AS407" s="1" t="s">
        <v>4015</v>
      </c>
    </row>
    <row r="408" spans="26:45" x14ac:dyDescent="0.15">
      <c r="Z408" s="10" t="s">
        <v>4419</v>
      </c>
      <c r="AH408" s="3">
        <v>1138</v>
      </c>
      <c r="AI408" s="2" t="s">
        <v>4349</v>
      </c>
      <c r="AJ408" s="1" t="s">
        <v>1606</v>
      </c>
      <c r="AK408" s="1" t="s">
        <v>1744</v>
      </c>
      <c r="AL408" s="1">
        <v>4</v>
      </c>
      <c r="AM408" s="1" t="s">
        <v>219</v>
      </c>
      <c r="AN408" s="1" t="s">
        <v>218</v>
      </c>
      <c r="AO408" s="1" t="s">
        <v>1453</v>
      </c>
      <c r="AP408" s="1"/>
      <c r="AQ408" s="1"/>
      <c r="AR408" s="1"/>
      <c r="AS408" s="1" t="s">
        <v>4419</v>
      </c>
    </row>
    <row r="412" spans="26:45" x14ac:dyDescent="0.15">
      <c r="AH412" t="s">
        <v>5605</v>
      </c>
    </row>
    <row r="413" spans="26:45" x14ac:dyDescent="0.15">
      <c r="Z413" s="10" t="s">
        <v>3902</v>
      </c>
      <c r="AH413" s="3">
        <v>819</v>
      </c>
      <c r="AI413" s="2" t="s">
        <v>3773</v>
      </c>
      <c r="AJ413" s="1" t="s">
        <v>1508</v>
      </c>
      <c r="AK413" s="1" t="s">
        <v>1431</v>
      </c>
      <c r="AL413" s="1">
        <v>14</v>
      </c>
      <c r="AM413" s="1" t="s">
        <v>890</v>
      </c>
      <c r="AN413" s="1" t="s">
        <v>889</v>
      </c>
      <c r="AO413" s="1" t="s">
        <v>339</v>
      </c>
      <c r="AP413" s="1"/>
      <c r="AQ413" s="1">
        <v>8</v>
      </c>
      <c r="AR413" s="1">
        <v>8</v>
      </c>
      <c r="AS413" s="1" t="s">
        <v>3902</v>
      </c>
    </row>
    <row r="414" spans="26:45" x14ac:dyDescent="0.15">
      <c r="Z414" s="10" t="s">
        <v>5525</v>
      </c>
      <c r="AH414" s="9"/>
      <c r="AI414" t="s">
        <v>4926</v>
      </c>
      <c r="AJ414" t="s">
        <v>1606</v>
      </c>
      <c r="AK414" t="s">
        <v>1441</v>
      </c>
      <c r="AL414">
        <v>10</v>
      </c>
      <c r="AM414" t="s">
        <v>5047</v>
      </c>
      <c r="AN414" t="s">
        <v>5048</v>
      </c>
      <c r="AO414" t="s">
        <v>339</v>
      </c>
      <c r="AQ414">
        <v>4</v>
      </c>
      <c r="AR414">
        <v>6</v>
      </c>
      <c r="AS414" t="s">
        <v>5525</v>
      </c>
    </row>
    <row r="415" spans="26:45" x14ac:dyDescent="0.15">
      <c r="Z415" s="10" t="s">
        <v>4419</v>
      </c>
      <c r="AH415" s="3">
        <v>1138</v>
      </c>
      <c r="AI415" s="2" t="s">
        <v>4349</v>
      </c>
      <c r="AJ415" s="1" t="s">
        <v>1606</v>
      </c>
      <c r="AK415" s="1" t="s">
        <v>1744</v>
      </c>
      <c r="AL415" s="1">
        <v>4</v>
      </c>
      <c r="AM415" s="1" t="s">
        <v>219</v>
      </c>
      <c r="AN415" s="1" t="s">
        <v>218</v>
      </c>
      <c r="AO415" s="1" t="s">
        <v>1453</v>
      </c>
      <c r="AP415" s="1"/>
      <c r="AQ415" s="1"/>
      <c r="AR415" s="1"/>
      <c r="AS415" s="1" t="s">
        <v>4419</v>
      </c>
    </row>
    <row r="419" spans="26:45" x14ac:dyDescent="0.15">
      <c r="AH419" t="s">
        <v>4829</v>
      </c>
    </row>
    <row r="420" spans="26:45" x14ac:dyDescent="0.15">
      <c r="Z420" s="10" t="s">
        <v>4024</v>
      </c>
      <c r="AH420" s="3">
        <v>884</v>
      </c>
      <c r="AI420" s="2" t="s">
        <v>3937</v>
      </c>
      <c r="AJ420" s="1" t="s">
        <v>1606</v>
      </c>
      <c r="AK420" s="1" t="s">
        <v>1441</v>
      </c>
      <c r="AL420" s="1">
        <v>6</v>
      </c>
      <c r="AM420" s="1" t="s">
        <v>745</v>
      </c>
      <c r="AN420" s="1" t="s">
        <v>744</v>
      </c>
      <c r="AO420" s="1" t="s">
        <v>288</v>
      </c>
      <c r="AP420" s="1">
        <v>2</v>
      </c>
      <c r="AQ420" s="1"/>
      <c r="AR420" s="1"/>
      <c r="AS420" s="1" t="s">
        <v>4024</v>
      </c>
    </row>
    <row r="421" spans="26:45" x14ac:dyDescent="0.15">
      <c r="Z421" s="10" t="s">
        <v>4433</v>
      </c>
      <c r="AH421" s="3">
        <v>1144</v>
      </c>
      <c r="AI421" s="2" t="s">
        <v>4349</v>
      </c>
      <c r="AJ421" s="1" t="s">
        <v>1606</v>
      </c>
      <c r="AK421" s="1" t="s">
        <v>1441</v>
      </c>
      <c r="AL421" s="1">
        <v>15</v>
      </c>
      <c r="AM421" s="1" t="s">
        <v>207</v>
      </c>
      <c r="AN421" s="1" t="s">
        <v>206</v>
      </c>
      <c r="AO421" s="1" t="s">
        <v>339</v>
      </c>
      <c r="AP421" s="1"/>
      <c r="AQ421" s="1">
        <v>6</v>
      </c>
      <c r="AR421" s="1">
        <v>6</v>
      </c>
      <c r="AS421" s="1" t="s">
        <v>4433</v>
      </c>
    </row>
    <row r="422" spans="26:45" x14ac:dyDescent="0.15">
      <c r="Z422" s="10" t="s">
        <v>4655</v>
      </c>
      <c r="AH422" s="3">
        <v>1263</v>
      </c>
      <c r="AI422" s="2" t="s">
        <v>4349</v>
      </c>
      <c r="AJ422" s="1" t="s">
        <v>292</v>
      </c>
      <c r="AK422" s="1" t="s">
        <v>3161</v>
      </c>
      <c r="AL422" s="1">
        <v>2</v>
      </c>
      <c r="AM422" s="1" t="s">
        <v>3159</v>
      </c>
      <c r="AN422" s="1" t="s">
        <v>3160</v>
      </c>
      <c r="AO422" s="1" t="s">
        <v>288</v>
      </c>
      <c r="AP422" s="1">
        <v>10</v>
      </c>
      <c r="AQ422" s="1"/>
      <c r="AR422" s="1"/>
      <c r="AS422" s="1" t="s">
        <v>4655</v>
      </c>
    </row>
    <row r="423" spans="26:45" x14ac:dyDescent="0.15">
      <c r="Z423" s="10" t="s">
        <v>5511</v>
      </c>
      <c r="AH423" s="9"/>
      <c r="AI423" t="s">
        <v>4926</v>
      </c>
      <c r="AJ423" t="s">
        <v>1627</v>
      </c>
      <c r="AK423" t="s">
        <v>1744</v>
      </c>
      <c r="AL423">
        <v>6</v>
      </c>
      <c r="AM423" t="s">
        <v>4957</v>
      </c>
      <c r="AN423" t="s">
        <v>4958</v>
      </c>
      <c r="AO423" t="s">
        <v>288</v>
      </c>
      <c r="AP423">
        <v>10</v>
      </c>
      <c r="AQ423" t="s">
        <v>4756</v>
      </c>
      <c r="AR423" t="s">
        <v>4756</v>
      </c>
      <c r="AS423" t="s">
        <v>5511</v>
      </c>
    </row>
    <row r="424" spans="26:45" x14ac:dyDescent="0.15">
      <c r="Z424" s="10" t="s">
        <v>4981</v>
      </c>
      <c r="AH424" s="9"/>
      <c r="AI424" t="s">
        <v>4926</v>
      </c>
      <c r="AJ424" t="s">
        <v>1627</v>
      </c>
      <c r="AK424" t="s">
        <v>1441</v>
      </c>
      <c r="AL424">
        <v>9</v>
      </c>
      <c r="AM424" t="s">
        <v>4979</v>
      </c>
      <c r="AN424" t="s">
        <v>4980</v>
      </c>
      <c r="AO424" t="s">
        <v>288</v>
      </c>
      <c r="AP424">
        <v>2</v>
      </c>
      <c r="AQ424" t="s">
        <v>4756</v>
      </c>
      <c r="AR424" t="s">
        <v>4756</v>
      </c>
      <c r="AS424" t="s">
        <v>4981</v>
      </c>
    </row>
    <row r="425" spans="26:45" x14ac:dyDescent="0.15">
      <c r="Z425" s="10" t="s">
        <v>5018</v>
      </c>
      <c r="AH425" s="9"/>
      <c r="AI425" t="s">
        <v>4926</v>
      </c>
      <c r="AJ425" t="s">
        <v>1606</v>
      </c>
      <c r="AK425" t="s">
        <v>1744</v>
      </c>
      <c r="AL425">
        <v>2</v>
      </c>
      <c r="AM425" t="s">
        <v>5016</v>
      </c>
      <c r="AN425" t="s">
        <v>5017</v>
      </c>
      <c r="AO425" t="s">
        <v>1453</v>
      </c>
      <c r="AQ425" t="s">
        <v>4756</v>
      </c>
      <c r="AR425" t="s">
        <v>4756</v>
      </c>
      <c r="AS425" t="s">
        <v>5018</v>
      </c>
    </row>
    <row r="426" spans="26:45" x14ac:dyDescent="0.15">
      <c r="Z426" s="10" t="s">
        <v>5573</v>
      </c>
      <c r="AH426" s="9"/>
      <c r="AI426" t="s">
        <v>4926</v>
      </c>
      <c r="AJ426" t="s">
        <v>1467</v>
      </c>
      <c r="AK426" t="s">
        <v>1441</v>
      </c>
      <c r="AL426">
        <v>11</v>
      </c>
      <c r="AM426" t="s">
        <v>5594</v>
      </c>
      <c r="AN426" t="s">
        <v>5367</v>
      </c>
      <c r="AO426" t="s">
        <v>288</v>
      </c>
      <c r="AP426">
        <v>10</v>
      </c>
      <c r="AQ426" t="s">
        <v>4756</v>
      </c>
      <c r="AR426" t="s">
        <v>4756</v>
      </c>
      <c r="AS426" t="s">
        <v>5573</v>
      </c>
    </row>
    <row r="427" spans="26:45" x14ac:dyDescent="0.15">
      <c r="Z427" s="10" t="s">
        <v>5395</v>
      </c>
      <c r="AH427" s="9"/>
      <c r="AI427" t="s">
        <v>4926</v>
      </c>
      <c r="AJ427" t="s">
        <v>1606</v>
      </c>
      <c r="AK427" t="s">
        <v>1451</v>
      </c>
      <c r="AL427">
        <v>6</v>
      </c>
      <c r="AM427" t="s">
        <v>5393</v>
      </c>
      <c r="AN427" t="s">
        <v>5394</v>
      </c>
      <c r="AO427" t="s">
        <v>288</v>
      </c>
      <c r="AQ427" t="s">
        <v>4756</v>
      </c>
      <c r="AR427" t="s">
        <v>4756</v>
      </c>
      <c r="AS427" t="s">
        <v>5395</v>
      </c>
    </row>
    <row r="428" spans="26:45" x14ac:dyDescent="0.15">
      <c r="Z428" s="10" t="s">
        <v>5565</v>
      </c>
      <c r="AH428" s="9"/>
      <c r="AI428" t="s">
        <v>4926</v>
      </c>
      <c r="AJ428" t="s">
        <v>1512</v>
      </c>
      <c r="AK428" t="s">
        <v>1451</v>
      </c>
      <c r="AL428">
        <v>10</v>
      </c>
      <c r="AM428" t="s">
        <v>5584</v>
      </c>
      <c r="AN428" t="s">
        <v>5336</v>
      </c>
      <c r="AO428" t="s">
        <v>288</v>
      </c>
      <c r="AP428">
        <v>1</v>
      </c>
      <c r="AQ428" t="s">
        <v>4756</v>
      </c>
      <c r="AR428" t="s">
        <v>4756</v>
      </c>
      <c r="AS428" t="s">
        <v>5565</v>
      </c>
    </row>
  </sheetData>
  <autoFilter ref="Z3:AG245"/>
  <phoneticPr fontId="1"/>
  <conditionalFormatting sqref="AR9:AR19">
    <cfRule type="cellIs" dxfId="58" priority="23" operator="notEqual">
      <formula>$P9</formula>
    </cfRule>
  </conditionalFormatting>
  <conditionalFormatting sqref="AR20:AR34">
    <cfRule type="cellIs" dxfId="57" priority="152" operator="notEqual">
      <formula>$P247</formula>
    </cfRule>
  </conditionalFormatting>
  <conditionalFormatting sqref="Z1:Z1048576">
    <cfRule type="containsText" dxfId="56" priority="21" operator="containsText" text="末裔">
      <formula>NOT(ISERROR(SEARCH("末裔",Z1)))</formula>
    </cfRule>
  </conditionalFormatting>
  <conditionalFormatting sqref="AR35:AR221">
    <cfRule type="cellIs" dxfId="55" priority="901" operator="notEqual">
      <formula>$P263</formula>
    </cfRule>
  </conditionalFormatting>
  <conditionalFormatting sqref="AR262:AR265">
    <cfRule type="cellIs" dxfId="54" priority="17" operator="notEqual">
      <formula>$P262</formula>
    </cfRule>
  </conditionalFormatting>
  <conditionalFormatting sqref="AR406:AR408">
    <cfRule type="cellIs" dxfId="53" priority="4" operator="notEqual">
      <formula>$P634</formula>
    </cfRule>
  </conditionalFormatting>
  <conditionalFormatting sqref="AR266:AR272">
    <cfRule type="cellIs" dxfId="52" priority="16" operator="notEqual">
      <formula>$P493</formula>
    </cfRule>
  </conditionalFormatting>
  <conditionalFormatting sqref="AR273:AR325">
    <cfRule type="cellIs" dxfId="51" priority="15" operator="notEqual">
      <formula>$P501</formula>
    </cfRule>
  </conditionalFormatting>
  <conditionalFormatting sqref="AR336:AR344">
    <cfRule type="cellIs" dxfId="50" priority="14" operator="notEqual">
      <formula>$P564</formula>
    </cfRule>
  </conditionalFormatting>
  <conditionalFormatting sqref="AR348:AR349">
    <cfRule type="cellIs" dxfId="49" priority="13" operator="notEqual">
      <formula>$P576</formula>
    </cfRule>
  </conditionalFormatting>
  <conditionalFormatting sqref="AR354:AR375">
    <cfRule type="cellIs" dxfId="48" priority="12" operator="notEqual">
      <formula>$P582</formula>
    </cfRule>
  </conditionalFormatting>
  <conditionalFormatting sqref="AR380:AR385">
    <cfRule type="cellIs" dxfId="47" priority="11" operator="notEqual">
      <formula>$P608</formula>
    </cfRule>
  </conditionalFormatting>
  <conditionalFormatting sqref="AR391">
    <cfRule type="cellIs" dxfId="46" priority="10" operator="notEqual">
      <formula>$P391</formula>
    </cfRule>
  </conditionalFormatting>
  <conditionalFormatting sqref="AR392">
    <cfRule type="cellIs" dxfId="45" priority="9" operator="notEqual">
      <formula>$P619</formula>
    </cfRule>
  </conditionalFormatting>
  <conditionalFormatting sqref="AR393:AR396">
    <cfRule type="cellIs" dxfId="44" priority="8" operator="notEqual">
      <formula>$P621</formula>
    </cfRule>
  </conditionalFormatting>
  <conditionalFormatting sqref="AR398:AR400">
    <cfRule type="cellIs" dxfId="43" priority="7" operator="notEqual">
      <formula>$P625</formula>
    </cfRule>
  </conditionalFormatting>
  <conditionalFormatting sqref="AR401">
    <cfRule type="cellIs" dxfId="42" priority="6" operator="notEqual">
      <formula>$P629</formula>
    </cfRule>
  </conditionalFormatting>
  <conditionalFormatting sqref="AR405">
    <cfRule type="cellIs" dxfId="41" priority="5" operator="notEqual">
      <formula>$P405</formula>
    </cfRule>
  </conditionalFormatting>
  <conditionalFormatting sqref="AR413">
    <cfRule type="cellIs" dxfId="40" priority="3" operator="notEqual">
      <formula>$P641</formula>
    </cfRule>
  </conditionalFormatting>
  <conditionalFormatting sqref="AR415">
    <cfRule type="cellIs" dxfId="39" priority="2" operator="notEqual">
      <formula>$P643</formula>
    </cfRule>
  </conditionalFormatting>
  <conditionalFormatting sqref="AR420:AR422">
    <cfRule type="cellIs" dxfId="38" priority="1" operator="notEqual">
      <formula>$P648</formula>
    </cfRule>
  </conditionalFormatting>
  <dataValidations count="2">
    <dataValidation type="list" allowBlank="1" showInputMessage="1" showErrorMessage="1" sqref="AK9:AK16 AK262:AK265">
      <formula1>#REF!</formula1>
    </dataValidation>
    <dataValidation type="list" allowBlank="1" showInputMessage="1" showErrorMessage="1" sqref="AA9:AB246">
      <formula1>$AT$1:$AT$15</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W155"/>
  <sheetViews>
    <sheetView topLeftCell="A31" zoomScale="85" zoomScaleNormal="85" workbookViewId="0">
      <selection activeCell="T64" sqref="T64"/>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0" max="20" width="19.5" customWidth="1"/>
    <col min="21" max="21" width="2.875" customWidth="1"/>
    <col min="22" max="22" width="10.25" customWidth="1"/>
    <col min="23" max="23" width="3.75" bestFit="1" customWidth="1"/>
    <col min="24" max="24" width="2" bestFit="1" customWidth="1"/>
    <col min="25" max="25" width="2.5" bestFit="1" customWidth="1"/>
    <col min="26" max="26" width="36.625" style="10" customWidth="1"/>
    <col min="27" max="28" width="8.5" bestFit="1" customWidth="1"/>
    <col min="29" max="29" width="6" bestFit="1" customWidth="1"/>
    <col min="30" max="31" width="8.125" bestFit="1" customWidth="1"/>
    <col min="32" max="32" width="6.25" customWidth="1"/>
    <col min="33" max="33" width="7.125" customWidth="1"/>
    <col min="34" max="35" width="5.5" bestFit="1" customWidth="1"/>
    <col min="36" max="36" width="5.25" bestFit="1" customWidth="1"/>
    <col min="37" max="37" width="9.5" bestFit="1" customWidth="1"/>
    <col min="38" max="38" width="5" bestFit="1" customWidth="1"/>
    <col min="39" max="39" width="14.875" customWidth="1"/>
    <col min="40" max="40" width="9" customWidth="1"/>
    <col min="42" max="42" width="4.875" bestFit="1" customWidth="1"/>
    <col min="43" max="44" width="3.5" bestFit="1" customWidth="1"/>
  </cols>
  <sheetData>
    <row r="1" spans="1:45" x14ac:dyDescent="0.15">
      <c r="A1" t="s">
        <v>4803</v>
      </c>
    </row>
    <row r="2" spans="1:45" x14ac:dyDescent="0.15">
      <c r="A2" t="str">
        <f>B2&amp;C2&amp;E2&amp;F2&amp;H2&amp;I2&amp;J2&amp;M2&amp;N2&amp;O2&amp;P2&amp;Q2&amp;R2&amp;S2&amp;T2&amp;V2&amp;W2&amp;X2&amp;Y2</f>
        <v/>
      </c>
    </row>
    <row r="3" spans="1:45" x14ac:dyDescent="0.15">
      <c r="A3" t="str">
        <f>B3&amp;C3&amp;E3&amp;F3&amp;H3&amp;I3&amp;J3&amp;M3&amp;N3&amp;O3&amp;P3&amp;Q3&amp;R3&amp;S3&amp;T3&amp;V3&amp;W3&amp;X3&amp;Y3</f>
        <v>*破壊カード一覧</v>
      </c>
      <c r="B3" t="s">
        <v>3173</v>
      </c>
      <c r="C3" t="s">
        <v>4824</v>
      </c>
      <c r="F3" t="s">
        <v>3172</v>
      </c>
    </row>
    <row r="4" spans="1:45" x14ac:dyDescent="0.15">
      <c r="A4" t="str">
        <f>B4&amp;C4&amp;E4&amp;F4&amp;H4&amp;I4&amp;J4&amp;M4&amp;N4&amp;O4&amp;P4&amp;Q4&amp;R4&amp;S4&amp;T4&amp;V4&amp;W4&amp;X4&amp;Y4</f>
        <v>[[破壊]]</v>
      </c>
      <c r="B4" t="s">
        <v>4761</v>
      </c>
      <c r="C4" t="str">
        <f>C3</f>
        <v>破壊</v>
      </c>
      <c r="E4" t="s">
        <v>4804</v>
      </c>
    </row>
    <row r="5" spans="1:45" x14ac:dyDescent="0.15">
      <c r="A5" t="str">
        <f>B5&amp;C5&amp;E5&amp;F5&amp;H5&amp;I5&amp;J5&amp;M5&amp;N5&amp;O5&amp;P5&amp;Q5&amp;R5&amp;S5&amp;T5&amp;V5&amp;W5&amp;X5&amp;Y5</f>
        <v/>
      </c>
    </row>
    <row r="6" spans="1:45" x14ac:dyDescent="0.15">
      <c r="A6" t="str">
        <f>B6&amp;C6&amp;E6&amp;F6&amp;H6&amp;I6&amp;J6&amp;M6&amp;N6&amp;O6&amp;P6&amp;Q6&amp;R6&amp;S6&amp;T6&amp;U6&amp;V6&amp;W6&amp;X6&amp;Y6</f>
        <v>*確定破壊カード</v>
      </c>
      <c r="B6" t="s">
        <v>3173</v>
      </c>
      <c r="C6" t="s">
        <v>5627</v>
      </c>
    </row>
    <row r="7" spans="1:45" x14ac:dyDescent="0.15">
      <c r="A7" t="s">
        <v>5639</v>
      </c>
    </row>
    <row r="9" spans="1:45" x14ac:dyDescent="0.15">
      <c r="A9" t="str">
        <f>B9&amp;C9&amp;E9&amp;F9&amp;H9&amp;I9&amp;J9&amp;M9&amp;N9&amp;O9&amp;P9&amp;Q9&amp;R9&amp;S9&amp;T9&amp;U9&amp;V9&amp;W9&amp;X9&amp;Y9</f>
        <v>*クリーチャーを破壊する能力を持つクリーチャー</v>
      </c>
      <c r="B9" t="s">
        <v>3173</v>
      </c>
      <c r="C9" t="s">
        <v>5595</v>
      </c>
      <c r="F9" t="str">
        <f>$C$4</f>
        <v>破壊</v>
      </c>
      <c r="M9" t="s">
        <v>5596</v>
      </c>
      <c r="N9" t="s">
        <v>4814</v>
      </c>
      <c r="Y9" s="9"/>
    </row>
    <row r="10" spans="1:45" x14ac:dyDescent="0.15">
      <c r="A10" t="str">
        <f>B10&amp;C10&amp;E10&amp;F10&amp;H10&amp;I10&amp;J10&amp;M10&amp;N10&amp;O10&amp;P10&amp;Q10&amp;R10&amp;S10&amp;T10&amp;V10&amp;W10&amp;X10&amp;Y10</f>
        <v>**マジック:オリジン</v>
      </c>
      <c r="B10" t="s">
        <v>4752</v>
      </c>
      <c r="C10" t="s">
        <v>4753</v>
      </c>
    </row>
    <row r="11" spans="1:45" x14ac:dyDescent="0.15">
      <c r="A11" t="str">
        <f>B11&amp;C11&amp;E11&amp;F11&amp;H11&amp;I11&amp;J11&amp;M11&amp;N11&amp;O11&amp;P11&amp;Q11&amp;R11&amp;S11&amp;T11&amp;U11&amp;V11&amp;W11&amp;X11&amp;Y11</f>
        <v>|LEFT:50|LEFT:50|LEFT:50|LEFT:250|LEFT:500|c</v>
      </c>
      <c r="B11" t="s">
        <v>3168</v>
      </c>
      <c r="C11" t="s">
        <v>3162</v>
      </c>
      <c r="E11" t="s">
        <v>3168</v>
      </c>
      <c r="F11" t="s">
        <v>3162</v>
      </c>
      <c r="H11" t="s">
        <v>3168</v>
      </c>
      <c r="I11" t="s">
        <v>3162</v>
      </c>
      <c r="J11" t="s">
        <v>3175</v>
      </c>
      <c r="O11" t="s">
        <v>4800</v>
      </c>
      <c r="R11" t="s">
        <v>3175</v>
      </c>
      <c r="T11" t="s">
        <v>3163</v>
      </c>
      <c r="X11" t="s">
        <v>3175</v>
      </c>
      <c r="Y11" t="s">
        <v>3164</v>
      </c>
    </row>
    <row r="12" spans="1:45" x14ac:dyDescent="0.15">
      <c r="A12" t="str">
        <f>B12&amp;C12&amp;E12&amp;F12&amp;H12&amp;I12&amp;J12&amp;M12&amp;N12&amp;O12&amp;P12&amp;Q12&amp;R12&amp;S12&amp;T12&amp;U12&amp;V12&amp;W12&amp;X12&amp;Y12</f>
        <v>|セット|色|コスト|能力|カード名|</v>
      </c>
      <c r="B12" t="s">
        <v>3168</v>
      </c>
      <c r="C12" t="s">
        <v>3169</v>
      </c>
      <c r="E12" t="s">
        <v>3168</v>
      </c>
      <c r="F12" t="s">
        <v>3139</v>
      </c>
      <c r="H12" t="s">
        <v>3168</v>
      </c>
      <c r="I12" t="s">
        <v>3165</v>
      </c>
      <c r="J12" t="s">
        <v>3175</v>
      </c>
      <c r="K12" t="s">
        <v>4806</v>
      </c>
      <c r="L12" t="s">
        <v>4807</v>
      </c>
      <c r="O12" t="s">
        <v>3174</v>
      </c>
      <c r="R12" t="s">
        <v>3175</v>
      </c>
      <c r="T12" t="s">
        <v>3166</v>
      </c>
      <c r="X12" t="s">
        <v>3175</v>
      </c>
      <c r="AH12" s="12"/>
      <c r="AI12" s="12"/>
      <c r="AJ12" s="12"/>
      <c r="AK12" s="12"/>
      <c r="AL12" s="12"/>
      <c r="AM12" s="12"/>
      <c r="AN12" s="12"/>
      <c r="AO12" s="12"/>
      <c r="AP12" s="12"/>
      <c r="AQ12" s="12"/>
      <c r="AR12" s="12"/>
      <c r="AS12" s="12"/>
    </row>
    <row r="13" spans="1:45" x14ac:dyDescent="0.15">
      <c r="A13" t="str">
        <f>B13&amp;C13&amp;E13&amp;F13&amp;H13&amp;I13&amp;J13&amp;M13&amp;N13&amp;O13&amp;P13&amp;Q13&amp;R13&amp;S13&amp;T13&amp;U13&amp;V13&amp;W13&amp;X13</f>
        <v>|ORI|青|12|CIP&amp;br;他の自分の各クリーチャー|《[[スカーブの大巨人]]》|</v>
      </c>
      <c r="B13" t="s">
        <v>3168</v>
      </c>
      <c r="C13" t="str">
        <f>AI13</f>
        <v>ORI</v>
      </c>
      <c r="D13" t="str">
        <f>IF(AF13="","",VLOOKUP(C13,tnpl!$Z$1:$AA$11,2,TRUE))</f>
        <v/>
      </c>
      <c r="E13" t="s">
        <v>3168</v>
      </c>
      <c r="F13" t="str">
        <f>AJ13</f>
        <v>青</v>
      </c>
      <c r="G13" t="str">
        <f>IF(AG13="","",VLOOKUP(F13,tnpl!$X$1:$Y$16,2,TRUE))</f>
        <v/>
      </c>
      <c r="H13" t="s">
        <v>3168</v>
      </c>
      <c r="I13">
        <f>AL13</f>
        <v>12</v>
      </c>
      <c r="J13" t="s">
        <v>3168</v>
      </c>
      <c r="K13">
        <f>AT13</f>
        <v>0</v>
      </c>
      <c r="L13">
        <f>AU13</f>
        <v>0</v>
      </c>
      <c r="O13" t="s">
        <v>5631</v>
      </c>
      <c r="P13" t="s">
        <v>5607</v>
      </c>
      <c r="Q13" t="s">
        <v>5630</v>
      </c>
      <c r="R13" t="s">
        <v>3175</v>
      </c>
      <c r="S13" t="s">
        <v>5608</v>
      </c>
      <c r="T13" t="str">
        <f>AM13</f>
        <v>スカーブの大巨人</v>
      </c>
      <c r="U13" t="str">
        <f>IF(I13=0,"&gt;","")</f>
        <v/>
      </c>
      <c r="V13" t="str">
        <f>IF(I13=0,VLOOKUP(T13,Sheet4!A:B,2,TRUE),"")</f>
        <v/>
      </c>
      <c r="W13" t="s">
        <v>4751</v>
      </c>
      <c r="X13" t="s">
        <v>3175</v>
      </c>
      <c r="Z13" s="10" t="s">
        <v>3220</v>
      </c>
      <c r="AH13" s="3">
        <v>79</v>
      </c>
      <c r="AI13" s="2" t="s">
        <v>3176</v>
      </c>
      <c r="AJ13" s="1" t="s">
        <v>1606</v>
      </c>
      <c r="AK13" s="1" t="s">
        <v>1431</v>
      </c>
      <c r="AL13" s="1">
        <v>12</v>
      </c>
      <c r="AM13" s="1" t="s">
        <v>2888</v>
      </c>
      <c r="AN13" s="1" t="s">
        <v>2887</v>
      </c>
      <c r="AO13" s="1" t="s">
        <v>339</v>
      </c>
      <c r="AP13" s="1"/>
      <c r="AQ13" s="1">
        <v>1</v>
      </c>
      <c r="AR13" s="1">
        <v>3</v>
      </c>
      <c r="AS13" s="1" t="s">
        <v>3220</v>
      </c>
    </row>
    <row r="14" spans="1:45" x14ac:dyDescent="0.15">
      <c r="A14" t="str">
        <f t="shared" ref="A14:A47" si="0">B14&amp;C14&amp;E14&amp;F14&amp;H14&amp;I14&amp;J14&amp;M14&amp;N14&amp;O14&amp;P14&amp;Q14&amp;R14&amp;S14&amp;T14&amp;U14&amp;V14&amp;W14&amp;X14</f>
        <v>|ORI|黒|10|CIP:他の自分のクリーチャーを破壊する&amp;br;対戦相手の最初のクリーチャー|《[[肉袋の匪賊]]》|</v>
      </c>
      <c r="B14" t="s">
        <v>3168</v>
      </c>
      <c r="C14" t="str">
        <f t="shared" ref="C14:C47" si="1">AI14</f>
        <v>ORI</v>
      </c>
      <c r="D14" t="str">
        <f>IF(AF14="","",VLOOKUP(C14,tnpl!$Z$1:$AA$11,2,TRUE))</f>
        <v/>
      </c>
      <c r="E14" t="s">
        <v>3168</v>
      </c>
      <c r="F14" t="str">
        <f t="shared" ref="F14:F47" si="2">AJ14</f>
        <v>黒</v>
      </c>
      <c r="G14" t="str">
        <f>IF(AG14="","",VLOOKUP(F14,tnpl!$X$1:$Y$16,2,TRUE))</f>
        <v/>
      </c>
      <c r="H14" t="s">
        <v>3168</v>
      </c>
      <c r="I14">
        <f t="shared" ref="I14:I47" si="3">AL14</f>
        <v>10</v>
      </c>
      <c r="J14" t="s">
        <v>3168</v>
      </c>
      <c r="K14">
        <f t="shared" ref="K14:K47" si="4">AT14</f>
        <v>0</v>
      </c>
      <c r="L14">
        <f t="shared" ref="L14:L47" si="5">AU14</f>
        <v>0</v>
      </c>
      <c r="O14" t="s">
        <v>5640</v>
      </c>
      <c r="P14" t="s">
        <v>5607</v>
      </c>
      <c r="Q14" t="s">
        <v>5632</v>
      </c>
      <c r="R14" t="s">
        <v>3175</v>
      </c>
      <c r="S14" t="s">
        <v>5608</v>
      </c>
      <c r="T14" t="str">
        <f t="shared" ref="T14:T47" si="6">AM14</f>
        <v>肉袋の匪賊</v>
      </c>
      <c r="U14" t="str">
        <f t="shared" ref="U14:U52" si="7">IF(I14=0,"&gt;","")</f>
        <v/>
      </c>
      <c r="V14" t="str">
        <f>IF(I14=0,VLOOKUP(T14,Sheet4!A:B,2,TRUE),"")</f>
        <v/>
      </c>
      <c r="W14" t="s">
        <v>4751</v>
      </c>
      <c r="X14" t="s">
        <v>3175</v>
      </c>
      <c r="Z14" s="10" t="s">
        <v>2836</v>
      </c>
      <c r="AH14" s="3">
        <v>98</v>
      </c>
      <c r="AI14" s="2" t="s">
        <v>3176</v>
      </c>
      <c r="AJ14" s="1" t="s">
        <v>1582</v>
      </c>
      <c r="AK14" s="1" t="s">
        <v>1451</v>
      </c>
      <c r="AL14" s="1">
        <v>10</v>
      </c>
      <c r="AM14" s="1" t="s">
        <v>2837</v>
      </c>
      <c r="AN14" s="1" t="s">
        <v>3231</v>
      </c>
      <c r="AO14" s="1" t="s">
        <v>339</v>
      </c>
      <c r="AP14" s="1"/>
      <c r="AQ14" s="1">
        <v>5</v>
      </c>
      <c r="AR14" s="1">
        <v>3</v>
      </c>
      <c r="AS14" s="1" t="s">
        <v>2836</v>
      </c>
    </row>
    <row r="15" spans="1:45" x14ac:dyDescent="0.15">
      <c r="AH15" s="9"/>
      <c r="AI15" s="9"/>
      <c r="AJ15" s="9"/>
      <c r="AK15" s="9"/>
      <c r="AL15" s="9"/>
      <c r="AM15" s="9"/>
      <c r="AN15" s="9"/>
      <c r="AO15" s="9"/>
      <c r="AP15" s="9"/>
      <c r="AQ15" s="9"/>
      <c r="AR15" s="9"/>
      <c r="AS15" s="9"/>
    </row>
    <row r="16" spans="1:45" x14ac:dyDescent="0.15">
      <c r="A16" t="str">
        <f>B16&amp;C16&amp;E16&amp;F16&amp;H16&amp;I16&amp;J16&amp;M16&amp;N16&amp;O16&amp;P16&amp;Q16&amp;R16&amp;S16&amp;T16&amp;V16&amp;W16&amp;X16&amp;Y16</f>
        <v>**戦乱のゼンディカーブロック</v>
      </c>
      <c r="B16" t="s">
        <v>4752</v>
      </c>
      <c r="C16" t="s">
        <v>4810</v>
      </c>
    </row>
    <row r="17" spans="1:49" x14ac:dyDescent="0.15">
      <c r="A17" t="str">
        <f>B17&amp;C17&amp;E17&amp;F17&amp;H17&amp;I17&amp;J17&amp;M17&amp;N17&amp;O17&amp;P17&amp;Q17&amp;R17&amp;S17&amp;T17&amp;U17&amp;V17&amp;W17&amp;X17&amp;Y17</f>
        <v>|LEFT:50|LEFT:50|LEFT:50|LEFT:250|LEFT:500|c</v>
      </c>
      <c r="B17" t="s">
        <v>3168</v>
      </c>
      <c r="C17" t="s">
        <v>3162</v>
      </c>
      <c r="E17" t="s">
        <v>3168</v>
      </c>
      <c r="F17" t="s">
        <v>3162</v>
      </c>
      <c r="H17" t="s">
        <v>3168</v>
      </c>
      <c r="I17" t="s">
        <v>3162</v>
      </c>
      <c r="J17" t="s">
        <v>3175</v>
      </c>
      <c r="O17" t="s">
        <v>4800</v>
      </c>
      <c r="R17" t="s">
        <v>3175</v>
      </c>
      <c r="T17" t="s">
        <v>3163</v>
      </c>
      <c r="X17" t="s">
        <v>3175</v>
      </c>
      <c r="Y17" t="s">
        <v>3164</v>
      </c>
    </row>
    <row r="18" spans="1:49" x14ac:dyDescent="0.15">
      <c r="A18" t="str">
        <f>B18&amp;C18&amp;E18&amp;F18&amp;H18&amp;I18&amp;J18&amp;M18&amp;N18&amp;O18&amp;P18&amp;Q18&amp;R18&amp;S18&amp;T18&amp;U18&amp;V18&amp;W18&amp;X18&amp;Y18</f>
        <v>|セット|色|コスト|能力|カード名|</v>
      </c>
      <c r="B18" t="s">
        <v>3168</v>
      </c>
      <c r="C18" t="s">
        <v>3169</v>
      </c>
      <c r="E18" t="s">
        <v>3168</v>
      </c>
      <c r="F18" t="s">
        <v>3139</v>
      </c>
      <c r="H18" t="s">
        <v>3168</v>
      </c>
      <c r="I18" t="s">
        <v>3165</v>
      </c>
      <c r="J18" t="s">
        <v>3175</v>
      </c>
      <c r="K18" t="s">
        <v>4806</v>
      </c>
      <c r="L18" t="s">
        <v>4807</v>
      </c>
      <c r="O18" t="s">
        <v>3174</v>
      </c>
      <c r="R18" t="s">
        <v>3175</v>
      </c>
      <c r="T18" t="s">
        <v>3166</v>
      </c>
      <c r="X18" t="s">
        <v>3175</v>
      </c>
      <c r="AH18" s="12"/>
      <c r="AI18" s="12"/>
      <c r="AJ18" s="12"/>
      <c r="AK18" s="12"/>
      <c r="AL18" s="12"/>
      <c r="AM18" s="12"/>
      <c r="AN18" s="12"/>
      <c r="AO18" s="12"/>
      <c r="AP18" s="12"/>
      <c r="AQ18" s="12"/>
      <c r="AR18" s="12"/>
      <c r="AS18" s="12"/>
    </row>
    <row r="19" spans="1:49" x14ac:dyDescent="0.15">
      <c r="A19" t="str">
        <f t="shared" si="0"/>
        <v>|BFZ|白|5|起動&amp;br;自身|《[[フェリダーの仔]]》|</v>
      </c>
      <c r="B19" t="s">
        <v>3168</v>
      </c>
      <c r="C19" t="str">
        <f t="shared" si="1"/>
        <v>BFZ</v>
      </c>
      <c r="D19" t="str">
        <f>IF(AF19="","",VLOOKUP(C19,tnpl!$Z$1:$AA$11,2,TRUE))</f>
        <v/>
      </c>
      <c r="E19" t="s">
        <v>3168</v>
      </c>
      <c r="F19" t="str">
        <f t="shared" si="2"/>
        <v>白</v>
      </c>
      <c r="G19" t="str">
        <f>IF(AG19="","",VLOOKUP(F19,tnpl!$X$1:$Y$16,2,TRUE))</f>
        <v/>
      </c>
      <c r="H19" t="s">
        <v>3168</v>
      </c>
      <c r="I19">
        <f t="shared" si="3"/>
        <v>5</v>
      </c>
      <c r="J19" t="s">
        <v>3168</v>
      </c>
      <c r="K19">
        <f t="shared" si="4"/>
        <v>0</v>
      </c>
      <c r="L19">
        <f t="shared" si="5"/>
        <v>0</v>
      </c>
      <c r="O19" t="s">
        <v>5633</v>
      </c>
      <c r="P19" t="s">
        <v>5607</v>
      </c>
      <c r="Q19" t="s">
        <v>5634</v>
      </c>
      <c r="R19" t="s">
        <v>3175</v>
      </c>
      <c r="S19" t="s">
        <v>5608</v>
      </c>
      <c r="T19" t="str">
        <f t="shared" si="6"/>
        <v>フェリダーの仔</v>
      </c>
      <c r="U19" t="str">
        <f t="shared" si="7"/>
        <v/>
      </c>
      <c r="V19" t="str">
        <f>IF(I19=0,VLOOKUP(T19,Sheet4!A:B,2,TRUE),"")</f>
        <v/>
      </c>
      <c r="W19" t="s">
        <v>4751</v>
      </c>
      <c r="X19" t="s">
        <v>3175</v>
      </c>
      <c r="Z19" s="10" t="s">
        <v>2410</v>
      </c>
      <c r="AH19" s="3">
        <v>249</v>
      </c>
      <c r="AI19" s="2" t="s">
        <v>3170</v>
      </c>
      <c r="AJ19" s="1" t="s">
        <v>1627</v>
      </c>
      <c r="AK19" s="1" t="s">
        <v>1744</v>
      </c>
      <c r="AL19" s="1">
        <v>5</v>
      </c>
      <c r="AM19" s="1" t="s">
        <v>2412</v>
      </c>
      <c r="AN19" s="1" t="s">
        <v>2411</v>
      </c>
      <c r="AO19" s="1" t="s">
        <v>339</v>
      </c>
      <c r="AP19" s="1"/>
      <c r="AQ19" s="1">
        <v>2</v>
      </c>
      <c r="AR19" s="1">
        <v>2</v>
      </c>
      <c r="AS19" s="1" t="s">
        <v>2410</v>
      </c>
    </row>
    <row r="20" spans="1:49" x14ac:dyDescent="0.15">
      <c r="A20" t="str">
        <f t="shared" si="0"/>
        <v>|BFZ|黒|16|自ターン開始時&amp;br;自分の他のクリーチャーと対戦相手の最初以外のクリーチャー|《[[息詰まる忌まわしきもの]]》|</v>
      </c>
      <c r="B20" t="s">
        <v>3168</v>
      </c>
      <c r="C20" t="str">
        <f t="shared" si="1"/>
        <v>BFZ</v>
      </c>
      <c r="D20" t="str">
        <f>IF(AF20="","",VLOOKUP(C20,tnpl!$Z$1:$AA$11,2,TRUE))</f>
        <v/>
      </c>
      <c r="E20" t="s">
        <v>3168</v>
      </c>
      <c r="F20" t="str">
        <f t="shared" si="2"/>
        <v>黒</v>
      </c>
      <c r="G20" t="str">
        <f>IF(AG20="","",VLOOKUP(F20,tnpl!$X$1:$Y$16,2,TRUE))</f>
        <v/>
      </c>
      <c r="H20" t="s">
        <v>3168</v>
      </c>
      <c r="I20">
        <f t="shared" si="3"/>
        <v>16</v>
      </c>
      <c r="J20" t="s">
        <v>3168</v>
      </c>
      <c r="K20">
        <f t="shared" si="4"/>
        <v>0</v>
      </c>
      <c r="L20">
        <f t="shared" si="5"/>
        <v>0</v>
      </c>
      <c r="O20" t="s">
        <v>5635</v>
      </c>
      <c r="P20" t="s">
        <v>5607</v>
      </c>
      <c r="Q20" t="s">
        <v>5636</v>
      </c>
      <c r="R20" t="s">
        <v>3175</v>
      </c>
      <c r="S20" t="s">
        <v>5608</v>
      </c>
      <c r="T20" t="str">
        <f t="shared" si="6"/>
        <v>息詰まる忌まわしきもの</v>
      </c>
      <c r="U20" t="str">
        <f t="shared" si="7"/>
        <v/>
      </c>
      <c r="V20" t="str">
        <f>IF(I20=0,VLOOKUP(T20,Sheet4!A:B,2,TRUE),"")</f>
        <v/>
      </c>
      <c r="W20" t="s">
        <v>4751</v>
      </c>
      <c r="X20" t="s">
        <v>3175</v>
      </c>
      <c r="Z20" s="10" t="s">
        <v>3358</v>
      </c>
      <c r="AH20" s="3">
        <v>351</v>
      </c>
      <c r="AI20" s="2" t="s">
        <v>3170</v>
      </c>
      <c r="AJ20" s="1" t="s">
        <v>1582</v>
      </c>
      <c r="AK20" s="1" t="s">
        <v>1431</v>
      </c>
      <c r="AL20" s="1">
        <v>16</v>
      </c>
      <c r="AM20" s="1" t="s">
        <v>2080</v>
      </c>
      <c r="AN20" s="1" t="s">
        <v>2079</v>
      </c>
      <c r="AO20" s="1" t="s">
        <v>339</v>
      </c>
      <c r="AP20" s="1"/>
      <c r="AQ20" s="1">
        <v>8</v>
      </c>
      <c r="AR20" s="1">
        <v>7</v>
      </c>
      <c r="AS20" s="1" t="s">
        <v>3358</v>
      </c>
    </row>
    <row r="21" spans="1:49" x14ac:dyDescent="0.15">
      <c r="A21" t="str">
        <f t="shared" si="0"/>
        <v>|BFZ|赤|16|起動&amp;br;自分の最初の無色クリーチャー|《[[連射する暴君]]》|</v>
      </c>
      <c r="B21" t="s">
        <v>3168</v>
      </c>
      <c r="C21" t="str">
        <f t="shared" si="1"/>
        <v>BFZ</v>
      </c>
      <c r="D21" t="str">
        <f>IF(AF21="","",VLOOKUP(C21,tnpl!$Z$1:$AA$11,2,TRUE))</f>
        <v/>
      </c>
      <c r="E21" t="s">
        <v>3168</v>
      </c>
      <c r="F21" t="str">
        <f t="shared" si="2"/>
        <v>赤</v>
      </c>
      <c r="G21" t="str">
        <f>IF(AG21="","",VLOOKUP(F21,tnpl!$X$1:$Y$16,2,TRUE))</f>
        <v/>
      </c>
      <c r="H21" t="s">
        <v>3168</v>
      </c>
      <c r="I21">
        <f t="shared" si="3"/>
        <v>16</v>
      </c>
      <c r="J21" t="s">
        <v>3168</v>
      </c>
      <c r="K21">
        <f t="shared" si="4"/>
        <v>0</v>
      </c>
      <c r="L21">
        <f t="shared" si="5"/>
        <v>0</v>
      </c>
      <c r="O21" t="s">
        <v>5633</v>
      </c>
      <c r="P21" t="s">
        <v>5607</v>
      </c>
      <c r="Q21" t="s">
        <v>5637</v>
      </c>
      <c r="R21" t="s">
        <v>3175</v>
      </c>
      <c r="S21" t="s">
        <v>5608</v>
      </c>
      <c r="T21" t="str">
        <f t="shared" si="6"/>
        <v>連射する暴君</v>
      </c>
      <c r="U21" t="str">
        <f t="shared" si="7"/>
        <v/>
      </c>
      <c r="V21" t="str">
        <f>IF(I21=0,VLOOKUP(T21,Sheet4!A:B,2,TRUE),"")</f>
        <v/>
      </c>
      <c r="W21" t="s">
        <v>4751</v>
      </c>
      <c r="X21" t="s">
        <v>3175</v>
      </c>
      <c r="Z21" s="10" t="s">
        <v>3369</v>
      </c>
      <c r="AH21" s="3">
        <v>384</v>
      </c>
      <c r="AI21" s="2" t="s">
        <v>3170</v>
      </c>
      <c r="AJ21" s="1" t="s">
        <v>1552</v>
      </c>
      <c r="AK21" s="1" t="s">
        <v>1441</v>
      </c>
      <c r="AL21" s="1">
        <v>16</v>
      </c>
      <c r="AM21" s="1" t="s">
        <v>1976</v>
      </c>
      <c r="AN21" s="1" t="s">
        <v>1975</v>
      </c>
      <c r="AO21" s="1" t="s">
        <v>339</v>
      </c>
      <c r="AP21" s="1"/>
      <c r="AQ21" s="1">
        <v>7</v>
      </c>
      <c r="AR21" s="1">
        <v>5</v>
      </c>
      <c r="AS21" s="1" t="s">
        <v>3369</v>
      </c>
    </row>
    <row r="22" spans="1:49" x14ac:dyDescent="0.15">
      <c r="A22" t="str">
        <f t="shared" si="0"/>
        <v>|OGW|白黒|16|起動&amp;br;自分と対戦相手の最初のクリーチャー|《[[永代巡礼者、アイリ]]》|</v>
      </c>
      <c r="B22" t="s">
        <v>3168</v>
      </c>
      <c r="C22" t="str">
        <f t="shared" si="1"/>
        <v>OGW</v>
      </c>
      <c r="D22" t="str">
        <f>IF(AF22="","",VLOOKUP(C22,tnpl!$Z$1:$AA$11,2,TRUE))</f>
        <v/>
      </c>
      <c r="E22" t="s">
        <v>3168</v>
      </c>
      <c r="F22" t="str">
        <f t="shared" si="2"/>
        <v>白黒</v>
      </c>
      <c r="G22" t="str">
        <f>IF(AG22="","",VLOOKUP(F22,tnpl!$X$1:$Y$16,2,TRUE))</f>
        <v/>
      </c>
      <c r="H22" t="s">
        <v>3168</v>
      </c>
      <c r="I22">
        <f t="shared" si="3"/>
        <v>16</v>
      </c>
      <c r="J22" t="s">
        <v>3168</v>
      </c>
      <c r="K22">
        <f t="shared" si="4"/>
        <v>0</v>
      </c>
      <c r="L22">
        <f t="shared" si="5"/>
        <v>0</v>
      </c>
      <c r="O22" t="s">
        <v>5633</v>
      </c>
      <c r="P22" t="s">
        <v>5607</v>
      </c>
      <c r="Q22" t="s">
        <v>5638</v>
      </c>
      <c r="R22" t="s">
        <v>3175</v>
      </c>
      <c r="S22" t="s">
        <v>5608</v>
      </c>
      <c r="T22" t="str">
        <f t="shared" si="6"/>
        <v>永代巡礼者、アイリ</v>
      </c>
      <c r="U22" t="str">
        <f t="shared" si="7"/>
        <v/>
      </c>
      <c r="V22" t="str">
        <f>IF(I22=0,VLOOKUP(T22,Sheet4!A:B,2,TRUE),"")</f>
        <v/>
      </c>
      <c r="W22" t="s">
        <v>4751</v>
      </c>
      <c r="X22" t="s">
        <v>3175</v>
      </c>
      <c r="Z22" s="10" t="s">
        <v>3426</v>
      </c>
      <c r="AH22" s="3">
        <v>527</v>
      </c>
      <c r="AI22" s="2" t="s">
        <v>3171</v>
      </c>
      <c r="AJ22" s="1" t="s">
        <v>1474</v>
      </c>
      <c r="AK22" s="1" t="s">
        <v>1441</v>
      </c>
      <c r="AL22" s="1">
        <v>16</v>
      </c>
      <c r="AM22" s="1" t="s">
        <v>1473</v>
      </c>
      <c r="AN22" s="1" t="s">
        <v>1472</v>
      </c>
      <c r="AO22" s="1" t="s">
        <v>339</v>
      </c>
      <c r="AP22" s="1"/>
      <c r="AQ22" s="1">
        <v>5</v>
      </c>
      <c r="AR22" s="1">
        <v>6</v>
      </c>
      <c r="AS22" s="1" t="s">
        <v>3426</v>
      </c>
    </row>
    <row r="23" spans="1:49" x14ac:dyDescent="0.15">
      <c r="A23" t="str">
        <f>B23&amp;C23&amp;E23&amp;F23&amp;H23&amp;I23&amp;J23&amp;M23&amp;N23&amp;O23&amp;P23&amp;Q23&amp;R23&amp;S23&amp;T23&amp;V23&amp;W23&amp;X23&amp;Y23</f>
        <v/>
      </c>
      <c r="Z23"/>
    </row>
    <row r="24" spans="1:49" x14ac:dyDescent="0.15">
      <c r="A24" t="str">
        <f>B24&amp;C24&amp;E24&amp;F24&amp;H24&amp;I24&amp;J24&amp;M24&amp;N24&amp;O24&amp;P24&amp;Q24&amp;R24&amp;S24&amp;T24&amp;V24&amp;W24&amp;X24&amp;Y24</f>
        <v>**イニストラードを覆う影ブロック</v>
      </c>
      <c r="B24" t="s">
        <v>4752</v>
      </c>
      <c r="C24" t="s">
        <v>4811</v>
      </c>
    </row>
    <row r="25" spans="1:49" x14ac:dyDescent="0.15">
      <c r="A25" t="str">
        <f>B25&amp;C25&amp;E25&amp;F25&amp;H25&amp;I25&amp;J25&amp;M25&amp;N25&amp;O25&amp;P25&amp;Q25&amp;R25&amp;S25&amp;T25&amp;U25&amp;V25&amp;W25&amp;X25&amp;Y25</f>
        <v>|LEFT:50|LEFT:50|LEFT:50|LEFT:250|LEFT:500|c</v>
      </c>
      <c r="B25" t="s">
        <v>3168</v>
      </c>
      <c r="C25" t="s">
        <v>3162</v>
      </c>
      <c r="E25" t="s">
        <v>3168</v>
      </c>
      <c r="F25" t="s">
        <v>3162</v>
      </c>
      <c r="H25" t="s">
        <v>3168</v>
      </c>
      <c r="I25" t="s">
        <v>3162</v>
      </c>
      <c r="J25" t="s">
        <v>3168</v>
      </c>
      <c r="O25" t="s">
        <v>4800</v>
      </c>
      <c r="R25" t="s">
        <v>3175</v>
      </c>
      <c r="T25" t="s">
        <v>3163</v>
      </c>
      <c r="X25" t="s">
        <v>3175</v>
      </c>
      <c r="Y25" t="s">
        <v>3164</v>
      </c>
    </row>
    <row r="26" spans="1:49" x14ac:dyDescent="0.15">
      <c r="A26" t="str">
        <f>B26&amp;C26&amp;E26&amp;F26&amp;H26&amp;I26&amp;J26&amp;M26&amp;N26&amp;O26&amp;P26&amp;Q26&amp;R26&amp;S26&amp;T26&amp;U26&amp;V26&amp;W26&amp;X26&amp;Y26</f>
        <v>|セット|色|コスト|能力|カード名|</v>
      </c>
      <c r="B26" t="s">
        <v>3168</v>
      </c>
      <c r="C26" t="s">
        <v>3169</v>
      </c>
      <c r="E26" t="s">
        <v>3168</v>
      </c>
      <c r="F26" t="s">
        <v>3139</v>
      </c>
      <c r="H26" t="s">
        <v>3168</v>
      </c>
      <c r="I26" t="s">
        <v>3165</v>
      </c>
      <c r="J26" t="s">
        <v>3168</v>
      </c>
      <c r="K26" t="s">
        <v>3126</v>
      </c>
      <c r="L26" t="s">
        <v>3125</v>
      </c>
      <c r="O26" t="s">
        <v>3174</v>
      </c>
      <c r="R26" t="s">
        <v>3175</v>
      </c>
      <c r="T26" t="s">
        <v>3166</v>
      </c>
      <c r="X26" t="s">
        <v>3175</v>
      </c>
      <c r="AE26" t="b">
        <f>OR(AC26="与える",AD26="得る")</f>
        <v>0</v>
      </c>
      <c r="AF26" s="12"/>
      <c r="AG26" s="12"/>
      <c r="AH26" s="12"/>
      <c r="AI26" s="12"/>
      <c r="AJ26" s="12"/>
      <c r="AK26" s="12"/>
      <c r="AL26" s="12"/>
      <c r="AM26" s="12"/>
      <c r="AN26" s="12"/>
      <c r="AO26" s="12"/>
      <c r="AP26" s="12"/>
      <c r="AQ26" s="12"/>
      <c r="AR26" s="12"/>
      <c r="AS26" s="12"/>
      <c r="AT26" s="12"/>
      <c r="AU26" s="12"/>
      <c r="AV26" s="12"/>
      <c r="AW26" s="12"/>
    </row>
    <row r="27" spans="1:49" x14ac:dyDescent="0.15">
      <c r="A27" t="str">
        <f t="shared" si="0"/>
        <v>|SOI|白|16|昂揚：戦闘ダメージを与えたとき&amp;br;対戦相手の最初のクリーチャー|《[[救出の天使]]》|</v>
      </c>
      <c r="B27" t="s">
        <v>3168</v>
      </c>
      <c r="C27" t="str">
        <f t="shared" si="1"/>
        <v>SOI</v>
      </c>
      <c r="D27" t="str">
        <f>IF(AF27="","",VLOOKUP(C27,tnpl!$Z$1:$AA$11,2,TRUE))</f>
        <v/>
      </c>
      <c r="E27" t="s">
        <v>3168</v>
      </c>
      <c r="F27" t="str">
        <f t="shared" si="2"/>
        <v>白</v>
      </c>
      <c r="G27" t="str">
        <f>IF(AG27="","",VLOOKUP(F27,tnpl!$X$1:$Y$16,2,TRUE))</f>
        <v/>
      </c>
      <c r="H27" t="s">
        <v>3168</v>
      </c>
      <c r="I27">
        <f t="shared" si="3"/>
        <v>16</v>
      </c>
      <c r="J27" t="s">
        <v>3168</v>
      </c>
      <c r="K27">
        <f t="shared" si="4"/>
        <v>0</v>
      </c>
      <c r="L27">
        <f t="shared" si="5"/>
        <v>0</v>
      </c>
      <c r="O27" t="s">
        <v>5641</v>
      </c>
      <c r="P27" t="s">
        <v>5607</v>
      </c>
      <c r="Q27" t="s">
        <v>5642</v>
      </c>
      <c r="R27" t="s">
        <v>3175</v>
      </c>
      <c r="S27" t="s">
        <v>5608</v>
      </c>
      <c r="T27" t="str">
        <f t="shared" si="6"/>
        <v>救出の天使</v>
      </c>
      <c r="U27" t="str">
        <f t="shared" si="7"/>
        <v/>
      </c>
      <c r="V27" t="str">
        <f>IF(I27=0,VLOOKUP(T27,Sheet4!A:B,2,TRUE),"")</f>
        <v/>
      </c>
      <c r="W27" t="s">
        <v>4751</v>
      </c>
      <c r="X27" t="s">
        <v>3175</v>
      </c>
      <c r="Z27" s="10" t="s">
        <v>3484</v>
      </c>
      <c r="AH27" s="3">
        <v>571</v>
      </c>
      <c r="AI27" s="2" t="s">
        <v>3431</v>
      </c>
      <c r="AJ27" s="1" t="s">
        <v>1627</v>
      </c>
      <c r="AK27" s="1" t="s">
        <v>1431</v>
      </c>
      <c r="AL27" s="1">
        <v>16</v>
      </c>
      <c r="AM27" s="1" t="s">
        <v>1367</v>
      </c>
      <c r="AN27" s="1" t="s">
        <v>1366</v>
      </c>
      <c r="AO27" s="1" t="s">
        <v>339</v>
      </c>
      <c r="AP27" s="1"/>
      <c r="AQ27" s="1">
        <v>8</v>
      </c>
      <c r="AR27" s="1">
        <v>8</v>
      </c>
      <c r="AS27" s="1" t="s">
        <v>3484</v>
      </c>
    </row>
    <row r="28" spans="1:49" x14ac:dyDescent="0.15">
      <c r="A28" t="str">
        <f t="shared" si="0"/>
        <v>|SOI|黒|0(変身後)|変身時&amp;br;対戦相手の最初のクリーチャー|《[[悪魔憑きの魔女]]》|</v>
      </c>
      <c r="B28" t="s">
        <v>3168</v>
      </c>
      <c r="C28" t="str">
        <f t="shared" si="1"/>
        <v>SOI</v>
      </c>
      <c r="D28" t="str">
        <f>IF(AF28="","",VLOOKUP(C28,tnpl!$Z$1:$AA$11,2,TRUE))</f>
        <v/>
      </c>
      <c r="E28" t="s">
        <v>3168</v>
      </c>
      <c r="F28" t="str">
        <f t="shared" si="2"/>
        <v>黒</v>
      </c>
      <c r="G28" t="str">
        <f>IF(AG28="","",VLOOKUP(F28,tnpl!$X$1:$Y$16,2,TRUE))</f>
        <v/>
      </c>
      <c r="H28" t="s">
        <v>3168</v>
      </c>
      <c r="I28" t="str">
        <f t="shared" si="3"/>
        <v>0(変身後)</v>
      </c>
      <c r="J28" t="s">
        <v>3168</v>
      </c>
      <c r="K28">
        <f t="shared" si="4"/>
        <v>0</v>
      </c>
      <c r="L28">
        <f t="shared" si="5"/>
        <v>0</v>
      </c>
      <c r="O28" t="s">
        <v>5643</v>
      </c>
      <c r="P28" t="s">
        <v>5607</v>
      </c>
      <c r="Q28" t="s">
        <v>5642</v>
      </c>
      <c r="R28" t="s">
        <v>3175</v>
      </c>
      <c r="S28" t="s">
        <v>5608</v>
      </c>
      <c r="T28" t="str">
        <f t="shared" si="6"/>
        <v>悪魔憑きの魔女</v>
      </c>
      <c r="U28" t="str">
        <f t="shared" si="7"/>
        <v/>
      </c>
      <c r="V28" t="str">
        <f>IF(I28=0,VLOOKUP(T28,Sheet4!A:B,2,TRUE),"")</f>
        <v/>
      </c>
      <c r="W28" t="s">
        <v>4751</v>
      </c>
      <c r="X28" t="s">
        <v>3175</v>
      </c>
      <c r="Z28" s="10" t="s">
        <v>3576</v>
      </c>
      <c r="AH28" s="3">
        <v>629</v>
      </c>
      <c r="AI28" s="2" t="s">
        <v>3431</v>
      </c>
      <c r="AJ28" s="1" t="s">
        <v>1582</v>
      </c>
      <c r="AK28" s="1" t="s">
        <v>1451</v>
      </c>
      <c r="AL28" s="13" t="s">
        <v>5650</v>
      </c>
      <c r="AM28" s="1" t="s">
        <v>1025</v>
      </c>
      <c r="AN28" s="1" t="s">
        <v>1024</v>
      </c>
      <c r="AO28" s="1" t="s">
        <v>339</v>
      </c>
      <c r="AP28" s="1"/>
      <c r="AQ28" s="1">
        <v>4</v>
      </c>
      <c r="AR28" s="1">
        <v>5</v>
      </c>
      <c r="AS28" s="1" t="s">
        <v>3576</v>
      </c>
    </row>
    <row r="29" spans="1:49" x14ac:dyDescent="0.15">
      <c r="A29" t="str">
        <f t="shared" si="0"/>
        <v>|SOI|黒|12|変身時&amp;br;対戦相手の最初のディフェンダーか到達クリーチャー|《[[神出鬼没な拷問者]]》|</v>
      </c>
      <c r="B29" t="s">
        <v>3168</v>
      </c>
      <c r="C29" t="str">
        <f t="shared" si="1"/>
        <v>SOI</v>
      </c>
      <c r="D29" t="str">
        <f>IF(AF29="","",VLOOKUP(C29,tnpl!$Z$1:$AA$11,2,TRUE))</f>
        <v/>
      </c>
      <c r="E29" t="s">
        <v>3168</v>
      </c>
      <c r="F29" t="str">
        <f t="shared" si="2"/>
        <v>黒</v>
      </c>
      <c r="G29" t="str">
        <f>IF(AG29="","",VLOOKUP(F29,tnpl!$X$1:$Y$16,2,TRUE))</f>
        <v/>
      </c>
      <c r="H29" t="s">
        <v>3168</v>
      </c>
      <c r="I29">
        <f t="shared" si="3"/>
        <v>12</v>
      </c>
      <c r="J29" t="s">
        <v>3168</v>
      </c>
      <c r="K29">
        <f t="shared" si="4"/>
        <v>0</v>
      </c>
      <c r="L29">
        <f t="shared" si="5"/>
        <v>0</v>
      </c>
      <c r="O29" t="s">
        <v>5643</v>
      </c>
      <c r="P29" t="s">
        <v>5607</v>
      </c>
      <c r="Q29" t="s">
        <v>5644</v>
      </c>
      <c r="R29" t="s">
        <v>3175</v>
      </c>
      <c r="S29" t="s">
        <v>5608</v>
      </c>
      <c r="T29" t="str">
        <f t="shared" si="6"/>
        <v>神出鬼没な拷問者</v>
      </c>
      <c r="U29" t="str">
        <f t="shared" si="7"/>
        <v/>
      </c>
      <c r="V29" t="str">
        <f>IF(I29=0,VLOOKUP(T29,Sheet4!A:B,2,TRUE),"")</f>
        <v/>
      </c>
      <c r="W29" t="s">
        <v>4751</v>
      </c>
      <c r="X29" t="s">
        <v>3175</v>
      </c>
      <c r="Z29" s="10" t="s">
        <v>4831</v>
      </c>
      <c r="AH29" s="3">
        <v>635</v>
      </c>
      <c r="AI29" s="2" t="s">
        <v>3431</v>
      </c>
      <c r="AJ29" s="1" t="s">
        <v>1582</v>
      </c>
      <c r="AK29" s="1" t="s">
        <v>1441</v>
      </c>
      <c r="AL29" s="14">
        <v>12</v>
      </c>
      <c r="AM29" s="1" t="s">
        <v>1255</v>
      </c>
      <c r="AN29" s="1" t="s">
        <v>1254</v>
      </c>
      <c r="AO29" s="1" t="s">
        <v>339</v>
      </c>
      <c r="AP29" s="1"/>
      <c r="AQ29" s="1">
        <v>2</v>
      </c>
      <c r="AR29" s="1">
        <v>2</v>
      </c>
      <c r="AS29" s="1" t="s">
        <v>4754</v>
      </c>
    </row>
    <row r="30" spans="1:49" x14ac:dyDescent="0.15">
      <c r="A30" t="str">
        <f t="shared" si="0"/>
        <v>|EMN|白|15|CIP&amp;br;自分のクリーチャー|《[[罪からの解放者]]》|</v>
      </c>
      <c r="B30" t="s">
        <v>3168</v>
      </c>
      <c r="C30" t="str">
        <f t="shared" si="1"/>
        <v>EMN</v>
      </c>
      <c r="D30" t="str">
        <f>IF(AF30="","",VLOOKUP(C30,tnpl!$Z$1:$AA$11,2,TRUE))</f>
        <v/>
      </c>
      <c r="E30" t="s">
        <v>3168</v>
      </c>
      <c r="F30" t="str">
        <f t="shared" si="2"/>
        <v>白</v>
      </c>
      <c r="G30" t="str">
        <f>IF(AG30="","",VLOOKUP(F30,tnpl!$X$1:$Y$16,2,TRUE))</f>
        <v/>
      </c>
      <c r="H30" t="s">
        <v>3168</v>
      </c>
      <c r="I30">
        <f t="shared" si="3"/>
        <v>15</v>
      </c>
      <c r="J30" t="s">
        <v>3168</v>
      </c>
      <c r="K30">
        <f t="shared" si="4"/>
        <v>0</v>
      </c>
      <c r="L30">
        <f t="shared" si="5"/>
        <v>0</v>
      </c>
      <c r="O30" t="s">
        <v>5645</v>
      </c>
      <c r="P30" t="s">
        <v>5607</v>
      </c>
      <c r="Q30" t="s">
        <v>5646</v>
      </c>
      <c r="R30" t="s">
        <v>3175</v>
      </c>
      <c r="S30" t="s">
        <v>5608</v>
      </c>
      <c r="T30" t="str">
        <f t="shared" si="6"/>
        <v>罪からの解放者</v>
      </c>
      <c r="U30" t="str">
        <f t="shared" si="7"/>
        <v/>
      </c>
      <c r="V30" t="str">
        <f>IF(I30=0,VLOOKUP(T30,Sheet4!A:B,2,TRUE),"")</f>
        <v/>
      </c>
      <c r="W30" t="s">
        <v>4751</v>
      </c>
      <c r="X30" t="s">
        <v>3175</v>
      </c>
      <c r="Z30" s="10" t="s">
        <v>3783</v>
      </c>
      <c r="AH30" s="3">
        <v>759</v>
      </c>
      <c r="AI30" s="2" t="s">
        <v>3773</v>
      </c>
      <c r="AJ30" s="1" t="s">
        <v>1627</v>
      </c>
      <c r="AK30" s="1" t="s">
        <v>1451</v>
      </c>
      <c r="AL30" s="14">
        <v>15</v>
      </c>
      <c r="AM30" s="1" t="s">
        <v>987</v>
      </c>
      <c r="AN30" s="1" t="s">
        <v>986</v>
      </c>
      <c r="AO30" s="1" t="s">
        <v>339</v>
      </c>
      <c r="AP30" s="1"/>
      <c r="AQ30" s="1">
        <v>2</v>
      </c>
      <c r="AR30" s="1">
        <v>5</v>
      </c>
      <c r="AS30" s="1" t="s">
        <v>3783</v>
      </c>
    </row>
    <row r="31" spans="1:49" x14ac:dyDescent="0.15">
      <c r="A31" t="str">
        <f t="shared" si="0"/>
        <v>|EMN|黒|14|自ターン開始時：3体以上コントロールしている場合&amp;br;自分の他のクリーチャー|《[[ヴォルダーレンの下層民]]》|</v>
      </c>
      <c r="B31" t="s">
        <v>3168</v>
      </c>
      <c r="C31" t="str">
        <f t="shared" si="1"/>
        <v>EMN</v>
      </c>
      <c r="D31" t="str">
        <f>IF(AF31="","",VLOOKUP(C31,tnpl!$Z$1:$AA$11,2,TRUE))</f>
        <v/>
      </c>
      <c r="E31" t="s">
        <v>3168</v>
      </c>
      <c r="F31" t="str">
        <f t="shared" si="2"/>
        <v>黒</v>
      </c>
      <c r="G31" t="str">
        <f>IF(AG31="","",VLOOKUP(F31,tnpl!$X$1:$Y$16,2,TRUE))</f>
        <v/>
      </c>
      <c r="H31" t="s">
        <v>3168</v>
      </c>
      <c r="I31">
        <f t="shared" si="3"/>
        <v>14</v>
      </c>
      <c r="J31" t="s">
        <v>3168</v>
      </c>
      <c r="K31">
        <f t="shared" si="4"/>
        <v>0</v>
      </c>
      <c r="L31">
        <f t="shared" si="5"/>
        <v>0</v>
      </c>
      <c r="O31" t="s">
        <v>5647</v>
      </c>
      <c r="P31" t="s">
        <v>5607</v>
      </c>
      <c r="Q31" t="s">
        <v>5648</v>
      </c>
      <c r="R31" t="s">
        <v>3175</v>
      </c>
      <c r="S31" t="s">
        <v>5608</v>
      </c>
      <c r="T31" t="str">
        <f t="shared" si="6"/>
        <v>ヴォルダーレンの下層民</v>
      </c>
      <c r="U31" t="str">
        <f t="shared" si="7"/>
        <v/>
      </c>
      <c r="V31" t="str">
        <f>IF(I31=0,VLOOKUP(T31,Sheet4!A:B,2,TRUE),"")</f>
        <v/>
      </c>
      <c r="W31" t="s">
        <v>4751</v>
      </c>
      <c r="X31" t="s">
        <v>3175</v>
      </c>
      <c r="Z31" s="10" t="s">
        <v>3840</v>
      </c>
      <c r="AH31" s="3">
        <v>785</v>
      </c>
      <c r="AI31" s="2" t="s">
        <v>3773</v>
      </c>
      <c r="AJ31" s="1" t="s">
        <v>1582</v>
      </c>
      <c r="AK31" s="1" t="s">
        <v>1441</v>
      </c>
      <c r="AL31" s="14">
        <v>14</v>
      </c>
      <c r="AM31" s="1" t="s">
        <v>944</v>
      </c>
      <c r="AN31" s="1" t="s">
        <v>943</v>
      </c>
      <c r="AO31" s="1" t="s">
        <v>339</v>
      </c>
      <c r="AP31" s="1"/>
      <c r="AQ31" s="1">
        <v>6</v>
      </c>
      <c r="AR31" s="1">
        <v>6</v>
      </c>
      <c r="AS31" s="1" t="s">
        <v>3840</v>
      </c>
    </row>
    <row r="32" spans="1:49" x14ac:dyDescent="0.15">
      <c r="A32" t="str">
        <f t="shared" si="0"/>
        <v>|EMN|黒|0(変身後)|変身時&amp;br;対戦相手の各クリーチャー|《[[血統の撤廃者]]》|</v>
      </c>
      <c r="B32" t="s">
        <v>3168</v>
      </c>
      <c r="C32" t="str">
        <f t="shared" si="1"/>
        <v>EMN</v>
      </c>
      <c r="D32" t="str">
        <f>IF(AF32="","",VLOOKUP(C32,tnpl!$Z$1:$AA$11,2,TRUE))</f>
        <v/>
      </c>
      <c r="E32" t="s">
        <v>3168</v>
      </c>
      <c r="F32" t="str">
        <f t="shared" si="2"/>
        <v>黒</v>
      </c>
      <c r="G32" t="str">
        <f>IF(AG32="","",VLOOKUP(F32,tnpl!$X$1:$Y$16,2,TRUE))</f>
        <v/>
      </c>
      <c r="H32" t="s">
        <v>3168</v>
      </c>
      <c r="I32" t="str">
        <f t="shared" si="3"/>
        <v>0(変身後)</v>
      </c>
      <c r="J32" t="s">
        <v>3168</v>
      </c>
      <c r="K32">
        <f t="shared" si="4"/>
        <v>0</v>
      </c>
      <c r="L32">
        <f t="shared" si="5"/>
        <v>0</v>
      </c>
      <c r="O32" t="s">
        <v>5643</v>
      </c>
      <c r="P32" t="s">
        <v>5607</v>
      </c>
      <c r="Q32" t="s">
        <v>5649</v>
      </c>
      <c r="R32" t="s">
        <v>3175</v>
      </c>
      <c r="S32" t="s">
        <v>5608</v>
      </c>
      <c r="T32" t="str">
        <f t="shared" si="6"/>
        <v>血統の撤廃者</v>
      </c>
      <c r="U32" t="str">
        <f t="shared" si="7"/>
        <v/>
      </c>
      <c r="V32" t="str">
        <f>IF(I32=0,VLOOKUP(T32,Sheet4!A:B,2,TRUE),"")</f>
        <v/>
      </c>
      <c r="W32" t="s">
        <v>4751</v>
      </c>
      <c r="X32" t="s">
        <v>3175</v>
      </c>
      <c r="Z32" s="10" t="s">
        <v>3842</v>
      </c>
      <c r="AH32" s="3">
        <v>786</v>
      </c>
      <c r="AI32" s="2" t="s">
        <v>3773</v>
      </c>
      <c r="AJ32" s="1" t="s">
        <v>1582</v>
      </c>
      <c r="AK32" s="1" t="s">
        <v>1441</v>
      </c>
      <c r="AL32" s="13" t="s">
        <v>5650</v>
      </c>
      <c r="AM32" s="1" t="s">
        <v>848</v>
      </c>
      <c r="AN32" s="1" t="s">
        <v>847</v>
      </c>
      <c r="AO32" s="1" t="s">
        <v>339</v>
      </c>
      <c r="AP32" s="1"/>
      <c r="AQ32" s="1">
        <v>6</v>
      </c>
      <c r="AR32" s="1">
        <v>5</v>
      </c>
      <c r="AS32" s="1" t="s">
        <v>3842</v>
      </c>
    </row>
    <row r="33" spans="1:49" x14ac:dyDescent="0.15">
      <c r="A33" t="str">
        <f>B33&amp;C33&amp;E33&amp;F33&amp;H33&amp;I33&amp;J33&amp;M33&amp;N33&amp;O33&amp;P33&amp;Q33&amp;R33&amp;S33&amp;T33&amp;V33&amp;W33&amp;X33&amp;Y33</f>
        <v/>
      </c>
      <c r="Z33"/>
    </row>
    <row r="34" spans="1:49" x14ac:dyDescent="0.15">
      <c r="A34" t="str">
        <f>B34&amp;C34&amp;E34&amp;F34&amp;H34&amp;I34&amp;J34&amp;M34&amp;N34&amp;O34&amp;P34&amp;Q34&amp;R34&amp;S34&amp;T34&amp;V34&amp;W34&amp;X34&amp;Y34</f>
        <v>**カラデシュブロック</v>
      </c>
      <c r="B34" t="s">
        <v>4752</v>
      </c>
      <c r="C34" t="s">
        <v>4812</v>
      </c>
    </row>
    <row r="35" spans="1:49" x14ac:dyDescent="0.15">
      <c r="A35" t="str">
        <f>B35&amp;C35&amp;E35&amp;F35&amp;H35&amp;I35&amp;J35&amp;M35&amp;N35&amp;O35&amp;P35&amp;Q35&amp;R35&amp;S35&amp;T35&amp;U35&amp;V35&amp;W35&amp;X35&amp;Y35</f>
        <v>|LEFT:50|LEFT:50|LEFT:50|LEFT:250|LEFT:500|c</v>
      </c>
      <c r="B35" t="s">
        <v>3168</v>
      </c>
      <c r="C35" t="s">
        <v>3162</v>
      </c>
      <c r="E35" t="s">
        <v>3168</v>
      </c>
      <c r="F35" t="s">
        <v>3162</v>
      </c>
      <c r="H35" t="s">
        <v>3168</v>
      </c>
      <c r="I35" t="s">
        <v>3162</v>
      </c>
      <c r="J35" t="s">
        <v>3168</v>
      </c>
      <c r="O35" t="s">
        <v>4800</v>
      </c>
      <c r="R35" t="s">
        <v>3175</v>
      </c>
      <c r="T35" t="s">
        <v>3163</v>
      </c>
      <c r="X35" t="s">
        <v>3175</v>
      </c>
      <c r="Y35" t="s">
        <v>3164</v>
      </c>
    </row>
    <row r="36" spans="1:49" x14ac:dyDescent="0.15">
      <c r="A36" t="str">
        <f>B36&amp;C36&amp;E36&amp;F36&amp;H36&amp;I36&amp;J36&amp;M36&amp;N36&amp;O36&amp;P36&amp;Q36&amp;R36&amp;S36&amp;T36&amp;U36&amp;V36&amp;W36&amp;X36&amp;Y36</f>
        <v>|セット|色|コスト|能力|カード名|</v>
      </c>
      <c r="B36" t="s">
        <v>3168</v>
      </c>
      <c r="C36" t="s">
        <v>3169</v>
      </c>
      <c r="E36" t="s">
        <v>3168</v>
      </c>
      <c r="F36" t="s">
        <v>3139</v>
      </c>
      <c r="H36" t="s">
        <v>3168</v>
      </c>
      <c r="I36" t="s">
        <v>3165</v>
      </c>
      <c r="J36" t="s">
        <v>3168</v>
      </c>
      <c r="K36" t="s">
        <v>3126</v>
      </c>
      <c r="L36" t="s">
        <v>3125</v>
      </c>
      <c r="O36" t="s">
        <v>3174</v>
      </c>
      <c r="R36" t="s">
        <v>3175</v>
      </c>
      <c r="T36" t="s">
        <v>3166</v>
      </c>
      <c r="X36" t="s">
        <v>3175</v>
      </c>
      <c r="AE36" t="b">
        <f>OR(AC36="与える",AD36="得る")</f>
        <v>0</v>
      </c>
      <c r="AF36" s="12"/>
      <c r="AG36" s="12"/>
      <c r="AH36" s="12"/>
      <c r="AI36" s="12"/>
      <c r="AJ36" s="12"/>
      <c r="AK36" s="12"/>
      <c r="AL36" s="12"/>
      <c r="AM36" s="12"/>
      <c r="AN36" s="12"/>
      <c r="AO36" s="12"/>
      <c r="AP36" s="12"/>
      <c r="AQ36" s="12"/>
      <c r="AR36" s="12"/>
      <c r="AS36" s="12"/>
      <c r="AT36" s="12"/>
      <c r="AU36" s="12"/>
      <c r="AV36" s="12"/>
      <c r="AW36" s="12"/>
    </row>
    <row r="37" spans="1:49" x14ac:dyDescent="0.15">
      <c r="A37" t="str">
        <f t="shared" si="0"/>
        <v>|KLD|白|24|CIP&amp;br;自分の他のクリーチャーと対戦相手の最初以外のクリーチャー|《[[激変の機械巨人]]》|</v>
      </c>
      <c r="B37" t="s">
        <v>3168</v>
      </c>
      <c r="C37" t="str">
        <f t="shared" si="1"/>
        <v>KLD</v>
      </c>
      <c r="D37" t="str">
        <f>IF(AF37="","",VLOOKUP(C37,tnpl!$Z$1:$AA$11,2,TRUE))</f>
        <v/>
      </c>
      <c r="E37" t="s">
        <v>3168</v>
      </c>
      <c r="F37" t="str">
        <f t="shared" si="2"/>
        <v>白</v>
      </c>
      <c r="G37" t="str">
        <f>IF(AG37="","",VLOOKUP(F37,tnpl!$X$1:$Y$16,2,TRUE))</f>
        <v/>
      </c>
      <c r="H37" t="s">
        <v>3168</v>
      </c>
      <c r="I37">
        <f t="shared" si="3"/>
        <v>24</v>
      </c>
      <c r="J37" t="s">
        <v>3168</v>
      </c>
      <c r="K37">
        <f t="shared" si="4"/>
        <v>0</v>
      </c>
      <c r="L37">
        <f t="shared" si="5"/>
        <v>0</v>
      </c>
      <c r="O37" t="s">
        <v>5645</v>
      </c>
      <c r="P37" t="s">
        <v>5607</v>
      </c>
      <c r="Q37" t="s">
        <v>5636</v>
      </c>
      <c r="R37" t="s">
        <v>3175</v>
      </c>
      <c r="S37" t="s">
        <v>5608</v>
      </c>
      <c r="T37" t="str">
        <f t="shared" si="6"/>
        <v>激変の機械巨人</v>
      </c>
      <c r="U37" t="str">
        <f t="shared" si="7"/>
        <v/>
      </c>
      <c r="V37" t="str">
        <f>IF(I37=0,VLOOKUP(T37,Sheet4!A:B,2,TRUE),"")</f>
        <v/>
      </c>
      <c r="W37" t="s">
        <v>4751</v>
      </c>
      <c r="X37" t="s">
        <v>3175</v>
      </c>
      <c r="Z37" s="10" t="s">
        <v>3982</v>
      </c>
      <c r="AH37" s="3">
        <v>860</v>
      </c>
      <c r="AI37" s="2" t="s">
        <v>3937</v>
      </c>
      <c r="AJ37" s="1" t="s">
        <v>1627</v>
      </c>
      <c r="AK37" s="1" t="s">
        <v>1431</v>
      </c>
      <c r="AL37" s="1">
        <v>24</v>
      </c>
      <c r="AM37" s="1" t="s">
        <v>785</v>
      </c>
      <c r="AN37" s="1" t="s">
        <v>784</v>
      </c>
      <c r="AO37" s="1" t="s">
        <v>339</v>
      </c>
      <c r="AP37" s="1"/>
      <c r="AQ37" s="1">
        <v>8</v>
      </c>
      <c r="AR37" s="1">
        <v>8</v>
      </c>
      <c r="AS37" s="1" t="s">
        <v>3982</v>
      </c>
    </row>
    <row r="38" spans="1:49" x14ac:dyDescent="0.15">
      <c r="A38" t="str">
        <f t="shared" si="0"/>
        <v>|KLD|黒|18|CIP&amp;br;クリーチャー1体|《[[害悪の機械巨人]]》|</v>
      </c>
      <c r="B38" t="s">
        <v>3168</v>
      </c>
      <c r="C38" t="str">
        <f t="shared" si="1"/>
        <v>KLD</v>
      </c>
      <c r="D38" t="str">
        <f>IF(AF38="","",VLOOKUP(C38,tnpl!$Z$1:$AA$11,2,TRUE))</f>
        <v/>
      </c>
      <c r="E38" t="s">
        <v>3168</v>
      </c>
      <c r="F38" t="str">
        <f t="shared" si="2"/>
        <v>黒</v>
      </c>
      <c r="G38" t="str">
        <f>IF(AG38="","",VLOOKUP(F38,tnpl!$X$1:$Y$16,2,TRUE))</f>
        <v/>
      </c>
      <c r="H38" t="s">
        <v>3168</v>
      </c>
      <c r="I38">
        <f t="shared" si="3"/>
        <v>18</v>
      </c>
      <c r="J38" t="s">
        <v>3168</v>
      </c>
      <c r="K38">
        <f t="shared" si="4"/>
        <v>0</v>
      </c>
      <c r="L38">
        <f t="shared" si="5"/>
        <v>0</v>
      </c>
      <c r="O38" t="s">
        <v>5645</v>
      </c>
      <c r="P38" t="s">
        <v>5607</v>
      </c>
      <c r="Q38" t="s">
        <v>5651</v>
      </c>
      <c r="R38" t="s">
        <v>3175</v>
      </c>
      <c r="S38" t="s">
        <v>5608</v>
      </c>
      <c r="T38" t="str">
        <f t="shared" si="6"/>
        <v>害悪の機械巨人</v>
      </c>
      <c r="U38" t="str">
        <f t="shared" si="7"/>
        <v/>
      </c>
      <c r="V38" t="str">
        <f>IF(I38=0,VLOOKUP(T38,Sheet4!A:B,2,TRUE),"")</f>
        <v/>
      </c>
      <c r="W38" t="s">
        <v>4751</v>
      </c>
      <c r="X38" t="s">
        <v>3175</v>
      </c>
      <c r="Z38" s="10" t="s">
        <v>4073</v>
      </c>
      <c r="AH38" s="3">
        <v>913</v>
      </c>
      <c r="AI38" s="2" t="s">
        <v>3937</v>
      </c>
      <c r="AJ38" s="1" t="s">
        <v>1582</v>
      </c>
      <c r="AK38" s="1" t="s">
        <v>1431</v>
      </c>
      <c r="AL38" s="1">
        <v>18</v>
      </c>
      <c r="AM38" s="1" t="s">
        <v>685</v>
      </c>
      <c r="AN38" s="1" t="s">
        <v>684</v>
      </c>
      <c r="AO38" s="1" t="s">
        <v>339</v>
      </c>
      <c r="AP38" s="1"/>
      <c r="AQ38" s="1">
        <v>8</v>
      </c>
      <c r="AR38" s="1">
        <v>8</v>
      </c>
      <c r="AS38" s="1" t="s">
        <v>4073</v>
      </c>
    </row>
    <row r="39" spans="1:49" x14ac:dyDescent="0.15">
      <c r="A39" t="str">
        <f t="shared" si="0"/>
        <v>|KLD|赤|10|ターン終了時：エネルギージェム0の場合&amp;br;自身|《[[ラスヌーのヘリオン]]》|</v>
      </c>
      <c r="B39" t="s">
        <v>3168</v>
      </c>
      <c r="C39" t="str">
        <f t="shared" si="1"/>
        <v>KLD</v>
      </c>
      <c r="D39" t="str">
        <f>IF(AF39="","",VLOOKUP(C39,tnpl!$Z$1:$AA$11,2,TRUE))</f>
        <v/>
      </c>
      <c r="E39" t="s">
        <v>3168</v>
      </c>
      <c r="F39" t="str">
        <f t="shared" si="2"/>
        <v>赤</v>
      </c>
      <c r="G39" t="str">
        <f>IF(AG39="","",VLOOKUP(F39,tnpl!$X$1:$Y$16,2,TRUE))</f>
        <v/>
      </c>
      <c r="H39" t="s">
        <v>3168</v>
      </c>
      <c r="I39">
        <f t="shared" si="3"/>
        <v>10</v>
      </c>
      <c r="J39" t="s">
        <v>3168</v>
      </c>
      <c r="K39">
        <f t="shared" si="4"/>
        <v>0</v>
      </c>
      <c r="L39">
        <f t="shared" si="5"/>
        <v>0</v>
      </c>
      <c r="O39" t="s">
        <v>5652</v>
      </c>
      <c r="P39" t="s">
        <v>5607</v>
      </c>
      <c r="Q39" t="s">
        <v>5634</v>
      </c>
      <c r="R39" t="s">
        <v>3175</v>
      </c>
      <c r="S39" t="s">
        <v>5608</v>
      </c>
      <c r="T39" t="str">
        <f t="shared" si="6"/>
        <v>ラスヌーのヘリオン</v>
      </c>
      <c r="U39" t="str">
        <f t="shared" si="7"/>
        <v/>
      </c>
      <c r="V39" t="str">
        <f>IF(I39=0,VLOOKUP(T39,Sheet4!A:B,2,TRUE),"")</f>
        <v/>
      </c>
      <c r="W39" t="s">
        <v>4751</v>
      </c>
      <c r="X39" t="s">
        <v>3175</v>
      </c>
      <c r="Z39" s="10" t="s">
        <v>4098</v>
      </c>
      <c r="AH39" s="3">
        <v>934</v>
      </c>
      <c r="AI39" s="2" t="s">
        <v>3937</v>
      </c>
      <c r="AJ39" s="1" t="s">
        <v>1552</v>
      </c>
      <c r="AK39" s="1" t="s">
        <v>1441</v>
      </c>
      <c r="AL39" s="1">
        <v>10</v>
      </c>
      <c r="AM39" s="1" t="s">
        <v>640</v>
      </c>
      <c r="AN39" s="1" t="s">
        <v>639</v>
      </c>
      <c r="AO39" s="1" t="s">
        <v>339</v>
      </c>
      <c r="AP39" s="1"/>
      <c r="AQ39" s="1">
        <v>6</v>
      </c>
      <c r="AR39" s="1">
        <v>6</v>
      </c>
      <c r="AS39" s="1" t="s">
        <v>4098</v>
      </c>
    </row>
    <row r="40" spans="1:49" x14ac:dyDescent="0.15">
      <c r="A40" t="str">
        <f>B40&amp;C40&amp;E40&amp;F40&amp;H40&amp;I40&amp;J40&amp;M40&amp;N40&amp;O40&amp;P40&amp;Q40&amp;R40&amp;S40&amp;T40&amp;V40&amp;W40&amp;X40&amp;Y40</f>
        <v/>
      </c>
      <c r="Z40"/>
    </row>
    <row r="41" spans="1:49" x14ac:dyDescent="0.15">
      <c r="A41" t="str">
        <f>B41&amp;C41&amp;E41&amp;F41&amp;H41&amp;I41&amp;J41&amp;M41&amp;N41&amp;O41&amp;P41&amp;Q41&amp;R41&amp;S41&amp;T41&amp;V41&amp;W41&amp;X41&amp;Y41</f>
        <v>**アモンケット</v>
      </c>
      <c r="B41" t="s">
        <v>4752</v>
      </c>
      <c r="C41" t="s">
        <v>5628</v>
      </c>
    </row>
    <row r="42" spans="1:49" x14ac:dyDescent="0.15">
      <c r="A42" t="str">
        <f>B42&amp;C42&amp;E42&amp;F42&amp;H42&amp;I42&amp;J42&amp;M42&amp;N42&amp;O42&amp;P42&amp;Q42&amp;R42&amp;S42&amp;T42&amp;U42&amp;V42&amp;W42&amp;X42&amp;Y42</f>
        <v>|LEFT:50|LEFT:50|LEFT:50|LEFT:250|LEFT:500|c</v>
      </c>
      <c r="B42" t="s">
        <v>3168</v>
      </c>
      <c r="C42" t="s">
        <v>3162</v>
      </c>
      <c r="E42" t="s">
        <v>3168</v>
      </c>
      <c r="F42" t="s">
        <v>3162</v>
      </c>
      <c r="H42" t="s">
        <v>3168</v>
      </c>
      <c r="I42" t="s">
        <v>3162</v>
      </c>
      <c r="J42" t="s">
        <v>3168</v>
      </c>
      <c r="O42" t="s">
        <v>4800</v>
      </c>
      <c r="R42" t="s">
        <v>3175</v>
      </c>
      <c r="T42" t="s">
        <v>3163</v>
      </c>
      <c r="X42" t="s">
        <v>3175</v>
      </c>
      <c r="Y42" t="s">
        <v>3164</v>
      </c>
    </row>
    <row r="43" spans="1:49" x14ac:dyDescent="0.15">
      <c r="A43" t="str">
        <f>B43&amp;C43&amp;E43&amp;F43&amp;H43&amp;I43&amp;J43&amp;M43&amp;N43&amp;O43&amp;P43&amp;Q43&amp;R43&amp;S43&amp;T43&amp;U43&amp;V43&amp;W43&amp;X43&amp;Y43</f>
        <v>|セット|色|コスト|能力|カード名|</v>
      </c>
      <c r="B43" t="s">
        <v>3168</v>
      </c>
      <c r="C43" t="s">
        <v>3169</v>
      </c>
      <c r="E43" t="s">
        <v>3168</v>
      </c>
      <c r="F43" t="s">
        <v>3139</v>
      </c>
      <c r="H43" t="s">
        <v>3168</v>
      </c>
      <c r="I43" t="s">
        <v>3165</v>
      </c>
      <c r="J43" t="s">
        <v>3168</v>
      </c>
      <c r="K43" t="s">
        <v>3126</v>
      </c>
      <c r="L43" t="s">
        <v>3125</v>
      </c>
      <c r="O43" t="s">
        <v>3174</v>
      </c>
      <c r="R43" t="s">
        <v>3175</v>
      </c>
      <c r="T43" t="s">
        <v>3166</v>
      </c>
      <c r="X43" t="s">
        <v>3175</v>
      </c>
      <c r="AE43" t="b">
        <f>OR(AC43="与える",AD43="得る")</f>
        <v>0</v>
      </c>
      <c r="AF43" s="12"/>
      <c r="AG43" s="12"/>
      <c r="AH43" s="12"/>
      <c r="AI43" s="12"/>
      <c r="AJ43" s="12"/>
      <c r="AK43" s="12"/>
      <c r="AL43" s="12"/>
      <c r="AM43" s="12"/>
      <c r="AN43" s="12"/>
      <c r="AO43" s="12"/>
      <c r="AP43" s="12"/>
      <c r="AQ43" s="12"/>
      <c r="AR43" s="12"/>
      <c r="AS43" s="12"/>
      <c r="AT43" s="12"/>
      <c r="AU43" s="12"/>
      <c r="AV43" s="12"/>
      <c r="AW43" s="12"/>
    </row>
    <row r="44" spans="1:49" x14ac:dyDescent="0.15">
      <c r="A44" t="str">
        <f t="shared" si="0"/>
        <v>|AKH|白|16|CIP&amp;br;クリーチャー1体|《[[賞罰の天使]]》|</v>
      </c>
      <c r="B44" t="s">
        <v>3168</v>
      </c>
      <c r="C44" t="str">
        <f t="shared" si="1"/>
        <v>AKH</v>
      </c>
      <c r="D44" t="str">
        <f>IF(AF44="","",VLOOKUP(C44,tnpl!$Z$1:$AA$11,2,TRUE))</f>
        <v/>
      </c>
      <c r="E44" t="s">
        <v>3168</v>
      </c>
      <c r="F44" t="str">
        <f t="shared" si="2"/>
        <v>白</v>
      </c>
      <c r="G44" t="str">
        <f>IF(AG44="","",VLOOKUP(F44,tnpl!$X$1:$Y$16,2,TRUE))</f>
        <v/>
      </c>
      <c r="H44" t="s">
        <v>3168</v>
      </c>
      <c r="I44">
        <f t="shared" si="3"/>
        <v>16</v>
      </c>
      <c r="J44" t="s">
        <v>3168</v>
      </c>
      <c r="K44">
        <f t="shared" si="4"/>
        <v>0</v>
      </c>
      <c r="L44">
        <f t="shared" si="5"/>
        <v>0</v>
      </c>
      <c r="O44" t="s">
        <v>5645</v>
      </c>
      <c r="P44" t="s">
        <v>5607</v>
      </c>
      <c r="Q44" t="s">
        <v>5651</v>
      </c>
      <c r="R44" t="s">
        <v>3175</v>
      </c>
      <c r="S44" t="s">
        <v>5608</v>
      </c>
      <c r="T44" t="str">
        <f t="shared" si="6"/>
        <v>賞罰の天使</v>
      </c>
      <c r="U44" t="str">
        <f t="shared" si="7"/>
        <v/>
      </c>
      <c r="V44" t="str">
        <f>IF(I44=0,VLOOKUP(T44,Sheet4!A:B,2,TRUE),"")</f>
        <v/>
      </c>
      <c r="W44" t="s">
        <v>4751</v>
      </c>
      <c r="X44" t="s">
        <v>3175</v>
      </c>
      <c r="Z44" s="10" t="s">
        <v>4397</v>
      </c>
      <c r="AH44" s="3">
        <v>1125</v>
      </c>
      <c r="AI44" s="2" t="s">
        <v>4349</v>
      </c>
      <c r="AJ44" s="1" t="s">
        <v>1627</v>
      </c>
      <c r="AK44" s="1" t="s">
        <v>1431</v>
      </c>
      <c r="AL44" s="1">
        <v>16</v>
      </c>
      <c r="AM44" s="1" t="s">
        <v>244</v>
      </c>
      <c r="AN44" s="1" t="s">
        <v>243</v>
      </c>
      <c r="AO44" s="1" t="s">
        <v>339</v>
      </c>
      <c r="AP44" s="1"/>
      <c r="AQ44" s="1">
        <v>7</v>
      </c>
      <c r="AR44" s="1">
        <v>8</v>
      </c>
      <c r="AS44" s="1" t="s">
        <v>4397</v>
      </c>
    </row>
    <row r="45" spans="1:49" x14ac:dyDescent="0.15">
      <c r="A45" t="str">
        <f t="shared" si="0"/>
        <v>|AKH|青|5|&amp;br;|《[[迷宮の守護者]]》|</v>
      </c>
      <c r="B45" t="s">
        <v>3168</v>
      </c>
      <c r="C45" t="str">
        <f t="shared" si="1"/>
        <v>AKH</v>
      </c>
      <c r="D45" t="str">
        <f>IF(AF45="","",VLOOKUP(C45,tnpl!$Z$1:$AA$11,2,TRUE))</f>
        <v/>
      </c>
      <c r="E45" t="s">
        <v>3168</v>
      </c>
      <c r="F45" t="str">
        <f t="shared" si="2"/>
        <v>青</v>
      </c>
      <c r="G45" t="str">
        <f>IF(AG45="","",VLOOKUP(F45,tnpl!$X$1:$Y$16,2,TRUE))</f>
        <v/>
      </c>
      <c r="H45" t="s">
        <v>3168</v>
      </c>
      <c r="I45">
        <f t="shared" si="3"/>
        <v>5</v>
      </c>
      <c r="J45" t="s">
        <v>3168</v>
      </c>
      <c r="K45">
        <f t="shared" si="4"/>
        <v>0</v>
      </c>
      <c r="L45">
        <f t="shared" si="5"/>
        <v>0</v>
      </c>
      <c r="P45" t="s">
        <v>5607</v>
      </c>
      <c r="R45" t="s">
        <v>3175</v>
      </c>
      <c r="S45" t="s">
        <v>5608</v>
      </c>
      <c r="T45" t="str">
        <f t="shared" si="6"/>
        <v>迷宮の守護者</v>
      </c>
      <c r="U45" t="str">
        <f t="shared" si="7"/>
        <v/>
      </c>
      <c r="V45" t="str">
        <f>IF(I45=0,VLOOKUP(T45,Sheet4!A:B,2,TRUE),"")</f>
        <v/>
      </c>
      <c r="W45" t="s">
        <v>4751</v>
      </c>
      <c r="X45" t="s">
        <v>3175</v>
      </c>
      <c r="Z45" s="10" t="s">
        <v>4424</v>
      </c>
      <c r="AH45" s="3">
        <v>1140</v>
      </c>
      <c r="AI45" s="2" t="s">
        <v>4349</v>
      </c>
      <c r="AJ45" s="1" t="s">
        <v>1606</v>
      </c>
      <c r="AK45" s="1" t="s">
        <v>1451</v>
      </c>
      <c r="AL45" s="1">
        <v>5</v>
      </c>
      <c r="AM45" s="1" t="s">
        <v>215</v>
      </c>
      <c r="AN45" s="1" t="s">
        <v>214</v>
      </c>
      <c r="AO45" s="1" t="s">
        <v>339</v>
      </c>
      <c r="AP45" s="1"/>
      <c r="AQ45" s="1">
        <v>3</v>
      </c>
      <c r="AR45" s="1">
        <v>4</v>
      </c>
      <c r="AS45" s="1" t="s">
        <v>4424</v>
      </c>
    </row>
    <row r="46" spans="1:49" x14ac:dyDescent="0.15">
      <c r="A46" t="str">
        <f t="shared" si="0"/>
        <v>|AKH|黒|8|&amp;br;|《[[栄光の神バントゥ]]》|</v>
      </c>
      <c r="B46" t="s">
        <v>3168</v>
      </c>
      <c r="C46" t="str">
        <f t="shared" si="1"/>
        <v>AKH</v>
      </c>
      <c r="D46" t="str">
        <f>IF(AF46="","",VLOOKUP(C46,tnpl!$Z$1:$AA$11,2,TRUE))</f>
        <v/>
      </c>
      <c r="E46" t="s">
        <v>3168</v>
      </c>
      <c r="F46" t="str">
        <f t="shared" si="2"/>
        <v>黒</v>
      </c>
      <c r="G46" t="str">
        <f>IF(AG46="","",VLOOKUP(F46,tnpl!$X$1:$Y$16,2,TRUE))</f>
        <v/>
      </c>
      <c r="H46" t="s">
        <v>3168</v>
      </c>
      <c r="I46">
        <f t="shared" si="3"/>
        <v>8</v>
      </c>
      <c r="J46" t="s">
        <v>3168</v>
      </c>
      <c r="K46">
        <f t="shared" si="4"/>
        <v>0</v>
      </c>
      <c r="L46">
        <f t="shared" si="5"/>
        <v>0</v>
      </c>
      <c r="P46" t="s">
        <v>5607</v>
      </c>
      <c r="R46" t="s">
        <v>3175</v>
      </c>
      <c r="S46" t="s">
        <v>5608</v>
      </c>
      <c r="T46" t="str">
        <f t="shared" si="6"/>
        <v>栄光の神バントゥ</v>
      </c>
      <c r="U46" t="str">
        <f t="shared" si="7"/>
        <v/>
      </c>
      <c r="V46" t="str">
        <f>IF(I46=0,VLOOKUP(T46,Sheet4!A:B,2,TRUE),"")</f>
        <v/>
      </c>
      <c r="W46" t="s">
        <v>4751</v>
      </c>
      <c r="X46" t="s">
        <v>3175</v>
      </c>
      <c r="Z46" s="10" t="s">
        <v>4495</v>
      </c>
      <c r="AH46" s="3">
        <v>1174</v>
      </c>
      <c r="AI46" s="2" t="s">
        <v>4349</v>
      </c>
      <c r="AJ46" s="1" t="s">
        <v>1582</v>
      </c>
      <c r="AK46" s="1" t="s">
        <v>1431</v>
      </c>
      <c r="AL46" s="1">
        <v>8</v>
      </c>
      <c r="AM46" s="1" t="s">
        <v>149</v>
      </c>
      <c r="AN46" s="1" t="s">
        <v>148</v>
      </c>
      <c r="AO46" s="1" t="s">
        <v>339</v>
      </c>
      <c r="AP46" s="1"/>
      <c r="AQ46" s="1">
        <v>8</v>
      </c>
      <c r="AR46" s="1">
        <v>8</v>
      </c>
      <c r="AS46" s="1" t="s">
        <v>4495</v>
      </c>
    </row>
    <row r="47" spans="1:49" x14ac:dyDescent="0.15">
      <c r="A47" t="str">
        <f t="shared" si="0"/>
        <v>|AKH|赤|18|&amp;br;|《[[心臓貫きのマンティコア]]》|</v>
      </c>
      <c r="B47" t="s">
        <v>3168</v>
      </c>
      <c r="C47" t="str">
        <f t="shared" si="1"/>
        <v>AKH</v>
      </c>
      <c r="D47" t="str">
        <f>IF(AF47="","",VLOOKUP(C47,tnpl!$Z$1:$AA$11,2,TRUE))</f>
        <v/>
      </c>
      <c r="E47" t="s">
        <v>3168</v>
      </c>
      <c r="F47" t="str">
        <f t="shared" si="2"/>
        <v>赤</v>
      </c>
      <c r="G47" t="str">
        <f>IF(AG47="","",VLOOKUP(F47,tnpl!$X$1:$Y$16,2,TRUE))</f>
        <v/>
      </c>
      <c r="H47" t="s">
        <v>3168</v>
      </c>
      <c r="I47">
        <f t="shared" si="3"/>
        <v>18</v>
      </c>
      <c r="J47" t="s">
        <v>3168</v>
      </c>
      <c r="K47">
        <f t="shared" si="4"/>
        <v>0</v>
      </c>
      <c r="L47">
        <f t="shared" si="5"/>
        <v>0</v>
      </c>
      <c r="P47" t="s">
        <v>5607</v>
      </c>
      <c r="R47" t="s">
        <v>3175</v>
      </c>
      <c r="S47" t="s">
        <v>5608</v>
      </c>
      <c r="T47" t="str">
        <f t="shared" si="6"/>
        <v>心臓貫きのマンティコア</v>
      </c>
      <c r="U47" t="str">
        <f t="shared" si="7"/>
        <v/>
      </c>
      <c r="V47" t="str">
        <f>IF(I47=0,VLOOKUP(T47,Sheet4!A:B,2,TRUE),"")</f>
        <v/>
      </c>
      <c r="W47" t="s">
        <v>4751</v>
      </c>
      <c r="X47" t="s">
        <v>3175</v>
      </c>
      <c r="Z47" s="10" t="s">
        <v>4525</v>
      </c>
      <c r="AH47" s="3">
        <v>1193</v>
      </c>
      <c r="AI47" s="2" t="s">
        <v>4349</v>
      </c>
      <c r="AJ47" s="1" t="s">
        <v>1552</v>
      </c>
      <c r="AK47" s="1" t="s">
        <v>1441</v>
      </c>
      <c r="AL47" s="1">
        <v>18</v>
      </c>
      <c r="AM47" s="1" t="s">
        <v>113</v>
      </c>
      <c r="AN47" s="1" t="s">
        <v>112</v>
      </c>
      <c r="AO47" s="1" t="s">
        <v>339</v>
      </c>
      <c r="AP47" s="1"/>
      <c r="AQ47" s="1">
        <v>6</v>
      </c>
      <c r="AR47" s="1">
        <v>5</v>
      </c>
      <c r="AS47" s="1" t="s">
        <v>4525</v>
      </c>
    </row>
    <row r="48" spans="1:49" x14ac:dyDescent="0.15">
      <c r="A48" t="str">
        <f>B48&amp;C48&amp;E48&amp;F48&amp;H48&amp;I48&amp;J48&amp;M48&amp;N48&amp;O48&amp;P48&amp;Q48&amp;R48&amp;S48&amp;T48&amp;V48&amp;W48&amp;X48&amp;Y48</f>
        <v/>
      </c>
      <c r="Z48"/>
    </row>
    <row r="49" spans="1:49" x14ac:dyDescent="0.15">
      <c r="A49" t="str">
        <f>B49&amp;C49&amp;E49&amp;F49&amp;H49&amp;I49&amp;J49&amp;M49&amp;N49&amp;O49&amp;P49&amp;Q49&amp;R49&amp;S49&amp;T49&amp;V49&amp;W49&amp;X49&amp;Y49</f>
        <v>**破滅の刻</v>
      </c>
      <c r="B49" t="s">
        <v>4752</v>
      </c>
      <c r="C49" t="s">
        <v>5629</v>
      </c>
    </row>
    <row r="50" spans="1:49" x14ac:dyDescent="0.15">
      <c r="A50" t="str">
        <f>B50&amp;C50&amp;E50&amp;F50&amp;H50&amp;I50&amp;J50&amp;M50&amp;N50&amp;O50&amp;P50&amp;Q50&amp;R50&amp;S50&amp;T50&amp;U50&amp;V50&amp;W50&amp;X50&amp;Y50</f>
        <v>|LEFT:50|LEFT:50|LEFT:50|LEFT:250|LEFT:500|c</v>
      </c>
      <c r="B50" t="s">
        <v>3168</v>
      </c>
      <c r="C50" t="s">
        <v>3162</v>
      </c>
      <c r="E50" t="s">
        <v>3168</v>
      </c>
      <c r="F50" t="s">
        <v>3162</v>
      </c>
      <c r="H50" t="s">
        <v>3168</v>
      </c>
      <c r="I50" t="s">
        <v>3162</v>
      </c>
      <c r="J50" t="s">
        <v>3168</v>
      </c>
      <c r="O50" t="s">
        <v>4800</v>
      </c>
      <c r="R50" t="s">
        <v>3175</v>
      </c>
      <c r="T50" t="s">
        <v>3163</v>
      </c>
      <c r="X50" t="s">
        <v>3175</v>
      </c>
      <c r="Y50" t="s">
        <v>3164</v>
      </c>
    </row>
    <row r="51" spans="1:49" x14ac:dyDescent="0.15">
      <c r="A51" t="str">
        <f>B51&amp;C51&amp;E51&amp;F51&amp;H51&amp;I51&amp;J51&amp;M51&amp;N51&amp;O51&amp;P51&amp;Q51&amp;R51&amp;S51&amp;T51&amp;U51&amp;V51&amp;W51&amp;X51&amp;Y51</f>
        <v>|セット|色|コスト|能力|カード名|</v>
      </c>
      <c r="B51" t="s">
        <v>3168</v>
      </c>
      <c r="C51" t="s">
        <v>3169</v>
      </c>
      <c r="E51" t="s">
        <v>3168</v>
      </c>
      <c r="F51" t="s">
        <v>3139</v>
      </c>
      <c r="H51" t="s">
        <v>3168</v>
      </c>
      <c r="I51" t="s">
        <v>3165</v>
      </c>
      <c r="J51" t="s">
        <v>3168</v>
      </c>
      <c r="K51" t="s">
        <v>3126</v>
      </c>
      <c r="L51" t="s">
        <v>3125</v>
      </c>
      <c r="O51" t="s">
        <v>3174</v>
      </c>
      <c r="R51" t="s">
        <v>3175</v>
      </c>
      <c r="T51" t="s">
        <v>3166</v>
      </c>
      <c r="X51" t="s">
        <v>3175</v>
      </c>
      <c r="AE51" t="b">
        <f>OR(AC51="与える",AD51="得る")</f>
        <v>0</v>
      </c>
      <c r="AF51" s="12"/>
      <c r="AG51" s="12"/>
      <c r="AH51" s="12"/>
      <c r="AI51" s="12"/>
      <c r="AJ51" s="12"/>
      <c r="AK51" s="12"/>
      <c r="AL51" s="12"/>
      <c r="AM51" s="12"/>
      <c r="AN51" s="12"/>
      <c r="AO51" s="12"/>
      <c r="AP51" s="12"/>
      <c r="AQ51" s="12"/>
      <c r="AR51" s="12"/>
      <c r="AS51" s="12"/>
      <c r="AT51" s="12"/>
      <c r="AU51" s="12"/>
      <c r="AV51" s="12"/>
      <c r="AW51" s="12"/>
    </row>
    <row r="52" spans="1:49" x14ac:dyDescent="0.15">
      <c r="A52" t="str">
        <f>B52&amp;C52&amp;E52&amp;F52&amp;H52&amp;I52&amp;J52&amp;M52&amp;N52&amp;O52&amp;P52&amp;Q52&amp;R52&amp;S52&amp;T52&amp;U52&amp;V52&amp;W52&amp;X52</f>
        <v>|HOU|黒|12|&amp;br;|《[[禍鞭の懲罰者]]》|</v>
      </c>
      <c r="B52" t="s">
        <v>3168</v>
      </c>
      <c r="C52" t="str">
        <f>AI52</f>
        <v>HOU</v>
      </c>
      <c r="D52" t="str">
        <f>IF(AF52="","",VLOOKUP(C52,tnpl!$Z$1:$AA$11,2,TRUE))</f>
        <v/>
      </c>
      <c r="E52" t="s">
        <v>3168</v>
      </c>
      <c r="F52" t="str">
        <f>AJ52</f>
        <v>黒</v>
      </c>
      <c r="G52" t="str">
        <f>IF(AG52="","",VLOOKUP(F52,tnpl!$X$1:$Y$16,2,TRUE))</f>
        <v/>
      </c>
      <c r="H52" t="s">
        <v>3168</v>
      </c>
      <c r="I52">
        <f>AL52</f>
        <v>12</v>
      </c>
      <c r="J52" t="s">
        <v>3168</v>
      </c>
      <c r="K52">
        <f>AT52</f>
        <v>0</v>
      </c>
      <c r="L52">
        <f>AU52</f>
        <v>0</v>
      </c>
      <c r="P52" t="s">
        <v>5607</v>
      </c>
      <c r="R52" t="s">
        <v>3175</v>
      </c>
      <c r="S52" t="s">
        <v>5608</v>
      </c>
      <c r="T52" t="str">
        <f>AM52</f>
        <v>禍鞭の懲罰者</v>
      </c>
      <c r="U52" t="str">
        <f t="shared" si="7"/>
        <v/>
      </c>
      <c r="V52" t="str">
        <f>IF(I52=0,VLOOKUP(T52,Sheet4!A:B,2,TRUE),"")</f>
        <v/>
      </c>
      <c r="W52" t="s">
        <v>4751</v>
      </c>
      <c r="X52" t="s">
        <v>3175</v>
      </c>
      <c r="Z52" s="10" t="s">
        <v>5580</v>
      </c>
      <c r="AH52" s="9"/>
      <c r="AI52" t="s">
        <v>4926</v>
      </c>
      <c r="AJ52" t="s">
        <v>1582</v>
      </c>
      <c r="AK52" t="s">
        <v>1451</v>
      </c>
      <c r="AL52">
        <v>12</v>
      </c>
      <c r="AM52" t="s">
        <v>5407</v>
      </c>
      <c r="AN52" t="s">
        <v>5408</v>
      </c>
      <c r="AO52" t="s">
        <v>339</v>
      </c>
      <c r="AQ52">
        <v>2</v>
      </c>
      <c r="AR52">
        <v>2</v>
      </c>
      <c r="AS52" t="s">
        <v>5580</v>
      </c>
    </row>
    <row r="53" spans="1:49" x14ac:dyDescent="0.15">
      <c r="AH53" s="9"/>
      <c r="AI53" s="9"/>
      <c r="AJ53" s="9"/>
      <c r="AK53" s="9"/>
      <c r="AL53" s="9"/>
      <c r="AM53" s="9"/>
      <c r="AN53" s="9"/>
      <c r="AO53" s="9"/>
      <c r="AP53" s="9"/>
      <c r="AQ53" s="9"/>
      <c r="AR53" s="9"/>
      <c r="AS53" s="9"/>
    </row>
    <row r="54" spans="1:49" x14ac:dyDescent="0.15">
      <c r="Y54" s="9"/>
      <c r="Z54"/>
    </row>
    <row r="55" spans="1:49" x14ac:dyDescent="0.15">
      <c r="A55" t="str">
        <f>B55&amp;C55&amp;E55&amp;F55&amp;H55&amp;I55&amp;J55&amp;M55&amp;N55&amp;O55&amp;P55&amp;Q55&amp;R55&amp;S55&amp;T55&amp;U55&amp;V55&amp;W55&amp;X55&amp;Y55</f>
        <v>*クリーチャーを破壊する能力を持つ呪文</v>
      </c>
      <c r="B55" t="s">
        <v>3173</v>
      </c>
      <c r="C55" t="s">
        <v>5595</v>
      </c>
      <c r="F55" t="str">
        <f>$C$4</f>
        <v>破壊</v>
      </c>
      <c r="M55" t="s">
        <v>5596</v>
      </c>
      <c r="N55" t="s">
        <v>5598</v>
      </c>
    </row>
    <row r="56" spans="1:49" x14ac:dyDescent="0.15">
      <c r="A56" t="str">
        <f>B56&amp;C56&amp;E56&amp;F56&amp;H56&amp;I56&amp;J56&amp;M56&amp;N56&amp;O56&amp;P56&amp;Q56&amp;R56&amp;S56&amp;T56&amp;V56&amp;W56&amp;X56&amp;Y56</f>
        <v>**マジック:オリジン</v>
      </c>
      <c r="B56" t="s">
        <v>4752</v>
      </c>
      <c r="C56" t="s">
        <v>4753</v>
      </c>
    </row>
    <row r="57" spans="1:49" x14ac:dyDescent="0.15">
      <c r="A57" t="str">
        <f>B57&amp;C57&amp;E57&amp;F57&amp;H57&amp;I57&amp;J57&amp;M57&amp;N57&amp;O57&amp;P57&amp;Q57&amp;R57&amp;S57&amp;T57&amp;U57&amp;V57&amp;W57&amp;X57&amp;Y57</f>
        <v>|LEFT:50|LEFT:50|LEFT:50|LEFT:250|LEFT:500|c</v>
      </c>
      <c r="B57" t="s">
        <v>3168</v>
      </c>
      <c r="C57" t="s">
        <v>3162</v>
      </c>
      <c r="E57" t="s">
        <v>3168</v>
      </c>
      <c r="F57" t="s">
        <v>3162</v>
      </c>
      <c r="H57" t="s">
        <v>3168</v>
      </c>
      <c r="I57" t="s">
        <v>3162</v>
      </c>
      <c r="J57" t="s">
        <v>3175</v>
      </c>
      <c r="O57" t="s">
        <v>4800</v>
      </c>
      <c r="R57" t="s">
        <v>3175</v>
      </c>
      <c r="T57" t="s">
        <v>3163</v>
      </c>
      <c r="X57" t="s">
        <v>3175</v>
      </c>
      <c r="Y57" t="s">
        <v>3164</v>
      </c>
    </row>
    <row r="58" spans="1:49" x14ac:dyDescent="0.15">
      <c r="A58" t="str">
        <f>B58&amp;C58&amp;E58&amp;F58&amp;H58&amp;I58&amp;J58&amp;M58&amp;N58&amp;O58&amp;P58&amp;Q58&amp;R58&amp;S58&amp;T58&amp;U58&amp;V58&amp;W58&amp;X58&amp;Y58</f>
        <v>|セット|色|コスト|能力|カード名|</v>
      </c>
      <c r="B58" t="s">
        <v>3168</v>
      </c>
      <c r="C58" t="s">
        <v>3169</v>
      </c>
      <c r="E58" t="s">
        <v>3168</v>
      </c>
      <c r="F58" t="s">
        <v>3139</v>
      </c>
      <c r="H58" t="s">
        <v>3168</v>
      </c>
      <c r="I58" t="s">
        <v>3165</v>
      </c>
      <c r="J58" t="s">
        <v>3175</v>
      </c>
      <c r="K58" t="s">
        <v>4806</v>
      </c>
      <c r="L58" t="s">
        <v>4807</v>
      </c>
      <c r="O58" t="s">
        <v>3174</v>
      </c>
      <c r="R58" t="s">
        <v>3175</v>
      </c>
      <c r="T58" t="s">
        <v>3166</v>
      </c>
      <c r="X58" t="s">
        <v>3175</v>
      </c>
      <c r="Z58"/>
    </row>
    <row r="59" spans="1:49" x14ac:dyDescent="0.15">
      <c r="A59" t="str">
        <f>B59&amp;C59&amp;E59&amp;F59&amp;H59&amp;I59&amp;J59&amp;M59&amp;N59&amp;O59&amp;P59&amp;Q59&amp;R59&amp;S59&amp;T59&amp;U59&amp;V59&amp;W59&amp;X59</f>
        <v>|ORI|白|6|&amp;br;|《[[天界のほとばしり]]》|</v>
      </c>
      <c r="B59" t="s">
        <v>3168</v>
      </c>
      <c r="C59" t="str">
        <f>AI59</f>
        <v>ORI</v>
      </c>
      <c r="D59" t="str">
        <f>IF(AF59="","",VLOOKUP(C59,tnpl!$Z$1:$AA$11,2,TRUE))</f>
        <v/>
      </c>
      <c r="E59" t="s">
        <v>3168</v>
      </c>
      <c r="F59" t="str">
        <f>AJ59</f>
        <v>白</v>
      </c>
      <c r="G59" t="str">
        <f>IF(AG59="","",VLOOKUP(F59,tnpl!$X$1:$Y$16,2,TRUE))</f>
        <v/>
      </c>
      <c r="H59" t="s">
        <v>3168</v>
      </c>
      <c r="I59">
        <f>AL59</f>
        <v>6</v>
      </c>
      <c r="J59" t="s">
        <v>3168</v>
      </c>
      <c r="K59">
        <f>AT59</f>
        <v>0</v>
      </c>
      <c r="L59">
        <f>AU59</f>
        <v>0</v>
      </c>
      <c r="P59" t="s">
        <v>5607</v>
      </c>
      <c r="R59" t="s">
        <v>3175</v>
      </c>
      <c r="S59" t="s">
        <v>5608</v>
      </c>
      <c r="T59" t="str">
        <f>AM59</f>
        <v>天界のほとばしり</v>
      </c>
      <c r="U59" t="str">
        <f>IF(I59=0,"&gt;","")</f>
        <v/>
      </c>
      <c r="V59" t="str">
        <f>IF(I59=0,VLOOKUP(T59,Sheet4!A:B,2,TRUE),"")</f>
        <v/>
      </c>
      <c r="W59" t="s">
        <v>4751</v>
      </c>
      <c r="X59" t="s">
        <v>3175</v>
      </c>
      <c r="Z59" t="s">
        <v>3056</v>
      </c>
      <c r="AH59" s="3">
        <v>24</v>
      </c>
      <c r="AI59" s="2" t="s">
        <v>3176</v>
      </c>
      <c r="AJ59" s="1" t="s">
        <v>1627</v>
      </c>
      <c r="AK59" s="1" t="s">
        <v>1451</v>
      </c>
      <c r="AL59" s="1">
        <v>6</v>
      </c>
      <c r="AM59" s="1" t="s">
        <v>3058</v>
      </c>
      <c r="AN59" s="1" t="s">
        <v>3057</v>
      </c>
      <c r="AO59" s="1" t="s">
        <v>1453</v>
      </c>
      <c r="AP59" s="1"/>
      <c r="AQ59" s="1"/>
      <c r="AR59" s="1"/>
      <c r="AS59" s="1" t="s">
        <v>3056</v>
      </c>
    </row>
    <row r="60" spans="1:49" x14ac:dyDescent="0.15">
      <c r="A60" t="str">
        <f t="shared" ref="A60:A122" si="8">B60&amp;C60&amp;E60&amp;F60&amp;H60&amp;I60&amp;J60&amp;M60&amp;N60&amp;O60&amp;P60&amp;Q60&amp;R60&amp;S60&amp;T60&amp;U60&amp;V60&amp;W60&amp;X60</f>
        <v>|ORI|白|6|&amp;br;|《[[迅速な報い]]》|</v>
      </c>
      <c r="B60" t="s">
        <v>3168</v>
      </c>
      <c r="C60" t="str">
        <f t="shared" ref="C60:C122" si="9">AI60</f>
        <v>ORI</v>
      </c>
      <c r="D60" t="str">
        <f>IF(AF60="","",VLOOKUP(C60,tnpl!$Z$1:$AA$11,2,TRUE))</f>
        <v/>
      </c>
      <c r="E60" t="s">
        <v>3168</v>
      </c>
      <c r="F60" t="str">
        <f t="shared" ref="F60:F122" si="10">AJ60</f>
        <v>白</v>
      </c>
      <c r="G60" t="str">
        <f>IF(AG60="","",VLOOKUP(F60,tnpl!$X$1:$Y$16,2,TRUE))</f>
        <v/>
      </c>
      <c r="H60" t="s">
        <v>3168</v>
      </c>
      <c r="I60">
        <f t="shared" ref="I60:I122" si="11">AL60</f>
        <v>6</v>
      </c>
      <c r="J60" t="s">
        <v>3168</v>
      </c>
      <c r="K60">
        <f t="shared" ref="K60:K122" si="12">AT60</f>
        <v>0</v>
      </c>
      <c r="L60">
        <f t="shared" ref="L60:L122" si="13">AU60</f>
        <v>0</v>
      </c>
      <c r="P60" t="s">
        <v>5607</v>
      </c>
      <c r="R60" t="s">
        <v>3175</v>
      </c>
      <c r="S60" t="s">
        <v>5608</v>
      </c>
      <c r="T60" t="str">
        <f t="shared" ref="T60:T122" si="14">AM60</f>
        <v>迅速な報い</v>
      </c>
      <c r="U60" t="str">
        <f t="shared" ref="U60:U122" si="15">IF(I60=0,"&gt;","")</f>
        <v/>
      </c>
      <c r="V60" t="str">
        <f>IF(I60=0,VLOOKUP(T60,Sheet4!A:B,2,TRUE),"")</f>
        <v/>
      </c>
      <c r="W60" t="s">
        <v>4751</v>
      </c>
      <c r="X60" t="s">
        <v>3175</v>
      </c>
      <c r="Z60" s="10" t="s">
        <v>3049</v>
      </c>
      <c r="AH60" s="3">
        <v>26</v>
      </c>
      <c r="AI60" s="2" t="s">
        <v>3176</v>
      </c>
      <c r="AJ60" s="1" t="s">
        <v>1627</v>
      </c>
      <c r="AK60" s="1" t="s">
        <v>1451</v>
      </c>
      <c r="AL60" s="1">
        <v>6</v>
      </c>
      <c r="AM60" s="1" t="s">
        <v>3051</v>
      </c>
      <c r="AN60" s="1" t="s">
        <v>3050</v>
      </c>
      <c r="AO60" s="1" t="s">
        <v>1453</v>
      </c>
      <c r="AP60" s="1"/>
      <c r="AQ60" s="1"/>
      <c r="AR60" s="1"/>
      <c r="AS60" s="1" t="s">
        <v>3049</v>
      </c>
    </row>
    <row r="61" spans="1:49" x14ac:dyDescent="0.15">
      <c r="A61" t="str">
        <f t="shared" si="8"/>
        <v>|ORI|白|8|&amp;br;|《[[神聖なる月光]]》|</v>
      </c>
      <c r="B61" t="s">
        <v>3168</v>
      </c>
      <c r="C61" t="str">
        <f t="shared" si="9"/>
        <v>ORI</v>
      </c>
      <c r="D61" t="str">
        <f>IF(AF61="","",VLOOKUP(C61,tnpl!$Z$1:$AA$11,2,TRUE))</f>
        <v/>
      </c>
      <c r="E61" t="s">
        <v>3168</v>
      </c>
      <c r="F61" t="str">
        <f t="shared" si="10"/>
        <v>白</v>
      </c>
      <c r="G61" t="str">
        <f>IF(AG61="","",VLOOKUP(F61,tnpl!$X$1:$Y$16,2,TRUE))</f>
        <v/>
      </c>
      <c r="H61" t="s">
        <v>3168</v>
      </c>
      <c r="I61">
        <f t="shared" si="11"/>
        <v>8</v>
      </c>
      <c r="J61" t="s">
        <v>3168</v>
      </c>
      <c r="K61">
        <f t="shared" si="12"/>
        <v>0</v>
      </c>
      <c r="L61">
        <f t="shared" si="13"/>
        <v>0</v>
      </c>
      <c r="P61" t="s">
        <v>5607</v>
      </c>
      <c r="R61" t="s">
        <v>3175</v>
      </c>
      <c r="S61" t="s">
        <v>5608</v>
      </c>
      <c r="T61" t="str">
        <f t="shared" si="14"/>
        <v>神聖なる月光</v>
      </c>
      <c r="U61" t="str">
        <f t="shared" si="15"/>
        <v/>
      </c>
      <c r="V61" t="str">
        <f>IF(I61=0,VLOOKUP(T61,Sheet4!A:B,2,TRUE),"")</f>
        <v/>
      </c>
      <c r="W61" t="s">
        <v>4751</v>
      </c>
      <c r="X61" t="s">
        <v>3175</v>
      </c>
      <c r="Z61" s="10" t="s">
        <v>3018</v>
      </c>
      <c r="AH61" s="3">
        <v>35</v>
      </c>
      <c r="AI61" s="2" t="s">
        <v>3176</v>
      </c>
      <c r="AJ61" s="1" t="s">
        <v>1627</v>
      </c>
      <c r="AK61" s="1" t="s">
        <v>1441</v>
      </c>
      <c r="AL61" s="1">
        <v>8</v>
      </c>
      <c r="AM61" s="1" t="s">
        <v>3020</v>
      </c>
      <c r="AN61" s="1" t="s">
        <v>3019</v>
      </c>
      <c r="AO61" s="1" t="s">
        <v>1453</v>
      </c>
      <c r="AP61" s="1"/>
      <c r="AQ61" s="1"/>
      <c r="AR61" s="1"/>
      <c r="AS61" s="1" t="s">
        <v>3018</v>
      </c>
    </row>
    <row r="62" spans="1:49" x14ac:dyDescent="0.15">
      <c r="A62" t="str">
        <f t="shared" si="8"/>
        <v>|ORI|白|10|&amp;br;|《[[悲劇的な傲慢]]》|</v>
      </c>
      <c r="B62" t="s">
        <v>3168</v>
      </c>
      <c r="C62" t="str">
        <f t="shared" si="9"/>
        <v>ORI</v>
      </c>
      <c r="D62" t="str">
        <f>IF(AF62="","",VLOOKUP(C62,tnpl!$Z$1:$AA$11,2,TRUE))</f>
        <v/>
      </c>
      <c r="E62" t="s">
        <v>3168</v>
      </c>
      <c r="F62" t="str">
        <f t="shared" si="10"/>
        <v>白</v>
      </c>
      <c r="G62" t="str">
        <f>IF(AG62="","",VLOOKUP(F62,tnpl!$X$1:$Y$16,2,TRUE))</f>
        <v/>
      </c>
      <c r="H62" t="s">
        <v>3168</v>
      </c>
      <c r="I62">
        <f t="shared" si="11"/>
        <v>10</v>
      </c>
      <c r="J62" t="s">
        <v>3168</v>
      </c>
      <c r="K62">
        <f t="shared" si="12"/>
        <v>0</v>
      </c>
      <c r="L62">
        <f t="shared" si="13"/>
        <v>0</v>
      </c>
      <c r="P62" t="s">
        <v>5607</v>
      </c>
      <c r="R62" t="s">
        <v>3175</v>
      </c>
      <c r="S62" t="s">
        <v>5608</v>
      </c>
      <c r="T62" t="str">
        <f t="shared" si="14"/>
        <v>悲劇的な傲慢</v>
      </c>
      <c r="U62" t="str">
        <f t="shared" si="15"/>
        <v/>
      </c>
      <c r="V62" t="str">
        <f>IF(I62=0,VLOOKUP(T62,Sheet4!A:B,2,TRUE),"")</f>
        <v/>
      </c>
      <c r="W62" t="s">
        <v>4751</v>
      </c>
      <c r="X62" t="s">
        <v>3175</v>
      </c>
      <c r="Z62" s="10" t="s">
        <v>3007</v>
      </c>
      <c r="AH62" s="3">
        <v>39</v>
      </c>
      <c r="AI62" s="2" t="s">
        <v>3176</v>
      </c>
      <c r="AJ62" s="1" t="s">
        <v>1627</v>
      </c>
      <c r="AK62" s="1" t="s">
        <v>1431</v>
      </c>
      <c r="AL62" s="1">
        <v>10</v>
      </c>
      <c r="AM62" s="1" t="s">
        <v>3009</v>
      </c>
      <c r="AN62" s="1" t="s">
        <v>3008</v>
      </c>
      <c r="AO62" s="1" t="s">
        <v>1453</v>
      </c>
      <c r="AP62" s="1"/>
      <c r="AQ62" s="1"/>
      <c r="AR62" s="1"/>
      <c r="AS62" s="1" t="s">
        <v>3007</v>
      </c>
    </row>
    <row r="63" spans="1:49" x14ac:dyDescent="0.15">
      <c r="A63" t="str">
        <f t="shared" si="8"/>
        <v>|ORI|青|9|&amp;br;|《[[蛙変化]]》|</v>
      </c>
      <c r="B63" t="s">
        <v>3168</v>
      </c>
      <c r="C63" t="str">
        <f t="shared" si="9"/>
        <v>ORI</v>
      </c>
      <c r="D63" t="str">
        <f>IF(AF63="","",VLOOKUP(C63,tnpl!$Z$1:$AA$11,2,TRUE))</f>
        <v/>
      </c>
      <c r="E63" t="s">
        <v>3168</v>
      </c>
      <c r="F63" t="str">
        <f t="shared" si="10"/>
        <v>青</v>
      </c>
      <c r="G63" t="str">
        <f>IF(AG63="","",VLOOKUP(F63,tnpl!$X$1:$Y$16,2,TRUE))</f>
        <v/>
      </c>
      <c r="H63" t="s">
        <v>3168</v>
      </c>
      <c r="I63">
        <f t="shared" si="11"/>
        <v>9</v>
      </c>
      <c r="J63" t="s">
        <v>3168</v>
      </c>
      <c r="K63">
        <f t="shared" si="12"/>
        <v>0</v>
      </c>
      <c r="L63">
        <f t="shared" si="13"/>
        <v>0</v>
      </c>
      <c r="P63" t="s">
        <v>5607</v>
      </c>
      <c r="R63" t="s">
        <v>3175</v>
      </c>
      <c r="S63" t="s">
        <v>5608</v>
      </c>
      <c r="T63" t="str">
        <f t="shared" si="14"/>
        <v>蛙変化</v>
      </c>
      <c r="U63" t="str">
        <f t="shared" si="15"/>
        <v/>
      </c>
      <c r="V63" t="str">
        <f>IF(I63=0,VLOOKUP(T63,Sheet4!A:B,2,TRUE),"")</f>
        <v/>
      </c>
      <c r="W63" t="s">
        <v>4751</v>
      </c>
      <c r="X63" t="s">
        <v>3175</v>
      </c>
      <c r="Z63" s="10" t="s">
        <v>2895</v>
      </c>
      <c r="AH63" s="3">
        <v>76</v>
      </c>
      <c r="AI63" s="2" t="s">
        <v>3176</v>
      </c>
      <c r="AJ63" s="1" t="s">
        <v>1606</v>
      </c>
      <c r="AK63" s="1" t="s">
        <v>1441</v>
      </c>
      <c r="AL63" s="1">
        <v>9</v>
      </c>
      <c r="AM63" s="1" t="s">
        <v>2897</v>
      </c>
      <c r="AN63" s="1" t="s">
        <v>2896</v>
      </c>
      <c r="AO63" s="1" t="s">
        <v>1453</v>
      </c>
      <c r="AP63" s="1"/>
      <c r="AQ63" s="1"/>
      <c r="AR63" s="1"/>
      <c r="AS63" s="1" t="s">
        <v>2895</v>
      </c>
    </row>
    <row r="64" spans="1:49" x14ac:dyDescent="0.15">
      <c r="A64" t="str">
        <f t="shared" si="8"/>
        <v>|ORI|黒|3|&amp;br;|《[[魂裂き]]》|</v>
      </c>
      <c r="B64" t="s">
        <v>3168</v>
      </c>
      <c r="C64" t="str">
        <f t="shared" si="9"/>
        <v>ORI</v>
      </c>
      <c r="D64" t="str">
        <f>IF(AF64="","",VLOOKUP(C64,tnpl!$Z$1:$AA$11,2,TRUE))</f>
        <v/>
      </c>
      <c r="E64" t="s">
        <v>3168</v>
      </c>
      <c r="F64" t="str">
        <f t="shared" si="10"/>
        <v>黒</v>
      </c>
      <c r="G64" t="str">
        <f>IF(AG64="","",VLOOKUP(F64,tnpl!$X$1:$Y$16,2,TRUE))</f>
        <v/>
      </c>
      <c r="H64" t="s">
        <v>3168</v>
      </c>
      <c r="I64">
        <f t="shared" si="11"/>
        <v>3</v>
      </c>
      <c r="J64" t="s">
        <v>3168</v>
      </c>
      <c r="K64">
        <f t="shared" si="12"/>
        <v>0</v>
      </c>
      <c r="L64">
        <f t="shared" si="13"/>
        <v>0</v>
      </c>
      <c r="P64" t="s">
        <v>5607</v>
      </c>
      <c r="R64" t="s">
        <v>3175</v>
      </c>
      <c r="S64" t="s">
        <v>5608</v>
      </c>
      <c r="T64" t="str">
        <f t="shared" si="14"/>
        <v>魂裂き</v>
      </c>
      <c r="U64" t="str">
        <f t="shared" si="15"/>
        <v/>
      </c>
      <c r="V64" t="str">
        <f>IF(I64=0,VLOOKUP(T64,Sheet4!A:B,2,TRUE),"")</f>
        <v/>
      </c>
      <c r="W64" t="s">
        <v>4751</v>
      </c>
      <c r="X64" t="s">
        <v>3175</v>
      </c>
      <c r="Z64" s="10" t="s">
        <v>2847</v>
      </c>
      <c r="AH64" s="3">
        <v>94</v>
      </c>
      <c r="AI64" s="2" t="s">
        <v>3176</v>
      </c>
      <c r="AJ64" s="1" t="s">
        <v>1582</v>
      </c>
      <c r="AK64" s="1" t="s">
        <v>1744</v>
      </c>
      <c r="AL64" s="1">
        <v>3</v>
      </c>
      <c r="AM64" s="1" t="s">
        <v>2849</v>
      </c>
      <c r="AN64" s="1" t="s">
        <v>2848</v>
      </c>
      <c r="AO64" s="1" t="s">
        <v>1453</v>
      </c>
      <c r="AP64" s="1"/>
      <c r="AQ64" s="1"/>
      <c r="AR64" s="1"/>
      <c r="AS64" s="1" t="s">
        <v>2847</v>
      </c>
    </row>
    <row r="65" spans="1:45" x14ac:dyDescent="0.15">
      <c r="A65" t="str">
        <f t="shared" si="8"/>
        <v>|ORI|黒|8|&amp;br;|《[[残酷な蘇生]]》|</v>
      </c>
      <c r="B65" t="s">
        <v>3168</v>
      </c>
      <c r="C65" t="str">
        <f t="shared" si="9"/>
        <v>ORI</v>
      </c>
      <c r="D65" t="str">
        <f>IF(AF65="","",VLOOKUP(C65,tnpl!$Z$1:$AA$11,2,TRUE))</f>
        <v/>
      </c>
      <c r="E65" t="s">
        <v>3168</v>
      </c>
      <c r="F65" t="str">
        <f t="shared" si="10"/>
        <v>黒</v>
      </c>
      <c r="G65" t="str">
        <f>IF(AG65="","",VLOOKUP(F65,tnpl!$X$1:$Y$16,2,TRUE))</f>
        <v/>
      </c>
      <c r="H65" t="s">
        <v>3168</v>
      </c>
      <c r="I65">
        <f t="shared" si="11"/>
        <v>8</v>
      </c>
      <c r="J65" t="s">
        <v>3168</v>
      </c>
      <c r="K65">
        <f t="shared" si="12"/>
        <v>0</v>
      </c>
      <c r="L65">
        <f t="shared" si="13"/>
        <v>0</v>
      </c>
      <c r="P65" t="s">
        <v>5607</v>
      </c>
      <c r="R65" t="s">
        <v>3175</v>
      </c>
      <c r="S65" t="s">
        <v>5608</v>
      </c>
      <c r="T65" t="str">
        <f t="shared" si="14"/>
        <v>残酷な蘇生</v>
      </c>
      <c r="U65" t="str">
        <f t="shared" si="15"/>
        <v/>
      </c>
      <c r="V65" t="str">
        <f>IF(I65=0,VLOOKUP(T65,Sheet4!A:B,2,TRUE),"")</f>
        <v/>
      </c>
      <c r="W65" t="s">
        <v>4751</v>
      </c>
      <c r="X65" t="s">
        <v>3175</v>
      </c>
      <c r="Z65" s="10" t="s">
        <v>2819</v>
      </c>
      <c r="AH65" s="3">
        <v>104</v>
      </c>
      <c r="AI65" s="2" t="s">
        <v>3176</v>
      </c>
      <c r="AJ65" s="1" t="s">
        <v>1582</v>
      </c>
      <c r="AK65" s="1" t="s">
        <v>1451</v>
      </c>
      <c r="AL65" s="1">
        <v>8</v>
      </c>
      <c r="AM65" s="1" t="s">
        <v>2821</v>
      </c>
      <c r="AN65" s="1" t="s">
        <v>2820</v>
      </c>
      <c r="AO65" s="1" t="s">
        <v>1453</v>
      </c>
      <c r="AP65" s="1"/>
      <c r="AQ65" s="1"/>
      <c r="AR65" s="1"/>
      <c r="AS65" s="1" t="s">
        <v>2819</v>
      </c>
    </row>
    <row r="66" spans="1:45" x14ac:dyDescent="0.15">
      <c r="A66" t="str">
        <f t="shared" si="8"/>
        <v>|ORI|黒|6|&amp;br;|《[[苛まれし思考]]》|</v>
      </c>
      <c r="B66" t="s">
        <v>3168</v>
      </c>
      <c r="C66" t="str">
        <f t="shared" si="9"/>
        <v>ORI</v>
      </c>
      <c r="D66" t="str">
        <f>IF(AF66="","",VLOOKUP(C66,tnpl!$Z$1:$AA$11,2,TRUE))</f>
        <v/>
      </c>
      <c r="E66" t="s">
        <v>3168</v>
      </c>
      <c r="F66" t="str">
        <f t="shared" si="10"/>
        <v>黒</v>
      </c>
      <c r="G66" t="str">
        <f>IF(AG66="","",VLOOKUP(F66,tnpl!$X$1:$Y$16,2,TRUE))</f>
        <v/>
      </c>
      <c r="H66" t="s">
        <v>3168</v>
      </c>
      <c r="I66">
        <f t="shared" si="11"/>
        <v>6</v>
      </c>
      <c r="J66" t="s">
        <v>3168</v>
      </c>
      <c r="K66">
        <f t="shared" si="12"/>
        <v>0</v>
      </c>
      <c r="L66">
        <f t="shared" si="13"/>
        <v>0</v>
      </c>
      <c r="P66" t="s">
        <v>5607</v>
      </c>
      <c r="R66" t="s">
        <v>3175</v>
      </c>
      <c r="S66" t="s">
        <v>5608</v>
      </c>
      <c r="T66" t="str">
        <f t="shared" si="14"/>
        <v>苛まれし思考</v>
      </c>
      <c r="U66" t="str">
        <f t="shared" si="15"/>
        <v/>
      </c>
      <c r="V66" t="str">
        <f>IF(I66=0,VLOOKUP(T66,Sheet4!A:B,2,TRUE),"")</f>
        <v/>
      </c>
      <c r="W66" t="s">
        <v>4751</v>
      </c>
      <c r="X66" t="s">
        <v>3175</v>
      </c>
      <c r="Z66" s="10" t="s">
        <v>2810</v>
      </c>
      <c r="AH66" s="3">
        <v>107</v>
      </c>
      <c r="AI66" s="2" t="s">
        <v>3176</v>
      </c>
      <c r="AJ66" s="1" t="s">
        <v>1582</v>
      </c>
      <c r="AK66" s="1" t="s">
        <v>1451</v>
      </c>
      <c r="AL66" s="1">
        <v>6</v>
      </c>
      <c r="AM66" s="1" t="s">
        <v>2812</v>
      </c>
      <c r="AN66" s="1" t="s">
        <v>2811</v>
      </c>
      <c r="AO66" s="1" t="s">
        <v>1453</v>
      </c>
      <c r="AP66" s="1"/>
      <c r="AQ66" s="1"/>
      <c r="AR66" s="1"/>
      <c r="AS66" s="1" t="s">
        <v>2810</v>
      </c>
    </row>
    <row r="67" spans="1:45" x14ac:dyDescent="0.15">
      <c r="A67" t="str">
        <f t="shared" si="8"/>
        <v>|ORI|黒|8|&amp;br;|《[[不浄な飢え]]》|</v>
      </c>
      <c r="B67" t="s">
        <v>3168</v>
      </c>
      <c r="C67" t="str">
        <f t="shared" si="9"/>
        <v>ORI</v>
      </c>
      <c r="D67" t="str">
        <f>IF(AF67="","",VLOOKUP(C67,tnpl!$Z$1:$AA$11,2,TRUE))</f>
        <v/>
      </c>
      <c r="E67" t="s">
        <v>3168</v>
      </c>
      <c r="F67" t="str">
        <f t="shared" si="10"/>
        <v>黒</v>
      </c>
      <c r="G67" t="str">
        <f>IF(AG67="","",VLOOKUP(F67,tnpl!$X$1:$Y$16,2,TRUE))</f>
        <v/>
      </c>
      <c r="H67" t="s">
        <v>3168</v>
      </c>
      <c r="I67">
        <f t="shared" si="11"/>
        <v>8</v>
      </c>
      <c r="J67" t="s">
        <v>3168</v>
      </c>
      <c r="K67">
        <f t="shared" si="12"/>
        <v>0</v>
      </c>
      <c r="L67">
        <f t="shared" si="13"/>
        <v>0</v>
      </c>
      <c r="P67" t="s">
        <v>5607</v>
      </c>
      <c r="R67" t="s">
        <v>3175</v>
      </c>
      <c r="S67" t="s">
        <v>5608</v>
      </c>
      <c r="T67" t="str">
        <f t="shared" si="14"/>
        <v>不浄な飢え</v>
      </c>
      <c r="U67" t="str">
        <f t="shared" si="15"/>
        <v/>
      </c>
      <c r="V67" t="str">
        <f>IF(I67=0,VLOOKUP(T67,Sheet4!A:B,2,TRUE),"")</f>
        <v/>
      </c>
      <c r="W67" t="s">
        <v>4751</v>
      </c>
      <c r="X67" t="s">
        <v>3175</v>
      </c>
      <c r="Z67" s="10" t="s">
        <v>2781</v>
      </c>
      <c r="AH67" s="3">
        <v>117</v>
      </c>
      <c r="AI67" s="2" t="s">
        <v>3176</v>
      </c>
      <c r="AJ67" s="1" t="s">
        <v>1582</v>
      </c>
      <c r="AK67" s="1" t="s">
        <v>1441</v>
      </c>
      <c r="AL67" s="1">
        <v>8</v>
      </c>
      <c r="AM67" s="1" t="s">
        <v>2783</v>
      </c>
      <c r="AN67" s="1" t="s">
        <v>2782</v>
      </c>
      <c r="AO67" s="1" t="s">
        <v>1453</v>
      </c>
      <c r="AP67" s="1"/>
      <c r="AQ67" s="1"/>
      <c r="AR67" s="1"/>
      <c r="AS67" s="1" t="s">
        <v>2781</v>
      </c>
    </row>
    <row r="68" spans="1:45" x14ac:dyDescent="0.15">
      <c r="A68" t="str">
        <f t="shared" si="8"/>
        <v>|ORI|赤|1|&amp;br;|《[[焦熱の結末]]》|</v>
      </c>
      <c r="B68" t="s">
        <v>3168</v>
      </c>
      <c r="C68" t="str">
        <f t="shared" si="9"/>
        <v>ORI</v>
      </c>
      <c r="D68" t="str">
        <f>IF(AF68="","",VLOOKUP(C68,tnpl!$Z$1:$AA$11,2,TRUE))</f>
        <v/>
      </c>
      <c r="E68" t="s">
        <v>3168</v>
      </c>
      <c r="F68" t="str">
        <f t="shared" si="10"/>
        <v>赤</v>
      </c>
      <c r="G68" t="str">
        <f>IF(AG68="","",VLOOKUP(F68,tnpl!$X$1:$Y$16,2,TRUE))</f>
        <v/>
      </c>
      <c r="H68" t="s">
        <v>3168</v>
      </c>
      <c r="I68">
        <f t="shared" si="11"/>
        <v>1</v>
      </c>
      <c r="J68" t="s">
        <v>3168</v>
      </c>
      <c r="K68">
        <f t="shared" si="12"/>
        <v>0</v>
      </c>
      <c r="L68">
        <f t="shared" si="13"/>
        <v>0</v>
      </c>
      <c r="P68" t="s">
        <v>5607</v>
      </c>
      <c r="R68" t="s">
        <v>3175</v>
      </c>
      <c r="S68" t="s">
        <v>5608</v>
      </c>
      <c r="T68" t="str">
        <f t="shared" si="14"/>
        <v>焦熱の結末</v>
      </c>
      <c r="U68" t="str">
        <f t="shared" si="15"/>
        <v/>
      </c>
      <c r="V68" t="str">
        <f>IF(I68=0,VLOOKUP(T68,Sheet4!A:B,2,TRUE),"")</f>
        <v/>
      </c>
      <c r="W68" t="s">
        <v>4751</v>
      </c>
      <c r="X68" t="s">
        <v>3175</v>
      </c>
      <c r="Z68" s="10" t="s">
        <v>2693</v>
      </c>
      <c r="AH68" s="3">
        <v>149</v>
      </c>
      <c r="AI68" s="2" t="s">
        <v>3176</v>
      </c>
      <c r="AJ68" s="1" t="s">
        <v>1552</v>
      </c>
      <c r="AK68" s="1" t="s">
        <v>1451</v>
      </c>
      <c r="AL68" s="1">
        <v>1</v>
      </c>
      <c r="AM68" s="1" t="s">
        <v>2695</v>
      </c>
      <c r="AN68" s="1" t="s">
        <v>2694</v>
      </c>
      <c r="AO68" s="1" t="s">
        <v>1453</v>
      </c>
      <c r="AP68" s="1"/>
      <c r="AQ68" s="1"/>
      <c r="AR68" s="1"/>
      <c r="AS68" s="1" t="s">
        <v>2693</v>
      </c>
    </row>
    <row r="69" spans="1:45" x14ac:dyDescent="0.15">
      <c r="A69" t="str">
        <f t="shared" si="8"/>
        <v>|ORI|緑|3|&amp;br;|《[[回収]]》|</v>
      </c>
      <c r="B69" t="s">
        <v>3168</v>
      </c>
      <c r="C69" t="str">
        <f t="shared" si="9"/>
        <v>ORI</v>
      </c>
      <c r="D69" t="str">
        <f>IF(AF69="","",VLOOKUP(C69,tnpl!$Z$1:$AA$11,2,TRUE))</f>
        <v/>
      </c>
      <c r="E69" t="s">
        <v>3168</v>
      </c>
      <c r="F69" t="str">
        <f t="shared" si="10"/>
        <v>緑</v>
      </c>
      <c r="G69" t="str">
        <f>IF(AG69="","",VLOOKUP(F69,tnpl!$X$1:$Y$16,2,TRUE))</f>
        <v/>
      </c>
      <c r="H69" t="s">
        <v>3168</v>
      </c>
      <c r="I69">
        <f t="shared" si="11"/>
        <v>3</v>
      </c>
      <c r="J69" t="s">
        <v>3168</v>
      </c>
      <c r="K69">
        <f t="shared" si="12"/>
        <v>0</v>
      </c>
      <c r="L69">
        <f t="shared" si="13"/>
        <v>0</v>
      </c>
      <c r="P69" t="s">
        <v>5607</v>
      </c>
      <c r="R69" t="s">
        <v>3175</v>
      </c>
      <c r="S69" t="s">
        <v>5608</v>
      </c>
      <c r="T69" t="str">
        <f t="shared" si="14"/>
        <v>回収</v>
      </c>
      <c r="U69" t="str">
        <f t="shared" si="15"/>
        <v/>
      </c>
      <c r="V69" t="str">
        <f>IF(I69=0,VLOOKUP(T69,Sheet4!A:B,2,TRUE),"")</f>
        <v/>
      </c>
      <c r="W69" t="s">
        <v>4751</v>
      </c>
      <c r="X69" t="s">
        <v>3175</v>
      </c>
      <c r="Z69" s="10" t="s">
        <v>2589</v>
      </c>
      <c r="AH69" s="3">
        <v>186</v>
      </c>
      <c r="AI69" s="2" t="s">
        <v>3176</v>
      </c>
      <c r="AJ69" s="1" t="s">
        <v>1518</v>
      </c>
      <c r="AK69" s="1" t="s">
        <v>1451</v>
      </c>
      <c r="AL69" s="1">
        <v>3</v>
      </c>
      <c r="AM69" s="1" t="s">
        <v>2591</v>
      </c>
      <c r="AN69" s="1" t="s">
        <v>2590</v>
      </c>
      <c r="AO69" s="1" t="s">
        <v>1453</v>
      </c>
      <c r="AP69" s="1"/>
      <c r="AQ69" s="1"/>
      <c r="AR69" s="1"/>
      <c r="AS69" s="1" t="s">
        <v>2589</v>
      </c>
    </row>
    <row r="70" spans="1:45" x14ac:dyDescent="0.15">
      <c r="A70" t="str">
        <f t="shared" si="8"/>
        <v>|ORI|緑|15|&amp;br;|《[[大オーロラ]]》|</v>
      </c>
      <c r="B70" t="s">
        <v>3168</v>
      </c>
      <c r="C70" t="str">
        <f t="shared" si="9"/>
        <v>ORI</v>
      </c>
      <c r="D70" t="str">
        <f>IF(AF70="","",VLOOKUP(C70,tnpl!$Z$1:$AA$11,2,TRUE))</f>
        <v/>
      </c>
      <c r="E70" t="s">
        <v>3168</v>
      </c>
      <c r="F70" t="str">
        <f t="shared" si="10"/>
        <v>緑</v>
      </c>
      <c r="G70" t="str">
        <f>IF(AG70="","",VLOOKUP(F70,tnpl!$X$1:$Y$16,2,TRUE))</f>
        <v/>
      </c>
      <c r="H70" t="s">
        <v>3168</v>
      </c>
      <c r="I70">
        <f t="shared" si="11"/>
        <v>15</v>
      </c>
      <c r="J70" t="s">
        <v>3168</v>
      </c>
      <c r="K70">
        <f t="shared" si="12"/>
        <v>0</v>
      </c>
      <c r="L70">
        <f t="shared" si="13"/>
        <v>0</v>
      </c>
      <c r="P70" t="s">
        <v>5607</v>
      </c>
      <c r="R70" t="s">
        <v>3175</v>
      </c>
      <c r="S70" t="s">
        <v>5608</v>
      </c>
      <c r="T70" t="str">
        <f t="shared" si="14"/>
        <v>大オーロラ</v>
      </c>
      <c r="U70" t="str">
        <f t="shared" si="15"/>
        <v/>
      </c>
      <c r="V70" t="str">
        <f>IF(I70=0,VLOOKUP(T70,Sheet4!A:B,2,TRUE),"")</f>
        <v/>
      </c>
      <c r="W70" t="s">
        <v>4751</v>
      </c>
      <c r="X70" t="s">
        <v>3175</v>
      </c>
      <c r="Z70" s="10" t="s">
        <v>2544</v>
      </c>
      <c r="AH70" s="3">
        <v>202</v>
      </c>
      <c r="AI70" s="2" t="s">
        <v>3176</v>
      </c>
      <c r="AJ70" s="1" t="s">
        <v>1518</v>
      </c>
      <c r="AK70" s="1" t="s">
        <v>1431</v>
      </c>
      <c r="AL70" s="1">
        <v>15</v>
      </c>
      <c r="AM70" s="1" t="s">
        <v>2546</v>
      </c>
      <c r="AN70" s="1" t="s">
        <v>2545</v>
      </c>
      <c r="AO70" s="1" t="s">
        <v>1453</v>
      </c>
      <c r="AP70" s="1"/>
      <c r="AQ70" s="1"/>
      <c r="AR70" s="1"/>
      <c r="AS70" s="1" t="s">
        <v>2544</v>
      </c>
    </row>
    <row r="71" spans="1:45" x14ac:dyDescent="0.15">
      <c r="AH71" s="9"/>
      <c r="AI71" s="9"/>
      <c r="AJ71" s="9"/>
      <c r="AK71" s="9"/>
      <c r="AL71" s="9"/>
      <c r="AM71" s="9"/>
      <c r="AN71" s="9"/>
      <c r="AO71" s="9"/>
      <c r="AP71" s="9"/>
      <c r="AQ71" s="9"/>
      <c r="AR71" s="9"/>
      <c r="AS71" s="9"/>
    </row>
    <row r="72" spans="1:45" x14ac:dyDescent="0.15">
      <c r="A72" t="str">
        <f>B72&amp;C72&amp;E72&amp;F72&amp;H72&amp;I72&amp;J72&amp;M72&amp;N72&amp;O72&amp;P72&amp;Q72&amp;R72&amp;S72&amp;T72&amp;V72&amp;W72&amp;X72&amp;Y72</f>
        <v>**戦乱のゼンディカーブロック</v>
      </c>
      <c r="B72" t="s">
        <v>4752</v>
      </c>
      <c r="C72" t="s">
        <v>4810</v>
      </c>
    </row>
    <row r="73" spans="1:45" x14ac:dyDescent="0.15">
      <c r="A73" t="str">
        <f>B73&amp;C73&amp;E73&amp;F73&amp;H73&amp;I73&amp;J73&amp;M73&amp;N73&amp;O73&amp;P73&amp;Q73&amp;R73&amp;S73&amp;T73&amp;U73&amp;V73&amp;W73&amp;X73&amp;Y73</f>
        <v>|LEFT:50|LEFT:50|LEFT:50|LEFT:250|LEFT:500|c</v>
      </c>
      <c r="B73" t="s">
        <v>3168</v>
      </c>
      <c r="C73" t="s">
        <v>3162</v>
      </c>
      <c r="E73" t="s">
        <v>3168</v>
      </c>
      <c r="F73" t="s">
        <v>3162</v>
      </c>
      <c r="H73" t="s">
        <v>3168</v>
      </c>
      <c r="I73" t="s">
        <v>3162</v>
      </c>
      <c r="J73" t="s">
        <v>3175</v>
      </c>
      <c r="O73" t="s">
        <v>4800</v>
      </c>
      <c r="R73" t="s">
        <v>3175</v>
      </c>
      <c r="T73" t="s">
        <v>3163</v>
      </c>
      <c r="X73" t="s">
        <v>3175</v>
      </c>
      <c r="Y73" t="s">
        <v>3164</v>
      </c>
    </row>
    <row r="74" spans="1:45" x14ac:dyDescent="0.15">
      <c r="A74" t="str">
        <f>B74&amp;C74&amp;E74&amp;F74&amp;H74&amp;I74&amp;J74&amp;M74&amp;N74&amp;O74&amp;P74&amp;Q74&amp;R74&amp;S74&amp;T74&amp;U74&amp;V74&amp;W74&amp;X74&amp;Y74</f>
        <v>|セット|色|コスト|能力|カード名|</v>
      </c>
      <c r="B74" t="s">
        <v>3168</v>
      </c>
      <c r="C74" t="s">
        <v>3169</v>
      </c>
      <c r="E74" t="s">
        <v>3168</v>
      </c>
      <c r="F74" t="s">
        <v>3139</v>
      </c>
      <c r="H74" t="s">
        <v>3168</v>
      </c>
      <c r="I74" t="s">
        <v>3165</v>
      </c>
      <c r="J74" t="s">
        <v>3175</v>
      </c>
      <c r="K74" t="s">
        <v>4806</v>
      </c>
      <c r="L74" t="s">
        <v>4807</v>
      </c>
      <c r="O74" t="s">
        <v>3174</v>
      </c>
      <c r="R74" t="s">
        <v>3175</v>
      </c>
      <c r="T74" t="s">
        <v>3166</v>
      </c>
      <c r="X74" t="s">
        <v>3175</v>
      </c>
      <c r="AH74" s="12"/>
      <c r="AI74" s="12"/>
      <c r="AJ74" s="12"/>
      <c r="AK74" s="12"/>
      <c r="AL74" s="12"/>
      <c r="AM74" s="12"/>
      <c r="AN74" s="12"/>
      <c r="AO74" s="12"/>
      <c r="AP74" s="12"/>
      <c r="AQ74" s="12"/>
      <c r="AR74" s="12"/>
      <c r="AS74" s="12"/>
    </row>
    <row r="75" spans="1:45" x14ac:dyDescent="0.15">
      <c r="A75" t="str">
        <f t="shared" si="8"/>
        <v>|BFZ|白|8|&amp;br;|《[[真っ逆さま]]》|</v>
      </c>
      <c r="B75" t="s">
        <v>3168</v>
      </c>
      <c r="C75" t="str">
        <f t="shared" si="9"/>
        <v>BFZ</v>
      </c>
      <c r="D75" t="str">
        <f>IF(AF75="","",VLOOKUP(C75,tnpl!$Z$1:$AA$11,2,TRUE))</f>
        <v/>
      </c>
      <c r="E75" t="s">
        <v>3168</v>
      </c>
      <c r="F75" t="str">
        <f t="shared" si="10"/>
        <v>白</v>
      </c>
      <c r="G75" t="str">
        <f>IF(AG75="","",VLOOKUP(F75,tnpl!$X$1:$Y$16,2,TRUE))</f>
        <v/>
      </c>
      <c r="H75" t="s">
        <v>3168</v>
      </c>
      <c r="I75">
        <f t="shared" si="11"/>
        <v>8</v>
      </c>
      <c r="J75" t="s">
        <v>3168</v>
      </c>
      <c r="K75">
        <f t="shared" si="12"/>
        <v>0</v>
      </c>
      <c r="L75">
        <f t="shared" si="13"/>
        <v>0</v>
      </c>
      <c r="P75" t="s">
        <v>5607</v>
      </c>
      <c r="R75" t="s">
        <v>3175</v>
      </c>
      <c r="S75" t="s">
        <v>5608</v>
      </c>
      <c r="T75" t="str">
        <f t="shared" si="14"/>
        <v>真っ逆さま</v>
      </c>
      <c r="U75" t="str">
        <f t="shared" si="15"/>
        <v/>
      </c>
      <c r="V75" t="str">
        <f>IF(I75=0,VLOOKUP(T75,Sheet4!A:B,2,TRUE),"")</f>
        <v/>
      </c>
      <c r="W75" t="s">
        <v>4751</v>
      </c>
      <c r="X75" t="s">
        <v>3175</v>
      </c>
      <c r="Z75" s="10" t="s">
        <v>2378</v>
      </c>
      <c r="AH75" s="3">
        <v>260</v>
      </c>
      <c r="AI75" s="2" t="s">
        <v>3170</v>
      </c>
      <c r="AJ75" s="1" t="s">
        <v>1627</v>
      </c>
      <c r="AK75" s="1" t="s">
        <v>1744</v>
      </c>
      <c r="AL75" s="1">
        <v>8</v>
      </c>
      <c r="AM75" s="1" t="s">
        <v>2382</v>
      </c>
      <c r="AN75" s="1" t="s">
        <v>2381</v>
      </c>
      <c r="AO75" s="1" t="s">
        <v>1453</v>
      </c>
      <c r="AP75" s="1"/>
      <c r="AQ75" s="1"/>
      <c r="AR75" s="1"/>
      <c r="AS75" s="1" t="s">
        <v>2378</v>
      </c>
    </row>
    <row r="76" spans="1:45" x14ac:dyDescent="0.15">
      <c r="A76" t="str">
        <f t="shared" si="8"/>
        <v>|BFZ|白|8|&amp;br;|《[[大物潰し]]》|</v>
      </c>
      <c r="B76" t="s">
        <v>3168</v>
      </c>
      <c r="C76" t="str">
        <f t="shared" si="9"/>
        <v>BFZ</v>
      </c>
      <c r="D76" t="str">
        <f>IF(AF76="","",VLOOKUP(C76,tnpl!$Z$1:$AA$11,2,TRUE))</f>
        <v/>
      </c>
      <c r="E76" t="s">
        <v>3168</v>
      </c>
      <c r="F76" t="str">
        <f t="shared" si="10"/>
        <v>白</v>
      </c>
      <c r="G76" t="str">
        <f>IF(AG76="","",VLOOKUP(F76,tnpl!$X$1:$Y$16,2,TRUE))</f>
        <v/>
      </c>
      <c r="H76" t="s">
        <v>3168</v>
      </c>
      <c r="I76">
        <f t="shared" si="11"/>
        <v>8</v>
      </c>
      <c r="J76" t="s">
        <v>3168</v>
      </c>
      <c r="K76">
        <f t="shared" si="12"/>
        <v>0</v>
      </c>
      <c r="L76">
        <f t="shared" si="13"/>
        <v>0</v>
      </c>
      <c r="P76" t="s">
        <v>5607</v>
      </c>
      <c r="R76" t="s">
        <v>3175</v>
      </c>
      <c r="S76" t="s">
        <v>5608</v>
      </c>
      <c r="T76" t="str">
        <f t="shared" si="14"/>
        <v>大物潰し</v>
      </c>
      <c r="U76" t="str">
        <f t="shared" si="15"/>
        <v/>
      </c>
      <c r="V76" t="str">
        <f>IF(I76=0,VLOOKUP(T76,Sheet4!A:B,2,TRUE),"")</f>
        <v/>
      </c>
      <c r="W76" t="s">
        <v>4751</v>
      </c>
      <c r="X76" t="s">
        <v>3175</v>
      </c>
      <c r="Z76" s="10" t="s">
        <v>2375</v>
      </c>
      <c r="AH76" s="3">
        <v>261</v>
      </c>
      <c r="AI76" s="2" t="s">
        <v>3170</v>
      </c>
      <c r="AJ76" s="1" t="s">
        <v>1627</v>
      </c>
      <c r="AK76" s="1" t="s">
        <v>1744</v>
      </c>
      <c r="AL76" s="1">
        <v>8</v>
      </c>
      <c r="AM76" s="1" t="s">
        <v>2377</v>
      </c>
      <c r="AN76" s="1" t="s">
        <v>2376</v>
      </c>
      <c r="AO76" s="1" t="s">
        <v>1453</v>
      </c>
      <c r="AP76" s="1"/>
      <c r="AQ76" s="1"/>
      <c r="AR76" s="1"/>
      <c r="AS76" s="1" t="s">
        <v>2375</v>
      </c>
    </row>
    <row r="77" spans="1:45" x14ac:dyDescent="0.15">
      <c r="A77" t="str">
        <f t="shared" si="8"/>
        <v>|BFZ|黒|1|&amp;br;|《[[祭壇の刈り取り]]》|</v>
      </c>
      <c r="B77" t="s">
        <v>3168</v>
      </c>
      <c r="C77" t="str">
        <f t="shared" si="9"/>
        <v>BFZ</v>
      </c>
      <c r="D77" t="str">
        <f>IF(AF77="","",VLOOKUP(C77,tnpl!$Z$1:$AA$11,2,TRUE))</f>
        <v/>
      </c>
      <c r="E77" t="s">
        <v>3168</v>
      </c>
      <c r="F77" t="str">
        <f t="shared" si="10"/>
        <v>黒</v>
      </c>
      <c r="G77" t="str">
        <f>IF(AG77="","",VLOOKUP(F77,tnpl!$X$1:$Y$16,2,TRUE))</f>
        <v/>
      </c>
      <c r="H77" t="s">
        <v>3168</v>
      </c>
      <c r="I77">
        <f t="shared" si="11"/>
        <v>1</v>
      </c>
      <c r="J77" t="s">
        <v>3168</v>
      </c>
      <c r="K77">
        <f t="shared" si="12"/>
        <v>0</v>
      </c>
      <c r="L77">
        <f t="shared" si="13"/>
        <v>0</v>
      </c>
      <c r="P77" t="s">
        <v>5607</v>
      </c>
      <c r="R77" t="s">
        <v>3175</v>
      </c>
      <c r="S77" t="s">
        <v>5608</v>
      </c>
      <c r="T77" t="str">
        <f t="shared" si="14"/>
        <v>祭壇の刈り取り</v>
      </c>
      <c r="U77" t="str">
        <f t="shared" si="15"/>
        <v/>
      </c>
      <c r="V77" t="str">
        <f>IF(I77=0,VLOOKUP(T77,Sheet4!A:B,2,TRUE),"")</f>
        <v/>
      </c>
      <c r="W77" t="s">
        <v>4751</v>
      </c>
      <c r="X77" t="s">
        <v>3175</v>
      </c>
      <c r="Z77" s="10" t="s">
        <v>2161</v>
      </c>
      <c r="AH77" s="3">
        <v>327</v>
      </c>
      <c r="AI77" s="2" t="s">
        <v>3170</v>
      </c>
      <c r="AJ77" s="1" t="s">
        <v>1582</v>
      </c>
      <c r="AK77" s="1" t="s">
        <v>1744</v>
      </c>
      <c r="AL77" s="1">
        <v>1</v>
      </c>
      <c r="AM77" s="1" t="s">
        <v>2163</v>
      </c>
      <c r="AN77" s="1" t="s">
        <v>2162</v>
      </c>
      <c r="AO77" s="1" t="s">
        <v>1453</v>
      </c>
      <c r="AP77" s="1"/>
      <c r="AQ77" s="1"/>
      <c r="AR77" s="1"/>
      <c r="AS77" s="1" t="s">
        <v>2161</v>
      </c>
    </row>
    <row r="78" spans="1:45" x14ac:dyDescent="0.15">
      <c r="A78" t="str">
        <f t="shared" si="8"/>
        <v>|BFZ|黒|5|&amp;br;|《[[骨の粉砕]]》|</v>
      </c>
      <c r="B78" t="s">
        <v>3168</v>
      </c>
      <c r="C78" t="str">
        <f t="shared" si="9"/>
        <v>BFZ</v>
      </c>
      <c r="D78" t="str">
        <f>IF(AF78="","",VLOOKUP(C78,tnpl!$Z$1:$AA$11,2,TRUE))</f>
        <v/>
      </c>
      <c r="E78" t="s">
        <v>3168</v>
      </c>
      <c r="F78" t="str">
        <f t="shared" si="10"/>
        <v>黒</v>
      </c>
      <c r="G78" t="str">
        <f>IF(AG78="","",VLOOKUP(F78,tnpl!$X$1:$Y$16,2,TRUE))</f>
        <v/>
      </c>
      <c r="H78" t="s">
        <v>3168</v>
      </c>
      <c r="I78">
        <f t="shared" si="11"/>
        <v>5</v>
      </c>
      <c r="J78" t="s">
        <v>3168</v>
      </c>
      <c r="K78">
        <f t="shared" si="12"/>
        <v>0</v>
      </c>
      <c r="L78">
        <f t="shared" si="13"/>
        <v>0</v>
      </c>
      <c r="P78" t="s">
        <v>5607</v>
      </c>
      <c r="R78" t="s">
        <v>3175</v>
      </c>
      <c r="S78" t="s">
        <v>5608</v>
      </c>
      <c r="T78" t="str">
        <f t="shared" si="14"/>
        <v>骨の粉砕</v>
      </c>
      <c r="U78" t="str">
        <f t="shared" si="15"/>
        <v/>
      </c>
      <c r="V78" t="str">
        <f>IF(I78=0,VLOOKUP(T78,Sheet4!A:B,2,TRUE),"")</f>
        <v/>
      </c>
      <c r="W78" t="s">
        <v>4751</v>
      </c>
      <c r="X78" t="s">
        <v>3175</v>
      </c>
      <c r="Z78" s="10" t="s">
        <v>2158</v>
      </c>
      <c r="AH78" s="3">
        <v>328</v>
      </c>
      <c r="AI78" s="2" t="s">
        <v>3170</v>
      </c>
      <c r="AJ78" s="1" t="s">
        <v>1582</v>
      </c>
      <c r="AK78" s="1" t="s">
        <v>1744</v>
      </c>
      <c r="AL78" s="1">
        <v>5</v>
      </c>
      <c r="AM78" s="1" t="s">
        <v>2160</v>
      </c>
      <c r="AN78" s="1" t="s">
        <v>2159</v>
      </c>
      <c r="AO78" s="1" t="s">
        <v>1453</v>
      </c>
      <c r="AP78" s="1"/>
      <c r="AQ78" s="1"/>
      <c r="AR78" s="1"/>
      <c r="AS78" s="1" t="s">
        <v>2158</v>
      </c>
    </row>
    <row r="79" spans="1:45" x14ac:dyDescent="0.15">
      <c r="A79" t="str">
        <f t="shared" si="8"/>
        <v>|BFZ|黒|4|&amp;br;|《[[完全無視]]》|</v>
      </c>
      <c r="B79" t="s">
        <v>3168</v>
      </c>
      <c r="C79" t="str">
        <f t="shared" si="9"/>
        <v>BFZ</v>
      </c>
      <c r="D79" t="str">
        <f>IF(AF79="","",VLOOKUP(C79,tnpl!$Z$1:$AA$11,2,TRUE))</f>
        <v/>
      </c>
      <c r="E79" t="s">
        <v>3168</v>
      </c>
      <c r="F79" t="str">
        <f t="shared" si="10"/>
        <v>黒</v>
      </c>
      <c r="G79" t="str">
        <f>IF(AG79="","",VLOOKUP(F79,tnpl!$X$1:$Y$16,2,TRUE))</f>
        <v/>
      </c>
      <c r="H79" t="s">
        <v>3168</v>
      </c>
      <c r="I79">
        <f t="shared" si="11"/>
        <v>4</v>
      </c>
      <c r="J79" t="s">
        <v>3168</v>
      </c>
      <c r="K79">
        <f t="shared" si="12"/>
        <v>0</v>
      </c>
      <c r="L79">
        <f t="shared" si="13"/>
        <v>0</v>
      </c>
      <c r="P79" t="s">
        <v>5607</v>
      </c>
      <c r="R79" t="s">
        <v>3175</v>
      </c>
      <c r="S79" t="s">
        <v>5608</v>
      </c>
      <c r="T79" t="str">
        <f t="shared" si="14"/>
        <v>完全無視</v>
      </c>
      <c r="U79" t="str">
        <f t="shared" si="15"/>
        <v/>
      </c>
      <c r="V79" t="str">
        <f>IF(I79=0,VLOOKUP(T79,Sheet4!A:B,2,TRUE),"")</f>
        <v/>
      </c>
      <c r="W79" t="s">
        <v>4751</v>
      </c>
      <c r="X79" t="s">
        <v>3175</v>
      </c>
      <c r="Z79" s="10" t="s">
        <v>3345</v>
      </c>
      <c r="AH79" s="3">
        <v>329</v>
      </c>
      <c r="AI79" s="2" t="s">
        <v>3170</v>
      </c>
      <c r="AJ79" s="1" t="s">
        <v>1582</v>
      </c>
      <c r="AK79" s="1" t="s">
        <v>1744</v>
      </c>
      <c r="AL79" s="1">
        <v>4</v>
      </c>
      <c r="AM79" s="1" t="s">
        <v>2157</v>
      </c>
      <c r="AN79" s="1" t="s">
        <v>2156</v>
      </c>
      <c r="AO79" s="1" t="s">
        <v>1453</v>
      </c>
      <c r="AP79" s="1"/>
      <c r="AQ79" s="1"/>
      <c r="AR79" s="1"/>
      <c r="AS79" s="1" t="s">
        <v>3345</v>
      </c>
    </row>
    <row r="80" spans="1:45" x14ac:dyDescent="0.15">
      <c r="A80" t="str">
        <f t="shared" si="8"/>
        <v>|BFZ|黒|5|&amp;br;|《[[荒廃の一掴み]]》|</v>
      </c>
      <c r="B80" t="s">
        <v>3168</v>
      </c>
      <c r="C80" t="str">
        <f t="shared" si="9"/>
        <v>BFZ</v>
      </c>
      <c r="D80" t="str">
        <f>IF(AF80="","",VLOOKUP(C80,tnpl!$Z$1:$AA$11,2,TRUE))</f>
        <v/>
      </c>
      <c r="E80" t="s">
        <v>3168</v>
      </c>
      <c r="F80" t="str">
        <f t="shared" si="10"/>
        <v>黒</v>
      </c>
      <c r="G80" t="str">
        <f>IF(AG80="","",VLOOKUP(F80,tnpl!$X$1:$Y$16,2,TRUE))</f>
        <v/>
      </c>
      <c r="H80" t="s">
        <v>3168</v>
      </c>
      <c r="I80">
        <f t="shared" si="11"/>
        <v>5</v>
      </c>
      <c r="J80" t="s">
        <v>3168</v>
      </c>
      <c r="K80">
        <f t="shared" si="12"/>
        <v>0</v>
      </c>
      <c r="L80">
        <f t="shared" si="13"/>
        <v>0</v>
      </c>
      <c r="P80" t="s">
        <v>5607</v>
      </c>
      <c r="R80" t="s">
        <v>3175</v>
      </c>
      <c r="S80" t="s">
        <v>5608</v>
      </c>
      <c r="T80" t="str">
        <f t="shared" si="14"/>
        <v>荒廃の一掴み</v>
      </c>
      <c r="U80" t="str">
        <f t="shared" si="15"/>
        <v/>
      </c>
      <c r="V80" t="str">
        <f>IF(I80=0,VLOOKUP(T80,Sheet4!A:B,2,TRUE),"")</f>
        <v/>
      </c>
      <c r="W80" t="s">
        <v>4751</v>
      </c>
      <c r="X80" t="s">
        <v>3175</v>
      </c>
      <c r="Z80" s="10" t="s">
        <v>3351</v>
      </c>
      <c r="AH80" s="3">
        <v>340</v>
      </c>
      <c r="AI80" s="2" t="s">
        <v>3170</v>
      </c>
      <c r="AJ80" s="1" t="s">
        <v>1582</v>
      </c>
      <c r="AK80" s="1" t="s">
        <v>1451</v>
      </c>
      <c r="AL80" s="1">
        <v>5</v>
      </c>
      <c r="AM80" s="1" t="s">
        <v>2120</v>
      </c>
      <c r="AN80" s="1" t="s">
        <v>2119</v>
      </c>
      <c r="AO80" s="1" t="s">
        <v>1453</v>
      </c>
      <c r="AP80" s="1"/>
      <c r="AQ80" s="1"/>
      <c r="AR80" s="1"/>
      <c r="AS80" s="1" t="s">
        <v>3351</v>
      </c>
    </row>
    <row r="81" spans="1:49" x14ac:dyDescent="0.15">
      <c r="A81" t="str">
        <f t="shared" si="8"/>
        <v>|BFZ|黒|5|&amp;br;|《[[破滅の道]]》|</v>
      </c>
      <c r="B81" t="s">
        <v>3168</v>
      </c>
      <c r="C81" t="str">
        <f t="shared" si="9"/>
        <v>BFZ</v>
      </c>
      <c r="D81" t="str">
        <f>IF(AF81="","",VLOOKUP(C81,tnpl!$Z$1:$AA$11,2,TRUE))</f>
        <v/>
      </c>
      <c r="E81" t="s">
        <v>3168</v>
      </c>
      <c r="F81" t="str">
        <f t="shared" si="10"/>
        <v>黒</v>
      </c>
      <c r="G81" t="str">
        <f>IF(AG81="","",VLOOKUP(F81,tnpl!$X$1:$Y$16,2,TRUE))</f>
        <v/>
      </c>
      <c r="H81" t="s">
        <v>3168</v>
      </c>
      <c r="I81">
        <f t="shared" si="11"/>
        <v>5</v>
      </c>
      <c r="J81" t="s">
        <v>3168</v>
      </c>
      <c r="K81">
        <f t="shared" si="12"/>
        <v>0</v>
      </c>
      <c r="L81">
        <f t="shared" si="13"/>
        <v>0</v>
      </c>
      <c r="P81" t="s">
        <v>5607</v>
      </c>
      <c r="R81" t="s">
        <v>3175</v>
      </c>
      <c r="S81" t="s">
        <v>5608</v>
      </c>
      <c r="T81" t="str">
        <f t="shared" si="14"/>
        <v>破滅の道</v>
      </c>
      <c r="U81" t="str">
        <f t="shared" si="15"/>
        <v/>
      </c>
      <c r="V81" t="str">
        <f>IF(I81=0,VLOOKUP(T81,Sheet4!A:B,2,TRUE),"")</f>
        <v/>
      </c>
      <c r="W81" t="s">
        <v>4751</v>
      </c>
      <c r="X81" t="s">
        <v>3175</v>
      </c>
      <c r="Z81" s="10" t="s">
        <v>2084</v>
      </c>
      <c r="AH81" s="3">
        <v>349</v>
      </c>
      <c r="AI81" s="2" t="s">
        <v>3170</v>
      </c>
      <c r="AJ81" s="1" t="s">
        <v>1582</v>
      </c>
      <c r="AK81" s="1" t="s">
        <v>1441</v>
      </c>
      <c r="AL81" s="1">
        <v>5</v>
      </c>
      <c r="AM81" s="1" t="s">
        <v>2088</v>
      </c>
      <c r="AN81" s="1" t="s">
        <v>2087</v>
      </c>
      <c r="AO81" s="1" t="s">
        <v>1453</v>
      </c>
      <c r="AP81" s="1"/>
      <c r="AQ81" s="1"/>
      <c r="AR81" s="1"/>
      <c r="AS81" s="1" t="s">
        <v>2084</v>
      </c>
    </row>
    <row r="82" spans="1:49" x14ac:dyDescent="0.15">
      <c r="A82" t="str">
        <f t="shared" si="8"/>
        <v>|BFZ|緑|4|&amp;br;|《[[垂直落下]]》|</v>
      </c>
      <c r="B82" t="s">
        <v>3168</v>
      </c>
      <c r="C82" t="str">
        <f t="shared" si="9"/>
        <v>BFZ</v>
      </c>
      <c r="D82" t="str">
        <f>IF(AF82="","",VLOOKUP(C82,tnpl!$Z$1:$AA$11,2,TRUE))</f>
        <v/>
      </c>
      <c r="E82" t="s">
        <v>3168</v>
      </c>
      <c r="F82" t="str">
        <f t="shared" si="10"/>
        <v>緑</v>
      </c>
      <c r="G82" t="str">
        <f>IF(AG82="","",VLOOKUP(F82,tnpl!$X$1:$Y$16,2,TRUE))</f>
        <v/>
      </c>
      <c r="H82" t="s">
        <v>3168</v>
      </c>
      <c r="I82">
        <f t="shared" si="11"/>
        <v>4</v>
      </c>
      <c r="J82" t="s">
        <v>3168</v>
      </c>
      <c r="K82">
        <f t="shared" si="12"/>
        <v>0</v>
      </c>
      <c r="L82">
        <f t="shared" si="13"/>
        <v>0</v>
      </c>
      <c r="P82" t="s">
        <v>5607</v>
      </c>
      <c r="R82" t="s">
        <v>3175</v>
      </c>
      <c r="S82" t="s">
        <v>5608</v>
      </c>
      <c r="T82" t="str">
        <f t="shared" si="14"/>
        <v>垂直落下</v>
      </c>
      <c r="U82" t="str">
        <f t="shared" si="15"/>
        <v/>
      </c>
      <c r="V82" t="str">
        <f>IF(I82=0,VLOOKUP(T82,Sheet4!A:B,2,TRUE),"")</f>
        <v/>
      </c>
      <c r="W82" t="s">
        <v>4751</v>
      </c>
      <c r="X82" t="s">
        <v>3175</v>
      </c>
      <c r="Z82" s="10" t="s">
        <v>1913</v>
      </c>
      <c r="AH82" s="3">
        <v>404</v>
      </c>
      <c r="AI82" s="2" t="s">
        <v>3170</v>
      </c>
      <c r="AJ82" s="1" t="s">
        <v>1518</v>
      </c>
      <c r="AK82" s="1" t="s">
        <v>1744</v>
      </c>
      <c r="AL82" s="1">
        <v>4</v>
      </c>
      <c r="AM82" s="1" t="s">
        <v>1915</v>
      </c>
      <c r="AN82" s="1" t="s">
        <v>1914</v>
      </c>
      <c r="AO82" s="1" t="s">
        <v>1453</v>
      </c>
      <c r="AP82" s="1"/>
      <c r="AQ82" s="1"/>
      <c r="AR82" s="1"/>
      <c r="AS82" s="1" t="s">
        <v>1913</v>
      </c>
    </row>
    <row r="83" spans="1:49" x14ac:dyDescent="0.15">
      <c r="A83" t="str">
        <f t="shared" si="8"/>
        <v>|BFZ|無色|12|&amp;br;|《[[存在の一掃]]》|</v>
      </c>
      <c r="B83" t="s">
        <v>3168</v>
      </c>
      <c r="C83" t="str">
        <f t="shared" si="9"/>
        <v>BFZ</v>
      </c>
      <c r="D83" t="str">
        <f>IF(AF83="","",VLOOKUP(C83,tnpl!$Z$1:$AA$11,2,TRUE))</f>
        <v/>
      </c>
      <c r="E83" t="s">
        <v>3168</v>
      </c>
      <c r="F83" t="str">
        <f t="shared" si="10"/>
        <v>無色</v>
      </c>
      <c r="G83" t="str">
        <f>IF(AG83="","",VLOOKUP(F83,tnpl!$X$1:$Y$16,2,TRUE))</f>
        <v/>
      </c>
      <c r="H83" t="s">
        <v>3168</v>
      </c>
      <c r="I83">
        <f t="shared" si="11"/>
        <v>12</v>
      </c>
      <c r="J83" t="s">
        <v>3168</v>
      </c>
      <c r="K83">
        <f t="shared" si="12"/>
        <v>0</v>
      </c>
      <c r="L83">
        <f t="shared" si="13"/>
        <v>0</v>
      </c>
      <c r="P83" t="s">
        <v>5607</v>
      </c>
      <c r="R83" t="s">
        <v>3175</v>
      </c>
      <c r="S83" t="s">
        <v>5608</v>
      </c>
      <c r="T83" t="str">
        <f t="shared" si="14"/>
        <v>存在の一掃</v>
      </c>
      <c r="U83" t="str">
        <f t="shared" si="15"/>
        <v/>
      </c>
      <c r="V83" t="str">
        <f>IF(I83=0,VLOOKUP(T83,Sheet4!A:B,2,TRUE),"")</f>
        <v/>
      </c>
      <c r="W83" t="s">
        <v>4751</v>
      </c>
      <c r="X83" t="s">
        <v>3175</v>
      </c>
      <c r="Z83" s="10" t="s">
        <v>1760</v>
      </c>
      <c r="AH83" s="3">
        <v>449</v>
      </c>
      <c r="AI83" s="2" t="s">
        <v>3170</v>
      </c>
      <c r="AJ83" s="1" t="s">
        <v>292</v>
      </c>
      <c r="AK83" s="1" t="s">
        <v>1744</v>
      </c>
      <c r="AL83" s="1">
        <v>12</v>
      </c>
      <c r="AM83" s="1" t="s">
        <v>1762</v>
      </c>
      <c r="AN83" s="1" t="s">
        <v>1761</v>
      </c>
      <c r="AO83" s="1" t="s">
        <v>1453</v>
      </c>
      <c r="AP83" s="1"/>
      <c r="AQ83" s="1"/>
      <c r="AR83" s="1"/>
      <c r="AS83" s="1" t="s">
        <v>1760</v>
      </c>
    </row>
    <row r="84" spans="1:49" x14ac:dyDescent="0.15">
      <c r="A84" t="str">
        <f t="shared" si="8"/>
        <v>|BFZ|無色|2|&amp;br;|《[[タイタンの存在]]》|</v>
      </c>
      <c r="B84" t="s">
        <v>3168</v>
      </c>
      <c r="C84" t="str">
        <f t="shared" si="9"/>
        <v>BFZ</v>
      </c>
      <c r="D84" t="str">
        <f>IF(AF84="","",VLOOKUP(C84,tnpl!$Z$1:$AA$11,2,TRUE))</f>
        <v/>
      </c>
      <c r="E84" t="s">
        <v>3168</v>
      </c>
      <c r="F84" t="str">
        <f t="shared" si="10"/>
        <v>無色</v>
      </c>
      <c r="G84" t="str">
        <f>IF(AG84="","",VLOOKUP(F84,tnpl!$X$1:$Y$16,2,TRUE))</f>
        <v/>
      </c>
      <c r="H84" t="s">
        <v>3168</v>
      </c>
      <c r="I84">
        <f t="shared" si="11"/>
        <v>2</v>
      </c>
      <c r="J84" t="s">
        <v>3168</v>
      </c>
      <c r="K84">
        <f t="shared" si="12"/>
        <v>0</v>
      </c>
      <c r="L84">
        <f t="shared" si="13"/>
        <v>0</v>
      </c>
      <c r="P84" t="s">
        <v>5607</v>
      </c>
      <c r="R84" t="s">
        <v>3175</v>
      </c>
      <c r="S84" t="s">
        <v>5608</v>
      </c>
      <c r="T84" t="str">
        <f t="shared" si="14"/>
        <v>タイタンの存在</v>
      </c>
      <c r="U84" t="str">
        <f t="shared" si="15"/>
        <v/>
      </c>
      <c r="V84" t="str">
        <f>IF(I84=0,VLOOKUP(T84,Sheet4!A:B,2,TRUE),"")</f>
        <v/>
      </c>
      <c r="W84" t="s">
        <v>4751</v>
      </c>
      <c r="X84" t="s">
        <v>3175</v>
      </c>
      <c r="Z84" s="10" t="s">
        <v>1695</v>
      </c>
      <c r="AH84" s="3">
        <v>471</v>
      </c>
      <c r="AI84" s="2" t="s">
        <v>3170</v>
      </c>
      <c r="AJ84" s="1" t="s">
        <v>292</v>
      </c>
      <c r="AK84" s="1" t="s">
        <v>1441</v>
      </c>
      <c r="AL84" s="1">
        <v>2</v>
      </c>
      <c r="AM84" s="1" t="s">
        <v>1697</v>
      </c>
      <c r="AN84" s="1" t="s">
        <v>1696</v>
      </c>
      <c r="AO84" s="1" t="s">
        <v>1453</v>
      </c>
      <c r="AP84" s="1"/>
      <c r="AQ84" s="1"/>
      <c r="AR84" s="1"/>
      <c r="AS84" s="1" t="s">
        <v>1695</v>
      </c>
    </row>
    <row r="85" spans="1:49" x14ac:dyDescent="0.15">
      <c r="A85" t="str">
        <f t="shared" si="8"/>
        <v>|OGW|黒|20|&amp;br;|《[[無情な処罰]]》|</v>
      </c>
      <c r="B85" t="s">
        <v>3168</v>
      </c>
      <c r="C85" t="str">
        <f t="shared" si="9"/>
        <v>OGW</v>
      </c>
      <c r="D85" t="str">
        <f>IF(AF85="","",VLOOKUP(C85,tnpl!$Z$1:$AA$11,2,TRUE))</f>
        <v/>
      </c>
      <c r="E85" t="s">
        <v>3168</v>
      </c>
      <c r="F85" t="str">
        <f t="shared" si="10"/>
        <v>黒</v>
      </c>
      <c r="G85" t="str">
        <f>IF(AG85="","",VLOOKUP(F85,tnpl!$X$1:$Y$16,2,TRUE))</f>
        <v/>
      </c>
      <c r="H85" t="s">
        <v>3168</v>
      </c>
      <c r="I85">
        <f t="shared" si="11"/>
        <v>20</v>
      </c>
      <c r="J85" t="s">
        <v>3168</v>
      </c>
      <c r="K85">
        <f t="shared" si="12"/>
        <v>0</v>
      </c>
      <c r="L85">
        <f t="shared" si="13"/>
        <v>0</v>
      </c>
      <c r="P85" t="s">
        <v>5607</v>
      </c>
      <c r="R85" t="s">
        <v>3175</v>
      </c>
      <c r="S85" t="s">
        <v>5608</v>
      </c>
      <c r="T85" t="str">
        <f t="shared" si="14"/>
        <v>無情な処罰</v>
      </c>
      <c r="U85" t="str">
        <f t="shared" si="15"/>
        <v/>
      </c>
      <c r="V85" t="str">
        <f>IF(I85=0,VLOOKUP(T85,Sheet4!A:B,2,TRUE),"")</f>
        <v/>
      </c>
      <c r="W85" t="s">
        <v>4751</v>
      </c>
      <c r="X85" t="s">
        <v>3175</v>
      </c>
      <c r="Z85" s="10" t="s">
        <v>1587</v>
      </c>
      <c r="AH85" s="3">
        <v>501</v>
      </c>
      <c r="AI85" s="2" t="s">
        <v>3171</v>
      </c>
      <c r="AJ85" s="1" t="s">
        <v>1582</v>
      </c>
      <c r="AK85" s="1" t="s">
        <v>1441</v>
      </c>
      <c r="AL85" s="1">
        <v>20</v>
      </c>
      <c r="AM85" s="1" t="s">
        <v>1591</v>
      </c>
      <c r="AN85" s="1" t="s">
        <v>1590</v>
      </c>
      <c r="AO85" s="1" t="s">
        <v>1453</v>
      </c>
      <c r="AP85" s="1"/>
      <c r="AQ85" s="1"/>
      <c r="AR85" s="1"/>
      <c r="AS85" s="1" t="s">
        <v>1587</v>
      </c>
    </row>
    <row r="86" spans="1:49" x14ac:dyDescent="0.15">
      <c r="A86" t="str">
        <f>B86&amp;C86&amp;E86&amp;F86&amp;H86&amp;I86&amp;J86&amp;M86&amp;N86&amp;O86&amp;P86&amp;Q86&amp;R86&amp;S86&amp;T86&amp;V86&amp;W86&amp;X86&amp;Y86</f>
        <v/>
      </c>
      <c r="Z86"/>
    </row>
    <row r="87" spans="1:49" x14ac:dyDescent="0.15">
      <c r="A87" t="str">
        <f>B87&amp;C87&amp;E87&amp;F87&amp;H87&amp;I87&amp;J87&amp;M87&amp;N87&amp;O87&amp;P87&amp;Q87&amp;R87&amp;S87&amp;T87&amp;V87&amp;W87&amp;X87&amp;Y87</f>
        <v>**イニストラードを覆う影ブロック</v>
      </c>
      <c r="B87" t="s">
        <v>4752</v>
      </c>
      <c r="C87" t="s">
        <v>4811</v>
      </c>
    </row>
    <row r="88" spans="1:49" x14ac:dyDescent="0.15">
      <c r="A88" t="str">
        <f>B88&amp;C88&amp;E88&amp;F88&amp;H88&amp;I88&amp;J88&amp;M88&amp;N88&amp;O88&amp;P88&amp;Q88&amp;R88&amp;S88&amp;T88&amp;U88&amp;V88&amp;W88&amp;X88&amp;Y88</f>
        <v>|LEFT:50|LEFT:50|LEFT:50|LEFT:250|LEFT:500|c</v>
      </c>
      <c r="B88" t="s">
        <v>3168</v>
      </c>
      <c r="C88" t="s">
        <v>3162</v>
      </c>
      <c r="E88" t="s">
        <v>3168</v>
      </c>
      <c r="F88" t="s">
        <v>3162</v>
      </c>
      <c r="H88" t="s">
        <v>3168</v>
      </c>
      <c r="I88" t="s">
        <v>3162</v>
      </c>
      <c r="J88" t="s">
        <v>3168</v>
      </c>
      <c r="O88" t="s">
        <v>4800</v>
      </c>
      <c r="R88" t="s">
        <v>3175</v>
      </c>
      <c r="T88" t="s">
        <v>3163</v>
      </c>
      <c r="X88" t="s">
        <v>3175</v>
      </c>
      <c r="Y88" t="s">
        <v>3164</v>
      </c>
    </row>
    <row r="89" spans="1:49" x14ac:dyDescent="0.15">
      <c r="A89" t="str">
        <f>B89&amp;C89&amp;E89&amp;F89&amp;H89&amp;I89&amp;J89&amp;M89&amp;N89&amp;O89&amp;P89&amp;Q89&amp;R89&amp;S89&amp;T89&amp;U89&amp;V89&amp;W89&amp;X89&amp;Y89</f>
        <v>|セット|色|コスト|能力|カード名|</v>
      </c>
      <c r="B89" t="s">
        <v>3168</v>
      </c>
      <c r="C89" t="s">
        <v>3169</v>
      </c>
      <c r="E89" t="s">
        <v>3168</v>
      </c>
      <c r="F89" t="s">
        <v>3139</v>
      </c>
      <c r="H89" t="s">
        <v>3168</v>
      </c>
      <c r="I89" t="s">
        <v>3165</v>
      </c>
      <c r="J89" t="s">
        <v>3168</v>
      </c>
      <c r="K89" t="s">
        <v>3126</v>
      </c>
      <c r="L89" t="s">
        <v>3125</v>
      </c>
      <c r="O89" t="s">
        <v>3174</v>
      </c>
      <c r="R89" t="s">
        <v>3175</v>
      </c>
      <c r="T89" t="s">
        <v>3166</v>
      </c>
      <c r="X89" t="s">
        <v>3175</v>
      </c>
      <c r="AE89" t="b">
        <f>OR(AC89="与える",AD89="得る")</f>
        <v>0</v>
      </c>
      <c r="AF89" s="12"/>
      <c r="AG89" s="12"/>
      <c r="AH89" s="12"/>
      <c r="AI89" s="12"/>
      <c r="AJ89" s="12"/>
      <c r="AK89" s="12"/>
      <c r="AL89" s="12"/>
      <c r="AM89" s="12"/>
      <c r="AN89" s="12"/>
      <c r="AO89" s="12"/>
      <c r="AP89" s="12"/>
      <c r="AQ89" s="12"/>
      <c r="AR89" s="12"/>
      <c r="AS89" s="12"/>
      <c r="AT89" s="12"/>
      <c r="AU89" s="12"/>
      <c r="AV89" s="12"/>
      <c r="AW89" s="12"/>
    </row>
    <row r="90" spans="1:49" x14ac:dyDescent="0.15">
      <c r="A90" t="str">
        <f t="shared" si="8"/>
        <v>|SOI|白|8|&amp;br;|《[[粗暴者の貶め]]》|</v>
      </c>
      <c r="B90" t="s">
        <v>3168</v>
      </c>
      <c r="C90" t="str">
        <f t="shared" si="9"/>
        <v>SOI</v>
      </c>
      <c r="D90" t="str">
        <f>IF(AF90="","",VLOOKUP(C90,tnpl!$Z$1:$AA$11,2,TRUE))</f>
        <v/>
      </c>
      <c r="E90" t="s">
        <v>3168</v>
      </c>
      <c r="F90" t="str">
        <f t="shared" si="10"/>
        <v>白</v>
      </c>
      <c r="G90" t="str">
        <f>IF(AG90="","",VLOOKUP(F90,tnpl!$X$1:$Y$16,2,TRUE))</f>
        <v/>
      </c>
      <c r="H90" t="s">
        <v>3168</v>
      </c>
      <c r="I90">
        <f t="shared" si="11"/>
        <v>8</v>
      </c>
      <c r="J90" t="s">
        <v>3168</v>
      </c>
      <c r="K90">
        <f t="shared" si="12"/>
        <v>0</v>
      </c>
      <c r="L90">
        <f t="shared" si="13"/>
        <v>0</v>
      </c>
      <c r="P90" t="s">
        <v>5607</v>
      </c>
      <c r="R90" t="s">
        <v>3175</v>
      </c>
      <c r="S90" t="s">
        <v>5608</v>
      </c>
      <c r="T90" t="str">
        <f t="shared" si="14"/>
        <v>粗暴者の貶め</v>
      </c>
      <c r="U90" t="str">
        <f t="shared" si="15"/>
        <v/>
      </c>
      <c r="V90" t="str">
        <f>IF(I90=0,VLOOKUP(T90,Sheet4!A:B,2,TRUE),"")</f>
        <v/>
      </c>
      <c r="W90" t="s">
        <v>4751</v>
      </c>
      <c r="X90" t="s">
        <v>3175</v>
      </c>
      <c r="Z90" s="10" t="s">
        <v>3466</v>
      </c>
      <c r="AH90" s="3">
        <v>561</v>
      </c>
      <c r="AI90" s="2" t="s">
        <v>3431</v>
      </c>
      <c r="AJ90" s="1" t="s">
        <v>1627</v>
      </c>
      <c r="AK90" s="1" t="s">
        <v>1451</v>
      </c>
      <c r="AL90" s="1">
        <v>8</v>
      </c>
      <c r="AM90" s="1" t="s">
        <v>1385</v>
      </c>
      <c r="AN90" s="1" t="s">
        <v>1384</v>
      </c>
      <c r="AO90" s="1" t="s">
        <v>1453</v>
      </c>
      <c r="AP90" s="1"/>
      <c r="AQ90" s="1"/>
      <c r="AR90" s="1"/>
      <c r="AS90" s="1" t="s">
        <v>3466</v>
      </c>
    </row>
    <row r="91" spans="1:49" x14ac:dyDescent="0.15">
      <c r="A91" t="str">
        <f t="shared" si="8"/>
        <v>|SOI|白|10|&amp;br;|《[[石の宣告]]》|</v>
      </c>
      <c r="B91" t="s">
        <v>3168</v>
      </c>
      <c r="C91" t="str">
        <f t="shared" si="9"/>
        <v>SOI</v>
      </c>
      <c r="D91" t="str">
        <f>IF(AF91="","",VLOOKUP(C91,tnpl!$Z$1:$AA$11,2,TRUE))</f>
        <v/>
      </c>
      <c r="E91" t="s">
        <v>3168</v>
      </c>
      <c r="F91" t="str">
        <f t="shared" si="10"/>
        <v>白</v>
      </c>
      <c r="G91" t="str">
        <f>IF(AG91="","",VLOOKUP(F91,tnpl!$X$1:$Y$16,2,TRUE))</f>
        <v/>
      </c>
      <c r="H91" t="s">
        <v>3168</v>
      </c>
      <c r="I91">
        <f t="shared" si="11"/>
        <v>10</v>
      </c>
      <c r="J91" t="s">
        <v>3168</v>
      </c>
      <c r="K91">
        <f t="shared" si="12"/>
        <v>0</v>
      </c>
      <c r="L91">
        <f t="shared" si="13"/>
        <v>0</v>
      </c>
      <c r="P91" t="s">
        <v>5607</v>
      </c>
      <c r="R91" t="s">
        <v>3175</v>
      </c>
      <c r="S91" t="s">
        <v>5608</v>
      </c>
      <c r="T91" t="str">
        <f t="shared" si="14"/>
        <v>石の宣告</v>
      </c>
      <c r="U91" t="str">
        <f t="shared" si="15"/>
        <v/>
      </c>
      <c r="V91" t="str">
        <f>IF(I91=0,VLOOKUP(T91,Sheet4!A:B,2,TRUE),"")</f>
        <v/>
      </c>
      <c r="W91" t="s">
        <v>4751</v>
      </c>
      <c r="X91" t="s">
        <v>3175</v>
      </c>
      <c r="Z91" s="10" t="s">
        <v>3481</v>
      </c>
      <c r="AH91" s="3">
        <v>569</v>
      </c>
      <c r="AI91" s="2" t="s">
        <v>3431</v>
      </c>
      <c r="AJ91" s="1" t="s">
        <v>1627</v>
      </c>
      <c r="AK91" s="1" t="s">
        <v>1441</v>
      </c>
      <c r="AL91" s="1">
        <v>10</v>
      </c>
      <c r="AM91" s="1" t="s">
        <v>1371</v>
      </c>
      <c r="AN91" s="1" t="s">
        <v>1370</v>
      </c>
      <c r="AO91" s="1" t="s">
        <v>1453</v>
      </c>
      <c r="AP91" s="1"/>
      <c r="AQ91" s="1"/>
      <c r="AR91" s="1"/>
      <c r="AS91" s="1" t="s">
        <v>3481</v>
      </c>
    </row>
    <row r="92" spans="1:49" x14ac:dyDescent="0.15">
      <c r="A92" t="str">
        <f t="shared" si="8"/>
        <v>|SOI|白|12|&amp;br;|《[[罪人への急襲]]》|</v>
      </c>
      <c r="B92" t="s">
        <v>3168</v>
      </c>
      <c r="C92" t="str">
        <f t="shared" si="9"/>
        <v>SOI</v>
      </c>
      <c r="D92" t="str">
        <f>IF(AF92="","",VLOOKUP(C92,tnpl!$Z$1:$AA$11,2,TRUE))</f>
        <v/>
      </c>
      <c r="E92" t="s">
        <v>3168</v>
      </c>
      <c r="F92" t="str">
        <f t="shared" si="10"/>
        <v>白</v>
      </c>
      <c r="G92" t="str">
        <f>IF(AG92="","",VLOOKUP(F92,tnpl!$X$1:$Y$16,2,TRUE))</f>
        <v/>
      </c>
      <c r="H92" t="s">
        <v>3168</v>
      </c>
      <c r="I92">
        <f t="shared" si="11"/>
        <v>12</v>
      </c>
      <c r="J92" t="s">
        <v>3168</v>
      </c>
      <c r="K92">
        <f t="shared" si="12"/>
        <v>0</v>
      </c>
      <c r="L92">
        <f t="shared" si="13"/>
        <v>0</v>
      </c>
      <c r="P92" t="s">
        <v>5607</v>
      </c>
      <c r="R92" t="s">
        <v>3175</v>
      </c>
      <c r="S92" t="s">
        <v>5608</v>
      </c>
      <c r="T92" t="str">
        <f t="shared" si="14"/>
        <v>罪人への急襲</v>
      </c>
      <c r="U92" t="str">
        <f t="shared" si="15"/>
        <v/>
      </c>
      <c r="V92" t="str">
        <f>IF(I92=0,VLOOKUP(T92,Sheet4!A:B,2,TRUE),"")</f>
        <v/>
      </c>
      <c r="W92" t="s">
        <v>4751</v>
      </c>
      <c r="X92" t="s">
        <v>3175</v>
      </c>
      <c r="Z92" s="10" t="s">
        <v>3495</v>
      </c>
      <c r="AH92" s="3">
        <v>575</v>
      </c>
      <c r="AI92" s="2" t="s">
        <v>3431</v>
      </c>
      <c r="AJ92" s="1" t="s">
        <v>1627</v>
      </c>
      <c r="AK92" s="1" t="s">
        <v>1431</v>
      </c>
      <c r="AL92" s="1">
        <v>12</v>
      </c>
      <c r="AM92" s="1" t="s">
        <v>1361</v>
      </c>
      <c r="AN92" s="1" t="s">
        <v>1360</v>
      </c>
      <c r="AO92" s="1" t="s">
        <v>1453</v>
      </c>
      <c r="AP92" s="1"/>
      <c r="AQ92" s="1"/>
      <c r="AR92" s="1"/>
      <c r="AS92" s="1" t="s">
        <v>3495</v>
      </c>
    </row>
    <row r="93" spans="1:49" x14ac:dyDescent="0.15">
      <c r="A93" t="str">
        <f t="shared" si="8"/>
        <v>|SOI|黒|5|&amp;br;|《[[餌食]]》|</v>
      </c>
      <c r="B93" t="s">
        <v>3168</v>
      </c>
      <c r="C93" t="str">
        <f t="shared" si="9"/>
        <v>SOI</v>
      </c>
      <c r="D93" t="str">
        <f>IF(AF93="","",VLOOKUP(C93,tnpl!$Z$1:$AA$11,2,TRUE))</f>
        <v/>
      </c>
      <c r="E93" t="s">
        <v>3168</v>
      </c>
      <c r="F93" t="str">
        <f t="shared" si="10"/>
        <v>黒</v>
      </c>
      <c r="G93" t="str">
        <f>IF(AG93="","",VLOOKUP(F93,tnpl!$X$1:$Y$16,2,TRUE))</f>
        <v/>
      </c>
      <c r="H93" t="s">
        <v>3168</v>
      </c>
      <c r="I93">
        <f t="shared" si="11"/>
        <v>5</v>
      </c>
      <c r="J93" t="s">
        <v>3168</v>
      </c>
      <c r="K93">
        <f t="shared" si="12"/>
        <v>0</v>
      </c>
      <c r="L93">
        <f t="shared" si="13"/>
        <v>0</v>
      </c>
      <c r="P93" t="s">
        <v>5607</v>
      </c>
      <c r="R93" t="s">
        <v>3175</v>
      </c>
      <c r="S93" t="s">
        <v>5608</v>
      </c>
      <c r="T93" t="str">
        <f t="shared" si="14"/>
        <v>餌食</v>
      </c>
      <c r="U93" t="str">
        <f t="shared" si="15"/>
        <v/>
      </c>
      <c r="V93" t="str">
        <f>IF(I93=0,VLOOKUP(T93,Sheet4!A:B,2,TRUE),"")</f>
        <v/>
      </c>
      <c r="W93" t="s">
        <v>4751</v>
      </c>
      <c r="X93" t="s">
        <v>3175</v>
      </c>
      <c r="Z93" s="10" t="s">
        <v>3595</v>
      </c>
      <c r="AH93" s="3">
        <v>639</v>
      </c>
      <c r="AI93" s="2" t="s">
        <v>3431</v>
      </c>
      <c r="AJ93" s="1" t="s">
        <v>1582</v>
      </c>
      <c r="AK93" s="1" t="s">
        <v>1441</v>
      </c>
      <c r="AL93" s="1">
        <v>5</v>
      </c>
      <c r="AM93" s="1" t="s">
        <v>1249</v>
      </c>
      <c r="AN93" s="1" t="s">
        <v>1248</v>
      </c>
      <c r="AO93" s="1" t="s">
        <v>1453</v>
      </c>
      <c r="AP93" s="1"/>
      <c r="AQ93" s="1"/>
      <c r="AR93" s="1"/>
      <c r="AS93" s="1" t="s">
        <v>3595</v>
      </c>
    </row>
    <row r="94" spans="1:49" x14ac:dyDescent="0.15">
      <c r="A94" t="str">
        <f t="shared" si="8"/>
        <v>|SOI|白黒|12|&amp;br;|《[[苦渋の破棄]]》|</v>
      </c>
      <c r="B94" t="s">
        <v>3168</v>
      </c>
      <c r="C94" t="str">
        <f t="shared" si="9"/>
        <v>SOI</v>
      </c>
      <c r="D94" t="str">
        <f>IF(AF94="","",VLOOKUP(C94,tnpl!$Z$1:$AA$11,2,TRUE))</f>
        <v/>
      </c>
      <c r="E94" t="s">
        <v>3168</v>
      </c>
      <c r="F94" t="str">
        <f t="shared" si="10"/>
        <v>白黒</v>
      </c>
      <c r="G94" t="str">
        <f>IF(AG94="","",VLOOKUP(F94,tnpl!$X$1:$Y$16,2,TRUE))</f>
        <v/>
      </c>
      <c r="H94" t="s">
        <v>3168</v>
      </c>
      <c r="I94">
        <f t="shared" si="11"/>
        <v>12</v>
      </c>
      <c r="J94" t="s">
        <v>3168</v>
      </c>
      <c r="K94">
        <f t="shared" si="12"/>
        <v>0</v>
      </c>
      <c r="L94">
        <f t="shared" si="13"/>
        <v>0</v>
      </c>
      <c r="P94" t="s">
        <v>5607</v>
      </c>
      <c r="R94" t="s">
        <v>3175</v>
      </c>
      <c r="S94" t="s">
        <v>5608</v>
      </c>
      <c r="T94" t="str">
        <f t="shared" si="14"/>
        <v>苦渋の破棄</v>
      </c>
      <c r="U94" t="str">
        <f t="shared" si="15"/>
        <v/>
      </c>
      <c r="V94" t="str">
        <f>IF(I94=0,VLOOKUP(T94,Sheet4!A:B,2,TRUE),"")</f>
        <v/>
      </c>
      <c r="W94" t="s">
        <v>4751</v>
      </c>
      <c r="X94" t="s">
        <v>3175</v>
      </c>
      <c r="Z94" s="10" t="s">
        <v>3715</v>
      </c>
      <c r="AH94" s="3">
        <v>718</v>
      </c>
      <c r="AI94" s="2" t="s">
        <v>3431</v>
      </c>
      <c r="AJ94" s="1" t="s">
        <v>1474</v>
      </c>
      <c r="AK94" s="1" t="s">
        <v>1441</v>
      </c>
      <c r="AL94" s="1">
        <v>12</v>
      </c>
      <c r="AM94" s="1" t="s">
        <v>1116</v>
      </c>
      <c r="AN94" s="1" t="s">
        <v>1115</v>
      </c>
      <c r="AO94" s="1" t="s">
        <v>1453</v>
      </c>
      <c r="AP94" s="1"/>
      <c r="AQ94" s="1"/>
      <c r="AR94" s="1"/>
      <c r="AS94" s="1" t="s">
        <v>3715</v>
      </c>
    </row>
    <row r="95" spans="1:49" x14ac:dyDescent="0.15">
      <c r="A95" t="str">
        <f t="shared" si="8"/>
        <v>|EMN|青|3|&amp;br;|《[[月への封印]]》|</v>
      </c>
      <c r="B95" t="s">
        <v>3168</v>
      </c>
      <c r="C95" t="str">
        <f t="shared" si="9"/>
        <v>EMN</v>
      </c>
      <c r="D95" t="str">
        <f>IF(AF95="","",VLOOKUP(C95,tnpl!$Z$1:$AA$11,2,TRUE))</f>
        <v/>
      </c>
      <c r="E95" t="s">
        <v>3168</v>
      </c>
      <c r="F95" t="str">
        <f t="shared" si="10"/>
        <v>青</v>
      </c>
      <c r="G95" t="str">
        <f>IF(AG95="","",VLOOKUP(F95,tnpl!$X$1:$Y$16,2,TRUE))</f>
        <v/>
      </c>
      <c r="H95" t="s">
        <v>3168</v>
      </c>
      <c r="I95">
        <f t="shared" si="11"/>
        <v>3</v>
      </c>
      <c r="J95" t="s">
        <v>3168</v>
      </c>
      <c r="K95">
        <f t="shared" si="12"/>
        <v>0</v>
      </c>
      <c r="L95">
        <f t="shared" si="13"/>
        <v>0</v>
      </c>
      <c r="P95" t="s">
        <v>5607</v>
      </c>
      <c r="R95" t="s">
        <v>3175</v>
      </c>
      <c r="S95" t="s">
        <v>5608</v>
      </c>
      <c r="T95" t="str">
        <f t="shared" si="14"/>
        <v>月への封印</v>
      </c>
      <c r="U95" t="str">
        <f t="shared" si="15"/>
        <v/>
      </c>
      <c r="V95" t="str">
        <f>IF(I95=0,VLOOKUP(T95,Sheet4!A:B,2,TRUE),"")</f>
        <v/>
      </c>
      <c r="W95" t="s">
        <v>4751</v>
      </c>
      <c r="X95" t="s">
        <v>3175</v>
      </c>
      <c r="Z95" s="10" t="s">
        <v>3822</v>
      </c>
      <c r="AH95" s="3">
        <v>776</v>
      </c>
      <c r="AI95" s="2" t="s">
        <v>3773</v>
      </c>
      <c r="AJ95" s="1" t="s">
        <v>1606</v>
      </c>
      <c r="AK95" s="1" t="s">
        <v>1441</v>
      </c>
      <c r="AL95" s="1">
        <v>3</v>
      </c>
      <c r="AM95" s="1" t="s">
        <v>960</v>
      </c>
      <c r="AN95" s="1" t="s">
        <v>959</v>
      </c>
      <c r="AO95" s="1" t="s">
        <v>1453</v>
      </c>
      <c r="AP95" s="1"/>
      <c r="AQ95" s="1"/>
      <c r="AR95" s="1"/>
      <c r="AS95" s="1" t="s">
        <v>3822</v>
      </c>
    </row>
    <row r="96" spans="1:49" x14ac:dyDescent="0.15">
      <c r="A96" t="str">
        <f t="shared" si="8"/>
        <v>|EMN|黒|10|&amp;br;|《[[無情な処分]]》|</v>
      </c>
      <c r="B96" t="s">
        <v>3168</v>
      </c>
      <c r="C96" t="str">
        <f t="shared" si="9"/>
        <v>EMN</v>
      </c>
      <c r="D96" t="str">
        <f>IF(AF96="","",VLOOKUP(C96,tnpl!$Z$1:$AA$11,2,TRUE))</f>
        <v/>
      </c>
      <c r="E96" t="s">
        <v>3168</v>
      </c>
      <c r="F96" t="str">
        <f t="shared" si="10"/>
        <v>黒</v>
      </c>
      <c r="G96" t="str">
        <f>IF(AG96="","",VLOOKUP(F96,tnpl!$X$1:$Y$16,2,TRUE))</f>
        <v/>
      </c>
      <c r="H96" t="s">
        <v>3168</v>
      </c>
      <c r="I96">
        <f t="shared" si="11"/>
        <v>10</v>
      </c>
      <c r="J96" t="s">
        <v>3168</v>
      </c>
      <c r="K96">
        <f t="shared" si="12"/>
        <v>0</v>
      </c>
      <c r="L96">
        <f t="shared" si="13"/>
        <v>0</v>
      </c>
      <c r="P96" t="s">
        <v>5607</v>
      </c>
      <c r="R96" t="s">
        <v>3175</v>
      </c>
      <c r="S96" t="s">
        <v>5608</v>
      </c>
      <c r="T96" t="str">
        <f t="shared" si="14"/>
        <v>無情な処分</v>
      </c>
      <c r="U96" t="str">
        <f t="shared" si="15"/>
        <v/>
      </c>
      <c r="V96" t="str">
        <f>IF(I96=0,VLOOKUP(T96,Sheet4!A:B,2,TRUE),"")</f>
        <v/>
      </c>
      <c r="W96" t="s">
        <v>4751</v>
      </c>
      <c r="X96" t="s">
        <v>3175</v>
      </c>
      <c r="Z96" s="10" t="s">
        <v>3838</v>
      </c>
      <c r="AH96" s="3">
        <v>784</v>
      </c>
      <c r="AI96" s="2" t="s">
        <v>3773</v>
      </c>
      <c r="AJ96" s="1" t="s">
        <v>1582</v>
      </c>
      <c r="AK96" s="1" t="s">
        <v>1451</v>
      </c>
      <c r="AL96" s="1">
        <v>10</v>
      </c>
      <c r="AM96" s="1" t="s">
        <v>946</v>
      </c>
      <c r="AN96" s="1" t="s">
        <v>945</v>
      </c>
      <c r="AO96" s="1" t="s">
        <v>1453</v>
      </c>
      <c r="AP96" s="1"/>
      <c r="AQ96" s="1"/>
      <c r="AR96" s="1"/>
      <c r="AS96" s="1" t="s">
        <v>3838</v>
      </c>
    </row>
    <row r="97" spans="1:49" x14ac:dyDescent="0.15">
      <c r="A97" t="str">
        <f>B97&amp;C97&amp;E97&amp;F97&amp;H97&amp;I97&amp;J97&amp;M97&amp;N97&amp;O97&amp;P97&amp;Q97&amp;R97&amp;S97&amp;T97&amp;V97&amp;W97&amp;X97&amp;Y97</f>
        <v/>
      </c>
      <c r="Z97"/>
    </row>
    <row r="98" spans="1:49" x14ac:dyDescent="0.15">
      <c r="A98" t="str">
        <f>B98&amp;C98&amp;E98&amp;F98&amp;H98&amp;I98&amp;J98&amp;M98&amp;N98&amp;O98&amp;P98&amp;Q98&amp;R98&amp;S98&amp;T98&amp;V98&amp;W98&amp;X98&amp;Y98</f>
        <v>**カラデシュブロック</v>
      </c>
      <c r="B98" t="s">
        <v>4752</v>
      </c>
      <c r="C98" t="s">
        <v>4812</v>
      </c>
    </row>
    <row r="99" spans="1:49" x14ac:dyDescent="0.15">
      <c r="A99" t="str">
        <f>B99&amp;C99&amp;E99&amp;F99&amp;H99&amp;I99&amp;J99&amp;M99&amp;N99&amp;O99&amp;P99&amp;Q99&amp;R99&amp;S99&amp;T99&amp;U99&amp;V99&amp;W99&amp;X99&amp;Y99</f>
        <v>|LEFT:50|LEFT:50|LEFT:50|LEFT:250|LEFT:500|c</v>
      </c>
      <c r="B99" t="s">
        <v>3168</v>
      </c>
      <c r="C99" t="s">
        <v>3162</v>
      </c>
      <c r="E99" t="s">
        <v>3168</v>
      </c>
      <c r="F99" t="s">
        <v>3162</v>
      </c>
      <c r="H99" t="s">
        <v>3168</v>
      </c>
      <c r="I99" t="s">
        <v>3162</v>
      </c>
      <c r="J99" t="s">
        <v>3168</v>
      </c>
      <c r="O99" t="s">
        <v>4800</v>
      </c>
      <c r="R99" t="s">
        <v>3175</v>
      </c>
      <c r="T99" t="s">
        <v>3163</v>
      </c>
      <c r="X99" t="s">
        <v>3175</v>
      </c>
      <c r="Y99" t="s">
        <v>3164</v>
      </c>
    </row>
    <row r="100" spans="1:49" x14ac:dyDescent="0.15">
      <c r="A100" t="str">
        <f>B100&amp;C100&amp;E100&amp;F100&amp;H100&amp;I100&amp;J100&amp;M100&amp;N100&amp;O100&amp;P100&amp;Q100&amp;R100&amp;S100&amp;T100&amp;U100&amp;V100&amp;W100&amp;X100&amp;Y100</f>
        <v>|セット|色|コスト|能力|カード名|</v>
      </c>
      <c r="B100" t="s">
        <v>3168</v>
      </c>
      <c r="C100" t="s">
        <v>3169</v>
      </c>
      <c r="E100" t="s">
        <v>3168</v>
      </c>
      <c r="F100" t="s">
        <v>3139</v>
      </c>
      <c r="H100" t="s">
        <v>3168</v>
      </c>
      <c r="I100" t="s">
        <v>3165</v>
      </c>
      <c r="J100" t="s">
        <v>3168</v>
      </c>
      <c r="K100" t="s">
        <v>3126</v>
      </c>
      <c r="L100" t="s">
        <v>3125</v>
      </c>
      <c r="O100" t="s">
        <v>3174</v>
      </c>
      <c r="R100" t="s">
        <v>3175</v>
      </c>
      <c r="T100" t="s">
        <v>3166</v>
      </c>
      <c r="X100" t="s">
        <v>3175</v>
      </c>
      <c r="AE100" t="b">
        <f>OR(AC100="与える",AD100="得る")</f>
        <v>0</v>
      </c>
      <c r="AF100" s="12"/>
      <c r="AG100" s="12"/>
      <c r="AH100" s="12"/>
      <c r="AI100" s="12"/>
      <c r="AJ100" s="12"/>
      <c r="AK100" s="12"/>
      <c r="AL100" s="12"/>
      <c r="AM100" s="12"/>
      <c r="AN100" s="12"/>
      <c r="AO100" s="12"/>
      <c r="AP100" s="12"/>
      <c r="AQ100" s="12"/>
      <c r="AR100" s="12"/>
      <c r="AS100" s="12"/>
      <c r="AT100" s="12"/>
      <c r="AU100" s="12"/>
      <c r="AV100" s="12"/>
      <c r="AW100" s="12"/>
    </row>
    <row r="101" spans="1:49" x14ac:dyDescent="0.15">
      <c r="A101" t="str">
        <f t="shared" si="8"/>
        <v>|KLD|白|13|&amp;br;|《[[空鯨捕りの一撃]]》|</v>
      </c>
      <c r="B101" t="s">
        <v>3168</v>
      </c>
      <c r="C101" t="str">
        <f t="shared" si="9"/>
        <v>KLD</v>
      </c>
      <c r="D101" t="str">
        <f>IF(AF101="","",VLOOKUP(C101,tnpl!$Z$1:$AA$11,2,TRUE))</f>
        <v/>
      </c>
      <c r="E101" t="s">
        <v>3168</v>
      </c>
      <c r="F101" t="str">
        <f t="shared" si="10"/>
        <v>白</v>
      </c>
      <c r="G101" t="str">
        <f>IF(AG101="","",VLOOKUP(F101,tnpl!$X$1:$Y$16,2,TRUE))</f>
        <v/>
      </c>
      <c r="H101" t="s">
        <v>3168</v>
      </c>
      <c r="I101">
        <f t="shared" si="11"/>
        <v>13</v>
      </c>
      <c r="J101" t="s">
        <v>3168</v>
      </c>
      <c r="K101">
        <f t="shared" si="12"/>
        <v>0</v>
      </c>
      <c r="L101">
        <f t="shared" si="13"/>
        <v>0</v>
      </c>
      <c r="P101" t="s">
        <v>5607</v>
      </c>
      <c r="R101" t="s">
        <v>3175</v>
      </c>
      <c r="S101" t="s">
        <v>5608</v>
      </c>
      <c r="T101" t="str">
        <f t="shared" si="14"/>
        <v>空鯨捕りの一撃</v>
      </c>
      <c r="U101" t="str">
        <f t="shared" si="15"/>
        <v/>
      </c>
      <c r="V101" t="str">
        <f>IF(I101=0,VLOOKUP(T101,Sheet4!A:B,2,TRUE),"")</f>
        <v/>
      </c>
      <c r="W101" t="s">
        <v>4751</v>
      </c>
      <c r="X101" t="s">
        <v>3175</v>
      </c>
      <c r="Z101" s="10" t="s">
        <v>3961</v>
      </c>
      <c r="AH101" s="3">
        <v>850</v>
      </c>
      <c r="AI101" s="2" t="s">
        <v>3937</v>
      </c>
      <c r="AJ101" s="1" t="s">
        <v>1627</v>
      </c>
      <c r="AK101" s="1" t="s">
        <v>1451</v>
      </c>
      <c r="AL101" s="1">
        <v>13</v>
      </c>
      <c r="AM101" s="1" t="s">
        <v>805</v>
      </c>
      <c r="AN101" s="1" t="s">
        <v>804</v>
      </c>
      <c r="AO101" s="1" t="s">
        <v>1453</v>
      </c>
      <c r="AP101" s="1"/>
      <c r="AQ101" s="1"/>
      <c r="AR101" s="1"/>
      <c r="AS101" s="1" t="s">
        <v>3961</v>
      </c>
    </row>
    <row r="102" spans="1:49" x14ac:dyDescent="0.15">
      <c r="A102" t="str">
        <f t="shared" si="8"/>
        <v>|KLD|白|16|&amp;br;|《[[燻蒸]]》|</v>
      </c>
      <c r="B102" t="s">
        <v>3168</v>
      </c>
      <c r="C102" t="str">
        <f t="shared" si="9"/>
        <v>KLD</v>
      </c>
      <c r="D102" t="str">
        <f>IF(AF102="","",VLOOKUP(C102,tnpl!$Z$1:$AA$11,2,TRUE))</f>
        <v/>
      </c>
      <c r="E102" t="s">
        <v>3168</v>
      </c>
      <c r="F102" t="str">
        <f t="shared" si="10"/>
        <v>白</v>
      </c>
      <c r="G102" t="str">
        <f>IF(AG102="","",VLOOKUP(F102,tnpl!$X$1:$Y$16,2,TRUE))</f>
        <v/>
      </c>
      <c r="H102" t="s">
        <v>3168</v>
      </c>
      <c r="I102">
        <f t="shared" si="11"/>
        <v>16</v>
      </c>
      <c r="J102" t="s">
        <v>3168</v>
      </c>
      <c r="K102">
        <f t="shared" si="12"/>
        <v>0</v>
      </c>
      <c r="L102">
        <f t="shared" si="13"/>
        <v>0</v>
      </c>
      <c r="P102" t="s">
        <v>5607</v>
      </c>
      <c r="R102" t="s">
        <v>3175</v>
      </c>
      <c r="S102" t="s">
        <v>5608</v>
      </c>
      <c r="T102" t="str">
        <f t="shared" si="14"/>
        <v>燻蒸</v>
      </c>
      <c r="U102" t="str">
        <f t="shared" si="15"/>
        <v/>
      </c>
      <c r="V102" t="str">
        <f>IF(I102=0,VLOOKUP(T102,Sheet4!A:B,2,TRUE),"")</f>
        <v/>
      </c>
      <c r="W102" t="s">
        <v>4751</v>
      </c>
      <c r="X102" t="s">
        <v>3175</v>
      </c>
      <c r="Z102" s="10" t="s">
        <v>3493</v>
      </c>
      <c r="AH102" s="3">
        <v>854</v>
      </c>
      <c r="AI102" s="2" t="s">
        <v>3937</v>
      </c>
      <c r="AJ102" s="1" t="s">
        <v>1627</v>
      </c>
      <c r="AK102" s="1" t="s">
        <v>1441</v>
      </c>
      <c r="AL102" s="1">
        <v>16</v>
      </c>
      <c r="AM102" s="1" t="s">
        <v>797</v>
      </c>
      <c r="AN102" s="1" t="s">
        <v>796</v>
      </c>
      <c r="AO102" s="1" t="s">
        <v>1453</v>
      </c>
      <c r="AP102" s="1"/>
      <c r="AQ102" s="1"/>
      <c r="AR102" s="1"/>
      <c r="AS102" s="1" t="s">
        <v>3493</v>
      </c>
    </row>
    <row r="103" spans="1:49" x14ac:dyDescent="0.15">
      <c r="A103" t="str">
        <f t="shared" si="8"/>
        <v>|KLD|黒|10|&amp;br;|《[[当然の結論]]》|</v>
      </c>
      <c r="B103" t="s">
        <v>3168</v>
      </c>
      <c r="C103" t="str">
        <f t="shared" si="9"/>
        <v>KLD</v>
      </c>
      <c r="D103" t="str">
        <f>IF(AF103="","",VLOOKUP(C103,tnpl!$Z$1:$AA$11,2,TRUE))</f>
        <v/>
      </c>
      <c r="E103" t="s">
        <v>3168</v>
      </c>
      <c r="F103" t="str">
        <f t="shared" si="10"/>
        <v>黒</v>
      </c>
      <c r="G103" t="str">
        <f>IF(AG103="","",VLOOKUP(F103,tnpl!$X$1:$Y$16,2,TRUE))</f>
        <v/>
      </c>
      <c r="H103" t="s">
        <v>3168</v>
      </c>
      <c r="I103">
        <f t="shared" si="11"/>
        <v>10</v>
      </c>
      <c r="J103" t="s">
        <v>3168</v>
      </c>
      <c r="K103">
        <f t="shared" si="12"/>
        <v>0</v>
      </c>
      <c r="L103">
        <f t="shared" si="13"/>
        <v>0</v>
      </c>
      <c r="P103" t="s">
        <v>5607</v>
      </c>
      <c r="R103" t="s">
        <v>3175</v>
      </c>
      <c r="S103" t="s">
        <v>5608</v>
      </c>
      <c r="T103" t="str">
        <f t="shared" si="14"/>
        <v>当然の結論</v>
      </c>
      <c r="U103" t="str">
        <f t="shared" si="15"/>
        <v/>
      </c>
      <c r="V103" t="str">
        <f>IF(I103=0,VLOOKUP(T103,Sheet4!A:B,2,TRUE),"")</f>
        <v/>
      </c>
      <c r="W103" t="s">
        <v>4751</v>
      </c>
      <c r="X103" t="s">
        <v>3175</v>
      </c>
      <c r="Z103" s="10" t="s">
        <v>4045</v>
      </c>
      <c r="AH103" s="3">
        <v>898</v>
      </c>
      <c r="AI103" s="2" t="s">
        <v>3937</v>
      </c>
      <c r="AJ103" s="1" t="s">
        <v>1582</v>
      </c>
      <c r="AK103" s="1" t="s">
        <v>1744</v>
      </c>
      <c r="AL103" s="1">
        <v>10</v>
      </c>
      <c r="AM103" s="1" t="s">
        <v>713</v>
      </c>
      <c r="AN103" s="1" t="s">
        <v>712</v>
      </c>
      <c r="AO103" s="1" t="s">
        <v>1453</v>
      </c>
      <c r="AP103" s="1"/>
      <c r="AQ103" s="1"/>
      <c r="AR103" s="1"/>
      <c r="AS103" s="1" t="s">
        <v>4045</v>
      </c>
    </row>
    <row r="104" spans="1:49" x14ac:dyDescent="0.15">
      <c r="A104" t="str">
        <f t="shared" si="8"/>
        <v>|KLD|黒|12|&amp;br;|《[[病的な好奇心]]》|</v>
      </c>
      <c r="B104" t="s">
        <v>3168</v>
      </c>
      <c r="C104" t="str">
        <f t="shared" si="9"/>
        <v>KLD</v>
      </c>
      <c r="D104" t="str">
        <f>IF(AF104="","",VLOOKUP(C104,tnpl!$Z$1:$AA$11,2,TRUE))</f>
        <v/>
      </c>
      <c r="E104" t="s">
        <v>3168</v>
      </c>
      <c r="F104" t="str">
        <f t="shared" si="10"/>
        <v>黒</v>
      </c>
      <c r="G104" t="str">
        <f>IF(AG104="","",VLOOKUP(F104,tnpl!$X$1:$Y$16,2,TRUE))</f>
        <v/>
      </c>
      <c r="H104" t="s">
        <v>3168</v>
      </c>
      <c r="I104">
        <f t="shared" si="11"/>
        <v>12</v>
      </c>
      <c r="J104" t="s">
        <v>3168</v>
      </c>
      <c r="K104">
        <f t="shared" si="12"/>
        <v>0</v>
      </c>
      <c r="L104">
        <f t="shared" si="13"/>
        <v>0</v>
      </c>
      <c r="P104" t="s">
        <v>5607</v>
      </c>
      <c r="R104" t="s">
        <v>3175</v>
      </c>
      <c r="S104" t="s">
        <v>5608</v>
      </c>
      <c r="T104" t="str">
        <f t="shared" si="14"/>
        <v>病的な好奇心</v>
      </c>
      <c r="U104" t="str">
        <f t="shared" si="15"/>
        <v/>
      </c>
      <c r="V104" t="str">
        <f>IF(I104=0,VLOOKUP(T104,Sheet4!A:B,2,TRUE),"")</f>
        <v/>
      </c>
      <c r="W104" t="s">
        <v>4751</v>
      </c>
      <c r="X104" t="s">
        <v>3175</v>
      </c>
      <c r="Z104" s="10" t="s">
        <v>4054</v>
      </c>
      <c r="AH104" s="3">
        <v>904</v>
      </c>
      <c r="AI104" s="2" t="s">
        <v>3937</v>
      </c>
      <c r="AJ104" s="1" t="s">
        <v>1582</v>
      </c>
      <c r="AK104" s="1" t="s">
        <v>1451</v>
      </c>
      <c r="AL104" s="1">
        <v>12</v>
      </c>
      <c r="AM104" s="1" t="s">
        <v>704</v>
      </c>
      <c r="AN104" s="1" t="s">
        <v>703</v>
      </c>
      <c r="AO104" s="1" t="s">
        <v>1453</v>
      </c>
      <c r="AP104" s="1"/>
      <c r="AQ104" s="1"/>
      <c r="AR104" s="1"/>
      <c r="AS104" s="1" t="s">
        <v>4054</v>
      </c>
    </row>
    <row r="105" spans="1:49" x14ac:dyDescent="0.15">
      <c r="A105" t="str">
        <f t="shared" si="8"/>
        <v>|KLD|黒|1|&amp;br;|《[[競争排除]]》|</v>
      </c>
      <c r="B105" t="s">
        <v>3168</v>
      </c>
      <c r="C105" t="str">
        <f t="shared" si="9"/>
        <v>KLD</v>
      </c>
      <c r="D105" t="str">
        <f>IF(AF105="","",VLOOKUP(C105,tnpl!$Z$1:$AA$11,2,TRUE))</f>
        <v/>
      </c>
      <c r="E105" t="s">
        <v>3168</v>
      </c>
      <c r="F105" t="str">
        <f t="shared" si="10"/>
        <v>黒</v>
      </c>
      <c r="G105" t="str">
        <f>IF(AG105="","",VLOOKUP(F105,tnpl!$X$1:$Y$16,2,TRUE))</f>
        <v/>
      </c>
      <c r="H105" t="s">
        <v>3168</v>
      </c>
      <c r="I105">
        <f t="shared" si="11"/>
        <v>1</v>
      </c>
      <c r="J105" t="s">
        <v>3168</v>
      </c>
      <c r="K105">
        <f t="shared" si="12"/>
        <v>0</v>
      </c>
      <c r="L105">
        <f t="shared" si="13"/>
        <v>0</v>
      </c>
      <c r="P105" t="s">
        <v>5607</v>
      </c>
      <c r="R105" t="s">
        <v>3175</v>
      </c>
      <c r="S105" t="s">
        <v>5608</v>
      </c>
      <c r="T105" t="str">
        <f t="shared" si="14"/>
        <v>競争排除</v>
      </c>
      <c r="U105" t="str">
        <f t="shared" si="15"/>
        <v/>
      </c>
      <c r="V105" t="str">
        <f>IF(I105=0,VLOOKUP(T105,Sheet4!A:B,2,TRUE),"")</f>
        <v/>
      </c>
      <c r="W105" t="s">
        <v>4751</v>
      </c>
      <c r="X105" t="s">
        <v>3175</v>
      </c>
      <c r="Z105" s="10" t="s">
        <v>4058</v>
      </c>
      <c r="AH105" s="3">
        <v>907</v>
      </c>
      <c r="AI105" s="2" t="s">
        <v>3937</v>
      </c>
      <c r="AJ105" s="1" t="s">
        <v>1582</v>
      </c>
      <c r="AK105" s="1" t="s">
        <v>1441</v>
      </c>
      <c r="AL105" s="1">
        <v>1</v>
      </c>
      <c r="AM105" s="1" t="s">
        <v>700</v>
      </c>
      <c r="AN105" s="1" t="s">
        <v>699</v>
      </c>
      <c r="AO105" s="1" t="s">
        <v>1453</v>
      </c>
      <c r="AP105" s="1"/>
      <c r="AQ105" s="1"/>
      <c r="AR105" s="1"/>
      <c r="AS105" s="1" t="s">
        <v>4058</v>
      </c>
    </row>
    <row r="106" spans="1:49" x14ac:dyDescent="0.15">
      <c r="A106" t="str">
        <f t="shared" si="8"/>
        <v>|KLD|黒赤|9|&amp;br;|《[[無許可の分解]]》|</v>
      </c>
      <c r="B106" t="s">
        <v>3168</v>
      </c>
      <c r="C106" t="str">
        <f t="shared" si="9"/>
        <v>KLD</v>
      </c>
      <c r="D106" t="str">
        <f>IF(AF106="","",VLOOKUP(C106,tnpl!$Z$1:$AA$11,2,TRUE))</f>
        <v/>
      </c>
      <c r="E106" t="s">
        <v>3168</v>
      </c>
      <c r="F106" t="str">
        <f t="shared" si="10"/>
        <v>黒赤</v>
      </c>
      <c r="G106" t="str">
        <f>IF(AG106="","",VLOOKUP(F106,tnpl!$X$1:$Y$16,2,TRUE))</f>
        <v/>
      </c>
      <c r="H106" t="s">
        <v>3168</v>
      </c>
      <c r="I106">
        <f t="shared" si="11"/>
        <v>9</v>
      </c>
      <c r="J106" t="s">
        <v>3168</v>
      </c>
      <c r="K106">
        <f t="shared" si="12"/>
        <v>0</v>
      </c>
      <c r="L106">
        <f t="shared" si="13"/>
        <v>0</v>
      </c>
      <c r="P106" t="s">
        <v>5607</v>
      </c>
      <c r="R106" t="s">
        <v>3175</v>
      </c>
      <c r="S106" t="s">
        <v>5608</v>
      </c>
      <c r="T106" t="str">
        <f t="shared" si="14"/>
        <v>無許可の分解</v>
      </c>
      <c r="U106" t="str">
        <f t="shared" si="15"/>
        <v/>
      </c>
      <c r="V106" t="str">
        <f>IF(I106=0,VLOOKUP(T106,Sheet4!A:B,2,TRUE),"")</f>
        <v/>
      </c>
      <c r="W106" t="s">
        <v>4751</v>
      </c>
      <c r="X106" t="s">
        <v>3175</v>
      </c>
      <c r="Z106" s="10" t="s">
        <v>4167</v>
      </c>
      <c r="AH106" s="3">
        <v>980</v>
      </c>
      <c r="AI106" s="2" t="s">
        <v>3937</v>
      </c>
      <c r="AJ106" s="1" t="s">
        <v>1504</v>
      </c>
      <c r="AK106" s="1" t="s">
        <v>1451</v>
      </c>
      <c r="AL106" s="1">
        <v>9</v>
      </c>
      <c r="AM106" s="1" t="s">
        <v>558</v>
      </c>
      <c r="AN106" s="1" t="s">
        <v>557</v>
      </c>
      <c r="AO106" s="1" t="s">
        <v>1453</v>
      </c>
      <c r="AP106" s="1"/>
      <c r="AQ106" s="1"/>
      <c r="AR106" s="1"/>
      <c r="AS106" s="1" t="s">
        <v>4167</v>
      </c>
    </row>
    <row r="107" spans="1:49" x14ac:dyDescent="0.15">
      <c r="A107" t="str">
        <f>B107&amp;C107&amp;E107&amp;F107&amp;H107&amp;I107&amp;J107&amp;M107&amp;N107&amp;O107&amp;P107&amp;Q107&amp;R107&amp;S107&amp;T107&amp;V107&amp;W107&amp;X107&amp;Y107</f>
        <v/>
      </c>
      <c r="Z107"/>
    </row>
    <row r="108" spans="1:49" x14ac:dyDescent="0.15">
      <c r="A108" t="str">
        <f>B108&amp;C108&amp;E108&amp;F108&amp;H108&amp;I108&amp;J108&amp;M108&amp;N108&amp;O108&amp;P108&amp;Q108&amp;R108&amp;S108&amp;T108&amp;V108&amp;W108&amp;X108&amp;Y108</f>
        <v>**アモンケット</v>
      </c>
      <c r="B108" t="s">
        <v>4752</v>
      </c>
      <c r="C108" t="s">
        <v>5628</v>
      </c>
    </row>
    <row r="109" spans="1:49" x14ac:dyDescent="0.15">
      <c r="A109" t="str">
        <f>B109&amp;C109&amp;E109&amp;F109&amp;H109&amp;I109&amp;J109&amp;M109&amp;N109&amp;O109&amp;P109&amp;Q109&amp;R109&amp;S109&amp;T109&amp;U109&amp;V109&amp;W109&amp;X109&amp;Y109</f>
        <v>|LEFT:50|LEFT:50|LEFT:50|LEFT:250|LEFT:500|c</v>
      </c>
      <c r="B109" t="s">
        <v>3168</v>
      </c>
      <c r="C109" t="s">
        <v>3162</v>
      </c>
      <c r="E109" t="s">
        <v>3168</v>
      </c>
      <c r="F109" t="s">
        <v>3162</v>
      </c>
      <c r="H109" t="s">
        <v>3168</v>
      </c>
      <c r="I109" t="s">
        <v>3162</v>
      </c>
      <c r="J109" t="s">
        <v>3168</v>
      </c>
      <c r="O109" t="s">
        <v>4800</v>
      </c>
      <c r="R109" t="s">
        <v>3175</v>
      </c>
      <c r="T109" t="s">
        <v>3163</v>
      </c>
      <c r="X109" t="s">
        <v>3175</v>
      </c>
      <c r="Y109" t="s">
        <v>3164</v>
      </c>
    </row>
    <row r="110" spans="1:49" x14ac:dyDescent="0.15">
      <c r="A110" t="str">
        <f>B110&amp;C110&amp;E110&amp;F110&amp;H110&amp;I110&amp;J110&amp;M110&amp;N110&amp;O110&amp;P110&amp;Q110&amp;R110&amp;S110&amp;T110&amp;U110&amp;V110&amp;W110&amp;X110&amp;Y110</f>
        <v>|セット|色|コスト|能力|カード名|</v>
      </c>
      <c r="B110" t="s">
        <v>3168</v>
      </c>
      <c r="C110" t="s">
        <v>3169</v>
      </c>
      <c r="E110" t="s">
        <v>3168</v>
      </c>
      <c r="F110" t="s">
        <v>3139</v>
      </c>
      <c r="H110" t="s">
        <v>3168</v>
      </c>
      <c r="I110" t="s">
        <v>3165</v>
      </c>
      <c r="J110" t="s">
        <v>3168</v>
      </c>
      <c r="K110" t="s">
        <v>3126</v>
      </c>
      <c r="L110" t="s">
        <v>3125</v>
      </c>
      <c r="O110" t="s">
        <v>3174</v>
      </c>
      <c r="R110" t="s">
        <v>3175</v>
      </c>
      <c r="T110" t="s">
        <v>3166</v>
      </c>
      <c r="X110" t="s">
        <v>3175</v>
      </c>
      <c r="AE110" t="b">
        <f>OR(AC110="与える",AD110="得る")</f>
        <v>0</v>
      </c>
      <c r="AF110" s="12"/>
      <c r="AG110" s="12"/>
      <c r="AH110" s="12"/>
      <c r="AI110" s="12"/>
      <c r="AJ110" s="12"/>
      <c r="AK110" s="12"/>
      <c r="AL110" s="12"/>
      <c r="AM110" s="12"/>
      <c r="AN110" s="12"/>
      <c r="AO110" s="12"/>
      <c r="AP110" s="12"/>
      <c r="AQ110" s="12"/>
      <c r="AR110" s="12"/>
      <c r="AS110" s="12"/>
      <c r="AT110" s="12"/>
      <c r="AU110" s="12"/>
      <c r="AV110" s="12"/>
      <c r="AW110" s="12"/>
    </row>
    <row r="111" spans="1:49" x14ac:dyDescent="0.15">
      <c r="A111" t="str">
        <f t="shared" si="8"/>
        <v>|AKH|黒|7|&amp;br;|《[[最後の報賞]]》|</v>
      </c>
      <c r="B111" t="s">
        <v>3168</v>
      </c>
      <c r="C111" t="str">
        <f t="shared" si="9"/>
        <v>AKH</v>
      </c>
      <c r="D111" t="str">
        <f>IF(AF111="","",VLOOKUP(C111,tnpl!$Z$1:$AA$11,2,TRUE))</f>
        <v/>
      </c>
      <c r="E111" t="s">
        <v>3168</v>
      </c>
      <c r="F111" t="str">
        <f t="shared" si="10"/>
        <v>黒</v>
      </c>
      <c r="G111" t="str">
        <f>IF(AG111="","",VLOOKUP(F111,tnpl!$X$1:$Y$16,2,TRUE))</f>
        <v/>
      </c>
      <c r="H111" t="s">
        <v>3168</v>
      </c>
      <c r="I111">
        <f t="shared" si="11"/>
        <v>7</v>
      </c>
      <c r="J111" t="s">
        <v>3168</v>
      </c>
      <c r="K111">
        <f t="shared" si="12"/>
        <v>0</v>
      </c>
      <c r="L111">
        <f t="shared" si="13"/>
        <v>0</v>
      </c>
      <c r="P111" t="s">
        <v>5607</v>
      </c>
      <c r="R111" t="s">
        <v>3175</v>
      </c>
      <c r="S111" t="s">
        <v>5608</v>
      </c>
      <c r="T111" t="str">
        <f t="shared" si="14"/>
        <v>最後の報賞</v>
      </c>
      <c r="U111" t="str">
        <f t="shared" si="15"/>
        <v/>
      </c>
      <c r="V111" t="str">
        <f>IF(I111=0,VLOOKUP(T111,Sheet4!A:B,2,TRUE),"")</f>
        <v/>
      </c>
      <c r="W111" t="s">
        <v>4751</v>
      </c>
      <c r="X111" t="s">
        <v>3175</v>
      </c>
      <c r="Z111" s="10" t="s">
        <v>2086</v>
      </c>
      <c r="AH111" s="3">
        <v>1157</v>
      </c>
      <c r="AI111" s="2" t="s">
        <v>4349</v>
      </c>
      <c r="AJ111" s="1" t="s">
        <v>1582</v>
      </c>
      <c r="AK111" s="1" t="s">
        <v>1744</v>
      </c>
      <c r="AL111" s="1">
        <v>7</v>
      </c>
      <c r="AM111" s="1" t="s">
        <v>181</v>
      </c>
      <c r="AN111" s="1" t="s">
        <v>180</v>
      </c>
      <c r="AO111" s="1" t="s">
        <v>1453</v>
      </c>
      <c r="AP111" s="1"/>
      <c r="AQ111" s="1"/>
      <c r="AR111" s="1"/>
      <c r="AS111" s="1" t="s">
        <v>2086</v>
      </c>
    </row>
    <row r="112" spans="1:49" x14ac:dyDescent="0.15">
      <c r="A112" t="str">
        <f t="shared" si="8"/>
        <v>|AKH|赤|4|&amp;br;|《[[栄光の幕切れ]]》|</v>
      </c>
      <c r="B112" t="s">
        <v>3168</v>
      </c>
      <c r="C112" t="str">
        <f t="shared" si="9"/>
        <v>AKH</v>
      </c>
      <c r="D112" t="str">
        <f>IF(AF112="","",VLOOKUP(C112,tnpl!$Z$1:$AA$11,2,TRUE))</f>
        <v/>
      </c>
      <c r="E112" t="s">
        <v>3168</v>
      </c>
      <c r="F112" t="str">
        <f t="shared" si="10"/>
        <v>赤</v>
      </c>
      <c r="G112" t="str">
        <f>IF(AG112="","",VLOOKUP(F112,tnpl!$X$1:$Y$16,2,TRUE))</f>
        <v/>
      </c>
      <c r="H112" t="s">
        <v>3168</v>
      </c>
      <c r="I112">
        <f t="shared" si="11"/>
        <v>4</v>
      </c>
      <c r="J112" t="s">
        <v>3168</v>
      </c>
      <c r="K112">
        <f t="shared" si="12"/>
        <v>0</v>
      </c>
      <c r="L112">
        <f t="shared" si="13"/>
        <v>0</v>
      </c>
      <c r="P112" t="s">
        <v>5607</v>
      </c>
      <c r="R112" t="s">
        <v>3175</v>
      </c>
      <c r="S112" t="s">
        <v>5608</v>
      </c>
      <c r="T112" t="str">
        <f t="shared" si="14"/>
        <v>栄光の幕切れ</v>
      </c>
      <c r="U112" t="str">
        <f t="shared" si="15"/>
        <v/>
      </c>
      <c r="V112" t="str">
        <f>IF(I112=0,VLOOKUP(T112,Sheet4!A:B,2,TRUE),"")</f>
        <v/>
      </c>
      <c r="W112" t="s">
        <v>4751</v>
      </c>
      <c r="X112" t="s">
        <v>3175</v>
      </c>
      <c r="Z112" s="10" t="s">
        <v>4541</v>
      </c>
      <c r="AH112" s="3">
        <v>1201</v>
      </c>
      <c r="AI112" s="2" t="s">
        <v>4349</v>
      </c>
      <c r="AJ112" s="1" t="s">
        <v>1552</v>
      </c>
      <c r="AK112" s="1" t="s">
        <v>1431</v>
      </c>
      <c r="AL112" s="1">
        <v>4</v>
      </c>
      <c r="AM112" s="1" t="s">
        <v>98</v>
      </c>
      <c r="AN112" s="1" t="s">
        <v>97</v>
      </c>
      <c r="AO112" s="1" t="s">
        <v>1453</v>
      </c>
      <c r="AP112" s="1"/>
      <c r="AQ112" s="1"/>
      <c r="AR112" s="1"/>
      <c r="AS112" s="1" t="s">
        <v>4541</v>
      </c>
    </row>
    <row r="113" spans="1:49" x14ac:dyDescent="0.15">
      <c r="A113" t="str">
        <f t="shared" si="8"/>
        <v>|AKHM|黒緑|6|&amp;br;|《[[大渦の脈動]]》|</v>
      </c>
      <c r="B113" t="s">
        <v>3168</v>
      </c>
      <c r="C113" t="str">
        <f t="shared" si="9"/>
        <v>AKHM</v>
      </c>
      <c r="D113" t="str">
        <f>IF(AF113="","",VLOOKUP(C113,tnpl!$Z$1:$AA$11,2,TRUE))</f>
        <v/>
      </c>
      <c r="E113" t="s">
        <v>3168</v>
      </c>
      <c r="F113" t="str">
        <f t="shared" si="10"/>
        <v>黒緑</v>
      </c>
      <c r="G113" t="str">
        <f>IF(AG113="","",VLOOKUP(F113,tnpl!$X$1:$Y$16,2,TRUE))</f>
        <v/>
      </c>
      <c r="H113" t="s">
        <v>3168</v>
      </c>
      <c r="I113">
        <f t="shared" si="11"/>
        <v>6</v>
      </c>
      <c r="J113" t="s">
        <v>3168</v>
      </c>
      <c r="K113">
        <f t="shared" si="12"/>
        <v>0</v>
      </c>
      <c r="L113">
        <f t="shared" si="13"/>
        <v>0</v>
      </c>
      <c r="P113" t="s">
        <v>5607</v>
      </c>
      <c r="R113" t="s">
        <v>3175</v>
      </c>
      <c r="S113" t="s">
        <v>5608</v>
      </c>
      <c r="T113" t="str">
        <f t="shared" si="14"/>
        <v>大渦の脈動</v>
      </c>
      <c r="U113" t="str">
        <f t="shared" si="15"/>
        <v/>
      </c>
      <c r="V113" t="str">
        <f>IF(I113=0,VLOOKUP(T113,Sheet4!A:B,2,TRUE),"")</f>
        <v/>
      </c>
      <c r="W113" t="s">
        <v>4751</v>
      </c>
      <c r="X113" t="s">
        <v>3175</v>
      </c>
      <c r="Z113" s="10" t="s">
        <v>4654</v>
      </c>
      <c r="AH113" s="3">
        <v>1262</v>
      </c>
      <c r="AI113" s="2" t="s">
        <v>4643</v>
      </c>
      <c r="AJ113" s="1" t="s">
        <v>1487</v>
      </c>
      <c r="AK113" s="1" t="s">
        <v>3161</v>
      </c>
      <c r="AL113" s="1">
        <v>6</v>
      </c>
      <c r="AM113" s="1" t="s">
        <v>3151</v>
      </c>
      <c r="AN113" s="1" t="s">
        <v>3152</v>
      </c>
      <c r="AO113" s="1" t="s">
        <v>1453</v>
      </c>
      <c r="AP113" s="1"/>
      <c r="AQ113" s="1"/>
      <c r="AR113" s="1"/>
      <c r="AS113" s="1" t="s">
        <v>4654</v>
      </c>
    </row>
    <row r="114" spans="1:49" x14ac:dyDescent="0.15">
      <c r="A114" t="str">
        <f>B114&amp;C114&amp;E114&amp;F114&amp;H114&amp;I114&amp;J114&amp;M114&amp;N114&amp;O114&amp;P114&amp;Q114&amp;R114&amp;S114&amp;T114&amp;V114&amp;W114&amp;X114&amp;Y114</f>
        <v/>
      </c>
      <c r="Z114"/>
    </row>
    <row r="115" spans="1:49" x14ac:dyDescent="0.15">
      <c r="A115" t="str">
        <f>B115&amp;C115&amp;E115&amp;F115&amp;H115&amp;I115&amp;J115&amp;M115&amp;N115&amp;O115&amp;P115&amp;Q115&amp;R115&amp;S115&amp;T115&amp;V115&amp;W115&amp;X115&amp;Y115</f>
        <v>**破滅の刻</v>
      </c>
      <c r="B115" t="s">
        <v>4752</v>
      </c>
      <c r="C115" t="s">
        <v>5629</v>
      </c>
    </row>
    <row r="116" spans="1:49" x14ac:dyDescent="0.15">
      <c r="A116" t="str">
        <f>B116&amp;C116&amp;E116&amp;F116&amp;H116&amp;I116&amp;J116&amp;M116&amp;N116&amp;O116&amp;P116&amp;Q116&amp;R116&amp;S116&amp;T116&amp;U116&amp;V116&amp;W116&amp;X116&amp;Y116</f>
        <v>|LEFT:50|LEFT:50|LEFT:50|LEFT:250|LEFT:500|c</v>
      </c>
      <c r="B116" t="s">
        <v>3168</v>
      </c>
      <c r="C116" t="s">
        <v>3162</v>
      </c>
      <c r="E116" t="s">
        <v>3168</v>
      </c>
      <c r="F116" t="s">
        <v>3162</v>
      </c>
      <c r="H116" t="s">
        <v>3168</v>
      </c>
      <c r="I116" t="s">
        <v>3162</v>
      </c>
      <c r="J116" t="s">
        <v>3168</v>
      </c>
      <c r="O116" t="s">
        <v>4800</v>
      </c>
      <c r="R116" t="s">
        <v>3175</v>
      </c>
      <c r="T116" t="s">
        <v>3163</v>
      </c>
      <c r="X116" t="s">
        <v>3175</v>
      </c>
      <c r="Y116" t="s">
        <v>3164</v>
      </c>
    </row>
    <row r="117" spans="1:49" x14ac:dyDescent="0.15">
      <c r="A117" t="str">
        <f>B117&amp;C117&amp;E117&amp;F117&amp;H117&amp;I117&amp;J117&amp;M117&amp;N117&amp;O117&amp;P117&amp;Q117&amp;R117&amp;S117&amp;T117&amp;U117&amp;V117&amp;W117&amp;X117&amp;Y117</f>
        <v>|セット|色|コスト|能力|カード名|</v>
      </c>
      <c r="B117" t="s">
        <v>3168</v>
      </c>
      <c r="C117" t="s">
        <v>3169</v>
      </c>
      <c r="E117" t="s">
        <v>3168</v>
      </c>
      <c r="F117" t="s">
        <v>3139</v>
      </c>
      <c r="H117" t="s">
        <v>3168</v>
      </c>
      <c r="I117" t="s">
        <v>3165</v>
      </c>
      <c r="J117" t="s">
        <v>3168</v>
      </c>
      <c r="K117" t="s">
        <v>3126</v>
      </c>
      <c r="L117" t="s">
        <v>3125</v>
      </c>
      <c r="O117" t="s">
        <v>3174</v>
      </c>
      <c r="R117" t="s">
        <v>3175</v>
      </c>
      <c r="T117" t="s">
        <v>3166</v>
      </c>
      <c r="X117" t="s">
        <v>3175</v>
      </c>
      <c r="AE117" t="b">
        <f>OR(AC117="与える",AD117="得る")</f>
        <v>0</v>
      </c>
      <c r="AF117" s="12"/>
      <c r="AG117" s="12"/>
      <c r="AH117" s="12"/>
      <c r="AI117" s="12"/>
      <c r="AJ117" s="12"/>
      <c r="AK117" s="12"/>
      <c r="AL117" s="12"/>
      <c r="AM117" s="12"/>
      <c r="AN117" s="12"/>
      <c r="AO117" s="12"/>
      <c r="AP117" s="12"/>
      <c r="AQ117" s="12"/>
      <c r="AR117" s="12"/>
      <c r="AS117" s="12"/>
      <c r="AT117" s="12"/>
      <c r="AU117" s="12"/>
      <c r="AV117" s="12"/>
      <c r="AW117" s="12"/>
    </row>
    <row r="118" spans="1:49" x14ac:dyDescent="0.15">
      <c r="A118" t="str">
        <f t="shared" si="8"/>
        <v>|HOU|黒|3|&amp;br;|《[[致死の一刺し]]》|</v>
      </c>
      <c r="B118" t="s">
        <v>3168</v>
      </c>
      <c r="C118" t="str">
        <f t="shared" si="9"/>
        <v>HOU</v>
      </c>
      <c r="D118" t="str">
        <f>IF(AF118="","",VLOOKUP(C118,tnpl!$Z$1:$AA$11,2,TRUE))</f>
        <v/>
      </c>
      <c r="E118" t="s">
        <v>3168</v>
      </c>
      <c r="F118" t="str">
        <f t="shared" si="10"/>
        <v>黒</v>
      </c>
      <c r="G118" t="str">
        <f>IF(AG118="","",VLOOKUP(F118,tnpl!$X$1:$Y$16,2,TRUE))</f>
        <v/>
      </c>
      <c r="H118" t="s">
        <v>3168</v>
      </c>
      <c r="I118">
        <f t="shared" si="11"/>
        <v>3</v>
      </c>
      <c r="J118" t="s">
        <v>3168</v>
      </c>
      <c r="K118">
        <f t="shared" si="12"/>
        <v>0</v>
      </c>
      <c r="L118">
        <f t="shared" si="13"/>
        <v>0</v>
      </c>
      <c r="P118" t="s">
        <v>5607</v>
      </c>
      <c r="R118" t="s">
        <v>3175</v>
      </c>
      <c r="S118" t="s">
        <v>5608</v>
      </c>
      <c r="T118" t="str">
        <f t="shared" si="14"/>
        <v>致死の一刺し</v>
      </c>
      <c r="U118" t="str">
        <f t="shared" si="15"/>
        <v/>
      </c>
      <c r="V118" t="str">
        <f>IF(I118=0,VLOOKUP(T118,Sheet4!A:B,2,TRUE),"")</f>
        <v/>
      </c>
      <c r="W118" t="s">
        <v>4751</v>
      </c>
      <c r="X118" t="s">
        <v>3175</v>
      </c>
      <c r="Z118" s="10" t="s">
        <v>5088</v>
      </c>
      <c r="AH118" s="9"/>
      <c r="AI118" t="s">
        <v>4926</v>
      </c>
      <c r="AJ118" t="s">
        <v>1582</v>
      </c>
      <c r="AK118" t="s">
        <v>1744</v>
      </c>
      <c r="AL118">
        <v>3</v>
      </c>
      <c r="AM118" t="s">
        <v>5086</v>
      </c>
      <c r="AN118" t="s">
        <v>5087</v>
      </c>
      <c r="AO118" t="s">
        <v>1453</v>
      </c>
      <c r="AQ118" t="s">
        <v>4756</v>
      </c>
      <c r="AR118" t="s">
        <v>4756</v>
      </c>
      <c r="AS118" t="s">
        <v>5088</v>
      </c>
    </row>
    <row r="119" spans="1:49" x14ac:dyDescent="0.15">
      <c r="A119" t="str">
        <f t="shared" si="8"/>
        <v>|HOU|黒|9|&amp;br;|《[[リリアナの敗北]]》|</v>
      </c>
      <c r="B119" t="s">
        <v>3168</v>
      </c>
      <c r="C119" t="str">
        <f t="shared" si="9"/>
        <v>HOU</v>
      </c>
      <c r="D119" t="str">
        <f>IF(AF119="","",VLOOKUP(C119,tnpl!$Z$1:$AA$11,2,TRUE))</f>
        <v/>
      </c>
      <c r="E119" t="s">
        <v>3168</v>
      </c>
      <c r="F119" t="str">
        <f t="shared" si="10"/>
        <v>黒</v>
      </c>
      <c r="G119" t="str">
        <f>IF(AG119="","",VLOOKUP(F119,tnpl!$X$1:$Y$16,2,TRUE))</f>
        <v/>
      </c>
      <c r="H119" t="s">
        <v>3168</v>
      </c>
      <c r="I119">
        <f t="shared" si="11"/>
        <v>9</v>
      </c>
      <c r="J119" t="s">
        <v>3168</v>
      </c>
      <c r="K119">
        <f t="shared" si="12"/>
        <v>0</v>
      </c>
      <c r="L119">
        <f t="shared" si="13"/>
        <v>0</v>
      </c>
      <c r="P119" t="s">
        <v>5607</v>
      </c>
      <c r="R119" t="s">
        <v>3175</v>
      </c>
      <c r="S119" t="s">
        <v>5608</v>
      </c>
      <c r="T119" t="str">
        <f t="shared" si="14"/>
        <v>リリアナの敗北</v>
      </c>
      <c r="U119" t="str">
        <f t="shared" si="15"/>
        <v/>
      </c>
      <c r="V119" t="str">
        <f>IF(I119=0,VLOOKUP(T119,Sheet4!A:B,2,TRUE),"")</f>
        <v/>
      </c>
      <c r="W119" t="s">
        <v>4751</v>
      </c>
      <c r="X119" t="s">
        <v>3175</v>
      </c>
      <c r="Z119" s="10" t="s">
        <v>5099</v>
      </c>
      <c r="AH119" s="9"/>
      <c r="AI119" t="s">
        <v>4926</v>
      </c>
      <c r="AJ119" t="s">
        <v>1582</v>
      </c>
      <c r="AK119" t="s">
        <v>1451</v>
      </c>
      <c r="AL119">
        <v>9</v>
      </c>
      <c r="AM119" t="s">
        <v>5097</v>
      </c>
      <c r="AN119" t="s">
        <v>5098</v>
      </c>
      <c r="AO119" t="s">
        <v>1453</v>
      </c>
      <c r="AQ119" t="s">
        <v>4756</v>
      </c>
      <c r="AR119" t="s">
        <v>4756</v>
      </c>
      <c r="AS119" t="s">
        <v>5099</v>
      </c>
    </row>
    <row r="120" spans="1:49" x14ac:dyDescent="0.15">
      <c r="A120" t="str">
        <f t="shared" si="8"/>
        <v>|HOU|白|18|&amp;br;|《[[啓示の刻]]》|</v>
      </c>
      <c r="B120" t="s">
        <v>3168</v>
      </c>
      <c r="C120" t="str">
        <f t="shared" si="9"/>
        <v>HOU</v>
      </c>
      <c r="D120" t="str">
        <f>IF(AF120="","",VLOOKUP(C120,tnpl!$Z$1:$AA$11,2,TRUE))</f>
        <v/>
      </c>
      <c r="E120" t="s">
        <v>3168</v>
      </c>
      <c r="F120" t="str">
        <f t="shared" si="10"/>
        <v>白</v>
      </c>
      <c r="G120" t="str">
        <f>IF(AG120="","",VLOOKUP(F120,tnpl!$X$1:$Y$16,2,TRUE))</f>
        <v/>
      </c>
      <c r="H120" t="s">
        <v>3168</v>
      </c>
      <c r="I120">
        <f t="shared" si="11"/>
        <v>18</v>
      </c>
      <c r="J120" t="s">
        <v>3168</v>
      </c>
      <c r="K120">
        <f t="shared" si="12"/>
        <v>0</v>
      </c>
      <c r="L120">
        <f t="shared" si="13"/>
        <v>0</v>
      </c>
      <c r="P120" t="s">
        <v>5607</v>
      </c>
      <c r="R120" t="s">
        <v>3175</v>
      </c>
      <c r="S120" t="s">
        <v>5608</v>
      </c>
      <c r="T120" t="str">
        <f t="shared" si="14"/>
        <v>啓示の刻</v>
      </c>
      <c r="U120" t="str">
        <f t="shared" si="15"/>
        <v/>
      </c>
      <c r="V120" t="str">
        <f>IF(I120=0,VLOOKUP(T120,Sheet4!A:B,2,TRUE),"")</f>
        <v/>
      </c>
      <c r="W120" t="s">
        <v>4751</v>
      </c>
      <c r="X120" t="s">
        <v>3175</v>
      </c>
      <c r="Z120" s="10" t="s">
        <v>5382</v>
      </c>
      <c r="AH120" s="9"/>
      <c r="AI120" t="s">
        <v>4926</v>
      </c>
      <c r="AJ120" t="s">
        <v>1627</v>
      </c>
      <c r="AK120" t="s">
        <v>1431</v>
      </c>
      <c r="AL120">
        <v>18</v>
      </c>
      <c r="AM120" t="s">
        <v>5380</v>
      </c>
      <c r="AN120" t="s">
        <v>5381</v>
      </c>
      <c r="AO120" t="s">
        <v>1453</v>
      </c>
      <c r="AQ120" t="s">
        <v>4756</v>
      </c>
      <c r="AR120" t="s">
        <v>4756</v>
      </c>
      <c r="AS120" t="s">
        <v>5382</v>
      </c>
    </row>
    <row r="121" spans="1:49" x14ac:dyDescent="0.15">
      <c r="A121" t="str">
        <f t="shared" si="8"/>
        <v>|HOU|黒|12|&amp;br;|《[[バントゥ最後の算段]]》|</v>
      </c>
      <c r="B121" t="s">
        <v>3168</v>
      </c>
      <c r="C121" t="str">
        <f t="shared" si="9"/>
        <v>HOU</v>
      </c>
      <c r="D121" t="str">
        <f>IF(AF121="","",VLOOKUP(C121,tnpl!$Z$1:$AA$11,2,TRUE))</f>
        <v/>
      </c>
      <c r="E121" t="s">
        <v>3168</v>
      </c>
      <c r="F121" t="str">
        <f t="shared" si="10"/>
        <v>黒</v>
      </c>
      <c r="G121" t="str">
        <f>IF(AG121="","",VLOOKUP(F121,tnpl!$X$1:$Y$16,2,TRUE))</f>
        <v/>
      </c>
      <c r="H121" t="s">
        <v>3168</v>
      </c>
      <c r="I121">
        <f t="shared" si="11"/>
        <v>12</v>
      </c>
      <c r="J121" t="s">
        <v>3168</v>
      </c>
      <c r="K121">
        <f t="shared" si="12"/>
        <v>0</v>
      </c>
      <c r="L121">
        <f t="shared" si="13"/>
        <v>0</v>
      </c>
      <c r="P121" t="s">
        <v>5607</v>
      </c>
      <c r="R121" t="s">
        <v>3175</v>
      </c>
      <c r="S121" t="s">
        <v>5608</v>
      </c>
      <c r="T121" t="str">
        <f t="shared" si="14"/>
        <v>バントゥ最後の算段</v>
      </c>
      <c r="U121" t="str">
        <f t="shared" si="15"/>
        <v/>
      </c>
      <c r="V121" t="str">
        <f>IF(I121=0,VLOOKUP(T121,Sheet4!A:B,2,TRUE),"")</f>
        <v/>
      </c>
      <c r="W121" t="s">
        <v>4751</v>
      </c>
      <c r="X121" t="s">
        <v>3175</v>
      </c>
      <c r="Z121" s="10" t="s">
        <v>5413</v>
      </c>
      <c r="AH121" s="9"/>
      <c r="AI121" t="s">
        <v>4926</v>
      </c>
      <c r="AJ121" t="s">
        <v>1582</v>
      </c>
      <c r="AK121" t="s">
        <v>1441</v>
      </c>
      <c r="AL121">
        <v>12</v>
      </c>
      <c r="AM121" t="s">
        <v>5411</v>
      </c>
      <c r="AN121" t="s">
        <v>5412</v>
      </c>
      <c r="AO121" t="s">
        <v>1453</v>
      </c>
      <c r="AQ121" t="s">
        <v>4756</v>
      </c>
      <c r="AR121" t="s">
        <v>4756</v>
      </c>
      <c r="AS121" t="s">
        <v>5413</v>
      </c>
    </row>
    <row r="122" spans="1:49" x14ac:dyDescent="0.15">
      <c r="A122" t="str">
        <f t="shared" si="8"/>
        <v>|HOUM|黒|1|&amp;br;|《[[殺戮の契約]]》|</v>
      </c>
      <c r="B122" t="s">
        <v>3168</v>
      </c>
      <c r="C122" t="str">
        <f t="shared" si="9"/>
        <v>HOUM</v>
      </c>
      <c r="D122" t="str">
        <f>IF(AF122="","",VLOOKUP(C122,tnpl!$Z$1:$AA$11,2,TRUE))</f>
        <v/>
      </c>
      <c r="E122" t="s">
        <v>3168</v>
      </c>
      <c r="F122" t="str">
        <f t="shared" si="10"/>
        <v>黒</v>
      </c>
      <c r="G122" t="str">
        <f>IF(AG122="","",VLOOKUP(F122,tnpl!$X$1:$Y$16,2,TRUE))</f>
        <v/>
      </c>
      <c r="H122" t="s">
        <v>3168</v>
      </c>
      <c r="I122">
        <f t="shared" si="11"/>
        <v>1</v>
      </c>
      <c r="J122" t="s">
        <v>3168</v>
      </c>
      <c r="K122">
        <f t="shared" si="12"/>
        <v>0</v>
      </c>
      <c r="L122">
        <f t="shared" si="13"/>
        <v>0</v>
      </c>
      <c r="P122" t="s">
        <v>5607</v>
      </c>
      <c r="R122" t="s">
        <v>3175</v>
      </c>
      <c r="S122" t="s">
        <v>5608</v>
      </c>
      <c r="T122" t="str">
        <f t="shared" si="14"/>
        <v>殺戮の契約</v>
      </c>
      <c r="U122" t="str">
        <f t="shared" si="15"/>
        <v/>
      </c>
      <c r="V122" t="str">
        <f>IF(I122=0,VLOOKUP(T122,Sheet4!A:B,2,TRUE),"")</f>
        <v/>
      </c>
      <c r="W122" t="s">
        <v>4751</v>
      </c>
      <c r="X122" t="s">
        <v>3175</v>
      </c>
      <c r="Z122" s="10" t="s">
        <v>5503</v>
      </c>
      <c r="AH122" s="9"/>
      <c r="AI122" t="s">
        <v>5474</v>
      </c>
      <c r="AJ122" t="s">
        <v>1582</v>
      </c>
      <c r="AK122" t="s">
        <v>3161</v>
      </c>
      <c r="AL122">
        <v>1</v>
      </c>
      <c r="AM122" t="s">
        <v>5501</v>
      </c>
      <c r="AN122" t="s">
        <v>5502</v>
      </c>
      <c r="AO122" t="s">
        <v>1453</v>
      </c>
      <c r="AQ122" t="s">
        <v>4756</v>
      </c>
      <c r="AR122" t="s">
        <v>4756</v>
      </c>
      <c r="AS122" t="s">
        <v>5503</v>
      </c>
    </row>
    <row r="125" spans="1:49" x14ac:dyDescent="0.15">
      <c r="A125" t="str">
        <f>B125&amp;C125&amp;E125&amp;F125&amp;H125&amp;I125&amp;J125&amp;M125&amp;N125&amp;O125&amp;P125&amp;Q125&amp;R125&amp;S125&amp;T125&amp;U125&amp;V125&amp;W125&amp;X125&amp;Y125</f>
        <v>*クリーチャーを破壊する能力を持つサポート</v>
      </c>
      <c r="B125" t="s">
        <v>3173</v>
      </c>
      <c r="C125" t="s">
        <v>5595</v>
      </c>
      <c r="F125" t="str">
        <f>$C$4</f>
        <v>破壊</v>
      </c>
      <c r="M125" t="s">
        <v>5596</v>
      </c>
      <c r="N125" t="s">
        <v>5599</v>
      </c>
    </row>
    <row r="126" spans="1:49" x14ac:dyDescent="0.15">
      <c r="A126" t="str">
        <f>B126&amp;C126&amp;E126&amp;F126&amp;H126&amp;I126&amp;J126&amp;M126&amp;N126&amp;O126&amp;P126&amp;Q126&amp;R126&amp;S126&amp;T126&amp;V126&amp;W126&amp;X126&amp;Y126</f>
        <v>**マジック:オリジン</v>
      </c>
      <c r="B126" t="s">
        <v>4752</v>
      </c>
      <c r="C126" t="s">
        <v>4753</v>
      </c>
    </row>
    <row r="128" spans="1:49" x14ac:dyDescent="0.15">
      <c r="Z128"/>
    </row>
    <row r="129" spans="1:49" x14ac:dyDescent="0.15">
      <c r="A129" t="str">
        <f>B129&amp;C129&amp;E129&amp;F129&amp;H129&amp;I129&amp;J129&amp;M129&amp;N129&amp;O129&amp;P129&amp;Q129&amp;R129&amp;S129&amp;T129&amp;V129&amp;W129&amp;X129&amp;Y129</f>
        <v>**戦乱のゼンディカーブロック</v>
      </c>
      <c r="B129" t="s">
        <v>4752</v>
      </c>
      <c r="C129" t="s">
        <v>4810</v>
      </c>
    </row>
    <row r="130" spans="1:49" x14ac:dyDescent="0.15">
      <c r="A130" t="str">
        <f>B130&amp;C130&amp;E130&amp;F130&amp;H130&amp;I130&amp;J130&amp;M130&amp;N130&amp;O130&amp;P130&amp;Q130&amp;R130&amp;S130&amp;T130&amp;U130&amp;V130&amp;W130&amp;X130&amp;Y130</f>
        <v>|LEFT:50|LEFT:50|LEFT:50|LEFT:250|LEFT:500|c</v>
      </c>
      <c r="B130" t="s">
        <v>3168</v>
      </c>
      <c r="C130" t="s">
        <v>3162</v>
      </c>
      <c r="E130" t="s">
        <v>3168</v>
      </c>
      <c r="F130" t="s">
        <v>3162</v>
      </c>
      <c r="H130" t="s">
        <v>3168</v>
      </c>
      <c r="I130" t="s">
        <v>3162</v>
      </c>
      <c r="J130" t="s">
        <v>3175</v>
      </c>
      <c r="O130" t="s">
        <v>4800</v>
      </c>
      <c r="R130" t="s">
        <v>3175</v>
      </c>
      <c r="T130" t="s">
        <v>3163</v>
      </c>
      <c r="X130" t="s">
        <v>3175</v>
      </c>
      <c r="Y130" t="s">
        <v>3164</v>
      </c>
    </row>
    <row r="131" spans="1:49" x14ac:dyDescent="0.15">
      <c r="A131" t="str">
        <f>B131&amp;C131&amp;E131&amp;F131&amp;H131&amp;I131&amp;J131&amp;M131&amp;N131&amp;O131&amp;P131&amp;Q131&amp;R131&amp;S131&amp;T131&amp;U131&amp;V131&amp;W131&amp;X131&amp;Y131</f>
        <v>|セット|色|コスト|能力|カード名|</v>
      </c>
      <c r="B131" t="s">
        <v>3168</v>
      </c>
      <c r="C131" t="s">
        <v>3169</v>
      </c>
      <c r="E131" t="s">
        <v>3168</v>
      </c>
      <c r="F131" t="s">
        <v>3139</v>
      </c>
      <c r="H131" t="s">
        <v>3168</v>
      </c>
      <c r="I131" t="s">
        <v>3165</v>
      </c>
      <c r="J131" t="s">
        <v>3175</v>
      </c>
      <c r="K131" t="s">
        <v>4806</v>
      </c>
      <c r="L131" t="s">
        <v>4807</v>
      </c>
      <c r="O131" t="s">
        <v>3174</v>
      </c>
      <c r="R131" t="s">
        <v>3175</v>
      </c>
      <c r="T131" t="s">
        <v>3166</v>
      </c>
      <c r="X131" t="s">
        <v>3175</v>
      </c>
      <c r="AH131" s="12"/>
      <c r="AI131" s="12"/>
      <c r="AJ131" s="12"/>
      <c r="AK131" s="12"/>
      <c r="AL131" s="12"/>
      <c r="AM131" s="12"/>
      <c r="AN131" s="12"/>
      <c r="AO131" s="12"/>
      <c r="AP131" s="12"/>
      <c r="AQ131" s="12"/>
      <c r="AR131" s="12"/>
      <c r="AS131" s="12"/>
    </row>
    <row r="132" spans="1:49" x14ac:dyDescent="0.15">
      <c r="A132" t="str">
        <f>B132&amp;C132&amp;E132&amp;F132&amp;H132&amp;I132&amp;J132&amp;M132&amp;N132&amp;O132&amp;P132&amp;Q132&amp;R132&amp;S132&amp;T132&amp;U132&amp;V132&amp;W132&amp;X132</f>
        <v>|BFZ|黒|12|&amp;br;|《[[荒廃した湿原]]》|</v>
      </c>
      <c r="B132" t="s">
        <v>3168</v>
      </c>
      <c r="C132" t="str">
        <f>AI132</f>
        <v>BFZ</v>
      </c>
      <c r="D132" t="str">
        <f>IF(AF132="","",VLOOKUP(C132,tnpl!$Z$1:$AA$11,2,TRUE))</f>
        <v/>
      </c>
      <c r="E132" t="s">
        <v>3168</v>
      </c>
      <c r="F132" t="str">
        <f>AJ132</f>
        <v>黒</v>
      </c>
      <c r="G132" t="str">
        <f>IF(AG132="","",VLOOKUP(F132,tnpl!$X$1:$Y$16,2,TRUE))</f>
        <v/>
      </c>
      <c r="H132" t="s">
        <v>3168</v>
      </c>
      <c r="I132">
        <f>AL132</f>
        <v>12</v>
      </c>
      <c r="J132" t="s">
        <v>3168</v>
      </c>
      <c r="K132">
        <f>AT132</f>
        <v>0</v>
      </c>
      <c r="L132">
        <f>AU132</f>
        <v>0</v>
      </c>
      <c r="P132" t="s">
        <v>5607</v>
      </c>
      <c r="R132" t="s">
        <v>3175</v>
      </c>
      <c r="S132" t="s">
        <v>5608</v>
      </c>
      <c r="T132" t="str">
        <f>AM132</f>
        <v>荒廃した湿原</v>
      </c>
      <c r="U132" t="str">
        <f>IF(I132=0,"&gt;","")</f>
        <v/>
      </c>
      <c r="V132" t="str">
        <f>IF(I132=0,VLOOKUP(T132,Sheet4!A:B,2,TRUE),"")</f>
        <v/>
      </c>
      <c r="W132" t="s">
        <v>4751</v>
      </c>
      <c r="X132" t="s">
        <v>3175</v>
      </c>
      <c r="Z132" s="10" t="s">
        <v>2105</v>
      </c>
      <c r="AH132" s="3">
        <v>343</v>
      </c>
      <c r="AI132" s="2" t="s">
        <v>3170</v>
      </c>
      <c r="AJ132" s="1" t="s">
        <v>1582</v>
      </c>
      <c r="AK132" s="1" t="s">
        <v>1451</v>
      </c>
      <c r="AL132" s="1">
        <v>12</v>
      </c>
      <c r="AM132" s="1" t="s">
        <v>2108</v>
      </c>
      <c r="AN132" s="1" t="s">
        <v>2107</v>
      </c>
      <c r="AO132" s="1" t="s">
        <v>288</v>
      </c>
      <c r="AP132" s="1">
        <v>2</v>
      </c>
      <c r="AQ132" s="1"/>
      <c r="AR132" s="1"/>
      <c r="AS132" s="1" t="s">
        <v>2105</v>
      </c>
    </row>
    <row r="133" spans="1:49" x14ac:dyDescent="0.15">
      <c r="A133" t="str">
        <f>B133&amp;C133&amp;E133&amp;F133&amp;H133&amp;I133&amp;J133&amp;M133&amp;N133&amp;O133&amp;P133&amp;Q133&amp;R133&amp;S133&amp;T133&amp;U133&amp;V133&amp;W133&amp;X133</f>
        <v>|BFZ|黒|1|&amp;br;|《[[吸血の儀式]]》|</v>
      </c>
      <c r="B133" t="s">
        <v>3168</v>
      </c>
      <c r="C133" t="str">
        <f>AI133</f>
        <v>BFZ</v>
      </c>
      <c r="D133" t="str">
        <f>IF(AF133="","",VLOOKUP(C133,tnpl!$Z$1:$AA$11,2,TRUE))</f>
        <v/>
      </c>
      <c r="E133" t="s">
        <v>3168</v>
      </c>
      <c r="F133" t="str">
        <f>AJ133</f>
        <v>黒</v>
      </c>
      <c r="G133" t="str">
        <f>IF(AG133="","",VLOOKUP(F133,tnpl!$X$1:$Y$16,2,TRUE))</f>
        <v/>
      </c>
      <c r="H133" t="s">
        <v>3168</v>
      </c>
      <c r="I133">
        <f>AL133</f>
        <v>1</v>
      </c>
      <c r="J133" t="s">
        <v>3168</v>
      </c>
      <c r="K133">
        <f>AT133</f>
        <v>0</v>
      </c>
      <c r="L133">
        <f>AU133</f>
        <v>0</v>
      </c>
      <c r="P133" t="s">
        <v>5607</v>
      </c>
      <c r="R133" t="s">
        <v>3175</v>
      </c>
      <c r="S133" t="s">
        <v>5608</v>
      </c>
      <c r="T133" t="str">
        <f>AM133</f>
        <v>吸血の儀式</v>
      </c>
      <c r="U133" t="str">
        <f>IF(I133=0,"&gt;","")</f>
        <v/>
      </c>
      <c r="V133" t="str">
        <f>IF(I133=0,VLOOKUP(T133,Sheet4!A:B,2,TRUE),"")</f>
        <v/>
      </c>
      <c r="W133" t="s">
        <v>4751</v>
      </c>
      <c r="X133" t="s">
        <v>3175</v>
      </c>
      <c r="Z133" s="10" t="s">
        <v>2099</v>
      </c>
      <c r="AH133" s="3">
        <v>345</v>
      </c>
      <c r="AI133" s="2" t="s">
        <v>3170</v>
      </c>
      <c r="AJ133" s="1" t="s">
        <v>1582</v>
      </c>
      <c r="AK133" s="1" t="s">
        <v>1451</v>
      </c>
      <c r="AL133" s="1">
        <v>1</v>
      </c>
      <c r="AM133" s="1" t="s">
        <v>2101</v>
      </c>
      <c r="AN133" s="1" t="s">
        <v>2100</v>
      </c>
      <c r="AO133" s="1" t="s">
        <v>288</v>
      </c>
      <c r="AP133" s="1">
        <v>2</v>
      </c>
      <c r="AQ133" s="1"/>
      <c r="AR133" s="1"/>
      <c r="AS133" s="1" t="s">
        <v>2099</v>
      </c>
    </row>
    <row r="134" spans="1:49" x14ac:dyDescent="0.15">
      <c r="A134" t="str">
        <f>B134&amp;C134&amp;E134&amp;F134&amp;H134&amp;I134&amp;J134&amp;M134&amp;N134&amp;O134&amp;P134&amp;Q134&amp;R134&amp;S134&amp;T134&amp;V134&amp;W134&amp;X134&amp;Y134</f>
        <v/>
      </c>
      <c r="Z134"/>
    </row>
    <row r="135" spans="1:49" x14ac:dyDescent="0.15">
      <c r="A135" t="str">
        <f>B135&amp;C135&amp;E135&amp;F135&amp;H135&amp;I135&amp;J135&amp;M135&amp;N135&amp;O135&amp;P135&amp;Q135&amp;R135&amp;S135&amp;T135&amp;V135&amp;W135&amp;X135&amp;Y135</f>
        <v>**イニストラードを覆う影ブロック</v>
      </c>
      <c r="B135" t="s">
        <v>4752</v>
      </c>
      <c r="C135" t="s">
        <v>4811</v>
      </c>
    </row>
    <row r="136" spans="1:49" x14ac:dyDescent="0.15">
      <c r="A136" t="str">
        <f>B136&amp;C136&amp;E136&amp;F136&amp;H136&amp;I136&amp;J136&amp;M136&amp;N136&amp;O136&amp;P136&amp;Q136&amp;R136&amp;S136&amp;T136&amp;U136&amp;V136&amp;W136&amp;X136&amp;Y136</f>
        <v>|LEFT:50|LEFT:50|LEFT:50|LEFT:250|LEFT:500|c</v>
      </c>
      <c r="B136" t="s">
        <v>3168</v>
      </c>
      <c r="C136" t="s">
        <v>3162</v>
      </c>
      <c r="E136" t="s">
        <v>3168</v>
      </c>
      <c r="F136" t="s">
        <v>3162</v>
      </c>
      <c r="H136" t="s">
        <v>3168</v>
      </c>
      <c r="I136" t="s">
        <v>3162</v>
      </c>
      <c r="J136" t="s">
        <v>3168</v>
      </c>
      <c r="O136" t="s">
        <v>4800</v>
      </c>
      <c r="R136" t="s">
        <v>3175</v>
      </c>
      <c r="T136" t="s">
        <v>3163</v>
      </c>
      <c r="X136" t="s">
        <v>3175</v>
      </c>
      <c r="Y136" t="s">
        <v>3164</v>
      </c>
    </row>
    <row r="137" spans="1:49" x14ac:dyDescent="0.15">
      <c r="A137" t="str">
        <f>B137&amp;C137&amp;E137&amp;F137&amp;H137&amp;I137&amp;J137&amp;M137&amp;N137&amp;O137&amp;P137&amp;Q137&amp;R137&amp;S137&amp;T137&amp;U137&amp;V137&amp;W137&amp;X137&amp;Y137</f>
        <v>|セット|色|コスト|能力|カード名|</v>
      </c>
      <c r="B137" t="s">
        <v>3168</v>
      </c>
      <c r="C137" t="s">
        <v>3169</v>
      </c>
      <c r="E137" t="s">
        <v>3168</v>
      </c>
      <c r="F137" t="s">
        <v>3139</v>
      </c>
      <c r="H137" t="s">
        <v>3168</v>
      </c>
      <c r="I137" t="s">
        <v>3165</v>
      </c>
      <c r="J137" t="s">
        <v>3168</v>
      </c>
      <c r="K137" t="s">
        <v>3126</v>
      </c>
      <c r="L137" t="s">
        <v>3125</v>
      </c>
      <c r="O137" t="s">
        <v>3174</v>
      </c>
      <c r="R137" t="s">
        <v>3175</v>
      </c>
      <c r="T137" t="s">
        <v>3166</v>
      </c>
      <c r="X137" t="s">
        <v>3175</v>
      </c>
      <c r="AE137" t="b">
        <f>OR(AC137="与える",AD137="得る")</f>
        <v>0</v>
      </c>
      <c r="AF137" s="12"/>
      <c r="AG137" s="12"/>
      <c r="AH137" s="12"/>
      <c r="AI137" s="12"/>
      <c r="AJ137" s="12"/>
      <c r="AK137" s="12"/>
      <c r="AL137" s="12"/>
      <c r="AM137" s="12"/>
      <c r="AN137" s="12"/>
      <c r="AO137" s="12"/>
      <c r="AP137" s="12"/>
      <c r="AQ137" s="12"/>
      <c r="AR137" s="12"/>
      <c r="AS137" s="12"/>
      <c r="AT137" s="12"/>
      <c r="AU137" s="12"/>
      <c r="AV137" s="12"/>
      <c r="AW137" s="12"/>
    </row>
    <row r="138" spans="1:49" x14ac:dyDescent="0.15">
      <c r="A138" t="str">
        <f>B138&amp;C138&amp;E138&amp;F138&amp;H138&amp;I138&amp;J138&amp;M138&amp;N138&amp;O138&amp;P138&amp;Q138&amp;R138&amp;S138&amp;T138&amp;U138&amp;V138&amp;W138&amp;X138</f>
        <v>|SOI|白|9|&amp;br;|《[[銀の一撃]]》|</v>
      </c>
      <c r="B138" t="s">
        <v>3168</v>
      </c>
      <c r="C138" t="str">
        <f>AI138</f>
        <v>SOI</v>
      </c>
      <c r="D138" t="str">
        <f>IF(AF138="","",VLOOKUP(C138,tnpl!$Z$1:$AA$11,2,TRUE))</f>
        <v/>
      </c>
      <c r="E138" t="s">
        <v>3168</v>
      </c>
      <c r="F138" t="str">
        <f>AJ138</f>
        <v>白</v>
      </c>
      <c r="G138" t="str">
        <f>IF(AG138="","",VLOOKUP(F138,tnpl!$X$1:$Y$16,2,TRUE))</f>
        <v/>
      </c>
      <c r="H138" t="s">
        <v>3168</v>
      </c>
      <c r="I138">
        <f>AL138</f>
        <v>9</v>
      </c>
      <c r="J138" t="s">
        <v>3168</v>
      </c>
      <c r="K138">
        <f>AT138</f>
        <v>0</v>
      </c>
      <c r="L138">
        <f>AU138</f>
        <v>0</v>
      </c>
      <c r="P138" t="s">
        <v>5607</v>
      </c>
      <c r="R138" t="s">
        <v>3175</v>
      </c>
      <c r="S138" t="s">
        <v>5608</v>
      </c>
      <c r="T138" t="str">
        <f>AM138</f>
        <v>銀の一撃</v>
      </c>
      <c r="U138" t="str">
        <f>IF(I138=0,"&gt;","")</f>
        <v/>
      </c>
      <c r="V138" t="str">
        <f>IF(I138=0,VLOOKUP(T138,Sheet4!A:B,2,TRUE),"")</f>
        <v/>
      </c>
      <c r="W138" t="s">
        <v>4751</v>
      </c>
      <c r="X138" t="s">
        <v>3175</v>
      </c>
      <c r="Z138" s="10" t="s">
        <v>3469</v>
      </c>
      <c r="AH138" s="3">
        <v>564</v>
      </c>
      <c r="AI138" s="2" t="s">
        <v>3431</v>
      </c>
      <c r="AJ138" s="1" t="s">
        <v>1627</v>
      </c>
      <c r="AK138" s="1" t="s">
        <v>1451</v>
      </c>
      <c r="AL138" s="1">
        <v>9</v>
      </c>
      <c r="AM138" s="1" t="s">
        <v>1379</v>
      </c>
      <c r="AN138" s="1" t="s">
        <v>1378</v>
      </c>
      <c r="AO138" s="1" t="s">
        <v>288</v>
      </c>
      <c r="AP138" s="1">
        <v>1</v>
      </c>
      <c r="AQ138" s="1"/>
      <c r="AR138" s="1"/>
      <c r="AS138" s="1" t="s">
        <v>3469</v>
      </c>
    </row>
    <row r="139" spans="1:49" x14ac:dyDescent="0.15">
      <c r="A139" t="str">
        <f>B139&amp;C139&amp;E139&amp;F139&amp;H139&amp;I139&amp;J139&amp;M139&amp;N139&amp;O139&amp;P139&amp;Q139&amp;R139&amp;S139&amp;T139&amp;U139&amp;V139&amp;W139&amp;X139</f>
        <v>|EMN|黒|11|&amp;br;|《[[リリアナの誓い]]》|</v>
      </c>
      <c r="B139" t="s">
        <v>3168</v>
      </c>
      <c r="C139" t="str">
        <f>AI139</f>
        <v>EMN</v>
      </c>
      <c r="D139" t="str">
        <f>IF(AF139="","",VLOOKUP(C139,tnpl!$Z$1:$AA$11,2,TRUE))</f>
        <v/>
      </c>
      <c r="E139" t="s">
        <v>3168</v>
      </c>
      <c r="F139" t="str">
        <f>AJ139</f>
        <v>黒</v>
      </c>
      <c r="G139" t="str">
        <f>IF(AG139="","",VLOOKUP(F139,tnpl!$X$1:$Y$16,2,TRUE))</f>
        <v/>
      </c>
      <c r="H139" t="s">
        <v>3168</v>
      </c>
      <c r="I139">
        <f>AL139</f>
        <v>11</v>
      </c>
      <c r="J139" t="s">
        <v>3168</v>
      </c>
      <c r="K139">
        <f>AT139</f>
        <v>0</v>
      </c>
      <c r="L139">
        <f>AU139</f>
        <v>0</v>
      </c>
      <c r="P139" t="s">
        <v>5607</v>
      </c>
      <c r="R139" t="s">
        <v>3175</v>
      </c>
      <c r="S139" t="s">
        <v>5608</v>
      </c>
      <c r="T139" t="str">
        <f>AM139</f>
        <v>リリアナの誓い</v>
      </c>
      <c r="U139" t="str">
        <f>IF(I139=0,"&gt;","")</f>
        <v/>
      </c>
      <c r="V139" t="str">
        <f>IF(I139=0,VLOOKUP(T139,Sheet4!A:B,2,TRUE),"")</f>
        <v/>
      </c>
      <c r="W139" t="s">
        <v>4751</v>
      </c>
      <c r="X139" t="s">
        <v>3175</v>
      </c>
      <c r="Z139" s="10" t="s">
        <v>3847</v>
      </c>
      <c r="AH139" s="3">
        <v>789</v>
      </c>
      <c r="AI139" s="2" t="s">
        <v>3773</v>
      </c>
      <c r="AJ139" s="1" t="s">
        <v>1582</v>
      </c>
      <c r="AK139" s="1" t="s">
        <v>1441</v>
      </c>
      <c r="AL139" s="1">
        <v>11</v>
      </c>
      <c r="AM139" s="1" t="s">
        <v>938</v>
      </c>
      <c r="AN139" s="1" t="s">
        <v>937</v>
      </c>
      <c r="AO139" s="1" t="s">
        <v>288</v>
      </c>
      <c r="AP139" s="1">
        <v>3</v>
      </c>
      <c r="AQ139" s="1"/>
      <c r="AR139" s="1"/>
      <c r="AS139" s="1" t="s">
        <v>3847</v>
      </c>
    </row>
    <row r="140" spans="1:49" x14ac:dyDescent="0.15">
      <c r="A140" t="str">
        <f>B140&amp;C140&amp;E140&amp;F140&amp;H140&amp;I140&amp;J140&amp;M140&amp;N140&amp;O140&amp;P140&amp;Q140&amp;R140&amp;S140&amp;T140&amp;V140&amp;W140&amp;X140&amp;Y140</f>
        <v/>
      </c>
      <c r="Z140"/>
    </row>
    <row r="141" spans="1:49" x14ac:dyDescent="0.15">
      <c r="A141" t="str">
        <f>B141&amp;C141&amp;E141&amp;F141&amp;H141&amp;I141&amp;J141&amp;M141&amp;N141&amp;O141&amp;P141&amp;Q141&amp;R141&amp;S141&amp;T141&amp;V141&amp;W141&amp;X141&amp;Y141</f>
        <v>**カラデシュブロック</v>
      </c>
      <c r="B141" t="s">
        <v>4752</v>
      </c>
      <c r="C141" t="s">
        <v>4812</v>
      </c>
    </row>
    <row r="142" spans="1:49" x14ac:dyDescent="0.15">
      <c r="A142" t="str">
        <f>B142&amp;C142&amp;E142&amp;F142&amp;H142&amp;I142&amp;J142&amp;M142&amp;N142&amp;O142&amp;P142&amp;Q142&amp;R142&amp;S142&amp;T142&amp;U142&amp;V142&amp;W142&amp;X142&amp;Y142</f>
        <v>|LEFT:50|LEFT:50|LEFT:50|LEFT:250|LEFT:500|c</v>
      </c>
      <c r="B142" t="s">
        <v>3168</v>
      </c>
      <c r="C142" t="s">
        <v>3162</v>
      </c>
      <c r="E142" t="s">
        <v>3168</v>
      </c>
      <c r="F142" t="s">
        <v>3162</v>
      </c>
      <c r="H142" t="s">
        <v>3168</v>
      </c>
      <c r="I142" t="s">
        <v>3162</v>
      </c>
      <c r="J142" t="s">
        <v>3168</v>
      </c>
      <c r="O142" t="s">
        <v>4800</v>
      </c>
      <c r="R142" t="s">
        <v>3175</v>
      </c>
      <c r="T142" t="s">
        <v>3163</v>
      </c>
      <c r="X142" t="s">
        <v>3175</v>
      </c>
      <c r="Y142" t="s">
        <v>3164</v>
      </c>
    </row>
    <row r="143" spans="1:49" x14ac:dyDescent="0.15">
      <c r="A143" t="str">
        <f>B143&amp;C143&amp;E143&amp;F143&amp;H143&amp;I143&amp;J143&amp;M143&amp;N143&amp;O143&amp;P143&amp;Q143&amp;R143&amp;S143&amp;T143&amp;U143&amp;V143&amp;W143&amp;X143&amp;Y143</f>
        <v>|セット|色|コスト|能力|カード名|</v>
      </c>
      <c r="B143" t="s">
        <v>3168</v>
      </c>
      <c r="C143" t="s">
        <v>3169</v>
      </c>
      <c r="E143" t="s">
        <v>3168</v>
      </c>
      <c r="F143" t="s">
        <v>3139</v>
      </c>
      <c r="H143" t="s">
        <v>3168</v>
      </c>
      <c r="I143" t="s">
        <v>3165</v>
      </c>
      <c r="J143" t="s">
        <v>3168</v>
      </c>
      <c r="K143" t="s">
        <v>3126</v>
      </c>
      <c r="L143" t="s">
        <v>3125</v>
      </c>
      <c r="O143" t="s">
        <v>3174</v>
      </c>
      <c r="R143" t="s">
        <v>3175</v>
      </c>
      <c r="T143" t="s">
        <v>3166</v>
      </c>
      <c r="X143" t="s">
        <v>3175</v>
      </c>
      <c r="AE143" t="b">
        <f>OR(AC143="与える",AD143="得る")</f>
        <v>0</v>
      </c>
      <c r="AF143" s="12"/>
      <c r="AG143" s="12"/>
      <c r="AH143" s="12"/>
      <c r="AI143" s="12"/>
      <c r="AJ143" s="12"/>
      <c r="AK143" s="12"/>
      <c r="AL143" s="12"/>
      <c r="AM143" s="12"/>
      <c r="AN143" s="12"/>
      <c r="AO143" s="12"/>
      <c r="AP143" s="12"/>
      <c r="AQ143" s="12"/>
      <c r="AR143" s="12"/>
      <c r="AS143" s="12"/>
      <c r="AT143" s="12"/>
      <c r="AU143" s="12"/>
      <c r="AV143" s="12"/>
      <c r="AW143" s="12"/>
    </row>
    <row r="144" spans="1:49" x14ac:dyDescent="0.15">
      <c r="A144" t="str">
        <f>B144&amp;C144&amp;E144&amp;F144&amp;H144&amp;I144&amp;J144&amp;M144&amp;N144&amp;O144&amp;P144&amp;Q144&amp;R144&amp;S144&amp;T144&amp;U144&amp;V144&amp;W144&amp;X144</f>
        <v>|KLD|黒|7|&amp;br;|《[[奥の手]]》|</v>
      </c>
      <c r="B144" t="s">
        <v>3168</v>
      </c>
      <c r="C144" t="str">
        <f>AI144</f>
        <v>KLD</v>
      </c>
      <c r="D144" t="str">
        <f>IF(AF144="","",VLOOKUP(C144,tnpl!$Z$1:$AA$11,2,TRUE))</f>
        <v/>
      </c>
      <c r="E144" t="s">
        <v>3168</v>
      </c>
      <c r="F144" t="str">
        <f>AJ144</f>
        <v>黒</v>
      </c>
      <c r="G144" t="str">
        <f>IF(AG144="","",VLOOKUP(F144,tnpl!$X$1:$Y$16,2,TRUE))</f>
        <v/>
      </c>
      <c r="H144" t="s">
        <v>3168</v>
      </c>
      <c r="I144">
        <f>AL144</f>
        <v>7</v>
      </c>
      <c r="J144" t="s">
        <v>3168</v>
      </c>
      <c r="K144">
        <f>AT144</f>
        <v>0</v>
      </c>
      <c r="L144">
        <f>AU144</f>
        <v>0</v>
      </c>
      <c r="P144" t="s">
        <v>5607</v>
      </c>
      <c r="R144" t="s">
        <v>3175</v>
      </c>
      <c r="S144" t="s">
        <v>5608</v>
      </c>
      <c r="T144" t="str">
        <f>AM144</f>
        <v>奥の手</v>
      </c>
      <c r="U144" t="str">
        <f>IF(I144=0,"&gt;","")</f>
        <v/>
      </c>
      <c r="V144" t="str">
        <f>IF(I144=0,VLOOKUP(T144,Sheet4!A:B,2,TRUE),"")</f>
        <v/>
      </c>
      <c r="W144" t="s">
        <v>4751</v>
      </c>
      <c r="X144" t="s">
        <v>3175</v>
      </c>
      <c r="Z144" s="10" t="s">
        <v>4065</v>
      </c>
      <c r="AH144" s="3">
        <v>910</v>
      </c>
      <c r="AI144" s="2" t="s">
        <v>3937</v>
      </c>
      <c r="AJ144" s="1" t="s">
        <v>1582</v>
      </c>
      <c r="AK144" s="1" t="s">
        <v>1441</v>
      </c>
      <c r="AL144" s="1">
        <v>7</v>
      </c>
      <c r="AM144" s="1" t="s">
        <v>691</v>
      </c>
      <c r="AN144" s="1" t="s">
        <v>690</v>
      </c>
      <c r="AO144" s="1" t="s">
        <v>288</v>
      </c>
      <c r="AP144" s="1">
        <v>3</v>
      </c>
      <c r="AQ144" s="1"/>
      <c r="AR144" s="1"/>
      <c r="AS144" s="1" t="s">
        <v>4065</v>
      </c>
    </row>
    <row r="145" spans="1:49" x14ac:dyDescent="0.15">
      <c r="A145" t="str">
        <f>B145&amp;C145&amp;E145&amp;F145&amp;H145&amp;I145&amp;J145&amp;M145&amp;N145&amp;O145&amp;P145&amp;Q145&amp;R145&amp;S145&amp;T145&amp;V145&amp;W145&amp;X145&amp;Y145</f>
        <v/>
      </c>
      <c r="Z145"/>
    </row>
    <row r="146" spans="1:49" x14ac:dyDescent="0.15">
      <c r="A146" t="str">
        <f>B146&amp;C146&amp;E146&amp;F146&amp;H146&amp;I146&amp;J146&amp;M146&amp;N146&amp;O146&amp;P146&amp;Q146&amp;R146&amp;S146&amp;T146&amp;V146&amp;W146&amp;X146&amp;Y146</f>
        <v>**アモンケット</v>
      </c>
      <c r="B146" t="s">
        <v>4752</v>
      </c>
      <c r="C146" t="s">
        <v>5628</v>
      </c>
    </row>
    <row r="147" spans="1:49" x14ac:dyDescent="0.15">
      <c r="A147" t="str">
        <f>B147&amp;C147&amp;E147&amp;F147&amp;H147&amp;I147&amp;J147&amp;M147&amp;N147&amp;O147&amp;P147&amp;Q147&amp;R147&amp;S147&amp;T147&amp;U147&amp;V147&amp;W147&amp;X147&amp;Y147</f>
        <v>|LEFT:50|LEFT:50|LEFT:50|LEFT:250|LEFT:500|c</v>
      </c>
      <c r="B147" t="s">
        <v>3168</v>
      </c>
      <c r="C147" t="s">
        <v>3162</v>
      </c>
      <c r="E147" t="s">
        <v>3168</v>
      </c>
      <c r="F147" t="s">
        <v>3162</v>
      </c>
      <c r="H147" t="s">
        <v>3168</v>
      </c>
      <c r="I147" t="s">
        <v>3162</v>
      </c>
      <c r="J147" t="s">
        <v>3168</v>
      </c>
      <c r="O147" t="s">
        <v>4800</v>
      </c>
      <c r="R147" t="s">
        <v>3175</v>
      </c>
      <c r="T147" t="s">
        <v>3163</v>
      </c>
      <c r="X147" t="s">
        <v>3175</v>
      </c>
      <c r="Y147" t="s">
        <v>3164</v>
      </c>
    </row>
    <row r="148" spans="1:49" x14ac:dyDescent="0.15">
      <c r="A148" t="str">
        <f>B148&amp;C148&amp;E148&amp;F148&amp;H148&amp;I148&amp;J148&amp;M148&amp;N148&amp;O148&amp;P148&amp;Q148&amp;R148&amp;S148&amp;T148&amp;U148&amp;V148&amp;W148&amp;X148&amp;Y148</f>
        <v>|セット|色|コスト|能力|カード名|</v>
      </c>
      <c r="B148" t="s">
        <v>3168</v>
      </c>
      <c r="C148" t="s">
        <v>3169</v>
      </c>
      <c r="E148" t="s">
        <v>3168</v>
      </c>
      <c r="F148" t="s">
        <v>3139</v>
      </c>
      <c r="H148" t="s">
        <v>3168</v>
      </c>
      <c r="I148" t="s">
        <v>3165</v>
      </c>
      <c r="J148" t="s">
        <v>3168</v>
      </c>
      <c r="K148" t="s">
        <v>3126</v>
      </c>
      <c r="L148" t="s">
        <v>3125</v>
      </c>
      <c r="O148" t="s">
        <v>3174</v>
      </c>
      <c r="R148" t="s">
        <v>3175</v>
      </c>
      <c r="T148" t="s">
        <v>3166</v>
      </c>
      <c r="X148" t="s">
        <v>3175</v>
      </c>
      <c r="AE148" t="b">
        <f>OR(AC148="与える",AD148="得る")</f>
        <v>0</v>
      </c>
      <c r="AF148" s="12"/>
      <c r="AG148" s="12"/>
      <c r="AH148" s="12"/>
      <c r="AI148" s="12"/>
      <c r="AJ148" s="12"/>
      <c r="AK148" s="12"/>
      <c r="AL148" s="12"/>
      <c r="AM148" s="12"/>
      <c r="AN148" s="12"/>
      <c r="AO148" s="12"/>
      <c r="AP148" s="12"/>
      <c r="AQ148" s="12"/>
      <c r="AR148" s="12"/>
      <c r="AS148" s="12"/>
      <c r="AT148" s="12"/>
      <c r="AU148" s="12"/>
      <c r="AV148" s="12"/>
      <c r="AW148" s="12"/>
    </row>
    <row r="149" spans="1:49" x14ac:dyDescent="0.15">
      <c r="A149" t="str">
        <f>B149&amp;C149&amp;E149&amp;F149&amp;H149&amp;I149&amp;J149&amp;M149&amp;N149&amp;O149&amp;P149&amp;Q149&amp;R149&amp;S149&amp;T149&amp;U149&amp;V149&amp;W149&amp;X149</f>
        <v>|AKH|黒|8|&amp;br;|《[[野望の試練]]》|</v>
      </c>
      <c r="B149" t="s">
        <v>3168</v>
      </c>
      <c r="C149" t="str">
        <f>AI149</f>
        <v>AKH</v>
      </c>
      <c r="D149" t="str">
        <f>IF(AF149="","",VLOOKUP(C149,tnpl!$Z$1:$AA$11,2,TRUE))</f>
        <v/>
      </c>
      <c r="E149" t="s">
        <v>3168</v>
      </c>
      <c r="F149" t="str">
        <f>AJ149</f>
        <v>黒</v>
      </c>
      <c r="G149" t="str">
        <f>IF(AG149="","",VLOOKUP(F149,tnpl!$X$1:$Y$16,2,TRUE))</f>
        <v/>
      </c>
      <c r="H149" t="s">
        <v>3168</v>
      </c>
      <c r="I149">
        <f>AL149</f>
        <v>8</v>
      </c>
      <c r="J149" t="s">
        <v>3168</v>
      </c>
      <c r="K149">
        <f>AT149</f>
        <v>0</v>
      </c>
      <c r="L149">
        <f>AU149</f>
        <v>0</v>
      </c>
      <c r="P149" t="s">
        <v>5607</v>
      </c>
      <c r="R149" t="s">
        <v>3175</v>
      </c>
      <c r="S149" t="s">
        <v>5608</v>
      </c>
      <c r="T149" t="str">
        <f>AM149</f>
        <v>野望の試練</v>
      </c>
      <c r="U149" t="str">
        <f>IF(I149=0,"&gt;","")</f>
        <v/>
      </c>
      <c r="V149" t="str">
        <f>IF(I149=0,VLOOKUP(T149,Sheet4!A:B,2,TRUE),"")</f>
        <v/>
      </c>
      <c r="W149" t="s">
        <v>4751</v>
      </c>
      <c r="X149" t="s">
        <v>3175</v>
      </c>
      <c r="Z149" s="10" t="s">
        <v>4481</v>
      </c>
      <c r="AH149" s="3">
        <v>1169</v>
      </c>
      <c r="AI149" s="2" t="s">
        <v>4349</v>
      </c>
      <c r="AJ149" s="1" t="s">
        <v>1582</v>
      </c>
      <c r="AK149" s="1" t="s">
        <v>1451</v>
      </c>
      <c r="AL149" s="1">
        <v>8</v>
      </c>
      <c r="AM149" s="1" t="s">
        <v>159</v>
      </c>
      <c r="AN149" s="1" t="s">
        <v>158</v>
      </c>
      <c r="AO149" s="1" t="s">
        <v>288</v>
      </c>
      <c r="AP149" s="1">
        <v>3</v>
      </c>
      <c r="AQ149" s="1"/>
      <c r="AR149" s="1"/>
      <c r="AS149" s="1" t="s">
        <v>4481</v>
      </c>
    </row>
    <row r="150" spans="1:49" x14ac:dyDescent="0.15">
      <c r="A150" t="str">
        <f>B150&amp;C150&amp;E150&amp;F150&amp;H150&amp;I150&amp;J150&amp;M150&amp;N150&amp;O150&amp;P150&amp;Q150&amp;R150&amp;S150&amp;T150&amp;V150&amp;W150&amp;X150&amp;Y150</f>
        <v/>
      </c>
      <c r="Z150"/>
    </row>
    <row r="151" spans="1:49" x14ac:dyDescent="0.15">
      <c r="A151" t="str">
        <f>B151&amp;C151&amp;E151&amp;F151&amp;H151&amp;I151&amp;J151&amp;M151&amp;N151&amp;O151&amp;P151&amp;Q151&amp;R151&amp;S151&amp;T151&amp;V151&amp;W151&amp;X151&amp;Y151</f>
        <v>**破滅の刻</v>
      </c>
      <c r="B151" t="s">
        <v>4752</v>
      </c>
      <c r="C151" t="s">
        <v>5629</v>
      </c>
    </row>
    <row r="152" spans="1:49" x14ac:dyDescent="0.15">
      <c r="A152" t="str">
        <f>B152&amp;C152&amp;E152&amp;F152&amp;H152&amp;I152&amp;J152&amp;M152&amp;N152&amp;O152&amp;P152&amp;Q152&amp;R152&amp;S152&amp;T152&amp;U152&amp;V152&amp;W152&amp;X152&amp;Y152</f>
        <v>|LEFT:50|LEFT:50|LEFT:50|LEFT:250|LEFT:500|c</v>
      </c>
      <c r="B152" t="s">
        <v>3168</v>
      </c>
      <c r="C152" t="s">
        <v>3162</v>
      </c>
      <c r="E152" t="s">
        <v>3168</v>
      </c>
      <c r="F152" t="s">
        <v>3162</v>
      </c>
      <c r="H152" t="s">
        <v>3168</v>
      </c>
      <c r="I152" t="s">
        <v>3162</v>
      </c>
      <c r="J152" t="s">
        <v>3168</v>
      </c>
      <c r="O152" t="s">
        <v>4800</v>
      </c>
      <c r="R152" t="s">
        <v>3175</v>
      </c>
      <c r="T152" t="s">
        <v>3163</v>
      </c>
      <c r="X152" t="s">
        <v>3175</v>
      </c>
      <c r="Y152" t="s">
        <v>3164</v>
      </c>
    </row>
    <row r="153" spans="1:49" x14ac:dyDescent="0.15">
      <c r="A153" t="str">
        <f>B153&amp;C153&amp;E153&amp;F153&amp;H153&amp;I153&amp;J153&amp;M153&amp;N153&amp;O153&amp;P153&amp;Q153&amp;R153&amp;S153&amp;T153&amp;U153&amp;V153&amp;W153&amp;X153&amp;Y153</f>
        <v>|セット|色|コスト|能力|カード名|</v>
      </c>
      <c r="B153" t="s">
        <v>3168</v>
      </c>
      <c r="C153" t="s">
        <v>3169</v>
      </c>
      <c r="E153" t="s">
        <v>3168</v>
      </c>
      <c r="F153" t="s">
        <v>3139</v>
      </c>
      <c r="H153" t="s">
        <v>3168</v>
      </c>
      <c r="I153" t="s">
        <v>3165</v>
      </c>
      <c r="J153" t="s">
        <v>3168</v>
      </c>
      <c r="K153" t="s">
        <v>3126</v>
      </c>
      <c r="L153" t="s">
        <v>3125</v>
      </c>
      <c r="O153" t="s">
        <v>3174</v>
      </c>
      <c r="R153" t="s">
        <v>3175</v>
      </c>
      <c r="T153" t="s">
        <v>3166</v>
      </c>
      <c r="X153" t="s">
        <v>3175</v>
      </c>
      <c r="AE153" t="b">
        <f>OR(AC153="与える",AD153="得る")</f>
        <v>0</v>
      </c>
      <c r="AF153" s="12"/>
      <c r="AG153" s="12"/>
      <c r="AH153" s="12"/>
      <c r="AI153" s="12"/>
      <c r="AJ153" s="12"/>
      <c r="AK153" s="12"/>
      <c r="AL153" s="12"/>
      <c r="AM153" s="12"/>
      <c r="AN153" s="12"/>
      <c r="AO153" s="12"/>
      <c r="AP153" s="12"/>
      <c r="AQ153" s="12"/>
      <c r="AR153" s="12"/>
      <c r="AS153" s="12"/>
      <c r="AT153" s="12"/>
      <c r="AU153" s="12"/>
      <c r="AV153" s="12"/>
      <c r="AW153" s="12"/>
    </row>
    <row r="154" spans="1:49" x14ac:dyDescent="0.15">
      <c r="A154" t="str">
        <f>B154&amp;C154&amp;E154&amp;F154&amp;H154&amp;I154&amp;J154&amp;M154&amp;N154&amp;O154&amp;P154&amp;Q154&amp;R154&amp;S154&amp;T154&amp;U154&amp;V154&amp;W154&amp;X154</f>
        <v>|HOU|白青|10|&amp;br;|《[[農場+市場]]》|</v>
      </c>
      <c r="B154" t="s">
        <v>3168</v>
      </c>
      <c r="C154" t="str">
        <f>AI154</f>
        <v>HOU</v>
      </c>
      <c r="D154" t="str">
        <f>IF(AF154="","",VLOOKUP(C154,tnpl!$Z$1:$AA$11,2,TRUE))</f>
        <v/>
      </c>
      <c r="E154" t="s">
        <v>3168</v>
      </c>
      <c r="F154" t="str">
        <f>AJ154</f>
        <v>白青</v>
      </c>
      <c r="G154" t="str">
        <f>IF(AG154="","",VLOOKUP(F154,tnpl!$X$1:$Y$16,2,TRUE))</f>
        <v/>
      </c>
      <c r="H154" t="s">
        <v>3168</v>
      </c>
      <c r="I154">
        <f>AL154</f>
        <v>10</v>
      </c>
      <c r="J154" t="s">
        <v>3168</v>
      </c>
      <c r="K154">
        <f>AT154</f>
        <v>0</v>
      </c>
      <c r="L154">
        <f>AU154</f>
        <v>0</v>
      </c>
      <c r="P154" t="s">
        <v>5607</v>
      </c>
      <c r="R154" t="s">
        <v>3175</v>
      </c>
      <c r="S154" t="s">
        <v>5608</v>
      </c>
      <c r="T154" t="str">
        <f>AM154</f>
        <v>農場+市場</v>
      </c>
      <c r="U154" t="str">
        <f>IF(I154=0,"&gt;","")</f>
        <v/>
      </c>
      <c r="V154" t="str">
        <f>IF(I154=0,VLOOKUP(T154,Sheet4!A:B,2,TRUE),"")</f>
        <v/>
      </c>
      <c r="W154" t="s">
        <v>4751</v>
      </c>
      <c r="X154" t="s">
        <v>3175</v>
      </c>
      <c r="Z154" s="10" t="s">
        <v>5565</v>
      </c>
      <c r="AH154" s="9"/>
      <c r="AI154" t="s">
        <v>4926</v>
      </c>
      <c r="AJ154" t="s">
        <v>1512</v>
      </c>
      <c r="AK154" t="s">
        <v>1451</v>
      </c>
      <c r="AL154">
        <v>10</v>
      </c>
      <c r="AM154" t="s">
        <v>5584</v>
      </c>
      <c r="AN154" t="s">
        <v>5336</v>
      </c>
      <c r="AO154" t="s">
        <v>288</v>
      </c>
      <c r="AP154">
        <v>1</v>
      </c>
      <c r="AQ154" t="s">
        <v>4756</v>
      </c>
      <c r="AR154" t="s">
        <v>4756</v>
      </c>
      <c r="AS154" t="s">
        <v>5565</v>
      </c>
    </row>
    <row r="155" spans="1:49" x14ac:dyDescent="0.15">
      <c r="A155" t="str">
        <f>B155&amp;C155&amp;E155&amp;F155&amp;H155&amp;I155&amp;J155&amp;M155&amp;N155&amp;O155&amp;P155&amp;Q155&amp;R155&amp;S155&amp;T155&amp;U155&amp;V155&amp;W155&amp;X155</f>
        <v>|HOUM|黒|12|&amp;br;|《[[無慈悲]]》|</v>
      </c>
      <c r="B155" t="s">
        <v>3168</v>
      </c>
      <c r="C155" t="str">
        <f>AI155</f>
        <v>HOUM</v>
      </c>
      <c r="D155" t="str">
        <f>IF(AF155="","",VLOOKUP(C155,tnpl!$Z$1:$AA$11,2,TRUE))</f>
        <v/>
      </c>
      <c r="E155" t="s">
        <v>3168</v>
      </c>
      <c r="F155" t="str">
        <f>AJ155</f>
        <v>黒</v>
      </c>
      <c r="G155" t="str">
        <f>IF(AG155="","",VLOOKUP(F155,tnpl!$X$1:$Y$16,2,TRUE))</f>
        <v/>
      </c>
      <c r="H155" t="s">
        <v>3168</v>
      </c>
      <c r="I155">
        <f>AL155</f>
        <v>12</v>
      </c>
      <c r="J155" t="s">
        <v>3168</v>
      </c>
      <c r="K155">
        <f>AT155</f>
        <v>0</v>
      </c>
      <c r="L155">
        <f>AU155</f>
        <v>0</v>
      </c>
      <c r="P155" t="s">
        <v>5607</v>
      </c>
      <c r="R155" t="s">
        <v>3175</v>
      </c>
      <c r="S155" t="s">
        <v>5608</v>
      </c>
      <c r="T155" t="str">
        <f>AM155</f>
        <v>無慈悲</v>
      </c>
      <c r="U155" t="str">
        <f>IF(I155=0,"&gt;","")</f>
        <v/>
      </c>
      <c r="V155" t="str">
        <f>IF(I155=0,VLOOKUP(T155,Sheet4!A:B,2,TRUE),"")</f>
        <v/>
      </c>
      <c r="W155" t="s">
        <v>4751</v>
      </c>
      <c r="X155" t="s">
        <v>3175</v>
      </c>
      <c r="Z155" s="10" t="s">
        <v>5493</v>
      </c>
      <c r="AH155" s="9"/>
      <c r="AI155" t="s">
        <v>5474</v>
      </c>
      <c r="AJ155" t="s">
        <v>1582</v>
      </c>
      <c r="AK155" t="s">
        <v>3161</v>
      </c>
      <c r="AL155">
        <v>12</v>
      </c>
      <c r="AM155" t="s">
        <v>5491</v>
      </c>
      <c r="AN155" t="s">
        <v>5492</v>
      </c>
      <c r="AO155" t="s">
        <v>288</v>
      </c>
      <c r="AQ155" t="s">
        <v>4756</v>
      </c>
      <c r="AR155" t="s">
        <v>4756</v>
      </c>
      <c r="AS155" t="s">
        <v>5493</v>
      </c>
    </row>
  </sheetData>
  <phoneticPr fontId="1"/>
  <conditionalFormatting sqref="Z1:Z9 Z54:Z58 Z123:Z125 Z132:Z133 Z138:Z139 Z144 Z149 Z154:Z1048576">
    <cfRule type="containsText" dxfId="37" priority="57" operator="containsText" text="末裔">
      <formula>NOT(ISERROR(SEARCH("末裔",Z1)))</formula>
    </cfRule>
  </conditionalFormatting>
  <conditionalFormatting sqref="Z10:Z12 Z53">
    <cfRule type="containsText" dxfId="36" priority="39" operator="containsText" text="末裔">
      <formula>NOT(ISERROR(SEARCH("末裔",Z10)))</formula>
    </cfRule>
  </conditionalFormatting>
  <conditionalFormatting sqref="Z13:Z15 Z19:Z22 Z27:Z32 Z37:Z39 Z44:Z47 Z52">
    <cfRule type="containsText" dxfId="35" priority="38" operator="containsText" text="末裔">
      <formula>NOT(ISERROR(SEARCH("末裔",Z13)))</formula>
    </cfRule>
  </conditionalFormatting>
  <conditionalFormatting sqref="AR149">
    <cfRule type="cellIs" dxfId="34" priority="941" operator="notEqual">
      <formula>$P274</formula>
    </cfRule>
  </conditionalFormatting>
  <conditionalFormatting sqref="AR144">
    <cfRule type="cellIs" dxfId="33" priority="951" operator="notEqual">
      <formula>$P267</formula>
    </cfRule>
  </conditionalFormatting>
  <conditionalFormatting sqref="AR139">
    <cfRule type="cellIs" dxfId="32" priority="956" operator="notEqual">
      <formula>$P260</formula>
    </cfRule>
  </conditionalFormatting>
  <conditionalFormatting sqref="AR138">
    <cfRule type="cellIs" dxfId="31" priority="976" operator="notEqual">
      <formula>$P247</formula>
    </cfRule>
  </conditionalFormatting>
  <conditionalFormatting sqref="AR132:AR133">
    <cfRule type="cellIs" dxfId="30" priority="986" operator="notEqual">
      <formula>$P236</formula>
    </cfRule>
  </conditionalFormatting>
  <conditionalFormatting sqref="AR13">
    <cfRule type="cellIs" dxfId="29" priority="991" operator="notEqual">
      <formula>$P155</formula>
    </cfRule>
  </conditionalFormatting>
  <conditionalFormatting sqref="AR44:AR47">
    <cfRule type="cellIs" dxfId="28" priority="992" operator="notEqual">
      <formula>$P170</formula>
    </cfRule>
  </conditionalFormatting>
  <conditionalFormatting sqref="Z59:Z71 Z75:Z85 Z90:Z96 Z101:Z106 Z111:Z113 Z118:Z122">
    <cfRule type="containsText" dxfId="27" priority="33" operator="containsText" text="末裔">
      <formula>NOT(ISERROR(SEARCH("末裔",Z59)))</formula>
    </cfRule>
  </conditionalFormatting>
  <conditionalFormatting sqref="AR59:AR62">
    <cfRule type="cellIs" dxfId="26" priority="32" operator="notEqual">
      <formula>$P59</formula>
    </cfRule>
  </conditionalFormatting>
  <conditionalFormatting sqref="AR65:AR67">
    <cfRule type="cellIs" dxfId="25" priority="31" operator="notEqual">
      <formula>$P168</formula>
    </cfRule>
  </conditionalFormatting>
  <conditionalFormatting sqref="AR63">
    <cfRule type="cellIs" dxfId="24" priority="30" operator="notEqual">
      <formula>$P164</formula>
    </cfRule>
  </conditionalFormatting>
  <conditionalFormatting sqref="AR68:AR71">
    <cfRule type="cellIs" dxfId="23" priority="29" operator="notEqual">
      <formula>$P172</formula>
    </cfRule>
  </conditionalFormatting>
  <conditionalFormatting sqref="AR75:AR81">
    <cfRule type="cellIs" dxfId="22" priority="34" operator="notEqual">
      <formula>$P176</formula>
    </cfRule>
  </conditionalFormatting>
  <conditionalFormatting sqref="AR64">
    <cfRule type="cellIs" dxfId="21" priority="35" operator="notEqual">
      <formula>$P166</formula>
    </cfRule>
  </conditionalFormatting>
  <conditionalFormatting sqref="AR90:AR91">
    <cfRule type="cellIs" dxfId="20" priority="27" operator="notEqual">
      <formula>$P190</formula>
    </cfRule>
  </conditionalFormatting>
  <conditionalFormatting sqref="AR82:AR85">
    <cfRule type="cellIs" dxfId="19" priority="28" operator="notEqual">
      <formula>$P185</formula>
    </cfRule>
  </conditionalFormatting>
  <conditionalFormatting sqref="AR95:AR96">
    <cfRule type="cellIs" dxfId="18" priority="24" operator="notEqual">
      <formula>$P199</formula>
    </cfRule>
  </conditionalFormatting>
  <conditionalFormatting sqref="AR93:AR94">
    <cfRule type="cellIs" dxfId="17" priority="25" operator="notEqual">
      <formula>$P196</formula>
    </cfRule>
  </conditionalFormatting>
  <conditionalFormatting sqref="AR92">
    <cfRule type="cellIs" dxfId="16" priority="26" operator="notEqual">
      <formula>$P193</formula>
    </cfRule>
  </conditionalFormatting>
  <conditionalFormatting sqref="AR103:AR105">
    <cfRule type="cellIs" dxfId="15" priority="22" operator="notEqual">
      <formula>$P206</formula>
    </cfRule>
  </conditionalFormatting>
  <conditionalFormatting sqref="AR101:AR102">
    <cfRule type="cellIs" dxfId="14" priority="23" operator="notEqual">
      <formula>$P203</formula>
    </cfRule>
  </conditionalFormatting>
  <conditionalFormatting sqref="AR111">
    <cfRule type="cellIs" dxfId="13" priority="20" operator="notEqual">
      <formula>$P214</formula>
    </cfRule>
  </conditionalFormatting>
  <conditionalFormatting sqref="AR106">
    <cfRule type="cellIs" dxfId="12" priority="21" operator="notEqual">
      <formula>$P211</formula>
    </cfRule>
  </conditionalFormatting>
  <conditionalFormatting sqref="AR112:AR113">
    <cfRule type="cellIs" dxfId="11" priority="19" operator="notEqual">
      <formula>$P217</formula>
    </cfRule>
  </conditionalFormatting>
  <conditionalFormatting sqref="AR14:AR15">
    <cfRule type="cellIs" dxfId="10" priority="997" operator="notEqual">
      <formula>#REF!</formula>
    </cfRule>
  </conditionalFormatting>
  <conditionalFormatting sqref="Z16:Z18">
    <cfRule type="containsText" dxfId="9" priority="18" operator="containsText" text="末裔">
      <formula>NOT(ISERROR(SEARCH("末裔",Z16)))</formula>
    </cfRule>
  </conditionalFormatting>
  <conditionalFormatting sqref="AR19:AR22">
    <cfRule type="cellIs" dxfId="8" priority="998" operator="notEqual">
      <formula>$P157</formula>
    </cfRule>
  </conditionalFormatting>
  <conditionalFormatting sqref="AR27:AR32">
    <cfRule type="cellIs" dxfId="7" priority="999" operator="notEqual">
      <formula>$P161</formula>
    </cfRule>
  </conditionalFormatting>
  <conditionalFormatting sqref="AR37:AR39">
    <cfRule type="cellIs" dxfId="6" priority="1000" operator="notEqual">
      <formula>$P167</formula>
    </cfRule>
  </conditionalFormatting>
  <conditionalFormatting sqref="Z72:Z74">
    <cfRule type="containsText" dxfId="5" priority="13" operator="containsText" text="末裔">
      <formula>NOT(ISERROR(SEARCH("末裔",Z72)))</formula>
    </cfRule>
  </conditionalFormatting>
  <conditionalFormatting sqref="Z129:Z131">
    <cfRule type="containsText" dxfId="4" priority="6" operator="containsText" text="末裔">
      <formula>NOT(ISERROR(SEARCH("末裔",Z129)))</formula>
    </cfRule>
  </conditionalFormatting>
  <conditionalFormatting sqref="Z126:Z128">
    <cfRule type="containsText" dxfId="3" priority="1" operator="containsText" text="末裔">
      <formula>NOT(ISERROR(SEARCH("末裔",Z126)))</formula>
    </cfRule>
  </conditionalFormatting>
  <dataValidations count="1">
    <dataValidation type="list" allowBlank="1" showInputMessage="1" showErrorMessage="1" sqref="AK59:AK62">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17" operator="notEqual" id="{756EF378-95CE-4A36-9EA0-7AAFC7D0E5F7}">
            <xm:f>TAG!$P129</xm:f>
            <x14:dxf>
              <fill>
                <patternFill>
                  <bgColor theme="0" tint="-0.34998626667073579"/>
                </patternFill>
              </fill>
            </x14:dxf>
          </x14:cfRule>
          <xm:sqref>AP134:AP135 AP140:AP141 AP145:AP146 AP150:AP151</xm:sqref>
        </x14:conditionalFormatting>
        <x14:conditionalFormatting xmlns:xm="http://schemas.microsoft.com/office/excel/2006/main">
          <x14:cfRule type="cellIs" priority="1001" operator="notEqual" id="{756EF378-95CE-4A36-9EA0-7AAFC7D0E5F7}">
            <xm:f>TAG!$P21</xm:f>
            <x14:dxf>
              <fill>
                <patternFill>
                  <bgColor theme="0" tint="-0.34998626667073579"/>
                </patternFill>
              </fill>
            </x14:dxf>
          </x14:cfRule>
          <xm:sqref>AP23:AP24 AP33:AP34 AP40:AP41 AP48:AP49 AP86:AP87 AP97:AP98 AP107:AP108 AP114:AP115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30"/>
  <sheetViews>
    <sheetView workbookViewId="0">
      <selection activeCell="K8" sqref="K8"/>
    </sheetView>
  </sheetViews>
  <sheetFormatPr defaultRowHeight="13.5" x14ac:dyDescent="0.15"/>
  <cols>
    <col min="3" max="3" width="9.25" customWidth="1"/>
  </cols>
  <sheetData>
    <row r="1" spans="1:10" x14ac:dyDescent="0.15">
      <c r="A1" t="s">
        <v>4758</v>
      </c>
      <c r="B1" t="s">
        <v>4760</v>
      </c>
      <c r="E1" t="s">
        <v>4763</v>
      </c>
    </row>
    <row r="2" spans="1:10" x14ac:dyDescent="0.15">
      <c r="B2" t="s">
        <v>3062</v>
      </c>
      <c r="C2" t="str">
        <f>IF(A2="[[","&gt;"&amp;B2&amp;"一覧","")</f>
        <v/>
      </c>
      <c r="D2" t="str">
        <f>IF(A2="[[","]]","")</f>
        <v/>
      </c>
      <c r="E2" t="s">
        <v>4764</v>
      </c>
      <c r="J2" t="s">
        <v>1627</v>
      </c>
    </row>
    <row r="3" spans="1:10" x14ac:dyDescent="0.15">
      <c r="B3" t="s">
        <v>2987</v>
      </c>
      <c r="C3" t="str">
        <f t="shared" ref="C3:C66" si="0">IF(A3="[[","&gt;"&amp;B3&amp;"一覧","")</f>
        <v/>
      </c>
      <c r="D3" t="str">
        <f t="shared" ref="D3:D66" si="1">IF(A3="[[","]]","")</f>
        <v/>
      </c>
      <c r="E3" t="s">
        <v>4765</v>
      </c>
      <c r="J3" t="s">
        <v>1606</v>
      </c>
    </row>
    <row r="4" spans="1:10" x14ac:dyDescent="0.15">
      <c r="B4" t="s">
        <v>2798</v>
      </c>
      <c r="C4" t="str">
        <f t="shared" si="0"/>
        <v/>
      </c>
      <c r="D4" t="str">
        <f t="shared" si="1"/>
        <v/>
      </c>
      <c r="J4" t="s">
        <v>1582</v>
      </c>
    </row>
    <row r="5" spans="1:10" x14ac:dyDescent="0.15">
      <c r="B5" t="s">
        <v>2911</v>
      </c>
      <c r="C5" t="str">
        <f t="shared" si="0"/>
        <v/>
      </c>
      <c r="D5" t="str">
        <f t="shared" si="1"/>
        <v/>
      </c>
      <c r="E5" t="s">
        <v>4766</v>
      </c>
      <c r="J5" t="s">
        <v>1552</v>
      </c>
    </row>
    <row r="6" spans="1:10" x14ac:dyDescent="0.15">
      <c r="B6" t="s">
        <v>3690</v>
      </c>
      <c r="C6" t="str">
        <f t="shared" si="0"/>
        <v/>
      </c>
      <c r="D6" t="str">
        <f t="shared" si="1"/>
        <v/>
      </c>
      <c r="E6" t="s">
        <v>3062</v>
      </c>
      <c r="F6" t="s">
        <v>4794</v>
      </c>
      <c r="J6" t="s">
        <v>1518</v>
      </c>
    </row>
    <row r="7" spans="1:10" x14ac:dyDescent="0.15">
      <c r="A7" t="s">
        <v>4761</v>
      </c>
      <c r="B7" t="s">
        <v>1435</v>
      </c>
      <c r="C7" t="str">
        <f t="shared" si="0"/>
        <v>&gt;エルドラージ一覧</v>
      </c>
      <c r="D7" t="str">
        <f t="shared" si="1"/>
        <v>]]</v>
      </c>
      <c r="E7" t="s">
        <v>4007</v>
      </c>
      <c r="F7" t="s">
        <v>4794</v>
      </c>
      <c r="J7" t="s">
        <v>1512</v>
      </c>
    </row>
    <row r="8" spans="1:10" x14ac:dyDescent="0.15">
      <c r="A8" t="s">
        <v>4761</v>
      </c>
      <c r="B8" t="s">
        <v>1479</v>
      </c>
      <c r="C8" t="str">
        <f t="shared" si="0"/>
        <v>&gt;エルフ一覧</v>
      </c>
      <c r="D8" t="str">
        <f t="shared" si="1"/>
        <v>]]</v>
      </c>
      <c r="E8" t="s">
        <v>2132</v>
      </c>
      <c r="F8" t="s">
        <v>4794</v>
      </c>
      <c r="J8" t="s">
        <v>1508</v>
      </c>
    </row>
    <row r="9" spans="1:10" x14ac:dyDescent="0.15">
      <c r="B9" t="s">
        <v>1537</v>
      </c>
      <c r="C9" t="str">
        <f t="shared" si="0"/>
        <v/>
      </c>
      <c r="D9" t="str">
        <f t="shared" si="1"/>
        <v/>
      </c>
      <c r="E9" t="s">
        <v>2717</v>
      </c>
      <c r="F9" t="s">
        <v>4794</v>
      </c>
      <c r="J9" t="s">
        <v>1504</v>
      </c>
    </row>
    <row r="10" spans="1:10" x14ac:dyDescent="0.15">
      <c r="B10" t="s">
        <v>3740</v>
      </c>
      <c r="C10" t="str">
        <f t="shared" si="0"/>
        <v/>
      </c>
      <c r="D10" t="str">
        <f t="shared" si="1"/>
        <v/>
      </c>
      <c r="E10" t="s">
        <v>2987</v>
      </c>
      <c r="F10" t="s">
        <v>4794</v>
      </c>
      <c r="J10" t="s">
        <v>1482</v>
      </c>
    </row>
    <row r="11" spans="1:10" x14ac:dyDescent="0.15">
      <c r="B11" t="s">
        <v>3724</v>
      </c>
      <c r="C11" t="str">
        <f t="shared" si="0"/>
        <v/>
      </c>
      <c r="D11" t="str">
        <f t="shared" si="1"/>
        <v/>
      </c>
      <c r="E11" t="s">
        <v>2798</v>
      </c>
      <c r="F11" t="s">
        <v>4794</v>
      </c>
      <c r="J11" t="s">
        <v>1802</v>
      </c>
    </row>
    <row r="12" spans="1:10" x14ac:dyDescent="0.15">
      <c r="B12" t="s">
        <v>3987</v>
      </c>
      <c r="C12" t="str">
        <f t="shared" si="0"/>
        <v/>
      </c>
      <c r="D12" t="str">
        <f t="shared" si="1"/>
        <v/>
      </c>
      <c r="E12" t="s">
        <v>4767</v>
      </c>
      <c r="F12" t="s">
        <v>4794</v>
      </c>
      <c r="J12" t="s">
        <v>1474</v>
      </c>
    </row>
    <row r="13" spans="1:10" x14ac:dyDescent="0.15">
      <c r="B13" t="s">
        <v>4724</v>
      </c>
      <c r="C13" t="str">
        <f t="shared" si="0"/>
        <v/>
      </c>
      <c r="D13" t="str">
        <f t="shared" si="1"/>
        <v/>
      </c>
      <c r="E13" t="s">
        <v>2911</v>
      </c>
      <c r="F13" t="s">
        <v>4794</v>
      </c>
      <c r="J13" t="s">
        <v>1467</v>
      </c>
    </row>
    <row r="14" spans="1:10" x14ac:dyDescent="0.15">
      <c r="B14" t="s">
        <v>2472</v>
      </c>
      <c r="C14" t="str">
        <f t="shared" si="0"/>
        <v/>
      </c>
      <c r="D14" t="str">
        <f t="shared" si="1"/>
        <v/>
      </c>
      <c r="E14" t="s">
        <v>3690</v>
      </c>
      <c r="F14" t="s">
        <v>4794</v>
      </c>
      <c r="J14" t="s">
        <v>1487</v>
      </c>
    </row>
    <row r="15" spans="1:10" x14ac:dyDescent="0.15">
      <c r="B15" t="s">
        <v>3551</v>
      </c>
      <c r="C15" t="str">
        <f t="shared" si="0"/>
        <v/>
      </c>
      <c r="D15" t="str">
        <f t="shared" si="1"/>
        <v/>
      </c>
      <c r="E15" t="s">
        <v>3569</v>
      </c>
      <c r="F15" t="s">
        <v>4794</v>
      </c>
      <c r="J15" t="s">
        <v>1784</v>
      </c>
    </row>
    <row r="16" spans="1:10" x14ac:dyDescent="0.15">
      <c r="B16" t="s">
        <v>2416</v>
      </c>
      <c r="C16" t="str">
        <f t="shared" si="0"/>
        <v/>
      </c>
      <c r="D16" t="str">
        <f t="shared" si="1"/>
        <v/>
      </c>
      <c r="E16" t="s">
        <v>3497</v>
      </c>
      <c r="F16" t="s">
        <v>4794</v>
      </c>
      <c r="J16" t="s">
        <v>1772</v>
      </c>
    </row>
    <row r="17" spans="1:10" x14ac:dyDescent="0.15">
      <c r="B17" t="s">
        <v>4076</v>
      </c>
      <c r="C17" t="str">
        <f t="shared" si="0"/>
        <v/>
      </c>
      <c r="D17" t="str">
        <f t="shared" si="1"/>
        <v/>
      </c>
      <c r="E17" t="s">
        <v>2954</v>
      </c>
      <c r="F17" t="s">
        <v>4794</v>
      </c>
      <c r="J17" t="s">
        <v>292</v>
      </c>
    </row>
    <row r="18" spans="1:10" x14ac:dyDescent="0.15">
      <c r="B18" t="s">
        <v>4032</v>
      </c>
      <c r="C18" t="str">
        <f t="shared" si="0"/>
        <v/>
      </c>
      <c r="D18" t="str">
        <f t="shared" si="1"/>
        <v/>
      </c>
      <c r="E18" t="s">
        <v>4768</v>
      </c>
      <c r="F18" t="s">
        <v>4794</v>
      </c>
    </row>
    <row r="19" spans="1:10" x14ac:dyDescent="0.15">
      <c r="B19" t="s">
        <v>2575</v>
      </c>
      <c r="C19" t="str">
        <f t="shared" si="0"/>
        <v/>
      </c>
      <c r="D19" t="str">
        <f t="shared" si="1"/>
        <v/>
      </c>
      <c r="E19" t="s">
        <v>4769</v>
      </c>
      <c r="F19" t="s">
        <v>4794</v>
      </c>
    </row>
    <row r="20" spans="1:10" x14ac:dyDescent="0.15">
      <c r="B20" t="s">
        <v>2128</v>
      </c>
      <c r="C20" t="str">
        <f t="shared" si="0"/>
        <v/>
      </c>
      <c r="D20" t="str">
        <f t="shared" si="1"/>
        <v/>
      </c>
      <c r="E20" t="s">
        <v>1537</v>
      </c>
      <c r="F20" t="s">
        <v>4794</v>
      </c>
    </row>
    <row r="21" spans="1:10" x14ac:dyDescent="0.15">
      <c r="B21" t="s">
        <v>1471</v>
      </c>
      <c r="C21" t="str">
        <f t="shared" si="0"/>
        <v/>
      </c>
      <c r="D21" t="str">
        <f t="shared" si="1"/>
        <v/>
      </c>
      <c r="E21" t="s">
        <v>3101</v>
      </c>
      <c r="F21" t="s">
        <v>4794</v>
      </c>
    </row>
    <row r="22" spans="1:10" x14ac:dyDescent="0.15">
      <c r="B22" t="s">
        <v>343</v>
      </c>
      <c r="C22" t="str">
        <f t="shared" si="0"/>
        <v/>
      </c>
      <c r="D22" t="str">
        <f t="shared" si="1"/>
        <v/>
      </c>
      <c r="E22" t="s">
        <v>4770</v>
      </c>
      <c r="F22" t="s">
        <v>4794</v>
      </c>
    </row>
    <row r="23" spans="1:10" x14ac:dyDescent="0.15">
      <c r="A23" t="s">
        <v>4762</v>
      </c>
      <c r="B23" t="s">
        <v>1564</v>
      </c>
      <c r="C23" t="str">
        <f t="shared" si="0"/>
        <v>&gt;ゴブリン一覧</v>
      </c>
      <c r="D23" t="str">
        <f t="shared" si="1"/>
        <v>]]</v>
      </c>
      <c r="E23" t="s">
        <v>4771</v>
      </c>
      <c r="F23" t="s">
        <v>4794</v>
      </c>
    </row>
    <row r="24" spans="1:10" x14ac:dyDescent="0.15">
      <c r="B24" t="s">
        <v>2607</v>
      </c>
      <c r="C24" t="str">
        <f t="shared" si="0"/>
        <v/>
      </c>
      <c r="D24" t="str">
        <f t="shared" si="1"/>
        <v/>
      </c>
    </row>
    <row r="25" spans="1:10" x14ac:dyDescent="0.15">
      <c r="B25" t="s">
        <v>4454</v>
      </c>
      <c r="C25" t="str">
        <f t="shared" si="0"/>
        <v/>
      </c>
      <c r="D25" t="str">
        <f t="shared" si="1"/>
        <v/>
      </c>
      <c r="E25" t="s">
        <v>4772</v>
      </c>
    </row>
    <row r="26" spans="1:10" x14ac:dyDescent="0.15">
      <c r="B26" t="s">
        <v>2907</v>
      </c>
      <c r="C26" t="str">
        <f t="shared" si="0"/>
        <v/>
      </c>
      <c r="D26" t="str">
        <f t="shared" si="1"/>
        <v/>
      </c>
      <c r="E26" t="s">
        <v>3740</v>
      </c>
      <c r="F26" t="s">
        <v>4794</v>
      </c>
    </row>
    <row r="27" spans="1:10" x14ac:dyDescent="0.15">
      <c r="B27" t="s">
        <v>3559</v>
      </c>
      <c r="C27" t="str">
        <f t="shared" si="0"/>
        <v/>
      </c>
      <c r="D27" t="str">
        <f t="shared" si="1"/>
        <v/>
      </c>
      <c r="E27" t="s">
        <v>4289</v>
      </c>
      <c r="F27" t="s">
        <v>4794</v>
      </c>
    </row>
    <row r="28" spans="1:10" x14ac:dyDescent="0.15">
      <c r="A28" t="s">
        <v>4761</v>
      </c>
      <c r="B28" t="s">
        <v>2407</v>
      </c>
      <c r="C28" t="str">
        <f t="shared" si="0"/>
        <v>&gt;スピリット一覧</v>
      </c>
      <c r="D28" t="str">
        <f t="shared" si="1"/>
        <v>]]</v>
      </c>
      <c r="E28" t="s">
        <v>3724</v>
      </c>
      <c r="F28" t="s">
        <v>4794</v>
      </c>
    </row>
    <row r="29" spans="1:10" x14ac:dyDescent="0.15">
      <c r="B29" t="s">
        <v>1608</v>
      </c>
      <c r="C29" t="str">
        <f t="shared" si="0"/>
        <v/>
      </c>
      <c r="D29" t="str">
        <f t="shared" si="1"/>
        <v/>
      </c>
      <c r="E29" t="s">
        <v>3987</v>
      </c>
      <c r="F29" t="s">
        <v>4794</v>
      </c>
    </row>
    <row r="30" spans="1:10" x14ac:dyDescent="0.15">
      <c r="A30" t="s">
        <v>4761</v>
      </c>
      <c r="B30" t="s">
        <v>1484</v>
      </c>
      <c r="C30" t="str">
        <f t="shared" si="0"/>
        <v>&gt;ゾンビ一覧</v>
      </c>
      <c r="D30" t="str">
        <f t="shared" si="1"/>
        <v>]]</v>
      </c>
      <c r="E30" t="s">
        <v>4724</v>
      </c>
      <c r="F30" t="s">
        <v>4794</v>
      </c>
    </row>
    <row r="31" spans="1:10" x14ac:dyDescent="0.15">
      <c r="B31" t="s">
        <v>3927</v>
      </c>
      <c r="C31" t="str">
        <f t="shared" si="0"/>
        <v/>
      </c>
      <c r="D31" t="str">
        <f t="shared" si="1"/>
        <v/>
      </c>
      <c r="E31" t="s">
        <v>2986</v>
      </c>
      <c r="F31" t="s">
        <v>4794</v>
      </c>
    </row>
    <row r="32" spans="1:10" x14ac:dyDescent="0.15">
      <c r="B32" t="s">
        <v>3892</v>
      </c>
      <c r="C32" t="str">
        <f t="shared" si="0"/>
        <v/>
      </c>
      <c r="D32" t="str">
        <f t="shared" si="1"/>
        <v/>
      </c>
      <c r="E32" t="s">
        <v>4773</v>
      </c>
      <c r="F32" t="s">
        <v>4794</v>
      </c>
    </row>
    <row r="33" spans="1:6" x14ac:dyDescent="0.15">
      <c r="A33" t="s">
        <v>4761</v>
      </c>
      <c r="B33" t="s">
        <v>2793</v>
      </c>
      <c r="C33" t="str">
        <f t="shared" si="0"/>
        <v>&gt;デーモン一覧</v>
      </c>
      <c r="D33" t="str">
        <f t="shared" si="1"/>
        <v>]]</v>
      </c>
      <c r="E33" t="s">
        <v>1533</v>
      </c>
      <c r="F33" t="s">
        <v>4794</v>
      </c>
    </row>
    <row r="34" spans="1:6" x14ac:dyDescent="0.15">
      <c r="B34" t="s">
        <v>3609</v>
      </c>
      <c r="C34" t="str">
        <f t="shared" si="0"/>
        <v/>
      </c>
      <c r="D34" t="str">
        <f t="shared" si="1"/>
        <v/>
      </c>
      <c r="E34" t="s">
        <v>4195</v>
      </c>
      <c r="F34" t="s">
        <v>4794</v>
      </c>
    </row>
    <row r="35" spans="1:6" x14ac:dyDescent="0.15">
      <c r="B35" t="s">
        <v>2531</v>
      </c>
      <c r="C35" t="str">
        <f t="shared" si="0"/>
        <v/>
      </c>
      <c r="D35" t="str">
        <f t="shared" si="1"/>
        <v/>
      </c>
      <c r="E35" t="s">
        <v>4774</v>
      </c>
      <c r="F35" t="s">
        <v>4794</v>
      </c>
    </row>
    <row r="36" spans="1:6" x14ac:dyDescent="0.15">
      <c r="B36" t="s">
        <v>2613</v>
      </c>
      <c r="C36" t="str">
        <f t="shared" si="0"/>
        <v/>
      </c>
      <c r="D36" t="str">
        <f t="shared" si="1"/>
        <v/>
      </c>
      <c r="E36" t="s">
        <v>2472</v>
      </c>
      <c r="F36" t="s">
        <v>4794</v>
      </c>
    </row>
    <row r="37" spans="1:6" x14ac:dyDescent="0.15">
      <c r="A37" t="s">
        <v>4762</v>
      </c>
      <c r="B37" t="s">
        <v>1555</v>
      </c>
      <c r="C37" t="str">
        <f t="shared" si="0"/>
        <v>&gt;ドラゴン一覧</v>
      </c>
      <c r="D37" t="str">
        <f t="shared" si="1"/>
        <v>]]</v>
      </c>
      <c r="E37" t="s">
        <v>4775</v>
      </c>
      <c r="F37" t="s">
        <v>4794</v>
      </c>
    </row>
    <row r="38" spans="1:6" x14ac:dyDescent="0.15">
      <c r="B38" t="s">
        <v>2515</v>
      </c>
      <c r="C38" t="str">
        <f t="shared" si="0"/>
        <v/>
      </c>
      <c r="D38" t="str">
        <f t="shared" si="1"/>
        <v/>
      </c>
      <c r="E38" t="s">
        <v>2049</v>
      </c>
      <c r="F38" t="s">
        <v>4794</v>
      </c>
    </row>
    <row r="39" spans="1:6" x14ac:dyDescent="0.15">
      <c r="B39" t="s">
        <v>2598</v>
      </c>
      <c r="C39" t="str">
        <f t="shared" si="0"/>
        <v/>
      </c>
      <c r="D39" t="str">
        <f t="shared" si="1"/>
        <v/>
      </c>
      <c r="E39" t="s">
        <v>2469</v>
      </c>
      <c r="F39" t="s">
        <v>4794</v>
      </c>
    </row>
    <row r="40" spans="1:6" x14ac:dyDescent="0.15">
      <c r="A40" t="s">
        <v>4761</v>
      </c>
      <c r="B40" t="s">
        <v>3938</v>
      </c>
      <c r="C40" t="str">
        <f t="shared" si="0"/>
        <v>&gt;ドワーフ一覧</v>
      </c>
      <c r="D40" t="str">
        <f t="shared" si="1"/>
        <v>]]</v>
      </c>
      <c r="E40" t="s">
        <v>4006</v>
      </c>
      <c r="F40" t="s">
        <v>4794</v>
      </c>
    </row>
    <row r="41" spans="1:6" x14ac:dyDescent="0.15">
      <c r="B41" t="s">
        <v>4410</v>
      </c>
      <c r="C41" t="str">
        <f t="shared" si="0"/>
        <v/>
      </c>
      <c r="D41" t="str">
        <f t="shared" si="1"/>
        <v/>
      </c>
      <c r="E41" t="s">
        <v>4184</v>
      </c>
      <c r="F41" t="s">
        <v>4794</v>
      </c>
    </row>
    <row r="42" spans="1:6" x14ac:dyDescent="0.15">
      <c r="B42" t="s">
        <v>3544</v>
      </c>
      <c r="C42" t="str">
        <f t="shared" si="0"/>
        <v/>
      </c>
      <c r="D42" t="str">
        <f t="shared" si="1"/>
        <v/>
      </c>
      <c r="E42" t="s">
        <v>2564</v>
      </c>
      <c r="F42" t="s">
        <v>4794</v>
      </c>
    </row>
    <row r="43" spans="1:6" x14ac:dyDescent="0.15">
      <c r="B43" t="s">
        <v>2838</v>
      </c>
      <c r="C43" t="str">
        <f t="shared" si="0"/>
        <v/>
      </c>
      <c r="D43" t="str">
        <f t="shared" si="1"/>
        <v/>
      </c>
      <c r="E43" t="s">
        <v>3551</v>
      </c>
      <c r="F43" t="s">
        <v>4794</v>
      </c>
    </row>
    <row r="44" spans="1:6" x14ac:dyDescent="0.15">
      <c r="B44" t="s">
        <v>3827</v>
      </c>
      <c r="C44" t="str">
        <f t="shared" si="0"/>
        <v/>
      </c>
      <c r="D44" t="str">
        <f t="shared" si="1"/>
        <v/>
      </c>
      <c r="E44" t="s">
        <v>2416</v>
      </c>
      <c r="F44" t="s">
        <v>4794</v>
      </c>
    </row>
    <row r="45" spans="1:6" x14ac:dyDescent="0.15">
      <c r="B45" t="s">
        <v>1863</v>
      </c>
      <c r="C45" t="str">
        <f t="shared" si="0"/>
        <v/>
      </c>
      <c r="D45" t="str">
        <f t="shared" si="1"/>
        <v/>
      </c>
      <c r="E45" t="s">
        <v>4076</v>
      </c>
      <c r="F45" t="s">
        <v>4794</v>
      </c>
    </row>
    <row r="46" spans="1:6" x14ac:dyDescent="0.15">
      <c r="B46" t="s">
        <v>357</v>
      </c>
      <c r="C46" t="str">
        <f t="shared" si="0"/>
        <v/>
      </c>
      <c r="D46" t="str">
        <f t="shared" si="1"/>
        <v/>
      </c>
      <c r="E46" t="s">
        <v>1470</v>
      </c>
      <c r="F46" t="s">
        <v>4794</v>
      </c>
    </row>
    <row r="47" spans="1:6" x14ac:dyDescent="0.15">
      <c r="B47" t="s">
        <v>2943</v>
      </c>
      <c r="C47" t="str">
        <f t="shared" si="0"/>
        <v/>
      </c>
      <c r="D47" t="str">
        <f t="shared" si="1"/>
        <v/>
      </c>
      <c r="E47" t="s">
        <v>4032</v>
      </c>
      <c r="F47" t="s">
        <v>4794</v>
      </c>
    </row>
    <row r="48" spans="1:6" x14ac:dyDescent="0.15">
      <c r="B48" t="s">
        <v>1938</v>
      </c>
      <c r="C48" t="str">
        <f t="shared" si="0"/>
        <v/>
      </c>
      <c r="D48" t="str">
        <f t="shared" si="1"/>
        <v/>
      </c>
      <c r="E48" t="s">
        <v>2575</v>
      </c>
      <c r="F48" t="s">
        <v>4794</v>
      </c>
    </row>
    <row r="49" spans="1:6" x14ac:dyDescent="0.15">
      <c r="B49" t="s">
        <v>2992</v>
      </c>
      <c r="C49" t="str">
        <f t="shared" si="0"/>
        <v/>
      </c>
      <c r="D49" t="str">
        <f t="shared" si="1"/>
        <v/>
      </c>
      <c r="E49" t="s">
        <v>4776</v>
      </c>
      <c r="F49" t="s">
        <v>4794</v>
      </c>
    </row>
    <row r="50" spans="1:6" x14ac:dyDescent="0.15">
      <c r="B50" t="s">
        <v>1965</v>
      </c>
      <c r="C50" t="str">
        <f t="shared" si="0"/>
        <v/>
      </c>
      <c r="D50" t="str">
        <f t="shared" si="1"/>
        <v/>
      </c>
      <c r="E50" t="s">
        <v>2128</v>
      </c>
      <c r="F50" t="s">
        <v>4794</v>
      </c>
    </row>
    <row r="51" spans="1:6" x14ac:dyDescent="0.15">
      <c r="B51" t="s">
        <v>3026</v>
      </c>
      <c r="C51" t="str">
        <f t="shared" si="0"/>
        <v/>
      </c>
      <c r="D51" t="str">
        <f t="shared" si="1"/>
        <v/>
      </c>
      <c r="E51" t="s">
        <v>1471</v>
      </c>
      <c r="F51" t="s">
        <v>4794</v>
      </c>
    </row>
    <row r="52" spans="1:6" x14ac:dyDescent="0.15">
      <c r="B52" t="s">
        <v>2678</v>
      </c>
      <c r="C52" t="str">
        <f t="shared" si="0"/>
        <v/>
      </c>
      <c r="D52" t="str">
        <f t="shared" si="1"/>
        <v/>
      </c>
      <c r="E52" t="s">
        <v>1641</v>
      </c>
      <c r="F52" t="s">
        <v>4794</v>
      </c>
    </row>
    <row r="53" spans="1:6" x14ac:dyDescent="0.15">
      <c r="B53" t="s">
        <v>3806</v>
      </c>
      <c r="C53" t="str">
        <f t="shared" si="0"/>
        <v/>
      </c>
      <c r="D53" t="str">
        <f t="shared" si="1"/>
        <v/>
      </c>
      <c r="E53" t="s">
        <v>343</v>
      </c>
      <c r="F53" t="s">
        <v>4794</v>
      </c>
    </row>
    <row r="54" spans="1:6" x14ac:dyDescent="0.15">
      <c r="B54" t="s">
        <v>2802</v>
      </c>
      <c r="C54" t="str">
        <f t="shared" si="0"/>
        <v/>
      </c>
      <c r="D54" t="str">
        <f t="shared" si="1"/>
        <v/>
      </c>
      <c r="E54" t="s">
        <v>4777</v>
      </c>
      <c r="F54" t="s">
        <v>4794</v>
      </c>
    </row>
    <row r="55" spans="1:6" x14ac:dyDescent="0.15">
      <c r="B55" t="s">
        <v>1464</v>
      </c>
      <c r="C55" t="str">
        <f t="shared" si="0"/>
        <v/>
      </c>
      <c r="D55" t="str">
        <f t="shared" si="1"/>
        <v/>
      </c>
      <c r="E55" t="s">
        <v>1945</v>
      </c>
      <c r="F55" t="s">
        <v>4794</v>
      </c>
    </row>
    <row r="56" spans="1:6" x14ac:dyDescent="0.15">
      <c r="B56" t="s">
        <v>4500</v>
      </c>
      <c r="C56" t="str">
        <f t="shared" si="0"/>
        <v/>
      </c>
      <c r="D56" t="str">
        <f t="shared" si="1"/>
        <v/>
      </c>
    </row>
    <row r="57" spans="1:6" x14ac:dyDescent="0.15">
      <c r="B57" t="s">
        <v>4456</v>
      </c>
      <c r="C57" t="str">
        <f t="shared" si="0"/>
        <v/>
      </c>
      <c r="D57" t="str">
        <f t="shared" si="1"/>
        <v/>
      </c>
      <c r="E57" t="s">
        <v>4778</v>
      </c>
    </row>
    <row r="58" spans="1:6" x14ac:dyDescent="0.15">
      <c r="B58" t="s">
        <v>2634</v>
      </c>
      <c r="C58" t="str">
        <f t="shared" si="0"/>
        <v/>
      </c>
      <c r="D58" t="str">
        <f t="shared" si="1"/>
        <v/>
      </c>
      <c r="E58" t="s">
        <v>2607</v>
      </c>
      <c r="F58" t="s">
        <v>4794</v>
      </c>
    </row>
    <row r="59" spans="1:6" x14ac:dyDescent="0.15">
      <c r="B59" t="s">
        <v>3948</v>
      </c>
      <c r="C59" t="str">
        <f t="shared" si="0"/>
        <v/>
      </c>
      <c r="D59" t="str">
        <f t="shared" si="1"/>
        <v/>
      </c>
      <c r="E59" t="s">
        <v>2307</v>
      </c>
      <c r="F59" t="s">
        <v>4794</v>
      </c>
    </row>
    <row r="60" spans="1:6" x14ac:dyDescent="0.15">
      <c r="B60" t="s">
        <v>4012</v>
      </c>
      <c r="C60" t="str">
        <f t="shared" si="0"/>
        <v/>
      </c>
      <c r="D60" t="str">
        <f t="shared" si="1"/>
        <v/>
      </c>
      <c r="E60" t="s">
        <v>4458</v>
      </c>
      <c r="F60" t="s">
        <v>4794</v>
      </c>
    </row>
    <row r="61" spans="1:6" x14ac:dyDescent="0.15">
      <c r="B61" t="s">
        <v>338</v>
      </c>
      <c r="C61" t="str">
        <f t="shared" si="0"/>
        <v/>
      </c>
      <c r="D61" t="str">
        <f t="shared" si="1"/>
        <v/>
      </c>
      <c r="E61" t="s">
        <v>1867</v>
      </c>
      <c r="F61" t="s">
        <v>4794</v>
      </c>
    </row>
    <row r="62" spans="1:6" x14ac:dyDescent="0.15">
      <c r="B62" t="s">
        <v>3497</v>
      </c>
      <c r="C62" t="str">
        <f t="shared" si="0"/>
        <v/>
      </c>
      <c r="D62" t="str">
        <f t="shared" si="1"/>
        <v/>
      </c>
      <c r="E62" t="s">
        <v>4454</v>
      </c>
      <c r="F62" t="s">
        <v>4794</v>
      </c>
    </row>
    <row r="63" spans="1:6" x14ac:dyDescent="0.15">
      <c r="B63" t="s">
        <v>2954</v>
      </c>
      <c r="C63" t="str">
        <f t="shared" si="0"/>
        <v/>
      </c>
      <c r="D63" t="str">
        <f t="shared" si="1"/>
        <v/>
      </c>
      <c r="E63" t="s">
        <v>2861</v>
      </c>
      <c r="F63" t="s">
        <v>4794</v>
      </c>
    </row>
    <row r="64" spans="1:6" x14ac:dyDescent="0.15">
      <c r="A64" t="s">
        <v>4761</v>
      </c>
      <c r="B64" t="s">
        <v>4174</v>
      </c>
      <c r="C64" t="str">
        <f t="shared" si="0"/>
        <v>&gt;機体一覧</v>
      </c>
      <c r="D64" t="str">
        <f t="shared" si="1"/>
        <v>]]</v>
      </c>
      <c r="E64" t="s">
        <v>1717</v>
      </c>
      <c r="F64" t="s">
        <v>4794</v>
      </c>
    </row>
    <row r="65" spans="1:6" x14ac:dyDescent="0.15">
      <c r="A65" t="s">
        <v>4761</v>
      </c>
      <c r="B65" t="s">
        <v>1494</v>
      </c>
      <c r="C65" t="str">
        <f t="shared" si="0"/>
        <v>&gt;吸血鬼一覧</v>
      </c>
      <c r="D65" t="str">
        <f t="shared" si="1"/>
        <v>]]</v>
      </c>
      <c r="E65" t="s">
        <v>3848</v>
      </c>
      <c r="F65" t="s">
        <v>4794</v>
      </c>
    </row>
    <row r="66" spans="1:6" x14ac:dyDescent="0.15">
      <c r="B66" t="s">
        <v>2049</v>
      </c>
      <c r="C66" t="str">
        <f t="shared" si="0"/>
        <v/>
      </c>
      <c r="D66" t="str">
        <f t="shared" si="1"/>
        <v/>
      </c>
      <c r="E66" t="s">
        <v>2907</v>
      </c>
      <c r="F66" t="s">
        <v>4794</v>
      </c>
    </row>
    <row r="67" spans="1:6" x14ac:dyDescent="0.15">
      <c r="B67" t="s">
        <v>2469</v>
      </c>
      <c r="C67" t="str">
        <f t="shared" ref="C67:C114" si="2">IF(A67="[[","&gt;"&amp;B67&amp;"一覧","")</f>
        <v/>
      </c>
      <c r="D67" t="str">
        <f t="shared" ref="D67:D114" si="3">IF(A67="[[","]]","")</f>
        <v/>
      </c>
      <c r="E67" t="s">
        <v>1929</v>
      </c>
      <c r="F67" t="s">
        <v>4794</v>
      </c>
    </row>
    <row r="68" spans="1:6" x14ac:dyDescent="0.15">
      <c r="B68" t="s">
        <v>2307</v>
      </c>
      <c r="C68" t="str">
        <f t="shared" si="2"/>
        <v/>
      </c>
      <c r="D68" t="str">
        <f t="shared" si="3"/>
        <v/>
      </c>
      <c r="E68" t="s">
        <v>3559</v>
      </c>
      <c r="F68" t="s">
        <v>4794</v>
      </c>
    </row>
    <row r="69" spans="1:6" x14ac:dyDescent="0.15">
      <c r="B69" t="s">
        <v>4006</v>
      </c>
      <c r="C69" t="str">
        <f t="shared" si="2"/>
        <v/>
      </c>
      <c r="D69" t="str">
        <f t="shared" si="3"/>
        <v/>
      </c>
      <c r="E69" t="s">
        <v>4779</v>
      </c>
      <c r="F69" t="s">
        <v>4794</v>
      </c>
    </row>
    <row r="70" spans="1:6" x14ac:dyDescent="0.15">
      <c r="B70" t="s">
        <v>4195</v>
      </c>
      <c r="C70" t="str">
        <f t="shared" si="2"/>
        <v/>
      </c>
      <c r="D70" t="str">
        <f t="shared" si="3"/>
        <v/>
      </c>
      <c r="E70" t="s">
        <v>1608</v>
      </c>
      <c r="F70" t="s">
        <v>4794</v>
      </c>
    </row>
    <row r="71" spans="1:6" x14ac:dyDescent="0.15">
      <c r="A71" t="s">
        <v>4761</v>
      </c>
      <c r="B71" t="s">
        <v>352</v>
      </c>
      <c r="C71" t="str">
        <f t="shared" si="2"/>
        <v>&gt;構築物一覧</v>
      </c>
      <c r="D71" t="str">
        <f t="shared" si="3"/>
        <v>]]</v>
      </c>
      <c r="E71" t="s">
        <v>1493</v>
      </c>
      <c r="F71" t="s">
        <v>4794</v>
      </c>
    </row>
    <row r="72" spans="1:6" x14ac:dyDescent="0.15">
      <c r="B72" t="s">
        <v>1945</v>
      </c>
      <c r="C72" t="str">
        <f t="shared" si="2"/>
        <v/>
      </c>
      <c r="D72" t="str">
        <f t="shared" si="3"/>
        <v/>
      </c>
      <c r="E72" t="s">
        <v>4125</v>
      </c>
      <c r="F72" t="s">
        <v>4794</v>
      </c>
    </row>
    <row r="73" spans="1:6" x14ac:dyDescent="0.15">
      <c r="B73" t="s">
        <v>4179</v>
      </c>
      <c r="C73" t="str">
        <f t="shared" si="2"/>
        <v/>
      </c>
      <c r="D73" t="str">
        <f t="shared" si="3"/>
        <v/>
      </c>
      <c r="E73" t="s">
        <v>3957</v>
      </c>
      <c r="F73" t="s">
        <v>4794</v>
      </c>
    </row>
    <row r="74" spans="1:6" x14ac:dyDescent="0.15">
      <c r="B74" t="s">
        <v>4125</v>
      </c>
      <c r="C74" t="str">
        <f t="shared" si="2"/>
        <v/>
      </c>
      <c r="D74" t="str">
        <f t="shared" si="3"/>
        <v/>
      </c>
      <c r="E74" t="s">
        <v>4780</v>
      </c>
      <c r="F74" t="s">
        <v>4794</v>
      </c>
    </row>
    <row r="75" spans="1:6" x14ac:dyDescent="0.15">
      <c r="B75" t="s">
        <v>3848</v>
      </c>
      <c r="C75" t="str">
        <f t="shared" si="2"/>
        <v/>
      </c>
      <c r="D75" t="str">
        <f t="shared" si="3"/>
        <v/>
      </c>
    </row>
    <row r="76" spans="1:6" x14ac:dyDescent="0.15">
      <c r="A76" t="s">
        <v>4761</v>
      </c>
      <c r="B76" t="s">
        <v>4398</v>
      </c>
      <c r="C76" t="str">
        <f t="shared" si="2"/>
        <v>&gt;神一覧</v>
      </c>
      <c r="D76" t="str">
        <f t="shared" si="3"/>
        <v>]]</v>
      </c>
      <c r="E76" t="s">
        <v>4781</v>
      </c>
    </row>
    <row r="77" spans="1:6" x14ac:dyDescent="0.15">
      <c r="A77" t="s">
        <v>4761</v>
      </c>
      <c r="B77" t="s">
        <v>1489</v>
      </c>
      <c r="C77" t="str">
        <f t="shared" si="2"/>
        <v>&gt;人間一覧</v>
      </c>
      <c r="D77" t="str">
        <f t="shared" si="3"/>
        <v>]]</v>
      </c>
      <c r="E77" t="s">
        <v>3927</v>
      </c>
      <c r="F77" t="s">
        <v>4794</v>
      </c>
    </row>
    <row r="78" spans="1:6" x14ac:dyDescent="0.15">
      <c r="B78" t="s">
        <v>4446</v>
      </c>
      <c r="C78" t="str">
        <f t="shared" si="2"/>
        <v/>
      </c>
      <c r="D78" t="str">
        <f t="shared" si="3"/>
        <v/>
      </c>
      <c r="E78" t="s">
        <v>4446</v>
      </c>
      <c r="F78" t="s">
        <v>4794</v>
      </c>
    </row>
    <row r="79" spans="1:6" x14ac:dyDescent="0.15">
      <c r="B79" t="s">
        <v>2564</v>
      </c>
      <c r="C79" t="str">
        <f t="shared" si="2"/>
        <v/>
      </c>
      <c r="D79" t="str">
        <f t="shared" si="3"/>
        <v/>
      </c>
      <c r="E79" t="s">
        <v>3892</v>
      </c>
      <c r="F79" t="s">
        <v>4794</v>
      </c>
    </row>
    <row r="80" spans="1:6" x14ac:dyDescent="0.15">
      <c r="B80" t="s">
        <v>2717</v>
      </c>
      <c r="C80" t="str">
        <f t="shared" si="2"/>
        <v/>
      </c>
      <c r="D80" t="str">
        <f t="shared" si="3"/>
        <v/>
      </c>
      <c r="E80" t="s">
        <v>4782</v>
      </c>
      <c r="F80" t="s">
        <v>4794</v>
      </c>
    </row>
    <row r="81" spans="1:6" x14ac:dyDescent="0.15">
      <c r="B81" t="s">
        <v>2948</v>
      </c>
      <c r="C81" t="str">
        <f t="shared" si="2"/>
        <v/>
      </c>
      <c r="D81" t="str">
        <f t="shared" si="3"/>
        <v/>
      </c>
      <c r="E81" t="s">
        <v>3609</v>
      </c>
      <c r="F81" t="s">
        <v>4794</v>
      </c>
    </row>
    <row r="82" spans="1:6" x14ac:dyDescent="0.15">
      <c r="A82" t="s">
        <v>4761</v>
      </c>
      <c r="B82" t="s">
        <v>348</v>
      </c>
      <c r="C82" t="str">
        <f t="shared" si="2"/>
        <v>&gt;天使一覧</v>
      </c>
      <c r="D82" t="str">
        <f t="shared" si="3"/>
        <v>]]</v>
      </c>
      <c r="E82" t="s">
        <v>4783</v>
      </c>
      <c r="F82" t="s">
        <v>4794</v>
      </c>
    </row>
    <row r="83" spans="1:6" x14ac:dyDescent="0.15">
      <c r="A83" t="s">
        <v>4761</v>
      </c>
      <c r="B83" t="s">
        <v>1890</v>
      </c>
      <c r="C83" t="str">
        <f t="shared" si="2"/>
        <v>&gt;猫一覧</v>
      </c>
      <c r="D83" t="str">
        <f t="shared" si="3"/>
        <v>]]</v>
      </c>
      <c r="E83" t="s">
        <v>4784</v>
      </c>
      <c r="F83" t="s">
        <v>4794</v>
      </c>
    </row>
    <row r="84" spans="1:6" x14ac:dyDescent="0.15">
      <c r="B84" t="s">
        <v>3569</v>
      </c>
      <c r="C84" t="str">
        <f t="shared" si="2"/>
        <v/>
      </c>
      <c r="D84" t="str">
        <f t="shared" si="3"/>
        <v/>
      </c>
      <c r="E84" t="s">
        <v>2531</v>
      </c>
      <c r="F84" t="s">
        <v>4794</v>
      </c>
    </row>
    <row r="85" spans="1:6" x14ac:dyDescent="0.15">
      <c r="A85" t="s">
        <v>4761</v>
      </c>
      <c r="B85" t="s">
        <v>353</v>
      </c>
      <c r="C85" t="str">
        <f t="shared" si="2"/>
        <v>&gt;飛行機械一覧</v>
      </c>
      <c r="D85" t="str">
        <f t="shared" si="3"/>
        <v>]]</v>
      </c>
      <c r="E85" t="s">
        <v>2613</v>
      </c>
      <c r="F85" t="s">
        <v>4794</v>
      </c>
    </row>
    <row r="86" spans="1:6" x14ac:dyDescent="0.15">
      <c r="B86" t="s">
        <v>2986</v>
      </c>
      <c r="C86" t="str">
        <f t="shared" si="2"/>
        <v/>
      </c>
      <c r="D86" t="str">
        <f t="shared" si="3"/>
        <v/>
      </c>
      <c r="E86" t="s">
        <v>4785</v>
      </c>
      <c r="F86" t="s">
        <v>4794</v>
      </c>
    </row>
    <row r="87" spans="1:6" x14ac:dyDescent="0.15">
      <c r="B87" t="s">
        <v>3101</v>
      </c>
      <c r="C87" t="str">
        <f t="shared" si="2"/>
        <v/>
      </c>
      <c r="D87" t="str">
        <f t="shared" si="3"/>
        <v/>
      </c>
      <c r="E87" t="s">
        <v>2948</v>
      </c>
      <c r="F87" t="s">
        <v>4794</v>
      </c>
    </row>
    <row r="88" spans="1:6" x14ac:dyDescent="0.15">
      <c r="B88" t="s">
        <v>2537</v>
      </c>
      <c r="C88" t="str">
        <f t="shared" si="2"/>
        <v/>
      </c>
      <c r="D88" t="str">
        <f t="shared" si="3"/>
        <v/>
      </c>
      <c r="E88" t="s">
        <v>2515</v>
      </c>
      <c r="F88" t="s">
        <v>4794</v>
      </c>
    </row>
    <row r="89" spans="1:6" x14ac:dyDescent="0.15">
      <c r="B89" t="s">
        <v>4031</v>
      </c>
      <c r="C89" t="str">
        <f t="shared" si="2"/>
        <v/>
      </c>
      <c r="D89" t="str">
        <f t="shared" si="3"/>
        <v/>
      </c>
      <c r="E89" t="s">
        <v>1529</v>
      </c>
      <c r="F89" t="s">
        <v>4794</v>
      </c>
    </row>
    <row r="90" spans="1:6" x14ac:dyDescent="0.15">
      <c r="A90" t="s">
        <v>4761</v>
      </c>
      <c r="B90" t="s">
        <v>2604</v>
      </c>
      <c r="C90" t="str">
        <f t="shared" si="2"/>
        <v>&gt;狼一覧</v>
      </c>
      <c r="D90" t="str">
        <f t="shared" si="3"/>
        <v>]]</v>
      </c>
      <c r="E90" t="s">
        <v>2598</v>
      </c>
      <c r="F90" t="s">
        <v>4794</v>
      </c>
    </row>
    <row r="91" spans="1:6" x14ac:dyDescent="0.15">
      <c r="A91" t="s">
        <v>4761</v>
      </c>
      <c r="B91" t="s">
        <v>3605</v>
      </c>
      <c r="C91" t="str">
        <f t="shared" si="2"/>
        <v>&gt;狼男一覧</v>
      </c>
      <c r="D91" t="str">
        <f t="shared" si="3"/>
        <v>]]</v>
      </c>
      <c r="E91" t="s">
        <v>1501</v>
      </c>
      <c r="F91" t="s">
        <v>4794</v>
      </c>
    </row>
    <row r="92" spans="1:6" x14ac:dyDescent="0.15">
      <c r="B92" t="s">
        <v>4458</v>
      </c>
      <c r="C92" t="str">
        <f t="shared" si="2"/>
        <v/>
      </c>
      <c r="D92" t="str">
        <f t="shared" si="3"/>
        <v/>
      </c>
      <c r="E92" t="s">
        <v>4786</v>
      </c>
      <c r="F92" t="s">
        <v>4794</v>
      </c>
    </row>
    <row r="93" spans="1:6" x14ac:dyDescent="0.15">
      <c r="C93" t="str">
        <f t="shared" si="2"/>
        <v/>
      </c>
      <c r="D93" t="str">
        <f t="shared" si="3"/>
        <v/>
      </c>
    </row>
    <row r="94" spans="1:6" x14ac:dyDescent="0.15">
      <c r="A94" t="s">
        <v>4758</v>
      </c>
      <c r="B94" t="s">
        <v>4759</v>
      </c>
      <c r="C94" t="str">
        <f t="shared" si="2"/>
        <v/>
      </c>
      <c r="D94" t="str">
        <f t="shared" si="3"/>
        <v/>
      </c>
      <c r="E94" t="s">
        <v>4787</v>
      </c>
    </row>
    <row r="95" spans="1:6" x14ac:dyDescent="0.15">
      <c r="B95" t="s">
        <v>4007</v>
      </c>
      <c r="C95" t="str">
        <f t="shared" si="2"/>
        <v/>
      </c>
      <c r="D95" t="str">
        <f t="shared" si="3"/>
        <v/>
      </c>
      <c r="E95" t="s">
        <v>4410</v>
      </c>
      <c r="F95" t="s">
        <v>4794</v>
      </c>
    </row>
    <row r="96" spans="1:6" x14ac:dyDescent="0.15">
      <c r="A96" t="s">
        <v>4761</v>
      </c>
      <c r="B96" t="s">
        <v>1463</v>
      </c>
      <c r="C96" t="str">
        <f t="shared" si="2"/>
        <v>&gt;ウィザード一覧</v>
      </c>
      <c r="D96" t="str">
        <f t="shared" si="3"/>
        <v>]]</v>
      </c>
      <c r="E96" t="s">
        <v>3544</v>
      </c>
      <c r="F96" t="s">
        <v>4794</v>
      </c>
    </row>
    <row r="97" spans="2:6" x14ac:dyDescent="0.15">
      <c r="B97" t="s">
        <v>1470</v>
      </c>
      <c r="C97" t="str">
        <f t="shared" si="2"/>
        <v/>
      </c>
      <c r="D97" t="str">
        <f t="shared" si="3"/>
        <v/>
      </c>
      <c r="E97" t="s">
        <v>2838</v>
      </c>
      <c r="F97" t="s">
        <v>4794</v>
      </c>
    </row>
    <row r="98" spans="2:6" x14ac:dyDescent="0.15">
      <c r="B98" t="s">
        <v>1867</v>
      </c>
      <c r="C98" t="str">
        <f t="shared" si="2"/>
        <v/>
      </c>
      <c r="D98" t="str">
        <f t="shared" si="3"/>
        <v/>
      </c>
      <c r="E98" t="s">
        <v>2938</v>
      </c>
      <c r="F98" t="s">
        <v>4794</v>
      </c>
    </row>
    <row r="99" spans="2:6" x14ac:dyDescent="0.15">
      <c r="B99" t="s">
        <v>1929</v>
      </c>
      <c r="C99" t="str">
        <f t="shared" si="2"/>
        <v/>
      </c>
      <c r="D99" t="str">
        <f t="shared" si="3"/>
        <v/>
      </c>
      <c r="E99" t="s">
        <v>4788</v>
      </c>
      <c r="F99" t="s">
        <v>4794</v>
      </c>
    </row>
    <row r="100" spans="2:6" x14ac:dyDescent="0.15">
      <c r="B100" t="s">
        <v>1529</v>
      </c>
      <c r="C100" t="str">
        <f t="shared" si="2"/>
        <v/>
      </c>
      <c r="D100" t="str">
        <f t="shared" si="3"/>
        <v/>
      </c>
      <c r="E100" t="s">
        <v>4789</v>
      </c>
      <c r="F100" t="s">
        <v>4794</v>
      </c>
    </row>
    <row r="101" spans="2:6" x14ac:dyDescent="0.15">
      <c r="B101" t="s">
        <v>1501</v>
      </c>
      <c r="C101" t="str">
        <f t="shared" si="2"/>
        <v/>
      </c>
      <c r="D101" t="str">
        <f t="shared" si="3"/>
        <v/>
      </c>
      <c r="E101" t="s">
        <v>3827</v>
      </c>
      <c r="F101" t="s">
        <v>4794</v>
      </c>
    </row>
    <row r="102" spans="2:6" x14ac:dyDescent="0.15">
      <c r="B102" t="s">
        <v>2938</v>
      </c>
      <c r="C102" t="str">
        <f t="shared" si="2"/>
        <v/>
      </c>
      <c r="D102" t="str">
        <f t="shared" si="3"/>
        <v/>
      </c>
    </row>
    <row r="103" spans="2:6" x14ac:dyDescent="0.15">
      <c r="B103" t="s">
        <v>1738</v>
      </c>
      <c r="C103" t="str">
        <f t="shared" si="2"/>
        <v/>
      </c>
      <c r="D103" t="str">
        <f t="shared" si="3"/>
        <v/>
      </c>
      <c r="E103" t="s">
        <v>4790</v>
      </c>
    </row>
    <row r="104" spans="2:6" x14ac:dyDescent="0.15">
      <c r="B104" t="s">
        <v>2132</v>
      </c>
      <c r="C104" t="str">
        <f t="shared" si="2"/>
        <v/>
      </c>
      <c r="D104" t="str">
        <f t="shared" si="3"/>
        <v/>
      </c>
      <c r="E104" t="s">
        <v>1738</v>
      </c>
      <c r="F104" t="s">
        <v>4794</v>
      </c>
    </row>
    <row r="105" spans="2:6" x14ac:dyDescent="0.15">
      <c r="B105" t="s">
        <v>4289</v>
      </c>
      <c r="C105" t="str">
        <f t="shared" si="2"/>
        <v/>
      </c>
      <c r="D105" t="str">
        <f t="shared" si="3"/>
        <v/>
      </c>
      <c r="E105" t="s">
        <v>1863</v>
      </c>
      <c r="F105" t="s">
        <v>4794</v>
      </c>
    </row>
    <row r="106" spans="2:6" x14ac:dyDescent="0.15">
      <c r="B106" t="s">
        <v>1533</v>
      </c>
      <c r="C106" t="str">
        <f t="shared" si="2"/>
        <v/>
      </c>
      <c r="D106" t="str">
        <f t="shared" si="3"/>
        <v/>
      </c>
      <c r="E106" t="s">
        <v>357</v>
      </c>
      <c r="F106" t="s">
        <v>4794</v>
      </c>
    </row>
    <row r="107" spans="2:6" x14ac:dyDescent="0.15">
      <c r="B107" t="s">
        <v>1641</v>
      </c>
      <c r="C107" t="str">
        <f t="shared" si="2"/>
        <v/>
      </c>
      <c r="D107" t="str">
        <f t="shared" si="3"/>
        <v/>
      </c>
      <c r="E107" t="s">
        <v>4791</v>
      </c>
      <c r="F107" t="s">
        <v>4794</v>
      </c>
    </row>
    <row r="108" spans="2:6" x14ac:dyDescent="0.15">
      <c r="B108" t="s">
        <v>2861</v>
      </c>
      <c r="C108" t="str">
        <f t="shared" si="2"/>
        <v/>
      </c>
      <c r="D108" t="str">
        <f t="shared" si="3"/>
        <v/>
      </c>
      <c r="E108" t="s">
        <v>2943</v>
      </c>
      <c r="F108" t="s">
        <v>4794</v>
      </c>
    </row>
    <row r="109" spans="2:6" x14ac:dyDescent="0.15">
      <c r="B109" t="s">
        <v>1717</v>
      </c>
      <c r="C109" t="str">
        <f t="shared" si="2"/>
        <v/>
      </c>
      <c r="D109" t="str">
        <f t="shared" si="3"/>
        <v/>
      </c>
      <c r="E109" t="s">
        <v>1938</v>
      </c>
      <c r="F109" t="s">
        <v>4794</v>
      </c>
    </row>
    <row r="110" spans="2:6" x14ac:dyDescent="0.15">
      <c r="B110" t="s">
        <v>1493</v>
      </c>
      <c r="C110" t="str">
        <f t="shared" si="2"/>
        <v/>
      </c>
      <c r="D110" t="str">
        <f t="shared" si="3"/>
        <v/>
      </c>
      <c r="E110" t="s">
        <v>2992</v>
      </c>
      <c r="F110" t="s">
        <v>4794</v>
      </c>
    </row>
    <row r="111" spans="2:6" x14ac:dyDescent="0.15">
      <c r="B111" t="s">
        <v>4184</v>
      </c>
      <c r="C111" t="str">
        <f t="shared" si="2"/>
        <v/>
      </c>
      <c r="D111" t="str">
        <f t="shared" si="3"/>
        <v/>
      </c>
      <c r="E111" t="s">
        <v>1965</v>
      </c>
      <c r="F111" t="s">
        <v>4794</v>
      </c>
    </row>
    <row r="112" spans="2:6" x14ac:dyDescent="0.15">
      <c r="B112" t="s">
        <v>3957</v>
      </c>
      <c r="C112" t="str">
        <f t="shared" si="2"/>
        <v/>
      </c>
      <c r="D112" t="str">
        <f t="shared" si="3"/>
        <v/>
      </c>
      <c r="E112" t="s">
        <v>1799</v>
      </c>
      <c r="F112" t="s">
        <v>4794</v>
      </c>
    </row>
    <row r="113" spans="1:6" x14ac:dyDescent="0.15">
      <c r="A113" t="s">
        <v>4761</v>
      </c>
      <c r="B113" t="s">
        <v>1478</v>
      </c>
      <c r="C113" t="str">
        <f t="shared" si="2"/>
        <v>&gt;同盟者一覧</v>
      </c>
      <c r="D113" t="str">
        <f t="shared" si="3"/>
        <v>]]</v>
      </c>
      <c r="E113" t="s">
        <v>3026</v>
      </c>
      <c r="F113" t="s">
        <v>4794</v>
      </c>
    </row>
    <row r="114" spans="1:6" x14ac:dyDescent="0.15">
      <c r="B114" t="s">
        <v>1799</v>
      </c>
      <c r="C114" t="str">
        <f t="shared" si="2"/>
        <v/>
      </c>
      <c r="D114" t="str">
        <f t="shared" si="3"/>
        <v/>
      </c>
      <c r="E114" t="s">
        <v>4179</v>
      </c>
      <c r="F114" t="s">
        <v>4794</v>
      </c>
    </row>
    <row r="115" spans="1:6" x14ac:dyDescent="0.15">
      <c r="E115" t="s">
        <v>2678</v>
      </c>
      <c r="F115" t="s">
        <v>4794</v>
      </c>
    </row>
    <row r="116" spans="1:6" x14ac:dyDescent="0.15">
      <c r="E116" t="s">
        <v>3806</v>
      </c>
      <c r="F116" t="s">
        <v>4794</v>
      </c>
    </row>
    <row r="117" spans="1:6" x14ac:dyDescent="0.15">
      <c r="E117" t="s">
        <v>2802</v>
      </c>
      <c r="F117" t="s">
        <v>4794</v>
      </c>
    </row>
    <row r="119" spans="1:6" x14ac:dyDescent="0.15">
      <c r="E119" t="s">
        <v>4792</v>
      </c>
    </row>
    <row r="120" spans="1:6" x14ac:dyDescent="0.15">
      <c r="E120" t="s">
        <v>1464</v>
      </c>
      <c r="F120" t="s">
        <v>4794</v>
      </c>
    </row>
    <row r="121" spans="1:6" x14ac:dyDescent="0.15">
      <c r="E121" t="s">
        <v>4500</v>
      </c>
      <c r="F121" t="s">
        <v>4794</v>
      </c>
    </row>
    <row r="122" spans="1:6" x14ac:dyDescent="0.15">
      <c r="E122" t="s">
        <v>4456</v>
      </c>
      <c r="F122" t="s">
        <v>4794</v>
      </c>
    </row>
    <row r="123" spans="1:6" x14ac:dyDescent="0.15">
      <c r="E123" t="s">
        <v>2634</v>
      </c>
      <c r="F123" t="s">
        <v>4794</v>
      </c>
    </row>
    <row r="125" spans="1:6" x14ac:dyDescent="0.15">
      <c r="E125" t="s">
        <v>4793</v>
      </c>
    </row>
    <row r="126" spans="1:6" x14ac:dyDescent="0.15">
      <c r="E126" t="s">
        <v>3948</v>
      </c>
      <c r="F126" t="s">
        <v>4794</v>
      </c>
    </row>
    <row r="127" spans="1:6" x14ac:dyDescent="0.15">
      <c r="E127" t="s">
        <v>4012</v>
      </c>
      <c r="F127" t="s">
        <v>4794</v>
      </c>
    </row>
    <row r="128" spans="1:6" x14ac:dyDescent="0.15">
      <c r="E128" t="s">
        <v>2537</v>
      </c>
      <c r="F128" t="s">
        <v>4794</v>
      </c>
    </row>
    <row r="129" spans="5:6" x14ac:dyDescent="0.15">
      <c r="E129" t="s">
        <v>4031</v>
      </c>
      <c r="F129" t="s">
        <v>4794</v>
      </c>
    </row>
    <row r="130" spans="5:6" x14ac:dyDescent="0.15">
      <c r="E130" t="s">
        <v>338</v>
      </c>
      <c r="F130" t="s">
        <v>4794</v>
      </c>
    </row>
  </sheetData>
  <sortState ref="B1:B92">
    <sortCondition ref="B1"/>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A20"/>
  <sheetViews>
    <sheetView workbookViewId="0">
      <selection activeCell="G12" sqref="G12"/>
    </sheetView>
  </sheetViews>
  <sheetFormatPr defaultRowHeight="13.5" x14ac:dyDescent="0.15"/>
  <cols>
    <col min="1" max="1" width="18.375" customWidth="1"/>
    <col min="2" max="2" width="1.25" customWidth="1"/>
    <col min="4" max="4" width="2.5" bestFit="1" customWidth="1"/>
    <col min="5" max="5" width="2" bestFit="1" customWidth="1"/>
    <col min="7" max="7" width="5.875" bestFit="1" customWidth="1"/>
    <col min="8" max="8" width="2" bestFit="1" customWidth="1"/>
    <col min="9" max="9" width="8" bestFit="1" customWidth="1"/>
    <col min="10" max="10" width="2" bestFit="1" customWidth="1"/>
    <col min="13" max="13" width="2" bestFit="1" customWidth="1"/>
    <col min="14" max="14" width="3.75" bestFit="1" customWidth="1"/>
    <col min="16" max="16" width="10.25" customWidth="1"/>
    <col min="17" max="17" width="3.75" bestFit="1" customWidth="1"/>
    <col min="18" max="19" width="2" bestFit="1" customWidth="1"/>
    <col min="20" max="20" width="2.75" bestFit="1" customWidth="1"/>
    <col min="21" max="21" width="2" bestFit="1" customWidth="1"/>
    <col min="22" max="22" width="2.5" bestFit="1" customWidth="1"/>
    <col min="24" max="24" width="5.25" bestFit="1" customWidth="1"/>
    <col min="25" max="25" width="3.5" bestFit="1" customWidth="1"/>
    <col min="26" max="26" width="6.375" bestFit="1" customWidth="1"/>
    <col min="27" max="27" width="3.5" bestFit="1" customWidth="1"/>
  </cols>
  <sheetData>
    <row r="1" spans="1:27" x14ac:dyDescent="0.15">
      <c r="A1" t="str">
        <f>B1&amp;C1&amp;E1&amp;F1&amp;H1&amp;I1&amp;J1&amp;K1&amp;M1&amp;N1&amp;O1&amp;P1&amp;Q1&amp;R1&amp;S1&amp;T1&amp;U1&amp;V1</f>
        <v>*カード一覧</v>
      </c>
      <c r="B1" t="s">
        <v>3173</v>
      </c>
      <c r="F1" t="s">
        <v>3172</v>
      </c>
      <c r="X1" t="s">
        <v>1582</v>
      </c>
      <c r="Y1">
        <v>3</v>
      </c>
      <c r="Z1" t="s">
        <v>4236</v>
      </c>
      <c r="AA1">
        <v>7</v>
      </c>
    </row>
    <row r="2" spans="1:27" x14ac:dyDescent="0.15">
      <c r="A2" t="str">
        <f>B2&amp;C2&amp;E2&amp;F2&amp;H2&amp;I2&amp;J2&amp;K2&amp;M2&amp;N2&amp;O2&amp;P2&amp;Q2&amp;R2&amp;S2&amp;T2&amp;U2&amp;V2</f>
        <v>**</v>
      </c>
      <c r="B2" t="s">
        <v>4752</v>
      </c>
      <c r="X2" t="s">
        <v>1504</v>
      </c>
      <c r="Y2">
        <v>8</v>
      </c>
      <c r="Z2" t="s">
        <v>4349</v>
      </c>
      <c r="AA2">
        <v>10</v>
      </c>
    </row>
    <row r="3" spans="1:27" x14ac:dyDescent="0.15">
      <c r="A3" t="str">
        <f>B3&amp;C3&amp;E3&amp;F3&amp;H3&amp;I3&amp;J3&amp;K3&amp;M3&amp;N3&amp;O3&amp;P3&amp;Q3&amp;R3&amp;S3&amp;T3&amp;U3&amp;V3</f>
        <v>|LEFT:50|LEFT:50|LEFT:50|LEFT:50|LEFT:500|c</v>
      </c>
      <c r="B3" t="s">
        <v>3168</v>
      </c>
      <c r="C3" t="s">
        <v>3162</v>
      </c>
      <c r="E3" t="s">
        <v>3168</v>
      </c>
      <c r="F3" t="s">
        <v>3162</v>
      </c>
      <c r="H3" t="s">
        <v>3168</v>
      </c>
      <c r="I3" t="s">
        <v>3162</v>
      </c>
      <c r="J3" t="s">
        <v>3168</v>
      </c>
      <c r="K3" t="s">
        <v>3162</v>
      </c>
      <c r="M3" t="s">
        <v>3175</v>
      </c>
      <c r="O3" t="s">
        <v>3163</v>
      </c>
      <c r="R3" t="s">
        <v>3175</v>
      </c>
      <c r="S3" t="s">
        <v>3164</v>
      </c>
      <c r="X3" t="s">
        <v>1487</v>
      </c>
      <c r="Y3">
        <v>13</v>
      </c>
      <c r="Z3" t="s">
        <v>4643</v>
      </c>
      <c r="AA3">
        <v>11</v>
      </c>
    </row>
    <row r="4" spans="1:27" x14ac:dyDescent="0.15">
      <c r="A4" t="str">
        <f>B4&amp;C4&amp;E4&amp;F4&amp;H4&amp;I4&amp;J4&amp;K4&amp;M4&amp;N4&amp;O4&amp;P4&amp;Q4&amp;R4&amp;S4&amp;T4&amp;U4&amp;V4</f>
        <v>|セット|色|コスト|コスト|カード名|</v>
      </c>
      <c r="B4" t="s">
        <v>3168</v>
      </c>
      <c r="C4" t="s">
        <v>3169</v>
      </c>
      <c r="E4" t="s">
        <v>3168</v>
      </c>
      <c r="F4" t="s">
        <v>3139</v>
      </c>
      <c r="H4" t="s">
        <v>3168</v>
      </c>
      <c r="I4" t="s">
        <v>3165</v>
      </c>
      <c r="J4" t="s">
        <v>3168</v>
      </c>
      <c r="K4" t="s">
        <v>3165</v>
      </c>
      <c r="M4" t="s">
        <v>3175</v>
      </c>
      <c r="O4" t="s">
        <v>3166</v>
      </c>
      <c r="R4" t="s">
        <v>3175</v>
      </c>
      <c r="X4" t="s">
        <v>1606</v>
      </c>
      <c r="Y4">
        <v>2</v>
      </c>
      <c r="Z4" t="s">
        <v>3170</v>
      </c>
      <c r="AA4">
        <v>2</v>
      </c>
    </row>
    <row r="5" spans="1:27" x14ac:dyDescent="0.15">
      <c r="A5" t="str">
        <f>B5&amp;C5&amp;E5&amp;F5&amp;H5&amp;I5&amp;J5&amp;K5&amp;M5&amp;N5&amp;O5&amp;P5&amp;Q5&amp;R5&amp;S5&amp;T5&amp;U5&amp;V5</f>
        <v>|||||《[[]]》|</v>
      </c>
      <c r="B5" t="s">
        <v>3168</v>
      </c>
      <c r="E5" t="s">
        <v>3168</v>
      </c>
      <c r="G5" t="str">
        <f>IF(F5="","",VLOOKUP(F5,$X$1:$Y$16,2,TRUE))</f>
        <v/>
      </c>
      <c r="H5" t="s">
        <v>3168</v>
      </c>
      <c r="J5" t="s">
        <v>3168</v>
      </c>
      <c r="M5" t="s">
        <v>3175</v>
      </c>
      <c r="N5" t="s">
        <v>4750</v>
      </c>
      <c r="Q5" t="s">
        <v>4751</v>
      </c>
      <c r="R5" t="s">
        <v>3175</v>
      </c>
      <c r="S5" s="9"/>
      <c r="X5" t="s">
        <v>1508</v>
      </c>
      <c r="Y5">
        <v>7</v>
      </c>
      <c r="Z5" t="s">
        <v>3773</v>
      </c>
      <c r="AA5">
        <v>5</v>
      </c>
    </row>
    <row r="6" spans="1:27" x14ac:dyDescent="0.15">
      <c r="A6" t="str">
        <f t="shared" ref="A6:A20" si="0">B6&amp;C6&amp;E6&amp;F6&amp;H6&amp;I6&amp;J6&amp;K6&amp;M6&amp;N6&amp;O6&amp;P6&amp;Q6&amp;R6&amp;S6&amp;T6&amp;U6&amp;V6</f>
        <v>|||||《[[]]》|</v>
      </c>
      <c r="B6" t="s">
        <v>3168</v>
      </c>
      <c r="E6" t="s">
        <v>3168</v>
      </c>
      <c r="G6" t="str">
        <f t="shared" ref="G6:G20" si="1">IF(F6="","",VLOOKUP(F6,$X$1:$Y$16,2,TRUE))</f>
        <v/>
      </c>
      <c r="H6" t="s">
        <v>3168</v>
      </c>
      <c r="J6" t="s">
        <v>3168</v>
      </c>
      <c r="M6" t="s">
        <v>3175</v>
      </c>
      <c r="N6" t="s">
        <v>4750</v>
      </c>
      <c r="Q6" t="s">
        <v>4751</v>
      </c>
      <c r="R6" t="s">
        <v>3175</v>
      </c>
      <c r="X6" t="s">
        <v>1467</v>
      </c>
      <c r="Y6">
        <v>12</v>
      </c>
      <c r="Z6" t="s">
        <v>3937</v>
      </c>
      <c r="AA6">
        <v>6</v>
      </c>
    </row>
    <row r="7" spans="1:27" x14ac:dyDescent="0.15">
      <c r="A7" t="str">
        <f t="shared" si="0"/>
        <v>|||||《[[]]》|</v>
      </c>
      <c r="B7" t="s">
        <v>3168</v>
      </c>
      <c r="E7" t="s">
        <v>3168</v>
      </c>
      <c r="G7" t="str">
        <f t="shared" si="1"/>
        <v/>
      </c>
      <c r="H7" t="s">
        <v>3168</v>
      </c>
      <c r="J7" t="s">
        <v>3168</v>
      </c>
      <c r="M7" t="s">
        <v>3175</v>
      </c>
      <c r="N7" t="s">
        <v>4750</v>
      </c>
      <c r="Q7" t="s">
        <v>4751</v>
      </c>
      <c r="R7" t="s">
        <v>3175</v>
      </c>
      <c r="X7" t="s">
        <v>1552</v>
      </c>
      <c r="Y7">
        <v>4</v>
      </c>
      <c r="Z7" t="s">
        <v>4343</v>
      </c>
      <c r="AA7">
        <v>9</v>
      </c>
    </row>
    <row r="8" spans="1:27" x14ac:dyDescent="0.15">
      <c r="A8" t="str">
        <f t="shared" si="0"/>
        <v>|||||《[[]]》|</v>
      </c>
      <c r="B8" t="s">
        <v>3168</v>
      </c>
      <c r="E8" t="s">
        <v>3168</v>
      </c>
      <c r="G8" t="str">
        <f t="shared" si="1"/>
        <v/>
      </c>
      <c r="H8" t="s">
        <v>3168</v>
      </c>
      <c r="J8" t="s">
        <v>3168</v>
      </c>
      <c r="M8" t="s">
        <v>3175</v>
      </c>
      <c r="N8" t="s">
        <v>4750</v>
      </c>
      <c r="Q8" t="s">
        <v>4751</v>
      </c>
      <c r="R8" t="s">
        <v>3175</v>
      </c>
      <c r="X8" t="s">
        <v>1784</v>
      </c>
      <c r="Y8">
        <v>14</v>
      </c>
      <c r="Z8" t="s">
        <v>4331</v>
      </c>
      <c r="AA8">
        <v>8</v>
      </c>
    </row>
    <row r="9" spans="1:27" x14ac:dyDescent="0.15">
      <c r="A9" t="str">
        <f t="shared" si="0"/>
        <v>|||||《[[]]》|</v>
      </c>
      <c r="B9" t="s">
        <v>3168</v>
      </c>
      <c r="E9" t="s">
        <v>3168</v>
      </c>
      <c r="G9" t="str">
        <f t="shared" si="1"/>
        <v/>
      </c>
      <c r="H9" t="s">
        <v>3168</v>
      </c>
      <c r="J9" t="s">
        <v>3168</v>
      </c>
      <c r="M9" t="s">
        <v>3175</v>
      </c>
      <c r="N9" t="s">
        <v>4750</v>
      </c>
      <c r="Q9" t="s">
        <v>4751</v>
      </c>
      <c r="R9" t="s">
        <v>3175</v>
      </c>
      <c r="X9" t="s">
        <v>1482</v>
      </c>
      <c r="Y9">
        <v>9</v>
      </c>
      <c r="Z9" t="s">
        <v>3171</v>
      </c>
      <c r="AA9">
        <v>3</v>
      </c>
    </row>
    <row r="10" spans="1:27" x14ac:dyDescent="0.15">
      <c r="A10" t="str">
        <f t="shared" si="0"/>
        <v>|||||《[[]]》|</v>
      </c>
      <c r="B10" t="s">
        <v>3168</v>
      </c>
      <c r="E10" t="s">
        <v>3168</v>
      </c>
      <c r="G10" t="str">
        <f t="shared" si="1"/>
        <v/>
      </c>
      <c r="H10" t="s">
        <v>3168</v>
      </c>
      <c r="J10" t="s">
        <v>3168</v>
      </c>
      <c r="M10" t="s">
        <v>3175</v>
      </c>
      <c r="N10" t="s">
        <v>4750</v>
      </c>
      <c r="Q10" t="s">
        <v>4751</v>
      </c>
      <c r="R10" t="s">
        <v>3175</v>
      </c>
      <c r="X10" t="s">
        <v>1627</v>
      </c>
      <c r="Y10">
        <v>1</v>
      </c>
      <c r="Z10" t="s">
        <v>3176</v>
      </c>
      <c r="AA10">
        <v>1</v>
      </c>
    </row>
    <row r="11" spans="1:27" x14ac:dyDescent="0.15">
      <c r="A11" t="str">
        <f t="shared" si="0"/>
        <v>|||||《[[]]》|</v>
      </c>
      <c r="B11" t="s">
        <v>3168</v>
      </c>
      <c r="E11" t="s">
        <v>3168</v>
      </c>
      <c r="G11" t="str">
        <f t="shared" si="1"/>
        <v/>
      </c>
      <c r="H11" t="s">
        <v>3168</v>
      </c>
      <c r="J11" t="s">
        <v>3168</v>
      </c>
      <c r="M11" t="s">
        <v>3175</v>
      </c>
      <c r="N11" t="s">
        <v>4750</v>
      </c>
      <c r="Q11" t="s">
        <v>4751</v>
      </c>
      <c r="R11" t="s">
        <v>3175</v>
      </c>
      <c r="X11" t="s">
        <v>1474</v>
      </c>
      <c r="Y11">
        <v>11</v>
      </c>
      <c r="Z11" t="s">
        <v>3431</v>
      </c>
      <c r="AA11">
        <v>4</v>
      </c>
    </row>
    <row r="12" spans="1:27" x14ac:dyDescent="0.15">
      <c r="A12" t="str">
        <f t="shared" si="0"/>
        <v>|||||《[[]]》|</v>
      </c>
      <c r="B12" t="s">
        <v>3168</v>
      </c>
      <c r="E12" t="s">
        <v>3168</v>
      </c>
      <c r="G12" t="str">
        <f t="shared" si="1"/>
        <v/>
      </c>
      <c r="H12" t="s">
        <v>3168</v>
      </c>
      <c r="J12" t="s">
        <v>3168</v>
      </c>
      <c r="M12" t="s">
        <v>3175</v>
      </c>
      <c r="N12" t="s">
        <v>4750</v>
      </c>
      <c r="Q12" t="s">
        <v>4751</v>
      </c>
      <c r="R12" t="s">
        <v>3175</v>
      </c>
      <c r="X12" t="s">
        <v>1512</v>
      </c>
      <c r="Y12">
        <v>6</v>
      </c>
    </row>
    <row r="13" spans="1:27" x14ac:dyDescent="0.15">
      <c r="A13" t="str">
        <f t="shared" si="0"/>
        <v>|||||《[[]]》|</v>
      </c>
      <c r="B13" t="s">
        <v>3168</v>
      </c>
      <c r="E13" t="s">
        <v>3168</v>
      </c>
      <c r="G13" t="str">
        <f t="shared" si="1"/>
        <v/>
      </c>
      <c r="H13" t="s">
        <v>3168</v>
      </c>
      <c r="J13" t="s">
        <v>3168</v>
      </c>
      <c r="M13" t="s">
        <v>3175</v>
      </c>
      <c r="N13" t="s">
        <v>4750</v>
      </c>
      <c r="Q13" t="s">
        <v>4751</v>
      </c>
      <c r="R13" t="s">
        <v>3175</v>
      </c>
      <c r="X13" t="s">
        <v>292</v>
      </c>
      <c r="Y13">
        <v>16</v>
      </c>
    </row>
    <row r="14" spans="1:27" x14ac:dyDescent="0.15">
      <c r="A14" t="str">
        <f t="shared" si="0"/>
        <v>|||||《[[]]》|</v>
      </c>
      <c r="B14" t="s">
        <v>3168</v>
      </c>
      <c r="E14" t="s">
        <v>3168</v>
      </c>
      <c r="G14" t="str">
        <f t="shared" si="1"/>
        <v/>
      </c>
      <c r="H14" t="s">
        <v>3168</v>
      </c>
      <c r="J14" t="s">
        <v>3168</v>
      </c>
      <c r="M14" t="s">
        <v>3175</v>
      </c>
      <c r="N14" t="s">
        <v>4750</v>
      </c>
      <c r="Q14" t="s">
        <v>4751</v>
      </c>
      <c r="R14" t="s">
        <v>3175</v>
      </c>
      <c r="X14" t="s">
        <v>1518</v>
      </c>
      <c r="Y14">
        <v>5</v>
      </c>
    </row>
    <row r="15" spans="1:27" x14ac:dyDescent="0.15">
      <c r="A15" t="str">
        <f t="shared" si="0"/>
        <v>|||||《[[]]》|</v>
      </c>
      <c r="B15" t="s">
        <v>3168</v>
      </c>
      <c r="E15" t="s">
        <v>3168</v>
      </c>
      <c r="G15" t="str">
        <f t="shared" si="1"/>
        <v/>
      </c>
      <c r="H15" t="s">
        <v>3168</v>
      </c>
      <c r="J15" t="s">
        <v>3168</v>
      </c>
      <c r="M15" t="s">
        <v>3175</v>
      </c>
      <c r="N15" t="s">
        <v>4750</v>
      </c>
      <c r="Q15" t="s">
        <v>4751</v>
      </c>
      <c r="R15" t="s">
        <v>3175</v>
      </c>
      <c r="X15" t="s">
        <v>1772</v>
      </c>
      <c r="Y15">
        <v>15</v>
      </c>
    </row>
    <row r="16" spans="1:27" x14ac:dyDescent="0.15">
      <c r="A16" t="str">
        <f t="shared" si="0"/>
        <v>|||||《[[]]》|</v>
      </c>
      <c r="B16" t="s">
        <v>3168</v>
      </c>
      <c r="E16" t="s">
        <v>3168</v>
      </c>
      <c r="G16" t="str">
        <f t="shared" si="1"/>
        <v/>
      </c>
      <c r="H16" t="s">
        <v>3168</v>
      </c>
      <c r="J16" t="s">
        <v>3168</v>
      </c>
      <c r="M16" t="s">
        <v>3175</v>
      </c>
      <c r="N16" t="s">
        <v>4750</v>
      </c>
      <c r="Q16" t="s">
        <v>4751</v>
      </c>
      <c r="R16" t="s">
        <v>3175</v>
      </c>
      <c r="X16" t="s">
        <v>1802</v>
      </c>
      <c r="Y16">
        <v>10</v>
      </c>
    </row>
    <row r="17" spans="1:18" x14ac:dyDescent="0.15">
      <c r="A17" t="str">
        <f t="shared" si="0"/>
        <v>|||||《[[]]》|</v>
      </c>
      <c r="B17" t="s">
        <v>3168</v>
      </c>
      <c r="E17" t="s">
        <v>3168</v>
      </c>
      <c r="G17" t="str">
        <f t="shared" si="1"/>
        <v/>
      </c>
      <c r="H17" t="s">
        <v>3168</v>
      </c>
      <c r="J17" t="s">
        <v>3168</v>
      </c>
      <c r="M17" t="s">
        <v>3175</v>
      </c>
      <c r="N17" t="s">
        <v>4750</v>
      </c>
      <c r="Q17" t="s">
        <v>4751</v>
      </c>
      <c r="R17" t="s">
        <v>3175</v>
      </c>
    </row>
    <row r="18" spans="1:18" x14ac:dyDescent="0.15">
      <c r="A18" t="str">
        <f t="shared" si="0"/>
        <v>|||||《[[]]》|</v>
      </c>
      <c r="B18" t="s">
        <v>3168</v>
      </c>
      <c r="E18" t="s">
        <v>3168</v>
      </c>
      <c r="G18" t="str">
        <f t="shared" si="1"/>
        <v/>
      </c>
      <c r="H18" t="s">
        <v>3168</v>
      </c>
      <c r="J18" t="s">
        <v>3168</v>
      </c>
      <c r="M18" t="s">
        <v>3175</v>
      </c>
      <c r="N18" t="s">
        <v>4750</v>
      </c>
      <c r="Q18" t="s">
        <v>4751</v>
      </c>
      <c r="R18" t="s">
        <v>3175</v>
      </c>
    </row>
    <row r="19" spans="1:18" x14ac:dyDescent="0.15">
      <c r="A19" t="str">
        <f t="shared" si="0"/>
        <v>|||||《[[]]》|</v>
      </c>
      <c r="B19" t="s">
        <v>3168</v>
      </c>
      <c r="E19" t="s">
        <v>3168</v>
      </c>
      <c r="G19" t="str">
        <f t="shared" si="1"/>
        <v/>
      </c>
      <c r="H19" t="s">
        <v>3168</v>
      </c>
      <c r="J19" t="s">
        <v>3168</v>
      </c>
      <c r="M19" t="s">
        <v>3175</v>
      </c>
      <c r="N19" t="s">
        <v>4750</v>
      </c>
      <c r="Q19" t="s">
        <v>4751</v>
      </c>
      <c r="R19" t="s">
        <v>3175</v>
      </c>
    </row>
    <row r="20" spans="1:18" x14ac:dyDescent="0.15">
      <c r="A20" t="str">
        <f t="shared" si="0"/>
        <v>|||||《[[]]》|</v>
      </c>
      <c r="B20" t="s">
        <v>3168</v>
      </c>
      <c r="E20" t="s">
        <v>3168</v>
      </c>
      <c r="G20" t="str">
        <f t="shared" si="1"/>
        <v/>
      </c>
      <c r="H20" t="s">
        <v>3168</v>
      </c>
      <c r="J20" t="s">
        <v>3168</v>
      </c>
      <c r="M20" t="s">
        <v>3175</v>
      </c>
      <c r="N20" t="s">
        <v>4750</v>
      </c>
      <c r="Q20" t="s">
        <v>4751</v>
      </c>
      <c r="R20" t="s">
        <v>3175</v>
      </c>
    </row>
  </sheetData>
  <sortState ref="Z1:AA11">
    <sortCondition ref="Z1"/>
  </sortState>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51"/>
  <sheetViews>
    <sheetView topLeftCell="F1" zoomScale="85" zoomScaleNormal="85" workbookViewId="0">
      <selection activeCell="P13" sqref="L13:P13"/>
    </sheetView>
  </sheetViews>
  <sheetFormatPr defaultRowHeight="13.5" x14ac:dyDescent="0.15"/>
  <cols>
    <col min="7" max="7" width="5.5" bestFit="1" customWidth="1"/>
    <col min="8" max="8" width="5.25" bestFit="1" customWidth="1"/>
    <col min="9" max="9" width="9.5" bestFit="1" customWidth="1"/>
    <col min="10" max="10" width="5" bestFit="1" customWidth="1"/>
    <col min="11" max="11" width="22.75" bestFit="1" customWidth="1"/>
    <col min="12" max="12" width="5.375" bestFit="1" customWidth="1"/>
    <col min="13" max="13" width="5.25" bestFit="1" customWidth="1"/>
    <col min="14" max="14" width="9.5" bestFit="1" customWidth="1"/>
    <col min="15" max="15" width="5.25" bestFit="1" customWidth="1"/>
    <col min="16" max="16" width="30.125" bestFit="1" customWidth="1"/>
  </cols>
  <sheetData>
    <row r="1" spans="1:16" x14ac:dyDescent="0.15">
      <c r="A1" t="s">
        <v>1011</v>
      </c>
      <c r="B1" t="s">
        <v>1188</v>
      </c>
      <c r="G1" s="7" t="s">
        <v>3140</v>
      </c>
      <c r="H1" s="6" t="s">
        <v>3139</v>
      </c>
      <c r="I1" s="5" t="s">
        <v>3138</v>
      </c>
      <c r="J1" s="5" t="s">
        <v>3137</v>
      </c>
      <c r="K1" s="5" t="s">
        <v>3136</v>
      </c>
      <c r="L1" s="7" t="s">
        <v>3140</v>
      </c>
      <c r="M1" s="6" t="s">
        <v>3139</v>
      </c>
      <c r="N1" s="5" t="s">
        <v>3138</v>
      </c>
      <c r="O1" s="5" t="s">
        <v>3137</v>
      </c>
      <c r="P1" s="5" t="s">
        <v>3136</v>
      </c>
    </row>
    <row r="2" spans="1:16" x14ac:dyDescent="0.15">
      <c r="A2" t="s">
        <v>1041</v>
      </c>
      <c r="B2" t="s">
        <v>1375</v>
      </c>
      <c r="G2" s="28" t="s">
        <v>3176</v>
      </c>
      <c r="H2" s="24" t="s">
        <v>292</v>
      </c>
      <c r="I2" s="24" t="s">
        <v>1744</v>
      </c>
      <c r="J2" s="24">
        <v>6</v>
      </c>
      <c r="K2" s="24" t="s">
        <v>2496</v>
      </c>
      <c r="L2" s="28" t="s">
        <v>3431</v>
      </c>
      <c r="M2" s="24" t="s">
        <v>292</v>
      </c>
      <c r="N2" s="24" t="s">
        <v>1744</v>
      </c>
      <c r="O2" s="24">
        <v>11</v>
      </c>
      <c r="P2" s="24" t="s">
        <v>1092</v>
      </c>
    </row>
    <row r="3" spans="1:16" x14ac:dyDescent="0.15">
      <c r="A3" t="s">
        <v>846</v>
      </c>
      <c r="B3" t="s">
        <v>934</v>
      </c>
      <c r="G3" s="28" t="s">
        <v>3176</v>
      </c>
      <c r="H3" s="24" t="s">
        <v>292</v>
      </c>
      <c r="I3" s="24" t="s">
        <v>1744</v>
      </c>
      <c r="J3" s="24">
        <v>6</v>
      </c>
      <c r="K3" s="24" t="s">
        <v>2493</v>
      </c>
      <c r="L3" s="28" t="s">
        <v>3431</v>
      </c>
      <c r="M3" s="24" t="s">
        <v>292</v>
      </c>
      <c r="N3" s="24" t="s">
        <v>1744</v>
      </c>
      <c r="O3" s="24">
        <v>11</v>
      </c>
      <c r="P3" s="24" t="s">
        <v>1090</v>
      </c>
    </row>
    <row r="4" spans="1:16" x14ac:dyDescent="0.15">
      <c r="A4" t="s">
        <v>1019</v>
      </c>
      <c r="B4" t="s">
        <v>1237</v>
      </c>
      <c r="G4" s="28" t="s">
        <v>3176</v>
      </c>
      <c r="H4" s="24" t="s">
        <v>292</v>
      </c>
      <c r="I4" s="24" t="s">
        <v>1744</v>
      </c>
      <c r="J4" s="24">
        <v>6</v>
      </c>
      <c r="K4" s="24" t="s">
        <v>2491</v>
      </c>
      <c r="L4" s="28" t="s">
        <v>3431</v>
      </c>
      <c r="M4" s="24" t="s">
        <v>292</v>
      </c>
      <c r="N4" s="24" t="s">
        <v>1744</v>
      </c>
      <c r="O4" s="24">
        <v>11</v>
      </c>
      <c r="P4" s="24" t="s">
        <v>1088</v>
      </c>
    </row>
    <row r="5" spans="1:16" x14ac:dyDescent="0.15">
      <c r="A5" t="s">
        <v>5617</v>
      </c>
      <c r="B5" t="s">
        <v>5584</v>
      </c>
      <c r="G5" s="28" t="s">
        <v>3176</v>
      </c>
      <c r="H5" s="24" t="s">
        <v>292</v>
      </c>
      <c r="I5" s="24" t="s">
        <v>1744</v>
      </c>
      <c r="J5" s="24">
        <v>6</v>
      </c>
      <c r="K5" s="24" t="s">
        <v>2485</v>
      </c>
      <c r="L5" s="28" t="s">
        <v>3431</v>
      </c>
      <c r="M5" s="24" t="s">
        <v>292</v>
      </c>
      <c r="N5" s="24" t="s">
        <v>1744</v>
      </c>
      <c r="O5" s="24">
        <v>11</v>
      </c>
      <c r="P5" s="24" t="s">
        <v>1086</v>
      </c>
    </row>
    <row r="6" spans="1:16" x14ac:dyDescent="0.15">
      <c r="A6" t="s">
        <v>840</v>
      </c>
      <c r="B6" t="s">
        <v>910</v>
      </c>
      <c r="G6" s="28" t="s">
        <v>3176</v>
      </c>
      <c r="H6" s="24" t="s">
        <v>292</v>
      </c>
      <c r="I6" s="24" t="s">
        <v>1744</v>
      </c>
      <c r="J6" s="24">
        <v>6</v>
      </c>
      <c r="K6" s="24" t="s">
        <v>2479</v>
      </c>
      <c r="L6" s="28" t="s">
        <v>3431</v>
      </c>
      <c r="M6" s="24" t="s">
        <v>292</v>
      </c>
      <c r="N6" s="24" t="s">
        <v>1744</v>
      </c>
      <c r="O6" s="24">
        <v>11</v>
      </c>
      <c r="P6" s="24" t="s">
        <v>1082</v>
      </c>
    </row>
    <row r="7" spans="1:16" x14ac:dyDescent="0.15">
      <c r="A7" t="s">
        <v>1003</v>
      </c>
      <c r="B7" t="s">
        <v>1150</v>
      </c>
      <c r="G7" s="28" t="s">
        <v>3176</v>
      </c>
      <c r="H7" s="24" t="s">
        <v>292</v>
      </c>
      <c r="I7" s="24" t="s">
        <v>1451</v>
      </c>
      <c r="J7" s="24">
        <v>14</v>
      </c>
      <c r="K7" s="24" t="s">
        <v>2455</v>
      </c>
      <c r="L7" s="28" t="s">
        <v>3431</v>
      </c>
      <c r="M7" s="24" t="s">
        <v>292</v>
      </c>
      <c r="N7" s="24" t="s">
        <v>1451</v>
      </c>
      <c r="O7" s="24">
        <v>10</v>
      </c>
      <c r="P7" s="24" t="s">
        <v>1074</v>
      </c>
    </row>
    <row r="8" spans="1:16" x14ac:dyDescent="0.15">
      <c r="A8" t="s">
        <v>842</v>
      </c>
      <c r="B8" t="s">
        <v>916</v>
      </c>
      <c r="G8" s="28" t="s">
        <v>3176</v>
      </c>
      <c r="H8" s="24" t="s">
        <v>292</v>
      </c>
      <c r="I8" s="24" t="s">
        <v>1441</v>
      </c>
      <c r="J8" s="24">
        <v>8</v>
      </c>
      <c r="K8" s="24" t="s">
        <v>2432</v>
      </c>
      <c r="L8" s="28" t="s">
        <v>3431</v>
      </c>
      <c r="M8" s="24" t="s">
        <v>292</v>
      </c>
      <c r="N8" s="24" t="s">
        <v>1451</v>
      </c>
      <c r="O8" s="24">
        <v>10</v>
      </c>
      <c r="P8" s="24" t="s">
        <v>1072</v>
      </c>
    </row>
    <row r="9" spans="1:16" x14ac:dyDescent="0.15">
      <c r="A9" t="s">
        <v>1045</v>
      </c>
      <c r="B9" t="s">
        <v>1391</v>
      </c>
      <c r="G9" s="28" t="s">
        <v>3170</v>
      </c>
      <c r="H9" s="24" t="s">
        <v>1627</v>
      </c>
      <c r="I9" s="24" t="s">
        <v>1451</v>
      </c>
      <c r="J9" s="24">
        <v>11</v>
      </c>
      <c r="K9" s="24" t="s">
        <v>2336</v>
      </c>
      <c r="L9" s="28" t="s">
        <v>3431</v>
      </c>
      <c r="M9" s="24" t="s">
        <v>292</v>
      </c>
      <c r="N9" s="24" t="s">
        <v>1451</v>
      </c>
      <c r="O9" s="24">
        <v>10</v>
      </c>
      <c r="P9" s="24" t="s">
        <v>1070</v>
      </c>
    </row>
    <row r="10" spans="1:16" x14ac:dyDescent="0.15">
      <c r="A10" t="s">
        <v>1001</v>
      </c>
      <c r="B10" t="s">
        <v>1148</v>
      </c>
      <c r="G10" s="28" t="s">
        <v>3170</v>
      </c>
      <c r="H10" s="24" t="s">
        <v>1606</v>
      </c>
      <c r="I10" s="24" t="s">
        <v>1451</v>
      </c>
      <c r="J10" s="24">
        <v>12</v>
      </c>
      <c r="K10" s="24" t="s">
        <v>2224</v>
      </c>
      <c r="L10" s="28" t="s">
        <v>3431</v>
      </c>
      <c r="M10" s="24" t="s">
        <v>292</v>
      </c>
      <c r="N10" s="24" t="s">
        <v>1451</v>
      </c>
      <c r="O10" s="24">
        <v>10</v>
      </c>
      <c r="P10" s="24" t="s">
        <v>1068</v>
      </c>
    </row>
    <row r="11" spans="1:16" x14ac:dyDescent="0.15">
      <c r="A11" t="s">
        <v>1025</v>
      </c>
      <c r="B11" t="s">
        <v>1267</v>
      </c>
      <c r="G11" s="28" t="s">
        <v>3170</v>
      </c>
      <c r="H11" s="24" t="s">
        <v>1582</v>
      </c>
      <c r="I11" s="24" t="s">
        <v>1451</v>
      </c>
      <c r="J11" s="24">
        <v>12</v>
      </c>
      <c r="K11" s="24" t="s">
        <v>2108</v>
      </c>
      <c r="L11" s="28" t="s">
        <v>3431</v>
      </c>
      <c r="M11" s="24" t="s">
        <v>292</v>
      </c>
      <c r="N11" s="24" t="s">
        <v>1451</v>
      </c>
      <c r="O11" s="24">
        <v>10</v>
      </c>
      <c r="P11" s="24" t="s">
        <v>1063</v>
      </c>
    </row>
    <row r="12" spans="1:16" x14ac:dyDescent="0.15">
      <c r="A12" t="s">
        <v>854</v>
      </c>
      <c r="B12" t="s">
        <v>977</v>
      </c>
      <c r="G12" s="28" t="s">
        <v>3170</v>
      </c>
      <c r="H12" s="24" t="s">
        <v>1552</v>
      </c>
      <c r="I12" s="24" t="s">
        <v>1744</v>
      </c>
      <c r="J12" s="24">
        <v>15</v>
      </c>
      <c r="K12" s="24" t="s">
        <v>2019</v>
      </c>
      <c r="L12" s="28" t="s">
        <v>3431</v>
      </c>
      <c r="M12" s="24" t="s">
        <v>292</v>
      </c>
      <c r="N12" s="24" t="s">
        <v>1441</v>
      </c>
      <c r="O12" s="24">
        <v>9</v>
      </c>
      <c r="P12" s="24" t="s">
        <v>1051</v>
      </c>
    </row>
    <row r="13" spans="1:16" x14ac:dyDescent="0.15">
      <c r="A13" t="s">
        <v>1023</v>
      </c>
      <c r="B13" t="s">
        <v>1255</v>
      </c>
      <c r="G13" s="28" t="s">
        <v>3170</v>
      </c>
      <c r="H13" s="24" t="s">
        <v>1552</v>
      </c>
      <c r="I13" s="24" t="s">
        <v>1451</v>
      </c>
      <c r="J13" s="24">
        <v>11</v>
      </c>
      <c r="K13" s="24" t="s">
        <v>1990</v>
      </c>
      <c r="L13" s="28" t="s">
        <v>3937</v>
      </c>
      <c r="M13" s="24" t="s">
        <v>292</v>
      </c>
      <c r="N13" s="24" t="s">
        <v>1451</v>
      </c>
      <c r="O13" s="24">
        <v>6</v>
      </c>
      <c r="P13" s="24" t="s">
        <v>522</v>
      </c>
    </row>
    <row r="14" spans="1:16" x14ac:dyDescent="0.15">
      <c r="A14" t="s">
        <v>1015</v>
      </c>
      <c r="B14" t="s">
        <v>1214</v>
      </c>
      <c r="G14" s="28" t="s">
        <v>3170</v>
      </c>
      <c r="H14" s="24" t="s">
        <v>1518</v>
      </c>
      <c r="I14" s="24" t="s">
        <v>1451</v>
      </c>
      <c r="J14" s="24">
        <v>7</v>
      </c>
      <c r="K14" s="24" t="s">
        <v>1876</v>
      </c>
      <c r="L14" s="2" t="s">
        <v>4349</v>
      </c>
      <c r="M14" s="1" t="s">
        <v>292</v>
      </c>
      <c r="N14" s="1" t="s">
        <v>1744</v>
      </c>
      <c r="O14" s="1">
        <v>7</v>
      </c>
      <c r="P14" s="1" t="s">
        <v>29</v>
      </c>
    </row>
    <row r="15" spans="1:16" x14ac:dyDescent="0.15">
      <c r="A15" t="s">
        <v>1037</v>
      </c>
      <c r="B15" t="s">
        <v>1333</v>
      </c>
      <c r="G15" s="28" t="s">
        <v>3170</v>
      </c>
      <c r="H15" s="24" t="s">
        <v>292</v>
      </c>
      <c r="I15" s="24" t="s">
        <v>1744</v>
      </c>
      <c r="J15" s="24">
        <v>10</v>
      </c>
      <c r="K15" s="24" t="s">
        <v>1759</v>
      </c>
      <c r="L15" s="2" t="s">
        <v>4349</v>
      </c>
      <c r="M15" s="1" t="s">
        <v>292</v>
      </c>
      <c r="N15" s="1" t="s">
        <v>1744</v>
      </c>
      <c r="O15" s="1">
        <v>5</v>
      </c>
      <c r="P15" s="1" t="s">
        <v>27</v>
      </c>
    </row>
    <row r="16" spans="1:16" x14ac:dyDescent="0.15">
      <c r="A16" t="s">
        <v>1035</v>
      </c>
      <c r="B16" t="s">
        <v>1331</v>
      </c>
      <c r="G16" s="28" t="s">
        <v>3170</v>
      </c>
      <c r="H16" s="24" t="s">
        <v>292</v>
      </c>
      <c r="I16" s="24" t="s">
        <v>1744</v>
      </c>
      <c r="J16" s="24">
        <v>2</v>
      </c>
      <c r="K16" s="24" t="s">
        <v>1756</v>
      </c>
      <c r="L16" s="2" t="s">
        <v>4349</v>
      </c>
      <c r="M16" s="1" t="s">
        <v>292</v>
      </c>
      <c r="N16" s="1" t="s">
        <v>1744</v>
      </c>
      <c r="O16" s="1">
        <v>17</v>
      </c>
      <c r="P16" s="1" t="s">
        <v>25</v>
      </c>
    </row>
    <row r="17" spans="1:16" x14ac:dyDescent="0.15">
      <c r="A17" t="s">
        <v>5626</v>
      </c>
      <c r="B17" t="s">
        <v>5616</v>
      </c>
      <c r="G17" s="28" t="s">
        <v>3170</v>
      </c>
      <c r="H17" s="24" t="s">
        <v>292</v>
      </c>
      <c r="I17" s="24" t="s">
        <v>1744</v>
      </c>
      <c r="J17" s="24">
        <v>11</v>
      </c>
      <c r="K17" s="24" t="s">
        <v>1750</v>
      </c>
      <c r="L17" s="2" t="s">
        <v>4349</v>
      </c>
      <c r="M17" s="1" t="s">
        <v>292</v>
      </c>
      <c r="N17" s="1" t="s">
        <v>1441</v>
      </c>
      <c r="O17" s="1">
        <v>6</v>
      </c>
      <c r="P17" s="1" t="s">
        <v>13</v>
      </c>
    </row>
    <row r="18" spans="1:16" x14ac:dyDescent="0.15">
      <c r="A18" t="s">
        <v>963</v>
      </c>
      <c r="B18" t="s">
        <v>965</v>
      </c>
      <c r="G18" s="28" t="s">
        <v>3170</v>
      </c>
      <c r="H18" s="24" t="s">
        <v>292</v>
      </c>
      <c r="I18" s="24" t="s">
        <v>1744</v>
      </c>
      <c r="J18" s="24">
        <v>15</v>
      </c>
      <c r="K18" s="24" t="s">
        <v>1747</v>
      </c>
      <c r="L18" s="2" t="s">
        <v>4349</v>
      </c>
      <c r="M18" s="1" t="s">
        <v>292</v>
      </c>
      <c r="N18" s="1" t="s">
        <v>1441</v>
      </c>
      <c r="O18" s="1">
        <v>6</v>
      </c>
      <c r="P18" s="1" t="s">
        <v>11</v>
      </c>
    </row>
    <row r="19" spans="1:16" x14ac:dyDescent="0.15">
      <c r="A19" t="s">
        <v>1007</v>
      </c>
      <c r="B19" t="s">
        <v>1170</v>
      </c>
      <c r="G19" s="28" t="s">
        <v>3170</v>
      </c>
      <c r="H19" s="24" t="s">
        <v>292</v>
      </c>
      <c r="I19" s="24" t="s">
        <v>1744</v>
      </c>
      <c r="J19" s="24">
        <v>8</v>
      </c>
      <c r="K19" s="24" t="s">
        <v>1743</v>
      </c>
      <c r="L19" s="2" t="s">
        <v>4349</v>
      </c>
      <c r="M19" s="1" t="s">
        <v>292</v>
      </c>
      <c r="N19" s="1" t="s">
        <v>1441</v>
      </c>
      <c r="O19" s="1">
        <v>6</v>
      </c>
      <c r="P19" s="1" t="s">
        <v>9</v>
      </c>
    </row>
    <row r="20" spans="1:16" x14ac:dyDescent="0.15">
      <c r="A20" t="s">
        <v>848</v>
      </c>
      <c r="B20" t="s">
        <v>944</v>
      </c>
      <c r="G20" s="28" t="s">
        <v>3170</v>
      </c>
      <c r="H20" s="24" t="s">
        <v>292</v>
      </c>
      <c r="I20" s="24" t="s">
        <v>1451</v>
      </c>
      <c r="J20" s="24">
        <v>16</v>
      </c>
      <c r="K20" s="24" t="s">
        <v>1722</v>
      </c>
      <c r="L20" s="2" t="s">
        <v>4349</v>
      </c>
      <c r="M20" s="1" t="s">
        <v>292</v>
      </c>
      <c r="N20" s="1" t="s">
        <v>1441</v>
      </c>
      <c r="O20" s="1">
        <v>6</v>
      </c>
      <c r="P20" s="1" t="s">
        <v>7</v>
      </c>
    </row>
    <row r="21" spans="1:16" x14ac:dyDescent="0.15">
      <c r="A21" t="s">
        <v>1013</v>
      </c>
      <c r="B21" t="s">
        <v>1210</v>
      </c>
      <c r="G21" s="28" t="s">
        <v>3170</v>
      </c>
      <c r="H21" s="24" t="s">
        <v>292</v>
      </c>
      <c r="I21" s="24" t="s">
        <v>1441</v>
      </c>
      <c r="J21" s="24">
        <v>5</v>
      </c>
      <c r="K21" s="24" t="s">
        <v>1694</v>
      </c>
      <c r="L21" s="2" t="s">
        <v>4349</v>
      </c>
      <c r="M21" s="1" t="s">
        <v>292</v>
      </c>
      <c r="N21" s="1" t="s">
        <v>1441</v>
      </c>
      <c r="O21" s="1">
        <v>6</v>
      </c>
      <c r="P21" s="1" t="s">
        <v>5</v>
      </c>
    </row>
    <row r="22" spans="1:16" x14ac:dyDescent="0.15">
      <c r="A22" t="s">
        <v>1047</v>
      </c>
      <c r="B22" t="s">
        <v>1397</v>
      </c>
      <c r="G22" s="28" t="s">
        <v>3170</v>
      </c>
      <c r="H22" s="24" t="s">
        <v>292</v>
      </c>
      <c r="I22" s="24" t="s">
        <v>1441</v>
      </c>
      <c r="J22" s="24">
        <v>5</v>
      </c>
      <c r="K22" s="24" t="s">
        <v>1691</v>
      </c>
      <c r="L22" s="2" t="s">
        <v>4349</v>
      </c>
      <c r="M22" s="1" t="s">
        <v>292</v>
      </c>
      <c r="N22" s="1" t="s">
        <v>1431</v>
      </c>
      <c r="O22" s="1">
        <v>13</v>
      </c>
      <c r="P22" s="1" t="s">
        <v>3</v>
      </c>
    </row>
    <row r="23" spans="1:16" x14ac:dyDescent="0.15">
      <c r="A23" t="s">
        <v>999</v>
      </c>
      <c r="B23" t="s">
        <v>1132</v>
      </c>
      <c r="G23" s="28" t="s">
        <v>3170</v>
      </c>
      <c r="H23" s="24" t="s">
        <v>292</v>
      </c>
      <c r="I23" s="24" t="s">
        <v>1441</v>
      </c>
      <c r="J23" s="24">
        <v>8</v>
      </c>
      <c r="K23" s="24" t="s">
        <v>1688</v>
      </c>
      <c r="L23" s="17" t="s">
        <v>4926</v>
      </c>
      <c r="M23" s="25" t="s">
        <v>292</v>
      </c>
      <c r="N23" s="18" t="s">
        <v>1451</v>
      </c>
      <c r="O23" s="22">
        <v>13</v>
      </c>
      <c r="P23" s="17" t="s">
        <v>5326</v>
      </c>
    </row>
    <row r="24" spans="1:16" x14ac:dyDescent="0.15">
      <c r="A24" t="s">
        <v>1017</v>
      </c>
      <c r="B24" t="s">
        <v>1218</v>
      </c>
      <c r="G24" s="28" t="s">
        <v>3170</v>
      </c>
      <c r="H24" s="24" t="s">
        <v>292</v>
      </c>
      <c r="I24" s="24" t="s">
        <v>1441</v>
      </c>
      <c r="J24" s="24">
        <v>5</v>
      </c>
      <c r="K24" s="24" t="s">
        <v>1685</v>
      </c>
      <c r="L24" s="17" t="s">
        <v>5677</v>
      </c>
      <c r="M24" s="17" t="s">
        <v>1627</v>
      </c>
      <c r="N24" s="18" t="s">
        <v>1431</v>
      </c>
      <c r="O24" s="22" t="s">
        <v>6312</v>
      </c>
      <c r="P24" s="17" t="s">
        <v>6230</v>
      </c>
    </row>
    <row r="25" spans="1:16" x14ac:dyDescent="0.15">
      <c r="A25" t="s">
        <v>5625</v>
      </c>
      <c r="B25" t="s">
        <v>5594</v>
      </c>
      <c r="G25" s="28" t="s">
        <v>3170</v>
      </c>
      <c r="H25" s="24" t="s">
        <v>292</v>
      </c>
      <c r="I25" s="24" t="s">
        <v>1441</v>
      </c>
      <c r="J25" s="24">
        <v>5</v>
      </c>
      <c r="K25" s="24" t="s">
        <v>1682</v>
      </c>
      <c r="L25" s="17" t="s">
        <v>5677</v>
      </c>
      <c r="M25" s="17" t="s">
        <v>1606</v>
      </c>
      <c r="N25" s="18" t="s">
        <v>1431</v>
      </c>
      <c r="O25" s="22" t="s">
        <v>6312</v>
      </c>
      <c r="P25" s="17" t="s">
        <v>6232</v>
      </c>
    </row>
    <row r="26" spans="1:16" x14ac:dyDescent="0.15">
      <c r="A26" t="s">
        <v>5620</v>
      </c>
      <c r="B26" t="s">
        <v>5611</v>
      </c>
      <c r="G26" s="28" t="s">
        <v>3170</v>
      </c>
      <c r="H26" s="24" t="s">
        <v>292</v>
      </c>
      <c r="I26" s="24" t="s">
        <v>1441</v>
      </c>
      <c r="J26" s="24">
        <v>7</v>
      </c>
      <c r="K26" s="24" t="s">
        <v>1679</v>
      </c>
      <c r="L26" s="17" t="s">
        <v>5677</v>
      </c>
      <c r="M26" s="17" t="s">
        <v>1582</v>
      </c>
      <c r="N26" s="18" t="s">
        <v>1431</v>
      </c>
      <c r="O26" s="22" t="s">
        <v>6312</v>
      </c>
      <c r="P26" s="17" t="s">
        <v>6234</v>
      </c>
    </row>
    <row r="27" spans="1:16" x14ac:dyDescent="0.15">
      <c r="A27" t="s">
        <v>5619</v>
      </c>
      <c r="B27" t="s">
        <v>5610</v>
      </c>
      <c r="G27" s="28" t="s">
        <v>3170</v>
      </c>
      <c r="H27" s="24" t="s">
        <v>292</v>
      </c>
      <c r="I27" s="24" t="s">
        <v>1441</v>
      </c>
      <c r="J27" s="24">
        <v>5</v>
      </c>
      <c r="K27" s="24" t="s">
        <v>1676</v>
      </c>
      <c r="L27" s="17" t="s">
        <v>5677</v>
      </c>
      <c r="M27" s="17" t="s">
        <v>1552</v>
      </c>
      <c r="N27" s="18" t="s">
        <v>1431</v>
      </c>
      <c r="O27" s="22" t="s">
        <v>6312</v>
      </c>
      <c r="P27" s="17" t="s">
        <v>6236</v>
      </c>
    </row>
    <row r="28" spans="1:16" x14ac:dyDescent="0.15">
      <c r="A28" t="s">
        <v>5624</v>
      </c>
      <c r="B28" t="s">
        <v>5615</v>
      </c>
      <c r="G28" s="28" t="s">
        <v>3170</v>
      </c>
      <c r="H28" s="24" t="s">
        <v>292</v>
      </c>
      <c r="I28" s="24" t="s">
        <v>1441</v>
      </c>
      <c r="J28" s="24">
        <v>5</v>
      </c>
      <c r="K28" s="24" t="s">
        <v>1673</v>
      </c>
      <c r="L28" s="17" t="s">
        <v>5677</v>
      </c>
      <c r="M28" s="17" t="s">
        <v>1518</v>
      </c>
      <c r="N28" s="18" t="s">
        <v>1431</v>
      </c>
      <c r="O28" s="22" t="s">
        <v>6312</v>
      </c>
      <c r="P28" s="17" t="s">
        <v>6238</v>
      </c>
    </row>
    <row r="29" spans="1:16" x14ac:dyDescent="0.15">
      <c r="A29" t="s">
        <v>1021</v>
      </c>
      <c r="B29" t="s">
        <v>1239</v>
      </c>
      <c r="G29" s="28" t="s">
        <v>3170</v>
      </c>
      <c r="H29" s="24" t="s">
        <v>292</v>
      </c>
      <c r="I29" s="24" t="s">
        <v>1441</v>
      </c>
      <c r="J29" s="24">
        <v>5</v>
      </c>
      <c r="K29" s="24" t="s">
        <v>1670</v>
      </c>
      <c r="L29" s="17" t="s">
        <v>5677</v>
      </c>
      <c r="M29" s="17" t="s">
        <v>292</v>
      </c>
      <c r="N29" s="18" t="s">
        <v>1744</v>
      </c>
      <c r="O29" s="22">
        <v>13</v>
      </c>
      <c r="P29" s="17" t="s">
        <v>6027</v>
      </c>
    </row>
    <row r="30" spans="1:16" x14ac:dyDescent="0.15">
      <c r="A30" t="s">
        <v>1039</v>
      </c>
      <c r="B30" t="s">
        <v>1365</v>
      </c>
      <c r="G30" s="28" t="s">
        <v>3171</v>
      </c>
      <c r="H30" s="24" t="s">
        <v>292</v>
      </c>
      <c r="I30" s="24" t="s">
        <v>1431</v>
      </c>
      <c r="J30" s="24">
        <v>4</v>
      </c>
      <c r="K30" s="24" t="s">
        <v>1430</v>
      </c>
      <c r="L30" s="17" t="s">
        <v>5677</v>
      </c>
      <c r="M30" s="17" t="s">
        <v>292</v>
      </c>
      <c r="N30" s="18" t="s">
        <v>1441</v>
      </c>
      <c r="O30" s="22" t="s">
        <v>6312</v>
      </c>
      <c r="P30" s="17" t="s">
        <v>6240</v>
      </c>
    </row>
    <row r="31" spans="1:16" x14ac:dyDescent="0.15">
      <c r="A31" t="s">
        <v>1009</v>
      </c>
      <c r="B31" t="s">
        <v>1180</v>
      </c>
      <c r="L31" s="17" t="s">
        <v>5677</v>
      </c>
      <c r="M31" s="17" t="s">
        <v>292</v>
      </c>
      <c r="N31" s="18" t="s">
        <v>1441</v>
      </c>
      <c r="O31" s="22" t="s">
        <v>6312</v>
      </c>
      <c r="P31" s="17" t="s">
        <v>6242</v>
      </c>
    </row>
    <row r="32" spans="1:16" x14ac:dyDescent="0.15">
      <c r="A32" t="s">
        <v>997</v>
      </c>
      <c r="B32" t="s">
        <v>1076</v>
      </c>
      <c r="L32" s="17" t="s">
        <v>5677</v>
      </c>
      <c r="M32" s="17" t="s">
        <v>292</v>
      </c>
      <c r="N32" s="18" t="s">
        <v>1441</v>
      </c>
      <c r="O32" s="22" t="s">
        <v>6312</v>
      </c>
      <c r="P32" s="17" t="s">
        <v>6244</v>
      </c>
    </row>
    <row r="33" spans="1:16" x14ac:dyDescent="0.15">
      <c r="A33" t="s">
        <v>1031</v>
      </c>
      <c r="B33" t="s">
        <v>1303</v>
      </c>
      <c r="L33" s="17" t="s">
        <v>5677</v>
      </c>
      <c r="M33" s="17" t="s">
        <v>292</v>
      </c>
      <c r="N33" s="18" t="s">
        <v>1441</v>
      </c>
      <c r="O33" s="22" t="s">
        <v>6312</v>
      </c>
      <c r="P33" s="17" t="s">
        <v>6246</v>
      </c>
    </row>
    <row r="34" spans="1:16" x14ac:dyDescent="0.15">
      <c r="A34" t="s">
        <v>1043</v>
      </c>
      <c r="B34" t="s">
        <v>1387</v>
      </c>
      <c r="L34" s="17" t="s">
        <v>5677</v>
      </c>
      <c r="M34" s="17" t="s">
        <v>292</v>
      </c>
      <c r="N34" s="18" t="s">
        <v>1441</v>
      </c>
      <c r="O34" s="22" t="s">
        <v>6312</v>
      </c>
      <c r="P34" s="17" t="s">
        <v>6248</v>
      </c>
    </row>
    <row r="35" spans="1:16" x14ac:dyDescent="0.15">
      <c r="A35" t="s">
        <v>838</v>
      </c>
      <c r="B35" t="s">
        <v>906</v>
      </c>
      <c r="L35" s="17" t="s">
        <v>5677</v>
      </c>
      <c r="M35" s="17" t="s">
        <v>292</v>
      </c>
      <c r="N35" s="18" t="s">
        <v>1431</v>
      </c>
      <c r="O35" s="22">
        <v>15</v>
      </c>
      <c r="P35" s="17" t="s">
        <v>6054</v>
      </c>
    </row>
    <row r="36" spans="1:16" x14ac:dyDescent="0.15">
      <c r="A36" t="s">
        <v>5621</v>
      </c>
      <c r="B36" t="s">
        <v>5612</v>
      </c>
    </row>
    <row r="37" spans="1:16" x14ac:dyDescent="0.15">
      <c r="A37" t="s">
        <v>1033</v>
      </c>
      <c r="B37" t="s">
        <v>1325</v>
      </c>
    </row>
    <row r="38" spans="1:16" x14ac:dyDescent="0.15">
      <c r="A38" t="s">
        <v>850</v>
      </c>
      <c r="B38" t="s">
        <v>952</v>
      </c>
    </row>
    <row r="39" spans="1:16" x14ac:dyDescent="0.15">
      <c r="A39" t="s">
        <v>836</v>
      </c>
      <c r="B39" t="s">
        <v>904</v>
      </c>
    </row>
    <row r="40" spans="1:16" x14ac:dyDescent="0.15">
      <c r="A40" t="s">
        <v>1005</v>
      </c>
      <c r="B40" t="s">
        <v>1154</v>
      </c>
    </row>
    <row r="41" spans="1:16" x14ac:dyDescent="0.15">
      <c r="A41" t="s">
        <v>858</v>
      </c>
      <c r="B41" t="s">
        <v>989</v>
      </c>
    </row>
    <row r="42" spans="1:16" x14ac:dyDescent="0.15">
      <c r="A42" t="s">
        <v>856</v>
      </c>
      <c r="B42" t="s">
        <v>987</v>
      </c>
    </row>
    <row r="43" spans="1:16" x14ac:dyDescent="0.15">
      <c r="A43" t="s">
        <v>995</v>
      </c>
      <c r="B43" t="s">
        <v>1061</v>
      </c>
    </row>
    <row r="44" spans="1:16" x14ac:dyDescent="0.15">
      <c r="A44" t="s">
        <v>844</v>
      </c>
      <c r="B44" t="s">
        <v>926</v>
      </c>
    </row>
    <row r="45" spans="1:16" x14ac:dyDescent="0.15">
      <c r="A45" t="s">
        <v>5618</v>
      </c>
      <c r="B45" t="s">
        <v>5609</v>
      </c>
    </row>
    <row r="46" spans="1:16" x14ac:dyDescent="0.15">
      <c r="A46" t="s">
        <v>5623</v>
      </c>
      <c r="B46" t="s">
        <v>5614</v>
      </c>
    </row>
    <row r="47" spans="1:16" x14ac:dyDescent="0.15">
      <c r="A47" t="s">
        <v>1029</v>
      </c>
      <c r="B47" t="s">
        <v>1301</v>
      </c>
    </row>
    <row r="48" spans="1:16" x14ac:dyDescent="0.15">
      <c r="A48" t="s">
        <v>1027</v>
      </c>
      <c r="B48" t="s">
        <v>1271</v>
      </c>
    </row>
    <row r="49" spans="1:2" x14ac:dyDescent="0.15">
      <c r="A49" t="s">
        <v>834</v>
      </c>
      <c r="B49" t="s">
        <v>882</v>
      </c>
    </row>
    <row r="50" spans="1:2" x14ac:dyDescent="0.15">
      <c r="A50" t="s">
        <v>5622</v>
      </c>
      <c r="B50" t="s">
        <v>5613</v>
      </c>
    </row>
    <row r="51" spans="1:2" x14ac:dyDescent="0.15">
      <c r="A51" t="s">
        <v>852</v>
      </c>
      <c r="B51" t="s">
        <v>971</v>
      </c>
    </row>
  </sheetData>
  <sortState ref="A1:B51">
    <sortCondition ref="A1"/>
  </sortState>
  <phoneticPr fontId="1"/>
  <dataValidations count="1">
    <dataValidation allowBlank="1" showInputMessage="1" showErrorMessage="1" sqref="M23:N35"/>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202"/>
  <sheetViews>
    <sheetView zoomScale="85" zoomScaleNormal="85" workbookViewId="0">
      <pane ySplit="1" topLeftCell="A181" activePane="bottomLeft" state="frozen"/>
      <selection pane="bottomLeft" activeCell="P207" sqref="P207"/>
    </sheetView>
  </sheetViews>
  <sheetFormatPr defaultRowHeight="13.5" x14ac:dyDescent="0.15"/>
  <cols>
    <col min="1" max="1" width="5.5" bestFit="1" customWidth="1"/>
    <col min="2" max="2" width="5.5" customWidth="1"/>
    <col min="3" max="3" width="5.5" bestFit="1" customWidth="1"/>
    <col min="4" max="4" width="5.25" bestFit="1" customWidth="1"/>
    <col min="5" max="5" width="7.75" customWidth="1"/>
    <col min="6" max="6" width="5" bestFit="1" customWidth="1"/>
    <col min="7" max="7" width="12.875" customWidth="1"/>
    <col min="8" max="8" width="7.375" customWidth="1"/>
    <col min="10" max="12" width="4.5" customWidth="1"/>
    <col min="13" max="15" width="3.25" customWidth="1"/>
    <col min="16" max="16" width="4.875" bestFit="1" customWidth="1"/>
    <col min="17" max="17" width="2.75" bestFit="1" customWidth="1"/>
    <col min="18" max="18" width="2.75" style="9" bestFit="1" customWidth="1"/>
    <col min="19" max="19" width="31.625" customWidth="1"/>
  </cols>
  <sheetData>
    <row r="1" spans="1:27" x14ac:dyDescent="0.15">
      <c r="A1" s="8"/>
      <c r="B1" s="15"/>
      <c r="C1" s="7" t="s">
        <v>3140</v>
      </c>
      <c r="D1" s="6" t="s">
        <v>3139</v>
      </c>
      <c r="E1" s="5" t="s">
        <v>3138</v>
      </c>
      <c r="F1" s="5" t="s">
        <v>3137</v>
      </c>
      <c r="G1" s="5" t="s">
        <v>3136</v>
      </c>
      <c r="H1" s="5" t="s">
        <v>3135</v>
      </c>
      <c r="I1" s="5" t="s">
        <v>3134</v>
      </c>
      <c r="J1" s="5" t="s">
        <v>3133</v>
      </c>
      <c r="K1" s="5" t="s">
        <v>3132</v>
      </c>
      <c r="L1" s="5" t="s">
        <v>3131</v>
      </c>
      <c r="M1" s="5" t="s">
        <v>3130</v>
      </c>
      <c r="N1" s="5" t="s">
        <v>3129</v>
      </c>
      <c r="O1" s="5" t="s">
        <v>3128</v>
      </c>
      <c r="P1" s="5" t="s">
        <v>3127</v>
      </c>
      <c r="Q1" s="5" t="s">
        <v>3126</v>
      </c>
      <c r="R1" s="1" t="s">
        <v>3125</v>
      </c>
      <c r="S1" s="5" t="s">
        <v>3124</v>
      </c>
      <c r="T1" s="4" t="s">
        <v>3138</v>
      </c>
      <c r="W1" s="4" t="s">
        <v>1744</v>
      </c>
      <c r="X1" s="4" t="s">
        <v>1451</v>
      </c>
      <c r="Y1" s="4" t="s">
        <v>1441</v>
      </c>
      <c r="Z1" s="4" t="s">
        <v>1431</v>
      </c>
      <c r="AA1" s="4" t="s">
        <v>291</v>
      </c>
    </row>
    <row r="2" spans="1:27" s="21" customFormat="1" x14ac:dyDescent="0.15">
      <c r="A2" s="3">
        <v>1493</v>
      </c>
      <c r="B2" s="16" t="s">
        <v>4881</v>
      </c>
      <c r="C2" s="17" t="s">
        <v>5677</v>
      </c>
      <c r="D2" s="17" t="s">
        <v>1627</v>
      </c>
      <c r="E2" s="18" t="s">
        <v>1744</v>
      </c>
      <c r="F2" s="22">
        <v>6</v>
      </c>
      <c r="G2" s="26" t="s">
        <v>5680</v>
      </c>
      <c r="H2" s="20" t="s">
        <v>5681</v>
      </c>
      <c r="I2" s="18" t="s">
        <v>339</v>
      </c>
      <c r="J2" s="17" t="s">
        <v>5682</v>
      </c>
      <c r="K2" s="17" t="s">
        <v>5683</v>
      </c>
      <c r="L2" s="17"/>
      <c r="M2" s="17" t="s">
        <v>6547</v>
      </c>
      <c r="N2" s="17" t="s">
        <v>6548</v>
      </c>
      <c r="O2" s="17"/>
      <c r="P2" s="23"/>
      <c r="Q2" s="17">
        <v>1</v>
      </c>
      <c r="R2" s="17">
        <v>1</v>
      </c>
      <c r="S2" s="1" t="str">
        <f t="shared" ref="S2:S65" si="0">IF(M2="","",M2&amp;IF(N2="","","&amp;br;"&amp;N2)&amp;IF(O2="","","&amp;br;"&amp;O2))</f>
        <v>このクリーチャーが攻撃するたび、ターン終了時まで、それは+1/+0の修正を受ける。&amp;br;ジェム2個を起動する：ターン終了時まで、このクリーチャーはダメージ軽減を得る。3点のライフを失う。</v>
      </c>
      <c r="T2" s="21" t="s">
        <v>6075</v>
      </c>
      <c r="U2"/>
    </row>
    <row r="3" spans="1:27" x14ac:dyDescent="0.15">
      <c r="A3" s="3">
        <v>1494</v>
      </c>
      <c r="B3" s="16" t="s">
        <v>4881</v>
      </c>
      <c r="C3" s="17" t="s">
        <v>5677</v>
      </c>
      <c r="D3" s="17" t="s">
        <v>1627</v>
      </c>
      <c r="E3" s="18" t="s">
        <v>1744</v>
      </c>
      <c r="F3" s="22">
        <v>13</v>
      </c>
      <c r="G3" s="26" t="s">
        <v>5684</v>
      </c>
      <c r="H3" s="20" t="s">
        <v>5685</v>
      </c>
      <c r="I3" s="18" t="s">
        <v>339</v>
      </c>
      <c r="J3" s="17" t="s">
        <v>5686</v>
      </c>
      <c r="K3" s="17" t="s">
        <v>1470</v>
      </c>
      <c r="L3" s="17"/>
      <c r="M3" s="17" t="s">
        <v>6059</v>
      </c>
      <c r="N3" s="17" t="s">
        <v>6549</v>
      </c>
      <c r="O3" s="17"/>
      <c r="P3" s="23"/>
      <c r="Q3" s="17">
        <v>2</v>
      </c>
      <c r="R3" s="17">
        <v>2</v>
      </c>
      <c r="S3" s="1" t="str">
        <f t="shared" si="0"/>
        <v>先制攻撃  &amp;br;このクリーチャーが戦場に出たとき、これは探検1を行う。</v>
      </c>
      <c r="T3" s="21" t="s">
        <v>6076</v>
      </c>
    </row>
    <row r="4" spans="1:27" x14ac:dyDescent="0.15">
      <c r="A4" s="3">
        <v>1495</v>
      </c>
      <c r="B4" s="16" t="s">
        <v>4881</v>
      </c>
      <c r="C4" s="17" t="s">
        <v>5677</v>
      </c>
      <c r="D4" s="17" t="s">
        <v>1627</v>
      </c>
      <c r="E4" s="18" t="s">
        <v>1744</v>
      </c>
      <c r="F4" s="22">
        <v>6</v>
      </c>
      <c r="G4" s="26" t="s">
        <v>5687</v>
      </c>
      <c r="H4" s="20" t="s">
        <v>5688</v>
      </c>
      <c r="I4" s="18" t="s">
        <v>339</v>
      </c>
      <c r="J4" s="17" t="s">
        <v>5686</v>
      </c>
      <c r="K4" s="17" t="s">
        <v>5689</v>
      </c>
      <c r="L4" s="17"/>
      <c r="M4" s="17" t="s">
        <v>6556</v>
      </c>
      <c r="N4" s="17"/>
      <c r="O4" s="17"/>
      <c r="P4" s="23"/>
      <c r="Q4" s="17">
        <v>2</v>
      </c>
      <c r="R4" s="17">
        <v>2</v>
      </c>
      <c r="S4" s="1" t="str">
        <f t="shared" si="0"/>
        <v>あなたが恐竜をコントロールしている間、このクリーチャーは二段攻撃を得る。</v>
      </c>
      <c r="T4" s="21" t="s">
        <v>6077</v>
      </c>
    </row>
    <row r="5" spans="1:27" x14ac:dyDescent="0.15">
      <c r="A5" s="3">
        <v>1496</v>
      </c>
      <c r="B5" s="16" t="s">
        <v>4881</v>
      </c>
      <c r="C5" s="17" t="s">
        <v>5677</v>
      </c>
      <c r="D5" s="17" t="s">
        <v>1627</v>
      </c>
      <c r="E5" s="18" t="s">
        <v>1744</v>
      </c>
      <c r="F5" s="22">
        <v>12</v>
      </c>
      <c r="G5" s="26" t="s">
        <v>5690</v>
      </c>
      <c r="H5" s="20" t="s">
        <v>5691</v>
      </c>
      <c r="I5" s="18" t="s">
        <v>339</v>
      </c>
      <c r="J5" s="17" t="s">
        <v>5682</v>
      </c>
      <c r="K5" s="17" t="s">
        <v>1470</v>
      </c>
      <c r="L5" s="17"/>
      <c r="M5" s="17" t="s">
        <v>6557</v>
      </c>
      <c r="N5" s="17"/>
      <c r="O5" s="17"/>
      <c r="P5" s="23"/>
      <c r="Q5" s="17">
        <v>3</v>
      </c>
      <c r="R5" s="17">
        <v>3</v>
      </c>
      <c r="S5" s="1" t="str">
        <f t="shared" si="0"/>
        <v>このクリーチャーが戦場に出たとき、あなたは6点のライフを得る。</v>
      </c>
      <c r="T5" s="21" t="s">
        <v>6078</v>
      </c>
    </row>
    <row r="6" spans="1:27" x14ac:dyDescent="0.15">
      <c r="A6" s="3">
        <v>1497</v>
      </c>
      <c r="B6" s="16" t="s">
        <v>4881</v>
      </c>
      <c r="C6" s="17" t="s">
        <v>5677</v>
      </c>
      <c r="D6" s="17" t="s">
        <v>1627</v>
      </c>
      <c r="E6" s="18" t="s">
        <v>1744</v>
      </c>
      <c r="F6" s="22">
        <v>8</v>
      </c>
      <c r="G6" s="26" t="s">
        <v>5692</v>
      </c>
      <c r="H6" s="20" t="s">
        <v>5693</v>
      </c>
      <c r="I6" s="18" t="s">
        <v>339</v>
      </c>
      <c r="J6" s="17" t="s">
        <v>5682</v>
      </c>
      <c r="K6" s="17" t="s">
        <v>5683</v>
      </c>
      <c r="L6" s="17"/>
      <c r="M6" s="17" t="s">
        <v>6560</v>
      </c>
      <c r="N6" s="17"/>
      <c r="O6" s="17"/>
      <c r="P6" s="23"/>
      <c r="Q6" s="17">
        <v>3</v>
      </c>
      <c r="R6" s="17">
        <v>3</v>
      </c>
      <c r="S6" s="1" t="str">
        <f t="shared" si="0"/>
        <v>このクリーチャーが戦場に出たとき、あなたはあなたのライブラリーから「軍団の征服者」という名前のカードを取ってきて、手札に加えても良い。</v>
      </c>
      <c r="T6" s="21" t="s">
        <v>6079</v>
      </c>
    </row>
    <row r="7" spans="1:27" x14ac:dyDescent="0.15">
      <c r="A7" s="3">
        <v>1498</v>
      </c>
      <c r="B7" s="16" t="s">
        <v>4881</v>
      </c>
      <c r="C7" s="17" t="s">
        <v>5677</v>
      </c>
      <c r="D7" s="17" t="s">
        <v>1627</v>
      </c>
      <c r="E7" s="18" t="s">
        <v>1744</v>
      </c>
      <c r="F7" s="22">
        <v>14</v>
      </c>
      <c r="G7" s="26" t="s">
        <v>5694</v>
      </c>
      <c r="H7" s="20" t="s">
        <v>5695</v>
      </c>
      <c r="I7" s="18" t="s">
        <v>339</v>
      </c>
      <c r="J7" s="17" t="s">
        <v>5682</v>
      </c>
      <c r="K7" s="17" t="s">
        <v>5689</v>
      </c>
      <c r="L7" s="17"/>
      <c r="M7" s="17" t="s">
        <v>6562</v>
      </c>
      <c r="N7" s="17"/>
      <c r="O7" s="17"/>
      <c r="P7" s="23"/>
      <c r="Q7" s="17">
        <v>3</v>
      </c>
      <c r="R7" s="17">
        <v>2</v>
      </c>
      <c r="S7" s="1" t="str">
        <f t="shared" si="0"/>
        <v>このクリーチャーが戦場に出たとき、絆魂を持つ1/1の白の吸血鬼・クリーチャー・トークンを1体生成する。</v>
      </c>
      <c r="T7" s="21" t="s">
        <v>6080</v>
      </c>
    </row>
    <row r="8" spans="1:27" x14ac:dyDescent="0.15">
      <c r="A8" s="3">
        <v>1499</v>
      </c>
      <c r="B8" s="16" t="s">
        <v>4881</v>
      </c>
      <c r="C8" s="17" t="s">
        <v>5677</v>
      </c>
      <c r="D8" s="17" t="s">
        <v>1627</v>
      </c>
      <c r="E8" s="18" t="s">
        <v>1744</v>
      </c>
      <c r="F8" s="27">
        <v>17</v>
      </c>
      <c r="G8" s="26" t="s">
        <v>5696</v>
      </c>
      <c r="H8" s="20" t="s">
        <v>5697</v>
      </c>
      <c r="I8" s="18" t="s">
        <v>339</v>
      </c>
      <c r="J8" s="17" t="s">
        <v>5698</v>
      </c>
      <c r="K8" s="17"/>
      <c r="L8" s="17"/>
      <c r="M8" s="17" t="s">
        <v>6060</v>
      </c>
      <c r="N8" s="17" t="s">
        <v>6568</v>
      </c>
      <c r="O8" s="17"/>
      <c r="P8" s="23"/>
      <c r="Q8" s="17">
        <v>3</v>
      </c>
      <c r="R8" s="17">
        <v>3</v>
      </c>
      <c r="S8" s="1" t="str">
        <f t="shared" si="0"/>
        <v>警戒  &amp;br;ジェム2個を起動する：対戦相手がコントロールする、ディフェンダーか警戒か到達を持つ最初のクリーチャーに、これのタフネスに等しい点数のダメージを与える。</v>
      </c>
      <c r="T8" s="21" t="s">
        <v>6081</v>
      </c>
    </row>
    <row r="9" spans="1:27" x14ac:dyDescent="0.15">
      <c r="A9" s="3">
        <v>1500</v>
      </c>
      <c r="B9" s="16" t="s">
        <v>4881</v>
      </c>
      <c r="C9" s="17" t="s">
        <v>5677</v>
      </c>
      <c r="D9" s="17" t="s">
        <v>1627</v>
      </c>
      <c r="E9" s="18" t="s">
        <v>1744</v>
      </c>
      <c r="F9" s="22">
        <v>9</v>
      </c>
      <c r="G9" s="26" t="s">
        <v>5699</v>
      </c>
      <c r="H9" s="20" t="s">
        <v>5700</v>
      </c>
      <c r="I9" s="18" t="s">
        <v>339</v>
      </c>
      <c r="J9" s="17" t="s">
        <v>5698</v>
      </c>
      <c r="K9" s="17"/>
      <c r="L9" s="17"/>
      <c r="M9" s="17" t="s">
        <v>6571</v>
      </c>
      <c r="N9" s="17"/>
      <c r="O9" s="17"/>
      <c r="P9" s="23"/>
      <c r="Q9" s="17">
        <v>2</v>
      </c>
      <c r="R9" s="17">
        <v>3</v>
      </c>
      <c r="S9" s="1" t="str">
        <f t="shared" si="0"/>
        <v>このクリーチャーが攻撃するたび、ターン終了時まで、対戦相手がコントロールする最初のクリーチャーを無効化する。</v>
      </c>
      <c r="T9" s="21" t="s">
        <v>6082</v>
      </c>
    </row>
    <row r="10" spans="1:27" x14ac:dyDescent="0.15">
      <c r="A10" s="3">
        <v>1501</v>
      </c>
      <c r="B10" s="16" t="s">
        <v>4881</v>
      </c>
      <c r="C10" s="17" t="s">
        <v>5677</v>
      </c>
      <c r="D10" s="17" t="s">
        <v>1627</v>
      </c>
      <c r="E10" s="18" t="s">
        <v>1744</v>
      </c>
      <c r="F10" s="27">
        <v>3</v>
      </c>
      <c r="G10" s="26" t="s">
        <v>5701</v>
      </c>
      <c r="H10" s="20" t="s">
        <v>5702</v>
      </c>
      <c r="I10" s="18" t="s">
        <v>1453</v>
      </c>
      <c r="J10" s="17"/>
      <c r="K10" s="17"/>
      <c r="L10" s="17"/>
      <c r="M10" s="17" t="s">
        <v>6520</v>
      </c>
      <c r="N10" s="17"/>
      <c r="O10" s="17"/>
      <c r="P10" s="23"/>
      <c r="Q10" s="17"/>
      <c r="R10" s="17"/>
      <c r="S10" s="1" t="str">
        <f t="shared" si="0"/>
        <v>対戦相手の土地出ないサポートを1つ破壊する。</v>
      </c>
      <c r="T10" s="21" t="s">
        <v>6083</v>
      </c>
    </row>
    <row r="11" spans="1:27" x14ac:dyDescent="0.15">
      <c r="A11" s="3">
        <v>1502</v>
      </c>
      <c r="B11" s="16" t="s">
        <v>4881</v>
      </c>
      <c r="C11" s="17" t="s">
        <v>5677</v>
      </c>
      <c r="D11" s="17" t="s">
        <v>1627</v>
      </c>
      <c r="E11" s="18" t="s">
        <v>1744</v>
      </c>
      <c r="F11" s="22">
        <v>5</v>
      </c>
      <c r="G11" s="26" t="s">
        <v>5703</v>
      </c>
      <c r="H11" s="20" t="s">
        <v>5704</v>
      </c>
      <c r="I11" s="18" t="s">
        <v>1453</v>
      </c>
      <c r="J11" s="17"/>
      <c r="K11" s="17"/>
      <c r="L11" s="17"/>
      <c r="M11" s="17" t="s">
        <v>6530</v>
      </c>
      <c r="N11" s="17"/>
      <c r="O11" s="17"/>
      <c r="P11" s="23"/>
      <c r="Q11" s="17"/>
      <c r="R11" s="17"/>
      <c r="S11" s="1" t="str">
        <f t="shared" si="0"/>
        <v>パワー6以上のクリーチャー1体を対象とし、それを破壊する。</v>
      </c>
      <c r="T11" s="21" t="s">
        <v>6084</v>
      </c>
    </row>
    <row r="12" spans="1:27" x14ac:dyDescent="0.15">
      <c r="A12" s="3">
        <v>1503</v>
      </c>
      <c r="B12" s="16" t="s">
        <v>4881</v>
      </c>
      <c r="C12" s="17" t="s">
        <v>5677</v>
      </c>
      <c r="D12" s="17" t="s">
        <v>1627</v>
      </c>
      <c r="E12" s="18" t="s">
        <v>1744</v>
      </c>
      <c r="F12" s="22">
        <v>10</v>
      </c>
      <c r="G12" s="26" t="s">
        <v>5705</v>
      </c>
      <c r="H12" s="20" t="s">
        <v>5706</v>
      </c>
      <c r="I12" s="18" t="s">
        <v>1453</v>
      </c>
      <c r="J12" s="17"/>
      <c r="K12" s="17"/>
      <c r="L12" s="17"/>
      <c r="M12" s="17" t="s">
        <v>6540</v>
      </c>
      <c r="N12" s="17" t="s">
        <v>6541</v>
      </c>
      <c r="O12" s="17"/>
      <c r="P12" s="23"/>
      <c r="Q12" s="17"/>
      <c r="R12" s="17"/>
      <c r="S12" s="1" t="str">
        <f t="shared" si="0"/>
        <v>あなたは6点のライフを得る。&amp;br;カードを1枚引く。</v>
      </c>
      <c r="T12" s="21" t="s">
        <v>6085</v>
      </c>
    </row>
    <row r="13" spans="1:27" x14ac:dyDescent="0.15">
      <c r="A13" s="3">
        <v>1504</v>
      </c>
      <c r="B13" s="16" t="s">
        <v>4881</v>
      </c>
      <c r="C13" s="17" t="s">
        <v>5677</v>
      </c>
      <c r="D13" s="17" t="s">
        <v>1627</v>
      </c>
      <c r="E13" s="18" t="s">
        <v>1451</v>
      </c>
      <c r="F13" s="27">
        <v>15</v>
      </c>
      <c r="G13" s="26" t="s">
        <v>5707</v>
      </c>
      <c r="H13" s="20" t="s">
        <v>5708</v>
      </c>
      <c r="I13" s="18" t="s">
        <v>339</v>
      </c>
      <c r="J13" s="17" t="s">
        <v>5698</v>
      </c>
      <c r="K13" s="17"/>
      <c r="L13" s="17"/>
      <c r="M13" s="17" t="s">
        <v>6436</v>
      </c>
      <c r="N13" s="17"/>
      <c r="O13" s="17"/>
      <c r="P13" s="23"/>
      <c r="Q13" s="17">
        <v>4</v>
      </c>
      <c r="R13" s="17">
        <v>4</v>
      </c>
      <c r="S13" s="1" t="str">
        <f t="shared" si="0"/>
        <v>激昂：あなたがコントロールするすべてのクリーチャーは+1/+1の修正を受ける。</v>
      </c>
      <c r="T13" s="21" t="s">
        <v>6086</v>
      </c>
    </row>
    <row r="14" spans="1:27" x14ac:dyDescent="0.15">
      <c r="A14" s="3">
        <v>1505</v>
      </c>
      <c r="B14" s="16" t="s">
        <v>4881</v>
      </c>
      <c r="C14" s="17" t="s">
        <v>5677</v>
      </c>
      <c r="D14" s="17" t="s">
        <v>1627</v>
      </c>
      <c r="E14" s="18" t="s">
        <v>1451</v>
      </c>
      <c r="F14" s="27">
        <v>7</v>
      </c>
      <c r="G14" s="26" t="s">
        <v>5709</v>
      </c>
      <c r="H14" s="20" t="s">
        <v>5710</v>
      </c>
      <c r="I14" s="18" t="s">
        <v>339</v>
      </c>
      <c r="J14" s="17" t="s">
        <v>5682</v>
      </c>
      <c r="K14" s="17" t="s">
        <v>1470</v>
      </c>
      <c r="L14" s="17"/>
      <c r="M14" s="17" t="s">
        <v>6061</v>
      </c>
      <c r="N14" s="17" t="s">
        <v>6449</v>
      </c>
      <c r="O14" s="17"/>
      <c r="P14" s="23"/>
      <c r="Q14" s="17">
        <v>2</v>
      </c>
      <c r="R14" s="17">
        <v>2</v>
      </c>
      <c r="S14" s="1" t="str">
        <f t="shared" si="0"/>
        <v>飛行  &amp;br;ジェム2個を起動する：ターン終了時まで、あなたの最初の他の吸血鬼は+2/+0の修正を受けるとともに飛行を得る。</v>
      </c>
      <c r="T14" s="21" t="s">
        <v>6087</v>
      </c>
    </row>
    <row r="15" spans="1:27" x14ac:dyDescent="0.15">
      <c r="A15" s="3">
        <v>1506</v>
      </c>
      <c r="B15" s="16" t="s">
        <v>4881</v>
      </c>
      <c r="C15" s="17" t="s">
        <v>5677</v>
      </c>
      <c r="D15" s="17" t="s">
        <v>1627</v>
      </c>
      <c r="E15" s="18" t="s">
        <v>1451</v>
      </c>
      <c r="F15" s="27">
        <v>9</v>
      </c>
      <c r="G15" s="26" t="s">
        <v>5711</v>
      </c>
      <c r="H15" s="20" t="s">
        <v>5712</v>
      </c>
      <c r="I15" s="18" t="s">
        <v>339</v>
      </c>
      <c r="J15" s="17" t="s">
        <v>5713</v>
      </c>
      <c r="K15" s="17"/>
      <c r="L15" s="17"/>
      <c r="M15" s="17" t="s">
        <v>6059</v>
      </c>
      <c r="N15" s="17" t="s">
        <v>6451</v>
      </c>
      <c r="O15" s="17"/>
      <c r="P15" s="23"/>
      <c r="Q15" s="17">
        <v>2</v>
      </c>
      <c r="R15" s="17">
        <v>2</v>
      </c>
      <c r="S15" s="1" t="str">
        <f t="shared" si="0"/>
        <v>先制攻撃  &amp;br;このクリーチャーが死亡した時、白ジェムが5個以上あった場合、あなたのすべてのクリーチャーは+1/+1の修正を受ける。</v>
      </c>
      <c r="T15" s="21" t="s">
        <v>6088</v>
      </c>
    </row>
    <row r="16" spans="1:27" x14ac:dyDescent="0.15">
      <c r="A16" s="3">
        <v>1507</v>
      </c>
      <c r="B16" s="16" t="s">
        <v>4881</v>
      </c>
      <c r="C16" s="17" t="s">
        <v>5677</v>
      </c>
      <c r="D16" s="17" t="s">
        <v>1627</v>
      </c>
      <c r="E16" s="18" t="s">
        <v>1451</v>
      </c>
      <c r="F16" s="22">
        <v>14</v>
      </c>
      <c r="G16" s="26" t="s">
        <v>5714</v>
      </c>
      <c r="H16" s="20" t="s">
        <v>5715</v>
      </c>
      <c r="I16" s="18" t="s">
        <v>339</v>
      </c>
      <c r="J16" s="17" t="s">
        <v>5682</v>
      </c>
      <c r="K16" s="17" t="s">
        <v>5683</v>
      </c>
      <c r="L16" s="17"/>
      <c r="M16" s="17" t="s">
        <v>6455</v>
      </c>
      <c r="N16" s="17" t="s">
        <v>6456</v>
      </c>
      <c r="O16" s="17"/>
      <c r="P16" s="23"/>
      <c r="Q16" s="17">
        <v>4</v>
      </c>
      <c r="R16" s="17">
        <v>4</v>
      </c>
      <c r="S16" s="1" t="str">
        <f t="shared" si="0"/>
        <v>白ジェム2個を起動する：ターン終了時まで、このクリーチャーは警戒を得る。1点のライフを失う。&amp;br;黒ジェム2個を起動する：ターン終了時まで、このクリーチャーは飛行を得る。1点のライフを失う。</v>
      </c>
      <c r="T16" s="21" t="s">
        <v>6089</v>
      </c>
    </row>
    <row r="17" spans="1:20" x14ac:dyDescent="0.15">
      <c r="A17" s="3">
        <v>1508</v>
      </c>
      <c r="B17" s="16" t="s">
        <v>4881</v>
      </c>
      <c r="C17" s="17" t="s">
        <v>5677</v>
      </c>
      <c r="D17" s="17" t="s">
        <v>1627</v>
      </c>
      <c r="E17" s="18" t="s">
        <v>1451</v>
      </c>
      <c r="F17" s="22">
        <v>10</v>
      </c>
      <c r="G17" s="26" t="s">
        <v>5716</v>
      </c>
      <c r="H17" s="20" t="s">
        <v>5717</v>
      </c>
      <c r="I17" s="18" t="s">
        <v>339</v>
      </c>
      <c r="J17" s="17" t="s">
        <v>5698</v>
      </c>
      <c r="K17" s="17"/>
      <c r="L17" s="17"/>
      <c r="M17" s="17" t="s">
        <v>6061</v>
      </c>
      <c r="N17" s="17" t="s">
        <v>6459</v>
      </c>
      <c r="O17" s="17"/>
      <c r="P17" s="23"/>
      <c r="Q17" s="17">
        <v>3</v>
      </c>
      <c r="R17" s="17">
        <v>3</v>
      </c>
      <c r="S17" s="1" t="str">
        <f t="shared" si="0"/>
        <v>飛行  &amp;br;このクリーチャーが戦場に出たとき、あなたがコントロールする他のクリーチャー1体を対象とする。ターン終了時まで、それは+1/+1の修正を受けるとともに飛行を得る。</v>
      </c>
      <c r="T17" s="21" t="s">
        <v>6090</v>
      </c>
    </row>
    <row r="18" spans="1:20" x14ac:dyDescent="0.15">
      <c r="A18" s="3">
        <v>1509</v>
      </c>
      <c r="B18" s="16" t="s">
        <v>4881</v>
      </c>
      <c r="C18" s="17" t="s">
        <v>5677</v>
      </c>
      <c r="D18" s="17" t="s">
        <v>1627</v>
      </c>
      <c r="E18" s="18" t="s">
        <v>1451</v>
      </c>
      <c r="F18" s="27">
        <v>7</v>
      </c>
      <c r="G18" s="26" t="s">
        <v>5718</v>
      </c>
      <c r="H18" s="20" t="s">
        <v>5719</v>
      </c>
      <c r="I18" s="18" t="s">
        <v>339</v>
      </c>
      <c r="J18" s="17" t="s">
        <v>5686</v>
      </c>
      <c r="K18" s="17" t="s">
        <v>1470</v>
      </c>
      <c r="L18" s="17"/>
      <c r="M18" s="17" t="s">
        <v>6062</v>
      </c>
      <c r="N18" s="17" t="s">
        <v>6461</v>
      </c>
      <c r="O18" s="17"/>
      <c r="P18" s="23"/>
      <c r="Q18" s="17">
        <v>0</v>
      </c>
      <c r="R18" s="17">
        <v>4</v>
      </c>
      <c r="S18" s="1" t="str">
        <f t="shared" si="0"/>
        <v>ディフェンダー  &amp;br;このクリーチャーが戦場に出ている間、あなたの手札の恐竜・カードのマナ・コストは2少なくなる。</v>
      </c>
      <c r="T18" s="21" t="s">
        <v>6091</v>
      </c>
    </row>
    <row r="19" spans="1:20" x14ac:dyDescent="0.15">
      <c r="A19" s="3">
        <v>1510</v>
      </c>
      <c r="B19" s="16" t="s">
        <v>4881</v>
      </c>
      <c r="C19" s="17" t="s">
        <v>5677</v>
      </c>
      <c r="D19" s="17" t="s">
        <v>1627</v>
      </c>
      <c r="E19" s="18" t="s">
        <v>1451</v>
      </c>
      <c r="F19" s="22">
        <v>6</v>
      </c>
      <c r="G19" s="26" t="s">
        <v>5720</v>
      </c>
      <c r="H19" s="20" t="s">
        <v>5721</v>
      </c>
      <c r="I19" s="18" t="s">
        <v>1453</v>
      </c>
      <c r="J19" s="17"/>
      <c r="K19" s="17"/>
      <c r="L19" s="17"/>
      <c r="M19" s="17" t="s">
        <v>6474</v>
      </c>
      <c r="N19" s="17"/>
      <c r="O19" s="17"/>
      <c r="P19" s="23"/>
      <c r="Q19" s="17"/>
      <c r="R19" s="17"/>
      <c r="S19" s="1" t="str">
        <f t="shared" si="0"/>
        <v>絆魂を持つ1/1の白の吸血鬼・クリーチャー・トークンを2体生成する。</v>
      </c>
      <c r="T19" s="21" t="s">
        <v>6092</v>
      </c>
    </row>
    <row r="20" spans="1:20" x14ac:dyDescent="0.15">
      <c r="A20" s="3">
        <v>1511</v>
      </c>
      <c r="B20" s="16" t="s">
        <v>4881</v>
      </c>
      <c r="C20" s="17" t="s">
        <v>5677</v>
      </c>
      <c r="D20" s="17" t="s">
        <v>1627</v>
      </c>
      <c r="E20" s="18" t="s">
        <v>1451</v>
      </c>
      <c r="F20" s="22">
        <v>10</v>
      </c>
      <c r="G20" s="26" t="s">
        <v>5722</v>
      </c>
      <c r="H20" s="20" t="s">
        <v>5723</v>
      </c>
      <c r="I20" s="18" t="s">
        <v>1453</v>
      </c>
      <c r="J20" s="17"/>
      <c r="K20" s="17"/>
      <c r="L20" s="17"/>
      <c r="M20" s="17" t="s">
        <v>6490</v>
      </c>
      <c r="N20" s="17" t="s">
        <v>6491</v>
      </c>
      <c r="O20" s="17"/>
      <c r="P20" s="23"/>
      <c r="Q20" s="17"/>
      <c r="R20" s="17"/>
      <c r="S20" s="1" t="str">
        <f t="shared" si="0"/>
        <v>クリーチャー1体を対象とする。あなたの次のターン開始時まで、それはダメージ軽減を得る。&amp;br;あなたのライブラリーの次の2枚のうち1枚を選ぶ。そのカードを取ってきて、他を破壊する。</v>
      </c>
      <c r="T20" s="21" t="s">
        <v>6093</v>
      </c>
    </row>
    <row r="21" spans="1:20" x14ac:dyDescent="0.15">
      <c r="A21" s="3">
        <v>1512</v>
      </c>
      <c r="B21" s="16" t="s">
        <v>4881</v>
      </c>
      <c r="C21" s="17" t="s">
        <v>5677</v>
      </c>
      <c r="D21" s="17" t="s">
        <v>1627</v>
      </c>
      <c r="E21" s="18" t="s">
        <v>1451</v>
      </c>
      <c r="F21" s="22">
        <v>5</v>
      </c>
      <c r="G21" s="26" t="s">
        <v>5724</v>
      </c>
      <c r="H21" s="20" t="s">
        <v>5725</v>
      </c>
      <c r="I21" s="18" t="s">
        <v>1453</v>
      </c>
      <c r="J21" s="17"/>
      <c r="K21" s="17"/>
      <c r="L21" s="17"/>
      <c r="M21" s="17" t="s">
        <v>6512</v>
      </c>
      <c r="N21" s="17"/>
      <c r="O21" s="17"/>
      <c r="P21" s="23"/>
      <c r="Q21" s="17"/>
      <c r="R21" s="17"/>
      <c r="S21" s="1" t="str">
        <f t="shared" si="0"/>
        <v>ターン終了時まで、あなたがコントロールする最初のクリーチャーは+2/+2の修正を受ける。それが吸血鬼である場合、ターン終了時まで、それは先制攻撃を得る。</v>
      </c>
      <c r="T21" s="21" t="s">
        <v>6094</v>
      </c>
    </row>
    <row r="22" spans="1:20" x14ac:dyDescent="0.15">
      <c r="A22" s="3">
        <v>1513</v>
      </c>
      <c r="B22" s="16" t="s">
        <v>4881</v>
      </c>
      <c r="C22" s="17" t="s">
        <v>5677</v>
      </c>
      <c r="D22" s="17" t="s">
        <v>1627</v>
      </c>
      <c r="E22" s="18" t="s">
        <v>1441</v>
      </c>
      <c r="F22" s="19">
        <v>15</v>
      </c>
      <c r="G22" s="26" t="s">
        <v>5726</v>
      </c>
      <c r="H22" s="20" t="s">
        <v>5727</v>
      </c>
      <c r="I22" s="18" t="s">
        <v>339</v>
      </c>
      <c r="J22" s="17" t="s">
        <v>5682</v>
      </c>
      <c r="K22" s="17" t="s">
        <v>1470</v>
      </c>
      <c r="L22" s="17"/>
      <c r="M22" s="17" t="s">
        <v>6060</v>
      </c>
      <c r="N22" s="17" t="s">
        <v>6364</v>
      </c>
      <c r="O22" s="17"/>
      <c r="P22" s="23"/>
      <c r="Q22" s="17">
        <v>4</v>
      </c>
      <c r="R22" s="17">
        <v>4</v>
      </c>
      <c r="S22" s="1" t="str">
        <f t="shared" si="0"/>
        <v>警戒  &amp;br;このクリーチャーが戦場に出たとき、あなたの墓地からマナ・コストが8以下の最初のクリーチャーを戦場に戻し、その後あなたのコントロールする最後の他の吸血鬼を1体強化する。</v>
      </c>
      <c r="T22" s="21" t="s">
        <v>6095</v>
      </c>
    </row>
    <row r="23" spans="1:20" x14ac:dyDescent="0.15">
      <c r="A23" s="3">
        <v>1514</v>
      </c>
      <c r="B23" s="16" t="s">
        <v>4881</v>
      </c>
      <c r="C23" s="17" t="s">
        <v>5677</v>
      </c>
      <c r="D23" s="17" t="s">
        <v>1627</v>
      </c>
      <c r="E23" s="18" t="s">
        <v>1441</v>
      </c>
      <c r="F23" s="19">
        <v>21</v>
      </c>
      <c r="G23" s="26" t="s">
        <v>5728</v>
      </c>
      <c r="H23" s="20" t="s">
        <v>5729</v>
      </c>
      <c r="I23" s="18" t="s">
        <v>339</v>
      </c>
      <c r="J23" s="17" t="s">
        <v>5698</v>
      </c>
      <c r="K23" s="17"/>
      <c r="L23" s="17"/>
      <c r="M23" s="17" t="s">
        <v>6367</v>
      </c>
      <c r="N23" s="17"/>
      <c r="O23" s="17"/>
      <c r="P23" s="23"/>
      <c r="Q23" s="17">
        <v>3</v>
      </c>
      <c r="R23" s="17">
        <v>3</v>
      </c>
      <c r="S23" s="1" t="str">
        <f t="shared" si="0"/>
        <v>このクリーチャーが攻撃するたび、ターン終了時まで、あなたがコントロールする他のクリーチャーは二段攻撃を得る。</v>
      </c>
      <c r="T23" s="21" t="s">
        <v>6096</v>
      </c>
    </row>
    <row r="24" spans="1:20" x14ac:dyDescent="0.15">
      <c r="A24" s="3">
        <v>1515</v>
      </c>
      <c r="B24" s="16" t="s">
        <v>4881</v>
      </c>
      <c r="C24" s="17" t="s">
        <v>5677</v>
      </c>
      <c r="D24" s="17" t="s">
        <v>1627</v>
      </c>
      <c r="E24" s="18" t="s">
        <v>1441</v>
      </c>
      <c r="F24" s="19">
        <v>13</v>
      </c>
      <c r="G24" s="26" t="s">
        <v>5730</v>
      </c>
      <c r="H24" s="20" t="s">
        <v>5731</v>
      </c>
      <c r="I24" s="18" t="s">
        <v>339</v>
      </c>
      <c r="J24" s="17" t="s">
        <v>5698</v>
      </c>
      <c r="K24" s="17"/>
      <c r="L24" s="17"/>
      <c r="M24" s="17" t="s">
        <v>6061</v>
      </c>
      <c r="N24" s="17" t="s">
        <v>6370</v>
      </c>
      <c r="O24" s="17"/>
      <c r="P24" s="23"/>
      <c r="Q24" s="17">
        <v>3</v>
      </c>
      <c r="R24" s="17">
        <v>3</v>
      </c>
      <c r="S24" s="1" t="str">
        <f t="shared" si="0"/>
        <v>飛行  &amp;br;このクリーチャーが戦場に出ている間、対戦相手がコントロールするクリーチャーは、対戦相手の次のターン開始時まで無効化された状態で戦場に出る。</v>
      </c>
      <c r="T24" s="21" t="s">
        <v>6097</v>
      </c>
    </row>
    <row r="25" spans="1:20" x14ac:dyDescent="0.15">
      <c r="A25" s="3">
        <v>1516</v>
      </c>
      <c r="B25" s="16" t="s">
        <v>4881</v>
      </c>
      <c r="C25" s="17" t="s">
        <v>5677</v>
      </c>
      <c r="D25" s="17" t="s">
        <v>1627</v>
      </c>
      <c r="E25" s="18" t="s">
        <v>1441</v>
      </c>
      <c r="F25" s="19">
        <v>16</v>
      </c>
      <c r="G25" s="26" t="s">
        <v>5732</v>
      </c>
      <c r="H25" s="20" t="s">
        <v>5733</v>
      </c>
      <c r="I25" s="18" t="s">
        <v>288</v>
      </c>
      <c r="J25" s="17"/>
      <c r="K25" s="17"/>
      <c r="L25" s="17"/>
      <c r="M25" s="17" t="s">
        <v>6363</v>
      </c>
      <c r="N25" s="17"/>
      <c r="O25" s="17"/>
      <c r="P25" s="23"/>
      <c r="Q25" s="17"/>
      <c r="R25" s="17"/>
      <c r="S25" s="1" t="str">
        <f t="shared" si="0"/>
        <v>各プレイヤーのターン開始時に、そのプレイヤーは5点のライフを得て、そのプレイヤーの対戦相手は5点のライフを失う。</v>
      </c>
      <c r="T25" s="21" t="s">
        <v>6098</v>
      </c>
    </row>
    <row r="26" spans="1:20" x14ac:dyDescent="0.15">
      <c r="A26" s="3">
        <v>1517</v>
      </c>
      <c r="B26" s="16" t="s">
        <v>4881</v>
      </c>
      <c r="C26" s="17" t="s">
        <v>5677</v>
      </c>
      <c r="D26" s="17" t="s">
        <v>1627</v>
      </c>
      <c r="E26" s="18" t="s">
        <v>1441</v>
      </c>
      <c r="F26" s="19">
        <v>13</v>
      </c>
      <c r="G26" s="26" t="s">
        <v>5734</v>
      </c>
      <c r="H26" s="20" t="s">
        <v>5735</v>
      </c>
      <c r="I26" s="18" t="s">
        <v>288</v>
      </c>
      <c r="J26" s="17"/>
      <c r="K26" s="17"/>
      <c r="L26" s="17"/>
      <c r="M26" s="17" t="s">
        <v>6368</v>
      </c>
      <c r="N26" s="17" t="s">
        <v>6369</v>
      </c>
      <c r="O26" s="17"/>
      <c r="P26" s="23"/>
      <c r="Q26" s="17"/>
      <c r="R26" s="17"/>
      <c r="S26" s="1" t="str">
        <f t="shared" si="0"/>
        <v>このサポートがボードに出たとき、クリーチャー1体を対象とし、それを追放する。&amp;br;このサポートがボード上にある間、対戦相手の手札にあるクリーチャーのマナ・コストは2多くなる。このサポートが破壊されたとき、対戦相手はカードを1枚引く。</v>
      </c>
      <c r="T26" s="21" t="s">
        <v>6502</v>
      </c>
    </row>
    <row r="27" spans="1:20" x14ac:dyDescent="0.15">
      <c r="A27" s="3">
        <v>1518</v>
      </c>
      <c r="B27" s="16" t="s">
        <v>4881</v>
      </c>
      <c r="C27" s="17" t="s">
        <v>5677</v>
      </c>
      <c r="D27" s="17" t="s">
        <v>1627</v>
      </c>
      <c r="E27" s="18" t="s">
        <v>1441</v>
      </c>
      <c r="F27" s="19">
        <v>12</v>
      </c>
      <c r="G27" s="26" t="s">
        <v>5736</v>
      </c>
      <c r="H27" s="20" t="s">
        <v>5737</v>
      </c>
      <c r="I27" s="18" t="s">
        <v>288</v>
      </c>
      <c r="J27" s="17"/>
      <c r="K27" s="17"/>
      <c r="L27" s="17"/>
      <c r="M27" s="17" t="s">
        <v>6371</v>
      </c>
      <c r="N27" s="17"/>
      <c r="O27" s="17"/>
      <c r="P27" s="23"/>
      <c r="Q27" s="17"/>
      <c r="R27" s="17"/>
      <c r="S27" s="1" t="str">
        <f t="shared" si="0"/>
        <v>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v>
      </c>
      <c r="T27" s="21" t="s">
        <v>6099</v>
      </c>
    </row>
    <row r="28" spans="1:20" x14ac:dyDescent="0.15">
      <c r="A28" s="3">
        <v>1519</v>
      </c>
      <c r="B28" s="16" t="s">
        <v>4881</v>
      </c>
      <c r="C28" s="17" t="s">
        <v>5677</v>
      </c>
      <c r="D28" s="17" t="s">
        <v>1627</v>
      </c>
      <c r="E28" s="18" t="s">
        <v>1431</v>
      </c>
      <c r="F28" s="19">
        <v>9</v>
      </c>
      <c r="G28" s="26" t="s">
        <v>5738</v>
      </c>
      <c r="H28" s="20" t="s">
        <v>5739</v>
      </c>
      <c r="I28" s="18" t="s">
        <v>339</v>
      </c>
      <c r="J28" s="17" t="s">
        <v>5682</v>
      </c>
      <c r="K28" s="17" t="s">
        <v>1470</v>
      </c>
      <c r="L28" s="17"/>
      <c r="M28" s="17" t="s">
        <v>6332</v>
      </c>
      <c r="N28" s="17"/>
      <c r="O28" s="17"/>
      <c r="P28" s="23"/>
      <c r="Q28" s="17">
        <v>4</v>
      </c>
      <c r="R28" s="17">
        <v>4</v>
      </c>
      <c r="S28" s="1" t="str">
        <f t="shared" si="0"/>
        <v>このクリーチャーが戦場に出ている間、あなたがコントロールするトークン出ない吸血鬼が攻撃するたび、絆魂を持つ1/1の白の吸血鬼・クリーチャー・トークンを、その吸血鬼が強化されている回数1回につき生成する。</v>
      </c>
      <c r="T28" s="21" t="s">
        <v>6336</v>
      </c>
    </row>
    <row r="29" spans="1:20" x14ac:dyDescent="0.15">
      <c r="A29" s="3">
        <v>1520</v>
      </c>
      <c r="B29" s="16" t="s">
        <v>4881</v>
      </c>
      <c r="C29" s="17" t="s">
        <v>5677</v>
      </c>
      <c r="D29" s="17" t="s">
        <v>1627</v>
      </c>
      <c r="E29" s="18" t="s">
        <v>1431</v>
      </c>
      <c r="F29" s="19">
        <v>16</v>
      </c>
      <c r="G29" s="26" t="s">
        <v>5740</v>
      </c>
      <c r="H29" s="20" t="s">
        <v>5741</v>
      </c>
      <c r="I29" s="18" t="s">
        <v>339</v>
      </c>
      <c r="J29" s="17" t="s">
        <v>5698</v>
      </c>
      <c r="K29" s="17" t="s">
        <v>5480</v>
      </c>
      <c r="L29" s="17"/>
      <c r="M29" s="17" t="s">
        <v>6354</v>
      </c>
      <c r="N29" s="17"/>
      <c r="O29" s="17"/>
      <c r="P29" s="23"/>
      <c r="Q29" s="17">
        <v>7</v>
      </c>
      <c r="R29" s="17">
        <v>7</v>
      </c>
      <c r="S29" s="1" t="str">
        <f t="shared" si="0"/>
        <v>このクリーチャーが戦場に出たとき、すべての恐竜でないクリーチャーを破壊する。</v>
      </c>
      <c r="T29" s="21" t="s">
        <v>6100</v>
      </c>
    </row>
    <row r="30" spans="1:20" x14ac:dyDescent="0.15">
      <c r="A30" s="3">
        <v>1521</v>
      </c>
      <c r="B30" s="16" t="s">
        <v>4881</v>
      </c>
      <c r="C30" s="17" t="s">
        <v>5677</v>
      </c>
      <c r="D30" s="17" t="s">
        <v>1627</v>
      </c>
      <c r="E30" s="18" t="s">
        <v>1431</v>
      </c>
      <c r="F30" s="27">
        <v>10</v>
      </c>
      <c r="G30" s="26" t="s">
        <v>5742</v>
      </c>
      <c r="H30" s="20" t="s">
        <v>5743</v>
      </c>
      <c r="I30" s="18" t="s">
        <v>288</v>
      </c>
      <c r="J30" s="17"/>
      <c r="K30" s="17"/>
      <c r="L30" s="17"/>
      <c r="M30" s="17" t="s">
        <v>6328</v>
      </c>
      <c r="N30" s="17" t="s">
        <v>6329</v>
      </c>
      <c r="O30" s="17"/>
      <c r="P30" s="23"/>
      <c r="Q30" s="17"/>
      <c r="R30" s="17"/>
      <c r="S30" s="1" t="str">
        <f t="shared" si="0"/>
        <v>このサポートがボードに出たとき、絆魂を持つ1/1の白の吸血鬼・トークンを1体生成する。&amp;br;あなたが2回以上強化されたクリーチャーで攻撃した時、このサポートを変身させる。</v>
      </c>
      <c r="T30" s="21" t="s">
        <v>6101</v>
      </c>
    </row>
    <row r="31" spans="1:20" x14ac:dyDescent="0.15">
      <c r="A31" s="3">
        <v>1522</v>
      </c>
      <c r="B31" s="16" t="s">
        <v>4881</v>
      </c>
      <c r="C31" s="17" t="s">
        <v>5677</v>
      </c>
      <c r="D31" s="17" t="s">
        <v>1627</v>
      </c>
      <c r="E31" s="18" t="s">
        <v>1431</v>
      </c>
      <c r="F31" s="22">
        <v>0</v>
      </c>
      <c r="G31" s="26" t="s">
        <v>6230</v>
      </c>
      <c r="H31" s="20" t="s">
        <v>6231</v>
      </c>
      <c r="I31" s="18" t="s">
        <v>288</v>
      </c>
      <c r="J31" s="17"/>
      <c r="K31" s="17"/>
      <c r="L31" s="17"/>
      <c r="M31" s="17" t="s">
        <v>6330</v>
      </c>
      <c r="N31" s="17" t="s">
        <v>6331</v>
      </c>
      <c r="O31" s="17"/>
      <c r="P31" s="23"/>
      <c r="Q31" s="17"/>
      <c r="R31" s="17"/>
      <c r="S31" s="1" t="str">
        <f t="shared" si="0"/>
        <v>あなたのターン開始時に、ジェム2個を白に変換する。&amp;br;白ジェム2個を起動する：絆魂を持つ1/1の白の吸血鬼・クリーチャー・トークンを2体生成する。</v>
      </c>
      <c r="T31" s="21" t="s">
        <v>6258</v>
      </c>
    </row>
    <row r="32" spans="1:20" x14ac:dyDescent="0.15">
      <c r="A32" s="3">
        <v>1523</v>
      </c>
      <c r="B32" s="16" t="s">
        <v>4881</v>
      </c>
      <c r="C32" s="17" t="s">
        <v>5677</v>
      </c>
      <c r="D32" s="17" t="s">
        <v>1606</v>
      </c>
      <c r="E32" s="18" t="s">
        <v>1744</v>
      </c>
      <c r="F32" s="27">
        <v>14</v>
      </c>
      <c r="G32" s="26" t="s">
        <v>5744</v>
      </c>
      <c r="H32" s="20" t="s">
        <v>5745</v>
      </c>
      <c r="I32" s="18" t="s">
        <v>339</v>
      </c>
      <c r="J32" s="17" t="s">
        <v>5686</v>
      </c>
      <c r="K32" s="17" t="s">
        <v>5746</v>
      </c>
      <c r="L32" s="17"/>
      <c r="M32" s="17" t="s">
        <v>6563</v>
      </c>
      <c r="N32" s="17"/>
      <c r="O32" s="17"/>
      <c r="P32" s="23"/>
      <c r="Q32" s="17">
        <v>4</v>
      </c>
      <c r="R32" s="17">
        <v>3</v>
      </c>
      <c r="S32" s="1" t="str">
        <f t="shared" si="0"/>
        <v>このクリーチャーが戦場に出たとき、宝物を2つ見つける。</v>
      </c>
      <c r="T32" s="21" t="s">
        <v>6102</v>
      </c>
    </row>
    <row r="33" spans="1:20" x14ac:dyDescent="0.15">
      <c r="A33" s="3">
        <v>1524</v>
      </c>
      <c r="B33" s="16" t="s">
        <v>4881</v>
      </c>
      <c r="C33" s="17" t="s">
        <v>5677</v>
      </c>
      <c r="D33" s="17" t="s">
        <v>1606</v>
      </c>
      <c r="E33" s="18" t="s">
        <v>1744</v>
      </c>
      <c r="F33" s="22">
        <v>9</v>
      </c>
      <c r="G33" s="26" t="s">
        <v>5747</v>
      </c>
      <c r="H33" s="20" t="s">
        <v>5748</v>
      </c>
      <c r="I33" s="18" t="s">
        <v>339</v>
      </c>
      <c r="J33" s="17" t="s">
        <v>1464</v>
      </c>
      <c r="K33" s="17" t="s">
        <v>1463</v>
      </c>
      <c r="L33" s="17"/>
      <c r="M33" s="17" t="s">
        <v>6566</v>
      </c>
      <c r="N33" s="17"/>
      <c r="O33" s="17"/>
      <c r="P33" s="23"/>
      <c r="Q33" s="17">
        <v>3</v>
      </c>
      <c r="R33" s="17">
        <v>2</v>
      </c>
      <c r="S33" s="1" t="str">
        <f t="shared" si="0"/>
        <v>あなたが他のマーフォークをコントロールしている間、このクリーチャーは飛行を得る。</v>
      </c>
      <c r="T33" s="21" t="s">
        <v>6103</v>
      </c>
    </row>
    <row r="34" spans="1:20" x14ac:dyDescent="0.15">
      <c r="A34" s="3">
        <v>1525</v>
      </c>
      <c r="B34" s="16" t="s">
        <v>4881</v>
      </c>
      <c r="C34" s="17" t="s">
        <v>5677</v>
      </c>
      <c r="D34" s="17" t="s">
        <v>1606</v>
      </c>
      <c r="E34" s="18" t="s">
        <v>1744</v>
      </c>
      <c r="F34" s="27">
        <v>7</v>
      </c>
      <c r="G34" s="26" t="s">
        <v>5749</v>
      </c>
      <c r="H34" s="20" t="s">
        <v>5750</v>
      </c>
      <c r="I34" s="18" t="s">
        <v>339</v>
      </c>
      <c r="J34" s="17" t="s">
        <v>5686</v>
      </c>
      <c r="K34" s="17" t="s">
        <v>5746</v>
      </c>
      <c r="L34" s="17"/>
      <c r="M34" s="17" t="s">
        <v>6567</v>
      </c>
      <c r="N34" s="17"/>
      <c r="O34" s="17"/>
      <c r="P34" s="23"/>
      <c r="Q34" s="17">
        <v>2</v>
      </c>
      <c r="R34" s="17">
        <v>3</v>
      </c>
      <c r="S34" s="1" t="str">
        <f t="shared" si="0"/>
        <v>このクリーチャーが戦場に出たとき、あなたが強襲していた場合、カードを1枚捨てて、カードを1枚引く。</v>
      </c>
      <c r="T34" s="21" t="s">
        <v>6104</v>
      </c>
    </row>
    <row r="35" spans="1:20" x14ac:dyDescent="0.15">
      <c r="A35" s="3">
        <v>1526</v>
      </c>
      <c r="B35" s="16" t="s">
        <v>4881</v>
      </c>
      <c r="C35" s="17" t="s">
        <v>5677</v>
      </c>
      <c r="D35" s="17" t="s">
        <v>1606</v>
      </c>
      <c r="E35" s="18" t="s">
        <v>1744</v>
      </c>
      <c r="F35" s="22">
        <v>14</v>
      </c>
      <c r="G35" s="26" t="s">
        <v>5751</v>
      </c>
      <c r="H35" s="20" t="s">
        <v>5752</v>
      </c>
      <c r="I35" s="18" t="s">
        <v>339</v>
      </c>
      <c r="J35" s="17" t="s">
        <v>5753</v>
      </c>
      <c r="K35" s="17" t="s">
        <v>5746</v>
      </c>
      <c r="L35" s="17"/>
      <c r="M35" s="17" t="s">
        <v>6061</v>
      </c>
      <c r="N35" s="17" t="s">
        <v>6549</v>
      </c>
      <c r="O35" s="17"/>
      <c r="P35" s="23"/>
      <c r="Q35" s="17">
        <v>2</v>
      </c>
      <c r="R35" s="17">
        <v>3</v>
      </c>
      <c r="S35" s="1" t="str">
        <f t="shared" si="0"/>
        <v>飛行  &amp;br;このクリーチャーが戦場に出たとき、これは探検1を行う。</v>
      </c>
      <c r="T35" s="21" t="s">
        <v>6105</v>
      </c>
    </row>
    <row r="36" spans="1:20" x14ac:dyDescent="0.15">
      <c r="A36" s="3">
        <v>1527</v>
      </c>
      <c r="B36" s="16" t="s">
        <v>4881</v>
      </c>
      <c r="C36" s="17" t="s">
        <v>5677</v>
      </c>
      <c r="D36" s="17" t="s">
        <v>1606</v>
      </c>
      <c r="E36" s="18" t="s">
        <v>1744</v>
      </c>
      <c r="F36" s="22">
        <v>6</v>
      </c>
      <c r="G36" s="26" t="s">
        <v>5754</v>
      </c>
      <c r="H36" s="20" t="s">
        <v>5755</v>
      </c>
      <c r="I36" s="18" t="s">
        <v>339</v>
      </c>
      <c r="J36" s="17" t="s">
        <v>1464</v>
      </c>
      <c r="K36" s="17" t="s">
        <v>1463</v>
      </c>
      <c r="L36" s="17"/>
      <c r="M36" s="17" t="s">
        <v>6575</v>
      </c>
      <c r="N36" s="17"/>
      <c r="O36" s="17"/>
      <c r="P36" s="23"/>
      <c r="Q36" s="17">
        <v>2</v>
      </c>
      <c r="R36" s="17">
        <v>2</v>
      </c>
      <c r="S36" s="1" t="str">
        <f t="shared" si="0"/>
        <v>このクリーチャーが戦場に出たとき、クリーチャー1体を対象とする。あなたの次のターン開始時まで、それを無効化する。</v>
      </c>
      <c r="T36" s="21" t="s">
        <v>6106</v>
      </c>
    </row>
    <row r="37" spans="1:20" x14ac:dyDescent="0.15">
      <c r="A37" s="3">
        <v>1528</v>
      </c>
      <c r="B37" s="16" t="s">
        <v>4881</v>
      </c>
      <c r="C37" s="17" t="s">
        <v>5677</v>
      </c>
      <c r="D37" s="17" t="s">
        <v>1606</v>
      </c>
      <c r="E37" s="18" t="s">
        <v>1744</v>
      </c>
      <c r="F37" s="22">
        <v>9</v>
      </c>
      <c r="G37" s="26" t="s">
        <v>5756</v>
      </c>
      <c r="H37" s="20" t="s">
        <v>5757</v>
      </c>
      <c r="I37" s="18" t="s">
        <v>1453</v>
      </c>
      <c r="J37" s="17"/>
      <c r="K37" s="17"/>
      <c r="L37" s="17"/>
      <c r="M37" s="17" t="s">
        <v>6521</v>
      </c>
      <c r="N37" s="17"/>
      <c r="O37" s="17"/>
      <c r="P37" s="23"/>
      <c r="Q37" s="17"/>
      <c r="R37" s="17"/>
      <c r="S37" s="1" t="str">
        <f t="shared" si="0"/>
        <v>クリーチャー1体を対象とし、それをオーナーの手札に戻し、宝物を1つ見つける。</v>
      </c>
      <c r="T37" s="21" t="s">
        <v>6107</v>
      </c>
    </row>
    <row r="38" spans="1:20" x14ac:dyDescent="0.15">
      <c r="A38" s="3">
        <v>1529</v>
      </c>
      <c r="B38" s="16" t="s">
        <v>4881</v>
      </c>
      <c r="C38" s="17" t="s">
        <v>5677</v>
      </c>
      <c r="D38" s="17" t="s">
        <v>1606</v>
      </c>
      <c r="E38" s="18" t="s">
        <v>1744</v>
      </c>
      <c r="F38" s="22">
        <v>5</v>
      </c>
      <c r="G38" s="26" t="s">
        <v>5758</v>
      </c>
      <c r="H38" s="20" t="s">
        <v>5759</v>
      </c>
      <c r="I38" s="18" t="s">
        <v>1453</v>
      </c>
      <c r="J38" s="17"/>
      <c r="K38" s="17"/>
      <c r="L38" s="17"/>
      <c r="M38" s="17" t="s">
        <v>6522</v>
      </c>
      <c r="N38" s="17"/>
      <c r="O38" s="17"/>
      <c r="P38" s="23"/>
      <c r="Q38" s="17"/>
      <c r="R38" s="17"/>
      <c r="S38" s="1" t="str">
        <f t="shared" si="0"/>
        <v>あなたがコントロールするクリーチャー1体を対象とする。あなたの次のターン開始時まで、それは呪禁を得るとともに+0/+3の修正を受ける。</v>
      </c>
      <c r="T38" s="21" t="s">
        <v>6108</v>
      </c>
    </row>
    <row r="39" spans="1:20" x14ac:dyDescent="0.15">
      <c r="A39" s="3">
        <v>1530</v>
      </c>
      <c r="B39" s="16" t="s">
        <v>4881</v>
      </c>
      <c r="C39" s="17" t="s">
        <v>5677</v>
      </c>
      <c r="D39" s="17" t="s">
        <v>1606</v>
      </c>
      <c r="E39" s="18" t="s">
        <v>1744</v>
      </c>
      <c r="F39" s="22">
        <v>10</v>
      </c>
      <c r="G39" s="26" t="s">
        <v>5760</v>
      </c>
      <c r="H39" s="20" t="s">
        <v>5761</v>
      </c>
      <c r="I39" s="18" t="s">
        <v>1453</v>
      </c>
      <c r="J39" s="17"/>
      <c r="K39" s="17"/>
      <c r="L39" s="17"/>
      <c r="M39" s="17" t="s">
        <v>6533</v>
      </c>
      <c r="N39" s="17"/>
      <c r="O39" s="17"/>
      <c r="P39" s="23"/>
      <c r="Q39" s="17"/>
      <c r="R39" s="17"/>
      <c r="S39" s="1" t="str">
        <f t="shared" si="0"/>
        <v>クリーチャー1体を対象とする。それは飛行を得るとともに+2/+2の修正を受ける。</v>
      </c>
      <c r="T39" s="21" t="s">
        <v>6109</v>
      </c>
    </row>
    <row r="40" spans="1:20" x14ac:dyDescent="0.15">
      <c r="A40" s="3">
        <v>1531</v>
      </c>
      <c r="B40" s="16" t="s">
        <v>4881</v>
      </c>
      <c r="C40" s="17" t="s">
        <v>5677</v>
      </c>
      <c r="D40" s="17" t="s">
        <v>1606</v>
      </c>
      <c r="E40" s="18" t="s">
        <v>1744</v>
      </c>
      <c r="F40" s="22">
        <v>8</v>
      </c>
      <c r="G40" s="26" t="s">
        <v>5762</v>
      </c>
      <c r="H40" s="20" t="s">
        <v>5763</v>
      </c>
      <c r="I40" s="18" t="s">
        <v>1453</v>
      </c>
      <c r="J40" s="17"/>
      <c r="K40" s="17"/>
      <c r="L40" s="17"/>
      <c r="M40" s="17" t="s">
        <v>6534</v>
      </c>
      <c r="N40" s="17"/>
      <c r="O40" s="17"/>
      <c r="P40" s="23"/>
      <c r="Q40" s="17"/>
      <c r="R40" s="17"/>
      <c r="S40" s="1" t="str">
        <f t="shared" si="0"/>
        <v>対戦相手がコントロールする最初のクリーチャーを1体オーナーの手札に戻す。そのクリーチャーのマナ・コストが10以下である場合、カードを1枚引く。</v>
      </c>
      <c r="T40" s="21" t="s">
        <v>6499</v>
      </c>
    </row>
    <row r="41" spans="1:20" x14ac:dyDescent="0.15">
      <c r="A41" s="3">
        <v>1532</v>
      </c>
      <c r="B41" s="16" t="s">
        <v>4881</v>
      </c>
      <c r="C41" s="17" t="s">
        <v>5677</v>
      </c>
      <c r="D41" s="17" t="s">
        <v>1606</v>
      </c>
      <c r="E41" s="18" t="s">
        <v>1744</v>
      </c>
      <c r="F41" s="22">
        <v>7</v>
      </c>
      <c r="G41" s="26" t="s">
        <v>5764</v>
      </c>
      <c r="H41" s="20" t="s">
        <v>5765</v>
      </c>
      <c r="I41" s="18" t="s">
        <v>1453</v>
      </c>
      <c r="J41" s="17"/>
      <c r="K41" s="17"/>
      <c r="L41" s="17"/>
      <c r="M41" s="17" t="s">
        <v>6537</v>
      </c>
      <c r="N41" s="17"/>
      <c r="O41" s="17"/>
      <c r="P41" s="23"/>
      <c r="Q41" s="17"/>
      <c r="R41" s="17"/>
      <c r="S41" s="1" t="str">
        <f t="shared" si="0"/>
        <v>カードを2枚引き、宝物を1つ見つける。</v>
      </c>
      <c r="T41" s="21" t="s">
        <v>6110</v>
      </c>
    </row>
    <row r="42" spans="1:20" x14ac:dyDescent="0.15">
      <c r="A42" s="3">
        <v>1533</v>
      </c>
      <c r="B42" s="16" t="s">
        <v>4881</v>
      </c>
      <c r="C42" s="17" t="s">
        <v>5677</v>
      </c>
      <c r="D42" s="17" t="s">
        <v>1606</v>
      </c>
      <c r="E42" s="18" t="s">
        <v>1744</v>
      </c>
      <c r="F42" s="22">
        <v>7</v>
      </c>
      <c r="G42" s="26" t="s">
        <v>5766</v>
      </c>
      <c r="H42" s="20" t="s">
        <v>5767</v>
      </c>
      <c r="I42" s="18" t="s">
        <v>1453</v>
      </c>
      <c r="J42" s="17"/>
      <c r="K42" s="17"/>
      <c r="L42" s="17"/>
      <c r="M42" s="17" t="s">
        <v>6542</v>
      </c>
      <c r="N42" s="17"/>
      <c r="O42" s="17"/>
      <c r="P42" s="23"/>
      <c r="Q42" s="17"/>
      <c r="R42" s="17"/>
      <c r="S42" s="1" t="str">
        <f t="shared" si="0"/>
        <v>あなたがコントロールするクリーチャー1体を対象とし、それを追放する。その後それをオーナーのコントロール下で戦場に戻す。あなたが海賊をコントロールしている場合、カードを1枚引く。</v>
      </c>
      <c r="T42" s="21" t="s">
        <v>6111</v>
      </c>
    </row>
    <row r="43" spans="1:20" x14ac:dyDescent="0.15">
      <c r="A43" s="3">
        <v>1534</v>
      </c>
      <c r="B43" s="16" t="s">
        <v>4881</v>
      </c>
      <c r="C43" s="17" t="s">
        <v>5677</v>
      </c>
      <c r="D43" s="17" t="s">
        <v>1606</v>
      </c>
      <c r="E43" s="18" t="s">
        <v>1451</v>
      </c>
      <c r="F43" s="22">
        <v>13</v>
      </c>
      <c r="G43" s="26" t="s">
        <v>5768</v>
      </c>
      <c r="H43" s="20" t="s">
        <v>5769</v>
      </c>
      <c r="I43" s="18" t="s">
        <v>339</v>
      </c>
      <c r="J43" s="17" t="s">
        <v>5686</v>
      </c>
      <c r="K43" s="17" t="s">
        <v>5746</v>
      </c>
      <c r="L43" s="17"/>
      <c r="M43" s="17" t="s">
        <v>6442</v>
      </c>
      <c r="N43" s="17"/>
      <c r="O43" s="17"/>
      <c r="P43" s="23"/>
      <c r="Q43" s="17">
        <v>4</v>
      </c>
      <c r="R43" s="17">
        <v>4</v>
      </c>
      <c r="S43" s="1" t="str">
        <f t="shared" si="0"/>
        <v>このクリーチャーが戦場に出たとき、あなたのライブラリーから最初の機体・カードを取ってくる。</v>
      </c>
      <c r="T43" s="21" t="s">
        <v>6112</v>
      </c>
    </row>
    <row r="44" spans="1:20" x14ac:dyDescent="0.15">
      <c r="A44" s="3">
        <v>1535</v>
      </c>
      <c r="B44" s="16" t="s">
        <v>4881</v>
      </c>
      <c r="C44" s="17" t="s">
        <v>5677</v>
      </c>
      <c r="D44" s="17" t="s">
        <v>1606</v>
      </c>
      <c r="E44" s="18" t="s">
        <v>1451</v>
      </c>
      <c r="F44" s="22">
        <v>12</v>
      </c>
      <c r="G44" s="26" t="s">
        <v>5770</v>
      </c>
      <c r="H44" s="20" t="s">
        <v>5771</v>
      </c>
      <c r="I44" s="18" t="s">
        <v>339</v>
      </c>
      <c r="J44" s="17" t="s">
        <v>1464</v>
      </c>
      <c r="K44" s="17" t="s">
        <v>5772</v>
      </c>
      <c r="L44" s="17"/>
      <c r="M44" s="17" t="s">
        <v>6063</v>
      </c>
      <c r="N44" s="17" t="s">
        <v>6482</v>
      </c>
      <c r="O44" s="17"/>
      <c r="P44" s="23"/>
      <c r="Q44" s="17">
        <v>2</v>
      </c>
      <c r="R44" s="17">
        <v>2</v>
      </c>
      <c r="S44" s="1" t="str">
        <f t="shared" si="0"/>
        <v>ブロックされない  &amp;br;マーフォークが1体あなたのコントロール下で戦場に出るたび、ターン終了時まで、このクリーチャーは+1/+1の修正を受ける。</v>
      </c>
      <c r="T44" s="21" t="s">
        <v>6113</v>
      </c>
    </row>
    <row r="45" spans="1:20" x14ac:dyDescent="0.15">
      <c r="A45" s="3">
        <v>1536</v>
      </c>
      <c r="B45" s="16" t="s">
        <v>4881</v>
      </c>
      <c r="C45" s="17" t="s">
        <v>5677</v>
      </c>
      <c r="D45" s="17" t="s">
        <v>1606</v>
      </c>
      <c r="E45" s="18" t="s">
        <v>1451</v>
      </c>
      <c r="F45" s="22">
        <v>11</v>
      </c>
      <c r="G45" s="26" t="s">
        <v>5773</v>
      </c>
      <c r="H45" s="20" t="s">
        <v>5774</v>
      </c>
      <c r="I45" s="18" t="s">
        <v>339</v>
      </c>
      <c r="J45" s="17" t="s">
        <v>5775</v>
      </c>
      <c r="K45" s="17"/>
      <c r="L45" s="17"/>
      <c r="M45" s="17" t="s">
        <v>6062</v>
      </c>
      <c r="N45" s="17" t="s">
        <v>6492</v>
      </c>
      <c r="O45" s="17"/>
      <c r="P45" s="23"/>
      <c r="Q45" s="17">
        <v>0</v>
      </c>
      <c r="R45" s="17">
        <v>7</v>
      </c>
      <c r="S45" s="1" t="str">
        <f t="shared" si="0"/>
        <v>ディフェンダー  &amp;br;このクリーチャーが死亡した時、青ジェムが6個以上ある場合、カードを3枚引く。</v>
      </c>
      <c r="T45" s="21" t="s">
        <v>6114</v>
      </c>
    </row>
    <row r="46" spans="1:20" x14ac:dyDescent="0.15">
      <c r="A46" s="3">
        <v>1537</v>
      </c>
      <c r="B46" s="16" t="s">
        <v>4881</v>
      </c>
      <c r="C46" s="17" t="s">
        <v>5677</v>
      </c>
      <c r="D46" s="17" t="s">
        <v>1606</v>
      </c>
      <c r="E46" s="18" t="s">
        <v>1451</v>
      </c>
      <c r="F46" s="22">
        <v>11</v>
      </c>
      <c r="G46" s="26" t="s">
        <v>5776</v>
      </c>
      <c r="H46" s="20" t="s">
        <v>5777</v>
      </c>
      <c r="I46" s="18" t="s">
        <v>339</v>
      </c>
      <c r="J46" s="17" t="s">
        <v>5686</v>
      </c>
      <c r="K46" s="17" t="s">
        <v>5746</v>
      </c>
      <c r="L46" s="17"/>
      <c r="M46" s="17" t="s">
        <v>6061</v>
      </c>
      <c r="N46" s="17" t="s">
        <v>6480</v>
      </c>
      <c r="O46" s="17"/>
      <c r="P46" s="23"/>
      <c r="Q46" s="17">
        <v>2</v>
      </c>
      <c r="R46" s="17">
        <v>3</v>
      </c>
      <c r="S46" s="1" t="str">
        <f t="shared" si="0"/>
        <v>飛行  &amp;br;このクリーチャーが戦場に出たとき、あなたが強襲していた場合、これは+2/+2の修正を受ける。</v>
      </c>
      <c r="T46" s="21" t="s">
        <v>6115</v>
      </c>
    </row>
    <row r="47" spans="1:20" x14ac:dyDescent="0.15">
      <c r="A47" s="3">
        <v>1538</v>
      </c>
      <c r="B47" s="16" t="s">
        <v>4881</v>
      </c>
      <c r="C47" s="17" t="s">
        <v>5677</v>
      </c>
      <c r="D47" s="17" t="s">
        <v>1606</v>
      </c>
      <c r="E47" s="18" t="s">
        <v>1451</v>
      </c>
      <c r="F47" s="22">
        <v>14</v>
      </c>
      <c r="G47" s="26" t="s">
        <v>5778</v>
      </c>
      <c r="H47" s="20" t="s">
        <v>5779</v>
      </c>
      <c r="I47" s="18" t="s">
        <v>339</v>
      </c>
      <c r="J47" s="17" t="s">
        <v>1464</v>
      </c>
      <c r="K47" s="17" t="s">
        <v>1463</v>
      </c>
      <c r="L47" s="17"/>
      <c r="M47" s="17" t="s">
        <v>6493</v>
      </c>
      <c r="N47" s="17"/>
      <c r="O47" s="17"/>
      <c r="P47" s="23"/>
      <c r="Q47" s="17">
        <v>3</v>
      </c>
      <c r="R47" s="17">
        <v>4</v>
      </c>
      <c r="S47" s="1" t="str">
        <f t="shared" si="0"/>
        <v>このクリーチャーが戦場に出たとき、ターン終了時まで、対戦相手のクリーチャーを無効化する。</v>
      </c>
      <c r="T47" s="21" t="s">
        <v>6497</v>
      </c>
    </row>
    <row r="48" spans="1:20" x14ac:dyDescent="0.15">
      <c r="A48" s="3">
        <v>1539</v>
      </c>
      <c r="B48" s="16" t="s">
        <v>4881</v>
      </c>
      <c r="C48" s="17" t="s">
        <v>5677</v>
      </c>
      <c r="D48" s="17" t="s">
        <v>1606</v>
      </c>
      <c r="E48" s="18" t="s">
        <v>1451</v>
      </c>
      <c r="F48" s="22">
        <v>5</v>
      </c>
      <c r="G48" s="26" t="s">
        <v>5780</v>
      </c>
      <c r="H48" s="20" t="s">
        <v>5781</v>
      </c>
      <c r="I48" s="18" t="s">
        <v>1453</v>
      </c>
      <c r="J48" s="17"/>
      <c r="K48" s="17"/>
      <c r="L48" s="17"/>
      <c r="M48" s="17" t="s">
        <v>6438</v>
      </c>
      <c r="N48" s="17" t="s">
        <v>6439</v>
      </c>
      <c r="O48" s="17"/>
      <c r="P48" s="23"/>
      <c r="Q48" s="17"/>
      <c r="R48" s="17"/>
      <c r="S48" s="1" t="str">
        <f t="shared" si="0"/>
        <v>あなたが強襲していないかぎり、カードを1枚捨てる。&amp;br;カードを3枚引く。</v>
      </c>
      <c r="T48" s="21" t="s">
        <v>6116</v>
      </c>
    </row>
    <row r="49" spans="1:20" x14ac:dyDescent="0.15">
      <c r="A49" s="3">
        <v>1540</v>
      </c>
      <c r="B49" s="16" t="s">
        <v>4881</v>
      </c>
      <c r="C49" s="17" t="s">
        <v>5677</v>
      </c>
      <c r="D49" s="17" t="s">
        <v>1606</v>
      </c>
      <c r="E49" s="18" t="s">
        <v>1451</v>
      </c>
      <c r="F49" s="27">
        <v>10</v>
      </c>
      <c r="G49" s="26" t="s">
        <v>5782</v>
      </c>
      <c r="H49" s="20" t="s">
        <v>5783</v>
      </c>
      <c r="I49" s="18" t="s">
        <v>1453</v>
      </c>
      <c r="J49" s="17"/>
      <c r="K49" s="17"/>
      <c r="L49" s="17"/>
      <c r="M49" s="17" t="s">
        <v>6466</v>
      </c>
      <c r="N49" s="17" t="s">
        <v>6467</v>
      </c>
      <c r="O49" s="17"/>
      <c r="P49" s="23"/>
      <c r="Q49" s="17"/>
      <c r="R49" s="17"/>
      <c r="S49" s="1" t="str">
        <f t="shared" si="0"/>
        <v>海賊があなたのコントロール下で戦場に出るたび、この呪文のマナ・コストは3減る。&amp;br;対戦相手の手札の最初のカードから8マナを吸収する。</v>
      </c>
      <c r="T49" s="21" t="s">
        <v>6495</v>
      </c>
    </row>
    <row r="50" spans="1:20" x14ac:dyDescent="0.15">
      <c r="A50" s="3">
        <v>1541</v>
      </c>
      <c r="B50" s="16" t="s">
        <v>4881</v>
      </c>
      <c r="C50" s="17" t="s">
        <v>5677</v>
      </c>
      <c r="D50" s="17" t="s">
        <v>1606</v>
      </c>
      <c r="E50" s="18" t="s">
        <v>1451</v>
      </c>
      <c r="F50" s="22">
        <v>12</v>
      </c>
      <c r="G50" s="26" t="s">
        <v>5784</v>
      </c>
      <c r="H50" s="20" t="s">
        <v>5785</v>
      </c>
      <c r="I50" s="18" t="s">
        <v>288</v>
      </c>
      <c r="J50" s="17"/>
      <c r="K50" s="17"/>
      <c r="L50" s="17"/>
      <c r="M50" s="17" t="s">
        <v>6444</v>
      </c>
      <c r="N50" s="17"/>
      <c r="O50" s="17"/>
      <c r="P50" s="23"/>
      <c r="Q50" s="17"/>
      <c r="R50" s="17"/>
      <c r="S50" s="1" t="str">
        <f t="shared" si="0"/>
        <v>トークンでないマーフォーク・クリーチャーがあなたのコントロール下で戦場に出るたび、呪禁を持つ1/1のマーフォーク・トークンを1体生成し、このサポートは1シールドを失う。</v>
      </c>
      <c r="T50" s="21" t="s">
        <v>6117</v>
      </c>
    </row>
    <row r="51" spans="1:20" x14ac:dyDescent="0.15">
      <c r="A51" s="3">
        <v>1542</v>
      </c>
      <c r="B51" s="16" t="s">
        <v>4881</v>
      </c>
      <c r="C51" s="17" t="s">
        <v>5677</v>
      </c>
      <c r="D51" s="17" t="s">
        <v>1606</v>
      </c>
      <c r="E51" s="18" t="s">
        <v>1451</v>
      </c>
      <c r="F51" s="22">
        <v>7</v>
      </c>
      <c r="G51" s="26" t="s">
        <v>5786</v>
      </c>
      <c r="H51" s="20" t="s">
        <v>5787</v>
      </c>
      <c r="I51" s="18" t="s">
        <v>288</v>
      </c>
      <c r="J51" s="17"/>
      <c r="K51" s="17"/>
      <c r="L51" s="17"/>
      <c r="M51" s="17" t="s">
        <v>6452</v>
      </c>
      <c r="N51" s="17"/>
      <c r="O51" s="17"/>
      <c r="P51" s="23"/>
      <c r="Q51" s="17"/>
      <c r="R51" s="17"/>
      <c r="S51" s="1" t="str">
        <f t="shared" si="0"/>
        <v>あなたがコントロールする飛行を持つクリーチャーは+1/+1の修正を受ける。</v>
      </c>
      <c r="T51" s="21" t="s">
        <v>6118</v>
      </c>
    </row>
    <row r="52" spans="1:20" x14ac:dyDescent="0.15">
      <c r="A52" s="3">
        <v>1543</v>
      </c>
      <c r="B52" s="16" t="s">
        <v>4881</v>
      </c>
      <c r="C52" s="17" t="s">
        <v>5677</v>
      </c>
      <c r="D52" s="17" t="s">
        <v>1606</v>
      </c>
      <c r="E52" s="18" t="s">
        <v>1441</v>
      </c>
      <c r="F52" s="27">
        <v>14</v>
      </c>
      <c r="G52" s="26" t="s">
        <v>5788</v>
      </c>
      <c r="H52" s="20" t="s">
        <v>5789</v>
      </c>
      <c r="I52" s="18" t="s">
        <v>339</v>
      </c>
      <c r="J52" s="17" t="s">
        <v>5686</v>
      </c>
      <c r="K52" s="17" t="s">
        <v>5746</v>
      </c>
      <c r="L52" s="17"/>
      <c r="M52" s="17" t="s">
        <v>6374</v>
      </c>
      <c r="N52" s="17" t="s">
        <v>6375</v>
      </c>
      <c r="O52" s="17"/>
      <c r="P52" s="23"/>
      <c r="Q52" s="17">
        <v>4</v>
      </c>
      <c r="R52" s="17">
        <v>3</v>
      </c>
      <c r="S52" s="1" t="str">
        <f t="shared" si="0"/>
        <v>ジェム4個を起動する:ターン終了時まで、ブロックされない。&amp;br;このクリーチャーが対戦相手に戦闘ダメージを与えるたび、カードを1枚捨てて、カードを1枚引く。</v>
      </c>
      <c r="T52" s="21" t="s">
        <v>6119</v>
      </c>
    </row>
    <row r="53" spans="1:20" x14ac:dyDescent="0.15">
      <c r="A53" s="3">
        <v>1544</v>
      </c>
      <c r="B53" s="16" t="s">
        <v>4881</v>
      </c>
      <c r="C53" s="17" t="s">
        <v>5677</v>
      </c>
      <c r="D53" s="17" t="s">
        <v>1606</v>
      </c>
      <c r="E53" s="18" t="s">
        <v>1441</v>
      </c>
      <c r="F53" s="19">
        <v>22</v>
      </c>
      <c r="G53" s="26" t="s">
        <v>5790</v>
      </c>
      <c r="H53" s="20" t="s">
        <v>5791</v>
      </c>
      <c r="I53" s="18" t="s">
        <v>339</v>
      </c>
      <c r="J53" s="17" t="s">
        <v>5792</v>
      </c>
      <c r="K53" s="17"/>
      <c r="L53" s="17"/>
      <c r="M53" s="17" t="s">
        <v>6376</v>
      </c>
      <c r="N53" s="17"/>
      <c r="O53" s="17"/>
      <c r="P53" s="23"/>
      <c r="Q53" s="17">
        <v>8</v>
      </c>
      <c r="R53" s="17">
        <v>8</v>
      </c>
      <c r="S53" s="1" t="str">
        <f t="shared" si="0"/>
        <v>このクリーチャーが対戦相手にダメージを与えたとき、対戦相手の手札の下半分のマナ・コストは3多くなる。</v>
      </c>
      <c r="T53" s="21" t="s">
        <v>6120</v>
      </c>
    </row>
    <row r="54" spans="1:20" x14ac:dyDescent="0.15">
      <c r="A54" s="3">
        <v>1545</v>
      </c>
      <c r="B54" s="16" t="s">
        <v>4881</v>
      </c>
      <c r="C54" s="17" t="s">
        <v>5677</v>
      </c>
      <c r="D54" s="17" t="s">
        <v>1606</v>
      </c>
      <c r="E54" s="18" t="s">
        <v>1441</v>
      </c>
      <c r="F54" s="27">
        <v>13</v>
      </c>
      <c r="G54" s="26" t="s">
        <v>5793</v>
      </c>
      <c r="H54" s="20" t="s">
        <v>5794</v>
      </c>
      <c r="I54" s="18" t="s">
        <v>339</v>
      </c>
      <c r="J54" s="17" t="s">
        <v>1464</v>
      </c>
      <c r="K54" s="17" t="s">
        <v>5772</v>
      </c>
      <c r="L54" s="17"/>
      <c r="M54" s="17" t="s">
        <v>6399</v>
      </c>
      <c r="N54" s="17"/>
      <c r="O54" s="17"/>
      <c r="P54" s="23"/>
      <c r="Q54" s="17">
        <v>4</v>
      </c>
      <c r="R54" s="17">
        <v>4</v>
      </c>
      <c r="S54" s="1" t="str">
        <f t="shared" si="0"/>
        <v>ジェム3個を起動する；ターン終了時まで、バフされているあなたのクリーチャーはブロックされないを得る。</v>
      </c>
      <c r="T54" s="21" t="s">
        <v>6121</v>
      </c>
    </row>
    <row r="55" spans="1:20" x14ac:dyDescent="0.15">
      <c r="A55" s="3">
        <v>1546</v>
      </c>
      <c r="B55" s="16" t="s">
        <v>4881</v>
      </c>
      <c r="C55" s="17" t="s">
        <v>5677</v>
      </c>
      <c r="D55" s="17" t="s">
        <v>1606</v>
      </c>
      <c r="E55" s="18" t="s">
        <v>1441</v>
      </c>
      <c r="F55" s="19">
        <v>15</v>
      </c>
      <c r="G55" s="26" t="s">
        <v>5795</v>
      </c>
      <c r="H55" s="20" t="s">
        <v>5796</v>
      </c>
      <c r="I55" s="18" t="s">
        <v>339</v>
      </c>
      <c r="J55" s="17" t="s">
        <v>5753</v>
      </c>
      <c r="K55" s="17" t="s">
        <v>5746</v>
      </c>
      <c r="L55" s="17" t="s">
        <v>1463</v>
      </c>
      <c r="M55" s="17" t="s">
        <v>6061</v>
      </c>
      <c r="N55" s="17" t="s">
        <v>6382</v>
      </c>
      <c r="O55" s="17"/>
      <c r="P55" s="23"/>
      <c r="Q55" s="17">
        <v>3</v>
      </c>
      <c r="R55" s="17">
        <v>3</v>
      </c>
      <c r="S55" s="1" t="str">
        <f t="shared" si="0"/>
        <v>飛行  &amp;br;青ジェム3個を起動する：あなたのターン開始時まで、このクリーチャーは「このクリーチャーが死亡した時、対戦相手の手札の最初の呪文からすべてのマナを吸収する」を得る。</v>
      </c>
      <c r="T55" s="21" t="s">
        <v>6503</v>
      </c>
    </row>
    <row r="56" spans="1:20" x14ac:dyDescent="0.15">
      <c r="A56" s="3">
        <v>1547</v>
      </c>
      <c r="B56" s="16" t="s">
        <v>4881</v>
      </c>
      <c r="C56" s="17" t="s">
        <v>5677</v>
      </c>
      <c r="D56" s="17" t="s">
        <v>1606</v>
      </c>
      <c r="E56" s="18" t="s">
        <v>1441</v>
      </c>
      <c r="F56" s="19">
        <v>17</v>
      </c>
      <c r="G56" s="26" t="s">
        <v>5797</v>
      </c>
      <c r="H56" s="20" t="s">
        <v>5798</v>
      </c>
      <c r="I56" s="18" t="s">
        <v>1453</v>
      </c>
      <c r="J56" s="17"/>
      <c r="K56" s="17"/>
      <c r="L56" s="17"/>
      <c r="M56" s="17" t="s">
        <v>6377</v>
      </c>
      <c r="N56" s="17" t="s">
        <v>6378</v>
      </c>
      <c r="O56" s="17"/>
      <c r="P56" s="23"/>
      <c r="Q56" s="17"/>
      <c r="R56" s="17"/>
      <c r="S56" s="1" t="str">
        <f t="shared" si="0"/>
        <v>カードを3枚引く。&amp;br;あなたの手札にカードが6枚ある場合、あなたの手札の各カードはそれぞれ3マナを得る。</v>
      </c>
      <c r="T56" s="21" t="s">
        <v>6122</v>
      </c>
    </row>
    <row r="57" spans="1:20" x14ac:dyDescent="0.15">
      <c r="A57" s="3">
        <v>1548</v>
      </c>
      <c r="B57" s="16" t="s">
        <v>4881</v>
      </c>
      <c r="C57" s="17" t="s">
        <v>5677</v>
      </c>
      <c r="D57" s="17" t="s">
        <v>1606</v>
      </c>
      <c r="E57" s="18" t="s">
        <v>1441</v>
      </c>
      <c r="F57" s="19">
        <v>18</v>
      </c>
      <c r="G57" s="26" t="s">
        <v>5799</v>
      </c>
      <c r="H57" s="20" t="s">
        <v>5800</v>
      </c>
      <c r="I57" s="18" t="s">
        <v>1453</v>
      </c>
      <c r="J57" s="17"/>
      <c r="K57" s="17"/>
      <c r="L57" s="17"/>
      <c r="M57" s="17" t="s">
        <v>6379</v>
      </c>
      <c r="N57" s="17"/>
      <c r="O57" s="17"/>
      <c r="P57" s="23"/>
      <c r="Q57" s="17"/>
      <c r="R57" s="17"/>
      <c r="S57" s="1" t="str">
        <f t="shared" si="0"/>
        <v>対戦相手がコントロールするすべてのクリーチャーと土地出ないサポートをオーナーの手札に戻す。それらのマナ・コストは2多くなる。対戦相手の手札に空きがない場合、それらを破壊する。</v>
      </c>
      <c r="T57" s="21" t="s">
        <v>6123</v>
      </c>
    </row>
    <row r="58" spans="1:20" x14ac:dyDescent="0.15">
      <c r="A58" s="3">
        <v>1549</v>
      </c>
      <c r="B58" s="16" t="s">
        <v>4881</v>
      </c>
      <c r="C58" s="17" t="s">
        <v>5677</v>
      </c>
      <c r="D58" s="17" t="s">
        <v>1606</v>
      </c>
      <c r="E58" s="18" t="s">
        <v>1441</v>
      </c>
      <c r="F58" s="27">
        <v>9</v>
      </c>
      <c r="G58" s="26" t="s">
        <v>5801</v>
      </c>
      <c r="H58" s="20" t="s">
        <v>5802</v>
      </c>
      <c r="I58" s="18" t="s">
        <v>288</v>
      </c>
      <c r="J58" s="17"/>
      <c r="K58" s="17"/>
      <c r="L58" s="17"/>
      <c r="M58" s="17" t="s">
        <v>6372</v>
      </c>
      <c r="N58" s="17" t="s">
        <v>6373</v>
      </c>
      <c r="O58" s="17"/>
      <c r="P58" s="23"/>
      <c r="Q58" s="17"/>
      <c r="R58" s="17"/>
      <c r="S58" s="1" t="str">
        <f t="shared" si="0"/>
        <v>このサポートが戦場に出たとき、あなたがコントロールするすべてのクリーチャーとあなたの手札のすべてのクリーチャーはマーフォークと吸血鬼と海賊と恐竜のサブタイプを得る。&amp;br;このサポートが破壊されたとき、カードを1枚引く。</v>
      </c>
      <c r="T58" s="21" t="s">
        <v>6124</v>
      </c>
    </row>
    <row r="59" spans="1:20" x14ac:dyDescent="0.15">
      <c r="A59" s="3">
        <v>1550</v>
      </c>
      <c r="B59" s="16" t="s">
        <v>4881</v>
      </c>
      <c r="C59" s="17" t="s">
        <v>5677</v>
      </c>
      <c r="D59" s="17" t="s">
        <v>1606</v>
      </c>
      <c r="E59" s="18" t="s">
        <v>1431</v>
      </c>
      <c r="F59" s="19">
        <v>14</v>
      </c>
      <c r="G59" s="26" t="s">
        <v>5803</v>
      </c>
      <c r="H59" s="20" t="s">
        <v>5804</v>
      </c>
      <c r="I59" s="18" t="s">
        <v>339</v>
      </c>
      <c r="J59" s="17" t="s">
        <v>1464</v>
      </c>
      <c r="K59" s="17" t="s">
        <v>1463</v>
      </c>
      <c r="L59" s="17"/>
      <c r="M59" s="17" t="s">
        <v>6327</v>
      </c>
      <c r="N59" s="17"/>
      <c r="O59" s="17"/>
      <c r="P59" s="23"/>
      <c r="Q59" s="17">
        <v>5</v>
      </c>
      <c r="R59" s="17">
        <v>5</v>
      </c>
      <c r="S59" s="1" t="str">
        <f t="shared" si="0"/>
        <v>戦場にあなたの他のマーフォークが出ている間、対戦相手の呪文のマナ・コストは5多くなる。</v>
      </c>
      <c r="T59" s="21" t="s">
        <v>6504</v>
      </c>
    </row>
    <row r="60" spans="1:20" x14ac:dyDescent="0.15">
      <c r="A60" s="3">
        <v>1551</v>
      </c>
      <c r="B60" s="16" t="s">
        <v>4881</v>
      </c>
      <c r="C60" s="17" t="s">
        <v>5677</v>
      </c>
      <c r="D60" s="17" t="s">
        <v>1606</v>
      </c>
      <c r="E60" s="18" t="s">
        <v>1431</v>
      </c>
      <c r="F60" s="19">
        <v>14</v>
      </c>
      <c r="G60" s="26" t="s">
        <v>5805</v>
      </c>
      <c r="H60" s="20" t="s">
        <v>5806</v>
      </c>
      <c r="I60" s="18" t="s">
        <v>1453</v>
      </c>
      <c r="J60" s="17"/>
      <c r="K60" s="17"/>
      <c r="L60" s="17"/>
      <c r="M60" s="17" t="s">
        <v>6345</v>
      </c>
      <c r="N60" s="17"/>
      <c r="O60" s="17"/>
      <c r="P60" s="23"/>
      <c r="Q60" s="17"/>
      <c r="R60" s="17"/>
      <c r="S60" s="1" t="str">
        <f t="shared" si="0"/>
        <v>対戦相手の手札の最初のカードからすべてのマナを吸収する。全てのマナを吸収し、宝物を4つ見つける。</v>
      </c>
      <c r="T60" s="21" t="s">
        <v>6125</v>
      </c>
    </row>
    <row r="61" spans="1:20" x14ac:dyDescent="0.15">
      <c r="A61" s="3">
        <v>1552</v>
      </c>
      <c r="B61" s="16" t="s">
        <v>4881</v>
      </c>
      <c r="C61" s="17" t="s">
        <v>5677</v>
      </c>
      <c r="D61" s="17" t="s">
        <v>1606</v>
      </c>
      <c r="E61" s="18" t="s">
        <v>1431</v>
      </c>
      <c r="F61" s="27">
        <v>11</v>
      </c>
      <c r="G61" s="26" t="s">
        <v>5807</v>
      </c>
      <c r="H61" s="20" t="s">
        <v>5808</v>
      </c>
      <c r="I61" s="18" t="s">
        <v>288</v>
      </c>
      <c r="J61" s="17"/>
      <c r="K61" s="17"/>
      <c r="L61" s="17"/>
      <c r="M61" s="17" t="s">
        <v>6337</v>
      </c>
      <c r="N61" s="17" t="s">
        <v>6338</v>
      </c>
      <c r="O61" s="17"/>
      <c r="P61" s="23"/>
      <c r="Q61" s="17"/>
      <c r="R61" s="17"/>
      <c r="S61" s="1" t="str">
        <f t="shared" si="0"/>
        <v>あなたのターン開始時に、あなたのライブラリーの一番上から2枚のカードから1枚を選ぶ。そのカードを取ってきて、他を破壊する。&amp;br;あなたのターン終了時に、あなたの墓地にカードが7枚以上ある場合、このサポートを変身させる。</v>
      </c>
      <c r="T61" s="21" t="s">
        <v>6126</v>
      </c>
    </row>
    <row r="62" spans="1:20" x14ac:dyDescent="0.15">
      <c r="A62" s="3">
        <v>1553</v>
      </c>
      <c r="B62" s="16" t="s">
        <v>4881</v>
      </c>
      <c r="C62" s="17" t="s">
        <v>5677</v>
      </c>
      <c r="D62" s="17" t="s">
        <v>1606</v>
      </c>
      <c r="E62" s="18" t="s">
        <v>1431</v>
      </c>
      <c r="F62" s="22">
        <v>0</v>
      </c>
      <c r="G62" s="26" t="s">
        <v>6232</v>
      </c>
      <c r="H62" s="20" t="s">
        <v>6233</v>
      </c>
      <c r="I62" s="18" t="s">
        <v>288</v>
      </c>
      <c r="J62" s="17" t="s">
        <v>6029</v>
      </c>
      <c r="K62" s="17"/>
      <c r="L62" s="17"/>
      <c r="M62" s="17" t="s">
        <v>6339</v>
      </c>
      <c r="N62" s="17" t="s">
        <v>6340</v>
      </c>
      <c r="O62" s="17"/>
      <c r="P62" s="23"/>
      <c r="Q62" s="17"/>
      <c r="R62" s="17"/>
      <c r="S62" s="1" t="str">
        <f t="shared" si="0"/>
        <v>あなたのターン開始時に、ジェム2個を青に変換する。&amp;br;青ジェム2個を起動する：あなたのライブラリーから最初の呪文化土地出ないサポートを取ってくる。それは3マナを得る。</v>
      </c>
      <c r="T62" s="21" t="s">
        <v>6255</v>
      </c>
    </row>
    <row r="63" spans="1:20" x14ac:dyDescent="0.15">
      <c r="A63" s="3">
        <v>1554</v>
      </c>
      <c r="B63" s="16" t="s">
        <v>4881</v>
      </c>
      <c r="C63" s="17" t="s">
        <v>5677</v>
      </c>
      <c r="D63" s="17" t="s">
        <v>1582</v>
      </c>
      <c r="E63" s="18" t="s">
        <v>1744</v>
      </c>
      <c r="F63" s="22">
        <v>11</v>
      </c>
      <c r="G63" s="26" t="s">
        <v>5809</v>
      </c>
      <c r="H63" s="20" t="s">
        <v>5810</v>
      </c>
      <c r="I63" s="18" t="s">
        <v>339</v>
      </c>
      <c r="J63" s="17" t="s">
        <v>5686</v>
      </c>
      <c r="K63" s="17" t="s">
        <v>5746</v>
      </c>
      <c r="L63" s="17"/>
      <c r="M63" s="17" t="s">
        <v>6550</v>
      </c>
      <c r="N63" s="17"/>
      <c r="O63" s="17"/>
      <c r="P63" s="23"/>
      <c r="Q63" s="17">
        <v>3</v>
      </c>
      <c r="R63" s="17">
        <v>3</v>
      </c>
      <c r="S63" s="1" t="str">
        <f t="shared" si="0"/>
        <v>このクリーチャーが戦場に出たとき、あなたが強襲していた場合、対戦相手はカードを1枚捨てる。</v>
      </c>
      <c r="T63" s="21" t="s">
        <v>6127</v>
      </c>
    </row>
    <row r="64" spans="1:20" x14ac:dyDescent="0.15">
      <c r="A64" s="3">
        <v>1555</v>
      </c>
      <c r="B64" s="16" t="s">
        <v>4881</v>
      </c>
      <c r="C64" s="17" t="s">
        <v>5677</v>
      </c>
      <c r="D64" s="17" t="s">
        <v>1582</v>
      </c>
      <c r="E64" s="18" t="s">
        <v>1744</v>
      </c>
      <c r="F64" s="22">
        <v>8</v>
      </c>
      <c r="G64" s="26" t="s">
        <v>5811</v>
      </c>
      <c r="H64" s="20" t="s">
        <v>5812</v>
      </c>
      <c r="I64" s="18" t="s">
        <v>339</v>
      </c>
      <c r="J64" s="17" t="s">
        <v>5686</v>
      </c>
      <c r="K64" s="17" t="s">
        <v>5746</v>
      </c>
      <c r="L64" s="17"/>
      <c r="M64" s="17" t="s">
        <v>6552</v>
      </c>
      <c r="N64" s="17"/>
      <c r="O64" s="17"/>
      <c r="P64" s="23"/>
      <c r="Q64" s="17">
        <v>4</v>
      </c>
      <c r="R64" s="17">
        <v>4</v>
      </c>
      <c r="S64" s="1" t="str">
        <f t="shared" si="0"/>
        <v>あなたがサポートをコントロールしていない限り、このクリーチャーは攻撃できない。</v>
      </c>
      <c r="T64" s="21" t="s">
        <v>6128</v>
      </c>
    </row>
    <row r="65" spans="1:20" x14ac:dyDescent="0.15">
      <c r="A65" s="3">
        <v>1556</v>
      </c>
      <c r="B65" s="16" t="s">
        <v>4881</v>
      </c>
      <c r="C65" s="17" t="s">
        <v>5677</v>
      </c>
      <c r="D65" s="17" t="s">
        <v>1582</v>
      </c>
      <c r="E65" s="18" t="s">
        <v>1744</v>
      </c>
      <c r="F65" s="22">
        <v>9</v>
      </c>
      <c r="G65" s="26" t="s">
        <v>5813</v>
      </c>
      <c r="H65" s="20" t="s">
        <v>5814</v>
      </c>
      <c r="I65" s="18" t="s">
        <v>339</v>
      </c>
      <c r="J65" s="17" t="s">
        <v>5686</v>
      </c>
      <c r="K65" s="17" t="s">
        <v>5746</v>
      </c>
      <c r="L65" s="17"/>
      <c r="M65" s="17" t="s">
        <v>6553</v>
      </c>
      <c r="N65" s="17"/>
      <c r="O65" s="17"/>
      <c r="P65" s="23"/>
      <c r="Q65" s="17">
        <v>3</v>
      </c>
      <c r="R65" s="17">
        <v>2</v>
      </c>
      <c r="S65" s="1" t="str">
        <f t="shared" si="0"/>
        <v>このクリーチャーが死亡した時、宝物を1つ見つける。</v>
      </c>
      <c r="T65" s="21" t="s">
        <v>6129</v>
      </c>
    </row>
    <row r="66" spans="1:20" x14ac:dyDescent="0.15">
      <c r="A66" s="3">
        <v>1557</v>
      </c>
      <c r="B66" s="16" t="s">
        <v>4881</v>
      </c>
      <c r="C66" s="17" t="s">
        <v>5677</v>
      </c>
      <c r="D66" s="17" t="s">
        <v>1582</v>
      </c>
      <c r="E66" s="18" t="s">
        <v>1744</v>
      </c>
      <c r="F66" s="22">
        <v>15</v>
      </c>
      <c r="G66" s="26" t="s">
        <v>5815</v>
      </c>
      <c r="H66" s="20" t="s">
        <v>5816</v>
      </c>
      <c r="I66" s="18" t="s">
        <v>339</v>
      </c>
      <c r="J66" s="17" t="s">
        <v>5686</v>
      </c>
      <c r="K66" s="17" t="s">
        <v>5746</v>
      </c>
      <c r="L66" s="17"/>
      <c r="M66" s="17" t="s">
        <v>6064</v>
      </c>
      <c r="N66" s="17" t="s">
        <v>6549</v>
      </c>
      <c r="O66" s="17"/>
      <c r="P66" s="23"/>
      <c r="Q66" s="17">
        <v>3</v>
      </c>
      <c r="R66" s="17">
        <v>3</v>
      </c>
      <c r="S66" s="1" t="str">
        <f t="shared" ref="S66:S129" si="1">IF(M66="","",M66&amp;IF(N66="","","&amp;br;"&amp;N66)&amp;IF(O66="","","&amp;br;"&amp;O66))</f>
        <v>威迫  &amp;br;このクリーチャーが戦場に出たとき、これは探検1を行う。</v>
      </c>
      <c r="T66" s="21" t="s">
        <v>6105</v>
      </c>
    </row>
    <row r="67" spans="1:20" x14ac:dyDescent="0.15">
      <c r="A67" s="3">
        <v>1558</v>
      </c>
      <c r="B67" s="16" t="s">
        <v>4881</v>
      </c>
      <c r="C67" s="17" t="s">
        <v>5677</v>
      </c>
      <c r="D67" s="17" t="s">
        <v>1582</v>
      </c>
      <c r="E67" s="18" t="s">
        <v>1744</v>
      </c>
      <c r="F67" s="27">
        <v>17</v>
      </c>
      <c r="G67" s="26" t="s">
        <v>5817</v>
      </c>
      <c r="H67" s="20" t="s">
        <v>5818</v>
      </c>
      <c r="I67" s="18" t="s">
        <v>339</v>
      </c>
      <c r="J67" s="17" t="s">
        <v>357</v>
      </c>
      <c r="K67" s="17" t="s">
        <v>2802</v>
      </c>
      <c r="L67" s="17"/>
      <c r="M67" s="17" t="s">
        <v>6561</v>
      </c>
      <c r="N67" s="17"/>
      <c r="O67" s="17"/>
      <c r="P67" s="23"/>
      <c r="Q67" s="17">
        <v>4</v>
      </c>
      <c r="R67" s="17">
        <v>5</v>
      </c>
      <c r="S67" s="1" t="str">
        <f t="shared" si="1"/>
        <v>あなたがコントロールするクリーチャーが探検を行うたび、対戦相手がコントロールする最初のクリーチャーは-3/-3の修正を受ける。</v>
      </c>
      <c r="T67" s="21" t="s">
        <v>6130</v>
      </c>
    </row>
    <row r="68" spans="1:20" x14ac:dyDescent="0.15">
      <c r="A68" s="3">
        <v>1559</v>
      </c>
      <c r="B68" s="16" t="s">
        <v>4881</v>
      </c>
      <c r="C68" s="17" t="s">
        <v>5677</v>
      </c>
      <c r="D68" s="17" t="s">
        <v>1582</v>
      </c>
      <c r="E68" s="18" t="s">
        <v>1744</v>
      </c>
      <c r="F68" s="22">
        <v>20</v>
      </c>
      <c r="G68" s="26" t="s">
        <v>5819</v>
      </c>
      <c r="H68" s="20" t="s">
        <v>5820</v>
      </c>
      <c r="I68" s="18" t="s">
        <v>339</v>
      </c>
      <c r="J68" s="17" t="s">
        <v>5682</v>
      </c>
      <c r="K68" s="17" t="s">
        <v>1929</v>
      </c>
      <c r="L68" s="17"/>
      <c r="M68" s="17" t="s">
        <v>6065</v>
      </c>
      <c r="N68" s="17" t="s">
        <v>6564</v>
      </c>
      <c r="O68" s="17"/>
      <c r="P68" s="23"/>
      <c r="Q68" s="17">
        <v>4</v>
      </c>
      <c r="R68" s="17">
        <v>4</v>
      </c>
      <c r="S68" s="1" t="str">
        <f t="shared" si="1"/>
        <v>絆魂  &amp;br;このクリーチャーが戦場に出たとき、これは探検2を行う。</v>
      </c>
      <c r="T68" s="21" t="s">
        <v>6131</v>
      </c>
    </row>
    <row r="69" spans="1:20" x14ac:dyDescent="0.15">
      <c r="A69" s="3">
        <v>1560</v>
      </c>
      <c r="B69" s="16" t="s">
        <v>4881</v>
      </c>
      <c r="C69" s="17" t="s">
        <v>5677</v>
      </c>
      <c r="D69" s="17" t="s">
        <v>1582</v>
      </c>
      <c r="E69" s="18" t="s">
        <v>1744</v>
      </c>
      <c r="F69" s="22">
        <v>11</v>
      </c>
      <c r="G69" s="26" t="s">
        <v>5821</v>
      </c>
      <c r="H69" s="20" t="s">
        <v>5822</v>
      </c>
      <c r="I69" s="18" t="s">
        <v>339</v>
      </c>
      <c r="J69" s="17" t="s">
        <v>5686</v>
      </c>
      <c r="K69" s="17" t="s">
        <v>1929</v>
      </c>
      <c r="L69" s="17"/>
      <c r="M69" s="17" t="s">
        <v>6549</v>
      </c>
      <c r="N69" s="17"/>
      <c r="O69" s="17"/>
      <c r="P69" s="23"/>
      <c r="Q69" s="17">
        <v>2</v>
      </c>
      <c r="R69" s="17">
        <v>3</v>
      </c>
      <c r="S69" s="1" t="str">
        <f t="shared" si="1"/>
        <v>このクリーチャーが戦場に出たとき、これは探検1を行う。</v>
      </c>
      <c r="T69" s="21" t="s">
        <v>6105</v>
      </c>
    </row>
    <row r="70" spans="1:20" x14ac:dyDescent="0.15">
      <c r="A70" s="3">
        <v>1561</v>
      </c>
      <c r="B70" s="16" t="s">
        <v>4881</v>
      </c>
      <c r="C70" s="17" t="s">
        <v>5677</v>
      </c>
      <c r="D70" s="17" t="s">
        <v>1582</v>
      </c>
      <c r="E70" s="18" t="s">
        <v>1744</v>
      </c>
      <c r="F70" s="22">
        <v>9</v>
      </c>
      <c r="G70" s="26" t="s">
        <v>5823</v>
      </c>
      <c r="H70" s="20" t="s">
        <v>5824</v>
      </c>
      <c r="I70" s="18" t="s">
        <v>339</v>
      </c>
      <c r="J70" s="17" t="s">
        <v>5686</v>
      </c>
      <c r="K70" s="17" t="s">
        <v>5746</v>
      </c>
      <c r="L70" s="17"/>
      <c r="M70" s="17" t="s">
        <v>6574</v>
      </c>
      <c r="N70" s="17"/>
      <c r="O70" s="17"/>
      <c r="P70" s="23"/>
      <c r="Q70" s="17">
        <v>4</v>
      </c>
      <c r="R70" s="17">
        <v>4</v>
      </c>
      <c r="S70" s="1" t="str">
        <f t="shared" si="1"/>
        <v>このクリーチャーが死亡した時、対戦相手は宝物を2つ見つける。</v>
      </c>
      <c r="T70" s="21" t="s">
        <v>6132</v>
      </c>
    </row>
    <row r="71" spans="1:20" x14ac:dyDescent="0.15">
      <c r="A71" s="3">
        <v>1562</v>
      </c>
      <c r="B71" s="16" t="s">
        <v>4881</v>
      </c>
      <c r="C71" s="17" t="s">
        <v>5677</v>
      </c>
      <c r="D71" s="17" t="s">
        <v>1582</v>
      </c>
      <c r="E71" s="18" t="s">
        <v>1744</v>
      </c>
      <c r="F71" s="22">
        <v>10</v>
      </c>
      <c r="G71" s="26" t="s">
        <v>5825</v>
      </c>
      <c r="H71" s="20" t="s">
        <v>5826</v>
      </c>
      <c r="I71" s="18" t="s">
        <v>1453</v>
      </c>
      <c r="J71" s="17"/>
      <c r="K71" s="17"/>
      <c r="L71" s="17"/>
      <c r="M71" s="17" t="s">
        <v>6517</v>
      </c>
      <c r="N71" s="17"/>
      <c r="O71" s="17"/>
      <c r="P71" s="23"/>
      <c r="Q71" s="17"/>
      <c r="R71" s="17"/>
      <c r="S71" s="1" t="str">
        <f t="shared" si="1"/>
        <v>クリーチャー1体を対象とし、それを破壊する。宝物を2つ見つける。</v>
      </c>
      <c r="T71" s="21" t="s">
        <v>6133</v>
      </c>
    </row>
    <row r="72" spans="1:20" x14ac:dyDescent="0.15">
      <c r="A72" s="3">
        <v>1563</v>
      </c>
      <c r="B72" s="16" t="s">
        <v>4881</v>
      </c>
      <c r="C72" s="17" t="s">
        <v>5677</v>
      </c>
      <c r="D72" s="17" t="s">
        <v>1582</v>
      </c>
      <c r="E72" s="18" t="s">
        <v>1744</v>
      </c>
      <c r="F72" s="27">
        <v>4</v>
      </c>
      <c r="G72" s="26" t="s">
        <v>5827</v>
      </c>
      <c r="H72" s="20" t="s">
        <v>5828</v>
      </c>
      <c r="I72" s="18" t="s">
        <v>1453</v>
      </c>
      <c r="J72" s="17"/>
      <c r="K72" s="17"/>
      <c r="L72" s="17"/>
      <c r="M72" s="17" t="s">
        <v>6518</v>
      </c>
      <c r="N72" s="17"/>
      <c r="O72" s="17"/>
      <c r="P72" s="23"/>
      <c r="Q72" s="17"/>
      <c r="R72" s="17"/>
      <c r="S72" s="1" t="str">
        <f t="shared" si="1"/>
        <v>あなたがコントロールする最後のクリーチャーを破壊し、カードを2枚引く。</v>
      </c>
      <c r="T72" s="21" t="s">
        <v>6134</v>
      </c>
    </row>
    <row r="73" spans="1:20" x14ac:dyDescent="0.15">
      <c r="A73" s="3">
        <v>1564</v>
      </c>
      <c r="B73" s="16" t="s">
        <v>4881</v>
      </c>
      <c r="C73" s="17" t="s">
        <v>5677</v>
      </c>
      <c r="D73" s="17" t="s">
        <v>1582</v>
      </c>
      <c r="E73" s="18" t="s">
        <v>1744</v>
      </c>
      <c r="F73" s="22">
        <v>6</v>
      </c>
      <c r="G73" s="26" t="s">
        <v>5829</v>
      </c>
      <c r="H73" s="20" t="s">
        <v>5830</v>
      </c>
      <c r="I73" s="18" t="s">
        <v>1453</v>
      </c>
      <c r="J73" s="17"/>
      <c r="K73" s="17"/>
      <c r="L73" s="17"/>
      <c r="M73" s="17" t="s">
        <v>6527</v>
      </c>
      <c r="N73" s="17"/>
      <c r="O73" s="17"/>
      <c r="P73" s="23"/>
      <c r="Q73" s="17"/>
      <c r="R73" s="17"/>
      <c r="S73" s="1" t="str">
        <f t="shared" si="1"/>
        <v>対戦相手はカードを2枚捨てる。あなたが強襲していた場合、宝物を1つ見つける。</v>
      </c>
      <c r="T73" s="21" t="s">
        <v>6135</v>
      </c>
    </row>
    <row r="74" spans="1:20" x14ac:dyDescent="0.15">
      <c r="A74" s="3">
        <v>1565</v>
      </c>
      <c r="B74" s="16" t="s">
        <v>4881</v>
      </c>
      <c r="C74" s="17" t="s">
        <v>5677</v>
      </c>
      <c r="D74" s="17" t="s">
        <v>1582</v>
      </c>
      <c r="E74" s="18" t="s">
        <v>1451</v>
      </c>
      <c r="F74" s="22">
        <v>9</v>
      </c>
      <c r="G74" s="26" t="s">
        <v>5831</v>
      </c>
      <c r="H74" s="20" t="s">
        <v>5832</v>
      </c>
      <c r="I74" s="18" t="s">
        <v>339</v>
      </c>
      <c r="J74" s="17" t="s">
        <v>5833</v>
      </c>
      <c r="K74" s="17" t="s">
        <v>2798</v>
      </c>
      <c r="L74" s="17"/>
      <c r="M74" s="17" t="s">
        <v>6061</v>
      </c>
      <c r="N74" s="17" t="s">
        <v>6437</v>
      </c>
      <c r="O74" s="17"/>
      <c r="P74" s="23"/>
      <c r="Q74" s="17">
        <v>2</v>
      </c>
      <c r="R74" s="17">
        <v>2</v>
      </c>
      <c r="S74" s="1" t="str">
        <f t="shared" si="1"/>
        <v>飛行  &amp;br;このクリーチャーが死亡した時、黒ジェムが4個以上ある場合、対戦相手は4点のライフを失い、あなたは4点のライフを得る。</v>
      </c>
      <c r="T74" s="21" t="s">
        <v>6136</v>
      </c>
    </row>
    <row r="75" spans="1:20" x14ac:dyDescent="0.15">
      <c r="A75" s="3">
        <v>1566</v>
      </c>
      <c r="B75" s="16" t="s">
        <v>4881</v>
      </c>
      <c r="C75" s="17" t="s">
        <v>5677</v>
      </c>
      <c r="D75" s="17" t="s">
        <v>1582</v>
      </c>
      <c r="E75" s="18" t="s">
        <v>1451</v>
      </c>
      <c r="F75" s="27">
        <v>16</v>
      </c>
      <c r="G75" s="26" t="s">
        <v>5834</v>
      </c>
      <c r="H75" s="20" t="s">
        <v>5835</v>
      </c>
      <c r="I75" s="18" t="s">
        <v>339</v>
      </c>
      <c r="J75" s="17" t="s">
        <v>5682</v>
      </c>
      <c r="K75" s="17" t="s">
        <v>5689</v>
      </c>
      <c r="L75" s="17"/>
      <c r="M75" s="17" t="s">
        <v>6061</v>
      </c>
      <c r="N75" s="17" t="s">
        <v>6443</v>
      </c>
      <c r="O75" s="17"/>
      <c r="P75" s="23"/>
      <c r="Q75" s="17">
        <v>5</v>
      </c>
      <c r="R75" s="17">
        <v>5</v>
      </c>
      <c r="S75" s="1" t="str">
        <f t="shared" si="1"/>
        <v>飛行  &amp;br;このクリーチャーが死亡した時、あなたが2回以上強化された吸血鬼をコントロールしている場合、あなたの墓地からこのクリーチャーをあなたの手札に戻す。これのマナ・コストは3少なくなる。</v>
      </c>
      <c r="T75" s="21" t="s">
        <v>6137</v>
      </c>
    </row>
    <row r="76" spans="1:20" x14ac:dyDescent="0.15">
      <c r="A76" s="3">
        <v>1567</v>
      </c>
      <c r="B76" s="16" t="s">
        <v>4881</v>
      </c>
      <c r="C76" s="17" t="s">
        <v>5677</v>
      </c>
      <c r="D76" s="17" t="s">
        <v>1582</v>
      </c>
      <c r="E76" s="18" t="s">
        <v>1451</v>
      </c>
      <c r="F76" s="22">
        <v>8</v>
      </c>
      <c r="G76" s="26" t="s">
        <v>5836</v>
      </c>
      <c r="H76" s="20" t="s">
        <v>5837</v>
      </c>
      <c r="I76" s="18" t="s">
        <v>339</v>
      </c>
      <c r="J76" s="17" t="s">
        <v>5686</v>
      </c>
      <c r="K76" s="17" t="s">
        <v>5746</v>
      </c>
      <c r="L76" s="17"/>
      <c r="M76" s="17" t="s">
        <v>6061</v>
      </c>
      <c r="N76" s="17" t="s">
        <v>6462</v>
      </c>
      <c r="O76" s="17" t="s">
        <v>6463</v>
      </c>
      <c r="P76" s="23"/>
      <c r="Q76" s="17">
        <v>3</v>
      </c>
      <c r="R76" s="17">
        <v>3</v>
      </c>
      <c r="S76" s="1" t="str">
        <f t="shared" si="1"/>
        <v>飛行  &amp;br;このクリーチャーが戦場に出たとき、対戦相手の手札からクリーチャーでない最後の手札を追放する。&amp;br;このクリーチャーが死亡した時、対戦相手はカードを1枚引く。</v>
      </c>
      <c r="T76" s="21" t="s">
        <v>6138</v>
      </c>
    </row>
    <row r="77" spans="1:20" x14ac:dyDescent="0.15">
      <c r="A77" s="3">
        <v>1568</v>
      </c>
      <c r="B77" s="16" t="s">
        <v>4881</v>
      </c>
      <c r="C77" s="17" t="s">
        <v>5677</v>
      </c>
      <c r="D77" s="17" t="s">
        <v>1582</v>
      </c>
      <c r="E77" s="18" t="s">
        <v>1451</v>
      </c>
      <c r="F77" s="22">
        <v>13</v>
      </c>
      <c r="G77" s="26" t="s">
        <v>5838</v>
      </c>
      <c r="H77" s="20" t="s">
        <v>5839</v>
      </c>
      <c r="I77" s="18" t="s">
        <v>339</v>
      </c>
      <c r="J77" s="17" t="s">
        <v>5840</v>
      </c>
      <c r="K77" s="17" t="s">
        <v>5746</v>
      </c>
      <c r="L77" s="17"/>
      <c r="M77" s="17" t="s">
        <v>6483</v>
      </c>
      <c r="N77" s="17" t="s">
        <v>6484</v>
      </c>
      <c r="O77" s="17"/>
      <c r="P77" s="23"/>
      <c r="Q77" s="17">
        <v>4</v>
      </c>
      <c r="R77" s="17">
        <v>3</v>
      </c>
      <c r="S77" s="1" t="str">
        <f t="shared" si="1"/>
        <v>ジェム1個を起動する：あなたがコントロールする他の最初のクリーチャーを破壊し、あなたは宝物を2つ見つける。&amp;br;あなたのターン終了時に、あなたが宝物を3つ以上コントロールしている場合、カードを1枚引く。</v>
      </c>
      <c r="T77" s="21" t="s">
        <v>6139</v>
      </c>
    </row>
    <row r="78" spans="1:20" x14ac:dyDescent="0.15">
      <c r="A78" s="3">
        <v>1569</v>
      </c>
      <c r="B78" s="16" t="s">
        <v>4881</v>
      </c>
      <c r="C78" s="17" t="s">
        <v>5677</v>
      </c>
      <c r="D78" s="17" t="s">
        <v>1582</v>
      </c>
      <c r="E78" s="18" t="s">
        <v>1451</v>
      </c>
      <c r="F78" s="27">
        <v>10</v>
      </c>
      <c r="G78" s="26" t="s">
        <v>5841</v>
      </c>
      <c r="H78" s="20" t="s">
        <v>5842</v>
      </c>
      <c r="I78" s="18" t="s">
        <v>339</v>
      </c>
      <c r="J78" s="17" t="s">
        <v>5682</v>
      </c>
      <c r="K78" s="17" t="s">
        <v>5683</v>
      </c>
      <c r="L78" s="17"/>
      <c r="M78" s="17" t="s">
        <v>6513</v>
      </c>
      <c r="N78" s="17"/>
      <c r="O78" s="17"/>
      <c r="P78" s="23"/>
      <c r="Q78" s="17">
        <v>2</v>
      </c>
      <c r="R78" s="17">
        <v>2</v>
      </c>
      <c r="S78" s="1" t="str">
        <f t="shared" si="1"/>
        <v>このクリーチャーが攻撃するたび、対戦相手は2点のライフを失う。このクリーチャーが少なくとも2回強化されている場合、代わりに対戦相手は4点のライフを失う。</v>
      </c>
      <c r="T78" s="21" t="s">
        <v>6140</v>
      </c>
    </row>
    <row r="79" spans="1:20" x14ac:dyDescent="0.15">
      <c r="A79" s="3">
        <v>1570</v>
      </c>
      <c r="B79" s="16" t="s">
        <v>4881</v>
      </c>
      <c r="C79" s="17" t="s">
        <v>5677</v>
      </c>
      <c r="D79" s="17" t="s">
        <v>1582</v>
      </c>
      <c r="E79" s="18" t="s">
        <v>1451</v>
      </c>
      <c r="F79" s="22">
        <v>7</v>
      </c>
      <c r="G79" s="26" t="s">
        <v>5843</v>
      </c>
      <c r="H79" s="20" t="s">
        <v>5844</v>
      </c>
      <c r="I79" s="18" t="s">
        <v>1453</v>
      </c>
      <c r="J79" s="17"/>
      <c r="K79" s="17"/>
      <c r="L79" s="17"/>
      <c r="M79" s="17" t="s">
        <v>6448</v>
      </c>
      <c r="N79" s="17"/>
      <c r="O79" s="17"/>
      <c r="P79" s="23"/>
      <c r="Q79" s="17"/>
      <c r="R79" s="17"/>
      <c r="S79" s="1" t="str">
        <f t="shared" si="1"/>
        <v>対戦相手は手札からクリーチャーでない最初のカードを捨てる。</v>
      </c>
      <c r="T79" s="21" t="s">
        <v>6141</v>
      </c>
    </row>
    <row r="80" spans="1:20" x14ac:dyDescent="0.15">
      <c r="A80" s="3">
        <v>1571</v>
      </c>
      <c r="B80" s="16" t="s">
        <v>4881</v>
      </c>
      <c r="C80" s="17" t="s">
        <v>5677</v>
      </c>
      <c r="D80" s="17" t="s">
        <v>1582</v>
      </c>
      <c r="E80" s="18" t="s">
        <v>1451</v>
      </c>
      <c r="F80" s="27">
        <v>18</v>
      </c>
      <c r="G80" s="26" t="s">
        <v>5845</v>
      </c>
      <c r="H80" s="20" t="s">
        <v>5846</v>
      </c>
      <c r="I80" s="18" t="s">
        <v>1453</v>
      </c>
      <c r="J80" s="17"/>
      <c r="K80" s="17"/>
      <c r="L80" s="17"/>
      <c r="M80" s="17" t="s">
        <v>6457</v>
      </c>
      <c r="N80" s="17" t="s">
        <v>6458</v>
      </c>
      <c r="O80" s="17"/>
      <c r="P80" s="23"/>
      <c r="Q80" s="17"/>
      <c r="R80" s="17"/>
      <c r="S80" s="1" t="str">
        <f t="shared" si="1"/>
        <v>あなたの墓地から、海賊1体と吸血鬼1体と恐竜1体とマーフォーク1体をあなたの手札に戻す。&amp;br;これにより戻されたカード1枚につきあなたは2点のライフを失い、それらの各カードは3マナを得る。</v>
      </c>
      <c r="T80" s="21" t="s">
        <v>6142</v>
      </c>
    </row>
    <row r="81" spans="1:20" x14ac:dyDescent="0.15">
      <c r="A81" s="3">
        <v>1572</v>
      </c>
      <c r="B81" s="16" t="s">
        <v>4881</v>
      </c>
      <c r="C81" s="17" t="s">
        <v>5677</v>
      </c>
      <c r="D81" s="17" t="s">
        <v>1582</v>
      </c>
      <c r="E81" s="18" t="s">
        <v>1451</v>
      </c>
      <c r="F81" s="27">
        <v>8</v>
      </c>
      <c r="G81" s="26" t="s">
        <v>5847</v>
      </c>
      <c r="H81" s="20" t="s">
        <v>5848</v>
      </c>
      <c r="I81" s="18" t="s">
        <v>1453</v>
      </c>
      <c r="J81" s="17"/>
      <c r="K81" s="17"/>
      <c r="L81" s="17"/>
      <c r="M81" s="17" t="s">
        <v>6515</v>
      </c>
      <c r="N81" s="17"/>
      <c r="O81" s="17"/>
      <c r="P81" s="23"/>
      <c r="Q81" s="17"/>
      <c r="R81" s="17"/>
      <c r="S81" s="1" t="str">
        <f t="shared" si="1"/>
        <v>マーフォークでないクリーチャー1体を対象とし、それを破壊する。</v>
      </c>
      <c r="T81" s="21" t="s">
        <v>6143</v>
      </c>
    </row>
    <row r="82" spans="1:20" x14ac:dyDescent="0.15">
      <c r="A82" s="3">
        <v>1573</v>
      </c>
      <c r="B82" s="16" t="s">
        <v>4881</v>
      </c>
      <c r="C82" s="17" t="s">
        <v>5677</v>
      </c>
      <c r="D82" s="17" t="s">
        <v>1582</v>
      </c>
      <c r="E82" s="18" t="s">
        <v>1451</v>
      </c>
      <c r="F82" s="27">
        <v>13</v>
      </c>
      <c r="G82" s="26" t="s">
        <v>5849</v>
      </c>
      <c r="H82" s="20" t="s">
        <v>5850</v>
      </c>
      <c r="I82" s="18" t="s">
        <v>288</v>
      </c>
      <c r="J82" s="17"/>
      <c r="K82" s="17"/>
      <c r="L82" s="17"/>
      <c r="M82" s="17" t="s">
        <v>6476</v>
      </c>
      <c r="N82" s="17" t="s">
        <v>6477</v>
      </c>
      <c r="O82" s="17"/>
      <c r="P82" s="23"/>
      <c r="Q82" s="17"/>
      <c r="R82" s="17"/>
      <c r="S82" s="1" t="str">
        <f t="shared" si="1"/>
        <v>対戦相手がカードを捨てるたび、そのプレイヤーは3点のライフを失う。&amp;br;あなたのターン終了時に、あなたが強襲していた場合、対戦相手はカードを1枚捨てる。</v>
      </c>
      <c r="T82" s="21" t="s">
        <v>6144</v>
      </c>
    </row>
    <row r="83" spans="1:20" x14ac:dyDescent="0.15">
      <c r="A83" s="3">
        <v>1574</v>
      </c>
      <c r="B83" s="16" t="s">
        <v>4881</v>
      </c>
      <c r="C83" s="17" t="s">
        <v>5677</v>
      </c>
      <c r="D83" s="17" t="s">
        <v>1582</v>
      </c>
      <c r="E83" s="18" t="s">
        <v>1441</v>
      </c>
      <c r="F83" s="27">
        <v>17</v>
      </c>
      <c r="G83" s="26" t="s">
        <v>5851</v>
      </c>
      <c r="H83" s="20" t="s">
        <v>5852</v>
      </c>
      <c r="I83" s="18" t="s">
        <v>339</v>
      </c>
      <c r="J83" s="17" t="s">
        <v>5682</v>
      </c>
      <c r="K83" s="17" t="s">
        <v>1470</v>
      </c>
      <c r="L83" s="17"/>
      <c r="M83" s="17" t="s">
        <v>6383</v>
      </c>
      <c r="N83" s="17"/>
      <c r="O83" s="17"/>
      <c r="P83" s="23"/>
      <c r="Q83" s="17">
        <v>4</v>
      </c>
      <c r="R83" s="17">
        <v>4</v>
      </c>
      <c r="S83" s="1" t="str">
        <f t="shared" si="1"/>
        <v>このクリーチャーが戦場に出たとき、対戦相手はあなたがコントロールする吸血鬼1体につき1点のライフを失う。その後、そのプレイヤーは、それらの吸血鬼が強化された回数1回につき1点のライフを失う。</v>
      </c>
      <c r="T83" s="21" t="s">
        <v>6145</v>
      </c>
    </row>
    <row r="84" spans="1:20" x14ac:dyDescent="0.15">
      <c r="A84" s="3">
        <v>1575</v>
      </c>
      <c r="B84" s="16" t="s">
        <v>4881</v>
      </c>
      <c r="C84" s="17" t="s">
        <v>5677</v>
      </c>
      <c r="D84" s="17" t="s">
        <v>1582</v>
      </c>
      <c r="E84" s="18" t="s">
        <v>1441</v>
      </c>
      <c r="F84" s="19">
        <v>10</v>
      </c>
      <c r="G84" s="26" t="s">
        <v>5853</v>
      </c>
      <c r="H84" s="20" t="s">
        <v>5854</v>
      </c>
      <c r="I84" s="18" t="s">
        <v>339</v>
      </c>
      <c r="J84" s="17" t="s">
        <v>5686</v>
      </c>
      <c r="K84" s="17" t="s">
        <v>5746</v>
      </c>
      <c r="L84" s="17"/>
      <c r="M84" s="17" t="s">
        <v>6384</v>
      </c>
      <c r="N84" s="17"/>
      <c r="O84" s="17"/>
      <c r="P84" s="23"/>
      <c r="Q84" s="17">
        <v>2</v>
      </c>
      <c r="R84" s="17">
        <v>2</v>
      </c>
      <c r="S84" s="1" t="str">
        <f t="shared" si="1"/>
        <v>黒ジェム3個を起動する：対戦相手の墓地から最後の2枚のカードを追放する。その後、このクリーチャーは探検1を行う。</v>
      </c>
      <c r="T84" s="21" t="s">
        <v>6146</v>
      </c>
    </row>
    <row r="85" spans="1:20" x14ac:dyDescent="0.15">
      <c r="A85" s="3">
        <v>1576</v>
      </c>
      <c r="B85" s="16" t="s">
        <v>4881</v>
      </c>
      <c r="C85" s="17" t="s">
        <v>5677</v>
      </c>
      <c r="D85" s="17" t="s">
        <v>1582</v>
      </c>
      <c r="E85" s="18" t="s">
        <v>1441</v>
      </c>
      <c r="F85" s="19">
        <v>10</v>
      </c>
      <c r="G85" s="26" t="s">
        <v>5855</v>
      </c>
      <c r="H85" s="20" t="s">
        <v>5856</v>
      </c>
      <c r="I85" s="18" t="s">
        <v>339</v>
      </c>
      <c r="J85" s="17" t="s">
        <v>5686</v>
      </c>
      <c r="K85" s="17" t="s">
        <v>5746</v>
      </c>
      <c r="L85" s="17"/>
      <c r="M85" s="17" t="s">
        <v>6064</v>
      </c>
      <c r="N85" s="17" t="s">
        <v>6385</v>
      </c>
      <c r="O85" s="17"/>
      <c r="P85" s="23"/>
      <c r="Q85" s="17">
        <v>3</v>
      </c>
      <c r="R85" s="17">
        <v>2</v>
      </c>
      <c r="S85" s="1" t="str">
        <f t="shared" si="1"/>
        <v>威迫  &amp;br;このクリーチャーが攻撃するたび、あなたが他のトークンでない海賊をコントロールしている場合、あなたは3マナを吸収され、威迫を持つ2/2の黒の海賊・トークンを1体生成する。</v>
      </c>
      <c r="T85" s="21" t="s">
        <v>6147</v>
      </c>
    </row>
    <row r="86" spans="1:20" x14ac:dyDescent="0.15">
      <c r="A86" s="3">
        <v>1577</v>
      </c>
      <c r="B86" s="16" t="s">
        <v>4881</v>
      </c>
      <c r="C86" s="17" t="s">
        <v>5677</v>
      </c>
      <c r="D86" s="17" t="s">
        <v>1582</v>
      </c>
      <c r="E86" s="18" t="s">
        <v>1441</v>
      </c>
      <c r="F86" s="19">
        <v>7</v>
      </c>
      <c r="G86" s="26" t="s">
        <v>5857</v>
      </c>
      <c r="H86" s="20" t="s">
        <v>5858</v>
      </c>
      <c r="I86" s="18" t="s">
        <v>1453</v>
      </c>
      <c r="J86" s="17"/>
      <c r="K86" s="17"/>
      <c r="L86" s="17"/>
      <c r="M86" s="17" t="s">
        <v>6390</v>
      </c>
      <c r="N86" s="17" t="s">
        <v>6391</v>
      </c>
      <c r="O86" s="17"/>
      <c r="P86" s="23"/>
      <c r="Q86" s="17"/>
      <c r="R86" s="17"/>
      <c r="S86" s="1" t="str">
        <f t="shared" si="1"/>
        <v>クリーチャー1体を対象とし、それを追放する。&amp;br;対戦相手は2点のライフを失う。あなたは2点のライフを得る。</v>
      </c>
      <c r="T86" s="21" t="s">
        <v>6148</v>
      </c>
    </row>
    <row r="87" spans="1:20" x14ac:dyDescent="0.15">
      <c r="A87" s="3">
        <v>1578</v>
      </c>
      <c r="B87" s="16" t="s">
        <v>4881</v>
      </c>
      <c r="C87" s="17" t="s">
        <v>5677</v>
      </c>
      <c r="D87" s="17" t="s">
        <v>1582</v>
      </c>
      <c r="E87" s="18" t="s">
        <v>1441</v>
      </c>
      <c r="F87" s="19">
        <v>19</v>
      </c>
      <c r="G87" s="26" t="s">
        <v>5859</v>
      </c>
      <c r="H87" s="20" t="s">
        <v>5860</v>
      </c>
      <c r="I87" s="18" t="s">
        <v>288</v>
      </c>
      <c r="J87" s="17"/>
      <c r="K87" s="17"/>
      <c r="L87" s="17"/>
      <c r="M87" s="17" t="s">
        <v>6386</v>
      </c>
      <c r="N87" s="17" t="s">
        <v>6387</v>
      </c>
      <c r="O87" s="17"/>
      <c r="P87" s="23"/>
      <c r="Q87" s="17"/>
      <c r="R87" s="17"/>
      <c r="S87" s="1" t="str">
        <f t="shared" si="1"/>
        <v>対戦相手がコントロールするクリーチャーが死亡するたび、宝物を1つ見つける。&amp;br;あなたのターン開始時に、あなたが宝物を3つ以上コントロールしている場合、あなたの手札のすべてのカードは1マナを得る。</v>
      </c>
      <c r="T87" s="21" t="s">
        <v>6149</v>
      </c>
    </row>
    <row r="88" spans="1:20" x14ac:dyDescent="0.15">
      <c r="A88" s="3">
        <v>1579</v>
      </c>
      <c r="B88" s="16" t="s">
        <v>4881</v>
      </c>
      <c r="C88" s="17" t="s">
        <v>5677</v>
      </c>
      <c r="D88" s="17" t="s">
        <v>1582</v>
      </c>
      <c r="E88" s="18" t="s">
        <v>1441</v>
      </c>
      <c r="F88" s="19">
        <v>10</v>
      </c>
      <c r="G88" s="26" t="s">
        <v>5861</v>
      </c>
      <c r="H88" s="20" t="s">
        <v>5862</v>
      </c>
      <c r="I88" s="18" t="s">
        <v>288</v>
      </c>
      <c r="J88" s="17"/>
      <c r="K88" s="17"/>
      <c r="L88" s="17"/>
      <c r="M88" s="17" t="s">
        <v>6388</v>
      </c>
      <c r="N88" s="17" t="s">
        <v>6389</v>
      </c>
      <c r="O88" s="17"/>
      <c r="P88" s="23"/>
      <c r="Q88" s="17"/>
      <c r="R88" s="17"/>
      <c r="S88" s="1" t="str">
        <f t="shared" si="1"/>
        <v>青ジェム3個に罠をかける：カードを1枚引く。このサポートは1シールドを失う。&amp;br;赤ジェム3個に罠をかける：対戦相手は3点のライフを失う。このサポートは1シールドを失う。</v>
      </c>
      <c r="T88" s="21" t="s">
        <v>6150</v>
      </c>
    </row>
    <row r="89" spans="1:20" x14ac:dyDescent="0.15">
      <c r="A89" s="3">
        <v>1580</v>
      </c>
      <c r="B89" s="16" t="s">
        <v>4881</v>
      </c>
      <c r="C89" s="17" t="s">
        <v>5677</v>
      </c>
      <c r="D89" s="17" t="s">
        <v>1582</v>
      </c>
      <c r="E89" s="18" t="s">
        <v>1431</v>
      </c>
      <c r="F89" s="19">
        <v>16</v>
      </c>
      <c r="G89" s="26" t="s">
        <v>5863</v>
      </c>
      <c r="H89" s="20" t="s">
        <v>5864</v>
      </c>
      <c r="I89" s="18" t="s">
        <v>339</v>
      </c>
      <c r="J89" s="17" t="s">
        <v>5840</v>
      </c>
      <c r="K89" s="17" t="s">
        <v>5746</v>
      </c>
      <c r="L89" s="17" t="s">
        <v>1463</v>
      </c>
      <c r="M89" s="17" t="s">
        <v>6066</v>
      </c>
      <c r="N89" s="17" t="s">
        <v>6321</v>
      </c>
      <c r="O89" s="17"/>
      <c r="P89" s="23"/>
      <c r="Q89" s="17">
        <v>4</v>
      </c>
      <c r="R89" s="17">
        <v>4</v>
      </c>
      <c r="S89" s="1" t="str">
        <f t="shared" si="1"/>
        <v>威迫 接死 &amp;br;このクリーチャーが戦場に出たとき、あなたはX点のライフを失い、対戦相手はXの2倍の点数のライフを失う。Xは黒ジェムの総数に等しい。</v>
      </c>
      <c r="T89" s="21" t="s">
        <v>6151</v>
      </c>
    </row>
    <row r="90" spans="1:20" x14ac:dyDescent="0.15">
      <c r="A90" s="3">
        <v>1581</v>
      </c>
      <c r="B90" s="16" t="s">
        <v>4881</v>
      </c>
      <c r="C90" s="17" t="s">
        <v>5677</v>
      </c>
      <c r="D90" s="17" t="s">
        <v>1582</v>
      </c>
      <c r="E90" s="18" t="s">
        <v>1431</v>
      </c>
      <c r="F90" s="19">
        <v>19</v>
      </c>
      <c r="G90" s="26" t="s">
        <v>5865</v>
      </c>
      <c r="H90" s="20" t="s">
        <v>5866</v>
      </c>
      <c r="I90" s="18" t="s">
        <v>339</v>
      </c>
      <c r="J90" s="17" t="s">
        <v>5682</v>
      </c>
      <c r="K90" s="17" t="s">
        <v>5689</v>
      </c>
      <c r="L90" s="17"/>
      <c r="M90" s="17" t="s">
        <v>6335</v>
      </c>
      <c r="N90" s="17"/>
      <c r="O90" s="17"/>
      <c r="P90" s="23"/>
      <c r="Q90" s="17">
        <v>5</v>
      </c>
      <c r="R90" s="17">
        <v>5</v>
      </c>
      <c r="S90" s="1" t="str">
        <f t="shared" si="1"/>
        <v>このクリーチャーが攻撃するたび、対戦相手はX点のライフを失い、あなたはX点のライフを得る。Xはあなたの吸血鬼が強化された回数に等しい。</v>
      </c>
      <c r="T90" s="21" t="s">
        <v>6152</v>
      </c>
    </row>
    <row r="91" spans="1:20" x14ac:dyDescent="0.15">
      <c r="A91" s="3">
        <v>1582</v>
      </c>
      <c r="B91" s="16" t="s">
        <v>4881</v>
      </c>
      <c r="C91" s="17" t="s">
        <v>5677</v>
      </c>
      <c r="D91" s="17" t="s">
        <v>1582</v>
      </c>
      <c r="E91" s="18" t="s">
        <v>1431</v>
      </c>
      <c r="F91" s="19">
        <v>9</v>
      </c>
      <c r="G91" s="26" t="s">
        <v>5867</v>
      </c>
      <c r="H91" s="20" t="s">
        <v>5868</v>
      </c>
      <c r="I91" s="18" t="s">
        <v>288</v>
      </c>
      <c r="J91" s="17"/>
      <c r="K91" s="17"/>
      <c r="L91" s="17"/>
      <c r="M91" s="17" t="s">
        <v>6313</v>
      </c>
      <c r="N91" s="17" t="s">
        <v>6314</v>
      </c>
      <c r="O91" s="17"/>
      <c r="P91" s="23"/>
      <c r="Q91" s="17"/>
      <c r="R91" s="17"/>
      <c r="S91" s="1" t="str">
        <f t="shared" si="1"/>
        <v>ジェム2個を起動する：5点のライフを失い、カードを2枚引く。&amp;br;あなたのターン終了時に、このゲームであなたが20点以上のライフを失っていた場合、このサポートを変身させる。</v>
      </c>
      <c r="T91" s="21" t="s">
        <v>6153</v>
      </c>
    </row>
    <row r="92" spans="1:20" x14ac:dyDescent="0.15">
      <c r="A92" s="3">
        <v>1583</v>
      </c>
      <c r="B92" s="16" t="s">
        <v>4881</v>
      </c>
      <c r="C92" s="17" t="s">
        <v>5677</v>
      </c>
      <c r="D92" s="17" t="s">
        <v>1582</v>
      </c>
      <c r="E92" s="18" t="s">
        <v>1431</v>
      </c>
      <c r="F92" s="22">
        <v>0</v>
      </c>
      <c r="G92" s="26" t="s">
        <v>6234</v>
      </c>
      <c r="H92" s="20" t="s">
        <v>6235</v>
      </c>
      <c r="I92" s="18" t="s">
        <v>288</v>
      </c>
      <c r="J92" s="17" t="s">
        <v>6029</v>
      </c>
      <c r="K92" s="17"/>
      <c r="L92" s="17"/>
      <c r="M92" s="17" t="s">
        <v>6315</v>
      </c>
      <c r="N92" s="17" t="s">
        <v>6316</v>
      </c>
      <c r="O92" s="17"/>
      <c r="P92" s="23"/>
      <c r="Q92" s="17"/>
      <c r="R92" s="17"/>
      <c r="S92" s="1" t="str">
        <f t="shared" si="1"/>
        <v>あなたのターン開始時に、ジェム2個を黒に変換する。&amp;br;黒ジェム1個を起動する：あなたがコントロールする最後のクリーチャーを破壊し、それのタフネスの2倍に等しい点数のライフを得る。</v>
      </c>
      <c r="T92" s="21" t="s">
        <v>6251</v>
      </c>
    </row>
    <row r="93" spans="1:20" x14ac:dyDescent="0.15">
      <c r="A93" s="3">
        <v>1584</v>
      </c>
      <c r="B93" s="16" t="s">
        <v>4881</v>
      </c>
      <c r="C93" s="17" t="s">
        <v>5677</v>
      </c>
      <c r="D93" s="17" t="s">
        <v>1552</v>
      </c>
      <c r="E93" s="18" t="s">
        <v>1744</v>
      </c>
      <c r="F93" s="22">
        <v>13</v>
      </c>
      <c r="G93" s="26" t="s">
        <v>5869</v>
      </c>
      <c r="H93" s="20" t="s">
        <v>5870</v>
      </c>
      <c r="I93" s="18" t="s">
        <v>339</v>
      </c>
      <c r="J93" s="17" t="s">
        <v>5686</v>
      </c>
      <c r="K93" s="17" t="s">
        <v>5746</v>
      </c>
      <c r="L93" s="17"/>
      <c r="M93" s="17" t="s">
        <v>6067</v>
      </c>
      <c r="N93" s="17" t="s">
        <v>6549</v>
      </c>
      <c r="O93" s="17"/>
      <c r="P93" s="23"/>
      <c r="Q93" s="17">
        <v>2</v>
      </c>
      <c r="R93" s="17">
        <v>2</v>
      </c>
      <c r="S93" s="1" t="str">
        <f t="shared" si="1"/>
        <v>速攻  &amp;br;このクリーチャーが戦場に出たとき、これは探検1を行う。</v>
      </c>
      <c r="T93" s="21" t="s">
        <v>6105</v>
      </c>
    </row>
    <row r="94" spans="1:20" x14ac:dyDescent="0.15">
      <c r="A94" s="3">
        <v>1585</v>
      </c>
      <c r="B94" s="16" t="s">
        <v>4881</v>
      </c>
      <c r="C94" s="17" t="s">
        <v>5677</v>
      </c>
      <c r="D94" s="17" t="s">
        <v>1552</v>
      </c>
      <c r="E94" s="18" t="s">
        <v>1744</v>
      </c>
      <c r="F94" s="22">
        <v>6</v>
      </c>
      <c r="G94" s="26" t="s">
        <v>5871</v>
      </c>
      <c r="H94" s="20" t="s">
        <v>5872</v>
      </c>
      <c r="I94" s="18" t="s">
        <v>339</v>
      </c>
      <c r="J94" s="17" t="s">
        <v>5686</v>
      </c>
      <c r="K94" s="17" t="s">
        <v>5746</v>
      </c>
      <c r="L94" s="17"/>
      <c r="M94" s="17" t="s">
        <v>6555</v>
      </c>
      <c r="N94" s="17"/>
      <c r="O94" s="17"/>
      <c r="P94" s="23"/>
      <c r="Q94" s="17">
        <v>2</v>
      </c>
      <c r="R94" s="17">
        <v>2</v>
      </c>
      <c r="S94" s="1" t="str">
        <f t="shared" si="1"/>
        <v>ジェム2個を起動する：ターン終了時まで、このクリーチャーは+1/+0の修正を受ける。</v>
      </c>
      <c r="T94" s="21" t="s">
        <v>6154</v>
      </c>
    </row>
    <row r="95" spans="1:20" x14ac:dyDescent="0.15">
      <c r="A95" s="3">
        <v>1586</v>
      </c>
      <c r="B95" s="16" t="s">
        <v>4881</v>
      </c>
      <c r="C95" s="17" t="s">
        <v>5677</v>
      </c>
      <c r="D95" s="17" t="s">
        <v>1552</v>
      </c>
      <c r="E95" s="18" t="s">
        <v>1744</v>
      </c>
      <c r="F95" s="22">
        <v>4</v>
      </c>
      <c r="G95" s="26" t="s">
        <v>5873</v>
      </c>
      <c r="H95" s="20" t="s">
        <v>5874</v>
      </c>
      <c r="I95" s="18" t="s">
        <v>339</v>
      </c>
      <c r="J95" s="17" t="s">
        <v>5698</v>
      </c>
      <c r="K95" s="17"/>
      <c r="L95" s="17"/>
      <c r="M95" s="17" t="s">
        <v>6067</v>
      </c>
      <c r="N95" s="17"/>
      <c r="O95" s="17"/>
      <c r="P95" s="23"/>
      <c r="Q95" s="17">
        <v>1</v>
      </c>
      <c r="R95" s="17">
        <v>1</v>
      </c>
      <c r="S95" s="1" t="str">
        <f t="shared" si="1"/>
        <v xml:space="preserve">速攻  </v>
      </c>
      <c r="T95" s="21" t="s">
        <v>4756</v>
      </c>
    </row>
    <row r="96" spans="1:20" x14ac:dyDescent="0.15">
      <c r="A96" s="3">
        <v>1587</v>
      </c>
      <c r="B96" s="16" t="s">
        <v>4881</v>
      </c>
      <c r="C96" s="17" t="s">
        <v>5677</v>
      </c>
      <c r="D96" s="17" t="s">
        <v>1552</v>
      </c>
      <c r="E96" s="18" t="s">
        <v>1744</v>
      </c>
      <c r="F96" s="22">
        <v>12</v>
      </c>
      <c r="G96" s="26" t="s">
        <v>5875</v>
      </c>
      <c r="H96" s="20" t="s">
        <v>5876</v>
      </c>
      <c r="I96" s="18" t="s">
        <v>339</v>
      </c>
      <c r="J96" s="17" t="s">
        <v>5686</v>
      </c>
      <c r="K96" s="17" t="s">
        <v>5746</v>
      </c>
      <c r="L96" s="17" t="s">
        <v>1463</v>
      </c>
      <c r="M96" s="17" t="s">
        <v>6569</v>
      </c>
      <c r="N96" s="17"/>
      <c r="O96" s="17"/>
      <c r="P96" s="23"/>
      <c r="Q96" s="17">
        <v>3</v>
      </c>
      <c r="R96" s="17">
        <v>3</v>
      </c>
      <c r="S96" s="1" t="str">
        <f t="shared" si="1"/>
        <v>このクリーチャーが戦場に出たとき、あなたが強襲していた場合、クリーチャー1体かプレインズウォーカー1体を対象とする。これはそれに3点のダメージを与える。</v>
      </c>
      <c r="T96" s="21" t="s">
        <v>6155</v>
      </c>
    </row>
    <row r="97" spans="1:20" x14ac:dyDescent="0.15">
      <c r="A97" s="3">
        <v>1588</v>
      </c>
      <c r="B97" s="16" t="s">
        <v>4881</v>
      </c>
      <c r="C97" s="17" t="s">
        <v>5677</v>
      </c>
      <c r="D97" s="17" t="s">
        <v>1552</v>
      </c>
      <c r="E97" s="18" t="s">
        <v>1744</v>
      </c>
      <c r="F97" s="22">
        <v>19</v>
      </c>
      <c r="G97" s="26" t="s">
        <v>5877</v>
      </c>
      <c r="H97" s="20" t="s">
        <v>5878</v>
      </c>
      <c r="I97" s="18" t="s">
        <v>339</v>
      </c>
      <c r="J97" s="17" t="s">
        <v>5698</v>
      </c>
      <c r="K97" s="17"/>
      <c r="L97" s="17"/>
      <c r="M97" s="17" t="s">
        <v>6570</v>
      </c>
      <c r="N97" s="17"/>
      <c r="O97" s="17"/>
      <c r="P97" s="23"/>
      <c r="Q97" s="17">
        <v>5</v>
      </c>
      <c r="R97" s="17">
        <v>5</v>
      </c>
      <c r="S97" s="1" t="str">
        <f t="shared" si="1"/>
        <v>激昂：対戦相手に3点のダメージを与える。</v>
      </c>
      <c r="T97" s="21" t="s">
        <v>6156</v>
      </c>
    </row>
    <row r="98" spans="1:20" x14ac:dyDescent="0.15">
      <c r="A98" s="3">
        <v>1589</v>
      </c>
      <c r="B98" s="16" t="s">
        <v>4881</v>
      </c>
      <c r="C98" s="17" t="s">
        <v>5677</v>
      </c>
      <c r="D98" s="17" t="s">
        <v>1552</v>
      </c>
      <c r="E98" s="18" t="s">
        <v>1744</v>
      </c>
      <c r="F98" s="22">
        <v>17</v>
      </c>
      <c r="G98" s="26" t="s">
        <v>5879</v>
      </c>
      <c r="H98" s="20" t="s">
        <v>5880</v>
      </c>
      <c r="I98" s="18" t="s">
        <v>339</v>
      </c>
      <c r="J98" s="17" t="s">
        <v>5698</v>
      </c>
      <c r="K98" s="17"/>
      <c r="L98" s="17"/>
      <c r="M98" s="17" t="s">
        <v>6572</v>
      </c>
      <c r="N98" s="17"/>
      <c r="O98" s="17"/>
      <c r="P98" s="23"/>
      <c r="Q98" s="17">
        <v>4</v>
      </c>
      <c r="R98" s="17">
        <v>4</v>
      </c>
      <c r="S98" s="1" t="str">
        <f t="shared" si="1"/>
        <v>あなたが他の恐竜をコントロールしている間、このクリーチャーは+2/+0の修正を受けるとともにトランプルを得る。</v>
      </c>
      <c r="T98" s="21" t="s">
        <v>6157</v>
      </c>
    </row>
    <row r="99" spans="1:20" x14ac:dyDescent="0.15">
      <c r="A99" s="3">
        <v>1590</v>
      </c>
      <c r="B99" s="16" t="s">
        <v>4881</v>
      </c>
      <c r="C99" s="17" t="s">
        <v>5677</v>
      </c>
      <c r="D99" s="17" t="s">
        <v>1552</v>
      </c>
      <c r="E99" s="18" t="s">
        <v>1744</v>
      </c>
      <c r="F99" s="22">
        <v>9</v>
      </c>
      <c r="G99" s="26" t="s">
        <v>5881</v>
      </c>
      <c r="H99" s="20" t="s">
        <v>5882</v>
      </c>
      <c r="I99" s="18" t="s">
        <v>339</v>
      </c>
      <c r="J99" s="17" t="s">
        <v>5686</v>
      </c>
      <c r="K99" s="17" t="s">
        <v>5689</v>
      </c>
      <c r="L99" s="17"/>
      <c r="M99" s="17" t="s">
        <v>6573</v>
      </c>
      <c r="N99" s="17"/>
      <c r="O99" s="17"/>
      <c r="P99" s="23"/>
      <c r="Q99" s="17">
        <v>3</v>
      </c>
      <c r="R99" s="17">
        <v>3</v>
      </c>
      <c r="S99" s="1" t="str">
        <f t="shared" si="1"/>
        <v>このクリーチャーが攻撃するたび、あなたが恐竜をコントロールしている場合、ターン終了時まで、このクリーチャーは+1/+1の修正を受ける。</v>
      </c>
      <c r="T99" s="21" t="s">
        <v>6158</v>
      </c>
    </row>
    <row r="100" spans="1:20" x14ac:dyDescent="0.15">
      <c r="A100" s="3">
        <v>1591</v>
      </c>
      <c r="B100" s="16" t="s">
        <v>4881</v>
      </c>
      <c r="C100" s="17" t="s">
        <v>5677</v>
      </c>
      <c r="D100" s="17" t="s">
        <v>1552</v>
      </c>
      <c r="E100" s="18" t="s">
        <v>1744</v>
      </c>
      <c r="F100" s="22">
        <v>11</v>
      </c>
      <c r="G100" s="26" t="s">
        <v>5883</v>
      </c>
      <c r="H100" s="20" t="s">
        <v>5884</v>
      </c>
      <c r="I100" s="18" t="s">
        <v>1453</v>
      </c>
      <c r="J100" s="17"/>
      <c r="K100" s="17"/>
      <c r="L100" s="17"/>
      <c r="M100" s="17" t="s">
        <v>6526</v>
      </c>
      <c r="N100" s="17"/>
      <c r="O100" s="17"/>
      <c r="P100" s="23"/>
      <c r="Q100" s="17"/>
      <c r="R100" s="17"/>
      <c r="S100" s="1" t="str">
        <f t="shared" si="1"/>
        <v>クリーチャー1体を対象とし、それに3点のダメージを与える。あなたが強襲していた場合、代わりに6点のダメージを与える。</v>
      </c>
      <c r="T100" s="21" t="s">
        <v>6159</v>
      </c>
    </row>
    <row r="101" spans="1:20" x14ac:dyDescent="0.15">
      <c r="A101" s="3">
        <v>1592</v>
      </c>
      <c r="B101" s="16" t="s">
        <v>4881</v>
      </c>
      <c r="C101" s="17" t="s">
        <v>5677</v>
      </c>
      <c r="D101" s="17" t="s">
        <v>1552</v>
      </c>
      <c r="E101" s="18" t="s">
        <v>1744</v>
      </c>
      <c r="F101" s="22">
        <v>6</v>
      </c>
      <c r="G101" s="26" t="s">
        <v>5885</v>
      </c>
      <c r="H101" s="20" t="s">
        <v>5886</v>
      </c>
      <c r="I101" s="18" t="s">
        <v>1453</v>
      </c>
      <c r="J101" s="17"/>
      <c r="K101" s="17"/>
      <c r="L101" s="17"/>
      <c r="M101" s="17" t="s">
        <v>6538</v>
      </c>
      <c r="N101" s="17" t="s">
        <v>6539</v>
      </c>
      <c r="O101" s="17"/>
      <c r="P101" s="23"/>
      <c r="Q101" s="17"/>
      <c r="R101" s="17"/>
      <c r="S101" s="1" t="str">
        <f t="shared" si="1"/>
        <v>あなたがコントロールするクリーチャー1体を対象とし、それに1点のダメージを与える。&amp;br;ターン終了時まで、そのクリーチャーはトランプルを得る。カードを1枚引く。</v>
      </c>
      <c r="T101" s="21" t="s">
        <v>6160</v>
      </c>
    </row>
    <row r="102" spans="1:20" x14ac:dyDescent="0.15">
      <c r="A102" s="3">
        <v>1593</v>
      </c>
      <c r="B102" s="16" t="s">
        <v>4881</v>
      </c>
      <c r="C102" s="17" t="s">
        <v>5677</v>
      </c>
      <c r="D102" s="17" t="s">
        <v>1552</v>
      </c>
      <c r="E102" s="18" t="s">
        <v>1744</v>
      </c>
      <c r="F102" s="27">
        <v>10</v>
      </c>
      <c r="G102" s="26" t="s">
        <v>5887</v>
      </c>
      <c r="H102" s="20" t="s">
        <v>5888</v>
      </c>
      <c r="I102" s="18" t="s">
        <v>1453</v>
      </c>
      <c r="J102" s="17" t="s">
        <v>4968</v>
      </c>
      <c r="K102" s="17"/>
      <c r="L102" s="17"/>
      <c r="M102" s="17" t="s">
        <v>6544</v>
      </c>
      <c r="N102" s="17"/>
      <c r="O102" s="17"/>
      <c r="P102" s="23"/>
      <c r="Q102" s="17"/>
      <c r="R102" s="17"/>
      <c r="S102" s="1" t="str">
        <f t="shared" si="1"/>
        <v>クリーチャー1体を対象とする。それは速攻を得るとともに+2/+2の修正を受ける。</v>
      </c>
      <c r="T102" s="21" t="s">
        <v>6161</v>
      </c>
    </row>
    <row r="103" spans="1:20" x14ac:dyDescent="0.15">
      <c r="A103" s="3">
        <v>1594</v>
      </c>
      <c r="B103" s="16" t="s">
        <v>4881</v>
      </c>
      <c r="C103" s="17" t="s">
        <v>5677</v>
      </c>
      <c r="D103" s="17" t="s">
        <v>1552</v>
      </c>
      <c r="E103" s="18" t="s">
        <v>1744</v>
      </c>
      <c r="F103" s="22">
        <v>9</v>
      </c>
      <c r="G103" s="26" t="s">
        <v>5889</v>
      </c>
      <c r="H103" s="20" t="s">
        <v>5890</v>
      </c>
      <c r="I103" s="18" t="s">
        <v>1453</v>
      </c>
      <c r="J103" s="17"/>
      <c r="K103" s="17"/>
      <c r="L103" s="17"/>
      <c r="M103" s="17" t="s">
        <v>6545</v>
      </c>
      <c r="N103" s="17"/>
      <c r="O103" s="17"/>
      <c r="P103" s="23"/>
      <c r="Q103" s="17"/>
      <c r="R103" s="17"/>
      <c r="S103" s="1" t="str">
        <f t="shared" si="1"/>
        <v>クリーチャー1体かプレインズウォーカー1体を対象とし、それに4点のダメージを与える。</v>
      </c>
      <c r="T103" s="21" t="s">
        <v>6162</v>
      </c>
    </row>
    <row r="104" spans="1:20" x14ac:dyDescent="0.15">
      <c r="A104" s="3">
        <v>1595</v>
      </c>
      <c r="B104" s="16" t="s">
        <v>4881</v>
      </c>
      <c r="C104" s="17" t="s">
        <v>5677</v>
      </c>
      <c r="D104" s="17" t="s">
        <v>1552</v>
      </c>
      <c r="E104" s="18" t="s">
        <v>1451</v>
      </c>
      <c r="F104" s="22">
        <v>17</v>
      </c>
      <c r="G104" s="26" t="s">
        <v>5891</v>
      </c>
      <c r="H104" s="20" t="s">
        <v>5892</v>
      </c>
      <c r="I104" s="18" t="s">
        <v>339</v>
      </c>
      <c r="J104" s="17" t="s">
        <v>5698</v>
      </c>
      <c r="K104" s="17"/>
      <c r="L104" s="17"/>
      <c r="M104" s="17" t="s">
        <v>6068</v>
      </c>
      <c r="N104" s="17"/>
      <c r="O104" s="17"/>
      <c r="P104" s="23"/>
      <c r="Q104" s="17">
        <v>6</v>
      </c>
      <c r="R104" s="17">
        <v>6</v>
      </c>
      <c r="S104" s="1" t="str">
        <f t="shared" si="1"/>
        <v xml:space="preserve">トランプル 速攻 </v>
      </c>
      <c r="T104" s="21" t="s">
        <v>4756</v>
      </c>
    </row>
    <row r="105" spans="1:20" x14ac:dyDescent="0.15">
      <c r="A105" s="3">
        <v>1596</v>
      </c>
      <c r="B105" s="16" t="s">
        <v>4881</v>
      </c>
      <c r="C105" s="17" t="s">
        <v>5677</v>
      </c>
      <c r="D105" s="17" t="s">
        <v>1552</v>
      </c>
      <c r="E105" s="18" t="s">
        <v>1451</v>
      </c>
      <c r="F105" s="22">
        <v>11</v>
      </c>
      <c r="G105" s="26" t="s">
        <v>5893</v>
      </c>
      <c r="H105" s="20" t="s">
        <v>5894</v>
      </c>
      <c r="I105" s="18" t="s">
        <v>339</v>
      </c>
      <c r="J105" s="17" t="s">
        <v>1537</v>
      </c>
      <c r="K105" s="17"/>
      <c r="L105" s="17"/>
      <c r="M105" s="17" t="s">
        <v>6064</v>
      </c>
      <c r="N105" s="17" t="s">
        <v>6454</v>
      </c>
      <c r="O105" s="17"/>
      <c r="P105" s="23"/>
      <c r="Q105" s="17">
        <v>2</v>
      </c>
      <c r="R105" s="17">
        <v>2</v>
      </c>
      <c r="S105" s="1" t="str">
        <f t="shared" si="1"/>
        <v>威迫  &amp;br;このクリーチャーが死亡した時、赤ジェムが5個以上ある場合、これは対戦相手がコントロールする最初の2体のクリーチャーに3点のダメージを与える。</v>
      </c>
      <c r="T105" s="21" t="s">
        <v>6163</v>
      </c>
    </row>
    <row r="106" spans="1:20" x14ac:dyDescent="0.15">
      <c r="A106" s="3">
        <v>1597</v>
      </c>
      <c r="B106" s="16" t="s">
        <v>4881</v>
      </c>
      <c r="C106" s="17" t="s">
        <v>5677</v>
      </c>
      <c r="D106" s="17" t="s">
        <v>1552</v>
      </c>
      <c r="E106" s="18" t="s">
        <v>1451</v>
      </c>
      <c r="F106" s="22">
        <v>15</v>
      </c>
      <c r="G106" s="26" t="s">
        <v>5895</v>
      </c>
      <c r="H106" s="20" t="s">
        <v>5896</v>
      </c>
      <c r="I106" s="18" t="s">
        <v>339</v>
      </c>
      <c r="J106" s="17" t="s">
        <v>1564</v>
      </c>
      <c r="K106" s="17" t="s">
        <v>5746</v>
      </c>
      <c r="L106" s="17"/>
      <c r="M106" s="17" t="s">
        <v>6465</v>
      </c>
      <c r="N106" s="17"/>
      <c r="O106" s="17"/>
      <c r="P106" s="23"/>
      <c r="Q106" s="17">
        <v>0</v>
      </c>
      <c r="R106" s="17">
        <v>6</v>
      </c>
      <c r="S106" s="1" t="str">
        <f t="shared" si="1"/>
        <v>ジェム2個を起動する：対戦相手のプレインズウォーカーに、あなたがコントロールする海賊1体につき1点のダメージを与える。</v>
      </c>
      <c r="T106" s="21" t="s">
        <v>6494</v>
      </c>
    </row>
    <row r="107" spans="1:20" x14ac:dyDescent="0.15">
      <c r="A107" s="3">
        <v>1598</v>
      </c>
      <c r="B107" s="16" t="s">
        <v>4881</v>
      </c>
      <c r="C107" s="17" t="s">
        <v>5677</v>
      </c>
      <c r="D107" s="17" t="s">
        <v>1552</v>
      </c>
      <c r="E107" s="18" t="s">
        <v>1451</v>
      </c>
      <c r="F107" s="27">
        <v>8</v>
      </c>
      <c r="G107" s="26" t="s">
        <v>5897</v>
      </c>
      <c r="H107" s="20" t="s">
        <v>5898</v>
      </c>
      <c r="I107" s="18" t="s">
        <v>339</v>
      </c>
      <c r="J107" s="17" t="s">
        <v>5686</v>
      </c>
      <c r="K107" s="17" t="s">
        <v>1867</v>
      </c>
      <c r="L107" s="17"/>
      <c r="M107" s="17" t="s">
        <v>6470</v>
      </c>
      <c r="N107" s="17" t="s">
        <v>6471</v>
      </c>
      <c r="O107" s="17"/>
      <c r="P107" s="23"/>
      <c r="Q107" s="17">
        <v>2</v>
      </c>
      <c r="R107" s="17">
        <v>3</v>
      </c>
      <c r="S107" s="1" t="str">
        <f t="shared" si="1"/>
        <v>このクリーチャーが戦場に出ている間、あなたの手札の恐竜のマナ・コストは2少なくなる。&amp;br;ジェム1個を起動する：ターン終了時まで、あなたの恐竜は速攻を得る。</v>
      </c>
      <c r="T107" s="21" t="s">
        <v>6164</v>
      </c>
    </row>
    <row r="108" spans="1:20" x14ac:dyDescent="0.15">
      <c r="A108" s="3">
        <v>1599</v>
      </c>
      <c r="B108" s="16" t="s">
        <v>4881</v>
      </c>
      <c r="C108" s="17" t="s">
        <v>5677</v>
      </c>
      <c r="D108" s="17" t="s">
        <v>1552</v>
      </c>
      <c r="E108" s="18" t="s">
        <v>1451</v>
      </c>
      <c r="F108" s="22">
        <v>5</v>
      </c>
      <c r="G108" s="26" t="s">
        <v>5899</v>
      </c>
      <c r="H108" s="20" t="s">
        <v>5900</v>
      </c>
      <c r="I108" s="18" t="s">
        <v>339</v>
      </c>
      <c r="J108" s="17" t="s">
        <v>5698</v>
      </c>
      <c r="K108" s="17"/>
      <c r="L108" s="17"/>
      <c r="M108" s="17" t="s">
        <v>6479</v>
      </c>
      <c r="N108" s="17"/>
      <c r="O108" s="17"/>
      <c r="P108" s="23"/>
      <c r="Q108" s="17">
        <v>1</v>
      </c>
      <c r="R108" s="17">
        <v>1</v>
      </c>
      <c r="S108" s="1" t="str">
        <f t="shared" si="1"/>
        <v>激昂：トランプルを持つ3/3の緑の恐竜・クリーチャー・トークンを1体生成する。</v>
      </c>
      <c r="T108" s="21" t="s">
        <v>6165</v>
      </c>
    </row>
    <row r="109" spans="1:20" x14ac:dyDescent="0.15">
      <c r="A109" s="3">
        <v>1600</v>
      </c>
      <c r="B109" s="16" t="s">
        <v>4881</v>
      </c>
      <c r="C109" s="17" t="s">
        <v>5677</v>
      </c>
      <c r="D109" s="17" t="s">
        <v>1552</v>
      </c>
      <c r="E109" s="18" t="s">
        <v>1451</v>
      </c>
      <c r="F109" s="22">
        <v>11</v>
      </c>
      <c r="G109" s="26" t="s">
        <v>5901</v>
      </c>
      <c r="H109" s="20" t="s">
        <v>5902</v>
      </c>
      <c r="I109" s="18" t="s">
        <v>339</v>
      </c>
      <c r="J109" s="17" t="s">
        <v>1564</v>
      </c>
      <c r="K109" s="17" t="s">
        <v>5746</v>
      </c>
      <c r="L109" s="17"/>
      <c r="M109" s="17" t="s">
        <v>6059</v>
      </c>
      <c r="N109" s="17" t="s">
        <v>6480</v>
      </c>
      <c r="O109" s="17"/>
      <c r="P109" s="23"/>
      <c r="Q109" s="17">
        <v>2</v>
      </c>
      <c r="R109" s="17">
        <v>2</v>
      </c>
      <c r="S109" s="1" t="str">
        <f t="shared" si="1"/>
        <v>先制攻撃  &amp;br;このクリーチャーが戦場に出たとき、あなたが強襲していた場合、これは+2/+2の修正を受ける。</v>
      </c>
      <c r="T109" s="21" t="s">
        <v>6115</v>
      </c>
    </row>
    <row r="110" spans="1:20" x14ac:dyDescent="0.15">
      <c r="A110" s="3">
        <v>1601</v>
      </c>
      <c r="B110" s="16" t="s">
        <v>4881</v>
      </c>
      <c r="C110" s="17" t="s">
        <v>5677</v>
      </c>
      <c r="D110" s="17" t="s">
        <v>1552</v>
      </c>
      <c r="E110" s="18" t="s">
        <v>1451</v>
      </c>
      <c r="F110" s="22">
        <v>2</v>
      </c>
      <c r="G110" s="26" t="s">
        <v>5903</v>
      </c>
      <c r="H110" s="20" t="s">
        <v>5904</v>
      </c>
      <c r="I110" s="18" t="s">
        <v>339</v>
      </c>
      <c r="J110" s="17" t="s">
        <v>1564</v>
      </c>
      <c r="K110" s="17" t="s">
        <v>5746</v>
      </c>
      <c r="L110" s="17"/>
      <c r="M110" s="17" t="s">
        <v>6516</v>
      </c>
      <c r="N110" s="17"/>
      <c r="O110" s="17"/>
      <c r="P110" s="23"/>
      <c r="Q110" s="17">
        <v>1</v>
      </c>
      <c r="R110" s="17">
        <v>1</v>
      </c>
      <c r="S110" s="1" t="str">
        <f t="shared" si="1"/>
        <v>このクリーチャーが戦場に出たとき、宝物を1つ見つける。</v>
      </c>
      <c r="T110" s="21" t="s">
        <v>6166</v>
      </c>
    </row>
    <row r="111" spans="1:20" x14ac:dyDescent="0.15">
      <c r="A111" s="3">
        <v>1602</v>
      </c>
      <c r="B111" s="16" t="s">
        <v>4881</v>
      </c>
      <c r="C111" s="17" t="s">
        <v>5677</v>
      </c>
      <c r="D111" s="17" t="s">
        <v>1552</v>
      </c>
      <c r="E111" s="18" t="s">
        <v>1451</v>
      </c>
      <c r="F111" s="22">
        <v>7</v>
      </c>
      <c r="G111" s="26" t="s">
        <v>5905</v>
      </c>
      <c r="H111" s="20" t="s">
        <v>5906</v>
      </c>
      <c r="I111" s="18" t="s">
        <v>1453</v>
      </c>
      <c r="J111" s="17"/>
      <c r="K111" s="17"/>
      <c r="L111" s="17"/>
      <c r="M111" s="17" t="s">
        <v>6453</v>
      </c>
      <c r="N111" s="17"/>
      <c r="O111" s="17"/>
      <c r="P111" s="23"/>
      <c r="Q111" s="17"/>
      <c r="R111" s="17"/>
      <c r="S111" s="1" t="str">
        <f t="shared" si="1"/>
        <v>海賊でない各クリーチャーにそれぞれ2点のダメージを与える。</v>
      </c>
      <c r="T111" s="21" t="s">
        <v>6167</v>
      </c>
    </row>
    <row r="112" spans="1:20" x14ac:dyDescent="0.15">
      <c r="A112" s="3">
        <v>1603</v>
      </c>
      <c r="B112" s="16" t="s">
        <v>4881</v>
      </c>
      <c r="C112" s="17" t="s">
        <v>5677</v>
      </c>
      <c r="D112" s="17" t="s">
        <v>1552</v>
      </c>
      <c r="E112" s="18" t="s">
        <v>1451</v>
      </c>
      <c r="F112" s="22">
        <v>7</v>
      </c>
      <c r="G112" s="26" t="s">
        <v>5907</v>
      </c>
      <c r="H112" s="20" t="s">
        <v>5908</v>
      </c>
      <c r="I112" s="18" t="s">
        <v>288</v>
      </c>
      <c r="J112" s="17"/>
      <c r="K112" s="17"/>
      <c r="L112" s="17"/>
      <c r="M112" s="17" t="s">
        <v>6468</v>
      </c>
      <c r="N112" s="17"/>
      <c r="O112" s="17"/>
      <c r="P112" s="23"/>
      <c r="Q112" s="17"/>
      <c r="R112" s="17"/>
      <c r="S112" s="1" t="str">
        <f t="shared" si="1"/>
        <v>このサポートが1シールドを失ったとき、対戦相手がコントロールする最初のクリーチャーに1点のダメージを与える。</v>
      </c>
      <c r="T112" s="21" t="s">
        <v>6168</v>
      </c>
    </row>
    <row r="113" spans="1:20" x14ac:dyDescent="0.15">
      <c r="A113" s="3">
        <v>1604</v>
      </c>
      <c r="B113" s="16" t="s">
        <v>4881</v>
      </c>
      <c r="C113" s="17" t="s">
        <v>5677</v>
      </c>
      <c r="D113" s="17" t="s">
        <v>1552</v>
      </c>
      <c r="E113" s="18" t="s">
        <v>1451</v>
      </c>
      <c r="F113" s="22">
        <v>8</v>
      </c>
      <c r="G113" s="26" t="s">
        <v>5909</v>
      </c>
      <c r="H113" s="20" t="s">
        <v>5910</v>
      </c>
      <c r="I113" s="18" t="s">
        <v>288</v>
      </c>
      <c r="J113" s="17"/>
      <c r="K113" s="17"/>
      <c r="L113" s="17"/>
      <c r="M113" s="17" t="s">
        <v>6510</v>
      </c>
      <c r="N113" s="17" t="s">
        <v>6511</v>
      </c>
      <c r="O113" s="17"/>
      <c r="P113" s="23"/>
      <c r="Q113" s="17"/>
      <c r="R113" s="17"/>
      <c r="S113" s="1" t="str">
        <f t="shared" si="1"/>
        <v>このサポートがボード上にある間、対戦相手がコントロールする最初のクリーチャーはブロックされないを持つ。&amp;br;あなたのターン終了時に、宝物を1つ見つける。</v>
      </c>
      <c r="T113" s="21" t="s">
        <v>6169</v>
      </c>
    </row>
    <row r="114" spans="1:20" x14ac:dyDescent="0.15">
      <c r="A114" s="3">
        <v>1605</v>
      </c>
      <c r="B114" s="16" t="s">
        <v>4881</v>
      </c>
      <c r="C114" s="17" t="s">
        <v>5677</v>
      </c>
      <c r="D114" s="17" t="s">
        <v>1552</v>
      </c>
      <c r="E114" s="18" t="s">
        <v>1441</v>
      </c>
      <c r="F114" s="19">
        <v>13</v>
      </c>
      <c r="G114" s="26" t="s">
        <v>5911</v>
      </c>
      <c r="H114" s="20" t="s">
        <v>5912</v>
      </c>
      <c r="I114" s="18" t="s">
        <v>339</v>
      </c>
      <c r="J114" s="17" t="s">
        <v>5686</v>
      </c>
      <c r="K114" s="17" t="s">
        <v>5746</v>
      </c>
      <c r="L114" s="17"/>
      <c r="M114" s="17" t="s">
        <v>6392</v>
      </c>
      <c r="N114" s="17"/>
      <c r="O114" s="17"/>
      <c r="P114" s="23"/>
      <c r="Q114" s="17">
        <v>4</v>
      </c>
      <c r="R114" s="17">
        <v>3</v>
      </c>
      <c r="S114" s="1" t="str">
        <f t="shared" si="1"/>
        <v>赤ジェム5個を起動する：ターン終了時まで、対戦相手がコントロールする最初のクリーチャーのコントロールを得る。ターン終了時まで、そのクリーチャーは速攻を得る。</v>
      </c>
      <c r="T114" s="21" t="s">
        <v>6170</v>
      </c>
    </row>
    <row r="115" spans="1:20" x14ac:dyDescent="0.15">
      <c r="A115" s="3">
        <v>1606</v>
      </c>
      <c r="B115" s="16" t="s">
        <v>4881</v>
      </c>
      <c r="C115" s="17" t="s">
        <v>5677</v>
      </c>
      <c r="D115" s="17" t="s">
        <v>1552</v>
      </c>
      <c r="E115" s="18" t="s">
        <v>1441</v>
      </c>
      <c r="F115" s="27">
        <v>16</v>
      </c>
      <c r="G115" s="26" t="s">
        <v>5913</v>
      </c>
      <c r="H115" s="20" t="s">
        <v>5914</v>
      </c>
      <c r="I115" s="18" t="s">
        <v>339</v>
      </c>
      <c r="J115" s="17" t="s">
        <v>5698</v>
      </c>
      <c r="K115" s="17"/>
      <c r="L115" s="17"/>
      <c r="M115" s="17" t="s">
        <v>6064</v>
      </c>
      <c r="N115" s="17" t="s">
        <v>6393</v>
      </c>
      <c r="O115" s="17" t="s">
        <v>6394</v>
      </c>
      <c r="P115" s="23"/>
      <c r="Q115" s="17">
        <v>4</v>
      </c>
      <c r="R115" s="17">
        <v>4</v>
      </c>
      <c r="S115" s="1" t="str">
        <f t="shared" si="1"/>
        <v>威迫  &amp;br;このクリーチャーが戦場に出ている間、対戦相手はライフを得られない。&amp;br;他のクリーチャーが戦場に出るたび、そのクリーチャーのコントローラーに1点のダメージを与える。</v>
      </c>
      <c r="T115" s="21" t="s">
        <v>6171</v>
      </c>
    </row>
    <row r="116" spans="1:20" x14ac:dyDescent="0.15">
      <c r="A116" s="3">
        <v>1607</v>
      </c>
      <c r="B116" s="16" t="s">
        <v>4881</v>
      </c>
      <c r="C116" s="17" t="s">
        <v>5677</v>
      </c>
      <c r="D116" s="17" t="s">
        <v>1552</v>
      </c>
      <c r="E116" s="18" t="s">
        <v>1441</v>
      </c>
      <c r="F116" s="27">
        <v>15</v>
      </c>
      <c r="G116" s="26" t="s">
        <v>5915</v>
      </c>
      <c r="H116" s="20" t="s">
        <v>5916</v>
      </c>
      <c r="I116" s="18" t="s">
        <v>339</v>
      </c>
      <c r="J116" s="17" t="s">
        <v>5686</v>
      </c>
      <c r="K116" s="17" t="s">
        <v>5746</v>
      </c>
      <c r="L116" s="17"/>
      <c r="M116" s="17" t="s">
        <v>6069</v>
      </c>
      <c r="N116" s="17" t="s">
        <v>6396</v>
      </c>
      <c r="O116" s="17" t="s">
        <v>6397</v>
      </c>
      <c r="P116" s="23"/>
      <c r="Q116" s="17">
        <v>5</v>
      </c>
      <c r="R116" s="17">
        <v>5</v>
      </c>
      <c r="S116" s="1" t="str">
        <f t="shared" si="1"/>
        <v>トランプル  &amp;br;このクリーチャーが戦場に出たとき、カードを2枚捨てて、その後カードを2枚引く。&amp;br;あなたの手札の最後の2枚のカードに共通のクリーチャー・タイプがある場合、このクリーチャーは+2/+2の修正を受ける。</v>
      </c>
      <c r="T116" s="21" t="s">
        <v>6172</v>
      </c>
    </row>
    <row r="117" spans="1:20" x14ac:dyDescent="0.15">
      <c r="A117" s="3">
        <v>1608</v>
      </c>
      <c r="B117" s="16" t="s">
        <v>4881</v>
      </c>
      <c r="C117" s="17" t="s">
        <v>5677</v>
      </c>
      <c r="D117" s="17" t="s">
        <v>1552</v>
      </c>
      <c r="E117" s="18" t="s">
        <v>1441</v>
      </c>
      <c r="F117" s="19">
        <v>11</v>
      </c>
      <c r="G117" s="26" t="s">
        <v>5917</v>
      </c>
      <c r="H117" s="20" t="s">
        <v>5918</v>
      </c>
      <c r="I117" s="18" t="s">
        <v>339</v>
      </c>
      <c r="J117" s="17" t="s">
        <v>5840</v>
      </c>
      <c r="K117" s="17" t="s">
        <v>5746</v>
      </c>
      <c r="L117" s="17"/>
      <c r="M117" s="17" t="s">
        <v>6398</v>
      </c>
      <c r="N117" s="17"/>
      <c r="O117" s="17"/>
      <c r="P117" s="23"/>
      <c r="Q117" s="17">
        <v>4</v>
      </c>
      <c r="R117" s="17">
        <v>4</v>
      </c>
      <c r="S117" s="1" t="str">
        <f t="shared" si="1"/>
        <v>このクリーチャーが戦場に出たとき、あなたが強襲していた場合、2ブロックの3×3ジェムを破壊する。</v>
      </c>
      <c r="T117" s="21" t="s">
        <v>6173</v>
      </c>
    </row>
    <row r="118" spans="1:20" x14ac:dyDescent="0.15">
      <c r="A118" s="3">
        <v>1609</v>
      </c>
      <c r="B118" s="16" t="s">
        <v>4881</v>
      </c>
      <c r="C118" s="17" t="s">
        <v>5677</v>
      </c>
      <c r="D118" s="17" t="s">
        <v>1552</v>
      </c>
      <c r="E118" s="18" t="s">
        <v>1441</v>
      </c>
      <c r="F118" s="19">
        <v>14</v>
      </c>
      <c r="G118" s="26" t="s">
        <v>5919</v>
      </c>
      <c r="H118" s="20" t="s">
        <v>5920</v>
      </c>
      <c r="I118" s="18" t="s">
        <v>339</v>
      </c>
      <c r="J118" s="17" t="s">
        <v>5686</v>
      </c>
      <c r="K118" s="17" t="s">
        <v>1867</v>
      </c>
      <c r="L118" s="17"/>
      <c r="M118" s="17" t="s">
        <v>6067</v>
      </c>
      <c r="N118" s="17" t="s">
        <v>6401</v>
      </c>
      <c r="O118" s="17"/>
      <c r="P118" s="23"/>
      <c r="Q118" s="17">
        <v>4</v>
      </c>
      <c r="R118" s="17">
        <v>4</v>
      </c>
      <c r="S118" s="1" t="str">
        <f t="shared" si="1"/>
        <v>速攻  &amp;br;このクリーチャーが攻撃するたび、これは+X/+Yの修正を受ける。XとYはそれぞれ、あなたがコントロールする他の最初のクリーチャーのパワーとタフネスに等しい。</v>
      </c>
      <c r="T118" s="21" t="s">
        <v>6174</v>
      </c>
    </row>
    <row r="119" spans="1:20" x14ac:dyDescent="0.15">
      <c r="A119" s="3">
        <v>1610</v>
      </c>
      <c r="B119" s="16" t="s">
        <v>4881</v>
      </c>
      <c r="C119" s="17" t="s">
        <v>5677</v>
      </c>
      <c r="D119" s="17" t="s">
        <v>1552</v>
      </c>
      <c r="E119" s="18" t="s">
        <v>1441</v>
      </c>
      <c r="F119" s="19">
        <v>9</v>
      </c>
      <c r="G119" s="26" t="s">
        <v>5921</v>
      </c>
      <c r="H119" s="20" t="s">
        <v>5922</v>
      </c>
      <c r="I119" s="18" t="s">
        <v>1453</v>
      </c>
      <c r="J119" s="17"/>
      <c r="K119" s="17"/>
      <c r="L119" s="17"/>
      <c r="M119" s="17" t="s">
        <v>6395</v>
      </c>
      <c r="N119" s="17"/>
      <c r="O119" s="17"/>
      <c r="P119" s="23"/>
      <c r="Q119" s="17"/>
      <c r="R119" s="17"/>
      <c r="S119" s="1" t="str">
        <f t="shared" si="1"/>
        <v>プレイヤー1人を対象とし、そのプレイヤーに4点のダメージを与える。あなたが強襲していて、赤ジェムが4個以上ある場合、この呪文をあなたの手札に戻す。</v>
      </c>
      <c r="T119" s="21" t="s">
        <v>6175</v>
      </c>
    </row>
    <row r="120" spans="1:20" x14ac:dyDescent="0.15">
      <c r="A120" s="3">
        <v>1611</v>
      </c>
      <c r="B120" s="16" t="s">
        <v>4881</v>
      </c>
      <c r="C120" s="17" t="s">
        <v>5677</v>
      </c>
      <c r="D120" s="17" t="s">
        <v>1552</v>
      </c>
      <c r="E120" s="18" t="s">
        <v>1441</v>
      </c>
      <c r="F120" s="19">
        <v>20</v>
      </c>
      <c r="G120" s="26" t="s">
        <v>5923</v>
      </c>
      <c r="H120" s="20" t="s">
        <v>5924</v>
      </c>
      <c r="I120" s="18" t="s">
        <v>288</v>
      </c>
      <c r="J120" s="17"/>
      <c r="K120" s="17"/>
      <c r="L120" s="17"/>
      <c r="M120" s="17" t="s">
        <v>6400</v>
      </c>
      <c r="N120" s="17"/>
      <c r="O120" s="17"/>
      <c r="P120" s="23"/>
      <c r="Q120" s="17"/>
      <c r="R120" s="17"/>
      <c r="S120" s="1" t="str">
        <f t="shared" si="1"/>
        <v>あなたが、マナ・コストが15以上のカードをプレイするたび、あなたのライブラリーから次のマナ・コストが10以下のカードを取ってくる。それはいっぱいのマナを得て、このサポートは1シールドを失う。</v>
      </c>
      <c r="T120" s="21" t="s">
        <v>6176</v>
      </c>
    </row>
    <row r="121" spans="1:20" x14ac:dyDescent="0.15">
      <c r="A121" s="3">
        <v>1612</v>
      </c>
      <c r="B121" s="16" t="s">
        <v>4881</v>
      </c>
      <c r="C121" s="17" t="s">
        <v>5677</v>
      </c>
      <c r="D121" s="17" t="s">
        <v>1552</v>
      </c>
      <c r="E121" s="18" t="s">
        <v>1431</v>
      </c>
      <c r="F121" s="19">
        <v>17</v>
      </c>
      <c r="G121" s="26" t="s">
        <v>5925</v>
      </c>
      <c r="H121" s="20" t="s">
        <v>5926</v>
      </c>
      <c r="I121" s="18" t="s">
        <v>339</v>
      </c>
      <c r="J121" s="17" t="s">
        <v>5698</v>
      </c>
      <c r="K121" s="17" t="s">
        <v>5480</v>
      </c>
      <c r="L121" s="17"/>
      <c r="M121" s="17" t="s">
        <v>6317</v>
      </c>
      <c r="N121" s="17"/>
      <c r="O121" s="17"/>
      <c r="P121" s="23"/>
      <c r="Q121" s="17">
        <v>6</v>
      </c>
      <c r="R121" s="17">
        <v>6</v>
      </c>
      <c r="S121" s="1" t="str">
        <f t="shared" si="1"/>
        <v>このクリーチャーが戦場に出たとき、クリーチャー1体を対象とする。これはそれに3点、対戦相手に3点のダメージを与える。</v>
      </c>
      <c r="T121" s="21" t="s">
        <v>6177</v>
      </c>
    </row>
    <row r="122" spans="1:20" x14ac:dyDescent="0.15">
      <c r="A122" s="3">
        <v>1613</v>
      </c>
      <c r="B122" s="16" t="s">
        <v>4881</v>
      </c>
      <c r="C122" s="17" t="s">
        <v>5677</v>
      </c>
      <c r="D122" s="17" t="s">
        <v>1552</v>
      </c>
      <c r="E122" s="18" t="s">
        <v>1431</v>
      </c>
      <c r="F122" s="19">
        <v>9</v>
      </c>
      <c r="G122" s="26" t="s">
        <v>5927</v>
      </c>
      <c r="H122" s="20" t="s">
        <v>5928</v>
      </c>
      <c r="I122" s="18" t="s">
        <v>339</v>
      </c>
      <c r="J122" s="17" t="s">
        <v>5686</v>
      </c>
      <c r="K122" s="17" t="s">
        <v>5746</v>
      </c>
      <c r="L122" s="17"/>
      <c r="M122" s="17" t="s">
        <v>6067</v>
      </c>
      <c r="N122" s="17" t="s">
        <v>6318</v>
      </c>
      <c r="O122" s="17" t="s">
        <v>6319</v>
      </c>
      <c r="P122" s="23"/>
      <c r="Q122" s="17">
        <v>4</v>
      </c>
      <c r="R122" s="17">
        <v>4</v>
      </c>
      <c r="S122" s="1" t="str">
        <f t="shared" si="1"/>
        <v>速攻  &amp;br;このクリーチャーが攻撃を与えるたび、宝物を1つ見つける。&amp;br;宝物が1つボードに出るたび、ターン終了時まで、あなたがコントロールする海賊は+X/+0の修正を受ける。Xはあなたがコントロールする宝物の総数に等しい。</v>
      </c>
      <c r="T122" s="21" t="s">
        <v>6178</v>
      </c>
    </row>
    <row r="123" spans="1:20" x14ac:dyDescent="0.15">
      <c r="A123" s="3">
        <v>1614</v>
      </c>
      <c r="B123" s="16" t="s">
        <v>4881</v>
      </c>
      <c r="C123" s="17" t="s">
        <v>5677</v>
      </c>
      <c r="D123" s="17" t="s">
        <v>1552</v>
      </c>
      <c r="E123" s="18" t="s">
        <v>1431</v>
      </c>
      <c r="F123" s="19">
        <v>23</v>
      </c>
      <c r="G123" s="26" t="s">
        <v>5929</v>
      </c>
      <c r="H123" s="20" t="s">
        <v>5930</v>
      </c>
      <c r="I123" s="18" t="s">
        <v>1453</v>
      </c>
      <c r="J123" s="17"/>
      <c r="K123" s="17"/>
      <c r="L123" s="17"/>
      <c r="M123" s="17" t="s">
        <v>6362</v>
      </c>
      <c r="N123" s="17"/>
      <c r="O123" s="17"/>
      <c r="P123" s="23"/>
      <c r="Q123" s="17"/>
      <c r="R123" s="17"/>
      <c r="S123" s="1" t="str">
        <f t="shared" si="1"/>
        <v>各クリーチャーにそれぞれ10点のダメージを与え、すべてのジェムを破壊する。</v>
      </c>
      <c r="T123" s="21" t="s">
        <v>6179</v>
      </c>
    </row>
    <row r="124" spans="1:20" x14ac:dyDescent="0.15">
      <c r="A124" s="3">
        <v>1615</v>
      </c>
      <c r="B124" s="16" t="s">
        <v>4881</v>
      </c>
      <c r="C124" s="17" t="s">
        <v>5677</v>
      </c>
      <c r="D124" s="17" t="s">
        <v>1552</v>
      </c>
      <c r="E124" s="18" t="s">
        <v>1431</v>
      </c>
      <c r="F124" s="27">
        <v>9</v>
      </c>
      <c r="G124" s="26" t="s">
        <v>5931</v>
      </c>
      <c r="H124" s="20" t="s">
        <v>5932</v>
      </c>
      <c r="I124" s="18" t="s">
        <v>288</v>
      </c>
      <c r="J124" s="17"/>
      <c r="K124" s="17"/>
      <c r="L124" s="17"/>
      <c r="M124" s="17" t="s">
        <v>6349</v>
      </c>
      <c r="N124" s="17" t="s">
        <v>6350</v>
      </c>
      <c r="O124" s="17"/>
      <c r="P124" s="23"/>
      <c r="Q124" s="17"/>
      <c r="R124" s="17"/>
      <c r="S124" s="1" t="str">
        <f t="shared" si="1"/>
        <v>あなたのターン開始時に、カードを1枚引く。あなたのターン終了時にあなたの最後のカードを捨てる。&amp;br;対戦相手のターン開始時に、直前のターンにあなたがカードを3枚以上唱えていた場合、このサポートを変身させる。</v>
      </c>
      <c r="T124" s="21" t="s">
        <v>6506</v>
      </c>
    </row>
    <row r="125" spans="1:20" x14ac:dyDescent="0.15">
      <c r="A125" s="3">
        <v>1616</v>
      </c>
      <c r="B125" s="16" t="s">
        <v>4881</v>
      </c>
      <c r="C125" s="17" t="s">
        <v>5677</v>
      </c>
      <c r="D125" s="17" t="s">
        <v>1552</v>
      </c>
      <c r="E125" s="18" t="s">
        <v>1431</v>
      </c>
      <c r="F125" s="22">
        <v>0</v>
      </c>
      <c r="G125" s="26" t="s">
        <v>6236</v>
      </c>
      <c r="H125" s="20" t="s">
        <v>6237</v>
      </c>
      <c r="I125" s="18" t="s">
        <v>288</v>
      </c>
      <c r="J125" s="17"/>
      <c r="K125" s="17"/>
      <c r="L125" s="17"/>
      <c r="M125" s="17" t="s">
        <v>6348</v>
      </c>
      <c r="N125" s="17" t="s">
        <v>6351</v>
      </c>
      <c r="O125" s="17"/>
      <c r="P125" s="23"/>
      <c r="Q125" s="17"/>
      <c r="R125" s="17"/>
      <c r="S125" s="1" t="str">
        <f t="shared" si="1"/>
        <v>あなたのターン開始時に、ジェム2個を赤に変換する。&amp;br;赤ジェム2個を起動する；対戦相手がコントロールする最後のクリーチャーが3点のダメージを与える。</v>
      </c>
      <c r="T125" s="21" t="s">
        <v>6253</v>
      </c>
    </row>
    <row r="126" spans="1:20" x14ac:dyDescent="0.15">
      <c r="A126" s="3">
        <v>1617</v>
      </c>
      <c r="B126" s="16" t="s">
        <v>4881</v>
      </c>
      <c r="C126" s="17" t="s">
        <v>5677</v>
      </c>
      <c r="D126" s="17" t="s">
        <v>1518</v>
      </c>
      <c r="E126" s="18" t="s">
        <v>1744</v>
      </c>
      <c r="F126" s="22">
        <v>17</v>
      </c>
      <c r="G126" s="26" t="s">
        <v>5933</v>
      </c>
      <c r="H126" s="20" t="s">
        <v>5934</v>
      </c>
      <c r="I126" s="18" t="s">
        <v>339</v>
      </c>
      <c r="J126" s="17" t="s">
        <v>5698</v>
      </c>
      <c r="K126" s="17"/>
      <c r="L126" s="17"/>
      <c r="M126" s="17" t="s">
        <v>6069</v>
      </c>
      <c r="N126" s="17"/>
      <c r="O126" s="17"/>
      <c r="P126" s="23"/>
      <c r="Q126" s="17">
        <v>6</v>
      </c>
      <c r="R126" s="17">
        <v>6</v>
      </c>
      <c r="S126" s="1" t="str">
        <f t="shared" si="1"/>
        <v xml:space="preserve">トランプル  </v>
      </c>
      <c r="T126" s="21" t="s">
        <v>4756</v>
      </c>
    </row>
    <row r="127" spans="1:20" x14ac:dyDescent="0.15">
      <c r="A127" s="3">
        <v>1618</v>
      </c>
      <c r="B127" s="16" t="s">
        <v>4881</v>
      </c>
      <c r="C127" s="17" t="s">
        <v>5677</v>
      </c>
      <c r="D127" s="17" t="s">
        <v>1518</v>
      </c>
      <c r="E127" s="18" t="s">
        <v>1744</v>
      </c>
      <c r="F127" s="22">
        <v>8</v>
      </c>
      <c r="G127" s="26" t="s">
        <v>5935</v>
      </c>
      <c r="H127" s="20" t="s">
        <v>5936</v>
      </c>
      <c r="I127" s="18" t="s">
        <v>339</v>
      </c>
      <c r="J127" s="17" t="s">
        <v>1464</v>
      </c>
      <c r="K127" s="17" t="s">
        <v>5772</v>
      </c>
      <c r="L127" s="17"/>
      <c r="M127" s="17" t="s">
        <v>6551</v>
      </c>
      <c r="N127" s="17"/>
      <c r="O127" s="17"/>
      <c r="P127" s="23"/>
      <c r="Q127" s="17">
        <v>2</v>
      </c>
      <c r="R127" s="17">
        <v>2</v>
      </c>
      <c r="S127" s="1" t="str">
        <f t="shared" si="1"/>
        <v>このクリーチャーが攻撃するたび、対戦相手がディフェンダーを持つクリーチャーをコントロールしている場合、ターン終了時までこのクリーチャーは+1/+1の修正を受ける。</v>
      </c>
      <c r="T127" s="21" t="s">
        <v>6180</v>
      </c>
    </row>
    <row r="128" spans="1:20" x14ac:dyDescent="0.15">
      <c r="A128" s="3">
        <v>1619</v>
      </c>
      <c r="B128" s="16" t="s">
        <v>4881</v>
      </c>
      <c r="C128" s="17" t="s">
        <v>5677</v>
      </c>
      <c r="D128" s="17" t="s">
        <v>1518</v>
      </c>
      <c r="E128" s="18" t="s">
        <v>1744</v>
      </c>
      <c r="F128" s="22">
        <v>13</v>
      </c>
      <c r="G128" s="26" t="s">
        <v>5937</v>
      </c>
      <c r="H128" s="20" t="s">
        <v>5938</v>
      </c>
      <c r="I128" s="18" t="s">
        <v>339</v>
      </c>
      <c r="J128" s="17" t="s">
        <v>5686</v>
      </c>
      <c r="K128" s="17" t="s">
        <v>1529</v>
      </c>
      <c r="L128" s="17"/>
      <c r="M128" s="17" t="s">
        <v>6062</v>
      </c>
      <c r="N128" s="17" t="s">
        <v>6549</v>
      </c>
      <c r="O128" s="17"/>
      <c r="P128" s="23"/>
      <c r="Q128" s="17">
        <v>1</v>
      </c>
      <c r="R128" s="17">
        <v>3</v>
      </c>
      <c r="S128" s="1" t="str">
        <f t="shared" si="1"/>
        <v>ディフェンダー  &amp;br;このクリーチャーが戦場に出たとき、これは探検1を行う。</v>
      </c>
      <c r="T128" s="21" t="s">
        <v>6105</v>
      </c>
    </row>
    <row r="129" spans="1:20" x14ac:dyDescent="0.15">
      <c r="A129" s="3">
        <v>1620</v>
      </c>
      <c r="B129" s="16" t="s">
        <v>4881</v>
      </c>
      <c r="C129" s="17" t="s">
        <v>5677</v>
      </c>
      <c r="D129" s="17" t="s">
        <v>1518</v>
      </c>
      <c r="E129" s="18" t="s">
        <v>1744</v>
      </c>
      <c r="F129" s="22">
        <v>13</v>
      </c>
      <c r="G129" s="26" t="s">
        <v>5939</v>
      </c>
      <c r="H129" s="20" t="s">
        <v>5940</v>
      </c>
      <c r="I129" s="18" t="s">
        <v>339</v>
      </c>
      <c r="J129" s="17" t="s">
        <v>1464</v>
      </c>
      <c r="K129" s="17" t="s">
        <v>1867</v>
      </c>
      <c r="L129" s="17"/>
      <c r="M129" s="17" t="s">
        <v>6070</v>
      </c>
      <c r="N129" s="17" t="s">
        <v>6558</v>
      </c>
      <c r="O129" s="17"/>
      <c r="P129" s="23"/>
      <c r="Q129" s="17">
        <v>2</v>
      </c>
      <c r="R129" s="17">
        <v>2</v>
      </c>
      <c r="S129" s="1" t="str">
        <f t="shared" si="1"/>
        <v>呪禁  &amp;br;このクリーチャーが戦場に出たとき、あなたがコントロールするマーフォーク1体を対象とする。それは+1/+1の修正を受ける。</v>
      </c>
      <c r="T129" s="21" t="s">
        <v>6181</v>
      </c>
    </row>
    <row r="130" spans="1:20" x14ac:dyDescent="0.15">
      <c r="A130" s="3">
        <v>1621</v>
      </c>
      <c r="B130" s="16" t="s">
        <v>4881</v>
      </c>
      <c r="C130" s="17" t="s">
        <v>5677</v>
      </c>
      <c r="D130" s="17" t="s">
        <v>1518</v>
      </c>
      <c r="E130" s="18" t="s">
        <v>1744</v>
      </c>
      <c r="F130" s="22">
        <v>5</v>
      </c>
      <c r="G130" s="26" t="s">
        <v>5941</v>
      </c>
      <c r="H130" s="20" t="s">
        <v>5942</v>
      </c>
      <c r="I130" s="18" t="s">
        <v>339</v>
      </c>
      <c r="J130" s="17" t="s">
        <v>1464</v>
      </c>
      <c r="K130" s="17" t="s">
        <v>5772</v>
      </c>
      <c r="L130" s="17"/>
      <c r="M130" s="17" t="s">
        <v>6559</v>
      </c>
      <c r="N130" s="17"/>
      <c r="O130" s="17"/>
      <c r="P130" s="23"/>
      <c r="Q130" s="17">
        <v>1</v>
      </c>
      <c r="R130" s="17">
        <v>1</v>
      </c>
      <c r="S130" s="1" t="str">
        <f t="shared" ref="S130:S192" si="2">IF(M130="","",M130&amp;IF(N130="","","&amp;br;"&amp;N130)&amp;IF(O130="","","&amp;br;"&amp;O130))</f>
        <v>ジェム1個を起動する：このクリーチャーは+1/+1の修正を受ける。</v>
      </c>
      <c r="T130" s="21" t="s">
        <v>6182</v>
      </c>
    </row>
    <row r="131" spans="1:20" x14ac:dyDescent="0.15">
      <c r="A131" s="3">
        <v>1622</v>
      </c>
      <c r="B131" s="16" t="s">
        <v>4881</v>
      </c>
      <c r="C131" s="17" t="s">
        <v>5677</v>
      </c>
      <c r="D131" s="17" t="s">
        <v>1518</v>
      </c>
      <c r="E131" s="18" t="s">
        <v>1744</v>
      </c>
      <c r="F131" s="22">
        <v>9</v>
      </c>
      <c r="G131" s="26" t="s">
        <v>5943</v>
      </c>
      <c r="H131" s="20" t="s">
        <v>5944</v>
      </c>
      <c r="I131" s="18" t="s">
        <v>339</v>
      </c>
      <c r="J131" s="17" t="s">
        <v>5698</v>
      </c>
      <c r="K131" s="17"/>
      <c r="L131" s="17"/>
      <c r="M131" s="17" t="s">
        <v>6565</v>
      </c>
      <c r="N131" s="17"/>
      <c r="O131" s="17"/>
      <c r="P131" s="23"/>
      <c r="Q131" s="17">
        <v>3</v>
      </c>
      <c r="R131" s="17">
        <v>2</v>
      </c>
      <c r="S131" s="1" t="str">
        <f t="shared" si="2"/>
        <v>激昂：あなたは2点のライフを得る。</v>
      </c>
      <c r="T131" s="21" t="s">
        <v>6183</v>
      </c>
    </row>
    <row r="132" spans="1:20" x14ac:dyDescent="0.15">
      <c r="A132" s="3">
        <v>1623</v>
      </c>
      <c r="B132" s="16" t="s">
        <v>4881</v>
      </c>
      <c r="C132" s="17" t="s">
        <v>5677</v>
      </c>
      <c r="D132" s="17" t="s">
        <v>1518</v>
      </c>
      <c r="E132" s="18" t="s">
        <v>1744</v>
      </c>
      <c r="F132" s="22">
        <v>4</v>
      </c>
      <c r="G132" s="26" t="s">
        <v>5945</v>
      </c>
      <c r="H132" s="20" t="s">
        <v>5946</v>
      </c>
      <c r="I132" s="18" t="s">
        <v>1453</v>
      </c>
      <c r="J132" s="17"/>
      <c r="K132" s="17"/>
      <c r="L132" s="17"/>
      <c r="M132" s="17" t="s">
        <v>6519</v>
      </c>
      <c r="N132" s="17"/>
      <c r="O132" s="17"/>
      <c r="P132" s="23"/>
      <c r="Q132" s="17"/>
      <c r="R132" s="17"/>
      <c r="S132" s="1" t="str">
        <f t="shared" si="2"/>
        <v>クリーチャー1体を対象とする。ターン終了時まで、それは+3/+3の修正を受けるとともにトランプを得る。</v>
      </c>
      <c r="T132" s="21" t="s">
        <v>6184</v>
      </c>
    </row>
    <row r="133" spans="1:20" x14ac:dyDescent="0.15">
      <c r="A133" s="3">
        <v>1624</v>
      </c>
      <c r="B133" s="16" t="s">
        <v>4881</v>
      </c>
      <c r="C133" s="17" t="s">
        <v>5677</v>
      </c>
      <c r="D133" s="17" t="s">
        <v>1518</v>
      </c>
      <c r="E133" s="18" t="s">
        <v>1744</v>
      </c>
      <c r="F133" s="22">
        <v>6</v>
      </c>
      <c r="G133" s="26" t="s">
        <v>5947</v>
      </c>
      <c r="H133" s="20" t="s">
        <v>5948</v>
      </c>
      <c r="I133" s="18" t="s">
        <v>1453</v>
      </c>
      <c r="J133" s="17"/>
      <c r="K133" s="17"/>
      <c r="L133" s="17"/>
      <c r="M133" s="17" t="s">
        <v>6523</v>
      </c>
      <c r="N133" s="17"/>
      <c r="O133" s="17"/>
      <c r="P133" s="23"/>
      <c r="Q133" s="17"/>
      <c r="R133" s="17"/>
      <c r="S133" s="1" t="str">
        <f t="shared" si="2"/>
        <v>クリーチャー1体を対象とする。ターン終了時まで、それは+5/+5の修正を受けるとともにバーサーカーを得る。</v>
      </c>
      <c r="T133" s="21" t="s">
        <v>6185</v>
      </c>
    </row>
    <row r="134" spans="1:20" x14ac:dyDescent="0.15">
      <c r="A134" s="3">
        <v>1625</v>
      </c>
      <c r="B134" s="16" t="s">
        <v>4881</v>
      </c>
      <c r="C134" s="17" t="s">
        <v>5677</v>
      </c>
      <c r="D134" s="17" t="s">
        <v>1518</v>
      </c>
      <c r="E134" s="18" t="s">
        <v>1744</v>
      </c>
      <c r="F134" s="22">
        <v>10</v>
      </c>
      <c r="G134" s="26" t="s">
        <v>5949</v>
      </c>
      <c r="H134" s="20" t="s">
        <v>5950</v>
      </c>
      <c r="I134" s="18" t="s">
        <v>1453</v>
      </c>
      <c r="J134" s="17"/>
      <c r="K134" s="17"/>
      <c r="L134" s="17"/>
      <c r="M134" s="17" t="s">
        <v>6543</v>
      </c>
      <c r="N134" s="17"/>
      <c r="O134" s="17"/>
      <c r="P134" s="23"/>
      <c r="Q134" s="17"/>
      <c r="R134" s="17"/>
      <c r="S134" s="1" t="str">
        <f t="shared" si="2"/>
        <v>対戦相手がコントロールするサポートを1個破壊する。カードを1枚引く。</v>
      </c>
      <c r="T134" s="21" t="s">
        <v>6186</v>
      </c>
    </row>
    <row r="135" spans="1:20" x14ac:dyDescent="0.15">
      <c r="A135" s="3">
        <v>1626</v>
      </c>
      <c r="B135" s="16" t="s">
        <v>4881</v>
      </c>
      <c r="C135" s="17" t="s">
        <v>5677</v>
      </c>
      <c r="D135" s="17" t="s">
        <v>1518</v>
      </c>
      <c r="E135" s="18" t="s">
        <v>1744</v>
      </c>
      <c r="F135" s="22">
        <v>13</v>
      </c>
      <c r="G135" s="26" t="s">
        <v>5951</v>
      </c>
      <c r="H135" s="20" t="s">
        <v>5952</v>
      </c>
      <c r="I135" s="18" t="s">
        <v>288</v>
      </c>
      <c r="J135" s="17" t="s">
        <v>4968</v>
      </c>
      <c r="K135" s="17"/>
      <c r="L135" s="17"/>
      <c r="M135" s="17" t="s">
        <v>6531</v>
      </c>
      <c r="N135" s="17" t="s">
        <v>6532</v>
      </c>
      <c r="O135" s="17"/>
      <c r="P135" s="23"/>
      <c r="Q135" s="17"/>
      <c r="R135" s="17"/>
      <c r="S135" s="1" t="str">
        <f t="shared" si="2"/>
        <v>このサポートがボード上にある間、あなたがコントロールする最初のクリーチャーは+1/+1の修正を受ける。&amp;br;あなたのターン開始時に、ジェム2個をあなたのプレインズウォーカーの色に変換する。</v>
      </c>
      <c r="T135" s="21" t="s">
        <v>6187</v>
      </c>
    </row>
    <row r="136" spans="1:20" x14ac:dyDescent="0.15">
      <c r="A136" s="3">
        <v>1627</v>
      </c>
      <c r="B136" s="16" t="s">
        <v>4881</v>
      </c>
      <c r="C136" s="17" t="s">
        <v>5677</v>
      </c>
      <c r="D136" s="17" t="s">
        <v>1518</v>
      </c>
      <c r="E136" s="18" t="s">
        <v>1451</v>
      </c>
      <c r="F136" s="27">
        <v>11</v>
      </c>
      <c r="G136" s="26" t="s">
        <v>5953</v>
      </c>
      <c r="H136" s="20" t="s">
        <v>5954</v>
      </c>
      <c r="I136" s="18" t="s">
        <v>339</v>
      </c>
      <c r="J136" s="17" t="s">
        <v>5686</v>
      </c>
      <c r="K136" s="17" t="s">
        <v>1529</v>
      </c>
      <c r="L136" s="17"/>
      <c r="M136" s="17" t="s">
        <v>6446</v>
      </c>
      <c r="N136" s="17" t="s">
        <v>6447</v>
      </c>
      <c r="O136" s="17"/>
      <c r="P136" s="23"/>
      <c r="Q136" s="17">
        <v>3</v>
      </c>
      <c r="R136" s="17">
        <v>3</v>
      </c>
      <c r="S136" s="1" t="str">
        <f t="shared" si="2"/>
        <v>あなたが恐竜をコントロールしている間、このクリーチャーは+2/+2の修正を受ける。&amp;br;ジェム1個を起動する：ジェム3個を緑に変換する。</v>
      </c>
      <c r="T136" s="21" t="s">
        <v>6188</v>
      </c>
    </row>
    <row r="137" spans="1:20" x14ac:dyDescent="0.15">
      <c r="A137" s="3">
        <v>1628</v>
      </c>
      <c r="B137" s="16" t="s">
        <v>4881</v>
      </c>
      <c r="C137" s="17" t="s">
        <v>5677</v>
      </c>
      <c r="D137" s="17" t="s">
        <v>1518</v>
      </c>
      <c r="E137" s="18" t="s">
        <v>1451</v>
      </c>
      <c r="F137" s="22">
        <v>12</v>
      </c>
      <c r="G137" s="26" t="s">
        <v>5955</v>
      </c>
      <c r="H137" s="20" t="s">
        <v>5956</v>
      </c>
      <c r="I137" s="18" t="s">
        <v>339</v>
      </c>
      <c r="J137" s="17" t="s">
        <v>5686</v>
      </c>
      <c r="K137" s="17" t="s">
        <v>1867</v>
      </c>
      <c r="L137" s="17"/>
      <c r="M137" s="17" t="s">
        <v>6460</v>
      </c>
      <c r="N137" s="17"/>
      <c r="O137" s="17"/>
      <c r="P137" s="23"/>
      <c r="Q137" s="17">
        <v>2</v>
      </c>
      <c r="R137" s="17">
        <v>2</v>
      </c>
      <c r="S137" s="1" t="str">
        <f t="shared" si="2"/>
        <v>このクリーチャーが死亡したとき、緑ジェムが8個以上ある場合、ターン終了時まで、あなたの最初のクリーチャーは+5/+5の修正を受けるとともにトランプルを得る。</v>
      </c>
      <c r="T137" s="21" t="s">
        <v>6189</v>
      </c>
    </row>
    <row r="138" spans="1:20" x14ac:dyDescent="0.15">
      <c r="A138" s="3">
        <v>1629</v>
      </c>
      <c r="B138" s="16" t="s">
        <v>4881</v>
      </c>
      <c r="C138" s="17" t="s">
        <v>5677</v>
      </c>
      <c r="D138" s="17" t="s">
        <v>1518</v>
      </c>
      <c r="E138" s="18" t="s">
        <v>1451</v>
      </c>
      <c r="F138" s="22">
        <v>9</v>
      </c>
      <c r="G138" s="26" t="s">
        <v>5957</v>
      </c>
      <c r="H138" s="20" t="s">
        <v>5958</v>
      </c>
      <c r="I138" s="18" t="s">
        <v>339</v>
      </c>
      <c r="J138" s="17" t="s">
        <v>1464</v>
      </c>
      <c r="K138" s="17" t="s">
        <v>1867</v>
      </c>
      <c r="L138" s="17"/>
      <c r="M138" s="17" t="s">
        <v>6464</v>
      </c>
      <c r="N138" s="17"/>
      <c r="O138" s="17"/>
      <c r="P138" s="23"/>
      <c r="Q138" s="17">
        <v>2</v>
      </c>
      <c r="R138" s="17">
        <v>2</v>
      </c>
      <c r="S138" s="1" t="str">
        <f t="shared" si="2"/>
        <v>あなたが他のマーフォークか青のサポートをコントロールしている間、このクリーチャーは+1/+1の修正を受ける。</v>
      </c>
      <c r="T138" s="21" t="s">
        <v>6190</v>
      </c>
    </row>
    <row r="139" spans="1:20" x14ac:dyDescent="0.15">
      <c r="A139" s="3">
        <v>1630</v>
      </c>
      <c r="B139" s="16" t="s">
        <v>4881</v>
      </c>
      <c r="C139" s="17" t="s">
        <v>5677</v>
      </c>
      <c r="D139" s="17" t="s">
        <v>1518</v>
      </c>
      <c r="E139" s="18" t="s">
        <v>1451</v>
      </c>
      <c r="F139" s="22">
        <v>9</v>
      </c>
      <c r="G139" s="26" t="s">
        <v>5959</v>
      </c>
      <c r="H139" s="20" t="s">
        <v>5960</v>
      </c>
      <c r="I139" s="18" t="s">
        <v>339</v>
      </c>
      <c r="J139" s="17" t="s">
        <v>1464</v>
      </c>
      <c r="K139" s="17" t="s">
        <v>1929</v>
      </c>
      <c r="L139" s="17"/>
      <c r="M139" s="17" t="s">
        <v>6469</v>
      </c>
      <c r="N139" s="17"/>
      <c r="O139" s="17"/>
      <c r="P139" s="23"/>
      <c r="Q139" s="17">
        <v>3</v>
      </c>
      <c r="R139" s="17">
        <v>2</v>
      </c>
      <c r="S139" s="1" t="str">
        <f t="shared" si="2"/>
        <v>このクリーチャーが戦場に出たとき、これは探検1を行う。</v>
      </c>
      <c r="T139" s="21" t="s">
        <v>6105</v>
      </c>
    </row>
    <row r="140" spans="1:20" x14ac:dyDescent="0.15">
      <c r="A140" s="3">
        <v>1631</v>
      </c>
      <c r="B140" s="16" t="s">
        <v>4881</v>
      </c>
      <c r="C140" s="17" t="s">
        <v>5677</v>
      </c>
      <c r="D140" s="17" t="s">
        <v>1518</v>
      </c>
      <c r="E140" s="18" t="s">
        <v>1451</v>
      </c>
      <c r="F140" s="22">
        <v>10</v>
      </c>
      <c r="G140" s="26" t="s">
        <v>5961</v>
      </c>
      <c r="H140" s="20" t="s">
        <v>5962</v>
      </c>
      <c r="I140" s="18" t="s">
        <v>339</v>
      </c>
      <c r="J140" s="17" t="s">
        <v>5698</v>
      </c>
      <c r="K140" s="17"/>
      <c r="L140" s="17"/>
      <c r="M140" s="17" t="s">
        <v>6478</v>
      </c>
      <c r="N140" s="17"/>
      <c r="O140" s="17"/>
      <c r="P140" s="23"/>
      <c r="Q140" s="17">
        <v>3</v>
      </c>
      <c r="R140" s="17">
        <v>4</v>
      </c>
      <c r="S140" s="1" t="str">
        <f t="shared" si="2"/>
        <v>激昂：ジェム2個をあなたのプレインズウォーカーの色に変換する。</v>
      </c>
      <c r="T140" s="21" t="s">
        <v>6191</v>
      </c>
    </row>
    <row r="141" spans="1:20" x14ac:dyDescent="0.15">
      <c r="A141" s="3">
        <v>1632</v>
      </c>
      <c r="B141" s="16" t="s">
        <v>4881</v>
      </c>
      <c r="C141" s="17" t="s">
        <v>5677</v>
      </c>
      <c r="D141" s="17" t="s">
        <v>1518</v>
      </c>
      <c r="E141" s="18" t="s">
        <v>1451</v>
      </c>
      <c r="F141" s="22">
        <v>23</v>
      </c>
      <c r="G141" s="26" t="s">
        <v>5963</v>
      </c>
      <c r="H141" s="20" t="s">
        <v>5964</v>
      </c>
      <c r="I141" s="18" t="s">
        <v>339</v>
      </c>
      <c r="J141" s="17" t="s">
        <v>5698</v>
      </c>
      <c r="K141" s="17"/>
      <c r="L141" s="17"/>
      <c r="M141" s="17" t="s">
        <v>6508</v>
      </c>
      <c r="N141" s="17" t="s">
        <v>6509</v>
      </c>
      <c r="O141" s="17"/>
      <c r="P141" s="23"/>
      <c r="Q141" s="17">
        <v>5</v>
      </c>
      <c r="R141" s="17">
        <v>5</v>
      </c>
      <c r="S141" s="1" t="str">
        <f t="shared" si="2"/>
        <v>あなたがコントロールする他の恐竜は+1/+1の修正を受ける。&amp;br;ジェム1個を起動する：トランプルを持つ3/3の緑の恐竜・クリーチャー・トークンを1体生成する。</v>
      </c>
      <c r="T141" s="21" t="s">
        <v>6192</v>
      </c>
    </row>
    <row r="142" spans="1:20" x14ac:dyDescent="0.15">
      <c r="A142" s="3">
        <v>1633</v>
      </c>
      <c r="B142" s="16" t="s">
        <v>4881</v>
      </c>
      <c r="C142" s="17" t="s">
        <v>5677</v>
      </c>
      <c r="D142" s="17" t="s">
        <v>1518</v>
      </c>
      <c r="E142" s="18" t="s">
        <v>1451</v>
      </c>
      <c r="F142" s="22">
        <v>13</v>
      </c>
      <c r="G142" s="26" t="s">
        <v>5965</v>
      </c>
      <c r="H142" s="20" t="s">
        <v>5966</v>
      </c>
      <c r="I142" s="18" t="s">
        <v>339</v>
      </c>
      <c r="J142" s="17" t="s">
        <v>1464</v>
      </c>
      <c r="K142" s="17" t="s">
        <v>1867</v>
      </c>
      <c r="L142" s="17"/>
      <c r="M142" s="17" t="s">
        <v>6514</v>
      </c>
      <c r="N142" s="17"/>
      <c r="O142" s="17"/>
      <c r="P142" s="23"/>
      <c r="Q142" s="17">
        <v>2</v>
      </c>
      <c r="R142" s="17">
        <v>4</v>
      </c>
      <c r="S142" s="1" t="str">
        <f t="shared" si="2"/>
        <v>このクリーチャーが戦場に出たとき、戦場に出ているあなたがコントロールしている最初と2番目のマーフォークは+1/+1の修正を受ける。</v>
      </c>
      <c r="T142" s="21" t="s">
        <v>6193</v>
      </c>
    </row>
    <row r="143" spans="1:20" x14ac:dyDescent="0.15">
      <c r="A143" s="3">
        <v>1634</v>
      </c>
      <c r="B143" s="16" t="s">
        <v>4881</v>
      </c>
      <c r="C143" s="17" t="s">
        <v>5677</v>
      </c>
      <c r="D143" s="17" t="s">
        <v>1518</v>
      </c>
      <c r="E143" s="18" t="s">
        <v>1451</v>
      </c>
      <c r="F143" s="22">
        <v>5</v>
      </c>
      <c r="G143" s="26" t="s">
        <v>5967</v>
      </c>
      <c r="H143" s="20" t="s">
        <v>5968</v>
      </c>
      <c r="I143" s="18" t="s">
        <v>1453</v>
      </c>
      <c r="J143" s="17"/>
      <c r="K143" s="17"/>
      <c r="L143" s="17"/>
      <c r="M143" s="17" t="s">
        <v>6481</v>
      </c>
      <c r="N143" s="17"/>
      <c r="O143" s="17"/>
      <c r="P143" s="23"/>
      <c r="Q143" s="17"/>
      <c r="R143" s="17"/>
      <c r="S143" s="1" t="str">
        <f t="shared" si="2"/>
        <v>クリーチャー1体を対象とする。それは+1/+1の修正を受ける。あなたがコントロールする最初のマーフォークは+1/+1の修正を受ける。</v>
      </c>
      <c r="T143" s="21" t="s">
        <v>6194</v>
      </c>
    </row>
    <row r="144" spans="1:20" x14ac:dyDescent="0.15">
      <c r="A144" s="3">
        <v>1635</v>
      </c>
      <c r="B144" s="16" t="s">
        <v>4881</v>
      </c>
      <c r="C144" s="17" t="s">
        <v>5677</v>
      </c>
      <c r="D144" s="17" t="s">
        <v>1518</v>
      </c>
      <c r="E144" s="18" t="s">
        <v>1451</v>
      </c>
      <c r="F144" s="27">
        <v>9</v>
      </c>
      <c r="G144" s="26" t="s">
        <v>5969</v>
      </c>
      <c r="H144" s="20" t="s">
        <v>5970</v>
      </c>
      <c r="I144" s="18" t="s">
        <v>1453</v>
      </c>
      <c r="J144" s="17"/>
      <c r="K144" s="17"/>
      <c r="L144" s="17"/>
      <c r="M144" s="17" t="s">
        <v>6485</v>
      </c>
      <c r="N144" s="17" t="s">
        <v>6486</v>
      </c>
      <c r="O144" s="17"/>
      <c r="P144" s="23"/>
      <c r="Q144" s="17"/>
      <c r="R144" s="17"/>
      <c r="S144" s="1" t="str">
        <f t="shared" si="2"/>
        <v>あなたが恐竜をコントロールしている間、この呪文のマナ・コストは2少なくなる。&amp;br;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v>
      </c>
      <c r="T144" s="21" t="s">
        <v>6195</v>
      </c>
    </row>
    <row r="145" spans="1:20" x14ac:dyDescent="0.15">
      <c r="A145" s="3">
        <v>1636</v>
      </c>
      <c r="B145" s="16" t="s">
        <v>4881</v>
      </c>
      <c r="C145" s="17" t="s">
        <v>5677</v>
      </c>
      <c r="D145" s="17" t="s">
        <v>1518</v>
      </c>
      <c r="E145" s="18" t="s">
        <v>1451</v>
      </c>
      <c r="F145" s="27">
        <v>7</v>
      </c>
      <c r="G145" s="26" t="s">
        <v>5971</v>
      </c>
      <c r="H145" s="20" t="s">
        <v>5972</v>
      </c>
      <c r="I145" s="18" t="s">
        <v>288</v>
      </c>
      <c r="J145" s="17"/>
      <c r="K145" s="17"/>
      <c r="L145" s="17"/>
      <c r="M145" s="17" t="s">
        <v>6489</v>
      </c>
      <c r="N145" s="17"/>
      <c r="O145" s="17"/>
      <c r="P145" s="23"/>
      <c r="Q145" s="17"/>
      <c r="R145" s="17"/>
      <c r="S145" s="1" t="str">
        <f t="shared" si="2"/>
        <v>このサポートが戦場に出ている間、あなたがコントロールするクリーチャーは「対戦相手がこのクリーチャーに呪文を唱えるたび、カードを1枚引き、形成師の聖域は1シールドを失う」を持つ。</v>
      </c>
      <c r="T145" s="21" t="s">
        <v>6496</v>
      </c>
    </row>
    <row r="146" spans="1:20" x14ac:dyDescent="0.15">
      <c r="A146" s="3">
        <v>1637</v>
      </c>
      <c r="B146" s="16" t="s">
        <v>4881</v>
      </c>
      <c r="C146" s="17" t="s">
        <v>5677</v>
      </c>
      <c r="D146" s="17" t="s">
        <v>1518</v>
      </c>
      <c r="E146" s="18" t="s">
        <v>1441</v>
      </c>
      <c r="F146" s="19">
        <v>14</v>
      </c>
      <c r="G146" s="26" t="s">
        <v>5973</v>
      </c>
      <c r="H146" s="20" t="s">
        <v>5974</v>
      </c>
      <c r="I146" s="18" t="s">
        <v>339</v>
      </c>
      <c r="J146" s="17" t="s">
        <v>5698</v>
      </c>
      <c r="K146" s="17"/>
      <c r="L146" s="17"/>
      <c r="M146" s="17" t="s">
        <v>6403</v>
      </c>
      <c r="N146" s="17"/>
      <c r="O146" s="17"/>
      <c r="P146" s="23"/>
      <c r="Q146" s="17">
        <v>5</v>
      </c>
      <c r="R146" s="17">
        <v>4</v>
      </c>
      <c r="S146" s="1" t="str">
        <f t="shared" si="2"/>
        <v>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v>
      </c>
      <c r="T146" s="21" t="s">
        <v>6501</v>
      </c>
    </row>
    <row r="147" spans="1:20" x14ac:dyDescent="0.15">
      <c r="A147" s="3">
        <v>1638</v>
      </c>
      <c r="B147" s="16" t="s">
        <v>4881</v>
      </c>
      <c r="C147" s="17" t="s">
        <v>5677</v>
      </c>
      <c r="D147" s="17" t="s">
        <v>1518</v>
      </c>
      <c r="E147" s="18" t="s">
        <v>1441</v>
      </c>
      <c r="F147" s="19">
        <v>10</v>
      </c>
      <c r="G147" s="26" t="s">
        <v>5975</v>
      </c>
      <c r="H147" s="20" t="s">
        <v>5976</v>
      </c>
      <c r="I147" s="18" t="s">
        <v>339</v>
      </c>
      <c r="J147" s="17" t="s">
        <v>1464</v>
      </c>
      <c r="K147" s="17" t="s">
        <v>1867</v>
      </c>
      <c r="L147" s="17"/>
      <c r="M147" s="17" t="s">
        <v>6404</v>
      </c>
      <c r="N147" s="17"/>
      <c r="O147" s="17"/>
      <c r="P147" s="23"/>
      <c r="Q147" s="17">
        <v>2</v>
      </c>
      <c r="R147" s="17">
        <v>2</v>
      </c>
      <c r="S147" s="1" t="str">
        <f t="shared" si="2"/>
        <v>あなたが呪文かサポートを唱えたとき、このクリーチャーは+1/+1の修正を受ける。</v>
      </c>
      <c r="T147" s="21" t="s">
        <v>6196</v>
      </c>
    </row>
    <row r="148" spans="1:20" x14ac:dyDescent="0.15">
      <c r="A148" s="3">
        <v>1639</v>
      </c>
      <c r="B148" s="16" t="s">
        <v>4881</v>
      </c>
      <c r="C148" s="17" t="s">
        <v>5677</v>
      </c>
      <c r="D148" s="17" t="s">
        <v>1518</v>
      </c>
      <c r="E148" s="18" t="s">
        <v>1441</v>
      </c>
      <c r="F148" s="19">
        <v>14</v>
      </c>
      <c r="G148" s="26" t="s">
        <v>5977</v>
      </c>
      <c r="H148" s="20" t="s">
        <v>5978</v>
      </c>
      <c r="I148" s="18" t="s">
        <v>339</v>
      </c>
      <c r="J148" s="17" t="s">
        <v>5686</v>
      </c>
      <c r="K148" s="17" t="s">
        <v>1929</v>
      </c>
      <c r="L148" s="17"/>
      <c r="M148" s="17" t="s">
        <v>6405</v>
      </c>
      <c r="N148" s="17"/>
      <c r="O148" s="17"/>
      <c r="P148" s="23"/>
      <c r="Q148" s="17">
        <v>6</v>
      </c>
      <c r="R148" s="17">
        <v>5</v>
      </c>
      <c r="S148" s="1" t="str">
        <f t="shared" si="2"/>
        <v>このクリーチャーが戦闘ダメージを与えるたび、これは探検1を行う。</v>
      </c>
      <c r="T148" s="21" t="s">
        <v>6197</v>
      </c>
    </row>
    <row r="149" spans="1:20" x14ac:dyDescent="0.15">
      <c r="A149" s="3">
        <v>1640</v>
      </c>
      <c r="B149" s="16" t="s">
        <v>4881</v>
      </c>
      <c r="C149" s="17" t="s">
        <v>5677</v>
      </c>
      <c r="D149" s="17" t="s">
        <v>1518</v>
      </c>
      <c r="E149" s="18" t="s">
        <v>1441</v>
      </c>
      <c r="F149" s="19">
        <v>14</v>
      </c>
      <c r="G149" s="26" t="s">
        <v>5979</v>
      </c>
      <c r="H149" s="20" t="s">
        <v>5980</v>
      </c>
      <c r="I149" s="18" t="s">
        <v>339</v>
      </c>
      <c r="J149" s="17" t="s">
        <v>5698</v>
      </c>
      <c r="K149" s="17"/>
      <c r="L149" s="17"/>
      <c r="M149" s="17" t="s">
        <v>6406</v>
      </c>
      <c r="N149" s="17"/>
      <c r="O149" s="17"/>
      <c r="P149" s="23"/>
      <c r="Q149" s="17">
        <v>5</v>
      </c>
      <c r="R149" s="17">
        <v>6</v>
      </c>
      <c r="S149" s="1" t="str">
        <f t="shared" si="2"/>
        <v>激昂：カードを1枚引く。</v>
      </c>
      <c r="T149" s="21" t="s">
        <v>6198</v>
      </c>
    </row>
    <row r="150" spans="1:20" x14ac:dyDescent="0.15">
      <c r="A150" s="3">
        <v>1641</v>
      </c>
      <c r="B150" s="16" t="s">
        <v>4881</v>
      </c>
      <c r="C150" s="17" t="s">
        <v>5677</v>
      </c>
      <c r="D150" s="17" t="s">
        <v>1518</v>
      </c>
      <c r="E150" s="18" t="s">
        <v>1441</v>
      </c>
      <c r="F150" s="27">
        <v>12</v>
      </c>
      <c r="G150" s="26" t="s">
        <v>5981</v>
      </c>
      <c r="H150" s="20" t="s">
        <v>5982</v>
      </c>
      <c r="I150" s="18" t="s">
        <v>339</v>
      </c>
      <c r="J150" s="17" t="s">
        <v>1537</v>
      </c>
      <c r="K150" s="17"/>
      <c r="L150" s="17"/>
      <c r="M150" s="17" t="s">
        <v>6407</v>
      </c>
      <c r="N150" s="17"/>
      <c r="O150" s="17"/>
      <c r="P150" s="23"/>
      <c r="Q150" s="17">
        <v>3</v>
      </c>
      <c r="R150" s="17">
        <v>5</v>
      </c>
      <c r="S150" s="1" t="str">
        <f t="shared" si="2"/>
        <v>あなたがコントロールするクリーチャーが探検を行うたび、このクリーチャーは+1/+1の修正を受け、あなたは3点のライフを得る。</v>
      </c>
      <c r="T150" s="21" t="s">
        <v>6199</v>
      </c>
    </row>
    <row r="151" spans="1:20" x14ac:dyDescent="0.15">
      <c r="A151" s="3">
        <v>1642</v>
      </c>
      <c r="B151" s="16" t="s">
        <v>4881</v>
      </c>
      <c r="C151" s="17" t="s">
        <v>5677</v>
      </c>
      <c r="D151" s="17" t="s">
        <v>1518</v>
      </c>
      <c r="E151" s="18" t="s">
        <v>1441</v>
      </c>
      <c r="F151" s="19">
        <v>4</v>
      </c>
      <c r="G151" s="26" t="s">
        <v>5983</v>
      </c>
      <c r="H151" s="20" t="s">
        <v>5984</v>
      </c>
      <c r="I151" s="18" t="s">
        <v>1453</v>
      </c>
      <c r="J151" s="17"/>
      <c r="K151" s="17"/>
      <c r="L151" s="17"/>
      <c r="M151" s="17" t="s">
        <v>6402</v>
      </c>
      <c r="N151" s="17"/>
      <c r="O151" s="17"/>
      <c r="P151" s="23"/>
      <c r="Q151" s="17"/>
      <c r="R151" s="17"/>
      <c r="S151" s="1" t="str">
        <f t="shared" si="2"/>
        <v>あなたのライブラリーから次の恐竜・カードを1枚取ってきて、ジェム3個を緑に変換する。</v>
      </c>
      <c r="T151" s="21" t="s">
        <v>6200</v>
      </c>
    </row>
    <row r="152" spans="1:20" x14ac:dyDescent="0.15">
      <c r="A152" s="3">
        <v>1643</v>
      </c>
      <c r="B152" s="16" t="s">
        <v>4881</v>
      </c>
      <c r="C152" s="17" t="s">
        <v>5677</v>
      </c>
      <c r="D152" s="17" t="s">
        <v>1518</v>
      </c>
      <c r="E152" s="18" t="s">
        <v>1431</v>
      </c>
      <c r="F152" s="19">
        <v>20</v>
      </c>
      <c r="G152" s="26" t="s">
        <v>5985</v>
      </c>
      <c r="H152" s="20" t="s">
        <v>5986</v>
      </c>
      <c r="I152" s="18" t="s">
        <v>339</v>
      </c>
      <c r="J152" s="17" t="s">
        <v>5698</v>
      </c>
      <c r="K152" s="17"/>
      <c r="L152" s="17"/>
      <c r="M152" s="17" t="s">
        <v>6071</v>
      </c>
      <c r="N152" s="17" t="s">
        <v>6320</v>
      </c>
      <c r="O152" s="17"/>
      <c r="P152" s="23"/>
      <c r="Q152" s="17">
        <v>9</v>
      </c>
      <c r="R152" s="17">
        <v>8</v>
      </c>
      <c r="S152" s="1" t="str">
        <f t="shared" si="2"/>
        <v>トランプル 呪禁 &amp;br;これのマナを吸収したり、マナ・コストを多くしたりできない。</v>
      </c>
      <c r="T152" s="21" t="s">
        <v>6201</v>
      </c>
    </row>
    <row r="153" spans="1:20" x14ac:dyDescent="0.15">
      <c r="A153" s="3">
        <v>1644</v>
      </c>
      <c r="B153" s="16" t="s">
        <v>4881</v>
      </c>
      <c r="C153" s="17" t="s">
        <v>5677</v>
      </c>
      <c r="D153" s="17" t="s">
        <v>1518</v>
      </c>
      <c r="E153" s="18" t="s">
        <v>1431</v>
      </c>
      <c r="F153" s="27">
        <v>20</v>
      </c>
      <c r="G153" s="26" t="s">
        <v>5987</v>
      </c>
      <c r="H153" s="20" t="s">
        <v>5988</v>
      </c>
      <c r="I153" s="18" t="s">
        <v>339</v>
      </c>
      <c r="J153" s="17" t="s">
        <v>5698</v>
      </c>
      <c r="K153" s="17" t="s">
        <v>5480</v>
      </c>
      <c r="L153" s="17"/>
      <c r="M153" s="17" t="s">
        <v>6353</v>
      </c>
      <c r="N153" s="17"/>
      <c r="O153" s="17"/>
      <c r="P153" s="23"/>
      <c r="Q153" s="17">
        <v>8</v>
      </c>
      <c r="R153" s="17">
        <v>8</v>
      </c>
      <c r="S153" s="1" t="str">
        <f t="shared" si="2"/>
        <v>これか他のクリーチャーがあなたのコントロール下で戦場に出るたび、あなたはそれのタフネスに等しい点数のライフを得る。</v>
      </c>
      <c r="T153" s="21" t="s">
        <v>6202</v>
      </c>
    </row>
    <row r="154" spans="1:20" x14ac:dyDescent="0.15">
      <c r="A154" s="3">
        <v>1645</v>
      </c>
      <c r="B154" s="16" t="s">
        <v>4881</v>
      </c>
      <c r="C154" s="17" t="s">
        <v>5676</v>
      </c>
      <c r="D154" s="17" t="s">
        <v>1518</v>
      </c>
      <c r="E154" s="18" t="s">
        <v>1431</v>
      </c>
      <c r="F154" s="27">
        <v>13</v>
      </c>
      <c r="G154" s="26" t="s">
        <v>5989</v>
      </c>
      <c r="H154" s="20" t="s">
        <v>5990</v>
      </c>
      <c r="I154" s="18" t="s">
        <v>288</v>
      </c>
      <c r="J154" s="17"/>
      <c r="K154" s="17"/>
      <c r="L154" s="17"/>
      <c r="M154" s="17" t="s">
        <v>6322</v>
      </c>
      <c r="N154" s="17" t="s">
        <v>6323</v>
      </c>
      <c r="O154" s="17"/>
      <c r="P154" s="23"/>
      <c r="Q154" s="17"/>
      <c r="R154" s="17"/>
      <c r="S154" s="1" t="str">
        <f t="shared" si="2"/>
        <v>このサポートがボードに出たとき、あなたのライブラリーの最初の4枚のクリーチャー・カードのうち1枚を選ぶ。そのカードを取ってきて、他を破壊する。そのカードは3マナを得る。&amp;br;あなたのターン終了時に、あなたがクリーチャーを3体以上コントロールしている場合、このサポートを変身させる。</v>
      </c>
      <c r="T154" s="21" t="s">
        <v>6203</v>
      </c>
    </row>
    <row r="155" spans="1:20" x14ac:dyDescent="0.15">
      <c r="A155" s="3">
        <v>1646</v>
      </c>
      <c r="B155" s="16" t="s">
        <v>4881</v>
      </c>
      <c r="C155" s="17" t="s">
        <v>5677</v>
      </c>
      <c r="D155" s="17" t="s">
        <v>1518</v>
      </c>
      <c r="E155" s="18" t="s">
        <v>1431</v>
      </c>
      <c r="F155" s="22">
        <v>0</v>
      </c>
      <c r="G155" s="26" t="s">
        <v>6238</v>
      </c>
      <c r="H155" s="20" t="s">
        <v>6239</v>
      </c>
      <c r="I155" s="18" t="s">
        <v>288</v>
      </c>
      <c r="J155" s="17" t="s">
        <v>6029</v>
      </c>
      <c r="K155" s="17"/>
      <c r="L155" s="17"/>
      <c r="M155" s="17" t="s">
        <v>6324</v>
      </c>
      <c r="N155" s="17"/>
      <c r="O155" s="17"/>
      <c r="P155" s="23"/>
      <c r="Q155" s="17"/>
      <c r="R155" s="17"/>
      <c r="S155" s="1" t="str">
        <f t="shared" si="2"/>
        <v>あなたのターン開始時に、ジェムX個を緑に変換する。Xはあなたのコントロールするクリーチャーの総数の2倍に等しい。</v>
      </c>
      <c r="T155" s="21" t="s">
        <v>6256</v>
      </c>
    </row>
    <row r="156" spans="1:20" x14ac:dyDescent="0.15">
      <c r="A156" s="3">
        <v>1647</v>
      </c>
      <c r="B156" s="16" t="s">
        <v>4881</v>
      </c>
      <c r="C156" s="17" t="s">
        <v>5677</v>
      </c>
      <c r="D156" s="17" t="s">
        <v>1508</v>
      </c>
      <c r="E156" s="18" t="s">
        <v>1451</v>
      </c>
      <c r="F156" s="27">
        <v>17</v>
      </c>
      <c r="G156" s="26" t="s">
        <v>5991</v>
      </c>
      <c r="H156" s="20" t="s">
        <v>5992</v>
      </c>
      <c r="I156" s="18" t="s">
        <v>339</v>
      </c>
      <c r="J156" s="17" t="s">
        <v>5686</v>
      </c>
      <c r="K156" s="17" t="s">
        <v>5746</v>
      </c>
      <c r="L156" s="17"/>
      <c r="M156" s="17" t="s">
        <v>6440</v>
      </c>
      <c r="N156" s="17" t="s">
        <v>6441</v>
      </c>
      <c r="O156" s="17"/>
      <c r="P156" s="23"/>
      <c r="Q156" s="17">
        <v>4</v>
      </c>
      <c r="R156" s="17">
        <v>4</v>
      </c>
      <c r="S156" s="1" t="str">
        <f t="shared" si="2"/>
        <v>このクリーチャーが戦場に出たとき、これはあなたがコントロールするサポート1つにつき+1/+1の修正を受ける。&amp;br;ジェム1個を起動する：宝物を1つ見つける。</v>
      </c>
      <c r="T156" s="21" t="s">
        <v>6204</v>
      </c>
    </row>
    <row r="157" spans="1:20" x14ac:dyDescent="0.15">
      <c r="A157" s="3">
        <v>1648</v>
      </c>
      <c r="B157" s="16" t="s">
        <v>4881</v>
      </c>
      <c r="C157" s="17" t="s">
        <v>5677</v>
      </c>
      <c r="D157" s="17" t="s">
        <v>1508</v>
      </c>
      <c r="E157" s="18" t="s">
        <v>1431</v>
      </c>
      <c r="F157" s="27">
        <v>14</v>
      </c>
      <c r="G157" s="26" t="s">
        <v>5993</v>
      </c>
      <c r="H157" s="20" t="s">
        <v>5994</v>
      </c>
      <c r="I157" s="18" t="s">
        <v>339</v>
      </c>
      <c r="J157" s="17" t="s">
        <v>5686</v>
      </c>
      <c r="K157" s="17" t="s">
        <v>5746</v>
      </c>
      <c r="L157" s="17"/>
      <c r="M157" s="17" t="s">
        <v>6325</v>
      </c>
      <c r="N157" s="17" t="s">
        <v>6326</v>
      </c>
      <c r="O157" s="17"/>
      <c r="P157" s="23"/>
      <c r="Q157" s="17">
        <v>4</v>
      </c>
      <c r="R157" s="17">
        <v>5</v>
      </c>
      <c r="S157" s="1" t="str">
        <f t="shared" si="2"/>
        <v>このクリーチャーが戦場に出たとき、対戦相手がコントロールするクリーチャー1体を対象とし、それをあなたの手札に移動する。&amp;br;このクリーチャーが死亡した時、あなたは2点のライフを得る。対戦相手はカードを2枚引く。</v>
      </c>
      <c r="T157" s="21" t="s">
        <v>6205</v>
      </c>
    </row>
    <row r="158" spans="1:20" x14ac:dyDescent="0.15">
      <c r="A158" s="3">
        <v>1649</v>
      </c>
      <c r="B158" s="16" t="s">
        <v>4881</v>
      </c>
      <c r="C158" s="17" t="s">
        <v>5677</v>
      </c>
      <c r="D158" s="17" t="s">
        <v>1504</v>
      </c>
      <c r="E158" s="18" t="s">
        <v>1451</v>
      </c>
      <c r="F158" s="22">
        <v>13</v>
      </c>
      <c r="G158" s="26" t="s">
        <v>5995</v>
      </c>
      <c r="H158" s="20" t="s">
        <v>5996</v>
      </c>
      <c r="I158" s="18" t="s">
        <v>339</v>
      </c>
      <c r="J158" s="17" t="s">
        <v>5840</v>
      </c>
      <c r="K158" s="17" t="s">
        <v>5746</v>
      </c>
      <c r="L158" s="17"/>
      <c r="M158" s="17" t="s">
        <v>6445</v>
      </c>
      <c r="N158" s="17"/>
      <c r="O158" s="17"/>
      <c r="P158" s="23"/>
      <c r="Q158" s="17">
        <v>3</v>
      </c>
      <c r="R158" s="17">
        <v>3</v>
      </c>
      <c r="S158" s="1" t="str">
        <f t="shared" si="2"/>
        <v>このクリーチャーが攻撃するたび、ターン終了時まで、これはあなたがコントロールする他の海賊1体につき+1/+1の修正を受ける。</v>
      </c>
      <c r="T158" s="21" t="s">
        <v>6206</v>
      </c>
    </row>
    <row r="159" spans="1:20" x14ac:dyDescent="0.15">
      <c r="A159" s="3">
        <v>1650</v>
      </c>
      <c r="B159" s="16" t="s">
        <v>4881</v>
      </c>
      <c r="C159" s="17" t="s">
        <v>5677</v>
      </c>
      <c r="D159" s="17" t="s">
        <v>1482</v>
      </c>
      <c r="E159" s="18" t="s">
        <v>1451</v>
      </c>
      <c r="F159" s="27">
        <v>17</v>
      </c>
      <c r="G159" s="26" t="s">
        <v>5997</v>
      </c>
      <c r="H159" s="20" t="s">
        <v>5998</v>
      </c>
      <c r="I159" s="18" t="s">
        <v>339</v>
      </c>
      <c r="J159" s="17" t="s">
        <v>5698</v>
      </c>
      <c r="K159" s="17"/>
      <c r="L159" s="17"/>
      <c r="M159" s="17" t="s">
        <v>6069</v>
      </c>
      <c r="N159" s="17" t="s">
        <v>6475</v>
      </c>
      <c r="O159" s="17"/>
      <c r="P159" s="23"/>
      <c r="Q159" s="17">
        <v>6</v>
      </c>
      <c r="R159" s="17">
        <v>6</v>
      </c>
      <c r="S159" s="1" t="str">
        <f t="shared" si="2"/>
        <v>トランプル  &amp;br;このクリーチャーが戦場に出たとき、これは他の各クリーチャーにそれぞれ1点のダメージを与える。</v>
      </c>
      <c r="T159" s="21" t="s">
        <v>6207</v>
      </c>
    </row>
    <row r="160" spans="1:20" x14ac:dyDescent="0.15">
      <c r="A160" s="3">
        <v>1651</v>
      </c>
      <c r="B160" s="16" t="s">
        <v>4881</v>
      </c>
      <c r="C160" s="17" t="s">
        <v>5677</v>
      </c>
      <c r="D160" s="17" t="s">
        <v>1482</v>
      </c>
      <c r="E160" s="18" t="s">
        <v>1431</v>
      </c>
      <c r="F160" s="27">
        <v>17</v>
      </c>
      <c r="G160" s="26" t="s">
        <v>5999</v>
      </c>
      <c r="H160" s="20" t="s">
        <v>6000</v>
      </c>
      <c r="I160" s="18" t="s">
        <v>339</v>
      </c>
      <c r="J160" s="17" t="s">
        <v>5698</v>
      </c>
      <c r="K160" s="17"/>
      <c r="L160" s="17"/>
      <c r="M160" s="17" t="s">
        <v>6333</v>
      </c>
      <c r="N160" s="17" t="s">
        <v>6334</v>
      </c>
      <c r="O160" s="17"/>
      <c r="P160" s="23"/>
      <c r="Q160" s="17">
        <v>6</v>
      </c>
      <c r="R160" s="17">
        <v>6</v>
      </c>
      <c r="S160" s="1" t="str">
        <f t="shared" si="2"/>
        <v>このクリーチャーが戦場に出ている間、あなたがコントロールする他の恐竜は速攻を持つ。&amp;br;このクリーチャーが戦場に出たとき、トランプルを持つ3/3の緑の恐竜・トークンを1体生成する。</v>
      </c>
      <c r="T160" s="21" t="s">
        <v>6208</v>
      </c>
    </row>
    <row r="161" spans="1:20" x14ac:dyDescent="0.15">
      <c r="A161" s="3">
        <v>1652</v>
      </c>
      <c r="B161" s="16" t="s">
        <v>4881</v>
      </c>
      <c r="C161" s="17" t="s">
        <v>5677</v>
      </c>
      <c r="D161" s="17" t="s">
        <v>1802</v>
      </c>
      <c r="E161" s="18" t="s">
        <v>1451</v>
      </c>
      <c r="F161" s="22">
        <v>14</v>
      </c>
      <c r="G161" s="26" t="s">
        <v>6001</v>
      </c>
      <c r="H161" s="20" t="s">
        <v>6002</v>
      </c>
      <c r="I161" s="18" t="s">
        <v>339</v>
      </c>
      <c r="J161" s="17" t="s">
        <v>5698</v>
      </c>
      <c r="K161" s="17"/>
      <c r="L161" s="17"/>
      <c r="M161" s="17" t="s">
        <v>6435</v>
      </c>
      <c r="N161" s="17"/>
      <c r="O161" s="17"/>
      <c r="P161" s="23"/>
      <c r="Q161" s="17">
        <v>4</v>
      </c>
      <c r="R161" s="17">
        <v>6</v>
      </c>
      <c r="S161" s="1" t="str">
        <f t="shared" si="2"/>
        <v>このクリーチャーが戦場に出ている間、あなたがコントロールするクリーチャーが攻撃するたび、ターン終了時まで、それは+X/+0の修正を受ける。Xはそれのタフネスとパワーの差に等しい。</v>
      </c>
      <c r="T161" s="21" t="s">
        <v>6209</v>
      </c>
    </row>
    <row r="162" spans="1:20" x14ac:dyDescent="0.15">
      <c r="A162" s="3">
        <v>1653</v>
      </c>
      <c r="B162" s="16" t="s">
        <v>4881</v>
      </c>
      <c r="C162" s="17" t="s">
        <v>5677</v>
      </c>
      <c r="D162" s="17" t="s">
        <v>1474</v>
      </c>
      <c r="E162" s="18" t="s">
        <v>1441</v>
      </c>
      <c r="F162" s="19">
        <v>16</v>
      </c>
      <c r="G162" s="26" t="s">
        <v>6003</v>
      </c>
      <c r="H162" s="20" t="s">
        <v>6004</v>
      </c>
      <c r="I162" s="18" t="s">
        <v>1453</v>
      </c>
      <c r="J162" s="17"/>
      <c r="K162" s="17"/>
      <c r="L162" s="17"/>
      <c r="M162" s="17" t="s">
        <v>6365</v>
      </c>
      <c r="N162" s="17" t="s">
        <v>6366</v>
      </c>
      <c r="O162" s="17"/>
      <c r="P162" s="23"/>
      <c r="Q162" s="17"/>
      <c r="R162" s="17"/>
      <c r="S162" s="1" t="str">
        <f t="shared" si="2"/>
        <v>絆魂を持つ1/1の白の吸血鬼・クリーチャー・トークンを1体生成する。&amp;br;あなたが2体以上の吸血鬼をコントロールしている場合、すべてのあなたのクリーチャーを強化する。</v>
      </c>
      <c r="T162" s="21" t="s">
        <v>6210</v>
      </c>
    </row>
    <row r="163" spans="1:20" x14ac:dyDescent="0.15">
      <c r="A163" s="3">
        <v>1654</v>
      </c>
      <c r="B163" s="16" t="s">
        <v>4881</v>
      </c>
      <c r="C163" s="17" t="s">
        <v>5677</v>
      </c>
      <c r="D163" s="17" t="s">
        <v>1474</v>
      </c>
      <c r="E163" s="18" t="s">
        <v>1431</v>
      </c>
      <c r="F163" s="22">
        <v>19</v>
      </c>
      <c r="G163" s="17" t="s">
        <v>6005</v>
      </c>
      <c r="H163" s="20" t="s">
        <v>6006</v>
      </c>
      <c r="I163" s="18" t="s">
        <v>339</v>
      </c>
      <c r="J163" s="17" t="s">
        <v>5682</v>
      </c>
      <c r="K163" s="17" t="s">
        <v>5689</v>
      </c>
      <c r="L163" s="17"/>
      <c r="M163" s="17" t="s">
        <v>6072</v>
      </c>
      <c r="N163" s="17"/>
      <c r="O163" s="17"/>
      <c r="P163" s="23"/>
      <c r="Q163" s="17">
        <v>7</v>
      </c>
      <c r="R163" s="17">
        <v>7</v>
      </c>
      <c r="S163" s="1" t="str">
        <f t="shared" si="2"/>
        <v xml:space="preserve">警戒 絆魂 </v>
      </c>
      <c r="T163" s="21" t="s">
        <v>6507</v>
      </c>
    </row>
    <row r="164" spans="1:20" x14ac:dyDescent="0.15">
      <c r="A164" s="3">
        <v>1655</v>
      </c>
      <c r="B164" s="16" t="s">
        <v>4881</v>
      </c>
      <c r="C164" s="17" t="s">
        <v>5677</v>
      </c>
      <c r="D164" s="17" t="s">
        <v>1784</v>
      </c>
      <c r="E164" s="18" t="s">
        <v>1451</v>
      </c>
      <c r="F164" s="27">
        <v>10</v>
      </c>
      <c r="G164" s="26" t="s">
        <v>6007</v>
      </c>
      <c r="H164" s="20" t="s">
        <v>6008</v>
      </c>
      <c r="I164" s="18" t="s">
        <v>339</v>
      </c>
      <c r="J164" s="17" t="s">
        <v>5698</v>
      </c>
      <c r="K164" s="17"/>
      <c r="L164" s="17"/>
      <c r="M164" s="17" t="s">
        <v>6073</v>
      </c>
      <c r="N164" s="17"/>
      <c r="O164" s="17"/>
      <c r="P164" s="23"/>
      <c r="Q164" s="17">
        <v>3</v>
      </c>
      <c r="R164" s="17">
        <v>3</v>
      </c>
      <c r="S164" s="1" t="str">
        <f t="shared" si="2"/>
        <v xml:space="preserve">飛行 威迫 </v>
      </c>
      <c r="T164" s="21" t="s">
        <v>4756</v>
      </c>
    </row>
    <row r="165" spans="1:20" x14ac:dyDescent="0.15">
      <c r="A165" s="3">
        <v>1656</v>
      </c>
      <c r="B165" s="16" t="s">
        <v>4881</v>
      </c>
      <c r="C165" s="17" t="s">
        <v>5677</v>
      </c>
      <c r="D165" s="17" t="s">
        <v>1772</v>
      </c>
      <c r="E165" s="18" t="s">
        <v>1441</v>
      </c>
      <c r="F165" s="19">
        <v>16</v>
      </c>
      <c r="G165" s="26" t="s">
        <v>6009</v>
      </c>
      <c r="H165" s="20" t="s">
        <v>6010</v>
      </c>
      <c r="I165" s="18" t="s">
        <v>339</v>
      </c>
      <c r="J165" s="17" t="s">
        <v>1464</v>
      </c>
      <c r="K165" s="17" t="s">
        <v>1867</v>
      </c>
      <c r="L165" s="17"/>
      <c r="M165" s="17" t="s">
        <v>6380</v>
      </c>
      <c r="N165" s="17" t="s">
        <v>6381</v>
      </c>
      <c r="O165" s="17"/>
      <c r="P165" s="23"/>
      <c r="Q165" s="17">
        <v>4</v>
      </c>
      <c r="R165" s="17">
        <v>4</v>
      </c>
      <c r="S165" s="1" t="str">
        <f t="shared" si="2"/>
        <v>ジェム2個を起動する：あなたがコントロールする最初のクリーチャーは+2/+2の修正を受ける。&amp;br;ターン終了時に、あなたがバフされているクリーチャーをコントロールしている場合、カードを1枚引く。</v>
      </c>
      <c r="T165" s="21" t="s">
        <v>6211</v>
      </c>
    </row>
    <row r="166" spans="1:20" x14ac:dyDescent="0.15">
      <c r="A166" s="3">
        <v>1657</v>
      </c>
      <c r="B166" s="16" t="s">
        <v>4881</v>
      </c>
      <c r="C166" s="17" t="s">
        <v>5677</v>
      </c>
      <c r="D166" s="17" t="s">
        <v>1772</v>
      </c>
      <c r="E166" s="18" t="s">
        <v>1431</v>
      </c>
      <c r="F166" s="22">
        <v>18</v>
      </c>
      <c r="G166" s="17" t="s">
        <v>6011</v>
      </c>
      <c r="H166" s="20" t="s">
        <v>6012</v>
      </c>
      <c r="I166" s="18" t="s">
        <v>339</v>
      </c>
      <c r="J166" s="17" t="s">
        <v>1464</v>
      </c>
      <c r="K166" s="17" t="s">
        <v>1867</v>
      </c>
      <c r="L166" s="17"/>
      <c r="M166" s="17" t="s">
        <v>6058</v>
      </c>
      <c r="N166" s="17"/>
      <c r="O166" s="17"/>
      <c r="P166" s="23"/>
      <c r="Q166" s="17">
        <v>1</v>
      </c>
      <c r="R166" s="17">
        <v>1</v>
      </c>
      <c r="S166" s="1" t="str">
        <f t="shared" si="2"/>
        <v xml:space="preserve">  </v>
      </c>
      <c r="T166" s="21" t="s">
        <v>6212</v>
      </c>
    </row>
    <row r="167" spans="1:20" x14ac:dyDescent="0.15">
      <c r="A167" s="3">
        <v>1658</v>
      </c>
      <c r="B167" s="16" t="s">
        <v>4881</v>
      </c>
      <c r="C167" s="17" t="s">
        <v>5677</v>
      </c>
      <c r="D167" s="17" t="s">
        <v>5678</v>
      </c>
      <c r="E167" s="18" t="s">
        <v>1431</v>
      </c>
      <c r="F167" s="22">
        <v>26</v>
      </c>
      <c r="G167" s="17" t="s">
        <v>6013</v>
      </c>
      <c r="H167" s="20" t="s">
        <v>6014</v>
      </c>
      <c r="I167" s="18" t="s">
        <v>339</v>
      </c>
      <c r="J167" s="17" t="s">
        <v>5686</v>
      </c>
      <c r="K167" s="17" t="s">
        <v>5746</v>
      </c>
      <c r="L167" s="17"/>
      <c r="M167" s="17" t="s">
        <v>6058</v>
      </c>
      <c r="N167" s="17"/>
      <c r="O167" s="17"/>
      <c r="P167" s="23"/>
      <c r="Q167" s="17">
        <v>6</v>
      </c>
      <c r="R167" s="17">
        <v>6</v>
      </c>
      <c r="S167" s="1" t="str">
        <f t="shared" si="2"/>
        <v xml:space="preserve">  </v>
      </c>
      <c r="T167" s="21" t="s">
        <v>6213</v>
      </c>
    </row>
    <row r="168" spans="1:20" x14ac:dyDescent="0.15">
      <c r="A168" s="3">
        <v>1659</v>
      </c>
      <c r="B168" s="16" t="s">
        <v>4881</v>
      </c>
      <c r="C168" s="17" t="s">
        <v>5677</v>
      </c>
      <c r="D168" s="17" t="s">
        <v>5679</v>
      </c>
      <c r="E168" s="18" t="s">
        <v>1431</v>
      </c>
      <c r="F168" s="22">
        <v>30</v>
      </c>
      <c r="G168" s="17" t="s">
        <v>6015</v>
      </c>
      <c r="H168" s="20" t="s">
        <v>6016</v>
      </c>
      <c r="I168" s="18" t="s">
        <v>339</v>
      </c>
      <c r="J168" s="17" t="s">
        <v>5698</v>
      </c>
      <c r="K168" s="17" t="s">
        <v>5480</v>
      </c>
      <c r="L168" s="17"/>
      <c r="M168" s="17" t="s">
        <v>6074</v>
      </c>
      <c r="N168" s="17"/>
      <c r="O168" s="17"/>
      <c r="P168" s="23"/>
      <c r="Q168" s="17">
        <v>10</v>
      </c>
      <c r="R168" s="17">
        <v>10</v>
      </c>
      <c r="S168" s="1" t="str">
        <f t="shared" si="2"/>
        <v>バーサーカー トランプル 警戒 速攻</v>
      </c>
      <c r="T168" s="21" t="s">
        <v>6214</v>
      </c>
    </row>
    <row r="169" spans="1:20" x14ac:dyDescent="0.15">
      <c r="A169" s="3">
        <v>1660</v>
      </c>
      <c r="B169" s="16" t="s">
        <v>4881</v>
      </c>
      <c r="C169" s="17" t="s">
        <v>5677</v>
      </c>
      <c r="D169" s="17" t="s">
        <v>292</v>
      </c>
      <c r="E169" s="18" t="s">
        <v>1744</v>
      </c>
      <c r="F169" s="22">
        <v>31</v>
      </c>
      <c r="G169" s="26" t="s">
        <v>6017</v>
      </c>
      <c r="H169" s="20" t="s">
        <v>6018</v>
      </c>
      <c r="I169" s="18" t="s">
        <v>339</v>
      </c>
      <c r="J169" s="17" t="s">
        <v>6019</v>
      </c>
      <c r="K169" s="17"/>
      <c r="L169" s="17"/>
      <c r="M169" s="17" t="s">
        <v>6060</v>
      </c>
      <c r="N169" s="17" t="s">
        <v>6554</v>
      </c>
      <c r="O169" s="17"/>
      <c r="P169" s="23"/>
      <c r="Q169" s="17">
        <v>4</v>
      </c>
      <c r="R169" s="17">
        <v>6</v>
      </c>
      <c r="S169" s="1" t="str">
        <f t="shared" si="2"/>
        <v>警戒  &amp;br;搭乗4</v>
      </c>
      <c r="T169" s="21" t="s">
        <v>6215</v>
      </c>
    </row>
    <row r="170" spans="1:20" x14ac:dyDescent="0.15">
      <c r="A170" s="3">
        <v>1661</v>
      </c>
      <c r="B170" s="16" t="s">
        <v>4881</v>
      </c>
      <c r="C170" s="17" t="s">
        <v>5677</v>
      </c>
      <c r="D170" s="17" t="s">
        <v>292</v>
      </c>
      <c r="E170" s="18" t="s">
        <v>1744</v>
      </c>
      <c r="F170" s="27">
        <v>6</v>
      </c>
      <c r="G170" s="26" t="s">
        <v>6020</v>
      </c>
      <c r="H170" s="20" t="s">
        <v>6021</v>
      </c>
      <c r="I170" s="18" t="s">
        <v>288</v>
      </c>
      <c r="J170" s="17"/>
      <c r="K170" s="17"/>
      <c r="L170" s="17"/>
      <c r="M170" s="17" t="s">
        <v>6524</v>
      </c>
      <c r="N170" s="17" t="s">
        <v>6525</v>
      </c>
      <c r="O170" s="17"/>
      <c r="P170" s="23"/>
      <c r="Q170" s="17"/>
      <c r="R170" s="17"/>
      <c r="S170" s="1" t="str">
        <f t="shared" si="2"/>
        <v>あなたのターン開始時に、ジェム2個を対戦相手のプレインズウォーカーの色に変換する。&amp;br;このサポートが破壊されたとき、対戦相手がコントロールする土地を1つ破壊し、ジェム3個をあなたのプレインズウォーカーの色に変換し、その後ジェム3個を対戦相手のプレインズウォーカーの色に変換する。</v>
      </c>
      <c r="T170" s="21" t="s">
        <v>6498</v>
      </c>
    </row>
    <row r="171" spans="1:20" x14ac:dyDescent="0.15">
      <c r="A171" s="3">
        <v>1662</v>
      </c>
      <c r="B171" s="16" t="s">
        <v>4881</v>
      </c>
      <c r="C171" s="17" t="s">
        <v>5677</v>
      </c>
      <c r="D171" s="17" t="s">
        <v>292</v>
      </c>
      <c r="E171" s="18" t="s">
        <v>1744</v>
      </c>
      <c r="F171" s="22">
        <v>17</v>
      </c>
      <c r="G171" s="26" t="s">
        <v>6022</v>
      </c>
      <c r="H171" s="20" t="s">
        <v>6023</v>
      </c>
      <c r="I171" s="18" t="s">
        <v>288</v>
      </c>
      <c r="J171" s="17"/>
      <c r="K171" s="17"/>
      <c r="L171" s="17"/>
      <c r="M171" s="17" t="s">
        <v>6528</v>
      </c>
      <c r="N171" s="17" t="s">
        <v>6529</v>
      </c>
      <c r="O171" s="17"/>
      <c r="P171" s="23"/>
      <c r="Q171" s="17"/>
      <c r="R171" s="17"/>
      <c r="S171" s="1" t="str">
        <f t="shared" si="2"/>
        <v>このサポートがボード上に出たとき、対戦相手1人を対象とする。そのプレイヤーは2点のライフを失いあなたは2点のライフを得る。&amp;br;ジェム1個を起動する：色ジェム3個を忠誠ジェムに変換する。</v>
      </c>
      <c r="T171" s="21" t="s">
        <v>6216</v>
      </c>
    </row>
    <row r="172" spans="1:20" x14ac:dyDescent="0.15">
      <c r="A172" s="3">
        <v>1663</v>
      </c>
      <c r="B172" s="16" t="s">
        <v>4881</v>
      </c>
      <c r="C172" s="17" t="s">
        <v>5677</v>
      </c>
      <c r="D172" s="17" t="s">
        <v>292</v>
      </c>
      <c r="E172" s="18" t="s">
        <v>1744</v>
      </c>
      <c r="F172" s="27">
        <v>14</v>
      </c>
      <c r="G172" s="26" t="s">
        <v>6024</v>
      </c>
      <c r="H172" s="20" t="s">
        <v>6025</v>
      </c>
      <c r="I172" s="18" t="s">
        <v>288</v>
      </c>
      <c r="J172" s="17" t="s">
        <v>6026</v>
      </c>
      <c r="K172" s="17"/>
      <c r="L172" s="17"/>
      <c r="M172" s="17" t="s">
        <v>6535</v>
      </c>
      <c r="N172" s="17" t="s">
        <v>6536</v>
      </c>
      <c r="O172" s="17"/>
      <c r="P172" s="23"/>
      <c r="Q172" s="17"/>
      <c r="R172" s="17"/>
      <c r="S172" s="1" t="str">
        <f t="shared" si="2"/>
        <v>このサポートがボード上にある間、あなたの最初のクリーチャーは+2/+1の修正を受ける。&amp;br;トークンでない海賊があなたのコントロール下で戦場に出るたび、このサポートがあなたの手札にある場合、これのマナ・コストは2少なくなる。</v>
      </c>
      <c r="T172" s="21" t="s">
        <v>6217</v>
      </c>
    </row>
    <row r="173" spans="1:20" x14ac:dyDescent="0.15">
      <c r="A173" s="3">
        <v>1664</v>
      </c>
      <c r="B173" s="16" t="s">
        <v>4881</v>
      </c>
      <c r="C173" s="17" t="s">
        <v>5677</v>
      </c>
      <c r="D173" s="17" t="s">
        <v>292</v>
      </c>
      <c r="E173" s="18" t="s">
        <v>1744</v>
      </c>
      <c r="F173" s="22">
        <v>13</v>
      </c>
      <c r="G173" s="26" t="s">
        <v>6027</v>
      </c>
      <c r="H173" s="20" t="s">
        <v>6028</v>
      </c>
      <c r="I173" s="18" t="s">
        <v>288</v>
      </c>
      <c r="J173" s="17" t="s">
        <v>6029</v>
      </c>
      <c r="K173" s="17"/>
      <c r="L173" s="17"/>
      <c r="M173" s="17" t="s">
        <v>6546</v>
      </c>
      <c r="N173" s="17"/>
      <c r="O173" s="17"/>
      <c r="P173" s="23"/>
      <c r="Q173" s="17"/>
      <c r="R173" s="17"/>
      <c r="S173" s="1" t="str">
        <f t="shared" si="2"/>
        <v>あなたのターン開始時に、対戦相手のプレインズウォーカーの色ジェム2個を他の色のジェムに変換する。</v>
      </c>
      <c r="T173" s="21" t="s">
        <v>6500</v>
      </c>
    </row>
    <row r="174" spans="1:20" x14ac:dyDescent="0.15">
      <c r="A174" s="3">
        <v>1665</v>
      </c>
      <c r="B174" s="16" t="s">
        <v>4881</v>
      </c>
      <c r="C174" s="17" t="s">
        <v>5677</v>
      </c>
      <c r="D174" s="17" t="s">
        <v>292</v>
      </c>
      <c r="E174" s="18" t="s">
        <v>1451</v>
      </c>
      <c r="F174" s="22">
        <v>8</v>
      </c>
      <c r="G174" s="26" t="s">
        <v>6030</v>
      </c>
      <c r="H174" s="20" t="s">
        <v>6031</v>
      </c>
      <c r="I174" s="18" t="s">
        <v>288</v>
      </c>
      <c r="J174" s="17"/>
      <c r="K174" s="17"/>
      <c r="L174" s="17"/>
      <c r="M174" s="17" t="s">
        <v>6450</v>
      </c>
      <c r="N174" s="17"/>
      <c r="O174" s="17"/>
      <c r="P174" s="23"/>
      <c r="Q174" s="17"/>
      <c r="R174" s="17"/>
      <c r="S174" s="1" t="str">
        <f t="shared" si="2"/>
        <v>あなたのターン終了時に、あなたの手札から最後のカードを捨てる。そうしたとき、このサポートは対戦相手の対処のクリーチャーに2点のダメージを与える。</v>
      </c>
      <c r="T174" s="21" t="s">
        <v>6218</v>
      </c>
    </row>
    <row r="175" spans="1:20" x14ac:dyDescent="0.15">
      <c r="A175" s="3">
        <v>1666</v>
      </c>
      <c r="B175" s="16" t="s">
        <v>4881</v>
      </c>
      <c r="C175" s="17" t="s">
        <v>5677</v>
      </c>
      <c r="D175" s="17" t="s">
        <v>292</v>
      </c>
      <c r="E175" s="18" t="s">
        <v>1451</v>
      </c>
      <c r="F175" s="22">
        <v>11</v>
      </c>
      <c r="G175" s="26" t="s">
        <v>6032</v>
      </c>
      <c r="H175" s="20" t="s">
        <v>6033</v>
      </c>
      <c r="I175" s="18" t="s">
        <v>288</v>
      </c>
      <c r="J175" s="17"/>
      <c r="K175" s="17"/>
      <c r="L175" s="17"/>
      <c r="M175" s="17" t="s">
        <v>6472</v>
      </c>
      <c r="N175" s="17"/>
      <c r="O175" s="17"/>
      <c r="P175" s="23"/>
      <c r="Q175" s="17"/>
      <c r="R175" s="17"/>
      <c r="S175" s="1" t="str">
        <f t="shared" si="2"/>
        <v>ジェム2個を起動する：あなたのデッキに共通のタイプを持つクリーチャーが3体以上入っている場合、ジェム3個をあなたのプレインズウォーカーの色に変換する。</v>
      </c>
      <c r="T175" s="21" t="s">
        <v>6219</v>
      </c>
    </row>
    <row r="176" spans="1:20" x14ac:dyDescent="0.15">
      <c r="A176" s="3">
        <v>1667</v>
      </c>
      <c r="B176" s="16" t="s">
        <v>4881</v>
      </c>
      <c r="C176" s="17" t="s">
        <v>5677</v>
      </c>
      <c r="D176" s="17" t="s">
        <v>292</v>
      </c>
      <c r="E176" s="18" t="s">
        <v>1451</v>
      </c>
      <c r="F176" s="22">
        <v>12</v>
      </c>
      <c r="G176" s="26" t="s">
        <v>6034</v>
      </c>
      <c r="H176" s="20" t="s">
        <v>6035</v>
      </c>
      <c r="I176" s="18" t="s">
        <v>288</v>
      </c>
      <c r="J176" s="17" t="s">
        <v>6026</v>
      </c>
      <c r="K176" s="17"/>
      <c r="L176" s="17"/>
      <c r="M176" s="17" t="s">
        <v>6473</v>
      </c>
      <c r="N176" s="17"/>
      <c r="O176" s="17"/>
      <c r="P176" s="23"/>
      <c r="Q176" s="17"/>
      <c r="R176" s="17"/>
      <c r="S176" s="1" t="str">
        <f t="shared" si="2"/>
        <v>このサポートがボード上にある間、あなたの最初のクリーチャーは+2/+0の修正を受けるとともに「このクリーチャーが戦闘ダメージを与えるたび、宝物を1つ見つける」を得る。</v>
      </c>
      <c r="T176" s="21" t="s">
        <v>6220</v>
      </c>
    </row>
    <row r="177" spans="1:20" x14ac:dyDescent="0.15">
      <c r="A177" s="3">
        <v>1668</v>
      </c>
      <c r="B177" s="16" t="s">
        <v>4881</v>
      </c>
      <c r="C177" s="17" t="s">
        <v>5677</v>
      </c>
      <c r="D177" s="17" t="s">
        <v>292</v>
      </c>
      <c r="E177" s="18" t="s">
        <v>1451</v>
      </c>
      <c r="F177" s="22">
        <v>14</v>
      </c>
      <c r="G177" s="26" t="s">
        <v>6036</v>
      </c>
      <c r="H177" s="20" t="s">
        <v>6037</v>
      </c>
      <c r="I177" s="18" t="s">
        <v>288</v>
      </c>
      <c r="J177" s="17"/>
      <c r="K177" s="17"/>
      <c r="L177" s="17"/>
      <c r="M177" s="17" t="s">
        <v>6487</v>
      </c>
      <c r="N177" s="17" t="s">
        <v>6488</v>
      </c>
      <c r="O177" s="17"/>
      <c r="P177" s="23"/>
      <c r="Q177" s="17"/>
      <c r="R177" s="17"/>
      <c r="S177" s="1" t="str">
        <f t="shared" si="2"/>
        <v>ジェム2個を起動する：カードを1枚引き、その後このサポートは1シールドを失う。&amp;br;歩哨のトーテム像が破壊されたとき、すべての墓地からすべてのカードを追放する。</v>
      </c>
      <c r="T177" s="21" t="s">
        <v>6221</v>
      </c>
    </row>
    <row r="178" spans="1:20" x14ac:dyDescent="0.15">
      <c r="A178" s="3">
        <v>1669</v>
      </c>
      <c r="B178" s="16" t="s">
        <v>4881</v>
      </c>
      <c r="C178" s="17" t="s">
        <v>5677</v>
      </c>
      <c r="D178" s="17" t="s">
        <v>292</v>
      </c>
      <c r="E178" s="18" t="s">
        <v>1441</v>
      </c>
      <c r="F178" s="27">
        <v>16</v>
      </c>
      <c r="G178" s="26" t="s">
        <v>6038</v>
      </c>
      <c r="H178" s="20" t="s">
        <v>6039</v>
      </c>
      <c r="I178" s="18" t="s">
        <v>339</v>
      </c>
      <c r="J178" s="17" t="s">
        <v>6019</v>
      </c>
      <c r="K178" s="17"/>
      <c r="L178" s="17"/>
      <c r="M178" s="17" t="s">
        <v>6419</v>
      </c>
      <c r="N178" s="17" t="s">
        <v>6420</v>
      </c>
      <c r="O178" s="17" t="s">
        <v>6421</v>
      </c>
      <c r="P178" s="23"/>
      <c r="Q178" s="17">
        <v>5</v>
      </c>
      <c r="R178" s="17">
        <v>5</v>
      </c>
      <c r="S178" s="1" t="str">
        <f t="shared" si="2"/>
        <v>搭乗2&amp;br;このクリーチャーが戦闘ダメージを与えるたび、対戦相手はカードを1枚捨てる。&amp;br;このクリーチャーが戦場に出ている間、あなたがコントロールする他の海賊は+2/+0の修正を受ける。</v>
      </c>
      <c r="T178" s="21" t="s">
        <v>6222</v>
      </c>
    </row>
    <row r="179" spans="1:20" x14ac:dyDescent="0.15">
      <c r="A179" s="3">
        <v>1670</v>
      </c>
      <c r="B179" s="16" t="s">
        <v>4881</v>
      </c>
      <c r="C179" s="17" t="s">
        <v>5677</v>
      </c>
      <c r="D179" s="17" t="s">
        <v>292</v>
      </c>
      <c r="E179" s="18" t="s">
        <v>1441</v>
      </c>
      <c r="F179" s="19">
        <v>16</v>
      </c>
      <c r="G179" s="26" t="s">
        <v>6040</v>
      </c>
      <c r="H179" s="20" t="s">
        <v>6041</v>
      </c>
      <c r="I179" s="18" t="s">
        <v>288</v>
      </c>
      <c r="J179" s="17" t="s">
        <v>6019</v>
      </c>
      <c r="K179" s="17"/>
      <c r="L179" s="17"/>
      <c r="M179" s="17" t="s">
        <v>6408</v>
      </c>
      <c r="N179" s="17" t="s">
        <v>6409</v>
      </c>
      <c r="O179" s="17" t="s">
        <v>6410</v>
      </c>
      <c r="P179" s="23"/>
      <c r="Q179" s="17"/>
      <c r="R179" s="17"/>
      <c r="S179" s="1" t="str">
        <f t="shared" si="2"/>
        <v>搭乗4&amp;br;(このサポートがボード上に出たとき、)「このクリーチャーが攻撃したとき、征服者のガレオン船は1シールドを得る。」をもつ4/5の機体・トークンを1体生成する。&amp;br;あなたのターン終了時に、このサポートが5シールド以上持っている場合、このサポートを変身させる。</v>
      </c>
      <c r="T179" s="21" t="s">
        <v>6223</v>
      </c>
    </row>
    <row r="180" spans="1:20" x14ac:dyDescent="0.15">
      <c r="A180" s="3">
        <v>1671</v>
      </c>
      <c r="B180" s="16" t="s">
        <v>4881</v>
      </c>
      <c r="C180" s="17" t="s">
        <v>5677</v>
      </c>
      <c r="D180" s="17" t="s">
        <v>292</v>
      </c>
      <c r="E180" s="18" t="s">
        <v>1441</v>
      </c>
      <c r="F180" s="22">
        <v>0</v>
      </c>
      <c r="G180" s="26" t="s">
        <v>6240</v>
      </c>
      <c r="H180" s="20" t="s">
        <v>6241</v>
      </c>
      <c r="I180" s="18" t="s">
        <v>288</v>
      </c>
      <c r="J180" s="17" t="s">
        <v>6029</v>
      </c>
      <c r="K180" s="17"/>
      <c r="L180" s="17"/>
      <c r="M180" s="17" t="s">
        <v>6411</v>
      </c>
      <c r="N180" s="17" t="s">
        <v>6412</v>
      </c>
      <c r="O180" s="17" t="s">
        <v>6413</v>
      </c>
      <c r="P180" s="23"/>
      <c r="Q180" s="17"/>
      <c r="R180" s="17"/>
      <c r="S180" s="1" t="str">
        <f t="shared" si="2"/>
        <v>あなたのターン開始時に、ジェム2個をあなたのプレインズウォーカーの色に変換する。&amp;br;赤ジェム1個を起動する：カードを1枚捨てて、その後カードを1枚引く。&amp;br;青ジェム1個を起動する：カードを1枚引く。&amp;br;黒ジェム1個を起動する：あなたの墓地のある最後のクリーチャー・カード1枚をあなたの手札に戻す。</v>
      </c>
      <c r="T180" s="21" t="s">
        <v>6252</v>
      </c>
    </row>
    <row r="181" spans="1:20" x14ac:dyDescent="0.15">
      <c r="A181" s="3">
        <v>1672</v>
      </c>
      <c r="B181" s="16" t="s">
        <v>4881</v>
      </c>
      <c r="C181" s="17" t="s">
        <v>5677</v>
      </c>
      <c r="D181" s="17" t="s">
        <v>292</v>
      </c>
      <c r="E181" s="18" t="s">
        <v>1441</v>
      </c>
      <c r="F181" s="27">
        <v>2</v>
      </c>
      <c r="G181" s="26" t="s">
        <v>6042</v>
      </c>
      <c r="H181" s="20" t="s">
        <v>6043</v>
      </c>
      <c r="I181" s="18" t="s">
        <v>288</v>
      </c>
      <c r="J181" s="17" t="s">
        <v>6026</v>
      </c>
      <c r="K181" s="17"/>
      <c r="L181" s="17"/>
      <c r="M181" s="17" t="s">
        <v>6414</v>
      </c>
      <c r="N181" s="17" t="s">
        <v>6415</v>
      </c>
      <c r="O181" s="17" t="s">
        <v>6416</v>
      </c>
      <c r="P181" s="23"/>
      <c r="Q181" s="17"/>
      <c r="R181" s="17"/>
      <c r="S181" s="1" t="str">
        <f t="shared" si="2"/>
        <v>このサポートがボード上に出たとき、ディフェンダーとダメージ軽減を持つ0/2の植物・クリーチャー・トークン2体を対戦相手のコントロール下で生成する。&amp;br;あなたの最初のクリーチャーは+2/+1の修正を受ける。&amp;br;あなたの最初のクリーチャーが戦闘ダメージを与えるたび、このサポートを変身させる。</v>
      </c>
      <c r="T181" s="21" t="s">
        <v>6417</v>
      </c>
    </row>
    <row r="182" spans="1:20" x14ac:dyDescent="0.15">
      <c r="A182" s="3">
        <v>1673</v>
      </c>
      <c r="B182" s="16" t="s">
        <v>4881</v>
      </c>
      <c r="C182" s="17" t="s">
        <v>5677</v>
      </c>
      <c r="D182" s="17" t="s">
        <v>292</v>
      </c>
      <c r="E182" s="18" t="s">
        <v>1441</v>
      </c>
      <c r="F182" s="22">
        <v>0</v>
      </c>
      <c r="G182" s="26" t="s">
        <v>6242</v>
      </c>
      <c r="H182" s="20" t="s">
        <v>6243</v>
      </c>
      <c r="I182" s="18" t="s">
        <v>288</v>
      </c>
      <c r="J182" s="17" t="s">
        <v>6029</v>
      </c>
      <c r="K182" s="17"/>
      <c r="L182" s="17"/>
      <c r="M182" s="17" t="s">
        <v>6418</v>
      </c>
      <c r="N182" s="17"/>
      <c r="O182" s="17"/>
      <c r="P182" s="23"/>
      <c r="Q182" s="17"/>
      <c r="R182" s="17"/>
      <c r="S182" s="1" t="str">
        <f t="shared" si="2"/>
        <v>あなたのターン開始時に、ジェム3個をあなたのプレインズウォーカーの色に変換する。その後、この効果をもう1回繰り返す。</v>
      </c>
      <c r="T182" s="21" t="s">
        <v>6259</v>
      </c>
    </row>
    <row r="183" spans="1:20" x14ac:dyDescent="0.15">
      <c r="A183" s="3">
        <v>1674</v>
      </c>
      <c r="B183" s="16" t="s">
        <v>4881</v>
      </c>
      <c r="C183" s="17" t="s">
        <v>5677</v>
      </c>
      <c r="D183" s="17" t="s">
        <v>292</v>
      </c>
      <c r="E183" s="18" t="s">
        <v>1441</v>
      </c>
      <c r="F183" s="27">
        <v>13</v>
      </c>
      <c r="G183" s="26" t="s">
        <v>6044</v>
      </c>
      <c r="H183" s="20" t="s">
        <v>6045</v>
      </c>
      <c r="I183" s="18" t="s">
        <v>288</v>
      </c>
      <c r="J183" s="17"/>
      <c r="K183" s="17"/>
      <c r="L183" s="17"/>
      <c r="M183" s="17" t="s">
        <v>6422</v>
      </c>
      <c r="N183" s="17" t="s">
        <v>6423</v>
      </c>
      <c r="O183" s="17" t="s">
        <v>6424</v>
      </c>
      <c r="P183" s="23"/>
      <c r="Q183" s="17"/>
      <c r="R183" s="17"/>
      <c r="S183" s="1" t="str">
        <f t="shared" si="2"/>
        <v>あなたの呪文を唱えるマナ・コストは1少なくなる。&amp;br;あなたが呪文を唱えるたび、このサポートは1シールドを得る。&amp;br;あなたのターン終了時に、このサポートが4シールド以上持っている場合、このサポートを変身させる。</v>
      </c>
      <c r="T183" s="21" t="s">
        <v>6224</v>
      </c>
    </row>
    <row r="184" spans="1:20" x14ac:dyDescent="0.15">
      <c r="A184" s="3">
        <v>1675</v>
      </c>
      <c r="B184" s="16" t="s">
        <v>4881</v>
      </c>
      <c r="C184" s="17" t="s">
        <v>5677</v>
      </c>
      <c r="D184" s="17" t="s">
        <v>292</v>
      </c>
      <c r="E184" s="18" t="s">
        <v>1441</v>
      </c>
      <c r="F184" s="22">
        <v>0</v>
      </c>
      <c r="G184" s="26" t="s">
        <v>6244</v>
      </c>
      <c r="H184" s="20" t="s">
        <v>6245</v>
      </c>
      <c r="I184" s="18" t="s">
        <v>288</v>
      </c>
      <c r="J184" s="17" t="s">
        <v>6029</v>
      </c>
      <c r="K184" s="17"/>
      <c r="L184" s="17"/>
      <c r="M184" s="17" t="s">
        <v>6411</v>
      </c>
      <c r="N184" s="17" t="s">
        <v>6425</v>
      </c>
      <c r="O184" s="17"/>
      <c r="P184" s="23"/>
      <c r="Q184" s="17"/>
      <c r="R184" s="17"/>
      <c r="S184" s="1" t="str">
        <f t="shared" si="2"/>
        <v>あなたのターン開始時に、ジェム2個をあなたのプレインズウォーカーの色に変換する。&amp;br;あなたが、マナ・コストが9以上の呪文を唱えるたび、その呪文を6マナ得た状態であなたの手札に戻し、このサポートは1シールドを失う。</v>
      </c>
      <c r="T184" s="21" t="s">
        <v>6257</v>
      </c>
    </row>
    <row r="185" spans="1:20" x14ac:dyDescent="0.15">
      <c r="A185" s="3">
        <v>1676</v>
      </c>
      <c r="B185" s="16" t="s">
        <v>4881</v>
      </c>
      <c r="C185" s="17" t="s">
        <v>5677</v>
      </c>
      <c r="D185" s="17" t="s">
        <v>292</v>
      </c>
      <c r="E185" s="18" t="s">
        <v>1441</v>
      </c>
      <c r="F185" s="19">
        <v>11</v>
      </c>
      <c r="G185" s="26" t="s">
        <v>6046</v>
      </c>
      <c r="H185" s="20" t="s">
        <v>6047</v>
      </c>
      <c r="I185" s="18" t="s">
        <v>288</v>
      </c>
      <c r="J185" s="17"/>
      <c r="K185" s="17"/>
      <c r="L185" s="17"/>
      <c r="M185" s="17" t="s">
        <v>6426</v>
      </c>
      <c r="N185" s="17" t="s">
        <v>6427</v>
      </c>
      <c r="O185" s="17"/>
      <c r="P185" s="23"/>
      <c r="Q185" s="17"/>
      <c r="R185" s="17"/>
      <c r="S185" s="1" t="str">
        <f t="shared" si="2"/>
        <v>ジェム2個を起動する：ジェム2個をあなたのプレインズウォーカーの色に変換する。&amp;br;あなたのターン終了時にあなたのプレインズウォーカーの色のうち1色のジェムが8個以上あった場合、このサポートを変身させる。</v>
      </c>
      <c r="T185" s="21" t="s">
        <v>6225</v>
      </c>
    </row>
    <row r="186" spans="1:20" x14ac:dyDescent="0.15">
      <c r="A186" s="3">
        <v>1677</v>
      </c>
      <c r="B186" s="16" t="s">
        <v>4881</v>
      </c>
      <c r="C186" s="17" t="s">
        <v>5677</v>
      </c>
      <c r="D186" s="17" t="s">
        <v>292</v>
      </c>
      <c r="E186" s="18" t="s">
        <v>1441</v>
      </c>
      <c r="F186" s="22">
        <v>0</v>
      </c>
      <c r="G186" s="26" t="s">
        <v>6246</v>
      </c>
      <c r="H186" s="20" t="s">
        <v>6247</v>
      </c>
      <c r="I186" s="18" t="s">
        <v>288</v>
      </c>
      <c r="J186" s="17" t="s">
        <v>6029</v>
      </c>
      <c r="K186" s="17"/>
      <c r="L186" s="17"/>
      <c r="M186" s="17" t="s">
        <v>6428</v>
      </c>
      <c r="N186" s="17" t="s">
        <v>6429</v>
      </c>
      <c r="O186" s="17" t="s">
        <v>6430</v>
      </c>
      <c r="P186" s="23"/>
      <c r="Q186" s="17"/>
      <c r="R186" s="17"/>
      <c r="S186" s="1" t="str">
        <f t="shared" si="2"/>
        <v>あなたのターン開始時に、ジェム2個を忠誠ジェムに変換する。&amp;br;このサポートが戦場に出ている間、対戦相手の最初のクリーチャーはそのパワーが0になる。&amp;br;対戦相手のターン終了時に、そのプレイヤーがパワー0に等しいクリーチャーをコントロールしている場合、このサポートは1シールドを失う。</v>
      </c>
      <c r="T186" s="21" t="s">
        <v>6260</v>
      </c>
    </row>
    <row r="187" spans="1:20" x14ac:dyDescent="0.15">
      <c r="A187" s="3">
        <v>1678</v>
      </c>
      <c r="B187" s="16" t="s">
        <v>4881</v>
      </c>
      <c r="C187" s="17" t="s">
        <v>5677</v>
      </c>
      <c r="D187" s="17" t="s">
        <v>292</v>
      </c>
      <c r="E187" s="18" t="s">
        <v>1441</v>
      </c>
      <c r="F187" s="19">
        <v>11</v>
      </c>
      <c r="G187" s="26" t="s">
        <v>6048</v>
      </c>
      <c r="H187" s="20" t="s">
        <v>6049</v>
      </c>
      <c r="I187" s="18" t="s">
        <v>288</v>
      </c>
      <c r="J187" s="17"/>
      <c r="K187" s="17"/>
      <c r="L187" s="17"/>
      <c r="M187" s="17" t="s">
        <v>6431</v>
      </c>
      <c r="N187" s="17" t="s">
        <v>6432</v>
      </c>
      <c r="O187" s="17"/>
      <c r="P187" s="23"/>
      <c r="Q187" s="17"/>
      <c r="R187" s="17"/>
      <c r="S187" s="1" t="str">
        <f t="shared" si="2"/>
        <v>ジェム2個を起動する：このサポートは1シールドを得る。&amp;br;あなたのターン終了時に、このサポートが4シールド以上持っている場合、このサポートを変身させて、宝物を2つ見つける。</v>
      </c>
      <c r="T187" s="21" t="s">
        <v>6226</v>
      </c>
    </row>
    <row r="188" spans="1:20" x14ac:dyDescent="0.15">
      <c r="A188" s="3">
        <v>1679</v>
      </c>
      <c r="B188" s="16" t="s">
        <v>4881</v>
      </c>
      <c r="C188" s="17" t="s">
        <v>5677</v>
      </c>
      <c r="D188" s="17" t="s">
        <v>292</v>
      </c>
      <c r="E188" s="18" t="s">
        <v>1441</v>
      </c>
      <c r="F188" s="22">
        <v>0</v>
      </c>
      <c r="G188" s="26" t="s">
        <v>6248</v>
      </c>
      <c r="H188" s="20" t="s">
        <v>6249</v>
      </c>
      <c r="I188" s="18" t="s">
        <v>288</v>
      </c>
      <c r="J188" s="17" t="s">
        <v>6029</v>
      </c>
      <c r="K188" s="17"/>
      <c r="L188" s="17"/>
      <c r="M188" s="17" t="s">
        <v>6433</v>
      </c>
      <c r="N188" s="17" t="s">
        <v>6434</v>
      </c>
      <c r="O188" s="17"/>
      <c r="P188" s="23"/>
      <c r="Q188" s="17"/>
      <c r="R188" s="17"/>
      <c r="S188" s="1" t="str">
        <f t="shared" si="2"/>
        <v>あなたのターン開始時に、ジェム2個を忠誠ジェムに変換する。&amp;br;あなたがコントロールする宝物が破壊されるたび、カードを1枚引き、このサポートは1シールドを失う。</v>
      </c>
      <c r="T188" s="21" t="s">
        <v>6254</v>
      </c>
    </row>
    <row r="189" spans="1:20" x14ac:dyDescent="0.15">
      <c r="A189" s="3">
        <v>1680</v>
      </c>
      <c r="B189" s="16" t="s">
        <v>4881</v>
      </c>
      <c r="C189" s="17" t="s">
        <v>5677</v>
      </c>
      <c r="D189" s="17" t="s">
        <v>292</v>
      </c>
      <c r="E189" s="18" t="s">
        <v>1431</v>
      </c>
      <c r="F189" s="27">
        <v>14</v>
      </c>
      <c r="G189" s="26" t="s">
        <v>6050</v>
      </c>
      <c r="H189" s="20" t="s">
        <v>6051</v>
      </c>
      <c r="I189" s="18" t="s">
        <v>339</v>
      </c>
      <c r="J189" s="17" t="s">
        <v>6019</v>
      </c>
      <c r="K189" s="17"/>
      <c r="L189" s="17"/>
      <c r="M189" s="17" t="s">
        <v>6341</v>
      </c>
      <c r="N189" s="17" t="s">
        <v>6342</v>
      </c>
      <c r="O189" s="17"/>
      <c r="P189" s="23"/>
      <c r="Q189" s="17">
        <v>4</v>
      </c>
      <c r="R189" s="17">
        <v>4</v>
      </c>
      <c r="S189" s="1" t="str">
        <f t="shared" si="2"/>
        <v>搭乗2&amp;br;あなたがコントロールするクリーチャーが探検を行うたび、このクリーチャーは+2/+2の修正を受ける。</v>
      </c>
      <c r="T189" s="21" t="s">
        <v>6227</v>
      </c>
    </row>
    <row r="190" spans="1:20" x14ac:dyDescent="0.15">
      <c r="A190" s="3">
        <v>1681</v>
      </c>
      <c r="B190" s="16" t="s">
        <v>4881</v>
      </c>
      <c r="C190" s="17" t="s">
        <v>5677</v>
      </c>
      <c r="D190" s="17" t="s">
        <v>292</v>
      </c>
      <c r="E190" s="18" t="s">
        <v>1431</v>
      </c>
      <c r="F190" s="27">
        <v>21</v>
      </c>
      <c r="G190" s="26" t="s">
        <v>6052</v>
      </c>
      <c r="H190" s="20" t="s">
        <v>6053</v>
      </c>
      <c r="I190" s="18" t="s">
        <v>288</v>
      </c>
      <c r="J190" s="17"/>
      <c r="K190" s="17"/>
      <c r="L190" s="17"/>
      <c r="M190" s="17" t="s">
        <v>6343</v>
      </c>
      <c r="N190" s="17" t="s">
        <v>6344</v>
      </c>
      <c r="O190" s="17"/>
      <c r="P190" s="23"/>
      <c r="Q190" s="17"/>
      <c r="R190" s="17"/>
      <c r="S190" s="1" t="str">
        <f t="shared" si="2"/>
        <v>このサポートがボード上にある間、対戦相手のプレインズウォーカーは忠誠度能力を起動できない。&amp;br;対戦相手のターン終了時に、このサポートは1シールドを失う。</v>
      </c>
      <c r="T190" s="21" t="s">
        <v>6505</v>
      </c>
    </row>
    <row r="191" spans="1:20" x14ac:dyDescent="0.15">
      <c r="A191" s="3">
        <v>1682</v>
      </c>
      <c r="B191" s="16" t="s">
        <v>4881</v>
      </c>
      <c r="C191" s="17" t="s">
        <v>5677</v>
      </c>
      <c r="D191" s="17" t="s">
        <v>292</v>
      </c>
      <c r="E191" s="18" t="s">
        <v>1431</v>
      </c>
      <c r="F191" s="27">
        <v>12</v>
      </c>
      <c r="G191" s="26" t="s">
        <v>6054</v>
      </c>
      <c r="H191" s="20" t="s">
        <v>6055</v>
      </c>
      <c r="I191" s="18" t="s">
        <v>288</v>
      </c>
      <c r="J191" s="17" t="s">
        <v>6029</v>
      </c>
      <c r="K191" s="17"/>
      <c r="L191" s="17"/>
      <c r="M191" s="17" t="s">
        <v>6346</v>
      </c>
      <c r="N191" s="17" t="s">
        <v>6347</v>
      </c>
      <c r="O191" s="17"/>
      <c r="P191" s="23"/>
      <c r="Q191" s="17"/>
      <c r="R191" s="17"/>
      <c r="S191" s="1" t="str">
        <f t="shared" si="2"/>
        <v>あなたのターン開始時に、色ジェム2個を忠誠ジェムに変換する。&amp;br;あなたのデッキに共通のタイプを持つクリーチャーが3枚以上入っている場合、代わりにジェム3個をあなたのプレインズウォーカーの色に変換する。</v>
      </c>
      <c r="T191" s="21" t="s">
        <v>6228</v>
      </c>
    </row>
    <row r="192" spans="1:20" x14ac:dyDescent="0.15">
      <c r="A192" s="3">
        <v>1683</v>
      </c>
      <c r="B192" s="16" t="s">
        <v>4881</v>
      </c>
      <c r="C192" s="17" t="s">
        <v>5677</v>
      </c>
      <c r="D192" s="17" t="s">
        <v>292</v>
      </c>
      <c r="E192" s="18" t="s">
        <v>1431</v>
      </c>
      <c r="F192" s="19">
        <v>17</v>
      </c>
      <c r="G192" s="26" t="s">
        <v>6056</v>
      </c>
      <c r="H192" s="20" t="s">
        <v>6057</v>
      </c>
      <c r="I192" s="18" t="s">
        <v>288</v>
      </c>
      <c r="J192" s="17"/>
      <c r="K192" s="17"/>
      <c r="L192" s="17"/>
      <c r="M192" s="17" t="s">
        <v>6352</v>
      </c>
      <c r="N192" s="17"/>
      <c r="O192" s="17"/>
      <c r="P192" s="23"/>
      <c r="Q192" s="17"/>
      <c r="R192" s="17"/>
      <c r="S192" s="1" t="str">
        <f t="shared" si="2"/>
        <v>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v>
      </c>
      <c r="T192" s="21" t="s">
        <v>6229</v>
      </c>
    </row>
    <row r="193" spans="1:21" x14ac:dyDescent="0.15">
      <c r="A193" s="3">
        <v>1684</v>
      </c>
      <c r="B193" s="16" t="s">
        <v>4881</v>
      </c>
      <c r="C193" s="17" t="s">
        <v>6299</v>
      </c>
      <c r="D193" s="17" t="s">
        <v>6283</v>
      </c>
      <c r="E193" s="18" t="s">
        <v>3161</v>
      </c>
      <c r="F193" s="22">
        <v>18</v>
      </c>
      <c r="G193" s="17" t="s">
        <v>6261</v>
      </c>
      <c r="H193" s="20" t="s">
        <v>6271</v>
      </c>
      <c r="I193" s="18" t="s">
        <v>339</v>
      </c>
      <c r="J193" s="17" t="s">
        <v>5682</v>
      </c>
      <c r="K193" s="17"/>
      <c r="L193" s="17"/>
      <c r="M193" s="17" t="s">
        <v>6282</v>
      </c>
      <c r="N193" s="17" t="s">
        <v>6356</v>
      </c>
      <c r="O193" s="17" t="s">
        <v>6357</v>
      </c>
      <c r="P193" s="23"/>
      <c r="Q193" s="17">
        <v>6</v>
      </c>
      <c r="R193" s="17">
        <v>6</v>
      </c>
      <c r="S193" s="1" t="str">
        <f>IF(M193="","",M193&amp;IF(N193="","","&amp;br;"&amp;N193)&amp;IF(O193="","","&amp;br;"&amp;O193))</f>
        <v>絆魂&amp;br;あなたがライフを得るたび、このクリーチャーは+2/+2の修正を受ける。&amp;br;あなたのターン開始時に、このクリーチャーのパワーが12以上である場合、ターン終了時まで、このクリーチャーは飛行を得る。</v>
      </c>
      <c r="T193" s="21"/>
    </row>
    <row r="194" spans="1:21" x14ac:dyDescent="0.15">
      <c r="A194" s="3">
        <v>1685</v>
      </c>
      <c r="B194" s="16" t="s">
        <v>4881</v>
      </c>
      <c r="C194" s="17" t="s">
        <v>6299</v>
      </c>
      <c r="D194" s="17" t="s">
        <v>4857</v>
      </c>
      <c r="E194" s="18" t="s">
        <v>3161</v>
      </c>
      <c r="F194" s="27">
        <v>11</v>
      </c>
      <c r="G194" s="17" t="s">
        <v>6262</v>
      </c>
      <c r="H194" s="20" t="s">
        <v>6272</v>
      </c>
      <c r="I194" s="18" t="s">
        <v>339</v>
      </c>
      <c r="J194" s="17" t="s">
        <v>5686</v>
      </c>
      <c r="K194" s="17" t="s">
        <v>5689</v>
      </c>
      <c r="L194" s="17"/>
      <c r="M194" s="37" t="s">
        <v>6872</v>
      </c>
      <c r="N194" s="37" t="s">
        <v>6873</v>
      </c>
      <c r="O194" s="17"/>
      <c r="P194" s="23"/>
      <c r="Q194" s="17">
        <v>4</v>
      </c>
      <c r="R194" s="17">
        <v>4</v>
      </c>
      <c r="S194" s="1" t="str">
        <f t="shared" ref="S194:S202" si="3">IF(M194="","",M194&amp;IF(N194="","","&amp;br;"&amp;N194)&amp;IF(O194="","","&amp;br;"&amp;O194))</f>
        <v>このクリーチャーが戦場に出たとき、これはあなたの墓地にある土地1枚につき、+2/+2の修正を受ける。&amp;br;あなたがコントロールするサポートが破壊されるたび、あなたのライブラリーから次の土地を1つ取ってくる。それは6マナを得る。</v>
      </c>
      <c r="T194" s="21"/>
    </row>
    <row r="195" spans="1:21" x14ac:dyDescent="0.15">
      <c r="A195" s="3">
        <v>1686</v>
      </c>
      <c r="B195" s="16" t="s">
        <v>4881</v>
      </c>
      <c r="C195" s="17" t="s">
        <v>6299</v>
      </c>
      <c r="D195" s="17" t="s">
        <v>6284</v>
      </c>
      <c r="E195" s="18" t="s">
        <v>3161</v>
      </c>
      <c r="F195" s="27">
        <v>13</v>
      </c>
      <c r="G195" s="17" t="s">
        <v>6263</v>
      </c>
      <c r="H195" s="20" t="s">
        <v>6273</v>
      </c>
      <c r="I195" s="18" t="s">
        <v>339</v>
      </c>
      <c r="J195" s="17" t="s">
        <v>5686</v>
      </c>
      <c r="K195" s="17" t="s">
        <v>6285</v>
      </c>
      <c r="L195" s="17"/>
      <c r="M195" s="17" t="s">
        <v>6358</v>
      </c>
      <c r="N195" s="17" t="s">
        <v>6359</v>
      </c>
      <c r="O195" s="17"/>
      <c r="P195" s="23"/>
      <c r="Q195" s="17">
        <v>5</v>
      </c>
      <c r="R195" s="17">
        <v>5</v>
      </c>
      <c r="S195" s="1" t="str">
        <f t="shared" si="3"/>
        <v>このクリーチャーが戦場に出たとき、すべての土地・サポートを破壊する。&amp;br;赤ジェム2個を起動する：すべてのサポートは1シールドを失う。その後ジェムX個を赤に変換する。Xはボード上に出ているサポートの総数に等しい。</v>
      </c>
      <c r="T195" s="21"/>
    </row>
    <row r="196" spans="1:21" x14ac:dyDescent="0.15">
      <c r="A196" s="3">
        <v>1687</v>
      </c>
      <c r="B196" s="16" t="s">
        <v>4881</v>
      </c>
      <c r="C196" s="17" t="s">
        <v>6299</v>
      </c>
      <c r="D196" s="17" t="s">
        <v>6286</v>
      </c>
      <c r="E196" s="18" t="s">
        <v>3161</v>
      </c>
      <c r="F196" s="27">
        <v>17</v>
      </c>
      <c r="G196" s="17" t="s">
        <v>6264</v>
      </c>
      <c r="H196" s="20" t="s">
        <v>6274</v>
      </c>
      <c r="I196" s="18" t="s">
        <v>339</v>
      </c>
      <c r="J196" s="17" t="s">
        <v>6287</v>
      </c>
      <c r="K196" s="17"/>
      <c r="L196" s="17"/>
      <c r="M196" s="37" t="s">
        <v>6876</v>
      </c>
      <c r="N196" s="37" t="s">
        <v>6874</v>
      </c>
      <c r="O196" s="37" t="s">
        <v>6875</v>
      </c>
      <c r="P196" s="23"/>
      <c r="Q196" s="17">
        <v>7</v>
      </c>
      <c r="R196" s="17">
        <v>7</v>
      </c>
      <c r="S196" s="1" t="str">
        <f t="shared" si="3"/>
        <v>バーサーカー&amp;br;このクリーチャーがクリーチャーにダメージを与えるたび、これは探検2を行う。&amp;br;黒ジェム2個を起動する：再生3。&amp;br;緑ジェム2個を起動する：6点のライフを得る。</v>
      </c>
      <c r="T196" s="21"/>
    </row>
    <row r="197" spans="1:21" x14ac:dyDescent="0.15">
      <c r="A197" s="3">
        <v>1688</v>
      </c>
      <c r="B197" s="16" t="s">
        <v>4881</v>
      </c>
      <c r="C197" s="17" t="s">
        <v>6299</v>
      </c>
      <c r="D197" s="17" t="s">
        <v>6288</v>
      </c>
      <c r="E197" s="18" t="s">
        <v>3161</v>
      </c>
      <c r="F197" s="27">
        <v>7</v>
      </c>
      <c r="G197" s="17" t="s">
        <v>6265</v>
      </c>
      <c r="H197" s="20" t="s">
        <v>6275</v>
      </c>
      <c r="I197" s="18" t="s">
        <v>1453</v>
      </c>
      <c r="J197" s="17"/>
      <c r="K197" s="17"/>
      <c r="L197" s="17"/>
      <c r="M197" s="37" t="s">
        <v>6870</v>
      </c>
      <c r="N197" s="17"/>
      <c r="O197" s="17"/>
      <c r="P197" s="23"/>
      <c r="Q197" s="17" t="s">
        <v>4756</v>
      </c>
      <c r="R197" s="17" t="s">
        <v>4756</v>
      </c>
      <c r="S197" s="1" t="str">
        <f t="shared" si="3"/>
        <v>クリーチャー最大2体を対象とする。それらの各クリーチャーにそれぞれ4点のダメージを与え、その後そのクリーチャーにそれが強化された回数1回につき3点のダメージを与える。カードを1枚引く。</v>
      </c>
      <c r="T197" s="21"/>
    </row>
    <row r="198" spans="1:21" x14ac:dyDescent="0.15">
      <c r="A198" s="3">
        <v>1689</v>
      </c>
      <c r="B198" s="16" t="s">
        <v>4881</v>
      </c>
      <c r="C198" s="17" t="s">
        <v>6299</v>
      </c>
      <c r="D198" s="17" t="s">
        <v>6289</v>
      </c>
      <c r="E198" s="18" t="s">
        <v>3161</v>
      </c>
      <c r="F198" s="22">
        <v>4</v>
      </c>
      <c r="G198" s="17" t="s">
        <v>6266</v>
      </c>
      <c r="H198" s="20" t="s">
        <v>6276</v>
      </c>
      <c r="I198" s="18" t="s">
        <v>1453</v>
      </c>
      <c r="J198" s="17"/>
      <c r="K198" s="17"/>
      <c r="L198" s="17"/>
      <c r="M198" s="17" t="s">
        <v>6361</v>
      </c>
      <c r="N198" s="17"/>
      <c r="O198" s="17"/>
      <c r="P198" s="23"/>
      <c r="Q198" s="17" t="s">
        <v>4756</v>
      </c>
      <c r="R198" s="17" t="s">
        <v>4756</v>
      </c>
      <c r="S198" s="1" t="str">
        <f t="shared" si="3"/>
        <v>クリーチャー1体を対象とし、それを追放する。それのコントローラーはクリーチャーのパワーに等しい点数のライフを得る。</v>
      </c>
      <c r="T198" s="21"/>
    </row>
    <row r="199" spans="1:21" x14ac:dyDescent="0.15">
      <c r="A199" s="3">
        <v>1690</v>
      </c>
      <c r="B199" s="16" t="s">
        <v>4881</v>
      </c>
      <c r="C199" s="17" t="s">
        <v>6299</v>
      </c>
      <c r="D199" s="17" t="s">
        <v>6290</v>
      </c>
      <c r="E199" s="18" t="s">
        <v>3161</v>
      </c>
      <c r="F199" s="27">
        <v>7</v>
      </c>
      <c r="G199" s="17" t="s">
        <v>6267</v>
      </c>
      <c r="H199" s="20" t="s">
        <v>6277</v>
      </c>
      <c r="I199" s="18" t="s">
        <v>288</v>
      </c>
      <c r="J199" s="17"/>
      <c r="K199" s="17"/>
      <c r="L199" s="17"/>
      <c r="M199" s="17" t="s">
        <v>6355</v>
      </c>
      <c r="N199" s="17"/>
      <c r="O199" s="17"/>
      <c r="P199" s="38">
        <v>5</v>
      </c>
      <c r="Q199" s="17" t="s">
        <v>4756</v>
      </c>
      <c r="R199" s="17" t="s">
        <v>4756</v>
      </c>
      <c r="S199" s="1" t="str">
        <f t="shared" si="3"/>
        <v>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v>
      </c>
      <c r="T199" s="21"/>
      <c r="U199" s="21"/>
    </row>
    <row r="200" spans="1:21" x14ac:dyDescent="0.15">
      <c r="A200" s="3">
        <v>1691</v>
      </c>
      <c r="B200" s="16" t="s">
        <v>4881</v>
      </c>
      <c r="C200" s="17" t="s">
        <v>6299</v>
      </c>
      <c r="D200" s="17" t="s">
        <v>6291</v>
      </c>
      <c r="E200" s="18" t="s">
        <v>3161</v>
      </c>
      <c r="F200" s="27">
        <v>13</v>
      </c>
      <c r="G200" s="17" t="s">
        <v>6268</v>
      </c>
      <c r="H200" s="20" t="s">
        <v>6278</v>
      </c>
      <c r="I200" s="18" t="s">
        <v>288</v>
      </c>
      <c r="J200" s="17"/>
      <c r="K200" s="17"/>
      <c r="L200" s="17"/>
      <c r="M200" s="37" t="s">
        <v>6869</v>
      </c>
      <c r="N200" s="17"/>
      <c r="O200" s="17"/>
      <c r="P200" s="38">
        <v>6</v>
      </c>
      <c r="Q200" s="17" t="s">
        <v>4756</v>
      </c>
      <c r="R200" s="17" t="s">
        <v>4756</v>
      </c>
      <c r="S200" s="1" t="str">
        <f t="shared" si="3"/>
        <v>あなたがコントロールするクリーチャー1体が戦闘ダメージを与えるたび、そのクリーチャーは+3/+3の修正を受け、このサポートは1シールドを失う。</v>
      </c>
      <c r="T200" s="21"/>
    </row>
    <row r="201" spans="1:21" x14ac:dyDescent="0.15">
      <c r="A201" s="3">
        <v>1692</v>
      </c>
      <c r="B201" s="16" t="s">
        <v>4881</v>
      </c>
      <c r="C201" s="17" t="s">
        <v>6299</v>
      </c>
      <c r="D201" s="17" t="s">
        <v>6292</v>
      </c>
      <c r="E201" s="18" t="s">
        <v>3161</v>
      </c>
      <c r="F201" s="27">
        <v>14</v>
      </c>
      <c r="G201" s="17" t="s">
        <v>6269</v>
      </c>
      <c r="H201" s="20" t="s">
        <v>6279</v>
      </c>
      <c r="I201" s="18" t="s">
        <v>288</v>
      </c>
      <c r="J201" s="17"/>
      <c r="K201" s="17"/>
      <c r="L201" s="17"/>
      <c r="M201" s="17" t="s">
        <v>6871</v>
      </c>
      <c r="N201" s="17"/>
      <c r="O201" s="17"/>
      <c r="P201" s="38">
        <v>6</v>
      </c>
      <c r="Q201" s="17" t="s">
        <v>4756</v>
      </c>
      <c r="R201" s="17" t="s">
        <v>4756</v>
      </c>
      <c r="S201" s="1" t="str">
        <f t="shared" si="3"/>
        <v>対戦相手のターン終了時に、対戦相手の手札のすべてのカードから、直前のターンにあなたがプレイしたカード1枚につき4マナを吸収し、このサポートは1シールドを失う。</v>
      </c>
      <c r="T201" s="21"/>
    </row>
    <row r="202" spans="1:21" x14ac:dyDescent="0.15">
      <c r="A202" s="3">
        <v>1693</v>
      </c>
      <c r="B202" s="16" t="s">
        <v>4881</v>
      </c>
      <c r="C202" s="17" t="s">
        <v>6299</v>
      </c>
      <c r="D202" s="17" t="s">
        <v>6293</v>
      </c>
      <c r="E202" s="18" t="s">
        <v>3161</v>
      </c>
      <c r="F202" s="27">
        <v>12</v>
      </c>
      <c r="G202" s="17" t="s">
        <v>6270</v>
      </c>
      <c r="H202" s="20" t="s">
        <v>6280</v>
      </c>
      <c r="I202" s="18" t="s">
        <v>288</v>
      </c>
      <c r="J202" s="17"/>
      <c r="K202" s="17"/>
      <c r="L202" s="17"/>
      <c r="M202" s="17" t="s">
        <v>6360</v>
      </c>
      <c r="N202" s="17"/>
      <c r="O202" s="17"/>
      <c r="P202" s="23"/>
      <c r="Q202" s="17" t="s">
        <v>4756</v>
      </c>
      <c r="R202" s="17" t="s">
        <v>4756</v>
      </c>
      <c r="S202" s="1" t="str">
        <f t="shared" si="3"/>
        <v>あなたがライフを得るたび、対戦相手はその点数に等しい点数のライフを失い、このサポートは1シールドを失う。</v>
      </c>
      <c r="T202" s="21"/>
    </row>
  </sheetData>
  <autoFilter ref="A1:S202"/>
  <sortState ref="A2:U202">
    <sortCondition ref="A2:A202"/>
  </sortState>
  <phoneticPr fontId="1"/>
  <conditionalFormatting sqref="R1">
    <cfRule type="cellIs" dxfId="0" priority="2" operator="notEqual">
      <formula>$Q1</formula>
    </cfRule>
  </conditionalFormatting>
  <dataValidations count="1">
    <dataValidation allowBlank="1" showInputMessage="1" showErrorMessage="1" sqref="D2:E202"/>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32"/>
  <sheetViews>
    <sheetView topLeftCell="A213" workbookViewId="0">
      <selection activeCell="K232" sqref="A1:K232"/>
    </sheetView>
  </sheetViews>
  <sheetFormatPr defaultRowHeight="13.5" x14ac:dyDescent="0.15"/>
  <cols>
    <col min="1" max="1" width="2" bestFit="1" customWidth="1"/>
    <col min="3" max="3" width="82.125" customWidth="1"/>
    <col min="4" max="4" width="2" bestFit="1" customWidth="1"/>
    <col min="6" max="6" width="2" bestFit="1" customWidth="1"/>
    <col min="8" max="8" width="2" bestFit="1" customWidth="1"/>
    <col min="10" max="10" width="2" bestFit="1" customWidth="1"/>
  </cols>
  <sheetData>
    <row r="1" spans="1:15" x14ac:dyDescent="0.15">
      <c r="B1" t="s">
        <v>6878</v>
      </c>
    </row>
    <row r="3" spans="1:15" x14ac:dyDescent="0.15">
      <c r="B3" t="s">
        <v>6879</v>
      </c>
    </row>
    <row r="4" spans="1:15" x14ac:dyDescent="0.15">
      <c r="B4" t="s">
        <v>6880</v>
      </c>
    </row>
    <row r="5" spans="1:15" x14ac:dyDescent="0.15">
      <c r="B5" t="s">
        <v>6881</v>
      </c>
    </row>
    <row r="8" spans="1:15" x14ac:dyDescent="0.15">
      <c r="B8" t="s">
        <v>6882</v>
      </c>
    </row>
    <row r="9" spans="1:15" x14ac:dyDescent="0.15">
      <c r="A9" t="s">
        <v>3168</v>
      </c>
      <c r="C9" t="s">
        <v>3163</v>
      </c>
      <c r="D9" t="s">
        <v>3168</v>
      </c>
      <c r="E9" t="s">
        <v>3162</v>
      </c>
      <c r="F9" t="s">
        <v>3168</v>
      </c>
      <c r="G9" t="s">
        <v>6891</v>
      </c>
      <c r="H9" t="s">
        <v>3168</v>
      </c>
      <c r="I9" t="s">
        <v>6892</v>
      </c>
      <c r="J9" t="s">
        <v>3168</v>
      </c>
      <c r="K9" t="s">
        <v>3164</v>
      </c>
      <c r="L9" t="s">
        <v>3162</v>
      </c>
    </row>
    <row r="10" spans="1:15" x14ac:dyDescent="0.15">
      <c r="A10" t="s">
        <v>3168</v>
      </c>
      <c r="C10" t="s">
        <v>3166</v>
      </c>
      <c r="D10" t="s">
        <v>3168</v>
      </c>
      <c r="E10" t="s">
        <v>3165</v>
      </c>
      <c r="F10" t="s">
        <v>3168</v>
      </c>
      <c r="G10" t="s">
        <v>6893</v>
      </c>
      <c r="H10" t="s">
        <v>3168</v>
      </c>
      <c r="I10" t="s">
        <v>6894</v>
      </c>
      <c r="J10" t="s">
        <v>3168</v>
      </c>
      <c r="L10" t="s">
        <v>3165</v>
      </c>
    </row>
    <row r="11" spans="1:15" x14ac:dyDescent="0.15">
      <c r="A11" t="s">
        <v>3168</v>
      </c>
      <c r="C11" t="s">
        <v>6895</v>
      </c>
      <c r="D11" t="s">
        <v>3168</v>
      </c>
      <c r="E11">
        <v>6</v>
      </c>
      <c r="F11" t="s">
        <v>3168</v>
      </c>
      <c r="G11" t="s">
        <v>1744</v>
      </c>
      <c r="H11" t="s">
        <v>3168</v>
      </c>
      <c r="I11" t="s">
        <v>339</v>
      </c>
      <c r="J11" t="s">
        <v>3168</v>
      </c>
      <c r="L11">
        <v>6</v>
      </c>
      <c r="M11" t="s">
        <v>5680</v>
      </c>
      <c r="N11" t="b">
        <f>EXACT(M11,O11)</f>
        <v>1</v>
      </c>
      <c r="O11" t="str">
        <f>MID(C11,4,LEN(M11))</f>
        <v>アダントの先兵</v>
      </c>
    </row>
    <row r="12" spans="1:15" x14ac:dyDescent="0.15">
      <c r="A12" t="s">
        <v>3168</v>
      </c>
      <c r="C12" t="s">
        <v>6896</v>
      </c>
      <c r="D12" t="s">
        <v>3168</v>
      </c>
      <c r="E12">
        <v>9</v>
      </c>
      <c r="F12" t="s">
        <v>3168</v>
      </c>
      <c r="G12" t="s">
        <v>1744</v>
      </c>
      <c r="H12" t="s">
        <v>3168</v>
      </c>
      <c r="I12" t="s">
        <v>339</v>
      </c>
      <c r="J12" t="s">
        <v>3168</v>
      </c>
      <c r="L12">
        <v>9</v>
      </c>
      <c r="M12" t="s">
        <v>5684</v>
      </c>
      <c r="N12" t="b">
        <f t="shared" ref="N12:N82" si="0">EXACT(M12,O12)</f>
        <v>1</v>
      </c>
      <c r="O12" t="str">
        <f t="shared" ref="O12:O40" si="1">MID(C12,4,LEN(M12))</f>
        <v>日の出の使者</v>
      </c>
    </row>
    <row r="13" spans="1:15" x14ac:dyDescent="0.15">
      <c r="A13" t="s">
        <v>3168</v>
      </c>
      <c r="C13" t="s">
        <v>6897</v>
      </c>
      <c r="D13" t="s">
        <v>3168</v>
      </c>
      <c r="E13">
        <v>6</v>
      </c>
      <c r="F13" t="s">
        <v>3168</v>
      </c>
      <c r="G13" t="s">
        <v>1744</v>
      </c>
      <c r="H13" t="s">
        <v>3168</v>
      </c>
      <c r="I13" t="s">
        <v>339</v>
      </c>
      <c r="J13" t="s">
        <v>3168</v>
      </c>
      <c r="L13">
        <v>6</v>
      </c>
      <c r="M13" t="s">
        <v>5687</v>
      </c>
      <c r="N13" t="b">
        <f t="shared" si="0"/>
        <v>1</v>
      </c>
      <c r="O13" t="str">
        <f t="shared" si="1"/>
        <v>帝国の槍騎兵</v>
      </c>
    </row>
    <row r="14" spans="1:15" x14ac:dyDescent="0.15">
      <c r="A14" t="s">
        <v>3168</v>
      </c>
      <c r="C14" t="s">
        <v>6898</v>
      </c>
      <c r="D14" t="s">
        <v>3168</v>
      </c>
      <c r="E14">
        <v>9</v>
      </c>
      <c r="F14" t="s">
        <v>3168</v>
      </c>
      <c r="G14" t="s">
        <v>1744</v>
      </c>
      <c r="H14" t="s">
        <v>3168</v>
      </c>
      <c r="I14" t="s">
        <v>339</v>
      </c>
      <c r="J14" t="s">
        <v>3168</v>
      </c>
      <c r="L14">
        <v>9</v>
      </c>
      <c r="M14" t="s">
        <v>5690</v>
      </c>
      <c r="N14" t="b">
        <f t="shared" si="0"/>
        <v>1</v>
      </c>
      <c r="O14" t="str">
        <f t="shared" si="1"/>
        <v>駆り立てる僧侶</v>
      </c>
    </row>
    <row r="15" spans="1:15" x14ac:dyDescent="0.15">
      <c r="A15" t="s">
        <v>3168</v>
      </c>
      <c r="C15" t="s">
        <v>6899</v>
      </c>
      <c r="D15" t="s">
        <v>3168</v>
      </c>
      <c r="E15">
        <v>8</v>
      </c>
      <c r="F15" t="s">
        <v>3168</v>
      </c>
      <c r="G15" t="s">
        <v>1744</v>
      </c>
      <c r="H15" t="s">
        <v>3168</v>
      </c>
      <c r="I15" t="s">
        <v>339</v>
      </c>
      <c r="J15" t="s">
        <v>3168</v>
      </c>
      <c r="L15">
        <v>8</v>
      </c>
      <c r="M15" t="s">
        <v>5692</v>
      </c>
      <c r="N15" t="b">
        <f t="shared" si="0"/>
        <v>1</v>
      </c>
      <c r="O15" t="str">
        <f t="shared" si="1"/>
        <v>軍団の征服者</v>
      </c>
    </row>
    <row r="16" spans="1:15" x14ac:dyDescent="0.15">
      <c r="A16" t="s">
        <v>3168</v>
      </c>
      <c r="C16" t="s">
        <v>6900</v>
      </c>
      <c r="D16" t="s">
        <v>3168</v>
      </c>
      <c r="E16">
        <v>9</v>
      </c>
      <c r="F16" t="s">
        <v>3168</v>
      </c>
      <c r="G16" t="s">
        <v>1744</v>
      </c>
      <c r="H16" t="s">
        <v>3168</v>
      </c>
      <c r="I16" t="s">
        <v>339</v>
      </c>
      <c r="J16" t="s">
        <v>3168</v>
      </c>
      <c r="L16">
        <v>9</v>
      </c>
      <c r="M16" t="s">
        <v>5694</v>
      </c>
      <c r="N16" t="b">
        <f t="shared" si="0"/>
        <v>1</v>
      </c>
      <c r="O16" t="str">
        <f t="shared" si="1"/>
        <v>血潮隊の聖騎士</v>
      </c>
    </row>
    <row r="17" spans="1:15" x14ac:dyDescent="0.15">
      <c r="A17" t="s">
        <v>3168</v>
      </c>
      <c r="C17" t="s">
        <v>6901</v>
      </c>
      <c r="D17" t="s">
        <v>3168</v>
      </c>
      <c r="E17">
        <v>12</v>
      </c>
      <c r="F17" t="s">
        <v>3168</v>
      </c>
      <c r="G17" t="s">
        <v>1744</v>
      </c>
      <c r="H17" t="s">
        <v>3168</v>
      </c>
      <c r="I17" t="s">
        <v>339</v>
      </c>
      <c r="J17" t="s">
        <v>3168</v>
      </c>
      <c r="L17">
        <v>12</v>
      </c>
      <c r="M17" t="s">
        <v>5696</v>
      </c>
      <c r="N17" t="b">
        <f t="shared" si="0"/>
        <v>1</v>
      </c>
      <c r="O17" t="str">
        <f t="shared" si="1"/>
        <v>不動のアルマサウルス</v>
      </c>
    </row>
    <row r="18" spans="1:15" x14ac:dyDescent="0.15">
      <c r="A18" t="s">
        <v>3168</v>
      </c>
      <c r="C18" t="s">
        <v>6902</v>
      </c>
      <c r="D18" t="s">
        <v>3168</v>
      </c>
      <c r="E18">
        <v>9</v>
      </c>
      <c r="F18" t="s">
        <v>3168</v>
      </c>
      <c r="G18" t="s">
        <v>1744</v>
      </c>
      <c r="H18" t="s">
        <v>3168</v>
      </c>
      <c r="I18" t="s">
        <v>339</v>
      </c>
      <c r="J18" t="s">
        <v>3168</v>
      </c>
      <c r="L18">
        <v>9</v>
      </c>
      <c r="M18" t="s">
        <v>5699</v>
      </c>
      <c r="N18" t="b">
        <f t="shared" si="0"/>
        <v>1</v>
      </c>
      <c r="O18" t="str">
        <f t="shared" si="1"/>
        <v>縄張り持ちの槌頭</v>
      </c>
    </row>
    <row r="19" spans="1:15" x14ac:dyDescent="0.15">
      <c r="A19" t="s">
        <v>3168</v>
      </c>
      <c r="C19" t="s">
        <v>6903</v>
      </c>
      <c r="D19" t="s">
        <v>3168</v>
      </c>
      <c r="E19">
        <v>3</v>
      </c>
      <c r="F19" t="s">
        <v>3168</v>
      </c>
      <c r="G19" t="s">
        <v>1744</v>
      </c>
      <c r="H19" t="s">
        <v>3168</v>
      </c>
      <c r="I19" t="s">
        <v>1453</v>
      </c>
      <c r="J19" t="s">
        <v>3168</v>
      </c>
      <c r="L19">
        <v>3</v>
      </c>
      <c r="M19" t="s">
        <v>5701</v>
      </c>
      <c r="N19" t="b">
        <f t="shared" si="0"/>
        <v>1</v>
      </c>
      <c r="O19" t="str">
        <f t="shared" si="1"/>
        <v>啓蒙</v>
      </c>
    </row>
    <row r="20" spans="1:15" x14ac:dyDescent="0.15">
      <c r="A20" t="s">
        <v>3168</v>
      </c>
      <c r="C20" t="s">
        <v>6904</v>
      </c>
      <c r="D20" t="s">
        <v>3168</v>
      </c>
      <c r="E20">
        <v>6</v>
      </c>
      <c r="F20" t="s">
        <v>3168</v>
      </c>
      <c r="G20" t="s">
        <v>1744</v>
      </c>
      <c r="H20" t="s">
        <v>3168</v>
      </c>
      <c r="I20" t="s">
        <v>1453</v>
      </c>
      <c r="J20" t="s">
        <v>3168</v>
      </c>
      <c r="L20">
        <v>6</v>
      </c>
      <c r="M20" t="s">
        <v>5703</v>
      </c>
      <c r="N20" t="b">
        <f t="shared" si="0"/>
        <v>1</v>
      </c>
      <c r="O20" t="str">
        <f t="shared" si="1"/>
        <v>軍団の裁き</v>
      </c>
    </row>
    <row r="21" spans="1:15" x14ac:dyDescent="0.15">
      <c r="A21" t="s">
        <v>3168</v>
      </c>
      <c r="C21" t="s">
        <v>6905</v>
      </c>
      <c r="D21" t="s">
        <v>3168</v>
      </c>
      <c r="E21">
        <v>7</v>
      </c>
      <c r="F21" t="s">
        <v>3168</v>
      </c>
      <c r="G21" t="s">
        <v>1744</v>
      </c>
      <c r="H21" t="s">
        <v>3168</v>
      </c>
      <c r="I21" t="s">
        <v>1453</v>
      </c>
      <c r="J21" t="s">
        <v>3168</v>
      </c>
      <c r="L21">
        <v>7</v>
      </c>
      <c r="M21" t="s">
        <v>5705</v>
      </c>
      <c r="N21" t="b">
        <f t="shared" si="0"/>
        <v>1</v>
      </c>
      <c r="O21" t="str">
        <f t="shared" si="1"/>
        <v>若返りの儀式</v>
      </c>
    </row>
    <row r="22" spans="1:15" x14ac:dyDescent="0.15">
      <c r="A22" t="s">
        <v>3168</v>
      </c>
      <c r="C22" t="s">
        <v>6906</v>
      </c>
      <c r="D22" t="s">
        <v>3168</v>
      </c>
      <c r="E22">
        <v>15</v>
      </c>
      <c r="F22" t="s">
        <v>3168</v>
      </c>
      <c r="G22" t="s">
        <v>1451</v>
      </c>
      <c r="H22" t="s">
        <v>3168</v>
      </c>
      <c r="I22" t="s">
        <v>339</v>
      </c>
      <c r="J22" t="s">
        <v>3168</v>
      </c>
      <c r="L22">
        <v>15</v>
      </c>
      <c r="M22" t="s">
        <v>5707</v>
      </c>
      <c r="N22" t="b">
        <f t="shared" si="0"/>
        <v>1</v>
      </c>
      <c r="O22" t="str">
        <f t="shared" si="1"/>
        <v>吠えるイージサウルス</v>
      </c>
    </row>
    <row r="23" spans="1:15" x14ac:dyDescent="0.15">
      <c r="A23" t="s">
        <v>3168</v>
      </c>
      <c r="C23" t="s">
        <v>6907</v>
      </c>
      <c r="D23" t="s">
        <v>3168</v>
      </c>
      <c r="E23">
        <v>7</v>
      </c>
      <c r="F23" t="s">
        <v>3168</v>
      </c>
      <c r="G23" t="s">
        <v>1451</v>
      </c>
      <c r="H23" t="s">
        <v>3168</v>
      </c>
      <c r="I23" t="s">
        <v>339</v>
      </c>
      <c r="J23" t="s">
        <v>3168</v>
      </c>
      <c r="L23">
        <v>7</v>
      </c>
      <c r="M23" t="s">
        <v>5709</v>
      </c>
      <c r="N23" t="b">
        <f t="shared" si="0"/>
        <v>1</v>
      </c>
      <c r="O23" t="str">
        <f t="shared" si="1"/>
        <v>薄暮まといの空渡り</v>
      </c>
    </row>
    <row r="24" spans="1:15" x14ac:dyDescent="0.15">
      <c r="A24" t="s">
        <v>3168</v>
      </c>
      <c r="C24" t="s">
        <v>6908</v>
      </c>
      <c r="D24" t="s">
        <v>3168</v>
      </c>
      <c r="E24">
        <v>9</v>
      </c>
      <c r="F24" t="s">
        <v>3168</v>
      </c>
      <c r="G24" t="s">
        <v>1451</v>
      </c>
      <c r="H24" t="s">
        <v>3168</v>
      </c>
      <c r="I24" t="s">
        <v>339</v>
      </c>
      <c r="J24" t="s">
        <v>3168</v>
      </c>
      <c r="L24">
        <v>9</v>
      </c>
      <c r="M24" t="s">
        <v>5711</v>
      </c>
      <c r="N24" t="b">
        <f t="shared" si="0"/>
        <v>1</v>
      </c>
      <c r="O24" t="str">
        <f t="shared" si="1"/>
        <v>宿営地の守り手</v>
      </c>
    </row>
    <row r="25" spans="1:15" x14ac:dyDescent="0.15">
      <c r="A25" t="s">
        <v>3168</v>
      </c>
      <c r="C25" t="s">
        <v>6909</v>
      </c>
      <c r="D25" t="s">
        <v>3168</v>
      </c>
      <c r="E25">
        <v>14</v>
      </c>
      <c r="F25" t="s">
        <v>3168</v>
      </c>
      <c r="G25" t="s">
        <v>1451</v>
      </c>
      <c r="H25" t="s">
        <v>3168</v>
      </c>
      <c r="I25" t="s">
        <v>339</v>
      </c>
      <c r="J25" t="s">
        <v>3168</v>
      </c>
      <c r="L25">
        <v>14</v>
      </c>
      <c r="M25" t="s">
        <v>5714</v>
      </c>
      <c r="N25" t="b">
        <f t="shared" si="0"/>
        <v>1</v>
      </c>
      <c r="O25" t="str">
        <f t="shared" si="1"/>
        <v>薄暮の賛美者</v>
      </c>
    </row>
    <row r="26" spans="1:15" x14ac:dyDescent="0.15">
      <c r="A26" t="s">
        <v>3168</v>
      </c>
      <c r="C26" t="s">
        <v>6910</v>
      </c>
      <c r="D26" t="s">
        <v>3168</v>
      </c>
      <c r="E26">
        <v>10</v>
      </c>
      <c r="F26" t="s">
        <v>3168</v>
      </c>
      <c r="G26" t="s">
        <v>1451</v>
      </c>
      <c r="H26" t="s">
        <v>3168</v>
      </c>
      <c r="I26" t="s">
        <v>339</v>
      </c>
      <c r="J26" t="s">
        <v>3168</v>
      </c>
      <c r="L26">
        <v>10</v>
      </c>
      <c r="M26" t="s">
        <v>5716</v>
      </c>
      <c r="N26" t="b">
        <f t="shared" si="0"/>
        <v>1</v>
      </c>
      <c r="O26" t="str">
        <f t="shared" si="1"/>
        <v>帝国のエアロサウルス</v>
      </c>
    </row>
    <row r="27" spans="1:15" x14ac:dyDescent="0.15">
      <c r="A27" t="s">
        <v>3168</v>
      </c>
      <c r="C27" t="s">
        <v>6911</v>
      </c>
      <c r="D27" t="s">
        <v>3168</v>
      </c>
      <c r="E27">
        <v>4</v>
      </c>
      <c r="F27" t="s">
        <v>3168</v>
      </c>
      <c r="G27" t="s">
        <v>1451</v>
      </c>
      <c r="H27" t="s">
        <v>3168</v>
      </c>
      <c r="I27" t="s">
        <v>339</v>
      </c>
      <c r="J27" t="s">
        <v>3168</v>
      </c>
      <c r="L27">
        <v>4</v>
      </c>
      <c r="M27" t="s">
        <v>5718</v>
      </c>
      <c r="N27" t="b">
        <f t="shared" si="0"/>
        <v>1</v>
      </c>
      <c r="O27" t="str">
        <f t="shared" si="1"/>
        <v>キンジャーリの呼び手</v>
      </c>
    </row>
    <row r="28" spans="1:15" x14ac:dyDescent="0.15">
      <c r="A28" t="s">
        <v>3168</v>
      </c>
      <c r="C28" t="s">
        <v>6912</v>
      </c>
      <c r="D28" t="s">
        <v>3168</v>
      </c>
      <c r="E28">
        <v>5</v>
      </c>
      <c r="F28" t="s">
        <v>3168</v>
      </c>
      <c r="G28" t="s">
        <v>1451</v>
      </c>
      <c r="H28" t="s">
        <v>3168</v>
      </c>
      <c r="I28" t="s">
        <v>1453</v>
      </c>
      <c r="J28" t="s">
        <v>3168</v>
      </c>
      <c r="L28">
        <v>5</v>
      </c>
      <c r="M28" t="s">
        <v>5720</v>
      </c>
      <c r="N28" t="b">
        <f t="shared" si="0"/>
        <v>1</v>
      </c>
      <c r="O28" t="str">
        <f t="shared" si="1"/>
        <v>女王の任命</v>
      </c>
    </row>
    <row r="29" spans="1:15" x14ac:dyDescent="0.15">
      <c r="A29" t="s">
        <v>3168</v>
      </c>
      <c r="C29" t="s">
        <v>6913</v>
      </c>
      <c r="D29" t="s">
        <v>3168</v>
      </c>
      <c r="E29">
        <v>10</v>
      </c>
      <c r="F29" t="s">
        <v>3168</v>
      </c>
      <c r="G29" t="s">
        <v>1451</v>
      </c>
      <c r="H29" t="s">
        <v>3168</v>
      </c>
      <c r="I29" t="s">
        <v>1453</v>
      </c>
      <c r="J29" t="s">
        <v>3168</v>
      </c>
      <c r="L29">
        <v>10</v>
      </c>
      <c r="M29" t="s">
        <v>5722</v>
      </c>
      <c r="N29" t="b">
        <f t="shared" si="0"/>
        <v>1</v>
      </c>
      <c r="O29" t="str">
        <f t="shared" si="1"/>
        <v>防護の光</v>
      </c>
    </row>
    <row r="30" spans="1:15" x14ac:dyDescent="0.15">
      <c r="A30" t="s">
        <v>3168</v>
      </c>
      <c r="C30" t="s">
        <v>6914</v>
      </c>
      <c r="D30" t="s">
        <v>3168</v>
      </c>
      <c r="E30">
        <v>5</v>
      </c>
      <c r="F30" t="s">
        <v>3168</v>
      </c>
      <c r="G30" t="s">
        <v>1451</v>
      </c>
      <c r="H30" t="s">
        <v>3168</v>
      </c>
      <c r="I30" t="s">
        <v>1453</v>
      </c>
      <c r="J30" t="s">
        <v>3168</v>
      </c>
      <c r="L30">
        <v>5</v>
      </c>
      <c r="M30" t="s">
        <v>5724</v>
      </c>
      <c r="N30" t="b">
        <f t="shared" si="0"/>
        <v>1</v>
      </c>
      <c r="O30" t="str">
        <f t="shared" si="1"/>
        <v>吸血鬼の士気</v>
      </c>
    </row>
    <row r="31" spans="1:15" x14ac:dyDescent="0.15">
      <c r="A31" t="s">
        <v>3168</v>
      </c>
      <c r="C31" t="s">
        <v>6915</v>
      </c>
      <c r="D31" t="s">
        <v>3168</v>
      </c>
      <c r="E31">
        <v>14</v>
      </c>
      <c r="F31" t="s">
        <v>3168</v>
      </c>
      <c r="G31" t="s">
        <v>1441</v>
      </c>
      <c r="H31" t="s">
        <v>3168</v>
      </c>
      <c r="I31" t="s">
        <v>339</v>
      </c>
      <c r="J31" t="s">
        <v>3168</v>
      </c>
      <c r="L31">
        <v>14</v>
      </c>
      <c r="M31" t="s">
        <v>5726</v>
      </c>
      <c r="N31" t="b">
        <f t="shared" si="0"/>
        <v>1</v>
      </c>
      <c r="O31" t="str">
        <f t="shared" si="1"/>
        <v>再誕の司教</v>
      </c>
    </row>
    <row r="32" spans="1:15" x14ac:dyDescent="0.15">
      <c r="A32" t="s">
        <v>3168</v>
      </c>
      <c r="C32" t="s">
        <v>6916</v>
      </c>
      <c r="D32" t="s">
        <v>3168</v>
      </c>
      <c r="E32">
        <v>21</v>
      </c>
      <c r="F32" t="s">
        <v>3168</v>
      </c>
      <c r="G32" t="s">
        <v>1441</v>
      </c>
      <c r="H32" t="s">
        <v>3168</v>
      </c>
      <c r="I32" t="s">
        <v>339</v>
      </c>
      <c r="J32" t="s">
        <v>3168</v>
      </c>
      <c r="L32">
        <v>21</v>
      </c>
      <c r="M32" t="s">
        <v>5728</v>
      </c>
      <c r="N32" t="b">
        <f t="shared" si="0"/>
        <v>1</v>
      </c>
      <c r="O32" t="str">
        <f t="shared" si="1"/>
        <v>突き刺すケラトプス</v>
      </c>
    </row>
    <row r="33" spans="1:15" x14ac:dyDescent="0.15">
      <c r="A33" t="s">
        <v>3168</v>
      </c>
      <c r="C33" t="s">
        <v>6917</v>
      </c>
      <c r="D33" t="s">
        <v>3168</v>
      </c>
      <c r="E33">
        <v>13</v>
      </c>
      <c r="F33" t="s">
        <v>3168</v>
      </c>
      <c r="G33" t="s">
        <v>1441</v>
      </c>
      <c r="H33" t="s">
        <v>3168</v>
      </c>
      <c r="I33" t="s">
        <v>339</v>
      </c>
      <c r="J33" t="s">
        <v>3168</v>
      </c>
      <c r="L33">
        <v>13</v>
      </c>
      <c r="M33" t="s">
        <v>5730</v>
      </c>
      <c r="N33" t="b">
        <f t="shared" si="0"/>
        <v>1</v>
      </c>
      <c r="O33" t="str">
        <f t="shared" si="1"/>
        <v>キンジャーリの陽光翼</v>
      </c>
    </row>
    <row r="34" spans="1:15" x14ac:dyDescent="0.15">
      <c r="A34" t="s">
        <v>3168</v>
      </c>
      <c r="C34" t="s">
        <v>6918</v>
      </c>
      <c r="D34" t="s">
        <v>3168</v>
      </c>
      <c r="E34">
        <v>12</v>
      </c>
      <c r="F34" t="s">
        <v>3168</v>
      </c>
      <c r="G34" t="s">
        <v>1441</v>
      </c>
      <c r="H34" t="s">
        <v>3168</v>
      </c>
      <c r="I34" t="s">
        <v>288</v>
      </c>
      <c r="J34" t="s">
        <v>3168</v>
      </c>
      <c r="L34">
        <v>12</v>
      </c>
      <c r="M34" t="s">
        <v>5732</v>
      </c>
      <c r="N34" t="b">
        <f t="shared" si="0"/>
        <v>1</v>
      </c>
      <c r="O34" t="str">
        <f t="shared" si="1"/>
        <v>定命の枢軸</v>
      </c>
    </row>
    <row r="35" spans="1:15" x14ac:dyDescent="0.15">
      <c r="A35" t="s">
        <v>3168</v>
      </c>
      <c r="C35" t="s">
        <v>6919</v>
      </c>
      <c r="D35" t="s">
        <v>3168</v>
      </c>
      <c r="E35">
        <v>11</v>
      </c>
      <c r="F35" t="s">
        <v>3168</v>
      </c>
      <c r="G35" t="s">
        <v>1441</v>
      </c>
      <c r="H35" t="s">
        <v>3168</v>
      </c>
      <c r="I35" t="s">
        <v>288</v>
      </c>
      <c r="J35" t="s">
        <v>3168</v>
      </c>
      <c r="L35">
        <v>11</v>
      </c>
      <c r="M35" t="s">
        <v>5734</v>
      </c>
      <c r="N35" t="b">
        <f t="shared" si="0"/>
        <v>1</v>
      </c>
      <c r="O35" t="str">
        <f t="shared" si="1"/>
        <v>イクサランの束縛</v>
      </c>
    </row>
    <row r="36" spans="1:15" x14ac:dyDescent="0.15">
      <c r="A36" t="s">
        <v>3168</v>
      </c>
      <c r="C36" t="s">
        <v>6920</v>
      </c>
      <c r="D36" t="s">
        <v>3168</v>
      </c>
      <c r="E36">
        <v>12</v>
      </c>
      <c r="F36" t="s">
        <v>3168</v>
      </c>
      <c r="G36" t="s">
        <v>1441</v>
      </c>
      <c r="H36" t="s">
        <v>3168</v>
      </c>
      <c r="I36" t="s">
        <v>288</v>
      </c>
      <c r="J36" t="s">
        <v>3168</v>
      </c>
      <c r="L36">
        <v>12</v>
      </c>
      <c r="M36" t="s">
        <v>5736</v>
      </c>
      <c r="N36" t="b">
        <f t="shared" si="0"/>
        <v>1</v>
      </c>
      <c r="O36" t="str">
        <f t="shared" si="1"/>
        <v>残骸の漂着</v>
      </c>
    </row>
    <row r="37" spans="1:15" x14ac:dyDescent="0.15">
      <c r="A37" t="s">
        <v>3168</v>
      </c>
      <c r="C37" t="s">
        <v>6921</v>
      </c>
      <c r="D37" t="s">
        <v>3168</v>
      </c>
      <c r="E37">
        <v>9</v>
      </c>
      <c r="F37" t="s">
        <v>3168</v>
      </c>
      <c r="G37" t="s">
        <v>1431</v>
      </c>
      <c r="H37" t="s">
        <v>3168</v>
      </c>
      <c r="I37" t="s">
        <v>339</v>
      </c>
      <c r="J37" t="s">
        <v>3168</v>
      </c>
      <c r="L37">
        <v>9</v>
      </c>
      <c r="M37" t="s">
        <v>5738</v>
      </c>
      <c r="N37" t="b">
        <f t="shared" si="0"/>
        <v>1</v>
      </c>
      <c r="O37" t="str">
        <f t="shared" si="1"/>
        <v>薄暮の使徒、マーブレン・フェイン</v>
      </c>
    </row>
    <row r="38" spans="1:15" x14ac:dyDescent="0.15">
      <c r="A38" t="s">
        <v>3168</v>
      </c>
      <c r="C38" t="s">
        <v>6922</v>
      </c>
      <c r="D38" t="s">
        <v>3168</v>
      </c>
      <c r="E38">
        <v>16</v>
      </c>
      <c r="F38" t="s">
        <v>3168</v>
      </c>
      <c r="G38" t="s">
        <v>1431</v>
      </c>
      <c r="H38" t="s">
        <v>3168</v>
      </c>
      <c r="I38" t="s">
        <v>339</v>
      </c>
      <c r="J38" t="s">
        <v>3168</v>
      </c>
      <c r="L38">
        <v>16</v>
      </c>
      <c r="M38" t="s">
        <v>5740</v>
      </c>
      <c r="N38" t="b">
        <f t="shared" si="0"/>
        <v>1</v>
      </c>
      <c r="O38" t="str">
        <f t="shared" si="1"/>
        <v>覚醒の太陽の化身</v>
      </c>
    </row>
    <row r="39" spans="1:15" x14ac:dyDescent="0.15">
      <c r="A39" t="s">
        <v>3168</v>
      </c>
      <c r="C39" t="s">
        <v>6923</v>
      </c>
      <c r="D39" t="s">
        <v>3168</v>
      </c>
      <c r="E39">
        <v>7</v>
      </c>
      <c r="F39" t="s">
        <v>3168</v>
      </c>
      <c r="G39" t="s">
        <v>1431</v>
      </c>
      <c r="H39" t="s">
        <v>3168</v>
      </c>
      <c r="I39" t="s">
        <v>288</v>
      </c>
      <c r="J39" t="s">
        <v>3168</v>
      </c>
      <c r="L39">
        <v>7</v>
      </c>
      <c r="M39" t="s">
        <v>5742</v>
      </c>
      <c r="N39" t="b">
        <f t="shared" si="0"/>
        <v>1</v>
      </c>
      <c r="O39" t="str">
        <f t="shared" si="1"/>
        <v>軍団の上陸</v>
      </c>
    </row>
    <row r="40" spans="1:15" x14ac:dyDescent="0.15">
      <c r="E40">
        <v>0</v>
      </c>
      <c r="L40">
        <v>0</v>
      </c>
      <c r="M40" t="s">
        <v>6230</v>
      </c>
      <c r="N40" t="b">
        <f t="shared" si="0"/>
        <v>0</v>
      </c>
      <c r="O40" t="str">
        <f t="shared" si="1"/>
        <v/>
      </c>
    </row>
    <row r="41" spans="1:15" x14ac:dyDescent="0.15">
      <c r="B41" t="s">
        <v>6883</v>
      </c>
      <c r="N41" t="b">
        <f t="shared" si="0"/>
        <v>1</v>
      </c>
      <c r="O41" t="str">
        <f t="shared" ref="O41:O49" si="2">MID(C41,4,LEN(M41))</f>
        <v/>
      </c>
    </row>
    <row r="42" spans="1:15" x14ac:dyDescent="0.15">
      <c r="A42" t="s">
        <v>3168</v>
      </c>
      <c r="C42" t="s">
        <v>3163</v>
      </c>
      <c r="D42" t="s">
        <v>3168</v>
      </c>
      <c r="E42" t="s">
        <v>3162</v>
      </c>
      <c r="F42" t="s">
        <v>3168</v>
      </c>
      <c r="G42" t="s">
        <v>6891</v>
      </c>
      <c r="H42" t="s">
        <v>3168</v>
      </c>
      <c r="I42" t="s">
        <v>6892</v>
      </c>
      <c r="J42" t="s">
        <v>3168</v>
      </c>
      <c r="K42" t="s">
        <v>3164</v>
      </c>
      <c r="L42" t="s">
        <v>3162</v>
      </c>
      <c r="N42" t="b">
        <f t="shared" si="0"/>
        <v>1</v>
      </c>
      <c r="O42" t="str">
        <f t="shared" si="2"/>
        <v/>
      </c>
    </row>
    <row r="43" spans="1:15" x14ac:dyDescent="0.15">
      <c r="A43" t="s">
        <v>3168</v>
      </c>
      <c r="C43" t="s">
        <v>3166</v>
      </c>
      <c r="D43" t="s">
        <v>3168</v>
      </c>
      <c r="E43" t="s">
        <v>3165</v>
      </c>
      <c r="F43" t="s">
        <v>3168</v>
      </c>
      <c r="G43" t="s">
        <v>6893</v>
      </c>
      <c r="H43" t="s">
        <v>3168</v>
      </c>
      <c r="I43" t="s">
        <v>6894</v>
      </c>
      <c r="J43" t="s">
        <v>3168</v>
      </c>
      <c r="L43" t="s">
        <v>3165</v>
      </c>
      <c r="N43" t="b">
        <f t="shared" si="0"/>
        <v>1</v>
      </c>
      <c r="O43" t="str">
        <f t="shared" si="2"/>
        <v/>
      </c>
    </row>
    <row r="44" spans="1:15" x14ac:dyDescent="0.15">
      <c r="A44" t="s">
        <v>3168</v>
      </c>
      <c r="C44" t="s">
        <v>6924</v>
      </c>
      <c r="D44" t="s">
        <v>3168</v>
      </c>
      <c r="E44">
        <v>11</v>
      </c>
      <c r="F44" t="s">
        <v>3168</v>
      </c>
      <c r="G44" t="s">
        <v>1744</v>
      </c>
      <c r="H44" t="s">
        <v>3168</v>
      </c>
      <c r="I44" t="s">
        <v>339</v>
      </c>
      <c r="J44" t="s">
        <v>3168</v>
      </c>
      <c r="L44">
        <v>11</v>
      </c>
      <c r="M44" t="s">
        <v>5744</v>
      </c>
      <c r="N44" t="b">
        <f t="shared" si="0"/>
        <v>1</v>
      </c>
      <c r="O44" t="str">
        <f t="shared" si="2"/>
        <v>裕福な海賊</v>
      </c>
    </row>
    <row r="45" spans="1:15" x14ac:dyDescent="0.15">
      <c r="A45" t="s">
        <v>3168</v>
      </c>
      <c r="C45" t="s">
        <v>6925</v>
      </c>
      <c r="D45" t="s">
        <v>3168</v>
      </c>
      <c r="E45">
        <v>7</v>
      </c>
      <c r="F45" t="s">
        <v>3168</v>
      </c>
      <c r="G45" t="s">
        <v>1744</v>
      </c>
      <c r="H45" t="s">
        <v>3168</v>
      </c>
      <c r="I45" t="s">
        <v>339</v>
      </c>
      <c r="J45" t="s">
        <v>3168</v>
      </c>
      <c r="L45">
        <v>7</v>
      </c>
      <c r="M45" t="s">
        <v>5747</v>
      </c>
      <c r="N45" t="b">
        <f t="shared" si="0"/>
        <v>1</v>
      </c>
      <c r="O45" t="str">
        <f t="shared" si="2"/>
        <v>見習い形成師</v>
      </c>
    </row>
    <row r="46" spans="1:15" x14ac:dyDescent="0.15">
      <c r="A46" t="s">
        <v>3168</v>
      </c>
      <c r="C46" t="s">
        <v>6926</v>
      </c>
      <c r="D46" t="s">
        <v>3168</v>
      </c>
      <c r="E46">
        <v>7</v>
      </c>
      <c r="F46" t="s">
        <v>3168</v>
      </c>
      <c r="G46" t="s">
        <v>1744</v>
      </c>
      <c r="H46" t="s">
        <v>3168</v>
      </c>
      <c r="I46" t="s">
        <v>339</v>
      </c>
      <c r="J46" t="s">
        <v>3168</v>
      </c>
      <c r="L46">
        <v>7</v>
      </c>
      <c r="M46" t="s">
        <v>5749</v>
      </c>
      <c r="N46" t="b">
        <f t="shared" si="0"/>
        <v>1</v>
      </c>
      <c r="O46" t="str">
        <f t="shared" si="2"/>
        <v>難破船あさり</v>
      </c>
    </row>
    <row r="47" spans="1:15" x14ac:dyDescent="0.15">
      <c r="A47" t="s">
        <v>3168</v>
      </c>
      <c r="C47" t="s">
        <v>6927</v>
      </c>
      <c r="D47" t="s">
        <v>3168</v>
      </c>
      <c r="E47">
        <v>11</v>
      </c>
      <c r="F47" t="s">
        <v>3168</v>
      </c>
      <c r="G47" t="s">
        <v>1744</v>
      </c>
      <c r="H47" t="s">
        <v>3168</v>
      </c>
      <c r="I47" t="s">
        <v>339</v>
      </c>
      <c r="J47" t="s">
        <v>3168</v>
      </c>
      <c r="L47">
        <v>11</v>
      </c>
      <c r="M47" t="s">
        <v>5751</v>
      </c>
      <c r="N47" t="b">
        <f t="shared" si="0"/>
        <v>1</v>
      </c>
      <c r="O47" t="str">
        <f t="shared" si="2"/>
        <v>セイレーンの見張り番</v>
      </c>
    </row>
    <row r="48" spans="1:15" x14ac:dyDescent="0.15">
      <c r="A48" t="s">
        <v>3168</v>
      </c>
      <c r="C48" t="s">
        <v>6928</v>
      </c>
      <c r="D48" t="s">
        <v>3168</v>
      </c>
      <c r="E48">
        <v>6</v>
      </c>
      <c r="F48" t="s">
        <v>3168</v>
      </c>
      <c r="G48" t="s">
        <v>1744</v>
      </c>
      <c r="H48" t="s">
        <v>3168</v>
      </c>
      <c r="I48" t="s">
        <v>339</v>
      </c>
      <c r="J48" t="s">
        <v>3168</v>
      </c>
      <c r="L48">
        <v>6</v>
      </c>
      <c r="M48" t="s">
        <v>5754</v>
      </c>
      <c r="N48" t="b">
        <f t="shared" si="0"/>
        <v>1</v>
      </c>
      <c r="O48" t="str">
        <f t="shared" si="2"/>
        <v>水罠織り</v>
      </c>
    </row>
    <row r="49" spans="1:15" x14ac:dyDescent="0.15">
      <c r="A49" t="s">
        <v>3168</v>
      </c>
      <c r="C49" t="s">
        <v>6929</v>
      </c>
      <c r="D49" t="s">
        <v>3168</v>
      </c>
      <c r="E49">
        <v>6</v>
      </c>
      <c r="F49" t="s">
        <v>3168</v>
      </c>
      <c r="G49" t="s">
        <v>1744</v>
      </c>
      <c r="H49" t="s">
        <v>3168</v>
      </c>
      <c r="I49" t="s">
        <v>1453</v>
      </c>
      <c r="J49" t="s">
        <v>3168</v>
      </c>
      <c r="L49">
        <v>6</v>
      </c>
      <c r="M49" t="s">
        <v>5756</v>
      </c>
      <c r="N49" t="b">
        <f t="shared" si="0"/>
        <v>1</v>
      </c>
      <c r="O49" t="str">
        <f t="shared" si="2"/>
        <v>欲望の深み</v>
      </c>
    </row>
    <row r="50" spans="1:15" x14ac:dyDescent="0.15">
      <c r="A50" t="s">
        <v>3168</v>
      </c>
      <c r="C50" t="s">
        <v>6930</v>
      </c>
      <c r="D50" t="s">
        <v>3168</v>
      </c>
      <c r="E50">
        <v>5</v>
      </c>
      <c r="F50" t="s">
        <v>3168</v>
      </c>
      <c r="G50" t="s">
        <v>1744</v>
      </c>
      <c r="H50" t="s">
        <v>3168</v>
      </c>
      <c r="I50" t="s">
        <v>1453</v>
      </c>
      <c r="J50" t="s">
        <v>3168</v>
      </c>
      <c r="L50">
        <v>5</v>
      </c>
      <c r="M50" t="s">
        <v>5758</v>
      </c>
      <c r="N50" t="b">
        <f t="shared" si="0"/>
        <v>1</v>
      </c>
      <c r="O50" t="str">
        <f t="shared" ref="O50:O74" si="3">MID(C50,4,LEN(M50))</f>
        <v>潜水</v>
      </c>
    </row>
    <row r="51" spans="1:15" x14ac:dyDescent="0.15">
      <c r="A51" t="s">
        <v>3168</v>
      </c>
      <c r="C51" t="s">
        <v>6931</v>
      </c>
      <c r="D51" t="s">
        <v>3168</v>
      </c>
      <c r="E51">
        <v>6</v>
      </c>
      <c r="F51" t="s">
        <v>3168</v>
      </c>
      <c r="G51" t="s">
        <v>1744</v>
      </c>
      <c r="H51" t="s">
        <v>3168</v>
      </c>
      <c r="I51" t="s">
        <v>1453</v>
      </c>
      <c r="J51" t="s">
        <v>3168</v>
      </c>
      <c r="L51">
        <v>6</v>
      </c>
      <c r="M51" t="s">
        <v>5760</v>
      </c>
      <c r="N51" t="b">
        <f t="shared" si="0"/>
        <v>1</v>
      </c>
      <c r="O51" t="str">
        <f t="shared" si="3"/>
        <v>風と共に</v>
      </c>
    </row>
    <row r="52" spans="1:15" x14ac:dyDescent="0.15">
      <c r="A52" t="s">
        <v>3168</v>
      </c>
      <c r="C52" t="s">
        <v>6932</v>
      </c>
      <c r="D52" t="s">
        <v>3168</v>
      </c>
      <c r="E52">
        <v>5</v>
      </c>
      <c r="F52" t="s">
        <v>3168</v>
      </c>
      <c r="G52" t="s">
        <v>1744</v>
      </c>
      <c r="H52" t="s">
        <v>3168</v>
      </c>
      <c r="I52" t="s">
        <v>1453</v>
      </c>
      <c r="J52" t="s">
        <v>3168</v>
      </c>
      <c r="L52">
        <v>5</v>
      </c>
      <c r="M52" t="s">
        <v>5762</v>
      </c>
      <c r="N52" t="b">
        <f t="shared" si="0"/>
        <v>1</v>
      </c>
      <c r="O52" t="str">
        <f t="shared" si="3"/>
        <v>危険な航海</v>
      </c>
    </row>
    <row r="53" spans="1:15" x14ac:dyDescent="0.15">
      <c r="A53" t="s">
        <v>3168</v>
      </c>
      <c r="C53" t="s">
        <v>6933</v>
      </c>
      <c r="D53" t="s">
        <v>3168</v>
      </c>
      <c r="E53">
        <v>6</v>
      </c>
      <c r="F53" t="s">
        <v>3168</v>
      </c>
      <c r="G53" t="s">
        <v>1744</v>
      </c>
      <c r="H53" t="s">
        <v>3168</v>
      </c>
      <c r="I53" t="s">
        <v>1453</v>
      </c>
      <c r="J53" t="s">
        <v>3168</v>
      </c>
      <c r="L53">
        <v>6</v>
      </c>
      <c r="M53" t="s">
        <v>5764</v>
      </c>
      <c r="N53" t="b">
        <f t="shared" si="0"/>
        <v>1</v>
      </c>
      <c r="O53" t="str">
        <f t="shared" si="3"/>
        <v>海賊の獲物</v>
      </c>
    </row>
    <row r="54" spans="1:15" x14ac:dyDescent="0.15">
      <c r="A54" t="s">
        <v>3168</v>
      </c>
      <c r="C54" t="s">
        <v>6934</v>
      </c>
      <c r="D54" t="s">
        <v>3168</v>
      </c>
      <c r="E54">
        <v>6</v>
      </c>
      <c r="F54" t="s">
        <v>3168</v>
      </c>
      <c r="G54" t="s">
        <v>1744</v>
      </c>
      <c r="H54" t="s">
        <v>3168</v>
      </c>
      <c r="I54" t="s">
        <v>1453</v>
      </c>
      <c r="J54" t="s">
        <v>3168</v>
      </c>
      <c r="L54">
        <v>6</v>
      </c>
      <c r="M54" t="s">
        <v>5766</v>
      </c>
      <c r="N54" t="b">
        <f t="shared" si="0"/>
        <v>1</v>
      </c>
      <c r="O54" t="str">
        <f t="shared" si="3"/>
        <v>セイレーンの策略</v>
      </c>
    </row>
    <row r="55" spans="1:15" x14ac:dyDescent="0.15">
      <c r="A55" t="s">
        <v>3168</v>
      </c>
      <c r="C55" t="s">
        <v>6935</v>
      </c>
      <c r="D55" t="s">
        <v>3168</v>
      </c>
      <c r="E55">
        <v>11</v>
      </c>
      <c r="F55" t="s">
        <v>3168</v>
      </c>
      <c r="G55" t="s">
        <v>1451</v>
      </c>
      <c r="H55" t="s">
        <v>3168</v>
      </c>
      <c r="I55" t="s">
        <v>339</v>
      </c>
      <c r="J55" t="s">
        <v>3168</v>
      </c>
      <c r="L55">
        <v>11</v>
      </c>
      <c r="M55" t="s">
        <v>5768</v>
      </c>
      <c r="N55" t="b">
        <f t="shared" si="0"/>
        <v>1</v>
      </c>
      <c r="O55" t="str">
        <f t="shared" si="3"/>
        <v>巧射艦隊の操舵手</v>
      </c>
    </row>
    <row r="56" spans="1:15" x14ac:dyDescent="0.15">
      <c r="A56" t="s">
        <v>3168</v>
      </c>
      <c r="C56" t="s">
        <v>6936</v>
      </c>
      <c r="D56" t="s">
        <v>3168</v>
      </c>
      <c r="E56">
        <v>8</v>
      </c>
      <c r="F56" t="s">
        <v>3168</v>
      </c>
      <c r="G56" t="s">
        <v>1451</v>
      </c>
      <c r="H56" t="s">
        <v>3168</v>
      </c>
      <c r="I56" t="s">
        <v>339</v>
      </c>
      <c r="J56" t="s">
        <v>3168</v>
      </c>
      <c r="L56">
        <v>8</v>
      </c>
      <c r="M56" t="s">
        <v>5770</v>
      </c>
      <c r="N56" t="b">
        <f t="shared" si="0"/>
        <v>1</v>
      </c>
      <c r="O56" t="str">
        <f t="shared" si="3"/>
        <v>川潜み</v>
      </c>
    </row>
    <row r="57" spans="1:15" x14ac:dyDescent="0.15">
      <c r="A57" t="s">
        <v>3168</v>
      </c>
      <c r="C57" t="s">
        <v>6937</v>
      </c>
      <c r="D57" t="s">
        <v>3168</v>
      </c>
      <c r="E57">
        <v>10</v>
      </c>
      <c r="F57" t="s">
        <v>3168</v>
      </c>
      <c r="G57" t="s">
        <v>1451</v>
      </c>
      <c r="H57" t="s">
        <v>3168</v>
      </c>
      <c r="I57" t="s">
        <v>339</v>
      </c>
      <c r="J57" t="s">
        <v>3168</v>
      </c>
      <c r="L57">
        <v>10</v>
      </c>
      <c r="M57" t="s">
        <v>5773</v>
      </c>
      <c r="N57" t="b">
        <f t="shared" si="0"/>
        <v>1</v>
      </c>
      <c r="O57" t="str">
        <f t="shared" si="3"/>
        <v>岸の守り手</v>
      </c>
    </row>
    <row r="58" spans="1:15" x14ac:dyDescent="0.15">
      <c r="A58" t="s">
        <v>3168</v>
      </c>
      <c r="C58" t="s">
        <v>6938</v>
      </c>
      <c r="D58" t="s">
        <v>3168</v>
      </c>
      <c r="E58">
        <v>10</v>
      </c>
      <c r="F58" t="s">
        <v>3168</v>
      </c>
      <c r="G58" t="s">
        <v>1451</v>
      </c>
      <c r="H58" t="s">
        <v>3168</v>
      </c>
      <c r="I58" t="s">
        <v>339</v>
      </c>
      <c r="J58" t="s">
        <v>3168</v>
      </c>
      <c r="L58">
        <v>10</v>
      </c>
      <c r="M58" t="s">
        <v>5776</v>
      </c>
      <c r="N58" t="b">
        <f t="shared" si="0"/>
        <v>1</v>
      </c>
      <c r="O58" t="str">
        <f t="shared" si="3"/>
        <v>風雲艦隊の空中要員</v>
      </c>
    </row>
    <row r="59" spans="1:15" x14ac:dyDescent="0.15">
      <c r="A59" t="s">
        <v>3168</v>
      </c>
      <c r="C59" t="s">
        <v>6939</v>
      </c>
      <c r="D59" t="s">
        <v>3168</v>
      </c>
      <c r="E59">
        <v>12</v>
      </c>
      <c r="F59" t="s">
        <v>3168</v>
      </c>
      <c r="G59" t="s">
        <v>1451</v>
      </c>
      <c r="H59" t="s">
        <v>3168</v>
      </c>
      <c r="I59" t="s">
        <v>339</v>
      </c>
      <c r="J59" t="s">
        <v>3168</v>
      </c>
      <c r="L59">
        <v>12</v>
      </c>
      <c r="M59" t="s">
        <v>5778</v>
      </c>
      <c r="N59" t="b">
        <f t="shared" si="0"/>
        <v>1</v>
      </c>
      <c r="O59" t="str">
        <f t="shared" si="3"/>
        <v>大嵐呼び</v>
      </c>
    </row>
    <row r="60" spans="1:15" x14ac:dyDescent="0.15">
      <c r="A60" t="s">
        <v>3168</v>
      </c>
      <c r="C60" t="s">
        <v>6940</v>
      </c>
      <c r="D60" t="s">
        <v>3168</v>
      </c>
      <c r="E60">
        <v>5</v>
      </c>
      <c r="F60" t="s">
        <v>3168</v>
      </c>
      <c r="G60" t="s">
        <v>1451</v>
      </c>
      <c r="H60" t="s">
        <v>3168</v>
      </c>
      <c r="I60" t="s">
        <v>1453</v>
      </c>
      <c r="J60" t="s">
        <v>3168</v>
      </c>
      <c r="L60">
        <v>5</v>
      </c>
      <c r="M60" t="s">
        <v>5780</v>
      </c>
      <c r="N60" t="b">
        <f t="shared" si="0"/>
        <v>1</v>
      </c>
      <c r="O60" t="str">
        <f t="shared" si="3"/>
        <v>航路の作成</v>
      </c>
    </row>
    <row r="61" spans="1:15" x14ac:dyDescent="0.15">
      <c r="A61" t="s">
        <v>3168</v>
      </c>
      <c r="C61" t="s">
        <v>6941</v>
      </c>
      <c r="D61" t="s">
        <v>3168</v>
      </c>
      <c r="E61">
        <v>8</v>
      </c>
      <c r="F61" t="s">
        <v>3168</v>
      </c>
      <c r="G61" t="s">
        <v>1451</v>
      </c>
      <c r="H61" t="s">
        <v>3168</v>
      </c>
      <c r="I61" t="s">
        <v>1453</v>
      </c>
      <c r="J61" t="s">
        <v>3168</v>
      </c>
      <c r="L61">
        <v>8</v>
      </c>
      <c r="M61" t="s">
        <v>5782</v>
      </c>
      <c r="N61" t="b">
        <f t="shared" si="0"/>
        <v>1</v>
      </c>
      <c r="O61" t="str">
        <f t="shared" si="3"/>
        <v>見張りによる消散</v>
      </c>
    </row>
    <row r="62" spans="1:15" x14ac:dyDescent="0.15">
      <c r="A62" t="s">
        <v>3168</v>
      </c>
      <c r="C62" t="s">
        <v>6942</v>
      </c>
      <c r="D62" t="s">
        <v>3168</v>
      </c>
      <c r="E62">
        <v>10</v>
      </c>
      <c r="F62" t="s">
        <v>3168</v>
      </c>
      <c r="G62" t="s">
        <v>1451</v>
      </c>
      <c r="H62" t="s">
        <v>3168</v>
      </c>
      <c r="I62" t="s">
        <v>288</v>
      </c>
      <c r="J62" t="s">
        <v>3168</v>
      </c>
      <c r="L62">
        <v>10</v>
      </c>
      <c r="M62" t="s">
        <v>5784</v>
      </c>
      <c r="N62" t="b">
        <f t="shared" si="0"/>
        <v>1</v>
      </c>
      <c r="O62" t="str">
        <f t="shared" si="3"/>
        <v>深根の水域</v>
      </c>
    </row>
    <row r="63" spans="1:15" x14ac:dyDescent="0.15">
      <c r="A63" t="s">
        <v>3168</v>
      </c>
      <c r="C63" t="s">
        <v>6943</v>
      </c>
      <c r="D63" t="s">
        <v>3168</v>
      </c>
      <c r="E63">
        <v>7</v>
      </c>
      <c r="F63" t="s">
        <v>3168</v>
      </c>
      <c r="G63" t="s">
        <v>1451</v>
      </c>
      <c r="H63" t="s">
        <v>3168</v>
      </c>
      <c r="I63" t="s">
        <v>288</v>
      </c>
      <c r="J63" t="s">
        <v>3168</v>
      </c>
      <c r="L63">
        <v>7</v>
      </c>
      <c r="M63" t="s">
        <v>5786</v>
      </c>
      <c r="N63" t="b">
        <f t="shared" si="0"/>
        <v>1</v>
      </c>
      <c r="O63" t="str">
        <f t="shared" si="3"/>
        <v>順風</v>
      </c>
    </row>
    <row r="64" spans="1:15" x14ac:dyDescent="0.15">
      <c r="A64" t="s">
        <v>3168</v>
      </c>
      <c r="C64" t="s">
        <v>6944</v>
      </c>
      <c r="D64" t="s">
        <v>3168</v>
      </c>
      <c r="E64">
        <v>10</v>
      </c>
      <c r="F64" t="s">
        <v>3168</v>
      </c>
      <c r="G64" t="s">
        <v>1441</v>
      </c>
      <c r="H64" t="s">
        <v>3168</v>
      </c>
      <c r="I64" t="s">
        <v>339</v>
      </c>
      <c r="J64" t="s">
        <v>3168</v>
      </c>
      <c r="L64">
        <v>10</v>
      </c>
      <c r="M64" t="s">
        <v>5788</v>
      </c>
      <c r="N64" t="b">
        <f t="shared" si="0"/>
        <v>1</v>
      </c>
      <c r="O64" t="str">
        <f t="shared" si="3"/>
        <v>勇敢な妨害工作員</v>
      </c>
    </row>
    <row r="65" spans="1:15" x14ac:dyDescent="0.15">
      <c r="A65" t="s">
        <v>3168</v>
      </c>
      <c r="C65" t="s">
        <v>6945</v>
      </c>
      <c r="D65" t="s">
        <v>3168</v>
      </c>
      <c r="E65">
        <v>18</v>
      </c>
      <c r="F65" t="s">
        <v>3168</v>
      </c>
      <c r="G65" t="s">
        <v>1441</v>
      </c>
      <c r="H65" t="s">
        <v>3168</v>
      </c>
      <c r="I65" t="s">
        <v>339</v>
      </c>
      <c r="J65" t="s">
        <v>3168</v>
      </c>
      <c r="L65">
        <v>18</v>
      </c>
      <c r="M65" t="s">
        <v>5790</v>
      </c>
      <c r="N65" t="b">
        <f t="shared" si="0"/>
        <v>1</v>
      </c>
      <c r="O65" t="str">
        <f t="shared" si="3"/>
        <v>船団呑み</v>
      </c>
    </row>
    <row r="66" spans="1:15" x14ac:dyDescent="0.15">
      <c r="A66" t="s">
        <v>3168</v>
      </c>
      <c r="C66" t="s">
        <v>6946</v>
      </c>
      <c r="D66" t="s">
        <v>3168</v>
      </c>
      <c r="E66">
        <v>11</v>
      </c>
      <c r="F66" t="s">
        <v>3168</v>
      </c>
      <c r="G66" t="s">
        <v>1441</v>
      </c>
      <c r="H66" t="s">
        <v>3168</v>
      </c>
      <c r="I66" t="s">
        <v>339</v>
      </c>
      <c r="J66" t="s">
        <v>3168</v>
      </c>
      <c r="L66">
        <v>11</v>
      </c>
      <c r="M66" t="s">
        <v>5793</v>
      </c>
      <c r="N66" t="b">
        <f t="shared" si="0"/>
        <v>1</v>
      </c>
      <c r="O66" t="str">
        <f t="shared" si="3"/>
        <v>秘滝の軍使</v>
      </c>
    </row>
    <row r="67" spans="1:15" x14ac:dyDescent="0.15">
      <c r="A67" t="s">
        <v>3168</v>
      </c>
      <c r="C67" t="s">
        <v>6947</v>
      </c>
      <c r="D67" t="s">
        <v>3168</v>
      </c>
      <c r="E67">
        <v>11</v>
      </c>
      <c r="F67" t="s">
        <v>3168</v>
      </c>
      <c r="G67" t="s">
        <v>1441</v>
      </c>
      <c r="H67" t="s">
        <v>3168</v>
      </c>
      <c r="I67" t="s">
        <v>339</v>
      </c>
      <c r="J67" t="s">
        <v>3168</v>
      </c>
      <c r="L67">
        <v>11</v>
      </c>
      <c r="M67" t="s">
        <v>5795</v>
      </c>
      <c r="N67" t="b">
        <f t="shared" si="0"/>
        <v>1</v>
      </c>
      <c r="O67" t="str">
        <f t="shared" si="3"/>
        <v>セイレーンの嵐鎮め</v>
      </c>
    </row>
    <row r="68" spans="1:15" x14ac:dyDescent="0.15">
      <c r="A68" t="s">
        <v>3168</v>
      </c>
      <c r="C68" t="s">
        <v>6948</v>
      </c>
      <c r="D68" t="s">
        <v>3168</v>
      </c>
      <c r="E68">
        <v>13</v>
      </c>
      <c r="F68" t="s">
        <v>3168</v>
      </c>
      <c r="G68" t="s">
        <v>1441</v>
      </c>
      <c r="H68" t="s">
        <v>3168</v>
      </c>
      <c r="I68" t="s">
        <v>1453</v>
      </c>
      <c r="J68" t="s">
        <v>3168</v>
      </c>
      <c r="L68">
        <v>13</v>
      </c>
      <c r="M68" t="s">
        <v>5797</v>
      </c>
      <c r="N68" t="b">
        <f t="shared" si="0"/>
        <v>1</v>
      </c>
      <c r="O68" t="str">
        <f t="shared" si="3"/>
        <v>溢れ出る洞察</v>
      </c>
    </row>
    <row r="69" spans="1:15" x14ac:dyDescent="0.15">
      <c r="A69" t="s">
        <v>3168</v>
      </c>
      <c r="C69" t="s">
        <v>6949</v>
      </c>
      <c r="D69" t="s">
        <v>3168</v>
      </c>
      <c r="E69">
        <v>21</v>
      </c>
      <c r="F69" t="s">
        <v>3168</v>
      </c>
      <c r="G69" t="s">
        <v>1441</v>
      </c>
      <c r="H69" t="s">
        <v>3168</v>
      </c>
      <c r="I69" t="s">
        <v>1453</v>
      </c>
      <c r="J69" t="s">
        <v>3168</v>
      </c>
      <c r="L69">
        <v>21</v>
      </c>
      <c r="M69" t="s">
        <v>5799</v>
      </c>
      <c r="N69" t="b">
        <f t="shared" si="0"/>
        <v>1</v>
      </c>
      <c r="O69" t="str">
        <f t="shared" si="3"/>
        <v>川の叱責</v>
      </c>
    </row>
    <row r="70" spans="1:15" x14ac:dyDescent="0.15">
      <c r="A70" t="s">
        <v>3168</v>
      </c>
      <c r="C70" t="s">
        <v>6950</v>
      </c>
      <c r="D70" t="s">
        <v>3168</v>
      </c>
      <c r="E70">
        <v>6</v>
      </c>
      <c r="F70" t="s">
        <v>3168</v>
      </c>
      <c r="G70" t="s">
        <v>1441</v>
      </c>
      <c r="H70" t="s">
        <v>3168</v>
      </c>
      <c r="I70" t="s">
        <v>288</v>
      </c>
      <c r="J70" t="s">
        <v>3168</v>
      </c>
      <c r="L70">
        <v>6</v>
      </c>
      <c r="M70" t="s">
        <v>5801</v>
      </c>
      <c r="N70" t="b">
        <f t="shared" si="0"/>
        <v>1</v>
      </c>
      <c r="O70" t="str">
        <f t="shared" si="3"/>
        <v>秘儀での順応</v>
      </c>
    </row>
    <row r="71" spans="1:15" x14ac:dyDescent="0.15">
      <c r="A71" t="s">
        <v>3168</v>
      </c>
      <c r="C71" t="s">
        <v>6951</v>
      </c>
      <c r="D71" t="s">
        <v>3168</v>
      </c>
      <c r="E71">
        <v>14</v>
      </c>
      <c r="F71" t="s">
        <v>3168</v>
      </c>
      <c r="G71" t="s">
        <v>1431</v>
      </c>
      <c r="H71" t="s">
        <v>3168</v>
      </c>
      <c r="I71" t="s">
        <v>339</v>
      </c>
      <c r="J71" t="s">
        <v>3168</v>
      </c>
      <c r="L71">
        <v>14</v>
      </c>
      <c r="M71" t="s">
        <v>5803</v>
      </c>
      <c r="N71" t="b">
        <f t="shared" si="0"/>
        <v>1</v>
      </c>
      <c r="O71" t="str">
        <f t="shared" si="3"/>
        <v>波を司る者、コパラ</v>
      </c>
    </row>
    <row r="72" spans="1:15" x14ac:dyDescent="0.15">
      <c r="A72" t="s">
        <v>3168</v>
      </c>
      <c r="C72" t="s">
        <v>6952</v>
      </c>
      <c r="D72" t="s">
        <v>3168</v>
      </c>
      <c r="E72">
        <v>10</v>
      </c>
      <c r="F72" t="s">
        <v>3168</v>
      </c>
      <c r="G72" t="s">
        <v>1431</v>
      </c>
      <c r="H72" t="s">
        <v>3168</v>
      </c>
      <c r="I72" t="s">
        <v>1453</v>
      </c>
      <c r="J72" t="s">
        <v>3168</v>
      </c>
      <c r="L72">
        <v>10</v>
      </c>
      <c r="M72" t="s">
        <v>5805</v>
      </c>
      <c r="N72" t="b">
        <f t="shared" si="0"/>
        <v>1</v>
      </c>
      <c r="O72" t="str">
        <f t="shared" si="3"/>
        <v>呪文詐欺</v>
      </c>
    </row>
    <row r="73" spans="1:15" x14ac:dyDescent="0.15">
      <c r="A73" t="s">
        <v>3168</v>
      </c>
      <c r="C73" t="s">
        <v>6953</v>
      </c>
      <c r="D73" t="s">
        <v>3168</v>
      </c>
      <c r="E73">
        <v>7</v>
      </c>
      <c r="F73" t="s">
        <v>3168</v>
      </c>
      <c r="G73" t="s">
        <v>1431</v>
      </c>
      <c r="H73" t="s">
        <v>3168</v>
      </c>
      <c r="I73" t="s">
        <v>288</v>
      </c>
      <c r="J73" t="s">
        <v>3168</v>
      </c>
      <c r="L73">
        <v>7</v>
      </c>
      <c r="M73" t="s">
        <v>5807</v>
      </c>
      <c r="N73" t="b">
        <f t="shared" si="0"/>
        <v>1</v>
      </c>
      <c r="O73" t="str">
        <f t="shared" si="3"/>
        <v>アズカンタの探索</v>
      </c>
    </row>
    <row r="74" spans="1:15" x14ac:dyDescent="0.15">
      <c r="E74">
        <v>0</v>
      </c>
      <c r="L74">
        <v>0</v>
      </c>
      <c r="M74" t="s">
        <v>6232</v>
      </c>
      <c r="N74" t="b">
        <f t="shared" si="0"/>
        <v>0</v>
      </c>
      <c r="O74" t="str">
        <f t="shared" si="3"/>
        <v/>
      </c>
    </row>
    <row r="75" spans="1:15" x14ac:dyDescent="0.15">
      <c r="B75" t="s">
        <v>6884</v>
      </c>
      <c r="N75" t="b">
        <f t="shared" si="0"/>
        <v>1</v>
      </c>
      <c r="O75" t="str">
        <f t="shared" ref="O75:O82" si="4">MID(C75,4,LEN(M75))</f>
        <v/>
      </c>
    </row>
    <row r="76" spans="1:15" x14ac:dyDescent="0.15">
      <c r="A76" t="s">
        <v>3168</v>
      </c>
      <c r="C76" t="s">
        <v>3163</v>
      </c>
      <c r="D76" t="s">
        <v>3168</v>
      </c>
      <c r="E76" t="s">
        <v>3162</v>
      </c>
      <c r="F76" t="s">
        <v>3168</v>
      </c>
      <c r="G76" t="s">
        <v>6891</v>
      </c>
      <c r="H76" t="s">
        <v>3168</v>
      </c>
      <c r="I76" t="s">
        <v>6892</v>
      </c>
      <c r="J76" t="s">
        <v>3168</v>
      </c>
      <c r="K76" t="s">
        <v>3164</v>
      </c>
      <c r="L76" t="s">
        <v>3162</v>
      </c>
      <c r="N76" t="b">
        <f t="shared" si="0"/>
        <v>1</v>
      </c>
      <c r="O76" t="str">
        <f t="shared" si="4"/>
        <v/>
      </c>
    </row>
    <row r="77" spans="1:15" x14ac:dyDescent="0.15">
      <c r="A77" t="s">
        <v>3168</v>
      </c>
      <c r="C77" t="s">
        <v>3166</v>
      </c>
      <c r="D77" t="s">
        <v>3168</v>
      </c>
      <c r="E77" t="s">
        <v>3165</v>
      </c>
      <c r="F77" t="s">
        <v>3168</v>
      </c>
      <c r="G77" t="s">
        <v>6893</v>
      </c>
      <c r="H77" t="s">
        <v>3168</v>
      </c>
      <c r="I77" t="s">
        <v>6894</v>
      </c>
      <c r="J77" t="s">
        <v>3168</v>
      </c>
      <c r="L77" t="s">
        <v>3165</v>
      </c>
      <c r="N77" t="b">
        <f t="shared" si="0"/>
        <v>1</v>
      </c>
      <c r="O77" t="str">
        <f t="shared" si="4"/>
        <v/>
      </c>
    </row>
    <row r="78" spans="1:15" x14ac:dyDescent="0.15">
      <c r="A78" t="s">
        <v>3168</v>
      </c>
      <c r="C78" t="s">
        <v>6954</v>
      </c>
      <c r="D78" t="s">
        <v>3168</v>
      </c>
      <c r="E78">
        <v>10</v>
      </c>
      <c r="F78" t="s">
        <v>3168</v>
      </c>
      <c r="G78" t="s">
        <v>1744</v>
      </c>
      <c r="H78" t="s">
        <v>3168</v>
      </c>
      <c r="I78" t="s">
        <v>339</v>
      </c>
      <c r="J78" t="s">
        <v>3168</v>
      </c>
      <c r="L78">
        <v>10</v>
      </c>
      <c r="M78" t="s">
        <v>5809</v>
      </c>
      <c r="N78" t="b">
        <f t="shared" si="0"/>
        <v>1</v>
      </c>
      <c r="O78" t="str">
        <f t="shared" si="4"/>
        <v>巧射艦隊の拷問者</v>
      </c>
    </row>
    <row r="79" spans="1:15" x14ac:dyDescent="0.15">
      <c r="A79" t="s">
        <v>3168</v>
      </c>
      <c r="C79" t="s">
        <v>6955</v>
      </c>
      <c r="D79" t="s">
        <v>3168</v>
      </c>
      <c r="E79">
        <v>9</v>
      </c>
      <c r="F79" t="s">
        <v>3168</v>
      </c>
      <c r="G79" t="s">
        <v>1744</v>
      </c>
      <c r="H79" t="s">
        <v>3168</v>
      </c>
      <c r="I79" t="s">
        <v>339</v>
      </c>
      <c r="J79" t="s">
        <v>3168</v>
      </c>
      <c r="L79">
        <v>9</v>
      </c>
      <c r="M79" t="s">
        <v>5811</v>
      </c>
      <c r="N79" t="b">
        <f t="shared" si="0"/>
        <v>1</v>
      </c>
      <c r="O79" t="str">
        <f t="shared" si="4"/>
        <v>自暴自棄の漂流者</v>
      </c>
    </row>
    <row r="80" spans="1:15" x14ac:dyDescent="0.15">
      <c r="A80" t="s">
        <v>3168</v>
      </c>
      <c r="C80" t="s">
        <v>6956</v>
      </c>
      <c r="D80" t="s">
        <v>3168</v>
      </c>
      <c r="E80">
        <v>9</v>
      </c>
      <c r="F80" t="s">
        <v>3168</v>
      </c>
      <c r="G80" t="s">
        <v>1744</v>
      </c>
      <c r="H80" t="s">
        <v>3168</v>
      </c>
      <c r="I80" t="s">
        <v>339</v>
      </c>
      <c r="J80" t="s">
        <v>3168</v>
      </c>
      <c r="L80">
        <v>9</v>
      </c>
      <c r="M80" t="s">
        <v>5813</v>
      </c>
      <c r="N80" t="b">
        <f t="shared" si="0"/>
        <v>1</v>
      </c>
      <c r="O80" t="str">
        <f t="shared" si="4"/>
        <v>凶兆艦隊の貯め込み屋</v>
      </c>
    </row>
    <row r="81" spans="1:15" x14ac:dyDescent="0.15">
      <c r="A81" t="s">
        <v>3168</v>
      </c>
      <c r="C81" t="s">
        <v>6957</v>
      </c>
      <c r="D81" t="s">
        <v>3168</v>
      </c>
      <c r="E81">
        <v>11</v>
      </c>
      <c r="F81" t="s">
        <v>3168</v>
      </c>
      <c r="G81" t="s">
        <v>1744</v>
      </c>
      <c r="H81" t="s">
        <v>3168</v>
      </c>
      <c r="I81" t="s">
        <v>339</v>
      </c>
      <c r="J81" t="s">
        <v>3168</v>
      </c>
      <c r="L81">
        <v>11</v>
      </c>
      <c r="M81" t="s">
        <v>5815</v>
      </c>
      <c r="N81" t="b">
        <f t="shared" si="0"/>
        <v>1</v>
      </c>
      <c r="O81" t="str">
        <f t="shared" si="4"/>
        <v>凶兆艦隊の侵入者</v>
      </c>
    </row>
    <row r="82" spans="1:15" x14ac:dyDescent="0.15">
      <c r="A82" t="s">
        <v>3168</v>
      </c>
      <c r="C82" t="s">
        <v>6958</v>
      </c>
      <c r="D82" t="s">
        <v>3168</v>
      </c>
      <c r="E82">
        <v>11</v>
      </c>
      <c r="F82" t="s">
        <v>3168</v>
      </c>
      <c r="G82" t="s">
        <v>1744</v>
      </c>
      <c r="H82" t="s">
        <v>3168</v>
      </c>
      <c r="I82" t="s">
        <v>339</v>
      </c>
      <c r="J82" t="s">
        <v>3168</v>
      </c>
      <c r="L82">
        <v>11</v>
      </c>
      <c r="M82" t="s">
        <v>5817</v>
      </c>
      <c r="N82" t="b">
        <f t="shared" si="0"/>
        <v>1</v>
      </c>
      <c r="O82" t="str">
        <f t="shared" si="4"/>
        <v>隠れ潜むチュパカブラ</v>
      </c>
    </row>
    <row r="83" spans="1:15" x14ac:dyDescent="0.15">
      <c r="A83" t="s">
        <v>3168</v>
      </c>
      <c r="C83" t="s">
        <v>6959</v>
      </c>
      <c r="D83" t="s">
        <v>3168</v>
      </c>
      <c r="E83">
        <v>16</v>
      </c>
      <c r="F83" t="s">
        <v>3168</v>
      </c>
      <c r="G83" t="s">
        <v>1744</v>
      </c>
      <c r="H83" t="s">
        <v>3168</v>
      </c>
      <c r="I83" t="s">
        <v>339</v>
      </c>
      <c r="J83" t="s">
        <v>3168</v>
      </c>
      <c r="L83">
        <v>16</v>
      </c>
      <c r="M83" t="s">
        <v>5819</v>
      </c>
      <c r="N83" t="b">
        <f t="shared" ref="N83:N152" si="5">EXACT(M83,O83)</f>
        <v>1</v>
      </c>
      <c r="O83" t="str">
        <f t="shared" ref="O83:O107" si="6">MID(C83,4,LEN(M83))</f>
        <v>女王の工作員</v>
      </c>
    </row>
    <row r="84" spans="1:15" x14ac:dyDescent="0.15">
      <c r="A84" t="s">
        <v>3168</v>
      </c>
      <c r="C84" t="s">
        <v>6960</v>
      </c>
      <c r="D84" t="s">
        <v>3168</v>
      </c>
      <c r="E84">
        <v>8</v>
      </c>
      <c r="F84" t="s">
        <v>3168</v>
      </c>
      <c r="G84" t="s">
        <v>1744</v>
      </c>
      <c r="H84" t="s">
        <v>3168</v>
      </c>
      <c r="I84" t="s">
        <v>339</v>
      </c>
      <c r="J84" t="s">
        <v>3168</v>
      </c>
      <c r="L84">
        <v>8</v>
      </c>
      <c r="M84" t="s">
        <v>5821</v>
      </c>
      <c r="N84" t="b">
        <f t="shared" si="5"/>
        <v>1</v>
      </c>
      <c r="O84" t="str">
        <f t="shared" si="6"/>
        <v>探求者の従者</v>
      </c>
    </row>
    <row r="85" spans="1:15" x14ac:dyDescent="0.15">
      <c r="A85" t="s">
        <v>3168</v>
      </c>
      <c r="C85" t="s">
        <v>6961</v>
      </c>
      <c r="D85" t="s">
        <v>3168</v>
      </c>
      <c r="E85">
        <v>9</v>
      </c>
      <c r="F85" t="s">
        <v>3168</v>
      </c>
      <c r="G85" t="s">
        <v>1744</v>
      </c>
      <c r="H85" t="s">
        <v>3168</v>
      </c>
      <c r="I85" t="s">
        <v>339</v>
      </c>
      <c r="J85" t="s">
        <v>3168</v>
      </c>
      <c r="L85">
        <v>9</v>
      </c>
      <c r="M85" t="s">
        <v>5823</v>
      </c>
      <c r="N85" t="b">
        <f t="shared" si="5"/>
        <v>1</v>
      </c>
      <c r="O85" t="str">
        <f t="shared" si="6"/>
        <v>指名手配の獄道者</v>
      </c>
    </row>
    <row r="86" spans="1:15" x14ac:dyDescent="0.15">
      <c r="A86" t="s">
        <v>3168</v>
      </c>
      <c r="C86" t="s">
        <v>6962</v>
      </c>
      <c r="D86" t="s">
        <v>3168</v>
      </c>
      <c r="E86">
        <v>10</v>
      </c>
      <c r="F86" t="s">
        <v>3168</v>
      </c>
      <c r="G86" t="s">
        <v>1744</v>
      </c>
      <c r="H86" t="s">
        <v>3168</v>
      </c>
      <c r="I86" t="s">
        <v>1453</v>
      </c>
      <c r="J86" t="s">
        <v>3168</v>
      </c>
      <c r="L86">
        <v>10</v>
      </c>
      <c r="M86" t="s">
        <v>5825</v>
      </c>
      <c r="N86" t="b">
        <f t="shared" si="5"/>
        <v>1</v>
      </c>
      <c r="O86" t="str">
        <f t="shared" si="6"/>
        <v>依頼殺人</v>
      </c>
    </row>
    <row r="87" spans="1:15" x14ac:dyDescent="0.15">
      <c r="A87" t="s">
        <v>3168</v>
      </c>
      <c r="C87" t="s">
        <v>6963</v>
      </c>
      <c r="D87" t="s">
        <v>3168</v>
      </c>
      <c r="E87">
        <v>3</v>
      </c>
      <c r="F87" t="s">
        <v>3168</v>
      </c>
      <c r="G87" t="s">
        <v>1744</v>
      </c>
      <c r="H87" t="s">
        <v>3168</v>
      </c>
      <c r="I87" t="s">
        <v>1453</v>
      </c>
      <c r="J87" t="s">
        <v>3168</v>
      </c>
      <c r="L87">
        <v>3</v>
      </c>
      <c r="M87" t="s">
        <v>5827</v>
      </c>
      <c r="N87" t="b">
        <f t="shared" si="5"/>
        <v>1</v>
      </c>
      <c r="O87" t="str">
        <f t="shared" si="6"/>
        <v>高くつく略奪</v>
      </c>
    </row>
    <row r="88" spans="1:15" x14ac:dyDescent="0.15">
      <c r="A88" t="s">
        <v>3168</v>
      </c>
      <c r="C88" t="s">
        <v>6964</v>
      </c>
      <c r="D88" t="s">
        <v>3168</v>
      </c>
      <c r="E88">
        <v>8</v>
      </c>
      <c r="F88" t="s">
        <v>3168</v>
      </c>
      <c r="G88" t="s">
        <v>1744</v>
      </c>
      <c r="H88" t="s">
        <v>3168</v>
      </c>
      <c r="I88" t="s">
        <v>1453</v>
      </c>
      <c r="J88" t="s">
        <v>3168</v>
      </c>
      <c r="L88">
        <v>8</v>
      </c>
      <c r="M88" t="s">
        <v>5829</v>
      </c>
      <c r="N88" t="b">
        <f t="shared" si="5"/>
        <v>1</v>
      </c>
      <c r="O88" t="str">
        <f t="shared" si="6"/>
        <v>無情な略奪</v>
      </c>
    </row>
    <row r="89" spans="1:15" x14ac:dyDescent="0.15">
      <c r="A89" t="s">
        <v>3168</v>
      </c>
      <c r="C89" t="s">
        <v>6965</v>
      </c>
      <c r="D89" t="s">
        <v>3168</v>
      </c>
      <c r="E89">
        <v>9</v>
      </c>
      <c r="F89" t="s">
        <v>3168</v>
      </c>
      <c r="G89" t="s">
        <v>1451</v>
      </c>
      <c r="H89" t="s">
        <v>3168</v>
      </c>
      <c r="I89" t="s">
        <v>339</v>
      </c>
      <c r="J89" t="s">
        <v>3168</v>
      </c>
      <c r="L89">
        <v>9</v>
      </c>
      <c r="M89" t="s">
        <v>5831</v>
      </c>
      <c r="N89" t="b">
        <f t="shared" si="5"/>
        <v>1</v>
      </c>
      <c r="O89" t="str">
        <f t="shared" si="6"/>
        <v>立ち枯れの守り手</v>
      </c>
    </row>
    <row r="90" spans="1:15" x14ac:dyDescent="0.15">
      <c r="A90" t="s">
        <v>3168</v>
      </c>
      <c r="C90" t="s">
        <v>6966</v>
      </c>
      <c r="D90" t="s">
        <v>3168</v>
      </c>
      <c r="E90">
        <v>15</v>
      </c>
      <c r="F90" t="s">
        <v>3168</v>
      </c>
      <c r="G90" t="s">
        <v>1451</v>
      </c>
      <c r="H90" t="s">
        <v>3168</v>
      </c>
      <c r="I90" t="s">
        <v>339</v>
      </c>
      <c r="J90" t="s">
        <v>3168</v>
      </c>
      <c r="L90">
        <v>15</v>
      </c>
      <c r="M90" t="s">
        <v>5834</v>
      </c>
      <c r="N90" t="b">
        <f t="shared" si="5"/>
        <v>1</v>
      </c>
      <c r="O90" t="str">
        <f t="shared" si="6"/>
        <v>不死の古き者</v>
      </c>
    </row>
    <row r="91" spans="1:15" x14ac:dyDescent="0.15">
      <c r="A91" t="s">
        <v>3168</v>
      </c>
      <c r="C91" t="s">
        <v>6967</v>
      </c>
      <c r="D91" t="s">
        <v>3168</v>
      </c>
      <c r="E91">
        <v>8</v>
      </c>
      <c r="F91" t="s">
        <v>3168</v>
      </c>
      <c r="G91" t="s">
        <v>1451</v>
      </c>
      <c r="H91" t="s">
        <v>3168</v>
      </c>
      <c r="I91" t="s">
        <v>339</v>
      </c>
      <c r="J91" t="s">
        <v>3168</v>
      </c>
      <c r="L91">
        <v>8</v>
      </c>
      <c r="M91" t="s">
        <v>5836</v>
      </c>
      <c r="N91" t="b">
        <f t="shared" si="5"/>
        <v>1</v>
      </c>
      <c r="O91" t="str">
        <f t="shared" si="6"/>
        <v>帆凧の掠め盗り</v>
      </c>
    </row>
    <row r="92" spans="1:15" x14ac:dyDescent="0.15">
      <c r="A92" t="s">
        <v>3168</v>
      </c>
      <c r="C92" t="s">
        <v>6968</v>
      </c>
      <c r="D92" t="s">
        <v>3168</v>
      </c>
      <c r="E92">
        <v>13</v>
      </c>
      <c r="F92" t="s">
        <v>3168</v>
      </c>
      <c r="G92" t="s">
        <v>1451</v>
      </c>
      <c r="H92" t="s">
        <v>3168</v>
      </c>
      <c r="I92" t="s">
        <v>339</v>
      </c>
      <c r="J92" t="s">
        <v>3168</v>
      </c>
      <c r="L92">
        <v>13</v>
      </c>
      <c r="M92" t="s">
        <v>5838</v>
      </c>
      <c r="N92" t="b">
        <f t="shared" si="5"/>
        <v>1</v>
      </c>
      <c r="O92" t="str">
        <f t="shared" si="6"/>
        <v>無情な無頼漢</v>
      </c>
    </row>
    <row r="93" spans="1:15" x14ac:dyDescent="0.15">
      <c r="A93" t="s">
        <v>3168</v>
      </c>
      <c r="C93" t="s">
        <v>6969</v>
      </c>
      <c r="D93" t="s">
        <v>3168</v>
      </c>
      <c r="E93">
        <v>7</v>
      </c>
      <c r="F93" t="s">
        <v>3168</v>
      </c>
      <c r="G93" t="s">
        <v>1451</v>
      </c>
      <c r="H93" t="s">
        <v>3168</v>
      </c>
      <c r="I93" t="s">
        <v>339</v>
      </c>
      <c r="J93" t="s">
        <v>3168</v>
      </c>
      <c r="L93">
        <v>7</v>
      </c>
      <c r="M93" t="s">
        <v>5841</v>
      </c>
      <c r="N93" t="b">
        <f t="shared" si="5"/>
        <v>1</v>
      </c>
      <c r="O93" t="str">
        <f t="shared" si="6"/>
        <v>敵意ある征服者</v>
      </c>
    </row>
    <row r="94" spans="1:15" x14ac:dyDescent="0.15">
      <c r="A94" t="s">
        <v>3168</v>
      </c>
      <c r="C94" t="s">
        <v>6970</v>
      </c>
      <c r="D94" t="s">
        <v>3168</v>
      </c>
      <c r="E94">
        <v>7</v>
      </c>
      <c r="F94" t="s">
        <v>3168</v>
      </c>
      <c r="G94" t="s">
        <v>1451</v>
      </c>
      <c r="H94" t="s">
        <v>3168</v>
      </c>
      <c r="I94" t="s">
        <v>1453</v>
      </c>
      <c r="J94" t="s">
        <v>3168</v>
      </c>
      <c r="L94">
        <v>7</v>
      </c>
      <c r="M94" t="s">
        <v>5843</v>
      </c>
      <c r="N94" t="b">
        <f t="shared" si="5"/>
        <v>1</v>
      </c>
      <c r="O94" t="str">
        <f t="shared" si="6"/>
        <v>強迫</v>
      </c>
    </row>
    <row r="95" spans="1:15" x14ac:dyDescent="0.15">
      <c r="A95" t="s">
        <v>3168</v>
      </c>
      <c r="C95" t="s">
        <v>6971</v>
      </c>
      <c r="D95" t="s">
        <v>3168</v>
      </c>
      <c r="E95">
        <v>8</v>
      </c>
      <c r="F95" t="s">
        <v>3168</v>
      </c>
      <c r="G95" t="s">
        <v>1451</v>
      </c>
      <c r="H95" t="s">
        <v>3168</v>
      </c>
      <c r="I95" t="s">
        <v>1453</v>
      </c>
      <c r="J95" t="s">
        <v>3168</v>
      </c>
      <c r="L95">
        <v>8</v>
      </c>
      <c r="M95" t="s">
        <v>5845</v>
      </c>
      <c r="N95" t="b">
        <f t="shared" si="5"/>
        <v>1</v>
      </c>
      <c r="O95" t="str">
        <f t="shared" si="6"/>
        <v>不気味な船長の召集</v>
      </c>
    </row>
    <row r="96" spans="1:15" x14ac:dyDescent="0.15">
      <c r="A96" t="s">
        <v>3168</v>
      </c>
      <c r="C96" t="s">
        <v>6972</v>
      </c>
      <c r="D96" t="s">
        <v>3168</v>
      </c>
      <c r="E96">
        <v>7</v>
      </c>
      <c r="F96" t="s">
        <v>3168</v>
      </c>
      <c r="G96" t="s">
        <v>1451</v>
      </c>
      <c r="H96" t="s">
        <v>3168</v>
      </c>
      <c r="I96" t="s">
        <v>1453</v>
      </c>
      <c r="J96" t="s">
        <v>3168</v>
      </c>
      <c r="L96">
        <v>7</v>
      </c>
      <c r="M96" t="s">
        <v>5847</v>
      </c>
      <c r="N96" t="b">
        <f t="shared" si="5"/>
        <v>1</v>
      </c>
      <c r="O96" t="str">
        <f t="shared" si="6"/>
        <v>板歩きの刑</v>
      </c>
    </row>
    <row r="97" spans="1:15" x14ac:dyDescent="0.15">
      <c r="A97" t="s">
        <v>3168</v>
      </c>
      <c r="C97" t="s">
        <v>6973</v>
      </c>
      <c r="D97" t="s">
        <v>3168</v>
      </c>
      <c r="E97">
        <v>14</v>
      </c>
      <c r="F97" t="s">
        <v>3168</v>
      </c>
      <c r="G97" t="s">
        <v>1451</v>
      </c>
      <c r="H97" t="s">
        <v>3168</v>
      </c>
      <c r="I97" t="s">
        <v>288</v>
      </c>
      <c r="J97" t="s">
        <v>3168</v>
      </c>
      <c r="L97">
        <v>14</v>
      </c>
      <c r="M97" t="s">
        <v>5849</v>
      </c>
      <c r="N97" t="b">
        <f t="shared" si="5"/>
        <v>1</v>
      </c>
      <c r="O97" t="str">
        <f t="shared" si="6"/>
        <v>略奪者の痕跡</v>
      </c>
    </row>
    <row r="98" spans="1:15" x14ac:dyDescent="0.15">
      <c r="A98" t="s">
        <v>3168</v>
      </c>
      <c r="C98" t="s">
        <v>6974</v>
      </c>
      <c r="D98" t="s">
        <v>3168</v>
      </c>
      <c r="E98">
        <v>12</v>
      </c>
      <c r="F98" t="s">
        <v>3168</v>
      </c>
      <c r="G98" t="s">
        <v>1441</v>
      </c>
      <c r="H98" t="s">
        <v>3168</v>
      </c>
      <c r="I98" t="s">
        <v>339</v>
      </c>
      <c r="J98" t="s">
        <v>3168</v>
      </c>
      <c r="L98">
        <v>12</v>
      </c>
      <c r="M98" t="s">
        <v>5851</v>
      </c>
      <c r="N98" t="b">
        <f t="shared" si="5"/>
        <v>1</v>
      </c>
      <c r="O98" t="str">
        <f t="shared" si="6"/>
        <v>血潮隊の司教</v>
      </c>
    </row>
    <row r="99" spans="1:15" x14ac:dyDescent="0.15">
      <c r="A99" t="s">
        <v>3168</v>
      </c>
      <c r="C99" t="s">
        <v>6975</v>
      </c>
      <c r="D99" t="s">
        <v>3168</v>
      </c>
      <c r="E99">
        <v>10</v>
      </c>
      <c r="F99" t="s">
        <v>3168</v>
      </c>
      <c r="G99" t="s">
        <v>1441</v>
      </c>
      <c r="H99" t="s">
        <v>3168</v>
      </c>
      <c r="I99" t="s">
        <v>339</v>
      </c>
      <c r="J99" t="s">
        <v>3168</v>
      </c>
      <c r="L99">
        <v>10</v>
      </c>
      <c r="M99" t="s">
        <v>5853</v>
      </c>
      <c r="N99" t="b">
        <f t="shared" si="5"/>
        <v>1</v>
      </c>
      <c r="O99" t="str">
        <f t="shared" si="6"/>
        <v>巧射艦隊の追跡者</v>
      </c>
    </row>
    <row r="100" spans="1:15" x14ac:dyDescent="0.15">
      <c r="A100" t="s">
        <v>3168</v>
      </c>
      <c r="C100" t="s">
        <v>6976</v>
      </c>
      <c r="D100" t="s">
        <v>3168</v>
      </c>
      <c r="E100">
        <v>10</v>
      </c>
      <c r="F100" t="s">
        <v>3168</v>
      </c>
      <c r="G100" t="s">
        <v>1441</v>
      </c>
      <c r="H100" t="s">
        <v>3168</v>
      </c>
      <c r="I100" t="s">
        <v>339</v>
      </c>
      <c r="J100" t="s">
        <v>3168</v>
      </c>
      <c r="L100">
        <v>10</v>
      </c>
      <c r="M100" t="s">
        <v>5855</v>
      </c>
      <c r="N100" t="b">
        <f t="shared" si="5"/>
        <v>1</v>
      </c>
      <c r="O100" t="str">
        <f t="shared" si="6"/>
        <v>深海艦隊の船長</v>
      </c>
    </row>
    <row r="101" spans="1:15" x14ac:dyDescent="0.15">
      <c r="A101" t="s">
        <v>3168</v>
      </c>
      <c r="C101" t="s">
        <v>6977</v>
      </c>
      <c r="D101" t="s">
        <v>3168</v>
      </c>
      <c r="E101">
        <v>9</v>
      </c>
      <c r="F101" t="s">
        <v>3168</v>
      </c>
      <c r="G101" t="s">
        <v>1441</v>
      </c>
      <c r="H101" t="s">
        <v>3168</v>
      </c>
      <c r="I101" t="s">
        <v>1453</v>
      </c>
      <c r="J101" t="s">
        <v>3168</v>
      </c>
      <c r="L101">
        <v>9</v>
      </c>
      <c r="M101" t="s">
        <v>5857</v>
      </c>
      <c r="N101" t="b">
        <f t="shared" si="5"/>
        <v>1</v>
      </c>
      <c r="O101" t="str">
        <f t="shared" si="6"/>
        <v>ヴラスカの侮辱</v>
      </c>
    </row>
    <row r="102" spans="1:15" x14ac:dyDescent="0.15">
      <c r="A102" t="s">
        <v>3168</v>
      </c>
      <c r="C102" t="s">
        <v>6978</v>
      </c>
      <c r="D102" t="s">
        <v>3168</v>
      </c>
      <c r="E102">
        <v>14</v>
      </c>
      <c r="F102" t="s">
        <v>3168</v>
      </c>
      <c r="G102" t="s">
        <v>1441</v>
      </c>
      <c r="H102" t="s">
        <v>3168</v>
      </c>
      <c r="I102" t="s">
        <v>288</v>
      </c>
      <c r="J102" t="s">
        <v>3168</v>
      </c>
      <c r="L102">
        <v>14</v>
      </c>
      <c r="M102" t="s">
        <v>5859</v>
      </c>
      <c r="N102" t="b">
        <f t="shared" si="5"/>
        <v>1</v>
      </c>
      <c r="O102" t="str">
        <f t="shared" si="6"/>
        <v>富の享楽</v>
      </c>
    </row>
    <row r="103" spans="1:15" x14ac:dyDescent="0.15">
      <c r="A103" t="s">
        <v>3168</v>
      </c>
      <c r="C103" t="s">
        <v>6979</v>
      </c>
      <c r="D103" t="s">
        <v>3168</v>
      </c>
      <c r="E103">
        <v>10</v>
      </c>
      <c r="F103" t="s">
        <v>3168</v>
      </c>
      <c r="G103" t="s">
        <v>1441</v>
      </c>
      <c r="H103" t="s">
        <v>3168</v>
      </c>
      <c r="I103" t="s">
        <v>288</v>
      </c>
      <c r="J103" t="s">
        <v>3168</v>
      </c>
      <c r="L103">
        <v>10</v>
      </c>
      <c r="M103" t="s">
        <v>5861</v>
      </c>
      <c r="N103" t="b">
        <f t="shared" si="5"/>
        <v>1</v>
      </c>
      <c r="O103" t="str">
        <f t="shared" si="6"/>
        <v>剣呑な交渉</v>
      </c>
    </row>
    <row r="104" spans="1:15" x14ac:dyDescent="0.15">
      <c r="A104" t="s">
        <v>3168</v>
      </c>
      <c r="C104" t="s">
        <v>6980</v>
      </c>
      <c r="D104" t="s">
        <v>3168</v>
      </c>
      <c r="E104">
        <v>16</v>
      </c>
      <c r="F104" t="s">
        <v>3168</v>
      </c>
      <c r="G104" t="s">
        <v>1431</v>
      </c>
      <c r="H104" t="s">
        <v>3168</v>
      </c>
      <c r="I104" t="s">
        <v>339</v>
      </c>
      <c r="J104" t="s">
        <v>3168</v>
      </c>
      <c r="L104">
        <v>16</v>
      </c>
      <c r="M104" t="s">
        <v>5863</v>
      </c>
      <c r="N104" t="b">
        <f t="shared" si="5"/>
        <v>1</v>
      </c>
      <c r="O104" t="str">
        <f t="shared" si="6"/>
        <v>凶兆艦隊の荒廃者</v>
      </c>
    </row>
    <row r="105" spans="1:15" x14ac:dyDescent="0.15">
      <c r="A105" t="s">
        <v>3168</v>
      </c>
      <c r="C105" t="s">
        <v>6981</v>
      </c>
      <c r="D105" t="s">
        <v>3168</v>
      </c>
      <c r="E105">
        <v>13</v>
      </c>
      <c r="F105" t="s">
        <v>3168</v>
      </c>
      <c r="G105" t="s">
        <v>1431</v>
      </c>
      <c r="H105" t="s">
        <v>3168</v>
      </c>
      <c r="I105" t="s">
        <v>339</v>
      </c>
      <c r="J105" t="s">
        <v>3168</v>
      </c>
      <c r="L105">
        <v>13</v>
      </c>
      <c r="M105" t="s">
        <v>5865</v>
      </c>
      <c r="N105" t="b">
        <f t="shared" si="5"/>
        <v>1</v>
      </c>
      <c r="O105" t="str">
        <f t="shared" si="6"/>
        <v>聖域探究者</v>
      </c>
    </row>
    <row r="106" spans="1:15" x14ac:dyDescent="0.15">
      <c r="A106" t="s">
        <v>3168</v>
      </c>
      <c r="C106" t="s">
        <v>6982</v>
      </c>
      <c r="D106" t="s">
        <v>3168</v>
      </c>
      <c r="E106">
        <v>7</v>
      </c>
      <c r="F106" t="s">
        <v>3168</v>
      </c>
      <c r="G106" t="s">
        <v>1431</v>
      </c>
      <c r="H106" t="s">
        <v>3168</v>
      </c>
      <c r="I106" t="s">
        <v>288</v>
      </c>
      <c r="J106" t="s">
        <v>3168</v>
      </c>
      <c r="L106">
        <v>7</v>
      </c>
      <c r="M106" t="s">
        <v>5867</v>
      </c>
      <c r="N106" t="b">
        <f t="shared" si="5"/>
        <v>1</v>
      </c>
      <c r="O106" t="str">
        <f t="shared" si="6"/>
        <v>アルゲールの断血</v>
      </c>
    </row>
    <row r="107" spans="1:15" x14ac:dyDescent="0.15">
      <c r="E107">
        <v>0</v>
      </c>
      <c r="L107">
        <v>0</v>
      </c>
      <c r="M107" t="s">
        <v>6234</v>
      </c>
      <c r="N107" t="b">
        <f t="shared" si="5"/>
        <v>0</v>
      </c>
      <c r="O107" t="str">
        <f t="shared" si="6"/>
        <v/>
      </c>
    </row>
    <row r="108" spans="1:15" x14ac:dyDescent="0.15">
      <c r="B108" t="s">
        <v>6885</v>
      </c>
      <c r="N108" t="b">
        <f t="shared" si="5"/>
        <v>1</v>
      </c>
      <c r="O108" t="str">
        <f t="shared" ref="O108:O113" si="7">MID(C108,4,LEN(M108))</f>
        <v/>
      </c>
    </row>
    <row r="109" spans="1:15" x14ac:dyDescent="0.15">
      <c r="A109" t="s">
        <v>3168</v>
      </c>
      <c r="C109" t="s">
        <v>3163</v>
      </c>
      <c r="D109" t="s">
        <v>3168</v>
      </c>
      <c r="E109" t="s">
        <v>3162</v>
      </c>
      <c r="F109" t="s">
        <v>3168</v>
      </c>
      <c r="G109" t="s">
        <v>6891</v>
      </c>
      <c r="H109" t="s">
        <v>3168</v>
      </c>
      <c r="I109" t="s">
        <v>6892</v>
      </c>
      <c r="J109" t="s">
        <v>3168</v>
      </c>
      <c r="K109" t="s">
        <v>3164</v>
      </c>
      <c r="L109" t="s">
        <v>3162</v>
      </c>
      <c r="N109" t="b">
        <f t="shared" si="5"/>
        <v>1</v>
      </c>
      <c r="O109" t="str">
        <f t="shared" si="7"/>
        <v/>
      </c>
    </row>
    <row r="110" spans="1:15" x14ac:dyDescent="0.15">
      <c r="A110" t="s">
        <v>3168</v>
      </c>
      <c r="C110" t="s">
        <v>3166</v>
      </c>
      <c r="D110" t="s">
        <v>3168</v>
      </c>
      <c r="E110" t="s">
        <v>3165</v>
      </c>
      <c r="F110" t="s">
        <v>3168</v>
      </c>
      <c r="G110" t="s">
        <v>6893</v>
      </c>
      <c r="H110" t="s">
        <v>3168</v>
      </c>
      <c r="I110" t="s">
        <v>6894</v>
      </c>
      <c r="J110" t="s">
        <v>3168</v>
      </c>
      <c r="L110" t="s">
        <v>3165</v>
      </c>
      <c r="N110" t="b">
        <f t="shared" si="5"/>
        <v>1</v>
      </c>
      <c r="O110" t="str">
        <f t="shared" si="7"/>
        <v/>
      </c>
    </row>
    <row r="111" spans="1:15" x14ac:dyDescent="0.15">
      <c r="A111" t="s">
        <v>3168</v>
      </c>
      <c r="C111" t="s">
        <v>6983</v>
      </c>
      <c r="D111" t="s">
        <v>3168</v>
      </c>
      <c r="E111">
        <v>8</v>
      </c>
      <c r="F111" t="s">
        <v>3168</v>
      </c>
      <c r="G111" t="s">
        <v>1744</v>
      </c>
      <c r="H111" t="s">
        <v>3168</v>
      </c>
      <c r="I111" t="s">
        <v>339</v>
      </c>
      <c r="J111" t="s">
        <v>3168</v>
      </c>
      <c r="L111">
        <v>8</v>
      </c>
      <c r="M111" t="s">
        <v>5869</v>
      </c>
      <c r="N111" t="b">
        <f t="shared" si="5"/>
        <v>1</v>
      </c>
      <c r="O111" t="str">
        <f t="shared" si="7"/>
        <v>鉄面連合の海賊</v>
      </c>
    </row>
    <row r="112" spans="1:15" x14ac:dyDescent="0.15">
      <c r="A112" t="s">
        <v>3168</v>
      </c>
      <c r="C112" t="s">
        <v>6984</v>
      </c>
      <c r="D112" t="s">
        <v>3168</v>
      </c>
      <c r="E112">
        <v>6</v>
      </c>
      <c r="F112" t="s">
        <v>3168</v>
      </c>
      <c r="G112" t="s">
        <v>1744</v>
      </c>
      <c r="H112" t="s">
        <v>3168</v>
      </c>
      <c r="I112" t="s">
        <v>339</v>
      </c>
      <c r="J112" t="s">
        <v>3168</v>
      </c>
      <c r="L112">
        <v>6</v>
      </c>
      <c r="M112" t="s">
        <v>5871</v>
      </c>
      <c r="N112" t="b">
        <f t="shared" si="5"/>
        <v>1</v>
      </c>
      <c r="O112" t="str">
        <f t="shared" si="7"/>
        <v>深海艦隊の扇動者</v>
      </c>
    </row>
    <row r="113" spans="1:15" x14ac:dyDescent="0.15">
      <c r="A113" t="s">
        <v>3168</v>
      </c>
      <c r="C113" t="s">
        <v>6985</v>
      </c>
      <c r="D113" t="s">
        <v>3168</v>
      </c>
      <c r="E113">
        <v>4</v>
      </c>
      <c r="F113" t="s">
        <v>3168</v>
      </c>
      <c r="G113" t="s">
        <v>1744</v>
      </c>
      <c r="H113" t="s">
        <v>3168</v>
      </c>
      <c r="I113" t="s">
        <v>339</v>
      </c>
      <c r="J113" t="s">
        <v>3168</v>
      </c>
      <c r="L113">
        <v>4</v>
      </c>
      <c r="M113" t="s">
        <v>5873</v>
      </c>
      <c r="N113" t="b">
        <f t="shared" si="5"/>
        <v>1</v>
      </c>
      <c r="O113" t="str">
        <f t="shared" si="7"/>
        <v>巣荒らし</v>
      </c>
    </row>
    <row r="114" spans="1:15" x14ac:dyDescent="0.15">
      <c r="A114" t="s">
        <v>3168</v>
      </c>
      <c r="C114" t="s">
        <v>6986</v>
      </c>
      <c r="D114" t="s">
        <v>3168</v>
      </c>
      <c r="E114">
        <v>12</v>
      </c>
      <c r="F114" t="s">
        <v>3168</v>
      </c>
      <c r="G114" t="s">
        <v>1744</v>
      </c>
      <c r="H114" t="s">
        <v>3168</v>
      </c>
      <c r="I114" t="s">
        <v>339</v>
      </c>
      <c r="J114" t="s">
        <v>3168</v>
      </c>
      <c r="L114">
        <v>12</v>
      </c>
      <c r="M114" t="s">
        <v>5875</v>
      </c>
      <c r="N114" t="b">
        <f t="shared" si="5"/>
        <v>1</v>
      </c>
      <c r="O114" t="str">
        <f t="shared" ref="O114:O142" si="8">MID(C114,4,LEN(M114))</f>
        <v>風雲艦隊の紅蓮術士</v>
      </c>
    </row>
    <row r="115" spans="1:15" x14ac:dyDescent="0.15">
      <c r="A115" t="s">
        <v>3168</v>
      </c>
      <c r="C115" t="s">
        <v>6987</v>
      </c>
      <c r="D115" t="s">
        <v>3168</v>
      </c>
      <c r="E115">
        <v>17</v>
      </c>
      <c r="F115" t="s">
        <v>3168</v>
      </c>
      <c r="G115" t="s">
        <v>1744</v>
      </c>
      <c r="H115" t="s">
        <v>3168</v>
      </c>
      <c r="I115" t="s">
        <v>339</v>
      </c>
      <c r="J115" t="s">
        <v>3168</v>
      </c>
      <c r="L115">
        <v>17</v>
      </c>
      <c r="M115" t="s">
        <v>5877</v>
      </c>
      <c r="N115" t="b">
        <f t="shared" si="5"/>
        <v>1</v>
      </c>
      <c r="O115" t="str">
        <f t="shared" si="8"/>
        <v>太陽冠のハンター</v>
      </c>
    </row>
    <row r="116" spans="1:15" x14ac:dyDescent="0.15">
      <c r="A116" t="s">
        <v>3168</v>
      </c>
      <c r="C116" t="s">
        <v>6988</v>
      </c>
      <c r="D116" t="s">
        <v>3168</v>
      </c>
      <c r="E116">
        <v>14</v>
      </c>
      <c r="F116" t="s">
        <v>3168</v>
      </c>
      <c r="G116" t="s">
        <v>1744</v>
      </c>
      <c r="H116" t="s">
        <v>3168</v>
      </c>
      <c r="I116" t="s">
        <v>339</v>
      </c>
      <c r="J116" t="s">
        <v>3168</v>
      </c>
      <c r="L116">
        <v>14</v>
      </c>
      <c r="M116" t="s">
        <v>5879</v>
      </c>
      <c r="N116" t="b">
        <f t="shared" si="5"/>
        <v>1</v>
      </c>
      <c r="O116" t="str">
        <f t="shared" si="8"/>
        <v>猛竜の群れ</v>
      </c>
    </row>
    <row r="117" spans="1:15" x14ac:dyDescent="0.15">
      <c r="A117" t="s">
        <v>3168</v>
      </c>
      <c r="C117" t="s">
        <v>6989</v>
      </c>
      <c r="D117" t="s">
        <v>3168</v>
      </c>
      <c r="E117">
        <v>9</v>
      </c>
      <c r="F117" t="s">
        <v>3168</v>
      </c>
      <c r="G117" t="s">
        <v>1744</v>
      </c>
      <c r="H117" t="s">
        <v>3168</v>
      </c>
      <c r="I117" t="s">
        <v>339</v>
      </c>
      <c r="J117" t="s">
        <v>3168</v>
      </c>
      <c r="L117">
        <v>9</v>
      </c>
      <c r="M117" t="s">
        <v>5881</v>
      </c>
      <c r="N117" t="b">
        <f t="shared" si="5"/>
        <v>1</v>
      </c>
      <c r="O117" t="str">
        <f t="shared" si="8"/>
        <v>ティロナーリの騎士</v>
      </c>
    </row>
    <row r="118" spans="1:15" x14ac:dyDescent="0.15">
      <c r="A118" t="s">
        <v>3168</v>
      </c>
      <c r="C118" t="s">
        <v>6990</v>
      </c>
      <c r="D118" t="s">
        <v>3168</v>
      </c>
      <c r="E118">
        <v>6</v>
      </c>
      <c r="F118" t="s">
        <v>3168</v>
      </c>
      <c r="G118" t="s">
        <v>1744</v>
      </c>
      <c r="H118" t="s">
        <v>3168</v>
      </c>
      <c r="I118" t="s">
        <v>1453</v>
      </c>
      <c r="J118" t="s">
        <v>3168</v>
      </c>
      <c r="L118">
        <v>6</v>
      </c>
      <c r="M118" t="s">
        <v>5883</v>
      </c>
      <c r="N118" t="b">
        <f t="shared" si="5"/>
        <v>1</v>
      </c>
      <c r="O118" t="str">
        <f t="shared" si="8"/>
        <v>火炎砲発射</v>
      </c>
    </row>
    <row r="119" spans="1:15" x14ac:dyDescent="0.15">
      <c r="A119" t="s">
        <v>3168</v>
      </c>
      <c r="C119" t="s">
        <v>6991</v>
      </c>
      <c r="D119" t="s">
        <v>3168</v>
      </c>
      <c r="E119">
        <v>4</v>
      </c>
      <c r="F119" t="s">
        <v>3168</v>
      </c>
      <c r="G119" t="s">
        <v>1744</v>
      </c>
      <c r="H119" t="s">
        <v>3168</v>
      </c>
      <c r="I119" t="s">
        <v>1453</v>
      </c>
      <c r="J119" t="s">
        <v>3168</v>
      </c>
      <c r="L119">
        <v>4</v>
      </c>
      <c r="M119" t="s">
        <v>5885</v>
      </c>
      <c r="N119" t="b">
        <f t="shared" si="5"/>
        <v>1</v>
      </c>
      <c r="O119" t="str">
        <f t="shared" si="8"/>
        <v>苛立ち</v>
      </c>
    </row>
    <row r="120" spans="1:15" x14ac:dyDescent="0.15">
      <c r="A120" t="s">
        <v>3168</v>
      </c>
      <c r="C120" t="s">
        <v>6992</v>
      </c>
      <c r="D120" t="s">
        <v>3168</v>
      </c>
      <c r="E120">
        <v>6</v>
      </c>
      <c r="F120" t="s">
        <v>3168</v>
      </c>
      <c r="G120" t="s">
        <v>1744</v>
      </c>
      <c r="H120" t="s">
        <v>3168</v>
      </c>
      <c r="I120" t="s">
        <v>1453</v>
      </c>
      <c r="J120" t="s">
        <v>3168</v>
      </c>
      <c r="L120">
        <v>6</v>
      </c>
      <c r="M120" t="s">
        <v>5887</v>
      </c>
      <c r="N120" t="b">
        <f t="shared" si="5"/>
        <v>1</v>
      </c>
      <c r="O120" t="str">
        <f t="shared" si="8"/>
        <v>向こう見ず</v>
      </c>
    </row>
    <row r="121" spans="1:15" x14ac:dyDescent="0.15">
      <c r="A121" t="s">
        <v>3168</v>
      </c>
      <c r="C121" t="s">
        <v>6993</v>
      </c>
      <c r="D121" t="s">
        <v>3168</v>
      </c>
      <c r="E121">
        <v>8</v>
      </c>
      <c r="F121" t="s">
        <v>3168</v>
      </c>
      <c r="G121" t="s">
        <v>1744</v>
      </c>
      <c r="H121" t="s">
        <v>3168</v>
      </c>
      <c r="I121" t="s">
        <v>1453</v>
      </c>
      <c r="J121" t="s">
        <v>3168</v>
      </c>
      <c r="L121">
        <v>8</v>
      </c>
      <c r="M121" t="s">
        <v>5889</v>
      </c>
      <c r="N121" t="b">
        <f t="shared" si="5"/>
        <v>1</v>
      </c>
      <c r="O121" t="str">
        <f t="shared" si="8"/>
        <v>決別の砲撃</v>
      </c>
    </row>
    <row r="122" spans="1:15" x14ac:dyDescent="0.15">
      <c r="A122" t="s">
        <v>3168</v>
      </c>
      <c r="C122" t="s">
        <v>6994</v>
      </c>
      <c r="D122" t="s">
        <v>3168</v>
      </c>
      <c r="E122">
        <v>14</v>
      </c>
      <c r="F122" t="s">
        <v>3168</v>
      </c>
      <c r="G122" t="s">
        <v>1451</v>
      </c>
      <c r="H122" t="s">
        <v>3168</v>
      </c>
      <c r="I122" t="s">
        <v>339</v>
      </c>
      <c r="J122" t="s">
        <v>3168</v>
      </c>
      <c r="L122">
        <v>14</v>
      </c>
      <c r="M122" t="s">
        <v>5891</v>
      </c>
      <c r="N122" t="b">
        <f t="shared" si="5"/>
        <v>1</v>
      </c>
      <c r="O122" t="str">
        <f t="shared" si="8"/>
        <v>突進するモンストロサウルス</v>
      </c>
    </row>
    <row r="123" spans="1:15" x14ac:dyDescent="0.15">
      <c r="A123" t="s">
        <v>3168</v>
      </c>
      <c r="C123" t="s">
        <v>6995</v>
      </c>
      <c r="D123" t="s">
        <v>3168</v>
      </c>
      <c r="E123">
        <v>10</v>
      </c>
      <c r="F123" t="s">
        <v>3168</v>
      </c>
      <c r="G123" t="s">
        <v>1451</v>
      </c>
      <c r="H123" t="s">
        <v>3168</v>
      </c>
      <c r="I123" t="s">
        <v>339</v>
      </c>
      <c r="J123" t="s">
        <v>3168</v>
      </c>
      <c r="L123">
        <v>10</v>
      </c>
      <c r="M123" t="s">
        <v>5893</v>
      </c>
      <c r="N123" t="b">
        <f t="shared" si="5"/>
        <v>1</v>
      </c>
      <c r="O123" t="str">
        <f t="shared" si="8"/>
        <v>火の祭殿の守り手</v>
      </c>
    </row>
    <row r="124" spans="1:15" x14ac:dyDescent="0.15">
      <c r="A124" t="s">
        <v>3168</v>
      </c>
      <c r="C124" t="s">
        <v>6996</v>
      </c>
      <c r="D124" t="s">
        <v>3168</v>
      </c>
      <c r="E124">
        <v>9</v>
      </c>
      <c r="F124" t="s">
        <v>3168</v>
      </c>
      <c r="G124" t="s">
        <v>1451</v>
      </c>
      <c r="H124" t="s">
        <v>3168</v>
      </c>
      <c r="I124" t="s">
        <v>339</v>
      </c>
      <c r="J124" t="s">
        <v>3168</v>
      </c>
      <c r="L124">
        <v>9</v>
      </c>
      <c r="M124" t="s">
        <v>5895</v>
      </c>
      <c r="N124" t="b">
        <f t="shared" si="5"/>
        <v>1</v>
      </c>
      <c r="O124" t="str">
        <f t="shared" si="8"/>
        <v>稲妻砲手</v>
      </c>
    </row>
    <row r="125" spans="1:15" x14ac:dyDescent="0.15">
      <c r="A125" t="s">
        <v>3168</v>
      </c>
      <c r="C125" t="s">
        <v>6997</v>
      </c>
      <c r="D125" t="s">
        <v>3168</v>
      </c>
      <c r="E125">
        <v>8</v>
      </c>
      <c r="F125" t="s">
        <v>3168</v>
      </c>
      <c r="G125" t="s">
        <v>1451</v>
      </c>
      <c r="H125" t="s">
        <v>3168</v>
      </c>
      <c r="I125" t="s">
        <v>339</v>
      </c>
      <c r="J125" t="s">
        <v>3168</v>
      </c>
      <c r="L125">
        <v>8</v>
      </c>
      <c r="M125" t="s">
        <v>5897</v>
      </c>
      <c r="N125" t="b">
        <f t="shared" si="5"/>
        <v>1</v>
      </c>
      <c r="O125" t="str">
        <f t="shared" si="8"/>
        <v>オテペクの猟匠</v>
      </c>
    </row>
    <row r="126" spans="1:15" x14ac:dyDescent="0.15">
      <c r="A126" t="s">
        <v>3168</v>
      </c>
      <c r="C126" t="s">
        <v>6998</v>
      </c>
      <c r="D126" t="s">
        <v>3168</v>
      </c>
      <c r="E126">
        <v>5</v>
      </c>
      <c r="F126" t="s">
        <v>3168</v>
      </c>
      <c r="G126" t="s">
        <v>1451</v>
      </c>
      <c r="H126" t="s">
        <v>3168</v>
      </c>
      <c r="I126" t="s">
        <v>339</v>
      </c>
      <c r="J126" t="s">
        <v>3168</v>
      </c>
      <c r="L126">
        <v>5</v>
      </c>
      <c r="M126" t="s">
        <v>5899</v>
      </c>
      <c r="N126" t="b">
        <f t="shared" si="5"/>
        <v>1</v>
      </c>
      <c r="O126" t="str">
        <f t="shared" si="8"/>
        <v>猛竜の幼生</v>
      </c>
    </row>
    <row r="127" spans="1:15" x14ac:dyDescent="0.15">
      <c r="A127" t="s">
        <v>3168</v>
      </c>
      <c r="C127" t="s">
        <v>6999</v>
      </c>
      <c r="D127" t="s">
        <v>3168</v>
      </c>
      <c r="E127">
        <v>8</v>
      </c>
      <c r="F127" t="s">
        <v>3168</v>
      </c>
      <c r="G127" t="s">
        <v>1451</v>
      </c>
      <c r="H127" t="s">
        <v>3168</v>
      </c>
      <c r="I127" t="s">
        <v>339</v>
      </c>
      <c r="J127" t="s">
        <v>3168</v>
      </c>
      <c r="L127">
        <v>8</v>
      </c>
      <c r="M127" t="s">
        <v>5901</v>
      </c>
      <c r="N127" t="b">
        <f t="shared" si="5"/>
        <v>1</v>
      </c>
      <c r="O127" t="str">
        <f t="shared" si="8"/>
        <v>帆綱走り</v>
      </c>
    </row>
    <row r="128" spans="1:15" x14ac:dyDescent="0.15">
      <c r="A128" t="s">
        <v>3168</v>
      </c>
      <c r="C128" t="s">
        <v>7000</v>
      </c>
      <c r="D128" t="s">
        <v>3168</v>
      </c>
      <c r="E128">
        <v>3</v>
      </c>
      <c r="F128" t="s">
        <v>3168</v>
      </c>
      <c r="G128" t="s">
        <v>1451</v>
      </c>
      <c r="H128" t="s">
        <v>3168</v>
      </c>
      <c r="I128" t="s">
        <v>339</v>
      </c>
      <c r="J128" t="s">
        <v>3168</v>
      </c>
      <c r="L128">
        <v>3</v>
      </c>
      <c r="M128" t="s">
        <v>5903</v>
      </c>
      <c r="N128" t="b">
        <f t="shared" si="5"/>
        <v>1</v>
      </c>
      <c r="O128" t="str">
        <f t="shared" si="8"/>
        <v>ずる賢いゴブリン</v>
      </c>
    </row>
    <row r="129" spans="1:15" x14ac:dyDescent="0.15">
      <c r="A129" t="s">
        <v>3168</v>
      </c>
      <c r="C129" t="s">
        <v>7001</v>
      </c>
      <c r="D129" t="s">
        <v>3168</v>
      </c>
      <c r="E129">
        <v>7</v>
      </c>
      <c r="F129" t="s">
        <v>3168</v>
      </c>
      <c r="G129" t="s">
        <v>1451</v>
      </c>
      <c r="H129" t="s">
        <v>3168</v>
      </c>
      <c r="I129" t="s">
        <v>1453</v>
      </c>
      <c r="J129" t="s">
        <v>3168</v>
      </c>
      <c r="L129">
        <v>7</v>
      </c>
      <c r="M129" t="s">
        <v>5905</v>
      </c>
      <c r="N129" t="b">
        <f t="shared" si="5"/>
        <v>1</v>
      </c>
      <c r="O129" t="str">
        <f t="shared" si="8"/>
        <v>焦熱の連続砲撃</v>
      </c>
    </row>
    <row r="130" spans="1:15" x14ac:dyDescent="0.15">
      <c r="A130" t="s">
        <v>3168</v>
      </c>
      <c r="C130" t="s">
        <v>7002</v>
      </c>
      <c r="D130" t="s">
        <v>3168</v>
      </c>
      <c r="E130">
        <v>7</v>
      </c>
      <c r="F130" t="s">
        <v>3168</v>
      </c>
      <c r="G130" t="s">
        <v>1451</v>
      </c>
      <c r="H130" t="s">
        <v>3168</v>
      </c>
      <c r="I130" t="s">
        <v>288</v>
      </c>
      <c r="J130" t="s">
        <v>3168</v>
      </c>
      <c r="L130">
        <v>7</v>
      </c>
      <c r="M130" t="s">
        <v>5907</v>
      </c>
      <c r="N130" t="b">
        <f t="shared" si="5"/>
        <v>1</v>
      </c>
      <c r="O130" t="str">
        <f t="shared" si="8"/>
        <v>間に合わせの砲弾</v>
      </c>
    </row>
    <row r="131" spans="1:15" x14ac:dyDescent="0.15">
      <c r="A131" t="s">
        <v>3168</v>
      </c>
      <c r="C131" t="s">
        <v>7003</v>
      </c>
      <c r="D131" t="s">
        <v>3168</v>
      </c>
      <c r="E131">
        <v>9</v>
      </c>
      <c r="F131" t="s">
        <v>3168</v>
      </c>
      <c r="G131" t="s">
        <v>1451</v>
      </c>
      <c r="H131" t="s">
        <v>3168</v>
      </c>
      <c r="I131" t="s">
        <v>288</v>
      </c>
      <c r="J131" t="s">
        <v>3168</v>
      </c>
      <c r="L131">
        <v>9</v>
      </c>
      <c r="M131" t="s">
        <v>5909</v>
      </c>
      <c r="N131" t="b">
        <f t="shared" si="5"/>
        <v>1</v>
      </c>
      <c r="O131" t="str">
        <f t="shared" si="8"/>
        <v>誘惑の財宝</v>
      </c>
    </row>
    <row r="132" spans="1:15" x14ac:dyDescent="0.15">
      <c r="A132" t="s">
        <v>3168</v>
      </c>
      <c r="C132" t="s">
        <v>7004</v>
      </c>
      <c r="D132" t="s">
        <v>3168</v>
      </c>
      <c r="E132">
        <v>13</v>
      </c>
      <c r="F132" t="s">
        <v>3168</v>
      </c>
      <c r="G132" t="s">
        <v>1441</v>
      </c>
      <c r="H132" t="s">
        <v>3168</v>
      </c>
      <c r="I132" t="s">
        <v>339</v>
      </c>
      <c r="J132" t="s">
        <v>3168</v>
      </c>
      <c r="L132">
        <v>13</v>
      </c>
      <c r="M132" t="s">
        <v>5911</v>
      </c>
      <c r="N132" t="b">
        <f t="shared" si="5"/>
        <v>1</v>
      </c>
      <c r="O132" t="str">
        <f t="shared" si="8"/>
        <v>蠱惑的な船員</v>
      </c>
    </row>
    <row r="133" spans="1:15" x14ac:dyDescent="0.15">
      <c r="A133" t="s">
        <v>3168</v>
      </c>
      <c r="C133" t="s">
        <v>7005</v>
      </c>
      <c r="D133" t="s">
        <v>3168</v>
      </c>
      <c r="E133">
        <v>16</v>
      </c>
      <c r="F133" t="s">
        <v>3168</v>
      </c>
      <c r="G133" t="s">
        <v>1441</v>
      </c>
      <c r="H133" t="s">
        <v>3168</v>
      </c>
      <c r="I133" t="s">
        <v>339</v>
      </c>
      <c r="J133" t="s">
        <v>3168</v>
      </c>
      <c r="L133">
        <v>16</v>
      </c>
      <c r="M133" t="s">
        <v>5913</v>
      </c>
      <c r="N133" t="b">
        <f t="shared" si="5"/>
        <v>1</v>
      </c>
      <c r="O133" t="str">
        <f t="shared" si="8"/>
        <v>暴れ回るフェロキドン</v>
      </c>
    </row>
    <row r="134" spans="1:15" x14ac:dyDescent="0.15">
      <c r="A134" t="s">
        <v>3168</v>
      </c>
      <c r="C134" t="s">
        <v>7006</v>
      </c>
      <c r="D134" t="s">
        <v>3168</v>
      </c>
      <c r="E134">
        <v>15</v>
      </c>
      <c r="F134" t="s">
        <v>3168</v>
      </c>
      <c r="G134" t="s">
        <v>1441</v>
      </c>
      <c r="H134" t="s">
        <v>3168</v>
      </c>
      <c r="I134" t="s">
        <v>339</v>
      </c>
      <c r="J134" t="s">
        <v>3168</v>
      </c>
      <c r="L134">
        <v>15</v>
      </c>
      <c r="M134" t="s">
        <v>5915</v>
      </c>
      <c r="N134" t="b">
        <f t="shared" si="5"/>
        <v>1</v>
      </c>
      <c r="O134" t="str">
        <f t="shared" si="8"/>
        <v>荒くれ船員</v>
      </c>
    </row>
    <row r="135" spans="1:15" x14ac:dyDescent="0.15">
      <c r="A135" t="s">
        <v>3168</v>
      </c>
      <c r="C135" t="s">
        <v>7007</v>
      </c>
      <c r="D135" t="s">
        <v>3168</v>
      </c>
      <c r="E135">
        <v>11</v>
      </c>
      <c r="F135" t="s">
        <v>3168</v>
      </c>
      <c r="G135" t="s">
        <v>1441</v>
      </c>
      <c r="H135" t="s">
        <v>3168</v>
      </c>
      <c r="I135" t="s">
        <v>339</v>
      </c>
      <c r="J135" t="s">
        <v>3168</v>
      </c>
      <c r="L135">
        <v>11</v>
      </c>
      <c r="M135" t="s">
        <v>5917</v>
      </c>
      <c r="N135" t="b">
        <f t="shared" si="5"/>
        <v>1</v>
      </c>
      <c r="O135" t="str">
        <f t="shared" si="8"/>
        <v>風雲艦隊の放火魔</v>
      </c>
    </row>
    <row r="136" spans="1:15" x14ac:dyDescent="0.15">
      <c r="A136" t="s">
        <v>3168</v>
      </c>
      <c r="C136" t="s">
        <v>7008</v>
      </c>
      <c r="D136" t="s">
        <v>3168</v>
      </c>
      <c r="E136">
        <v>14</v>
      </c>
      <c r="F136" t="s">
        <v>3168</v>
      </c>
      <c r="G136" t="s">
        <v>1441</v>
      </c>
      <c r="H136" t="s">
        <v>3168</v>
      </c>
      <c r="I136" t="s">
        <v>339</v>
      </c>
      <c r="J136" t="s">
        <v>3168</v>
      </c>
      <c r="L136">
        <v>14</v>
      </c>
      <c r="M136" t="s">
        <v>5919</v>
      </c>
      <c r="N136" t="b">
        <f t="shared" si="5"/>
        <v>1</v>
      </c>
      <c r="O136" t="str">
        <f t="shared" si="8"/>
        <v>ティロナーリの肌変わり</v>
      </c>
    </row>
    <row r="137" spans="1:15" x14ac:dyDescent="0.15">
      <c r="A137" t="s">
        <v>3168</v>
      </c>
      <c r="C137" t="s">
        <v>7009</v>
      </c>
      <c r="D137" t="s">
        <v>3168</v>
      </c>
      <c r="E137">
        <v>5</v>
      </c>
      <c r="F137" t="s">
        <v>3168</v>
      </c>
      <c r="G137" t="s">
        <v>1441</v>
      </c>
      <c r="H137" t="s">
        <v>3168</v>
      </c>
      <c r="I137" t="s">
        <v>1453</v>
      </c>
      <c r="J137" t="s">
        <v>3168</v>
      </c>
      <c r="L137">
        <v>5</v>
      </c>
      <c r="M137" t="s">
        <v>5921</v>
      </c>
      <c r="N137" t="b">
        <f t="shared" si="5"/>
        <v>1</v>
      </c>
      <c r="O137" t="str">
        <f t="shared" si="8"/>
        <v>反復連射</v>
      </c>
    </row>
    <row r="138" spans="1:15" x14ac:dyDescent="0.15">
      <c r="A138" t="s">
        <v>3168</v>
      </c>
      <c r="C138" t="s">
        <v>7010</v>
      </c>
      <c r="D138" t="s">
        <v>3168</v>
      </c>
      <c r="E138">
        <v>15</v>
      </c>
      <c r="F138" t="s">
        <v>3168</v>
      </c>
      <c r="G138" t="s">
        <v>1441</v>
      </c>
      <c r="H138" t="s">
        <v>3168</v>
      </c>
      <c r="I138" t="s">
        <v>288</v>
      </c>
      <c r="J138" t="s">
        <v>3168</v>
      </c>
      <c r="L138">
        <v>15</v>
      </c>
      <c r="M138" t="s">
        <v>5923</v>
      </c>
      <c r="N138" t="b">
        <f t="shared" si="5"/>
        <v>1</v>
      </c>
      <c r="O138" t="str">
        <f t="shared" si="8"/>
        <v>太陽鳥の祈祷</v>
      </c>
    </row>
    <row r="139" spans="1:15" x14ac:dyDescent="0.15">
      <c r="A139" t="s">
        <v>3168</v>
      </c>
      <c r="C139" t="s">
        <v>7011</v>
      </c>
      <c r="D139" t="s">
        <v>3168</v>
      </c>
      <c r="E139">
        <v>16</v>
      </c>
      <c r="F139" t="s">
        <v>3168</v>
      </c>
      <c r="G139" t="s">
        <v>1431</v>
      </c>
      <c r="H139" t="s">
        <v>3168</v>
      </c>
      <c r="I139" t="s">
        <v>339</v>
      </c>
      <c r="J139" t="s">
        <v>3168</v>
      </c>
      <c r="L139">
        <v>16</v>
      </c>
      <c r="M139" t="s">
        <v>5925</v>
      </c>
      <c r="N139" t="b">
        <f t="shared" si="5"/>
        <v>1</v>
      </c>
      <c r="O139" t="str">
        <f t="shared" si="8"/>
        <v>焼熱の太陽の化身</v>
      </c>
    </row>
    <row r="140" spans="1:15" x14ac:dyDescent="0.15">
      <c r="A140" t="s">
        <v>3168</v>
      </c>
      <c r="C140" t="s">
        <v>7012</v>
      </c>
      <c r="D140" t="s">
        <v>3168</v>
      </c>
      <c r="E140">
        <v>9</v>
      </c>
      <c r="F140" t="s">
        <v>3168</v>
      </c>
      <c r="G140" t="s">
        <v>1431</v>
      </c>
      <c r="H140" t="s">
        <v>3168</v>
      </c>
      <c r="I140" t="s">
        <v>339</v>
      </c>
      <c r="J140" t="s">
        <v>3168</v>
      </c>
      <c r="L140">
        <v>9</v>
      </c>
      <c r="M140" t="s">
        <v>5927</v>
      </c>
      <c r="N140" t="b">
        <f t="shared" si="5"/>
        <v>1</v>
      </c>
      <c r="O140" t="str">
        <f t="shared" si="8"/>
        <v>風雲船長ラネリー</v>
      </c>
    </row>
    <row r="141" spans="1:15" x14ac:dyDescent="0.15">
      <c r="A141" t="s">
        <v>3168</v>
      </c>
      <c r="C141" t="s">
        <v>7013</v>
      </c>
      <c r="D141" t="s">
        <v>3168</v>
      </c>
      <c r="E141">
        <v>23</v>
      </c>
      <c r="F141" t="s">
        <v>3168</v>
      </c>
      <c r="G141" t="s">
        <v>1431</v>
      </c>
      <c r="H141" t="s">
        <v>3168</v>
      </c>
      <c r="I141" t="s">
        <v>1453</v>
      </c>
      <c r="J141" t="s">
        <v>3168</v>
      </c>
      <c r="L141">
        <v>23</v>
      </c>
      <c r="M141" t="s">
        <v>5929</v>
      </c>
      <c r="N141" t="b">
        <f t="shared" si="5"/>
        <v>1</v>
      </c>
      <c r="O141" t="str">
        <f t="shared" si="8"/>
        <v>絶滅の星</v>
      </c>
    </row>
    <row r="142" spans="1:15" x14ac:dyDescent="0.15">
      <c r="A142" t="s">
        <v>3168</v>
      </c>
      <c r="C142" t="s">
        <v>7014</v>
      </c>
      <c r="D142" t="s">
        <v>3168</v>
      </c>
      <c r="E142">
        <v>9</v>
      </c>
      <c r="F142" t="s">
        <v>3168</v>
      </c>
      <c r="G142" t="s">
        <v>1431</v>
      </c>
      <c r="H142" t="s">
        <v>3168</v>
      </c>
      <c r="I142" t="s">
        <v>288</v>
      </c>
      <c r="J142" t="s">
        <v>3168</v>
      </c>
      <c r="L142">
        <v>9</v>
      </c>
      <c r="M142" t="s">
        <v>5931</v>
      </c>
      <c r="N142" t="b">
        <f t="shared" si="5"/>
        <v>1</v>
      </c>
      <c r="O142" t="str">
        <f t="shared" si="8"/>
        <v>ヴァンスの爆破砲</v>
      </c>
    </row>
    <row r="143" spans="1:15" x14ac:dyDescent="0.15">
      <c r="E143">
        <v>0</v>
      </c>
      <c r="L143">
        <v>0</v>
      </c>
      <c r="M143" t="s">
        <v>6236</v>
      </c>
      <c r="N143" t="b">
        <f t="shared" si="5"/>
        <v>0</v>
      </c>
      <c r="O143" t="str">
        <f>MID(C143,4,LEN(M143))</f>
        <v/>
      </c>
    </row>
    <row r="144" spans="1:15" x14ac:dyDescent="0.15">
      <c r="B144" t="s">
        <v>6886</v>
      </c>
      <c r="N144" t="b">
        <f t="shared" si="5"/>
        <v>1</v>
      </c>
      <c r="O144" t="str">
        <f t="shared" ref="O144:O150" si="9">MID(C144,4,LEN(M144))</f>
        <v/>
      </c>
    </row>
    <row r="145" spans="1:15" x14ac:dyDescent="0.15">
      <c r="A145" t="s">
        <v>3168</v>
      </c>
      <c r="C145" t="s">
        <v>3163</v>
      </c>
      <c r="D145" t="s">
        <v>3168</v>
      </c>
      <c r="E145" t="s">
        <v>3162</v>
      </c>
      <c r="F145" t="s">
        <v>3168</v>
      </c>
      <c r="G145" t="s">
        <v>6891</v>
      </c>
      <c r="H145" t="s">
        <v>3168</v>
      </c>
      <c r="I145" t="s">
        <v>6892</v>
      </c>
      <c r="J145" t="s">
        <v>3168</v>
      </c>
      <c r="K145" t="s">
        <v>3164</v>
      </c>
      <c r="L145" t="s">
        <v>3162</v>
      </c>
      <c r="N145" t="b">
        <f t="shared" si="5"/>
        <v>1</v>
      </c>
      <c r="O145" t="str">
        <f t="shared" si="9"/>
        <v/>
      </c>
    </row>
    <row r="146" spans="1:15" x14ac:dyDescent="0.15">
      <c r="A146" t="s">
        <v>3168</v>
      </c>
      <c r="C146" t="s">
        <v>3166</v>
      </c>
      <c r="D146" t="s">
        <v>3168</v>
      </c>
      <c r="E146" t="s">
        <v>3165</v>
      </c>
      <c r="F146" t="s">
        <v>3168</v>
      </c>
      <c r="G146" t="s">
        <v>6893</v>
      </c>
      <c r="H146" t="s">
        <v>3168</v>
      </c>
      <c r="I146" t="s">
        <v>6894</v>
      </c>
      <c r="J146" t="s">
        <v>3168</v>
      </c>
      <c r="L146" t="s">
        <v>3165</v>
      </c>
      <c r="N146" t="b">
        <f t="shared" si="5"/>
        <v>1</v>
      </c>
      <c r="O146" t="str">
        <f t="shared" si="9"/>
        <v/>
      </c>
    </row>
    <row r="147" spans="1:15" x14ac:dyDescent="0.15">
      <c r="A147" t="s">
        <v>3168</v>
      </c>
      <c r="C147" t="s">
        <v>7015</v>
      </c>
      <c r="D147" t="s">
        <v>3168</v>
      </c>
      <c r="E147">
        <v>16</v>
      </c>
      <c r="F147" t="s">
        <v>3168</v>
      </c>
      <c r="G147" t="s">
        <v>1744</v>
      </c>
      <c r="H147" t="s">
        <v>3168</v>
      </c>
      <c r="I147" t="s">
        <v>339</v>
      </c>
      <c r="J147" t="s">
        <v>3168</v>
      </c>
      <c r="L147">
        <v>16</v>
      </c>
      <c r="M147" t="s">
        <v>5933</v>
      </c>
      <c r="N147" t="b">
        <f t="shared" si="5"/>
        <v>1</v>
      </c>
      <c r="O147" t="str">
        <f t="shared" si="9"/>
        <v>巨大な戦慄大口</v>
      </c>
    </row>
    <row r="148" spans="1:15" x14ac:dyDescent="0.15">
      <c r="A148" t="s">
        <v>3168</v>
      </c>
      <c r="C148" t="s">
        <v>7016</v>
      </c>
      <c r="D148" t="s">
        <v>3168</v>
      </c>
      <c r="E148">
        <v>7</v>
      </c>
      <c r="F148" t="s">
        <v>3168</v>
      </c>
      <c r="G148" t="s">
        <v>1744</v>
      </c>
      <c r="H148" t="s">
        <v>3168</v>
      </c>
      <c r="I148" t="s">
        <v>339</v>
      </c>
      <c r="J148" t="s">
        <v>3168</v>
      </c>
      <c r="L148">
        <v>7</v>
      </c>
      <c r="M148" t="s">
        <v>5935</v>
      </c>
      <c r="N148" t="b">
        <f t="shared" si="5"/>
        <v>1</v>
      </c>
      <c r="O148" t="str">
        <f t="shared" si="9"/>
        <v>深根の戦士</v>
      </c>
    </row>
    <row r="149" spans="1:15" x14ac:dyDescent="0.15">
      <c r="A149" t="s">
        <v>3168</v>
      </c>
      <c r="C149" t="s">
        <v>7017</v>
      </c>
      <c r="D149" t="s">
        <v>3168</v>
      </c>
      <c r="E149">
        <v>11</v>
      </c>
      <c r="F149" t="s">
        <v>3168</v>
      </c>
      <c r="G149" t="s">
        <v>1744</v>
      </c>
      <c r="H149" t="s">
        <v>3168</v>
      </c>
      <c r="I149" t="s">
        <v>339</v>
      </c>
      <c r="J149" t="s">
        <v>3168</v>
      </c>
      <c r="L149">
        <v>11</v>
      </c>
      <c r="M149" t="s">
        <v>5937</v>
      </c>
      <c r="N149" t="b">
        <f t="shared" si="5"/>
        <v>1</v>
      </c>
      <c r="O149" t="str">
        <f t="shared" si="9"/>
        <v>イクサーリの卜占師</v>
      </c>
    </row>
    <row r="150" spans="1:15" x14ac:dyDescent="0.15">
      <c r="A150" t="s">
        <v>3168</v>
      </c>
      <c r="C150" t="s">
        <v>7018</v>
      </c>
      <c r="D150" t="s">
        <v>3168</v>
      </c>
      <c r="E150">
        <v>9</v>
      </c>
      <c r="F150" t="s">
        <v>3168</v>
      </c>
      <c r="G150" t="s">
        <v>1744</v>
      </c>
      <c r="H150" t="s">
        <v>3168</v>
      </c>
      <c r="I150" t="s">
        <v>339</v>
      </c>
      <c r="J150" t="s">
        <v>3168</v>
      </c>
      <c r="L150">
        <v>9</v>
      </c>
      <c r="M150" t="s">
        <v>5939</v>
      </c>
      <c r="N150" t="b">
        <f t="shared" si="5"/>
        <v>1</v>
      </c>
      <c r="O150" t="str">
        <f t="shared" si="9"/>
        <v>翡翠の守護者</v>
      </c>
    </row>
    <row r="151" spans="1:15" x14ac:dyDescent="0.15">
      <c r="A151" t="s">
        <v>3168</v>
      </c>
      <c r="C151" t="s">
        <v>7019</v>
      </c>
      <c r="D151" t="s">
        <v>3168</v>
      </c>
      <c r="E151">
        <v>5</v>
      </c>
      <c r="F151" t="s">
        <v>3168</v>
      </c>
      <c r="G151" t="s">
        <v>1744</v>
      </c>
      <c r="H151" t="s">
        <v>3168</v>
      </c>
      <c r="I151" t="s">
        <v>339</v>
      </c>
      <c r="J151" t="s">
        <v>3168</v>
      </c>
      <c r="L151">
        <v>5</v>
      </c>
      <c r="M151" t="s">
        <v>5941</v>
      </c>
      <c r="N151" t="b">
        <f t="shared" si="5"/>
        <v>1</v>
      </c>
      <c r="O151" t="str">
        <f t="shared" ref="O151:O176" si="10">MID(C151,4,LEN(M151))</f>
        <v>ジャングルの探査者</v>
      </c>
    </row>
    <row r="152" spans="1:15" x14ac:dyDescent="0.15">
      <c r="A152" t="s">
        <v>3168</v>
      </c>
      <c r="C152" t="s">
        <v>7020</v>
      </c>
      <c r="D152" t="s">
        <v>3168</v>
      </c>
      <c r="E152">
        <v>9</v>
      </c>
      <c r="F152" t="s">
        <v>3168</v>
      </c>
      <c r="G152" t="s">
        <v>1744</v>
      </c>
      <c r="H152" t="s">
        <v>3168</v>
      </c>
      <c r="I152" t="s">
        <v>339</v>
      </c>
      <c r="J152" t="s">
        <v>3168</v>
      </c>
      <c r="L152">
        <v>9</v>
      </c>
      <c r="M152" t="s">
        <v>5943</v>
      </c>
      <c r="N152" t="b">
        <f t="shared" si="5"/>
        <v>1</v>
      </c>
      <c r="O152" t="str">
        <f t="shared" si="10"/>
        <v>貪欲な短剣歯</v>
      </c>
    </row>
    <row r="153" spans="1:15" x14ac:dyDescent="0.15">
      <c r="A153" t="s">
        <v>3168</v>
      </c>
      <c r="C153" t="s">
        <v>7021</v>
      </c>
      <c r="D153" t="s">
        <v>3168</v>
      </c>
      <c r="E153">
        <v>4</v>
      </c>
      <c r="F153" t="s">
        <v>3168</v>
      </c>
      <c r="G153" t="s">
        <v>1744</v>
      </c>
      <c r="H153" t="s">
        <v>3168</v>
      </c>
      <c r="I153" t="s">
        <v>1453</v>
      </c>
      <c r="J153" t="s">
        <v>3168</v>
      </c>
      <c r="L153">
        <v>4</v>
      </c>
      <c r="M153" t="s">
        <v>5945</v>
      </c>
      <c r="N153" t="b">
        <f t="shared" ref="N153:N215" si="11">EXACT(M153,O153)</f>
        <v>1</v>
      </c>
      <c r="O153" t="str">
        <f t="shared" si="10"/>
        <v>塁壁壊し</v>
      </c>
    </row>
    <row r="154" spans="1:15" x14ac:dyDescent="0.15">
      <c r="A154" t="s">
        <v>3168</v>
      </c>
      <c r="C154" t="s">
        <v>7022</v>
      </c>
      <c r="D154" t="s">
        <v>3168</v>
      </c>
      <c r="E154">
        <v>9</v>
      </c>
      <c r="F154" t="s">
        <v>3168</v>
      </c>
      <c r="G154" t="s">
        <v>1744</v>
      </c>
      <c r="H154" t="s">
        <v>3168</v>
      </c>
      <c r="I154" t="s">
        <v>1453</v>
      </c>
      <c r="J154" t="s">
        <v>3168</v>
      </c>
      <c r="L154">
        <v>9</v>
      </c>
      <c r="M154" t="s">
        <v>5947</v>
      </c>
      <c r="N154" t="b">
        <f t="shared" si="11"/>
        <v>1</v>
      </c>
      <c r="O154" t="str">
        <f t="shared" si="10"/>
        <v>創発的成長</v>
      </c>
    </row>
    <row r="155" spans="1:15" x14ac:dyDescent="0.15">
      <c r="A155" t="s">
        <v>3168</v>
      </c>
      <c r="C155" t="s">
        <v>7023</v>
      </c>
      <c r="D155" t="s">
        <v>3168</v>
      </c>
      <c r="E155">
        <v>10</v>
      </c>
      <c r="F155" t="s">
        <v>3168</v>
      </c>
      <c r="G155" t="s">
        <v>1744</v>
      </c>
      <c r="H155" t="s">
        <v>3168</v>
      </c>
      <c r="I155" t="s">
        <v>1453</v>
      </c>
      <c r="J155" t="s">
        <v>3168</v>
      </c>
      <c r="L155">
        <v>10</v>
      </c>
      <c r="M155" t="s">
        <v>5949</v>
      </c>
      <c r="N155" t="b">
        <f t="shared" si="11"/>
        <v>1</v>
      </c>
      <c r="O155" t="str">
        <f t="shared" si="10"/>
        <v>真っ二つ</v>
      </c>
    </row>
    <row r="156" spans="1:15" x14ac:dyDescent="0.15">
      <c r="A156" t="s">
        <v>3168</v>
      </c>
      <c r="C156" t="s">
        <v>7024</v>
      </c>
      <c r="D156" t="s">
        <v>3168</v>
      </c>
      <c r="E156">
        <v>13</v>
      </c>
      <c r="F156" t="s">
        <v>3168</v>
      </c>
      <c r="G156" t="s">
        <v>1744</v>
      </c>
      <c r="H156" t="s">
        <v>3168</v>
      </c>
      <c r="I156" t="s">
        <v>288</v>
      </c>
      <c r="J156" t="s">
        <v>3168</v>
      </c>
      <c r="L156">
        <v>13</v>
      </c>
      <c r="M156" t="s">
        <v>5951</v>
      </c>
      <c r="N156" t="b">
        <f t="shared" si="11"/>
        <v>1</v>
      </c>
      <c r="O156" t="str">
        <f t="shared" si="10"/>
        <v>新たな地平</v>
      </c>
    </row>
    <row r="157" spans="1:15" x14ac:dyDescent="0.15">
      <c r="A157" t="s">
        <v>3168</v>
      </c>
      <c r="C157" t="s">
        <v>7025</v>
      </c>
      <c r="D157" t="s">
        <v>3168</v>
      </c>
      <c r="E157">
        <v>11</v>
      </c>
      <c r="F157" t="s">
        <v>3168</v>
      </c>
      <c r="G157" t="s">
        <v>1451</v>
      </c>
      <c r="H157" t="s">
        <v>3168</v>
      </c>
      <c r="I157" t="s">
        <v>339</v>
      </c>
      <c r="J157" t="s">
        <v>3168</v>
      </c>
      <c r="L157">
        <v>11</v>
      </c>
      <c r="M157" t="s">
        <v>5953</v>
      </c>
      <c r="N157" t="b">
        <f t="shared" si="11"/>
        <v>1</v>
      </c>
      <c r="O157" t="str">
        <f t="shared" si="10"/>
        <v>大物群れの操り手</v>
      </c>
    </row>
    <row r="158" spans="1:15" x14ac:dyDescent="0.15">
      <c r="A158" t="s">
        <v>3168</v>
      </c>
      <c r="C158" t="s">
        <v>7026</v>
      </c>
      <c r="D158" t="s">
        <v>3168</v>
      </c>
      <c r="E158">
        <v>10</v>
      </c>
      <c r="F158" t="s">
        <v>3168</v>
      </c>
      <c r="G158" t="s">
        <v>1451</v>
      </c>
      <c r="H158" t="s">
        <v>3168</v>
      </c>
      <c r="I158" t="s">
        <v>339</v>
      </c>
      <c r="J158" t="s">
        <v>3168</v>
      </c>
      <c r="L158">
        <v>10</v>
      </c>
      <c r="M158" t="s">
        <v>5955</v>
      </c>
      <c r="N158" t="b">
        <f t="shared" si="11"/>
        <v>1</v>
      </c>
      <c r="O158" t="str">
        <f t="shared" si="10"/>
        <v>イクサーリの守り手</v>
      </c>
    </row>
    <row r="159" spans="1:15" x14ac:dyDescent="0.15">
      <c r="A159" t="s">
        <v>3168</v>
      </c>
      <c r="C159" t="s">
        <v>7027</v>
      </c>
      <c r="D159" t="s">
        <v>3168</v>
      </c>
      <c r="E159">
        <v>7</v>
      </c>
      <c r="F159" t="s">
        <v>3168</v>
      </c>
      <c r="G159" t="s">
        <v>1451</v>
      </c>
      <c r="H159" t="s">
        <v>3168</v>
      </c>
      <c r="I159" t="s">
        <v>339</v>
      </c>
      <c r="J159" t="s">
        <v>3168</v>
      </c>
      <c r="L159">
        <v>7</v>
      </c>
      <c r="M159" t="s">
        <v>5957</v>
      </c>
      <c r="N159" t="b">
        <f t="shared" si="11"/>
        <v>1</v>
      </c>
      <c r="O159" t="str">
        <f t="shared" si="10"/>
        <v>クメーナの語り部</v>
      </c>
    </row>
    <row r="160" spans="1:15" x14ac:dyDescent="0.15">
      <c r="A160" t="s">
        <v>3168</v>
      </c>
      <c r="C160" t="s">
        <v>7028</v>
      </c>
      <c r="D160" t="s">
        <v>3168</v>
      </c>
      <c r="E160">
        <v>8</v>
      </c>
      <c r="F160" t="s">
        <v>3168</v>
      </c>
      <c r="G160" t="s">
        <v>1451</v>
      </c>
      <c r="H160" t="s">
        <v>3168</v>
      </c>
      <c r="I160" t="s">
        <v>339</v>
      </c>
      <c r="J160" t="s">
        <v>3168</v>
      </c>
      <c r="L160">
        <v>8</v>
      </c>
      <c r="M160" t="s">
        <v>5959</v>
      </c>
      <c r="N160" t="b">
        <f t="shared" si="11"/>
        <v>1</v>
      </c>
      <c r="O160" t="str">
        <f t="shared" si="10"/>
        <v>マーフォークの枝渡り</v>
      </c>
    </row>
    <row r="161" spans="1:15" x14ac:dyDescent="0.15">
      <c r="A161" t="s">
        <v>3168</v>
      </c>
      <c r="C161" t="s">
        <v>7029</v>
      </c>
      <c r="D161" t="s">
        <v>3168</v>
      </c>
      <c r="E161">
        <v>11</v>
      </c>
      <c r="F161" t="s">
        <v>3168</v>
      </c>
      <c r="G161" t="s">
        <v>1451</v>
      </c>
      <c r="H161" t="s">
        <v>3168</v>
      </c>
      <c r="I161" t="s">
        <v>339</v>
      </c>
      <c r="J161" t="s">
        <v>3168</v>
      </c>
      <c r="L161">
        <v>11</v>
      </c>
      <c r="M161" t="s">
        <v>5961</v>
      </c>
      <c r="N161" t="b">
        <f t="shared" si="11"/>
        <v>1</v>
      </c>
      <c r="O161" t="str">
        <f t="shared" si="10"/>
        <v>群棲する猛竜</v>
      </c>
    </row>
    <row r="162" spans="1:15" x14ac:dyDescent="0.15">
      <c r="A162" t="s">
        <v>3168</v>
      </c>
      <c r="C162" t="s">
        <v>7030</v>
      </c>
      <c r="D162" t="s">
        <v>3168</v>
      </c>
      <c r="E162">
        <v>16</v>
      </c>
      <c r="F162" t="s">
        <v>3168</v>
      </c>
      <c r="G162" t="s">
        <v>1451</v>
      </c>
      <c r="H162" t="s">
        <v>3168</v>
      </c>
      <c r="I162" t="s">
        <v>339</v>
      </c>
      <c r="J162" t="s">
        <v>3168</v>
      </c>
      <c r="L162">
        <v>16</v>
      </c>
      <c r="M162" t="s">
        <v>5963</v>
      </c>
      <c r="N162" t="b">
        <f t="shared" si="11"/>
        <v>1</v>
      </c>
      <c r="O162" t="str">
        <f t="shared" si="10"/>
        <v>轟く棘背びれ</v>
      </c>
    </row>
    <row r="163" spans="1:15" x14ac:dyDescent="0.15">
      <c r="A163" t="s">
        <v>3168</v>
      </c>
      <c r="C163" t="s">
        <v>7031</v>
      </c>
      <c r="D163" t="s">
        <v>3168</v>
      </c>
      <c r="E163">
        <v>9</v>
      </c>
      <c r="F163" t="s">
        <v>3168</v>
      </c>
      <c r="G163" t="s">
        <v>1451</v>
      </c>
      <c r="H163" t="s">
        <v>3168</v>
      </c>
      <c r="I163" t="s">
        <v>339</v>
      </c>
      <c r="J163" t="s">
        <v>3168</v>
      </c>
      <c r="L163">
        <v>9</v>
      </c>
      <c r="M163" t="s">
        <v>5965</v>
      </c>
      <c r="N163" t="b">
        <f t="shared" si="11"/>
        <v>1</v>
      </c>
      <c r="O163" t="str">
        <f t="shared" si="10"/>
        <v>蔦形成師の神秘家</v>
      </c>
    </row>
    <row r="164" spans="1:15" x14ac:dyDescent="0.15">
      <c r="A164" t="s">
        <v>3168</v>
      </c>
      <c r="C164" t="s">
        <v>7032</v>
      </c>
      <c r="D164" t="s">
        <v>3168</v>
      </c>
      <c r="E164">
        <v>5</v>
      </c>
      <c r="F164" t="s">
        <v>3168</v>
      </c>
      <c r="G164" t="s">
        <v>1451</v>
      </c>
      <c r="H164" t="s">
        <v>3168</v>
      </c>
      <c r="I164" t="s">
        <v>1453</v>
      </c>
      <c r="J164" t="s">
        <v>3168</v>
      </c>
      <c r="L164">
        <v>5</v>
      </c>
      <c r="M164" t="s">
        <v>5967</v>
      </c>
      <c r="N164" t="b">
        <f t="shared" si="11"/>
        <v>1</v>
      </c>
      <c r="O164" t="str">
        <f t="shared" si="10"/>
        <v>川守りの恩恵</v>
      </c>
    </row>
    <row r="165" spans="1:15" x14ac:dyDescent="0.15">
      <c r="A165" t="s">
        <v>3168</v>
      </c>
      <c r="C165" t="s">
        <v>7033</v>
      </c>
      <c r="D165" t="s">
        <v>3168</v>
      </c>
      <c r="E165">
        <v>8</v>
      </c>
      <c r="F165" t="s">
        <v>3168</v>
      </c>
      <c r="G165" t="s">
        <v>1451</v>
      </c>
      <c r="H165" t="s">
        <v>3168</v>
      </c>
      <c r="I165" t="s">
        <v>1453</v>
      </c>
      <c r="J165" t="s">
        <v>3168</v>
      </c>
      <c r="L165">
        <v>8</v>
      </c>
      <c r="M165" t="s">
        <v>5969</v>
      </c>
      <c r="N165" t="b">
        <f t="shared" si="11"/>
        <v>1</v>
      </c>
      <c r="O165" t="str">
        <f t="shared" si="10"/>
        <v>凶暴な踏みつけ</v>
      </c>
    </row>
    <row r="166" spans="1:15" x14ac:dyDescent="0.15">
      <c r="A166" t="s">
        <v>3168</v>
      </c>
      <c r="C166" t="s">
        <v>7034</v>
      </c>
      <c r="D166" t="s">
        <v>3168</v>
      </c>
      <c r="E166">
        <v>6</v>
      </c>
      <c r="F166" t="s">
        <v>3168</v>
      </c>
      <c r="G166" t="s">
        <v>1451</v>
      </c>
      <c r="H166" t="s">
        <v>3168</v>
      </c>
      <c r="I166" t="s">
        <v>288</v>
      </c>
      <c r="J166" t="s">
        <v>3168</v>
      </c>
      <c r="L166">
        <v>6</v>
      </c>
      <c r="M166" t="s">
        <v>5971</v>
      </c>
      <c r="N166" t="b">
        <f t="shared" si="11"/>
        <v>1</v>
      </c>
      <c r="O166" t="str">
        <f t="shared" si="10"/>
        <v>形成師の聖域</v>
      </c>
    </row>
    <row r="167" spans="1:15" x14ac:dyDescent="0.15">
      <c r="A167" t="s">
        <v>3168</v>
      </c>
      <c r="C167" t="s">
        <v>7035</v>
      </c>
      <c r="D167" t="s">
        <v>3168</v>
      </c>
      <c r="E167">
        <v>14</v>
      </c>
      <c r="F167" t="s">
        <v>3168</v>
      </c>
      <c r="G167" t="s">
        <v>1441</v>
      </c>
      <c r="H167" t="s">
        <v>3168</v>
      </c>
      <c r="I167" t="s">
        <v>339</v>
      </c>
      <c r="J167" t="s">
        <v>3168</v>
      </c>
      <c r="L167">
        <v>14</v>
      </c>
      <c r="M167" t="s">
        <v>5973</v>
      </c>
      <c r="N167" t="b">
        <f t="shared" si="11"/>
        <v>1</v>
      </c>
      <c r="O167" t="str">
        <f t="shared" si="10"/>
        <v>貪る死肉あさり</v>
      </c>
    </row>
    <row r="168" spans="1:15" x14ac:dyDescent="0.15">
      <c r="A168" t="s">
        <v>3168</v>
      </c>
      <c r="C168" t="s">
        <v>7036</v>
      </c>
      <c r="D168" t="s">
        <v>3168</v>
      </c>
      <c r="E168">
        <v>10</v>
      </c>
      <c r="F168" t="s">
        <v>3168</v>
      </c>
      <c r="G168" t="s">
        <v>1441</v>
      </c>
      <c r="H168" t="s">
        <v>3168</v>
      </c>
      <c r="I168" t="s">
        <v>339</v>
      </c>
      <c r="J168" t="s">
        <v>3168</v>
      </c>
      <c r="L168">
        <v>10</v>
      </c>
      <c r="M168" t="s">
        <v>5975</v>
      </c>
      <c r="N168" t="b">
        <f t="shared" si="11"/>
        <v>1</v>
      </c>
      <c r="O168" t="str">
        <f t="shared" si="10"/>
        <v>深根の勇者</v>
      </c>
    </row>
    <row r="169" spans="1:15" x14ac:dyDescent="0.15">
      <c r="A169" t="s">
        <v>3168</v>
      </c>
      <c r="C169" t="s">
        <v>7037</v>
      </c>
      <c r="D169" t="s">
        <v>3168</v>
      </c>
      <c r="E169">
        <v>14</v>
      </c>
      <c r="F169" t="s">
        <v>3168</v>
      </c>
      <c r="G169" t="s">
        <v>1441</v>
      </c>
      <c r="H169" t="s">
        <v>3168</v>
      </c>
      <c r="I169" t="s">
        <v>339</v>
      </c>
      <c r="J169" t="s">
        <v>3168</v>
      </c>
      <c r="L169">
        <v>14</v>
      </c>
      <c r="M169" t="s">
        <v>5977</v>
      </c>
      <c r="N169" t="b">
        <f t="shared" si="11"/>
        <v>1</v>
      </c>
      <c r="O169" t="str">
        <f t="shared" si="10"/>
        <v>皇帝の先兵</v>
      </c>
    </row>
    <row r="170" spans="1:15" x14ac:dyDescent="0.15">
      <c r="A170" t="s">
        <v>3168</v>
      </c>
      <c r="C170" t="s">
        <v>7038</v>
      </c>
      <c r="D170" t="s">
        <v>3168</v>
      </c>
      <c r="E170">
        <v>14</v>
      </c>
      <c r="F170" t="s">
        <v>3168</v>
      </c>
      <c r="G170" t="s">
        <v>1441</v>
      </c>
      <c r="H170" t="s">
        <v>3168</v>
      </c>
      <c r="I170" t="s">
        <v>339</v>
      </c>
      <c r="J170" t="s">
        <v>3168</v>
      </c>
      <c r="L170">
        <v>14</v>
      </c>
      <c r="M170" t="s">
        <v>5979</v>
      </c>
      <c r="N170" t="b">
        <f t="shared" si="11"/>
        <v>1</v>
      </c>
      <c r="O170" t="str">
        <f t="shared" si="10"/>
        <v>切り裂き顎の猛竜</v>
      </c>
    </row>
    <row r="171" spans="1:15" x14ac:dyDescent="0.15">
      <c r="A171" t="s">
        <v>3168</v>
      </c>
      <c r="C171" t="s">
        <v>7039</v>
      </c>
      <c r="D171" t="s">
        <v>3168</v>
      </c>
      <c r="E171">
        <v>10</v>
      </c>
      <c r="F171" t="s">
        <v>3168</v>
      </c>
      <c r="G171" t="s">
        <v>1441</v>
      </c>
      <c r="H171" t="s">
        <v>3168</v>
      </c>
      <c r="I171" t="s">
        <v>339</v>
      </c>
      <c r="J171" t="s">
        <v>3168</v>
      </c>
      <c r="L171">
        <v>10</v>
      </c>
      <c r="M171" t="s">
        <v>5981</v>
      </c>
      <c r="N171" t="b">
        <f t="shared" si="11"/>
        <v>1</v>
      </c>
      <c r="O171" t="str">
        <f t="shared" si="10"/>
        <v>野茂み歩き</v>
      </c>
    </row>
    <row r="172" spans="1:15" x14ac:dyDescent="0.15">
      <c r="A172" t="s">
        <v>3168</v>
      </c>
      <c r="C172" t="s">
        <v>7040</v>
      </c>
      <c r="D172" t="s">
        <v>3168</v>
      </c>
      <c r="E172">
        <v>4</v>
      </c>
      <c r="F172" t="s">
        <v>3168</v>
      </c>
      <c r="G172" t="s">
        <v>1441</v>
      </c>
      <c r="H172" t="s">
        <v>3168</v>
      </c>
      <c r="I172" t="s">
        <v>1453</v>
      </c>
      <c r="J172" t="s">
        <v>3168</v>
      </c>
      <c r="L172">
        <v>4</v>
      </c>
      <c r="M172" t="s">
        <v>5983</v>
      </c>
      <c r="N172" t="b">
        <f t="shared" si="11"/>
        <v>1</v>
      </c>
      <c r="O172" t="str">
        <f t="shared" si="10"/>
        <v>恐竜との融和</v>
      </c>
    </row>
    <row r="173" spans="1:15" x14ac:dyDescent="0.15">
      <c r="A173" t="s">
        <v>3168</v>
      </c>
      <c r="C173" t="s">
        <v>7041</v>
      </c>
      <c r="D173" t="s">
        <v>3168</v>
      </c>
      <c r="E173">
        <v>20</v>
      </c>
      <c r="F173" t="s">
        <v>3168</v>
      </c>
      <c r="G173" t="s">
        <v>1431</v>
      </c>
      <c r="H173" t="s">
        <v>3168</v>
      </c>
      <c r="I173" t="s">
        <v>339</v>
      </c>
      <c r="J173" t="s">
        <v>3168</v>
      </c>
      <c r="L173">
        <v>20</v>
      </c>
      <c r="M173" t="s">
        <v>5985</v>
      </c>
      <c r="N173" t="b">
        <f t="shared" si="11"/>
        <v>1</v>
      </c>
      <c r="O173" t="str">
        <f t="shared" si="10"/>
        <v>殺戮の暴君</v>
      </c>
    </row>
    <row r="174" spans="1:15" x14ac:dyDescent="0.15">
      <c r="A174" t="s">
        <v>3168</v>
      </c>
      <c r="C174" t="s">
        <v>7042</v>
      </c>
      <c r="D174" t="s">
        <v>3168</v>
      </c>
      <c r="E174">
        <v>20</v>
      </c>
      <c r="F174" t="s">
        <v>3168</v>
      </c>
      <c r="G174" t="s">
        <v>1431</v>
      </c>
      <c r="H174" t="s">
        <v>3168</v>
      </c>
      <c r="I174" t="s">
        <v>339</v>
      </c>
      <c r="J174" t="s">
        <v>3168</v>
      </c>
      <c r="L174">
        <v>20</v>
      </c>
      <c r="M174" t="s">
        <v>5987</v>
      </c>
      <c r="N174" t="b">
        <f t="shared" si="11"/>
        <v>1</v>
      </c>
      <c r="O174" t="str">
        <f t="shared" si="10"/>
        <v>翠緑の太陽の化身</v>
      </c>
    </row>
    <row r="175" spans="1:15" x14ac:dyDescent="0.15">
      <c r="A175" t="s">
        <v>3168</v>
      </c>
      <c r="C175" t="s">
        <v>7043</v>
      </c>
      <c r="D175" t="s">
        <v>3168</v>
      </c>
      <c r="E175">
        <v>13</v>
      </c>
      <c r="F175" t="s">
        <v>3168</v>
      </c>
      <c r="G175" t="s">
        <v>1431</v>
      </c>
      <c r="H175" t="s">
        <v>3168</v>
      </c>
      <c r="I175" t="s">
        <v>288</v>
      </c>
      <c r="J175" t="s">
        <v>3168</v>
      </c>
      <c r="L175">
        <v>13</v>
      </c>
      <c r="M175" t="s">
        <v>5989</v>
      </c>
      <c r="N175" t="b">
        <f t="shared" si="11"/>
        <v>1</v>
      </c>
      <c r="O175" t="str">
        <f t="shared" si="10"/>
        <v>イトリモクの成長儀式</v>
      </c>
    </row>
    <row r="176" spans="1:15" x14ac:dyDescent="0.15">
      <c r="E176">
        <v>0</v>
      </c>
      <c r="L176">
        <v>0</v>
      </c>
      <c r="M176" t="s">
        <v>6238</v>
      </c>
      <c r="N176" t="b">
        <f t="shared" si="11"/>
        <v>0</v>
      </c>
      <c r="O176" t="str">
        <f t="shared" si="10"/>
        <v/>
      </c>
    </row>
    <row r="177" spans="1:15" x14ac:dyDescent="0.15">
      <c r="B177" t="s">
        <v>6887</v>
      </c>
      <c r="N177" t="b">
        <f t="shared" si="11"/>
        <v>1</v>
      </c>
      <c r="O177" t="str">
        <f t="shared" ref="O177:O182" si="12">MID(C177,4,LEN(M177))</f>
        <v/>
      </c>
    </row>
    <row r="178" spans="1:15" x14ac:dyDescent="0.15">
      <c r="A178" t="s">
        <v>3168</v>
      </c>
      <c r="C178" t="s">
        <v>3163</v>
      </c>
      <c r="D178" t="s">
        <v>3168</v>
      </c>
      <c r="E178" t="s">
        <v>3162</v>
      </c>
      <c r="F178" t="s">
        <v>3168</v>
      </c>
      <c r="G178" t="s">
        <v>6891</v>
      </c>
      <c r="H178" t="s">
        <v>3168</v>
      </c>
      <c r="I178" t="s">
        <v>6892</v>
      </c>
      <c r="J178" t="s">
        <v>3168</v>
      </c>
      <c r="K178" t="s">
        <v>3164</v>
      </c>
      <c r="L178" t="s">
        <v>3162</v>
      </c>
      <c r="N178" t="b">
        <f t="shared" si="11"/>
        <v>1</v>
      </c>
      <c r="O178" t="str">
        <f t="shared" si="12"/>
        <v/>
      </c>
    </row>
    <row r="179" spans="1:15" x14ac:dyDescent="0.15">
      <c r="A179" t="s">
        <v>3168</v>
      </c>
      <c r="C179" t="s">
        <v>3166</v>
      </c>
      <c r="D179" t="s">
        <v>3168</v>
      </c>
      <c r="E179" t="s">
        <v>3165</v>
      </c>
      <c r="F179" t="s">
        <v>3168</v>
      </c>
      <c r="G179" t="s">
        <v>6893</v>
      </c>
      <c r="H179" t="s">
        <v>3168</v>
      </c>
      <c r="I179" t="s">
        <v>6894</v>
      </c>
      <c r="J179" t="s">
        <v>3168</v>
      </c>
      <c r="L179" t="s">
        <v>3165</v>
      </c>
      <c r="N179" t="b">
        <f t="shared" si="11"/>
        <v>1</v>
      </c>
      <c r="O179" t="str">
        <f t="shared" si="12"/>
        <v/>
      </c>
    </row>
    <row r="180" spans="1:15" x14ac:dyDescent="0.15">
      <c r="A180" t="s">
        <v>3168</v>
      </c>
      <c r="C180" t="s">
        <v>7044</v>
      </c>
      <c r="D180" t="s">
        <v>3168</v>
      </c>
      <c r="E180">
        <v>15</v>
      </c>
      <c r="F180" t="s">
        <v>3168</v>
      </c>
      <c r="G180" t="s">
        <v>1451</v>
      </c>
      <c r="H180" t="s">
        <v>3168</v>
      </c>
      <c r="I180" t="s">
        <v>339</v>
      </c>
      <c r="J180" t="s">
        <v>3168</v>
      </c>
      <c r="L180">
        <v>15</v>
      </c>
      <c r="M180" t="s">
        <v>5991</v>
      </c>
      <c r="N180" t="b">
        <f t="shared" si="11"/>
        <v>1</v>
      </c>
      <c r="O180" t="str">
        <f t="shared" si="12"/>
        <v>巧射艦隊の略取者</v>
      </c>
    </row>
    <row r="181" spans="1:15" x14ac:dyDescent="0.15">
      <c r="A181" t="s">
        <v>3168</v>
      </c>
      <c r="C181" t="s">
        <v>7045</v>
      </c>
      <c r="D181" t="s">
        <v>3168</v>
      </c>
      <c r="E181">
        <v>14</v>
      </c>
      <c r="F181" t="s">
        <v>3168</v>
      </c>
      <c r="G181" t="s">
        <v>1431</v>
      </c>
      <c r="H181" t="s">
        <v>3168</v>
      </c>
      <c r="I181" t="s">
        <v>339</v>
      </c>
      <c r="J181" t="s">
        <v>3168</v>
      </c>
      <c r="L181">
        <v>14</v>
      </c>
      <c r="M181" t="s">
        <v>5993</v>
      </c>
      <c r="N181" t="b">
        <f t="shared" si="11"/>
        <v>1</v>
      </c>
      <c r="O181" t="str">
        <f t="shared" si="12"/>
        <v>人質取り</v>
      </c>
    </row>
    <row r="182" spans="1:15" x14ac:dyDescent="0.15">
      <c r="A182" t="s">
        <v>3168</v>
      </c>
      <c r="C182" t="s">
        <v>7046</v>
      </c>
      <c r="D182" t="s">
        <v>3168</v>
      </c>
      <c r="E182">
        <v>9</v>
      </c>
      <c r="F182" t="s">
        <v>3168</v>
      </c>
      <c r="G182" t="s">
        <v>1451</v>
      </c>
      <c r="H182" t="s">
        <v>3168</v>
      </c>
      <c r="I182" t="s">
        <v>339</v>
      </c>
      <c r="J182" t="s">
        <v>3168</v>
      </c>
      <c r="L182">
        <v>9</v>
      </c>
      <c r="M182" t="s">
        <v>5995</v>
      </c>
      <c r="N182" t="b">
        <f t="shared" si="11"/>
        <v>1</v>
      </c>
      <c r="O182" t="str">
        <f t="shared" si="12"/>
        <v>凶兆艦隊の船長</v>
      </c>
    </row>
    <row r="183" spans="1:15" x14ac:dyDescent="0.15">
      <c r="A183" t="s">
        <v>3168</v>
      </c>
      <c r="C183" t="s">
        <v>7047</v>
      </c>
      <c r="D183" t="s">
        <v>3168</v>
      </c>
      <c r="E183">
        <v>16</v>
      </c>
      <c r="F183" t="s">
        <v>3168</v>
      </c>
      <c r="G183" t="s">
        <v>1451</v>
      </c>
      <c r="H183" t="s">
        <v>3168</v>
      </c>
      <c r="I183" t="s">
        <v>339</v>
      </c>
      <c r="J183" t="s">
        <v>3168</v>
      </c>
      <c r="L183">
        <v>16</v>
      </c>
      <c r="M183" t="s">
        <v>5997</v>
      </c>
      <c r="N183" t="b">
        <f t="shared" si="11"/>
        <v>1</v>
      </c>
      <c r="O183" t="str">
        <f t="shared" ref="O183:O192" si="13">MID(C183,4,LEN(M183))</f>
        <v>怒り狂う長剣歯</v>
      </c>
    </row>
    <row r="184" spans="1:15" x14ac:dyDescent="0.15">
      <c r="A184" t="s">
        <v>3168</v>
      </c>
      <c r="C184" t="s">
        <v>7048</v>
      </c>
      <c r="D184" t="s">
        <v>3168</v>
      </c>
      <c r="E184">
        <v>15</v>
      </c>
      <c r="F184" t="s">
        <v>3168</v>
      </c>
      <c r="G184" t="s">
        <v>1431</v>
      </c>
      <c r="H184" t="s">
        <v>3168</v>
      </c>
      <c r="I184" t="s">
        <v>339</v>
      </c>
      <c r="J184" t="s">
        <v>3168</v>
      </c>
      <c r="L184">
        <v>15</v>
      </c>
      <c r="M184" t="s">
        <v>5999</v>
      </c>
      <c r="N184" t="b">
        <f t="shared" si="11"/>
        <v>1</v>
      </c>
      <c r="O184" t="str">
        <f t="shared" si="13"/>
        <v>レギサウルスの頭目</v>
      </c>
    </row>
    <row r="185" spans="1:15" x14ac:dyDescent="0.15">
      <c r="A185" t="s">
        <v>3168</v>
      </c>
      <c r="C185" t="s">
        <v>7049</v>
      </c>
      <c r="D185" t="s">
        <v>3168</v>
      </c>
      <c r="E185">
        <v>14</v>
      </c>
      <c r="F185" t="s">
        <v>3168</v>
      </c>
      <c r="G185" t="s">
        <v>1451</v>
      </c>
      <c r="H185" t="s">
        <v>3168</v>
      </c>
      <c r="I185" t="s">
        <v>339</v>
      </c>
      <c r="J185" t="s">
        <v>3168</v>
      </c>
      <c r="L185">
        <v>14</v>
      </c>
      <c r="M185" t="s">
        <v>6001</v>
      </c>
      <c r="N185" t="b">
        <f t="shared" si="11"/>
        <v>1</v>
      </c>
      <c r="O185" t="str">
        <f t="shared" si="13"/>
        <v>好戦的なブロントドン</v>
      </c>
    </row>
    <row r="186" spans="1:15" x14ac:dyDescent="0.15">
      <c r="A186" t="s">
        <v>3168</v>
      </c>
      <c r="C186" t="s">
        <v>7050</v>
      </c>
      <c r="D186" t="s">
        <v>3168</v>
      </c>
      <c r="E186">
        <v>11</v>
      </c>
      <c r="F186" t="s">
        <v>3168</v>
      </c>
      <c r="G186" t="s">
        <v>1441</v>
      </c>
      <c r="H186" t="s">
        <v>3168</v>
      </c>
      <c r="I186" t="s">
        <v>1453</v>
      </c>
      <c r="J186" t="s">
        <v>3168</v>
      </c>
      <c r="L186">
        <v>11</v>
      </c>
      <c r="M186" t="s">
        <v>6003</v>
      </c>
      <c r="N186" t="b">
        <f t="shared" si="11"/>
        <v>1</v>
      </c>
      <c r="O186" t="str">
        <f t="shared" si="13"/>
        <v>饗宴への召集</v>
      </c>
    </row>
    <row r="187" spans="1:15" x14ac:dyDescent="0.15">
      <c r="A187" t="s">
        <v>3168</v>
      </c>
      <c r="C187" t="s">
        <v>7051</v>
      </c>
      <c r="D187" t="s">
        <v>3168</v>
      </c>
      <c r="E187">
        <v>16</v>
      </c>
      <c r="F187" t="s">
        <v>3168</v>
      </c>
      <c r="G187" t="s">
        <v>1431</v>
      </c>
      <c r="H187" t="s">
        <v>3168</v>
      </c>
      <c r="I187" t="s">
        <v>339</v>
      </c>
      <c r="J187" t="s">
        <v>3168</v>
      </c>
      <c r="L187">
        <v>16</v>
      </c>
      <c r="M187" t="s">
        <v>6005</v>
      </c>
      <c r="N187" t="b">
        <f t="shared" si="11"/>
        <v>1</v>
      </c>
      <c r="O187" t="str">
        <f t="shared" si="13"/>
        <v>マガーンの鏖殺者、ヴォーナ</v>
      </c>
    </row>
    <row r="188" spans="1:15" x14ac:dyDescent="0.15">
      <c r="A188" t="s">
        <v>3168</v>
      </c>
      <c r="C188" t="s">
        <v>7052</v>
      </c>
      <c r="D188" t="s">
        <v>3168</v>
      </c>
      <c r="E188">
        <v>10</v>
      </c>
      <c r="F188" t="s">
        <v>3168</v>
      </c>
      <c r="G188" t="s">
        <v>1451</v>
      </c>
      <c r="H188" t="s">
        <v>3168</v>
      </c>
      <c r="I188" t="s">
        <v>339</v>
      </c>
      <c r="J188" t="s">
        <v>3168</v>
      </c>
      <c r="L188">
        <v>10</v>
      </c>
      <c r="M188" t="s">
        <v>6007</v>
      </c>
      <c r="N188" t="b">
        <f t="shared" si="11"/>
        <v>1</v>
      </c>
      <c r="O188" t="str">
        <f t="shared" si="13"/>
        <v>空の恐怖</v>
      </c>
    </row>
    <row r="189" spans="1:15" x14ac:dyDescent="0.15">
      <c r="A189" t="s">
        <v>3168</v>
      </c>
      <c r="C189" t="s">
        <v>7053</v>
      </c>
      <c r="D189" t="s">
        <v>3168</v>
      </c>
      <c r="E189">
        <v>12</v>
      </c>
      <c r="F189" t="s">
        <v>3168</v>
      </c>
      <c r="G189" t="s">
        <v>1441</v>
      </c>
      <c r="H189" t="s">
        <v>3168</v>
      </c>
      <c r="I189" t="s">
        <v>339</v>
      </c>
      <c r="J189" t="s">
        <v>3168</v>
      </c>
      <c r="L189">
        <v>12</v>
      </c>
      <c r="M189" t="s">
        <v>6009</v>
      </c>
      <c r="N189" t="b">
        <f t="shared" si="11"/>
        <v>1</v>
      </c>
      <c r="O189" t="str">
        <f t="shared" si="13"/>
        <v>自然形成師</v>
      </c>
    </row>
    <row r="190" spans="1:15" x14ac:dyDescent="0.15">
      <c r="A190" t="s">
        <v>3168</v>
      </c>
      <c r="C190" t="s">
        <v>7054</v>
      </c>
      <c r="D190" t="s">
        <v>3168</v>
      </c>
      <c r="E190">
        <v>16</v>
      </c>
      <c r="F190" t="s">
        <v>3168</v>
      </c>
      <c r="G190" t="s">
        <v>1431</v>
      </c>
      <c r="H190" t="s">
        <v>3168</v>
      </c>
      <c r="I190" t="s">
        <v>339</v>
      </c>
      <c r="J190" t="s">
        <v>3168</v>
      </c>
      <c r="L190">
        <v>16</v>
      </c>
      <c r="M190" t="s">
        <v>6011</v>
      </c>
      <c r="N190" t="b">
        <f t="shared" si="11"/>
        <v>1</v>
      </c>
      <c r="O190" t="str">
        <f t="shared" si="13"/>
        <v>轟く声、ティシャーナ</v>
      </c>
    </row>
    <row r="191" spans="1:15" x14ac:dyDescent="0.15">
      <c r="A191" t="s">
        <v>3168</v>
      </c>
      <c r="C191" t="s">
        <v>7055</v>
      </c>
      <c r="D191" t="s">
        <v>3168</v>
      </c>
      <c r="E191">
        <v>23</v>
      </c>
      <c r="F191" t="s">
        <v>3168</v>
      </c>
      <c r="G191" t="s">
        <v>1431</v>
      </c>
      <c r="H191" t="s">
        <v>3168</v>
      </c>
      <c r="I191" t="s">
        <v>339</v>
      </c>
      <c r="J191" t="s">
        <v>3168</v>
      </c>
      <c r="L191">
        <v>23</v>
      </c>
      <c r="M191" t="s">
        <v>6013</v>
      </c>
      <c r="N191" t="b">
        <f t="shared" si="11"/>
        <v>1</v>
      </c>
      <c r="O191" t="str">
        <f t="shared" si="13"/>
        <v>鉄面提督ベケット</v>
      </c>
    </row>
    <row r="192" spans="1:15" x14ac:dyDescent="0.15">
      <c r="A192" t="s">
        <v>3168</v>
      </c>
      <c r="C192" t="s">
        <v>7056</v>
      </c>
      <c r="D192" t="s">
        <v>3168</v>
      </c>
      <c r="E192">
        <v>26</v>
      </c>
      <c r="F192" t="s">
        <v>3168</v>
      </c>
      <c r="G192" t="s">
        <v>1431</v>
      </c>
      <c r="H192" t="s">
        <v>3168</v>
      </c>
      <c r="I192" t="s">
        <v>339</v>
      </c>
      <c r="J192" t="s">
        <v>3168</v>
      </c>
      <c r="L192">
        <v>26</v>
      </c>
      <c r="M192" t="s">
        <v>6015</v>
      </c>
      <c r="N192" t="b">
        <f t="shared" si="11"/>
        <v>1</v>
      </c>
      <c r="O192" t="str">
        <f t="shared" si="13"/>
        <v>太陽の化身、ギシャス</v>
      </c>
    </row>
    <row r="193" spans="1:15" x14ac:dyDescent="0.15">
      <c r="N193" t="b">
        <f t="shared" si="11"/>
        <v>1</v>
      </c>
      <c r="O193" t="str">
        <f t="shared" ref="O193:O200" si="14">MID(C193,4,LEN(M193))</f>
        <v/>
      </c>
    </row>
    <row r="194" spans="1:15" x14ac:dyDescent="0.15">
      <c r="B194" t="s">
        <v>6888</v>
      </c>
      <c r="N194" t="b">
        <f t="shared" si="11"/>
        <v>1</v>
      </c>
      <c r="O194" t="str">
        <f t="shared" si="14"/>
        <v/>
      </c>
    </row>
    <row r="195" spans="1:15" x14ac:dyDescent="0.15">
      <c r="A195" t="s">
        <v>3168</v>
      </c>
      <c r="C195" t="s">
        <v>3163</v>
      </c>
      <c r="D195" t="s">
        <v>3168</v>
      </c>
      <c r="E195" t="s">
        <v>3162</v>
      </c>
      <c r="F195" t="s">
        <v>3168</v>
      </c>
      <c r="G195" t="s">
        <v>6891</v>
      </c>
      <c r="H195" t="s">
        <v>3168</v>
      </c>
      <c r="I195" t="s">
        <v>6892</v>
      </c>
      <c r="J195" t="s">
        <v>3168</v>
      </c>
      <c r="K195" t="s">
        <v>3164</v>
      </c>
      <c r="L195" t="s">
        <v>3162</v>
      </c>
      <c r="N195" t="b">
        <f t="shared" si="11"/>
        <v>1</v>
      </c>
      <c r="O195" t="str">
        <f t="shared" si="14"/>
        <v/>
      </c>
    </row>
    <row r="196" spans="1:15" x14ac:dyDescent="0.15">
      <c r="A196" t="s">
        <v>3168</v>
      </c>
      <c r="C196" t="s">
        <v>3166</v>
      </c>
      <c r="D196" t="s">
        <v>3168</v>
      </c>
      <c r="E196" t="s">
        <v>3165</v>
      </c>
      <c r="F196" t="s">
        <v>3168</v>
      </c>
      <c r="G196" t="s">
        <v>6893</v>
      </c>
      <c r="H196" t="s">
        <v>3168</v>
      </c>
      <c r="I196" t="s">
        <v>6894</v>
      </c>
      <c r="J196" t="s">
        <v>3168</v>
      </c>
      <c r="L196" t="s">
        <v>3165</v>
      </c>
      <c r="N196" t="b">
        <f t="shared" si="11"/>
        <v>1</v>
      </c>
      <c r="O196" t="str">
        <f t="shared" si="14"/>
        <v/>
      </c>
    </row>
    <row r="197" spans="1:15" x14ac:dyDescent="0.15">
      <c r="A197" t="s">
        <v>3168</v>
      </c>
      <c r="C197" t="s">
        <v>7057</v>
      </c>
      <c r="D197" t="s">
        <v>3168</v>
      </c>
      <c r="E197">
        <v>20</v>
      </c>
      <c r="F197" t="s">
        <v>3168</v>
      </c>
      <c r="G197" t="s">
        <v>1744</v>
      </c>
      <c r="H197" t="s">
        <v>3168</v>
      </c>
      <c r="I197" t="s">
        <v>339</v>
      </c>
      <c r="J197" t="s">
        <v>3168</v>
      </c>
      <c r="L197">
        <v>20</v>
      </c>
      <c r="M197" t="s">
        <v>6017</v>
      </c>
      <c r="N197" t="b">
        <f t="shared" si="11"/>
        <v>1</v>
      </c>
      <c r="O197" t="str">
        <f t="shared" si="14"/>
        <v>薄暮軍団の弩級艦</v>
      </c>
    </row>
    <row r="198" spans="1:15" x14ac:dyDescent="0.15">
      <c r="A198" t="s">
        <v>3168</v>
      </c>
      <c r="C198" t="s">
        <v>7058</v>
      </c>
      <c r="D198" t="s">
        <v>3168</v>
      </c>
      <c r="E198">
        <v>6</v>
      </c>
      <c r="F198" t="s">
        <v>3168</v>
      </c>
      <c r="G198" t="s">
        <v>1744</v>
      </c>
      <c r="H198" t="s">
        <v>3168</v>
      </c>
      <c r="I198" t="s">
        <v>288</v>
      </c>
      <c r="J198" t="s">
        <v>3168</v>
      </c>
      <c r="L198">
        <v>6</v>
      </c>
      <c r="M198" t="s">
        <v>6020</v>
      </c>
      <c r="N198" t="b">
        <f t="shared" si="11"/>
        <v>1</v>
      </c>
      <c r="O198" t="str">
        <f t="shared" si="14"/>
        <v>廃墟の地</v>
      </c>
    </row>
    <row r="199" spans="1:15" x14ac:dyDescent="0.15">
      <c r="A199" t="s">
        <v>3168</v>
      </c>
      <c r="C199" t="s">
        <v>7059</v>
      </c>
      <c r="D199" t="s">
        <v>3168</v>
      </c>
      <c r="E199">
        <v>12</v>
      </c>
      <c r="F199" t="s">
        <v>3168</v>
      </c>
      <c r="G199" t="s">
        <v>1744</v>
      </c>
      <c r="H199" t="s">
        <v>3168</v>
      </c>
      <c r="I199" t="s">
        <v>288</v>
      </c>
      <c r="J199" t="s">
        <v>3168</v>
      </c>
      <c r="L199">
        <v>12</v>
      </c>
      <c r="M199" t="s">
        <v>6022</v>
      </c>
      <c r="N199" t="b">
        <f t="shared" si="11"/>
        <v>1</v>
      </c>
      <c r="O199" t="str">
        <f t="shared" si="14"/>
        <v>秘儀司祭の杯</v>
      </c>
    </row>
    <row r="200" spans="1:15" x14ac:dyDescent="0.15">
      <c r="A200" t="s">
        <v>3168</v>
      </c>
      <c r="C200" t="s">
        <v>7060</v>
      </c>
      <c r="D200" t="s">
        <v>3168</v>
      </c>
      <c r="E200">
        <v>6</v>
      </c>
      <c r="F200" t="s">
        <v>3168</v>
      </c>
      <c r="G200" t="s">
        <v>1744</v>
      </c>
      <c r="H200" t="s">
        <v>3168</v>
      </c>
      <c r="I200" t="s">
        <v>288</v>
      </c>
      <c r="J200" t="s">
        <v>3168</v>
      </c>
      <c r="L200">
        <v>6</v>
      </c>
      <c r="M200" t="s">
        <v>6024</v>
      </c>
      <c r="N200" t="b">
        <f t="shared" si="11"/>
        <v>1</v>
      </c>
      <c r="O200" t="str">
        <f t="shared" si="14"/>
        <v>海賊のカットラス</v>
      </c>
    </row>
    <row r="201" spans="1:15" x14ac:dyDescent="0.15">
      <c r="A201" t="s">
        <v>3168</v>
      </c>
      <c r="C201" t="s">
        <v>7061</v>
      </c>
      <c r="D201" t="s">
        <v>3168</v>
      </c>
      <c r="E201">
        <v>11</v>
      </c>
      <c r="F201" t="s">
        <v>3168</v>
      </c>
      <c r="G201" t="s">
        <v>1744</v>
      </c>
      <c r="H201" t="s">
        <v>3168</v>
      </c>
      <c r="I201" t="s">
        <v>288</v>
      </c>
      <c r="J201" t="s">
        <v>3168</v>
      </c>
      <c r="L201">
        <v>11</v>
      </c>
      <c r="M201" t="s">
        <v>6027</v>
      </c>
      <c r="N201" t="b">
        <f t="shared" si="11"/>
        <v>1</v>
      </c>
      <c r="O201" t="str">
        <f t="shared" ref="O201:O207" si="15">MID(C201,4,LEN(M201))</f>
        <v>未知の岸</v>
      </c>
    </row>
    <row r="202" spans="1:15" x14ac:dyDescent="0.15">
      <c r="A202" t="s">
        <v>3168</v>
      </c>
      <c r="C202" t="s">
        <v>7062</v>
      </c>
      <c r="D202" t="s">
        <v>3168</v>
      </c>
      <c r="E202">
        <v>9</v>
      </c>
      <c r="F202" t="s">
        <v>3168</v>
      </c>
      <c r="G202" t="s">
        <v>1451</v>
      </c>
      <c r="H202" t="s">
        <v>3168</v>
      </c>
      <c r="I202" t="s">
        <v>288</v>
      </c>
      <c r="J202" t="s">
        <v>3168</v>
      </c>
      <c r="L202">
        <v>9</v>
      </c>
      <c r="M202" t="s">
        <v>6030</v>
      </c>
      <c r="N202" t="b">
        <f t="shared" si="11"/>
        <v>1</v>
      </c>
      <c r="O202" t="str">
        <f t="shared" si="15"/>
        <v>繁雑な火炎砲</v>
      </c>
    </row>
    <row r="203" spans="1:15" x14ac:dyDescent="0.15">
      <c r="A203" t="s">
        <v>3168</v>
      </c>
      <c r="C203" t="s">
        <v>7063</v>
      </c>
      <c r="D203" t="s">
        <v>3168</v>
      </c>
      <c r="E203">
        <v>10</v>
      </c>
      <c r="F203" t="s">
        <v>3168</v>
      </c>
      <c r="G203" t="s">
        <v>1451</v>
      </c>
      <c r="H203" t="s">
        <v>3168</v>
      </c>
      <c r="I203" t="s">
        <v>288</v>
      </c>
      <c r="J203" t="s">
        <v>3168</v>
      </c>
      <c r="L203">
        <v>10</v>
      </c>
      <c r="M203" t="s">
        <v>6032</v>
      </c>
      <c r="N203" t="b">
        <f t="shared" si="11"/>
        <v>1</v>
      </c>
      <c r="O203" t="str">
        <f t="shared" si="15"/>
        <v>起源の柱</v>
      </c>
    </row>
    <row r="204" spans="1:15" x14ac:dyDescent="0.15">
      <c r="A204" t="s">
        <v>3168</v>
      </c>
      <c r="C204" t="s">
        <v>7064</v>
      </c>
      <c r="D204" t="s">
        <v>3168</v>
      </c>
      <c r="E204">
        <v>9</v>
      </c>
      <c r="F204" t="s">
        <v>3168</v>
      </c>
      <c r="G204" t="s">
        <v>1451</v>
      </c>
      <c r="H204" t="s">
        <v>3168</v>
      </c>
      <c r="I204" t="s">
        <v>288</v>
      </c>
      <c r="J204" t="s">
        <v>3168</v>
      </c>
      <c r="L204">
        <v>9</v>
      </c>
      <c r="M204" t="s">
        <v>6034</v>
      </c>
      <c r="N204" t="b">
        <f t="shared" si="11"/>
        <v>1</v>
      </c>
      <c r="O204" t="str">
        <f t="shared" si="15"/>
        <v>もぎ取り刃</v>
      </c>
    </row>
    <row r="205" spans="1:15" x14ac:dyDescent="0.15">
      <c r="A205" t="s">
        <v>3168</v>
      </c>
      <c r="C205" t="s">
        <v>7065</v>
      </c>
      <c r="D205" t="s">
        <v>3168</v>
      </c>
      <c r="E205">
        <v>6</v>
      </c>
      <c r="F205" t="s">
        <v>3168</v>
      </c>
      <c r="G205" t="s">
        <v>1451</v>
      </c>
      <c r="H205" t="s">
        <v>3168</v>
      </c>
      <c r="I205" t="s">
        <v>288</v>
      </c>
      <c r="J205" t="s">
        <v>3168</v>
      </c>
      <c r="L205">
        <v>6</v>
      </c>
      <c r="M205" t="s">
        <v>6036</v>
      </c>
      <c r="N205" t="b">
        <f t="shared" si="11"/>
        <v>1</v>
      </c>
      <c r="O205" t="str">
        <f t="shared" si="15"/>
        <v>歩哨のトーテム像</v>
      </c>
    </row>
    <row r="206" spans="1:15" x14ac:dyDescent="0.15">
      <c r="A206" t="s">
        <v>3168</v>
      </c>
      <c r="C206" t="s">
        <v>7066</v>
      </c>
      <c r="D206" t="s">
        <v>3168</v>
      </c>
      <c r="E206">
        <v>17</v>
      </c>
      <c r="F206" t="s">
        <v>3168</v>
      </c>
      <c r="G206" t="s">
        <v>1441</v>
      </c>
      <c r="H206" t="s">
        <v>3168</v>
      </c>
      <c r="I206" t="s">
        <v>339</v>
      </c>
      <c r="J206" t="s">
        <v>3168</v>
      </c>
      <c r="L206">
        <v>17</v>
      </c>
      <c r="M206" t="s">
        <v>6038</v>
      </c>
      <c r="N206" t="b">
        <f t="shared" si="11"/>
        <v>1</v>
      </c>
      <c r="O206" t="str">
        <f t="shared" si="15"/>
        <v>不吉な旗艦</v>
      </c>
    </row>
    <row r="207" spans="1:15" x14ac:dyDescent="0.15">
      <c r="A207" t="s">
        <v>3168</v>
      </c>
      <c r="C207" t="s">
        <v>7067</v>
      </c>
      <c r="D207" t="s">
        <v>3168</v>
      </c>
      <c r="E207">
        <v>16</v>
      </c>
      <c r="F207" t="s">
        <v>3168</v>
      </c>
      <c r="G207" t="s">
        <v>1441</v>
      </c>
      <c r="H207" t="s">
        <v>3168</v>
      </c>
      <c r="I207" t="s">
        <v>288</v>
      </c>
      <c r="J207" t="s">
        <v>3168</v>
      </c>
      <c r="L207">
        <v>16</v>
      </c>
      <c r="M207" t="s">
        <v>6040</v>
      </c>
      <c r="N207" t="b">
        <f t="shared" si="11"/>
        <v>1</v>
      </c>
      <c r="O207" t="str">
        <f t="shared" si="15"/>
        <v>征服者のガレオン船</v>
      </c>
    </row>
    <row r="208" spans="1:15" x14ac:dyDescent="0.15">
      <c r="A208" t="s">
        <v>3168</v>
      </c>
      <c r="C208" t="s">
        <v>7068</v>
      </c>
      <c r="D208" t="s">
        <v>3168</v>
      </c>
      <c r="E208">
        <v>4</v>
      </c>
      <c r="F208" t="s">
        <v>3168</v>
      </c>
      <c r="G208" t="s">
        <v>1441</v>
      </c>
      <c r="H208" t="s">
        <v>3168</v>
      </c>
      <c r="I208" t="s">
        <v>288</v>
      </c>
      <c r="J208" t="s">
        <v>3168</v>
      </c>
      <c r="L208">
        <v>4</v>
      </c>
      <c r="M208" t="s">
        <v>6042</v>
      </c>
      <c r="N208" t="b">
        <f t="shared" si="11"/>
        <v>1</v>
      </c>
      <c r="O208" t="str">
        <f t="shared" ref="O208:O232" si="16">MID(C208,4,LEN(M208))</f>
        <v>探査の短剣</v>
      </c>
    </row>
    <row r="209" spans="1:15" x14ac:dyDescent="0.15">
      <c r="A209" t="s">
        <v>3168</v>
      </c>
      <c r="C209" t="s">
        <v>7069</v>
      </c>
      <c r="D209" t="s">
        <v>3168</v>
      </c>
      <c r="E209">
        <v>13</v>
      </c>
      <c r="F209" t="s">
        <v>3168</v>
      </c>
      <c r="G209" t="s">
        <v>1441</v>
      </c>
      <c r="H209" t="s">
        <v>3168</v>
      </c>
      <c r="I209" t="s">
        <v>288</v>
      </c>
      <c r="J209" t="s">
        <v>3168</v>
      </c>
      <c r="L209">
        <v>13</v>
      </c>
      <c r="M209" t="s">
        <v>6044</v>
      </c>
      <c r="N209" t="b">
        <f t="shared" si="11"/>
        <v>1</v>
      </c>
      <c r="O209" t="str">
        <f t="shared" si="16"/>
        <v>原初の呪物</v>
      </c>
    </row>
    <row r="210" spans="1:15" x14ac:dyDescent="0.15">
      <c r="A210" t="s">
        <v>3168</v>
      </c>
      <c r="C210" t="s">
        <v>7070</v>
      </c>
      <c r="D210" t="s">
        <v>3168</v>
      </c>
      <c r="E210">
        <v>11</v>
      </c>
      <c r="F210" t="s">
        <v>3168</v>
      </c>
      <c r="G210" t="s">
        <v>1441</v>
      </c>
      <c r="H210" t="s">
        <v>3168</v>
      </c>
      <c r="I210" t="s">
        <v>288</v>
      </c>
      <c r="J210" t="s">
        <v>3168</v>
      </c>
      <c r="L210">
        <v>11</v>
      </c>
      <c r="M210" t="s">
        <v>6046</v>
      </c>
      <c r="N210" t="b">
        <f t="shared" si="11"/>
        <v>1</v>
      </c>
      <c r="O210" t="str">
        <f t="shared" si="16"/>
        <v>魔学コンパス</v>
      </c>
    </row>
    <row r="211" spans="1:15" x14ac:dyDescent="0.15">
      <c r="A211" t="s">
        <v>3168</v>
      </c>
      <c r="C211" t="s">
        <v>7071</v>
      </c>
      <c r="D211" t="s">
        <v>3168</v>
      </c>
      <c r="E211">
        <v>11</v>
      </c>
      <c r="F211" t="s">
        <v>3168</v>
      </c>
      <c r="G211" t="s">
        <v>1441</v>
      </c>
      <c r="H211" t="s">
        <v>3168</v>
      </c>
      <c r="I211" t="s">
        <v>288</v>
      </c>
      <c r="J211" t="s">
        <v>3168</v>
      </c>
      <c r="L211">
        <v>11</v>
      </c>
      <c r="M211" t="s">
        <v>6048</v>
      </c>
      <c r="N211" t="b">
        <f t="shared" si="11"/>
        <v>1</v>
      </c>
      <c r="O211" t="str">
        <f t="shared" si="16"/>
        <v>宝物の地図</v>
      </c>
    </row>
    <row r="212" spans="1:15" x14ac:dyDescent="0.15">
      <c r="A212" t="s">
        <v>3168</v>
      </c>
      <c r="C212" t="s">
        <v>7072</v>
      </c>
      <c r="D212" t="s">
        <v>3168</v>
      </c>
      <c r="E212">
        <v>14</v>
      </c>
      <c r="F212" t="s">
        <v>3168</v>
      </c>
      <c r="G212" t="s">
        <v>1431</v>
      </c>
      <c r="H212" t="s">
        <v>3168</v>
      </c>
      <c r="I212" t="s">
        <v>339</v>
      </c>
      <c r="J212" t="s">
        <v>3168</v>
      </c>
      <c r="L212">
        <v>14</v>
      </c>
      <c r="M212" t="s">
        <v>6050</v>
      </c>
      <c r="N212" t="b">
        <f t="shared" si="11"/>
        <v>1</v>
      </c>
      <c r="O212" t="str">
        <f t="shared" si="16"/>
        <v>陰鬱な帆船</v>
      </c>
    </row>
    <row r="213" spans="1:15" x14ac:dyDescent="0.15">
      <c r="A213" t="s">
        <v>3168</v>
      </c>
      <c r="C213" t="s">
        <v>7073</v>
      </c>
      <c r="D213" t="s">
        <v>3168</v>
      </c>
      <c r="E213">
        <v>10</v>
      </c>
      <c r="F213" t="s">
        <v>3168</v>
      </c>
      <c r="G213" t="s">
        <v>1431</v>
      </c>
      <c r="H213" t="s">
        <v>3168</v>
      </c>
      <c r="I213" t="s">
        <v>288</v>
      </c>
      <c r="J213" t="s">
        <v>3168</v>
      </c>
      <c r="L213">
        <v>10</v>
      </c>
      <c r="M213" t="s">
        <v>6052</v>
      </c>
      <c r="N213" t="b">
        <f t="shared" si="11"/>
        <v>1</v>
      </c>
      <c r="O213" t="str">
        <f t="shared" si="16"/>
        <v>魔術遠眼鏡</v>
      </c>
    </row>
    <row r="214" spans="1:15" x14ac:dyDescent="0.15">
      <c r="A214" t="s">
        <v>3168</v>
      </c>
      <c r="C214" t="s">
        <v>7074</v>
      </c>
      <c r="D214" t="s">
        <v>3168</v>
      </c>
      <c r="E214">
        <v>12</v>
      </c>
      <c r="F214" t="s">
        <v>3168</v>
      </c>
      <c r="G214" t="s">
        <v>1431</v>
      </c>
      <c r="H214" t="s">
        <v>3168</v>
      </c>
      <c r="I214" t="s">
        <v>288</v>
      </c>
      <c r="J214" t="s">
        <v>3168</v>
      </c>
      <c r="L214">
        <v>12</v>
      </c>
      <c r="M214" t="s">
        <v>6054</v>
      </c>
      <c r="N214" t="b">
        <f t="shared" si="11"/>
        <v>1</v>
      </c>
      <c r="O214" t="str">
        <f t="shared" si="16"/>
        <v>手付かずの領土</v>
      </c>
    </row>
    <row r="215" spans="1:15" x14ac:dyDescent="0.15">
      <c r="A215" t="s">
        <v>3168</v>
      </c>
      <c r="C215" t="s">
        <v>7075</v>
      </c>
      <c r="D215" t="s">
        <v>3168</v>
      </c>
      <c r="E215">
        <v>13</v>
      </c>
      <c r="F215" t="s">
        <v>3168</v>
      </c>
      <c r="G215" t="s">
        <v>1431</v>
      </c>
      <c r="H215" t="s">
        <v>3168</v>
      </c>
      <c r="I215" t="s">
        <v>288</v>
      </c>
      <c r="J215" t="s">
        <v>3168</v>
      </c>
      <c r="L215">
        <v>13</v>
      </c>
      <c r="M215" t="s">
        <v>6056</v>
      </c>
      <c r="N215" t="b">
        <f t="shared" si="11"/>
        <v>1</v>
      </c>
      <c r="O215" t="str">
        <f t="shared" si="16"/>
        <v>勝者の戦旗</v>
      </c>
    </row>
    <row r="217" spans="1:15" x14ac:dyDescent="0.15">
      <c r="B217" t="s">
        <v>6889</v>
      </c>
    </row>
    <row r="218" spans="1:15" x14ac:dyDescent="0.15">
      <c r="B218" t="s">
        <v>6880</v>
      </c>
    </row>
    <row r="219" spans="1:15" x14ac:dyDescent="0.15">
      <c r="B219" t="s">
        <v>6890</v>
      </c>
    </row>
    <row r="221" spans="1:15" x14ac:dyDescent="0.15">
      <c r="A221" t="s">
        <v>3168</v>
      </c>
      <c r="C221" t="s">
        <v>7076</v>
      </c>
      <c r="D221" t="s">
        <v>3168</v>
      </c>
      <c r="E221" t="s">
        <v>3162</v>
      </c>
      <c r="F221" t="s">
        <v>3168</v>
      </c>
      <c r="G221" t="s">
        <v>7077</v>
      </c>
      <c r="H221" t="s">
        <v>3168</v>
      </c>
      <c r="I221" t="s">
        <v>6892</v>
      </c>
      <c r="J221" t="s">
        <v>3168</v>
      </c>
      <c r="K221" t="s">
        <v>3164</v>
      </c>
      <c r="L221" t="s">
        <v>3162</v>
      </c>
    </row>
    <row r="222" spans="1:15" x14ac:dyDescent="0.15">
      <c r="A222" t="s">
        <v>3168</v>
      </c>
      <c r="C222" t="s">
        <v>3166</v>
      </c>
      <c r="D222" t="s">
        <v>3168</v>
      </c>
      <c r="E222" t="s">
        <v>3165</v>
      </c>
      <c r="F222" t="s">
        <v>3168</v>
      </c>
      <c r="G222" t="s">
        <v>6893</v>
      </c>
      <c r="H222" t="s">
        <v>3168</v>
      </c>
      <c r="I222" t="s">
        <v>6894</v>
      </c>
      <c r="J222" t="s">
        <v>3168</v>
      </c>
      <c r="L222" t="s">
        <v>3165</v>
      </c>
    </row>
    <row r="223" spans="1:15" x14ac:dyDescent="0.15">
      <c r="A223" t="s">
        <v>3168</v>
      </c>
      <c r="C223" t="s">
        <v>7078</v>
      </c>
      <c r="D223" t="s">
        <v>3168</v>
      </c>
      <c r="E223">
        <v>18</v>
      </c>
      <c r="F223" t="s">
        <v>3168</v>
      </c>
      <c r="G223" t="s">
        <v>3161</v>
      </c>
      <c r="H223" t="s">
        <v>3168</v>
      </c>
      <c r="I223" t="s">
        <v>339</v>
      </c>
      <c r="J223" t="s">
        <v>3168</v>
      </c>
      <c r="L223">
        <v>18</v>
      </c>
      <c r="M223" t="s">
        <v>6261</v>
      </c>
      <c r="N223" t="b">
        <f t="shared" ref="N223:N232" si="17">EXACT(M223,O223)</f>
        <v>1</v>
      </c>
      <c r="O223" t="str">
        <f t="shared" si="16"/>
        <v>ヴィズコーパの血男爵</v>
      </c>
    </row>
    <row r="224" spans="1:15" x14ac:dyDescent="0.15">
      <c r="A224" t="s">
        <v>3168</v>
      </c>
      <c r="C224" t="s">
        <v>7079</v>
      </c>
      <c r="D224" t="s">
        <v>3168</v>
      </c>
      <c r="E224">
        <v>11</v>
      </c>
      <c r="F224" t="s">
        <v>3168</v>
      </c>
      <c r="G224" t="s">
        <v>3161</v>
      </c>
      <c r="H224" t="s">
        <v>3168</v>
      </c>
      <c r="I224" t="s">
        <v>339</v>
      </c>
      <c r="J224" t="s">
        <v>3168</v>
      </c>
      <c r="L224">
        <v>11</v>
      </c>
      <c r="M224" t="s">
        <v>6262</v>
      </c>
      <c r="N224" t="b">
        <f t="shared" si="17"/>
        <v>1</v>
      </c>
      <c r="O224" t="str">
        <f t="shared" si="16"/>
        <v>聖遺の騎士</v>
      </c>
    </row>
    <row r="225" spans="1:15" x14ac:dyDescent="0.15">
      <c r="A225" t="s">
        <v>3168</v>
      </c>
      <c r="C225" t="s">
        <v>7080</v>
      </c>
      <c r="D225" t="s">
        <v>3168</v>
      </c>
      <c r="E225">
        <v>13</v>
      </c>
      <c r="F225" t="s">
        <v>3168</v>
      </c>
      <c r="G225" t="s">
        <v>3161</v>
      </c>
      <c r="H225" t="s">
        <v>3168</v>
      </c>
      <c r="I225" t="s">
        <v>339</v>
      </c>
      <c r="J225" t="s">
        <v>3168</v>
      </c>
      <c r="L225">
        <v>13</v>
      </c>
      <c r="M225" t="s">
        <v>6263</v>
      </c>
      <c r="N225" t="b">
        <f t="shared" si="17"/>
        <v>1</v>
      </c>
      <c r="O225" t="str">
        <f t="shared" si="16"/>
        <v>月の大魔術師</v>
      </c>
    </row>
    <row r="226" spans="1:15" x14ac:dyDescent="0.15">
      <c r="A226" t="s">
        <v>3168</v>
      </c>
      <c r="C226" t="s">
        <v>7081</v>
      </c>
      <c r="D226" t="s">
        <v>3168</v>
      </c>
      <c r="E226">
        <v>17</v>
      </c>
      <c r="F226" t="s">
        <v>3168</v>
      </c>
      <c r="G226" t="s">
        <v>3161</v>
      </c>
      <c r="H226" t="s">
        <v>3168</v>
      </c>
      <c r="I226" t="s">
        <v>339</v>
      </c>
      <c r="J226" t="s">
        <v>3168</v>
      </c>
      <c r="L226">
        <v>17</v>
      </c>
      <c r="M226" t="s">
        <v>6264</v>
      </c>
      <c r="N226" t="b">
        <f t="shared" si="17"/>
        <v>1</v>
      </c>
      <c r="O226" t="str">
        <f t="shared" si="16"/>
        <v>魂売り</v>
      </c>
    </row>
    <row r="227" spans="1:15" x14ac:dyDescent="0.15">
      <c r="A227" t="s">
        <v>3168</v>
      </c>
      <c r="C227" t="s">
        <v>7082</v>
      </c>
      <c r="D227" t="s">
        <v>3168</v>
      </c>
      <c r="E227">
        <v>7</v>
      </c>
      <c r="F227" t="s">
        <v>3168</v>
      </c>
      <c r="G227" t="s">
        <v>3161</v>
      </c>
      <c r="H227" t="s">
        <v>3168</v>
      </c>
      <c r="I227" t="s">
        <v>1453</v>
      </c>
      <c r="J227" t="s">
        <v>3168</v>
      </c>
      <c r="L227">
        <v>7</v>
      </c>
      <c r="M227" t="s">
        <v>6265</v>
      </c>
      <c r="N227" t="b">
        <f t="shared" si="17"/>
        <v>1</v>
      </c>
      <c r="O227" t="str">
        <f t="shared" si="16"/>
        <v>電解</v>
      </c>
    </row>
    <row r="228" spans="1:15" x14ac:dyDescent="0.15">
      <c r="A228" t="s">
        <v>3168</v>
      </c>
      <c r="C228" t="s">
        <v>7083</v>
      </c>
      <c r="D228" t="s">
        <v>3168</v>
      </c>
      <c r="E228">
        <v>4</v>
      </c>
      <c r="F228" t="s">
        <v>3168</v>
      </c>
      <c r="G228" t="s">
        <v>3161</v>
      </c>
      <c r="H228" t="s">
        <v>3168</v>
      </c>
      <c r="I228" t="s">
        <v>1453</v>
      </c>
      <c r="J228" t="s">
        <v>3168</v>
      </c>
      <c r="L228">
        <v>4</v>
      </c>
      <c r="M228" t="s">
        <v>6266</v>
      </c>
      <c r="N228" t="b">
        <f t="shared" si="17"/>
        <v>1</v>
      </c>
      <c r="O228" t="str">
        <f t="shared" si="16"/>
        <v>剣を鍬に</v>
      </c>
    </row>
    <row r="229" spans="1:15" x14ac:dyDescent="0.15">
      <c r="A229" t="s">
        <v>3168</v>
      </c>
      <c r="C229" t="s">
        <v>7084</v>
      </c>
      <c r="D229" t="s">
        <v>3168</v>
      </c>
      <c r="E229">
        <v>7</v>
      </c>
      <c r="F229" t="s">
        <v>3168</v>
      </c>
      <c r="G229" t="s">
        <v>3161</v>
      </c>
      <c r="H229" t="s">
        <v>3168</v>
      </c>
      <c r="I229" t="s">
        <v>288</v>
      </c>
      <c r="J229" t="s">
        <v>3168</v>
      </c>
      <c r="L229">
        <v>7</v>
      </c>
      <c r="M229" t="s">
        <v>6267</v>
      </c>
      <c r="N229" t="b">
        <f t="shared" si="17"/>
        <v>1</v>
      </c>
      <c r="O229" t="str">
        <f t="shared" si="16"/>
        <v>霊気の薬瓶</v>
      </c>
    </row>
    <row r="230" spans="1:15" x14ac:dyDescent="0.15">
      <c r="A230" t="s">
        <v>3168</v>
      </c>
      <c r="C230" t="s">
        <v>7085</v>
      </c>
      <c r="D230" t="s">
        <v>3168</v>
      </c>
      <c r="E230">
        <v>13</v>
      </c>
      <c r="F230" t="s">
        <v>3168</v>
      </c>
      <c r="G230" t="s">
        <v>3161</v>
      </c>
      <c r="H230" t="s">
        <v>3168</v>
      </c>
      <c r="I230" t="s">
        <v>288</v>
      </c>
      <c r="J230" t="s">
        <v>3168</v>
      </c>
      <c r="L230">
        <v>13</v>
      </c>
      <c r="M230" t="s">
        <v>6268</v>
      </c>
      <c r="N230" t="b">
        <f t="shared" si="17"/>
        <v>1</v>
      </c>
      <c r="O230" t="str">
        <f t="shared" si="16"/>
        <v>捕食の呪い</v>
      </c>
    </row>
    <row r="231" spans="1:15" x14ac:dyDescent="0.15">
      <c r="A231" t="s">
        <v>3168</v>
      </c>
      <c r="C231" t="s">
        <v>7086</v>
      </c>
      <c r="D231" t="s">
        <v>3168</v>
      </c>
      <c r="E231">
        <v>14</v>
      </c>
      <c r="F231" t="s">
        <v>3168</v>
      </c>
      <c r="G231" t="s">
        <v>3161</v>
      </c>
      <c r="H231" t="s">
        <v>3168</v>
      </c>
      <c r="I231" t="s">
        <v>288</v>
      </c>
      <c r="J231" t="s">
        <v>3168</v>
      </c>
      <c r="L231">
        <v>14</v>
      </c>
      <c r="M231" t="s">
        <v>6269</v>
      </c>
      <c r="N231" t="b">
        <f t="shared" si="17"/>
        <v>1</v>
      </c>
      <c r="O231" t="str">
        <f t="shared" si="16"/>
        <v>狼狽の嵐</v>
      </c>
    </row>
    <row r="232" spans="1:15" x14ac:dyDescent="0.15">
      <c r="A232" t="s">
        <v>3168</v>
      </c>
      <c r="C232" t="s">
        <v>7087</v>
      </c>
      <c r="D232" t="s">
        <v>3168</v>
      </c>
      <c r="E232">
        <v>12</v>
      </c>
      <c r="F232" t="s">
        <v>3168</v>
      </c>
      <c r="G232" t="s">
        <v>3161</v>
      </c>
      <c r="H232" t="s">
        <v>3168</v>
      </c>
      <c r="I232" t="s">
        <v>288</v>
      </c>
      <c r="J232" t="s">
        <v>3168</v>
      </c>
      <c r="L232">
        <v>12</v>
      </c>
      <c r="M232" t="s">
        <v>6270</v>
      </c>
      <c r="N232" t="b">
        <f t="shared" si="17"/>
        <v>1</v>
      </c>
      <c r="O232" t="str">
        <f t="shared" si="16"/>
        <v>血なまぐさい結合</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DB</vt:lpstr>
      <vt:lpstr>TAG</vt:lpstr>
      <vt:lpstr>破壊</vt:lpstr>
      <vt:lpstr>生物破壊</vt:lpstr>
      <vt:lpstr>Sheet3</vt:lpstr>
      <vt:lpstr>tnpl</vt:lpstr>
      <vt:lpstr>Sheet4</vt:lpstr>
      <vt:lpstr>DB入力中</vt:lpstr>
      <vt:lpstr>Sheet1</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komamura</cp:lastModifiedBy>
  <dcterms:created xsi:type="dcterms:W3CDTF">2017-05-18T08:29:06Z</dcterms:created>
  <dcterms:modified xsi:type="dcterms:W3CDTF">2018-03-29T09:26:55Z</dcterms:modified>
</cp:coreProperties>
</file>